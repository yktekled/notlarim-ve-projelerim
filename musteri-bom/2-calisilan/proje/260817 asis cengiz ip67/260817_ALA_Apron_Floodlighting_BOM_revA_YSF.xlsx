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17 asis cengiz ip67\"/>
    </mc:Choice>
  </mc:AlternateContent>
  <xr:revisionPtr revIDLastSave="0" documentId="13_ncr:1_{CB5EAE35-04B7-4123-B0A7-45948C4A0CC6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OM" sheetId="1" r:id="rId1"/>
    <sheet name="СВОД" sheetId="2" r:id="rId2"/>
    <sheet name="Kurallar" sheetId="3" r:id="rId3"/>
  </sheets>
  <definedNames>
    <definedName name="_xlnm._FilterDatabase" localSheetId="0" hidden="1">BOM!$A$1:$Q$152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2" i="3" l="1"/>
  <c r="D72" i="3" s="1"/>
  <c r="C71" i="3"/>
  <c r="D71" i="3" s="1"/>
  <c r="C70" i="3"/>
  <c r="D70" i="3" s="1"/>
  <c r="C69" i="3"/>
  <c r="D69" i="3" s="1"/>
  <c r="C68" i="3"/>
  <c r="D68" i="3" s="1"/>
  <c r="C67" i="3"/>
  <c r="D67" i="3" s="1"/>
  <c r="C66" i="3"/>
  <c r="D66" i="3" s="1"/>
  <c r="C65" i="3"/>
  <c r="D65" i="3" s="1"/>
  <c r="C64" i="3"/>
  <c r="D64" i="3" s="1"/>
  <c r="C63" i="3"/>
  <c r="D63" i="3" s="1"/>
  <c r="S58" i="3"/>
  <c r="S59" i="3" s="1"/>
  <c r="K58" i="3"/>
  <c r="K59" i="3" s="1"/>
  <c r="I85" i="1" s="1"/>
  <c r="U57" i="3"/>
  <c r="S57" i="3"/>
  <c r="Q57" i="3"/>
  <c r="O57" i="3"/>
  <c r="M57" i="3"/>
  <c r="K57" i="3"/>
  <c r="I57" i="3"/>
  <c r="G57" i="3"/>
  <c r="E57" i="3"/>
  <c r="U56" i="3"/>
  <c r="S56" i="3"/>
  <c r="Q56" i="3"/>
  <c r="O56" i="3"/>
  <c r="M56" i="3"/>
  <c r="K56" i="3"/>
  <c r="I56" i="3"/>
  <c r="G56" i="3"/>
  <c r="E56" i="3"/>
  <c r="U55" i="3"/>
  <c r="S55" i="3"/>
  <c r="Q55" i="3"/>
  <c r="O55" i="3"/>
  <c r="M55" i="3"/>
  <c r="K55" i="3"/>
  <c r="I55" i="3"/>
  <c r="G55" i="3"/>
  <c r="E55" i="3"/>
  <c r="U54" i="3"/>
  <c r="S54" i="3"/>
  <c r="Q54" i="3"/>
  <c r="O54" i="3"/>
  <c r="M54" i="3"/>
  <c r="K54" i="3"/>
  <c r="I54" i="3"/>
  <c r="G54" i="3"/>
  <c r="E54" i="3"/>
  <c r="U53" i="3"/>
  <c r="S53" i="3"/>
  <c r="Q53" i="3"/>
  <c r="O53" i="3"/>
  <c r="M53" i="3"/>
  <c r="K53" i="3"/>
  <c r="I53" i="3"/>
  <c r="G53" i="3"/>
  <c r="E53" i="3"/>
  <c r="U52" i="3"/>
  <c r="S52" i="3"/>
  <c r="Q52" i="3"/>
  <c r="O52" i="3"/>
  <c r="M52" i="3"/>
  <c r="K52" i="3"/>
  <c r="I52" i="3"/>
  <c r="G52" i="3"/>
  <c r="E52" i="3"/>
  <c r="U51" i="3"/>
  <c r="S51" i="3"/>
  <c r="Q51" i="3"/>
  <c r="O51" i="3"/>
  <c r="M51" i="3"/>
  <c r="K51" i="3"/>
  <c r="I51" i="3"/>
  <c r="G51" i="3"/>
  <c r="E51" i="3"/>
  <c r="U50" i="3"/>
  <c r="S50" i="3"/>
  <c r="Q50" i="3"/>
  <c r="O50" i="3"/>
  <c r="M50" i="3"/>
  <c r="K50" i="3"/>
  <c r="I50" i="3"/>
  <c r="G50" i="3"/>
  <c r="E50" i="3"/>
  <c r="U49" i="3"/>
  <c r="S49" i="3"/>
  <c r="Q49" i="3"/>
  <c r="O49" i="3"/>
  <c r="M49" i="3"/>
  <c r="K49" i="3"/>
  <c r="I49" i="3"/>
  <c r="G49" i="3"/>
  <c r="E49" i="3"/>
  <c r="U48" i="3"/>
  <c r="S48" i="3"/>
  <c r="Q48" i="3"/>
  <c r="O48" i="3"/>
  <c r="M48" i="3"/>
  <c r="K48" i="3"/>
  <c r="I48" i="3"/>
  <c r="G48" i="3"/>
  <c r="E48" i="3"/>
  <c r="U47" i="3"/>
  <c r="S47" i="3"/>
  <c r="Q47" i="3"/>
  <c r="O47" i="3"/>
  <c r="M47" i="3"/>
  <c r="K47" i="3"/>
  <c r="I47" i="3"/>
  <c r="G47" i="3"/>
  <c r="E47" i="3"/>
  <c r="U46" i="3"/>
  <c r="S46" i="3"/>
  <c r="Q46" i="3"/>
  <c r="O46" i="3"/>
  <c r="M46" i="3"/>
  <c r="K46" i="3"/>
  <c r="I46" i="3"/>
  <c r="G46" i="3"/>
  <c r="E46" i="3"/>
  <c r="U45" i="3"/>
  <c r="S45" i="3"/>
  <c r="Q45" i="3"/>
  <c r="O45" i="3"/>
  <c r="M45" i="3"/>
  <c r="K45" i="3"/>
  <c r="I45" i="3"/>
  <c r="G45" i="3"/>
  <c r="E45" i="3"/>
  <c r="U44" i="3"/>
  <c r="S44" i="3"/>
  <c r="Q44" i="3"/>
  <c r="O44" i="3"/>
  <c r="M44" i="3"/>
  <c r="K44" i="3"/>
  <c r="I44" i="3"/>
  <c r="G44" i="3"/>
  <c r="E44" i="3"/>
  <c r="U43" i="3"/>
  <c r="S43" i="3"/>
  <c r="Q43" i="3"/>
  <c r="O43" i="3"/>
  <c r="M43" i="3"/>
  <c r="K43" i="3"/>
  <c r="I43" i="3"/>
  <c r="G43" i="3"/>
  <c r="E43" i="3"/>
  <c r="U42" i="3"/>
  <c r="S42" i="3"/>
  <c r="Q42" i="3"/>
  <c r="O42" i="3"/>
  <c r="M42" i="3"/>
  <c r="K42" i="3"/>
  <c r="I42" i="3"/>
  <c r="G42" i="3"/>
  <c r="E42" i="3"/>
  <c r="U41" i="3"/>
  <c r="S41" i="3"/>
  <c r="Q41" i="3"/>
  <c r="O41" i="3"/>
  <c r="M41" i="3"/>
  <c r="K41" i="3"/>
  <c r="I41" i="3"/>
  <c r="G41" i="3"/>
  <c r="E41" i="3"/>
  <c r="U40" i="3"/>
  <c r="S40" i="3"/>
  <c r="Q40" i="3"/>
  <c r="O40" i="3"/>
  <c r="M40" i="3"/>
  <c r="K40" i="3"/>
  <c r="I40" i="3"/>
  <c r="G40" i="3"/>
  <c r="E40" i="3"/>
  <c r="U39" i="3"/>
  <c r="S39" i="3"/>
  <c r="Q39" i="3"/>
  <c r="O39" i="3"/>
  <c r="M39" i="3"/>
  <c r="K39" i="3"/>
  <c r="I39" i="3"/>
  <c r="G39" i="3"/>
  <c r="E39" i="3"/>
  <c r="U38" i="3"/>
  <c r="U58" i="3" s="1"/>
  <c r="U59" i="3" s="1"/>
  <c r="I150" i="1" s="1"/>
  <c r="F150" i="1" s="1"/>
  <c r="S38" i="3"/>
  <c r="Q38" i="3"/>
  <c r="Q58" i="3" s="1"/>
  <c r="Q59" i="3" s="1"/>
  <c r="I122" i="1" s="1"/>
  <c r="O38" i="3"/>
  <c r="M38" i="3"/>
  <c r="K38" i="3"/>
  <c r="I38" i="3"/>
  <c r="I58" i="3" s="1"/>
  <c r="I59" i="3" s="1"/>
  <c r="I61" i="1" s="1"/>
  <c r="G38" i="3"/>
  <c r="G58" i="3" s="1"/>
  <c r="G59" i="3" s="1"/>
  <c r="I43" i="1" s="1"/>
  <c r="F43" i="1" s="1"/>
  <c r="E38" i="3"/>
  <c r="E58" i="3" s="1"/>
  <c r="E59" i="3" s="1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G150" i="1"/>
  <c r="F148" i="1"/>
  <c r="G148" i="1" s="1"/>
  <c r="H148" i="1" s="1"/>
  <c r="G147" i="1"/>
  <c r="H147" i="1" s="1"/>
  <c r="F147" i="1"/>
  <c r="G146" i="1"/>
  <c r="H146" i="1" s="1"/>
  <c r="F146" i="1"/>
  <c r="F145" i="1"/>
  <c r="G145" i="1" s="1"/>
  <c r="H145" i="1" s="1"/>
  <c r="N145" i="1" s="1"/>
  <c r="L144" i="1"/>
  <c r="G144" i="1"/>
  <c r="H144" i="1" s="1"/>
  <c r="N144" i="1" s="1"/>
  <c r="F144" i="1"/>
  <c r="G143" i="1"/>
  <c r="H143" i="1" s="1"/>
  <c r="F143" i="1"/>
  <c r="H142" i="1"/>
  <c r="G142" i="1"/>
  <c r="F142" i="1"/>
  <c r="F141" i="1"/>
  <c r="G141" i="1" s="1"/>
  <c r="H141" i="1" s="1"/>
  <c r="F140" i="1"/>
  <c r="G140" i="1" s="1"/>
  <c r="H140" i="1" s="1"/>
  <c r="L140" i="1" s="1"/>
  <c r="F139" i="1"/>
  <c r="G139" i="1" s="1"/>
  <c r="H139" i="1" s="1"/>
  <c r="L139" i="1" s="1"/>
  <c r="H138" i="1"/>
  <c r="N138" i="1" s="1"/>
  <c r="G138" i="1"/>
  <c r="F138" i="1"/>
  <c r="L137" i="1"/>
  <c r="H137" i="1"/>
  <c r="F137" i="1"/>
  <c r="G137" i="1" s="1"/>
  <c r="B136" i="1"/>
  <c r="I134" i="1"/>
  <c r="G134" i="1"/>
  <c r="F132" i="1"/>
  <c r="G132" i="1" s="1"/>
  <c r="H132" i="1" s="1"/>
  <c r="N131" i="1"/>
  <c r="F131" i="1"/>
  <c r="G131" i="1" s="1"/>
  <c r="H131" i="1" s="1"/>
  <c r="L131" i="1" s="1"/>
  <c r="N130" i="1"/>
  <c r="G130" i="1"/>
  <c r="H130" i="1" s="1"/>
  <c r="L130" i="1" s="1"/>
  <c r="F130" i="1"/>
  <c r="H129" i="1"/>
  <c r="N129" i="1" s="1"/>
  <c r="G129" i="1"/>
  <c r="F129" i="1"/>
  <c r="F128" i="1"/>
  <c r="G128" i="1" s="1"/>
  <c r="H128" i="1" s="1"/>
  <c r="G127" i="1"/>
  <c r="H127" i="1" s="1"/>
  <c r="F127" i="1"/>
  <c r="G126" i="1"/>
  <c r="H126" i="1" s="1"/>
  <c r="F126" i="1"/>
  <c r="H125" i="1"/>
  <c r="G125" i="1"/>
  <c r="F125" i="1"/>
  <c r="B124" i="1"/>
  <c r="G122" i="1"/>
  <c r="H120" i="1"/>
  <c r="N120" i="1" s="1"/>
  <c r="G120" i="1"/>
  <c r="F120" i="1"/>
  <c r="F119" i="1"/>
  <c r="G119" i="1" s="1"/>
  <c r="H119" i="1" s="1"/>
  <c r="F118" i="1"/>
  <c r="G118" i="1" s="1"/>
  <c r="H118" i="1" s="1"/>
  <c r="F117" i="1"/>
  <c r="G117" i="1" s="1"/>
  <c r="H117" i="1" s="1"/>
  <c r="H116" i="1"/>
  <c r="N116" i="1" s="1"/>
  <c r="G116" i="1"/>
  <c r="F116" i="1"/>
  <c r="N115" i="1"/>
  <c r="L115" i="1"/>
  <c r="F115" i="1"/>
  <c r="G115" i="1" s="1"/>
  <c r="H115" i="1" s="1"/>
  <c r="F114" i="1"/>
  <c r="G114" i="1" s="1"/>
  <c r="H114" i="1" s="1"/>
  <c r="N114" i="1" s="1"/>
  <c r="H113" i="1"/>
  <c r="G113" i="1"/>
  <c r="F113" i="1"/>
  <c r="B112" i="1"/>
  <c r="G110" i="1"/>
  <c r="F108" i="1"/>
  <c r="G108" i="1" s="1"/>
  <c r="H108" i="1" s="1"/>
  <c r="H107" i="1"/>
  <c r="N107" i="1" s="1"/>
  <c r="G107" i="1"/>
  <c r="F107" i="1"/>
  <c r="N106" i="1"/>
  <c r="F106" i="1"/>
  <c r="G106" i="1" s="1"/>
  <c r="H106" i="1" s="1"/>
  <c r="L106" i="1" s="1"/>
  <c r="F105" i="1"/>
  <c r="G105" i="1" s="1"/>
  <c r="H105" i="1" s="1"/>
  <c r="N105" i="1" s="1"/>
  <c r="H104" i="1"/>
  <c r="G104" i="1"/>
  <c r="F104" i="1"/>
  <c r="G103" i="1"/>
  <c r="H103" i="1" s="1"/>
  <c r="F103" i="1"/>
  <c r="F102" i="1"/>
  <c r="G102" i="1" s="1"/>
  <c r="H102" i="1" s="1"/>
  <c r="F101" i="1"/>
  <c r="G101" i="1" s="1"/>
  <c r="H101" i="1" s="1"/>
  <c r="L101" i="1" s="1"/>
  <c r="B100" i="1"/>
  <c r="G98" i="1"/>
  <c r="F96" i="1"/>
  <c r="G96" i="1" s="1"/>
  <c r="H96" i="1" s="1"/>
  <c r="N96" i="1" s="1"/>
  <c r="G95" i="1"/>
  <c r="H95" i="1" s="1"/>
  <c r="F95" i="1"/>
  <c r="H94" i="1"/>
  <c r="G94" i="1"/>
  <c r="F94" i="1"/>
  <c r="F93" i="1"/>
  <c r="G93" i="1" s="1"/>
  <c r="H93" i="1" s="1"/>
  <c r="F92" i="1"/>
  <c r="G92" i="1" s="1"/>
  <c r="H92" i="1" s="1"/>
  <c r="L92" i="1" s="1"/>
  <c r="N91" i="1"/>
  <c r="G91" i="1"/>
  <c r="H91" i="1" s="1"/>
  <c r="L91" i="1" s="1"/>
  <c r="F91" i="1"/>
  <c r="H90" i="1"/>
  <c r="N90" i="1" s="1"/>
  <c r="G90" i="1"/>
  <c r="F90" i="1"/>
  <c r="F89" i="1"/>
  <c r="G89" i="1" s="1"/>
  <c r="H89" i="1" s="1"/>
  <c r="B88" i="1"/>
  <c r="G85" i="1"/>
  <c r="F83" i="1"/>
  <c r="G83" i="1" s="1"/>
  <c r="H83" i="1" s="1"/>
  <c r="F82" i="1"/>
  <c r="G82" i="1" s="1"/>
  <c r="H82" i="1" s="1"/>
  <c r="L82" i="1" s="1"/>
  <c r="G81" i="1"/>
  <c r="H81" i="1" s="1"/>
  <c r="L81" i="1" s="1"/>
  <c r="F81" i="1"/>
  <c r="H80" i="1"/>
  <c r="N80" i="1" s="1"/>
  <c r="G80" i="1"/>
  <c r="F80" i="1"/>
  <c r="F79" i="1"/>
  <c r="G79" i="1" s="1"/>
  <c r="H79" i="1" s="1"/>
  <c r="F78" i="1"/>
  <c r="G78" i="1" s="1"/>
  <c r="H78" i="1" s="1"/>
  <c r="F77" i="1"/>
  <c r="G77" i="1" s="1"/>
  <c r="H77" i="1" s="1"/>
  <c r="H76" i="1"/>
  <c r="N76" i="1" s="1"/>
  <c r="G76" i="1"/>
  <c r="F76" i="1"/>
  <c r="F75" i="1"/>
  <c r="G75" i="1" s="1"/>
  <c r="H75" i="1" s="1"/>
  <c r="N75" i="1" s="1"/>
  <c r="N74" i="1"/>
  <c r="L74" i="1"/>
  <c r="F74" i="1"/>
  <c r="G74" i="1" s="1"/>
  <c r="H74" i="1" s="1"/>
  <c r="H73" i="1"/>
  <c r="G73" i="1"/>
  <c r="F73" i="1"/>
  <c r="H72" i="1"/>
  <c r="G72" i="1"/>
  <c r="F72" i="1"/>
  <c r="F71" i="1"/>
  <c r="G71" i="1" s="1"/>
  <c r="H71" i="1" s="1"/>
  <c r="F70" i="1"/>
  <c r="G70" i="1" s="1"/>
  <c r="H70" i="1" s="1"/>
  <c r="L70" i="1" s="1"/>
  <c r="G69" i="1"/>
  <c r="H69" i="1" s="1"/>
  <c r="L69" i="1" s="1"/>
  <c r="F69" i="1"/>
  <c r="L68" i="1"/>
  <c r="H68" i="1"/>
  <c r="N68" i="1" s="1"/>
  <c r="G68" i="1"/>
  <c r="F68" i="1"/>
  <c r="H67" i="1"/>
  <c r="N67" i="1" s="1"/>
  <c r="F67" i="1"/>
  <c r="G67" i="1" s="1"/>
  <c r="F66" i="1"/>
  <c r="G66" i="1" s="1"/>
  <c r="H66" i="1" s="1"/>
  <c r="F65" i="1"/>
  <c r="G65" i="1" s="1"/>
  <c r="H65" i="1" s="1"/>
  <c r="B64" i="1"/>
  <c r="G61" i="1"/>
  <c r="N59" i="1"/>
  <c r="G59" i="1"/>
  <c r="H59" i="1" s="1"/>
  <c r="L59" i="1" s="1"/>
  <c r="F59" i="1"/>
  <c r="L58" i="1"/>
  <c r="H58" i="1"/>
  <c r="N58" i="1" s="1"/>
  <c r="G58" i="1"/>
  <c r="F58" i="1"/>
  <c r="L57" i="1"/>
  <c r="H57" i="1"/>
  <c r="N57" i="1" s="1"/>
  <c r="G57" i="1"/>
  <c r="F57" i="1"/>
  <c r="F56" i="1"/>
  <c r="G56" i="1" s="1"/>
  <c r="H56" i="1" s="1"/>
  <c r="F55" i="1"/>
  <c r="G55" i="1" s="1"/>
  <c r="H55" i="1" s="1"/>
  <c r="H54" i="1"/>
  <c r="N54" i="1" s="1"/>
  <c r="G54" i="1"/>
  <c r="F54" i="1"/>
  <c r="N53" i="1"/>
  <c r="L53" i="1"/>
  <c r="F53" i="1"/>
  <c r="G53" i="1" s="1"/>
  <c r="H53" i="1" s="1"/>
  <c r="N52" i="1"/>
  <c r="F52" i="1"/>
  <c r="G52" i="1" s="1"/>
  <c r="H52" i="1" s="1"/>
  <c r="L52" i="1" s="1"/>
  <c r="G51" i="1"/>
  <c r="H51" i="1" s="1"/>
  <c r="F51" i="1"/>
  <c r="H50" i="1"/>
  <c r="G50" i="1"/>
  <c r="F50" i="1"/>
  <c r="F49" i="1"/>
  <c r="G49" i="1" s="1"/>
  <c r="H49" i="1" s="1"/>
  <c r="N48" i="1"/>
  <c r="F48" i="1"/>
  <c r="G48" i="1" s="1"/>
  <c r="H48" i="1" s="1"/>
  <c r="L48" i="1" s="1"/>
  <c r="N47" i="1"/>
  <c r="G47" i="1"/>
  <c r="H47" i="1" s="1"/>
  <c r="F47" i="1"/>
  <c r="B46" i="1"/>
  <c r="G43" i="1"/>
  <c r="G41" i="1"/>
  <c r="H41" i="1" s="1"/>
  <c r="F41" i="1"/>
  <c r="H40" i="1"/>
  <c r="G40" i="1"/>
  <c r="F40" i="1"/>
  <c r="F39" i="1"/>
  <c r="G39" i="1" s="1"/>
  <c r="H39" i="1" s="1"/>
  <c r="N38" i="1"/>
  <c r="L38" i="1"/>
  <c r="F38" i="1"/>
  <c r="G38" i="1" s="1"/>
  <c r="H38" i="1" s="1"/>
  <c r="G37" i="1"/>
  <c r="H37" i="1" s="1"/>
  <c r="L37" i="1" s="1"/>
  <c r="F37" i="1"/>
  <c r="G36" i="1"/>
  <c r="H36" i="1" s="1"/>
  <c r="F36" i="1"/>
  <c r="H35" i="1"/>
  <c r="N35" i="1" s="1"/>
  <c r="G35" i="1"/>
  <c r="F35" i="1"/>
  <c r="G34" i="1"/>
  <c r="H34" i="1" s="1"/>
  <c r="F34" i="1"/>
  <c r="G33" i="1"/>
  <c r="H33" i="1" s="1"/>
  <c r="F33" i="1"/>
  <c r="H32" i="1"/>
  <c r="N32" i="1" s="1"/>
  <c r="G32" i="1"/>
  <c r="F32" i="1"/>
  <c r="H31" i="1"/>
  <c r="N31" i="1" s="1"/>
  <c r="F31" i="1"/>
  <c r="G31" i="1" s="1"/>
  <c r="F30" i="1"/>
  <c r="G30" i="1" s="1"/>
  <c r="H30" i="1" s="1"/>
  <c r="N30" i="1" s="1"/>
  <c r="F29" i="1"/>
  <c r="G29" i="1" s="1"/>
  <c r="H29" i="1" s="1"/>
  <c r="G28" i="1"/>
  <c r="H28" i="1" s="1"/>
  <c r="F28" i="1"/>
  <c r="F27" i="1"/>
  <c r="G27" i="1" s="1"/>
  <c r="H27" i="1" s="1"/>
  <c r="F26" i="1"/>
  <c r="G26" i="1" s="1"/>
  <c r="H26" i="1" s="1"/>
  <c r="N25" i="1"/>
  <c r="G25" i="1"/>
  <c r="H25" i="1" s="1"/>
  <c r="L25" i="1" s="1"/>
  <c r="F25" i="1"/>
  <c r="G24" i="1"/>
  <c r="H24" i="1" s="1"/>
  <c r="F24" i="1"/>
  <c r="N23" i="1"/>
  <c r="L23" i="1"/>
  <c r="H23" i="1"/>
  <c r="G23" i="1"/>
  <c r="F23" i="1"/>
  <c r="B22" i="1"/>
  <c r="I17" i="1"/>
  <c r="H17" i="1" s="1"/>
  <c r="G17" i="1"/>
  <c r="F17" i="1"/>
  <c r="F15" i="1"/>
  <c r="G15" i="1" s="1"/>
  <c r="H15" i="1" s="1"/>
  <c r="F14" i="1"/>
  <c r="G14" i="1" s="1"/>
  <c r="H14" i="1" s="1"/>
  <c r="G13" i="1"/>
  <c r="H13" i="1" s="1"/>
  <c r="L13" i="1" s="1"/>
  <c r="F13" i="1"/>
  <c r="G12" i="1"/>
  <c r="H12" i="1" s="1"/>
  <c r="F12" i="1"/>
  <c r="N11" i="1"/>
  <c r="H11" i="1"/>
  <c r="L11" i="1" s="1"/>
  <c r="G11" i="1"/>
  <c r="F11" i="1"/>
  <c r="F10" i="1"/>
  <c r="G10" i="1" s="1"/>
  <c r="H10" i="1" s="1"/>
  <c r="F9" i="1"/>
  <c r="G9" i="1" s="1"/>
  <c r="H9" i="1" s="1"/>
  <c r="H8" i="1"/>
  <c r="N8" i="1" s="1"/>
  <c r="G8" i="1"/>
  <c r="F8" i="1"/>
  <c r="H7" i="1"/>
  <c r="N7" i="1" s="1"/>
  <c r="F7" i="1"/>
  <c r="G7" i="1" s="1"/>
  <c r="N6" i="1"/>
  <c r="F6" i="1"/>
  <c r="G6" i="1" s="1"/>
  <c r="H6" i="1" s="1"/>
  <c r="L6" i="1" s="1"/>
  <c r="F5" i="1"/>
  <c r="G5" i="1" s="1"/>
  <c r="H5" i="1" s="1"/>
  <c r="G4" i="1"/>
  <c r="H4" i="1" s="1"/>
  <c r="F4" i="1"/>
  <c r="F3" i="1"/>
  <c r="G3" i="1" s="1"/>
  <c r="H3" i="1" s="1"/>
  <c r="B2" i="1"/>
  <c r="N118" i="1" l="1"/>
  <c r="L118" i="1"/>
  <c r="N119" i="1"/>
  <c r="L119" i="1"/>
  <c r="N56" i="1"/>
  <c r="L56" i="1"/>
  <c r="N66" i="1"/>
  <c r="L66" i="1"/>
  <c r="N95" i="1"/>
  <c r="L95" i="1"/>
  <c r="G84" i="1"/>
  <c r="H84" i="1" s="1"/>
  <c r="L84" i="1" s="1"/>
  <c r="N65" i="1"/>
  <c r="L65" i="1"/>
  <c r="N24" i="1"/>
  <c r="L24" i="1"/>
  <c r="N10" i="1"/>
  <c r="L10" i="1"/>
  <c r="N14" i="1"/>
  <c r="L14" i="1"/>
  <c r="H18" i="1"/>
  <c r="L33" i="1"/>
  <c r="N33" i="1"/>
  <c r="N55" i="1"/>
  <c r="L55" i="1"/>
  <c r="N128" i="1"/>
  <c r="L128" i="1"/>
  <c r="N78" i="1"/>
  <c r="L78" i="1"/>
  <c r="N79" i="1"/>
  <c r="L79" i="1"/>
  <c r="N26" i="1"/>
  <c r="L26" i="1"/>
  <c r="N4" i="1"/>
  <c r="L4" i="1"/>
  <c r="H85" i="1"/>
  <c r="F85" i="1"/>
  <c r="N103" i="1"/>
  <c r="L103" i="1"/>
  <c r="N51" i="1"/>
  <c r="L51" i="1"/>
  <c r="G60" i="1"/>
  <c r="H60" i="1" s="1"/>
  <c r="L60" i="1" s="1"/>
  <c r="N77" i="1"/>
  <c r="L77" i="1"/>
  <c r="N108" i="1"/>
  <c r="L108" i="1"/>
  <c r="N29" i="1"/>
  <c r="L29" i="1"/>
  <c r="N12" i="1"/>
  <c r="L12" i="1"/>
  <c r="N41" i="1"/>
  <c r="L41" i="1"/>
  <c r="N36" i="1"/>
  <c r="L36" i="1"/>
  <c r="F122" i="1"/>
  <c r="H122" i="1"/>
  <c r="G97" i="1"/>
  <c r="H97" i="1" s="1"/>
  <c r="L97" i="1" s="1"/>
  <c r="N89" i="1"/>
  <c r="L89" i="1"/>
  <c r="L9" i="1"/>
  <c r="N9" i="1"/>
  <c r="N5" i="1"/>
  <c r="L5" i="1"/>
  <c r="N28" i="1"/>
  <c r="L28" i="1"/>
  <c r="N117" i="1"/>
  <c r="L117" i="1"/>
  <c r="F61" i="1"/>
  <c r="H61" i="1"/>
  <c r="L67" i="1"/>
  <c r="L80" i="1"/>
  <c r="N92" i="1"/>
  <c r="H98" i="1"/>
  <c r="L105" i="1"/>
  <c r="H110" i="1"/>
  <c r="N148" i="1"/>
  <c r="L148" i="1"/>
  <c r="N147" i="1"/>
  <c r="L147" i="1"/>
  <c r="N39" i="1"/>
  <c r="L39" i="1"/>
  <c r="N72" i="1"/>
  <c r="L72" i="1"/>
  <c r="N143" i="1"/>
  <c r="L143" i="1"/>
  <c r="L120" i="1"/>
  <c r="N132" i="1"/>
  <c r="L132" i="1"/>
  <c r="L31" i="1"/>
  <c r="L93" i="1"/>
  <c r="N93" i="1"/>
  <c r="N127" i="1"/>
  <c r="L127" i="1"/>
  <c r="L35" i="1"/>
  <c r="L47" i="1"/>
  <c r="N81" i="1"/>
  <c r="N101" i="1"/>
  <c r="L138" i="1"/>
  <c r="H150" i="1"/>
  <c r="N73" i="1"/>
  <c r="L73" i="1"/>
  <c r="H151" i="1"/>
  <c r="N13" i="1"/>
  <c r="N82" i="1"/>
  <c r="N139" i="1"/>
  <c r="H134" i="1"/>
  <c r="F134" i="1"/>
  <c r="N27" i="1"/>
  <c r="L27" i="1"/>
  <c r="N126" i="1"/>
  <c r="L126" i="1"/>
  <c r="N94" i="1"/>
  <c r="L94" i="1"/>
  <c r="L83" i="1"/>
  <c r="N83" i="1"/>
  <c r="L7" i="1"/>
  <c r="N49" i="1"/>
  <c r="L49" i="1"/>
  <c r="L30" i="1"/>
  <c r="L114" i="1"/>
  <c r="L129" i="1"/>
  <c r="N141" i="1"/>
  <c r="L141" i="1"/>
  <c r="L151" i="1" s="1"/>
  <c r="N102" i="1"/>
  <c r="L102" i="1"/>
  <c r="L111" i="1" s="1"/>
  <c r="N69" i="1"/>
  <c r="L90" i="1"/>
  <c r="N140" i="1"/>
  <c r="L145" i="1"/>
  <c r="G42" i="1"/>
  <c r="H42" i="1" s="1"/>
  <c r="L42" i="1" s="1"/>
  <c r="N37" i="1"/>
  <c r="H43" i="1"/>
  <c r="N70" i="1"/>
  <c r="L75" i="1"/>
  <c r="L96" i="1"/>
  <c r="G133" i="1"/>
  <c r="H133" i="1" s="1"/>
  <c r="L133" i="1" s="1"/>
  <c r="N146" i="1"/>
  <c r="L146" i="1"/>
  <c r="M58" i="3"/>
  <c r="M59" i="3" s="1"/>
  <c r="I98" i="1" s="1"/>
  <c r="F98" i="1" s="1"/>
  <c r="N142" i="1"/>
  <c r="L142" i="1"/>
  <c r="N40" i="1"/>
  <c r="L40" i="1"/>
  <c r="G16" i="1"/>
  <c r="H16" i="1" s="1"/>
  <c r="L16" i="1" s="1"/>
  <c r="N3" i="1"/>
  <c r="L3" i="1"/>
  <c r="G121" i="1"/>
  <c r="H121" i="1" s="1"/>
  <c r="L121" i="1" s="1"/>
  <c r="N113" i="1"/>
  <c r="L113" i="1"/>
  <c r="L123" i="1" s="1"/>
  <c r="L15" i="1"/>
  <c r="N15" i="1"/>
  <c r="N34" i="1"/>
  <c r="L34" i="1"/>
  <c r="N50" i="1"/>
  <c r="L50" i="1"/>
  <c r="N71" i="1"/>
  <c r="L71" i="1"/>
  <c r="N104" i="1"/>
  <c r="L104" i="1"/>
  <c r="G109" i="1"/>
  <c r="H109" i="1" s="1"/>
  <c r="L109" i="1" s="1"/>
  <c r="G149" i="1"/>
  <c r="H149" i="1" s="1"/>
  <c r="L149" i="1" s="1"/>
  <c r="N137" i="1"/>
  <c r="O58" i="3"/>
  <c r="O59" i="3" s="1"/>
  <c r="I110" i="1" s="1"/>
  <c r="F110" i="1" s="1"/>
  <c r="L8" i="1"/>
  <c r="L32" i="1"/>
  <c r="L54" i="1"/>
  <c r="L76" i="1"/>
  <c r="L107" i="1"/>
  <c r="L116" i="1"/>
  <c r="L125" i="1"/>
  <c r="N125" i="1"/>
  <c r="C5" i="2" l="1"/>
  <c r="D5" i="2" s="1"/>
  <c r="N18" i="1"/>
  <c r="L18" i="1"/>
  <c r="H111" i="1"/>
  <c r="L44" i="1"/>
  <c r="H99" i="1"/>
  <c r="H62" i="1"/>
  <c r="L62" i="1"/>
  <c r="H44" i="1"/>
  <c r="N151" i="1"/>
  <c r="C13" i="2"/>
  <c r="D13" i="2" s="1"/>
  <c r="E13" i="2" s="1"/>
  <c r="L135" i="1"/>
  <c r="H135" i="1"/>
  <c r="L99" i="1"/>
  <c r="H86" i="1"/>
  <c r="H123" i="1"/>
  <c r="L86" i="1"/>
  <c r="C6" i="2" l="1"/>
  <c r="D6" i="2" s="1"/>
  <c r="E6" i="2" s="1"/>
  <c r="N44" i="1"/>
  <c r="N99" i="1"/>
  <c r="C9" i="2"/>
  <c r="D9" i="2" s="1"/>
  <c r="E9" i="2" s="1"/>
  <c r="N86" i="1"/>
  <c r="C8" i="2"/>
  <c r="D8" i="2" s="1"/>
  <c r="E8" i="2" s="1"/>
  <c r="C10" i="2"/>
  <c r="D10" i="2" s="1"/>
  <c r="E10" i="2" s="1"/>
  <c r="N111" i="1"/>
  <c r="C12" i="2"/>
  <c r="D12" i="2" s="1"/>
  <c r="E12" i="2" s="1"/>
  <c r="N135" i="1"/>
  <c r="H153" i="1"/>
  <c r="N153" i="1" s="1"/>
  <c r="N62" i="1"/>
  <c r="C7" i="2"/>
  <c r="D7" i="2" s="1"/>
  <c r="E7" i="2" s="1"/>
  <c r="C11" i="2"/>
  <c r="D11" i="2" s="1"/>
  <c r="E11" i="2" s="1"/>
  <c r="N123" i="1"/>
  <c r="E5" i="2"/>
  <c r="D14" i="2" l="1"/>
  <c r="D16" i="2" l="1"/>
  <c r="E14" i="2"/>
</calcChain>
</file>

<file path=xl/sharedStrings.xml><?xml version="1.0" encoding="utf-8"?>
<sst xmlns="http://schemas.openxmlformats.org/spreadsheetml/2006/main" count="1139" uniqueCount="354">
  <si>
    <t>ROW</t>
  </si>
  <si>
    <t>Наименование1</t>
  </si>
  <si>
    <t>Тип</t>
  </si>
  <si>
    <t>Артикул</t>
  </si>
  <si>
    <t>Номенклатура</t>
  </si>
  <si>
    <t>Цена (лист×1,35)</t>
  </si>
  <si>
    <t>Цена нетто KZT</t>
  </si>
  <si>
    <t>Сумма KZT</t>
  </si>
  <si>
    <t>Кол-во</t>
  </si>
  <si>
    <t>Ед.изм.</t>
  </si>
  <si>
    <t>Завод</t>
  </si>
  <si>
    <t>малз (сумма)</t>
  </si>
  <si>
    <t>мал группа</t>
  </si>
  <si>
    <t>srk euro</t>
  </si>
  <si>
    <t>oguzhan</t>
  </si>
  <si>
    <t>ЛИСТ (источник)</t>
  </si>
  <si>
    <t>Валюта</t>
  </si>
  <si>
    <t>ЩАВР De-icing (AVR POWER PANEL)</t>
  </si>
  <si>
    <t>комплект</t>
  </si>
  <si>
    <t>korpus</t>
  </si>
  <si>
    <t>719-15923</t>
  </si>
  <si>
    <t>Мет. Щит ВРУ (2000x800x600)+10 база (TS)</t>
  </si>
  <si>
    <t>шт</t>
  </si>
  <si>
    <t>KAZTEK</t>
  </si>
  <si>
    <t>Корпус</t>
  </si>
  <si>
    <t>KZT</t>
  </si>
  <si>
    <t>TMŞ</t>
  </si>
  <si>
    <t>1SDA100385R1</t>
  </si>
  <si>
    <t>Выключатель автоматический XT5N 400 TMA In=400A InN=100% 4P, Icu 36кА</t>
  </si>
  <si>
    <t>ABB</t>
  </si>
  <si>
    <t>Аппараты защиты</t>
  </si>
  <si>
    <t>EUR</t>
  </si>
  <si>
    <t>rubilnik</t>
  </si>
  <si>
    <t>1SCA022847R3250</t>
  </si>
  <si>
    <t>Переключатель нагрузки автоматический (АВР) OTM400E4CM230C 400А 4P</t>
  </si>
  <si>
    <t>1SDA067418R1</t>
  </si>
  <si>
    <t>Выключатель автоматический XT1N 160 TMD In=160A 3P, Icu 36кА — AFL Mast</t>
  </si>
  <si>
    <t>OTO</t>
  </si>
  <si>
    <t>2CDS273001R0634</t>
  </si>
  <si>
    <t>Выключатель автоматический S203M-C63 3P 63А, 10кА, хар. C — Резерв</t>
  </si>
  <si>
    <t>1SDA067416R1</t>
  </si>
  <si>
    <t>Выключатель автоматический XT1N 160 TMD In=100A 3P, Icu 36кА — Резерв / Пункт управления</t>
  </si>
  <si>
    <t>2CDS273001R0164</t>
  </si>
  <si>
    <t>Выключатель автоматический S203M-C16 3P 16А, 10кА, хар. C — Резервуар De-icing</t>
  </si>
  <si>
    <t>2CDS273001R0404</t>
  </si>
  <si>
    <t>Выключатель автоматический S203M-C40 3P 40А, 10кА, хар. C — Резерв</t>
  </si>
  <si>
    <t>2CDS271001R0254</t>
  </si>
  <si>
    <t>Выключатель автоматический S201M-C25 1P 25А, 10кА, хар. C — Камера / Резерв ×2</t>
  </si>
  <si>
    <t>LOOBAR</t>
  </si>
  <si>
    <t>130200208_</t>
  </si>
  <si>
    <t>Шина медная 5х50х4000 мм (сборные шины 400А, L1/L2/L3/N)</t>
  </si>
  <si>
    <t>EKT</t>
  </si>
  <si>
    <t>Клеммы и шины</t>
  </si>
  <si>
    <t>Klemens</t>
  </si>
  <si>
    <t>130301155_</t>
  </si>
  <si>
    <t>Зажим наборный ЗНИ 10мм² (70А), серый</t>
  </si>
  <si>
    <t>montajный материал</t>
  </si>
  <si>
    <t>570003</t>
  </si>
  <si>
    <t>DIN-рейка оцинкованная TH35-7.5, 1000 мм</t>
  </si>
  <si>
    <t>CHINT</t>
  </si>
  <si>
    <t>Монтаж</t>
  </si>
  <si>
    <t>270300105_</t>
  </si>
  <si>
    <t>Кабель-канал перфорированный 40х60, ИМПАКТ</t>
  </si>
  <si>
    <t>Монтажные материалы (крепёж, маркировка, наконечники)</t>
  </si>
  <si>
    <t>компл.</t>
  </si>
  <si>
    <t>—</t>
  </si>
  <si>
    <t>montajная работа</t>
  </si>
  <si>
    <t>Сборка щита (норма времени — см. лист «Kurallar»)</t>
  </si>
  <si>
    <t>мин</t>
  </si>
  <si>
    <t>YSF</t>
  </si>
  <si>
    <t>Работа</t>
  </si>
  <si>
    <t>Toplam ЩАВР De-icing (AVR POWER PANEL)</t>
  </si>
  <si>
    <t>opn</t>
  </si>
  <si>
    <t>2CTB812111R2300</t>
  </si>
  <si>
    <t>⚠ KONTROL — Ограничитель перенапряжения OVR T1-T2 3N 100-255 P TS (класс I+II)</t>
  </si>
  <si>
    <t>sayac</t>
  </si>
  <si>
    <t>⚠ KONTROL — Счётчик электроэнергии 3-фазный (тип по ТУ АО «Алматы Энергосбыт»)</t>
  </si>
  <si>
    <t>Учёт</t>
  </si>
  <si>
    <t>tt</t>
  </si>
  <si>
    <t>⚠ KONTROL — Трансформатор тока 400/5 (3 шт на счётчик)</t>
  </si>
  <si>
    <t>ЩУ AFL De-icing (AFL MAST CONTROL PANEL)</t>
  </si>
  <si>
    <t>719-15420</t>
  </si>
  <si>
    <t>Мет.Корпус ЩМП-4 (800x650x250) IP54</t>
  </si>
  <si>
    <t>1SDA067415R1</t>
  </si>
  <si>
    <t>Выключатель автоматический XT1N 160 TMD In=80A 3P, Icu 36кА — ввод от ЩАВР</t>
  </si>
  <si>
    <t>2CDS251001R0065</t>
  </si>
  <si>
    <t>Выключатель автоматический S201-B6 1P 6А, 6кА, хар. B — цепи управления</t>
  </si>
  <si>
    <t>Выключатель автоматический S203M-C63 3P 63А, 10кА, хар. C — AFL LIGHTs (K1…K4)</t>
  </si>
  <si>
    <t>2CDS273001R0324</t>
  </si>
  <si>
    <t>Выключатель автоматический S203M-C32 3P 32А, 10кА, хар. C — Резерв</t>
  </si>
  <si>
    <t>2CDS271001R0164</t>
  </si>
  <si>
    <t>Выключатель автоматический S201M-C16 1P 16А, 10кА, хар. C — Резерв</t>
  </si>
  <si>
    <t>kontaktör</t>
  </si>
  <si>
    <t>1SAE351111R0640</t>
  </si>
  <si>
    <t>Контактор модульный ESB63-40N 63А 4НО, катушка 230В AC/DC</t>
  </si>
  <si>
    <t>Управление</t>
  </si>
  <si>
    <t>Röle</t>
  </si>
  <si>
    <t>2CSM208141R1000</t>
  </si>
  <si>
    <t>Таймер недельный AW1CO-R-120m, 7 сут, резерв 150 ч, 1 перекл. контакт</t>
  </si>
  <si>
    <t>1SVR405613R3000</t>
  </si>
  <si>
    <t>Реле промежуточное CR-M230AC4, 4 перекл. контакта, 230В AC</t>
  </si>
  <si>
    <t>Röle Altlığı</t>
  </si>
  <si>
    <t>1SVR405651R3000</t>
  </si>
  <si>
    <t>Колодка для реле CR-M4SS, 4 перекл., винтовая</t>
  </si>
  <si>
    <t>blok</t>
  </si>
  <si>
    <t>1SFA619210R1026</t>
  </si>
  <si>
    <t>Переключатель 3-позиционный C3SS1-10B-20, 2НО (АВТО-ОТКЛ-РУЧН)</t>
  </si>
  <si>
    <t>Sinyal Lambası</t>
  </si>
  <si>
    <t>1SFA619403R5232</t>
  </si>
  <si>
    <t>Лампа сигнальная CL2-523G, LED 230В AC, зелёная («FLTs ON»)</t>
  </si>
  <si>
    <t>811002</t>
  </si>
  <si>
    <t>Шина соединительная типа PIN 3P, 63А, L=1000 мм</t>
  </si>
  <si>
    <t>130200399_</t>
  </si>
  <si>
    <t>Шина «N»/«PE» ШНК 3L+PEN 4х7, 100А, на DIN-рейку в корпусе</t>
  </si>
  <si>
    <t>130300473_</t>
  </si>
  <si>
    <t>Шина медная 3х20х4000 мм (сборные шины 160А, L1/L2/L3/N)</t>
  </si>
  <si>
    <t>130301153_</t>
  </si>
  <si>
    <t>Зажим наборный ЗНИ 4мм² (35А), серый — цепи управления</t>
  </si>
  <si>
    <t>Зажим наборный ЗНИ 10мм² (70А), серый — силовые отходящие</t>
  </si>
  <si>
    <t>270300079_</t>
  </si>
  <si>
    <t>Кабель-канал перфорированный 25х40, ИМПАКТ</t>
  </si>
  <si>
    <t>Toplam ЩУ AFL De-icing (AFL MAST CONTROL PANEL)</t>
  </si>
  <si>
    <t>⚠ KONTROL — Фотореле (сумеречный выключатель) с выносным датчиком, 230В AC</t>
  </si>
  <si>
    <t>ЩАВР Cargo (AVR POWER PANEL)</t>
  </si>
  <si>
    <t>719-15602</t>
  </si>
  <si>
    <t>Щит ВРУ (1800x600x450x2)+10см база IP54</t>
  </si>
  <si>
    <t>1SDA068070R1</t>
  </si>
  <si>
    <t>Выключатель автоматический XT3N 250 TMD In=250A InN=100% 4P, Icu 36кА</t>
  </si>
  <si>
    <t>1SCA022846R1910</t>
  </si>
  <si>
    <t>Переключатель нагрузки автоматический (АВР) OTM250E4CM230C 250А 4P</t>
  </si>
  <si>
    <t>Выключатель автоматический XT1N 160 TMD In=100A 3P, Icu 36кА — AFL Cargo</t>
  </si>
  <si>
    <t>Выключатель автоматический S203M-C40 3P 40А, 10кА, хар. C — CCTV</t>
  </si>
  <si>
    <t>Выключатель автоматический XT1N 160 TMD In=80A 3P, Icu 36кА — Резерв ×2</t>
  </si>
  <si>
    <t>DİF</t>
  </si>
  <si>
    <t>2CSR255080R1164</t>
  </si>
  <si>
    <t>Дифавтомат DS201 C16 AC30 1P+N 16А 30мА, 6кА — Резерв</t>
  </si>
  <si>
    <t>2CSR255080R1254</t>
  </si>
  <si>
    <t>Дифавтомат DS201 C25 AC30 1P+N 25А 30мА, 6кА — Резерв ×2</t>
  </si>
  <si>
    <t>130300554_</t>
  </si>
  <si>
    <t>Шина медная 4х30х4000 мм (сборные шины 250А, L1/L2/L3/N)</t>
  </si>
  <si>
    <t>Toplam ЩАВР Cargo (AVR POWER PANEL)</t>
  </si>
  <si>
    <t>ЩУ AFL Cargo (AFL MAST CONTROL PANEL)</t>
  </si>
  <si>
    <t>Шина медная 3х20х4000 мм (сборные шины 80А, L1/L2/L3/N)</t>
  </si>
  <si>
    <t>Toplam ЩУ AFL Cargo (AFL MAST CONTROL PANEL)</t>
  </si>
  <si>
    <t>SUB 19 AFL LV DB (VIP)</t>
  </si>
  <si>
    <t>Выключатель автоматический XT1N 160 TMD In=100A 3P, Icu 36кА — ввод</t>
  </si>
  <si>
    <t>2CTB803973R1100</t>
  </si>
  <si>
    <t>Ограничитель перенапряжения OVR T2 3N 40-275 P QS (класс II)</t>
  </si>
  <si>
    <t>Выключатель автоматический S203M-C32 3P 32А, 10кА, хар. C — PB-V1/V2/V3</t>
  </si>
  <si>
    <t>130301157_</t>
  </si>
  <si>
    <t>Зажим наборный ЗНИ 16мм² (100А), серый</t>
  </si>
  <si>
    <t>Toplam SUB 19 AFL LV DB (VIP)</t>
  </si>
  <si>
    <t>ЩО PB-V1 (VIP)</t>
  </si>
  <si>
    <t>719-15425</t>
  </si>
  <si>
    <t>Мет.Корпус ЩМП-2 (500x400x220) IP54</t>
  </si>
  <si>
    <t>2CDS273001R0504</t>
  </si>
  <si>
    <t>Выключатель автоматический S203M-C50 3P 50А, 10кА, хар. C — ввод</t>
  </si>
  <si>
    <t>Выключатель автоматический S203M-C32 3P 32А, 10кА, хар. C — AFL мачты (4 шт)</t>
  </si>
  <si>
    <t>Toplam ЩО PB-V1 (VIP)</t>
  </si>
  <si>
    <t>ЩО PB-V2 (VIP)</t>
  </si>
  <si>
    <t>Выключатель автоматический S203M-C32 3P 32А, 10кА, хар. C — AFL мачты (3 шт)</t>
  </si>
  <si>
    <t>Toplam ЩО PB-V2 (VIP)</t>
  </si>
  <si>
    <t>ЩО PB-V3 (VIP)</t>
  </si>
  <si>
    <t>Toplam ЩО PB-V3 (VIP)</t>
  </si>
  <si>
    <t>ЩА AFL INTERNAL DB (в мачте, VIP)</t>
  </si>
  <si>
    <t>1SCA104932R1001</t>
  </si>
  <si>
    <t>Выключатель нагрузки OT40F4N2 40А 4P — ввод (TP 32A ISO)</t>
  </si>
  <si>
    <t>2CDS273001R0204</t>
  </si>
  <si>
    <t>Выключатель автоматический S203M-C20 3P 20А, 10кА, хар. C — AFL LIGHTs</t>
  </si>
  <si>
    <t>2CDS251001R0034</t>
  </si>
  <si>
    <t>Выключатель автоматический S201-C3 1P 3А, 6кА, хар. C — OBS LIGHTs</t>
  </si>
  <si>
    <t>1SAE231111R0640</t>
  </si>
  <si>
    <t>Контактор модульный ESB25-40N 25А 4НО, катушка 230В AC/DC (K1 / K3)</t>
  </si>
  <si>
    <t>2CSM208151R1000</t>
  </si>
  <si>
    <t>Таймер суточный AD1CO-R-15m, резерв 150 ч, 1 перекл. контакт</t>
  </si>
  <si>
    <t>Зажим наборный ЗНИ 4мм² (35А), серый (L1×2, L2×2, L3×3, N, E + ввод)</t>
  </si>
  <si>
    <t>Toplam ЩА AFL INTERNAL DB (в мачте, VIP)</t>
  </si>
  <si>
    <t>⚠ KONTROL — Фотореле PH1 (сумеречный выключатель), 230В AC</t>
  </si>
  <si>
    <t>GENEL TOPLAM (tüm panolar × komplekt adedi)</t>
  </si>
  <si>
    <t>Almaty International Airport — Apron Floodlighting (De-icing / Cargo / VIP), BK3812 — СВОДНАЯ ВЕДОМОСТЬ</t>
  </si>
  <si>
    <t>Rev. A · 2026-08-17 · EUR/KZT см. лист «Kurallar»</t>
  </si>
  <si>
    <t>Щит</t>
  </si>
  <si>
    <t>Кол-во компл.</t>
  </si>
  <si>
    <t>Цена за 1 компл. KZT</t>
  </si>
  <si>
    <t>Сумма EUR</t>
  </si>
  <si>
    <t>Модули исп.</t>
  </si>
  <si>
    <t>Модули всего</t>
  </si>
  <si>
    <t>Заполнение</t>
  </si>
  <si>
    <t>Статус</t>
  </si>
  <si>
    <t>ИТОГО</t>
  </si>
  <si>
    <t>Контрольная связка: СВОД!D14 = BOM!H153</t>
  </si>
  <si>
    <t>Almaty International Airport — Apron Floodlighting (De-icing / Cargo / VIP), BK3812 — KURALLAR, KATSAYILAR VE NORMLAR</t>
  </si>
  <si>
    <t>Sarı hücreler DÜZENLENEBİLİR. Değiştirildiğinde tüm BOM otomatik güncellenir.</t>
  </si>
  <si>
    <t>PROJE BİLGİLERİ</t>
  </si>
  <si>
    <t>Proje kodu</t>
  </si>
  <si>
    <t>260817_ALA_Apron_Floodlighting</t>
  </si>
  <si>
    <t>Proje adı</t>
  </si>
  <si>
    <t>Almaty International Airport — Apron Floodlighting (De-icing / Cargo / VIP), BK3812</t>
  </si>
  <si>
    <t>Müşteri</t>
  </si>
  <si>
    <t>Almaty International Airport / NACO</t>
  </si>
  <si>
    <t>Revizyon</t>
  </si>
  <si>
    <t>A</t>
  </si>
  <si>
    <t>Tarih</t>
  </si>
  <si>
    <t>2026-08-17</t>
  </si>
  <si>
    <t>Sorumlu</t>
  </si>
  <si>
    <t>YSF HICH</t>
  </si>
  <si>
    <t>DÖVİZ KURLARI (KZT karşılığı)</t>
  </si>
  <si>
    <t>PARA</t>
  </si>
  <si>
    <t>KUR</t>
  </si>
  <si>
    <t>AÇIKLAMA</t>
  </si>
  <si>
    <t>baz — değiştirmeyin</t>
  </si>
  <si>
    <t>EUR/KZT — BOM günü kuru</t>
  </si>
  <si>
    <t>TL</t>
  </si>
  <si>
    <t>TL/KZT — BOM günü kuru</t>
  </si>
  <si>
    <t>MARKA KATSAYILARI   (F = ЛИСТ × liste çarpanı · G = F × net katsayı × kur)</t>
  </si>
  <si>
    <t>ЗАВОД</t>
  </si>
  <si>
    <t>LİSTE ÇARPANI</t>
  </si>
  <si>
    <t>NET KATSAYI</t>
  </si>
  <si>
    <t>liste(EUR) × 1,35 → sonra × 0,30 (%70 iskonto — "diğer tüm gruplar")</t>
  </si>
  <si>
    <t>%40 iskonto</t>
  </si>
  <si>
    <t>CNC</t>
  </si>
  <si>
    <t>%45 iskonto</t>
  </si>
  <si>
    <t>net fiyat</t>
  </si>
  <si>
    <t>net fiyat — korpus</t>
  </si>
  <si>
    <t>SAYMAN</t>
  </si>
  <si>
    <t>SCHNEIDER</t>
  </si>
  <si>
    <t>proje bazında teyit edilmeli</t>
  </si>
  <si>
    <t>LEGRAND</t>
  </si>
  <si>
    <t>⚠ TEYİT EDİLMEDİ — teklifte kullanmadan önce onaylat</t>
  </si>
  <si>
    <t>ABB — ayar sahalı / açık tip</t>
  </si>
  <si>
    <t>⚠ %77 iskonto. AYRI KADEMEDİR — "ABB" satırıyla birleştirilmez. Bu BOM'da bu gruptan ürün YOKTUR; ACB/ayar sahalı şalter eklenirse ilgili satırın ЗАВОД hücresi bu satır adıyla değiştirilmelidir.</t>
  </si>
  <si>
    <t>İŞÇİLİK VE MONTAJ PARAMETRELERİ</t>
  </si>
  <si>
    <t>ISCILIK_KZT_DK</t>
  </si>
  <si>
    <t>KZT / dakika (işveren yükü dahil)</t>
  </si>
  <si>
    <t>UPLIFT</t>
  </si>
  <si>
    <t>Test, etiketleme, muayene katsayısı (güç panosu)</t>
  </si>
  <si>
    <t>MONTAJ_MALZ_YUZDE</t>
  </si>
  <si>
    <t>Montaj malzemesi = pano malzeme tutarı × bu oran</t>
  </si>
  <si>
    <t>İŞÇİLİK ZAMAN NORMLARI (dakika) — pano bazında adet ve süre</t>
  </si>
  <si>
    <t>NORM</t>
  </si>
  <si>
    <t>NORM_DK</t>
  </si>
  <si>
    <t>ЩАВР De-icing (AVR POWER</t>
  </si>
  <si>
    <t>дк</t>
  </si>
  <si>
    <t>ЩУ AFL De-icing (AFL MAS</t>
  </si>
  <si>
    <t>ЩАВР Cargo (AVR POWER PA</t>
  </si>
  <si>
    <t>ЩУ AFL Cargo (AFL MAST C</t>
  </si>
  <si>
    <t>ЩА AFL INTERNAL DB (в ма</t>
  </si>
  <si>
    <t>KORPUS_KUCUK</t>
  </si>
  <si>
    <t>Korpus hazırlık — küçük (≤500x400)</t>
  </si>
  <si>
    <t>KORPUS_ORTA</t>
  </si>
  <si>
    <t>Korpus hazırlık — orta (≤1000x700)</t>
  </si>
  <si>
    <t>KORPUS_ZEMIN</t>
  </si>
  <si>
    <t>Korpus hazırlık — zemine oturan / ВРУ</t>
  </si>
  <si>
    <t>OTO_1P</t>
  </si>
  <si>
    <t>Otomat 1P (МСВ 1P)</t>
  </si>
  <si>
    <t>OTO_3P</t>
  </si>
  <si>
    <t>Otomat 3P/4P (МСВ 3P)</t>
  </si>
  <si>
    <t>DIF</t>
  </si>
  <si>
    <t>АВДТ / RCBO 1P+N</t>
  </si>
  <si>
    <t>TMS_250</t>
  </si>
  <si>
    <t>Компакт автомат (MCCB) ≤250A</t>
  </si>
  <si>
    <t>TMS_630</t>
  </si>
  <si>
    <t>Компакт автомат (MCCB) 315–630A</t>
  </si>
  <si>
    <t>RUBILNIK</t>
  </si>
  <si>
    <t>Выключатель нагрузки (рубильник)</t>
  </si>
  <si>
    <t>AVR</t>
  </si>
  <si>
    <t>Переключатель АВР (моторный, ≤400A) — монтаж + подключение</t>
  </si>
  <si>
    <t>KONTAKTOR</t>
  </si>
  <si>
    <t>Контактор модульный</t>
  </si>
  <si>
    <t>ROLE</t>
  </si>
  <si>
    <t>Реле + колодка</t>
  </si>
  <si>
    <t>SINYAL</t>
  </si>
  <si>
    <t>Лампа / переключатель / кнопка на двери</t>
  </si>
  <si>
    <t>OPN</t>
  </si>
  <si>
    <t>ОПН (парафудр)</t>
  </si>
  <si>
    <t>SAYAC</t>
  </si>
  <si>
    <t>Счётчик + 3 трансформатора тока</t>
  </si>
  <si>
    <t>KLEMENS</t>
  </si>
  <si>
    <t>Клемма наборная — за штуку</t>
  </si>
  <si>
    <t>Готовая шина (ШНК/PIN) — за штуку</t>
  </si>
  <si>
    <t>BARA_CU</t>
  </si>
  <si>
    <t>Медная шина — за МЕТР (резка, сверление, гибка, лужение)</t>
  </si>
  <si>
    <t>DIN_RAY</t>
  </si>
  <si>
    <t>DIN-рейка — за метр (1 шт = 1 м)</t>
  </si>
  <si>
    <t>KANAL</t>
  </si>
  <si>
    <t>Кабель-канал — за штуку (1 шт = 2 м)</t>
  </si>
  <si>
    <t>HAM TOPLAM (dk)</t>
  </si>
  <si>
    <t>TOPLAM × UPLIFT (dk) → BOM işçilik satırı</t>
  </si>
  <si>
    <t>FİYAT LİSTESİ KAYNAKLARI VE YAŞ KAPISI</t>
  </si>
  <si>
    <t>KAYNAK</t>
  </si>
  <si>
    <t>TARİH</t>
  </si>
  <si>
    <t>YAŞ (ay)</t>
  </si>
  <si>
    <t>DURUM</t>
  </si>
  <si>
    <t>ABB Elektrifikasyon Fiyat Listesi — Kasım 2025</t>
  </si>
  <si>
    <t>2025-11-01</t>
  </si>
  <si>
    <t>CHINT fiyatlı stok listesi</t>
  </si>
  <si>
    <t>2026-06-13</t>
  </si>
  <si>
    <t>KAZTEK pano fiyat listesi</t>
  </si>
  <si>
    <t>2026-07-15</t>
  </si>
  <si>
    <t>EKT PRICE</t>
  </si>
  <si>
    <t>2025-06-19</t>
  </si>
  <si>
    <t>CNC tarif</t>
  </si>
  <si>
    <t>2025-02-04</t>
  </si>
  <si>
    <t>SCHNEIDER TR fiyat listesi</t>
  </si>
  <si>
    <t>2025-07-23</t>
  </si>
  <si>
    <t>LEGRAND fiyat listesi</t>
  </si>
  <si>
    <t>2025-10-01</t>
  </si>
  <si>
    <t>EKF — YASAK (yalnızca artikül referansı)</t>
  </si>
  <si>
    <t>2022-02-22</t>
  </si>
  <si>
    <t>KLEMSAN — YASAK (yalnızca artikül referansı)</t>
  </si>
  <si>
    <t>2022-11-01</t>
  </si>
  <si>
    <t>ONKA — YASAK (yalnızca artikül referansı)</t>
  </si>
  <si>
    <t>2022-07-01</t>
  </si>
  <si>
    <t>NOTLAR, UYARILAR VE KONTROL MADDELERİ</t>
  </si>
  <si>
    <t>Fiyat zinciri: ЛИСТ(P) × LİSTE ÇARPANI → F ; F × NET KATSAYI × KUR → G ; G × Кол-во → H. Tüm katsayı, kur ve normlar bu sayfadaki SARI hücrelerdedir — formüle gömülü sabit YOKTUR.</t>
  </si>
  <si>
    <t>Fiyatı bulunamayan kalemlerin Цена/Сумма hücreleri BİLİNÇLİ olarak BOŞTUR — sıfır yazılmaz, toplam görünür şekilde eksilir.</t>
  </si>
  <si>
    <t>KONTROL satırları kırmızı zeminlidir; adetleri GERÇEKTİR (atölye/tedarik sayar) ancak pano toplamına ve GENEL TOPLAM'a DAHİL DEĞİLDİR.</t>
  </si>
  <si>
    <t>İşçilik satırı: Кол-во = DAKİKA, Цена нетто = KZT/dakika, Цена (лист) sütunu SAAT karşılığıdır.</t>
  </si>
  <si>
    <t>Pano içi malzeme TEK pano içindir; komplekt adediyle çarpılmaz. Çarpma СВОД sayfasında yapılır.</t>
  </si>
  <si>
    <t>▌ MARKA / FİYAT</t>
  </si>
  <si>
    <t>Tüm koruma cihazları ABB seçilmiştir (talep gereği). ABB katsayısı 0,4050 = liste × 1,35 × 0,30 (%70 indirim, "diğer tüm gruplar"). ⚠ ABB listesinde İKİNCİ bir kademe vardır: ayar sahalı ve açık tip şalterler %77 indirim → katsayı 0,3105. Bu BOM'da o gruptan ürün YOKTUR; ileride ACB/ayar sahalı şalter eklenirse Kurallar sayfasına AYRI satır olarak girilmelidir — iki kademe tek katsayıya indirgenmemelidir.</t>
  </si>
  <si>
    <t>EUR/KZT = 536,55 (17.08.2026). Kur sarı hücrededir; değiştirildiğinde tüm BOM güncellenir.</t>
  </si>
  <si>
    <t>Fiyat listesi yaşları: ABB Kasım 2025 (✅ 9 ay), CHINT 13.06.2026 (✅), Kaztek 15.07.2026 (✅), EKT 19.06.2025 (⚠ ~14 ay — UYARILI, fiyat teyidi önerilir).</t>
  </si>
  <si>
    <t>▌ KISA DEVRE / CİHAZ SEÇİMİ</t>
  </si>
  <si>
    <t>⚠ ŞEMA-ÜRÜN UYUŞMAZLIĞI: Şemalarda ЩАВР panolarında 15 kA, SUB 19 AFL LV DB'de 20 kA bara kısa devre dayanımı isteniyor. ABB Türkiye fiyat listesinde S200P (25 kA) serisi YOKTUR; yalnızca S200 (6 kA) ve S200M (10 kA) vardır. Çözüm: 100A ve üzeri tüm kalemlerde MCCB (Tmax XT1N/XT3N/XT5N, Icu 36 kA) kullanıldı; 63A ve altındaki modüler otomatlarda S200M (10 kA) + üst kademe MCCB ile KASKAD (back-up) koruma öngörüldü. Kaskad kombinasyonları ABB koordinasyon tablolarından teyit EDİLMELİDİR (IEC 60364-4-43 §434.5.1).</t>
  </si>
  <si>
    <t>▌ ŞEMA NOTLARI</t>
  </si>
  <si>
    <t>De-icing ЩАВР QF3 = 160A iken beslediği ЩУ AFL panosunun girişi 80A MCCB ve besleme kablosu 4C16 (≈76A taşıma). 160A ile 16 mm² kablo korunmaz — kablo kesiti 4C50 civarına çıkarılmalı veya QF3 80A'e düşürülmelidir. Şema esas alınarak 160A yazıldı, fark burada kayıt altındadır.</t>
  </si>
  <si>
    <t>▌ KAPSAM DIŞI — MAST İÇİ SPLITTER PANOLAR (fiyatlandırılmadı)</t>
  </si>
  <si>
    <t>Genel Not 5 ve Not 7 gereği mast içi SPLITTER PANEL'ler mast tedarikçisinin kapsamındadır. Şemadan sayılan adetler aşağıdadır; AFL armatür adedi kesinleştiğinde ayrı BOM üretilir:</t>
  </si>
  <si>
    <t xml:space="preserve">   De-icing (8 mast): 8 × otomat 3P 40A (giriş) + 34 × otomat 1P 10A. Mast başına LED: 4-3-4-4-3-2-3-3, her mastta ayrıca 1 × OBL çıkışı.</t>
  </si>
  <si>
    <t xml:space="preserve">   Cargo (8 mast): 8 × otomat 3P 40A (giriş) + 47 × otomat 1P 10A. Mast başına LED: 5-6-5-5-4-5-5-4, her mastta ayrıca 1 × OBL çıkışı.</t>
  </si>
  <si>
    <t xml:space="preserve">   VIP mast tepesi SPLITTER BOX (HRC sigortalar F1…F7 + F11/F12) — mast donanımı, pano kapsamı dışı.</t>
  </si>
  <si>
    <t>VIP AFL INTERNAL DB 10 адет (компл.) olarak alınmıştır; pano içi malzeme TEK pano içindir, komplekt adediyle çarpılmamıştır (СВОД sayfasında çarpılır).</t>
  </si>
  <si>
    <t>Fotosel (PHOTOCELL / PH1) hiçbir GEÇERLİ fiyat listesinde yoktur; toplam 12 adet (ЩУ AFL De-icing 1 + ЩУ AFL Cargo 1 + AFL INTERNAL DB 10) KONTROL bloğundadır. Değerlendirilen seçenekler: (a) EKF FR-DIN-1-25 → liste Şub 2022, YASAK, sadece artikül referansı; (b) Klemsan MEASTRO → liste Kas 2022, YASAK; (c) Legrand 4 126 54 astronomik saat (12.700 TL) → fotoseli tümüyle ikame edebilir ANCAK Legrand katsayısı 0,50 TEYİT EDİLMEMİŞTİR (kural gereği teklifte kullanılamaz). Tedarikçi fiyatı geldiğinde bu 12 satır fiyatlandırılır; tahmini etki toplamın %1'inin altındadır.</t>
  </si>
  <si>
    <t>De-icing ЩУ AFL bara 160A, Cargo ЩУ AFL bara 80A olarak şemada verilmiştir; her ikisinde de giriş 80A MCCB'dir. Cu bara 3х20 (≈200A) her iki pano için yeterlidir.</t>
  </si>
  <si>
    <t>▌ İMALAT</t>
  </si>
  <si>
    <t>İmalat bara işçiliği (kesim, delme, bükme, kalaylama) LOOBAR normuna DAHİL DEĞİLDİR. ЩАВР panolarında Cu bara için ayrıca 45 dk/m hesaplanmalıdır.</t>
  </si>
  <si>
    <t>Tüm panolarda %20 yedek modül kapasitesi kontrolü СВОД sayfasındadır.</t>
  </si>
  <si>
    <t>[SUB 19 AFL LV DB (VIP) / QF1] Şemada «MCB 100A / 20 kA». ABB S200 serisi 100A'de yalnızca 6 kA verir; 20 kA şartı için MCCB XT1N (36 kA) seçildi.</t>
  </si>
  <si>
    <t>[ЩА AFL INTERNAL DB (в мачте, VIP) / BL1] KONTROL: Фотореле PH1 (сумеречный выключатель), 230В AC — adet 1 шт. Fotosel geçerli fiyat listesinde yok — marka/model ve fiyat teyit edilmeli.</t>
  </si>
  <si>
    <t>[ЩА AFL INTERNAL DB (в мачте, VIP) / QF1] Şemada 2,5A tip B. ABB TR listesinde B-eğrisi en küçük 6A — S201-B6 seçildi. Daha küçük değer gerekiyorsa özel sipariş (S201-B2/B3) teyit edilmeli.</t>
  </si>
  <si>
    <t>[ЩА AFL INTERNAL DB (в мачте, VIP) / QF3] Şemada 2,5A tip C — ABB listesinde 2,5A yok, en yakın üst değer S201-C3 seçildi.</t>
  </si>
  <si>
    <t>[ЩАВР Cargo (AVR POWER PANEL) / FV1] KONTROL: Ограничитель перенапряжения OVR T1-T2 3N 100-255 P TS (класс I+II) — adet 1 шт. Şemada AVR panosunda parafudr GÖSTERİLMEMİŞ — Тип 1+2 ОПН önerilir, onay bekliyor.</t>
  </si>
  <si>
    <t>[ЩАВР Cargo (AVR POWER PANEL) / QA1] ATS 4x250A — seri bağlı ana giriş cihazı, girişteki 250A TMŞ ile aynı kademede.</t>
  </si>
  <si>
    <t>[ЩАВР De-icing (AVR POWER PANEL) / FV1] KONTROL: Ограничитель перенапряжения OVR T1-T2 3N 100-255 P TS (класс I+II) — adet 1 шт. Şemada AVR panosunda parafudr GÖSTERİLMEMİŞ. Trafo çıkışına yakın 400A giriş panosunda Тип 1+2 ОПН önerilir. Onaylanırsa KONTROL bloğundan çıkarılır.</t>
  </si>
  <si>
    <t>[ЩАВР De-icing (AVR POWER PANEL) / PA1] KONTROL: Счётчик электроэнергии 3-фазный (тип по ТУ АО «Алматы Энергосбыт») — adet 1 шт. Şemada ölçüm gösterilmemiş. Ticari/teknik sayaç gerekliliği idare ile teyit edilmeli.</t>
  </si>
  <si>
    <t>[ЩАВР De-icing (AVR POWER PANEL) / QA1] ATS 4x400A. Rubilnik kademe kuralı: girişteki 400A TMŞ ile aynı kademededir (seri bağlı ana giriş cihazı olduğu için bir üst kademe aranmaz).</t>
  </si>
  <si>
    <t>[ЩАВР De-icing (AVR POWER PANEL) / QF3] ⚠ QF3=160A, ancak besleyeceği ЩУ AFL panosunun girişi 80A MCCB ve kablo 4C16 (≈76A). 160A koruma bu kabloyu korumaz. Kablo kesiti veya QF3 ayarı teyit edilmeli.</t>
  </si>
  <si>
    <t>[ЩАВР De-icing (AVR POWER PANEL) / TA1] KONTROL: Трансформатор тока 400/5 (3 шт на счётчик) — adet 3 шт. Sayaç onaylanırsa 3 adet akım trafosu eklenir.</t>
  </si>
  <si>
    <t>[ЩО PB-V1 (VIP) / QF1] Şemada 15 kA istenmiş; ABB TR listesinde S200P (25 kA) yok. S203M (10 kA) + üst kademe XT1N 100A ile kaskad (back-up) koruma uygulanır — ABB kaskad tablosundan teyit edilmeli.</t>
  </si>
  <si>
    <t>[ЩО PB-V2 (VIP) / QF1] Şemada 15 kA istenmiş; ABB TR listesinde S200P (25 kA) yok. S203M (10 kA) + üst kademe XT1N 100A ile kaskad (back-up) koruma uygulanır — ABB kaskad tablosundan teyit edilmeli.</t>
  </si>
  <si>
    <t>[ЩО PB-V3 (VIP) / QF1] Şemada 15 kA istenmiş; ABB TR listesinde S200P (25 kA) yok. S203M (10 kA) + üst kademe XT1N 100A ile kaskad (back-up) koruma uygulanır — ABB kaskad tablosundan teyit edilmeli.</t>
  </si>
  <si>
    <t>[ЩУ AFL Cargo (AFL MAST CONTROL PANEL) / BL1] KONTROL: Фотореле (сумеречный выключатель) с выносным датчиком, 230В AC — adet 1 шт. Fotosel geçerli hiçbir fiyat listesinde yok (EKF ve Klemsan listeleri YASAK). Marka/model teyit edilip fiyat eklenmelidir.</t>
  </si>
  <si>
    <t>[ЩУ AFL De-icing (AFL MAST CONTROL PANEL) / BL1] KONTROL: Фотореле (сумеречный выключатель) с выносным датчиком, 230В AC — adet 1 шт. Fotosel geçerli hiçbir fiyat listesinde yok (EKF ve Klemsan listeleri YASAK). Marka/model teyit edilip fiyat eklenmelidir.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</si>
</sst>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##"/>
    <numFmt numFmtId="165" formatCode="#,##0.0"/>
    <numFmt numFmtId="166" formatCode="#,##0.0000"/>
    <numFmt numFmtId="167" formatCode="0.0000"/>
  </numFmts>
  <fonts count="7" x14ac:knownFonts="1">
    <font>
      <sz val="11"/>
      <color theme="1"/>
      <name val="Calibri"/>
      <family val="2"/>
      <charset val="1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9"/>
      <name val="Arial"/>
      <family val="2"/>
      <charset val="204"/>
    </font>
    <font>
      <b/>
      <sz val="10"/>
      <color rgb="FF0000CC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EDEDED"/>
      </patternFill>
    </fill>
    <fill>
      <patternFill patternType="solid">
        <fgColor rgb="FFEDEDED"/>
        <bgColor rgb="FFD9D9D9"/>
      </patternFill>
    </fill>
    <fill>
      <patternFill patternType="solid">
        <fgColor rgb="FFFFFF99"/>
        <bgColor rgb="FFFFFFCC"/>
      </patternFill>
    </fill>
    <fill>
      <patternFill patternType="solid">
        <fgColor rgb="FFFFC7CE"/>
        <bgColor rgb="FFFFD9A0"/>
      </patternFill>
    </fill>
    <fill>
      <patternFill patternType="solid">
        <fgColor rgb="FFC6EFCE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4" fontId="2" fillId="0" borderId="1" xfId="0" applyNumberFormat="1" applyFont="1" applyBorder="1"/>
    <xf numFmtId="3" fontId="2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3" fontId="1" fillId="3" borderId="1" xfId="0" applyNumberFormat="1" applyFont="1" applyFill="1" applyBorder="1"/>
    <xf numFmtId="4" fontId="2" fillId="3" borderId="1" xfId="0" applyNumberFormat="1" applyFont="1" applyFill="1" applyBorder="1"/>
    <xf numFmtId="0" fontId="2" fillId="5" borderId="1" xfId="0" applyFont="1" applyFill="1" applyBorder="1"/>
    <xf numFmtId="164" fontId="2" fillId="5" borderId="1" xfId="0" applyNumberFormat="1" applyFont="1" applyFill="1" applyBorder="1"/>
    <xf numFmtId="0" fontId="3" fillId="0" borderId="1" xfId="0" applyFont="1" applyBorder="1"/>
    <xf numFmtId="3" fontId="3" fillId="6" borderId="1" xfId="0" applyNumberFormat="1" applyFont="1" applyFill="1" applyBorder="1"/>
    <xf numFmtId="0" fontId="4" fillId="0" borderId="0" xfId="0" applyFont="1"/>
    <xf numFmtId="0" fontId="5" fillId="0" borderId="0" xfId="0" applyFont="1"/>
    <xf numFmtId="0" fontId="1" fillId="0" borderId="1" xfId="0" applyFont="1" applyBorder="1"/>
    <xf numFmtId="9" fontId="2" fillId="0" borderId="1" xfId="0" applyNumberFormat="1" applyFont="1" applyBorder="1"/>
    <xf numFmtId="3" fontId="3" fillId="3" borderId="1" xfId="0" applyNumberFormat="1" applyFont="1" applyFill="1" applyBorder="1"/>
    <xf numFmtId="0" fontId="2" fillId="0" borderId="0" xfId="0" applyFont="1"/>
    <xf numFmtId="0" fontId="1" fillId="0" borderId="0" xfId="0" applyFont="1"/>
    <xf numFmtId="0" fontId="1" fillId="2" borderId="1" xfId="0" applyFont="1" applyFill="1" applyBorder="1"/>
    <xf numFmtId="166" fontId="6" fillId="4" borderId="0" xfId="0" applyNumberFormat="1" applyFont="1" applyFill="1"/>
    <xf numFmtId="167" fontId="6" fillId="4" borderId="0" xfId="0" applyNumberFormat="1" applyFont="1" applyFill="1"/>
    <xf numFmtId="3" fontId="6" fillId="4" borderId="0" xfId="0" applyNumberFormat="1" applyFont="1" applyFill="1"/>
    <xf numFmtId="2" fontId="6" fillId="4" borderId="0" xfId="0" applyNumberFormat="1" applyFont="1" applyFill="1"/>
    <xf numFmtId="9" fontId="6" fillId="4" borderId="0" xfId="0" applyNumberFormat="1" applyFont="1" applyFill="1"/>
    <xf numFmtId="164" fontId="6" fillId="4" borderId="0" xfId="0" applyNumberFormat="1" applyFont="1" applyFill="1"/>
    <xf numFmtId="164" fontId="0" fillId="0" borderId="1" xfId="0" applyNumberFormat="1" applyBorder="1"/>
    <xf numFmtId="165" fontId="0" fillId="0" borderId="1" xfId="0" applyNumberFormat="1" applyBorder="1"/>
    <xf numFmtId="3" fontId="1" fillId="0" borderId="0" xfId="0" applyNumberFormat="1" applyFont="1"/>
    <xf numFmtId="3" fontId="1" fillId="6" borderId="0" xfId="0" applyNumberFormat="1" applyFont="1" applyFill="1"/>
    <xf numFmtId="0" fontId="6" fillId="4" borderId="0" xfId="0" applyFont="1" applyFill="1"/>
    <xf numFmtId="1" fontId="0" fillId="0" borderId="0" xfId="0" applyNumberFormat="1"/>
  </cellXfs>
  <cellStyles count="1">
    <cellStyle name="Normal" xfId="0" builtinId="0"/>
  </cellStyles>
  <dxfs count="2">
    <dxf>
      <fill>
        <patternFill>
          <bgColor rgb="FFFFD9A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EDEDED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C7CE"/>
      <rgbColor rgb="FFCC99FF"/>
      <rgbColor rgb="FFFFD9A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"/>
  <sheetViews>
    <sheetView tabSelected="1" zoomScaleNormal="100" workbookViewId="0">
      <pane ySplit="1" topLeftCell="A2" activePane="bottomLeft" state="frozen"/>
      <selection pane="bottomLeft" activeCell="E16" sqref="E16"/>
    </sheetView>
  </sheetViews>
  <sheetFormatPr defaultColWidth="8.7109375" defaultRowHeight="15" x14ac:dyDescent="0.25"/>
  <cols>
    <col min="1" max="1" width="6" customWidth="1"/>
    <col min="2" max="2" width="26" customWidth="1"/>
    <col min="3" max="3" width="20" customWidth="1"/>
    <col min="4" max="4" width="18" customWidth="1"/>
    <col min="5" max="5" width="72" customWidth="1"/>
    <col min="6" max="8" width="15" customWidth="1"/>
    <col min="9" max="9" width="9" customWidth="1"/>
    <col min="10" max="10" width="10" customWidth="1"/>
    <col min="11" max="11" width="12" customWidth="1"/>
    <col min="12" max="12" width="14" customWidth="1"/>
    <col min="13" max="13" width="18" customWidth="1"/>
    <col min="14" max="14" width="13" customWidth="1"/>
    <col min="15" max="15" width="11" customWidth="1"/>
    <col min="16" max="16" width="14" customWidth="1"/>
    <col min="17" max="17" width="8" customWidth="1"/>
  </cols>
  <sheetData>
    <row r="1" spans="1:17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1</v>
      </c>
      <c r="B2" s="3" t="str">
        <f>E2</f>
        <v>ЩАВР De-icing (AVR POWER PANEL)</v>
      </c>
      <c r="C2" s="2"/>
      <c r="D2" s="2"/>
      <c r="E2" s="4" t="s">
        <v>17</v>
      </c>
      <c r="F2" s="2"/>
      <c r="G2" s="2"/>
      <c r="H2" s="2"/>
      <c r="I2" s="4">
        <v>1</v>
      </c>
      <c r="J2" s="4" t="s">
        <v>18</v>
      </c>
      <c r="K2" s="2"/>
      <c r="L2" s="2"/>
      <c r="M2" s="2"/>
      <c r="N2" s="2"/>
      <c r="O2" s="2"/>
      <c r="P2" s="2"/>
      <c r="Q2" s="2"/>
    </row>
    <row r="3" spans="1:17" x14ac:dyDescent="0.25">
      <c r="A3" s="5">
        <v>2</v>
      </c>
      <c r="B3" s="5"/>
      <c r="C3" s="5" t="s">
        <v>19</v>
      </c>
      <c r="D3" s="5" t="s">
        <v>20</v>
      </c>
      <c r="E3" s="5" t="s">
        <v>21</v>
      </c>
      <c r="F3" s="6">
        <f>IFERROR(P3*INDEX(Kurallar!$B$21:$B$28,MATCH(K3,Kurallar!$A$21:$A$28,0)),"")</f>
        <v>148675</v>
      </c>
      <c r="G3" s="7">
        <f>IFERROR(F3*INDEX(Kurallar!$C$21:$C$28,MATCH(K3,Kurallar!$A$21:$A$28,0))*INDEX(Kurallar!$B$15:$B$17,MATCH(Q3,Kurallar!$A$15:$A$17,0)),"")</f>
        <v>148675</v>
      </c>
      <c r="H3" s="7">
        <f t="shared" ref="H3:H15" si="0">IF(OR(G3="",I3=""),"",G3*I3)</f>
        <v>148675</v>
      </c>
      <c r="I3" s="8">
        <v>1</v>
      </c>
      <c r="J3" s="5" t="s">
        <v>22</v>
      </c>
      <c r="K3" s="5" t="s">
        <v>23</v>
      </c>
      <c r="L3" s="7">
        <f t="shared" ref="L3:L15" si="1">IF(H3="","",H3)</f>
        <v>148675</v>
      </c>
      <c r="M3" s="5" t="s">
        <v>24</v>
      </c>
      <c r="N3" s="6">
        <f>IF(H3="","",H3/Kurallar!$B$16)</f>
        <v>277.09439940359709</v>
      </c>
      <c r="O3" s="5"/>
      <c r="P3" s="6">
        <v>148675</v>
      </c>
      <c r="Q3" s="5" t="s">
        <v>25</v>
      </c>
    </row>
    <row r="4" spans="1:17" x14ac:dyDescent="0.25">
      <c r="A4" s="5">
        <v>3</v>
      </c>
      <c r="B4" s="5"/>
      <c r="C4" s="5" t="s">
        <v>26</v>
      </c>
      <c r="D4" s="5" t="s">
        <v>27</v>
      </c>
      <c r="E4" s="5" t="s">
        <v>28</v>
      </c>
      <c r="F4" s="6">
        <f>IFERROR(P4*INDEX(Kurallar!$B$21:$B$28,MATCH(K4,Kurallar!$A$21:$A$28,0)),"")</f>
        <v>2443.5</v>
      </c>
      <c r="G4" s="7">
        <f>IFERROR(F4*INDEX(Kurallar!$C$21:$C$28,MATCH(K4,Kurallar!$A$21:$A$28,0))*INDEX(Kurallar!$B$15:$B$17,MATCH(Q4,Kurallar!$A$15:$A$17,0)),"")</f>
        <v>393317.97749999992</v>
      </c>
      <c r="H4" s="7">
        <f t="shared" si="0"/>
        <v>786635.95499999984</v>
      </c>
      <c r="I4" s="8">
        <v>2</v>
      </c>
      <c r="J4" s="5" t="s">
        <v>22</v>
      </c>
      <c r="K4" s="5" t="s">
        <v>29</v>
      </c>
      <c r="L4" s="7">
        <f t="shared" si="1"/>
        <v>786635.95499999984</v>
      </c>
      <c r="M4" s="5" t="s">
        <v>30</v>
      </c>
      <c r="N4" s="6">
        <f>IF(H4="","",H4/Kurallar!$B$16)</f>
        <v>1466.1</v>
      </c>
      <c r="O4" s="5"/>
      <c r="P4" s="6">
        <v>1810</v>
      </c>
      <c r="Q4" s="5" t="s">
        <v>31</v>
      </c>
    </row>
    <row r="5" spans="1:17" x14ac:dyDescent="0.25">
      <c r="A5" s="5">
        <v>4</v>
      </c>
      <c r="B5" s="5"/>
      <c r="C5" s="5" t="s">
        <v>32</v>
      </c>
      <c r="D5" s="5" t="s">
        <v>33</v>
      </c>
      <c r="E5" s="5" t="s">
        <v>34</v>
      </c>
      <c r="F5" s="6">
        <f>IFERROR(P5*INDEX(Kurallar!$B$21:$B$28,MATCH(K5,Kurallar!$A$21:$A$28,0)),"")</f>
        <v>5325.75</v>
      </c>
      <c r="G5" s="7">
        <f>IFERROR(F5*INDEX(Kurallar!$C$21:$C$28,MATCH(K5,Kurallar!$A$21:$A$28,0))*INDEX(Kurallar!$B$15:$B$17,MATCH(Q5,Kurallar!$A$15:$A$17,0)),"")</f>
        <v>857259.34874999989</v>
      </c>
      <c r="H5" s="7">
        <f t="shared" si="0"/>
        <v>857259.34874999989</v>
      </c>
      <c r="I5" s="8">
        <v>1</v>
      </c>
      <c r="J5" s="5" t="s">
        <v>22</v>
      </c>
      <c r="K5" s="5" t="s">
        <v>29</v>
      </c>
      <c r="L5" s="7">
        <f t="shared" si="1"/>
        <v>857259.34874999989</v>
      </c>
      <c r="M5" s="5" t="s">
        <v>30</v>
      </c>
      <c r="N5" s="6">
        <f>IF(H5="","",H5/Kurallar!$B$16)</f>
        <v>1597.7249999999999</v>
      </c>
      <c r="O5" s="5"/>
      <c r="P5" s="6">
        <v>3945</v>
      </c>
      <c r="Q5" s="5" t="s">
        <v>31</v>
      </c>
    </row>
    <row r="6" spans="1:17" x14ac:dyDescent="0.25">
      <c r="A6" s="5">
        <v>5</v>
      </c>
      <c r="B6" s="5"/>
      <c r="C6" s="5" t="s">
        <v>26</v>
      </c>
      <c r="D6" s="5" t="s">
        <v>35</v>
      </c>
      <c r="E6" s="5" t="s">
        <v>36</v>
      </c>
      <c r="F6" s="6">
        <f>IFERROR(P6*INDEX(Kurallar!$B$21:$B$28,MATCH(K6,Kurallar!$A$21:$A$28,0)),"")</f>
        <v>429.16500000000002</v>
      </c>
      <c r="G6" s="7">
        <f>IFERROR(F6*INDEX(Kurallar!$C$21:$C$28,MATCH(K6,Kurallar!$A$21:$A$28,0))*INDEX(Kurallar!$B$15:$B$17,MATCH(Q6,Kurallar!$A$15:$A$17,0)),"")</f>
        <v>69080.544225000005</v>
      </c>
      <c r="H6" s="7">
        <f t="shared" si="0"/>
        <v>69080.544225000005</v>
      </c>
      <c r="I6" s="8">
        <v>1</v>
      </c>
      <c r="J6" s="5" t="s">
        <v>22</v>
      </c>
      <c r="K6" s="5" t="s">
        <v>29</v>
      </c>
      <c r="L6" s="7">
        <f t="shared" si="1"/>
        <v>69080.544225000005</v>
      </c>
      <c r="M6" s="5" t="s">
        <v>30</v>
      </c>
      <c r="N6" s="6">
        <f>IF(H6="","",H6/Kurallar!$B$16)</f>
        <v>128.74950000000001</v>
      </c>
      <c r="O6" s="5"/>
      <c r="P6" s="6">
        <v>317.89999999999998</v>
      </c>
      <c r="Q6" s="5" t="s">
        <v>31</v>
      </c>
    </row>
    <row r="7" spans="1:17" x14ac:dyDescent="0.25">
      <c r="A7" s="5">
        <v>6</v>
      </c>
      <c r="B7" s="5"/>
      <c r="C7" s="5" t="s">
        <v>37</v>
      </c>
      <c r="D7" s="5" t="s">
        <v>38</v>
      </c>
      <c r="E7" s="5" t="s">
        <v>39</v>
      </c>
      <c r="F7" s="6">
        <f>IFERROR(P7*INDEX(Kurallar!$B$21:$B$28,MATCH(K7,Kurallar!$A$21:$A$28,0)),"")</f>
        <v>144.58500000000001</v>
      </c>
      <c r="G7" s="7">
        <f>IFERROR(F7*INDEX(Kurallar!$C$21:$C$28,MATCH(K7,Kurallar!$A$21:$A$28,0))*INDEX(Kurallar!$B$15:$B$17,MATCH(Q7,Kurallar!$A$15:$A$17,0)),"")</f>
        <v>23273.124524999999</v>
      </c>
      <c r="H7" s="7">
        <f t="shared" si="0"/>
        <v>23273.124524999999</v>
      </c>
      <c r="I7" s="8">
        <v>1</v>
      </c>
      <c r="J7" s="5" t="s">
        <v>22</v>
      </c>
      <c r="K7" s="5" t="s">
        <v>29</v>
      </c>
      <c r="L7" s="7">
        <f t="shared" si="1"/>
        <v>23273.124524999999</v>
      </c>
      <c r="M7" s="5" t="s">
        <v>30</v>
      </c>
      <c r="N7" s="6">
        <f>IF(H7="","",H7/Kurallar!$B$16)</f>
        <v>43.375500000000002</v>
      </c>
      <c r="O7" s="5"/>
      <c r="P7" s="6">
        <v>107.1</v>
      </c>
      <c r="Q7" s="5" t="s">
        <v>31</v>
      </c>
    </row>
    <row r="8" spans="1:17" x14ac:dyDescent="0.25">
      <c r="A8" s="5">
        <v>7</v>
      </c>
      <c r="B8" s="5"/>
      <c r="C8" s="5" t="s">
        <v>26</v>
      </c>
      <c r="D8" s="5" t="s">
        <v>40</v>
      </c>
      <c r="E8" s="5" t="s">
        <v>41</v>
      </c>
      <c r="F8" s="6">
        <f>IFERROR(P8*INDEX(Kurallar!$B$21:$B$28,MATCH(K8,Kurallar!$A$21:$A$28,0)),"")</f>
        <v>332.23500000000001</v>
      </c>
      <c r="G8" s="7">
        <f>IFERROR(F8*INDEX(Kurallar!$C$21:$C$28,MATCH(K8,Kurallar!$A$21:$A$28,0))*INDEX(Kurallar!$B$15:$B$17,MATCH(Q8,Kurallar!$A$15:$A$17,0)),"")</f>
        <v>53478.206774999999</v>
      </c>
      <c r="H8" s="7">
        <f t="shared" si="0"/>
        <v>106956.41355</v>
      </c>
      <c r="I8" s="8">
        <v>2</v>
      </c>
      <c r="J8" s="5" t="s">
        <v>22</v>
      </c>
      <c r="K8" s="5" t="s">
        <v>29</v>
      </c>
      <c r="L8" s="7">
        <f t="shared" si="1"/>
        <v>106956.41355</v>
      </c>
      <c r="M8" s="5" t="s">
        <v>30</v>
      </c>
      <c r="N8" s="6">
        <f>IF(H8="","",H8/Kurallar!$B$16)</f>
        <v>199.34100000000001</v>
      </c>
      <c r="O8" s="5"/>
      <c r="P8" s="6">
        <v>246.1</v>
      </c>
      <c r="Q8" s="5" t="s">
        <v>31</v>
      </c>
    </row>
    <row r="9" spans="1:17" x14ac:dyDescent="0.25">
      <c r="A9" s="5">
        <v>8</v>
      </c>
      <c r="B9" s="5"/>
      <c r="C9" s="5" t="s">
        <v>37</v>
      </c>
      <c r="D9" s="5" t="s">
        <v>42</v>
      </c>
      <c r="E9" s="5" t="s">
        <v>43</v>
      </c>
      <c r="F9" s="6">
        <f>IFERROR(P9*INDEX(Kurallar!$B$21:$B$28,MATCH(K9,Kurallar!$A$21:$A$28,0)),"")</f>
        <v>85.077000000000012</v>
      </c>
      <c r="G9" s="7">
        <f>IFERROR(F9*INDEX(Kurallar!$C$21:$C$28,MATCH(K9,Kurallar!$A$21:$A$28,0))*INDEX(Kurallar!$B$15:$B$17,MATCH(Q9,Kurallar!$A$15:$A$17,0)),"")</f>
        <v>13694.419305000001</v>
      </c>
      <c r="H9" s="7">
        <f t="shared" si="0"/>
        <v>13694.419305000001</v>
      </c>
      <c r="I9" s="8">
        <v>1</v>
      </c>
      <c r="J9" s="5" t="s">
        <v>22</v>
      </c>
      <c r="K9" s="5" t="s">
        <v>29</v>
      </c>
      <c r="L9" s="7">
        <f t="shared" si="1"/>
        <v>13694.419305000001</v>
      </c>
      <c r="M9" s="5" t="s">
        <v>30</v>
      </c>
      <c r="N9" s="6">
        <f>IF(H9="","",H9/Kurallar!$B$16)</f>
        <v>25.523100000000003</v>
      </c>
      <c r="O9" s="5"/>
      <c r="P9" s="6">
        <v>63.02</v>
      </c>
      <c r="Q9" s="5" t="s">
        <v>31</v>
      </c>
    </row>
    <row r="10" spans="1:17" x14ac:dyDescent="0.25">
      <c r="A10" s="5">
        <v>9</v>
      </c>
      <c r="B10" s="5"/>
      <c r="C10" s="5" t="s">
        <v>37</v>
      </c>
      <c r="D10" s="5" t="s">
        <v>44</v>
      </c>
      <c r="E10" s="5" t="s">
        <v>45</v>
      </c>
      <c r="F10" s="6">
        <f>IFERROR(P10*INDEX(Kurallar!$B$21:$B$28,MATCH(K10,Kurallar!$A$21:$A$28,0)),"")</f>
        <v>110.5515</v>
      </c>
      <c r="G10" s="7">
        <f>IFERROR(F10*INDEX(Kurallar!$C$21:$C$28,MATCH(K10,Kurallar!$A$21:$A$28,0))*INDEX(Kurallar!$B$15:$B$17,MATCH(Q10,Kurallar!$A$15:$A$17,0)),"")</f>
        <v>17794.9221975</v>
      </c>
      <c r="H10" s="7">
        <f t="shared" si="0"/>
        <v>17794.9221975</v>
      </c>
      <c r="I10" s="8">
        <v>1</v>
      </c>
      <c r="J10" s="5" t="s">
        <v>22</v>
      </c>
      <c r="K10" s="5" t="s">
        <v>29</v>
      </c>
      <c r="L10" s="7">
        <f t="shared" si="1"/>
        <v>17794.9221975</v>
      </c>
      <c r="M10" s="5" t="s">
        <v>30</v>
      </c>
      <c r="N10" s="6">
        <f>IF(H10="","",H10/Kurallar!$B$16)</f>
        <v>33.16545</v>
      </c>
      <c r="O10" s="5"/>
      <c r="P10" s="6">
        <v>81.89</v>
      </c>
      <c r="Q10" s="5" t="s">
        <v>31</v>
      </c>
    </row>
    <row r="11" spans="1:17" x14ac:dyDescent="0.25">
      <c r="A11" s="5">
        <v>10</v>
      </c>
      <c r="B11" s="5"/>
      <c r="C11" s="5" t="s">
        <v>37</v>
      </c>
      <c r="D11" s="5" t="s">
        <v>46</v>
      </c>
      <c r="E11" s="5" t="s">
        <v>47</v>
      </c>
      <c r="F11" s="6">
        <f>IFERROR(P11*INDEX(Kurallar!$B$21:$B$28,MATCH(K11,Kurallar!$A$21:$A$28,0)),"")</f>
        <v>18.886500000000002</v>
      </c>
      <c r="G11" s="7">
        <f>IFERROR(F11*INDEX(Kurallar!$C$21:$C$28,MATCH(K11,Kurallar!$A$21:$A$28,0))*INDEX(Kurallar!$B$15:$B$17,MATCH(Q11,Kurallar!$A$15:$A$17,0)),"")</f>
        <v>3040.0654724999999</v>
      </c>
      <c r="H11" s="7">
        <f t="shared" si="0"/>
        <v>9120.1964174999994</v>
      </c>
      <c r="I11" s="8">
        <v>3</v>
      </c>
      <c r="J11" s="5" t="s">
        <v>22</v>
      </c>
      <c r="K11" s="5" t="s">
        <v>29</v>
      </c>
      <c r="L11" s="7">
        <f t="shared" si="1"/>
        <v>9120.1964174999994</v>
      </c>
      <c r="M11" s="5" t="s">
        <v>30</v>
      </c>
      <c r="N11" s="6">
        <f>IF(H11="","",H11/Kurallar!$B$16)</f>
        <v>16.99785</v>
      </c>
      <c r="O11" s="5"/>
      <c r="P11" s="6">
        <v>13.99</v>
      </c>
      <c r="Q11" s="5" t="s">
        <v>31</v>
      </c>
    </row>
    <row r="12" spans="1:17" x14ac:dyDescent="0.25">
      <c r="A12" s="5">
        <v>11</v>
      </c>
      <c r="B12" s="5"/>
      <c r="C12" s="5" t="s">
        <v>48</v>
      </c>
      <c r="D12" s="5" t="s">
        <v>49</v>
      </c>
      <c r="E12" s="5" t="s">
        <v>50</v>
      </c>
      <c r="F12" s="6">
        <f>IFERROR(P12*INDEX(Kurallar!$B$21:$B$28,MATCH(K12,Kurallar!$A$21:$A$28,0)),"")</f>
        <v>17515</v>
      </c>
      <c r="G12" s="7">
        <f>IFERROR(F12*INDEX(Kurallar!$C$21:$C$28,MATCH(K12,Kurallar!$A$21:$A$28,0))*INDEX(Kurallar!$B$15:$B$17,MATCH(Q12,Kurallar!$A$15:$A$17,0)),"")</f>
        <v>17515</v>
      </c>
      <c r="H12" s="7">
        <f t="shared" si="0"/>
        <v>35030</v>
      </c>
      <c r="I12" s="8">
        <v>2</v>
      </c>
      <c r="J12" s="5" t="s">
        <v>22</v>
      </c>
      <c r="K12" s="5" t="s">
        <v>51</v>
      </c>
      <c r="L12" s="7">
        <f t="shared" si="1"/>
        <v>35030</v>
      </c>
      <c r="M12" s="5" t="s">
        <v>52</v>
      </c>
      <c r="N12" s="6">
        <f>IF(H12="","",H12/Kurallar!$B$16)</f>
        <v>65.287484856956482</v>
      </c>
      <c r="O12" s="5"/>
      <c r="P12" s="6">
        <v>17515</v>
      </c>
      <c r="Q12" s="5" t="s">
        <v>25</v>
      </c>
    </row>
    <row r="13" spans="1:17" x14ac:dyDescent="0.25">
      <c r="A13" s="5">
        <v>12</v>
      </c>
      <c r="B13" s="5"/>
      <c r="C13" s="5" t="s">
        <v>53</v>
      </c>
      <c r="D13" s="5" t="s">
        <v>54</v>
      </c>
      <c r="E13" s="5" t="s">
        <v>55</v>
      </c>
      <c r="F13" s="6">
        <f>IFERROR(P13*INDEX(Kurallar!$B$21:$B$28,MATCH(K13,Kurallar!$A$21:$A$28,0)),"")</f>
        <v>151</v>
      </c>
      <c r="G13" s="7">
        <f>IFERROR(F13*INDEX(Kurallar!$C$21:$C$28,MATCH(K13,Kurallar!$A$21:$A$28,0))*INDEX(Kurallar!$B$15:$B$17,MATCH(Q13,Kurallar!$A$15:$A$17,0)),"")</f>
        <v>151</v>
      </c>
      <c r="H13" s="7">
        <f t="shared" si="0"/>
        <v>3624</v>
      </c>
      <c r="I13" s="8">
        <v>24</v>
      </c>
      <c r="J13" s="5" t="s">
        <v>22</v>
      </c>
      <c r="K13" s="5" t="s">
        <v>51</v>
      </c>
      <c r="L13" s="7">
        <f t="shared" si="1"/>
        <v>3624</v>
      </c>
      <c r="M13" s="5" t="s">
        <v>52</v>
      </c>
      <c r="N13" s="6">
        <f>IF(H13="","",H13/Kurallar!$B$16)</f>
        <v>6.7542633491752868</v>
      </c>
      <c r="O13" s="5"/>
      <c r="P13" s="6">
        <v>151</v>
      </c>
      <c r="Q13" s="5" t="s">
        <v>25</v>
      </c>
    </row>
    <row r="14" spans="1:17" x14ac:dyDescent="0.25">
      <c r="A14" s="5">
        <v>13</v>
      </c>
      <c r="B14" s="5"/>
      <c r="C14" s="5" t="s">
        <v>56</v>
      </c>
      <c r="D14" s="5" t="s">
        <v>57</v>
      </c>
      <c r="E14" s="5" t="s">
        <v>58</v>
      </c>
      <c r="F14" s="6">
        <f>IFERROR(P14*INDEX(Kurallar!$B$21:$B$28,MATCH(K14,Kurallar!$A$21:$A$28,0)),"")</f>
        <v>869</v>
      </c>
      <c r="G14" s="7">
        <f>IFERROR(F14*INDEX(Kurallar!$C$21:$C$28,MATCH(K14,Kurallar!$A$21:$A$28,0))*INDEX(Kurallar!$B$15:$B$17,MATCH(Q14,Kurallar!$A$15:$A$17,0)),"")</f>
        <v>521.4</v>
      </c>
      <c r="H14" s="7">
        <f t="shared" si="0"/>
        <v>4171.2</v>
      </c>
      <c r="I14" s="8">
        <v>8</v>
      </c>
      <c r="J14" s="5" t="s">
        <v>22</v>
      </c>
      <c r="K14" s="5" t="s">
        <v>59</v>
      </c>
      <c r="L14" s="7">
        <f t="shared" si="1"/>
        <v>4171.2</v>
      </c>
      <c r="M14" s="5" t="s">
        <v>60</v>
      </c>
      <c r="N14" s="6">
        <f>IF(H14="","",H14/Kurallar!$B$16)</f>
        <v>7.7741123846799001</v>
      </c>
      <c r="O14" s="5"/>
      <c r="P14" s="6">
        <v>869</v>
      </c>
      <c r="Q14" s="5" t="s">
        <v>25</v>
      </c>
    </row>
    <row r="15" spans="1:17" x14ac:dyDescent="0.25">
      <c r="A15" s="5">
        <v>14</v>
      </c>
      <c r="B15" s="5"/>
      <c r="C15" s="5" t="s">
        <v>56</v>
      </c>
      <c r="D15" s="5" t="s">
        <v>61</v>
      </c>
      <c r="E15" s="5" t="s">
        <v>62</v>
      </c>
      <c r="F15" s="6">
        <f>IFERROR(P15*INDEX(Kurallar!$B$21:$B$28,MATCH(K15,Kurallar!$A$21:$A$28,0)),"")</f>
        <v>1808</v>
      </c>
      <c r="G15" s="7">
        <f>IFERROR(F15*INDEX(Kurallar!$C$21:$C$28,MATCH(K15,Kurallar!$A$21:$A$28,0))*INDEX(Kurallar!$B$15:$B$17,MATCH(Q15,Kurallar!$A$15:$A$17,0)),"")</f>
        <v>1808</v>
      </c>
      <c r="H15" s="7">
        <f t="shared" si="0"/>
        <v>14464</v>
      </c>
      <c r="I15" s="8">
        <v>8</v>
      </c>
      <c r="J15" s="5" t="s">
        <v>22</v>
      </c>
      <c r="K15" s="5" t="s">
        <v>51</v>
      </c>
      <c r="L15" s="7">
        <f t="shared" si="1"/>
        <v>14464</v>
      </c>
      <c r="M15" s="5" t="s">
        <v>60</v>
      </c>
      <c r="N15" s="6">
        <f>IF(H15="","",H15/Kurallar!$B$16)</f>
        <v>26.957413102227193</v>
      </c>
      <c r="O15" s="5"/>
      <c r="P15" s="6">
        <v>1808</v>
      </c>
      <c r="Q15" s="5" t="s">
        <v>25</v>
      </c>
    </row>
    <row r="16" spans="1:17" x14ac:dyDescent="0.25">
      <c r="A16" s="5">
        <v>15</v>
      </c>
      <c r="B16" s="5"/>
      <c r="C16" s="5" t="s">
        <v>56</v>
      </c>
      <c r="D16" s="5"/>
      <c r="E16" s="5" t="s">
        <v>63</v>
      </c>
      <c r="F16" s="5"/>
      <c r="G16" s="7">
        <f>SUM(H3:H15)*Kurallar!$B$34</f>
        <v>62693.373719099996</v>
      </c>
      <c r="H16" s="7">
        <f>IF(G16="","",G16*I16)</f>
        <v>62693.373719099996</v>
      </c>
      <c r="I16" s="8">
        <v>1</v>
      </c>
      <c r="J16" s="5" t="s">
        <v>64</v>
      </c>
      <c r="K16" s="5" t="s">
        <v>65</v>
      </c>
      <c r="L16" s="7">
        <f>H16</f>
        <v>62693.373719099996</v>
      </c>
      <c r="M16" s="5" t="s">
        <v>60</v>
      </c>
      <c r="N16" s="5"/>
      <c r="O16" s="5"/>
      <c r="P16" s="5"/>
      <c r="Q16" s="5"/>
    </row>
    <row r="17" spans="1:17" x14ac:dyDescent="0.25">
      <c r="A17" s="5">
        <v>16</v>
      </c>
      <c r="B17" s="5"/>
      <c r="C17" s="5" t="s">
        <v>66</v>
      </c>
      <c r="D17" s="5"/>
      <c r="E17" s="5" t="s">
        <v>67</v>
      </c>
      <c r="F17" s="9">
        <f>I17/60</f>
        <v>23.574999999999999</v>
      </c>
      <c r="G17" s="7">
        <f>Kurallar!$B$32</f>
        <v>100</v>
      </c>
      <c r="H17" s="7">
        <f>IF(G17="","",G17*I17)</f>
        <v>141450</v>
      </c>
      <c r="I17" s="8">
        <f>Kurallar!$E$59</f>
        <v>1414.5</v>
      </c>
      <c r="J17" s="5" t="s">
        <v>68</v>
      </c>
      <c r="K17" s="5" t="s">
        <v>69</v>
      </c>
      <c r="L17" s="5"/>
      <c r="M17" s="5" t="s">
        <v>70</v>
      </c>
      <c r="N17" s="5"/>
      <c r="O17" s="5"/>
      <c r="P17" s="5"/>
      <c r="Q17" s="5"/>
    </row>
    <row r="18" spans="1:17" x14ac:dyDescent="0.25">
      <c r="A18" s="2"/>
      <c r="B18" s="4" t="s">
        <v>71</v>
      </c>
      <c r="C18" s="2"/>
      <c r="D18" s="2"/>
      <c r="E18" s="2"/>
      <c r="F18" s="2"/>
      <c r="G18" s="2"/>
      <c r="H18" s="10">
        <f>SUBTOTAL(9,H3:H17)</f>
        <v>2293922.4976891</v>
      </c>
      <c r="I18" s="4">
        <v>1</v>
      </c>
      <c r="J18" s="4" t="s">
        <v>64</v>
      </c>
      <c r="K18" s="2"/>
      <c r="L18" s="10">
        <f>SUBTOTAL(9,L3:L16)</f>
        <v>2152472.4976891</v>
      </c>
      <c r="M18" s="2"/>
      <c r="N18" s="11">
        <f>IF(H18="","",H18/Kurallar!$B$16)</f>
        <v>4275.3191644564349</v>
      </c>
      <c r="O18" s="2"/>
      <c r="P18" s="2"/>
      <c r="Q18" s="2"/>
    </row>
    <row r="19" spans="1:17" x14ac:dyDescent="0.25">
      <c r="A19" s="12">
        <v>17</v>
      </c>
      <c r="B19" s="12"/>
      <c r="C19" s="12" t="s">
        <v>72</v>
      </c>
      <c r="D19" s="12" t="s">
        <v>73</v>
      </c>
      <c r="E19" s="12" t="s">
        <v>74</v>
      </c>
      <c r="F19" s="12"/>
      <c r="G19" s="12"/>
      <c r="H19" s="12"/>
      <c r="I19" s="13">
        <v>1</v>
      </c>
      <c r="J19" s="12" t="s">
        <v>22</v>
      </c>
      <c r="K19" s="12" t="s">
        <v>29</v>
      </c>
      <c r="L19" s="12"/>
      <c r="M19" s="12" t="s">
        <v>30</v>
      </c>
      <c r="N19" s="12"/>
      <c r="O19" s="12"/>
      <c r="P19" s="12"/>
      <c r="Q19" s="12"/>
    </row>
    <row r="20" spans="1:17" x14ac:dyDescent="0.25">
      <c r="A20" s="12">
        <v>18</v>
      </c>
      <c r="B20" s="12"/>
      <c r="C20" s="12" t="s">
        <v>75</v>
      </c>
      <c r="D20" s="12"/>
      <c r="E20" s="12" t="s">
        <v>76</v>
      </c>
      <c r="F20" s="12"/>
      <c r="G20" s="12"/>
      <c r="H20" s="12"/>
      <c r="I20" s="13">
        <v>1</v>
      </c>
      <c r="J20" s="12" t="s">
        <v>22</v>
      </c>
      <c r="K20" s="12"/>
      <c r="L20" s="12"/>
      <c r="M20" s="12" t="s">
        <v>77</v>
      </c>
      <c r="N20" s="12"/>
      <c r="O20" s="12"/>
      <c r="P20" s="12"/>
      <c r="Q20" s="12"/>
    </row>
    <row r="21" spans="1:17" x14ac:dyDescent="0.25">
      <c r="A21" s="12">
        <v>19</v>
      </c>
      <c r="B21" s="12"/>
      <c r="C21" s="12" t="s">
        <v>78</v>
      </c>
      <c r="D21" s="12"/>
      <c r="E21" s="12" t="s">
        <v>79</v>
      </c>
      <c r="F21" s="12"/>
      <c r="G21" s="12"/>
      <c r="H21" s="12"/>
      <c r="I21" s="13">
        <v>3</v>
      </c>
      <c r="J21" s="12" t="s">
        <v>22</v>
      </c>
      <c r="K21" s="12"/>
      <c r="L21" s="12"/>
      <c r="M21" s="12" t="s">
        <v>77</v>
      </c>
      <c r="N21" s="12"/>
      <c r="O21" s="12"/>
      <c r="P21" s="12"/>
      <c r="Q21" s="12"/>
    </row>
    <row r="22" spans="1:17" x14ac:dyDescent="0.25">
      <c r="A22" s="2">
        <v>20</v>
      </c>
      <c r="B22" s="3" t="str">
        <f>E22</f>
        <v>ЩУ AFL De-icing (AFL MAST CONTROL PANEL)</v>
      </c>
      <c r="C22" s="2"/>
      <c r="D22" s="2"/>
      <c r="E22" s="4" t="s">
        <v>80</v>
      </c>
      <c r="F22" s="2"/>
      <c r="G22" s="2"/>
      <c r="H22" s="2"/>
      <c r="I22" s="4">
        <v>1</v>
      </c>
      <c r="J22" s="4" t="s">
        <v>18</v>
      </c>
      <c r="K22" s="2"/>
      <c r="L22" s="2"/>
      <c r="M22" s="2"/>
      <c r="N22" s="2"/>
      <c r="O22" s="2"/>
      <c r="P22" s="2"/>
      <c r="Q22" s="2"/>
    </row>
    <row r="23" spans="1:17" x14ac:dyDescent="0.25">
      <c r="A23" s="5">
        <v>21</v>
      </c>
      <c r="B23" s="5"/>
      <c r="C23" s="5" t="s">
        <v>19</v>
      </c>
      <c r="D23" s="5" t="s">
        <v>81</v>
      </c>
      <c r="E23" s="5" t="s">
        <v>82</v>
      </c>
      <c r="F23" s="6">
        <f>IFERROR(P23*INDEX(Kurallar!$B$21:$B$28,MATCH(K23,Kurallar!$A$21:$A$28,0)),"")</f>
        <v>30540</v>
      </c>
      <c r="G23" s="7">
        <f>IFERROR(F23*INDEX(Kurallar!$C$21:$C$28,MATCH(K23,Kurallar!$A$21:$A$28,0))*INDEX(Kurallar!$B$15:$B$17,MATCH(Q23,Kurallar!$A$15:$A$17,0)),"")</f>
        <v>30540</v>
      </c>
      <c r="H23" s="7">
        <f t="shared" ref="H23:H41" si="2">IF(OR(G23="",I23=""),"",G23*I23)</f>
        <v>30540</v>
      </c>
      <c r="I23" s="8">
        <v>1</v>
      </c>
      <c r="J23" s="5" t="s">
        <v>22</v>
      </c>
      <c r="K23" s="5" t="s">
        <v>23</v>
      </c>
      <c r="L23" s="7">
        <f t="shared" ref="L23:L41" si="3">IF(H23="","",H23)</f>
        <v>30540</v>
      </c>
      <c r="M23" s="5" t="s">
        <v>24</v>
      </c>
      <c r="N23" s="6">
        <f>IF(H23="","",H23/Kurallar!$B$16)</f>
        <v>56.919206038579823</v>
      </c>
      <c r="O23" s="5"/>
      <c r="P23" s="6">
        <v>30540</v>
      </c>
      <c r="Q23" s="5" t="s">
        <v>25</v>
      </c>
    </row>
    <row r="24" spans="1:17" x14ac:dyDescent="0.25">
      <c r="A24" s="5">
        <v>22</v>
      </c>
      <c r="B24" s="5"/>
      <c r="C24" s="5" t="s">
        <v>26</v>
      </c>
      <c r="D24" s="5" t="s">
        <v>83</v>
      </c>
      <c r="E24" s="5" t="s">
        <v>84</v>
      </c>
      <c r="F24" s="6">
        <f>IFERROR(P24*INDEX(Kurallar!$B$21:$B$28,MATCH(K24,Kurallar!$A$21:$A$28,0)),"")</f>
        <v>332.23500000000001</v>
      </c>
      <c r="G24" s="7">
        <f>IFERROR(F24*INDEX(Kurallar!$C$21:$C$28,MATCH(K24,Kurallar!$A$21:$A$28,0))*INDEX(Kurallar!$B$15:$B$17,MATCH(Q24,Kurallar!$A$15:$A$17,0)),"")</f>
        <v>53478.206774999999</v>
      </c>
      <c r="H24" s="7">
        <f t="shared" si="2"/>
        <v>53478.206774999999</v>
      </c>
      <c r="I24" s="8">
        <v>1</v>
      </c>
      <c r="J24" s="5" t="s">
        <v>22</v>
      </c>
      <c r="K24" s="5" t="s">
        <v>29</v>
      </c>
      <c r="L24" s="7">
        <f t="shared" si="3"/>
        <v>53478.206774999999</v>
      </c>
      <c r="M24" s="5" t="s">
        <v>30</v>
      </c>
      <c r="N24" s="6">
        <f>IF(H24="","",H24/Kurallar!$B$16)</f>
        <v>99.670500000000004</v>
      </c>
      <c r="O24" s="5"/>
      <c r="P24" s="6">
        <v>246.1</v>
      </c>
      <c r="Q24" s="5" t="s">
        <v>31</v>
      </c>
    </row>
    <row r="25" spans="1:17" x14ac:dyDescent="0.25">
      <c r="A25" s="5">
        <v>23</v>
      </c>
      <c r="B25" s="5"/>
      <c r="C25" s="5" t="s">
        <v>37</v>
      </c>
      <c r="D25" s="5" t="s">
        <v>85</v>
      </c>
      <c r="E25" s="5" t="s">
        <v>86</v>
      </c>
      <c r="F25" s="6">
        <f>IFERROR(P25*INDEX(Kurallar!$B$21:$B$28,MATCH(K25,Kurallar!$A$21:$A$28,0)),"")</f>
        <v>15.849000000000002</v>
      </c>
      <c r="G25" s="7">
        <f>IFERROR(F25*INDEX(Kurallar!$C$21:$C$28,MATCH(K25,Kurallar!$A$21:$A$28,0))*INDEX(Kurallar!$B$15:$B$17,MATCH(Q25,Kurallar!$A$15:$A$17,0)),"")</f>
        <v>2551.1342850000001</v>
      </c>
      <c r="H25" s="7">
        <f t="shared" si="2"/>
        <v>2551.1342850000001</v>
      </c>
      <c r="I25" s="8">
        <v>1</v>
      </c>
      <c r="J25" s="5" t="s">
        <v>22</v>
      </c>
      <c r="K25" s="5" t="s">
        <v>29</v>
      </c>
      <c r="L25" s="7">
        <f t="shared" si="3"/>
        <v>2551.1342850000001</v>
      </c>
      <c r="M25" s="5" t="s">
        <v>30</v>
      </c>
      <c r="N25" s="6">
        <f>IF(H25="","",H25/Kurallar!$B$16)</f>
        <v>4.7547000000000006</v>
      </c>
      <c r="O25" s="5"/>
      <c r="P25" s="6">
        <v>11.74</v>
      </c>
      <c r="Q25" s="5" t="s">
        <v>31</v>
      </c>
    </row>
    <row r="26" spans="1:17" x14ac:dyDescent="0.25">
      <c r="A26" s="5">
        <v>24</v>
      </c>
      <c r="B26" s="5"/>
      <c r="C26" s="5" t="s">
        <v>37</v>
      </c>
      <c r="D26" s="5" t="s">
        <v>38</v>
      </c>
      <c r="E26" s="5" t="s">
        <v>87</v>
      </c>
      <c r="F26" s="6">
        <f>IFERROR(P26*INDEX(Kurallar!$B$21:$B$28,MATCH(K26,Kurallar!$A$21:$A$28,0)),"")</f>
        <v>144.58500000000001</v>
      </c>
      <c r="G26" s="7">
        <f>IFERROR(F26*INDEX(Kurallar!$C$21:$C$28,MATCH(K26,Kurallar!$A$21:$A$28,0))*INDEX(Kurallar!$B$15:$B$17,MATCH(Q26,Kurallar!$A$15:$A$17,0)),"")</f>
        <v>23273.124524999999</v>
      </c>
      <c r="H26" s="7">
        <f t="shared" si="2"/>
        <v>93092.498099999997</v>
      </c>
      <c r="I26" s="8">
        <v>4</v>
      </c>
      <c r="J26" s="5" t="s">
        <v>22</v>
      </c>
      <c r="K26" s="5" t="s">
        <v>29</v>
      </c>
      <c r="L26" s="7">
        <f t="shared" si="3"/>
        <v>93092.498099999997</v>
      </c>
      <c r="M26" s="5" t="s">
        <v>30</v>
      </c>
      <c r="N26" s="6">
        <f>IF(H26="","",H26/Kurallar!$B$16)</f>
        <v>173.50200000000001</v>
      </c>
      <c r="O26" s="5"/>
      <c r="P26" s="6">
        <v>107.1</v>
      </c>
      <c r="Q26" s="5" t="s">
        <v>31</v>
      </c>
    </row>
    <row r="27" spans="1:17" x14ac:dyDescent="0.25">
      <c r="A27" s="5">
        <v>25</v>
      </c>
      <c r="B27" s="5"/>
      <c r="C27" s="5" t="s">
        <v>37</v>
      </c>
      <c r="D27" s="5" t="s">
        <v>88</v>
      </c>
      <c r="E27" s="5" t="s">
        <v>89</v>
      </c>
      <c r="F27" s="6">
        <f>IFERROR(P27*INDEX(Kurallar!$B$21:$B$28,MATCH(K27,Kurallar!$A$21:$A$28,0)),"")</f>
        <v>106.3125</v>
      </c>
      <c r="G27" s="7">
        <f>IFERROR(F27*INDEX(Kurallar!$C$21:$C$28,MATCH(K27,Kurallar!$A$21:$A$28,0))*INDEX(Kurallar!$B$15:$B$17,MATCH(Q27,Kurallar!$A$15:$A$17,0)),"")</f>
        <v>17112.591562499998</v>
      </c>
      <c r="H27" s="7">
        <f t="shared" si="2"/>
        <v>17112.591562499998</v>
      </c>
      <c r="I27" s="8">
        <v>1</v>
      </c>
      <c r="J27" s="5" t="s">
        <v>22</v>
      </c>
      <c r="K27" s="5" t="s">
        <v>29</v>
      </c>
      <c r="L27" s="7">
        <f t="shared" si="3"/>
        <v>17112.591562499998</v>
      </c>
      <c r="M27" s="5" t="s">
        <v>30</v>
      </c>
      <c r="N27" s="6">
        <f>IF(H27="","",H27/Kurallar!$B$16)</f>
        <v>31.893749999999997</v>
      </c>
      <c r="O27" s="5"/>
      <c r="P27" s="6">
        <v>78.75</v>
      </c>
      <c r="Q27" s="5" t="s">
        <v>31</v>
      </c>
    </row>
    <row r="28" spans="1:17" x14ac:dyDescent="0.25">
      <c r="A28" s="5">
        <v>26</v>
      </c>
      <c r="B28" s="5"/>
      <c r="C28" s="5" t="s">
        <v>37</v>
      </c>
      <c r="D28" s="5" t="s">
        <v>90</v>
      </c>
      <c r="E28" s="5" t="s">
        <v>91</v>
      </c>
      <c r="F28" s="6">
        <f>IFERROR(P28*INDEX(Kurallar!$B$21:$B$28,MATCH(K28,Kurallar!$A$21:$A$28,0)),"")</f>
        <v>18.886500000000002</v>
      </c>
      <c r="G28" s="7">
        <f>IFERROR(F28*INDEX(Kurallar!$C$21:$C$28,MATCH(K28,Kurallar!$A$21:$A$28,0))*INDEX(Kurallar!$B$15:$B$17,MATCH(Q28,Kurallar!$A$15:$A$17,0)),"")</f>
        <v>3040.0654724999999</v>
      </c>
      <c r="H28" s="7">
        <f t="shared" si="2"/>
        <v>3040.0654724999999</v>
      </c>
      <c r="I28" s="8">
        <v>1</v>
      </c>
      <c r="J28" s="5" t="s">
        <v>22</v>
      </c>
      <c r="K28" s="5" t="s">
        <v>29</v>
      </c>
      <c r="L28" s="7">
        <f t="shared" si="3"/>
        <v>3040.0654724999999</v>
      </c>
      <c r="M28" s="5" t="s">
        <v>30</v>
      </c>
      <c r="N28" s="6">
        <f>IF(H28="","",H28/Kurallar!$B$16)</f>
        <v>5.6659500000000005</v>
      </c>
      <c r="O28" s="5"/>
      <c r="P28" s="6">
        <v>13.99</v>
      </c>
      <c r="Q28" s="5" t="s">
        <v>31</v>
      </c>
    </row>
    <row r="29" spans="1:17" x14ac:dyDescent="0.25">
      <c r="A29" s="5">
        <v>27</v>
      </c>
      <c r="B29" s="5"/>
      <c r="C29" s="5" t="s">
        <v>92</v>
      </c>
      <c r="D29" s="5" t="s">
        <v>93</v>
      </c>
      <c r="E29" s="5" t="s">
        <v>94</v>
      </c>
      <c r="F29" s="6">
        <f>IFERROR(P29*INDEX(Kurallar!$B$21:$B$28,MATCH(K29,Kurallar!$A$21:$A$28,0)),"")</f>
        <v>247.45500000000004</v>
      </c>
      <c r="G29" s="7">
        <f>IFERROR(F29*INDEX(Kurallar!$C$21:$C$28,MATCH(K29,Kurallar!$A$21:$A$28,0))*INDEX(Kurallar!$B$15:$B$17,MATCH(Q29,Kurallar!$A$15:$A$17,0)),"")</f>
        <v>39831.594075000001</v>
      </c>
      <c r="H29" s="7">
        <f t="shared" si="2"/>
        <v>159326.3763</v>
      </c>
      <c r="I29" s="8">
        <v>4</v>
      </c>
      <c r="J29" s="5" t="s">
        <v>22</v>
      </c>
      <c r="K29" s="5" t="s">
        <v>29</v>
      </c>
      <c r="L29" s="7">
        <f t="shared" si="3"/>
        <v>159326.3763</v>
      </c>
      <c r="M29" s="5" t="s">
        <v>95</v>
      </c>
      <c r="N29" s="6">
        <f>IF(H29="","",H29/Kurallar!$B$16)</f>
        <v>296.94600000000003</v>
      </c>
      <c r="O29" s="5"/>
      <c r="P29" s="6">
        <v>183.3</v>
      </c>
      <c r="Q29" s="5" t="s">
        <v>31</v>
      </c>
    </row>
    <row r="30" spans="1:17" x14ac:dyDescent="0.25">
      <c r="A30" s="5">
        <v>28</v>
      </c>
      <c r="B30" s="5"/>
      <c r="C30" s="5" t="s">
        <v>96</v>
      </c>
      <c r="D30" s="5" t="s">
        <v>97</v>
      </c>
      <c r="E30" s="5" t="s">
        <v>98</v>
      </c>
      <c r="F30" s="6">
        <f>IFERROR(P30*INDEX(Kurallar!$B$21:$B$28,MATCH(K30,Kurallar!$A$21:$A$28,0)),"")</f>
        <v>194.94000000000003</v>
      </c>
      <c r="G30" s="7">
        <f>IFERROR(F30*INDEX(Kurallar!$C$21:$C$28,MATCH(K30,Kurallar!$A$21:$A$28,0))*INDEX(Kurallar!$B$15:$B$17,MATCH(Q30,Kurallar!$A$15:$A$17,0)),"")</f>
        <v>31378.517100000001</v>
      </c>
      <c r="H30" s="7">
        <f t="shared" si="2"/>
        <v>31378.517100000001</v>
      </c>
      <c r="I30" s="8">
        <v>1</v>
      </c>
      <c r="J30" s="5" t="s">
        <v>22</v>
      </c>
      <c r="K30" s="5" t="s">
        <v>29</v>
      </c>
      <c r="L30" s="7">
        <f t="shared" si="3"/>
        <v>31378.517100000001</v>
      </c>
      <c r="M30" s="5" t="s">
        <v>95</v>
      </c>
      <c r="N30" s="6">
        <f>IF(H30="","",H30/Kurallar!$B$16)</f>
        <v>58.482000000000006</v>
      </c>
      <c r="O30" s="5"/>
      <c r="P30" s="6">
        <v>144.4</v>
      </c>
      <c r="Q30" s="5" t="s">
        <v>31</v>
      </c>
    </row>
    <row r="31" spans="1:17" x14ac:dyDescent="0.25">
      <c r="A31" s="5">
        <v>29</v>
      </c>
      <c r="B31" s="5"/>
      <c r="C31" s="5" t="s">
        <v>96</v>
      </c>
      <c r="D31" s="5" t="s">
        <v>99</v>
      </c>
      <c r="E31" s="5" t="s">
        <v>100</v>
      </c>
      <c r="F31" s="6">
        <f>IFERROR(P31*INDEX(Kurallar!$B$21:$B$28,MATCH(K31,Kurallar!$A$21:$A$28,0)),"")</f>
        <v>17.320500000000003</v>
      </c>
      <c r="G31" s="7">
        <f>IFERROR(F31*INDEX(Kurallar!$C$21:$C$28,MATCH(K31,Kurallar!$A$21:$A$28,0))*INDEX(Kurallar!$B$15:$B$17,MATCH(Q31,Kurallar!$A$15:$A$17,0)),"")</f>
        <v>2787.9942824999998</v>
      </c>
      <c r="H31" s="7">
        <f t="shared" si="2"/>
        <v>2787.9942824999998</v>
      </c>
      <c r="I31" s="8">
        <v>1</v>
      </c>
      <c r="J31" s="5" t="s">
        <v>22</v>
      </c>
      <c r="K31" s="5" t="s">
        <v>29</v>
      </c>
      <c r="L31" s="7">
        <f t="shared" si="3"/>
        <v>2787.9942824999998</v>
      </c>
      <c r="M31" s="5" t="s">
        <v>95</v>
      </c>
      <c r="N31" s="6">
        <f>IF(H31="","",H31/Kurallar!$B$16)</f>
        <v>5.1961500000000003</v>
      </c>
      <c r="O31" s="5"/>
      <c r="P31" s="6">
        <v>12.83</v>
      </c>
      <c r="Q31" s="5" t="s">
        <v>31</v>
      </c>
    </row>
    <row r="32" spans="1:17" x14ac:dyDescent="0.25">
      <c r="A32" s="5">
        <v>30</v>
      </c>
      <c r="B32" s="5"/>
      <c r="C32" s="5" t="s">
        <v>101</v>
      </c>
      <c r="D32" s="5" t="s">
        <v>102</v>
      </c>
      <c r="E32" s="5" t="s">
        <v>103</v>
      </c>
      <c r="F32" s="6">
        <f>IFERROR(P32*INDEX(Kurallar!$B$21:$B$28,MATCH(K32,Kurallar!$A$21:$A$28,0)),"")</f>
        <v>11.475000000000001</v>
      </c>
      <c r="G32" s="7">
        <f>IFERROR(F32*INDEX(Kurallar!$C$21:$C$28,MATCH(K32,Kurallar!$A$21:$A$28,0))*INDEX(Kurallar!$B$15:$B$17,MATCH(Q32,Kurallar!$A$15:$A$17,0)),"")</f>
        <v>1847.0733749999999</v>
      </c>
      <c r="H32" s="7">
        <f t="shared" si="2"/>
        <v>1847.0733749999999</v>
      </c>
      <c r="I32" s="8">
        <v>1</v>
      </c>
      <c r="J32" s="5" t="s">
        <v>22</v>
      </c>
      <c r="K32" s="5" t="s">
        <v>29</v>
      </c>
      <c r="L32" s="7">
        <f t="shared" si="3"/>
        <v>1847.0733749999999</v>
      </c>
      <c r="M32" s="5" t="s">
        <v>95</v>
      </c>
      <c r="N32" s="6">
        <f>IF(H32="","",H32/Kurallar!$B$16)</f>
        <v>3.4425000000000003</v>
      </c>
      <c r="O32" s="5"/>
      <c r="P32" s="6">
        <v>8.5</v>
      </c>
      <c r="Q32" s="5" t="s">
        <v>31</v>
      </c>
    </row>
    <row r="33" spans="1:17" x14ac:dyDescent="0.25">
      <c r="A33" s="5">
        <v>31</v>
      </c>
      <c r="B33" s="5"/>
      <c r="C33" s="5" t="s">
        <v>104</v>
      </c>
      <c r="D33" s="5" t="s">
        <v>105</v>
      </c>
      <c r="E33" s="5" t="s">
        <v>106</v>
      </c>
      <c r="F33" s="6">
        <f>IFERROR(P33*INDEX(Kurallar!$B$21:$B$28,MATCH(K33,Kurallar!$A$21:$A$28,0)),"")</f>
        <v>17.725500000000004</v>
      </c>
      <c r="G33" s="7">
        <f>IFERROR(F33*INDEX(Kurallar!$C$21:$C$28,MATCH(K33,Kurallar!$A$21:$A$28,0))*INDEX(Kurallar!$B$15:$B$17,MATCH(Q33,Kurallar!$A$15:$A$17,0)),"")</f>
        <v>2853.1851075000004</v>
      </c>
      <c r="H33" s="7">
        <f t="shared" si="2"/>
        <v>2853.1851075000004</v>
      </c>
      <c r="I33" s="8">
        <v>1</v>
      </c>
      <c r="J33" s="5" t="s">
        <v>22</v>
      </c>
      <c r="K33" s="5" t="s">
        <v>29</v>
      </c>
      <c r="L33" s="7">
        <f t="shared" si="3"/>
        <v>2853.1851075000004</v>
      </c>
      <c r="M33" s="5" t="s">
        <v>95</v>
      </c>
      <c r="N33" s="6">
        <f>IF(H33="","",H33/Kurallar!$B$16)</f>
        <v>5.3176500000000013</v>
      </c>
      <c r="O33" s="5"/>
      <c r="P33" s="6">
        <v>13.13</v>
      </c>
      <c r="Q33" s="5" t="s">
        <v>31</v>
      </c>
    </row>
    <row r="34" spans="1:17" x14ac:dyDescent="0.25">
      <c r="A34" s="5">
        <v>32</v>
      </c>
      <c r="B34" s="5"/>
      <c r="C34" s="5" t="s">
        <v>107</v>
      </c>
      <c r="D34" s="5" t="s">
        <v>108</v>
      </c>
      <c r="E34" s="5" t="s">
        <v>109</v>
      </c>
      <c r="F34" s="6">
        <f>IFERROR(P34*INDEX(Kurallar!$B$21:$B$28,MATCH(K34,Kurallar!$A$21:$A$28,0)),"")</f>
        <v>12.987</v>
      </c>
      <c r="G34" s="7">
        <f>IFERROR(F34*INDEX(Kurallar!$C$21:$C$28,MATCH(K34,Kurallar!$A$21:$A$28,0))*INDEX(Kurallar!$B$15:$B$17,MATCH(Q34,Kurallar!$A$15:$A$17,0)),"")</f>
        <v>2090.4524549999996</v>
      </c>
      <c r="H34" s="7">
        <f t="shared" si="2"/>
        <v>2090.4524549999996</v>
      </c>
      <c r="I34" s="8">
        <v>1</v>
      </c>
      <c r="J34" s="5" t="s">
        <v>22</v>
      </c>
      <c r="K34" s="5" t="s">
        <v>29</v>
      </c>
      <c r="L34" s="7">
        <f t="shared" si="3"/>
        <v>2090.4524549999996</v>
      </c>
      <c r="M34" s="5" t="s">
        <v>95</v>
      </c>
      <c r="N34" s="6">
        <f>IF(H34="","",H34/Kurallar!$B$16)</f>
        <v>3.8960999999999997</v>
      </c>
      <c r="O34" s="5"/>
      <c r="P34" s="6">
        <v>9.6199999999999992</v>
      </c>
      <c r="Q34" s="5" t="s">
        <v>31</v>
      </c>
    </row>
    <row r="35" spans="1:17" x14ac:dyDescent="0.25">
      <c r="A35" s="5">
        <v>33</v>
      </c>
      <c r="B35" s="5"/>
      <c r="C35" s="5" t="s">
        <v>48</v>
      </c>
      <c r="D35" s="5" t="s">
        <v>110</v>
      </c>
      <c r="E35" s="5" t="s">
        <v>111</v>
      </c>
      <c r="F35" s="6">
        <f>IFERROR(P35*INDEX(Kurallar!$B$21:$B$28,MATCH(K35,Kurallar!$A$21:$A$28,0)),"")</f>
        <v>12699</v>
      </c>
      <c r="G35" s="7">
        <f>IFERROR(F35*INDEX(Kurallar!$C$21:$C$28,MATCH(K35,Kurallar!$A$21:$A$28,0))*INDEX(Kurallar!$B$15:$B$17,MATCH(Q35,Kurallar!$A$15:$A$17,0)),"")</f>
        <v>7619.4</v>
      </c>
      <c r="H35" s="7">
        <f t="shared" si="2"/>
        <v>7619.4</v>
      </c>
      <c r="I35" s="8">
        <v>1</v>
      </c>
      <c r="J35" s="5" t="s">
        <v>22</v>
      </c>
      <c r="K35" s="5" t="s">
        <v>59</v>
      </c>
      <c r="L35" s="7">
        <f t="shared" si="3"/>
        <v>7619.4</v>
      </c>
      <c r="M35" s="5" t="s">
        <v>52</v>
      </c>
      <c r="N35" s="6">
        <f>IF(H35="","",H35/Kurallar!$B$16)</f>
        <v>14.200726866088901</v>
      </c>
      <c r="O35" s="5"/>
      <c r="P35" s="6">
        <v>12699</v>
      </c>
      <c r="Q35" s="5" t="s">
        <v>25</v>
      </c>
    </row>
    <row r="36" spans="1:17" x14ac:dyDescent="0.25">
      <c r="A36" s="5">
        <v>34</v>
      </c>
      <c r="B36" s="5"/>
      <c r="C36" s="5" t="s">
        <v>48</v>
      </c>
      <c r="D36" s="5" t="s">
        <v>112</v>
      </c>
      <c r="E36" s="5" t="s">
        <v>113</v>
      </c>
      <c r="F36" s="6">
        <f>IFERROR(P36*INDEX(Kurallar!$B$21:$B$28,MATCH(K36,Kurallar!$A$21:$A$28,0)),"")</f>
        <v>2567</v>
      </c>
      <c r="G36" s="7">
        <f>IFERROR(F36*INDEX(Kurallar!$C$21:$C$28,MATCH(K36,Kurallar!$A$21:$A$28,0))*INDEX(Kurallar!$B$15:$B$17,MATCH(Q36,Kurallar!$A$15:$A$17,0)),"")</f>
        <v>2567</v>
      </c>
      <c r="H36" s="7">
        <f t="shared" si="2"/>
        <v>2567</v>
      </c>
      <c r="I36" s="8">
        <v>1</v>
      </c>
      <c r="J36" s="5" t="s">
        <v>22</v>
      </c>
      <c r="K36" s="5" t="s">
        <v>51</v>
      </c>
      <c r="L36" s="7">
        <f t="shared" si="3"/>
        <v>2567</v>
      </c>
      <c r="M36" s="5" t="s">
        <v>52</v>
      </c>
      <c r="N36" s="6">
        <f>IF(H36="","",H36/Kurallar!$B$16)</f>
        <v>4.7842698723324952</v>
      </c>
      <c r="O36" s="5"/>
      <c r="P36" s="6">
        <v>2567</v>
      </c>
      <c r="Q36" s="5" t="s">
        <v>25</v>
      </c>
    </row>
    <row r="37" spans="1:17" x14ac:dyDescent="0.25">
      <c r="A37" s="5">
        <v>35</v>
      </c>
      <c r="B37" s="5"/>
      <c r="C37" s="5" t="s">
        <v>48</v>
      </c>
      <c r="D37" s="5" t="s">
        <v>114</v>
      </c>
      <c r="E37" s="5" t="s">
        <v>115</v>
      </c>
      <c r="F37" s="6">
        <f>IFERROR(P37*INDEX(Kurallar!$B$21:$B$28,MATCH(K37,Kurallar!$A$21:$A$28,0)),"")</f>
        <v>4204</v>
      </c>
      <c r="G37" s="7">
        <f>IFERROR(F37*INDEX(Kurallar!$C$21:$C$28,MATCH(K37,Kurallar!$A$21:$A$28,0))*INDEX(Kurallar!$B$15:$B$17,MATCH(Q37,Kurallar!$A$15:$A$17,0)),"")</f>
        <v>4204</v>
      </c>
      <c r="H37" s="7">
        <f t="shared" si="2"/>
        <v>4204</v>
      </c>
      <c r="I37" s="8">
        <v>1</v>
      </c>
      <c r="J37" s="5" t="s">
        <v>22</v>
      </c>
      <c r="K37" s="5" t="s">
        <v>51</v>
      </c>
      <c r="L37" s="7">
        <f t="shared" si="3"/>
        <v>4204</v>
      </c>
      <c r="M37" s="5" t="s">
        <v>52</v>
      </c>
      <c r="N37" s="6">
        <f>IF(H37="","",H37/Kurallar!$B$16)</f>
        <v>7.8352436865157031</v>
      </c>
      <c r="O37" s="5"/>
      <c r="P37" s="6">
        <v>4204</v>
      </c>
      <c r="Q37" s="5" t="s">
        <v>25</v>
      </c>
    </row>
    <row r="38" spans="1:17" x14ac:dyDescent="0.25">
      <c r="A38" s="5">
        <v>36</v>
      </c>
      <c r="B38" s="5"/>
      <c r="C38" s="5" t="s">
        <v>53</v>
      </c>
      <c r="D38" s="5" t="s">
        <v>116</v>
      </c>
      <c r="E38" s="5" t="s">
        <v>117</v>
      </c>
      <c r="F38" s="6">
        <f>IFERROR(P38*INDEX(Kurallar!$B$21:$B$28,MATCH(K38,Kurallar!$A$21:$A$28,0)),"")</f>
        <v>90</v>
      </c>
      <c r="G38" s="7">
        <f>IFERROR(F38*INDEX(Kurallar!$C$21:$C$28,MATCH(K38,Kurallar!$A$21:$A$28,0))*INDEX(Kurallar!$B$15:$B$17,MATCH(Q38,Kurallar!$A$15:$A$17,0)),"")</f>
        <v>90</v>
      </c>
      <c r="H38" s="7">
        <f t="shared" si="2"/>
        <v>1800</v>
      </c>
      <c r="I38" s="8">
        <v>20</v>
      </c>
      <c r="J38" s="5" t="s">
        <v>22</v>
      </c>
      <c r="K38" s="5" t="s">
        <v>51</v>
      </c>
      <c r="L38" s="7">
        <f t="shared" si="3"/>
        <v>1800</v>
      </c>
      <c r="M38" s="5" t="s">
        <v>52</v>
      </c>
      <c r="N38" s="6">
        <f>IF(H38="","",H38/Kurallar!$B$16)</f>
        <v>3.3547665641599109</v>
      </c>
      <c r="O38" s="5"/>
      <c r="P38" s="6">
        <v>90</v>
      </c>
      <c r="Q38" s="5" t="s">
        <v>25</v>
      </c>
    </row>
    <row r="39" spans="1:17" x14ac:dyDescent="0.25">
      <c r="A39" s="5">
        <v>37</v>
      </c>
      <c r="B39" s="5"/>
      <c r="C39" s="5" t="s">
        <v>53</v>
      </c>
      <c r="D39" s="5" t="s">
        <v>54</v>
      </c>
      <c r="E39" s="5" t="s">
        <v>118</v>
      </c>
      <c r="F39" s="6">
        <f>IFERROR(P39*INDEX(Kurallar!$B$21:$B$28,MATCH(K39,Kurallar!$A$21:$A$28,0)),"")</f>
        <v>151</v>
      </c>
      <c r="G39" s="7">
        <f>IFERROR(F39*INDEX(Kurallar!$C$21:$C$28,MATCH(K39,Kurallar!$A$21:$A$28,0))*INDEX(Kurallar!$B$15:$B$17,MATCH(Q39,Kurallar!$A$15:$A$17,0)),"")</f>
        <v>151</v>
      </c>
      <c r="H39" s="7">
        <f t="shared" si="2"/>
        <v>1812</v>
      </c>
      <c r="I39" s="8">
        <v>12</v>
      </c>
      <c r="J39" s="5" t="s">
        <v>22</v>
      </c>
      <c r="K39" s="5" t="s">
        <v>51</v>
      </c>
      <c r="L39" s="7">
        <f t="shared" si="3"/>
        <v>1812</v>
      </c>
      <c r="M39" s="5" t="s">
        <v>52</v>
      </c>
      <c r="N39" s="6">
        <f>IF(H39="","",H39/Kurallar!$B$16)</f>
        <v>3.3771316745876434</v>
      </c>
      <c r="O39" s="5"/>
      <c r="P39" s="6">
        <v>151</v>
      </c>
      <c r="Q39" s="5" t="s">
        <v>25</v>
      </c>
    </row>
    <row r="40" spans="1:17" x14ac:dyDescent="0.25">
      <c r="A40" s="5">
        <v>38</v>
      </c>
      <c r="B40" s="5"/>
      <c r="C40" s="5" t="s">
        <v>56</v>
      </c>
      <c r="D40" s="5" t="s">
        <v>57</v>
      </c>
      <c r="E40" s="5" t="s">
        <v>58</v>
      </c>
      <c r="F40" s="6">
        <f>IFERROR(P40*INDEX(Kurallar!$B$21:$B$28,MATCH(K40,Kurallar!$A$21:$A$28,0)),"")</f>
        <v>869</v>
      </c>
      <c r="G40" s="7">
        <f>IFERROR(F40*INDEX(Kurallar!$C$21:$C$28,MATCH(K40,Kurallar!$A$21:$A$28,0))*INDEX(Kurallar!$B$15:$B$17,MATCH(Q40,Kurallar!$A$15:$A$17,0)),"")</f>
        <v>521.4</v>
      </c>
      <c r="H40" s="7">
        <f t="shared" si="2"/>
        <v>2607</v>
      </c>
      <c r="I40" s="8">
        <v>5</v>
      </c>
      <c r="J40" s="5" t="s">
        <v>22</v>
      </c>
      <c r="K40" s="5" t="s">
        <v>59</v>
      </c>
      <c r="L40" s="7">
        <f t="shared" si="3"/>
        <v>2607</v>
      </c>
      <c r="M40" s="5" t="s">
        <v>60</v>
      </c>
      <c r="N40" s="6">
        <f>IF(H40="","",H40/Kurallar!$B$16)</f>
        <v>4.8588202404249374</v>
      </c>
      <c r="O40" s="5"/>
      <c r="P40" s="6">
        <v>869</v>
      </c>
      <c r="Q40" s="5" t="s">
        <v>25</v>
      </c>
    </row>
    <row r="41" spans="1:17" x14ac:dyDescent="0.25">
      <c r="A41" s="5">
        <v>39</v>
      </c>
      <c r="B41" s="5"/>
      <c r="C41" s="5" t="s">
        <v>56</v>
      </c>
      <c r="D41" s="5" t="s">
        <v>119</v>
      </c>
      <c r="E41" s="5" t="s">
        <v>120</v>
      </c>
      <c r="F41" s="6">
        <f>IFERROR(P41*INDEX(Kurallar!$B$21:$B$28,MATCH(K41,Kurallar!$A$21:$A$28,0)),"")</f>
        <v>1094</v>
      </c>
      <c r="G41" s="7">
        <f>IFERROR(F41*INDEX(Kurallar!$C$21:$C$28,MATCH(K41,Kurallar!$A$21:$A$28,0))*INDEX(Kurallar!$B$15:$B$17,MATCH(Q41,Kurallar!$A$15:$A$17,0)),"")</f>
        <v>1094</v>
      </c>
      <c r="H41" s="7">
        <f t="shared" si="2"/>
        <v>5470</v>
      </c>
      <c r="I41" s="8">
        <v>5</v>
      </c>
      <c r="J41" s="5" t="s">
        <v>22</v>
      </c>
      <c r="K41" s="5" t="s">
        <v>51</v>
      </c>
      <c r="L41" s="7">
        <f t="shared" si="3"/>
        <v>5470</v>
      </c>
      <c r="M41" s="5" t="s">
        <v>60</v>
      </c>
      <c r="N41" s="6">
        <f>IF(H41="","",H41/Kurallar!$B$16)</f>
        <v>10.194762836641507</v>
      </c>
      <c r="O41" s="5"/>
      <c r="P41" s="6">
        <v>1094</v>
      </c>
      <c r="Q41" s="5" t="s">
        <v>25</v>
      </c>
    </row>
    <row r="42" spans="1:17" x14ac:dyDescent="0.25">
      <c r="A42" s="5">
        <v>40</v>
      </c>
      <c r="B42" s="5"/>
      <c r="C42" s="5" t="s">
        <v>56</v>
      </c>
      <c r="D42" s="5"/>
      <c r="E42" s="5" t="s">
        <v>63</v>
      </c>
      <c r="F42" s="5"/>
      <c r="G42" s="7">
        <f>SUM(H23:H41)*Kurallar!$B$34</f>
        <v>12785.32484445</v>
      </c>
      <c r="H42" s="7">
        <f>IF(G42="","",G42*I42)</f>
        <v>12785.32484445</v>
      </c>
      <c r="I42" s="8">
        <v>1</v>
      </c>
      <c r="J42" s="5" t="s">
        <v>64</v>
      </c>
      <c r="K42" s="5" t="s">
        <v>65</v>
      </c>
      <c r="L42" s="7">
        <f>H42</f>
        <v>12785.32484445</v>
      </c>
      <c r="M42" s="5" t="s">
        <v>60</v>
      </c>
      <c r="N42" s="5"/>
      <c r="O42" s="5"/>
      <c r="P42" s="5"/>
      <c r="Q42" s="5"/>
    </row>
    <row r="43" spans="1:17" x14ac:dyDescent="0.25">
      <c r="A43" s="5">
        <v>41</v>
      </c>
      <c r="B43" s="5"/>
      <c r="C43" s="5" t="s">
        <v>66</v>
      </c>
      <c r="D43" s="5"/>
      <c r="E43" s="5" t="s">
        <v>67</v>
      </c>
      <c r="F43" s="9">
        <f>I43/60</f>
        <v>13.876666666666665</v>
      </c>
      <c r="G43" s="7">
        <f>Kurallar!$B$32</f>
        <v>100</v>
      </c>
      <c r="H43" s="7">
        <f>IF(G43="","",G43*I43)</f>
        <v>83259.999999999985</v>
      </c>
      <c r="I43" s="8">
        <f>Kurallar!$G$59</f>
        <v>832.59999999999991</v>
      </c>
      <c r="J43" s="5" t="s">
        <v>68</v>
      </c>
      <c r="K43" s="5" t="s">
        <v>69</v>
      </c>
      <c r="L43" s="5"/>
      <c r="M43" s="5" t="s">
        <v>70</v>
      </c>
      <c r="N43" s="5"/>
      <c r="O43" s="5"/>
      <c r="P43" s="5"/>
      <c r="Q43" s="5"/>
    </row>
    <row r="44" spans="1:17" x14ac:dyDescent="0.25">
      <c r="A44" s="2"/>
      <c r="B44" s="4" t="s">
        <v>121</v>
      </c>
      <c r="C44" s="2"/>
      <c r="D44" s="2"/>
      <c r="E44" s="2"/>
      <c r="F44" s="2"/>
      <c r="G44" s="2"/>
      <c r="H44" s="10">
        <f>SUBTOTAL(9,H23:H43)</f>
        <v>522222.81965945003</v>
      </c>
      <c r="I44" s="4">
        <v>1</v>
      </c>
      <c r="J44" s="4" t="s">
        <v>64</v>
      </c>
      <c r="K44" s="2"/>
      <c r="L44" s="10">
        <f>SUBTOTAL(9,L23:L42)</f>
        <v>438962.81965945003</v>
      </c>
      <c r="M44" s="2"/>
      <c r="N44" s="11">
        <f>IF(H44="","",H44/Kurallar!$B$16)</f>
        <v>973.29758579712995</v>
      </c>
      <c r="O44" s="2"/>
      <c r="P44" s="2"/>
      <c r="Q44" s="2"/>
    </row>
    <row r="45" spans="1:17" x14ac:dyDescent="0.25">
      <c r="A45" s="12">
        <v>42</v>
      </c>
      <c r="B45" s="12"/>
      <c r="C45" s="12" t="s">
        <v>104</v>
      </c>
      <c r="D45" s="12"/>
      <c r="E45" s="12" t="s">
        <v>122</v>
      </c>
      <c r="F45" s="12"/>
      <c r="G45" s="12"/>
      <c r="H45" s="12"/>
      <c r="I45" s="13">
        <v>1</v>
      </c>
      <c r="J45" s="12" t="s">
        <v>22</v>
      </c>
      <c r="K45" s="12"/>
      <c r="L45" s="12"/>
      <c r="M45" s="12" t="s">
        <v>95</v>
      </c>
      <c r="N45" s="12"/>
      <c r="O45" s="12"/>
      <c r="P45" s="12"/>
      <c r="Q45" s="12"/>
    </row>
    <row r="46" spans="1:17" x14ac:dyDescent="0.25">
      <c r="A46" s="2">
        <v>43</v>
      </c>
      <c r="B46" s="3" t="str">
        <f>E46</f>
        <v>ЩАВР Cargo (AVR POWER PANEL)</v>
      </c>
      <c r="C46" s="2"/>
      <c r="D46" s="2"/>
      <c r="E46" s="4" t="s">
        <v>123</v>
      </c>
      <c r="F46" s="2"/>
      <c r="G46" s="2"/>
      <c r="H46" s="2"/>
      <c r="I46" s="4">
        <v>1</v>
      </c>
      <c r="J46" s="4" t="s">
        <v>18</v>
      </c>
      <c r="K46" s="2"/>
      <c r="L46" s="2"/>
      <c r="M46" s="2"/>
      <c r="N46" s="2"/>
      <c r="O46" s="2"/>
      <c r="P46" s="2"/>
      <c r="Q46" s="2"/>
    </row>
    <row r="47" spans="1:17" x14ac:dyDescent="0.25">
      <c r="A47" s="5">
        <v>44</v>
      </c>
      <c r="B47" s="5"/>
      <c r="C47" s="5" t="s">
        <v>19</v>
      </c>
      <c r="D47" s="5" t="s">
        <v>124</v>
      </c>
      <c r="E47" s="5" t="s">
        <v>125</v>
      </c>
      <c r="F47" s="6">
        <f>IFERROR(P47*INDEX(Kurallar!$B$21:$B$28,MATCH(K47,Kurallar!$A$21:$A$28,0)),"")</f>
        <v>78350</v>
      </c>
      <c r="G47" s="7">
        <f>IFERROR(F47*INDEX(Kurallar!$C$21:$C$28,MATCH(K47,Kurallar!$A$21:$A$28,0))*INDEX(Kurallar!$B$15:$B$17,MATCH(Q47,Kurallar!$A$15:$A$17,0)),"")</f>
        <v>78350</v>
      </c>
      <c r="H47" s="7">
        <f t="shared" ref="H47:H59" si="4">IF(OR(G47="",I47=""),"",G47*I47)</f>
        <v>78350</v>
      </c>
      <c r="I47" s="8">
        <v>1</v>
      </c>
      <c r="J47" s="5" t="s">
        <v>22</v>
      </c>
      <c r="K47" s="5" t="s">
        <v>23</v>
      </c>
      <c r="L47" s="7">
        <f t="shared" ref="L47:L59" si="5">IF(H47="","",H47)</f>
        <v>78350</v>
      </c>
      <c r="M47" s="5" t="s">
        <v>24</v>
      </c>
      <c r="N47" s="6">
        <f>IF(H47="","",H47/Kurallar!$B$16)</f>
        <v>146.02553350107166</v>
      </c>
      <c r="O47" s="5"/>
      <c r="P47" s="6">
        <v>78350</v>
      </c>
      <c r="Q47" s="5" t="s">
        <v>25</v>
      </c>
    </row>
    <row r="48" spans="1:17" x14ac:dyDescent="0.25">
      <c r="A48" s="5">
        <v>45</v>
      </c>
      <c r="B48" s="5"/>
      <c r="C48" s="5" t="s">
        <v>26</v>
      </c>
      <c r="D48" s="5" t="s">
        <v>126</v>
      </c>
      <c r="E48" s="5" t="s">
        <v>127</v>
      </c>
      <c r="F48" s="6">
        <f>IFERROR(P48*INDEX(Kurallar!$B$21:$B$28,MATCH(K48,Kurallar!$A$21:$A$28,0)),"")</f>
        <v>1077.3000000000002</v>
      </c>
      <c r="G48" s="7">
        <f>IFERROR(F48*INDEX(Kurallar!$C$21:$C$28,MATCH(K48,Kurallar!$A$21:$A$28,0))*INDEX(Kurallar!$B$15:$B$17,MATCH(Q48,Kurallar!$A$15:$A$17,0)),"")</f>
        <v>173407.59450000001</v>
      </c>
      <c r="H48" s="7">
        <f t="shared" si="4"/>
        <v>346815.18900000001</v>
      </c>
      <c r="I48" s="8">
        <v>2</v>
      </c>
      <c r="J48" s="5" t="s">
        <v>22</v>
      </c>
      <c r="K48" s="5" t="s">
        <v>29</v>
      </c>
      <c r="L48" s="7">
        <f t="shared" si="5"/>
        <v>346815.18900000001</v>
      </c>
      <c r="M48" s="5" t="s">
        <v>30</v>
      </c>
      <c r="N48" s="6">
        <f>IF(H48="","",H48/Kurallar!$B$16)</f>
        <v>646.38000000000011</v>
      </c>
      <c r="O48" s="5"/>
      <c r="P48" s="6">
        <v>798</v>
      </c>
      <c r="Q48" s="5" t="s">
        <v>31</v>
      </c>
    </row>
    <row r="49" spans="1:17" x14ac:dyDescent="0.25">
      <c r="A49" s="5">
        <v>46</v>
      </c>
      <c r="B49" s="5"/>
      <c r="C49" s="5" t="s">
        <v>32</v>
      </c>
      <c r="D49" s="5" t="s">
        <v>128</v>
      </c>
      <c r="E49" s="5" t="s">
        <v>129</v>
      </c>
      <c r="F49" s="6">
        <f>IFERROR(P49*INDEX(Kurallar!$B$21:$B$28,MATCH(K49,Kurallar!$A$21:$A$28,0)),"")</f>
        <v>4255.2000000000007</v>
      </c>
      <c r="G49" s="7">
        <f>IFERROR(F49*INDEX(Kurallar!$C$21:$C$28,MATCH(K49,Kurallar!$A$21:$A$28,0))*INDEX(Kurallar!$B$15:$B$17,MATCH(Q49,Kurallar!$A$15:$A$17,0)),"")</f>
        <v>684938.26800000004</v>
      </c>
      <c r="H49" s="7">
        <f t="shared" si="4"/>
        <v>684938.26800000004</v>
      </c>
      <c r="I49" s="8">
        <v>1</v>
      </c>
      <c r="J49" s="5" t="s">
        <v>22</v>
      </c>
      <c r="K49" s="5" t="s">
        <v>29</v>
      </c>
      <c r="L49" s="7">
        <f t="shared" si="5"/>
        <v>684938.26800000004</v>
      </c>
      <c r="M49" s="5" t="s">
        <v>30</v>
      </c>
      <c r="N49" s="6">
        <f>IF(H49="","",H49/Kurallar!$B$16)</f>
        <v>1276.5600000000002</v>
      </c>
      <c r="O49" s="5"/>
      <c r="P49" s="6">
        <v>3152</v>
      </c>
      <c r="Q49" s="5" t="s">
        <v>31</v>
      </c>
    </row>
    <row r="50" spans="1:17" x14ac:dyDescent="0.25">
      <c r="A50" s="5">
        <v>47</v>
      </c>
      <c r="B50" s="5"/>
      <c r="C50" s="5" t="s">
        <v>26</v>
      </c>
      <c r="D50" s="5" t="s">
        <v>40</v>
      </c>
      <c r="E50" s="5" t="s">
        <v>130</v>
      </c>
      <c r="F50" s="6">
        <f>IFERROR(P50*INDEX(Kurallar!$B$21:$B$28,MATCH(K50,Kurallar!$A$21:$A$28,0)),"")</f>
        <v>332.23500000000001</v>
      </c>
      <c r="G50" s="7">
        <f>IFERROR(F50*INDEX(Kurallar!$C$21:$C$28,MATCH(K50,Kurallar!$A$21:$A$28,0))*INDEX(Kurallar!$B$15:$B$17,MATCH(Q50,Kurallar!$A$15:$A$17,0)),"")</f>
        <v>53478.206774999999</v>
      </c>
      <c r="H50" s="7">
        <f t="shared" si="4"/>
        <v>53478.206774999999</v>
      </c>
      <c r="I50" s="8">
        <v>1</v>
      </c>
      <c r="J50" s="5" t="s">
        <v>22</v>
      </c>
      <c r="K50" s="5" t="s">
        <v>29</v>
      </c>
      <c r="L50" s="7">
        <f t="shared" si="5"/>
        <v>53478.206774999999</v>
      </c>
      <c r="M50" s="5" t="s">
        <v>30</v>
      </c>
      <c r="N50" s="6">
        <f>IF(H50="","",H50/Kurallar!$B$16)</f>
        <v>99.670500000000004</v>
      </c>
      <c r="O50" s="5"/>
      <c r="P50" s="6">
        <v>246.1</v>
      </c>
      <c r="Q50" s="5" t="s">
        <v>31</v>
      </c>
    </row>
    <row r="51" spans="1:17" x14ac:dyDescent="0.25">
      <c r="A51" s="5">
        <v>48</v>
      </c>
      <c r="B51" s="5"/>
      <c r="C51" s="5" t="s">
        <v>37</v>
      </c>
      <c r="D51" s="5" t="s">
        <v>38</v>
      </c>
      <c r="E51" s="5" t="s">
        <v>39</v>
      </c>
      <c r="F51" s="6">
        <f>IFERROR(P51*INDEX(Kurallar!$B$21:$B$28,MATCH(K51,Kurallar!$A$21:$A$28,0)),"")</f>
        <v>144.58500000000001</v>
      </c>
      <c r="G51" s="7">
        <f>IFERROR(F51*INDEX(Kurallar!$C$21:$C$28,MATCH(K51,Kurallar!$A$21:$A$28,0))*INDEX(Kurallar!$B$15:$B$17,MATCH(Q51,Kurallar!$A$15:$A$17,0)),"")</f>
        <v>23273.124524999999</v>
      </c>
      <c r="H51" s="7">
        <f t="shared" si="4"/>
        <v>23273.124524999999</v>
      </c>
      <c r="I51" s="8">
        <v>1</v>
      </c>
      <c r="J51" s="5" t="s">
        <v>22</v>
      </c>
      <c r="K51" s="5" t="s">
        <v>29</v>
      </c>
      <c r="L51" s="7">
        <f t="shared" si="5"/>
        <v>23273.124524999999</v>
      </c>
      <c r="M51" s="5" t="s">
        <v>30</v>
      </c>
      <c r="N51" s="6">
        <f>IF(H51="","",H51/Kurallar!$B$16)</f>
        <v>43.375500000000002</v>
      </c>
      <c r="O51" s="5"/>
      <c r="P51" s="6">
        <v>107.1</v>
      </c>
      <c r="Q51" s="5" t="s">
        <v>31</v>
      </c>
    </row>
    <row r="52" spans="1:17" x14ac:dyDescent="0.25">
      <c r="A52" s="5">
        <v>49</v>
      </c>
      <c r="B52" s="5"/>
      <c r="C52" s="5" t="s">
        <v>37</v>
      </c>
      <c r="D52" s="5" t="s">
        <v>44</v>
      </c>
      <c r="E52" s="5" t="s">
        <v>131</v>
      </c>
      <c r="F52" s="6">
        <f>IFERROR(P52*INDEX(Kurallar!$B$21:$B$28,MATCH(K52,Kurallar!$A$21:$A$28,0)),"")</f>
        <v>110.5515</v>
      </c>
      <c r="G52" s="7">
        <f>IFERROR(F52*INDEX(Kurallar!$C$21:$C$28,MATCH(K52,Kurallar!$A$21:$A$28,0))*INDEX(Kurallar!$B$15:$B$17,MATCH(Q52,Kurallar!$A$15:$A$17,0)),"")</f>
        <v>17794.9221975</v>
      </c>
      <c r="H52" s="7">
        <f t="shared" si="4"/>
        <v>17794.9221975</v>
      </c>
      <c r="I52" s="8">
        <v>1</v>
      </c>
      <c r="J52" s="5" t="s">
        <v>22</v>
      </c>
      <c r="K52" s="5" t="s">
        <v>29</v>
      </c>
      <c r="L52" s="7">
        <f t="shared" si="5"/>
        <v>17794.9221975</v>
      </c>
      <c r="M52" s="5" t="s">
        <v>30</v>
      </c>
      <c r="N52" s="6">
        <f>IF(H52="","",H52/Kurallar!$B$16)</f>
        <v>33.16545</v>
      </c>
      <c r="O52" s="5"/>
      <c r="P52" s="6">
        <v>81.89</v>
      </c>
      <c r="Q52" s="5" t="s">
        <v>31</v>
      </c>
    </row>
    <row r="53" spans="1:17" x14ac:dyDescent="0.25">
      <c r="A53" s="5">
        <v>50</v>
      </c>
      <c r="B53" s="5"/>
      <c r="C53" s="5" t="s">
        <v>26</v>
      </c>
      <c r="D53" s="5" t="s">
        <v>83</v>
      </c>
      <c r="E53" s="5" t="s">
        <v>132</v>
      </c>
      <c r="F53" s="6">
        <f>IFERROR(P53*INDEX(Kurallar!$B$21:$B$28,MATCH(K53,Kurallar!$A$21:$A$28,0)),"")</f>
        <v>332.23500000000001</v>
      </c>
      <c r="G53" s="7">
        <f>IFERROR(F53*INDEX(Kurallar!$C$21:$C$28,MATCH(K53,Kurallar!$A$21:$A$28,0))*INDEX(Kurallar!$B$15:$B$17,MATCH(Q53,Kurallar!$A$15:$A$17,0)),"")</f>
        <v>53478.206774999999</v>
      </c>
      <c r="H53" s="7">
        <f t="shared" si="4"/>
        <v>106956.41355</v>
      </c>
      <c r="I53" s="8">
        <v>2</v>
      </c>
      <c r="J53" s="5" t="s">
        <v>22</v>
      </c>
      <c r="K53" s="5" t="s">
        <v>29</v>
      </c>
      <c r="L53" s="7">
        <f t="shared" si="5"/>
        <v>106956.41355</v>
      </c>
      <c r="M53" s="5" t="s">
        <v>30</v>
      </c>
      <c r="N53" s="6">
        <f>IF(H53="","",H53/Kurallar!$B$16)</f>
        <v>199.34100000000001</v>
      </c>
      <c r="O53" s="5"/>
      <c r="P53" s="6">
        <v>246.1</v>
      </c>
      <c r="Q53" s="5" t="s">
        <v>31</v>
      </c>
    </row>
    <row r="54" spans="1:17" x14ac:dyDescent="0.25">
      <c r="A54" s="5">
        <v>51</v>
      </c>
      <c r="B54" s="5"/>
      <c r="C54" s="5" t="s">
        <v>133</v>
      </c>
      <c r="D54" s="5" t="s">
        <v>134</v>
      </c>
      <c r="E54" s="5" t="s">
        <v>135</v>
      </c>
      <c r="F54" s="6">
        <f>IFERROR(P54*INDEX(Kurallar!$B$21:$B$28,MATCH(K54,Kurallar!$A$21:$A$28,0)),"")</f>
        <v>118.3005</v>
      </c>
      <c r="G54" s="7">
        <f>IFERROR(F54*INDEX(Kurallar!$C$21:$C$28,MATCH(K54,Kurallar!$A$21:$A$28,0))*INDEX(Kurallar!$B$15:$B$17,MATCH(Q54,Kurallar!$A$15:$A$17,0)),"")</f>
        <v>19042.239982499999</v>
      </c>
      <c r="H54" s="7">
        <f t="shared" si="4"/>
        <v>19042.239982499999</v>
      </c>
      <c r="I54" s="8">
        <v>1</v>
      </c>
      <c r="J54" s="5" t="s">
        <v>22</v>
      </c>
      <c r="K54" s="5" t="s">
        <v>29</v>
      </c>
      <c r="L54" s="7">
        <f t="shared" si="5"/>
        <v>19042.239982499999</v>
      </c>
      <c r="M54" s="5" t="s">
        <v>30</v>
      </c>
      <c r="N54" s="6">
        <f>IF(H54="","",H54/Kurallar!$B$16)</f>
        <v>35.49015</v>
      </c>
      <c r="O54" s="5"/>
      <c r="P54" s="6">
        <v>87.63</v>
      </c>
      <c r="Q54" s="5" t="s">
        <v>31</v>
      </c>
    </row>
    <row r="55" spans="1:17" x14ac:dyDescent="0.25">
      <c r="A55" s="5">
        <v>52</v>
      </c>
      <c r="B55" s="5"/>
      <c r="C55" s="5" t="s">
        <v>133</v>
      </c>
      <c r="D55" s="5" t="s">
        <v>136</v>
      </c>
      <c r="E55" s="5" t="s">
        <v>137</v>
      </c>
      <c r="F55" s="6">
        <f>IFERROR(P55*INDEX(Kurallar!$B$21:$B$28,MATCH(K55,Kurallar!$A$21:$A$28,0)),"")</f>
        <v>118.3005</v>
      </c>
      <c r="G55" s="7">
        <f>IFERROR(F55*INDEX(Kurallar!$C$21:$C$28,MATCH(K55,Kurallar!$A$21:$A$28,0))*INDEX(Kurallar!$B$15:$B$17,MATCH(Q55,Kurallar!$A$15:$A$17,0)),"")</f>
        <v>19042.239982499999</v>
      </c>
      <c r="H55" s="7">
        <f t="shared" si="4"/>
        <v>38084.479964999999</v>
      </c>
      <c r="I55" s="8">
        <v>2</v>
      </c>
      <c r="J55" s="5" t="s">
        <v>22</v>
      </c>
      <c r="K55" s="5" t="s">
        <v>29</v>
      </c>
      <c r="L55" s="7">
        <f t="shared" si="5"/>
        <v>38084.479964999999</v>
      </c>
      <c r="M55" s="5" t="s">
        <v>30</v>
      </c>
      <c r="N55" s="6">
        <f>IF(H55="","",H55/Kurallar!$B$16)</f>
        <v>70.9803</v>
      </c>
      <c r="O55" s="5"/>
      <c r="P55" s="6">
        <v>87.63</v>
      </c>
      <c r="Q55" s="5" t="s">
        <v>31</v>
      </c>
    </row>
    <row r="56" spans="1:17" x14ac:dyDescent="0.25">
      <c r="A56" s="5">
        <v>53</v>
      </c>
      <c r="B56" s="5"/>
      <c r="C56" s="5" t="s">
        <v>48</v>
      </c>
      <c r="D56" s="5" t="s">
        <v>138</v>
      </c>
      <c r="E56" s="5" t="s">
        <v>139</v>
      </c>
      <c r="F56" s="6">
        <f>IFERROR(P56*INDEX(Kurallar!$B$21:$B$28,MATCH(K56,Kurallar!$A$21:$A$28,0)),"")</f>
        <v>8329</v>
      </c>
      <c r="G56" s="7">
        <f>IFERROR(F56*INDEX(Kurallar!$C$21:$C$28,MATCH(K56,Kurallar!$A$21:$A$28,0))*INDEX(Kurallar!$B$15:$B$17,MATCH(Q56,Kurallar!$A$15:$A$17,0)),"")</f>
        <v>8329</v>
      </c>
      <c r="H56" s="7">
        <f t="shared" si="4"/>
        <v>16658</v>
      </c>
      <c r="I56" s="8">
        <v>2</v>
      </c>
      <c r="J56" s="5" t="s">
        <v>22</v>
      </c>
      <c r="K56" s="5" t="s">
        <v>51</v>
      </c>
      <c r="L56" s="7">
        <f t="shared" si="5"/>
        <v>16658</v>
      </c>
      <c r="M56" s="5" t="s">
        <v>52</v>
      </c>
      <c r="N56" s="6">
        <f>IF(H56="","",H56/Kurallar!$B$16)</f>
        <v>31.046500792097664</v>
      </c>
      <c r="O56" s="5"/>
      <c r="P56" s="6">
        <v>8329</v>
      </c>
      <c r="Q56" s="5" t="s">
        <v>25</v>
      </c>
    </row>
    <row r="57" spans="1:17" x14ac:dyDescent="0.25">
      <c r="A57" s="5">
        <v>54</v>
      </c>
      <c r="B57" s="5"/>
      <c r="C57" s="5" t="s">
        <v>53</v>
      </c>
      <c r="D57" s="5" t="s">
        <v>54</v>
      </c>
      <c r="E57" s="5" t="s">
        <v>55</v>
      </c>
      <c r="F57" s="6">
        <f>IFERROR(P57*INDEX(Kurallar!$B$21:$B$28,MATCH(K57,Kurallar!$A$21:$A$28,0)),"")</f>
        <v>151</v>
      </c>
      <c r="G57" s="7">
        <f>IFERROR(F57*INDEX(Kurallar!$C$21:$C$28,MATCH(K57,Kurallar!$A$21:$A$28,0))*INDEX(Kurallar!$B$15:$B$17,MATCH(Q57,Kurallar!$A$15:$A$17,0)),"")</f>
        <v>151</v>
      </c>
      <c r="H57" s="7">
        <f t="shared" si="4"/>
        <v>3020</v>
      </c>
      <c r="I57" s="8">
        <v>20</v>
      </c>
      <c r="J57" s="5" t="s">
        <v>22</v>
      </c>
      <c r="K57" s="5" t="s">
        <v>51</v>
      </c>
      <c r="L57" s="7">
        <f t="shared" si="5"/>
        <v>3020</v>
      </c>
      <c r="M57" s="5" t="s">
        <v>52</v>
      </c>
      <c r="N57" s="6">
        <f>IF(H57="","",H57/Kurallar!$B$16)</f>
        <v>5.6285527909794055</v>
      </c>
      <c r="O57" s="5"/>
      <c r="P57" s="6">
        <v>151</v>
      </c>
      <c r="Q57" s="5" t="s">
        <v>25</v>
      </c>
    </row>
    <row r="58" spans="1:17" x14ac:dyDescent="0.25">
      <c r="A58" s="5">
        <v>55</v>
      </c>
      <c r="B58" s="5"/>
      <c r="C58" s="5" t="s">
        <v>56</v>
      </c>
      <c r="D58" s="5" t="s">
        <v>57</v>
      </c>
      <c r="E58" s="5" t="s">
        <v>58</v>
      </c>
      <c r="F58" s="6">
        <f>IFERROR(P58*INDEX(Kurallar!$B$21:$B$28,MATCH(K58,Kurallar!$A$21:$A$28,0)),"")</f>
        <v>869</v>
      </c>
      <c r="G58" s="7">
        <f>IFERROR(F58*INDEX(Kurallar!$C$21:$C$28,MATCH(K58,Kurallar!$A$21:$A$28,0))*INDEX(Kurallar!$B$15:$B$17,MATCH(Q58,Kurallar!$A$15:$A$17,0)),"")</f>
        <v>521.4</v>
      </c>
      <c r="H58" s="7">
        <f t="shared" si="4"/>
        <v>3128.3999999999996</v>
      </c>
      <c r="I58" s="8">
        <v>6</v>
      </c>
      <c r="J58" s="5" t="s">
        <v>22</v>
      </c>
      <c r="K58" s="5" t="s">
        <v>59</v>
      </c>
      <c r="L58" s="7">
        <f t="shared" si="5"/>
        <v>3128.3999999999996</v>
      </c>
      <c r="M58" s="5" t="s">
        <v>60</v>
      </c>
      <c r="N58" s="6">
        <f>IF(H58="","",H58/Kurallar!$B$16)</f>
        <v>5.8305842885099244</v>
      </c>
      <c r="O58" s="5"/>
      <c r="P58" s="6">
        <v>869</v>
      </c>
      <c r="Q58" s="5" t="s">
        <v>25</v>
      </c>
    </row>
    <row r="59" spans="1:17" x14ac:dyDescent="0.25">
      <c r="A59" s="5">
        <v>56</v>
      </c>
      <c r="B59" s="5"/>
      <c r="C59" s="5" t="s">
        <v>56</v>
      </c>
      <c r="D59" s="5" t="s">
        <v>61</v>
      </c>
      <c r="E59" s="5" t="s">
        <v>62</v>
      </c>
      <c r="F59" s="6">
        <f>IFERROR(P59*INDEX(Kurallar!$B$21:$B$28,MATCH(K59,Kurallar!$A$21:$A$28,0)),"")</f>
        <v>1808</v>
      </c>
      <c r="G59" s="7">
        <f>IFERROR(F59*INDEX(Kurallar!$C$21:$C$28,MATCH(K59,Kurallar!$A$21:$A$28,0))*INDEX(Kurallar!$B$15:$B$17,MATCH(Q59,Kurallar!$A$15:$A$17,0)),"")</f>
        <v>1808</v>
      </c>
      <c r="H59" s="7">
        <f t="shared" si="4"/>
        <v>10848</v>
      </c>
      <c r="I59" s="8">
        <v>6</v>
      </c>
      <c r="J59" s="5" t="s">
        <v>22</v>
      </c>
      <c r="K59" s="5" t="s">
        <v>51</v>
      </c>
      <c r="L59" s="7">
        <f t="shared" si="5"/>
        <v>10848</v>
      </c>
      <c r="M59" s="5" t="s">
        <v>60</v>
      </c>
      <c r="N59" s="6">
        <f>IF(H59="","",H59/Kurallar!$B$16)</f>
        <v>20.218059826670395</v>
      </c>
      <c r="O59" s="5"/>
      <c r="P59" s="6">
        <v>1808</v>
      </c>
      <c r="Q59" s="5" t="s">
        <v>25</v>
      </c>
    </row>
    <row r="60" spans="1:17" x14ac:dyDescent="0.25">
      <c r="A60" s="5">
        <v>57</v>
      </c>
      <c r="B60" s="5"/>
      <c r="C60" s="5" t="s">
        <v>56</v>
      </c>
      <c r="D60" s="5"/>
      <c r="E60" s="5" t="s">
        <v>63</v>
      </c>
      <c r="F60" s="5"/>
      <c r="G60" s="7">
        <f>SUM(H47:H59)*Kurallar!$B$34</f>
        <v>42071.617319849996</v>
      </c>
      <c r="H60" s="7">
        <f>IF(G60="","",G60*I60)</f>
        <v>42071.617319849996</v>
      </c>
      <c r="I60" s="8">
        <v>1</v>
      </c>
      <c r="J60" s="5" t="s">
        <v>64</v>
      </c>
      <c r="K60" s="5" t="s">
        <v>65</v>
      </c>
      <c r="L60" s="7">
        <f>H60</f>
        <v>42071.617319849996</v>
      </c>
      <c r="M60" s="5" t="s">
        <v>60</v>
      </c>
      <c r="N60" s="5"/>
      <c r="O60" s="5"/>
      <c r="P60" s="5"/>
      <c r="Q60" s="5"/>
    </row>
    <row r="61" spans="1:17" x14ac:dyDescent="0.25">
      <c r="A61" s="5">
        <v>58</v>
      </c>
      <c r="B61" s="5"/>
      <c r="C61" s="5" t="s">
        <v>66</v>
      </c>
      <c r="D61" s="5"/>
      <c r="E61" s="5" t="s">
        <v>67</v>
      </c>
      <c r="F61" s="9">
        <f>I61/60</f>
        <v>21.428333333333331</v>
      </c>
      <c r="G61" s="7">
        <f>Kurallar!$B$32</f>
        <v>100</v>
      </c>
      <c r="H61" s="7">
        <f>IF(G61="","",G61*I61)</f>
        <v>128569.99999999999</v>
      </c>
      <c r="I61" s="8">
        <f>Kurallar!$I$59</f>
        <v>1285.6999999999998</v>
      </c>
      <c r="J61" s="5" t="s">
        <v>68</v>
      </c>
      <c r="K61" s="5" t="s">
        <v>69</v>
      </c>
      <c r="L61" s="5"/>
      <c r="M61" s="5" t="s">
        <v>70</v>
      </c>
      <c r="N61" s="5"/>
      <c r="O61" s="5"/>
      <c r="P61" s="5"/>
      <c r="Q61" s="5"/>
    </row>
    <row r="62" spans="1:17" x14ac:dyDescent="0.25">
      <c r="A62" s="2"/>
      <c r="B62" s="4" t="s">
        <v>140</v>
      </c>
      <c r="C62" s="2"/>
      <c r="D62" s="2"/>
      <c r="E62" s="2"/>
      <c r="F62" s="2"/>
      <c r="G62" s="2"/>
      <c r="H62" s="10">
        <f>SUBTOTAL(9,H47:H61)</f>
        <v>1573028.8613148499</v>
      </c>
      <c r="I62" s="4">
        <v>1</v>
      </c>
      <c r="J62" s="4" t="s">
        <v>64</v>
      </c>
      <c r="K62" s="2"/>
      <c r="L62" s="10">
        <f>SUBTOTAL(9,L47:L60)</f>
        <v>1444458.8613148499</v>
      </c>
      <c r="M62" s="2"/>
      <c r="N62" s="11">
        <f>IF(H62="","",H62/Kurallar!$B$16)</f>
        <v>2931.7470157764424</v>
      </c>
      <c r="O62" s="2"/>
      <c r="P62" s="2"/>
      <c r="Q62" s="2"/>
    </row>
    <row r="63" spans="1:17" x14ac:dyDescent="0.25">
      <c r="A63" s="12">
        <v>59</v>
      </c>
      <c r="B63" s="12"/>
      <c r="C63" s="12" t="s">
        <v>72</v>
      </c>
      <c r="D63" s="12" t="s">
        <v>73</v>
      </c>
      <c r="E63" s="12" t="s">
        <v>74</v>
      </c>
      <c r="F63" s="12"/>
      <c r="G63" s="12"/>
      <c r="H63" s="12"/>
      <c r="I63" s="13">
        <v>1</v>
      </c>
      <c r="J63" s="12" t="s">
        <v>22</v>
      </c>
      <c r="K63" s="12" t="s">
        <v>29</v>
      </c>
      <c r="L63" s="12"/>
      <c r="M63" s="12" t="s">
        <v>30</v>
      </c>
      <c r="N63" s="12"/>
      <c r="O63" s="12"/>
      <c r="P63" s="12"/>
      <c r="Q63" s="12"/>
    </row>
    <row r="64" spans="1:17" x14ac:dyDescent="0.25">
      <c r="A64" s="2">
        <v>60</v>
      </c>
      <c r="B64" s="3" t="str">
        <f>E64</f>
        <v>ЩУ AFL Cargo (AFL MAST CONTROL PANEL)</v>
      </c>
      <c r="C64" s="2"/>
      <c r="D64" s="2"/>
      <c r="E64" s="4" t="s">
        <v>141</v>
      </c>
      <c r="F64" s="2"/>
      <c r="G64" s="2"/>
      <c r="H64" s="2"/>
      <c r="I64" s="4">
        <v>1</v>
      </c>
      <c r="J64" s="4" t="s">
        <v>18</v>
      </c>
      <c r="K64" s="2"/>
      <c r="L64" s="2"/>
      <c r="M64" s="2"/>
      <c r="N64" s="2"/>
      <c r="O64" s="2"/>
      <c r="P64" s="2"/>
      <c r="Q64" s="2"/>
    </row>
    <row r="65" spans="1:17" x14ac:dyDescent="0.25">
      <c r="A65" s="5">
        <v>61</v>
      </c>
      <c r="B65" s="5"/>
      <c r="C65" s="5" t="s">
        <v>19</v>
      </c>
      <c r="D65" s="5" t="s">
        <v>81</v>
      </c>
      <c r="E65" s="5" t="s">
        <v>82</v>
      </c>
      <c r="F65" s="6">
        <f>IFERROR(P65*INDEX(Kurallar!$B$21:$B$28,MATCH(K65,Kurallar!$A$21:$A$28,0)),"")</f>
        <v>30540</v>
      </c>
      <c r="G65" s="7">
        <f>IFERROR(F65*INDEX(Kurallar!$C$21:$C$28,MATCH(K65,Kurallar!$A$21:$A$28,0))*INDEX(Kurallar!$B$15:$B$17,MATCH(Q65,Kurallar!$A$15:$A$17,0)),"")</f>
        <v>30540</v>
      </c>
      <c r="H65" s="7">
        <f t="shared" ref="H65:H83" si="6">IF(OR(G65="",I65=""),"",G65*I65)</f>
        <v>30540</v>
      </c>
      <c r="I65" s="8">
        <v>1</v>
      </c>
      <c r="J65" s="5" t="s">
        <v>22</v>
      </c>
      <c r="K65" s="5" t="s">
        <v>23</v>
      </c>
      <c r="L65" s="7">
        <f t="shared" ref="L65:L83" si="7">IF(H65="","",H65)</f>
        <v>30540</v>
      </c>
      <c r="M65" s="5" t="s">
        <v>24</v>
      </c>
      <c r="N65" s="6">
        <f>IF(H65="","",H65/Kurallar!$B$16)</f>
        <v>56.919206038579823</v>
      </c>
      <c r="O65" s="5"/>
      <c r="P65" s="6">
        <v>30540</v>
      </c>
      <c r="Q65" s="5" t="s">
        <v>25</v>
      </c>
    </row>
    <row r="66" spans="1:17" x14ac:dyDescent="0.25">
      <c r="A66" s="5">
        <v>62</v>
      </c>
      <c r="B66" s="5"/>
      <c r="C66" s="5" t="s">
        <v>26</v>
      </c>
      <c r="D66" s="5" t="s">
        <v>83</v>
      </c>
      <c r="E66" s="5" t="s">
        <v>84</v>
      </c>
      <c r="F66" s="6">
        <f>IFERROR(P66*INDEX(Kurallar!$B$21:$B$28,MATCH(K66,Kurallar!$A$21:$A$28,0)),"")</f>
        <v>332.23500000000001</v>
      </c>
      <c r="G66" s="7">
        <f>IFERROR(F66*INDEX(Kurallar!$C$21:$C$28,MATCH(K66,Kurallar!$A$21:$A$28,0))*INDEX(Kurallar!$B$15:$B$17,MATCH(Q66,Kurallar!$A$15:$A$17,0)),"")</f>
        <v>53478.206774999999</v>
      </c>
      <c r="H66" s="7">
        <f t="shared" si="6"/>
        <v>53478.206774999999</v>
      </c>
      <c r="I66" s="8">
        <v>1</v>
      </c>
      <c r="J66" s="5" t="s">
        <v>22</v>
      </c>
      <c r="K66" s="5" t="s">
        <v>29</v>
      </c>
      <c r="L66" s="7">
        <f t="shared" si="7"/>
        <v>53478.206774999999</v>
      </c>
      <c r="M66" s="5" t="s">
        <v>30</v>
      </c>
      <c r="N66" s="6">
        <f>IF(H66="","",H66/Kurallar!$B$16)</f>
        <v>99.670500000000004</v>
      </c>
      <c r="O66" s="5"/>
      <c r="P66" s="6">
        <v>246.1</v>
      </c>
      <c r="Q66" s="5" t="s">
        <v>31</v>
      </c>
    </row>
    <row r="67" spans="1:17" x14ac:dyDescent="0.25">
      <c r="A67" s="5">
        <v>63</v>
      </c>
      <c r="B67" s="5"/>
      <c r="C67" s="5" t="s">
        <v>37</v>
      </c>
      <c r="D67" s="5" t="s">
        <v>85</v>
      </c>
      <c r="E67" s="5" t="s">
        <v>86</v>
      </c>
      <c r="F67" s="6">
        <f>IFERROR(P67*INDEX(Kurallar!$B$21:$B$28,MATCH(K67,Kurallar!$A$21:$A$28,0)),"")</f>
        <v>15.849000000000002</v>
      </c>
      <c r="G67" s="7">
        <f>IFERROR(F67*INDEX(Kurallar!$C$21:$C$28,MATCH(K67,Kurallar!$A$21:$A$28,0))*INDEX(Kurallar!$B$15:$B$17,MATCH(Q67,Kurallar!$A$15:$A$17,0)),"")</f>
        <v>2551.1342850000001</v>
      </c>
      <c r="H67" s="7">
        <f t="shared" si="6"/>
        <v>2551.1342850000001</v>
      </c>
      <c r="I67" s="8">
        <v>1</v>
      </c>
      <c r="J67" s="5" t="s">
        <v>22</v>
      </c>
      <c r="K67" s="5" t="s">
        <v>29</v>
      </c>
      <c r="L67" s="7">
        <f t="shared" si="7"/>
        <v>2551.1342850000001</v>
      </c>
      <c r="M67" s="5" t="s">
        <v>30</v>
      </c>
      <c r="N67" s="6">
        <f>IF(H67="","",H67/Kurallar!$B$16)</f>
        <v>4.7547000000000006</v>
      </c>
      <c r="O67" s="5"/>
      <c r="P67" s="6">
        <v>11.74</v>
      </c>
      <c r="Q67" s="5" t="s">
        <v>31</v>
      </c>
    </row>
    <row r="68" spans="1:17" x14ac:dyDescent="0.25">
      <c r="A68" s="5">
        <v>64</v>
      </c>
      <c r="B68" s="5"/>
      <c r="C68" s="5" t="s">
        <v>37</v>
      </c>
      <c r="D68" s="5" t="s">
        <v>38</v>
      </c>
      <c r="E68" s="5" t="s">
        <v>87</v>
      </c>
      <c r="F68" s="6">
        <f>IFERROR(P68*INDEX(Kurallar!$B$21:$B$28,MATCH(K68,Kurallar!$A$21:$A$28,0)),"")</f>
        <v>144.58500000000001</v>
      </c>
      <c r="G68" s="7">
        <f>IFERROR(F68*INDEX(Kurallar!$C$21:$C$28,MATCH(K68,Kurallar!$A$21:$A$28,0))*INDEX(Kurallar!$B$15:$B$17,MATCH(Q68,Kurallar!$A$15:$A$17,0)),"")</f>
        <v>23273.124524999999</v>
      </c>
      <c r="H68" s="7">
        <f t="shared" si="6"/>
        <v>93092.498099999997</v>
      </c>
      <c r="I68" s="8">
        <v>4</v>
      </c>
      <c r="J68" s="5" t="s">
        <v>22</v>
      </c>
      <c r="K68" s="5" t="s">
        <v>29</v>
      </c>
      <c r="L68" s="7">
        <f t="shared" si="7"/>
        <v>93092.498099999997</v>
      </c>
      <c r="M68" s="5" t="s">
        <v>30</v>
      </c>
      <c r="N68" s="6">
        <f>IF(H68="","",H68/Kurallar!$B$16)</f>
        <v>173.50200000000001</v>
      </c>
      <c r="O68" s="5"/>
      <c r="P68" s="6">
        <v>107.1</v>
      </c>
      <c r="Q68" s="5" t="s">
        <v>31</v>
      </c>
    </row>
    <row r="69" spans="1:17" x14ac:dyDescent="0.25">
      <c r="A69" s="5">
        <v>65</v>
      </c>
      <c r="B69" s="5"/>
      <c r="C69" s="5" t="s">
        <v>37</v>
      </c>
      <c r="D69" s="5" t="s">
        <v>88</v>
      </c>
      <c r="E69" s="5" t="s">
        <v>89</v>
      </c>
      <c r="F69" s="6">
        <f>IFERROR(P69*INDEX(Kurallar!$B$21:$B$28,MATCH(K69,Kurallar!$A$21:$A$28,0)),"")</f>
        <v>106.3125</v>
      </c>
      <c r="G69" s="7">
        <f>IFERROR(F69*INDEX(Kurallar!$C$21:$C$28,MATCH(K69,Kurallar!$A$21:$A$28,0))*INDEX(Kurallar!$B$15:$B$17,MATCH(Q69,Kurallar!$A$15:$A$17,0)),"")</f>
        <v>17112.591562499998</v>
      </c>
      <c r="H69" s="7">
        <f t="shared" si="6"/>
        <v>17112.591562499998</v>
      </c>
      <c r="I69" s="8">
        <v>1</v>
      </c>
      <c r="J69" s="5" t="s">
        <v>22</v>
      </c>
      <c r="K69" s="5" t="s">
        <v>29</v>
      </c>
      <c r="L69" s="7">
        <f t="shared" si="7"/>
        <v>17112.591562499998</v>
      </c>
      <c r="M69" s="5" t="s">
        <v>30</v>
      </c>
      <c r="N69" s="6">
        <f>IF(H69="","",H69/Kurallar!$B$16)</f>
        <v>31.893749999999997</v>
      </c>
      <c r="O69" s="5"/>
      <c r="P69" s="6">
        <v>78.75</v>
      </c>
      <c r="Q69" s="5" t="s">
        <v>31</v>
      </c>
    </row>
    <row r="70" spans="1:17" x14ac:dyDescent="0.25">
      <c r="A70" s="5">
        <v>66</v>
      </c>
      <c r="B70" s="5"/>
      <c r="C70" s="5" t="s">
        <v>37</v>
      </c>
      <c r="D70" s="5" t="s">
        <v>90</v>
      </c>
      <c r="E70" s="5" t="s">
        <v>91</v>
      </c>
      <c r="F70" s="6">
        <f>IFERROR(P70*INDEX(Kurallar!$B$21:$B$28,MATCH(K70,Kurallar!$A$21:$A$28,0)),"")</f>
        <v>18.886500000000002</v>
      </c>
      <c r="G70" s="7">
        <f>IFERROR(F70*INDEX(Kurallar!$C$21:$C$28,MATCH(K70,Kurallar!$A$21:$A$28,0))*INDEX(Kurallar!$B$15:$B$17,MATCH(Q70,Kurallar!$A$15:$A$17,0)),"")</f>
        <v>3040.0654724999999</v>
      </c>
      <c r="H70" s="7">
        <f t="shared" si="6"/>
        <v>3040.0654724999999</v>
      </c>
      <c r="I70" s="8">
        <v>1</v>
      </c>
      <c r="J70" s="5" t="s">
        <v>22</v>
      </c>
      <c r="K70" s="5" t="s">
        <v>29</v>
      </c>
      <c r="L70" s="7">
        <f t="shared" si="7"/>
        <v>3040.0654724999999</v>
      </c>
      <c r="M70" s="5" t="s">
        <v>30</v>
      </c>
      <c r="N70" s="6">
        <f>IF(H70="","",H70/Kurallar!$B$16)</f>
        <v>5.6659500000000005</v>
      </c>
      <c r="O70" s="5"/>
      <c r="P70" s="6">
        <v>13.99</v>
      </c>
      <c r="Q70" s="5" t="s">
        <v>31</v>
      </c>
    </row>
    <row r="71" spans="1:17" x14ac:dyDescent="0.25">
      <c r="A71" s="5">
        <v>67</v>
      </c>
      <c r="B71" s="5"/>
      <c r="C71" s="5" t="s">
        <v>92</v>
      </c>
      <c r="D71" s="5" t="s">
        <v>93</v>
      </c>
      <c r="E71" s="5" t="s">
        <v>94</v>
      </c>
      <c r="F71" s="6">
        <f>IFERROR(P71*INDEX(Kurallar!$B$21:$B$28,MATCH(K71,Kurallar!$A$21:$A$28,0)),"")</f>
        <v>247.45500000000004</v>
      </c>
      <c r="G71" s="7">
        <f>IFERROR(F71*INDEX(Kurallar!$C$21:$C$28,MATCH(K71,Kurallar!$A$21:$A$28,0))*INDEX(Kurallar!$B$15:$B$17,MATCH(Q71,Kurallar!$A$15:$A$17,0)),"")</f>
        <v>39831.594075000001</v>
      </c>
      <c r="H71" s="7">
        <f t="shared" si="6"/>
        <v>159326.3763</v>
      </c>
      <c r="I71" s="8">
        <v>4</v>
      </c>
      <c r="J71" s="5" t="s">
        <v>22</v>
      </c>
      <c r="K71" s="5" t="s">
        <v>29</v>
      </c>
      <c r="L71" s="7">
        <f t="shared" si="7"/>
        <v>159326.3763</v>
      </c>
      <c r="M71" s="5" t="s">
        <v>95</v>
      </c>
      <c r="N71" s="6">
        <f>IF(H71="","",H71/Kurallar!$B$16)</f>
        <v>296.94600000000003</v>
      </c>
      <c r="O71" s="5"/>
      <c r="P71" s="6">
        <v>183.3</v>
      </c>
      <c r="Q71" s="5" t="s">
        <v>31</v>
      </c>
    </row>
    <row r="72" spans="1:17" x14ac:dyDescent="0.25">
      <c r="A72" s="5">
        <v>68</v>
      </c>
      <c r="B72" s="5"/>
      <c r="C72" s="5" t="s">
        <v>96</v>
      </c>
      <c r="D72" s="5" t="s">
        <v>97</v>
      </c>
      <c r="E72" s="5" t="s">
        <v>98</v>
      </c>
      <c r="F72" s="6">
        <f>IFERROR(P72*INDEX(Kurallar!$B$21:$B$28,MATCH(K72,Kurallar!$A$21:$A$28,0)),"")</f>
        <v>194.94000000000003</v>
      </c>
      <c r="G72" s="7">
        <f>IFERROR(F72*INDEX(Kurallar!$C$21:$C$28,MATCH(K72,Kurallar!$A$21:$A$28,0))*INDEX(Kurallar!$B$15:$B$17,MATCH(Q72,Kurallar!$A$15:$A$17,0)),"")</f>
        <v>31378.517100000001</v>
      </c>
      <c r="H72" s="7">
        <f t="shared" si="6"/>
        <v>31378.517100000001</v>
      </c>
      <c r="I72" s="8">
        <v>1</v>
      </c>
      <c r="J72" s="5" t="s">
        <v>22</v>
      </c>
      <c r="K72" s="5" t="s">
        <v>29</v>
      </c>
      <c r="L72" s="7">
        <f t="shared" si="7"/>
        <v>31378.517100000001</v>
      </c>
      <c r="M72" s="5" t="s">
        <v>95</v>
      </c>
      <c r="N72" s="6">
        <f>IF(H72="","",H72/Kurallar!$B$16)</f>
        <v>58.482000000000006</v>
      </c>
      <c r="O72" s="5"/>
      <c r="P72" s="6">
        <v>144.4</v>
      </c>
      <c r="Q72" s="5" t="s">
        <v>31</v>
      </c>
    </row>
    <row r="73" spans="1:17" x14ac:dyDescent="0.25">
      <c r="A73" s="5">
        <v>69</v>
      </c>
      <c r="B73" s="5"/>
      <c r="C73" s="5" t="s">
        <v>96</v>
      </c>
      <c r="D73" s="5" t="s">
        <v>99</v>
      </c>
      <c r="E73" s="5" t="s">
        <v>100</v>
      </c>
      <c r="F73" s="6">
        <f>IFERROR(P73*INDEX(Kurallar!$B$21:$B$28,MATCH(K73,Kurallar!$A$21:$A$28,0)),"")</f>
        <v>17.320500000000003</v>
      </c>
      <c r="G73" s="7">
        <f>IFERROR(F73*INDEX(Kurallar!$C$21:$C$28,MATCH(K73,Kurallar!$A$21:$A$28,0))*INDEX(Kurallar!$B$15:$B$17,MATCH(Q73,Kurallar!$A$15:$A$17,0)),"")</f>
        <v>2787.9942824999998</v>
      </c>
      <c r="H73" s="7">
        <f t="shared" si="6"/>
        <v>2787.9942824999998</v>
      </c>
      <c r="I73" s="8">
        <v>1</v>
      </c>
      <c r="J73" s="5" t="s">
        <v>22</v>
      </c>
      <c r="K73" s="5" t="s">
        <v>29</v>
      </c>
      <c r="L73" s="7">
        <f t="shared" si="7"/>
        <v>2787.9942824999998</v>
      </c>
      <c r="M73" s="5" t="s">
        <v>95</v>
      </c>
      <c r="N73" s="6">
        <f>IF(H73="","",H73/Kurallar!$B$16)</f>
        <v>5.1961500000000003</v>
      </c>
      <c r="O73" s="5"/>
      <c r="P73" s="6">
        <v>12.83</v>
      </c>
      <c r="Q73" s="5" t="s">
        <v>31</v>
      </c>
    </row>
    <row r="74" spans="1:17" x14ac:dyDescent="0.25">
      <c r="A74" s="5">
        <v>70</v>
      </c>
      <c r="B74" s="5"/>
      <c r="C74" s="5" t="s">
        <v>101</v>
      </c>
      <c r="D74" s="5" t="s">
        <v>102</v>
      </c>
      <c r="E74" s="5" t="s">
        <v>103</v>
      </c>
      <c r="F74" s="6">
        <f>IFERROR(P74*INDEX(Kurallar!$B$21:$B$28,MATCH(K74,Kurallar!$A$21:$A$28,0)),"")</f>
        <v>11.475000000000001</v>
      </c>
      <c r="G74" s="7">
        <f>IFERROR(F74*INDEX(Kurallar!$C$21:$C$28,MATCH(K74,Kurallar!$A$21:$A$28,0))*INDEX(Kurallar!$B$15:$B$17,MATCH(Q74,Kurallar!$A$15:$A$17,0)),"")</f>
        <v>1847.0733749999999</v>
      </c>
      <c r="H74" s="7">
        <f t="shared" si="6"/>
        <v>1847.0733749999999</v>
      </c>
      <c r="I74" s="8">
        <v>1</v>
      </c>
      <c r="J74" s="5" t="s">
        <v>22</v>
      </c>
      <c r="K74" s="5" t="s">
        <v>29</v>
      </c>
      <c r="L74" s="7">
        <f t="shared" si="7"/>
        <v>1847.0733749999999</v>
      </c>
      <c r="M74" s="5" t="s">
        <v>95</v>
      </c>
      <c r="N74" s="6">
        <f>IF(H74="","",H74/Kurallar!$B$16)</f>
        <v>3.4425000000000003</v>
      </c>
      <c r="O74" s="5"/>
      <c r="P74" s="6">
        <v>8.5</v>
      </c>
      <c r="Q74" s="5" t="s">
        <v>31</v>
      </c>
    </row>
    <row r="75" spans="1:17" x14ac:dyDescent="0.25">
      <c r="A75" s="5">
        <v>71</v>
      </c>
      <c r="B75" s="5"/>
      <c r="C75" s="5" t="s">
        <v>104</v>
      </c>
      <c r="D75" s="5" t="s">
        <v>105</v>
      </c>
      <c r="E75" s="5" t="s">
        <v>106</v>
      </c>
      <c r="F75" s="6">
        <f>IFERROR(P75*INDEX(Kurallar!$B$21:$B$28,MATCH(K75,Kurallar!$A$21:$A$28,0)),"")</f>
        <v>17.725500000000004</v>
      </c>
      <c r="G75" s="7">
        <f>IFERROR(F75*INDEX(Kurallar!$C$21:$C$28,MATCH(K75,Kurallar!$A$21:$A$28,0))*INDEX(Kurallar!$B$15:$B$17,MATCH(Q75,Kurallar!$A$15:$A$17,0)),"")</f>
        <v>2853.1851075000004</v>
      </c>
      <c r="H75" s="7">
        <f t="shared" si="6"/>
        <v>2853.1851075000004</v>
      </c>
      <c r="I75" s="8">
        <v>1</v>
      </c>
      <c r="J75" s="5" t="s">
        <v>22</v>
      </c>
      <c r="K75" s="5" t="s">
        <v>29</v>
      </c>
      <c r="L75" s="7">
        <f t="shared" si="7"/>
        <v>2853.1851075000004</v>
      </c>
      <c r="M75" s="5" t="s">
        <v>95</v>
      </c>
      <c r="N75" s="6">
        <f>IF(H75="","",H75/Kurallar!$B$16)</f>
        <v>5.3176500000000013</v>
      </c>
      <c r="O75" s="5"/>
      <c r="P75" s="6">
        <v>13.13</v>
      </c>
      <c r="Q75" s="5" t="s">
        <v>31</v>
      </c>
    </row>
    <row r="76" spans="1:17" x14ac:dyDescent="0.25">
      <c r="A76" s="5">
        <v>72</v>
      </c>
      <c r="B76" s="5"/>
      <c r="C76" s="5" t="s">
        <v>107</v>
      </c>
      <c r="D76" s="5" t="s">
        <v>108</v>
      </c>
      <c r="E76" s="5" t="s">
        <v>109</v>
      </c>
      <c r="F76" s="6">
        <f>IFERROR(P76*INDEX(Kurallar!$B$21:$B$28,MATCH(K76,Kurallar!$A$21:$A$28,0)),"")</f>
        <v>12.987</v>
      </c>
      <c r="G76" s="7">
        <f>IFERROR(F76*INDEX(Kurallar!$C$21:$C$28,MATCH(K76,Kurallar!$A$21:$A$28,0))*INDEX(Kurallar!$B$15:$B$17,MATCH(Q76,Kurallar!$A$15:$A$17,0)),"")</f>
        <v>2090.4524549999996</v>
      </c>
      <c r="H76" s="7">
        <f t="shared" si="6"/>
        <v>2090.4524549999996</v>
      </c>
      <c r="I76" s="8">
        <v>1</v>
      </c>
      <c r="J76" s="5" t="s">
        <v>22</v>
      </c>
      <c r="K76" s="5" t="s">
        <v>29</v>
      </c>
      <c r="L76" s="7">
        <f t="shared" si="7"/>
        <v>2090.4524549999996</v>
      </c>
      <c r="M76" s="5" t="s">
        <v>95</v>
      </c>
      <c r="N76" s="6">
        <f>IF(H76="","",H76/Kurallar!$B$16)</f>
        <v>3.8960999999999997</v>
      </c>
      <c r="O76" s="5"/>
      <c r="P76" s="6">
        <v>9.6199999999999992</v>
      </c>
      <c r="Q76" s="5" t="s">
        <v>31</v>
      </c>
    </row>
    <row r="77" spans="1:17" x14ac:dyDescent="0.25">
      <c r="A77" s="5">
        <v>73</v>
      </c>
      <c r="B77" s="5"/>
      <c r="C77" s="5" t="s">
        <v>48</v>
      </c>
      <c r="D77" s="5" t="s">
        <v>110</v>
      </c>
      <c r="E77" s="5" t="s">
        <v>111</v>
      </c>
      <c r="F77" s="6">
        <f>IFERROR(P77*INDEX(Kurallar!$B$21:$B$28,MATCH(K77,Kurallar!$A$21:$A$28,0)),"")</f>
        <v>12699</v>
      </c>
      <c r="G77" s="7">
        <f>IFERROR(F77*INDEX(Kurallar!$C$21:$C$28,MATCH(K77,Kurallar!$A$21:$A$28,0))*INDEX(Kurallar!$B$15:$B$17,MATCH(Q77,Kurallar!$A$15:$A$17,0)),"")</f>
        <v>7619.4</v>
      </c>
      <c r="H77" s="7">
        <f t="shared" si="6"/>
        <v>7619.4</v>
      </c>
      <c r="I77" s="8">
        <v>1</v>
      </c>
      <c r="J77" s="5" t="s">
        <v>22</v>
      </c>
      <c r="K77" s="5" t="s">
        <v>59</v>
      </c>
      <c r="L77" s="7">
        <f t="shared" si="7"/>
        <v>7619.4</v>
      </c>
      <c r="M77" s="5" t="s">
        <v>52</v>
      </c>
      <c r="N77" s="6">
        <f>IF(H77="","",H77/Kurallar!$B$16)</f>
        <v>14.200726866088901</v>
      </c>
      <c r="O77" s="5"/>
      <c r="P77" s="6">
        <v>12699</v>
      </c>
      <c r="Q77" s="5" t="s">
        <v>25</v>
      </c>
    </row>
    <row r="78" spans="1:17" x14ac:dyDescent="0.25">
      <c r="A78" s="5">
        <v>74</v>
      </c>
      <c r="B78" s="5"/>
      <c r="C78" s="5" t="s">
        <v>48</v>
      </c>
      <c r="D78" s="5" t="s">
        <v>112</v>
      </c>
      <c r="E78" s="5" t="s">
        <v>113</v>
      </c>
      <c r="F78" s="6">
        <f>IFERROR(P78*INDEX(Kurallar!$B$21:$B$28,MATCH(K78,Kurallar!$A$21:$A$28,0)),"")</f>
        <v>2567</v>
      </c>
      <c r="G78" s="7">
        <f>IFERROR(F78*INDEX(Kurallar!$C$21:$C$28,MATCH(K78,Kurallar!$A$21:$A$28,0))*INDEX(Kurallar!$B$15:$B$17,MATCH(Q78,Kurallar!$A$15:$A$17,0)),"")</f>
        <v>2567</v>
      </c>
      <c r="H78" s="7">
        <f t="shared" si="6"/>
        <v>2567</v>
      </c>
      <c r="I78" s="8">
        <v>1</v>
      </c>
      <c r="J78" s="5" t="s">
        <v>22</v>
      </c>
      <c r="K78" s="5" t="s">
        <v>51</v>
      </c>
      <c r="L78" s="7">
        <f t="shared" si="7"/>
        <v>2567</v>
      </c>
      <c r="M78" s="5" t="s">
        <v>52</v>
      </c>
      <c r="N78" s="6">
        <f>IF(H78="","",H78/Kurallar!$B$16)</f>
        <v>4.7842698723324952</v>
      </c>
      <c r="O78" s="5"/>
      <c r="P78" s="6">
        <v>2567</v>
      </c>
      <c r="Q78" s="5" t="s">
        <v>25</v>
      </c>
    </row>
    <row r="79" spans="1:17" x14ac:dyDescent="0.25">
      <c r="A79" s="5">
        <v>75</v>
      </c>
      <c r="B79" s="5"/>
      <c r="C79" s="5" t="s">
        <v>48</v>
      </c>
      <c r="D79" s="5" t="s">
        <v>114</v>
      </c>
      <c r="E79" s="5" t="s">
        <v>142</v>
      </c>
      <c r="F79" s="6">
        <f>IFERROR(P79*INDEX(Kurallar!$B$21:$B$28,MATCH(K79,Kurallar!$A$21:$A$28,0)),"")</f>
        <v>4204</v>
      </c>
      <c r="G79" s="7">
        <f>IFERROR(F79*INDEX(Kurallar!$C$21:$C$28,MATCH(K79,Kurallar!$A$21:$A$28,0))*INDEX(Kurallar!$B$15:$B$17,MATCH(Q79,Kurallar!$A$15:$A$17,0)),"")</f>
        <v>4204</v>
      </c>
      <c r="H79" s="7">
        <f t="shared" si="6"/>
        <v>4204</v>
      </c>
      <c r="I79" s="8">
        <v>1</v>
      </c>
      <c r="J79" s="5" t="s">
        <v>22</v>
      </c>
      <c r="K79" s="5" t="s">
        <v>51</v>
      </c>
      <c r="L79" s="7">
        <f t="shared" si="7"/>
        <v>4204</v>
      </c>
      <c r="M79" s="5" t="s">
        <v>52</v>
      </c>
      <c r="N79" s="6">
        <f>IF(H79="","",H79/Kurallar!$B$16)</f>
        <v>7.8352436865157031</v>
      </c>
      <c r="O79" s="5"/>
      <c r="P79" s="6">
        <v>4204</v>
      </c>
      <c r="Q79" s="5" t="s">
        <v>25</v>
      </c>
    </row>
    <row r="80" spans="1:17" x14ac:dyDescent="0.25">
      <c r="A80" s="5">
        <v>76</v>
      </c>
      <c r="B80" s="5"/>
      <c r="C80" s="5" t="s">
        <v>53</v>
      </c>
      <c r="D80" s="5" t="s">
        <v>116</v>
      </c>
      <c r="E80" s="5" t="s">
        <v>117</v>
      </c>
      <c r="F80" s="6">
        <f>IFERROR(P80*INDEX(Kurallar!$B$21:$B$28,MATCH(K80,Kurallar!$A$21:$A$28,0)),"")</f>
        <v>90</v>
      </c>
      <c r="G80" s="7">
        <f>IFERROR(F80*INDEX(Kurallar!$C$21:$C$28,MATCH(K80,Kurallar!$A$21:$A$28,0))*INDEX(Kurallar!$B$15:$B$17,MATCH(Q80,Kurallar!$A$15:$A$17,0)),"")</f>
        <v>90</v>
      </c>
      <c r="H80" s="7">
        <f t="shared" si="6"/>
        <v>1800</v>
      </c>
      <c r="I80" s="8">
        <v>20</v>
      </c>
      <c r="J80" s="5" t="s">
        <v>22</v>
      </c>
      <c r="K80" s="5" t="s">
        <v>51</v>
      </c>
      <c r="L80" s="7">
        <f t="shared" si="7"/>
        <v>1800</v>
      </c>
      <c r="M80" s="5" t="s">
        <v>52</v>
      </c>
      <c r="N80" s="6">
        <f>IF(H80="","",H80/Kurallar!$B$16)</f>
        <v>3.3547665641599109</v>
      </c>
      <c r="O80" s="5"/>
      <c r="P80" s="6">
        <v>90</v>
      </c>
      <c r="Q80" s="5" t="s">
        <v>25</v>
      </c>
    </row>
    <row r="81" spans="1:17" x14ac:dyDescent="0.25">
      <c r="A81" s="5">
        <v>77</v>
      </c>
      <c r="B81" s="5"/>
      <c r="C81" s="5" t="s">
        <v>53</v>
      </c>
      <c r="D81" s="5" t="s">
        <v>54</v>
      </c>
      <c r="E81" s="5" t="s">
        <v>118</v>
      </c>
      <c r="F81" s="6">
        <f>IFERROR(P81*INDEX(Kurallar!$B$21:$B$28,MATCH(K81,Kurallar!$A$21:$A$28,0)),"")</f>
        <v>151</v>
      </c>
      <c r="G81" s="7">
        <f>IFERROR(F81*INDEX(Kurallar!$C$21:$C$28,MATCH(K81,Kurallar!$A$21:$A$28,0))*INDEX(Kurallar!$B$15:$B$17,MATCH(Q81,Kurallar!$A$15:$A$17,0)),"")</f>
        <v>151</v>
      </c>
      <c r="H81" s="7">
        <f t="shared" si="6"/>
        <v>1812</v>
      </c>
      <c r="I81" s="8">
        <v>12</v>
      </c>
      <c r="J81" s="5" t="s">
        <v>22</v>
      </c>
      <c r="K81" s="5" t="s">
        <v>51</v>
      </c>
      <c r="L81" s="7">
        <f t="shared" si="7"/>
        <v>1812</v>
      </c>
      <c r="M81" s="5" t="s">
        <v>52</v>
      </c>
      <c r="N81" s="6">
        <f>IF(H81="","",H81/Kurallar!$B$16)</f>
        <v>3.3771316745876434</v>
      </c>
      <c r="O81" s="5"/>
      <c r="P81" s="6">
        <v>151</v>
      </c>
      <c r="Q81" s="5" t="s">
        <v>25</v>
      </c>
    </row>
    <row r="82" spans="1:17" x14ac:dyDescent="0.25">
      <c r="A82" s="5">
        <v>78</v>
      </c>
      <c r="B82" s="5"/>
      <c r="C82" s="5" t="s">
        <v>56</v>
      </c>
      <c r="D82" s="5" t="s">
        <v>57</v>
      </c>
      <c r="E82" s="5" t="s">
        <v>58</v>
      </c>
      <c r="F82" s="6">
        <f>IFERROR(P82*INDEX(Kurallar!$B$21:$B$28,MATCH(K82,Kurallar!$A$21:$A$28,0)),"")</f>
        <v>869</v>
      </c>
      <c r="G82" s="7">
        <f>IFERROR(F82*INDEX(Kurallar!$C$21:$C$28,MATCH(K82,Kurallar!$A$21:$A$28,0))*INDEX(Kurallar!$B$15:$B$17,MATCH(Q82,Kurallar!$A$15:$A$17,0)),"")</f>
        <v>521.4</v>
      </c>
      <c r="H82" s="7">
        <f t="shared" si="6"/>
        <v>2607</v>
      </c>
      <c r="I82" s="8">
        <v>5</v>
      </c>
      <c r="J82" s="5" t="s">
        <v>22</v>
      </c>
      <c r="K82" s="5" t="s">
        <v>59</v>
      </c>
      <c r="L82" s="7">
        <f t="shared" si="7"/>
        <v>2607</v>
      </c>
      <c r="M82" s="5" t="s">
        <v>60</v>
      </c>
      <c r="N82" s="6">
        <f>IF(H82="","",H82/Kurallar!$B$16)</f>
        <v>4.8588202404249374</v>
      </c>
      <c r="O82" s="5"/>
      <c r="P82" s="6">
        <v>869</v>
      </c>
      <c r="Q82" s="5" t="s">
        <v>25</v>
      </c>
    </row>
    <row r="83" spans="1:17" x14ac:dyDescent="0.25">
      <c r="A83" s="5">
        <v>79</v>
      </c>
      <c r="B83" s="5"/>
      <c r="C83" s="5" t="s">
        <v>56</v>
      </c>
      <c r="D83" s="5" t="s">
        <v>119</v>
      </c>
      <c r="E83" s="5" t="s">
        <v>120</v>
      </c>
      <c r="F83" s="6">
        <f>IFERROR(P83*INDEX(Kurallar!$B$21:$B$28,MATCH(K83,Kurallar!$A$21:$A$28,0)),"")</f>
        <v>1094</v>
      </c>
      <c r="G83" s="7">
        <f>IFERROR(F83*INDEX(Kurallar!$C$21:$C$28,MATCH(K83,Kurallar!$A$21:$A$28,0))*INDEX(Kurallar!$B$15:$B$17,MATCH(Q83,Kurallar!$A$15:$A$17,0)),"")</f>
        <v>1094</v>
      </c>
      <c r="H83" s="7">
        <f t="shared" si="6"/>
        <v>5470</v>
      </c>
      <c r="I83" s="8">
        <v>5</v>
      </c>
      <c r="J83" s="5" t="s">
        <v>22</v>
      </c>
      <c r="K83" s="5" t="s">
        <v>51</v>
      </c>
      <c r="L83" s="7">
        <f t="shared" si="7"/>
        <v>5470</v>
      </c>
      <c r="M83" s="5" t="s">
        <v>60</v>
      </c>
      <c r="N83" s="6">
        <f>IF(H83="","",H83/Kurallar!$B$16)</f>
        <v>10.194762836641507</v>
      </c>
      <c r="O83" s="5"/>
      <c r="P83" s="6">
        <v>1094</v>
      </c>
      <c r="Q83" s="5" t="s">
        <v>25</v>
      </c>
    </row>
    <row r="84" spans="1:17" x14ac:dyDescent="0.25">
      <c r="A84" s="5">
        <v>80</v>
      </c>
      <c r="B84" s="5"/>
      <c r="C84" s="5" t="s">
        <v>56</v>
      </c>
      <c r="D84" s="5"/>
      <c r="E84" s="5" t="s">
        <v>63</v>
      </c>
      <c r="F84" s="5"/>
      <c r="G84" s="7">
        <f>SUM(H65:H83)*Kurallar!$B$34</f>
        <v>12785.32484445</v>
      </c>
      <c r="H84" s="7">
        <f>IF(G84="","",G84*I84)</f>
        <v>12785.32484445</v>
      </c>
      <c r="I84" s="8">
        <v>1</v>
      </c>
      <c r="J84" s="5" t="s">
        <v>64</v>
      </c>
      <c r="K84" s="5" t="s">
        <v>65</v>
      </c>
      <c r="L84" s="7">
        <f>H84</f>
        <v>12785.32484445</v>
      </c>
      <c r="M84" s="5" t="s">
        <v>60</v>
      </c>
      <c r="N84" s="5"/>
      <c r="O84" s="5"/>
      <c r="P84" s="5"/>
      <c r="Q84" s="5"/>
    </row>
    <row r="85" spans="1:17" x14ac:dyDescent="0.25">
      <c r="A85" s="5">
        <v>81</v>
      </c>
      <c r="B85" s="5"/>
      <c r="C85" s="5" t="s">
        <v>66</v>
      </c>
      <c r="D85" s="5"/>
      <c r="E85" s="5" t="s">
        <v>67</v>
      </c>
      <c r="F85" s="9">
        <f>I85/60</f>
        <v>13.876666666666665</v>
      </c>
      <c r="G85" s="7">
        <f>Kurallar!$B$32</f>
        <v>100</v>
      </c>
      <c r="H85" s="7">
        <f>IF(G85="","",G85*I85)</f>
        <v>83259.999999999985</v>
      </c>
      <c r="I85" s="8">
        <f>Kurallar!$K$59</f>
        <v>832.59999999999991</v>
      </c>
      <c r="J85" s="5" t="s">
        <v>68</v>
      </c>
      <c r="K85" s="5" t="s">
        <v>69</v>
      </c>
      <c r="L85" s="5"/>
      <c r="M85" s="5" t="s">
        <v>70</v>
      </c>
      <c r="N85" s="5"/>
      <c r="O85" s="5"/>
      <c r="P85" s="5"/>
      <c r="Q85" s="5"/>
    </row>
    <row r="86" spans="1:17" x14ac:dyDescent="0.25">
      <c r="A86" s="2"/>
      <c r="B86" s="4" t="s">
        <v>143</v>
      </c>
      <c r="C86" s="2"/>
      <c r="D86" s="2"/>
      <c r="E86" s="2"/>
      <c r="F86" s="2"/>
      <c r="G86" s="2"/>
      <c r="H86" s="10">
        <f>SUBTOTAL(9,H65:H85)</f>
        <v>522222.81965945003</v>
      </c>
      <c r="I86" s="4">
        <v>1</v>
      </c>
      <c r="J86" s="4" t="s">
        <v>64</v>
      </c>
      <c r="K86" s="2"/>
      <c r="L86" s="10">
        <f>SUBTOTAL(9,L65:L84)</f>
        <v>438962.81965945003</v>
      </c>
      <c r="M86" s="2"/>
      <c r="N86" s="11">
        <f>IF(H86="","",H86/Kurallar!$B$16)</f>
        <v>973.29758579712995</v>
      </c>
      <c r="O86" s="2"/>
      <c r="P86" s="2"/>
      <c r="Q86" s="2"/>
    </row>
    <row r="87" spans="1:17" x14ac:dyDescent="0.25">
      <c r="A87" s="12">
        <v>82</v>
      </c>
      <c r="B87" s="12"/>
      <c r="C87" s="12" t="s">
        <v>104</v>
      </c>
      <c r="D87" s="12"/>
      <c r="E87" s="12" t="s">
        <v>122</v>
      </c>
      <c r="F87" s="12"/>
      <c r="G87" s="12"/>
      <c r="H87" s="12"/>
      <c r="I87" s="13">
        <v>1</v>
      </c>
      <c r="J87" s="12" t="s">
        <v>22</v>
      </c>
      <c r="K87" s="12"/>
      <c r="L87" s="12"/>
      <c r="M87" s="12" t="s">
        <v>95</v>
      </c>
      <c r="N87" s="12"/>
      <c r="O87" s="12"/>
      <c r="P87" s="12"/>
      <c r="Q87" s="12"/>
    </row>
    <row r="88" spans="1:17" x14ac:dyDescent="0.25">
      <c r="A88" s="2">
        <v>83</v>
      </c>
      <c r="B88" s="3" t="str">
        <f>E88</f>
        <v>SUB 19 AFL LV DB (VIP)</v>
      </c>
      <c r="C88" s="2"/>
      <c r="D88" s="2"/>
      <c r="E88" s="4" t="s">
        <v>144</v>
      </c>
      <c r="F88" s="2"/>
      <c r="G88" s="2"/>
      <c r="H88" s="2"/>
      <c r="I88" s="4">
        <v>1</v>
      </c>
      <c r="J88" s="4" t="s">
        <v>18</v>
      </c>
      <c r="K88" s="2"/>
      <c r="L88" s="2"/>
      <c r="M88" s="2"/>
      <c r="N88" s="2"/>
      <c r="O88" s="2"/>
      <c r="P88" s="2"/>
      <c r="Q88" s="2"/>
    </row>
    <row r="89" spans="1:17" x14ac:dyDescent="0.25">
      <c r="A89" s="5">
        <v>84</v>
      </c>
      <c r="B89" s="5"/>
      <c r="C89" s="5" t="s">
        <v>19</v>
      </c>
      <c r="D89" s="5" t="s">
        <v>81</v>
      </c>
      <c r="E89" s="5" t="s">
        <v>82</v>
      </c>
      <c r="F89" s="6">
        <f>IFERROR(P89*INDEX(Kurallar!$B$21:$B$28,MATCH(K89,Kurallar!$A$21:$A$28,0)),"")</f>
        <v>30540</v>
      </c>
      <c r="G89" s="7">
        <f>IFERROR(F89*INDEX(Kurallar!$C$21:$C$28,MATCH(K89,Kurallar!$A$21:$A$28,0))*INDEX(Kurallar!$B$15:$B$17,MATCH(Q89,Kurallar!$A$15:$A$17,0)),"")</f>
        <v>30540</v>
      </c>
      <c r="H89" s="7">
        <f t="shared" ref="H89:H96" si="8">IF(OR(G89="",I89=""),"",G89*I89)</f>
        <v>30540</v>
      </c>
      <c r="I89" s="8">
        <v>1</v>
      </c>
      <c r="J89" s="5" t="s">
        <v>22</v>
      </c>
      <c r="K89" s="5" t="s">
        <v>23</v>
      </c>
      <c r="L89" s="7">
        <f t="shared" ref="L89:L96" si="9">IF(H89="","",H89)</f>
        <v>30540</v>
      </c>
      <c r="M89" s="5" t="s">
        <v>24</v>
      </c>
      <c r="N89" s="6">
        <f>IF(H89="","",H89/Kurallar!$B$16)</f>
        <v>56.919206038579823</v>
      </c>
      <c r="O89" s="5"/>
      <c r="P89" s="6">
        <v>30540</v>
      </c>
      <c r="Q89" s="5" t="s">
        <v>25</v>
      </c>
    </row>
    <row r="90" spans="1:17" x14ac:dyDescent="0.25">
      <c r="A90" s="5">
        <v>85</v>
      </c>
      <c r="B90" s="5"/>
      <c r="C90" s="5" t="s">
        <v>26</v>
      </c>
      <c r="D90" s="5" t="s">
        <v>40</v>
      </c>
      <c r="E90" s="5" t="s">
        <v>145</v>
      </c>
      <c r="F90" s="6">
        <f>IFERROR(P90*INDEX(Kurallar!$B$21:$B$28,MATCH(K90,Kurallar!$A$21:$A$28,0)),"")</f>
        <v>332.23500000000001</v>
      </c>
      <c r="G90" s="7">
        <f>IFERROR(F90*INDEX(Kurallar!$C$21:$C$28,MATCH(K90,Kurallar!$A$21:$A$28,0))*INDEX(Kurallar!$B$15:$B$17,MATCH(Q90,Kurallar!$A$15:$A$17,0)),"")</f>
        <v>53478.206774999999</v>
      </c>
      <c r="H90" s="7">
        <f t="shared" si="8"/>
        <v>53478.206774999999</v>
      </c>
      <c r="I90" s="8">
        <v>1</v>
      </c>
      <c r="J90" s="5" t="s">
        <v>22</v>
      </c>
      <c r="K90" s="5" t="s">
        <v>29</v>
      </c>
      <c r="L90" s="7">
        <f t="shared" si="9"/>
        <v>53478.206774999999</v>
      </c>
      <c r="M90" s="5" t="s">
        <v>30</v>
      </c>
      <c r="N90" s="6">
        <f>IF(H90="","",H90/Kurallar!$B$16)</f>
        <v>99.670500000000004</v>
      </c>
      <c r="O90" s="5"/>
      <c r="P90" s="6">
        <v>246.1</v>
      </c>
      <c r="Q90" s="5" t="s">
        <v>31</v>
      </c>
    </row>
    <row r="91" spans="1:17" x14ac:dyDescent="0.25">
      <c r="A91" s="5">
        <v>86</v>
      </c>
      <c r="B91" s="5"/>
      <c r="C91" s="5" t="s">
        <v>72</v>
      </c>
      <c r="D91" s="5" t="s">
        <v>146</v>
      </c>
      <c r="E91" s="5" t="s">
        <v>147</v>
      </c>
      <c r="F91" s="6">
        <f>IFERROR(P91*INDEX(Kurallar!$B$21:$B$28,MATCH(K91,Kurallar!$A$21:$A$28,0)),"")</f>
        <v>487.62</v>
      </c>
      <c r="G91" s="7">
        <f>IFERROR(F91*INDEX(Kurallar!$C$21:$C$28,MATCH(K91,Kurallar!$A$21:$A$28,0))*INDEX(Kurallar!$B$15:$B$17,MATCH(Q91,Kurallar!$A$15:$A$17,0)),"")</f>
        <v>78489.753299999997</v>
      </c>
      <c r="H91" s="7">
        <f t="shared" si="8"/>
        <v>78489.753299999997</v>
      </c>
      <c r="I91" s="8">
        <v>1</v>
      </c>
      <c r="J91" s="5" t="s">
        <v>22</v>
      </c>
      <c r="K91" s="5" t="s">
        <v>29</v>
      </c>
      <c r="L91" s="7">
        <f t="shared" si="9"/>
        <v>78489.753299999997</v>
      </c>
      <c r="M91" s="5" t="s">
        <v>30</v>
      </c>
      <c r="N91" s="6">
        <f>IF(H91="","",H91/Kurallar!$B$16)</f>
        <v>146.286</v>
      </c>
      <c r="O91" s="5"/>
      <c r="P91" s="6">
        <v>361.2</v>
      </c>
      <c r="Q91" s="5" t="s">
        <v>31</v>
      </c>
    </row>
    <row r="92" spans="1:17" x14ac:dyDescent="0.25">
      <c r="A92" s="5">
        <v>87</v>
      </c>
      <c r="B92" s="5"/>
      <c r="C92" s="5" t="s">
        <v>37</v>
      </c>
      <c r="D92" s="5" t="s">
        <v>88</v>
      </c>
      <c r="E92" s="5" t="s">
        <v>148</v>
      </c>
      <c r="F92" s="6">
        <f>IFERROR(P92*INDEX(Kurallar!$B$21:$B$28,MATCH(K92,Kurallar!$A$21:$A$28,0)),"")</f>
        <v>106.3125</v>
      </c>
      <c r="G92" s="7">
        <f>IFERROR(F92*INDEX(Kurallar!$C$21:$C$28,MATCH(K92,Kurallar!$A$21:$A$28,0))*INDEX(Kurallar!$B$15:$B$17,MATCH(Q92,Kurallar!$A$15:$A$17,0)),"")</f>
        <v>17112.591562499998</v>
      </c>
      <c r="H92" s="7">
        <f t="shared" si="8"/>
        <v>51337.774687499994</v>
      </c>
      <c r="I92" s="8">
        <v>3</v>
      </c>
      <c r="J92" s="5" t="s">
        <v>22</v>
      </c>
      <c r="K92" s="5" t="s">
        <v>29</v>
      </c>
      <c r="L92" s="7">
        <f t="shared" si="9"/>
        <v>51337.774687499994</v>
      </c>
      <c r="M92" s="5" t="s">
        <v>30</v>
      </c>
      <c r="N92" s="6">
        <f>IF(H92="","",H92/Kurallar!$B$16)</f>
        <v>95.681249999999991</v>
      </c>
      <c r="O92" s="5"/>
      <c r="P92" s="6">
        <v>78.75</v>
      </c>
      <c r="Q92" s="5" t="s">
        <v>31</v>
      </c>
    </row>
    <row r="93" spans="1:17" x14ac:dyDescent="0.25">
      <c r="A93" s="5">
        <v>88</v>
      </c>
      <c r="B93" s="5"/>
      <c r="C93" s="5" t="s">
        <v>48</v>
      </c>
      <c r="D93" s="5" t="s">
        <v>112</v>
      </c>
      <c r="E93" s="5" t="s">
        <v>113</v>
      </c>
      <c r="F93" s="6">
        <f>IFERROR(P93*INDEX(Kurallar!$B$21:$B$28,MATCH(K93,Kurallar!$A$21:$A$28,0)),"")</f>
        <v>2567</v>
      </c>
      <c r="G93" s="7">
        <f>IFERROR(F93*INDEX(Kurallar!$C$21:$C$28,MATCH(K93,Kurallar!$A$21:$A$28,0))*INDEX(Kurallar!$B$15:$B$17,MATCH(Q93,Kurallar!$A$15:$A$17,0)),"")</f>
        <v>2567</v>
      </c>
      <c r="H93" s="7">
        <f t="shared" si="8"/>
        <v>2567</v>
      </c>
      <c r="I93" s="8">
        <v>1</v>
      </c>
      <c r="J93" s="5" t="s">
        <v>22</v>
      </c>
      <c r="K93" s="5" t="s">
        <v>51</v>
      </c>
      <c r="L93" s="7">
        <f t="shared" si="9"/>
        <v>2567</v>
      </c>
      <c r="M93" s="5" t="s">
        <v>52</v>
      </c>
      <c r="N93" s="6">
        <f>IF(H93="","",H93/Kurallar!$B$16)</f>
        <v>4.7842698723324952</v>
      </c>
      <c r="O93" s="5"/>
      <c r="P93" s="6">
        <v>2567</v>
      </c>
      <c r="Q93" s="5" t="s">
        <v>25</v>
      </c>
    </row>
    <row r="94" spans="1:17" x14ac:dyDescent="0.25">
      <c r="A94" s="5">
        <v>89</v>
      </c>
      <c r="B94" s="5"/>
      <c r="C94" s="5" t="s">
        <v>53</v>
      </c>
      <c r="D94" s="5" t="s">
        <v>149</v>
      </c>
      <c r="E94" s="5" t="s">
        <v>150</v>
      </c>
      <c r="F94" s="6">
        <f>IFERROR(P94*INDEX(Kurallar!$B$21:$B$28,MATCH(K94,Kurallar!$A$21:$A$28,0)),"")</f>
        <v>235</v>
      </c>
      <c r="G94" s="7">
        <f>IFERROR(F94*INDEX(Kurallar!$C$21:$C$28,MATCH(K94,Kurallar!$A$21:$A$28,0))*INDEX(Kurallar!$B$15:$B$17,MATCH(Q94,Kurallar!$A$15:$A$17,0)),"")</f>
        <v>235</v>
      </c>
      <c r="H94" s="7">
        <f t="shared" si="8"/>
        <v>3760</v>
      </c>
      <c r="I94" s="8">
        <v>16</v>
      </c>
      <c r="J94" s="5" t="s">
        <v>22</v>
      </c>
      <c r="K94" s="5" t="s">
        <v>51</v>
      </c>
      <c r="L94" s="7">
        <f t="shared" si="9"/>
        <v>3760</v>
      </c>
      <c r="M94" s="5" t="s">
        <v>52</v>
      </c>
      <c r="N94" s="6">
        <f>IF(H94="","",H94/Kurallar!$B$16)</f>
        <v>7.0077346006895915</v>
      </c>
      <c r="O94" s="5"/>
      <c r="P94" s="6">
        <v>235</v>
      </c>
      <c r="Q94" s="5" t="s">
        <v>25</v>
      </c>
    </row>
    <row r="95" spans="1:17" x14ac:dyDescent="0.25">
      <c r="A95" s="5">
        <v>90</v>
      </c>
      <c r="B95" s="5"/>
      <c r="C95" s="5" t="s">
        <v>56</v>
      </c>
      <c r="D95" s="5" t="s">
        <v>57</v>
      </c>
      <c r="E95" s="5" t="s">
        <v>58</v>
      </c>
      <c r="F95" s="6">
        <f>IFERROR(P95*INDEX(Kurallar!$B$21:$B$28,MATCH(K95,Kurallar!$A$21:$A$28,0)),"")</f>
        <v>869</v>
      </c>
      <c r="G95" s="7">
        <f>IFERROR(F95*INDEX(Kurallar!$C$21:$C$28,MATCH(K95,Kurallar!$A$21:$A$28,0))*INDEX(Kurallar!$B$15:$B$17,MATCH(Q95,Kurallar!$A$15:$A$17,0)),"")</f>
        <v>521.4</v>
      </c>
      <c r="H95" s="7">
        <f t="shared" si="8"/>
        <v>1564.1999999999998</v>
      </c>
      <c r="I95" s="8">
        <v>3</v>
      </c>
      <c r="J95" s="5" t="s">
        <v>22</v>
      </c>
      <c r="K95" s="5" t="s">
        <v>59</v>
      </c>
      <c r="L95" s="7">
        <f t="shared" si="9"/>
        <v>1564.1999999999998</v>
      </c>
      <c r="M95" s="5" t="s">
        <v>60</v>
      </c>
      <c r="N95" s="6">
        <f>IF(H95="","",H95/Kurallar!$B$16)</f>
        <v>2.9152921442549622</v>
      </c>
      <c r="O95" s="5"/>
      <c r="P95" s="6">
        <v>869</v>
      </c>
      <c r="Q95" s="5" t="s">
        <v>25</v>
      </c>
    </row>
    <row r="96" spans="1:17" x14ac:dyDescent="0.25">
      <c r="A96" s="5">
        <v>91</v>
      </c>
      <c r="B96" s="5"/>
      <c r="C96" s="5" t="s">
        <v>56</v>
      </c>
      <c r="D96" s="5" t="s">
        <v>119</v>
      </c>
      <c r="E96" s="5" t="s">
        <v>120</v>
      </c>
      <c r="F96" s="6">
        <f>IFERROR(P96*INDEX(Kurallar!$B$21:$B$28,MATCH(K96,Kurallar!$A$21:$A$28,0)),"")</f>
        <v>1094</v>
      </c>
      <c r="G96" s="7">
        <f>IFERROR(F96*INDEX(Kurallar!$C$21:$C$28,MATCH(K96,Kurallar!$A$21:$A$28,0))*INDEX(Kurallar!$B$15:$B$17,MATCH(Q96,Kurallar!$A$15:$A$17,0)),"")</f>
        <v>1094</v>
      </c>
      <c r="H96" s="7">
        <f t="shared" si="8"/>
        <v>3282</v>
      </c>
      <c r="I96" s="8">
        <v>3</v>
      </c>
      <c r="J96" s="5" t="s">
        <v>22</v>
      </c>
      <c r="K96" s="5" t="s">
        <v>51</v>
      </c>
      <c r="L96" s="7">
        <f t="shared" si="9"/>
        <v>3282</v>
      </c>
      <c r="M96" s="5" t="s">
        <v>60</v>
      </c>
      <c r="N96" s="6">
        <f>IF(H96="","",H96/Kurallar!$B$16)</f>
        <v>6.1168577019849044</v>
      </c>
      <c r="O96" s="5"/>
      <c r="P96" s="6">
        <v>1094</v>
      </c>
      <c r="Q96" s="5" t="s">
        <v>25</v>
      </c>
    </row>
    <row r="97" spans="1:17" x14ac:dyDescent="0.25">
      <c r="A97" s="5">
        <v>92</v>
      </c>
      <c r="B97" s="5"/>
      <c r="C97" s="5" t="s">
        <v>56</v>
      </c>
      <c r="D97" s="5"/>
      <c r="E97" s="5" t="s">
        <v>63</v>
      </c>
      <c r="F97" s="5"/>
      <c r="G97" s="7">
        <f>SUM(H89:H96)*Kurallar!$B$34</f>
        <v>6750.5680428750002</v>
      </c>
      <c r="H97" s="7">
        <f>IF(G97="","",G97*I97)</f>
        <v>6750.5680428750002</v>
      </c>
      <c r="I97" s="8">
        <v>1</v>
      </c>
      <c r="J97" s="5" t="s">
        <v>64</v>
      </c>
      <c r="K97" s="5" t="s">
        <v>65</v>
      </c>
      <c r="L97" s="7">
        <f>H97</f>
        <v>6750.5680428750002</v>
      </c>
      <c r="M97" s="5" t="s">
        <v>60</v>
      </c>
      <c r="N97" s="5"/>
      <c r="O97" s="5"/>
      <c r="P97" s="5"/>
      <c r="Q97" s="5"/>
    </row>
    <row r="98" spans="1:17" x14ac:dyDescent="0.25">
      <c r="A98" s="5">
        <v>93</v>
      </c>
      <c r="B98" s="5"/>
      <c r="C98" s="5" t="s">
        <v>66</v>
      </c>
      <c r="D98" s="5"/>
      <c r="E98" s="5" t="s">
        <v>67</v>
      </c>
      <c r="F98" s="9">
        <f>I98/60</f>
        <v>5.6158333333333328</v>
      </c>
      <c r="G98" s="7">
        <f>Kurallar!$B$32</f>
        <v>100</v>
      </c>
      <c r="H98" s="7">
        <f>IF(G98="","",G98*I98)</f>
        <v>33695</v>
      </c>
      <c r="I98" s="8">
        <f>Kurallar!$M$59</f>
        <v>336.95</v>
      </c>
      <c r="J98" s="5" t="s">
        <v>68</v>
      </c>
      <c r="K98" s="5" t="s">
        <v>69</v>
      </c>
      <c r="L98" s="5"/>
      <c r="M98" s="5" t="s">
        <v>70</v>
      </c>
      <c r="N98" s="5"/>
      <c r="O98" s="5"/>
      <c r="P98" s="5"/>
      <c r="Q98" s="5"/>
    </row>
    <row r="99" spans="1:17" x14ac:dyDescent="0.25">
      <c r="A99" s="2"/>
      <c r="B99" s="4" t="s">
        <v>151</v>
      </c>
      <c r="C99" s="2"/>
      <c r="D99" s="2"/>
      <c r="E99" s="2"/>
      <c r="F99" s="2"/>
      <c r="G99" s="2"/>
      <c r="H99" s="10">
        <f>SUBTOTAL(9,H89:H98)</f>
        <v>265464.50280537503</v>
      </c>
      <c r="I99" s="4">
        <v>1</v>
      </c>
      <c r="J99" s="4" t="s">
        <v>64</v>
      </c>
      <c r="K99" s="2"/>
      <c r="L99" s="10">
        <f>SUBTOTAL(9,L89:L97)</f>
        <v>231769.50280537503</v>
      </c>
      <c r="M99" s="2"/>
      <c r="N99" s="11">
        <f>IF(H99="","",H99/Kurallar!$B$16)</f>
        <v>494.76190999044832</v>
      </c>
      <c r="O99" s="2"/>
      <c r="P99" s="2"/>
      <c r="Q99" s="2"/>
    </row>
    <row r="100" spans="1:17" x14ac:dyDescent="0.25">
      <c r="A100" s="2">
        <v>94</v>
      </c>
      <c r="B100" s="3" t="str">
        <f>E100</f>
        <v>ЩО PB-V1 (VIP)</v>
      </c>
      <c r="C100" s="2"/>
      <c r="D100" s="2"/>
      <c r="E100" s="4" t="s">
        <v>152</v>
      </c>
      <c r="F100" s="2"/>
      <c r="G100" s="2"/>
      <c r="H100" s="2"/>
      <c r="I100" s="4">
        <v>1</v>
      </c>
      <c r="J100" s="4" t="s">
        <v>18</v>
      </c>
      <c r="K100" s="2"/>
      <c r="L100" s="2"/>
      <c r="M100" s="2"/>
      <c r="N100" s="2"/>
      <c r="O100" s="2"/>
      <c r="P100" s="2"/>
      <c r="Q100" s="2"/>
    </row>
    <row r="101" spans="1:17" x14ac:dyDescent="0.25">
      <c r="A101" s="5">
        <v>95</v>
      </c>
      <c r="B101" s="5"/>
      <c r="C101" s="5" t="s">
        <v>19</v>
      </c>
      <c r="D101" s="5" t="s">
        <v>153</v>
      </c>
      <c r="E101" s="5" t="s">
        <v>154</v>
      </c>
      <c r="F101" s="6">
        <f>IFERROR(P101*INDEX(Kurallar!$B$21:$B$28,MATCH(K101,Kurallar!$A$21:$A$28,0)),"")</f>
        <v>17365</v>
      </c>
      <c r="G101" s="7">
        <f>IFERROR(F101*INDEX(Kurallar!$C$21:$C$28,MATCH(K101,Kurallar!$A$21:$A$28,0))*INDEX(Kurallar!$B$15:$B$17,MATCH(Q101,Kurallar!$A$15:$A$17,0)),"")</f>
        <v>17365</v>
      </c>
      <c r="H101" s="7">
        <f t="shared" ref="H101:H108" si="10">IF(OR(G101="",I101=""),"",G101*I101)</f>
        <v>17365</v>
      </c>
      <c r="I101" s="8">
        <v>1</v>
      </c>
      <c r="J101" s="5" t="s">
        <v>22</v>
      </c>
      <c r="K101" s="5" t="s">
        <v>23</v>
      </c>
      <c r="L101" s="7">
        <f t="shared" ref="L101:L108" si="11">IF(H101="","",H101)</f>
        <v>17365</v>
      </c>
      <c r="M101" s="5" t="s">
        <v>24</v>
      </c>
      <c r="N101" s="6">
        <f>IF(H101="","",H101/Kurallar!$B$16)</f>
        <v>32.364178548131584</v>
      </c>
      <c r="O101" s="5"/>
      <c r="P101" s="6">
        <v>17365</v>
      </c>
      <c r="Q101" s="5" t="s">
        <v>25</v>
      </c>
    </row>
    <row r="102" spans="1:17" x14ac:dyDescent="0.25">
      <c r="A102" s="5">
        <v>96</v>
      </c>
      <c r="B102" s="5"/>
      <c r="C102" s="5" t="s">
        <v>37</v>
      </c>
      <c r="D102" s="5" t="s">
        <v>155</v>
      </c>
      <c r="E102" s="5" t="s">
        <v>156</v>
      </c>
      <c r="F102" s="6">
        <f>IFERROR(P102*INDEX(Kurallar!$B$21:$B$28,MATCH(K102,Kurallar!$A$21:$A$28,0)),"")</f>
        <v>127.58850000000001</v>
      </c>
      <c r="G102" s="7">
        <f>IFERROR(F102*INDEX(Kurallar!$C$21:$C$28,MATCH(K102,Kurallar!$A$21:$A$28,0))*INDEX(Kurallar!$B$15:$B$17,MATCH(Q102,Kurallar!$A$15:$A$17,0)),"")</f>
        <v>20537.282902499999</v>
      </c>
      <c r="H102" s="7">
        <f t="shared" si="10"/>
        <v>20537.282902499999</v>
      </c>
      <c r="I102" s="8">
        <v>1</v>
      </c>
      <c r="J102" s="5" t="s">
        <v>22</v>
      </c>
      <c r="K102" s="5" t="s">
        <v>29</v>
      </c>
      <c r="L102" s="7">
        <f t="shared" si="11"/>
        <v>20537.282902499999</v>
      </c>
      <c r="M102" s="5" t="s">
        <v>30</v>
      </c>
      <c r="N102" s="6">
        <f>IF(H102="","",H102/Kurallar!$B$16)</f>
        <v>38.27655</v>
      </c>
      <c r="O102" s="5"/>
      <c r="P102" s="6">
        <v>94.51</v>
      </c>
      <c r="Q102" s="5" t="s">
        <v>31</v>
      </c>
    </row>
    <row r="103" spans="1:17" x14ac:dyDescent="0.25">
      <c r="A103" s="5">
        <v>97</v>
      </c>
      <c r="B103" s="5"/>
      <c r="C103" s="5" t="s">
        <v>72</v>
      </c>
      <c r="D103" s="5" t="s">
        <v>146</v>
      </c>
      <c r="E103" s="5" t="s">
        <v>147</v>
      </c>
      <c r="F103" s="6">
        <f>IFERROR(P103*INDEX(Kurallar!$B$21:$B$28,MATCH(K103,Kurallar!$A$21:$A$28,0)),"")</f>
        <v>487.62</v>
      </c>
      <c r="G103" s="7">
        <f>IFERROR(F103*INDEX(Kurallar!$C$21:$C$28,MATCH(K103,Kurallar!$A$21:$A$28,0))*INDEX(Kurallar!$B$15:$B$17,MATCH(Q103,Kurallar!$A$15:$A$17,0)),"")</f>
        <v>78489.753299999997</v>
      </c>
      <c r="H103" s="7">
        <f t="shared" si="10"/>
        <v>78489.753299999997</v>
      </c>
      <c r="I103" s="8">
        <v>1</v>
      </c>
      <c r="J103" s="5" t="s">
        <v>22</v>
      </c>
      <c r="K103" s="5" t="s">
        <v>29</v>
      </c>
      <c r="L103" s="7">
        <f t="shared" si="11"/>
        <v>78489.753299999997</v>
      </c>
      <c r="M103" s="5" t="s">
        <v>30</v>
      </c>
      <c r="N103" s="6">
        <f>IF(H103="","",H103/Kurallar!$B$16)</f>
        <v>146.286</v>
      </c>
      <c r="O103" s="5"/>
      <c r="P103" s="6">
        <v>361.2</v>
      </c>
      <c r="Q103" s="5" t="s">
        <v>31</v>
      </c>
    </row>
    <row r="104" spans="1:17" x14ac:dyDescent="0.25">
      <c r="A104" s="5">
        <v>98</v>
      </c>
      <c r="B104" s="5"/>
      <c r="C104" s="5" t="s">
        <v>37</v>
      </c>
      <c r="D104" s="5" t="s">
        <v>88</v>
      </c>
      <c r="E104" s="5" t="s">
        <v>157</v>
      </c>
      <c r="F104" s="6">
        <f>IFERROR(P104*INDEX(Kurallar!$B$21:$B$28,MATCH(K104,Kurallar!$A$21:$A$28,0)),"")</f>
        <v>106.3125</v>
      </c>
      <c r="G104" s="7">
        <f>IFERROR(F104*INDEX(Kurallar!$C$21:$C$28,MATCH(K104,Kurallar!$A$21:$A$28,0))*INDEX(Kurallar!$B$15:$B$17,MATCH(Q104,Kurallar!$A$15:$A$17,0)),"")</f>
        <v>17112.591562499998</v>
      </c>
      <c r="H104" s="7">
        <f t="shared" si="10"/>
        <v>68450.366249999992</v>
      </c>
      <c r="I104" s="8">
        <v>4</v>
      </c>
      <c r="J104" s="5" t="s">
        <v>22</v>
      </c>
      <c r="K104" s="5" t="s">
        <v>29</v>
      </c>
      <c r="L104" s="7">
        <f t="shared" si="11"/>
        <v>68450.366249999992</v>
      </c>
      <c r="M104" s="5" t="s">
        <v>30</v>
      </c>
      <c r="N104" s="6">
        <f>IF(H104="","",H104/Kurallar!$B$16)</f>
        <v>127.57499999999999</v>
      </c>
      <c r="O104" s="5"/>
      <c r="P104" s="6">
        <v>78.75</v>
      </c>
      <c r="Q104" s="5" t="s">
        <v>31</v>
      </c>
    </row>
    <row r="105" spans="1:17" x14ac:dyDescent="0.25">
      <c r="A105" s="5">
        <v>99</v>
      </c>
      <c r="B105" s="5"/>
      <c r="C105" s="5" t="s">
        <v>48</v>
      </c>
      <c r="D105" s="5" t="s">
        <v>112</v>
      </c>
      <c r="E105" s="5" t="s">
        <v>113</v>
      </c>
      <c r="F105" s="6">
        <f>IFERROR(P105*INDEX(Kurallar!$B$21:$B$28,MATCH(K105,Kurallar!$A$21:$A$28,0)),"")</f>
        <v>2567</v>
      </c>
      <c r="G105" s="7">
        <f>IFERROR(F105*INDEX(Kurallar!$C$21:$C$28,MATCH(K105,Kurallar!$A$21:$A$28,0))*INDEX(Kurallar!$B$15:$B$17,MATCH(Q105,Kurallar!$A$15:$A$17,0)),"")</f>
        <v>2567</v>
      </c>
      <c r="H105" s="7">
        <f t="shared" si="10"/>
        <v>2567</v>
      </c>
      <c r="I105" s="8">
        <v>1</v>
      </c>
      <c r="J105" s="5" t="s">
        <v>22</v>
      </c>
      <c r="K105" s="5" t="s">
        <v>51</v>
      </c>
      <c r="L105" s="7">
        <f t="shared" si="11"/>
        <v>2567</v>
      </c>
      <c r="M105" s="5" t="s">
        <v>52</v>
      </c>
      <c r="N105" s="6">
        <f>IF(H105="","",H105/Kurallar!$B$16)</f>
        <v>4.7842698723324952</v>
      </c>
      <c r="O105" s="5"/>
      <c r="P105" s="6">
        <v>2567</v>
      </c>
      <c r="Q105" s="5" t="s">
        <v>25</v>
      </c>
    </row>
    <row r="106" spans="1:17" x14ac:dyDescent="0.25">
      <c r="A106" s="5">
        <v>100</v>
      </c>
      <c r="B106" s="5"/>
      <c r="C106" s="5" t="s">
        <v>53</v>
      </c>
      <c r="D106" s="5" t="s">
        <v>54</v>
      </c>
      <c r="E106" s="5" t="s">
        <v>55</v>
      </c>
      <c r="F106" s="6">
        <f>IFERROR(P106*INDEX(Kurallar!$B$21:$B$28,MATCH(K106,Kurallar!$A$21:$A$28,0)),"")</f>
        <v>151</v>
      </c>
      <c r="G106" s="7">
        <f>IFERROR(F106*INDEX(Kurallar!$C$21:$C$28,MATCH(K106,Kurallar!$A$21:$A$28,0))*INDEX(Kurallar!$B$15:$B$17,MATCH(Q106,Kurallar!$A$15:$A$17,0)),"")</f>
        <v>151</v>
      </c>
      <c r="H106" s="7">
        <f t="shared" si="10"/>
        <v>3020</v>
      </c>
      <c r="I106" s="8">
        <v>20</v>
      </c>
      <c r="J106" s="5" t="s">
        <v>22</v>
      </c>
      <c r="K106" s="5" t="s">
        <v>51</v>
      </c>
      <c r="L106" s="7">
        <f t="shared" si="11"/>
        <v>3020</v>
      </c>
      <c r="M106" s="5" t="s">
        <v>52</v>
      </c>
      <c r="N106" s="6">
        <f>IF(H106="","",H106/Kurallar!$B$16)</f>
        <v>5.6285527909794055</v>
      </c>
      <c r="O106" s="5"/>
      <c r="P106" s="6">
        <v>151</v>
      </c>
      <c r="Q106" s="5" t="s">
        <v>25</v>
      </c>
    </row>
    <row r="107" spans="1:17" x14ac:dyDescent="0.25">
      <c r="A107" s="5">
        <v>101</v>
      </c>
      <c r="B107" s="5"/>
      <c r="C107" s="5" t="s">
        <v>56</v>
      </c>
      <c r="D107" s="5" t="s">
        <v>57</v>
      </c>
      <c r="E107" s="5" t="s">
        <v>58</v>
      </c>
      <c r="F107" s="6">
        <f>IFERROR(P107*INDEX(Kurallar!$B$21:$B$28,MATCH(K107,Kurallar!$A$21:$A$28,0)),"")</f>
        <v>869</v>
      </c>
      <c r="G107" s="7">
        <f>IFERROR(F107*INDEX(Kurallar!$C$21:$C$28,MATCH(K107,Kurallar!$A$21:$A$28,0))*INDEX(Kurallar!$B$15:$B$17,MATCH(Q107,Kurallar!$A$15:$A$17,0)),"")</f>
        <v>521.4</v>
      </c>
      <c r="H107" s="7">
        <f t="shared" si="10"/>
        <v>1564.1999999999998</v>
      </c>
      <c r="I107" s="8">
        <v>3</v>
      </c>
      <c r="J107" s="5" t="s">
        <v>22</v>
      </c>
      <c r="K107" s="5" t="s">
        <v>59</v>
      </c>
      <c r="L107" s="7">
        <f t="shared" si="11"/>
        <v>1564.1999999999998</v>
      </c>
      <c r="M107" s="5" t="s">
        <v>60</v>
      </c>
      <c r="N107" s="6">
        <f>IF(H107="","",H107/Kurallar!$B$16)</f>
        <v>2.9152921442549622</v>
      </c>
      <c r="O107" s="5"/>
      <c r="P107" s="6">
        <v>869</v>
      </c>
      <c r="Q107" s="5" t="s">
        <v>25</v>
      </c>
    </row>
    <row r="108" spans="1:17" x14ac:dyDescent="0.25">
      <c r="A108" s="5">
        <v>102</v>
      </c>
      <c r="B108" s="5"/>
      <c r="C108" s="5" t="s">
        <v>56</v>
      </c>
      <c r="D108" s="5" t="s">
        <v>119</v>
      </c>
      <c r="E108" s="5" t="s">
        <v>120</v>
      </c>
      <c r="F108" s="6">
        <f>IFERROR(P108*INDEX(Kurallar!$B$21:$B$28,MATCH(K108,Kurallar!$A$21:$A$28,0)),"")</f>
        <v>1094</v>
      </c>
      <c r="G108" s="7">
        <f>IFERROR(F108*INDEX(Kurallar!$C$21:$C$28,MATCH(K108,Kurallar!$A$21:$A$28,0))*INDEX(Kurallar!$B$15:$B$17,MATCH(Q108,Kurallar!$A$15:$A$17,0)),"")</f>
        <v>1094</v>
      </c>
      <c r="H108" s="7">
        <f t="shared" si="10"/>
        <v>3282</v>
      </c>
      <c r="I108" s="8">
        <v>3</v>
      </c>
      <c r="J108" s="5" t="s">
        <v>22</v>
      </c>
      <c r="K108" s="5" t="s">
        <v>51</v>
      </c>
      <c r="L108" s="7">
        <f t="shared" si="11"/>
        <v>3282</v>
      </c>
      <c r="M108" s="5" t="s">
        <v>60</v>
      </c>
      <c r="N108" s="6">
        <f>IF(H108="","",H108/Kurallar!$B$16)</f>
        <v>6.1168577019849044</v>
      </c>
      <c r="O108" s="5"/>
      <c r="P108" s="6">
        <v>1094</v>
      </c>
      <c r="Q108" s="5" t="s">
        <v>25</v>
      </c>
    </row>
    <row r="109" spans="1:17" x14ac:dyDescent="0.25">
      <c r="A109" s="5">
        <v>103</v>
      </c>
      <c r="B109" s="5"/>
      <c r="C109" s="5" t="s">
        <v>56</v>
      </c>
      <c r="D109" s="5"/>
      <c r="E109" s="5" t="s">
        <v>63</v>
      </c>
      <c r="F109" s="5"/>
      <c r="G109" s="7">
        <f>SUM(H101:H108)*Kurallar!$B$34</f>
        <v>5858.268073575</v>
      </c>
      <c r="H109" s="7">
        <f>IF(G109="","",G109*I109)</f>
        <v>5858.268073575</v>
      </c>
      <c r="I109" s="8">
        <v>1</v>
      </c>
      <c r="J109" s="5" t="s">
        <v>64</v>
      </c>
      <c r="K109" s="5" t="s">
        <v>65</v>
      </c>
      <c r="L109" s="7">
        <f>H109</f>
        <v>5858.268073575</v>
      </c>
      <c r="M109" s="5" t="s">
        <v>60</v>
      </c>
      <c r="N109" s="5"/>
      <c r="O109" s="5"/>
      <c r="P109" s="5"/>
      <c r="Q109" s="5"/>
    </row>
    <row r="110" spans="1:17" x14ac:dyDescent="0.25">
      <c r="A110" s="5">
        <v>104</v>
      </c>
      <c r="B110" s="5"/>
      <c r="C110" s="5" t="s">
        <v>66</v>
      </c>
      <c r="D110" s="5"/>
      <c r="E110" s="5" t="s">
        <v>67</v>
      </c>
      <c r="F110" s="9">
        <f>I110/60</f>
        <v>5.1749999999999998</v>
      </c>
      <c r="G110" s="7">
        <f>Kurallar!$B$32</f>
        <v>100</v>
      </c>
      <c r="H110" s="7">
        <f>IF(G110="","",G110*I110)</f>
        <v>31050</v>
      </c>
      <c r="I110" s="8">
        <f>Kurallar!$O$59</f>
        <v>310.5</v>
      </c>
      <c r="J110" s="5" t="s">
        <v>68</v>
      </c>
      <c r="K110" s="5" t="s">
        <v>69</v>
      </c>
      <c r="L110" s="5"/>
      <c r="M110" s="5" t="s">
        <v>70</v>
      </c>
      <c r="N110" s="5"/>
      <c r="O110" s="5"/>
      <c r="P110" s="5"/>
      <c r="Q110" s="5"/>
    </row>
    <row r="111" spans="1:17" x14ac:dyDescent="0.25">
      <c r="A111" s="2"/>
      <c r="B111" s="4" t="s">
        <v>158</v>
      </c>
      <c r="C111" s="2"/>
      <c r="D111" s="2"/>
      <c r="E111" s="2"/>
      <c r="F111" s="2"/>
      <c r="G111" s="2"/>
      <c r="H111" s="10">
        <f>SUBTOTAL(9,H101:H110)</f>
        <v>232183.87052607498</v>
      </c>
      <c r="I111" s="4">
        <v>1</v>
      </c>
      <c r="J111" s="4" t="s">
        <v>64</v>
      </c>
      <c r="K111" s="2"/>
      <c r="L111" s="10">
        <f>SUBTOTAL(9,L101:L109)</f>
        <v>201133.87052607498</v>
      </c>
      <c r="M111" s="2"/>
      <c r="N111" s="11">
        <f>IF(H111="","",H111/Kurallar!$B$16)</f>
        <v>432.73482532117231</v>
      </c>
      <c r="O111" s="2"/>
      <c r="P111" s="2"/>
      <c r="Q111" s="2"/>
    </row>
    <row r="112" spans="1:17" x14ac:dyDescent="0.25">
      <c r="A112" s="2">
        <v>105</v>
      </c>
      <c r="B112" s="3" t="str">
        <f>E112</f>
        <v>ЩО PB-V2 (VIP)</v>
      </c>
      <c r="C112" s="2"/>
      <c r="D112" s="2"/>
      <c r="E112" s="4" t="s">
        <v>159</v>
      </c>
      <c r="F112" s="2"/>
      <c r="G112" s="2"/>
      <c r="H112" s="2"/>
      <c r="I112" s="4">
        <v>1</v>
      </c>
      <c r="J112" s="4" t="s">
        <v>18</v>
      </c>
      <c r="K112" s="2"/>
      <c r="L112" s="2"/>
      <c r="M112" s="2"/>
      <c r="N112" s="2"/>
      <c r="O112" s="2"/>
      <c r="P112" s="2"/>
      <c r="Q112" s="2"/>
    </row>
    <row r="113" spans="1:17" x14ac:dyDescent="0.25">
      <c r="A113" s="5">
        <v>106</v>
      </c>
      <c r="B113" s="5"/>
      <c r="C113" s="5" t="s">
        <v>19</v>
      </c>
      <c r="D113" s="5" t="s">
        <v>153</v>
      </c>
      <c r="E113" s="5" t="s">
        <v>154</v>
      </c>
      <c r="F113" s="6">
        <f>IFERROR(P113*INDEX(Kurallar!$B$21:$B$28,MATCH(K113,Kurallar!$A$21:$A$28,0)),"")</f>
        <v>17365</v>
      </c>
      <c r="G113" s="7">
        <f>IFERROR(F113*INDEX(Kurallar!$C$21:$C$28,MATCH(K113,Kurallar!$A$21:$A$28,0))*INDEX(Kurallar!$B$15:$B$17,MATCH(Q113,Kurallar!$A$15:$A$17,0)),"")</f>
        <v>17365</v>
      </c>
      <c r="H113" s="7">
        <f t="shared" ref="H113:H120" si="12">IF(OR(G113="",I113=""),"",G113*I113)</f>
        <v>17365</v>
      </c>
      <c r="I113" s="8">
        <v>1</v>
      </c>
      <c r="J113" s="5" t="s">
        <v>22</v>
      </c>
      <c r="K113" s="5" t="s">
        <v>23</v>
      </c>
      <c r="L113" s="7">
        <f t="shared" ref="L113:L120" si="13">IF(H113="","",H113)</f>
        <v>17365</v>
      </c>
      <c r="M113" s="5" t="s">
        <v>24</v>
      </c>
      <c r="N113" s="6">
        <f>IF(H113="","",H113/Kurallar!$B$16)</f>
        <v>32.364178548131584</v>
      </c>
      <c r="O113" s="5"/>
      <c r="P113" s="6">
        <v>17365</v>
      </c>
      <c r="Q113" s="5" t="s">
        <v>25</v>
      </c>
    </row>
    <row r="114" spans="1:17" x14ac:dyDescent="0.25">
      <c r="A114" s="5">
        <v>107</v>
      </c>
      <c r="B114" s="5"/>
      <c r="C114" s="5" t="s">
        <v>37</v>
      </c>
      <c r="D114" s="5" t="s">
        <v>155</v>
      </c>
      <c r="E114" s="5" t="s">
        <v>156</v>
      </c>
      <c r="F114" s="6">
        <f>IFERROR(P114*INDEX(Kurallar!$B$21:$B$28,MATCH(K114,Kurallar!$A$21:$A$28,0)),"")</f>
        <v>127.58850000000001</v>
      </c>
      <c r="G114" s="7">
        <f>IFERROR(F114*INDEX(Kurallar!$C$21:$C$28,MATCH(K114,Kurallar!$A$21:$A$28,0))*INDEX(Kurallar!$B$15:$B$17,MATCH(Q114,Kurallar!$A$15:$A$17,0)),"")</f>
        <v>20537.282902499999</v>
      </c>
      <c r="H114" s="7">
        <f t="shared" si="12"/>
        <v>20537.282902499999</v>
      </c>
      <c r="I114" s="8">
        <v>1</v>
      </c>
      <c r="J114" s="5" t="s">
        <v>22</v>
      </c>
      <c r="K114" s="5" t="s">
        <v>29</v>
      </c>
      <c r="L114" s="7">
        <f t="shared" si="13"/>
        <v>20537.282902499999</v>
      </c>
      <c r="M114" s="5" t="s">
        <v>30</v>
      </c>
      <c r="N114" s="6">
        <f>IF(H114="","",H114/Kurallar!$B$16)</f>
        <v>38.27655</v>
      </c>
      <c r="O114" s="5"/>
      <c r="P114" s="6">
        <v>94.51</v>
      </c>
      <c r="Q114" s="5" t="s">
        <v>31</v>
      </c>
    </row>
    <row r="115" spans="1:17" x14ac:dyDescent="0.25">
      <c r="A115" s="5">
        <v>108</v>
      </c>
      <c r="B115" s="5"/>
      <c r="C115" s="5" t="s">
        <v>72</v>
      </c>
      <c r="D115" s="5" t="s">
        <v>146</v>
      </c>
      <c r="E115" s="5" t="s">
        <v>147</v>
      </c>
      <c r="F115" s="6">
        <f>IFERROR(P115*INDEX(Kurallar!$B$21:$B$28,MATCH(K115,Kurallar!$A$21:$A$28,0)),"")</f>
        <v>487.62</v>
      </c>
      <c r="G115" s="7">
        <f>IFERROR(F115*INDEX(Kurallar!$C$21:$C$28,MATCH(K115,Kurallar!$A$21:$A$28,0))*INDEX(Kurallar!$B$15:$B$17,MATCH(Q115,Kurallar!$A$15:$A$17,0)),"")</f>
        <v>78489.753299999997</v>
      </c>
      <c r="H115" s="7">
        <f t="shared" si="12"/>
        <v>78489.753299999997</v>
      </c>
      <c r="I115" s="8">
        <v>1</v>
      </c>
      <c r="J115" s="5" t="s">
        <v>22</v>
      </c>
      <c r="K115" s="5" t="s">
        <v>29</v>
      </c>
      <c r="L115" s="7">
        <f t="shared" si="13"/>
        <v>78489.753299999997</v>
      </c>
      <c r="M115" s="5" t="s">
        <v>30</v>
      </c>
      <c r="N115" s="6">
        <f>IF(H115="","",H115/Kurallar!$B$16)</f>
        <v>146.286</v>
      </c>
      <c r="O115" s="5"/>
      <c r="P115" s="6">
        <v>361.2</v>
      </c>
      <c r="Q115" s="5" t="s">
        <v>31</v>
      </c>
    </row>
    <row r="116" spans="1:17" x14ac:dyDescent="0.25">
      <c r="A116" s="5">
        <v>109</v>
      </c>
      <c r="B116" s="5"/>
      <c r="C116" s="5" t="s">
        <v>37</v>
      </c>
      <c r="D116" s="5" t="s">
        <v>88</v>
      </c>
      <c r="E116" s="5" t="s">
        <v>160</v>
      </c>
      <c r="F116" s="6">
        <f>IFERROR(P116*INDEX(Kurallar!$B$21:$B$28,MATCH(K116,Kurallar!$A$21:$A$28,0)),"")</f>
        <v>106.3125</v>
      </c>
      <c r="G116" s="7">
        <f>IFERROR(F116*INDEX(Kurallar!$C$21:$C$28,MATCH(K116,Kurallar!$A$21:$A$28,0))*INDEX(Kurallar!$B$15:$B$17,MATCH(Q116,Kurallar!$A$15:$A$17,0)),"")</f>
        <v>17112.591562499998</v>
      </c>
      <c r="H116" s="7">
        <f t="shared" si="12"/>
        <v>51337.774687499994</v>
      </c>
      <c r="I116" s="8">
        <v>3</v>
      </c>
      <c r="J116" s="5" t="s">
        <v>22</v>
      </c>
      <c r="K116" s="5" t="s">
        <v>29</v>
      </c>
      <c r="L116" s="7">
        <f t="shared" si="13"/>
        <v>51337.774687499994</v>
      </c>
      <c r="M116" s="5" t="s">
        <v>30</v>
      </c>
      <c r="N116" s="6">
        <f>IF(H116="","",H116/Kurallar!$B$16)</f>
        <v>95.681249999999991</v>
      </c>
      <c r="O116" s="5"/>
      <c r="P116" s="6">
        <v>78.75</v>
      </c>
      <c r="Q116" s="5" t="s">
        <v>31</v>
      </c>
    </row>
    <row r="117" spans="1:17" x14ac:dyDescent="0.25">
      <c r="A117" s="5">
        <v>110</v>
      </c>
      <c r="B117" s="5"/>
      <c r="C117" s="5" t="s">
        <v>48</v>
      </c>
      <c r="D117" s="5" t="s">
        <v>112</v>
      </c>
      <c r="E117" s="5" t="s">
        <v>113</v>
      </c>
      <c r="F117" s="6">
        <f>IFERROR(P117*INDEX(Kurallar!$B$21:$B$28,MATCH(K117,Kurallar!$A$21:$A$28,0)),"")</f>
        <v>2567</v>
      </c>
      <c r="G117" s="7">
        <f>IFERROR(F117*INDEX(Kurallar!$C$21:$C$28,MATCH(K117,Kurallar!$A$21:$A$28,0))*INDEX(Kurallar!$B$15:$B$17,MATCH(Q117,Kurallar!$A$15:$A$17,0)),"")</f>
        <v>2567</v>
      </c>
      <c r="H117" s="7">
        <f t="shared" si="12"/>
        <v>2567</v>
      </c>
      <c r="I117" s="8">
        <v>1</v>
      </c>
      <c r="J117" s="5" t="s">
        <v>22</v>
      </c>
      <c r="K117" s="5" t="s">
        <v>51</v>
      </c>
      <c r="L117" s="7">
        <f t="shared" si="13"/>
        <v>2567</v>
      </c>
      <c r="M117" s="5" t="s">
        <v>52</v>
      </c>
      <c r="N117" s="6">
        <f>IF(H117="","",H117/Kurallar!$B$16)</f>
        <v>4.7842698723324952</v>
      </c>
      <c r="O117" s="5"/>
      <c r="P117" s="6">
        <v>2567</v>
      </c>
      <c r="Q117" s="5" t="s">
        <v>25</v>
      </c>
    </row>
    <row r="118" spans="1:17" x14ac:dyDescent="0.25">
      <c r="A118" s="5">
        <v>111</v>
      </c>
      <c r="B118" s="5"/>
      <c r="C118" s="5" t="s">
        <v>53</v>
      </c>
      <c r="D118" s="5" t="s">
        <v>54</v>
      </c>
      <c r="E118" s="5" t="s">
        <v>55</v>
      </c>
      <c r="F118" s="6">
        <f>IFERROR(P118*INDEX(Kurallar!$B$21:$B$28,MATCH(K118,Kurallar!$A$21:$A$28,0)),"")</f>
        <v>151</v>
      </c>
      <c r="G118" s="7">
        <f>IFERROR(F118*INDEX(Kurallar!$C$21:$C$28,MATCH(K118,Kurallar!$A$21:$A$28,0))*INDEX(Kurallar!$B$15:$B$17,MATCH(Q118,Kurallar!$A$15:$A$17,0)),"")</f>
        <v>151</v>
      </c>
      <c r="H118" s="7">
        <f t="shared" si="12"/>
        <v>2416</v>
      </c>
      <c r="I118" s="8">
        <v>16</v>
      </c>
      <c r="J118" s="5" t="s">
        <v>22</v>
      </c>
      <c r="K118" s="5" t="s">
        <v>51</v>
      </c>
      <c r="L118" s="7">
        <f t="shared" si="13"/>
        <v>2416</v>
      </c>
      <c r="M118" s="5" t="s">
        <v>52</v>
      </c>
      <c r="N118" s="6">
        <f>IF(H118="","",H118/Kurallar!$B$16)</f>
        <v>4.5028422327835251</v>
      </c>
      <c r="O118" s="5"/>
      <c r="P118" s="6">
        <v>151</v>
      </c>
      <c r="Q118" s="5" t="s">
        <v>25</v>
      </c>
    </row>
    <row r="119" spans="1:17" x14ac:dyDescent="0.25">
      <c r="A119" s="5">
        <v>112</v>
      </c>
      <c r="B119" s="5"/>
      <c r="C119" s="5" t="s">
        <v>56</v>
      </c>
      <c r="D119" s="5" t="s">
        <v>57</v>
      </c>
      <c r="E119" s="5" t="s">
        <v>58</v>
      </c>
      <c r="F119" s="6">
        <f>IFERROR(P119*INDEX(Kurallar!$B$21:$B$28,MATCH(K119,Kurallar!$A$21:$A$28,0)),"")</f>
        <v>869</v>
      </c>
      <c r="G119" s="7">
        <f>IFERROR(F119*INDEX(Kurallar!$C$21:$C$28,MATCH(K119,Kurallar!$A$21:$A$28,0))*INDEX(Kurallar!$B$15:$B$17,MATCH(Q119,Kurallar!$A$15:$A$17,0)),"")</f>
        <v>521.4</v>
      </c>
      <c r="H119" s="7">
        <f t="shared" si="12"/>
        <v>1564.1999999999998</v>
      </c>
      <c r="I119" s="8">
        <v>3</v>
      </c>
      <c r="J119" s="5" t="s">
        <v>22</v>
      </c>
      <c r="K119" s="5" t="s">
        <v>59</v>
      </c>
      <c r="L119" s="7">
        <f t="shared" si="13"/>
        <v>1564.1999999999998</v>
      </c>
      <c r="M119" s="5" t="s">
        <v>60</v>
      </c>
      <c r="N119" s="6">
        <f>IF(H119="","",H119/Kurallar!$B$16)</f>
        <v>2.9152921442549622</v>
      </c>
      <c r="O119" s="5"/>
      <c r="P119" s="6">
        <v>869</v>
      </c>
      <c r="Q119" s="5" t="s">
        <v>25</v>
      </c>
    </row>
    <row r="120" spans="1:17" x14ac:dyDescent="0.25">
      <c r="A120" s="5">
        <v>113</v>
      </c>
      <c r="B120" s="5"/>
      <c r="C120" s="5" t="s">
        <v>56</v>
      </c>
      <c r="D120" s="5" t="s">
        <v>119</v>
      </c>
      <c r="E120" s="5" t="s">
        <v>120</v>
      </c>
      <c r="F120" s="6">
        <f>IFERROR(P120*INDEX(Kurallar!$B$21:$B$28,MATCH(K120,Kurallar!$A$21:$A$28,0)),"")</f>
        <v>1094</v>
      </c>
      <c r="G120" s="7">
        <f>IFERROR(F120*INDEX(Kurallar!$C$21:$C$28,MATCH(K120,Kurallar!$A$21:$A$28,0))*INDEX(Kurallar!$B$15:$B$17,MATCH(Q120,Kurallar!$A$15:$A$17,0)),"")</f>
        <v>1094</v>
      </c>
      <c r="H120" s="7">
        <f t="shared" si="12"/>
        <v>3282</v>
      </c>
      <c r="I120" s="8">
        <v>3</v>
      </c>
      <c r="J120" s="5" t="s">
        <v>22</v>
      </c>
      <c r="K120" s="5" t="s">
        <v>51</v>
      </c>
      <c r="L120" s="7">
        <f t="shared" si="13"/>
        <v>3282</v>
      </c>
      <c r="M120" s="5" t="s">
        <v>60</v>
      </c>
      <c r="N120" s="6">
        <f>IF(H120="","",H120/Kurallar!$B$16)</f>
        <v>6.1168577019849044</v>
      </c>
      <c r="O120" s="5"/>
      <c r="P120" s="6">
        <v>1094</v>
      </c>
      <c r="Q120" s="5" t="s">
        <v>25</v>
      </c>
    </row>
    <row r="121" spans="1:17" x14ac:dyDescent="0.25">
      <c r="A121" s="5">
        <v>114</v>
      </c>
      <c r="B121" s="5"/>
      <c r="C121" s="5" t="s">
        <v>56</v>
      </c>
      <c r="D121" s="5"/>
      <c r="E121" s="5" t="s">
        <v>63</v>
      </c>
      <c r="F121" s="5"/>
      <c r="G121" s="7">
        <f>SUM(H113:H120)*Kurallar!$B$34</f>
        <v>5326.7703266999997</v>
      </c>
      <c r="H121" s="7">
        <f>IF(G121="","",G121*I121)</f>
        <v>5326.7703266999997</v>
      </c>
      <c r="I121" s="8">
        <v>1</v>
      </c>
      <c r="J121" s="5" t="s">
        <v>64</v>
      </c>
      <c r="K121" s="5" t="s">
        <v>65</v>
      </c>
      <c r="L121" s="7">
        <f>H121</f>
        <v>5326.7703266999997</v>
      </c>
      <c r="M121" s="5" t="s">
        <v>60</v>
      </c>
      <c r="N121" s="5"/>
      <c r="O121" s="5"/>
      <c r="P121" s="5"/>
      <c r="Q121" s="5"/>
    </row>
    <row r="122" spans="1:17" x14ac:dyDescent="0.25">
      <c r="A122" s="5">
        <v>115</v>
      </c>
      <c r="B122" s="5"/>
      <c r="C122" s="5" t="s">
        <v>66</v>
      </c>
      <c r="D122" s="5"/>
      <c r="E122" s="5" t="s">
        <v>67</v>
      </c>
      <c r="F122" s="9">
        <f>I122/60</f>
        <v>4.5233333333333325</v>
      </c>
      <c r="G122" s="7">
        <f>Kurallar!$B$32</f>
        <v>100</v>
      </c>
      <c r="H122" s="7">
        <f>IF(G122="","",G122*I122)</f>
        <v>27139.999999999996</v>
      </c>
      <c r="I122" s="8">
        <f>Kurallar!$Q$59</f>
        <v>271.39999999999998</v>
      </c>
      <c r="J122" s="5" t="s">
        <v>68</v>
      </c>
      <c r="K122" s="5" t="s">
        <v>69</v>
      </c>
      <c r="L122" s="5"/>
      <c r="M122" s="5" t="s">
        <v>70</v>
      </c>
      <c r="N122" s="5"/>
      <c r="O122" s="5"/>
      <c r="P122" s="5"/>
      <c r="Q122" s="5"/>
    </row>
    <row r="123" spans="1:17" x14ac:dyDescent="0.25">
      <c r="A123" s="2"/>
      <c r="B123" s="4" t="s">
        <v>161</v>
      </c>
      <c r="C123" s="2"/>
      <c r="D123" s="2"/>
      <c r="E123" s="2"/>
      <c r="F123" s="2"/>
      <c r="G123" s="2"/>
      <c r="H123" s="10">
        <f>SUBTOTAL(9,H113:H122)</f>
        <v>210025.78121670001</v>
      </c>
      <c r="I123" s="4">
        <v>1</v>
      </c>
      <c r="J123" s="4" t="s">
        <v>64</v>
      </c>
      <c r="K123" s="2"/>
      <c r="L123" s="10">
        <f>SUBTOTAL(9,L113:L121)</f>
        <v>182885.78121670001</v>
      </c>
      <c r="M123" s="2"/>
      <c r="N123" s="11">
        <f>IF(H123="","",H123/Kurallar!$B$16)</f>
        <v>391.43748246519436</v>
      </c>
      <c r="O123" s="2"/>
      <c r="P123" s="2"/>
      <c r="Q123" s="2"/>
    </row>
    <row r="124" spans="1:17" x14ac:dyDescent="0.25">
      <c r="A124" s="2">
        <v>116</v>
      </c>
      <c r="B124" s="3" t="str">
        <f>E124</f>
        <v>ЩО PB-V3 (VIP)</v>
      </c>
      <c r="C124" s="2"/>
      <c r="D124" s="2"/>
      <c r="E124" s="4" t="s">
        <v>162</v>
      </c>
      <c r="F124" s="2"/>
      <c r="G124" s="2"/>
      <c r="H124" s="2"/>
      <c r="I124" s="4">
        <v>1</v>
      </c>
      <c r="J124" s="4" t="s">
        <v>18</v>
      </c>
      <c r="K124" s="2"/>
      <c r="L124" s="2"/>
      <c r="M124" s="2"/>
      <c r="N124" s="2"/>
      <c r="O124" s="2"/>
      <c r="P124" s="2"/>
      <c r="Q124" s="2"/>
    </row>
    <row r="125" spans="1:17" x14ac:dyDescent="0.25">
      <c r="A125" s="5">
        <v>117</v>
      </c>
      <c r="B125" s="5"/>
      <c r="C125" s="5" t="s">
        <v>19</v>
      </c>
      <c r="D125" s="5" t="s">
        <v>153</v>
      </c>
      <c r="E125" s="5" t="s">
        <v>154</v>
      </c>
      <c r="F125" s="6">
        <f>IFERROR(P125*INDEX(Kurallar!$B$21:$B$28,MATCH(K125,Kurallar!$A$21:$A$28,0)),"")</f>
        <v>17365</v>
      </c>
      <c r="G125" s="7">
        <f>IFERROR(F125*INDEX(Kurallar!$C$21:$C$28,MATCH(K125,Kurallar!$A$21:$A$28,0))*INDEX(Kurallar!$B$15:$B$17,MATCH(Q125,Kurallar!$A$15:$A$17,0)),"")</f>
        <v>17365</v>
      </c>
      <c r="H125" s="7">
        <f t="shared" ref="H125:H132" si="14">IF(OR(G125="",I125=""),"",G125*I125)</f>
        <v>17365</v>
      </c>
      <c r="I125" s="8">
        <v>1</v>
      </c>
      <c r="J125" s="5" t="s">
        <v>22</v>
      </c>
      <c r="K125" s="5" t="s">
        <v>23</v>
      </c>
      <c r="L125" s="7">
        <f t="shared" ref="L125:L132" si="15">IF(H125="","",H125)</f>
        <v>17365</v>
      </c>
      <c r="M125" s="5" t="s">
        <v>24</v>
      </c>
      <c r="N125" s="6">
        <f>IF(H125="","",H125/Kurallar!$B$16)</f>
        <v>32.364178548131584</v>
      </c>
      <c r="O125" s="5"/>
      <c r="P125" s="6">
        <v>17365</v>
      </c>
      <c r="Q125" s="5" t="s">
        <v>25</v>
      </c>
    </row>
    <row r="126" spans="1:17" x14ac:dyDescent="0.25">
      <c r="A126" s="5">
        <v>118</v>
      </c>
      <c r="B126" s="5"/>
      <c r="C126" s="5" t="s">
        <v>37</v>
      </c>
      <c r="D126" s="5" t="s">
        <v>155</v>
      </c>
      <c r="E126" s="5" t="s">
        <v>156</v>
      </c>
      <c r="F126" s="6">
        <f>IFERROR(P126*INDEX(Kurallar!$B$21:$B$28,MATCH(K126,Kurallar!$A$21:$A$28,0)),"")</f>
        <v>127.58850000000001</v>
      </c>
      <c r="G126" s="7">
        <f>IFERROR(F126*INDEX(Kurallar!$C$21:$C$28,MATCH(K126,Kurallar!$A$21:$A$28,0))*INDEX(Kurallar!$B$15:$B$17,MATCH(Q126,Kurallar!$A$15:$A$17,0)),"")</f>
        <v>20537.282902499999</v>
      </c>
      <c r="H126" s="7">
        <f t="shared" si="14"/>
        <v>20537.282902499999</v>
      </c>
      <c r="I126" s="8">
        <v>1</v>
      </c>
      <c r="J126" s="5" t="s">
        <v>22</v>
      </c>
      <c r="K126" s="5" t="s">
        <v>29</v>
      </c>
      <c r="L126" s="7">
        <f t="shared" si="15"/>
        <v>20537.282902499999</v>
      </c>
      <c r="M126" s="5" t="s">
        <v>30</v>
      </c>
      <c r="N126" s="6">
        <f>IF(H126="","",H126/Kurallar!$B$16)</f>
        <v>38.27655</v>
      </c>
      <c r="O126" s="5"/>
      <c r="P126" s="6">
        <v>94.51</v>
      </c>
      <c r="Q126" s="5" t="s">
        <v>31</v>
      </c>
    </row>
    <row r="127" spans="1:17" x14ac:dyDescent="0.25">
      <c r="A127" s="5">
        <v>119</v>
      </c>
      <c r="B127" s="5"/>
      <c r="C127" s="5" t="s">
        <v>72</v>
      </c>
      <c r="D127" s="5" t="s">
        <v>146</v>
      </c>
      <c r="E127" s="5" t="s">
        <v>147</v>
      </c>
      <c r="F127" s="6">
        <f>IFERROR(P127*INDEX(Kurallar!$B$21:$B$28,MATCH(K127,Kurallar!$A$21:$A$28,0)),"")</f>
        <v>487.62</v>
      </c>
      <c r="G127" s="7">
        <f>IFERROR(F127*INDEX(Kurallar!$C$21:$C$28,MATCH(K127,Kurallar!$A$21:$A$28,0))*INDEX(Kurallar!$B$15:$B$17,MATCH(Q127,Kurallar!$A$15:$A$17,0)),"")</f>
        <v>78489.753299999997</v>
      </c>
      <c r="H127" s="7">
        <f t="shared" si="14"/>
        <v>78489.753299999997</v>
      </c>
      <c r="I127" s="8">
        <v>1</v>
      </c>
      <c r="J127" s="5" t="s">
        <v>22</v>
      </c>
      <c r="K127" s="5" t="s">
        <v>29</v>
      </c>
      <c r="L127" s="7">
        <f t="shared" si="15"/>
        <v>78489.753299999997</v>
      </c>
      <c r="M127" s="5" t="s">
        <v>30</v>
      </c>
      <c r="N127" s="6">
        <f>IF(H127="","",H127/Kurallar!$B$16)</f>
        <v>146.286</v>
      </c>
      <c r="O127" s="5"/>
      <c r="P127" s="6">
        <v>361.2</v>
      </c>
      <c r="Q127" s="5" t="s">
        <v>31</v>
      </c>
    </row>
    <row r="128" spans="1:17" x14ac:dyDescent="0.25">
      <c r="A128" s="5">
        <v>120</v>
      </c>
      <c r="B128" s="5"/>
      <c r="C128" s="5" t="s">
        <v>37</v>
      </c>
      <c r="D128" s="5" t="s">
        <v>88</v>
      </c>
      <c r="E128" s="5" t="s">
        <v>160</v>
      </c>
      <c r="F128" s="6">
        <f>IFERROR(P128*INDEX(Kurallar!$B$21:$B$28,MATCH(K128,Kurallar!$A$21:$A$28,0)),"")</f>
        <v>106.3125</v>
      </c>
      <c r="G128" s="7">
        <f>IFERROR(F128*INDEX(Kurallar!$C$21:$C$28,MATCH(K128,Kurallar!$A$21:$A$28,0))*INDEX(Kurallar!$B$15:$B$17,MATCH(Q128,Kurallar!$A$15:$A$17,0)),"")</f>
        <v>17112.591562499998</v>
      </c>
      <c r="H128" s="7">
        <f t="shared" si="14"/>
        <v>51337.774687499994</v>
      </c>
      <c r="I128" s="8">
        <v>3</v>
      </c>
      <c r="J128" s="5" t="s">
        <v>22</v>
      </c>
      <c r="K128" s="5" t="s">
        <v>29</v>
      </c>
      <c r="L128" s="7">
        <f t="shared" si="15"/>
        <v>51337.774687499994</v>
      </c>
      <c r="M128" s="5" t="s">
        <v>30</v>
      </c>
      <c r="N128" s="6">
        <f>IF(H128="","",H128/Kurallar!$B$16)</f>
        <v>95.681249999999991</v>
      </c>
      <c r="O128" s="5"/>
      <c r="P128" s="6">
        <v>78.75</v>
      </c>
      <c r="Q128" s="5" t="s">
        <v>31</v>
      </c>
    </row>
    <row r="129" spans="1:17" x14ac:dyDescent="0.25">
      <c r="A129" s="5">
        <v>121</v>
      </c>
      <c r="B129" s="5"/>
      <c r="C129" s="5" t="s">
        <v>48</v>
      </c>
      <c r="D129" s="5" t="s">
        <v>112</v>
      </c>
      <c r="E129" s="5" t="s">
        <v>113</v>
      </c>
      <c r="F129" s="6">
        <f>IFERROR(P129*INDEX(Kurallar!$B$21:$B$28,MATCH(K129,Kurallar!$A$21:$A$28,0)),"")</f>
        <v>2567</v>
      </c>
      <c r="G129" s="7">
        <f>IFERROR(F129*INDEX(Kurallar!$C$21:$C$28,MATCH(K129,Kurallar!$A$21:$A$28,0))*INDEX(Kurallar!$B$15:$B$17,MATCH(Q129,Kurallar!$A$15:$A$17,0)),"")</f>
        <v>2567</v>
      </c>
      <c r="H129" s="7">
        <f t="shared" si="14"/>
        <v>2567</v>
      </c>
      <c r="I129" s="8">
        <v>1</v>
      </c>
      <c r="J129" s="5" t="s">
        <v>22</v>
      </c>
      <c r="K129" s="5" t="s">
        <v>51</v>
      </c>
      <c r="L129" s="7">
        <f t="shared" si="15"/>
        <v>2567</v>
      </c>
      <c r="M129" s="5" t="s">
        <v>52</v>
      </c>
      <c r="N129" s="6">
        <f>IF(H129="","",H129/Kurallar!$B$16)</f>
        <v>4.7842698723324952</v>
      </c>
      <c r="O129" s="5"/>
      <c r="P129" s="6">
        <v>2567</v>
      </c>
      <c r="Q129" s="5" t="s">
        <v>25</v>
      </c>
    </row>
    <row r="130" spans="1:17" x14ac:dyDescent="0.25">
      <c r="A130" s="5">
        <v>122</v>
      </c>
      <c r="B130" s="5"/>
      <c r="C130" s="5" t="s">
        <v>53</v>
      </c>
      <c r="D130" s="5" t="s">
        <v>54</v>
      </c>
      <c r="E130" s="5" t="s">
        <v>55</v>
      </c>
      <c r="F130" s="6">
        <f>IFERROR(P130*INDEX(Kurallar!$B$21:$B$28,MATCH(K130,Kurallar!$A$21:$A$28,0)),"")</f>
        <v>151</v>
      </c>
      <c r="G130" s="7">
        <f>IFERROR(F130*INDEX(Kurallar!$C$21:$C$28,MATCH(K130,Kurallar!$A$21:$A$28,0))*INDEX(Kurallar!$B$15:$B$17,MATCH(Q130,Kurallar!$A$15:$A$17,0)),"")</f>
        <v>151</v>
      </c>
      <c r="H130" s="7">
        <f t="shared" si="14"/>
        <v>2416</v>
      </c>
      <c r="I130" s="8">
        <v>16</v>
      </c>
      <c r="J130" s="5" t="s">
        <v>22</v>
      </c>
      <c r="K130" s="5" t="s">
        <v>51</v>
      </c>
      <c r="L130" s="7">
        <f t="shared" si="15"/>
        <v>2416</v>
      </c>
      <c r="M130" s="5" t="s">
        <v>52</v>
      </c>
      <c r="N130" s="6">
        <f>IF(H130="","",H130/Kurallar!$B$16)</f>
        <v>4.5028422327835251</v>
      </c>
      <c r="O130" s="5"/>
      <c r="P130" s="6">
        <v>151</v>
      </c>
      <c r="Q130" s="5" t="s">
        <v>25</v>
      </c>
    </row>
    <row r="131" spans="1:17" x14ac:dyDescent="0.25">
      <c r="A131" s="5">
        <v>123</v>
      </c>
      <c r="B131" s="5"/>
      <c r="C131" s="5" t="s">
        <v>56</v>
      </c>
      <c r="D131" s="5" t="s">
        <v>57</v>
      </c>
      <c r="E131" s="5" t="s">
        <v>58</v>
      </c>
      <c r="F131" s="6">
        <f>IFERROR(P131*INDEX(Kurallar!$B$21:$B$28,MATCH(K131,Kurallar!$A$21:$A$28,0)),"")</f>
        <v>869</v>
      </c>
      <c r="G131" s="7">
        <f>IFERROR(F131*INDEX(Kurallar!$C$21:$C$28,MATCH(K131,Kurallar!$A$21:$A$28,0))*INDEX(Kurallar!$B$15:$B$17,MATCH(Q131,Kurallar!$A$15:$A$17,0)),"")</f>
        <v>521.4</v>
      </c>
      <c r="H131" s="7">
        <f t="shared" si="14"/>
        <v>1564.1999999999998</v>
      </c>
      <c r="I131" s="8">
        <v>3</v>
      </c>
      <c r="J131" s="5" t="s">
        <v>22</v>
      </c>
      <c r="K131" s="5" t="s">
        <v>59</v>
      </c>
      <c r="L131" s="7">
        <f t="shared" si="15"/>
        <v>1564.1999999999998</v>
      </c>
      <c r="M131" s="5" t="s">
        <v>60</v>
      </c>
      <c r="N131" s="6">
        <f>IF(H131="","",H131/Kurallar!$B$16)</f>
        <v>2.9152921442549622</v>
      </c>
      <c r="O131" s="5"/>
      <c r="P131" s="6">
        <v>869</v>
      </c>
      <c r="Q131" s="5" t="s">
        <v>25</v>
      </c>
    </row>
    <row r="132" spans="1:17" x14ac:dyDescent="0.25">
      <c r="A132" s="5">
        <v>124</v>
      </c>
      <c r="B132" s="5"/>
      <c r="C132" s="5" t="s">
        <v>56</v>
      </c>
      <c r="D132" s="5" t="s">
        <v>119</v>
      </c>
      <c r="E132" s="5" t="s">
        <v>120</v>
      </c>
      <c r="F132" s="6">
        <f>IFERROR(P132*INDEX(Kurallar!$B$21:$B$28,MATCH(K132,Kurallar!$A$21:$A$28,0)),"")</f>
        <v>1094</v>
      </c>
      <c r="G132" s="7">
        <f>IFERROR(F132*INDEX(Kurallar!$C$21:$C$28,MATCH(K132,Kurallar!$A$21:$A$28,0))*INDEX(Kurallar!$B$15:$B$17,MATCH(Q132,Kurallar!$A$15:$A$17,0)),"")</f>
        <v>1094</v>
      </c>
      <c r="H132" s="7">
        <f t="shared" si="14"/>
        <v>3282</v>
      </c>
      <c r="I132" s="8">
        <v>3</v>
      </c>
      <c r="J132" s="5" t="s">
        <v>22</v>
      </c>
      <c r="K132" s="5" t="s">
        <v>51</v>
      </c>
      <c r="L132" s="7">
        <f t="shared" si="15"/>
        <v>3282</v>
      </c>
      <c r="M132" s="5" t="s">
        <v>60</v>
      </c>
      <c r="N132" s="6">
        <f>IF(H132="","",H132/Kurallar!$B$16)</f>
        <v>6.1168577019849044</v>
      </c>
      <c r="O132" s="5"/>
      <c r="P132" s="6">
        <v>1094</v>
      </c>
      <c r="Q132" s="5" t="s">
        <v>25</v>
      </c>
    </row>
    <row r="133" spans="1:17" x14ac:dyDescent="0.25">
      <c r="A133" s="5">
        <v>125</v>
      </c>
      <c r="B133" s="5"/>
      <c r="C133" s="5" t="s">
        <v>56</v>
      </c>
      <c r="D133" s="5"/>
      <c r="E133" s="5" t="s">
        <v>63</v>
      </c>
      <c r="F133" s="5"/>
      <c r="G133" s="7">
        <f>SUM(H125:H132)*Kurallar!$B$34</f>
        <v>5326.7703266999997</v>
      </c>
      <c r="H133" s="7">
        <f>IF(G133="","",G133*I133)</f>
        <v>5326.7703266999997</v>
      </c>
      <c r="I133" s="8">
        <v>1</v>
      </c>
      <c r="J133" s="5" t="s">
        <v>64</v>
      </c>
      <c r="K133" s="5" t="s">
        <v>65</v>
      </c>
      <c r="L133" s="7">
        <f>H133</f>
        <v>5326.7703266999997</v>
      </c>
      <c r="M133" s="5" t="s">
        <v>60</v>
      </c>
      <c r="N133" s="5"/>
      <c r="O133" s="5"/>
      <c r="P133" s="5"/>
      <c r="Q133" s="5"/>
    </row>
    <row r="134" spans="1:17" x14ac:dyDescent="0.25">
      <c r="A134" s="5">
        <v>126</v>
      </c>
      <c r="B134" s="5"/>
      <c r="C134" s="5" t="s">
        <v>66</v>
      </c>
      <c r="D134" s="5"/>
      <c r="E134" s="5" t="s">
        <v>67</v>
      </c>
      <c r="F134" s="9">
        <f>I134/60</f>
        <v>4.5233333333333325</v>
      </c>
      <c r="G134" s="7">
        <f>Kurallar!$B$32</f>
        <v>100</v>
      </c>
      <c r="H134" s="7">
        <f>IF(G134="","",G134*I134)</f>
        <v>27139.999999999996</v>
      </c>
      <c r="I134" s="8">
        <f>Kurallar!$S$59</f>
        <v>271.39999999999998</v>
      </c>
      <c r="J134" s="5" t="s">
        <v>68</v>
      </c>
      <c r="K134" s="5" t="s">
        <v>69</v>
      </c>
      <c r="L134" s="5"/>
      <c r="M134" s="5" t="s">
        <v>70</v>
      </c>
      <c r="N134" s="5"/>
      <c r="O134" s="5"/>
      <c r="P134" s="5"/>
      <c r="Q134" s="5"/>
    </row>
    <row r="135" spans="1:17" x14ac:dyDescent="0.25">
      <c r="A135" s="2"/>
      <c r="B135" s="4" t="s">
        <v>163</v>
      </c>
      <c r="C135" s="2"/>
      <c r="D135" s="2"/>
      <c r="E135" s="2"/>
      <c r="F135" s="2"/>
      <c r="G135" s="2"/>
      <c r="H135" s="10">
        <f>SUBTOTAL(9,H125:H134)</f>
        <v>210025.78121670001</v>
      </c>
      <c r="I135" s="4">
        <v>1</v>
      </c>
      <c r="J135" s="4" t="s">
        <v>64</v>
      </c>
      <c r="K135" s="2"/>
      <c r="L135" s="10">
        <f>SUBTOTAL(9,L125:L133)</f>
        <v>182885.78121670001</v>
      </c>
      <c r="M135" s="2"/>
      <c r="N135" s="11">
        <f>IF(H135="","",H135/Kurallar!$B$16)</f>
        <v>391.43748246519436</v>
      </c>
      <c r="O135" s="2"/>
      <c r="P135" s="2"/>
      <c r="Q135" s="2"/>
    </row>
    <row r="136" spans="1:17" x14ac:dyDescent="0.25">
      <c r="A136" s="2">
        <v>127</v>
      </c>
      <c r="B136" s="3" t="str">
        <f>E136</f>
        <v>ЩА AFL INTERNAL DB (в мачте, VIP)</v>
      </c>
      <c r="C136" s="2"/>
      <c r="D136" s="2"/>
      <c r="E136" s="4" t="s">
        <v>164</v>
      </c>
      <c r="F136" s="2"/>
      <c r="G136" s="2"/>
      <c r="H136" s="2"/>
      <c r="I136" s="4">
        <v>10</v>
      </c>
      <c r="J136" s="4" t="s">
        <v>18</v>
      </c>
      <c r="K136" s="2"/>
      <c r="L136" s="2"/>
      <c r="M136" s="2"/>
      <c r="N136" s="2"/>
      <c r="O136" s="2"/>
      <c r="P136" s="2"/>
      <c r="Q136" s="2"/>
    </row>
    <row r="137" spans="1:17" x14ac:dyDescent="0.25">
      <c r="A137" s="5">
        <v>128</v>
      </c>
      <c r="B137" s="5"/>
      <c r="C137" s="5" t="s">
        <v>19</v>
      </c>
      <c r="D137" s="5" t="s">
        <v>153</v>
      </c>
      <c r="E137" s="5" t="s">
        <v>154</v>
      </c>
      <c r="F137" s="6">
        <f>IFERROR(P137*INDEX(Kurallar!$B$21:$B$28,MATCH(K137,Kurallar!$A$21:$A$28,0)),"")</f>
        <v>17365</v>
      </c>
      <c r="G137" s="7">
        <f>IFERROR(F137*INDEX(Kurallar!$C$21:$C$28,MATCH(K137,Kurallar!$A$21:$A$28,0))*INDEX(Kurallar!$B$15:$B$17,MATCH(Q137,Kurallar!$A$15:$A$17,0)),"")</f>
        <v>17365</v>
      </c>
      <c r="H137" s="7">
        <f t="shared" ref="H137:H148" si="16">IF(OR(G137="",I137=""),"",G137*I137)</f>
        <v>17365</v>
      </c>
      <c r="I137" s="8">
        <v>1</v>
      </c>
      <c r="J137" s="5" t="s">
        <v>22</v>
      </c>
      <c r="K137" s="5" t="s">
        <v>23</v>
      </c>
      <c r="L137" s="7">
        <f t="shared" ref="L137:L148" si="17">IF(H137="","",H137)</f>
        <v>17365</v>
      </c>
      <c r="M137" s="5" t="s">
        <v>24</v>
      </c>
      <c r="N137" s="6">
        <f>IF(H137="","",H137/Kurallar!$B$16)</f>
        <v>32.364178548131584</v>
      </c>
      <c r="O137" s="5"/>
      <c r="P137" s="6">
        <v>17365</v>
      </c>
      <c r="Q137" s="5" t="s">
        <v>25</v>
      </c>
    </row>
    <row r="138" spans="1:17" x14ac:dyDescent="0.25">
      <c r="A138" s="5">
        <v>129</v>
      </c>
      <c r="B138" s="5"/>
      <c r="C138" s="5" t="s">
        <v>32</v>
      </c>
      <c r="D138" s="5" t="s">
        <v>165</v>
      </c>
      <c r="E138" s="5" t="s">
        <v>166</v>
      </c>
      <c r="F138" s="6">
        <f>IFERROR(P138*INDEX(Kurallar!$B$21:$B$28,MATCH(K138,Kurallar!$A$21:$A$28,0)),"")</f>
        <v>74.897999999999996</v>
      </c>
      <c r="G138" s="7">
        <f>IFERROR(F138*INDEX(Kurallar!$C$21:$C$28,MATCH(K138,Kurallar!$A$21:$A$28,0))*INDEX(Kurallar!$B$15:$B$17,MATCH(Q138,Kurallar!$A$15:$A$17,0)),"")</f>
        <v>12055.956569999997</v>
      </c>
      <c r="H138" s="7">
        <f t="shared" si="16"/>
        <v>12055.956569999997</v>
      </c>
      <c r="I138" s="8">
        <v>1</v>
      </c>
      <c r="J138" s="5" t="s">
        <v>22</v>
      </c>
      <c r="K138" s="5" t="s">
        <v>29</v>
      </c>
      <c r="L138" s="7">
        <f t="shared" si="17"/>
        <v>12055.956569999997</v>
      </c>
      <c r="M138" s="5" t="s">
        <v>30</v>
      </c>
      <c r="N138" s="6">
        <f>IF(H138="","",H138/Kurallar!$B$16)</f>
        <v>22.469399999999997</v>
      </c>
      <c r="O138" s="5"/>
      <c r="P138" s="6">
        <v>55.48</v>
      </c>
      <c r="Q138" s="5" t="s">
        <v>31</v>
      </c>
    </row>
    <row r="139" spans="1:17" x14ac:dyDescent="0.25">
      <c r="A139" s="5">
        <v>130</v>
      </c>
      <c r="B139" s="5"/>
      <c r="C139" s="5" t="s">
        <v>37</v>
      </c>
      <c r="D139" s="5" t="s">
        <v>85</v>
      </c>
      <c r="E139" s="5" t="s">
        <v>86</v>
      </c>
      <c r="F139" s="6">
        <f>IFERROR(P139*INDEX(Kurallar!$B$21:$B$28,MATCH(K139,Kurallar!$A$21:$A$28,0)),"")</f>
        <v>15.849000000000002</v>
      </c>
      <c r="G139" s="7">
        <f>IFERROR(F139*INDEX(Kurallar!$C$21:$C$28,MATCH(K139,Kurallar!$A$21:$A$28,0))*INDEX(Kurallar!$B$15:$B$17,MATCH(Q139,Kurallar!$A$15:$A$17,0)),"")</f>
        <v>2551.1342850000001</v>
      </c>
      <c r="H139" s="7">
        <f t="shared" si="16"/>
        <v>2551.1342850000001</v>
      </c>
      <c r="I139" s="8">
        <v>1</v>
      </c>
      <c r="J139" s="5" t="s">
        <v>22</v>
      </c>
      <c r="K139" s="5" t="s">
        <v>29</v>
      </c>
      <c r="L139" s="7">
        <f t="shared" si="17"/>
        <v>2551.1342850000001</v>
      </c>
      <c r="M139" s="5" t="s">
        <v>30</v>
      </c>
      <c r="N139" s="6">
        <f>IF(H139="","",H139/Kurallar!$B$16)</f>
        <v>4.7547000000000006</v>
      </c>
      <c r="O139" s="5"/>
      <c r="P139" s="6">
        <v>11.74</v>
      </c>
      <c r="Q139" s="5" t="s">
        <v>31</v>
      </c>
    </row>
    <row r="140" spans="1:17" x14ac:dyDescent="0.25">
      <c r="A140" s="5">
        <v>131</v>
      </c>
      <c r="B140" s="5"/>
      <c r="C140" s="5" t="s">
        <v>37</v>
      </c>
      <c r="D140" s="5" t="s">
        <v>167</v>
      </c>
      <c r="E140" s="5" t="s">
        <v>168</v>
      </c>
      <c r="F140" s="6">
        <f>IFERROR(P140*INDEX(Kurallar!$B$21:$B$28,MATCH(K140,Kurallar!$A$21:$A$28,0)),"")</f>
        <v>85.077000000000012</v>
      </c>
      <c r="G140" s="7">
        <f>IFERROR(F140*INDEX(Kurallar!$C$21:$C$28,MATCH(K140,Kurallar!$A$21:$A$28,0))*INDEX(Kurallar!$B$15:$B$17,MATCH(Q140,Kurallar!$A$15:$A$17,0)),"")</f>
        <v>13694.419305000001</v>
      </c>
      <c r="H140" s="7">
        <f t="shared" si="16"/>
        <v>13694.419305000001</v>
      </c>
      <c r="I140" s="8">
        <v>1</v>
      </c>
      <c r="J140" s="5" t="s">
        <v>22</v>
      </c>
      <c r="K140" s="5" t="s">
        <v>29</v>
      </c>
      <c r="L140" s="7">
        <f t="shared" si="17"/>
        <v>13694.419305000001</v>
      </c>
      <c r="M140" s="5" t="s">
        <v>30</v>
      </c>
      <c r="N140" s="6">
        <f>IF(H140="","",H140/Kurallar!$B$16)</f>
        <v>25.523100000000003</v>
      </c>
      <c r="O140" s="5"/>
      <c r="P140" s="6">
        <v>63.02</v>
      </c>
      <c r="Q140" s="5" t="s">
        <v>31</v>
      </c>
    </row>
    <row r="141" spans="1:17" x14ac:dyDescent="0.25">
      <c r="A141" s="5">
        <v>132</v>
      </c>
      <c r="B141" s="5"/>
      <c r="C141" s="5" t="s">
        <v>37</v>
      </c>
      <c r="D141" s="5" t="s">
        <v>169</v>
      </c>
      <c r="E141" s="5" t="s">
        <v>170</v>
      </c>
      <c r="F141" s="6">
        <f>IFERROR(P141*INDEX(Kurallar!$B$21:$B$28,MATCH(K141,Kurallar!$A$21:$A$28,0)),"")</f>
        <v>19.615500000000001</v>
      </c>
      <c r="G141" s="7">
        <f>IFERROR(F141*INDEX(Kurallar!$C$21:$C$28,MATCH(K141,Kurallar!$A$21:$A$28,0))*INDEX(Kurallar!$B$15:$B$17,MATCH(Q141,Kurallar!$A$15:$A$17,0)),"")</f>
        <v>3157.4089574999994</v>
      </c>
      <c r="H141" s="7">
        <f t="shared" si="16"/>
        <v>3157.4089574999994</v>
      </c>
      <c r="I141" s="8">
        <v>1</v>
      </c>
      <c r="J141" s="5" t="s">
        <v>22</v>
      </c>
      <c r="K141" s="5" t="s">
        <v>29</v>
      </c>
      <c r="L141" s="7">
        <f t="shared" si="17"/>
        <v>3157.4089574999994</v>
      </c>
      <c r="M141" s="5" t="s">
        <v>30</v>
      </c>
      <c r="N141" s="6">
        <f>IF(H141="","",H141/Kurallar!$B$16)</f>
        <v>5.8846499999999997</v>
      </c>
      <c r="O141" s="5"/>
      <c r="P141" s="6">
        <v>14.53</v>
      </c>
      <c r="Q141" s="5" t="s">
        <v>31</v>
      </c>
    </row>
    <row r="142" spans="1:17" x14ac:dyDescent="0.25">
      <c r="A142" s="5">
        <v>133</v>
      </c>
      <c r="B142" s="5"/>
      <c r="C142" s="5" t="s">
        <v>92</v>
      </c>
      <c r="D142" s="5" t="s">
        <v>171</v>
      </c>
      <c r="E142" s="5" t="s">
        <v>172</v>
      </c>
      <c r="F142" s="6">
        <f>IFERROR(P142*INDEX(Kurallar!$B$21:$B$28,MATCH(K142,Kurallar!$A$21:$A$28,0)),"")</f>
        <v>78.381000000000014</v>
      </c>
      <c r="G142" s="7">
        <f>IFERROR(F142*INDEX(Kurallar!$C$21:$C$28,MATCH(K142,Kurallar!$A$21:$A$28,0))*INDEX(Kurallar!$B$15:$B$17,MATCH(Q142,Kurallar!$A$15:$A$17,0)),"")</f>
        <v>12616.597664999999</v>
      </c>
      <c r="H142" s="7">
        <f t="shared" si="16"/>
        <v>25233.195329999999</v>
      </c>
      <c r="I142" s="8">
        <v>2</v>
      </c>
      <c r="J142" s="5" t="s">
        <v>22</v>
      </c>
      <c r="K142" s="5" t="s">
        <v>29</v>
      </c>
      <c r="L142" s="7">
        <f t="shared" si="17"/>
        <v>25233.195329999999</v>
      </c>
      <c r="M142" s="5" t="s">
        <v>95</v>
      </c>
      <c r="N142" s="6">
        <f>IF(H142="","",H142/Kurallar!$B$16)</f>
        <v>47.028600000000004</v>
      </c>
      <c r="O142" s="5"/>
      <c r="P142" s="6">
        <v>58.06</v>
      </c>
      <c r="Q142" s="5" t="s">
        <v>31</v>
      </c>
    </row>
    <row r="143" spans="1:17" x14ac:dyDescent="0.25">
      <c r="A143" s="5">
        <v>134</v>
      </c>
      <c r="B143" s="5"/>
      <c r="C143" s="5" t="s">
        <v>96</v>
      </c>
      <c r="D143" s="5" t="s">
        <v>173</v>
      </c>
      <c r="E143" s="5" t="s">
        <v>174</v>
      </c>
      <c r="F143" s="6">
        <f>IFERROR(P143*INDEX(Kurallar!$B$21:$B$28,MATCH(K143,Kurallar!$A$21:$A$28,0)),"")</f>
        <v>122.33700000000002</v>
      </c>
      <c r="G143" s="7">
        <f>IFERROR(F143*INDEX(Kurallar!$C$21:$C$28,MATCH(K143,Kurallar!$A$21:$A$28,0))*INDEX(Kurallar!$B$15:$B$17,MATCH(Q143,Kurallar!$A$15:$A$17,0)),"")</f>
        <v>19691.975204999999</v>
      </c>
      <c r="H143" s="7">
        <f t="shared" si="16"/>
        <v>19691.975204999999</v>
      </c>
      <c r="I143" s="8">
        <v>1</v>
      </c>
      <c r="J143" s="5" t="s">
        <v>22</v>
      </c>
      <c r="K143" s="5" t="s">
        <v>29</v>
      </c>
      <c r="L143" s="7">
        <f t="shared" si="17"/>
        <v>19691.975204999999</v>
      </c>
      <c r="M143" s="5" t="s">
        <v>95</v>
      </c>
      <c r="N143" s="6">
        <f>IF(H143="","",H143/Kurallar!$B$16)</f>
        <v>36.701100000000004</v>
      </c>
      <c r="O143" s="5"/>
      <c r="P143" s="6">
        <v>90.62</v>
      </c>
      <c r="Q143" s="5" t="s">
        <v>31</v>
      </c>
    </row>
    <row r="144" spans="1:17" x14ac:dyDescent="0.25">
      <c r="A144" s="5">
        <v>135</v>
      </c>
      <c r="B144" s="5"/>
      <c r="C144" s="5" t="s">
        <v>104</v>
      </c>
      <c r="D144" s="5" t="s">
        <v>105</v>
      </c>
      <c r="E144" s="5" t="s">
        <v>106</v>
      </c>
      <c r="F144" s="6">
        <f>IFERROR(P144*INDEX(Kurallar!$B$21:$B$28,MATCH(K144,Kurallar!$A$21:$A$28,0)),"")</f>
        <v>17.725500000000004</v>
      </c>
      <c r="G144" s="7">
        <f>IFERROR(F144*INDEX(Kurallar!$C$21:$C$28,MATCH(K144,Kurallar!$A$21:$A$28,0))*INDEX(Kurallar!$B$15:$B$17,MATCH(Q144,Kurallar!$A$15:$A$17,0)),"")</f>
        <v>2853.1851075000004</v>
      </c>
      <c r="H144" s="7">
        <f t="shared" si="16"/>
        <v>2853.1851075000004</v>
      </c>
      <c r="I144" s="8">
        <v>1</v>
      </c>
      <c r="J144" s="5" t="s">
        <v>22</v>
      </c>
      <c r="K144" s="5" t="s">
        <v>29</v>
      </c>
      <c r="L144" s="7">
        <f t="shared" si="17"/>
        <v>2853.1851075000004</v>
      </c>
      <c r="M144" s="5" t="s">
        <v>95</v>
      </c>
      <c r="N144" s="6">
        <f>IF(H144="","",H144/Kurallar!$B$16)</f>
        <v>5.3176500000000013</v>
      </c>
      <c r="O144" s="5"/>
      <c r="P144" s="6">
        <v>13.13</v>
      </c>
      <c r="Q144" s="5" t="s">
        <v>31</v>
      </c>
    </row>
    <row r="145" spans="1:17" x14ac:dyDescent="0.25">
      <c r="A145" s="5">
        <v>136</v>
      </c>
      <c r="B145" s="5"/>
      <c r="C145" s="5" t="s">
        <v>107</v>
      </c>
      <c r="D145" s="5" t="s">
        <v>108</v>
      </c>
      <c r="E145" s="5" t="s">
        <v>109</v>
      </c>
      <c r="F145" s="6">
        <f>IFERROR(P145*INDEX(Kurallar!$B$21:$B$28,MATCH(K145,Kurallar!$A$21:$A$28,0)),"")</f>
        <v>12.987</v>
      </c>
      <c r="G145" s="7">
        <f>IFERROR(F145*INDEX(Kurallar!$C$21:$C$28,MATCH(K145,Kurallar!$A$21:$A$28,0))*INDEX(Kurallar!$B$15:$B$17,MATCH(Q145,Kurallar!$A$15:$A$17,0)),"")</f>
        <v>2090.4524549999996</v>
      </c>
      <c r="H145" s="7">
        <f t="shared" si="16"/>
        <v>2090.4524549999996</v>
      </c>
      <c r="I145" s="8">
        <v>1</v>
      </c>
      <c r="J145" s="5" t="s">
        <v>22</v>
      </c>
      <c r="K145" s="5" t="s">
        <v>29</v>
      </c>
      <c r="L145" s="7">
        <f t="shared" si="17"/>
        <v>2090.4524549999996</v>
      </c>
      <c r="M145" s="5" t="s">
        <v>95</v>
      </c>
      <c r="N145" s="6">
        <f>IF(H145="","",H145/Kurallar!$B$16)</f>
        <v>3.8960999999999997</v>
      </c>
      <c r="O145" s="5"/>
      <c r="P145" s="6">
        <v>9.6199999999999992</v>
      </c>
      <c r="Q145" s="5" t="s">
        <v>31</v>
      </c>
    </row>
    <row r="146" spans="1:17" x14ac:dyDescent="0.25">
      <c r="A146" s="5">
        <v>137</v>
      </c>
      <c r="B146" s="5"/>
      <c r="C146" s="5" t="s">
        <v>53</v>
      </c>
      <c r="D146" s="5" t="s">
        <v>116</v>
      </c>
      <c r="E146" s="5" t="s">
        <v>175</v>
      </c>
      <c r="F146" s="6">
        <f>IFERROR(P146*INDEX(Kurallar!$B$21:$B$28,MATCH(K146,Kurallar!$A$21:$A$28,0)),"")</f>
        <v>90</v>
      </c>
      <c r="G146" s="7">
        <f>IFERROR(F146*INDEX(Kurallar!$C$21:$C$28,MATCH(K146,Kurallar!$A$21:$A$28,0))*INDEX(Kurallar!$B$15:$B$17,MATCH(Q146,Kurallar!$A$15:$A$17,0)),"")</f>
        <v>90</v>
      </c>
      <c r="H146" s="7">
        <f t="shared" si="16"/>
        <v>1350</v>
      </c>
      <c r="I146" s="8">
        <v>15</v>
      </c>
      <c r="J146" s="5" t="s">
        <v>22</v>
      </c>
      <c r="K146" s="5" t="s">
        <v>51</v>
      </c>
      <c r="L146" s="7">
        <f t="shared" si="17"/>
        <v>1350</v>
      </c>
      <c r="M146" s="5" t="s">
        <v>52</v>
      </c>
      <c r="N146" s="6">
        <f>IF(H146="","",H146/Kurallar!$B$16)</f>
        <v>2.5160749231199331</v>
      </c>
      <c r="O146" s="5"/>
      <c r="P146" s="6">
        <v>90</v>
      </c>
      <c r="Q146" s="5" t="s">
        <v>25</v>
      </c>
    </row>
    <row r="147" spans="1:17" x14ac:dyDescent="0.25">
      <c r="A147" s="5">
        <v>138</v>
      </c>
      <c r="B147" s="5"/>
      <c r="C147" s="5" t="s">
        <v>56</v>
      </c>
      <c r="D147" s="5" t="s">
        <v>57</v>
      </c>
      <c r="E147" s="5" t="s">
        <v>58</v>
      </c>
      <c r="F147" s="6">
        <f>IFERROR(P147*INDEX(Kurallar!$B$21:$B$28,MATCH(K147,Kurallar!$A$21:$A$28,0)),"")</f>
        <v>869</v>
      </c>
      <c r="G147" s="7">
        <f>IFERROR(F147*INDEX(Kurallar!$C$21:$C$28,MATCH(K147,Kurallar!$A$21:$A$28,0))*INDEX(Kurallar!$B$15:$B$17,MATCH(Q147,Kurallar!$A$15:$A$17,0)),"")</f>
        <v>521.4</v>
      </c>
      <c r="H147" s="7">
        <f t="shared" si="16"/>
        <v>1042.8</v>
      </c>
      <c r="I147" s="8">
        <v>2</v>
      </c>
      <c r="J147" s="5" t="s">
        <v>22</v>
      </c>
      <c r="K147" s="5" t="s">
        <v>59</v>
      </c>
      <c r="L147" s="7">
        <f t="shared" si="17"/>
        <v>1042.8</v>
      </c>
      <c r="M147" s="5" t="s">
        <v>60</v>
      </c>
      <c r="N147" s="6">
        <f>IF(H147="","",H147/Kurallar!$B$16)</f>
        <v>1.943528096169975</v>
      </c>
      <c r="O147" s="5"/>
      <c r="P147" s="6">
        <v>869</v>
      </c>
      <c r="Q147" s="5" t="s">
        <v>25</v>
      </c>
    </row>
    <row r="148" spans="1:17" x14ac:dyDescent="0.25">
      <c r="A148" s="5">
        <v>139</v>
      </c>
      <c r="B148" s="5"/>
      <c r="C148" s="5" t="s">
        <v>56</v>
      </c>
      <c r="D148" s="5" t="s">
        <v>119</v>
      </c>
      <c r="E148" s="5" t="s">
        <v>120</v>
      </c>
      <c r="F148" s="6">
        <f>IFERROR(P148*INDEX(Kurallar!$B$21:$B$28,MATCH(K148,Kurallar!$A$21:$A$28,0)),"")</f>
        <v>1094</v>
      </c>
      <c r="G148" s="7">
        <f>IFERROR(F148*INDEX(Kurallar!$C$21:$C$28,MATCH(K148,Kurallar!$A$21:$A$28,0))*INDEX(Kurallar!$B$15:$B$17,MATCH(Q148,Kurallar!$A$15:$A$17,0)),"")</f>
        <v>1094</v>
      </c>
      <c r="H148" s="7">
        <f t="shared" si="16"/>
        <v>2188</v>
      </c>
      <c r="I148" s="8">
        <v>2</v>
      </c>
      <c r="J148" s="5" t="s">
        <v>22</v>
      </c>
      <c r="K148" s="5" t="s">
        <v>51</v>
      </c>
      <c r="L148" s="7">
        <f t="shared" si="17"/>
        <v>2188</v>
      </c>
      <c r="M148" s="5" t="s">
        <v>60</v>
      </c>
      <c r="N148" s="6">
        <f>IF(H148="","",H148/Kurallar!$B$16)</f>
        <v>4.0779051346566026</v>
      </c>
      <c r="O148" s="5"/>
      <c r="P148" s="6">
        <v>1094</v>
      </c>
      <c r="Q148" s="5" t="s">
        <v>25</v>
      </c>
    </row>
    <row r="149" spans="1:17" x14ac:dyDescent="0.25">
      <c r="A149" s="5">
        <v>140</v>
      </c>
      <c r="B149" s="5"/>
      <c r="C149" s="5" t="s">
        <v>56</v>
      </c>
      <c r="D149" s="5"/>
      <c r="E149" s="5" t="s">
        <v>63</v>
      </c>
      <c r="F149" s="5"/>
      <c r="G149" s="7">
        <f>SUM(H137:H148)*Kurallar!$B$34</f>
        <v>3098.2058164499999</v>
      </c>
      <c r="H149" s="7">
        <f>IF(G149="","",G149*I149)</f>
        <v>3098.2058164499999</v>
      </c>
      <c r="I149" s="8">
        <v>1</v>
      </c>
      <c r="J149" s="5" t="s">
        <v>64</v>
      </c>
      <c r="K149" s="5" t="s">
        <v>65</v>
      </c>
      <c r="L149" s="7">
        <f>H149</f>
        <v>3098.2058164499999</v>
      </c>
      <c r="M149" s="5" t="s">
        <v>60</v>
      </c>
      <c r="N149" s="5"/>
      <c r="O149" s="5"/>
      <c r="P149" s="5"/>
      <c r="Q149" s="5"/>
    </row>
    <row r="150" spans="1:17" x14ac:dyDescent="0.25">
      <c r="A150" s="5">
        <v>141</v>
      </c>
      <c r="B150" s="5"/>
      <c r="C150" s="5" t="s">
        <v>66</v>
      </c>
      <c r="D150" s="5"/>
      <c r="E150" s="5" t="s">
        <v>67</v>
      </c>
      <c r="F150" s="9">
        <f>I150/60</f>
        <v>4.9641666666666664</v>
      </c>
      <c r="G150" s="7">
        <f>Kurallar!$B$32</f>
        <v>100</v>
      </c>
      <c r="H150" s="7">
        <f>IF(G150="","",G150*I150)</f>
        <v>29784.999999999996</v>
      </c>
      <c r="I150" s="8">
        <f>Kurallar!$U$59</f>
        <v>297.84999999999997</v>
      </c>
      <c r="J150" s="5" t="s">
        <v>68</v>
      </c>
      <c r="K150" s="5" t="s">
        <v>69</v>
      </c>
      <c r="L150" s="5"/>
      <c r="M150" s="5" t="s">
        <v>70</v>
      </c>
      <c r="N150" s="5"/>
      <c r="O150" s="5"/>
      <c r="P150" s="5"/>
      <c r="Q150" s="5"/>
    </row>
    <row r="151" spans="1:17" x14ac:dyDescent="0.25">
      <c r="A151" s="2"/>
      <c r="B151" s="4" t="s">
        <v>176</v>
      </c>
      <c r="C151" s="2"/>
      <c r="D151" s="2"/>
      <c r="E151" s="2"/>
      <c r="F151" s="2"/>
      <c r="G151" s="2"/>
      <c r="H151" s="10">
        <f>SUBTOTAL(9,H137:H150)</f>
        <v>136156.73303144998</v>
      </c>
      <c r="I151" s="4">
        <v>10</v>
      </c>
      <c r="J151" s="4" t="s">
        <v>64</v>
      </c>
      <c r="K151" s="2"/>
      <c r="L151" s="10">
        <f>SUBTOTAL(9,L137:L149)</f>
        <v>106371.73303145</v>
      </c>
      <c r="M151" s="2"/>
      <c r="N151" s="11">
        <f>IF(H151="","",H151/Kurallar!$B$16)</f>
        <v>253.76336414397539</v>
      </c>
      <c r="O151" s="2"/>
      <c r="P151" s="2"/>
      <c r="Q151" s="2"/>
    </row>
    <row r="152" spans="1:17" x14ac:dyDescent="0.25">
      <c r="A152" s="12">
        <v>142</v>
      </c>
      <c r="B152" s="12"/>
      <c r="C152" s="12" t="s">
        <v>104</v>
      </c>
      <c r="D152" s="12"/>
      <c r="E152" s="12" t="s">
        <v>177</v>
      </c>
      <c r="F152" s="12"/>
      <c r="G152" s="12"/>
      <c r="H152" s="12"/>
      <c r="I152" s="13">
        <v>1</v>
      </c>
      <c r="J152" s="12" t="s">
        <v>22</v>
      </c>
      <c r="K152" s="12"/>
      <c r="L152" s="12"/>
      <c r="M152" s="12" t="s">
        <v>95</v>
      </c>
      <c r="N152" s="12"/>
      <c r="O152" s="12"/>
      <c r="P152" s="12"/>
      <c r="Q152" s="12"/>
    </row>
    <row r="153" spans="1:17" x14ac:dyDescent="0.25">
      <c r="A153" s="5">
        <v>143</v>
      </c>
      <c r="B153" s="14" t="s">
        <v>178</v>
      </c>
      <c r="C153" s="5"/>
      <c r="D153" s="5"/>
      <c r="E153" s="5"/>
      <c r="F153" s="5"/>
      <c r="G153" s="5"/>
      <c r="H153" s="15">
        <f>H18*I18+H44*I44+H62*I62+H86*I86+H99*I99+H111*I111+H123*I123+H135*I135+H151*I151</f>
        <v>7190664.2644021995</v>
      </c>
      <c r="I153" s="5"/>
      <c r="J153" s="5"/>
      <c r="K153" s="5"/>
      <c r="L153" s="5"/>
      <c r="M153" s="5"/>
      <c r="N153" s="6">
        <f>H153/Kurallar!$B$16</f>
        <v>13401.6666935089</v>
      </c>
      <c r="O153" s="5"/>
      <c r="P153" s="5"/>
      <c r="Q153" s="5"/>
    </row>
  </sheetData>
  <autoFilter ref="A1:Q15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zoomScaleNormal="100" workbookViewId="0"/>
  </sheetViews>
  <sheetFormatPr defaultColWidth="8.7109375" defaultRowHeight="15" x14ac:dyDescent="0.25"/>
  <cols>
    <col min="1" max="1" width="40" customWidth="1"/>
    <col min="2" max="2" width="14" customWidth="1"/>
    <col min="3" max="3" width="20" customWidth="1"/>
    <col min="4" max="4" width="18" customWidth="1"/>
    <col min="5" max="5" width="14" customWidth="1"/>
    <col min="6" max="6" width="12" customWidth="1"/>
    <col min="7" max="7" width="13" customWidth="1"/>
    <col min="8" max="8" width="12" customWidth="1"/>
    <col min="9" max="9" width="20" customWidth="1"/>
  </cols>
  <sheetData>
    <row r="1" spans="1:9" ht="16.5" x14ac:dyDescent="0.25">
      <c r="A1" s="16" t="s">
        <v>179</v>
      </c>
    </row>
    <row r="2" spans="1:9" x14ac:dyDescent="0.25">
      <c r="A2" s="17" t="s">
        <v>180</v>
      </c>
    </row>
    <row r="4" spans="1:9" ht="26.25" x14ac:dyDescent="0.25">
      <c r="A4" s="1" t="s">
        <v>181</v>
      </c>
      <c r="B4" s="1" t="s">
        <v>182</v>
      </c>
      <c r="C4" s="1" t="s">
        <v>183</v>
      </c>
      <c r="D4" s="1" t="s">
        <v>7</v>
      </c>
      <c r="E4" s="1" t="s">
        <v>184</v>
      </c>
      <c r="F4" s="1" t="s">
        <v>185</v>
      </c>
      <c r="G4" s="1" t="s">
        <v>186</v>
      </c>
      <c r="H4" s="1" t="s">
        <v>187</v>
      </c>
      <c r="I4" s="1" t="s">
        <v>188</v>
      </c>
    </row>
    <row r="5" spans="1:9" x14ac:dyDescent="0.25">
      <c r="A5" s="18" t="s">
        <v>17</v>
      </c>
      <c r="B5" s="7">
        <v>1</v>
      </c>
      <c r="C5" s="7">
        <f>BOM!H18</f>
        <v>2293922.4976891</v>
      </c>
      <c r="D5" s="7">
        <f t="shared" ref="D5:D13" si="0">B5*C5</f>
        <v>2293922.4976891</v>
      </c>
      <c r="E5" s="7">
        <f>D5/Kurallar!$B$16</f>
        <v>4275.3191644564349</v>
      </c>
      <c r="F5" s="8">
        <v>93.2</v>
      </c>
      <c r="G5" s="7">
        <v>200</v>
      </c>
      <c r="H5" s="19">
        <f t="shared" ref="H5:H13" si="1">F5/G5</f>
        <v>0.46600000000000003</v>
      </c>
      <c r="I5" s="5" t="str">
        <f t="shared" ref="I5:I13" si="2">IF(F5/G5&gt;1,"⛔ КОРПУС МАЛ",IF(F5/G5&gt;0.8,"⚠ РЕЗЕРВ &lt;20%","✅ OK"))</f>
        <v>✅ OK</v>
      </c>
    </row>
    <row r="6" spans="1:9" x14ac:dyDescent="0.25">
      <c r="A6" s="18" t="s">
        <v>80</v>
      </c>
      <c r="B6" s="7">
        <v>1</v>
      </c>
      <c r="C6" s="7">
        <f>BOM!H44</f>
        <v>522222.81965945003</v>
      </c>
      <c r="D6" s="7">
        <f t="shared" si="0"/>
        <v>522222.81965945003</v>
      </c>
      <c r="E6" s="7">
        <f>D6/Kurallar!$B$16</f>
        <v>973.29758579712995</v>
      </c>
      <c r="F6" s="8">
        <v>48.6</v>
      </c>
      <c r="G6" s="7">
        <v>96</v>
      </c>
      <c r="H6" s="19">
        <f t="shared" si="1"/>
        <v>0.50624999999999998</v>
      </c>
      <c r="I6" s="5" t="str">
        <f t="shared" si="2"/>
        <v>✅ OK</v>
      </c>
    </row>
    <row r="7" spans="1:9" x14ac:dyDescent="0.25">
      <c r="A7" s="18" t="s">
        <v>123</v>
      </c>
      <c r="B7" s="7">
        <v>1</v>
      </c>
      <c r="C7" s="7">
        <f>BOM!H62</f>
        <v>1573028.8613148499</v>
      </c>
      <c r="D7" s="7">
        <f t="shared" si="0"/>
        <v>1573028.8613148499</v>
      </c>
      <c r="E7" s="7">
        <f>D7/Kurallar!$B$16</f>
        <v>2931.7470157764424</v>
      </c>
      <c r="F7" s="8">
        <v>80</v>
      </c>
      <c r="G7" s="7">
        <v>150</v>
      </c>
      <c r="H7" s="19">
        <f t="shared" si="1"/>
        <v>0.53333333333333333</v>
      </c>
      <c r="I7" s="5" t="str">
        <f t="shared" si="2"/>
        <v>✅ OK</v>
      </c>
    </row>
    <row r="8" spans="1:9" x14ac:dyDescent="0.25">
      <c r="A8" s="18" t="s">
        <v>141</v>
      </c>
      <c r="B8" s="7">
        <v>1</v>
      </c>
      <c r="C8" s="7">
        <f>BOM!H86</f>
        <v>522222.81965945003</v>
      </c>
      <c r="D8" s="7">
        <f t="shared" si="0"/>
        <v>522222.81965945003</v>
      </c>
      <c r="E8" s="7">
        <f>D8/Kurallar!$B$16</f>
        <v>973.29758579712995</v>
      </c>
      <c r="F8" s="8">
        <v>48.6</v>
      </c>
      <c r="G8" s="7">
        <v>96</v>
      </c>
      <c r="H8" s="19">
        <f t="shared" si="1"/>
        <v>0.50624999999999998</v>
      </c>
      <c r="I8" s="5" t="str">
        <f t="shared" si="2"/>
        <v>✅ OK</v>
      </c>
    </row>
    <row r="9" spans="1:9" x14ac:dyDescent="0.25">
      <c r="A9" s="18" t="s">
        <v>144</v>
      </c>
      <c r="B9" s="7">
        <v>1</v>
      </c>
      <c r="C9" s="7">
        <f>BOM!H99</f>
        <v>265464.50280537503</v>
      </c>
      <c r="D9" s="7">
        <f t="shared" si="0"/>
        <v>265464.50280537503</v>
      </c>
      <c r="E9" s="7">
        <f>D9/Kurallar!$B$16</f>
        <v>494.76190999044832</v>
      </c>
      <c r="F9" s="8">
        <v>23.8</v>
      </c>
      <c r="G9" s="7">
        <v>96</v>
      </c>
      <c r="H9" s="19">
        <f t="shared" si="1"/>
        <v>0.24791666666666667</v>
      </c>
      <c r="I9" s="5" t="str">
        <f t="shared" si="2"/>
        <v>✅ OK</v>
      </c>
    </row>
    <row r="10" spans="1:9" x14ac:dyDescent="0.25">
      <c r="A10" s="18" t="s">
        <v>152</v>
      </c>
      <c r="B10" s="7">
        <v>1</v>
      </c>
      <c r="C10" s="7">
        <f>BOM!H111</f>
        <v>232183.87052607498</v>
      </c>
      <c r="D10" s="7">
        <f t="shared" si="0"/>
        <v>232183.87052607498</v>
      </c>
      <c r="E10" s="7">
        <f>D10/Kurallar!$B$16</f>
        <v>432.73482532117231</v>
      </c>
      <c r="F10" s="8">
        <v>25</v>
      </c>
      <c r="G10" s="7">
        <v>48</v>
      </c>
      <c r="H10" s="19">
        <f t="shared" si="1"/>
        <v>0.52083333333333337</v>
      </c>
      <c r="I10" s="5" t="str">
        <f t="shared" si="2"/>
        <v>✅ OK</v>
      </c>
    </row>
    <row r="11" spans="1:9" x14ac:dyDescent="0.25">
      <c r="A11" s="18" t="s">
        <v>159</v>
      </c>
      <c r="B11" s="7">
        <v>1</v>
      </c>
      <c r="C11" s="7">
        <f>BOM!H123</f>
        <v>210025.78121670001</v>
      </c>
      <c r="D11" s="7">
        <f t="shared" si="0"/>
        <v>210025.78121670001</v>
      </c>
      <c r="E11" s="7">
        <f>D11/Kurallar!$B$16</f>
        <v>391.43748246519436</v>
      </c>
      <c r="F11" s="8">
        <v>20.8</v>
      </c>
      <c r="G11" s="7">
        <v>48</v>
      </c>
      <c r="H11" s="19">
        <f t="shared" si="1"/>
        <v>0.43333333333333335</v>
      </c>
      <c r="I11" s="5" t="str">
        <f t="shared" si="2"/>
        <v>✅ OK</v>
      </c>
    </row>
    <row r="12" spans="1:9" x14ac:dyDescent="0.25">
      <c r="A12" s="18" t="s">
        <v>162</v>
      </c>
      <c r="B12" s="7">
        <v>1</v>
      </c>
      <c r="C12" s="7">
        <f>BOM!H135</f>
        <v>210025.78121670001</v>
      </c>
      <c r="D12" s="7">
        <f t="shared" si="0"/>
        <v>210025.78121670001</v>
      </c>
      <c r="E12" s="7">
        <f>D12/Kurallar!$B$16</f>
        <v>391.43748246519436</v>
      </c>
      <c r="F12" s="8">
        <v>20.8</v>
      </c>
      <c r="G12" s="7">
        <v>48</v>
      </c>
      <c r="H12" s="19">
        <f t="shared" si="1"/>
        <v>0.43333333333333335</v>
      </c>
      <c r="I12" s="5" t="str">
        <f t="shared" si="2"/>
        <v>✅ OK</v>
      </c>
    </row>
    <row r="13" spans="1:9" x14ac:dyDescent="0.25">
      <c r="A13" s="18" t="s">
        <v>164</v>
      </c>
      <c r="B13" s="7">
        <v>10</v>
      </c>
      <c r="C13" s="7">
        <f>BOM!H151</f>
        <v>136156.73303144998</v>
      </c>
      <c r="D13" s="7">
        <f t="shared" si="0"/>
        <v>1361567.3303144998</v>
      </c>
      <c r="E13" s="7">
        <f>D13/Kurallar!$B$16</f>
        <v>2537.6336414397538</v>
      </c>
      <c r="F13" s="8">
        <v>19.5</v>
      </c>
      <c r="G13" s="7">
        <v>48</v>
      </c>
      <c r="H13" s="19">
        <f t="shared" si="1"/>
        <v>0.40625</v>
      </c>
      <c r="I13" s="5" t="str">
        <f t="shared" si="2"/>
        <v>✅ OK</v>
      </c>
    </row>
    <row r="14" spans="1:9" x14ac:dyDescent="0.25">
      <c r="A14" s="4" t="s">
        <v>189</v>
      </c>
      <c r="B14" s="2"/>
      <c r="C14" s="2"/>
      <c r="D14" s="20">
        <f>SUM(D5:D13)</f>
        <v>7190664.2644021995</v>
      </c>
      <c r="E14" s="20">
        <f>D14/Kurallar!$B$16</f>
        <v>13401.6666935089</v>
      </c>
      <c r="F14" s="2"/>
      <c r="G14" s="2"/>
      <c r="H14" s="2"/>
      <c r="I14" s="2"/>
    </row>
    <row r="16" spans="1:9" x14ac:dyDescent="0.25">
      <c r="A16" s="21" t="s">
        <v>190</v>
      </c>
      <c r="D16" s="22" t="str">
        <f>IF(ROUND(D14,0)=ROUND(BOM!H153,0),"✅ СХОДИТСЯ","⛔ РАСХОЖДЕНИЕ")</f>
        <v>✅ СХОДИТСЯ</v>
      </c>
    </row>
  </sheetData>
  <conditionalFormatting sqref="I5:I13">
    <cfRule type="cellIs" dxfId="1" priority="2" operator="equal">
      <formula>"⛔ КОРПУС МАЛ"</formula>
    </cfRule>
    <cfRule type="cellIs" dxfId="0" priority="3" operator="equal">
      <formula>"⚠ РЕЗЕРВ &lt;20%"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6"/>
  <sheetViews>
    <sheetView topLeftCell="A12" zoomScaleNormal="100" workbookViewId="0"/>
  </sheetViews>
  <sheetFormatPr defaultColWidth="8.7109375" defaultRowHeight="15" x14ac:dyDescent="0.25"/>
  <cols>
    <col min="1" max="1" width="46" customWidth="1"/>
    <col min="2" max="2" width="14" customWidth="1"/>
    <col min="3" max="3" width="62" customWidth="1"/>
    <col min="4" max="21" width="11" customWidth="1"/>
  </cols>
  <sheetData>
    <row r="1" spans="1:3" ht="16.5" x14ac:dyDescent="0.25">
      <c r="A1" s="16" t="s">
        <v>191</v>
      </c>
    </row>
    <row r="3" spans="1:3" x14ac:dyDescent="0.25">
      <c r="A3" s="17" t="s">
        <v>192</v>
      </c>
    </row>
    <row r="5" spans="1:3" x14ac:dyDescent="0.25">
      <c r="A5" s="22" t="s">
        <v>193</v>
      </c>
    </row>
    <row r="6" spans="1:3" x14ac:dyDescent="0.25">
      <c r="A6" s="21" t="s">
        <v>194</v>
      </c>
      <c r="B6" s="21" t="s">
        <v>195</v>
      </c>
    </row>
    <row r="7" spans="1:3" x14ac:dyDescent="0.25">
      <c r="A7" s="21" t="s">
        <v>196</v>
      </c>
      <c r="B7" s="21" t="s">
        <v>197</v>
      </c>
    </row>
    <row r="8" spans="1:3" x14ac:dyDescent="0.25">
      <c r="A8" s="21" t="s">
        <v>198</v>
      </c>
      <c r="B8" s="21" t="s">
        <v>199</v>
      </c>
    </row>
    <row r="9" spans="1:3" x14ac:dyDescent="0.25">
      <c r="A9" s="21" t="s">
        <v>200</v>
      </c>
      <c r="B9" s="21" t="s">
        <v>201</v>
      </c>
    </row>
    <row r="10" spans="1:3" x14ac:dyDescent="0.25">
      <c r="A10" s="21" t="s">
        <v>202</v>
      </c>
      <c r="B10" s="21" t="s">
        <v>203</v>
      </c>
    </row>
    <row r="11" spans="1:3" x14ac:dyDescent="0.25">
      <c r="A11" s="21" t="s">
        <v>204</v>
      </c>
      <c r="B11" s="21" t="s">
        <v>205</v>
      </c>
    </row>
    <row r="13" spans="1:3" x14ac:dyDescent="0.25">
      <c r="A13" s="22" t="s">
        <v>206</v>
      </c>
    </row>
    <row r="14" spans="1:3" x14ac:dyDescent="0.25">
      <c r="A14" s="23" t="s">
        <v>207</v>
      </c>
      <c r="B14" s="23" t="s">
        <v>208</v>
      </c>
      <c r="C14" s="23" t="s">
        <v>209</v>
      </c>
    </row>
    <row r="15" spans="1:3" x14ac:dyDescent="0.25">
      <c r="A15" s="21" t="s">
        <v>25</v>
      </c>
      <c r="B15" s="24">
        <v>1</v>
      </c>
      <c r="C15" s="21" t="s">
        <v>210</v>
      </c>
    </row>
    <row r="16" spans="1:3" x14ac:dyDescent="0.25">
      <c r="A16" s="21" t="s">
        <v>31</v>
      </c>
      <c r="B16" s="24">
        <v>536.54999999999995</v>
      </c>
      <c r="C16" s="21" t="s">
        <v>211</v>
      </c>
    </row>
    <row r="17" spans="1:4" x14ac:dyDescent="0.25">
      <c r="A17" s="21" t="s">
        <v>212</v>
      </c>
      <c r="B17" s="24">
        <v>13.5</v>
      </c>
      <c r="C17" s="21" t="s">
        <v>213</v>
      </c>
    </row>
    <row r="19" spans="1:4" x14ac:dyDescent="0.25">
      <c r="A19" s="22" t="s">
        <v>214</v>
      </c>
    </row>
    <row r="20" spans="1:4" x14ac:dyDescent="0.25">
      <c r="A20" s="23" t="s">
        <v>215</v>
      </c>
      <c r="B20" s="23" t="s">
        <v>216</v>
      </c>
      <c r="C20" s="23" t="s">
        <v>217</v>
      </c>
      <c r="D20" s="23" t="s">
        <v>209</v>
      </c>
    </row>
    <row r="21" spans="1:4" x14ac:dyDescent="0.25">
      <c r="A21" s="22" t="s">
        <v>29</v>
      </c>
      <c r="B21" s="25">
        <v>1.35</v>
      </c>
      <c r="C21" s="25">
        <v>0.3</v>
      </c>
      <c r="D21" s="21" t="s">
        <v>218</v>
      </c>
    </row>
    <row r="22" spans="1:4" x14ac:dyDescent="0.25">
      <c r="A22" s="22" t="s">
        <v>59</v>
      </c>
      <c r="B22" s="25">
        <v>1</v>
      </c>
      <c r="C22" s="25">
        <v>0.6</v>
      </c>
      <c r="D22" s="21" t="s">
        <v>219</v>
      </c>
    </row>
    <row r="23" spans="1:4" x14ac:dyDescent="0.25">
      <c r="A23" s="21" t="s">
        <v>220</v>
      </c>
      <c r="B23" s="25">
        <v>1</v>
      </c>
      <c r="C23" s="25">
        <v>0.55000000000000004</v>
      </c>
      <c r="D23" s="21" t="s">
        <v>221</v>
      </c>
    </row>
    <row r="24" spans="1:4" x14ac:dyDescent="0.25">
      <c r="A24" s="22" t="s">
        <v>51</v>
      </c>
      <c r="B24" s="25">
        <v>1</v>
      </c>
      <c r="C24" s="25">
        <v>1</v>
      </c>
      <c r="D24" s="21" t="s">
        <v>222</v>
      </c>
    </row>
    <row r="25" spans="1:4" x14ac:dyDescent="0.25">
      <c r="A25" s="22" t="s">
        <v>23</v>
      </c>
      <c r="B25" s="25">
        <v>1</v>
      </c>
      <c r="C25" s="25">
        <v>1</v>
      </c>
      <c r="D25" s="21" t="s">
        <v>223</v>
      </c>
    </row>
    <row r="26" spans="1:4" x14ac:dyDescent="0.25">
      <c r="A26" s="21" t="s">
        <v>224</v>
      </c>
      <c r="B26" s="25">
        <v>1</v>
      </c>
      <c r="C26" s="25">
        <v>1</v>
      </c>
      <c r="D26" s="21" t="s">
        <v>222</v>
      </c>
    </row>
    <row r="27" spans="1:4" x14ac:dyDescent="0.25">
      <c r="A27" s="21" t="s">
        <v>225</v>
      </c>
      <c r="B27" s="25">
        <v>1</v>
      </c>
      <c r="C27" s="25">
        <v>0.6</v>
      </c>
      <c r="D27" s="21" t="s">
        <v>226</v>
      </c>
    </row>
    <row r="28" spans="1:4" x14ac:dyDescent="0.25">
      <c r="A28" s="21" t="s">
        <v>227</v>
      </c>
      <c r="B28" s="25">
        <v>1</v>
      </c>
      <c r="C28" s="25">
        <v>0.5</v>
      </c>
      <c r="D28" s="21" t="s">
        <v>228</v>
      </c>
    </row>
    <row r="29" spans="1:4" x14ac:dyDescent="0.25">
      <c r="A29" s="21" t="s">
        <v>229</v>
      </c>
      <c r="B29" s="25">
        <v>1.35</v>
      </c>
      <c r="C29" s="25">
        <v>0.23</v>
      </c>
      <c r="D29" s="21" t="s">
        <v>230</v>
      </c>
    </row>
    <row r="31" spans="1:4" x14ac:dyDescent="0.25">
      <c r="A31" s="22" t="s">
        <v>231</v>
      </c>
    </row>
    <row r="32" spans="1:4" x14ac:dyDescent="0.25">
      <c r="A32" s="21" t="s">
        <v>232</v>
      </c>
      <c r="B32" s="26">
        <v>100</v>
      </c>
      <c r="C32" s="21" t="s">
        <v>233</v>
      </c>
    </row>
    <row r="33" spans="1:21" x14ac:dyDescent="0.25">
      <c r="A33" s="21" t="s">
        <v>234</v>
      </c>
      <c r="B33" s="27">
        <v>1.1499999999999999</v>
      </c>
      <c r="C33" s="21" t="s">
        <v>235</v>
      </c>
    </row>
    <row r="34" spans="1:21" x14ac:dyDescent="0.25">
      <c r="A34" s="21" t="s">
        <v>236</v>
      </c>
      <c r="B34" s="28">
        <v>0.03</v>
      </c>
      <c r="C34" s="21" t="s">
        <v>237</v>
      </c>
    </row>
    <row r="36" spans="1:21" x14ac:dyDescent="0.25">
      <c r="A36" s="22" t="s">
        <v>238</v>
      </c>
    </row>
    <row r="37" spans="1:21" ht="64.5" x14ac:dyDescent="0.25">
      <c r="A37" s="23" t="s">
        <v>239</v>
      </c>
      <c r="B37" s="23" t="s">
        <v>240</v>
      </c>
      <c r="C37" s="23" t="s">
        <v>209</v>
      </c>
      <c r="D37" s="1" t="s">
        <v>241</v>
      </c>
      <c r="E37" s="23" t="s">
        <v>242</v>
      </c>
      <c r="F37" s="1" t="s">
        <v>243</v>
      </c>
      <c r="G37" s="23" t="s">
        <v>242</v>
      </c>
      <c r="H37" s="1" t="s">
        <v>244</v>
      </c>
      <c r="I37" s="23" t="s">
        <v>242</v>
      </c>
      <c r="J37" s="1" t="s">
        <v>245</v>
      </c>
      <c r="K37" s="23" t="s">
        <v>242</v>
      </c>
      <c r="L37" s="1" t="s">
        <v>144</v>
      </c>
      <c r="M37" s="23" t="s">
        <v>242</v>
      </c>
      <c r="N37" s="1" t="s">
        <v>152</v>
      </c>
      <c r="O37" s="23" t="s">
        <v>242</v>
      </c>
      <c r="P37" s="1" t="s">
        <v>159</v>
      </c>
      <c r="Q37" s="23" t="s">
        <v>242</v>
      </c>
      <c r="R37" s="1" t="s">
        <v>162</v>
      </c>
      <c r="S37" s="23" t="s">
        <v>242</v>
      </c>
      <c r="T37" s="1" t="s">
        <v>246</v>
      </c>
      <c r="U37" s="23" t="s">
        <v>242</v>
      </c>
    </row>
    <row r="38" spans="1:21" x14ac:dyDescent="0.25">
      <c r="A38" s="21" t="s">
        <v>247</v>
      </c>
      <c r="B38" s="29">
        <v>30</v>
      </c>
      <c r="C38" s="21" t="s">
        <v>248</v>
      </c>
      <c r="D38" s="30">
        <v>0</v>
      </c>
      <c r="E38" s="31">
        <f t="shared" ref="E38:E57" si="0">$B38*D38</f>
        <v>0</v>
      </c>
      <c r="F38" s="30">
        <v>0</v>
      </c>
      <c r="G38" s="31">
        <f t="shared" ref="G38:G57" si="1">$B38*F38</f>
        <v>0</v>
      </c>
      <c r="H38" s="30">
        <v>0</v>
      </c>
      <c r="I38" s="31">
        <f t="shared" ref="I38:I57" si="2">$B38*H38</f>
        <v>0</v>
      </c>
      <c r="J38" s="30">
        <v>0</v>
      </c>
      <c r="K38" s="31">
        <f t="shared" ref="K38:K57" si="3">$B38*J38</f>
        <v>0</v>
      </c>
      <c r="L38" s="30">
        <v>0</v>
      </c>
      <c r="M38" s="31">
        <f t="shared" ref="M38:M57" si="4">$B38*L38</f>
        <v>0</v>
      </c>
      <c r="N38" s="30">
        <v>1</v>
      </c>
      <c r="O38" s="31">
        <f t="shared" ref="O38:O57" si="5">$B38*N38</f>
        <v>30</v>
      </c>
      <c r="P38" s="30">
        <v>1</v>
      </c>
      <c r="Q38" s="31">
        <f t="shared" ref="Q38:Q57" si="6">$B38*P38</f>
        <v>30</v>
      </c>
      <c r="R38" s="30">
        <v>1</v>
      </c>
      <c r="S38" s="31">
        <f t="shared" ref="S38:S57" si="7">$B38*R38</f>
        <v>30</v>
      </c>
      <c r="T38" s="30">
        <v>1</v>
      </c>
      <c r="U38" s="31">
        <f t="shared" ref="U38:U57" si="8">$B38*T38</f>
        <v>30</v>
      </c>
    </row>
    <row r="39" spans="1:21" x14ac:dyDescent="0.25">
      <c r="A39" s="21" t="s">
        <v>249</v>
      </c>
      <c r="B39" s="29">
        <v>45</v>
      </c>
      <c r="C39" s="21" t="s">
        <v>250</v>
      </c>
      <c r="D39" s="30">
        <v>0</v>
      </c>
      <c r="E39" s="31">
        <f t="shared" si="0"/>
        <v>0</v>
      </c>
      <c r="F39" s="30">
        <v>1</v>
      </c>
      <c r="G39" s="31">
        <f t="shared" si="1"/>
        <v>45</v>
      </c>
      <c r="H39" s="30">
        <v>0</v>
      </c>
      <c r="I39" s="31">
        <f t="shared" si="2"/>
        <v>0</v>
      </c>
      <c r="J39" s="30">
        <v>1</v>
      </c>
      <c r="K39" s="31">
        <f t="shared" si="3"/>
        <v>45</v>
      </c>
      <c r="L39" s="30">
        <v>1</v>
      </c>
      <c r="M39" s="31">
        <f t="shared" si="4"/>
        <v>45</v>
      </c>
      <c r="N39" s="30">
        <v>0</v>
      </c>
      <c r="O39" s="31">
        <f t="shared" si="5"/>
        <v>0</v>
      </c>
      <c r="P39" s="30">
        <v>0</v>
      </c>
      <c r="Q39" s="31">
        <f t="shared" si="6"/>
        <v>0</v>
      </c>
      <c r="R39" s="30">
        <v>0</v>
      </c>
      <c r="S39" s="31">
        <f t="shared" si="7"/>
        <v>0</v>
      </c>
      <c r="T39" s="30">
        <v>0</v>
      </c>
      <c r="U39" s="31">
        <f t="shared" si="8"/>
        <v>0</v>
      </c>
    </row>
    <row r="40" spans="1:21" x14ac:dyDescent="0.25">
      <c r="A40" s="21" t="s">
        <v>251</v>
      </c>
      <c r="B40" s="29">
        <v>90</v>
      </c>
      <c r="C40" s="21" t="s">
        <v>252</v>
      </c>
      <c r="D40" s="30">
        <v>1</v>
      </c>
      <c r="E40" s="31">
        <f t="shared" si="0"/>
        <v>90</v>
      </c>
      <c r="F40" s="30">
        <v>0</v>
      </c>
      <c r="G40" s="31">
        <f t="shared" si="1"/>
        <v>0</v>
      </c>
      <c r="H40" s="30">
        <v>1</v>
      </c>
      <c r="I40" s="31">
        <f t="shared" si="2"/>
        <v>90</v>
      </c>
      <c r="J40" s="30">
        <v>0</v>
      </c>
      <c r="K40" s="31">
        <f t="shared" si="3"/>
        <v>0</v>
      </c>
      <c r="L40" s="30">
        <v>0</v>
      </c>
      <c r="M40" s="31">
        <f t="shared" si="4"/>
        <v>0</v>
      </c>
      <c r="N40" s="30">
        <v>0</v>
      </c>
      <c r="O40" s="31">
        <f t="shared" si="5"/>
        <v>0</v>
      </c>
      <c r="P40" s="30">
        <v>0</v>
      </c>
      <c r="Q40" s="31">
        <f t="shared" si="6"/>
        <v>0</v>
      </c>
      <c r="R40" s="30">
        <v>0</v>
      </c>
      <c r="S40" s="31">
        <f t="shared" si="7"/>
        <v>0</v>
      </c>
      <c r="T40" s="30">
        <v>0</v>
      </c>
      <c r="U40" s="31">
        <f t="shared" si="8"/>
        <v>0</v>
      </c>
    </row>
    <row r="41" spans="1:21" x14ac:dyDescent="0.25">
      <c r="A41" s="21" t="s">
        <v>253</v>
      </c>
      <c r="B41" s="29">
        <v>10</v>
      </c>
      <c r="C41" s="21" t="s">
        <v>254</v>
      </c>
      <c r="D41" s="30">
        <v>3</v>
      </c>
      <c r="E41" s="31">
        <f t="shared" si="0"/>
        <v>30</v>
      </c>
      <c r="F41" s="30">
        <v>2</v>
      </c>
      <c r="G41" s="31">
        <f t="shared" si="1"/>
        <v>20</v>
      </c>
      <c r="H41" s="30">
        <v>0</v>
      </c>
      <c r="I41" s="31">
        <f t="shared" si="2"/>
        <v>0</v>
      </c>
      <c r="J41" s="30">
        <v>2</v>
      </c>
      <c r="K41" s="31">
        <f t="shared" si="3"/>
        <v>20</v>
      </c>
      <c r="L41" s="30">
        <v>0</v>
      </c>
      <c r="M41" s="31">
        <f t="shared" si="4"/>
        <v>0</v>
      </c>
      <c r="N41" s="30">
        <v>0</v>
      </c>
      <c r="O41" s="31">
        <f t="shared" si="5"/>
        <v>0</v>
      </c>
      <c r="P41" s="30">
        <v>0</v>
      </c>
      <c r="Q41" s="31">
        <f t="shared" si="6"/>
        <v>0</v>
      </c>
      <c r="R41" s="30">
        <v>0</v>
      </c>
      <c r="S41" s="31">
        <f t="shared" si="7"/>
        <v>0</v>
      </c>
      <c r="T41" s="30">
        <v>2</v>
      </c>
      <c r="U41" s="31">
        <f t="shared" si="8"/>
        <v>20</v>
      </c>
    </row>
    <row r="42" spans="1:21" x14ac:dyDescent="0.25">
      <c r="A42" s="21" t="s">
        <v>255</v>
      </c>
      <c r="B42" s="29">
        <v>18</v>
      </c>
      <c r="C42" s="21" t="s">
        <v>256</v>
      </c>
      <c r="D42" s="30">
        <v>3</v>
      </c>
      <c r="E42" s="31">
        <f t="shared" si="0"/>
        <v>54</v>
      </c>
      <c r="F42" s="30">
        <v>5</v>
      </c>
      <c r="G42" s="31">
        <f t="shared" si="1"/>
        <v>90</v>
      </c>
      <c r="H42" s="30">
        <v>2</v>
      </c>
      <c r="I42" s="31">
        <f t="shared" si="2"/>
        <v>36</v>
      </c>
      <c r="J42" s="30">
        <v>5</v>
      </c>
      <c r="K42" s="31">
        <f t="shared" si="3"/>
        <v>90</v>
      </c>
      <c r="L42" s="30">
        <v>3</v>
      </c>
      <c r="M42" s="31">
        <f t="shared" si="4"/>
        <v>54</v>
      </c>
      <c r="N42" s="30">
        <v>5</v>
      </c>
      <c r="O42" s="31">
        <f t="shared" si="5"/>
        <v>90</v>
      </c>
      <c r="P42" s="30">
        <v>4</v>
      </c>
      <c r="Q42" s="31">
        <f t="shared" si="6"/>
        <v>72</v>
      </c>
      <c r="R42" s="30">
        <v>4</v>
      </c>
      <c r="S42" s="31">
        <f t="shared" si="7"/>
        <v>72</v>
      </c>
      <c r="T42" s="30">
        <v>1</v>
      </c>
      <c r="U42" s="31">
        <f t="shared" si="8"/>
        <v>18</v>
      </c>
    </row>
    <row r="43" spans="1:21" x14ac:dyDescent="0.25">
      <c r="A43" s="21" t="s">
        <v>257</v>
      </c>
      <c r="B43" s="29">
        <v>14</v>
      </c>
      <c r="C43" s="21" t="s">
        <v>258</v>
      </c>
      <c r="D43" s="30">
        <v>0</v>
      </c>
      <c r="E43" s="31">
        <f t="shared" si="0"/>
        <v>0</v>
      </c>
      <c r="F43" s="30">
        <v>0</v>
      </c>
      <c r="G43" s="31">
        <f t="shared" si="1"/>
        <v>0</v>
      </c>
      <c r="H43" s="30">
        <v>3</v>
      </c>
      <c r="I43" s="31">
        <f t="shared" si="2"/>
        <v>42</v>
      </c>
      <c r="J43" s="30">
        <v>0</v>
      </c>
      <c r="K43" s="31">
        <f t="shared" si="3"/>
        <v>0</v>
      </c>
      <c r="L43" s="30">
        <v>0</v>
      </c>
      <c r="M43" s="31">
        <f t="shared" si="4"/>
        <v>0</v>
      </c>
      <c r="N43" s="30">
        <v>0</v>
      </c>
      <c r="O43" s="31">
        <f t="shared" si="5"/>
        <v>0</v>
      </c>
      <c r="P43" s="30">
        <v>0</v>
      </c>
      <c r="Q43" s="31">
        <f t="shared" si="6"/>
        <v>0</v>
      </c>
      <c r="R43" s="30">
        <v>0</v>
      </c>
      <c r="S43" s="31">
        <f t="shared" si="7"/>
        <v>0</v>
      </c>
      <c r="T43" s="30">
        <v>0</v>
      </c>
      <c r="U43" s="31">
        <f t="shared" si="8"/>
        <v>0</v>
      </c>
    </row>
    <row r="44" spans="1:21" x14ac:dyDescent="0.25">
      <c r="A44" s="21" t="s">
        <v>259</v>
      </c>
      <c r="B44" s="29">
        <v>60</v>
      </c>
      <c r="C44" s="21" t="s">
        <v>260</v>
      </c>
      <c r="D44" s="30">
        <v>3</v>
      </c>
      <c r="E44" s="31">
        <f t="shared" si="0"/>
        <v>180</v>
      </c>
      <c r="F44" s="30">
        <v>1</v>
      </c>
      <c r="G44" s="31">
        <f t="shared" si="1"/>
        <v>60</v>
      </c>
      <c r="H44" s="30">
        <v>5</v>
      </c>
      <c r="I44" s="31">
        <f t="shared" si="2"/>
        <v>300</v>
      </c>
      <c r="J44" s="30">
        <v>1</v>
      </c>
      <c r="K44" s="31">
        <f t="shared" si="3"/>
        <v>60</v>
      </c>
      <c r="L44" s="30">
        <v>1</v>
      </c>
      <c r="M44" s="31">
        <f t="shared" si="4"/>
        <v>60</v>
      </c>
      <c r="N44" s="30">
        <v>0</v>
      </c>
      <c r="O44" s="31">
        <f t="shared" si="5"/>
        <v>0</v>
      </c>
      <c r="P44" s="30">
        <v>0</v>
      </c>
      <c r="Q44" s="31">
        <f t="shared" si="6"/>
        <v>0</v>
      </c>
      <c r="R44" s="30">
        <v>0</v>
      </c>
      <c r="S44" s="31">
        <f t="shared" si="7"/>
        <v>0</v>
      </c>
      <c r="T44" s="30">
        <v>0</v>
      </c>
      <c r="U44" s="31">
        <f t="shared" si="8"/>
        <v>0</v>
      </c>
    </row>
    <row r="45" spans="1:21" x14ac:dyDescent="0.25">
      <c r="A45" s="21" t="s">
        <v>261</v>
      </c>
      <c r="B45" s="29">
        <v>90</v>
      </c>
      <c r="C45" s="21" t="s">
        <v>262</v>
      </c>
      <c r="D45" s="30">
        <v>2</v>
      </c>
      <c r="E45" s="31">
        <f t="shared" si="0"/>
        <v>180</v>
      </c>
      <c r="F45" s="30">
        <v>0</v>
      </c>
      <c r="G45" s="31">
        <f t="shared" si="1"/>
        <v>0</v>
      </c>
      <c r="H45" s="30">
        <v>0</v>
      </c>
      <c r="I45" s="31">
        <f t="shared" si="2"/>
        <v>0</v>
      </c>
      <c r="J45" s="30">
        <v>0</v>
      </c>
      <c r="K45" s="31">
        <f t="shared" si="3"/>
        <v>0</v>
      </c>
      <c r="L45" s="30">
        <v>0</v>
      </c>
      <c r="M45" s="31">
        <f t="shared" si="4"/>
        <v>0</v>
      </c>
      <c r="N45" s="30">
        <v>0</v>
      </c>
      <c r="O45" s="31">
        <f t="shared" si="5"/>
        <v>0</v>
      </c>
      <c r="P45" s="30">
        <v>0</v>
      </c>
      <c r="Q45" s="31">
        <f t="shared" si="6"/>
        <v>0</v>
      </c>
      <c r="R45" s="30">
        <v>0</v>
      </c>
      <c r="S45" s="31">
        <f t="shared" si="7"/>
        <v>0</v>
      </c>
      <c r="T45" s="30">
        <v>0</v>
      </c>
      <c r="U45" s="31">
        <f t="shared" si="8"/>
        <v>0</v>
      </c>
    </row>
    <row r="46" spans="1:21" x14ac:dyDescent="0.25">
      <c r="A46" s="21" t="s">
        <v>263</v>
      </c>
      <c r="B46" s="29">
        <v>45</v>
      </c>
      <c r="C46" s="21" t="s">
        <v>264</v>
      </c>
      <c r="D46" s="30">
        <v>0</v>
      </c>
      <c r="E46" s="31">
        <f t="shared" si="0"/>
        <v>0</v>
      </c>
      <c r="F46" s="30">
        <v>0</v>
      </c>
      <c r="G46" s="31">
        <f t="shared" si="1"/>
        <v>0</v>
      </c>
      <c r="H46" s="30">
        <v>0</v>
      </c>
      <c r="I46" s="31">
        <f t="shared" si="2"/>
        <v>0</v>
      </c>
      <c r="J46" s="30">
        <v>0</v>
      </c>
      <c r="K46" s="31">
        <f t="shared" si="3"/>
        <v>0</v>
      </c>
      <c r="L46" s="30">
        <v>0</v>
      </c>
      <c r="M46" s="31">
        <f t="shared" si="4"/>
        <v>0</v>
      </c>
      <c r="N46" s="30">
        <v>0</v>
      </c>
      <c r="O46" s="31">
        <f t="shared" si="5"/>
        <v>0</v>
      </c>
      <c r="P46" s="30">
        <v>0</v>
      </c>
      <c r="Q46" s="31">
        <f t="shared" si="6"/>
        <v>0</v>
      </c>
      <c r="R46" s="30">
        <v>0</v>
      </c>
      <c r="S46" s="31">
        <f t="shared" si="7"/>
        <v>0</v>
      </c>
      <c r="T46" s="30">
        <v>1</v>
      </c>
      <c r="U46" s="31">
        <f t="shared" si="8"/>
        <v>45</v>
      </c>
    </row>
    <row r="47" spans="1:21" x14ac:dyDescent="0.25">
      <c r="A47" s="21" t="s">
        <v>265</v>
      </c>
      <c r="B47" s="29">
        <v>120</v>
      </c>
      <c r="C47" s="21" t="s">
        <v>266</v>
      </c>
      <c r="D47" s="30">
        <v>1</v>
      </c>
      <c r="E47" s="31">
        <f t="shared" si="0"/>
        <v>120</v>
      </c>
      <c r="F47" s="30">
        <v>0</v>
      </c>
      <c r="G47" s="31">
        <f t="shared" si="1"/>
        <v>0</v>
      </c>
      <c r="H47" s="30">
        <v>1</v>
      </c>
      <c r="I47" s="31">
        <f t="shared" si="2"/>
        <v>120</v>
      </c>
      <c r="J47" s="30">
        <v>0</v>
      </c>
      <c r="K47" s="31">
        <f t="shared" si="3"/>
        <v>0</v>
      </c>
      <c r="L47" s="30">
        <v>0</v>
      </c>
      <c r="M47" s="31">
        <f t="shared" si="4"/>
        <v>0</v>
      </c>
      <c r="N47" s="30">
        <v>0</v>
      </c>
      <c r="O47" s="31">
        <f t="shared" si="5"/>
        <v>0</v>
      </c>
      <c r="P47" s="30">
        <v>0</v>
      </c>
      <c r="Q47" s="31">
        <f t="shared" si="6"/>
        <v>0</v>
      </c>
      <c r="R47" s="30">
        <v>0</v>
      </c>
      <c r="S47" s="31">
        <f t="shared" si="7"/>
        <v>0</v>
      </c>
      <c r="T47" s="30">
        <v>0</v>
      </c>
      <c r="U47" s="31">
        <f t="shared" si="8"/>
        <v>0</v>
      </c>
    </row>
    <row r="48" spans="1:21" x14ac:dyDescent="0.25">
      <c r="A48" s="21" t="s">
        <v>267</v>
      </c>
      <c r="B48" s="29">
        <v>15</v>
      </c>
      <c r="C48" s="21" t="s">
        <v>268</v>
      </c>
      <c r="D48" s="30">
        <v>0</v>
      </c>
      <c r="E48" s="31">
        <f t="shared" si="0"/>
        <v>0</v>
      </c>
      <c r="F48" s="30">
        <v>4</v>
      </c>
      <c r="G48" s="31">
        <f t="shared" si="1"/>
        <v>60</v>
      </c>
      <c r="H48" s="30">
        <v>0</v>
      </c>
      <c r="I48" s="31">
        <f t="shared" si="2"/>
        <v>0</v>
      </c>
      <c r="J48" s="30">
        <v>4</v>
      </c>
      <c r="K48" s="31">
        <f t="shared" si="3"/>
        <v>60</v>
      </c>
      <c r="L48" s="30">
        <v>0</v>
      </c>
      <c r="M48" s="31">
        <f t="shared" si="4"/>
        <v>0</v>
      </c>
      <c r="N48" s="30">
        <v>0</v>
      </c>
      <c r="O48" s="31">
        <f t="shared" si="5"/>
        <v>0</v>
      </c>
      <c r="P48" s="30">
        <v>0</v>
      </c>
      <c r="Q48" s="31">
        <f t="shared" si="6"/>
        <v>0</v>
      </c>
      <c r="R48" s="30">
        <v>0</v>
      </c>
      <c r="S48" s="31">
        <f t="shared" si="7"/>
        <v>0</v>
      </c>
      <c r="T48" s="30">
        <v>2</v>
      </c>
      <c r="U48" s="31">
        <f t="shared" si="8"/>
        <v>30</v>
      </c>
    </row>
    <row r="49" spans="1:21" x14ac:dyDescent="0.25">
      <c r="A49" s="21" t="s">
        <v>269</v>
      </c>
      <c r="B49" s="29">
        <v>10</v>
      </c>
      <c r="C49" s="21" t="s">
        <v>270</v>
      </c>
      <c r="D49" s="30">
        <v>0</v>
      </c>
      <c r="E49" s="31">
        <f t="shared" si="0"/>
        <v>0</v>
      </c>
      <c r="F49" s="30">
        <v>3</v>
      </c>
      <c r="G49" s="31">
        <f t="shared" si="1"/>
        <v>30</v>
      </c>
      <c r="H49" s="30">
        <v>0</v>
      </c>
      <c r="I49" s="31">
        <f t="shared" si="2"/>
        <v>0</v>
      </c>
      <c r="J49" s="30">
        <v>3</v>
      </c>
      <c r="K49" s="31">
        <f t="shared" si="3"/>
        <v>30</v>
      </c>
      <c r="L49" s="30">
        <v>0</v>
      </c>
      <c r="M49" s="31">
        <f t="shared" si="4"/>
        <v>0</v>
      </c>
      <c r="N49" s="30">
        <v>0</v>
      </c>
      <c r="O49" s="31">
        <f t="shared" si="5"/>
        <v>0</v>
      </c>
      <c r="P49" s="30">
        <v>0</v>
      </c>
      <c r="Q49" s="31">
        <f t="shared" si="6"/>
        <v>0</v>
      </c>
      <c r="R49" s="30">
        <v>0</v>
      </c>
      <c r="S49" s="31">
        <f t="shared" si="7"/>
        <v>0</v>
      </c>
      <c r="T49" s="30">
        <v>1</v>
      </c>
      <c r="U49" s="31">
        <f t="shared" si="8"/>
        <v>10</v>
      </c>
    </row>
    <row r="50" spans="1:21" x14ac:dyDescent="0.25">
      <c r="A50" s="21" t="s">
        <v>271</v>
      </c>
      <c r="B50" s="29">
        <v>8</v>
      </c>
      <c r="C50" s="21" t="s">
        <v>272</v>
      </c>
      <c r="D50" s="30">
        <v>0</v>
      </c>
      <c r="E50" s="31">
        <f t="shared" si="0"/>
        <v>0</v>
      </c>
      <c r="F50" s="30">
        <v>2</v>
      </c>
      <c r="G50" s="31">
        <f t="shared" si="1"/>
        <v>16</v>
      </c>
      <c r="H50" s="30">
        <v>0</v>
      </c>
      <c r="I50" s="31">
        <f t="shared" si="2"/>
        <v>0</v>
      </c>
      <c r="J50" s="30">
        <v>2</v>
      </c>
      <c r="K50" s="31">
        <f t="shared" si="3"/>
        <v>16</v>
      </c>
      <c r="L50" s="30">
        <v>0</v>
      </c>
      <c r="M50" s="31">
        <f t="shared" si="4"/>
        <v>0</v>
      </c>
      <c r="N50" s="30">
        <v>0</v>
      </c>
      <c r="O50" s="31">
        <f t="shared" si="5"/>
        <v>0</v>
      </c>
      <c r="P50" s="30">
        <v>0</v>
      </c>
      <c r="Q50" s="31">
        <f t="shared" si="6"/>
        <v>0</v>
      </c>
      <c r="R50" s="30">
        <v>0</v>
      </c>
      <c r="S50" s="31">
        <f t="shared" si="7"/>
        <v>0</v>
      </c>
      <c r="T50" s="30">
        <v>2</v>
      </c>
      <c r="U50" s="31">
        <f t="shared" si="8"/>
        <v>16</v>
      </c>
    </row>
    <row r="51" spans="1:21" x14ac:dyDescent="0.25">
      <c r="A51" s="21" t="s">
        <v>273</v>
      </c>
      <c r="B51" s="29">
        <v>15</v>
      </c>
      <c r="C51" s="21" t="s">
        <v>274</v>
      </c>
      <c r="D51" s="30">
        <v>0</v>
      </c>
      <c r="E51" s="31">
        <f t="shared" si="0"/>
        <v>0</v>
      </c>
      <c r="F51" s="30">
        <v>0</v>
      </c>
      <c r="G51" s="31">
        <f t="shared" si="1"/>
        <v>0</v>
      </c>
      <c r="H51" s="30">
        <v>0</v>
      </c>
      <c r="I51" s="31">
        <f t="shared" si="2"/>
        <v>0</v>
      </c>
      <c r="J51" s="30">
        <v>0</v>
      </c>
      <c r="K51" s="31">
        <f t="shared" si="3"/>
        <v>0</v>
      </c>
      <c r="L51" s="30">
        <v>1</v>
      </c>
      <c r="M51" s="31">
        <f t="shared" si="4"/>
        <v>15</v>
      </c>
      <c r="N51" s="30">
        <v>1</v>
      </c>
      <c r="O51" s="31">
        <f t="shared" si="5"/>
        <v>15</v>
      </c>
      <c r="P51" s="30">
        <v>1</v>
      </c>
      <c r="Q51" s="31">
        <f t="shared" si="6"/>
        <v>15</v>
      </c>
      <c r="R51" s="30">
        <v>1</v>
      </c>
      <c r="S51" s="31">
        <f t="shared" si="7"/>
        <v>15</v>
      </c>
      <c r="T51" s="30">
        <v>0</v>
      </c>
      <c r="U51" s="31">
        <f t="shared" si="8"/>
        <v>0</v>
      </c>
    </row>
    <row r="52" spans="1:21" x14ac:dyDescent="0.25">
      <c r="A52" s="21" t="s">
        <v>275</v>
      </c>
      <c r="B52" s="29">
        <v>90</v>
      </c>
      <c r="C52" s="21" t="s">
        <v>276</v>
      </c>
      <c r="D52" s="30">
        <v>0</v>
      </c>
      <c r="E52" s="31">
        <f t="shared" si="0"/>
        <v>0</v>
      </c>
      <c r="F52" s="30">
        <v>0</v>
      </c>
      <c r="G52" s="31">
        <f t="shared" si="1"/>
        <v>0</v>
      </c>
      <c r="H52" s="30">
        <v>0</v>
      </c>
      <c r="I52" s="31">
        <f t="shared" si="2"/>
        <v>0</v>
      </c>
      <c r="J52" s="30">
        <v>0</v>
      </c>
      <c r="K52" s="31">
        <f t="shared" si="3"/>
        <v>0</v>
      </c>
      <c r="L52" s="30">
        <v>0</v>
      </c>
      <c r="M52" s="31">
        <f t="shared" si="4"/>
        <v>0</v>
      </c>
      <c r="N52" s="30">
        <v>0</v>
      </c>
      <c r="O52" s="31">
        <f t="shared" si="5"/>
        <v>0</v>
      </c>
      <c r="P52" s="30">
        <v>0</v>
      </c>
      <c r="Q52" s="31">
        <f t="shared" si="6"/>
        <v>0</v>
      </c>
      <c r="R52" s="30">
        <v>0</v>
      </c>
      <c r="S52" s="31">
        <f t="shared" si="7"/>
        <v>0</v>
      </c>
      <c r="T52" s="30">
        <v>0</v>
      </c>
      <c r="U52" s="31">
        <f t="shared" si="8"/>
        <v>0</v>
      </c>
    </row>
    <row r="53" spans="1:21" x14ac:dyDescent="0.25">
      <c r="A53" s="21" t="s">
        <v>277</v>
      </c>
      <c r="B53" s="29">
        <v>4</v>
      </c>
      <c r="C53" s="21" t="s">
        <v>278</v>
      </c>
      <c r="D53" s="30">
        <v>24</v>
      </c>
      <c r="E53" s="31">
        <f t="shared" si="0"/>
        <v>96</v>
      </c>
      <c r="F53" s="30">
        <v>32</v>
      </c>
      <c r="G53" s="31">
        <f t="shared" si="1"/>
        <v>128</v>
      </c>
      <c r="H53" s="30">
        <v>20</v>
      </c>
      <c r="I53" s="31">
        <f t="shared" si="2"/>
        <v>80</v>
      </c>
      <c r="J53" s="30">
        <v>32</v>
      </c>
      <c r="K53" s="31">
        <f t="shared" si="3"/>
        <v>128</v>
      </c>
      <c r="L53" s="30">
        <v>16</v>
      </c>
      <c r="M53" s="31">
        <f t="shared" si="4"/>
        <v>64</v>
      </c>
      <c r="N53" s="30">
        <v>20</v>
      </c>
      <c r="O53" s="31">
        <f t="shared" si="5"/>
        <v>80</v>
      </c>
      <c r="P53" s="30">
        <v>16</v>
      </c>
      <c r="Q53" s="31">
        <f t="shared" si="6"/>
        <v>64</v>
      </c>
      <c r="R53" s="30">
        <v>16</v>
      </c>
      <c r="S53" s="31">
        <f t="shared" si="7"/>
        <v>64</v>
      </c>
      <c r="T53" s="30">
        <v>15</v>
      </c>
      <c r="U53" s="31">
        <f t="shared" si="8"/>
        <v>60</v>
      </c>
    </row>
    <row r="54" spans="1:21" x14ac:dyDescent="0.25">
      <c r="A54" s="21" t="s">
        <v>48</v>
      </c>
      <c r="B54" s="29">
        <v>10</v>
      </c>
      <c r="C54" s="21" t="s">
        <v>279</v>
      </c>
      <c r="D54" s="30">
        <v>0</v>
      </c>
      <c r="E54" s="31">
        <f t="shared" si="0"/>
        <v>0</v>
      </c>
      <c r="F54" s="30">
        <v>2</v>
      </c>
      <c r="G54" s="31">
        <f t="shared" si="1"/>
        <v>20</v>
      </c>
      <c r="H54" s="30">
        <v>0</v>
      </c>
      <c r="I54" s="31">
        <f t="shared" si="2"/>
        <v>0</v>
      </c>
      <c r="J54" s="30">
        <v>2</v>
      </c>
      <c r="K54" s="31">
        <f t="shared" si="3"/>
        <v>20</v>
      </c>
      <c r="L54" s="30">
        <v>1</v>
      </c>
      <c r="M54" s="31">
        <f t="shared" si="4"/>
        <v>10</v>
      </c>
      <c r="N54" s="30">
        <v>1</v>
      </c>
      <c r="O54" s="31">
        <f t="shared" si="5"/>
        <v>10</v>
      </c>
      <c r="P54" s="30">
        <v>1</v>
      </c>
      <c r="Q54" s="31">
        <f t="shared" si="6"/>
        <v>10</v>
      </c>
      <c r="R54" s="30">
        <v>1</v>
      </c>
      <c r="S54" s="31">
        <f t="shared" si="7"/>
        <v>10</v>
      </c>
      <c r="T54" s="30">
        <v>0</v>
      </c>
      <c r="U54" s="31">
        <f t="shared" si="8"/>
        <v>0</v>
      </c>
    </row>
    <row r="55" spans="1:21" x14ac:dyDescent="0.25">
      <c r="A55" s="21" t="s">
        <v>280</v>
      </c>
      <c r="B55" s="29">
        <v>45</v>
      </c>
      <c r="C55" s="21" t="s">
        <v>281</v>
      </c>
      <c r="D55" s="30">
        <v>8</v>
      </c>
      <c r="E55" s="31">
        <f t="shared" si="0"/>
        <v>360</v>
      </c>
      <c r="F55" s="30">
        <v>4</v>
      </c>
      <c r="G55" s="31">
        <f t="shared" si="1"/>
        <v>180</v>
      </c>
      <c r="H55" s="30">
        <v>8</v>
      </c>
      <c r="I55" s="31">
        <f t="shared" si="2"/>
        <v>360</v>
      </c>
      <c r="J55" s="30">
        <v>4</v>
      </c>
      <c r="K55" s="31">
        <f t="shared" si="3"/>
        <v>180</v>
      </c>
      <c r="L55" s="30">
        <v>0</v>
      </c>
      <c r="M55" s="31">
        <f t="shared" si="4"/>
        <v>0</v>
      </c>
      <c r="N55" s="30">
        <v>0</v>
      </c>
      <c r="O55" s="31">
        <f t="shared" si="5"/>
        <v>0</v>
      </c>
      <c r="P55" s="30">
        <v>0</v>
      </c>
      <c r="Q55" s="31">
        <f t="shared" si="6"/>
        <v>0</v>
      </c>
      <c r="R55" s="30">
        <v>0</v>
      </c>
      <c r="S55" s="31">
        <f t="shared" si="7"/>
        <v>0</v>
      </c>
      <c r="T55" s="30">
        <v>0</v>
      </c>
      <c r="U55" s="31">
        <f t="shared" si="8"/>
        <v>0</v>
      </c>
    </row>
    <row r="56" spans="1:21" x14ac:dyDescent="0.25">
      <c r="A56" s="21" t="s">
        <v>282</v>
      </c>
      <c r="B56" s="29">
        <v>5</v>
      </c>
      <c r="C56" s="21" t="s">
        <v>283</v>
      </c>
      <c r="D56" s="30">
        <v>8</v>
      </c>
      <c r="E56" s="31">
        <f t="shared" si="0"/>
        <v>40</v>
      </c>
      <c r="F56" s="30">
        <v>5</v>
      </c>
      <c r="G56" s="31">
        <f t="shared" si="1"/>
        <v>25</v>
      </c>
      <c r="H56" s="30">
        <v>6</v>
      </c>
      <c r="I56" s="31">
        <f t="shared" si="2"/>
        <v>30</v>
      </c>
      <c r="J56" s="30">
        <v>5</v>
      </c>
      <c r="K56" s="31">
        <f t="shared" si="3"/>
        <v>25</v>
      </c>
      <c r="L56" s="30">
        <v>3</v>
      </c>
      <c r="M56" s="31">
        <f t="shared" si="4"/>
        <v>15</v>
      </c>
      <c r="N56" s="30">
        <v>3</v>
      </c>
      <c r="O56" s="31">
        <f t="shared" si="5"/>
        <v>15</v>
      </c>
      <c r="P56" s="30">
        <v>3</v>
      </c>
      <c r="Q56" s="31">
        <f t="shared" si="6"/>
        <v>15</v>
      </c>
      <c r="R56" s="30">
        <v>3</v>
      </c>
      <c r="S56" s="31">
        <f t="shared" si="7"/>
        <v>15</v>
      </c>
      <c r="T56" s="30">
        <v>2</v>
      </c>
      <c r="U56" s="31">
        <f t="shared" si="8"/>
        <v>10</v>
      </c>
    </row>
    <row r="57" spans="1:21" x14ac:dyDescent="0.25">
      <c r="A57" s="21" t="s">
        <v>284</v>
      </c>
      <c r="B57" s="29">
        <v>10</v>
      </c>
      <c r="C57" s="21" t="s">
        <v>285</v>
      </c>
      <c r="D57" s="30">
        <v>8</v>
      </c>
      <c r="E57" s="31">
        <f t="shared" si="0"/>
        <v>80</v>
      </c>
      <c r="F57" s="30">
        <v>5</v>
      </c>
      <c r="G57" s="31">
        <f t="shared" si="1"/>
        <v>50</v>
      </c>
      <c r="H57" s="30">
        <v>6</v>
      </c>
      <c r="I57" s="31">
        <f t="shared" si="2"/>
        <v>60</v>
      </c>
      <c r="J57" s="30">
        <v>5</v>
      </c>
      <c r="K57" s="31">
        <f t="shared" si="3"/>
        <v>50</v>
      </c>
      <c r="L57" s="30">
        <v>3</v>
      </c>
      <c r="M57" s="31">
        <f t="shared" si="4"/>
        <v>30</v>
      </c>
      <c r="N57" s="30">
        <v>3</v>
      </c>
      <c r="O57" s="31">
        <f t="shared" si="5"/>
        <v>30</v>
      </c>
      <c r="P57" s="30">
        <v>3</v>
      </c>
      <c r="Q57" s="31">
        <f t="shared" si="6"/>
        <v>30</v>
      </c>
      <c r="R57" s="30">
        <v>3</v>
      </c>
      <c r="S57" s="31">
        <f t="shared" si="7"/>
        <v>30</v>
      </c>
      <c r="T57" s="30">
        <v>2</v>
      </c>
      <c r="U57" s="31">
        <f t="shared" si="8"/>
        <v>20</v>
      </c>
    </row>
    <row r="58" spans="1:21" x14ac:dyDescent="0.25">
      <c r="A58" s="22" t="s">
        <v>286</v>
      </c>
      <c r="E58" s="32">
        <f>SUM(E38:E57)</f>
        <v>1230</v>
      </c>
      <c r="G58" s="32">
        <f>SUM(G38:G57)</f>
        <v>724</v>
      </c>
      <c r="I58" s="32">
        <f>SUM(I38:I57)</f>
        <v>1118</v>
      </c>
      <c r="K58" s="32">
        <f>SUM(K38:K57)</f>
        <v>724</v>
      </c>
      <c r="M58" s="32">
        <f>SUM(M38:M57)</f>
        <v>293</v>
      </c>
      <c r="O58" s="32">
        <f>SUM(O38:O57)</f>
        <v>270</v>
      </c>
      <c r="Q58" s="32">
        <f>SUM(Q38:Q57)</f>
        <v>236</v>
      </c>
      <c r="S58" s="32">
        <f>SUM(S38:S57)</f>
        <v>236</v>
      </c>
      <c r="U58" s="32">
        <f>SUM(U38:U57)</f>
        <v>259</v>
      </c>
    </row>
    <row r="59" spans="1:21" x14ac:dyDescent="0.25">
      <c r="A59" s="22" t="s">
        <v>287</v>
      </c>
      <c r="E59" s="33">
        <f>E58*Kurallar!$B$33</f>
        <v>1414.5</v>
      </c>
      <c r="G59" s="33">
        <f>G58*Kurallar!$B$33</f>
        <v>832.59999999999991</v>
      </c>
      <c r="I59" s="33">
        <f>I58*Kurallar!$B$33</f>
        <v>1285.6999999999998</v>
      </c>
      <c r="K59" s="33">
        <f>K58*Kurallar!$B$33</f>
        <v>832.59999999999991</v>
      </c>
      <c r="M59" s="33">
        <f>M58*Kurallar!$B$33</f>
        <v>336.95</v>
      </c>
      <c r="O59" s="33">
        <f>O58*Kurallar!$B$33</f>
        <v>310.5</v>
      </c>
      <c r="Q59" s="33">
        <f>Q58*Kurallar!$B$33</f>
        <v>271.39999999999998</v>
      </c>
      <c r="S59" s="33">
        <f>S58*Kurallar!$B$33</f>
        <v>271.39999999999998</v>
      </c>
      <c r="U59" s="33">
        <f>U58*Kurallar!$B$33</f>
        <v>297.84999999999997</v>
      </c>
    </row>
    <row r="61" spans="1:21" x14ac:dyDescent="0.25">
      <c r="A61" s="22" t="s">
        <v>288</v>
      </c>
    </row>
    <row r="62" spans="1:21" x14ac:dyDescent="0.25">
      <c r="A62" s="23" t="s">
        <v>289</v>
      </c>
      <c r="B62" s="23" t="s">
        <v>290</v>
      </c>
      <c r="C62" s="23" t="s">
        <v>291</v>
      </c>
      <c r="D62" s="23" t="s">
        <v>292</v>
      </c>
    </row>
    <row r="63" spans="1:21" x14ac:dyDescent="0.25">
      <c r="A63" s="21" t="s">
        <v>293</v>
      </c>
      <c r="B63" s="34" t="s">
        <v>294</v>
      </c>
      <c r="C63" s="35">
        <f t="shared" ref="C63:C72" ca="1" si="9">DATEDIF(DATEVALUE(B63),TODAY(),"m")</f>
        <v>9</v>
      </c>
      <c r="D63" s="21" t="str">
        <f t="shared" ref="D63:D72" ca="1" si="10">IF(C63&lt;=12,"✅ KULLAN",IF(C63&lt;=18,"⚠ UYARILI — teyit et","⛔ YASAK"))</f>
        <v>✅ KULLAN</v>
      </c>
    </row>
    <row r="64" spans="1:21" x14ac:dyDescent="0.25">
      <c r="A64" s="21" t="s">
        <v>295</v>
      </c>
      <c r="B64" s="34" t="s">
        <v>296</v>
      </c>
      <c r="C64" s="35">
        <f t="shared" ca="1" si="9"/>
        <v>2</v>
      </c>
      <c r="D64" s="21" t="str">
        <f t="shared" ca="1" si="10"/>
        <v>✅ KULLAN</v>
      </c>
    </row>
    <row r="65" spans="1:4" x14ac:dyDescent="0.25">
      <c r="A65" s="21" t="s">
        <v>297</v>
      </c>
      <c r="B65" s="34" t="s">
        <v>298</v>
      </c>
      <c r="C65" s="35">
        <f t="shared" ca="1" si="9"/>
        <v>1</v>
      </c>
      <c r="D65" s="21" t="str">
        <f t="shared" ca="1" si="10"/>
        <v>✅ KULLAN</v>
      </c>
    </row>
    <row r="66" spans="1:4" x14ac:dyDescent="0.25">
      <c r="A66" s="21" t="s">
        <v>299</v>
      </c>
      <c r="B66" s="34" t="s">
        <v>300</v>
      </c>
      <c r="C66" s="35">
        <f t="shared" ca="1" si="9"/>
        <v>14</v>
      </c>
      <c r="D66" s="21" t="str">
        <f t="shared" ca="1" si="10"/>
        <v>⚠ UYARILI — teyit et</v>
      </c>
    </row>
    <row r="67" spans="1:4" x14ac:dyDescent="0.25">
      <c r="A67" s="21" t="s">
        <v>301</v>
      </c>
      <c r="B67" s="34" t="s">
        <v>302</v>
      </c>
      <c r="C67" s="35">
        <f t="shared" ca="1" si="9"/>
        <v>18</v>
      </c>
      <c r="D67" s="21" t="str">
        <f t="shared" ca="1" si="10"/>
        <v>⚠ UYARILI — teyit et</v>
      </c>
    </row>
    <row r="68" spans="1:4" x14ac:dyDescent="0.25">
      <c r="A68" s="21" t="s">
        <v>303</v>
      </c>
      <c r="B68" s="34" t="s">
        <v>304</v>
      </c>
      <c r="C68" s="35">
        <f t="shared" ca="1" si="9"/>
        <v>13</v>
      </c>
      <c r="D68" s="21" t="str">
        <f t="shared" ca="1" si="10"/>
        <v>⚠ UYARILI — teyit et</v>
      </c>
    </row>
    <row r="69" spans="1:4" x14ac:dyDescent="0.25">
      <c r="A69" s="21" t="s">
        <v>305</v>
      </c>
      <c r="B69" s="34" t="s">
        <v>306</v>
      </c>
      <c r="C69" s="35">
        <f t="shared" ca="1" si="9"/>
        <v>10</v>
      </c>
      <c r="D69" s="21" t="str">
        <f t="shared" ca="1" si="10"/>
        <v>✅ KULLAN</v>
      </c>
    </row>
    <row r="70" spans="1:4" x14ac:dyDescent="0.25">
      <c r="A70" s="21" t="s">
        <v>307</v>
      </c>
      <c r="B70" s="34" t="s">
        <v>308</v>
      </c>
      <c r="C70" s="35">
        <f t="shared" ca="1" si="9"/>
        <v>54</v>
      </c>
      <c r="D70" s="21" t="str">
        <f t="shared" ca="1" si="10"/>
        <v>⛔ YASAK</v>
      </c>
    </row>
    <row r="71" spans="1:4" x14ac:dyDescent="0.25">
      <c r="A71" s="21" t="s">
        <v>309</v>
      </c>
      <c r="B71" s="34" t="s">
        <v>310</v>
      </c>
      <c r="C71" s="35">
        <f t="shared" ca="1" si="9"/>
        <v>45</v>
      </c>
      <c r="D71" s="21" t="str">
        <f t="shared" ca="1" si="10"/>
        <v>⛔ YASAK</v>
      </c>
    </row>
    <row r="72" spans="1:4" x14ac:dyDescent="0.25">
      <c r="A72" s="21" t="s">
        <v>311</v>
      </c>
      <c r="B72" s="34" t="s">
        <v>312</v>
      </c>
      <c r="C72" s="35">
        <f t="shared" ca="1" si="9"/>
        <v>49</v>
      </c>
      <c r="D72" s="21" t="str">
        <f t="shared" ca="1" si="10"/>
        <v>⛔ YASAK</v>
      </c>
    </row>
    <row r="74" spans="1:4" x14ac:dyDescent="0.25">
      <c r="A74" s="22" t="s">
        <v>313</v>
      </c>
    </row>
    <row r="75" spans="1:4" x14ac:dyDescent="0.25">
      <c r="A75" s="21" t="s">
        <v>314</v>
      </c>
    </row>
    <row r="76" spans="1:4" x14ac:dyDescent="0.25">
      <c r="A76" s="21" t="s">
        <v>315</v>
      </c>
    </row>
    <row r="77" spans="1:4" x14ac:dyDescent="0.25">
      <c r="A77" s="21" t="s">
        <v>316</v>
      </c>
    </row>
    <row r="78" spans="1:4" x14ac:dyDescent="0.25">
      <c r="A78" s="21" t="s">
        <v>317</v>
      </c>
    </row>
    <row r="79" spans="1:4" x14ac:dyDescent="0.25">
      <c r="A79" s="21" t="s">
        <v>318</v>
      </c>
    </row>
    <row r="80" spans="1:4" x14ac:dyDescent="0.25">
      <c r="A80" s="21"/>
    </row>
    <row r="81" spans="1:1" x14ac:dyDescent="0.25">
      <c r="A81" s="21" t="s">
        <v>319</v>
      </c>
    </row>
    <row r="82" spans="1:1" x14ac:dyDescent="0.25">
      <c r="A82" s="21" t="s">
        <v>320</v>
      </c>
    </row>
    <row r="83" spans="1:1" x14ac:dyDescent="0.25">
      <c r="A83" s="21" t="s">
        <v>321</v>
      </c>
    </row>
    <row r="84" spans="1:1" x14ac:dyDescent="0.25">
      <c r="A84" s="21" t="s">
        <v>322</v>
      </c>
    </row>
    <row r="85" spans="1:1" x14ac:dyDescent="0.25">
      <c r="A85" s="21" t="s">
        <v>323</v>
      </c>
    </row>
    <row r="86" spans="1:1" x14ac:dyDescent="0.25">
      <c r="A86" s="21" t="s">
        <v>324</v>
      </c>
    </row>
    <row r="87" spans="1:1" x14ac:dyDescent="0.25">
      <c r="A87" s="21" t="s">
        <v>325</v>
      </c>
    </row>
    <row r="88" spans="1:1" x14ac:dyDescent="0.25">
      <c r="A88" s="21" t="s">
        <v>326</v>
      </c>
    </row>
    <row r="89" spans="1:1" x14ac:dyDescent="0.25">
      <c r="A89" s="21" t="s">
        <v>327</v>
      </c>
    </row>
    <row r="90" spans="1:1" x14ac:dyDescent="0.25">
      <c r="A90" s="21" t="s">
        <v>328</v>
      </c>
    </row>
    <row r="91" spans="1:1" x14ac:dyDescent="0.25">
      <c r="A91" s="21" t="s">
        <v>329</v>
      </c>
    </row>
    <row r="92" spans="1:1" x14ac:dyDescent="0.25">
      <c r="A92" s="21" t="s">
        <v>330</v>
      </c>
    </row>
    <row r="93" spans="1:1" x14ac:dyDescent="0.25">
      <c r="A93" s="21" t="s">
        <v>331</v>
      </c>
    </row>
    <row r="94" spans="1:1" x14ac:dyDescent="0.25">
      <c r="A94" s="21" t="s">
        <v>332</v>
      </c>
    </row>
    <row r="95" spans="1:1" x14ac:dyDescent="0.25">
      <c r="A95" s="21" t="s">
        <v>333</v>
      </c>
    </row>
    <row r="96" spans="1:1" x14ac:dyDescent="0.25">
      <c r="A96" s="21" t="s">
        <v>334</v>
      </c>
    </row>
    <row r="97" spans="1:1" x14ac:dyDescent="0.25">
      <c r="A97" s="21" t="s">
        <v>335</v>
      </c>
    </row>
    <row r="98" spans="1:1" x14ac:dyDescent="0.25">
      <c r="A98" s="21" t="s">
        <v>336</v>
      </c>
    </row>
    <row r="99" spans="1:1" x14ac:dyDescent="0.25">
      <c r="A99" s="21" t="s">
        <v>337</v>
      </c>
    </row>
    <row r="100" spans="1:1" x14ac:dyDescent="0.25">
      <c r="A100" s="21"/>
    </row>
    <row r="101" spans="1:1" x14ac:dyDescent="0.25">
      <c r="A101" s="21" t="s">
        <v>338</v>
      </c>
    </row>
    <row r="102" spans="1:1" x14ac:dyDescent="0.25">
      <c r="A102" s="21" t="s">
        <v>339</v>
      </c>
    </row>
    <row r="103" spans="1:1" x14ac:dyDescent="0.25">
      <c r="A103" s="21" t="s">
        <v>340</v>
      </c>
    </row>
    <row r="104" spans="1:1" x14ac:dyDescent="0.25">
      <c r="A104" s="21" t="s">
        <v>341</v>
      </c>
    </row>
    <row r="105" spans="1:1" x14ac:dyDescent="0.25">
      <c r="A105" s="21" t="s">
        <v>342</v>
      </c>
    </row>
    <row r="106" spans="1:1" x14ac:dyDescent="0.25">
      <c r="A106" s="21" t="s">
        <v>343</v>
      </c>
    </row>
    <row r="107" spans="1:1" x14ac:dyDescent="0.25">
      <c r="A107" s="21" t="s">
        <v>344</v>
      </c>
    </row>
    <row r="108" spans="1:1" x14ac:dyDescent="0.25">
      <c r="A108" s="21" t="s">
        <v>345</v>
      </c>
    </row>
    <row r="109" spans="1:1" x14ac:dyDescent="0.25">
      <c r="A109" s="21" t="s">
        <v>346</v>
      </c>
    </row>
    <row r="110" spans="1:1" x14ac:dyDescent="0.25">
      <c r="A110" s="21" t="s">
        <v>347</v>
      </c>
    </row>
    <row r="111" spans="1:1" x14ac:dyDescent="0.25">
      <c r="A111" s="21" t="s">
        <v>348</v>
      </c>
    </row>
    <row r="112" spans="1:1" x14ac:dyDescent="0.25">
      <c r="A112" s="21" t="s">
        <v>349</v>
      </c>
    </row>
    <row r="113" spans="1:1" x14ac:dyDescent="0.25">
      <c r="A113" s="21" t="s">
        <v>350</v>
      </c>
    </row>
    <row r="114" spans="1:1" x14ac:dyDescent="0.25">
      <c r="A114" s="21" t="s">
        <v>351</v>
      </c>
    </row>
    <row r="115" spans="1:1" x14ac:dyDescent="0.25">
      <c r="A115" s="21" t="s">
        <v>352</v>
      </c>
    </row>
    <row r="116" spans="1:1" x14ac:dyDescent="0.25">
      <c r="A116" s="21" t="s">
        <v>353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BOM</vt:lpstr>
      <vt:lpstr>СВОД</vt:lpstr>
      <vt:lpstr>Kurallar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2026-08-17T08:14:08Z</dcterms:created>
  <dcterms:modified xsi:type="dcterms:W3CDTF">2026-08-24T09:07:25Z</dcterms:modified>
  <dc:language>en-US</dc:language>
</cp:coreProperties>
</file>