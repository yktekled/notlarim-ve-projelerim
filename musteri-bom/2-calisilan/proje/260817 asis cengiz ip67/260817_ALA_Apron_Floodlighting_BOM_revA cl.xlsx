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СВОД" sheetId="2" state="visible" r:id="rId4"/>
    <sheet name="Kurallar" sheetId="3" state="visible" r:id="rId5"/>
    <sheet name="FIYAT_KAYNAK" sheetId="4" state="visible" r:id="rId6"/>
  </sheets>
  <definedNames>
    <definedName function="false" hidden="true" localSheetId="0" name="_xlnm._FilterDatabase" vbProcedure="false">BOM!$A$1:$K$152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<sst xmlns="http://schemas.openxmlformats.org/spreadsheetml/2006/main" count="1186" uniqueCount="408">
  <si>
    <t xml:space="preserve">ROW</t>
  </si>
  <si>
    <t xml:space="preserve">Наименование1</t>
  </si>
  <si>
    <t xml:space="preserve">Тип</t>
  </si>
  <si>
    <t xml:space="preserve">Артикул</t>
  </si>
  <si>
    <t xml:space="preserve">Номенклатура</t>
  </si>
  <si>
    <t xml:space="preserve">Цена (лист)</t>
  </si>
  <si>
    <t xml:space="preserve">Цена нетто KZT</t>
  </si>
  <si>
    <t xml:space="preserve">Сумма KZT</t>
  </si>
  <si>
    <t xml:space="preserve">Кол-во</t>
  </si>
  <si>
    <t xml:space="preserve">Ед.изм.</t>
  </si>
  <si>
    <t xml:space="preserve">Завод</t>
  </si>
  <si>
    <t xml:space="preserve">ЩАВР De-icing (AVR POWER PANEL)</t>
  </si>
  <si>
    <t xml:space="preserve">комплект</t>
  </si>
  <si>
    <t xml:space="preserve">korpus</t>
  </si>
  <si>
    <t xml:space="preserve">719-15923</t>
  </si>
  <si>
    <t xml:space="preserve">Мет. Щит ВРУ (2000x800x600)+10 база (TS)</t>
  </si>
  <si>
    <t xml:space="preserve">шт</t>
  </si>
  <si>
    <t xml:space="preserve">KAZTEK</t>
  </si>
  <si>
    <t xml:space="preserve">TMŞ</t>
  </si>
  <si>
    <t xml:space="preserve">1SDA100385R1</t>
  </si>
  <si>
    <t xml:space="preserve">Выключатель автоматический XT5N 400 TMA In=400A InN=100% 4P, Icu 36кА</t>
  </si>
  <si>
    <t xml:space="preserve">ABB</t>
  </si>
  <si>
    <t xml:space="preserve">rubilnik</t>
  </si>
  <si>
    <t xml:space="preserve">1SCA022847R3250</t>
  </si>
  <si>
    <t xml:space="preserve">Переключатель нагрузки автоматический (АВР) OTM400E4CM230C 400А 4P</t>
  </si>
  <si>
    <t xml:space="preserve">1SDA067418R1</t>
  </si>
  <si>
    <t xml:space="preserve">Выключатель автоматический XT1N 160 TMD In=160A 3P, Icu 36кА — AFL Mast</t>
  </si>
  <si>
    <t xml:space="preserve">OTO</t>
  </si>
  <si>
    <t xml:space="preserve">2CDS273001R0634</t>
  </si>
  <si>
    <t xml:space="preserve">Выключатель автоматический S203M-C63 3P 63А, 10кА, хар. C — Резерв</t>
  </si>
  <si>
    <t xml:space="preserve">1SDA067416R1</t>
  </si>
  <si>
    <t xml:space="preserve">Выключатель автоматический XT1N 160 TMD In=100A 3P, Icu 36кА — Резерв / Пункт управления</t>
  </si>
  <si>
    <t xml:space="preserve">2CDS273001R0164</t>
  </si>
  <si>
    <t xml:space="preserve">Выключатель автоматический S203M-C16 3P 16А, 10кА, хар. C — Резервуар De-icing</t>
  </si>
  <si>
    <t xml:space="preserve">2CDS273001R0404</t>
  </si>
  <si>
    <t xml:space="preserve">Выключатель автоматический S203M-C40 3P 40А, 10кА, хар. C — Резерв</t>
  </si>
  <si>
    <t xml:space="preserve">2CDS271001R0254</t>
  </si>
  <si>
    <t xml:space="preserve">Выключатель автоматический S201M-C25 1P 25А, 10кА, хар. C — Камера / Резерв ×2</t>
  </si>
  <si>
    <t xml:space="preserve">LOOBAR</t>
  </si>
  <si>
    <t xml:space="preserve">130200208_</t>
  </si>
  <si>
    <t xml:space="preserve">Шина медная 5х50х4000 мм (сборные шины 400А, L1/L2/L3/N)</t>
  </si>
  <si>
    <t xml:space="preserve">EKT</t>
  </si>
  <si>
    <t xml:space="preserve">Klemens</t>
  </si>
  <si>
    <t xml:space="preserve">130301155_</t>
  </si>
  <si>
    <t xml:space="preserve">Зажим наборный ЗНИ 10мм² (70А), серый</t>
  </si>
  <si>
    <t xml:space="preserve">montajный материал</t>
  </si>
  <si>
    <t xml:space="preserve">570003</t>
  </si>
  <si>
    <t xml:space="preserve">DIN-рейка оцинкованная TH35-7.5, 1000 мм</t>
  </si>
  <si>
    <t xml:space="preserve">CHINT</t>
  </si>
  <si>
    <t xml:space="preserve">270300105_</t>
  </si>
  <si>
    <t xml:space="preserve">Кабель-канал перфорированный 40х60, ИМПАКТ</t>
  </si>
  <si>
    <t xml:space="preserve">Монтажные материалы (крепёж, маркировка, наконечники)</t>
  </si>
  <si>
    <t xml:space="preserve">компл.</t>
  </si>
  <si>
    <t xml:space="preserve">—</t>
  </si>
  <si>
    <t xml:space="preserve">montajная работа</t>
  </si>
  <si>
    <t xml:space="preserve">Сборка щита (норма времени, см. лист «Kurallar»)</t>
  </si>
  <si>
    <t xml:space="preserve">мин</t>
  </si>
  <si>
    <t xml:space="preserve">YSF</t>
  </si>
  <si>
    <t xml:space="preserve">Toplam ЩАВР De-icing (AVR POWER PANEL)</t>
  </si>
  <si>
    <t xml:space="preserve">opn</t>
  </si>
  <si>
    <t xml:space="preserve">2CTB812111R2300</t>
  </si>
  <si>
    <t xml:space="preserve">⚠ KONTROL — Ограничитель перенапряжения OVR T1-T2 3N 100-255 P TS (класс I+II)</t>
  </si>
  <si>
    <t xml:space="preserve">sayac</t>
  </si>
  <si>
    <t xml:space="preserve">⚠ KONTROL — Счётчик электроэнергии 3-фазный (тип по ТУ АО «Алматы Энергосбыт»)</t>
  </si>
  <si>
    <t xml:space="preserve">tt</t>
  </si>
  <si>
    <t xml:space="preserve">⚠ KONTROL — Трансформатор тока 400/5 (3 шт на счётчик)</t>
  </si>
  <si>
    <t xml:space="preserve">ЩУ AFL De-icing (AFL MAST CONTROL PANEL)</t>
  </si>
  <si>
    <t xml:space="preserve">719-15420</t>
  </si>
  <si>
    <t xml:space="preserve">Мет.Корпус ЩМП-4 (800x650x250) IP54</t>
  </si>
  <si>
    <t xml:space="preserve">1SDA067415R1</t>
  </si>
  <si>
    <t xml:space="preserve">Выключатель автоматический XT1N 160 TMD In=80A 3P, Icu 36кА — ввод от ЩАВР</t>
  </si>
  <si>
    <t xml:space="preserve">2CDS251001R0065</t>
  </si>
  <si>
    <t xml:space="preserve">Выключатель автоматический S201-B6 1P 6А, 6кА, хар. B — цепи управления</t>
  </si>
  <si>
    <t xml:space="preserve">Выключатель автоматический S203M-C63 3P 63А, 10кА, хар. C — AFL LIGHTs (K1…K4)</t>
  </si>
  <si>
    <t xml:space="preserve">2CDS273001R0324</t>
  </si>
  <si>
    <t xml:space="preserve">Выключатель автоматический S203M-C32 3P 32А, 10кА, хар. C — Резерв</t>
  </si>
  <si>
    <t xml:space="preserve">2CDS271001R0164</t>
  </si>
  <si>
    <t xml:space="preserve">Выключатель автоматический S201M-C16 1P 16А, 10кА, хар. C — Резерв</t>
  </si>
  <si>
    <t xml:space="preserve">kontaktör</t>
  </si>
  <si>
    <t xml:space="preserve">1SAE351111R0640</t>
  </si>
  <si>
    <t xml:space="preserve">Контактор модульный ESB63-40N 63А 4НО, катушка 230В AC/DC</t>
  </si>
  <si>
    <t xml:space="preserve">Röle</t>
  </si>
  <si>
    <t xml:space="preserve">2CSM208141R1000</t>
  </si>
  <si>
    <t xml:space="preserve">Таймер недельный AW1CO-R-120m, 7 сут, резерв 150 ч, 1 перекл. контакт</t>
  </si>
  <si>
    <t xml:space="preserve">1SVR405613R3000</t>
  </si>
  <si>
    <t xml:space="preserve">Реле промежуточное CR-M230AC4, 4 перекл. контакта, 230В AC</t>
  </si>
  <si>
    <t xml:space="preserve">Röle Altlığı</t>
  </si>
  <si>
    <t xml:space="preserve">1SVR405651R3000</t>
  </si>
  <si>
    <t xml:space="preserve">Колодка для реле CR-M4SS, 4 перекл., винтовая</t>
  </si>
  <si>
    <t xml:space="preserve">blok</t>
  </si>
  <si>
    <t xml:space="preserve">1SFA619210R1026</t>
  </si>
  <si>
    <t xml:space="preserve">Переключатель 3-позиционный C3SS1-10B-20, 2НО (АВТО-ОТКЛ-РУЧН)</t>
  </si>
  <si>
    <t xml:space="preserve">Sinyal Lambası</t>
  </si>
  <si>
    <t xml:space="preserve">1SFA619403R5232</t>
  </si>
  <si>
    <t xml:space="preserve">Лампа сигнальная CL2-523G, LED 230В AC, зелёная («FLTs ON»)</t>
  </si>
  <si>
    <t xml:space="preserve">811002</t>
  </si>
  <si>
    <t xml:space="preserve">Шина соединительная типа PIN 3P, 63А, L=1000 мм</t>
  </si>
  <si>
    <t xml:space="preserve">130200399_</t>
  </si>
  <si>
    <t xml:space="preserve">Шина «N»/«PE» ШНК 3L+PEN 4х7, 100А, на DIN-рейку в корпусе</t>
  </si>
  <si>
    <t xml:space="preserve">130300473_</t>
  </si>
  <si>
    <t xml:space="preserve">Шина медная 3х20х4000 мм (сборные шины 160А, L1/L2/L3/N)</t>
  </si>
  <si>
    <t xml:space="preserve">130301153_</t>
  </si>
  <si>
    <t xml:space="preserve">Зажим наборный ЗНИ 4мм² (35А), серый — цепи управления</t>
  </si>
  <si>
    <t xml:space="preserve">Зажим наборный ЗНИ 10мм² (70А), серый — силовые отходящие</t>
  </si>
  <si>
    <t xml:space="preserve">270300079_</t>
  </si>
  <si>
    <t xml:space="preserve">Кабель-канал перфорированный 25х40, ИМПАКТ</t>
  </si>
  <si>
    <t xml:space="preserve">Toplam ЩУ AFL De-icing (AFL MAST CONTROL PANEL)</t>
  </si>
  <si>
    <t xml:space="preserve">⚠ KONTROL — Фотореле (сумеречный выключатель) с выносным датчиком, 230В AC</t>
  </si>
  <si>
    <t xml:space="preserve">ЩАВР Cargo (AVR POWER PANEL)</t>
  </si>
  <si>
    <t xml:space="preserve">719-15602</t>
  </si>
  <si>
    <t xml:space="preserve">Щит ВРУ (1800x600x450x2)+10см база IP54</t>
  </si>
  <si>
    <t xml:space="preserve">1SDA068070R1</t>
  </si>
  <si>
    <t xml:space="preserve">Выключатель автоматический XT3N 250 TMD In=250A InN=100% 4P, Icu 36кА</t>
  </si>
  <si>
    <t xml:space="preserve">1SCA022846R1910</t>
  </si>
  <si>
    <t xml:space="preserve">Переключатель нагрузки автоматический (АВР) OTM250E4CM230C 250А 4P</t>
  </si>
  <si>
    <t xml:space="preserve">Выключатель автоматический XT1N 160 TMD In=100A 3P, Icu 36кА — AFL Cargo</t>
  </si>
  <si>
    <t xml:space="preserve">Выключатель автоматический S203M-C40 3P 40А, 10кА, хар. C — CCTV</t>
  </si>
  <si>
    <t xml:space="preserve">Выключатель автоматический XT1N 160 TMD In=80A 3P, Icu 36кА — Резерв ×2</t>
  </si>
  <si>
    <t xml:space="preserve">DİF</t>
  </si>
  <si>
    <t xml:space="preserve">2CSR255080R1164</t>
  </si>
  <si>
    <t xml:space="preserve">Дифавтомат DS201 C16 AC30 1P+N 16А 30мА, 6кА — Резерв</t>
  </si>
  <si>
    <t xml:space="preserve">2CSR255080R1254</t>
  </si>
  <si>
    <t xml:space="preserve">Дифавтомат DS201 C25 AC30 1P+N 25А 30мА, 6кА — Резерв ×2</t>
  </si>
  <si>
    <t xml:space="preserve">130300554_</t>
  </si>
  <si>
    <t xml:space="preserve">Шина медная 4х30х4000 мм (сборные шины 250А, L1/L2/L3/N)</t>
  </si>
  <si>
    <t xml:space="preserve">Toplam ЩАВР Cargo (AVR POWER PANEL)</t>
  </si>
  <si>
    <t xml:space="preserve">ЩУ AFL Cargo (AFL MAST CONTROL PANEL)</t>
  </si>
  <si>
    <t xml:space="preserve">Шина медная 3х20х4000 мм (сборные шины 80А, L1/L2/L3/N)</t>
  </si>
  <si>
    <t xml:space="preserve">Toplam ЩУ AFL Cargo (AFL MAST CONTROL PANEL)</t>
  </si>
  <si>
    <t xml:space="preserve">SUB 19 AFL LV DB (VIP)</t>
  </si>
  <si>
    <t xml:space="preserve">Выключатель автоматический XT1N 160 TMD In=100A 3P, Icu 36кА — ввод</t>
  </si>
  <si>
    <t xml:space="preserve">2CTB803973R1100</t>
  </si>
  <si>
    <t xml:space="preserve">Ограничитель перенапряжения OVR T2 3N 40-275 P QS (класс II)</t>
  </si>
  <si>
    <t xml:space="preserve">Выключатель автоматический S203M-C32 3P 32А, 10кА, хар. C — PB-V1/V2/V3</t>
  </si>
  <si>
    <t xml:space="preserve">130301157_</t>
  </si>
  <si>
    <t xml:space="preserve">Зажим наборный ЗНИ 16мм² (100А), серый</t>
  </si>
  <si>
    <t xml:space="preserve">Toplam SUB 19 AFL LV DB (VIP)</t>
  </si>
  <si>
    <t xml:space="preserve">ЩО PB-V1 (VIP)</t>
  </si>
  <si>
    <t xml:space="preserve">719-15425</t>
  </si>
  <si>
    <t xml:space="preserve">Мет.Корпус ЩМП-2 (500x400x220) IP54</t>
  </si>
  <si>
    <t xml:space="preserve">2CDS273001R0504</t>
  </si>
  <si>
    <t xml:space="preserve">Выключатель автоматический S203M-C50 3P 50А, 10кА, хар. C — ввод</t>
  </si>
  <si>
    <t xml:space="preserve">Выключатель автоматический S203M-C32 3P 32А, 10кА, хар. C — AFL мачты (4 шт)</t>
  </si>
  <si>
    <t xml:space="preserve">Toplam ЩО PB-V1 (VIP)</t>
  </si>
  <si>
    <t xml:space="preserve">ЩО PB-V2 (VIP)</t>
  </si>
  <si>
    <t xml:space="preserve">Выключатель автоматический S203M-C32 3P 32А, 10кА, хар. C — AFL мачты (3 шт)</t>
  </si>
  <si>
    <t xml:space="preserve">Toplam ЩО PB-V2 (VIP)</t>
  </si>
  <si>
    <t xml:space="preserve">ЩО PB-V3 (VIP)</t>
  </si>
  <si>
    <t xml:space="preserve">Toplam ЩО PB-V3 (VIP)</t>
  </si>
  <si>
    <t xml:space="preserve">ЩА AFL INTERNAL DB (в мачте, VIP)</t>
  </si>
  <si>
    <t xml:space="preserve">1SCA104932R1001</t>
  </si>
  <si>
    <t xml:space="preserve">Выключатель нагрузки OT40F4N2 40А 4P — ввод (TP 32A ISO)</t>
  </si>
  <si>
    <t xml:space="preserve">2CDS273001R0204</t>
  </si>
  <si>
    <t xml:space="preserve">Выключатель автоматический S203M-C20 3P 20А, 10кА, хар. C — AFL LIGHTs</t>
  </si>
  <si>
    <t xml:space="preserve">2CDS251001R0034</t>
  </si>
  <si>
    <t xml:space="preserve">Выключатель автоматический S201-C3 1P 3А, 6кА, хар. C — OBS LIGHTs</t>
  </si>
  <si>
    <t xml:space="preserve">1SAE231111R0640</t>
  </si>
  <si>
    <t xml:space="preserve">Контактор модульный ESB25-40N 25А 4НО, катушка 230В AC/DC (K1 / K3)</t>
  </si>
  <si>
    <t xml:space="preserve">2CSM208151R1000</t>
  </si>
  <si>
    <t xml:space="preserve">Таймер суточный AD1CO-R-15m, резерв 150 ч, 1 перекл. контакт</t>
  </si>
  <si>
    <t xml:space="preserve">Зажим наборный ЗНИ 4мм² (35А), серый (L1×2, L2×2, L3×3, N, E + ввод)</t>
  </si>
  <si>
    <t xml:space="preserve">Toplam ЩА AFL INTERNAL DB (в мачте, VIP)</t>
  </si>
  <si>
    <t xml:space="preserve">⚠ KONTROL — Фотореле PH1 (сумеречный выключатель), 230В AC</t>
  </si>
  <si>
    <t xml:space="preserve">GENEL TOPLAM (tüm panolar, komplekt adedi dahil)</t>
  </si>
  <si>
    <t xml:space="preserve">Almaty International Airport — Apron Floodlighting (De-icing / Cargo / VIP), BK3812 — СВОДНАЯ ВЕДОМОСТЬ</t>
  </si>
  <si>
    <t xml:space="preserve">Rev. A · 2026-08-17</t>
  </si>
  <si>
    <t xml:space="preserve">Щит</t>
  </si>
  <si>
    <t xml:space="preserve">Кол-во компл.</t>
  </si>
  <si>
    <t xml:space="preserve">Цена за 1 компл. KZT</t>
  </si>
  <si>
    <t xml:space="preserve">Модули исп.</t>
  </si>
  <si>
    <t xml:space="preserve">Модули всего</t>
  </si>
  <si>
    <t xml:space="preserve">Заполнение</t>
  </si>
  <si>
    <t xml:space="preserve">Статус</t>
  </si>
  <si>
    <t xml:space="preserve">ИТОГО</t>
  </si>
  <si>
    <t xml:space="preserve">Almaty International Airport — Apron Floodlighting (De-icing / Cargo / VIP), BK3812  —  KURAL VE PARAMETRE TABLOSU</t>
  </si>
  <si>
    <t xml:space="preserve">SARI hücreler düzenlenebilir. Değiştirince BOM ve СВОД otomatik güncellenir.</t>
  </si>
  <si>
    <t xml:space="preserve">Proje kodu</t>
  </si>
  <si>
    <t xml:space="preserve">260817_ALA_Apron_Floodlighting</t>
  </si>
  <si>
    <t xml:space="preserve">Revizyon</t>
  </si>
  <si>
    <t xml:space="preserve">A</t>
  </si>
  <si>
    <t xml:space="preserve">Tarih</t>
  </si>
  <si>
    <t xml:space="preserve">2026-08-17</t>
  </si>
  <si>
    <t xml:space="preserve">Sorumlu</t>
  </si>
  <si>
    <t xml:space="preserve">YSF HICH</t>
  </si>
  <si>
    <t xml:space="preserve">Müşteri</t>
  </si>
  <si>
    <t xml:space="preserve">Almaty International Airport / NACO</t>
  </si>
  <si>
    <t xml:space="preserve">PARAMETRELER</t>
  </si>
  <si>
    <t xml:space="preserve">ISCILIK_KZT_DK</t>
  </si>
  <si>
    <t xml:space="preserve">KZT / dakika (işveren yükü dahil)</t>
  </si>
  <si>
    <t xml:space="preserve">TEST_ETIKET_KATS</t>
  </si>
  <si>
    <t xml:space="preserve">Toplam işçilik dakikasına çarpan</t>
  </si>
  <si>
    <t xml:space="preserve">MONTAJ_MALZ_YUZDE</t>
  </si>
  <si>
    <t xml:space="preserve">Pano malzeme ara toplamının yüzdesi</t>
  </si>
  <si>
    <t xml:space="preserve">KUTUP_EK_DK</t>
  </si>
  <si>
    <t xml:space="preserve">OTO/DİF: her ek kutup için ek dakika</t>
  </si>
  <si>
    <t xml:space="preserve">İŞÇİLİK ZAMAN NORMLARI (dakika) — her pano için ayrı sütun</t>
  </si>
  <si>
    <t xml:space="preserve">TİP</t>
  </si>
  <si>
    <t xml:space="preserve">NORM_DK</t>
  </si>
  <si>
    <t xml:space="preserve">ЩАВР De-icing (AVR POWER PANEL) adet</t>
  </si>
  <si>
    <t xml:space="preserve">ЩАВР De-icing (AVR POWER PANEL) dk</t>
  </si>
  <si>
    <t xml:space="preserve">ЩУ AFL De-icing (AFL MAST CONTROL PANEL) adet</t>
  </si>
  <si>
    <t xml:space="preserve">ЩУ AFL De-icing (AFL MAST CONTROL PANEL) dk</t>
  </si>
  <si>
    <t xml:space="preserve">ЩАВР Cargo (AVR POWER PANEL) adet</t>
  </si>
  <si>
    <t xml:space="preserve">ЩАВР Cargo (AVR POWER PANEL) dk</t>
  </si>
  <si>
    <t xml:space="preserve">ЩУ AFL Cargo (AFL MAST CONTROL PANEL) adet</t>
  </si>
  <si>
    <t xml:space="preserve">ЩУ AFL Cargo (AFL MAST CONTROL PANEL) dk</t>
  </si>
  <si>
    <t xml:space="preserve">SUB 19 AFL LV DB (VIP) adet</t>
  </si>
  <si>
    <t xml:space="preserve">SUB 19 AFL LV DB (VIP) dk</t>
  </si>
  <si>
    <t xml:space="preserve">ЩО PB-V1 (VIP) adet</t>
  </si>
  <si>
    <t xml:space="preserve">ЩО PB-V1 (VIP) dk</t>
  </si>
  <si>
    <t xml:space="preserve">ЩО PB-V2 (VIP) adet</t>
  </si>
  <si>
    <t xml:space="preserve">ЩО PB-V2 (VIP) dk</t>
  </si>
  <si>
    <t xml:space="preserve">ЩО PB-V3 (VIP) adet</t>
  </si>
  <si>
    <t xml:space="preserve">ЩО PB-V3 (VIP) dk</t>
  </si>
  <si>
    <t xml:space="preserve">ЩА AFL INTERNAL DB (в мачте, VIP) adet</t>
  </si>
  <si>
    <t xml:space="preserve">ЩА AFL INTERNAL DB (в мачте, VIP) dk</t>
  </si>
  <si>
    <t xml:space="preserve">AÇIKLAMA</t>
  </si>
  <si>
    <t xml:space="preserve">Korpus hazırlık, DIN ray, montaj plakası</t>
  </si>
  <si>
    <t xml:space="preserve">MCCB montaj + kablolama</t>
  </si>
  <si>
    <t xml:space="preserve">MCB 1P; her ek kutup için +2 dk (kutup katsayısı)</t>
  </si>
  <si>
    <t xml:space="preserve">RCBO / УЗО</t>
  </si>
  <si>
    <t xml:space="preserve">Yük ayırıcı</t>
  </si>
  <si>
    <t xml:space="preserve">fu</t>
  </si>
  <si>
    <t xml:space="preserve">Sigorta + yuva</t>
  </si>
  <si>
    <t xml:space="preserve">Yardımcı kontak / interlok</t>
  </si>
  <si>
    <t xml:space="preserve">İmpuls</t>
  </si>
  <si>
    <t xml:space="preserve">lamb</t>
  </si>
  <si>
    <t xml:space="preserve">Adet başına</t>
  </si>
  <si>
    <t xml:space="preserve">HAZIR DIN barası (ШНИ/ШНК) montaj + bağlantı, adet başına. ⚠ İMALAT bara (kesim, delme, bükme, kalaylama) için bu norm YETERSİZ — 30-45 dk/adet ayrıca hesaplanmalı</t>
  </si>
  <si>
    <t xml:space="preserve">Akım trafosu</t>
  </si>
  <si>
    <t xml:space="preserve">Sayaç montaj + bağlantı</t>
  </si>
  <si>
    <t xml:space="preserve">Parafudr</t>
  </si>
  <si>
    <t xml:space="preserve">Kanal/DIN ray, metre başına</t>
  </si>
  <si>
    <t xml:space="preserve">TEST/ETİKET ÖNCESİ TOPLAM (dk)</t>
  </si>
  <si>
    <t xml:space="preserve">TEST/ETİKET KATSAYILI (dk)</t>
  </si>
  <si>
    <t xml:space="preserve">DÖVİZ KURLARI (BOM günü)</t>
  </si>
  <si>
    <t xml:space="preserve">EUR</t>
  </si>
  <si>
    <t xml:space="preserve">EUR/KZT</t>
  </si>
  <si>
    <t xml:space="preserve">TL</t>
  </si>
  <si>
    <t xml:space="preserve">TL/KZT</t>
  </si>
  <si>
    <t xml:space="preserve">KZT</t>
  </si>
  <si>
    <t xml:space="preserve">baz — değiştirmeyin</t>
  </si>
  <si>
    <t xml:space="preserve">MARKA KATSAYILARI (net = liste × katsayı × kur)</t>
  </si>
  <si>
    <t xml:space="preserve">MARKA</t>
  </si>
  <si>
    <t xml:space="preserve">KATSAYI</t>
  </si>
  <si>
    <t xml:space="preserve">liste×1.35×0.30</t>
  </si>
  <si>
    <t xml:space="preserve">%40 indirim</t>
  </si>
  <si>
    <t xml:space="preserve">Net fiyat</t>
  </si>
  <si>
    <t xml:space="preserve">Korpus — net fiyat</t>
  </si>
  <si>
    <t xml:space="preserve">NOTLAR, UYARILAR VE KONTROL MADDELERİ</t>
  </si>
  <si>
    <t xml:space="preserve">Fiyat kaynağı: 260806_YSF_HICH_Birlesik_Fiyat_Listesi_v2.xlsx. Fiyatlar bu dosyanın FIYAT_KAYNAK sayfasına kopyalanmıştır.</t>
  </si>
  <si>
    <t xml:space="preserve">Fiyatı bulunamayan kalemlerin Цена/Сумма hücreleri BİLİNÇLİ olarak boştur — sıfır yazılmaz, toplam görünür şekilde eksilir.</t>
  </si>
  <si>
    <t xml:space="preserve">KONTROL satırları kırmızı zeminlidir; adetleri gerçektir (atölye/tedarik için) ancak pano toplamına DAHİL DEĞİLDİR.</t>
  </si>
  <si>
    <t xml:space="preserve">İşçilik: Кол-во sütunu DAKİKA cinsindendir. Цена нетто = KZT/dakika. Цена (лист) sütunu saat karşılığını gösterir.</t>
  </si>
  <si>
    <t xml:space="preserve">▌ MARKA / FİYAT</t>
  </si>
  <si>
    <t xml:space="preserve">Tüm koruma cihazları ABB seçilmiştir (talep gereği). ABB katsayısı 0,4050 = liste × 1,35 × 0,30 (%70 indirim, "diğer tüm gruplar"). ⚠ ABB listesinde İKİNCİ bir kademe vardır: ayar sahalı ve açık tip şalterler %77 indirim → katsayı 0,3105. Bu BOM'da o gruptan ürün YOKTUR; ileride ACB/ayar sahalı şalter eklenirse Kurallar sayfasına AYRI satır olarak girilmelidir — iki kademe tek katsayıya indirgenmemelidir.</t>
  </si>
  <si>
    <t xml:space="preserve">EUR/KZT = 536,55 (17.08.2026). Kur sarı hücrededir; değiştirildiğinde tüm BOM güncellenir.</t>
  </si>
  <si>
    <t xml:space="preserve">Fiyat listesi yaşları: ABB Kasım 2025 (✅ 9 ay), CHINT 13.06.2026 (✅), Kaztek 15.07.2026 (✅), EKT 19.06.2025 (⚠ ~14 ay — UYARILI, fiyat teyidi önerilir).</t>
  </si>
  <si>
    <t xml:space="preserve">▌ KISA DEVRE / CİHAZ SEÇİMİ</t>
  </si>
  <si>
    <t xml:space="preserve">⚠ ŞEMA-ÜRÜN UYUŞMAZLIĞI: Şemalarda ЩАВР panolarında 15 kA, SUB 19 AFL LV DB'de 20 kA bara kısa devre dayanımı isteniyor. ABB Türkiye fiyat listesinde S200P (25 kA) serisi YOKTUR; yalnızca S200 (6 kA) ve S200M (10 kA) vardır. Çözüm: 100A ve üzeri tüm kalemlerde MCCB (Tmax XT1N/XT3N/XT5N, Icu 36 kA) kullanıldı; 63A ve altındaki modüler otomatlarda S200M (10 kA) + üst kademe MCCB ile KASKAD (back-up) koruma öngörüldü. Kaskad kombinasyonları ABB koordinasyon tablolarından teyit EDİLMELİDİR (IEC 60364-4-43 §434.5.1).</t>
  </si>
  <si>
    <t xml:space="preserve">▌ ŞEMA NOTLARI</t>
  </si>
  <si>
    <t xml:space="preserve">De-icing ЩАВР QF3 = 160A iken beslediği ЩУ AFL panosunun girişi 80A MCCB ve besleme kablosu 4C16 (≈76A taşıma). 160A ile 16 mm² kablo korunmaz — kablo kesiti 4C50 civarına çıkarılmalı veya QF3 80A'e düşürülmelidir. Şema esas alınarak 160A yazıldı, fark burada kayıt altındadır.</t>
  </si>
  <si>
    <t xml:space="preserve">▌ KAPSAM DIŞI — MAST İÇİ SPLITTER PANOLAR (fiyatlandırılmadı)</t>
  </si>
  <si>
    <t xml:space="preserve">Genel Not 5 ve Not 7 gereği mast içi SPLITTER PANEL'ler mast tedarikçisinin kapsamındadır. Şemadan sayılan adetler aşağıdadır; AFL armatür adedi kesinleştiğinde ayrı BOM üretilir:</t>
  </si>
  <si>
    <t xml:space="preserve">   De-icing (8 mast): 8 × otomat 3P 40A (giriş) + 34 × otomat 1P 10A. Mast başına LED: 4-3-4-4-3-2-3-3, her mastta ayrıca 1 × OBL çıkışı.</t>
  </si>
  <si>
    <t xml:space="preserve">   Cargo (8 mast): 8 × otomat 3P 40A (giriş) + 47 × otomat 1P 10A. Mast başına LED: 5-6-5-5-4-5-5-4, her mastta ayrıca 1 × OBL çıkışı.</t>
  </si>
  <si>
    <t xml:space="preserve">   VIP mast tepesi SPLITTER BOX (HRC sigortalar F1…F7 + F11/F12) — mast donanımı, pano kapsamı dışı.</t>
  </si>
  <si>
    <t xml:space="preserve">VIP AFL INTERNAL DB 10 адет (компл.) olarak alınmıştır; pano içi malzeme TEK pano içindir, komplekt adediyle çarpılmamıştır (СВОД sayfasında çarpılır).</t>
  </si>
  <si>
    <t xml:space="preserve">Fotosel (PHOTOCELL / PH1) hiçbir GEÇERLİ fiyat listesinde yoktur — EKF (Şub 2022) ve Klemsan (Kas 2022) listeleri YASAK durumdadır. 3 panoda toplam 12 adet fotosel KONTROL bloğundadır.</t>
  </si>
  <si>
    <t xml:space="preserve">De-icing ЩУ AFL bara 160A, Cargo ЩУ AFL bara 80A olarak şemada verilmiştir; her ikisinde de giriş 80A MCCB'dir. Cu bara 3х20 (≈200A) her iki pano için yeterlidir.</t>
  </si>
  <si>
    <t xml:space="preserve">▌ İMALAT</t>
  </si>
  <si>
    <t xml:space="preserve">İmalat bara işçiliği (kesim, delme, bükme, kalaylama) LOOBAR normuna DAHİL DEĞİLDİR. ЩАВР panolarında Cu bara için ayrıca 45 dk/m hesaplanmalıdır.</t>
  </si>
  <si>
    <t xml:space="preserve">Tüm panolarda %20 yedek modül kapasitesi kontrolü СВОД sayfasındadır.</t>
  </si>
  <si>
    <t xml:space="preserve">[ЩАВР De-icing (AVR POWER PANEL)/QA1] ATS 4x400A. Rubilnik kademe kuralı: girişteki 400A TMŞ ile aynı kademededir (seri bağlı ana giriş cihazı olduğu için bir üst kademe aranmaz).</t>
  </si>
  <si>
    <t xml:space="preserve">[ЩАВР De-icing (AVR POWER PANEL)/QF3] ⚠ QF3=160A, ancak besleyeceği ЩУ AFL panosunun girişi 80A MCCB ve kablo 4C16 (≈76A). 160A koruma bu kabloyu korumaz. Kablo kesiti veya QF3 ayarı teyit edilmeli.</t>
  </si>
  <si>
    <t xml:space="preserve">[ЩАВР De-icing (AVR POWER PANEL)] 12 kalem TEK kaynaktan (şema) sayıldı — karşılaştırılacak spesifikasyon/kablo tablosu belgesi teslim edilmemiştir. Kalemler: QF1-QF2, QA1, QF3, QF4, QF5-QF6, QF7, QF8, QF9-QF11, WB1, XT1, WD1, WK1</t>
  </si>
  <si>
    <t xml:space="preserve">[ЩАВР De-icing (AVR POWER PANEL)/FV1] KONTROL: Ограничитель перенапряжения OVR T1-T2 3N 100-255 P TS (класс I+II) — adet 1 шт. Şemada AVR panosunda parafudr GÖSTERİLMEMİŞ. Trafo çıkışına yakın 400A giriş panosunda Тип 1+2 ОПН önerilir. Onaylanırsa KONTROL bloğundan çıkarılır.</t>
  </si>
  <si>
    <t xml:space="preserve">[ЩАВР De-icing (AVR POWER PANEL)/PA1] KONTROL: Счётчик электроэнергии 3-фазный (тип по ТУ АО «Алматы Энергосбыт») — adet 1 шт. Şemada ölçüm gösterilmemiş. Ticari/teknik sayaç gerekliliği idare ile teyit edilmeli.</t>
  </si>
  <si>
    <t xml:space="preserve">[ЩАВР De-icing (AVR POWER PANEL)/TA1] KONTROL: Трансформатор тока 400/5 (3 шт на счётчик) — adet 3 шт. Sayaç onaylanırsa 3 adet akım trafosu eklenir.</t>
  </si>
  <si>
    <t xml:space="preserve">[ЩАВР De-icing (AVR POWER PANEL)] Çok kutuplu OTO/DİF ek işçiliği: +12 dk (kutup katsayısı ile).</t>
  </si>
  <si>
    <t xml:space="preserve">[ЩУ AFL De-icing (AFL MAST CONTROL PANEL)] 18 kalem TEK kaynaktan (şema) sayıldı — karşılaştırılacak spesifikasyon/kablo tablosu belgesi teslim edilmemiştir. Kalemler: QF0, QF1, QF2-QF5, QF6, QF7, KM1-KM4, KT1, KA1, KA1-S, SA1, HL1, WB2, WB3, WB1, XT1, XT2, WD1, WK1</t>
  </si>
  <si>
    <t xml:space="preserve">[ЩУ AFL De-icing (AFL MAST CONTROL PANEL)/BL1] KONTROL: Фотореле (сумеречный выключатель) с выносным датчиком, 230В AC — adet 1 шт. Fotosel geçerli hiçbir fiyat listesinde yok (EKF ve Klemsan listeleri YASAK). Marka/model teyit edilip fiyat eklenmelidir.</t>
  </si>
  <si>
    <t xml:space="preserve">[ЩУ AFL De-icing (AFL MAST CONTROL PANEL)] Çok kutuplu OTO/DİF ek işçiliği: +20 dk (kutup katsayısı ile).</t>
  </si>
  <si>
    <t xml:space="preserve">[ЩАВР Cargo (AVR POWER PANEL)/QA1] ATS 4x250A — seri bağlı ana giriş cihazı, girişteki 250A TMŞ ile aynı kademede.</t>
  </si>
  <si>
    <t xml:space="preserve">[ЩАВР Cargo (AVR POWER PANEL)] 12 kalem TEK kaynaktan (şema) sayıldı — karşılaştırılacak spesifikasyon/kablo tablosu belgesi teslim edilmemiştir. Kalemler: QF1-QF2, QA1, QF3, QF4, QF5, QF6-QF7, QF8, QF9-QF10, WB1, XT1, WD1, WK1</t>
  </si>
  <si>
    <t xml:space="preserve">[ЩАВР Cargo (AVR POWER PANEL)/FV1] KONTROL: Ограничитель перенапряжения OVR T1-T2 3N 100-255 P TS (класс I+II) — adet 1 шт. Şemada AVR panosunda parafudr GÖSTERİLMEMİŞ — Тип 1+2 ОПН önerilir, onay bekliyor.</t>
  </si>
  <si>
    <t xml:space="preserve">[ЩАВР Cargo (AVR POWER PANEL)] Çok kutuplu OTO/DİF ek işçiliği: +14 dk (kutup katsayısı ile).</t>
  </si>
  <si>
    <t xml:space="preserve">[ЩУ AFL Cargo (AFL MAST CONTROL PANEL)] 18 kalem TEK kaynaktan (şema) sayıldı — karşılaştırılacak spesifikasyon/kablo tablosu belgesi teslim edilmemiştir. Kalemler: QF0, QF1, QF2-QF5, QF6, QF7, KM1-KM4, KT1, KA1, KA1-S, SA1, HL1, WB2, WB3, WB1, XT1, XT2, WD1, WK1</t>
  </si>
  <si>
    <t xml:space="preserve">[ЩУ AFL Cargo (AFL MAST CONTROL PANEL)/BL1] KONTROL: Фотореле (сумеречный выключатель) с выносным датчиком, 230В AC — adet 1 шт. Fotosel geçerli hiçbir fiyat listesinde yok (EKF ve Klemsan listeleri YASAK). Marka/model teyit edilip fiyat eklenmelidir.</t>
  </si>
  <si>
    <t xml:space="preserve">[ЩУ AFL Cargo (AFL MAST CONTROL PANEL)] Çok kutuplu OTO/DİF ek işçiliği: +20 dk (kutup katsayısı ile).</t>
  </si>
  <si>
    <t xml:space="preserve">[SUB 19 AFL LV DB (VIP)/QF1] Şemada «MCB 100A / 20 kA». ABB S200 serisi 100A'de yalnızca 6 kA verir; 20 kA şartı için MCCB XT1N (36 kA) seçildi.</t>
  </si>
  <si>
    <t xml:space="preserve">[SUB 19 AFL LV DB (VIP)] 7 kalem TEK kaynaktan (şema) sayıldı — karşılaştırılacak spesifikasyon/kablo tablosu belgesi teslim edilmemiştir. Kalemler: QF1, FV1, QF2-QF4, WB3, XT1, WD1, WK1</t>
  </si>
  <si>
    <t xml:space="preserve">[SUB 19 AFL LV DB (VIP)] Çok kutuplu OTO/DİF ek işçiliği: +12 dk (kutup katsayısı ile).</t>
  </si>
  <si>
    <t xml:space="preserve">[ЩО PB-V1 (VIP)/QF1] Şemada 15 kA istenmiş; ABB TR listesinde S200P (25 kA) yok. S203M (10 kA) + üst kademe XT1N 100A ile kaskad (back-up) koruma uygulanır — ABB kaskad tablosundan teyit edilmeli.</t>
  </si>
  <si>
    <t xml:space="preserve">[ЩО PB-V1 (VIP)] 7 kalem TEK kaynaktan (şema) sayıldı — karşılaştırılacak spesifikasyon/kablo tablosu belgesi teslim edilmemiştir. Kalemler: QF1, FV1, QF2+, WB3, XT1, WD1, WK1</t>
  </si>
  <si>
    <t xml:space="preserve">[ЩО PB-V1 (VIP)] Çok kutuplu OTO/DİF ek işçiliği: +20 dk (kutup katsayısı ile).</t>
  </si>
  <si>
    <t xml:space="preserve">[ЩО PB-V2 (VIP)/QF1] Şemada 15 kA istenmiş; ABB TR listesinde S200P (25 kA) yok. S203M (10 kA) + üst kademe XT1N 100A ile kaskad (back-up) koruma uygulanır — ABB kaskad tablosundan teyit edilmeli.</t>
  </si>
  <si>
    <t xml:space="preserve">[ЩО PB-V2 (VIP)] 7 kalem TEK kaynaktan (şema) sayıldı — karşılaştırılacak spesifikasyon/kablo tablosu belgesi teslim edilmemiştir. Kalemler: QF1, FV1, QF2+, WB3, XT1, WD1, WK1</t>
  </si>
  <si>
    <t xml:space="preserve">[ЩО PB-V2 (VIP)] Çok kutuplu OTO/DİF ek işçiliği: +16 dk (kutup katsayısı ile).</t>
  </si>
  <si>
    <t xml:space="preserve">[ЩО PB-V3 (VIP)/QF1] Şemada 15 kA istenmiş; ABB TR listesinde S200P (25 kA) yok. S203M (10 kA) + üst kademe XT1N 100A ile kaskad (back-up) koruma uygulanır — ABB kaskad tablosundan teyit edilmeli.</t>
  </si>
  <si>
    <t xml:space="preserve">[ЩО PB-V3 (VIP)] 7 kalem TEK kaynaktan (şema) sayıldı — karşılaştırılacak spesifikasyon/kablo tablosu belgesi teslim edilmemiştir. Kalemler: QF1, FV1, QF2+, WB3, XT1, WD1, WK1</t>
  </si>
  <si>
    <t xml:space="preserve">[ЩО PB-V3 (VIP)] Çok kutuplu OTO/DİF ek işçiliği: +16 dk (kutup katsayısı ile).</t>
  </si>
  <si>
    <t xml:space="preserve">[ЩА AFL INTERNAL DB (в мачте, VIP)/QF1] Şemada 2,5A tip B. ABB TR listesinde B-eğrisi en küçük 6A — S201-B6 seçildi. Daha küçük değer gerekiyorsa özel sipariş (S201-B2/B3) teyit edilmeli.</t>
  </si>
  <si>
    <t xml:space="preserve">[ЩА AFL INTERNAL DB (в мачте, VIP)/QF3] Şemada 2,5A tip C — ABB listesinde 2,5A yok, en yakın üst değer S201-C3 seçildi.</t>
  </si>
  <si>
    <t xml:space="preserve">[ЩА AFL INTERNAL DB (в мачте, VIP)] 11 kalem TEK kaynaktan (şema) sayıldı — karşılaştırılacak spesifikasyon/kablo tablosu belgesi teslim edilmemiştir. Kalemler: QS1, QF1, QF2, QF3, KM1-KM2, KT1, SA1, HL1, XT1, WD1, WK1</t>
  </si>
  <si>
    <t xml:space="preserve">[ЩА AFL INTERNAL DB (в мачте, VIP)/BL1] KONTROL: Фотореле PH1 (сумеречный выключатель), 230В AC — adet 1 шт. Fotosel geçerli fiyat listesinde yok — marka/model ve fiyat teyit edilmeli.</t>
  </si>
  <si>
    <t xml:space="preserve">[ЩА AFL INTERNAL DB (в мачте, VIP)] Çok kutuplu OTO/DİF ek işçiliği: +4 dk (kutup katsayısı ile).</t>
  </si>
  <si>
    <t xml:space="preserve">Bu sayfa birleşik fiyat listesinden kopyalanmıştır. Elle değiştirmeyin.</t>
  </si>
  <si>
    <t xml:space="preserve">ANAHTAR</t>
  </si>
  <si>
    <t xml:space="preserve">ARTIKUL</t>
  </si>
  <si>
    <t xml:space="preserve">ACIKLAMA</t>
  </si>
  <si>
    <t xml:space="preserve">BIRIM</t>
  </si>
  <si>
    <t xml:space="preserve">LISTE</t>
  </si>
  <si>
    <t xml:space="preserve">PARA</t>
  </si>
  <si>
    <t xml:space="preserve">KUR</t>
  </si>
  <si>
    <t xml:space="preserve">NET_KZT</t>
  </si>
  <si>
    <t xml:space="preserve">KAYNAK</t>
  </si>
  <si>
    <t xml:space="preserve">KAZTEK|719-15923</t>
  </si>
  <si>
    <t xml:space="preserve">ШТ</t>
  </si>
  <si>
    <t xml:space="preserve">Kaztek 15.07.2026</t>
  </si>
  <si>
    <t xml:space="preserve">ABB|1SDA100385R1</t>
  </si>
  <si>
    <t xml:space="preserve">XT5N 400, TMA, In=400A, InN=100%, 4p 280…400 2000…4000 36</t>
  </si>
  <si>
    <t xml:space="preserve">ABB Kasım 2025</t>
  </si>
  <si>
    <t xml:space="preserve">ABB|1SCA022847R3250</t>
  </si>
  <si>
    <t xml:space="preserve">400A 4 kutup OTM400E4CM230C</t>
  </si>
  <si>
    <t xml:space="preserve">ABB|1SDA067418R1</t>
  </si>
  <si>
    <t xml:space="preserve">XT1N 160, TMD, In=160A 112…160 1600 36</t>
  </si>
  <si>
    <t xml:space="preserve">ABB|2CDS273001R0634</t>
  </si>
  <si>
    <t xml:space="preserve">63 1 S 203 M-C 63</t>
  </si>
  <si>
    <t xml:space="preserve">ABB|1SDA067416R1</t>
  </si>
  <si>
    <t xml:space="preserve">XT1N 160, TMD, In=100A 70…100 1000 36</t>
  </si>
  <si>
    <t xml:space="preserve">ABB|2CDS273001R0164</t>
  </si>
  <si>
    <t xml:space="preserve">16 1 S 203 M-C 16</t>
  </si>
  <si>
    <t xml:space="preserve">ABB|2CDS273001R0404</t>
  </si>
  <si>
    <t xml:space="preserve">40 1 S 203 M-C 40</t>
  </si>
  <si>
    <t xml:space="preserve">ABB|2CDS271001R0254</t>
  </si>
  <si>
    <t xml:space="preserve">S201M-C16 25 10 S 201 M-C 25</t>
  </si>
  <si>
    <t xml:space="preserve">EKT|130200208_</t>
  </si>
  <si>
    <t xml:space="preserve">Шина медн.5х50х4000</t>
  </si>
  <si>
    <t xml:space="preserve">EKT 19.06.2025</t>
  </si>
  <si>
    <t xml:space="preserve">EKT|130301155_</t>
  </si>
  <si>
    <t xml:space="preserve">ЗНИ 10мм ² (70А) серый UNIT (50/1000)</t>
  </si>
  <si>
    <t xml:space="preserve">CHINT|570003</t>
  </si>
  <si>
    <t xml:space="preserve">DIN-рейка оцинкованная TH35-7.5 100cm</t>
  </si>
  <si>
    <t xml:space="preserve">CHINT 13.06.2026</t>
  </si>
  <si>
    <t xml:space="preserve">EKT|270300105_</t>
  </si>
  <si>
    <t xml:space="preserve">Кабель.канал перф. 40х60 ИМПАКТ IEK (24)</t>
  </si>
  <si>
    <t xml:space="preserve">ABB|2CTB812111R2300</t>
  </si>
  <si>
    <t xml:space="preserve">3+1 100 60 1,5 230/400 264 OVR T1-T2 3N 100-255 P TS</t>
  </si>
  <si>
    <t xml:space="preserve">KAZTEK|719-15420</t>
  </si>
  <si>
    <t xml:space="preserve">ABB|1SDA067415R1</t>
  </si>
  <si>
    <t xml:space="preserve">XT1N 160, TMD, In=80A 56…80 800 36</t>
  </si>
  <si>
    <t xml:space="preserve">ABB|2CDS251001R0065</t>
  </si>
  <si>
    <t xml:space="preserve">1 6 10 S 201-B 6</t>
  </si>
  <si>
    <t xml:space="preserve">ABB|2CDS273001R0324</t>
  </si>
  <si>
    <t xml:space="preserve">32 1 S 203 M-C 32</t>
  </si>
  <si>
    <t xml:space="preserve">ABB|2CDS271001R0164</t>
  </si>
  <si>
    <t xml:space="preserve">16 10 S 201 M-C 16</t>
  </si>
  <si>
    <t xml:space="preserve">ABB|1SAE351111R0640</t>
  </si>
  <si>
    <t xml:space="preserve">ESB63-40N 230 V AC/DC 63 4NA</t>
  </si>
  <si>
    <t xml:space="preserve">ABB|2CSM208141R1000</t>
  </si>
  <si>
    <t xml:space="preserve">7 gün (150 saat rezerv - 2 modül yatay kadran) 1A/K AW1CO-R-120m</t>
  </si>
  <si>
    <t xml:space="preserve">ABB|1SVR405613R3000</t>
  </si>
  <si>
    <t xml:space="preserve">230V AC 10 CR-M230AC4</t>
  </si>
  <si>
    <t xml:space="preserve">ABB|1SVR405651R3000</t>
  </si>
  <si>
    <t xml:space="preserve">Minyatür röle için soket 4 A/K Vidalı CR-M4SS</t>
  </si>
  <si>
    <t xml:space="preserve">ABB|1SFA619210R1026</t>
  </si>
  <si>
    <t xml:space="preserve">2NA, 3 konumlu Siyah C3SS1-10B-20</t>
  </si>
  <si>
    <t xml:space="preserve">ABB|1SFA619403R5232</t>
  </si>
  <si>
    <t xml:space="preserve">Yeşil CL2-523G</t>
  </si>
  <si>
    <t xml:space="preserve">CHINT|811002</t>
  </si>
  <si>
    <t xml:space="preserve">Шина соединительная типа PIN 3P, 63А, L=1000мм (R)</t>
  </si>
  <si>
    <t xml:space="preserve">EKT|130200399_</t>
  </si>
  <si>
    <t xml:space="preserve">Шина "N" нулевая ШНК 3L+PEN 4х7 100А на DIN-рейку в корпусе UNIT NEW</t>
  </si>
  <si>
    <t xml:space="preserve">EKT|130300473_</t>
  </si>
  <si>
    <t xml:space="preserve">Шина медн.3х20х4000</t>
  </si>
  <si>
    <t xml:space="preserve">EKT|130301153_</t>
  </si>
  <si>
    <t xml:space="preserve">ЗНИ 4мм ² (35А) серый UNIT (50/2500)</t>
  </si>
  <si>
    <t xml:space="preserve">EKT|270300079_</t>
  </si>
  <si>
    <t xml:space="preserve">Кабель.канал перф. 25х40 ИМПАКТ IEK (60)</t>
  </si>
  <si>
    <t xml:space="preserve">KAZTEK|719-15602</t>
  </si>
  <si>
    <t xml:space="preserve">ABB|1SDA068070R1</t>
  </si>
  <si>
    <t xml:space="preserve">XT3N 250, TMD, In=250A, InN=100%, 4p 175…250 2500 36</t>
  </si>
  <si>
    <t xml:space="preserve">ABB|1SCA022846R1910</t>
  </si>
  <si>
    <t xml:space="preserve">250A 4 kutup OTM250E4CM230C</t>
  </si>
  <si>
    <t xml:space="preserve">ABB|2CSR255080R1164</t>
  </si>
  <si>
    <t xml:space="preserve">DS201 C16 AC30 16 5</t>
  </si>
  <si>
    <t xml:space="preserve">ABB|2CSR255080R1254</t>
  </si>
  <si>
    <t xml:space="preserve">DS201 C25 AC30 25 5</t>
  </si>
  <si>
    <t xml:space="preserve">EKT|130300554_</t>
  </si>
  <si>
    <t xml:space="preserve">Шина медн.4х30х4000</t>
  </si>
  <si>
    <t xml:space="preserve">ABB|2CTB803973R1100</t>
  </si>
  <si>
    <t xml:space="preserve">3+1 2 40 1,5 230/400 275 OVR T2 3N 40-275 P QS</t>
  </si>
  <si>
    <t xml:space="preserve">EKT|130301157_</t>
  </si>
  <si>
    <t xml:space="preserve">ЗНИ 16мм ² (100А) серый UNIT (50/1000)</t>
  </si>
  <si>
    <t xml:space="preserve">KAZTEK|719-15425</t>
  </si>
  <si>
    <t xml:space="preserve">ABB|2CDS273001R0504</t>
  </si>
  <si>
    <t xml:space="preserve">50 1 S 203 M-C 50</t>
  </si>
  <si>
    <t xml:space="preserve">ABB|1SCA104932R1001</t>
  </si>
  <si>
    <t xml:space="preserve">40A 40A 0.7 OT40F4N2</t>
  </si>
  <si>
    <t xml:space="preserve">ABB|2CDS273001R0204</t>
  </si>
  <si>
    <t xml:space="preserve">20 1 S 203 M-C 20</t>
  </si>
  <si>
    <t xml:space="preserve">ABB|2CDS251001R0034</t>
  </si>
  <si>
    <t xml:space="preserve">3 10 S 201-C 3</t>
  </si>
  <si>
    <t xml:space="preserve">ABB|1SAE231111R0640</t>
  </si>
  <si>
    <t xml:space="preserve">ESB25-40N 230…240 V AC/DC 25 4NA</t>
  </si>
  <si>
    <t xml:space="preserve">ABB|2CSM208151R1000</t>
  </si>
  <si>
    <t xml:space="preserve">24 saat (150 saat rezerv - 2 modül yatay kadran) 1A/K AD1CO-R-15m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</si>
</sst>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"/>
    <numFmt numFmtId="167" formatCode="#,##0.##"/>
    <numFmt numFmtId="168" formatCode="#,##0.0"/>
    <numFmt numFmtId="169" formatCode="0%"/>
    <numFmt numFmtId="170" formatCode="0.0"/>
    <numFmt numFmtId="171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10" min="9" style="0" width="10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3" t="str">
        <f aca="false">E2</f>
        <v>ЩАВР De-icing (AVR POWER PANEL)</v>
      </c>
      <c r="C2" s="4"/>
      <c r="D2" s="4"/>
      <c r="E2" s="5" t="s">
        <v>11</v>
      </c>
      <c r="F2" s="4"/>
      <c r="G2" s="4"/>
      <c r="H2" s="4"/>
      <c r="I2" s="5" t="n">
        <v>1</v>
      </c>
      <c r="J2" s="5" t="s">
        <v>12</v>
      </c>
      <c r="K2" s="4"/>
    </row>
    <row r="3" customFormat="false" ht="15" hidden="false" customHeight="false" outlineLevel="0" collapsed="false">
      <c r="A3" s="6" t="n">
        <v>2</v>
      </c>
      <c r="B3" s="6"/>
      <c r="C3" s="6" t="s">
        <v>13</v>
      </c>
      <c r="D3" s="6" t="s">
        <v>14</v>
      </c>
      <c r="E3" s="6" t="s">
        <v>15</v>
      </c>
      <c r="F3" s="7" t="n">
        <f aca="false">IFERROR(INDEX(FIYAT_KAYNAK!$F$3:$F$47,MATCH("KAZTEK|719-15923",FIYAT_KAYNAK!$A$3:$A$47,0)),"")</f>
        <v>148675</v>
      </c>
      <c r="G3" s="8" t="n">
        <f aca="false">IFERROR(INDEX(FIYAT_KAYNAK!$J$3:$J$47,MATCH("KAZTEK|719-15923",FIYAT_KAYNAK!$A$3:$A$47,0)),"")</f>
        <v>148675</v>
      </c>
      <c r="H3" s="8" t="n">
        <f aca="false">IF(OR(G3="",I3=""),"",G3*I3)</f>
        <v>148675</v>
      </c>
      <c r="I3" s="9" t="n">
        <v>1</v>
      </c>
      <c r="J3" s="6" t="s">
        <v>16</v>
      </c>
      <c r="K3" s="6" t="s">
        <v>17</v>
      </c>
    </row>
    <row r="4" customFormat="false" ht="15" hidden="false" customHeight="false" outlineLevel="0" collapsed="false">
      <c r="A4" s="6" t="n">
        <v>3</v>
      </c>
      <c r="B4" s="6"/>
      <c r="C4" s="6" t="s">
        <v>18</v>
      </c>
      <c r="D4" s="6" t="s">
        <v>19</v>
      </c>
      <c r="E4" s="6" t="s">
        <v>20</v>
      </c>
      <c r="F4" s="7" t="n">
        <f aca="false">IFERROR(INDEX(FIYAT_KAYNAK!$F$3:$F$47,MATCH("ABB|1SDA100385R1",FIYAT_KAYNAK!$A$3:$A$47,0)),"")</f>
        <v>1810</v>
      </c>
      <c r="G4" s="8" t="n">
        <f aca="false">IFERROR(INDEX(FIYAT_KAYNAK!$J$3:$J$47,MATCH("ABB|1SDA100385R1",FIYAT_KAYNAK!$A$3:$A$47,0)),"")</f>
        <v>393317.9775</v>
      </c>
      <c r="H4" s="8" t="n">
        <f aca="false">IF(OR(G4="",I4=""),"",G4*I4)</f>
        <v>786635.955</v>
      </c>
      <c r="I4" s="9" t="n">
        <v>2</v>
      </c>
      <c r="J4" s="6" t="s">
        <v>16</v>
      </c>
      <c r="K4" s="6" t="s">
        <v>21</v>
      </c>
    </row>
    <row r="5" customFormat="false" ht="15" hidden="false" customHeight="false" outlineLevel="0" collapsed="false">
      <c r="A5" s="6" t="n">
        <v>4</v>
      </c>
      <c r="B5" s="6"/>
      <c r="C5" s="6" t="s">
        <v>22</v>
      </c>
      <c r="D5" s="6" t="s">
        <v>23</v>
      </c>
      <c r="E5" s="6" t="s">
        <v>24</v>
      </c>
      <c r="F5" s="7" t="n">
        <f aca="false">IFERROR(INDEX(FIYAT_KAYNAK!$F$3:$F$47,MATCH("ABB|1SCA022847R3250",FIYAT_KAYNAK!$A$3:$A$47,0)),"")</f>
        <v>3945</v>
      </c>
      <c r="G5" s="8" t="n">
        <f aca="false">IFERROR(INDEX(FIYAT_KAYNAK!$J$3:$J$47,MATCH("ABB|1SCA022847R3250",FIYAT_KAYNAK!$A$3:$A$47,0)),"")</f>
        <v>857259.34875</v>
      </c>
      <c r="H5" s="8" t="n">
        <f aca="false">IF(OR(G5="",I5=""),"",G5*I5)</f>
        <v>857259.34875</v>
      </c>
      <c r="I5" s="9" t="n">
        <v>1</v>
      </c>
      <c r="J5" s="6" t="s">
        <v>16</v>
      </c>
      <c r="K5" s="6" t="s">
        <v>21</v>
      </c>
    </row>
    <row r="6" customFormat="false" ht="15" hidden="false" customHeight="false" outlineLevel="0" collapsed="false">
      <c r="A6" s="6" t="n">
        <v>5</v>
      </c>
      <c r="B6" s="6"/>
      <c r="C6" s="6" t="s">
        <v>18</v>
      </c>
      <c r="D6" s="6" t="s">
        <v>25</v>
      </c>
      <c r="E6" s="6" t="s">
        <v>26</v>
      </c>
      <c r="F6" s="7" t="n">
        <f aca="false">IFERROR(INDEX(FIYAT_KAYNAK!$F$3:$F$47,MATCH("ABB|1SDA067418R1",FIYAT_KAYNAK!$A$3:$A$47,0)),"")</f>
        <v>317.9</v>
      </c>
      <c r="G6" s="8" t="n">
        <f aca="false">IFERROR(INDEX(FIYAT_KAYNAK!$J$3:$J$47,MATCH("ABB|1SDA067418R1",FIYAT_KAYNAK!$A$3:$A$47,0)),"")</f>
        <v>69080.544225</v>
      </c>
      <c r="H6" s="8" t="n">
        <f aca="false">IF(OR(G6="",I6=""),"",G6*I6)</f>
        <v>69080.544225</v>
      </c>
      <c r="I6" s="9" t="n">
        <v>1</v>
      </c>
      <c r="J6" s="6" t="s">
        <v>16</v>
      </c>
      <c r="K6" s="6" t="s">
        <v>21</v>
      </c>
    </row>
    <row r="7" customFormat="false" ht="15" hidden="false" customHeight="false" outlineLevel="0" collapsed="false">
      <c r="A7" s="6" t="n">
        <v>6</v>
      </c>
      <c r="B7" s="6"/>
      <c r="C7" s="6" t="s">
        <v>27</v>
      </c>
      <c r="D7" s="6" t="s">
        <v>28</v>
      </c>
      <c r="E7" s="6" t="s">
        <v>29</v>
      </c>
      <c r="F7" s="7" t="n">
        <f aca="false">IFERROR(INDEX(FIYAT_KAYNAK!$F$3:$F$47,MATCH("ABB|2CDS273001R0634",FIYAT_KAYNAK!$A$3:$A$47,0)),"")</f>
        <v>107.1</v>
      </c>
      <c r="G7" s="8" t="n">
        <f aca="false">IFERROR(INDEX(FIYAT_KAYNAK!$J$3:$J$47,MATCH("ABB|2CDS273001R0634",FIYAT_KAYNAK!$A$3:$A$47,0)),"")</f>
        <v>23273.124525</v>
      </c>
      <c r="H7" s="8" t="n">
        <f aca="false">IF(OR(G7="",I7=""),"",G7*I7)</f>
        <v>23273.124525</v>
      </c>
      <c r="I7" s="9" t="n">
        <v>1</v>
      </c>
      <c r="J7" s="6" t="s">
        <v>16</v>
      </c>
      <c r="K7" s="6" t="s">
        <v>21</v>
      </c>
    </row>
    <row r="8" customFormat="false" ht="15" hidden="false" customHeight="false" outlineLevel="0" collapsed="false">
      <c r="A8" s="6" t="n">
        <v>7</v>
      </c>
      <c r="B8" s="6"/>
      <c r="C8" s="6" t="s">
        <v>18</v>
      </c>
      <c r="D8" s="6" t="s">
        <v>30</v>
      </c>
      <c r="E8" s="6" t="s">
        <v>31</v>
      </c>
      <c r="F8" s="7" t="n">
        <f aca="false">IFERROR(INDEX(FIYAT_KAYNAK!$F$3:$F$47,MATCH("ABB|1SDA067416R1",FIYAT_KAYNAK!$A$3:$A$47,0)),"")</f>
        <v>246.1</v>
      </c>
      <c r="G8" s="8" t="n">
        <f aca="false">IFERROR(INDEX(FIYAT_KAYNAK!$J$3:$J$47,MATCH("ABB|1SDA067416R1",FIYAT_KAYNAK!$A$3:$A$47,0)),"")</f>
        <v>53478.206775</v>
      </c>
      <c r="H8" s="8" t="n">
        <f aca="false">IF(OR(G8="",I8=""),"",G8*I8)</f>
        <v>106956.41355</v>
      </c>
      <c r="I8" s="9" t="n">
        <v>2</v>
      </c>
      <c r="J8" s="6" t="s">
        <v>16</v>
      </c>
      <c r="K8" s="6" t="s">
        <v>21</v>
      </c>
    </row>
    <row r="9" customFormat="false" ht="15" hidden="false" customHeight="false" outlineLevel="0" collapsed="false">
      <c r="A9" s="6" t="n">
        <v>8</v>
      </c>
      <c r="B9" s="6"/>
      <c r="C9" s="6" t="s">
        <v>27</v>
      </c>
      <c r="D9" s="6" t="s">
        <v>32</v>
      </c>
      <c r="E9" s="6" t="s">
        <v>33</v>
      </c>
      <c r="F9" s="7" t="n">
        <f aca="false">IFERROR(INDEX(FIYAT_KAYNAK!$F$3:$F$47,MATCH("ABB|2CDS273001R0164",FIYAT_KAYNAK!$A$3:$A$47,0)),"")</f>
        <v>63.02</v>
      </c>
      <c r="G9" s="8" t="n">
        <f aca="false">IFERROR(INDEX(FIYAT_KAYNAK!$J$3:$J$47,MATCH("ABB|2CDS273001R0164",FIYAT_KAYNAK!$A$3:$A$47,0)),"")</f>
        <v>13694.419305</v>
      </c>
      <c r="H9" s="8" t="n">
        <f aca="false">IF(OR(G9="",I9=""),"",G9*I9)</f>
        <v>13694.419305</v>
      </c>
      <c r="I9" s="9" t="n">
        <v>1</v>
      </c>
      <c r="J9" s="6" t="s">
        <v>16</v>
      </c>
      <c r="K9" s="6" t="s">
        <v>21</v>
      </c>
    </row>
    <row r="10" customFormat="false" ht="15" hidden="false" customHeight="false" outlineLevel="0" collapsed="false">
      <c r="A10" s="6" t="n">
        <v>9</v>
      </c>
      <c r="B10" s="6"/>
      <c r="C10" s="6" t="s">
        <v>27</v>
      </c>
      <c r="D10" s="6" t="s">
        <v>34</v>
      </c>
      <c r="E10" s="6" t="s">
        <v>35</v>
      </c>
      <c r="F10" s="7" t="n">
        <f aca="false">IFERROR(INDEX(FIYAT_KAYNAK!$F$3:$F$47,MATCH("ABB|2CDS273001R0404",FIYAT_KAYNAK!$A$3:$A$47,0)),"")</f>
        <v>81.89</v>
      </c>
      <c r="G10" s="8" t="n">
        <f aca="false">IFERROR(INDEX(FIYAT_KAYNAK!$J$3:$J$47,MATCH("ABB|2CDS273001R0404",FIYAT_KAYNAK!$A$3:$A$47,0)),"")</f>
        <v>17794.9221975</v>
      </c>
      <c r="H10" s="8" t="n">
        <f aca="false">IF(OR(G10="",I10=""),"",G10*I10)</f>
        <v>17794.9221975</v>
      </c>
      <c r="I10" s="9" t="n">
        <v>1</v>
      </c>
      <c r="J10" s="6" t="s">
        <v>16</v>
      </c>
      <c r="K10" s="6" t="s">
        <v>21</v>
      </c>
    </row>
    <row r="11" customFormat="false" ht="15" hidden="false" customHeight="false" outlineLevel="0" collapsed="false">
      <c r="A11" s="6" t="n">
        <v>10</v>
      </c>
      <c r="B11" s="6"/>
      <c r="C11" s="6" t="s">
        <v>27</v>
      </c>
      <c r="D11" s="6" t="s">
        <v>36</v>
      </c>
      <c r="E11" s="6" t="s">
        <v>37</v>
      </c>
      <c r="F11" s="7" t="n">
        <f aca="false">IFERROR(INDEX(FIYAT_KAYNAK!$F$3:$F$47,MATCH("ABB|2CDS271001R0254",FIYAT_KAYNAK!$A$3:$A$47,0)),"")</f>
        <v>13.99</v>
      </c>
      <c r="G11" s="8" t="n">
        <f aca="false">IFERROR(INDEX(FIYAT_KAYNAK!$J$3:$J$47,MATCH("ABB|2CDS271001R0254",FIYAT_KAYNAK!$A$3:$A$47,0)),"")</f>
        <v>3040.0654725</v>
      </c>
      <c r="H11" s="8" t="n">
        <f aca="false">IF(OR(G11="",I11=""),"",G11*I11)</f>
        <v>9120.1964175</v>
      </c>
      <c r="I11" s="9" t="n">
        <v>3</v>
      </c>
      <c r="J11" s="6" t="s">
        <v>16</v>
      </c>
      <c r="K11" s="6" t="s">
        <v>21</v>
      </c>
    </row>
    <row r="12" customFormat="false" ht="15" hidden="false" customHeight="false" outlineLevel="0" collapsed="false">
      <c r="A12" s="6" t="n">
        <v>11</v>
      </c>
      <c r="B12" s="6"/>
      <c r="C12" s="6" t="s">
        <v>38</v>
      </c>
      <c r="D12" s="6" t="s">
        <v>39</v>
      </c>
      <c r="E12" s="6" t="s">
        <v>40</v>
      </c>
      <c r="F12" s="7" t="n">
        <f aca="false">IFERROR(INDEX(FIYAT_KAYNAK!$F$3:$F$47,MATCH("EKT|130200208_",FIYAT_KAYNAK!$A$3:$A$47,0)),"")</f>
        <v>17515</v>
      </c>
      <c r="G12" s="8" t="n">
        <f aca="false">IFERROR(INDEX(FIYAT_KAYNAK!$J$3:$J$47,MATCH("EKT|130200208_",FIYAT_KAYNAK!$A$3:$A$47,0)),"")</f>
        <v>17515</v>
      </c>
      <c r="H12" s="8" t="n">
        <f aca="false">IF(OR(G12="",I12=""),"",G12*I12)</f>
        <v>35030</v>
      </c>
      <c r="I12" s="9" t="n">
        <v>2</v>
      </c>
      <c r="J12" s="6" t="s">
        <v>16</v>
      </c>
      <c r="K12" s="6" t="s">
        <v>41</v>
      </c>
    </row>
    <row r="13" customFormat="false" ht="15" hidden="false" customHeight="false" outlineLevel="0" collapsed="false">
      <c r="A13" s="6" t="n">
        <v>12</v>
      </c>
      <c r="B13" s="6"/>
      <c r="C13" s="6" t="s">
        <v>42</v>
      </c>
      <c r="D13" s="6" t="s">
        <v>43</v>
      </c>
      <c r="E13" s="6" t="s">
        <v>44</v>
      </c>
      <c r="F13" s="7" t="n">
        <f aca="false">IFERROR(INDEX(FIYAT_KAYNAK!$F$3:$F$47,MATCH("EKT|130301155_",FIYAT_KAYNAK!$A$3:$A$47,0)),"")</f>
        <v>151</v>
      </c>
      <c r="G13" s="8" t="n">
        <f aca="false">IFERROR(INDEX(FIYAT_KAYNAK!$J$3:$J$47,MATCH("EKT|130301155_",FIYAT_KAYNAK!$A$3:$A$47,0)),"")</f>
        <v>151</v>
      </c>
      <c r="H13" s="8" t="n">
        <f aca="false">IF(OR(G13="",I13=""),"",G13*I13)</f>
        <v>3624</v>
      </c>
      <c r="I13" s="9" t="n">
        <v>24</v>
      </c>
      <c r="J13" s="6" t="s">
        <v>16</v>
      </c>
      <c r="K13" s="6" t="s">
        <v>41</v>
      </c>
    </row>
    <row r="14" customFormat="false" ht="15" hidden="false" customHeight="false" outlineLevel="0" collapsed="false">
      <c r="A14" s="6" t="n">
        <v>13</v>
      </c>
      <c r="B14" s="6"/>
      <c r="C14" s="6" t="s">
        <v>45</v>
      </c>
      <c r="D14" s="6" t="s">
        <v>46</v>
      </c>
      <c r="E14" s="6" t="s">
        <v>47</v>
      </c>
      <c r="F14" s="7" t="n">
        <f aca="false">IFERROR(INDEX(FIYAT_KAYNAK!$F$3:$F$47,MATCH("CHINT|570003",FIYAT_KAYNAK!$A$3:$A$47,0)),"")</f>
        <v>869</v>
      </c>
      <c r="G14" s="8" t="n">
        <f aca="false">IFERROR(INDEX(FIYAT_KAYNAK!$J$3:$J$47,MATCH("CHINT|570003",FIYAT_KAYNAK!$A$3:$A$47,0)),"")</f>
        <v>521.4</v>
      </c>
      <c r="H14" s="8" t="n">
        <f aca="false">IF(OR(G14="",I14=""),"",G14*I14)</f>
        <v>4171.2</v>
      </c>
      <c r="I14" s="9" t="n">
        <v>8</v>
      </c>
      <c r="J14" s="6" t="s">
        <v>16</v>
      </c>
      <c r="K14" s="6" t="s">
        <v>48</v>
      </c>
    </row>
    <row r="15" customFormat="false" ht="15" hidden="false" customHeight="false" outlineLevel="0" collapsed="false">
      <c r="A15" s="6" t="n">
        <v>14</v>
      </c>
      <c r="B15" s="6"/>
      <c r="C15" s="6" t="s">
        <v>45</v>
      </c>
      <c r="D15" s="6" t="s">
        <v>49</v>
      </c>
      <c r="E15" s="6" t="s">
        <v>50</v>
      </c>
      <c r="F15" s="7" t="n">
        <f aca="false">IFERROR(INDEX(FIYAT_KAYNAK!$F$3:$F$47,MATCH("EKT|270300105_",FIYAT_KAYNAK!$A$3:$A$47,0)),"")</f>
        <v>1808</v>
      </c>
      <c r="G15" s="8" t="n">
        <f aca="false">IFERROR(INDEX(FIYAT_KAYNAK!$J$3:$J$47,MATCH("EKT|270300105_",FIYAT_KAYNAK!$A$3:$A$47,0)),"")</f>
        <v>1808</v>
      </c>
      <c r="H15" s="8" t="n">
        <f aca="false">IF(OR(G15="",I15=""),"",G15*I15)</f>
        <v>14464</v>
      </c>
      <c r="I15" s="9" t="n">
        <v>8</v>
      </c>
      <c r="J15" s="6" t="s">
        <v>16</v>
      </c>
      <c r="K15" s="6" t="s">
        <v>41</v>
      </c>
    </row>
    <row r="16" customFormat="false" ht="15" hidden="false" customHeight="false" outlineLevel="0" collapsed="false">
      <c r="A16" s="6" t="n">
        <v>15</v>
      </c>
      <c r="B16" s="6"/>
      <c r="C16" s="6" t="s">
        <v>45</v>
      </c>
      <c r="D16" s="6"/>
      <c r="E16" s="6" t="s">
        <v>51</v>
      </c>
      <c r="F16" s="6"/>
      <c r="G16" s="8" t="n">
        <f aca="false">SUM(H3:H15)*Kurallar!$B$13</f>
        <v>62693.3737191</v>
      </c>
      <c r="H16" s="8" t="n">
        <f aca="false">G16*I16</f>
        <v>62693.3737191</v>
      </c>
      <c r="I16" s="8" t="n">
        <v>1</v>
      </c>
      <c r="J16" s="6" t="s">
        <v>52</v>
      </c>
      <c r="K16" s="6" t="s">
        <v>53</v>
      </c>
    </row>
    <row r="17" customFormat="false" ht="15" hidden="false" customHeight="false" outlineLevel="0" collapsed="false">
      <c r="A17" s="6" t="n">
        <v>16</v>
      </c>
      <c r="B17" s="6"/>
      <c r="C17" s="6" t="s">
        <v>54</v>
      </c>
      <c r="D17" s="6"/>
      <c r="E17" s="6" t="s">
        <v>55</v>
      </c>
      <c r="F17" s="10" t="n">
        <f aca="false">I17/60</f>
        <v>6.30583333333333</v>
      </c>
      <c r="G17" s="8" t="n">
        <f aca="false">Kurallar!$B$11</f>
        <v>100</v>
      </c>
      <c r="H17" s="8" t="n">
        <f aca="false">G17*I17</f>
        <v>37835</v>
      </c>
      <c r="I17" s="8" t="n">
        <f aca="false">Kurallar!$D$39</f>
        <v>378.35</v>
      </c>
      <c r="J17" s="6" t="s">
        <v>56</v>
      </c>
      <c r="K17" s="6" t="s">
        <v>57</v>
      </c>
    </row>
    <row r="18" customFormat="false" ht="15" hidden="false" customHeight="false" outlineLevel="0" collapsed="false">
      <c r="A18" s="2"/>
      <c r="B18" s="5" t="s">
        <v>58</v>
      </c>
      <c r="C18" s="4"/>
      <c r="D18" s="4"/>
      <c r="E18" s="4"/>
      <c r="F18" s="4"/>
      <c r="G18" s="4"/>
      <c r="H18" s="11" t="n">
        <f aca="false">SUBTOTAL(9,H3:H17)</f>
        <v>2190307.4976891</v>
      </c>
      <c r="I18" s="5" t="n">
        <v>1</v>
      </c>
      <c r="J18" s="5" t="s">
        <v>52</v>
      </c>
      <c r="K18" s="4"/>
    </row>
    <row r="19" customFormat="false" ht="15" hidden="false" customHeight="false" outlineLevel="0" collapsed="false">
      <c r="A19" s="12" t="n">
        <v>17</v>
      </c>
      <c r="B19" s="12"/>
      <c r="C19" s="12" t="s">
        <v>59</v>
      </c>
      <c r="D19" s="12" t="s">
        <v>60</v>
      </c>
      <c r="E19" s="12" t="s">
        <v>61</v>
      </c>
      <c r="F19" s="12"/>
      <c r="G19" s="12"/>
      <c r="H19" s="12"/>
      <c r="I19" s="13" t="n">
        <v>1</v>
      </c>
      <c r="J19" s="12" t="s">
        <v>16</v>
      </c>
      <c r="K19" s="12" t="s">
        <v>21</v>
      </c>
    </row>
    <row r="20" customFormat="false" ht="15" hidden="false" customHeight="false" outlineLevel="0" collapsed="false">
      <c r="A20" s="12" t="n">
        <v>18</v>
      </c>
      <c r="B20" s="12"/>
      <c r="C20" s="12" t="s">
        <v>62</v>
      </c>
      <c r="D20" s="12"/>
      <c r="E20" s="12" t="s">
        <v>63</v>
      </c>
      <c r="F20" s="12"/>
      <c r="G20" s="12"/>
      <c r="H20" s="12"/>
      <c r="I20" s="13" t="n">
        <v>1</v>
      </c>
      <c r="J20" s="12" t="s">
        <v>16</v>
      </c>
      <c r="K20" s="12"/>
    </row>
    <row r="21" customFormat="false" ht="15" hidden="false" customHeight="false" outlineLevel="0" collapsed="false">
      <c r="A21" s="12" t="n">
        <v>19</v>
      </c>
      <c r="B21" s="12"/>
      <c r="C21" s="12" t="s">
        <v>64</v>
      </c>
      <c r="D21" s="12"/>
      <c r="E21" s="12" t="s">
        <v>65</v>
      </c>
      <c r="F21" s="12"/>
      <c r="G21" s="12"/>
      <c r="H21" s="12"/>
      <c r="I21" s="13" t="n">
        <v>3</v>
      </c>
      <c r="J21" s="12" t="s">
        <v>16</v>
      </c>
      <c r="K21" s="12"/>
    </row>
    <row r="22" customFormat="false" ht="15" hidden="false" customHeight="false" outlineLevel="0" collapsed="false">
      <c r="A22" s="2" t="n">
        <v>20</v>
      </c>
      <c r="B22" s="3" t="str">
        <f aca="false">E22</f>
        <v>ЩУ AFL De-icing (AFL MAST CONTROL PANEL)</v>
      </c>
      <c r="C22" s="4"/>
      <c r="D22" s="4"/>
      <c r="E22" s="5" t="s">
        <v>66</v>
      </c>
      <c r="F22" s="4"/>
      <c r="G22" s="4"/>
      <c r="H22" s="4"/>
      <c r="I22" s="5" t="n">
        <v>1</v>
      </c>
      <c r="J22" s="5" t="s">
        <v>12</v>
      </c>
      <c r="K22" s="4"/>
    </row>
    <row r="23" customFormat="false" ht="15" hidden="false" customHeight="false" outlineLevel="0" collapsed="false">
      <c r="A23" s="6" t="n">
        <v>21</v>
      </c>
      <c r="B23" s="6"/>
      <c r="C23" s="6" t="s">
        <v>13</v>
      </c>
      <c r="D23" s="6" t="s">
        <v>67</v>
      </c>
      <c r="E23" s="6" t="s">
        <v>68</v>
      </c>
      <c r="F23" s="7" t="n">
        <f aca="false">IFERROR(INDEX(FIYAT_KAYNAK!$F$3:$F$47,MATCH("KAZTEK|719-15420",FIYAT_KAYNAK!$A$3:$A$47,0)),"")</f>
        <v>30540</v>
      </c>
      <c r="G23" s="8" t="n">
        <f aca="false">IFERROR(INDEX(FIYAT_KAYNAK!$J$3:$J$47,MATCH("KAZTEK|719-15420",FIYAT_KAYNAK!$A$3:$A$47,0)),"")</f>
        <v>30540</v>
      </c>
      <c r="H23" s="8" t="n">
        <f aca="false">IF(OR(G23="",I23=""),"",G23*I23)</f>
        <v>30540</v>
      </c>
      <c r="I23" s="9" t="n">
        <v>1</v>
      </c>
      <c r="J23" s="6" t="s">
        <v>16</v>
      </c>
      <c r="K23" s="6" t="s">
        <v>17</v>
      </c>
    </row>
    <row r="24" customFormat="false" ht="15" hidden="false" customHeight="false" outlineLevel="0" collapsed="false">
      <c r="A24" s="6" t="n">
        <v>22</v>
      </c>
      <c r="B24" s="6"/>
      <c r="C24" s="6" t="s">
        <v>18</v>
      </c>
      <c r="D24" s="6" t="s">
        <v>69</v>
      </c>
      <c r="E24" s="6" t="s">
        <v>70</v>
      </c>
      <c r="F24" s="7" t="n">
        <f aca="false">IFERROR(INDEX(FIYAT_KAYNAK!$F$3:$F$47,MATCH("ABB|1SDA067415R1",FIYAT_KAYNAK!$A$3:$A$47,0)),"")</f>
        <v>246.1</v>
      </c>
      <c r="G24" s="8" t="n">
        <f aca="false">IFERROR(INDEX(FIYAT_KAYNAK!$J$3:$J$47,MATCH("ABB|1SDA067415R1",FIYAT_KAYNAK!$A$3:$A$47,0)),"")</f>
        <v>53478.206775</v>
      </c>
      <c r="H24" s="8" t="n">
        <f aca="false">IF(OR(G24="",I24=""),"",G24*I24)</f>
        <v>53478.206775</v>
      </c>
      <c r="I24" s="9" t="n">
        <v>1</v>
      </c>
      <c r="J24" s="6" t="s">
        <v>16</v>
      </c>
      <c r="K24" s="6" t="s">
        <v>21</v>
      </c>
    </row>
    <row r="25" customFormat="false" ht="15" hidden="false" customHeight="false" outlineLevel="0" collapsed="false">
      <c r="A25" s="6" t="n">
        <v>23</v>
      </c>
      <c r="B25" s="6"/>
      <c r="C25" s="6" t="s">
        <v>27</v>
      </c>
      <c r="D25" s="6" t="s">
        <v>71</v>
      </c>
      <c r="E25" s="6" t="s">
        <v>72</v>
      </c>
      <c r="F25" s="7" t="n">
        <f aca="false">IFERROR(INDEX(FIYAT_KAYNAK!$F$3:$F$47,MATCH("ABB|2CDS251001R0065",FIYAT_KAYNAK!$A$3:$A$47,0)),"")</f>
        <v>11.74</v>
      </c>
      <c r="G25" s="8" t="n">
        <f aca="false">IFERROR(INDEX(FIYAT_KAYNAK!$J$3:$J$47,MATCH("ABB|2CDS251001R0065",FIYAT_KAYNAK!$A$3:$A$47,0)),"")</f>
        <v>2551.134285</v>
      </c>
      <c r="H25" s="8" t="n">
        <f aca="false">IF(OR(G25="",I25=""),"",G25*I25)</f>
        <v>2551.134285</v>
      </c>
      <c r="I25" s="9" t="n">
        <v>1</v>
      </c>
      <c r="J25" s="6" t="s">
        <v>16</v>
      </c>
      <c r="K25" s="6" t="s">
        <v>21</v>
      </c>
    </row>
    <row r="26" customFormat="false" ht="15" hidden="false" customHeight="false" outlineLevel="0" collapsed="false">
      <c r="A26" s="6" t="n">
        <v>24</v>
      </c>
      <c r="B26" s="6"/>
      <c r="C26" s="6" t="s">
        <v>27</v>
      </c>
      <c r="D26" s="6" t="s">
        <v>28</v>
      </c>
      <c r="E26" s="6" t="s">
        <v>73</v>
      </c>
      <c r="F26" s="7" t="n">
        <f aca="false">IFERROR(INDEX(FIYAT_KAYNAK!$F$3:$F$47,MATCH("ABB|2CDS273001R0634",FIYAT_KAYNAK!$A$3:$A$47,0)),"")</f>
        <v>107.1</v>
      </c>
      <c r="G26" s="8" t="n">
        <f aca="false">IFERROR(INDEX(FIYAT_KAYNAK!$J$3:$J$47,MATCH("ABB|2CDS273001R0634",FIYAT_KAYNAK!$A$3:$A$47,0)),"")</f>
        <v>23273.124525</v>
      </c>
      <c r="H26" s="8" t="n">
        <f aca="false">IF(OR(G26="",I26=""),"",G26*I26)</f>
        <v>93092.4981</v>
      </c>
      <c r="I26" s="9" t="n">
        <v>4</v>
      </c>
      <c r="J26" s="6" t="s">
        <v>16</v>
      </c>
      <c r="K26" s="6" t="s">
        <v>21</v>
      </c>
    </row>
    <row r="27" customFormat="false" ht="15" hidden="false" customHeight="false" outlineLevel="0" collapsed="false">
      <c r="A27" s="6" t="n">
        <v>25</v>
      </c>
      <c r="B27" s="6"/>
      <c r="C27" s="6" t="s">
        <v>27</v>
      </c>
      <c r="D27" s="6" t="s">
        <v>74</v>
      </c>
      <c r="E27" s="6" t="s">
        <v>75</v>
      </c>
      <c r="F27" s="7" t="n">
        <f aca="false">IFERROR(INDEX(FIYAT_KAYNAK!$F$3:$F$47,MATCH("ABB|2CDS273001R0324",FIYAT_KAYNAK!$A$3:$A$47,0)),"")</f>
        <v>78.75</v>
      </c>
      <c r="G27" s="8" t="n">
        <f aca="false">IFERROR(INDEX(FIYAT_KAYNAK!$J$3:$J$47,MATCH("ABB|2CDS273001R0324",FIYAT_KAYNAK!$A$3:$A$47,0)),"")</f>
        <v>17112.5915625</v>
      </c>
      <c r="H27" s="8" t="n">
        <f aca="false">IF(OR(G27="",I27=""),"",G27*I27)</f>
        <v>17112.5915625</v>
      </c>
      <c r="I27" s="9" t="n">
        <v>1</v>
      </c>
      <c r="J27" s="6" t="s">
        <v>16</v>
      </c>
      <c r="K27" s="6" t="s">
        <v>21</v>
      </c>
    </row>
    <row r="28" customFormat="false" ht="15" hidden="false" customHeight="false" outlineLevel="0" collapsed="false">
      <c r="A28" s="6" t="n">
        <v>26</v>
      </c>
      <c r="B28" s="6"/>
      <c r="C28" s="6" t="s">
        <v>27</v>
      </c>
      <c r="D28" s="6" t="s">
        <v>76</v>
      </c>
      <c r="E28" s="6" t="s">
        <v>77</v>
      </c>
      <c r="F28" s="7" t="n">
        <f aca="false">IFERROR(INDEX(FIYAT_KAYNAK!$F$3:$F$47,MATCH("ABB|2CDS271001R0164",FIYAT_KAYNAK!$A$3:$A$47,0)),"")</f>
        <v>13.99</v>
      </c>
      <c r="G28" s="8" t="n">
        <f aca="false">IFERROR(INDEX(FIYAT_KAYNAK!$J$3:$J$47,MATCH("ABB|2CDS271001R0164",FIYAT_KAYNAK!$A$3:$A$47,0)),"")</f>
        <v>3040.0654725</v>
      </c>
      <c r="H28" s="8" t="n">
        <f aca="false">IF(OR(G28="",I28=""),"",G28*I28)</f>
        <v>3040.0654725</v>
      </c>
      <c r="I28" s="9" t="n">
        <v>1</v>
      </c>
      <c r="J28" s="6" t="s">
        <v>16</v>
      </c>
      <c r="K28" s="6" t="s">
        <v>21</v>
      </c>
    </row>
    <row r="29" customFormat="false" ht="15" hidden="false" customHeight="false" outlineLevel="0" collapsed="false">
      <c r="A29" s="6" t="n">
        <v>27</v>
      </c>
      <c r="B29" s="6"/>
      <c r="C29" s="6" t="s">
        <v>78</v>
      </c>
      <c r="D29" s="6" t="s">
        <v>79</v>
      </c>
      <c r="E29" s="6" t="s">
        <v>80</v>
      </c>
      <c r="F29" s="7" t="n">
        <f aca="false">IFERROR(INDEX(FIYAT_KAYNAK!$F$3:$F$47,MATCH("ABB|1SAE351111R0640",FIYAT_KAYNAK!$A$3:$A$47,0)),"")</f>
        <v>183.3</v>
      </c>
      <c r="G29" s="8" t="n">
        <f aca="false">IFERROR(INDEX(FIYAT_KAYNAK!$J$3:$J$47,MATCH("ABB|1SAE351111R0640",FIYAT_KAYNAK!$A$3:$A$47,0)),"")</f>
        <v>39831.594075</v>
      </c>
      <c r="H29" s="8" t="n">
        <f aca="false">IF(OR(G29="",I29=""),"",G29*I29)</f>
        <v>159326.3763</v>
      </c>
      <c r="I29" s="9" t="n">
        <v>4</v>
      </c>
      <c r="J29" s="6" t="s">
        <v>16</v>
      </c>
      <c r="K29" s="6" t="s">
        <v>21</v>
      </c>
    </row>
    <row r="30" customFormat="false" ht="15" hidden="false" customHeight="false" outlineLevel="0" collapsed="false">
      <c r="A30" s="6" t="n">
        <v>28</v>
      </c>
      <c r="B30" s="6"/>
      <c r="C30" s="6" t="s">
        <v>81</v>
      </c>
      <c r="D30" s="6" t="s">
        <v>82</v>
      </c>
      <c r="E30" s="6" t="s">
        <v>83</v>
      </c>
      <c r="F30" s="7" t="n">
        <f aca="false">IFERROR(INDEX(FIYAT_KAYNAK!$F$3:$F$47,MATCH("ABB|2CSM208141R1000",FIYAT_KAYNAK!$A$3:$A$47,0)),"")</f>
        <v>144.4</v>
      </c>
      <c r="G30" s="8" t="n">
        <f aca="false">IFERROR(INDEX(FIYAT_KAYNAK!$J$3:$J$47,MATCH("ABB|2CSM208141R1000",FIYAT_KAYNAK!$A$3:$A$47,0)),"")</f>
        <v>31378.5171</v>
      </c>
      <c r="H30" s="8" t="n">
        <f aca="false">IF(OR(G30="",I30=""),"",G30*I30)</f>
        <v>31378.5171</v>
      </c>
      <c r="I30" s="9" t="n">
        <v>1</v>
      </c>
      <c r="J30" s="6" t="s">
        <v>16</v>
      </c>
      <c r="K30" s="6" t="s">
        <v>21</v>
      </c>
    </row>
    <row r="31" customFormat="false" ht="15" hidden="false" customHeight="false" outlineLevel="0" collapsed="false">
      <c r="A31" s="6" t="n">
        <v>29</v>
      </c>
      <c r="B31" s="6"/>
      <c r="C31" s="6" t="s">
        <v>81</v>
      </c>
      <c r="D31" s="6" t="s">
        <v>84</v>
      </c>
      <c r="E31" s="6" t="s">
        <v>85</v>
      </c>
      <c r="F31" s="7" t="n">
        <f aca="false">IFERROR(INDEX(FIYAT_KAYNAK!$F$3:$F$47,MATCH("ABB|1SVR405613R3000",FIYAT_KAYNAK!$A$3:$A$47,0)),"")</f>
        <v>12.83</v>
      </c>
      <c r="G31" s="8" t="n">
        <f aca="false">IFERROR(INDEX(FIYAT_KAYNAK!$J$3:$J$47,MATCH("ABB|1SVR405613R3000",FIYAT_KAYNAK!$A$3:$A$47,0)),"")</f>
        <v>2787.9942825</v>
      </c>
      <c r="H31" s="8" t="n">
        <f aca="false">IF(OR(G31="",I31=""),"",G31*I31)</f>
        <v>2787.9942825</v>
      </c>
      <c r="I31" s="9" t="n">
        <v>1</v>
      </c>
      <c r="J31" s="6" t="s">
        <v>16</v>
      </c>
      <c r="K31" s="6" t="s">
        <v>21</v>
      </c>
    </row>
    <row r="32" customFormat="false" ht="15" hidden="false" customHeight="false" outlineLevel="0" collapsed="false">
      <c r="A32" s="6" t="n">
        <v>30</v>
      </c>
      <c r="B32" s="6"/>
      <c r="C32" s="6" t="s">
        <v>86</v>
      </c>
      <c r="D32" s="6" t="s">
        <v>87</v>
      </c>
      <c r="E32" s="6" t="s">
        <v>88</v>
      </c>
      <c r="F32" s="7" t="n">
        <f aca="false">IFERROR(INDEX(FIYAT_KAYNAK!$F$3:$F$47,MATCH("ABB|1SVR405651R3000",FIYAT_KAYNAK!$A$3:$A$47,0)),"")</f>
        <v>8.5</v>
      </c>
      <c r="G32" s="8" t="n">
        <f aca="false">IFERROR(INDEX(FIYAT_KAYNAK!$J$3:$J$47,MATCH("ABB|1SVR405651R3000",FIYAT_KAYNAK!$A$3:$A$47,0)),"")</f>
        <v>1847.073375</v>
      </c>
      <c r="H32" s="8" t="n">
        <f aca="false">IF(OR(G32="",I32=""),"",G32*I32)</f>
        <v>1847.073375</v>
      </c>
      <c r="I32" s="9" t="n">
        <v>1</v>
      </c>
      <c r="J32" s="6" t="s">
        <v>16</v>
      </c>
      <c r="K32" s="6" t="s">
        <v>21</v>
      </c>
    </row>
    <row r="33" customFormat="false" ht="15" hidden="false" customHeight="false" outlineLevel="0" collapsed="false">
      <c r="A33" s="6" t="n">
        <v>31</v>
      </c>
      <c r="B33" s="6"/>
      <c r="C33" s="6" t="s">
        <v>89</v>
      </c>
      <c r="D33" s="6" t="s">
        <v>90</v>
      </c>
      <c r="E33" s="6" t="s">
        <v>91</v>
      </c>
      <c r="F33" s="7" t="n">
        <f aca="false">IFERROR(INDEX(FIYAT_KAYNAK!$F$3:$F$47,MATCH("ABB|1SFA619210R1026",FIYAT_KAYNAK!$A$3:$A$47,0)),"")</f>
        <v>13.13</v>
      </c>
      <c r="G33" s="8" t="n">
        <f aca="false">IFERROR(INDEX(FIYAT_KAYNAK!$J$3:$J$47,MATCH("ABB|1SFA619210R1026",FIYAT_KAYNAK!$A$3:$A$47,0)),"")</f>
        <v>2853.1851075</v>
      </c>
      <c r="H33" s="8" t="n">
        <f aca="false">IF(OR(G33="",I33=""),"",G33*I33)</f>
        <v>2853.1851075</v>
      </c>
      <c r="I33" s="9" t="n">
        <v>1</v>
      </c>
      <c r="J33" s="6" t="s">
        <v>16</v>
      </c>
      <c r="K33" s="6" t="s">
        <v>21</v>
      </c>
    </row>
    <row r="34" customFormat="false" ht="15" hidden="false" customHeight="false" outlineLevel="0" collapsed="false">
      <c r="A34" s="6" t="n">
        <v>32</v>
      </c>
      <c r="B34" s="6"/>
      <c r="C34" s="6" t="s">
        <v>92</v>
      </c>
      <c r="D34" s="6" t="s">
        <v>93</v>
      </c>
      <c r="E34" s="6" t="s">
        <v>94</v>
      </c>
      <c r="F34" s="7" t="n">
        <f aca="false">IFERROR(INDEX(FIYAT_KAYNAK!$F$3:$F$47,MATCH("ABB|1SFA619403R5232",FIYAT_KAYNAK!$A$3:$A$47,0)),"")</f>
        <v>9.62</v>
      </c>
      <c r="G34" s="8" t="n">
        <f aca="false">IFERROR(INDEX(FIYAT_KAYNAK!$J$3:$J$47,MATCH("ABB|1SFA619403R5232",FIYAT_KAYNAK!$A$3:$A$47,0)),"")</f>
        <v>2090.452455</v>
      </c>
      <c r="H34" s="8" t="n">
        <f aca="false">IF(OR(G34="",I34=""),"",G34*I34)</f>
        <v>2090.452455</v>
      </c>
      <c r="I34" s="9" t="n">
        <v>1</v>
      </c>
      <c r="J34" s="6" t="s">
        <v>16</v>
      </c>
      <c r="K34" s="6" t="s">
        <v>21</v>
      </c>
    </row>
    <row r="35" customFormat="false" ht="15" hidden="false" customHeight="false" outlineLevel="0" collapsed="false">
      <c r="A35" s="6" t="n">
        <v>33</v>
      </c>
      <c r="B35" s="6"/>
      <c r="C35" s="6" t="s">
        <v>38</v>
      </c>
      <c r="D35" s="6" t="s">
        <v>95</v>
      </c>
      <c r="E35" s="6" t="s">
        <v>96</v>
      </c>
      <c r="F35" s="7" t="n">
        <f aca="false">IFERROR(INDEX(FIYAT_KAYNAK!$F$3:$F$47,MATCH("CHINT|811002",FIYAT_KAYNAK!$A$3:$A$47,0)),"")</f>
        <v>12699</v>
      </c>
      <c r="G35" s="8" t="n">
        <f aca="false">IFERROR(INDEX(FIYAT_KAYNAK!$J$3:$J$47,MATCH("CHINT|811002",FIYAT_KAYNAK!$A$3:$A$47,0)),"")</f>
        <v>7619.4</v>
      </c>
      <c r="H35" s="8" t="n">
        <f aca="false">IF(OR(G35="",I35=""),"",G35*I35)</f>
        <v>7619.4</v>
      </c>
      <c r="I35" s="9" t="n">
        <v>1</v>
      </c>
      <c r="J35" s="6" t="s">
        <v>16</v>
      </c>
      <c r="K35" s="6" t="s">
        <v>48</v>
      </c>
    </row>
    <row r="36" customFormat="false" ht="15" hidden="false" customHeight="false" outlineLevel="0" collapsed="false">
      <c r="A36" s="6" t="n">
        <v>34</v>
      </c>
      <c r="B36" s="6"/>
      <c r="C36" s="6" t="s">
        <v>38</v>
      </c>
      <c r="D36" s="6" t="s">
        <v>97</v>
      </c>
      <c r="E36" s="6" t="s">
        <v>98</v>
      </c>
      <c r="F36" s="7" t="n">
        <f aca="false">IFERROR(INDEX(FIYAT_KAYNAK!$F$3:$F$47,MATCH("EKT|130200399_",FIYAT_KAYNAK!$A$3:$A$47,0)),"")</f>
        <v>2567</v>
      </c>
      <c r="G36" s="8" t="n">
        <f aca="false">IFERROR(INDEX(FIYAT_KAYNAK!$J$3:$J$47,MATCH("EKT|130200399_",FIYAT_KAYNAK!$A$3:$A$47,0)),"")</f>
        <v>2567</v>
      </c>
      <c r="H36" s="8" t="n">
        <f aca="false">IF(OR(G36="",I36=""),"",G36*I36)</f>
        <v>2567</v>
      </c>
      <c r="I36" s="9" t="n">
        <v>1</v>
      </c>
      <c r="J36" s="6" t="s">
        <v>16</v>
      </c>
      <c r="K36" s="6" t="s">
        <v>41</v>
      </c>
    </row>
    <row r="37" customFormat="false" ht="15" hidden="false" customHeight="false" outlineLevel="0" collapsed="false">
      <c r="A37" s="6" t="n">
        <v>35</v>
      </c>
      <c r="B37" s="6"/>
      <c r="C37" s="6" t="s">
        <v>38</v>
      </c>
      <c r="D37" s="6" t="s">
        <v>99</v>
      </c>
      <c r="E37" s="6" t="s">
        <v>100</v>
      </c>
      <c r="F37" s="7" t="n">
        <f aca="false">IFERROR(INDEX(FIYAT_KAYNAK!$F$3:$F$47,MATCH("EKT|130300473_",FIYAT_KAYNAK!$A$3:$A$47,0)),"")</f>
        <v>4204</v>
      </c>
      <c r="G37" s="8" t="n">
        <f aca="false">IFERROR(INDEX(FIYAT_KAYNAK!$J$3:$J$47,MATCH("EKT|130300473_",FIYAT_KAYNAK!$A$3:$A$47,0)),"")</f>
        <v>4204</v>
      </c>
      <c r="H37" s="8" t="n">
        <f aca="false">IF(OR(G37="",I37=""),"",G37*I37)</f>
        <v>4204</v>
      </c>
      <c r="I37" s="9" t="n">
        <v>1</v>
      </c>
      <c r="J37" s="6" t="s">
        <v>16</v>
      </c>
      <c r="K37" s="6" t="s">
        <v>41</v>
      </c>
    </row>
    <row r="38" customFormat="false" ht="15" hidden="false" customHeight="false" outlineLevel="0" collapsed="false">
      <c r="A38" s="6" t="n">
        <v>36</v>
      </c>
      <c r="B38" s="6"/>
      <c r="C38" s="6" t="s">
        <v>42</v>
      </c>
      <c r="D38" s="6" t="s">
        <v>101</v>
      </c>
      <c r="E38" s="6" t="s">
        <v>102</v>
      </c>
      <c r="F38" s="7" t="n">
        <f aca="false">IFERROR(INDEX(FIYAT_KAYNAK!$F$3:$F$47,MATCH("EKT|130301153_",FIYAT_KAYNAK!$A$3:$A$47,0)),"")</f>
        <v>90</v>
      </c>
      <c r="G38" s="8" t="n">
        <f aca="false">IFERROR(INDEX(FIYAT_KAYNAK!$J$3:$J$47,MATCH("EKT|130301153_",FIYAT_KAYNAK!$A$3:$A$47,0)),"")</f>
        <v>90</v>
      </c>
      <c r="H38" s="8" t="n">
        <f aca="false">IF(OR(G38="",I38=""),"",G38*I38)</f>
        <v>1800</v>
      </c>
      <c r="I38" s="9" t="n">
        <v>20</v>
      </c>
      <c r="J38" s="6" t="s">
        <v>16</v>
      </c>
      <c r="K38" s="6" t="s">
        <v>41</v>
      </c>
    </row>
    <row r="39" customFormat="false" ht="15" hidden="false" customHeight="false" outlineLevel="0" collapsed="false">
      <c r="A39" s="6" t="n">
        <v>37</v>
      </c>
      <c r="B39" s="6"/>
      <c r="C39" s="6" t="s">
        <v>42</v>
      </c>
      <c r="D39" s="6" t="s">
        <v>43</v>
      </c>
      <c r="E39" s="6" t="s">
        <v>103</v>
      </c>
      <c r="F39" s="7" t="n">
        <f aca="false">IFERROR(INDEX(FIYAT_KAYNAK!$F$3:$F$47,MATCH("EKT|130301155_",FIYAT_KAYNAK!$A$3:$A$47,0)),"")</f>
        <v>151</v>
      </c>
      <c r="G39" s="8" t="n">
        <f aca="false">IFERROR(INDEX(FIYAT_KAYNAK!$J$3:$J$47,MATCH("EKT|130301155_",FIYAT_KAYNAK!$A$3:$A$47,0)),"")</f>
        <v>151</v>
      </c>
      <c r="H39" s="8" t="n">
        <f aca="false">IF(OR(G39="",I39=""),"",G39*I39)</f>
        <v>1812</v>
      </c>
      <c r="I39" s="9" t="n">
        <v>12</v>
      </c>
      <c r="J39" s="6" t="s">
        <v>16</v>
      </c>
      <c r="K39" s="6" t="s">
        <v>41</v>
      </c>
    </row>
    <row r="40" customFormat="false" ht="15" hidden="false" customHeight="false" outlineLevel="0" collapsed="false">
      <c r="A40" s="6" t="n">
        <v>38</v>
      </c>
      <c r="B40" s="6"/>
      <c r="C40" s="6" t="s">
        <v>45</v>
      </c>
      <c r="D40" s="6" t="s">
        <v>46</v>
      </c>
      <c r="E40" s="6" t="s">
        <v>47</v>
      </c>
      <c r="F40" s="7" t="n">
        <f aca="false">IFERROR(INDEX(FIYAT_KAYNAK!$F$3:$F$47,MATCH("CHINT|570003",FIYAT_KAYNAK!$A$3:$A$47,0)),"")</f>
        <v>869</v>
      </c>
      <c r="G40" s="8" t="n">
        <f aca="false">IFERROR(INDEX(FIYAT_KAYNAK!$J$3:$J$47,MATCH("CHINT|570003",FIYAT_KAYNAK!$A$3:$A$47,0)),"")</f>
        <v>521.4</v>
      </c>
      <c r="H40" s="8" t="n">
        <f aca="false">IF(OR(G40="",I40=""),"",G40*I40)</f>
        <v>2607</v>
      </c>
      <c r="I40" s="9" t="n">
        <v>5</v>
      </c>
      <c r="J40" s="6" t="s">
        <v>16</v>
      </c>
      <c r="K40" s="6" t="s">
        <v>48</v>
      </c>
    </row>
    <row r="41" customFormat="false" ht="15" hidden="false" customHeight="false" outlineLevel="0" collapsed="false">
      <c r="A41" s="6" t="n">
        <v>39</v>
      </c>
      <c r="B41" s="6"/>
      <c r="C41" s="6" t="s">
        <v>45</v>
      </c>
      <c r="D41" s="6" t="s">
        <v>104</v>
      </c>
      <c r="E41" s="6" t="s">
        <v>105</v>
      </c>
      <c r="F41" s="7" t="n">
        <f aca="false">IFERROR(INDEX(FIYAT_KAYNAK!$F$3:$F$47,MATCH("EKT|270300079_",FIYAT_KAYNAK!$A$3:$A$47,0)),"")</f>
        <v>1094</v>
      </c>
      <c r="G41" s="8" t="n">
        <f aca="false">IFERROR(INDEX(FIYAT_KAYNAK!$J$3:$J$47,MATCH("EKT|270300079_",FIYAT_KAYNAK!$A$3:$A$47,0)),"")</f>
        <v>1094</v>
      </c>
      <c r="H41" s="8" t="n">
        <f aca="false">IF(OR(G41="",I41=""),"",G41*I41)</f>
        <v>5470</v>
      </c>
      <c r="I41" s="9" t="n">
        <v>5</v>
      </c>
      <c r="J41" s="6" t="s">
        <v>16</v>
      </c>
      <c r="K41" s="6" t="s">
        <v>41</v>
      </c>
    </row>
    <row r="42" customFormat="false" ht="15" hidden="false" customHeight="false" outlineLevel="0" collapsed="false">
      <c r="A42" s="6" t="n">
        <v>40</v>
      </c>
      <c r="B42" s="6"/>
      <c r="C42" s="6" t="s">
        <v>45</v>
      </c>
      <c r="D42" s="6"/>
      <c r="E42" s="6" t="s">
        <v>51</v>
      </c>
      <c r="F42" s="6"/>
      <c r="G42" s="8" t="n">
        <f aca="false">SUM(H23:H41)*Kurallar!$B$13</f>
        <v>12785.32484445</v>
      </c>
      <c r="H42" s="8" t="n">
        <f aca="false">G42*I42</f>
        <v>12785.32484445</v>
      </c>
      <c r="I42" s="8" t="n">
        <v>1</v>
      </c>
      <c r="J42" s="6" t="s">
        <v>52</v>
      </c>
      <c r="K42" s="6" t="s">
        <v>53</v>
      </c>
    </row>
    <row r="43" customFormat="false" ht="15" hidden="false" customHeight="false" outlineLevel="0" collapsed="false">
      <c r="A43" s="6" t="n">
        <v>41</v>
      </c>
      <c r="B43" s="6"/>
      <c r="C43" s="6" t="s">
        <v>54</v>
      </c>
      <c r="D43" s="6"/>
      <c r="E43" s="6" t="s">
        <v>55</v>
      </c>
      <c r="F43" s="10" t="n">
        <f aca="false">I43/60</f>
        <v>5.48166666666667</v>
      </c>
      <c r="G43" s="8" t="n">
        <f aca="false">Kurallar!$B$11</f>
        <v>100</v>
      </c>
      <c r="H43" s="8" t="n">
        <f aca="false">G43*I43</f>
        <v>32890</v>
      </c>
      <c r="I43" s="8" t="n">
        <f aca="false">Kurallar!$F$39</f>
        <v>328.9</v>
      </c>
      <c r="J43" s="6" t="s">
        <v>56</v>
      </c>
      <c r="K43" s="6" t="s">
        <v>57</v>
      </c>
    </row>
    <row r="44" customFormat="false" ht="15" hidden="false" customHeight="false" outlineLevel="0" collapsed="false">
      <c r="A44" s="2"/>
      <c r="B44" s="5" t="s">
        <v>106</v>
      </c>
      <c r="C44" s="4"/>
      <c r="D44" s="4"/>
      <c r="E44" s="4"/>
      <c r="F44" s="4"/>
      <c r="G44" s="4"/>
      <c r="H44" s="11" t="n">
        <f aca="false">SUBTOTAL(9,H23:H43)</f>
        <v>471852.81965945</v>
      </c>
      <c r="I44" s="5" t="n">
        <v>1</v>
      </c>
      <c r="J44" s="5" t="s">
        <v>52</v>
      </c>
      <c r="K44" s="4"/>
    </row>
    <row r="45" customFormat="false" ht="15" hidden="false" customHeight="false" outlineLevel="0" collapsed="false">
      <c r="A45" s="12" t="n">
        <v>42</v>
      </c>
      <c r="B45" s="12"/>
      <c r="C45" s="12" t="s">
        <v>89</v>
      </c>
      <c r="D45" s="12"/>
      <c r="E45" s="12" t="s">
        <v>107</v>
      </c>
      <c r="F45" s="12"/>
      <c r="G45" s="12"/>
      <c r="H45" s="12"/>
      <c r="I45" s="13" t="n">
        <v>1</v>
      </c>
      <c r="J45" s="12" t="s">
        <v>16</v>
      </c>
      <c r="K45" s="12"/>
    </row>
    <row r="46" customFormat="false" ht="15" hidden="false" customHeight="false" outlineLevel="0" collapsed="false">
      <c r="A46" s="2" t="n">
        <v>43</v>
      </c>
      <c r="B46" s="3" t="str">
        <f aca="false">E46</f>
        <v>ЩАВР Cargo (AVR POWER PANEL)</v>
      </c>
      <c r="C46" s="4"/>
      <c r="D46" s="4"/>
      <c r="E46" s="5" t="s">
        <v>108</v>
      </c>
      <c r="F46" s="4"/>
      <c r="G46" s="4"/>
      <c r="H46" s="4"/>
      <c r="I46" s="5" t="n">
        <v>1</v>
      </c>
      <c r="J46" s="5" t="s">
        <v>12</v>
      </c>
      <c r="K46" s="4"/>
    </row>
    <row r="47" customFormat="false" ht="15" hidden="false" customHeight="false" outlineLevel="0" collapsed="false">
      <c r="A47" s="6" t="n">
        <v>44</v>
      </c>
      <c r="B47" s="6"/>
      <c r="C47" s="6" t="s">
        <v>13</v>
      </c>
      <c r="D47" s="6" t="s">
        <v>109</v>
      </c>
      <c r="E47" s="6" t="s">
        <v>110</v>
      </c>
      <c r="F47" s="7" t="n">
        <f aca="false">IFERROR(INDEX(FIYAT_KAYNAK!$F$3:$F$47,MATCH("KAZTEK|719-15602",FIYAT_KAYNAK!$A$3:$A$47,0)),"")</f>
        <v>78350</v>
      </c>
      <c r="G47" s="8" t="n">
        <f aca="false">IFERROR(INDEX(FIYAT_KAYNAK!$J$3:$J$47,MATCH("KAZTEK|719-15602",FIYAT_KAYNAK!$A$3:$A$47,0)),"")</f>
        <v>78350</v>
      </c>
      <c r="H47" s="8" t="n">
        <f aca="false">IF(OR(G47="",I47=""),"",G47*I47)</f>
        <v>78350</v>
      </c>
      <c r="I47" s="9" t="n">
        <v>1</v>
      </c>
      <c r="J47" s="6" t="s">
        <v>16</v>
      </c>
      <c r="K47" s="6" t="s">
        <v>17</v>
      </c>
    </row>
    <row r="48" customFormat="false" ht="15" hidden="false" customHeight="false" outlineLevel="0" collapsed="false">
      <c r="A48" s="6" t="n">
        <v>45</v>
      </c>
      <c r="B48" s="6"/>
      <c r="C48" s="6" t="s">
        <v>18</v>
      </c>
      <c r="D48" s="6" t="s">
        <v>111</v>
      </c>
      <c r="E48" s="6" t="s">
        <v>112</v>
      </c>
      <c r="F48" s="7" t="n">
        <f aca="false">IFERROR(INDEX(FIYAT_KAYNAK!$F$3:$F$47,MATCH("ABB|1SDA068070R1",FIYAT_KAYNAK!$A$3:$A$47,0)),"")</f>
        <v>798</v>
      </c>
      <c r="G48" s="8" t="n">
        <f aca="false">IFERROR(INDEX(FIYAT_KAYNAK!$J$3:$J$47,MATCH("ABB|1SDA068070R1",FIYAT_KAYNAK!$A$3:$A$47,0)),"")</f>
        <v>173407.5945</v>
      </c>
      <c r="H48" s="8" t="n">
        <f aca="false">IF(OR(G48="",I48=""),"",G48*I48)</f>
        <v>346815.189</v>
      </c>
      <c r="I48" s="9" t="n">
        <v>2</v>
      </c>
      <c r="J48" s="6" t="s">
        <v>16</v>
      </c>
      <c r="K48" s="6" t="s">
        <v>21</v>
      </c>
    </row>
    <row r="49" customFormat="false" ht="15" hidden="false" customHeight="false" outlineLevel="0" collapsed="false">
      <c r="A49" s="6" t="n">
        <v>46</v>
      </c>
      <c r="B49" s="6"/>
      <c r="C49" s="6" t="s">
        <v>22</v>
      </c>
      <c r="D49" s="6" t="s">
        <v>113</v>
      </c>
      <c r="E49" s="6" t="s">
        <v>114</v>
      </c>
      <c r="F49" s="7" t="n">
        <f aca="false">IFERROR(INDEX(FIYAT_KAYNAK!$F$3:$F$47,MATCH("ABB|1SCA022846R1910",FIYAT_KAYNAK!$A$3:$A$47,0)),"")</f>
        <v>3152</v>
      </c>
      <c r="G49" s="8" t="n">
        <f aca="false">IFERROR(INDEX(FIYAT_KAYNAK!$J$3:$J$47,MATCH("ABB|1SCA022846R1910",FIYAT_KAYNAK!$A$3:$A$47,0)),"")</f>
        <v>684938.268</v>
      </c>
      <c r="H49" s="8" t="n">
        <f aca="false">IF(OR(G49="",I49=""),"",G49*I49)</f>
        <v>684938.268</v>
      </c>
      <c r="I49" s="9" t="n">
        <v>1</v>
      </c>
      <c r="J49" s="6" t="s">
        <v>16</v>
      </c>
      <c r="K49" s="6" t="s">
        <v>21</v>
      </c>
    </row>
    <row r="50" customFormat="false" ht="15" hidden="false" customHeight="false" outlineLevel="0" collapsed="false">
      <c r="A50" s="6" t="n">
        <v>47</v>
      </c>
      <c r="B50" s="6"/>
      <c r="C50" s="6" t="s">
        <v>18</v>
      </c>
      <c r="D50" s="6" t="s">
        <v>30</v>
      </c>
      <c r="E50" s="6" t="s">
        <v>115</v>
      </c>
      <c r="F50" s="7" t="n">
        <f aca="false">IFERROR(INDEX(FIYAT_KAYNAK!$F$3:$F$47,MATCH("ABB|1SDA067416R1",FIYAT_KAYNAK!$A$3:$A$47,0)),"")</f>
        <v>246.1</v>
      </c>
      <c r="G50" s="8" t="n">
        <f aca="false">IFERROR(INDEX(FIYAT_KAYNAK!$J$3:$J$47,MATCH("ABB|1SDA067416R1",FIYAT_KAYNAK!$A$3:$A$47,0)),"")</f>
        <v>53478.206775</v>
      </c>
      <c r="H50" s="8" t="n">
        <f aca="false">IF(OR(G50="",I50=""),"",G50*I50)</f>
        <v>53478.206775</v>
      </c>
      <c r="I50" s="9" t="n">
        <v>1</v>
      </c>
      <c r="J50" s="6" t="s">
        <v>16</v>
      </c>
      <c r="K50" s="6" t="s">
        <v>21</v>
      </c>
    </row>
    <row r="51" customFormat="false" ht="15" hidden="false" customHeight="false" outlineLevel="0" collapsed="false">
      <c r="A51" s="6" t="n">
        <v>48</v>
      </c>
      <c r="B51" s="6"/>
      <c r="C51" s="6" t="s">
        <v>27</v>
      </c>
      <c r="D51" s="6" t="s">
        <v>28</v>
      </c>
      <c r="E51" s="6" t="s">
        <v>29</v>
      </c>
      <c r="F51" s="7" t="n">
        <f aca="false">IFERROR(INDEX(FIYAT_KAYNAK!$F$3:$F$47,MATCH("ABB|2CDS273001R0634",FIYAT_KAYNAK!$A$3:$A$47,0)),"")</f>
        <v>107.1</v>
      </c>
      <c r="G51" s="8" t="n">
        <f aca="false">IFERROR(INDEX(FIYAT_KAYNAK!$J$3:$J$47,MATCH("ABB|2CDS273001R0634",FIYAT_KAYNAK!$A$3:$A$47,0)),"")</f>
        <v>23273.124525</v>
      </c>
      <c r="H51" s="8" t="n">
        <f aca="false">IF(OR(G51="",I51=""),"",G51*I51)</f>
        <v>23273.124525</v>
      </c>
      <c r="I51" s="9" t="n">
        <v>1</v>
      </c>
      <c r="J51" s="6" t="s">
        <v>16</v>
      </c>
      <c r="K51" s="6" t="s">
        <v>21</v>
      </c>
    </row>
    <row r="52" customFormat="false" ht="15" hidden="false" customHeight="false" outlineLevel="0" collapsed="false">
      <c r="A52" s="6" t="n">
        <v>49</v>
      </c>
      <c r="B52" s="6"/>
      <c r="C52" s="6" t="s">
        <v>27</v>
      </c>
      <c r="D52" s="6" t="s">
        <v>34</v>
      </c>
      <c r="E52" s="6" t="s">
        <v>116</v>
      </c>
      <c r="F52" s="7" t="n">
        <f aca="false">IFERROR(INDEX(FIYAT_KAYNAK!$F$3:$F$47,MATCH("ABB|2CDS273001R0404",FIYAT_KAYNAK!$A$3:$A$47,0)),"")</f>
        <v>81.89</v>
      </c>
      <c r="G52" s="8" t="n">
        <f aca="false">IFERROR(INDEX(FIYAT_KAYNAK!$J$3:$J$47,MATCH("ABB|2CDS273001R0404",FIYAT_KAYNAK!$A$3:$A$47,0)),"")</f>
        <v>17794.9221975</v>
      </c>
      <c r="H52" s="8" t="n">
        <f aca="false">IF(OR(G52="",I52=""),"",G52*I52)</f>
        <v>17794.9221975</v>
      </c>
      <c r="I52" s="9" t="n">
        <v>1</v>
      </c>
      <c r="J52" s="6" t="s">
        <v>16</v>
      </c>
      <c r="K52" s="6" t="s">
        <v>21</v>
      </c>
    </row>
    <row r="53" customFormat="false" ht="15" hidden="false" customHeight="false" outlineLevel="0" collapsed="false">
      <c r="A53" s="6" t="n">
        <v>50</v>
      </c>
      <c r="B53" s="6"/>
      <c r="C53" s="6" t="s">
        <v>18</v>
      </c>
      <c r="D53" s="6" t="s">
        <v>69</v>
      </c>
      <c r="E53" s="6" t="s">
        <v>117</v>
      </c>
      <c r="F53" s="7" t="n">
        <f aca="false">IFERROR(INDEX(FIYAT_KAYNAK!$F$3:$F$47,MATCH("ABB|1SDA067415R1",FIYAT_KAYNAK!$A$3:$A$47,0)),"")</f>
        <v>246.1</v>
      </c>
      <c r="G53" s="8" t="n">
        <f aca="false">IFERROR(INDEX(FIYAT_KAYNAK!$J$3:$J$47,MATCH("ABB|1SDA067415R1",FIYAT_KAYNAK!$A$3:$A$47,0)),"")</f>
        <v>53478.206775</v>
      </c>
      <c r="H53" s="8" t="n">
        <f aca="false">IF(OR(G53="",I53=""),"",G53*I53)</f>
        <v>106956.41355</v>
      </c>
      <c r="I53" s="9" t="n">
        <v>2</v>
      </c>
      <c r="J53" s="6" t="s">
        <v>16</v>
      </c>
      <c r="K53" s="6" t="s">
        <v>21</v>
      </c>
    </row>
    <row r="54" customFormat="false" ht="15" hidden="false" customHeight="false" outlineLevel="0" collapsed="false">
      <c r="A54" s="6" t="n">
        <v>51</v>
      </c>
      <c r="B54" s="6"/>
      <c r="C54" s="6" t="s">
        <v>118</v>
      </c>
      <c r="D54" s="6" t="s">
        <v>119</v>
      </c>
      <c r="E54" s="6" t="s">
        <v>120</v>
      </c>
      <c r="F54" s="7" t="n">
        <f aca="false">IFERROR(INDEX(FIYAT_KAYNAK!$F$3:$F$47,MATCH("ABB|2CSR255080R1164",FIYAT_KAYNAK!$A$3:$A$47,0)),"")</f>
        <v>87.63</v>
      </c>
      <c r="G54" s="8" t="n">
        <f aca="false">IFERROR(INDEX(FIYAT_KAYNAK!$J$3:$J$47,MATCH("ABB|2CSR255080R1164",FIYAT_KAYNAK!$A$3:$A$47,0)),"")</f>
        <v>19042.2399825</v>
      </c>
      <c r="H54" s="8" t="n">
        <f aca="false">IF(OR(G54="",I54=""),"",G54*I54)</f>
        <v>19042.2399825</v>
      </c>
      <c r="I54" s="9" t="n">
        <v>1</v>
      </c>
      <c r="J54" s="6" t="s">
        <v>16</v>
      </c>
      <c r="K54" s="6" t="s">
        <v>21</v>
      </c>
    </row>
    <row r="55" customFormat="false" ht="15" hidden="false" customHeight="false" outlineLevel="0" collapsed="false">
      <c r="A55" s="6" t="n">
        <v>52</v>
      </c>
      <c r="B55" s="6"/>
      <c r="C55" s="6" t="s">
        <v>118</v>
      </c>
      <c r="D55" s="6" t="s">
        <v>121</v>
      </c>
      <c r="E55" s="6" t="s">
        <v>122</v>
      </c>
      <c r="F55" s="7" t="n">
        <f aca="false">IFERROR(INDEX(FIYAT_KAYNAK!$F$3:$F$47,MATCH("ABB|2CSR255080R1254",FIYAT_KAYNAK!$A$3:$A$47,0)),"")</f>
        <v>87.63</v>
      </c>
      <c r="G55" s="8" t="n">
        <f aca="false">IFERROR(INDEX(FIYAT_KAYNAK!$J$3:$J$47,MATCH("ABB|2CSR255080R1254",FIYAT_KAYNAK!$A$3:$A$47,0)),"")</f>
        <v>19042.2399825</v>
      </c>
      <c r="H55" s="8" t="n">
        <f aca="false">IF(OR(G55="",I55=""),"",G55*I55)</f>
        <v>38084.479965</v>
      </c>
      <c r="I55" s="9" t="n">
        <v>2</v>
      </c>
      <c r="J55" s="6" t="s">
        <v>16</v>
      </c>
      <c r="K55" s="6" t="s">
        <v>21</v>
      </c>
    </row>
    <row r="56" customFormat="false" ht="15" hidden="false" customHeight="false" outlineLevel="0" collapsed="false">
      <c r="A56" s="6" t="n">
        <v>53</v>
      </c>
      <c r="B56" s="6"/>
      <c r="C56" s="6" t="s">
        <v>38</v>
      </c>
      <c r="D56" s="6" t="s">
        <v>123</v>
      </c>
      <c r="E56" s="6" t="s">
        <v>124</v>
      </c>
      <c r="F56" s="7" t="n">
        <f aca="false">IFERROR(INDEX(FIYAT_KAYNAK!$F$3:$F$47,MATCH("EKT|130300554_",FIYAT_KAYNAK!$A$3:$A$47,0)),"")</f>
        <v>8329</v>
      </c>
      <c r="G56" s="8" t="n">
        <f aca="false">IFERROR(INDEX(FIYAT_KAYNAK!$J$3:$J$47,MATCH("EKT|130300554_",FIYAT_KAYNAK!$A$3:$A$47,0)),"")</f>
        <v>8329</v>
      </c>
      <c r="H56" s="8" t="n">
        <f aca="false">IF(OR(G56="",I56=""),"",G56*I56)</f>
        <v>16658</v>
      </c>
      <c r="I56" s="9" t="n">
        <v>2</v>
      </c>
      <c r="J56" s="6" t="s">
        <v>16</v>
      </c>
      <c r="K56" s="6" t="s">
        <v>41</v>
      </c>
    </row>
    <row r="57" customFormat="false" ht="15" hidden="false" customHeight="false" outlineLevel="0" collapsed="false">
      <c r="A57" s="6" t="n">
        <v>54</v>
      </c>
      <c r="B57" s="6"/>
      <c r="C57" s="6" t="s">
        <v>42</v>
      </c>
      <c r="D57" s="6" t="s">
        <v>43</v>
      </c>
      <c r="E57" s="6" t="s">
        <v>44</v>
      </c>
      <c r="F57" s="7" t="n">
        <f aca="false">IFERROR(INDEX(FIYAT_KAYNAK!$F$3:$F$47,MATCH("EKT|130301155_",FIYAT_KAYNAK!$A$3:$A$47,0)),"")</f>
        <v>151</v>
      </c>
      <c r="G57" s="8" t="n">
        <f aca="false">IFERROR(INDEX(FIYAT_KAYNAK!$J$3:$J$47,MATCH("EKT|130301155_",FIYAT_KAYNAK!$A$3:$A$47,0)),"")</f>
        <v>151</v>
      </c>
      <c r="H57" s="8" t="n">
        <f aca="false">IF(OR(G57="",I57=""),"",G57*I57)</f>
        <v>3020</v>
      </c>
      <c r="I57" s="9" t="n">
        <v>20</v>
      </c>
      <c r="J57" s="6" t="s">
        <v>16</v>
      </c>
      <c r="K57" s="6" t="s">
        <v>41</v>
      </c>
    </row>
    <row r="58" customFormat="false" ht="15" hidden="false" customHeight="false" outlineLevel="0" collapsed="false">
      <c r="A58" s="6" t="n">
        <v>55</v>
      </c>
      <c r="B58" s="6"/>
      <c r="C58" s="6" t="s">
        <v>45</v>
      </c>
      <c r="D58" s="6" t="s">
        <v>46</v>
      </c>
      <c r="E58" s="6" t="s">
        <v>47</v>
      </c>
      <c r="F58" s="7" t="n">
        <f aca="false">IFERROR(INDEX(FIYAT_KAYNAK!$F$3:$F$47,MATCH("CHINT|570003",FIYAT_KAYNAK!$A$3:$A$47,0)),"")</f>
        <v>869</v>
      </c>
      <c r="G58" s="8" t="n">
        <f aca="false">IFERROR(INDEX(FIYAT_KAYNAK!$J$3:$J$47,MATCH("CHINT|570003",FIYAT_KAYNAK!$A$3:$A$47,0)),"")</f>
        <v>521.4</v>
      </c>
      <c r="H58" s="8" t="n">
        <f aca="false">IF(OR(G58="",I58=""),"",G58*I58)</f>
        <v>3128.4</v>
      </c>
      <c r="I58" s="9" t="n">
        <v>6</v>
      </c>
      <c r="J58" s="6" t="s">
        <v>16</v>
      </c>
      <c r="K58" s="6" t="s">
        <v>48</v>
      </c>
    </row>
    <row r="59" customFormat="false" ht="15" hidden="false" customHeight="false" outlineLevel="0" collapsed="false">
      <c r="A59" s="6" t="n">
        <v>56</v>
      </c>
      <c r="B59" s="6"/>
      <c r="C59" s="6" t="s">
        <v>45</v>
      </c>
      <c r="D59" s="6" t="s">
        <v>49</v>
      </c>
      <c r="E59" s="6" t="s">
        <v>50</v>
      </c>
      <c r="F59" s="7" t="n">
        <f aca="false">IFERROR(INDEX(FIYAT_KAYNAK!$F$3:$F$47,MATCH("EKT|270300105_",FIYAT_KAYNAK!$A$3:$A$47,0)),"")</f>
        <v>1808</v>
      </c>
      <c r="G59" s="8" t="n">
        <f aca="false">IFERROR(INDEX(FIYAT_KAYNAK!$J$3:$J$47,MATCH("EKT|270300105_",FIYAT_KAYNAK!$A$3:$A$47,0)),"")</f>
        <v>1808</v>
      </c>
      <c r="H59" s="8" t="n">
        <f aca="false">IF(OR(G59="",I59=""),"",G59*I59)</f>
        <v>10848</v>
      </c>
      <c r="I59" s="9" t="n">
        <v>6</v>
      </c>
      <c r="J59" s="6" t="s">
        <v>16</v>
      </c>
      <c r="K59" s="6" t="s">
        <v>41</v>
      </c>
    </row>
    <row r="60" customFormat="false" ht="15" hidden="false" customHeight="false" outlineLevel="0" collapsed="false">
      <c r="A60" s="6" t="n">
        <v>57</v>
      </c>
      <c r="B60" s="6"/>
      <c r="C60" s="6" t="s">
        <v>45</v>
      </c>
      <c r="D60" s="6"/>
      <c r="E60" s="6" t="s">
        <v>51</v>
      </c>
      <c r="F60" s="6"/>
      <c r="G60" s="8" t="n">
        <f aca="false">SUM(H47:H59)*Kurallar!$B$13</f>
        <v>42071.61731985</v>
      </c>
      <c r="H60" s="8" t="n">
        <f aca="false">G60*I60</f>
        <v>42071.61731985</v>
      </c>
      <c r="I60" s="8" t="n">
        <v>1</v>
      </c>
      <c r="J60" s="6" t="s">
        <v>52</v>
      </c>
      <c r="K60" s="6" t="s">
        <v>53</v>
      </c>
    </row>
    <row r="61" customFormat="false" ht="15" hidden="false" customHeight="false" outlineLevel="0" collapsed="false">
      <c r="A61" s="6" t="n">
        <v>58</v>
      </c>
      <c r="B61" s="6"/>
      <c r="C61" s="6" t="s">
        <v>54</v>
      </c>
      <c r="D61" s="6"/>
      <c r="E61" s="6" t="s">
        <v>55</v>
      </c>
      <c r="F61" s="10" t="n">
        <f aca="false">I61/60</f>
        <v>5.99916666666667</v>
      </c>
      <c r="G61" s="8" t="n">
        <f aca="false">Kurallar!$B$11</f>
        <v>100</v>
      </c>
      <c r="H61" s="8" t="n">
        <f aca="false">G61*I61</f>
        <v>35995</v>
      </c>
      <c r="I61" s="8" t="n">
        <f aca="false">Kurallar!$H$39</f>
        <v>359.95</v>
      </c>
      <c r="J61" s="6" t="s">
        <v>56</v>
      </c>
      <c r="K61" s="6" t="s">
        <v>57</v>
      </c>
    </row>
    <row r="62" customFormat="false" ht="15" hidden="false" customHeight="false" outlineLevel="0" collapsed="false">
      <c r="A62" s="2"/>
      <c r="B62" s="5" t="s">
        <v>125</v>
      </c>
      <c r="C62" s="4"/>
      <c r="D62" s="4"/>
      <c r="E62" s="4"/>
      <c r="F62" s="4"/>
      <c r="G62" s="4"/>
      <c r="H62" s="11" t="n">
        <f aca="false">SUBTOTAL(9,H47:H61)</f>
        <v>1480453.86131485</v>
      </c>
      <c r="I62" s="5" t="n">
        <v>1</v>
      </c>
      <c r="J62" s="5" t="s">
        <v>52</v>
      </c>
      <c r="K62" s="4"/>
    </row>
    <row r="63" customFormat="false" ht="15" hidden="false" customHeight="false" outlineLevel="0" collapsed="false">
      <c r="A63" s="12" t="n">
        <v>59</v>
      </c>
      <c r="B63" s="12"/>
      <c r="C63" s="12" t="s">
        <v>59</v>
      </c>
      <c r="D63" s="12" t="s">
        <v>60</v>
      </c>
      <c r="E63" s="12" t="s">
        <v>61</v>
      </c>
      <c r="F63" s="12"/>
      <c r="G63" s="12"/>
      <c r="H63" s="12"/>
      <c r="I63" s="13" t="n">
        <v>1</v>
      </c>
      <c r="J63" s="12" t="s">
        <v>16</v>
      </c>
      <c r="K63" s="12" t="s">
        <v>21</v>
      </c>
    </row>
    <row r="64" customFormat="false" ht="15" hidden="false" customHeight="false" outlineLevel="0" collapsed="false">
      <c r="A64" s="2" t="n">
        <v>60</v>
      </c>
      <c r="B64" s="3" t="str">
        <f aca="false">E64</f>
        <v>ЩУ AFL Cargo (AFL MAST CONTROL PANEL)</v>
      </c>
      <c r="C64" s="4"/>
      <c r="D64" s="4"/>
      <c r="E64" s="5" t="s">
        <v>126</v>
      </c>
      <c r="F64" s="4"/>
      <c r="G64" s="4"/>
      <c r="H64" s="4"/>
      <c r="I64" s="5" t="n">
        <v>1</v>
      </c>
      <c r="J64" s="5" t="s">
        <v>12</v>
      </c>
      <c r="K64" s="4"/>
    </row>
    <row r="65" customFormat="false" ht="15" hidden="false" customHeight="false" outlineLevel="0" collapsed="false">
      <c r="A65" s="6" t="n">
        <v>61</v>
      </c>
      <c r="B65" s="6"/>
      <c r="C65" s="6" t="s">
        <v>13</v>
      </c>
      <c r="D65" s="6" t="s">
        <v>67</v>
      </c>
      <c r="E65" s="6" t="s">
        <v>68</v>
      </c>
      <c r="F65" s="7" t="n">
        <f aca="false">IFERROR(INDEX(FIYAT_KAYNAK!$F$3:$F$47,MATCH("KAZTEK|719-15420",FIYAT_KAYNAK!$A$3:$A$47,0)),"")</f>
        <v>30540</v>
      </c>
      <c r="G65" s="8" t="n">
        <f aca="false">IFERROR(INDEX(FIYAT_KAYNAK!$J$3:$J$47,MATCH("KAZTEK|719-15420",FIYAT_KAYNAK!$A$3:$A$47,0)),"")</f>
        <v>30540</v>
      </c>
      <c r="H65" s="8" t="n">
        <f aca="false">IF(OR(G65="",I65=""),"",G65*I65)</f>
        <v>30540</v>
      </c>
      <c r="I65" s="9" t="n">
        <v>1</v>
      </c>
      <c r="J65" s="6" t="s">
        <v>16</v>
      </c>
      <c r="K65" s="6" t="s">
        <v>17</v>
      </c>
    </row>
    <row r="66" customFormat="false" ht="15" hidden="false" customHeight="false" outlineLevel="0" collapsed="false">
      <c r="A66" s="6" t="n">
        <v>62</v>
      </c>
      <c r="B66" s="6"/>
      <c r="C66" s="6" t="s">
        <v>18</v>
      </c>
      <c r="D66" s="6" t="s">
        <v>69</v>
      </c>
      <c r="E66" s="6" t="s">
        <v>70</v>
      </c>
      <c r="F66" s="7" t="n">
        <f aca="false">IFERROR(INDEX(FIYAT_KAYNAK!$F$3:$F$47,MATCH("ABB|1SDA067415R1",FIYAT_KAYNAK!$A$3:$A$47,0)),"")</f>
        <v>246.1</v>
      </c>
      <c r="G66" s="8" t="n">
        <f aca="false">IFERROR(INDEX(FIYAT_KAYNAK!$J$3:$J$47,MATCH("ABB|1SDA067415R1",FIYAT_KAYNAK!$A$3:$A$47,0)),"")</f>
        <v>53478.206775</v>
      </c>
      <c r="H66" s="8" t="n">
        <f aca="false">IF(OR(G66="",I66=""),"",G66*I66)</f>
        <v>53478.206775</v>
      </c>
      <c r="I66" s="9" t="n">
        <v>1</v>
      </c>
      <c r="J66" s="6" t="s">
        <v>16</v>
      </c>
      <c r="K66" s="6" t="s">
        <v>21</v>
      </c>
    </row>
    <row r="67" customFormat="false" ht="15" hidden="false" customHeight="false" outlineLevel="0" collapsed="false">
      <c r="A67" s="6" t="n">
        <v>63</v>
      </c>
      <c r="B67" s="6"/>
      <c r="C67" s="6" t="s">
        <v>27</v>
      </c>
      <c r="D67" s="6" t="s">
        <v>71</v>
      </c>
      <c r="E67" s="6" t="s">
        <v>72</v>
      </c>
      <c r="F67" s="7" t="n">
        <f aca="false">IFERROR(INDEX(FIYAT_KAYNAK!$F$3:$F$47,MATCH("ABB|2CDS251001R0065",FIYAT_KAYNAK!$A$3:$A$47,0)),"")</f>
        <v>11.74</v>
      </c>
      <c r="G67" s="8" t="n">
        <f aca="false">IFERROR(INDEX(FIYAT_KAYNAK!$J$3:$J$47,MATCH("ABB|2CDS251001R0065",FIYAT_KAYNAK!$A$3:$A$47,0)),"")</f>
        <v>2551.134285</v>
      </c>
      <c r="H67" s="8" t="n">
        <f aca="false">IF(OR(G67="",I67=""),"",G67*I67)</f>
        <v>2551.134285</v>
      </c>
      <c r="I67" s="9" t="n">
        <v>1</v>
      </c>
      <c r="J67" s="6" t="s">
        <v>16</v>
      </c>
      <c r="K67" s="6" t="s">
        <v>21</v>
      </c>
    </row>
    <row r="68" customFormat="false" ht="15" hidden="false" customHeight="false" outlineLevel="0" collapsed="false">
      <c r="A68" s="6" t="n">
        <v>64</v>
      </c>
      <c r="B68" s="6"/>
      <c r="C68" s="6" t="s">
        <v>27</v>
      </c>
      <c r="D68" s="6" t="s">
        <v>28</v>
      </c>
      <c r="E68" s="6" t="s">
        <v>73</v>
      </c>
      <c r="F68" s="7" t="n">
        <f aca="false">IFERROR(INDEX(FIYAT_KAYNAK!$F$3:$F$47,MATCH("ABB|2CDS273001R0634",FIYAT_KAYNAK!$A$3:$A$47,0)),"")</f>
        <v>107.1</v>
      </c>
      <c r="G68" s="8" t="n">
        <f aca="false">IFERROR(INDEX(FIYAT_KAYNAK!$J$3:$J$47,MATCH("ABB|2CDS273001R0634",FIYAT_KAYNAK!$A$3:$A$47,0)),"")</f>
        <v>23273.124525</v>
      </c>
      <c r="H68" s="8" t="n">
        <f aca="false">IF(OR(G68="",I68=""),"",G68*I68)</f>
        <v>93092.4981</v>
      </c>
      <c r="I68" s="9" t="n">
        <v>4</v>
      </c>
      <c r="J68" s="6" t="s">
        <v>16</v>
      </c>
      <c r="K68" s="6" t="s">
        <v>21</v>
      </c>
    </row>
    <row r="69" customFormat="false" ht="15" hidden="false" customHeight="false" outlineLevel="0" collapsed="false">
      <c r="A69" s="6" t="n">
        <v>65</v>
      </c>
      <c r="B69" s="6"/>
      <c r="C69" s="6" t="s">
        <v>27</v>
      </c>
      <c r="D69" s="6" t="s">
        <v>74</v>
      </c>
      <c r="E69" s="6" t="s">
        <v>75</v>
      </c>
      <c r="F69" s="7" t="n">
        <f aca="false">IFERROR(INDEX(FIYAT_KAYNAK!$F$3:$F$47,MATCH("ABB|2CDS273001R0324",FIYAT_KAYNAK!$A$3:$A$47,0)),"")</f>
        <v>78.75</v>
      </c>
      <c r="G69" s="8" t="n">
        <f aca="false">IFERROR(INDEX(FIYAT_KAYNAK!$J$3:$J$47,MATCH("ABB|2CDS273001R0324",FIYAT_KAYNAK!$A$3:$A$47,0)),"")</f>
        <v>17112.5915625</v>
      </c>
      <c r="H69" s="8" t="n">
        <f aca="false">IF(OR(G69="",I69=""),"",G69*I69)</f>
        <v>17112.5915625</v>
      </c>
      <c r="I69" s="9" t="n">
        <v>1</v>
      </c>
      <c r="J69" s="6" t="s">
        <v>16</v>
      </c>
      <c r="K69" s="6" t="s">
        <v>21</v>
      </c>
    </row>
    <row r="70" customFormat="false" ht="15" hidden="false" customHeight="false" outlineLevel="0" collapsed="false">
      <c r="A70" s="6" t="n">
        <v>66</v>
      </c>
      <c r="B70" s="6"/>
      <c r="C70" s="6" t="s">
        <v>27</v>
      </c>
      <c r="D70" s="6" t="s">
        <v>76</v>
      </c>
      <c r="E70" s="6" t="s">
        <v>77</v>
      </c>
      <c r="F70" s="7" t="n">
        <f aca="false">IFERROR(INDEX(FIYAT_KAYNAK!$F$3:$F$47,MATCH("ABB|2CDS271001R0164",FIYAT_KAYNAK!$A$3:$A$47,0)),"")</f>
        <v>13.99</v>
      </c>
      <c r="G70" s="8" t="n">
        <f aca="false">IFERROR(INDEX(FIYAT_KAYNAK!$J$3:$J$47,MATCH("ABB|2CDS271001R0164",FIYAT_KAYNAK!$A$3:$A$47,0)),"")</f>
        <v>3040.0654725</v>
      </c>
      <c r="H70" s="8" t="n">
        <f aca="false">IF(OR(G70="",I70=""),"",G70*I70)</f>
        <v>3040.0654725</v>
      </c>
      <c r="I70" s="9" t="n">
        <v>1</v>
      </c>
      <c r="J70" s="6" t="s">
        <v>16</v>
      </c>
      <c r="K70" s="6" t="s">
        <v>21</v>
      </c>
    </row>
    <row r="71" customFormat="false" ht="15" hidden="false" customHeight="false" outlineLevel="0" collapsed="false">
      <c r="A71" s="6" t="n">
        <v>67</v>
      </c>
      <c r="B71" s="6"/>
      <c r="C71" s="6" t="s">
        <v>78</v>
      </c>
      <c r="D71" s="6" t="s">
        <v>79</v>
      </c>
      <c r="E71" s="6" t="s">
        <v>80</v>
      </c>
      <c r="F71" s="7" t="n">
        <f aca="false">IFERROR(INDEX(FIYAT_KAYNAK!$F$3:$F$47,MATCH("ABB|1SAE351111R0640",FIYAT_KAYNAK!$A$3:$A$47,0)),"")</f>
        <v>183.3</v>
      </c>
      <c r="G71" s="8" t="n">
        <f aca="false">IFERROR(INDEX(FIYAT_KAYNAK!$J$3:$J$47,MATCH("ABB|1SAE351111R0640",FIYAT_KAYNAK!$A$3:$A$47,0)),"")</f>
        <v>39831.594075</v>
      </c>
      <c r="H71" s="8" t="n">
        <f aca="false">IF(OR(G71="",I71=""),"",G71*I71)</f>
        <v>159326.3763</v>
      </c>
      <c r="I71" s="9" t="n">
        <v>4</v>
      </c>
      <c r="J71" s="6" t="s">
        <v>16</v>
      </c>
      <c r="K71" s="6" t="s">
        <v>21</v>
      </c>
    </row>
    <row r="72" customFormat="false" ht="15" hidden="false" customHeight="false" outlineLevel="0" collapsed="false">
      <c r="A72" s="6" t="n">
        <v>68</v>
      </c>
      <c r="B72" s="6"/>
      <c r="C72" s="6" t="s">
        <v>81</v>
      </c>
      <c r="D72" s="6" t="s">
        <v>82</v>
      </c>
      <c r="E72" s="6" t="s">
        <v>83</v>
      </c>
      <c r="F72" s="7" t="n">
        <f aca="false">IFERROR(INDEX(FIYAT_KAYNAK!$F$3:$F$47,MATCH("ABB|2CSM208141R1000",FIYAT_KAYNAK!$A$3:$A$47,0)),"")</f>
        <v>144.4</v>
      </c>
      <c r="G72" s="8" t="n">
        <f aca="false">IFERROR(INDEX(FIYAT_KAYNAK!$J$3:$J$47,MATCH("ABB|2CSM208141R1000",FIYAT_KAYNAK!$A$3:$A$47,0)),"")</f>
        <v>31378.5171</v>
      </c>
      <c r="H72" s="8" t="n">
        <f aca="false">IF(OR(G72="",I72=""),"",G72*I72)</f>
        <v>31378.5171</v>
      </c>
      <c r="I72" s="9" t="n">
        <v>1</v>
      </c>
      <c r="J72" s="6" t="s">
        <v>16</v>
      </c>
      <c r="K72" s="6" t="s">
        <v>21</v>
      </c>
    </row>
    <row r="73" customFormat="false" ht="15" hidden="false" customHeight="false" outlineLevel="0" collapsed="false">
      <c r="A73" s="6" t="n">
        <v>69</v>
      </c>
      <c r="B73" s="6"/>
      <c r="C73" s="6" t="s">
        <v>81</v>
      </c>
      <c r="D73" s="6" t="s">
        <v>84</v>
      </c>
      <c r="E73" s="6" t="s">
        <v>85</v>
      </c>
      <c r="F73" s="7" t="n">
        <f aca="false">IFERROR(INDEX(FIYAT_KAYNAK!$F$3:$F$47,MATCH("ABB|1SVR405613R3000",FIYAT_KAYNAK!$A$3:$A$47,0)),"")</f>
        <v>12.83</v>
      </c>
      <c r="G73" s="8" t="n">
        <f aca="false">IFERROR(INDEX(FIYAT_KAYNAK!$J$3:$J$47,MATCH("ABB|1SVR405613R3000",FIYAT_KAYNAK!$A$3:$A$47,0)),"")</f>
        <v>2787.9942825</v>
      </c>
      <c r="H73" s="8" t="n">
        <f aca="false">IF(OR(G73="",I73=""),"",G73*I73)</f>
        <v>2787.9942825</v>
      </c>
      <c r="I73" s="9" t="n">
        <v>1</v>
      </c>
      <c r="J73" s="6" t="s">
        <v>16</v>
      </c>
      <c r="K73" s="6" t="s">
        <v>21</v>
      </c>
    </row>
    <row r="74" customFormat="false" ht="15" hidden="false" customHeight="false" outlineLevel="0" collapsed="false">
      <c r="A74" s="6" t="n">
        <v>70</v>
      </c>
      <c r="B74" s="6"/>
      <c r="C74" s="6" t="s">
        <v>86</v>
      </c>
      <c r="D74" s="6" t="s">
        <v>87</v>
      </c>
      <c r="E74" s="6" t="s">
        <v>88</v>
      </c>
      <c r="F74" s="7" t="n">
        <f aca="false">IFERROR(INDEX(FIYAT_KAYNAK!$F$3:$F$47,MATCH("ABB|1SVR405651R3000",FIYAT_KAYNAK!$A$3:$A$47,0)),"")</f>
        <v>8.5</v>
      </c>
      <c r="G74" s="8" t="n">
        <f aca="false">IFERROR(INDEX(FIYAT_KAYNAK!$J$3:$J$47,MATCH("ABB|1SVR405651R3000",FIYAT_KAYNAK!$A$3:$A$47,0)),"")</f>
        <v>1847.073375</v>
      </c>
      <c r="H74" s="8" t="n">
        <f aca="false">IF(OR(G74="",I74=""),"",G74*I74)</f>
        <v>1847.073375</v>
      </c>
      <c r="I74" s="9" t="n">
        <v>1</v>
      </c>
      <c r="J74" s="6" t="s">
        <v>16</v>
      </c>
      <c r="K74" s="6" t="s">
        <v>21</v>
      </c>
    </row>
    <row r="75" customFormat="false" ht="15" hidden="false" customHeight="false" outlineLevel="0" collapsed="false">
      <c r="A75" s="6" t="n">
        <v>71</v>
      </c>
      <c r="B75" s="6"/>
      <c r="C75" s="6" t="s">
        <v>89</v>
      </c>
      <c r="D75" s="6" t="s">
        <v>90</v>
      </c>
      <c r="E75" s="6" t="s">
        <v>91</v>
      </c>
      <c r="F75" s="7" t="n">
        <f aca="false">IFERROR(INDEX(FIYAT_KAYNAK!$F$3:$F$47,MATCH("ABB|1SFA619210R1026",FIYAT_KAYNAK!$A$3:$A$47,0)),"")</f>
        <v>13.13</v>
      </c>
      <c r="G75" s="8" t="n">
        <f aca="false">IFERROR(INDEX(FIYAT_KAYNAK!$J$3:$J$47,MATCH("ABB|1SFA619210R1026",FIYAT_KAYNAK!$A$3:$A$47,0)),"")</f>
        <v>2853.1851075</v>
      </c>
      <c r="H75" s="8" t="n">
        <f aca="false">IF(OR(G75="",I75=""),"",G75*I75)</f>
        <v>2853.1851075</v>
      </c>
      <c r="I75" s="9" t="n">
        <v>1</v>
      </c>
      <c r="J75" s="6" t="s">
        <v>16</v>
      </c>
      <c r="K75" s="6" t="s">
        <v>21</v>
      </c>
    </row>
    <row r="76" customFormat="false" ht="15" hidden="false" customHeight="false" outlineLevel="0" collapsed="false">
      <c r="A76" s="6" t="n">
        <v>72</v>
      </c>
      <c r="B76" s="6"/>
      <c r="C76" s="6" t="s">
        <v>92</v>
      </c>
      <c r="D76" s="6" t="s">
        <v>93</v>
      </c>
      <c r="E76" s="6" t="s">
        <v>94</v>
      </c>
      <c r="F76" s="7" t="n">
        <f aca="false">IFERROR(INDEX(FIYAT_KAYNAK!$F$3:$F$47,MATCH("ABB|1SFA619403R5232",FIYAT_KAYNAK!$A$3:$A$47,0)),"")</f>
        <v>9.62</v>
      </c>
      <c r="G76" s="8" t="n">
        <f aca="false">IFERROR(INDEX(FIYAT_KAYNAK!$J$3:$J$47,MATCH("ABB|1SFA619403R5232",FIYAT_KAYNAK!$A$3:$A$47,0)),"")</f>
        <v>2090.452455</v>
      </c>
      <c r="H76" s="8" t="n">
        <f aca="false">IF(OR(G76="",I76=""),"",G76*I76)</f>
        <v>2090.452455</v>
      </c>
      <c r="I76" s="9" t="n">
        <v>1</v>
      </c>
      <c r="J76" s="6" t="s">
        <v>16</v>
      </c>
      <c r="K76" s="6" t="s">
        <v>21</v>
      </c>
    </row>
    <row r="77" customFormat="false" ht="15" hidden="false" customHeight="false" outlineLevel="0" collapsed="false">
      <c r="A77" s="6" t="n">
        <v>73</v>
      </c>
      <c r="B77" s="6"/>
      <c r="C77" s="6" t="s">
        <v>38</v>
      </c>
      <c r="D77" s="6" t="s">
        <v>95</v>
      </c>
      <c r="E77" s="6" t="s">
        <v>96</v>
      </c>
      <c r="F77" s="7" t="n">
        <f aca="false">IFERROR(INDEX(FIYAT_KAYNAK!$F$3:$F$47,MATCH("CHINT|811002",FIYAT_KAYNAK!$A$3:$A$47,0)),"")</f>
        <v>12699</v>
      </c>
      <c r="G77" s="8" t="n">
        <f aca="false">IFERROR(INDEX(FIYAT_KAYNAK!$J$3:$J$47,MATCH("CHINT|811002",FIYAT_KAYNAK!$A$3:$A$47,0)),"")</f>
        <v>7619.4</v>
      </c>
      <c r="H77" s="8" t="n">
        <f aca="false">IF(OR(G77="",I77=""),"",G77*I77)</f>
        <v>7619.4</v>
      </c>
      <c r="I77" s="9" t="n">
        <v>1</v>
      </c>
      <c r="J77" s="6" t="s">
        <v>16</v>
      </c>
      <c r="K77" s="6" t="s">
        <v>48</v>
      </c>
    </row>
    <row r="78" customFormat="false" ht="15" hidden="false" customHeight="false" outlineLevel="0" collapsed="false">
      <c r="A78" s="6" t="n">
        <v>74</v>
      </c>
      <c r="B78" s="6"/>
      <c r="C78" s="6" t="s">
        <v>38</v>
      </c>
      <c r="D78" s="6" t="s">
        <v>97</v>
      </c>
      <c r="E78" s="6" t="s">
        <v>98</v>
      </c>
      <c r="F78" s="7" t="n">
        <f aca="false">IFERROR(INDEX(FIYAT_KAYNAK!$F$3:$F$47,MATCH("EKT|130200399_",FIYAT_KAYNAK!$A$3:$A$47,0)),"")</f>
        <v>2567</v>
      </c>
      <c r="G78" s="8" t="n">
        <f aca="false">IFERROR(INDEX(FIYAT_KAYNAK!$J$3:$J$47,MATCH("EKT|130200399_",FIYAT_KAYNAK!$A$3:$A$47,0)),"")</f>
        <v>2567</v>
      </c>
      <c r="H78" s="8" t="n">
        <f aca="false">IF(OR(G78="",I78=""),"",G78*I78)</f>
        <v>2567</v>
      </c>
      <c r="I78" s="9" t="n">
        <v>1</v>
      </c>
      <c r="J78" s="6" t="s">
        <v>16</v>
      </c>
      <c r="K78" s="6" t="s">
        <v>41</v>
      </c>
    </row>
    <row r="79" customFormat="false" ht="15" hidden="false" customHeight="false" outlineLevel="0" collapsed="false">
      <c r="A79" s="6" t="n">
        <v>75</v>
      </c>
      <c r="B79" s="6"/>
      <c r="C79" s="6" t="s">
        <v>38</v>
      </c>
      <c r="D79" s="6" t="s">
        <v>99</v>
      </c>
      <c r="E79" s="6" t="s">
        <v>127</v>
      </c>
      <c r="F79" s="7" t="n">
        <f aca="false">IFERROR(INDEX(FIYAT_KAYNAK!$F$3:$F$47,MATCH("EKT|130300473_",FIYAT_KAYNAK!$A$3:$A$47,0)),"")</f>
        <v>4204</v>
      </c>
      <c r="G79" s="8" t="n">
        <f aca="false">IFERROR(INDEX(FIYAT_KAYNAK!$J$3:$J$47,MATCH("EKT|130300473_",FIYAT_KAYNAK!$A$3:$A$47,0)),"")</f>
        <v>4204</v>
      </c>
      <c r="H79" s="8" t="n">
        <f aca="false">IF(OR(G79="",I79=""),"",G79*I79)</f>
        <v>4204</v>
      </c>
      <c r="I79" s="9" t="n">
        <v>1</v>
      </c>
      <c r="J79" s="6" t="s">
        <v>16</v>
      </c>
      <c r="K79" s="6" t="s">
        <v>41</v>
      </c>
    </row>
    <row r="80" customFormat="false" ht="15" hidden="false" customHeight="false" outlineLevel="0" collapsed="false">
      <c r="A80" s="6" t="n">
        <v>76</v>
      </c>
      <c r="B80" s="6"/>
      <c r="C80" s="6" t="s">
        <v>42</v>
      </c>
      <c r="D80" s="6" t="s">
        <v>101</v>
      </c>
      <c r="E80" s="6" t="s">
        <v>102</v>
      </c>
      <c r="F80" s="7" t="n">
        <f aca="false">IFERROR(INDEX(FIYAT_KAYNAK!$F$3:$F$47,MATCH("EKT|130301153_",FIYAT_KAYNAK!$A$3:$A$47,0)),"")</f>
        <v>90</v>
      </c>
      <c r="G80" s="8" t="n">
        <f aca="false">IFERROR(INDEX(FIYAT_KAYNAK!$J$3:$J$47,MATCH("EKT|130301153_",FIYAT_KAYNAK!$A$3:$A$47,0)),"")</f>
        <v>90</v>
      </c>
      <c r="H80" s="8" t="n">
        <f aca="false">IF(OR(G80="",I80=""),"",G80*I80)</f>
        <v>1800</v>
      </c>
      <c r="I80" s="9" t="n">
        <v>20</v>
      </c>
      <c r="J80" s="6" t="s">
        <v>16</v>
      </c>
      <c r="K80" s="6" t="s">
        <v>41</v>
      </c>
    </row>
    <row r="81" customFormat="false" ht="15" hidden="false" customHeight="false" outlineLevel="0" collapsed="false">
      <c r="A81" s="6" t="n">
        <v>77</v>
      </c>
      <c r="B81" s="6"/>
      <c r="C81" s="6" t="s">
        <v>42</v>
      </c>
      <c r="D81" s="6" t="s">
        <v>43</v>
      </c>
      <c r="E81" s="6" t="s">
        <v>103</v>
      </c>
      <c r="F81" s="7" t="n">
        <f aca="false">IFERROR(INDEX(FIYAT_KAYNAK!$F$3:$F$47,MATCH("EKT|130301155_",FIYAT_KAYNAK!$A$3:$A$47,0)),"")</f>
        <v>151</v>
      </c>
      <c r="G81" s="8" t="n">
        <f aca="false">IFERROR(INDEX(FIYAT_KAYNAK!$J$3:$J$47,MATCH("EKT|130301155_",FIYAT_KAYNAK!$A$3:$A$47,0)),"")</f>
        <v>151</v>
      </c>
      <c r="H81" s="8" t="n">
        <f aca="false">IF(OR(G81="",I81=""),"",G81*I81)</f>
        <v>1812</v>
      </c>
      <c r="I81" s="9" t="n">
        <v>12</v>
      </c>
      <c r="J81" s="6" t="s">
        <v>16</v>
      </c>
      <c r="K81" s="6" t="s">
        <v>41</v>
      </c>
    </row>
    <row r="82" customFormat="false" ht="15" hidden="false" customHeight="false" outlineLevel="0" collapsed="false">
      <c r="A82" s="6" t="n">
        <v>78</v>
      </c>
      <c r="B82" s="6"/>
      <c r="C82" s="6" t="s">
        <v>45</v>
      </c>
      <c r="D82" s="6" t="s">
        <v>46</v>
      </c>
      <c r="E82" s="6" t="s">
        <v>47</v>
      </c>
      <c r="F82" s="7" t="n">
        <f aca="false">IFERROR(INDEX(FIYAT_KAYNAK!$F$3:$F$47,MATCH("CHINT|570003",FIYAT_KAYNAK!$A$3:$A$47,0)),"")</f>
        <v>869</v>
      </c>
      <c r="G82" s="8" t="n">
        <f aca="false">IFERROR(INDEX(FIYAT_KAYNAK!$J$3:$J$47,MATCH("CHINT|570003",FIYAT_KAYNAK!$A$3:$A$47,0)),"")</f>
        <v>521.4</v>
      </c>
      <c r="H82" s="8" t="n">
        <f aca="false">IF(OR(G82="",I82=""),"",G82*I82)</f>
        <v>2607</v>
      </c>
      <c r="I82" s="9" t="n">
        <v>5</v>
      </c>
      <c r="J82" s="6" t="s">
        <v>16</v>
      </c>
      <c r="K82" s="6" t="s">
        <v>48</v>
      </c>
    </row>
    <row r="83" customFormat="false" ht="15" hidden="false" customHeight="false" outlineLevel="0" collapsed="false">
      <c r="A83" s="6" t="n">
        <v>79</v>
      </c>
      <c r="B83" s="6"/>
      <c r="C83" s="6" t="s">
        <v>45</v>
      </c>
      <c r="D83" s="6" t="s">
        <v>104</v>
      </c>
      <c r="E83" s="6" t="s">
        <v>105</v>
      </c>
      <c r="F83" s="7" t="n">
        <f aca="false">IFERROR(INDEX(FIYAT_KAYNAK!$F$3:$F$47,MATCH("EKT|270300079_",FIYAT_KAYNAK!$A$3:$A$47,0)),"")</f>
        <v>1094</v>
      </c>
      <c r="G83" s="8" t="n">
        <f aca="false">IFERROR(INDEX(FIYAT_KAYNAK!$J$3:$J$47,MATCH("EKT|270300079_",FIYAT_KAYNAK!$A$3:$A$47,0)),"")</f>
        <v>1094</v>
      </c>
      <c r="H83" s="8" t="n">
        <f aca="false">IF(OR(G83="",I83=""),"",G83*I83)</f>
        <v>5470</v>
      </c>
      <c r="I83" s="9" t="n">
        <v>5</v>
      </c>
      <c r="J83" s="6" t="s">
        <v>16</v>
      </c>
      <c r="K83" s="6" t="s">
        <v>41</v>
      </c>
    </row>
    <row r="84" customFormat="false" ht="15" hidden="false" customHeight="false" outlineLevel="0" collapsed="false">
      <c r="A84" s="6" t="n">
        <v>80</v>
      </c>
      <c r="B84" s="6"/>
      <c r="C84" s="6" t="s">
        <v>45</v>
      </c>
      <c r="D84" s="6"/>
      <c r="E84" s="6" t="s">
        <v>51</v>
      </c>
      <c r="F84" s="6"/>
      <c r="G84" s="8" t="n">
        <f aca="false">SUM(H65:H83)*Kurallar!$B$13</f>
        <v>12785.32484445</v>
      </c>
      <c r="H84" s="8" t="n">
        <f aca="false">G84*I84</f>
        <v>12785.32484445</v>
      </c>
      <c r="I84" s="8" t="n">
        <v>1</v>
      </c>
      <c r="J84" s="6" t="s">
        <v>52</v>
      </c>
      <c r="K84" s="6" t="s">
        <v>53</v>
      </c>
    </row>
    <row r="85" customFormat="false" ht="15" hidden="false" customHeight="false" outlineLevel="0" collapsed="false">
      <c r="A85" s="6" t="n">
        <v>81</v>
      </c>
      <c r="B85" s="6"/>
      <c r="C85" s="6" t="s">
        <v>54</v>
      </c>
      <c r="D85" s="6"/>
      <c r="E85" s="6" t="s">
        <v>55</v>
      </c>
      <c r="F85" s="10" t="n">
        <f aca="false">I85/60</f>
        <v>5.48166666666667</v>
      </c>
      <c r="G85" s="8" t="n">
        <f aca="false">Kurallar!$B$11</f>
        <v>100</v>
      </c>
      <c r="H85" s="8" t="n">
        <f aca="false">G85*I85</f>
        <v>32890</v>
      </c>
      <c r="I85" s="8" t="n">
        <f aca="false">Kurallar!$J$39</f>
        <v>328.9</v>
      </c>
      <c r="J85" s="6" t="s">
        <v>56</v>
      </c>
      <c r="K85" s="6" t="s">
        <v>57</v>
      </c>
    </row>
    <row r="86" customFormat="false" ht="15" hidden="false" customHeight="false" outlineLevel="0" collapsed="false">
      <c r="A86" s="2"/>
      <c r="B86" s="5" t="s">
        <v>128</v>
      </c>
      <c r="C86" s="4"/>
      <c r="D86" s="4"/>
      <c r="E86" s="4"/>
      <c r="F86" s="4"/>
      <c r="G86" s="4"/>
      <c r="H86" s="11" t="n">
        <f aca="false">SUBTOTAL(9,H65:H85)</f>
        <v>471852.81965945</v>
      </c>
      <c r="I86" s="5" t="n">
        <v>1</v>
      </c>
      <c r="J86" s="5" t="s">
        <v>52</v>
      </c>
      <c r="K86" s="4"/>
    </row>
    <row r="87" customFormat="false" ht="15" hidden="false" customHeight="false" outlineLevel="0" collapsed="false">
      <c r="A87" s="12" t="n">
        <v>82</v>
      </c>
      <c r="B87" s="12"/>
      <c r="C87" s="12" t="s">
        <v>89</v>
      </c>
      <c r="D87" s="12"/>
      <c r="E87" s="12" t="s">
        <v>107</v>
      </c>
      <c r="F87" s="12"/>
      <c r="G87" s="12"/>
      <c r="H87" s="12"/>
      <c r="I87" s="13" t="n">
        <v>1</v>
      </c>
      <c r="J87" s="12" t="s">
        <v>16</v>
      </c>
      <c r="K87" s="12"/>
    </row>
    <row r="88" customFormat="false" ht="15" hidden="false" customHeight="false" outlineLevel="0" collapsed="false">
      <c r="A88" s="2" t="n">
        <v>83</v>
      </c>
      <c r="B88" s="3" t="str">
        <f aca="false">E88</f>
        <v>SUB 19 AFL LV DB (VIP)</v>
      </c>
      <c r="C88" s="4"/>
      <c r="D88" s="4"/>
      <c r="E88" s="5" t="s">
        <v>129</v>
      </c>
      <c r="F88" s="4"/>
      <c r="G88" s="4"/>
      <c r="H88" s="4"/>
      <c r="I88" s="5" t="n">
        <v>1</v>
      </c>
      <c r="J88" s="5" t="s">
        <v>12</v>
      </c>
      <c r="K88" s="4"/>
    </row>
    <row r="89" customFormat="false" ht="15" hidden="false" customHeight="false" outlineLevel="0" collapsed="false">
      <c r="A89" s="6" t="n">
        <v>84</v>
      </c>
      <c r="B89" s="6"/>
      <c r="C89" s="6" t="s">
        <v>13</v>
      </c>
      <c r="D89" s="6" t="s">
        <v>67</v>
      </c>
      <c r="E89" s="6" t="s">
        <v>68</v>
      </c>
      <c r="F89" s="7" t="n">
        <f aca="false">IFERROR(INDEX(FIYAT_KAYNAK!$F$3:$F$47,MATCH("KAZTEK|719-15420",FIYAT_KAYNAK!$A$3:$A$47,0)),"")</f>
        <v>30540</v>
      </c>
      <c r="G89" s="8" t="n">
        <f aca="false">IFERROR(INDEX(FIYAT_KAYNAK!$J$3:$J$47,MATCH("KAZTEK|719-15420",FIYAT_KAYNAK!$A$3:$A$47,0)),"")</f>
        <v>30540</v>
      </c>
      <c r="H89" s="8" t="n">
        <f aca="false">IF(OR(G89="",I89=""),"",G89*I89)</f>
        <v>30540</v>
      </c>
      <c r="I89" s="9" t="n">
        <v>1</v>
      </c>
      <c r="J89" s="6" t="s">
        <v>16</v>
      </c>
      <c r="K89" s="6" t="s">
        <v>17</v>
      </c>
    </row>
    <row r="90" customFormat="false" ht="15" hidden="false" customHeight="false" outlineLevel="0" collapsed="false">
      <c r="A90" s="6" t="n">
        <v>85</v>
      </c>
      <c r="B90" s="6"/>
      <c r="C90" s="6" t="s">
        <v>18</v>
      </c>
      <c r="D90" s="6" t="s">
        <v>30</v>
      </c>
      <c r="E90" s="6" t="s">
        <v>130</v>
      </c>
      <c r="F90" s="7" t="n">
        <f aca="false">IFERROR(INDEX(FIYAT_KAYNAK!$F$3:$F$47,MATCH("ABB|1SDA067416R1",FIYAT_KAYNAK!$A$3:$A$47,0)),"")</f>
        <v>246.1</v>
      </c>
      <c r="G90" s="8" t="n">
        <f aca="false">IFERROR(INDEX(FIYAT_KAYNAK!$J$3:$J$47,MATCH("ABB|1SDA067416R1",FIYAT_KAYNAK!$A$3:$A$47,0)),"")</f>
        <v>53478.206775</v>
      </c>
      <c r="H90" s="8" t="n">
        <f aca="false">IF(OR(G90="",I90=""),"",G90*I90)</f>
        <v>53478.206775</v>
      </c>
      <c r="I90" s="9" t="n">
        <v>1</v>
      </c>
      <c r="J90" s="6" t="s">
        <v>16</v>
      </c>
      <c r="K90" s="6" t="s">
        <v>21</v>
      </c>
    </row>
    <row r="91" customFormat="false" ht="15" hidden="false" customHeight="false" outlineLevel="0" collapsed="false">
      <c r="A91" s="6" t="n">
        <v>86</v>
      </c>
      <c r="B91" s="6"/>
      <c r="C91" s="6" t="s">
        <v>59</v>
      </c>
      <c r="D91" s="6" t="s">
        <v>131</v>
      </c>
      <c r="E91" s="6" t="s">
        <v>132</v>
      </c>
      <c r="F91" s="7" t="n">
        <f aca="false">IFERROR(INDEX(FIYAT_KAYNAK!$F$3:$F$47,MATCH("ABB|2CTB803973R1100",FIYAT_KAYNAK!$A$3:$A$47,0)),"")</f>
        <v>361.2</v>
      </c>
      <c r="G91" s="8" t="n">
        <f aca="false">IFERROR(INDEX(FIYAT_KAYNAK!$J$3:$J$47,MATCH("ABB|2CTB803973R1100",FIYAT_KAYNAK!$A$3:$A$47,0)),"")</f>
        <v>78489.7533</v>
      </c>
      <c r="H91" s="8" t="n">
        <f aca="false">IF(OR(G91="",I91=""),"",G91*I91)</f>
        <v>78489.7533</v>
      </c>
      <c r="I91" s="9" t="n">
        <v>1</v>
      </c>
      <c r="J91" s="6" t="s">
        <v>16</v>
      </c>
      <c r="K91" s="6" t="s">
        <v>21</v>
      </c>
    </row>
    <row r="92" customFormat="false" ht="15" hidden="false" customHeight="false" outlineLevel="0" collapsed="false">
      <c r="A92" s="6" t="n">
        <v>87</v>
      </c>
      <c r="B92" s="6"/>
      <c r="C92" s="6" t="s">
        <v>27</v>
      </c>
      <c r="D92" s="6" t="s">
        <v>74</v>
      </c>
      <c r="E92" s="6" t="s">
        <v>133</v>
      </c>
      <c r="F92" s="7" t="n">
        <f aca="false">IFERROR(INDEX(FIYAT_KAYNAK!$F$3:$F$47,MATCH("ABB|2CDS273001R0324",FIYAT_KAYNAK!$A$3:$A$47,0)),"")</f>
        <v>78.75</v>
      </c>
      <c r="G92" s="8" t="n">
        <f aca="false">IFERROR(INDEX(FIYAT_KAYNAK!$J$3:$J$47,MATCH("ABB|2CDS273001R0324",FIYAT_KAYNAK!$A$3:$A$47,0)),"")</f>
        <v>17112.5915625</v>
      </c>
      <c r="H92" s="8" t="n">
        <f aca="false">IF(OR(G92="",I92=""),"",G92*I92)</f>
        <v>51337.7746875</v>
      </c>
      <c r="I92" s="9" t="n">
        <v>3</v>
      </c>
      <c r="J92" s="6" t="s">
        <v>16</v>
      </c>
      <c r="K92" s="6" t="s">
        <v>21</v>
      </c>
    </row>
    <row r="93" customFormat="false" ht="15" hidden="false" customHeight="false" outlineLevel="0" collapsed="false">
      <c r="A93" s="6" t="n">
        <v>88</v>
      </c>
      <c r="B93" s="6"/>
      <c r="C93" s="6" t="s">
        <v>38</v>
      </c>
      <c r="D93" s="6" t="s">
        <v>97</v>
      </c>
      <c r="E93" s="6" t="s">
        <v>98</v>
      </c>
      <c r="F93" s="7" t="n">
        <f aca="false">IFERROR(INDEX(FIYAT_KAYNAK!$F$3:$F$47,MATCH("EKT|130200399_",FIYAT_KAYNAK!$A$3:$A$47,0)),"")</f>
        <v>2567</v>
      </c>
      <c r="G93" s="8" t="n">
        <f aca="false">IFERROR(INDEX(FIYAT_KAYNAK!$J$3:$J$47,MATCH("EKT|130200399_",FIYAT_KAYNAK!$A$3:$A$47,0)),"")</f>
        <v>2567</v>
      </c>
      <c r="H93" s="8" t="n">
        <f aca="false">IF(OR(G93="",I93=""),"",G93*I93)</f>
        <v>2567</v>
      </c>
      <c r="I93" s="9" t="n">
        <v>1</v>
      </c>
      <c r="J93" s="6" t="s">
        <v>16</v>
      </c>
      <c r="K93" s="6" t="s">
        <v>41</v>
      </c>
    </row>
    <row r="94" customFormat="false" ht="15" hidden="false" customHeight="false" outlineLevel="0" collapsed="false">
      <c r="A94" s="6" t="n">
        <v>89</v>
      </c>
      <c r="B94" s="6"/>
      <c r="C94" s="6" t="s">
        <v>42</v>
      </c>
      <c r="D94" s="6" t="s">
        <v>134</v>
      </c>
      <c r="E94" s="6" t="s">
        <v>135</v>
      </c>
      <c r="F94" s="7" t="n">
        <f aca="false">IFERROR(INDEX(FIYAT_KAYNAK!$F$3:$F$47,MATCH("EKT|130301157_",FIYAT_KAYNAK!$A$3:$A$47,0)),"")</f>
        <v>235</v>
      </c>
      <c r="G94" s="8" t="n">
        <f aca="false">IFERROR(INDEX(FIYAT_KAYNAK!$J$3:$J$47,MATCH("EKT|130301157_",FIYAT_KAYNAK!$A$3:$A$47,0)),"")</f>
        <v>235</v>
      </c>
      <c r="H94" s="8" t="n">
        <f aca="false">IF(OR(G94="",I94=""),"",G94*I94)</f>
        <v>3760</v>
      </c>
      <c r="I94" s="9" t="n">
        <v>16</v>
      </c>
      <c r="J94" s="6" t="s">
        <v>16</v>
      </c>
      <c r="K94" s="6" t="s">
        <v>41</v>
      </c>
    </row>
    <row r="95" customFormat="false" ht="15" hidden="false" customHeight="false" outlineLevel="0" collapsed="false">
      <c r="A95" s="6" t="n">
        <v>90</v>
      </c>
      <c r="B95" s="6"/>
      <c r="C95" s="6" t="s">
        <v>45</v>
      </c>
      <c r="D95" s="6" t="s">
        <v>46</v>
      </c>
      <c r="E95" s="6" t="s">
        <v>47</v>
      </c>
      <c r="F95" s="7" t="n">
        <f aca="false">IFERROR(INDEX(FIYAT_KAYNAK!$F$3:$F$47,MATCH("CHINT|570003",FIYAT_KAYNAK!$A$3:$A$47,0)),"")</f>
        <v>869</v>
      </c>
      <c r="G95" s="8" t="n">
        <f aca="false">IFERROR(INDEX(FIYAT_KAYNAK!$J$3:$J$47,MATCH("CHINT|570003",FIYAT_KAYNAK!$A$3:$A$47,0)),"")</f>
        <v>521.4</v>
      </c>
      <c r="H95" s="8" t="n">
        <f aca="false">IF(OR(G95="",I95=""),"",G95*I95)</f>
        <v>1564.2</v>
      </c>
      <c r="I95" s="9" t="n">
        <v>3</v>
      </c>
      <c r="J95" s="6" t="s">
        <v>16</v>
      </c>
      <c r="K95" s="6" t="s">
        <v>48</v>
      </c>
    </row>
    <row r="96" customFormat="false" ht="15" hidden="false" customHeight="false" outlineLevel="0" collapsed="false">
      <c r="A96" s="6" t="n">
        <v>91</v>
      </c>
      <c r="B96" s="6"/>
      <c r="C96" s="6" t="s">
        <v>45</v>
      </c>
      <c r="D96" s="6" t="s">
        <v>104</v>
      </c>
      <c r="E96" s="6" t="s">
        <v>105</v>
      </c>
      <c r="F96" s="7" t="n">
        <f aca="false">IFERROR(INDEX(FIYAT_KAYNAK!$F$3:$F$47,MATCH("EKT|270300079_",FIYAT_KAYNAK!$A$3:$A$47,0)),"")</f>
        <v>1094</v>
      </c>
      <c r="G96" s="8" t="n">
        <f aca="false">IFERROR(INDEX(FIYAT_KAYNAK!$J$3:$J$47,MATCH("EKT|270300079_",FIYAT_KAYNAK!$A$3:$A$47,0)),"")</f>
        <v>1094</v>
      </c>
      <c r="H96" s="8" t="n">
        <f aca="false">IF(OR(G96="",I96=""),"",G96*I96)</f>
        <v>3282</v>
      </c>
      <c r="I96" s="9" t="n">
        <v>3</v>
      </c>
      <c r="J96" s="6" t="s">
        <v>16</v>
      </c>
      <c r="K96" s="6" t="s">
        <v>41</v>
      </c>
    </row>
    <row r="97" customFormat="false" ht="15" hidden="false" customHeight="false" outlineLevel="0" collapsed="false">
      <c r="A97" s="6" t="n">
        <v>92</v>
      </c>
      <c r="B97" s="6"/>
      <c r="C97" s="6" t="s">
        <v>45</v>
      </c>
      <c r="D97" s="6"/>
      <c r="E97" s="6" t="s">
        <v>51</v>
      </c>
      <c r="F97" s="6"/>
      <c r="G97" s="8" t="n">
        <f aca="false">SUM(H89:H96)*Kurallar!$B$13</f>
        <v>6750.568042875</v>
      </c>
      <c r="H97" s="8" t="n">
        <f aca="false">G97*I97</f>
        <v>6750.568042875</v>
      </c>
      <c r="I97" s="8" t="n">
        <v>1</v>
      </c>
      <c r="J97" s="6" t="s">
        <v>52</v>
      </c>
      <c r="K97" s="6" t="s">
        <v>53</v>
      </c>
    </row>
    <row r="98" customFormat="false" ht="15" hidden="false" customHeight="false" outlineLevel="0" collapsed="false">
      <c r="A98" s="6" t="n">
        <v>93</v>
      </c>
      <c r="B98" s="6"/>
      <c r="C98" s="6" t="s">
        <v>54</v>
      </c>
      <c r="D98" s="6"/>
      <c r="E98" s="6" t="s">
        <v>55</v>
      </c>
      <c r="F98" s="10" t="n">
        <f aca="false">I98/60</f>
        <v>2.97083333333333</v>
      </c>
      <c r="G98" s="8" t="n">
        <f aca="false">Kurallar!$B$11</f>
        <v>100</v>
      </c>
      <c r="H98" s="8" t="n">
        <f aca="false">G98*I98</f>
        <v>17825</v>
      </c>
      <c r="I98" s="8" t="n">
        <f aca="false">Kurallar!$L$39</f>
        <v>178.25</v>
      </c>
      <c r="J98" s="6" t="s">
        <v>56</v>
      </c>
      <c r="K98" s="6" t="s">
        <v>57</v>
      </c>
    </row>
    <row r="99" customFormat="false" ht="15" hidden="false" customHeight="false" outlineLevel="0" collapsed="false">
      <c r="A99" s="2"/>
      <c r="B99" s="5" t="s">
        <v>136</v>
      </c>
      <c r="C99" s="4"/>
      <c r="D99" s="4"/>
      <c r="E99" s="4"/>
      <c r="F99" s="4"/>
      <c r="G99" s="4"/>
      <c r="H99" s="11" t="n">
        <f aca="false">SUBTOTAL(9,H89:H98)</f>
        <v>249594.502805375</v>
      </c>
      <c r="I99" s="5" t="n">
        <v>1</v>
      </c>
      <c r="J99" s="5" t="s">
        <v>52</v>
      </c>
      <c r="K99" s="4"/>
    </row>
    <row r="100" customFormat="false" ht="15" hidden="false" customHeight="false" outlineLevel="0" collapsed="false">
      <c r="A100" s="2" t="n">
        <v>94</v>
      </c>
      <c r="B100" s="3" t="str">
        <f aca="false">E100</f>
        <v>ЩО PB-V1 (VIP)</v>
      </c>
      <c r="C100" s="4"/>
      <c r="D100" s="4"/>
      <c r="E100" s="5" t="s">
        <v>137</v>
      </c>
      <c r="F100" s="4"/>
      <c r="G100" s="4"/>
      <c r="H100" s="4"/>
      <c r="I100" s="5" t="n">
        <v>1</v>
      </c>
      <c r="J100" s="5" t="s">
        <v>12</v>
      </c>
      <c r="K100" s="4"/>
    </row>
    <row r="101" customFormat="false" ht="15" hidden="false" customHeight="false" outlineLevel="0" collapsed="false">
      <c r="A101" s="6" t="n">
        <v>95</v>
      </c>
      <c r="B101" s="6"/>
      <c r="C101" s="6" t="s">
        <v>13</v>
      </c>
      <c r="D101" s="6" t="s">
        <v>138</v>
      </c>
      <c r="E101" s="6" t="s">
        <v>139</v>
      </c>
      <c r="F101" s="7" t="n">
        <f aca="false">IFERROR(INDEX(FIYAT_KAYNAK!$F$3:$F$47,MATCH("KAZTEK|719-15425",FIYAT_KAYNAK!$A$3:$A$47,0)),"")</f>
        <v>17365</v>
      </c>
      <c r="G101" s="8" t="n">
        <f aca="false">IFERROR(INDEX(FIYAT_KAYNAK!$J$3:$J$47,MATCH("KAZTEK|719-15425",FIYAT_KAYNAK!$A$3:$A$47,0)),"")</f>
        <v>17365</v>
      </c>
      <c r="H101" s="8" t="n">
        <f aca="false">IF(OR(G101="",I101=""),"",G101*I101)</f>
        <v>17365</v>
      </c>
      <c r="I101" s="9" t="n">
        <v>1</v>
      </c>
      <c r="J101" s="6" t="s">
        <v>16</v>
      </c>
      <c r="K101" s="6" t="s">
        <v>17</v>
      </c>
    </row>
    <row r="102" customFormat="false" ht="15" hidden="false" customHeight="false" outlineLevel="0" collapsed="false">
      <c r="A102" s="6" t="n">
        <v>96</v>
      </c>
      <c r="B102" s="6"/>
      <c r="C102" s="6" t="s">
        <v>27</v>
      </c>
      <c r="D102" s="6" t="s">
        <v>140</v>
      </c>
      <c r="E102" s="6" t="s">
        <v>141</v>
      </c>
      <c r="F102" s="7" t="n">
        <f aca="false">IFERROR(INDEX(FIYAT_KAYNAK!$F$3:$F$47,MATCH("ABB|2CDS273001R0504",FIYAT_KAYNAK!$A$3:$A$47,0)),"")</f>
        <v>94.51</v>
      </c>
      <c r="G102" s="8" t="n">
        <f aca="false">IFERROR(INDEX(FIYAT_KAYNAK!$J$3:$J$47,MATCH("ABB|2CDS273001R0504",FIYAT_KAYNAK!$A$3:$A$47,0)),"")</f>
        <v>20537.2829025</v>
      </c>
      <c r="H102" s="8" t="n">
        <f aca="false">IF(OR(G102="",I102=""),"",G102*I102)</f>
        <v>20537.2829025</v>
      </c>
      <c r="I102" s="9" t="n">
        <v>1</v>
      </c>
      <c r="J102" s="6" t="s">
        <v>16</v>
      </c>
      <c r="K102" s="6" t="s">
        <v>21</v>
      </c>
    </row>
    <row r="103" customFormat="false" ht="15" hidden="false" customHeight="false" outlineLevel="0" collapsed="false">
      <c r="A103" s="6" t="n">
        <v>97</v>
      </c>
      <c r="B103" s="6"/>
      <c r="C103" s="6" t="s">
        <v>59</v>
      </c>
      <c r="D103" s="6" t="s">
        <v>131</v>
      </c>
      <c r="E103" s="6" t="s">
        <v>132</v>
      </c>
      <c r="F103" s="7" t="n">
        <f aca="false">IFERROR(INDEX(FIYAT_KAYNAK!$F$3:$F$47,MATCH("ABB|2CTB803973R1100",FIYAT_KAYNAK!$A$3:$A$47,0)),"")</f>
        <v>361.2</v>
      </c>
      <c r="G103" s="8" t="n">
        <f aca="false">IFERROR(INDEX(FIYAT_KAYNAK!$J$3:$J$47,MATCH("ABB|2CTB803973R1100",FIYAT_KAYNAK!$A$3:$A$47,0)),"")</f>
        <v>78489.7533</v>
      </c>
      <c r="H103" s="8" t="n">
        <f aca="false">IF(OR(G103="",I103=""),"",G103*I103)</f>
        <v>78489.7533</v>
      </c>
      <c r="I103" s="9" t="n">
        <v>1</v>
      </c>
      <c r="J103" s="6" t="s">
        <v>16</v>
      </c>
      <c r="K103" s="6" t="s">
        <v>21</v>
      </c>
    </row>
    <row r="104" customFormat="false" ht="15" hidden="false" customHeight="false" outlineLevel="0" collapsed="false">
      <c r="A104" s="6" t="n">
        <v>98</v>
      </c>
      <c r="B104" s="6"/>
      <c r="C104" s="6" t="s">
        <v>27</v>
      </c>
      <c r="D104" s="6" t="s">
        <v>74</v>
      </c>
      <c r="E104" s="6" t="s">
        <v>142</v>
      </c>
      <c r="F104" s="7" t="n">
        <f aca="false">IFERROR(INDEX(FIYAT_KAYNAK!$F$3:$F$47,MATCH("ABB|2CDS273001R0324",FIYAT_KAYNAK!$A$3:$A$47,0)),"")</f>
        <v>78.75</v>
      </c>
      <c r="G104" s="8" t="n">
        <f aca="false">IFERROR(INDEX(FIYAT_KAYNAK!$J$3:$J$47,MATCH("ABB|2CDS273001R0324",FIYAT_KAYNAK!$A$3:$A$47,0)),"")</f>
        <v>17112.5915625</v>
      </c>
      <c r="H104" s="8" t="n">
        <f aca="false">IF(OR(G104="",I104=""),"",G104*I104)</f>
        <v>68450.36625</v>
      </c>
      <c r="I104" s="9" t="n">
        <v>4</v>
      </c>
      <c r="J104" s="6" t="s">
        <v>16</v>
      </c>
      <c r="K104" s="6" t="s">
        <v>21</v>
      </c>
    </row>
    <row r="105" customFormat="false" ht="15" hidden="false" customHeight="false" outlineLevel="0" collapsed="false">
      <c r="A105" s="6" t="n">
        <v>99</v>
      </c>
      <c r="B105" s="6"/>
      <c r="C105" s="6" t="s">
        <v>38</v>
      </c>
      <c r="D105" s="6" t="s">
        <v>97</v>
      </c>
      <c r="E105" s="6" t="s">
        <v>98</v>
      </c>
      <c r="F105" s="7" t="n">
        <f aca="false">IFERROR(INDEX(FIYAT_KAYNAK!$F$3:$F$47,MATCH("EKT|130200399_",FIYAT_KAYNAK!$A$3:$A$47,0)),"")</f>
        <v>2567</v>
      </c>
      <c r="G105" s="8" t="n">
        <f aca="false">IFERROR(INDEX(FIYAT_KAYNAK!$J$3:$J$47,MATCH("EKT|130200399_",FIYAT_KAYNAK!$A$3:$A$47,0)),"")</f>
        <v>2567</v>
      </c>
      <c r="H105" s="8" t="n">
        <f aca="false">IF(OR(G105="",I105=""),"",G105*I105)</f>
        <v>2567</v>
      </c>
      <c r="I105" s="9" t="n">
        <v>1</v>
      </c>
      <c r="J105" s="6" t="s">
        <v>16</v>
      </c>
      <c r="K105" s="6" t="s">
        <v>41</v>
      </c>
    </row>
    <row r="106" customFormat="false" ht="15" hidden="false" customHeight="false" outlineLevel="0" collapsed="false">
      <c r="A106" s="6" t="n">
        <v>100</v>
      </c>
      <c r="B106" s="6"/>
      <c r="C106" s="6" t="s">
        <v>42</v>
      </c>
      <c r="D106" s="6" t="s">
        <v>43</v>
      </c>
      <c r="E106" s="6" t="s">
        <v>44</v>
      </c>
      <c r="F106" s="7" t="n">
        <f aca="false">IFERROR(INDEX(FIYAT_KAYNAK!$F$3:$F$47,MATCH("EKT|130301155_",FIYAT_KAYNAK!$A$3:$A$47,0)),"")</f>
        <v>151</v>
      </c>
      <c r="G106" s="8" t="n">
        <f aca="false">IFERROR(INDEX(FIYAT_KAYNAK!$J$3:$J$47,MATCH("EKT|130301155_",FIYAT_KAYNAK!$A$3:$A$47,0)),"")</f>
        <v>151</v>
      </c>
      <c r="H106" s="8" t="n">
        <f aca="false">IF(OR(G106="",I106=""),"",G106*I106)</f>
        <v>3020</v>
      </c>
      <c r="I106" s="9" t="n">
        <v>20</v>
      </c>
      <c r="J106" s="6" t="s">
        <v>16</v>
      </c>
      <c r="K106" s="6" t="s">
        <v>41</v>
      </c>
    </row>
    <row r="107" customFormat="false" ht="15" hidden="false" customHeight="false" outlineLevel="0" collapsed="false">
      <c r="A107" s="6" t="n">
        <v>101</v>
      </c>
      <c r="B107" s="6"/>
      <c r="C107" s="6" t="s">
        <v>45</v>
      </c>
      <c r="D107" s="6" t="s">
        <v>46</v>
      </c>
      <c r="E107" s="6" t="s">
        <v>47</v>
      </c>
      <c r="F107" s="7" t="n">
        <f aca="false">IFERROR(INDEX(FIYAT_KAYNAK!$F$3:$F$47,MATCH("CHINT|570003",FIYAT_KAYNAK!$A$3:$A$47,0)),"")</f>
        <v>869</v>
      </c>
      <c r="G107" s="8" t="n">
        <f aca="false">IFERROR(INDEX(FIYAT_KAYNAK!$J$3:$J$47,MATCH("CHINT|570003",FIYAT_KAYNAK!$A$3:$A$47,0)),"")</f>
        <v>521.4</v>
      </c>
      <c r="H107" s="8" t="n">
        <f aca="false">IF(OR(G107="",I107=""),"",G107*I107)</f>
        <v>1564.2</v>
      </c>
      <c r="I107" s="9" t="n">
        <v>3</v>
      </c>
      <c r="J107" s="6" t="s">
        <v>16</v>
      </c>
      <c r="K107" s="6" t="s">
        <v>48</v>
      </c>
    </row>
    <row r="108" customFormat="false" ht="15" hidden="false" customHeight="false" outlineLevel="0" collapsed="false">
      <c r="A108" s="6" t="n">
        <v>102</v>
      </c>
      <c r="B108" s="6"/>
      <c r="C108" s="6" t="s">
        <v>45</v>
      </c>
      <c r="D108" s="6" t="s">
        <v>104</v>
      </c>
      <c r="E108" s="6" t="s">
        <v>105</v>
      </c>
      <c r="F108" s="7" t="n">
        <f aca="false">IFERROR(INDEX(FIYAT_KAYNAK!$F$3:$F$47,MATCH("EKT|270300079_",FIYAT_KAYNAK!$A$3:$A$47,0)),"")</f>
        <v>1094</v>
      </c>
      <c r="G108" s="8" t="n">
        <f aca="false">IFERROR(INDEX(FIYAT_KAYNAK!$J$3:$J$47,MATCH("EKT|270300079_",FIYAT_KAYNAK!$A$3:$A$47,0)),"")</f>
        <v>1094</v>
      </c>
      <c r="H108" s="8" t="n">
        <f aca="false">IF(OR(G108="",I108=""),"",G108*I108)</f>
        <v>3282</v>
      </c>
      <c r="I108" s="9" t="n">
        <v>3</v>
      </c>
      <c r="J108" s="6" t="s">
        <v>16</v>
      </c>
      <c r="K108" s="6" t="s">
        <v>41</v>
      </c>
    </row>
    <row r="109" customFormat="false" ht="15" hidden="false" customHeight="false" outlineLevel="0" collapsed="false">
      <c r="A109" s="6" t="n">
        <v>103</v>
      </c>
      <c r="B109" s="6"/>
      <c r="C109" s="6" t="s">
        <v>45</v>
      </c>
      <c r="D109" s="6"/>
      <c r="E109" s="6" t="s">
        <v>51</v>
      </c>
      <c r="F109" s="6"/>
      <c r="G109" s="8" t="n">
        <f aca="false">SUM(H101:H108)*Kurallar!$B$13</f>
        <v>5858.268073575</v>
      </c>
      <c r="H109" s="8" t="n">
        <f aca="false">G109*I109</f>
        <v>5858.268073575</v>
      </c>
      <c r="I109" s="8" t="n">
        <v>1</v>
      </c>
      <c r="J109" s="6" t="s">
        <v>52</v>
      </c>
      <c r="K109" s="6" t="s">
        <v>53</v>
      </c>
    </row>
    <row r="110" customFormat="false" ht="15" hidden="false" customHeight="false" outlineLevel="0" collapsed="false">
      <c r="A110" s="6" t="n">
        <v>104</v>
      </c>
      <c r="B110" s="6"/>
      <c r="C110" s="6" t="s">
        <v>54</v>
      </c>
      <c r="D110" s="6"/>
      <c r="E110" s="6" t="s">
        <v>55</v>
      </c>
      <c r="F110" s="10" t="n">
        <f aca="false">I110/60</f>
        <v>2.76</v>
      </c>
      <c r="G110" s="8" t="n">
        <f aca="false">Kurallar!$B$11</f>
        <v>100</v>
      </c>
      <c r="H110" s="8" t="n">
        <f aca="false">G110*I110</f>
        <v>16560</v>
      </c>
      <c r="I110" s="8" t="n">
        <f aca="false">Kurallar!$N$39</f>
        <v>165.6</v>
      </c>
      <c r="J110" s="6" t="s">
        <v>56</v>
      </c>
      <c r="K110" s="6" t="s">
        <v>57</v>
      </c>
    </row>
    <row r="111" customFormat="false" ht="15" hidden="false" customHeight="false" outlineLevel="0" collapsed="false">
      <c r="A111" s="2"/>
      <c r="B111" s="5" t="s">
        <v>143</v>
      </c>
      <c r="C111" s="4"/>
      <c r="D111" s="4"/>
      <c r="E111" s="4"/>
      <c r="F111" s="4"/>
      <c r="G111" s="4"/>
      <c r="H111" s="11" t="n">
        <f aca="false">SUBTOTAL(9,H101:H110)</f>
        <v>217693.870526075</v>
      </c>
      <c r="I111" s="5" t="n">
        <v>1</v>
      </c>
      <c r="J111" s="5" t="s">
        <v>52</v>
      </c>
      <c r="K111" s="4"/>
    </row>
    <row r="112" customFormat="false" ht="15" hidden="false" customHeight="false" outlineLevel="0" collapsed="false">
      <c r="A112" s="2" t="n">
        <v>105</v>
      </c>
      <c r="B112" s="3" t="str">
        <f aca="false">E112</f>
        <v>ЩО PB-V2 (VIP)</v>
      </c>
      <c r="C112" s="4"/>
      <c r="D112" s="4"/>
      <c r="E112" s="5" t="s">
        <v>144</v>
      </c>
      <c r="F112" s="4"/>
      <c r="G112" s="4"/>
      <c r="H112" s="4"/>
      <c r="I112" s="5" t="n">
        <v>1</v>
      </c>
      <c r="J112" s="5" t="s">
        <v>12</v>
      </c>
      <c r="K112" s="4"/>
    </row>
    <row r="113" customFormat="false" ht="15" hidden="false" customHeight="false" outlineLevel="0" collapsed="false">
      <c r="A113" s="6" t="n">
        <v>106</v>
      </c>
      <c r="B113" s="6"/>
      <c r="C113" s="6" t="s">
        <v>13</v>
      </c>
      <c r="D113" s="6" t="s">
        <v>138</v>
      </c>
      <c r="E113" s="6" t="s">
        <v>139</v>
      </c>
      <c r="F113" s="7" t="n">
        <f aca="false">IFERROR(INDEX(FIYAT_KAYNAK!$F$3:$F$47,MATCH("KAZTEK|719-15425",FIYAT_KAYNAK!$A$3:$A$47,0)),"")</f>
        <v>17365</v>
      </c>
      <c r="G113" s="8" t="n">
        <f aca="false">IFERROR(INDEX(FIYAT_KAYNAK!$J$3:$J$47,MATCH("KAZTEK|719-15425",FIYAT_KAYNAK!$A$3:$A$47,0)),"")</f>
        <v>17365</v>
      </c>
      <c r="H113" s="8" t="n">
        <f aca="false">IF(OR(G113="",I113=""),"",G113*I113)</f>
        <v>17365</v>
      </c>
      <c r="I113" s="9" t="n">
        <v>1</v>
      </c>
      <c r="J113" s="6" t="s">
        <v>16</v>
      </c>
      <c r="K113" s="6" t="s">
        <v>17</v>
      </c>
    </row>
    <row r="114" customFormat="false" ht="15" hidden="false" customHeight="false" outlineLevel="0" collapsed="false">
      <c r="A114" s="6" t="n">
        <v>107</v>
      </c>
      <c r="B114" s="6"/>
      <c r="C114" s="6" t="s">
        <v>27</v>
      </c>
      <c r="D114" s="6" t="s">
        <v>140</v>
      </c>
      <c r="E114" s="6" t="s">
        <v>141</v>
      </c>
      <c r="F114" s="7" t="n">
        <f aca="false">IFERROR(INDEX(FIYAT_KAYNAK!$F$3:$F$47,MATCH("ABB|2CDS273001R0504",FIYAT_KAYNAK!$A$3:$A$47,0)),"")</f>
        <v>94.51</v>
      </c>
      <c r="G114" s="8" t="n">
        <f aca="false">IFERROR(INDEX(FIYAT_KAYNAK!$J$3:$J$47,MATCH("ABB|2CDS273001R0504",FIYAT_KAYNAK!$A$3:$A$47,0)),"")</f>
        <v>20537.2829025</v>
      </c>
      <c r="H114" s="8" t="n">
        <f aca="false">IF(OR(G114="",I114=""),"",G114*I114)</f>
        <v>20537.2829025</v>
      </c>
      <c r="I114" s="9" t="n">
        <v>1</v>
      </c>
      <c r="J114" s="6" t="s">
        <v>16</v>
      </c>
      <c r="K114" s="6" t="s">
        <v>21</v>
      </c>
    </row>
    <row r="115" customFormat="false" ht="15" hidden="false" customHeight="false" outlineLevel="0" collapsed="false">
      <c r="A115" s="6" t="n">
        <v>108</v>
      </c>
      <c r="B115" s="6"/>
      <c r="C115" s="6" t="s">
        <v>59</v>
      </c>
      <c r="D115" s="6" t="s">
        <v>131</v>
      </c>
      <c r="E115" s="6" t="s">
        <v>132</v>
      </c>
      <c r="F115" s="7" t="n">
        <f aca="false">IFERROR(INDEX(FIYAT_KAYNAK!$F$3:$F$47,MATCH("ABB|2CTB803973R1100",FIYAT_KAYNAK!$A$3:$A$47,0)),"")</f>
        <v>361.2</v>
      </c>
      <c r="G115" s="8" t="n">
        <f aca="false">IFERROR(INDEX(FIYAT_KAYNAK!$J$3:$J$47,MATCH("ABB|2CTB803973R1100",FIYAT_KAYNAK!$A$3:$A$47,0)),"")</f>
        <v>78489.7533</v>
      </c>
      <c r="H115" s="8" t="n">
        <f aca="false">IF(OR(G115="",I115=""),"",G115*I115)</f>
        <v>78489.7533</v>
      </c>
      <c r="I115" s="9" t="n">
        <v>1</v>
      </c>
      <c r="J115" s="6" t="s">
        <v>16</v>
      </c>
      <c r="K115" s="6" t="s">
        <v>21</v>
      </c>
    </row>
    <row r="116" customFormat="false" ht="15" hidden="false" customHeight="false" outlineLevel="0" collapsed="false">
      <c r="A116" s="6" t="n">
        <v>109</v>
      </c>
      <c r="B116" s="6"/>
      <c r="C116" s="6" t="s">
        <v>27</v>
      </c>
      <c r="D116" s="6" t="s">
        <v>74</v>
      </c>
      <c r="E116" s="6" t="s">
        <v>145</v>
      </c>
      <c r="F116" s="7" t="n">
        <f aca="false">IFERROR(INDEX(FIYAT_KAYNAK!$F$3:$F$47,MATCH("ABB|2CDS273001R0324",FIYAT_KAYNAK!$A$3:$A$47,0)),"")</f>
        <v>78.75</v>
      </c>
      <c r="G116" s="8" t="n">
        <f aca="false">IFERROR(INDEX(FIYAT_KAYNAK!$J$3:$J$47,MATCH("ABB|2CDS273001R0324",FIYAT_KAYNAK!$A$3:$A$47,0)),"")</f>
        <v>17112.5915625</v>
      </c>
      <c r="H116" s="8" t="n">
        <f aca="false">IF(OR(G116="",I116=""),"",G116*I116)</f>
        <v>51337.7746875</v>
      </c>
      <c r="I116" s="9" t="n">
        <v>3</v>
      </c>
      <c r="J116" s="6" t="s">
        <v>16</v>
      </c>
      <c r="K116" s="6" t="s">
        <v>21</v>
      </c>
    </row>
    <row r="117" customFormat="false" ht="15" hidden="false" customHeight="false" outlineLevel="0" collapsed="false">
      <c r="A117" s="6" t="n">
        <v>110</v>
      </c>
      <c r="B117" s="6"/>
      <c r="C117" s="6" t="s">
        <v>38</v>
      </c>
      <c r="D117" s="6" t="s">
        <v>97</v>
      </c>
      <c r="E117" s="6" t="s">
        <v>98</v>
      </c>
      <c r="F117" s="7" t="n">
        <f aca="false">IFERROR(INDEX(FIYAT_KAYNAK!$F$3:$F$47,MATCH("EKT|130200399_",FIYAT_KAYNAK!$A$3:$A$47,0)),"")</f>
        <v>2567</v>
      </c>
      <c r="G117" s="8" t="n">
        <f aca="false">IFERROR(INDEX(FIYAT_KAYNAK!$J$3:$J$47,MATCH("EKT|130200399_",FIYAT_KAYNAK!$A$3:$A$47,0)),"")</f>
        <v>2567</v>
      </c>
      <c r="H117" s="8" t="n">
        <f aca="false">IF(OR(G117="",I117=""),"",G117*I117)</f>
        <v>2567</v>
      </c>
      <c r="I117" s="9" t="n">
        <v>1</v>
      </c>
      <c r="J117" s="6" t="s">
        <v>16</v>
      </c>
      <c r="K117" s="6" t="s">
        <v>41</v>
      </c>
    </row>
    <row r="118" customFormat="false" ht="15" hidden="false" customHeight="false" outlineLevel="0" collapsed="false">
      <c r="A118" s="6" t="n">
        <v>111</v>
      </c>
      <c r="B118" s="6"/>
      <c r="C118" s="6" t="s">
        <v>42</v>
      </c>
      <c r="D118" s="6" t="s">
        <v>43</v>
      </c>
      <c r="E118" s="6" t="s">
        <v>44</v>
      </c>
      <c r="F118" s="7" t="n">
        <f aca="false">IFERROR(INDEX(FIYAT_KAYNAK!$F$3:$F$47,MATCH("EKT|130301155_",FIYAT_KAYNAK!$A$3:$A$47,0)),"")</f>
        <v>151</v>
      </c>
      <c r="G118" s="8" t="n">
        <f aca="false">IFERROR(INDEX(FIYAT_KAYNAK!$J$3:$J$47,MATCH("EKT|130301155_",FIYAT_KAYNAK!$A$3:$A$47,0)),"")</f>
        <v>151</v>
      </c>
      <c r="H118" s="8" t="n">
        <f aca="false">IF(OR(G118="",I118=""),"",G118*I118)</f>
        <v>2416</v>
      </c>
      <c r="I118" s="9" t="n">
        <v>16</v>
      </c>
      <c r="J118" s="6" t="s">
        <v>16</v>
      </c>
      <c r="K118" s="6" t="s">
        <v>41</v>
      </c>
    </row>
    <row r="119" customFormat="false" ht="15" hidden="false" customHeight="false" outlineLevel="0" collapsed="false">
      <c r="A119" s="6" t="n">
        <v>112</v>
      </c>
      <c r="B119" s="6"/>
      <c r="C119" s="6" t="s">
        <v>45</v>
      </c>
      <c r="D119" s="6" t="s">
        <v>46</v>
      </c>
      <c r="E119" s="6" t="s">
        <v>47</v>
      </c>
      <c r="F119" s="7" t="n">
        <f aca="false">IFERROR(INDEX(FIYAT_KAYNAK!$F$3:$F$47,MATCH("CHINT|570003",FIYAT_KAYNAK!$A$3:$A$47,0)),"")</f>
        <v>869</v>
      </c>
      <c r="G119" s="8" t="n">
        <f aca="false">IFERROR(INDEX(FIYAT_KAYNAK!$J$3:$J$47,MATCH("CHINT|570003",FIYAT_KAYNAK!$A$3:$A$47,0)),"")</f>
        <v>521.4</v>
      </c>
      <c r="H119" s="8" t="n">
        <f aca="false">IF(OR(G119="",I119=""),"",G119*I119)</f>
        <v>1564.2</v>
      </c>
      <c r="I119" s="9" t="n">
        <v>3</v>
      </c>
      <c r="J119" s="6" t="s">
        <v>16</v>
      </c>
      <c r="K119" s="6" t="s">
        <v>48</v>
      </c>
    </row>
    <row r="120" customFormat="false" ht="15" hidden="false" customHeight="false" outlineLevel="0" collapsed="false">
      <c r="A120" s="6" t="n">
        <v>113</v>
      </c>
      <c r="B120" s="6"/>
      <c r="C120" s="6" t="s">
        <v>45</v>
      </c>
      <c r="D120" s="6" t="s">
        <v>104</v>
      </c>
      <c r="E120" s="6" t="s">
        <v>105</v>
      </c>
      <c r="F120" s="7" t="n">
        <f aca="false">IFERROR(INDEX(FIYAT_KAYNAK!$F$3:$F$47,MATCH("EKT|270300079_",FIYAT_KAYNAK!$A$3:$A$47,0)),"")</f>
        <v>1094</v>
      </c>
      <c r="G120" s="8" t="n">
        <f aca="false">IFERROR(INDEX(FIYAT_KAYNAK!$J$3:$J$47,MATCH("EKT|270300079_",FIYAT_KAYNAK!$A$3:$A$47,0)),"")</f>
        <v>1094</v>
      </c>
      <c r="H120" s="8" t="n">
        <f aca="false">IF(OR(G120="",I120=""),"",G120*I120)</f>
        <v>3282</v>
      </c>
      <c r="I120" s="9" t="n">
        <v>3</v>
      </c>
      <c r="J120" s="6" t="s">
        <v>16</v>
      </c>
      <c r="K120" s="6" t="s">
        <v>41</v>
      </c>
    </row>
    <row r="121" customFormat="false" ht="15" hidden="false" customHeight="false" outlineLevel="0" collapsed="false">
      <c r="A121" s="6" t="n">
        <v>114</v>
      </c>
      <c r="B121" s="6"/>
      <c r="C121" s="6" t="s">
        <v>45</v>
      </c>
      <c r="D121" s="6"/>
      <c r="E121" s="6" t="s">
        <v>51</v>
      </c>
      <c r="F121" s="6"/>
      <c r="G121" s="8" t="n">
        <f aca="false">SUM(H113:H120)*Kurallar!$B$13</f>
        <v>5326.7703267</v>
      </c>
      <c r="H121" s="8" t="n">
        <f aca="false">G121*I121</f>
        <v>5326.7703267</v>
      </c>
      <c r="I121" s="8" t="n">
        <v>1</v>
      </c>
      <c r="J121" s="6" t="s">
        <v>52</v>
      </c>
      <c r="K121" s="6" t="s">
        <v>53</v>
      </c>
    </row>
    <row r="122" customFormat="false" ht="15" hidden="false" customHeight="false" outlineLevel="0" collapsed="false">
      <c r="A122" s="6" t="n">
        <v>115</v>
      </c>
      <c r="B122" s="6"/>
      <c r="C122" s="6" t="s">
        <v>54</v>
      </c>
      <c r="D122" s="6"/>
      <c r="E122" s="6" t="s">
        <v>55</v>
      </c>
      <c r="F122" s="10" t="n">
        <f aca="false">I122/60</f>
        <v>2.56833333333333</v>
      </c>
      <c r="G122" s="8" t="n">
        <f aca="false">Kurallar!$B$11</f>
        <v>100</v>
      </c>
      <c r="H122" s="8" t="n">
        <f aca="false">G122*I122</f>
        <v>15410</v>
      </c>
      <c r="I122" s="8" t="n">
        <f aca="false">Kurallar!$P$39</f>
        <v>154.1</v>
      </c>
      <c r="J122" s="6" t="s">
        <v>56</v>
      </c>
      <c r="K122" s="6" t="s">
        <v>57</v>
      </c>
    </row>
    <row r="123" customFormat="false" ht="15" hidden="false" customHeight="false" outlineLevel="0" collapsed="false">
      <c r="A123" s="2"/>
      <c r="B123" s="5" t="s">
        <v>146</v>
      </c>
      <c r="C123" s="4"/>
      <c r="D123" s="4"/>
      <c r="E123" s="4"/>
      <c r="F123" s="4"/>
      <c r="G123" s="4"/>
      <c r="H123" s="11" t="n">
        <f aca="false">SUBTOTAL(9,H113:H122)</f>
        <v>198295.7812167</v>
      </c>
      <c r="I123" s="5" t="n">
        <v>1</v>
      </c>
      <c r="J123" s="5" t="s">
        <v>52</v>
      </c>
      <c r="K123" s="4"/>
    </row>
    <row r="124" customFormat="false" ht="15" hidden="false" customHeight="false" outlineLevel="0" collapsed="false">
      <c r="A124" s="2" t="n">
        <v>116</v>
      </c>
      <c r="B124" s="3" t="str">
        <f aca="false">E124</f>
        <v>ЩО PB-V3 (VIP)</v>
      </c>
      <c r="C124" s="4"/>
      <c r="D124" s="4"/>
      <c r="E124" s="5" t="s">
        <v>147</v>
      </c>
      <c r="F124" s="4"/>
      <c r="G124" s="4"/>
      <c r="H124" s="4"/>
      <c r="I124" s="5" t="n">
        <v>1</v>
      </c>
      <c r="J124" s="5" t="s">
        <v>12</v>
      </c>
      <c r="K124" s="4"/>
    </row>
    <row r="125" customFormat="false" ht="15" hidden="false" customHeight="false" outlineLevel="0" collapsed="false">
      <c r="A125" s="6" t="n">
        <v>117</v>
      </c>
      <c r="B125" s="6"/>
      <c r="C125" s="6" t="s">
        <v>13</v>
      </c>
      <c r="D125" s="6" t="s">
        <v>138</v>
      </c>
      <c r="E125" s="6" t="s">
        <v>139</v>
      </c>
      <c r="F125" s="7" t="n">
        <f aca="false">IFERROR(INDEX(FIYAT_KAYNAK!$F$3:$F$47,MATCH("KAZTEK|719-15425",FIYAT_KAYNAK!$A$3:$A$47,0)),"")</f>
        <v>17365</v>
      </c>
      <c r="G125" s="8" t="n">
        <f aca="false">IFERROR(INDEX(FIYAT_KAYNAK!$J$3:$J$47,MATCH("KAZTEK|719-15425",FIYAT_KAYNAK!$A$3:$A$47,0)),"")</f>
        <v>17365</v>
      </c>
      <c r="H125" s="8" t="n">
        <f aca="false">IF(OR(G125="",I125=""),"",G125*I125)</f>
        <v>17365</v>
      </c>
      <c r="I125" s="9" t="n">
        <v>1</v>
      </c>
      <c r="J125" s="6" t="s">
        <v>16</v>
      </c>
      <c r="K125" s="6" t="s">
        <v>17</v>
      </c>
    </row>
    <row r="126" customFormat="false" ht="15" hidden="false" customHeight="false" outlineLevel="0" collapsed="false">
      <c r="A126" s="6" t="n">
        <v>118</v>
      </c>
      <c r="B126" s="6"/>
      <c r="C126" s="6" t="s">
        <v>27</v>
      </c>
      <c r="D126" s="6" t="s">
        <v>140</v>
      </c>
      <c r="E126" s="6" t="s">
        <v>141</v>
      </c>
      <c r="F126" s="7" t="n">
        <f aca="false">IFERROR(INDEX(FIYAT_KAYNAK!$F$3:$F$47,MATCH("ABB|2CDS273001R0504",FIYAT_KAYNAK!$A$3:$A$47,0)),"")</f>
        <v>94.51</v>
      </c>
      <c r="G126" s="8" t="n">
        <f aca="false">IFERROR(INDEX(FIYAT_KAYNAK!$J$3:$J$47,MATCH("ABB|2CDS273001R0504",FIYAT_KAYNAK!$A$3:$A$47,0)),"")</f>
        <v>20537.2829025</v>
      </c>
      <c r="H126" s="8" t="n">
        <f aca="false">IF(OR(G126="",I126=""),"",G126*I126)</f>
        <v>20537.2829025</v>
      </c>
      <c r="I126" s="9" t="n">
        <v>1</v>
      </c>
      <c r="J126" s="6" t="s">
        <v>16</v>
      </c>
      <c r="K126" s="6" t="s">
        <v>21</v>
      </c>
    </row>
    <row r="127" customFormat="false" ht="15" hidden="false" customHeight="false" outlineLevel="0" collapsed="false">
      <c r="A127" s="6" t="n">
        <v>119</v>
      </c>
      <c r="B127" s="6"/>
      <c r="C127" s="6" t="s">
        <v>59</v>
      </c>
      <c r="D127" s="6" t="s">
        <v>131</v>
      </c>
      <c r="E127" s="6" t="s">
        <v>132</v>
      </c>
      <c r="F127" s="7" t="n">
        <f aca="false">IFERROR(INDEX(FIYAT_KAYNAK!$F$3:$F$47,MATCH("ABB|2CTB803973R1100",FIYAT_KAYNAK!$A$3:$A$47,0)),"")</f>
        <v>361.2</v>
      </c>
      <c r="G127" s="8" t="n">
        <f aca="false">IFERROR(INDEX(FIYAT_KAYNAK!$J$3:$J$47,MATCH("ABB|2CTB803973R1100",FIYAT_KAYNAK!$A$3:$A$47,0)),"")</f>
        <v>78489.7533</v>
      </c>
      <c r="H127" s="8" t="n">
        <f aca="false">IF(OR(G127="",I127=""),"",G127*I127)</f>
        <v>78489.7533</v>
      </c>
      <c r="I127" s="9" t="n">
        <v>1</v>
      </c>
      <c r="J127" s="6" t="s">
        <v>16</v>
      </c>
      <c r="K127" s="6" t="s">
        <v>21</v>
      </c>
    </row>
    <row r="128" customFormat="false" ht="15" hidden="false" customHeight="false" outlineLevel="0" collapsed="false">
      <c r="A128" s="6" t="n">
        <v>120</v>
      </c>
      <c r="B128" s="6"/>
      <c r="C128" s="6" t="s">
        <v>27</v>
      </c>
      <c r="D128" s="6" t="s">
        <v>74</v>
      </c>
      <c r="E128" s="6" t="s">
        <v>145</v>
      </c>
      <c r="F128" s="7" t="n">
        <f aca="false">IFERROR(INDEX(FIYAT_KAYNAK!$F$3:$F$47,MATCH("ABB|2CDS273001R0324",FIYAT_KAYNAK!$A$3:$A$47,0)),"")</f>
        <v>78.75</v>
      </c>
      <c r="G128" s="8" t="n">
        <f aca="false">IFERROR(INDEX(FIYAT_KAYNAK!$J$3:$J$47,MATCH("ABB|2CDS273001R0324",FIYAT_KAYNAK!$A$3:$A$47,0)),"")</f>
        <v>17112.5915625</v>
      </c>
      <c r="H128" s="8" t="n">
        <f aca="false">IF(OR(G128="",I128=""),"",G128*I128)</f>
        <v>51337.7746875</v>
      </c>
      <c r="I128" s="9" t="n">
        <v>3</v>
      </c>
      <c r="J128" s="6" t="s">
        <v>16</v>
      </c>
      <c r="K128" s="6" t="s">
        <v>21</v>
      </c>
    </row>
    <row r="129" customFormat="false" ht="15" hidden="false" customHeight="false" outlineLevel="0" collapsed="false">
      <c r="A129" s="6" t="n">
        <v>121</v>
      </c>
      <c r="B129" s="6"/>
      <c r="C129" s="6" t="s">
        <v>38</v>
      </c>
      <c r="D129" s="6" t="s">
        <v>97</v>
      </c>
      <c r="E129" s="6" t="s">
        <v>98</v>
      </c>
      <c r="F129" s="7" t="n">
        <f aca="false">IFERROR(INDEX(FIYAT_KAYNAK!$F$3:$F$47,MATCH("EKT|130200399_",FIYAT_KAYNAK!$A$3:$A$47,0)),"")</f>
        <v>2567</v>
      </c>
      <c r="G129" s="8" t="n">
        <f aca="false">IFERROR(INDEX(FIYAT_KAYNAK!$J$3:$J$47,MATCH("EKT|130200399_",FIYAT_KAYNAK!$A$3:$A$47,0)),"")</f>
        <v>2567</v>
      </c>
      <c r="H129" s="8" t="n">
        <f aca="false">IF(OR(G129="",I129=""),"",G129*I129)</f>
        <v>2567</v>
      </c>
      <c r="I129" s="9" t="n">
        <v>1</v>
      </c>
      <c r="J129" s="6" t="s">
        <v>16</v>
      </c>
      <c r="K129" s="6" t="s">
        <v>41</v>
      </c>
    </row>
    <row r="130" customFormat="false" ht="15" hidden="false" customHeight="false" outlineLevel="0" collapsed="false">
      <c r="A130" s="6" t="n">
        <v>122</v>
      </c>
      <c r="B130" s="6"/>
      <c r="C130" s="6" t="s">
        <v>42</v>
      </c>
      <c r="D130" s="6" t="s">
        <v>43</v>
      </c>
      <c r="E130" s="6" t="s">
        <v>44</v>
      </c>
      <c r="F130" s="7" t="n">
        <f aca="false">IFERROR(INDEX(FIYAT_KAYNAK!$F$3:$F$47,MATCH("EKT|130301155_",FIYAT_KAYNAK!$A$3:$A$47,0)),"")</f>
        <v>151</v>
      </c>
      <c r="G130" s="8" t="n">
        <f aca="false">IFERROR(INDEX(FIYAT_KAYNAK!$J$3:$J$47,MATCH("EKT|130301155_",FIYAT_KAYNAK!$A$3:$A$47,0)),"")</f>
        <v>151</v>
      </c>
      <c r="H130" s="8" t="n">
        <f aca="false">IF(OR(G130="",I130=""),"",G130*I130)</f>
        <v>2416</v>
      </c>
      <c r="I130" s="9" t="n">
        <v>16</v>
      </c>
      <c r="J130" s="6" t="s">
        <v>16</v>
      </c>
      <c r="K130" s="6" t="s">
        <v>41</v>
      </c>
    </row>
    <row r="131" customFormat="false" ht="15" hidden="false" customHeight="false" outlineLevel="0" collapsed="false">
      <c r="A131" s="6" t="n">
        <v>123</v>
      </c>
      <c r="B131" s="6"/>
      <c r="C131" s="6" t="s">
        <v>45</v>
      </c>
      <c r="D131" s="6" t="s">
        <v>46</v>
      </c>
      <c r="E131" s="6" t="s">
        <v>47</v>
      </c>
      <c r="F131" s="7" t="n">
        <f aca="false">IFERROR(INDEX(FIYAT_KAYNAK!$F$3:$F$47,MATCH("CHINT|570003",FIYAT_KAYNAK!$A$3:$A$47,0)),"")</f>
        <v>869</v>
      </c>
      <c r="G131" s="8" t="n">
        <f aca="false">IFERROR(INDEX(FIYAT_KAYNAK!$J$3:$J$47,MATCH("CHINT|570003",FIYAT_KAYNAK!$A$3:$A$47,0)),"")</f>
        <v>521.4</v>
      </c>
      <c r="H131" s="8" t="n">
        <f aca="false">IF(OR(G131="",I131=""),"",G131*I131)</f>
        <v>1564.2</v>
      </c>
      <c r="I131" s="9" t="n">
        <v>3</v>
      </c>
      <c r="J131" s="6" t="s">
        <v>16</v>
      </c>
      <c r="K131" s="6" t="s">
        <v>48</v>
      </c>
    </row>
    <row r="132" customFormat="false" ht="15" hidden="false" customHeight="false" outlineLevel="0" collapsed="false">
      <c r="A132" s="6" t="n">
        <v>124</v>
      </c>
      <c r="B132" s="6"/>
      <c r="C132" s="6" t="s">
        <v>45</v>
      </c>
      <c r="D132" s="6" t="s">
        <v>104</v>
      </c>
      <c r="E132" s="6" t="s">
        <v>105</v>
      </c>
      <c r="F132" s="7" t="n">
        <f aca="false">IFERROR(INDEX(FIYAT_KAYNAK!$F$3:$F$47,MATCH("EKT|270300079_",FIYAT_KAYNAK!$A$3:$A$47,0)),"")</f>
        <v>1094</v>
      </c>
      <c r="G132" s="8" t="n">
        <f aca="false">IFERROR(INDEX(FIYAT_KAYNAK!$J$3:$J$47,MATCH("EKT|270300079_",FIYAT_KAYNAK!$A$3:$A$47,0)),"")</f>
        <v>1094</v>
      </c>
      <c r="H132" s="8" t="n">
        <f aca="false">IF(OR(G132="",I132=""),"",G132*I132)</f>
        <v>3282</v>
      </c>
      <c r="I132" s="9" t="n">
        <v>3</v>
      </c>
      <c r="J132" s="6" t="s">
        <v>16</v>
      </c>
      <c r="K132" s="6" t="s">
        <v>41</v>
      </c>
    </row>
    <row r="133" customFormat="false" ht="15" hidden="false" customHeight="false" outlineLevel="0" collapsed="false">
      <c r="A133" s="6" t="n">
        <v>125</v>
      </c>
      <c r="B133" s="6"/>
      <c r="C133" s="6" t="s">
        <v>45</v>
      </c>
      <c r="D133" s="6"/>
      <c r="E133" s="6" t="s">
        <v>51</v>
      </c>
      <c r="F133" s="6"/>
      <c r="G133" s="8" t="n">
        <f aca="false">SUM(H125:H132)*Kurallar!$B$13</f>
        <v>5326.7703267</v>
      </c>
      <c r="H133" s="8" t="n">
        <f aca="false">G133*I133</f>
        <v>5326.7703267</v>
      </c>
      <c r="I133" s="8" t="n">
        <v>1</v>
      </c>
      <c r="J133" s="6" t="s">
        <v>52</v>
      </c>
      <c r="K133" s="6" t="s">
        <v>53</v>
      </c>
    </row>
    <row r="134" customFormat="false" ht="15" hidden="false" customHeight="false" outlineLevel="0" collapsed="false">
      <c r="A134" s="6" t="n">
        <v>126</v>
      </c>
      <c r="B134" s="6"/>
      <c r="C134" s="6" t="s">
        <v>54</v>
      </c>
      <c r="D134" s="6"/>
      <c r="E134" s="6" t="s">
        <v>55</v>
      </c>
      <c r="F134" s="10" t="n">
        <f aca="false">I134/60</f>
        <v>2.56833333333333</v>
      </c>
      <c r="G134" s="8" t="n">
        <f aca="false">Kurallar!$B$11</f>
        <v>100</v>
      </c>
      <c r="H134" s="8" t="n">
        <f aca="false">G134*I134</f>
        <v>15410</v>
      </c>
      <c r="I134" s="8" t="n">
        <f aca="false">Kurallar!$R$39</f>
        <v>154.1</v>
      </c>
      <c r="J134" s="6" t="s">
        <v>56</v>
      </c>
      <c r="K134" s="6" t="s">
        <v>57</v>
      </c>
    </row>
    <row r="135" customFormat="false" ht="15" hidden="false" customHeight="false" outlineLevel="0" collapsed="false">
      <c r="A135" s="2"/>
      <c r="B135" s="5" t="s">
        <v>148</v>
      </c>
      <c r="C135" s="4"/>
      <c r="D135" s="4"/>
      <c r="E135" s="4"/>
      <c r="F135" s="4"/>
      <c r="G135" s="4"/>
      <c r="H135" s="11" t="n">
        <f aca="false">SUBTOTAL(9,H125:H134)</f>
        <v>198295.7812167</v>
      </c>
      <c r="I135" s="5" t="n">
        <v>1</v>
      </c>
      <c r="J135" s="5" t="s">
        <v>52</v>
      </c>
      <c r="K135" s="4"/>
    </row>
    <row r="136" customFormat="false" ht="15" hidden="false" customHeight="false" outlineLevel="0" collapsed="false">
      <c r="A136" s="2" t="n">
        <v>127</v>
      </c>
      <c r="B136" s="3" t="str">
        <f aca="false">E136</f>
        <v>ЩА AFL INTERNAL DB (в мачте, VIP)</v>
      </c>
      <c r="C136" s="4"/>
      <c r="D136" s="4"/>
      <c r="E136" s="5" t="s">
        <v>149</v>
      </c>
      <c r="F136" s="4"/>
      <c r="G136" s="4"/>
      <c r="H136" s="4"/>
      <c r="I136" s="5" t="n">
        <v>10</v>
      </c>
      <c r="J136" s="5" t="s">
        <v>12</v>
      </c>
      <c r="K136" s="4"/>
    </row>
    <row r="137" customFormat="false" ht="15" hidden="false" customHeight="false" outlineLevel="0" collapsed="false">
      <c r="A137" s="6" t="n">
        <v>128</v>
      </c>
      <c r="B137" s="6"/>
      <c r="C137" s="6" t="s">
        <v>13</v>
      </c>
      <c r="D137" s="6" t="s">
        <v>138</v>
      </c>
      <c r="E137" s="6" t="s">
        <v>139</v>
      </c>
      <c r="F137" s="7" t="n">
        <f aca="false">IFERROR(INDEX(FIYAT_KAYNAK!$F$3:$F$47,MATCH("KAZTEK|719-15425",FIYAT_KAYNAK!$A$3:$A$47,0)),"")</f>
        <v>17365</v>
      </c>
      <c r="G137" s="8" t="n">
        <f aca="false">IFERROR(INDEX(FIYAT_KAYNAK!$J$3:$J$47,MATCH("KAZTEK|719-15425",FIYAT_KAYNAK!$A$3:$A$47,0)),"")</f>
        <v>17365</v>
      </c>
      <c r="H137" s="8" t="n">
        <f aca="false">IF(OR(G137="",I137=""),"",G137*I137)</f>
        <v>17365</v>
      </c>
      <c r="I137" s="9" t="n">
        <v>1</v>
      </c>
      <c r="J137" s="6" t="s">
        <v>16</v>
      </c>
      <c r="K137" s="6" t="s">
        <v>17</v>
      </c>
    </row>
    <row r="138" customFormat="false" ht="15" hidden="false" customHeight="false" outlineLevel="0" collapsed="false">
      <c r="A138" s="6" t="n">
        <v>129</v>
      </c>
      <c r="B138" s="6"/>
      <c r="C138" s="6" t="s">
        <v>22</v>
      </c>
      <c r="D138" s="6" t="s">
        <v>150</v>
      </c>
      <c r="E138" s="6" t="s">
        <v>151</v>
      </c>
      <c r="F138" s="7" t="n">
        <f aca="false">IFERROR(INDEX(FIYAT_KAYNAK!$F$3:$F$47,MATCH("ABB|1SCA104932R1001",FIYAT_KAYNAK!$A$3:$A$47,0)),"")</f>
        <v>55.48</v>
      </c>
      <c r="G138" s="8" t="n">
        <f aca="false">IFERROR(INDEX(FIYAT_KAYNAK!$J$3:$J$47,MATCH("ABB|1SCA104932R1001",FIYAT_KAYNAK!$A$3:$A$47,0)),"")</f>
        <v>12055.95657</v>
      </c>
      <c r="H138" s="8" t="n">
        <f aca="false">IF(OR(G138="",I138=""),"",G138*I138)</f>
        <v>12055.95657</v>
      </c>
      <c r="I138" s="9" t="n">
        <v>1</v>
      </c>
      <c r="J138" s="6" t="s">
        <v>16</v>
      </c>
      <c r="K138" s="6" t="s">
        <v>21</v>
      </c>
    </row>
    <row r="139" customFormat="false" ht="15" hidden="false" customHeight="false" outlineLevel="0" collapsed="false">
      <c r="A139" s="6" t="n">
        <v>130</v>
      </c>
      <c r="B139" s="6"/>
      <c r="C139" s="6" t="s">
        <v>27</v>
      </c>
      <c r="D139" s="6" t="s">
        <v>71</v>
      </c>
      <c r="E139" s="6" t="s">
        <v>72</v>
      </c>
      <c r="F139" s="7" t="n">
        <f aca="false">IFERROR(INDEX(FIYAT_KAYNAK!$F$3:$F$47,MATCH("ABB|2CDS251001R0065",FIYAT_KAYNAK!$A$3:$A$47,0)),"")</f>
        <v>11.74</v>
      </c>
      <c r="G139" s="8" t="n">
        <f aca="false">IFERROR(INDEX(FIYAT_KAYNAK!$J$3:$J$47,MATCH("ABB|2CDS251001R0065",FIYAT_KAYNAK!$A$3:$A$47,0)),"")</f>
        <v>2551.134285</v>
      </c>
      <c r="H139" s="8" t="n">
        <f aca="false">IF(OR(G139="",I139=""),"",G139*I139)</f>
        <v>2551.134285</v>
      </c>
      <c r="I139" s="9" t="n">
        <v>1</v>
      </c>
      <c r="J139" s="6" t="s">
        <v>16</v>
      </c>
      <c r="K139" s="6" t="s">
        <v>21</v>
      </c>
    </row>
    <row r="140" customFormat="false" ht="15" hidden="false" customHeight="false" outlineLevel="0" collapsed="false">
      <c r="A140" s="6" t="n">
        <v>131</v>
      </c>
      <c r="B140" s="6"/>
      <c r="C140" s="6" t="s">
        <v>27</v>
      </c>
      <c r="D140" s="6" t="s">
        <v>152</v>
      </c>
      <c r="E140" s="6" t="s">
        <v>153</v>
      </c>
      <c r="F140" s="7" t="n">
        <f aca="false">IFERROR(INDEX(FIYAT_KAYNAK!$F$3:$F$47,MATCH("ABB|2CDS273001R0204",FIYAT_KAYNAK!$A$3:$A$47,0)),"")</f>
        <v>63.02</v>
      </c>
      <c r="G140" s="8" t="n">
        <f aca="false">IFERROR(INDEX(FIYAT_KAYNAK!$J$3:$J$47,MATCH("ABB|2CDS273001R0204",FIYAT_KAYNAK!$A$3:$A$47,0)),"")</f>
        <v>13694.419305</v>
      </c>
      <c r="H140" s="8" t="n">
        <f aca="false">IF(OR(G140="",I140=""),"",G140*I140)</f>
        <v>13694.419305</v>
      </c>
      <c r="I140" s="9" t="n">
        <v>1</v>
      </c>
      <c r="J140" s="6" t="s">
        <v>16</v>
      </c>
      <c r="K140" s="6" t="s">
        <v>21</v>
      </c>
    </row>
    <row r="141" customFormat="false" ht="15" hidden="false" customHeight="false" outlineLevel="0" collapsed="false">
      <c r="A141" s="6" t="n">
        <v>132</v>
      </c>
      <c r="B141" s="6"/>
      <c r="C141" s="6" t="s">
        <v>27</v>
      </c>
      <c r="D141" s="6" t="s">
        <v>154</v>
      </c>
      <c r="E141" s="6" t="s">
        <v>155</v>
      </c>
      <c r="F141" s="7" t="n">
        <f aca="false">IFERROR(INDEX(FIYAT_KAYNAK!$F$3:$F$47,MATCH("ABB|2CDS251001R0034",FIYAT_KAYNAK!$A$3:$A$47,0)),"")</f>
        <v>14.53</v>
      </c>
      <c r="G141" s="8" t="n">
        <f aca="false">IFERROR(INDEX(FIYAT_KAYNAK!$J$3:$J$47,MATCH("ABB|2CDS251001R0034",FIYAT_KAYNAK!$A$3:$A$47,0)),"")</f>
        <v>3157.4089575</v>
      </c>
      <c r="H141" s="8" t="n">
        <f aca="false">IF(OR(G141="",I141=""),"",G141*I141)</f>
        <v>3157.4089575</v>
      </c>
      <c r="I141" s="9" t="n">
        <v>1</v>
      </c>
      <c r="J141" s="6" t="s">
        <v>16</v>
      </c>
      <c r="K141" s="6" t="s">
        <v>21</v>
      </c>
    </row>
    <row r="142" customFormat="false" ht="15" hidden="false" customHeight="false" outlineLevel="0" collapsed="false">
      <c r="A142" s="6" t="n">
        <v>133</v>
      </c>
      <c r="B142" s="6"/>
      <c r="C142" s="6" t="s">
        <v>78</v>
      </c>
      <c r="D142" s="6" t="s">
        <v>156</v>
      </c>
      <c r="E142" s="6" t="s">
        <v>157</v>
      </c>
      <c r="F142" s="7" t="n">
        <f aca="false">IFERROR(INDEX(FIYAT_KAYNAK!$F$3:$F$47,MATCH("ABB|1SAE231111R0640",FIYAT_KAYNAK!$A$3:$A$47,0)),"")</f>
        <v>58.06</v>
      </c>
      <c r="G142" s="8" t="n">
        <f aca="false">IFERROR(INDEX(FIYAT_KAYNAK!$J$3:$J$47,MATCH("ABB|1SAE231111R0640",FIYAT_KAYNAK!$A$3:$A$47,0)),"")</f>
        <v>12616.597665</v>
      </c>
      <c r="H142" s="8" t="n">
        <f aca="false">IF(OR(G142="",I142=""),"",G142*I142)</f>
        <v>25233.19533</v>
      </c>
      <c r="I142" s="9" t="n">
        <v>2</v>
      </c>
      <c r="J142" s="6" t="s">
        <v>16</v>
      </c>
      <c r="K142" s="6" t="s">
        <v>21</v>
      </c>
    </row>
    <row r="143" customFormat="false" ht="15" hidden="false" customHeight="false" outlineLevel="0" collapsed="false">
      <c r="A143" s="6" t="n">
        <v>134</v>
      </c>
      <c r="B143" s="6"/>
      <c r="C143" s="6" t="s">
        <v>81</v>
      </c>
      <c r="D143" s="6" t="s">
        <v>158</v>
      </c>
      <c r="E143" s="6" t="s">
        <v>159</v>
      </c>
      <c r="F143" s="7" t="n">
        <f aca="false">IFERROR(INDEX(FIYAT_KAYNAK!$F$3:$F$47,MATCH("ABB|2CSM208151R1000",FIYAT_KAYNAK!$A$3:$A$47,0)),"")</f>
        <v>90.62</v>
      </c>
      <c r="G143" s="8" t="n">
        <f aca="false">IFERROR(INDEX(FIYAT_KAYNAK!$J$3:$J$47,MATCH("ABB|2CSM208151R1000",FIYAT_KAYNAK!$A$3:$A$47,0)),"")</f>
        <v>19691.975205</v>
      </c>
      <c r="H143" s="8" t="n">
        <f aca="false">IF(OR(G143="",I143=""),"",G143*I143)</f>
        <v>19691.975205</v>
      </c>
      <c r="I143" s="9" t="n">
        <v>1</v>
      </c>
      <c r="J143" s="6" t="s">
        <v>16</v>
      </c>
      <c r="K143" s="6" t="s">
        <v>21</v>
      </c>
    </row>
    <row r="144" customFormat="false" ht="15" hidden="false" customHeight="false" outlineLevel="0" collapsed="false">
      <c r="A144" s="6" t="n">
        <v>135</v>
      </c>
      <c r="B144" s="6"/>
      <c r="C144" s="6" t="s">
        <v>89</v>
      </c>
      <c r="D144" s="6" t="s">
        <v>90</v>
      </c>
      <c r="E144" s="6" t="s">
        <v>91</v>
      </c>
      <c r="F144" s="7" t="n">
        <f aca="false">IFERROR(INDEX(FIYAT_KAYNAK!$F$3:$F$47,MATCH("ABB|1SFA619210R1026",FIYAT_KAYNAK!$A$3:$A$47,0)),"")</f>
        <v>13.13</v>
      </c>
      <c r="G144" s="8" t="n">
        <f aca="false">IFERROR(INDEX(FIYAT_KAYNAK!$J$3:$J$47,MATCH("ABB|1SFA619210R1026",FIYAT_KAYNAK!$A$3:$A$47,0)),"")</f>
        <v>2853.1851075</v>
      </c>
      <c r="H144" s="8" t="n">
        <f aca="false">IF(OR(G144="",I144=""),"",G144*I144)</f>
        <v>2853.1851075</v>
      </c>
      <c r="I144" s="9" t="n">
        <v>1</v>
      </c>
      <c r="J144" s="6" t="s">
        <v>16</v>
      </c>
      <c r="K144" s="6" t="s">
        <v>21</v>
      </c>
    </row>
    <row r="145" customFormat="false" ht="15" hidden="false" customHeight="false" outlineLevel="0" collapsed="false">
      <c r="A145" s="6" t="n">
        <v>136</v>
      </c>
      <c r="B145" s="6"/>
      <c r="C145" s="6" t="s">
        <v>92</v>
      </c>
      <c r="D145" s="6" t="s">
        <v>93</v>
      </c>
      <c r="E145" s="6" t="s">
        <v>94</v>
      </c>
      <c r="F145" s="7" t="n">
        <f aca="false">IFERROR(INDEX(FIYAT_KAYNAK!$F$3:$F$47,MATCH("ABB|1SFA619403R5232",FIYAT_KAYNAK!$A$3:$A$47,0)),"")</f>
        <v>9.62</v>
      </c>
      <c r="G145" s="8" t="n">
        <f aca="false">IFERROR(INDEX(FIYAT_KAYNAK!$J$3:$J$47,MATCH("ABB|1SFA619403R5232",FIYAT_KAYNAK!$A$3:$A$47,0)),"")</f>
        <v>2090.452455</v>
      </c>
      <c r="H145" s="8" t="n">
        <f aca="false">IF(OR(G145="",I145=""),"",G145*I145)</f>
        <v>2090.452455</v>
      </c>
      <c r="I145" s="9" t="n">
        <v>1</v>
      </c>
      <c r="J145" s="6" t="s">
        <v>16</v>
      </c>
      <c r="K145" s="6" t="s">
        <v>21</v>
      </c>
    </row>
    <row r="146" customFormat="false" ht="15" hidden="false" customHeight="false" outlineLevel="0" collapsed="false">
      <c r="A146" s="6" t="n">
        <v>137</v>
      </c>
      <c r="B146" s="6"/>
      <c r="C146" s="6" t="s">
        <v>42</v>
      </c>
      <c r="D146" s="6" t="s">
        <v>101</v>
      </c>
      <c r="E146" s="6" t="s">
        <v>160</v>
      </c>
      <c r="F146" s="7" t="n">
        <f aca="false">IFERROR(INDEX(FIYAT_KAYNAK!$F$3:$F$47,MATCH("EKT|130301153_",FIYAT_KAYNAK!$A$3:$A$47,0)),"")</f>
        <v>90</v>
      </c>
      <c r="G146" s="8" t="n">
        <f aca="false">IFERROR(INDEX(FIYAT_KAYNAK!$J$3:$J$47,MATCH("EKT|130301153_",FIYAT_KAYNAK!$A$3:$A$47,0)),"")</f>
        <v>90</v>
      </c>
      <c r="H146" s="8" t="n">
        <f aca="false">IF(OR(G146="",I146=""),"",G146*I146)</f>
        <v>1350</v>
      </c>
      <c r="I146" s="9" t="n">
        <v>15</v>
      </c>
      <c r="J146" s="6" t="s">
        <v>16</v>
      </c>
      <c r="K146" s="6" t="s">
        <v>41</v>
      </c>
    </row>
    <row r="147" customFormat="false" ht="15" hidden="false" customHeight="false" outlineLevel="0" collapsed="false">
      <c r="A147" s="6" t="n">
        <v>138</v>
      </c>
      <c r="B147" s="6"/>
      <c r="C147" s="6" t="s">
        <v>45</v>
      </c>
      <c r="D147" s="6" t="s">
        <v>46</v>
      </c>
      <c r="E147" s="6" t="s">
        <v>47</v>
      </c>
      <c r="F147" s="7" t="n">
        <f aca="false">IFERROR(INDEX(FIYAT_KAYNAK!$F$3:$F$47,MATCH("CHINT|570003",FIYAT_KAYNAK!$A$3:$A$47,0)),"")</f>
        <v>869</v>
      </c>
      <c r="G147" s="8" t="n">
        <f aca="false">IFERROR(INDEX(FIYAT_KAYNAK!$J$3:$J$47,MATCH("CHINT|570003",FIYAT_KAYNAK!$A$3:$A$47,0)),"")</f>
        <v>521.4</v>
      </c>
      <c r="H147" s="8" t="n">
        <f aca="false">IF(OR(G147="",I147=""),"",G147*I147)</f>
        <v>1042.8</v>
      </c>
      <c r="I147" s="9" t="n">
        <v>2</v>
      </c>
      <c r="J147" s="6" t="s">
        <v>16</v>
      </c>
      <c r="K147" s="6" t="s">
        <v>48</v>
      </c>
    </row>
    <row r="148" customFormat="false" ht="15" hidden="false" customHeight="false" outlineLevel="0" collapsed="false">
      <c r="A148" s="6" t="n">
        <v>139</v>
      </c>
      <c r="B148" s="6"/>
      <c r="C148" s="6" t="s">
        <v>45</v>
      </c>
      <c r="D148" s="6" t="s">
        <v>104</v>
      </c>
      <c r="E148" s="6" t="s">
        <v>105</v>
      </c>
      <c r="F148" s="7" t="n">
        <f aca="false">IFERROR(INDEX(FIYAT_KAYNAK!$F$3:$F$47,MATCH("EKT|270300079_",FIYAT_KAYNAK!$A$3:$A$47,0)),"")</f>
        <v>1094</v>
      </c>
      <c r="G148" s="8" t="n">
        <f aca="false">IFERROR(INDEX(FIYAT_KAYNAK!$J$3:$J$47,MATCH("EKT|270300079_",FIYAT_KAYNAK!$A$3:$A$47,0)),"")</f>
        <v>1094</v>
      </c>
      <c r="H148" s="8" t="n">
        <f aca="false">IF(OR(G148="",I148=""),"",G148*I148)</f>
        <v>2188</v>
      </c>
      <c r="I148" s="9" t="n">
        <v>2</v>
      </c>
      <c r="J148" s="6" t="s">
        <v>16</v>
      </c>
      <c r="K148" s="6" t="s">
        <v>41</v>
      </c>
    </row>
    <row r="149" customFormat="false" ht="15" hidden="false" customHeight="false" outlineLevel="0" collapsed="false">
      <c r="A149" s="6" t="n">
        <v>140</v>
      </c>
      <c r="B149" s="6"/>
      <c r="C149" s="6" t="s">
        <v>45</v>
      </c>
      <c r="D149" s="6"/>
      <c r="E149" s="6" t="s">
        <v>51</v>
      </c>
      <c r="F149" s="6"/>
      <c r="G149" s="8" t="n">
        <f aca="false">SUM(H137:H148)*Kurallar!$B$13</f>
        <v>3098.20581645</v>
      </c>
      <c r="H149" s="8" t="n">
        <f aca="false">G149*I149</f>
        <v>3098.20581645</v>
      </c>
      <c r="I149" s="8" t="n">
        <v>1</v>
      </c>
      <c r="J149" s="6" t="s">
        <v>52</v>
      </c>
      <c r="K149" s="6" t="s">
        <v>53</v>
      </c>
    </row>
    <row r="150" customFormat="false" ht="15" hidden="false" customHeight="false" outlineLevel="0" collapsed="false">
      <c r="A150" s="6" t="n">
        <v>141</v>
      </c>
      <c r="B150" s="6"/>
      <c r="C150" s="6" t="s">
        <v>54</v>
      </c>
      <c r="D150" s="6"/>
      <c r="E150" s="6" t="s">
        <v>55</v>
      </c>
      <c r="F150" s="10" t="n">
        <f aca="false">I150/60</f>
        <v>3.15291666666667</v>
      </c>
      <c r="G150" s="8" t="n">
        <f aca="false">Kurallar!$B$11</f>
        <v>100</v>
      </c>
      <c r="H150" s="8" t="n">
        <f aca="false">G150*I150</f>
        <v>18917.5</v>
      </c>
      <c r="I150" s="8" t="n">
        <f aca="false">Kurallar!$T$39</f>
        <v>189.175</v>
      </c>
      <c r="J150" s="6" t="s">
        <v>56</v>
      </c>
      <c r="K150" s="6" t="s">
        <v>57</v>
      </c>
    </row>
    <row r="151" customFormat="false" ht="15" hidden="false" customHeight="false" outlineLevel="0" collapsed="false">
      <c r="A151" s="2"/>
      <c r="B151" s="5" t="s">
        <v>161</v>
      </c>
      <c r="C151" s="4"/>
      <c r="D151" s="4"/>
      <c r="E151" s="4"/>
      <c r="F151" s="4"/>
      <c r="G151" s="4"/>
      <c r="H151" s="11" t="n">
        <f aca="false">SUBTOTAL(9,H137:H150)</f>
        <v>125289.23303145</v>
      </c>
      <c r="I151" s="5" t="n">
        <v>10</v>
      </c>
      <c r="J151" s="5" t="s">
        <v>52</v>
      </c>
      <c r="K151" s="4"/>
    </row>
    <row r="152" customFormat="false" ht="15" hidden="false" customHeight="false" outlineLevel="0" collapsed="false">
      <c r="A152" s="12" t="n">
        <v>142</v>
      </c>
      <c r="B152" s="12"/>
      <c r="C152" s="12" t="s">
        <v>89</v>
      </c>
      <c r="D152" s="12"/>
      <c r="E152" s="12" t="s">
        <v>162</v>
      </c>
      <c r="F152" s="12"/>
      <c r="G152" s="12"/>
      <c r="H152" s="12"/>
      <c r="I152" s="13" t="n">
        <v>1</v>
      </c>
      <c r="J152" s="12" t="s">
        <v>16</v>
      </c>
      <c r="K152" s="12"/>
    </row>
    <row r="153" customFormat="false" ht="15" hidden="false" customHeight="false" outlineLevel="0" collapsed="false">
      <c r="A153" s="14"/>
      <c r="B153" s="15" t="s">
        <v>163</v>
      </c>
      <c r="C153" s="14"/>
      <c r="D153" s="14"/>
      <c r="E153" s="14"/>
      <c r="F153" s="14"/>
      <c r="G153" s="14"/>
      <c r="H153" s="16" t="n">
        <f aca="false">H18*I18+H44*I44+H62*I62+H86*I86+H99*I99+H111*I111+H123*I123+H135*I135+H151*I151</f>
        <v>6731239.2644022</v>
      </c>
      <c r="I153" s="14"/>
      <c r="J153" s="14"/>
      <c r="K153" s="14"/>
    </row>
  </sheetData>
  <autoFilter ref="A1:K1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7" t="s">
        <v>164</v>
      </c>
    </row>
    <row r="2" customFormat="false" ht="15" hidden="false" customHeight="false" outlineLevel="0" collapsed="false">
      <c r="A2" s="18" t="s">
        <v>165</v>
      </c>
    </row>
    <row r="4" customFormat="false" ht="15" hidden="false" customHeight="false" outlineLevel="0" collapsed="false">
      <c r="A4" s="1" t="s">
        <v>166</v>
      </c>
      <c r="B4" s="1" t="s">
        <v>167</v>
      </c>
      <c r="C4" s="1" t="s">
        <v>168</v>
      </c>
      <c r="D4" s="1" t="s">
        <v>7</v>
      </c>
      <c r="E4" s="1" t="s">
        <v>169</v>
      </c>
      <c r="F4" s="1" t="s">
        <v>170</v>
      </c>
      <c r="G4" s="1" t="s">
        <v>171</v>
      </c>
      <c r="H4" s="1" t="s">
        <v>172</v>
      </c>
    </row>
    <row r="5" customFormat="false" ht="15" hidden="false" customHeight="false" outlineLevel="0" collapsed="false">
      <c r="A5" s="15" t="s">
        <v>11</v>
      </c>
      <c r="B5" s="8" t="n">
        <v>1</v>
      </c>
      <c r="C5" s="8" t="n">
        <f aca="false">BOM!H18</f>
        <v>2190307.4976891</v>
      </c>
      <c r="D5" s="8" t="n">
        <f aca="false">B5*C5</f>
        <v>2190307.4976891</v>
      </c>
      <c r="E5" s="8" t="n">
        <v>93.2</v>
      </c>
      <c r="F5" s="8" t="n">
        <v>200</v>
      </c>
      <c r="G5" s="19" t="n">
        <f aca="false">E5/F5</f>
        <v>0.466</v>
      </c>
      <c r="H5" s="6" t="str">
        <f aca="false">IF(E5/F5&gt;1,"⛔ КОРПУС МАЛ",IF(E5/F5&gt;0.8,"⚠ РЕЗЕРВ &lt;20%","✅ OK"))</f>
        <v>✅ OK</v>
      </c>
    </row>
    <row r="6" customFormat="false" ht="15" hidden="false" customHeight="false" outlineLevel="0" collapsed="false">
      <c r="A6" s="15" t="s">
        <v>66</v>
      </c>
      <c r="B6" s="8" t="n">
        <v>1</v>
      </c>
      <c r="C6" s="8" t="n">
        <f aca="false">BOM!H44</f>
        <v>471852.81965945</v>
      </c>
      <c r="D6" s="8" t="n">
        <f aca="false">B6*C6</f>
        <v>471852.81965945</v>
      </c>
      <c r="E6" s="8" t="n">
        <v>48.6</v>
      </c>
      <c r="F6" s="8" t="n">
        <v>96</v>
      </c>
      <c r="G6" s="19" t="n">
        <f aca="false">E6/F6</f>
        <v>0.50625</v>
      </c>
      <c r="H6" s="6" t="str">
        <f aca="false">IF(E6/F6&gt;1,"⛔ КОРПУС МАЛ",IF(E6/F6&gt;0.8,"⚠ РЕЗЕРВ &lt;20%","✅ OK"))</f>
        <v>✅ OK</v>
      </c>
    </row>
    <row r="7" customFormat="false" ht="15" hidden="false" customHeight="false" outlineLevel="0" collapsed="false">
      <c r="A7" s="15" t="s">
        <v>108</v>
      </c>
      <c r="B7" s="8" t="n">
        <v>1</v>
      </c>
      <c r="C7" s="8" t="n">
        <f aca="false">BOM!H62</f>
        <v>1480453.86131485</v>
      </c>
      <c r="D7" s="8" t="n">
        <f aca="false">B7*C7</f>
        <v>1480453.86131485</v>
      </c>
      <c r="E7" s="8" t="n">
        <v>80</v>
      </c>
      <c r="F7" s="8" t="n">
        <v>150</v>
      </c>
      <c r="G7" s="19" t="n">
        <f aca="false">E7/F7</f>
        <v>0.533333333333333</v>
      </c>
      <c r="H7" s="6" t="str">
        <f aca="false">IF(E7/F7&gt;1,"⛔ КОРПУС МАЛ",IF(E7/F7&gt;0.8,"⚠ РЕЗЕРВ &lt;20%","✅ OK"))</f>
        <v>✅ OK</v>
      </c>
    </row>
    <row r="8" customFormat="false" ht="15" hidden="false" customHeight="false" outlineLevel="0" collapsed="false">
      <c r="A8" s="15" t="s">
        <v>126</v>
      </c>
      <c r="B8" s="8" t="n">
        <v>1</v>
      </c>
      <c r="C8" s="8" t="n">
        <f aca="false">BOM!H86</f>
        <v>471852.81965945</v>
      </c>
      <c r="D8" s="8" t="n">
        <f aca="false">B8*C8</f>
        <v>471852.81965945</v>
      </c>
      <c r="E8" s="8" t="n">
        <v>48.6</v>
      </c>
      <c r="F8" s="8" t="n">
        <v>96</v>
      </c>
      <c r="G8" s="19" t="n">
        <f aca="false">E8/F8</f>
        <v>0.50625</v>
      </c>
      <c r="H8" s="6" t="str">
        <f aca="false">IF(E8/F8&gt;1,"⛔ КОРПУС МАЛ",IF(E8/F8&gt;0.8,"⚠ РЕЗЕРВ &lt;20%","✅ OK"))</f>
        <v>✅ OK</v>
      </c>
    </row>
    <row r="9" customFormat="false" ht="15" hidden="false" customHeight="false" outlineLevel="0" collapsed="false">
      <c r="A9" s="15" t="s">
        <v>129</v>
      </c>
      <c r="B9" s="8" t="n">
        <v>1</v>
      </c>
      <c r="C9" s="8" t="n">
        <f aca="false">BOM!H99</f>
        <v>249594.502805375</v>
      </c>
      <c r="D9" s="8" t="n">
        <f aca="false">B9*C9</f>
        <v>249594.502805375</v>
      </c>
      <c r="E9" s="8" t="n">
        <v>23.8</v>
      </c>
      <c r="F9" s="8" t="n">
        <v>96</v>
      </c>
      <c r="G9" s="19" t="n">
        <f aca="false">E9/F9</f>
        <v>0.247916666666667</v>
      </c>
      <c r="H9" s="6" t="str">
        <f aca="false">IF(E9/F9&gt;1,"⛔ КОРПУС МАЛ",IF(E9/F9&gt;0.8,"⚠ РЕЗЕРВ &lt;20%","✅ OK"))</f>
        <v>✅ OK</v>
      </c>
    </row>
    <row r="10" customFormat="false" ht="15" hidden="false" customHeight="false" outlineLevel="0" collapsed="false">
      <c r="A10" s="15" t="s">
        <v>137</v>
      </c>
      <c r="B10" s="8" t="n">
        <v>1</v>
      </c>
      <c r="C10" s="8" t="n">
        <f aca="false">BOM!H111</f>
        <v>217693.870526075</v>
      </c>
      <c r="D10" s="8" t="n">
        <f aca="false">B10*C10</f>
        <v>217693.870526075</v>
      </c>
      <c r="E10" s="8" t="n">
        <v>25</v>
      </c>
      <c r="F10" s="8" t="n">
        <v>48</v>
      </c>
      <c r="G10" s="19" t="n">
        <f aca="false">E10/F10</f>
        <v>0.520833333333333</v>
      </c>
      <c r="H10" s="6" t="str">
        <f aca="false">IF(E10/F10&gt;1,"⛔ КОРПУС МАЛ",IF(E10/F10&gt;0.8,"⚠ РЕЗЕРВ &lt;20%","✅ OK"))</f>
        <v>✅ OK</v>
      </c>
    </row>
    <row r="11" customFormat="false" ht="15" hidden="false" customHeight="false" outlineLevel="0" collapsed="false">
      <c r="A11" s="15" t="s">
        <v>144</v>
      </c>
      <c r="B11" s="8" t="n">
        <v>1</v>
      </c>
      <c r="C11" s="8" t="n">
        <f aca="false">BOM!H123</f>
        <v>198295.7812167</v>
      </c>
      <c r="D11" s="8" t="n">
        <f aca="false">B11*C11</f>
        <v>198295.7812167</v>
      </c>
      <c r="E11" s="8" t="n">
        <v>20.8</v>
      </c>
      <c r="F11" s="8" t="n">
        <v>48</v>
      </c>
      <c r="G11" s="19" t="n">
        <f aca="false">E11/F11</f>
        <v>0.433333333333333</v>
      </c>
      <c r="H11" s="6" t="str">
        <f aca="false">IF(E11/F11&gt;1,"⛔ КОРПУС МАЛ",IF(E11/F11&gt;0.8,"⚠ РЕЗЕРВ &lt;20%","✅ OK"))</f>
        <v>✅ OK</v>
      </c>
    </row>
    <row r="12" customFormat="false" ht="15" hidden="false" customHeight="false" outlineLevel="0" collapsed="false">
      <c r="A12" s="15" t="s">
        <v>147</v>
      </c>
      <c r="B12" s="8" t="n">
        <v>1</v>
      </c>
      <c r="C12" s="8" t="n">
        <f aca="false">BOM!H135</f>
        <v>198295.7812167</v>
      </c>
      <c r="D12" s="8" t="n">
        <f aca="false">B12*C12</f>
        <v>198295.7812167</v>
      </c>
      <c r="E12" s="8" t="n">
        <v>20.8</v>
      </c>
      <c r="F12" s="8" t="n">
        <v>48</v>
      </c>
      <c r="G12" s="19" t="n">
        <f aca="false">E12/F12</f>
        <v>0.433333333333333</v>
      </c>
      <c r="H12" s="6" t="str">
        <f aca="false">IF(E12/F12&gt;1,"⛔ КОРПУС МАЛ",IF(E12/F12&gt;0.8,"⚠ РЕЗЕРВ &lt;20%","✅ OK"))</f>
        <v>✅ OK</v>
      </c>
    </row>
    <row r="13" customFormat="false" ht="15" hidden="false" customHeight="false" outlineLevel="0" collapsed="false">
      <c r="A13" s="15" t="s">
        <v>149</v>
      </c>
      <c r="B13" s="8" t="n">
        <v>10</v>
      </c>
      <c r="C13" s="8" t="n">
        <f aca="false">BOM!H151</f>
        <v>125289.23303145</v>
      </c>
      <c r="D13" s="8" t="n">
        <f aca="false">B13*C13</f>
        <v>1252892.3303145</v>
      </c>
      <c r="E13" s="8" t="n">
        <v>19.5</v>
      </c>
      <c r="F13" s="8" t="n">
        <v>48</v>
      </c>
      <c r="G13" s="19" t="n">
        <f aca="false">E13/F13</f>
        <v>0.40625</v>
      </c>
      <c r="H13" s="6" t="str">
        <f aca="false">IF(E13/F13&gt;1,"⛔ КОРПУС МАЛ",IF(E13/F13&gt;0.8,"⚠ РЕЗЕРВ &lt;20%","✅ OK"))</f>
        <v>✅ OK</v>
      </c>
    </row>
    <row r="14" customFormat="false" ht="15" hidden="false" customHeight="false" outlineLevel="0" collapsed="false">
      <c r="A14" s="5" t="s">
        <v>173</v>
      </c>
      <c r="B14" s="4"/>
      <c r="C14" s="4"/>
      <c r="D14" s="20" t="n">
        <f aca="false">SUM(D5:D13)</f>
        <v>6731239.2644022</v>
      </c>
      <c r="E14" s="4"/>
      <c r="F14" s="4"/>
      <c r="G14" s="4"/>
      <c r="H14" s="4"/>
    </row>
  </sheetData>
  <conditionalFormatting sqref="H5:H13">
    <cfRule type="cellIs" priority="2" operator="equal" aboveAverage="0" equalAverage="0" bottom="0" percent="0" rank="0" text="" dxfId="7">
      <formula>"⛔ КОРПУС МАЛ"</formula>
    </cfRule>
    <cfRule type="cellIs" priority="3" operator="equal" aboveAverage="0" equalAverage="0" bottom="0" percent="0" rank="0" text="" dxfId="8">
      <formula>"⚠ РЕЗЕРВ &lt;20%"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10" min="2" style="0" width="11"/>
  </cols>
  <sheetData>
    <row r="1" customFormat="false" ht="16.15" hidden="false" customHeight="false" outlineLevel="0" collapsed="false">
      <c r="A1" s="17" t="s">
        <v>174</v>
      </c>
    </row>
    <row r="2" customFormat="false" ht="15" hidden="false" customHeight="false" outlineLevel="0" collapsed="false">
      <c r="A2" s="18" t="s">
        <v>175</v>
      </c>
    </row>
    <row r="4" customFormat="false" ht="15" hidden="false" customHeight="false" outlineLevel="0" collapsed="false">
      <c r="A4" s="21" t="s">
        <v>176</v>
      </c>
      <c r="B4" s="22" t="s">
        <v>177</v>
      </c>
    </row>
    <row r="5" customFormat="false" ht="15" hidden="false" customHeight="false" outlineLevel="0" collapsed="false">
      <c r="A5" s="21" t="s">
        <v>178</v>
      </c>
      <c r="B5" s="22" t="s">
        <v>179</v>
      </c>
    </row>
    <row r="6" customFormat="false" ht="15" hidden="false" customHeight="false" outlineLevel="0" collapsed="false">
      <c r="A6" s="21" t="s">
        <v>180</v>
      </c>
      <c r="B6" s="22" t="s">
        <v>181</v>
      </c>
    </row>
    <row r="7" customFormat="false" ht="15" hidden="false" customHeight="false" outlineLevel="0" collapsed="false">
      <c r="A7" s="21" t="s">
        <v>182</v>
      </c>
      <c r="B7" s="22" t="s">
        <v>183</v>
      </c>
    </row>
    <row r="8" customFormat="false" ht="15" hidden="false" customHeight="false" outlineLevel="0" collapsed="false">
      <c r="A8" s="21" t="s">
        <v>184</v>
      </c>
      <c r="B8" s="22" t="s">
        <v>185</v>
      </c>
    </row>
    <row r="10" customFormat="false" ht="15" hidden="false" customHeight="false" outlineLevel="0" collapsed="false">
      <c r="A10" s="21" t="s">
        <v>186</v>
      </c>
    </row>
    <row r="11" customFormat="false" ht="15" hidden="false" customHeight="false" outlineLevel="0" collapsed="false">
      <c r="A11" s="22" t="s">
        <v>187</v>
      </c>
      <c r="B11" s="23" t="n">
        <v>100</v>
      </c>
      <c r="C11" s="22" t="s">
        <v>188</v>
      </c>
    </row>
    <row r="12" customFormat="false" ht="15" hidden="false" customHeight="false" outlineLevel="0" collapsed="false">
      <c r="A12" s="22" t="s">
        <v>189</v>
      </c>
      <c r="B12" s="23" t="n">
        <v>1.15</v>
      </c>
      <c r="C12" s="22" t="s">
        <v>190</v>
      </c>
    </row>
    <row r="13" customFormat="false" ht="15" hidden="false" customHeight="false" outlineLevel="0" collapsed="false">
      <c r="A13" s="22" t="s">
        <v>191</v>
      </c>
      <c r="B13" s="24" t="n">
        <v>0.03</v>
      </c>
      <c r="C13" s="22" t="s">
        <v>192</v>
      </c>
    </row>
    <row r="14" customFormat="false" ht="15" hidden="false" customHeight="false" outlineLevel="0" collapsed="false">
      <c r="A14" s="22" t="s">
        <v>193</v>
      </c>
      <c r="B14" s="23" t="n">
        <v>2</v>
      </c>
      <c r="C14" s="22" t="s">
        <v>194</v>
      </c>
    </row>
    <row r="16" customFormat="false" ht="15" hidden="false" customHeight="false" outlineLevel="0" collapsed="false">
      <c r="A16" s="21" t="s">
        <v>195</v>
      </c>
    </row>
    <row r="17" customFormat="false" ht="15" hidden="false" customHeight="false" outlineLevel="0" collapsed="false">
      <c r="A17" s="25" t="s">
        <v>196</v>
      </c>
      <c r="B17" s="25" t="s">
        <v>197</v>
      </c>
      <c r="C17" s="25" t="s">
        <v>198</v>
      </c>
      <c r="D17" s="25" t="s">
        <v>199</v>
      </c>
      <c r="E17" s="25" t="s">
        <v>200</v>
      </c>
      <c r="F17" s="25" t="s">
        <v>201</v>
      </c>
      <c r="G17" s="25" t="s">
        <v>202</v>
      </c>
      <c r="H17" s="25" t="s">
        <v>203</v>
      </c>
      <c r="I17" s="25" t="s">
        <v>204</v>
      </c>
      <c r="J17" s="25" t="s">
        <v>205</v>
      </c>
      <c r="K17" s="25" t="s">
        <v>206</v>
      </c>
      <c r="L17" s="25" t="s">
        <v>207</v>
      </c>
      <c r="M17" s="25" t="s">
        <v>208</v>
      </c>
      <c r="N17" s="25" t="s">
        <v>209</v>
      </c>
      <c r="O17" s="25" t="s">
        <v>210</v>
      </c>
      <c r="P17" s="25" t="s">
        <v>211</v>
      </c>
      <c r="Q17" s="25" t="s">
        <v>212</v>
      </c>
      <c r="R17" s="25" t="s">
        <v>213</v>
      </c>
      <c r="S17" s="25" t="s">
        <v>214</v>
      </c>
      <c r="T17" s="25" t="s">
        <v>215</v>
      </c>
      <c r="U17" s="25" t="s">
        <v>216</v>
      </c>
    </row>
    <row r="18" customFormat="false" ht="15" hidden="false" customHeight="false" outlineLevel="0" collapsed="false">
      <c r="A18" s="22" t="s">
        <v>13</v>
      </c>
      <c r="B18" s="26" t="n">
        <v>60</v>
      </c>
      <c r="C18" s="27" t="n">
        <v>1</v>
      </c>
      <c r="D18" s="28" t="n">
        <f aca="false">$B18*C18</f>
        <v>60</v>
      </c>
      <c r="E18" s="27" t="n">
        <v>1</v>
      </c>
      <c r="F18" s="28" t="n">
        <f aca="false">$B18*E18</f>
        <v>60</v>
      </c>
      <c r="G18" s="27" t="n">
        <v>1</v>
      </c>
      <c r="H18" s="28" t="n">
        <f aca="false">$B18*G18</f>
        <v>60</v>
      </c>
      <c r="I18" s="27" t="n">
        <v>1</v>
      </c>
      <c r="J18" s="28" t="n">
        <f aca="false">$B18*I18</f>
        <v>60</v>
      </c>
      <c r="K18" s="27" t="n">
        <v>1</v>
      </c>
      <c r="L18" s="28" t="n">
        <f aca="false">$B18*K18</f>
        <v>60</v>
      </c>
      <c r="M18" s="27" t="n">
        <v>1</v>
      </c>
      <c r="N18" s="28" t="n">
        <f aca="false">$B18*M18</f>
        <v>60</v>
      </c>
      <c r="O18" s="27" t="n">
        <v>1</v>
      </c>
      <c r="P18" s="28" t="n">
        <f aca="false">$B18*O18</f>
        <v>60</v>
      </c>
      <c r="Q18" s="27" t="n">
        <v>1</v>
      </c>
      <c r="R18" s="28" t="n">
        <f aca="false">$B18*Q18</f>
        <v>60</v>
      </c>
      <c r="S18" s="27" t="n">
        <v>1</v>
      </c>
      <c r="T18" s="28" t="n">
        <f aca="false">$B18*S18</f>
        <v>60</v>
      </c>
      <c r="U18" s="22" t="s">
        <v>217</v>
      </c>
    </row>
    <row r="19" customFormat="false" ht="15" hidden="false" customHeight="false" outlineLevel="0" collapsed="false">
      <c r="A19" s="22" t="s">
        <v>18</v>
      </c>
      <c r="B19" s="26" t="n">
        <v>25</v>
      </c>
      <c r="C19" s="27" t="n">
        <v>5</v>
      </c>
      <c r="D19" s="28" t="n">
        <f aca="false">$B19*C19</f>
        <v>125</v>
      </c>
      <c r="E19" s="27" t="n">
        <v>1</v>
      </c>
      <c r="F19" s="28" t="n">
        <f aca="false">$B19*E19</f>
        <v>25</v>
      </c>
      <c r="G19" s="27" t="n">
        <v>5</v>
      </c>
      <c r="H19" s="28" t="n">
        <f aca="false">$B19*G19</f>
        <v>125</v>
      </c>
      <c r="I19" s="27" t="n">
        <v>1</v>
      </c>
      <c r="J19" s="28" t="n">
        <f aca="false">$B19*I19</f>
        <v>25</v>
      </c>
      <c r="K19" s="27" t="n">
        <v>1</v>
      </c>
      <c r="L19" s="28" t="n">
        <f aca="false">$B19*K19</f>
        <v>25</v>
      </c>
      <c r="M19" s="27" t="n">
        <v>0</v>
      </c>
      <c r="N19" s="28" t="n">
        <f aca="false">$B19*M19</f>
        <v>0</v>
      </c>
      <c r="O19" s="27" t="n">
        <v>0</v>
      </c>
      <c r="P19" s="28" t="n">
        <f aca="false">$B19*O19</f>
        <v>0</v>
      </c>
      <c r="Q19" s="27" t="n">
        <v>0</v>
      </c>
      <c r="R19" s="28" t="n">
        <f aca="false">$B19*Q19</f>
        <v>0</v>
      </c>
      <c r="S19" s="27" t="n">
        <v>0</v>
      </c>
      <c r="T19" s="28" t="n">
        <f aca="false">$B19*S19</f>
        <v>0</v>
      </c>
      <c r="U19" s="22" t="s">
        <v>218</v>
      </c>
    </row>
    <row r="20" customFormat="false" ht="15" hidden="false" customHeight="false" outlineLevel="0" collapsed="false">
      <c r="A20" s="22" t="s">
        <v>27</v>
      </c>
      <c r="B20" s="26" t="n">
        <v>4</v>
      </c>
      <c r="C20" s="27" t="n">
        <v>6</v>
      </c>
      <c r="D20" s="28" t="n">
        <f aca="false">$B20*C20</f>
        <v>24</v>
      </c>
      <c r="E20" s="27" t="n">
        <v>7</v>
      </c>
      <c r="F20" s="28" t="n">
        <f aca="false">$B20*E20</f>
        <v>28</v>
      </c>
      <c r="G20" s="27" t="n">
        <v>2</v>
      </c>
      <c r="H20" s="28" t="n">
        <f aca="false">$B20*G20</f>
        <v>8</v>
      </c>
      <c r="I20" s="27" t="n">
        <v>7</v>
      </c>
      <c r="J20" s="28" t="n">
        <f aca="false">$B20*I20</f>
        <v>28</v>
      </c>
      <c r="K20" s="27" t="n">
        <v>3</v>
      </c>
      <c r="L20" s="28" t="n">
        <f aca="false">$B20*K20</f>
        <v>12</v>
      </c>
      <c r="M20" s="27" t="n">
        <v>5</v>
      </c>
      <c r="N20" s="28" t="n">
        <f aca="false">$B20*M20</f>
        <v>20</v>
      </c>
      <c r="O20" s="27" t="n">
        <v>4</v>
      </c>
      <c r="P20" s="28" t="n">
        <f aca="false">$B20*O20</f>
        <v>16</v>
      </c>
      <c r="Q20" s="27" t="n">
        <v>4</v>
      </c>
      <c r="R20" s="28" t="n">
        <f aca="false">$B20*Q20</f>
        <v>16</v>
      </c>
      <c r="S20" s="27" t="n">
        <v>3</v>
      </c>
      <c r="T20" s="28" t="n">
        <f aca="false">$B20*S20</f>
        <v>12</v>
      </c>
      <c r="U20" s="22" t="s">
        <v>219</v>
      </c>
    </row>
    <row r="21" customFormat="false" ht="15" hidden="false" customHeight="false" outlineLevel="0" collapsed="false">
      <c r="A21" s="22" t="s">
        <v>118</v>
      </c>
      <c r="B21" s="26" t="n">
        <v>6</v>
      </c>
      <c r="C21" s="27" t="n">
        <v>0</v>
      </c>
      <c r="D21" s="28" t="n">
        <f aca="false">$B21*C21</f>
        <v>0</v>
      </c>
      <c r="E21" s="27" t="n">
        <v>0</v>
      </c>
      <c r="F21" s="28" t="n">
        <f aca="false">$B21*E21</f>
        <v>0</v>
      </c>
      <c r="G21" s="27" t="n">
        <v>3</v>
      </c>
      <c r="H21" s="28" t="n">
        <f aca="false">$B21*G21</f>
        <v>18</v>
      </c>
      <c r="I21" s="27" t="n">
        <v>0</v>
      </c>
      <c r="J21" s="28" t="n">
        <f aca="false">$B21*I21</f>
        <v>0</v>
      </c>
      <c r="K21" s="27" t="n">
        <v>0</v>
      </c>
      <c r="L21" s="28" t="n">
        <f aca="false">$B21*K21</f>
        <v>0</v>
      </c>
      <c r="M21" s="27" t="n">
        <v>0</v>
      </c>
      <c r="N21" s="28" t="n">
        <f aca="false">$B21*M21</f>
        <v>0</v>
      </c>
      <c r="O21" s="27" t="n">
        <v>0</v>
      </c>
      <c r="P21" s="28" t="n">
        <f aca="false">$B21*O21</f>
        <v>0</v>
      </c>
      <c r="Q21" s="27" t="n">
        <v>0</v>
      </c>
      <c r="R21" s="28" t="n">
        <f aca="false">$B21*Q21</f>
        <v>0</v>
      </c>
      <c r="S21" s="27" t="n">
        <v>0</v>
      </c>
      <c r="T21" s="28" t="n">
        <f aca="false">$B21*S21</f>
        <v>0</v>
      </c>
      <c r="U21" s="22" t="s">
        <v>220</v>
      </c>
    </row>
    <row r="22" customFormat="false" ht="15" hidden="false" customHeight="false" outlineLevel="0" collapsed="false">
      <c r="A22" s="22" t="s">
        <v>22</v>
      </c>
      <c r="B22" s="26" t="n">
        <v>20</v>
      </c>
      <c r="C22" s="27" t="n">
        <v>1</v>
      </c>
      <c r="D22" s="28" t="n">
        <f aca="false">$B22*C22</f>
        <v>20</v>
      </c>
      <c r="E22" s="27" t="n">
        <v>0</v>
      </c>
      <c r="F22" s="28" t="n">
        <f aca="false">$B22*E22</f>
        <v>0</v>
      </c>
      <c r="G22" s="27" t="n">
        <v>1</v>
      </c>
      <c r="H22" s="28" t="n">
        <f aca="false">$B22*G22</f>
        <v>20</v>
      </c>
      <c r="I22" s="27" t="n">
        <v>0</v>
      </c>
      <c r="J22" s="28" t="n">
        <f aca="false">$B22*I22</f>
        <v>0</v>
      </c>
      <c r="K22" s="27" t="n">
        <v>0</v>
      </c>
      <c r="L22" s="28" t="n">
        <f aca="false">$B22*K22</f>
        <v>0</v>
      </c>
      <c r="M22" s="27" t="n">
        <v>0</v>
      </c>
      <c r="N22" s="28" t="n">
        <f aca="false">$B22*M22</f>
        <v>0</v>
      </c>
      <c r="O22" s="27" t="n">
        <v>0</v>
      </c>
      <c r="P22" s="28" t="n">
        <f aca="false">$B22*O22</f>
        <v>0</v>
      </c>
      <c r="Q22" s="27" t="n">
        <v>0</v>
      </c>
      <c r="R22" s="28" t="n">
        <f aca="false">$B22*Q22</f>
        <v>0</v>
      </c>
      <c r="S22" s="27" t="n">
        <v>1</v>
      </c>
      <c r="T22" s="28" t="n">
        <f aca="false">$B22*S22</f>
        <v>20</v>
      </c>
      <c r="U22" s="22" t="s">
        <v>221</v>
      </c>
    </row>
    <row r="23" customFormat="false" ht="15" hidden="false" customHeight="false" outlineLevel="0" collapsed="false">
      <c r="A23" s="22" t="s">
        <v>222</v>
      </c>
      <c r="B23" s="26" t="n">
        <v>5</v>
      </c>
      <c r="C23" s="27" t="n">
        <v>0</v>
      </c>
      <c r="D23" s="28" t="n">
        <f aca="false">$B23*C23</f>
        <v>0</v>
      </c>
      <c r="E23" s="27" t="n">
        <v>0</v>
      </c>
      <c r="F23" s="28" t="n">
        <f aca="false">$B23*E23</f>
        <v>0</v>
      </c>
      <c r="G23" s="27" t="n">
        <v>0</v>
      </c>
      <c r="H23" s="28" t="n">
        <f aca="false">$B23*G23</f>
        <v>0</v>
      </c>
      <c r="I23" s="27" t="n">
        <v>0</v>
      </c>
      <c r="J23" s="28" t="n">
        <f aca="false">$B23*I23</f>
        <v>0</v>
      </c>
      <c r="K23" s="27" t="n">
        <v>0</v>
      </c>
      <c r="L23" s="28" t="n">
        <f aca="false">$B23*K23</f>
        <v>0</v>
      </c>
      <c r="M23" s="27" t="n">
        <v>0</v>
      </c>
      <c r="N23" s="28" t="n">
        <f aca="false">$B23*M23</f>
        <v>0</v>
      </c>
      <c r="O23" s="27" t="n">
        <v>0</v>
      </c>
      <c r="P23" s="28" t="n">
        <f aca="false">$B23*O23</f>
        <v>0</v>
      </c>
      <c r="Q23" s="27" t="n">
        <v>0</v>
      </c>
      <c r="R23" s="28" t="n">
        <f aca="false">$B23*Q23</f>
        <v>0</v>
      </c>
      <c r="S23" s="27" t="n">
        <v>0</v>
      </c>
      <c r="T23" s="28" t="n">
        <f aca="false">$B23*S23</f>
        <v>0</v>
      </c>
      <c r="U23" s="22" t="s">
        <v>223</v>
      </c>
    </row>
    <row r="24" customFormat="false" ht="15" hidden="false" customHeight="false" outlineLevel="0" collapsed="false">
      <c r="A24" s="22" t="s">
        <v>78</v>
      </c>
      <c r="B24" s="26" t="n">
        <v>12</v>
      </c>
      <c r="C24" s="27" t="n">
        <v>0</v>
      </c>
      <c r="D24" s="28" t="n">
        <f aca="false">$B24*C24</f>
        <v>0</v>
      </c>
      <c r="E24" s="27" t="n">
        <v>4</v>
      </c>
      <c r="F24" s="28" t="n">
        <f aca="false">$B24*E24</f>
        <v>48</v>
      </c>
      <c r="G24" s="27" t="n">
        <v>0</v>
      </c>
      <c r="H24" s="28" t="n">
        <f aca="false">$B24*G24</f>
        <v>0</v>
      </c>
      <c r="I24" s="27" t="n">
        <v>4</v>
      </c>
      <c r="J24" s="28" t="n">
        <f aca="false">$B24*I24</f>
        <v>48</v>
      </c>
      <c r="K24" s="27" t="n">
        <v>0</v>
      </c>
      <c r="L24" s="28" t="n">
        <f aca="false">$B24*K24</f>
        <v>0</v>
      </c>
      <c r="M24" s="27" t="n">
        <v>0</v>
      </c>
      <c r="N24" s="28" t="n">
        <f aca="false">$B24*M24</f>
        <v>0</v>
      </c>
      <c r="O24" s="27" t="n">
        <v>0</v>
      </c>
      <c r="P24" s="28" t="n">
        <f aca="false">$B24*O24</f>
        <v>0</v>
      </c>
      <c r="Q24" s="27" t="n">
        <v>0</v>
      </c>
      <c r="R24" s="28" t="n">
        <f aca="false">$B24*Q24</f>
        <v>0</v>
      </c>
      <c r="S24" s="27" t="n">
        <v>2</v>
      </c>
      <c r="T24" s="28" t="n">
        <f aca="false">$B24*S24</f>
        <v>24</v>
      </c>
      <c r="U24" s="22"/>
    </row>
    <row r="25" customFormat="false" ht="15" hidden="false" customHeight="false" outlineLevel="0" collapsed="false">
      <c r="A25" s="22" t="s">
        <v>89</v>
      </c>
      <c r="B25" s="26" t="n">
        <v>3</v>
      </c>
      <c r="C25" s="27" t="n">
        <v>0</v>
      </c>
      <c r="D25" s="28" t="n">
        <f aca="false">$B25*C25</f>
        <v>0</v>
      </c>
      <c r="E25" s="27" t="n">
        <v>1</v>
      </c>
      <c r="F25" s="28" t="n">
        <f aca="false">$B25*E25</f>
        <v>3</v>
      </c>
      <c r="G25" s="27" t="n">
        <v>0</v>
      </c>
      <c r="H25" s="28" t="n">
        <f aca="false">$B25*G25</f>
        <v>0</v>
      </c>
      <c r="I25" s="27" t="n">
        <v>1</v>
      </c>
      <c r="J25" s="28" t="n">
        <f aca="false">$B25*I25</f>
        <v>3</v>
      </c>
      <c r="K25" s="27" t="n">
        <v>0</v>
      </c>
      <c r="L25" s="28" t="n">
        <f aca="false">$B25*K25</f>
        <v>0</v>
      </c>
      <c r="M25" s="27" t="n">
        <v>0</v>
      </c>
      <c r="N25" s="28" t="n">
        <f aca="false">$B25*M25</f>
        <v>0</v>
      </c>
      <c r="O25" s="27" t="n">
        <v>0</v>
      </c>
      <c r="P25" s="28" t="n">
        <f aca="false">$B25*O25</f>
        <v>0</v>
      </c>
      <c r="Q25" s="27" t="n">
        <v>0</v>
      </c>
      <c r="R25" s="28" t="n">
        <f aca="false">$B25*Q25</f>
        <v>0</v>
      </c>
      <c r="S25" s="27" t="n">
        <v>1</v>
      </c>
      <c r="T25" s="28" t="n">
        <f aca="false">$B25*S25</f>
        <v>3</v>
      </c>
      <c r="U25" s="22" t="s">
        <v>224</v>
      </c>
    </row>
    <row r="26" customFormat="false" ht="15" hidden="false" customHeight="false" outlineLevel="0" collapsed="false">
      <c r="A26" s="22" t="s">
        <v>81</v>
      </c>
      <c r="B26" s="26" t="n">
        <v>6</v>
      </c>
      <c r="C26" s="27" t="n">
        <v>0</v>
      </c>
      <c r="D26" s="28" t="n">
        <f aca="false">$B26*C26</f>
        <v>0</v>
      </c>
      <c r="E26" s="27" t="n">
        <v>2</v>
      </c>
      <c r="F26" s="28" t="n">
        <f aca="false">$B26*E26</f>
        <v>12</v>
      </c>
      <c r="G26" s="27" t="n">
        <v>0</v>
      </c>
      <c r="H26" s="28" t="n">
        <f aca="false">$B26*G26</f>
        <v>0</v>
      </c>
      <c r="I26" s="27" t="n">
        <v>2</v>
      </c>
      <c r="J26" s="28" t="n">
        <f aca="false">$B26*I26</f>
        <v>12</v>
      </c>
      <c r="K26" s="27" t="n">
        <v>0</v>
      </c>
      <c r="L26" s="28" t="n">
        <f aca="false">$B26*K26</f>
        <v>0</v>
      </c>
      <c r="M26" s="27" t="n">
        <v>0</v>
      </c>
      <c r="N26" s="28" t="n">
        <f aca="false">$B26*M26</f>
        <v>0</v>
      </c>
      <c r="O26" s="27" t="n">
        <v>0</v>
      </c>
      <c r="P26" s="28" t="n">
        <f aca="false">$B26*O26</f>
        <v>0</v>
      </c>
      <c r="Q26" s="27" t="n">
        <v>0</v>
      </c>
      <c r="R26" s="28" t="n">
        <f aca="false">$B26*Q26</f>
        <v>0</v>
      </c>
      <c r="S26" s="27" t="n">
        <v>1</v>
      </c>
      <c r="T26" s="28" t="n">
        <f aca="false">$B26*S26</f>
        <v>6</v>
      </c>
      <c r="U26" s="22"/>
    </row>
    <row r="27" customFormat="false" ht="15" hidden="false" customHeight="false" outlineLevel="0" collapsed="false">
      <c r="A27" s="22" t="s">
        <v>86</v>
      </c>
      <c r="B27" s="26" t="n">
        <v>3</v>
      </c>
      <c r="C27" s="27" t="n">
        <v>0</v>
      </c>
      <c r="D27" s="28" t="n">
        <f aca="false">$B27*C27</f>
        <v>0</v>
      </c>
      <c r="E27" s="27" t="n">
        <v>1</v>
      </c>
      <c r="F27" s="28" t="n">
        <f aca="false">$B27*E27</f>
        <v>3</v>
      </c>
      <c r="G27" s="27" t="n">
        <v>0</v>
      </c>
      <c r="H27" s="28" t="n">
        <f aca="false">$B27*G27</f>
        <v>0</v>
      </c>
      <c r="I27" s="27" t="n">
        <v>1</v>
      </c>
      <c r="J27" s="28" t="n">
        <f aca="false">$B27*I27</f>
        <v>3</v>
      </c>
      <c r="K27" s="27" t="n">
        <v>0</v>
      </c>
      <c r="L27" s="28" t="n">
        <f aca="false">$B27*K27</f>
        <v>0</v>
      </c>
      <c r="M27" s="27" t="n">
        <v>0</v>
      </c>
      <c r="N27" s="28" t="n">
        <f aca="false">$B27*M27</f>
        <v>0</v>
      </c>
      <c r="O27" s="27" t="n">
        <v>0</v>
      </c>
      <c r="P27" s="28" t="n">
        <f aca="false">$B27*O27</f>
        <v>0</v>
      </c>
      <c r="Q27" s="27" t="n">
        <v>0</v>
      </c>
      <c r="R27" s="28" t="n">
        <f aca="false">$B27*Q27</f>
        <v>0</v>
      </c>
      <c r="S27" s="27" t="n">
        <v>0</v>
      </c>
      <c r="T27" s="28" t="n">
        <f aca="false">$B27*S27</f>
        <v>0</v>
      </c>
      <c r="U27" s="22"/>
    </row>
    <row r="28" customFormat="false" ht="15" hidden="false" customHeight="false" outlineLevel="0" collapsed="false">
      <c r="A28" s="22" t="s">
        <v>225</v>
      </c>
      <c r="B28" s="26" t="n">
        <v>6</v>
      </c>
      <c r="C28" s="27" t="n">
        <v>0</v>
      </c>
      <c r="D28" s="28" t="n">
        <f aca="false">$B28*C28</f>
        <v>0</v>
      </c>
      <c r="E28" s="27" t="n">
        <v>0</v>
      </c>
      <c r="F28" s="28" t="n">
        <f aca="false">$B28*E28</f>
        <v>0</v>
      </c>
      <c r="G28" s="27" t="n">
        <v>0</v>
      </c>
      <c r="H28" s="28" t="n">
        <f aca="false">$B28*G28</f>
        <v>0</v>
      </c>
      <c r="I28" s="27" t="n">
        <v>0</v>
      </c>
      <c r="J28" s="28" t="n">
        <f aca="false">$B28*I28</f>
        <v>0</v>
      </c>
      <c r="K28" s="27" t="n">
        <v>0</v>
      </c>
      <c r="L28" s="28" t="n">
        <f aca="false">$B28*K28</f>
        <v>0</v>
      </c>
      <c r="M28" s="27" t="n">
        <v>0</v>
      </c>
      <c r="N28" s="28" t="n">
        <f aca="false">$B28*M28</f>
        <v>0</v>
      </c>
      <c r="O28" s="27" t="n">
        <v>0</v>
      </c>
      <c r="P28" s="28" t="n">
        <f aca="false">$B28*O28</f>
        <v>0</v>
      </c>
      <c r="Q28" s="27" t="n">
        <v>0</v>
      </c>
      <c r="R28" s="28" t="n">
        <f aca="false">$B28*Q28</f>
        <v>0</v>
      </c>
      <c r="S28" s="27" t="n">
        <v>0</v>
      </c>
      <c r="T28" s="28" t="n">
        <f aca="false">$B28*S28</f>
        <v>0</v>
      </c>
      <c r="U28" s="22"/>
    </row>
    <row r="29" customFormat="false" ht="15" hidden="false" customHeight="false" outlineLevel="0" collapsed="false">
      <c r="A29" s="22" t="s">
        <v>92</v>
      </c>
      <c r="B29" s="26" t="n">
        <v>5</v>
      </c>
      <c r="C29" s="27" t="n">
        <v>0</v>
      </c>
      <c r="D29" s="28" t="n">
        <f aca="false">$B29*C29</f>
        <v>0</v>
      </c>
      <c r="E29" s="27" t="n">
        <v>1</v>
      </c>
      <c r="F29" s="28" t="n">
        <f aca="false">$B29*E29</f>
        <v>5</v>
      </c>
      <c r="G29" s="27" t="n">
        <v>0</v>
      </c>
      <c r="H29" s="28" t="n">
        <f aca="false">$B29*G29</f>
        <v>0</v>
      </c>
      <c r="I29" s="27" t="n">
        <v>1</v>
      </c>
      <c r="J29" s="28" t="n">
        <f aca="false">$B29*I29</f>
        <v>5</v>
      </c>
      <c r="K29" s="27" t="n">
        <v>0</v>
      </c>
      <c r="L29" s="28" t="n">
        <f aca="false">$B29*K29</f>
        <v>0</v>
      </c>
      <c r="M29" s="27" t="n">
        <v>0</v>
      </c>
      <c r="N29" s="28" t="n">
        <f aca="false">$B29*M29</f>
        <v>0</v>
      </c>
      <c r="O29" s="27" t="n">
        <v>0</v>
      </c>
      <c r="P29" s="28" t="n">
        <f aca="false">$B29*O29</f>
        <v>0</v>
      </c>
      <c r="Q29" s="27" t="n">
        <v>0</v>
      </c>
      <c r="R29" s="28" t="n">
        <f aca="false">$B29*Q29</f>
        <v>0</v>
      </c>
      <c r="S29" s="27" t="n">
        <v>1</v>
      </c>
      <c r="T29" s="28" t="n">
        <f aca="false">$B29*S29</f>
        <v>5</v>
      </c>
      <c r="U29" s="22"/>
    </row>
    <row r="30" customFormat="false" ht="15" hidden="false" customHeight="false" outlineLevel="0" collapsed="false">
      <c r="A30" s="22" t="s">
        <v>226</v>
      </c>
      <c r="B30" s="26" t="n">
        <v>5</v>
      </c>
      <c r="C30" s="27" t="n">
        <v>0</v>
      </c>
      <c r="D30" s="28" t="n">
        <f aca="false">$B30*C30</f>
        <v>0</v>
      </c>
      <c r="E30" s="27" t="n">
        <v>0</v>
      </c>
      <c r="F30" s="28" t="n">
        <f aca="false">$B30*E30</f>
        <v>0</v>
      </c>
      <c r="G30" s="27" t="n">
        <v>0</v>
      </c>
      <c r="H30" s="28" t="n">
        <f aca="false">$B30*G30</f>
        <v>0</v>
      </c>
      <c r="I30" s="27" t="n">
        <v>0</v>
      </c>
      <c r="J30" s="28" t="n">
        <f aca="false">$B30*I30</f>
        <v>0</v>
      </c>
      <c r="K30" s="27" t="n">
        <v>0</v>
      </c>
      <c r="L30" s="28" t="n">
        <f aca="false">$B30*K30</f>
        <v>0</v>
      </c>
      <c r="M30" s="27" t="n">
        <v>0</v>
      </c>
      <c r="N30" s="28" t="n">
        <f aca="false">$B30*M30</f>
        <v>0</v>
      </c>
      <c r="O30" s="27" t="n">
        <v>0</v>
      </c>
      <c r="P30" s="28" t="n">
        <f aca="false">$B30*O30</f>
        <v>0</v>
      </c>
      <c r="Q30" s="27" t="n">
        <v>0</v>
      </c>
      <c r="R30" s="28" t="n">
        <f aca="false">$B30*Q30</f>
        <v>0</v>
      </c>
      <c r="S30" s="27" t="n">
        <v>0</v>
      </c>
      <c r="T30" s="28" t="n">
        <f aca="false">$B30*S30</f>
        <v>0</v>
      </c>
      <c r="U30" s="22"/>
    </row>
    <row r="31" customFormat="false" ht="15" hidden="false" customHeight="false" outlineLevel="0" collapsed="false">
      <c r="A31" s="22" t="s">
        <v>42</v>
      </c>
      <c r="B31" s="26" t="n">
        <v>1.5</v>
      </c>
      <c r="C31" s="27" t="n">
        <v>24</v>
      </c>
      <c r="D31" s="28" t="n">
        <f aca="false">$B31*C31</f>
        <v>36</v>
      </c>
      <c r="E31" s="27" t="n">
        <v>32</v>
      </c>
      <c r="F31" s="28" t="n">
        <f aca="false">$B31*E31</f>
        <v>48</v>
      </c>
      <c r="G31" s="27" t="n">
        <v>20</v>
      </c>
      <c r="H31" s="28" t="n">
        <f aca="false">$B31*G31</f>
        <v>30</v>
      </c>
      <c r="I31" s="27" t="n">
        <v>32</v>
      </c>
      <c r="J31" s="28" t="n">
        <f aca="false">$B31*I31</f>
        <v>48</v>
      </c>
      <c r="K31" s="27" t="n">
        <v>16</v>
      </c>
      <c r="L31" s="28" t="n">
        <f aca="false">$B31*K31</f>
        <v>24</v>
      </c>
      <c r="M31" s="27" t="n">
        <v>20</v>
      </c>
      <c r="N31" s="28" t="n">
        <f aca="false">$B31*M31</f>
        <v>30</v>
      </c>
      <c r="O31" s="27" t="n">
        <v>16</v>
      </c>
      <c r="P31" s="28" t="n">
        <f aca="false">$B31*O31</f>
        <v>24</v>
      </c>
      <c r="Q31" s="27" t="n">
        <v>16</v>
      </c>
      <c r="R31" s="28" t="n">
        <f aca="false">$B31*Q31</f>
        <v>24</v>
      </c>
      <c r="S31" s="27" t="n">
        <v>15</v>
      </c>
      <c r="T31" s="28" t="n">
        <f aca="false">$B31*S31</f>
        <v>22.5</v>
      </c>
      <c r="U31" s="22" t="s">
        <v>227</v>
      </c>
    </row>
    <row r="32" customFormat="false" ht="15" hidden="false" customHeight="false" outlineLevel="0" collapsed="false">
      <c r="A32" s="22" t="s">
        <v>38</v>
      </c>
      <c r="B32" s="26" t="n">
        <v>8</v>
      </c>
      <c r="C32" s="27" t="n">
        <v>2</v>
      </c>
      <c r="D32" s="28" t="n">
        <f aca="false">$B32*C32</f>
        <v>16</v>
      </c>
      <c r="E32" s="27" t="n">
        <v>3</v>
      </c>
      <c r="F32" s="28" t="n">
        <f aca="false">$B32*E32</f>
        <v>24</v>
      </c>
      <c r="G32" s="27" t="n">
        <v>2</v>
      </c>
      <c r="H32" s="28" t="n">
        <f aca="false">$B32*G32</f>
        <v>16</v>
      </c>
      <c r="I32" s="27" t="n">
        <v>3</v>
      </c>
      <c r="J32" s="28" t="n">
        <f aca="false">$B32*I32</f>
        <v>24</v>
      </c>
      <c r="K32" s="27" t="n">
        <v>1</v>
      </c>
      <c r="L32" s="28" t="n">
        <f aca="false">$B32*K32</f>
        <v>8</v>
      </c>
      <c r="M32" s="27" t="n">
        <v>1</v>
      </c>
      <c r="N32" s="28" t="n">
        <f aca="false">$B32*M32</f>
        <v>8</v>
      </c>
      <c r="O32" s="27" t="n">
        <v>1</v>
      </c>
      <c r="P32" s="28" t="n">
        <f aca="false">$B32*O32</f>
        <v>8</v>
      </c>
      <c r="Q32" s="27" t="n">
        <v>1</v>
      </c>
      <c r="R32" s="28" t="n">
        <f aca="false">$B32*Q32</f>
        <v>8</v>
      </c>
      <c r="S32" s="27" t="n">
        <v>0</v>
      </c>
      <c r="T32" s="28" t="n">
        <f aca="false">$B32*S32</f>
        <v>0</v>
      </c>
      <c r="U32" s="22" t="s">
        <v>228</v>
      </c>
    </row>
    <row r="33" customFormat="false" ht="15" hidden="false" customHeight="false" outlineLevel="0" collapsed="false">
      <c r="A33" s="22" t="s">
        <v>64</v>
      </c>
      <c r="B33" s="26" t="n">
        <v>10</v>
      </c>
      <c r="C33" s="27" t="n">
        <v>0</v>
      </c>
      <c r="D33" s="28" t="n">
        <f aca="false">$B33*C33</f>
        <v>0</v>
      </c>
      <c r="E33" s="27" t="n">
        <v>0</v>
      </c>
      <c r="F33" s="28" t="n">
        <f aca="false">$B33*E33</f>
        <v>0</v>
      </c>
      <c r="G33" s="27" t="n">
        <v>0</v>
      </c>
      <c r="H33" s="28" t="n">
        <f aca="false">$B33*G33</f>
        <v>0</v>
      </c>
      <c r="I33" s="27" t="n">
        <v>0</v>
      </c>
      <c r="J33" s="28" t="n">
        <f aca="false">$B33*I33</f>
        <v>0</v>
      </c>
      <c r="K33" s="27" t="n">
        <v>0</v>
      </c>
      <c r="L33" s="28" t="n">
        <f aca="false">$B33*K33</f>
        <v>0</v>
      </c>
      <c r="M33" s="27" t="n">
        <v>0</v>
      </c>
      <c r="N33" s="28" t="n">
        <f aca="false">$B33*M33</f>
        <v>0</v>
      </c>
      <c r="O33" s="27" t="n">
        <v>0</v>
      </c>
      <c r="P33" s="28" t="n">
        <f aca="false">$B33*O33</f>
        <v>0</v>
      </c>
      <c r="Q33" s="27" t="n">
        <v>0</v>
      </c>
      <c r="R33" s="28" t="n">
        <f aca="false">$B33*Q33</f>
        <v>0</v>
      </c>
      <c r="S33" s="27" t="n">
        <v>0</v>
      </c>
      <c r="T33" s="28" t="n">
        <f aca="false">$B33*S33</f>
        <v>0</v>
      </c>
      <c r="U33" s="22" t="s">
        <v>229</v>
      </c>
    </row>
    <row r="34" customFormat="false" ht="15" hidden="false" customHeight="false" outlineLevel="0" collapsed="false">
      <c r="A34" s="22" t="s">
        <v>62</v>
      </c>
      <c r="B34" s="26" t="n">
        <v>20</v>
      </c>
      <c r="C34" s="27" t="n">
        <v>0</v>
      </c>
      <c r="D34" s="28" t="n">
        <f aca="false">$B34*C34</f>
        <v>0</v>
      </c>
      <c r="E34" s="27" t="n">
        <v>0</v>
      </c>
      <c r="F34" s="28" t="n">
        <f aca="false">$B34*E34</f>
        <v>0</v>
      </c>
      <c r="G34" s="27" t="n">
        <v>0</v>
      </c>
      <c r="H34" s="28" t="n">
        <f aca="false">$B34*G34</f>
        <v>0</v>
      </c>
      <c r="I34" s="27" t="n">
        <v>0</v>
      </c>
      <c r="J34" s="28" t="n">
        <f aca="false">$B34*I34</f>
        <v>0</v>
      </c>
      <c r="K34" s="27" t="n">
        <v>0</v>
      </c>
      <c r="L34" s="28" t="n">
        <f aca="false">$B34*K34</f>
        <v>0</v>
      </c>
      <c r="M34" s="27" t="n">
        <v>0</v>
      </c>
      <c r="N34" s="28" t="n">
        <f aca="false">$B34*M34</f>
        <v>0</v>
      </c>
      <c r="O34" s="27" t="n">
        <v>0</v>
      </c>
      <c r="P34" s="28" t="n">
        <f aca="false">$B34*O34</f>
        <v>0</v>
      </c>
      <c r="Q34" s="27" t="n">
        <v>0</v>
      </c>
      <c r="R34" s="28" t="n">
        <f aca="false">$B34*Q34</f>
        <v>0</v>
      </c>
      <c r="S34" s="27" t="n">
        <v>0</v>
      </c>
      <c r="T34" s="28" t="n">
        <f aca="false">$B34*S34</f>
        <v>0</v>
      </c>
      <c r="U34" s="22" t="s">
        <v>230</v>
      </c>
    </row>
    <row r="35" customFormat="false" ht="15" hidden="false" customHeight="false" outlineLevel="0" collapsed="false">
      <c r="A35" s="22" t="s">
        <v>59</v>
      </c>
      <c r="B35" s="26" t="n">
        <v>8</v>
      </c>
      <c r="C35" s="27" t="n">
        <v>0</v>
      </c>
      <c r="D35" s="28" t="n">
        <f aca="false">$B35*C35</f>
        <v>0</v>
      </c>
      <c r="E35" s="27" t="n">
        <v>0</v>
      </c>
      <c r="F35" s="28" t="n">
        <f aca="false">$B35*E35</f>
        <v>0</v>
      </c>
      <c r="G35" s="27" t="n">
        <v>0</v>
      </c>
      <c r="H35" s="28" t="n">
        <f aca="false">$B35*G35</f>
        <v>0</v>
      </c>
      <c r="I35" s="27" t="n">
        <v>0</v>
      </c>
      <c r="J35" s="28" t="n">
        <f aca="false">$B35*I35</f>
        <v>0</v>
      </c>
      <c r="K35" s="27" t="n">
        <v>1</v>
      </c>
      <c r="L35" s="28" t="n">
        <f aca="false">$B35*K35</f>
        <v>8</v>
      </c>
      <c r="M35" s="27" t="n">
        <v>1</v>
      </c>
      <c r="N35" s="28" t="n">
        <f aca="false">$B35*M35</f>
        <v>8</v>
      </c>
      <c r="O35" s="27" t="n">
        <v>1</v>
      </c>
      <c r="P35" s="28" t="n">
        <f aca="false">$B35*O35</f>
        <v>8</v>
      </c>
      <c r="Q35" s="27" t="n">
        <v>1</v>
      </c>
      <c r="R35" s="28" t="n">
        <f aca="false">$B35*Q35</f>
        <v>8</v>
      </c>
      <c r="S35" s="27" t="n">
        <v>0</v>
      </c>
      <c r="T35" s="28" t="n">
        <f aca="false">$B35*S35</f>
        <v>0</v>
      </c>
      <c r="U35" s="22" t="s">
        <v>231</v>
      </c>
    </row>
    <row r="36" customFormat="false" ht="15" hidden="false" customHeight="false" outlineLevel="0" collapsed="false">
      <c r="A36" s="22" t="s">
        <v>45</v>
      </c>
      <c r="B36" s="26" t="n">
        <v>3</v>
      </c>
      <c r="C36" s="27" t="n">
        <v>16</v>
      </c>
      <c r="D36" s="28" t="n">
        <f aca="false">$B36*C36</f>
        <v>48</v>
      </c>
      <c r="E36" s="27" t="n">
        <v>10</v>
      </c>
      <c r="F36" s="28" t="n">
        <f aca="false">$B36*E36</f>
        <v>30</v>
      </c>
      <c r="G36" s="27" t="n">
        <v>12</v>
      </c>
      <c r="H36" s="28" t="n">
        <f aca="false">$B36*G36</f>
        <v>36</v>
      </c>
      <c r="I36" s="27" t="n">
        <v>10</v>
      </c>
      <c r="J36" s="28" t="n">
        <f aca="false">$B36*I36</f>
        <v>30</v>
      </c>
      <c r="K36" s="27" t="n">
        <v>6</v>
      </c>
      <c r="L36" s="28" t="n">
        <f aca="false">$B36*K36</f>
        <v>18</v>
      </c>
      <c r="M36" s="27" t="n">
        <v>6</v>
      </c>
      <c r="N36" s="28" t="n">
        <f aca="false">$B36*M36</f>
        <v>18</v>
      </c>
      <c r="O36" s="27" t="n">
        <v>6</v>
      </c>
      <c r="P36" s="28" t="n">
        <f aca="false">$B36*O36</f>
        <v>18</v>
      </c>
      <c r="Q36" s="27" t="n">
        <v>6</v>
      </c>
      <c r="R36" s="28" t="n">
        <f aca="false">$B36*Q36</f>
        <v>18</v>
      </c>
      <c r="S36" s="27" t="n">
        <v>4</v>
      </c>
      <c r="T36" s="28" t="n">
        <f aca="false">$B36*S36</f>
        <v>12</v>
      </c>
      <c r="U36" s="22" t="s">
        <v>232</v>
      </c>
    </row>
    <row r="38" customFormat="false" ht="15" hidden="false" customHeight="false" outlineLevel="0" collapsed="false">
      <c r="A38" s="21" t="s">
        <v>233</v>
      </c>
      <c r="D38" s="29" t="n">
        <f aca="false">SUM(D18:D36)</f>
        <v>329</v>
      </c>
      <c r="F38" s="29" t="n">
        <f aca="false">SUM(F18:F36)</f>
        <v>286</v>
      </c>
      <c r="H38" s="29" t="n">
        <f aca="false">SUM(H18:H36)</f>
        <v>313</v>
      </c>
      <c r="J38" s="29" t="n">
        <f aca="false">SUM(J18:J36)</f>
        <v>286</v>
      </c>
      <c r="L38" s="29" t="n">
        <f aca="false">SUM(L18:L36)</f>
        <v>155</v>
      </c>
      <c r="N38" s="29" t="n">
        <f aca="false">SUM(N18:N36)</f>
        <v>144</v>
      </c>
      <c r="P38" s="29" t="n">
        <f aca="false">SUM(P18:P36)</f>
        <v>134</v>
      </c>
      <c r="R38" s="29" t="n">
        <f aca="false">SUM(R18:R36)</f>
        <v>134</v>
      </c>
      <c r="T38" s="29" t="n">
        <f aca="false">SUM(T18:T36)</f>
        <v>164.5</v>
      </c>
    </row>
    <row r="39" customFormat="false" ht="15" hidden="false" customHeight="false" outlineLevel="0" collapsed="false">
      <c r="A39" s="21" t="s">
        <v>234</v>
      </c>
      <c r="D39" s="30" t="n">
        <f aca="false">Kurallar!$D$38*Kurallar!$B$12</f>
        <v>378.35</v>
      </c>
      <c r="F39" s="30" t="n">
        <f aca="false">Kurallar!$F$38*Kurallar!$B$12</f>
        <v>328.9</v>
      </c>
      <c r="H39" s="30" t="n">
        <f aca="false">Kurallar!$H$38*Kurallar!$B$12</f>
        <v>359.95</v>
      </c>
      <c r="J39" s="30" t="n">
        <f aca="false">Kurallar!$J$38*Kurallar!$B$12</f>
        <v>328.9</v>
      </c>
      <c r="L39" s="30" t="n">
        <f aca="false">Kurallar!$L$38*Kurallar!$B$12</f>
        <v>178.25</v>
      </c>
      <c r="N39" s="30" t="n">
        <f aca="false">Kurallar!$N$38*Kurallar!$B$12</f>
        <v>165.6</v>
      </c>
      <c r="P39" s="30" t="n">
        <f aca="false">Kurallar!$P$38*Kurallar!$B$12</f>
        <v>154.1</v>
      </c>
      <c r="R39" s="30" t="n">
        <f aca="false">Kurallar!$R$38*Kurallar!$B$12</f>
        <v>154.1</v>
      </c>
      <c r="T39" s="30" t="n">
        <f aca="false">Kurallar!$T$38*Kurallar!$B$12</f>
        <v>189.175</v>
      </c>
    </row>
    <row r="41" customFormat="false" ht="15" hidden="false" customHeight="false" outlineLevel="0" collapsed="false">
      <c r="A41" s="21" t="s">
        <v>235</v>
      </c>
    </row>
    <row r="42" customFormat="false" ht="15" hidden="false" customHeight="false" outlineLevel="0" collapsed="false">
      <c r="A42" s="22" t="s">
        <v>236</v>
      </c>
      <c r="B42" s="31" t="n">
        <v>536.55</v>
      </c>
      <c r="C42" s="22" t="s">
        <v>237</v>
      </c>
    </row>
    <row r="43" customFormat="false" ht="15" hidden="false" customHeight="false" outlineLevel="0" collapsed="false">
      <c r="A43" s="22" t="s">
        <v>238</v>
      </c>
      <c r="B43" s="31" t="n">
        <v>13.5</v>
      </c>
      <c r="C43" s="22" t="s">
        <v>239</v>
      </c>
    </row>
    <row r="44" customFormat="false" ht="15" hidden="false" customHeight="false" outlineLevel="0" collapsed="false">
      <c r="A44" s="22" t="s">
        <v>240</v>
      </c>
      <c r="B44" s="31" t="n">
        <v>1</v>
      </c>
      <c r="C44" s="22" t="s">
        <v>241</v>
      </c>
    </row>
    <row r="46" customFormat="false" ht="15" hidden="false" customHeight="false" outlineLevel="0" collapsed="false">
      <c r="A46" s="21" t="s">
        <v>242</v>
      </c>
    </row>
    <row r="47" customFormat="false" ht="15" hidden="false" customHeight="false" outlineLevel="0" collapsed="false">
      <c r="A47" s="25" t="s">
        <v>243</v>
      </c>
      <c r="B47" s="25" t="s">
        <v>244</v>
      </c>
      <c r="C47" s="25" t="s">
        <v>216</v>
      </c>
    </row>
    <row r="48" customFormat="false" ht="15" hidden="false" customHeight="false" outlineLevel="0" collapsed="false">
      <c r="A48" s="22" t="s">
        <v>21</v>
      </c>
      <c r="B48" s="32" t="n">
        <v>0.405</v>
      </c>
      <c r="C48" s="22" t="s">
        <v>245</v>
      </c>
    </row>
    <row r="49" customFormat="false" ht="15" hidden="false" customHeight="false" outlineLevel="0" collapsed="false">
      <c r="A49" s="22" t="s">
        <v>48</v>
      </c>
      <c r="B49" s="32" t="n">
        <v>0.6</v>
      </c>
      <c r="C49" s="22" t="s">
        <v>246</v>
      </c>
    </row>
    <row r="50" customFormat="false" ht="15" hidden="false" customHeight="false" outlineLevel="0" collapsed="false">
      <c r="A50" s="22" t="s">
        <v>41</v>
      </c>
      <c r="B50" s="32" t="n">
        <v>1</v>
      </c>
      <c r="C50" s="22" t="s">
        <v>247</v>
      </c>
    </row>
    <row r="51" customFormat="false" ht="15" hidden="false" customHeight="false" outlineLevel="0" collapsed="false">
      <c r="A51" s="22" t="s">
        <v>17</v>
      </c>
      <c r="B51" s="32" t="n">
        <v>1</v>
      </c>
      <c r="C51" s="22" t="s">
        <v>248</v>
      </c>
    </row>
    <row r="53" customFormat="false" ht="15" hidden="false" customHeight="false" outlineLevel="0" collapsed="false">
      <c r="A53" s="21" t="s">
        <v>249</v>
      </c>
    </row>
    <row r="54" customFormat="false" ht="15" hidden="false" customHeight="false" outlineLevel="0" collapsed="false">
      <c r="A54" s="22" t="s">
        <v>250</v>
      </c>
    </row>
    <row r="55" customFormat="false" ht="15" hidden="false" customHeight="false" outlineLevel="0" collapsed="false">
      <c r="A55" s="22" t="s">
        <v>251</v>
      </c>
    </row>
    <row r="56" customFormat="false" ht="15" hidden="false" customHeight="false" outlineLevel="0" collapsed="false">
      <c r="A56" s="22" t="s">
        <v>252</v>
      </c>
    </row>
    <row r="57" customFormat="false" ht="15" hidden="false" customHeight="false" outlineLevel="0" collapsed="false">
      <c r="A57" s="22" t="s">
        <v>253</v>
      </c>
    </row>
    <row r="58" customFormat="false" ht="15" hidden="false" customHeight="false" outlineLevel="0" collapsed="false">
      <c r="A58" s="22"/>
    </row>
    <row r="59" customFormat="false" ht="15" hidden="false" customHeight="false" outlineLevel="0" collapsed="false">
      <c r="A59" s="22" t="s">
        <v>254</v>
      </c>
    </row>
    <row r="60" customFormat="false" ht="15" hidden="false" customHeight="false" outlineLevel="0" collapsed="false">
      <c r="A60" s="22" t="s">
        <v>255</v>
      </c>
    </row>
    <row r="61" customFormat="false" ht="15" hidden="false" customHeight="false" outlineLevel="0" collapsed="false">
      <c r="A61" s="22" t="s">
        <v>256</v>
      </c>
    </row>
    <row r="62" customFormat="false" ht="15" hidden="false" customHeight="false" outlineLevel="0" collapsed="false">
      <c r="A62" s="22" t="s">
        <v>257</v>
      </c>
    </row>
    <row r="63" customFormat="false" ht="15" hidden="false" customHeight="false" outlineLevel="0" collapsed="false">
      <c r="A63" s="22" t="s">
        <v>258</v>
      </c>
    </row>
    <row r="64" customFormat="false" ht="15" hidden="false" customHeight="false" outlineLevel="0" collapsed="false">
      <c r="A64" s="22" t="s">
        <v>259</v>
      </c>
    </row>
    <row r="65" customFormat="false" ht="15" hidden="false" customHeight="false" outlineLevel="0" collapsed="false">
      <c r="A65" s="22" t="s">
        <v>260</v>
      </c>
    </row>
    <row r="66" customFormat="false" ht="15" hidden="false" customHeight="false" outlineLevel="0" collapsed="false">
      <c r="A66" s="22" t="s">
        <v>261</v>
      </c>
    </row>
    <row r="67" customFormat="false" ht="15" hidden="false" customHeight="false" outlineLevel="0" collapsed="false">
      <c r="A67" s="22" t="s">
        <v>262</v>
      </c>
    </row>
    <row r="68" customFormat="false" ht="15" hidden="false" customHeight="false" outlineLevel="0" collapsed="false">
      <c r="A68" s="22" t="s">
        <v>263</v>
      </c>
    </row>
    <row r="69" customFormat="false" ht="15" hidden="false" customHeight="false" outlineLevel="0" collapsed="false">
      <c r="A69" s="22" t="s">
        <v>264</v>
      </c>
    </row>
    <row r="70" customFormat="false" ht="15" hidden="false" customHeight="false" outlineLevel="0" collapsed="false">
      <c r="A70" s="22" t="s">
        <v>265</v>
      </c>
    </row>
    <row r="71" customFormat="false" ht="15" hidden="false" customHeight="false" outlineLevel="0" collapsed="false">
      <c r="A71" s="22" t="s">
        <v>266</v>
      </c>
    </row>
    <row r="72" customFormat="false" ht="15" hidden="false" customHeight="false" outlineLevel="0" collapsed="false">
      <c r="A72" s="22" t="s">
        <v>267</v>
      </c>
    </row>
    <row r="73" customFormat="false" ht="15" hidden="false" customHeight="false" outlineLevel="0" collapsed="false">
      <c r="A73" s="22" t="s">
        <v>268</v>
      </c>
    </row>
    <row r="74" customFormat="false" ht="15" hidden="false" customHeight="false" outlineLevel="0" collapsed="false">
      <c r="A74" s="22" t="s">
        <v>269</v>
      </c>
    </row>
    <row r="75" customFormat="false" ht="15" hidden="false" customHeight="false" outlineLevel="0" collapsed="false">
      <c r="A75" s="22" t="s">
        <v>270</v>
      </c>
    </row>
    <row r="76" customFormat="false" ht="15" hidden="false" customHeight="false" outlineLevel="0" collapsed="false">
      <c r="A76" s="22" t="s">
        <v>271</v>
      </c>
    </row>
    <row r="77" customFormat="false" ht="15" hidden="false" customHeight="false" outlineLevel="0" collapsed="false">
      <c r="A77" s="22" t="s">
        <v>272</v>
      </c>
    </row>
    <row r="78" customFormat="false" ht="15" hidden="false" customHeight="false" outlineLevel="0" collapsed="false">
      <c r="A78" s="22"/>
    </row>
    <row r="79" customFormat="false" ht="15" hidden="false" customHeight="false" outlineLevel="0" collapsed="false">
      <c r="A79" s="22" t="s">
        <v>273</v>
      </c>
    </row>
    <row r="80" customFormat="false" ht="15" hidden="false" customHeight="false" outlineLevel="0" collapsed="false">
      <c r="A80" s="22" t="s">
        <v>274</v>
      </c>
    </row>
    <row r="81" customFormat="false" ht="15" hidden="false" customHeight="false" outlineLevel="0" collapsed="false">
      <c r="A81" s="22" t="s">
        <v>275</v>
      </c>
    </row>
    <row r="82" customFormat="false" ht="15" hidden="false" customHeight="false" outlineLevel="0" collapsed="false">
      <c r="A82" s="22" t="s">
        <v>276</v>
      </c>
    </row>
    <row r="83" customFormat="false" ht="15" hidden="false" customHeight="false" outlineLevel="0" collapsed="false">
      <c r="A83" s="22" t="s">
        <v>277</v>
      </c>
    </row>
    <row r="84" customFormat="false" ht="15" hidden="false" customHeight="false" outlineLevel="0" collapsed="false">
      <c r="A84" s="22" t="s">
        <v>278</v>
      </c>
    </row>
    <row r="85" customFormat="false" ht="15" hidden="false" customHeight="false" outlineLevel="0" collapsed="false">
      <c r="A85" s="22" t="s">
        <v>279</v>
      </c>
    </row>
    <row r="86" customFormat="false" ht="15" hidden="false" customHeight="false" outlineLevel="0" collapsed="false">
      <c r="A86" s="22" t="s">
        <v>280</v>
      </c>
    </row>
    <row r="87" customFormat="false" ht="15" hidden="false" customHeight="false" outlineLevel="0" collapsed="false">
      <c r="A87" s="22" t="s">
        <v>281</v>
      </c>
    </row>
    <row r="88" customFormat="false" ht="15" hidden="false" customHeight="false" outlineLevel="0" collapsed="false">
      <c r="A88" s="22" t="s">
        <v>282</v>
      </c>
    </row>
    <row r="89" customFormat="false" ht="15" hidden="false" customHeight="false" outlineLevel="0" collapsed="false">
      <c r="A89" s="22" t="s">
        <v>283</v>
      </c>
    </row>
    <row r="90" customFormat="false" ht="15" hidden="false" customHeight="false" outlineLevel="0" collapsed="false">
      <c r="A90" s="22" t="s">
        <v>284</v>
      </c>
    </row>
    <row r="91" customFormat="false" ht="15" hidden="false" customHeight="false" outlineLevel="0" collapsed="false">
      <c r="A91" s="22" t="s">
        <v>285</v>
      </c>
    </row>
    <row r="92" customFormat="false" ht="15" hidden="false" customHeight="false" outlineLevel="0" collapsed="false">
      <c r="A92" s="22" t="s">
        <v>286</v>
      </c>
    </row>
    <row r="93" customFormat="false" ht="15" hidden="false" customHeight="false" outlineLevel="0" collapsed="false">
      <c r="A93" s="22" t="s">
        <v>287</v>
      </c>
    </row>
    <row r="94" customFormat="false" ht="15" hidden="false" customHeight="false" outlineLevel="0" collapsed="false">
      <c r="A94" s="22" t="s">
        <v>288</v>
      </c>
    </row>
    <row r="95" customFormat="false" ht="15" hidden="false" customHeight="false" outlineLevel="0" collapsed="false">
      <c r="A95" s="22" t="s">
        <v>289</v>
      </c>
    </row>
    <row r="96" customFormat="false" ht="15" hidden="false" customHeight="false" outlineLevel="0" collapsed="false">
      <c r="A96" s="22" t="s">
        <v>290</v>
      </c>
    </row>
    <row r="97" customFormat="false" ht="15" hidden="false" customHeight="false" outlineLevel="0" collapsed="false">
      <c r="A97" s="22" t="s">
        <v>291</v>
      </c>
    </row>
    <row r="98" customFormat="false" ht="15" hidden="false" customHeight="false" outlineLevel="0" collapsed="false">
      <c r="A98" s="22" t="s">
        <v>292</v>
      </c>
    </row>
    <row r="99" customFormat="false" ht="15" hidden="false" customHeight="false" outlineLevel="0" collapsed="false">
      <c r="A99" s="22" t="s">
        <v>293</v>
      </c>
    </row>
    <row r="100" customFormat="false" ht="15" hidden="false" customHeight="false" outlineLevel="0" collapsed="false">
      <c r="A100" s="22" t="s">
        <v>294</v>
      </c>
    </row>
    <row r="101" customFormat="false" ht="15" hidden="false" customHeight="false" outlineLevel="0" collapsed="false">
      <c r="A101" s="22" t="s">
        <v>295</v>
      </c>
    </row>
    <row r="102" customFormat="false" ht="15" hidden="false" customHeight="false" outlineLevel="0" collapsed="false">
      <c r="A102" s="22" t="s">
        <v>296</v>
      </c>
    </row>
    <row r="103" customFormat="false" ht="15" hidden="false" customHeight="false" outlineLevel="0" collapsed="false">
      <c r="A103" s="22" t="s">
        <v>297</v>
      </c>
    </row>
    <row r="104" customFormat="false" ht="15" hidden="false" customHeight="false" outlineLevel="0" collapsed="false">
      <c r="A104" s="22" t="s">
        <v>298</v>
      </c>
    </row>
    <row r="105" customFormat="false" ht="15" hidden="false" customHeight="false" outlineLevel="0" collapsed="false">
      <c r="A105" s="22" t="s">
        <v>299</v>
      </c>
    </row>
    <row r="106" customFormat="false" ht="15" hidden="false" customHeight="false" outlineLevel="0" collapsed="false">
      <c r="A106" s="22" t="s">
        <v>300</v>
      </c>
    </row>
    <row r="107" customFormat="false" ht="15" hidden="false" customHeight="false" outlineLevel="0" collapsed="false">
      <c r="A107" s="22" t="s">
        <v>301</v>
      </c>
    </row>
    <row r="108" customFormat="false" ht="15" hidden="false" customHeight="false" outlineLevel="0" collapsed="false">
      <c r="A108" s="22" t="s">
        <v>302</v>
      </c>
    </row>
    <row r="109" customFormat="false" ht="15" hidden="false" customHeight="false" outlineLevel="0" collapsed="false">
      <c r="A109" s="22" t="s">
        <v>303</v>
      </c>
    </row>
    <row r="110" customFormat="false" ht="15" hidden="false" customHeight="false" outlineLevel="0" collapsed="false">
      <c r="A110" s="22" t="s">
        <v>304</v>
      </c>
    </row>
    <row r="111" customFormat="false" ht="15" hidden="false" customHeight="false" outlineLevel="0" collapsed="false">
      <c r="A111" s="22" t="s">
        <v>305</v>
      </c>
    </row>
    <row r="112" customFormat="false" ht="15" hidden="false" customHeight="false" outlineLevel="0" collapsed="false">
      <c r="A112" s="22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56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6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1" min="11" style="0" width="22"/>
  </cols>
  <sheetData>
    <row r="1" customFormat="false" ht="15" hidden="false" customHeight="false" outlineLevel="0" collapsed="false">
      <c r="A1" s="18" t="s">
        <v>307</v>
      </c>
    </row>
    <row r="2" customFormat="false" ht="15" hidden="false" customHeight="false" outlineLevel="0" collapsed="false">
      <c r="A2" s="25" t="s">
        <v>308</v>
      </c>
      <c r="B2" s="25" t="s">
        <v>243</v>
      </c>
      <c r="C2" s="25" t="s">
        <v>309</v>
      </c>
      <c r="D2" s="25" t="s">
        <v>310</v>
      </c>
      <c r="E2" s="25" t="s">
        <v>311</v>
      </c>
      <c r="F2" s="25" t="s">
        <v>312</v>
      </c>
      <c r="G2" s="25" t="s">
        <v>313</v>
      </c>
      <c r="H2" s="25" t="s">
        <v>244</v>
      </c>
      <c r="I2" s="25" t="s">
        <v>314</v>
      </c>
      <c r="J2" s="25" t="s">
        <v>315</v>
      </c>
      <c r="K2" s="25" t="s">
        <v>316</v>
      </c>
    </row>
    <row r="3" customFormat="false" ht="15" hidden="false" customHeight="false" outlineLevel="0" collapsed="false">
      <c r="A3" s="22" t="s">
        <v>317</v>
      </c>
      <c r="B3" s="22" t="s">
        <v>17</v>
      </c>
      <c r="C3" s="22" t="s">
        <v>14</v>
      </c>
      <c r="D3" s="22" t="s">
        <v>15</v>
      </c>
      <c r="E3" s="22" t="s">
        <v>318</v>
      </c>
      <c r="F3" s="33" t="n">
        <v>148675</v>
      </c>
      <c r="G3" s="22" t="s">
        <v>240</v>
      </c>
      <c r="H3" s="34" t="n">
        <f aca="false">IFERROR(INDEX(Kurallar!$B$48:$B$51,MATCH(B3,Kurallar!$A$48:$A$51,0)),"")</f>
        <v>1</v>
      </c>
      <c r="I3" s="33" t="n">
        <f aca="false">IFERROR(INDEX(Kurallar!$B$42:$B$44,MATCH(G3,Kurallar!$A$42:$A$44,0)),"")</f>
        <v>1</v>
      </c>
      <c r="J3" s="35" t="n">
        <f aca="false">IF(OR(F3="",H3="",H3=0,I3=""),"",F3*H3*I3)</f>
        <v>148675</v>
      </c>
      <c r="K3" s="22" t="s">
        <v>319</v>
      </c>
    </row>
    <row r="4" customFormat="false" ht="15" hidden="false" customHeight="false" outlineLevel="0" collapsed="false">
      <c r="A4" s="22" t="s">
        <v>320</v>
      </c>
      <c r="B4" s="22" t="s">
        <v>21</v>
      </c>
      <c r="C4" s="22" t="s">
        <v>19</v>
      </c>
      <c r="D4" s="22" t="s">
        <v>321</v>
      </c>
      <c r="E4" s="22" t="s">
        <v>16</v>
      </c>
      <c r="F4" s="33" t="n">
        <v>1810</v>
      </c>
      <c r="G4" s="22" t="s">
        <v>236</v>
      </c>
      <c r="H4" s="34" t="n">
        <f aca="false">IFERROR(INDEX(Kurallar!$B$48:$B$51,MATCH(B4,Kurallar!$A$48:$A$51,0)),"")</f>
        <v>0.405</v>
      </c>
      <c r="I4" s="33" t="n">
        <f aca="false">IFERROR(INDEX(Kurallar!$B$42:$B$44,MATCH(G4,Kurallar!$A$42:$A$44,0)),"")</f>
        <v>536.55</v>
      </c>
      <c r="J4" s="35" t="n">
        <f aca="false">IF(OR(F4="",H4="",H4=0,I4=""),"",F4*H4*I4)</f>
        <v>393317.9775</v>
      </c>
      <c r="K4" s="22" t="s">
        <v>322</v>
      </c>
    </row>
    <row r="5" customFormat="false" ht="15" hidden="false" customHeight="false" outlineLevel="0" collapsed="false">
      <c r="A5" s="22" t="s">
        <v>323</v>
      </c>
      <c r="B5" s="22" t="s">
        <v>21</v>
      </c>
      <c r="C5" s="22" t="s">
        <v>23</v>
      </c>
      <c r="D5" s="22" t="s">
        <v>324</v>
      </c>
      <c r="E5" s="22" t="s">
        <v>16</v>
      </c>
      <c r="F5" s="33" t="n">
        <v>3945</v>
      </c>
      <c r="G5" s="22" t="s">
        <v>236</v>
      </c>
      <c r="H5" s="34" t="n">
        <f aca="false">IFERROR(INDEX(Kurallar!$B$48:$B$51,MATCH(B5,Kurallar!$A$48:$A$51,0)),"")</f>
        <v>0.405</v>
      </c>
      <c r="I5" s="33" t="n">
        <f aca="false">IFERROR(INDEX(Kurallar!$B$42:$B$44,MATCH(G5,Kurallar!$A$42:$A$44,0)),"")</f>
        <v>536.55</v>
      </c>
      <c r="J5" s="35" t="n">
        <f aca="false">IF(OR(F5="",H5="",H5=0,I5=""),"",F5*H5*I5)</f>
        <v>857259.34875</v>
      </c>
      <c r="K5" s="22" t="s">
        <v>322</v>
      </c>
    </row>
    <row r="6" customFormat="false" ht="15" hidden="false" customHeight="false" outlineLevel="0" collapsed="false">
      <c r="A6" s="22" t="s">
        <v>325</v>
      </c>
      <c r="B6" s="22" t="s">
        <v>21</v>
      </c>
      <c r="C6" s="22" t="s">
        <v>25</v>
      </c>
      <c r="D6" s="22" t="s">
        <v>326</v>
      </c>
      <c r="E6" s="22" t="s">
        <v>16</v>
      </c>
      <c r="F6" s="33" t="n">
        <v>317.9</v>
      </c>
      <c r="G6" s="22" t="s">
        <v>236</v>
      </c>
      <c r="H6" s="34" t="n">
        <f aca="false">IFERROR(INDEX(Kurallar!$B$48:$B$51,MATCH(B6,Kurallar!$A$48:$A$51,0)),"")</f>
        <v>0.405</v>
      </c>
      <c r="I6" s="33" t="n">
        <f aca="false">IFERROR(INDEX(Kurallar!$B$42:$B$44,MATCH(G6,Kurallar!$A$42:$A$44,0)),"")</f>
        <v>536.55</v>
      </c>
      <c r="J6" s="35" t="n">
        <f aca="false">IF(OR(F6="",H6="",H6=0,I6=""),"",F6*H6*I6)</f>
        <v>69080.544225</v>
      </c>
      <c r="K6" s="22" t="s">
        <v>322</v>
      </c>
    </row>
    <row r="7" customFormat="false" ht="15" hidden="false" customHeight="false" outlineLevel="0" collapsed="false">
      <c r="A7" s="22" t="s">
        <v>327</v>
      </c>
      <c r="B7" s="22" t="s">
        <v>21</v>
      </c>
      <c r="C7" s="22" t="s">
        <v>28</v>
      </c>
      <c r="D7" s="22" t="s">
        <v>328</v>
      </c>
      <c r="E7" s="22" t="s">
        <v>16</v>
      </c>
      <c r="F7" s="33" t="n">
        <v>107.1</v>
      </c>
      <c r="G7" s="22" t="s">
        <v>236</v>
      </c>
      <c r="H7" s="34" t="n">
        <f aca="false">IFERROR(INDEX(Kurallar!$B$48:$B$51,MATCH(B7,Kurallar!$A$48:$A$51,0)),"")</f>
        <v>0.405</v>
      </c>
      <c r="I7" s="33" t="n">
        <f aca="false">IFERROR(INDEX(Kurallar!$B$42:$B$44,MATCH(G7,Kurallar!$A$42:$A$44,0)),"")</f>
        <v>536.55</v>
      </c>
      <c r="J7" s="35" t="n">
        <f aca="false">IF(OR(F7="",H7="",H7=0,I7=""),"",F7*H7*I7)</f>
        <v>23273.124525</v>
      </c>
      <c r="K7" s="22" t="s">
        <v>322</v>
      </c>
    </row>
    <row r="8" customFormat="false" ht="15" hidden="false" customHeight="false" outlineLevel="0" collapsed="false">
      <c r="A8" s="22" t="s">
        <v>329</v>
      </c>
      <c r="B8" s="22" t="s">
        <v>21</v>
      </c>
      <c r="C8" s="22" t="s">
        <v>30</v>
      </c>
      <c r="D8" s="22" t="s">
        <v>330</v>
      </c>
      <c r="E8" s="22" t="s">
        <v>16</v>
      </c>
      <c r="F8" s="33" t="n">
        <v>246.1</v>
      </c>
      <c r="G8" s="22" t="s">
        <v>236</v>
      </c>
      <c r="H8" s="34" t="n">
        <f aca="false">IFERROR(INDEX(Kurallar!$B$48:$B$51,MATCH(B8,Kurallar!$A$48:$A$51,0)),"")</f>
        <v>0.405</v>
      </c>
      <c r="I8" s="33" t="n">
        <f aca="false">IFERROR(INDEX(Kurallar!$B$42:$B$44,MATCH(G8,Kurallar!$A$42:$A$44,0)),"")</f>
        <v>536.55</v>
      </c>
      <c r="J8" s="35" t="n">
        <f aca="false">IF(OR(F8="",H8="",H8=0,I8=""),"",F8*H8*I8)</f>
        <v>53478.206775</v>
      </c>
      <c r="K8" s="22" t="s">
        <v>322</v>
      </c>
    </row>
    <row r="9" customFormat="false" ht="15" hidden="false" customHeight="false" outlineLevel="0" collapsed="false">
      <c r="A9" s="22" t="s">
        <v>331</v>
      </c>
      <c r="B9" s="22" t="s">
        <v>21</v>
      </c>
      <c r="C9" s="22" t="s">
        <v>32</v>
      </c>
      <c r="D9" s="22" t="s">
        <v>332</v>
      </c>
      <c r="E9" s="22" t="s">
        <v>16</v>
      </c>
      <c r="F9" s="33" t="n">
        <v>63.02</v>
      </c>
      <c r="G9" s="22" t="s">
        <v>236</v>
      </c>
      <c r="H9" s="34" t="n">
        <f aca="false">IFERROR(INDEX(Kurallar!$B$48:$B$51,MATCH(B9,Kurallar!$A$48:$A$51,0)),"")</f>
        <v>0.405</v>
      </c>
      <c r="I9" s="33" t="n">
        <f aca="false">IFERROR(INDEX(Kurallar!$B$42:$B$44,MATCH(G9,Kurallar!$A$42:$A$44,0)),"")</f>
        <v>536.55</v>
      </c>
      <c r="J9" s="35" t="n">
        <f aca="false">IF(OR(F9="",H9="",H9=0,I9=""),"",F9*H9*I9)</f>
        <v>13694.419305</v>
      </c>
      <c r="K9" s="22" t="s">
        <v>322</v>
      </c>
    </row>
    <row r="10" customFormat="false" ht="15" hidden="false" customHeight="false" outlineLevel="0" collapsed="false">
      <c r="A10" s="22" t="s">
        <v>333</v>
      </c>
      <c r="B10" s="22" t="s">
        <v>21</v>
      </c>
      <c r="C10" s="22" t="s">
        <v>34</v>
      </c>
      <c r="D10" s="22" t="s">
        <v>334</v>
      </c>
      <c r="E10" s="22" t="s">
        <v>16</v>
      </c>
      <c r="F10" s="33" t="n">
        <v>81.89</v>
      </c>
      <c r="G10" s="22" t="s">
        <v>236</v>
      </c>
      <c r="H10" s="34" t="n">
        <f aca="false">IFERROR(INDEX(Kurallar!$B$48:$B$51,MATCH(B10,Kurallar!$A$48:$A$51,0)),"")</f>
        <v>0.405</v>
      </c>
      <c r="I10" s="33" t="n">
        <f aca="false">IFERROR(INDEX(Kurallar!$B$42:$B$44,MATCH(G10,Kurallar!$A$42:$A$44,0)),"")</f>
        <v>536.55</v>
      </c>
      <c r="J10" s="35" t="n">
        <f aca="false">IF(OR(F10="",H10="",H10=0,I10=""),"",F10*H10*I10)</f>
        <v>17794.9221975</v>
      </c>
      <c r="K10" s="22" t="s">
        <v>322</v>
      </c>
    </row>
    <row r="11" customFormat="false" ht="15" hidden="false" customHeight="false" outlineLevel="0" collapsed="false">
      <c r="A11" s="22" t="s">
        <v>335</v>
      </c>
      <c r="B11" s="22" t="s">
        <v>21</v>
      </c>
      <c r="C11" s="22" t="s">
        <v>36</v>
      </c>
      <c r="D11" s="22" t="s">
        <v>336</v>
      </c>
      <c r="E11" s="22" t="s">
        <v>16</v>
      </c>
      <c r="F11" s="33" t="n">
        <v>13.99</v>
      </c>
      <c r="G11" s="22" t="s">
        <v>236</v>
      </c>
      <c r="H11" s="34" t="n">
        <f aca="false">IFERROR(INDEX(Kurallar!$B$48:$B$51,MATCH(B11,Kurallar!$A$48:$A$51,0)),"")</f>
        <v>0.405</v>
      </c>
      <c r="I11" s="33" t="n">
        <f aca="false">IFERROR(INDEX(Kurallar!$B$42:$B$44,MATCH(G11,Kurallar!$A$42:$A$44,0)),"")</f>
        <v>536.55</v>
      </c>
      <c r="J11" s="35" t="n">
        <f aca="false">IF(OR(F11="",H11="",H11=0,I11=""),"",F11*H11*I11)</f>
        <v>3040.0654725</v>
      </c>
      <c r="K11" s="22" t="s">
        <v>322</v>
      </c>
    </row>
    <row r="12" customFormat="false" ht="15" hidden="false" customHeight="false" outlineLevel="0" collapsed="false">
      <c r="A12" s="22" t="s">
        <v>337</v>
      </c>
      <c r="B12" s="22" t="s">
        <v>41</v>
      </c>
      <c r="C12" s="22" t="s">
        <v>39</v>
      </c>
      <c r="D12" s="22" t="s">
        <v>338</v>
      </c>
      <c r="E12" s="22" t="s">
        <v>16</v>
      </c>
      <c r="F12" s="33" t="n">
        <v>17515</v>
      </c>
      <c r="G12" s="22" t="s">
        <v>240</v>
      </c>
      <c r="H12" s="34" t="n">
        <f aca="false">IFERROR(INDEX(Kurallar!$B$48:$B$51,MATCH(B12,Kurallar!$A$48:$A$51,0)),"")</f>
        <v>1</v>
      </c>
      <c r="I12" s="33" t="n">
        <f aca="false">IFERROR(INDEX(Kurallar!$B$42:$B$44,MATCH(G12,Kurallar!$A$42:$A$44,0)),"")</f>
        <v>1</v>
      </c>
      <c r="J12" s="35" t="n">
        <f aca="false">IF(OR(F12="",H12="",H12=0,I12=""),"",F12*H12*I12)</f>
        <v>17515</v>
      </c>
      <c r="K12" s="22" t="s">
        <v>339</v>
      </c>
    </row>
    <row r="13" customFormat="false" ht="15" hidden="false" customHeight="false" outlineLevel="0" collapsed="false">
      <c r="A13" s="22" t="s">
        <v>340</v>
      </c>
      <c r="B13" s="22" t="s">
        <v>41</v>
      </c>
      <c r="C13" s="22" t="s">
        <v>43</v>
      </c>
      <c r="D13" s="22" t="s">
        <v>341</v>
      </c>
      <c r="E13" s="22" t="s">
        <v>16</v>
      </c>
      <c r="F13" s="33" t="n">
        <v>151</v>
      </c>
      <c r="G13" s="22" t="s">
        <v>240</v>
      </c>
      <c r="H13" s="34" t="n">
        <f aca="false">IFERROR(INDEX(Kurallar!$B$48:$B$51,MATCH(B13,Kurallar!$A$48:$A$51,0)),"")</f>
        <v>1</v>
      </c>
      <c r="I13" s="33" t="n">
        <f aca="false">IFERROR(INDEX(Kurallar!$B$42:$B$44,MATCH(G13,Kurallar!$A$42:$A$44,0)),"")</f>
        <v>1</v>
      </c>
      <c r="J13" s="35" t="n">
        <f aca="false">IF(OR(F13="",H13="",H13=0,I13=""),"",F13*H13*I13)</f>
        <v>151</v>
      </c>
      <c r="K13" s="22" t="s">
        <v>339</v>
      </c>
    </row>
    <row r="14" customFormat="false" ht="15" hidden="false" customHeight="false" outlineLevel="0" collapsed="false">
      <c r="A14" s="22" t="s">
        <v>342</v>
      </c>
      <c r="B14" s="22" t="s">
        <v>48</v>
      </c>
      <c r="C14" s="22" t="s">
        <v>46</v>
      </c>
      <c r="D14" s="22" t="s">
        <v>343</v>
      </c>
      <c r="E14" s="22" t="s">
        <v>16</v>
      </c>
      <c r="F14" s="33" t="n">
        <v>869</v>
      </c>
      <c r="G14" s="22" t="s">
        <v>240</v>
      </c>
      <c r="H14" s="34" t="n">
        <f aca="false">IFERROR(INDEX(Kurallar!$B$48:$B$51,MATCH(B14,Kurallar!$A$48:$A$51,0)),"")</f>
        <v>0.6</v>
      </c>
      <c r="I14" s="33" t="n">
        <f aca="false">IFERROR(INDEX(Kurallar!$B$42:$B$44,MATCH(G14,Kurallar!$A$42:$A$44,0)),"")</f>
        <v>1</v>
      </c>
      <c r="J14" s="35" t="n">
        <f aca="false">IF(OR(F14="",H14="",H14=0,I14=""),"",F14*H14*I14)</f>
        <v>521.4</v>
      </c>
      <c r="K14" s="22" t="s">
        <v>344</v>
      </c>
    </row>
    <row r="15" customFormat="false" ht="15" hidden="false" customHeight="false" outlineLevel="0" collapsed="false">
      <c r="A15" s="22" t="s">
        <v>345</v>
      </c>
      <c r="B15" s="22" t="s">
        <v>41</v>
      </c>
      <c r="C15" s="22" t="s">
        <v>49</v>
      </c>
      <c r="D15" s="22" t="s">
        <v>346</v>
      </c>
      <c r="E15" s="22" t="s">
        <v>16</v>
      </c>
      <c r="F15" s="33" t="n">
        <v>1808</v>
      </c>
      <c r="G15" s="22" t="s">
        <v>240</v>
      </c>
      <c r="H15" s="34" t="n">
        <f aca="false">IFERROR(INDEX(Kurallar!$B$48:$B$51,MATCH(B15,Kurallar!$A$48:$A$51,0)),"")</f>
        <v>1</v>
      </c>
      <c r="I15" s="33" t="n">
        <f aca="false">IFERROR(INDEX(Kurallar!$B$42:$B$44,MATCH(G15,Kurallar!$A$42:$A$44,0)),"")</f>
        <v>1</v>
      </c>
      <c r="J15" s="35" t="n">
        <f aca="false">IF(OR(F15="",H15="",H15=0,I15=""),"",F15*H15*I15)</f>
        <v>1808</v>
      </c>
      <c r="K15" s="22" t="s">
        <v>339</v>
      </c>
    </row>
    <row r="16" customFormat="false" ht="15" hidden="false" customHeight="false" outlineLevel="0" collapsed="false">
      <c r="A16" s="22" t="s">
        <v>347</v>
      </c>
      <c r="B16" s="22" t="s">
        <v>21</v>
      </c>
      <c r="C16" s="22" t="s">
        <v>60</v>
      </c>
      <c r="D16" s="22" t="s">
        <v>348</v>
      </c>
      <c r="E16" s="22" t="s">
        <v>16</v>
      </c>
      <c r="F16" s="33" t="n">
        <v>1197</v>
      </c>
      <c r="G16" s="22" t="s">
        <v>236</v>
      </c>
      <c r="H16" s="34" t="n">
        <f aca="false">IFERROR(INDEX(Kurallar!$B$48:$B$51,MATCH(B16,Kurallar!$A$48:$A$51,0)),"")</f>
        <v>0.405</v>
      </c>
      <c r="I16" s="33" t="n">
        <f aca="false">IFERROR(INDEX(Kurallar!$B$42:$B$44,MATCH(G16,Kurallar!$A$42:$A$44,0)),"")</f>
        <v>536.55</v>
      </c>
      <c r="J16" s="35" t="n">
        <f aca="false">IF(OR(F16="",H16="",H16=0,I16=""),"",F16*H16*I16)</f>
        <v>260111.39175</v>
      </c>
      <c r="K16" s="22" t="s">
        <v>322</v>
      </c>
    </row>
    <row r="17" customFormat="false" ht="15" hidden="false" customHeight="false" outlineLevel="0" collapsed="false">
      <c r="A17" s="22" t="s">
        <v>349</v>
      </c>
      <c r="B17" s="22" t="s">
        <v>17</v>
      </c>
      <c r="C17" s="22" t="s">
        <v>67</v>
      </c>
      <c r="D17" s="22" t="s">
        <v>68</v>
      </c>
      <c r="E17" s="22" t="s">
        <v>318</v>
      </c>
      <c r="F17" s="33" t="n">
        <v>30540</v>
      </c>
      <c r="G17" s="22" t="s">
        <v>240</v>
      </c>
      <c r="H17" s="34" t="n">
        <f aca="false">IFERROR(INDEX(Kurallar!$B$48:$B$51,MATCH(B17,Kurallar!$A$48:$A$51,0)),"")</f>
        <v>1</v>
      </c>
      <c r="I17" s="33" t="n">
        <f aca="false">IFERROR(INDEX(Kurallar!$B$42:$B$44,MATCH(G17,Kurallar!$A$42:$A$44,0)),"")</f>
        <v>1</v>
      </c>
      <c r="J17" s="35" t="n">
        <f aca="false">IF(OR(F17="",H17="",H17=0,I17=""),"",F17*H17*I17)</f>
        <v>30540</v>
      </c>
      <c r="K17" s="22" t="s">
        <v>319</v>
      </c>
    </row>
    <row r="18" customFormat="false" ht="15" hidden="false" customHeight="false" outlineLevel="0" collapsed="false">
      <c r="A18" s="22" t="s">
        <v>350</v>
      </c>
      <c r="B18" s="22" t="s">
        <v>21</v>
      </c>
      <c r="C18" s="22" t="s">
        <v>69</v>
      </c>
      <c r="D18" s="22" t="s">
        <v>351</v>
      </c>
      <c r="E18" s="22" t="s">
        <v>16</v>
      </c>
      <c r="F18" s="33" t="n">
        <v>246.1</v>
      </c>
      <c r="G18" s="22" t="s">
        <v>236</v>
      </c>
      <c r="H18" s="34" t="n">
        <f aca="false">IFERROR(INDEX(Kurallar!$B$48:$B$51,MATCH(B18,Kurallar!$A$48:$A$51,0)),"")</f>
        <v>0.405</v>
      </c>
      <c r="I18" s="33" t="n">
        <f aca="false">IFERROR(INDEX(Kurallar!$B$42:$B$44,MATCH(G18,Kurallar!$A$42:$A$44,0)),"")</f>
        <v>536.55</v>
      </c>
      <c r="J18" s="35" t="n">
        <f aca="false">IF(OR(F18="",H18="",H18=0,I18=""),"",F18*H18*I18)</f>
        <v>53478.206775</v>
      </c>
      <c r="K18" s="22" t="s">
        <v>322</v>
      </c>
    </row>
    <row r="19" customFormat="false" ht="15" hidden="false" customHeight="false" outlineLevel="0" collapsed="false">
      <c r="A19" s="22" t="s">
        <v>352</v>
      </c>
      <c r="B19" s="22" t="s">
        <v>21</v>
      </c>
      <c r="C19" s="22" t="s">
        <v>71</v>
      </c>
      <c r="D19" s="22" t="s">
        <v>353</v>
      </c>
      <c r="E19" s="22" t="s">
        <v>16</v>
      </c>
      <c r="F19" s="33" t="n">
        <v>11.74</v>
      </c>
      <c r="G19" s="22" t="s">
        <v>236</v>
      </c>
      <c r="H19" s="34" t="n">
        <f aca="false">IFERROR(INDEX(Kurallar!$B$48:$B$51,MATCH(B19,Kurallar!$A$48:$A$51,0)),"")</f>
        <v>0.405</v>
      </c>
      <c r="I19" s="33" t="n">
        <f aca="false">IFERROR(INDEX(Kurallar!$B$42:$B$44,MATCH(G19,Kurallar!$A$42:$A$44,0)),"")</f>
        <v>536.55</v>
      </c>
      <c r="J19" s="35" t="n">
        <f aca="false">IF(OR(F19="",H19="",H19=0,I19=""),"",F19*H19*I19)</f>
        <v>2551.134285</v>
      </c>
      <c r="K19" s="22" t="s">
        <v>322</v>
      </c>
    </row>
    <row r="20" customFormat="false" ht="15" hidden="false" customHeight="false" outlineLevel="0" collapsed="false">
      <c r="A20" s="22" t="s">
        <v>354</v>
      </c>
      <c r="B20" s="22" t="s">
        <v>21</v>
      </c>
      <c r="C20" s="22" t="s">
        <v>74</v>
      </c>
      <c r="D20" s="22" t="s">
        <v>355</v>
      </c>
      <c r="E20" s="22" t="s">
        <v>16</v>
      </c>
      <c r="F20" s="33" t="n">
        <v>78.75</v>
      </c>
      <c r="G20" s="22" t="s">
        <v>236</v>
      </c>
      <c r="H20" s="34" t="n">
        <f aca="false">IFERROR(INDEX(Kurallar!$B$48:$B$51,MATCH(B20,Kurallar!$A$48:$A$51,0)),"")</f>
        <v>0.405</v>
      </c>
      <c r="I20" s="33" t="n">
        <f aca="false">IFERROR(INDEX(Kurallar!$B$42:$B$44,MATCH(G20,Kurallar!$A$42:$A$44,0)),"")</f>
        <v>536.55</v>
      </c>
      <c r="J20" s="35" t="n">
        <f aca="false">IF(OR(F20="",H20="",H20=0,I20=""),"",F20*H20*I20)</f>
        <v>17112.5915625</v>
      </c>
      <c r="K20" s="22" t="s">
        <v>322</v>
      </c>
    </row>
    <row r="21" customFormat="false" ht="15" hidden="false" customHeight="false" outlineLevel="0" collapsed="false">
      <c r="A21" s="22" t="s">
        <v>356</v>
      </c>
      <c r="B21" s="22" t="s">
        <v>21</v>
      </c>
      <c r="C21" s="22" t="s">
        <v>76</v>
      </c>
      <c r="D21" s="22" t="s">
        <v>357</v>
      </c>
      <c r="E21" s="22" t="s">
        <v>16</v>
      </c>
      <c r="F21" s="33" t="n">
        <v>13.99</v>
      </c>
      <c r="G21" s="22" t="s">
        <v>236</v>
      </c>
      <c r="H21" s="34" t="n">
        <f aca="false">IFERROR(INDEX(Kurallar!$B$48:$B$51,MATCH(B21,Kurallar!$A$48:$A$51,0)),"")</f>
        <v>0.405</v>
      </c>
      <c r="I21" s="33" t="n">
        <f aca="false">IFERROR(INDEX(Kurallar!$B$42:$B$44,MATCH(G21,Kurallar!$A$42:$A$44,0)),"")</f>
        <v>536.55</v>
      </c>
      <c r="J21" s="35" t="n">
        <f aca="false">IF(OR(F21="",H21="",H21=0,I21=""),"",F21*H21*I21)</f>
        <v>3040.0654725</v>
      </c>
      <c r="K21" s="22" t="s">
        <v>322</v>
      </c>
    </row>
    <row r="22" customFormat="false" ht="15" hidden="false" customHeight="false" outlineLevel="0" collapsed="false">
      <c r="A22" s="22" t="s">
        <v>358</v>
      </c>
      <c r="B22" s="22" t="s">
        <v>21</v>
      </c>
      <c r="C22" s="22" t="s">
        <v>79</v>
      </c>
      <c r="D22" s="22" t="s">
        <v>359</v>
      </c>
      <c r="E22" s="22" t="s">
        <v>16</v>
      </c>
      <c r="F22" s="33" t="n">
        <v>183.3</v>
      </c>
      <c r="G22" s="22" t="s">
        <v>236</v>
      </c>
      <c r="H22" s="34" t="n">
        <f aca="false">IFERROR(INDEX(Kurallar!$B$48:$B$51,MATCH(B22,Kurallar!$A$48:$A$51,0)),"")</f>
        <v>0.405</v>
      </c>
      <c r="I22" s="33" t="n">
        <f aca="false">IFERROR(INDEX(Kurallar!$B$42:$B$44,MATCH(G22,Kurallar!$A$42:$A$44,0)),"")</f>
        <v>536.55</v>
      </c>
      <c r="J22" s="35" t="n">
        <f aca="false">IF(OR(F22="",H22="",H22=0,I22=""),"",F22*H22*I22)</f>
        <v>39831.594075</v>
      </c>
      <c r="K22" s="22" t="s">
        <v>322</v>
      </c>
    </row>
    <row r="23" customFormat="false" ht="15" hidden="false" customHeight="false" outlineLevel="0" collapsed="false">
      <c r="A23" s="22" t="s">
        <v>360</v>
      </c>
      <c r="B23" s="22" t="s">
        <v>21</v>
      </c>
      <c r="C23" s="22" t="s">
        <v>82</v>
      </c>
      <c r="D23" s="22" t="s">
        <v>361</v>
      </c>
      <c r="E23" s="22" t="s">
        <v>16</v>
      </c>
      <c r="F23" s="33" t="n">
        <v>144.4</v>
      </c>
      <c r="G23" s="22" t="s">
        <v>236</v>
      </c>
      <c r="H23" s="34" t="n">
        <f aca="false">IFERROR(INDEX(Kurallar!$B$48:$B$51,MATCH(B23,Kurallar!$A$48:$A$51,0)),"")</f>
        <v>0.405</v>
      </c>
      <c r="I23" s="33" t="n">
        <f aca="false">IFERROR(INDEX(Kurallar!$B$42:$B$44,MATCH(G23,Kurallar!$A$42:$A$44,0)),"")</f>
        <v>536.55</v>
      </c>
      <c r="J23" s="35" t="n">
        <f aca="false">IF(OR(F23="",H23="",H23=0,I23=""),"",F23*H23*I23)</f>
        <v>31378.5171</v>
      </c>
      <c r="K23" s="22" t="s">
        <v>322</v>
      </c>
    </row>
    <row r="24" customFormat="false" ht="15" hidden="false" customHeight="false" outlineLevel="0" collapsed="false">
      <c r="A24" s="22" t="s">
        <v>362</v>
      </c>
      <c r="B24" s="22" t="s">
        <v>21</v>
      </c>
      <c r="C24" s="22" t="s">
        <v>84</v>
      </c>
      <c r="D24" s="22" t="s">
        <v>363</v>
      </c>
      <c r="E24" s="22" t="s">
        <v>16</v>
      </c>
      <c r="F24" s="33" t="n">
        <v>12.83</v>
      </c>
      <c r="G24" s="22" t="s">
        <v>236</v>
      </c>
      <c r="H24" s="34" t="n">
        <f aca="false">IFERROR(INDEX(Kurallar!$B$48:$B$51,MATCH(B24,Kurallar!$A$48:$A$51,0)),"")</f>
        <v>0.405</v>
      </c>
      <c r="I24" s="33" t="n">
        <f aca="false">IFERROR(INDEX(Kurallar!$B$42:$B$44,MATCH(G24,Kurallar!$A$42:$A$44,0)),"")</f>
        <v>536.55</v>
      </c>
      <c r="J24" s="35" t="n">
        <f aca="false">IF(OR(F24="",H24="",H24=0,I24=""),"",F24*H24*I24)</f>
        <v>2787.9942825</v>
      </c>
      <c r="K24" s="22" t="s">
        <v>322</v>
      </c>
    </row>
    <row r="25" customFormat="false" ht="15" hidden="false" customHeight="false" outlineLevel="0" collapsed="false">
      <c r="A25" s="22" t="s">
        <v>364</v>
      </c>
      <c r="B25" s="22" t="s">
        <v>21</v>
      </c>
      <c r="C25" s="22" t="s">
        <v>87</v>
      </c>
      <c r="D25" s="22" t="s">
        <v>365</v>
      </c>
      <c r="E25" s="22" t="s">
        <v>16</v>
      </c>
      <c r="F25" s="33" t="n">
        <v>8.5</v>
      </c>
      <c r="G25" s="22" t="s">
        <v>236</v>
      </c>
      <c r="H25" s="34" t="n">
        <f aca="false">IFERROR(INDEX(Kurallar!$B$48:$B$51,MATCH(B25,Kurallar!$A$48:$A$51,0)),"")</f>
        <v>0.405</v>
      </c>
      <c r="I25" s="33" t="n">
        <f aca="false">IFERROR(INDEX(Kurallar!$B$42:$B$44,MATCH(G25,Kurallar!$A$42:$A$44,0)),"")</f>
        <v>536.55</v>
      </c>
      <c r="J25" s="35" t="n">
        <f aca="false">IF(OR(F25="",H25="",H25=0,I25=""),"",F25*H25*I25)</f>
        <v>1847.073375</v>
      </c>
      <c r="K25" s="22" t="s">
        <v>322</v>
      </c>
    </row>
    <row r="26" customFormat="false" ht="15" hidden="false" customHeight="false" outlineLevel="0" collapsed="false">
      <c r="A26" s="22" t="s">
        <v>366</v>
      </c>
      <c r="B26" s="22" t="s">
        <v>21</v>
      </c>
      <c r="C26" s="22" t="s">
        <v>90</v>
      </c>
      <c r="D26" s="22" t="s">
        <v>367</v>
      </c>
      <c r="E26" s="22" t="s">
        <v>16</v>
      </c>
      <c r="F26" s="33" t="n">
        <v>13.13</v>
      </c>
      <c r="G26" s="22" t="s">
        <v>236</v>
      </c>
      <c r="H26" s="34" t="n">
        <f aca="false">IFERROR(INDEX(Kurallar!$B$48:$B$51,MATCH(B26,Kurallar!$A$48:$A$51,0)),"")</f>
        <v>0.405</v>
      </c>
      <c r="I26" s="33" t="n">
        <f aca="false">IFERROR(INDEX(Kurallar!$B$42:$B$44,MATCH(G26,Kurallar!$A$42:$A$44,0)),"")</f>
        <v>536.55</v>
      </c>
      <c r="J26" s="35" t="n">
        <f aca="false">IF(OR(F26="",H26="",H26=0,I26=""),"",F26*H26*I26)</f>
        <v>2853.1851075</v>
      </c>
      <c r="K26" s="22" t="s">
        <v>322</v>
      </c>
    </row>
    <row r="27" customFormat="false" ht="15" hidden="false" customHeight="false" outlineLevel="0" collapsed="false">
      <c r="A27" s="22" t="s">
        <v>368</v>
      </c>
      <c r="B27" s="22" t="s">
        <v>21</v>
      </c>
      <c r="C27" s="22" t="s">
        <v>93</v>
      </c>
      <c r="D27" s="22" t="s">
        <v>369</v>
      </c>
      <c r="E27" s="22" t="s">
        <v>16</v>
      </c>
      <c r="F27" s="33" t="n">
        <v>9.62</v>
      </c>
      <c r="G27" s="22" t="s">
        <v>236</v>
      </c>
      <c r="H27" s="34" t="n">
        <f aca="false">IFERROR(INDEX(Kurallar!$B$48:$B$51,MATCH(B27,Kurallar!$A$48:$A$51,0)),"")</f>
        <v>0.405</v>
      </c>
      <c r="I27" s="33" t="n">
        <f aca="false">IFERROR(INDEX(Kurallar!$B$42:$B$44,MATCH(G27,Kurallar!$A$42:$A$44,0)),"")</f>
        <v>536.55</v>
      </c>
      <c r="J27" s="35" t="n">
        <f aca="false">IF(OR(F27="",H27="",H27=0,I27=""),"",F27*H27*I27)</f>
        <v>2090.452455</v>
      </c>
      <c r="K27" s="22" t="s">
        <v>322</v>
      </c>
    </row>
    <row r="28" customFormat="false" ht="15" hidden="false" customHeight="false" outlineLevel="0" collapsed="false">
      <c r="A28" s="22" t="s">
        <v>370</v>
      </c>
      <c r="B28" s="22" t="s">
        <v>48</v>
      </c>
      <c r="C28" s="22" t="s">
        <v>95</v>
      </c>
      <c r="D28" s="22" t="s">
        <v>371</v>
      </c>
      <c r="E28" s="22" t="s">
        <v>16</v>
      </c>
      <c r="F28" s="33" t="n">
        <v>12699</v>
      </c>
      <c r="G28" s="22" t="s">
        <v>240</v>
      </c>
      <c r="H28" s="34" t="n">
        <f aca="false">IFERROR(INDEX(Kurallar!$B$48:$B$51,MATCH(B28,Kurallar!$A$48:$A$51,0)),"")</f>
        <v>0.6</v>
      </c>
      <c r="I28" s="33" t="n">
        <f aca="false">IFERROR(INDEX(Kurallar!$B$42:$B$44,MATCH(G28,Kurallar!$A$42:$A$44,0)),"")</f>
        <v>1</v>
      </c>
      <c r="J28" s="35" t="n">
        <f aca="false">IF(OR(F28="",H28="",H28=0,I28=""),"",F28*H28*I28)</f>
        <v>7619.4</v>
      </c>
      <c r="K28" s="22" t="s">
        <v>344</v>
      </c>
    </row>
    <row r="29" customFormat="false" ht="15" hidden="false" customHeight="false" outlineLevel="0" collapsed="false">
      <c r="A29" s="22" t="s">
        <v>372</v>
      </c>
      <c r="B29" s="22" t="s">
        <v>41</v>
      </c>
      <c r="C29" s="22" t="s">
        <v>97</v>
      </c>
      <c r="D29" s="22" t="s">
        <v>373</v>
      </c>
      <c r="E29" s="22" t="s">
        <v>16</v>
      </c>
      <c r="F29" s="33" t="n">
        <v>2567</v>
      </c>
      <c r="G29" s="22" t="s">
        <v>240</v>
      </c>
      <c r="H29" s="34" t="n">
        <f aca="false">IFERROR(INDEX(Kurallar!$B$48:$B$51,MATCH(B29,Kurallar!$A$48:$A$51,0)),"")</f>
        <v>1</v>
      </c>
      <c r="I29" s="33" t="n">
        <f aca="false">IFERROR(INDEX(Kurallar!$B$42:$B$44,MATCH(G29,Kurallar!$A$42:$A$44,0)),"")</f>
        <v>1</v>
      </c>
      <c r="J29" s="35" t="n">
        <f aca="false">IF(OR(F29="",H29="",H29=0,I29=""),"",F29*H29*I29)</f>
        <v>2567</v>
      </c>
      <c r="K29" s="22" t="s">
        <v>339</v>
      </c>
    </row>
    <row r="30" customFormat="false" ht="15" hidden="false" customHeight="false" outlineLevel="0" collapsed="false">
      <c r="A30" s="22" t="s">
        <v>374</v>
      </c>
      <c r="B30" s="22" t="s">
        <v>41</v>
      </c>
      <c r="C30" s="22" t="s">
        <v>99</v>
      </c>
      <c r="D30" s="22" t="s">
        <v>375</v>
      </c>
      <c r="E30" s="22" t="s">
        <v>16</v>
      </c>
      <c r="F30" s="33" t="n">
        <v>4204</v>
      </c>
      <c r="G30" s="22" t="s">
        <v>240</v>
      </c>
      <c r="H30" s="34" t="n">
        <f aca="false">IFERROR(INDEX(Kurallar!$B$48:$B$51,MATCH(B30,Kurallar!$A$48:$A$51,0)),"")</f>
        <v>1</v>
      </c>
      <c r="I30" s="33" t="n">
        <f aca="false">IFERROR(INDEX(Kurallar!$B$42:$B$44,MATCH(G30,Kurallar!$A$42:$A$44,0)),"")</f>
        <v>1</v>
      </c>
      <c r="J30" s="35" t="n">
        <f aca="false">IF(OR(F30="",H30="",H30=0,I30=""),"",F30*H30*I30)</f>
        <v>4204</v>
      </c>
      <c r="K30" s="22" t="s">
        <v>339</v>
      </c>
    </row>
    <row r="31" customFormat="false" ht="15" hidden="false" customHeight="false" outlineLevel="0" collapsed="false">
      <c r="A31" s="22" t="s">
        <v>376</v>
      </c>
      <c r="B31" s="22" t="s">
        <v>41</v>
      </c>
      <c r="C31" s="22" t="s">
        <v>101</v>
      </c>
      <c r="D31" s="22" t="s">
        <v>377</v>
      </c>
      <c r="E31" s="22" t="s">
        <v>16</v>
      </c>
      <c r="F31" s="33" t="n">
        <v>90</v>
      </c>
      <c r="G31" s="22" t="s">
        <v>240</v>
      </c>
      <c r="H31" s="34" t="n">
        <f aca="false">IFERROR(INDEX(Kurallar!$B$48:$B$51,MATCH(B31,Kurallar!$A$48:$A$51,0)),"")</f>
        <v>1</v>
      </c>
      <c r="I31" s="33" t="n">
        <f aca="false">IFERROR(INDEX(Kurallar!$B$42:$B$44,MATCH(G31,Kurallar!$A$42:$A$44,0)),"")</f>
        <v>1</v>
      </c>
      <c r="J31" s="35" t="n">
        <f aca="false">IF(OR(F31="",H31="",H31=0,I31=""),"",F31*H31*I31)</f>
        <v>90</v>
      </c>
      <c r="K31" s="22" t="s">
        <v>339</v>
      </c>
    </row>
    <row r="32" customFormat="false" ht="15" hidden="false" customHeight="false" outlineLevel="0" collapsed="false">
      <c r="A32" s="22" t="s">
        <v>378</v>
      </c>
      <c r="B32" s="22" t="s">
        <v>41</v>
      </c>
      <c r="C32" s="22" t="s">
        <v>104</v>
      </c>
      <c r="D32" s="22" t="s">
        <v>379</v>
      </c>
      <c r="E32" s="22" t="s">
        <v>16</v>
      </c>
      <c r="F32" s="33" t="n">
        <v>1094</v>
      </c>
      <c r="G32" s="22" t="s">
        <v>240</v>
      </c>
      <c r="H32" s="34" t="n">
        <f aca="false">IFERROR(INDEX(Kurallar!$B$48:$B$51,MATCH(B32,Kurallar!$A$48:$A$51,0)),"")</f>
        <v>1</v>
      </c>
      <c r="I32" s="33" t="n">
        <f aca="false">IFERROR(INDEX(Kurallar!$B$42:$B$44,MATCH(G32,Kurallar!$A$42:$A$44,0)),"")</f>
        <v>1</v>
      </c>
      <c r="J32" s="35" t="n">
        <f aca="false">IF(OR(F32="",H32="",H32=0,I32=""),"",F32*H32*I32)</f>
        <v>1094</v>
      </c>
      <c r="K32" s="22" t="s">
        <v>339</v>
      </c>
    </row>
    <row r="33" customFormat="false" ht="15" hidden="false" customHeight="false" outlineLevel="0" collapsed="false">
      <c r="A33" s="22" t="s">
        <v>380</v>
      </c>
      <c r="B33" s="22" t="s">
        <v>17</v>
      </c>
      <c r="C33" s="22" t="s">
        <v>109</v>
      </c>
      <c r="D33" s="22" t="s">
        <v>110</v>
      </c>
      <c r="E33" s="22" t="s">
        <v>318</v>
      </c>
      <c r="F33" s="33" t="n">
        <v>78350</v>
      </c>
      <c r="G33" s="22" t="s">
        <v>240</v>
      </c>
      <c r="H33" s="34" t="n">
        <f aca="false">IFERROR(INDEX(Kurallar!$B$48:$B$51,MATCH(B33,Kurallar!$A$48:$A$51,0)),"")</f>
        <v>1</v>
      </c>
      <c r="I33" s="33" t="n">
        <f aca="false">IFERROR(INDEX(Kurallar!$B$42:$B$44,MATCH(G33,Kurallar!$A$42:$A$44,0)),"")</f>
        <v>1</v>
      </c>
      <c r="J33" s="35" t="n">
        <f aca="false">IF(OR(F33="",H33="",H33=0,I33=""),"",F33*H33*I33)</f>
        <v>78350</v>
      </c>
      <c r="K33" s="22" t="s">
        <v>319</v>
      </c>
    </row>
    <row r="34" customFormat="false" ht="15" hidden="false" customHeight="false" outlineLevel="0" collapsed="false">
      <c r="A34" s="22" t="s">
        <v>381</v>
      </c>
      <c r="B34" s="22" t="s">
        <v>21</v>
      </c>
      <c r="C34" s="22" t="s">
        <v>111</v>
      </c>
      <c r="D34" s="22" t="s">
        <v>382</v>
      </c>
      <c r="E34" s="22" t="s">
        <v>16</v>
      </c>
      <c r="F34" s="33" t="n">
        <v>798</v>
      </c>
      <c r="G34" s="22" t="s">
        <v>236</v>
      </c>
      <c r="H34" s="34" t="n">
        <f aca="false">IFERROR(INDEX(Kurallar!$B$48:$B$51,MATCH(B34,Kurallar!$A$48:$A$51,0)),"")</f>
        <v>0.405</v>
      </c>
      <c r="I34" s="33" t="n">
        <f aca="false">IFERROR(INDEX(Kurallar!$B$42:$B$44,MATCH(G34,Kurallar!$A$42:$A$44,0)),"")</f>
        <v>536.55</v>
      </c>
      <c r="J34" s="35" t="n">
        <f aca="false">IF(OR(F34="",H34="",H34=0,I34=""),"",F34*H34*I34)</f>
        <v>173407.5945</v>
      </c>
      <c r="K34" s="22" t="s">
        <v>322</v>
      </c>
    </row>
    <row r="35" customFormat="false" ht="15" hidden="false" customHeight="false" outlineLevel="0" collapsed="false">
      <c r="A35" s="22" t="s">
        <v>383</v>
      </c>
      <c r="B35" s="22" t="s">
        <v>21</v>
      </c>
      <c r="C35" s="22" t="s">
        <v>113</v>
      </c>
      <c r="D35" s="22" t="s">
        <v>384</v>
      </c>
      <c r="E35" s="22" t="s">
        <v>16</v>
      </c>
      <c r="F35" s="33" t="n">
        <v>3152</v>
      </c>
      <c r="G35" s="22" t="s">
        <v>236</v>
      </c>
      <c r="H35" s="34" t="n">
        <f aca="false">IFERROR(INDEX(Kurallar!$B$48:$B$51,MATCH(B35,Kurallar!$A$48:$A$51,0)),"")</f>
        <v>0.405</v>
      </c>
      <c r="I35" s="33" t="n">
        <f aca="false">IFERROR(INDEX(Kurallar!$B$42:$B$44,MATCH(G35,Kurallar!$A$42:$A$44,0)),"")</f>
        <v>536.55</v>
      </c>
      <c r="J35" s="35" t="n">
        <f aca="false">IF(OR(F35="",H35="",H35=0,I35=""),"",F35*H35*I35)</f>
        <v>684938.268</v>
      </c>
      <c r="K35" s="22" t="s">
        <v>322</v>
      </c>
    </row>
    <row r="36" customFormat="false" ht="15" hidden="false" customHeight="false" outlineLevel="0" collapsed="false">
      <c r="A36" s="22" t="s">
        <v>385</v>
      </c>
      <c r="B36" s="22" t="s">
        <v>21</v>
      </c>
      <c r="C36" s="22" t="s">
        <v>119</v>
      </c>
      <c r="D36" s="22" t="s">
        <v>386</v>
      </c>
      <c r="E36" s="22" t="s">
        <v>16</v>
      </c>
      <c r="F36" s="33" t="n">
        <v>87.63</v>
      </c>
      <c r="G36" s="22" t="s">
        <v>236</v>
      </c>
      <c r="H36" s="34" t="n">
        <f aca="false">IFERROR(INDEX(Kurallar!$B$48:$B$51,MATCH(B36,Kurallar!$A$48:$A$51,0)),"")</f>
        <v>0.405</v>
      </c>
      <c r="I36" s="33" t="n">
        <f aca="false">IFERROR(INDEX(Kurallar!$B$42:$B$44,MATCH(G36,Kurallar!$A$42:$A$44,0)),"")</f>
        <v>536.55</v>
      </c>
      <c r="J36" s="35" t="n">
        <f aca="false">IF(OR(F36="",H36="",H36=0,I36=""),"",F36*H36*I36)</f>
        <v>19042.2399825</v>
      </c>
      <c r="K36" s="22" t="s">
        <v>322</v>
      </c>
    </row>
    <row r="37" customFormat="false" ht="15" hidden="false" customHeight="false" outlineLevel="0" collapsed="false">
      <c r="A37" s="22" t="s">
        <v>387</v>
      </c>
      <c r="B37" s="22" t="s">
        <v>21</v>
      </c>
      <c r="C37" s="22" t="s">
        <v>121</v>
      </c>
      <c r="D37" s="22" t="s">
        <v>388</v>
      </c>
      <c r="E37" s="22" t="s">
        <v>16</v>
      </c>
      <c r="F37" s="33" t="n">
        <v>87.63</v>
      </c>
      <c r="G37" s="22" t="s">
        <v>236</v>
      </c>
      <c r="H37" s="34" t="n">
        <f aca="false">IFERROR(INDEX(Kurallar!$B$48:$B$51,MATCH(B37,Kurallar!$A$48:$A$51,0)),"")</f>
        <v>0.405</v>
      </c>
      <c r="I37" s="33" t="n">
        <f aca="false">IFERROR(INDEX(Kurallar!$B$42:$B$44,MATCH(G37,Kurallar!$A$42:$A$44,0)),"")</f>
        <v>536.55</v>
      </c>
      <c r="J37" s="35" t="n">
        <f aca="false">IF(OR(F37="",H37="",H37=0,I37=""),"",F37*H37*I37)</f>
        <v>19042.2399825</v>
      </c>
      <c r="K37" s="22" t="s">
        <v>322</v>
      </c>
    </row>
    <row r="38" customFormat="false" ht="15" hidden="false" customHeight="false" outlineLevel="0" collapsed="false">
      <c r="A38" s="22" t="s">
        <v>389</v>
      </c>
      <c r="B38" s="22" t="s">
        <v>41</v>
      </c>
      <c r="C38" s="22" t="s">
        <v>123</v>
      </c>
      <c r="D38" s="22" t="s">
        <v>390</v>
      </c>
      <c r="E38" s="22" t="s">
        <v>16</v>
      </c>
      <c r="F38" s="33" t="n">
        <v>8329</v>
      </c>
      <c r="G38" s="22" t="s">
        <v>240</v>
      </c>
      <c r="H38" s="34" t="n">
        <f aca="false">IFERROR(INDEX(Kurallar!$B$48:$B$51,MATCH(B38,Kurallar!$A$48:$A$51,0)),"")</f>
        <v>1</v>
      </c>
      <c r="I38" s="33" t="n">
        <f aca="false">IFERROR(INDEX(Kurallar!$B$42:$B$44,MATCH(G38,Kurallar!$A$42:$A$44,0)),"")</f>
        <v>1</v>
      </c>
      <c r="J38" s="35" t="n">
        <f aca="false">IF(OR(F38="",H38="",H38=0,I38=""),"",F38*H38*I38)</f>
        <v>8329</v>
      </c>
      <c r="K38" s="22" t="s">
        <v>339</v>
      </c>
    </row>
    <row r="39" customFormat="false" ht="15" hidden="false" customHeight="false" outlineLevel="0" collapsed="false">
      <c r="A39" s="22" t="s">
        <v>391</v>
      </c>
      <c r="B39" s="22" t="s">
        <v>21</v>
      </c>
      <c r="C39" s="22" t="s">
        <v>131</v>
      </c>
      <c r="D39" s="22" t="s">
        <v>392</v>
      </c>
      <c r="E39" s="22" t="s">
        <v>16</v>
      </c>
      <c r="F39" s="33" t="n">
        <v>361.2</v>
      </c>
      <c r="G39" s="22" t="s">
        <v>236</v>
      </c>
      <c r="H39" s="34" t="n">
        <f aca="false">IFERROR(INDEX(Kurallar!$B$48:$B$51,MATCH(B39,Kurallar!$A$48:$A$51,0)),"")</f>
        <v>0.405</v>
      </c>
      <c r="I39" s="33" t="n">
        <f aca="false">IFERROR(INDEX(Kurallar!$B$42:$B$44,MATCH(G39,Kurallar!$A$42:$A$44,0)),"")</f>
        <v>536.55</v>
      </c>
      <c r="J39" s="35" t="n">
        <f aca="false">IF(OR(F39="",H39="",H39=0,I39=""),"",F39*H39*I39)</f>
        <v>78489.7533</v>
      </c>
      <c r="K39" s="22" t="s">
        <v>322</v>
      </c>
    </row>
    <row r="40" customFormat="false" ht="15" hidden="false" customHeight="false" outlineLevel="0" collapsed="false">
      <c r="A40" s="22" t="s">
        <v>393</v>
      </c>
      <c r="B40" s="22" t="s">
        <v>41</v>
      </c>
      <c r="C40" s="22" t="s">
        <v>134</v>
      </c>
      <c r="D40" s="22" t="s">
        <v>394</v>
      </c>
      <c r="E40" s="22" t="s">
        <v>16</v>
      </c>
      <c r="F40" s="33" t="n">
        <v>235</v>
      </c>
      <c r="G40" s="22" t="s">
        <v>240</v>
      </c>
      <c r="H40" s="34" t="n">
        <f aca="false">IFERROR(INDEX(Kurallar!$B$48:$B$51,MATCH(B40,Kurallar!$A$48:$A$51,0)),"")</f>
        <v>1</v>
      </c>
      <c r="I40" s="33" t="n">
        <f aca="false">IFERROR(INDEX(Kurallar!$B$42:$B$44,MATCH(G40,Kurallar!$A$42:$A$44,0)),"")</f>
        <v>1</v>
      </c>
      <c r="J40" s="35" t="n">
        <f aca="false">IF(OR(F40="",H40="",H40=0,I40=""),"",F40*H40*I40)</f>
        <v>235</v>
      </c>
      <c r="K40" s="22" t="s">
        <v>339</v>
      </c>
    </row>
    <row r="41" customFormat="false" ht="15" hidden="false" customHeight="false" outlineLevel="0" collapsed="false">
      <c r="A41" s="22" t="s">
        <v>395</v>
      </c>
      <c r="B41" s="22" t="s">
        <v>17</v>
      </c>
      <c r="C41" s="22" t="s">
        <v>138</v>
      </c>
      <c r="D41" s="22" t="s">
        <v>139</v>
      </c>
      <c r="E41" s="22" t="s">
        <v>318</v>
      </c>
      <c r="F41" s="33" t="n">
        <v>17365</v>
      </c>
      <c r="G41" s="22" t="s">
        <v>240</v>
      </c>
      <c r="H41" s="34" t="n">
        <f aca="false">IFERROR(INDEX(Kurallar!$B$48:$B$51,MATCH(B41,Kurallar!$A$48:$A$51,0)),"")</f>
        <v>1</v>
      </c>
      <c r="I41" s="33" t="n">
        <f aca="false">IFERROR(INDEX(Kurallar!$B$42:$B$44,MATCH(G41,Kurallar!$A$42:$A$44,0)),"")</f>
        <v>1</v>
      </c>
      <c r="J41" s="35" t="n">
        <f aca="false">IF(OR(F41="",H41="",H41=0,I41=""),"",F41*H41*I41)</f>
        <v>17365</v>
      </c>
      <c r="K41" s="22" t="s">
        <v>319</v>
      </c>
    </row>
    <row r="42" customFormat="false" ht="15" hidden="false" customHeight="false" outlineLevel="0" collapsed="false">
      <c r="A42" s="22" t="s">
        <v>396</v>
      </c>
      <c r="B42" s="22" t="s">
        <v>21</v>
      </c>
      <c r="C42" s="22" t="s">
        <v>140</v>
      </c>
      <c r="D42" s="22" t="s">
        <v>397</v>
      </c>
      <c r="E42" s="22" t="s">
        <v>16</v>
      </c>
      <c r="F42" s="33" t="n">
        <v>94.51</v>
      </c>
      <c r="G42" s="22" t="s">
        <v>236</v>
      </c>
      <c r="H42" s="34" t="n">
        <f aca="false">IFERROR(INDEX(Kurallar!$B$48:$B$51,MATCH(B42,Kurallar!$A$48:$A$51,0)),"")</f>
        <v>0.405</v>
      </c>
      <c r="I42" s="33" t="n">
        <f aca="false">IFERROR(INDEX(Kurallar!$B$42:$B$44,MATCH(G42,Kurallar!$A$42:$A$44,0)),"")</f>
        <v>536.55</v>
      </c>
      <c r="J42" s="35" t="n">
        <f aca="false">IF(OR(F42="",H42="",H42=0,I42=""),"",F42*H42*I42)</f>
        <v>20537.2829025</v>
      </c>
      <c r="K42" s="22" t="s">
        <v>322</v>
      </c>
    </row>
    <row r="43" customFormat="false" ht="15" hidden="false" customHeight="false" outlineLevel="0" collapsed="false">
      <c r="A43" s="22" t="s">
        <v>398</v>
      </c>
      <c r="B43" s="22" t="s">
        <v>21</v>
      </c>
      <c r="C43" s="22" t="s">
        <v>150</v>
      </c>
      <c r="D43" s="22" t="s">
        <v>399</v>
      </c>
      <c r="E43" s="22" t="s">
        <v>16</v>
      </c>
      <c r="F43" s="33" t="n">
        <v>55.48</v>
      </c>
      <c r="G43" s="22" t="s">
        <v>236</v>
      </c>
      <c r="H43" s="34" t="n">
        <f aca="false">IFERROR(INDEX(Kurallar!$B$48:$B$51,MATCH(B43,Kurallar!$A$48:$A$51,0)),"")</f>
        <v>0.405</v>
      </c>
      <c r="I43" s="33" t="n">
        <f aca="false">IFERROR(INDEX(Kurallar!$B$42:$B$44,MATCH(G43,Kurallar!$A$42:$A$44,0)),"")</f>
        <v>536.55</v>
      </c>
      <c r="J43" s="35" t="n">
        <f aca="false">IF(OR(F43="",H43="",H43=0,I43=""),"",F43*H43*I43)</f>
        <v>12055.95657</v>
      </c>
      <c r="K43" s="22" t="s">
        <v>322</v>
      </c>
    </row>
    <row r="44" customFormat="false" ht="15" hidden="false" customHeight="false" outlineLevel="0" collapsed="false">
      <c r="A44" s="22" t="s">
        <v>400</v>
      </c>
      <c r="B44" s="22" t="s">
        <v>21</v>
      </c>
      <c r="C44" s="22" t="s">
        <v>152</v>
      </c>
      <c r="D44" s="22" t="s">
        <v>401</v>
      </c>
      <c r="E44" s="22" t="s">
        <v>16</v>
      </c>
      <c r="F44" s="33" t="n">
        <v>63.02</v>
      </c>
      <c r="G44" s="22" t="s">
        <v>236</v>
      </c>
      <c r="H44" s="34" t="n">
        <f aca="false">IFERROR(INDEX(Kurallar!$B$48:$B$51,MATCH(B44,Kurallar!$A$48:$A$51,0)),"")</f>
        <v>0.405</v>
      </c>
      <c r="I44" s="33" t="n">
        <f aca="false">IFERROR(INDEX(Kurallar!$B$42:$B$44,MATCH(G44,Kurallar!$A$42:$A$44,0)),"")</f>
        <v>536.55</v>
      </c>
      <c r="J44" s="35" t="n">
        <f aca="false">IF(OR(F44="",H44="",H44=0,I44=""),"",F44*H44*I44)</f>
        <v>13694.419305</v>
      </c>
      <c r="K44" s="22" t="s">
        <v>322</v>
      </c>
    </row>
    <row r="45" customFormat="false" ht="15" hidden="false" customHeight="false" outlineLevel="0" collapsed="false">
      <c r="A45" s="22" t="s">
        <v>402</v>
      </c>
      <c r="B45" s="22" t="s">
        <v>21</v>
      </c>
      <c r="C45" s="22" t="s">
        <v>154</v>
      </c>
      <c r="D45" s="22" t="s">
        <v>403</v>
      </c>
      <c r="E45" s="22" t="s">
        <v>16</v>
      </c>
      <c r="F45" s="33" t="n">
        <v>14.53</v>
      </c>
      <c r="G45" s="22" t="s">
        <v>236</v>
      </c>
      <c r="H45" s="34" t="n">
        <f aca="false">IFERROR(INDEX(Kurallar!$B$48:$B$51,MATCH(B45,Kurallar!$A$48:$A$51,0)),"")</f>
        <v>0.405</v>
      </c>
      <c r="I45" s="33" t="n">
        <f aca="false">IFERROR(INDEX(Kurallar!$B$42:$B$44,MATCH(G45,Kurallar!$A$42:$A$44,0)),"")</f>
        <v>536.55</v>
      </c>
      <c r="J45" s="35" t="n">
        <f aca="false">IF(OR(F45="",H45="",H45=0,I45=""),"",F45*H45*I45)</f>
        <v>3157.4089575</v>
      </c>
      <c r="K45" s="22" t="s">
        <v>322</v>
      </c>
    </row>
    <row r="46" customFormat="false" ht="15" hidden="false" customHeight="false" outlineLevel="0" collapsed="false">
      <c r="A46" s="22" t="s">
        <v>404</v>
      </c>
      <c r="B46" s="22" t="s">
        <v>21</v>
      </c>
      <c r="C46" s="22" t="s">
        <v>156</v>
      </c>
      <c r="D46" s="22" t="s">
        <v>405</v>
      </c>
      <c r="E46" s="22" t="s">
        <v>16</v>
      </c>
      <c r="F46" s="33" t="n">
        <v>58.06</v>
      </c>
      <c r="G46" s="22" t="s">
        <v>236</v>
      </c>
      <c r="H46" s="34" t="n">
        <f aca="false">IFERROR(INDEX(Kurallar!$B$48:$B$51,MATCH(B46,Kurallar!$A$48:$A$51,0)),"")</f>
        <v>0.405</v>
      </c>
      <c r="I46" s="33" t="n">
        <f aca="false">IFERROR(INDEX(Kurallar!$B$42:$B$44,MATCH(G46,Kurallar!$A$42:$A$44,0)),"")</f>
        <v>536.55</v>
      </c>
      <c r="J46" s="35" t="n">
        <f aca="false">IF(OR(F46="",H46="",H46=0,I46=""),"",F46*H46*I46)</f>
        <v>12616.597665</v>
      </c>
      <c r="K46" s="22" t="s">
        <v>322</v>
      </c>
    </row>
    <row r="47" customFormat="false" ht="15" hidden="false" customHeight="false" outlineLevel="0" collapsed="false">
      <c r="A47" s="22" t="s">
        <v>406</v>
      </c>
      <c r="B47" s="22" t="s">
        <v>21</v>
      </c>
      <c r="C47" s="22" t="s">
        <v>158</v>
      </c>
      <c r="D47" s="22" t="s">
        <v>407</v>
      </c>
      <c r="E47" s="22" t="s">
        <v>16</v>
      </c>
      <c r="F47" s="33" t="n">
        <v>90.62</v>
      </c>
      <c r="G47" s="22" t="s">
        <v>236</v>
      </c>
      <c r="H47" s="34" t="n">
        <f aca="false">IFERROR(INDEX(Kurallar!$B$48:$B$51,MATCH(B47,Kurallar!$A$48:$A$51,0)),"")</f>
        <v>0.405</v>
      </c>
      <c r="I47" s="33" t="n">
        <f aca="false">IFERROR(INDEX(Kurallar!$B$42:$B$44,MATCH(G47,Kurallar!$A$42:$A$44,0)),"")</f>
        <v>536.55</v>
      </c>
      <c r="J47" s="35" t="n">
        <f aca="false">IF(OR(F47="",H47="",H47=0,I47=""),"",F47*H47*I47)</f>
        <v>19691.975205</v>
      </c>
      <c r="K47" s="22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2026-08-17T08:09:47Z</dcterms:created>
  <dc:creator>openpyxl</dc:creator>
  <dc:description/>
  <dc:language>en-US</dc:language>
  <cp:lastModifiedBy/>
  <dcterms:modified xsi:type="dcterms:W3CDTF">2026-08-17T08:09:47Z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