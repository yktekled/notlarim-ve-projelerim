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6 guldana atrau\"/>
    </mc:Choice>
  </mc:AlternateContent>
  <xr:revisionPtr revIDLastSave="0" documentId="13_ncr:1_{3FCCA769-4685-4BDD-9CF4-C0CACCF4E77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TEKLIF!$A$1:$H$59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4" i="4" l="1"/>
  <c r="J44" i="4" s="1"/>
  <c r="I43" i="4"/>
  <c r="I42" i="4"/>
  <c r="I41" i="4"/>
  <c r="J41" i="4" s="1"/>
  <c r="I40" i="4"/>
  <c r="J40" i="4" s="1"/>
  <c r="I39" i="4"/>
  <c r="J39" i="4" s="1"/>
  <c r="I38" i="4"/>
  <c r="J38" i="4" s="1"/>
  <c r="I37" i="4"/>
  <c r="J37" i="4" s="1"/>
  <c r="I35" i="4"/>
  <c r="J42" i="4" l="1"/>
  <c r="J43" i="4"/>
  <c r="J18" i="4" l="1"/>
  <c r="K18" i="4" l="1"/>
  <c r="G18" i="4"/>
  <c r="I18" i="4"/>
  <c r="I23" i="4" l="1"/>
  <c r="I31" i="4"/>
  <c r="I21" i="4"/>
  <c r="I30" i="4"/>
  <c r="I26" i="4"/>
  <c r="I29" i="4"/>
  <c r="I22" i="4"/>
  <c r="I20" i="4"/>
  <c r="I19" i="4"/>
  <c r="I33" i="4"/>
  <c r="I17" i="4" l="1"/>
  <c r="J23" i="4"/>
  <c r="I32" i="4"/>
  <c r="I34" i="4"/>
  <c r="J31" i="4"/>
  <c r="J33" i="4"/>
  <c r="J19" i="4"/>
  <c r="G23" i="4" l="1"/>
  <c r="K23" i="4"/>
  <c r="K31" i="4"/>
  <c r="G31" i="4"/>
  <c r="K33" i="4"/>
  <c r="G33" i="4"/>
  <c r="K19" i="4"/>
  <c r="G19" i="4"/>
  <c r="J32" i="4" l="1"/>
  <c r="J21" i="4"/>
  <c r="J30" i="4"/>
  <c r="J26" i="4"/>
  <c r="J29" i="4"/>
  <c r="J22" i="4"/>
  <c r="J20" i="4"/>
  <c r="J17" i="4" l="1"/>
  <c r="K32" i="4"/>
  <c r="G32" i="4"/>
  <c r="G21" i="4"/>
  <c r="K21" i="4"/>
  <c r="G30" i="4"/>
  <c r="K30" i="4"/>
  <c r="G26" i="4"/>
  <c r="K26" i="4"/>
  <c r="K29" i="4"/>
  <c r="G29" i="4"/>
  <c r="G22" i="4"/>
  <c r="K22" i="4"/>
  <c r="K20" i="4"/>
  <c r="G20" i="4"/>
  <c r="J34" i="4"/>
  <c r="K17" i="4" l="1"/>
  <c r="G17" i="4"/>
  <c r="G34" i="4"/>
  <c r="K34" i="4"/>
  <c r="I16" i="4" l="1"/>
  <c r="J16" i="4" l="1"/>
  <c r="G16" i="4" l="1"/>
  <c r="K16" i="4"/>
  <c r="I27" i="4" l="1"/>
  <c r="I28" i="4"/>
  <c r="I25" i="4"/>
  <c r="I24" i="4"/>
  <c r="J27" i="4" l="1"/>
  <c r="J28" i="4" l="1"/>
  <c r="G27" i="4"/>
  <c r="K27" i="4"/>
  <c r="J25" i="4"/>
  <c r="J24" i="4"/>
  <c r="G28" i="4" l="1"/>
  <c r="K28" i="4"/>
  <c r="G25" i="4"/>
  <c r="K25" i="4"/>
  <c r="G24" i="4"/>
  <c r="K24" i="4"/>
  <c r="G35" i="4" l="1"/>
  <c r="K35" i="4"/>
</calcChain>
</file>

<file path=xl/sharedStrings.xml><?xml version="1.0" encoding="utf-8"?>
<sst xmlns="http://schemas.openxmlformats.org/spreadsheetml/2006/main" count="94" uniqueCount="63">
  <si>
    <t>1ВРУ (ВРУ1-13-20 УХЛ4 + 2×ВРУ1М-44-00 УХЛ4) (261006 guldana atr)</t>
  </si>
  <si>
    <t>ЯАВР (ЯАВР3-40-2) (261006 guldana atr)</t>
  </si>
  <si>
    <t>ШРС (ЩРн-24з-0 74 У2) (261006 guldana atr)</t>
  </si>
  <si>
    <t>ШР1 (ЩРн-36з-0 74 У2) (261006 guldana atr)</t>
  </si>
  <si>
    <t>ШР2 (ЩРн-24з-0 74 У2) (261006 guldana atr)</t>
  </si>
  <si>
    <t>ШР3 (ЩРн-24з-0 74 У2) (261006 guldana atr)</t>
  </si>
  <si>
    <t>ШР4 (ЩРн-36з-0 74 У2) (261006 guldana atr)</t>
  </si>
  <si>
    <t>ШР5 (ЩРн-36з-0 74 У2) (261006 guldana atr)</t>
  </si>
  <si>
    <t>ШРб-1 (КМПб 4/42) (261006 guldana atr)</t>
  </si>
  <si>
    <t>ШРб-2 (КМПб 4/42) (261006 guldana atr)</t>
  </si>
  <si>
    <t>Щс (ЩРн-12з-1 36) (261006 guldana atr)</t>
  </si>
  <si>
    <t>ЩО-1 (КМПб 4/42) (261006 guldana atr)</t>
  </si>
  <si>
    <t>ЩО-2 (КМПб 4/28) (261006 guldana atr)</t>
  </si>
  <si>
    <t>ЩО-3 (КМПб 4/42) (261006 guldana atr)</t>
  </si>
  <si>
    <t>ЩО-4 (КМПб 4/42) (261006 guldana atr)</t>
  </si>
  <si>
    <t>ЩОА-1, ЩОА-2 (КМПб 4/14) (261006 guldana atr)</t>
  </si>
  <si>
    <t>Я-Нц (Я5111-2274 УХЛ4) (261006 guldana atr)</t>
  </si>
  <si>
    <t>Я1, Я2 (ЯРП-25-УЗ) (261006 guldana atr)</t>
  </si>
  <si>
    <t>Яз1 (Я5411-3074) (261006 guldana atr)</t>
  </si>
  <si>
    <t>Детский сад на 280 мест, с. Жанаталап-2 (Guldana)</t>
  </si>
  <si>
    <t>ТОО "TEK LED"</t>
  </si>
  <si>
    <t>Директор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</si>
  <si>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</si>
  <si>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</si>
  <si>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</si>
  <si>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</si>
  <si>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</si>
  <si>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</si>
  <si>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</si>
  <si>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</si>
  <si>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</si>
  <si>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</si>
  <si>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</si>
  <si>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</si>
  <si>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</si>
  <si>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</si>
  <si>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</si>
  <si>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</si>
  <si>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</si>
  <si>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</si>
  <si>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</si>
  <si>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</si>
  <si>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</si>
  <si>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</si>
  <si>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</si>
  <si>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</si>
  <si>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</si>
  <si>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</si>
  <si>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</si>
  <si>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</si>
  <si>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</si>
  <si>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</si>
  <si>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</si>
  <si>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ATRAU</t>
  </si>
  <si>
    <t>YSF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</si>
  <si>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</si>
  <si>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</si>
  <si>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</si>
  <si>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алюминиевые (Al)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</si>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</sst>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4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5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57</xdr:row>
      <xdr:rowOff>19080</xdr:rowOff>
    </xdr:from>
    <xdr:to>
      <xdr:col>2</xdr:col>
      <xdr:colOff>2666580</xdr:colOff>
      <xdr:row>57</xdr:row>
      <xdr:rowOff>399600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96214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58"/>
  <sheetViews>
    <sheetView showGridLines="0" tabSelected="1" topLeftCell="A5" zoomScaleNormal="100" workbookViewId="0">
      <selection activeCell="O34" sqref="O34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20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25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26</v>
      </c>
      <c r="B7" s="22"/>
      <c r="C7" s="2">
        <v>9890000</v>
      </c>
      <c r="D7" s="20" t="s">
        <v>27</v>
      </c>
      <c r="E7" s="20"/>
      <c r="F7" s="21" t="s">
        <v>53</v>
      </c>
      <c r="G7" s="21"/>
      <c r="H7" s="21"/>
    </row>
    <row r="8" spans="1:11" ht="27.75" customHeight="1" x14ac:dyDescent="0.25">
      <c r="A8" s="22" t="s">
        <v>28</v>
      </c>
      <c r="B8" s="22"/>
      <c r="C8" s="4">
        <v>46301</v>
      </c>
      <c r="D8" s="20" t="s">
        <v>29</v>
      </c>
      <c r="E8" s="20"/>
      <c r="F8" s="21" t="s">
        <v>55</v>
      </c>
      <c r="G8" s="21"/>
      <c r="H8" s="21"/>
    </row>
    <row r="9" spans="1:11" ht="27.75" customHeight="1" x14ac:dyDescent="0.25">
      <c r="D9" s="20" t="s">
        <v>30</v>
      </c>
      <c r="E9" s="20"/>
      <c r="F9" s="21" t="s">
        <v>19</v>
      </c>
      <c r="G9" s="21"/>
      <c r="H9" s="21"/>
    </row>
    <row r="10" spans="1:11" ht="15" customHeight="1" x14ac:dyDescent="0.25">
      <c r="D10" s="20" t="s">
        <v>31</v>
      </c>
      <c r="E10" s="20"/>
      <c r="F10" s="21" t="s">
        <v>55</v>
      </c>
      <c r="G10" s="21"/>
      <c r="H10" s="21"/>
    </row>
    <row r="11" spans="1:11" ht="15" customHeight="1" x14ac:dyDescent="0.25">
      <c r="D11" s="20" t="s">
        <v>32</v>
      </c>
      <c r="E11" s="20"/>
      <c r="F11" s="21" t="s">
        <v>55</v>
      </c>
      <c r="G11" s="21"/>
      <c r="H11" s="21"/>
    </row>
    <row r="12" spans="1:11" ht="15" customHeight="1" x14ac:dyDescent="0.25">
      <c r="D12" s="20" t="s">
        <v>33</v>
      </c>
      <c r="E12" s="20"/>
      <c r="F12" s="21" t="s">
        <v>55</v>
      </c>
      <c r="G12" s="21"/>
      <c r="H12" s="21"/>
    </row>
    <row r="13" spans="1:11" ht="15" customHeight="1" x14ac:dyDescent="0.25">
      <c r="D13" s="20" t="s">
        <v>34</v>
      </c>
      <c r="E13" s="20"/>
      <c r="F13" s="21" t="s">
        <v>55</v>
      </c>
      <c r="G13" s="21"/>
      <c r="H13" s="21"/>
    </row>
    <row r="15" spans="1:11" ht="39.75" customHeight="1" x14ac:dyDescent="0.25">
      <c r="A15" s="5" t="s">
        <v>35</v>
      </c>
      <c r="B15" s="5" t="s">
        <v>36</v>
      </c>
      <c r="C15" s="5" t="s">
        <v>37</v>
      </c>
      <c r="D15" s="5" t="s">
        <v>38</v>
      </c>
      <c r="E15" s="5" t="s">
        <v>39</v>
      </c>
      <c r="F15" s="5" t="s">
        <v>40</v>
      </c>
      <c r="G15" s="5" t="s">
        <v>41</v>
      </c>
      <c r="H15" s="5" t="s">
        <v>42</v>
      </c>
      <c r="I15" s="3" t="s">
        <v>43</v>
      </c>
      <c r="J15" s="3" t="s">
        <v>44</v>
      </c>
      <c r="K15" s="3" t="s">
        <v>45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46</v>
      </c>
      <c r="F16" s="10">
        <v>1446474</v>
      </c>
      <c r="G16" s="10">
        <f t="shared" ref="G16:G34" si="0">IF(F16="","",D16*F16)</f>
        <v>1446474</v>
      </c>
      <c r="H16" s="6">
        <v>25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34" si="1">IF(J16="","",D16*J16)</f>
        <v>#REF!</v>
      </c>
    </row>
    <row r="17" spans="1:11" ht="42" customHeight="1" x14ac:dyDescent="0.25">
      <c r="A17" s="6">
        <v>2</v>
      </c>
      <c r="B17" s="7"/>
      <c r="C17" s="8" t="s">
        <v>1</v>
      </c>
      <c r="D17" s="9">
        <v>1</v>
      </c>
      <c r="E17" s="6" t="s">
        <v>46</v>
      </c>
      <c r="F17" s="10">
        <v>289036</v>
      </c>
      <c r="G17" s="10">
        <f t="shared" si="0"/>
        <v>289036</v>
      </c>
      <c r="H17" s="6">
        <v>25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2</v>
      </c>
      <c r="D18" s="9">
        <v>1</v>
      </c>
      <c r="E18" s="6" t="s">
        <v>46</v>
      </c>
      <c r="F18" s="10">
        <v>63229</v>
      </c>
      <c r="G18" s="10">
        <f t="shared" si="0"/>
        <v>63229</v>
      </c>
      <c r="H18" s="6">
        <v>25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3</v>
      </c>
      <c r="D19" s="9">
        <v>1</v>
      </c>
      <c r="E19" s="6" t="s">
        <v>46</v>
      </c>
      <c r="F19" s="10">
        <v>91147</v>
      </c>
      <c r="G19" s="10">
        <f t="shared" si="0"/>
        <v>91147</v>
      </c>
      <c r="H19" s="6">
        <v>25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4</v>
      </c>
      <c r="D20" s="9">
        <v>1</v>
      </c>
      <c r="E20" s="6" t="s">
        <v>46</v>
      </c>
      <c r="F20" s="10">
        <v>51322</v>
      </c>
      <c r="G20" s="10">
        <f t="shared" si="0"/>
        <v>51322</v>
      </c>
      <c r="H20" s="6">
        <v>25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5</v>
      </c>
      <c r="D21" s="9">
        <v>1</v>
      </c>
      <c r="E21" s="6" t="s">
        <v>46</v>
      </c>
      <c r="F21" s="10">
        <v>79987</v>
      </c>
      <c r="G21" s="10">
        <f t="shared" si="0"/>
        <v>79987</v>
      </c>
      <c r="H21" s="6">
        <v>25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25">
      <c r="A22" s="6">
        <v>7</v>
      </c>
      <c r="B22" s="7"/>
      <c r="C22" s="8" t="s">
        <v>6</v>
      </c>
      <c r="D22" s="9">
        <v>1</v>
      </c>
      <c r="E22" s="6" t="s">
        <v>46</v>
      </c>
      <c r="F22" s="10">
        <v>79642</v>
      </c>
      <c r="G22" s="10">
        <f t="shared" si="0"/>
        <v>79642</v>
      </c>
      <c r="H22" s="6">
        <v>25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25">
      <c r="A23" s="6">
        <v>8</v>
      </c>
      <c r="B23" s="7"/>
      <c r="C23" s="8" t="s">
        <v>7</v>
      </c>
      <c r="D23" s="9">
        <v>1</v>
      </c>
      <c r="E23" s="6" t="s">
        <v>46</v>
      </c>
      <c r="F23" s="10">
        <v>69977</v>
      </c>
      <c r="G23" s="10">
        <f t="shared" si="0"/>
        <v>69977</v>
      </c>
      <c r="H23" s="6">
        <v>25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25">
      <c r="A24" s="6">
        <v>9</v>
      </c>
      <c r="B24" s="7"/>
      <c r="C24" s="8" t="s">
        <v>8</v>
      </c>
      <c r="D24" s="9">
        <v>1</v>
      </c>
      <c r="E24" s="6" t="s">
        <v>46</v>
      </c>
      <c r="F24" s="10">
        <v>252703</v>
      </c>
      <c r="G24" s="10">
        <f t="shared" si="0"/>
        <v>252703</v>
      </c>
      <c r="H24" s="6">
        <v>25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42" customHeight="1" x14ac:dyDescent="0.25">
      <c r="A25" s="6">
        <v>10</v>
      </c>
      <c r="B25" s="7"/>
      <c r="C25" s="8" t="s">
        <v>9</v>
      </c>
      <c r="D25" s="9">
        <v>1</v>
      </c>
      <c r="E25" s="6" t="s">
        <v>46</v>
      </c>
      <c r="F25" s="10">
        <v>174459</v>
      </c>
      <c r="G25" s="10">
        <f t="shared" si="0"/>
        <v>174459</v>
      </c>
      <c r="H25" s="6">
        <v>25</v>
      </c>
      <c r="I25" s="3" t="e">
        <f>TRIM(#REF!&amp;" "&amp;#REF!)</f>
        <v>#REF!</v>
      </c>
      <c r="J25" s="11" t="e">
        <f>IF(KAR_ORANI="","",ROUND(#REF!*(1+KAR_ORANI)*(1-ISKONTO),0))</f>
        <v>#REF!</v>
      </c>
      <c r="K25" s="11" t="e">
        <f t="shared" si="1"/>
        <v>#REF!</v>
      </c>
    </row>
    <row r="26" spans="1:11" ht="42" customHeight="1" x14ac:dyDescent="0.25">
      <c r="A26" s="6">
        <v>11</v>
      </c>
      <c r="B26" s="7"/>
      <c r="C26" s="8" t="s">
        <v>10</v>
      </c>
      <c r="D26" s="9">
        <v>1</v>
      </c>
      <c r="E26" s="6" t="s">
        <v>46</v>
      </c>
      <c r="F26" s="10">
        <v>42023</v>
      </c>
      <c r="G26" s="10">
        <f t="shared" si="0"/>
        <v>42023</v>
      </c>
      <c r="H26" s="6">
        <v>25</v>
      </c>
      <c r="I26" s="3" t="e">
        <f>TRIM(#REF!&amp;" "&amp;#REF!)</f>
        <v>#REF!</v>
      </c>
      <c r="J26" s="11" t="e">
        <f>IF(KAR_ORANI="","",ROUND(#REF!*(1+KAR_ORANI)*(1-ISKONTO),0))</f>
        <v>#REF!</v>
      </c>
      <c r="K26" s="11" t="e">
        <f t="shared" si="1"/>
        <v>#REF!</v>
      </c>
    </row>
    <row r="27" spans="1:11" ht="42" customHeight="1" x14ac:dyDescent="0.25">
      <c r="A27" s="6">
        <v>12</v>
      </c>
      <c r="B27" s="7"/>
      <c r="C27" s="8" t="s">
        <v>11</v>
      </c>
      <c r="D27" s="9">
        <v>1</v>
      </c>
      <c r="E27" s="6" t="s">
        <v>46</v>
      </c>
      <c r="F27" s="10">
        <v>119228</v>
      </c>
      <c r="G27" s="10">
        <f t="shared" si="0"/>
        <v>119228</v>
      </c>
      <c r="H27" s="6">
        <v>25</v>
      </c>
      <c r="I27" s="3" t="e">
        <f>TRIM(#REF!&amp;" "&amp;#REF!)</f>
        <v>#REF!</v>
      </c>
      <c r="J27" s="11" t="e">
        <f>IF(KAR_ORANI="","",ROUND(#REF!*(1+KAR_ORANI)*(1-ISKONTO),0))</f>
        <v>#REF!</v>
      </c>
      <c r="K27" s="11" t="e">
        <f t="shared" si="1"/>
        <v>#REF!</v>
      </c>
    </row>
    <row r="28" spans="1:11" ht="42" customHeight="1" x14ac:dyDescent="0.25">
      <c r="A28" s="6">
        <v>13</v>
      </c>
      <c r="B28" s="7"/>
      <c r="C28" s="8" t="s">
        <v>12</v>
      </c>
      <c r="D28" s="9">
        <v>1</v>
      </c>
      <c r="E28" s="6" t="s">
        <v>46</v>
      </c>
      <c r="F28" s="10">
        <v>92703</v>
      </c>
      <c r="G28" s="10">
        <f t="shared" si="0"/>
        <v>92703</v>
      </c>
      <c r="H28" s="6">
        <v>25</v>
      </c>
      <c r="I28" s="3" t="e">
        <f>TRIM(#REF!&amp;" "&amp;#REF!)</f>
        <v>#REF!</v>
      </c>
      <c r="J28" s="11" t="e">
        <f>IF(KAR_ORANI="","",ROUND(#REF!*(1+KAR_ORANI)*(1-ISKONTO),0))</f>
        <v>#REF!</v>
      </c>
      <c r="K28" s="11" t="e">
        <f t="shared" si="1"/>
        <v>#REF!</v>
      </c>
    </row>
    <row r="29" spans="1:11" ht="42" customHeight="1" x14ac:dyDescent="0.25">
      <c r="A29" s="6">
        <v>14</v>
      </c>
      <c r="B29" s="7"/>
      <c r="C29" s="8" t="s">
        <v>13</v>
      </c>
      <c r="D29" s="9">
        <v>1</v>
      </c>
      <c r="E29" s="6" t="s">
        <v>46</v>
      </c>
      <c r="F29" s="10">
        <v>115410</v>
      </c>
      <c r="G29" s="10">
        <f t="shared" si="0"/>
        <v>115410</v>
      </c>
      <c r="H29" s="6">
        <v>25</v>
      </c>
      <c r="I29" s="3" t="e">
        <f>TRIM(#REF!&amp;" "&amp;#REF!)</f>
        <v>#REF!</v>
      </c>
      <c r="J29" s="11" t="e">
        <f>IF(KAR_ORANI="","",ROUND(#REF!*(1+KAR_ORANI)*(1-ISKONTO),0))</f>
        <v>#REF!</v>
      </c>
      <c r="K29" s="11" t="e">
        <f t="shared" si="1"/>
        <v>#REF!</v>
      </c>
    </row>
    <row r="30" spans="1:11" ht="42" customHeight="1" x14ac:dyDescent="0.25">
      <c r="A30" s="6">
        <v>15</v>
      </c>
      <c r="B30" s="7"/>
      <c r="C30" s="8" t="s">
        <v>14</v>
      </c>
      <c r="D30" s="9">
        <v>1</v>
      </c>
      <c r="E30" s="6" t="s">
        <v>46</v>
      </c>
      <c r="F30" s="10">
        <v>119206</v>
      </c>
      <c r="G30" s="10">
        <f t="shared" si="0"/>
        <v>119206</v>
      </c>
      <c r="H30" s="6">
        <v>25</v>
      </c>
      <c r="I30" s="3" t="e">
        <f>TRIM(#REF!&amp;" "&amp;#REF!)</f>
        <v>#REF!</v>
      </c>
      <c r="J30" s="11" t="e">
        <f>IF(KAR_ORANI="","",ROUND(#REF!*(1+KAR_ORANI)*(1-ISKONTO),0))</f>
        <v>#REF!</v>
      </c>
      <c r="K30" s="11" t="e">
        <f t="shared" si="1"/>
        <v>#REF!</v>
      </c>
    </row>
    <row r="31" spans="1:11" ht="42" customHeight="1" x14ac:dyDescent="0.25">
      <c r="A31" s="6">
        <v>16</v>
      </c>
      <c r="B31" s="7"/>
      <c r="C31" s="8" t="s">
        <v>15</v>
      </c>
      <c r="D31" s="9">
        <v>2</v>
      </c>
      <c r="E31" s="6" t="s">
        <v>46</v>
      </c>
      <c r="F31" s="10">
        <v>50364</v>
      </c>
      <c r="G31" s="10">
        <f t="shared" si="0"/>
        <v>100728</v>
      </c>
      <c r="H31" s="6">
        <v>25</v>
      </c>
      <c r="I31" s="3" t="e">
        <f>TRIM(#REF!&amp;" "&amp;#REF!)</f>
        <v>#REF!</v>
      </c>
      <c r="J31" s="11" t="e">
        <f>IF(KAR_ORANI="","",ROUND(#REF!*(1+KAR_ORANI)*(1-ISKONTO),0))</f>
        <v>#REF!</v>
      </c>
      <c r="K31" s="11" t="e">
        <f t="shared" si="1"/>
        <v>#REF!</v>
      </c>
    </row>
    <row r="32" spans="1:11" ht="42" customHeight="1" x14ac:dyDescent="0.25">
      <c r="A32" s="6">
        <v>17</v>
      </c>
      <c r="B32" s="7"/>
      <c r="C32" s="8" t="s">
        <v>16</v>
      </c>
      <c r="D32" s="9">
        <v>1</v>
      </c>
      <c r="E32" s="6" t="s">
        <v>46</v>
      </c>
      <c r="F32" s="10">
        <v>65879</v>
      </c>
      <c r="G32" s="10">
        <f t="shared" si="0"/>
        <v>65879</v>
      </c>
      <c r="H32" s="6">
        <v>25</v>
      </c>
      <c r="I32" s="3" t="e">
        <f>TRIM(#REF!&amp;" "&amp;#REF!)</f>
        <v>#REF!</v>
      </c>
      <c r="J32" s="11" t="e">
        <f>IF(KAR_ORANI="","",ROUND(#REF!*(1+KAR_ORANI)*(1-ISKONTO),0))</f>
        <v>#REF!</v>
      </c>
      <c r="K32" s="11" t="e">
        <f t="shared" si="1"/>
        <v>#REF!</v>
      </c>
    </row>
    <row r="33" spans="1:11" ht="42" customHeight="1" x14ac:dyDescent="0.25">
      <c r="A33" s="6">
        <v>18</v>
      </c>
      <c r="B33" s="7"/>
      <c r="C33" s="8" t="s">
        <v>17</v>
      </c>
      <c r="D33" s="9">
        <v>2</v>
      </c>
      <c r="E33" s="6" t="s">
        <v>46</v>
      </c>
      <c r="F33" s="10">
        <v>44448</v>
      </c>
      <c r="G33" s="10">
        <f t="shared" si="0"/>
        <v>88896</v>
      </c>
      <c r="H33" s="6">
        <v>25</v>
      </c>
      <c r="I33" s="3" t="e">
        <f>TRIM(#REF!&amp;" "&amp;#REF!)</f>
        <v>#REF!</v>
      </c>
      <c r="J33" s="11" t="e">
        <f>IF(KAR_ORANI="","",ROUND(#REF!*(1+KAR_ORANI)*(1-ISKONTO),0))</f>
        <v>#REF!</v>
      </c>
      <c r="K33" s="11" t="e">
        <f t="shared" si="1"/>
        <v>#REF!</v>
      </c>
    </row>
    <row r="34" spans="1:11" ht="42" customHeight="1" x14ac:dyDescent="0.25">
      <c r="A34" s="6">
        <v>19</v>
      </c>
      <c r="B34" s="7"/>
      <c r="C34" s="8" t="s">
        <v>18</v>
      </c>
      <c r="D34" s="9">
        <v>1</v>
      </c>
      <c r="E34" s="6" t="s">
        <v>46</v>
      </c>
      <c r="F34" s="10">
        <v>102435</v>
      </c>
      <c r="G34" s="10">
        <f t="shared" si="0"/>
        <v>102435</v>
      </c>
      <c r="H34" s="6">
        <v>25</v>
      </c>
      <c r="I34" s="3" t="e">
        <f>TRIM(#REF!&amp;" "&amp;#REF!)</f>
        <v>#REF!</v>
      </c>
      <c r="J34" s="11" t="e">
        <f>IF(KAR_ORANI="","",ROUND(#REF!*(1+KAR_ORANI)*(1-ISKONTO),0))</f>
        <v>#REF!</v>
      </c>
      <c r="K34" s="11" t="e">
        <f t="shared" si="1"/>
        <v>#REF!</v>
      </c>
    </row>
    <row r="35" spans="1:11" ht="21.75" customHeight="1" x14ac:dyDescent="0.25">
      <c r="A35" s="12"/>
      <c r="B35" s="5" t="s">
        <v>47</v>
      </c>
      <c r="C35" s="12"/>
      <c r="D35" s="12"/>
      <c r="E35" s="12"/>
      <c r="F35" s="12"/>
      <c r="G35" s="13">
        <f>SUM(G16:G34)</f>
        <v>3444484</v>
      </c>
      <c r="H35" s="12"/>
      <c r="I35" s="3" t="e">
        <f>IF(KAR_ORANI="","KÂR ORANI GİRİLMEDİ","")</f>
        <v>#REF!</v>
      </c>
      <c r="K35" s="11" t="e">
        <f>SUM(K16:K34)</f>
        <v>#REF!</v>
      </c>
    </row>
    <row r="37" spans="1:11" ht="24" customHeight="1" x14ac:dyDescent="0.25">
      <c r="A37" s="19" t="s">
        <v>56</v>
      </c>
      <c r="B37" s="19"/>
      <c r="C37" s="19"/>
      <c r="D37" s="19"/>
      <c r="E37" s="19"/>
      <c r="F37" s="19"/>
      <c r="G37" s="19"/>
      <c r="H37" s="19"/>
      <c r="I37" s="3" t="e">
        <f>IF(GECERLILIK&lt;&gt;"","Срок действия ценового предложения "&amp;GECERLILIK&amp;" рабочих дней.","")</f>
        <v>#REF!</v>
      </c>
      <c r="J37" s="3" t="e">
        <f>IF(I37="","",COUNTIF(I$37:I37,"?*"))</f>
        <v>#REF!</v>
      </c>
    </row>
    <row r="38" spans="1:11" ht="24" customHeight="1" x14ac:dyDescent="0.25">
      <c r="A38" s="19" t="s">
        <v>57</v>
      </c>
      <c r="B38" s="19"/>
      <c r="C38" s="19"/>
      <c r="D38" s="19"/>
      <c r="E38" s="19"/>
      <c r="F38" s="19"/>
      <c r="G38" s="19"/>
      <c r="H38" s="19"/>
      <c r="I38" s="3" t="e">
        <f>IF(TESLIM_YERI&lt;&gt;"","Место поставки: "&amp;TESLIM_YERI&amp;".","")</f>
        <v>#REF!</v>
      </c>
      <c r="J38" s="3" t="e">
        <f>IF(I38="","",COUNTIF(I$37:I38,"?*"))</f>
        <v>#REF!</v>
      </c>
    </row>
    <row r="39" spans="1:11" ht="24" customHeight="1" x14ac:dyDescent="0.25">
      <c r="A39" s="19" t="s">
        <v>58</v>
      </c>
      <c r="B39" s="19"/>
      <c r="C39" s="19"/>
      <c r="D39" s="19"/>
      <c r="E39" s="19"/>
      <c r="F39" s="19"/>
      <c r="G39" s="19"/>
      <c r="H39" s="19"/>
      <c r="I39" s="3" t="e">
        <f>IF(ODEME&lt;&gt;"","Условия оплаты: "&amp;ODEME&amp;".","")</f>
        <v>#REF!</v>
      </c>
      <c r="J39" s="3" t="e">
        <f>IF(I39="","",COUNTIF(I$37:I39,"?*"))</f>
        <v>#REF!</v>
      </c>
    </row>
    <row r="40" spans="1:11" ht="24" customHeight="1" x14ac:dyDescent="0.25">
      <c r="A40" s="19" t="s">
        <v>59</v>
      </c>
      <c r="B40" s="19"/>
      <c r="C40" s="19"/>
      <c r="D40" s="19"/>
      <c r="E40" s="19"/>
      <c r="F40" s="19"/>
      <c r="G40" s="19"/>
      <c r="H40" s="19"/>
      <c r="I40" s="3" t="e">
        <f>IF(GARANTI&lt;&gt;"","Гарантия: "&amp;GARANTI&amp;".","")</f>
        <v>#REF!</v>
      </c>
      <c r="J40" s="3" t="e">
        <f>IF(I40="","",COUNTIF(I$37:I40,"?*"))</f>
        <v>#REF!</v>
      </c>
    </row>
    <row r="41" spans="1:11" ht="24" customHeight="1" x14ac:dyDescent="0.25">
      <c r="A41" s="19" t="s">
        <v>60</v>
      </c>
      <c r="B41" s="19"/>
      <c r="C41" s="19"/>
      <c r="D41" s="19"/>
      <c r="E41" s="19"/>
      <c r="F41" s="19"/>
      <c r="G41" s="19"/>
      <c r="H41" s="19"/>
      <c r="I41" s="3" t="e">
        <f>IF(1=1,"В щитах с системой сборных шин применяются "&amp;IF(BARA_MALZEME="AL","алюминиевые (Al)","медные (Cu)")&amp;" шины.","")</f>
        <v>#REF!</v>
      </c>
      <c r="J41" s="3" t="e">
        <f>IF(I41="","",COUNTIF(I$37:I41,"?*"))</f>
        <v>#REF!</v>
      </c>
    </row>
    <row r="42" spans="1:11" ht="24" customHeight="1" x14ac:dyDescent="0.25">
      <c r="A42" s="19" t="s">
        <v>55</v>
      </c>
      <c r="B42" s="19"/>
      <c r="C42" s="19"/>
      <c r="D42" s="19"/>
      <c r="E42" s="19"/>
      <c r="F42" s="19"/>
      <c r="G42" s="19"/>
      <c r="H42" s="19"/>
      <c r="I42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42" s="3" t="e">
        <f>IF(I42="","",COUNTIF(I$37:I42,"?*"))</f>
        <v>#REF!</v>
      </c>
    </row>
    <row r="43" spans="1:11" ht="24" customHeight="1" x14ac:dyDescent="0.25">
      <c r="A43" s="19" t="s">
        <v>55</v>
      </c>
      <c r="B43" s="19"/>
      <c r="C43" s="19"/>
      <c r="D43" s="19"/>
      <c r="E43" s="19"/>
      <c r="F43" s="19"/>
      <c r="G43" s="19"/>
      <c r="H43" s="19"/>
      <c r="I43" s="3" t="e">
        <f>IF(SERTIFIKAT&lt;&gt;"",SERTIFIKAT,"")</f>
        <v>#REF!</v>
      </c>
      <c r="J43" s="3" t="e">
        <f>IF(I43="","",COUNTIF(I$37:I43,"?*"))</f>
        <v>#REF!</v>
      </c>
    </row>
    <row r="44" spans="1:11" ht="24" customHeight="1" x14ac:dyDescent="0.25">
      <c r="A44" s="19" t="s">
        <v>55</v>
      </c>
      <c r="B44" s="19"/>
      <c r="C44" s="19"/>
      <c r="D44" s="19"/>
      <c r="E44" s="19"/>
      <c r="F44" s="19"/>
      <c r="G44" s="19"/>
      <c r="H44" s="19"/>
      <c r="I44" s="3" t="e">
        <f>IF(PROJE_NOT&lt;&gt;"",PROJE_NOT,"")</f>
        <v>#REF!</v>
      </c>
      <c r="J44" s="3" t="e">
        <f>IF(I44="","",COUNTIF(I$37:I44,"?*"))</f>
        <v>#REF!</v>
      </c>
    </row>
    <row r="46" spans="1:11" ht="19.5" customHeight="1" x14ac:dyDescent="0.25">
      <c r="A46" s="15" t="s">
        <v>55</v>
      </c>
      <c r="B46" s="15"/>
      <c r="C46" s="15"/>
      <c r="D46" s="15"/>
      <c r="E46" s="15"/>
      <c r="F46" s="15"/>
      <c r="G46" s="15"/>
      <c r="H46" s="15"/>
    </row>
    <row r="48" spans="1:11" ht="15" customHeight="1" x14ac:dyDescent="0.25">
      <c r="A48" s="16" t="s">
        <v>48</v>
      </c>
      <c r="B48" s="16"/>
      <c r="C48" s="16"/>
    </row>
    <row r="49" spans="1:8" x14ac:dyDescent="0.25">
      <c r="A49" s="16" t="s">
        <v>21</v>
      </c>
      <c r="B49" s="16"/>
      <c r="C49" s="16"/>
      <c r="F49" s="16" t="s">
        <v>55</v>
      </c>
      <c r="G49" s="16"/>
      <c r="H49" s="16"/>
    </row>
    <row r="52" spans="1:8" x14ac:dyDescent="0.25">
      <c r="A52" s="14" t="s">
        <v>49</v>
      </c>
      <c r="B52" s="14"/>
      <c r="C52" s="1" t="s">
        <v>61</v>
      </c>
      <c r="E52" s="17" t="s">
        <v>50</v>
      </c>
      <c r="F52" s="17"/>
      <c r="G52" s="18" t="s">
        <v>54</v>
      </c>
      <c r="H52" s="18"/>
    </row>
    <row r="53" spans="1:8" x14ac:dyDescent="0.25">
      <c r="A53" s="14" t="s">
        <v>51</v>
      </c>
      <c r="B53" s="14"/>
      <c r="C53" s="1" t="s">
        <v>61</v>
      </c>
    </row>
    <row r="54" spans="1:8" x14ac:dyDescent="0.25">
      <c r="A54" s="14" t="s">
        <v>52</v>
      </c>
      <c r="B54" s="14"/>
      <c r="C54" s="1" t="s">
        <v>62</v>
      </c>
    </row>
    <row r="55" spans="1:8" x14ac:dyDescent="0.25">
      <c r="A55" s="14" t="s">
        <v>22</v>
      </c>
      <c r="B55" s="14"/>
      <c r="C55" s="1" t="s">
        <v>61</v>
      </c>
    </row>
    <row r="56" spans="1:8" x14ac:dyDescent="0.25">
      <c r="A56" s="14" t="s">
        <v>23</v>
      </c>
      <c r="B56" s="14"/>
      <c r="C56" s="1" t="s">
        <v>61</v>
      </c>
    </row>
    <row r="57" spans="1:8" x14ac:dyDescent="0.25">
      <c r="A57" s="14" t="s">
        <v>24</v>
      </c>
      <c r="B57" s="14"/>
      <c r="C57" s="1" t="s">
        <v>61</v>
      </c>
    </row>
    <row r="58" spans="1:8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37:H37"/>
    <mergeCell ref="A38:H38"/>
    <mergeCell ref="A39:H39"/>
    <mergeCell ref="A40:H40"/>
    <mergeCell ref="A41:H41"/>
    <mergeCell ref="A42:H42"/>
    <mergeCell ref="A43:H43"/>
    <mergeCell ref="A44:H44"/>
    <mergeCell ref="A46:H46"/>
    <mergeCell ref="A48:C48"/>
    <mergeCell ref="A49:C49"/>
    <mergeCell ref="F49:H49"/>
    <mergeCell ref="A52:B52"/>
    <mergeCell ref="E52:F52"/>
    <mergeCell ref="G52:H52"/>
    <mergeCell ref="A53:B53"/>
    <mergeCell ref="A54:B54"/>
    <mergeCell ref="A55:B55"/>
    <mergeCell ref="A56:B56"/>
    <mergeCell ref="A57:B5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2026-10-06T09:30:36Z</dcterms:created>
  <dcterms:modified xsi:type="dcterms:W3CDTF">2026-10-06T13:56:03Z</dcterms:modified>
  <dc:language>en-US</dc:language>
</cp:coreProperties>
</file>