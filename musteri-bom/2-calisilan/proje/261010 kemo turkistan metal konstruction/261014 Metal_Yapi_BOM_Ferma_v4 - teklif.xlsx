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0 kemo turkistan metal konstruction\"/>
    </mc:Choice>
  </mc:AlternateContent>
  <xr:revisionPtr revIDLastSave="0" documentId="13_ncr:1_{730467C7-746E-425B-A1BE-F51A9710817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6" i="1"/>
  <c r="I14" i="1" s="1"/>
</calcChain>
</file>

<file path=xl/sharedStrings.xml><?xml version="1.0" encoding="utf-8"?>
<sst xmlns="http://schemas.openxmlformats.org/spreadsheetml/2006/main" count="48" uniqueCount="29">
  <si>
    <t>METAL YAPI BOM v4 — BESİ AHIRI — ФЕРМА ЗАЛ / КУХНЯ ФЕРМА</t>
  </si>
  <si>
    <t>Sarı hücreler girdidir (miktar, kg/m, boy). Diğer tüm hücreler formüldür. Kaynak: müşteri Word belgesi + müşteri cevapları (14.10.2026). Proje: besi ahırı. Kapsam: malzeme + nakliye (bizden). Teslim: Туркестан, 30.10.2026.</t>
  </si>
  <si>
    <t>№</t>
  </si>
  <si>
    <t>Grup</t>
  </si>
  <si>
    <t>Наименование</t>
  </si>
  <si>
    <t>Размер</t>
  </si>
  <si>
    <t>Толщина, мм</t>
  </si>
  <si>
    <t>Кол-во</t>
  </si>
  <si>
    <t>Ед.изм</t>
  </si>
  <si>
    <t>ФЕРМА ЗАЛ</t>
  </si>
  <si>
    <t>Ферма зал</t>
  </si>
  <si>
    <t>шт</t>
  </si>
  <si>
    <t>Уголок равнополочный ГОСТ 8509, С255 (ГОСТ 27772)</t>
  </si>
  <si>
    <t>75×75</t>
  </si>
  <si>
    <t>м</t>
  </si>
  <si>
    <t>63×63</t>
  </si>
  <si>
    <t>Лист г/к ГОСТ 19903, С255 (ГОСТ 27772)</t>
  </si>
  <si>
    <t>1500×6000</t>
  </si>
  <si>
    <t>м²</t>
  </si>
  <si>
    <t>Труба профильная ГОСТ 30245, Ст3сп</t>
  </si>
  <si>
    <t>40×40</t>
  </si>
  <si>
    <t>Кухня ФЕРМА</t>
  </si>
  <si>
    <t>Кухня ферма</t>
  </si>
  <si>
    <t>80×40</t>
  </si>
  <si>
    <t>NAKLİYE</t>
  </si>
  <si>
    <t>Доставка металла, Туркестан (до 30.10.2026)</t>
  </si>
  <si>
    <t>рейс</t>
  </si>
  <si>
    <t>tenge /m ve adet</t>
  </si>
  <si>
    <t>сумм.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</si>
</sst>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##"/>
    <numFmt numFmtId="165" formatCode="_-* #,##0_-;\-* #,##0_-;_-* &quot;-&quot;??_-;_-@_-"/>
  </numFmts>
  <fonts count="7" x14ac:knownFonts="1">
    <font>
      <sz val="11"/>
      <color theme="1"/>
      <name val="Calibri"/>
      <family val="2"/>
      <charset val="1"/>
    </font>
    <font>
      <b/>
      <sz val="12"/>
      <name val="Arial"/>
      <family val="2"/>
      <charset val="204"/>
    </font>
    <font>
      <i/>
      <sz val="10"/>
      <color rgb="FF666666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FF"/>
      <name val="Arial"/>
      <family val="2"/>
      <charset val="204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5" fillId="4" borderId="1" xfId="0" applyFont="1" applyFill="1" applyBorder="1"/>
    <xf numFmtId="0" fontId="3" fillId="0" borderId="0" xfId="0" applyFont="1"/>
    <xf numFmtId="0" fontId="0" fillId="0" borderId="1" xfId="0" applyBorder="1"/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4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65" fontId="0" fillId="0" borderId="3" xfId="0" applyNumberFormat="1" applyBorder="1" applyAlignment="1">
      <alignment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Normal="100" workbookViewId="0">
      <pane ySplit="4" topLeftCell="A5" activePane="bottomLeft" state="frozen"/>
      <selection pane="bottomLeft" activeCell="M5" sqref="M5"/>
    </sheetView>
  </sheetViews>
  <sheetFormatPr defaultColWidth="8.7109375" defaultRowHeight="15" x14ac:dyDescent="0.25"/>
  <cols>
    <col min="1" max="1" width="5" customWidth="1"/>
    <col min="2" max="2" width="14" customWidth="1"/>
    <col min="3" max="3" width="40" customWidth="1"/>
    <col min="4" max="5" width="11" customWidth="1"/>
    <col min="6" max="6" width="9" customWidth="1"/>
    <col min="7" max="7" width="8" customWidth="1"/>
    <col min="8" max="8" width="13.85546875" customWidth="1"/>
    <col min="9" max="9" width="13.28515625" bestFit="1" customWidth="1"/>
  </cols>
  <sheetData>
    <row r="1" spans="1:9" ht="15.75" x14ac:dyDescent="0.25">
      <c r="A1" s="1" t="s">
        <v>0</v>
      </c>
    </row>
    <row r="2" spans="1:9" x14ac:dyDescent="0.25">
      <c r="A2" s="2" t="s">
        <v>1</v>
      </c>
    </row>
    <row r="4" spans="1:9" s="15" customFormat="1" ht="25.5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4" t="s">
        <v>27</v>
      </c>
      <c r="I4" s="14" t="s">
        <v>28</v>
      </c>
    </row>
    <row r="5" spans="1:9" s="8" customFormat="1" ht="31.5" customHeight="1" x14ac:dyDescent="0.25">
      <c r="A5" s="6"/>
      <c r="B5" s="6" t="s">
        <v>9</v>
      </c>
      <c r="C5" s="6" t="s">
        <v>10</v>
      </c>
      <c r="D5" s="6"/>
      <c r="E5" s="6"/>
      <c r="F5" s="7">
        <v>10</v>
      </c>
      <c r="G5" s="16" t="s">
        <v>11</v>
      </c>
      <c r="H5" s="17"/>
      <c r="I5" s="17"/>
    </row>
    <row r="6" spans="1:9" s="8" customFormat="1" ht="31.5" customHeight="1" x14ac:dyDescent="0.25">
      <c r="A6" s="9">
        <v>1</v>
      </c>
      <c r="B6" s="9" t="s">
        <v>9</v>
      </c>
      <c r="C6" s="9" t="s">
        <v>12</v>
      </c>
      <c r="D6" s="9" t="s">
        <v>13</v>
      </c>
      <c r="E6" s="10">
        <v>7</v>
      </c>
      <c r="F6" s="20">
        <v>810</v>
      </c>
      <c r="G6" s="22" t="s">
        <v>14</v>
      </c>
      <c r="H6" s="18">
        <v>3132</v>
      </c>
      <c r="I6" s="19">
        <f t="shared" ref="I6:I13" si="0">H6*F6</f>
        <v>2536920</v>
      </c>
    </row>
    <row r="7" spans="1:9" s="8" customFormat="1" ht="31.5" customHeight="1" x14ac:dyDescent="0.25">
      <c r="A7" s="9">
        <v>2</v>
      </c>
      <c r="B7" s="9" t="s">
        <v>9</v>
      </c>
      <c r="C7" s="9" t="s">
        <v>12</v>
      </c>
      <c r="D7" s="9" t="s">
        <v>15</v>
      </c>
      <c r="E7" s="10">
        <v>6</v>
      </c>
      <c r="F7" s="20">
        <v>810</v>
      </c>
      <c r="G7" s="22" t="s">
        <v>14</v>
      </c>
      <c r="H7" s="18">
        <v>2229</v>
      </c>
      <c r="I7" s="19">
        <f t="shared" si="0"/>
        <v>1805490</v>
      </c>
    </row>
    <row r="8" spans="1:9" s="8" customFormat="1" ht="31.5" customHeight="1" x14ac:dyDescent="0.25">
      <c r="A8" s="9">
        <v>3</v>
      </c>
      <c r="B8" s="9" t="s">
        <v>9</v>
      </c>
      <c r="C8" s="9" t="s">
        <v>16</v>
      </c>
      <c r="D8" s="9" t="s">
        <v>17</v>
      </c>
      <c r="E8" s="10">
        <v>8</v>
      </c>
      <c r="F8" s="20">
        <v>45</v>
      </c>
      <c r="G8" s="22" t="s">
        <v>18</v>
      </c>
      <c r="H8" s="18">
        <v>269105</v>
      </c>
      <c r="I8" s="19">
        <f t="shared" si="0"/>
        <v>12109725</v>
      </c>
    </row>
    <row r="9" spans="1:9" s="8" customFormat="1" ht="31.5" customHeight="1" x14ac:dyDescent="0.25">
      <c r="A9" s="9">
        <v>4</v>
      </c>
      <c r="B9" s="9" t="s">
        <v>9</v>
      </c>
      <c r="C9" s="9" t="s">
        <v>19</v>
      </c>
      <c r="D9" s="9" t="s">
        <v>20</v>
      </c>
      <c r="E9" s="10">
        <v>2</v>
      </c>
      <c r="F9" s="20">
        <v>3300</v>
      </c>
      <c r="G9" s="22" t="s">
        <v>14</v>
      </c>
      <c r="H9" s="18">
        <v>1263</v>
      </c>
      <c r="I9" s="19">
        <f t="shared" si="0"/>
        <v>4167900</v>
      </c>
    </row>
    <row r="10" spans="1:9" s="8" customFormat="1" ht="31.5" customHeight="1" x14ac:dyDescent="0.25">
      <c r="A10" s="6"/>
      <c r="B10" s="6" t="s">
        <v>21</v>
      </c>
      <c r="C10" s="6" t="s">
        <v>22</v>
      </c>
      <c r="D10" s="6"/>
      <c r="E10" s="11"/>
      <c r="F10" s="21">
        <v>10</v>
      </c>
      <c r="G10" s="23" t="s">
        <v>11</v>
      </c>
      <c r="H10" s="18"/>
      <c r="I10" s="19">
        <f t="shared" si="0"/>
        <v>0</v>
      </c>
    </row>
    <row r="11" spans="1:9" s="8" customFormat="1" ht="31.5" customHeight="1" x14ac:dyDescent="0.25">
      <c r="A11" s="9">
        <v>5</v>
      </c>
      <c r="B11" s="9" t="s">
        <v>21</v>
      </c>
      <c r="C11" s="9" t="s">
        <v>19</v>
      </c>
      <c r="D11" s="9" t="s">
        <v>23</v>
      </c>
      <c r="E11" s="10">
        <v>3</v>
      </c>
      <c r="F11" s="20">
        <v>280</v>
      </c>
      <c r="G11" s="22" t="s">
        <v>14</v>
      </c>
      <c r="H11" s="18">
        <v>2543</v>
      </c>
      <c r="I11" s="19">
        <f t="shared" si="0"/>
        <v>712040</v>
      </c>
    </row>
    <row r="12" spans="1:9" s="8" customFormat="1" ht="31.5" customHeight="1" x14ac:dyDescent="0.25">
      <c r="A12" s="9">
        <v>6</v>
      </c>
      <c r="B12" s="9" t="s">
        <v>21</v>
      </c>
      <c r="C12" s="9" t="s">
        <v>19</v>
      </c>
      <c r="D12" s="9" t="s">
        <v>20</v>
      </c>
      <c r="E12" s="10">
        <v>2</v>
      </c>
      <c r="F12" s="20">
        <v>300</v>
      </c>
      <c r="G12" s="22" t="s">
        <v>14</v>
      </c>
      <c r="H12" s="18">
        <v>1263</v>
      </c>
      <c r="I12" s="19">
        <f t="shared" si="0"/>
        <v>378900</v>
      </c>
    </row>
    <row r="13" spans="1:9" s="8" customFormat="1" ht="31.5" customHeight="1" x14ac:dyDescent="0.25">
      <c r="A13" s="9">
        <v>7</v>
      </c>
      <c r="B13" s="9" t="s">
        <v>21</v>
      </c>
      <c r="C13" s="9" t="s">
        <v>19</v>
      </c>
      <c r="D13" s="9" t="s">
        <v>20</v>
      </c>
      <c r="E13" s="10">
        <v>2</v>
      </c>
      <c r="F13" s="20">
        <v>1300</v>
      </c>
      <c r="G13" s="22" t="s">
        <v>14</v>
      </c>
      <c r="H13" s="18">
        <v>1263</v>
      </c>
      <c r="I13" s="19">
        <f t="shared" si="0"/>
        <v>1641900</v>
      </c>
    </row>
    <row r="14" spans="1:9" x14ac:dyDescent="0.25">
      <c r="I14" s="12">
        <f>SUM(I6:I13)</f>
        <v>23352875</v>
      </c>
    </row>
    <row r="15" spans="1:9" x14ac:dyDescent="0.25">
      <c r="C15" s="4" t="s">
        <v>24</v>
      </c>
    </row>
    <row r="16" spans="1:9" x14ac:dyDescent="0.25">
      <c r="C16" s="5" t="s">
        <v>25</v>
      </c>
      <c r="D16" s="5"/>
      <c r="E16" s="5"/>
      <c r="F16" s="3">
        <v>2</v>
      </c>
      <c r="G16" s="5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2026-10-14T05:57:52Z</dcterms:created>
  <dcterms:modified xsi:type="dcterms:W3CDTF">2026-10-15T04:41:14Z</dcterms:modified>
  <dc:language>en-US</dc:language>
</cp:coreProperties>
</file>