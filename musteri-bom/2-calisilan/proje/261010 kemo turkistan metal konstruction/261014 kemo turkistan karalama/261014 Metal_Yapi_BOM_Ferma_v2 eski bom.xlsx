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0 kemo turkistan metal konstruction\"/>
    </mc:Choice>
  </mc:AlternateContent>
  <xr:revisionPtr revIDLastSave="0" documentId="13_ncr:1_{124B5F2C-D847-4582-B114-0F145D50CB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Ara Liste" sheetId="2" r:id="rId2"/>
    <sheet name="KONTROL" sheetId="3" r:id="rId3"/>
    <sheet name="Müşteri Cevapları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1" l="1"/>
  <c r="J24" i="1" s="1"/>
  <c r="I23" i="1"/>
  <c r="J23" i="1" s="1"/>
  <c r="I22" i="1"/>
  <c r="J22" i="1" s="1"/>
  <c r="I17" i="1"/>
  <c r="I16" i="1"/>
  <c r="K13" i="1"/>
  <c r="I13" i="1"/>
  <c r="K12" i="1"/>
  <c r="I12" i="1"/>
  <c r="K11" i="1"/>
  <c r="I11" i="1"/>
  <c r="K9" i="1"/>
  <c r="I9" i="1"/>
  <c r="K8" i="1"/>
  <c r="I8" i="1"/>
  <c r="K7" i="1"/>
  <c r="I7" i="1"/>
  <c r="K6" i="1"/>
  <c r="I6" i="1"/>
  <c r="I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" authorId="0" shapeId="0" xr:uid="{00000000-0006-0000-0000-000001000000}">
      <text>
        <r>
          <rPr>
            <sz val="10"/>
            <rFont val="Arial"/>
            <family val="2"/>
          </rPr>
          <t>ГОСТ 8509-93, 75×75×7</t>
        </r>
      </text>
    </comment>
    <comment ref="H7" authorId="0" shapeId="0" xr:uid="{00000000-0006-0000-0000-000002000000}">
      <text>
        <r>
          <rPr>
            <sz val="10"/>
            <rFont val="Arial"/>
            <family val="2"/>
          </rPr>
          <t>ГОСТ 8509-93, 63×63×6</t>
        </r>
      </text>
    </comment>
    <comment ref="H8" authorId="0" shapeId="0" xr:uid="{00000000-0006-0000-0000-000003000000}">
      <text>
        <r>
          <rPr>
            <sz val="10"/>
            <rFont val="Arial"/>
            <family val="2"/>
          </rPr>
          <t>8 mm × 7,85 t/m³ = 62,8 kg/m²</t>
        </r>
      </text>
    </comment>
    <comment ref="H9" authorId="0" shapeId="0" xr:uid="{00000000-0006-0000-0000-000004000000}">
      <text>
        <r>
          <rPr>
            <sz val="10"/>
            <rFont val="Arial"/>
            <family val="2"/>
          </rPr>
          <t>Kalınlık bekleniyor. 1,8 mm=2,09 / 2 mm=2,31 / 3 mm=3,30 kg/m (ГОСТ 30245 formülü)</t>
        </r>
      </text>
    </comment>
    <comment ref="H11" authorId="0" shapeId="0" xr:uid="{00000000-0006-0000-0000-000005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2" authorId="0" shapeId="0" xr:uid="{00000000-0006-0000-0000-000006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3" authorId="0" shapeId="0" xr:uid="{00000000-0006-0000-0000-000007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<sst xmlns="http://schemas.openxmlformats.org/spreadsheetml/2006/main" count="160" uniqueCount="108">
  <si>
    <t>METAL YAPI BOM v2 — ФЕРМА ЗАЛ / КУХНЯ ФЕРМА</t>
  </si>
  <si>
    <t>Sarı hücreler girdidir (miktar, kg/m, boy). Diğer tüm hücreler formüldür. Kaynak: müşteri Word belgesi + müşteri cevapları (14.10.2026). Kapsam: sadece malzeme. Teslim: Туркестан, 30.10.2026.</t>
  </si>
  <si>
    <t>№</t>
  </si>
  <si>
    <t>Grup</t>
  </si>
  <si>
    <t>Наименование</t>
  </si>
  <si>
    <t>Размер</t>
  </si>
  <si>
    <t>Толщина, мм</t>
  </si>
  <si>
    <t>Кол-во</t>
  </si>
  <si>
    <t>Ед.изм</t>
  </si>
  <si>
    <t>кг/м (кг/м²)</t>
  </si>
  <si>
    <t>Вес, кг</t>
  </si>
  <si>
    <t>Boy uzunluğu, m / levha m²</t>
  </si>
  <si>
    <t>Boy / levha adedi</t>
  </si>
  <si>
    <t>Not</t>
  </si>
  <si>
    <t>ФЕРМА ЗАЛ</t>
  </si>
  <si>
    <t>Ферма зал</t>
  </si>
  <si>
    <t>шт</t>
  </si>
  <si>
    <t>Başlık satırı — metrajlar 10 makasın toplamı (müşteri: общий)</t>
  </si>
  <si>
    <t>Уголок равнополочный ГОСТ 8509, С255 (ГОСТ 27772)</t>
  </si>
  <si>
    <t>75×75</t>
  </si>
  <si>
    <t>м</t>
  </si>
  <si>
    <t>63×63</t>
  </si>
  <si>
    <t>Лист г/к ГОСТ 19903, С255 (ГОСТ 27772)</t>
  </si>
  <si>
    <t>1500×6000</t>
  </si>
  <si>
    <t>м²</t>
  </si>
  <si>
    <t>Müşteri: format serbest (разный). Levha adedi 1500×6000 ile hesaplandı; 45 m² net mi fire dahil mi cevaplanmadı — KONTROL</t>
  </si>
  <si>
    <t>Труба профильная ГОСТ 30245, Ст3сп</t>
  </si>
  <si>
    <t>40×40</t>
  </si>
  <si>
    <t>KONTROL</t>
  </si>
  <si>
    <t>KONTROL EDİLECEK: müşteri profil boru dedi, et kalınlığını vermedi. Kalınlık gelince kg/m girilecek (senaryolar aşağıda)</t>
  </si>
  <si>
    <t>Кухня ФЕРМА</t>
  </si>
  <si>
    <t>Кухня ферма</t>
  </si>
  <si>
    <t>80×40</t>
  </si>
  <si>
    <t>1,8 mm yerine 2 mm (müşteri onayı: да можно). Standart seri, tedarik kolay; +286 kg</t>
  </si>
  <si>
    <t>TOPLAMLAR</t>
  </si>
  <si>
    <t>ФЕРМА ЗАЛ (40×40 kg/m girilene kadar hariç)</t>
  </si>
  <si>
    <t>GENEL TOPLAM (girilmiş kg/m ile)</t>
  </si>
  <si>
    <t>40×40 PROFİL BORU SENARYOLARI (ЗАЛ, 3300 m)</t>
  </si>
  <si>
    <t>Seçenek</t>
  </si>
  <si>
    <t>кг/м</t>
  </si>
  <si>
    <t>40×40 ağırlık, kg</t>
  </si>
  <si>
    <t>Genel toplam, kg</t>
  </si>
  <si>
    <t>Труба проф. 40×40×1,8</t>
  </si>
  <si>
    <t>Труба проф. 40×40×2</t>
  </si>
  <si>
    <t>Труба проф. 40×40×3</t>
  </si>
  <si>
    <t>Bölüm</t>
  </si>
  <si>
    <t>Kalem</t>
  </si>
  <si>
    <t>Ölçü</t>
  </si>
  <si>
    <t>Et kalınlığı (mm)</t>
  </si>
  <si>
    <t>Miktar</t>
  </si>
  <si>
    <t>Birim</t>
  </si>
  <si>
    <t>ФЕРМА ЗАЛ (10 шт)</t>
  </si>
  <si>
    <t>Угольник</t>
  </si>
  <si>
    <t>Лист</t>
  </si>
  <si>
    <t>—</t>
  </si>
  <si>
    <t>Tip yazmıyor</t>
  </si>
  <si>
    <t>yazmıyor</t>
  </si>
  <si>
    <t>Кухня ФЕРМА (10 шт)</t>
  </si>
  <si>
    <t>Профиль</t>
  </si>
  <si>
    <t>Konu</t>
  </si>
  <si>
    <t>Açıklama</t>
  </si>
  <si>
    <t>Durum</t>
  </si>
  <si>
    <t>40×40 profil boru et kalınlığı (ЗАЛ, 3300 m)</t>
  </si>
  <si>
    <t>Müşteri tipi profil boru olarak netleştirdi ama kalınlığı vermedi. Toplam ağırlığın ~%25-35'i — netleşmeden fiyat çıkmaz.</t>
  </si>
  <si>
    <t>KONTROL EDİLECEK</t>
  </si>
  <si>
    <t>Levha 45 m²</t>
  </si>
  <si>
    <t>Format serbest. 45 m² net mi, fire dahil mi — cevaplanmadı.</t>
  </si>
  <si>
    <t>Nakliye</t>
  </si>
  <si>
    <t>Teslim yeri Туркестан, tarih 30.10.2026. Nakliyenin bizden olup olmadığı net değil.</t>
  </si>
  <si>
    <t>Çelik kalitesi</t>
  </si>
  <si>
    <t>Müşteri seçimi bize bıraktı: köşebent ve levha С255 (ГОСТ 27772), profil boru Ст3сп (ГОСТ 30245). КМ projesi yok — mühendis onayı.</t>
  </si>
  <si>
    <t>Metraj doğruluğu</t>
  </si>
  <si>
    <t>Çizim yok; metrajlar müşterinin verdiği gibi alındı, sorumluluk müşteride. Fire eklenmedi.</t>
  </si>
  <si>
    <t>Bilgi</t>
  </si>
  <si>
    <t>Kapsam</t>
  </si>
  <si>
    <t>Sadece malzeme. Bulon, boya, kesim/imalat/montaj teklif dışı.</t>
  </si>
  <si>
    <t>Kapandı</t>
  </si>
  <si>
    <t>Müşteri cevabı</t>
  </si>
  <si>
    <t>BOM'a etkisi</t>
  </si>
  <si>
    <t>40×40 kalemi</t>
  </si>
  <si>
    <t>профильная труба</t>
  </si>
  <si>
    <t>Труба профильная olarak işlendi; kalınlık yok → KONTROL</t>
  </si>
  <si>
    <t>Metraj kapsamı</t>
  </si>
  <si>
    <t>Обшый (общий)</t>
  </si>
  <si>
    <t>Metrajlar 10 makasın toplamı — değişiklik yok</t>
  </si>
  <si>
    <t>40×40×1,8 profil</t>
  </si>
  <si>
    <t>да можно</t>
  </si>
  <si>
    <t>1300 m → 40×40×2 (2,31 kg/m), +286 kg</t>
  </si>
  <si>
    <t>Levha</t>
  </si>
  <si>
    <t>разный</t>
  </si>
  <si>
    <t>Format serbest; adet 1500×6000 ile, net/fire belirsiz</t>
  </si>
  <si>
    <t>Fire / boy</t>
  </si>
  <si>
    <t>12м</t>
  </si>
  <si>
    <t>Tüm kalemler 12 m boy; adetler güncellendi</t>
  </si>
  <si>
    <t>Malzeme kalitesi</t>
  </si>
  <si>
    <t>Marka önemli değil, uygun çeliği sen seç</t>
  </si>
  <si>
    <t>С255 (köşebent, levha) / Ст3сп (profil boru)</t>
  </si>
  <si>
    <t>Bağlantı elemanları</t>
  </si>
  <si>
    <t>нет</t>
  </si>
  <si>
    <t>Teklif dışı</t>
  </si>
  <si>
    <t>Yüzey işlemi</t>
  </si>
  <si>
    <t>только металл</t>
  </si>
  <si>
    <t>Sadece malzeme</t>
  </si>
  <si>
    <t>Çizim</t>
  </si>
  <si>
    <t>Metrajlar müşteriden; doğrulama yok</t>
  </si>
  <si>
    <t>Teslimat</t>
  </si>
  <si>
    <t>Туркестан, 30.10.2026</t>
  </si>
  <si>
    <t>Nakliye bizden mi — 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</si>
</sst>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i/>
      <sz val="10"/>
      <color rgb="FF66666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/>
    <xf numFmtId="2" fontId="3" fillId="3" borderId="1" xfId="0" applyNumberFormat="1" applyFont="1" applyFill="1" applyBorder="1"/>
    <xf numFmtId="165" fontId="3" fillId="3" borderId="1" xfId="0" applyNumberFormat="1" applyFont="1" applyFill="1" applyBorder="1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/>
    <xf numFmtId="164" fontId="5" fillId="4" borderId="1" xfId="0" applyNumberFormat="1" applyFont="1" applyFill="1" applyBorder="1"/>
    <xf numFmtId="2" fontId="5" fillId="4" borderId="1" xfId="0" applyNumberFormat="1" applyFont="1" applyFill="1" applyBorder="1"/>
    <xf numFmtId="165" fontId="4" fillId="0" borderId="1" xfId="0" applyNumberFormat="1" applyFont="1" applyBorder="1"/>
    <xf numFmtId="0" fontId="5" fillId="4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/>
    <xf numFmtId="165" fontId="4" fillId="5" borderId="1" xfId="0" applyNumberFormat="1" applyFont="1" applyFill="1" applyBorder="1"/>
    <xf numFmtId="0" fontId="4" fillId="5" borderId="1" xfId="0" applyFont="1" applyFill="1" applyBorder="1" applyAlignment="1">
      <alignment vertical="top" wrapText="1"/>
    </xf>
    <xf numFmtId="0" fontId="3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3" fillId="2" borderId="1" xfId="0" applyFont="1" applyFill="1" applyBorder="1"/>
    <xf numFmtId="0" fontId="0" fillId="0" borderId="1" xfId="0" applyBorder="1"/>
    <xf numFmtId="0" fontId="5" fillId="0" borderId="1" xfId="0" applyFont="1" applyBorder="1"/>
    <xf numFmtId="165" fontId="0" fillId="0" borderId="1" xfId="0" applyNumberFormat="1" applyBorder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Normal="100" workbookViewId="0">
      <pane ySplit="4" topLeftCell="A5" activePane="bottomLeft" state="frozen"/>
      <selection pane="bottomLeft" activeCell="A9" sqref="A9:L9"/>
    </sheetView>
  </sheetViews>
  <sheetFormatPr defaultColWidth="8.7109375" defaultRowHeight="15" x14ac:dyDescent="0.25"/>
  <cols>
    <col min="1" max="1" width="5" customWidth="1"/>
    <col min="2" max="2" width="14" customWidth="1"/>
    <col min="3" max="3" width="49.140625" bestFit="1" customWidth="1"/>
    <col min="4" max="5" width="11" customWidth="1"/>
    <col min="6" max="6" width="9" customWidth="1"/>
    <col min="7" max="7" width="8" customWidth="1"/>
    <col min="8" max="8" width="12" customWidth="1"/>
    <col min="9" max="9" width="11" customWidth="1"/>
    <col min="10" max="10" width="14" customWidth="1"/>
    <col min="11" max="11" width="12" customWidth="1"/>
    <col min="12" max="12" width="55" customWidth="1"/>
  </cols>
  <sheetData>
    <row r="1" spans="1:12" ht="15.75" x14ac:dyDescent="0.25">
      <c r="A1" s="1" t="s">
        <v>0</v>
      </c>
    </row>
    <row r="2" spans="1:12" x14ac:dyDescent="0.25">
      <c r="A2" s="2" t="s">
        <v>1</v>
      </c>
    </row>
    <row r="4" spans="1:12" ht="38.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25.5" x14ac:dyDescent="0.25">
      <c r="A5" s="4"/>
      <c r="B5" s="4" t="s">
        <v>14</v>
      </c>
      <c r="C5" s="4" t="s">
        <v>15</v>
      </c>
      <c r="D5" s="4"/>
      <c r="E5" s="4"/>
      <c r="F5" s="5">
        <v>10</v>
      </c>
      <c r="G5" s="4" t="s">
        <v>16</v>
      </c>
      <c r="H5" s="6"/>
      <c r="I5" s="7"/>
      <c r="J5" s="4"/>
      <c r="K5" s="4"/>
      <c r="L5" s="8" t="s">
        <v>17</v>
      </c>
    </row>
    <row r="6" spans="1:12" x14ac:dyDescent="0.25">
      <c r="A6" s="9">
        <v>1</v>
      </c>
      <c r="B6" s="9" t="s">
        <v>14</v>
      </c>
      <c r="C6" s="9" t="s">
        <v>18</v>
      </c>
      <c r="D6" s="9" t="s">
        <v>19</v>
      </c>
      <c r="E6" s="9">
        <v>7</v>
      </c>
      <c r="F6" s="10">
        <v>810</v>
      </c>
      <c r="G6" s="9" t="s">
        <v>20</v>
      </c>
      <c r="H6" s="11">
        <v>7.96</v>
      </c>
      <c r="I6" s="12">
        <f>IF(H6="","KONTROL",F6*H6)</f>
        <v>6447.6</v>
      </c>
      <c r="J6" s="13">
        <v>12</v>
      </c>
      <c r="K6" s="9">
        <f>IF(J6="","KONTROL",ROUNDUP(F6/J6,0))</f>
        <v>68</v>
      </c>
      <c r="L6" s="14"/>
    </row>
    <row r="7" spans="1:12" x14ac:dyDescent="0.25">
      <c r="A7" s="9">
        <v>2</v>
      </c>
      <c r="B7" s="9" t="s">
        <v>14</v>
      </c>
      <c r="C7" s="9" t="s">
        <v>18</v>
      </c>
      <c r="D7" s="9" t="s">
        <v>21</v>
      </c>
      <c r="E7" s="9">
        <v>6</v>
      </c>
      <c r="F7" s="10">
        <v>810</v>
      </c>
      <c r="G7" s="9" t="s">
        <v>20</v>
      </c>
      <c r="H7" s="11">
        <v>5.72</v>
      </c>
      <c r="I7" s="12">
        <f>IF(H7="","KONTROL",F7*H7)</f>
        <v>4633.2</v>
      </c>
      <c r="J7" s="13">
        <v>12</v>
      </c>
      <c r="K7" s="9">
        <f>IF(J7="","KONTROL",ROUNDUP(F7/J7,0))</f>
        <v>68</v>
      </c>
      <c r="L7" s="14"/>
    </row>
    <row r="8" spans="1:12" ht="38.25" x14ac:dyDescent="0.25">
      <c r="A8" s="9">
        <v>3</v>
      </c>
      <c r="B8" s="9" t="s">
        <v>14</v>
      </c>
      <c r="C8" s="9" t="s">
        <v>22</v>
      </c>
      <c r="D8" s="9" t="s">
        <v>23</v>
      </c>
      <c r="E8" s="9">
        <v>8</v>
      </c>
      <c r="F8" s="10">
        <v>45</v>
      </c>
      <c r="G8" s="9" t="s">
        <v>24</v>
      </c>
      <c r="H8" s="11">
        <v>62.8</v>
      </c>
      <c r="I8" s="12">
        <f>IF(H8="","KONTROL",F8*H8)</f>
        <v>2826</v>
      </c>
      <c r="J8" s="13">
        <v>9</v>
      </c>
      <c r="K8" s="9">
        <f>IF(J8="","KONTROL",ROUNDUP(F8/J8,0))</f>
        <v>5</v>
      </c>
      <c r="L8" s="14" t="s">
        <v>25</v>
      </c>
    </row>
    <row r="9" spans="1:12" ht="25.5" x14ac:dyDescent="0.25">
      <c r="A9" s="15">
        <v>4</v>
      </c>
      <c r="B9" s="15" t="s">
        <v>14</v>
      </c>
      <c r="C9" s="15" t="s">
        <v>26</v>
      </c>
      <c r="D9" s="15" t="s">
        <v>27</v>
      </c>
      <c r="E9" s="15" t="s">
        <v>28</v>
      </c>
      <c r="F9" s="10">
        <v>3300</v>
      </c>
      <c r="G9" s="15" t="s">
        <v>20</v>
      </c>
      <c r="H9" s="11"/>
      <c r="I9" s="16" t="str">
        <f>IF(H9="","KONTROL",F9*H9)</f>
        <v>KONTROL</v>
      </c>
      <c r="J9" s="13">
        <v>12</v>
      </c>
      <c r="K9" s="15">
        <f>IF(J9="","KONTROL",ROUNDUP(F9/J9,0))</f>
        <v>275</v>
      </c>
      <c r="L9" s="17" t="s">
        <v>29</v>
      </c>
    </row>
    <row r="10" spans="1:12" ht="25.5" x14ac:dyDescent="0.25">
      <c r="A10" s="4"/>
      <c r="B10" s="4" t="s">
        <v>30</v>
      </c>
      <c r="C10" s="4" t="s">
        <v>31</v>
      </c>
      <c r="D10" s="4"/>
      <c r="E10" s="4"/>
      <c r="F10" s="5">
        <v>10</v>
      </c>
      <c r="G10" s="4" t="s">
        <v>16</v>
      </c>
      <c r="H10" s="6"/>
      <c r="I10" s="7"/>
      <c r="J10" s="4"/>
      <c r="K10" s="4"/>
      <c r="L10" s="8" t="s">
        <v>17</v>
      </c>
    </row>
    <row r="11" spans="1:12" x14ac:dyDescent="0.25">
      <c r="A11" s="9">
        <v>5</v>
      </c>
      <c r="B11" s="9" t="s">
        <v>30</v>
      </c>
      <c r="C11" s="9" t="s">
        <v>26</v>
      </c>
      <c r="D11" s="9" t="s">
        <v>32</v>
      </c>
      <c r="E11" s="9">
        <v>3</v>
      </c>
      <c r="F11" s="10">
        <v>280</v>
      </c>
      <c r="G11" s="9" t="s">
        <v>20</v>
      </c>
      <c r="H11" s="11">
        <v>5.19</v>
      </c>
      <c r="I11" s="12">
        <f>IF(H11="","KONTROL",F11*H11)</f>
        <v>1453.2</v>
      </c>
      <c r="J11" s="13">
        <v>12</v>
      </c>
      <c r="K11" s="9">
        <f>IF(J11="","KONTROL",ROUNDUP(F11/J11,0))</f>
        <v>24</v>
      </c>
      <c r="L11" s="14"/>
    </row>
    <row r="12" spans="1:12" x14ac:dyDescent="0.25">
      <c r="A12" s="9">
        <v>6</v>
      </c>
      <c r="B12" s="9" t="s">
        <v>30</v>
      </c>
      <c r="C12" s="9" t="s">
        <v>26</v>
      </c>
      <c r="D12" s="9" t="s">
        <v>27</v>
      </c>
      <c r="E12" s="9">
        <v>2</v>
      </c>
      <c r="F12" s="10">
        <v>300</v>
      </c>
      <c r="G12" s="9" t="s">
        <v>20</v>
      </c>
      <c r="H12" s="11">
        <v>2.31</v>
      </c>
      <c r="I12" s="12">
        <f>IF(H12="","KONTROL",F12*H12)</f>
        <v>693</v>
      </c>
      <c r="J12" s="13">
        <v>12</v>
      </c>
      <c r="K12" s="9">
        <f>IF(J12="","KONTROL",ROUNDUP(F12/J12,0))</f>
        <v>25</v>
      </c>
      <c r="L12" s="14"/>
    </row>
    <row r="13" spans="1:12" ht="25.5" x14ac:dyDescent="0.25">
      <c r="A13" s="9">
        <v>7</v>
      </c>
      <c r="B13" s="9" t="s">
        <v>30</v>
      </c>
      <c r="C13" s="9" t="s">
        <v>26</v>
      </c>
      <c r="D13" s="9" t="s">
        <v>27</v>
      </c>
      <c r="E13" s="9">
        <v>2</v>
      </c>
      <c r="F13" s="10">
        <v>1300</v>
      </c>
      <c r="G13" s="9" t="s">
        <v>20</v>
      </c>
      <c r="H13" s="11">
        <v>2.31</v>
      </c>
      <c r="I13" s="12">
        <f>IF(H13="","KONTROL",F13*H13)</f>
        <v>3003</v>
      </c>
      <c r="J13" s="13">
        <v>12</v>
      </c>
      <c r="K13" s="9">
        <f>IF(J13="","KONTROL",ROUNDUP(F13/J13,0))</f>
        <v>109</v>
      </c>
      <c r="L13" s="14" t="s">
        <v>33</v>
      </c>
    </row>
    <row r="15" spans="1:12" x14ac:dyDescent="0.25">
      <c r="C15" s="18" t="s">
        <v>34</v>
      </c>
    </row>
    <row r="16" spans="1:12" x14ac:dyDescent="0.25">
      <c r="C16" s="19" t="s">
        <v>35</v>
      </c>
      <c r="I16" s="20">
        <f>SUMIFS(I5:I13,B5:B13,"ФЕРМА ЗАЛ")</f>
        <v>13906.8</v>
      </c>
    </row>
    <row r="17" spans="3:10" x14ac:dyDescent="0.25">
      <c r="C17" s="19" t="s">
        <v>30</v>
      </c>
      <c r="I17" s="20">
        <f>SUMIFS(I5:I13,B5:B13,"Кухня ФЕРМА")</f>
        <v>5149.2</v>
      </c>
    </row>
    <row r="18" spans="3:10" x14ac:dyDescent="0.25">
      <c r="C18" s="21" t="s">
        <v>36</v>
      </c>
      <c r="I18" s="22">
        <f>SUM(I5:I13)</f>
        <v>19056</v>
      </c>
    </row>
    <row r="20" spans="3:10" x14ac:dyDescent="0.25">
      <c r="C20" s="18" t="s">
        <v>37</v>
      </c>
    </row>
    <row r="21" spans="3:10" x14ac:dyDescent="0.25">
      <c r="C21" s="23" t="s">
        <v>38</v>
      </c>
      <c r="H21" s="23" t="s">
        <v>39</v>
      </c>
      <c r="I21" s="23" t="s">
        <v>40</v>
      </c>
      <c r="J21" s="23" t="s">
        <v>41</v>
      </c>
    </row>
    <row r="22" spans="3:10" x14ac:dyDescent="0.25">
      <c r="C22" s="24" t="s">
        <v>42</v>
      </c>
      <c r="H22" s="25">
        <v>2.09</v>
      </c>
      <c r="I22" s="26">
        <f>$F$9*H22</f>
        <v>6896.9999999999991</v>
      </c>
      <c r="J22" s="26">
        <f>SUM(I6:I8)+SUM(I11:I13)+I22</f>
        <v>25953</v>
      </c>
    </row>
    <row r="23" spans="3:10" x14ac:dyDescent="0.25">
      <c r="C23" s="24" t="s">
        <v>43</v>
      </c>
      <c r="H23" s="25">
        <v>2.31</v>
      </c>
      <c r="I23" s="26">
        <f>$F$9*H23</f>
        <v>7623</v>
      </c>
      <c r="J23" s="26">
        <f>SUM(I6:I8)+SUM(I11:I13)+I23</f>
        <v>26679</v>
      </c>
    </row>
    <row r="24" spans="3:10" x14ac:dyDescent="0.25">
      <c r="C24" s="24" t="s">
        <v>44</v>
      </c>
      <c r="H24" s="25">
        <v>3.3</v>
      </c>
      <c r="I24" s="26">
        <f>$F$9*H24</f>
        <v>10890</v>
      </c>
      <c r="J24" s="26">
        <f>SUM(I6:I8)+SUM(I11:I13)+I24</f>
        <v>29946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10" customWidth="1"/>
    <col min="6" max="6" width="8" customWidth="1"/>
  </cols>
  <sheetData>
    <row r="1" spans="1:6" x14ac:dyDescent="0.25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3" t="s">
        <v>50</v>
      </c>
    </row>
    <row r="2" spans="1:6" x14ac:dyDescent="0.25">
      <c r="A2" s="9" t="s">
        <v>51</v>
      </c>
      <c r="B2" s="9" t="s">
        <v>52</v>
      </c>
      <c r="C2" s="9" t="s">
        <v>19</v>
      </c>
      <c r="D2" s="9">
        <v>7</v>
      </c>
      <c r="E2" s="9">
        <v>810</v>
      </c>
      <c r="F2" s="9" t="s">
        <v>20</v>
      </c>
    </row>
    <row r="3" spans="1:6" x14ac:dyDescent="0.25">
      <c r="A3" s="9" t="s">
        <v>51</v>
      </c>
      <c r="B3" s="9" t="s">
        <v>52</v>
      </c>
      <c r="C3" s="9" t="s">
        <v>21</v>
      </c>
      <c r="D3" s="9">
        <v>6</v>
      </c>
      <c r="E3" s="9">
        <v>810</v>
      </c>
      <c r="F3" s="9" t="s">
        <v>20</v>
      </c>
    </row>
    <row r="4" spans="1:6" x14ac:dyDescent="0.25">
      <c r="A4" s="9" t="s">
        <v>51</v>
      </c>
      <c r="B4" s="9" t="s">
        <v>53</v>
      </c>
      <c r="C4" s="9" t="s">
        <v>54</v>
      </c>
      <c r="D4" s="9">
        <v>8</v>
      </c>
      <c r="E4" s="9">
        <v>45</v>
      </c>
      <c r="F4" s="9" t="s">
        <v>24</v>
      </c>
    </row>
    <row r="5" spans="1:6" x14ac:dyDescent="0.25">
      <c r="A5" s="15" t="s">
        <v>51</v>
      </c>
      <c r="B5" s="15" t="s">
        <v>55</v>
      </c>
      <c r="C5" s="15" t="s">
        <v>27</v>
      </c>
      <c r="D5" s="15" t="s">
        <v>56</v>
      </c>
      <c r="E5" s="15">
        <v>3300</v>
      </c>
      <c r="F5" s="15" t="s">
        <v>20</v>
      </c>
    </row>
    <row r="6" spans="1:6" x14ac:dyDescent="0.25">
      <c r="A6" s="9" t="s">
        <v>57</v>
      </c>
      <c r="B6" s="9" t="s">
        <v>58</v>
      </c>
      <c r="C6" s="9" t="s">
        <v>32</v>
      </c>
      <c r="D6" s="9">
        <v>3</v>
      </c>
      <c r="E6" s="9">
        <v>280</v>
      </c>
      <c r="F6" s="9" t="s">
        <v>20</v>
      </c>
    </row>
    <row r="7" spans="1:6" x14ac:dyDescent="0.25">
      <c r="A7" s="9" t="s">
        <v>57</v>
      </c>
      <c r="B7" s="9" t="s">
        <v>58</v>
      </c>
      <c r="C7" s="9" t="s">
        <v>27</v>
      </c>
      <c r="D7" s="9">
        <v>2</v>
      </c>
      <c r="E7" s="9">
        <v>300</v>
      </c>
      <c r="F7" s="9" t="s">
        <v>20</v>
      </c>
    </row>
    <row r="8" spans="1:6" x14ac:dyDescent="0.25">
      <c r="A8" s="9" t="s">
        <v>57</v>
      </c>
      <c r="B8" s="9" t="s">
        <v>58</v>
      </c>
      <c r="C8" s="9" t="s">
        <v>27</v>
      </c>
      <c r="D8" s="9">
        <v>1.8</v>
      </c>
      <c r="E8" s="9">
        <v>1300</v>
      </c>
      <c r="F8" s="9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6" customWidth="1"/>
    <col min="3" max="3" width="80" customWidth="1"/>
    <col min="4" max="4" width="20" customWidth="1"/>
  </cols>
  <sheetData>
    <row r="1" spans="1:4" x14ac:dyDescent="0.25">
      <c r="A1" s="23" t="s">
        <v>2</v>
      </c>
      <c r="B1" s="23" t="s">
        <v>59</v>
      </c>
      <c r="C1" s="23" t="s">
        <v>60</v>
      </c>
      <c r="D1" s="23" t="s">
        <v>61</v>
      </c>
    </row>
    <row r="2" spans="1:4" ht="25.5" x14ac:dyDescent="0.25">
      <c r="A2" s="9">
        <v>1</v>
      </c>
      <c r="B2" s="9" t="s">
        <v>62</v>
      </c>
      <c r="C2" s="14" t="s">
        <v>63</v>
      </c>
      <c r="D2" s="15" t="s">
        <v>64</v>
      </c>
    </row>
    <row r="3" spans="1:4" x14ac:dyDescent="0.25">
      <c r="A3" s="9">
        <v>2</v>
      </c>
      <c r="B3" s="9" t="s">
        <v>65</v>
      </c>
      <c r="C3" s="14" t="s">
        <v>66</v>
      </c>
      <c r="D3" s="15" t="s">
        <v>64</v>
      </c>
    </row>
    <row r="4" spans="1:4" x14ac:dyDescent="0.25">
      <c r="A4" s="9">
        <v>3</v>
      </c>
      <c r="B4" s="9" t="s">
        <v>67</v>
      </c>
      <c r="C4" s="14" t="s">
        <v>68</v>
      </c>
      <c r="D4" s="15" t="s">
        <v>64</v>
      </c>
    </row>
    <row r="5" spans="1:4" ht="25.5" x14ac:dyDescent="0.25">
      <c r="A5" s="9">
        <v>4</v>
      </c>
      <c r="B5" s="9" t="s">
        <v>69</v>
      </c>
      <c r="C5" s="14" t="s">
        <v>70</v>
      </c>
      <c r="D5" s="15" t="s">
        <v>64</v>
      </c>
    </row>
    <row r="6" spans="1:4" x14ac:dyDescent="0.25">
      <c r="A6" s="9">
        <v>5</v>
      </c>
      <c r="B6" s="9" t="s">
        <v>71</v>
      </c>
      <c r="C6" s="14" t="s">
        <v>72</v>
      </c>
      <c r="D6" s="27" t="s">
        <v>73</v>
      </c>
    </row>
    <row r="7" spans="1:4" x14ac:dyDescent="0.25">
      <c r="A7" s="9">
        <v>6</v>
      </c>
      <c r="B7" s="9" t="s">
        <v>74</v>
      </c>
      <c r="C7" s="14" t="s">
        <v>75</v>
      </c>
      <c r="D7" s="27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2" customWidth="1"/>
    <col min="3" max="3" width="38" customWidth="1"/>
    <col min="4" max="4" width="55" customWidth="1"/>
  </cols>
  <sheetData>
    <row r="1" spans="1:4" x14ac:dyDescent="0.25">
      <c r="A1" s="23" t="s">
        <v>2</v>
      </c>
      <c r="B1" s="23" t="s">
        <v>59</v>
      </c>
      <c r="C1" s="23" t="s">
        <v>77</v>
      </c>
      <c r="D1" s="23" t="s">
        <v>78</v>
      </c>
    </row>
    <row r="2" spans="1:4" x14ac:dyDescent="0.25">
      <c r="A2" s="14">
        <v>1</v>
      </c>
      <c r="B2" s="14" t="s">
        <v>79</v>
      </c>
      <c r="C2" s="14" t="s">
        <v>80</v>
      </c>
      <c r="D2" s="14" t="s">
        <v>81</v>
      </c>
    </row>
    <row r="3" spans="1:4" x14ac:dyDescent="0.25">
      <c r="A3" s="14">
        <v>2</v>
      </c>
      <c r="B3" s="14" t="s">
        <v>82</v>
      </c>
      <c r="C3" s="14" t="s">
        <v>83</v>
      </c>
      <c r="D3" s="14" t="s">
        <v>84</v>
      </c>
    </row>
    <row r="4" spans="1:4" x14ac:dyDescent="0.25">
      <c r="A4" s="14">
        <v>3</v>
      </c>
      <c r="B4" s="14" t="s">
        <v>85</v>
      </c>
      <c r="C4" s="14" t="s">
        <v>86</v>
      </c>
      <c r="D4" s="14" t="s">
        <v>87</v>
      </c>
    </row>
    <row r="5" spans="1:4" x14ac:dyDescent="0.25">
      <c r="A5" s="14">
        <v>4</v>
      </c>
      <c r="B5" s="14" t="s">
        <v>88</v>
      </c>
      <c r="C5" s="14" t="s">
        <v>89</v>
      </c>
      <c r="D5" s="14" t="s">
        <v>90</v>
      </c>
    </row>
    <row r="6" spans="1:4" x14ac:dyDescent="0.25">
      <c r="A6" s="14">
        <v>5</v>
      </c>
      <c r="B6" s="14" t="s">
        <v>91</v>
      </c>
      <c r="C6" s="14" t="s">
        <v>92</v>
      </c>
      <c r="D6" s="14" t="s">
        <v>93</v>
      </c>
    </row>
    <row r="7" spans="1:4" x14ac:dyDescent="0.25">
      <c r="A7" s="14">
        <v>6</v>
      </c>
      <c r="B7" s="14" t="s">
        <v>94</v>
      </c>
      <c r="C7" s="14" t="s">
        <v>95</v>
      </c>
      <c r="D7" s="14" t="s">
        <v>96</v>
      </c>
    </row>
    <row r="8" spans="1:4" x14ac:dyDescent="0.25">
      <c r="A8" s="14">
        <v>7</v>
      </c>
      <c r="B8" s="14" t="s">
        <v>97</v>
      </c>
      <c r="C8" s="14" t="s">
        <v>98</v>
      </c>
      <c r="D8" s="14" t="s">
        <v>99</v>
      </c>
    </row>
    <row r="9" spans="1:4" x14ac:dyDescent="0.25">
      <c r="A9" s="14">
        <v>8</v>
      </c>
      <c r="B9" s="14" t="s">
        <v>100</v>
      </c>
      <c r="C9" s="14" t="s">
        <v>98</v>
      </c>
      <c r="D9" s="14" t="s">
        <v>99</v>
      </c>
    </row>
    <row r="10" spans="1:4" x14ac:dyDescent="0.25">
      <c r="A10" s="14">
        <v>9</v>
      </c>
      <c r="B10" s="14" t="s">
        <v>74</v>
      </c>
      <c r="C10" s="14" t="s">
        <v>101</v>
      </c>
      <c r="D10" s="14" t="s">
        <v>102</v>
      </c>
    </row>
    <row r="11" spans="1:4" x14ac:dyDescent="0.25">
      <c r="A11" s="14">
        <v>10</v>
      </c>
      <c r="B11" s="14" t="s">
        <v>103</v>
      </c>
      <c r="C11" s="14" t="s">
        <v>98</v>
      </c>
      <c r="D11" s="14" t="s">
        <v>104</v>
      </c>
    </row>
    <row r="12" spans="1:4" x14ac:dyDescent="0.25">
      <c r="A12" s="14">
        <v>11</v>
      </c>
      <c r="B12" s="14" t="s">
        <v>105</v>
      </c>
      <c r="C12" s="14" t="s">
        <v>106</v>
      </c>
      <c r="D12" s="14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Ara Liste</vt:lpstr>
      <vt:lpstr>KONTROL</vt:lpstr>
      <vt:lpstr>Müşteri Cevapları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2026-10-14T05:37:15Z</dcterms:created>
  <dcterms:modified xsi:type="dcterms:W3CDTF">2026-10-14T08:02:09Z</dcterms:modified>
  <dc:language>en-US</dc:language>
</cp:coreProperties>
</file>