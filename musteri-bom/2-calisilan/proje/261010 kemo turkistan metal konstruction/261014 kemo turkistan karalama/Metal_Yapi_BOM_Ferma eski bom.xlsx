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Ara Liste" sheetId="2" state="visible" r:id="rId4"/>
    <sheet name="KONTRO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ГОСТ 8509-93, 75×75×7</t>
        </r>
      </text>
    </comment>
    <comment ref="H7" authorId="0">
      <text>
        <r>
          <rPr>
            <sz val="10"/>
            <rFont val="Arial"/>
            <family val="2"/>
          </rPr>
          <t xml:space="preserve">ГОСТ 8509-93, 63×63×6</t>
        </r>
      </text>
    </comment>
    <comment ref="H8" authorId="0">
      <text>
        <r>
          <rPr>
            <sz val="10"/>
            <rFont val="Arial"/>
            <family val="2"/>
          </rPr>
          <t xml:space="preserve">8 mm × 7,85 t/m³ = 62,8 kg/m²</t>
        </r>
      </text>
    </comment>
    <comment ref="H11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  <comment ref="H12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  <comment ref="H13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</commentList>
</comments>
</file>

<file path=xl/sharedStrings.xml><?xml version="1.0" encoding="utf-8"?>
<sst xmlns="http://schemas.openxmlformats.org/spreadsheetml/2006/main" count="122" uniqueCount="76">
  <si>
    <t xml:space="preserve">METAL YAPI BOM — ФЕРМА ЗАЛ / КУХНЯ ФЕРМА</t>
  </si>
  <si>
    <t xml:space="preserve">Sarı hücreler girdidir (miktar, kg/m, boy). Diğer tüm hücreler formüldür. Kaynak: müşteri Word belgesi (Yeni Microsoft Word Belgesi.docx).</t>
  </si>
  <si>
    <t xml:space="preserve">№</t>
  </si>
  <si>
    <t xml:space="preserve">Grup</t>
  </si>
  <si>
    <t xml:space="preserve">Наименование</t>
  </si>
  <si>
    <t xml:space="preserve">Размер</t>
  </si>
  <si>
    <t xml:space="preserve">Толщина, мм</t>
  </si>
  <si>
    <t xml:space="preserve">Кол-во</t>
  </si>
  <si>
    <t xml:space="preserve">Ед.изм</t>
  </si>
  <si>
    <t xml:space="preserve">кг/м (кг/м²)</t>
  </si>
  <si>
    <t xml:space="preserve">Вес, кг</t>
  </si>
  <si>
    <t xml:space="preserve">Boy uzunluğu, m / levha m²</t>
  </si>
  <si>
    <t xml:space="preserve">Boy / levha adedi</t>
  </si>
  <si>
    <t xml:space="preserve">Not</t>
  </si>
  <si>
    <t xml:space="preserve">ФЕРМА ЗАЛ</t>
  </si>
  <si>
    <t xml:space="preserve">Ферма зал</t>
  </si>
  <si>
    <t xml:space="preserve">шт</t>
  </si>
  <si>
    <t xml:space="preserve">Başlık satırı</t>
  </si>
  <si>
    <t xml:space="preserve">Уголок равнополочный ГОСТ 8509</t>
  </si>
  <si>
    <t xml:space="preserve">75×75</t>
  </si>
  <si>
    <t xml:space="preserve">м</t>
  </si>
  <si>
    <t xml:space="preserve">63×63</t>
  </si>
  <si>
    <t xml:space="preserve">Лист г/к ГОСТ 19903</t>
  </si>
  <si>
    <t xml:space="preserve">1500×6000</t>
  </si>
  <si>
    <t xml:space="preserve">м²</t>
  </si>
  <si>
    <t xml:space="preserve">Fire payı yok — kesim planına göre 6 levha olabilir</t>
  </si>
  <si>
    <t xml:space="preserve">40×40 — tip belirsiz (уголок / профиль?)</t>
  </si>
  <si>
    <t xml:space="preserve">40×40</t>
  </si>
  <si>
    <t xml:space="preserve">KONTROL</t>
  </si>
  <si>
    <t xml:space="preserve">KONTROL EDİLECEK: tip ve et kalınlığı belgede yok. kg/m girildiğinde ağırlık hesaplanır</t>
  </si>
  <si>
    <t xml:space="preserve">Кухня ФЕРМА</t>
  </si>
  <si>
    <t xml:space="preserve">Кухня ферма</t>
  </si>
  <si>
    <t xml:space="preserve">Труба профильная ГОСТ 30245</t>
  </si>
  <si>
    <t xml:space="preserve">80×40</t>
  </si>
  <si>
    <t xml:space="preserve">Труба профильная</t>
  </si>
  <si>
    <t xml:space="preserve">KONTROL: 1,8 mm ГОСТ 30245 standart serisinde yok; kg/m formülle hesaplandı, tedarikçi tablosuyla teyit</t>
  </si>
  <si>
    <t xml:space="preserve">TOPLAMLAR</t>
  </si>
  <si>
    <t xml:space="preserve">ФЕРМА ЗАЛ (40×40 kg/m girilene kadar hariç)</t>
  </si>
  <si>
    <t xml:space="preserve">GENEL TOPLAM (girilmiş kg/m ile)</t>
  </si>
  <si>
    <t xml:space="preserve">40×40 SENARYOLARI (köşebent ise)</t>
  </si>
  <si>
    <t xml:space="preserve">Seçenek</t>
  </si>
  <si>
    <t xml:space="preserve">кг/м</t>
  </si>
  <si>
    <t xml:space="preserve">40×40 ağırlık, kg</t>
  </si>
  <si>
    <t xml:space="preserve">Genel toplam, kg</t>
  </si>
  <si>
    <t xml:space="preserve">Уголок 40×40×3 ГОСТ 8509</t>
  </si>
  <si>
    <t xml:space="preserve">Уголок 40×40×4 ГОСТ 8509</t>
  </si>
  <si>
    <t xml:space="preserve">Bölüm</t>
  </si>
  <si>
    <t xml:space="preserve">Kalem</t>
  </si>
  <si>
    <t xml:space="preserve">Ölçü</t>
  </si>
  <si>
    <t xml:space="preserve">Et kalınlığı (mm)</t>
  </si>
  <si>
    <t xml:space="preserve">Miktar</t>
  </si>
  <si>
    <t xml:space="preserve">Birim</t>
  </si>
  <si>
    <t xml:space="preserve">ФЕРМА ЗАЛ (10 шт)</t>
  </si>
  <si>
    <t xml:space="preserve">Угольник</t>
  </si>
  <si>
    <t xml:space="preserve">Лист</t>
  </si>
  <si>
    <t xml:space="preserve">—</t>
  </si>
  <si>
    <t xml:space="preserve">Tip yazmıyor</t>
  </si>
  <si>
    <t xml:space="preserve">yazmıyor</t>
  </si>
  <si>
    <t xml:space="preserve">Кухня ФЕРМА (10 шт)</t>
  </si>
  <si>
    <t xml:space="preserve">Профиль</t>
  </si>
  <si>
    <t xml:space="preserve">Konu</t>
  </si>
  <si>
    <t xml:space="preserve">Açıklama</t>
  </si>
  <si>
    <t xml:space="preserve">Durum</t>
  </si>
  <si>
    <t xml:space="preserve">40×40 = 3300 m (ЗАЛ)</t>
  </si>
  <si>
    <t xml:space="preserve">Tip (уголок/профиль) ve et kalınlığı belgede yok. Toplam ağırlığın ~%25'i — netleşmeden fiyat çıkmaz.</t>
  </si>
  <si>
    <t xml:space="preserve">KONTROL EDİLECEK</t>
  </si>
  <si>
    <t xml:space="preserve">Metraj kapsamı</t>
  </si>
  <si>
    <t xml:space="preserve">Metrajlar 10 makasın toplamı olarak alındı. Bir makas içinse tüm miktarlar ×10.</t>
  </si>
  <si>
    <t xml:space="preserve">40×40×1,8 profil</t>
  </si>
  <si>
    <t xml:space="preserve">ГОСТ 30245 standart serisinde yok; 2,09 kg/m formülle hesaplandı. Tedarikçi tablosuyla teyit.</t>
  </si>
  <si>
    <t xml:space="preserve">Boy uzunlukları</t>
  </si>
  <si>
    <t xml:space="preserve">Köşebent 12 m, profil 6 m alındı. Tedarikçi farklı boy verirse adet değişir. Fire eklenmedi.</t>
  </si>
  <si>
    <t xml:space="preserve">Levha ebadı</t>
  </si>
  <si>
    <t xml:space="preserve">1500×6000 ile tam 5 levha; fire payı yok. Kesim planına göre 6 levha gerekebilir.</t>
  </si>
  <si>
    <t xml:space="preserve">Belgede olmayan kalemler</t>
  </si>
  <si>
    <t xml:space="preserve">Bulon/somun, kaynak teli, boya/astar, kesim/işçilik yok — ayrıca eklenmeli.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</si>
</sst>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"/>
    <numFmt numFmtId="166" formatCode="0.00"/>
    <numFmt numFmtId="167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/>
      <c r="B5" s="4" t="s">
        <v>14</v>
      </c>
      <c r="C5" s="4" t="s">
        <v>15</v>
      </c>
      <c r="D5" s="4"/>
      <c r="E5" s="4"/>
      <c r="F5" s="5" t="n">
        <v>10</v>
      </c>
      <c r="G5" s="4" t="s">
        <v>16</v>
      </c>
      <c r="H5" s="6"/>
      <c r="I5" s="7"/>
      <c r="J5" s="4"/>
      <c r="K5" s="4"/>
      <c r="L5" s="8" t="s">
        <v>17</v>
      </c>
    </row>
    <row r="6" customFormat="false" ht="15" hidden="false" customHeight="false" outlineLevel="0" collapsed="false">
      <c r="A6" s="9" t="n">
        <v>1</v>
      </c>
      <c r="B6" s="9" t="s">
        <v>14</v>
      </c>
      <c r="C6" s="9" t="s">
        <v>18</v>
      </c>
      <c r="D6" s="9" t="s">
        <v>19</v>
      </c>
      <c r="E6" s="9" t="n">
        <v>7</v>
      </c>
      <c r="F6" s="10" t="n">
        <v>810</v>
      </c>
      <c r="G6" s="9" t="s">
        <v>20</v>
      </c>
      <c r="H6" s="11" t="n">
        <v>7.96</v>
      </c>
      <c r="I6" s="12" t="n">
        <f aca="false">IF(H6="","KONTROL",F6*H6)</f>
        <v>6447.6</v>
      </c>
      <c r="J6" s="13" t="n">
        <v>12</v>
      </c>
      <c r="K6" s="9" t="n">
        <f aca="false">IF(J6="","KONTROL",ROUNDUP(F6/J6,0))</f>
        <v>68</v>
      </c>
      <c r="L6" s="14"/>
    </row>
    <row r="7" customFormat="false" ht="15" hidden="false" customHeight="false" outlineLevel="0" collapsed="false">
      <c r="A7" s="9" t="n">
        <v>2</v>
      </c>
      <c r="B7" s="9" t="s">
        <v>14</v>
      </c>
      <c r="C7" s="9" t="s">
        <v>18</v>
      </c>
      <c r="D7" s="9" t="s">
        <v>21</v>
      </c>
      <c r="E7" s="9" t="n">
        <v>6</v>
      </c>
      <c r="F7" s="10" t="n">
        <v>810</v>
      </c>
      <c r="G7" s="9" t="s">
        <v>20</v>
      </c>
      <c r="H7" s="11" t="n">
        <v>5.72</v>
      </c>
      <c r="I7" s="12" t="n">
        <f aca="false">IF(H7="","KONTROL",F7*H7)</f>
        <v>4633.2</v>
      </c>
      <c r="J7" s="13" t="n">
        <v>12</v>
      </c>
      <c r="K7" s="9" t="n">
        <f aca="false">IF(J7="","KONTROL",ROUNDUP(F7/J7,0))</f>
        <v>68</v>
      </c>
      <c r="L7" s="14"/>
    </row>
    <row r="8" customFormat="false" ht="15" hidden="false" customHeight="false" outlineLevel="0" collapsed="false">
      <c r="A8" s="9" t="n">
        <v>3</v>
      </c>
      <c r="B8" s="9" t="s">
        <v>14</v>
      </c>
      <c r="C8" s="9" t="s">
        <v>22</v>
      </c>
      <c r="D8" s="9" t="s">
        <v>23</v>
      </c>
      <c r="E8" s="9" t="n">
        <v>8</v>
      </c>
      <c r="F8" s="10" t="n">
        <v>45</v>
      </c>
      <c r="G8" s="9" t="s">
        <v>24</v>
      </c>
      <c r="H8" s="11" t="n">
        <v>62.8</v>
      </c>
      <c r="I8" s="12" t="n">
        <f aca="false">IF(H8="","KONTROL",F8*H8)</f>
        <v>2826</v>
      </c>
      <c r="J8" s="13" t="n">
        <v>9</v>
      </c>
      <c r="K8" s="9" t="n">
        <f aca="false">IF(J8="","KONTROL",ROUNDUP(F8/J8,0))</f>
        <v>5</v>
      </c>
      <c r="L8" s="14" t="s">
        <v>25</v>
      </c>
    </row>
    <row r="9" customFormat="false" ht="23.85" hidden="false" customHeight="false" outlineLevel="0" collapsed="false">
      <c r="A9" s="15" t="n">
        <v>4</v>
      </c>
      <c r="B9" s="15" t="s">
        <v>14</v>
      </c>
      <c r="C9" s="15" t="s">
        <v>26</v>
      </c>
      <c r="D9" s="15" t="s">
        <v>27</v>
      </c>
      <c r="E9" s="15" t="s">
        <v>28</v>
      </c>
      <c r="F9" s="10" t="n">
        <v>3300</v>
      </c>
      <c r="G9" s="15" t="s">
        <v>20</v>
      </c>
      <c r="H9" s="11"/>
      <c r="I9" s="16" t="str">
        <f aca="false">IF(H9="","KONTROL",F9*H9)</f>
        <v>KONTROL</v>
      </c>
      <c r="J9" s="13"/>
      <c r="K9" s="15" t="str">
        <f aca="false">IF(J9="","KONTROL",ROUNDUP(F9/J9,0))</f>
        <v>KONTROL</v>
      </c>
      <c r="L9" s="17" t="s">
        <v>29</v>
      </c>
    </row>
    <row r="10" customFormat="false" ht="15" hidden="false" customHeight="false" outlineLevel="0" collapsed="false">
      <c r="A10" s="4"/>
      <c r="B10" s="4" t="s">
        <v>30</v>
      </c>
      <c r="C10" s="4" t="s">
        <v>31</v>
      </c>
      <c r="D10" s="4"/>
      <c r="E10" s="4"/>
      <c r="F10" s="5" t="n">
        <v>10</v>
      </c>
      <c r="G10" s="4" t="s">
        <v>16</v>
      </c>
      <c r="H10" s="6"/>
      <c r="I10" s="7"/>
      <c r="J10" s="4"/>
      <c r="K10" s="4"/>
      <c r="L10" s="8" t="s">
        <v>17</v>
      </c>
    </row>
    <row r="11" customFormat="false" ht="15" hidden="false" customHeight="false" outlineLevel="0" collapsed="false">
      <c r="A11" s="9" t="n">
        <v>5</v>
      </c>
      <c r="B11" s="9" t="s">
        <v>30</v>
      </c>
      <c r="C11" s="9" t="s">
        <v>32</v>
      </c>
      <c r="D11" s="9" t="s">
        <v>33</v>
      </c>
      <c r="E11" s="9" t="n">
        <v>3</v>
      </c>
      <c r="F11" s="10" t="n">
        <v>280</v>
      </c>
      <c r="G11" s="9" t="s">
        <v>20</v>
      </c>
      <c r="H11" s="11" t="n">
        <v>5.19</v>
      </c>
      <c r="I11" s="12" t="n">
        <f aca="false">IF(H11="","KONTROL",F11*H11)</f>
        <v>1453.2</v>
      </c>
      <c r="J11" s="13" t="n">
        <v>6</v>
      </c>
      <c r="K11" s="9" t="n">
        <f aca="false">IF(J11="","KONTROL",ROUNDUP(F11/J11,0))</f>
        <v>47</v>
      </c>
      <c r="L11" s="14"/>
    </row>
    <row r="12" customFormat="false" ht="15" hidden="false" customHeight="false" outlineLevel="0" collapsed="false">
      <c r="A12" s="9" t="n">
        <v>6</v>
      </c>
      <c r="B12" s="9" t="s">
        <v>30</v>
      </c>
      <c r="C12" s="9" t="s">
        <v>32</v>
      </c>
      <c r="D12" s="9" t="s">
        <v>27</v>
      </c>
      <c r="E12" s="9" t="n">
        <v>2</v>
      </c>
      <c r="F12" s="10" t="n">
        <v>300</v>
      </c>
      <c r="G12" s="9" t="s">
        <v>20</v>
      </c>
      <c r="H12" s="11" t="n">
        <v>2.31</v>
      </c>
      <c r="I12" s="12" t="n">
        <f aca="false">IF(H12="","KONTROL",F12*H12)</f>
        <v>693</v>
      </c>
      <c r="J12" s="13" t="n">
        <v>6</v>
      </c>
      <c r="K12" s="9" t="n">
        <f aca="false">IF(J12="","KONTROL",ROUNDUP(F12/J12,0))</f>
        <v>50</v>
      </c>
      <c r="L12" s="14"/>
    </row>
    <row r="13" customFormat="false" ht="23.85" hidden="false" customHeight="false" outlineLevel="0" collapsed="false">
      <c r="A13" s="9" t="n">
        <v>7</v>
      </c>
      <c r="B13" s="9" t="s">
        <v>30</v>
      </c>
      <c r="C13" s="9" t="s">
        <v>34</v>
      </c>
      <c r="D13" s="9" t="s">
        <v>27</v>
      </c>
      <c r="E13" s="9" t="n">
        <v>1.8</v>
      </c>
      <c r="F13" s="10" t="n">
        <v>1300</v>
      </c>
      <c r="G13" s="9" t="s">
        <v>20</v>
      </c>
      <c r="H13" s="11" t="n">
        <v>2.09</v>
      </c>
      <c r="I13" s="12" t="n">
        <f aca="false">IF(H13="","KONTROL",F13*H13)</f>
        <v>2717</v>
      </c>
      <c r="J13" s="13" t="n">
        <v>6</v>
      </c>
      <c r="K13" s="9" t="n">
        <f aca="false">IF(J13="","KONTROL",ROUNDUP(F13/J13,0))</f>
        <v>217</v>
      </c>
      <c r="L13" s="14" t="s">
        <v>35</v>
      </c>
    </row>
    <row r="15" customFormat="false" ht="15" hidden="false" customHeight="false" outlineLevel="0" collapsed="false">
      <c r="C15" s="18" t="s">
        <v>36</v>
      </c>
    </row>
    <row r="16" customFormat="false" ht="15" hidden="false" customHeight="false" outlineLevel="0" collapsed="false">
      <c r="C16" s="19" t="s">
        <v>37</v>
      </c>
      <c r="I16" s="20" t="n">
        <f aca="false">SUMIFS(I5:I13,B5:B13,"ФЕРМА ЗАЛ")</f>
        <v>13906.8</v>
      </c>
    </row>
    <row r="17" customFormat="false" ht="15" hidden="false" customHeight="false" outlineLevel="0" collapsed="false">
      <c r="C17" s="19" t="s">
        <v>30</v>
      </c>
      <c r="I17" s="20" t="n">
        <f aca="false">SUMIFS(I5:I13,B5:B13,"Кухня ФЕРМА")</f>
        <v>4863.2</v>
      </c>
    </row>
    <row r="18" customFormat="false" ht="15" hidden="false" customHeight="false" outlineLevel="0" collapsed="false">
      <c r="C18" s="21" t="s">
        <v>38</v>
      </c>
      <c r="I18" s="22" t="n">
        <f aca="false">SUM(I5:I13)</f>
        <v>18770</v>
      </c>
    </row>
    <row r="20" customFormat="false" ht="15" hidden="false" customHeight="false" outlineLevel="0" collapsed="false">
      <c r="C20" s="18" t="s">
        <v>39</v>
      </c>
    </row>
    <row r="21" customFormat="false" ht="15" hidden="false" customHeight="false" outlineLevel="0" collapsed="false">
      <c r="C21" s="23" t="s">
        <v>40</v>
      </c>
      <c r="H21" s="23" t="s">
        <v>41</v>
      </c>
      <c r="I21" s="23" t="s">
        <v>42</v>
      </c>
      <c r="J21" s="23" t="s">
        <v>43</v>
      </c>
    </row>
    <row r="22" customFormat="false" ht="15" hidden="false" customHeight="false" outlineLevel="0" collapsed="false">
      <c r="C22" s="24" t="s">
        <v>44</v>
      </c>
      <c r="H22" s="25" t="n">
        <v>1.85</v>
      </c>
      <c r="I22" s="26" t="n">
        <f aca="false">$F$9*H22</f>
        <v>6105</v>
      </c>
      <c r="J22" s="26" t="n">
        <f aca="false">SUM(I6:I8)+SUM(I11:I13)+I22</f>
        <v>24875</v>
      </c>
    </row>
    <row r="23" customFormat="false" ht="15" hidden="false" customHeight="false" outlineLevel="0" collapsed="false">
      <c r="C23" s="24" t="s">
        <v>45</v>
      </c>
      <c r="H23" s="25" t="n">
        <v>2.42</v>
      </c>
      <c r="I23" s="26" t="n">
        <f aca="false">$F$9*H23</f>
        <v>7986</v>
      </c>
      <c r="J23" s="26" t="n">
        <f aca="false">SUM(I6:I8)+SUM(I11:I13)+I23</f>
        <v>26756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23" t="s">
        <v>46</v>
      </c>
      <c r="B1" s="23" t="s">
        <v>47</v>
      </c>
      <c r="C1" s="23" t="s">
        <v>48</v>
      </c>
      <c r="D1" s="23" t="s">
        <v>49</v>
      </c>
      <c r="E1" s="23" t="s">
        <v>50</v>
      </c>
      <c r="F1" s="23" t="s">
        <v>51</v>
      </c>
    </row>
    <row r="2" customFormat="false" ht="15" hidden="false" customHeight="false" outlineLevel="0" collapsed="false">
      <c r="A2" s="9" t="s">
        <v>52</v>
      </c>
      <c r="B2" s="9" t="s">
        <v>53</v>
      </c>
      <c r="C2" s="9" t="s">
        <v>19</v>
      </c>
      <c r="D2" s="9" t="n">
        <v>7</v>
      </c>
      <c r="E2" s="9" t="n">
        <v>810</v>
      </c>
      <c r="F2" s="9" t="s">
        <v>20</v>
      </c>
    </row>
    <row r="3" customFormat="false" ht="15" hidden="false" customHeight="false" outlineLevel="0" collapsed="false">
      <c r="A3" s="9" t="s">
        <v>52</v>
      </c>
      <c r="B3" s="9" t="s">
        <v>53</v>
      </c>
      <c r="C3" s="9" t="s">
        <v>21</v>
      </c>
      <c r="D3" s="9" t="n">
        <v>6</v>
      </c>
      <c r="E3" s="9" t="n">
        <v>810</v>
      </c>
      <c r="F3" s="9" t="s">
        <v>20</v>
      </c>
    </row>
    <row r="4" customFormat="false" ht="15" hidden="false" customHeight="false" outlineLevel="0" collapsed="false">
      <c r="A4" s="9" t="s">
        <v>52</v>
      </c>
      <c r="B4" s="9" t="s">
        <v>54</v>
      </c>
      <c r="C4" s="9" t="s">
        <v>55</v>
      </c>
      <c r="D4" s="9" t="n">
        <v>8</v>
      </c>
      <c r="E4" s="9" t="n">
        <v>45</v>
      </c>
      <c r="F4" s="9" t="s">
        <v>24</v>
      </c>
    </row>
    <row r="5" customFormat="false" ht="15" hidden="false" customHeight="false" outlineLevel="0" collapsed="false">
      <c r="A5" s="15" t="s">
        <v>52</v>
      </c>
      <c r="B5" s="15" t="s">
        <v>56</v>
      </c>
      <c r="C5" s="15" t="s">
        <v>27</v>
      </c>
      <c r="D5" s="15" t="s">
        <v>57</v>
      </c>
      <c r="E5" s="15" t="n">
        <v>3300</v>
      </c>
      <c r="F5" s="15" t="s">
        <v>20</v>
      </c>
    </row>
    <row r="6" customFormat="false" ht="15" hidden="false" customHeight="false" outlineLevel="0" collapsed="false">
      <c r="A6" s="9" t="s">
        <v>58</v>
      </c>
      <c r="B6" s="9" t="s">
        <v>59</v>
      </c>
      <c r="C6" s="9" t="s">
        <v>33</v>
      </c>
      <c r="D6" s="9" t="n">
        <v>3</v>
      </c>
      <c r="E6" s="9" t="n">
        <v>280</v>
      </c>
      <c r="F6" s="9" t="s">
        <v>20</v>
      </c>
    </row>
    <row r="7" customFormat="false" ht="15" hidden="false" customHeight="false" outlineLevel="0" collapsed="false">
      <c r="A7" s="9" t="s">
        <v>58</v>
      </c>
      <c r="B7" s="9" t="s">
        <v>59</v>
      </c>
      <c r="C7" s="9" t="s">
        <v>27</v>
      </c>
      <c r="D7" s="9" t="n">
        <v>2</v>
      </c>
      <c r="E7" s="9" t="n">
        <v>300</v>
      </c>
      <c r="F7" s="9" t="s">
        <v>20</v>
      </c>
    </row>
    <row r="8" customFormat="false" ht="15" hidden="false" customHeight="false" outlineLevel="0" collapsed="false">
      <c r="A8" s="9" t="s">
        <v>58</v>
      </c>
      <c r="B8" s="9" t="s">
        <v>59</v>
      </c>
      <c r="C8" s="9" t="s">
        <v>27</v>
      </c>
      <c r="D8" s="9" t="n">
        <v>1.8</v>
      </c>
      <c r="E8" s="9" t="n">
        <v>1300</v>
      </c>
      <c r="F8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23" t="s">
        <v>2</v>
      </c>
      <c r="B1" s="23" t="s">
        <v>60</v>
      </c>
      <c r="C1" s="23" t="s">
        <v>61</v>
      </c>
      <c r="D1" s="23" t="s">
        <v>62</v>
      </c>
    </row>
    <row r="2" customFormat="false" ht="23.85" hidden="false" customHeight="false" outlineLevel="0" collapsed="false">
      <c r="A2" s="9" t="n">
        <v>1</v>
      </c>
      <c r="B2" s="9" t="s">
        <v>63</v>
      </c>
      <c r="C2" s="14" t="s">
        <v>64</v>
      </c>
      <c r="D2" s="15" t="s">
        <v>65</v>
      </c>
    </row>
    <row r="3" customFormat="false" ht="15" hidden="false" customHeight="false" outlineLevel="0" collapsed="false">
      <c r="A3" s="9" t="n">
        <v>2</v>
      </c>
      <c r="B3" s="9" t="s">
        <v>66</v>
      </c>
      <c r="C3" s="14" t="s">
        <v>67</v>
      </c>
      <c r="D3" s="15" t="s">
        <v>65</v>
      </c>
    </row>
    <row r="4" customFormat="false" ht="15" hidden="false" customHeight="false" outlineLevel="0" collapsed="false">
      <c r="A4" s="9" t="n">
        <v>3</v>
      </c>
      <c r="B4" s="9" t="s">
        <v>68</v>
      </c>
      <c r="C4" s="14" t="s">
        <v>69</v>
      </c>
      <c r="D4" s="15" t="s">
        <v>65</v>
      </c>
    </row>
    <row r="5" customFormat="false" ht="15" hidden="false" customHeight="false" outlineLevel="0" collapsed="false">
      <c r="A5" s="9" t="n">
        <v>4</v>
      </c>
      <c r="B5" s="9" t="s">
        <v>70</v>
      </c>
      <c r="C5" s="14" t="s">
        <v>71</v>
      </c>
      <c r="D5" s="15" t="s">
        <v>65</v>
      </c>
    </row>
    <row r="6" customFormat="false" ht="15" hidden="false" customHeight="false" outlineLevel="0" collapsed="false">
      <c r="A6" s="9" t="n">
        <v>5</v>
      </c>
      <c r="B6" s="9" t="s">
        <v>72</v>
      </c>
      <c r="C6" s="14" t="s">
        <v>73</v>
      </c>
      <c r="D6" s="15" t="s">
        <v>65</v>
      </c>
    </row>
    <row r="7" customFormat="false" ht="15" hidden="false" customHeight="false" outlineLevel="0" collapsed="false">
      <c r="A7" s="9" t="n">
        <v>6</v>
      </c>
      <c r="B7" s="9" t="s">
        <v>74</v>
      </c>
      <c r="C7" s="14" t="s">
        <v>75</v>
      </c>
      <c r="D7" s="1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2026-10-13T07:28:01Z</dcterms:created>
  <dc:creator>openpyxl</dc:creator>
  <dc:description/>
  <dc:language>en-US</dc:language>
  <cp:lastModifiedBy/>
  <dcterms:modified xsi:type="dcterms:W3CDTF">2026-10-13T07:28:02Z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