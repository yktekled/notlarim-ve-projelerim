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\11124-10-ЭО.Фасад 10\"/>
    </mc:Choice>
  </mc:AlternateContent>
  <bookViews>
    <workbookView xWindow="0" yWindow="0" windowWidth="28800" windowHeight="11685" tabRatio="500"/>
  </bookViews>
  <sheets>
    <sheet name="Sayfa1" sheetId="2" r:id="rId1"/>
  </sheets>
  <definedNames>
    <definedName name="_xlnm._FilterDatabase" localSheetId="0" hidden="1">Sayfa1!$A$1:$J$25</definedName>
    <definedName name="sayac">Sayfa1!#REF!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2" i="2" l="1"/>
  <c r="G12" i="2" s="1"/>
  <c r="F13" i="2"/>
  <c r="G13" i="2" s="1"/>
  <c r="F14" i="2"/>
  <c r="G14" i="2" s="1"/>
  <c r="G24" i="2"/>
  <c r="G7" i="2"/>
  <c r="H7" i="2"/>
  <c r="F10" i="2"/>
  <c r="F3" i="2"/>
  <c r="F11" i="2"/>
  <c r="A9" i="2"/>
  <c r="F4" i="2"/>
  <c r="G4" i="2" s="1"/>
  <c r="F5" i="2"/>
  <c r="G5" i="2" s="1"/>
  <c r="A2" i="2"/>
  <c r="A3" i="2" s="1"/>
  <c r="A4" i="2" s="1"/>
  <c r="A5" i="2" s="1"/>
  <c r="A6" i="2" s="1"/>
  <c r="A7" i="2" s="1"/>
  <c r="A8" i="2" s="1"/>
  <c r="E23" i="2" l="1"/>
  <c r="F23" i="2" s="1"/>
  <c r="E6" i="2"/>
  <c r="F6" i="2" s="1"/>
  <c r="G3" i="2"/>
  <c r="G11" i="2"/>
  <c r="G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H24" i="2" l="1"/>
  <c r="G6" i="2" l="1"/>
  <c r="G8" i="2" l="1"/>
  <c r="G23" i="2" l="1"/>
  <c r="G25" i="2" l="1"/>
</calcChain>
</file>

<file path=xl/sharedStrings.xml><?xml version="1.0" encoding="utf-8"?>
<sst xmlns="http://schemas.openxmlformats.org/spreadsheetml/2006/main" count="116" uniqueCount="63">
  <si>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</si>
  <si>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</si>
  <si>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</si>
  <si>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</si>
  <si>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</si>
  <si>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</si>
  <si>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</si>
  <si>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</si>
  <si>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</si>
  <si>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</si>
  <si>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</si>
  <si>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</si>
  <si>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</si>
  <si>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</si>
  <si>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</si>
  <si>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</si>
  <si>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</si>
  <si>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</si>
  <si>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</si>
  <si>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296709</t>
  </si>
  <si>
    <t>Авт. выкл. NXB-63S 1P 10А 4.5kA х-ка C (R)</t>
  </si>
  <si>
    <t>pys</t>
  </si>
  <si>
    <t>296826</t>
  </si>
  <si>
    <t>Авт. выкл. NXB-63S 3P 10А 4.5kA х-ка C (R)</t>
  </si>
  <si>
    <t>contactor</t>
  </si>
  <si>
    <t>indicator</t>
  </si>
  <si>
    <t>perekluchatel</t>
  </si>
  <si>
    <t>button</t>
  </si>
  <si>
    <t>rele</t>
  </si>
  <si>
    <t>574849</t>
  </si>
  <si>
    <t>Переключатель NP2-BD33, 3 положения с фиксацией, 2НО IP40</t>
  </si>
  <si>
    <t>1ЩНО</t>
  </si>
  <si>
    <t>813873</t>
  </si>
  <si>
    <t>Авт. выкл. NXB-63H 3P 25A 10кА х-ка C (R)</t>
  </si>
  <si>
    <t>ЩУНО</t>
  </si>
  <si>
    <t>296830</t>
  </si>
  <si>
    <t>Авт. выкл. NXB-63S 3P 32А 4.5kA х-ка C (R)</t>
  </si>
  <si>
    <t>836852</t>
  </si>
  <si>
    <t>Контактор NXC-32 32A 220В/АС3 1НО+1НЗ 50Гц (R)</t>
  </si>
  <si>
    <t>837115</t>
  </si>
  <si>
    <t>Тепловое реле NXR-25 5.5-8A (R)</t>
  </si>
  <si>
    <t>280790</t>
  </si>
  <si>
    <t>УЗО NXL-63 6kA 3P+N 32A 30mA AC (R)</t>
  </si>
  <si>
    <t>uzo</t>
  </si>
  <si>
    <t>310024</t>
  </si>
  <si>
    <t>Таймер электронный NKG3 AC230В (R)</t>
  </si>
  <si>
    <t>timer</t>
  </si>
  <si>
    <t>tekled</t>
  </si>
  <si>
    <t>fotorele</t>
  </si>
  <si>
    <t>732-32150</t>
  </si>
  <si>
    <t>PHOTOCELL SWITCH MH-602, 25A</t>
  </si>
  <si>
    <t>574843</t>
  </si>
  <si>
    <t>Кнопка управления NP2-BA42 без подсветки красная 1НЗ IP40</t>
  </si>
  <si>
    <t>574842</t>
  </si>
  <si>
    <t>Кнопка управления NP2-BA31 без подсветки зеленая 1НО IP40</t>
  </si>
  <si>
    <t>593071</t>
  </si>
  <si>
    <t>Индикатор ND16-22DS/4 зеленый АС230В (R)</t>
  </si>
  <si>
    <t>IC</t>
  </si>
  <si>
    <t>ДАЛА СА4-Э720 R TX OP P П RS1 Д W (3x220/380V 5-60A)</t>
  </si>
  <si>
    <t>719-15440</t>
  </si>
  <si>
    <t>Мет.Корпус ЩМП-4 (800x650x250) IP31</t>
  </si>
  <si>
    <t>714-15010</t>
  </si>
  <si>
    <t>Pano met.ShRn-24 b/o (398х312х120)S/U 36 IP31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</si>
</sst>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 2" xfId="4"/>
    <cellStyle name="Обычный" xfId="0" builtinId="0"/>
    <cellStyle name="Обычный 2" xfId="2"/>
    <cellStyle name="Обычный 2 2" xfId="3"/>
    <cellStyle name="Обычный 2 2 2" xfId="6"/>
    <cellStyle name="Обычный 2 3" xfId="5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115" zoomScaleNormal="115" workbookViewId="0">
      <pane ySplit="1" topLeftCell="A2" activePane="bottomLeft" state="frozen"/>
      <selection pane="bottomLeft" activeCell="D9" sqref="D9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0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0" ht="39.75" customHeight="1" x14ac:dyDescent="0.25">
      <c r="A2" s="5" t="str">
        <f>D2</f>
        <v>1ЩНО</v>
      </c>
      <c r="B2" s="6"/>
      <c r="C2" s="7"/>
      <c r="D2" s="6" t="s">
        <v>31</v>
      </c>
      <c r="E2" s="8"/>
      <c r="F2" s="8"/>
      <c r="G2" s="9"/>
      <c r="H2" s="10">
        <v>1</v>
      </c>
      <c r="I2" s="11" t="s">
        <v>7</v>
      </c>
      <c r="J2" s="6" t="s">
        <v>9</v>
      </c>
    </row>
    <row r="3" spans="1:10" ht="21" customHeight="1" x14ac:dyDescent="0.25">
      <c r="A3" s="12" t="str">
        <f>A2</f>
        <v>1ЩНО</v>
      </c>
      <c r="B3" s="13" t="s">
        <v>8</v>
      </c>
      <c r="C3" s="14" t="s">
        <v>61</v>
      </c>
      <c r="D3" s="12" t="s">
        <v>62</v>
      </c>
      <c r="E3" s="13">
        <v>13410</v>
      </c>
      <c r="F3" s="15">
        <f>E3*0.6</f>
        <v>8046</v>
      </c>
      <c r="G3" s="15">
        <f>H3*F3</f>
        <v>8046</v>
      </c>
      <c r="H3" s="16">
        <v>1</v>
      </c>
      <c r="I3" s="17" t="s">
        <v>13</v>
      </c>
      <c r="J3" s="13" t="s">
        <v>16</v>
      </c>
    </row>
    <row r="4" spans="1:10" ht="21" customHeight="1" x14ac:dyDescent="0.25">
      <c r="A4" s="12" t="str">
        <f t="shared" ref="A4:A8" si="0">A3</f>
        <v>1ЩНО</v>
      </c>
      <c r="B4" s="13" t="s">
        <v>12</v>
      </c>
      <c r="C4" s="14" t="s">
        <v>32</v>
      </c>
      <c r="D4" s="12" t="s">
        <v>33</v>
      </c>
      <c r="E4" s="13">
        <v>10552</v>
      </c>
      <c r="F4" s="15">
        <f t="shared" ref="F4" si="1">E4*0.6</f>
        <v>6331.2</v>
      </c>
      <c r="G4" s="15">
        <f t="shared" ref="G4" si="2">F4*H4</f>
        <v>6331.2</v>
      </c>
      <c r="H4" s="16">
        <v>1</v>
      </c>
      <c r="I4" s="17" t="s">
        <v>13</v>
      </c>
      <c r="J4" s="13" t="s">
        <v>17</v>
      </c>
    </row>
    <row r="5" spans="1:10" ht="21" customHeight="1" x14ac:dyDescent="0.25">
      <c r="A5" s="12" t="str">
        <f t="shared" si="0"/>
        <v>1ЩНО</v>
      </c>
      <c r="B5" s="13" t="s">
        <v>12</v>
      </c>
      <c r="C5" s="14" t="s">
        <v>22</v>
      </c>
      <c r="D5" s="12" t="s">
        <v>23</v>
      </c>
      <c r="E5" s="13">
        <v>2447</v>
      </c>
      <c r="F5" s="15">
        <f>E5*0.6</f>
        <v>1468.2</v>
      </c>
      <c r="G5" s="15">
        <f>F5*H5</f>
        <v>7341</v>
      </c>
      <c r="H5" s="16">
        <v>5</v>
      </c>
      <c r="I5" s="17" t="s">
        <v>13</v>
      </c>
      <c r="J5" s="13" t="s">
        <v>17</v>
      </c>
    </row>
    <row r="6" spans="1:10" ht="24" customHeight="1" x14ac:dyDescent="0.25">
      <c r="A6" s="12" t="str">
        <f t="shared" si="0"/>
        <v>1ЩНО</v>
      </c>
      <c r="B6" s="12" t="s">
        <v>10</v>
      </c>
      <c r="C6" s="18" t="s">
        <v>10</v>
      </c>
      <c r="D6" s="12" t="s">
        <v>10</v>
      </c>
      <c r="E6" s="12">
        <f ca="1">OFFSET(E6,1,2)</f>
        <v>0</v>
      </c>
      <c r="F6" s="15">
        <f ca="1">E6</f>
        <v>0</v>
      </c>
      <c r="G6" s="15">
        <f t="shared" ref="G6" ca="1" si="3">F6*H6</f>
        <v>0</v>
      </c>
      <c r="H6" s="12"/>
      <c r="I6" s="12" t="s">
        <v>13</v>
      </c>
      <c r="J6" s="12" t="s">
        <v>10</v>
      </c>
    </row>
    <row r="7" spans="1:10" ht="21" customHeight="1" x14ac:dyDescent="0.25">
      <c r="A7" s="12" t="str">
        <f t="shared" si="0"/>
        <v>1ЩНО</v>
      </c>
      <c r="B7" s="12" t="s">
        <v>11</v>
      </c>
      <c r="C7" s="18" t="s">
        <v>11</v>
      </c>
      <c r="D7" s="12" t="s">
        <v>11</v>
      </c>
      <c r="E7" s="12"/>
      <c r="F7" s="15">
        <v>100</v>
      </c>
      <c r="G7" s="15">
        <f>60*E7*F7</f>
        <v>0</v>
      </c>
      <c r="H7" s="12">
        <f>60*E7</f>
        <v>0</v>
      </c>
      <c r="I7" s="12" t="s">
        <v>13</v>
      </c>
      <c r="J7" s="12" t="s">
        <v>11</v>
      </c>
    </row>
    <row r="8" spans="1:10" ht="30" customHeight="1" x14ac:dyDescent="0.25">
      <c r="A8" s="12" t="str">
        <f t="shared" si="0"/>
        <v>1ЩНО</v>
      </c>
      <c r="B8" s="19"/>
      <c r="C8" s="20"/>
      <c r="D8" s="21"/>
      <c r="E8" s="23"/>
      <c r="F8" s="25"/>
      <c r="G8" s="24">
        <f ca="1">SUM(G3:G7)</f>
        <v>21718.2</v>
      </c>
      <c r="H8" s="20"/>
      <c r="I8" s="22"/>
      <c r="J8" s="20"/>
    </row>
    <row r="9" spans="1:10" ht="39.75" customHeight="1" x14ac:dyDescent="0.25">
      <c r="A9" s="5" t="str">
        <f>D9</f>
        <v>ЩУНО</v>
      </c>
      <c r="B9" s="6"/>
      <c r="C9" s="7"/>
      <c r="D9" s="6" t="s">
        <v>34</v>
      </c>
      <c r="E9" s="8"/>
      <c r="F9" s="8"/>
      <c r="G9" s="9"/>
      <c r="H9" s="10">
        <v>1</v>
      </c>
      <c r="I9" s="11" t="s">
        <v>7</v>
      </c>
      <c r="J9" s="6" t="s">
        <v>9</v>
      </c>
    </row>
    <row r="10" spans="1:10" ht="21" customHeight="1" x14ac:dyDescent="0.25">
      <c r="A10" s="12" t="str">
        <f>A9</f>
        <v>ЩУНО</v>
      </c>
      <c r="B10" s="13" t="s">
        <v>8</v>
      </c>
      <c r="C10" s="14" t="s">
        <v>59</v>
      </c>
      <c r="D10" s="12" t="s">
        <v>60</v>
      </c>
      <c r="E10" s="13">
        <v>30540</v>
      </c>
      <c r="F10" s="15">
        <f>E10*0.6</f>
        <v>18324</v>
      </c>
      <c r="G10" s="15">
        <f>H10*F10</f>
        <v>18324</v>
      </c>
      <c r="H10" s="16">
        <v>1</v>
      </c>
      <c r="I10" s="17" t="s">
        <v>13</v>
      </c>
      <c r="J10" s="13" t="s">
        <v>16</v>
      </c>
    </row>
    <row r="11" spans="1:10" ht="20.25" customHeight="1" x14ac:dyDescent="0.25">
      <c r="A11" s="12" t="str">
        <f t="shared" ref="A11:A25" si="4">A10</f>
        <v>ЩУНО</v>
      </c>
      <c r="B11" s="13" t="s">
        <v>12</v>
      </c>
      <c r="C11" s="14" t="s">
        <v>35</v>
      </c>
      <c r="D11" s="12" t="s">
        <v>36</v>
      </c>
      <c r="E11" s="13">
        <v>2606</v>
      </c>
      <c r="F11" s="15">
        <f t="shared" ref="F11:F13" si="5">E11*0.6</f>
        <v>1563.6</v>
      </c>
      <c r="G11" s="15">
        <f t="shared" ref="G11:G23" si="6">F11*H11</f>
        <v>1563.6</v>
      </c>
      <c r="H11" s="16">
        <v>1</v>
      </c>
      <c r="I11" s="17" t="s">
        <v>13</v>
      </c>
      <c r="J11" s="13" t="s">
        <v>17</v>
      </c>
    </row>
    <row r="12" spans="1:10" ht="21" customHeight="1" x14ac:dyDescent="0.25">
      <c r="A12" s="12" t="str">
        <f t="shared" si="4"/>
        <v>ЩУНО</v>
      </c>
      <c r="B12" s="13" t="s">
        <v>24</v>
      </c>
      <c r="C12" s="14" t="s">
        <v>37</v>
      </c>
      <c r="D12" s="12" t="s">
        <v>38</v>
      </c>
      <c r="E12" s="13">
        <v>13596</v>
      </c>
      <c r="F12" s="15">
        <f t="shared" ref="F12" si="7">E12*0.6</f>
        <v>8157.5999999999995</v>
      </c>
      <c r="G12" s="15">
        <f t="shared" ref="G12" si="8">F12*H12</f>
        <v>8157.5999999999995</v>
      </c>
      <c r="H12" s="16">
        <v>1</v>
      </c>
      <c r="I12" s="17" t="s">
        <v>13</v>
      </c>
      <c r="J12" s="13" t="s">
        <v>17</v>
      </c>
    </row>
    <row r="13" spans="1:10" ht="21" customHeight="1" x14ac:dyDescent="0.25">
      <c r="A13" s="12" t="str">
        <f t="shared" si="4"/>
        <v>ЩУНО</v>
      </c>
      <c r="B13" s="13" t="s">
        <v>28</v>
      </c>
      <c r="C13" s="14" t="s">
        <v>39</v>
      </c>
      <c r="D13" s="12" t="s">
        <v>40</v>
      </c>
      <c r="E13" s="13">
        <v>4315</v>
      </c>
      <c r="F13" s="15">
        <f t="shared" si="5"/>
        <v>2589</v>
      </c>
      <c r="G13" s="15">
        <f t="shared" si="6"/>
        <v>2589</v>
      </c>
      <c r="H13" s="16">
        <v>1</v>
      </c>
      <c r="I13" s="17" t="s">
        <v>13</v>
      </c>
      <c r="J13" s="13" t="s">
        <v>17</v>
      </c>
    </row>
    <row r="14" spans="1:10" ht="21" customHeight="1" x14ac:dyDescent="0.25">
      <c r="A14" s="12" t="str">
        <f t="shared" si="4"/>
        <v>ЩУНО</v>
      </c>
      <c r="B14" s="13" t="s">
        <v>43</v>
      </c>
      <c r="C14" s="14" t="s">
        <v>41</v>
      </c>
      <c r="D14" s="12" t="s">
        <v>42</v>
      </c>
      <c r="E14" s="13">
        <v>13357</v>
      </c>
      <c r="F14" s="15">
        <f t="shared" ref="F14" si="9">E14*0.6</f>
        <v>8014.2</v>
      </c>
      <c r="G14" s="15">
        <f t="shared" ref="G14" si="10">F14*H14</f>
        <v>8014.2</v>
      </c>
      <c r="H14" s="16">
        <v>1</v>
      </c>
      <c r="I14" s="17" t="s">
        <v>13</v>
      </c>
      <c r="J14" s="13" t="s">
        <v>17</v>
      </c>
    </row>
    <row r="15" spans="1:10" ht="21" customHeight="1" x14ac:dyDescent="0.25">
      <c r="A15" s="12" t="str">
        <f t="shared" si="4"/>
        <v>ЩУНО</v>
      </c>
      <c r="B15" s="13" t="s">
        <v>12</v>
      </c>
      <c r="C15" s="14" t="s">
        <v>19</v>
      </c>
      <c r="D15" s="12" t="s">
        <v>20</v>
      </c>
      <c r="E15" s="13">
        <v>783</v>
      </c>
      <c r="F15" s="15">
        <f>E15*0.6</f>
        <v>469.79999999999995</v>
      </c>
      <c r="G15" s="15">
        <f>F15*H15</f>
        <v>469.79999999999995</v>
      </c>
      <c r="H15" s="16">
        <v>1</v>
      </c>
      <c r="I15" s="17" t="s">
        <v>13</v>
      </c>
      <c r="J15" s="13" t="s">
        <v>17</v>
      </c>
    </row>
    <row r="16" spans="1:10" ht="21" customHeight="1" x14ac:dyDescent="0.25">
      <c r="A16" s="12" t="str">
        <f t="shared" si="4"/>
        <v>ЩУНО</v>
      </c>
      <c r="B16" s="13" t="s">
        <v>46</v>
      </c>
      <c r="C16" s="14" t="s">
        <v>44</v>
      </c>
      <c r="D16" s="12" t="s">
        <v>45</v>
      </c>
      <c r="E16" s="13">
        <v>18847</v>
      </c>
      <c r="F16" s="15">
        <f t="shared" ref="F16:F17" si="11">E16*0.6</f>
        <v>11308.199999999999</v>
      </c>
      <c r="G16" s="15">
        <f t="shared" ref="G16:G17" si="12">F16*H16</f>
        <v>11308.199999999999</v>
      </c>
      <c r="H16" s="16">
        <v>1</v>
      </c>
      <c r="I16" s="17" t="s">
        <v>13</v>
      </c>
      <c r="J16" s="13" t="s">
        <v>17</v>
      </c>
    </row>
    <row r="17" spans="1:10" ht="21" customHeight="1" x14ac:dyDescent="0.25">
      <c r="A17" s="12" t="str">
        <f t="shared" si="4"/>
        <v>ЩУНО</v>
      </c>
      <c r="B17" s="13" t="s">
        <v>48</v>
      </c>
      <c r="C17" s="14" t="s">
        <v>49</v>
      </c>
      <c r="D17" s="12" t="s">
        <v>50</v>
      </c>
      <c r="E17" s="13">
        <v>2680</v>
      </c>
      <c r="F17" s="15">
        <f t="shared" si="11"/>
        <v>1608</v>
      </c>
      <c r="G17" s="15">
        <f t="shared" si="12"/>
        <v>1608</v>
      </c>
      <c r="H17" s="16">
        <v>1</v>
      </c>
      <c r="I17" s="17" t="s">
        <v>13</v>
      </c>
      <c r="J17" s="13" t="s">
        <v>47</v>
      </c>
    </row>
    <row r="18" spans="1:10" ht="21" customHeight="1" x14ac:dyDescent="0.25">
      <c r="A18" s="12" t="str">
        <f t="shared" si="4"/>
        <v>ЩУНО</v>
      </c>
      <c r="B18" s="13" t="s">
        <v>27</v>
      </c>
      <c r="C18" s="14" t="s">
        <v>51</v>
      </c>
      <c r="D18" s="12" t="s">
        <v>52</v>
      </c>
      <c r="E18" s="13">
        <v>1621</v>
      </c>
      <c r="F18" s="15">
        <f>E18*0.6</f>
        <v>972.59999999999991</v>
      </c>
      <c r="G18" s="15">
        <f>F18*H18</f>
        <v>972.59999999999991</v>
      </c>
      <c r="H18" s="16">
        <v>1</v>
      </c>
      <c r="I18" s="17" t="s">
        <v>13</v>
      </c>
      <c r="J18" s="13" t="s">
        <v>17</v>
      </c>
    </row>
    <row r="19" spans="1:10" ht="21" customHeight="1" x14ac:dyDescent="0.25">
      <c r="A19" s="12" t="str">
        <f t="shared" si="4"/>
        <v>ЩУНО</v>
      </c>
      <c r="B19" s="13" t="s">
        <v>27</v>
      </c>
      <c r="C19" s="14" t="s">
        <v>53</v>
      </c>
      <c r="D19" s="12" t="s">
        <v>54</v>
      </c>
      <c r="E19" s="13">
        <v>1602</v>
      </c>
      <c r="F19" s="15">
        <f>E19*0.6</f>
        <v>961.19999999999993</v>
      </c>
      <c r="G19" s="15">
        <f>F19*H19</f>
        <v>961.19999999999993</v>
      </c>
      <c r="H19" s="16">
        <v>1</v>
      </c>
      <c r="I19" s="17" t="s">
        <v>13</v>
      </c>
      <c r="J19" s="13" t="s">
        <v>17</v>
      </c>
    </row>
    <row r="20" spans="1:10" ht="21" customHeight="1" x14ac:dyDescent="0.25">
      <c r="A20" s="12" t="str">
        <f t="shared" si="4"/>
        <v>ЩУНО</v>
      </c>
      <c r="B20" s="13" t="s">
        <v>25</v>
      </c>
      <c r="C20" s="14" t="s">
        <v>55</v>
      </c>
      <c r="D20" s="12" t="s">
        <v>56</v>
      </c>
      <c r="E20" s="13">
        <v>836</v>
      </c>
      <c r="F20" s="15">
        <f t="shared" ref="F20:F21" si="13">E20*0.6</f>
        <v>501.59999999999997</v>
      </c>
      <c r="G20" s="15">
        <f t="shared" ref="G20:G21" si="14">F20*H20</f>
        <v>501.59999999999997</v>
      </c>
      <c r="H20" s="16">
        <v>1</v>
      </c>
      <c r="I20" s="17" t="s">
        <v>13</v>
      </c>
      <c r="J20" s="13" t="s">
        <v>17</v>
      </c>
    </row>
    <row r="21" spans="1:10" ht="21" customHeight="1" x14ac:dyDescent="0.25">
      <c r="A21" s="12" t="str">
        <f t="shared" si="4"/>
        <v>ЩУНО</v>
      </c>
      <c r="B21" s="13" t="s">
        <v>26</v>
      </c>
      <c r="C21" s="14" t="s">
        <v>29</v>
      </c>
      <c r="D21" s="12" t="s">
        <v>30</v>
      </c>
      <c r="E21" s="13">
        <v>1836</v>
      </c>
      <c r="F21" s="15">
        <f t="shared" si="13"/>
        <v>1101.5999999999999</v>
      </c>
      <c r="G21" s="15">
        <f t="shared" si="14"/>
        <v>1101.5999999999999</v>
      </c>
      <c r="H21" s="16">
        <v>1</v>
      </c>
      <c r="I21" s="17" t="s">
        <v>13</v>
      </c>
      <c r="J21" s="13" t="s">
        <v>17</v>
      </c>
    </row>
    <row r="22" spans="1:10" ht="21" customHeight="1" x14ac:dyDescent="0.25">
      <c r="A22" s="12" t="str">
        <f t="shared" si="4"/>
        <v>ЩУНО</v>
      </c>
      <c r="B22" s="13" t="s">
        <v>18</v>
      </c>
      <c r="C22" s="14" t="s">
        <v>57</v>
      </c>
      <c r="D22" s="12" t="s">
        <v>58</v>
      </c>
      <c r="E22" s="13">
        <v>90000</v>
      </c>
      <c r="F22" s="15">
        <f t="shared" ref="F22" si="15">E22</f>
        <v>90000</v>
      </c>
      <c r="G22" s="15">
        <f>F22*H22</f>
        <v>90000</v>
      </c>
      <c r="H22" s="16">
        <v>1</v>
      </c>
      <c r="I22" s="17" t="s">
        <v>13</v>
      </c>
      <c r="J22" s="13" t="s">
        <v>21</v>
      </c>
    </row>
    <row r="23" spans="1:10" ht="24" customHeight="1" x14ac:dyDescent="0.25">
      <c r="A23" s="12" t="str">
        <f t="shared" si="4"/>
        <v>ЩУНО</v>
      </c>
      <c r="B23" s="12" t="s">
        <v>10</v>
      </c>
      <c r="C23" s="18" t="s">
        <v>10</v>
      </c>
      <c r="D23" s="12" t="s">
        <v>10</v>
      </c>
      <c r="E23" s="12">
        <f ca="1">OFFSET(E23,1,2)</f>
        <v>0</v>
      </c>
      <c r="F23" s="15">
        <f ca="1">E23</f>
        <v>0</v>
      </c>
      <c r="G23" s="15">
        <f t="shared" ca="1" si="6"/>
        <v>0</v>
      </c>
      <c r="H23" s="12"/>
      <c r="I23" s="12" t="s">
        <v>13</v>
      </c>
      <c r="J23" s="12" t="s">
        <v>10</v>
      </c>
    </row>
    <row r="24" spans="1:10" ht="21" customHeight="1" x14ac:dyDescent="0.25">
      <c r="A24" s="12" t="str">
        <f t="shared" si="4"/>
        <v>ЩУНО</v>
      </c>
      <c r="B24" s="12" t="s">
        <v>11</v>
      </c>
      <c r="C24" s="18" t="s">
        <v>11</v>
      </c>
      <c r="D24" s="12" t="s">
        <v>11</v>
      </c>
      <c r="E24" s="12"/>
      <c r="F24" s="15">
        <v>100</v>
      </c>
      <c r="G24" s="15">
        <f>60*E24*F24</f>
        <v>0</v>
      </c>
      <c r="H24" s="12">
        <f>60*E24</f>
        <v>0</v>
      </c>
      <c r="I24" s="12" t="s">
        <v>13</v>
      </c>
      <c r="J24" s="12" t="s">
        <v>11</v>
      </c>
    </row>
    <row r="25" spans="1:10" ht="30" customHeight="1" x14ac:dyDescent="0.25">
      <c r="A25" s="12" t="str">
        <f t="shared" si="4"/>
        <v>ЩУНО</v>
      </c>
      <c r="B25" s="19"/>
      <c r="C25" s="20"/>
      <c r="D25" s="21"/>
      <c r="E25" s="23"/>
      <c r="F25" s="25"/>
      <c r="G25" s="24">
        <f ca="1">SUM(G10:G24)</f>
        <v>145571.4</v>
      </c>
      <c r="H25" s="20"/>
      <c r="I25" s="22"/>
      <c r="J25" s="20"/>
    </row>
  </sheetData>
  <autoFilter ref="A1:J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Пользователь</cp:lastModifiedBy>
  <cp:revision>3</cp:revision>
  <dcterms:created xsi:type="dcterms:W3CDTF">2015-06-05T18:19:34Z</dcterms:created>
  <dcterms:modified xsi:type="dcterms:W3CDTF">2026-10-05T08:21:00Z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