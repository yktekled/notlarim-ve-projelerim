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03 rustu bey\"/>
    </mc:Choice>
  </mc:AlternateContent>
  <xr:revisionPtr revIDLastSave="0" documentId="13_ncr:1_{5977A32D-BEEF-4403-BD8C-08BA23839CF1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KURALLAR" sheetId="1" r:id="rId1"/>
    <sheet name="FIYAT" sheetId="2" r:id="rId2"/>
    <sheet name="BOM" sheetId="3" r:id="rId3"/>
    <sheet name="OZET" sheetId="4" r:id="rId4"/>
    <sheet name="TEKLIF" sheetId="5" r:id="rId5"/>
    <sheet name="KONTROL" sheetId="6" r:id="rId6"/>
  </sheets>
  <definedNames>
    <definedName name="_xlnm._FilterDatabase" localSheetId="2" hidden="1">BOM!$A$1:$U$1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5" l="1"/>
  <c r="B7" i="5"/>
  <c r="D99" i="4"/>
  <c r="B12" i="5" s="1"/>
  <c r="K1662" i="3"/>
  <c r="J1662" i="3"/>
  <c r="E1662" i="3"/>
  <c r="K1661" i="3"/>
  <c r="J1661" i="3"/>
  <c r="F1661" i="3"/>
  <c r="E1661" i="3"/>
  <c r="U1660" i="3"/>
  <c r="K1660" i="3"/>
  <c r="J1660" i="3"/>
  <c r="F1660" i="3"/>
  <c r="E1660" i="3"/>
  <c r="U1659" i="3"/>
  <c r="K1659" i="3"/>
  <c r="J1659" i="3"/>
  <c r="E1659" i="3"/>
  <c r="U1658" i="3"/>
  <c r="K1658" i="3"/>
  <c r="J1658" i="3"/>
  <c r="F1658" i="3"/>
  <c r="E1658" i="3"/>
  <c r="U1657" i="3"/>
  <c r="K1657" i="3"/>
  <c r="J1657" i="3"/>
  <c r="F1657" i="3"/>
  <c r="E1657" i="3"/>
  <c r="U1656" i="3"/>
  <c r="K1656" i="3"/>
  <c r="J1656" i="3"/>
  <c r="F1656" i="3"/>
  <c r="E1656" i="3"/>
  <c r="U1655" i="3"/>
  <c r="K1655" i="3"/>
  <c r="J1655" i="3"/>
  <c r="F1655" i="3"/>
  <c r="E1655" i="3"/>
  <c r="U1654" i="3"/>
  <c r="K1654" i="3"/>
  <c r="J1654" i="3"/>
  <c r="F1654" i="3"/>
  <c r="E1654" i="3"/>
  <c r="U1653" i="3"/>
  <c r="K1653" i="3"/>
  <c r="J1653" i="3"/>
  <c r="F1653" i="3"/>
  <c r="E1653" i="3"/>
  <c r="U1652" i="3"/>
  <c r="K1652" i="3"/>
  <c r="J1652" i="3"/>
  <c r="F1652" i="3"/>
  <c r="E1652" i="3"/>
  <c r="U1651" i="3"/>
  <c r="K1651" i="3"/>
  <c r="J1651" i="3"/>
  <c r="F1651" i="3"/>
  <c r="E1651" i="3"/>
  <c r="U1650" i="3"/>
  <c r="K1650" i="3"/>
  <c r="J1650" i="3"/>
  <c r="F1650" i="3"/>
  <c r="E1650" i="3"/>
  <c r="U1649" i="3"/>
  <c r="K1649" i="3"/>
  <c r="J1649" i="3"/>
  <c r="F1649" i="3"/>
  <c r="E1649" i="3"/>
  <c r="U1648" i="3"/>
  <c r="K1648" i="3"/>
  <c r="J1648" i="3"/>
  <c r="F1648" i="3"/>
  <c r="E1648" i="3"/>
  <c r="U1647" i="3"/>
  <c r="K1647" i="3"/>
  <c r="J1647" i="3"/>
  <c r="F1647" i="3"/>
  <c r="E1647" i="3"/>
  <c r="U1646" i="3"/>
  <c r="K1646" i="3"/>
  <c r="J1646" i="3"/>
  <c r="F1646" i="3"/>
  <c r="E1646" i="3"/>
  <c r="U1645" i="3"/>
  <c r="K1645" i="3"/>
  <c r="J1645" i="3"/>
  <c r="F1645" i="3"/>
  <c r="E1645" i="3"/>
  <c r="U1644" i="3"/>
  <c r="K1644" i="3"/>
  <c r="J1644" i="3"/>
  <c r="F1644" i="3"/>
  <c r="E1644" i="3"/>
  <c r="U1643" i="3"/>
  <c r="I1662" i="3" s="1"/>
  <c r="K1643" i="3"/>
  <c r="J1643" i="3"/>
  <c r="F1643" i="3"/>
  <c r="E1643" i="3"/>
  <c r="B1642" i="3"/>
  <c r="K1640" i="3"/>
  <c r="J1640" i="3"/>
  <c r="E1640" i="3"/>
  <c r="K1639" i="3"/>
  <c r="J1639" i="3"/>
  <c r="F1639" i="3"/>
  <c r="E1639" i="3"/>
  <c r="U1638" i="3"/>
  <c r="K1638" i="3"/>
  <c r="J1638" i="3"/>
  <c r="F1638" i="3"/>
  <c r="E1638" i="3"/>
  <c r="U1637" i="3"/>
  <c r="K1637" i="3"/>
  <c r="J1637" i="3"/>
  <c r="E1637" i="3"/>
  <c r="U1636" i="3"/>
  <c r="K1636" i="3"/>
  <c r="J1636" i="3"/>
  <c r="F1636" i="3"/>
  <c r="E1636" i="3"/>
  <c r="U1635" i="3"/>
  <c r="K1635" i="3"/>
  <c r="J1635" i="3"/>
  <c r="F1635" i="3"/>
  <c r="E1635" i="3"/>
  <c r="U1634" i="3"/>
  <c r="K1634" i="3"/>
  <c r="J1634" i="3"/>
  <c r="F1634" i="3"/>
  <c r="E1634" i="3"/>
  <c r="U1633" i="3"/>
  <c r="K1633" i="3"/>
  <c r="J1633" i="3"/>
  <c r="F1633" i="3"/>
  <c r="E1633" i="3"/>
  <c r="U1632" i="3"/>
  <c r="K1632" i="3"/>
  <c r="J1632" i="3"/>
  <c r="F1632" i="3"/>
  <c r="E1632" i="3"/>
  <c r="U1631" i="3"/>
  <c r="K1631" i="3"/>
  <c r="J1631" i="3"/>
  <c r="F1631" i="3"/>
  <c r="E1631" i="3"/>
  <c r="U1630" i="3"/>
  <c r="K1630" i="3"/>
  <c r="J1630" i="3"/>
  <c r="F1630" i="3"/>
  <c r="E1630" i="3"/>
  <c r="U1629" i="3"/>
  <c r="K1629" i="3"/>
  <c r="J1629" i="3"/>
  <c r="F1629" i="3"/>
  <c r="E1629" i="3"/>
  <c r="U1628" i="3"/>
  <c r="K1628" i="3"/>
  <c r="J1628" i="3"/>
  <c r="F1628" i="3"/>
  <c r="E1628" i="3"/>
  <c r="U1627" i="3"/>
  <c r="K1627" i="3"/>
  <c r="J1627" i="3"/>
  <c r="F1627" i="3"/>
  <c r="E1627" i="3"/>
  <c r="U1626" i="3"/>
  <c r="K1626" i="3"/>
  <c r="J1626" i="3"/>
  <c r="F1626" i="3"/>
  <c r="E1626" i="3"/>
  <c r="U1625" i="3"/>
  <c r="K1625" i="3"/>
  <c r="J1625" i="3"/>
  <c r="F1625" i="3"/>
  <c r="E1625" i="3"/>
  <c r="B1624" i="3"/>
  <c r="K1622" i="3"/>
  <c r="J1622" i="3"/>
  <c r="E1622" i="3"/>
  <c r="K1621" i="3"/>
  <c r="J1621" i="3"/>
  <c r="F1621" i="3"/>
  <c r="E1621" i="3"/>
  <c r="U1620" i="3"/>
  <c r="K1620" i="3"/>
  <c r="J1620" i="3"/>
  <c r="F1620" i="3"/>
  <c r="E1620" i="3"/>
  <c r="U1619" i="3"/>
  <c r="K1619" i="3"/>
  <c r="J1619" i="3"/>
  <c r="E1619" i="3"/>
  <c r="U1618" i="3"/>
  <c r="K1618" i="3"/>
  <c r="J1618" i="3"/>
  <c r="F1618" i="3"/>
  <c r="E1618" i="3"/>
  <c r="U1617" i="3"/>
  <c r="K1617" i="3"/>
  <c r="J1617" i="3"/>
  <c r="F1617" i="3"/>
  <c r="E1617" i="3"/>
  <c r="U1616" i="3"/>
  <c r="K1616" i="3"/>
  <c r="J1616" i="3"/>
  <c r="F1616" i="3"/>
  <c r="E1616" i="3"/>
  <c r="U1615" i="3"/>
  <c r="K1615" i="3"/>
  <c r="J1615" i="3"/>
  <c r="F1615" i="3"/>
  <c r="E1615" i="3"/>
  <c r="U1614" i="3"/>
  <c r="K1614" i="3"/>
  <c r="J1614" i="3"/>
  <c r="F1614" i="3"/>
  <c r="E1614" i="3"/>
  <c r="U1613" i="3"/>
  <c r="K1613" i="3"/>
  <c r="J1613" i="3"/>
  <c r="F1613" i="3"/>
  <c r="E1613" i="3"/>
  <c r="U1612" i="3"/>
  <c r="K1612" i="3"/>
  <c r="J1612" i="3"/>
  <c r="F1612" i="3"/>
  <c r="E1612" i="3"/>
  <c r="U1611" i="3"/>
  <c r="K1611" i="3"/>
  <c r="J1611" i="3"/>
  <c r="F1611" i="3"/>
  <c r="E1611" i="3"/>
  <c r="U1610" i="3"/>
  <c r="K1610" i="3"/>
  <c r="J1610" i="3"/>
  <c r="F1610" i="3"/>
  <c r="E1610" i="3"/>
  <c r="U1609" i="3"/>
  <c r="K1609" i="3"/>
  <c r="J1609" i="3"/>
  <c r="F1609" i="3"/>
  <c r="E1609" i="3"/>
  <c r="U1608" i="3"/>
  <c r="K1608" i="3"/>
  <c r="J1608" i="3"/>
  <c r="F1608" i="3"/>
  <c r="E1608" i="3"/>
  <c r="U1607" i="3"/>
  <c r="K1607" i="3"/>
  <c r="J1607" i="3"/>
  <c r="F1607" i="3"/>
  <c r="E1607" i="3"/>
  <c r="U1606" i="3"/>
  <c r="K1606" i="3"/>
  <c r="J1606" i="3"/>
  <c r="F1606" i="3"/>
  <c r="E1606" i="3"/>
  <c r="U1605" i="3"/>
  <c r="K1605" i="3"/>
  <c r="J1605" i="3"/>
  <c r="F1605" i="3"/>
  <c r="E1605" i="3"/>
  <c r="U1604" i="3"/>
  <c r="I1622" i="3" s="1"/>
  <c r="K1604" i="3"/>
  <c r="J1604" i="3"/>
  <c r="F1604" i="3"/>
  <c r="E1604" i="3"/>
  <c r="B1603" i="3"/>
  <c r="K1601" i="3"/>
  <c r="J1601" i="3"/>
  <c r="E1601" i="3"/>
  <c r="K1600" i="3"/>
  <c r="J1600" i="3"/>
  <c r="F1600" i="3"/>
  <c r="E1600" i="3"/>
  <c r="U1599" i="3"/>
  <c r="K1599" i="3"/>
  <c r="J1599" i="3"/>
  <c r="F1599" i="3"/>
  <c r="E1599" i="3"/>
  <c r="U1598" i="3"/>
  <c r="K1598" i="3"/>
  <c r="J1598" i="3"/>
  <c r="E1598" i="3"/>
  <c r="U1597" i="3"/>
  <c r="K1597" i="3"/>
  <c r="J1597" i="3"/>
  <c r="F1597" i="3"/>
  <c r="E1597" i="3"/>
  <c r="U1596" i="3"/>
  <c r="K1596" i="3"/>
  <c r="J1596" i="3"/>
  <c r="F1596" i="3"/>
  <c r="E1596" i="3"/>
  <c r="U1595" i="3"/>
  <c r="K1595" i="3"/>
  <c r="J1595" i="3"/>
  <c r="F1595" i="3"/>
  <c r="E1595" i="3"/>
  <c r="U1594" i="3"/>
  <c r="K1594" i="3"/>
  <c r="J1594" i="3"/>
  <c r="F1594" i="3"/>
  <c r="E1594" i="3"/>
  <c r="U1593" i="3"/>
  <c r="K1593" i="3"/>
  <c r="J1593" i="3"/>
  <c r="F1593" i="3"/>
  <c r="E1593" i="3"/>
  <c r="U1592" i="3"/>
  <c r="K1592" i="3"/>
  <c r="J1592" i="3"/>
  <c r="F1592" i="3"/>
  <c r="E1592" i="3"/>
  <c r="U1591" i="3"/>
  <c r="K1591" i="3"/>
  <c r="J1591" i="3"/>
  <c r="F1591" i="3"/>
  <c r="E1591" i="3"/>
  <c r="U1590" i="3"/>
  <c r="K1590" i="3"/>
  <c r="J1590" i="3"/>
  <c r="F1590" i="3"/>
  <c r="E1590" i="3"/>
  <c r="U1589" i="3"/>
  <c r="K1589" i="3"/>
  <c r="J1589" i="3"/>
  <c r="F1589" i="3"/>
  <c r="E1589" i="3"/>
  <c r="U1588" i="3"/>
  <c r="K1588" i="3"/>
  <c r="J1588" i="3"/>
  <c r="F1588" i="3"/>
  <c r="E1588" i="3"/>
  <c r="U1587" i="3"/>
  <c r="K1587" i="3"/>
  <c r="J1587" i="3"/>
  <c r="F1587" i="3"/>
  <c r="E1587" i="3"/>
  <c r="U1586" i="3"/>
  <c r="K1586" i="3"/>
  <c r="J1586" i="3"/>
  <c r="F1586" i="3"/>
  <c r="E1586" i="3"/>
  <c r="U1585" i="3"/>
  <c r="K1585" i="3"/>
  <c r="J1585" i="3"/>
  <c r="F1585" i="3"/>
  <c r="E1585" i="3"/>
  <c r="U1584" i="3"/>
  <c r="K1584" i="3"/>
  <c r="J1584" i="3"/>
  <c r="F1584" i="3"/>
  <c r="E1584" i="3"/>
  <c r="U1583" i="3"/>
  <c r="K1583" i="3"/>
  <c r="J1583" i="3"/>
  <c r="F1583" i="3"/>
  <c r="E1583" i="3"/>
  <c r="U1582" i="3"/>
  <c r="U1602" i="3" s="1"/>
  <c r="K1582" i="3"/>
  <c r="J1582" i="3"/>
  <c r="F1582" i="3"/>
  <c r="E1582" i="3"/>
  <c r="B1581" i="3"/>
  <c r="K1579" i="3"/>
  <c r="J1579" i="3"/>
  <c r="E1579" i="3"/>
  <c r="K1578" i="3"/>
  <c r="J1578" i="3"/>
  <c r="F1578" i="3"/>
  <c r="E1578" i="3"/>
  <c r="U1577" i="3"/>
  <c r="K1577" i="3"/>
  <c r="J1577" i="3"/>
  <c r="F1577" i="3"/>
  <c r="E1577" i="3"/>
  <c r="U1576" i="3"/>
  <c r="K1576" i="3"/>
  <c r="J1576" i="3"/>
  <c r="E1576" i="3"/>
  <c r="U1575" i="3"/>
  <c r="K1575" i="3"/>
  <c r="J1575" i="3"/>
  <c r="F1575" i="3"/>
  <c r="E1575" i="3"/>
  <c r="U1574" i="3"/>
  <c r="K1574" i="3"/>
  <c r="J1574" i="3"/>
  <c r="F1574" i="3"/>
  <c r="E1574" i="3"/>
  <c r="U1573" i="3"/>
  <c r="K1573" i="3"/>
  <c r="J1573" i="3"/>
  <c r="F1573" i="3"/>
  <c r="E1573" i="3"/>
  <c r="U1572" i="3"/>
  <c r="K1572" i="3"/>
  <c r="J1572" i="3"/>
  <c r="F1572" i="3"/>
  <c r="E1572" i="3"/>
  <c r="U1571" i="3"/>
  <c r="K1571" i="3"/>
  <c r="J1571" i="3"/>
  <c r="F1571" i="3"/>
  <c r="E1571" i="3"/>
  <c r="U1570" i="3"/>
  <c r="K1570" i="3"/>
  <c r="J1570" i="3"/>
  <c r="F1570" i="3"/>
  <c r="E1570" i="3"/>
  <c r="U1569" i="3"/>
  <c r="K1569" i="3"/>
  <c r="J1569" i="3"/>
  <c r="F1569" i="3"/>
  <c r="E1569" i="3"/>
  <c r="U1568" i="3"/>
  <c r="K1568" i="3"/>
  <c r="J1568" i="3"/>
  <c r="F1568" i="3"/>
  <c r="E1568" i="3"/>
  <c r="U1567" i="3"/>
  <c r="K1567" i="3"/>
  <c r="J1567" i="3"/>
  <c r="F1567" i="3"/>
  <c r="E1567" i="3"/>
  <c r="U1566" i="3"/>
  <c r="K1566" i="3"/>
  <c r="J1566" i="3"/>
  <c r="F1566" i="3"/>
  <c r="E1566" i="3"/>
  <c r="U1565" i="3"/>
  <c r="K1565" i="3"/>
  <c r="J1565" i="3"/>
  <c r="F1565" i="3"/>
  <c r="E1565" i="3"/>
  <c r="U1564" i="3"/>
  <c r="K1564" i="3"/>
  <c r="J1564" i="3"/>
  <c r="F1564" i="3"/>
  <c r="E1564" i="3"/>
  <c r="U1563" i="3"/>
  <c r="K1563" i="3"/>
  <c r="J1563" i="3"/>
  <c r="F1563" i="3"/>
  <c r="E1563" i="3"/>
  <c r="U1562" i="3"/>
  <c r="K1562" i="3"/>
  <c r="J1562" i="3"/>
  <c r="F1562" i="3"/>
  <c r="E1562" i="3"/>
  <c r="U1561" i="3"/>
  <c r="K1561" i="3"/>
  <c r="J1561" i="3"/>
  <c r="F1561" i="3"/>
  <c r="E1561" i="3"/>
  <c r="B1560" i="3"/>
  <c r="K1558" i="3"/>
  <c r="J1558" i="3"/>
  <c r="E1558" i="3"/>
  <c r="K1557" i="3"/>
  <c r="J1557" i="3"/>
  <c r="F1557" i="3"/>
  <c r="E1557" i="3"/>
  <c r="U1556" i="3"/>
  <c r="K1556" i="3"/>
  <c r="J1556" i="3"/>
  <c r="F1556" i="3"/>
  <c r="E1556" i="3"/>
  <c r="U1555" i="3"/>
  <c r="K1555" i="3"/>
  <c r="J1555" i="3"/>
  <c r="E1555" i="3"/>
  <c r="U1554" i="3"/>
  <c r="K1554" i="3"/>
  <c r="J1554" i="3"/>
  <c r="F1554" i="3"/>
  <c r="E1554" i="3"/>
  <c r="U1553" i="3"/>
  <c r="K1553" i="3"/>
  <c r="J1553" i="3"/>
  <c r="F1553" i="3"/>
  <c r="E1553" i="3"/>
  <c r="U1552" i="3"/>
  <c r="K1552" i="3"/>
  <c r="J1552" i="3"/>
  <c r="F1552" i="3"/>
  <c r="E1552" i="3"/>
  <c r="U1551" i="3"/>
  <c r="K1551" i="3"/>
  <c r="J1551" i="3"/>
  <c r="F1551" i="3"/>
  <c r="E1551" i="3"/>
  <c r="U1550" i="3"/>
  <c r="K1550" i="3"/>
  <c r="J1550" i="3"/>
  <c r="F1550" i="3"/>
  <c r="E1550" i="3"/>
  <c r="U1549" i="3"/>
  <c r="K1549" i="3"/>
  <c r="J1549" i="3"/>
  <c r="F1549" i="3"/>
  <c r="E1549" i="3"/>
  <c r="U1548" i="3"/>
  <c r="K1548" i="3"/>
  <c r="J1548" i="3"/>
  <c r="F1548" i="3"/>
  <c r="E1548" i="3"/>
  <c r="U1547" i="3"/>
  <c r="K1547" i="3"/>
  <c r="J1547" i="3"/>
  <c r="F1547" i="3"/>
  <c r="E1547" i="3"/>
  <c r="U1546" i="3"/>
  <c r="K1546" i="3"/>
  <c r="J1546" i="3"/>
  <c r="F1546" i="3"/>
  <c r="E1546" i="3"/>
  <c r="U1545" i="3"/>
  <c r="K1545" i="3"/>
  <c r="J1545" i="3"/>
  <c r="F1545" i="3"/>
  <c r="E1545" i="3"/>
  <c r="U1544" i="3"/>
  <c r="K1544" i="3"/>
  <c r="J1544" i="3"/>
  <c r="F1544" i="3"/>
  <c r="E1544" i="3"/>
  <c r="U1543" i="3"/>
  <c r="K1543" i="3"/>
  <c r="J1543" i="3"/>
  <c r="F1543" i="3"/>
  <c r="E1543" i="3"/>
  <c r="B1542" i="3"/>
  <c r="K1540" i="3"/>
  <c r="J1540" i="3"/>
  <c r="E1540" i="3"/>
  <c r="K1539" i="3"/>
  <c r="J1539" i="3"/>
  <c r="F1539" i="3"/>
  <c r="E1539" i="3"/>
  <c r="U1538" i="3"/>
  <c r="K1538" i="3"/>
  <c r="J1538" i="3"/>
  <c r="F1538" i="3"/>
  <c r="E1538" i="3"/>
  <c r="U1537" i="3"/>
  <c r="K1537" i="3"/>
  <c r="J1537" i="3"/>
  <c r="E1537" i="3"/>
  <c r="U1536" i="3"/>
  <c r="K1536" i="3"/>
  <c r="J1536" i="3"/>
  <c r="F1536" i="3"/>
  <c r="E1536" i="3"/>
  <c r="U1535" i="3"/>
  <c r="K1535" i="3"/>
  <c r="J1535" i="3"/>
  <c r="F1535" i="3"/>
  <c r="E1535" i="3"/>
  <c r="U1534" i="3"/>
  <c r="K1534" i="3"/>
  <c r="J1534" i="3"/>
  <c r="F1534" i="3"/>
  <c r="E1534" i="3"/>
  <c r="U1533" i="3"/>
  <c r="K1533" i="3"/>
  <c r="J1533" i="3"/>
  <c r="F1533" i="3"/>
  <c r="E1533" i="3"/>
  <c r="U1532" i="3"/>
  <c r="K1532" i="3"/>
  <c r="J1532" i="3"/>
  <c r="F1532" i="3"/>
  <c r="E1532" i="3"/>
  <c r="U1531" i="3"/>
  <c r="K1531" i="3"/>
  <c r="J1531" i="3"/>
  <c r="F1531" i="3"/>
  <c r="E1531" i="3"/>
  <c r="U1530" i="3"/>
  <c r="K1530" i="3"/>
  <c r="J1530" i="3"/>
  <c r="F1530" i="3"/>
  <c r="E1530" i="3"/>
  <c r="U1529" i="3"/>
  <c r="K1529" i="3"/>
  <c r="J1529" i="3"/>
  <c r="F1529" i="3"/>
  <c r="E1529" i="3"/>
  <c r="U1528" i="3"/>
  <c r="K1528" i="3"/>
  <c r="J1528" i="3"/>
  <c r="F1528" i="3"/>
  <c r="E1528" i="3"/>
  <c r="U1527" i="3"/>
  <c r="K1527" i="3"/>
  <c r="J1527" i="3"/>
  <c r="F1527" i="3"/>
  <c r="E1527" i="3"/>
  <c r="U1526" i="3"/>
  <c r="K1526" i="3"/>
  <c r="J1526" i="3"/>
  <c r="F1526" i="3"/>
  <c r="E1526" i="3"/>
  <c r="U1525" i="3"/>
  <c r="K1525" i="3"/>
  <c r="J1525" i="3"/>
  <c r="F1525" i="3"/>
  <c r="E1525" i="3"/>
  <c r="U1524" i="3"/>
  <c r="K1524" i="3"/>
  <c r="J1524" i="3"/>
  <c r="F1524" i="3"/>
  <c r="E1524" i="3"/>
  <c r="U1523" i="3"/>
  <c r="K1523" i="3"/>
  <c r="J1523" i="3"/>
  <c r="F1523" i="3"/>
  <c r="E1523" i="3"/>
  <c r="U1522" i="3"/>
  <c r="K1522" i="3"/>
  <c r="J1522" i="3"/>
  <c r="F1522" i="3"/>
  <c r="E1522" i="3"/>
  <c r="U1521" i="3"/>
  <c r="K1521" i="3"/>
  <c r="J1521" i="3"/>
  <c r="F1521" i="3"/>
  <c r="E1521" i="3"/>
  <c r="U1520" i="3"/>
  <c r="K1520" i="3"/>
  <c r="J1520" i="3"/>
  <c r="F1520" i="3"/>
  <c r="E1520" i="3"/>
  <c r="B1519" i="3"/>
  <c r="K1517" i="3"/>
  <c r="J1517" i="3"/>
  <c r="E1517" i="3"/>
  <c r="K1516" i="3"/>
  <c r="J1516" i="3"/>
  <c r="F1516" i="3"/>
  <c r="E1516" i="3"/>
  <c r="U1515" i="3"/>
  <c r="K1515" i="3"/>
  <c r="J1515" i="3"/>
  <c r="F1515" i="3"/>
  <c r="E1515" i="3"/>
  <c r="U1514" i="3"/>
  <c r="K1514" i="3"/>
  <c r="J1514" i="3"/>
  <c r="E1514" i="3"/>
  <c r="U1513" i="3"/>
  <c r="K1513" i="3"/>
  <c r="J1513" i="3"/>
  <c r="F1513" i="3"/>
  <c r="E1513" i="3"/>
  <c r="U1512" i="3"/>
  <c r="K1512" i="3"/>
  <c r="J1512" i="3"/>
  <c r="F1512" i="3"/>
  <c r="E1512" i="3"/>
  <c r="U1511" i="3"/>
  <c r="K1511" i="3"/>
  <c r="J1511" i="3"/>
  <c r="F1511" i="3"/>
  <c r="E1511" i="3"/>
  <c r="U1510" i="3"/>
  <c r="K1510" i="3"/>
  <c r="J1510" i="3"/>
  <c r="F1510" i="3"/>
  <c r="E1510" i="3"/>
  <c r="U1509" i="3"/>
  <c r="K1509" i="3"/>
  <c r="J1509" i="3"/>
  <c r="F1509" i="3"/>
  <c r="E1509" i="3"/>
  <c r="U1508" i="3"/>
  <c r="K1508" i="3"/>
  <c r="J1508" i="3"/>
  <c r="F1508" i="3"/>
  <c r="E1508" i="3"/>
  <c r="U1507" i="3"/>
  <c r="K1507" i="3"/>
  <c r="J1507" i="3"/>
  <c r="F1507" i="3"/>
  <c r="E1507" i="3"/>
  <c r="U1506" i="3"/>
  <c r="K1506" i="3"/>
  <c r="J1506" i="3"/>
  <c r="F1506" i="3"/>
  <c r="E1506" i="3"/>
  <c r="U1505" i="3"/>
  <c r="K1505" i="3"/>
  <c r="J1505" i="3"/>
  <c r="F1505" i="3"/>
  <c r="E1505" i="3"/>
  <c r="U1504" i="3"/>
  <c r="U1518" i="3" s="1"/>
  <c r="K1504" i="3"/>
  <c r="J1504" i="3"/>
  <c r="F1504" i="3"/>
  <c r="E1504" i="3"/>
  <c r="U1503" i="3"/>
  <c r="K1503" i="3"/>
  <c r="J1503" i="3"/>
  <c r="F1503" i="3"/>
  <c r="E1503" i="3"/>
  <c r="U1502" i="3"/>
  <c r="K1502" i="3"/>
  <c r="J1502" i="3"/>
  <c r="F1502" i="3"/>
  <c r="E1502" i="3"/>
  <c r="U1501" i="3"/>
  <c r="K1501" i="3"/>
  <c r="J1501" i="3"/>
  <c r="F1501" i="3"/>
  <c r="E1501" i="3"/>
  <c r="U1500" i="3"/>
  <c r="K1500" i="3"/>
  <c r="J1500" i="3"/>
  <c r="F1500" i="3"/>
  <c r="E1500" i="3"/>
  <c r="U1499" i="3"/>
  <c r="K1499" i="3"/>
  <c r="J1499" i="3"/>
  <c r="F1499" i="3"/>
  <c r="E1499" i="3"/>
  <c r="U1498" i="3"/>
  <c r="K1498" i="3"/>
  <c r="J1498" i="3"/>
  <c r="F1498" i="3"/>
  <c r="E1498" i="3"/>
  <c r="B1497" i="3"/>
  <c r="K1495" i="3"/>
  <c r="J1495" i="3"/>
  <c r="E1495" i="3"/>
  <c r="K1494" i="3"/>
  <c r="J1494" i="3"/>
  <c r="F1494" i="3"/>
  <c r="E1494" i="3"/>
  <c r="U1493" i="3"/>
  <c r="K1493" i="3"/>
  <c r="J1493" i="3"/>
  <c r="F1493" i="3"/>
  <c r="E1493" i="3"/>
  <c r="U1492" i="3"/>
  <c r="K1492" i="3"/>
  <c r="J1492" i="3"/>
  <c r="E1492" i="3"/>
  <c r="U1491" i="3"/>
  <c r="I1495" i="3" s="1"/>
  <c r="K1491" i="3"/>
  <c r="J1491" i="3"/>
  <c r="F1491" i="3"/>
  <c r="E1491" i="3"/>
  <c r="U1490" i="3"/>
  <c r="K1490" i="3"/>
  <c r="J1490" i="3"/>
  <c r="F1490" i="3"/>
  <c r="E1490" i="3"/>
  <c r="U1489" i="3"/>
  <c r="K1489" i="3"/>
  <c r="J1489" i="3"/>
  <c r="F1489" i="3"/>
  <c r="E1489" i="3"/>
  <c r="U1488" i="3"/>
  <c r="K1488" i="3"/>
  <c r="J1488" i="3"/>
  <c r="F1488" i="3"/>
  <c r="E1488" i="3"/>
  <c r="U1487" i="3"/>
  <c r="K1487" i="3"/>
  <c r="J1487" i="3"/>
  <c r="F1487" i="3"/>
  <c r="E1487" i="3"/>
  <c r="U1486" i="3"/>
  <c r="K1486" i="3"/>
  <c r="J1486" i="3"/>
  <c r="F1486" i="3"/>
  <c r="E1486" i="3"/>
  <c r="U1485" i="3"/>
  <c r="K1485" i="3"/>
  <c r="J1485" i="3"/>
  <c r="F1485" i="3"/>
  <c r="E1485" i="3"/>
  <c r="U1484" i="3"/>
  <c r="K1484" i="3"/>
  <c r="J1484" i="3"/>
  <c r="F1484" i="3"/>
  <c r="E1484" i="3"/>
  <c r="U1483" i="3"/>
  <c r="K1483" i="3"/>
  <c r="J1483" i="3"/>
  <c r="F1483" i="3"/>
  <c r="E1483" i="3"/>
  <c r="U1482" i="3"/>
  <c r="K1482" i="3"/>
  <c r="J1482" i="3"/>
  <c r="F1482" i="3"/>
  <c r="E1482" i="3"/>
  <c r="U1481" i="3"/>
  <c r="K1481" i="3"/>
  <c r="J1481" i="3"/>
  <c r="F1481" i="3"/>
  <c r="E1481" i="3"/>
  <c r="U1480" i="3"/>
  <c r="K1480" i="3"/>
  <c r="J1480" i="3"/>
  <c r="F1480" i="3"/>
  <c r="E1480" i="3"/>
  <c r="U1479" i="3"/>
  <c r="K1479" i="3"/>
  <c r="J1479" i="3"/>
  <c r="F1479" i="3"/>
  <c r="E1479" i="3"/>
  <c r="U1478" i="3"/>
  <c r="K1478" i="3"/>
  <c r="J1478" i="3"/>
  <c r="F1478" i="3"/>
  <c r="E1478" i="3"/>
  <c r="U1477" i="3"/>
  <c r="K1477" i="3"/>
  <c r="J1477" i="3"/>
  <c r="F1477" i="3"/>
  <c r="E1477" i="3"/>
  <c r="U1476" i="3"/>
  <c r="K1476" i="3"/>
  <c r="J1476" i="3"/>
  <c r="F1476" i="3"/>
  <c r="E1476" i="3"/>
  <c r="U1475" i="3"/>
  <c r="K1475" i="3"/>
  <c r="J1475" i="3"/>
  <c r="F1475" i="3"/>
  <c r="E1475" i="3"/>
  <c r="U1474" i="3"/>
  <c r="K1474" i="3"/>
  <c r="J1474" i="3"/>
  <c r="F1474" i="3"/>
  <c r="E1474" i="3"/>
  <c r="U1473" i="3"/>
  <c r="K1473" i="3"/>
  <c r="J1473" i="3"/>
  <c r="F1473" i="3"/>
  <c r="E1473" i="3"/>
  <c r="U1472" i="3"/>
  <c r="U1496" i="3" s="1"/>
  <c r="K1472" i="3"/>
  <c r="J1472" i="3"/>
  <c r="F1472" i="3"/>
  <c r="E1472" i="3"/>
  <c r="B1471" i="3"/>
  <c r="K1469" i="3"/>
  <c r="J1469" i="3"/>
  <c r="E1469" i="3"/>
  <c r="K1468" i="3"/>
  <c r="J1468" i="3"/>
  <c r="F1468" i="3"/>
  <c r="E1468" i="3"/>
  <c r="U1467" i="3"/>
  <c r="K1467" i="3"/>
  <c r="J1467" i="3"/>
  <c r="F1467" i="3"/>
  <c r="E1467" i="3"/>
  <c r="U1466" i="3"/>
  <c r="K1466" i="3"/>
  <c r="J1466" i="3"/>
  <c r="E1466" i="3"/>
  <c r="U1465" i="3"/>
  <c r="K1465" i="3"/>
  <c r="J1465" i="3"/>
  <c r="F1465" i="3"/>
  <c r="E1465" i="3"/>
  <c r="U1464" i="3"/>
  <c r="K1464" i="3"/>
  <c r="J1464" i="3"/>
  <c r="F1464" i="3"/>
  <c r="E1464" i="3"/>
  <c r="U1463" i="3"/>
  <c r="K1463" i="3"/>
  <c r="J1463" i="3"/>
  <c r="F1463" i="3"/>
  <c r="E1463" i="3"/>
  <c r="U1462" i="3"/>
  <c r="K1462" i="3"/>
  <c r="J1462" i="3"/>
  <c r="F1462" i="3"/>
  <c r="E1462" i="3"/>
  <c r="U1461" i="3"/>
  <c r="K1461" i="3"/>
  <c r="J1461" i="3"/>
  <c r="F1461" i="3"/>
  <c r="E1461" i="3"/>
  <c r="U1460" i="3"/>
  <c r="K1460" i="3"/>
  <c r="J1460" i="3"/>
  <c r="F1460" i="3"/>
  <c r="E1460" i="3"/>
  <c r="U1459" i="3"/>
  <c r="K1459" i="3"/>
  <c r="J1459" i="3"/>
  <c r="F1459" i="3"/>
  <c r="E1459" i="3"/>
  <c r="U1458" i="3"/>
  <c r="K1458" i="3"/>
  <c r="J1458" i="3"/>
  <c r="F1458" i="3"/>
  <c r="E1458" i="3"/>
  <c r="U1457" i="3"/>
  <c r="K1457" i="3"/>
  <c r="J1457" i="3"/>
  <c r="F1457" i="3"/>
  <c r="E1457" i="3"/>
  <c r="U1456" i="3"/>
  <c r="K1456" i="3"/>
  <c r="J1456" i="3"/>
  <c r="F1456" i="3"/>
  <c r="E1456" i="3"/>
  <c r="U1455" i="3"/>
  <c r="K1455" i="3"/>
  <c r="J1455" i="3"/>
  <c r="F1455" i="3"/>
  <c r="E1455" i="3"/>
  <c r="U1454" i="3"/>
  <c r="K1454" i="3"/>
  <c r="J1454" i="3"/>
  <c r="F1454" i="3"/>
  <c r="E1454" i="3"/>
  <c r="U1453" i="3"/>
  <c r="K1453" i="3"/>
  <c r="J1453" i="3"/>
  <c r="F1453" i="3"/>
  <c r="E1453" i="3"/>
  <c r="U1452" i="3"/>
  <c r="K1452" i="3"/>
  <c r="J1452" i="3"/>
  <c r="F1452" i="3"/>
  <c r="E1452" i="3"/>
  <c r="U1451" i="3"/>
  <c r="K1451" i="3"/>
  <c r="J1451" i="3"/>
  <c r="F1451" i="3"/>
  <c r="E1451" i="3"/>
  <c r="U1450" i="3"/>
  <c r="K1450" i="3"/>
  <c r="J1450" i="3"/>
  <c r="F1450" i="3"/>
  <c r="E1450" i="3"/>
  <c r="U1449" i="3"/>
  <c r="K1449" i="3"/>
  <c r="J1449" i="3"/>
  <c r="F1449" i="3"/>
  <c r="E1449" i="3"/>
  <c r="U1448" i="3"/>
  <c r="K1448" i="3"/>
  <c r="J1448" i="3"/>
  <c r="F1448" i="3"/>
  <c r="E1448" i="3"/>
  <c r="U1447" i="3"/>
  <c r="K1447" i="3"/>
  <c r="J1447" i="3"/>
  <c r="F1447" i="3"/>
  <c r="E1447" i="3"/>
  <c r="U1446" i="3"/>
  <c r="I1469" i="3" s="1"/>
  <c r="K1446" i="3"/>
  <c r="J1446" i="3"/>
  <c r="F1446" i="3"/>
  <c r="E1446" i="3"/>
  <c r="B1445" i="3"/>
  <c r="U1444" i="3"/>
  <c r="K1443" i="3"/>
  <c r="J1443" i="3"/>
  <c r="E1443" i="3"/>
  <c r="K1442" i="3"/>
  <c r="J1442" i="3"/>
  <c r="F1442" i="3"/>
  <c r="E1442" i="3"/>
  <c r="U1441" i="3"/>
  <c r="K1441" i="3"/>
  <c r="J1441" i="3"/>
  <c r="F1441" i="3"/>
  <c r="E1441" i="3"/>
  <c r="U1440" i="3"/>
  <c r="K1440" i="3"/>
  <c r="J1440" i="3"/>
  <c r="F1440" i="3"/>
  <c r="E1440" i="3"/>
  <c r="U1439" i="3"/>
  <c r="K1439" i="3"/>
  <c r="J1439" i="3"/>
  <c r="E1439" i="3"/>
  <c r="U1438" i="3"/>
  <c r="K1438" i="3"/>
  <c r="J1438" i="3"/>
  <c r="F1438" i="3"/>
  <c r="E1438" i="3"/>
  <c r="U1437" i="3"/>
  <c r="K1437" i="3"/>
  <c r="J1437" i="3"/>
  <c r="F1437" i="3"/>
  <c r="E1437" i="3"/>
  <c r="U1436" i="3"/>
  <c r="K1436" i="3"/>
  <c r="J1436" i="3"/>
  <c r="F1436" i="3"/>
  <c r="E1436" i="3"/>
  <c r="U1435" i="3"/>
  <c r="K1435" i="3"/>
  <c r="J1435" i="3"/>
  <c r="F1435" i="3"/>
  <c r="E1435" i="3"/>
  <c r="U1434" i="3"/>
  <c r="K1434" i="3"/>
  <c r="J1434" i="3"/>
  <c r="F1434" i="3"/>
  <c r="E1434" i="3"/>
  <c r="U1433" i="3"/>
  <c r="K1433" i="3"/>
  <c r="J1433" i="3"/>
  <c r="F1433" i="3"/>
  <c r="E1433" i="3"/>
  <c r="U1432" i="3"/>
  <c r="K1432" i="3"/>
  <c r="J1432" i="3"/>
  <c r="F1432" i="3"/>
  <c r="E1432" i="3"/>
  <c r="U1431" i="3"/>
  <c r="K1431" i="3"/>
  <c r="J1431" i="3"/>
  <c r="F1431" i="3"/>
  <c r="E1431" i="3"/>
  <c r="K1430" i="3"/>
  <c r="J1430" i="3"/>
  <c r="F1430" i="3"/>
  <c r="E1430" i="3"/>
  <c r="U1429" i="3"/>
  <c r="K1429" i="3"/>
  <c r="J1429" i="3"/>
  <c r="F1429" i="3"/>
  <c r="E1429" i="3"/>
  <c r="U1428" i="3"/>
  <c r="K1428" i="3"/>
  <c r="J1428" i="3"/>
  <c r="F1428" i="3"/>
  <c r="E1428" i="3"/>
  <c r="U1427" i="3"/>
  <c r="K1427" i="3"/>
  <c r="J1427" i="3"/>
  <c r="F1427" i="3"/>
  <c r="E1427" i="3"/>
  <c r="U1426" i="3"/>
  <c r="K1426" i="3"/>
  <c r="J1426" i="3"/>
  <c r="F1426" i="3"/>
  <c r="E1426" i="3"/>
  <c r="U1425" i="3"/>
  <c r="K1425" i="3"/>
  <c r="J1425" i="3"/>
  <c r="F1425" i="3"/>
  <c r="E1425" i="3"/>
  <c r="U1424" i="3"/>
  <c r="K1424" i="3"/>
  <c r="J1424" i="3"/>
  <c r="F1424" i="3"/>
  <c r="E1424" i="3"/>
  <c r="U1423" i="3"/>
  <c r="K1423" i="3"/>
  <c r="J1423" i="3"/>
  <c r="F1423" i="3"/>
  <c r="E1423" i="3"/>
  <c r="U1422" i="3"/>
  <c r="K1422" i="3"/>
  <c r="J1422" i="3"/>
  <c r="F1422" i="3"/>
  <c r="E1422" i="3"/>
  <c r="U1421" i="3"/>
  <c r="K1421" i="3"/>
  <c r="J1421" i="3"/>
  <c r="F1421" i="3"/>
  <c r="E1421" i="3"/>
  <c r="U1420" i="3"/>
  <c r="K1420" i="3"/>
  <c r="J1420" i="3"/>
  <c r="F1420" i="3"/>
  <c r="E1420" i="3"/>
  <c r="U1419" i="3"/>
  <c r="K1419" i="3"/>
  <c r="J1419" i="3"/>
  <c r="F1419" i="3"/>
  <c r="E1419" i="3"/>
  <c r="U1418" i="3"/>
  <c r="K1418" i="3"/>
  <c r="J1418" i="3"/>
  <c r="F1418" i="3"/>
  <c r="E1418" i="3"/>
  <c r="U1417" i="3"/>
  <c r="K1417" i="3"/>
  <c r="J1417" i="3"/>
  <c r="F1417" i="3"/>
  <c r="E1417" i="3"/>
  <c r="U1416" i="3"/>
  <c r="K1416" i="3"/>
  <c r="J1416" i="3"/>
  <c r="F1416" i="3"/>
  <c r="E1416" i="3"/>
  <c r="U1415" i="3"/>
  <c r="K1415" i="3"/>
  <c r="J1415" i="3"/>
  <c r="F1415" i="3"/>
  <c r="E1415" i="3"/>
  <c r="U1414" i="3"/>
  <c r="K1414" i="3"/>
  <c r="J1414" i="3"/>
  <c r="F1414" i="3"/>
  <c r="E1414" i="3"/>
  <c r="U1413" i="3"/>
  <c r="K1413" i="3"/>
  <c r="J1413" i="3"/>
  <c r="F1413" i="3"/>
  <c r="E1413" i="3"/>
  <c r="U1412" i="3"/>
  <c r="K1412" i="3"/>
  <c r="J1412" i="3"/>
  <c r="F1412" i="3"/>
  <c r="E1412" i="3"/>
  <c r="U1411" i="3"/>
  <c r="K1411" i="3"/>
  <c r="J1411" i="3"/>
  <c r="F1411" i="3"/>
  <c r="E1411" i="3"/>
  <c r="U1410" i="3"/>
  <c r="K1410" i="3"/>
  <c r="J1410" i="3"/>
  <c r="F1410" i="3"/>
  <c r="E1410" i="3"/>
  <c r="U1409" i="3"/>
  <c r="K1409" i="3"/>
  <c r="J1409" i="3"/>
  <c r="F1409" i="3"/>
  <c r="E1409" i="3"/>
  <c r="U1408" i="3"/>
  <c r="K1408" i="3"/>
  <c r="J1408" i="3"/>
  <c r="F1408" i="3"/>
  <c r="E1408" i="3"/>
  <c r="U1407" i="3"/>
  <c r="K1407" i="3"/>
  <c r="J1407" i="3"/>
  <c r="F1407" i="3"/>
  <c r="E1407" i="3"/>
  <c r="U1406" i="3"/>
  <c r="K1406" i="3"/>
  <c r="J1406" i="3"/>
  <c r="F1406" i="3"/>
  <c r="E1406" i="3"/>
  <c r="U1405" i="3"/>
  <c r="K1405" i="3"/>
  <c r="J1405" i="3"/>
  <c r="F1405" i="3"/>
  <c r="E1405" i="3"/>
  <c r="B1404" i="3"/>
  <c r="K1402" i="3"/>
  <c r="J1402" i="3"/>
  <c r="E1402" i="3"/>
  <c r="K1401" i="3"/>
  <c r="J1401" i="3"/>
  <c r="F1401" i="3"/>
  <c r="E1401" i="3"/>
  <c r="U1400" i="3"/>
  <c r="K1400" i="3"/>
  <c r="J1400" i="3"/>
  <c r="F1400" i="3"/>
  <c r="E1400" i="3"/>
  <c r="U1399" i="3"/>
  <c r="K1399" i="3"/>
  <c r="J1399" i="3"/>
  <c r="F1399" i="3"/>
  <c r="E1399" i="3"/>
  <c r="U1398" i="3"/>
  <c r="K1398" i="3"/>
  <c r="J1398" i="3"/>
  <c r="F1398" i="3"/>
  <c r="E1398" i="3"/>
  <c r="U1397" i="3"/>
  <c r="K1397" i="3"/>
  <c r="J1397" i="3"/>
  <c r="F1397" i="3"/>
  <c r="E1397" i="3"/>
  <c r="U1396" i="3"/>
  <c r="K1396" i="3"/>
  <c r="J1396" i="3"/>
  <c r="F1396" i="3"/>
  <c r="E1396" i="3"/>
  <c r="U1395" i="3"/>
  <c r="K1395" i="3"/>
  <c r="J1395" i="3"/>
  <c r="F1395" i="3"/>
  <c r="E1395" i="3"/>
  <c r="U1394" i="3"/>
  <c r="K1394" i="3"/>
  <c r="J1394" i="3"/>
  <c r="F1394" i="3"/>
  <c r="E1394" i="3"/>
  <c r="U1393" i="3"/>
  <c r="K1393" i="3"/>
  <c r="J1393" i="3"/>
  <c r="F1393" i="3"/>
  <c r="E1393" i="3"/>
  <c r="U1392" i="3"/>
  <c r="K1392" i="3"/>
  <c r="J1392" i="3"/>
  <c r="F1392" i="3"/>
  <c r="E1392" i="3"/>
  <c r="U1391" i="3"/>
  <c r="K1391" i="3"/>
  <c r="J1391" i="3"/>
  <c r="F1391" i="3"/>
  <c r="E1391" i="3"/>
  <c r="U1390" i="3"/>
  <c r="K1390" i="3"/>
  <c r="J1390" i="3"/>
  <c r="F1390" i="3"/>
  <c r="E1390" i="3"/>
  <c r="U1389" i="3"/>
  <c r="K1389" i="3"/>
  <c r="J1389" i="3"/>
  <c r="F1389" i="3"/>
  <c r="E1389" i="3"/>
  <c r="U1388" i="3"/>
  <c r="K1388" i="3"/>
  <c r="J1388" i="3"/>
  <c r="F1388" i="3"/>
  <c r="E1388" i="3"/>
  <c r="B1387" i="3"/>
  <c r="K1385" i="3"/>
  <c r="J1385" i="3"/>
  <c r="E1385" i="3"/>
  <c r="K1384" i="3"/>
  <c r="J1384" i="3"/>
  <c r="F1384" i="3"/>
  <c r="E1384" i="3"/>
  <c r="U1383" i="3"/>
  <c r="K1383" i="3"/>
  <c r="J1383" i="3"/>
  <c r="F1383" i="3"/>
  <c r="E1383" i="3"/>
  <c r="U1382" i="3"/>
  <c r="K1382" i="3"/>
  <c r="J1382" i="3"/>
  <c r="F1382" i="3"/>
  <c r="E1382" i="3"/>
  <c r="U1381" i="3"/>
  <c r="K1381" i="3"/>
  <c r="J1381" i="3"/>
  <c r="F1381" i="3"/>
  <c r="E1381" i="3"/>
  <c r="U1380" i="3"/>
  <c r="K1380" i="3"/>
  <c r="J1380" i="3"/>
  <c r="F1380" i="3"/>
  <c r="E1380" i="3"/>
  <c r="U1379" i="3"/>
  <c r="K1379" i="3"/>
  <c r="J1379" i="3"/>
  <c r="F1379" i="3"/>
  <c r="E1379" i="3"/>
  <c r="U1378" i="3"/>
  <c r="I1385" i="3" s="1"/>
  <c r="K1378" i="3"/>
  <c r="J1378" i="3"/>
  <c r="F1378" i="3"/>
  <c r="E1378" i="3"/>
  <c r="U1377" i="3"/>
  <c r="K1377" i="3"/>
  <c r="J1377" i="3"/>
  <c r="F1377" i="3"/>
  <c r="E1377" i="3"/>
  <c r="U1376" i="3"/>
  <c r="K1376" i="3"/>
  <c r="J1376" i="3"/>
  <c r="F1376" i="3"/>
  <c r="E1376" i="3"/>
  <c r="U1375" i="3"/>
  <c r="K1375" i="3"/>
  <c r="J1375" i="3"/>
  <c r="F1375" i="3"/>
  <c r="E1375" i="3"/>
  <c r="U1374" i="3"/>
  <c r="K1374" i="3"/>
  <c r="J1374" i="3"/>
  <c r="F1374" i="3"/>
  <c r="E1374" i="3"/>
  <c r="U1373" i="3"/>
  <c r="K1373" i="3"/>
  <c r="J1373" i="3"/>
  <c r="F1373" i="3"/>
  <c r="E1373" i="3"/>
  <c r="U1372" i="3"/>
  <c r="U1386" i="3" s="1"/>
  <c r="K1372" i="3"/>
  <c r="J1372" i="3"/>
  <c r="F1372" i="3"/>
  <c r="E1372" i="3"/>
  <c r="B1371" i="3"/>
  <c r="K1369" i="3"/>
  <c r="J1369" i="3"/>
  <c r="E1369" i="3"/>
  <c r="K1368" i="3"/>
  <c r="J1368" i="3"/>
  <c r="F1368" i="3"/>
  <c r="E1368" i="3"/>
  <c r="U1367" i="3"/>
  <c r="K1367" i="3"/>
  <c r="J1367" i="3"/>
  <c r="F1367" i="3"/>
  <c r="E1367" i="3"/>
  <c r="U1366" i="3"/>
  <c r="K1366" i="3"/>
  <c r="J1366" i="3"/>
  <c r="E1366" i="3"/>
  <c r="U1365" i="3"/>
  <c r="K1365" i="3"/>
  <c r="J1365" i="3"/>
  <c r="F1365" i="3"/>
  <c r="E1365" i="3"/>
  <c r="U1364" i="3"/>
  <c r="K1364" i="3"/>
  <c r="J1364" i="3"/>
  <c r="F1364" i="3"/>
  <c r="E1364" i="3"/>
  <c r="U1363" i="3"/>
  <c r="K1363" i="3"/>
  <c r="J1363" i="3"/>
  <c r="F1363" i="3"/>
  <c r="E1363" i="3"/>
  <c r="U1362" i="3"/>
  <c r="K1362" i="3"/>
  <c r="J1362" i="3"/>
  <c r="F1362" i="3"/>
  <c r="E1362" i="3"/>
  <c r="U1361" i="3"/>
  <c r="K1361" i="3"/>
  <c r="J1361" i="3"/>
  <c r="F1361" i="3"/>
  <c r="E1361" i="3"/>
  <c r="U1360" i="3"/>
  <c r="K1360" i="3"/>
  <c r="J1360" i="3"/>
  <c r="F1360" i="3"/>
  <c r="E1360" i="3"/>
  <c r="U1359" i="3"/>
  <c r="K1359" i="3"/>
  <c r="J1359" i="3"/>
  <c r="F1359" i="3"/>
  <c r="E1359" i="3"/>
  <c r="U1358" i="3"/>
  <c r="K1358" i="3"/>
  <c r="J1358" i="3"/>
  <c r="F1358" i="3"/>
  <c r="E1358" i="3"/>
  <c r="U1357" i="3"/>
  <c r="K1357" i="3"/>
  <c r="J1357" i="3"/>
  <c r="F1357" i="3"/>
  <c r="E1357" i="3"/>
  <c r="U1356" i="3"/>
  <c r="K1356" i="3"/>
  <c r="J1356" i="3"/>
  <c r="F1356" i="3"/>
  <c r="E1356" i="3"/>
  <c r="U1355" i="3"/>
  <c r="K1355" i="3"/>
  <c r="J1355" i="3"/>
  <c r="F1355" i="3"/>
  <c r="E1355" i="3"/>
  <c r="U1354" i="3"/>
  <c r="K1354" i="3"/>
  <c r="J1354" i="3"/>
  <c r="F1354" i="3"/>
  <c r="E1354" i="3"/>
  <c r="U1353" i="3"/>
  <c r="K1353" i="3"/>
  <c r="J1353" i="3"/>
  <c r="F1353" i="3"/>
  <c r="E1353" i="3"/>
  <c r="U1352" i="3"/>
  <c r="K1352" i="3"/>
  <c r="J1352" i="3"/>
  <c r="F1352" i="3"/>
  <c r="E1352" i="3"/>
  <c r="U1351" i="3"/>
  <c r="K1351" i="3"/>
  <c r="J1351" i="3"/>
  <c r="F1351" i="3"/>
  <c r="E1351" i="3"/>
  <c r="U1350" i="3"/>
  <c r="K1350" i="3"/>
  <c r="J1350" i="3"/>
  <c r="F1350" i="3"/>
  <c r="E1350" i="3"/>
  <c r="B1349" i="3"/>
  <c r="K1347" i="3"/>
  <c r="J1347" i="3"/>
  <c r="E1347" i="3"/>
  <c r="K1346" i="3"/>
  <c r="J1346" i="3"/>
  <c r="F1346" i="3"/>
  <c r="E1346" i="3"/>
  <c r="U1345" i="3"/>
  <c r="K1345" i="3"/>
  <c r="J1345" i="3"/>
  <c r="F1345" i="3"/>
  <c r="E1345" i="3"/>
  <c r="U1344" i="3"/>
  <c r="K1344" i="3"/>
  <c r="J1344" i="3"/>
  <c r="E1344" i="3"/>
  <c r="U1343" i="3"/>
  <c r="K1343" i="3"/>
  <c r="J1343" i="3"/>
  <c r="F1343" i="3"/>
  <c r="E1343" i="3"/>
  <c r="U1342" i="3"/>
  <c r="K1342" i="3"/>
  <c r="J1342" i="3"/>
  <c r="F1342" i="3"/>
  <c r="E1342" i="3"/>
  <c r="U1341" i="3"/>
  <c r="K1341" i="3"/>
  <c r="J1341" i="3"/>
  <c r="F1341" i="3"/>
  <c r="E1341" i="3"/>
  <c r="U1340" i="3"/>
  <c r="K1340" i="3"/>
  <c r="J1340" i="3"/>
  <c r="F1340" i="3"/>
  <c r="E1340" i="3"/>
  <c r="U1339" i="3"/>
  <c r="K1339" i="3"/>
  <c r="J1339" i="3"/>
  <c r="F1339" i="3"/>
  <c r="E1339" i="3"/>
  <c r="U1338" i="3"/>
  <c r="K1338" i="3"/>
  <c r="J1338" i="3"/>
  <c r="F1338" i="3"/>
  <c r="E1338" i="3"/>
  <c r="U1337" i="3"/>
  <c r="K1337" i="3"/>
  <c r="J1337" i="3"/>
  <c r="F1337" i="3"/>
  <c r="E1337" i="3"/>
  <c r="U1336" i="3"/>
  <c r="K1336" i="3"/>
  <c r="J1336" i="3"/>
  <c r="F1336" i="3"/>
  <c r="E1336" i="3"/>
  <c r="U1335" i="3"/>
  <c r="K1335" i="3"/>
  <c r="J1335" i="3"/>
  <c r="F1335" i="3"/>
  <c r="E1335" i="3"/>
  <c r="U1334" i="3"/>
  <c r="K1334" i="3"/>
  <c r="J1334" i="3"/>
  <c r="F1334" i="3"/>
  <c r="E1334" i="3"/>
  <c r="U1333" i="3"/>
  <c r="K1333" i="3"/>
  <c r="J1333" i="3"/>
  <c r="F1333" i="3"/>
  <c r="E1333" i="3"/>
  <c r="U1332" i="3"/>
  <c r="K1332" i="3"/>
  <c r="J1332" i="3"/>
  <c r="F1332" i="3"/>
  <c r="E1332" i="3"/>
  <c r="U1331" i="3"/>
  <c r="K1331" i="3"/>
  <c r="J1331" i="3"/>
  <c r="F1331" i="3"/>
  <c r="E1331" i="3"/>
  <c r="B1330" i="3"/>
  <c r="K1328" i="3"/>
  <c r="J1328" i="3"/>
  <c r="E1328" i="3"/>
  <c r="K1327" i="3"/>
  <c r="J1327" i="3"/>
  <c r="F1327" i="3"/>
  <c r="E1327" i="3"/>
  <c r="U1326" i="3"/>
  <c r="K1326" i="3"/>
  <c r="J1326" i="3"/>
  <c r="F1326" i="3"/>
  <c r="E1326" i="3"/>
  <c r="U1325" i="3"/>
  <c r="K1325" i="3"/>
  <c r="J1325" i="3"/>
  <c r="E1325" i="3"/>
  <c r="U1324" i="3"/>
  <c r="K1324" i="3"/>
  <c r="J1324" i="3"/>
  <c r="F1324" i="3"/>
  <c r="E1324" i="3"/>
  <c r="U1323" i="3"/>
  <c r="K1323" i="3"/>
  <c r="J1323" i="3"/>
  <c r="F1323" i="3"/>
  <c r="E1323" i="3"/>
  <c r="U1322" i="3"/>
  <c r="K1322" i="3"/>
  <c r="J1322" i="3"/>
  <c r="F1322" i="3"/>
  <c r="E1322" i="3"/>
  <c r="U1321" i="3"/>
  <c r="K1321" i="3"/>
  <c r="J1321" i="3"/>
  <c r="F1321" i="3"/>
  <c r="E1321" i="3"/>
  <c r="U1320" i="3"/>
  <c r="K1320" i="3"/>
  <c r="J1320" i="3"/>
  <c r="F1320" i="3"/>
  <c r="E1320" i="3"/>
  <c r="U1319" i="3"/>
  <c r="K1319" i="3"/>
  <c r="J1319" i="3"/>
  <c r="F1319" i="3"/>
  <c r="E1319" i="3"/>
  <c r="U1318" i="3"/>
  <c r="K1318" i="3"/>
  <c r="J1318" i="3"/>
  <c r="F1318" i="3"/>
  <c r="E1318" i="3"/>
  <c r="U1317" i="3"/>
  <c r="K1317" i="3"/>
  <c r="J1317" i="3"/>
  <c r="F1317" i="3"/>
  <c r="E1317" i="3"/>
  <c r="U1316" i="3"/>
  <c r="K1316" i="3"/>
  <c r="J1316" i="3"/>
  <c r="F1316" i="3"/>
  <c r="E1316" i="3"/>
  <c r="U1315" i="3"/>
  <c r="K1315" i="3"/>
  <c r="J1315" i="3"/>
  <c r="F1315" i="3"/>
  <c r="E1315" i="3"/>
  <c r="U1314" i="3"/>
  <c r="K1314" i="3"/>
  <c r="J1314" i="3"/>
  <c r="F1314" i="3"/>
  <c r="E1314" i="3"/>
  <c r="U1313" i="3"/>
  <c r="K1313" i="3"/>
  <c r="J1313" i="3"/>
  <c r="F1313" i="3"/>
  <c r="E1313" i="3"/>
  <c r="U1312" i="3"/>
  <c r="K1312" i="3"/>
  <c r="J1312" i="3"/>
  <c r="F1312" i="3"/>
  <c r="E1312" i="3"/>
  <c r="U1311" i="3"/>
  <c r="K1311" i="3"/>
  <c r="J1311" i="3"/>
  <c r="F1311" i="3"/>
  <c r="E1311" i="3"/>
  <c r="U1310" i="3"/>
  <c r="K1310" i="3"/>
  <c r="J1310" i="3"/>
  <c r="F1310" i="3"/>
  <c r="E1310" i="3"/>
  <c r="B1309" i="3"/>
  <c r="K1307" i="3"/>
  <c r="J1307" i="3"/>
  <c r="E1307" i="3"/>
  <c r="K1306" i="3"/>
  <c r="J1306" i="3"/>
  <c r="F1306" i="3"/>
  <c r="E1306" i="3"/>
  <c r="U1305" i="3"/>
  <c r="K1305" i="3"/>
  <c r="J1305" i="3"/>
  <c r="F1305" i="3"/>
  <c r="E1305" i="3"/>
  <c r="U1304" i="3"/>
  <c r="K1304" i="3"/>
  <c r="J1304" i="3"/>
  <c r="F1304" i="3"/>
  <c r="E1304" i="3"/>
  <c r="U1303" i="3"/>
  <c r="K1303" i="3"/>
  <c r="J1303" i="3"/>
  <c r="F1303" i="3"/>
  <c r="E1303" i="3"/>
  <c r="U1302" i="3"/>
  <c r="K1302" i="3"/>
  <c r="J1302" i="3"/>
  <c r="F1302" i="3"/>
  <c r="E1302" i="3"/>
  <c r="U1301" i="3"/>
  <c r="K1301" i="3"/>
  <c r="J1301" i="3"/>
  <c r="F1301" i="3"/>
  <c r="E1301" i="3"/>
  <c r="U1300" i="3"/>
  <c r="K1300" i="3"/>
  <c r="J1300" i="3"/>
  <c r="F1300" i="3"/>
  <c r="E1300" i="3"/>
  <c r="U1299" i="3"/>
  <c r="K1299" i="3"/>
  <c r="J1299" i="3"/>
  <c r="F1299" i="3"/>
  <c r="E1299" i="3"/>
  <c r="U1298" i="3"/>
  <c r="K1298" i="3"/>
  <c r="J1298" i="3"/>
  <c r="F1298" i="3"/>
  <c r="E1298" i="3"/>
  <c r="U1297" i="3"/>
  <c r="K1297" i="3"/>
  <c r="J1297" i="3"/>
  <c r="F1297" i="3"/>
  <c r="E1297" i="3"/>
  <c r="U1296" i="3"/>
  <c r="K1296" i="3"/>
  <c r="J1296" i="3"/>
  <c r="F1296" i="3"/>
  <c r="E1296" i="3"/>
  <c r="U1295" i="3"/>
  <c r="K1295" i="3"/>
  <c r="J1295" i="3"/>
  <c r="F1295" i="3"/>
  <c r="E1295" i="3"/>
  <c r="U1294" i="3"/>
  <c r="K1294" i="3"/>
  <c r="J1294" i="3"/>
  <c r="F1294" i="3"/>
  <c r="E1294" i="3"/>
  <c r="U1293" i="3"/>
  <c r="U1308" i="3" s="1"/>
  <c r="K1293" i="3"/>
  <c r="J1293" i="3"/>
  <c r="F1293" i="3"/>
  <c r="E1293" i="3"/>
  <c r="B1292" i="3"/>
  <c r="K1290" i="3"/>
  <c r="J1290" i="3"/>
  <c r="E1290" i="3"/>
  <c r="K1289" i="3"/>
  <c r="J1289" i="3"/>
  <c r="F1289" i="3"/>
  <c r="E1289" i="3"/>
  <c r="U1288" i="3"/>
  <c r="K1288" i="3"/>
  <c r="J1288" i="3"/>
  <c r="F1288" i="3"/>
  <c r="E1288" i="3"/>
  <c r="U1287" i="3"/>
  <c r="K1287" i="3"/>
  <c r="J1287" i="3"/>
  <c r="F1287" i="3"/>
  <c r="E1287" i="3"/>
  <c r="U1286" i="3"/>
  <c r="K1286" i="3"/>
  <c r="J1286" i="3"/>
  <c r="F1286" i="3"/>
  <c r="E1286" i="3"/>
  <c r="U1285" i="3"/>
  <c r="K1285" i="3"/>
  <c r="J1285" i="3"/>
  <c r="F1285" i="3"/>
  <c r="E1285" i="3"/>
  <c r="U1284" i="3"/>
  <c r="K1284" i="3"/>
  <c r="J1284" i="3"/>
  <c r="F1284" i="3"/>
  <c r="E1284" i="3"/>
  <c r="U1283" i="3"/>
  <c r="K1283" i="3"/>
  <c r="J1283" i="3"/>
  <c r="F1283" i="3"/>
  <c r="E1283" i="3"/>
  <c r="U1282" i="3"/>
  <c r="K1282" i="3"/>
  <c r="J1282" i="3"/>
  <c r="F1282" i="3"/>
  <c r="E1282" i="3"/>
  <c r="U1281" i="3"/>
  <c r="K1281" i="3"/>
  <c r="J1281" i="3"/>
  <c r="F1281" i="3"/>
  <c r="E1281" i="3"/>
  <c r="U1280" i="3"/>
  <c r="K1280" i="3"/>
  <c r="J1280" i="3"/>
  <c r="F1280" i="3"/>
  <c r="E1280" i="3"/>
  <c r="B1279" i="3"/>
  <c r="K1277" i="3"/>
  <c r="J1277" i="3"/>
  <c r="E1277" i="3"/>
  <c r="K1276" i="3"/>
  <c r="J1276" i="3"/>
  <c r="F1276" i="3"/>
  <c r="E1276" i="3"/>
  <c r="U1275" i="3"/>
  <c r="K1275" i="3"/>
  <c r="J1275" i="3"/>
  <c r="F1275" i="3"/>
  <c r="E1275" i="3"/>
  <c r="U1274" i="3"/>
  <c r="K1274" i="3"/>
  <c r="J1274" i="3"/>
  <c r="F1274" i="3"/>
  <c r="E1274" i="3"/>
  <c r="U1273" i="3"/>
  <c r="K1273" i="3"/>
  <c r="J1273" i="3"/>
  <c r="F1273" i="3"/>
  <c r="E1273" i="3"/>
  <c r="U1272" i="3"/>
  <c r="K1272" i="3"/>
  <c r="J1272" i="3"/>
  <c r="F1272" i="3"/>
  <c r="E1272" i="3"/>
  <c r="U1271" i="3"/>
  <c r="K1271" i="3"/>
  <c r="J1271" i="3"/>
  <c r="F1271" i="3"/>
  <c r="E1271" i="3"/>
  <c r="U1270" i="3"/>
  <c r="K1270" i="3"/>
  <c r="J1270" i="3"/>
  <c r="F1270" i="3"/>
  <c r="E1270" i="3"/>
  <c r="U1269" i="3"/>
  <c r="K1269" i="3"/>
  <c r="J1269" i="3"/>
  <c r="F1269" i="3"/>
  <c r="E1269" i="3"/>
  <c r="U1268" i="3"/>
  <c r="K1268" i="3"/>
  <c r="J1268" i="3"/>
  <c r="F1268" i="3"/>
  <c r="E1268" i="3"/>
  <c r="U1267" i="3"/>
  <c r="K1267" i="3"/>
  <c r="J1267" i="3"/>
  <c r="F1267" i="3"/>
  <c r="E1267" i="3"/>
  <c r="U1266" i="3"/>
  <c r="K1266" i="3"/>
  <c r="J1266" i="3"/>
  <c r="F1266" i="3"/>
  <c r="E1266" i="3"/>
  <c r="U1265" i="3"/>
  <c r="K1265" i="3"/>
  <c r="J1265" i="3"/>
  <c r="F1265" i="3"/>
  <c r="E1265" i="3"/>
  <c r="U1264" i="3"/>
  <c r="K1264" i="3"/>
  <c r="J1264" i="3"/>
  <c r="F1264" i="3"/>
  <c r="E1264" i="3"/>
  <c r="B1263" i="3"/>
  <c r="K1261" i="3"/>
  <c r="J1261" i="3"/>
  <c r="E1261" i="3"/>
  <c r="K1260" i="3"/>
  <c r="J1260" i="3"/>
  <c r="F1260" i="3"/>
  <c r="E1260" i="3"/>
  <c r="U1259" i="3"/>
  <c r="K1259" i="3"/>
  <c r="J1259" i="3"/>
  <c r="F1259" i="3"/>
  <c r="E1259" i="3"/>
  <c r="U1258" i="3"/>
  <c r="K1258" i="3"/>
  <c r="J1258" i="3"/>
  <c r="F1258" i="3"/>
  <c r="E1258" i="3"/>
  <c r="U1257" i="3"/>
  <c r="K1257" i="3"/>
  <c r="J1257" i="3"/>
  <c r="F1257" i="3"/>
  <c r="E1257" i="3"/>
  <c r="U1256" i="3"/>
  <c r="K1256" i="3"/>
  <c r="J1256" i="3"/>
  <c r="F1256" i="3"/>
  <c r="E1256" i="3"/>
  <c r="U1255" i="3"/>
  <c r="K1255" i="3"/>
  <c r="J1255" i="3"/>
  <c r="F1255" i="3"/>
  <c r="E1255" i="3"/>
  <c r="U1254" i="3"/>
  <c r="K1254" i="3"/>
  <c r="J1254" i="3"/>
  <c r="F1254" i="3"/>
  <c r="E1254" i="3"/>
  <c r="U1253" i="3"/>
  <c r="I1261" i="3" s="1"/>
  <c r="K1253" i="3"/>
  <c r="J1253" i="3"/>
  <c r="F1253" i="3"/>
  <c r="E1253" i="3"/>
  <c r="U1252" i="3"/>
  <c r="U1262" i="3" s="1"/>
  <c r="K1252" i="3"/>
  <c r="J1252" i="3"/>
  <c r="F1252" i="3"/>
  <c r="E1252" i="3"/>
  <c r="B1251" i="3"/>
  <c r="K1249" i="3"/>
  <c r="J1249" i="3"/>
  <c r="E1249" i="3"/>
  <c r="K1248" i="3"/>
  <c r="J1248" i="3"/>
  <c r="F1248" i="3"/>
  <c r="E1248" i="3"/>
  <c r="U1247" i="3"/>
  <c r="K1247" i="3"/>
  <c r="J1247" i="3"/>
  <c r="F1247" i="3"/>
  <c r="E1247" i="3"/>
  <c r="U1246" i="3"/>
  <c r="K1246" i="3"/>
  <c r="J1246" i="3"/>
  <c r="F1246" i="3"/>
  <c r="E1246" i="3"/>
  <c r="U1245" i="3"/>
  <c r="K1245" i="3"/>
  <c r="J1245" i="3"/>
  <c r="F1245" i="3"/>
  <c r="E1245" i="3"/>
  <c r="U1244" i="3"/>
  <c r="K1244" i="3"/>
  <c r="J1244" i="3"/>
  <c r="F1244" i="3"/>
  <c r="E1244" i="3"/>
  <c r="U1243" i="3"/>
  <c r="K1243" i="3"/>
  <c r="J1243" i="3"/>
  <c r="F1243" i="3"/>
  <c r="E1243" i="3"/>
  <c r="U1242" i="3"/>
  <c r="K1242" i="3"/>
  <c r="J1242" i="3"/>
  <c r="F1242" i="3"/>
  <c r="E1242" i="3"/>
  <c r="U1241" i="3"/>
  <c r="K1241" i="3"/>
  <c r="J1241" i="3"/>
  <c r="F1241" i="3"/>
  <c r="E1241" i="3"/>
  <c r="U1240" i="3"/>
  <c r="K1240" i="3"/>
  <c r="J1240" i="3"/>
  <c r="F1240" i="3"/>
  <c r="E1240" i="3"/>
  <c r="U1239" i="3"/>
  <c r="K1239" i="3"/>
  <c r="J1239" i="3"/>
  <c r="F1239" i="3"/>
  <c r="E1239" i="3"/>
  <c r="U1238" i="3"/>
  <c r="I1249" i="3" s="1"/>
  <c r="K1238" i="3"/>
  <c r="J1238" i="3"/>
  <c r="F1238" i="3"/>
  <c r="E1238" i="3"/>
  <c r="U1237" i="3"/>
  <c r="K1237" i="3"/>
  <c r="J1237" i="3"/>
  <c r="F1237" i="3"/>
  <c r="E1237" i="3"/>
  <c r="U1236" i="3"/>
  <c r="K1236" i="3"/>
  <c r="J1236" i="3"/>
  <c r="F1236" i="3"/>
  <c r="E1236" i="3"/>
  <c r="B1235" i="3"/>
  <c r="K1233" i="3"/>
  <c r="J1233" i="3"/>
  <c r="E1233" i="3"/>
  <c r="K1232" i="3"/>
  <c r="J1232" i="3"/>
  <c r="F1232" i="3"/>
  <c r="E1232" i="3"/>
  <c r="U1231" i="3"/>
  <c r="K1231" i="3"/>
  <c r="J1231" i="3"/>
  <c r="F1231" i="3"/>
  <c r="E1231" i="3"/>
  <c r="U1230" i="3"/>
  <c r="K1230" i="3"/>
  <c r="J1230" i="3"/>
  <c r="F1230" i="3"/>
  <c r="E1230" i="3"/>
  <c r="U1229" i="3"/>
  <c r="K1229" i="3"/>
  <c r="J1229" i="3"/>
  <c r="F1229" i="3"/>
  <c r="E1229" i="3"/>
  <c r="U1228" i="3"/>
  <c r="K1228" i="3"/>
  <c r="J1228" i="3"/>
  <c r="F1228" i="3"/>
  <c r="E1228" i="3"/>
  <c r="U1227" i="3"/>
  <c r="K1227" i="3"/>
  <c r="J1227" i="3"/>
  <c r="F1227" i="3"/>
  <c r="E1227" i="3"/>
  <c r="U1226" i="3"/>
  <c r="K1226" i="3"/>
  <c r="J1226" i="3"/>
  <c r="F1226" i="3"/>
  <c r="E1226" i="3"/>
  <c r="U1225" i="3"/>
  <c r="K1225" i="3"/>
  <c r="J1225" i="3"/>
  <c r="F1225" i="3"/>
  <c r="E1225" i="3"/>
  <c r="U1224" i="3"/>
  <c r="K1224" i="3"/>
  <c r="J1224" i="3"/>
  <c r="F1224" i="3"/>
  <c r="E1224" i="3"/>
  <c r="U1223" i="3"/>
  <c r="K1223" i="3"/>
  <c r="J1223" i="3"/>
  <c r="F1223" i="3"/>
  <c r="E1223" i="3"/>
  <c r="U1222" i="3"/>
  <c r="K1222" i="3"/>
  <c r="J1222" i="3"/>
  <c r="F1222" i="3"/>
  <c r="E1222" i="3"/>
  <c r="U1221" i="3"/>
  <c r="K1221" i="3"/>
  <c r="J1221" i="3"/>
  <c r="F1221" i="3"/>
  <c r="E1221" i="3"/>
  <c r="U1220" i="3"/>
  <c r="K1220" i="3"/>
  <c r="J1220" i="3"/>
  <c r="F1220" i="3"/>
  <c r="E1220" i="3"/>
  <c r="B1219" i="3"/>
  <c r="U1218" i="3"/>
  <c r="K1217" i="3"/>
  <c r="J1217" i="3"/>
  <c r="E1217" i="3"/>
  <c r="K1216" i="3"/>
  <c r="J1216" i="3"/>
  <c r="F1216" i="3"/>
  <c r="E1216" i="3"/>
  <c r="U1215" i="3"/>
  <c r="K1215" i="3"/>
  <c r="J1215" i="3"/>
  <c r="F1215" i="3"/>
  <c r="E1215" i="3"/>
  <c r="U1214" i="3"/>
  <c r="K1214" i="3"/>
  <c r="J1214" i="3"/>
  <c r="F1214" i="3"/>
  <c r="E1214" i="3"/>
  <c r="U1213" i="3"/>
  <c r="K1213" i="3"/>
  <c r="J1213" i="3"/>
  <c r="F1213" i="3"/>
  <c r="E1213" i="3"/>
  <c r="U1212" i="3"/>
  <c r="K1212" i="3"/>
  <c r="J1212" i="3"/>
  <c r="F1212" i="3"/>
  <c r="E1212" i="3"/>
  <c r="U1211" i="3"/>
  <c r="K1211" i="3"/>
  <c r="J1211" i="3"/>
  <c r="F1211" i="3"/>
  <c r="E1211" i="3"/>
  <c r="U1210" i="3"/>
  <c r="K1210" i="3"/>
  <c r="J1210" i="3"/>
  <c r="F1210" i="3"/>
  <c r="E1210" i="3"/>
  <c r="U1209" i="3"/>
  <c r="K1209" i="3"/>
  <c r="J1209" i="3"/>
  <c r="F1209" i="3"/>
  <c r="E1209" i="3"/>
  <c r="U1208" i="3"/>
  <c r="K1208" i="3"/>
  <c r="J1208" i="3"/>
  <c r="F1208" i="3"/>
  <c r="E1208" i="3"/>
  <c r="U1207" i="3"/>
  <c r="K1207" i="3"/>
  <c r="J1207" i="3"/>
  <c r="F1207" i="3"/>
  <c r="E1207" i="3"/>
  <c r="U1206" i="3"/>
  <c r="K1206" i="3"/>
  <c r="J1206" i="3"/>
  <c r="F1206" i="3"/>
  <c r="E1206" i="3"/>
  <c r="U1205" i="3"/>
  <c r="K1205" i="3"/>
  <c r="J1205" i="3"/>
  <c r="F1205" i="3"/>
  <c r="E1205" i="3"/>
  <c r="U1204" i="3"/>
  <c r="K1204" i="3"/>
  <c r="J1204" i="3"/>
  <c r="F1204" i="3"/>
  <c r="E1204" i="3"/>
  <c r="B1203" i="3"/>
  <c r="K1201" i="3"/>
  <c r="J1201" i="3"/>
  <c r="E1201" i="3"/>
  <c r="K1200" i="3"/>
  <c r="J1200" i="3"/>
  <c r="F1200" i="3"/>
  <c r="E1200" i="3"/>
  <c r="U1199" i="3"/>
  <c r="K1199" i="3"/>
  <c r="J1199" i="3"/>
  <c r="F1199" i="3"/>
  <c r="E1199" i="3"/>
  <c r="U1198" i="3"/>
  <c r="K1198" i="3"/>
  <c r="J1198" i="3"/>
  <c r="F1198" i="3"/>
  <c r="E1198" i="3"/>
  <c r="U1197" i="3"/>
  <c r="K1197" i="3"/>
  <c r="J1197" i="3"/>
  <c r="F1197" i="3"/>
  <c r="E1197" i="3"/>
  <c r="U1196" i="3"/>
  <c r="K1196" i="3"/>
  <c r="J1196" i="3"/>
  <c r="F1196" i="3"/>
  <c r="E1196" i="3"/>
  <c r="U1195" i="3"/>
  <c r="K1195" i="3"/>
  <c r="J1195" i="3"/>
  <c r="F1195" i="3"/>
  <c r="E1195" i="3"/>
  <c r="U1194" i="3"/>
  <c r="K1194" i="3"/>
  <c r="J1194" i="3"/>
  <c r="F1194" i="3"/>
  <c r="E1194" i="3"/>
  <c r="U1193" i="3"/>
  <c r="K1193" i="3"/>
  <c r="J1193" i="3"/>
  <c r="F1193" i="3"/>
  <c r="E1193" i="3"/>
  <c r="U1192" i="3"/>
  <c r="U1202" i="3" s="1"/>
  <c r="K1192" i="3"/>
  <c r="J1192" i="3"/>
  <c r="F1192" i="3"/>
  <c r="E1192" i="3"/>
  <c r="U1191" i="3"/>
  <c r="I1201" i="3" s="1"/>
  <c r="G75" i="4" s="1"/>
  <c r="H75" i="4" s="1"/>
  <c r="K1191" i="3"/>
  <c r="J1191" i="3"/>
  <c r="F1191" i="3"/>
  <c r="E1191" i="3"/>
  <c r="B1190" i="3"/>
  <c r="U1189" i="3"/>
  <c r="K1188" i="3"/>
  <c r="J1188" i="3"/>
  <c r="E1188" i="3"/>
  <c r="K1187" i="3"/>
  <c r="J1187" i="3"/>
  <c r="F1187" i="3"/>
  <c r="E1187" i="3"/>
  <c r="U1186" i="3"/>
  <c r="K1186" i="3"/>
  <c r="J1186" i="3"/>
  <c r="F1186" i="3"/>
  <c r="E1186" i="3"/>
  <c r="U1185" i="3"/>
  <c r="K1185" i="3"/>
  <c r="J1185" i="3"/>
  <c r="F1185" i="3"/>
  <c r="E1185" i="3"/>
  <c r="U1184" i="3"/>
  <c r="K1184" i="3"/>
  <c r="J1184" i="3"/>
  <c r="F1184" i="3"/>
  <c r="E1184" i="3"/>
  <c r="U1183" i="3"/>
  <c r="K1183" i="3"/>
  <c r="J1183" i="3"/>
  <c r="F1183" i="3"/>
  <c r="E1183" i="3"/>
  <c r="U1182" i="3"/>
  <c r="K1182" i="3"/>
  <c r="J1182" i="3"/>
  <c r="F1182" i="3"/>
  <c r="E1182" i="3"/>
  <c r="U1181" i="3"/>
  <c r="K1181" i="3"/>
  <c r="J1181" i="3"/>
  <c r="F1181" i="3"/>
  <c r="E1181" i="3"/>
  <c r="U1180" i="3"/>
  <c r="K1180" i="3"/>
  <c r="J1180" i="3"/>
  <c r="F1180" i="3"/>
  <c r="E1180" i="3"/>
  <c r="U1179" i="3"/>
  <c r="K1179" i="3"/>
  <c r="J1179" i="3"/>
  <c r="F1179" i="3"/>
  <c r="E1179" i="3"/>
  <c r="U1178" i="3"/>
  <c r="K1178" i="3"/>
  <c r="J1178" i="3"/>
  <c r="F1178" i="3"/>
  <c r="E1178" i="3"/>
  <c r="U1177" i="3"/>
  <c r="I1188" i="3" s="1"/>
  <c r="K1177" i="3"/>
  <c r="J1177" i="3"/>
  <c r="F1177" i="3"/>
  <c r="E1177" i="3"/>
  <c r="U1176" i="3"/>
  <c r="K1176" i="3"/>
  <c r="J1176" i="3"/>
  <c r="F1176" i="3"/>
  <c r="E1176" i="3"/>
  <c r="U1175" i="3"/>
  <c r="K1175" i="3"/>
  <c r="J1175" i="3"/>
  <c r="F1175" i="3"/>
  <c r="E1175" i="3"/>
  <c r="B1174" i="3"/>
  <c r="U1173" i="3"/>
  <c r="K1172" i="3"/>
  <c r="J1172" i="3"/>
  <c r="E1172" i="3"/>
  <c r="K1171" i="3"/>
  <c r="J1171" i="3"/>
  <c r="F1171" i="3"/>
  <c r="E1171" i="3"/>
  <c r="U1170" i="3"/>
  <c r="I1172" i="3" s="1"/>
  <c r="K1170" i="3"/>
  <c r="J1170" i="3"/>
  <c r="F1170" i="3"/>
  <c r="E1170" i="3"/>
  <c r="U1169" i="3"/>
  <c r="K1169" i="3"/>
  <c r="J1169" i="3"/>
  <c r="F1169" i="3"/>
  <c r="E1169" i="3"/>
  <c r="U1168" i="3"/>
  <c r="K1168" i="3"/>
  <c r="J1168" i="3"/>
  <c r="F1168" i="3"/>
  <c r="E1168" i="3"/>
  <c r="U1167" i="3"/>
  <c r="K1167" i="3"/>
  <c r="J1167" i="3"/>
  <c r="F1167" i="3"/>
  <c r="E1167" i="3"/>
  <c r="U1166" i="3"/>
  <c r="K1166" i="3"/>
  <c r="J1166" i="3"/>
  <c r="F1166" i="3"/>
  <c r="E1166" i="3"/>
  <c r="U1165" i="3"/>
  <c r="K1165" i="3"/>
  <c r="J1165" i="3"/>
  <c r="F1165" i="3"/>
  <c r="E1165" i="3"/>
  <c r="U1164" i="3"/>
  <c r="K1164" i="3"/>
  <c r="J1164" i="3"/>
  <c r="F1164" i="3"/>
  <c r="E1164" i="3"/>
  <c r="U1163" i="3"/>
  <c r="K1163" i="3"/>
  <c r="J1163" i="3"/>
  <c r="F1163" i="3"/>
  <c r="E1163" i="3"/>
  <c r="U1162" i="3"/>
  <c r="K1162" i="3"/>
  <c r="J1162" i="3"/>
  <c r="F1162" i="3"/>
  <c r="E1162" i="3"/>
  <c r="U1161" i="3"/>
  <c r="K1161" i="3"/>
  <c r="J1161" i="3"/>
  <c r="F1161" i="3"/>
  <c r="E1161" i="3"/>
  <c r="U1160" i="3"/>
  <c r="K1160" i="3"/>
  <c r="J1160" i="3"/>
  <c r="F1160" i="3"/>
  <c r="E1160" i="3"/>
  <c r="U1159" i="3"/>
  <c r="K1159" i="3"/>
  <c r="J1159" i="3"/>
  <c r="F1159" i="3"/>
  <c r="E1159" i="3"/>
  <c r="B1158" i="3"/>
  <c r="K1156" i="3"/>
  <c r="J1156" i="3"/>
  <c r="E1156" i="3"/>
  <c r="K1155" i="3"/>
  <c r="J1155" i="3"/>
  <c r="F1155" i="3"/>
  <c r="E1155" i="3"/>
  <c r="U1154" i="3"/>
  <c r="K1154" i="3"/>
  <c r="J1154" i="3"/>
  <c r="F1154" i="3"/>
  <c r="E1154" i="3"/>
  <c r="U1153" i="3"/>
  <c r="K1153" i="3"/>
  <c r="J1153" i="3"/>
  <c r="F1153" i="3"/>
  <c r="E1153" i="3"/>
  <c r="U1152" i="3"/>
  <c r="K1152" i="3"/>
  <c r="J1152" i="3"/>
  <c r="F1152" i="3"/>
  <c r="E1152" i="3"/>
  <c r="U1151" i="3"/>
  <c r="K1151" i="3"/>
  <c r="J1151" i="3"/>
  <c r="F1151" i="3"/>
  <c r="E1151" i="3"/>
  <c r="U1150" i="3"/>
  <c r="K1150" i="3"/>
  <c r="J1150" i="3"/>
  <c r="F1150" i="3"/>
  <c r="E1150" i="3"/>
  <c r="U1149" i="3"/>
  <c r="K1149" i="3"/>
  <c r="J1149" i="3"/>
  <c r="F1149" i="3"/>
  <c r="E1149" i="3"/>
  <c r="U1148" i="3"/>
  <c r="K1148" i="3"/>
  <c r="J1148" i="3"/>
  <c r="F1148" i="3"/>
  <c r="E1148" i="3"/>
  <c r="U1147" i="3"/>
  <c r="K1147" i="3"/>
  <c r="J1147" i="3"/>
  <c r="F1147" i="3"/>
  <c r="E1147" i="3"/>
  <c r="U1146" i="3"/>
  <c r="K1146" i="3"/>
  <c r="J1146" i="3"/>
  <c r="F1146" i="3"/>
  <c r="E1146" i="3"/>
  <c r="U1145" i="3"/>
  <c r="K1145" i="3"/>
  <c r="J1145" i="3"/>
  <c r="F1145" i="3"/>
  <c r="E1145" i="3"/>
  <c r="U1144" i="3"/>
  <c r="K1144" i="3"/>
  <c r="J1144" i="3"/>
  <c r="F1144" i="3"/>
  <c r="E1144" i="3"/>
  <c r="U1143" i="3"/>
  <c r="K1143" i="3"/>
  <c r="J1143" i="3"/>
  <c r="F1143" i="3"/>
  <c r="E1143" i="3"/>
  <c r="B1142" i="3"/>
  <c r="K1140" i="3"/>
  <c r="J1140" i="3"/>
  <c r="E1140" i="3"/>
  <c r="K1139" i="3"/>
  <c r="J1139" i="3"/>
  <c r="F1139" i="3"/>
  <c r="E1139" i="3"/>
  <c r="U1138" i="3"/>
  <c r="K1138" i="3"/>
  <c r="J1138" i="3"/>
  <c r="F1138" i="3"/>
  <c r="E1138" i="3"/>
  <c r="U1137" i="3"/>
  <c r="K1137" i="3"/>
  <c r="J1137" i="3"/>
  <c r="F1137" i="3"/>
  <c r="E1137" i="3"/>
  <c r="U1136" i="3"/>
  <c r="K1136" i="3"/>
  <c r="J1136" i="3"/>
  <c r="F1136" i="3"/>
  <c r="E1136" i="3"/>
  <c r="U1135" i="3"/>
  <c r="K1135" i="3"/>
  <c r="J1135" i="3"/>
  <c r="F1135" i="3"/>
  <c r="E1135" i="3"/>
  <c r="U1134" i="3"/>
  <c r="K1134" i="3"/>
  <c r="J1134" i="3"/>
  <c r="F1134" i="3"/>
  <c r="E1134" i="3"/>
  <c r="U1133" i="3"/>
  <c r="K1133" i="3"/>
  <c r="J1133" i="3"/>
  <c r="F1133" i="3"/>
  <c r="E1133" i="3"/>
  <c r="U1132" i="3"/>
  <c r="K1132" i="3"/>
  <c r="J1132" i="3"/>
  <c r="F1132" i="3"/>
  <c r="E1132" i="3"/>
  <c r="U1131" i="3"/>
  <c r="K1131" i="3"/>
  <c r="J1131" i="3"/>
  <c r="F1131" i="3"/>
  <c r="E1131" i="3"/>
  <c r="U1130" i="3"/>
  <c r="K1130" i="3"/>
  <c r="J1130" i="3"/>
  <c r="F1130" i="3"/>
  <c r="E1130" i="3"/>
  <c r="U1129" i="3"/>
  <c r="K1129" i="3"/>
  <c r="J1129" i="3"/>
  <c r="F1129" i="3"/>
  <c r="E1129" i="3"/>
  <c r="U1128" i="3"/>
  <c r="K1128" i="3"/>
  <c r="J1128" i="3"/>
  <c r="F1128" i="3"/>
  <c r="E1128" i="3"/>
  <c r="U1127" i="3"/>
  <c r="K1127" i="3"/>
  <c r="J1127" i="3"/>
  <c r="F1127" i="3"/>
  <c r="E1127" i="3"/>
  <c r="B1126" i="3"/>
  <c r="K1124" i="3"/>
  <c r="J1124" i="3"/>
  <c r="I1124" i="3"/>
  <c r="E1124" i="3"/>
  <c r="K1123" i="3"/>
  <c r="J1123" i="3"/>
  <c r="F1123" i="3"/>
  <c r="E1123" i="3"/>
  <c r="U1122" i="3"/>
  <c r="K1122" i="3"/>
  <c r="J1122" i="3"/>
  <c r="F1122" i="3"/>
  <c r="E1122" i="3"/>
  <c r="U1121" i="3"/>
  <c r="K1121" i="3"/>
  <c r="J1121" i="3"/>
  <c r="F1121" i="3"/>
  <c r="E1121" i="3"/>
  <c r="U1120" i="3"/>
  <c r="K1120" i="3"/>
  <c r="J1120" i="3"/>
  <c r="F1120" i="3"/>
  <c r="E1120" i="3"/>
  <c r="U1119" i="3"/>
  <c r="K1119" i="3"/>
  <c r="J1119" i="3"/>
  <c r="F1119" i="3"/>
  <c r="E1119" i="3"/>
  <c r="U1118" i="3"/>
  <c r="K1118" i="3"/>
  <c r="J1118" i="3"/>
  <c r="F1118" i="3"/>
  <c r="E1118" i="3"/>
  <c r="U1117" i="3"/>
  <c r="K1117" i="3"/>
  <c r="J1117" i="3"/>
  <c r="F1117" i="3"/>
  <c r="E1117" i="3"/>
  <c r="U1116" i="3"/>
  <c r="K1116" i="3"/>
  <c r="J1116" i="3"/>
  <c r="F1116" i="3"/>
  <c r="E1116" i="3"/>
  <c r="U1115" i="3"/>
  <c r="K1115" i="3"/>
  <c r="J1115" i="3"/>
  <c r="F1115" i="3"/>
  <c r="E1115" i="3"/>
  <c r="U1114" i="3"/>
  <c r="K1114" i="3"/>
  <c r="J1114" i="3"/>
  <c r="F1114" i="3"/>
  <c r="E1114" i="3"/>
  <c r="U1113" i="3"/>
  <c r="K1113" i="3"/>
  <c r="J1113" i="3"/>
  <c r="F1113" i="3"/>
  <c r="E1113" i="3"/>
  <c r="U1112" i="3"/>
  <c r="K1112" i="3"/>
  <c r="J1112" i="3"/>
  <c r="F1112" i="3"/>
  <c r="E1112" i="3"/>
  <c r="U1111" i="3"/>
  <c r="U1125" i="3" s="1"/>
  <c r="K1111" i="3"/>
  <c r="J1111" i="3"/>
  <c r="F1111" i="3"/>
  <c r="E1111" i="3"/>
  <c r="B1110" i="3"/>
  <c r="K1108" i="3"/>
  <c r="J1108" i="3"/>
  <c r="E1108" i="3"/>
  <c r="K1107" i="3"/>
  <c r="J1107" i="3"/>
  <c r="F1107" i="3"/>
  <c r="E1107" i="3"/>
  <c r="U1106" i="3"/>
  <c r="K1106" i="3"/>
  <c r="J1106" i="3"/>
  <c r="F1106" i="3"/>
  <c r="E1106" i="3"/>
  <c r="U1105" i="3"/>
  <c r="K1105" i="3"/>
  <c r="J1105" i="3"/>
  <c r="F1105" i="3"/>
  <c r="E1105" i="3"/>
  <c r="U1104" i="3"/>
  <c r="K1104" i="3"/>
  <c r="J1104" i="3"/>
  <c r="F1104" i="3"/>
  <c r="E1104" i="3"/>
  <c r="U1103" i="3"/>
  <c r="K1103" i="3"/>
  <c r="J1103" i="3"/>
  <c r="F1103" i="3"/>
  <c r="E1103" i="3"/>
  <c r="U1102" i="3"/>
  <c r="K1102" i="3"/>
  <c r="J1102" i="3"/>
  <c r="F1102" i="3"/>
  <c r="E1102" i="3"/>
  <c r="U1101" i="3"/>
  <c r="K1101" i="3"/>
  <c r="J1101" i="3"/>
  <c r="F1101" i="3"/>
  <c r="E1101" i="3"/>
  <c r="U1100" i="3"/>
  <c r="K1100" i="3"/>
  <c r="J1100" i="3"/>
  <c r="F1100" i="3"/>
  <c r="E1100" i="3"/>
  <c r="U1099" i="3"/>
  <c r="K1099" i="3"/>
  <c r="J1099" i="3"/>
  <c r="F1099" i="3"/>
  <c r="E1099" i="3"/>
  <c r="U1098" i="3"/>
  <c r="K1098" i="3"/>
  <c r="J1098" i="3"/>
  <c r="F1098" i="3"/>
  <c r="E1098" i="3"/>
  <c r="U1097" i="3"/>
  <c r="K1097" i="3"/>
  <c r="J1097" i="3"/>
  <c r="F1097" i="3"/>
  <c r="E1097" i="3"/>
  <c r="U1096" i="3"/>
  <c r="K1096" i="3"/>
  <c r="J1096" i="3"/>
  <c r="F1096" i="3"/>
  <c r="E1096" i="3"/>
  <c r="U1095" i="3"/>
  <c r="K1095" i="3"/>
  <c r="J1095" i="3"/>
  <c r="F1095" i="3"/>
  <c r="E1095" i="3"/>
  <c r="B1094" i="3"/>
  <c r="U1093" i="3"/>
  <c r="K1092" i="3"/>
  <c r="J1092" i="3"/>
  <c r="E1092" i="3"/>
  <c r="K1091" i="3"/>
  <c r="J1091" i="3"/>
  <c r="F1091" i="3"/>
  <c r="E1091" i="3"/>
  <c r="U1090" i="3"/>
  <c r="K1090" i="3"/>
  <c r="J1090" i="3"/>
  <c r="F1090" i="3"/>
  <c r="E1090" i="3"/>
  <c r="U1089" i="3"/>
  <c r="K1089" i="3"/>
  <c r="J1089" i="3"/>
  <c r="F1089" i="3"/>
  <c r="E1089" i="3"/>
  <c r="U1088" i="3"/>
  <c r="K1088" i="3"/>
  <c r="J1088" i="3"/>
  <c r="F1088" i="3"/>
  <c r="E1088" i="3"/>
  <c r="U1087" i="3"/>
  <c r="K1087" i="3"/>
  <c r="J1087" i="3"/>
  <c r="F1087" i="3"/>
  <c r="E1087" i="3"/>
  <c r="U1086" i="3"/>
  <c r="K1086" i="3"/>
  <c r="J1086" i="3"/>
  <c r="F1086" i="3"/>
  <c r="E1086" i="3"/>
  <c r="U1085" i="3"/>
  <c r="K1085" i="3"/>
  <c r="J1085" i="3"/>
  <c r="F1085" i="3"/>
  <c r="E1085" i="3"/>
  <c r="U1084" i="3"/>
  <c r="K1084" i="3"/>
  <c r="J1084" i="3"/>
  <c r="F1084" i="3"/>
  <c r="E1084" i="3"/>
  <c r="U1083" i="3"/>
  <c r="K1083" i="3"/>
  <c r="J1083" i="3"/>
  <c r="F1083" i="3"/>
  <c r="E1083" i="3"/>
  <c r="U1082" i="3"/>
  <c r="K1082" i="3"/>
  <c r="J1082" i="3"/>
  <c r="F1082" i="3"/>
  <c r="E1082" i="3"/>
  <c r="U1081" i="3"/>
  <c r="K1081" i="3"/>
  <c r="J1081" i="3"/>
  <c r="F1081" i="3"/>
  <c r="E1081" i="3"/>
  <c r="U1080" i="3"/>
  <c r="K1080" i="3"/>
  <c r="J1080" i="3"/>
  <c r="F1080" i="3"/>
  <c r="E1080" i="3"/>
  <c r="U1079" i="3"/>
  <c r="I1092" i="3" s="1"/>
  <c r="K1079" i="3"/>
  <c r="J1079" i="3"/>
  <c r="F1079" i="3"/>
  <c r="E1079" i="3"/>
  <c r="B1078" i="3"/>
  <c r="K1076" i="3"/>
  <c r="J1076" i="3"/>
  <c r="E1076" i="3"/>
  <c r="K1075" i="3"/>
  <c r="J1075" i="3"/>
  <c r="F1075" i="3"/>
  <c r="E1075" i="3"/>
  <c r="U1074" i="3"/>
  <c r="K1074" i="3"/>
  <c r="J1074" i="3"/>
  <c r="F1074" i="3"/>
  <c r="E1074" i="3"/>
  <c r="U1073" i="3"/>
  <c r="K1073" i="3"/>
  <c r="J1073" i="3"/>
  <c r="F1073" i="3"/>
  <c r="E1073" i="3"/>
  <c r="U1072" i="3"/>
  <c r="K1072" i="3"/>
  <c r="J1072" i="3"/>
  <c r="F1072" i="3"/>
  <c r="E1072" i="3"/>
  <c r="U1071" i="3"/>
  <c r="K1071" i="3"/>
  <c r="J1071" i="3"/>
  <c r="F1071" i="3"/>
  <c r="E1071" i="3"/>
  <c r="U1070" i="3"/>
  <c r="K1070" i="3"/>
  <c r="J1070" i="3"/>
  <c r="F1070" i="3"/>
  <c r="E1070" i="3"/>
  <c r="U1069" i="3"/>
  <c r="K1069" i="3"/>
  <c r="J1069" i="3"/>
  <c r="F1069" i="3"/>
  <c r="E1069" i="3"/>
  <c r="U1068" i="3"/>
  <c r="I1076" i="3" s="1"/>
  <c r="K1068" i="3"/>
  <c r="J1068" i="3"/>
  <c r="F1068" i="3"/>
  <c r="E1068" i="3"/>
  <c r="U1067" i="3"/>
  <c r="K1067" i="3"/>
  <c r="J1067" i="3"/>
  <c r="F1067" i="3"/>
  <c r="E1067" i="3"/>
  <c r="U1066" i="3"/>
  <c r="K1066" i="3"/>
  <c r="J1066" i="3"/>
  <c r="F1066" i="3"/>
  <c r="E1066" i="3"/>
  <c r="U1065" i="3"/>
  <c r="K1065" i="3"/>
  <c r="J1065" i="3"/>
  <c r="F1065" i="3"/>
  <c r="E1065" i="3"/>
  <c r="U1064" i="3"/>
  <c r="K1064" i="3"/>
  <c r="J1064" i="3"/>
  <c r="F1064" i="3"/>
  <c r="E1064" i="3"/>
  <c r="U1063" i="3"/>
  <c r="U1077" i="3" s="1"/>
  <c r="K1063" i="3"/>
  <c r="J1063" i="3"/>
  <c r="F1063" i="3"/>
  <c r="E1063" i="3"/>
  <c r="B1062" i="3"/>
  <c r="K1060" i="3"/>
  <c r="J1060" i="3"/>
  <c r="E1060" i="3"/>
  <c r="K1059" i="3"/>
  <c r="J1059" i="3"/>
  <c r="F1059" i="3"/>
  <c r="E1059" i="3"/>
  <c r="U1058" i="3"/>
  <c r="K1058" i="3"/>
  <c r="J1058" i="3"/>
  <c r="F1058" i="3"/>
  <c r="E1058" i="3"/>
  <c r="U1057" i="3"/>
  <c r="K1057" i="3"/>
  <c r="J1057" i="3"/>
  <c r="F1057" i="3"/>
  <c r="E1057" i="3"/>
  <c r="U1056" i="3"/>
  <c r="K1056" i="3"/>
  <c r="J1056" i="3"/>
  <c r="F1056" i="3"/>
  <c r="E1056" i="3"/>
  <c r="U1055" i="3"/>
  <c r="K1055" i="3"/>
  <c r="J1055" i="3"/>
  <c r="F1055" i="3"/>
  <c r="E1055" i="3"/>
  <c r="U1054" i="3"/>
  <c r="K1054" i="3"/>
  <c r="J1054" i="3"/>
  <c r="F1054" i="3"/>
  <c r="E1054" i="3"/>
  <c r="U1053" i="3"/>
  <c r="K1053" i="3"/>
  <c r="J1053" i="3"/>
  <c r="F1053" i="3"/>
  <c r="E1053" i="3"/>
  <c r="U1052" i="3"/>
  <c r="K1052" i="3"/>
  <c r="J1052" i="3"/>
  <c r="F1052" i="3"/>
  <c r="E1052" i="3"/>
  <c r="U1051" i="3"/>
  <c r="K1051" i="3"/>
  <c r="J1051" i="3"/>
  <c r="F1051" i="3"/>
  <c r="E1051" i="3"/>
  <c r="U1050" i="3"/>
  <c r="K1050" i="3"/>
  <c r="J1050" i="3"/>
  <c r="F1050" i="3"/>
  <c r="E1050" i="3"/>
  <c r="U1049" i="3"/>
  <c r="K1049" i="3"/>
  <c r="J1049" i="3"/>
  <c r="F1049" i="3"/>
  <c r="E1049" i="3"/>
  <c r="U1048" i="3"/>
  <c r="K1048" i="3"/>
  <c r="J1048" i="3"/>
  <c r="F1048" i="3"/>
  <c r="E1048" i="3"/>
  <c r="U1047" i="3"/>
  <c r="K1047" i="3"/>
  <c r="J1047" i="3"/>
  <c r="F1047" i="3"/>
  <c r="E1047" i="3"/>
  <c r="B1046" i="3"/>
  <c r="K1044" i="3"/>
  <c r="J1044" i="3"/>
  <c r="E1044" i="3"/>
  <c r="K1043" i="3"/>
  <c r="J1043" i="3"/>
  <c r="F1043" i="3"/>
  <c r="E1043" i="3"/>
  <c r="U1042" i="3"/>
  <c r="K1042" i="3"/>
  <c r="J1042" i="3"/>
  <c r="F1042" i="3"/>
  <c r="E1042" i="3"/>
  <c r="U1041" i="3"/>
  <c r="K1041" i="3"/>
  <c r="J1041" i="3"/>
  <c r="F1041" i="3"/>
  <c r="E1041" i="3"/>
  <c r="U1040" i="3"/>
  <c r="K1040" i="3"/>
  <c r="J1040" i="3"/>
  <c r="F1040" i="3"/>
  <c r="E1040" i="3"/>
  <c r="U1039" i="3"/>
  <c r="K1039" i="3"/>
  <c r="J1039" i="3"/>
  <c r="F1039" i="3"/>
  <c r="E1039" i="3"/>
  <c r="U1038" i="3"/>
  <c r="K1038" i="3"/>
  <c r="J1038" i="3"/>
  <c r="F1038" i="3"/>
  <c r="E1038" i="3"/>
  <c r="U1037" i="3"/>
  <c r="K1037" i="3"/>
  <c r="J1037" i="3"/>
  <c r="F1037" i="3"/>
  <c r="E1037" i="3"/>
  <c r="U1036" i="3"/>
  <c r="K1036" i="3"/>
  <c r="J1036" i="3"/>
  <c r="F1036" i="3"/>
  <c r="E1036" i="3"/>
  <c r="U1035" i="3"/>
  <c r="I1044" i="3" s="1"/>
  <c r="K1035" i="3"/>
  <c r="J1035" i="3"/>
  <c r="F1035" i="3"/>
  <c r="E1035" i="3"/>
  <c r="U1034" i="3"/>
  <c r="K1034" i="3"/>
  <c r="J1034" i="3"/>
  <c r="F1034" i="3"/>
  <c r="E1034" i="3"/>
  <c r="U1033" i="3"/>
  <c r="K1033" i="3"/>
  <c r="J1033" i="3"/>
  <c r="F1033" i="3"/>
  <c r="E1033" i="3"/>
  <c r="U1032" i="3"/>
  <c r="K1032" i="3"/>
  <c r="J1032" i="3"/>
  <c r="F1032" i="3"/>
  <c r="E1032" i="3"/>
  <c r="U1031" i="3"/>
  <c r="U1045" i="3" s="1"/>
  <c r="K1031" i="3"/>
  <c r="J1031" i="3"/>
  <c r="F1031" i="3"/>
  <c r="E1031" i="3"/>
  <c r="B1030" i="3"/>
  <c r="K1028" i="3"/>
  <c r="J1028" i="3"/>
  <c r="E1028" i="3"/>
  <c r="K1027" i="3"/>
  <c r="J1027" i="3"/>
  <c r="F1027" i="3"/>
  <c r="E1027" i="3"/>
  <c r="U1026" i="3"/>
  <c r="K1026" i="3"/>
  <c r="J1026" i="3"/>
  <c r="F1026" i="3"/>
  <c r="E1026" i="3"/>
  <c r="U1025" i="3"/>
  <c r="K1025" i="3"/>
  <c r="J1025" i="3"/>
  <c r="F1025" i="3"/>
  <c r="E1025" i="3"/>
  <c r="U1024" i="3"/>
  <c r="K1024" i="3"/>
  <c r="J1024" i="3"/>
  <c r="F1024" i="3"/>
  <c r="E1024" i="3"/>
  <c r="U1023" i="3"/>
  <c r="K1023" i="3"/>
  <c r="J1023" i="3"/>
  <c r="F1023" i="3"/>
  <c r="E1023" i="3"/>
  <c r="U1022" i="3"/>
  <c r="K1022" i="3"/>
  <c r="J1022" i="3"/>
  <c r="F1022" i="3"/>
  <c r="E1022" i="3"/>
  <c r="U1021" i="3"/>
  <c r="K1021" i="3"/>
  <c r="J1021" i="3"/>
  <c r="F1021" i="3"/>
  <c r="E1021" i="3"/>
  <c r="U1020" i="3"/>
  <c r="K1020" i="3"/>
  <c r="J1020" i="3"/>
  <c r="F1020" i="3"/>
  <c r="E1020" i="3"/>
  <c r="U1019" i="3"/>
  <c r="K1019" i="3"/>
  <c r="J1019" i="3"/>
  <c r="F1019" i="3"/>
  <c r="E1019" i="3"/>
  <c r="U1018" i="3"/>
  <c r="K1018" i="3"/>
  <c r="J1018" i="3"/>
  <c r="F1018" i="3"/>
  <c r="E1018" i="3"/>
  <c r="U1017" i="3"/>
  <c r="K1017" i="3"/>
  <c r="J1017" i="3"/>
  <c r="F1017" i="3"/>
  <c r="E1017" i="3"/>
  <c r="U1016" i="3"/>
  <c r="K1016" i="3"/>
  <c r="J1016" i="3"/>
  <c r="F1016" i="3"/>
  <c r="E1016" i="3"/>
  <c r="U1015" i="3"/>
  <c r="K1015" i="3"/>
  <c r="J1015" i="3"/>
  <c r="F1015" i="3"/>
  <c r="E1015" i="3"/>
  <c r="B1014" i="3"/>
  <c r="K1012" i="3"/>
  <c r="J1012" i="3"/>
  <c r="E1012" i="3"/>
  <c r="K1011" i="3"/>
  <c r="J1011" i="3"/>
  <c r="F1011" i="3"/>
  <c r="E1011" i="3"/>
  <c r="U1010" i="3"/>
  <c r="K1010" i="3"/>
  <c r="J1010" i="3"/>
  <c r="F1010" i="3"/>
  <c r="E1010" i="3"/>
  <c r="U1009" i="3"/>
  <c r="K1009" i="3"/>
  <c r="J1009" i="3"/>
  <c r="F1009" i="3"/>
  <c r="E1009" i="3"/>
  <c r="U1008" i="3"/>
  <c r="K1008" i="3"/>
  <c r="J1008" i="3"/>
  <c r="F1008" i="3"/>
  <c r="E1008" i="3"/>
  <c r="U1007" i="3"/>
  <c r="K1007" i="3"/>
  <c r="J1007" i="3"/>
  <c r="F1007" i="3"/>
  <c r="E1007" i="3"/>
  <c r="U1006" i="3"/>
  <c r="K1006" i="3"/>
  <c r="J1006" i="3"/>
  <c r="F1006" i="3"/>
  <c r="E1006" i="3"/>
  <c r="U1005" i="3"/>
  <c r="K1005" i="3"/>
  <c r="J1005" i="3"/>
  <c r="F1005" i="3"/>
  <c r="E1005" i="3"/>
  <c r="U1004" i="3"/>
  <c r="K1004" i="3"/>
  <c r="J1004" i="3"/>
  <c r="F1004" i="3"/>
  <c r="E1004" i="3"/>
  <c r="U1003" i="3"/>
  <c r="K1003" i="3"/>
  <c r="J1003" i="3"/>
  <c r="F1003" i="3"/>
  <c r="E1003" i="3"/>
  <c r="U1002" i="3"/>
  <c r="K1002" i="3"/>
  <c r="J1002" i="3"/>
  <c r="F1002" i="3"/>
  <c r="E1002" i="3"/>
  <c r="U1001" i="3"/>
  <c r="K1001" i="3"/>
  <c r="J1001" i="3"/>
  <c r="F1001" i="3"/>
  <c r="E1001" i="3"/>
  <c r="U1000" i="3"/>
  <c r="K1000" i="3"/>
  <c r="J1000" i="3"/>
  <c r="F1000" i="3"/>
  <c r="E1000" i="3"/>
  <c r="U999" i="3"/>
  <c r="K999" i="3"/>
  <c r="J999" i="3"/>
  <c r="F999" i="3"/>
  <c r="E999" i="3"/>
  <c r="B998" i="3"/>
  <c r="K996" i="3"/>
  <c r="J996" i="3"/>
  <c r="E996" i="3"/>
  <c r="K995" i="3"/>
  <c r="J995" i="3"/>
  <c r="F995" i="3"/>
  <c r="E995" i="3"/>
  <c r="U994" i="3"/>
  <c r="K994" i="3"/>
  <c r="J994" i="3"/>
  <c r="F994" i="3"/>
  <c r="E994" i="3"/>
  <c r="U993" i="3"/>
  <c r="K993" i="3"/>
  <c r="J993" i="3"/>
  <c r="F993" i="3"/>
  <c r="E993" i="3"/>
  <c r="U992" i="3"/>
  <c r="K992" i="3"/>
  <c r="J992" i="3"/>
  <c r="F992" i="3"/>
  <c r="E992" i="3"/>
  <c r="U991" i="3"/>
  <c r="K991" i="3"/>
  <c r="J991" i="3"/>
  <c r="F991" i="3"/>
  <c r="E991" i="3"/>
  <c r="U990" i="3"/>
  <c r="K990" i="3"/>
  <c r="J990" i="3"/>
  <c r="F990" i="3"/>
  <c r="E990" i="3"/>
  <c r="U989" i="3"/>
  <c r="K989" i="3"/>
  <c r="J989" i="3"/>
  <c r="F989" i="3"/>
  <c r="E989" i="3"/>
  <c r="U988" i="3"/>
  <c r="K988" i="3"/>
  <c r="J988" i="3"/>
  <c r="F988" i="3"/>
  <c r="E988" i="3"/>
  <c r="U987" i="3"/>
  <c r="K987" i="3"/>
  <c r="J987" i="3"/>
  <c r="F987" i="3"/>
  <c r="E987" i="3"/>
  <c r="U986" i="3"/>
  <c r="K986" i="3"/>
  <c r="J986" i="3"/>
  <c r="F986" i="3"/>
  <c r="E986" i="3"/>
  <c r="U985" i="3"/>
  <c r="K985" i="3"/>
  <c r="J985" i="3"/>
  <c r="F985" i="3"/>
  <c r="E985" i="3"/>
  <c r="U984" i="3"/>
  <c r="K984" i="3"/>
  <c r="J984" i="3"/>
  <c r="F984" i="3"/>
  <c r="E984" i="3"/>
  <c r="U983" i="3"/>
  <c r="I996" i="3" s="1"/>
  <c r="K983" i="3"/>
  <c r="J983" i="3"/>
  <c r="F983" i="3"/>
  <c r="E983" i="3"/>
  <c r="B982" i="3"/>
  <c r="K980" i="3"/>
  <c r="J980" i="3"/>
  <c r="E980" i="3"/>
  <c r="K979" i="3"/>
  <c r="J979" i="3"/>
  <c r="F979" i="3"/>
  <c r="E979" i="3"/>
  <c r="U978" i="3"/>
  <c r="K978" i="3"/>
  <c r="J978" i="3"/>
  <c r="F978" i="3"/>
  <c r="E978" i="3"/>
  <c r="U977" i="3"/>
  <c r="K977" i="3"/>
  <c r="J977" i="3"/>
  <c r="F977" i="3"/>
  <c r="E977" i="3"/>
  <c r="U976" i="3"/>
  <c r="K976" i="3"/>
  <c r="J976" i="3"/>
  <c r="F976" i="3"/>
  <c r="E976" i="3"/>
  <c r="U975" i="3"/>
  <c r="K975" i="3"/>
  <c r="J975" i="3"/>
  <c r="F975" i="3"/>
  <c r="E975" i="3"/>
  <c r="U974" i="3"/>
  <c r="K974" i="3"/>
  <c r="J974" i="3"/>
  <c r="F974" i="3"/>
  <c r="E974" i="3"/>
  <c r="U973" i="3"/>
  <c r="K973" i="3"/>
  <c r="J973" i="3"/>
  <c r="F973" i="3"/>
  <c r="E973" i="3"/>
  <c r="U972" i="3"/>
  <c r="K972" i="3"/>
  <c r="J972" i="3"/>
  <c r="F972" i="3"/>
  <c r="E972" i="3"/>
  <c r="U971" i="3"/>
  <c r="K971" i="3"/>
  <c r="J971" i="3"/>
  <c r="F971" i="3"/>
  <c r="E971" i="3"/>
  <c r="U970" i="3"/>
  <c r="K970" i="3"/>
  <c r="J970" i="3"/>
  <c r="F970" i="3"/>
  <c r="E970" i="3"/>
  <c r="U969" i="3"/>
  <c r="K969" i="3"/>
  <c r="J969" i="3"/>
  <c r="F969" i="3"/>
  <c r="E969" i="3"/>
  <c r="U968" i="3"/>
  <c r="K968" i="3"/>
  <c r="J968" i="3"/>
  <c r="F968" i="3"/>
  <c r="E968" i="3"/>
  <c r="U967" i="3"/>
  <c r="I980" i="3" s="1"/>
  <c r="K967" i="3"/>
  <c r="J967" i="3"/>
  <c r="F967" i="3"/>
  <c r="E967" i="3"/>
  <c r="B966" i="3"/>
  <c r="K964" i="3"/>
  <c r="J964" i="3"/>
  <c r="E964" i="3"/>
  <c r="K963" i="3"/>
  <c r="J963" i="3"/>
  <c r="F963" i="3"/>
  <c r="E963" i="3"/>
  <c r="U962" i="3"/>
  <c r="K962" i="3"/>
  <c r="J962" i="3"/>
  <c r="F962" i="3"/>
  <c r="E962" i="3"/>
  <c r="U961" i="3"/>
  <c r="K961" i="3"/>
  <c r="J961" i="3"/>
  <c r="F961" i="3"/>
  <c r="E961" i="3"/>
  <c r="U960" i="3"/>
  <c r="K960" i="3"/>
  <c r="J960" i="3"/>
  <c r="F960" i="3"/>
  <c r="E960" i="3"/>
  <c r="U959" i="3"/>
  <c r="K959" i="3"/>
  <c r="J959" i="3"/>
  <c r="F959" i="3"/>
  <c r="E959" i="3"/>
  <c r="U958" i="3"/>
  <c r="K958" i="3"/>
  <c r="J958" i="3"/>
  <c r="F958" i="3"/>
  <c r="E958" i="3"/>
  <c r="U957" i="3"/>
  <c r="K957" i="3"/>
  <c r="J957" i="3"/>
  <c r="F957" i="3"/>
  <c r="E957" i="3"/>
  <c r="U956" i="3"/>
  <c r="K956" i="3"/>
  <c r="J956" i="3"/>
  <c r="F956" i="3"/>
  <c r="E956" i="3"/>
  <c r="U955" i="3"/>
  <c r="K955" i="3"/>
  <c r="J955" i="3"/>
  <c r="F955" i="3"/>
  <c r="E955" i="3"/>
  <c r="U954" i="3"/>
  <c r="K954" i="3"/>
  <c r="J954" i="3"/>
  <c r="F954" i="3"/>
  <c r="E954" i="3"/>
  <c r="U953" i="3"/>
  <c r="K953" i="3"/>
  <c r="J953" i="3"/>
  <c r="F953" i="3"/>
  <c r="E953" i="3"/>
  <c r="U952" i="3"/>
  <c r="K952" i="3"/>
  <c r="J952" i="3"/>
  <c r="F952" i="3"/>
  <c r="E952" i="3"/>
  <c r="U951" i="3"/>
  <c r="I964" i="3" s="1"/>
  <c r="K951" i="3"/>
  <c r="J951" i="3"/>
  <c r="F951" i="3"/>
  <c r="E951" i="3"/>
  <c r="B950" i="3"/>
  <c r="K948" i="3"/>
  <c r="J948" i="3"/>
  <c r="E948" i="3"/>
  <c r="K947" i="3"/>
  <c r="J947" i="3"/>
  <c r="F947" i="3"/>
  <c r="E947" i="3"/>
  <c r="U946" i="3"/>
  <c r="K946" i="3"/>
  <c r="J946" i="3"/>
  <c r="F946" i="3"/>
  <c r="E946" i="3"/>
  <c r="U945" i="3"/>
  <c r="K945" i="3"/>
  <c r="J945" i="3"/>
  <c r="F945" i="3"/>
  <c r="E945" i="3"/>
  <c r="U944" i="3"/>
  <c r="K944" i="3"/>
  <c r="J944" i="3"/>
  <c r="F944" i="3"/>
  <c r="E944" i="3"/>
  <c r="U943" i="3"/>
  <c r="K943" i="3"/>
  <c r="J943" i="3"/>
  <c r="F943" i="3"/>
  <c r="E943" i="3"/>
  <c r="U942" i="3"/>
  <c r="K942" i="3"/>
  <c r="J942" i="3"/>
  <c r="F942" i="3"/>
  <c r="E942" i="3"/>
  <c r="U941" i="3"/>
  <c r="K941" i="3"/>
  <c r="J941" i="3"/>
  <c r="F941" i="3"/>
  <c r="E941" i="3"/>
  <c r="U940" i="3"/>
  <c r="K940" i="3"/>
  <c r="J940" i="3"/>
  <c r="F940" i="3"/>
  <c r="E940" i="3"/>
  <c r="U939" i="3"/>
  <c r="K939" i="3"/>
  <c r="J939" i="3"/>
  <c r="F939" i="3"/>
  <c r="E939" i="3"/>
  <c r="U938" i="3"/>
  <c r="K938" i="3"/>
  <c r="J938" i="3"/>
  <c r="F938" i="3"/>
  <c r="E938" i="3"/>
  <c r="U937" i="3"/>
  <c r="K937" i="3"/>
  <c r="J937" i="3"/>
  <c r="F937" i="3"/>
  <c r="E937" i="3"/>
  <c r="U936" i="3"/>
  <c r="K936" i="3"/>
  <c r="J936" i="3"/>
  <c r="F936" i="3"/>
  <c r="E936" i="3"/>
  <c r="U935" i="3"/>
  <c r="I948" i="3" s="1"/>
  <c r="K935" i="3"/>
  <c r="J935" i="3"/>
  <c r="F935" i="3"/>
  <c r="E935" i="3"/>
  <c r="B934" i="3"/>
  <c r="K932" i="3"/>
  <c r="J932" i="3"/>
  <c r="E932" i="3"/>
  <c r="K931" i="3"/>
  <c r="J931" i="3"/>
  <c r="F931" i="3"/>
  <c r="E931" i="3"/>
  <c r="U930" i="3"/>
  <c r="K930" i="3"/>
  <c r="J930" i="3"/>
  <c r="F930" i="3"/>
  <c r="E930" i="3"/>
  <c r="U929" i="3"/>
  <c r="K929" i="3"/>
  <c r="J929" i="3"/>
  <c r="F929" i="3"/>
  <c r="E929" i="3"/>
  <c r="U928" i="3"/>
  <c r="K928" i="3"/>
  <c r="J928" i="3"/>
  <c r="F928" i="3"/>
  <c r="E928" i="3"/>
  <c r="U927" i="3"/>
  <c r="K927" i="3"/>
  <c r="J927" i="3"/>
  <c r="F927" i="3"/>
  <c r="E927" i="3"/>
  <c r="U926" i="3"/>
  <c r="K926" i="3"/>
  <c r="J926" i="3"/>
  <c r="F926" i="3"/>
  <c r="E926" i="3"/>
  <c r="U925" i="3"/>
  <c r="K925" i="3"/>
  <c r="J925" i="3"/>
  <c r="F925" i="3"/>
  <c r="E925" i="3"/>
  <c r="U924" i="3"/>
  <c r="K924" i="3"/>
  <c r="J924" i="3"/>
  <c r="F924" i="3"/>
  <c r="E924" i="3"/>
  <c r="U923" i="3"/>
  <c r="K923" i="3"/>
  <c r="J923" i="3"/>
  <c r="F923" i="3"/>
  <c r="E923" i="3"/>
  <c r="U922" i="3"/>
  <c r="K922" i="3"/>
  <c r="J922" i="3"/>
  <c r="F922" i="3"/>
  <c r="E922" i="3"/>
  <c r="U921" i="3"/>
  <c r="K921" i="3"/>
  <c r="J921" i="3"/>
  <c r="F921" i="3"/>
  <c r="E921" i="3"/>
  <c r="U920" i="3"/>
  <c r="K920" i="3"/>
  <c r="J920" i="3"/>
  <c r="F920" i="3"/>
  <c r="E920" i="3"/>
  <c r="U919" i="3"/>
  <c r="K919" i="3"/>
  <c r="J919" i="3"/>
  <c r="F919" i="3"/>
  <c r="E919" i="3"/>
  <c r="B918" i="3"/>
  <c r="K916" i="3"/>
  <c r="J916" i="3"/>
  <c r="I916" i="3"/>
  <c r="E916" i="3"/>
  <c r="K915" i="3"/>
  <c r="J915" i="3"/>
  <c r="F915" i="3"/>
  <c r="E915" i="3"/>
  <c r="U914" i="3"/>
  <c r="K914" i="3"/>
  <c r="J914" i="3"/>
  <c r="F914" i="3"/>
  <c r="E914" i="3"/>
  <c r="U913" i="3"/>
  <c r="K913" i="3"/>
  <c r="J913" i="3"/>
  <c r="F913" i="3"/>
  <c r="E913" i="3"/>
  <c r="U912" i="3"/>
  <c r="K912" i="3"/>
  <c r="J912" i="3"/>
  <c r="F912" i="3"/>
  <c r="E912" i="3"/>
  <c r="U911" i="3"/>
  <c r="K911" i="3"/>
  <c r="J911" i="3"/>
  <c r="F911" i="3"/>
  <c r="E911" i="3"/>
  <c r="U910" i="3"/>
  <c r="K910" i="3"/>
  <c r="J910" i="3"/>
  <c r="F910" i="3"/>
  <c r="E910" i="3"/>
  <c r="U909" i="3"/>
  <c r="K909" i="3"/>
  <c r="J909" i="3"/>
  <c r="F909" i="3"/>
  <c r="E909" i="3"/>
  <c r="U908" i="3"/>
  <c r="K908" i="3"/>
  <c r="J908" i="3"/>
  <c r="F908" i="3"/>
  <c r="E908" i="3"/>
  <c r="U907" i="3"/>
  <c r="K907" i="3"/>
  <c r="J907" i="3"/>
  <c r="F907" i="3"/>
  <c r="E907" i="3"/>
  <c r="U906" i="3"/>
  <c r="K906" i="3"/>
  <c r="J906" i="3"/>
  <c r="F906" i="3"/>
  <c r="E906" i="3"/>
  <c r="U905" i="3"/>
  <c r="K905" i="3"/>
  <c r="J905" i="3"/>
  <c r="F905" i="3"/>
  <c r="E905" i="3"/>
  <c r="U904" i="3"/>
  <c r="K904" i="3"/>
  <c r="J904" i="3"/>
  <c r="F904" i="3"/>
  <c r="E904" i="3"/>
  <c r="U903" i="3"/>
  <c r="K903" i="3"/>
  <c r="J903" i="3"/>
  <c r="F903" i="3"/>
  <c r="E903" i="3"/>
  <c r="U902" i="3"/>
  <c r="U917" i="3" s="1"/>
  <c r="K902" i="3"/>
  <c r="J902" i="3"/>
  <c r="F902" i="3"/>
  <c r="E902" i="3"/>
  <c r="B901" i="3"/>
  <c r="K899" i="3"/>
  <c r="J899" i="3"/>
  <c r="E899" i="3"/>
  <c r="K898" i="3"/>
  <c r="J898" i="3"/>
  <c r="F898" i="3"/>
  <c r="E898" i="3"/>
  <c r="U897" i="3"/>
  <c r="K897" i="3"/>
  <c r="J897" i="3"/>
  <c r="F897" i="3"/>
  <c r="E897" i="3"/>
  <c r="U896" i="3"/>
  <c r="K896" i="3"/>
  <c r="J896" i="3"/>
  <c r="F896" i="3"/>
  <c r="E896" i="3"/>
  <c r="U895" i="3"/>
  <c r="K895" i="3"/>
  <c r="J895" i="3"/>
  <c r="F895" i="3"/>
  <c r="E895" i="3"/>
  <c r="U894" i="3"/>
  <c r="K894" i="3"/>
  <c r="J894" i="3"/>
  <c r="F894" i="3"/>
  <c r="E894" i="3"/>
  <c r="U893" i="3"/>
  <c r="K893" i="3"/>
  <c r="J893" i="3"/>
  <c r="F893" i="3"/>
  <c r="E893" i="3"/>
  <c r="U892" i="3"/>
  <c r="K892" i="3"/>
  <c r="J892" i="3"/>
  <c r="F892" i="3"/>
  <c r="E892" i="3"/>
  <c r="U891" i="3"/>
  <c r="K891" i="3"/>
  <c r="J891" i="3"/>
  <c r="F891" i="3"/>
  <c r="E891" i="3"/>
  <c r="U890" i="3"/>
  <c r="I899" i="3" s="1"/>
  <c r="K890" i="3"/>
  <c r="J890" i="3"/>
  <c r="F890" i="3"/>
  <c r="E890" i="3"/>
  <c r="B889" i="3"/>
  <c r="U888" i="3"/>
  <c r="K887" i="3"/>
  <c r="J887" i="3"/>
  <c r="E887" i="3"/>
  <c r="K886" i="3"/>
  <c r="J886" i="3"/>
  <c r="F886" i="3"/>
  <c r="E886" i="3"/>
  <c r="U885" i="3"/>
  <c r="K885" i="3"/>
  <c r="J885" i="3"/>
  <c r="F885" i="3"/>
  <c r="E885" i="3"/>
  <c r="U884" i="3"/>
  <c r="K884" i="3"/>
  <c r="J884" i="3"/>
  <c r="F884" i="3"/>
  <c r="E884" i="3"/>
  <c r="U883" i="3"/>
  <c r="K883" i="3"/>
  <c r="J883" i="3"/>
  <c r="F883" i="3"/>
  <c r="E883" i="3"/>
  <c r="U882" i="3"/>
  <c r="K882" i="3"/>
  <c r="J882" i="3"/>
  <c r="F882" i="3"/>
  <c r="E882" i="3"/>
  <c r="U881" i="3"/>
  <c r="K881" i="3"/>
  <c r="J881" i="3"/>
  <c r="F881" i="3"/>
  <c r="E881" i="3"/>
  <c r="U880" i="3"/>
  <c r="K880" i="3"/>
  <c r="J880" i="3"/>
  <c r="F880" i="3"/>
  <c r="E880" i="3"/>
  <c r="U879" i="3"/>
  <c r="K879" i="3"/>
  <c r="J879" i="3"/>
  <c r="F879" i="3"/>
  <c r="E879" i="3"/>
  <c r="U878" i="3"/>
  <c r="K878" i="3"/>
  <c r="J878" i="3"/>
  <c r="F878" i="3"/>
  <c r="E878" i="3"/>
  <c r="U877" i="3"/>
  <c r="K877" i="3"/>
  <c r="J877" i="3"/>
  <c r="F877" i="3"/>
  <c r="E877" i="3"/>
  <c r="U876" i="3"/>
  <c r="K876" i="3"/>
  <c r="J876" i="3"/>
  <c r="F876" i="3"/>
  <c r="E876" i="3"/>
  <c r="U875" i="3"/>
  <c r="K875" i="3"/>
  <c r="J875" i="3"/>
  <c r="F875" i="3"/>
  <c r="E875" i="3"/>
  <c r="U874" i="3"/>
  <c r="K874" i="3"/>
  <c r="J874" i="3"/>
  <c r="F874" i="3"/>
  <c r="E874" i="3"/>
  <c r="U873" i="3"/>
  <c r="K873" i="3"/>
  <c r="J873" i="3"/>
  <c r="F873" i="3"/>
  <c r="E873" i="3"/>
  <c r="B872" i="3"/>
  <c r="K870" i="3"/>
  <c r="J870" i="3"/>
  <c r="E870" i="3"/>
  <c r="K869" i="3"/>
  <c r="J869" i="3"/>
  <c r="F869" i="3"/>
  <c r="E869" i="3"/>
  <c r="U868" i="3"/>
  <c r="K868" i="3"/>
  <c r="J868" i="3"/>
  <c r="F868" i="3"/>
  <c r="E868" i="3"/>
  <c r="U867" i="3"/>
  <c r="K867" i="3"/>
  <c r="J867" i="3"/>
  <c r="F867" i="3"/>
  <c r="E867" i="3"/>
  <c r="U866" i="3"/>
  <c r="K866" i="3"/>
  <c r="J866" i="3"/>
  <c r="F866" i="3"/>
  <c r="E866" i="3"/>
  <c r="U865" i="3"/>
  <c r="K865" i="3"/>
  <c r="J865" i="3"/>
  <c r="F865" i="3"/>
  <c r="E865" i="3"/>
  <c r="U864" i="3"/>
  <c r="K864" i="3"/>
  <c r="J864" i="3"/>
  <c r="F864" i="3"/>
  <c r="E864" i="3"/>
  <c r="U863" i="3"/>
  <c r="I870" i="3" s="1"/>
  <c r="K863" i="3"/>
  <c r="J863" i="3"/>
  <c r="F863" i="3"/>
  <c r="E863" i="3"/>
  <c r="U862" i="3"/>
  <c r="K862" i="3"/>
  <c r="J862" i="3"/>
  <c r="F862" i="3"/>
  <c r="E862" i="3"/>
  <c r="U861" i="3"/>
  <c r="K861" i="3"/>
  <c r="J861" i="3"/>
  <c r="F861" i="3"/>
  <c r="E861" i="3"/>
  <c r="U860" i="3"/>
  <c r="U871" i="3" s="1"/>
  <c r="K860" i="3"/>
  <c r="J860" i="3"/>
  <c r="F860" i="3"/>
  <c r="E860" i="3"/>
  <c r="B859" i="3"/>
  <c r="K857" i="3"/>
  <c r="J857" i="3"/>
  <c r="E857" i="3"/>
  <c r="K856" i="3"/>
  <c r="J856" i="3"/>
  <c r="F856" i="3"/>
  <c r="E856" i="3"/>
  <c r="U855" i="3"/>
  <c r="K855" i="3"/>
  <c r="J855" i="3"/>
  <c r="F855" i="3"/>
  <c r="E855" i="3"/>
  <c r="U854" i="3"/>
  <c r="K854" i="3"/>
  <c r="J854" i="3"/>
  <c r="E854" i="3"/>
  <c r="U853" i="3"/>
  <c r="K853" i="3"/>
  <c r="J853" i="3"/>
  <c r="F853" i="3"/>
  <c r="E853" i="3"/>
  <c r="U852" i="3"/>
  <c r="K852" i="3"/>
  <c r="J852" i="3"/>
  <c r="F852" i="3"/>
  <c r="E852" i="3"/>
  <c r="U851" i="3"/>
  <c r="K851" i="3"/>
  <c r="J851" i="3"/>
  <c r="F851" i="3"/>
  <c r="E851" i="3"/>
  <c r="U850" i="3"/>
  <c r="K850" i="3"/>
  <c r="J850" i="3"/>
  <c r="F850" i="3"/>
  <c r="E850" i="3"/>
  <c r="U849" i="3"/>
  <c r="K849" i="3"/>
  <c r="J849" i="3"/>
  <c r="F849" i="3"/>
  <c r="E849" i="3"/>
  <c r="U848" i="3"/>
  <c r="K848" i="3"/>
  <c r="J848" i="3"/>
  <c r="F848" i="3"/>
  <c r="E848" i="3"/>
  <c r="U847" i="3"/>
  <c r="K847" i="3"/>
  <c r="J847" i="3"/>
  <c r="F847" i="3"/>
  <c r="E847" i="3"/>
  <c r="U846" i="3"/>
  <c r="K846" i="3"/>
  <c r="J846" i="3"/>
  <c r="F846" i="3"/>
  <c r="E846" i="3"/>
  <c r="U845" i="3"/>
  <c r="K845" i="3"/>
  <c r="J845" i="3"/>
  <c r="F845" i="3"/>
  <c r="E845" i="3"/>
  <c r="U844" i="3"/>
  <c r="K844" i="3"/>
  <c r="J844" i="3"/>
  <c r="F844" i="3"/>
  <c r="E844" i="3"/>
  <c r="U843" i="3"/>
  <c r="U858" i="3" s="1"/>
  <c r="K843" i="3"/>
  <c r="J843" i="3"/>
  <c r="F843" i="3"/>
  <c r="E843" i="3"/>
  <c r="U842" i="3"/>
  <c r="K842" i="3"/>
  <c r="J842" i="3"/>
  <c r="F842" i="3"/>
  <c r="E842" i="3"/>
  <c r="U841" i="3"/>
  <c r="K841" i="3"/>
  <c r="J841" i="3"/>
  <c r="F841" i="3"/>
  <c r="E841" i="3"/>
  <c r="B840" i="3"/>
  <c r="U839" i="3"/>
  <c r="K838" i="3"/>
  <c r="J838" i="3"/>
  <c r="E838" i="3"/>
  <c r="K837" i="3"/>
  <c r="J837" i="3"/>
  <c r="F837" i="3"/>
  <c r="E837" i="3"/>
  <c r="U836" i="3"/>
  <c r="K836" i="3"/>
  <c r="J836" i="3"/>
  <c r="F836" i="3"/>
  <c r="E836" i="3"/>
  <c r="U835" i="3"/>
  <c r="K835" i="3"/>
  <c r="J835" i="3"/>
  <c r="E835" i="3"/>
  <c r="U834" i="3"/>
  <c r="K834" i="3"/>
  <c r="J834" i="3"/>
  <c r="F834" i="3"/>
  <c r="E834" i="3"/>
  <c r="U833" i="3"/>
  <c r="K833" i="3"/>
  <c r="J833" i="3"/>
  <c r="F833" i="3"/>
  <c r="E833" i="3"/>
  <c r="U832" i="3"/>
  <c r="K832" i="3"/>
  <c r="J832" i="3"/>
  <c r="F832" i="3"/>
  <c r="E832" i="3"/>
  <c r="U831" i="3"/>
  <c r="K831" i="3"/>
  <c r="J831" i="3"/>
  <c r="F831" i="3"/>
  <c r="E831" i="3"/>
  <c r="U830" i="3"/>
  <c r="K830" i="3"/>
  <c r="J830" i="3"/>
  <c r="F830" i="3"/>
  <c r="E830" i="3"/>
  <c r="U829" i="3"/>
  <c r="K829" i="3"/>
  <c r="J829" i="3"/>
  <c r="F829" i="3"/>
  <c r="E829" i="3"/>
  <c r="U828" i="3"/>
  <c r="K828" i="3"/>
  <c r="J828" i="3"/>
  <c r="F828" i="3"/>
  <c r="E828" i="3"/>
  <c r="U827" i="3"/>
  <c r="K827" i="3"/>
  <c r="J827" i="3"/>
  <c r="F827" i="3"/>
  <c r="E827" i="3"/>
  <c r="U826" i="3"/>
  <c r="K826" i="3"/>
  <c r="J826" i="3"/>
  <c r="F826" i="3"/>
  <c r="E826" i="3"/>
  <c r="U825" i="3"/>
  <c r="K825" i="3"/>
  <c r="J825" i="3"/>
  <c r="F825" i="3"/>
  <c r="E825" i="3"/>
  <c r="U824" i="3"/>
  <c r="K824" i="3"/>
  <c r="J824" i="3"/>
  <c r="F824" i="3"/>
  <c r="E824" i="3"/>
  <c r="U823" i="3"/>
  <c r="K823" i="3"/>
  <c r="J823" i="3"/>
  <c r="F823" i="3"/>
  <c r="E823" i="3"/>
  <c r="U822" i="3"/>
  <c r="I838" i="3" s="1"/>
  <c r="K822" i="3"/>
  <c r="J822" i="3"/>
  <c r="F822" i="3"/>
  <c r="E822" i="3"/>
  <c r="U821" i="3"/>
  <c r="K821" i="3"/>
  <c r="J821" i="3"/>
  <c r="F821" i="3"/>
  <c r="E821" i="3"/>
  <c r="B820" i="3"/>
  <c r="K818" i="3"/>
  <c r="J818" i="3"/>
  <c r="E818" i="3"/>
  <c r="K817" i="3"/>
  <c r="J817" i="3"/>
  <c r="F817" i="3"/>
  <c r="E817" i="3"/>
  <c r="U816" i="3"/>
  <c r="K816" i="3"/>
  <c r="J816" i="3"/>
  <c r="F816" i="3"/>
  <c r="E816" i="3"/>
  <c r="U815" i="3"/>
  <c r="K815" i="3"/>
  <c r="J815" i="3"/>
  <c r="E815" i="3"/>
  <c r="U814" i="3"/>
  <c r="K814" i="3"/>
  <c r="J814" i="3"/>
  <c r="F814" i="3"/>
  <c r="E814" i="3"/>
  <c r="U813" i="3"/>
  <c r="K813" i="3"/>
  <c r="J813" i="3"/>
  <c r="F813" i="3"/>
  <c r="E813" i="3"/>
  <c r="U812" i="3"/>
  <c r="K812" i="3"/>
  <c r="J812" i="3"/>
  <c r="F812" i="3"/>
  <c r="E812" i="3"/>
  <c r="U811" i="3"/>
  <c r="K811" i="3"/>
  <c r="J811" i="3"/>
  <c r="F811" i="3"/>
  <c r="E811" i="3"/>
  <c r="U810" i="3"/>
  <c r="K810" i="3"/>
  <c r="J810" i="3"/>
  <c r="F810" i="3"/>
  <c r="E810" i="3"/>
  <c r="U809" i="3"/>
  <c r="K809" i="3"/>
  <c r="J809" i="3"/>
  <c r="F809" i="3"/>
  <c r="E809" i="3"/>
  <c r="U808" i="3"/>
  <c r="K808" i="3"/>
  <c r="J808" i="3"/>
  <c r="F808" i="3"/>
  <c r="E808" i="3"/>
  <c r="U807" i="3"/>
  <c r="K807" i="3"/>
  <c r="J807" i="3"/>
  <c r="F807" i="3"/>
  <c r="E807" i="3"/>
  <c r="U806" i="3"/>
  <c r="K806" i="3"/>
  <c r="J806" i="3"/>
  <c r="F806" i="3"/>
  <c r="E806" i="3"/>
  <c r="U805" i="3"/>
  <c r="K805" i="3"/>
  <c r="J805" i="3"/>
  <c r="F805" i="3"/>
  <c r="E805" i="3"/>
  <c r="U804" i="3"/>
  <c r="K804" i="3"/>
  <c r="J804" i="3"/>
  <c r="F804" i="3"/>
  <c r="E804" i="3"/>
  <c r="U803" i="3"/>
  <c r="K803" i="3"/>
  <c r="J803" i="3"/>
  <c r="F803" i="3"/>
  <c r="E803" i="3"/>
  <c r="U802" i="3"/>
  <c r="I818" i="3" s="1"/>
  <c r="K802" i="3"/>
  <c r="J802" i="3"/>
  <c r="F802" i="3"/>
  <c r="E802" i="3"/>
  <c r="U801" i="3"/>
  <c r="K801" i="3"/>
  <c r="J801" i="3"/>
  <c r="F801" i="3"/>
  <c r="E801" i="3"/>
  <c r="U800" i="3"/>
  <c r="K800" i="3"/>
  <c r="J800" i="3"/>
  <c r="F800" i="3"/>
  <c r="E800" i="3"/>
  <c r="U799" i="3"/>
  <c r="K799" i="3"/>
  <c r="J799" i="3"/>
  <c r="F799" i="3"/>
  <c r="E799" i="3"/>
  <c r="B798" i="3"/>
  <c r="K796" i="3"/>
  <c r="J796" i="3"/>
  <c r="E796" i="3"/>
  <c r="K795" i="3"/>
  <c r="J795" i="3"/>
  <c r="F795" i="3"/>
  <c r="E795" i="3"/>
  <c r="U794" i="3"/>
  <c r="K794" i="3"/>
  <c r="J794" i="3"/>
  <c r="F794" i="3"/>
  <c r="E794" i="3"/>
  <c r="U793" i="3"/>
  <c r="K793" i="3"/>
  <c r="J793" i="3"/>
  <c r="E793" i="3"/>
  <c r="U792" i="3"/>
  <c r="K792" i="3"/>
  <c r="J792" i="3"/>
  <c r="F792" i="3"/>
  <c r="E792" i="3"/>
  <c r="U791" i="3"/>
  <c r="K791" i="3"/>
  <c r="J791" i="3"/>
  <c r="F791" i="3"/>
  <c r="E791" i="3"/>
  <c r="U790" i="3"/>
  <c r="K790" i="3"/>
  <c r="J790" i="3"/>
  <c r="F790" i="3"/>
  <c r="E790" i="3"/>
  <c r="U789" i="3"/>
  <c r="K789" i="3"/>
  <c r="J789" i="3"/>
  <c r="F789" i="3"/>
  <c r="E789" i="3"/>
  <c r="U788" i="3"/>
  <c r="K788" i="3"/>
  <c r="J788" i="3"/>
  <c r="F788" i="3"/>
  <c r="E788" i="3"/>
  <c r="U787" i="3"/>
  <c r="K787" i="3"/>
  <c r="J787" i="3"/>
  <c r="F787" i="3"/>
  <c r="E787" i="3"/>
  <c r="U786" i="3"/>
  <c r="I796" i="3" s="1"/>
  <c r="K786" i="3"/>
  <c r="J786" i="3"/>
  <c r="F786" i="3"/>
  <c r="E786" i="3"/>
  <c r="U785" i="3"/>
  <c r="K785" i="3"/>
  <c r="J785" i="3"/>
  <c r="F785" i="3"/>
  <c r="E785" i="3"/>
  <c r="U784" i="3"/>
  <c r="K784" i="3"/>
  <c r="J784" i="3"/>
  <c r="F784" i="3"/>
  <c r="E784" i="3"/>
  <c r="B783" i="3"/>
  <c r="K781" i="3"/>
  <c r="J781" i="3"/>
  <c r="E781" i="3"/>
  <c r="K780" i="3"/>
  <c r="J780" i="3"/>
  <c r="F780" i="3"/>
  <c r="E780" i="3"/>
  <c r="U779" i="3"/>
  <c r="K779" i="3"/>
  <c r="J779" i="3"/>
  <c r="F779" i="3"/>
  <c r="E779" i="3"/>
  <c r="U778" i="3"/>
  <c r="K778" i="3"/>
  <c r="J778" i="3"/>
  <c r="E778" i="3"/>
  <c r="U777" i="3"/>
  <c r="K777" i="3"/>
  <c r="J777" i="3"/>
  <c r="F777" i="3"/>
  <c r="E777" i="3"/>
  <c r="U776" i="3"/>
  <c r="K776" i="3"/>
  <c r="J776" i="3"/>
  <c r="F776" i="3"/>
  <c r="E776" i="3"/>
  <c r="U775" i="3"/>
  <c r="K775" i="3"/>
  <c r="J775" i="3"/>
  <c r="F775" i="3"/>
  <c r="E775" i="3"/>
  <c r="U774" i="3"/>
  <c r="K774" i="3"/>
  <c r="J774" i="3"/>
  <c r="F774" i="3"/>
  <c r="E774" i="3"/>
  <c r="U773" i="3"/>
  <c r="K773" i="3"/>
  <c r="J773" i="3"/>
  <c r="F773" i="3"/>
  <c r="E773" i="3"/>
  <c r="U772" i="3"/>
  <c r="K772" i="3"/>
  <c r="J772" i="3"/>
  <c r="F772" i="3"/>
  <c r="E772" i="3"/>
  <c r="U771" i="3"/>
  <c r="I781" i="3" s="1"/>
  <c r="K771" i="3"/>
  <c r="J771" i="3"/>
  <c r="F771" i="3"/>
  <c r="E771" i="3"/>
  <c r="U770" i="3"/>
  <c r="K770" i="3"/>
  <c r="J770" i="3"/>
  <c r="F770" i="3"/>
  <c r="E770" i="3"/>
  <c r="U769" i="3"/>
  <c r="K769" i="3"/>
  <c r="J769" i="3"/>
  <c r="F769" i="3"/>
  <c r="E769" i="3"/>
  <c r="B768" i="3"/>
  <c r="K766" i="3"/>
  <c r="J766" i="3"/>
  <c r="E766" i="3"/>
  <c r="K765" i="3"/>
  <c r="J765" i="3"/>
  <c r="F765" i="3"/>
  <c r="E765" i="3"/>
  <c r="U764" i="3"/>
  <c r="K764" i="3"/>
  <c r="J764" i="3"/>
  <c r="F764" i="3"/>
  <c r="E764" i="3"/>
  <c r="U763" i="3"/>
  <c r="K763" i="3"/>
  <c r="J763" i="3"/>
  <c r="F763" i="3"/>
  <c r="E763" i="3"/>
  <c r="U762" i="3"/>
  <c r="K762" i="3"/>
  <c r="J762" i="3"/>
  <c r="F762" i="3"/>
  <c r="E762" i="3"/>
  <c r="U761" i="3"/>
  <c r="K761" i="3"/>
  <c r="J761" i="3"/>
  <c r="F761" i="3"/>
  <c r="E761" i="3"/>
  <c r="U760" i="3"/>
  <c r="K760" i="3"/>
  <c r="J760" i="3"/>
  <c r="F760" i="3"/>
  <c r="E760" i="3"/>
  <c r="U759" i="3"/>
  <c r="K759" i="3"/>
  <c r="J759" i="3"/>
  <c r="F759" i="3"/>
  <c r="E759" i="3"/>
  <c r="U758" i="3"/>
  <c r="K758" i="3"/>
  <c r="J758" i="3"/>
  <c r="F758" i="3"/>
  <c r="E758" i="3"/>
  <c r="U757" i="3"/>
  <c r="U767" i="3" s="1"/>
  <c r="K757" i="3"/>
  <c r="J757" i="3"/>
  <c r="F757" i="3"/>
  <c r="E757" i="3"/>
  <c r="U756" i="3"/>
  <c r="K756" i="3"/>
  <c r="J756" i="3"/>
  <c r="F756" i="3"/>
  <c r="E756" i="3"/>
  <c r="U755" i="3"/>
  <c r="K755" i="3"/>
  <c r="J755" i="3"/>
  <c r="F755" i="3"/>
  <c r="E755" i="3"/>
  <c r="U754" i="3"/>
  <c r="K754" i="3"/>
  <c r="J754" i="3"/>
  <c r="F754" i="3"/>
  <c r="E754" i="3"/>
  <c r="U753" i="3"/>
  <c r="K753" i="3"/>
  <c r="J753" i="3"/>
  <c r="F753" i="3"/>
  <c r="E753" i="3"/>
  <c r="U752" i="3"/>
  <c r="K752" i="3"/>
  <c r="J752" i="3"/>
  <c r="F752" i="3"/>
  <c r="E752" i="3"/>
  <c r="U751" i="3"/>
  <c r="K751" i="3"/>
  <c r="J751" i="3"/>
  <c r="F751" i="3"/>
  <c r="E751" i="3"/>
  <c r="U750" i="3"/>
  <c r="K750" i="3"/>
  <c r="J750" i="3"/>
  <c r="F750" i="3"/>
  <c r="E750" i="3"/>
  <c r="B749" i="3"/>
  <c r="K747" i="3"/>
  <c r="J747" i="3"/>
  <c r="I747" i="3"/>
  <c r="E747" i="3"/>
  <c r="K746" i="3"/>
  <c r="J746" i="3"/>
  <c r="F746" i="3"/>
  <c r="E746" i="3"/>
  <c r="U745" i="3"/>
  <c r="K745" i="3"/>
  <c r="J745" i="3"/>
  <c r="F745" i="3"/>
  <c r="E745" i="3"/>
  <c r="U744" i="3"/>
  <c r="K744" i="3"/>
  <c r="J744" i="3"/>
  <c r="E744" i="3"/>
  <c r="U743" i="3"/>
  <c r="K743" i="3"/>
  <c r="J743" i="3"/>
  <c r="F743" i="3"/>
  <c r="E743" i="3"/>
  <c r="U742" i="3"/>
  <c r="K742" i="3"/>
  <c r="J742" i="3"/>
  <c r="F742" i="3"/>
  <c r="E742" i="3"/>
  <c r="U741" i="3"/>
  <c r="K741" i="3"/>
  <c r="J741" i="3"/>
  <c r="F741" i="3"/>
  <c r="E741" i="3"/>
  <c r="U740" i="3"/>
  <c r="K740" i="3"/>
  <c r="J740" i="3"/>
  <c r="F740" i="3"/>
  <c r="E740" i="3"/>
  <c r="U739" i="3"/>
  <c r="K739" i="3"/>
  <c r="J739" i="3"/>
  <c r="F739" i="3"/>
  <c r="E739" i="3"/>
  <c r="U738" i="3"/>
  <c r="K738" i="3"/>
  <c r="J738" i="3"/>
  <c r="F738" i="3"/>
  <c r="E738" i="3"/>
  <c r="U737" i="3"/>
  <c r="K737" i="3"/>
  <c r="J737" i="3"/>
  <c r="F737" i="3"/>
  <c r="E737" i="3"/>
  <c r="U736" i="3"/>
  <c r="K736" i="3"/>
  <c r="J736" i="3"/>
  <c r="F736" i="3"/>
  <c r="E736" i="3"/>
  <c r="U735" i="3"/>
  <c r="U748" i="3" s="1"/>
  <c r="K735" i="3"/>
  <c r="J735" i="3"/>
  <c r="F735" i="3"/>
  <c r="E735" i="3"/>
  <c r="B734" i="3"/>
  <c r="K732" i="3"/>
  <c r="J732" i="3"/>
  <c r="I732" i="3"/>
  <c r="G46" i="4" s="1"/>
  <c r="H46" i="4" s="1"/>
  <c r="E732" i="3"/>
  <c r="K731" i="3"/>
  <c r="J731" i="3"/>
  <c r="F731" i="3"/>
  <c r="E731" i="3"/>
  <c r="U730" i="3"/>
  <c r="K730" i="3"/>
  <c r="J730" i="3"/>
  <c r="F730" i="3"/>
  <c r="E730" i="3"/>
  <c r="U729" i="3"/>
  <c r="K729" i="3"/>
  <c r="J729" i="3"/>
  <c r="E729" i="3"/>
  <c r="U728" i="3"/>
  <c r="K728" i="3"/>
  <c r="J728" i="3"/>
  <c r="F728" i="3"/>
  <c r="E728" i="3"/>
  <c r="U727" i="3"/>
  <c r="K727" i="3"/>
  <c r="J727" i="3"/>
  <c r="F727" i="3"/>
  <c r="E727" i="3"/>
  <c r="U726" i="3"/>
  <c r="K726" i="3"/>
  <c r="J726" i="3"/>
  <c r="F726" i="3"/>
  <c r="E726" i="3"/>
  <c r="U725" i="3"/>
  <c r="K725" i="3"/>
  <c r="J725" i="3"/>
  <c r="F725" i="3"/>
  <c r="E725" i="3"/>
  <c r="U724" i="3"/>
  <c r="K724" i="3"/>
  <c r="J724" i="3"/>
  <c r="F724" i="3"/>
  <c r="E724" i="3"/>
  <c r="U723" i="3"/>
  <c r="K723" i="3"/>
  <c r="J723" i="3"/>
  <c r="F723" i="3"/>
  <c r="E723" i="3"/>
  <c r="U722" i="3"/>
  <c r="K722" i="3"/>
  <c r="J722" i="3"/>
  <c r="F722" i="3"/>
  <c r="E722" i="3"/>
  <c r="U721" i="3"/>
  <c r="K721" i="3"/>
  <c r="J721" i="3"/>
  <c r="F721" i="3"/>
  <c r="E721" i="3"/>
  <c r="U720" i="3"/>
  <c r="U733" i="3" s="1"/>
  <c r="K720" i="3"/>
  <c r="J720" i="3"/>
  <c r="F720" i="3"/>
  <c r="E720" i="3"/>
  <c r="B719" i="3"/>
  <c r="K717" i="3"/>
  <c r="J717" i="3"/>
  <c r="E717" i="3"/>
  <c r="K716" i="3"/>
  <c r="J716" i="3"/>
  <c r="F716" i="3"/>
  <c r="E716" i="3"/>
  <c r="U715" i="3"/>
  <c r="K715" i="3"/>
  <c r="J715" i="3"/>
  <c r="F715" i="3"/>
  <c r="E715" i="3"/>
  <c r="U714" i="3"/>
  <c r="K714" i="3"/>
  <c r="J714" i="3"/>
  <c r="F714" i="3"/>
  <c r="E714" i="3"/>
  <c r="U713" i="3"/>
  <c r="K713" i="3"/>
  <c r="J713" i="3"/>
  <c r="F713" i="3"/>
  <c r="E713" i="3"/>
  <c r="U712" i="3"/>
  <c r="K712" i="3"/>
  <c r="J712" i="3"/>
  <c r="F712" i="3"/>
  <c r="E712" i="3"/>
  <c r="U711" i="3"/>
  <c r="K711" i="3"/>
  <c r="J711" i="3"/>
  <c r="F711" i="3"/>
  <c r="E711" i="3"/>
  <c r="U710" i="3"/>
  <c r="K710" i="3"/>
  <c r="J710" i="3"/>
  <c r="F710" i="3"/>
  <c r="E710" i="3"/>
  <c r="U709" i="3"/>
  <c r="K709" i="3"/>
  <c r="J709" i="3"/>
  <c r="F709" i="3"/>
  <c r="E709" i="3"/>
  <c r="U708" i="3"/>
  <c r="K708" i="3"/>
  <c r="J708" i="3"/>
  <c r="F708" i="3"/>
  <c r="E708" i="3"/>
  <c r="U707" i="3"/>
  <c r="K707" i="3"/>
  <c r="J707" i="3"/>
  <c r="F707" i="3"/>
  <c r="E707" i="3"/>
  <c r="U706" i="3"/>
  <c r="K706" i="3"/>
  <c r="J706" i="3"/>
  <c r="F706" i="3"/>
  <c r="E706" i="3"/>
  <c r="U705" i="3"/>
  <c r="K705" i="3"/>
  <c r="J705" i="3"/>
  <c r="F705" i="3"/>
  <c r="E705" i="3"/>
  <c r="U704" i="3"/>
  <c r="K704" i="3"/>
  <c r="J704" i="3"/>
  <c r="F704" i="3"/>
  <c r="E704" i="3"/>
  <c r="U703" i="3"/>
  <c r="K703" i="3"/>
  <c r="J703" i="3"/>
  <c r="F703" i="3"/>
  <c r="E703" i="3"/>
  <c r="B702" i="3"/>
  <c r="K700" i="3"/>
  <c r="J700" i="3"/>
  <c r="E700" i="3"/>
  <c r="K699" i="3"/>
  <c r="J699" i="3"/>
  <c r="F699" i="3"/>
  <c r="E699" i="3"/>
  <c r="U698" i="3"/>
  <c r="K698" i="3"/>
  <c r="J698" i="3"/>
  <c r="F698" i="3"/>
  <c r="E698" i="3"/>
  <c r="U697" i="3"/>
  <c r="K697" i="3"/>
  <c r="J697" i="3"/>
  <c r="E697" i="3"/>
  <c r="U696" i="3"/>
  <c r="K696" i="3"/>
  <c r="J696" i="3"/>
  <c r="F696" i="3"/>
  <c r="E696" i="3"/>
  <c r="U695" i="3"/>
  <c r="K695" i="3"/>
  <c r="J695" i="3"/>
  <c r="F695" i="3"/>
  <c r="E695" i="3"/>
  <c r="U694" i="3"/>
  <c r="K694" i="3"/>
  <c r="J694" i="3"/>
  <c r="F694" i="3"/>
  <c r="E694" i="3"/>
  <c r="U693" i="3"/>
  <c r="K693" i="3"/>
  <c r="J693" i="3"/>
  <c r="F693" i="3"/>
  <c r="E693" i="3"/>
  <c r="U692" i="3"/>
  <c r="K692" i="3"/>
  <c r="J692" i="3"/>
  <c r="F692" i="3"/>
  <c r="E692" i="3"/>
  <c r="U691" i="3"/>
  <c r="K691" i="3"/>
  <c r="J691" i="3"/>
  <c r="F691" i="3"/>
  <c r="E691" i="3"/>
  <c r="U690" i="3"/>
  <c r="K690" i="3"/>
  <c r="J690" i="3"/>
  <c r="F690" i="3"/>
  <c r="E690" i="3"/>
  <c r="U689" i="3"/>
  <c r="K689" i="3"/>
  <c r="J689" i="3"/>
  <c r="F689" i="3"/>
  <c r="E689" i="3"/>
  <c r="U688" i="3"/>
  <c r="K688" i="3"/>
  <c r="J688" i="3"/>
  <c r="F688" i="3"/>
  <c r="E688" i="3"/>
  <c r="U687" i="3"/>
  <c r="K687" i="3"/>
  <c r="J687" i="3"/>
  <c r="F687" i="3"/>
  <c r="E687" i="3"/>
  <c r="U686" i="3"/>
  <c r="K686" i="3"/>
  <c r="J686" i="3"/>
  <c r="F686" i="3"/>
  <c r="E686" i="3"/>
  <c r="U685" i="3"/>
  <c r="K685" i="3"/>
  <c r="J685" i="3"/>
  <c r="F685" i="3"/>
  <c r="E685" i="3"/>
  <c r="U684" i="3"/>
  <c r="K684" i="3"/>
  <c r="J684" i="3"/>
  <c r="F684" i="3"/>
  <c r="E684" i="3"/>
  <c r="U683" i="3"/>
  <c r="K683" i="3"/>
  <c r="J683" i="3"/>
  <c r="F683" i="3"/>
  <c r="E683" i="3"/>
  <c r="U682" i="3"/>
  <c r="K682" i="3"/>
  <c r="J682" i="3"/>
  <c r="F682" i="3"/>
  <c r="E682" i="3"/>
  <c r="U681" i="3"/>
  <c r="K681" i="3"/>
  <c r="J681" i="3"/>
  <c r="F681" i="3"/>
  <c r="E681" i="3"/>
  <c r="U680" i="3"/>
  <c r="I700" i="3" s="1"/>
  <c r="K680" i="3"/>
  <c r="J680" i="3"/>
  <c r="F680" i="3"/>
  <c r="E680" i="3"/>
  <c r="B679" i="3"/>
  <c r="K677" i="3"/>
  <c r="J677" i="3"/>
  <c r="E677" i="3"/>
  <c r="K676" i="3"/>
  <c r="J676" i="3"/>
  <c r="F676" i="3"/>
  <c r="E676" i="3"/>
  <c r="U675" i="3"/>
  <c r="K675" i="3"/>
  <c r="J675" i="3"/>
  <c r="F675" i="3"/>
  <c r="E675" i="3"/>
  <c r="U674" i="3"/>
  <c r="K674" i="3"/>
  <c r="J674" i="3"/>
  <c r="F674" i="3"/>
  <c r="E674" i="3"/>
  <c r="U673" i="3"/>
  <c r="K673" i="3"/>
  <c r="J673" i="3"/>
  <c r="F673" i="3"/>
  <c r="E673" i="3"/>
  <c r="U672" i="3"/>
  <c r="K672" i="3"/>
  <c r="J672" i="3"/>
  <c r="F672" i="3"/>
  <c r="E672" i="3"/>
  <c r="U671" i="3"/>
  <c r="K671" i="3"/>
  <c r="J671" i="3"/>
  <c r="F671" i="3"/>
  <c r="E671" i="3"/>
  <c r="U670" i="3"/>
  <c r="K670" i="3"/>
  <c r="J670" i="3"/>
  <c r="F670" i="3"/>
  <c r="E670" i="3"/>
  <c r="U669" i="3"/>
  <c r="K669" i="3"/>
  <c r="J669" i="3"/>
  <c r="F669" i="3"/>
  <c r="E669" i="3"/>
  <c r="U668" i="3"/>
  <c r="K668" i="3"/>
  <c r="J668" i="3"/>
  <c r="F668" i="3"/>
  <c r="E668" i="3"/>
  <c r="U667" i="3"/>
  <c r="K667" i="3"/>
  <c r="J667" i="3"/>
  <c r="F667" i="3"/>
  <c r="E667" i="3"/>
  <c r="U666" i="3"/>
  <c r="K666" i="3"/>
  <c r="J666" i="3"/>
  <c r="F666" i="3"/>
  <c r="E666" i="3"/>
  <c r="U665" i="3"/>
  <c r="K665" i="3"/>
  <c r="J665" i="3"/>
  <c r="F665" i="3"/>
  <c r="E665" i="3"/>
  <c r="U664" i="3"/>
  <c r="U678" i="3" s="1"/>
  <c r="K664" i="3"/>
  <c r="J664" i="3"/>
  <c r="F664" i="3"/>
  <c r="E664" i="3"/>
  <c r="U663" i="3"/>
  <c r="I677" i="3" s="1"/>
  <c r="K663" i="3"/>
  <c r="J663" i="3"/>
  <c r="F663" i="3"/>
  <c r="E663" i="3"/>
  <c r="B662" i="3"/>
  <c r="K660" i="3"/>
  <c r="J660" i="3"/>
  <c r="E660" i="3"/>
  <c r="K659" i="3"/>
  <c r="J659" i="3"/>
  <c r="F659" i="3"/>
  <c r="E659" i="3"/>
  <c r="U658" i="3"/>
  <c r="K658" i="3"/>
  <c r="J658" i="3"/>
  <c r="F658" i="3"/>
  <c r="E658" i="3"/>
  <c r="U657" i="3"/>
  <c r="K657" i="3"/>
  <c r="J657" i="3"/>
  <c r="F657" i="3"/>
  <c r="E657" i="3"/>
  <c r="U656" i="3"/>
  <c r="K656" i="3"/>
  <c r="J656" i="3"/>
  <c r="F656" i="3"/>
  <c r="E656" i="3"/>
  <c r="U655" i="3"/>
  <c r="K655" i="3"/>
  <c r="J655" i="3"/>
  <c r="F655" i="3"/>
  <c r="E655" i="3"/>
  <c r="U654" i="3"/>
  <c r="K654" i="3"/>
  <c r="J654" i="3"/>
  <c r="F654" i="3"/>
  <c r="E654" i="3"/>
  <c r="U653" i="3"/>
  <c r="K653" i="3"/>
  <c r="J653" i="3"/>
  <c r="F653" i="3"/>
  <c r="E653" i="3"/>
  <c r="U652" i="3"/>
  <c r="K652" i="3"/>
  <c r="J652" i="3"/>
  <c r="F652" i="3"/>
  <c r="E652" i="3"/>
  <c r="U651" i="3"/>
  <c r="K651" i="3"/>
  <c r="J651" i="3"/>
  <c r="F651" i="3"/>
  <c r="E651" i="3"/>
  <c r="U650" i="3"/>
  <c r="K650" i="3"/>
  <c r="J650" i="3"/>
  <c r="F650" i="3"/>
  <c r="E650" i="3"/>
  <c r="B649" i="3"/>
  <c r="K647" i="3"/>
  <c r="J647" i="3"/>
  <c r="I647" i="3"/>
  <c r="E647" i="3"/>
  <c r="K646" i="3"/>
  <c r="J646" i="3"/>
  <c r="F646" i="3"/>
  <c r="E646" i="3"/>
  <c r="U645" i="3"/>
  <c r="K645" i="3"/>
  <c r="J645" i="3"/>
  <c r="F645" i="3"/>
  <c r="E645" i="3"/>
  <c r="U644" i="3"/>
  <c r="K644" i="3"/>
  <c r="J644" i="3"/>
  <c r="F644" i="3"/>
  <c r="E644" i="3"/>
  <c r="U643" i="3"/>
  <c r="K643" i="3"/>
  <c r="J643" i="3"/>
  <c r="F643" i="3"/>
  <c r="E643" i="3"/>
  <c r="U642" i="3"/>
  <c r="K642" i="3"/>
  <c r="J642" i="3"/>
  <c r="F642" i="3"/>
  <c r="E642" i="3"/>
  <c r="U641" i="3"/>
  <c r="K641" i="3"/>
  <c r="J641" i="3"/>
  <c r="F641" i="3"/>
  <c r="E641" i="3"/>
  <c r="U640" i="3"/>
  <c r="K640" i="3"/>
  <c r="J640" i="3"/>
  <c r="F640" i="3"/>
  <c r="E640" i="3"/>
  <c r="U639" i="3"/>
  <c r="K639" i="3"/>
  <c r="J639" i="3"/>
  <c r="F639" i="3"/>
  <c r="E639" i="3"/>
  <c r="U638" i="3"/>
  <c r="K638" i="3"/>
  <c r="J638" i="3"/>
  <c r="F638" i="3"/>
  <c r="E638" i="3"/>
  <c r="U637" i="3"/>
  <c r="K637" i="3"/>
  <c r="J637" i="3"/>
  <c r="F637" i="3"/>
  <c r="E637" i="3"/>
  <c r="U636" i="3"/>
  <c r="U648" i="3" s="1"/>
  <c r="K636" i="3"/>
  <c r="J636" i="3"/>
  <c r="F636" i="3"/>
  <c r="E636" i="3"/>
  <c r="B635" i="3"/>
  <c r="K633" i="3"/>
  <c r="J633" i="3"/>
  <c r="E633" i="3"/>
  <c r="K632" i="3"/>
  <c r="J632" i="3"/>
  <c r="F632" i="3"/>
  <c r="E632" i="3"/>
  <c r="U631" i="3"/>
  <c r="K631" i="3"/>
  <c r="J631" i="3"/>
  <c r="F631" i="3"/>
  <c r="E631" i="3"/>
  <c r="U630" i="3"/>
  <c r="K630" i="3"/>
  <c r="J630" i="3"/>
  <c r="F630" i="3"/>
  <c r="E630" i="3"/>
  <c r="U629" i="3"/>
  <c r="K629" i="3"/>
  <c r="J629" i="3"/>
  <c r="F629" i="3"/>
  <c r="E629" i="3"/>
  <c r="U628" i="3"/>
  <c r="K628" i="3"/>
  <c r="J628" i="3"/>
  <c r="F628" i="3"/>
  <c r="E628" i="3"/>
  <c r="U627" i="3"/>
  <c r="K627" i="3"/>
  <c r="J627" i="3"/>
  <c r="F627" i="3"/>
  <c r="E627" i="3"/>
  <c r="U626" i="3"/>
  <c r="K626" i="3"/>
  <c r="J626" i="3"/>
  <c r="F626" i="3"/>
  <c r="E626" i="3"/>
  <c r="U625" i="3"/>
  <c r="K625" i="3"/>
  <c r="J625" i="3"/>
  <c r="F625" i="3"/>
  <c r="E625" i="3"/>
  <c r="U624" i="3"/>
  <c r="K624" i="3"/>
  <c r="J624" i="3"/>
  <c r="F624" i="3"/>
  <c r="E624" i="3"/>
  <c r="U623" i="3"/>
  <c r="K623" i="3"/>
  <c r="J623" i="3"/>
  <c r="F623" i="3"/>
  <c r="E623" i="3"/>
  <c r="U622" i="3"/>
  <c r="K622" i="3"/>
  <c r="J622" i="3"/>
  <c r="F622" i="3"/>
  <c r="E622" i="3"/>
  <c r="U621" i="3"/>
  <c r="K621" i="3"/>
  <c r="J621" i="3"/>
  <c r="F621" i="3"/>
  <c r="E621" i="3"/>
  <c r="U620" i="3"/>
  <c r="K620" i="3"/>
  <c r="J620" i="3"/>
  <c r="F620" i="3"/>
  <c r="E620" i="3"/>
  <c r="U619" i="3"/>
  <c r="K619" i="3"/>
  <c r="J619" i="3"/>
  <c r="F619" i="3"/>
  <c r="E619" i="3"/>
  <c r="U618" i="3"/>
  <c r="K618" i="3"/>
  <c r="J618" i="3"/>
  <c r="F618" i="3"/>
  <c r="E618" i="3"/>
  <c r="U617" i="3"/>
  <c r="K617" i="3"/>
  <c r="J617" i="3"/>
  <c r="F617" i="3"/>
  <c r="E617" i="3"/>
  <c r="U616" i="3"/>
  <c r="K616" i="3"/>
  <c r="J616" i="3"/>
  <c r="F616" i="3"/>
  <c r="E616" i="3"/>
  <c r="B615" i="3"/>
  <c r="K613" i="3"/>
  <c r="J613" i="3"/>
  <c r="E613" i="3"/>
  <c r="K612" i="3"/>
  <c r="J612" i="3"/>
  <c r="F612" i="3"/>
  <c r="E612" i="3"/>
  <c r="U611" i="3"/>
  <c r="K611" i="3"/>
  <c r="J611" i="3"/>
  <c r="F611" i="3"/>
  <c r="E611" i="3"/>
  <c r="U610" i="3"/>
  <c r="K610" i="3"/>
  <c r="J610" i="3"/>
  <c r="F610" i="3"/>
  <c r="E610" i="3"/>
  <c r="U609" i="3"/>
  <c r="K609" i="3"/>
  <c r="J609" i="3"/>
  <c r="F609" i="3"/>
  <c r="E609" i="3"/>
  <c r="U608" i="3"/>
  <c r="K608" i="3"/>
  <c r="J608" i="3"/>
  <c r="F608" i="3"/>
  <c r="E608" i="3"/>
  <c r="U607" i="3"/>
  <c r="K607" i="3"/>
  <c r="J607" i="3"/>
  <c r="F607" i="3"/>
  <c r="E607" i="3"/>
  <c r="U606" i="3"/>
  <c r="K606" i="3"/>
  <c r="J606" i="3"/>
  <c r="F606" i="3"/>
  <c r="E606" i="3"/>
  <c r="U605" i="3"/>
  <c r="K605" i="3"/>
  <c r="J605" i="3"/>
  <c r="F605" i="3"/>
  <c r="E605" i="3"/>
  <c r="U604" i="3"/>
  <c r="K604" i="3"/>
  <c r="J604" i="3"/>
  <c r="F604" i="3"/>
  <c r="E604" i="3"/>
  <c r="B603" i="3"/>
  <c r="K601" i="3"/>
  <c r="J601" i="3"/>
  <c r="E601" i="3"/>
  <c r="K600" i="3"/>
  <c r="J600" i="3"/>
  <c r="F600" i="3"/>
  <c r="E600" i="3"/>
  <c r="U599" i="3"/>
  <c r="K599" i="3"/>
  <c r="J599" i="3"/>
  <c r="F599" i="3"/>
  <c r="E599" i="3"/>
  <c r="U598" i="3"/>
  <c r="K598" i="3"/>
  <c r="J598" i="3"/>
  <c r="E598" i="3"/>
  <c r="U597" i="3"/>
  <c r="K597" i="3"/>
  <c r="J597" i="3"/>
  <c r="F597" i="3"/>
  <c r="E597" i="3"/>
  <c r="U596" i="3"/>
  <c r="K596" i="3"/>
  <c r="J596" i="3"/>
  <c r="F596" i="3"/>
  <c r="E596" i="3"/>
  <c r="U595" i="3"/>
  <c r="K595" i="3"/>
  <c r="J595" i="3"/>
  <c r="F595" i="3"/>
  <c r="E595" i="3"/>
  <c r="U594" i="3"/>
  <c r="K594" i="3"/>
  <c r="J594" i="3"/>
  <c r="F594" i="3"/>
  <c r="E594" i="3"/>
  <c r="U593" i="3"/>
  <c r="K593" i="3"/>
  <c r="J593" i="3"/>
  <c r="F593" i="3"/>
  <c r="E593" i="3"/>
  <c r="U592" i="3"/>
  <c r="K592" i="3"/>
  <c r="J592" i="3"/>
  <c r="F592" i="3"/>
  <c r="E592" i="3"/>
  <c r="U591" i="3"/>
  <c r="K591" i="3"/>
  <c r="J591" i="3"/>
  <c r="F591" i="3"/>
  <c r="E591" i="3"/>
  <c r="U590" i="3"/>
  <c r="K590" i="3"/>
  <c r="J590" i="3"/>
  <c r="F590" i="3"/>
  <c r="E590" i="3"/>
  <c r="U589" i="3"/>
  <c r="K589" i="3"/>
  <c r="J589" i="3"/>
  <c r="F589" i="3"/>
  <c r="E589" i="3"/>
  <c r="U588" i="3"/>
  <c r="K588" i="3"/>
  <c r="J588" i="3"/>
  <c r="F588" i="3"/>
  <c r="E588" i="3"/>
  <c r="U587" i="3"/>
  <c r="I601" i="3" s="1"/>
  <c r="K587" i="3"/>
  <c r="J587" i="3"/>
  <c r="F587" i="3"/>
  <c r="E587" i="3"/>
  <c r="U586" i="3"/>
  <c r="K586" i="3"/>
  <c r="J586" i="3"/>
  <c r="F586" i="3"/>
  <c r="E586" i="3"/>
  <c r="B585" i="3"/>
  <c r="K583" i="3"/>
  <c r="J583" i="3"/>
  <c r="I583" i="3"/>
  <c r="G37" i="4" s="1"/>
  <c r="H37" i="4" s="1"/>
  <c r="E583" i="3"/>
  <c r="K582" i="3"/>
  <c r="J582" i="3"/>
  <c r="F582" i="3"/>
  <c r="E582" i="3"/>
  <c r="U581" i="3"/>
  <c r="K581" i="3"/>
  <c r="J581" i="3"/>
  <c r="F581" i="3"/>
  <c r="E581" i="3"/>
  <c r="U580" i="3"/>
  <c r="K580" i="3"/>
  <c r="J580" i="3"/>
  <c r="F580" i="3"/>
  <c r="E580" i="3"/>
  <c r="U579" i="3"/>
  <c r="K579" i="3"/>
  <c r="J579" i="3"/>
  <c r="F579" i="3"/>
  <c r="E579" i="3"/>
  <c r="U578" i="3"/>
  <c r="K578" i="3"/>
  <c r="J578" i="3"/>
  <c r="F578" i="3"/>
  <c r="E578" i="3"/>
  <c r="U577" i="3"/>
  <c r="K577" i="3"/>
  <c r="J577" i="3"/>
  <c r="F577" i="3"/>
  <c r="E577" i="3"/>
  <c r="U576" i="3"/>
  <c r="K576" i="3"/>
  <c r="J576" i="3"/>
  <c r="F576" i="3"/>
  <c r="E576" i="3"/>
  <c r="U575" i="3"/>
  <c r="K575" i="3"/>
  <c r="J575" i="3"/>
  <c r="F575" i="3"/>
  <c r="E575" i="3"/>
  <c r="U574" i="3"/>
  <c r="K574" i="3"/>
  <c r="J574" i="3"/>
  <c r="F574" i="3"/>
  <c r="E574" i="3"/>
  <c r="U573" i="3"/>
  <c r="K573" i="3"/>
  <c r="J573" i="3"/>
  <c r="F573" i="3"/>
  <c r="E573" i="3"/>
  <c r="U572" i="3"/>
  <c r="K572" i="3"/>
  <c r="J572" i="3"/>
  <c r="F572" i="3"/>
  <c r="E572" i="3"/>
  <c r="U571" i="3"/>
  <c r="K571" i="3"/>
  <c r="J571" i="3"/>
  <c r="F571" i="3"/>
  <c r="E571" i="3"/>
  <c r="U570" i="3"/>
  <c r="K570" i="3"/>
  <c r="J570" i="3"/>
  <c r="F570" i="3"/>
  <c r="E570" i="3"/>
  <c r="U569" i="3"/>
  <c r="K569" i="3"/>
  <c r="J569" i="3"/>
  <c r="F569" i="3"/>
  <c r="E569" i="3"/>
  <c r="U568" i="3"/>
  <c r="K568" i="3"/>
  <c r="J568" i="3"/>
  <c r="F568" i="3"/>
  <c r="E568" i="3"/>
  <c r="U567" i="3"/>
  <c r="K567" i="3"/>
  <c r="J567" i="3"/>
  <c r="F567" i="3"/>
  <c r="E567" i="3"/>
  <c r="U566" i="3"/>
  <c r="U584" i="3" s="1"/>
  <c r="K566" i="3"/>
  <c r="J566" i="3"/>
  <c r="F566" i="3"/>
  <c r="E566" i="3"/>
  <c r="B565" i="3"/>
  <c r="K563" i="3"/>
  <c r="J563" i="3"/>
  <c r="E563" i="3"/>
  <c r="K562" i="3"/>
  <c r="J562" i="3"/>
  <c r="F562" i="3"/>
  <c r="E562" i="3"/>
  <c r="U561" i="3"/>
  <c r="K561" i="3"/>
  <c r="J561" i="3"/>
  <c r="F561" i="3"/>
  <c r="E561" i="3"/>
  <c r="U560" i="3"/>
  <c r="K560" i="3"/>
  <c r="J560" i="3"/>
  <c r="F560" i="3"/>
  <c r="E560" i="3"/>
  <c r="U559" i="3"/>
  <c r="K559" i="3"/>
  <c r="J559" i="3"/>
  <c r="F559" i="3"/>
  <c r="E559" i="3"/>
  <c r="U558" i="3"/>
  <c r="K558" i="3"/>
  <c r="J558" i="3"/>
  <c r="F558" i="3"/>
  <c r="E558" i="3"/>
  <c r="U557" i="3"/>
  <c r="K557" i="3"/>
  <c r="J557" i="3"/>
  <c r="F557" i="3"/>
  <c r="E557" i="3"/>
  <c r="U556" i="3"/>
  <c r="K556" i="3"/>
  <c r="J556" i="3"/>
  <c r="F556" i="3"/>
  <c r="E556" i="3"/>
  <c r="U555" i="3"/>
  <c r="K555" i="3"/>
  <c r="J555" i="3"/>
  <c r="F555" i="3"/>
  <c r="E555" i="3"/>
  <c r="U554" i="3"/>
  <c r="I563" i="3" s="1"/>
  <c r="G36" i="4" s="1"/>
  <c r="H36" i="4" s="1"/>
  <c r="K554" i="3"/>
  <c r="J554" i="3"/>
  <c r="F554" i="3"/>
  <c r="E554" i="3"/>
  <c r="B553" i="3"/>
  <c r="U552" i="3"/>
  <c r="K551" i="3"/>
  <c r="J551" i="3"/>
  <c r="E551" i="3"/>
  <c r="K550" i="3"/>
  <c r="J550" i="3"/>
  <c r="F550" i="3"/>
  <c r="E550" i="3"/>
  <c r="U549" i="3"/>
  <c r="K549" i="3"/>
  <c r="J549" i="3"/>
  <c r="F549" i="3"/>
  <c r="E549" i="3"/>
  <c r="U548" i="3"/>
  <c r="K548" i="3"/>
  <c r="J548" i="3"/>
  <c r="F548" i="3"/>
  <c r="E548" i="3"/>
  <c r="U547" i="3"/>
  <c r="K547" i="3"/>
  <c r="J547" i="3"/>
  <c r="F547" i="3"/>
  <c r="E547" i="3"/>
  <c r="U546" i="3"/>
  <c r="K546" i="3"/>
  <c r="J546" i="3"/>
  <c r="F546" i="3"/>
  <c r="E546" i="3"/>
  <c r="U545" i="3"/>
  <c r="K545" i="3"/>
  <c r="J545" i="3"/>
  <c r="F545" i="3"/>
  <c r="E545" i="3"/>
  <c r="U544" i="3"/>
  <c r="K544" i="3"/>
  <c r="J544" i="3"/>
  <c r="F544" i="3"/>
  <c r="E544" i="3"/>
  <c r="U543" i="3"/>
  <c r="K543" i="3"/>
  <c r="J543" i="3"/>
  <c r="F543" i="3"/>
  <c r="E543" i="3"/>
  <c r="U542" i="3"/>
  <c r="I551" i="3" s="1"/>
  <c r="K542" i="3"/>
  <c r="J542" i="3"/>
  <c r="F542" i="3"/>
  <c r="E542" i="3"/>
  <c r="B541" i="3"/>
  <c r="K539" i="3"/>
  <c r="J539" i="3"/>
  <c r="E539" i="3"/>
  <c r="K538" i="3"/>
  <c r="J538" i="3"/>
  <c r="F538" i="3"/>
  <c r="E538" i="3"/>
  <c r="U537" i="3"/>
  <c r="K537" i="3"/>
  <c r="J537" i="3"/>
  <c r="F537" i="3"/>
  <c r="E537" i="3"/>
  <c r="U536" i="3"/>
  <c r="K536" i="3"/>
  <c r="J536" i="3"/>
  <c r="F536" i="3"/>
  <c r="E536" i="3"/>
  <c r="U535" i="3"/>
  <c r="K535" i="3"/>
  <c r="J535" i="3"/>
  <c r="F535" i="3"/>
  <c r="E535" i="3"/>
  <c r="U534" i="3"/>
  <c r="K534" i="3"/>
  <c r="J534" i="3"/>
  <c r="F534" i="3"/>
  <c r="E534" i="3"/>
  <c r="U533" i="3"/>
  <c r="K533" i="3"/>
  <c r="J533" i="3"/>
  <c r="F533" i="3"/>
  <c r="E533" i="3"/>
  <c r="U532" i="3"/>
  <c r="K532" i="3"/>
  <c r="J532" i="3"/>
  <c r="F532" i="3"/>
  <c r="E532" i="3"/>
  <c r="U531" i="3"/>
  <c r="K531" i="3"/>
  <c r="J531" i="3"/>
  <c r="F531" i="3"/>
  <c r="E531" i="3"/>
  <c r="U530" i="3"/>
  <c r="K530" i="3"/>
  <c r="J530" i="3"/>
  <c r="F530" i="3"/>
  <c r="E530" i="3"/>
  <c r="U529" i="3"/>
  <c r="K529" i="3"/>
  <c r="J529" i="3"/>
  <c r="F529" i="3"/>
  <c r="E529" i="3"/>
  <c r="U528" i="3"/>
  <c r="K528" i="3"/>
  <c r="J528" i="3"/>
  <c r="F528" i="3"/>
  <c r="E528" i="3"/>
  <c r="U527" i="3"/>
  <c r="K527" i="3"/>
  <c r="J527" i="3"/>
  <c r="F527" i="3"/>
  <c r="E527" i="3"/>
  <c r="U526" i="3"/>
  <c r="I539" i="3" s="1"/>
  <c r="K526" i="3"/>
  <c r="J526" i="3"/>
  <c r="F526" i="3"/>
  <c r="E526" i="3"/>
  <c r="B525" i="3"/>
  <c r="K523" i="3"/>
  <c r="J523" i="3"/>
  <c r="E523" i="3"/>
  <c r="K522" i="3"/>
  <c r="J522" i="3"/>
  <c r="F522" i="3"/>
  <c r="E522" i="3"/>
  <c r="U521" i="3"/>
  <c r="K521" i="3"/>
  <c r="J521" i="3"/>
  <c r="F521" i="3"/>
  <c r="E521" i="3"/>
  <c r="U520" i="3"/>
  <c r="K520" i="3"/>
  <c r="J520" i="3"/>
  <c r="F520" i="3"/>
  <c r="E520" i="3"/>
  <c r="U519" i="3"/>
  <c r="K519" i="3"/>
  <c r="J519" i="3"/>
  <c r="F519" i="3"/>
  <c r="E519" i="3"/>
  <c r="U518" i="3"/>
  <c r="K518" i="3"/>
  <c r="J518" i="3"/>
  <c r="F518" i="3"/>
  <c r="E518" i="3"/>
  <c r="U517" i="3"/>
  <c r="K517" i="3"/>
  <c r="J517" i="3"/>
  <c r="F517" i="3"/>
  <c r="E517" i="3"/>
  <c r="U516" i="3"/>
  <c r="K516" i="3"/>
  <c r="J516" i="3"/>
  <c r="F516" i="3"/>
  <c r="E516" i="3"/>
  <c r="U515" i="3"/>
  <c r="K515" i="3"/>
  <c r="J515" i="3"/>
  <c r="F515" i="3"/>
  <c r="E515" i="3"/>
  <c r="U514" i="3"/>
  <c r="K514" i="3"/>
  <c r="J514" i="3"/>
  <c r="F514" i="3"/>
  <c r="E514" i="3"/>
  <c r="U513" i="3"/>
  <c r="K513" i="3"/>
  <c r="J513" i="3"/>
  <c r="F513" i="3"/>
  <c r="E513" i="3"/>
  <c r="U512" i="3"/>
  <c r="K512" i="3"/>
  <c r="J512" i="3"/>
  <c r="F512" i="3"/>
  <c r="E512" i="3"/>
  <c r="U511" i="3"/>
  <c r="K511" i="3"/>
  <c r="J511" i="3"/>
  <c r="F511" i="3"/>
  <c r="E511" i="3"/>
  <c r="U510" i="3"/>
  <c r="K510" i="3"/>
  <c r="J510" i="3"/>
  <c r="F510" i="3"/>
  <c r="E510" i="3"/>
  <c r="B509" i="3"/>
  <c r="K507" i="3"/>
  <c r="J507" i="3"/>
  <c r="E507" i="3"/>
  <c r="K506" i="3"/>
  <c r="J506" i="3"/>
  <c r="F506" i="3"/>
  <c r="E506" i="3"/>
  <c r="U505" i="3"/>
  <c r="K505" i="3"/>
  <c r="J505" i="3"/>
  <c r="F505" i="3"/>
  <c r="E505" i="3"/>
  <c r="U504" i="3"/>
  <c r="K504" i="3"/>
  <c r="J504" i="3"/>
  <c r="F504" i="3"/>
  <c r="E504" i="3"/>
  <c r="U503" i="3"/>
  <c r="K503" i="3"/>
  <c r="J503" i="3"/>
  <c r="F503" i="3"/>
  <c r="E503" i="3"/>
  <c r="U502" i="3"/>
  <c r="K502" i="3"/>
  <c r="J502" i="3"/>
  <c r="F502" i="3"/>
  <c r="E502" i="3"/>
  <c r="U501" i="3"/>
  <c r="K501" i="3"/>
  <c r="J501" i="3"/>
  <c r="F501" i="3"/>
  <c r="E501" i="3"/>
  <c r="U500" i="3"/>
  <c r="K500" i="3"/>
  <c r="J500" i="3"/>
  <c r="F500" i="3"/>
  <c r="E500" i="3"/>
  <c r="U499" i="3"/>
  <c r="K499" i="3"/>
  <c r="J499" i="3"/>
  <c r="F499" i="3"/>
  <c r="E499" i="3"/>
  <c r="U498" i="3"/>
  <c r="K498" i="3"/>
  <c r="J498" i="3"/>
  <c r="F498" i="3"/>
  <c r="E498" i="3"/>
  <c r="U497" i="3"/>
  <c r="K497" i="3"/>
  <c r="J497" i="3"/>
  <c r="F497" i="3"/>
  <c r="E497" i="3"/>
  <c r="U496" i="3"/>
  <c r="K496" i="3"/>
  <c r="J496" i="3"/>
  <c r="F496" i="3"/>
  <c r="E496" i="3"/>
  <c r="U495" i="3"/>
  <c r="K495" i="3"/>
  <c r="J495" i="3"/>
  <c r="F495" i="3"/>
  <c r="E495" i="3"/>
  <c r="U494" i="3"/>
  <c r="K494" i="3"/>
  <c r="J494" i="3"/>
  <c r="F494" i="3"/>
  <c r="E494" i="3"/>
  <c r="B493" i="3"/>
  <c r="K491" i="3"/>
  <c r="J491" i="3"/>
  <c r="I491" i="3"/>
  <c r="E491" i="3"/>
  <c r="K490" i="3"/>
  <c r="J490" i="3"/>
  <c r="F490" i="3"/>
  <c r="E490" i="3"/>
  <c r="U489" i="3"/>
  <c r="K489" i="3"/>
  <c r="J489" i="3"/>
  <c r="F489" i="3"/>
  <c r="E489" i="3"/>
  <c r="U488" i="3"/>
  <c r="K488" i="3"/>
  <c r="J488" i="3"/>
  <c r="F488" i="3"/>
  <c r="E488" i="3"/>
  <c r="U487" i="3"/>
  <c r="K487" i="3"/>
  <c r="J487" i="3"/>
  <c r="F487" i="3"/>
  <c r="E487" i="3"/>
  <c r="U486" i="3"/>
  <c r="K486" i="3"/>
  <c r="J486" i="3"/>
  <c r="F486" i="3"/>
  <c r="E486" i="3"/>
  <c r="U485" i="3"/>
  <c r="K485" i="3"/>
  <c r="J485" i="3"/>
  <c r="F485" i="3"/>
  <c r="E485" i="3"/>
  <c r="U484" i="3"/>
  <c r="K484" i="3"/>
  <c r="J484" i="3"/>
  <c r="F484" i="3"/>
  <c r="E484" i="3"/>
  <c r="U483" i="3"/>
  <c r="K483" i="3"/>
  <c r="J483" i="3"/>
  <c r="F483" i="3"/>
  <c r="E483" i="3"/>
  <c r="U482" i="3"/>
  <c r="K482" i="3"/>
  <c r="J482" i="3"/>
  <c r="F482" i="3"/>
  <c r="E482" i="3"/>
  <c r="U481" i="3"/>
  <c r="K481" i="3"/>
  <c r="J481" i="3"/>
  <c r="F481" i="3"/>
  <c r="E481" i="3"/>
  <c r="U480" i="3"/>
  <c r="K480" i="3"/>
  <c r="J480" i="3"/>
  <c r="F480" i="3"/>
  <c r="E480" i="3"/>
  <c r="U479" i="3"/>
  <c r="K479" i="3"/>
  <c r="J479" i="3"/>
  <c r="F479" i="3"/>
  <c r="E479" i="3"/>
  <c r="U478" i="3"/>
  <c r="U492" i="3" s="1"/>
  <c r="K478" i="3"/>
  <c r="J478" i="3"/>
  <c r="F478" i="3"/>
  <c r="E478" i="3"/>
  <c r="B477" i="3"/>
  <c r="K475" i="3"/>
  <c r="J475" i="3"/>
  <c r="E475" i="3"/>
  <c r="K474" i="3"/>
  <c r="J474" i="3"/>
  <c r="F474" i="3"/>
  <c r="E474" i="3"/>
  <c r="U473" i="3"/>
  <c r="K473" i="3"/>
  <c r="J473" i="3"/>
  <c r="F473" i="3"/>
  <c r="E473" i="3"/>
  <c r="U472" i="3"/>
  <c r="K472" i="3"/>
  <c r="J472" i="3"/>
  <c r="F472" i="3"/>
  <c r="E472" i="3"/>
  <c r="U471" i="3"/>
  <c r="K471" i="3"/>
  <c r="J471" i="3"/>
  <c r="F471" i="3"/>
  <c r="E471" i="3"/>
  <c r="U470" i="3"/>
  <c r="K470" i="3"/>
  <c r="J470" i="3"/>
  <c r="F470" i="3"/>
  <c r="E470" i="3"/>
  <c r="U469" i="3"/>
  <c r="K469" i="3"/>
  <c r="J469" i="3"/>
  <c r="F469" i="3"/>
  <c r="E469" i="3"/>
  <c r="U468" i="3"/>
  <c r="K468" i="3"/>
  <c r="J468" i="3"/>
  <c r="F468" i="3"/>
  <c r="E468" i="3"/>
  <c r="U467" i="3"/>
  <c r="K467" i="3"/>
  <c r="J467" i="3"/>
  <c r="F467" i="3"/>
  <c r="E467" i="3"/>
  <c r="U466" i="3"/>
  <c r="K466" i="3"/>
  <c r="J466" i="3"/>
  <c r="F466" i="3"/>
  <c r="E466" i="3"/>
  <c r="U465" i="3"/>
  <c r="K465" i="3"/>
  <c r="J465" i="3"/>
  <c r="F465" i="3"/>
  <c r="E465" i="3"/>
  <c r="U464" i="3"/>
  <c r="K464" i="3"/>
  <c r="J464" i="3"/>
  <c r="F464" i="3"/>
  <c r="E464" i="3"/>
  <c r="U463" i="3"/>
  <c r="K463" i="3"/>
  <c r="J463" i="3"/>
  <c r="F463" i="3"/>
  <c r="E463" i="3"/>
  <c r="U462" i="3"/>
  <c r="I475" i="3" s="1"/>
  <c r="G30" i="4" s="1"/>
  <c r="H30" i="4" s="1"/>
  <c r="K462" i="3"/>
  <c r="J462" i="3"/>
  <c r="F462" i="3"/>
  <c r="E462" i="3"/>
  <c r="B461" i="3"/>
  <c r="K459" i="3"/>
  <c r="J459" i="3"/>
  <c r="E459" i="3"/>
  <c r="K458" i="3"/>
  <c r="J458" i="3"/>
  <c r="F458" i="3"/>
  <c r="E458" i="3"/>
  <c r="U457" i="3"/>
  <c r="K457" i="3"/>
  <c r="J457" i="3"/>
  <c r="F457" i="3"/>
  <c r="E457" i="3"/>
  <c r="U456" i="3"/>
  <c r="K456" i="3"/>
  <c r="J456" i="3"/>
  <c r="F456" i="3"/>
  <c r="E456" i="3"/>
  <c r="U455" i="3"/>
  <c r="K455" i="3"/>
  <c r="J455" i="3"/>
  <c r="F455" i="3"/>
  <c r="E455" i="3"/>
  <c r="U454" i="3"/>
  <c r="K454" i="3"/>
  <c r="J454" i="3"/>
  <c r="F454" i="3"/>
  <c r="E454" i="3"/>
  <c r="U453" i="3"/>
  <c r="K453" i="3"/>
  <c r="J453" i="3"/>
  <c r="F453" i="3"/>
  <c r="E453" i="3"/>
  <c r="U452" i="3"/>
  <c r="K452" i="3"/>
  <c r="J452" i="3"/>
  <c r="F452" i="3"/>
  <c r="E452" i="3"/>
  <c r="U451" i="3"/>
  <c r="K451" i="3"/>
  <c r="J451" i="3"/>
  <c r="F451" i="3"/>
  <c r="E451" i="3"/>
  <c r="U450" i="3"/>
  <c r="K450" i="3"/>
  <c r="J450" i="3"/>
  <c r="F450" i="3"/>
  <c r="E450" i="3"/>
  <c r="U449" i="3"/>
  <c r="K449" i="3"/>
  <c r="J449" i="3"/>
  <c r="F449" i="3"/>
  <c r="E449" i="3"/>
  <c r="U448" i="3"/>
  <c r="K448" i="3"/>
  <c r="J448" i="3"/>
  <c r="F448" i="3"/>
  <c r="E448" i="3"/>
  <c r="U447" i="3"/>
  <c r="K447" i="3"/>
  <c r="J447" i="3"/>
  <c r="F447" i="3"/>
  <c r="E447" i="3"/>
  <c r="U446" i="3"/>
  <c r="U460" i="3" s="1"/>
  <c r="K446" i="3"/>
  <c r="J446" i="3"/>
  <c r="F446" i="3"/>
  <c r="E446" i="3"/>
  <c r="B445" i="3"/>
  <c r="K443" i="3"/>
  <c r="J443" i="3"/>
  <c r="E443" i="3"/>
  <c r="K442" i="3"/>
  <c r="J442" i="3"/>
  <c r="F442" i="3"/>
  <c r="E442" i="3"/>
  <c r="U441" i="3"/>
  <c r="K441" i="3"/>
  <c r="J441" i="3"/>
  <c r="F441" i="3"/>
  <c r="E441" i="3"/>
  <c r="U440" i="3"/>
  <c r="K440" i="3"/>
  <c r="J440" i="3"/>
  <c r="F440" i="3"/>
  <c r="E440" i="3"/>
  <c r="U439" i="3"/>
  <c r="K439" i="3"/>
  <c r="J439" i="3"/>
  <c r="F439" i="3"/>
  <c r="E439" i="3"/>
  <c r="U438" i="3"/>
  <c r="K438" i="3"/>
  <c r="J438" i="3"/>
  <c r="F438" i="3"/>
  <c r="E438" i="3"/>
  <c r="U437" i="3"/>
  <c r="K437" i="3"/>
  <c r="J437" i="3"/>
  <c r="F437" i="3"/>
  <c r="E437" i="3"/>
  <c r="U436" i="3"/>
  <c r="K436" i="3"/>
  <c r="J436" i="3"/>
  <c r="F436" i="3"/>
  <c r="E436" i="3"/>
  <c r="U435" i="3"/>
  <c r="K435" i="3"/>
  <c r="J435" i="3"/>
  <c r="F435" i="3"/>
  <c r="E435" i="3"/>
  <c r="U434" i="3"/>
  <c r="K434" i="3"/>
  <c r="J434" i="3"/>
  <c r="F434" i="3"/>
  <c r="E434" i="3"/>
  <c r="U433" i="3"/>
  <c r="K433" i="3"/>
  <c r="J433" i="3"/>
  <c r="F433" i="3"/>
  <c r="E433" i="3"/>
  <c r="U432" i="3"/>
  <c r="K432" i="3"/>
  <c r="J432" i="3"/>
  <c r="F432" i="3"/>
  <c r="E432" i="3"/>
  <c r="U431" i="3"/>
  <c r="K431" i="3"/>
  <c r="J431" i="3"/>
  <c r="F431" i="3"/>
  <c r="E431" i="3"/>
  <c r="U430" i="3"/>
  <c r="K430" i="3"/>
  <c r="J430" i="3"/>
  <c r="F430" i="3"/>
  <c r="E430" i="3"/>
  <c r="B429" i="3"/>
  <c r="K427" i="3"/>
  <c r="J427" i="3"/>
  <c r="E427" i="3"/>
  <c r="K426" i="3"/>
  <c r="J426" i="3"/>
  <c r="F426" i="3"/>
  <c r="E426" i="3"/>
  <c r="U425" i="3"/>
  <c r="K425" i="3"/>
  <c r="J425" i="3"/>
  <c r="F425" i="3"/>
  <c r="E425" i="3"/>
  <c r="U424" i="3"/>
  <c r="K424" i="3"/>
  <c r="J424" i="3"/>
  <c r="F424" i="3"/>
  <c r="E424" i="3"/>
  <c r="U423" i="3"/>
  <c r="K423" i="3"/>
  <c r="J423" i="3"/>
  <c r="F423" i="3"/>
  <c r="E423" i="3"/>
  <c r="U422" i="3"/>
  <c r="K422" i="3"/>
  <c r="J422" i="3"/>
  <c r="F422" i="3"/>
  <c r="E422" i="3"/>
  <c r="U421" i="3"/>
  <c r="K421" i="3"/>
  <c r="J421" i="3"/>
  <c r="F421" i="3"/>
  <c r="E421" i="3"/>
  <c r="U420" i="3"/>
  <c r="K420" i="3"/>
  <c r="J420" i="3"/>
  <c r="F420" i="3"/>
  <c r="E420" i="3"/>
  <c r="U419" i="3"/>
  <c r="K419" i="3"/>
  <c r="J419" i="3"/>
  <c r="F419" i="3"/>
  <c r="E419" i="3"/>
  <c r="U418" i="3"/>
  <c r="K418" i="3"/>
  <c r="J418" i="3"/>
  <c r="F418" i="3"/>
  <c r="E418" i="3"/>
  <c r="U417" i="3"/>
  <c r="K417" i="3"/>
  <c r="J417" i="3"/>
  <c r="F417" i="3"/>
  <c r="E417" i="3"/>
  <c r="U416" i="3"/>
  <c r="I427" i="3" s="1"/>
  <c r="K416" i="3"/>
  <c r="J416" i="3"/>
  <c r="F416" i="3"/>
  <c r="E416" i="3"/>
  <c r="U415" i="3"/>
  <c r="K415" i="3"/>
  <c r="J415" i="3"/>
  <c r="F415" i="3"/>
  <c r="E415" i="3"/>
  <c r="U414" i="3"/>
  <c r="K414" i="3"/>
  <c r="J414" i="3"/>
  <c r="F414" i="3"/>
  <c r="E414" i="3"/>
  <c r="B413" i="3"/>
  <c r="K411" i="3"/>
  <c r="J411" i="3"/>
  <c r="E411" i="3"/>
  <c r="K410" i="3"/>
  <c r="J410" i="3"/>
  <c r="F410" i="3"/>
  <c r="E410" i="3"/>
  <c r="U409" i="3"/>
  <c r="K409" i="3"/>
  <c r="J409" i="3"/>
  <c r="F409" i="3"/>
  <c r="E409" i="3"/>
  <c r="U408" i="3"/>
  <c r="K408" i="3"/>
  <c r="J408" i="3"/>
  <c r="F408" i="3"/>
  <c r="E408" i="3"/>
  <c r="U407" i="3"/>
  <c r="K407" i="3"/>
  <c r="J407" i="3"/>
  <c r="F407" i="3"/>
  <c r="E407" i="3"/>
  <c r="U406" i="3"/>
  <c r="K406" i="3"/>
  <c r="J406" i="3"/>
  <c r="F406" i="3"/>
  <c r="E406" i="3"/>
  <c r="U405" i="3"/>
  <c r="K405" i="3"/>
  <c r="J405" i="3"/>
  <c r="F405" i="3"/>
  <c r="E405" i="3"/>
  <c r="U404" i="3"/>
  <c r="K404" i="3"/>
  <c r="J404" i="3"/>
  <c r="F404" i="3"/>
  <c r="E404" i="3"/>
  <c r="U403" i="3"/>
  <c r="K403" i="3"/>
  <c r="J403" i="3"/>
  <c r="F403" i="3"/>
  <c r="E403" i="3"/>
  <c r="U402" i="3"/>
  <c r="K402" i="3"/>
  <c r="J402" i="3"/>
  <c r="F402" i="3"/>
  <c r="E402" i="3"/>
  <c r="U401" i="3"/>
  <c r="K401" i="3"/>
  <c r="J401" i="3"/>
  <c r="F401" i="3"/>
  <c r="E401" i="3"/>
  <c r="U400" i="3"/>
  <c r="K400" i="3"/>
  <c r="J400" i="3"/>
  <c r="F400" i="3"/>
  <c r="E400" i="3"/>
  <c r="U399" i="3"/>
  <c r="K399" i="3"/>
  <c r="J399" i="3"/>
  <c r="F399" i="3"/>
  <c r="E399" i="3"/>
  <c r="U398" i="3"/>
  <c r="K398" i="3"/>
  <c r="J398" i="3"/>
  <c r="F398" i="3"/>
  <c r="E398" i="3"/>
  <c r="B397" i="3"/>
  <c r="K395" i="3"/>
  <c r="J395" i="3"/>
  <c r="E395" i="3"/>
  <c r="K394" i="3"/>
  <c r="J394" i="3"/>
  <c r="F394" i="3"/>
  <c r="E394" i="3"/>
  <c r="U393" i="3"/>
  <c r="K393" i="3"/>
  <c r="J393" i="3"/>
  <c r="F393" i="3"/>
  <c r="E393" i="3"/>
  <c r="U392" i="3"/>
  <c r="K392" i="3"/>
  <c r="J392" i="3"/>
  <c r="F392" i="3"/>
  <c r="E392" i="3"/>
  <c r="U391" i="3"/>
  <c r="K391" i="3"/>
  <c r="J391" i="3"/>
  <c r="F391" i="3"/>
  <c r="E391" i="3"/>
  <c r="U390" i="3"/>
  <c r="K390" i="3"/>
  <c r="J390" i="3"/>
  <c r="F390" i="3"/>
  <c r="E390" i="3"/>
  <c r="U389" i="3"/>
  <c r="K389" i="3"/>
  <c r="J389" i="3"/>
  <c r="F389" i="3"/>
  <c r="E389" i="3"/>
  <c r="U388" i="3"/>
  <c r="K388" i="3"/>
  <c r="J388" i="3"/>
  <c r="F388" i="3"/>
  <c r="E388" i="3"/>
  <c r="U387" i="3"/>
  <c r="K387" i="3"/>
  <c r="J387" i="3"/>
  <c r="F387" i="3"/>
  <c r="E387" i="3"/>
  <c r="U386" i="3"/>
  <c r="I395" i="3" s="1"/>
  <c r="K386" i="3"/>
  <c r="J386" i="3"/>
  <c r="F386" i="3"/>
  <c r="E386" i="3"/>
  <c r="U385" i="3"/>
  <c r="K385" i="3"/>
  <c r="J385" i="3"/>
  <c r="F385" i="3"/>
  <c r="E385" i="3"/>
  <c r="U384" i="3"/>
  <c r="U396" i="3" s="1"/>
  <c r="K384" i="3"/>
  <c r="J384" i="3"/>
  <c r="F384" i="3"/>
  <c r="E384" i="3"/>
  <c r="U383" i="3"/>
  <c r="K383" i="3"/>
  <c r="J383" i="3"/>
  <c r="F383" i="3"/>
  <c r="E383" i="3"/>
  <c r="U382" i="3"/>
  <c r="K382" i="3"/>
  <c r="J382" i="3"/>
  <c r="F382" i="3"/>
  <c r="E382" i="3"/>
  <c r="B381" i="3"/>
  <c r="K379" i="3"/>
  <c r="J379" i="3"/>
  <c r="E379" i="3"/>
  <c r="K378" i="3"/>
  <c r="J378" i="3"/>
  <c r="F378" i="3"/>
  <c r="E378" i="3"/>
  <c r="U377" i="3"/>
  <c r="K377" i="3"/>
  <c r="J377" i="3"/>
  <c r="F377" i="3"/>
  <c r="E377" i="3"/>
  <c r="U376" i="3"/>
  <c r="K376" i="3"/>
  <c r="J376" i="3"/>
  <c r="F376" i="3"/>
  <c r="E376" i="3"/>
  <c r="U375" i="3"/>
  <c r="K375" i="3"/>
  <c r="J375" i="3"/>
  <c r="F375" i="3"/>
  <c r="E375" i="3"/>
  <c r="U374" i="3"/>
  <c r="K374" i="3"/>
  <c r="J374" i="3"/>
  <c r="F374" i="3"/>
  <c r="E374" i="3"/>
  <c r="U373" i="3"/>
  <c r="K373" i="3"/>
  <c r="J373" i="3"/>
  <c r="F373" i="3"/>
  <c r="E373" i="3"/>
  <c r="U372" i="3"/>
  <c r="K372" i="3"/>
  <c r="J372" i="3"/>
  <c r="F372" i="3"/>
  <c r="E372" i="3"/>
  <c r="U371" i="3"/>
  <c r="K371" i="3"/>
  <c r="J371" i="3"/>
  <c r="F371" i="3"/>
  <c r="E371" i="3"/>
  <c r="U370" i="3"/>
  <c r="K370" i="3"/>
  <c r="J370" i="3"/>
  <c r="F370" i="3"/>
  <c r="E370" i="3"/>
  <c r="U369" i="3"/>
  <c r="K369" i="3"/>
  <c r="J369" i="3"/>
  <c r="F369" i="3"/>
  <c r="E369" i="3"/>
  <c r="U368" i="3"/>
  <c r="U380" i="3" s="1"/>
  <c r="K368" i="3"/>
  <c r="J368" i="3"/>
  <c r="F368" i="3"/>
  <c r="E368" i="3"/>
  <c r="U367" i="3"/>
  <c r="K367" i="3"/>
  <c r="J367" i="3"/>
  <c r="F367" i="3"/>
  <c r="E367" i="3"/>
  <c r="U366" i="3"/>
  <c r="I379" i="3" s="1"/>
  <c r="K366" i="3"/>
  <c r="J366" i="3"/>
  <c r="F366" i="3"/>
  <c r="E366" i="3"/>
  <c r="B365" i="3"/>
  <c r="K363" i="3"/>
  <c r="J363" i="3"/>
  <c r="I363" i="3"/>
  <c r="G23" i="4" s="1"/>
  <c r="H23" i="4" s="1"/>
  <c r="E363" i="3"/>
  <c r="K362" i="3"/>
  <c r="J362" i="3"/>
  <c r="F362" i="3"/>
  <c r="E362" i="3"/>
  <c r="U361" i="3"/>
  <c r="K361" i="3"/>
  <c r="J361" i="3"/>
  <c r="F361" i="3"/>
  <c r="E361" i="3"/>
  <c r="U360" i="3"/>
  <c r="K360" i="3"/>
  <c r="J360" i="3"/>
  <c r="F360" i="3"/>
  <c r="E360" i="3"/>
  <c r="U359" i="3"/>
  <c r="K359" i="3"/>
  <c r="J359" i="3"/>
  <c r="F359" i="3"/>
  <c r="E359" i="3"/>
  <c r="U358" i="3"/>
  <c r="K358" i="3"/>
  <c r="J358" i="3"/>
  <c r="F358" i="3"/>
  <c r="E358" i="3"/>
  <c r="U357" i="3"/>
  <c r="K357" i="3"/>
  <c r="J357" i="3"/>
  <c r="F357" i="3"/>
  <c r="E357" i="3"/>
  <c r="U356" i="3"/>
  <c r="K356" i="3"/>
  <c r="J356" i="3"/>
  <c r="F356" i="3"/>
  <c r="E356" i="3"/>
  <c r="U355" i="3"/>
  <c r="K355" i="3"/>
  <c r="J355" i="3"/>
  <c r="F355" i="3"/>
  <c r="E355" i="3"/>
  <c r="U354" i="3"/>
  <c r="K354" i="3"/>
  <c r="J354" i="3"/>
  <c r="F354" i="3"/>
  <c r="E354" i="3"/>
  <c r="U353" i="3"/>
  <c r="K353" i="3"/>
  <c r="J353" i="3"/>
  <c r="F353" i="3"/>
  <c r="E353" i="3"/>
  <c r="U352" i="3"/>
  <c r="K352" i="3"/>
  <c r="J352" i="3"/>
  <c r="F352" i="3"/>
  <c r="E352" i="3"/>
  <c r="U351" i="3"/>
  <c r="K351" i="3"/>
  <c r="J351" i="3"/>
  <c r="F351" i="3"/>
  <c r="E351" i="3"/>
  <c r="U350" i="3"/>
  <c r="U364" i="3" s="1"/>
  <c r="K350" i="3"/>
  <c r="J350" i="3"/>
  <c r="F350" i="3"/>
  <c r="E350" i="3"/>
  <c r="B349" i="3"/>
  <c r="K347" i="3"/>
  <c r="J347" i="3"/>
  <c r="E347" i="3"/>
  <c r="K346" i="3"/>
  <c r="J346" i="3"/>
  <c r="F346" i="3"/>
  <c r="E346" i="3"/>
  <c r="U345" i="3"/>
  <c r="K345" i="3"/>
  <c r="J345" i="3"/>
  <c r="F345" i="3"/>
  <c r="E345" i="3"/>
  <c r="U344" i="3"/>
  <c r="K344" i="3"/>
  <c r="J344" i="3"/>
  <c r="F344" i="3"/>
  <c r="E344" i="3"/>
  <c r="U343" i="3"/>
  <c r="K343" i="3"/>
  <c r="J343" i="3"/>
  <c r="F343" i="3"/>
  <c r="E343" i="3"/>
  <c r="U342" i="3"/>
  <c r="K342" i="3"/>
  <c r="J342" i="3"/>
  <c r="F342" i="3"/>
  <c r="E342" i="3"/>
  <c r="U341" i="3"/>
  <c r="K341" i="3"/>
  <c r="J341" i="3"/>
  <c r="F341" i="3"/>
  <c r="E341" i="3"/>
  <c r="U340" i="3"/>
  <c r="K340" i="3"/>
  <c r="J340" i="3"/>
  <c r="F340" i="3"/>
  <c r="E340" i="3"/>
  <c r="U339" i="3"/>
  <c r="K339" i="3"/>
  <c r="J339" i="3"/>
  <c r="F339" i="3"/>
  <c r="E339" i="3"/>
  <c r="U338" i="3"/>
  <c r="K338" i="3"/>
  <c r="J338" i="3"/>
  <c r="F338" i="3"/>
  <c r="E338" i="3"/>
  <c r="U337" i="3"/>
  <c r="K337" i="3"/>
  <c r="J337" i="3"/>
  <c r="F337" i="3"/>
  <c r="E337" i="3"/>
  <c r="U336" i="3"/>
  <c r="K336" i="3"/>
  <c r="J336" i="3"/>
  <c r="F336" i="3"/>
  <c r="E336" i="3"/>
  <c r="U335" i="3"/>
  <c r="I347" i="3" s="1"/>
  <c r="K335" i="3"/>
  <c r="J335" i="3"/>
  <c r="F335" i="3"/>
  <c r="E335" i="3"/>
  <c r="U334" i="3"/>
  <c r="U348" i="3" s="1"/>
  <c r="K334" i="3"/>
  <c r="J334" i="3"/>
  <c r="F334" i="3"/>
  <c r="E334" i="3"/>
  <c r="B333" i="3"/>
  <c r="K331" i="3"/>
  <c r="J331" i="3"/>
  <c r="E331" i="3"/>
  <c r="K330" i="3"/>
  <c r="J330" i="3"/>
  <c r="F330" i="3"/>
  <c r="E330" i="3"/>
  <c r="U329" i="3"/>
  <c r="K329" i="3"/>
  <c r="J329" i="3"/>
  <c r="F329" i="3"/>
  <c r="E329" i="3"/>
  <c r="U328" i="3"/>
  <c r="K328" i="3"/>
  <c r="J328" i="3"/>
  <c r="F328" i="3"/>
  <c r="E328" i="3"/>
  <c r="U327" i="3"/>
  <c r="K327" i="3"/>
  <c r="J327" i="3"/>
  <c r="F327" i="3"/>
  <c r="E327" i="3"/>
  <c r="U326" i="3"/>
  <c r="K326" i="3"/>
  <c r="J326" i="3"/>
  <c r="F326" i="3"/>
  <c r="E326" i="3"/>
  <c r="U325" i="3"/>
  <c r="K325" i="3"/>
  <c r="J325" i="3"/>
  <c r="F325" i="3"/>
  <c r="E325" i="3"/>
  <c r="U324" i="3"/>
  <c r="K324" i="3"/>
  <c r="J324" i="3"/>
  <c r="F324" i="3"/>
  <c r="E324" i="3"/>
  <c r="U323" i="3"/>
  <c r="K323" i="3"/>
  <c r="J323" i="3"/>
  <c r="F323" i="3"/>
  <c r="E323" i="3"/>
  <c r="U322" i="3"/>
  <c r="K322" i="3"/>
  <c r="J322" i="3"/>
  <c r="F322" i="3"/>
  <c r="E322" i="3"/>
  <c r="U321" i="3"/>
  <c r="K321" i="3"/>
  <c r="J321" i="3"/>
  <c r="F321" i="3"/>
  <c r="E321" i="3"/>
  <c r="U320" i="3"/>
  <c r="K320" i="3"/>
  <c r="J320" i="3"/>
  <c r="F320" i="3"/>
  <c r="E320" i="3"/>
  <c r="U319" i="3"/>
  <c r="K319" i="3"/>
  <c r="J319" i="3"/>
  <c r="F319" i="3"/>
  <c r="E319" i="3"/>
  <c r="U318" i="3"/>
  <c r="K318" i="3"/>
  <c r="J318" i="3"/>
  <c r="F318" i="3"/>
  <c r="E318" i="3"/>
  <c r="B317" i="3"/>
  <c r="K315" i="3"/>
  <c r="J315" i="3"/>
  <c r="E315" i="3"/>
  <c r="K314" i="3"/>
  <c r="J314" i="3"/>
  <c r="F314" i="3"/>
  <c r="E314" i="3"/>
  <c r="U313" i="3"/>
  <c r="K313" i="3"/>
  <c r="J313" i="3"/>
  <c r="F313" i="3"/>
  <c r="E313" i="3"/>
  <c r="U312" i="3"/>
  <c r="K312" i="3"/>
  <c r="J312" i="3"/>
  <c r="F312" i="3"/>
  <c r="E312" i="3"/>
  <c r="U311" i="3"/>
  <c r="K311" i="3"/>
  <c r="J311" i="3"/>
  <c r="F311" i="3"/>
  <c r="E311" i="3"/>
  <c r="U310" i="3"/>
  <c r="K310" i="3"/>
  <c r="J310" i="3"/>
  <c r="F310" i="3"/>
  <c r="E310" i="3"/>
  <c r="U309" i="3"/>
  <c r="K309" i="3"/>
  <c r="J309" i="3"/>
  <c r="F309" i="3"/>
  <c r="E309" i="3"/>
  <c r="U308" i="3"/>
  <c r="K308" i="3"/>
  <c r="J308" i="3"/>
  <c r="F308" i="3"/>
  <c r="E308" i="3"/>
  <c r="U307" i="3"/>
  <c r="K307" i="3"/>
  <c r="J307" i="3"/>
  <c r="F307" i="3"/>
  <c r="E307" i="3"/>
  <c r="U306" i="3"/>
  <c r="K306" i="3"/>
  <c r="J306" i="3"/>
  <c r="F306" i="3"/>
  <c r="E306" i="3"/>
  <c r="U305" i="3"/>
  <c r="K305" i="3"/>
  <c r="J305" i="3"/>
  <c r="F305" i="3"/>
  <c r="E305" i="3"/>
  <c r="U304" i="3"/>
  <c r="K304" i="3"/>
  <c r="J304" i="3"/>
  <c r="F304" i="3"/>
  <c r="E304" i="3"/>
  <c r="U303" i="3"/>
  <c r="K303" i="3"/>
  <c r="J303" i="3"/>
  <c r="F303" i="3"/>
  <c r="E303" i="3"/>
  <c r="U302" i="3"/>
  <c r="I315" i="3" s="1"/>
  <c r="K302" i="3"/>
  <c r="J302" i="3"/>
  <c r="F302" i="3"/>
  <c r="E302" i="3"/>
  <c r="B301" i="3"/>
  <c r="K299" i="3"/>
  <c r="J299" i="3"/>
  <c r="E299" i="3"/>
  <c r="K298" i="3"/>
  <c r="J298" i="3"/>
  <c r="F298" i="3"/>
  <c r="E298" i="3"/>
  <c r="U297" i="3"/>
  <c r="K297" i="3"/>
  <c r="J297" i="3"/>
  <c r="F297" i="3"/>
  <c r="E297" i="3"/>
  <c r="U296" i="3"/>
  <c r="K296" i="3"/>
  <c r="J296" i="3"/>
  <c r="F296" i="3"/>
  <c r="E296" i="3"/>
  <c r="U295" i="3"/>
  <c r="K295" i="3"/>
  <c r="J295" i="3"/>
  <c r="F295" i="3"/>
  <c r="E295" i="3"/>
  <c r="U294" i="3"/>
  <c r="K294" i="3"/>
  <c r="J294" i="3"/>
  <c r="F294" i="3"/>
  <c r="E294" i="3"/>
  <c r="U293" i="3"/>
  <c r="K293" i="3"/>
  <c r="J293" i="3"/>
  <c r="F293" i="3"/>
  <c r="E293" i="3"/>
  <c r="U292" i="3"/>
  <c r="K292" i="3"/>
  <c r="J292" i="3"/>
  <c r="F292" i="3"/>
  <c r="E292" i="3"/>
  <c r="U291" i="3"/>
  <c r="K291" i="3"/>
  <c r="J291" i="3"/>
  <c r="F291" i="3"/>
  <c r="E291" i="3"/>
  <c r="U290" i="3"/>
  <c r="K290" i="3"/>
  <c r="J290" i="3"/>
  <c r="F290" i="3"/>
  <c r="E290" i="3"/>
  <c r="U289" i="3"/>
  <c r="K289" i="3"/>
  <c r="J289" i="3"/>
  <c r="F289" i="3"/>
  <c r="E289" i="3"/>
  <c r="U288" i="3"/>
  <c r="K288" i="3"/>
  <c r="J288" i="3"/>
  <c r="F288" i="3"/>
  <c r="E288" i="3"/>
  <c r="U287" i="3"/>
  <c r="K287" i="3"/>
  <c r="J287" i="3"/>
  <c r="F287" i="3"/>
  <c r="E287" i="3"/>
  <c r="U286" i="3"/>
  <c r="I299" i="3" s="1"/>
  <c r="K286" i="3"/>
  <c r="J286" i="3"/>
  <c r="F286" i="3"/>
  <c r="E286" i="3"/>
  <c r="B285" i="3"/>
  <c r="K283" i="3"/>
  <c r="J283" i="3"/>
  <c r="E283" i="3"/>
  <c r="K282" i="3"/>
  <c r="J282" i="3"/>
  <c r="F282" i="3"/>
  <c r="E282" i="3"/>
  <c r="U281" i="3"/>
  <c r="K281" i="3"/>
  <c r="J281" i="3"/>
  <c r="F281" i="3"/>
  <c r="E281" i="3"/>
  <c r="U280" i="3"/>
  <c r="K280" i="3"/>
  <c r="J280" i="3"/>
  <c r="F280" i="3"/>
  <c r="E280" i="3"/>
  <c r="U279" i="3"/>
  <c r="K279" i="3"/>
  <c r="J279" i="3"/>
  <c r="F279" i="3"/>
  <c r="E279" i="3"/>
  <c r="U278" i="3"/>
  <c r="K278" i="3"/>
  <c r="J278" i="3"/>
  <c r="F278" i="3"/>
  <c r="E278" i="3"/>
  <c r="U277" i="3"/>
  <c r="K277" i="3"/>
  <c r="J277" i="3"/>
  <c r="F277" i="3"/>
  <c r="E277" i="3"/>
  <c r="U276" i="3"/>
  <c r="K276" i="3"/>
  <c r="J276" i="3"/>
  <c r="F276" i="3"/>
  <c r="E276" i="3"/>
  <c r="U275" i="3"/>
  <c r="K275" i="3"/>
  <c r="J275" i="3"/>
  <c r="F275" i="3"/>
  <c r="E275" i="3"/>
  <c r="U274" i="3"/>
  <c r="K274" i="3"/>
  <c r="J274" i="3"/>
  <c r="F274" i="3"/>
  <c r="E274" i="3"/>
  <c r="U273" i="3"/>
  <c r="K273" i="3"/>
  <c r="J273" i="3"/>
  <c r="F273" i="3"/>
  <c r="E273" i="3"/>
  <c r="U272" i="3"/>
  <c r="K272" i="3"/>
  <c r="J272" i="3"/>
  <c r="F272" i="3"/>
  <c r="E272" i="3"/>
  <c r="U271" i="3"/>
  <c r="K271" i="3"/>
  <c r="J271" i="3"/>
  <c r="F271" i="3"/>
  <c r="E271" i="3"/>
  <c r="U270" i="3"/>
  <c r="K270" i="3"/>
  <c r="J270" i="3"/>
  <c r="F270" i="3"/>
  <c r="E270" i="3"/>
  <c r="B269" i="3"/>
  <c r="K267" i="3"/>
  <c r="J267" i="3"/>
  <c r="E267" i="3"/>
  <c r="K266" i="3"/>
  <c r="J266" i="3"/>
  <c r="F266" i="3"/>
  <c r="E266" i="3"/>
  <c r="U265" i="3"/>
  <c r="K265" i="3"/>
  <c r="J265" i="3"/>
  <c r="F265" i="3"/>
  <c r="E265" i="3"/>
  <c r="U264" i="3"/>
  <c r="K264" i="3"/>
  <c r="J264" i="3"/>
  <c r="F264" i="3"/>
  <c r="E264" i="3"/>
  <c r="U263" i="3"/>
  <c r="K263" i="3"/>
  <c r="J263" i="3"/>
  <c r="F263" i="3"/>
  <c r="E263" i="3"/>
  <c r="U262" i="3"/>
  <c r="K262" i="3"/>
  <c r="J262" i="3"/>
  <c r="F262" i="3"/>
  <c r="E262" i="3"/>
  <c r="U261" i="3"/>
  <c r="K261" i="3"/>
  <c r="J261" i="3"/>
  <c r="F261" i="3"/>
  <c r="E261" i="3"/>
  <c r="U260" i="3"/>
  <c r="K260" i="3"/>
  <c r="J260" i="3"/>
  <c r="F260" i="3"/>
  <c r="E260" i="3"/>
  <c r="U259" i="3"/>
  <c r="K259" i="3"/>
  <c r="J259" i="3"/>
  <c r="F259" i="3"/>
  <c r="E259" i="3"/>
  <c r="U258" i="3"/>
  <c r="K258" i="3"/>
  <c r="J258" i="3"/>
  <c r="F258" i="3"/>
  <c r="E258" i="3"/>
  <c r="U257" i="3"/>
  <c r="I267" i="3" s="1"/>
  <c r="K257" i="3"/>
  <c r="J257" i="3"/>
  <c r="F257" i="3"/>
  <c r="E257" i="3"/>
  <c r="U256" i="3"/>
  <c r="K256" i="3"/>
  <c r="J256" i="3"/>
  <c r="F256" i="3"/>
  <c r="E256" i="3"/>
  <c r="U255" i="3"/>
  <c r="K255" i="3"/>
  <c r="J255" i="3"/>
  <c r="F255" i="3"/>
  <c r="E255" i="3"/>
  <c r="U254" i="3"/>
  <c r="K254" i="3"/>
  <c r="J254" i="3"/>
  <c r="F254" i="3"/>
  <c r="E254" i="3"/>
  <c r="B253" i="3"/>
  <c r="K251" i="3"/>
  <c r="J251" i="3"/>
  <c r="E251" i="3"/>
  <c r="K250" i="3"/>
  <c r="J250" i="3"/>
  <c r="F250" i="3"/>
  <c r="E250" i="3"/>
  <c r="U249" i="3"/>
  <c r="K249" i="3"/>
  <c r="J249" i="3"/>
  <c r="F249" i="3"/>
  <c r="E249" i="3"/>
  <c r="U248" i="3"/>
  <c r="K248" i="3"/>
  <c r="J248" i="3"/>
  <c r="F248" i="3"/>
  <c r="E248" i="3"/>
  <c r="U247" i="3"/>
  <c r="K247" i="3"/>
  <c r="J247" i="3"/>
  <c r="F247" i="3"/>
  <c r="E247" i="3"/>
  <c r="U246" i="3"/>
  <c r="K246" i="3"/>
  <c r="J246" i="3"/>
  <c r="F246" i="3"/>
  <c r="E246" i="3"/>
  <c r="U245" i="3"/>
  <c r="K245" i="3"/>
  <c r="J245" i="3"/>
  <c r="F245" i="3"/>
  <c r="E245" i="3"/>
  <c r="U244" i="3"/>
  <c r="K244" i="3"/>
  <c r="J244" i="3"/>
  <c r="F244" i="3"/>
  <c r="E244" i="3"/>
  <c r="U243" i="3"/>
  <c r="K243" i="3"/>
  <c r="J243" i="3"/>
  <c r="F243" i="3"/>
  <c r="E243" i="3"/>
  <c r="U242" i="3"/>
  <c r="K242" i="3"/>
  <c r="J242" i="3"/>
  <c r="F242" i="3"/>
  <c r="E242" i="3"/>
  <c r="U241" i="3"/>
  <c r="K241" i="3"/>
  <c r="J241" i="3"/>
  <c r="F241" i="3"/>
  <c r="E241" i="3"/>
  <c r="U240" i="3"/>
  <c r="K240" i="3"/>
  <c r="J240" i="3"/>
  <c r="F240" i="3"/>
  <c r="E240" i="3"/>
  <c r="U239" i="3"/>
  <c r="K239" i="3"/>
  <c r="J239" i="3"/>
  <c r="F239" i="3"/>
  <c r="E239" i="3"/>
  <c r="U238" i="3"/>
  <c r="K238" i="3"/>
  <c r="J238" i="3"/>
  <c r="F238" i="3"/>
  <c r="E238" i="3"/>
  <c r="B237" i="3"/>
  <c r="U236" i="3"/>
  <c r="K235" i="3"/>
  <c r="J235" i="3"/>
  <c r="E235" i="3"/>
  <c r="K234" i="3"/>
  <c r="J234" i="3"/>
  <c r="F234" i="3"/>
  <c r="E234" i="3"/>
  <c r="U233" i="3"/>
  <c r="K233" i="3"/>
  <c r="J233" i="3"/>
  <c r="F233" i="3"/>
  <c r="E233" i="3"/>
  <c r="U232" i="3"/>
  <c r="K232" i="3"/>
  <c r="J232" i="3"/>
  <c r="F232" i="3"/>
  <c r="E232" i="3"/>
  <c r="U231" i="3"/>
  <c r="K231" i="3"/>
  <c r="J231" i="3"/>
  <c r="F231" i="3"/>
  <c r="E231" i="3"/>
  <c r="U230" i="3"/>
  <c r="K230" i="3"/>
  <c r="J230" i="3"/>
  <c r="F230" i="3"/>
  <c r="E230" i="3"/>
  <c r="U229" i="3"/>
  <c r="K229" i="3"/>
  <c r="J229" i="3"/>
  <c r="F229" i="3"/>
  <c r="E229" i="3"/>
  <c r="U228" i="3"/>
  <c r="K228" i="3"/>
  <c r="J228" i="3"/>
  <c r="F228" i="3"/>
  <c r="E228" i="3"/>
  <c r="U227" i="3"/>
  <c r="K227" i="3"/>
  <c r="J227" i="3"/>
  <c r="F227" i="3"/>
  <c r="E227" i="3"/>
  <c r="U226" i="3"/>
  <c r="K226" i="3"/>
  <c r="J226" i="3"/>
  <c r="F226" i="3"/>
  <c r="E226" i="3"/>
  <c r="B225" i="3"/>
  <c r="K223" i="3"/>
  <c r="J223" i="3"/>
  <c r="E223" i="3"/>
  <c r="K222" i="3"/>
  <c r="J222" i="3"/>
  <c r="F222" i="3"/>
  <c r="E222" i="3"/>
  <c r="U221" i="3"/>
  <c r="K221" i="3"/>
  <c r="J221" i="3"/>
  <c r="F221" i="3"/>
  <c r="E221" i="3"/>
  <c r="U220" i="3"/>
  <c r="K220" i="3"/>
  <c r="J220" i="3"/>
  <c r="F220" i="3"/>
  <c r="E220" i="3"/>
  <c r="U219" i="3"/>
  <c r="K219" i="3"/>
  <c r="J219" i="3"/>
  <c r="F219" i="3"/>
  <c r="E219" i="3"/>
  <c r="U218" i="3"/>
  <c r="K218" i="3"/>
  <c r="J218" i="3"/>
  <c r="F218" i="3"/>
  <c r="E218" i="3"/>
  <c r="U217" i="3"/>
  <c r="K217" i="3"/>
  <c r="J217" i="3"/>
  <c r="F217" i="3"/>
  <c r="E217" i="3"/>
  <c r="U216" i="3"/>
  <c r="K216" i="3"/>
  <c r="J216" i="3"/>
  <c r="F216" i="3"/>
  <c r="E216" i="3"/>
  <c r="U215" i="3"/>
  <c r="K215" i="3"/>
  <c r="J215" i="3"/>
  <c r="F215" i="3"/>
  <c r="E215" i="3"/>
  <c r="U214" i="3"/>
  <c r="K214" i="3"/>
  <c r="J214" i="3"/>
  <c r="F214" i="3"/>
  <c r="E214" i="3"/>
  <c r="U213" i="3"/>
  <c r="K213" i="3"/>
  <c r="J213" i="3"/>
  <c r="F213" i="3"/>
  <c r="E213" i="3"/>
  <c r="U212" i="3"/>
  <c r="K212" i="3"/>
  <c r="J212" i="3"/>
  <c r="F212" i="3"/>
  <c r="E212" i="3"/>
  <c r="U211" i="3"/>
  <c r="K211" i="3"/>
  <c r="J211" i="3"/>
  <c r="F211" i="3"/>
  <c r="E211" i="3"/>
  <c r="U210" i="3"/>
  <c r="K210" i="3"/>
  <c r="J210" i="3"/>
  <c r="F210" i="3"/>
  <c r="E210" i="3"/>
  <c r="B209" i="3"/>
  <c r="K207" i="3"/>
  <c r="J207" i="3"/>
  <c r="E207" i="3"/>
  <c r="K206" i="3"/>
  <c r="J206" i="3"/>
  <c r="F206" i="3"/>
  <c r="E206" i="3"/>
  <c r="U205" i="3"/>
  <c r="K205" i="3"/>
  <c r="J205" i="3"/>
  <c r="F205" i="3"/>
  <c r="E205" i="3"/>
  <c r="U204" i="3"/>
  <c r="K204" i="3"/>
  <c r="J204" i="3"/>
  <c r="F204" i="3"/>
  <c r="E204" i="3"/>
  <c r="U203" i="3"/>
  <c r="K203" i="3"/>
  <c r="J203" i="3"/>
  <c r="F203" i="3"/>
  <c r="E203" i="3"/>
  <c r="U202" i="3"/>
  <c r="K202" i="3"/>
  <c r="J202" i="3"/>
  <c r="F202" i="3"/>
  <c r="E202" i="3"/>
  <c r="U201" i="3"/>
  <c r="K201" i="3"/>
  <c r="J201" i="3"/>
  <c r="F201" i="3"/>
  <c r="E201" i="3"/>
  <c r="U200" i="3"/>
  <c r="K200" i="3"/>
  <c r="J200" i="3"/>
  <c r="F200" i="3"/>
  <c r="E200" i="3"/>
  <c r="U199" i="3"/>
  <c r="K199" i="3"/>
  <c r="J199" i="3"/>
  <c r="F199" i="3"/>
  <c r="E199" i="3"/>
  <c r="U198" i="3"/>
  <c r="K198" i="3"/>
  <c r="J198" i="3"/>
  <c r="F198" i="3"/>
  <c r="E198" i="3"/>
  <c r="U197" i="3"/>
  <c r="K197" i="3"/>
  <c r="J197" i="3"/>
  <c r="F197" i="3"/>
  <c r="E197" i="3"/>
  <c r="U196" i="3"/>
  <c r="K196" i="3"/>
  <c r="J196" i="3"/>
  <c r="F196" i="3"/>
  <c r="E196" i="3"/>
  <c r="U195" i="3"/>
  <c r="K195" i="3"/>
  <c r="J195" i="3"/>
  <c r="F195" i="3"/>
  <c r="E195" i="3"/>
  <c r="U194" i="3"/>
  <c r="K194" i="3"/>
  <c r="J194" i="3"/>
  <c r="F194" i="3"/>
  <c r="E194" i="3"/>
  <c r="U193" i="3"/>
  <c r="K193" i="3"/>
  <c r="J193" i="3"/>
  <c r="F193" i="3"/>
  <c r="E193" i="3"/>
  <c r="B192" i="3"/>
  <c r="K190" i="3"/>
  <c r="J190" i="3"/>
  <c r="I190" i="3"/>
  <c r="E190" i="3"/>
  <c r="K189" i="3"/>
  <c r="J189" i="3"/>
  <c r="F189" i="3"/>
  <c r="E189" i="3"/>
  <c r="U188" i="3"/>
  <c r="K188" i="3"/>
  <c r="J188" i="3"/>
  <c r="F188" i="3"/>
  <c r="E188" i="3"/>
  <c r="U187" i="3"/>
  <c r="K187" i="3"/>
  <c r="J187" i="3"/>
  <c r="F187" i="3"/>
  <c r="E187" i="3"/>
  <c r="U186" i="3"/>
  <c r="K186" i="3"/>
  <c r="J186" i="3"/>
  <c r="F186" i="3"/>
  <c r="E186" i="3"/>
  <c r="U185" i="3"/>
  <c r="K185" i="3"/>
  <c r="J185" i="3"/>
  <c r="F185" i="3"/>
  <c r="E185" i="3"/>
  <c r="U184" i="3"/>
  <c r="K184" i="3"/>
  <c r="J184" i="3"/>
  <c r="F184" i="3"/>
  <c r="E184" i="3"/>
  <c r="U183" i="3"/>
  <c r="K183" i="3"/>
  <c r="J183" i="3"/>
  <c r="F183" i="3"/>
  <c r="E183" i="3"/>
  <c r="U182" i="3"/>
  <c r="K182" i="3"/>
  <c r="J182" i="3"/>
  <c r="F182" i="3"/>
  <c r="E182" i="3"/>
  <c r="U181" i="3"/>
  <c r="K181" i="3"/>
  <c r="J181" i="3"/>
  <c r="F181" i="3"/>
  <c r="E181" i="3"/>
  <c r="U180" i="3"/>
  <c r="K180" i="3"/>
  <c r="J180" i="3"/>
  <c r="F180" i="3"/>
  <c r="E180" i="3"/>
  <c r="U179" i="3"/>
  <c r="K179" i="3"/>
  <c r="J179" i="3"/>
  <c r="F179" i="3"/>
  <c r="E179" i="3"/>
  <c r="U178" i="3"/>
  <c r="K178" i="3"/>
  <c r="J178" i="3"/>
  <c r="F178" i="3"/>
  <c r="E178" i="3"/>
  <c r="U177" i="3"/>
  <c r="K177" i="3"/>
  <c r="J177" i="3"/>
  <c r="F177" i="3"/>
  <c r="E177" i="3"/>
  <c r="B176" i="3"/>
  <c r="K174" i="3"/>
  <c r="J174" i="3"/>
  <c r="E174" i="3"/>
  <c r="K173" i="3"/>
  <c r="J173" i="3"/>
  <c r="F173" i="3"/>
  <c r="E173" i="3"/>
  <c r="U172" i="3"/>
  <c r="K172" i="3"/>
  <c r="J172" i="3"/>
  <c r="F172" i="3"/>
  <c r="E172" i="3"/>
  <c r="U171" i="3"/>
  <c r="K171" i="3"/>
  <c r="J171" i="3"/>
  <c r="F171" i="3"/>
  <c r="E171" i="3"/>
  <c r="U170" i="3"/>
  <c r="K170" i="3"/>
  <c r="J170" i="3"/>
  <c r="F170" i="3"/>
  <c r="E170" i="3"/>
  <c r="U169" i="3"/>
  <c r="K169" i="3"/>
  <c r="J169" i="3"/>
  <c r="F169" i="3"/>
  <c r="E169" i="3"/>
  <c r="U168" i="3"/>
  <c r="K168" i="3"/>
  <c r="J168" i="3"/>
  <c r="F168" i="3"/>
  <c r="E168" i="3"/>
  <c r="U167" i="3"/>
  <c r="K167" i="3"/>
  <c r="J167" i="3"/>
  <c r="F167" i="3"/>
  <c r="E167" i="3"/>
  <c r="U166" i="3"/>
  <c r="K166" i="3"/>
  <c r="J166" i="3"/>
  <c r="F166" i="3"/>
  <c r="E166" i="3"/>
  <c r="U165" i="3"/>
  <c r="K165" i="3"/>
  <c r="J165" i="3"/>
  <c r="F165" i="3"/>
  <c r="E165" i="3"/>
  <c r="U164" i="3"/>
  <c r="K164" i="3"/>
  <c r="J164" i="3"/>
  <c r="F164" i="3"/>
  <c r="E164" i="3"/>
  <c r="U163" i="3"/>
  <c r="K163" i="3"/>
  <c r="J163" i="3"/>
  <c r="F163" i="3"/>
  <c r="E163" i="3"/>
  <c r="U162" i="3"/>
  <c r="K162" i="3"/>
  <c r="J162" i="3"/>
  <c r="F162" i="3"/>
  <c r="E162" i="3"/>
  <c r="U161" i="3"/>
  <c r="K161" i="3"/>
  <c r="J161" i="3"/>
  <c r="F161" i="3"/>
  <c r="E161" i="3"/>
  <c r="U160" i="3"/>
  <c r="U175" i="3" s="1"/>
  <c r="K160" i="3"/>
  <c r="J160" i="3"/>
  <c r="F160" i="3"/>
  <c r="E160" i="3"/>
  <c r="B159" i="3"/>
  <c r="K157" i="3"/>
  <c r="J157" i="3"/>
  <c r="E157" i="3"/>
  <c r="K156" i="3"/>
  <c r="J156" i="3"/>
  <c r="F156" i="3"/>
  <c r="E156" i="3"/>
  <c r="U155" i="3"/>
  <c r="K155" i="3"/>
  <c r="J155" i="3"/>
  <c r="F155" i="3"/>
  <c r="E155" i="3"/>
  <c r="U154" i="3"/>
  <c r="K154" i="3"/>
  <c r="J154" i="3"/>
  <c r="E154" i="3"/>
  <c r="U153" i="3"/>
  <c r="K153" i="3"/>
  <c r="J153" i="3"/>
  <c r="F153" i="3"/>
  <c r="E153" i="3"/>
  <c r="U152" i="3"/>
  <c r="K152" i="3"/>
  <c r="J152" i="3"/>
  <c r="F152" i="3"/>
  <c r="E152" i="3"/>
  <c r="U151" i="3"/>
  <c r="K151" i="3"/>
  <c r="J151" i="3"/>
  <c r="F151" i="3"/>
  <c r="E151" i="3"/>
  <c r="U150" i="3"/>
  <c r="K150" i="3"/>
  <c r="J150" i="3"/>
  <c r="F150" i="3"/>
  <c r="E150" i="3"/>
  <c r="U149" i="3"/>
  <c r="K149" i="3"/>
  <c r="J149" i="3"/>
  <c r="F149" i="3"/>
  <c r="E149" i="3"/>
  <c r="U148" i="3"/>
  <c r="K148" i="3"/>
  <c r="J148" i="3"/>
  <c r="F148" i="3"/>
  <c r="E148" i="3"/>
  <c r="U147" i="3"/>
  <c r="K147" i="3"/>
  <c r="J147" i="3"/>
  <c r="F147" i="3"/>
  <c r="E147" i="3"/>
  <c r="U146" i="3"/>
  <c r="K146" i="3"/>
  <c r="J146" i="3"/>
  <c r="F146" i="3"/>
  <c r="E146" i="3"/>
  <c r="U145" i="3"/>
  <c r="K145" i="3"/>
  <c r="J145" i="3"/>
  <c r="F145" i="3"/>
  <c r="E145" i="3"/>
  <c r="U144" i="3"/>
  <c r="K144" i="3"/>
  <c r="J144" i="3"/>
  <c r="F144" i="3"/>
  <c r="E144" i="3"/>
  <c r="U143" i="3"/>
  <c r="K143" i="3"/>
  <c r="J143" i="3"/>
  <c r="F143" i="3"/>
  <c r="E143" i="3"/>
  <c r="U142" i="3"/>
  <c r="K142" i="3"/>
  <c r="J142" i="3"/>
  <c r="F142" i="3"/>
  <c r="E142" i="3"/>
  <c r="U141" i="3"/>
  <c r="K141" i="3"/>
  <c r="J141" i="3"/>
  <c r="F141" i="3"/>
  <c r="E141" i="3"/>
  <c r="U140" i="3"/>
  <c r="U158" i="3" s="1"/>
  <c r="K140" i="3"/>
  <c r="J140" i="3"/>
  <c r="F140" i="3"/>
  <c r="E140" i="3"/>
  <c r="U139" i="3"/>
  <c r="K139" i="3"/>
  <c r="J139" i="3"/>
  <c r="F139" i="3"/>
  <c r="E139" i="3"/>
  <c r="U138" i="3"/>
  <c r="I157" i="3" s="1"/>
  <c r="K138" i="3"/>
  <c r="J138" i="3"/>
  <c r="F138" i="3"/>
  <c r="E138" i="3"/>
  <c r="B137" i="3"/>
  <c r="K135" i="3"/>
  <c r="J135" i="3"/>
  <c r="I135" i="3"/>
  <c r="G9" i="4" s="1"/>
  <c r="H9" i="4" s="1"/>
  <c r="E135" i="3"/>
  <c r="K134" i="3"/>
  <c r="J134" i="3"/>
  <c r="F134" i="3"/>
  <c r="E134" i="3"/>
  <c r="U133" i="3"/>
  <c r="K133" i="3"/>
  <c r="J133" i="3"/>
  <c r="F133" i="3"/>
  <c r="E133" i="3"/>
  <c r="U132" i="3"/>
  <c r="K132" i="3"/>
  <c r="J132" i="3"/>
  <c r="E132" i="3"/>
  <c r="U131" i="3"/>
  <c r="K131" i="3"/>
  <c r="J131" i="3"/>
  <c r="F131" i="3"/>
  <c r="E131" i="3"/>
  <c r="U130" i="3"/>
  <c r="K130" i="3"/>
  <c r="J130" i="3"/>
  <c r="F130" i="3"/>
  <c r="E130" i="3"/>
  <c r="U129" i="3"/>
  <c r="K129" i="3"/>
  <c r="J129" i="3"/>
  <c r="F129" i="3"/>
  <c r="E129" i="3"/>
  <c r="U128" i="3"/>
  <c r="K128" i="3"/>
  <c r="J128" i="3"/>
  <c r="F128" i="3"/>
  <c r="E128" i="3"/>
  <c r="U127" i="3"/>
  <c r="K127" i="3"/>
  <c r="J127" i="3"/>
  <c r="F127" i="3"/>
  <c r="E127" i="3"/>
  <c r="U126" i="3"/>
  <c r="K126" i="3"/>
  <c r="J126" i="3"/>
  <c r="F126" i="3"/>
  <c r="E126" i="3"/>
  <c r="U125" i="3"/>
  <c r="K125" i="3"/>
  <c r="J125" i="3"/>
  <c r="F125" i="3"/>
  <c r="E125" i="3"/>
  <c r="U124" i="3"/>
  <c r="K124" i="3"/>
  <c r="J124" i="3"/>
  <c r="F124" i="3"/>
  <c r="E124" i="3"/>
  <c r="U123" i="3"/>
  <c r="K123" i="3"/>
  <c r="J123" i="3"/>
  <c r="F123" i="3"/>
  <c r="E123" i="3"/>
  <c r="U122" i="3"/>
  <c r="K122" i="3"/>
  <c r="J122" i="3"/>
  <c r="F122" i="3"/>
  <c r="E122" i="3"/>
  <c r="U121" i="3"/>
  <c r="K121" i="3"/>
  <c r="J121" i="3"/>
  <c r="F121" i="3"/>
  <c r="E121" i="3"/>
  <c r="U120" i="3"/>
  <c r="K120" i="3"/>
  <c r="J120" i="3"/>
  <c r="F120" i="3"/>
  <c r="E120" i="3"/>
  <c r="U119" i="3"/>
  <c r="K119" i="3"/>
  <c r="J119" i="3"/>
  <c r="F119" i="3"/>
  <c r="E119" i="3"/>
  <c r="U118" i="3"/>
  <c r="U136" i="3" s="1"/>
  <c r="K118" i="3"/>
  <c r="J118" i="3"/>
  <c r="F118" i="3"/>
  <c r="E118" i="3"/>
  <c r="B117" i="3"/>
  <c r="K115" i="3"/>
  <c r="J115" i="3"/>
  <c r="E115" i="3"/>
  <c r="K114" i="3"/>
  <c r="J114" i="3"/>
  <c r="F114" i="3"/>
  <c r="E114" i="3"/>
  <c r="U113" i="3"/>
  <c r="K113" i="3"/>
  <c r="J113" i="3"/>
  <c r="F113" i="3"/>
  <c r="E113" i="3"/>
  <c r="U112" i="3"/>
  <c r="K112" i="3"/>
  <c r="J112" i="3"/>
  <c r="E112" i="3"/>
  <c r="U111" i="3"/>
  <c r="K111" i="3"/>
  <c r="J111" i="3"/>
  <c r="F111" i="3"/>
  <c r="E111" i="3"/>
  <c r="U110" i="3"/>
  <c r="U116" i="3" s="1"/>
  <c r="K110" i="3"/>
  <c r="J110" i="3"/>
  <c r="F110" i="3"/>
  <c r="E110" i="3"/>
  <c r="U109" i="3"/>
  <c r="K109" i="3"/>
  <c r="J109" i="3"/>
  <c r="F109" i="3"/>
  <c r="E109" i="3"/>
  <c r="U108" i="3"/>
  <c r="K108" i="3"/>
  <c r="J108" i="3"/>
  <c r="F108" i="3"/>
  <c r="E108" i="3"/>
  <c r="U107" i="3"/>
  <c r="K107" i="3"/>
  <c r="J107" i="3"/>
  <c r="F107" i="3"/>
  <c r="E107" i="3"/>
  <c r="U106" i="3"/>
  <c r="K106" i="3"/>
  <c r="J106" i="3"/>
  <c r="F106" i="3"/>
  <c r="E106" i="3"/>
  <c r="U105" i="3"/>
  <c r="K105" i="3"/>
  <c r="J105" i="3"/>
  <c r="F105" i="3"/>
  <c r="E105" i="3"/>
  <c r="U104" i="3"/>
  <c r="K104" i="3"/>
  <c r="J104" i="3"/>
  <c r="F104" i="3"/>
  <c r="E104" i="3"/>
  <c r="U103" i="3"/>
  <c r="K103" i="3"/>
  <c r="J103" i="3"/>
  <c r="F103" i="3"/>
  <c r="E103" i="3"/>
  <c r="U102" i="3"/>
  <c r="K102" i="3"/>
  <c r="J102" i="3"/>
  <c r="F102" i="3"/>
  <c r="E102" i="3"/>
  <c r="U101" i="3"/>
  <c r="K101" i="3"/>
  <c r="J101" i="3"/>
  <c r="F101" i="3"/>
  <c r="E101" i="3"/>
  <c r="U100" i="3"/>
  <c r="K100" i="3"/>
  <c r="J100" i="3"/>
  <c r="F100" i="3"/>
  <c r="E100" i="3"/>
  <c r="U99" i="3"/>
  <c r="K99" i="3"/>
  <c r="J99" i="3"/>
  <c r="F99" i="3"/>
  <c r="E99" i="3"/>
  <c r="B98" i="3"/>
  <c r="K96" i="3"/>
  <c r="J96" i="3"/>
  <c r="E96" i="3"/>
  <c r="K95" i="3"/>
  <c r="J95" i="3"/>
  <c r="F95" i="3"/>
  <c r="E95" i="3"/>
  <c r="U94" i="3"/>
  <c r="K94" i="3"/>
  <c r="J94" i="3"/>
  <c r="F94" i="3"/>
  <c r="E94" i="3"/>
  <c r="U93" i="3"/>
  <c r="K93" i="3"/>
  <c r="J93" i="3"/>
  <c r="F93" i="3"/>
  <c r="E93" i="3"/>
  <c r="U92" i="3"/>
  <c r="K92" i="3"/>
  <c r="J92" i="3"/>
  <c r="F92" i="3"/>
  <c r="E92" i="3"/>
  <c r="U91" i="3"/>
  <c r="K91" i="3"/>
  <c r="J91" i="3"/>
  <c r="F91" i="3"/>
  <c r="E91" i="3"/>
  <c r="U90" i="3"/>
  <c r="K90" i="3"/>
  <c r="J90" i="3"/>
  <c r="F90" i="3"/>
  <c r="E90" i="3"/>
  <c r="U89" i="3"/>
  <c r="K89" i="3"/>
  <c r="J89" i="3"/>
  <c r="F89" i="3"/>
  <c r="E89" i="3"/>
  <c r="U88" i="3"/>
  <c r="K88" i="3"/>
  <c r="J88" i="3"/>
  <c r="F88" i="3"/>
  <c r="E88" i="3"/>
  <c r="U87" i="3"/>
  <c r="K87" i="3"/>
  <c r="J87" i="3"/>
  <c r="F87" i="3"/>
  <c r="E87" i="3"/>
  <c r="U86" i="3"/>
  <c r="K86" i="3"/>
  <c r="J86" i="3"/>
  <c r="F86" i="3"/>
  <c r="E86" i="3"/>
  <c r="U85" i="3"/>
  <c r="K85" i="3"/>
  <c r="J85" i="3"/>
  <c r="F85" i="3"/>
  <c r="E85" i="3"/>
  <c r="U84" i="3"/>
  <c r="K84" i="3"/>
  <c r="J84" i="3"/>
  <c r="F84" i="3"/>
  <c r="E84" i="3"/>
  <c r="U83" i="3"/>
  <c r="K83" i="3"/>
  <c r="J83" i="3"/>
  <c r="F83" i="3"/>
  <c r="E83" i="3"/>
  <c r="U82" i="3"/>
  <c r="K82" i="3"/>
  <c r="J82" i="3"/>
  <c r="F82" i="3"/>
  <c r="E82" i="3"/>
  <c r="U81" i="3"/>
  <c r="K81" i="3"/>
  <c r="J81" i="3"/>
  <c r="F81" i="3"/>
  <c r="E81" i="3"/>
  <c r="U80" i="3"/>
  <c r="I96" i="3" s="1"/>
  <c r="K80" i="3"/>
  <c r="J80" i="3"/>
  <c r="F80" i="3"/>
  <c r="E80" i="3"/>
  <c r="B79" i="3"/>
  <c r="K77" i="3"/>
  <c r="J77" i="3"/>
  <c r="I77" i="3"/>
  <c r="G6" i="4" s="1"/>
  <c r="H6" i="4" s="1"/>
  <c r="E77" i="3"/>
  <c r="K76" i="3"/>
  <c r="J76" i="3"/>
  <c r="F76" i="3"/>
  <c r="E76" i="3"/>
  <c r="U75" i="3"/>
  <c r="K75" i="3"/>
  <c r="J75" i="3"/>
  <c r="F75" i="3"/>
  <c r="E75" i="3"/>
  <c r="U74" i="3"/>
  <c r="K74" i="3"/>
  <c r="J74" i="3"/>
  <c r="E74" i="3"/>
  <c r="U73" i="3"/>
  <c r="K73" i="3"/>
  <c r="J73" i="3"/>
  <c r="F73" i="3"/>
  <c r="E73" i="3"/>
  <c r="U72" i="3"/>
  <c r="K72" i="3"/>
  <c r="J72" i="3"/>
  <c r="F72" i="3"/>
  <c r="E72" i="3"/>
  <c r="U71" i="3"/>
  <c r="K71" i="3"/>
  <c r="J71" i="3"/>
  <c r="F71" i="3"/>
  <c r="E71" i="3"/>
  <c r="U70" i="3"/>
  <c r="K70" i="3"/>
  <c r="J70" i="3"/>
  <c r="F70" i="3"/>
  <c r="E70" i="3"/>
  <c r="U69" i="3"/>
  <c r="K69" i="3"/>
  <c r="J69" i="3"/>
  <c r="F69" i="3"/>
  <c r="E69" i="3"/>
  <c r="U68" i="3"/>
  <c r="U78" i="3" s="1"/>
  <c r="K68" i="3"/>
  <c r="J68" i="3"/>
  <c r="F68" i="3"/>
  <c r="E68" i="3"/>
  <c r="U67" i="3"/>
  <c r="K67" i="3"/>
  <c r="J67" i="3"/>
  <c r="F67" i="3"/>
  <c r="E67" i="3"/>
  <c r="U66" i="3"/>
  <c r="K66" i="3"/>
  <c r="J66" i="3"/>
  <c r="F66" i="3"/>
  <c r="E66" i="3"/>
  <c r="U65" i="3"/>
  <c r="K65" i="3"/>
  <c r="J65" i="3"/>
  <c r="F65" i="3"/>
  <c r="E65" i="3"/>
  <c r="B64" i="3"/>
  <c r="K62" i="3"/>
  <c r="J62" i="3"/>
  <c r="E62" i="3"/>
  <c r="K61" i="3"/>
  <c r="J61" i="3"/>
  <c r="F61" i="3"/>
  <c r="E61" i="3"/>
  <c r="U60" i="3"/>
  <c r="K60" i="3"/>
  <c r="J60" i="3"/>
  <c r="F60" i="3"/>
  <c r="E60" i="3"/>
  <c r="U59" i="3"/>
  <c r="K59" i="3"/>
  <c r="J59" i="3"/>
  <c r="E59" i="3"/>
  <c r="U58" i="3"/>
  <c r="K58" i="3"/>
  <c r="J58" i="3"/>
  <c r="F58" i="3"/>
  <c r="E58" i="3"/>
  <c r="U57" i="3"/>
  <c r="K57" i="3"/>
  <c r="J57" i="3"/>
  <c r="F57" i="3"/>
  <c r="E57" i="3"/>
  <c r="U56" i="3"/>
  <c r="K56" i="3"/>
  <c r="J56" i="3"/>
  <c r="F56" i="3"/>
  <c r="E56" i="3"/>
  <c r="U55" i="3"/>
  <c r="K55" i="3"/>
  <c r="J55" i="3"/>
  <c r="F55" i="3"/>
  <c r="E55" i="3"/>
  <c r="U54" i="3"/>
  <c r="K54" i="3"/>
  <c r="J54" i="3"/>
  <c r="F54" i="3"/>
  <c r="E54" i="3"/>
  <c r="U53" i="3"/>
  <c r="K53" i="3"/>
  <c r="J53" i="3"/>
  <c r="F53" i="3"/>
  <c r="E53" i="3"/>
  <c r="U52" i="3"/>
  <c r="K52" i="3"/>
  <c r="J52" i="3"/>
  <c r="F52" i="3"/>
  <c r="E52" i="3"/>
  <c r="U51" i="3"/>
  <c r="K51" i="3"/>
  <c r="J51" i="3"/>
  <c r="F51" i="3"/>
  <c r="E51" i="3"/>
  <c r="U50" i="3"/>
  <c r="K50" i="3"/>
  <c r="J50" i="3"/>
  <c r="F50" i="3"/>
  <c r="E50" i="3"/>
  <c r="B49" i="3"/>
  <c r="K47" i="3"/>
  <c r="J47" i="3"/>
  <c r="I47" i="3"/>
  <c r="E47" i="3"/>
  <c r="K46" i="3"/>
  <c r="J46" i="3"/>
  <c r="F46" i="3"/>
  <c r="E46" i="3"/>
  <c r="U45" i="3"/>
  <c r="K45" i="3"/>
  <c r="J45" i="3"/>
  <c r="F45" i="3"/>
  <c r="E45" i="3"/>
  <c r="U44" i="3"/>
  <c r="K44" i="3"/>
  <c r="J44" i="3"/>
  <c r="E44" i="3"/>
  <c r="U43" i="3"/>
  <c r="K43" i="3"/>
  <c r="J43" i="3"/>
  <c r="F43" i="3"/>
  <c r="E43" i="3"/>
  <c r="U42" i="3"/>
  <c r="K42" i="3"/>
  <c r="J42" i="3"/>
  <c r="F42" i="3"/>
  <c r="E42" i="3"/>
  <c r="U41" i="3"/>
  <c r="K41" i="3"/>
  <c r="J41" i="3"/>
  <c r="F41" i="3"/>
  <c r="E41" i="3"/>
  <c r="U40" i="3"/>
  <c r="K40" i="3"/>
  <c r="J40" i="3"/>
  <c r="F40" i="3"/>
  <c r="E40" i="3"/>
  <c r="U39" i="3"/>
  <c r="K39" i="3"/>
  <c r="J39" i="3"/>
  <c r="F39" i="3"/>
  <c r="E39" i="3"/>
  <c r="U38" i="3"/>
  <c r="K38" i="3"/>
  <c r="J38" i="3"/>
  <c r="F38" i="3"/>
  <c r="E38" i="3"/>
  <c r="U37" i="3"/>
  <c r="K37" i="3"/>
  <c r="J37" i="3"/>
  <c r="F37" i="3"/>
  <c r="E37" i="3"/>
  <c r="U36" i="3"/>
  <c r="U48" i="3" s="1"/>
  <c r="K36" i="3"/>
  <c r="J36" i="3"/>
  <c r="F36" i="3"/>
  <c r="E36" i="3"/>
  <c r="U35" i="3"/>
  <c r="K35" i="3"/>
  <c r="J35" i="3"/>
  <c r="F35" i="3"/>
  <c r="E35" i="3"/>
  <c r="B34" i="3"/>
  <c r="K32" i="3"/>
  <c r="J32" i="3"/>
  <c r="E32" i="3"/>
  <c r="K31" i="3"/>
  <c r="J31" i="3"/>
  <c r="F31" i="3"/>
  <c r="E31" i="3"/>
  <c r="U30" i="3"/>
  <c r="K30" i="3"/>
  <c r="J30" i="3"/>
  <c r="F30" i="3"/>
  <c r="E30" i="3"/>
  <c r="U29" i="3"/>
  <c r="K29" i="3"/>
  <c r="J29" i="3"/>
  <c r="E29" i="3"/>
  <c r="U28" i="3"/>
  <c r="K28" i="3"/>
  <c r="J28" i="3"/>
  <c r="F28" i="3"/>
  <c r="E28" i="3"/>
  <c r="U27" i="3"/>
  <c r="K27" i="3"/>
  <c r="J27" i="3"/>
  <c r="F27" i="3"/>
  <c r="E27" i="3"/>
  <c r="U26" i="3"/>
  <c r="K26" i="3"/>
  <c r="J26" i="3"/>
  <c r="F26" i="3"/>
  <c r="E26" i="3"/>
  <c r="U25" i="3"/>
  <c r="K25" i="3"/>
  <c r="J25" i="3"/>
  <c r="F25" i="3"/>
  <c r="E25" i="3"/>
  <c r="U24" i="3"/>
  <c r="K24" i="3"/>
  <c r="J24" i="3"/>
  <c r="F24" i="3"/>
  <c r="E24" i="3"/>
  <c r="U23" i="3"/>
  <c r="K23" i="3"/>
  <c r="J23" i="3"/>
  <c r="F23" i="3"/>
  <c r="E23" i="3"/>
  <c r="U22" i="3"/>
  <c r="U33" i="3" s="1"/>
  <c r="K22" i="3"/>
  <c r="J22" i="3"/>
  <c r="F22" i="3"/>
  <c r="E22" i="3"/>
  <c r="U21" i="3"/>
  <c r="K21" i="3"/>
  <c r="J21" i="3"/>
  <c r="F21" i="3"/>
  <c r="E21" i="3"/>
  <c r="U20" i="3"/>
  <c r="K20" i="3"/>
  <c r="J20" i="3"/>
  <c r="F20" i="3"/>
  <c r="E20" i="3"/>
  <c r="B19" i="3"/>
  <c r="K17" i="3"/>
  <c r="J17" i="3"/>
  <c r="E17" i="3"/>
  <c r="K16" i="3"/>
  <c r="J16" i="3"/>
  <c r="G16" i="3"/>
  <c r="F16" i="3"/>
  <c r="E16" i="3"/>
  <c r="U15" i="3"/>
  <c r="K15" i="3"/>
  <c r="J15" i="3"/>
  <c r="F15" i="3"/>
  <c r="E15" i="3"/>
  <c r="U14" i="3"/>
  <c r="K14" i="3"/>
  <c r="J14" i="3"/>
  <c r="F14" i="3"/>
  <c r="E14" i="3"/>
  <c r="U13" i="3"/>
  <c r="K13" i="3"/>
  <c r="J13" i="3"/>
  <c r="F13" i="3"/>
  <c r="E13" i="3"/>
  <c r="U12" i="3"/>
  <c r="K12" i="3"/>
  <c r="J12" i="3"/>
  <c r="F12" i="3"/>
  <c r="E12" i="3"/>
  <c r="U11" i="3"/>
  <c r="K11" i="3"/>
  <c r="J11" i="3"/>
  <c r="F11" i="3"/>
  <c r="E11" i="3"/>
  <c r="U10" i="3"/>
  <c r="K10" i="3"/>
  <c r="J10" i="3"/>
  <c r="F10" i="3"/>
  <c r="E10" i="3"/>
  <c r="U9" i="3"/>
  <c r="K9" i="3"/>
  <c r="J9" i="3"/>
  <c r="F9" i="3"/>
  <c r="E9" i="3"/>
  <c r="U8" i="3"/>
  <c r="K8" i="3"/>
  <c r="J8" i="3"/>
  <c r="F8" i="3"/>
  <c r="E8" i="3"/>
  <c r="U7" i="3"/>
  <c r="K7" i="3"/>
  <c r="J7" i="3"/>
  <c r="F7" i="3"/>
  <c r="E7" i="3"/>
  <c r="U6" i="3"/>
  <c r="K6" i="3"/>
  <c r="J6" i="3"/>
  <c r="F6" i="3"/>
  <c r="E6" i="3"/>
  <c r="U5" i="3"/>
  <c r="K5" i="3"/>
  <c r="J5" i="3"/>
  <c r="F5" i="3"/>
  <c r="E5" i="3"/>
  <c r="U4" i="3"/>
  <c r="K4" i="3"/>
  <c r="J4" i="3"/>
  <c r="F4" i="3"/>
  <c r="E4" i="3"/>
  <c r="U3" i="3"/>
  <c r="K3" i="3"/>
  <c r="J3" i="3"/>
  <c r="F3" i="3"/>
  <c r="E3" i="3"/>
  <c r="B2" i="3"/>
  <c r="N115" i="2"/>
  <c r="L115" i="2"/>
  <c r="K115" i="2"/>
  <c r="I115" i="2"/>
  <c r="G1652" i="3" s="1"/>
  <c r="H1652" i="3" s="1"/>
  <c r="G115" i="2"/>
  <c r="K114" i="2"/>
  <c r="I114" i="2"/>
  <c r="G114" i="2"/>
  <c r="K113" i="2"/>
  <c r="G113" i="2"/>
  <c r="K112" i="2"/>
  <c r="I112" i="2"/>
  <c r="G112" i="2"/>
  <c r="N111" i="2"/>
  <c r="K111" i="2"/>
  <c r="I111" i="2"/>
  <c r="G111" i="2"/>
  <c r="K110" i="2"/>
  <c r="I110" i="2"/>
  <c r="G110" i="2"/>
  <c r="N109" i="2"/>
  <c r="K109" i="2"/>
  <c r="I109" i="2"/>
  <c r="G109" i="2"/>
  <c r="K108" i="2"/>
  <c r="I108" i="2"/>
  <c r="G108" i="2"/>
  <c r="N107" i="2"/>
  <c r="K107" i="2"/>
  <c r="I107" i="2"/>
  <c r="G107" i="2"/>
  <c r="K106" i="2"/>
  <c r="G106" i="2"/>
  <c r="N105" i="2"/>
  <c r="K105" i="2"/>
  <c r="I105" i="2"/>
  <c r="G105" i="2"/>
  <c r="K104" i="2"/>
  <c r="I104" i="2"/>
  <c r="G104" i="2"/>
  <c r="K103" i="2"/>
  <c r="G103" i="2"/>
  <c r="K102" i="2"/>
  <c r="G102" i="2"/>
  <c r="K101" i="2"/>
  <c r="G101" i="2"/>
  <c r="K100" i="2"/>
  <c r="G100" i="2"/>
  <c r="K99" i="2"/>
  <c r="G99" i="2"/>
  <c r="K98" i="2"/>
  <c r="G98" i="2"/>
  <c r="K97" i="2"/>
  <c r="G97" i="2"/>
  <c r="K96" i="2"/>
  <c r="I96" i="2"/>
  <c r="G96" i="2"/>
  <c r="K95" i="2"/>
  <c r="G95" i="2"/>
  <c r="K94" i="2"/>
  <c r="G94" i="2"/>
  <c r="K93" i="2"/>
  <c r="G93" i="2"/>
  <c r="K92" i="2"/>
  <c r="G92" i="2"/>
  <c r="K91" i="2"/>
  <c r="G91" i="2"/>
  <c r="K90" i="2"/>
  <c r="G90" i="2"/>
  <c r="K89" i="2"/>
  <c r="G89" i="2"/>
  <c r="N88" i="2"/>
  <c r="L88" i="2"/>
  <c r="K88" i="2"/>
  <c r="I88" i="2"/>
  <c r="G1430" i="3" s="1"/>
  <c r="H1430" i="3" s="1"/>
  <c r="G88" i="2"/>
  <c r="N87" i="2"/>
  <c r="L87" i="2"/>
  <c r="K87" i="2"/>
  <c r="I87" i="2"/>
  <c r="G1429" i="3" s="1"/>
  <c r="H1429" i="3" s="1"/>
  <c r="G87" i="2"/>
  <c r="K86" i="2"/>
  <c r="G86" i="2"/>
  <c r="K85" i="2"/>
  <c r="G85" i="2"/>
  <c r="K84" i="2"/>
  <c r="G84" i="2"/>
  <c r="K83" i="2"/>
  <c r="G83" i="2"/>
  <c r="K82" i="2"/>
  <c r="G82" i="2"/>
  <c r="K81" i="2"/>
  <c r="G81" i="2"/>
  <c r="K80" i="2"/>
  <c r="G80" i="2"/>
  <c r="N79" i="2"/>
  <c r="K79" i="2"/>
  <c r="I79" i="2"/>
  <c r="G79" i="2"/>
  <c r="N78" i="2"/>
  <c r="K78" i="2"/>
  <c r="I78" i="2"/>
  <c r="G78" i="2"/>
  <c r="K77" i="2"/>
  <c r="G77" i="2"/>
  <c r="K76" i="2"/>
  <c r="G76" i="2"/>
  <c r="N75" i="2"/>
  <c r="L75" i="2"/>
  <c r="K75" i="2"/>
  <c r="I75" i="2"/>
  <c r="G1417" i="3" s="1"/>
  <c r="H1417" i="3" s="1"/>
  <c r="G75" i="2"/>
  <c r="N74" i="2"/>
  <c r="L74" i="2"/>
  <c r="K74" i="2"/>
  <c r="I74" i="2"/>
  <c r="G1416" i="3" s="1"/>
  <c r="H1416" i="3" s="1"/>
  <c r="G74" i="2"/>
  <c r="N73" i="2"/>
  <c r="K73" i="2"/>
  <c r="I73" i="2"/>
  <c r="G73" i="2"/>
  <c r="N72" i="2"/>
  <c r="L72" i="2"/>
  <c r="K72" i="2"/>
  <c r="I72" i="2"/>
  <c r="G1412" i="3" s="1"/>
  <c r="H1412" i="3" s="1"/>
  <c r="G72" i="2"/>
  <c r="N71" i="2"/>
  <c r="L71" i="2"/>
  <c r="K71" i="2"/>
  <c r="I71" i="2"/>
  <c r="G1411" i="3" s="1"/>
  <c r="H1411" i="3" s="1"/>
  <c r="G71" i="2"/>
  <c r="K70" i="2"/>
  <c r="G70" i="2"/>
  <c r="N69" i="2"/>
  <c r="L69" i="2"/>
  <c r="K69" i="2"/>
  <c r="I69" i="2"/>
  <c r="G1362" i="3" s="1"/>
  <c r="H1362" i="3" s="1"/>
  <c r="G69" i="2"/>
  <c r="N68" i="2"/>
  <c r="K68" i="2"/>
  <c r="I68" i="2"/>
  <c r="G68" i="2"/>
  <c r="K67" i="2"/>
  <c r="G67" i="2"/>
  <c r="K66" i="2"/>
  <c r="G66" i="2"/>
  <c r="K65" i="2"/>
  <c r="G65" i="2"/>
  <c r="K64" i="2"/>
  <c r="G64" i="2"/>
  <c r="K63" i="2"/>
  <c r="G63" i="2"/>
  <c r="K62" i="2"/>
  <c r="G62" i="2"/>
  <c r="K61" i="2"/>
  <c r="G61" i="2"/>
  <c r="K60" i="2"/>
  <c r="G60" i="2"/>
  <c r="K59" i="2"/>
  <c r="G59" i="2"/>
  <c r="K58" i="2"/>
  <c r="G58" i="2"/>
  <c r="K57" i="2"/>
  <c r="G57" i="2"/>
  <c r="K56" i="2"/>
  <c r="G56" i="2"/>
  <c r="K55" i="2"/>
  <c r="G55" i="2"/>
  <c r="N54" i="2"/>
  <c r="K54" i="2"/>
  <c r="I54" i="2"/>
  <c r="G54" i="2"/>
  <c r="K53" i="2"/>
  <c r="G53" i="2"/>
  <c r="K52" i="2"/>
  <c r="G52" i="2"/>
  <c r="N51" i="2"/>
  <c r="K51" i="2"/>
  <c r="I51" i="2"/>
  <c r="G51" i="2"/>
  <c r="K50" i="2"/>
  <c r="G50" i="2"/>
  <c r="K49" i="2"/>
  <c r="G49" i="2"/>
  <c r="K48" i="2"/>
  <c r="G48" i="2"/>
  <c r="K47" i="2"/>
  <c r="G47" i="2"/>
  <c r="K46" i="2"/>
  <c r="G46" i="2"/>
  <c r="K45" i="2"/>
  <c r="G45" i="2"/>
  <c r="K44" i="2"/>
  <c r="G44" i="2"/>
  <c r="K43" i="2"/>
  <c r="G43" i="2"/>
  <c r="K42" i="2"/>
  <c r="G42" i="2"/>
  <c r="K41" i="2"/>
  <c r="G41" i="2"/>
  <c r="N40" i="2"/>
  <c r="K40" i="2"/>
  <c r="I40" i="2"/>
  <c r="G812" i="3" s="1"/>
  <c r="H812" i="3" s="1"/>
  <c r="G40" i="2"/>
  <c r="K39" i="2"/>
  <c r="G39" i="2"/>
  <c r="N38" i="2"/>
  <c r="K38" i="2"/>
  <c r="I38" i="2"/>
  <c r="G38" i="2"/>
  <c r="K37" i="2"/>
  <c r="G37" i="2"/>
  <c r="K36" i="2"/>
  <c r="I36" i="2"/>
  <c r="G36" i="2"/>
  <c r="K35" i="2"/>
  <c r="G35" i="2"/>
  <c r="N34" i="2"/>
  <c r="K34" i="2"/>
  <c r="I34" i="2"/>
  <c r="G34" i="2"/>
  <c r="N33" i="2"/>
  <c r="K33" i="2"/>
  <c r="I33" i="2"/>
  <c r="G110" i="3" s="1"/>
  <c r="H110" i="3" s="1"/>
  <c r="G33" i="2"/>
  <c r="K32" i="2"/>
  <c r="I32" i="2"/>
  <c r="G32" i="2"/>
  <c r="K31" i="2"/>
  <c r="G31" i="2"/>
  <c r="N30" i="2"/>
  <c r="K30" i="2"/>
  <c r="I30" i="2"/>
  <c r="G846" i="3" s="1"/>
  <c r="H846" i="3" s="1"/>
  <c r="G30" i="2"/>
  <c r="N29" i="2"/>
  <c r="K29" i="2"/>
  <c r="I29" i="2"/>
  <c r="G122" i="3" s="1"/>
  <c r="H122" i="3" s="1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N22" i="2"/>
  <c r="K22" i="2"/>
  <c r="I22" i="2"/>
  <c r="G58" i="3" s="1"/>
  <c r="H58" i="3" s="1"/>
  <c r="G22" i="2"/>
  <c r="K21" i="2"/>
  <c r="G21" i="2"/>
  <c r="K20" i="2"/>
  <c r="G20" i="2"/>
  <c r="K19" i="2"/>
  <c r="G19" i="2"/>
  <c r="K18" i="2"/>
  <c r="G18" i="2"/>
  <c r="K17" i="2"/>
  <c r="G17" i="2"/>
  <c r="G16" i="2"/>
  <c r="F16" i="2"/>
  <c r="K15" i="2"/>
  <c r="G15" i="2"/>
  <c r="N14" i="2"/>
  <c r="K14" i="2"/>
  <c r="I14" i="2"/>
  <c r="G14" i="2"/>
  <c r="K13" i="2"/>
  <c r="G13" i="2"/>
  <c r="K12" i="2"/>
  <c r="G12" i="2"/>
  <c r="K11" i="2"/>
  <c r="G11" i="2"/>
  <c r="K10" i="2"/>
  <c r="G10" i="2"/>
  <c r="K9" i="2"/>
  <c r="H9" i="2"/>
  <c r="I9" i="2" s="1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B86" i="1"/>
  <c r="B88" i="1" s="1"/>
  <c r="F23" i="2" s="1"/>
  <c r="D72" i="1"/>
  <c r="E72" i="1" s="1"/>
  <c r="E71" i="1"/>
  <c r="D71" i="1"/>
  <c r="D70" i="1"/>
  <c r="E70" i="1" s="1"/>
  <c r="D69" i="1"/>
  <c r="E69" i="1" s="1"/>
  <c r="E68" i="1"/>
  <c r="D68" i="1"/>
  <c r="E23" i="1"/>
  <c r="H16" i="2" s="1"/>
  <c r="E22" i="1"/>
  <c r="H32" i="2" s="1"/>
  <c r="E21" i="1"/>
  <c r="H23" i="2" s="1"/>
  <c r="E20" i="1"/>
  <c r="H92" i="2" s="1"/>
  <c r="E19" i="1"/>
  <c r="H64" i="2" s="1"/>
  <c r="I64" i="2" s="1"/>
  <c r="E18" i="1"/>
  <c r="H106" i="2" s="1"/>
  <c r="I106" i="2" s="1"/>
  <c r="E17" i="1"/>
  <c r="H33" i="2" s="1"/>
  <c r="E16" i="1"/>
  <c r="E15" i="1"/>
  <c r="E14" i="1"/>
  <c r="H80" i="2" s="1"/>
  <c r="I80" i="2" s="1"/>
  <c r="E13" i="1"/>
  <c r="H30" i="2" s="1"/>
  <c r="E12" i="1"/>
  <c r="G1400" i="3" l="1"/>
  <c r="H1400" i="3" s="1"/>
  <c r="G1305" i="3"/>
  <c r="H1305" i="3" s="1"/>
  <c r="G885" i="3"/>
  <c r="H885" i="3" s="1"/>
  <c r="N64" i="2"/>
  <c r="F1555" i="3"/>
  <c r="F1598" i="3"/>
  <c r="F1637" i="3"/>
  <c r="F1537" i="3"/>
  <c r="F1576" i="3"/>
  <c r="F1619" i="3"/>
  <c r="F1514" i="3"/>
  <c r="F1344" i="3"/>
  <c r="F1659" i="3"/>
  <c r="F1492" i="3"/>
  <c r="F1466" i="3"/>
  <c r="F1325" i="3"/>
  <c r="F1366" i="3"/>
  <c r="F835" i="3"/>
  <c r="F744" i="3"/>
  <c r="F729" i="3"/>
  <c r="F854" i="3"/>
  <c r="F815" i="3"/>
  <c r="F793" i="3"/>
  <c r="F697" i="3"/>
  <c r="F778" i="3"/>
  <c r="F598" i="3"/>
  <c r="F59" i="3"/>
  <c r="F44" i="3"/>
  <c r="I23" i="2"/>
  <c r="F29" i="3"/>
  <c r="F154" i="3"/>
  <c r="F112" i="3"/>
  <c r="F132" i="3"/>
  <c r="F74" i="3"/>
  <c r="G1394" i="3"/>
  <c r="H1394" i="3" s="1"/>
  <c r="G1133" i="3"/>
  <c r="H1133" i="3" s="1"/>
  <c r="G908" i="3"/>
  <c r="H908" i="3" s="1"/>
  <c r="G879" i="3"/>
  <c r="H879" i="3" s="1"/>
  <c r="G941" i="3"/>
  <c r="H941" i="3" s="1"/>
  <c r="G957" i="3"/>
  <c r="H957" i="3" s="1"/>
  <c r="G710" i="3"/>
  <c r="H710" i="3" s="1"/>
  <c r="G759" i="3"/>
  <c r="H759" i="3" s="1"/>
  <c r="G244" i="3"/>
  <c r="H244" i="3" s="1"/>
  <c r="G183" i="3"/>
  <c r="H183" i="3" s="1"/>
  <c r="G10" i="3"/>
  <c r="H10" i="3" s="1"/>
  <c r="G199" i="3"/>
  <c r="H199" i="3" s="1"/>
  <c r="G166" i="3"/>
  <c r="H166" i="3" s="1"/>
  <c r="G89" i="3"/>
  <c r="H89" i="3" s="1"/>
  <c r="N9" i="2"/>
  <c r="G1491" i="3"/>
  <c r="H1491" i="3" s="1"/>
  <c r="G1465" i="3"/>
  <c r="H1465" i="3" s="1"/>
  <c r="N106" i="2"/>
  <c r="G1460" i="3"/>
  <c r="H1460" i="3" s="1"/>
  <c r="G1422" i="3"/>
  <c r="H1422" i="3" s="1"/>
  <c r="G1486" i="3"/>
  <c r="H1486" i="3" s="1"/>
  <c r="N80" i="2"/>
  <c r="P58" i="3"/>
  <c r="L58" i="3"/>
  <c r="H40" i="2"/>
  <c r="H58" i="2"/>
  <c r="I58" i="2" s="1"/>
  <c r="P110" i="3"/>
  <c r="L110" i="3"/>
  <c r="P812" i="3"/>
  <c r="L812" i="3"/>
  <c r="H78" i="2"/>
  <c r="H88" i="2"/>
  <c r="H26" i="2"/>
  <c r="I26" i="2" s="1"/>
  <c r="H24" i="2"/>
  <c r="I24" i="2" s="1"/>
  <c r="H38" i="2"/>
  <c r="G1484" i="3"/>
  <c r="H1484" i="3" s="1"/>
  <c r="G1458" i="3"/>
  <c r="H1458" i="3" s="1"/>
  <c r="N104" i="2"/>
  <c r="G1549" i="3"/>
  <c r="H1549" i="3" s="1"/>
  <c r="N112" i="2"/>
  <c r="G4" i="4"/>
  <c r="H4" i="4" s="1"/>
  <c r="Q47" i="3"/>
  <c r="H113" i="2"/>
  <c r="I113" i="2" s="1"/>
  <c r="H103" i="2"/>
  <c r="I103" i="2" s="1"/>
  <c r="H101" i="2"/>
  <c r="I101" i="2" s="1"/>
  <c r="H99" i="2"/>
  <c r="I99" i="2" s="1"/>
  <c r="H97" i="2"/>
  <c r="I97" i="2" s="1"/>
  <c r="H95" i="2"/>
  <c r="I95" i="2" s="1"/>
  <c r="H91" i="2"/>
  <c r="I91" i="2" s="1"/>
  <c r="H89" i="2"/>
  <c r="I89" i="2" s="1"/>
  <c r="H85" i="2"/>
  <c r="I85" i="2" s="1"/>
  <c r="H83" i="2"/>
  <c r="I83" i="2" s="1"/>
  <c r="H81" i="2"/>
  <c r="I81" i="2" s="1"/>
  <c r="H77" i="2"/>
  <c r="I77" i="2" s="1"/>
  <c r="H67" i="2"/>
  <c r="I67" i="2" s="1"/>
  <c r="H65" i="2"/>
  <c r="I65" i="2" s="1"/>
  <c r="H63" i="2"/>
  <c r="I63" i="2" s="1"/>
  <c r="H61" i="2"/>
  <c r="I61" i="2" s="1"/>
  <c r="H59" i="2"/>
  <c r="I59" i="2" s="1"/>
  <c r="H57" i="2"/>
  <c r="I57" i="2" s="1"/>
  <c r="H55" i="2"/>
  <c r="I55" i="2" s="1"/>
  <c r="H53" i="2"/>
  <c r="I53" i="2" s="1"/>
  <c r="H49" i="2"/>
  <c r="I49" i="2" s="1"/>
  <c r="H47" i="2"/>
  <c r="I47" i="2" s="1"/>
  <c r="H45" i="2"/>
  <c r="I45" i="2" s="1"/>
  <c r="H41" i="2"/>
  <c r="I41" i="2" s="1"/>
  <c r="H39" i="2"/>
  <c r="I39" i="2" s="1"/>
  <c r="H37" i="2"/>
  <c r="I37" i="2" s="1"/>
  <c r="H35" i="2"/>
  <c r="I35" i="2" s="1"/>
  <c r="H31" i="2"/>
  <c r="I31" i="2" s="1"/>
  <c r="H27" i="2"/>
  <c r="I27" i="2" s="1"/>
  <c r="H25" i="2"/>
  <c r="I25" i="2" s="1"/>
  <c r="H102" i="2"/>
  <c r="I102" i="2" s="1"/>
  <c r="H100" i="2"/>
  <c r="I100" i="2" s="1"/>
  <c r="H98" i="2"/>
  <c r="I98" i="2" s="1"/>
  <c r="H94" i="2"/>
  <c r="I94" i="2" s="1"/>
  <c r="H20" i="2"/>
  <c r="I20" i="2" s="1"/>
  <c r="H18" i="2"/>
  <c r="I18" i="2" s="1"/>
  <c r="H2" i="2"/>
  <c r="I2" i="2" s="1"/>
  <c r="H4" i="2"/>
  <c r="I4" i="2" s="1"/>
  <c r="H6" i="2"/>
  <c r="I6" i="2" s="1"/>
  <c r="H8" i="2"/>
  <c r="I8" i="2" s="1"/>
  <c r="H19" i="2"/>
  <c r="I19" i="2" s="1"/>
  <c r="H48" i="2"/>
  <c r="I48" i="2" s="1"/>
  <c r="H13" i="2"/>
  <c r="I13" i="2" s="1"/>
  <c r="H15" i="2"/>
  <c r="I15" i="2" s="1"/>
  <c r="H17" i="2"/>
  <c r="I17" i="2" s="1"/>
  <c r="G832" i="3"/>
  <c r="H832" i="3" s="1"/>
  <c r="G811" i="3"/>
  <c r="H811" i="3" s="1"/>
  <c r="G129" i="3"/>
  <c r="H129" i="3" s="1"/>
  <c r="G150" i="3"/>
  <c r="H150" i="3" s="1"/>
  <c r="H56" i="2"/>
  <c r="I56" i="2" s="1"/>
  <c r="H86" i="2"/>
  <c r="I86" i="2" s="1"/>
  <c r="G17" i="4"/>
  <c r="H17" i="4" s="1"/>
  <c r="Q267" i="3"/>
  <c r="H11" i="2"/>
  <c r="I11" i="2" s="1"/>
  <c r="G1365" i="3"/>
  <c r="H1365" i="3" s="1"/>
  <c r="G792" i="3"/>
  <c r="H792" i="3" s="1"/>
  <c r="G777" i="3"/>
  <c r="H777" i="3" s="1"/>
  <c r="G743" i="3"/>
  <c r="H743" i="3" s="1"/>
  <c r="G728" i="3"/>
  <c r="H728" i="3" s="1"/>
  <c r="G73" i="3"/>
  <c r="H73" i="3" s="1"/>
  <c r="G43" i="3"/>
  <c r="H43" i="3" s="1"/>
  <c r="G28" i="3"/>
  <c r="H28" i="3" s="1"/>
  <c r="L122" i="3"/>
  <c r="P122" i="3"/>
  <c r="H36" i="2"/>
  <c r="H46" i="2"/>
  <c r="I46" i="2" s="1"/>
  <c r="H76" i="2"/>
  <c r="I76" i="2" s="1"/>
  <c r="H74" i="2"/>
  <c r="G1613" i="3"/>
  <c r="H1613" i="3" s="1"/>
  <c r="G1529" i="3"/>
  <c r="H1529" i="3" s="1"/>
  <c r="N110" i="2"/>
  <c r="G1355" i="3"/>
  <c r="H1355" i="3" s="1"/>
  <c r="G1336" i="3"/>
  <c r="H1336" i="3" s="1"/>
  <c r="G685" i="3"/>
  <c r="H685" i="3" s="1"/>
  <c r="G826" i="3"/>
  <c r="H826" i="3" s="1"/>
  <c r="G804" i="3"/>
  <c r="H804" i="3" s="1"/>
  <c r="G123" i="3"/>
  <c r="H123" i="3" s="1"/>
  <c r="G143" i="3"/>
  <c r="H143" i="3" s="1"/>
  <c r="H34" i="2"/>
  <c r="H62" i="2"/>
  <c r="I62" i="2" s="1"/>
  <c r="H72" i="2"/>
  <c r="H84" i="2"/>
  <c r="I84" i="2" s="1"/>
  <c r="H54" i="2"/>
  <c r="H3" i="2"/>
  <c r="I3" i="2" s="1"/>
  <c r="H5" i="2"/>
  <c r="I5" i="2" s="1"/>
  <c r="H7" i="2"/>
  <c r="I7" i="2" s="1"/>
  <c r="G1591" i="3"/>
  <c r="H1591" i="3" s="1"/>
  <c r="G1564" i="3"/>
  <c r="H1564" i="3" s="1"/>
  <c r="G1607" i="3"/>
  <c r="H1607" i="3" s="1"/>
  <c r="G1646" i="3"/>
  <c r="H1646" i="3" s="1"/>
  <c r="G1507" i="3"/>
  <c r="H1507" i="3" s="1"/>
  <c r="G1523" i="3"/>
  <c r="H1523" i="3" s="1"/>
  <c r="G1364" i="3"/>
  <c r="H1364" i="3" s="1"/>
  <c r="G1343" i="3"/>
  <c r="H1343" i="3" s="1"/>
  <c r="G1414" i="3"/>
  <c r="H1414" i="3" s="1"/>
  <c r="G814" i="3"/>
  <c r="H814" i="3" s="1"/>
  <c r="G834" i="3"/>
  <c r="H834" i="3" s="1"/>
  <c r="G853" i="3"/>
  <c r="H853" i="3" s="1"/>
  <c r="G153" i="3"/>
  <c r="H153" i="3" s="1"/>
  <c r="G111" i="3"/>
  <c r="H111" i="3" s="1"/>
  <c r="G131" i="3"/>
  <c r="H131" i="3" s="1"/>
  <c r="H44" i="2"/>
  <c r="I44" i="2" s="1"/>
  <c r="I115" i="3"/>
  <c r="G104" i="3"/>
  <c r="H104" i="3" s="1"/>
  <c r="G10" i="4"/>
  <c r="H10" i="4" s="1"/>
  <c r="Q157" i="3"/>
  <c r="H93" i="2"/>
  <c r="I93" i="2" s="1"/>
  <c r="H43" i="2"/>
  <c r="I43" i="2" s="1"/>
  <c r="H115" i="2"/>
  <c r="H109" i="2"/>
  <c r="H107" i="2"/>
  <c r="H87" i="2"/>
  <c r="H71" i="2"/>
  <c r="H69" i="2"/>
  <c r="H51" i="2"/>
  <c r="H29" i="2"/>
  <c r="H114" i="2"/>
  <c r="H112" i="2"/>
  <c r="H110" i="2"/>
  <c r="H108" i="2"/>
  <c r="H22" i="2"/>
  <c r="H52" i="2"/>
  <c r="I52" i="2" s="1"/>
  <c r="H70" i="2"/>
  <c r="I70" i="2" s="1"/>
  <c r="G1590" i="3"/>
  <c r="H1590" i="3" s="1"/>
  <c r="G1506" i="3"/>
  <c r="H1506" i="3" s="1"/>
  <c r="N108" i="2"/>
  <c r="G851" i="3"/>
  <c r="H851" i="3" s="1"/>
  <c r="G109" i="3"/>
  <c r="H109" i="3" s="1"/>
  <c r="N36" i="2"/>
  <c r="B87" i="1"/>
  <c r="F92" i="2" s="1"/>
  <c r="H14" i="2"/>
  <c r="H60" i="2"/>
  <c r="I60" i="2" s="1"/>
  <c r="H68" i="2"/>
  <c r="H82" i="2"/>
  <c r="I82" i="2" s="1"/>
  <c r="G1631" i="3"/>
  <c r="H1631" i="3" s="1"/>
  <c r="N114" i="2"/>
  <c r="U18" i="3"/>
  <c r="U63" i="3"/>
  <c r="F1640" i="3"/>
  <c r="F1540" i="3"/>
  <c r="F1579" i="3"/>
  <c r="F1622" i="3"/>
  <c r="F1662" i="3"/>
  <c r="F1601" i="3"/>
  <c r="F1495" i="3"/>
  <c r="F1558" i="3"/>
  <c r="F1369" i="3"/>
  <c r="F1517" i="3"/>
  <c r="F1443" i="3"/>
  <c r="F1249" i="3"/>
  <c r="F1402" i="3"/>
  <c r="F1307" i="3"/>
  <c r="F1385" i="3"/>
  <c r="F1347" i="3"/>
  <c r="F1277" i="3"/>
  <c r="F1469" i="3"/>
  <c r="F1328" i="3"/>
  <c r="F1290" i="3"/>
  <c r="F1233" i="3"/>
  <c r="F1140" i="3"/>
  <c r="F1044" i="3"/>
  <c r="F1188" i="3"/>
  <c r="F1156" i="3"/>
  <c r="F1060" i="3"/>
  <c r="F1261" i="3"/>
  <c r="F1217" i="3"/>
  <c r="F1076" i="3"/>
  <c r="F1201" i="3"/>
  <c r="F1108" i="3"/>
  <c r="F1124" i="3"/>
  <c r="F1092" i="3"/>
  <c r="F1012" i="3"/>
  <c r="F916" i="3"/>
  <c r="F870" i="3"/>
  <c r="F1172" i="3"/>
  <c r="F996" i="3"/>
  <c r="F932" i="3"/>
  <c r="F948" i="3"/>
  <c r="F887" i="3"/>
  <c r="F899" i="3"/>
  <c r="F980" i="3"/>
  <c r="F732" i="3"/>
  <c r="F1028" i="3"/>
  <c r="F717" i="3"/>
  <c r="F838" i="3"/>
  <c r="F633" i="3"/>
  <c r="F660" i="3"/>
  <c r="F964" i="3"/>
  <c r="F781" i="3"/>
  <c r="F677" i="3"/>
  <c r="F857" i="3"/>
  <c r="F818" i="3"/>
  <c r="F766" i="3"/>
  <c r="F647" i="3"/>
  <c r="F523" i="3"/>
  <c r="F539" i="3"/>
  <c r="F443" i="3"/>
  <c r="F551" i="3"/>
  <c r="F459" i="3"/>
  <c r="F613" i="3"/>
  <c r="F563" i="3"/>
  <c r="F475" i="3"/>
  <c r="F601" i="3"/>
  <c r="F700" i="3"/>
  <c r="F583" i="3"/>
  <c r="F491" i="3"/>
  <c r="F796" i="3"/>
  <c r="F747" i="3"/>
  <c r="F190" i="3"/>
  <c r="F395" i="3"/>
  <c r="F363" i="3"/>
  <c r="F267" i="3"/>
  <c r="F507" i="3"/>
  <c r="F283" i="3"/>
  <c r="F379" i="3"/>
  <c r="F427" i="3"/>
  <c r="F299" i="3"/>
  <c r="F411" i="3"/>
  <c r="F315" i="3"/>
  <c r="F223" i="3"/>
  <c r="F331" i="3"/>
  <c r="F347" i="3"/>
  <c r="F32" i="3"/>
  <c r="F235" i="3"/>
  <c r="F17" i="3"/>
  <c r="F251" i="3"/>
  <c r="F174" i="3"/>
  <c r="F157" i="3"/>
  <c r="F115" i="3"/>
  <c r="F135" i="3"/>
  <c r="F77" i="3"/>
  <c r="F62" i="3"/>
  <c r="F207" i="3"/>
  <c r="F47" i="3"/>
  <c r="H12" i="2"/>
  <c r="I12" i="2" s="1"/>
  <c r="I16" i="2"/>
  <c r="H28" i="2"/>
  <c r="I28" i="2" s="1"/>
  <c r="P846" i="3"/>
  <c r="L846" i="3"/>
  <c r="H42" i="2"/>
  <c r="I42" i="2" s="1"/>
  <c r="H50" i="2"/>
  <c r="I50" i="2" s="1"/>
  <c r="G1475" i="3"/>
  <c r="H1475" i="3" s="1"/>
  <c r="G1449" i="3"/>
  <c r="H1449" i="3" s="1"/>
  <c r="N96" i="2"/>
  <c r="H111" i="2"/>
  <c r="H105" i="2"/>
  <c r="H79" i="2"/>
  <c r="H75" i="2"/>
  <c r="H73" i="2"/>
  <c r="H104" i="2"/>
  <c r="H96" i="2"/>
  <c r="H10" i="2"/>
  <c r="I10" i="2" s="1"/>
  <c r="H21" i="2"/>
  <c r="I21" i="2" s="1"/>
  <c r="N32" i="2"/>
  <c r="H90" i="2"/>
  <c r="I90" i="2" s="1"/>
  <c r="I62" i="3"/>
  <c r="G7" i="4"/>
  <c r="H7" i="4" s="1"/>
  <c r="Q96" i="3"/>
  <c r="F96" i="3"/>
  <c r="H66" i="2"/>
  <c r="I66" i="2" s="1"/>
  <c r="I174" i="3"/>
  <c r="G25" i="4"/>
  <c r="H25" i="4" s="1"/>
  <c r="Q395" i="3"/>
  <c r="I17" i="3"/>
  <c r="G20" i="4"/>
  <c r="H20" i="4" s="1"/>
  <c r="Q315" i="3"/>
  <c r="G1661" i="3"/>
  <c r="G1557" i="3"/>
  <c r="G1600" i="3"/>
  <c r="G1639" i="3"/>
  <c r="G1621" i="3"/>
  <c r="G1468" i="3"/>
  <c r="G1516" i="3"/>
  <c r="G1442" i="3"/>
  <c r="G1539" i="3"/>
  <c r="G1494" i="3"/>
  <c r="G1327" i="3"/>
  <c r="G1578" i="3"/>
  <c r="G1200" i="3"/>
  <c r="G1216" i="3"/>
  <c r="G1289" i="3"/>
  <c r="G1232" i="3"/>
  <c r="G1306" i="3"/>
  <c r="G1260" i="3"/>
  <c r="G1346" i="3"/>
  <c r="G1384" i="3"/>
  <c r="G1276" i="3"/>
  <c r="G1075" i="3"/>
  <c r="G1171" i="3"/>
  <c r="G1368" i="3"/>
  <c r="G1107" i="3"/>
  <c r="G1401" i="3"/>
  <c r="G1123" i="3"/>
  <c r="G1027" i="3"/>
  <c r="G1155" i="3"/>
  <c r="G1248" i="3"/>
  <c r="G947" i="3"/>
  <c r="G886" i="3"/>
  <c r="G963" i="3"/>
  <c r="G817" i="3"/>
  <c r="G1059" i="3"/>
  <c r="G1043" i="3"/>
  <c r="G898" i="3"/>
  <c r="G856" i="3"/>
  <c r="G1187" i="3"/>
  <c r="G1139" i="3"/>
  <c r="G1091" i="3"/>
  <c r="G979" i="3"/>
  <c r="G837" i="3"/>
  <c r="G995" i="3"/>
  <c r="G915" i="3"/>
  <c r="G931" i="3"/>
  <c r="G795" i="3"/>
  <c r="G699" i="3"/>
  <c r="G780" i="3"/>
  <c r="G676" i="3"/>
  <c r="G869" i="3"/>
  <c r="G765" i="3"/>
  <c r="G746" i="3"/>
  <c r="G646" i="3"/>
  <c r="G731" i="3"/>
  <c r="G550" i="3"/>
  <c r="G458" i="3"/>
  <c r="G1011" i="3"/>
  <c r="G562" i="3"/>
  <c r="G474" i="3"/>
  <c r="G716" i="3"/>
  <c r="G659" i="3"/>
  <c r="G600" i="3"/>
  <c r="G632" i="3"/>
  <c r="G582" i="3"/>
  <c r="G490" i="3"/>
  <c r="G522" i="3"/>
  <c r="G426" i="3"/>
  <c r="G538" i="3"/>
  <c r="G298" i="3"/>
  <c r="G206" i="3"/>
  <c r="G314" i="3"/>
  <c r="G222" i="3"/>
  <c r="G612" i="3"/>
  <c r="G330" i="3"/>
  <c r="G234" i="3"/>
  <c r="G442" i="3"/>
  <c r="G506" i="3"/>
  <c r="G346" i="3"/>
  <c r="G250" i="3"/>
  <c r="G394" i="3"/>
  <c r="G362" i="3"/>
  <c r="G266" i="3"/>
  <c r="G410" i="3"/>
  <c r="G378" i="3"/>
  <c r="I32" i="3"/>
  <c r="U97" i="3"/>
  <c r="G151" i="3"/>
  <c r="H151" i="3" s="1"/>
  <c r="I223" i="3"/>
  <c r="I251" i="3"/>
  <c r="G12" i="4"/>
  <c r="H12" i="4" s="1"/>
  <c r="Q190" i="3"/>
  <c r="G1246" i="3"/>
  <c r="H1246" i="3" s="1"/>
  <c r="G580" i="3"/>
  <c r="H580" i="3" s="1"/>
  <c r="G1597" i="3"/>
  <c r="H1597" i="3" s="1"/>
  <c r="G1513" i="3"/>
  <c r="H1513" i="3" s="1"/>
  <c r="G1562" i="3"/>
  <c r="H1562" i="3" s="1"/>
  <c r="G1341" i="3"/>
  <c r="H1341" i="3" s="1"/>
  <c r="P1412" i="3"/>
  <c r="L1412" i="3"/>
  <c r="P1416" i="3"/>
  <c r="L1416" i="3"/>
  <c r="G1488" i="3"/>
  <c r="H1488" i="3" s="1"/>
  <c r="G1462" i="3"/>
  <c r="H1462" i="3" s="1"/>
  <c r="G1420" i="3"/>
  <c r="H1420" i="3" s="1"/>
  <c r="L1430" i="3"/>
  <c r="P1430" i="3"/>
  <c r="G31" i="3"/>
  <c r="G173" i="3"/>
  <c r="U191" i="3"/>
  <c r="I207" i="3"/>
  <c r="U208" i="3"/>
  <c r="I283" i="3"/>
  <c r="I331" i="3"/>
  <c r="U332" i="3"/>
  <c r="G46" i="3"/>
  <c r="G142" i="3"/>
  <c r="H142" i="3" s="1"/>
  <c r="G61" i="3"/>
  <c r="G103" i="3"/>
  <c r="H103" i="3" s="1"/>
  <c r="G27" i="4"/>
  <c r="H27" i="4" s="1"/>
  <c r="Q427" i="3"/>
  <c r="G76" i="3"/>
  <c r="G130" i="3"/>
  <c r="H130" i="3" s="1"/>
  <c r="G134" i="3"/>
  <c r="U268" i="3"/>
  <c r="G282" i="3"/>
  <c r="G19" i="4"/>
  <c r="H19" i="4" s="1"/>
  <c r="Q299" i="3"/>
  <c r="G95" i="3"/>
  <c r="G189" i="3"/>
  <c r="I235" i="3"/>
  <c r="U252" i="3"/>
  <c r="G22" i="4"/>
  <c r="H22" i="4" s="1"/>
  <c r="Q347" i="3"/>
  <c r="G24" i="4"/>
  <c r="H24" i="4" s="1"/>
  <c r="Q379" i="3"/>
  <c r="G114" i="3"/>
  <c r="G1354" i="3"/>
  <c r="H1354" i="3" s="1"/>
  <c r="G1335" i="3"/>
  <c r="H1335" i="3" s="1"/>
  <c r="G825" i="3"/>
  <c r="H825" i="3" s="1"/>
  <c r="G845" i="3"/>
  <c r="H845" i="3" s="1"/>
  <c r="G803" i="3"/>
  <c r="H803" i="3" s="1"/>
  <c r="G684" i="3"/>
  <c r="H684" i="3" s="1"/>
  <c r="G623" i="3"/>
  <c r="H623" i="3" s="1"/>
  <c r="G573" i="3"/>
  <c r="H573" i="3" s="1"/>
  <c r="G593" i="3"/>
  <c r="H593" i="3" s="1"/>
  <c r="G1563" i="3"/>
  <c r="H1563" i="3" s="1"/>
  <c r="G1606" i="3"/>
  <c r="H1606" i="3" s="1"/>
  <c r="G1645" i="3"/>
  <c r="H1645" i="3" s="1"/>
  <c r="G1592" i="3"/>
  <c r="H1592" i="3" s="1"/>
  <c r="G1522" i="3"/>
  <c r="H1522" i="3" s="1"/>
  <c r="G1508" i="3"/>
  <c r="H1508" i="3" s="1"/>
  <c r="G1415" i="3"/>
  <c r="H1415" i="3" s="1"/>
  <c r="G1363" i="3"/>
  <c r="H1363" i="3" s="1"/>
  <c r="G1342" i="3"/>
  <c r="H1342" i="3" s="1"/>
  <c r="G813" i="3"/>
  <c r="H813" i="3" s="1"/>
  <c r="G852" i="3"/>
  <c r="H852" i="3" s="1"/>
  <c r="G833" i="3"/>
  <c r="H833" i="3" s="1"/>
  <c r="G624" i="3"/>
  <c r="H624" i="3" s="1"/>
  <c r="G574" i="3"/>
  <c r="H574" i="3" s="1"/>
  <c r="G594" i="3"/>
  <c r="H594" i="3" s="1"/>
  <c r="P1362" i="3"/>
  <c r="L1362" i="3"/>
  <c r="P1411" i="3"/>
  <c r="L1411" i="3"/>
  <c r="G1589" i="3"/>
  <c r="H1589" i="3" s="1"/>
  <c r="G1505" i="3"/>
  <c r="H1505" i="3" s="1"/>
  <c r="G1413" i="3"/>
  <c r="H1413" i="3" s="1"/>
  <c r="L1417" i="3"/>
  <c r="P1417" i="3"/>
  <c r="G1421" i="3"/>
  <c r="H1421" i="3" s="1"/>
  <c r="G1463" i="3"/>
  <c r="H1463" i="3" s="1"/>
  <c r="G1489" i="3"/>
  <c r="H1489" i="3" s="1"/>
  <c r="L1429" i="3"/>
  <c r="P1429" i="3"/>
  <c r="Q77" i="3"/>
  <c r="Q135" i="3"/>
  <c r="G1459" i="3"/>
  <c r="H1459" i="3" s="1"/>
  <c r="G1485" i="3"/>
  <c r="H1485" i="3" s="1"/>
  <c r="G1588" i="3"/>
  <c r="H1588" i="3" s="1"/>
  <c r="G1504" i="3"/>
  <c r="H1504" i="3" s="1"/>
  <c r="G1644" i="3"/>
  <c r="H1644" i="3" s="1"/>
  <c r="G1596" i="3"/>
  <c r="H1596" i="3" s="1"/>
  <c r="G1605" i="3"/>
  <c r="H1605" i="3" s="1"/>
  <c r="G1512" i="3"/>
  <c r="H1512" i="3" s="1"/>
  <c r="G1521" i="3"/>
  <c r="H1521" i="3" s="1"/>
  <c r="G1571" i="3"/>
  <c r="H1571" i="3" s="1"/>
  <c r="G1614" i="3"/>
  <c r="H1614" i="3" s="1"/>
  <c r="G1653" i="3"/>
  <c r="H1653" i="3" s="1"/>
  <c r="G1550" i="3"/>
  <c r="H1550" i="3" s="1"/>
  <c r="G1632" i="3"/>
  <c r="H1632" i="3" s="1"/>
  <c r="G1530" i="3"/>
  <c r="H1530" i="3" s="1"/>
  <c r="P1652" i="3"/>
  <c r="L1652" i="3"/>
  <c r="G152" i="3"/>
  <c r="H152" i="3" s="1"/>
  <c r="G156" i="3"/>
  <c r="G31" i="4"/>
  <c r="H31" i="4" s="1"/>
  <c r="Q491" i="3"/>
  <c r="G52" i="4"/>
  <c r="H52" i="4" s="1"/>
  <c r="Q838" i="3"/>
  <c r="U224" i="3"/>
  <c r="U316" i="3"/>
  <c r="G41" i="4"/>
  <c r="H41" i="4" s="1"/>
  <c r="Q647" i="3"/>
  <c r="U300" i="3"/>
  <c r="U524" i="3"/>
  <c r="G35" i="4"/>
  <c r="H35" i="4" s="1"/>
  <c r="Q551" i="3"/>
  <c r="Q363" i="3"/>
  <c r="U412" i="3"/>
  <c r="Q475" i="3"/>
  <c r="U284" i="3"/>
  <c r="I443" i="3"/>
  <c r="I411" i="3"/>
  <c r="U428" i="3"/>
  <c r="I459" i="3"/>
  <c r="G38" i="4"/>
  <c r="H38" i="4" s="1"/>
  <c r="Q601" i="3"/>
  <c r="I507" i="3"/>
  <c r="I523" i="3"/>
  <c r="G34" i="4"/>
  <c r="H34" i="4" s="1"/>
  <c r="Q539" i="3"/>
  <c r="U508" i="3"/>
  <c r="Q563" i="3"/>
  <c r="G51" i="4"/>
  <c r="H51" i="4" s="1"/>
  <c r="Q818" i="3"/>
  <c r="G54" i="4"/>
  <c r="H54" i="4" s="1"/>
  <c r="Q870" i="3"/>
  <c r="G47" i="4"/>
  <c r="H47" i="4" s="1"/>
  <c r="Q747" i="3"/>
  <c r="G78" i="4"/>
  <c r="H78" i="4" s="1"/>
  <c r="Q1249" i="3"/>
  <c r="U476" i="3"/>
  <c r="U564" i="3"/>
  <c r="U614" i="3"/>
  <c r="I633" i="3"/>
  <c r="G49" i="4"/>
  <c r="H49" i="4" s="1"/>
  <c r="Q781" i="3"/>
  <c r="U444" i="3"/>
  <c r="U540" i="3"/>
  <c r="I613" i="3"/>
  <c r="G44" i="4"/>
  <c r="H44" i="4" s="1"/>
  <c r="Q700" i="3"/>
  <c r="G50" i="4"/>
  <c r="H50" i="4" s="1"/>
  <c r="Q796" i="3"/>
  <c r="G60" i="4"/>
  <c r="H60" i="4" s="1"/>
  <c r="Q964" i="3"/>
  <c r="I660" i="3"/>
  <c r="G43" i="4"/>
  <c r="H43" i="4" s="1"/>
  <c r="Q677" i="3"/>
  <c r="Q583" i="3"/>
  <c r="U819" i="3"/>
  <c r="U602" i="3"/>
  <c r="U718" i="3"/>
  <c r="I717" i="3"/>
  <c r="I766" i="3"/>
  <c r="U782" i="3"/>
  <c r="G61" i="4"/>
  <c r="H61" i="4" s="1"/>
  <c r="Q980" i="3"/>
  <c r="G67" i="4"/>
  <c r="H67" i="4" s="1"/>
  <c r="Q1076" i="3"/>
  <c r="U701" i="3"/>
  <c r="U797" i="3"/>
  <c r="G65" i="4"/>
  <c r="H65" i="4" s="1"/>
  <c r="Q1044" i="3"/>
  <c r="G62" i="4"/>
  <c r="H62" i="4" s="1"/>
  <c r="Q996" i="3"/>
  <c r="G70" i="4"/>
  <c r="H70" i="4" s="1"/>
  <c r="Q1124" i="3"/>
  <c r="U661" i="3"/>
  <c r="I932" i="3"/>
  <c r="I1290" i="3"/>
  <c r="U1291" i="3"/>
  <c r="U634" i="3"/>
  <c r="Q732" i="3"/>
  <c r="G56" i="4"/>
  <c r="H56" i="4" s="1"/>
  <c r="Q899" i="3"/>
  <c r="U1013" i="3"/>
  <c r="I1012" i="3"/>
  <c r="G57" i="4"/>
  <c r="H57" i="4" s="1"/>
  <c r="Q916" i="3"/>
  <c r="I887" i="3"/>
  <c r="I857" i="3"/>
  <c r="G59" i="4"/>
  <c r="H59" i="4" s="1"/>
  <c r="Q948" i="3"/>
  <c r="U981" i="3"/>
  <c r="U900" i="3"/>
  <c r="U1141" i="3"/>
  <c r="U965" i="3"/>
  <c r="I1060" i="3"/>
  <c r="G73" i="4"/>
  <c r="H73" i="4" s="1"/>
  <c r="Q1172" i="3"/>
  <c r="U949" i="3"/>
  <c r="U1029" i="3"/>
  <c r="G68" i="4"/>
  <c r="H68" i="4" s="1"/>
  <c r="Q1092" i="3"/>
  <c r="G74" i="4"/>
  <c r="H74" i="4" s="1"/>
  <c r="Q1188" i="3"/>
  <c r="U997" i="3"/>
  <c r="U933" i="3"/>
  <c r="I1028" i="3"/>
  <c r="U1061" i="3"/>
  <c r="I1156" i="3"/>
  <c r="I1108" i="3"/>
  <c r="U1109" i="3"/>
  <c r="I1233" i="3"/>
  <c r="I1347" i="3"/>
  <c r="I1140" i="3"/>
  <c r="U1250" i="3"/>
  <c r="I1328" i="3"/>
  <c r="G86" i="4"/>
  <c r="H86" i="4" s="1"/>
  <c r="Q1385" i="3"/>
  <c r="U1234" i="3"/>
  <c r="I1277" i="3"/>
  <c r="U1157" i="3"/>
  <c r="I1217" i="3"/>
  <c r="I1443" i="3"/>
  <c r="Q1201" i="3"/>
  <c r="I1402" i="3"/>
  <c r="U1329" i="3"/>
  <c r="G79" i="4"/>
  <c r="H79" i="4" s="1"/>
  <c r="Q1261" i="3"/>
  <c r="I1369" i="3"/>
  <c r="G90" i="4"/>
  <c r="H90" i="4" s="1"/>
  <c r="Q1495" i="3"/>
  <c r="I1540" i="3"/>
  <c r="I1307" i="3"/>
  <c r="I1558" i="3"/>
  <c r="U1559" i="3"/>
  <c r="U1348" i="3"/>
  <c r="U1370" i="3"/>
  <c r="U1278" i="3"/>
  <c r="U1403" i="3"/>
  <c r="I1517" i="3"/>
  <c r="G89" i="4"/>
  <c r="H89" i="4" s="1"/>
  <c r="Q1469" i="3"/>
  <c r="U1641" i="3"/>
  <c r="U1470" i="3"/>
  <c r="G96" i="4"/>
  <c r="H96" i="4" s="1"/>
  <c r="Q1622" i="3"/>
  <c r="U1541" i="3"/>
  <c r="Q1662" i="3"/>
  <c r="G98" i="4"/>
  <c r="H98" i="4" s="1"/>
  <c r="I1579" i="3"/>
  <c r="I1640" i="3"/>
  <c r="U1663" i="3"/>
  <c r="I1601" i="3"/>
  <c r="U1623" i="3"/>
  <c r="U1580" i="3"/>
  <c r="G92" i="4" l="1"/>
  <c r="H92" i="4" s="1"/>
  <c r="Q1540" i="3"/>
  <c r="P593" i="3"/>
  <c r="L593" i="3"/>
  <c r="G1321" i="3"/>
  <c r="H1321" i="3" s="1"/>
  <c r="G693" i="3"/>
  <c r="H693" i="3" s="1"/>
  <c r="N59" i="2"/>
  <c r="P1504" i="3"/>
  <c r="L1504" i="3"/>
  <c r="L107" i="2"/>
  <c r="G1575" i="3"/>
  <c r="H1575" i="3" s="1"/>
  <c r="G1552" i="3"/>
  <c r="H1552" i="3" s="1"/>
  <c r="G1657" i="3"/>
  <c r="H1657" i="3" s="1"/>
  <c r="G1634" i="3"/>
  <c r="H1634" i="3" s="1"/>
  <c r="G1535" i="3"/>
  <c r="H1535" i="3" s="1"/>
  <c r="G1438" i="3"/>
  <c r="H1438" i="3" s="1"/>
  <c r="G1340" i="3"/>
  <c r="H1340" i="3" s="1"/>
  <c r="G1360" i="3"/>
  <c r="H1360" i="3" s="1"/>
  <c r="G810" i="3"/>
  <c r="H810" i="3" s="1"/>
  <c r="G850" i="3"/>
  <c r="H850" i="3" s="1"/>
  <c r="G831" i="3"/>
  <c r="H831" i="3" s="1"/>
  <c r="G149" i="3"/>
  <c r="H149" i="3" s="1"/>
  <c r="G128" i="3"/>
  <c r="H128" i="3" s="1"/>
  <c r="N31" i="2"/>
  <c r="G108" i="3"/>
  <c r="H108" i="3" s="1"/>
  <c r="Q1579" i="3"/>
  <c r="G94" i="4"/>
  <c r="H94" i="4" s="1"/>
  <c r="G71" i="4"/>
  <c r="H71" i="4" s="1"/>
  <c r="Q1140" i="3"/>
  <c r="G87" i="4"/>
  <c r="H87" i="4" s="1"/>
  <c r="Q1402" i="3"/>
  <c r="Q1443" i="3"/>
  <c r="G88" i="4"/>
  <c r="H88" i="4" s="1"/>
  <c r="P1512" i="3"/>
  <c r="L1512" i="3"/>
  <c r="L109" i="2"/>
  <c r="P1489" i="3"/>
  <c r="L1489" i="3"/>
  <c r="P594" i="3"/>
  <c r="L594" i="3"/>
  <c r="L1645" i="3"/>
  <c r="P1645" i="3"/>
  <c r="G18" i="4"/>
  <c r="H18" i="4" s="1"/>
  <c r="Q283" i="3"/>
  <c r="G14" i="4"/>
  <c r="H14" i="4" s="1"/>
  <c r="Q223" i="3"/>
  <c r="G1398" i="3"/>
  <c r="H1398" i="3" s="1"/>
  <c r="G1381" i="3"/>
  <c r="H1381" i="3" s="1"/>
  <c r="G1303" i="3"/>
  <c r="H1303" i="3" s="1"/>
  <c r="G1213" i="3"/>
  <c r="H1213" i="3" s="1"/>
  <c r="G1152" i="3"/>
  <c r="H1152" i="3" s="1"/>
  <c r="G1056" i="3"/>
  <c r="H1056" i="3" s="1"/>
  <c r="G1168" i="3"/>
  <c r="H1168" i="3" s="1"/>
  <c r="G1072" i="3"/>
  <c r="H1072" i="3" s="1"/>
  <c r="G1088" i="3"/>
  <c r="H1088" i="3" s="1"/>
  <c r="G992" i="3"/>
  <c r="H992" i="3" s="1"/>
  <c r="G1120" i="3"/>
  <c r="H1120" i="3" s="1"/>
  <c r="G1229" i="3"/>
  <c r="H1229" i="3" s="1"/>
  <c r="G1136" i="3"/>
  <c r="H1136" i="3" s="1"/>
  <c r="G1040" i="3"/>
  <c r="H1040" i="3" s="1"/>
  <c r="G912" i="3"/>
  <c r="H912" i="3" s="1"/>
  <c r="G1024" i="3"/>
  <c r="H1024" i="3" s="1"/>
  <c r="G928" i="3"/>
  <c r="H928" i="3" s="1"/>
  <c r="G944" i="3"/>
  <c r="H944" i="3" s="1"/>
  <c r="G883" i="3"/>
  <c r="H883" i="3" s="1"/>
  <c r="G960" i="3"/>
  <c r="H960" i="3" s="1"/>
  <c r="G895" i="3"/>
  <c r="H895" i="3" s="1"/>
  <c r="G1184" i="3"/>
  <c r="H1184" i="3" s="1"/>
  <c r="G1008" i="3"/>
  <c r="H1008" i="3" s="1"/>
  <c r="G673" i="3"/>
  <c r="H673" i="3" s="1"/>
  <c r="G976" i="3"/>
  <c r="H976" i="3" s="1"/>
  <c r="G535" i="3"/>
  <c r="H535" i="3" s="1"/>
  <c r="G1104" i="3"/>
  <c r="H1104" i="3" s="1"/>
  <c r="G547" i="3"/>
  <c r="H547" i="3" s="1"/>
  <c r="G455" i="3"/>
  <c r="H455" i="3" s="1"/>
  <c r="G559" i="3"/>
  <c r="H559" i="3" s="1"/>
  <c r="G471" i="3"/>
  <c r="H471" i="3" s="1"/>
  <c r="G713" i="3"/>
  <c r="H713" i="3" s="1"/>
  <c r="G487" i="3"/>
  <c r="H487" i="3" s="1"/>
  <c r="G762" i="3"/>
  <c r="H762" i="3" s="1"/>
  <c r="G503" i="3"/>
  <c r="H503" i="3" s="1"/>
  <c r="G375" i="3"/>
  <c r="H375" i="3" s="1"/>
  <c r="G279" i="3"/>
  <c r="H279" i="3" s="1"/>
  <c r="G295" i="3"/>
  <c r="H295" i="3" s="1"/>
  <c r="G423" i="3"/>
  <c r="H423" i="3" s="1"/>
  <c r="G311" i="3"/>
  <c r="H311" i="3" s="1"/>
  <c r="G519" i="3"/>
  <c r="H519" i="3" s="1"/>
  <c r="G327" i="3"/>
  <c r="H327" i="3" s="1"/>
  <c r="G231" i="3"/>
  <c r="H231" i="3" s="1"/>
  <c r="G391" i="3"/>
  <c r="H391" i="3" s="1"/>
  <c r="G343" i="3"/>
  <c r="H343" i="3" s="1"/>
  <c r="G407" i="3"/>
  <c r="H407" i="3" s="1"/>
  <c r="G439" i="3"/>
  <c r="H439" i="3" s="1"/>
  <c r="G359" i="3"/>
  <c r="H359" i="3" s="1"/>
  <c r="G247" i="3"/>
  <c r="H247" i="3" s="1"/>
  <c r="G203" i="3"/>
  <c r="H203" i="3" s="1"/>
  <c r="G186" i="3"/>
  <c r="H186" i="3" s="1"/>
  <c r="G263" i="3"/>
  <c r="H263" i="3" s="1"/>
  <c r="G219" i="3"/>
  <c r="H219" i="3" s="1"/>
  <c r="G92" i="3"/>
  <c r="H92" i="3" s="1"/>
  <c r="G170" i="3"/>
  <c r="H170" i="3" s="1"/>
  <c r="G13" i="3"/>
  <c r="H13" i="3" s="1"/>
  <c r="N12" i="2"/>
  <c r="L851" i="3"/>
  <c r="P851" i="3"/>
  <c r="G8" i="4"/>
  <c r="H8" i="4" s="1"/>
  <c r="Q115" i="3"/>
  <c r="P1507" i="3"/>
  <c r="L1507" i="3"/>
  <c r="G1418" i="3"/>
  <c r="H1418" i="3" s="1"/>
  <c r="N76" i="2"/>
  <c r="L1365" i="3"/>
  <c r="P1365" i="3"/>
  <c r="G1215" i="3"/>
  <c r="H1215" i="3" s="1"/>
  <c r="G1288" i="3"/>
  <c r="H1288" i="3" s="1"/>
  <c r="G1170" i="3"/>
  <c r="H1170" i="3" s="1"/>
  <c r="G1186" i="3"/>
  <c r="H1186" i="3" s="1"/>
  <c r="G1106" i="3"/>
  <c r="H1106" i="3" s="1"/>
  <c r="G1122" i="3"/>
  <c r="H1122" i="3" s="1"/>
  <c r="G1138" i="3"/>
  <c r="H1138" i="3" s="1"/>
  <c r="G1042" i="3"/>
  <c r="H1042" i="3" s="1"/>
  <c r="G1231" i="3"/>
  <c r="H1231" i="3" s="1"/>
  <c r="G1199" i="3"/>
  <c r="H1199" i="3" s="1"/>
  <c r="G897" i="3"/>
  <c r="H897" i="3" s="1"/>
  <c r="G1154" i="3"/>
  <c r="H1154" i="3" s="1"/>
  <c r="G764" i="3"/>
  <c r="H764" i="3" s="1"/>
  <c r="G715" i="3"/>
  <c r="H715" i="3" s="1"/>
  <c r="G611" i="3"/>
  <c r="H611" i="3" s="1"/>
  <c r="G489" i="3"/>
  <c r="H489" i="3" s="1"/>
  <c r="G505" i="3"/>
  <c r="H505" i="3" s="1"/>
  <c r="G409" i="3"/>
  <c r="H409" i="3" s="1"/>
  <c r="G521" i="3"/>
  <c r="H521" i="3" s="1"/>
  <c r="G425" i="3"/>
  <c r="H425" i="3" s="1"/>
  <c r="G930" i="3"/>
  <c r="H930" i="3" s="1"/>
  <c r="G537" i="3"/>
  <c r="H537" i="3" s="1"/>
  <c r="G441" i="3"/>
  <c r="H441" i="3" s="1"/>
  <c r="G1058" i="3"/>
  <c r="H1058" i="3" s="1"/>
  <c r="G658" i="3"/>
  <c r="H658" i="3" s="1"/>
  <c r="G549" i="3"/>
  <c r="H549" i="3" s="1"/>
  <c r="G457" i="3"/>
  <c r="H457" i="3" s="1"/>
  <c r="G329" i="3"/>
  <c r="H329" i="3" s="1"/>
  <c r="G233" i="3"/>
  <c r="H233" i="3" s="1"/>
  <c r="G345" i="3"/>
  <c r="H345" i="3" s="1"/>
  <c r="G393" i="3"/>
  <c r="H393" i="3" s="1"/>
  <c r="G473" i="3"/>
  <c r="H473" i="3" s="1"/>
  <c r="G561" i="3"/>
  <c r="H561" i="3" s="1"/>
  <c r="G94" i="3"/>
  <c r="H94" i="3" s="1"/>
  <c r="G221" i="3"/>
  <c r="H221" i="3" s="1"/>
  <c r="G15" i="3"/>
  <c r="H15" i="3" s="1"/>
  <c r="N15" i="2"/>
  <c r="G1480" i="3"/>
  <c r="H1480" i="3" s="1"/>
  <c r="G1454" i="3"/>
  <c r="H1454" i="3" s="1"/>
  <c r="N100" i="2"/>
  <c r="G1318" i="3"/>
  <c r="H1318" i="3" s="1"/>
  <c r="G690" i="3"/>
  <c r="H690" i="3" s="1"/>
  <c r="G641" i="3"/>
  <c r="H641" i="3" s="1"/>
  <c r="G576" i="3"/>
  <c r="H576" i="3" s="1"/>
  <c r="N53" i="2"/>
  <c r="G1582" i="3"/>
  <c r="H1582" i="3" s="1"/>
  <c r="G1431" i="3"/>
  <c r="H1431" i="3" s="1"/>
  <c r="G1498" i="3"/>
  <c r="H1498" i="3" s="1"/>
  <c r="N89" i="2"/>
  <c r="G1435" i="3"/>
  <c r="H1435" i="3" s="1"/>
  <c r="G1310" i="3"/>
  <c r="H1310" i="3" s="1"/>
  <c r="G680" i="3"/>
  <c r="H680" i="3" s="1"/>
  <c r="N58" i="2"/>
  <c r="P89" i="3"/>
  <c r="L89" i="3"/>
  <c r="P1133" i="3"/>
  <c r="L1133" i="3"/>
  <c r="G66" i="4"/>
  <c r="H66" i="4" s="1"/>
  <c r="Q1060" i="3"/>
  <c r="G5" i="4"/>
  <c r="H5" i="4" s="1"/>
  <c r="Q62" i="3"/>
  <c r="G1544" i="3"/>
  <c r="H1544" i="3" s="1"/>
  <c r="G1583" i="3"/>
  <c r="H1583" i="3" s="1"/>
  <c r="G1626" i="3"/>
  <c r="H1626" i="3" s="1"/>
  <c r="G1565" i="3"/>
  <c r="H1565" i="3" s="1"/>
  <c r="G1608" i="3"/>
  <c r="H1608" i="3" s="1"/>
  <c r="G1647" i="3"/>
  <c r="H1647" i="3" s="1"/>
  <c r="G1448" i="3"/>
  <c r="H1448" i="3" s="1"/>
  <c r="G1499" i="3"/>
  <c r="H1499" i="3" s="1"/>
  <c r="G1524" i="3"/>
  <c r="H1524" i="3" s="1"/>
  <c r="G1474" i="3"/>
  <c r="H1474" i="3" s="1"/>
  <c r="G1333" i="3"/>
  <c r="H1333" i="3" s="1"/>
  <c r="G1312" i="3"/>
  <c r="H1312" i="3" s="1"/>
  <c r="G1352" i="3"/>
  <c r="H1352" i="3" s="1"/>
  <c r="G1241" i="3"/>
  <c r="H1241" i="3" s="1"/>
  <c r="G1409" i="3"/>
  <c r="H1409" i="3" s="1"/>
  <c r="G843" i="3"/>
  <c r="H843" i="3" s="1"/>
  <c r="G740" i="3"/>
  <c r="H740" i="3" s="1"/>
  <c r="G682" i="3"/>
  <c r="H682" i="3" s="1"/>
  <c r="G725" i="3"/>
  <c r="H725" i="3" s="1"/>
  <c r="G789" i="3"/>
  <c r="H789" i="3" s="1"/>
  <c r="G774" i="3"/>
  <c r="H774" i="3" s="1"/>
  <c r="G801" i="3"/>
  <c r="H801" i="3" s="1"/>
  <c r="G823" i="3"/>
  <c r="H823" i="3" s="1"/>
  <c r="G571" i="3"/>
  <c r="H571" i="3" s="1"/>
  <c r="G591" i="3"/>
  <c r="H591" i="3" s="1"/>
  <c r="G621" i="3"/>
  <c r="H621" i="3" s="1"/>
  <c r="G755" i="3"/>
  <c r="H755" i="3" s="1"/>
  <c r="G140" i="3"/>
  <c r="H140" i="3" s="1"/>
  <c r="G40" i="3"/>
  <c r="H40" i="3" s="1"/>
  <c r="G25" i="3"/>
  <c r="H25" i="3" s="1"/>
  <c r="G85" i="3"/>
  <c r="H85" i="3" s="1"/>
  <c r="G120" i="3"/>
  <c r="H120" i="3" s="1"/>
  <c r="G70" i="3"/>
  <c r="H70" i="3" s="1"/>
  <c r="G101" i="3"/>
  <c r="H101" i="3" s="1"/>
  <c r="G55" i="3"/>
  <c r="H55" i="3" s="1"/>
  <c r="N19" i="2"/>
  <c r="G1660" i="3"/>
  <c r="H1660" i="3" s="1"/>
  <c r="G1599" i="3"/>
  <c r="H1599" i="3" s="1"/>
  <c r="G1538" i="3"/>
  <c r="H1538" i="3" s="1"/>
  <c r="G1577" i="3"/>
  <c r="H1577" i="3" s="1"/>
  <c r="G1620" i="3"/>
  <c r="H1620" i="3" s="1"/>
  <c r="G1515" i="3"/>
  <c r="H1515" i="3" s="1"/>
  <c r="G1467" i="3"/>
  <c r="H1467" i="3" s="1"/>
  <c r="G1326" i="3"/>
  <c r="H1326" i="3" s="1"/>
  <c r="G1367" i="3"/>
  <c r="H1367" i="3" s="1"/>
  <c r="G1440" i="3"/>
  <c r="H1440" i="3" s="1"/>
  <c r="G1493" i="3"/>
  <c r="H1493" i="3" s="1"/>
  <c r="G698" i="3"/>
  <c r="H698" i="3" s="1"/>
  <c r="G745" i="3"/>
  <c r="H745" i="3" s="1"/>
  <c r="G599" i="3"/>
  <c r="H599" i="3" s="1"/>
  <c r="G730" i="3"/>
  <c r="H730" i="3" s="1"/>
  <c r="G45" i="3"/>
  <c r="H45" i="3" s="1"/>
  <c r="G30" i="3"/>
  <c r="H30" i="3" s="1"/>
  <c r="N24" i="2"/>
  <c r="G93" i="4"/>
  <c r="H93" i="4" s="1"/>
  <c r="Q1558" i="3"/>
  <c r="G76" i="4"/>
  <c r="H76" i="4" s="1"/>
  <c r="Q1217" i="3"/>
  <c r="G69" i="4"/>
  <c r="H69" i="4" s="1"/>
  <c r="Q1108" i="3"/>
  <c r="G48" i="4"/>
  <c r="H48" i="4" s="1"/>
  <c r="Q766" i="3"/>
  <c r="G33" i="4"/>
  <c r="H33" i="4" s="1"/>
  <c r="Q523" i="3"/>
  <c r="P1605" i="3"/>
  <c r="L1605" i="3"/>
  <c r="P1463" i="3"/>
  <c r="L1463" i="3"/>
  <c r="L574" i="3"/>
  <c r="P574" i="3"/>
  <c r="L51" i="2"/>
  <c r="P1606" i="3"/>
  <c r="L1606" i="3"/>
  <c r="P151" i="3"/>
  <c r="L151" i="3"/>
  <c r="L40" i="2"/>
  <c r="G1299" i="3"/>
  <c r="H1299" i="3" s="1"/>
  <c r="G925" i="3"/>
  <c r="H925" i="3" s="1"/>
  <c r="G669" i="3"/>
  <c r="H669" i="3" s="1"/>
  <c r="G216" i="3"/>
  <c r="H216" i="3" s="1"/>
  <c r="N44" i="2"/>
  <c r="P1646" i="3"/>
  <c r="L1646" i="3"/>
  <c r="P143" i="3"/>
  <c r="L143" i="3"/>
  <c r="G890" i="3"/>
  <c r="H890" i="3" s="1"/>
  <c r="G542" i="3"/>
  <c r="H542" i="3" s="1"/>
  <c r="G554" i="3"/>
  <c r="H554" i="3" s="1"/>
  <c r="G595" i="3"/>
  <c r="H595" i="3" s="1"/>
  <c r="G226" i="3"/>
  <c r="H226" i="3" s="1"/>
  <c r="N46" i="2"/>
  <c r="G761" i="3"/>
  <c r="H761" i="3" s="1"/>
  <c r="G712" i="3"/>
  <c r="H712" i="3" s="1"/>
  <c r="G91" i="3"/>
  <c r="H91" i="3" s="1"/>
  <c r="N11" i="2"/>
  <c r="G12" i="3"/>
  <c r="H12" i="3" s="1"/>
  <c r="G1382" i="3"/>
  <c r="H1382" i="3" s="1"/>
  <c r="G1399" i="3"/>
  <c r="H1399" i="3" s="1"/>
  <c r="G1304" i="3"/>
  <c r="H1304" i="3" s="1"/>
  <c r="G1258" i="3"/>
  <c r="H1258" i="3" s="1"/>
  <c r="G1274" i="3"/>
  <c r="H1274" i="3" s="1"/>
  <c r="G1287" i="3"/>
  <c r="H1287" i="3" s="1"/>
  <c r="G1230" i="3"/>
  <c r="H1230" i="3" s="1"/>
  <c r="G1214" i="3"/>
  <c r="H1214" i="3" s="1"/>
  <c r="G1121" i="3"/>
  <c r="H1121" i="3" s="1"/>
  <c r="G1137" i="3"/>
  <c r="H1137" i="3" s="1"/>
  <c r="G1198" i="3"/>
  <c r="H1198" i="3" s="1"/>
  <c r="G1153" i="3"/>
  <c r="H1153" i="3" s="1"/>
  <c r="G1169" i="3"/>
  <c r="H1169" i="3" s="1"/>
  <c r="G1073" i="3"/>
  <c r="H1073" i="3" s="1"/>
  <c r="G1185" i="3"/>
  <c r="H1185" i="3" s="1"/>
  <c r="G1105" i="3"/>
  <c r="H1105" i="3" s="1"/>
  <c r="G1009" i="3"/>
  <c r="H1009" i="3" s="1"/>
  <c r="G993" i="3"/>
  <c r="H993" i="3" s="1"/>
  <c r="G913" i="3"/>
  <c r="H913" i="3" s="1"/>
  <c r="G867" i="3"/>
  <c r="H867" i="3" s="1"/>
  <c r="G1057" i="3"/>
  <c r="H1057" i="3" s="1"/>
  <c r="G1025" i="3"/>
  <c r="H1025" i="3" s="1"/>
  <c r="G929" i="3"/>
  <c r="H929" i="3" s="1"/>
  <c r="G1041" i="3"/>
  <c r="H1041" i="3" s="1"/>
  <c r="G1089" i="3"/>
  <c r="H1089" i="3" s="1"/>
  <c r="G945" i="3"/>
  <c r="H945" i="3" s="1"/>
  <c r="G961" i="3"/>
  <c r="H961" i="3" s="1"/>
  <c r="G896" i="3"/>
  <c r="H896" i="3" s="1"/>
  <c r="G644" i="3"/>
  <c r="H644" i="3" s="1"/>
  <c r="G714" i="3"/>
  <c r="H714" i="3" s="1"/>
  <c r="G610" i="3"/>
  <c r="H610" i="3" s="1"/>
  <c r="G630" i="3"/>
  <c r="H630" i="3" s="1"/>
  <c r="G977" i="3"/>
  <c r="H977" i="3" s="1"/>
  <c r="G884" i="3"/>
  <c r="H884" i="3" s="1"/>
  <c r="G657" i="3"/>
  <c r="H657" i="3" s="1"/>
  <c r="G674" i="3"/>
  <c r="H674" i="3" s="1"/>
  <c r="G504" i="3"/>
  <c r="H504" i="3" s="1"/>
  <c r="G408" i="3"/>
  <c r="H408" i="3" s="1"/>
  <c r="G520" i="3"/>
  <c r="H520" i="3" s="1"/>
  <c r="G424" i="3"/>
  <c r="H424" i="3" s="1"/>
  <c r="G763" i="3"/>
  <c r="H763" i="3" s="1"/>
  <c r="G536" i="3"/>
  <c r="H536" i="3" s="1"/>
  <c r="G440" i="3"/>
  <c r="H440" i="3" s="1"/>
  <c r="G560" i="3"/>
  <c r="H560" i="3" s="1"/>
  <c r="G472" i="3"/>
  <c r="H472" i="3" s="1"/>
  <c r="G488" i="3"/>
  <c r="H488" i="3" s="1"/>
  <c r="G344" i="3"/>
  <c r="H344" i="3" s="1"/>
  <c r="G248" i="3"/>
  <c r="H248" i="3" s="1"/>
  <c r="G392" i="3"/>
  <c r="H392" i="3" s="1"/>
  <c r="G187" i="3"/>
  <c r="H187" i="3" s="1"/>
  <c r="G456" i="3"/>
  <c r="H456" i="3" s="1"/>
  <c r="G360" i="3"/>
  <c r="H360" i="3" s="1"/>
  <c r="G264" i="3"/>
  <c r="H264" i="3" s="1"/>
  <c r="G376" i="3"/>
  <c r="H376" i="3" s="1"/>
  <c r="G280" i="3"/>
  <c r="H280" i="3" s="1"/>
  <c r="G296" i="3"/>
  <c r="H296" i="3" s="1"/>
  <c r="G204" i="3"/>
  <c r="H204" i="3" s="1"/>
  <c r="G312" i="3"/>
  <c r="H312" i="3" s="1"/>
  <c r="G220" i="3"/>
  <c r="H220" i="3" s="1"/>
  <c r="G548" i="3"/>
  <c r="H548" i="3" s="1"/>
  <c r="G171" i="3"/>
  <c r="H171" i="3" s="1"/>
  <c r="G14" i="3"/>
  <c r="H14" i="3" s="1"/>
  <c r="G328" i="3"/>
  <c r="H328" i="3" s="1"/>
  <c r="G232" i="3"/>
  <c r="H232" i="3" s="1"/>
  <c r="G93" i="3"/>
  <c r="H93" i="3" s="1"/>
  <c r="N13" i="2"/>
  <c r="G1456" i="3"/>
  <c r="H1456" i="3" s="1"/>
  <c r="G1482" i="3"/>
  <c r="H1482" i="3" s="1"/>
  <c r="N102" i="2"/>
  <c r="G596" i="3"/>
  <c r="H596" i="3" s="1"/>
  <c r="N55" i="2"/>
  <c r="G1604" i="3"/>
  <c r="H1604" i="3" s="1"/>
  <c r="G1643" i="3"/>
  <c r="H1643" i="3" s="1"/>
  <c r="G1593" i="3"/>
  <c r="H1593" i="3" s="1"/>
  <c r="G1433" i="3"/>
  <c r="H1433" i="3" s="1"/>
  <c r="G1520" i="3"/>
  <c r="H1520" i="3" s="1"/>
  <c r="G1509" i="3"/>
  <c r="H1509" i="3" s="1"/>
  <c r="N91" i="2"/>
  <c r="P1458" i="3"/>
  <c r="L1458" i="3"/>
  <c r="L104" i="2"/>
  <c r="P166" i="3"/>
  <c r="L166" i="3"/>
  <c r="P1394" i="3"/>
  <c r="L1394" i="3"/>
  <c r="G1378" i="3"/>
  <c r="H1378" i="3" s="1"/>
  <c r="G1211" i="3"/>
  <c r="H1211" i="3" s="1"/>
  <c r="G1273" i="3"/>
  <c r="H1273" i="3" s="1"/>
  <c r="G1300" i="3"/>
  <c r="H1300" i="3" s="1"/>
  <c r="G1182" i="3"/>
  <c r="H1182" i="3" s="1"/>
  <c r="G1245" i="3"/>
  <c r="H1245" i="3" s="1"/>
  <c r="G1286" i="3"/>
  <c r="H1286" i="3" s="1"/>
  <c r="G1102" i="3"/>
  <c r="H1102" i="3" s="1"/>
  <c r="G1006" i="3"/>
  <c r="H1006" i="3" s="1"/>
  <c r="G1118" i="3"/>
  <c r="H1118" i="3" s="1"/>
  <c r="G1022" i="3"/>
  <c r="H1022" i="3" s="1"/>
  <c r="G1395" i="3"/>
  <c r="H1395" i="3" s="1"/>
  <c r="G1134" i="3"/>
  <c r="H1134" i="3" s="1"/>
  <c r="G1038" i="3"/>
  <c r="H1038" i="3" s="1"/>
  <c r="G1166" i="3"/>
  <c r="H1166" i="3" s="1"/>
  <c r="G1227" i="3"/>
  <c r="H1227" i="3" s="1"/>
  <c r="G1086" i="3"/>
  <c r="H1086" i="3" s="1"/>
  <c r="G958" i="3"/>
  <c r="H958" i="3" s="1"/>
  <c r="G866" i="3"/>
  <c r="H866" i="3" s="1"/>
  <c r="G1070" i="3"/>
  <c r="H1070" i="3" s="1"/>
  <c r="G1054" i="3"/>
  <c r="H1054" i="3" s="1"/>
  <c r="G974" i="3"/>
  <c r="H974" i="3" s="1"/>
  <c r="G909" i="3"/>
  <c r="H909" i="3" s="1"/>
  <c r="G1150" i="3"/>
  <c r="H1150" i="3" s="1"/>
  <c r="G990" i="3"/>
  <c r="H990" i="3" s="1"/>
  <c r="G942" i="3"/>
  <c r="H942" i="3" s="1"/>
  <c r="G629" i="3"/>
  <c r="H629" i="3" s="1"/>
  <c r="G656" i="3"/>
  <c r="H656" i="3" s="1"/>
  <c r="G880" i="3"/>
  <c r="H880" i="3" s="1"/>
  <c r="G926" i="3"/>
  <c r="H926" i="3" s="1"/>
  <c r="G643" i="3"/>
  <c r="H643" i="3" s="1"/>
  <c r="G670" i="3"/>
  <c r="H670" i="3" s="1"/>
  <c r="G485" i="3"/>
  <c r="H485" i="3" s="1"/>
  <c r="G501" i="3"/>
  <c r="H501" i="3" s="1"/>
  <c r="G405" i="3"/>
  <c r="H405" i="3" s="1"/>
  <c r="G709" i="3"/>
  <c r="H709" i="3" s="1"/>
  <c r="G517" i="3"/>
  <c r="H517" i="3" s="1"/>
  <c r="G421" i="3"/>
  <c r="H421" i="3" s="1"/>
  <c r="G758" i="3"/>
  <c r="H758" i="3" s="1"/>
  <c r="G579" i="3"/>
  <c r="H579" i="3" s="1"/>
  <c r="G533" i="3"/>
  <c r="H533" i="3" s="1"/>
  <c r="G437" i="3"/>
  <c r="H437" i="3" s="1"/>
  <c r="G453" i="3"/>
  <c r="H453" i="3" s="1"/>
  <c r="G325" i="3"/>
  <c r="H325" i="3" s="1"/>
  <c r="G389" i="3"/>
  <c r="H389" i="3" s="1"/>
  <c r="G341" i="3"/>
  <c r="H341" i="3" s="1"/>
  <c r="G245" i="3"/>
  <c r="H245" i="3" s="1"/>
  <c r="G184" i="3"/>
  <c r="H184" i="3" s="1"/>
  <c r="G357" i="3"/>
  <c r="H357" i="3" s="1"/>
  <c r="G261" i="3"/>
  <c r="H261" i="3" s="1"/>
  <c r="G200" i="3"/>
  <c r="H200" i="3" s="1"/>
  <c r="G373" i="3"/>
  <c r="H373" i="3" s="1"/>
  <c r="G277" i="3"/>
  <c r="H277" i="3" s="1"/>
  <c r="G469" i="3"/>
  <c r="H469" i="3" s="1"/>
  <c r="G293" i="3"/>
  <c r="H293" i="3" s="1"/>
  <c r="G309" i="3"/>
  <c r="H309" i="3" s="1"/>
  <c r="G217" i="3"/>
  <c r="H217" i="3" s="1"/>
  <c r="G88" i="3"/>
  <c r="H88" i="3" s="1"/>
  <c r="G167" i="3"/>
  <c r="H167" i="3" s="1"/>
  <c r="G9" i="3"/>
  <c r="H9" i="3" s="1"/>
  <c r="N8" i="2"/>
  <c r="G82" i="4"/>
  <c r="H82" i="4" s="1"/>
  <c r="Q1307" i="3"/>
  <c r="G72" i="4"/>
  <c r="H72" i="4" s="1"/>
  <c r="Q1156" i="3"/>
  <c r="G63" i="4"/>
  <c r="H63" i="4" s="1"/>
  <c r="Q1012" i="3"/>
  <c r="G45" i="4"/>
  <c r="H45" i="4" s="1"/>
  <c r="Q717" i="3"/>
  <c r="G32" i="4"/>
  <c r="H32" i="4" s="1"/>
  <c r="Q507" i="3"/>
  <c r="P152" i="3"/>
  <c r="L152" i="3"/>
  <c r="P1596" i="3"/>
  <c r="L1596" i="3"/>
  <c r="L1421" i="3"/>
  <c r="P1421" i="3"/>
  <c r="L79" i="2"/>
  <c r="P624" i="3"/>
  <c r="L624" i="3"/>
  <c r="P1563" i="3"/>
  <c r="L1563" i="3"/>
  <c r="L130" i="3"/>
  <c r="P130" i="3"/>
  <c r="G13" i="4"/>
  <c r="H13" i="4" s="1"/>
  <c r="Q207" i="3"/>
  <c r="L1506" i="3"/>
  <c r="P1506" i="3"/>
  <c r="L108" i="2"/>
  <c r="P131" i="3"/>
  <c r="L131" i="3"/>
  <c r="P1607" i="3"/>
  <c r="L1607" i="3"/>
  <c r="P123" i="3"/>
  <c r="L123" i="3"/>
  <c r="L36" i="2"/>
  <c r="G1379" i="3"/>
  <c r="H1379" i="3" s="1"/>
  <c r="G1226" i="3"/>
  <c r="H1226" i="3" s="1"/>
  <c r="G1117" i="3"/>
  <c r="H1117" i="3" s="1"/>
  <c r="G1210" i="3"/>
  <c r="H1210" i="3" s="1"/>
  <c r="G1149" i="3"/>
  <c r="H1149" i="3" s="1"/>
  <c r="G1181" i="3"/>
  <c r="H1181" i="3" s="1"/>
  <c r="G1165" i="3"/>
  <c r="H1165" i="3" s="1"/>
  <c r="G1069" i="3"/>
  <c r="H1069" i="3" s="1"/>
  <c r="G1021" i="3"/>
  <c r="H1021" i="3" s="1"/>
  <c r="G989" i="3"/>
  <c r="H989" i="3" s="1"/>
  <c r="G1101" i="3"/>
  <c r="H1101" i="3" s="1"/>
  <c r="G1085" i="3"/>
  <c r="H1085" i="3" s="1"/>
  <c r="G1005" i="3"/>
  <c r="H1005" i="3" s="1"/>
  <c r="G973" i="3"/>
  <c r="H973" i="3" s="1"/>
  <c r="G500" i="3"/>
  <c r="H500" i="3" s="1"/>
  <c r="G404" i="3"/>
  <c r="H404" i="3" s="1"/>
  <c r="G516" i="3"/>
  <c r="H516" i="3" s="1"/>
  <c r="G420" i="3"/>
  <c r="H420" i="3" s="1"/>
  <c r="G532" i="3"/>
  <c r="H532" i="3" s="1"/>
  <c r="G436" i="3"/>
  <c r="H436" i="3" s="1"/>
  <c r="G468" i="3"/>
  <c r="H468" i="3" s="1"/>
  <c r="G484" i="3"/>
  <c r="H484" i="3" s="1"/>
  <c r="G340" i="3"/>
  <c r="H340" i="3" s="1"/>
  <c r="G1037" i="3"/>
  <c r="H1037" i="3" s="1"/>
  <c r="G356" i="3"/>
  <c r="H356" i="3" s="1"/>
  <c r="G260" i="3"/>
  <c r="H260" i="3" s="1"/>
  <c r="G452" i="3"/>
  <c r="H452" i="3" s="1"/>
  <c r="G1053" i="3"/>
  <c r="H1053" i="3" s="1"/>
  <c r="G372" i="3"/>
  <c r="H372" i="3" s="1"/>
  <c r="G276" i="3"/>
  <c r="H276" i="3" s="1"/>
  <c r="G292" i="3"/>
  <c r="H292" i="3" s="1"/>
  <c r="G308" i="3"/>
  <c r="H308" i="3" s="1"/>
  <c r="G388" i="3"/>
  <c r="H388" i="3" s="1"/>
  <c r="G324" i="3"/>
  <c r="H324" i="3" s="1"/>
  <c r="N48" i="2"/>
  <c r="G1633" i="3"/>
  <c r="H1633" i="3" s="1"/>
  <c r="G1551" i="3"/>
  <c r="H1551" i="3" s="1"/>
  <c r="G1574" i="3"/>
  <c r="H1574" i="3" s="1"/>
  <c r="G1264" i="3"/>
  <c r="H1264" i="3" s="1"/>
  <c r="G1252" i="3"/>
  <c r="H1252" i="3" s="1"/>
  <c r="G784" i="3"/>
  <c r="H784" i="3" s="1"/>
  <c r="G769" i="3"/>
  <c r="H769" i="3" s="1"/>
  <c r="G616" i="3"/>
  <c r="H616" i="3" s="1"/>
  <c r="G65" i="3"/>
  <c r="H65" i="3" s="1"/>
  <c r="N25" i="2"/>
  <c r="G50" i="3"/>
  <c r="H50" i="3" s="1"/>
  <c r="G1656" i="3"/>
  <c r="H1656" i="3" s="1"/>
  <c r="G1625" i="3"/>
  <c r="H1625" i="3" s="1"/>
  <c r="G1618" i="3"/>
  <c r="H1618" i="3" s="1"/>
  <c r="G1573" i="3"/>
  <c r="H1573" i="3" s="1"/>
  <c r="G1543" i="3"/>
  <c r="H1543" i="3" s="1"/>
  <c r="G1534" i="3"/>
  <c r="H1534" i="3" s="1"/>
  <c r="G636" i="3"/>
  <c r="H636" i="3" s="1"/>
  <c r="N57" i="2"/>
  <c r="G1447" i="3"/>
  <c r="H1447" i="3" s="1"/>
  <c r="G1473" i="3"/>
  <c r="H1473" i="3" s="1"/>
  <c r="N95" i="2"/>
  <c r="P1484" i="3"/>
  <c r="L1484" i="3"/>
  <c r="L199" i="3"/>
  <c r="P199" i="3"/>
  <c r="G841" i="3"/>
  <c r="H841" i="3" s="1"/>
  <c r="G99" i="3"/>
  <c r="H99" i="3" s="1"/>
  <c r="N27" i="2"/>
  <c r="L1449" i="3"/>
  <c r="P1449" i="3"/>
  <c r="L96" i="2"/>
  <c r="G1464" i="3"/>
  <c r="H1464" i="3" s="1"/>
  <c r="G1490" i="3"/>
  <c r="H1490" i="3" s="1"/>
  <c r="G1428" i="3"/>
  <c r="H1428" i="3" s="1"/>
  <c r="N86" i="2"/>
  <c r="P1588" i="3"/>
  <c r="L1588" i="3"/>
  <c r="L1413" i="3"/>
  <c r="P1413" i="3"/>
  <c r="L73" i="2"/>
  <c r="L813" i="3"/>
  <c r="P813" i="3"/>
  <c r="P623" i="3"/>
  <c r="L623" i="3"/>
  <c r="P1513" i="3"/>
  <c r="L1513" i="3"/>
  <c r="P1475" i="3"/>
  <c r="L1475" i="3"/>
  <c r="G1424" i="3"/>
  <c r="H1424" i="3" s="1"/>
  <c r="N82" i="2"/>
  <c r="G1317" i="3"/>
  <c r="H1317" i="3" s="1"/>
  <c r="G865" i="3"/>
  <c r="H865" i="3" s="1"/>
  <c r="G689" i="3"/>
  <c r="H689" i="3" s="1"/>
  <c r="G575" i="3"/>
  <c r="H575" i="3" s="1"/>
  <c r="N52" i="2"/>
  <c r="P853" i="3"/>
  <c r="L853" i="3"/>
  <c r="G1393" i="3"/>
  <c r="H1393" i="3" s="1"/>
  <c r="G1319" i="3"/>
  <c r="H1319" i="3" s="1"/>
  <c r="G1298" i="3"/>
  <c r="H1298" i="3" s="1"/>
  <c r="G1269" i="3"/>
  <c r="H1269" i="3" s="1"/>
  <c r="G1132" i="3"/>
  <c r="H1132" i="3" s="1"/>
  <c r="G924" i="3"/>
  <c r="H924" i="3" s="1"/>
  <c r="G878" i="3"/>
  <c r="H878" i="3" s="1"/>
  <c r="G940" i="3"/>
  <c r="H940" i="3" s="1"/>
  <c r="G956" i="3"/>
  <c r="H956" i="3" s="1"/>
  <c r="G907" i="3"/>
  <c r="H907" i="3" s="1"/>
  <c r="G691" i="3"/>
  <c r="H691" i="3" s="1"/>
  <c r="G668" i="3"/>
  <c r="H668" i="3" s="1"/>
  <c r="G626" i="3"/>
  <c r="H626" i="3" s="1"/>
  <c r="G757" i="3"/>
  <c r="H757" i="3" s="1"/>
  <c r="G577" i="3"/>
  <c r="H577" i="3" s="1"/>
  <c r="G198" i="3"/>
  <c r="H198" i="3" s="1"/>
  <c r="G708" i="3"/>
  <c r="H708" i="3" s="1"/>
  <c r="G243" i="3"/>
  <c r="H243" i="3" s="1"/>
  <c r="G87" i="3"/>
  <c r="H87" i="3" s="1"/>
  <c r="G215" i="3"/>
  <c r="H215" i="3" s="1"/>
  <c r="G165" i="3"/>
  <c r="H165" i="3" s="1"/>
  <c r="G182" i="3"/>
  <c r="H182" i="3" s="1"/>
  <c r="G8" i="3"/>
  <c r="H8" i="3" s="1"/>
  <c r="N7" i="2"/>
  <c r="P685" i="3"/>
  <c r="L685" i="3"/>
  <c r="P28" i="3"/>
  <c r="L28" i="3"/>
  <c r="L22" i="2"/>
  <c r="G1197" i="3"/>
  <c r="H1197" i="3" s="1"/>
  <c r="G597" i="3"/>
  <c r="H597" i="3" s="1"/>
  <c r="N56" i="2"/>
  <c r="G1548" i="3"/>
  <c r="H1548" i="3" s="1"/>
  <c r="G1587" i="3"/>
  <c r="H1587" i="3" s="1"/>
  <c r="G1630" i="3"/>
  <c r="H1630" i="3" s="1"/>
  <c r="G1569" i="3"/>
  <c r="H1569" i="3" s="1"/>
  <c r="G1612" i="3"/>
  <c r="H1612" i="3" s="1"/>
  <c r="G1651" i="3"/>
  <c r="H1651" i="3" s="1"/>
  <c r="G1503" i="3"/>
  <c r="H1503" i="3" s="1"/>
  <c r="G1528" i="3"/>
  <c r="H1528" i="3" s="1"/>
  <c r="G1284" i="3"/>
  <c r="H1284" i="3" s="1"/>
  <c r="G1208" i="3"/>
  <c r="H1208" i="3" s="1"/>
  <c r="G1408" i="3"/>
  <c r="H1408" i="3" s="1"/>
  <c r="G1376" i="3"/>
  <c r="H1376" i="3" s="1"/>
  <c r="G1316" i="3"/>
  <c r="H1316" i="3" s="1"/>
  <c r="G1224" i="3"/>
  <c r="H1224" i="3" s="1"/>
  <c r="G1297" i="3"/>
  <c r="H1297" i="3" s="1"/>
  <c r="G1339" i="3"/>
  <c r="H1339" i="3" s="1"/>
  <c r="G1256" i="3"/>
  <c r="H1256" i="3" s="1"/>
  <c r="G1358" i="3"/>
  <c r="H1358" i="3" s="1"/>
  <c r="G1268" i="3"/>
  <c r="H1268" i="3" s="1"/>
  <c r="G1392" i="3"/>
  <c r="H1392" i="3" s="1"/>
  <c r="G1163" i="3"/>
  <c r="H1163" i="3" s="1"/>
  <c r="G1067" i="3"/>
  <c r="H1067" i="3" s="1"/>
  <c r="G1240" i="3"/>
  <c r="H1240" i="3" s="1"/>
  <c r="G1099" i="3"/>
  <c r="H1099" i="3" s="1"/>
  <c r="G1115" i="3"/>
  <c r="H1115" i="3" s="1"/>
  <c r="G1019" i="3"/>
  <c r="H1019" i="3" s="1"/>
  <c r="G1179" i="3"/>
  <c r="H1179" i="3" s="1"/>
  <c r="G1147" i="3"/>
  <c r="H1147" i="3" s="1"/>
  <c r="G1195" i="3"/>
  <c r="H1195" i="3" s="1"/>
  <c r="G939" i="3"/>
  <c r="H939" i="3" s="1"/>
  <c r="G1131" i="3"/>
  <c r="H1131" i="3" s="1"/>
  <c r="G1035" i="3"/>
  <c r="H1035" i="3" s="1"/>
  <c r="G955" i="3"/>
  <c r="H955" i="3" s="1"/>
  <c r="G1003" i="3"/>
  <c r="H1003" i="3" s="1"/>
  <c r="G894" i="3"/>
  <c r="H894" i="3" s="1"/>
  <c r="G971" i="3"/>
  <c r="H971" i="3" s="1"/>
  <c r="G829" i="3"/>
  <c r="H829" i="3" s="1"/>
  <c r="G906" i="3"/>
  <c r="H906" i="3" s="1"/>
  <c r="G864" i="3"/>
  <c r="H864" i="3" s="1"/>
  <c r="G987" i="3"/>
  <c r="H987" i="3" s="1"/>
  <c r="G1083" i="3"/>
  <c r="H1083" i="3" s="1"/>
  <c r="G1051" i="3"/>
  <c r="H1051" i="3" s="1"/>
  <c r="G849" i="3"/>
  <c r="H849" i="3" s="1"/>
  <c r="G640" i="3"/>
  <c r="H640" i="3" s="1"/>
  <c r="G667" i="3"/>
  <c r="H667" i="3" s="1"/>
  <c r="G807" i="3"/>
  <c r="H807" i="3" s="1"/>
  <c r="G707" i="3"/>
  <c r="H707" i="3" s="1"/>
  <c r="G788" i="3"/>
  <c r="H788" i="3" s="1"/>
  <c r="G688" i="3"/>
  <c r="H688" i="3" s="1"/>
  <c r="G877" i="3"/>
  <c r="H877" i="3" s="1"/>
  <c r="G773" i="3"/>
  <c r="H773" i="3" s="1"/>
  <c r="G739" i="3"/>
  <c r="H739" i="3" s="1"/>
  <c r="G923" i="3"/>
  <c r="H923" i="3" s="1"/>
  <c r="G724" i="3"/>
  <c r="H724" i="3" s="1"/>
  <c r="G546" i="3"/>
  <c r="H546" i="3" s="1"/>
  <c r="G450" i="3"/>
  <c r="H450" i="3" s="1"/>
  <c r="G558" i="3"/>
  <c r="H558" i="3" s="1"/>
  <c r="G466" i="3"/>
  <c r="H466" i="3" s="1"/>
  <c r="G608" i="3"/>
  <c r="H608" i="3" s="1"/>
  <c r="G570" i="3"/>
  <c r="H570" i="3" s="1"/>
  <c r="G482" i="3"/>
  <c r="H482" i="3" s="1"/>
  <c r="G754" i="3"/>
  <c r="H754" i="3" s="1"/>
  <c r="G620" i="3"/>
  <c r="H620" i="3" s="1"/>
  <c r="G590" i="3"/>
  <c r="H590" i="3" s="1"/>
  <c r="G654" i="3"/>
  <c r="H654" i="3" s="1"/>
  <c r="G514" i="3"/>
  <c r="H514" i="3" s="1"/>
  <c r="G530" i="3"/>
  <c r="H530" i="3" s="1"/>
  <c r="G290" i="3"/>
  <c r="H290" i="3" s="1"/>
  <c r="G418" i="3"/>
  <c r="H418" i="3" s="1"/>
  <c r="G402" i="3"/>
  <c r="H402" i="3" s="1"/>
  <c r="G306" i="3"/>
  <c r="H306" i="3" s="1"/>
  <c r="G214" i="3"/>
  <c r="H214" i="3" s="1"/>
  <c r="G386" i="3"/>
  <c r="H386" i="3" s="1"/>
  <c r="G498" i="3"/>
  <c r="H498" i="3" s="1"/>
  <c r="G322" i="3"/>
  <c r="H322" i="3" s="1"/>
  <c r="G230" i="3"/>
  <c r="H230" i="3" s="1"/>
  <c r="G338" i="3"/>
  <c r="H338" i="3" s="1"/>
  <c r="G242" i="3"/>
  <c r="H242" i="3" s="1"/>
  <c r="G434" i="3"/>
  <c r="H434" i="3" s="1"/>
  <c r="G354" i="3"/>
  <c r="H354" i="3" s="1"/>
  <c r="G258" i="3"/>
  <c r="H258" i="3" s="1"/>
  <c r="G370" i="3"/>
  <c r="H370" i="3" s="1"/>
  <c r="G274" i="3"/>
  <c r="H274" i="3" s="1"/>
  <c r="G164" i="3"/>
  <c r="H164" i="3" s="1"/>
  <c r="G181" i="3"/>
  <c r="H181" i="3" s="1"/>
  <c r="G126" i="3"/>
  <c r="H126" i="3" s="1"/>
  <c r="G107" i="3"/>
  <c r="H107" i="3" s="1"/>
  <c r="G7" i="3"/>
  <c r="H7" i="3" s="1"/>
  <c r="G197" i="3"/>
  <c r="H197" i="3" s="1"/>
  <c r="G146" i="3"/>
  <c r="H146" i="3" s="1"/>
  <c r="G84" i="3"/>
  <c r="H84" i="3" s="1"/>
  <c r="G69" i="3"/>
  <c r="H69" i="3" s="1"/>
  <c r="G39" i="3"/>
  <c r="H39" i="3" s="1"/>
  <c r="G24" i="3"/>
  <c r="H24" i="3" s="1"/>
  <c r="G54" i="3"/>
  <c r="H54" i="3" s="1"/>
  <c r="N6" i="2"/>
  <c r="G821" i="3"/>
  <c r="H821" i="3" s="1"/>
  <c r="G799" i="3"/>
  <c r="H799" i="3" s="1"/>
  <c r="G118" i="3"/>
  <c r="H118" i="3" s="1"/>
  <c r="G138" i="3"/>
  <c r="H138" i="3" s="1"/>
  <c r="N35" i="2"/>
  <c r="G1654" i="3"/>
  <c r="H1654" i="3" s="1"/>
  <c r="G1616" i="3"/>
  <c r="H1616" i="3" s="1"/>
  <c r="G1359" i="3"/>
  <c r="H1359" i="3" s="1"/>
  <c r="G1532" i="3"/>
  <c r="H1532" i="3" s="1"/>
  <c r="G1436" i="3"/>
  <c r="H1436" i="3" s="1"/>
  <c r="G720" i="3"/>
  <c r="H720" i="3" s="1"/>
  <c r="N63" i="2"/>
  <c r="G1455" i="3"/>
  <c r="H1455" i="3" s="1"/>
  <c r="G1481" i="3"/>
  <c r="H1481" i="3" s="1"/>
  <c r="N101" i="2"/>
  <c r="G1556" i="3"/>
  <c r="H1556" i="3" s="1"/>
  <c r="G1638" i="3"/>
  <c r="H1638" i="3" s="1"/>
  <c r="G1345" i="3"/>
  <c r="H1345" i="3" s="1"/>
  <c r="G816" i="3"/>
  <c r="H816" i="3" s="1"/>
  <c r="G855" i="3"/>
  <c r="H855" i="3" s="1"/>
  <c r="G836" i="3"/>
  <c r="H836" i="3" s="1"/>
  <c r="G794" i="3"/>
  <c r="H794" i="3" s="1"/>
  <c r="G779" i="3"/>
  <c r="H779" i="3" s="1"/>
  <c r="G133" i="3"/>
  <c r="H133" i="3" s="1"/>
  <c r="G75" i="3"/>
  <c r="H75" i="3" s="1"/>
  <c r="G60" i="3"/>
  <c r="H60" i="3" s="1"/>
  <c r="G155" i="3"/>
  <c r="H155" i="3" s="1"/>
  <c r="G113" i="3"/>
  <c r="H113" i="3" s="1"/>
  <c r="N26" i="2"/>
  <c r="P1486" i="3"/>
  <c r="L1486" i="3"/>
  <c r="P244" i="3"/>
  <c r="L244" i="3"/>
  <c r="P1631" i="3"/>
  <c r="L1631" i="3"/>
  <c r="L114" i="2"/>
  <c r="G1479" i="3"/>
  <c r="H1479" i="3" s="1"/>
  <c r="G1453" i="3"/>
  <c r="H1453" i="3" s="1"/>
  <c r="N99" i="2"/>
  <c r="G29" i="4"/>
  <c r="H29" i="4" s="1"/>
  <c r="Q459" i="3"/>
  <c r="L1530" i="3"/>
  <c r="P1530" i="3"/>
  <c r="L111" i="2"/>
  <c r="Q1601" i="3"/>
  <c r="G95" i="4"/>
  <c r="H95" i="4" s="1"/>
  <c r="G85" i="4"/>
  <c r="H85" i="4" s="1"/>
  <c r="Q1369" i="3"/>
  <c r="P1632" i="3"/>
  <c r="L1632" i="3"/>
  <c r="P1485" i="3"/>
  <c r="L1485" i="3"/>
  <c r="P1505" i="3"/>
  <c r="L1505" i="3"/>
  <c r="P1342" i="3"/>
  <c r="L1342" i="3"/>
  <c r="P684" i="3"/>
  <c r="L684" i="3"/>
  <c r="G15" i="4"/>
  <c r="H15" i="4" s="1"/>
  <c r="Q235" i="3"/>
  <c r="P103" i="3"/>
  <c r="L103" i="3"/>
  <c r="L29" i="2"/>
  <c r="P1597" i="3"/>
  <c r="L1597" i="3"/>
  <c r="G625" i="3"/>
  <c r="H625" i="3" s="1"/>
  <c r="G791" i="3"/>
  <c r="H791" i="3" s="1"/>
  <c r="G776" i="3"/>
  <c r="H776" i="3" s="1"/>
  <c r="G742" i="3"/>
  <c r="H742" i="3" s="1"/>
  <c r="G727" i="3"/>
  <c r="H727" i="3" s="1"/>
  <c r="G72" i="3"/>
  <c r="H72" i="3" s="1"/>
  <c r="G57" i="3"/>
  <c r="H57" i="3" s="1"/>
  <c r="G42" i="3"/>
  <c r="H42" i="3" s="1"/>
  <c r="G27" i="3"/>
  <c r="H27" i="3" s="1"/>
  <c r="N21" i="2"/>
  <c r="G1253" i="3"/>
  <c r="H1253" i="3" s="1"/>
  <c r="G1192" i="3"/>
  <c r="H1192" i="3" s="1"/>
  <c r="G1281" i="3"/>
  <c r="H1281" i="3" s="1"/>
  <c r="G1294" i="3"/>
  <c r="H1294" i="3" s="1"/>
  <c r="G1237" i="3"/>
  <c r="H1237" i="3" s="1"/>
  <c r="G1265" i="3"/>
  <c r="H1265" i="3" s="1"/>
  <c r="G617" i="3"/>
  <c r="H617" i="3" s="1"/>
  <c r="G567" i="3"/>
  <c r="H567" i="3" s="1"/>
  <c r="G587" i="3"/>
  <c r="H587" i="3" s="1"/>
  <c r="N50" i="2"/>
  <c r="P834" i="3"/>
  <c r="L834" i="3"/>
  <c r="G1586" i="3"/>
  <c r="H1586" i="3" s="1"/>
  <c r="G1629" i="3"/>
  <c r="H1629" i="3" s="1"/>
  <c r="G1568" i="3"/>
  <c r="H1568" i="3" s="1"/>
  <c r="G1611" i="3"/>
  <c r="H1611" i="3" s="1"/>
  <c r="G1650" i="3"/>
  <c r="H1650" i="3" s="1"/>
  <c r="G1547" i="3"/>
  <c r="H1547" i="3" s="1"/>
  <c r="G1476" i="3"/>
  <c r="H1476" i="3" s="1"/>
  <c r="G1375" i="3"/>
  <c r="H1375" i="3" s="1"/>
  <c r="G1527" i="3"/>
  <c r="H1527" i="3" s="1"/>
  <c r="G1450" i="3"/>
  <c r="H1450" i="3" s="1"/>
  <c r="G1207" i="3"/>
  <c r="H1207" i="3" s="1"/>
  <c r="G1315" i="3"/>
  <c r="H1315" i="3" s="1"/>
  <c r="G1296" i="3"/>
  <c r="H1296" i="3" s="1"/>
  <c r="G1391" i="3"/>
  <c r="H1391" i="3" s="1"/>
  <c r="G1239" i="3"/>
  <c r="H1239" i="3" s="1"/>
  <c r="G1338" i="3"/>
  <c r="H1338" i="3" s="1"/>
  <c r="G1178" i="3"/>
  <c r="H1178" i="3" s="1"/>
  <c r="G1357" i="3"/>
  <c r="H1357" i="3" s="1"/>
  <c r="G1255" i="3"/>
  <c r="H1255" i="3" s="1"/>
  <c r="G1502" i="3"/>
  <c r="H1502" i="3" s="1"/>
  <c r="G1283" i="3"/>
  <c r="H1283" i="3" s="1"/>
  <c r="G1407" i="3"/>
  <c r="H1407" i="3" s="1"/>
  <c r="G1223" i="3"/>
  <c r="H1223" i="3" s="1"/>
  <c r="G1098" i="3"/>
  <c r="H1098" i="3" s="1"/>
  <c r="G1002" i="3"/>
  <c r="H1002" i="3" s="1"/>
  <c r="G1267" i="3"/>
  <c r="H1267" i="3" s="1"/>
  <c r="G1114" i="3"/>
  <c r="H1114" i="3" s="1"/>
  <c r="G1130" i="3"/>
  <c r="H1130" i="3" s="1"/>
  <c r="G1034" i="3"/>
  <c r="H1034" i="3" s="1"/>
  <c r="G1162" i="3"/>
  <c r="H1162" i="3" s="1"/>
  <c r="G1082" i="3"/>
  <c r="H1082" i="3" s="1"/>
  <c r="G954" i="3"/>
  <c r="H954" i="3" s="1"/>
  <c r="G893" i="3"/>
  <c r="H893" i="3" s="1"/>
  <c r="G1146" i="3"/>
  <c r="H1146" i="3" s="1"/>
  <c r="G970" i="3"/>
  <c r="H970" i="3" s="1"/>
  <c r="G1194" i="3"/>
  <c r="H1194" i="3" s="1"/>
  <c r="G905" i="3"/>
  <c r="H905" i="3" s="1"/>
  <c r="G863" i="3"/>
  <c r="H863" i="3" s="1"/>
  <c r="G986" i="3"/>
  <c r="H986" i="3" s="1"/>
  <c r="G848" i="3"/>
  <c r="H848" i="3" s="1"/>
  <c r="G1066" i="3"/>
  <c r="H1066" i="3" s="1"/>
  <c r="G1050" i="3"/>
  <c r="H1050" i="3" s="1"/>
  <c r="G938" i="3"/>
  <c r="H938" i="3" s="1"/>
  <c r="G876" i="3"/>
  <c r="H876" i="3" s="1"/>
  <c r="G806" i="3"/>
  <c r="H806" i="3" s="1"/>
  <c r="G706" i="3"/>
  <c r="H706" i="3" s="1"/>
  <c r="G787" i="3"/>
  <c r="H787" i="3" s="1"/>
  <c r="G687" i="3"/>
  <c r="H687" i="3" s="1"/>
  <c r="G922" i="3"/>
  <c r="H922" i="3" s="1"/>
  <c r="G772" i="3"/>
  <c r="H772" i="3" s="1"/>
  <c r="G753" i="3"/>
  <c r="H753" i="3" s="1"/>
  <c r="G653" i="3"/>
  <c r="H653" i="3" s="1"/>
  <c r="G607" i="3"/>
  <c r="H607" i="3" s="1"/>
  <c r="G828" i="3"/>
  <c r="H828" i="3" s="1"/>
  <c r="G738" i="3"/>
  <c r="H738" i="3" s="1"/>
  <c r="G1018" i="3"/>
  <c r="H1018" i="3" s="1"/>
  <c r="G723" i="3"/>
  <c r="H723" i="3" s="1"/>
  <c r="G639" i="3"/>
  <c r="H639" i="3" s="1"/>
  <c r="G666" i="3"/>
  <c r="H666" i="3" s="1"/>
  <c r="G619" i="3"/>
  <c r="H619" i="3" s="1"/>
  <c r="G569" i="3"/>
  <c r="H569" i="3" s="1"/>
  <c r="G481" i="3"/>
  <c r="H481" i="3" s="1"/>
  <c r="G589" i="3"/>
  <c r="H589" i="3" s="1"/>
  <c r="G497" i="3"/>
  <c r="H497" i="3" s="1"/>
  <c r="G401" i="3"/>
  <c r="H401" i="3" s="1"/>
  <c r="G513" i="3"/>
  <c r="H513" i="3" s="1"/>
  <c r="G417" i="3"/>
  <c r="H417" i="3" s="1"/>
  <c r="G529" i="3"/>
  <c r="H529" i="3" s="1"/>
  <c r="G433" i="3"/>
  <c r="H433" i="3" s="1"/>
  <c r="G545" i="3"/>
  <c r="H545" i="3" s="1"/>
  <c r="G449" i="3"/>
  <c r="H449" i="3" s="1"/>
  <c r="G385" i="3"/>
  <c r="H385" i="3" s="1"/>
  <c r="G321" i="3"/>
  <c r="H321" i="3" s="1"/>
  <c r="G229" i="3"/>
  <c r="H229" i="3" s="1"/>
  <c r="G337" i="3"/>
  <c r="H337" i="3" s="1"/>
  <c r="G241" i="3"/>
  <c r="H241" i="3" s="1"/>
  <c r="G353" i="3"/>
  <c r="H353" i="3" s="1"/>
  <c r="G257" i="3"/>
  <c r="H257" i="3" s="1"/>
  <c r="G196" i="3"/>
  <c r="H196" i="3" s="1"/>
  <c r="G369" i="3"/>
  <c r="H369" i="3" s="1"/>
  <c r="G273" i="3"/>
  <c r="H273" i="3" s="1"/>
  <c r="G465" i="3"/>
  <c r="H465" i="3" s="1"/>
  <c r="G557" i="3"/>
  <c r="H557" i="3" s="1"/>
  <c r="G289" i="3"/>
  <c r="H289" i="3" s="1"/>
  <c r="G305" i="3"/>
  <c r="H305" i="3" s="1"/>
  <c r="G180" i="3"/>
  <c r="H180" i="3" s="1"/>
  <c r="G125" i="3"/>
  <c r="H125" i="3" s="1"/>
  <c r="G106" i="3"/>
  <c r="H106" i="3" s="1"/>
  <c r="G6" i="3"/>
  <c r="H6" i="3" s="1"/>
  <c r="G145" i="3"/>
  <c r="H145" i="3" s="1"/>
  <c r="G83" i="3"/>
  <c r="H83" i="3" s="1"/>
  <c r="G68" i="3"/>
  <c r="H68" i="3" s="1"/>
  <c r="G53" i="3"/>
  <c r="H53" i="3" s="1"/>
  <c r="G213" i="3"/>
  <c r="H213" i="3" s="1"/>
  <c r="G38" i="3"/>
  <c r="H38" i="3" s="1"/>
  <c r="G23" i="3"/>
  <c r="H23" i="3" s="1"/>
  <c r="G163" i="3"/>
  <c r="H163" i="3" s="1"/>
  <c r="N5" i="2"/>
  <c r="P1336" i="3"/>
  <c r="L1336" i="3"/>
  <c r="P43" i="3"/>
  <c r="L43" i="3"/>
  <c r="P150" i="3"/>
  <c r="L150" i="3"/>
  <c r="G1567" i="3"/>
  <c r="H1567" i="3" s="1"/>
  <c r="G1610" i="3"/>
  <c r="H1610" i="3" s="1"/>
  <c r="G1649" i="3"/>
  <c r="H1649" i="3" s="1"/>
  <c r="G1585" i="3"/>
  <c r="H1585" i="3" s="1"/>
  <c r="G1374" i="3"/>
  <c r="H1374" i="3" s="1"/>
  <c r="G1526" i="3"/>
  <c r="H1526" i="3" s="1"/>
  <c r="G1390" i="3"/>
  <c r="H1390" i="3" s="1"/>
  <c r="G1546" i="3"/>
  <c r="H1546" i="3" s="1"/>
  <c r="G1501" i="3"/>
  <c r="H1501" i="3" s="1"/>
  <c r="G1628" i="3"/>
  <c r="H1628" i="3" s="1"/>
  <c r="G1295" i="3"/>
  <c r="H1295" i="3" s="1"/>
  <c r="G1238" i="3"/>
  <c r="H1238" i="3" s="1"/>
  <c r="G1356" i="3"/>
  <c r="H1356" i="3" s="1"/>
  <c r="G1337" i="3"/>
  <c r="H1337" i="3" s="1"/>
  <c r="G1254" i="3"/>
  <c r="H1254" i="3" s="1"/>
  <c r="G1193" i="3"/>
  <c r="H1193" i="3" s="1"/>
  <c r="G1266" i="3"/>
  <c r="H1266" i="3" s="1"/>
  <c r="G1406" i="3"/>
  <c r="H1406" i="3" s="1"/>
  <c r="G1314" i="3"/>
  <c r="H1314" i="3" s="1"/>
  <c r="G1222" i="3"/>
  <c r="H1222" i="3" s="1"/>
  <c r="G1113" i="3"/>
  <c r="H1113" i="3" s="1"/>
  <c r="G1177" i="3"/>
  <c r="H1177" i="3" s="1"/>
  <c r="G1129" i="3"/>
  <c r="H1129" i="3" s="1"/>
  <c r="G1145" i="3"/>
  <c r="H1145" i="3" s="1"/>
  <c r="G1206" i="3"/>
  <c r="H1206" i="3" s="1"/>
  <c r="G1161" i="3"/>
  <c r="H1161" i="3" s="1"/>
  <c r="G1065" i="3"/>
  <c r="H1065" i="3" s="1"/>
  <c r="G1282" i="3"/>
  <c r="H1282" i="3" s="1"/>
  <c r="G904" i="3"/>
  <c r="H904" i="3" s="1"/>
  <c r="G862" i="3"/>
  <c r="H862" i="3" s="1"/>
  <c r="G985" i="3"/>
  <c r="H985" i="3" s="1"/>
  <c r="G847" i="3"/>
  <c r="H847" i="3" s="1"/>
  <c r="G1097" i="3"/>
  <c r="H1097" i="3" s="1"/>
  <c r="G1033" i="3"/>
  <c r="H1033" i="3" s="1"/>
  <c r="G921" i="3"/>
  <c r="H921" i="3" s="1"/>
  <c r="G875" i="3"/>
  <c r="H875" i="3" s="1"/>
  <c r="G937" i="3"/>
  <c r="H937" i="3" s="1"/>
  <c r="G953" i="3"/>
  <c r="H953" i="3" s="1"/>
  <c r="G892" i="3"/>
  <c r="H892" i="3" s="1"/>
  <c r="G786" i="3"/>
  <c r="H786" i="3" s="1"/>
  <c r="G686" i="3"/>
  <c r="H686" i="3" s="1"/>
  <c r="G1017" i="3"/>
  <c r="H1017" i="3" s="1"/>
  <c r="G969" i="3"/>
  <c r="H969" i="3" s="1"/>
  <c r="G771" i="3"/>
  <c r="H771" i="3" s="1"/>
  <c r="G827" i="3"/>
  <c r="H827" i="3" s="1"/>
  <c r="G752" i="3"/>
  <c r="H752" i="3" s="1"/>
  <c r="G652" i="3"/>
  <c r="H652" i="3" s="1"/>
  <c r="G606" i="3"/>
  <c r="H606" i="3" s="1"/>
  <c r="G737" i="3"/>
  <c r="H737" i="3" s="1"/>
  <c r="G1081" i="3"/>
  <c r="H1081" i="3" s="1"/>
  <c r="G722" i="3"/>
  <c r="H722" i="3" s="1"/>
  <c r="G618" i="3"/>
  <c r="H618" i="3" s="1"/>
  <c r="G638" i="3"/>
  <c r="H638" i="3" s="1"/>
  <c r="G665" i="3"/>
  <c r="H665" i="3" s="1"/>
  <c r="G588" i="3"/>
  <c r="H588" i="3" s="1"/>
  <c r="G496" i="3"/>
  <c r="H496" i="3" s="1"/>
  <c r="G400" i="3"/>
  <c r="H400" i="3" s="1"/>
  <c r="G512" i="3"/>
  <c r="H512" i="3" s="1"/>
  <c r="G416" i="3"/>
  <c r="H416" i="3" s="1"/>
  <c r="G705" i="3"/>
  <c r="H705" i="3" s="1"/>
  <c r="G528" i="3"/>
  <c r="H528" i="3" s="1"/>
  <c r="G432" i="3"/>
  <c r="H432" i="3" s="1"/>
  <c r="G1001" i="3"/>
  <c r="H1001" i="3" s="1"/>
  <c r="G805" i="3"/>
  <c r="H805" i="3" s="1"/>
  <c r="G1049" i="3"/>
  <c r="H1049" i="3" s="1"/>
  <c r="G556" i="3"/>
  <c r="H556" i="3" s="1"/>
  <c r="G464" i="3"/>
  <c r="H464" i="3" s="1"/>
  <c r="G568" i="3"/>
  <c r="H568" i="3" s="1"/>
  <c r="G480" i="3"/>
  <c r="H480" i="3" s="1"/>
  <c r="G336" i="3"/>
  <c r="H336" i="3" s="1"/>
  <c r="G240" i="3"/>
  <c r="H240" i="3" s="1"/>
  <c r="G179" i="3"/>
  <c r="H179" i="3" s="1"/>
  <c r="G352" i="3"/>
  <c r="H352" i="3" s="1"/>
  <c r="G256" i="3"/>
  <c r="H256" i="3" s="1"/>
  <c r="G448" i="3"/>
  <c r="H448" i="3" s="1"/>
  <c r="G368" i="3"/>
  <c r="H368" i="3" s="1"/>
  <c r="G272" i="3"/>
  <c r="H272" i="3" s="1"/>
  <c r="G288" i="3"/>
  <c r="H288" i="3" s="1"/>
  <c r="G304" i="3"/>
  <c r="H304" i="3" s="1"/>
  <c r="G212" i="3"/>
  <c r="H212" i="3" s="1"/>
  <c r="G544" i="3"/>
  <c r="H544" i="3" s="1"/>
  <c r="G384" i="3"/>
  <c r="H384" i="3" s="1"/>
  <c r="G144" i="3"/>
  <c r="H144" i="3" s="1"/>
  <c r="G82" i="3"/>
  <c r="H82" i="3" s="1"/>
  <c r="G67" i="3"/>
  <c r="H67" i="3" s="1"/>
  <c r="G52" i="3"/>
  <c r="H52" i="3" s="1"/>
  <c r="G37" i="3"/>
  <c r="H37" i="3" s="1"/>
  <c r="G22" i="3"/>
  <c r="H22" i="3" s="1"/>
  <c r="G228" i="3"/>
  <c r="H228" i="3" s="1"/>
  <c r="G195" i="3"/>
  <c r="H195" i="3" s="1"/>
  <c r="G162" i="3"/>
  <c r="H162" i="3" s="1"/>
  <c r="G124" i="3"/>
  <c r="H124" i="3" s="1"/>
  <c r="G320" i="3"/>
  <c r="H320" i="3" s="1"/>
  <c r="G105" i="3"/>
  <c r="H105" i="3" s="1"/>
  <c r="G5" i="3"/>
  <c r="H5" i="3" s="1"/>
  <c r="N4" i="2"/>
  <c r="G830" i="3"/>
  <c r="H830" i="3" s="1"/>
  <c r="G808" i="3"/>
  <c r="H808" i="3" s="1"/>
  <c r="G127" i="3"/>
  <c r="H127" i="3" s="1"/>
  <c r="G147" i="3"/>
  <c r="H147" i="3" s="1"/>
  <c r="N37" i="2"/>
  <c r="G1271" i="3"/>
  <c r="H1271" i="3" s="1"/>
  <c r="N65" i="2"/>
  <c r="G1483" i="3"/>
  <c r="H1483" i="3" s="1"/>
  <c r="G1457" i="3"/>
  <c r="H1457" i="3" s="1"/>
  <c r="N103" i="2"/>
  <c r="L1422" i="3"/>
  <c r="P1422" i="3"/>
  <c r="L80" i="2"/>
  <c r="P759" i="3"/>
  <c r="L759" i="3"/>
  <c r="L1564" i="3"/>
  <c r="P1564" i="3"/>
  <c r="P10" i="3"/>
  <c r="L10" i="3"/>
  <c r="L9" i="2"/>
  <c r="G1432" i="3"/>
  <c r="H1432" i="3" s="1"/>
  <c r="N90" i="2"/>
  <c r="L1591" i="3"/>
  <c r="P1591" i="3"/>
  <c r="G83" i="4"/>
  <c r="H83" i="4" s="1"/>
  <c r="Q1328" i="3"/>
  <c r="G26" i="4"/>
  <c r="H26" i="4" s="1"/>
  <c r="Q411" i="3"/>
  <c r="P1550" i="3"/>
  <c r="L1550" i="3"/>
  <c r="P1459" i="3"/>
  <c r="L1459" i="3"/>
  <c r="L105" i="2"/>
  <c r="P1589" i="3"/>
  <c r="L1589" i="3"/>
  <c r="L1363" i="3"/>
  <c r="P1363" i="3"/>
  <c r="P803" i="3"/>
  <c r="L803" i="3"/>
  <c r="P580" i="3"/>
  <c r="L580" i="3"/>
  <c r="L54" i="2"/>
  <c r="G2" i="4"/>
  <c r="Q17" i="3"/>
  <c r="K16" i="2"/>
  <c r="G1396" i="3"/>
  <c r="H1396" i="3" s="1"/>
  <c r="G1212" i="3"/>
  <c r="H1212" i="3" s="1"/>
  <c r="G1228" i="3"/>
  <c r="H1228" i="3" s="1"/>
  <c r="G1167" i="3"/>
  <c r="H1167" i="3" s="1"/>
  <c r="G1071" i="3"/>
  <c r="H1071" i="3" s="1"/>
  <c r="G1183" i="3"/>
  <c r="H1183" i="3" s="1"/>
  <c r="G1103" i="3"/>
  <c r="H1103" i="3" s="1"/>
  <c r="G1119" i="3"/>
  <c r="H1119" i="3" s="1"/>
  <c r="G1023" i="3"/>
  <c r="H1023" i="3" s="1"/>
  <c r="G1380" i="3"/>
  <c r="H1380" i="3" s="1"/>
  <c r="G1151" i="3"/>
  <c r="H1151" i="3" s="1"/>
  <c r="G943" i="3"/>
  <c r="H943" i="3" s="1"/>
  <c r="G959" i="3"/>
  <c r="H959" i="3" s="1"/>
  <c r="G1135" i="3"/>
  <c r="H1135" i="3" s="1"/>
  <c r="G975" i="3"/>
  <c r="H975" i="3" s="1"/>
  <c r="G1007" i="3"/>
  <c r="H1007" i="3" s="1"/>
  <c r="G910" i="3"/>
  <c r="H910" i="3" s="1"/>
  <c r="G1087" i="3"/>
  <c r="H1087" i="3" s="1"/>
  <c r="G1055" i="3"/>
  <c r="H1055" i="3" s="1"/>
  <c r="G991" i="3"/>
  <c r="H991" i="3" s="1"/>
  <c r="G1039" i="3"/>
  <c r="H1039" i="3" s="1"/>
  <c r="G760" i="3"/>
  <c r="H760" i="3" s="1"/>
  <c r="G711" i="3"/>
  <c r="H711" i="3" s="1"/>
  <c r="G881" i="3"/>
  <c r="H881" i="3" s="1"/>
  <c r="G454" i="3"/>
  <c r="H454" i="3" s="1"/>
  <c r="G470" i="3"/>
  <c r="H470" i="3" s="1"/>
  <c r="G486" i="3"/>
  <c r="H486" i="3" s="1"/>
  <c r="G518" i="3"/>
  <c r="H518" i="3" s="1"/>
  <c r="G422" i="3"/>
  <c r="H422" i="3" s="1"/>
  <c r="G534" i="3"/>
  <c r="H534" i="3" s="1"/>
  <c r="G294" i="3"/>
  <c r="H294" i="3" s="1"/>
  <c r="G310" i="3"/>
  <c r="H310" i="3" s="1"/>
  <c r="G326" i="3"/>
  <c r="H326" i="3" s="1"/>
  <c r="G502" i="3"/>
  <c r="H502" i="3" s="1"/>
  <c r="G390" i="3"/>
  <c r="H390" i="3" s="1"/>
  <c r="G438" i="3"/>
  <c r="H438" i="3" s="1"/>
  <c r="G406" i="3"/>
  <c r="H406" i="3" s="1"/>
  <c r="G342" i="3"/>
  <c r="H342" i="3" s="1"/>
  <c r="G246" i="3"/>
  <c r="H246" i="3" s="1"/>
  <c r="G358" i="3"/>
  <c r="H358" i="3" s="1"/>
  <c r="G262" i="3"/>
  <c r="H262" i="3" s="1"/>
  <c r="G374" i="3"/>
  <c r="H374" i="3" s="1"/>
  <c r="G90" i="3"/>
  <c r="H90" i="3" s="1"/>
  <c r="G201" i="3"/>
  <c r="H201" i="3" s="1"/>
  <c r="G278" i="3"/>
  <c r="H278" i="3" s="1"/>
  <c r="G168" i="3"/>
  <c r="H168" i="3" s="1"/>
  <c r="G11" i="3"/>
  <c r="H11" i="3" s="1"/>
  <c r="G185" i="3"/>
  <c r="H185" i="3" s="1"/>
  <c r="N10" i="2"/>
  <c r="G1247" i="3"/>
  <c r="H1247" i="3" s="1"/>
  <c r="G1259" i="3"/>
  <c r="H1259" i="3" s="1"/>
  <c r="G1275" i="3"/>
  <c r="H1275" i="3" s="1"/>
  <c r="G675" i="3"/>
  <c r="H675" i="3" s="1"/>
  <c r="G631" i="3"/>
  <c r="H631" i="3" s="1"/>
  <c r="G581" i="3"/>
  <c r="H581" i="3" s="1"/>
  <c r="G172" i="3"/>
  <c r="H172" i="3" s="1"/>
  <c r="N42" i="2"/>
  <c r="G1322" i="3"/>
  <c r="H1322" i="3" s="1"/>
  <c r="G694" i="3"/>
  <c r="H694" i="3" s="1"/>
  <c r="N60" i="2"/>
  <c r="G1383" i="3"/>
  <c r="H1383" i="3" s="1"/>
  <c r="G1010" i="3"/>
  <c r="H1010" i="3" s="1"/>
  <c r="G1026" i="3"/>
  <c r="H1026" i="3" s="1"/>
  <c r="G1090" i="3"/>
  <c r="H1090" i="3" s="1"/>
  <c r="G962" i="3"/>
  <c r="H962" i="3" s="1"/>
  <c r="G978" i="3"/>
  <c r="H978" i="3" s="1"/>
  <c r="G994" i="3"/>
  <c r="H994" i="3" s="1"/>
  <c r="G914" i="3"/>
  <c r="H914" i="3" s="1"/>
  <c r="G868" i="3"/>
  <c r="H868" i="3" s="1"/>
  <c r="G1074" i="3"/>
  <c r="H1074" i="3" s="1"/>
  <c r="G946" i="3"/>
  <c r="H946" i="3" s="1"/>
  <c r="G645" i="3"/>
  <c r="H645" i="3" s="1"/>
  <c r="G249" i="3"/>
  <c r="H249" i="3" s="1"/>
  <c r="G188" i="3"/>
  <c r="H188" i="3" s="1"/>
  <c r="G361" i="3"/>
  <c r="H361" i="3" s="1"/>
  <c r="G265" i="3"/>
  <c r="H265" i="3" s="1"/>
  <c r="G281" i="3"/>
  <c r="H281" i="3" s="1"/>
  <c r="G377" i="3"/>
  <c r="H377" i="3" s="1"/>
  <c r="G297" i="3"/>
  <c r="H297" i="3" s="1"/>
  <c r="G313" i="3"/>
  <c r="H313" i="3" s="1"/>
  <c r="G205" i="3"/>
  <c r="H205" i="3" s="1"/>
  <c r="N43" i="2"/>
  <c r="P814" i="3"/>
  <c r="L814" i="3"/>
  <c r="G1373" i="3"/>
  <c r="H1373" i="3" s="1"/>
  <c r="G1205" i="3"/>
  <c r="H1205" i="3" s="1"/>
  <c r="G1144" i="3"/>
  <c r="H1144" i="3" s="1"/>
  <c r="G1048" i="3"/>
  <c r="H1048" i="3" s="1"/>
  <c r="G1221" i="3"/>
  <c r="H1221" i="3" s="1"/>
  <c r="G1160" i="3"/>
  <c r="H1160" i="3" s="1"/>
  <c r="G1064" i="3"/>
  <c r="H1064" i="3" s="1"/>
  <c r="G1080" i="3"/>
  <c r="H1080" i="3" s="1"/>
  <c r="G1389" i="3"/>
  <c r="H1389" i="3" s="1"/>
  <c r="G1112" i="3"/>
  <c r="H1112" i="3" s="1"/>
  <c r="G1176" i="3"/>
  <c r="H1176" i="3" s="1"/>
  <c r="G1128" i="3"/>
  <c r="H1128" i="3" s="1"/>
  <c r="G1032" i="3"/>
  <c r="H1032" i="3" s="1"/>
  <c r="G920" i="3"/>
  <c r="H920" i="3" s="1"/>
  <c r="G874" i="3"/>
  <c r="H874" i="3" s="1"/>
  <c r="G1016" i="3"/>
  <c r="H1016" i="3" s="1"/>
  <c r="G936" i="3"/>
  <c r="H936" i="3" s="1"/>
  <c r="G1000" i="3"/>
  <c r="H1000" i="3" s="1"/>
  <c r="G952" i="3"/>
  <c r="H952" i="3" s="1"/>
  <c r="G891" i="3"/>
  <c r="H891" i="3" s="1"/>
  <c r="G903" i="3"/>
  <c r="H903" i="3" s="1"/>
  <c r="G984" i="3"/>
  <c r="H984" i="3" s="1"/>
  <c r="G637" i="3"/>
  <c r="H637" i="3" s="1"/>
  <c r="G664" i="3"/>
  <c r="H664" i="3" s="1"/>
  <c r="G968" i="3"/>
  <c r="H968" i="3" s="1"/>
  <c r="G1096" i="3"/>
  <c r="H1096" i="3" s="1"/>
  <c r="G785" i="3"/>
  <c r="H785" i="3" s="1"/>
  <c r="G770" i="3"/>
  <c r="H770" i="3" s="1"/>
  <c r="G527" i="3"/>
  <c r="H527" i="3" s="1"/>
  <c r="G605" i="3"/>
  <c r="H605" i="3" s="1"/>
  <c r="G543" i="3"/>
  <c r="H543" i="3" s="1"/>
  <c r="G447" i="3"/>
  <c r="H447" i="3" s="1"/>
  <c r="G555" i="3"/>
  <c r="H555" i="3" s="1"/>
  <c r="G463" i="3"/>
  <c r="H463" i="3" s="1"/>
  <c r="G479" i="3"/>
  <c r="H479" i="3" s="1"/>
  <c r="G704" i="3"/>
  <c r="H704" i="3" s="1"/>
  <c r="G495" i="3"/>
  <c r="H495" i="3" s="1"/>
  <c r="G415" i="3"/>
  <c r="H415" i="3" s="1"/>
  <c r="G194" i="3"/>
  <c r="H194" i="3" s="1"/>
  <c r="G431" i="3"/>
  <c r="H431" i="3" s="1"/>
  <c r="G367" i="3"/>
  <c r="H367" i="3" s="1"/>
  <c r="G271" i="3"/>
  <c r="H271" i="3" s="1"/>
  <c r="G399" i="3"/>
  <c r="H399" i="3" s="1"/>
  <c r="G511" i="3"/>
  <c r="H511" i="3" s="1"/>
  <c r="G287" i="3"/>
  <c r="H287" i="3" s="1"/>
  <c r="G383" i="3"/>
  <c r="H383" i="3" s="1"/>
  <c r="G303" i="3"/>
  <c r="H303" i="3" s="1"/>
  <c r="G319" i="3"/>
  <c r="H319" i="3" s="1"/>
  <c r="G227" i="3"/>
  <c r="H227" i="3" s="1"/>
  <c r="G651" i="3"/>
  <c r="H651" i="3" s="1"/>
  <c r="G335" i="3"/>
  <c r="H335" i="3" s="1"/>
  <c r="G351" i="3"/>
  <c r="H351" i="3" s="1"/>
  <c r="G239" i="3"/>
  <c r="H239" i="3" s="1"/>
  <c r="G255" i="3"/>
  <c r="H255" i="3" s="1"/>
  <c r="G178" i="3"/>
  <c r="H178" i="3" s="1"/>
  <c r="G161" i="3"/>
  <c r="H161" i="3" s="1"/>
  <c r="G211" i="3"/>
  <c r="H211" i="3" s="1"/>
  <c r="G66" i="3"/>
  <c r="H66" i="3" s="1"/>
  <c r="G51" i="3"/>
  <c r="H51" i="3" s="1"/>
  <c r="G4" i="3"/>
  <c r="H4" i="3" s="1"/>
  <c r="N3" i="2"/>
  <c r="L1355" i="3"/>
  <c r="P1355" i="3"/>
  <c r="P73" i="3"/>
  <c r="L73" i="3"/>
  <c r="L129" i="3"/>
  <c r="L38" i="2"/>
  <c r="P129" i="3"/>
  <c r="G1553" i="3"/>
  <c r="H1553" i="3" s="1"/>
  <c r="G1658" i="3"/>
  <c r="H1658" i="3" s="1"/>
  <c r="G1635" i="3"/>
  <c r="H1635" i="3" s="1"/>
  <c r="G1536" i="3"/>
  <c r="H1536" i="3" s="1"/>
  <c r="G1372" i="3"/>
  <c r="H1372" i="3" s="1"/>
  <c r="G1204" i="3"/>
  <c r="H1204" i="3" s="1"/>
  <c r="G1388" i="3"/>
  <c r="H1388" i="3" s="1"/>
  <c r="G1159" i="3"/>
  <c r="H1159" i="3" s="1"/>
  <c r="G1063" i="3"/>
  <c r="H1063" i="3" s="1"/>
  <c r="G1095" i="3"/>
  <c r="H1095" i="3" s="1"/>
  <c r="G1175" i="3"/>
  <c r="H1175" i="3" s="1"/>
  <c r="G1111" i="3"/>
  <c r="H1111" i="3" s="1"/>
  <c r="G1047" i="3"/>
  <c r="H1047" i="3" s="1"/>
  <c r="G935" i="3"/>
  <c r="H935" i="3" s="1"/>
  <c r="G1127" i="3"/>
  <c r="H1127" i="3" s="1"/>
  <c r="G999" i="3"/>
  <c r="H999" i="3" s="1"/>
  <c r="G951" i="3"/>
  <c r="H951" i="3" s="1"/>
  <c r="G967" i="3"/>
  <c r="H967" i="3" s="1"/>
  <c r="G902" i="3"/>
  <c r="H902" i="3" s="1"/>
  <c r="G983" i="3"/>
  <c r="H983" i="3" s="1"/>
  <c r="G1031" i="3"/>
  <c r="H1031" i="3" s="1"/>
  <c r="G1015" i="3"/>
  <c r="H1015" i="3" s="1"/>
  <c r="G663" i="3"/>
  <c r="H663" i="3" s="1"/>
  <c r="G873" i="3"/>
  <c r="H873" i="3" s="1"/>
  <c r="G703" i="3"/>
  <c r="H703" i="3" s="1"/>
  <c r="G446" i="3"/>
  <c r="H446" i="3" s="1"/>
  <c r="G462" i="3"/>
  <c r="H462" i="3" s="1"/>
  <c r="G919" i="3"/>
  <c r="H919" i="3" s="1"/>
  <c r="G478" i="3"/>
  <c r="H478" i="3" s="1"/>
  <c r="G650" i="3"/>
  <c r="H650" i="3" s="1"/>
  <c r="G586" i="3"/>
  <c r="H586" i="3" s="1"/>
  <c r="G510" i="3"/>
  <c r="H510" i="3" s="1"/>
  <c r="G526" i="3"/>
  <c r="H526" i="3" s="1"/>
  <c r="G286" i="3"/>
  <c r="H286" i="3" s="1"/>
  <c r="G382" i="3"/>
  <c r="H382" i="3" s="1"/>
  <c r="G302" i="3"/>
  <c r="H302" i="3" s="1"/>
  <c r="G210" i="3"/>
  <c r="H210" i="3" s="1"/>
  <c r="G318" i="3"/>
  <c r="H318" i="3" s="1"/>
  <c r="G334" i="3"/>
  <c r="H334" i="3" s="1"/>
  <c r="G238" i="3"/>
  <c r="H238" i="3" s="1"/>
  <c r="G414" i="3"/>
  <c r="H414" i="3" s="1"/>
  <c r="G350" i="3"/>
  <c r="H350" i="3" s="1"/>
  <c r="G254" i="3"/>
  <c r="H254" i="3" s="1"/>
  <c r="G398" i="3"/>
  <c r="H398" i="3" s="1"/>
  <c r="G193" i="3"/>
  <c r="H193" i="3" s="1"/>
  <c r="G177" i="3"/>
  <c r="H177" i="3" s="1"/>
  <c r="G160" i="3"/>
  <c r="H160" i="3" s="1"/>
  <c r="G3" i="3"/>
  <c r="H3" i="3" s="1"/>
  <c r="G270" i="3"/>
  <c r="H270" i="3" s="1"/>
  <c r="N2" i="2"/>
  <c r="G809" i="3"/>
  <c r="H809" i="3" s="1"/>
  <c r="G148" i="3"/>
  <c r="H148" i="3" s="1"/>
  <c r="N39" i="2"/>
  <c r="G1594" i="3"/>
  <c r="H1594" i="3" s="1"/>
  <c r="G1615" i="3"/>
  <c r="H1615" i="3" s="1"/>
  <c r="G1561" i="3"/>
  <c r="H1561" i="3" s="1"/>
  <c r="G1434" i="3"/>
  <c r="H1434" i="3" s="1"/>
  <c r="G1531" i="3"/>
  <c r="H1531" i="3" s="1"/>
  <c r="G1510" i="3"/>
  <c r="H1510" i="3" s="1"/>
  <c r="G1350" i="3"/>
  <c r="H1350" i="3" s="1"/>
  <c r="G1331" i="3"/>
  <c r="H1331" i="3" s="1"/>
  <c r="N67" i="2"/>
  <c r="G1570" i="3"/>
  <c r="H1570" i="3" s="1"/>
  <c r="N113" i="2"/>
  <c r="P1460" i="3"/>
  <c r="L1460" i="3"/>
  <c r="P710" i="3"/>
  <c r="L710" i="3"/>
  <c r="G1598" i="3"/>
  <c r="H1598" i="3" s="1"/>
  <c r="G1637" i="3"/>
  <c r="H1637" i="3" s="1"/>
  <c r="G1537" i="3"/>
  <c r="H1537" i="3" s="1"/>
  <c r="G1576" i="3"/>
  <c r="H1576" i="3" s="1"/>
  <c r="G1619" i="3"/>
  <c r="H1619" i="3" s="1"/>
  <c r="G1659" i="3"/>
  <c r="H1659" i="3" s="1"/>
  <c r="G1555" i="3"/>
  <c r="H1555" i="3" s="1"/>
  <c r="G1492" i="3"/>
  <c r="H1492" i="3" s="1"/>
  <c r="G1466" i="3"/>
  <c r="H1466" i="3" s="1"/>
  <c r="G1344" i="3"/>
  <c r="H1344" i="3" s="1"/>
  <c r="G1514" i="3"/>
  <c r="H1514" i="3" s="1"/>
  <c r="G1325" i="3"/>
  <c r="H1325" i="3" s="1"/>
  <c r="G1366" i="3"/>
  <c r="H1366" i="3" s="1"/>
  <c r="G744" i="3"/>
  <c r="H744" i="3" s="1"/>
  <c r="G598" i="3"/>
  <c r="H598" i="3" s="1"/>
  <c r="G729" i="3"/>
  <c r="H729" i="3" s="1"/>
  <c r="G854" i="3"/>
  <c r="H854" i="3" s="1"/>
  <c r="G815" i="3"/>
  <c r="H815" i="3" s="1"/>
  <c r="G793" i="3"/>
  <c r="H793" i="3" s="1"/>
  <c r="G697" i="3"/>
  <c r="H697" i="3" s="1"/>
  <c r="G778" i="3"/>
  <c r="H778" i="3" s="1"/>
  <c r="G835" i="3"/>
  <c r="H835" i="3" s="1"/>
  <c r="G44" i="3"/>
  <c r="H44" i="3" s="1"/>
  <c r="G29" i="3"/>
  <c r="H29" i="3" s="1"/>
  <c r="G154" i="3"/>
  <c r="H154" i="3" s="1"/>
  <c r="G132" i="3"/>
  <c r="H132" i="3" s="1"/>
  <c r="G74" i="3"/>
  <c r="H74" i="3" s="1"/>
  <c r="G59" i="3"/>
  <c r="H59" i="3" s="1"/>
  <c r="G112" i="3"/>
  <c r="H112" i="3" s="1"/>
  <c r="N23" i="2"/>
  <c r="P1644" i="3"/>
  <c r="L1644" i="3"/>
  <c r="G3" i="4"/>
  <c r="H3" i="4" s="1"/>
  <c r="Q32" i="3"/>
  <c r="P111" i="3"/>
  <c r="L111" i="3"/>
  <c r="L34" i="2"/>
  <c r="L852" i="3"/>
  <c r="P852" i="3"/>
  <c r="P826" i="3"/>
  <c r="L826" i="3"/>
  <c r="P183" i="3"/>
  <c r="L183" i="3"/>
  <c r="G28" i="4"/>
  <c r="H28" i="4" s="1"/>
  <c r="Q443" i="3"/>
  <c r="L1653" i="3"/>
  <c r="P1653" i="3"/>
  <c r="P1415" i="3"/>
  <c r="L1415" i="3"/>
  <c r="P845" i="3"/>
  <c r="L845" i="3"/>
  <c r="P142" i="3"/>
  <c r="L142" i="3"/>
  <c r="P1420" i="3"/>
  <c r="L1420" i="3"/>
  <c r="L78" i="2"/>
  <c r="L1246" i="3"/>
  <c r="P1246" i="3"/>
  <c r="G1441" i="3"/>
  <c r="H1441" i="3" s="1"/>
  <c r="N93" i="2"/>
  <c r="L1414" i="3"/>
  <c r="P1414" i="3"/>
  <c r="P728" i="3"/>
  <c r="L728" i="3"/>
  <c r="P811" i="3"/>
  <c r="L811" i="3"/>
  <c r="G736" i="3"/>
  <c r="H736" i="3" s="1"/>
  <c r="G721" i="3"/>
  <c r="H721" i="3" s="1"/>
  <c r="G751" i="3"/>
  <c r="H751" i="3" s="1"/>
  <c r="G861" i="3"/>
  <c r="H861" i="3" s="1"/>
  <c r="G36" i="3"/>
  <c r="H36" i="3" s="1"/>
  <c r="G21" i="3"/>
  <c r="H21" i="3" s="1"/>
  <c r="G81" i="3"/>
  <c r="H81" i="3" s="1"/>
  <c r="N18" i="2"/>
  <c r="G1257" i="3"/>
  <c r="H1257" i="3" s="1"/>
  <c r="G1196" i="3"/>
  <c r="H1196" i="3" s="1"/>
  <c r="G1397" i="3"/>
  <c r="H1397" i="3" s="1"/>
  <c r="G1285" i="3"/>
  <c r="H1285" i="3" s="1"/>
  <c r="G1243" i="3"/>
  <c r="H1243" i="3" s="1"/>
  <c r="G1320" i="3"/>
  <c r="H1320" i="3" s="1"/>
  <c r="G1270" i="3"/>
  <c r="H1270" i="3" s="1"/>
  <c r="G1302" i="3"/>
  <c r="H1302" i="3" s="1"/>
  <c r="G882" i="3"/>
  <c r="H882" i="3" s="1"/>
  <c r="G911" i="3"/>
  <c r="H911" i="3" s="1"/>
  <c r="G672" i="3"/>
  <c r="H672" i="3" s="1"/>
  <c r="G692" i="3"/>
  <c r="H692" i="3" s="1"/>
  <c r="G642" i="3"/>
  <c r="H642" i="3" s="1"/>
  <c r="G627" i="3"/>
  <c r="H627" i="3" s="1"/>
  <c r="G655" i="3"/>
  <c r="H655" i="3" s="1"/>
  <c r="G578" i="3"/>
  <c r="H578" i="3" s="1"/>
  <c r="G609" i="3"/>
  <c r="H609" i="3" s="1"/>
  <c r="G202" i="3"/>
  <c r="H202" i="3" s="1"/>
  <c r="G169" i="3"/>
  <c r="H169" i="3" s="1"/>
  <c r="N41" i="2"/>
  <c r="G1419" i="3"/>
  <c r="H1419" i="3" s="1"/>
  <c r="N77" i="2"/>
  <c r="P957" i="3"/>
  <c r="L957" i="3"/>
  <c r="G1451" i="3"/>
  <c r="H1451" i="3" s="1"/>
  <c r="G1477" i="3"/>
  <c r="H1477" i="3" s="1"/>
  <c r="N97" i="2"/>
  <c r="P153" i="3"/>
  <c r="L153" i="3"/>
  <c r="Q1517" i="3"/>
  <c r="G91" i="4"/>
  <c r="H91" i="4" s="1"/>
  <c r="G81" i="4"/>
  <c r="H81" i="4" s="1"/>
  <c r="Q1290" i="3"/>
  <c r="G42" i="4"/>
  <c r="H42" i="4" s="1"/>
  <c r="Q660" i="3"/>
  <c r="G40" i="4"/>
  <c r="H40" i="4" s="1"/>
  <c r="Q633" i="3"/>
  <c r="P1614" i="3"/>
  <c r="L1614" i="3"/>
  <c r="P1508" i="3"/>
  <c r="L1508" i="3"/>
  <c r="P825" i="3"/>
  <c r="L825" i="3"/>
  <c r="P1462" i="3"/>
  <c r="L1462" i="3"/>
  <c r="F1439" i="3"/>
  <c r="I92" i="2"/>
  <c r="P1343" i="3"/>
  <c r="L1343" i="3"/>
  <c r="G1487" i="3"/>
  <c r="H1487" i="3" s="1"/>
  <c r="G1461" i="3"/>
  <c r="H1461" i="3" s="1"/>
  <c r="G1426" i="3"/>
  <c r="H1426" i="3" s="1"/>
  <c r="N84" i="2"/>
  <c r="P1529" i="3"/>
  <c r="L1529" i="3"/>
  <c r="L110" i="2"/>
  <c r="P743" i="3"/>
  <c r="L743" i="3"/>
  <c r="L832" i="3"/>
  <c r="P832" i="3"/>
  <c r="G1648" i="3"/>
  <c r="H1648" i="3" s="1"/>
  <c r="G1584" i="3"/>
  <c r="H1584" i="3" s="1"/>
  <c r="G1627" i="3"/>
  <c r="H1627" i="3" s="1"/>
  <c r="G1609" i="3"/>
  <c r="H1609" i="3" s="1"/>
  <c r="G1566" i="3"/>
  <c r="H1566" i="3" s="1"/>
  <c r="G1545" i="3"/>
  <c r="H1545" i="3" s="1"/>
  <c r="G1500" i="3"/>
  <c r="H1500" i="3" s="1"/>
  <c r="G1525" i="3"/>
  <c r="H1525" i="3" s="1"/>
  <c r="G1410" i="3"/>
  <c r="H1410" i="3" s="1"/>
  <c r="G1242" i="3"/>
  <c r="H1242" i="3" s="1"/>
  <c r="G1353" i="3"/>
  <c r="H1353" i="3" s="1"/>
  <c r="G1334" i="3"/>
  <c r="H1334" i="3" s="1"/>
  <c r="G1313" i="3"/>
  <c r="H1313" i="3" s="1"/>
  <c r="G844" i="3"/>
  <c r="H844" i="3" s="1"/>
  <c r="G824" i="3"/>
  <c r="H824" i="3" s="1"/>
  <c r="G790" i="3"/>
  <c r="H790" i="3" s="1"/>
  <c r="G775" i="3"/>
  <c r="H775" i="3" s="1"/>
  <c r="G802" i="3"/>
  <c r="H802" i="3" s="1"/>
  <c r="G756" i="3"/>
  <c r="H756" i="3" s="1"/>
  <c r="G741" i="3"/>
  <c r="H741" i="3" s="1"/>
  <c r="G683" i="3"/>
  <c r="H683" i="3" s="1"/>
  <c r="G726" i="3"/>
  <c r="H726" i="3" s="1"/>
  <c r="G622" i="3"/>
  <c r="H622" i="3" s="1"/>
  <c r="G592" i="3"/>
  <c r="H592" i="3" s="1"/>
  <c r="G572" i="3"/>
  <c r="H572" i="3" s="1"/>
  <c r="G86" i="3"/>
  <c r="H86" i="3" s="1"/>
  <c r="G121" i="3"/>
  <c r="H121" i="3" s="1"/>
  <c r="G71" i="3"/>
  <c r="H71" i="3" s="1"/>
  <c r="G102" i="3"/>
  <c r="H102" i="3" s="1"/>
  <c r="G56" i="3"/>
  <c r="H56" i="3" s="1"/>
  <c r="G141" i="3"/>
  <c r="H141" i="3" s="1"/>
  <c r="G41" i="3"/>
  <c r="H41" i="3" s="1"/>
  <c r="G26" i="3"/>
  <c r="H26" i="3" s="1"/>
  <c r="N20" i="2"/>
  <c r="G1301" i="3"/>
  <c r="H1301" i="3" s="1"/>
  <c r="G927" i="3"/>
  <c r="H927" i="3" s="1"/>
  <c r="G671" i="3"/>
  <c r="H671" i="3" s="1"/>
  <c r="G218" i="3"/>
  <c r="H218" i="3" s="1"/>
  <c r="N45" i="2"/>
  <c r="G1423" i="3"/>
  <c r="H1423" i="3" s="1"/>
  <c r="N81" i="2"/>
  <c r="L1465" i="3"/>
  <c r="P1465" i="3"/>
  <c r="L106" i="2"/>
  <c r="P941" i="3"/>
  <c r="L941" i="3"/>
  <c r="P885" i="3"/>
  <c r="L885" i="3"/>
  <c r="L64" i="2"/>
  <c r="G80" i="4"/>
  <c r="H80" i="4" s="1"/>
  <c r="Q1277" i="3"/>
  <c r="L1341" i="3"/>
  <c r="P1341" i="3"/>
  <c r="L68" i="2"/>
  <c r="P1590" i="3"/>
  <c r="L1590" i="3"/>
  <c r="P1562" i="3"/>
  <c r="L1562" i="3"/>
  <c r="G1405" i="3"/>
  <c r="H1405" i="3" s="1"/>
  <c r="N70" i="2"/>
  <c r="G695" i="3"/>
  <c r="H695" i="3" s="1"/>
  <c r="N61" i="2"/>
  <c r="P1571" i="3"/>
  <c r="L1571" i="3"/>
  <c r="P1522" i="3"/>
  <c r="L1522" i="3"/>
  <c r="P1335" i="3"/>
  <c r="L1335" i="3"/>
  <c r="P1488" i="3"/>
  <c r="L1488" i="3"/>
  <c r="G11" i="4"/>
  <c r="H11" i="4" s="1"/>
  <c r="Q174" i="3"/>
  <c r="G1311" i="3"/>
  <c r="H1311" i="3" s="1"/>
  <c r="G1351" i="3"/>
  <c r="H1351" i="3" s="1"/>
  <c r="G1332" i="3"/>
  <c r="H1332" i="3" s="1"/>
  <c r="G822" i="3"/>
  <c r="H822" i="3" s="1"/>
  <c r="G681" i="3"/>
  <c r="H681" i="3" s="1"/>
  <c r="G842" i="3"/>
  <c r="H842" i="3" s="1"/>
  <c r="G800" i="3"/>
  <c r="H800" i="3" s="1"/>
  <c r="G119" i="3"/>
  <c r="H119" i="3" s="1"/>
  <c r="G139" i="3"/>
  <c r="H139" i="3" s="1"/>
  <c r="G100" i="3"/>
  <c r="H100" i="3" s="1"/>
  <c r="N28" i="2"/>
  <c r="L1364" i="3"/>
  <c r="P1364" i="3"/>
  <c r="P1613" i="3"/>
  <c r="L1613" i="3"/>
  <c r="P777" i="3"/>
  <c r="L777" i="3"/>
  <c r="L33" i="2"/>
  <c r="G1472" i="3"/>
  <c r="H1472" i="3" s="1"/>
  <c r="G1446" i="3"/>
  <c r="H1446" i="3" s="1"/>
  <c r="N94" i="2"/>
  <c r="G1377" i="3"/>
  <c r="H1377" i="3" s="1"/>
  <c r="G1209" i="3"/>
  <c r="H1209" i="3" s="1"/>
  <c r="G1272" i="3"/>
  <c r="H1272" i="3" s="1"/>
  <c r="G1244" i="3"/>
  <c r="H1244" i="3" s="1"/>
  <c r="G1148" i="3"/>
  <c r="H1148" i="3" s="1"/>
  <c r="G1052" i="3"/>
  <c r="H1052" i="3" s="1"/>
  <c r="G1180" i="3"/>
  <c r="H1180" i="3" s="1"/>
  <c r="G1164" i="3"/>
  <c r="H1164" i="3" s="1"/>
  <c r="G1068" i="3"/>
  <c r="H1068" i="3" s="1"/>
  <c r="G1084" i="3"/>
  <c r="H1084" i="3" s="1"/>
  <c r="G1116" i="3"/>
  <c r="H1116" i="3" s="1"/>
  <c r="G1225" i="3"/>
  <c r="H1225" i="3" s="1"/>
  <c r="G1036" i="3"/>
  <c r="H1036" i="3" s="1"/>
  <c r="G1004" i="3"/>
  <c r="H1004" i="3" s="1"/>
  <c r="G988" i="3"/>
  <c r="H988" i="3" s="1"/>
  <c r="G972" i="3"/>
  <c r="H972" i="3" s="1"/>
  <c r="G1100" i="3"/>
  <c r="H1100" i="3" s="1"/>
  <c r="G531" i="3"/>
  <c r="H531" i="3" s="1"/>
  <c r="G1020" i="3"/>
  <c r="H1020" i="3" s="1"/>
  <c r="G628" i="3"/>
  <c r="H628" i="3" s="1"/>
  <c r="G451" i="3"/>
  <c r="H451" i="3" s="1"/>
  <c r="G467" i="3"/>
  <c r="H467" i="3" s="1"/>
  <c r="G483" i="3"/>
  <c r="H483" i="3" s="1"/>
  <c r="G499" i="3"/>
  <c r="H499" i="3" s="1"/>
  <c r="G435" i="3"/>
  <c r="H435" i="3" s="1"/>
  <c r="G371" i="3"/>
  <c r="H371" i="3" s="1"/>
  <c r="G275" i="3"/>
  <c r="H275" i="3" s="1"/>
  <c r="G291" i="3"/>
  <c r="H291" i="3" s="1"/>
  <c r="G515" i="3"/>
  <c r="H515" i="3" s="1"/>
  <c r="G403" i="3"/>
  <c r="H403" i="3" s="1"/>
  <c r="G307" i="3"/>
  <c r="H307" i="3" s="1"/>
  <c r="G387" i="3"/>
  <c r="H387" i="3" s="1"/>
  <c r="G323" i="3"/>
  <c r="H323" i="3" s="1"/>
  <c r="G419" i="3"/>
  <c r="H419" i="3" s="1"/>
  <c r="G339" i="3"/>
  <c r="H339" i="3" s="1"/>
  <c r="G355" i="3"/>
  <c r="H355" i="3" s="1"/>
  <c r="G259" i="3"/>
  <c r="H259" i="3" s="1"/>
  <c r="N47" i="2"/>
  <c r="G1425" i="3"/>
  <c r="H1425" i="3" s="1"/>
  <c r="N83" i="2"/>
  <c r="P1491" i="3"/>
  <c r="L1491" i="3"/>
  <c r="P879" i="3"/>
  <c r="L879" i="3"/>
  <c r="P1305" i="3"/>
  <c r="L1305" i="3"/>
  <c r="P833" i="3"/>
  <c r="L833" i="3"/>
  <c r="P804" i="3"/>
  <c r="L804" i="3"/>
  <c r="G64" i="4"/>
  <c r="H64" i="4" s="1"/>
  <c r="Q1028" i="3"/>
  <c r="G39" i="4"/>
  <c r="H39" i="4" s="1"/>
  <c r="Q613" i="3"/>
  <c r="P573" i="3"/>
  <c r="L573" i="3"/>
  <c r="Q1640" i="3"/>
  <c r="G97" i="4"/>
  <c r="H97" i="4" s="1"/>
  <c r="G84" i="4"/>
  <c r="H84" i="4" s="1"/>
  <c r="Q1347" i="3"/>
  <c r="G53" i="4"/>
  <c r="H53" i="4" s="1"/>
  <c r="Q857" i="3"/>
  <c r="G58" i="4"/>
  <c r="H58" i="4" s="1"/>
  <c r="Q932" i="3"/>
  <c r="G77" i="4"/>
  <c r="H77" i="4" s="1"/>
  <c r="Q1233" i="3"/>
  <c r="G55" i="4"/>
  <c r="H55" i="4" s="1"/>
  <c r="Q887" i="3"/>
  <c r="P1521" i="3"/>
  <c r="L1521" i="3"/>
  <c r="P1592" i="3"/>
  <c r="L1592" i="3"/>
  <c r="P1354" i="3"/>
  <c r="L1354" i="3"/>
  <c r="G21" i="4"/>
  <c r="H21" i="4" s="1"/>
  <c r="Q331" i="3"/>
  <c r="G16" i="4"/>
  <c r="H16" i="4" s="1"/>
  <c r="Q251" i="3"/>
  <c r="G1323" i="3"/>
  <c r="H1323" i="3" s="1"/>
  <c r="N66" i="2"/>
  <c r="G1579" i="3"/>
  <c r="H1579" i="3" s="1"/>
  <c r="G1622" i="3"/>
  <c r="H1622" i="3" s="1"/>
  <c r="G1662" i="3"/>
  <c r="H1662" i="3" s="1"/>
  <c r="G1640" i="3"/>
  <c r="H1640" i="3" s="1"/>
  <c r="G1601" i="3"/>
  <c r="H1601" i="3" s="1"/>
  <c r="G1540" i="3"/>
  <c r="H1540" i="3" s="1"/>
  <c r="G1495" i="3"/>
  <c r="H1495" i="3" s="1"/>
  <c r="G1402" i="3"/>
  <c r="H1402" i="3" s="1"/>
  <c r="G1469" i="3"/>
  <c r="H1469" i="3" s="1"/>
  <c r="G1558" i="3"/>
  <c r="H1558" i="3" s="1"/>
  <c r="G1517" i="3"/>
  <c r="H1517" i="3" s="1"/>
  <c r="G1443" i="3"/>
  <c r="H1443" i="3" s="1"/>
  <c r="G1188" i="3"/>
  <c r="H1188" i="3" s="1"/>
  <c r="G1307" i="3"/>
  <c r="H1307" i="3" s="1"/>
  <c r="G1261" i="3"/>
  <c r="H1261" i="3" s="1"/>
  <c r="G1369" i="3"/>
  <c r="H1369" i="3" s="1"/>
  <c r="G1385" i="3"/>
  <c r="H1385" i="3" s="1"/>
  <c r="G1347" i="3"/>
  <c r="H1347" i="3" s="1"/>
  <c r="G1277" i="3"/>
  <c r="H1277" i="3" s="1"/>
  <c r="G1201" i="3"/>
  <c r="H1201" i="3" s="1"/>
  <c r="G1249" i="3"/>
  <c r="H1249" i="3" s="1"/>
  <c r="G1140" i="3"/>
  <c r="H1140" i="3" s="1"/>
  <c r="G1044" i="3"/>
  <c r="H1044" i="3" s="1"/>
  <c r="G1156" i="3"/>
  <c r="H1156" i="3" s="1"/>
  <c r="G1217" i="3"/>
  <c r="H1217" i="3" s="1"/>
  <c r="G1076" i="3"/>
  <c r="H1076" i="3" s="1"/>
  <c r="G1328" i="3"/>
  <c r="H1328" i="3" s="1"/>
  <c r="G1290" i="3"/>
  <c r="H1290" i="3" s="1"/>
  <c r="G1172" i="3"/>
  <c r="H1172" i="3" s="1"/>
  <c r="G1092" i="3"/>
  <c r="H1092" i="3" s="1"/>
  <c r="G1124" i="3"/>
  <c r="H1124" i="3" s="1"/>
  <c r="G1233" i="3"/>
  <c r="H1233" i="3" s="1"/>
  <c r="G1012" i="3"/>
  <c r="H1012" i="3" s="1"/>
  <c r="G916" i="3"/>
  <c r="H916" i="3" s="1"/>
  <c r="G870" i="3"/>
  <c r="H870" i="3" s="1"/>
  <c r="G996" i="3"/>
  <c r="H996" i="3" s="1"/>
  <c r="G1108" i="3"/>
  <c r="H1108" i="3" s="1"/>
  <c r="G932" i="3"/>
  <c r="H932" i="3" s="1"/>
  <c r="G948" i="3"/>
  <c r="H948" i="3" s="1"/>
  <c r="G887" i="3"/>
  <c r="H887" i="3" s="1"/>
  <c r="G1028" i="3"/>
  <c r="H1028" i="3" s="1"/>
  <c r="G964" i="3"/>
  <c r="H964" i="3" s="1"/>
  <c r="G980" i="3"/>
  <c r="H980" i="3" s="1"/>
  <c r="G717" i="3"/>
  <c r="H717" i="3" s="1"/>
  <c r="G613" i="3"/>
  <c r="H613" i="3" s="1"/>
  <c r="G838" i="3"/>
  <c r="H838" i="3" s="1"/>
  <c r="G633" i="3"/>
  <c r="H633" i="3" s="1"/>
  <c r="G660" i="3"/>
  <c r="H660" i="3" s="1"/>
  <c r="G899" i="3"/>
  <c r="H899" i="3" s="1"/>
  <c r="G796" i="3"/>
  <c r="H796" i="3" s="1"/>
  <c r="G700" i="3"/>
  <c r="H700" i="3" s="1"/>
  <c r="G857" i="3"/>
  <c r="H857" i="3" s="1"/>
  <c r="G818" i="3"/>
  <c r="H818" i="3" s="1"/>
  <c r="G766" i="3"/>
  <c r="H766" i="3" s="1"/>
  <c r="G1060" i="3"/>
  <c r="H1060" i="3" s="1"/>
  <c r="G747" i="3"/>
  <c r="H747" i="3" s="1"/>
  <c r="G647" i="3"/>
  <c r="H647" i="3" s="1"/>
  <c r="G523" i="3"/>
  <c r="H523" i="3" s="1"/>
  <c r="G427" i="3"/>
  <c r="H427" i="3" s="1"/>
  <c r="G677" i="3"/>
  <c r="H677" i="3" s="1"/>
  <c r="G781" i="3"/>
  <c r="H781" i="3" s="1"/>
  <c r="G732" i="3"/>
  <c r="H732" i="3" s="1"/>
  <c r="G539" i="3"/>
  <c r="H539" i="3" s="1"/>
  <c r="G443" i="3"/>
  <c r="H443" i="3" s="1"/>
  <c r="G551" i="3"/>
  <c r="H551" i="3" s="1"/>
  <c r="G459" i="3"/>
  <c r="H459" i="3" s="1"/>
  <c r="G563" i="3"/>
  <c r="H563" i="3" s="1"/>
  <c r="G601" i="3"/>
  <c r="H601" i="3" s="1"/>
  <c r="G583" i="3"/>
  <c r="H583" i="3" s="1"/>
  <c r="G491" i="3"/>
  <c r="H491" i="3" s="1"/>
  <c r="G507" i="3"/>
  <c r="H507" i="3" s="1"/>
  <c r="G395" i="3"/>
  <c r="H395" i="3" s="1"/>
  <c r="G363" i="3"/>
  <c r="H363" i="3" s="1"/>
  <c r="G267" i="3"/>
  <c r="H267" i="3" s="1"/>
  <c r="G283" i="3"/>
  <c r="H283" i="3" s="1"/>
  <c r="G379" i="3"/>
  <c r="H379" i="3" s="1"/>
  <c r="G299" i="3"/>
  <c r="H299" i="3" s="1"/>
  <c r="G207" i="3"/>
  <c r="H207" i="3" s="1"/>
  <c r="G411" i="3"/>
  <c r="H411" i="3" s="1"/>
  <c r="G315" i="3"/>
  <c r="H315" i="3" s="1"/>
  <c r="G223" i="3"/>
  <c r="H223" i="3" s="1"/>
  <c r="G475" i="3"/>
  <c r="H475" i="3" s="1"/>
  <c r="G331" i="3"/>
  <c r="H331" i="3" s="1"/>
  <c r="G235" i="3"/>
  <c r="H235" i="3" s="1"/>
  <c r="G347" i="3"/>
  <c r="H347" i="3" s="1"/>
  <c r="G17" i="3"/>
  <c r="H17" i="3" s="1"/>
  <c r="G251" i="3"/>
  <c r="H251" i="3" s="1"/>
  <c r="G174" i="3"/>
  <c r="H174" i="3" s="1"/>
  <c r="G157" i="3"/>
  <c r="H157" i="3" s="1"/>
  <c r="G115" i="3"/>
  <c r="H115" i="3" s="1"/>
  <c r="G96" i="3"/>
  <c r="H96" i="3" s="1"/>
  <c r="G62" i="3"/>
  <c r="H62" i="3" s="1"/>
  <c r="G190" i="3"/>
  <c r="H190" i="3" s="1"/>
  <c r="G47" i="3"/>
  <c r="H47" i="3" s="1"/>
  <c r="G32" i="3"/>
  <c r="H32" i="3" s="1"/>
  <c r="G135" i="3"/>
  <c r="H135" i="3" s="1"/>
  <c r="N16" i="2"/>
  <c r="G77" i="3"/>
  <c r="H77" i="3" s="1"/>
  <c r="P109" i="3"/>
  <c r="L109" i="3"/>
  <c r="L32" i="2"/>
  <c r="P104" i="3"/>
  <c r="L104" i="3"/>
  <c r="L30" i="2"/>
  <c r="L1523" i="3"/>
  <c r="P1523" i="3"/>
  <c r="G1324" i="3"/>
  <c r="H1324" i="3" s="1"/>
  <c r="G696" i="3"/>
  <c r="H696" i="3" s="1"/>
  <c r="N62" i="2"/>
  <c r="P792" i="3"/>
  <c r="L792" i="3"/>
  <c r="G1595" i="3"/>
  <c r="H1595" i="3" s="1"/>
  <c r="G1533" i="3"/>
  <c r="H1533" i="3" s="1"/>
  <c r="G1572" i="3"/>
  <c r="H1572" i="3" s="1"/>
  <c r="G1655" i="3"/>
  <c r="H1655" i="3" s="1"/>
  <c r="G1617" i="3"/>
  <c r="H1617" i="3" s="1"/>
  <c r="G1511" i="3"/>
  <c r="H1511" i="3" s="1"/>
  <c r="G1437" i="3"/>
  <c r="H1437" i="3" s="1"/>
  <c r="G1293" i="3"/>
  <c r="H1293" i="3" s="1"/>
  <c r="G1236" i="3"/>
  <c r="H1236" i="3" s="1"/>
  <c r="G860" i="3"/>
  <c r="H860" i="3" s="1"/>
  <c r="G735" i="3"/>
  <c r="H735" i="3" s="1"/>
  <c r="G750" i="3"/>
  <c r="H750" i="3" s="1"/>
  <c r="G566" i="3"/>
  <c r="H566" i="3" s="1"/>
  <c r="G80" i="3"/>
  <c r="H80" i="3" s="1"/>
  <c r="G35" i="3"/>
  <c r="H35" i="3" s="1"/>
  <c r="G20" i="3"/>
  <c r="H20" i="3" s="1"/>
  <c r="N17" i="2"/>
  <c r="G1452" i="3"/>
  <c r="H1452" i="3" s="1"/>
  <c r="G1478" i="3"/>
  <c r="H1478" i="3" s="1"/>
  <c r="N98" i="2"/>
  <c r="G1554" i="3"/>
  <c r="H1554" i="3" s="1"/>
  <c r="G1636" i="3"/>
  <c r="H1636" i="3" s="1"/>
  <c r="G1361" i="3"/>
  <c r="H1361" i="3" s="1"/>
  <c r="G1280" i="3"/>
  <c r="H1280" i="3" s="1"/>
  <c r="G1220" i="3"/>
  <c r="H1220" i="3" s="1"/>
  <c r="G1191" i="3"/>
  <c r="H1191" i="3" s="1"/>
  <c r="G1143" i="3"/>
  <c r="H1143" i="3" s="1"/>
  <c r="G1079" i="3"/>
  <c r="H1079" i="3" s="1"/>
  <c r="G604" i="3"/>
  <c r="H604" i="3" s="1"/>
  <c r="G494" i="3"/>
  <c r="H494" i="3" s="1"/>
  <c r="G430" i="3"/>
  <c r="H430" i="3" s="1"/>
  <c r="G366" i="3"/>
  <c r="H366" i="3" s="1"/>
  <c r="N49" i="2"/>
  <c r="G1427" i="3"/>
  <c r="H1427" i="3" s="1"/>
  <c r="N85" i="2"/>
  <c r="P1549" i="3"/>
  <c r="L1549" i="3"/>
  <c r="L112" i="2"/>
  <c r="P908" i="3"/>
  <c r="L908" i="3"/>
  <c r="P1400" i="3"/>
  <c r="L1400" i="3"/>
  <c r="P830" i="3" l="1"/>
  <c r="L830" i="3"/>
  <c r="L67" i="3"/>
  <c r="P67" i="3"/>
  <c r="P352" i="3"/>
  <c r="L352" i="3"/>
  <c r="L528" i="3"/>
  <c r="P528" i="3"/>
  <c r="P737" i="3"/>
  <c r="L737" i="3"/>
  <c r="P937" i="3"/>
  <c r="L937" i="3"/>
  <c r="P1206" i="3"/>
  <c r="L1206" i="3"/>
  <c r="P1356" i="3"/>
  <c r="L1356" i="3"/>
  <c r="P1567" i="3"/>
  <c r="L1567" i="3"/>
  <c r="P53" i="3"/>
  <c r="L53" i="3"/>
  <c r="P273" i="3"/>
  <c r="L273" i="3"/>
  <c r="P433" i="3"/>
  <c r="L433" i="3"/>
  <c r="P723" i="3"/>
  <c r="L723" i="3"/>
  <c r="P806" i="3"/>
  <c r="L806" i="3"/>
  <c r="L893" i="3"/>
  <c r="P893" i="3"/>
  <c r="P1283" i="3"/>
  <c r="L1283" i="3"/>
  <c r="P1527" i="3"/>
  <c r="L1527" i="3"/>
  <c r="P587" i="3"/>
  <c r="L587" i="3"/>
  <c r="P57" i="3"/>
  <c r="L57" i="3"/>
  <c r="L133" i="3"/>
  <c r="P133" i="3"/>
  <c r="P164" i="3"/>
  <c r="L164" i="3"/>
  <c r="P214" i="3"/>
  <c r="L214" i="3"/>
  <c r="L570" i="3"/>
  <c r="P570" i="3"/>
  <c r="P788" i="3"/>
  <c r="L788" i="3"/>
  <c r="P971" i="3"/>
  <c r="L971" i="3"/>
  <c r="L1099" i="3"/>
  <c r="P1099" i="3"/>
  <c r="P1376" i="3"/>
  <c r="L1376" i="3"/>
  <c r="P215" i="3"/>
  <c r="L215" i="3"/>
  <c r="L940" i="3"/>
  <c r="P940" i="3"/>
  <c r="P689" i="3"/>
  <c r="L689" i="3"/>
  <c r="H648" i="3"/>
  <c r="E41" i="4" s="1"/>
  <c r="F41" i="4" s="1"/>
  <c r="H646" i="3"/>
  <c r="P636" i="3"/>
  <c r="L636" i="3"/>
  <c r="L57" i="2"/>
  <c r="P784" i="3"/>
  <c r="H795" i="3"/>
  <c r="L784" i="3"/>
  <c r="H797" i="3"/>
  <c r="E50" i="4" s="1"/>
  <c r="F50" i="4" s="1"/>
  <c r="L372" i="3"/>
  <c r="P372" i="3"/>
  <c r="P516" i="3"/>
  <c r="L516" i="3"/>
  <c r="L1149" i="3"/>
  <c r="P1149" i="3"/>
  <c r="P277" i="3"/>
  <c r="L277" i="3"/>
  <c r="P533" i="3"/>
  <c r="L533" i="3"/>
  <c r="P880" i="3"/>
  <c r="L880" i="3"/>
  <c r="P1086" i="3"/>
  <c r="L1086" i="3"/>
  <c r="P1182" i="3"/>
  <c r="L1182" i="3"/>
  <c r="P376" i="3"/>
  <c r="L376" i="3"/>
  <c r="L536" i="3"/>
  <c r="P536" i="3"/>
  <c r="P714" i="3"/>
  <c r="L714" i="3"/>
  <c r="P993" i="3"/>
  <c r="L993" i="3"/>
  <c r="P1287" i="3"/>
  <c r="L1287" i="3"/>
  <c r="H236" i="3"/>
  <c r="E15" i="4" s="1"/>
  <c r="F15" i="4" s="1"/>
  <c r="L226" i="3"/>
  <c r="H234" i="3"/>
  <c r="P226" i="3"/>
  <c r="L46" i="2"/>
  <c r="P925" i="3"/>
  <c r="L925" i="3"/>
  <c r="P1515" i="3"/>
  <c r="L1515" i="3"/>
  <c r="L25" i="3"/>
  <c r="P25" i="3"/>
  <c r="L19" i="2"/>
  <c r="P682" i="3"/>
  <c r="L682" i="3"/>
  <c r="P1647" i="3"/>
  <c r="L1647" i="3"/>
  <c r="P641" i="3"/>
  <c r="L641" i="3"/>
  <c r="L393" i="3"/>
  <c r="P393" i="3"/>
  <c r="P521" i="3"/>
  <c r="L521" i="3"/>
  <c r="P1138" i="3"/>
  <c r="L1138" i="3"/>
  <c r="P203" i="3"/>
  <c r="L203" i="3"/>
  <c r="P295" i="3"/>
  <c r="L295" i="3"/>
  <c r="P535" i="3"/>
  <c r="L535" i="3"/>
  <c r="P1040" i="3"/>
  <c r="L1040" i="3"/>
  <c r="P1381" i="3"/>
  <c r="L1381" i="3"/>
  <c r="P1552" i="3"/>
  <c r="L1552" i="3"/>
  <c r="P41" i="3"/>
  <c r="L41" i="3"/>
  <c r="P741" i="3"/>
  <c r="L741" i="3"/>
  <c r="P1525" i="3"/>
  <c r="L1525" i="3"/>
  <c r="P1302" i="3"/>
  <c r="L1302" i="3"/>
  <c r="P861" i="3"/>
  <c r="L861" i="3"/>
  <c r="P835" i="3"/>
  <c r="L835" i="3"/>
  <c r="P1344" i="3"/>
  <c r="L1344" i="3"/>
  <c r="P1594" i="3"/>
  <c r="L1594" i="3"/>
  <c r="P350" i="3"/>
  <c r="H364" i="3"/>
  <c r="E23" i="4" s="1"/>
  <c r="F23" i="4" s="1"/>
  <c r="L350" i="3"/>
  <c r="H362" i="3"/>
  <c r="P650" i="3"/>
  <c r="L650" i="3"/>
  <c r="H659" i="3"/>
  <c r="P967" i="3"/>
  <c r="H981" i="3"/>
  <c r="E61" i="4" s="1"/>
  <c r="F61" i="4" s="1"/>
  <c r="L967" i="3"/>
  <c r="H979" i="3"/>
  <c r="H1218" i="3"/>
  <c r="E76" i="4" s="1"/>
  <c r="F76" i="4" s="1"/>
  <c r="L1204" i="3"/>
  <c r="P1204" i="3"/>
  <c r="H1216" i="3"/>
  <c r="P651" i="3"/>
  <c r="L651" i="3"/>
  <c r="L415" i="3"/>
  <c r="P415" i="3"/>
  <c r="L1096" i="3"/>
  <c r="P1096" i="3"/>
  <c r="P920" i="3"/>
  <c r="L920" i="3"/>
  <c r="P1205" i="3"/>
  <c r="L1205" i="3"/>
  <c r="L188" i="3"/>
  <c r="P188" i="3"/>
  <c r="L43" i="2"/>
  <c r="P1010" i="3"/>
  <c r="L1010" i="3"/>
  <c r="L1247" i="3"/>
  <c r="P1247" i="3"/>
  <c r="P342" i="3"/>
  <c r="L342" i="3"/>
  <c r="P470" i="3"/>
  <c r="L470" i="3"/>
  <c r="P1135" i="3"/>
  <c r="L1135" i="3"/>
  <c r="L1212" i="3"/>
  <c r="P1212" i="3"/>
  <c r="L5" i="3"/>
  <c r="P5" i="3"/>
  <c r="L4" i="2"/>
  <c r="P144" i="3"/>
  <c r="L144" i="3"/>
  <c r="P240" i="3"/>
  <c r="L240" i="3"/>
  <c r="P416" i="3"/>
  <c r="L416" i="3"/>
  <c r="P652" i="3"/>
  <c r="L652" i="3"/>
  <c r="P921" i="3"/>
  <c r="L921" i="3"/>
  <c r="P1129" i="3"/>
  <c r="L1129" i="3"/>
  <c r="L1295" i="3"/>
  <c r="P1295" i="3"/>
  <c r="P83" i="3"/>
  <c r="L83" i="3"/>
  <c r="P196" i="3"/>
  <c r="L196" i="3"/>
  <c r="P417" i="3"/>
  <c r="L417" i="3"/>
  <c r="P738" i="3"/>
  <c r="L738" i="3"/>
  <c r="P938" i="3"/>
  <c r="L938" i="3"/>
  <c r="P1082" i="3"/>
  <c r="L1082" i="3"/>
  <c r="P1255" i="3"/>
  <c r="L1255" i="3"/>
  <c r="P1476" i="3"/>
  <c r="L1476" i="3"/>
  <c r="P617" i="3"/>
  <c r="L617" i="3"/>
  <c r="P727" i="3"/>
  <c r="L727" i="3"/>
  <c r="P794" i="3"/>
  <c r="L794" i="3"/>
  <c r="P1436" i="3"/>
  <c r="L1436" i="3"/>
  <c r="P24" i="3"/>
  <c r="L24" i="3"/>
  <c r="P370" i="3"/>
  <c r="L370" i="3"/>
  <c r="P402" i="3"/>
  <c r="L402" i="3"/>
  <c r="P466" i="3"/>
  <c r="L466" i="3"/>
  <c r="P807" i="3"/>
  <c r="L807" i="3"/>
  <c r="L1003" i="3"/>
  <c r="P1003" i="3"/>
  <c r="P1067" i="3"/>
  <c r="L1067" i="3"/>
  <c r="L1208" i="3"/>
  <c r="P1208" i="3"/>
  <c r="L1197" i="3"/>
  <c r="P1197" i="3"/>
  <c r="P243" i="3"/>
  <c r="L243" i="3"/>
  <c r="P924" i="3"/>
  <c r="L924" i="3"/>
  <c r="P1317" i="3"/>
  <c r="L1317" i="3"/>
  <c r="P99" i="3"/>
  <c r="H114" i="3"/>
  <c r="L99" i="3"/>
  <c r="H116" i="3"/>
  <c r="E8" i="4" s="1"/>
  <c r="F8" i="4" s="1"/>
  <c r="L27" i="2"/>
  <c r="H1557" i="3"/>
  <c r="P1543" i="3"/>
  <c r="L1543" i="3"/>
  <c r="P1264" i="3"/>
  <c r="H1276" i="3"/>
  <c r="L1264" i="3"/>
  <c r="L452" i="3"/>
  <c r="P452" i="3"/>
  <c r="P500" i="3"/>
  <c r="L500" i="3"/>
  <c r="P1117" i="3"/>
  <c r="L1117" i="3"/>
  <c r="P200" i="3"/>
  <c r="L200" i="3"/>
  <c r="P758" i="3"/>
  <c r="L758" i="3"/>
  <c r="L629" i="3"/>
  <c r="P629" i="3"/>
  <c r="P1166" i="3"/>
  <c r="L1166" i="3"/>
  <c r="P1273" i="3"/>
  <c r="L1273" i="3"/>
  <c r="P1520" i="3"/>
  <c r="L1520" i="3"/>
  <c r="H1541" i="3"/>
  <c r="E92" i="4" s="1"/>
  <c r="F92" i="4" s="1"/>
  <c r="H1539" i="3"/>
  <c r="P232" i="3"/>
  <c r="L232" i="3"/>
  <c r="P360" i="3"/>
  <c r="L360" i="3"/>
  <c r="P424" i="3"/>
  <c r="L424" i="3"/>
  <c r="P896" i="3"/>
  <c r="L896" i="3"/>
  <c r="P1105" i="3"/>
  <c r="L1105" i="3"/>
  <c r="P1258" i="3"/>
  <c r="L1258" i="3"/>
  <c r="H562" i="3"/>
  <c r="P554" i="3"/>
  <c r="L554" i="3"/>
  <c r="P45" i="3"/>
  <c r="L45" i="3"/>
  <c r="P1577" i="3"/>
  <c r="L1577" i="3"/>
  <c r="P140" i="3"/>
  <c r="L140" i="3"/>
  <c r="P843" i="3"/>
  <c r="L843" i="3"/>
  <c r="P1565" i="3"/>
  <c r="L1565" i="3"/>
  <c r="P1318" i="3"/>
  <c r="L1318" i="3"/>
  <c r="P233" i="3"/>
  <c r="L233" i="3"/>
  <c r="P505" i="3"/>
  <c r="L505" i="3"/>
  <c r="L1106" i="3"/>
  <c r="P1106" i="3"/>
  <c r="P359" i="3"/>
  <c r="L359" i="3"/>
  <c r="P375" i="3"/>
  <c r="L375" i="3"/>
  <c r="P673" i="3"/>
  <c r="L673" i="3"/>
  <c r="P1229" i="3"/>
  <c r="L1229" i="3"/>
  <c r="P149" i="3"/>
  <c r="L149" i="3"/>
  <c r="L299" i="3"/>
  <c r="P299" i="3"/>
  <c r="P435" i="3"/>
  <c r="L435" i="3"/>
  <c r="L21" i="3"/>
  <c r="P21" i="3"/>
  <c r="L18" i="2"/>
  <c r="P265" i="3"/>
  <c r="L265" i="3"/>
  <c r="P1220" i="3"/>
  <c r="H1234" i="3"/>
  <c r="E77" i="4" s="1"/>
  <c r="F77" i="4" s="1"/>
  <c r="L1220" i="3"/>
  <c r="H1232" i="3"/>
  <c r="P379" i="3"/>
  <c r="L379" i="3"/>
  <c r="P355" i="3"/>
  <c r="L355" i="3"/>
  <c r="L26" i="3"/>
  <c r="P26" i="3"/>
  <c r="L20" i="2"/>
  <c r="P1615" i="3"/>
  <c r="L1615" i="3"/>
  <c r="P335" i="3"/>
  <c r="L335" i="3"/>
  <c r="P1026" i="3"/>
  <c r="L1026" i="3"/>
  <c r="P975" i="3"/>
  <c r="L975" i="3"/>
  <c r="P606" i="3"/>
  <c r="L606" i="3"/>
  <c r="P369" i="3"/>
  <c r="L369" i="3"/>
  <c r="P720" i="3"/>
  <c r="H731" i="3"/>
  <c r="L720" i="3"/>
  <c r="L63" i="2"/>
  <c r="P608" i="3"/>
  <c r="L608" i="3"/>
  <c r="P865" i="3"/>
  <c r="L865" i="3"/>
  <c r="P404" i="3"/>
  <c r="L404" i="3"/>
  <c r="P656" i="3"/>
  <c r="L656" i="3"/>
  <c r="P595" i="3"/>
  <c r="L595" i="3"/>
  <c r="P740" i="3"/>
  <c r="L740" i="3"/>
  <c r="P409" i="3"/>
  <c r="L409" i="3"/>
  <c r="P279" i="3"/>
  <c r="L279" i="3"/>
  <c r="P1136" i="3"/>
  <c r="L1136" i="3"/>
  <c r="H1468" i="3"/>
  <c r="P1446" i="3"/>
  <c r="L1446" i="3"/>
  <c r="H1470" i="3"/>
  <c r="E89" i="4" s="1"/>
  <c r="F89" i="4" s="1"/>
  <c r="L94" i="2"/>
  <c r="P77" i="3"/>
  <c r="L77" i="3"/>
  <c r="P932" i="3"/>
  <c r="L932" i="3"/>
  <c r="P467" i="3"/>
  <c r="L467" i="3"/>
  <c r="P756" i="3"/>
  <c r="L756" i="3"/>
  <c r="P751" i="3"/>
  <c r="L751" i="3"/>
  <c r="P414" i="3"/>
  <c r="H426" i="3"/>
  <c r="L414" i="3"/>
  <c r="P249" i="3"/>
  <c r="L249" i="3"/>
  <c r="P1396" i="3"/>
  <c r="L1396" i="3"/>
  <c r="P105" i="3"/>
  <c r="L105" i="3"/>
  <c r="P1033" i="3"/>
  <c r="L1033" i="3"/>
  <c r="P257" i="3"/>
  <c r="L257" i="3"/>
  <c r="P1532" i="3"/>
  <c r="L1532" i="3"/>
  <c r="P558" i="3"/>
  <c r="L558" i="3"/>
  <c r="L1284" i="3"/>
  <c r="P1284" i="3"/>
  <c r="P1226" i="3"/>
  <c r="L1226" i="3"/>
  <c r="P1038" i="3"/>
  <c r="L1038" i="3"/>
  <c r="P520" i="3"/>
  <c r="L520" i="3"/>
  <c r="P680" i="3"/>
  <c r="H699" i="3"/>
  <c r="H701" i="3" s="1"/>
  <c r="E44" i="4" s="1"/>
  <c r="F44" i="4" s="1"/>
  <c r="L680" i="3"/>
  <c r="L58" i="2"/>
  <c r="P439" i="3"/>
  <c r="L439" i="3"/>
  <c r="P1108" i="3"/>
  <c r="L1108" i="3"/>
  <c r="P842" i="3"/>
  <c r="L842" i="3"/>
  <c r="P56" i="3"/>
  <c r="L56" i="3"/>
  <c r="P802" i="3"/>
  <c r="L802" i="3"/>
  <c r="P1545" i="3"/>
  <c r="L1545" i="3"/>
  <c r="P202" i="3"/>
  <c r="L202" i="3"/>
  <c r="P1320" i="3"/>
  <c r="L1320" i="3"/>
  <c r="L721" i="3"/>
  <c r="P721" i="3"/>
  <c r="P697" i="3"/>
  <c r="L697" i="3"/>
  <c r="P1492" i="3"/>
  <c r="L1492" i="3"/>
  <c r="P148" i="3"/>
  <c r="L148" i="3"/>
  <c r="L39" i="2"/>
  <c r="P238" i="3"/>
  <c r="H252" i="3"/>
  <c r="E16" i="4" s="1"/>
  <c r="F16" i="4" s="1"/>
  <c r="L238" i="3"/>
  <c r="H250" i="3"/>
  <c r="P919" i="3"/>
  <c r="H933" i="3"/>
  <c r="E58" i="4" s="1"/>
  <c r="F58" i="4" s="1"/>
  <c r="L919" i="3"/>
  <c r="H931" i="3"/>
  <c r="H1013" i="3"/>
  <c r="E63" i="4" s="1"/>
  <c r="F63" i="4" s="1"/>
  <c r="H1011" i="3"/>
  <c r="P999" i="3"/>
  <c r="L999" i="3"/>
  <c r="P1536" i="3"/>
  <c r="L1536" i="3"/>
  <c r="P4" i="3"/>
  <c r="L4" i="3"/>
  <c r="L3" i="2"/>
  <c r="P319" i="3"/>
  <c r="L319" i="3"/>
  <c r="P704" i="3"/>
  <c r="L704" i="3"/>
  <c r="L664" i="3"/>
  <c r="P664" i="3"/>
  <c r="P1128" i="3"/>
  <c r="L1128" i="3"/>
  <c r="P645" i="3"/>
  <c r="L645" i="3"/>
  <c r="P185" i="3"/>
  <c r="L185" i="3"/>
  <c r="P438" i="3"/>
  <c r="L438" i="3"/>
  <c r="P881" i="3"/>
  <c r="L881" i="3"/>
  <c r="L943" i="3"/>
  <c r="P943" i="3"/>
  <c r="P1432" i="3"/>
  <c r="L1432" i="3"/>
  <c r="L90" i="2"/>
  <c r="L1457" i="3"/>
  <c r="P1457" i="3"/>
  <c r="L103" i="2"/>
  <c r="P320" i="3"/>
  <c r="L320" i="3"/>
  <c r="P544" i="3"/>
  <c r="L544" i="3"/>
  <c r="P480" i="3"/>
  <c r="L480" i="3"/>
  <c r="P400" i="3"/>
  <c r="L400" i="3"/>
  <c r="P827" i="3"/>
  <c r="L827" i="3"/>
  <c r="P1097" i="3"/>
  <c r="L1097" i="3"/>
  <c r="P1113" i="3"/>
  <c r="L1113" i="3"/>
  <c r="P1501" i="3"/>
  <c r="L1501" i="3"/>
  <c r="P6" i="3"/>
  <c r="L6" i="3"/>
  <c r="L5" i="2"/>
  <c r="P353" i="3"/>
  <c r="L353" i="3"/>
  <c r="P401" i="3"/>
  <c r="L401" i="3"/>
  <c r="P607" i="3"/>
  <c r="L607" i="3"/>
  <c r="L1066" i="3"/>
  <c r="P1066" i="3"/>
  <c r="P1034" i="3"/>
  <c r="L1034" i="3"/>
  <c r="P1178" i="3"/>
  <c r="L1178" i="3"/>
  <c r="P1650" i="3"/>
  <c r="L1650" i="3"/>
  <c r="P1237" i="3"/>
  <c r="L1237" i="3"/>
  <c r="L776" i="3"/>
  <c r="P776" i="3"/>
  <c r="P855" i="3"/>
  <c r="L855" i="3"/>
  <c r="L1359" i="3"/>
  <c r="P1359" i="3"/>
  <c r="P69" i="3"/>
  <c r="L69" i="3"/>
  <c r="P354" i="3"/>
  <c r="L354" i="3"/>
  <c r="P290" i="3"/>
  <c r="L290" i="3"/>
  <c r="P450" i="3"/>
  <c r="L450" i="3"/>
  <c r="P640" i="3"/>
  <c r="L640" i="3"/>
  <c r="P1035" i="3"/>
  <c r="L1035" i="3"/>
  <c r="P1392" i="3"/>
  <c r="L1392" i="3"/>
  <c r="P1528" i="3"/>
  <c r="L1528" i="3"/>
  <c r="P198" i="3"/>
  <c r="L198" i="3"/>
  <c r="P1269" i="3"/>
  <c r="L1269" i="3"/>
  <c r="P1424" i="3"/>
  <c r="L1424" i="3"/>
  <c r="L82" i="2"/>
  <c r="P1618" i="3"/>
  <c r="L1618" i="3"/>
  <c r="P1551" i="3"/>
  <c r="L1551" i="3"/>
  <c r="P356" i="3"/>
  <c r="L356" i="3"/>
  <c r="P1005" i="3"/>
  <c r="L1005" i="3"/>
  <c r="P1379" i="3"/>
  <c r="L1379" i="3"/>
  <c r="P357" i="3"/>
  <c r="L357" i="3"/>
  <c r="P517" i="3"/>
  <c r="L517" i="3"/>
  <c r="L990" i="3"/>
  <c r="P990" i="3"/>
  <c r="P1134" i="3"/>
  <c r="L1134" i="3"/>
  <c r="L1378" i="3"/>
  <c r="P1378" i="3"/>
  <c r="P1593" i="3"/>
  <c r="L1593" i="3"/>
  <c r="P14" i="3"/>
  <c r="L14" i="3"/>
  <c r="L13" i="2"/>
  <c r="P187" i="3"/>
  <c r="L187" i="3"/>
  <c r="P408" i="3"/>
  <c r="L408" i="3"/>
  <c r="P945" i="3"/>
  <c r="L945" i="3"/>
  <c r="P1073" i="3"/>
  <c r="L1073" i="3"/>
  <c r="P1399" i="3"/>
  <c r="L1399" i="3"/>
  <c r="L890" i="3"/>
  <c r="H898" i="3"/>
  <c r="P890" i="3"/>
  <c r="P599" i="3"/>
  <c r="L599" i="3"/>
  <c r="L1599" i="3"/>
  <c r="P1599" i="3"/>
  <c r="P621" i="3"/>
  <c r="L621" i="3"/>
  <c r="P1241" i="3"/>
  <c r="L1241" i="3"/>
  <c r="L1583" i="3"/>
  <c r="P1583" i="3"/>
  <c r="H1329" i="3"/>
  <c r="E83" i="4" s="1"/>
  <c r="F83" i="4" s="1"/>
  <c r="H1327" i="3"/>
  <c r="P1310" i="3"/>
  <c r="L1310" i="3"/>
  <c r="P1454" i="3"/>
  <c r="L1454" i="3"/>
  <c r="L100" i="2"/>
  <c r="P457" i="3"/>
  <c r="L457" i="3"/>
  <c r="P611" i="3"/>
  <c r="L611" i="3"/>
  <c r="P1170" i="3"/>
  <c r="L1170" i="3"/>
  <c r="P407" i="3"/>
  <c r="L407" i="3"/>
  <c r="P762" i="3"/>
  <c r="L762" i="3"/>
  <c r="P1184" i="3"/>
  <c r="L1184" i="3"/>
  <c r="L992" i="3"/>
  <c r="P992" i="3"/>
  <c r="P850" i="3"/>
  <c r="L850" i="3"/>
  <c r="P1483" i="3"/>
  <c r="L1483" i="3"/>
  <c r="P124" i="3"/>
  <c r="L124" i="3"/>
  <c r="L212" i="3"/>
  <c r="P212" i="3"/>
  <c r="P568" i="3"/>
  <c r="L568" i="3"/>
  <c r="P496" i="3"/>
  <c r="L496" i="3"/>
  <c r="L771" i="3"/>
  <c r="P771" i="3"/>
  <c r="P847" i="3"/>
  <c r="L847" i="3"/>
  <c r="P1222" i="3"/>
  <c r="L1222" i="3"/>
  <c r="P1546" i="3"/>
  <c r="L1546" i="3"/>
  <c r="P106" i="3"/>
  <c r="L106" i="3"/>
  <c r="P241" i="3"/>
  <c r="L241" i="3"/>
  <c r="P497" i="3"/>
  <c r="L497" i="3"/>
  <c r="P653" i="3"/>
  <c r="L653" i="3"/>
  <c r="L848" i="3"/>
  <c r="P848" i="3"/>
  <c r="P1130" i="3"/>
  <c r="L1130" i="3"/>
  <c r="P1338" i="3"/>
  <c r="L1338" i="3"/>
  <c r="P1611" i="3"/>
  <c r="L1611" i="3"/>
  <c r="P1294" i="3"/>
  <c r="L1294" i="3"/>
  <c r="P791" i="3"/>
  <c r="L791" i="3"/>
  <c r="L816" i="3"/>
  <c r="P816" i="3"/>
  <c r="P1616" i="3"/>
  <c r="L1616" i="3"/>
  <c r="P84" i="3"/>
  <c r="L84" i="3"/>
  <c r="P434" i="3"/>
  <c r="L434" i="3"/>
  <c r="P530" i="3"/>
  <c r="L530" i="3"/>
  <c r="P546" i="3"/>
  <c r="L546" i="3"/>
  <c r="P849" i="3"/>
  <c r="L849" i="3"/>
  <c r="P1131" i="3"/>
  <c r="L1131" i="3"/>
  <c r="P1268" i="3"/>
  <c r="L1268" i="3"/>
  <c r="P1503" i="3"/>
  <c r="L1503" i="3"/>
  <c r="P577" i="3"/>
  <c r="L577" i="3"/>
  <c r="P1298" i="3"/>
  <c r="L1298" i="3"/>
  <c r="H1641" i="3"/>
  <c r="E97" i="4" s="1"/>
  <c r="F97" i="4" s="1"/>
  <c r="H1639" i="3"/>
  <c r="P1625" i="3"/>
  <c r="L1625" i="3"/>
  <c r="P1633" i="3"/>
  <c r="L1633" i="3"/>
  <c r="P1037" i="3"/>
  <c r="L1037" i="3"/>
  <c r="P1085" i="3"/>
  <c r="L1085" i="3"/>
  <c r="L9" i="3"/>
  <c r="P9" i="3"/>
  <c r="L8" i="2"/>
  <c r="L184" i="3"/>
  <c r="P184" i="3"/>
  <c r="P709" i="3"/>
  <c r="L709" i="3"/>
  <c r="P1150" i="3"/>
  <c r="L1150" i="3"/>
  <c r="P1395" i="3"/>
  <c r="L1395" i="3"/>
  <c r="H1661" i="3"/>
  <c r="P1643" i="3"/>
  <c r="L1643" i="3"/>
  <c r="H1663" i="3"/>
  <c r="E98" i="4" s="1"/>
  <c r="F98" i="4" s="1"/>
  <c r="P171" i="3"/>
  <c r="L171" i="3"/>
  <c r="P392" i="3"/>
  <c r="L392" i="3"/>
  <c r="P504" i="3"/>
  <c r="L504" i="3"/>
  <c r="P1089" i="3"/>
  <c r="L1089" i="3"/>
  <c r="P1169" i="3"/>
  <c r="L1169" i="3"/>
  <c r="L1382" i="3"/>
  <c r="P1382" i="3"/>
  <c r="P745" i="3"/>
  <c r="L745" i="3"/>
  <c r="P1660" i="3"/>
  <c r="L1660" i="3"/>
  <c r="P591" i="3"/>
  <c r="L591" i="3"/>
  <c r="P1352" i="3"/>
  <c r="L1352" i="3"/>
  <c r="P1544" i="3"/>
  <c r="L1544" i="3"/>
  <c r="P1435" i="3"/>
  <c r="L1435" i="3"/>
  <c r="P1480" i="3"/>
  <c r="L1480" i="3"/>
  <c r="P549" i="3"/>
  <c r="L549" i="3"/>
  <c r="P715" i="3"/>
  <c r="L715" i="3"/>
  <c r="L1288" i="3"/>
  <c r="P1288" i="3"/>
  <c r="P343" i="3"/>
  <c r="L343" i="3"/>
  <c r="P487" i="3"/>
  <c r="L487" i="3"/>
  <c r="P895" i="3"/>
  <c r="L895" i="3"/>
  <c r="P1088" i="3"/>
  <c r="L1088" i="3"/>
  <c r="P810" i="3"/>
  <c r="L810" i="3"/>
  <c r="P80" i="3"/>
  <c r="H95" i="3"/>
  <c r="L80" i="3"/>
  <c r="H97" i="3"/>
  <c r="E7" i="4" s="1"/>
  <c r="F7" i="4" s="1"/>
  <c r="P818" i="3"/>
  <c r="L818" i="3"/>
  <c r="P259" i="3"/>
  <c r="L259" i="3"/>
  <c r="L47" i="2"/>
  <c r="P1325" i="3"/>
  <c r="L1325" i="3"/>
  <c r="H995" i="3"/>
  <c r="H997" i="3" s="1"/>
  <c r="E62" i="4" s="1"/>
  <c r="F62" i="4" s="1"/>
  <c r="P983" i="3"/>
  <c r="L983" i="3"/>
  <c r="L1016" i="3"/>
  <c r="P1016" i="3"/>
  <c r="P1007" i="3"/>
  <c r="L1007" i="3"/>
  <c r="H584" i="3"/>
  <c r="E37" i="4" s="1"/>
  <c r="F37" i="4" s="1"/>
  <c r="L566" i="3"/>
  <c r="H582" i="3"/>
  <c r="P566" i="3"/>
  <c r="P857" i="3"/>
  <c r="L857" i="3"/>
  <c r="P1225" i="3"/>
  <c r="L1225" i="3"/>
  <c r="P683" i="3"/>
  <c r="L683" i="3"/>
  <c r="P1441" i="3"/>
  <c r="L1441" i="3"/>
  <c r="L93" i="2"/>
  <c r="P902" i="3"/>
  <c r="L902" i="3"/>
  <c r="H917" i="3"/>
  <c r="E57" i="4" s="1"/>
  <c r="F57" i="4" s="1"/>
  <c r="H915" i="3"/>
  <c r="P874" i="3"/>
  <c r="L874" i="3"/>
  <c r="L1144" i="3"/>
  <c r="P1144" i="3"/>
  <c r="P246" i="3"/>
  <c r="L246" i="3"/>
  <c r="P179" i="3"/>
  <c r="L179" i="3"/>
  <c r="P1238" i="3"/>
  <c r="L1238" i="3"/>
  <c r="P529" i="3"/>
  <c r="L529" i="3"/>
  <c r="P954" i="3"/>
  <c r="L954" i="3"/>
  <c r="P1375" i="3"/>
  <c r="L1375" i="3"/>
  <c r="L779" i="3"/>
  <c r="P779" i="3"/>
  <c r="P306" i="3"/>
  <c r="L306" i="3"/>
  <c r="P1408" i="3"/>
  <c r="L1408" i="3"/>
  <c r="P1252" i="3"/>
  <c r="H1262" i="3"/>
  <c r="E79" i="4" s="1"/>
  <c r="F79" i="4" s="1"/>
  <c r="L1252" i="3"/>
  <c r="H1260" i="3"/>
  <c r="P644" i="3"/>
  <c r="L644" i="3"/>
  <c r="H1291" i="3"/>
  <c r="E81" i="4" s="1"/>
  <c r="F81" i="4" s="1"/>
  <c r="H1289" i="3"/>
  <c r="L1280" i="3"/>
  <c r="P1280" i="3"/>
  <c r="P700" i="3"/>
  <c r="L700" i="3"/>
  <c r="P1261" i="3"/>
  <c r="L1261" i="3"/>
  <c r="L1361" i="3"/>
  <c r="P1361" i="3"/>
  <c r="P796" i="3"/>
  <c r="L796" i="3"/>
  <c r="P1084" i="3"/>
  <c r="L1084" i="3"/>
  <c r="P1500" i="3"/>
  <c r="L1500" i="3"/>
  <c r="P778" i="3"/>
  <c r="L778" i="3"/>
  <c r="P227" i="3"/>
  <c r="L227" i="3"/>
  <c r="P1032" i="3"/>
  <c r="L1032" i="3"/>
  <c r="L406" i="3"/>
  <c r="P406" i="3"/>
  <c r="P512" i="3"/>
  <c r="L512" i="3"/>
  <c r="P1628" i="3"/>
  <c r="L1628" i="3"/>
  <c r="P513" i="3"/>
  <c r="L513" i="3"/>
  <c r="P1162" i="3"/>
  <c r="L1162" i="3"/>
  <c r="P1547" i="3"/>
  <c r="L1547" i="3"/>
  <c r="P836" i="3"/>
  <c r="L836" i="3"/>
  <c r="P1573" i="3"/>
  <c r="L1573" i="3"/>
  <c r="P1574" i="3"/>
  <c r="L1574" i="3"/>
  <c r="P261" i="3"/>
  <c r="L261" i="3"/>
  <c r="P1211" i="3"/>
  <c r="L1211" i="3"/>
  <c r="P961" i="3"/>
  <c r="L961" i="3"/>
  <c r="L730" i="3"/>
  <c r="P730" i="3"/>
  <c r="L1409" i="3"/>
  <c r="P1409" i="3"/>
  <c r="P1186" i="3"/>
  <c r="L1186" i="3"/>
  <c r="P503" i="3"/>
  <c r="L503" i="3"/>
  <c r="P860" i="3"/>
  <c r="L860" i="3"/>
  <c r="H871" i="3"/>
  <c r="E54" i="4" s="1"/>
  <c r="F54" i="4" s="1"/>
  <c r="H869" i="3"/>
  <c r="P899" i="3"/>
  <c r="L899" i="3"/>
  <c r="P696" i="3"/>
  <c r="L696" i="3"/>
  <c r="L62" i="2"/>
  <c r="P677" i="3"/>
  <c r="L677" i="3"/>
  <c r="P1443" i="3"/>
  <c r="L1443" i="3"/>
  <c r="P681" i="3"/>
  <c r="L681" i="3"/>
  <c r="L775" i="3"/>
  <c r="P775" i="3"/>
  <c r="P609" i="3"/>
  <c r="L609" i="3"/>
  <c r="P1555" i="3"/>
  <c r="L1555" i="3"/>
  <c r="H474" i="3"/>
  <c r="H476" i="3" s="1"/>
  <c r="E30" i="4" s="1"/>
  <c r="F30" i="4" s="1"/>
  <c r="P462" i="3"/>
  <c r="L462" i="3"/>
  <c r="P51" i="3"/>
  <c r="L51" i="3"/>
  <c r="P1176" i="3"/>
  <c r="L1176" i="3"/>
  <c r="P946" i="3"/>
  <c r="L946" i="3"/>
  <c r="P11" i="3"/>
  <c r="L11" i="3"/>
  <c r="L10" i="2"/>
  <c r="P1151" i="3"/>
  <c r="L1151" i="3"/>
  <c r="P1324" i="3"/>
  <c r="L1324" i="3"/>
  <c r="P507" i="3"/>
  <c r="L507" i="3"/>
  <c r="L633" i="3"/>
  <c r="P633" i="3"/>
  <c r="P870" i="3"/>
  <c r="L870" i="3"/>
  <c r="P1044" i="3"/>
  <c r="L1044" i="3"/>
  <c r="P1517" i="3"/>
  <c r="L1517" i="3"/>
  <c r="P1323" i="3"/>
  <c r="L1323" i="3"/>
  <c r="L66" i="2"/>
  <c r="P307" i="3"/>
  <c r="L307" i="3"/>
  <c r="L1020" i="3"/>
  <c r="P1020" i="3"/>
  <c r="P1180" i="3"/>
  <c r="L1180" i="3"/>
  <c r="P822" i="3"/>
  <c r="L822" i="3"/>
  <c r="P1423" i="3"/>
  <c r="L1423" i="3"/>
  <c r="L81" i="2"/>
  <c r="L71" i="3"/>
  <c r="P71" i="3"/>
  <c r="P790" i="3"/>
  <c r="L790" i="3"/>
  <c r="P1609" i="3"/>
  <c r="L1609" i="3"/>
  <c r="L1426" i="3"/>
  <c r="P1426" i="3"/>
  <c r="L84" i="2"/>
  <c r="L578" i="3"/>
  <c r="P578" i="3"/>
  <c r="L1285" i="3"/>
  <c r="P1285" i="3"/>
  <c r="P815" i="3"/>
  <c r="L815" i="3"/>
  <c r="P1659" i="3"/>
  <c r="L1659" i="3"/>
  <c r="H332" i="3"/>
  <c r="E21" i="4" s="1"/>
  <c r="F21" i="4" s="1"/>
  <c r="L318" i="3"/>
  <c r="H330" i="3"/>
  <c r="P318" i="3"/>
  <c r="P446" i="3"/>
  <c r="H460" i="3"/>
  <c r="E29" i="4" s="1"/>
  <c r="F29" i="4" s="1"/>
  <c r="L446" i="3"/>
  <c r="H458" i="3"/>
  <c r="H947" i="3"/>
  <c r="H949" i="3"/>
  <c r="E59" i="4" s="1"/>
  <c r="F59" i="4" s="1"/>
  <c r="L935" i="3"/>
  <c r="P935" i="3"/>
  <c r="P1658" i="3"/>
  <c r="L1658" i="3"/>
  <c r="P66" i="3"/>
  <c r="L66" i="3"/>
  <c r="L383" i="3"/>
  <c r="P383" i="3"/>
  <c r="P463" i="3"/>
  <c r="L463" i="3"/>
  <c r="P984" i="3"/>
  <c r="L984" i="3"/>
  <c r="P1112" i="3"/>
  <c r="L1112" i="3"/>
  <c r="P1074" i="3"/>
  <c r="L1074" i="3"/>
  <c r="P1322" i="3"/>
  <c r="L1322" i="3"/>
  <c r="P168" i="3"/>
  <c r="L168" i="3"/>
  <c r="P502" i="3"/>
  <c r="L502" i="3"/>
  <c r="P760" i="3"/>
  <c r="L760" i="3"/>
  <c r="P1380" i="3"/>
  <c r="L1380" i="3"/>
  <c r="G99" i="4"/>
  <c r="H2" i="4"/>
  <c r="P162" i="3"/>
  <c r="L162" i="3"/>
  <c r="P304" i="3"/>
  <c r="L304" i="3"/>
  <c r="P464" i="3"/>
  <c r="L464" i="3"/>
  <c r="P588" i="3"/>
  <c r="L588" i="3"/>
  <c r="P969" i="3"/>
  <c r="L969" i="3"/>
  <c r="L985" i="3"/>
  <c r="P985" i="3"/>
  <c r="P1314" i="3"/>
  <c r="L1314" i="3"/>
  <c r="P1390" i="3"/>
  <c r="L1390" i="3"/>
  <c r="L125" i="3"/>
  <c r="P125" i="3"/>
  <c r="P337" i="3"/>
  <c r="L337" i="3"/>
  <c r="P589" i="3"/>
  <c r="L589" i="3"/>
  <c r="P753" i="3"/>
  <c r="L753" i="3"/>
  <c r="L986" i="3"/>
  <c r="P986" i="3"/>
  <c r="P1114" i="3"/>
  <c r="L1114" i="3"/>
  <c r="L1239" i="3"/>
  <c r="P1239" i="3"/>
  <c r="L1568" i="3"/>
  <c r="P1568" i="3"/>
  <c r="L1281" i="3"/>
  <c r="P1281" i="3"/>
  <c r="P625" i="3"/>
  <c r="L625" i="3"/>
  <c r="P1345" i="3"/>
  <c r="L1345" i="3"/>
  <c r="P1654" i="3"/>
  <c r="L1654" i="3"/>
  <c r="P146" i="3"/>
  <c r="L146" i="3"/>
  <c r="P242" i="3"/>
  <c r="L242" i="3"/>
  <c r="P514" i="3"/>
  <c r="L514" i="3"/>
  <c r="P724" i="3"/>
  <c r="L724" i="3"/>
  <c r="P1051" i="3"/>
  <c r="L1051" i="3"/>
  <c r="L939" i="3"/>
  <c r="P939" i="3"/>
  <c r="P1358" i="3"/>
  <c r="L1358" i="3"/>
  <c r="P1651" i="3"/>
  <c r="L1651" i="3"/>
  <c r="P757" i="3"/>
  <c r="L757" i="3"/>
  <c r="P1319" i="3"/>
  <c r="L1319" i="3"/>
  <c r="P1656" i="3"/>
  <c r="L1656" i="3"/>
  <c r="P340" i="3"/>
  <c r="L340" i="3"/>
  <c r="P1101" i="3"/>
  <c r="L1101" i="3"/>
  <c r="P167" i="3"/>
  <c r="L167" i="3"/>
  <c r="P245" i="3"/>
  <c r="L245" i="3"/>
  <c r="P405" i="3"/>
  <c r="L405" i="3"/>
  <c r="P909" i="3"/>
  <c r="L909" i="3"/>
  <c r="L1022" i="3"/>
  <c r="P1022" i="3"/>
  <c r="P1604" i="3"/>
  <c r="L1604" i="3"/>
  <c r="H1621" i="3"/>
  <c r="P548" i="3"/>
  <c r="L548" i="3"/>
  <c r="P248" i="3"/>
  <c r="L248" i="3"/>
  <c r="P674" i="3"/>
  <c r="L674" i="3"/>
  <c r="P1041" i="3"/>
  <c r="L1041" i="3"/>
  <c r="L1153" i="3"/>
  <c r="P1153" i="3"/>
  <c r="P12" i="3"/>
  <c r="L12" i="3"/>
  <c r="L11" i="2"/>
  <c r="P698" i="3"/>
  <c r="L698" i="3"/>
  <c r="P571" i="3"/>
  <c r="L571" i="3"/>
  <c r="P1312" i="3"/>
  <c r="L1312" i="3"/>
  <c r="P658" i="3"/>
  <c r="L658" i="3"/>
  <c r="P764" i="3"/>
  <c r="L764" i="3"/>
  <c r="P1215" i="3"/>
  <c r="L1215" i="3"/>
  <c r="L13" i="3"/>
  <c r="P13" i="3"/>
  <c r="L12" i="2"/>
  <c r="L391" i="3"/>
  <c r="P391" i="3"/>
  <c r="P713" i="3"/>
  <c r="L713" i="3"/>
  <c r="P960" i="3"/>
  <c r="L960" i="3"/>
  <c r="L1072" i="3"/>
  <c r="P1072" i="3"/>
  <c r="L1360" i="3"/>
  <c r="P1360" i="3"/>
  <c r="P693" i="3"/>
  <c r="L693" i="3"/>
  <c r="L59" i="2"/>
  <c r="P1533" i="3"/>
  <c r="L1533" i="3"/>
  <c r="P551" i="3"/>
  <c r="L551" i="3"/>
  <c r="P1385" i="3"/>
  <c r="L1385" i="3"/>
  <c r="P100" i="3"/>
  <c r="L100" i="3"/>
  <c r="L28" i="2"/>
  <c r="P1242" i="3"/>
  <c r="L1242" i="3"/>
  <c r="L29" i="3"/>
  <c r="L23" i="2"/>
  <c r="P29" i="3"/>
  <c r="H1171" i="3"/>
  <c r="H1173" i="3" s="1"/>
  <c r="E73" i="4" s="1"/>
  <c r="F73" i="4" s="1"/>
  <c r="L1159" i="3"/>
  <c r="P1159" i="3"/>
  <c r="P770" i="3"/>
  <c r="L770" i="3"/>
  <c r="P1048" i="3"/>
  <c r="L1048" i="3"/>
  <c r="P358" i="3"/>
  <c r="L358" i="3"/>
  <c r="P887" i="3"/>
  <c r="L887" i="3"/>
  <c r="P499" i="3"/>
  <c r="L499" i="3"/>
  <c r="P1419" i="3"/>
  <c r="L1419" i="3"/>
  <c r="L77" i="2"/>
  <c r="P44" i="3"/>
  <c r="L44" i="3"/>
  <c r="P254" i="3"/>
  <c r="H268" i="3"/>
  <c r="E17" i="4" s="1"/>
  <c r="F17" i="4" s="1"/>
  <c r="L254" i="3"/>
  <c r="H266" i="3"/>
  <c r="P194" i="3"/>
  <c r="L194" i="3"/>
  <c r="P1259" i="3"/>
  <c r="L1259" i="3"/>
  <c r="P1228" i="3"/>
  <c r="L1228" i="3"/>
  <c r="P82" i="3"/>
  <c r="L82" i="3"/>
  <c r="P875" i="3"/>
  <c r="L875" i="3"/>
  <c r="P567" i="3"/>
  <c r="L567" i="3"/>
  <c r="L50" i="2"/>
  <c r="P54" i="3"/>
  <c r="L54" i="3"/>
  <c r="P597" i="3"/>
  <c r="L597" i="3"/>
  <c r="L56" i="2"/>
  <c r="P878" i="3"/>
  <c r="L878" i="3"/>
  <c r="P1210" i="3"/>
  <c r="L1210" i="3"/>
  <c r="P579" i="3"/>
  <c r="L579" i="3"/>
  <c r="P1300" i="3"/>
  <c r="L1300" i="3"/>
  <c r="P1299" i="3"/>
  <c r="L1299" i="3"/>
  <c r="P690" i="3"/>
  <c r="L690" i="3"/>
  <c r="P1122" i="3"/>
  <c r="L1122" i="3"/>
  <c r="P1575" i="3"/>
  <c r="L1575" i="3"/>
  <c r="P283" i="3"/>
  <c r="L283" i="3"/>
  <c r="L948" i="3"/>
  <c r="P948" i="3"/>
  <c r="P1662" i="3"/>
  <c r="L1662" i="3"/>
  <c r="P483" i="3"/>
  <c r="L483" i="3"/>
  <c r="B4" i="5"/>
  <c r="L17" i="3"/>
  <c r="P17" i="3"/>
  <c r="L16" i="2"/>
  <c r="L419" i="3"/>
  <c r="P419" i="3"/>
  <c r="P141" i="3"/>
  <c r="L141" i="3"/>
  <c r="P1265" i="3"/>
  <c r="L1265" i="3"/>
  <c r="P39" i="3"/>
  <c r="L39" i="3"/>
  <c r="P955" i="3"/>
  <c r="L955" i="3"/>
  <c r="H858" i="3"/>
  <c r="E53" i="4" s="1"/>
  <c r="F53" i="4" s="1"/>
  <c r="P841" i="3"/>
  <c r="H856" i="3"/>
  <c r="L841" i="3"/>
  <c r="P942" i="3"/>
  <c r="L942" i="3"/>
  <c r="P328" i="3"/>
  <c r="L328" i="3"/>
  <c r="P1304" i="3"/>
  <c r="L1304" i="3"/>
  <c r="L1538" i="3"/>
  <c r="P1538" i="3"/>
  <c r="L1626" i="3"/>
  <c r="P1626" i="3"/>
  <c r="P489" i="3"/>
  <c r="L489" i="3"/>
  <c r="P1554" i="3"/>
  <c r="L1554" i="3"/>
  <c r="L395" i="3"/>
  <c r="P395" i="3"/>
  <c r="P1570" i="3"/>
  <c r="L1570" i="3"/>
  <c r="L113" i="2"/>
  <c r="P1127" i="3"/>
  <c r="H1141" i="3"/>
  <c r="E71" i="4" s="1"/>
  <c r="F71" i="4" s="1"/>
  <c r="L1127" i="3"/>
  <c r="H1139" i="3"/>
  <c r="P479" i="3"/>
  <c r="L479" i="3"/>
  <c r="P694" i="3"/>
  <c r="L694" i="3"/>
  <c r="L60" i="2"/>
  <c r="P390" i="3"/>
  <c r="L390" i="3"/>
  <c r="P711" i="3"/>
  <c r="L711" i="3"/>
  <c r="P1293" i="3"/>
  <c r="L1293" i="3"/>
  <c r="H1306" i="3"/>
  <c r="P331" i="3"/>
  <c r="L331" i="3"/>
  <c r="L427" i="3"/>
  <c r="P427" i="3"/>
  <c r="P430" i="3"/>
  <c r="H442" i="3"/>
  <c r="L430" i="3"/>
  <c r="P1437" i="3"/>
  <c r="L1437" i="3"/>
  <c r="P475" i="3"/>
  <c r="L475" i="3"/>
  <c r="P838" i="3"/>
  <c r="L838" i="3"/>
  <c r="P1140" i="3"/>
  <c r="L1140" i="3"/>
  <c r="P403" i="3"/>
  <c r="L403" i="3"/>
  <c r="P531" i="3"/>
  <c r="L531" i="3"/>
  <c r="P1052" i="3"/>
  <c r="L1052" i="3"/>
  <c r="P1332" i="3"/>
  <c r="L1332" i="3"/>
  <c r="L121" i="3"/>
  <c r="P121" i="3"/>
  <c r="L824" i="3"/>
  <c r="P824" i="3"/>
  <c r="P1627" i="3"/>
  <c r="L1627" i="3"/>
  <c r="L1461" i="3"/>
  <c r="P1461" i="3"/>
  <c r="P655" i="3"/>
  <c r="L655" i="3"/>
  <c r="L1397" i="3"/>
  <c r="P1397" i="3"/>
  <c r="P112" i="3"/>
  <c r="L112" i="3"/>
  <c r="P854" i="3"/>
  <c r="L854" i="3"/>
  <c r="P1619" i="3"/>
  <c r="L1619" i="3"/>
  <c r="P1331" i="3"/>
  <c r="L1331" i="3"/>
  <c r="H1346" i="3"/>
  <c r="H1348" i="3"/>
  <c r="E84" i="4" s="1"/>
  <c r="F84" i="4" s="1"/>
  <c r="L67" i="2"/>
  <c r="P270" i="3"/>
  <c r="H284" i="3"/>
  <c r="E18" i="4" s="1"/>
  <c r="F18" i="4" s="1"/>
  <c r="L270" i="3"/>
  <c r="H282" i="3"/>
  <c r="H222" i="3"/>
  <c r="P210" i="3"/>
  <c r="H224" i="3"/>
  <c r="E14" i="4" s="1"/>
  <c r="F14" i="4" s="1"/>
  <c r="L210" i="3"/>
  <c r="P703" i="3"/>
  <c r="L703" i="3"/>
  <c r="H718" i="3"/>
  <c r="E45" i="4" s="1"/>
  <c r="F45" i="4" s="1"/>
  <c r="H716" i="3"/>
  <c r="P1047" i="3"/>
  <c r="H1061" i="3"/>
  <c r="E66" i="4" s="1"/>
  <c r="F66" i="4" s="1"/>
  <c r="L1047" i="3"/>
  <c r="H1059" i="3"/>
  <c r="P1553" i="3"/>
  <c r="L1553" i="3"/>
  <c r="P211" i="3"/>
  <c r="L211" i="3"/>
  <c r="P287" i="3"/>
  <c r="L287" i="3"/>
  <c r="P555" i="3"/>
  <c r="L555" i="3"/>
  <c r="P903" i="3"/>
  <c r="L903" i="3"/>
  <c r="P1389" i="3"/>
  <c r="L1389" i="3"/>
  <c r="P205" i="3"/>
  <c r="L205" i="3"/>
  <c r="P868" i="3"/>
  <c r="L868" i="3"/>
  <c r="P278" i="3"/>
  <c r="L278" i="3"/>
  <c r="L326" i="3"/>
  <c r="P326" i="3"/>
  <c r="P1039" i="3"/>
  <c r="L1039" i="3"/>
  <c r="P1023" i="3"/>
  <c r="L1023" i="3"/>
  <c r="P1271" i="3"/>
  <c r="L1271" i="3"/>
  <c r="L65" i="2"/>
  <c r="P195" i="3"/>
  <c r="L195" i="3"/>
  <c r="P288" i="3"/>
  <c r="L288" i="3"/>
  <c r="P556" i="3"/>
  <c r="L556" i="3"/>
  <c r="P665" i="3"/>
  <c r="L665" i="3"/>
  <c r="P1017" i="3"/>
  <c r="L1017" i="3"/>
  <c r="P862" i="3"/>
  <c r="L862" i="3"/>
  <c r="L1406" i="3"/>
  <c r="P1406" i="3"/>
  <c r="L1526" i="3"/>
  <c r="P1526" i="3"/>
  <c r="L180" i="3"/>
  <c r="P180" i="3"/>
  <c r="P229" i="3"/>
  <c r="L229" i="3"/>
  <c r="P481" i="3"/>
  <c r="L481" i="3"/>
  <c r="L772" i="3"/>
  <c r="P772" i="3"/>
  <c r="P863" i="3"/>
  <c r="L863" i="3"/>
  <c r="P1267" i="3"/>
  <c r="L1267" i="3"/>
  <c r="P1391" i="3"/>
  <c r="L1391" i="3"/>
  <c r="P1629" i="3"/>
  <c r="L1629" i="3"/>
  <c r="P1192" i="3"/>
  <c r="L1192" i="3"/>
  <c r="L1638" i="3"/>
  <c r="P1638" i="3"/>
  <c r="P197" i="3"/>
  <c r="L197" i="3"/>
  <c r="P338" i="3"/>
  <c r="L338" i="3"/>
  <c r="P654" i="3"/>
  <c r="L654" i="3"/>
  <c r="P923" i="3"/>
  <c r="L923" i="3"/>
  <c r="P1083" i="3"/>
  <c r="L1083" i="3"/>
  <c r="P1195" i="3"/>
  <c r="L1195" i="3"/>
  <c r="P1256" i="3"/>
  <c r="L1256" i="3"/>
  <c r="P1612" i="3"/>
  <c r="L1612" i="3"/>
  <c r="L626" i="3"/>
  <c r="P626" i="3"/>
  <c r="P1393" i="3"/>
  <c r="L1393" i="3"/>
  <c r="P1428" i="3"/>
  <c r="L1428" i="3"/>
  <c r="L86" i="2"/>
  <c r="H63" i="3"/>
  <c r="E5" i="4" s="1"/>
  <c r="F5" i="4" s="1"/>
  <c r="P50" i="3"/>
  <c r="H61" i="3"/>
  <c r="L50" i="3"/>
  <c r="L25" i="2"/>
  <c r="P324" i="3"/>
  <c r="L324" i="3"/>
  <c r="P484" i="3"/>
  <c r="L484" i="3"/>
  <c r="L989" i="3"/>
  <c r="P989" i="3"/>
  <c r="P88" i="3"/>
  <c r="L88" i="3"/>
  <c r="P341" i="3"/>
  <c r="L341" i="3"/>
  <c r="P501" i="3"/>
  <c r="L501" i="3"/>
  <c r="P974" i="3"/>
  <c r="L974" i="3"/>
  <c r="P1118" i="3"/>
  <c r="L1118" i="3"/>
  <c r="P220" i="3"/>
  <c r="L220" i="3"/>
  <c r="P344" i="3"/>
  <c r="L344" i="3"/>
  <c r="P657" i="3"/>
  <c r="L657" i="3"/>
  <c r="P929" i="3"/>
  <c r="L929" i="3"/>
  <c r="L1198" i="3"/>
  <c r="P1198" i="3"/>
  <c r="P1493" i="3"/>
  <c r="L1493" i="3"/>
  <c r="P55" i="3"/>
  <c r="L55" i="3"/>
  <c r="P823" i="3"/>
  <c r="L823" i="3"/>
  <c r="L1333" i="3"/>
  <c r="P1333" i="3"/>
  <c r="H1516" i="3"/>
  <c r="H1518" i="3" s="1"/>
  <c r="E91" i="4" s="1"/>
  <c r="F91" i="4" s="1"/>
  <c r="L1498" i="3"/>
  <c r="P1498" i="3"/>
  <c r="P15" i="3"/>
  <c r="L15" i="3"/>
  <c r="L15" i="2"/>
  <c r="L1058" i="3"/>
  <c r="P1058" i="3"/>
  <c r="P1154" i="3"/>
  <c r="L1154" i="3"/>
  <c r="P170" i="3"/>
  <c r="L170" i="3"/>
  <c r="P231" i="3"/>
  <c r="L231" i="3"/>
  <c r="P471" i="3"/>
  <c r="L471" i="3"/>
  <c r="P883" i="3"/>
  <c r="L883" i="3"/>
  <c r="P1168" i="3"/>
  <c r="L1168" i="3"/>
  <c r="P1340" i="3"/>
  <c r="L1340" i="3"/>
  <c r="P1321" i="3"/>
  <c r="L1321" i="3"/>
  <c r="L1172" i="3"/>
  <c r="P1172" i="3"/>
  <c r="P1601" i="3"/>
  <c r="L1601" i="3"/>
  <c r="P911" i="3"/>
  <c r="L911" i="3"/>
  <c r="H412" i="3"/>
  <c r="E26" i="4" s="1"/>
  <c r="F26" i="4" s="1"/>
  <c r="H410" i="3"/>
  <c r="P398" i="3"/>
  <c r="L398" i="3"/>
  <c r="P351" i="3"/>
  <c r="L351" i="3"/>
  <c r="P1275" i="3"/>
  <c r="L1275" i="3"/>
  <c r="P174" i="3"/>
  <c r="L174" i="3"/>
  <c r="P1290" i="3"/>
  <c r="L1290" i="3"/>
  <c r="P1640" i="3"/>
  <c r="L1640" i="3"/>
  <c r="P36" i="3"/>
  <c r="L36" i="3"/>
  <c r="P586" i="3"/>
  <c r="H600" i="3"/>
  <c r="H602" i="3" s="1"/>
  <c r="E38" i="4" s="1"/>
  <c r="F38" i="4" s="1"/>
  <c r="L586" i="3"/>
  <c r="P785" i="3"/>
  <c r="L785" i="3"/>
  <c r="P705" i="3"/>
  <c r="L705" i="3"/>
  <c r="L68" i="3"/>
  <c r="P68" i="3"/>
  <c r="P1018" i="3"/>
  <c r="L1018" i="3"/>
  <c r="L1502" i="3"/>
  <c r="P1502" i="3"/>
  <c r="L72" i="3"/>
  <c r="P72" i="3"/>
  <c r="P274" i="3"/>
  <c r="L274" i="3"/>
  <c r="P707" i="3"/>
  <c r="L707" i="3"/>
  <c r="L894" i="3"/>
  <c r="P894" i="3"/>
  <c r="L1534" i="3"/>
  <c r="P1534" i="3"/>
  <c r="P1509" i="3"/>
  <c r="L1509" i="3"/>
  <c r="P264" i="3"/>
  <c r="L264" i="3"/>
  <c r="P1009" i="3"/>
  <c r="L1009" i="3"/>
  <c r="L30" i="3"/>
  <c r="P30" i="3"/>
  <c r="L24" i="2"/>
  <c r="P40" i="3"/>
  <c r="L40" i="3"/>
  <c r="P1608" i="3"/>
  <c r="L1608" i="3"/>
  <c r="P345" i="3"/>
  <c r="L345" i="3"/>
  <c r="P247" i="3"/>
  <c r="L247" i="3"/>
  <c r="P976" i="3"/>
  <c r="L976" i="3"/>
  <c r="P1398" i="3"/>
  <c r="L1398" i="3"/>
  <c r="P750" i="3"/>
  <c r="H765" i="3"/>
  <c r="L750" i="3"/>
  <c r="P539" i="3"/>
  <c r="L539" i="3"/>
  <c r="P339" i="3"/>
  <c r="L339" i="3"/>
  <c r="P119" i="3"/>
  <c r="L119" i="3"/>
  <c r="P735" i="3"/>
  <c r="H746" i="3"/>
  <c r="L735" i="3"/>
  <c r="P267" i="3"/>
  <c r="L267" i="3"/>
  <c r="L1076" i="3"/>
  <c r="P1076" i="3"/>
  <c r="P1622" i="3"/>
  <c r="L1622" i="3"/>
  <c r="P169" i="3"/>
  <c r="L169" i="3"/>
  <c r="L41" i="2"/>
  <c r="P1466" i="3"/>
  <c r="L1466" i="3"/>
  <c r="H492" i="3"/>
  <c r="E31" i="4" s="1"/>
  <c r="F31" i="4" s="1"/>
  <c r="L478" i="3"/>
  <c r="H490" i="3"/>
  <c r="P478" i="3"/>
  <c r="P495" i="3"/>
  <c r="L495" i="3"/>
  <c r="P1373" i="3"/>
  <c r="L1373" i="3"/>
  <c r="P454" i="3"/>
  <c r="L454" i="3"/>
  <c r="P752" i="3"/>
  <c r="L752" i="3"/>
  <c r="P145" i="3"/>
  <c r="L145" i="3"/>
  <c r="L1050" i="3"/>
  <c r="P1050" i="3"/>
  <c r="L1357" i="3"/>
  <c r="P1357" i="3"/>
  <c r="P742" i="3"/>
  <c r="L742" i="3"/>
  <c r="P418" i="3"/>
  <c r="L418" i="3"/>
  <c r="P1163" i="3"/>
  <c r="L1163" i="3"/>
  <c r="P708" i="3"/>
  <c r="L708" i="3"/>
  <c r="P1433" i="3"/>
  <c r="L1433" i="3"/>
  <c r="L91" i="2"/>
  <c r="P1185" i="3"/>
  <c r="L1185" i="3"/>
  <c r="P831" i="3"/>
  <c r="L831" i="3"/>
  <c r="P347" i="3"/>
  <c r="L347" i="3"/>
  <c r="P1217" i="3"/>
  <c r="L1217" i="3"/>
  <c r="P323" i="3"/>
  <c r="L323" i="3"/>
  <c r="H1250" i="3"/>
  <c r="E78" i="4" s="1"/>
  <c r="F78" i="4" s="1"/>
  <c r="L1236" i="3"/>
  <c r="H1248" i="3"/>
  <c r="P1236" i="3"/>
  <c r="P660" i="3"/>
  <c r="L660" i="3"/>
  <c r="P1164" i="3"/>
  <c r="L1164" i="3"/>
  <c r="P102" i="3"/>
  <c r="L102" i="3"/>
  <c r="L1243" i="3"/>
  <c r="P1243" i="3"/>
  <c r="P793" i="3"/>
  <c r="L793" i="3"/>
  <c r="P334" i="3"/>
  <c r="H348" i="3"/>
  <c r="E22" i="4" s="1"/>
  <c r="F22" i="4" s="1"/>
  <c r="L334" i="3"/>
  <c r="H346" i="3"/>
  <c r="P1635" i="3"/>
  <c r="L1635" i="3"/>
  <c r="P637" i="3"/>
  <c r="L637" i="3"/>
  <c r="P366" i="3"/>
  <c r="L366" i="3"/>
  <c r="H378" i="3"/>
  <c r="L49" i="2"/>
  <c r="P32" i="3"/>
  <c r="L32" i="3"/>
  <c r="P1478" i="3"/>
  <c r="L1478" i="3"/>
  <c r="P47" i="3"/>
  <c r="L47" i="3"/>
  <c r="P491" i="3"/>
  <c r="L491" i="3"/>
  <c r="L523" i="3"/>
  <c r="P523" i="3"/>
  <c r="P916" i="3"/>
  <c r="L916" i="3"/>
  <c r="P1558" i="3"/>
  <c r="L1558" i="3"/>
  <c r="P494" i="3"/>
  <c r="L494" i="3"/>
  <c r="H506" i="3"/>
  <c r="P1452" i="3"/>
  <c r="L1452" i="3"/>
  <c r="L98" i="2"/>
  <c r="P1511" i="3"/>
  <c r="L1511" i="3"/>
  <c r="L190" i="3"/>
  <c r="P190" i="3"/>
  <c r="P223" i="3"/>
  <c r="L223" i="3"/>
  <c r="P583" i="3"/>
  <c r="L583" i="3"/>
  <c r="P647" i="3"/>
  <c r="L647" i="3"/>
  <c r="P613" i="3"/>
  <c r="L613" i="3"/>
  <c r="P1012" i="3"/>
  <c r="L1012" i="3"/>
  <c r="P1249" i="3"/>
  <c r="L1249" i="3"/>
  <c r="L1469" i="3"/>
  <c r="P1469" i="3"/>
  <c r="L515" i="3"/>
  <c r="P515" i="3"/>
  <c r="L1100" i="3"/>
  <c r="P1100" i="3"/>
  <c r="L1148" i="3"/>
  <c r="P1148" i="3"/>
  <c r="L1351" i="3"/>
  <c r="P1351" i="3"/>
  <c r="P218" i="3"/>
  <c r="L218" i="3"/>
  <c r="L45" i="2"/>
  <c r="P86" i="3"/>
  <c r="L86" i="3"/>
  <c r="L844" i="3"/>
  <c r="P844" i="3"/>
  <c r="P1584" i="3"/>
  <c r="L1584" i="3"/>
  <c r="P1487" i="3"/>
  <c r="L1487" i="3"/>
  <c r="P1477" i="3"/>
  <c r="L1477" i="3"/>
  <c r="P627" i="3"/>
  <c r="L627" i="3"/>
  <c r="P1196" i="3"/>
  <c r="L1196" i="3"/>
  <c r="P59" i="3"/>
  <c r="L59" i="3"/>
  <c r="L729" i="3"/>
  <c r="P729" i="3"/>
  <c r="L1576" i="3"/>
  <c r="P1576" i="3"/>
  <c r="H1370" i="3"/>
  <c r="E85" i="4" s="1"/>
  <c r="F85" i="4" s="1"/>
  <c r="H1368" i="3"/>
  <c r="P1350" i="3"/>
  <c r="L1350" i="3"/>
  <c r="P3" i="3"/>
  <c r="L3" i="3"/>
  <c r="H18" i="3"/>
  <c r="E2" i="4" s="1"/>
  <c r="F2" i="4" s="1"/>
  <c r="H16" i="3"/>
  <c r="L2" i="2"/>
  <c r="H314" i="3"/>
  <c r="P302" i="3"/>
  <c r="L302" i="3"/>
  <c r="H886" i="3"/>
  <c r="H888" i="3" s="1"/>
  <c r="E55" i="4" s="1"/>
  <c r="F55" i="4" s="1"/>
  <c r="P873" i="3"/>
  <c r="L873" i="3"/>
  <c r="P1111" i="3"/>
  <c r="L1111" i="3"/>
  <c r="H1123" i="3"/>
  <c r="H1125" i="3" s="1"/>
  <c r="E70" i="4" s="1"/>
  <c r="F70" i="4" s="1"/>
  <c r="P161" i="3"/>
  <c r="L161" i="3"/>
  <c r="L511" i="3"/>
  <c r="P511" i="3"/>
  <c r="P447" i="3"/>
  <c r="L447" i="3"/>
  <c r="P891" i="3"/>
  <c r="L891" i="3"/>
  <c r="P1080" i="3"/>
  <c r="L1080" i="3"/>
  <c r="P313" i="3"/>
  <c r="L313" i="3"/>
  <c r="P914" i="3"/>
  <c r="L914" i="3"/>
  <c r="L172" i="3"/>
  <c r="P172" i="3"/>
  <c r="L42" i="2"/>
  <c r="P201" i="3"/>
  <c r="L201" i="3"/>
  <c r="P310" i="3"/>
  <c r="L310" i="3"/>
  <c r="P991" i="3"/>
  <c r="L991" i="3"/>
  <c r="P1119" i="3"/>
  <c r="L1119" i="3"/>
  <c r="L228" i="3"/>
  <c r="P228" i="3"/>
  <c r="L272" i="3"/>
  <c r="P272" i="3"/>
  <c r="L1049" i="3"/>
  <c r="P1049" i="3"/>
  <c r="P638" i="3"/>
  <c r="L638" i="3"/>
  <c r="P686" i="3"/>
  <c r="L686" i="3"/>
  <c r="P904" i="3"/>
  <c r="L904" i="3"/>
  <c r="P1266" i="3"/>
  <c r="L1266" i="3"/>
  <c r="P1374" i="3"/>
  <c r="L1374" i="3"/>
  <c r="P163" i="3"/>
  <c r="L163" i="3"/>
  <c r="P305" i="3"/>
  <c r="L305" i="3"/>
  <c r="P321" i="3"/>
  <c r="L321" i="3"/>
  <c r="P569" i="3"/>
  <c r="L569" i="3"/>
  <c r="P922" i="3"/>
  <c r="L922" i="3"/>
  <c r="P905" i="3"/>
  <c r="L905" i="3"/>
  <c r="L1002" i="3"/>
  <c r="P1002" i="3"/>
  <c r="P1296" i="3"/>
  <c r="L1296" i="3"/>
  <c r="P1586" i="3"/>
  <c r="L1586" i="3"/>
  <c r="P1253" i="3"/>
  <c r="L1253" i="3"/>
  <c r="P113" i="3"/>
  <c r="L113" i="3"/>
  <c r="P1556" i="3"/>
  <c r="L1556" i="3"/>
  <c r="P138" i="3"/>
  <c r="L138" i="3"/>
  <c r="H158" i="3"/>
  <c r="E10" i="4" s="1"/>
  <c r="F10" i="4" s="1"/>
  <c r="H156" i="3"/>
  <c r="P7" i="3"/>
  <c r="L7" i="3"/>
  <c r="L6" i="2"/>
  <c r="L230" i="3"/>
  <c r="P230" i="3"/>
  <c r="P590" i="3"/>
  <c r="L590" i="3"/>
  <c r="P739" i="3"/>
  <c r="L739" i="3"/>
  <c r="P987" i="3"/>
  <c r="L987" i="3"/>
  <c r="P1147" i="3"/>
  <c r="L1147" i="3"/>
  <c r="P1339" i="3"/>
  <c r="L1339" i="3"/>
  <c r="P1569" i="3"/>
  <c r="L1569" i="3"/>
  <c r="L668" i="3"/>
  <c r="P668" i="3"/>
  <c r="P1490" i="3"/>
  <c r="L1490" i="3"/>
  <c r="P388" i="3"/>
  <c r="L388" i="3"/>
  <c r="P468" i="3"/>
  <c r="L468" i="3"/>
  <c r="P1021" i="3"/>
  <c r="L1021" i="3"/>
  <c r="P217" i="3"/>
  <c r="L217" i="3"/>
  <c r="P389" i="3"/>
  <c r="L389" i="3"/>
  <c r="P485" i="3"/>
  <c r="L485" i="3"/>
  <c r="L1054" i="3"/>
  <c r="P1054" i="3"/>
  <c r="P1006" i="3"/>
  <c r="L1006" i="3"/>
  <c r="P596" i="3"/>
  <c r="L596" i="3"/>
  <c r="L55" i="2"/>
  <c r="P312" i="3"/>
  <c r="L312" i="3"/>
  <c r="P488" i="3"/>
  <c r="L488" i="3"/>
  <c r="P884" i="3"/>
  <c r="L884" i="3"/>
  <c r="P1025" i="3"/>
  <c r="L1025" i="3"/>
  <c r="P1137" i="3"/>
  <c r="L1137" i="3"/>
  <c r="P91" i="3"/>
  <c r="L91" i="3"/>
  <c r="P1440" i="3"/>
  <c r="L1440" i="3"/>
  <c r="P101" i="3"/>
  <c r="L101" i="3"/>
  <c r="P801" i="3"/>
  <c r="L801" i="3"/>
  <c r="P1474" i="3"/>
  <c r="L1474" i="3"/>
  <c r="P1431" i="3"/>
  <c r="L1431" i="3"/>
  <c r="L89" i="2"/>
  <c r="P221" i="3"/>
  <c r="L221" i="3"/>
  <c r="P441" i="3"/>
  <c r="L441" i="3"/>
  <c r="L897" i="3"/>
  <c r="P897" i="3"/>
  <c r="P92" i="3"/>
  <c r="L92" i="3"/>
  <c r="P327" i="3"/>
  <c r="L327" i="3"/>
  <c r="P559" i="3"/>
  <c r="L559" i="3"/>
  <c r="L944" i="3"/>
  <c r="P944" i="3"/>
  <c r="P1056" i="3"/>
  <c r="L1056" i="3"/>
  <c r="P1438" i="3"/>
  <c r="L1438" i="3"/>
  <c r="P315" i="3"/>
  <c r="L315" i="3"/>
  <c r="P747" i="3"/>
  <c r="L747" i="3"/>
  <c r="P1233" i="3"/>
  <c r="L1233" i="3"/>
  <c r="L291" i="3"/>
  <c r="P291" i="3"/>
  <c r="P972" i="3"/>
  <c r="L972" i="3"/>
  <c r="L1244" i="3"/>
  <c r="P1244" i="3"/>
  <c r="P1311" i="3"/>
  <c r="L1311" i="3"/>
  <c r="P695" i="3"/>
  <c r="L695" i="3"/>
  <c r="L61" i="2"/>
  <c r="L671" i="3"/>
  <c r="P671" i="3"/>
  <c r="P572" i="3"/>
  <c r="L572" i="3"/>
  <c r="P1313" i="3"/>
  <c r="L1313" i="3"/>
  <c r="P1648" i="3"/>
  <c r="L1648" i="3"/>
  <c r="P1451" i="3"/>
  <c r="L1451" i="3"/>
  <c r="L97" i="2"/>
  <c r="P642" i="3"/>
  <c r="L642" i="3"/>
  <c r="P1257" i="3"/>
  <c r="L1257" i="3"/>
  <c r="P74" i="3"/>
  <c r="L74" i="3"/>
  <c r="P598" i="3"/>
  <c r="L598" i="3"/>
  <c r="L1537" i="3"/>
  <c r="P1537" i="3"/>
  <c r="L1510" i="3"/>
  <c r="P1510" i="3"/>
  <c r="H173" i="3"/>
  <c r="P160" i="3"/>
  <c r="L160" i="3"/>
  <c r="H394" i="3"/>
  <c r="H396" i="3"/>
  <c r="E25" i="4" s="1"/>
  <c r="F25" i="4" s="1"/>
  <c r="P382" i="3"/>
  <c r="L382" i="3"/>
  <c r="H678" i="3"/>
  <c r="E43" i="4" s="1"/>
  <c r="F43" i="4" s="1"/>
  <c r="H676" i="3"/>
  <c r="L663" i="3"/>
  <c r="P663" i="3"/>
  <c r="P1175" i="3"/>
  <c r="H1189" i="3"/>
  <c r="E74" i="4" s="1"/>
  <c r="F74" i="4" s="1"/>
  <c r="L1175" i="3"/>
  <c r="H1187" i="3"/>
  <c r="L178" i="3"/>
  <c r="P178" i="3"/>
  <c r="P399" i="3"/>
  <c r="L399" i="3"/>
  <c r="P543" i="3"/>
  <c r="L543" i="3"/>
  <c r="P952" i="3"/>
  <c r="L952" i="3"/>
  <c r="L1064" i="3"/>
  <c r="P1064" i="3"/>
  <c r="P297" i="3"/>
  <c r="L297" i="3"/>
  <c r="P994" i="3"/>
  <c r="L994" i="3"/>
  <c r="P581" i="3"/>
  <c r="L581" i="3"/>
  <c r="P90" i="3"/>
  <c r="L90" i="3"/>
  <c r="P294" i="3"/>
  <c r="L294" i="3"/>
  <c r="P1055" i="3"/>
  <c r="L1055" i="3"/>
  <c r="L1103" i="3"/>
  <c r="P1103" i="3"/>
  <c r="P147" i="3"/>
  <c r="L147" i="3"/>
  <c r="L22" i="3"/>
  <c r="P22" i="3"/>
  <c r="L368" i="3"/>
  <c r="P368" i="3"/>
  <c r="P805" i="3"/>
  <c r="L805" i="3"/>
  <c r="L618" i="3"/>
  <c r="P618" i="3"/>
  <c r="P786" i="3"/>
  <c r="L786" i="3"/>
  <c r="P1282" i="3"/>
  <c r="L1282" i="3"/>
  <c r="L1193" i="3"/>
  <c r="P1193" i="3"/>
  <c r="P1585" i="3"/>
  <c r="L1585" i="3"/>
  <c r="P23" i="3"/>
  <c r="L23" i="3"/>
  <c r="P289" i="3"/>
  <c r="L289" i="3"/>
  <c r="P385" i="3"/>
  <c r="L385" i="3"/>
  <c r="P619" i="3"/>
  <c r="L619" i="3"/>
  <c r="P687" i="3"/>
  <c r="L687" i="3"/>
  <c r="L1194" i="3"/>
  <c r="P1194" i="3"/>
  <c r="L1098" i="3"/>
  <c r="P1098" i="3"/>
  <c r="P1315" i="3"/>
  <c r="L1315" i="3"/>
  <c r="P155" i="3"/>
  <c r="L155" i="3"/>
  <c r="L118" i="3"/>
  <c r="H134" i="3"/>
  <c r="P118" i="3"/>
  <c r="L35" i="2"/>
  <c r="P107" i="3"/>
  <c r="L107" i="3"/>
  <c r="L322" i="3"/>
  <c r="P322" i="3"/>
  <c r="P620" i="3"/>
  <c r="L620" i="3"/>
  <c r="P773" i="3"/>
  <c r="L773" i="3"/>
  <c r="P864" i="3"/>
  <c r="L864" i="3"/>
  <c r="P1179" i="3"/>
  <c r="L1179" i="3"/>
  <c r="P1297" i="3"/>
  <c r="L1297" i="3"/>
  <c r="L1630" i="3"/>
  <c r="P1630" i="3"/>
  <c r="P8" i="3"/>
  <c r="L8" i="3"/>
  <c r="L7" i="2"/>
  <c r="P691" i="3"/>
  <c r="L691" i="3"/>
  <c r="P1464" i="3"/>
  <c r="L1464" i="3"/>
  <c r="P1473" i="3"/>
  <c r="L1473" i="3"/>
  <c r="P65" i="3"/>
  <c r="H76" i="3"/>
  <c r="L65" i="3"/>
  <c r="P308" i="3"/>
  <c r="L308" i="3"/>
  <c r="L436" i="3"/>
  <c r="P436" i="3"/>
  <c r="P1069" i="3"/>
  <c r="L1069" i="3"/>
  <c r="P309" i="3"/>
  <c r="L309" i="3"/>
  <c r="P325" i="3"/>
  <c r="L325" i="3"/>
  <c r="P670" i="3"/>
  <c r="L670" i="3"/>
  <c r="P1070" i="3"/>
  <c r="L1070" i="3"/>
  <c r="L1102" i="3"/>
  <c r="P1102" i="3"/>
  <c r="P204" i="3"/>
  <c r="L204" i="3"/>
  <c r="P472" i="3"/>
  <c r="L472" i="3"/>
  <c r="P977" i="3"/>
  <c r="L977" i="3"/>
  <c r="L1057" i="3"/>
  <c r="P1057" i="3"/>
  <c r="L1121" i="3"/>
  <c r="P1121" i="3"/>
  <c r="P712" i="3"/>
  <c r="L712" i="3"/>
  <c r="L1367" i="3"/>
  <c r="P1367" i="3"/>
  <c r="P70" i="3"/>
  <c r="L70" i="3"/>
  <c r="P774" i="3"/>
  <c r="L774" i="3"/>
  <c r="P1524" i="3"/>
  <c r="L1524" i="3"/>
  <c r="H1600" i="3"/>
  <c r="H1602" i="3" s="1"/>
  <c r="E95" i="4" s="1"/>
  <c r="F95" i="4" s="1"/>
  <c r="P1582" i="3"/>
  <c r="L1582" i="3"/>
  <c r="P94" i="3"/>
  <c r="L94" i="3"/>
  <c r="P537" i="3"/>
  <c r="L537" i="3"/>
  <c r="P1199" i="3"/>
  <c r="L1199" i="3"/>
  <c r="P219" i="3"/>
  <c r="L219" i="3"/>
  <c r="L519" i="3"/>
  <c r="P519" i="3"/>
  <c r="P455" i="3"/>
  <c r="L455" i="3"/>
  <c r="P928" i="3"/>
  <c r="L928" i="3"/>
  <c r="L1152" i="3"/>
  <c r="P1152" i="3"/>
  <c r="P1535" i="3"/>
  <c r="L1535" i="3"/>
  <c r="P157" i="3"/>
  <c r="L157" i="3"/>
  <c r="P1036" i="3"/>
  <c r="L1036" i="3"/>
  <c r="P1561" i="3"/>
  <c r="L1561" i="3"/>
  <c r="H1578" i="3"/>
  <c r="P1090" i="3"/>
  <c r="L1090" i="3"/>
  <c r="P1167" i="3"/>
  <c r="L1167" i="3"/>
  <c r="L1240" i="3"/>
  <c r="P1240" i="3"/>
  <c r="P87" i="3"/>
  <c r="L87" i="3"/>
  <c r="P732" i="3"/>
  <c r="L732" i="3"/>
  <c r="P1307" i="3"/>
  <c r="L1307" i="3"/>
  <c r="P800" i="3"/>
  <c r="L800" i="3"/>
  <c r="P1270" i="3"/>
  <c r="L1270" i="3"/>
  <c r="H963" i="3"/>
  <c r="P951" i="3"/>
  <c r="H965" i="3"/>
  <c r="E60" i="4" s="1"/>
  <c r="F60" i="4" s="1"/>
  <c r="L951" i="3"/>
  <c r="P1383" i="3"/>
  <c r="L1383" i="3"/>
  <c r="P959" i="3"/>
  <c r="L959" i="3"/>
  <c r="P336" i="3"/>
  <c r="L336" i="3"/>
  <c r="L1177" i="3"/>
  <c r="P1177" i="3"/>
  <c r="P828" i="3"/>
  <c r="L828" i="3"/>
  <c r="P258" i="3"/>
  <c r="L258" i="3"/>
  <c r="L667" i="3"/>
  <c r="P667" i="3"/>
  <c r="P1132" i="3"/>
  <c r="L1132" i="3"/>
  <c r="P260" i="3"/>
  <c r="L260" i="3"/>
  <c r="L48" i="2"/>
  <c r="P542" i="3"/>
  <c r="L542" i="3"/>
  <c r="H550" i="3"/>
  <c r="P755" i="3"/>
  <c r="L755" i="3"/>
  <c r="P329" i="3"/>
  <c r="L329" i="3"/>
  <c r="P1120" i="3"/>
  <c r="L1120" i="3"/>
  <c r="P1636" i="3"/>
  <c r="L1636" i="3"/>
  <c r="P363" i="3"/>
  <c r="L363" i="3"/>
  <c r="L1188" i="3"/>
  <c r="P1188" i="3"/>
  <c r="P451" i="3"/>
  <c r="L451" i="3"/>
  <c r="P235" i="3"/>
  <c r="L235" i="3"/>
  <c r="L1156" i="3"/>
  <c r="P1156" i="3"/>
  <c r="P628" i="3"/>
  <c r="L628" i="3"/>
  <c r="P1566" i="3"/>
  <c r="L1566" i="3"/>
  <c r="P736" i="3"/>
  <c r="L736" i="3"/>
  <c r="P303" i="3"/>
  <c r="L303" i="3"/>
  <c r="P604" i="3"/>
  <c r="L604" i="3"/>
  <c r="H612" i="3"/>
  <c r="P1617" i="3"/>
  <c r="L1617" i="3"/>
  <c r="P62" i="3"/>
  <c r="L62" i="3"/>
  <c r="P601" i="3"/>
  <c r="L601" i="3"/>
  <c r="P717" i="3"/>
  <c r="L717" i="3"/>
  <c r="L1201" i="3"/>
  <c r="P1201" i="3"/>
  <c r="P1402" i="3"/>
  <c r="L1402" i="3"/>
  <c r="H1091" i="3"/>
  <c r="H1093" i="3" s="1"/>
  <c r="E68" i="4" s="1"/>
  <c r="F68" i="4" s="1"/>
  <c r="L1079" i="3"/>
  <c r="P1079" i="3"/>
  <c r="P20" i="3"/>
  <c r="H31" i="3"/>
  <c r="H33" i="3" s="1"/>
  <c r="E3" i="4" s="1"/>
  <c r="F3" i="4" s="1"/>
  <c r="L17" i="2"/>
  <c r="L20" i="3"/>
  <c r="P1655" i="3"/>
  <c r="L1655" i="3"/>
  <c r="P96" i="3"/>
  <c r="L96" i="3"/>
  <c r="L411" i="3"/>
  <c r="P411" i="3"/>
  <c r="P563" i="3"/>
  <c r="L563" i="3"/>
  <c r="P1060" i="3"/>
  <c r="L1060" i="3"/>
  <c r="P980" i="3"/>
  <c r="L980" i="3"/>
  <c r="P1124" i="3"/>
  <c r="L1124" i="3"/>
  <c r="P1277" i="3"/>
  <c r="L1277" i="3"/>
  <c r="P1495" i="3"/>
  <c r="L1495" i="3"/>
  <c r="L1425" i="3"/>
  <c r="P1425" i="3"/>
  <c r="L83" i="2"/>
  <c r="P275" i="3"/>
  <c r="L275" i="3"/>
  <c r="P988" i="3"/>
  <c r="L988" i="3"/>
  <c r="P1272" i="3"/>
  <c r="L1272" i="3"/>
  <c r="P927" i="3"/>
  <c r="L927" i="3"/>
  <c r="P592" i="3"/>
  <c r="L592" i="3"/>
  <c r="L1334" i="3"/>
  <c r="P1334" i="3"/>
  <c r="P692" i="3"/>
  <c r="L692" i="3"/>
  <c r="P132" i="3"/>
  <c r="L132" i="3"/>
  <c r="P744" i="3"/>
  <c r="L744" i="3"/>
  <c r="P1637" i="3"/>
  <c r="L1637" i="3"/>
  <c r="P1531" i="3"/>
  <c r="L1531" i="3"/>
  <c r="H189" i="3"/>
  <c r="H191" i="3"/>
  <c r="E12" i="4" s="1"/>
  <c r="F12" i="4" s="1"/>
  <c r="P177" i="3"/>
  <c r="L177" i="3"/>
  <c r="P286" i="3"/>
  <c r="L286" i="3"/>
  <c r="H298" i="3"/>
  <c r="P1015" i="3"/>
  <c r="H1027" i="3"/>
  <c r="H1029" i="3"/>
  <c r="E64" i="4" s="1"/>
  <c r="F64" i="4" s="1"/>
  <c r="L1015" i="3"/>
  <c r="L1095" i="3"/>
  <c r="H1107" i="3"/>
  <c r="H1109" i="3" s="1"/>
  <c r="E69" i="4" s="1"/>
  <c r="F69" i="4" s="1"/>
  <c r="P1095" i="3"/>
  <c r="P255" i="3"/>
  <c r="L255" i="3"/>
  <c r="P271" i="3"/>
  <c r="L271" i="3"/>
  <c r="P605" i="3"/>
  <c r="L605" i="3"/>
  <c r="P1000" i="3"/>
  <c r="L1000" i="3"/>
  <c r="P1160" i="3"/>
  <c r="L1160" i="3"/>
  <c r="P377" i="3"/>
  <c r="L377" i="3"/>
  <c r="P978" i="3"/>
  <c r="L978" i="3"/>
  <c r="P631" i="3"/>
  <c r="L631" i="3"/>
  <c r="P374" i="3"/>
  <c r="L374" i="3"/>
  <c r="P534" i="3"/>
  <c r="L534" i="3"/>
  <c r="P1087" i="3"/>
  <c r="L1087" i="3"/>
  <c r="P1183" i="3"/>
  <c r="L1183" i="3"/>
  <c r="P127" i="3"/>
  <c r="L127" i="3"/>
  <c r="L37" i="2"/>
  <c r="P37" i="3"/>
  <c r="L37" i="3"/>
  <c r="L448" i="3"/>
  <c r="P448" i="3"/>
  <c r="P1001" i="3"/>
  <c r="L1001" i="3"/>
  <c r="L722" i="3"/>
  <c r="P722" i="3"/>
  <c r="P892" i="3"/>
  <c r="L892" i="3"/>
  <c r="P1065" i="3"/>
  <c r="L1065" i="3"/>
  <c r="P1254" i="3"/>
  <c r="L1254" i="3"/>
  <c r="L1649" i="3"/>
  <c r="P1649" i="3"/>
  <c r="P38" i="3"/>
  <c r="L38" i="3"/>
  <c r="L557" i="3"/>
  <c r="P557" i="3"/>
  <c r="P449" i="3"/>
  <c r="L449" i="3"/>
  <c r="P666" i="3"/>
  <c r="L666" i="3"/>
  <c r="P787" i="3"/>
  <c r="L787" i="3"/>
  <c r="P970" i="3"/>
  <c r="L970" i="3"/>
  <c r="L1223" i="3"/>
  <c r="P1223" i="3"/>
  <c r="L1207" i="3"/>
  <c r="P1207" i="3"/>
  <c r="P27" i="3"/>
  <c r="L27" i="3"/>
  <c r="L21" i="2"/>
  <c r="L1453" i="3"/>
  <c r="P1453" i="3"/>
  <c r="L99" i="2"/>
  <c r="P60" i="3"/>
  <c r="L60" i="3"/>
  <c r="L26" i="2"/>
  <c r="P1481" i="3"/>
  <c r="L1481" i="3"/>
  <c r="P799" i="3"/>
  <c r="L799" i="3"/>
  <c r="H819" i="3"/>
  <c r="E51" i="4" s="1"/>
  <c r="F51" i="4" s="1"/>
  <c r="H817" i="3"/>
  <c r="L126" i="3"/>
  <c r="P126" i="3"/>
  <c r="P498" i="3"/>
  <c r="L498" i="3"/>
  <c r="P754" i="3"/>
  <c r="L754" i="3"/>
  <c r="P877" i="3"/>
  <c r="L877" i="3"/>
  <c r="P906" i="3"/>
  <c r="L906" i="3"/>
  <c r="P1019" i="3"/>
  <c r="L1019" i="3"/>
  <c r="P1224" i="3"/>
  <c r="L1224" i="3"/>
  <c r="L1587" i="3"/>
  <c r="P1587" i="3"/>
  <c r="P182" i="3"/>
  <c r="L182" i="3"/>
  <c r="P907" i="3"/>
  <c r="L907" i="3"/>
  <c r="P1447" i="3"/>
  <c r="L1447" i="3"/>
  <c r="L95" i="2"/>
  <c r="P616" i="3"/>
  <c r="H634" i="3"/>
  <c r="E40" i="4" s="1"/>
  <c r="F40" i="4" s="1"/>
  <c r="L616" i="3"/>
  <c r="H632" i="3"/>
  <c r="P292" i="3"/>
  <c r="L292" i="3"/>
  <c r="L532" i="3"/>
  <c r="P532" i="3"/>
  <c r="P1165" i="3"/>
  <c r="L1165" i="3"/>
  <c r="P293" i="3"/>
  <c r="L293" i="3"/>
  <c r="P453" i="3"/>
  <c r="L453" i="3"/>
  <c r="P643" i="3"/>
  <c r="L643" i="3"/>
  <c r="P866" i="3"/>
  <c r="L866" i="3"/>
  <c r="P1286" i="3"/>
  <c r="L1286" i="3"/>
  <c r="P1482" i="3"/>
  <c r="L1482" i="3"/>
  <c r="P296" i="3"/>
  <c r="L296" i="3"/>
  <c r="P560" i="3"/>
  <c r="L560" i="3"/>
  <c r="L630" i="3"/>
  <c r="P630" i="3"/>
  <c r="P867" i="3"/>
  <c r="L867" i="3"/>
  <c r="P1214" i="3"/>
  <c r="L1214" i="3"/>
  <c r="P761" i="3"/>
  <c r="L761" i="3"/>
  <c r="L216" i="3"/>
  <c r="P216" i="3"/>
  <c r="L44" i="2"/>
  <c r="P1326" i="3"/>
  <c r="L1326" i="3"/>
  <c r="P120" i="3"/>
  <c r="L120" i="3"/>
  <c r="P789" i="3"/>
  <c r="L789" i="3"/>
  <c r="P1499" i="3"/>
  <c r="L1499" i="3"/>
  <c r="P561" i="3"/>
  <c r="L561" i="3"/>
  <c r="P930" i="3"/>
  <c r="L930" i="3"/>
  <c r="L1231" i="3"/>
  <c r="P1231" i="3"/>
  <c r="L1418" i="3"/>
  <c r="P1418" i="3"/>
  <c r="L76" i="2"/>
  <c r="P263" i="3"/>
  <c r="L263" i="3"/>
  <c r="P311" i="3"/>
  <c r="L311" i="3"/>
  <c r="P547" i="3"/>
  <c r="L547" i="3"/>
  <c r="L1024" i="3"/>
  <c r="P1024" i="3"/>
  <c r="P1213" i="3"/>
  <c r="L1213" i="3"/>
  <c r="L1634" i="3"/>
  <c r="P1634" i="3"/>
  <c r="H1200" i="3"/>
  <c r="P1191" i="3"/>
  <c r="H1202" i="3"/>
  <c r="E75" i="4" s="1"/>
  <c r="F75" i="4" s="1"/>
  <c r="L1191" i="3"/>
  <c r="L1028" i="3"/>
  <c r="P1028" i="3"/>
  <c r="P1377" i="3"/>
  <c r="L1377" i="3"/>
  <c r="L726" i="3"/>
  <c r="P726" i="3"/>
  <c r="P510" i="3"/>
  <c r="L510" i="3"/>
  <c r="H522" i="3"/>
  <c r="P431" i="3"/>
  <c r="L431" i="3"/>
  <c r="P518" i="3"/>
  <c r="L518" i="3"/>
  <c r="L1595" i="3"/>
  <c r="P1595" i="3"/>
  <c r="P443" i="3"/>
  <c r="L443" i="3"/>
  <c r="L1369" i="3"/>
  <c r="P1369" i="3"/>
  <c r="P139" i="3"/>
  <c r="L139" i="3"/>
  <c r="L1410" i="3"/>
  <c r="P1410" i="3"/>
  <c r="P882" i="3"/>
  <c r="L882" i="3"/>
  <c r="L1514" i="3"/>
  <c r="P1514" i="3"/>
  <c r="P1388" i="3"/>
  <c r="L1388" i="3"/>
  <c r="H1401" i="3"/>
  <c r="H1403" i="3"/>
  <c r="E87" i="4" s="1"/>
  <c r="F87" i="4" s="1"/>
  <c r="P361" i="3"/>
  <c r="L361" i="3"/>
  <c r="L486" i="3"/>
  <c r="P486" i="3"/>
  <c r="L1145" i="3"/>
  <c r="P1145" i="3"/>
  <c r="P876" i="3"/>
  <c r="L876" i="3"/>
  <c r="L1053" i="3"/>
  <c r="P1053" i="3"/>
  <c r="P373" i="3"/>
  <c r="L373" i="3"/>
  <c r="L1227" i="3"/>
  <c r="P1227" i="3"/>
  <c r="P93" i="3"/>
  <c r="L93" i="3"/>
  <c r="P763" i="3"/>
  <c r="L763" i="3"/>
  <c r="P1274" i="3"/>
  <c r="L1274" i="3"/>
  <c r="P1620" i="3"/>
  <c r="L1620" i="3"/>
  <c r="P128" i="3"/>
  <c r="L128" i="3"/>
  <c r="P251" i="3"/>
  <c r="L251" i="3"/>
  <c r="P1328" i="3"/>
  <c r="L1328" i="3"/>
  <c r="P1116" i="3"/>
  <c r="L1116" i="3"/>
  <c r="H1496" i="3"/>
  <c r="E90" i="4" s="1"/>
  <c r="F90" i="4" s="1"/>
  <c r="H1494" i="3"/>
  <c r="P1472" i="3"/>
  <c r="L1472" i="3"/>
  <c r="P1372" i="3"/>
  <c r="H1384" i="3"/>
  <c r="L1372" i="3"/>
  <c r="P968" i="3"/>
  <c r="L968" i="3"/>
  <c r="P384" i="3"/>
  <c r="L384" i="3"/>
  <c r="P973" i="3"/>
  <c r="L973" i="3"/>
  <c r="P421" i="3"/>
  <c r="L421" i="3"/>
  <c r="L456" i="3"/>
  <c r="P456" i="3"/>
  <c r="P1008" i="3"/>
  <c r="L1008" i="3"/>
  <c r="P1427" i="3"/>
  <c r="L1427" i="3"/>
  <c r="L85" i="2"/>
  <c r="P781" i="3"/>
  <c r="L781" i="3"/>
  <c r="P1579" i="3"/>
  <c r="L1579" i="3"/>
  <c r="L1068" i="3"/>
  <c r="P1068" i="3"/>
  <c r="P135" i="3"/>
  <c r="L135" i="3"/>
  <c r="L996" i="3"/>
  <c r="P996" i="3"/>
  <c r="L387" i="3"/>
  <c r="P387" i="3"/>
  <c r="P809" i="3"/>
  <c r="L809" i="3"/>
  <c r="P1143" i="3"/>
  <c r="H1157" i="3"/>
  <c r="E72" i="4" s="1"/>
  <c r="F72" i="4" s="1"/>
  <c r="L1143" i="3"/>
  <c r="H1155" i="3"/>
  <c r="P35" i="3"/>
  <c r="H46" i="3"/>
  <c r="L35" i="3"/>
  <c r="L1572" i="3"/>
  <c r="P1572" i="3"/>
  <c r="P115" i="3"/>
  <c r="L115" i="3"/>
  <c r="P207" i="3"/>
  <c r="L207" i="3"/>
  <c r="P459" i="3"/>
  <c r="L459" i="3"/>
  <c r="P766" i="3"/>
  <c r="L766" i="3"/>
  <c r="P964" i="3"/>
  <c r="L964" i="3"/>
  <c r="P1092" i="3"/>
  <c r="L1092" i="3"/>
  <c r="P1347" i="3"/>
  <c r="L1347" i="3"/>
  <c r="P1540" i="3"/>
  <c r="L1540" i="3"/>
  <c r="P371" i="3"/>
  <c r="L371" i="3"/>
  <c r="P1004" i="3"/>
  <c r="L1004" i="3"/>
  <c r="P1209" i="3"/>
  <c r="L1209" i="3"/>
  <c r="L1405" i="3"/>
  <c r="P1405" i="3"/>
  <c r="L70" i="2"/>
  <c r="P1301" i="3"/>
  <c r="L1301" i="3"/>
  <c r="L622" i="3"/>
  <c r="P622" i="3"/>
  <c r="L1353" i="3"/>
  <c r="P1353" i="3"/>
  <c r="G1439" i="3"/>
  <c r="H1439" i="3" s="1"/>
  <c r="N92" i="2"/>
  <c r="A15" i="5" s="1"/>
  <c r="L672" i="3"/>
  <c r="P672" i="3"/>
  <c r="P81" i="3"/>
  <c r="L81" i="3"/>
  <c r="P154" i="3"/>
  <c r="L154" i="3"/>
  <c r="P1366" i="3"/>
  <c r="L1366" i="3"/>
  <c r="P1598" i="3"/>
  <c r="L1598" i="3"/>
  <c r="P1434" i="3"/>
  <c r="L1434" i="3"/>
  <c r="P193" i="3"/>
  <c r="H208" i="3"/>
  <c r="E13" i="4" s="1"/>
  <c r="F13" i="4" s="1"/>
  <c r="H206" i="3"/>
  <c r="L193" i="3"/>
  <c r="P526" i="3"/>
  <c r="H538" i="3"/>
  <c r="H540" i="3" s="1"/>
  <c r="E34" i="4" s="1"/>
  <c r="F34" i="4" s="1"/>
  <c r="L526" i="3"/>
  <c r="P1031" i="3"/>
  <c r="H1043" i="3"/>
  <c r="L1031" i="3"/>
  <c r="H1045" i="3"/>
  <c r="E65" i="4" s="1"/>
  <c r="F65" i="4" s="1"/>
  <c r="H1075" i="3"/>
  <c r="H1077" i="3"/>
  <c r="E67" i="4" s="1"/>
  <c r="F67" i="4" s="1"/>
  <c r="P1063" i="3"/>
  <c r="L1063" i="3"/>
  <c r="P239" i="3"/>
  <c r="L239" i="3"/>
  <c r="P367" i="3"/>
  <c r="L367" i="3"/>
  <c r="P527" i="3"/>
  <c r="L527" i="3"/>
  <c r="L936" i="3"/>
  <c r="P936" i="3"/>
  <c r="P1221" i="3"/>
  <c r="L1221" i="3"/>
  <c r="P281" i="3"/>
  <c r="L281" i="3"/>
  <c r="P962" i="3"/>
  <c r="L962" i="3"/>
  <c r="L675" i="3"/>
  <c r="P675" i="3"/>
  <c r="P262" i="3"/>
  <c r="L262" i="3"/>
  <c r="P422" i="3"/>
  <c r="L422" i="3"/>
  <c r="P910" i="3"/>
  <c r="L910" i="3"/>
  <c r="P1071" i="3"/>
  <c r="L1071" i="3"/>
  <c r="P808" i="3"/>
  <c r="L808" i="3"/>
  <c r="P52" i="3"/>
  <c r="L52" i="3"/>
  <c r="P256" i="3"/>
  <c r="L256" i="3"/>
  <c r="L432" i="3"/>
  <c r="P432" i="3"/>
  <c r="P1081" i="3"/>
  <c r="L1081" i="3"/>
  <c r="P953" i="3"/>
  <c r="L953" i="3"/>
  <c r="P1161" i="3"/>
  <c r="L1161" i="3"/>
  <c r="P1337" i="3"/>
  <c r="L1337" i="3"/>
  <c r="P1610" i="3"/>
  <c r="L1610" i="3"/>
  <c r="P213" i="3"/>
  <c r="L213" i="3"/>
  <c r="L465" i="3"/>
  <c r="P465" i="3"/>
  <c r="P545" i="3"/>
  <c r="L545" i="3"/>
  <c r="P639" i="3"/>
  <c r="L639" i="3"/>
  <c r="P706" i="3"/>
  <c r="L706" i="3"/>
  <c r="P1146" i="3"/>
  <c r="L1146" i="3"/>
  <c r="P1407" i="3"/>
  <c r="L1407" i="3"/>
  <c r="P1450" i="3"/>
  <c r="L1450" i="3"/>
  <c r="P42" i="3"/>
  <c r="L42" i="3"/>
  <c r="P1479" i="3"/>
  <c r="L1479" i="3"/>
  <c r="L75" i="3"/>
  <c r="P75" i="3"/>
  <c r="P1455" i="3"/>
  <c r="L1455" i="3"/>
  <c r="L101" i="2"/>
  <c r="P821" i="3"/>
  <c r="L821" i="3"/>
  <c r="H837" i="3"/>
  <c r="L181" i="3"/>
  <c r="P181" i="3"/>
  <c r="L386" i="3"/>
  <c r="P386" i="3"/>
  <c r="L482" i="3"/>
  <c r="P482" i="3"/>
  <c r="P688" i="3"/>
  <c r="L688" i="3"/>
  <c r="P829" i="3"/>
  <c r="L829" i="3"/>
  <c r="P1115" i="3"/>
  <c r="L1115" i="3"/>
  <c r="P1316" i="3"/>
  <c r="L1316" i="3"/>
  <c r="P1548" i="3"/>
  <c r="L1548" i="3"/>
  <c r="P165" i="3"/>
  <c r="L165" i="3"/>
  <c r="P956" i="3"/>
  <c r="L956" i="3"/>
  <c r="P575" i="3"/>
  <c r="L575" i="3"/>
  <c r="L52" i="2"/>
  <c r="P769" i="3"/>
  <c r="H780" i="3"/>
  <c r="L769" i="3"/>
  <c r="L276" i="3"/>
  <c r="P276" i="3"/>
  <c r="P420" i="3"/>
  <c r="L420" i="3"/>
  <c r="P1181" i="3"/>
  <c r="L1181" i="3"/>
  <c r="L469" i="3"/>
  <c r="P469" i="3"/>
  <c r="P437" i="3"/>
  <c r="L437" i="3"/>
  <c r="P926" i="3"/>
  <c r="L926" i="3"/>
  <c r="P958" i="3"/>
  <c r="L958" i="3"/>
  <c r="P1245" i="3"/>
  <c r="L1245" i="3"/>
  <c r="P1456" i="3"/>
  <c r="L1456" i="3"/>
  <c r="L102" i="2"/>
  <c r="L280" i="3"/>
  <c r="P280" i="3"/>
  <c r="L440" i="3"/>
  <c r="P440" i="3"/>
  <c r="P610" i="3"/>
  <c r="L610" i="3"/>
  <c r="P913" i="3"/>
  <c r="L913" i="3"/>
  <c r="P1230" i="3"/>
  <c r="L1230" i="3"/>
  <c r="P669" i="3"/>
  <c r="L669" i="3"/>
  <c r="P1467" i="3"/>
  <c r="L1467" i="3"/>
  <c r="P85" i="3"/>
  <c r="L85" i="3"/>
  <c r="L725" i="3"/>
  <c r="P725" i="3"/>
  <c r="P1448" i="3"/>
  <c r="L1448" i="3"/>
  <c r="P576" i="3"/>
  <c r="L576" i="3"/>
  <c r="L53" i="2"/>
  <c r="L473" i="3"/>
  <c r="P473" i="3"/>
  <c r="P425" i="3"/>
  <c r="L425" i="3"/>
  <c r="P1042" i="3"/>
  <c r="L1042" i="3"/>
  <c r="L186" i="3"/>
  <c r="P186" i="3"/>
  <c r="L423" i="3"/>
  <c r="P423" i="3"/>
  <c r="P1104" i="3"/>
  <c r="L1104" i="3"/>
  <c r="P912" i="3"/>
  <c r="L912" i="3"/>
  <c r="P1303" i="3"/>
  <c r="L1303" i="3"/>
  <c r="P108" i="3"/>
  <c r="L108" i="3"/>
  <c r="L31" i="2"/>
  <c r="L1657" i="3"/>
  <c r="P1657" i="3"/>
  <c r="P314" i="3" l="1"/>
  <c r="L314" i="3"/>
  <c r="P765" i="3"/>
  <c r="L765" i="3"/>
  <c r="L767" i="3" s="1"/>
  <c r="A16" i="5"/>
  <c r="L1289" i="3"/>
  <c r="L1291" i="3" s="1"/>
  <c r="P1289" i="3"/>
  <c r="L1327" i="3"/>
  <c r="P1327" i="3"/>
  <c r="P1276" i="3"/>
  <c r="L1276" i="3"/>
  <c r="P659" i="3"/>
  <c r="L659" i="3"/>
  <c r="P550" i="3"/>
  <c r="L550" i="3"/>
  <c r="L552" i="3" s="1"/>
  <c r="P1043" i="3"/>
  <c r="L1043" i="3"/>
  <c r="L1045" i="3" s="1"/>
  <c r="P46" i="3"/>
  <c r="L46" i="3"/>
  <c r="L48" i="3" s="1"/>
  <c r="P522" i="3"/>
  <c r="L522" i="3"/>
  <c r="L524" i="3" s="1"/>
  <c r="P189" i="3"/>
  <c r="L189" i="3"/>
  <c r="L78" i="3"/>
  <c r="P173" i="3"/>
  <c r="L173" i="3"/>
  <c r="L175" i="3" s="1"/>
  <c r="P1621" i="3"/>
  <c r="L1621" i="3"/>
  <c r="L1663" i="3"/>
  <c r="L898" i="3"/>
  <c r="P898" i="3"/>
  <c r="P1384" i="3"/>
  <c r="L1384" i="3"/>
  <c r="L1386" i="3" s="1"/>
  <c r="L1200" i="3"/>
  <c r="L1202" i="3" s="1"/>
  <c r="P1200" i="3"/>
  <c r="H552" i="3"/>
  <c r="E35" i="4" s="1"/>
  <c r="F35" i="4" s="1"/>
  <c r="P963" i="3"/>
  <c r="L963" i="3"/>
  <c r="L76" i="3"/>
  <c r="P76" i="3"/>
  <c r="H175" i="3"/>
  <c r="E11" i="4" s="1"/>
  <c r="F11" i="4" s="1"/>
  <c r="L1125" i="3"/>
  <c r="B5" i="5"/>
  <c r="P16" i="3"/>
  <c r="L16" i="3"/>
  <c r="L18" i="3" s="1"/>
  <c r="L14" i="2"/>
  <c r="P506" i="3"/>
  <c r="L506" i="3"/>
  <c r="L508" i="3" s="1"/>
  <c r="P746" i="3"/>
  <c r="L746" i="3"/>
  <c r="H767" i="3"/>
  <c r="E48" i="4" s="1"/>
  <c r="F48" i="4" s="1"/>
  <c r="L410" i="3"/>
  <c r="L412" i="3" s="1"/>
  <c r="P410" i="3"/>
  <c r="H1623" i="3"/>
  <c r="E96" i="4" s="1"/>
  <c r="F96" i="4" s="1"/>
  <c r="L947" i="3"/>
  <c r="L949" i="3" s="1"/>
  <c r="P947" i="3"/>
  <c r="L900" i="3"/>
  <c r="P1011" i="3"/>
  <c r="L1011" i="3"/>
  <c r="L1013" i="3" s="1"/>
  <c r="P1539" i="3"/>
  <c r="L1539" i="3"/>
  <c r="H661" i="3"/>
  <c r="E42" i="4" s="1"/>
  <c r="F42" i="4" s="1"/>
  <c r="P1439" i="3"/>
  <c r="L1439" i="3"/>
  <c r="L92" i="2"/>
  <c r="P442" i="3"/>
  <c r="L442" i="3"/>
  <c r="L444" i="3" s="1"/>
  <c r="P222" i="3"/>
  <c r="L222" i="3"/>
  <c r="L224" i="3" s="1"/>
  <c r="L1623" i="3"/>
  <c r="P458" i="3"/>
  <c r="L458" i="3"/>
  <c r="L1661" i="3"/>
  <c r="P1661" i="3"/>
  <c r="H900" i="3"/>
  <c r="E56" i="4" s="1"/>
  <c r="F56" i="4" s="1"/>
  <c r="L701" i="3"/>
  <c r="L661" i="3"/>
  <c r="L1107" i="3"/>
  <c r="L1109" i="3" s="1"/>
  <c r="P1107" i="3"/>
  <c r="P31" i="3"/>
  <c r="L31" i="3"/>
  <c r="L33" i="3" s="1"/>
  <c r="L965" i="3"/>
  <c r="P1600" i="3"/>
  <c r="L1600" i="3"/>
  <c r="L748" i="3"/>
  <c r="P562" i="3"/>
  <c r="L562" i="3"/>
  <c r="L564" i="3" s="1"/>
  <c r="L540" i="3"/>
  <c r="H48" i="3"/>
  <c r="E4" i="4" s="1"/>
  <c r="F4" i="4" s="1"/>
  <c r="H524" i="3"/>
  <c r="E33" i="4" s="1"/>
  <c r="F33" i="4" s="1"/>
  <c r="P1155" i="3"/>
  <c r="L1155" i="3"/>
  <c r="H1386" i="3"/>
  <c r="E86" i="4" s="1"/>
  <c r="F86" i="4" s="1"/>
  <c r="P1401" i="3"/>
  <c r="L1401" i="3"/>
  <c r="P1027" i="3"/>
  <c r="L1027" i="3"/>
  <c r="L1029" i="3" s="1"/>
  <c r="H78" i="3"/>
  <c r="E6" i="4" s="1"/>
  <c r="F6" i="4" s="1"/>
  <c r="P156" i="3"/>
  <c r="L156" i="3"/>
  <c r="H508" i="3"/>
  <c r="E32" i="4" s="1"/>
  <c r="F32" i="4" s="1"/>
  <c r="H748" i="3"/>
  <c r="E47" i="4" s="1"/>
  <c r="F47" i="4" s="1"/>
  <c r="P1059" i="3"/>
  <c r="L1059" i="3"/>
  <c r="L1061" i="3" s="1"/>
  <c r="P282" i="3"/>
  <c r="L282" i="3"/>
  <c r="L460" i="3"/>
  <c r="P869" i="3"/>
  <c r="L869" i="3"/>
  <c r="P1260" i="3"/>
  <c r="L1260" i="3"/>
  <c r="L1262" i="3" s="1"/>
  <c r="P95" i="3"/>
  <c r="L95" i="3"/>
  <c r="L97" i="3" s="1"/>
  <c r="P931" i="3"/>
  <c r="L931" i="3"/>
  <c r="L933" i="3" s="1"/>
  <c r="P699" i="3"/>
  <c r="L699" i="3"/>
  <c r="L428" i="3"/>
  <c r="L1541" i="3"/>
  <c r="P1557" i="3"/>
  <c r="L1557" i="3"/>
  <c r="L1559" i="3" s="1"/>
  <c r="L797" i="3"/>
  <c r="P1123" i="3"/>
  <c r="L1123" i="3"/>
  <c r="L782" i="3"/>
  <c r="P538" i="3"/>
  <c r="L538" i="3"/>
  <c r="L1157" i="3"/>
  <c r="L1496" i="3"/>
  <c r="L1403" i="3"/>
  <c r="P632" i="3"/>
  <c r="L632" i="3"/>
  <c r="P1091" i="3"/>
  <c r="L1091" i="3"/>
  <c r="L1093" i="3" s="1"/>
  <c r="L676" i="3"/>
  <c r="L678" i="3" s="1"/>
  <c r="P676" i="3"/>
  <c r="P346" i="3"/>
  <c r="L346" i="3"/>
  <c r="L284" i="3"/>
  <c r="P1171" i="3"/>
  <c r="L1171" i="3"/>
  <c r="L1173" i="3" s="1"/>
  <c r="P426" i="3"/>
  <c r="L426" i="3"/>
  <c r="P1232" i="3"/>
  <c r="L1232" i="3"/>
  <c r="H1559" i="3"/>
  <c r="E93" i="4" s="1"/>
  <c r="F93" i="4" s="1"/>
  <c r="L1216" i="3"/>
  <c r="P1216" i="3"/>
  <c r="P362" i="3"/>
  <c r="L362" i="3"/>
  <c r="L364" i="3" s="1"/>
  <c r="P795" i="3"/>
  <c r="L795" i="3"/>
  <c r="L780" i="3"/>
  <c r="P780" i="3"/>
  <c r="L634" i="3"/>
  <c r="L158" i="3"/>
  <c r="L348" i="3"/>
  <c r="L871" i="3"/>
  <c r="P915" i="3"/>
  <c r="L915" i="3"/>
  <c r="L917" i="3" s="1"/>
  <c r="P995" i="3"/>
  <c r="L995" i="3"/>
  <c r="L997" i="3" s="1"/>
  <c r="H428" i="3"/>
  <c r="E27" i="4" s="1"/>
  <c r="F27" i="4" s="1"/>
  <c r="L1234" i="3"/>
  <c r="P298" i="3"/>
  <c r="L298" i="3"/>
  <c r="L300" i="3" s="1"/>
  <c r="P612" i="3"/>
  <c r="L612" i="3"/>
  <c r="L614" i="3" s="1"/>
  <c r="P1494" i="3"/>
  <c r="L1494" i="3"/>
  <c r="P1578" i="3"/>
  <c r="L1578" i="3"/>
  <c r="L1580" i="3" s="1"/>
  <c r="P1306" i="3"/>
  <c r="L1306" i="3"/>
  <c r="L1308" i="3" s="1"/>
  <c r="L858" i="3"/>
  <c r="P266" i="3"/>
  <c r="L266" i="3"/>
  <c r="L476" i="3"/>
  <c r="P731" i="3"/>
  <c r="L731" i="3"/>
  <c r="L733" i="3" s="1"/>
  <c r="L1218" i="3"/>
  <c r="L1602" i="3"/>
  <c r="H782" i="3"/>
  <c r="E49" i="4" s="1"/>
  <c r="F49" i="4" s="1"/>
  <c r="P837" i="3"/>
  <c r="L837" i="3"/>
  <c r="L839" i="3" s="1"/>
  <c r="P206" i="3"/>
  <c r="L206" i="3"/>
  <c r="L208" i="3" s="1"/>
  <c r="P817" i="3"/>
  <c r="L817" i="3"/>
  <c r="H300" i="3"/>
  <c r="E19" i="4" s="1"/>
  <c r="F19" i="4" s="1"/>
  <c r="H614" i="3"/>
  <c r="E39" i="4" s="1"/>
  <c r="F39" i="4" s="1"/>
  <c r="H1580" i="3"/>
  <c r="E94" i="4" s="1"/>
  <c r="F94" i="4" s="1"/>
  <c r="L134" i="3"/>
  <c r="L136" i="3" s="1"/>
  <c r="P134" i="3"/>
  <c r="P886" i="3"/>
  <c r="L886" i="3"/>
  <c r="L888" i="3" s="1"/>
  <c r="L1368" i="3"/>
  <c r="L1370" i="3" s="1"/>
  <c r="P1368" i="3"/>
  <c r="L1248" i="3"/>
  <c r="L1250" i="3" s="1"/>
  <c r="P1248" i="3"/>
  <c r="P716" i="3"/>
  <c r="L716" i="3"/>
  <c r="H1308" i="3"/>
  <c r="E82" i="4" s="1"/>
  <c r="F82" i="4" s="1"/>
  <c r="P1139" i="3"/>
  <c r="L1139" i="3"/>
  <c r="L856" i="3"/>
  <c r="P856" i="3"/>
  <c r="L268" i="3"/>
  <c r="L330" i="3"/>
  <c r="L332" i="3" s="1"/>
  <c r="P330" i="3"/>
  <c r="L582" i="3"/>
  <c r="L584" i="3" s="1"/>
  <c r="P582" i="3"/>
  <c r="P250" i="3"/>
  <c r="L250" i="3"/>
  <c r="L1470" i="3"/>
  <c r="L116" i="3"/>
  <c r="L252" i="3"/>
  <c r="H733" i="3"/>
  <c r="E46" i="4" s="1"/>
  <c r="F46" i="4" s="1"/>
  <c r="P114" i="3"/>
  <c r="L114" i="3"/>
  <c r="P979" i="3"/>
  <c r="L979" i="3"/>
  <c r="L316" i="3"/>
  <c r="P378" i="3"/>
  <c r="L378" i="3"/>
  <c r="L380" i="3" s="1"/>
  <c r="H839" i="3"/>
  <c r="E52" i="4" s="1"/>
  <c r="F52" i="4" s="1"/>
  <c r="P1075" i="3"/>
  <c r="L1075" i="3"/>
  <c r="L1077" i="3" s="1"/>
  <c r="H1442" i="3"/>
  <c r="L819" i="3"/>
  <c r="L191" i="3"/>
  <c r="H136" i="3"/>
  <c r="E9" i="4" s="1"/>
  <c r="F9" i="4" s="1"/>
  <c r="P394" i="3"/>
  <c r="L394" i="3"/>
  <c r="L396" i="3" s="1"/>
  <c r="H316" i="3"/>
  <c r="E20" i="4" s="1"/>
  <c r="F20" i="4" s="1"/>
  <c r="H380" i="3"/>
  <c r="E24" i="4" s="1"/>
  <c r="F24" i="4" s="1"/>
  <c r="L63" i="3"/>
  <c r="L718" i="3"/>
  <c r="P1346" i="3"/>
  <c r="L1346" i="3"/>
  <c r="H99" i="4"/>
  <c r="B13" i="5"/>
  <c r="C13" i="5" s="1"/>
  <c r="P474" i="3"/>
  <c r="L474" i="3"/>
  <c r="L1329" i="3"/>
  <c r="P1468" i="3"/>
  <c r="L1468" i="3"/>
  <c r="L1278" i="3"/>
  <c r="L981" i="3"/>
  <c r="L234" i="3"/>
  <c r="L236" i="3" s="1"/>
  <c r="P234" i="3"/>
  <c r="P646" i="3"/>
  <c r="L646" i="3"/>
  <c r="L648" i="3" s="1"/>
  <c r="P600" i="3"/>
  <c r="L600" i="3"/>
  <c r="L602" i="3" s="1"/>
  <c r="P1516" i="3"/>
  <c r="L1516" i="3"/>
  <c r="L1518" i="3" s="1"/>
  <c r="L1141" i="3"/>
  <c r="P1187" i="3"/>
  <c r="L1187" i="3"/>
  <c r="L1189" i="3" s="1"/>
  <c r="L490" i="3"/>
  <c r="L492" i="3" s="1"/>
  <c r="P490" i="3"/>
  <c r="P61" i="3"/>
  <c r="L61" i="3"/>
  <c r="L1348" i="3"/>
  <c r="H444" i="3"/>
  <c r="E28" i="4" s="1"/>
  <c r="F28" i="4" s="1"/>
  <c r="P1639" i="3"/>
  <c r="L1639" i="3"/>
  <c r="L1641" i="3" s="1"/>
  <c r="H564" i="3"/>
  <c r="E36" i="4" s="1"/>
  <c r="F36" i="4" s="1"/>
  <c r="H1278" i="3"/>
  <c r="E80" i="4" s="1"/>
  <c r="F80" i="4" s="1"/>
  <c r="P1442" i="3" l="1"/>
  <c r="L1442" i="3"/>
  <c r="L1444" i="3" s="1"/>
  <c r="H1444" i="3"/>
  <c r="E88" i="4" s="1"/>
  <c r="F88" i="4" s="1"/>
  <c r="F99" i="4" s="1"/>
  <c r="B3" i="5" s="1"/>
  <c r="B6" i="5" s="1"/>
  <c r="B9" i="5" l="1"/>
  <c r="B10" i="5" s="1"/>
</calcChain>
</file>

<file path=xl/sharedStrings.xml><?xml version="1.0" encoding="utf-8"?>
<sst xmlns="http://schemas.openxmlformats.org/spreadsheetml/2006/main" count="10656" uniqueCount="904">
  <si>
    <t>YSF HICH — PANO BOM / MALIYET KURALLARI (APEX CNC listesi -&gt; CHINT donusumu)</t>
  </si>
  <si>
    <t>BLOK 1 — KUR TABLOSU</t>
  </si>
  <si>
    <t>PARA</t>
  </si>
  <si>
    <t>KUR</t>
  </si>
  <si>
    <t>TARIH</t>
  </si>
  <si>
    <t>KZT</t>
  </si>
  <si>
    <t>2026-09-08</t>
  </si>
  <si>
    <t>USD</t>
  </si>
  <si>
    <t>EUR</t>
  </si>
  <si>
    <t>TRY</t>
  </si>
  <si>
    <t>BLOK 2 — MARKA KURAL TABLOSU</t>
  </si>
  <si>
    <t>MARKA</t>
  </si>
  <si>
    <t>KATSAYI1</t>
  </si>
  <si>
    <t>KATSAYI2</t>
  </si>
  <si>
    <t>TOPLAM</t>
  </si>
  <si>
    <t>GIRDI_TIPI</t>
  </si>
  <si>
    <t>NOT</t>
  </si>
  <si>
    <t>ABB</t>
  </si>
  <si>
    <t>LISTE</t>
  </si>
  <si>
    <t>standart</t>
  </si>
  <si>
    <t>SCHNEIDER</t>
  </si>
  <si>
    <t>fiyat listesi bu dosyada yok — FIYAT_YOK</t>
  </si>
  <si>
    <t>CHINT</t>
  </si>
  <si>
    <t>%40 iskonto; liste 27.08.2026 / 02.02.2026</t>
  </si>
  <si>
    <t>CNC</t>
  </si>
  <si>
    <t>kullanilmadi (donusum kaynagi)</t>
  </si>
  <si>
    <t>IEK</t>
  </si>
  <si>
    <t>EKF</t>
  </si>
  <si>
    <t>referans, fiyat yasak</t>
  </si>
  <si>
    <t>EKT</t>
  </si>
  <si>
    <t>liste 2025-06-12 — GUNCELLE</t>
  </si>
  <si>
    <t>KAZTEK</t>
  </si>
  <si>
    <t>korpus, liste 2026-07-15</t>
  </si>
  <si>
    <t>BAKIR-BARA</t>
  </si>
  <si>
    <t>NET</t>
  </si>
  <si>
    <t>kg fiyatindan hesaplanir</t>
  </si>
  <si>
    <t>ALUM-BARA</t>
  </si>
  <si>
    <t>MUADIL-NET</t>
  </si>
  <si>
    <t>ISCILIK</t>
  </si>
  <si>
    <t>BLOK 3 — ISCILIK VE MONTAJ SARFI (TEKLED normlari — sari hucreler duzenlenebilir)</t>
  </si>
  <si>
    <t>ISCILIK_DK_UCRETI (KZT/dakika)</t>
  </si>
  <si>
    <t>TEST_ETIKET_CARPANI</t>
  </si>
  <si>
    <t>MONTAJ_MALZEME_ORANI (malzeme bedelinin %)</t>
  </si>
  <si>
    <t>NORM TABLOSU (dakika / adet)</t>
  </si>
  <si>
    <t>NORM_KEY</t>
  </si>
  <si>
    <t>DAKIKA</t>
  </si>
  <si>
    <t>ACIKLAMA</t>
  </si>
  <si>
    <t>OTO_1P</t>
  </si>
  <si>
    <t>modüler otomat 1P</t>
  </si>
  <si>
    <t>OTO_2P</t>
  </si>
  <si>
    <t>modüler otomat 2P</t>
  </si>
  <si>
    <t>OTO_3P</t>
  </si>
  <si>
    <t>modüler otomat 3P</t>
  </si>
  <si>
    <t>OTO_4P</t>
  </si>
  <si>
    <t>modüler otomat 4P</t>
  </si>
  <si>
    <t>DIF_2P</t>
  </si>
  <si>
    <t>UZO/dif. otomat 1P+N-2P</t>
  </si>
  <si>
    <t>DIF_4P</t>
  </si>
  <si>
    <t>UZO/dif. otomat 4P</t>
  </si>
  <si>
    <t>DIF_MODUL</t>
  </si>
  <si>
    <t>kompakt salter dif. modulu</t>
  </si>
  <si>
    <t>TMS_125</t>
  </si>
  <si>
    <t>kompakt salter 125 govde</t>
  </si>
  <si>
    <t>TMS_250</t>
  </si>
  <si>
    <t>kompakt salter 250 govde</t>
  </si>
  <si>
    <t>TMS_400</t>
  </si>
  <si>
    <t>kompakt salter 400 govde</t>
  </si>
  <si>
    <t>TMS_630</t>
  </si>
  <si>
    <t>kompakt salter 630 govde</t>
  </si>
  <si>
    <t>TMS_1600</t>
  </si>
  <si>
    <t>kompakt salter 1600 govde</t>
  </si>
  <si>
    <t>MOTOR_KORUMA</t>
  </si>
  <si>
    <t>motor koruma salteri</t>
  </si>
  <si>
    <t>ACB</t>
  </si>
  <si>
    <t>acik tip salter (ACB) cekmeceli</t>
  </si>
  <si>
    <t>OPN</t>
  </si>
  <si>
    <t>parafudr</t>
  </si>
  <si>
    <t>FU_TUTUCU</t>
  </si>
  <si>
    <t>sigorta yuvasi</t>
  </si>
  <si>
    <t>FU</t>
  </si>
  <si>
    <t>sigorta busonu</t>
  </si>
  <si>
    <t>SAYAC</t>
  </si>
  <si>
    <t>elektrik sayaci</t>
  </si>
  <si>
    <t>TT</t>
  </si>
  <si>
    <t>akim trafosu</t>
  </si>
  <si>
    <t>KONTAKTOR</t>
  </si>
  <si>
    <t>kontaktor</t>
  </si>
  <si>
    <t>ROLE</t>
  </si>
  <si>
    <t>role / role altligi</t>
  </si>
  <si>
    <t>LAMB</t>
  </si>
  <si>
    <t>sinyal lambasi</t>
  </si>
  <si>
    <t>BUTON</t>
  </si>
  <si>
    <t>buton / secici anahtar</t>
  </si>
  <si>
    <t>BLOK</t>
  </si>
  <si>
    <t>dagitim / nötr barasi blogu</t>
  </si>
  <si>
    <t>AKSESUAR</t>
  </si>
  <si>
    <t>salter aksesuari (KM, yardimci kontak)</t>
  </si>
  <si>
    <t>KLEMENS</t>
  </si>
  <si>
    <t>klemens (adet)</t>
  </si>
  <si>
    <t>RUBILNIK</t>
  </si>
  <si>
    <t>sigortali yuk ayirici</t>
  </si>
  <si>
    <t>BARA_KG</t>
  </si>
  <si>
    <t>bakir/alu bara (kg basina)</t>
  </si>
  <si>
    <t>KORPUS_KUCUK</t>
  </si>
  <si>
    <t>kucuk duvar tipi korpus</t>
  </si>
  <si>
    <t>KORPUS_ORTA</t>
  </si>
  <si>
    <t>orta boy duvar tipi korpus</t>
  </si>
  <si>
    <t>KORPUS_DIKILI</t>
  </si>
  <si>
    <t>dikili / ayakli korpus</t>
  </si>
  <si>
    <t>KONDANSATOR</t>
  </si>
  <si>
    <t>kompanzasyon kondansatoru</t>
  </si>
  <si>
    <t>BLOK 4 — FIYAT LISTESI YAS DENETIMI</t>
  </si>
  <si>
    <t>Marka</t>
  </si>
  <si>
    <t>Dosya</t>
  </si>
  <si>
    <t>Tarih</t>
  </si>
  <si>
    <t>Yas (ay)</t>
  </si>
  <si>
    <t>Durum</t>
  </si>
  <si>
    <t>260827 chint price Остатки.xlsx (dogrulanmis kalemler)</t>
  </si>
  <si>
    <t>2026-08-27</t>
  </si>
  <si>
    <t>260202 Остатки и доступность товаров с ценой.xlsx</t>
  </si>
  <si>
    <t>2026-02-02</t>
  </si>
  <si>
    <t>2607 15 Kaztek pano fiyat listesi.XLSX</t>
  </si>
  <si>
    <t>2026-07-15</t>
  </si>
  <si>
    <t>EKT liste</t>
  </si>
  <si>
    <t>2025-06-12</t>
  </si>
  <si>
    <t>EKF liste</t>
  </si>
  <si>
    <t>2026-01-05</t>
  </si>
  <si>
    <t>BLOK 5 — TICARI</t>
  </si>
  <si>
    <t>KAR_ORANI</t>
  </si>
  <si>
    <t>ISKONTO</t>
  </si>
  <si>
    <t>NDS_ORANI</t>
  </si>
  <si>
    <t>TEKLIF_GECERLILIK</t>
  </si>
  <si>
    <t>URETIM_SURESI</t>
  </si>
  <si>
    <t>ODEME_SARTI</t>
  </si>
  <si>
    <t>GARANTI</t>
  </si>
  <si>
    <t>BLOK 6 — METAL FIYATI</t>
  </si>
  <si>
    <t>BAKIR_KG_USD</t>
  </si>
  <si>
    <t>ALUM_KG_USD</t>
  </si>
  <si>
    <t>USD_KZT</t>
  </si>
  <si>
    <t>BAKIR_KG_KZT</t>
  </si>
  <si>
    <t>ALUM_KG_KZT</t>
  </si>
  <si>
    <t>BLOK 7 — DONUSUM NOTLARI</t>
  </si>
  <si>
    <t>• Kaynak liste: APEX CNC.xlsx — СПЕЦИФИКАЦИЯ (97 pano tipi, 169 komple pano) + СВОДНАЯ СТРАНИЦА (pano adetleri).</t>
  </si>
  <si>
    <t>• Karsilastirma: 260908 Rustu_Bey_2_CNC_BOM gp.xlsx (ayni kaynaktan uretilmis CNC BOM) — pano/kalem yapisi birebir ayni tutulmustur.</t>
  </si>
  <si>
    <t>• CNC markali her kalem CHINT muadili ile degistirildi; CNC disi kalemler (Aysel korpus, Schneider, Elektron sayac, Schetchik AT, EKF, AVT UPS, bara) aynen korundu.</t>
  </si>
  <si>
    <t>• Korpuslar KAZTEK/TEKSAN karsiliklarina cevrildi (kural: korpus onceligi Kaztek/Teksan). Olculer proje olcusuyle birebir degildir — hepsi KONTROL isaretlidir.</t>
  </si>
  <si>
    <t>• CHINT fiyatlari: 27.08.2026 listesinden dogrulanmis kalemler oncelikli, kalanlar 02.02.2026 stok/fiyat listesinden. Her satirda KAYNAK sutununda yazilidir.</t>
  </si>
  <si>
    <t>• Iki liste arasinda MCB fiyatlari ayni; UZO ve NM8N kalemlerinde 02.2026 fiyatlari ~%5-8 dusuktur — 27.08.2026 listesi bu makinede bulunamadi, GUNCELLE.</t>
  </si>
  <si>
    <t>• Fiyati olmayan kalemler silinmedi: F/G/H bos, DURUM=FIYAT_YOK. Toplamlar eksikligi gorunur sekilde yansitir.</t>
  </si>
  <si>
    <t>• Pano ici kablo/DIN ray/kanal/klemens ayri satir degildir — APEX listesindeki "Sarf Malzeme" (MONTAJ-MALZEME) satirinda toplanmistir.</t>
  </si>
  <si>
    <t>• Iscilik satiri APEX listesinde yoktu; KURALLAR BLOK 3 norm tablosuna (dakika/adet) gore hesaplandi. Kol-vo sutunu DAKIKA, birim fiyat 100 KZT/dk, x1,15 test/etiket carpani.</t>
  </si>
  <si>
    <t>• Montaj sarf malzemesi = pano malzeme bedelinin yuzde 7si (MONTAJ_MALZEME_ORANI sari hucresi).</t>
  </si>
  <si>
    <t>• BOM DURUM sutunu formuldur: satirda tutar olusmadigi surece FIYAT_YOK yazar, elle fiyat girilince FIYAT sayfasindaki BAZ_DURUM degerine doner.</t>
  </si>
  <si>
    <t>• Pano ici malzeme miktarlari 1 pano icindir; komplekt adedi OZET sayfasindadir.</t>
  </si>
  <si>
    <t>SIRA</t>
  </si>
  <si>
    <t>ARTIKUL</t>
  </si>
  <si>
    <t>НОМЕНКЛАТУРА</t>
  </si>
  <si>
    <t>TIP</t>
  </si>
  <si>
    <t>LISTE_FIYAT</t>
  </si>
  <si>
    <t>KATSAYI</t>
  </si>
  <si>
    <t>NET_KZT</t>
  </si>
  <si>
    <t>BIRIM</t>
  </si>
  <si>
    <t>TOPLAM_ADET</t>
  </si>
  <si>
    <t>TOPLAM_TUTAR</t>
  </si>
  <si>
    <t>KAYNAK</t>
  </si>
  <si>
    <t>DURUM</t>
  </si>
  <si>
    <t>BAZ_DURUM</t>
  </si>
  <si>
    <t>271534</t>
  </si>
  <si>
    <t>Авт. выкл. NM8N-125C TM 3P 32А 36кА с рег. термомаг. расцепителем (R)</t>
  </si>
  <si>
    <t>TMS</t>
  </si>
  <si>
    <t>Шт.</t>
  </si>
  <si>
    <t>CHINT 27.08.2026</t>
  </si>
  <si>
    <t>CHINT'te 63A govde yok; NM8N-125C 36kA govdesi alindi</t>
  </si>
  <si>
    <t>MUADIL</t>
  </si>
  <si>
    <t>200231</t>
  </si>
  <si>
    <t>УЗО NL1-63 6kA 4P 63A 300mA тип AC (R)</t>
  </si>
  <si>
    <t>DIF</t>
  </si>
  <si>
    <t>4P 63A 300mA AC — birebir</t>
  </si>
  <si>
    <t>OK</t>
  </si>
  <si>
    <t>521260</t>
  </si>
  <si>
    <t>Держатель плавкой вставки RT36-00-160, габарит 00, 160А</t>
  </si>
  <si>
    <t>CHINT'te 14x51 (63A) silindirik yuva yok; NH00 (RT36-00) bicak sigorta yuvasi alindi — montaj/boyut farki KONTROL</t>
  </si>
  <si>
    <t>521347</t>
  </si>
  <si>
    <t>Плавкая вставка предохранителя RT36-00-160, габарит 00, 63А</t>
  </si>
  <si>
    <t>CHINT 02.02.2026</t>
  </si>
  <si>
    <t>14x51 63A yerine NH00 63A busonu</t>
  </si>
  <si>
    <t>252578</t>
  </si>
  <si>
    <t>Ограничитель имп. перенапр. NU6-IIG 4Р In=25kA Uc=440B Im=65kA (R)</t>
  </si>
  <si>
    <t>CNC YCS6-B 4P 60kA 420V -&gt; CHINT NU6-IIG 4P Uc=440V In=25kA Imax=65kA. Class I (Iimp) isteniyorsa 308602 NXU-I+II 4P KONTROL</t>
  </si>
  <si>
    <t>MUADIL_ONAY</t>
  </si>
  <si>
    <t>814172</t>
  </si>
  <si>
    <t>Авт. выкл. NXB-63 3P 25A 6кА х-ка C (R)</t>
  </si>
  <si>
    <t>OTO</t>
  </si>
  <si>
    <t>3P 25A 6kA C — birebir</t>
  </si>
  <si>
    <t>814014</t>
  </si>
  <si>
    <t>Авт. выкл. NXB-63 1P 16A 6кА х-ка C (R)</t>
  </si>
  <si>
    <t>1P 16A 6kA C — birebir</t>
  </si>
  <si>
    <t>200316</t>
  </si>
  <si>
    <t>УЗО NL1-63 6kA 4P 25A 30mA тип AC (R)</t>
  </si>
  <si>
    <t>4P 25A 30mA AC — birebir</t>
  </si>
  <si>
    <t>200359</t>
  </si>
  <si>
    <t>УЗО NL1-63 6kA 2P 16A 30mA тип AC (R)</t>
  </si>
  <si>
    <t>2P 16A 30mA AC — birebir</t>
  </si>
  <si>
    <t>814015</t>
  </si>
  <si>
    <t>Авт. выкл. NXB-63 1P 20A 6кА х-ка C (R)</t>
  </si>
  <si>
    <t>1P 20A 6kA C — birebir</t>
  </si>
  <si>
    <t>814013</t>
  </si>
  <si>
    <t>Авт. выкл. NXB-63 1P 10A 6кА х-ка C (R)</t>
  </si>
  <si>
    <t>1P 10A 6kA C — birebir</t>
  </si>
  <si>
    <t>718-84007</t>
  </si>
  <si>
    <t>Шина "N" нулевая 6х9мм на DIN-рейку в корпусном изоляторе ШНИ 12К IEK (10)</t>
  </si>
  <si>
    <t>KAZTEK 15.07.2026</t>
  </si>
  <si>
    <t>CHINT listesinde 4x11 dagitim blogu yok; 4 kutup icin 4 ad. izoleli SHNI 12K barasi alindi (adet x4)</t>
  </si>
  <si>
    <t>MONTAJ-MALZEME</t>
  </si>
  <si>
    <t>Монтажный расходный материал (кабель, DIN-рейка, кабель-канал, клеммы, маркировка, крепёж)</t>
  </si>
  <si>
    <t>MONTAJNYY MATERIAL</t>
  </si>
  <si>
    <t>компл.</t>
  </si>
  <si>
    <t>KURALLAR oran</t>
  </si>
  <si>
    <t>pano ici sarf malzemesi = pano malzeme bedelinin %si (KURALLAR BLOK 3 sari hucre)</t>
  </si>
  <si>
    <t>ORAN</t>
  </si>
  <si>
    <t>719-15380</t>
  </si>
  <si>
    <t>ЩМП (инд.) IP31 (650х500х150мм)</t>
  </si>
  <si>
    <t>KORPUS</t>
  </si>
  <si>
    <t>proje 460x700x200 duvar tipi FORM 2B -&gt; KAZTEK 650x500x150; olcu/FORM sinifi KONTROL</t>
  </si>
  <si>
    <t>VARSAYIM</t>
  </si>
  <si>
    <t>ISCILIK-MONTAJ</t>
  </si>
  <si>
    <t>Сборка, кабелирование, маркировка, момент затяжки, испытания</t>
  </si>
  <si>
    <t>MONTAJNAYA RABOTA</t>
  </si>
  <si>
    <t>мин</t>
  </si>
  <si>
    <t>TEKLED norm</t>
  </si>
  <si>
    <t>montaj+test iscilik — dakika normlari KURALLAR BLOK 3 sari hucrelerinden, x1,15 test/etiket</t>
  </si>
  <si>
    <t>271538</t>
  </si>
  <si>
    <t>Авт. выкл. NM8N-125C TM 3P 80А 36кА с рег. термомаг. расцепителем (R)</t>
  </si>
  <si>
    <t>125 govde 80A 36kA — birebir</t>
  </si>
  <si>
    <t>449980</t>
  </si>
  <si>
    <t>Диф. модуль NM8NL-125 4P RCD1 X рег. ток утечки 0,03-0,05-0,1-0,2-0,3-0,5-1-2 A (R)</t>
  </si>
  <si>
    <t>CHINT NL1-63 serisi max 63A — 4P 100A 300mA UZO yok. NM8N-125 4P govde + NM8NL-125 dif modulu teklif edildi; pano giris salteri 4P govdeye cevrilmelidir KONTROL</t>
  </si>
  <si>
    <t>CIHAZ_BELIRSIZ</t>
  </si>
  <si>
    <t>814012</t>
  </si>
  <si>
    <t>Авт. выкл. NXB-63 1P 6A 6кА х-ка C (R)</t>
  </si>
  <si>
    <t>1P 6A 6kA C — birebir</t>
  </si>
  <si>
    <t>593085</t>
  </si>
  <si>
    <t>Индикатор ND16-22DS/4 белый АС230В (R)</t>
  </si>
  <si>
    <t>beyaz sinyal lambasi 230V</t>
  </si>
  <si>
    <t>814174</t>
  </si>
  <si>
    <t>Авт. выкл. NXB-63 3P 40A 6кА х-ка C (R)</t>
  </si>
  <si>
    <t>3P 40A 6kA C — birebir</t>
  </si>
  <si>
    <t>EX-518U-100A</t>
  </si>
  <si>
    <t>Трехфазный эл.счетчик EX 518 10(100)А (прям. подкл.) с PLC модулем</t>
  </si>
  <si>
    <t>Elektron Xisoblagich sayaci — CHINT listesinde yok, fiyat alinacak</t>
  </si>
  <si>
    <t>KONTROL</t>
  </si>
  <si>
    <t>BARA-AL-SAT</t>
  </si>
  <si>
    <t>Шина алюминиевая твёрдая (ШАТ)</t>
  </si>
  <si>
    <t>SINA</t>
  </si>
  <si>
    <t>Кг.</t>
  </si>
  <si>
    <t>alu bara — kg fiyati KURALLAR BLOK 8'den hesaplanir</t>
  </si>
  <si>
    <t>719-15636</t>
  </si>
  <si>
    <t>Щит (moduler) 2000x800x800+100</t>
  </si>
  <si>
    <t>proje 900x2100x400 -&gt; KAZTEK 2000x800x800+baza (genislik eksik); olcu KONTROL</t>
  </si>
  <si>
    <t>271536</t>
  </si>
  <si>
    <t>Авт. выкл. NM8N-125C TM 3P 50А 36кА с рег. термомаг. расцепителем (R)</t>
  </si>
  <si>
    <t>719-15626</t>
  </si>
  <si>
    <t>Мет. Щит (2000x700x500) +10CM BAZA IP54</t>
  </si>
  <si>
    <t>proje 700x2100x400 -&gt; KAZTEK 2000x700x500+baza; FORM sinifi KONTROL</t>
  </si>
  <si>
    <t>269252</t>
  </si>
  <si>
    <t>Авт. выкл. NM8N-630S TM 3P 500А 50кА с рег. термомаг. расцепителем (R)</t>
  </si>
  <si>
    <t>36kA kademesinde 500A yok, 50kA (630S) alindi</t>
  </si>
  <si>
    <t>269604</t>
  </si>
  <si>
    <t>Независимый расцепитель SHT22-M8 AC220-240V для NM8N-250/400/630 (R)</t>
  </si>
  <si>
    <t>NM8N-250/400/630 govdesi icin bagimsiz acici</t>
  </si>
  <si>
    <t>RELE-KACAK-AYARLI-LCD</t>
  </si>
  <si>
    <t>Реле защиты от утечки тока с LCD индикацией (регулируемое) — CHINT листинге нет</t>
  </si>
  <si>
    <t>CHINT stok listesinde ayarli kacak akim koruma rolesi (LCD) yok — FIYAT ALINACAK</t>
  </si>
  <si>
    <t>50442</t>
  </si>
  <si>
    <t>Schneider Vigilohm GA300 — тороид тип A, Ø300мм</t>
  </si>
  <si>
    <t>toroid Ø300; CHINT muadili yok KONTROL</t>
  </si>
  <si>
    <t>271535</t>
  </si>
  <si>
    <t>Авт. выкл. NM8N-125C TM 3P 40А 36кА с рег. термомаг. расцепителем (R)</t>
  </si>
  <si>
    <t>TT-066-500-5</t>
  </si>
  <si>
    <t>Трансформатор тока Т-0.66-1,2 У3 500/5А (для счётчика)</t>
  </si>
  <si>
    <t>sayac akim trafosu 500/5A — CHINT listesinde uygun oran yok</t>
  </si>
  <si>
    <t>KKI1-1</t>
  </si>
  <si>
    <t>КОРОБКА КЛЕММНАЯ ИСПЫТАТЕЛЬНАЯ ПЕРЕХОДНАЯ ККИ1-1 EKF PROXIMA</t>
  </si>
  <si>
    <t>EKF referans marka — fiyat kullanilmaz (kural). CHINT/IEK muadili KONTROL</t>
  </si>
  <si>
    <t>EX-518U-5A</t>
  </si>
  <si>
    <t>Трехфазный эл.счетчик EX 518 5А (трансф. подкл.) с PLC модулем</t>
  </si>
  <si>
    <t>268936</t>
  </si>
  <si>
    <t>Авт. выкл. NM8N-400C TM 3P 315А 36кА с рег. термомаг. расцепителем (R)</t>
  </si>
  <si>
    <t>400 govde 315A 36kA — birebir</t>
  </si>
  <si>
    <t>TOROID-100</t>
  </si>
  <si>
    <t>Тороидальный трансформатор тока Ø100мм (250-400A) — CHINT листинге нет</t>
  </si>
  <si>
    <t>toroidal AT Ø100 — CHINT stok listesinde yok</t>
  </si>
  <si>
    <t>271144</t>
  </si>
  <si>
    <t>Авт. выкл. NM8N-250C TM 3P 200А 36кА с рег. термомаг. расцепителем (R)</t>
  </si>
  <si>
    <t>250 govde 200A 36kA — birebir</t>
  </si>
  <si>
    <t>TT-066-200-5</t>
  </si>
  <si>
    <t>Трансформатор тока Т-0.66-1,2 У3 200/5А (для счётчика)</t>
  </si>
  <si>
    <t>sayac akim trafosu 200/5A — CHINT listesinde uygun oran yok</t>
  </si>
  <si>
    <t>271142</t>
  </si>
  <si>
    <t>Авт. выкл. NM8N-250C TM 3P 160А 36кА с рег. термомаг. расцепителем (R)</t>
  </si>
  <si>
    <t>250 govde 160A 36kA — birebir</t>
  </si>
  <si>
    <t>TT-066-150-5</t>
  </si>
  <si>
    <t>Трансформатор тока Т-0.66-1,2 У3 150/5А (для счётчика)</t>
  </si>
  <si>
    <t>sayac akim trafosu 150/5A — CHINT listesinde uygun oran yok</t>
  </si>
  <si>
    <t>814170</t>
  </si>
  <si>
    <t>Авт. выкл. NXB-63 3P 16A 6кА х-ка C (R)</t>
  </si>
  <si>
    <t>3P 16A 6kA C — birebir</t>
  </si>
  <si>
    <t>719-15445</t>
  </si>
  <si>
    <t>Мет.Корпус ЩМП-5 (1000x650x300) IP31</t>
  </si>
  <si>
    <t>proje 560x900x200 -&gt; KAZTEK 1000x650x300; olcu/FORM sinifi KONTROL</t>
  </si>
  <si>
    <t>719-15420</t>
  </si>
  <si>
    <t>Мет.Корпус ЩМП-4 (800x650x250) IP54</t>
  </si>
  <si>
    <t>proje 560x700x200 -&gt; KAZTEK 800x650x250; olcu/FORM sinifi KONTROL</t>
  </si>
  <si>
    <t>198123</t>
  </si>
  <si>
    <t>Диф. авт. выкл. NB1L-40 4P C25 30mA тип AC 6kA (R)</t>
  </si>
  <si>
    <t>CNC 4P C25 30mA -&gt; CHINT NB1L-40 4P C25 30mA AC</t>
  </si>
  <si>
    <t>203021</t>
  </si>
  <si>
    <t>Диф. авт. выкл. NB1L 1P+N C25 30mA тип A 6kA (36mm) (R)</t>
  </si>
  <si>
    <t>CNC 1P+N C25 30mA -&gt; CHINT NB1L 1P+N C25 30mA tip A (CNC tipi AC ise tip farki KONTROL)</t>
  </si>
  <si>
    <t>271531</t>
  </si>
  <si>
    <t>Авт. выкл. NM8N-125C TM 3P 16А 36кА с рег. термомаг. расцепителем (R)</t>
  </si>
  <si>
    <t>814016</t>
  </si>
  <si>
    <t>Авт. выкл. NXB-63 1P 25A 6кА х-ка C (R)</t>
  </si>
  <si>
    <t>1P 25A 6kA C — birebir</t>
  </si>
  <si>
    <t>200302</t>
  </si>
  <si>
    <t>УЗО NL1-63 6kA 2P 25A 30mA тип AC (R)</t>
  </si>
  <si>
    <t>2P 25A 30mA AC — birebir</t>
  </si>
  <si>
    <t>271533</t>
  </si>
  <si>
    <t>Авт. выкл. NM8N-125C TM 3P 25А 36кА с рег. термомаг. расцепителем (R)</t>
  </si>
  <si>
    <t>269599</t>
  </si>
  <si>
    <t>Независимый расцепитель SHT21-M8 AC220-240V для NM8N-125 (R)</t>
  </si>
  <si>
    <t>NM8N-125 govdesi icin bagimsiz acici</t>
  </si>
  <si>
    <t>TOROID-45</t>
  </si>
  <si>
    <t>Тороидальный трансформатор тока Ø45мм (16-100A) — CHINT листинге нет</t>
  </si>
  <si>
    <t>toroidal AT Ø45 — CHINT stok listesinde yok</t>
  </si>
  <si>
    <t>814176</t>
  </si>
  <si>
    <t>Авт. выкл. NXB-63 3P 63A 6кА х-ка C (R)</t>
  </si>
  <si>
    <t>3P 63A 6kA C — birebir</t>
  </si>
  <si>
    <t>814175</t>
  </si>
  <si>
    <t>Авт. выкл. NXB-63 3P 50A 6кА х-ка C (R)</t>
  </si>
  <si>
    <t>3P 50A 6kA C — birebir</t>
  </si>
  <si>
    <t>LGY416048</t>
  </si>
  <si>
    <t>Schneider Linergy DS — распределительный блок 4P 160A 48 отв.</t>
  </si>
  <si>
    <t>dagitim blogu; CHINT muadili yok KONTROL</t>
  </si>
  <si>
    <t>814171</t>
  </si>
  <si>
    <t>Авт. выкл. NXB-63 3P 20A 6кА х-ка C (R)</t>
  </si>
  <si>
    <t>3P 20A 6kA C — birebir</t>
  </si>
  <si>
    <t>495083</t>
  </si>
  <si>
    <t>Пускатель NS2-25 13-18A (R)</t>
  </si>
  <si>
    <t>motor koruma salteri 13-18A</t>
  </si>
  <si>
    <t>271537</t>
  </si>
  <si>
    <t>Авт. выкл. NM8N-125C TM 3P 63А 36кА с рег. термомаг. расцепителем (R)</t>
  </si>
  <si>
    <t>271146</t>
  </si>
  <si>
    <t>Авт. выкл. NM8N-250C TM 3P 250А 36кА с рег. термомаг. расцепителем (R)</t>
  </si>
  <si>
    <t>250 govde 250A 36kA — birebir</t>
  </si>
  <si>
    <t>814169</t>
  </si>
  <si>
    <t>Авт. выкл. NXB-63 3P 10A 6кА х-ка C (R)</t>
  </si>
  <si>
    <t>3P 10A 6kA C — birebir</t>
  </si>
  <si>
    <t>495089</t>
  </si>
  <si>
    <t>Пускатель NS2-80B 56A-80A (R)</t>
  </si>
  <si>
    <t>motor koruma salteri 56-80A</t>
  </si>
  <si>
    <t>495087</t>
  </si>
  <si>
    <t>Пускатель NS2-80B 25A-40A (R)</t>
  </si>
  <si>
    <t>motor koruma salteri 25-40A</t>
  </si>
  <si>
    <t>495081</t>
  </si>
  <si>
    <t>Пускатель NS2-25 6-10A (R)</t>
  </si>
  <si>
    <t>motor koruma salteri 6-10A</t>
  </si>
  <si>
    <t>271539</t>
  </si>
  <si>
    <t>Авт. выкл. NM8N-125C TM 3P 100А 36кА с рег. термомаг. расцепителем (R)</t>
  </si>
  <si>
    <t>125 govde 100A 36kA — birebir</t>
  </si>
  <si>
    <t>719-15562</t>
  </si>
  <si>
    <t>Мет. Корпус ЩМП- 6 (1200х750х300) IP54</t>
  </si>
  <si>
    <t>proje 560x1200x200 -&gt; KAZTEK 1200x750x300; olcu/FORM sinifi KONTROL</t>
  </si>
  <si>
    <t>814018</t>
  </si>
  <si>
    <t>Авт. выкл. NXB-63 1P 40A 6кА х-ка C (R)</t>
  </si>
  <si>
    <t>1P 40A 6kA C — birebir</t>
  </si>
  <si>
    <t>495088</t>
  </si>
  <si>
    <t>Пускатель NS2-80B 40A-63A (R)</t>
  </si>
  <si>
    <t>motor koruma salteri 40-63A</t>
  </si>
  <si>
    <t>268938</t>
  </si>
  <si>
    <t>Авт. выкл. NM8N-400C TM 3P 400А 36кА с рег. термомаг. расцепителем (R)</t>
  </si>
  <si>
    <t>400 govde 400A 36kA — birebir</t>
  </si>
  <si>
    <t>TT-066-400-5</t>
  </si>
  <si>
    <t>Трансформатор тока Т-0.66-1,2 У3 400/5А (для счётчика)</t>
  </si>
  <si>
    <t>sayac akim trafosu 400/5A — CHINT listesinde uygun oran yok</t>
  </si>
  <si>
    <t>TT-066-100-5</t>
  </si>
  <si>
    <t>Трансформатор тока Т-0.66-1,2 У3 100/5А (для счётчика)</t>
  </si>
  <si>
    <t>sayac akim trafosu 100/5A — CHINT listesinde uygun oran yok</t>
  </si>
  <si>
    <t>101230</t>
  </si>
  <si>
    <t>Воздушный авт. выкл. NA1-6300-5000M/3P выдвиж., 5000A, 120kA, тип M, AC230В (R)</t>
  </si>
  <si>
    <t>CNC 4P/5000A; CHINT listesinde 5000A yalnizca 3P — 4P versiyon FIYAT/TEDARIK KONTROL</t>
  </si>
  <si>
    <t>TT-066-5000-5</t>
  </si>
  <si>
    <t>Трансформатор тока Т-0.66-1,2 У3 5000/5А (для счётчика)</t>
  </si>
  <si>
    <t>sayac akim trafosu 5000/5A — CHINT listesinde uygun oran yok</t>
  </si>
  <si>
    <t>TT-5000-5</t>
  </si>
  <si>
    <t>Трансформатор тока 5000/5А кл. 0,5 — CHINT листинге нет</t>
  </si>
  <si>
    <t>CHINT stok listesinde 5000/5A oran yok (max 3000/5A) — FIYAT ALINACAK</t>
  </si>
  <si>
    <t>METSEPM5560</t>
  </si>
  <si>
    <t>Schneider PM5560 — анализатор сети, 2xEthernet, 4DI/2DO</t>
  </si>
  <si>
    <t>Schneider sebeke analizoru; CHINT muadili KONTROL</t>
  </si>
  <si>
    <t>SR3B261FU</t>
  </si>
  <si>
    <t>Schneider Zelio SR3B261FU — программируемое реле 26 I/O</t>
  </si>
  <si>
    <t>programlanabilir role; CHINT muadili yok KONTROL</t>
  </si>
  <si>
    <t>SR3XT141FU</t>
  </si>
  <si>
    <t>Schneider Zelio SR3XT141FU — модуль расширения 14 I/O</t>
  </si>
  <si>
    <t>genisleme modulu KONTROL</t>
  </si>
  <si>
    <t>697027</t>
  </si>
  <si>
    <t>Реле контроля фаз NJYB3-8 AC380V (R)</t>
  </si>
  <si>
    <t>faz kontrol rolesi; kontak sayisi/ayar araligi KONTROL</t>
  </si>
  <si>
    <t>258312</t>
  </si>
  <si>
    <t>Реле времени NTE8-M2 (7 устанавл. функц.) АС230B (R)</t>
  </si>
  <si>
    <t>cok fonksiyonlu zaman rolesi</t>
  </si>
  <si>
    <t>RXM4AB1P7</t>
  </si>
  <si>
    <t>Schneider RXM4AB1P7 — миниатюрное реле 6A 4CO</t>
  </si>
  <si>
    <t>CHINT muadili NXJ serisi KONTROL</t>
  </si>
  <si>
    <t>RXZE2M114M</t>
  </si>
  <si>
    <t>Schneider RXZE2M114M — колодка для реле RXM2/RXM4</t>
  </si>
  <si>
    <t>ROLE ALTLIGI</t>
  </si>
  <si>
    <t>CHINT muadili role altligi KONTROL</t>
  </si>
  <si>
    <t>574849</t>
  </si>
  <si>
    <t>Переключатель NP2-BD33, 3 положения с фиксацией, 2НО IP40</t>
  </si>
  <si>
    <t>3 pozisyonlu secici anahtar</t>
  </si>
  <si>
    <t>574843</t>
  </si>
  <si>
    <t>Кнопка управления NP2-BA42 без подсветки красная 1НЗ IP40</t>
  </si>
  <si>
    <t>kirmizi STOP butonu 1NK</t>
  </si>
  <si>
    <t>574842</t>
  </si>
  <si>
    <t>Кнопка управления NP2-BA31 без подсветки зеленая 1НО IP40</t>
  </si>
  <si>
    <t>yesil START butonu 1NO</t>
  </si>
  <si>
    <t>593071</t>
  </si>
  <si>
    <t>Индикатор ND16-22DS/4 зеленый АС230В (R)</t>
  </si>
  <si>
    <t>yesil sinyal lambasi 230V</t>
  </si>
  <si>
    <t>593012</t>
  </si>
  <si>
    <t>Индикатор ND16-22DS/4 красный АС230В (R)</t>
  </si>
  <si>
    <t>kirmizi sinyal lambasi 230V</t>
  </si>
  <si>
    <t>814092</t>
  </si>
  <si>
    <t>Авт. выкл. NXB-63 2P 16A 6кА х-ка C (R)</t>
  </si>
  <si>
    <t>CNC YCB6-63H 2P C16 6kA -&gt; CHINT NXB-63 2P 16A 6kA</t>
  </si>
  <si>
    <t>221033</t>
  </si>
  <si>
    <t>Контактор NC1-0910 9А 230В/АС3 1НО 50Гц (R)</t>
  </si>
  <si>
    <t>CJX2-0910 9A 220V -&gt; CHINT NC1-0910 9A 230V</t>
  </si>
  <si>
    <t>UPS-3000VA</t>
  </si>
  <si>
    <t>ИБП 3000VA line-interactive, синус, батареи 4x9Ah</t>
  </si>
  <si>
    <t>UPS — CHINT kapsaminda degil; &gt;=30 dk otonomi ve manuel bypass KONTROL</t>
  </si>
  <si>
    <t>KUBLAJ-TRAFO</t>
  </si>
  <si>
    <t>Система кабельного ввода/соединения трансформатора (TRAFO KUBLAJ)</t>
  </si>
  <si>
    <t>trafo kublaj sistemi — birim fiyat alinacak</t>
  </si>
  <si>
    <t>101333</t>
  </si>
  <si>
    <t>Воздушный авт. выкл. NA1-3200-2500М/3P выдвиж., 2500A, 80kA, тип M, AC230В (R)</t>
  </si>
  <si>
    <t>CNC 3200 govde/2500A -&gt; CHINT NA1-3200-2500M; govde secimi KONTROL</t>
  </si>
  <si>
    <t>101098</t>
  </si>
  <si>
    <t>Воздушный авт. выкл. NA1-2000-1600М/3P выдвиж., 1600A, 80kA, тип M, AC230В (R)</t>
  </si>
  <si>
    <t>CNC 55kA -&gt; CHINT NA1-2000 80kA cekmeceli; Modbus/haberlesme modulu ayrica KONTROL</t>
  </si>
  <si>
    <t>269420</t>
  </si>
  <si>
    <t>Авт. выкл. NM8N-630C EN 3P 630А 36кА с электронным расцепителем (R)</t>
  </si>
  <si>
    <t>630A 36kA sadece elektronik acicili (EN) mevcut</t>
  </si>
  <si>
    <t>BARA-CU-SMT</t>
  </si>
  <si>
    <t>Шина медная твёрдая (ШМТ)</t>
  </si>
  <si>
    <t>bakir bara — kg fiyati KURALLAR BLOK 8'den hesaplanir</t>
  </si>
  <si>
    <t>719-15597</t>
  </si>
  <si>
    <t>Мет. Корпус (пустой) (1800x1400x600x2)+10см база 2 goz pano IP54</t>
  </si>
  <si>
    <t>proje 1000x2100x1000 -&gt; KAZTEK 1800x1400x600 iki gozlu; olcu KONTROL</t>
  </si>
  <si>
    <t>263108</t>
  </si>
  <si>
    <t>Авт. выкл. NM8N-1600S EN 3P 1250А 50кА с электронным расцепителем (R)</t>
  </si>
  <si>
    <t>1600 govde 1250A 50kA elektronik acicili; CNC 1250L karsiligi</t>
  </si>
  <si>
    <t>263782</t>
  </si>
  <si>
    <t>Регулятор реактивной мощности NWK1-12 с 12-тью контурами RS 485</t>
  </si>
  <si>
    <t>12 kademeli reaktif guc regulatoru</t>
  </si>
  <si>
    <t>LV480802</t>
  </si>
  <si>
    <t>Schneider Fupact ISFT160 — предохранитель-выключатель 160A NH00 3P</t>
  </si>
  <si>
    <t>CHINT muadili NHRT40-160/3L (407004) KONTROL</t>
  </si>
  <si>
    <t>521348</t>
  </si>
  <si>
    <t>Плавкая вставка предохранителя RT36-00-160, габарит 00, 80А</t>
  </si>
  <si>
    <t>NH00 80A — birebir</t>
  </si>
  <si>
    <t>521349</t>
  </si>
  <si>
    <t>Плавкая вставка предохранителя RT36-00-160, габарит 00, 100А</t>
  </si>
  <si>
    <t>NH00 100A — birebir</t>
  </si>
  <si>
    <t>799036</t>
  </si>
  <si>
    <t>Трехфазный конденсатор NWC6-0.45-20-3, АС450В, 20кВАр</t>
  </si>
  <si>
    <t>20 kVAr 450V — birebir</t>
  </si>
  <si>
    <t>799037</t>
  </si>
  <si>
    <t>Трехфазный конденсатор NWC6-0.45-25-3, АС450В, 25кВАр</t>
  </si>
  <si>
    <t>25 kVAr 450V — birebir</t>
  </si>
  <si>
    <t>516304</t>
  </si>
  <si>
    <t>Трехфазный конденсатор BZMJ 0.4-50-3 АС400В, 50 кВАр</t>
  </si>
  <si>
    <t>CHINT 450V/50kVAr yok; 400V 50 kVAr alindi — gerilim kademesi TEYIT</t>
  </si>
  <si>
    <t>244083</t>
  </si>
  <si>
    <t>Контактор для компенсации реактивной мощности CJ19-6312, 30кВАр, 1НО+2НЗ, 230В (R)</t>
  </si>
  <si>
    <t>kompanzasyon kontaktoru; kademe gucu (kVAr) ve bobin gerilimi KONTROL</t>
  </si>
  <si>
    <t>244179</t>
  </si>
  <si>
    <t>Контактор для компенсации реактивной мощности CJ19-9512, 50кВАр, 1НО+2НЗ, 400В (R)</t>
  </si>
  <si>
    <t>kompanzasyon kontaktoru 50 kVAr; bobin gerilimi 400V — TEYIT</t>
  </si>
  <si>
    <t>LVR05250A40T</t>
  </si>
  <si>
    <t>Schneider — гармонический реактор 25 kvar 5,7% 400V</t>
  </si>
  <si>
    <t>harmonik onleyici reaktor; CHINT listesinde yok KONTROL</t>
  </si>
  <si>
    <t>LVR05500A40T</t>
  </si>
  <si>
    <t>Schneider — гармонический реактор 50 kvar 5,7% 400V</t>
  </si>
  <si>
    <t>270300284</t>
  </si>
  <si>
    <t>Вентилятор с фильтром 55 куб.м./час IP55 IEK (12) NEW</t>
  </si>
  <si>
    <t>EKT 12.06.2025</t>
  </si>
  <si>
    <t>pano havalandirma sistemi; EKT listesi 14 aylik — GUNCELLE</t>
  </si>
  <si>
    <t>FIYAT_ESKI</t>
  </si>
  <si>
    <t>TT-2500-5</t>
  </si>
  <si>
    <t>Трансформатор тока 2500/5А кл. 0,5 — CHINT листинге нет</t>
  </si>
  <si>
    <t>CHINT stok listesinde 2500/5A oran yok — FIYAT ALINACAK</t>
  </si>
  <si>
    <t>TT-066-2500-5</t>
  </si>
  <si>
    <t>Трансформатор тока Т-0.66-1,2 У3 2500/5А (для счётчика)</t>
  </si>
  <si>
    <t>sayac akim trafosu 2500/5A — CHINT listesinde uygun oran yok</t>
  </si>
  <si>
    <t>TT-066-600-5</t>
  </si>
  <si>
    <t>Трансформатор тока Т-0.66-1,2 У3 600/5А (для счётчика)</t>
  </si>
  <si>
    <t>sayac akim trafosu 600/5A — CHINT listesinde uygun oran yok</t>
  </si>
  <si>
    <t>TT-800-5</t>
  </si>
  <si>
    <t>Трансформатор тока 800/5А кл. 0,5 — CHINT листинге нет</t>
  </si>
  <si>
    <t>CHINT stok listesinde 800/5A oran yok — FIYAT ALINACAK</t>
  </si>
  <si>
    <t>METSEPM2230</t>
  </si>
  <si>
    <t>Schneider PM2230 — анализатор сети, LCD, RS485, кл. 0,5S</t>
  </si>
  <si>
    <t>Schneider sebeke analizoru; CHINT muadili (PD666/PMAC) teklif edilebilir KONTROL</t>
  </si>
  <si>
    <t>TT-75-5</t>
  </si>
  <si>
    <t>Трансформатор тока 75/5А кл. 0,5 — CHINT листинге нет</t>
  </si>
  <si>
    <t>CHINT stok listesinde 75/5A oran yok — FIYAT ALINACAK</t>
  </si>
  <si>
    <t>255298</t>
  </si>
  <si>
    <t>Трансформатор тока BH-0.66 60 I 400/5A класс точности 0.5 (R)</t>
  </si>
  <si>
    <t>400/5A cl.0,5 — birebir</t>
  </si>
  <si>
    <t>TT-50-5</t>
  </si>
  <si>
    <t>Трансформатор тока 50/5А кл. 0,5 — CHINT листинге нет</t>
  </si>
  <si>
    <t>CHINT stok listesinde 50/5A oran yok — FIYAT ALINACAK</t>
  </si>
  <si>
    <t>TT-500-5</t>
  </si>
  <si>
    <t>Трансформатор тока 500/5А кл. 0,5 — CHINT листинге нет</t>
  </si>
  <si>
    <t>CHINT stok listesinde 500/5A oran yok — FIYAT ALINACAK</t>
  </si>
  <si>
    <t>ROW</t>
  </si>
  <si>
    <t>Наименование1</t>
  </si>
  <si>
    <t>Тип</t>
  </si>
  <si>
    <t>Артикул</t>
  </si>
  <si>
    <t>Номенклатура</t>
  </si>
  <si>
    <t>Цена</t>
  </si>
  <si>
    <t>net</t>
  </si>
  <si>
    <t>Сумма</t>
  </si>
  <si>
    <t>Кол-во</t>
  </si>
  <si>
    <t>Ед.изм</t>
  </si>
  <si>
    <t>Завод</t>
  </si>
  <si>
    <t>Итого</t>
  </si>
  <si>
    <t>Группа</t>
  </si>
  <si>
    <t>SRK EUR</t>
  </si>
  <si>
    <t>Oguzhan</t>
  </si>
  <si>
    <t>PDF</t>
  </si>
  <si>
    <t>NORM_DK</t>
  </si>
  <si>
    <t>korpus komplekt</t>
  </si>
  <si>
    <t>BLOK A / ЩК-стандарт — НКУ 380/220В 50Гц, FORM 2B, IP31/54</t>
  </si>
  <si>
    <t>комплект</t>
  </si>
  <si>
    <t>komplekt adedi OZET C sutununda; pano ici malzemeler 1 pano icindir</t>
  </si>
  <si>
    <t>APEX CNC.xlsx</t>
  </si>
  <si>
    <t>170001-ST-EL-CD-BLA-SPD-XX-R02</t>
  </si>
  <si>
    <t>Toplam BLOK A / ЩК-стандарт</t>
  </si>
  <si>
    <t>BLOK A / ЩЭ-F(4-23).1 — НКУ 380/220В 50Гц, FORM 2B, IP31/54</t>
  </si>
  <si>
    <t>Toplam BLOK A / ЩЭ-F(4-23).1</t>
  </si>
  <si>
    <t>BLOK A / ЩЭ-F(4-23).2 — НКУ 380/220В 50Гц, FORM 2B, IP31/54</t>
  </si>
  <si>
    <t>Toplam BLOK A / ЩЭ-F(4-23).2</t>
  </si>
  <si>
    <t>BLOK A / ЩЭ-F24.1 — НКУ 380/220В 50Гц, FORM 2B, IP31/54</t>
  </si>
  <si>
    <t>Toplam BLOK A / ЩЭ-F24.1</t>
  </si>
  <si>
    <t>BLOK A / ЩЭ-F24.2 — НКУ 380/220В 50Гц, FORM 2B, IP31/54</t>
  </si>
  <si>
    <t>Toplam BLOK A / ЩЭ-F24.2</t>
  </si>
  <si>
    <t>BLOK A / 24F-ЩК(1-4) — НКУ 380/220В 50Гц, FORM 2B, IP31/54</t>
  </si>
  <si>
    <t>Toplam BLOK A / 24F-ЩК(1-4)</t>
  </si>
  <si>
    <t>BLOK A / ЩЭ-F3 — НКУ 380/220В 50Гц, FORM 2B, IP31/54</t>
  </si>
  <si>
    <t>Toplam BLOK A / ЩЭ-F3</t>
  </si>
  <si>
    <t>BLOK A / ЩЭ-F2 — НКУ 380/220В 50Гц, FORM 2B, IP31/54</t>
  </si>
  <si>
    <t>Toplam BLOK A / ЩЭ-F2</t>
  </si>
  <si>
    <t>BLOK A / ЩЭ-F1 — НКУ 380/220В 50Гц, FORM 2B, IP31/54</t>
  </si>
  <si>
    <t>Toplam BLOK A / ЩЭ-F1</t>
  </si>
  <si>
    <t>BLOK A / B1-ЩС — НКУ 380/220В 50Гц, FORM 2B, IP31/54</t>
  </si>
  <si>
    <t>Toplam BLOK A / B1-ЩС</t>
  </si>
  <si>
    <t>BLOK A / B1-ИБП — НКУ 380/220В 50Гц, FORM 2B, IP31/54</t>
  </si>
  <si>
    <t>Toplam BLOK A / B1-ИБП</t>
  </si>
  <si>
    <t>BLOK A / 1F-ЩС.1 — НКУ 380/220В 50Гц, FORM 2B, IP31/54</t>
  </si>
  <si>
    <t>Toplam BLOK A / 1F-ЩС.1</t>
  </si>
  <si>
    <t>BLOK A / 1F-ЩС.2 — НКУ 380/220В 50Гц, FORM 2B, IP31/54</t>
  </si>
  <si>
    <t>Toplam BLOK A / 1F-ЩС.2</t>
  </si>
  <si>
    <t>BLOK A / 1F-ИБП.1 — НКУ 380/220В 50Гц, FORM 2B, IP31/54</t>
  </si>
  <si>
    <t>Toplam BLOK A / 1F-ИБП.1</t>
  </si>
  <si>
    <t>BLOK A / 1F-ИБП.2 — НКУ 380/220В 50Гц, FORM 2B, IP31/54</t>
  </si>
  <si>
    <t>Toplam BLOK A / 1F-ИБП.2</t>
  </si>
  <si>
    <t>BLOK A / 6F-ЩС.1 — НКУ 380/220В 50Гц, FORM 2B, IP31/54</t>
  </si>
  <si>
    <t>Toplam BLOK A / 6F-ЩС.1</t>
  </si>
  <si>
    <t>BLOK A / 6F-ЩС.2 — НКУ 380/220В 50Гц, FORM 2B, IP31/54</t>
  </si>
  <si>
    <t>Toplam BLOK A / 6F-ЩС.2</t>
  </si>
  <si>
    <t>BLOK A / 6F-ИБП.1 — НКУ 380/220В 50Гц, FORM 2B, IP31/54</t>
  </si>
  <si>
    <t>Toplam BLOK A / 6F-ИБП.1</t>
  </si>
  <si>
    <t>BLOK A / 6F-ИБП.2 — НКУ 380/220В 50Гц, FORM 2B, IP31/54</t>
  </si>
  <si>
    <t>Toplam BLOK A / 6F-ИБП.2</t>
  </si>
  <si>
    <t>BLOK A / 11F-ЩС.1 — НКУ 380/220В 50Гц, FORM 2B, IP31/54</t>
  </si>
  <si>
    <t>Toplam BLOK A / 11F-ЩС.1</t>
  </si>
  <si>
    <t>BLOK A / 11F-ЩС.2 — НКУ 380/220В 50Гц, FORM 2B, IP31/54</t>
  </si>
  <si>
    <t>Toplam BLOK A / 11F-ЩС.2</t>
  </si>
  <si>
    <t>BLOK A / 11F-ИБП.1 — НКУ 380/220В 50Гц, FORM 2B, IP31/54</t>
  </si>
  <si>
    <t>Toplam BLOK A / 11F-ИБП.1</t>
  </si>
  <si>
    <t>BLOK A / 11F-ИБП.2 — НКУ 380/220В 50Гц, FORM 2B, IP31/54</t>
  </si>
  <si>
    <t>Toplam BLOK A / 11F-ИБП.2</t>
  </si>
  <si>
    <t>BLOK A / 16F-ЩС.1 — НКУ 380/220В 50Гц, FORM 2B, IP31/54</t>
  </si>
  <si>
    <t>Toplam BLOK A / 16F-ЩС.1</t>
  </si>
  <si>
    <t>BLOK A / 16F-ЩС.2 — НКУ 380/220В 50Гц, FORM 2B, IP31/54</t>
  </si>
  <si>
    <t>Toplam BLOK A / 16F-ЩС.2</t>
  </si>
  <si>
    <t>BLOK A / 16F-ИБП.1 — НКУ 380/220В 50Гц, FORM 2B, IP31/54</t>
  </si>
  <si>
    <t>Toplam BLOK A / 16F-ИБП.1</t>
  </si>
  <si>
    <t>BLOK A / 16F-ИБП.2 — НКУ 380/220В 50Гц, FORM 2B, IP31/54</t>
  </si>
  <si>
    <t>Toplam BLOK A / 16F-ИБП.2</t>
  </si>
  <si>
    <t>BLOK A / 21F-ЩС.1 — НКУ 380/220В 50Гц, FORM 2B, IP31/54</t>
  </si>
  <si>
    <t>Toplam BLOK A / 21F-ЩС.1</t>
  </si>
  <si>
    <t>BLOK A / 21F-ЩС.2 — НКУ 380/220В 50Гц, FORM 2B, IP31/54</t>
  </si>
  <si>
    <t>Toplam BLOK A / 21F-ЩС.2</t>
  </si>
  <si>
    <t>BLOK A / 21F-ИБП.1 — НКУ 380/220В 50Гц, FORM 2B, IP31/54</t>
  </si>
  <si>
    <t>Toplam BLOK A / 21F-ИБП.1</t>
  </si>
  <si>
    <t>BLOK A / 21F-ИБП.2 — НКУ 380/220В 50Гц, FORM 2B, IP31/54</t>
  </si>
  <si>
    <t>Toplam BLOK A / 21F-ИБП.2</t>
  </si>
  <si>
    <t>BLOK A / 24F-ЩС.1 — НКУ 380/220В 50Гц, FORM 2B, IP31/54</t>
  </si>
  <si>
    <t>Toplam BLOK A / 24F-ЩС.1</t>
  </si>
  <si>
    <t>BLOK A / 24F-ЩС.2 — НКУ 380/220В 50Гц, FORM 2B, IP31/54</t>
  </si>
  <si>
    <t>Toplam BLOK A / 24F-ЩС.2</t>
  </si>
  <si>
    <t>BLOK A / 24F-ИБП.1 — НКУ 380/220В 50Гц, FORM 2B, IP31/54</t>
  </si>
  <si>
    <t>Toplam BLOK A / 24F-ИБП.1</t>
  </si>
  <si>
    <t>BLOK A / 24F-ИБП.2 — НКУ 380/220В 50Гц, FORM 2B, IP31/54</t>
  </si>
  <si>
    <t>Toplam BLOK A / 24F-ИБП.2</t>
  </si>
  <si>
    <t>BLOK A / ЩА-B2 — НКУ 380/220В 50Гц, FORM 2B, IP31/54</t>
  </si>
  <si>
    <t>Toplam BLOK A / ЩА-B2</t>
  </si>
  <si>
    <t>BLOK A / ЭЩА-B1 — НКУ 380/220В 50Гц, FORM 2B, IP31/54</t>
  </si>
  <si>
    <t>Toplam BLOK A / ЭЩА-B1</t>
  </si>
  <si>
    <t>BLOK A / JFP-B1 — НКУ 380/220В 50Гц, FORM 2B, IP31/54</t>
  </si>
  <si>
    <t>Toplam BLOK A / JFP-B1</t>
  </si>
  <si>
    <t>BLOK A / ЩА-B1 — НКУ 380/220В 50Гц, FORM 2B, IP31/54</t>
  </si>
  <si>
    <t>Toplam BLOK A / ЩА-B1</t>
  </si>
  <si>
    <t>BLOK A / ЩА-13F — НКУ 380/220В 50Гц, FORM 2B, IP31/54</t>
  </si>
  <si>
    <t>Toplam BLOK A / ЩА-13F</t>
  </si>
  <si>
    <t>BLOK A / ЩА-24.2F — НКУ 380/220В 50Гц, FORM 2B, IP31/54</t>
  </si>
  <si>
    <t>Toplam BLOK A / ЩА-24.2F</t>
  </si>
  <si>
    <t>BLOK A / ЩА-RF — НКУ 380/220В 50Гц, FORM 2B, IP31/54</t>
  </si>
  <si>
    <t>Toplam BLOK A / ЩА-RF</t>
  </si>
  <si>
    <t>BLOK A / ЭЩА-RF — НКУ 380/220В 50Гц, FORM 2B, IP31/54</t>
  </si>
  <si>
    <t>Toplam BLOK A / ЭЩА-RF</t>
  </si>
  <si>
    <t>BLOK B / ЩК-стандарт — НКУ 380/220В 50Гц, FORM 2B, IP31/54</t>
  </si>
  <si>
    <t>170001-ST-EL-CD-BLB-SPD-XX-R02</t>
  </si>
  <si>
    <t>Toplam BLOK B / ЩК-стандарт</t>
  </si>
  <si>
    <t>BLOK B / ЩЭ-F(4-21).1 — НКУ 380/220В 50Гц, FORM 2B, IP31/54</t>
  </si>
  <si>
    <t>Toplam BLOK B / ЩЭ-F(4-21).1</t>
  </si>
  <si>
    <t>BLOK B / ЩЭ-F(4-21).2 — НКУ 380/220В 50Гц, FORM 2B, IP31/54</t>
  </si>
  <si>
    <t>Toplam BLOK B / ЩЭ-F(4-21).2</t>
  </si>
  <si>
    <t>BLOK B / 22F-ЩК(1-4) — НКУ 380/220В 50Гц, FORM 2B, IP31/54</t>
  </si>
  <si>
    <t>Toplam BLOK B / 22F-ЩК(1-4)</t>
  </si>
  <si>
    <t>BLOK B / ЩЭ-F22.1 — НКУ 380/220В 50Гц, FORM 2B, IP31/54</t>
  </si>
  <si>
    <t>Toplam BLOK B / ЩЭ-F22.1</t>
  </si>
  <si>
    <t>BLOK B / ЩЭ-F22.2 — НКУ 380/220В 50Гц, FORM 2B, IP31/54</t>
  </si>
  <si>
    <t>Toplam BLOK B / ЩЭ-F22.2</t>
  </si>
  <si>
    <t>BLOK B / ЩЭ-F1 — НКУ 380/220В 50Гц, FORM 2B, IP31/54</t>
  </si>
  <si>
    <t>Toplam BLOK B / ЩЭ-F1</t>
  </si>
  <si>
    <t>BLOK B / ЩЭ-F2 — НКУ 380/220В 50Гц, FORM 2B, IP31/54</t>
  </si>
  <si>
    <t>Toplam BLOK B / ЩЭ-F2</t>
  </si>
  <si>
    <t>BLOK B / ЩЭ-F3 — НКУ 380/220В 50Гц, FORM 2B, IP31/54</t>
  </si>
  <si>
    <t>Toplam BLOK B / ЩЭ-F3</t>
  </si>
  <si>
    <t>BLOK B / ЩА-13F — НКУ 380/220В 50Гц, FORM 2B, IP31/54</t>
  </si>
  <si>
    <t>Toplam BLOK B / ЩА-13F</t>
  </si>
  <si>
    <t>BLOK B / B1-ЩС — НКУ 380/220В 50Гц, FORM 2B, IP31/54</t>
  </si>
  <si>
    <t>Toplam BLOK B / B1-ЩС</t>
  </si>
  <si>
    <t>BLOK B / B1-ИБП — НКУ 380/220В 50Гц, FORM 2B, IP31/54</t>
  </si>
  <si>
    <t>Toplam BLOK B / B1-ИБП</t>
  </si>
  <si>
    <t>BLOK B / 1F-ЩС.1 — НКУ 380/220В 50Гц, FORM 2B, IP31/54</t>
  </si>
  <si>
    <t>Toplam BLOK B / 1F-ЩС.1</t>
  </si>
  <si>
    <t>BLOK B / 1F-ЩС.2 — НКУ 380/220В 50Гц, FORM 2B, IP31/54</t>
  </si>
  <si>
    <t>Toplam BLOK B / 1F-ЩС.2</t>
  </si>
  <si>
    <t>BLOK B / 1F-ИБП.1 — НКУ 380/220В 50Гц, FORM 2B, IP31/54</t>
  </si>
  <si>
    <t>Toplam BLOK B / 1F-ИБП.1</t>
  </si>
  <si>
    <t>BLOK B / 1F-ИБП.2 — НКУ 380/220В 50Гц, FORM 2B, IP31/54</t>
  </si>
  <si>
    <t>Toplam BLOK B / 1F-ИБП.2</t>
  </si>
  <si>
    <t>BLOK B / 6F-ЩС.1 — НКУ 380/220В 50Гц, FORM 2B, IP31/54</t>
  </si>
  <si>
    <t>Toplam BLOK B / 6F-ЩС.1</t>
  </si>
  <si>
    <t>BLOK B / 6F-ЩС.2 — НКУ 380/220В 50Гц, FORM 2B, IP31/54</t>
  </si>
  <si>
    <t>Toplam BLOK B / 6F-ЩС.2</t>
  </si>
  <si>
    <t>BLOK B / 6F-ИБП.1 — НКУ 380/220В 50Гц, FORM 2B, IP31/54</t>
  </si>
  <si>
    <t>Toplam BLOK B / 6F-ИБП.1</t>
  </si>
  <si>
    <t>BLOK B / 6F-ИБП.2 — НКУ 380/220В 50Гц, FORM 2B, IP31/54</t>
  </si>
  <si>
    <t>Toplam BLOK B / 6F-ИБП.2</t>
  </si>
  <si>
    <t>BLOK B / 11F-ЩС.1 — НКУ 380/220В 50Гц, FORM 2B, IP31/54</t>
  </si>
  <si>
    <t>Toplam BLOK B / 11F-ЩС.1</t>
  </si>
  <si>
    <t>BLOK B / 11F-ЩС.2 — НКУ 380/220В 50Гц, FORM 2B, IP31/54</t>
  </si>
  <si>
    <t>Toplam BLOK B / 11F-ЩС.2</t>
  </si>
  <si>
    <t>BLOK B / 11F-ИБП.1 — НКУ 380/220В 50Гц, FORM 2B, IP31/54</t>
  </si>
  <si>
    <t>Toplam BLOK B / 11F-ИБП.1</t>
  </si>
  <si>
    <t>BLOK B / 11F-ИБП.2 — НКУ 380/220В 50Гц, FORM 2B, IP31/54</t>
  </si>
  <si>
    <t>Toplam BLOK B / 11F-ИБП.2</t>
  </si>
  <si>
    <t>BLOK B / 16F-ЩС.1 — НКУ 380/220В 50Гц, FORM 2B, IP31/54</t>
  </si>
  <si>
    <t>Toplam BLOK B / 16F-ЩС.1</t>
  </si>
  <si>
    <t>BLOK B / 16F-ЩС.2 — НКУ 380/220В 50Гц, FORM 2B, IP31/54</t>
  </si>
  <si>
    <t>Toplam BLOK B / 16F-ЩС.2</t>
  </si>
  <si>
    <t>BLOK B / 16F-ИБП.1 — НКУ 380/220В 50Гц, FORM 2B, IP31/54</t>
  </si>
  <si>
    <t>Toplam BLOK B / 16F-ИБП.1</t>
  </si>
  <si>
    <t>BLOK B / 16F-ИБП.2 — НКУ 380/220В 50Гц, FORM 2B, IP31/54</t>
  </si>
  <si>
    <t>Toplam BLOK B / 16F-ИБП.2</t>
  </si>
  <si>
    <t>BLOK B / 21F-ЩС.1 — НКУ 380/220В 50Гц, FORM 2B, IP31/54</t>
  </si>
  <si>
    <t>Toplam BLOK B / 21F-ЩС.1</t>
  </si>
  <si>
    <t>BLOK B / 21F-ЩС.2 — НКУ 380/220В 50Гц, FORM 2B, IP31/54</t>
  </si>
  <si>
    <t>Toplam BLOK B / 21F-ЩС.2</t>
  </si>
  <si>
    <t>BLOK B / ЭЩА-B1 — НКУ 380/220В 50Гц, FORM 2B, IP31/54</t>
  </si>
  <si>
    <t>Toplam BLOK B / ЭЩА-B1</t>
  </si>
  <si>
    <t>BLOK B / 21F-ИБП.1 — НКУ 380/220В 50Гц, FORM 2B, IP31/54</t>
  </si>
  <si>
    <t>Toplam BLOK B / 21F-ИБП.1</t>
  </si>
  <si>
    <t>BLOK B / 21F-ИБП.2 — НКУ 380/220В 50Гц, FORM 2B, IP31/54</t>
  </si>
  <si>
    <t>Toplam BLOK B / 21F-ИБП.2</t>
  </si>
  <si>
    <t>BLOK B / ЩА-B2 — НКУ 380/220В 50Гц, FORM 2B, IP31/54</t>
  </si>
  <si>
    <t>Toplam BLOK B / ЩА-B2</t>
  </si>
  <si>
    <t>BLOK B / JFP-B1 — НКУ 380/220В 50Гц, FORM 2B, IP31/54</t>
  </si>
  <si>
    <t>Toplam BLOK B / JFP-B1</t>
  </si>
  <si>
    <t>BLOK B / ЩА-B1 — НКУ 380/220В 50Гц, FORM 2B, IP31/54</t>
  </si>
  <si>
    <t>Toplam BLOK B / ЩА-B1</t>
  </si>
  <si>
    <t>BLOK B / ЩА-24.2F — НКУ 380/220В 50Гц, FORM 2B, IP31/54</t>
  </si>
  <si>
    <t>Toplam BLOK B / ЩА-24.2F</t>
  </si>
  <si>
    <t>BLOK B / ЩА-RF — НКУ 380/220В 50Гц, FORM 2B, IP31/54</t>
  </si>
  <si>
    <t>Toplam BLOK B / ЩА-RF</t>
  </si>
  <si>
    <t>BLOK B / ЭЩА-RF — НКУ 380/220В 50Гц, FORM 2B, IP31/54</t>
  </si>
  <si>
    <t>Toplam BLOK B / ЭЩА-RF</t>
  </si>
  <si>
    <t>BLOK P / ЩЭ-П1.1 — НКУ 380/220В 50Гц, FORM 2B, IP31/54</t>
  </si>
  <si>
    <t>170001-ST-EL-CD-BLP-SPD-XX-R01</t>
  </si>
  <si>
    <t>Toplam BLOK P / ЩЭ-П1.1</t>
  </si>
  <si>
    <t>BLOK P / ЩЭ-П1.2 — НКУ 380/220В 50Гц, FORM 2B, IP31/54</t>
  </si>
  <si>
    <t>Toplam BLOK P / ЩЭ-П1.2</t>
  </si>
  <si>
    <t>BLOK P / B1-ИБП-P — НКУ 380/220В 50Гц, FORM 2B, IP31/54</t>
  </si>
  <si>
    <t>Toplam BLOK P / B1-ИБП-P</t>
  </si>
  <si>
    <t>BLOK P / B1-ЩС-P — НКУ 380/220В 50Гц, FORM 2B, IP31/54</t>
  </si>
  <si>
    <t>Toplam BLOK P / B1-ЩС-P</t>
  </si>
  <si>
    <t>LPS / Главный распределительный щит (ГРЩ) — НКУ 380/220В 50Гц, FORM 2B, IP31/54</t>
  </si>
  <si>
    <t>170001-ST-EL-CD-BLB-LPS-XX-R04</t>
  </si>
  <si>
    <t>Toplam LPS / Главный распределительный щит (ГРЩ)</t>
  </si>
  <si>
    <t>LPS / УКМ58-0,4-600-25 У3 - Панель компенсации Комп-1 — НКУ 380/220В 50Гц, FORM 2B, IP31/54</t>
  </si>
  <si>
    <t>Toplam LPS / УКМ58-0,4-600-25 У3 - Панель компенсации Комп-1</t>
  </si>
  <si>
    <t>LPS / УКМ58-0,4-600-25 У3 - Панель компенсации Комп-2 — НКУ 380/220В 50Гц, FORM 2B, IP31/54</t>
  </si>
  <si>
    <t>Toplam LPS / УКМ58-0,4-600-25 У3 - Панель компенсации Комп-2</t>
  </si>
  <si>
    <t>LPS / Главный распределительный щит ГРЩ-LOT1A — НКУ 380/220В 50Гц, FORM 2B, IP31/54</t>
  </si>
  <si>
    <t>Toplam LPS / Главный распределительный щит ГРЩ-LOT1A</t>
  </si>
  <si>
    <t>LPS / Главный распределительный щит АВР-LOT1A — НКУ 380/220В 50Гц, FORM 2B, IP31/54</t>
  </si>
  <si>
    <t>Toplam LPS / Главный распределительный щит АВР-LOT1A</t>
  </si>
  <si>
    <t>LPS / Главный распределительный щит ИБП-АВР-LOT1A — НКУ 380/220В 50Гц, FORM 2B, IP31/54</t>
  </si>
  <si>
    <t>Toplam LPS / Главный распределительный щит ИБП-АВР-LOT1A</t>
  </si>
  <si>
    <t>LPS / Общий распределительный щит ЩС-LOT1A — НКУ 380/220В 50Гц, FORM 2B, IP31/54</t>
  </si>
  <si>
    <t>Toplam LPS / Общий распределительный щит ЩС-LOT1A</t>
  </si>
  <si>
    <t>LPS / Главный распределительный щит ГРЩ-LOT1В — НКУ 380/220В 50Гц, FORM 2B, IP31/54</t>
  </si>
  <si>
    <t>Toplam LPS / Главный распределительный щит ГРЩ-LOT1В</t>
  </si>
  <si>
    <t>LPS / Главный распределительный щит АВР-LOT1В — НКУ 380/220В 50Гц, FORM 2B, IP31/54</t>
  </si>
  <si>
    <t>Toplam LPS / Главный распределительный щит АВР-LOT1В</t>
  </si>
  <si>
    <t>LPS / Главный распределительный щит ИБП-АВР-LOT1В — НКУ 380/220В 50Гц, FORM 2B, IP31/54</t>
  </si>
  <si>
    <t>Toplam LPS / Главный распределительный щит ИБП-АВР-LOT1В</t>
  </si>
  <si>
    <t>LPS / Общий распределительный щит ЩС-LOT1В — НКУ 380/220В 50Гц, FORM 2B, IP31/54</t>
  </si>
  <si>
    <t>Toplam LPS / Общий распределительный щит ЩС-LOT1В</t>
  </si>
  <si>
    <t>№</t>
  </si>
  <si>
    <t>PANO</t>
  </si>
  <si>
    <t>KOMPLEKT ADET</t>
  </si>
  <si>
    <t>1 PANO TOPLAM (KZT)</t>
  </si>
  <si>
    <t>TOPLAM (KZT)</t>
  </si>
  <si>
    <t>1 PANO ISCILIK (dk)</t>
  </si>
  <si>
    <t>1 PANO ISCILIK (saat)</t>
  </si>
  <si>
    <t>BLOK A</t>
  </si>
  <si>
    <t>ЩК-стандарт</t>
  </si>
  <si>
    <t>ЩЭ-F(4-23).1</t>
  </si>
  <si>
    <t>ЩЭ-F(4-23).2</t>
  </si>
  <si>
    <t>ЩЭ-F24.1</t>
  </si>
  <si>
    <t>ЩЭ-F24.2</t>
  </si>
  <si>
    <t>24F-ЩК(1-4)</t>
  </si>
  <si>
    <t>ЩЭ-F3</t>
  </si>
  <si>
    <t>ЩЭ-F2</t>
  </si>
  <si>
    <t>ЩЭ-F1</t>
  </si>
  <si>
    <t>B1-ЩС</t>
  </si>
  <si>
    <t>B1-ИБП</t>
  </si>
  <si>
    <t>1F-ЩС.1</t>
  </si>
  <si>
    <t>1F-ЩС.2</t>
  </si>
  <si>
    <t>1F-ИБП.1</t>
  </si>
  <si>
    <t>1F-ИБП.2</t>
  </si>
  <si>
    <t>6F-ЩС.1</t>
  </si>
  <si>
    <t>6F-ЩС.2</t>
  </si>
  <si>
    <t>6F-ИБП.1</t>
  </si>
  <si>
    <t>6F-ИБП.2</t>
  </si>
  <si>
    <t>11F-ЩС.1</t>
  </si>
  <si>
    <t>11F-ЩС.2</t>
  </si>
  <si>
    <t>11F-ИБП.1</t>
  </si>
  <si>
    <t>11F-ИБП.2</t>
  </si>
  <si>
    <t>16F-ЩС.1</t>
  </si>
  <si>
    <t>16F-ЩС.2</t>
  </si>
  <si>
    <t>16F-ИБП.1</t>
  </si>
  <si>
    <t>16F-ИБП.2</t>
  </si>
  <si>
    <t>21F-ЩС.1</t>
  </si>
  <si>
    <t>21F-ЩС.2</t>
  </si>
  <si>
    <t>21F-ИБП.1</t>
  </si>
  <si>
    <t>21F-ИБП.2</t>
  </si>
  <si>
    <t>24F-ЩС.1</t>
  </si>
  <si>
    <t>24F-ЩС.2</t>
  </si>
  <si>
    <t>24F-ИБП.1</t>
  </si>
  <si>
    <t>24F-ИБП.2</t>
  </si>
  <si>
    <t>ЩА-B2</t>
  </si>
  <si>
    <t>ЭЩА-B1</t>
  </si>
  <si>
    <t>JFP-B1</t>
  </si>
  <si>
    <t>ЩА-B1</t>
  </si>
  <si>
    <t>ЩА-13F</t>
  </si>
  <si>
    <t>ЩА-24.2F</t>
  </si>
  <si>
    <t>ЩА-RF</t>
  </si>
  <si>
    <t>ЭЩА-RF</t>
  </si>
  <si>
    <t>BLOK B</t>
  </si>
  <si>
    <t>ЩЭ-F(4-21).1</t>
  </si>
  <si>
    <t>ЩЭ-F(4-21).2</t>
  </si>
  <si>
    <t>22F-ЩК(1-4)</t>
  </si>
  <si>
    <t>ЩЭ-F22.1</t>
  </si>
  <si>
    <t>ЩЭ-F22.2</t>
  </si>
  <si>
    <t>BLOK P</t>
  </si>
  <si>
    <t>ЩЭ-П1.1</t>
  </si>
  <si>
    <t>ЩЭ-П1.2</t>
  </si>
  <si>
    <t>B1-ИБП-P</t>
  </si>
  <si>
    <t>B1-ЩС-P</t>
  </si>
  <si>
    <t>LPS</t>
  </si>
  <si>
    <t>Главный распределительный щит (ГРЩ)</t>
  </si>
  <si>
    <t>УКМ58-0,4-600-25 У3 - Панель компенсации Комп-1</t>
  </si>
  <si>
    <t>УКМ58-0,4-600-25 У3 - Панель компенсации Комп-2</t>
  </si>
  <si>
    <t>Главный распределительный щит ГРЩ-LOT1A</t>
  </si>
  <si>
    <t>Главный распределительный щит АВР-LOT1A</t>
  </si>
  <si>
    <t>Главный распределительный щит ИБП-АВР-LOT1A</t>
  </si>
  <si>
    <t>Общий распределительный щит ЩС-LOT1A</t>
  </si>
  <si>
    <t>Главный распределительный щит ГРЩ-LOT1В</t>
  </si>
  <si>
    <t>Главный распределительный щит АВР-LOT1В</t>
  </si>
  <si>
    <t>Главный распределительный щит ИБП-АВР-LOT1В</t>
  </si>
  <si>
    <t>Общий распределительный щит ЩС-LOT1В</t>
  </si>
  <si>
    <t>TEKLIF OZETI — 260908 RUSTU BEY / APEX CNC listesi CHINT donusumu</t>
  </si>
  <si>
    <t>TOPLAM (malzeme+sarf+iscilik, komplekt adedi dahil, KZT)</t>
  </si>
  <si>
    <t xml:space="preserve">  - iscilik (1 pano bazinda, KZT)</t>
  </si>
  <si>
    <t xml:space="preserve">  - montaj sarfi (1 pano bazinda, KZT)</t>
  </si>
  <si>
    <t>ARA TOPLAM (KZT)</t>
  </si>
  <si>
    <t>Kar (KAR_ORANI)</t>
  </si>
  <si>
    <t>Iskonto (ISKONTO)</t>
  </si>
  <si>
    <t>NDS %12</t>
  </si>
  <si>
    <t>GENEL TOPLAM (KZT)</t>
  </si>
  <si>
    <t>Pano adedi</t>
  </si>
  <si>
    <t>Toplam iscilik (dakika / saat)</t>
  </si>
  <si>
    <t>UYARI: fiyati alinamayan kalemler (DURUM=FIYAT_YOK / CIHAZ_BELIRSIZ) toplamlara dahil DEGILDIR.</t>
  </si>
  <si>
    <t>SEVIYE</t>
  </si>
  <si>
    <t>KONU</t>
  </si>
  <si>
    <t>BULGU</t>
  </si>
  <si>
    <t>AKSIYON / NOT</t>
  </si>
  <si>
    <t>BILGI</t>
  </si>
  <si>
    <t>Kapsam</t>
  </si>
  <si>
    <t>97 pano tipi / 169 komple pano; APEX CNC listesindeki tum kalemler donusturuldu.</t>
  </si>
  <si>
    <t>PANO satirindaki adet proje adedidir; ic malzeme 1 pano icindir.</t>
  </si>
  <si>
    <t>KRITIK</t>
  </si>
  <si>
    <t>UZO 4P 100A</t>
  </si>
  <si>
    <t>CHINT NL1-63 serisi max 63A — 4P 100A 300mA UZO yok.</t>
  </si>
  <si>
    <t>NM8N-125 4P govde + NM8NL-125 dif modulu (449980) teklif edildi; giris salteri 4P olmali. Onay alinmadan teklife girmez.</t>
  </si>
  <si>
    <t>CHINT liste</t>
  </si>
  <si>
    <t>ACB 4P 5000A</t>
  </si>
  <si>
    <t>CHINT NA1-6300-5000M yalnizca 3P listelenmis; CNC 4P/5000A vermis.</t>
  </si>
  <si>
    <t>4P versiyon icin fiyat/tedarik teyidi alinacak.</t>
  </si>
  <si>
    <t>MCCB kesme kapasitesi</t>
  </si>
  <si>
    <t>CNC YCM1 serisinde Icu yazmiyor; CHINT karsiliklari 36kA (NM8N-...C) secildi.</t>
  </si>
  <si>
    <t>Kat panolarinda &gt;=36kA @415V sarti datasheet ile teyit edilmeden onay verilmemeli.</t>
  </si>
  <si>
    <t>CNC spec / CHINT</t>
  </si>
  <si>
    <t>FORM sinifi</t>
  </si>
  <si>
    <t>APEX korpus satirlari FORM 2B; teknik sartname ana panolarda FORM 3B istiyor.</t>
  </si>
  <si>
    <t>Korpus/bolmeleme FORM 3B olarak revize edilmeli — KAZTEK govde secimi buna gore degisir.</t>
  </si>
  <si>
    <t>Sartname</t>
  </si>
  <si>
    <t>UYARI</t>
  </si>
  <si>
    <t>Korpus olculeri</t>
  </si>
  <si>
    <t>KAZTEK karsiliklari proje olculeriyle birebir degil (en yakin standart govde secildi).</t>
  </si>
  <si>
    <t>Her pano icin govde olcusu ve modul kapasitesi imalat oncesi dogrulanmali.</t>
  </si>
  <si>
    <t>SPD</t>
  </si>
  <si>
    <t>CNC YCS6-B 4P 60kA 420V -&gt; CHINT NU6-IIG 4P Uc=440V In=25kA Imax=65kA.</t>
  </si>
  <si>
    <t>Class I (Iimp) isteniyorsa NXU-I+II 4P (308602) kullanilmali; Up&lt;=1,5kV teyit.</t>
  </si>
  <si>
    <t>SPD on sigortasi</t>
  </si>
  <si>
    <t>CHINT listesinde 14x51 (63A) silindirik sigorta yuvasi yok; NH00 (RT36-00) alindi.</t>
  </si>
  <si>
    <t>Montaj/boyut farki var; alternatif olarak NXB-63 3P 63A MCB kullanilabilir.</t>
  </si>
  <si>
    <t>Akim trafolari</t>
  </si>
  <si>
    <t>50/5, 75/5, 500/5, 800/5, 2500/5, 5000/5 oranlari CHINT stok listesinde yok.</t>
  </si>
  <si>
    <t>Fiyat alinacak veya baska marka ile tamamlanacak.</t>
  </si>
  <si>
    <t>Kacak akim rolesi</t>
  </si>
  <si>
    <t>CNC ASJ10L-LD1A (LCD, ayarli) karsiligi CHINT stok listesinde yok.</t>
  </si>
  <si>
    <t>Fiyat alinacak; toroid (AKH-0.66/L) icin de karsilik yok.</t>
  </si>
  <si>
    <t>Kompanzasyon</t>
  </si>
  <si>
    <t>40 kVAr/450V kondansator CHINT’te yok — kademe basina 2 x 20 kVAr alindi; 50 kVAr yalnizca 400V.</t>
  </si>
  <si>
    <t>Kademe gucu ve gerilim kademesi (450V) teyit edilmeli.</t>
  </si>
  <si>
    <t>Fiyat listesi tarihi</t>
  </si>
  <si>
    <t>27.08.2026 CHINT listesi bu makinede bulunamadi; kalemlerin bir kismi 02.02.2026 listesinden fiyatlandi.</t>
  </si>
  <si>
    <t>MCB fiyatlari ayni, UZO/NM8N ~%5-8 dusuk. Guncel liste ile yeniden hesaplanmali.</t>
  </si>
  <si>
    <t>Schneider kalemleri</t>
  </si>
  <si>
    <t>PM2230/PM5560, Zelio, RXM role, Linergy blok, ISFT160, harmonik reaktorler donusturulmedi.</t>
  </si>
  <si>
    <t>Schneider fiyat listesi yok — CHINT muadili istenirse ayrica belirlenmeli.</t>
  </si>
  <si>
    <t>Sayaclar</t>
  </si>
  <si>
    <t>EX 518U (Elektron Xisoblagich) ve Т-0.66 akim trafolari CHINT disi.</t>
  </si>
  <si>
    <t>Metroloji onayi/pasport ve fiyatlar tedarikciden alinacak.</t>
  </si>
  <si>
    <t>EKF ККИ1-1</t>
  </si>
  <si>
    <t>EKF referans marka — kural geregi fiyatlandirilamaz.</t>
  </si>
  <si>
    <t>CHINT/IEK test klemens kutusu muadili belirlenecek.</t>
  </si>
  <si>
    <t>Kural</t>
  </si>
  <si>
    <t>Iscilik</t>
  </si>
  <si>
    <t>KURALLAR BLOK 3 norm tablosundan hesaplandi: Kol-vo = DAKIKA, birim fiyat 100 KZT/dk, x1,15 test/etiket.</t>
  </si>
  <si>
    <t>Normlar sari hucrelerde; degistirince tum panolar otomatik yeniden hesaplanir.</t>
  </si>
  <si>
    <t>Sarf malzeme</t>
  </si>
  <si>
    <t>Pano ici kablo/DIN/kanal/klemens ayri satir degil; malzeme bedelinin %7si olarak hesaplaniyor.</t>
  </si>
  <si>
    <t>MONTAJ_MALZEME_ORANI sari hucresinden degistirilir.</t>
  </si>
  <si>
    <t>BOM STANDARDI v16</t>
  </si>
  <si>
    <t>DURUM sutunu</t>
  </si>
  <si>
    <t>BOM P sutunu artik formul: tutar olusmayan satirda FIYAT_YOK, fiyat girilince BAZ_DURUM (KONTROL/MUADIL/OK) degerine doner.</t>
  </si>
  <si>
    <t>Elle fiyat girilen kalemler otomatik olarak FIYAT_YOK durumundan cikar.</t>
  </si>
  <si>
    <t>—</t>
  </si>
  <si>
    <t>Bara</t>
  </si>
  <si>
    <t>ШАТ (alu) ve ШМТ (bakir) baralar kg olarak; fiyat KURALLAR BLOK 6 metal fiyatindan hesaplanir.</t>
  </si>
  <si>
    <t>COMEX referans fiyatlar sari hucrelerden guncellenir.</t>
  </si>
  <si>
    <t>KURALLAR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</si>
</sst>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3"/>
      <name val="Cambria"/>
      <family val="1"/>
      <charset val="204"/>
    </font>
    <font>
      <b/>
      <sz val="11"/>
      <name val="Cambria"/>
      <family val="1"/>
      <charset val="204"/>
    </font>
    <font>
      <b/>
      <sz val="11"/>
      <color rgb="FFFFFFFF"/>
      <name val="Cambria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CE4E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2" fillId="4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zoomScaleNormal="100" workbookViewId="0"/>
  </sheetViews>
  <sheetFormatPr defaultColWidth="8.7109375" defaultRowHeight="15" x14ac:dyDescent="0.25"/>
  <cols>
    <col min="1" max="1" width="46" customWidth="1"/>
    <col min="2" max="2" width="52" customWidth="1"/>
    <col min="3" max="7" width="16" customWidth="1"/>
  </cols>
  <sheetData>
    <row r="1" spans="1:7" ht="16.5" x14ac:dyDescent="0.25">
      <c r="A1" s="1" t="s">
        <v>0</v>
      </c>
    </row>
    <row r="3" spans="1:7" x14ac:dyDescent="0.25">
      <c r="A3" s="2" t="s">
        <v>1</v>
      </c>
    </row>
    <row r="4" spans="1:7" x14ac:dyDescent="0.25">
      <c r="A4" s="2" t="s">
        <v>2</v>
      </c>
      <c r="B4" s="2" t="s">
        <v>3</v>
      </c>
      <c r="C4" s="2" t="s">
        <v>4</v>
      </c>
    </row>
    <row r="5" spans="1:7" x14ac:dyDescent="0.25">
      <c r="A5" t="s">
        <v>5</v>
      </c>
      <c r="B5" s="3">
        <v>1</v>
      </c>
      <c r="C5" t="s">
        <v>6</v>
      </c>
    </row>
    <row r="6" spans="1:7" x14ac:dyDescent="0.25">
      <c r="A6" t="s">
        <v>7</v>
      </c>
      <c r="B6" s="3">
        <v>548</v>
      </c>
      <c r="C6" t="s">
        <v>6</v>
      </c>
    </row>
    <row r="7" spans="1:7" x14ac:dyDescent="0.25">
      <c r="A7" t="s">
        <v>8</v>
      </c>
      <c r="B7" s="3">
        <v>590</v>
      </c>
      <c r="C7" t="s">
        <v>6</v>
      </c>
    </row>
    <row r="8" spans="1:7" x14ac:dyDescent="0.25">
      <c r="A8" t="s">
        <v>9</v>
      </c>
      <c r="B8" s="3">
        <v>13.8</v>
      </c>
      <c r="C8" t="s">
        <v>6</v>
      </c>
    </row>
    <row r="10" spans="1:7" x14ac:dyDescent="0.25">
      <c r="A10" s="2" t="s">
        <v>10</v>
      </c>
    </row>
    <row r="11" spans="1:7" x14ac:dyDescent="0.25">
      <c r="A11" s="2" t="s">
        <v>11</v>
      </c>
      <c r="B11" s="2" t="s">
        <v>2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</row>
    <row r="12" spans="1:7" x14ac:dyDescent="0.25">
      <c r="A12" t="s">
        <v>17</v>
      </c>
      <c r="B12" t="s">
        <v>8</v>
      </c>
      <c r="C12" s="3">
        <v>1.35</v>
      </c>
      <c r="D12" s="3">
        <v>0.3</v>
      </c>
      <c r="E12">
        <f t="shared" ref="E12:E23" si="0">C12*D12</f>
        <v>0.40500000000000003</v>
      </c>
      <c r="F12" t="s">
        <v>18</v>
      </c>
      <c r="G12" t="s">
        <v>19</v>
      </c>
    </row>
    <row r="13" spans="1:7" x14ac:dyDescent="0.25">
      <c r="A13" t="s">
        <v>20</v>
      </c>
      <c r="B13" t="s">
        <v>8</v>
      </c>
      <c r="C13" s="3">
        <v>0.6</v>
      </c>
      <c r="D13" s="3">
        <v>1</v>
      </c>
      <c r="E13">
        <f t="shared" si="0"/>
        <v>0.6</v>
      </c>
      <c r="F13" t="s">
        <v>18</v>
      </c>
      <c r="G13" t="s">
        <v>21</v>
      </c>
    </row>
    <row r="14" spans="1:7" x14ac:dyDescent="0.25">
      <c r="A14" t="s">
        <v>22</v>
      </c>
      <c r="B14" t="s">
        <v>5</v>
      </c>
      <c r="C14" s="3">
        <v>0.6</v>
      </c>
      <c r="D14" s="3">
        <v>1</v>
      </c>
      <c r="E14">
        <f t="shared" si="0"/>
        <v>0.6</v>
      </c>
      <c r="F14" t="s">
        <v>18</v>
      </c>
      <c r="G14" t="s">
        <v>23</v>
      </c>
    </row>
    <row r="15" spans="1:7" x14ac:dyDescent="0.25">
      <c r="A15" t="s">
        <v>24</v>
      </c>
      <c r="B15" t="s">
        <v>5</v>
      </c>
      <c r="C15" s="3">
        <v>0.55000000000000004</v>
      </c>
      <c r="D15" s="3">
        <v>1</v>
      </c>
      <c r="E15">
        <f t="shared" si="0"/>
        <v>0.55000000000000004</v>
      </c>
      <c r="F15" t="s">
        <v>18</v>
      </c>
      <c r="G15" t="s">
        <v>25</v>
      </c>
    </row>
    <row r="16" spans="1:7" x14ac:dyDescent="0.25">
      <c r="A16" t="s">
        <v>26</v>
      </c>
      <c r="B16" t="s">
        <v>5</v>
      </c>
      <c r="C16" s="3">
        <v>1</v>
      </c>
      <c r="D16" s="3">
        <v>1</v>
      </c>
      <c r="E16">
        <f t="shared" si="0"/>
        <v>1</v>
      </c>
      <c r="F16" t="s">
        <v>18</v>
      </c>
    </row>
    <row r="17" spans="1:7" x14ac:dyDescent="0.25">
      <c r="A17" t="s">
        <v>27</v>
      </c>
      <c r="B17" t="s">
        <v>5</v>
      </c>
      <c r="C17" s="3">
        <v>1</v>
      </c>
      <c r="D17" s="3">
        <v>1</v>
      </c>
      <c r="E17">
        <f t="shared" si="0"/>
        <v>1</v>
      </c>
      <c r="F17" t="s">
        <v>18</v>
      </c>
      <c r="G17" t="s">
        <v>28</v>
      </c>
    </row>
    <row r="18" spans="1:7" x14ac:dyDescent="0.25">
      <c r="A18" t="s">
        <v>29</v>
      </c>
      <c r="B18" t="s">
        <v>5</v>
      </c>
      <c r="C18" s="3">
        <v>1</v>
      </c>
      <c r="D18" s="3">
        <v>1</v>
      </c>
      <c r="E18">
        <f t="shared" si="0"/>
        <v>1</v>
      </c>
      <c r="F18" t="s">
        <v>18</v>
      </c>
      <c r="G18" t="s">
        <v>30</v>
      </c>
    </row>
    <row r="19" spans="1:7" x14ac:dyDescent="0.25">
      <c r="A19" t="s">
        <v>31</v>
      </c>
      <c r="B19" t="s">
        <v>5</v>
      </c>
      <c r="C19" s="3">
        <v>0.6</v>
      </c>
      <c r="D19" s="3">
        <v>1</v>
      </c>
      <c r="E19">
        <f t="shared" si="0"/>
        <v>0.6</v>
      </c>
      <c r="F19" t="s">
        <v>18</v>
      </c>
      <c r="G19" t="s">
        <v>32</v>
      </c>
    </row>
    <row r="20" spans="1:7" x14ac:dyDescent="0.25">
      <c r="A20" t="s">
        <v>33</v>
      </c>
      <c r="B20" t="s">
        <v>5</v>
      </c>
      <c r="C20" s="3">
        <v>1</v>
      </c>
      <c r="D20" s="3">
        <v>1</v>
      </c>
      <c r="E20">
        <f t="shared" si="0"/>
        <v>1</v>
      </c>
      <c r="F20" t="s">
        <v>34</v>
      </c>
      <c r="G20" t="s">
        <v>35</v>
      </c>
    </row>
    <row r="21" spans="1:7" x14ac:dyDescent="0.25">
      <c r="A21" t="s">
        <v>36</v>
      </c>
      <c r="B21" t="s">
        <v>5</v>
      </c>
      <c r="C21" s="3">
        <v>1</v>
      </c>
      <c r="D21" s="3">
        <v>1</v>
      </c>
      <c r="E21">
        <f t="shared" si="0"/>
        <v>1</v>
      </c>
      <c r="F21" t="s">
        <v>34</v>
      </c>
      <c r="G21" t="s">
        <v>35</v>
      </c>
    </row>
    <row r="22" spans="1:7" x14ac:dyDescent="0.25">
      <c r="A22" t="s">
        <v>37</v>
      </c>
      <c r="B22" t="s">
        <v>5</v>
      </c>
      <c r="C22" s="3">
        <v>1</v>
      </c>
      <c r="D22" s="3">
        <v>1</v>
      </c>
      <c r="E22">
        <f t="shared" si="0"/>
        <v>1</v>
      </c>
      <c r="F22" t="s">
        <v>34</v>
      </c>
    </row>
    <row r="23" spans="1:7" x14ac:dyDescent="0.25">
      <c r="A23" t="s">
        <v>38</v>
      </c>
      <c r="B23" t="s">
        <v>5</v>
      </c>
      <c r="C23" s="3">
        <v>1</v>
      </c>
      <c r="D23" s="3">
        <v>1</v>
      </c>
      <c r="E23">
        <f t="shared" si="0"/>
        <v>1</v>
      </c>
      <c r="F23" t="s">
        <v>34</v>
      </c>
    </row>
    <row r="25" spans="1:7" x14ac:dyDescent="0.25">
      <c r="A25" s="2" t="s">
        <v>39</v>
      </c>
    </row>
    <row r="26" spans="1:7" x14ac:dyDescent="0.25">
      <c r="A26" t="s">
        <v>40</v>
      </c>
      <c r="B26" s="3">
        <v>100</v>
      </c>
    </row>
    <row r="27" spans="1:7" x14ac:dyDescent="0.25">
      <c r="A27" t="s">
        <v>41</v>
      </c>
      <c r="B27" s="3">
        <v>1.1499999999999999</v>
      </c>
    </row>
    <row r="28" spans="1:7" x14ac:dyDescent="0.25">
      <c r="A28" t="s">
        <v>42</v>
      </c>
      <c r="B28" s="3">
        <v>7.0000000000000007E-2</v>
      </c>
    </row>
    <row r="30" spans="1:7" x14ac:dyDescent="0.25">
      <c r="A30" s="2" t="s">
        <v>43</v>
      </c>
    </row>
    <row r="31" spans="1:7" x14ac:dyDescent="0.25">
      <c r="A31" s="2" t="s">
        <v>44</v>
      </c>
      <c r="B31" s="2" t="s">
        <v>45</v>
      </c>
      <c r="C31" s="2" t="s">
        <v>46</v>
      </c>
    </row>
    <row r="32" spans="1:7" x14ac:dyDescent="0.25">
      <c r="A32" t="s">
        <v>47</v>
      </c>
      <c r="B32" s="3">
        <v>3</v>
      </c>
      <c r="C32" t="s">
        <v>48</v>
      </c>
    </row>
    <row r="33" spans="1:3" x14ac:dyDescent="0.25">
      <c r="A33" t="s">
        <v>49</v>
      </c>
      <c r="B33" s="3">
        <v>5</v>
      </c>
      <c r="C33" t="s">
        <v>50</v>
      </c>
    </row>
    <row r="34" spans="1:3" x14ac:dyDescent="0.25">
      <c r="A34" t="s">
        <v>51</v>
      </c>
      <c r="B34" s="3">
        <v>8</v>
      </c>
      <c r="C34" t="s">
        <v>52</v>
      </c>
    </row>
    <row r="35" spans="1:3" x14ac:dyDescent="0.25">
      <c r="A35" t="s">
        <v>53</v>
      </c>
      <c r="B35" s="3">
        <v>10</v>
      </c>
      <c r="C35" t="s">
        <v>54</v>
      </c>
    </row>
    <row r="36" spans="1:3" x14ac:dyDescent="0.25">
      <c r="A36" t="s">
        <v>55</v>
      </c>
      <c r="B36" s="3">
        <v>6</v>
      </c>
      <c r="C36" t="s">
        <v>56</v>
      </c>
    </row>
    <row r="37" spans="1:3" x14ac:dyDescent="0.25">
      <c r="A37" t="s">
        <v>57</v>
      </c>
      <c r="B37" s="3">
        <v>10</v>
      </c>
      <c r="C37" t="s">
        <v>58</v>
      </c>
    </row>
    <row r="38" spans="1:3" x14ac:dyDescent="0.25">
      <c r="A38" t="s">
        <v>59</v>
      </c>
      <c r="B38" s="3">
        <v>20</v>
      </c>
      <c r="C38" t="s">
        <v>60</v>
      </c>
    </row>
    <row r="39" spans="1:3" x14ac:dyDescent="0.25">
      <c r="A39" t="s">
        <v>61</v>
      </c>
      <c r="B39" s="3">
        <v>15</v>
      </c>
      <c r="C39" t="s">
        <v>62</v>
      </c>
    </row>
    <row r="40" spans="1:3" x14ac:dyDescent="0.25">
      <c r="A40" t="s">
        <v>63</v>
      </c>
      <c r="B40" s="3">
        <v>25</v>
      </c>
      <c r="C40" t="s">
        <v>64</v>
      </c>
    </row>
    <row r="41" spans="1:3" x14ac:dyDescent="0.25">
      <c r="A41" t="s">
        <v>65</v>
      </c>
      <c r="B41" s="3">
        <v>40</v>
      </c>
      <c r="C41" t="s">
        <v>66</v>
      </c>
    </row>
    <row r="42" spans="1:3" x14ac:dyDescent="0.25">
      <c r="A42" t="s">
        <v>67</v>
      </c>
      <c r="B42" s="3">
        <v>55</v>
      </c>
      <c r="C42" t="s">
        <v>68</v>
      </c>
    </row>
    <row r="43" spans="1:3" x14ac:dyDescent="0.25">
      <c r="A43" t="s">
        <v>69</v>
      </c>
      <c r="B43" s="3">
        <v>90</v>
      </c>
      <c r="C43" t="s">
        <v>70</v>
      </c>
    </row>
    <row r="44" spans="1:3" x14ac:dyDescent="0.25">
      <c r="A44" t="s">
        <v>71</v>
      </c>
      <c r="B44" s="3">
        <v>12</v>
      </c>
      <c r="C44" t="s">
        <v>72</v>
      </c>
    </row>
    <row r="45" spans="1:3" x14ac:dyDescent="0.25">
      <c r="A45" t="s">
        <v>73</v>
      </c>
      <c r="B45" s="3">
        <v>180</v>
      </c>
      <c r="C45" t="s">
        <v>74</v>
      </c>
    </row>
    <row r="46" spans="1:3" x14ac:dyDescent="0.25">
      <c r="A46" t="s">
        <v>75</v>
      </c>
      <c r="B46" s="3">
        <v>10</v>
      </c>
      <c r="C46" t="s">
        <v>76</v>
      </c>
    </row>
    <row r="47" spans="1:3" x14ac:dyDescent="0.25">
      <c r="A47" t="s">
        <v>77</v>
      </c>
      <c r="B47" s="3">
        <v>5</v>
      </c>
      <c r="C47" t="s">
        <v>78</v>
      </c>
    </row>
    <row r="48" spans="1:3" x14ac:dyDescent="0.25">
      <c r="A48" t="s">
        <v>79</v>
      </c>
      <c r="B48" s="3">
        <v>3</v>
      </c>
      <c r="C48" t="s">
        <v>80</v>
      </c>
    </row>
    <row r="49" spans="1:3" x14ac:dyDescent="0.25">
      <c r="A49" t="s">
        <v>81</v>
      </c>
      <c r="B49" s="3">
        <v>30</v>
      </c>
      <c r="C49" t="s">
        <v>82</v>
      </c>
    </row>
    <row r="50" spans="1:3" x14ac:dyDescent="0.25">
      <c r="A50" t="s">
        <v>83</v>
      </c>
      <c r="B50" s="3">
        <v>10</v>
      </c>
      <c r="C50" t="s">
        <v>84</v>
      </c>
    </row>
    <row r="51" spans="1:3" x14ac:dyDescent="0.25">
      <c r="A51" t="s">
        <v>85</v>
      </c>
      <c r="B51" s="3">
        <v>10</v>
      </c>
      <c r="C51" t="s">
        <v>86</v>
      </c>
    </row>
    <row r="52" spans="1:3" x14ac:dyDescent="0.25">
      <c r="A52" t="s">
        <v>87</v>
      </c>
      <c r="B52" s="3">
        <v>8</v>
      </c>
      <c r="C52" t="s">
        <v>88</v>
      </c>
    </row>
    <row r="53" spans="1:3" x14ac:dyDescent="0.25">
      <c r="A53" t="s">
        <v>89</v>
      </c>
      <c r="B53" s="3">
        <v>4</v>
      </c>
      <c r="C53" t="s">
        <v>90</v>
      </c>
    </row>
    <row r="54" spans="1:3" x14ac:dyDescent="0.25">
      <c r="A54" t="s">
        <v>91</v>
      </c>
      <c r="B54" s="3">
        <v>5</v>
      </c>
      <c r="C54" t="s">
        <v>92</v>
      </c>
    </row>
    <row r="55" spans="1:3" x14ac:dyDescent="0.25">
      <c r="A55" t="s">
        <v>93</v>
      </c>
      <c r="B55" s="3">
        <v>8</v>
      </c>
      <c r="C55" t="s">
        <v>94</v>
      </c>
    </row>
    <row r="56" spans="1:3" x14ac:dyDescent="0.25">
      <c r="A56" t="s">
        <v>95</v>
      </c>
      <c r="B56" s="3">
        <v>10</v>
      </c>
      <c r="C56" t="s">
        <v>96</v>
      </c>
    </row>
    <row r="57" spans="1:3" x14ac:dyDescent="0.25">
      <c r="A57" t="s">
        <v>97</v>
      </c>
      <c r="B57" s="3">
        <v>4</v>
      </c>
      <c r="C57" t="s">
        <v>98</v>
      </c>
    </row>
    <row r="58" spans="1:3" x14ac:dyDescent="0.25">
      <c r="A58" t="s">
        <v>99</v>
      </c>
      <c r="B58" s="3">
        <v>20</v>
      </c>
      <c r="C58" t="s">
        <v>100</v>
      </c>
    </row>
    <row r="59" spans="1:3" x14ac:dyDescent="0.25">
      <c r="A59" t="s">
        <v>101</v>
      </c>
      <c r="B59" s="3">
        <v>6</v>
      </c>
      <c r="C59" t="s">
        <v>102</v>
      </c>
    </row>
    <row r="60" spans="1:3" x14ac:dyDescent="0.25">
      <c r="A60" t="s">
        <v>103</v>
      </c>
      <c r="B60" s="3">
        <v>8</v>
      </c>
      <c r="C60" t="s">
        <v>104</v>
      </c>
    </row>
    <row r="61" spans="1:3" x14ac:dyDescent="0.25">
      <c r="A61" t="s">
        <v>105</v>
      </c>
      <c r="B61" s="3">
        <v>30</v>
      </c>
      <c r="C61" t="s">
        <v>106</v>
      </c>
    </row>
    <row r="62" spans="1:3" x14ac:dyDescent="0.25">
      <c r="A62" t="s">
        <v>107</v>
      </c>
      <c r="B62" s="3">
        <v>90</v>
      </c>
      <c r="C62" t="s">
        <v>108</v>
      </c>
    </row>
    <row r="63" spans="1:3" x14ac:dyDescent="0.25">
      <c r="A63" t="s">
        <v>109</v>
      </c>
      <c r="B63" s="3">
        <v>20</v>
      </c>
      <c r="C63" t="s">
        <v>110</v>
      </c>
    </row>
    <row r="66" spans="1:5" x14ac:dyDescent="0.25">
      <c r="A66" s="2" t="s">
        <v>111</v>
      </c>
    </row>
    <row r="67" spans="1:5" x14ac:dyDescent="0.25">
      <c r="A67" s="2" t="s">
        <v>112</v>
      </c>
      <c r="B67" s="2" t="s">
        <v>113</v>
      </c>
      <c r="C67" s="2" t="s">
        <v>114</v>
      </c>
      <c r="D67" s="2" t="s">
        <v>115</v>
      </c>
      <c r="E67" s="2" t="s">
        <v>116</v>
      </c>
    </row>
    <row r="68" spans="1:5" x14ac:dyDescent="0.25">
      <c r="A68" t="s">
        <v>22</v>
      </c>
      <c r="B68" t="s">
        <v>117</v>
      </c>
      <c r="C68" t="s">
        <v>118</v>
      </c>
      <c r="D68">
        <f>ROUND((DATE(2026,9,8)-DATEVALUE(C68))/30.4,1)</f>
        <v>0.4</v>
      </c>
      <c r="E68" t="str">
        <f>IF(D68&gt;18,"SADECE ARTIKUL — FIYAT KULLANILMAZ",IF(D68&gt;12,"GUNCELLE","normal"))</f>
        <v>normal</v>
      </c>
    </row>
    <row r="69" spans="1:5" x14ac:dyDescent="0.25">
      <c r="A69" t="s">
        <v>22</v>
      </c>
      <c r="B69" t="s">
        <v>119</v>
      </c>
      <c r="C69" t="s">
        <v>120</v>
      </c>
      <c r="D69">
        <f>ROUND((DATE(2026,9,8)-DATEVALUE(C69))/30.4,1)</f>
        <v>7.2</v>
      </c>
      <c r="E69" t="str">
        <f>IF(D69&gt;18,"SADECE ARTIKUL — FIYAT KULLANILMAZ",IF(D69&gt;12,"GUNCELLE","normal"))</f>
        <v>normal</v>
      </c>
    </row>
    <row r="70" spans="1:5" x14ac:dyDescent="0.25">
      <c r="A70" t="s">
        <v>31</v>
      </c>
      <c r="B70" t="s">
        <v>121</v>
      </c>
      <c r="C70" t="s">
        <v>122</v>
      </c>
      <c r="D70">
        <f>ROUND((DATE(2026,9,8)-DATEVALUE(C70))/30.4,1)</f>
        <v>1.8</v>
      </c>
      <c r="E70" t="str">
        <f>IF(D70&gt;18,"SADECE ARTIKUL — FIYAT KULLANILMAZ",IF(D70&gt;12,"GUNCELLE","normal"))</f>
        <v>normal</v>
      </c>
    </row>
    <row r="71" spans="1:5" x14ac:dyDescent="0.25">
      <c r="A71" t="s">
        <v>29</v>
      </c>
      <c r="B71" t="s">
        <v>123</v>
      </c>
      <c r="C71" t="s">
        <v>124</v>
      </c>
      <c r="D71">
        <f>ROUND((DATE(2026,9,8)-DATEVALUE(C71))/30.4,1)</f>
        <v>14.9</v>
      </c>
      <c r="E71" t="str">
        <f>IF(D71&gt;18,"SADECE ARTIKUL — FIYAT KULLANILMAZ",IF(D71&gt;12,"GUNCELLE","normal"))</f>
        <v>GUNCELLE</v>
      </c>
    </row>
    <row r="72" spans="1:5" x14ac:dyDescent="0.25">
      <c r="A72" t="s">
        <v>27</v>
      </c>
      <c r="B72" t="s">
        <v>125</v>
      </c>
      <c r="C72" t="s">
        <v>126</v>
      </c>
      <c r="D72">
        <f>ROUND((DATE(2026,9,8)-DATEVALUE(C72))/30.4,1)</f>
        <v>8.1</v>
      </c>
      <c r="E72" t="str">
        <f>IF(D72&gt;18,"SADECE ARTIKUL — FIYAT KULLANILMAZ",IF(D72&gt;12,"GUNCELLE","normal"))</f>
        <v>normal</v>
      </c>
    </row>
    <row r="74" spans="1:5" x14ac:dyDescent="0.25">
      <c r="A74" s="2" t="s">
        <v>127</v>
      </c>
    </row>
    <row r="75" spans="1:5" x14ac:dyDescent="0.25">
      <c r="A75" t="s">
        <v>128</v>
      </c>
      <c r="B75" s="3"/>
    </row>
    <row r="76" spans="1:5" x14ac:dyDescent="0.25">
      <c r="A76" t="s">
        <v>129</v>
      </c>
      <c r="B76" s="3"/>
    </row>
    <row r="77" spans="1:5" x14ac:dyDescent="0.25">
      <c r="A77" t="s">
        <v>130</v>
      </c>
      <c r="B77" s="3">
        <v>0.12</v>
      </c>
    </row>
    <row r="78" spans="1:5" x14ac:dyDescent="0.25">
      <c r="A78" t="s">
        <v>131</v>
      </c>
      <c r="B78" s="3"/>
    </row>
    <row r="79" spans="1:5" x14ac:dyDescent="0.25">
      <c r="A79" t="s">
        <v>132</v>
      </c>
      <c r="B79" s="3"/>
    </row>
    <row r="80" spans="1:5" x14ac:dyDescent="0.25">
      <c r="A80" t="s">
        <v>133</v>
      </c>
      <c r="B80" s="3"/>
    </row>
    <row r="81" spans="1:2" x14ac:dyDescent="0.25">
      <c r="A81" t="s">
        <v>134</v>
      </c>
      <c r="B81" s="3"/>
    </row>
    <row r="83" spans="1:2" x14ac:dyDescent="0.25">
      <c r="A83" s="2" t="s">
        <v>135</v>
      </c>
    </row>
    <row r="84" spans="1:2" x14ac:dyDescent="0.25">
      <c r="A84" t="s">
        <v>136</v>
      </c>
      <c r="B84" s="3">
        <v>14.45</v>
      </c>
    </row>
    <row r="85" spans="1:2" x14ac:dyDescent="0.25">
      <c r="A85" t="s">
        <v>137</v>
      </c>
      <c r="B85" s="3">
        <v>8.1999999999999993</v>
      </c>
    </row>
    <row r="86" spans="1:2" x14ac:dyDescent="0.25">
      <c r="A86" t="s">
        <v>138</v>
      </c>
      <c r="B86">
        <f>B6</f>
        <v>548</v>
      </c>
    </row>
    <row r="87" spans="1:2" x14ac:dyDescent="0.25">
      <c r="A87" t="s">
        <v>139</v>
      </c>
      <c r="B87">
        <f>B84*B86</f>
        <v>7918.5999999999995</v>
      </c>
    </row>
    <row r="88" spans="1:2" x14ac:dyDescent="0.25">
      <c r="A88" t="s">
        <v>140</v>
      </c>
      <c r="B88">
        <f>B85*B86</f>
        <v>4493.5999999999995</v>
      </c>
    </row>
    <row r="90" spans="1:2" x14ac:dyDescent="0.25">
      <c r="A90" s="2" t="s">
        <v>141</v>
      </c>
    </row>
    <row r="91" spans="1:2" x14ac:dyDescent="0.25">
      <c r="A91" t="s">
        <v>142</v>
      </c>
    </row>
    <row r="92" spans="1:2" x14ac:dyDescent="0.25">
      <c r="A92" t="s">
        <v>143</v>
      </c>
    </row>
    <row r="93" spans="1:2" x14ac:dyDescent="0.25">
      <c r="A93" t="s">
        <v>144</v>
      </c>
    </row>
    <row r="94" spans="1:2" x14ac:dyDescent="0.25">
      <c r="A94" t="s">
        <v>145</v>
      </c>
    </row>
    <row r="95" spans="1:2" x14ac:dyDescent="0.25">
      <c r="A95" t="s">
        <v>146</v>
      </c>
    </row>
    <row r="96" spans="1:2" x14ac:dyDescent="0.25">
      <c r="A96" t="s">
        <v>147</v>
      </c>
    </row>
    <row r="97" spans="1:1" x14ac:dyDescent="0.25">
      <c r="A97" t="s">
        <v>148</v>
      </c>
    </row>
    <row r="98" spans="1:1" x14ac:dyDescent="0.25">
      <c r="A98" t="s">
        <v>149</v>
      </c>
    </row>
    <row r="99" spans="1:1" x14ac:dyDescent="0.25">
      <c r="A99" t="s">
        <v>150</v>
      </c>
    </row>
    <row r="100" spans="1:1" x14ac:dyDescent="0.25">
      <c r="A100" t="s">
        <v>151</v>
      </c>
    </row>
    <row r="101" spans="1:1" x14ac:dyDescent="0.25">
      <c r="A101" t="s">
        <v>152</v>
      </c>
    </row>
    <row r="102" spans="1:1" x14ac:dyDescent="0.25">
      <c r="A102" t="s">
        <v>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20" customWidth="1"/>
    <col min="3" max="3" width="62" customWidth="1"/>
    <col min="4" max="4" width="12" customWidth="1"/>
    <col min="5" max="5" width="14" customWidth="1"/>
    <col min="6" max="6" width="13" customWidth="1"/>
    <col min="7" max="7" width="7" customWidth="1"/>
    <col min="8" max="8" width="9" customWidth="1"/>
    <col min="9" max="9" width="13" customWidth="1"/>
    <col min="10" max="10" width="9" customWidth="1"/>
    <col min="11" max="11" width="12" customWidth="1"/>
    <col min="12" max="12" width="14" customWidth="1"/>
    <col min="13" max="13" width="20" customWidth="1"/>
    <col min="14" max="14" width="16" customWidth="1"/>
    <col min="15" max="15" width="80" customWidth="1"/>
    <col min="16" max="16" width="14" customWidth="1"/>
  </cols>
  <sheetData>
    <row r="1" spans="1:16" x14ac:dyDescent="0.25">
      <c r="A1" s="4" t="s">
        <v>154</v>
      </c>
      <c r="B1" s="4" t="s">
        <v>155</v>
      </c>
      <c r="C1" s="4" t="s">
        <v>156</v>
      </c>
      <c r="D1" s="4" t="s">
        <v>157</v>
      </c>
      <c r="E1" s="4" t="s">
        <v>11</v>
      </c>
      <c r="F1" s="4" t="s">
        <v>158</v>
      </c>
      <c r="G1" s="4" t="s">
        <v>2</v>
      </c>
      <c r="H1" s="4" t="s">
        <v>159</v>
      </c>
      <c r="I1" s="4" t="s">
        <v>160</v>
      </c>
      <c r="J1" s="4" t="s">
        <v>161</v>
      </c>
      <c r="K1" s="4" t="s">
        <v>162</v>
      </c>
      <c r="L1" s="4" t="s">
        <v>163</v>
      </c>
      <c r="M1" s="4" t="s">
        <v>164</v>
      </c>
      <c r="N1" s="4" t="s">
        <v>165</v>
      </c>
      <c r="O1" s="4" t="s">
        <v>16</v>
      </c>
      <c r="P1" s="4" t="s">
        <v>166</v>
      </c>
    </row>
    <row r="2" spans="1:16" x14ac:dyDescent="0.25">
      <c r="A2" s="5">
        <v>1</v>
      </c>
      <c r="B2" s="5" t="s">
        <v>167</v>
      </c>
      <c r="C2" s="5" t="s">
        <v>168</v>
      </c>
      <c r="D2" s="5" t="s">
        <v>169</v>
      </c>
      <c r="E2" s="5" t="s">
        <v>22</v>
      </c>
      <c r="F2" s="6">
        <v>64667</v>
      </c>
      <c r="G2" s="5" t="str">
        <f>IFERROR(VLOOKUP($E2,KURALLAR!$A$12:$E$23,2,FALSE()),"KZT")</f>
        <v>KZT</v>
      </c>
      <c r="H2" s="5">
        <f>IFERROR(VLOOKUP($E2,KURALLAR!$A$12:$E$23,5,FALSE()),1)</f>
        <v>0.6</v>
      </c>
      <c r="I2" s="5">
        <f>IF($F2="","",$F2*$H2*IFERROR(VLOOKUP($G2,KURALLAR!$A$5:$B$8,2,FALSE()),1))</f>
        <v>38800.199999999997</v>
      </c>
      <c r="J2" s="5" t="s">
        <v>170</v>
      </c>
      <c r="K2" s="5">
        <f>SUMIF(BOM!$D:$D,$B2,BOM!$I:$I)</f>
        <v>59</v>
      </c>
      <c r="L2" s="5">
        <f>SUMIF(BOM!$D:$D,$B2,BOM!$H:$H)</f>
        <v>2289211.7999999984</v>
      </c>
      <c r="M2" s="5" t="s">
        <v>171</v>
      </c>
      <c r="N2" s="5" t="str">
        <f t="shared" ref="N2:N33" si="0">IF($P2="ORAN","ORAN (KURALLAR)",IF($I2="","FIYAT_YOK",$P2))</f>
        <v>MUADIL</v>
      </c>
      <c r="O2" s="5" t="s">
        <v>172</v>
      </c>
      <c r="P2" s="5" t="s">
        <v>173</v>
      </c>
    </row>
    <row r="3" spans="1:16" x14ac:dyDescent="0.25">
      <c r="A3" s="5">
        <v>2</v>
      </c>
      <c r="B3" s="5" t="s">
        <v>174</v>
      </c>
      <c r="C3" s="5" t="s">
        <v>175</v>
      </c>
      <c r="D3" s="5" t="s">
        <v>176</v>
      </c>
      <c r="E3" s="5" t="s">
        <v>22</v>
      </c>
      <c r="F3" s="6">
        <v>18106</v>
      </c>
      <c r="G3" s="5" t="str">
        <f>IFERROR(VLOOKUP($E3,KURALLAR!$A$12:$E$23,2,FALSE()),"KZT")</f>
        <v>KZT</v>
      </c>
      <c r="H3" s="5">
        <f>IFERROR(VLOOKUP($E3,KURALLAR!$A$12:$E$23,5,FALSE()),1)</f>
        <v>0.6</v>
      </c>
      <c r="I3" s="5">
        <f>IF($F3="","",$F3*$H3*IFERROR(VLOOKUP($G3,KURALLAR!$A$5:$B$8,2,FALSE()),1))</f>
        <v>10863.6</v>
      </c>
      <c r="J3" s="5" t="s">
        <v>170</v>
      </c>
      <c r="K3" s="5">
        <f>SUMIF(BOM!$D:$D,$B3,BOM!$I:$I)</f>
        <v>60</v>
      </c>
      <c r="L3" s="5">
        <f>SUMIF(BOM!$D:$D,$B3,BOM!$H:$H)</f>
        <v>651815.9999999993</v>
      </c>
      <c r="M3" s="5" t="s">
        <v>171</v>
      </c>
      <c r="N3" s="5" t="str">
        <f t="shared" si="0"/>
        <v>OK</v>
      </c>
      <c r="O3" s="5" t="s">
        <v>177</v>
      </c>
      <c r="P3" s="5" t="s">
        <v>178</v>
      </c>
    </row>
    <row r="4" spans="1:16" x14ac:dyDescent="0.25">
      <c r="A4" s="5">
        <v>3</v>
      </c>
      <c r="B4" s="5" t="s">
        <v>179</v>
      </c>
      <c r="C4" s="5" t="s">
        <v>180</v>
      </c>
      <c r="D4" s="5" t="s">
        <v>79</v>
      </c>
      <c r="E4" s="5" t="s">
        <v>22</v>
      </c>
      <c r="F4" s="6">
        <v>2038</v>
      </c>
      <c r="G4" s="5" t="str">
        <f>IFERROR(VLOOKUP($E4,KURALLAR!$A$12:$E$23,2,FALSE()),"KZT")</f>
        <v>KZT</v>
      </c>
      <c r="H4" s="5">
        <f>IFERROR(VLOOKUP($E4,KURALLAR!$A$12:$E$23,5,FALSE()),1)</f>
        <v>0.6</v>
      </c>
      <c r="I4" s="5">
        <f>IF($F4="","",$F4*$H4*IFERROR(VLOOKUP($G4,KURALLAR!$A$5:$B$8,2,FALSE()),1))</f>
        <v>1222.8</v>
      </c>
      <c r="J4" s="5" t="s">
        <v>170</v>
      </c>
      <c r="K4" s="5">
        <f>SUMIF(BOM!$D:$D,$B4,BOM!$I:$I)</f>
        <v>384</v>
      </c>
      <c r="L4" s="5">
        <f>SUMIF(BOM!$D:$D,$B4,BOM!$H:$H)</f>
        <v>469555.20000000077</v>
      </c>
      <c r="M4" s="5" t="s">
        <v>171</v>
      </c>
      <c r="N4" s="5" t="str">
        <f t="shared" si="0"/>
        <v>MUADIL</v>
      </c>
      <c r="O4" s="5" t="s">
        <v>181</v>
      </c>
      <c r="P4" s="5" t="s">
        <v>173</v>
      </c>
    </row>
    <row r="5" spans="1:16" x14ac:dyDescent="0.25">
      <c r="A5" s="5">
        <v>4</v>
      </c>
      <c r="B5" s="5" t="s">
        <v>182</v>
      </c>
      <c r="C5" s="5" t="s">
        <v>183</v>
      </c>
      <c r="D5" s="5" t="s">
        <v>79</v>
      </c>
      <c r="E5" s="5" t="s">
        <v>22</v>
      </c>
      <c r="F5" s="6">
        <v>1525</v>
      </c>
      <c r="G5" s="5" t="str">
        <f>IFERROR(VLOOKUP($E5,KURALLAR!$A$12:$E$23,2,FALSE()),"KZT")</f>
        <v>KZT</v>
      </c>
      <c r="H5" s="5">
        <f>IFERROR(VLOOKUP($E5,KURALLAR!$A$12:$E$23,5,FALSE()),1)</f>
        <v>0.6</v>
      </c>
      <c r="I5" s="5">
        <f>IF($F5="","",$F5*$H5*IFERROR(VLOOKUP($G5,KURALLAR!$A$5:$B$8,2,FALSE()),1))</f>
        <v>915</v>
      </c>
      <c r="J5" s="5" t="s">
        <v>170</v>
      </c>
      <c r="K5" s="5">
        <f>SUMIF(BOM!$D:$D,$B5,BOM!$I:$I)</f>
        <v>408</v>
      </c>
      <c r="L5" s="5">
        <f>SUMIF(BOM!$D:$D,$B5,BOM!$H:$H)</f>
        <v>373320</v>
      </c>
      <c r="M5" s="5" t="s">
        <v>184</v>
      </c>
      <c r="N5" s="5" t="str">
        <f t="shared" si="0"/>
        <v>MUADIL</v>
      </c>
      <c r="O5" s="5" t="s">
        <v>185</v>
      </c>
      <c r="P5" s="5" t="s">
        <v>173</v>
      </c>
    </row>
    <row r="6" spans="1:16" x14ac:dyDescent="0.25">
      <c r="A6" s="5">
        <v>5</v>
      </c>
      <c r="B6" s="5" t="s">
        <v>186</v>
      </c>
      <c r="C6" s="5" t="s">
        <v>187</v>
      </c>
      <c r="D6" s="5" t="s">
        <v>75</v>
      </c>
      <c r="E6" s="5" t="s">
        <v>22</v>
      </c>
      <c r="F6" s="6">
        <v>33208</v>
      </c>
      <c r="G6" s="5" t="str">
        <f>IFERROR(VLOOKUP($E6,KURALLAR!$A$12:$E$23,2,FALSE()),"KZT")</f>
        <v>KZT</v>
      </c>
      <c r="H6" s="5">
        <f>IFERROR(VLOOKUP($E6,KURALLAR!$A$12:$E$23,5,FALSE()),1)</f>
        <v>0.6</v>
      </c>
      <c r="I6" s="5">
        <f>IF($F6="","",$F6*$H6*IFERROR(VLOOKUP($G6,KURALLAR!$A$5:$B$8,2,FALSE()),1))</f>
        <v>19924.8</v>
      </c>
      <c r="J6" s="5" t="s">
        <v>170</v>
      </c>
      <c r="K6" s="5">
        <f>SUMIF(BOM!$D:$D,$B6,BOM!$I:$I)</f>
        <v>96</v>
      </c>
      <c r="L6" s="5">
        <f>SUMIF(BOM!$D:$D,$B6,BOM!$H:$H)</f>
        <v>1912780.8000000031</v>
      </c>
      <c r="M6" s="5" t="s">
        <v>184</v>
      </c>
      <c r="N6" s="5" t="str">
        <f t="shared" si="0"/>
        <v>MUADIL_ONAY</v>
      </c>
      <c r="O6" s="5" t="s">
        <v>188</v>
      </c>
      <c r="P6" s="5" t="s">
        <v>189</v>
      </c>
    </row>
    <row r="7" spans="1:16" x14ac:dyDescent="0.25">
      <c r="A7" s="5">
        <v>6</v>
      </c>
      <c r="B7" s="5" t="s">
        <v>190</v>
      </c>
      <c r="C7" s="5" t="s">
        <v>191</v>
      </c>
      <c r="D7" s="5" t="s">
        <v>192</v>
      </c>
      <c r="E7" s="5" t="s">
        <v>22</v>
      </c>
      <c r="F7" s="6">
        <v>5334</v>
      </c>
      <c r="G7" s="5" t="str">
        <f>IFERROR(VLOOKUP($E7,KURALLAR!$A$12:$E$23,2,FALSE()),"KZT")</f>
        <v>KZT</v>
      </c>
      <c r="H7" s="5">
        <f>IFERROR(VLOOKUP($E7,KURALLAR!$A$12:$E$23,5,FALSE()),1)</f>
        <v>0.6</v>
      </c>
      <c r="I7" s="5">
        <f>IF($F7="","",$F7*$H7*IFERROR(VLOOKUP($G7,KURALLAR!$A$5:$B$8,2,FALSE()),1))</f>
        <v>3200.4</v>
      </c>
      <c r="J7" s="5" t="s">
        <v>170</v>
      </c>
      <c r="K7" s="5">
        <f>SUMIF(BOM!$D:$D,$B7,BOM!$I:$I)</f>
        <v>46</v>
      </c>
      <c r="L7" s="5">
        <f>SUMIF(BOM!$D:$D,$B7,BOM!$H:$H)</f>
        <v>147218.39999999997</v>
      </c>
      <c r="M7" s="5" t="s">
        <v>171</v>
      </c>
      <c r="N7" s="5" t="str">
        <f t="shared" si="0"/>
        <v>OK</v>
      </c>
      <c r="O7" s="5" t="s">
        <v>193</v>
      </c>
      <c r="P7" s="5" t="s">
        <v>178</v>
      </c>
    </row>
    <row r="8" spans="1:16" x14ac:dyDescent="0.25">
      <c r="A8" s="5">
        <v>7</v>
      </c>
      <c r="B8" s="5" t="s">
        <v>194</v>
      </c>
      <c r="C8" s="5" t="s">
        <v>195</v>
      </c>
      <c r="D8" s="5" t="s">
        <v>192</v>
      </c>
      <c r="E8" s="5" t="s">
        <v>22</v>
      </c>
      <c r="F8" s="6">
        <v>1389</v>
      </c>
      <c r="G8" s="5" t="str">
        <f>IFERROR(VLOOKUP($E8,KURALLAR!$A$12:$E$23,2,FALSE()),"KZT")</f>
        <v>KZT</v>
      </c>
      <c r="H8" s="5">
        <f>IFERROR(VLOOKUP($E8,KURALLAR!$A$12:$E$23,5,FALSE()),1)</f>
        <v>0.6</v>
      </c>
      <c r="I8" s="5">
        <f>IF($F8="","",$F8*$H8*IFERROR(VLOOKUP($G8,KURALLAR!$A$5:$B$8,2,FALSE()),1))</f>
        <v>833.4</v>
      </c>
      <c r="J8" s="5" t="s">
        <v>170</v>
      </c>
      <c r="K8" s="5">
        <f>SUMIF(BOM!$D:$D,$B8,BOM!$I:$I)</f>
        <v>598</v>
      </c>
      <c r="L8" s="5">
        <f>SUMIF(BOM!$D:$D,$B8,BOM!$H:$H)</f>
        <v>498373.19999999984</v>
      </c>
      <c r="M8" s="5" t="s">
        <v>171</v>
      </c>
      <c r="N8" s="5" t="str">
        <f t="shared" si="0"/>
        <v>OK</v>
      </c>
      <c r="O8" s="5" t="s">
        <v>196</v>
      </c>
      <c r="P8" s="5" t="s">
        <v>178</v>
      </c>
    </row>
    <row r="9" spans="1:16" x14ac:dyDescent="0.25">
      <c r="A9" s="5">
        <v>8</v>
      </c>
      <c r="B9" s="5" t="s">
        <v>197</v>
      </c>
      <c r="C9" s="5" t="s">
        <v>198</v>
      </c>
      <c r="D9" s="5" t="s">
        <v>176</v>
      </c>
      <c r="E9" s="5" t="s">
        <v>22</v>
      </c>
      <c r="F9" s="6">
        <v>18338</v>
      </c>
      <c r="G9" s="5" t="str">
        <f>IFERROR(VLOOKUP($E9,KURALLAR!$A$12:$E$23,2,FALSE()),"KZT")</f>
        <v>KZT</v>
      </c>
      <c r="H9" s="5">
        <f>IFERROR(VLOOKUP($E9,KURALLAR!$A$12:$E$23,5,FALSE()),1)</f>
        <v>0.6</v>
      </c>
      <c r="I9" s="5">
        <f>IF($F9="","",$F9*$H9*IFERROR(VLOOKUP($G9,KURALLAR!$A$5:$B$8,2,FALSE()),1))</f>
        <v>11002.8</v>
      </c>
      <c r="J9" s="5" t="s">
        <v>170</v>
      </c>
      <c r="K9" s="5">
        <f>SUMIF(BOM!$D:$D,$B9,BOM!$I:$I)</f>
        <v>16</v>
      </c>
      <c r="L9" s="5">
        <f>SUMIF(BOM!$D:$D,$B9,BOM!$H:$H)</f>
        <v>176044.79999999999</v>
      </c>
      <c r="M9" s="5" t="s">
        <v>171</v>
      </c>
      <c r="N9" s="5" t="str">
        <f t="shared" si="0"/>
        <v>OK</v>
      </c>
      <c r="O9" s="5" t="s">
        <v>199</v>
      </c>
      <c r="P9" s="5" t="s">
        <v>178</v>
      </c>
    </row>
    <row r="10" spans="1:16" x14ac:dyDescent="0.25">
      <c r="A10" s="5">
        <v>9</v>
      </c>
      <c r="B10" s="5" t="s">
        <v>200</v>
      </c>
      <c r="C10" s="5" t="s">
        <v>201</v>
      </c>
      <c r="D10" s="5" t="s">
        <v>176</v>
      </c>
      <c r="E10" s="5" t="s">
        <v>22</v>
      </c>
      <c r="F10" s="6">
        <v>10809</v>
      </c>
      <c r="G10" s="5" t="str">
        <f>IFERROR(VLOOKUP($E10,KURALLAR!$A$12:$E$23,2,FALSE()),"KZT")</f>
        <v>KZT</v>
      </c>
      <c r="H10" s="5">
        <f>IFERROR(VLOOKUP($E10,KURALLAR!$A$12:$E$23,5,FALSE()),1)</f>
        <v>0.6</v>
      </c>
      <c r="I10" s="5">
        <f>IF($F10="","",$F10*$H10*IFERROR(VLOOKUP($G10,KURALLAR!$A$5:$B$8,2,FALSE()),1))</f>
        <v>6485.4</v>
      </c>
      <c r="J10" s="5" t="s">
        <v>170</v>
      </c>
      <c r="K10" s="5">
        <f>SUMIF(BOM!$D:$D,$B10,BOM!$I:$I)</f>
        <v>51</v>
      </c>
      <c r="L10" s="5">
        <f>SUMIF(BOM!$D:$D,$B10,BOM!$H:$H)</f>
        <v>330755.40000000002</v>
      </c>
      <c r="M10" s="5" t="s">
        <v>171</v>
      </c>
      <c r="N10" s="5" t="str">
        <f t="shared" si="0"/>
        <v>OK</v>
      </c>
      <c r="O10" s="5" t="s">
        <v>202</v>
      </c>
      <c r="P10" s="5" t="s">
        <v>178</v>
      </c>
    </row>
    <row r="11" spans="1:16" x14ac:dyDescent="0.25">
      <c r="A11" s="5">
        <v>10</v>
      </c>
      <c r="B11" s="5" t="s">
        <v>203</v>
      </c>
      <c r="C11" s="5" t="s">
        <v>204</v>
      </c>
      <c r="D11" s="5" t="s">
        <v>192</v>
      </c>
      <c r="E11" s="5" t="s">
        <v>22</v>
      </c>
      <c r="F11" s="6">
        <v>1434</v>
      </c>
      <c r="G11" s="5" t="str">
        <f>IFERROR(VLOOKUP($E11,KURALLAR!$A$12:$E$23,2,FALSE()),"KZT")</f>
        <v>KZT</v>
      </c>
      <c r="H11" s="5">
        <f>IFERROR(VLOOKUP($E11,KURALLAR!$A$12:$E$23,5,FALSE()),1)</f>
        <v>0.6</v>
      </c>
      <c r="I11" s="5">
        <f>IF($F11="","",$F11*$H11*IFERROR(VLOOKUP($G11,KURALLAR!$A$5:$B$8,2,FALSE()),1))</f>
        <v>860.4</v>
      </c>
      <c r="J11" s="5" t="s">
        <v>170</v>
      </c>
      <c r="K11" s="5">
        <f>SUMIF(BOM!$D:$D,$B11,BOM!$I:$I)</f>
        <v>4</v>
      </c>
      <c r="L11" s="5">
        <f>SUMIF(BOM!$D:$D,$B11,BOM!$H:$H)</f>
        <v>3441.6</v>
      </c>
      <c r="M11" s="5" t="s">
        <v>171</v>
      </c>
      <c r="N11" s="5" t="str">
        <f t="shared" si="0"/>
        <v>OK</v>
      </c>
      <c r="O11" s="5" t="s">
        <v>205</v>
      </c>
      <c r="P11" s="5" t="s">
        <v>178</v>
      </c>
    </row>
    <row r="12" spans="1:16" x14ac:dyDescent="0.25">
      <c r="A12" s="5">
        <v>11</v>
      </c>
      <c r="B12" s="5" t="s">
        <v>206</v>
      </c>
      <c r="C12" s="5" t="s">
        <v>207</v>
      </c>
      <c r="D12" s="5" t="s">
        <v>192</v>
      </c>
      <c r="E12" s="5" t="s">
        <v>22</v>
      </c>
      <c r="F12" s="6">
        <v>1362</v>
      </c>
      <c r="G12" s="5" t="str">
        <f>IFERROR(VLOOKUP($E12,KURALLAR!$A$12:$E$23,2,FALSE()),"KZT")</f>
        <v>KZT</v>
      </c>
      <c r="H12" s="5">
        <f>IFERROR(VLOOKUP($E12,KURALLAR!$A$12:$E$23,5,FALSE()),1)</f>
        <v>0.6</v>
      </c>
      <c r="I12" s="5">
        <f>IF($F12="","",$F12*$H12*IFERROR(VLOOKUP($G12,KURALLAR!$A$5:$B$8,2,FALSE()),1))</f>
        <v>817.19999999999993</v>
      </c>
      <c r="J12" s="5" t="s">
        <v>170</v>
      </c>
      <c r="K12" s="5">
        <f>SUMIF(BOM!$D:$D,$B12,BOM!$I:$I)</f>
        <v>593</v>
      </c>
      <c r="L12" s="5">
        <f>SUMIF(BOM!$D:$D,$B12,BOM!$H:$H)</f>
        <v>484599.59999999974</v>
      </c>
      <c r="M12" s="5" t="s">
        <v>184</v>
      </c>
      <c r="N12" s="5" t="str">
        <f t="shared" si="0"/>
        <v>OK</v>
      </c>
      <c r="O12" s="5" t="s">
        <v>208</v>
      </c>
      <c r="P12" s="5" t="s">
        <v>178</v>
      </c>
    </row>
    <row r="13" spans="1:16" x14ac:dyDescent="0.25">
      <c r="A13" s="5">
        <v>12</v>
      </c>
      <c r="B13" s="5" t="s">
        <v>209</v>
      </c>
      <c r="C13" s="5" t="s">
        <v>210</v>
      </c>
      <c r="D13" s="5" t="s">
        <v>93</v>
      </c>
      <c r="E13" s="5" t="s">
        <v>31</v>
      </c>
      <c r="F13" s="6">
        <v>755</v>
      </c>
      <c r="G13" s="5" t="str">
        <f>IFERROR(VLOOKUP($E13,KURALLAR!$A$12:$E$23,2,FALSE()),"KZT")</f>
        <v>KZT</v>
      </c>
      <c r="H13" s="5">
        <f>IFERROR(VLOOKUP($E13,KURALLAR!$A$12:$E$23,5,FALSE()),1)</f>
        <v>0.6</v>
      </c>
      <c r="I13" s="5">
        <f>IF($F13="","",$F13*$H13*IFERROR(VLOOKUP($G13,KURALLAR!$A$5:$B$8,2,FALSE()),1))</f>
        <v>453</v>
      </c>
      <c r="J13" s="5" t="s">
        <v>170</v>
      </c>
      <c r="K13" s="5">
        <f>SUMIF(BOM!$D:$D,$B13,BOM!$I:$I)</f>
        <v>260</v>
      </c>
      <c r="L13" s="5">
        <f>SUMIF(BOM!$D:$D,$B13,BOM!$H:$H)</f>
        <v>117780</v>
      </c>
      <c r="M13" s="5" t="s">
        <v>211</v>
      </c>
      <c r="N13" s="5" t="str">
        <f t="shared" si="0"/>
        <v>MUADIL</v>
      </c>
      <c r="O13" s="5" t="s">
        <v>212</v>
      </c>
      <c r="P13" s="5" t="s">
        <v>173</v>
      </c>
    </row>
    <row r="14" spans="1:16" x14ac:dyDescent="0.25">
      <c r="A14" s="5">
        <v>13</v>
      </c>
      <c r="B14" s="5" t="s">
        <v>213</v>
      </c>
      <c r="C14" s="5" t="s">
        <v>214</v>
      </c>
      <c r="D14" s="5" t="s">
        <v>215</v>
      </c>
      <c r="E14" s="5" t="s">
        <v>37</v>
      </c>
      <c r="F14" s="6"/>
      <c r="G14" s="5" t="str">
        <f>IFERROR(VLOOKUP($E14,KURALLAR!$A$12:$E$23,2,FALSE()),"KZT")</f>
        <v>KZT</v>
      </c>
      <c r="H14" s="5">
        <f>IFERROR(VLOOKUP($E14,KURALLAR!$A$12:$E$23,5,FALSE()),1)</f>
        <v>1</v>
      </c>
      <c r="I14" s="5" t="str">
        <f>IF($F14="","",$F14*$H14*IFERROR(VLOOKUP($G14,KURALLAR!$A$5:$B$8,2,FALSE()),1))</f>
        <v/>
      </c>
      <c r="J14" s="5" t="s">
        <v>216</v>
      </c>
      <c r="K14" s="5">
        <f>SUMIF(BOM!$D:$D,$B14,BOM!$I:$I)</f>
        <v>97</v>
      </c>
      <c r="L14" s="5">
        <f>SUMIF(BOM!$D:$D,$B14,BOM!$H:$H)</f>
        <v>5177798</v>
      </c>
      <c r="M14" s="5" t="s">
        <v>217</v>
      </c>
      <c r="N14" s="5" t="str">
        <f t="shared" si="0"/>
        <v>ORAN (KURALLAR)</v>
      </c>
      <c r="O14" s="5" t="s">
        <v>218</v>
      </c>
      <c r="P14" s="5" t="s">
        <v>219</v>
      </c>
    </row>
    <row r="15" spans="1:16" x14ac:dyDescent="0.25">
      <c r="A15" s="5">
        <v>14</v>
      </c>
      <c r="B15" s="5" t="s">
        <v>220</v>
      </c>
      <c r="C15" s="5" t="s">
        <v>221</v>
      </c>
      <c r="D15" s="5" t="s">
        <v>222</v>
      </c>
      <c r="E15" s="5" t="s">
        <v>31</v>
      </c>
      <c r="F15" s="6">
        <v>27825</v>
      </c>
      <c r="G15" s="5" t="str">
        <f>IFERROR(VLOOKUP($E15,KURALLAR!$A$12:$E$23,2,FALSE()),"KZT")</f>
        <v>KZT</v>
      </c>
      <c r="H15" s="5">
        <f>IFERROR(VLOOKUP($E15,KURALLAR!$A$12:$E$23,5,FALSE()),1)</f>
        <v>0.6</v>
      </c>
      <c r="I15" s="5">
        <f>IF($F15="","",$F15*$H15*IFERROR(VLOOKUP($G15,KURALLAR!$A$5:$B$8,2,FALSE()),1))</f>
        <v>16695</v>
      </c>
      <c r="J15" s="5" t="s">
        <v>170</v>
      </c>
      <c r="K15" s="5">
        <f>SUMIF(BOM!$D:$D,$B15,BOM!$I:$I)</f>
        <v>36</v>
      </c>
      <c r="L15" s="5">
        <f>SUMIF(BOM!$D:$D,$B15,BOM!$H:$H)</f>
        <v>601020</v>
      </c>
      <c r="M15" s="5" t="s">
        <v>211</v>
      </c>
      <c r="N15" s="5" t="str">
        <f t="shared" si="0"/>
        <v>VARSAYIM</v>
      </c>
      <c r="O15" s="5" t="s">
        <v>223</v>
      </c>
      <c r="P15" s="5" t="s">
        <v>224</v>
      </c>
    </row>
    <row r="16" spans="1:16" x14ac:dyDescent="0.25">
      <c r="A16" s="5">
        <v>15</v>
      </c>
      <c r="B16" s="5" t="s">
        <v>225</v>
      </c>
      <c r="C16" s="5" t="s">
        <v>226</v>
      </c>
      <c r="D16" s="5" t="s">
        <v>227</v>
      </c>
      <c r="E16" s="5" t="s">
        <v>38</v>
      </c>
      <c r="F16" s="6">
        <f>KURALLAR!$B$26</f>
        <v>100</v>
      </c>
      <c r="G16" s="5" t="str">
        <f>IFERROR(VLOOKUP($E16,KURALLAR!$A$12:$E$23,2,FALSE()),"KZT")</f>
        <v>KZT</v>
      </c>
      <c r="H16" s="5">
        <f>IFERROR(VLOOKUP($E16,KURALLAR!$A$12:$E$23,5,FALSE()),1)</f>
        <v>1</v>
      </c>
      <c r="I16" s="5">
        <f>IF($F16="","",$F16*$H16*IFERROR(VLOOKUP($G16,KURALLAR!$A$5:$B$8,2,FALSE()),1))</f>
        <v>100</v>
      </c>
      <c r="J16" s="5" t="s">
        <v>228</v>
      </c>
      <c r="K16" s="5">
        <f>SUMIF(BOM!$D:$D,$B16,BOM!$I:$I)</f>
        <v>69554</v>
      </c>
      <c r="L16" s="5">
        <f>SUMIF(BOM!$D:$D,$B16,BOM!$H:$H)</f>
        <v>6955400</v>
      </c>
      <c r="M16" s="5" t="s">
        <v>229</v>
      </c>
      <c r="N16" s="5" t="str">
        <f t="shared" si="0"/>
        <v>OK</v>
      </c>
      <c r="O16" s="5" t="s">
        <v>230</v>
      </c>
      <c r="P16" s="5" t="s">
        <v>178</v>
      </c>
    </row>
    <row r="17" spans="1:16" x14ac:dyDescent="0.25">
      <c r="A17" s="5">
        <v>16</v>
      </c>
      <c r="B17" s="5" t="s">
        <v>231</v>
      </c>
      <c r="C17" s="5" t="s">
        <v>232</v>
      </c>
      <c r="D17" s="5" t="s">
        <v>169</v>
      </c>
      <c r="E17" s="5" t="s">
        <v>22</v>
      </c>
      <c r="F17" s="6">
        <v>64129</v>
      </c>
      <c r="G17" s="5" t="str">
        <f>IFERROR(VLOOKUP($E17,KURALLAR!$A$12:$E$23,2,FALSE()),"KZT")</f>
        <v>KZT</v>
      </c>
      <c r="H17" s="5">
        <f>IFERROR(VLOOKUP($E17,KURALLAR!$A$12:$E$23,5,FALSE()),1)</f>
        <v>0.6</v>
      </c>
      <c r="I17" s="5">
        <f>IF($F17="","",$F17*$H17*IFERROR(VLOOKUP($G17,KURALLAR!$A$5:$B$8,2,FALSE()),1))</f>
        <v>38477.4</v>
      </c>
      <c r="J17" s="5" t="s">
        <v>170</v>
      </c>
      <c r="K17" s="5">
        <f>SUMIF(BOM!$D:$D,$B17,BOM!$I:$I)</f>
        <v>24</v>
      </c>
      <c r="L17" s="5">
        <f>SUMIF(BOM!$D:$D,$B17,BOM!$H:$H)</f>
        <v>923457.6</v>
      </c>
      <c r="M17" s="5" t="s">
        <v>171</v>
      </c>
      <c r="N17" s="5" t="str">
        <f t="shared" si="0"/>
        <v>OK</v>
      </c>
      <c r="O17" s="5" t="s">
        <v>233</v>
      </c>
      <c r="P17" s="5" t="s">
        <v>178</v>
      </c>
    </row>
    <row r="18" spans="1:16" x14ac:dyDescent="0.25">
      <c r="A18" s="7">
        <v>17</v>
      </c>
      <c r="B18" s="7" t="s">
        <v>234</v>
      </c>
      <c r="C18" s="7" t="s">
        <v>235</v>
      </c>
      <c r="D18" s="7" t="s">
        <v>176</v>
      </c>
      <c r="E18" s="7" t="s">
        <v>22</v>
      </c>
      <c r="F18" s="6">
        <v>83791</v>
      </c>
      <c r="G18" s="7" t="str">
        <f>IFERROR(VLOOKUP($E18,KURALLAR!$A$12:$E$23,2,FALSE()),"KZT")</f>
        <v>KZT</v>
      </c>
      <c r="H18" s="7">
        <f>IFERROR(VLOOKUP($E18,KURALLAR!$A$12:$E$23,5,FALSE()),1)</f>
        <v>0.6</v>
      </c>
      <c r="I18" s="7">
        <f>IF($F18="","",$F18*$H18*IFERROR(VLOOKUP($G18,KURALLAR!$A$5:$B$8,2,FALSE()),1))</f>
        <v>50274.6</v>
      </c>
      <c r="J18" s="7" t="s">
        <v>170</v>
      </c>
      <c r="K18" s="7">
        <f>SUMIF(BOM!$D:$D,$B18,BOM!$I:$I)</f>
        <v>7</v>
      </c>
      <c r="L18" s="7">
        <f>SUMIF(BOM!$D:$D,$B18,BOM!$H:$H)</f>
        <v>351922.19999999995</v>
      </c>
      <c r="M18" s="7" t="s">
        <v>184</v>
      </c>
      <c r="N18" s="7" t="str">
        <f t="shared" si="0"/>
        <v>CIHAZ_BELIRSIZ</v>
      </c>
      <c r="O18" s="7" t="s">
        <v>236</v>
      </c>
      <c r="P18" s="7" t="s">
        <v>237</v>
      </c>
    </row>
    <row r="19" spans="1:16" x14ac:dyDescent="0.25">
      <c r="A19" s="5">
        <v>18</v>
      </c>
      <c r="B19" s="5" t="s">
        <v>238</v>
      </c>
      <c r="C19" s="5" t="s">
        <v>239</v>
      </c>
      <c r="D19" s="5" t="s">
        <v>192</v>
      </c>
      <c r="E19" s="5" t="s">
        <v>22</v>
      </c>
      <c r="F19" s="6">
        <v>1436</v>
      </c>
      <c r="G19" s="5" t="str">
        <f>IFERROR(VLOOKUP($E19,KURALLAR!$A$12:$E$23,2,FALSE()),"KZT")</f>
        <v>KZT</v>
      </c>
      <c r="H19" s="5">
        <f>IFERROR(VLOOKUP($E19,KURALLAR!$A$12:$E$23,5,FALSE()),1)</f>
        <v>0.6</v>
      </c>
      <c r="I19" s="5">
        <f>IF($F19="","",$F19*$H19*IFERROR(VLOOKUP($G19,KURALLAR!$A$5:$B$8,2,FALSE()),1))</f>
        <v>861.6</v>
      </c>
      <c r="J19" s="5" t="s">
        <v>170</v>
      </c>
      <c r="K19" s="5">
        <f>SUMIF(BOM!$D:$D,$B19,BOM!$I:$I)</f>
        <v>186</v>
      </c>
      <c r="L19" s="5">
        <f>SUMIF(BOM!$D:$D,$B19,BOM!$H:$H)</f>
        <v>160257.60000000003</v>
      </c>
      <c r="M19" s="5" t="s">
        <v>171</v>
      </c>
      <c r="N19" s="5" t="str">
        <f t="shared" si="0"/>
        <v>OK</v>
      </c>
      <c r="O19" s="5" t="s">
        <v>240</v>
      </c>
      <c r="P19" s="5" t="s">
        <v>178</v>
      </c>
    </row>
    <row r="20" spans="1:16" x14ac:dyDescent="0.25">
      <c r="A20" s="5">
        <v>19</v>
      </c>
      <c r="B20" s="5" t="s">
        <v>241</v>
      </c>
      <c r="C20" s="5" t="s">
        <v>242</v>
      </c>
      <c r="D20" s="5" t="s">
        <v>89</v>
      </c>
      <c r="E20" s="5" t="s">
        <v>22</v>
      </c>
      <c r="F20" s="6">
        <v>1047</v>
      </c>
      <c r="G20" s="5" t="str">
        <f>IFERROR(VLOOKUP($E20,KURALLAR!$A$12:$E$23,2,FALSE()),"KZT")</f>
        <v>KZT</v>
      </c>
      <c r="H20" s="5">
        <f>IFERROR(VLOOKUP($E20,KURALLAR!$A$12:$E$23,5,FALSE()),1)</f>
        <v>0.6</v>
      </c>
      <c r="I20" s="5">
        <f>IF($F20="","",$F20*$H20*IFERROR(VLOOKUP($G20,KURALLAR!$A$5:$B$8,2,FALSE()),1))</f>
        <v>628.19999999999993</v>
      </c>
      <c r="J20" s="5" t="s">
        <v>170</v>
      </c>
      <c r="K20" s="5">
        <f>SUMIF(BOM!$D:$D,$B20,BOM!$I:$I)</f>
        <v>102</v>
      </c>
      <c r="L20" s="5">
        <f>SUMIF(BOM!$D:$D,$B20,BOM!$H:$H)</f>
        <v>64076.399999999965</v>
      </c>
      <c r="M20" s="5" t="s">
        <v>184</v>
      </c>
      <c r="N20" s="5" t="str">
        <f t="shared" si="0"/>
        <v>OK</v>
      </c>
      <c r="O20" s="5" t="s">
        <v>243</v>
      </c>
      <c r="P20" s="5" t="s">
        <v>178</v>
      </c>
    </row>
    <row r="21" spans="1:16" x14ac:dyDescent="0.25">
      <c r="A21" s="5">
        <v>20</v>
      </c>
      <c r="B21" s="5" t="s">
        <v>244</v>
      </c>
      <c r="C21" s="5" t="s">
        <v>245</v>
      </c>
      <c r="D21" s="5" t="s">
        <v>192</v>
      </c>
      <c r="E21" s="5" t="s">
        <v>22</v>
      </c>
      <c r="F21" s="6">
        <v>5647</v>
      </c>
      <c r="G21" s="5" t="str">
        <f>IFERROR(VLOOKUP($E21,KURALLAR!$A$12:$E$23,2,FALSE()),"KZT")</f>
        <v>KZT</v>
      </c>
      <c r="H21" s="5">
        <f>IFERROR(VLOOKUP($E21,KURALLAR!$A$12:$E$23,5,FALSE()),1)</f>
        <v>0.6</v>
      </c>
      <c r="I21" s="5">
        <f>IF($F21="","",$F21*$H21*IFERROR(VLOOKUP($G21,KURALLAR!$A$5:$B$8,2,FALSE()),1))</f>
        <v>3388.2</v>
      </c>
      <c r="J21" s="5" t="s">
        <v>170</v>
      </c>
      <c r="K21" s="5">
        <f>SUMIF(BOM!$D:$D,$B21,BOM!$I:$I)</f>
        <v>46</v>
      </c>
      <c r="L21" s="5">
        <f>SUMIF(BOM!$D:$D,$B21,BOM!$H:$H)</f>
        <v>155857.19999999998</v>
      </c>
      <c r="M21" s="5" t="s">
        <v>171</v>
      </c>
      <c r="N21" s="5" t="str">
        <f t="shared" si="0"/>
        <v>OK</v>
      </c>
      <c r="O21" s="5" t="s">
        <v>246</v>
      </c>
      <c r="P21" s="5" t="s">
        <v>178</v>
      </c>
    </row>
    <row r="22" spans="1:16" x14ac:dyDescent="0.25">
      <c r="A22" s="7">
        <v>21</v>
      </c>
      <c r="B22" s="7" t="s">
        <v>247</v>
      </c>
      <c r="C22" s="7" t="s">
        <v>248</v>
      </c>
      <c r="D22" s="7" t="s">
        <v>81</v>
      </c>
      <c r="E22" s="7" t="s">
        <v>37</v>
      </c>
      <c r="F22" s="6"/>
      <c r="G22" s="7" t="str">
        <f>IFERROR(VLOOKUP($E22,KURALLAR!$A$12:$E$23,2,FALSE()),"KZT")</f>
        <v>KZT</v>
      </c>
      <c r="H22" s="7">
        <f>IFERROR(VLOOKUP($E22,KURALLAR!$A$12:$E$23,5,FALSE()),1)</f>
        <v>1</v>
      </c>
      <c r="I22" s="7" t="str">
        <f>IF($F22="","",$F22*$H22*IFERROR(VLOOKUP($G22,KURALLAR!$A$5:$B$8,2,FALSE()),1))</f>
        <v/>
      </c>
      <c r="J22" s="7" t="s">
        <v>170</v>
      </c>
      <c r="K22" s="7">
        <f>SUMIF(BOM!$D:$D,$B22,BOM!$I:$I)</f>
        <v>29</v>
      </c>
      <c r="L22" s="7">
        <f>SUMIF(BOM!$D:$D,$B22,BOM!$H:$H)</f>
        <v>0</v>
      </c>
      <c r="M22" s="7"/>
      <c r="N22" s="7" t="str">
        <f t="shared" si="0"/>
        <v>FIYAT_YOK</v>
      </c>
      <c r="O22" s="7" t="s">
        <v>249</v>
      </c>
      <c r="P22" s="7" t="s">
        <v>250</v>
      </c>
    </row>
    <row r="23" spans="1:16" x14ac:dyDescent="0.25">
      <c r="A23" s="5">
        <v>22</v>
      </c>
      <c r="B23" s="5" t="s">
        <v>251</v>
      </c>
      <c r="C23" s="5" t="s">
        <v>252</v>
      </c>
      <c r="D23" s="5" t="s">
        <v>253</v>
      </c>
      <c r="E23" s="5" t="s">
        <v>36</v>
      </c>
      <c r="F23" s="6">
        <f>KURALLAR!$B$88</f>
        <v>4493.5999999999995</v>
      </c>
      <c r="G23" s="5" t="str">
        <f>IFERROR(VLOOKUP($E23,KURALLAR!$A$12:$E$23,2,FALSE()),"KZT")</f>
        <v>KZT</v>
      </c>
      <c r="H23" s="5">
        <f>IFERROR(VLOOKUP($E23,KURALLAR!$A$12:$E$23,5,FALSE()),1)</f>
        <v>1</v>
      </c>
      <c r="I23" s="5">
        <f>IF($F23="","",$F23*$H23*IFERROR(VLOOKUP($G23,KURALLAR!$A$5:$B$8,2,FALSE()),1))</f>
        <v>4493.5999999999995</v>
      </c>
      <c r="J23" s="5" t="s">
        <v>254</v>
      </c>
      <c r="K23" s="5">
        <f>SUMIF(BOM!$D:$D,$B23,BOM!$I:$I)</f>
        <v>1392</v>
      </c>
      <c r="L23" s="5">
        <f>SUMIF(BOM!$D:$D,$B23,BOM!$H:$H)</f>
        <v>6255091.1999999993</v>
      </c>
      <c r="M23" s="5"/>
      <c r="N23" s="5" t="str">
        <f t="shared" si="0"/>
        <v>VARSAYIM</v>
      </c>
      <c r="O23" s="5" t="s">
        <v>255</v>
      </c>
      <c r="P23" s="5" t="s">
        <v>224</v>
      </c>
    </row>
    <row r="24" spans="1:16" x14ac:dyDescent="0.25">
      <c r="A24" s="5">
        <v>23</v>
      </c>
      <c r="B24" s="5" t="s">
        <v>256</v>
      </c>
      <c r="C24" s="5" t="s">
        <v>257</v>
      </c>
      <c r="D24" s="5" t="s">
        <v>222</v>
      </c>
      <c r="E24" s="5" t="s">
        <v>31</v>
      </c>
      <c r="F24" s="6">
        <v>197400</v>
      </c>
      <c r="G24" s="5" t="str">
        <f>IFERROR(VLOOKUP($E24,KURALLAR!$A$12:$E$23,2,FALSE()),"KZT")</f>
        <v>KZT</v>
      </c>
      <c r="H24" s="5">
        <f>IFERROR(VLOOKUP($E24,KURALLAR!$A$12:$E$23,5,FALSE()),1)</f>
        <v>0.6</v>
      </c>
      <c r="I24" s="5">
        <f>IF($F24="","",$F24*$H24*IFERROR(VLOOKUP($G24,KURALLAR!$A$5:$B$8,2,FALSE()),1))</f>
        <v>118440</v>
      </c>
      <c r="J24" s="5" t="s">
        <v>170</v>
      </c>
      <c r="K24" s="5">
        <f>SUMIF(BOM!$D:$D,$B24,BOM!$I:$I)</f>
        <v>28</v>
      </c>
      <c r="L24" s="5">
        <f>SUMIF(BOM!$D:$D,$B24,BOM!$H:$H)</f>
        <v>3316320</v>
      </c>
      <c r="M24" s="5" t="s">
        <v>211</v>
      </c>
      <c r="N24" s="5" t="str">
        <f t="shared" si="0"/>
        <v>VARSAYIM</v>
      </c>
      <c r="O24" s="5" t="s">
        <v>258</v>
      </c>
      <c r="P24" s="5" t="s">
        <v>224</v>
      </c>
    </row>
    <row r="25" spans="1:16" x14ac:dyDescent="0.25">
      <c r="A25" s="5">
        <v>24</v>
      </c>
      <c r="B25" s="5" t="s">
        <v>259</v>
      </c>
      <c r="C25" s="5" t="s">
        <v>260</v>
      </c>
      <c r="D25" s="5" t="s">
        <v>169</v>
      </c>
      <c r="E25" s="5" t="s">
        <v>22</v>
      </c>
      <c r="F25" s="6">
        <v>68025</v>
      </c>
      <c r="G25" s="5" t="str">
        <f>IFERROR(VLOOKUP($E25,KURALLAR!$A$12:$E$23,2,FALSE()),"KZT")</f>
        <v>KZT</v>
      </c>
      <c r="H25" s="5">
        <f>IFERROR(VLOOKUP($E25,KURALLAR!$A$12:$E$23,5,FALSE()),1)</f>
        <v>0.6</v>
      </c>
      <c r="I25" s="5">
        <f>IF($F25="","",$F25*$H25*IFERROR(VLOOKUP($G25,KURALLAR!$A$5:$B$8,2,FALSE()),1))</f>
        <v>40815</v>
      </c>
      <c r="J25" s="5" t="s">
        <v>170</v>
      </c>
      <c r="K25" s="5">
        <f>SUMIF(BOM!$D:$D,$B25,BOM!$I:$I)</f>
        <v>15</v>
      </c>
      <c r="L25" s="5">
        <f>SUMIF(BOM!$D:$D,$B25,BOM!$H:$H)</f>
        <v>612225</v>
      </c>
      <c r="M25" s="5" t="s">
        <v>171</v>
      </c>
      <c r="N25" s="5" t="str">
        <f t="shared" si="0"/>
        <v>MUADIL</v>
      </c>
      <c r="O25" s="5" t="s">
        <v>172</v>
      </c>
      <c r="P25" s="5" t="s">
        <v>173</v>
      </c>
    </row>
    <row r="26" spans="1:16" x14ac:dyDescent="0.25">
      <c r="A26" s="5">
        <v>25</v>
      </c>
      <c r="B26" s="5" t="s">
        <v>261</v>
      </c>
      <c r="C26" s="5" t="s">
        <v>262</v>
      </c>
      <c r="D26" s="5" t="s">
        <v>222</v>
      </c>
      <c r="E26" s="5" t="s">
        <v>31</v>
      </c>
      <c r="F26" s="6">
        <v>117250</v>
      </c>
      <c r="G26" s="5" t="str">
        <f>IFERROR(VLOOKUP($E26,KURALLAR!$A$12:$E$23,2,FALSE()),"KZT")</f>
        <v>KZT</v>
      </c>
      <c r="H26" s="5">
        <f>IFERROR(VLOOKUP($E26,KURALLAR!$A$12:$E$23,5,FALSE()),1)</f>
        <v>0.6</v>
      </c>
      <c r="I26" s="5">
        <f>IF($F26="","",$F26*$H26*IFERROR(VLOOKUP($G26,KURALLAR!$A$5:$B$8,2,FALSE()),1))</f>
        <v>70350</v>
      </c>
      <c r="J26" s="5" t="s">
        <v>170</v>
      </c>
      <c r="K26" s="5">
        <f>SUMIF(BOM!$D:$D,$B26,BOM!$I:$I)</f>
        <v>13</v>
      </c>
      <c r="L26" s="5">
        <f>SUMIF(BOM!$D:$D,$B26,BOM!$H:$H)</f>
        <v>914550</v>
      </c>
      <c r="M26" s="5" t="s">
        <v>211</v>
      </c>
      <c r="N26" s="5" t="str">
        <f t="shared" si="0"/>
        <v>VARSAYIM</v>
      </c>
      <c r="O26" s="5" t="s">
        <v>263</v>
      </c>
      <c r="P26" s="5" t="s">
        <v>224</v>
      </c>
    </row>
    <row r="27" spans="1:16" x14ac:dyDescent="0.25">
      <c r="A27" s="5">
        <v>26</v>
      </c>
      <c r="B27" s="5" t="s">
        <v>264</v>
      </c>
      <c r="C27" s="5" t="s">
        <v>265</v>
      </c>
      <c r="D27" s="5" t="s">
        <v>169</v>
      </c>
      <c r="E27" s="5" t="s">
        <v>22</v>
      </c>
      <c r="F27" s="6">
        <v>237703</v>
      </c>
      <c r="G27" s="5" t="str">
        <f>IFERROR(VLOOKUP($E27,KURALLAR!$A$12:$E$23,2,FALSE()),"KZT")</f>
        <v>KZT</v>
      </c>
      <c r="H27" s="5">
        <f>IFERROR(VLOOKUP($E27,KURALLAR!$A$12:$E$23,5,FALSE()),1)</f>
        <v>0.6</v>
      </c>
      <c r="I27" s="5">
        <f>IF($F27="","",$F27*$H27*IFERROR(VLOOKUP($G27,KURALLAR!$A$5:$B$8,2,FALSE()),1))</f>
        <v>142621.79999999999</v>
      </c>
      <c r="J27" s="5" t="s">
        <v>170</v>
      </c>
      <c r="K27" s="5">
        <f>SUMIF(BOM!$D:$D,$B27,BOM!$I:$I)</f>
        <v>4</v>
      </c>
      <c r="L27" s="5">
        <f>SUMIF(BOM!$D:$D,$B27,BOM!$H:$H)</f>
        <v>570487.19999999995</v>
      </c>
      <c r="M27" s="5" t="s">
        <v>171</v>
      </c>
      <c r="N27" s="5" t="str">
        <f t="shared" si="0"/>
        <v>MUADIL</v>
      </c>
      <c r="O27" s="5" t="s">
        <v>266</v>
      </c>
      <c r="P27" s="5" t="s">
        <v>173</v>
      </c>
    </row>
    <row r="28" spans="1:16" x14ac:dyDescent="0.25">
      <c r="A28" s="5">
        <v>27</v>
      </c>
      <c r="B28" s="5" t="s">
        <v>267</v>
      </c>
      <c r="C28" s="5" t="s">
        <v>268</v>
      </c>
      <c r="D28" s="5" t="s">
        <v>93</v>
      </c>
      <c r="E28" s="5" t="s">
        <v>22</v>
      </c>
      <c r="F28" s="6">
        <v>18552</v>
      </c>
      <c r="G28" s="5" t="str">
        <f>IFERROR(VLOOKUP($E28,KURALLAR!$A$12:$E$23,2,FALSE()),"KZT")</f>
        <v>KZT</v>
      </c>
      <c r="H28" s="5">
        <f>IFERROR(VLOOKUP($E28,KURALLAR!$A$12:$E$23,5,FALSE()),1)</f>
        <v>0.6</v>
      </c>
      <c r="I28" s="5">
        <f>IF($F28="","",$F28*$H28*IFERROR(VLOOKUP($G28,KURALLAR!$A$5:$B$8,2,FALSE()),1))</f>
        <v>11131.199999999999</v>
      </c>
      <c r="J28" s="5" t="s">
        <v>170</v>
      </c>
      <c r="K28" s="5">
        <f>SUMIF(BOM!$D:$D,$B28,BOM!$I:$I)</f>
        <v>10</v>
      </c>
      <c r="L28" s="5">
        <f>SUMIF(BOM!$D:$D,$B28,BOM!$H:$H)</f>
        <v>111311.99999999999</v>
      </c>
      <c r="M28" s="5" t="s">
        <v>184</v>
      </c>
      <c r="N28" s="5" t="str">
        <f t="shared" si="0"/>
        <v>OK</v>
      </c>
      <c r="O28" s="5" t="s">
        <v>269</v>
      </c>
      <c r="P28" s="5" t="s">
        <v>178</v>
      </c>
    </row>
    <row r="29" spans="1:16" x14ac:dyDescent="0.25">
      <c r="A29" s="7">
        <v>28</v>
      </c>
      <c r="B29" s="7" t="s">
        <v>270</v>
      </c>
      <c r="C29" s="7" t="s">
        <v>271</v>
      </c>
      <c r="D29" s="7" t="s">
        <v>87</v>
      </c>
      <c r="E29" s="7" t="s">
        <v>37</v>
      </c>
      <c r="F29" s="6"/>
      <c r="G29" s="7" t="str">
        <f>IFERROR(VLOOKUP($E29,KURALLAR!$A$12:$E$23,2,FALSE()),"KZT")</f>
        <v>KZT</v>
      </c>
      <c r="H29" s="7">
        <f>IFERROR(VLOOKUP($E29,KURALLAR!$A$12:$E$23,5,FALSE()),1)</f>
        <v>1</v>
      </c>
      <c r="I29" s="7" t="str">
        <f>IF($F29="","",$F29*$H29*IFERROR(VLOOKUP($G29,KURALLAR!$A$5:$B$8,2,FALSE()),1))</f>
        <v/>
      </c>
      <c r="J29" s="7" t="s">
        <v>170</v>
      </c>
      <c r="K29" s="7">
        <f>SUMIF(BOM!$D:$D,$B29,BOM!$I:$I)</f>
        <v>12</v>
      </c>
      <c r="L29" s="7">
        <f>SUMIF(BOM!$D:$D,$B29,BOM!$H:$H)</f>
        <v>0</v>
      </c>
      <c r="M29" s="7"/>
      <c r="N29" s="7" t="str">
        <f t="shared" si="0"/>
        <v>FIYAT_YOK</v>
      </c>
      <c r="O29" s="7" t="s">
        <v>272</v>
      </c>
      <c r="P29" s="7" t="s">
        <v>237</v>
      </c>
    </row>
    <row r="30" spans="1:16" x14ac:dyDescent="0.25">
      <c r="A30" s="7">
        <v>29</v>
      </c>
      <c r="B30" s="7" t="s">
        <v>273</v>
      </c>
      <c r="C30" s="7" t="s">
        <v>274</v>
      </c>
      <c r="D30" s="7" t="s">
        <v>83</v>
      </c>
      <c r="E30" s="7" t="s">
        <v>20</v>
      </c>
      <c r="F30" s="6"/>
      <c r="G30" s="7" t="str">
        <f>IFERROR(VLOOKUP($E30,KURALLAR!$A$12:$E$23,2,FALSE()),"KZT")</f>
        <v>EUR</v>
      </c>
      <c r="H30" s="7">
        <f>IFERROR(VLOOKUP($E30,KURALLAR!$A$12:$E$23,5,FALSE()),1)</f>
        <v>0.6</v>
      </c>
      <c r="I30" s="7" t="str">
        <f>IF($F30="","",$F30*$H30*IFERROR(VLOOKUP($G30,KURALLAR!$A$5:$B$8,2,FALSE()),1))</f>
        <v/>
      </c>
      <c r="J30" s="7" t="s">
        <v>170</v>
      </c>
      <c r="K30" s="7">
        <f>SUMIF(BOM!$D:$D,$B30,BOM!$I:$I)</f>
        <v>2</v>
      </c>
      <c r="L30" s="7">
        <f>SUMIF(BOM!$D:$D,$B30,BOM!$H:$H)</f>
        <v>0</v>
      </c>
      <c r="M30" s="7"/>
      <c r="N30" s="7" t="str">
        <f t="shared" si="0"/>
        <v>FIYAT_YOK</v>
      </c>
      <c r="O30" s="7" t="s">
        <v>275</v>
      </c>
      <c r="P30" s="7" t="s">
        <v>250</v>
      </c>
    </row>
    <row r="31" spans="1:16" x14ac:dyDescent="0.25">
      <c r="A31" s="5">
        <v>30</v>
      </c>
      <c r="B31" s="5" t="s">
        <v>276</v>
      </c>
      <c r="C31" s="5" t="s">
        <v>277</v>
      </c>
      <c r="D31" s="5" t="s">
        <v>169</v>
      </c>
      <c r="E31" s="5" t="s">
        <v>22</v>
      </c>
      <c r="F31" s="6">
        <v>68418</v>
      </c>
      <c r="G31" s="5" t="str">
        <f>IFERROR(VLOOKUP($E31,KURALLAR!$A$12:$E$23,2,FALSE()),"KZT")</f>
        <v>KZT</v>
      </c>
      <c r="H31" s="5">
        <f>IFERROR(VLOOKUP($E31,KURALLAR!$A$12:$E$23,5,FALSE()),1)</f>
        <v>0.6</v>
      </c>
      <c r="I31" s="5">
        <f>IF($F31="","",$F31*$H31*IFERROR(VLOOKUP($G31,KURALLAR!$A$5:$B$8,2,FALSE()),1))</f>
        <v>41050.799999999996</v>
      </c>
      <c r="J31" s="5" t="s">
        <v>170</v>
      </c>
      <c r="K31" s="5">
        <f>SUMIF(BOM!$D:$D,$B31,BOM!$I:$I)</f>
        <v>57</v>
      </c>
      <c r="L31" s="5">
        <f>SUMIF(BOM!$D:$D,$B31,BOM!$H:$H)</f>
        <v>2339895.6</v>
      </c>
      <c r="M31" s="5" t="s">
        <v>171</v>
      </c>
      <c r="N31" s="5" t="str">
        <f t="shared" si="0"/>
        <v>MUADIL</v>
      </c>
      <c r="O31" s="5" t="s">
        <v>172</v>
      </c>
      <c r="P31" s="5" t="s">
        <v>173</v>
      </c>
    </row>
    <row r="32" spans="1:16" x14ac:dyDescent="0.25">
      <c r="A32" s="7">
        <v>31</v>
      </c>
      <c r="B32" s="7" t="s">
        <v>278</v>
      </c>
      <c r="C32" s="7" t="s">
        <v>279</v>
      </c>
      <c r="D32" s="7" t="s">
        <v>83</v>
      </c>
      <c r="E32" s="7" t="s">
        <v>37</v>
      </c>
      <c r="F32" s="6"/>
      <c r="G32" s="7" t="str">
        <f>IFERROR(VLOOKUP($E32,KURALLAR!$A$12:$E$23,2,FALSE()),"KZT")</f>
        <v>KZT</v>
      </c>
      <c r="H32" s="7">
        <f>IFERROR(VLOOKUP($E32,KURALLAR!$A$12:$E$23,5,FALSE()),1)</f>
        <v>1</v>
      </c>
      <c r="I32" s="7" t="str">
        <f>IF($F32="","",$F32*$H32*IFERROR(VLOOKUP($G32,KURALLAR!$A$5:$B$8,2,FALSE()),1))</f>
        <v/>
      </c>
      <c r="J32" s="7" t="s">
        <v>170</v>
      </c>
      <c r="K32" s="7">
        <f>SUMIF(BOM!$D:$D,$B32,BOM!$I:$I)</f>
        <v>6</v>
      </c>
      <c r="L32" s="7">
        <f>SUMIF(BOM!$D:$D,$B32,BOM!$H:$H)</f>
        <v>0</v>
      </c>
      <c r="M32" s="7"/>
      <c r="N32" s="7" t="str">
        <f t="shared" si="0"/>
        <v>FIYAT_YOK</v>
      </c>
      <c r="O32" s="7" t="s">
        <v>280</v>
      </c>
      <c r="P32" s="7" t="s">
        <v>250</v>
      </c>
    </row>
    <row r="33" spans="1:16" x14ac:dyDescent="0.25">
      <c r="A33" s="7">
        <v>32</v>
      </c>
      <c r="B33" s="7" t="s">
        <v>281</v>
      </c>
      <c r="C33" s="7" t="s">
        <v>282</v>
      </c>
      <c r="D33" s="7" t="s">
        <v>97</v>
      </c>
      <c r="E33" s="7" t="s">
        <v>27</v>
      </c>
      <c r="F33" s="6"/>
      <c r="G33" s="7" t="str">
        <f>IFERROR(VLOOKUP($E33,KURALLAR!$A$12:$E$23,2,FALSE()),"KZT")</f>
        <v>KZT</v>
      </c>
      <c r="H33" s="7">
        <f>IFERROR(VLOOKUP($E33,KURALLAR!$A$12:$E$23,5,FALSE()),1)</f>
        <v>1</v>
      </c>
      <c r="I33" s="7" t="str">
        <f>IF($F33="","",$F33*$H33*IFERROR(VLOOKUP($G33,KURALLAR!$A$5:$B$8,2,FALSE()),1))</f>
        <v/>
      </c>
      <c r="J33" s="7" t="s">
        <v>170</v>
      </c>
      <c r="K33" s="7">
        <f>SUMIF(BOM!$D:$D,$B33,BOM!$I:$I)</f>
        <v>28</v>
      </c>
      <c r="L33" s="7">
        <f>SUMIF(BOM!$D:$D,$B33,BOM!$H:$H)</f>
        <v>0</v>
      </c>
      <c r="M33" s="7"/>
      <c r="N33" s="7" t="str">
        <f t="shared" si="0"/>
        <v>FIYAT_YOK</v>
      </c>
      <c r="O33" s="7" t="s">
        <v>283</v>
      </c>
      <c r="P33" s="7" t="s">
        <v>250</v>
      </c>
    </row>
    <row r="34" spans="1:16" x14ac:dyDescent="0.25">
      <c r="A34" s="7">
        <v>33</v>
      </c>
      <c r="B34" s="7" t="s">
        <v>284</v>
      </c>
      <c r="C34" s="7" t="s">
        <v>285</v>
      </c>
      <c r="D34" s="7" t="s">
        <v>81</v>
      </c>
      <c r="E34" s="7" t="s">
        <v>37</v>
      </c>
      <c r="F34" s="6"/>
      <c r="G34" s="7" t="str">
        <f>IFERROR(VLOOKUP($E34,KURALLAR!$A$12:$E$23,2,FALSE()),"KZT")</f>
        <v>KZT</v>
      </c>
      <c r="H34" s="7">
        <f>IFERROR(VLOOKUP($E34,KURALLAR!$A$12:$E$23,5,FALSE()),1)</f>
        <v>1</v>
      </c>
      <c r="I34" s="7" t="str">
        <f>IF($F34="","",$F34*$H34*IFERROR(VLOOKUP($G34,KURALLAR!$A$5:$B$8,2,FALSE()),1))</f>
        <v/>
      </c>
      <c r="J34" s="7" t="s">
        <v>170</v>
      </c>
      <c r="K34" s="7">
        <f>SUMIF(BOM!$D:$D,$B34,BOM!$I:$I)</f>
        <v>28</v>
      </c>
      <c r="L34" s="7">
        <f>SUMIF(BOM!$D:$D,$B34,BOM!$H:$H)</f>
        <v>0</v>
      </c>
      <c r="M34" s="7"/>
      <c r="N34" s="7" t="str">
        <f t="shared" ref="N34:N65" si="1">IF($P34="ORAN","ORAN (KURALLAR)",IF($I34="","FIYAT_YOK",$P34))</f>
        <v>FIYAT_YOK</v>
      </c>
      <c r="O34" s="7" t="s">
        <v>249</v>
      </c>
      <c r="P34" s="7" t="s">
        <v>250</v>
      </c>
    </row>
    <row r="35" spans="1:16" x14ac:dyDescent="0.25">
      <c r="A35" s="5">
        <v>34</v>
      </c>
      <c r="B35" s="5" t="s">
        <v>286</v>
      </c>
      <c r="C35" s="5" t="s">
        <v>287</v>
      </c>
      <c r="D35" s="5" t="s">
        <v>169</v>
      </c>
      <c r="E35" s="5" t="s">
        <v>22</v>
      </c>
      <c r="F35" s="6">
        <v>199091</v>
      </c>
      <c r="G35" s="5" t="str">
        <f>IFERROR(VLOOKUP($E35,KURALLAR!$A$12:$E$23,2,FALSE()),"KZT")</f>
        <v>KZT</v>
      </c>
      <c r="H35" s="5">
        <f>IFERROR(VLOOKUP($E35,KURALLAR!$A$12:$E$23,5,FALSE()),1)</f>
        <v>0.6</v>
      </c>
      <c r="I35" s="5">
        <f>IF($F35="","",$F35*$H35*IFERROR(VLOOKUP($G35,KURALLAR!$A$5:$B$8,2,FALSE()),1))</f>
        <v>119454.59999999999</v>
      </c>
      <c r="J35" s="5" t="s">
        <v>170</v>
      </c>
      <c r="K35" s="5">
        <f>SUMIF(BOM!$D:$D,$B35,BOM!$I:$I)</f>
        <v>4</v>
      </c>
      <c r="L35" s="5">
        <f>SUMIF(BOM!$D:$D,$B35,BOM!$H:$H)</f>
        <v>477818.39999999997</v>
      </c>
      <c r="M35" s="5" t="s">
        <v>184</v>
      </c>
      <c r="N35" s="5" t="str">
        <f t="shared" si="1"/>
        <v>OK</v>
      </c>
      <c r="O35" s="5" t="s">
        <v>288</v>
      </c>
      <c r="P35" s="5" t="s">
        <v>178</v>
      </c>
    </row>
    <row r="36" spans="1:16" x14ac:dyDescent="0.25">
      <c r="A36" s="7">
        <v>35</v>
      </c>
      <c r="B36" s="7" t="s">
        <v>289</v>
      </c>
      <c r="C36" s="7" t="s">
        <v>290</v>
      </c>
      <c r="D36" s="7" t="s">
        <v>83</v>
      </c>
      <c r="E36" s="7" t="s">
        <v>37</v>
      </c>
      <c r="F36" s="6"/>
      <c r="G36" s="7" t="str">
        <f>IFERROR(VLOOKUP($E36,KURALLAR!$A$12:$E$23,2,FALSE()),"KZT")</f>
        <v>KZT</v>
      </c>
      <c r="H36" s="7">
        <f>IFERROR(VLOOKUP($E36,KURALLAR!$A$12:$E$23,5,FALSE()),1)</f>
        <v>1</v>
      </c>
      <c r="I36" s="7" t="str">
        <f>IF($F36="","",$F36*$H36*IFERROR(VLOOKUP($G36,KURALLAR!$A$5:$B$8,2,FALSE()),1))</f>
        <v/>
      </c>
      <c r="J36" s="7" t="s">
        <v>170</v>
      </c>
      <c r="K36" s="7">
        <f>SUMIF(BOM!$D:$D,$B36,BOM!$I:$I)</f>
        <v>7</v>
      </c>
      <c r="L36" s="7">
        <f>SUMIF(BOM!$D:$D,$B36,BOM!$H:$H)</f>
        <v>0</v>
      </c>
      <c r="M36" s="7"/>
      <c r="N36" s="7" t="str">
        <f t="shared" si="1"/>
        <v>FIYAT_YOK</v>
      </c>
      <c r="O36" s="7" t="s">
        <v>291</v>
      </c>
      <c r="P36" s="7" t="s">
        <v>250</v>
      </c>
    </row>
    <row r="37" spans="1:16" x14ac:dyDescent="0.25">
      <c r="A37" s="5">
        <v>36</v>
      </c>
      <c r="B37" s="5" t="s">
        <v>292</v>
      </c>
      <c r="C37" s="5" t="s">
        <v>293</v>
      </c>
      <c r="D37" s="5" t="s">
        <v>169</v>
      </c>
      <c r="E37" s="5" t="s">
        <v>22</v>
      </c>
      <c r="F37" s="6">
        <v>89663</v>
      </c>
      <c r="G37" s="5" t="str">
        <f>IFERROR(VLOOKUP($E37,KURALLAR!$A$12:$E$23,2,FALSE()),"KZT")</f>
        <v>KZT</v>
      </c>
      <c r="H37" s="5">
        <f>IFERROR(VLOOKUP($E37,KURALLAR!$A$12:$E$23,5,FALSE()),1)</f>
        <v>0.6</v>
      </c>
      <c r="I37" s="5">
        <f>IF($F37="","",$F37*$H37*IFERROR(VLOOKUP($G37,KURALLAR!$A$5:$B$8,2,FALSE()),1))</f>
        <v>53797.799999999996</v>
      </c>
      <c r="J37" s="5" t="s">
        <v>170</v>
      </c>
      <c r="K37" s="5">
        <f>SUMIF(BOM!$D:$D,$B37,BOM!$I:$I)</f>
        <v>6</v>
      </c>
      <c r="L37" s="5">
        <f>SUMIF(BOM!$D:$D,$B37,BOM!$H:$H)</f>
        <v>322786.8</v>
      </c>
      <c r="M37" s="5" t="s">
        <v>171</v>
      </c>
      <c r="N37" s="5" t="str">
        <f t="shared" si="1"/>
        <v>OK</v>
      </c>
      <c r="O37" s="5" t="s">
        <v>294</v>
      </c>
      <c r="P37" s="5" t="s">
        <v>178</v>
      </c>
    </row>
    <row r="38" spans="1:16" x14ac:dyDescent="0.25">
      <c r="A38" s="7">
        <v>37</v>
      </c>
      <c r="B38" s="7" t="s">
        <v>295</v>
      </c>
      <c r="C38" s="7" t="s">
        <v>296</v>
      </c>
      <c r="D38" s="7" t="s">
        <v>83</v>
      </c>
      <c r="E38" s="7" t="s">
        <v>37</v>
      </c>
      <c r="F38" s="6"/>
      <c r="G38" s="7" t="str">
        <f>IFERROR(VLOOKUP($E38,KURALLAR!$A$12:$E$23,2,FALSE()),"KZT")</f>
        <v>KZT</v>
      </c>
      <c r="H38" s="7">
        <f>IFERROR(VLOOKUP($E38,KURALLAR!$A$12:$E$23,5,FALSE()),1)</f>
        <v>1</v>
      </c>
      <c r="I38" s="7" t="str">
        <f>IF($F38="","",$F38*$H38*IFERROR(VLOOKUP($G38,KURALLAR!$A$5:$B$8,2,FALSE()),1))</f>
        <v/>
      </c>
      <c r="J38" s="7" t="s">
        <v>170</v>
      </c>
      <c r="K38" s="7">
        <f>SUMIF(BOM!$D:$D,$B38,BOM!$I:$I)</f>
        <v>18</v>
      </c>
      <c r="L38" s="7">
        <f>SUMIF(BOM!$D:$D,$B38,BOM!$H:$H)</f>
        <v>0</v>
      </c>
      <c r="M38" s="7"/>
      <c r="N38" s="7" t="str">
        <f t="shared" si="1"/>
        <v>FIYAT_YOK</v>
      </c>
      <c r="O38" s="7" t="s">
        <v>297</v>
      </c>
      <c r="P38" s="7" t="s">
        <v>250</v>
      </c>
    </row>
    <row r="39" spans="1:16" x14ac:dyDescent="0.25">
      <c r="A39" s="5">
        <v>38</v>
      </c>
      <c r="B39" s="5" t="s">
        <v>298</v>
      </c>
      <c r="C39" s="5" t="s">
        <v>299</v>
      </c>
      <c r="D39" s="5" t="s">
        <v>169</v>
      </c>
      <c r="E39" s="5" t="s">
        <v>22</v>
      </c>
      <c r="F39" s="6">
        <v>89083</v>
      </c>
      <c r="G39" s="5" t="str">
        <f>IFERROR(VLOOKUP($E39,KURALLAR!$A$12:$E$23,2,FALSE()),"KZT")</f>
        <v>KZT</v>
      </c>
      <c r="H39" s="5">
        <f>IFERROR(VLOOKUP($E39,KURALLAR!$A$12:$E$23,5,FALSE()),1)</f>
        <v>0.6</v>
      </c>
      <c r="I39" s="5">
        <f>IF($F39="","",$F39*$H39*IFERROR(VLOOKUP($G39,KURALLAR!$A$5:$B$8,2,FALSE()),1))</f>
        <v>53449.799999999996</v>
      </c>
      <c r="J39" s="5" t="s">
        <v>170</v>
      </c>
      <c r="K39" s="5">
        <f>SUMIF(BOM!$D:$D,$B39,BOM!$I:$I)</f>
        <v>2</v>
      </c>
      <c r="L39" s="5">
        <f>SUMIF(BOM!$D:$D,$B39,BOM!$H:$H)</f>
        <v>106899.59999999999</v>
      </c>
      <c r="M39" s="5" t="s">
        <v>171</v>
      </c>
      <c r="N39" s="5" t="str">
        <f t="shared" si="1"/>
        <v>OK</v>
      </c>
      <c r="O39" s="5" t="s">
        <v>300</v>
      </c>
      <c r="P39" s="5" t="s">
        <v>178</v>
      </c>
    </row>
    <row r="40" spans="1:16" x14ac:dyDescent="0.25">
      <c r="A40" s="7">
        <v>39</v>
      </c>
      <c r="B40" s="7" t="s">
        <v>301</v>
      </c>
      <c r="C40" s="7" t="s">
        <v>302</v>
      </c>
      <c r="D40" s="7" t="s">
        <v>83</v>
      </c>
      <c r="E40" s="7" t="s">
        <v>37</v>
      </c>
      <c r="F40" s="6"/>
      <c r="G40" s="7" t="str">
        <f>IFERROR(VLOOKUP($E40,KURALLAR!$A$12:$E$23,2,FALSE()),"KZT")</f>
        <v>KZT</v>
      </c>
      <c r="H40" s="7">
        <f>IFERROR(VLOOKUP($E40,KURALLAR!$A$12:$E$23,5,FALSE()),1)</f>
        <v>1</v>
      </c>
      <c r="I40" s="7" t="str">
        <f>IF($F40="","",$F40*$H40*IFERROR(VLOOKUP($G40,KURALLAR!$A$5:$B$8,2,FALSE()),1))</f>
        <v/>
      </c>
      <c r="J40" s="7" t="s">
        <v>170</v>
      </c>
      <c r="K40" s="7">
        <f>SUMIF(BOM!$D:$D,$B40,BOM!$I:$I)</f>
        <v>6</v>
      </c>
      <c r="L40" s="7">
        <f>SUMIF(BOM!$D:$D,$B40,BOM!$H:$H)</f>
        <v>0</v>
      </c>
      <c r="M40" s="7"/>
      <c r="N40" s="7" t="str">
        <f t="shared" si="1"/>
        <v>FIYAT_YOK</v>
      </c>
      <c r="O40" s="7" t="s">
        <v>303</v>
      </c>
      <c r="P40" s="7" t="s">
        <v>250</v>
      </c>
    </row>
    <row r="41" spans="1:16" x14ac:dyDescent="0.25">
      <c r="A41" s="5">
        <v>40</v>
      </c>
      <c r="B41" s="5" t="s">
        <v>304</v>
      </c>
      <c r="C41" s="5" t="s">
        <v>305</v>
      </c>
      <c r="D41" s="5" t="s">
        <v>192</v>
      </c>
      <c r="E41" s="5" t="s">
        <v>22</v>
      </c>
      <c r="F41" s="6">
        <v>5462</v>
      </c>
      <c r="G41" s="5" t="str">
        <f>IFERROR(VLOOKUP($E41,KURALLAR!$A$12:$E$23,2,FALSE()),"KZT")</f>
        <v>KZT</v>
      </c>
      <c r="H41" s="5">
        <f>IFERROR(VLOOKUP($E41,KURALLAR!$A$12:$E$23,5,FALSE()),1)</f>
        <v>0.6</v>
      </c>
      <c r="I41" s="5">
        <f>IF($F41="","",$F41*$H41*IFERROR(VLOOKUP($G41,KURALLAR!$A$5:$B$8,2,FALSE()),1))</f>
        <v>3277.2</v>
      </c>
      <c r="J41" s="5" t="s">
        <v>170</v>
      </c>
      <c r="K41" s="5">
        <f>SUMIF(BOM!$D:$D,$B41,BOM!$I:$I)</f>
        <v>120</v>
      </c>
      <c r="L41" s="5">
        <f>SUMIF(BOM!$D:$D,$B41,BOM!$H:$H)</f>
        <v>393263.99999999994</v>
      </c>
      <c r="M41" s="5" t="s">
        <v>171</v>
      </c>
      <c r="N41" s="5" t="str">
        <f t="shared" si="1"/>
        <v>OK</v>
      </c>
      <c r="O41" s="5" t="s">
        <v>306</v>
      </c>
      <c r="P41" s="5" t="s">
        <v>178</v>
      </c>
    </row>
    <row r="42" spans="1:16" x14ac:dyDescent="0.25">
      <c r="A42" s="5">
        <v>41</v>
      </c>
      <c r="B42" s="5" t="s">
        <v>307</v>
      </c>
      <c r="C42" s="5" t="s">
        <v>308</v>
      </c>
      <c r="D42" s="5" t="s">
        <v>222</v>
      </c>
      <c r="E42" s="5" t="s">
        <v>31</v>
      </c>
      <c r="F42" s="6">
        <v>38905</v>
      </c>
      <c r="G42" s="5" t="str">
        <f>IFERROR(VLOOKUP($E42,KURALLAR!$A$12:$E$23,2,FALSE()),"KZT")</f>
        <v>KZT</v>
      </c>
      <c r="H42" s="5">
        <f>IFERROR(VLOOKUP($E42,KURALLAR!$A$12:$E$23,5,FALSE()),1)</f>
        <v>0.6</v>
      </c>
      <c r="I42" s="5">
        <f>IF($F42="","",$F42*$H42*IFERROR(VLOOKUP($G42,KURALLAR!$A$5:$B$8,2,FALSE()),1))</f>
        <v>23343</v>
      </c>
      <c r="J42" s="5" t="s">
        <v>170</v>
      </c>
      <c r="K42" s="5">
        <f>SUMIF(BOM!$D:$D,$B42,BOM!$I:$I)</f>
        <v>7</v>
      </c>
      <c r="L42" s="5">
        <f>SUMIF(BOM!$D:$D,$B42,BOM!$H:$H)</f>
        <v>163401</v>
      </c>
      <c r="M42" s="5" t="s">
        <v>211</v>
      </c>
      <c r="N42" s="5" t="str">
        <f t="shared" si="1"/>
        <v>VARSAYIM</v>
      </c>
      <c r="O42" s="5" t="s">
        <v>309</v>
      </c>
      <c r="P42" s="5" t="s">
        <v>224</v>
      </c>
    </row>
    <row r="43" spans="1:16" x14ac:dyDescent="0.25">
      <c r="A43" s="5">
        <v>42</v>
      </c>
      <c r="B43" s="5" t="s">
        <v>310</v>
      </c>
      <c r="C43" s="5" t="s">
        <v>311</v>
      </c>
      <c r="D43" s="5" t="s">
        <v>222</v>
      </c>
      <c r="E43" s="5" t="s">
        <v>31</v>
      </c>
      <c r="F43" s="6">
        <v>30540</v>
      </c>
      <c r="G43" s="5" t="str">
        <f>IFERROR(VLOOKUP($E43,KURALLAR!$A$12:$E$23,2,FALSE()),"KZT")</f>
        <v>KZT</v>
      </c>
      <c r="H43" s="5">
        <f>IFERROR(VLOOKUP($E43,KURALLAR!$A$12:$E$23,5,FALSE()),1)</f>
        <v>0.6</v>
      </c>
      <c r="I43" s="5">
        <f>IF($F43="","",$F43*$H43*IFERROR(VLOOKUP($G43,KURALLAR!$A$5:$B$8,2,FALSE()),1))</f>
        <v>18324</v>
      </c>
      <c r="J43" s="5" t="s">
        <v>170</v>
      </c>
      <c r="K43" s="5">
        <f>SUMIF(BOM!$D:$D,$B43,BOM!$I:$I)</f>
        <v>21</v>
      </c>
      <c r="L43" s="5">
        <f>SUMIF(BOM!$D:$D,$B43,BOM!$H:$H)</f>
        <v>384804</v>
      </c>
      <c r="M43" s="5" t="s">
        <v>211</v>
      </c>
      <c r="N43" s="5" t="str">
        <f t="shared" si="1"/>
        <v>VARSAYIM</v>
      </c>
      <c r="O43" s="5" t="s">
        <v>312</v>
      </c>
      <c r="P43" s="5" t="s">
        <v>224</v>
      </c>
    </row>
    <row r="44" spans="1:16" x14ac:dyDescent="0.25">
      <c r="A44" s="5">
        <v>43</v>
      </c>
      <c r="B44" s="5" t="s">
        <v>313</v>
      </c>
      <c r="C44" s="5" t="s">
        <v>314</v>
      </c>
      <c r="D44" s="5" t="s">
        <v>176</v>
      </c>
      <c r="E44" s="5" t="s">
        <v>22</v>
      </c>
      <c r="F44" s="6">
        <v>23469</v>
      </c>
      <c r="G44" s="5" t="str">
        <f>IFERROR(VLOOKUP($E44,KURALLAR!$A$12:$E$23,2,FALSE()),"KZT")</f>
        <v>KZT</v>
      </c>
      <c r="H44" s="5">
        <f>IFERROR(VLOOKUP($E44,KURALLAR!$A$12:$E$23,5,FALSE()),1)</f>
        <v>0.6</v>
      </c>
      <c r="I44" s="5">
        <f>IF($F44="","",$F44*$H44*IFERROR(VLOOKUP($G44,KURALLAR!$A$5:$B$8,2,FALSE()),1))</f>
        <v>14081.4</v>
      </c>
      <c r="J44" s="5" t="s">
        <v>170</v>
      </c>
      <c r="K44" s="5">
        <f>SUMIF(BOM!$D:$D,$B44,BOM!$I:$I)</f>
        <v>4</v>
      </c>
      <c r="L44" s="5">
        <f>SUMIF(BOM!$D:$D,$B44,BOM!$H:$H)</f>
        <v>56325.599999999999</v>
      </c>
      <c r="M44" s="5" t="s">
        <v>184</v>
      </c>
      <c r="N44" s="5" t="str">
        <f t="shared" si="1"/>
        <v>MUADIL</v>
      </c>
      <c r="O44" s="5" t="s">
        <v>315</v>
      </c>
      <c r="P44" s="5" t="s">
        <v>173</v>
      </c>
    </row>
    <row r="45" spans="1:16" x14ac:dyDescent="0.25">
      <c r="A45" s="5">
        <v>44</v>
      </c>
      <c r="B45" s="5" t="s">
        <v>316</v>
      </c>
      <c r="C45" s="5" t="s">
        <v>317</v>
      </c>
      <c r="D45" s="5" t="s">
        <v>176</v>
      </c>
      <c r="E45" s="5" t="s">
        <v>22</v>
      </c>
      <c r="F45" s="6">
        <v>13989</v>
      </c>
      <c r="G45" s="5" t="str">
        <f>IFERROR(VLOOKUP($E45,KURALLAR!$A$12:$E$23,2,FALSE()),"KZT")</f>
        <v>KZT</v>
      </c>
      <c r="H45" s="5">
        <f>IFERROR(VLOOKUP($E45,KURALLAR!$A$12:$E$23,5,FALSE()),1)</f>
        <v>0.6</v>
      </c>
      <c r="I45" s="5">
        <f>IF($F45="","",$F45*$H45*IFERROR(VLOOKUP($G45,KURALLAR!$A$5:$B$8,2,FALSE()),1))</f>
        <v>8393.4</v>
      </c>
      <c r="J45" s="5" t="s">
        <v>170</v>
      </c>
      <c r="K45" s="5">
        <f>SUMIF(BOM!$D:$D,$B45,BOM!$I:$I)</f>
        <v>4</v>
      </c>
      <c r="L45" s="5">
        <f>SUMIF(BOM!$D:$D,$B45,BOM!$H:$H)</f>
        <v>33573.599999999999</v>
      </c>
      <c r="M45" s="5" t="s">
        <v>184</v>
      </c>
      <c r="N45" s="5" t="str">
        <f t="shared" si="1"/>
        <v>MUADIL</v>
      </c>
      <c r="O45" s="5" t="s">
        <v>318</v>
      </c>
      <c r="P45" s="5" t="s">
        <v>173</v>
      </c>
    </row>
    <row r="46" spans="1:16" x14ac:dyDescent="0.25">
      <c r="A46" s="5">
        <v>45</v>
      </c>
      <c r="B46" s="5" t="s">
        <v>319</v>
      </c>
      <c r="C46" s="5" t="s">
        <v>320</v>
      </c>
      <c r="D46" s="5" t="s">
        <v>169</v>
      </c>
      <c r="E46" s="5" t="s">
        <v>22</v>
      </c>
      <c r="F46" s="6">
        <v>65019</v>
      </c>
      <c r="G46" s="5" t="str">
        <f>IFERROR(VLOOKUP($E46,KURALLAR!$A$12:$E$23,2,FALSE()),"KZT")</f>
        <v>KZT</v>
      </c>
      <c r="H46" s="5">
        <f>IFERROR(VLOOKUP($E46,KURALLAR!$A$12:$E$23,5,FALSE()),1)</f>
        <v>0.6</v>
      </c>
      <c r="I46" s="5">
        <f>IF($F46="","",$F46*$H46*IFERROR(VLOOKUP($G46,KURALLAR!$A$5:$B$8,2,FALSE()),1))</f>
        <v>39011.4</v>
      </c>
      <c r="J46" s="5" t="s">
        <v>170</v>
      </c>
      <c r="K46" s="5">
        <f>SUMIF(BOM!$D:$D,$B46,BOM!$I:$I)</f>
        <v>7</v>
      </c>
      <c r="L46" s="5">
        <f>SUMIF(BOM!$D:$D,$B46,BOM!$H:$H)</f>
        <v>273079.80000000005</v>
      </c>
      <c r="M46" s="5" t="s">
        <v>171</v>
      </c>
      <c r="N46" s="5" t="str">
        <f t="shared" si="1"/>
        <v>MUADIL</v>
      </c>
      <c r="O46" s="5" t="s">
        <v>172</v>
      </c>
      <c r="P46" s="5" t="s">
        <v>173</v>
      </c>
    </row>
    <row r="47" spans="1:16" x14ac:dyDescent="0.25">
      <c r="A47" s="5">
        <v>46</v>
      </c>
      <c r="B47" s="5" t="s">
        <v>321</v>
      </c>
      <c r="C47" s="5" t="s">
        <v>322</v>
      </c>
      <c r="D47" s="5" t="s">
        <v>192</v>
      </c>
      <c r="E47" s="5" t="s">
        <v>22</v>
      </c>
      <c r="F47" s="6">
        <v>1330</v>
      </c>
      <c r="G47" s="5" t="str">
        <f>IFERROR(VLOOKUP($E47,KURALLAR!$A$12:$E$23,2,FALSE()),"KZT")</f>
        <v>KZT</v>
      </c>
      <c r="H47" s="5">
        <f>IFERROR(VLOOKUP($E47,KURALLAR!$A$12:$E$23,5,FALSE()),1)</f>
        <v>0.6</v>
      </c>
      <c r="I47" s="5">
        <f>IF($F47="","",$F47*$H47*IFERROR(VLOOKUP($G47,KURALLAR!$A$5:$B$8,2,FALSE()),1))</f>
        <v>798</v>
      </c>
      <c r="J47" s="5" t="s">
        <v>170</v>
      </c>
      <c r="K47" s="5">
        <f>SUMIF(BOM!$D:$D,$B47,BOM!$I:$I)</f>
        <v>47</v>
      </c>
      <c r="L47" s="5">
        <f>SUMIF(BOM!$D:$D,$B47,BOM!$H:$H)</f>
        <v>37506</v>
      </c>
      <c r="M47" s="5" t="s">
        <v>171</v>
      </c>
      <c r="N47" s="5" t="str">
        <f t="shared" si="1"/>
        <v>OK</v>
      </c>
      <c r="O47" s="5" t="s">
        <v>323</v>
      </c>
      <c r="P47" s="5" t="s">
        <v>178</v>
      </c>
    </row>
    <row r="48" spans="1:16" x14ac:dyDescent="0.25">
      <c r="A48" s="5">
        <v>47</v>
      </c>
      <c r="B48" s="5" t="s">
        <v>324</v>
      </c>
      <c r="C48" s="5" t="s">
        <v>325</v>
      </c>
      <c r="D48" s="5" t="s">
        <v>176</v>
      </c>
      <c r="E48" s="5" t="s">
        <v>22</v>
      </c>
      <c r="F48" s="6">
        <v>10809</v>
      </c>
      <c r="G48" s="5" t="str">
        <f>IFERROR(VLOOKUP($E48,KURALLAR!$A$12:$E$23,2,FALSE()),"KZT")</f>
        <v>KZT</v>
      </c>
      <c r="H48" s="5">
        <f>IFERROR(VLOOKUP($E48,KURALLAR!$A$12:$E$23,5,FALSE()),1)</f>
        <v>0.6</v>
      </c>
      <c r="I48" s="5">
        <f>IF($F48="","",$F48*$H48*IFERROR(VLOOKUP($G48,KURALLAR!$A$5:$B$8,2,FALSE()),1))</f>
        <v>6485.4</v>
      </c>
      <c r="J48" s="5" t="s">
        <v>170</v>
      </c>
      <c r="K48" s="5">
        <f>SUMIF(BOM!$D:$D,$B48,BOM!$I:$I)</f>
        <v>34</v>
      </c>
      <c r="L48" s="5">
        <f>SUMIF(BOM!$D:$D,$B48,BOM!$H:$H)</f>
        <v>220503.59999999989</v>
      </c>
      <c r="M48" s="5" t="s">
        <v>171</v>
      </c>
      <c r="N48" s="5" t="str">
        <f t="shared" si="1"/>
        <v>OK</v>
      </c>
      <c r="O48" s="5" t="s">
        <v>326</v>
      </c>
      <c r="P48" s="5" t="s">
        <v>178</v>
      </c>
    </row>
    <row r="49" spans="1:16" x14ac:dyDescent="0.25">
      <c r="A49" s="5">
        <v>48</v>
      </c>
      <c r="B49" s="5" t="s">
        <v>327</v>
      </c>
      <c r="C49" s="5" t="s">
        <v>328</v>
      </c>
      <c r="D49" s="5" t="s">
        <v>169</v>
      </c>
      <c r="E49" s="5" t="s">
        <v>22</v>
      </c>
      <c r="F49" s="6">
        <v>65063</v>
      </c>
      <c r="G49" s="5" t="str">
        <f>IFERROR(VLOOKUP($E49,KURALLAR!$A$12:$E$23,2,FALSE()),"KZT")</f>
        <v>KZT</v>
      </c>
      <c r="H49" s="5">
        <f>IFERROR(VLOOKUP($E49,KURALLAR!$A$12:$E$23,5,FALSE()),1)</f>
        <v>0.6</v>
      </c>
      <c r="I49" s="5">
        <f>IF($F49="","",$F49*$H49*IFERROR(VLOOKUP($G49,KURALLAR!$A$5:$B$8,2,FALSE()),1))</f>
        <v>39037.799999999996</v>
      </c>
      <c r="J49" s="5" t="s">
        <v>170</v>
      </c>
      <c r="K49" s="5">
        <f>SUMIF(BOM!$D:$D,$B49,BOM!$I:$I)</f>
        <v>17</v>
      </c>
      <c r="L49" s="5">
        <f>SUMIF(BOM!$D:$D,$B49,BOM!$H:$H)</f>
        <v>663642.6</v>
      </c>
      <c r="M49" s="5" t="s">
        <v>171</v>
      </c>
      <c r="N49" s="5" t="str">
        <f t="shared" si="1"/>
        <v>MUADIL</v>
      </c>
      <c r="O49" s="5" t="s">
        <v>172</v>
      </c>
      <c r="P49" s="5" t="s">
        <v>173</v>
      </c>
    </row>
    <row r="50" spans="1:16" x14ac:dyDescent="0.25">
      <c r="A50" s="5">
        <v>49</v>
      </c>
      <c r="B50" s="5" t="s">
        <v>329</v>
      </c>
      <c r="C50" s="5" t="s">
        <v>330</v>
      </c>
      <c r="D50" s="5" t="s">
        <v>93</v>
      </c>
      <c r="E50" s="5" t="s">
        <v>22</v>
      </c>
      <c r="F50" s="6">
        <v>19243</v>
      </c>
      <c r="G50" s="5" t="str">
        <f>IFERROR(VLOOKUP($E50,KURALLAR!$A$12:$E$23,2,FALSE()),"KZT")</f>
        <v>KZT</v>
      </c>
      <c r="H50" s="5">
        <f>IFERROR(VLOOKUP($E50,KURALLAR!$A$12:$E$23,5,FALSE()),1)</f>
        <v>0.6</v>
      </c>
      <c r="I50" s="5">
        <f>IF($F50="","",$F50*$H50*IFERROR(VLOOKUP($G50,KURALLAR!$A$5:$B$8,2,FALSE()),1))</f>
        <v>11545.8</v>
      </c>
      <c r="J50" s="5" t="s">
        <v>170</v>
      </c>
      <c r="K50" s="5">
        <f>SUMIF(BOM!$D:$D,$B50,BOM!$I:$I)</f>
        <v>9</v>
      </c>
      <c r="L50" s="5">
        <f>SUMIF(BOM!$D:$D,$B50,BOM!$H:$H)</f>
        <v>103912.20000000001</v>
      </c>
      <c r="M50" s="5" t="s">
        <v>184</v>
      </c>
      <c r="N50" s="5" t="str">
        <f t="shared" si="1"/>
        <v>OK</v>
      </c>
      <c r="O50" s="5" t="s">
        <v>331</v>
      </c>
      <c r="P50" s="5" t="s">
        <v>178</v>
      </c>
    </row>
    <row r="51" spans="1:16" x14ac:dyDescent="0.25">
      <c r="A51" s="7">
        <v>50</v>
      </c>
      <c r="B51" s="7" t="s">
        <v>332</v>
      </c>
      <c r="C51" s="7" t="s">
        <v>333</v>
      </c>
      <c r="D51" s="7" t="s">
        <v>83</v>
      </c>
      <c r="E51" s="7" t="s">
        <v>37</v>
      </c>
      <c r="F51" s="6"/>
      <c r="G51" s="7" t="str">
        <f>IFERROR(VLOOKUP($E51,KURALLAR!$A$12:$E$23,2,FALSE()),"KZT")</f>
        <v>KZT</v>
      </c>
      <c r="H51" s="7">
        <f>IFERROR(VLOOKUP($E51,KURALLAR!$A$12:$E$23,5,FALSE()),1)</f>
        <v>1</v>
      </c>
      <c r="I51" s="7" t="str">
        <f>IF($F51="","",$F51*$H51*IFERROR(VLOOKUP($G51,KURALLAR!$A$5:$B$8,2,FALSE()),1))</f>
        <v/>
      </c>
      <c r="J51" s="7" t="s">
        <v>170</v>
      </c>
      <c r="K51" s="7">
        <f>SUMIF(BOM!$D:$D,$B51,BOM!$I:$I)</f>
        <v>3</v>
      </c>
      <c r="L51" s="7">
        <f>SUMIF(BOM!$D:$D,$B51,BOM!$H:$H)</f>
        <v>0</v>
      </c>
      <c r="M51" s="7"/>
      <c r="N51" s="7" t="str">
        <f t="shared" si="1"/>
        <v>FIYAT_YOK</v>
      </c>
      <c r="O51" s="7" t="s">
        <v>334</v>
      </c>
      <c r="P51" s="7" t="s">
        <v>250</v>
      </c>
    </row>
    <row r="52" spans="1:16" x14ac:dyDescent="0.25">
      <c r="A52" s="5">
        <v>51</v>
      </c>
      <c r="B52" s="5" t="s">
        <v>335</v>
      </c>
      <c r="C52" s="5" t="s">
        <v>336</v>
      </c>
      <c r="D52" s="5" t="s">
        <v>192</v>
      </c>
      <c r="E52" s="5" t="s">
        <v>22</v>
      </c>
      <c r="F52" s="6">
        <v>6071</v>
      </c>
      <c r="G52" s="5" t="str">
        <f>IFERROR(VLOOKUP($E52,KURALLAR!$A$12:$E$23,2,FALSE()),"KZT")</f>
        <v>KZT</v>
      </c>
      <c r="H52" s="5">
        <f>IFERROR(VLOOKUP($E52,KURALLAR!$A$12:$E$23,5,FALSE()),1)</f>
        <v>0.6</v>
      </c>
      <c r="I52" s="5">
        <f>IF($F52="","",$F52*$H52*IFERROR(VLOOKUP($G52,KURALLAR!$A$5:$B$8,2,FALSE()),1))</f>
        <v>3642.6</v>
      </c>
      <c r="J52" s="5" t="s">
        <v>170</v>
      </c>
      <c r="K52" s="5">
        <f>SUMIF(BOM!$D:$D,$B52,BOM!$I:$I)</f>
        <v>4</v>
      </c>
      <c r="L52" s="5">
        <f>SUMIF(BOM!$D:$D,$B52,BOM!$H:$H)</f>
        <v>14570.4</v>
      </c>
      <c r="M52" s="5" t="s">
        <v>171</v>
      </c>
      <c r="N52" s="5" t="str">
        <f t="shared" si="1"/>
        <v>OK</v>
      </c>
      <c r="O52" s="5" t="s">
        <v>337</v>
      </c>
      <c r="P52" s="5" t="s">
        <v>178</v>
      </c>
    </row>
    <row r="53" spans="1:16" x14ac:dyDescent="0.25">
      <c r="A53" s="5">
        <v>52</v>
      </c>
      <c r="B53" s="5" t="s">
        <v>338</v>
      </c>
      <c r="C53" s="5" t="s">
        <v>339</v>
      </c>
      <c r="D53" s="5" t="s">
        <v>192</v>
      </c>
      <c r="E53" s="5" t="s">
        <v>22</v>
      </c>
      <c r="F53" s="6">
        <v>5719</v>
      </c>
      <c r="G53" s="5" t="str">
        <f>IFERROR(VLOOKUP($E53,KURALLAR!$A$12:$E$23,2,FALSE()),"KZT")</f>
        <v>KZT</v>
      </c>
      <c r="H53" s="5">
        <f>IFERROR(VLOOKUP($E53,KURALLAR!$A$12:$E$23,5,FALSE()),1)</f>
        <v>0.6</v>
      </c>
      <c r="I53" s="5">
        <f>IF($F53="","",$F53*$H53*IFERROR(VLOOKUP($G53,KURALLAR!$A$5:$B$8,2,FALSE()),1))</f>
        <v>3431.4</v>
      </c>
      <c r="J53" s="5" t="s">
        <v>170</v>
      </c>
      <c r="K53" s="5">
        <f>SUMIF(BOM!$D:$D,$B53,BOM!$I:$I)</f>
        <v>4</v>
      </c>
      <c r="L53" s="5">
        <f>SUMIF(BOM!$D:$D,$B53,BOM!$H:$H)</f>
        <v>13725.6</v>
      </c>
      <c r="M53" s="5" t="s">
        <v>171</v>
      </c>
      <c r="N53" s="5" t="str">
        <f t="shared" si="1"/>
        <v>OK</v>
      </c>
      <c r="O53" s="5" t="s">
        <v>340</v>
      </c>
      <c r="P53" s="5" t="s">
        <v>178</v>
      </c>
    </row>
    <row r="54" spans="1:16" x14ac:dyDescent="0.25">
      <c r="A54" s="7">
        <v>53</v>
      </c>
      <c r="B54" s="7" t="s">
        <v>341</v>
      </c>
      <c r="C54" s="7" t="s">
        <v>342</v>
      </c>
      <c r="D54" s="7" t="s">
        <v>93</v>
      </c>
      <c r="E54" s="7" t="s">
        <v>20</v>
      </c>
      <c r="F54" s="6"/>
      <c r="G54" s="7" t="str">
        <f>IFERROR(VLOOKUP($E54,KURALLAR!$A$12:$E$23,2,FALSE()),"KZT")</f>
        <v>EUR</v>
      </c>
      <c r="H54" s="7">
        <f>IFERROR(VLOOKUP($E54,KURALLAR!$A$12:$E$23,5,FALSE()),1)</f>
        <v>0.6</v>
      </c>
      <c r="I54" s="7" t="str">
        <f>IF($F54="","",$F54*$H54*IFERROR(VLOOKUP($G54,KURALLAR!$A$5:$B$8,2,FALSE()),1))</f>
        <v/>
      </c>
      <c r="J54" s="7" t="s">
        <v>170</v>
      </c>
      <c r="K54" s="7">
        <f>SUMIF(BOM!$D:$D,$B54,BOM!$I:$I)</f>
        <v>2</v>
      </c>
      <c r="L54" s="7">
        <f>SUMIF(BOM!$D:$D,$B54,BOM!$H:$H)</f>
        <v>0</v>
      </c>
      <c r="M54" s="7"/>
      <c r="N54" s="7" t="str">
        <f t="shared" si="1"/>
        <v>FIYAT_YOK</v>
      </c>
      <c r="O54" s="7" t="s">
        <v>343</v>
      </c>
      <c r="P54" s="7" t="s">
        <v>250</v>
      </c>
    </row>
    <row r="55" spans="1:16" x14ac:dyDescent="0.25">
      <c r="A55" s="5">
        <v>54</v>
      </c>
      <c r="B55" s="5" t="s">
        <v>344</v>
      </c>
      <c r="C55" s="5" t="s">
        <v>345</v>
      </c>
      <c r="D55" s="5" t="s">
        <v>192</v>
      </c>
      <c r="E55" s="5" t="s">
        <v>22</v>
      </c>
      <c r="F55" s="6">
        <v>5884</v>
      </c>
      <c r="G55" s="5" t="str">
        <f>IFERROR(VLOOKUP($E55,KURALLAR!$A$12:$E$23,2,FALSE()),"KZT")</f>
        <v>KZT</v>
      </c>
      <c r="H55" s="5">
        <f>IFERROR(VLOOKUP($E55,KURALLAR!$A$12:$E$23,5,FALSE()),1)</f>
        <v>0.6</v>
      </c>
      <c r="I55" s="5">
        <f>IF($F55="","",$F55*$H55*IFERROR(VLOOKUP($G55,KURALLAR!$A$5:$B$8,2,FALSE()),1))</f>
        <v>3530.4</v>
      </c>
      <c r="J55" s="5" t="s">
        <v>170</v>
      </c>
      <c r="K55" s="5">
        <f>SUMIF(BOM!$D:$D,$B55,BOM!$I:$I)</f>
        <v>3</v>
      </c>
      <c r="L55" s="5">
        <f>SUMIF(BOM!$D:$D,$B55,BOM!$H:$H)</f>
        <v>10591.2</v>
      </c>
      <c r="M55" s="5" t="s">
        <v>184</v>
      </c>
      <c r="N55" s="5" t="str">
        <f t="shared" si="1"/>
        <v>OK</v>
      </c>
      <c r="O55" s="5" t="s">
        <v>346</v>
      </c>
      <c r="P55" s="5" t="s">
        <v>178</v>
      </c>
    </row>
    <row r="56" spans="1:16" x14ac:dyDescent="0.25">
      <c r="A56" s="5">
        <v>55</v>
      </c>
      <c r="B56" s="5" t="s">
        <v>347</v>
      </c>
      <c r="C56" s="5" t="s">
        <v>348</v>
      </c>
      <c r="D56" s="5" t="s">
        <v>169</v>
      </c>
      <c r="E56" s="5" t="s">
        <v>22</v>
      </c>
      <c r="F56" s="6">
        <v>13798</v>
      </c>
      <c r="G56" s="5" t="str">
        <f>IFERROR(VLOOKUP($E56,KURALLAR!$A$12:$E$23,2,FALSE()),"KZT")</f>
        <v>KZT</v>
      </c>
      <c r="H56" s="5">
        <f>IFERROR(VLOOKUP($E56,KURALLAR!$A$12:$E$23,5,FALSE()),1)</f>
        <v>0.6</v>
      </c>
      <c r="I56" s="5">
        <f>IF($F56="","",$F56*$H56*IFERROR(VLOOKUP($G56,KURALLAR!$A$5:$B$8,2,FALSE()),1))</f>
        <v>8278.7999999999993</v>
      </c>
      <c r="J56" s="5" t="s">
        <v>170</v>
      </c>
      <c r="K56" s="5">
        <f>SUMIF(BOM!$D:$D,$B56,BOM!$I:$I)</f>
        <v>5</v>
      </c>
      <c r="L56" s="5">
        <f>SUMIF(BOM!$D:$D,$B56,BOM!$H:$H)</f>
        <v>41394</v>
      </c>
      <c r="M56" s="5" t="s">
        <v>171</v>
      </c>
      <c r="N56" s="5" t="str">
        <f t="shared" si="1"/>
        <v>MUADIL</v>
      </c>
      <c r="O56" s="5" t="s">
        <v>349</v>
      </c>
      <c r="P56" s="5" t="s">
        <v>173</v>
      </c>
    </row>
    <row r="57" spans="1:16" x14ac:dyDescent="0.25">
      <c r="A57" s="5">
        <v>56</v>
      </c>
      <c r="B57" s="5" t="s">
        <v>350</v>
      </c>
      <c r="C57" s="5" t="s">
        <v>351</v>
      </c>
      <c r="D57" s="5" t="s">
        <v>169</v>
      </c>
      <c r="E57" s="5" t="s">
        <v>22</v>
      </c>
      <c r="F57" s="6">
        <v>64066</v>
      </c>
      <c r="G57" s="5" t="str">
        <f>IFERROR(VLOOKUP($E57,KURALLAR!$A$12:$E$23,2,FALSE()),"KZT")</f>
        <v>KZT</v>
      </c>
      <c r="H57" s="5">
        <f>IFERROR(VLOOKUP($E57,KURALLAR!$A$12:$E$23,5,FALSE()),1)</f>
        <v>0.6</v>
      </c>
      <c r="I57" s="5">
        <f>IF($F57="","",$F57*$H57*IFERROR(VLOOKUP($G57,KURALLAR!$A$5:$B$8,2,FALSE()),1))</f>
        <v>38439.599999999999</v>
      </c>
      <c r="J57" s="5" t="s">
        <v>170</v>
      </c>
      <c r="K57" s="5">
        <f>SUMIF(BOM!$D:$D,$B57,BOM!$I:$I)</f>
        <v>10</v>
      </c>
      <c r="L57" s="5">
        <f>SUMIF(BOM!$D:$D,$B57,BOM!$H:$H)</f>
        <v>384396</v>
      </c>
      <c r="M57" s="5" t="s">
        <v>171</v>
      </c>
      <c r="N57" s="5" t="str">
        <f t="shared" si="1"/>
        <v>MUADIL</v>
      </c>
      <c r="O57" s="5" t="s">
        <v>172</v>
      </c>
      <c r="P57" s="5" t="s">
        <v>173</v>
      </c>
    </row>
    <row r="58" spans="1:16" x14ac:dyDescent="0.25">
      <c r="A58" s="5">
        <v>57</v>
      </c>
      <c r="B58" s="5" t="s">
        <v>352</v>
      </c>
      <c r="C58" s="5" t="s">
        <v>353</v>
      </c>
      <c r="D58" s="5" t="s">
        <v>169</v>
      </c>
      <c r="E58" s="5" t="s">
        <v>22</v>
      </c>
      <c r="F58" s="6">
        <v>90077</v>
      </c>
      <c r="G58" s="5" t="str">
        <f>IFERROR(VLOOKUP($E58,KURALLAR!$A$12:$E$23,2,FALSE()),"KZT")</f>
        <v>KZT</v>
      </c>
      <c r="H58" s="5">
        <f>IFERROR(VLOOKUP($E58,KURALLAR!$A$12:$E$23,5,FALSE()),1)</f>
        <v>0.6</v>
      </c>
      <c r="I58" s="5">
        <f>IF($F58="","",$F58*$H58*IFERROR(VLOOKUP($G58,KURALLAR!$A$5:$B$8,2,FALSE()),1))</f>
        <v>54046.2</v>
      </c>
      <c r="J58" s="5" t="s">
        <v>170</v>
      </c>
      <c r="K58" s="5">
        <f>SUMIF(BOM!$D:$D,$B58,BOM!$I:$I)</f>
        <v>4</v>
      </c>
      <c r="L58" s="5">
        <f>SUMIF(BOM!$D:$D,$B58,BOM!$H:$H)</f>
        <v>216184.8</v>
      </c>
      <c r="M58" s="5" t="s">
        <v>171</v>
      </c>
      <c r="N58" s="5" t="str">
        <f t="shared" si="1"/>
        <v>OK</v>
      </c>
      <c r="O58" s="5" t="s">
        <v>354</v>
      </c>
      <c r="P58" s="5" t="s">
        <v>178</v>
      </c>
    </row>
    <row r="59" spans="1:16" x14ac:dyDescent="0.25">
      <c r="A59" s="5">
        <v>58</v>
      </c>
      <c r="B59" s="5" t="s">
        <v>355</v>
      </c>
      <c r="C59" s="5" t="s">
        <v>356</v>
      </c>
      <c r="D59" s="5" t="s">
        <v>192</v>
      </c>
      <c r="E59" s="5" t="s">
        <v>22</v>
      </c>
      <c r="F59" s="6">
        <v>5878</v>
      </c>
      <c r="G59" s="5" t="str">
        <f>IFERROR(VLOOKUP($E59,KURALLAR!$A$12:$E$23,2,FALSE()),"KZT")</f>
        <v>KZT</v>
      </c>
      <c r="H59" s="5">
        <f>IFERROR(VLOOKUP($E59,KURALLAR!$A$12:$E$23,5,FALSE()),1)</f>
        <v>0.6</v>
      </c>
      <c r="I59" s="5">
        <f>IF($F59="","",$F59*$H59*IFERROR(VLOOKUP($G59,KURALLAR!$A$5:$B$8,2,FALSE()),1))</f>
        <v>3526.7999999999997</v>
      </c>
      <c r="J59" s="5" t="s">
        <v>170</v>
      </c>
      <c r="K59" s="5">
        <f>SUMIF(BOM!$D:$D,$B59,BOM!$I:$I)</f>
        <v>4</v>
      </c>
      <c r="L59" s="5">
        <f>SUMIF(BOM!$D:$D,$B59,BOM!$H:$H)</f>
        <v>14107.199999999999</v>
      </c>
      <c r="M59" s="5" t="s">
        <v>184</v>
      </c>
      <c r="N59" s="5" t="str">
        <f t="shared" si="1"/>
        <v>OK</v>
      </c>
      <c r="O59" s="5" t="s">
        <v>357</v>
      </c>
      <c r="P59" s="5" t="s">
        <v>178</v>
      </c>
    </row>
    <row r="60" spans="1:16" x14ac:dyDescent="0.25">
      <c r="A60" s="5">
        <v>59</v>
      </c>
      <c r="B60" s="5" t="s">
        <v>358</v>
      </c>
      <c r="C60" s="5" t="s">
        <v>359</v>
      </c>
      <c r="D60" s="5" t="s">
        <v>169</v>
      </c>
      <c r="E60" s="5" t="s">
        <v>22</v>
      </c>
      <c r="F60" s="6">
        <v>36692</v>
      </c>
      <c r="G60" s="5" t="str">
        <f>IFERROR(VLOOKUP($E60,KURALLAR!$A$12:$E$23,2,FALSE()),"KZT")</f>
        <v>KZT</v>
      </c>
      <c r="H60" s="5">
        <f>IFERROR(VLOOKUP($E60,KURALLAR!$A$12:$E$23,5,FALSE()),1)</f>
        <v>0.6</v>
      </c>
      <c r="I60" s="5">
        <f>IF($F60="","",$F60*$H60*IFERROR(VLOOKUP($G60,KURALLAR!$A$5:$B$8,2,FALSE()),1))</f>
        <v>22015.200000000001</v>
      </c>
      <c r="J60" s="5" t="s">
        <v>170</v>
      </c>
      <c r="K60" s="5">
        <f>SUMIF(BOM!$D:$D,$B60,BOM!$I:$I)</f>
        <v>4</v>
      </c>
      <c r="L60" s="5">
        <f>SUMIF(BOM!$D:$D,$B60,BOM!$H:$H)</f>
        <v>88060.800000000003</v>
      </c>
      <c r="M60" s="5" t="s">
        <v>171</v>
      </c>
      <c r="N60" s="5" t="str">
        <f t="shared" si="1"/>
        <v>MUADIL</v>
      </c>
      <c r="O60" s="5" t="s">
        <v>360</v>
      </c>
      <c r="P60" s="5" t="s">
        <v>173</v>
      </c>
    </row>
    <row r="61" spans="1:16" x14ac:dyDescent="0.25">
      <c r="A61" s="5">
        <v>60</v>
      </c>
      <c r="B61" s="5" t="s">
        <v>361</v>
      </c>
      <c r="C61" s="5" t="s">
        <v>362</v>
      </c>
      <c r="D61" s="5" t="s">
        <v>169</v>
      </c>
      <c r="E61" s="5" t="s">
        <v>22</v>
      </c>
      <c r="F61" s="6">
        <v>36692</v>
      </c>
      <c r="G61" s="5" t="str">
        <f>IFERROR(VLOOKUP($E61,KURALLAR!$A$12:$E$23,2,FALSE()),"KZT")</f>
        <v>KZT</v>
      </c>
      <c r="H61" s="5">
        <f>IFERROR(VLOOKUP($E61,KURALLAR!$A$12:$E$23,5,FALSE()),1)</f>
        <v>0.6</v>
      </c>
      <c r="I61" s="5">
        <f>IF($F61="","",$F61*$H61*IFERROR(VLOOKUP($G61,KURALLAR!$A$5:$B$8,2,FALSE()),1))</f>
        <v>22015.200000000001</v>
      </c>
      <c r="J61" s="5" t="s">
        <v>254</v>
      </c>
      <c r="K61" s="5">
        <f>SUMIF(BOM!$D:$D,$B61,BOM!$I:$I)</f>
        <v>8</v>
      </c>
      <c r="L61" s="5">
        <f>SUMIF(BOM!$D:$D,$B61,BOM!$H:$H)</f>
        <v>176121.60000000001</v>
      </c>
      <c r="M61" s="5" t="s">
        <v>171</v>
      </c>
      <c r="N61" s="5" t="str">
        <f t="shared" si="1"/>
        <v>MUADIL</v>
      </c>
      <c r="O61" s="5" t="s">
        <v>363</v>
      </c>
      <c r="P61" s="5" t="s">
        <v>173</v>
      </c>
    </row>
    <row r="62" spans="1:16" x14ac:dyDescent="0.25">
      <c r="A62" s="5">
        <v>61</v>
      </c>
      <c r="B62" s="5" t="s">
        <v>364</v>
      </c>
      <c r="C62" s="5" t="s">
        <v>365</v>
      </c>
      <c r="D62" s="5" t="s">
        <v>169</v>
      </c>
      <c r="E62" s="5" t="s">
        <v>22</v>
      </c>
      <c r="F62" s="6">
        <v>12904</v>
      </c>
      <c r="G62" s="5" t="str">
        <f>IFERROR(VLOOKUP($E62,KURALLAR!$A$12:$E$23,2,FALSE()),"KZT")</f>
        <v>KZT</v>
      </c>
      <c r="H62" s="5">
        <f>IFERROR(VLOOKUP($E62,KURALLAR!$A$12:$E$23,5,FALSE()),1)</f>
        <v>0.6</v>
      </c>
      <c r="I62" s="5">
        <f>IF($F62="","",$F62*$H62*IFERROR(VLOOKUP($G62,KURALLAR!$A$5:$B$8,2,FALSE()),1))</f>
        <v>7742.4</v>
      </c>
      <c r="J62" s="5" t="s">
        <v>170</v>
      </c>
      <c r="K62" s="5">
        <f>SUMIF(BOM!$D:$D,$B62,BOM!$I:$I)</f>
        <v>8</v>
      </c>
      <c r="L62" s="5">
        <f>SUMIF(BOM!$D:$D,$B62,BOM!$H:$H)</f>
        <v>61939.199999999997</v>
      </c>
      <c r="M62" s="5" t="s">
        <v>184</v>
      </c>
      <c r="N62" s="5" t="str">
        <f t="shared" si="1"/>
        <v>MUADIL</v>
      </c>
      <c r="O62" s="5" t="s">
        <v>366</v>
      </c>
      <c r="P62" s="5" t="s">
        <v>173</v>
      </c>
    </row>
    <row r="63" spans="1:16" x14ac:dyDescent="0.25">
      <c r="A63" s="5">
        <v>62</v>
      </c>
      <c r="B63" s="5" t="s">
        <v>367</v>
      </c>
      <c r="C63" s="5" t="s">
        <v>368</v>
      </c>
      <c r="D63" s="5" t="s">
        <v>169</v>
      </c>
      <c r="E63" s="5" t="s">
        <v>22</v>
      </c>
      <c r="F63" s="6">
        <v>64169</v>
      </c>
      <c r="G63" s="5" t="str">
        <f>IFERROR(VLOOKUP($E63,KURALLAR!$A$12:$E$23,2,FALSE()),"KZT")</f>
        <v>KZT</v>
      </c>
      <c r="H63" s="5">
        <f>IFERROR(VLOOKUP($E63,KURALLAR!$A$12:$E$23,5,FALSE()),1)</f>
        <v>0.6</v>
      </c>
      <c r="I63" s="5">
        <f>IF($F63="","",$F63*$H63*IFERROR(VLOOKUP($G63,KURALLAR!$A$5:$B$8,2,FALSE()),1))</f>
        <v>38501.4</v>
      </c>
      <c r="J63" s="5" t="s">
        <v>170</v>
      </c>
      <c r="K63" s="5">
        <f>SUMIF(BOM!$D:$D,$B63,BOM!$I:$I)</f>
        <v>14</v>
      </c>
      <c r="L63" s="5">
        <f>SUMIF(BOM!$D:$D,$B63,BOM!$H:$H)</f>
        <v>539019.60000000009</v>
      </c>
      <c r="M63" s="5" t="s">
        <v>171</v>
      </c>
      <c r="N63" s="5" t="str">
        <f t="shared" si="1"/>
        <v>OK</v>
      </c>
      <c r="O63" s="5" t="s">
        <v>369</v>
      </c>
      <c r="P63" s="5" t="s">
        <v>178</v>
      </c>
    </row>
    <row r="64" spans="1:16" x14ac:dyDescent="0.25">
      <c r="A64" s="5">
        <v>63</v>
      </c>
      <c r="B64" s="5" t="s">
        <v>370</v>
      </c>
      <c r="C64" s="5" t="s">
        <v>371</v>
      </c>
      <c r="D64" s="5" t="s">
        <v>222</v>
      </c>
      <c r="E64" s="5" t="s">
        <v>31</v>
      </c>
      <c r="F64" s="6">
        <v>65570</v>
      </c>
      <c r="G64" s="5" t="str">
        <f>IFERROR(VLOOKUP($E64,KURALLAR!$A$12:$E$23,2,FALSE()),"KZT")</f>
        <v>KZT</v>
      </c>
      <c r="H64" s="5">
        <f>IFERROR(VLOOKUP($E64,KURALLAR!$A$12:$E$23,5,FALSE()),1)</f>
        <v>0.6</v>
      </c>
      <c r="I64" s="5">
        <f>IF($F64="","",$F64*$H64*IFERROR(VLOOKUP($G64,KURALLAR!$A$5:$B$8,2,FALSE()),1))</f>
        <v>39342</v>
      </c>
      <c r="J64" s="5" t="s">
        <v>170</v>
      </c>
      <c r="K64" s="5">
        <f>SUMIF(BOM!$D:$D,$B64,BOM!$I:$I)</f>
        <v>3</v>
      </c>
      <c r="L64" s="5">
        <f>SUMIF(BOM!$D:$D,$B64,BOM!$H:$H)</f>
        <v>118026</v>
      </c>
      <c r="M64" s="5" t="s">
        <v>211</v>
      </c>
      <c r="N64" s="5" t="str">
        <f t="shared" si="1"/>
        <v>VARSAYIM</v>
      </c>
      <c r="O64" s="5" t="s">
        <v>372</v>
      </c>
      <c r="P64" s="5" t="s">
        <v>224</v>
      </c>
    </row>
    <row r="65" spans="1:16" x14ac:dyDescent="0.25">
      <c r="A65" s="5">
        <v>64</v>
      </c>
      <c r="B65" s="5" t="s">
        <v>373</v>
      </c>
      <c r="C65" s="5" t="s">
        <v>374</v>
      </c>
      <c r="D65" s="5" t="s">
        <v>192</v>
      </c>
      <c r="E65" s="5" t="s">
        <v>22</v>
      </c>
      <c r="F65" s="6">
        <v>1560</v>
      </c>
      <c r="G65" s="5" t="str">
        <f>IFERROR(VLOOKUP($E65,KURALLAR!$A$12:$E$23,2,FALSE()),"KZT")</f>
        <v>KZT</v>
      </c>
      <c r="H65" s="5">
        <f>IFERROR(VLOOKUP($E65,KURALLAR!$A$12:$E$23,5,FALSE()),1)</f>
        <v>0.6</v>
      </c>
      <c r="I65" s="5">
        <f>IF($F65="","",$F65*$H65*IFERROR(VLOOKUP($G65,KURALLAR!$A$5:$B$8,2,FALSE()),1))</f>
        <v>936</v>
      </c>
      <c r="J65" s="5" t="s">
        <v>170</v>
      </c>
      <c r="K65" s="5">
        <f>SUMIF(BOM!$D:$D,$B65,BOM!$I:$I)</f>
        <v>1</v>
      </c>
      <c r="L65" s="5">
        <f>SUMIF(BOM!$D:$D,$B65,BOM!$H:$H)</f>
        <v>936</v>
      </c>
      <c r="M65" s="5" t="s">
        <v>184</v>
      </c>
      <c r="N65" s="5" t="str">
        <f t="shared" si="1"/>
        <v>OK</v>
      </c>
      <c r="O65" s="5" t="s">
        <v>375</v>
      </c>
      <c r="P65" s="5" t="s">
        <v>178</v>
      </c>
    </row>
    <row r="66" spans="1:16" x14ac:dyDescent="0.25">
      <c r="A66" s="5">
        <v>65</v>
      </c>
      <c r="B66" s="5" t="s">
        <v>376</v>
      </c>
      <c r="C66" s="5" t="s">
        <v>377</v>
      </c>
      <c r="D66" s="5" t="s">
        <v>169</v>
      </c>
      <c r="E66" s="5" t="s">
        <v>22</v>
      </c>
      <c r="F66" s="6">
        <v>36692</v>
      </c>
      <c r="G66" s="5" t="str">
        <f>IFERROR(VLOOKUP($E66,KURALLAR!$A$12:$E$23,2,FALSE()),"KZT")</f>
        <v>KZT</v>
      </c>
      <c r="H66" s="5">
        <f>IFERROR(VLOOKUP($E66,KURALLAR!$A$12:$E$23,5,FALSE()),1)</f>
        <v>0.6</v>
      </c>
      <c r="I66" s="5">
        <f>IF($F66="","",$F66*$H66*IFERROR(VLOOKUP($G66,KURALLAR!$A$5:$B$8,2,FALSE()),1))</f>
        <v>22015.200000000001</v>
      </c>
      <c r="J66" s="5" t="s">
        <v>170</v>
      </c>
      <c r="K66" s="5">
        <f>SUMIF(BOM!$D:$D,$B66,BOM!$I:$I)</f>
        <v>8</v>
      </c>
      <c r="L66" s="5">
        <f>SUMIF(BOM!$D:$D,$B66,BOM!$H:$H)</f>
        <v>176121.60000000001</v>
      </c>
      <c r="M66" s="5" t="s">
        <v>171</v>
      </c>
      <c r="N66" s="5" t="str">
        <f t="shared" ref="N66:N97" si="2">IF($P66="ORAN","ORAN (KURALLAR)",IF($I66="","FIYAT_YOK",$P66))</f>
        <v>MUADIL</v>
      </c>
      <c r="O66" s="5" t="s">
        <v>378</v>
      </c>
      <c r="P66" s="5" t="s">
        <v>173</v>
      </c>
    </row>
    <row r="67" spans="1:16" x14ac:dyDescent="0.25">
      <c r="A67" s="5">
        <v>66</v>
      </c>
      <c r="B67" s="5" t="s">
        <v>379</v>
      </c>
      <c r="C67" s="5" t="s">
        <v>380</v>
      </c>
      <c r="D67" s="5" t="s">
        <v>169</v>
      </c>
      <c r="E67" s="5" t="s">
        <v>22</v>
      </c>
      <c r="F67" s="6">
        <v>208671</v>
      </c>
      <c r="G67" s="5" t="str">
        <f>IFERROR(VLOOKUP($E67,KURALLAR!$A$12:$E$23,2,FALSE()),"KZT")</f>
        <v>KZT</v>
      </c>
      <c r="H67" s="5">
        <f>IFERROR(VLOOKUP($E67,KURALLAR!$A$12:$E$23,5,FALSE()),1)</f>
        <v>0.6</v>
      </c>
      <c r="I67" s="5">
        <f>IF($F67="","",$F67*$H67*IFERROR(VLOOKUP($G67,KURALLAR!$A$5:$B$8,2,FALSE()),1))</f>
        <v>125202.59999999999</v>
      </c>
      <c r="J67" s="5" t="s">
        <v>170</v>
      </c>
      <c r="K67" s="5">
        <f>SUMIF(BOM!$D:$D,$B67,BOM!$I:$I)</f>
        <v>16</v>
      </c>
      <c r="L67" s="5">
        <f>SUMIF(BOM!$D:$D,$B67,BOM!$H:$H)</f>
        <v>2003241.6000000003</v>
      </c>
      <c r="M67" s="5" t="s">
        <v>171</v>
      </c>
      <c r="N67" s="5" t="str">
        <f t="shared" si="2"/>
        <v>OK</v>
      </c>
      <c r="O67" s="5" t="s">
        <v>381</v>
      </c>
      <c r="P67" s="5" t="s">
        <v>178</v>
      </c>
    </row>
    <row r="68" spans="1:16" x14ac:dyDescent="0.25">
      <c r="A68" s="7">
        <v>67</v>
      </c>
      <c r="B68" s="7" t="s">
        <v>382</v>
      </c>
      <c r="C68" s="7" t="s">
        <v>383</v>
      </c>
      <c r="D68" s="7" t="s">
        <v>83</v>
      </c>
      <c r="E68" s="7" t="s">
        <v>37</v>
      </c>
      <c r="F68" s="6"/>
      <c r="G68" s="7" t="str">
        <f>IFERROR(VLOOKUP($E68,KURALLAR!$A$12:$E$23,2,FALSE()),"KZT")</f>
        <v>KZT</v>
      </c>
      <c r="H68" s="7">
        <f>IFERROR(VLOOKUP($E68,KURALLAR!$A$12:$E$23,5,FALSE()),1)</f>
        <v>1</v>
      </c>
      <c r="I68" s="7" t="str">
        <f>IF($F68="","",$F68*$H68*IFERROR(VLOOKUP($G68,KURALLAR!$A$5:$B$8,2,FALSE()),1))</f>
        <v/>
      </c>
      <c r="J68" s="7" t="s">
        <v>170</v>
      </c>
      <c r="K68" s="7">
        <f>SUMIF(BOM!$D:$D,$B68,BOM!$I:$I)</f>
        <v>18</v>
      </c>
      <c r="L68" s="7">
        <f>SUMIF(BOM!$D:$D,$B68,BOM!$H:$H)</f>
        <v>0</v>
      </c>
      <c r="M68" s="7"/>
      <c r="N68" s="7" t="str">
        <f t="shared" si="2"/>
        <v>FIYAT_YOK</v>
      </c>
      <c r="O68" s="7" t="s">
        <v>384</v>
      </c>
      <c r="P68" s="7" t="s">
        <v>250</v>
      </c>
    </row>
    <row r="69" spans="1:16" x14ac:dyDescent="0.25">
      <c r="A69" s="7">
        <v>68</v>
      </c>
      <c r="B69" s="7" t="s">
        <v>385</v>
      </c>
      <c r="C69" s="7" t="s">
        <v>386</v>
      </c>
      <c r="D69" s="7" t="s">
        <v>83</v>
      </c>
      <c r="E69" s="7" t="s">
        <v>37</v>
      </c>
      <c r="F69" s="6"/>
      <c r="G69" s="7" t="str">
        <f>IFERROR(VLOOKUP($E69,KURALLAR!$A$12:$E$23,2,FALSE()),"KZT")</f>
        <v>KZT</v>
      </c>
      <c r="H69" s="7">
        <f>IFERROR(VLOOKUP($E69,KURALLAR!$A$12:$E$23,5,FALSE()),1)</f>
        <v>1</v>
      </c>
      <c r="I69" s="7" t="str">
        <f>IF($F69="","",$F69*$H69*IFERROR(VLOOKUP($G69,KURALLAR!$A$5:$B$8,2,FALSE()),1))</f>
        <v/>
      </c>
      <c r="J69" s="7" t="s">
        <v>170</v>
      </c>
      <c r="K69" s="7">
        <f>SUMIF(BOM!$D:$D,$B69,BOM!$I:$I)</f>
        <v>9</v>
      </c>
      <c r="L69" s="7">
        <f>SUMIF(BOM!$D:$D,$B69,BOM!$H:$H)</f>
        <v>0</v>
      </c>
      <c r="M69" s="7"/>
      <c r="N69" s="7" t="str">
        <f t="shared" si="2"/>
        <v>FIYAT_YOK</v>
      </c>
      <c r="O69" s="7" t="s">
        <v>387</v>
      </c>
      <c r="P69" s="7" t="s">
        <v>250</v>
      </c>
    </row>
    <row r="70" spans="1:16" x14ac:dyDescent="0.25">
      <c r="A70" s="7">
        <v>69</v>
      </c>
      <c r="B70" s="7" t="s">
        <v>388</v>
      </c>
      <c r="C70" s="7" t="s">
        <v>389</v>
      </c>
      <c r="D70" s="7" t="s">
        <v>73</v>
      </c>
      <c r="E70" s="7" t="s">
        <v>22</v>
      </c>
      <c r="F70" s="6">
        <v>3239606</v>
      </c>
      <c r="G70" s="7" t="str">
        <f>IFERROR(VLOOKUP($E70,KURALLAR!$A$12:$E$23,2,FALSE()),"KZT")</f>
        <v>KZT</v>
      </c>
      <c r="H70" s="7">
        <f>IFERROR(VLOOKUP($E70,KURALLAR!$A$12:$E$23,5,FALSE()),1)</f>
        <v>0.6</v>
      </c>
      <c r="I70" s="7">
        <f>IF($F70="","",$F70*$H70*IFERROR(VLOOKUP($G70,KURALLAR!$A$5:$B$8,2,FALSE()),1))</f>
        <v>1943763.5999999999</v>
      </c>
      <c r="J70" s="7" t="s">
        <v>170</v>
      </c>
      <c r="K70" s="7">
        <f>SUMIF(BOM!$D:$D,$B70,BOM!$I:$I)</f>
        <v>4</v>
      </c>
      <c r="L70" s="7">
        <f>SUMIF(BOM!$D:$D,$B70,BOM!$H:$H)</f>
        <v>7775054.3999999994</v>
      </c>
      <c r="M70" s="7" t="s">
        <v>184</v>
      </c>
      <c r="N70" s="7" t="str">
        <f t="shared" si="2"/>
        <v>CIHAZ_BELIRSIZ</v>
      </c>
      <c r="O70" s="7" t="s">
        <v>390</v>
      </c>
      <c r="P70" s="7" t="s">
        <v>237</v>
      </c>
    </row>
    <row r="71" spans="1:16" x14ac:dyDescent="0.25">
      <c r="A71" s="7">
        <v>70</v>
      </c>
      <c r="B71" s="7" t="s">
        <v>391</v>
      </c>
      <c r="C71" s="7" t="s">
        <v>392</v>
      </c>
      <c r="D71" s="7" t="s">
        <v>83</v>
      </c>
      <c r="E71" s="7" t="s">
        <v>37</v>
      </c>
      <c r="F71" s="6"/>
      <c r="G71" s="7" t="str">
        <f>IFERROR(VLOOKUP($E71,KURALLAR!$A$12:$E$23,2,FALSE()),"KZT")</f>
        <v>KZT</v>
      </c>
      <c r="H71" s="7">
        <f>IFERROR(VLOOKUP($E71,KURALLAR!$A$12:$E$23,5,FALSE()),1)</f>
        <v>1</v>
      </c>
      <c r="I71" s="7" t="str">
        <f>IF($F71="","",$F71*$H71*IFERROR(VLOOKUP($G71,KURALLAR!$A$5:$B$8,2,FALSE()),1))</f>
        <v/>
      </c>
      <c r="J71" s="7" t="s">
        <v>170</v>
      </c>
      <c r="K71" s="7">
        <f>SUMIF(BOM!$D:$D,$B71,BOM!$I:$I)</f>
        <v>6</v>
      </c>
      <c r="L71" s="7">
        <f>SUMIF(BOM!$D:$D,$B71,BOM!$H:$H)</f>
        <v>0</v>
      </c>
      <c r="M71" s="7"/>
      <c r="N71" s="7" t="str">
        <f t="shared" si="2"/>
        <v>FIYAT_YOK</v>
      </c>
      <c r="O71" s="7" t="s">
        <v>393</v>
      </c>
      <c r="P71" s="7" t="s">
        <v>250</v>
      </c>
    </row>
    <row r="72" spans="1:16" x14ac:dyDescent="0.25">
      <c r="A72" s="7">
        <v>71</v>
      </c>
      <c r="B72" s="7" t="s">
        <v>394</v>
      </c>
      <c r="C72" s="7" t="s">
        <v>395</v>
      </c>
      <c r="D72" s="7" t="s">
        <v>83</v>
      </c>
      <c r="E72" s="7" t="s">
        <v>37</v>
      </c>
      <c r="F72" s="6"/>
      <c r="G72" s="7" t="str">
        <f>IFERROR(VLOOKUP($E72,KURALLAR!$A$12:$E$23,2,FALSE()),"KZT")</f>
        <v>KZT</v>
      </c>
      <c r="H72" s="7">
        <f>IFERROR(VLOOKUP($E72,KURALLAR!$A$12:$E$23,5,FALSE()),1)</f>
        <v>1</v>
      </c>
      <c r="I72" s="7" t="str">
        <f>IF($F72="","",$F72*$H72*IFERROR(VLOOKUP($G72,KURALLAR!$A$5:$B$8,2,FALSE()),1))</f>
        <v/>
      </c>
      <c r="J72" s="7" t="s">
        <v>170</v>
      </c>
      <c r="K72" s="7">
        <f>SUMIF(BOM!$D:$D,$B72,BOM!$I:$I)</f>
        <v>8</v>
      </c>
      <c r="L72" s="7">
        <f>SUMIF(BOM!$D:$D,$B72,BOM!$H:$H)</f>
        <v>0</v>
      </c>
      <c r="M72" s="7"/>
      <c r="N72" s="7" t="str">
        <f t="shared" si="2"/>
        <v>FIYAT_YOK</v>
      </c>
      <c r="O72" s="7" t="s">
        <v>396</v>
      </c>
      <c r="P72" s="7" t="s">
        <v>250</v>
      </c>
    </row>
    <row r="73" spans="1:16" x14ac:dyDescent="0.25">
      <c r="A73" s="7">
        <v>72</v>
      </c>
      <c r="B73" s="7" t="s">
        <v>397</v>
      </c>
      <c r="C73" s="7" t="s">
        <v>398</v>
      </c>
      <c r="D73" s="7" t="s">
        <v>81</v>
      </c>
      <c r="E73" s="7" t="s">
        <v>20</v>
      </c>
      <c r="F73" s="6"/>
      <c r="G73" s="7" t="str">
        <f>IFERROR(VLOOKUP($E73,KURALLAR!$A$12:$E$23,2,FALSE()),"KZT")</f>
        <v>EUR</v>
      </c>
      <c r="H73" s="7">
        <f>IFERROR(VLOOKUP($E73,KURALLAR!$A$12:$E$23,5,FALSE()),1)</f>
        <v>0.6</v>
      </c>
      <c r="I73" s="7" t="str">
        <f>IF($F73="","",$F73*$H73*IFERROR(VLOOKUP($G73,KURALLAR!$A$5:$B$8,2,FALSE()),1))</f>
        <v/>
      </c>
      <c r="J73" s="7" t="s">
        <v>170</v>
      </c>
      <c r="K73" s="7">
        <f>SUMIF(BOM!$D:$D,$B73,BOM!$I:$I)</f>
        <v>4</v>
      </c>
      <c r="L73" s="7">
        <f>SUMIF(BOM!$D:$D,$B73,BOM!$H:$H)</f>
        <v>0</v>
      </c>
      <c r="M73" s="7"/>
      <c r="N73" s="7" t="str">
        <f t="shared" si="2"/>
        <v>FIYAT_YOK</v>
      </c>
      <c r="O73" s="7" t="s">
        <v>399</v>
      </c>
      <c r="P73" s="7" t="s">
        <v>250</v>
      </c>
    </row>
    <row r="74" spans="1:16" x14ac:dyDescent="0.25">
      <c r="A74" s="7">
        <v>73</v>
      </c>
      <c r="B74" s="7" t="s">
        <v>400</v>
      </c>
      <c r="C74" s="7" t="s">
        <v>401</v>
      </c>
      <c r="D74" s="7" t="s">
        <v>87</v>
      </c>
      <c r="E74" s="7" t="s">
        <v>20</v>
      </c>
      <c r="F74" s="6"/>
      <c r="G74" s="7" t="str">
        <f>IFERROR(VLOOKUP($E74,KURALLAR!$A$12:$E$23,2,FALSE()),"KZT")</f>
        <v>EUR</v>
      </c>
      <c r="H74" s="7">
        <f>IFERROR(VLOOKUP($E74,KURALLAR!$A$12:$E$23,5,FALSE()),1)</f>
        <v>0.6</v>
      </c>
      <c r="I74" s="7" t="str">
        <f>IF($F74="","",$F74*$H74*IFERROR(VLOOKUP($G74,KURALLAR!$A$5:$B$8,2,FALSE()),1))</f>
        <v/>
      </c>
      <c r="J74" s="7" t="s">
        <v>170</v>
      </c>
      <c r="K74" s="7">
        <f>SUMIF(BOM!$D:$D,$B74,BOM!$I:$I)</f>
        <v>1</v>
      </c>
      <c r="L74" s="7">
        <f>SUMIF(BOM!$D:$D,$B74,BOM!$H:$H)</f>
        <v>0</v>
      </c>
      <c r="M74" s="7"/>
      <c r="N74" s="7" t="str">
        <f t="shared" si="2"/>
        <v>FIYAT_YOK</v>
      </c>
      <c r="O74" s="7" t="s">
        <v>402</v>
      </c>
      <c r="P74" s="7" t="s">
        <v>250</v>
      </c>
    </row>
    <row r="75" spans="1:16" x14ac:dyDescent="0.25">
      <c r="A75" s="7">
        <v>74</v>
      </c>
      <c r="B75" s="7" t="s">
        <v>403</v>
      </c>
      <c r="C75" s="7" t="s">
        <v>404</v>
      </c>
      <c r="D75" s="7" t="s">
        <v>87</v>
      </c>
      <c r="E75" s="7" t="s">
        <v>20</v>
      </c>
      <c r="F75" s="6"/>
      <c r="G75" s="7" t="str">
        <f>IFERROR(VLOOKUP($E75,KURALLAR!$A$12:$E$23,2,FALSE()),"KZT")</f>
        <v>EUR</v>
      </c>
      <c r="H75" s="7">
        <f>IFERROR(VLOOKUP($E75,KURALLAR!$A$12:$E$23,5,FALSE()),1)</f>
        <v>0.6</v>
      </c>
      <c r="I75" s="7" t="str">
        <f>IF($F75="","",$F75*$H75*IFERROR(VLOOKUP($G75,KURALLAR!$A$5:$B$8,2,FALSE()),1))</f>
        <v/>
      </c>
      <c r="J75" s="7" t="s">
        <v>170</v>
      </c>
      <c r="K75" s="7">
        <f>SUMIF(BOM!$D:$D,$B75,BOM!$I:$I)</f>
        <v>1</v>
      </c>
      <c r="L75" s="7">
        <f>SUMIF(BOM!$D:$D,$B75,BOM!$H:$H)</f>
        <v>0</v>
      </c>
      <c r="M75" s="7"/>
      <c r="N75" s="7" t="str">
        <f t="shared" si="2"/>
        <v>FIYAT_YOK</v>
      </c>
      <c r="O75" s="7" t="s">
        <v>405</v>
      </c>
      <c r="P75" s="7" t="s">
        <v>250</v>
      </c>
    </row>
    <row r="76" spans="1:16" x14ac:dyDescent="0.25">
      <c r="A76" s="5">
        <v>75</v>
      </c>
      <c r="B76" s="5" t="s">
        <v>406</v>
      </c>
      <c r="C76" s="5" t="s">
        <v>407</v>
      </c>
      <c r="D76" s="5" t="s">
        <v>87</v>
      </c>
      <c r="E76" s="5" t="s">
        <v>22</v>
      </c>
      <c r="F76" s="6">
        <v>14175</v>
      </c>
      <c r="G76" s="5" t="str">
        <f>IFERROR(VLOOKUP($E76,KURALLAR!$A$12:$E$23,2,FALSE()),"KZT")</f>
        <v>KZT</v>
      </c>
      <c r="H76" s="5">
        <f>IFERROR(VLOOKUP($E76,KURALLAR!$A$12:$E$23,5,FALSE()),1)</f>
        <v>0.6</v>
      </c>
      <c r="I76" s="5">
        <f>IF($F76="","",$F76*$H76*IFERROR(VLOOKUP($G76,KURALLAR!$A$5:$B$8,2,FALSE()),1))</f>
        <v>8505</v>
      </c>
      <c r="J76" s="5" t="s">
        <v>170</v>
      </c>
      <c r="K76" s="5">
        <f>SUMIF(BOM!$D:$D,$B76,BOM!$I:$I)</f>
        <v>3</v>
      </c>
      <c r="L76" s="5">
        <f>SUMIF(BOM!$D:$D,$B76,BOM!$H:$H)</f>
        <v>25515</v>
      </c>
      <c r="M76" s="5" t="s">
        <v>184</v>
      </c>
      <c r="N76" s="5" t="str">
        <f t="shared" si="2"/>
        <v>MUADIL</v>
      </c>
      <c r="O76" s="5" t="s">
        <v>408</v>
      </c>
      <c r="P76" s="5" t="s">
        <v>173</v>
      </c>
    </row>
    <row r="77" spans="1:16" x14ac:dyDescent="0.25">
      <c r="A77" s="5">
        <v>76</v>
      </c>
      <c r="B77" s="5" t="s">
        <v>409</v>
      </c>
      <c r="C77" s="5" t="s">
        <v>410</v>
      </c>
      <c r="D77" s="5" t="s">
        <v>87</v>
      </c>
      <c r="E77" s="5" t="s">
        <v>22</v>
      </c>
      <c r="F77" s="6">
        <v>14399</v>
      </c>
      <c r="G77" s="5" t="str">
        <f>IFERROR(VLOOKUP($E77,KURALLAR!$A$12:$E$23,2,FALSE()),"KZT")</f>
        <v>KZT</v>
      </c>
      <c r="H77" s="5">
        <f>IFERROR(VLOOKUP($E77,KURALLAR!$A$12:$E$23,5,FALSE()),1)</f>
        <v>0.6</v>
      </c>
      <c r="I77" s="5">
        <f>IF($F77="","",$F77*$H77*IFERROR(VLOOKUP($G77,KURALLAR!$A$5:$B$8,2,FALSE()),1))</f>
        <v>8639.4</v>
      </c>
      <c r="J77" s="5" t="s">
        <v>170</v>
      </c>
      <c r="K77" s="5">
        <f>SUMIF(BOM!$D:$D,$B77,BOM!$I:$I)</f>
        <v>5</v>
      </c>
      <c r="L77" s="5">
        <f>SUMIF(BOM!$D:$D,$B77,BOM!$H:$H)</f>
        <v>43197</v>
      </c>
      <c r="M77" s="5" t="s">
        <v>184</v>
      </c>
      <c r="N77" s="5" t="str">
        <f t="shared" si="2"/>
        <v>MUADIL</v>
      </c>
      <c r="O77" s="5" t="s">
        <v>411</v>
      </c>
      <c r="P77" s="5" t="s">
        <v>173</v>
      </c>
    </row>
    <row r="78" spans="1:16" x14ac:dyDescent="0.25">
      <c r="A78" s="7">
        <v>77</v>
      </c>
      <c r="B78" s="7" t="s">
        <v>412</v>
      </c>
      <c r="C78" s="7" t="s">
        <v>413</v>
      </c>
      <c r="D78" s="7" t="s">
        <v>87</v>
      </c>
      <c r="E78" s="7" t="s">
        <v>20</v>
      </c>
      <c r="F78" s="6"/>
      <c r="G78" s="7" t="str">
        <f>IFERROR(VLOOKUP($E78,KURALLAR!$A$12:$E$23,2,FALSE()),"KZT")</f>
        <v>EUR</v>
      </c>
      <c r="H78" s="7">
        <f>IFERROR(VLOOKUP($E78,KURALLAR!$A$12:$E$23,5,FALSE()),1)</f>
        <v>0.6</v>
      </c>
      <c r="I78" s="7" t="str">
        <f>IF($F78="","",$F78*$H78*IFERROR(VLOOKUP($G78,KURALLAR!$A$5:$B$8,2,FALSE()),1))</f>
        <v/>
      </c>
      <c r="J78" s="7" t="s">
        <v>170</v>
      </c>
      <c r="K78" s="7">
        <f>SUMIF(BOM!$D:$D,$B78,BOM!$I:$I)</f>
        <v>50</v>
      </c>
      <c r="L78" s="7">
        <f>SUMIF(BOM!$D:$D,$B78,BOM!$H:$H)</f>
        <v>0</v>
      </c>
      <c r="M78" s="7"/>
      <c r="N78" s="7" t="str">
        <f t="shared" si="2"/>
        <v>FIYAT_YOK</v>
      </c>
      <c r="O78" s="7" t="s">
        <v>414</v>
      </c>
      <c r="P78" s="7" t="s">
        <v>250</v>
      </c>
    </row>
    <row r="79" spans="1:16" x14ac:dyDescent="0.25">
      <c r="A79" s="7">
        <v>78</v>
      </c>
      <c r="B79" s="7" t="s">
        <v>415</v>
      </c>
      <c r="C79" s="7" t="s">
        <v>416</v>
      </c>
      <c r="D79" s="7" t="s">
        <v>417</v>
      </c>
      <c r="E79" s="7" t="s">
        <v>20</v>
      </c>
      <c r="F79" s="6"/>
      <c r="G79" s="7" t="str">
        <f>IFERROR(VLOOKUP($E79,KURALLAR!$A$12:$E$23,2,FALSE()),"KZT")</f>
        <v>EUR</v>
      </c>
      <c r="H79" s="7">
        <f>IFERROR(VLOOKUP($E79,KURALLAR!$A$12:$E$23,5,FALSE()),1)</f>
        <v>0.6</v>
      </c>
      <c r="I79" s="7" t="str">
        <f>IF($F79="","",$F79*$H79*IFERROR(VLOOKUP($G79,KURALLAR!$A$5:$B$8,2,FALSE()),1))</f>
        <v/>
      </c>
      <c r="J79" s="7" t="s">
        <v>170</v>
      </c>
      <c r="K79" s="7">
        <f>SUMIF(BOM!$D:$D,$B79,BOM!$I:$I)</f>
        <v>50</v>
      </c>
      <c r="L79" s="7">
        <f>SUMIF(BOM!$D:$D,$B79,BOM!$H:$H)</f>
        <v>0</v>
      </c>
      <c r="M79" s="7"/>
      <c r="N79" s="7" t="str">
        <f t="shared" si="2"/>
        <v>FIYAT_YOK</v>
      </c>
      <c r="O79" s="7" t="s">
        <v>418</v>
      </c>
      <c r="P79" s="7" t="s">
        <v>250</v>
      </c>
    </row>
    <row r="80" spans="1:16" x14ac:dyDescent="0.25">
      <c r="A80" s="5">
        <v>79</v>
      </c>
      <c r="B80" s="5" t="s">
        <v>419</v>
      </c>
      <c r="C80" s="5" t="s">
        <v>420</v>
      </c>
      <c r="D80" s="5" t="s">
        <v>93</v>
      </c>
      <c r="E80" s="5" t="s">
        <v>22</v>
      </c>
      <c r="F80" s="6">
        <v>1836</v>
      </c>
      <c r="G80" s="5" t="str">
        <f>IFERROR(VLOOKUP($E80,KURALLAR!$A$12:$E$23,2,FALSE()),"KZT")</f>
        <v>KZT</v>
      </c>
      <c r="H80" s="5">
        <f>IFERROR(VLOOKUP($E80,KURALLAR!$A$12:$E$23,5,FALSE()),1)</f>
        <v>0.6</v>
      </c>
      <c r="I80" s="5">
        <f>IF($F80="","",$F80*$H80*IFERROR(VLOOKUP($G80,KURALLAR!$A$5:$B$8,2,FALSE()),1))</f>
        <v>1101.5999999999999</v>
      </c>
      <c r="J80" s="5" t="s">
        <v>170</v>
      </c>
      <c r="K80" s="5">
        <f>SUMIF(BOM!$D:$D,$B80,BOM!$I:$I)</f>
        <v>27</v>
      </c>
      <c r="L80" s="5">
        <f>SUMIF(BOM!$D:$D,$B80,BOM!$H:$H)</f>
        <v>29743.199999999997</v>
      </c>
      <c r="M80" s="5" t="s">
        <v>184</v>
      </c>
      <c r="N80" s="5" t="str">
        <f t="shared" si="2"/>
        <v>MUADIL</v>
      </c>
      <c r="O80" s="5" t="s">
        <v>421</v>
      </c>
      <c r="P80" s="5" t="s">
        <v>173</v>
      </c>
    </row>
    <row r="81" spans="1:16" x14ac:dyDescent="0.25">
      <c r="A81" s="5">
        <v>80</v>
      </c>
      <c r="B81" s="5" t="s">
        <v>422</v>
      </c>
      <c r="C81" s="5" t="s">
        <v>423</v>
      </c>
      <c r="D81" s="5" t="s">
        <v>93</v>
      </c>
      <c r="E81" s="5" t="s">
        <v>22</v>
      </c>
      <c r="F81" s="6">
        <v>1621</v>
      </c>
      <c r="G81" s="5" t="str">
        <f>IFERROR(VLOOKUP($E81,KURALLAR!$A$12:$E$23,2,FALSE()),"KZT")</f>
        <v>KZT</v>
      </c>
      <c r="H81" s="5">
        <f>IFERROR(VLOOKUP($E81,KURALLAR!$A$12:$E$23,5,FALSE()),1)</f>
        <v>0.6</v>
      </c>
      <c r="I81" s="5">
        <f>IF($F81="","",$F81*$H81*IFERROR(VLOOKUP($G81,KURALLAR!$A$5:$B$8,2,FALSE()),1))</f>
        <v>972.59999999999991</v>
      </c>
      <c r="J81" s="5" t="s">
        <v>170</v>
      </c>
      <c r="K81" s="5">
        <f>SUMIF(BOM!$D:$D,$B81,BOM!$I:$I)</f>
        <v>4</v>
      </c>
      <c r="L81" s="5">
        <f>SUMIF(BOM!$D:$D,$B81,BOM!$H:$H)</f>
        <v>3890.3999999999996</v>
      </c>
      <c r="M81" s="5" t="s">
        <v>184</v>
      </c>
      <c r="N81" s="5" t="str">
        <f t="shared" si="2"/>
        <v>OK</v>
      </c>
      <c r="O81" s="5" t="s">
        <v>424</v>
      </c>
      <c r="P81" s="5" t="s">
        <v>178</v>
      </c>
    </row>
    <row r="82" spans="1:16" x14ac:dyDescent="0.25">
      <c r="A82" s="5">
        <v>81</v>
      </c>
      <c r="B82" s="5" t="s">
        <v>425</v>
      </c>
      <c r="C82" s="5" t="s">
        <v>426</v>
      </c>
      <c r="D82" s="5" t="s">
        <v>93</v>
      </c>
      <c r="E82" s="5" t="s">
        <v>22</v>
      </c>
      <c r="F82" s="6">
        <v>1602</v>
      </c>
      <c r="G82" s="5" t="str">
        <f>IFERROR(VLOOKUP($E82,KURALLAR!$A$12:$E$23,2,FALSE()),"KZT")</f>
        <v>KZT</v>
      </c>
      <c r="H82" s="5">
        <f>IFERROR(VLOOKUP($E82,KURALLAR!$A$12:$E$23,5,FALSE()),1)</f>
        <v>0.6</v>
      </c>
      <c r="I82" s="5">
        <f>IF($F82="","",$F82*$H82*IFERROR(VLOOKUP($G82,KURALLAR!$A$5:$B$8,2,FALSE()),1))</f>
        <v>961.19999999999993</v>
      </c>
      <c r="J82" s="5" t="s">
        <v>170</v>
      </c>
      <c r="K82" s="5">
        <f>SUMIF(BOM!$D:$D,$B82,BOM!$I:$I)</f>
        <v>4</v>
      </c>
      <c r="L82" s="5">
        <f>SUMIF(BOM!$D:$D,$B82,BOM!$H:$H)</f>
        <v>3844.7999999999997</v>
      </c>
      <c r="M82" s="5" t="s">
        <v>184</v>
      </c>
      <c r="N82" s="5" t="str">
        <f t="shared" si="2"/>
        <v>OK</v>
      </c>
      <c r="O82" s="5" t="s">
        <v>427</v>
      </c>
      <c r="P82" s="5" t="s">
        <v>178</v>
      </c>
    </row>
    <row r="83" spans="1:16" x14ac:dyDescent="0.25">
      <c r="A83" s="5">
        <v>82</v>
      </c>
      <c r="B83" s="5" t="s">
        <v>428</v>
      </c>
      <c r="C83" s="5" t="s">
        <v>429</v>
      </c>
      <c r="D83" s="5" t="s">
        <v>89</v>
      </c>
      <c r="E83" s="5" t="s">
        <v>22</v>
      </c>
      <c r="F83" s="6">
        <v>836</v>
      </c>
      <c r="G83" s="5" t="str">
        <f>IFERROR(VLOOKUP($E83,KURALLAR!$A$12:$E$23,2,FALSE()),"KZT")</f>
        <v>KZT</v>
      </c>
      <c r="H83" s="5">
        <f>IFERROR(VLOOKUP($E83,KURALLAR!$A$12:$E$23,5,FALSE()),1)</f>
        <v>0.6</v>
      </c>
      <c r="I83" s="5">
        <f>IF($F83="","",$F83*$H83*IFERROR(VLOOKUP($G83,KURALLAR!$A$5:$B$8,2,FALSE()),1))</f>
        <v>501.59999999999997</v>
      </c>
      <c r="J83" s="5" t="s">
        <v>170</v>
      </c>
      <c r="K83" s="5">
        <f>SUMIF(BOM!$D:$D,$B83,BOM!$I:$I)</f>
        <v>4</v>
      </c>
      <c r="L83" s="5">
        <f>SUMIF(BOM!$D:$D,$B83,BOM!$H:$H)</f>
        <v>2006.3999999999999</v>
      </c>
      <c r="M83" s="5" t="s">
        <v>184</v>
      </c>
      <c r="N83" s="5" t="str">
        <f t="shared" si="2"/>
        <v>OK</v>
      </c>
      <c r="O83" s="5" t="s">
        <v>430</v>
      </c>
      <c r="P83" s="5" t="s">
        <v>178</v>
      </c>
    </row>
    <row r="84" spans="1:16" x14ac:dyDescent="0.25">
      <c r="A84" s="5">
        <v>83</v>
      </c>
      <c r="B84" s="5" t="s">
        <v>431</v>
      </c>
      <c r="C84" s="5" t="s">
        <v>432</v>
      </c>
      <c r="D84" s="5" t="s">
        <v>89</v>
      </c>
      <c r="E84" s="5" t="s">
        <v>22</v>
      </c>
      <c r="F84" s="6">
        <v>836</v>
      </c>
      <c r="G84" s="5" t="str">
        <f>IFERROR(VLOOKUP($E84,KURALLAR!$A$12:$E$23,2,FALSE()),"KZT")</f>
        <v>KZT</v>
      </c>
      <c r="H84" s="5">
        <f>IFERROR(VLOOKUP($E84,KURALLAR!$A$12:$E$23,5,FALSE()),1)</f>
        <v>0.6</v>
      </c>
      <c r="I84" s="5">
        <f>IF($F84="","",$F84*$H84*IFERROR(VLOOKUP($G84,KURALLAR!$A$5:$B$8,2,FALSE()),1))</f>
        <v>501.59999999999997</v>
      </c>
      <c r="J84" s="5" t="s">
        <v>170</v>
      </c>
      <c r="K84" s="5">
        <f>SUMIF(BOM!$D:$D,$B84,BOM!$I:$I)</f>
        <v>28</v>
      </c>
      <c r="L84" s="5">
        <f>SUMIF(BOM!$D:$D,$B84,BOM!$H:$H)</f>
        <v>14044.8</v>
      </c>
      <c r="M84" s="5" t="s">
        <v>184</v>
      </c>
      <c r="N84" s="5" t="str">
        <f t="shared" si="2"/>
        <v>OK</v>
      </c>
      <c r="O84" s="5" t="s">
        <v>433</v>
      </c>
      <c r="P84" s="5" t="s">
        <v>178</v>
      </c>
    </row>
    <row r="85" spans="1:16" x14ac:dyDescent="0.25">
      <c r="A85" s="5">
        <v>84</v>
      </c>
      <c r="B85" s="5" t="s">
        <v>434</v>
      </c>
      <c r="C85" s="5" t="s">
        <v>435</v>
      </c>
      <c r="D85" s="5" t="s">
        <v>192</v>
      </c>
      <c r="E85" s="5" t="s">
        <v>22</v>
      </c>
      <c r="F85" s="6">
        <v>3199</v>
      </c>
      <c r="G85" s="5" t="str">
        <f>IFERROR(VLOOKUP($E85,KURALLAR!$A$12:$E$23,2,FALSE()),"KZT")</f>
        <v>KZT</v>
      </c>
      <c r="H85" s="5">
        <f>IFERROR(VLOOKUP($E85,KURALLAR!$A$12:$E$23,5,FALSE()),1)</f>
        <v>0.6</v>
      </c>
      <c r="I85" s="5">
        <f>IF($F85="","",$F85*$H85*IFERROR(VLOOKUP($G85,KURALLAR!$A$5:$B$8,2,FALSE()),1))</f>
        <v>1919.3999999999999</v>
      </c>
      <c r="J85" s="5" t="s">
        <v>170</v>
      </c>
      <c r="K85" s="5">
        <f>SUMIF(BOM!$D:$D,$B85,BOM!$I:$I)</f>
        <v>4</v>
      </c>
      <c r="L85" s="5">
        <f>SUMIF(BOM!$D:$D,$B85,BOM!$H:$H)</f>
        <v>7677.5999999999995</v>
      </c>
      <c r="M85" s="5" t="s">
        <v>184</v>
      </c>
      <c r="N85" s="5" t="str">
        <f t="shared" si="2"/>
        <v>MUADIL</v>
      </c>
      <c r="O85" s="5" t="s">
        <v>436</v>
      </c>
      <c r="P85" s="5" t="s">
        <v>173</v>
      </c>
    </row>
    <row r="86" spans="1:16" x14ac:dyDescent="0.25">
      <c r="A86" s="5">
        <v>85</v>
      </c>
      <c r="B86" s="5" t="s">
        <v>437</v>
      </c>
      <c r="C86" s="5" t="s">
        <v>438</v>
      </c>
      <c r="D86" s="5" t="s">
        <v>85</v>
      </c>
      <c r="E86" s="5" t="s">
        <v>22</v>
      </c>
      <c r="F86" s="6">
        <v>4771</v>
      </c>
      <c r="G86" s="5" t="str">
        <f>IFERROR(VLOOKUP($E86,KURALLAR!$A$12:$E$23,2,FALSE()),"KZT")</f>
        <v>KZT</v>
      </c>
      <c r="H86" s="5">
        <f>IFERROR(VLOOKUP($E86,KURALLAR!$A$12:$E$23,5,FALSE()),1)</f>
        <v>0.6</v>
      </c>
      <c r="I86" s="5">
        <f>IF($F86="","",$F86*$H86*IFERROR(VLOOKUP($G86,KURALLAR!$A$5:$B$8,2,FALSE()),1))</f>
        <v>2862.6</v>
      </c>
      <c r="J86" s="5" t="s">
        <v>170</v>
      </c>
      <c r="K86" s="5">
        <f>SUMIF(BOM!$D:$D,$B86,BOM!$I:$I)</f>
        <v>4</v>
      </c>
      <c r="L86" s="5">
        <f>SUMIF(BOM!$D:$D,$B86,BOM!$H:$H)</f>
        <v>11450.4</v>
      </c>
      <c r="M86" s="5" t="s">
        <v>184</v>
      </c>
      <c r="N86" s="5" t="str">
        <f t="shared" si="2"/>
        <v>MUADIL</v>
      </c>
      <c r="O86" s="5" t="s">
        <v>439</v>
      </c>
      <c r="P86" s="5" t="s">
        <v>173</v>
      </c>
    </row>
    <row r="87" spans="1:16" x14ac:dyDescent="0.25">
      <c r="A87" s="7">
        <v>86</v>
      </c>
      <c r="B87" s="7" t="s">
        <v>440</v>
      </c>
      <c r="C87" s="7" t="s">
        <v>441</v>
      </c>
      <c r="D87" s="7" t="s">
        <v>93</v>
      </c>
      <c r="E87" s="7" t="s">
        <v>37</v>
      </c>
      <c r="F87" s="6"/>
      <c r="G87" s="7" t="str">
        <f>IFERROR(VLOOKUP($E87,KURALLAR!$A$12:$E$23,2,FALSE()),"KZT")</f>
        <v>KZT</v>
      </c>
      <c r="H87" s="7">
        <f>IFERROR(VLOOKUP($E87,KURALLAR!$A$12:$E$23,5,FALSE()),1)</f>
        <v>1</v>
      </c>
      <c r="I87" s="7" t="str">
        <f>IF($F87="","",$F87*$H87*IFERROR(VLOOKUP($G87,KURALLAR!$A$5:$B$8,2,FALSE()),1))</f>
        <v/>
      </c>
      <c r="J87" s="7" t="s">
        <v>170</v>
      </c>
      <c r="K87" s="7">
        <f>SUMIF(BOM!$D:$D,$B87,BOM!$I:$I)</f>
        <v>2</v>
      </c>
      <c r="L87" s="7">
        <f>SUMIF(BOM!$D:$D,$B87,BOM!$H:$H)</f>
        <v>0</v>
      </c>
      <c r="M87" s="7"/>
      <c r="N87" s="7" t="str">
        <f t="shared" si="2"/>
        <v>FIYAT_YOK</v>
      </c>
      <c r="O87" s="7" t="s">
        <v>442</v>
      </c>
      <c r="P87" s="7" t="s">
        <v>250</v>
      </c>
    </row>
    <row r="88" spans="1:16" x14ac:dyDescent="0.25">
      <c r="A88" s="7">
        <v>87</v>
      </c>
      <c r="B88" s="7" t="s">
        <v>443</v>
      </c>
      <c r="C88" s="7" t="s">
        <v>444</v>
      </c>
      <c r="D88" s="7" t="s">
        <v>215</v>
      </c>
      <c r="E88" s="7" t="s">
        <v>37</v>
      </c>
      <c r="F88" s="6"/>
      <c r="G88" s="7" t="str">
        <f>IFERROR(VLOOKUP($E88,KURALLAR!$A$12:$E$23,2,FALSE()),"KZT")</f>
        <v>KZT</v>
      </c>
      <c r="H88" s="7">
        <f>IFERROR(VLOOKUP($E88,KURALLAR!$A$12:$E$23,5,FALSE()),1)</f>
        <v>1</v>
      </c>
      <c r="I88" s="7" t="str">
        <f>IF($F88="","",$F88*$H88*IFERROR(VLOOKUP($G88,KURALLAR!$A$5:$B$8,2,FALSE()),1))</f>
        <v/>
      </c>
      <c r="J88" s="7" t="s">
        <v>170</v>
      </c>
      <c r="K88" s="7">
        <f>SUMIF(BOM!$D:$D,$B88,BOM!$I:$I)</f>
        <v>1</v>
      </c>
      <c r="L88" s="7">
        <f>SUMIF(BOM!$D:$D,$B88,BOM!$H:$H)</f>
        <v>0</v>
      </c>
      <c r="M88" s="7"/>
      <c r="N88" s="7" t="str">
        <f t="shared" si="2"/>
        <v>FIYAT_YOK</v>
      </c>
      <c r="O88" s="7" t="s">
        <v>445</v>
      </c>
      <c r="P88" s="7" t="s">
        <v>250</v>
      </c>
    </row>
    <row r="89" spans="1:16" x14ac:dyDescent="0.25">
      <c r="A89" s="5">
        <v>88</v>
      </c>
      <c r="B89" s="5" t="s">
        <v>446</v>
      </c>
      <c r="C89" s="5" t="s">
        <v>447</v>
      </c>
      <c r="D89" s="5" t="s">
        <v>73</v>
      </c>
      <c r="E89" s="5" t="s">
        <v>22</v>
      </c>
      <c r="F89" s="6">
        <v>1616150</v>
      </c>
      <c r="G89" s="5" t="str">
        <f>IFERROR(VLOOKUP($E89,KURALLAR!$A$12:$E$23,2,FALSE()),"KZT")</f>
        <v>KZT</v>
      </c>
      <c r="H89" s="5">
        <f>IFERROR(VLOOKUP($E89,KURALLAR!$A$12:$E$23,5,FALSE()),1)</f>
        <v>0.6</v>
      </c>
      <c r="I89" s="5">
        <f>IF($F89="","",$F89*$H89*IFERROR(VLOOKUP($G89,KURALLAR!$A$5:$B$8,2,FALSE()),1))</f>
        <v>969690</v>
      </c>
      <c r="J89" s="5" t="s">
        <v>170</v>
      </c>
      <c r="K89" s="5">
        <f>SUMIF(BOM!$D:$D,$B89,BOM!$I:$I)</f>
        <v>4</v>
      </c>
      <c r="L89" s="5">
        <f>SUMIF(BOM!$D:$D,$B89,BOM!$H:$H)</f>
        <v>3878760</v>
      </c>
      <c r="M89" s="5" t="s">
        <v>184</v>
      </c>
      <c r="N89" s="5" t="str">
        <f t="shared" si="2"/>
        <v>MUADIL_ONAY</v>
      </c>
      <c r="O89" s="5" t="s">
        <v>448</v>
      </c>
      <c r="P89" s="5" t="s">
        <v>189</v>
      </c>
    </row>
    <row r="90" spans="1:16" x14ac:dyDescent="0.25">
      <c r="A90" s="5">
        <v>89</v>
      </c>
      <c r="B90" s="5" t="s">
        <v>449</v>
      </c>
      <c r="C90" s="5" t="s">
        <v>450</v>
      </c>
      <c r="D90" s="5" t="s">
        <v>73</v>
      </c>
      <c r="E90" s="5" t="s">
        <v>22</v>
      </c>
      <c r="F90" s="6">
        <v>1178923</v>
      </c>
      <c r="G90" s="5" t="str">
        <f>IFERROR(VLOOKUP($E90,KURALLAR!$A$12:$E$23,2,FALSE()),"KZT")</f>
        <v>KZT</v>
      </c>
      <c r="H90" s="5">
        <f>IFERROR(VLOOKUP($E90,KURALLAR!$A$12:$E$23,5,FALSE()),1)</f>
        <v>0.6</v>
      </c>
      <c r="I90" s="5">
        <f>IF($F90="","",$F90*$H90*IFERROR(VLOOKUP($G90,KURALLAR!$A$5:$B$8,2,FALSE()),1))</f>
        <v>707353.79999999993</v>
      </c>
      <c r="J90" s="5" t="s">
        <v>170</v>
      </c>
      <c r="K90" s="5">
        <f>SUMIF(BOM!$D:$D,$B90,BOM!$I:$I)</f>
        <v>2</v>
      </c>
      <c r="L90" s="5">
        <f>SUMIF(BOM!$D:$D,$B90,BOM!$H:$H)</f>
        <v>1414707.5999999999</v>
      </c>
      <c r="M90" s="5" t="s">
        <v>184</v>
      </c>
      <c r="N90" s="5" t="str">
        <f t="shared" si="2"/>
        <v>MUADIL_ONAY</v>
      </c>
      <c r="O90" s="5" t="s">
        <v>451</v>
      </c>
      <c r="P90" s="5" t="s">
        <v>189</v>
      </c>
    </row>
    <row r="91" spans="1:16" x14ac:dyDescent="0.25">
      <c r="A91" s="5">
        <v>90</v>
      </c>
      <c r="B91" s="5" t="s">
        <v>452</v>
      </c>
      <c r="C91" s="5" t="s">
        <v>453</v>
      </c>
      <c r="D91" s="5" t="s">
        <v>169</v>
      </c>
      <c r="E91" s="5" t="s">
        <v>22</v>
      </c>
      <c r="F91" s="6">
        <v>299616</v>
      </c>
      <c r="G91" s="5" t="str">
        <f>IFERROR(VLOOKUP($E91,KURALLAR!$A$12:$E$23,2,FALSE()),"KZT")</f>
        <v>KZT</v>
      </c>
      <c r="H91" s="5">
        <f>IFERROR(VLOOKUP($E91,KURALLAR!$A$12:$E$23,5,FALSE()),1)</f>
        <v>0.6</v>
      </c>
      <c r="I91" s="5">
        <f>IF($F91="","",$F91*$H91*IFERROR(VLOOKUP($G91,KURALLAR!$A$5:$B$8,2,FALSE()),1))</f>
        <v>179769.60000000001</v>
      </c>
      <c r="J91" s="5" t="s">
        <v>170</v>
      </c>
      <c r="K91" s="5">
        <f>SUMIF(BOM!$D:$D,$B91,BOM!$I:$I)</f>
        <v>15</v>
      </c>
      <c r="L91" s="5">
        <f>SUMIF(BOM!$D:$D,$B91,BOM!$H:$H)</f>
        <v>2696544.0000000005</v>
      </c>
      <c r="M91" s="5" t="s">
        <v>171</v>
      </c>
      <c r="N91" s="5" t="str">
        <f t="shared" si="2"/>
        <v>MUADIL</v>
      </c>
      <c r="O91" s="5" t="s">
        <v>454</v>
      </c>
      <c r="P91" s="5" t="s">
        <v>173</v>
      </c>
    </row>
    <row r="92" spans="1:16" x14ac:dyDescent="0.25">
      <c r="A92" s="5">
        <v>91</v>
      </c>
      <c r="B92" s="5" t="s">
        <v>455</v>
      </c>
      <c r="C92" s="5" t="s">
        <v>456</v>
      </c>
      <c r="D92" s="5" t="s">
        <v>253</v>
      </c>
      <c r="E92" s="5" t="s">
        <v>33</v>
      </c>
      <c r="F92" s="6">
        <f>KURALLAR!$B$87</f>
        <v>7918.5999999999995</v>
      </c>
      <c r="G92" s="5" t="str">
        <f>IFERROR(VLOOKUP($E92,KURALLAR!$A$12:$E$23,2,FALSE()),"KZT")</f>
        <v>KZT</v>
      </c>
      <c r="H92" s="5">
        <f>IFERROR(VLOOKUP($E92,KURALLAR!$A$12:$E$23,5,FALSE()),1)</f>
        <v>1</v>
      </c>
      <c r="I92" s="5">
        <f>IF($F92="","",$F92*$H92*IFERROR(VLOOKUP($G92,KURALLAR!$A$5:$B$8,2,FALSE()),1))</f>
        <v>7918.5999999999995</v>
      </c>
      <c r="J92" s="5" t="s">
        <v>254</v>
      </c>
      <c r="K92" s="5">
        <f>SUMIF(BOM!$D:$D,$B92,BOM!$I:$I)</f>
        <v>2852</v>
      </c>
      <c r="L92" s="5">
        <f>SUMIF(BOM!$D:$D,$B92,BOM!$H:$H)</f>
        <v>22583847.199999999</v>
      </c>
      <c r="M92" s="5"/>
      <c r="N92" s="5" t="str">
        <f t="shared" si="2"/>
        <v>VARSAYIM</v>
      </c>
      <c r="O92" s="5" t="s">
        <v>457</v>
      </c>
      <c r="P92" s="5" t="s">
        <v>224</v>
      </c>
    </row>
    <row r="93" spans="1:16" x14ac:dyDescent="0.25">
      <c r="A93" s="5">
        <v>92</v>
      </c>
      <c r="B93" s="5" t="s">
        <v>458</v>
      </c>
      <c r="C93" s="5" t="s">
        <v>459</v>
      </c>
      <c r="D93" s="5" t="s">
        <v>222</v>
      </c>
      <c r="E93" s="5" t="s">
        <v>31</v>
      </c>
      <c r="F93" s="6">
        <v>376320</v>
      </c>
      <c r="G93" s="5" t="str">
        <f>IFERROR(VLOOKUP($E93,KURALLAR!$A$12:$E$23,2,FALSE()),"KZT")</f>
        <v>KZT</v>
      </c>
      <c r="H93" s="5">
        <f>IFERROR(VLOOKUP($E93,KURALLAR!$A$12:$E$23,5,FALSE()),1)</f>
        <v>0.6</v>
      </c>
      <c r="I93" s="5">
        <f>IF($F93="","",$F93*$H93*IFERROR(VLOOKUP($G93,KURALLAR!$A$5:$B$8,2,FALSE()),1))</f>
        <v>225792</v>
      </c>
      <c r="J93" s="5" t="s">
        <v>170</v>
      </c>
      <c r="K93" s="5">
        <f>SUMIF(BOM!$D:$D,$B93,BOM!$I:$I)</f>
        <v>3</v>
      </c>
      <c r="L93" s="5">
        <f>SUMIF(BOM!$D:$D,$B93,BOM!$H:$H)</f>
        <v>677376</v>
      </c>
      <c r="M93" s="5" t="s">
        <v>211</v>
      </c>
      <c r="N93" s="5" t="str">
        <f t="shared" si="2"/>
        <v>VARSAYIM</v>
      </c>
      <c r="O93" s="5" t="s">
        <v>460</v>
      </c>
      <c r="P93" s="5" t="s">
        <v>224</v>
      </c>
    </row>
    <row r="94" spans="1:16" x14ac:dyDescent="0.25">
      <c r="A94" s="5">
        <v>93</v>
      </c>
      <c r="B94" s="5" t="s">
        <v>461</v>
      </c>
      <c r="C94" s="5" t="s">
        <v>462</v>
      </c>
      <c r="D94" s="5" t="s">
        <v>169</v>
      </c>
      <c r="E94" s="5" t="s">
        <v>22</v>
      </c>
      <c r="F94" s="6">
        <v>693323</v>
      </c>
      <c r="G94" s="5" t="str">
        <f>IFERROR(VLOOKUP($E94,KURALLAR!$A$12:$E$23,2,FALSE()),"KZT")</f>
        <v>KZT</v>
      </c>
      <c r="H94" s="5">
        <f>IFERROR(VLOOKUP($E94,KURALLAR!$A$12:$E$23,5,FALSE()),1)</f>
        <v>0.6</v>
      </c>
      <c r="I94" s="5">
        <f>IF($F94="","",$F94*$H94*IFERROR(VLOOKUP($G94,KURALLAR!$A$5:$B$8,2,FALSE()),1))</f>
        <v>415993.8</v>
      </c>
      <c r="J94" s="5" t="s">
        <v>170</v>
      </c>
      <c r="K94" s="5">
        <f>SUMIF(BOM!$D:$D,$B94,BOM!$I:$I)</f>
        <v>2</v>
      </c>
      <c r="L94" s="5">
        <f>SUMIF(BOM!$D:$D,$B94,BOM!$H:$H)</f>
        <v>831987.6</v>
      </c>
      <c r="M94" s="5" t="s">
        <v>184</v>
      </c>
      <c r="N94" s="5" t="str">
        <f t="shared" si="2"/>
        <v>MUADIL</v>
      </c>
      <c r="O94" s="5" t="s">
        <v>463</v>
      </c>
      <c r="P94" s="5" t="s">
        <v>173</v>
      </c>
    </row>
    <row r="95" spans="1:16" x14ac:dyDescent="0.25">
      <c r="A95" s="5">
        <v>94</v>
      </c>
      <c r="B95" s="5" t="s">
        <v>464</v>
      </c>
      <c r="C95" s="5" t="s">
        <v>465</v>
      </c>
      <c r="D95" s="5" t="s">
        <v>87</v>
      </c>
      <c r="E95" s="5" t="s">
        <v>22</v>
      </c>
      <c r="F95" s="6">
        <v>154530</v>
      </c>
      <c r="G95" s="5" t="str">
        <f>IFERROR(VLOOKUP($E95,KURALLAR!$A$12:$E$23,2,FALSE()),"KZT")</f>
        <v>KZT</v>
      </c>
      <c r="H95" s="5">
        <f>IFERROR(VLOOKUP($E95,KURALLAR!$A$12:$E$23,5,FALSE()),1)</f>
        <v>0.6</v>
      </c>
      <c r="I95" s="5">
        <f>IF($F95="","",$F95*$H95*IFERROR(VLOOKUP($G95,KURALLAR!$A$5:$B$8,2,FALSE()),1))</f>
        <v>92718</v>
      </c>
      <c r="J95" s="5" t="s">
        <v>170</v>
      </c>
      <c r="K95" s="5">
        <f>SUMIF(BOM!$D:$D,$B95,BOM!$I:$I)</f>
        <v>2</v>
      </c>
      <c r="L95" s="5">
        <f>SUMIF(BOM!$D:$D,$B95,BOM!$H:$H)</f>
        <v>185436</v>
      </c>
      <c r="M95" s="5" t="s">
        <v>171</v>
      </c>
      <c r="N95" s="5" t="str">
        <f t="shared" si="2"/>
        <v>MUADIL</v>
      </c>
      <c r="O95" s="5" t="s">
        <v>466</v>
      </c>
      <c r="P95" s="5" t="s">
        <v>173</v>
      </c>
    </row>
    <row r="96" spans="1:16" x14ac:dyDescent="0.25">
      <c r="A96" s="7">
        <v>95</v>
      </c>
      <c r="B96" s="7" t="s">
        <v>467</v>
      </c>
      <c r="C96" s="7" t="s">
        <v>468</v>
      </c>
      <c r="D96" s="7" t="s">
        <v>99</v>
      </c>
      <c r="E96" s="7" t="s">
        <v>20</v>
      </c>
      <c r="F96" s="6"/>
      <c r="G96" s="7" t="str">
        <f>IFERROR(VLOOKUP($E96,KURALLAR!$A$12:$E$23,2,FALSE()),"KZT")</f>
        <v>EUR</v>
      </c>
      <c r="H96" s="7">
        <f>IFERROR(VLOOKUP($E96,KURALLAR!$A$12:$E$23,5,FALSE()),1)</f>
        <v>0.6</v>
      </c>
      <c r="I96" s="7" t="str">
        <f>IF($F96="","",$F96*$H96*IFERROR(VLOOKUP($G96,KURALLAR!$A$5:$B$8,2,FALSE()),1))</f>
        <v/>
      </c>
      <c r="J96" s="7" t="s">
        <v>170</v>
      </c>
      <c r="K96" s="7">
        <f>SUMIF(BOM!$D:$D,$B96,BOM!$I:$I)</f>
        <v>34</v>
      </c>
      <c r="L96" s="7">
        <f>SUMIF(BOM!$D:$D,$B96,BOM!$H:$H)</f>
        <v>0</v>
      </c>
      <c r="M96" s="7"/>
      <c r="N96" s="7" t="str">
        <f t="shared" si="2"/>
        <v>FIYAT_YOK</v>
      </c>
      <c r="O96" s="7" t="s">
        <v>469</v>
      </c>
      <c r="P96" s="7" t="s">
        <v>250</v>
      </c>
    </row>
    <row r="97" spans="1:16" x14ac:dyDescent="0.25">
      <c r="A97" s="5">
        <v>96</v>
      </c>
      <c r="B97" s="5" t="s">
        <v>470</v>
      </c>
      <c r="C97" s="5" t="s">
        <v>471</v>
      </c>
      <c r="D97" s="5" t="s">
        <v>79</v>
      </c>
      <c r="E97" s="5" t="s">
        <v>22</v>
      </c>
      <c r="F97" s="6">
        <v>1525</v>
      </c>
      <c r="G97" s="5" t="str">
        <f>IFERROR(VLOOKUP($E97,KURALLAR!$A$12:$E$23,2,FALSE()),"KZT")</f>
        <v>KZT</v>
      </c>
      <c r="H97" s="5">
        <f>IFERROR(VLOOKUP($E97,KURALLAR!$A$12:$E$23,5,FALSE()),1)</f>
        <v>0.6</v>
      </c>
      <c r="I97" s="5">
        <f>IF($F97="","",$F97*$H97*IFERROR(VLOOKUP($G97,KURALLAR!$A$5:$B$8,2,FALSE()),1))</f>
        <v>915</v>
      </c>
      <c r="J97" s="5" t="s">
        <v>170</v>
      </c>
      <c r="K97" s="5">
        <f>SUMIF(BOM!$D:$D,$B97,BOM!$I:$I)</f>
        <v>6</v>
      </c>
      <c r="L97" s="5">
        <f>SUMIF(BOM!$D:$D,$B97,BOM!$H:$H)</f>
        <v>5490</v>
      </c>
      <c r="M97" s="5" t="s">
        <v>184</v>
      </c>
      <c r="N97" s="5" t="str">
        <f t="shared" si="2"/>
        <v>OK</v>
      </c>
      <c r="O97" s="5" t="s">
        <v>472</v>
      </c>
      <c r="P97" s="5" t="s">
        <v>178</v>
      </c>
    </row>
    <row r="98" spans="1:16" x14ac:dyDescent="0.25">
      <c r="A98" s="5">
        <v>97</v>
      </c>
      <c r="B98" s="5" t="s">
        <v>473</v>
      </c>
      <c r="C98" s="5" t="s">
        <v>474</v>
      </c>
      <c r="D98" s="5" t="s">
        <v>79</v>
      </c>
      <c r="E98" s="5" t="s">
        <v>22</v>
      </c>
      <c r="F98" s="6">
        <v>1545</v>
      </c>
      <c r="G98" s="5" t="str">
        <f>IFERROR(VLOOKUP($E98,KURALLAR!$A$12:$E$23,2,FALSE()),"KZT")</f>
        <v>KZT</v>
      </c>
      <c r="H98" s="5">
        <f>IFERROR(VLOOKUP($E98,KURALLAR!$A$12:$E$23,5,FALSE()),1)</f>
        <v>0.6</v>
      </c>
      <c r="I98" s="5">
        <f>IF($F98="","",$F98*$H98*IFERROR(VLOOKUP($G98,KURALLAR!$A$5:$B$8,2,FALSE()),1))</f>
        <v>927</v>
      </c>
      <c r="J98" s="5" t="s">
        <v>170</v>
      </c>
      <c r="K98" s="5">
        <f>SUMIF(BOM!$D:$D,$B98,BOM!$I:$I)</f>
        <v>72</v>
      </c>
      <c r="L98" s="5">
        <f>SUMIF(BOM!$D:$D,$B98,BOM!$H:$H)</f>
        <v>66744</v>
      </c>
      <c r="M98" s="5" t="s">
        <v>171</v>
      </c>
      <c r="N98" s="5" t="str">
        <f t="shared" ref="N98:N115" si="3">IF($P98="ORAN","ORAN (KURALLAR)",IF($I98="","FIYAT_YOK",$P98))</f>
        <v>OK</v>
      </c>
      <c r="O98" s="5" t="s">
        <v>475</v>
      </c>
      <c r="P98" s="5" t="s">
        <v>178</v>
      </c>
    </row>
    <row r="99" spans="1:16" x14ac:dyDescent="0.25">
      <c r="A99" s="5">
        <v>98</v>
      </c>
      <c r="B99" s="5" t="s">
        <v>476</v>
      </c>
      <c r="C99" s="5" t="s">
        <v>477</v>
      </c>
      <c r="D99" s="5" t="s">
        <v>109</v>
      </c>
      <c r="E99" s="5" t="s">
        <v>22</v>
      </c>
      <c r="F99" s="6">
        <v>36423</v>
      </c>
      <c r="G99" s="5" t="str">
        <f>IFERROR(VLOOKUP($E99,KURALLAR!$A$12:$E$23,2,FALSE()),"KZT")</f>
        <v>KZT</v>
      </c>
      <c r="H99" s="5">
        <f>IFERROR(VLOOKUP($E99,KURALLAR!$A$12:$E$23,5,FALSE()),1)</f>
        <v>0.6</v>
      </c>
      <c r="I99" s="5">
        <f>IF($F99="","",$F99*$H99*IFERROR(VLOOKUP($G99,KURALLAR!$A$5:$B$8,2,FALSE()),1))</f>
        <v>21853.8</v>
      </c>
      <c r="J99" s="5" t="s">
        <v>170</v>
      </c>
      <c r="K99" s="5">
        <f>SUMIF(BOM!$D:$D,$B99,BOM!$I:$I)</f>
        <v>8</v>
      </c>
      <c r="L99" s="5">
        <f>SUMIF(BOM!$D:$D,$B99,BOM!$H:$H)</f>
        <v>174830.4</v>
      </c>
      <c r="M99" s="5" t="s">
        <v>171</v>
      </c>
      <c r="N99" s="5" t="str">
        <f t="shared" si="3"/>
        <v>OK</v>
      </c>
      <c r="O99" s="5" t="s">
        <v>478</v>
      </c>
      <c r="P99" s="5" t="s">
        <v>178</v>
      </c>
    </row>
    <row r="100" spans="1:16" x14ac:dyDescent="0.25">
      <c r="A100" s="5">
        <v>99</v>
      </c>
      <c r="B100" s="5" t="s">
        <v>479</v>
      </c>
      <c r="C100" s="5" t="s">
        <v>480</v>
      </c>
      <c r="D100" s="5" t="s">
        <v>109</v>
      </c>
      <c r="E100" s="5" t="s">
        <v>22</v>
      </c>
      <c r="F100" s="6">
        <v>41988</v>
      </c>
      <c r="G100" s="5" t="str">
        <f>IFERROR(VLOOKUP($E100,KURALLAR!$A$12:$E$23,2,FALSE()),"KZT")</f>
        <v>KZT</v>
      </c>
      <c r="H100" s="5">
        <f>IFERROR(VLOOKUP($E100,KURALLAR!$A$12:$E$23,5,FALSE()),1)</f>
        <v>0.6</v>
      </c>
      <c r="I100" s="5">
        <f>IF($F100="","",$F100*$H100*IFERROR(VLOOKUP($G100,KURALLAR!$A$5:$B$8,2,FALSE()),1))</f>
        <v>25192.799999999999</v>
      </c>
      <c r="J100" s="5" t="s">
        <v>170</v>
      </c>
      <c r="K100" s="5">
        <f>SUMIF(BOM!$D:$D,$B100,BOM!$I:$I)</f>
        <v>4</v>
      </c>
      <c r="L100" s="5">
        <f>SUMIF(BOM!$D:$D,$B100,BOM!$H:$H)</f>
        <v>100771.2</v>
      </c>
      <c r="M100" s="5" t="s">
        <v>184</v>
      </c>
      <c r="N100" s="5" t="str">
        <f t="shared" si="3"/>
        <v>OK</v>
      </c>
      <c r="O100" s="5" t="s">
        <v>481</v>
      </c>
      <c r="P100" s="5" t="s">
        <v>178</v>
      </c>
    </row>
    <row r="101" spans="1:16" x14ac:dyDescent="0.25">
      <c r="A101" s="5">
        <v>100</v>
      </c>
      <c r="B101" s="5" t="s">
        <v>482</v>
      </c>
      <c r="C101" s="5" t="s">
        <v>483</v>
      </c>
      <c r="D101" s="5" t="s">
        <v>109</v>
      </c>
      <c r="E101" s="5" t="s">
        <v>22</v>
      </c>
      <c r="F101" s="6">
        <v>97193</v>
      </c>
      <c r="G101" s="5" t="str">
        <f>IFERROR(VLOOKUP($E101,KURALLAR!$A$12:$E$23,2,FALSE()),"KZT")</f>
        <v>KZT</v>
      </c>
      <c r="H101" s="5">
        <f>IFERROR(VLOOKUP($E101,KURALLAR!$A$12:$E$23,5,FALSE()),1)</f>
        <v>0.6</v>
      </c>
      <c r="I101" s="5">
        <f>IF($F101="","",$F101*$H101*IFERROR(VLOOKUP($G101,KURALLAR!$A$5:$B$8,2,FALSE()),1))</f>
        <v>58315.799999999996</v>
      </c>
      <c r="J101" s="5" t="s">
        <v>170</v>
      </c>
      <c r="K101" s="5">
        <f>SUMIF(BOM!$D:$D,$B101,BOM!$I:$I)</f>
        <v>24</v>
      </c>
      <c r="L101" s="5">
        <f>SUMIF(BOM!$D:$D,$B101,BOM!$H:$H)</f>
        <v>1399579.2</v>
      </c>
      <c r="M101" s="5" t="s">
        <v>184</v>
      </c>
      <c r="N101" s="5" t="str">
        <f t="shared" si="3"/>
        <v>MUADIL_ONAY</v>
      </c>
      <c r="O101" s="5" t="s">
        <v>484</v>
      </c>
      <c r="P101" s="5" t="s">
        <v>189</v>
      </c>
    </row>
    <row r="102" spans="1:16" x14ac:dyDescent="0.25">
      <c r="A102" s="5">
        <v>101</v>
      </c>
      <c r="B102" s="5" t="s">
        <v>485</v>
      </c>
      <c r="C102" s="5" t="s">
        <v>486</v>
      </c>
      <c r="D102" s="5" t="s">
        <v>85</v>
      </c>
      <c r="E102" s="5" t="s">
        <v>22</v>
      </c>
      <c r="F102" s="6">
        <v>28104</v>
      </c>
      <c r="G102" s="5" t="str">
        <f>IFERROR(VLOOKUP($E102,KURALLAR!$A$12:$E$23,2,FALSE()),"KZT")</f>
        <v>KZT</v>
      </c>
      <c r="H102" s="5">
        <f>IFERROR(VLOOKUP($E102,KURALLAR!$A$12:$E$23,5,FALSE()),1)</f>
        <v>0.6</v>
      </c>
      <c r="I102" s="5">
        <f>IF($F102="","",$F102*$H102*IFERROR(VLOOKUP($G102,KURALLAR!$A$5:$B$8,2,FALSE()),1))</f>
        <v>16862.399999999998</v>
      </c>
      <c r="J102" s="5" t="s">
        <v>170</v>
      </c>
      <c r="K102" s="5">
        <f>SUMIF(BOM!$D:$D,$B102,BOM!$I:$I)</f>
        <v>8</v>
      </c>
      <c r="L102" s="5">
        <f>SUMIF(BOM!$D:$D,$B102,BOM!$H:$H)</f>
        <v>134899.19999999998</v>
      </c>
      <c r="M102" s="5" t="s">
        <v>184</v>
      </c>
      <c r="N102" s="5" t="str">
        <f t="shared" si="3"/>
        <v>MUADIL_ONAY</v>
      </c>
      <c r="O102" s="5" t="s">
        <v>487</v>
      </c>
      <c r="P102" s="5" t="s">
        <v>189</v>
      </c>
    </row>
    <row r="103" spans="1:16" x14ac:dyDescent="0.25">
      <c r="A103" s="5">
        <v>102</v>
      </c>
      <c r="B103" s="5" t="s">
        <v>488</v>
      </c>
      <c r="C103" s="5" t="s">
        <v>489</v>
      </c>
      <c r="D103" s="5" t="s">
        <v>85</v>
      </c>
      <c r="E103" s="5" t="s">
        <v>22</v>
      </c>
      <c r="F103" s="6">
        <v>52132</v>
      </c>
      <c r="G103" s="5" t="str">
        <f>IFERROR(VLOOKUP($E103,KURALLAR!$A$12:$E$23,2,FALSE()),"KZT")</f>
        <v>KZT</v>
      </c>
      <c r="H103" s="5">
        <f>IFERROR(VLOOKUP($E103,KURALLAR!$A$12:$E$23,5,FALSE()),1)</f>
        <v>0.6</v>
      </c>
      <c r="I103" s="5">
        <f>IF($F103="","",$F103*$H103*IFERROR(VLOOKUP($G103,KURALLAR!$A$5:$B$8,2,FALSE()),1))</f>
        <v>31279.199999999997</v>
      </c>
      <c r="J103" s="5" t="s">
        <v>170</v>
      </c>
      <c r="K103" s="5">
        <f>SUMIF(BOM!$D:$D,$B103,BOM!$I:$I)</f>
        <v>28</v>
      </c>
      <c r="L103" s="5">
        <f>SUMIF(BOM!$D:$D,$B103,BOM!$H:$H)</f>
        <v>875817.59999999986</v>
      </c>
      <c r="M103" s="5" t="s">
        <v>171</v>
      </c>
      <c r="N103" s="5" t="str">
        <f t="shared" si="3"/>
        <v>MUADIL_ONAY</v>
      </c>
      <c r="O103" s="5" t="s">
        <v>490</v>
      </c>
      <c r="P103" s="5" t="s">
        <v>189</v>
      </c>
    </row>
    <row r="104" spans="1:16" x14ac:dyDescent="0.25">
      <c r="A104" s="7">
        <v>103</v>
      </c>
      <c r="B104" s="7" t="s">
        <v>491</v>
      </c>
      <c r="C104" s="7" t="s">
        <v>492</v>
      </c>
      <c r="D104" s="7" t="s">
        <v>87</v>
      </c>
      <c r="E104" s="7" t="s">
        <v>20</v>
      </c>
      <c r="F104" s="6"/>
      <c r="G104" s="7" t="str">
        <f>IFERROR(VLOOKUP($E104,KURALLAR!$A$12:$E$23,2,FALSE()),"KZT")</f>
        <v>EUR</v>
      </c>
      <c r="H104" s="7">
        <f>IFERROR(VLOOKUP($E104,KURALLAR!$A$12:$E$23,5,FALSE()),1)</f>
        <v>0.6</v>
      </c>
      <c r="I104" s="7" t="str">
        <f>IF($F104="","",$F104*$H104*IFERROR(VLOOKUP($G104,KURALLAR!$A$5:$B$8,2,FALSE()),1))</f>
        <v/>
      </c>
      <c r="J104" s="7" t="s">
        <v>170</v>
      </c>
      <c r="K104" s="7">
        <f>SUMIF(BOM!$D:$D,$B104,BOM!$I:$I)</f>
        <v>8</v>
      </c>
      <c r="L104" s="7">
        <f>SUMIF(BOM!$D:$D,$B104,BOM!$H:$H)</f>
        <v>0</v>
      </c>
      <c r="M104" s="7"/>
      <c r="N104" s="7" t="str">
        <f t="shared" si="3"/>
        <v>FIYAT_YOK</v>
      </c>
      <c r="O104" s="7" t="s">
        <v>493</v>
      </c>
      <c r="P104" s="7" t="s">
        <v>250</v>
      </c>
    </row>
    <row r="105" spans="1:16" x14ac:dyDescent="0.25">
      <c r="A105" s="7">
        <v>104</v>
      </c>
      <c r="B105" s="7" t="s">
        <v>494</v>
      </c>
      <c r="C105" s="7" t="s">
        <v>495</v>
      </c>
      <c r="D105" s="7" t="s">
        <v>87</v>
      </c>
      <c r="E105" s="7" t="s">
        <v>20</v>
      </c>
      <c r="F105" s="6"/>
      <c r="G105" s="7" t="str">
        <f>IFERROR(VLOOKUP($E105,KURALLAR!$A$12:$E$23,2,FALSE()),"KZT")</f>
        <v>EUR</v>
      </c>
      <c r="H105" s="7">
        <f>IFERROR(VLOOKUP($E105,KURALLAR!$A$12:$E$23,5,FALSE()),1)</f>
        <v>0.6</v>
      </c>
      <c r="I105" s="7" t="str">
        <f>IF($F105="","",$F105*$H105*IFERROR(VLOOKUP($G105,KURALLAR!$A$5:$B$8,2,FALSE()),1))</f>
        <v/>
      </c>
      <c r="J105" s="7" t="s">
        <v>170</v>
      </c>
      <c r="K105" s="7">
        <f>SUMIF(BOM!$D:$D,$B105,BOM!$I:$I)</f>
        <v>26</v>
      </c>
      <c r="L105" s="7">
        <f>SUMIF(BOM!$D:$D,$B105,BOM!$H:$H)</f>
        <v>0</v>
      </c>
      <c r="M105" s="7"/>
      <c r="N105" s="7" t="str">
        <f t="shared" si="3"/>
        <v>FIYAT_YOK</v>
      </c>
      <c r="O105" s="7" t="s">
        <v>493</v>
      </c>
      <c r="P105" s="7" t="s">
        <v>250</v>
      </c>
    </row>
    <row r="106" spans="1:16" x14ac:dyDescent="0.25">
      <c r="A106" s="5">
        <v>105</v>
      </c>
      <c r="B106" s="5" t="s">
        <v>496</v>
      </c>
      <c r="C106" s="5" t="s">
        <v>497</v>
      </c>
      <c r="D106" s="5" t="s">
        <v>222</v>
      </c>
      <c r="E106" s="5" t="s">
        <v>29</v>
      </c>
      <c r="F106" s="6">
        <v>14524</v>
      </c>
      <c r="G106" s="5" t="str">
        <f>IFERROR(VLOOKUP($E106,KURALLAR!$A$12:$E$23,2,FALSE()),"KZT")</f>
        <v>KZT</v>
      </c>
      <c r="H106" s="5">
        <f>IFERROR(VLOOKUP($E106,KURALLAR!$A$12:$E$23,5,FALSE()),1)</f>
        <v>1</v>
      </c>
      <c r="I106" s="5">
        <f>IF($F106="","",$F106*$H106*IFERROR(VLOOKUP($G106,KURALLAR!$A$5:$B$8,2,FALSE()),1))</f>
        <v>14524</v>
      </c>
      <c r="J106" s="5" t="s">
        <v>170</v>
      </c>
      <c r="K106" s="5">
        <f>SUMIF(BOM!$D:$D,$B106,BOM!$I:$I)</f>
        <v>6</v>
      </c>
      <c r="L106" s="5">
        <f>SUMIF(BOM!$D:$D,$B106,BOM!$H:$H)</f>
        <v>87144</v>
      </c>
      <c r="M106" s="5" t="s">
        <v>498</v>
      </c>
      <c r="N106" s="5" t="str">
        <f t="shared" si="3"/>
        <v>FIYAT_ESKI</v>
      </c>
      <c r="O106" s="5" t="s">
        <v>499</v>
      </c>
      <c r="P106" s="5" t="s">
        <v>500</v>
      </c>
    </row>
    <row r="107" spans="1:16" x14ac:dyDescent="0.25">
      <c r="A107" s="7">
        <v>106</v>
      </c>
      <c r="B107" s="7" t="s">
        <v>501</v>
      </c>
      <c r="C107" s="7" t="s">
        <v>502</v>
      </c>
      <c r="D107" s="7" t="s">
        <v>83</v>
      </c>
      <c r="E107" s="7" t="s">
        <v>37</v>
      </c>
      <c r="F107" s="6"/>
      <c r="G107" s="7" t="str">
        <f>IFERROR(VLOOKUP($E107,KURALLAR!$A$12:$E$23,2,FALSE()),"KZT")</f>
        <v>KZT</v>
      </c>
      <c r="H107" s="7">
        <f>IFERROR(VLOOKUP($E107,KURALLAR!$A$12:$E$23,5,FALSE()),1)</f>
        <v>1</v>
      </c>
      <c r="I107" s="7" t="str">
        <f>IF($F107="","",$F107*$H107*IFERROR(VLOOKUP($G107,KURALLAR!$A$5:$B$8,2,FALSE()),1))</f>
        <v/>
      </c>
      <c r="J107" s="7" t="s">
        <v>170</v>
      </c>
      <c r="K107" s="7">
        <f>SUMIF(BOM!$D:$D,$B107,BOM!$I:$I)</f>
        <v>6</v>
      </c>
      <c r="L107" s="7">
        <f>SUMIF(BOM!$D:$D,$B107,BOM!$H:$H)</f>
        <v>0</v>
      </c>
      <c r="M107" s="7"/>
      <c r="N107" s="7" t="str">
        <f t="shared" si="3"/>
        <v>FIYAT_YOK</v>
      </c>
      <c r="O107" s="7" t="s">
        <v>503</v>
      </c>
      <c r="P107" s="7" t="s">
        <v>250</v>
      </c>
    </row>
    <row r="108" spans="1:16" x14ac:dyDescent="0.25">
      <c r="A108" s="7">
        <v>107</v>
      </c>
      <c r="B108" s="7" t="s">
        <v>504</v>
      </c>
      <c r="C108" s="7" t="s">
        <v>505</v>
      </c>
      <c r="D108" s="7" t="s">
        <v>83</v>
      </c>
      <c r="E108" s="7" t="s">
        <v>37</v>
      </c>
      <c r="F108" s="6"/>
      <c r="G108" s="7" t="str">
        <f>IFERROR(VLOOKUP($E108,KURALLAR!$A$12:$E$23,2,FALSE()),"KZT")</f>
        <v>KZT</v>
      </c>
      <c r="H108" s="7">
        <f>IFERROR(VLOOKUP($E108,KURALLAR!$A$12:$E$23,5,FALSE()),1)</f>
        <v>1</v>
      </c>
      <c r="I108" s="7" t="str">
        <f>IF($F108="","",$F108*$H108*IFERROR(VLOOKUP($G108,KURALLAR!$A$5:$B$8,2,FALSE()),1))</f>
        <v/>
      </c>
      <c r="J108" s="7" t="s">
        <v>170</v>
      </c>
      <c r="K108" s="7">
        <f>SUMIF(BOM!$D:$D,$B108,BOM!$I:$I)</f>
        <v>6</v>
      </c>
      <c r="L108" s="7">
        <f>SUMIF(BOM!$D:$D,$B108,BOM!$H:$H)</f>
        <v>0</v>
      </c>
      <c r="M108" s="7"/>
      <c r="N108" s="7" t="str">
        <f t="shared" si="3"/>
        <v>FIYAT_YOK</v>
      </c>
      <c r="O108" s="7" t="s">
        <v>506</v>
      </c>
      <c r="P108" s="7" t="s">
        <v>250</v>
      </c>
    </row>
    <row r="109" spans="1:16" x14ac:dyDescent="0.25">
      <c r="A109" s="7">
        <v>108</v>
      </c>
      <c r="B109" s="7" t="s">
        <v>507</v>
      </c>
      <c r="C109" s="7" t="s">
        <v>508</v>
      </c>
      <c r="D109" s="7" t="s">
        <v>83</v>
      </c>
      <c r="E109" s="7" t="s">
        <v>37</v>
      </c>
      <c r="F109" s="6"/>
      <c r="G109" s="7" t="str">
        <f>IFERROR(VLOOKUP($E109,KURALLAR!$A$12:$E$23,2,FALSE()),"KZT")</f>
        <v>KZT</v>
      </c>
      <c r="H109" s="7">
        <f>IFERROR(VLOOKUP($E109,KURALLAR!$A$12:$E$23,5,FALSE()),1)</f>
        <v>1</v>
      </c>
      <c r="I109" s="7" t="str">
        <f>IF($F109="","",$F109*$H109*IFERROR(VLOOKUP($G109,KURALLAR!$A$5:$B$8,2,FALSE()),1))</f>
        <v/>
      </c>
      <c r="J109" s="7" t="s">
        <v>170</v>
      </c>
      <c r="K109" s="7">
        <f>SUMIF(BOM!$D:$D,$B109,BOM!$I:$I)</f>
        <v>15</v>
      </c>
      <c r="L109" s="7">
        <f>SUMIF(BOM!$D:$D,$B109,BOM!$H:$H)</f>
        <v>0</v>
      </c>
      <c r="M109" s="7"/>
      <c r="N109" s="7" t="str">
        <f t="shared" si="3"/>
        <v>FIYAT_YOK</v>
      </c>
      <c r="O109" s="7" t="s">
        <v>509</v>
      </c>
      <c r="P109" s="7" t="s">
        <v>250</v>
      </c>
    </row>
    <row r="110" spans="1:16" x14ac:dyDescent="0.25">
      <c r="A110" s="7">
        <v>109</v>
      </c>
      <c r="B110" s="7" t="s">
        <v>510</v>
      </c>
      <c r="C110" s="7" t="s">
        <v>511</v>
      </c>
      <c r="D110" s="7" t="s">
        <v>83</v>
      </c>
      <c r="E110" s="7" t="s">
        <v>37</v>
      </c>
      <c r="F110" s="6"/>
      <c r="G110" s="7" t="str">
        <f>IFERROR(VLOOKUP($E110,KURALLAR!$A$12:$E$23,2,FALSE()),"KZT")</f>
        <v>KZT</v>
      </c>
      <c r="H110" s="7">
        <f>IFERROR(VLOOKUP($E110,KURALLAR!$A$12:$E$23,5,FALSE()),1)</f>
        <v>1</v>
      </c>
      <c r="I110" s="7" t="str">
        <f>IF($F110="","",$F110*$H110*IFERROR(VLOOKUP($G110,KURALLAR!$A$5:$B$8,2,FALSE()),1))</f>
        <v/>
      </c>
      <c r="J110" s="7" t="s">
        <v>170</v>
      </c>
      <c r="K110" s="7">
        <f>SUMIF(BOM!$D:$D,$B110,BOM!$I:$I)</f>
        <v>6</v>
      </c>
      <c r="L110" s="7">
        <f>SUMIF(BOM!$D:$D,$B110,BOM!$H:$H)</f>
        <v>0</v>
      </c>
      <c r="M110" s="7"/>
      <c r="N110" s="7" t="str">
        <f t="shared" si="3"/>
        <v>FIYAT_YOK</v>
      </c>
      <c r="O110" s="7" t="s">
        <v>512</v>
      </c>
      <c r="P110" s="7" t="s">
        <v>250</v>
      </c>
    </row>
    <row r="111" spans="1:16" x14ac:dyDescent="0.25">
      <c r="A111" s="7">
        <v>110</v>
      </c>
      <c r="B111" s="7" t="s">
        <v>513</v>
      </c>
      <c r="C111" s="7" t="s">
        <v>514</v>
      </c>
      <c r="D111" s="7" t="s">
        <v>81</v>
      </c>
      <c r="E111" s="7" t="s">
        <v>20</v>
      </c>
      <c r="F111" s="6"/>
      <c r="G111" s="7" t="str">
        <f>IFERROR(VLOOKUP($E111,KURALLAR!$A$12:$E$23,2,FALSE()),"KZT")</f>
        <v>EUR</v>
      </c>
      <c r="H111" s="7">
        <f>IFERROR(VLOOKUP($E111,KURALLAR!$A$12:$E$23,5,FALSE()),1)</f>
        <v>0.6</v>
      </c>
      <c r="I111" s="7" t="str">
        <f>IF($F111="","",$F111*$H111*IFERROR(VLOOKUP($G111,KURALLAR!$A$5:$B$8,2,FALSE()),1))</f>
        <v/>
      </c>
      <c r="J111" s="7" t="s">
        <v>170</v>
      </c>
      <c r="K111" s="7">
        <f>SUMIF(BOM!$D:$D,$B111,BOM!$I:$I)</f>
        <v>6</v>
      </c>
      <c r="L111" s="7">
        <f>SUMIF(BOM!$D:$D,$B111,BOM!$H:$H)</f>
        <v>0</v>
      </c>
      <c r="M111" s="7"/>
      <c r="N111" s="7" t="str">
        <f t="shared" si="3"/>
        <v>FIYAT_YOK</v>
      </c>
      <c r="O111" s="7" t="s">
        <v>515</v>
      </c>
      <c r="P111" s="7" t="s">
        <v>250</v>
      </c>
    </row>
    <row r="112" spans="1:16" x14ac:dyDescent="0.25">
      <c r="A112" s="7">
        <v>111</v>
      </c>
      <c r="B112" s="7" t="s">
        <v>516</v>
      </c>
      <c r="C112" s="7" t="s">
        <v>517</v>
      </c>
      <c r="D112" s="7" t="s">
        <v>83</v>
      </c>
      <c r="E112" s="7" t="s">
        <v>37</v>
      </c>
      <c r="F112" s="6"/>
      <c r="G112" s="7" t="str">
        <f>IFERROR(VLOOKUP($E112,KURALLAR!$A$12:$E$23,2,FALSE()),"KZT")</f>
        <v>KZT</v>
      </c>
      <c r="H112" s="7">
        <f>IFERROR(VLOOKUP($E112,KURALLAR!$A$12:$E$23,5,FALSE()),1)</f>
        <v>1</v>
      </c>
      <c r="I112" s="7" t="str">
        <f>IF($F112="","",$F112*$H112*IFERROR(VLOOKUP($G112,KURALLAR!$A$5:$B$8,2,FALSE()),1))</f>
        <v/>
      </c>
      <c r="J112" s="7" t="s">
        <v>170</v>
      </c>
      <c r="K112" s="7">
        <f>SUMIF(BOM!$D:$D,$B112,BOM!$I:$I)</f>
        <v>3</v>
      </c>
      <c r="L112" s="7">
        <f>SUMIF(BOM!$D:$D,$B112,BOM!$H:$H)</f>
        <v>0</v>
      </c>
      <c r="M112" s="7"/>
      <c r="N112" s="7" t="str">
        <f t="shared" si="3"/>
        <v>FIYAT_YOK</v>
      </c>
      <c r="O112" s="7" t="s">
        <v>518</v>
      </c>
      <c r="P112" s="7" t="s">
        <v>250</v>
      </c>
    </row>
    <row r="113" spans="1:16" x14ac:dyDescent="0.25">
      <c r="A113" s="5">
        <v>112</v>
      </c>
      <c r="B113" s="5" t="s">
        <v>519</v>
      </c>
      <c r="C113" s="5" t="s">
        <v>520</v>
      </c>
      <c r="D113" s="5" t="s">
        <v>83</v>
      </c>
      <c r="E113" s="5" t="s">
        <v>22</v>
      </c>
      <c r="F113" s="6">
        <v>6065</v>
      </c>
      <c r="G113" s="5" t="str">
        <f>IFERROR(VLOOKUP($E113,KURALLAR!$A$12:$E$23,2,FALSE()),"KZT")</f>
        <v>KZT</v>
      </c>
      <c r="H113" s="5">
        <f>IFERROR(VLOOKUP($E113,KURALLAR!$A$12:$E$23,5,FALSE()),1)</f>
        <v>0.6</v>
      </c>
      <c r="I113" s="5">
        <f>IF($F113="","",$F113*$H113*IFERROR(VLOOKUP($G113,KURALLAR!$A$5:$B$8,2,FALSE()),1))</f>
        <v>3639</v>
      </c>
      <c r="J113" s="5" t="s">
        <v>170</v>
      </c>
      <c r="K113" s="5">
        <f>SUMIF(BOM!$D:$D,$B113,BOM!$I:$I)</f>
        <v>3</v>
      </c>
      <c r="L113" s="5">
        <f>SUMIF(BOM!$D:$D,$B113,BOM!$H:$H)</f>
        <v>10917</v>
      </c>
      <c r="M113" s="5" t="s">
        <v>184</v>
      </c>
      <c r="N113" s="5" t="str">
        <f t="shared" si="3"/>
        <v>OK</v>
      </c>
      <c r="O113" s="5" t="s">
        <v>521</v>
      </c>
      <c r="P113" s="5" t="s">
        <v>178</v>
      </c>
    </row>
    <row r="114" spans="1:16" x14ac:dyDescent="0.25">
      <c r="A114" s="7">
        <v>113</v>
      </c>
      <c r="B114" s="7" t="s">
        <v>522</v>
      </c>
      <c r="C114" s="7" t="s">
        <v>523</v>
      </c>
      <c r="D114" s="7" t="s">
        <v>83</v>
      </c>
      <c r="E114" s="7" t="s">
        <v>37</v>
      </c>
      <c r="F114" s="6"/>
      <c r="G114" s="7" t="str">
        <f>IFERROR(VLOOKUP($E114,KURALLAR!$A$12:$E$23,2,FALSE()),"KZT")</f>
        <v>KZT</v>
      </c>
      <c r="H114" s="7">
        <f>IFERROR(VLOOKUP($E114,KURALLAR!$A$12:$E$23,5,FALSE()),1)</f>
        <v>1</v>
      </c>
      <c r="I114" s="7" t="str">
        <f>IF($F114="","",$F114*$H114*IFERROR(VLOOKUP($G114,KURALLAR!$A$5:$B$8,2,FALSE()),1))</f>
        <v/>
      </c>
      <c r="J114" s="7" t="s">
        <v>170</v>
      </c>
      <c r="K114" s="7">
        <f>SUMIF(BOM!$D:$D,$B114,BOM!$I:$I)</f>
        <v>3</v>
      </c>
      <c r="L114" s="7">
        <f>SUMIF(BOM!$D:$D,$B114,BOM!$H:$H)</f>
        <v>0</v>
      </c>
      <c r="M114" s="7"/>
      <c r="N114" s="7" t="str">
        <f t="shared" si="3"/>
        <v>FIYAT_YOK</v>
      </c>
      <c r="O114" s="7" t="s">
        <v>524</v>
      </c>
      <c r="P114" s="7" t="s">
        <v>250</v>
      </c>
    </row>
    <row r="115" spans="1:16" x14ac:dyDescent="0.25">
      <c r="A115" s="7">
        <v>114</v>
      </c>
      <c r="B115" s="7" t="s">
        <v>525</v>
      </c>
      <c r="C115" s="7" t="s">
        <v>526</v>
      </c>
      <c r="D115" s="7" t="s">
        <v>83</v>
      </c>
      <c r="E115" s="7" t="s">
        <v>37</v>
      </c>
      <c r="F115" s="6"/>
      <c r="G115" s="7" t="str">
        <f>IFERROR(VLOOKUP($E115,KURALLAR!$A$12:$E$23,2,FALSE()),"KZT")</f>
        <v>KZT</v>
      </c>
      <c r="H115" s="7">
        <f>IFERROR(VLOOKUP($E115,KURALLAR!$A$12:$E$23,5,FALSE()),1)</f>
        <v>1</v>
      </c>
      <c r="I115" s="7" t="str">
        <f>IF($F115="","",$F115*$H115*IFERROR(VLOOKUP($G115,KURALLAR!$A$5:$B$8,2,FALSE()),1))</f>
        <v/>
      </c>
      <c r="J115" s="7" t="s">
        <v>170</v>
      </c>
      <c r="K115" s="7">
        <f>SUMIF(BOM!$D:$D,$B115,BOM!$I:$I)</f>
        <v>3</v>
      </c>
      <c r="L115" s="7">
        <f>SUMIF(BOM!$D:$D,$B115,BOM!$H:$H)</f>
        <v>0</v>
      </c>
      <c r="M115" s="7"/>
      <c r="N115" s="7" t="str">
        <f t="shared" si="3"/>
        <v>FIYAT_YOK</v>
      </c>
      <c r="O115" s="7" t="s">
        <v>527</v>
      </c>
      <c r="P115" s="7" t="s">
        <v>250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63"/>
  <sheetViews>
    <sheetView tabSelected="1" zoomScaleNormal="100" workbookViewId="0">
      <pane ySplit="1" topLeftCell="A2" activePane="bottomLeft" state="frozen"/>
      <selection pane="bottomLeft" activeCell="H11" sqref="H11"/>
    </sheetView>
  </sheetViews>
  <sheetFormatPr defaultColWidth="8.7109375" defaultRowHeight="15" x14ac:dyDescent="0.25"/>
  <cols>
    <col min="1" max="1" width="6" customWidth="1"/>
    <col min="2" max="2" width="30" customWidth="1"/>
    <col min="3" max="3" width="20" customWidth="1"/>
    <col min="4" max="4" width="22" customWidth="1"/>
    <col min="5" max="5" width="58" customWidth="1"/>
    <col min="6" max="7" width="12" customWidth="1"/>
    <col min="8" max="8" width="14" customWidth="1"/>
    <col min="9" max="10" width="10" customWidth="1"/>
    <col min="11" max="12" width="14" customWidth="1"/>
    <col min="13" max="15" width="10" customWidth="1"/>
    <col min="16" max="16" width="16" customWidth="1"/>
    <col min="17" max="17" width="80" customWidth="1"/>
    <col min="18" max="18" width="20" customWidth="1"/>
    <col min="19" max="19" width="32" customWidth="1"/>
    <col min="20" max="20" width="16" customWidth="1"/>
    <col min="21" max="21" width="10" customWidth="1"/>
  </cols>
  <sheetData>
    <row r="1" spans="1:21" s="15" customFormat="1" ht="63" customHeight="1" x14ac:dyDescent="0.25">
      <c r="A1" s="14" t="s">
        <v>528</v>
      </c>
      <c r="B1" s="14" t="s">
        <v>529</v>
      </c>
      <c r="C1" s="14" t="s">
        <v>530</v>
      </c>
      <c r="D1" s="14" t="s">
        <v>531</v>
      </c>
      <c r="E1" s="14" t="s">
        <v>532</v>
      </c>
      <c r="F1" s="14" t="s">
        <v>533</v>
      </c>
      <c r="G1" s="14" t="s">
        <v>534</v>
      </c>
      <c r="H1" s="14" t="s">
        <v>535</v>
      </c>
      <c r="I1" s="14" t="s">
        <v>536</v>
      </c>
      <c r="J1" s="14" t="s">
        <v>537</v>
      </c>
      <c r="K1" s="14" t="s">
        <v>538</v>
      </c>
      <c r="L1" s="14" t="s">
        <v>539</v>
      </c>
      <c r="M1" s="14" t="s">
        <v>540</v>
      </c>
      <c r="N1" s="14" t="s">
        <v>541</v>
      </c>
      <c r="O1" s="14" t="s">
        <v>542</v>
      </c>
      <c r="P1" s="14" t="s">
        <v>165</v>
      </c>
      <c r="Q1" s="14" t="s">
        <v>16</v>
      </c>
      <c r="R1" s="14" t="s">
        <v>164</v>
      </c>
      <c r="S1" s="14" t="s">
        <v>543</v>
      </c>
      <c r="T1" s="14" t="s">
        <v>44</v>
      </c>
      <c r="U1" s="14" t="s">
        <v>544</v>
      </c>
    </row>
    <row r="2" spans="1:21" x14ac:dyDescent="0.25">
      <c r="A2" s="8">
        <v>1</v>
      </c>
      <c r="B2" s="8" t="str">
        <f>E2</f>
        <v>BLOK A / ЩК-стандарт — НКУ 380/220В 50Гц, FORM 2B, IP31/54</v>
      </c>
      <c r="C2" s="8" t="s">
        <v>545</v>
      </c>
      <c r="D2" s="8"/>
      <c r="E2" s="8" t="s">
        <v>546</v>
      </c>
      <c r="F2" s="8"/>
      <c r="G2" s="8"/>
      <c r="H2" s="8"/>
      <c r="I2" s="8">
        <v>1</v>
      </c>
      <c r="J2" s="8" t="s">
        <v>547</v>
      </c>
      <c r="K2" s="8"/>
      <c r="L2" s="8"/>
      <c r="M2" s="8"/>
      <c r="N2" s="8"/>
      <c r="O2" s="8"/>
      <c r="P2" s="8" t="s">
        <v>178</v>
      </c>
      <c r="Q2" s="8" t="s">
        <v>548</v>
      </c>
      <c r="R2" s="8" t="s">
        <v>549</v>
      </c>
      <c r="S2" s="8" t="s">
        <v>550</v>
      </c>
      <c r="T2" s="8"/>
      <c r="U2" s="8"/>
    </row>
    <row r="3" spans="1:21" x14ac:dyDescent="0.25">
      <c r="A3" s="9">
        <v>2</v>
      </c>
      <c r="B3" s="9"/>
      <c r="C3" s="9" t="s">
        <v>169</v>
      </c>
      <c r="D3" s="9" t="s">
        <v>167</v>
      </c>
      <c r="E3" s="9" t="str">
        <f>IFERROR(VLOOKUP($D3,FIYAT!$B:$O,2,FALSE()),"")</f>
        <v>Авт. выкл. NM8N-125C TM 3P 32А 36кА с рег. термомаг. расцепителем (R)</v>
      </c>
      <c r="F3" s="9">
        <f>IFERROR(VLOOKUP($D3,FIYAT!$B:$O,5,FALSE()),"")</f>
        <v>64667</v>
      </c>
      <c r="G3" s="9">
        <f>IFERROR(VLOOKUP($D3,FIYAT!$B:$O,8,FALSE()),"")</f>
        <v>38800.199999999997</v>
      </c>
      <c r="H3" s="9">
        <f t="shared" ref="H3:H15" si="0">IF(OR($G3="",$I3=""),"",$G3*$I3)</f>
        <v>38800.199999999997</v>
      </c>
      <c r="I3" s="6">
        <v>1</v>
      </c>
      <c r="J3" s="9" t="str">
        <f>IFERROR(VLOOKUP($D3,FIYAT!$B:$O,9,FALSE()),"")</f>
        <v>Шт.</v>
      </c>
      <c r="K3" s="9" t="str">
        <f>IFERROR(VLOOKUP($D3,FIYAT!$B:$O,4,FALSE()),"")</f>
        <v>CHINT</v>
      </c>
      <c r="L3" s="9">
        <f t="shared" ref="L3:L17" si="1">IF($H3="","",$H3)</f>
        <v>38800.199999999997</v>
      </c>
      <c r="M3" s="9"/>
      <c r="N3" s="9"/>
      <c r="O3" s="9"/>
      <c r="P3" s="9" t="str">
        <f>IF($H3="","FIYAT_YOK",IFERROR(VLOOKUP($D3,FIYAT!$B:$P,15,FALSE()),""))</f>
        <v>MUADIL</v>
      </c>
      <c r="Q3" s="9" t="s">
        <v>172</v>
      </c>
      <c r="R3" s="9" t="s">
        <v>171</v>
      </c>
      <c r="S3" s="9" t="s">
        <v>550</v>
      </c>
      <c r="T3" s="9" t="s">
        <v>61</v>
      </c>
      <c r="U3" s="9">
        <f>IFERROR(VLOOKUP($T3,KURALLAR!$A$32:$B$63,2,FALSE()),0)*IF(ISNUMBER($I3),$I3,0)</f>
        <v>15</v>
      </c>
    </row>
    <row r="4" spans="1:21" x14ac:dyDescent="0.25">
      <c r="A4" s="5">
        <v>3</v>
      </c>
      <c r="B4" s="5"/>
      <c r="C4" s="5" t="s">
        <v>176</v>
      </c>
      <c r="D4" s="5" t="s">
        <v>174</v>
      </c>
      <c r="E4" s="5" t="str">
        <f>IFERROR(VLOOKUP($D4,FIYAT!$B:$O,2,FALSE()),"")</f>
        <v>УЗО NL1-63 6kA 4P 63A 300mA тип AC (R)</v>
      </c>
      <c r="F4" s="5">
        <f>IFERROR(VLOOKUP($D4,FIYAT!$B:$O,5,FALSE()),"")</f>
        <v>18106</v>
      </c>
      <c r="G4" s="5">
        <f>IFERROR(VLOOKUP($D4,FIYAT!$B:$O,8,FALSE()),"")</f>
        <v>10863.6</v>
      </c>
      <c r="H4" s="5">
        <f t="shared" si="0"/>
        <v>10863.6</v>
      </c>
      <c r="I4" s="6">
        <v>1</v>
      </c>
      <c r="J4" s="5" t="str">
        <f>IFERROR(VLOOKUP($D4,FIYAT!$B:$O,9,FALSE()),"")</f>
        <v>Шт.</v>
      </c>
      <c r="K4" s="5" t="str">
        <f>IFERROR(VLOOKUP($D4,FIYAT!$B:$O,4,FALSE()),"")</f>
        <v>CHINT</v>
      </c>
      <c r="L4" s="5">
        <f t="shared" si="1"/>
        <v>10863.6</v>
      </c>
      <c r="M4" s="5"/>
      <c r="N4" s="5"/>
      <c r="O4" s="5"/>
      <c r="P4" s="5" t="str">
        <f>IF($H4="","FIYAT_YOK",IFERROR(VLOOKUP($D4,FIYAT!$B:$P,15,FALSE()),""))</f>
        <v>OK</v>
      </c>
      <c r="Q4" s="5" t="s">
        <v>177</v>
      </c>
      <c r="R4" s="5" t="s">
        <v>171</v>
      </c>
      <c r="S4" s="5" t="s">
        <v>550</v>
      </c>
      <c r="T4" s="5" t="s">
        <v>57</v>
      </c>
      <c r="U4" s="5">
        <f>IFERROR(VLOOKUP($T4,KURALLAR!$A$32:$B$63,2,FALSE()),0)*IF(ISNUMBER($I4),$I4,0)</f>
        <v>10</v>
      </c>
    </row>
    <row r="5" spans="1:21" x14ac:dyDescent="0.25">
      <c r="A5" s="9">
        <v>4</v>
      </c>
      <c r="B5" s="9"/>
      <c r="C5" s="9" t="s">
        <v>79</v>
      </c>
      <c r="D5" s="9" t="s">
        <v>179</v>
      </c>
      <c r="E5" s="9" t="str">
        <f>IFERROR(VLOOKUP($D5,FIYAT!$B:$O,2,FALSE()),"")</f>
        <v>Держатель плавкой вставки RT36-00-160, габарит 00, 160А</v>
      </c>
      <c r="F5" s="9">
        <f>IFERROR(VLOOKUP($D5,FIYAT!$B:$O,5,FALSE()),"")</f>
        <v>2038</v>
      </c>
      <c r="G5" s="9">
        <f>IFERROR(VLOOKUP($D5,FIYAT!$B:$O,8,FALSE()),"")</f>
        <v>1222.8</v>
      </c>
      <c r="H5" s="9">
        <f t="shared" si="0"/>
        <v>4891.2</v>
      </c>
      <c r="I5" s="6">
        <v>4</v>
      </c>
      <c r="J5" s="9" t="str">
        <f>IFERROR(VLOOKUP($D5,FIYAT!$B:$O,9,FALSE()),"")</f>
        <v>Шт.</v>
      </c>
      <c r="K5" s="9" t="str">
        <f>IFERROR(VLOOKUP($D5,FIYAT!$B:$O,4,FALSE()),"")</f>
        <v>CHINT</v>
      </c>
      <c r="L5" s="9">
        <f t="shared" si="1"/>
        <v>4891.2</v>
      </c>
      <c r="M5" s="9"/>
      <c r="N5" s="9"/>
      <c r="O5" s="9"/>
      <c r="P5" s="9" t="str">
        <f>IF($H5="","FIYAT_YOK",IFERROR(VLOOKUP($D5,FIYAT!$B:$P,15,FALSE()),""))</f>
        <v>MUADIL</v>
      </c>
      <c r="Q5" s="9" t="s">
        <v>181</v>
      </c>
      <c r="R5" s="9" t="s">
        <v>171</v>
      </c>
      <c r="S5" s="9" t="s">
        <v>550</v>
      </c>
      <c r="T5" s="9" t="s">
        <v>77</v>
      </c>
      <c r="U5" s="9">
        <f>IFERROR(VLOOKUP($T5,KURALLAR!$A$32:$B$63,2,FALSE()),0)*IF(ISNUMBER($I5),$I5,0)</f>
        <v>20</v>
      </c>
    </row>
    <row r="6" spans="1:21" x14ac:dyDescent="0.25">
      <c r="A6" s="5">
        <v>5</v>
      </c>
      <c r="B6" s="5"/>
      <c r="C6" s="5" t="s">
        <v>79</v>
      </c>
      <c r="D6" s="5" t="s">
        <v>182</v>
      </c>
      <c r="E6" s="5" t="str">
        <f>IFERROR(VLOOKUP($D6,FIYAT!$B:$O,2,FALSE()),"")</f>
        <v>Плавкая вставка предохранителя RT36-00-160, габарит 00, 63А</v>
      </c>
      <c r="F6" s="5">
        <f>IFERROR(VLOOKUP($D6,FIYAT!$B:$O,5,FALSE()),"")</f>
        <v>1525</v>
      </c>
      <c r="G6" s="5">
        <f>IFERROR(VLOOKUP($D6,FIYAT!$B:$O,8,FALSE()),"")</f>
        <v>915</v>
      </c>
      <c r="H6" s="5">
        <f t="shared" si="0"/>
        <v>3660</v>
      </c>
      <c r="I6" s="6">
        <v>4</v>
      </c>
      <c r="J6" s="5" t="str">
        <f>IFERROR(VLOOKUP($D6,FIYAT!$B:$O,9,FALSE()),"")</f>
        <v>Шт.</v>
      </c>
      <c r="K6" s="5" t="str">
        <f>IFERROR(VLOOKUP($D6,FIYAT!$B:$O,4,FALSE()),"")</f>
        <v>CHINT</v>
      </c>
      <c r="L6" s="5">
        <f t="shared" si="1"/>
        <v>3660</v>
      </c>
      <c r="M6" s="5"/>
      <c r="N6" s="5"/>
      <c r="O6" s="5"/>
      <c r="P6" s="5" t="str">
        <f>IF($H6="","FIYAT_YOK",IFERROR(VLOOKUP($D6,FIYAT!$B:$P,15,FALSE()),""))</f>
        <v>MUADIL</v>
      </c>
      <c r="Q6" s="5" t="s">
        <v>185</v>
      </c>
      <c r="R6" s="5" t="s">
        <v>184</v>
      </c>
      <c r="S6" s="5" t="s">
        <v>550</v>
      </c>
      <c r="T6" s="5" t="s">
        <v>79</v>
      </c>
      <c r="U6" s="5">
        <f>IFERROR(VLOOKUP($T6,KURALLAR!$A$32:$B$63,2,FALSE()),0)*IF(ISNUMBER($I6),$I6,0)</f>
        <v>12</v>
      </c>
    </row>
    <row r="7" spans="1:21" x14ac:dyDescent="0.25">
      <c r="A7" s="9">
        <v>6</v>
      </c>
      <c r="B7" s="9"/>
      <c r="C7" s="9" t="s">
        <v>75</v>
      </c>
      <c r="D7" s="9" t="s">
        <v>186</v>
      </c>
      <c r="E7" s="9" t="str">
        <f>IFERROR(VLOOKUP($D7,FIYAT!$B:$O,2,FALSE()),"")</f>
        <v>Ограничитель имп. перенапр. NU6-IIG 4Р In=25kA Uc=440B Im=65kA (R)</v>
      </c>
      <c r="F7" s="9">
        <f>IFERROR(VLOOKUP($D7,FIYAT!$B:$O,5,FALSE()),"")</f>
        <v>33208</v>
      </c>
      <c r="G7" s="9">
        <f>IFERROR(VLOOKUP($D7,FIYAT!$B:$O,8,FALSE()),"")</f>
        <v>19924.8</v>
      </c>
      <c r="H7" s="9">
        <f t="shared" si="0"/>
        <v>19924.8</v>
      </c>
      <c r="I7" s="6">
        <v>1</v>
      </c>
      <c r="J7" s="9" t="str">
        <f>IFERROR(VLOOKUP($D7,FIYAT!$B:$O,9,FALSE()),"")</f>
        <v>Шт.</v>
      </c>
      <c r="K7" s="9" t="str">
        <f>IFERROR(VLOOKUP($D7,FIYAT!$B:$O,4,FALSE()),"")</f>
        <v>CHINT</v>
      </c>
      <c r="L7" s="9">
        <f t="shared" si="1"/>
        <v>19924.8</v>
      </c>
      <c r="M7" s="9"/>
      <c r="N7" s="9"/>
      <c r="O7" s="9"/>
      <c r="P7" s="9" t="str">
        <f>IF($H7="","FIYAT_YOK",IFERROR(VLOOKUP($D7,FIYAT!$B:$P,15,FALSE()),""))</f>
        <v>MUADIL_ONAY</v>
      </c>
      <c r="Q7" s="9" t="s">
        <v>188</v>
      </c>
      <c r="R7" s="9" t="s">
        <v>184</v>
      </c>
      <c r="S7" s="9" t="s">
        <v>550</v>
      </c>
      <c r="T7" s="9" t="s">
        <v>75</v>
      </c>
      <c r="U7" s="9">
        <f>IFERROR(VLOOKUP($T7,KURALLAR!$A$32:$B$63,2,FALSE()),0)*IF(ISNUMBER($I7),$I7,0)</f>
        <v>10</v>
      </c>
    </row>
    <row r="8" spans="1:21" x14ac:dyDescent="0.25">
      <c r="A8" s="5">
        <v>7</v>
      </c>
      <c r="B8" s="5"/>
      <c r="C8" s="5" t="s">
        <v>192</v>
      </c>
      <c r="D8" s="5" t="s">
        <v>190</v>
      </c>
      <c r="E8" s="5" t="str">
        <f>IFERROR(VLOOKUP($D8,FIYAT!$B:$O,2,FALSE()),"")</f>
        <v>Авт. выкл. NXB-63 3P 25A 6кА х-ка C (R)</v>
      </c>
      <c r="F8" s="5">
        <f>IFERROR(VLOOKUP($D8,FIYAT!$B:$O,5,FALSE()),"")</f>
        <v>5334</v>
      </c>
      <c r="G8" s="5">
        <f>IFERROR(VLOOKUP($D8,FIYAT!$B:$O,8,FALSE()),"")</f>
        <v>3200.4</v>
      </c>
      <c r="H8" s="5">
        <f t="shared" si="0"/>
        <v>3200.4</v>
      </c>
      <c r="I8" s="6">
        <v>1</v>
      </c>
      <c r="J8" s="5" t="str">
        <f>IFERROR(VLOOKUP($D8,FIYAT!$B:$O,9,FALSE()),"")</f>
        <v>Шт.</v>
      </c>
      <c r="K8" s="5" t="str">
        <f>IFERROR(VLOOKUP($D8,FIYAT!$B:$O,4,FALSE()),"")</f>
        <v>CHINT</v>
      </c>
      <c r="L8" s="5">
        <f t="shared" si="1"/>
        <v>3200.4</v>
      </c>
      <c r="M8" s="5"/>
      <c r="N8" s="5"/>
      <c r="O8" s="5"/>
      <c r="P8" s="5" t="str">
        <f>IF($H8="","FIYAT_YOK",IFERROR(VLOOKUP($D8,FIYAT!$B:$P,15,FALSE()),""))</f>
        <v>OK</v>
      </c>
      <c r="Q8" s="5" t="s">
        <v>193</v>
      </c>
      <c r="R8" s="5" t="s">
        <v>171</v>
      </c>
      <c r="S8" s="5" t="s">
        <v>550</v>
      </c>
      <c r="T8" s="5" t="s">
        <v>51</v>
      </c>
      <c r="U8" s="5">
        <f>IFERROR(VLOOKUP($T8,KURALLAR!$A$32:$B$63,2,FALSE()),0)*IF(ISNUMBER($I8),$I8,0)</f>
        <v>8</v>
      </c>
    </row>
    <row r="9" spans="1:21" x14ac:dyDescent="0.25">
      <c r="A9" s="9">
        <v>8</v>
      </c>
      <c r="B9" s="9"/>
      <c r="C9" s="9" t="s">
        <v>192</v>
      </c>
      <c r="D9" s="9" t="s">
        <v>194</v>
      </c>
      <c r="E9" s="9" t="str">
        <f>IFERROR(VLOOKUP($D9,FIYAT!$B:$O,2,FALSE()),"")</f>
        <v>Авт. выкл. NXB-63 1P 16A 6кА х-ка C (R)</v>
      </c>
      <c r="F9" s="9">
        <f>IFERROR(VLOOKUP($D9,FIYAT!$B:$O,5,FALSE()),"")</f>
        <v>1389</v>
      </c>
      <c r="G9" s="9">
        <f>IFERROR(VLOOKUP($D9,FIYAT!$B:$O,8,FALSE()),"")</f>
        <v>833.4</v>
      </c>
      <c r="H9" s="9">
        <f t="shared" si="0"/>
        <v>14167.8</v>
      </c>
      <c r="I9" s="6">
        <v>17</v>
      </c>
      <c r="J9" s="9" t="str">
        <f>IFERROR(VLOOKUP($D9,FIYAT!$B:$O,9,FALSE()),"")</f>
        <v>Шт.</v>
      </c>
      <c r="K9" s="9" t="str">
        <f>IFERROR(VLOOKUP($D9,FIYAT!$B:$O,4,FALSE()),"")</f>
        <v>CHINT</v>
      </c>
      <c r="L9" s="9">
        <f t="shared" si="1"/>
        <v>14167.8</v>
      </c>
      <c r="M9" s="9"/>
      <c r="N9" s="9"/>
      <c r="O9" s="9"/>
      <c r="P9" s="9" t="str">
        <f>IF($H9="","FIYAT_YOK",IFERROR(VLOOKUP($D9,FIYAT!$B:$P,15,FALSE()),""))</f>
        <v>OK</v>
      </c>
      <c r="Q9" s="9" t="s">
        <v>196</v>
      </c>
      <c r="R9" s="9" t="s">
        <v>171</v>
      </c>
      <c r="S9" s="9" t="s">
        <v>550</v>
      </c>
      <c r="T9" s="9" t="s">
        <v>47</v>
      </c>
      <c r="U9" s="9">
        <f>IFERROR(VLOOKUP($T9,KURALLAR!$A$32:$B$63,2,FALSE()),0)*IF(ISNUMBER($I9),$I9,0)</f>
        <v>51</v>
      </c>
    </row>
    <row r="10" spans="1:21" x14ac:dyDescent="0.25">
      <c r="A10" s="5">
        <v>9</v>
      </c>
      <c r="B10" s="5"/>
      <c r="C10" s="5" t="s">
        <v>176</v>
      </c>
      <c r="D10" s="5" t="s">
        <v>197</v>
      </c>
      <c r="E10" s="5" t="str">
        <f>IFERROR(VLOOKUP($D10,FIYAT!$B:$O,2,FALSE()),"")</f>
        <v>УЗО NL1-63 6kA 4P 25A 30mA тип AC (R)</v>
      </c>
      <c r="F10" s="5">
        <f>IFERROR(VLOOKUP($D10,FIYAT!$B:$O,5,FALSE()),"")</f>
        <v>18338</v>
      </c>
      <c r="G10" s="5">
        <f>IFERROR(VLOOKUP($D10,FIYAT!$B:$O,8,FALSE()),"")</f>
        <v>11002.8</v>
      </c>
      <c r="H10" s="5">
        <f t="shared" si="0"/>
        <v>11002.8</v>
      </c>
      <c r="I10" s="6">
        <v>1</v>
      </c>
      <c r="J10" s="5" t="str">
        <f>IFERROR(VLOOKUP($D10,FIYAT!$B:$O,9,FALSE()),"")</f>
        <v>Шт.</v>
      </c>
      <c r="K10" s="5" t="str">
        <f>IFERROR(VLOOKUP($D10,FIYAT!$B:$O,4,FALSE()),"")</f>
        <v>CHINT</v>
      </c>
      <c r="L10" s="5">
        <f t="shared" si="1"/>
        <v>11002.8</v>
      </c>
      <c r="M10" s="5"/>
      <c r="N10" s="5"/>
      <c r="O10" s="5"/>
      <c r="P10" s="5" t="str">
        <f>IF($H10="","FIYAT_YOK",IFERROR(VLOOKUP($D10,FIYAT!$B:$P,15,FALSE()),""))</f>
        <v>OK</v>
      </c>
      <c r="Q10" s="5" t="s">
        <v>199</v>
      </c>
      <c r="R10" s="5" t="s">
        <v>171</v>
      </c>
      <c r="S10" s="5" t="s">
        <v>550</v>
      </c>
      <c r="T10" s="5" t="s">
        <v>57</v>
      </c>
      <c r="U10" s="5">
        <f>IFERROR(VLOOKUP($T10,KURALLAR!$A$32:$B$63,2,FALSE()),0)*IF(ISNUMBER($I10),$I10,0)</f>
        <v>10</v>
      </c>
    </row>
    <row r="11" spans="1:21" x14ac:dyDescent="0.25">
      <c r="A11" s="9">
        <v>10</v>
      </c>
      <c r="B11" s="9"/>
      <c r="C11" s="9" t="s">
        <v>176</v>
      </c>
      <c r="D11" s="9" t="s">
        <v>200</v>
      </c>
      <c r="E11" s="9" t="str">
        <f>IFERROR(VLOOKUP($D11,FIYAT!$B:$O,2,FALSE()),"")</f>
        <v>УЗО NL1-63 6kA 2P 16A 30mA тип AC (R)</v>
      </c>
      <c r="F11" s="9">
        <f>IFERROR(VLOOKUP($D11,FIYAT!$B:$O,5,FALSE()),"")</f>
        <v>10809</v>
      </c>
      <c r="G11" s="9">
        <f>IFERROR(VLOOKUP($D11,FIYAT!$B:$O,8,FALSE()),"")</f>
        <v>6485.4</v>
      </c>
      <c r="H11" s="9">
        <f t="shared" si="0"/>
        <v>6485.4</v>
      </c>
      <c r="I11" s="6">
        <v>1</v>
      </c>
      <c r="J11" s="9" t="str">
        <f>IFERROR(VLOOKUP($D11,FIYAT!$B:$O,9,FALSE()),"")</f>
        <v>Шт.</v>
      </c>
      <c r="K11" s="9" t="str">
        <f>IFERROR(VLOOKUP($D11,FIYAT!$B:$O,4,FALSE()),"")</f>
        <v>CHINT</v>
      </c>
      <c r="L11" s="9">
        <f t="shared" si="1"/>
        <v>6485.4</v>
      </c>
      <c r="M11" s="9"/>
      <c r="N11" s="9"/>
      <c r="O11" s="9"/>
      <c r="P11" s="9" t="str">
        <f>IF($H11="","FIYAT_YOK",IFERROR(VLOOKUP($D11,FIYAT!$B:$P,15,FALSE()),""))</f>
        <v>OK</v>
      </c>
      <c r="Q11" s="9" t="s">
        <v>202</v>
      </c>
      <c r="R11" s="9" t="s">
        <v>171</v>
      </c>
      <c r="S11" s="9" t="s">
        <v>550</v>
      </c>
      <c r="T11" s="9" t="s">
        <v>55</v>
      </c>
      <c r="U11" s="9">
        <f>IFERROR(VLOOKUP($T11,KURALLAR!$A$32:$B$63,2,FALSE()),0)*IF(ISNUMBER($I11),$I11,0)</f>
        <v>6</v>
      </c>
    </row>
    <row r="12" spans="1:21" x14ac:dyDescent="0.25">
      <c r="A12" s="5">
        <v>11</v>
      </c>
      <c r="B12" s="5"/>
      <c r="C12" s="5" t="s">
        <v>192</v>
      </c>
      <c r="D12" s="5" t="s">
        <v>203</v>
      </c>
      <c r="E12" s="5" t="str">
        <f>IFERROR(VLOOKUP($D12,FIYAT!$B:$O,2,FALSE()),"")</f>
        <v>Авт. выкл. NXB-63 1P 20A 6кА х-ка C (R)</v>
      </c>
      <c r="F12" s="5">
        <f>IFERROR(VLOOKUP($D12,FIYAT!$B:$O,5,FALSE()),"")</f>
        <v>1434</v>
      </c>
      <c r="G12" s="5">
        <f>IFERROR(VLOOKUP($D12,FIYAT!$B:$O,8,FALSE()),"")</f>
        <v>860.4</v>
      </c>
      <c r="H12" s="5">
        <f t="shared" si="0"/>
        <v>860.4</v>
      </c>
      <c r="I12" s="6">
        <v>1</v>
      </c>
      <c r="J12" s="5" t="str">
        <f>IFERROR(VLOOKUP($D12,FIYAT!$B:$O,9,FALSE()),"")</f>
        <v>Шт.</v>
      </c>
      <c r="K12" s="5" t="str">
        <f>IFERROR(VLOOKUP($D12,FIYAT!$B:$O,4,FALSE()),"")</f>
        <v>CHINT</v>
      </c>
      <c r="L12" s="5">
        <f t="shared" si="1"/>
        <v>860.4</v>
      </c>
      <c r="M12" s="5"/>
      <c r="N12" s="5"/>
      <c r="O12" s="5"/>
      <c r="P12" s="5" t="str">
        <f>IF($H12="","FIYAT_YOK",IFERROR(VLOOKUP($D12,FIYAT!$B:$P,15,FALSE()),""))</f>
        <v>OK</v>
      </c>
      <c r="Q12" s="5" t="s">
        <v>205</v>
      </c>
      <c r="R12" s="5" t="s">
        <v>171</v>
      </c>
      <c r="S12" s="5" t="s">
        <v>550</v>
      </c>
      <c r="T12" s="5" t="s">
        <v>47</v>
      </c>
      <c r="U12" s="5">
        <f>IFERROR(VLOOKUP($T12,KURALLAR!$A$32:$B$63,2,FALSE()),0)*IF(ISNUMBER($I12),$I12,0)</f>
        <v>3</v>
      </c>
    </row>
    <row r="13" spans="1:21" x14ac:dyDescent="0.25">
      <c r="A13" s="9">
        <v>12</v>
      </c>
      <c r="B13" s="9"/>
      <c r="C13" s="9" t="s">
        <v>192</v>
      </c>
      <c r="D13" s="9" t="s">
        <v>206</v>
      </c>
      <c r="E13" s="9" t="str">
        <f>IFERROR(VLOOKUP($D13,FIYAT!$B:$O,2,FALSE()),"")</f>
        <v>Авт. выкл. NXB-63 1P 10A 6кА х-ка C (R)</v>
      </c>
      <c r="F13" s="9">
        <f>IFERROR(VLOOKUP($D13,FIYAT!$B:$O,5,FALSE()),"")</f>
        <v>1362</v>
      </c>
      <c r="G13" s="9">
        <f>IFERROR(VLOOKUP($D13,FIYAT!$B:$O,8,FALSE()),"")</f>
        <v>817.19999999999993</v>
      </c>
      <c r="H13" s="9">
        <f t="shared" si="0"/>
        <v>3268.7999999999997</v>
      </c>
      <c r="I13" s="6">
        <v>4</v>
      </c>
      <c r="J13" s="9" t="str">
        <f>IFERROR(VLOOKUP($D13,FIYAT!$B:$O,9,FALSE()),"")</f>
        <v>Шт.</v>
      </c>
      <c r="K13" s="9" t="str">
        <f>IFERROR(VLOOKUP($D13,FIYAT!$B:$O,4,FALSE()),"")</f>
        <v>CHINT</v>
      </c>
      <c r="L13" s="9">
        <f t="shared" si="1"/>
        <v>3268.7999999999997</v>
      </c>
      <c r="M13" s="9"/>
      <c r="N13" s="9"/>
      <c r="O13" s="9"/>
      <c r="P13" s="9" t="str">
        <f>IF($H13="","FIYAT_YOK",IFERROR(VLOOKUP($D13,FIYAT!$B:$P,15,FALSE()),""))</f>
        <v>OK</v>
      </c>
      <c r="Q13" s="9" t="s">
        <v>208</v>
      </c>
      <c r="R13" s="9" t="s">
        <v>184</v>
      </c>
      <c r="S13" s="9" t="s">
        <v>550</v>
      </c>
      <c r="T13" s="9" t="s">
        <v>47</v>
      </c>
      <c r="U13" s="9">
        <f>IFERROR(VLOOKUP($T13,KURALLAR!$A$32:$B$63,2,FALSE()),0)*IF(ISNUMBER($I13),$I13,0)</f>
        <v>12</v>
      </c>
    </row>
    <row r="14" spans="1:21" x14ac:dyDescent="0.25">
      <c r="A14" s="5">
        <v>13</v>
      </c>
      <c r="B14" s="5"/>
      <c r="C14" s="5" t="s">
        <v>93</v>
      </c>
      <c r="D14" s="5" t="s">
        <v>209</v>
      </c>
      <c r="E14" s="5" t="str">
        <f>IFERROR(VLOOKUP($D14,FIYAT!$B:$O,2,FALSE()),"")</f>
        <v>Шина "N" нулевая 6х9мм на DIN-рейку в корпусном изоляторе ШНИ 12К IEK (10)</v>
      </c>
      <c r="F14" s="5">
        <f>IFERROR(VLOOKUP($D14,FIYAT!$B:$O,5,FALSE()),"")</f>
        <v>755</v>
      </c>
      <c r="G14" s="5">
        <f>IFERROR(VLOOKUP($D14,FIYAT!$B:$O,8,FALSE()),"")</f>
        <v>453</v>
      </c>
      <c r="H14" s="5">
        <f t="shared" si="0"/>
        <v>1812</v>
      </c>
      <c r="I14" s="6">
        <v>4</v>
      </c>
      <c r="J14" s="5" t="str">
        <f>IFERROR(VLOOKUP($D14,FIYAT!$B:$O,9,FALSE()),"")</f>
        <v>Шт.</v>
      </c>
      <c r="K14" s="5" t="str">
        <f>IFERROR(VLOOKUP($D14,FIYAT!$B:$O,4,FALSE()),"")</f>
        <v>KAZTEK</v>
      </c>
      <c r="L14" s="5">
        <f t="shared" si="1"/>
        <v>1812</v>
      </c>
      <c r="M14" s="5"/>
      <c r="N14" s="5"/>
      <c r="O14" s="5"/>
      <c r="P14" s="5" t="str">
        <f>IF($H14="","FIYAT_YOK",IFERROR(VLOOKUP($D14,FIYAT!$B:$P,15,FALSE()),""))</f>
        <v>MUADIL</v>
      </c>
      <c r="Q14" s="5" t="s">
        <v>212</v>
      </c>
      <c r="R14" s="5" t="s">
        <v>211</v>
      </c>
      <c r="S14" s="5" t="s">
        <v>550</v>
      </c>
      <c r="T14" s="5" t="s">
        <v>93</v>
      </c>
      <c r="U14" s="5">
        <f>IFERROR(VLOOKUP($T14,KURALLAR!$A$32:$B$63,2,FALSE()),0)*IF(ISNUMBER($I14),$I14,0)</f>
        <v>32</v>
      </c>
    </row>
    <row r="15" spans="1:21" x14ac:dyDescent="0.25">
      <c r="A15" s="9">
        <v>14</v>
      </c>
      <c r="B15" s="9"/>
      <c r="C15" s="9" t="s">
        <v>222</v>
      </c>
      <c r="D15" s="9" t="s">
        <v>220</v>
      </c>
      <c r="E15" s="9" t="str">
        <f>IFERROR(VLOOKUP($D15,FIYAT!$B:$O,2,FALSE()),"")</f>
        <v>ЩМП (инд.) IP31 (650х500х150мм)</v>
      </c>
      <c r="F15" s="9">
        <f>IFERROR(VLOOKUP($D15,FIYAT!$B:$O,5,FALSE()),"")</f>
        <v>27825</v>
      </c>
      <c r="G15" s="9">
        <f>IFERROR(VLOOKUP($D15,FIYAT!$B:$O,8,FALSE()),"")</f>
        <v>16695</v>
      </c>
      <c r="H15" s="9">
        <f t="shared" si="0"/>
        <v>16695</v>
      </c>
      <c r="I15" s="6">
        <v>1</v>
      </c>
      <c r="J15" s="9" t="str">
        <f>IFERROR(VLOOKUP($D15,FIYAT!$B:$O,9,FALSE()),"")</f>
        <v>Шт.</v>
      </c>
      <c r="K15" s="9" t="str">
        <f>IFERROR(VLOOKUP($D15,FIYAT!$B:$O,4,FALSE()),"")</f>
        <v>KAZTEK</v>
      </c>
      <c r="L15" s="9">
        <f t="shared" si="1"/>
        <v>16695</v>
      </c>
      <c r="M15" s="9"/>
      <c r="N15" s="9"/>
      <c r="O15" s="9"/>
      <c r="P15" s="9" t="str">
        <f>IF($H15="","FIYAT_YOK",IFERROR(VLOOKUP($D15,FIYAT!$B:$P,15,FALSE()),""))</f>
        <v>VARSAYIM</v>
      </c>
      <c r="Q15" s="9" t="s">
        <v>223</v>
      </c>
      <c r="R15" s="9" t="s">
        <v>211</v>
      </c>
      <c r="S15" s="9" t="s">
        <v>550</v>
      </c>
      <c r="T15" s="9" t="s">
        <v>105</v>
      </c>
      <c r="U15" s="9">
        <f>IFERROR(VLOOKUP($T15,KURALLAR!$A$32:$B$63,2,FALSE()),0)*IF(ISNUMBER($I15),$I15,0)</f>
        <v>30</v>
      </c>
    </row>
    <row r="16" spans="1:21" x14ac:dyDescent="0.25">
      <c r="A16" s="5">
        <v>15</v>
      </c>
      <c r="B16" s="5"/>
      <c r="C16" s="5" t="s">
        <v>215</v>
      </c>
      <c r="D16" s="5" t="s">
        <v>213</v>
      </c>
      <c r="E16" s="5" t="str">
        <f>IFERROR(VLOOKUP($D16,FIYAT!$B:$O,2,FALSE()),"")</f>
        <v>Монтажный расходный материал (кабель, DIN-рейка, кабель-канал, клеммы, маркировка, крепёж)</v>
      </c>
      <c r="F16" s="5">
        <f>IFERROR(VLOOKUP($D16,FIYAT!$B:$O,5,FALSE()),"")</f>
        <v>0</v>
      </c>
      <c r="G16" s="5" t="str">
        <f>IFERROR(VLOOKUP($D16,FIYAT!$B:$O,8,FALSE()),"")</f>
        <v/>
      </c>
      <c r="H16" s="5">
        <f>ROUND(SUM($H$3:$H$15)*KURALLAR!$B$28,0)</f>
        <v>9494</v>
      </c>
      <c r="I16" s="6">
        <v>1</v>
      </c>
      <c r="J16" s="5" t="str">
        <f>IFERROR(VLOOKUP($D16,FIYAT!$B:$O,9,FALSE()),"")</f>
        <v>компл.</v>
      </c>
      <c r="K16" s="5" t="str">
        <f>IFERROR(VLOOKUP($D16,FIYAT!$B:$O,4,FALSE()),"")</f>
        <v>MUADIL-NET</v>
      </c>
      <c r="L16" s="5">
        <f t="shared" si="1"/>
        <v>9494</v>
      </c>
      <c r="M16" s="5"/>
      <c r="N16" s="5"/>
      <c r="O16" s="5"/>
      <c r="P16" s="5" t="str">
        <f>IF($H16="","FIYAT_YOK",IFERROR(VLOOKUP($D16,FIYAT!$B:$P,15,FALSE()),""))</f>
        <v>ORAN</v>
      </c>
      <c r="Q16" s="5" t="s">
        <v>218</v>
      </c>
      <c r="R16" s="5" t="s">
        <v>217</v>
      </c>
      <c r="S16" s="5" t="s">
        <v>550</v>
      </c>
      <c r="T16" s="5"/>
      <c r="U16" s="5">
        <v>0</v>
      </c>
    </row>
    <row r="17" spans="1:21" x14ac:dyDescent="0.25">
      <c r="A17" s="9">
        <v>16</v>
      </c>
      <c r="B17" s="9"/>
      <c r="C17" s="9" t="s">
        <v>227</v>
      </c>
      <c r="D17" s="9" t="s">
        <v>225</v>
      </c>
      <c r="E17" s="9" t="str">
        <f>IFERROR(VLOOKUP($D17,FIYAT!$B:$O,2,FALSE()),"")</f>
        <v>Сборка, кабелирование, маркировка, момент затяжки, испытания</v>
      </c>
      <c r="F17" s="9">
        <f>IFERROR(VLOOKUP($D17,FIYAT!$B:$O,5,FALSE()),"")</f>
        <v>100</v>
      </c>
      <c r="G17" s="9">
        <f>IFERROR(VLOOKUP($D17,FIYAT!$B:$O,8,FALSE()),"")</f>
        <v>100</v>
      </c>
      <c r="H17" s="9">
        <f>IF(OR($G17="",$I17=""),"",$G17*$I17)</f>
        <v>25200</v>
      </c>
      <c r="I17" s="6">
        <f>ROUND(SUM($U$3:$U$16)*KURALLAR!$B$27,0)</f>
        <v>252</v>
      </c>
      <c r="J17" s="9" t="str">
        <f>IFERROR(VLOOKUP($D17,FIYAT!$B:$O,9,FALSE()),"")</f>
        <v>мин</v>
      </c>
      <c r="K17" s="9" t="str">
        <f>IFERROR(VLOOKUP($D17,FIYAT!$B:$O,4,FALSE()),"")</f>
        <v>ISCILIK</v>
      </c>
      <c r="L17" s="9">
        <f t="shared" si="1"/>
        <v>25200</v>
      </c>
      <c r="M17" s="9"/>
      <c r="N17" s="9"/>
      <c r="O17" s="9"/>
      <c r="P17" s="9" t="str">
        <f>IF($H17="","FIYAT_YOK",IFERROR(VLOOKUP($D17,FIYAT!$B:$P,15,FALSE()),""))</f>
        <v>OK</v>
      </c>
      <c r="Q17" s="9" t="str">
        <f>CONCATENATE("montaj+test iscilik: ",TEXT($I17,"# ##0")," dk = ",TEXT($I17/60,"0,00")," saat (norm x test/etiket carpani)")</f>
        <v>montaj+test iscilik:  252 dk = 4,20 saat (norm x test/etiket carpani)</v>
      </c>
      <c r="R17" s="9" t="s">
        <v>229</v>
      </c>
      <c r="S17" s="9" t="s">
        <v>550</v>
      </c>
      <c r="T17" s="9"/>
      <c r="U17" s="9">
        <v>0</v>
      </c>
    </row>
    <row r="18" spans="1:21" x14ac:dyDescent="0.25">
      <c r="A18" s="10">
        <v>17</v>
      </c>
      <c r="B18" s="10" t="s">
        <v>551</v>
      </c>
      <c r="C18" s="10"/>
      <c r="D18" s="10"/>
      <c r="E18" s="10"/>
      <c r="F18" s="10"/>
      <c r="G18" s="10"/>
      <c r="H18" s="10">
        <f>SUBTOTAL(9,H3:H17)</f>
        <v>170326.39999999997</v>
      </c>
      <c r="I18" s="10"/>
      <c r="J18" s="10"/>
      <c r="K18" s="10"/>
      <c r="L18" s="10">
        <f>SUBTOTAL(9,L3:L17)</f>
        <v>170326.39999999997</v>
      </c>
      <c r="M18" s="10"/>
      <c r="N18" s="10"/>
      <c r="O18" s="10"/>
      <c r="P18" s="10"/>
      <c r="Q18" s="10"/>
      <c r="R18" s="10"/>
      <c r="S18" s="10"/>
      <c r="T18" s="10"/>
      <c r="U18" s="10">
        <f>SUBTOTAL(9,U3:U17)</f>
        <v>219</v>
      </c>
    </row>
    <row r="19" spans="1:21" x14ac:dyDescent="0.25">
      <c r="A19" s="8">
        <v>18</v>
      </c>
      <c r="B19" s="8" t="str">
        <f>E19</f>
        <v>BLOK A / ЩЭ-F(4-23).1 — НКУ 380/220В 50Гц, FORM 2B, IP31/54</v>
      </c>
      <c r="C19" s="8" t="s">
        <v>545</v>
      </c>
      <c r="D19" s="8"/>
      <c r="E19" s="8" t="s">
        <v>552</v>
      </c>
      <c r="F19" s="8"/>
      <c r="G19" s="8"/>
      <c r="H19" s="8"/>
      <c r="I19" s="8">
        <v>1</v>
      </c>
      <c r="J19" s="8" t="s">
        <v>547</v>
      </c>
      <c r="K19" s="8"/>
      <c r="L19" s="8"/>
      <c r="M19" s="8"/>
      <c r="N19" s="8"/>
      <c r="O19" s="8"/>
      <c r="P19" s="8" t="s">
        <v>178</v>
      </c>
      <c r="Q19" s="8" t="s">
        <v>548</v>
      </c>
      <c r="R19" s="8" t="s">
        <v>549</v>
      </c>
      <c r="S19" s="8" t="s">
        <v>550</v>
      </c>
      <c r="T19" s="8"/>
      <c r="U19" s="8"/>
    </row>
    <row r="20" spans="1:21" x14ac:dyDescent="0.25">
      <c r="A20" s="5">
        <v>19</v>
      </c>
      <c r="B20" s="5"/>
      <c r="C20" s="5" t="s">
        <v>169</v>
      </c>
      <c r="D20" s="5" t="s">
        <v>231</v>
      </c>
      <c r="E20" s="5" t="str">
        <f>IFERROR(VLOOKUP($D20,FIYAT!$B:$O,2,FALSE()),"")</f>
        <v>Авт. выкл. NM8N-125C TM 3P 80А 36кА с рег. термомаг. расцепителем (R)</v>
      </c>
      <c r="F20" s="5">
        <f>IFERROR(VLOOKUP($D20,FIYAT!$B:$O,5,FALSE()),"")</f>
        <v>64129</v>
      </c>
      <c r="G20" s="5">
        <f>IFERROR(VLOOKUP($D20,FIYAT!$B:$O,8,FALSE()),"")</f>
        <v>38477.4</v>
      </c>
      <c r="H20" s="5">
        <f t="shared" ref="H20:H30" si="2">IF(OR($G20="",$I20=""),"",$G20*$I20)</f>
        <v>38477.4</v>
      </c>
      <c r="I20" s="6">
        <v>1</v>
      </c>
      <c r="J20" s="5" t="str">
        <f>IFERROR(VLOOKUP($D20,FIYAT!$B:$O,9,FALSE()),"")</f>
        <v>Шт.</v>
      </c>
      <c r="K20" s="5" t="str">
        <f>IFERROR(VLOOKUP($D20,FIYAT!$B:$O,4,FALSE()),"")</f>
        <v>CHINT</v>
      </c>
      <c r="L20" s="5">
        <f t="shared" ref="L20:L32" si="3">IF($H20="","",$H20)</f>
        <v>38477.4</v>
      </c>
      <c r="M20" s="5"/>
      <c r="N20" s="5"/>
      <c r="O20" s="5"/>
      <c r="P20" s="5" t="str">
        <f>IF($H20="","FIYAT_YOK",IFERROR(VLOOKUP($D20,FIYAT!$B:$P,15,FALSE()),""))</f>
        <v>OK</v>
      </c>
      <c r="Q20" s="5" t="s">
        <v>233</v>
      </c>
      <c r="R20" s="5" t="s">
        <v>171</v>
      </c>
      <c r="S20" s="5" t="s">
        <v>550</v>
      </c>
      <c r="T20" s="5" t="s">
        <v>61</v>
      </c>
      <c r="U20" s="5">
        <f>IFERROR(VLOOKUP($T20,KURALLAR!$A$32:$B$63,2,FALSE()),0)*IF(ISNUMBER($I20),$I20,0)</f>
        <v>15</v>
      </c>
    </row>
    <row r="21" spans="1:21" x14ac:dyDescent="0.25">
      <c r="A21" s="9">
        <v>20</v>
      </c>
      <c r="B21" s="9"/>
      <c r="C21" s="9" t="s">
        <v>176</v>
      </c>
      <c r="D21" s="9" t="s">
        <v>234</v>
      </c>
      <c r="E21" s="9" t="str">
        <f>IFERROR(VLOOKUP($D21,FIYAT!$B:$O,2,FALSE()),"")</f>
        <v>Диф. модуль NM8NL-125 4P RCD1 X рег. ток утечки 0,03-0,05-0,1-0,2-0,3-0,5-1-2 A (R)</v>
      </c>
      <c r="F21" s="9">
        <f>IFERROR(VLOOKUP($D21,FIYAT!$B:$O,5,FALSE()),"")</f>
        <v>83791</v>
      </c>
      <c r="G21" s="9">
        <f>IFERROR(VLOOKUP($D21,FIYAT!$B:$O,8,FALSE()),"")</f>
        <v>50274.6</v>
      </c>
      <c r="H21" s="9">
        <f t="shared" si="2"/>
        <v>50274.6</v>
      </c>
      <c r="I21" s="6">
        <v>1</v>
      </c>
      <c r="J21" s="9" t="str">
        <f>IFERROR(VLOOKUP($D21,FIYAT!$B:$O,9,FALSE()),"")</f>
        <v>Шт.</v>
      </c>
      <c r="K21" s="9" t="str">
        <f>IFERROR(VLOOKUP($D21,FIYAT!$B:$O,4,FALSE()),"")</f>
        <v>CHINT</v>
      </c>
      <c r="L21" s="9">
        <f t="shared" si="3"/>
        <v>50274.6</v>
      </c>
      <c r="M21" s="9"/>
      <c r="N21" s="9"/>
      <c r="O21" s="9"/>
      <c r="P21" s="7" t="str">
        <f>IF($H21="","FIYAT_YOK",IFERROR(VLOOKUP($D21,FIYAT!$B:$P,15,FALSE()),""))</f>
        <v>CIHAZ_BELIRSIZ</v>
      </c>
      <c r="Q21" s="7" t="s">
        <v>236</v>
      </c>
      <c r="R21" s="9" t="s">
        <v>184</v>
      </c>
      <c r="S21" s="9" t="s">
        <v>550</v>
      </c>
      <c r="T21" s="9" t="s">
        <v>59</v>
      </c>
      <c r="U21" s="9">
        <f>IFERROR(VLOOKUP($T21,KURALLAR!$A$32:$B$63,2,FALSE()),0)*IF(ISNUMBER($I21),$I21,0)</f>
        <v>20</v>
      </c>
    </row>
    <row r="22" spans="1:21" x14ac:dyDescent="0.25">
      <c r="A22" s="5">
        <v>21</v>
      </c>
      <c r="B22" s="5"/>
      <c r="C22" s="5" t="s">
        <v>79</v>
      </c>
      <c r="D22" s="5" t="s">
        <v>179</v>
      </c>
      <c r="E22" s="5" t="str">
        <f>IFERROR(VLOOKUP($D22,FIYAT!$B:$O,2,FALSE()),"")</f>
        <v>Держатель плавкой вставки RT36-00-160, габарит 00, 160А</v>
      </c>
      <c r="F22" s="5">
        <f>IFERROR(VLOOKUP($D22,FIYAT!$B:$O,5,FALSE()),"")</f>
        <v>2038</v>
      </c>
      <c r="G22" s="5">
        <f>IFERROR(VLOOKUP($D22,FIYAT!$B:$O,8,FALSE()),"")</f>
        <v>1222.8</v>
      </c>
      <c r="H22" s="5">
        <f t="shared" si="2"/>
        <v>4891.2</v>
      </c>
      <c r="I22" s="6">
        <v>4</v>
      </c>
      <c r="J22" s="5" t="str">
        <f>IFERROR(VLOOKUP($D22,FIYAT!$B:$O,9,FALSE()),"")</f>
        <v>Шт.</v>
      </c>
      <c r="K22" s="5" t="str">
        <f>IFERROR(VLOOKUP($D22,FIYAT!$B:$O,4,FALSE()),"")</f>
        <v>CHINT</v>
      </c>
      <c r="L22" s="5">
        <f t="shared" si="3"/>
        <v>4891.2</v>
      </c>
      <c r="M22" s="5"/>
      <c r="N22" s="5"/>
      <c r="O22" s="5"/>
      <c r="P22" s="5" t="str">
        <f>IF($H22="","FIYAT_YOK",IFERROR(VLOOKUP($D22,FIYAT!$B:$P,15,FALSE()),""))</f>
        <v>MUADIL</v>
      </c>
      <c r="Q22" s="5" t="s">
        <v>181</v>
      </c>
      <c r="R22" s="5" t="s">
        <v>171</v>
      </c>
      <c r="S22" s="5" t="s">
        <v>550</v>
      </c>
      <c r="T22" s="5" t="s">
        <v>77</v>
      </c>
      <c r="U22" s="5">
        <f>IFERROR(VLOOKUP($T22,KURALLAR!$A$32:$B$63,2,FALSE()),0)*IF(ISNUMBER($I22),$I22,0)</f>
        <v>20</v>
      </c>
    </row>
    <row r="23" spans="1:21" x14ac:dyDescent="0.25">
      <c r="A23" s="9">
        <v>22</v>
      </c>
      <c r="B23" s="9"/>
      <c r="C23" s="9" t="s">
        <v>79</v>
      </c>
      <c r="D23" s="9" t="s">
        <v>182</v>
      </c>
      <c r="E23" s="9" t="str">
        <f>IFERROR(VLOOKUP($D23,FIYAT!$B:$O,2,FALSE()),"")</f>
        <v>Плавкая вставка предохранителя RT36-00-160, габарит 00, 63А</v>
      </c>
      <c r="F23" s="9">
        <f>IFERROR(VLOOKUP($D23,FIYAT!$B:$O,5,FALSE()),"")</f>
        <v>1525</v>
      </c>
      <c r="G23" s="9">
        <f>IFERROR(VLOOKUP($D23,FIYAT!$B:$O,8,FALSE()),"")</f>
        <v>915</v>
      </c>
      <c r="H23" s="9">
        <f t="shared" si="2"/>
        <v>3660</v>
      </c>
      <c r="I23" s="6">
        <v>4</v>
      </c>
      <c r="J23" s="9" t="str">
        <f>IFERROR(VLOOKUP($D23,FIYAT!$B:$O,9,FALSE()),"")</f>
        <v>Шт.</v>
      </c>
      <c r="K23" s="9" t="str">
        <f>IFERROR(VLOOKUP($D23,FIYAT!$B:$O,4,FALSE()),"")</f>
        <v>CHINT</v>
      </c>
      <c r="L23" s="9">
        <f t="shared" si="3"/>
        <v>3660</v>
      </c>
      <c r="M23" s="9"/>
      <c r="N23" s="9"/>
      <c r="O23" s="9"/>
      <c r="P23" s="9" t="str">
        <f>IF($H23="","FIYAT_YOK",IFERROR(VLOOKUP($D23,FIYAT!$B:$P,15,FALSE()),""))</f>
        <v>MUADIL</v>
      </c>
      <c r="Q23" s="9" t="s">
        <v>185</v>
      </c>
      <c r="R23" s="9" t="s">
        <v>184</v>
      </c>
      <c r="S23" s="9" t="s">
        <v>550</v>
      </c>
      <c r="T23" s="9" t="s">
        <v>79</v>
      </c>
      <c r="U23" s="9">
        <f>IFERROR(VLOOKUP($T23,KURALLAR!$A$32:$B$63,2,FALSE()),0)*IF(ISNUMBER($I23),$I23,0)</f>
        <v>12</v>
      </c>
    </row>
    <row r="24" spans="1:21" x14ac:dyDescent="0.25">
      <c r="A24" s="5">
        <v>23</v>
      </c>
      <c r="B24" s="5"/>
      <c r="C24" s="5" t="s">
        <v>75</v>
      </c>
      <c r="D24" s="5" t="s">
        <v>186</v>
      </c>
      <c r="E24" s="5" t="str">
        <f>IFERROR(VLOOKUP($D24,FIYAT!$B:$O,2,FALSE()),"")</f>
        <v>Ограничитель имп. перенапр. NU6-IIG 4Р In=25kA Uc=440B Im=65kA (R)</v>
      </c>
      <c r="F24" s="5">
        <f>IFERROR(VLOOKUP($D24,FIYAT!$B:$O,5,FALSE()),"")</f>
        <v>33208</v>
      </c>
      <c r="G24" s="5">
        <f>IFERROR(VLOOKUP($D24,FIYAT!$B:$O,8,FALSE()),"")</f>
        <v>19924.8</v>
      </c>
      <c r="H24" s="5">
        <f t="shared" si="2"/>
        <v>19924.8</v>
      </c>
      <c r="I24" s="6">
        <v>1</v>
      </c>
      <c r="J24" s="5" t="str">
        <f>IFERROR(VLOOKUP($D24,FIYAT!$B:$O,9,FALSE()),"")</f>
        <v>Шт.</v>
      </c>
      <c r="K24" s="5" t="str">
        <f>IFERROR(VLOOKUP($D24,FIYAT!$B:$O,4,FALSE()),"")</f>
        <v>CHINT</v>
      </c>
      <c r="L24" s="5">
        <f t="shared" si="3"/>
        <v>19924.8</v>
      </c>
      <c r="M24" s="5"/>
      <c r="N24" s="5"/>
      <c r="O24" s="5"/>
      <c r="P24" s="5" t="str">
        <f>IF($H24="","FIYAT_YOK",IFERROR(VLOOKUP($D24,FIYAT!$B:$P,15,FALSE()),""))</f>
        <v>MUADIL_ONAY</v>
      </c>
      <c r="Q24" s="5" t="s">
        <v>188</v>
      </c>
      <c r="R24" s="5" t="s">
        <v>184</v>
      </c>
      <c r="S24" s="5" t="s">
        <v>550</v>
      </c>
      <c r="T24" s="5" t="s">
        <v>75</v>
      </c>
      <c r="U24" s="5">
        <f>IFERROR(VLOOKUP($T24,KURALLAR!$A$32:$B$63,2,FALSE()),0)*IF(ISNUMBER($I24),$I24,0)</f>
        <v>10</v>
      </c>
    </row>
    <row r="25" spans="1:21" x14ac:dyDescent="0.25">
      <c r="A25" s="9">
        <v>24</v>
      </c>
      <c r="B25" s="9"/>
      <c r="C25" s="9" t="s">
        <v>192</v>
      </c>
      <c r="D25" s="9" t="s">
        <v>238</v>
      </c>
      <c r="E25" s="9" t="str">
        <f>IFERROR(VLOOKUP($D25,FIYAT!$B:$O,2,FALSE()),"")</f>
        <v>Авт. выкл. NXB-63 1P 6A 6кА х-ка C (R)</v>
      </c>
      <c r="F25" s="9">
        <f>IFERROR(VLOOKUP($D25,FIYAT!$B:$O,5,FALSE()),"")</f>
        <v>1436</v>
      </c>
      <c r="G25" s="9">
        <f>IFERROR(VLOOKUP($D25,FIYAT!$B:$O,8,FALSE()),"")</f>
        <v>861.6</v>
      </c>
      <c r="H25" s="9">
        <f t="shared" si="2"/>
        <v>3446.4</v>
      </c>
      <c r="I25" s="6">
        <v>4</v>
      </c>
      <c r="J25" s="9" t="str">
        <f>IFERROR(VLOOKUP($D25,FIYAT!$B:$O,9,FALSE()),"")</f>
        <v>Шт.</v>
      </c>
      <c r="K25" s="9" t="str">
        <f>IFERROR(VLOOKUP($D25,FIYAT!$B:$O,4,FALSE()),"")</f>
        <v>CHINT</v>
      </c>
      <c r="L25" s="9">
        <f t="shared" si="3"/>
        <v>3446.4</v>
      </c>
      <c r="M25" s="9"/>
      <c r="N25" s="9"/>
      <c r="O25" s="9"/>
      <c r="P25" s="9" t="str">
        <f>IF($H25="","FIYAT_YOK",IFERROR(VLOOKUP($D25,FIYAT!$B:$P,15,FALSE()),""))</f>
        <v>OK</v>
      </c>
      <c r="Q25" s="9" t="s">
        <v>240</v>
      </c>
      <c r="R25" s="9" t="s">
        <v>171</v>
      </c>
      <c r="S25" s="9" t="s">
        <v>550</v>
      </c>
      <c r="T25" s="9" t="s">
        <v>47</v>
      </c>
      <c r="U25" s="9">
        <f>IFERROR(VLOOKUP($T25,KURALLAR!$A$32:$B$63,2,FALSE()),0)*IF(ISNUMBER($I25),$I25,0)</f>
        <v>12</v>
      </c>
    </row>
    <row r="26" spans="1:21" x14ac:dyDescent="0.25">
      <c r="A26" s="5">
        <v>25</v>
      </c>
      <c r="B26" s="5"/>
      <c r="C26" s="5" t="s">
        <v>89</v>
      </c>
      <c r="D26" s="5" t="s">
        <v>241</v>
      </c>
      <c r="E26" s="5" t="str">
        <f>IFERROR(VLOOKUP($D26,FIYAT!$B:$O,2,FALSE()),"")</f>
        <v>Индикатор ND16-22DS/4 белый АС230В (R)</v>
      </c>
      <c r="F26" s="5">
        <f>IFERROR(VLOOKUP($D26,FIYAT!$B:$O,5,FALSE()),"")</f>
        <v>1047</v>
      </c>
      <c r="G26" s="5">
        <f>IFERROR(VLOOKUP($D26,FIYAT!$B:$O,8,FALSE()),"")</f>
        <v>628.19999999999993</v>
      </c>
      <c r="H26" s="5">
        <f t="shared" si="2"/>
        <v>1884.6</v>
      </c>
      <c r="I26" s="6">
        <v>3</v>
      </c>
      <c r="J26" s="5" t="str">
        <f>IFERROR(VLOOKUP($D26,FIYAT!$B:$O,9,FALSE()),"")</f>
        <v>Шт.</v>
      </c>
      <c r="K26" s="5" t="str">
        <f>IFERROR(VLOOKUP($D26,FIYAT!$B:$O,4,FALSE()),"")</f>
        <v>CHINT</v>
      </c>
      <c r="L26" s="5">
        <f t="shared" si="3"/>
        <v>1884.6</v>
      </c>
      <c r="M26" s="5"/>
      <c r="N26" s="5"/>
      <c r="O26" s="5"/>
      <c r="P26" s="5" t="str">
        <f>IF($H26="","FIYAT_YOK",IFERROR(VLOOKUP($D26,FIYAT!$B:$P,15,FALSE()),""))</f>
        <v>OK</v>
      </c>
      <c r="Q26" s="5" t="s">
        <v>243</v>
      </c>
      <c r="R26" s="5" t="s">
        <v>184</v>
      </c>
      <c r="S26" s="5" t="s">
        <v>550</v>
      </c>
      <c r="T26" s="5" t="s">
        <v>89</v>
      </c>
      <c r="U26" s="5">
        <f>IFERROR(VLOOKUP($T26,KURALLAR!$A$32:$B$63,2,FALSE()),0)*IF(ISNUMBER($I26),$I26,0)</f>
        <v>12</v>
      </c>
    </row>
    <row r="27" spans="1:21" x14ac:dyDescent="0.25">
      <c r="A27" s="9">
        <v>26</v>
      </c>
      <c r="B27" s="9"/>
      <c r="C27" s="9" t="s">
        <v>192</v>
      </c>
      <c r="D27" s="9" t="s">
        <v>244</v>
      </c>
      <c r="E27" s="9" t="str">
        <f>IFERROR(VLOOKUP($D27,FIYAT!$B:$O,2,FALSE()),"")</f>
        <v>Авт. выкл. NXB-63 3P 40A 6кА х-ка C (R)</v>
      </c>
      <c r="F27" s="9">
        <f>IFERROR(VLOOKUP($D27,FIYAT!$B:$O,5,FALSE()),"")</f>
        <v>5647</v>
      </c>
      <c r="G27" s="9">
        <f>IFERROR(VLOOKUP($D27,FIYAT!$B:$O,8,FALSE()),"")</f>
        <v>3388.2</v>
      </c>
      <c r="H27" s="9">
        <f t="shared" si="2"/>
        <v>23717.399999999998</v>
      </c>
      <c r="I27" s="6">
        <v>7</v>
      </c>
      <c r="J27" s="9" t="str">
        <f>IFERROR(VLOOKUP($D27,FIYAT!$B:$O,9,FALSE()),"")</f>
        <v>Шт.</v>
      </c>
      <c r="K27" s="9" t="str">
        <f>IFERROR(VLOOKUP($D27,FIYAT!$B:$O,4,FALSE()),"")</f>
        <v>CHINT</v>
      </c>
      <c r="L27" s="9">
        <f t="shared" si="3"/>
        <v>23717.399999999998</v>
      </c>
      <c r="M27" s="9"/>
      <c r="N27" s="9"/>
      <c r="O27" s="9"/>
      <c r="P27" s="9" t="str">
        <f>IF($H27="","FIYAT_YOK",IFERROR(VLOOKUP($D27,FIYAT!$B:$P,15,FALSE()),""))</f>
        <v>OK</v>
      </c>
      <c r="Q27" s="9" t="s">
        <v>246</v>
      </c>
      <c r="R27" s="9" t="s">
        <v>171</v>
      </c>
      <c r="S27" s="9" t="s">
        <v>550</v>
      </c>
      <c r="T27" s="9" t="s">
        <v>51</v>
      </c>
      <c r="U27" s="9">
        <f>IFERROR(VLOOKUP($T27,KURALLAR!$A$32:$B$63,2,FALSE()),0)*IF(ISNUMBER($I27),$I27,0)</f>
        <v>56</v>
      </c>
    </row>
    <row r="28" spans="1:21" x14ac:dyDescent="0.25">
      <c r="A28" s="5">
        <v>27</v>
      </c>
      <c r="B28" s="5"/>
      <c r="C28" s="5" t="s">
        <v>81</v>
      </c>
      <c r="D28" s="5" t="s">
        <v>247</v>
      </c>
      <c r="E28" s="5" t="str">
        <f>IFERROR(VLOOKUP($D28,FIYAT!$B:$O,2,FALSE()),"")</f>
        <v>Трехфазный эл.счетчик EX 518 10(100)А (прям. подкл.) с PLC модулем</v>
      </c>
      <c r="F28" s="5">
        <f>IFERROR(VLOOKUP($D28,FIYAT!$B:$O,5,FALSE()),"")</f>
        <v>0</v>
      </c>
      <c r="G28" s="5" t="str">
        <f>IFERROR(VLOOKUP($D28,FIYAT!$B:$O,8,FALSE()),"")</f>
        <v/>
      </c>
      <c r="H28" s="5" t="str">
        <f t="shared" si="2"/>
        <v/>
      </c>
      <c r="I28" s="6">
        <v>5</v>
      </c>
      <c r="J28" s="5" t="str">
        <f>IFERROR(VLOOKUP($D28,FIYAT!$B:$O,9,FALSE()),"")</f>
        <v>Шт.</v>
      </c>
      <c r="K28" s="5" t="str">
        <f>IFERROR(VLOOKUP($D28,FIYAT!$B:$O,4,FALSE()),"")</f>
        <v>MUADIL-NET</v>
      </c>
      <c r="L28" s="5" t="str">
        <f t="shared" si="3"/>
        <v/>
      </c>
      <c r="M28" s="5"/>
      <c r="N28" s="5"/>
      <c r="O28" s="5"/>
      <c r="P28" s="7" t="str">
        <f>IF($H28="","FIYAT_YOK",IFERROR(VLOOKUP($D28,FIYAT!$B:$P,15,FALSE()),""))</f>
        <v>FIYAT_YOK</v>
      </c>
      <c r="Q28" s="7" t="s">
        <v>249</v>
      </c>
      <c r="R28" s="5"/>
      <c r="S28" s="5" t="s">
        <v>550</v>
      </c>
      <c r="T28" s="5" t="s">
        <v>81</v>
      </c>
      <c r="U28" s="5">
        <f>IFERROR(VLOOKUP($T28,KURALLAR!$A$32:$B$63,2,FALSE()),0)*IF(ISNUMBER($I28),$I28,0)</f>
        <v>150</v>
      </c>
    </row>
    <row r="29" spans="1:21" x14ac:dyDescent="0.25">
      <c r="A29" s="9">
        <v>28</v>
      </c>
      <c r="B29" s="9"/>
      <c r="C29" s="9" t="s">
        <v>253</v>
      </c>
      <c r="D29" s="9" t="s">
        <v>251</v>
      </c>
      <c r="E29" s="9" t="str">
        <f>IFERROR(VLOOKUP($D29,FIYAT!$B:$O,2,FALSE()),"")</f>
        <v>Шина алюминиевая твёрдая (ШАТ)</v>
      </c>
      <c r="F29" s="9">
        <f>IFERROR(VLOOKUP($D29,FIYAT!$B:$O,5,FALSE()),"")</f>
        <v>4493.5999999999995</v>
      </c>
      <c r="G29" s="9">
        <f>IFERROR(VLOOKUP($D29,FIYAT!$B:$O,8,FALSE()),"")</f>
        <v>4493.5999999999995</v>
      </c>
      <c r="H29" s="9">
        <f t="shared" si="2"/>
        <v>89871.999999999985</v>
      </c>
      <c r="I29" s="6">
        <v>20</v>
      </c>
      <c r="J29" s="9" t="str">
        <f>IFERROR(VLOOKUP($D29,FIYAT!$B:$O,9,FALSE()),"")</f>
        <v>Кг.</v>
      </c>
      <c r="K29" s="9" t="str">
        <f>IFERROR(VLOOKUP($D29,FIYAT!$B:$O,4,FALSE()),"")</f>
        <v>ALUM-BARA</v>
      </c>
      <c r="L29" s="9">
        <f t="shared" si="3"/>
        <v>89871.999999999985</v>
      </c>
      <c r="M29" s="9"/>
      <c r="N29" s="9"/>
      <c r="O29" s="9"/>
      <c r="P29" s="9" t="str">
        <f>IF($H29="","FIYAT_YOK",IFERROR(VLOOKUP($D29,FIYAT!$B:$P,15,FALSE()),""))</f>
        <v>VARSAYIM</v>
      </c>
      <c r="Q29" s="9" t="s">
        <v>255</v>
      </c>
      <c r="R29" s="9"/>
      <c r="S29" s="9" t="s">
        <v>550</v>
      </c>
      <c r="T29" s="9" t="s">
        <v>101</v>
      </c>
      <c r="U29" s="9">
        <f>IFERROR(VLOOKUP($T29,KURALLAR!$A$32:$B$63,2,FALSE()),0)*IF(ISNUMBER($I29),$I29,0)</f>
        <v>120</v>
      </c>
    </row>
    <row r="30" spans="1:21" x14ac:dyDescent="0.25">
      <c r="A30" s="5">
        <v>29</v>
      </c>
      <c r="B30" s="5"/>
      <c r="C30" s="5" t="s">
        <v>222</v>
      </c>
      <c r="D30" s="5" t="s">
        <v>256</v>
      </c>
      <c r="E30" s="5" t="str">
        <f>IFERROR(VLOOKUP($D30,FIYAT!$B:$O,2,FALSE()),"")</f>
        <v>Щит (moduler) 2000x800x800+100</v>
      </c>
      <c r="F30" s="5">
        <f>IFERROR(VLOOKUP($D30,FIYAT!$B:$O,5,FALSE()),"")</f>
        <v>197400</v>
      </c>
      <c r="G30" s="5">
        <f>IFERROR(VLOOKUP($D30,FIYAT!$B:$O,8,FALSE()),"")</f>
        <v>118440</v>
      </c>
      <c r="H30" s="5">
        <f t="shared" si="2"/>
        <v>118440</v>
      </c>
      <c r="I30" s="6">
        <v>1</v>
      </c>
      <c r="J30" s="5" t="str">
        <f>IFERROR(VLOOKUP($D30,FIYAT!$B:$O,9,FALSE()),"")</f>
        <v>Шт.</v>
      </c>
      <c r="K30" s="5" t="str">
        <f>IFERROR(VLOOKUP($D30,FIYAT!$B:$O,4,FALSE()),"")</f>
        <v>KAZTEK</v>
      </c>
      <c r="L30" s="5">
        <f t="shared" si="3"/>
        <v>118440</v>
      </c>
      <c r="M30" s="5"/>
      <c r="N30" s="5"/>
      <c r="O30" s="5"/>
      <c r="P30" s="5" t="str">
        <f>IF($H30="","FIYAT_YOK",IFERROR(VLOOKUP($D30,FIYAT!$B:$P,15,FALSE()),""))</f>
        <v>VARSAYIM</v>
      </c>
      <c r="Q30" s="5" t="s">
        <v>258</v>
      </c>
      <c r="R30" s="5" t="s">
        <v>211</v>
      </c>
      <c r="S30" s="5" t="s">
        <v>550</v>
      </c>
      <c r="T30" s="5" t="s">
        <v>107</v>
      </c>
      <c r="U30" s="5">
        <f>IFERROR(VLOOKUP($T30,KURALLAR!$A$32:$B$63,2,FALSE()),0)*IF(ISNUMBER($I30),$I30,0)</f>
        <v>90</v>
      </c>
    </row>
    <row r="31" spans="1:21" x14ac:dyDescent="0.25">
      <c r="A31" s="9">
        <v>30</v>
      </c>
      <c r="B31" s="9"/>
      <c r="C31" s="9" t="s">
        <v>215</v>
      </c>
      <c r="D31" s="9" t="s">
        <v>213</v>
      </c>
      <c r="E31" s="9" t="str">
        <f>IFERROR(VLOOKUP($D31,FIYAT!$B:$O,2,FALSE()),"")</f>
        <v>Монтажный расходный материал (кабель, DIN-рейка, кабель-канал, клеммы, маркировка, крепёж)</v>
      </c>
      <c r="F31" s="9">
        <f>IFERROR(VLOOKUP($D31,FIYAT!$B:$O,5,FALSE()),"")</f>
        <v>0</v>
      </c>
      <c r="G31" s="9" t="str">
        <f>IFERROR(VLOOKUP($D31,FIYAT!$B:$O,8,FALSE()),"")</f>
        <v/>
      </c>
      <c r="H31" s="9">
        <f>ROUND(SUM($H$20:$H$30)*KURALLAR!$B$28,0)</f>
        <v>24821</v>
      </c>
      <c r="I31" s="6">
        <v>1</v>
      </c>
      <c r="J31" s="9" t="str">
        <f>IFERROR(VLOOKUP($D31,FIYAT!$B:$O,9,FALSE()),"")</f>
        <v>компл.</v>
      </c>
      <c r="K31" s="9" t="str">
        <f>IFERROR(VLOOKUP($D31,FIYAT!$B:$O,4,FALSE()),"")</f>
        <v>MUADIL-NET</v>
      </c>
      <c r="L31" s="9">
        <f t="shared" si="3"/>
        <v>24821</v>
      </c>
      <c r="M31" s="9"/>
      <c r="N31" s="9"/>
      <c r="O31" s="9"/>
      <c r="P31" s="9" t="str">
        <f>IF($H31="","FIYAT_YOK",IFERROR(VLOOKUP($D31,FIYAT!$B:$P,15,FALSE()),""))</f>
        <v>ORAN</v>
      </c>
      <c r="Q31" s="9" t="s">
        <v>218</v>
      </c>
      <c r="R31" s="9" t="s">
        <v>217</v>
      </c>
      <c r="S31" s="9" t="s">
        <v>550</v>
      </c>
      <c r="T31" s="9"/>
      <c r="U31" s="9">
        <v>0</v>
      </c>
    </row>
    <row r="32" spans="1:21" x14ac:dyDescent="0.25">
      <c r="A32" s="5">
        <v>31</v>
      </c>
      <c r="B32" s="5"/>
      <c r="C32" s="5" t="s">
        <v>227</v>
      </c>
      <c r="D32" s="5" t="s">
        <v>225</v>
      </c>
      <c r="E32" s="5" t="str">
        <f>IFERROR(VLOOKUP($D32,FIYAT!$B:$O,2,FALSE()),"")</f>
        <v>Сборка, кабелирование, маркировка, момент затяжки, испытания</v>
      </c>
      <c r="F32" s="5">
        <f>IFERROR(VLOOKUP($D32,FIYAT!$B:$O,5,FALSE()),"")</f>
        <v>100</v>
      </c>
      <c r="G32" s="5">
        <f>IFERROR(VLOOKUP($D32,FIYAT!$B:$O,8,FALSE()),"")</f>
        <v>100</v>
      </c>
      <c r="H32" s="5">
        <f>IF(OR($G32="",$I32=""),"",$G32*$I32)</f>
        <v>59500</v>
      </c>
      <c r="I32" s="6">
        <f>ROUND(SUM($U$20:$U$31)*KURALLAR!$B$27,0)</f>
        <v>595</v>
      </c>
      <c r="J32" s="5" t="str">
        <f>IFERROR(VLOOKUP($D32,FIYAT!$B:$O,9,FALSE()),"")</f>
        <v>мин</v>
      </c>
      <c r="K32" s="5" t="str">
        <f>IFERROR(VLOOKUP($D32,FIYAT!$B:$O,4,FALSE()),"")</f>
        <v>ISCILIK</v>
      </c>
      <c r="L32" s="5">
        <f t="shared" si="3"/>
        <v>59500</v>
      </c>
      <c r="M32" s="5"/>
      <c r="N32" s="5"/>
      <c r="O32" s="5"/>
      <c r="P32" s="5" t="str">
        <f>IF($H32="","FIYAT_YOK",IFERROR(VLOOKUP($D32,FIYAT!$B:$P,15,FALSE()),""))</f>
        <v>OK</v>
      </c>
      <c r="Q32" s="5" t="str">
        <f>CONCATENATE("montaj+test iscilik: ",TEXT($I32,"# ##0")," dk = ",TEXT($I32/60,"0,00")," saat (norm x test/etiket carpani)")</f>
        <v>montaj+test iscilik:  595 dk = 9,92 saat (norm x test/etiket carpani)</v>
      </c>
      <c r="R32" s="5" t="s">
        <v>229</v>
      </c>
      <c r="S32" s="5" t="s">
        <v>550</v>
      </c>
      <c r="T32" s="5"/>
      <c r="U32" s="5">
        <v>0</v>
      </c>
    </row>
    <row r="33" spans="1:21" x14ac:dyDescent="0.25">
      <c r="A33" s="10">
        <v>32</v>
      </c>
      <c r="B33" s="10" t="s">
        <v>553</v>
      </c>
      <c r="C33" s="10"/>
      <c r="D33" s="10"/>
      <c r="E33" s="10"/>
      <c r="F33" s="10"/>
      <c r="G33" s="10"/>
      <c r="H33" s="10">
        <f>SUBTOTAL(9,H20:H32)</f>
        <v>438909.39999999997</v>
      </c>
      <c r="I33" s="10"/>
      <c r="J33" s="10"/>
      <c r="K33" s="10"/>
      <c r="L33" s="10">
        <f>SUBTOTAL(9,L20:L32)</f>
        <v>438909.39999999997</v>
      </c>
      <c r="M33" s="10"/>
      <c r="N33" s="10"/>
      <c r="O33" s="10"/>
      <c r="P33" s="10"/>
      <c r="Q33" s="10"/>
      <c r="R33" s="10"/>
      <c r="S33" s="10"/>
      <c r="T33" s="10"/>
      <c r="U33" s="10">
        <f>SUBTOTAL(9,U20:U32)</f>
        <v>517</v>
      </c>
    </row>
    <row r="34" spans="1:21" x14ac:dyDescent="0.25">
      <c r="A34" s="8">
        <v>33</v>
      </c>
      <c r="B34" s="8" t="str">
        <f>E34</f>
        <v>BLOK A / ЩЭ-F(4-23).2 — НКУ 380/220В 50Гц, FORM 2B, IP31/54</v>
      </c>
      <c r="C34" s="8" t="s">
        <v>545</v>
      </c>
      <c r="D34" s="8"/>
      <c r="E34" s="8" t="s">
        <v>554</v>
      </c>
      <c r="F34" s="8"/>
      <c r="G34" s="8"/>
      <c r="H34" s="8"/>
      <c r="I34" s="8">
        <v>1</v>
      </c>
      <c r="J34" s="8" t="s">
        <v>547</v>
      </c>
      <c r="K34" s="8"/>
      <c r="L34" s="8"/>
      <c r="M34" s="8"/>
      <c r="N34" s="8"/>
      <c r="O34" s="8"/>
      <c r="P34" s="8" t="s">
        <v>178</v>
      </c>
      <c r="Q34" s="8" t="s">
        <v>548</v>
      </c>
      <c r="R34" s="8" t="s">
        <v>549</v>
      </c>
      <c r="S34" s="8" t="s">
        <v>550</v>
      </c>
      <c r="T34" s="8"/>
      <c r="U34" s="8"/>
    </row>
    <row r="35" spans="1:21" x14ac:dyDescent="0.25">
      <c r="A35" s="9">
        <v>34</v>
      </c>
      <c r="B35" s="9"/>
      <c r="C35" s="9" t="s">
        <v>169</v>
      </c>
      <c r="D35" s="9" t="s">
        <v>231</v>
      </c>
      <c r="E35" s="9" t="str">
        <f>IFERROR(VLOOKUP($D35,FIYAT!$B:$O,2,FALSE()),"")</f>
        <v>Авт. выкл. NM8N-125C TM 3P 80А 36кА с рег. термомаг. расцепителем (R)</v>
      </c>
      <c r="F35" s="9">
        <f>IFERROR(VLOOKUP($D35,FIYAT!$B:$O,5,FALSE()),"")</f>
        <v>64129</v>
      </c>
      <c r="G35" s="9">
        <f>IFERROR(VLOOKUP($D35,FIYAT!$B:$O,8,FALSE()),"")</f>
        <v>38477.4</v>
      </c>
      <c r="H35" s="9">
        <f t="shared" ref="H35:H45" si="4">IF(OR($G35="",$I35=""),"",$G35*$I35)</f>
        <v>38477.4</v>
      </c>
      <c r="I35" s="6">
        <v>1</v>
      </c>
      <c r="J35" s="9" t="str">
        <f>IFERROR(VLOOKUP($D35,FIYAT!$B:$O,9,FALSE()),"")</f>
        <v>Шт.</v>
      </c>
      <c r="K35" s="9" t="str">
        <f>IFERROR(VLOOKUP($D35,FIYAT!$B:$O,4,FALSE()),"")</f>
        <v>CHINT</v>
      </c>
      <c r="L35" s="9">
        <f t="shared" ref="L35:L47" si="5">IF($H35="","",$H35)</f>
        <v>38477.4</v>
      </c>
      <c r="M35" s="9"/>
      <c r="N35" s="9"/>
      <c r="O35" s="9"/>
      <c r="P35" s="9" t="str">
        <f>IF($H35="","FIYAT_YOK",IFERROR(VLOOKUP($D35,FIYAT!$B:$P,15,FALSE()),""))</f>
        <v>OK</v>
      </c>
      <c r="Q35" s="9" t="s">
        <v>233</v>
      </c>
      <c r="R35" s="9" t="s">
        <v>171</v>
      </c>
      <c r="S35" s="9" t="s">
        <v>550</v>
      </c>
      <c r="T35" s="9" t="s">
        <v>61</v>
      </c>
      <c r="U35" s="9">
        <f>IFERROR(VLOOKUP($T35,KURALLAR!$A$32:$B$63,2,FALSE()),0)*IF(ISNUMBER($I35),$I35,0)</f>
        <v>15</v>
      </c>
    </row>
    <row r="36" spans="1:21" x14ac:dyDescent="0.25">
      <c r="A36" s="5">
        <v>35</v>
      </c>
      <c r="B36" s="5"/>
      <c r="C36" s="5" t="s">
        <v>176</v>
      </c>
      <c r="D36" s="5" t="s">
        <v>234</v>
      </c>
      <c r="E36" s="5" t="str">
        <f>IFERROR(VLOOKUP($D36,FIYAT!$B:$O,2,FALSE()),"")</f>
        <v>Диф. модуль NM8NL-125 4P RCD1 X рег. ток утечки 0,03-0,05-0,1-0,2-0,3-0,5-1-2 A (R)</v>
      </c>
      <c r="F36" s="5">
        <f>IFERROR(VLOOKUP($D36,FIYAT!$B:$O,5,FALSE()),"")</f>
        <v>83791</v>
      </c>
      <c r="G36" s="5">
        <f>IFERROR(VLOOKUP($D36,FIYAT!$B:$O,8,FALSE()),"")</f>
        <v>50274.6</v>
      </c>
      <c r="H36" s="5">
        <f t="shared" si="4"/>
        <v>50274.6</v>
      </c>
      <c r="I36" s="6">
        <v>1</v>
      </c>
      <c r="J36" s="5" t="str">
        <f>IFERROR(VLOOKUP($D36,FIYAT!$B:$O,9,FALSE()),"")</f>
        <v>Шт.</v>
      </c>
      <c r="K36" s="5" t="str">
        <f>IFERROR(VLOOKUP($D36,FIYAT!$B:$O,4,FALSE()),"")</f>
        <v>CHINT</v>
      </c>
      <c r="L36" s="5">
        <f t="shared" si="5"/>
        <v>50274.6</v>
      </c>
      <c r="M36" s="5"/>
      <c r="N36" s="5"/>
      <c r="O36" s="5"/>
      <c r="P36" s="7" t="str">
        <f>IF($H36="","FIYAT_YOK",IFERROR(VLOOKUP($D36,FIYAT!$B:$P,15,FALSE()),""))</f>
        <v>CIHAZ_BELIRSIZ</v>
      </c>
      <c r="Q36" s="7" t="s">
        <v>236</v>
      </c>
      <c r="R36" s="5" t="s">
        <v>184</v>
      </c>
      <c r="S36" s="5" t="s">
        <v>550</v>
      </c>
      <c r="T36" s="5" t="s">
        <v>59</v>
      </c>
      <c r="U36" s="5">
        <f>IFERROR(VLOOKUP($T36,KURALLAR!$A$32:$B$63,2,FALSE()),0)*IF(ISNUMBER($I36),$I36,0)</f>
        <v>20</v>
      </c>
    </row>
    <row r="37" spans="1:21" x14ac:dyDescent="0.25">
      <c r="A37" s="9">
        <v>36</v>
      </c>
      <c r="B37" s="9"/>
      <c r="C37" s="9" t="s">
        <v>79</v>
      </c>
      <c r="D37" s="9" t="s">
        <v>179</v>
      </c>
      <c r="E37" s="9" t="str">
        <f>IFERROR(VLOOKUP($D37,FIYAT!$B:$O,2,FALSE()),"")</f>
        <v>Держатель плавкой вставки RT36-00-160, габарит 00, 160А</v>
      </c>
      <c r="F37" s="9">
        <f>IFERROR(VLOOKUP($D37,FIYAT!$B:$O,5,FALSE()),"")</f>
        <v>2038</v>
      </c>
      <c r="G37" s="9">
        <f>IFERROR(VLOOKUP($D37,FIYAT!$B:$O,8,FALSE()),"")</f>
        <v>1222.8</v>
      </c>
      <c r="H37" s="9">
        <f t="shared" si="4"/>
        <v>4891.2</v>
      </c>
      <c r="I37" s="6">
        <v>4</v>
      </c>
      <c r="J37" s="9" t="str">
        <f>IFERROR(VLOOKUP($D37,FIYAT!$B:$O,9,FALSE()),"")</f>
        <v>Шт.</v>
      </c>
      <c r="K37" s="9" t="str">
        <f>IFERROR(VLOOKUP($D37,FIYAT!$B:$O,4,FALSE()),"")</f>
        <v>CHINT</v>
      </c>
      <c r="L37" s="9">
        <f t="shared" si="5"/>
        <v>4891.2</v>
      </c>
      <c r="M37" s="9"/>
      <c r="N37" s="9"/>
      <c r="O37" s="9"/>
      <c r="P37" s="9" t="str">
        <f>IF($H37="","FIYAT_YOK",IFERROR(VLOOKUP($D37,FIYAT!$B:$P,15,FALSE()),""))</f>
        <v>MUADIL</v>
      </c>
      <c r="Q37" s="9" t="s">
        <v>181</v>
      </c>
      <c r="R37" s="9" t="s">
        <v>171</v>
      </c>
      <c r="S37" s="9" t="s">
        <v>550</v>
      </c>
      <c r="T37" s="9" t="s">
        <v>77</v>
      </c>
      <c r="U37" s="9">
        <f>IFERROR(VLOOKUP($T37,KURALLAR!$A$32:$B$63,2,FALSE()),0)*IF(ISNUMBER($I37),$I37,0)</f>
        <v>20</v>
      </c>
    </row>
    <row r="38" spans="1:21" x14ac:dyDescent="0.25">
      <c r="A38" s="5">
        <v>37</v>
      </c>
      <c r="B38" s="5"/>
      <c r="C38" s="5" t="s">
        <v>79</v>
      </c>
      <c r="D38" s="5" t="s">
        <v>182</v>
      </c>
      <c r="E38" s="5" t="str">
        <f>IFERROR(VLOOKUP($D38,FIYAT!$B:$O,2,FALSE()),"")</f>
        <v>Плавкая вставка предохранителя RT36-00-160, габарит 00, 63А</v>
      </c>
      <c r="F38" s="5">
        <f>IFERROR(VLOOKUP($D38,FIYAT!$B:$O,5,FALSE()),"")</f>
        <v>1525</v>
      </c>
      <c r="G38" s="5">
        <f>IFERROR(VLOOKUP($D38,FIYAT!$B:$O,8,FALSE()),"")</f>
        <v>915</v>
      </c>
      <c r="H38" s="5">
        <f t="shared" si="4"/>
        <v>3660</v>
      </c>
      <c r="I38" s="6">
        <v>4</v>
      </c>
      <c r="J38" s="5" t="str">
        <f>IFERROR(VLOOKUP($D38,FIYAT!$B:$O,9,FALSE()),"")</f>
        <v>Шт.</v>
      </c>
      <c r="K38" s="5" t="str">
        <f>IFERROR(VLOOKUP($D38,FIYAT!$B:$O,4,FALSE()),"")</f>
        <v>CHINT</v>
      </c>
      <c r="L38" s="5">
        <f t="shared" si="5"/>
        <v>3660</v>
      </c>
      <c r="M38" s="5"/>
      <c r="N38" s="5"/>
      <c r="O38" s="5"/>
      <c r="P38" s="5" t="str">
        <f>IF($H38="","FIYAT_YOK",IFERROR(VLOOKUP($D38,FIYAT!$B:$P,15,FALSE()),""))</f>
        <v>MUADIL</v>
      </c>
      <c r="Q38" s="5" t="s">
        <v>185</v>
      </c>
      <c r="R38" s="5" t="s">
        <v>184</v>
      </c>
      <c r="S38" s="5" t="s">
        <v>550</v>
      </c>
      <c r="T38" s="5" t="s">
        <v>79</v>
      </c>
      <c r="U38" s="5">
        <f>IFERROR(VLOOKUP($T38,KURALLAR!$A$32:$B$63,2,FALSE()),0)*IF(ISNUMBER($I38),$I38,0)</f>
        <v>12</v>
      </c>
    </row>
    <row r="39" spans="1:21" x14ac:dyDescent="0.25">
      <c r="A39" s="9">
        <v>38</v>
      </c>
      <c r="B39" s="9"/>
      <c r="C39" s="9" t="s">
        <v>75</v>
      </c>
      <c r="D39" s="9" t="s">
        <v>186</v>
      </c>
      <c r="E39" s="9" t="str">
        <f>IFERROR(VLOOKUP($D39,FIYAT!$B:$O,2,FALSE()),"")</f>
        <v>Ограничитель имп. перенапр. NU6-IIG 4Р In=25kA Uc=440B Im=65kA (R)</v>
      </c>
      <c r="F39" s="9">
        <f>IFERROR(VLOOKUP($D39,FIYAT!$B:$O,5,FALSE()),"")</f>
        <v>33208</v>
      </c>
      <c r="G39" s="9">
        <f>IFERROR(VLOOKUP($D39,FIYAT!$B:$O,8,FALSE()),"")</f>
        <v>19924.8</v>
      </c>
      <c r="H39" s="9">
        <f t="shared" si="4"/>
        <v>19924.8</v>
      </c>
      <c r="I39" s="6">
        <v>1</v>
      </c>
      <c r="J39" s="9" t="str">
        <f>IFERROR(VLOOKUP($D39,FIYAT!$B:$O,9,FALSE()),"")</f>
        <v>Шт.</v>
      </c>
      <c r="K39" s="9" t="str">
        <f>IFERROR(VLOOKUP($D39,FIYAT!$B:$O,4,FALSE()),"")</f>
        <v>CHINT</v>
      </c>
      <c r="L39" s="9">
        <f t="shared" si="5"/>
        <v>19924.8</v>
      </c>
      <c r="M39" s="9"/>
      <c r="N39" s="9"/>
      <c r="O39" s="9"/>
      <c r="P39" s="9" t="str">
        <f>IF($H39="","FIYAT_YOK",IFERROR(VLOOKUP($D39,FIYAT!$B:$P,15,FALSE()),""))</f>
        <v>MUADIL_ONAY</v>
      </c>
      <c r="Q39" s="9" t="s">
        <v>188</v>
      </c>
      <c r="R39" s="9" t="s">
        <v>184</v>
      </c>
      <c r="S39" s="9" t="s">
        <v>550</v>
      </c>
      <c r="T39" s="9" t="s">
        <v>75</v>
      </c>
      <c r="U39" s="9">
        <f>IFERROR(VLOOKUP($T39,KURALLAR!$A$32:$B$63,2,FALSE()),0)*IF(ISNUMBER($I39),$I39,0)</f>
        <v>10</v>
      </c>
    </row>
    <row r="40" spans="1:21" x14ac:dyDescent="0.25">
      <c r="A40" s="5">
        <v>39</v>
      </c>
      <c r="B40" s="5"/>
      <c r="C40" s="5" t="s">
        <v>192</v>
      </c>
      <c r="D40" s="5" t="s">
        <v>238</v>
      </c>
      <c r="E40" s="5" t="str">
        <f>IFERROR(VLOOKUP($D40,FIYAT!$B:$O,2,FALSE()),"")</f>
        <v>Авт. выкл. NXB-63 1P 6A 6кА х-ка C (R)</v>
      </c>
      <c r="F40" s="5">
        <f>IFERROR(VLOOKUP($D40,FIYAT!$B:$O,5,FALSE()),"")</f>
        <v>1436</v>
      </c>
      <c r="G40" s="5">
        <f>IFERROR(VLOOKUP($D40,FIYAT!$B:$O,8,FALSE()),"")</f>
        <v>861.6</v>
      </c>
      <c r="H40" s="5">
        <f t="shared" si="4"/>
        <v>3446.4</v>
      </c>
      <c r="I40" s="6">
        <v>4</v>
      </c>
      <c r="J40" s="5" t="str">
        <f>IFERROR(VLOOKUP($D40,FIYAT!$B:$O,9,FALSE()),"")</f>
        <v>Шт.</v>
      </c>
      <c r="K40" s="5" t="str">
        <f>IFERROR(VLOOKUP($D40,FIYAT!$B:$O,4,FALSE()),"")</f>
        <v>CHINT</v>
      </c>
      <c r="L40" s="5">
        <f t="shared" si="5"/>
        <v>3446.4</v>
      </c>
      <c r="M40" s="5"/>
      <c r="N40" s="5"/>
      <c r="O40" s="5"/>
      <c r="P40" s="5" t="str">
        <f>IF($H40="","FIYAT_YOK",IFERROR(VLOOKUP($D40,FIYAT!$B:$P,15,FALSE()),""))</f>
        <v>OK</v>
      </c>
      <c r="Q40" s="5" t="s">
        <v>240</v>
      </c>
      <c r="R40" s="5" t="s">
        <v>171</v>
      </c>
      <c r="S40" s="5" t="s">
        <v>550</v>
      </c>
      <c r="T40" s="5" t="s">
        <v>47</v>
      </c>
      <c r="U40" s="5">
        <f>IFERROR(VLOOKUP($T40,KURALLAR!$A$32:$B$63,2,FALSE()),0)*IF(ISNUMBER($I40),$I40,0)</f>
        <v>12</v>
      </c>
    </row>
    <row r="41" spans="1:21" x14ac:dyDescent="0.25">
      <c r="A41" s="9">
        <v>40</v>
      </c>
      <c r="B41" s="9"/>
      <c r="C41" s="9" t="s">
        <v>89</v>
      </c>
      <c r="D41" s="9" t="s">
        <v>241</v>
      </c>
      <c r="E41" s="9" t="str">
        <f>IFERROR(VLOOKUP($D41,FIYAT!$B:$O,2,FALSE()),"")</f>
        <v>Индикатор ND16-22DS/4 белый АС230В (R)</v>
      </c>
      <c r="F41" s="9">
        <f>IFERROR(VLOOKUP($D41,FIYAT!$B:$O,5,FALSE()),"")</f>
        <v>1047</v>
      </c>
      <c r="G41" s="9">
        <f>IFERROR(VLOOKUP($D41,FIYAT!$B:$O,8,FALSE()),"")</f>
        <v>628.19999999999993</v>
      </c>
      <c r="H41" s="9">
        <f t="shared" si="4"/>
        <v>1884.6</v>
      </c>
      <c r="I41" s="6">
        <v>3</v>
      </c>
      <c r="J41" s="9" t="str">
        <f>IFERROR(VLOOKUP($D41,FIYAT!$B:$O,9,FALSE()),"")</f>
        <v>Шт.</v>
      </c>
      <c r="K41" s="9" t="str">
        <f>IFERROR(VLOOKUP($D41,FIYAT!$B:$O,4,FALSE()),"")</f>
        <v>CHINT</v>
      </c>
      <c r="L41" s="9">
        <f t="shared" si="5"/>
        <v>1884.6</v>
      </c>
      <c r="M41" s="9"/>
      <c r="N41" s="9"/>
      <c r="O41" s="9"/>
      <c r="P41" s="9" t="str">
        <f>IF($H41="","FIYAT_YOK",IFERROR(VLOOKUP($D41,FIYAT!$B:$P,15,FALSE()),""))</f>
        <v>OK</v>
      </c>
      <c r="Q41" s="9" t="s">
        <v>243</v>
      </c>
      <c r="R41" s="9" t="s">
        <v>184</v>
      </c>
      <c r="S41" s="9" t="s">
        <v>550</v>
      </c>
      <c r="T41" s="9" t="s">
        <v>89</v>
      </c>
      <c r="U41" s="9">
        <f>IFERROR(VLOOKUP($T41,KURALLAR!$A$32:$B$63,2,FALSE()),0)*IF(ISNUMBER($I41),$I41,0)</f>
        <v>12</v>
      </c>
    </row>
    <row r="42" spans="1:21" x14ac:dyDescent="0.25">
      <c r="A42" s="5">
        <v>41</v>
      </c>
      <c r="B42" s="5"/>
      <c r="C42" s="5" t="s">
        <v>192</v>
      </c>
      <c r="D42" s="5" t="s">
        <v>244</v>
      </c>
      <c r="E42" s="5" t="str">
        <f>IFERROR(VLOOKUP($D42,FIYAT!$B:$O,2,FALSE()),"")</f>
        <v>Авт. выкл. NXB-63 3P 40A 6кА х-ка C (R)</v>
      </c>
      <c r="F42" s="5">
        <f>IFERROR(VLOOKUP($D42,FIYAT!$B:$O,5,FALSE()),"")</f>
        <v>5647</v>
      </c>
      <c r="G42" s="5">
        <f>IFERROR(VLOOKUP($D42,FIYAT!$B:$O,8,FALSE()),"")</f>
        <v>3388.2</v>
      </c>
      <c r="H42" s="5">
        <f t="shared" si="4"/>
        <v>23717.399999999998</v>
      </c>
      <c r="I42" s="6">
        <v>7</v>
      </c>
      <c r="J42" s="5" t="str">
        <f>IFERROR(VLOOKUP($D42,FIYAT!$B:$O,9,FALSE()),"")</f>
        <v>Шт.</v>
      </c>
      <c r="K42" s="5" t="str">
        <f>IFERROR(VLOOKUP($D42,FIYAT!$B:$O,4,FALSE()),"")</f>
        <v>CHINT</v>
      </c>
      <c r="L42" s="5">
        <f t="shared" si="5"/>
        <v>23717.399999999998</v>
      </c>
      <c r="M42" s="5"/>
      <c r="N42" s="5"/>
      <c r="O42" s="5"/>
      <c r="P42" s="5" t="str">
        <f>IF($H42="","FIYAT_YOK",IFERROR(VLOOKUP($D42,FIYAT!$B:$P,15,FALSE()),""))</f>
        <v>OK</v>
      </c>
      <c r="Q42" s="5" t="s">
        <v>246</v>
      </c>
      <c r="R42" s="5" t="s">
        <v>171</v>
      </c>
      <c r="S42" s="5" t="s">
        <v>550</v>
      </c>
      <c r="T42" s="5" t="s">
        <v>51</v>
      </c>
      <c r="U42" s="5">
        <f>IFERROR(VLOOKUP($T42,KURALLAR!$A$32:$B$63,2,FALSE()),0)*IF(ISNUMBER($I42),$I42,0)</f>
        <v>56</v>
      </c>
    </row>
    <row r="43" spans="1:21" x14ac:dyDescent="0.25">
      <c r="A43" s="9">
        <v>42</v>
      </c>
      <c r="B43" s="9"/>
      <c r="C43" s="9" t="s">
        <v>81</v>
      </c>
      <c r="D43" s="9" t="s">
        <v>247</v>
      </c>
      <c r="E43" s="9" t="str">
        <f>IFERROR(VLOOKUP($D43,FIYAT!$B:$O,2,FALSE()),"")</f>
        <v>Трехфазный эл.счетчик EX 518 10(100)А (прям. подкл.) с PLC модулем</v>
      </c>
      <c r="F43" s="9">
        <f>IFERROR(VLOOKUP($D43,FIYAT!$B:$O,5,FALSE()),"")</f>
        <v>0</v>
      </c>
      <c r="G43" s="9" t="str">
        <f>IFERROR(VLOOKUP($D43,FIYAT!$B:$O,8,FALSE()),"")</f>
        <v/>
      </c>
      <c r="H43" s="9" t="str">
        <f t="shared" si="4"/>
        <v/>
      </c>
      <c r="I43" s="6">
        <v>5</v>
      </c>
      <c r="J43" s="9" t="str">
        <f>IFERROR(VLOOKUP($D43,FIYAT!$B:$O,9,FALSE()),"")</f>
        <v>Шт.</v>
      </c>
      <c r="K43" s="9" t="str">
        <f>IFERROR(VLOOKUP($D43,FIYAT!$B:$O,4,FALSE()),"")</f>
        <v>MUADIL-NET</v>
      </c>
      <c r="L43" s="9" t="str">
        <f t="shared" si="5"/>
        <v/>
      </c>
      <c r="M43" s="9"/>
      <c r="N43" s="9"/>
      <c r="O43" s="9"/>
      <c r="P43" s="7" t="str">
        <f>IF($H43="","FIYAT_YOK",IFERROR(VLOOKUP($D43,FIYAT!$B:$P,15,FALSE()),""))</f>
        <v>FIYAT_YOK</v>
      </c>
      <c r="Q43" s="7" t="s">
        <v>249</v>
      </c>
      <c r="R43" s="9"/>
      <c r="S43" s="9" t="s">
        <v>550</v>
      </c>
      <c r="T43" s="9" t="s">
        <v>81</v>
      </c>
      <c r="U43" s="9">
        <f>IFERROR(VLOOKUP($T43,KURALLAR!$A$32:$B$63,2,FALSE()),0)*IF(ISNUMBER($I43),$I43,0)</f>
        <v>150</v>
      </c>
    </row>
    <row r="44" spans="1:21" x14ac:dyDescent="0.25">
      <c r="A44" s="5">
        <v>43</v>
      </c>
      <c r="B44" s="5"/>
      <c r="C44" s="5" t="s">
        <v>253</v>
      </c>
      <c r="D44" s="5" t="s">
        <v>251</v>
      </c>
      <c r="E44" s="5" t="str">
        <f>IFERROR(VLOOKUP($D44,FIYAT!$B:$O,2,FALSE()),"")</f>
        <v>Шина алюминиевая твёрдая (ШАТ)</v>
      </c>
      <c r="F44" s="5">
        <f>IFERROR(VLOOKUP($D44,FIYAT!$B:$O,5,FALSE()),"")</f>
        <v>4493.5999999999995</v>
      </c>
      <c r="G44" s="5">
        <f>IFERROR(VLOOKUP($D44,FIYAT!$B:$O,8,FALSE()),"")</f>
        <v>4493.5999999999995</v>
      </c>
      <c r="H44" s="5">
        <f t="shared" si="4"/>
        <v>89871.999999999985</v>
      </c>
      <c r="I44" s="6">
        <v>20</v>
      </c>
      <c r="J44" s="5" t="str">
        <f>IFERROR(VLOOKUP($D44,FIYAT!$B:$O,9,FALSE()),"")</f>
        <v>Кг.</v>
      </c>
      <c r="K44" s="5" t="str">
        <f>IFERROR(VLOOKUP($D44,FIYAT!$B:$O,4,FALSE()),"")</f>
        <v>ALUM-BARA</v>
      </c>
      <c r="L44" s="5">
        <f t="shared" si="5"/>
        <v>89871.999999999985</v>
      </c>
      <c r="M44" s="5"/>
      <c r="N44" s="5"/>
      <c r="O44" s="5"/>
      <c r="P44" s="5" t="str">
        <f>IF($H44="","FIYAT_YOK",IFERROR(VLOOKUP($D44,FIYAT!$B:$P,15,FALSE()),""))</f>
        <v>VARSAYIM</v>
      </c>
      <c r="Q44" s="5" t="s">
        <v>255</v>
      </c>
      <c r="R44" s="5"/>
      <c r="S44" s="5" t="s">
        <v>550</v>
      </c>
      <c r="T44" s="5" t="s">
        <v>101</v>
      </c>
      <c r="U44" s="5">
        <f>IFERROR(VLOOKUP($T44,KURALLAR!$A$32:$B$63,2,FALSE()),0)*IF(ISNUMBER($I44),$I44,0)</f>
        <v>120</v>
      </c>
    </row>
    <row r="45" spans="1:21" x14ac:dyDescent="0.25">
      <c r="A45" s="9">
        <v>44</v>
      </c>
      <c r="B45" s="9"/>
      <c r="C45" s="9" t="s">
        <v>222</v>
      </c>
      <c r="D45" s="9" t="s">
        <v>256</v>
      </c>
      <c r="E45" s="9" t="str">
        <f>IFERROR(VLOOKUP($D45,FIYAT!$B:$O,2,FALSE()),"")</f>
        <v>Щит (moduler) 2000x800x800+100</v>
      </c>
      <c r="F45" s="9">
        <f>IFERROR(VLOOKUP($D45,FIYAT!$B:$O,5,FALSE()),"")</f>
        <v>197400</v>
      </c>
      <c r="G45" s="9">
        <f>IFERROR(VLOOKUP($D45,FIYAT!$B:$O,8,FALSE()),"")</f>
        <v>118440</v>
      </c>
      <c r="H45" s="9">
        <f t="shared" si="4"/>
        <v>118440</v>
      </c>
      <c r="I45" s="6">
        <v>1</v>
      </c>
      <c r="J45" s="9" t="str">
        <f>IFERROR(VLOOKUP($D45,FIYAT!$B:$O,9,FALSE()),"")</f>
        <v>Шт.</v>
      </c>
      <c r="K45" s="9" t="str">
        <f>IFERROR(VLOOKUP($D45,FIYAT!$B:$O,4,FALSE()),"")</f>
        <v>KAZTEK</v>
      </c>
      <c r="L45" s="9">
        <f t="shared" si="5"/>
        <v>118440</v>
      </c>
      <c r="M45" s="9"/>
      <c r="N45" s="9"/>
      <c r="O45" s="9"/>
      <c r="P45" s="9" t="str">
        <f>IF($H45="","FIYAT_YOK",IFERROR(VLOOKUP($D45,FIYAT!$B:$P,15,FALSE()),""))</f>
        <v>VARSAYIM</v>
      </c>
      <c r="Q45" s="9" t="s">
        <v>258</v>
      </c>
      <c r="R45" s="9" t="s">
        <v>211</v>
      </c>
      <c r="S45" s="9" t="s">
        <v>550</v>
      </c>
      <c r="T45" s="9" t="s">
        <v>107</v>
      </c>
      <c r="U45" s="9">
        <f>IFERROR(VLOOKUP($T45,KURALLAR!$A$32:$B$63,2,FALSE()),0)*IF(ISNUMBER($I45),$I45,0)</f>
        <v>90</v>
      </c>
    </row>
    <row r="46" spans="1:21" x14ac:dyDescent="0.25">
      <c r="A46" s="5">
        <v>45</v>
      </c>
      <c r="B46" s="5"/>
      <c r="C46" s="5" t="s">
        <v>215</v>
      </c>
      <c r="D46" s="5" t="s">
        <v>213</v>
      </c>
      <c r="E46" s="5" t="str">
        <f>IFERROR(VLOOKUP($D46,FIYAT!$B:$O,2,FALSE()),"")</f>
        <v>Монтажный расходный материал (кабель, DIN-рейка, кабель-канал, клеммы, маркировка, крепёж)</v>
      </c>
      <c r="F46" s="5">
        <f>IFERROR(VLOOKUP($D46,FIYAT!$B:$O,5,FALSE()),"")</f>
        <v>0</v>
      </c>
      <c r="G46" s="5" t="str">
        <f>IFERROR(VLOOKUP($D46,FIYAT!$B:$O,8,FALSE()),"")</f>
        <v/>
      </c>
      <c r="H46" s="5">
        <f>ROUND(SUM($H$35:$H$45)*KURALLAR!$B$28,0)</f>
        <v>24821</v>
      </c>
      <c r="I46" s="6">
        <v>1</v>
      </c>
      <c r="J46" s="5" t="str">
        <f>IFERROR(VLOOKUP($D46,FIYAT!$B:$O,9,FALSE()),"")</f>
        <v>компл.</v>
      </c>
      <c r="K46" s="5" t="str">
        <f>IFERROR(VLOOKUP($D46,FIYAT!$B:$O,4,FALSE()),"")</f>
        <v>MUADIL-NET</v>
      </c>
      <c r="L46" s="5">
        <f t="shared" si="5"/>
        <v>24821</v>
      </c>
      <c r="M46" s="5"/>
      <c r="N46" s="5"/>
      <c r="O46" s="5"/>
      <c r="P46" s="5" t="str">
        <f>IF($H46="","FIYAT_YOK",IFERROR(VLOOKUP($D46,FIYAT!$B:$P,15,FALSE()),""))</f>
        <v>ORAN</v>
      </c>
      <c r="Q46" s="5" t="s">
        <v>218</v>
      </c>
      <c r="R46" s="5" t="s">
        <v>217</v>
      </c>
      <c r="S46" s="5" t="s">
        <v>550</v>
      </c>
      <c r="T46" s="5"/>
      <c r="U46" s="5">
        <v>0</v>
      </c>
    </row>
    <row r="47" spans="1:21" x14ac:dyDescent="0.25">
      <c r="A47" s="9">
        <v>46</v>
      </c>
      <c r="B47" s="9"/>
      <c r="C47" s="9" t="s">
        <v>227</v>
      </c>
      <c r="D47" s="9" t="s">
        <v>225</v>
      </c>
      <c r="E47" s="9" t="str">
        <f>IFERROR(VLOOKUP($D47,FIYAT!$B:$O,2,FALSE()),"")</f>
        <v>Сборка, кабелирование, маркировка, момент затяжки, испытания</v>
      </c>
      <c r="F47" s="9">
        <f>IFERROR(VLOOKUP($D47,FIYAT!$B:$O,5,FALSE()),"")</f>
        <v>100</v>
      </c>
      <c r="G47" s="9">
        <f>IFERROR(VLOOKUP($D47,FIYAT!$B:$O,8,FALSE()),"")</f>
        <v>100</v>
      </c>
      <c r="H47" s="9">
        <f>IF(OR($G47="",$I47=""),"",$G47*$I47)</f>
        <v>59500</v>
      </c>
      <c r="I47" s="6">
        <f>ROUND(SUM($U$35:$U$46)*KURALLAR!$B$27,0)</f>
        <v>595</v>
      </c>
      <c r="J47" s="9" t="str">
        <f>IFERROR(VLOOKUP($D47,FIYAT!$B:$O,9,FALSE()),"")</f>
        <v>мин</v>
      </c>
      <c r="K47" s="9" t="str">
        <f>IFERROR(VLOOKUP($D47,FIYAT!$B:$O,4,FALSE()),"")</f>
        <v>ISCILIK</v>
      </c>
      <c r="L47" s="9">
        <f t="shared" si="5"/>
        <v>59500</v>
      </c>
      <c r="M47" s="9"/>
      <c r="N47" s="9"/>
      <c r="O47" s="9"/>
      <c r="P47" s="9" t="str">
        <f>IF($H47="","FIYAT_YOK",IFERROR(VLOOKUP($D47,FIYAT!$B:$P,15,FALSE()),""))</f>
        <v>OK</v>
      </c>
      <c r="Q47" s="9" t="str">
        <f>CONCATENATE("montaj+test iscilik: ",TEXT($I47,"# ##0")," dk = ",TEXT($I47/60,"0,00")," saat (norm x test/etiket carpani)")</f>
        <v>montaj+test iscilik:  595 dk = 9,92 saat (norm x test/etiket carpani)</v>
      </c>
      <c r="R47" s="9" t="s">
        <v>229</v>
      </c>
      <c r="S47" s="9" t="s">
        <v>550</v>
      </c>
      <c r="T47" s="9"/>
      <c r="U47" s="9">
        <v>0</v>
      </c>
    </row>
    <row r="48" spans="1:21" x14ac:dyDescent="0.25">
      <c r="A48" s="10">
        <v>47</v>
      </c>
      <c r="B48" s="10" t="s">
        <v>555</v>
      </c>
      <c r="C48" s="10"/>
      <c r="D48" s="10"/>
      <c r="E48" s="10"/>
      <c r="F48" s="10"/>
      <c r="G48" s="10"/>
      <c r="H48" s="10">
        <f>SUBTOTAL(9,H35:H47)</f>
        <v>438909.39999999997</v>
      </c>
      <c r="I48" s="10"/>
      <c r="J48" s="10"/>
      <c r="K48" s="10"/>
      <c r="L48" s="10">
        <f>SUBTOTAL(9,L35:L47)</f>
        <v>438909.39999999997</v>
      </c>
      <c r="M48" s="10"/>
      <c r="N48" s="10"/>
      <c r="O48" s="10"/>
      <c r="P48" s="10"/>
      <c r="Q48" s="10"/>
      <c r="R48" s="10"/>
      <c r="S48" s="10"/>
      <c r="T48" s="10"/>
      <c r="U48" s="10">
        <f>SUBTOTAL(9,U35:U47)</f>
        <v>517</v>
      </c>
    </row>
    <row r="49" spans="1:21" x14ac:dyDescent="0.25">
      <c r="A49" s="8">
        <v>48</v>
      </c>
      <c r="B49" s="8" t="str">
        <f>E49</f>
        <v>BLOK A / ЩЭ-F24.1 — НКУ 380/220В 50Гц, FORM 2B, IP31/54</v>
      </c>
      <c r="C49" s="8" t="s">
        <v>545</v>
      </c>
      <c r="D49" s="8"/>
      <c r="E49" s="8" t="s">
        <v>556</v>
      </c>
      <c r="F49" s="8"/>
      <c r="G49" s="8"/>
      <c r="H49" s="8"/>
      <c r="I49" s="8">
        <v>1</v>
      </c>
      <c r="J49" s="8" t="s">
        <v>547</v>
      </c>
      <c r="K49" s="8"/>
      <c r="L49" s="8"/>
      <c r="M49" s="8"/>
      <c r="N49" s="8"/>
      <c r="O49" s="8"/>
      <c r="P49" s="8" t="s">
        <v>178</v>
      </c>
      <c r="Q49" s="8" t="s">
        <v>548</v>
      </c>
      <c r="R49" s="8" t="s">
        <v>549</v>
      </c>
      <c r="S49" s="8" t="s">
        <v>550</v>
      </c>
      <c r="T49" s="8"/>
      <c r="U49" s="8"/>
    </row>
    <row r="50" spans="1:21" x14ac:dyDescent="0.25">
      <c r="A50" s="5">
        <v>49</v>
      </c>
      <c r="B50" s="5"/>
      <c r="C50" s="5" t="s">
        <v>169</v>
      </c>
      <c r="D50" s="5" t="s">
        <v>259</v>
      </c>
      <c r="E50" s="5" t="str">
        <f>IFERROR(VLOOKUP($D50,FIYAT!$B:$O,2,FALSE()),"")</f>
        <v>Авт. выкл. NM8N-125C TM 3P 50А 36кА с рег. термомаг. расцепителем (R)</v>
      </c>
      <c r="F50" s="5">
        <f>IFERROR(VLOOKUP($D50,FIYAT!$B:$O,5,FALSE()),"")</f>
        <v>68025</v>
      </c>
      <c r="G50" s="5">
        <f>IFERROR(VLOOKUP($D50,FIYAT!$B:$O,8,FALSE()),"")</f>
        <v>40815</v>
      </c>
      <c r="H50" s="5">
        <f t="shared" ref="H50:H60" si="6">IF(OR($G50="",$I50=""),"",$G50*$I50)</f>
        <v>40815</v>
      </c>
      <c r="I50" s="6">
        <v>1</v>
      </c>
      <c r="J50" s="5" t="str">
        <f>IFERROR(VLOOKUP($D50,FIYAT!$B:$O,9,FALSE()),"")</f>
        <v>Шт.</v>
      </c>
      <c r="K50" s="5" t="str">
        <f>IFERROR(VLOOKUP($D50,FIYAT!$B:$O,4,FALSE()),"")</f>
        <v>CHINT</v>
      </c>
      <c r="L50" s="5">
        <f t="shared" ref="L50:L62" si="7">IF($H50="","",$H50)</f>
        <v>40815</v>
      </c>
      <c r="M50" s="5"/>
      <c r="N50" s="5"/>
      <c r="O50" s="5"/>
      <c r="P50" s="5" t="str">
        <f>IF($H50="","FIYAT_YOK",IFERROR(VLOOKUP($D50,FIYAT!$B:$P,15,FALSE()),""))</f>
        <v>MUADIL</v>
      </c>
      <c r="Q50" s="5" t="s">
        <v>172</v>
      </c>
      <c r="R50" s="5" t="s">
        <v>171</v>
      </c>
      <c r="S50" s="5" t="s">
        <v>550</v>
      </c>
      <c r="T50" s="5" t="s">
        <v>61</v>
      </c>
      <c r="U50" s="5">
        <f>IFERROR(VLOOKUP($T50,KURALLAR!$A$32:$B$63,2,FALSE()),0)*IF(ISNUMBER($I50),$I50,0)</f>
        <v>15</v>
      </c>
    </row>
    <row r="51" spans="1:21" x14ac:dyDescent="0.25">
      <c r="A51" s="9">
        <v>50</v>
      </c>
      <c r="B51" s="9"/>
      <c r="C51" s="9" t="s">
        <v>176</v>
      </c>
      <c r="D51" s="9" t="s">
        <v>174</v>
      </c>
      <c r="E51" s="9" t="str">
        <f>IFERROR(VLOOKUP($D51,FIYAT!$B:$O,2,FALSE()),"")</f>
        <v>УЗО NL1-63 6kA 4P 63A 300mA тип AC (R)</v>
      </c>
      <c r="F51" s="9">
        <f>IFERROR(VLOOKUP($D51,FIYAT!$B:$O,5,FALSE()),"")</f>
        <v>18106</v>
      </c>
      <c r="G51" s="9">
        <f>IFERROR(VLOOKUP($D51,FIYAT!$B:$O,8,FALSE()),"")</f>
        <v>10863.6</v>
      </c>
      <c r="H51" s="9">
        <f t="shared" si="6"/>
        <v>10863.6</v>
      </c>
      <c r="I51" s="6">
        <v>1</v>
      </c>
      <c r="J51" s="9" t="str">
        <f>IFERROR(VLOOKUP($D51,FIYAT!$B:$O,9,FALSE()),"")</f>
        <v>Шт.</v>
      </c>
      <c r="K51" s="9" t="str">
        <f>IFERROR(VLOOKUP($D51,FIYAT!$B:$O,4,FALSE()),"")</f>
        <v>CHINT</v>
      </c>
      <c r="L51" s="9">
        <f t="shared" si="7"/>
        <v>10863.6</v>
      </c>
      <c r="M51" s="9"/>
      <c r="N51" s="9"/>
      <c r="O51" s="9"/>
      <c r="P51" s="9" t="str">
        <f>IF($H51="","FIYAT_YOK",IFERROR(VLOOKUP($D51,FIYAT!$B:$P,15,FALSE()),""))</f>
        <v>OK</v>
      </c>
      <c r="Q51" s="9" t="s">
        <v>177</v>
      </c>
      <c r="R51" s="9" t="s">
        <v>171</v>
      </c>
      <c r="S51" s="9" t="s">
        <v>550</v>
      </c>
      <c r="T51" s="9" t="s">
        <v>57</v>
      </c>
      <c r="U51" s="9">
        <f>IFERROR(VLOOKUP($T51,KURALLAR!$A$32:$B$63,2,FALSE()),0)*IF(ISNUMBER($I51),$I51,0)</f>
        <v>10</v>
      </c>
    </row>
    <row r="52" spans="1:21" x14ac:dyDescent="0.25">
      <c r="A52" s="5">
        <v>51</v>
      </c>
      <c r="B52" s="5"/>
      <c r="C52" s="5" t="s">
        <v>79</v>
      </c>
      <c r="D52" s="5" t="s">
        <v>179</v>
      </c>
      <c r="E52" s="5" t="str">
        <f>IFERROR(VLOOKUP($D52,FIYAT!$B:$O,2,FALSE()),"")</f>
        <v>Держатель плавкой вставки RT36-00-160, габарит 00, 160А</v>
      </c>
      <c r="F52" s="5">
        <f>IFERROR(VLOOKUP($D52,FIYAT!$B:$O,5,FALSE()),"")</f>
        <v>2038</v>
      </c>
      <c r="G52" s="5">
        <f>IFERROR(VLOOKUP($D52,FIYAT!$B:$O,8,FALSE()),"")</f>
        <v>1222.8</v>
      </c>
      <c r="H52" s="5">
        <f t="shared" si="6"/>
        <v>4891.2</v>
      </c>
      <c r="I52" s="6">
        <v>4</v>
      </c>
      <c r="J52" s="5" t="str">
        <f>IFERROR(VLOOKUP($D52,FIYAT!$B:$O,9,FALSE()),"")</f>
        <v>Шт.</v>
      </c>
      <c r="K52" s="5" t="str">
        <f>IFERROR(VLOOKUP($D52,FIYAT!$B:$O,4,FALSE()),"")</f>
        <v>CHINT</v>
      </c>
      <c r="L52" s="5">
        <f t="shared" si="7"/>
        <v>4891.2</v>
      </c>
      <c r="M52" s="5"/>
      <c r="N52" s="5"/>
      <c r="O52" s="5"/>
      <c r="P52" s="5" t="str">
        <f>IF($H52="","FIYAT_YOK",IFERROR(VLOOKUP($D52,FIYAT!$B:$P,15,FALSE()),""))</f>
        <v>MUADIL</v>
      </c>
      <c r="Q52" s="5" t="s">
        <v>181</v>
      </c>
      <c r="R52" s="5" t="s">
        <v>171</v>
      </c>
      <c r="S52" s="5" t="s">
        <v>550</v>
      </c>
      <c r="T52" s="5" t="s">
        <v>77</v>
      </c>
      <c r="U52" s="5">
        <f>IFERROR(VLOOKUP($T52,KURALLAR!$A$32:$B$63,2,FALSE()),0)*IF(ISNUMBER($I52),$I52,0)</f>
        <v>20</v>
      </c>
    </row>
    <row r="53" spans="1:21" x14ac:dyDescent="0.25">
      <c r="A53" s="9">
        <v>52</v>
      </c>
      <c r="B53" s="9"/>
      <c r="C53" s="9" t="s">
        <v>79</v>
      </c>
      <c r="D53" s="9" t="s">
        <v>182</v>
      </c>
      <c r="E53" s="9" t="str">
        <f>IFERROR(VLOOKUP($D53,FIYAT!$B:$O,2,FALSE()),"")</f>
        <v>Плавкая вставка предохранителя RT36-00-160, габарит 00, 63А</v>
      </c>
      <c r="F53" s="9">
        <f>IFERROR(VLOOKUP($D53,FIYAT!$B:$O,5,FALSE()),"")</f>
        <v>1525</v>
      </c>
      <c r="G53" s="9">
        <f>IFERROR(VLOOKUP($D53,FIYAT!$B:$O,8,FALSE()),"")</f>
        <v>915</v>
      </c>
      <c r="H53" s="9">
        <f t="shared" si="6"/>
        <v>3660</v>
      </c>
      <c r="I53" s="6">
        <v>4</v>
      </c>
      <c r="J53" s="9" t="str">
        <f>IFERROR(VLOOKUP($D53,FIYAT!$B:$O,9,FALSE()),"")</f>
        <v>Шт.</v>
      </c>
      <c r="K53" s="9" t="str">
        <f>IFERROR(VLOOKUP($D53,FIYAT!$B:$O,4,FALSE()),"")</f>
        <v>CHINT</v>
      </c>
      <c r="L53" s="9">
        <f t="shared" si="7"/>
        <v>3660</v>
      </c>
      <c r="M53" s="9"/>
      <c r="N53" s="9"/>
      <c r="O53" s="9"/>
      <c r="P53" s="9" t="str">
        <f>IF($H53="","FIYAT_YOK",IFERROR(VLOOKUP($D53,FIYAT!$B:$P,15,FALSE()),""))</f>
        <v>MUADIL</v>
      </c>
      <c r="Q53" s="9" t="s">
        <v>185</v>
      </c>
      <c r="R53" s="9" t="s">
        <v>184</v>
      </c>
      <c r="S53" s="9" t="s">
        <v>550</v>
      </c>
      <c r="T53" s="9" t="s">
        <v>79</v>
      </c>
      <c r="U53" s="9">
        <f>IFERROR(VLOOKUP($T53,KURALLAR!$A$32:$B$63,2,FALSE()),0)*IF(ISNUMBER($I53),$I53,0)</f>
        <v>12</v>
      </c>
    </row>
    <row r="54" spans="1:21" x14ac:dyDescent="0.25">
      <c r="A54" s="5">
        <v>53</v>
      </c>
      <c r="B54" s="5"/>
      <c r="C54" s="5" t="s">
        <v>75</v>
      </c>
      <c r="D54" s="5" t="s">
        <v>186</v>
      </c>
      <c r="E54" s="5" t="str">
        <f>IFERROR(VLOOKUP($D54,FIYAT!$B:$O,2,FALSE()),"")</f>
        <v>Ограничитель имп. перенапр. NU6-IIG 4Р In=25kA Uc=440B Im=65kA (R)</v>
      </c>
      <c r="F54" s="5">
        <f>IFERROR(VLOOKUP($D54,FIYAT!$B:$O,5,FALSE()),"")</f>
        <v>33208</v>
      </c>
      <c r="G54" s="5">
        <f>IFERROR(VLOOKUP($D54,FIYAT!$B:$O,8,FALSE()),"")</f>
        <v>19924.8</v>
      </c>
      <c r="H54" s="5">
        <f t="shared" si="6"/>
        <v>19924.8</v>
      </c>
      <c r="I54" s="6">
        <v>1</v>
      </c>
      <c r="J54" s="5" t="str">
        <f>IFERROR(VLOOKUP($D54,FIYAT!$B:$O,9,FALSE()),"")</f>
        <v>Шт.</v>
      </c>
      <c r="K54" s="5" t="str">
        <f>IFERROR(VLOOKUP($D54,FIYAT!$B:$O,4,FALSE()),"")</f>
        <v>CHINT</v>
      </c>
      <c r="L54" s="5">
        <f t="shared" si="7"/>
        <v>19924.8</v>
      </c>
      <c r="M54" s="5"/>
      <c r="N54" s="5"/>
      <c r="O54" s="5"/>
      <c r="P54" s="5" t="str">
        <f>IF($H54="","FIYAT_YOK",IFERROR(VLOOKUP($D54,FIYAT!$B:$P,15,FALSE()),""))</f>
        <v>MUADIL_ONAY</v>
      </c>
      <c r="Q54" s="5" t="s">
        <v>188</v>
      </c>
      <c r="R54" s="5" t="s">
        <v>184</v>
      </c>
      <c r="S54" s="5" t="s">
        <v>550</v>
      </c>
      <c r="T54" s="5" t="s">
        <v>75</v>
      </c>
      <c r="U54" s="5">
        <f>IFERROR(VLOOKUP($T54,KURALLAR!$A$32:$B$63,2,FALSE()),0)*IF(ISNUMBER($I54),$I54,0)</f>
        <v>10</v>
      </c>
    </row>
    <row r="55" spans="1:21" x14ac:dyDescent="0.25">
      <c r="A55" s="9">
        <v>54</v>
      </c>
      <c r="B55" s="9"/>
      <c r="C55" s="9" t="s">
        <v>192</v>
      </c>
      <c r="D55" s="9" t="s">
        <v>238</v>
      </c>
      <c r="E55" s="9" t="str">
        <f>IFERROR(VLOOKUP($D55,FIYAT!$B:$O,2,FALSE()),"")</f>
        <v>Авт. выкл. NXB-63 1P 6A 6кА х-ка C (R)</v>
      </c>
      <c r="F55" s="9">
        <f>IFERROR(VLOOKUP($D55,FIYAT!$B:$O,5,FALSE()),"")</f>
        <v>1436</v>
      </c>
      <c r="G55" s="9">
        <f>IFERROR(VLOOKUP($D55,FIYAT!$B:$O,8,FALSE()),"")</f>
        <v>861.6</v>
      </c>
      <c r="H55" s="9">
        <f t="shared" si="6"/>
        <v>3446.4</v>
      </c>
      <c r="I55" s="6">
        <v>4</v>
      </c>
      <c r="J55" s="9" t="str">
        <f>IFERROR(VLOOKUP($D55,FIYAT!$B:$O,9,FALSE()),"")</f>
        <v>Шт.</v>
      </c>
      <c r="K55" s="9" t="str">
        <f>IFERROR(VLOOKUP($D55,FIYAT!$B:$O,4,FALSE()),"")</f>
        <v>CHINT</v>
      </c>
      <c r="L55" s="9">
        <f t="shared" si="7"/>
        <v>3446.4</v>
      </c>
      <c r="M55" s="9"/>
      <c r="N55" s="9"/>
      <c r="O55" s="9"/>
      <c r="P55" s="9" t="str">
        <f>IF($H55="","FIYAT_YOK",IFERROR(VLOOKUP($D55,FIYAT!$B:$P,15,FALSE()),""))</f>
        <v>OK</v>
      </c>
      <c r="Q55" s="9" t="s">
        <v>240</v>
      </c>
      <c r="R55" s="9" t="s">
        <v>171</v>
      </c>
      <c r="S55" s="9" t="s">
        <v>550</v>
      </c>
      <c r="T55" s="9" t="s">
        <v>47</v>
      </c>
      <c r="U55" s="9">
        <f>IFERROR(VLOOKUP($T55,KURALLAR!$A$32:$B$63,2,FALSE()),0)*IF(ISNUMBER($I55),$I55,0)</f>
        <v>12</v>
      </c>
    </row>
    <row r="56" spans="1:21" x14ac:dyDescent="0.25">
      <c r="A56" s="5">
        <v>55</v>
      </c>
      <c r="B56" s="5"/>
      <c r="C56" s="5" t="s">
        <v>89</v>
      </c>
      <c r="D56" s="5" t="s">
        <v>241</v>
      </c>
      <c r="E56" s="5" t="str">
        <f>IFERROR(VLOOKUP($D56,FIYAT!$B:$O,2,FALSE()),"")</f>
        <v>Индикатор ND16-22DS/4 белый АС230В (R)</v>
      </c>
      <c r="F56" s="5">
        <f>IFERROR(VLOOKUP($D56,FIYAT!$B:$O,5,FALSE()),"")</f>
        <v>1047</v>
      </c>
      <c r="G56" s="5">
        <f>IFERROR(VLOOKUP($D56,FIYAT!$B:$O,8,FALSE()),"")</f>
        <v>628.19999999999993</v>
      </c>
      <c r="H56" s="5">
        <f t="shared" si="6"/>
        <v>1884.6</v>
      </c>
      <c r="I56" s="6">
        <v>3</v>
      </c>
      <c r="J56" s="5" t="str">
        <f>IFERROR(VLOOKUP($D56,FIYAT!$B:$O,9,FALSE()),"")</f>
        <v>Шт.</v>
      </c>
      <c r="K56" s="5" t="str">
        <f>IFERROR(VLOOKUP($D56,FIYAT!$B:$O,4,FALSE()),"")</f>
        <v>CHINT</v>
      </c>
      <c r="L56" s="5">
        <f t="shared" si="7"/>
        <v>1884.6</v>
      </c>
      <c r="M56" s="5"/>
      <c r="N56" s="5"/>
      <c r="O56" s="5"/>
      <c r="P56" s="5" t="str">
        <f>IF($H56="","FIYAT_YOK",IFERROR(VLOOKUP($D56,FIYAT!$B:$P,15,FALSE()),""))</f>
        <v>OK</v>
      </c>
      <c r="Q56" s="5" t="s">
        <v>243</v>
      </c>
      <c r="R56" s="5" t="s">
        <v>184</v>
      </c>
      <c r="S56" s="5" t="s">
        <v>550</v>
      </c>
      <c r="T56" s="5" t="s">
        <v>89</v>
      </c>
      <c r="U56" s="5">
        <f>IFERROR(VLOOKUP($T56,KURALLAR!$A$32:$B$63,2,FALSE()),0)*IF(ISNUMBER($I56),$I56,0)</f>
        <v>12</v>
      </c>
    </row>
    <row r="57" spans="1:21" x14ac:dyDescent="0.25">
      <c r="A57" s="9">
        <v>56</v>
      </c>
      <c r="B57" s="9"/>
      <c r="C57" s="9" t="s">
        <v>192</v>
      </c>
      <c r="D57" s="9" t="s">
        <v>244</v>
      </c>
      <c r="E57" s="9" t="str">
        <f>IFERROR(VLOOKUP($D57,FIYAT!$B:$O,2,FALSE()),"")</f>
        <v>Авт. выкл. NXB-63 3P 40A 6кА х-ка C (R)</v>
      </c>
      <c r="F57" s="9">
        <f>IFERROR(VLOOKUP($D57,FIYAT!$B:$O,5,FALSE()),"")</f>
        <v>5647</v>
      </c>
      <c r="G57" s="9">
        <f>IFERROR(VLOOKUP($D57,FIYAT!$B:$O,8,FALSE()),"")</f>
        <v>3388.2</v>
      </c>
      <c r="H57" s="9">
        <f t="shared" si="6"/>
        <v>13552.8</v>
      </c>
      <c r="I57" s="6">
        <v>4</v>
      </c>
      <c r="J57" s="9" t="str">
        <f>IFERROR(VLOOKUP($D57,FIYAT!$B:$O,9,FALSE()),"")</f>
        <v>Шт.</v>
      </c>
      <c r="K57" s="9" t="str">
        <f>IFERROR(VLOOKUP($D57,FIYAT!$B:$O,4,FALSE()),"")</f>
        <v>CHINT</v>
      </c>
      <c r="L57" s="9">
        <f t="shared" si="7"/>
        <v>13552.8</v>
      </c>
      <c r="M57" s="9"/>
      <c r="N57" s="9"/>
      <c r="O57" s="9"/>
      <c r="P57" s="9" t="str">
        <f>IF($H57="","FIYAT_YOK",IFERROR(VLOOKUP($D57,FIYAT!$B:$P,15,FALSE()),""))</f>
        <v>OK</v>
      </c>
      <c r="Q57" s="9" t="s">
        <v>246</v>
      </c>
      <c r="R57" s="9" t="s">
        <v>171</v>
      </c>
      <c r="S57" s="9" t="s">
        <v>550</v>
      </c>
      <c r="T57" s="9" t="s">
        <v>51</v>
      </c>
      <c r="U57" s="9">
        <f>IFERROR(VLOOKUP($T57,KURALLAR!$A$32:$B$63,2,FALSE()),0)*IF(ISNUMBER($I57),$I57,0)</f>
        <v>32</v>
      </c>
    </row>
    <row r="58" spans="1:21" x14ac:dyDescent="0.25">
      <c r="A58" s="5">
        <v>57</v>
      </c>
      <c r="B58" s="5"/>
      <c r="C58" s="5" t="s">
        <v>81</v>
      </c>
      <c r="D58" s="5" t="s">
        <v>247</v>
      </c>
      <c r="E58" s="5" t="str">
        <f>IFERROR(VLOOKUP($D58,FIYAT!$B:$O,2,FALSE()),"")</f>
        <v>Трехфазный эл.счетчик EX 518 10(100)А (прям. подкл.) с PLC модулем</v>
      </c>
      <c r="F58" s="5">
        <f>IFERROR(VLOOKUP($D58,FIYAT!$B:$O,5,FALSE()),"")</f>
        <v>0</v>
      </c>
      <c r="G58" s="5" t="str">
        <f>IFERROR(VLOOKUP($D58,FIYAT!$B:$O,8,FALSE()),"")</f>
        <v/>
      </c>
      <c r="H58" s="5" t="str">
        <f t="shared" si="6"/>
        <v/>
      </c>
      <c r="I58" s="6">
        <v>2</v>
      </c>
      <c r="J58" s="5" t="str">
        <f>IFERROR(VLOOKUP($D58,FIYAT!$B:$O,9,FALSE()),"")</f>
        <v>Шт.</v>
      </c>
      <c r="K58" s="5" t="str">
        <f>IFERROR(VLOOKUP($D58,FIYAT!$B:$O,4,FALSE()),"")</f>
        <v>MUADIL-NET</v>
      </c>
      <c r="L58" s="5" t="str">
        <f t="shared" si="7"/>
        <v/>
      </c>
      <c r="M58" s="5"/>
      <c r="N58" s="5"/>
      <c r="O58" s="5"/>
      <c r="P58" s="7" t="str">
        <f>IF($H58="","FIYAT_YOK",IFERROR(VLOOKUP($D58,FIYAT!$B:$P,15,FALSE()),""))</f>
        <v>FIYAT_YOK</v>
      </c>
      <c r="Q58" s="7" t="s">
        <v>249</v>
      </c>
      <c r="R58" s="5"/>
      <c r="S58" s="5" t="s">
        <v>550</v>
      </c>
      <c r="T58" s="5" t="s">
        <v>81</v>
      </c>
      <c r="U58" s="5">
        <f>IFERROR(VLOOKUP($T58,KURALLAR!$A$32:$B$63,2,FALSE()),0)*IF(ISNUMBER($I58),$I58,0)</f>
        <v>60</v>
      </c>
    </row>
    <row r="59" spans="1:21" x14ac:dyDescent="0.25">
      <c r="A59" s="9">
        <v>58</v>
      </c>
      <c r="B59" s="9"/>
      <c r="C59" s="9" t="s">
        <v>253</v>
      </c>
      <c r="D59" s="9" t="s">
        <v>251</v>
      </c>
      <c r="E59" s="9" t="str">
        <f>IFERROR(VLOOKUP($D59,FIYAT!$B:$O,2,FALSE()),"")</f>
        <v>Шина алюминиевая твёрдая (ШАТ)</v>
      </c>
      <c r="F59" s="9">
        <f>IFERROR(VLOOKUP($D59,FIYAT!$B:$O,5,FALSE()),"")</f>
        <v>4493.5999999999995</v>
      </c>
      <c r="G59" s="9">
        <f>IFERROR(VLOOKUP($D59,FIYAT!$B:$O,8,FALSE()),"")</f>
        <v>4493.5999999999995</v>
      </c>
      <c r="H59" s="9">
        <f t="shared" si="6"/>
        <v>53923.199999999997</v>
      </c>
      <c r="I59" s="6">
        <v>12</v>
      </c>
      <c r="J59" s="9" t="str">
        <f>IFERROR(VLOOKUP($D59,FIYAT!$B:$O,9,FALSE()),"")</f>
        <v>Кг.</v>
      </c>
      <c r="K59" s="9" t="str">
        <f>IFERROR(VLOOKUP($D59,FIYAT!$B:$O,4,FALSE()),"")</f>
        <v>ALUM-BARA</v>
      </c>
      <c r="L59" s="9">
        <f t="shared" si="7"/>
        <v>53923.199999999997</v>
      </c>
      <c r="M59" s="9"/>
      <c r="N59" s="9"/>
      <c r="O59" s="9"/>
      <c r="P59" s="9" t="str">
        <f>IF($H59="","FIYAT_YOK",IFERROR(VLOOKUP($D59,FIYAT!$B:$P,15,FALSE()),""))</f>
        <v>VARSAYIM</v>
      </c>
      <c r="Q59" s="9" t="s">
        <v>255</v>
      </c>
      <c r="R59" s="9"/>
      <c r="S59" s="9" t="s">
        <v>550</v>
      </c>
      <c r="T59" s="9" t="s">
        <v>101</v>
      </c>
      <c r="U59" s="9">
        <f>IFERROR(VLOOKUP($T59,KURALLAR!$A$32:$B$63,2,FALSE()),0)*IF(ISNUMBER($I59),$I59,0)</f>
        <v>72</v>
      </c>
    </row>
    <row r="60" spans="1:21" x14ac:dyDescent="0.25">
      <c r="A60" s="5">
        <v>59</v>
      </c>
      <c r="B60" s="5"/>
      <c r="C60" s="5" t="s">
        <v>222</v>
      </c>
      <c r="D60" s="5" t="s">
        <v>261</v>
      </c>
      <c r="E60" s="5" t="str">
        <f>IFERROR(VLOOKUP($D60,FIYAT!$B:$O,2,FALSE()),"")</f>
        <v>Мет. Щит (2000x700x500) +10CM BAZA IP54</v>
      </c>
      <c r="F60" s="5">
        <f>IFERROR(VLOOKUP($D60,FIYAT!$B:$O,5,FALSE()),"")</f>
        <v>117250</v>
      </c>
      <c r="G60" s="5">
        <f>IFERROR(VLOOKUP($D60,FIYAT!$B:$O,8,FALSE()),"")</f>
        <v>70350</v>
      </c>
      <c r="H60" s="5">
        <f t="shared" si="6"/>
        <v>70350</v>
      </c>
      <c r="I60" s="6">
        <v>1</v>
      </c>
      <c r="J60" s="5" t="str">
        <f>IFERROR(VLOOKUP($D60,FIYAT!$B:$O,9,FALSE()),"")</f>
        <v>Шт.</v>
      </c>
      <c r="K60" s="5" t="str">
        <f>IFERROR(VLOOKUP($D60,FIYAT!$B:$O,4,FALSE()),"")</f>
        <v>KAZTEK</v>
      </c>
      <c r="L60" s="5">
        <f t="shared" si="7"/>
        <v>70350</v>
      </c>
      <c r="M60" s="5"/>
      <c r="N60" s="5"/>
      <c r="O60" s="5"/>
      <c r="P60" s="5" t="str">
        <f>IF($H60="","FIYAT_YOK",IFERROR(VLOOKUP($D60,FIYAT!$B:$P,15,FALSE()),""))</f>
        <v>VARSAYIM</v>
      </c>
      <c r="Q60" s="5" t="s">
        <v>263</v>
      </c>
      <c r="R60" s="5" t="s">
        <v>211</v>
      </c>
      <c r="S60" s="5" t="s">
        <v>550</v>
      </c>
      <c r="T60" s="5" t="s">
        <v>107</v>
      </c>
      <c r="U60" s="5">
        <f>IFERROR(VLOOKUP($T60,KURALLAR!$A$32:$B$63,2,FALSE()),0)*IF(ISNUMBER($I60),$I60,0)</f>
        <v>90</v>
      </c>
    </row>
    <row r="61" spans="1:21" x14ac:dyDescent="0.25">
      <c r="A61" s="9">
        <v>60</v>
      </c>
      <c r="B61" s="9"/>
      <c r="C61" s="9" t="s">
        <v>215</v>
      </c>
      <c r="D61" s="9" t="s">
        <v>213</v>
      </c>
      <c r="E61" s="9" t="str">
        <f>IFERROR(VLOOKUP($D61,FIYAT!$B:$O,2,FALSE()),"")</f>
        <v>Монтажный расходный материал (кабель, DIN-рейка, кабель-канал, клеммы, маркировка, крепёж)</v>
      </c>
      <c r="F61" s="9">
        <f>IFERROR(VLOOKUP($D61,FIYAT!$B:$O,5,FALSE()),"")</f>
        <v>0</v>
      </c>
      <c r="G61" s="9" t="str">
        <f>IFERROR(VLOOKUP($D61,FIYAT!$B:$O,8,FALSE()),"")</f>
        <v/>
      </c>
      <c r="H61" s="9">
        <f>ROUND(SUM($H$50:$H$60)*KURALLAR!$B$28,0)</f>
        <v>15632</v>
      </c>
      <c r="I61" s="6">
        <v>1</v>
      </c>
      <c r="J61" s="9" t="str">
        <f>IFERROR(VLOOKUP($D61,FIYAT!$B:$O,9,FALSE()),"")</f>
        <v>компл.</v>
      </c>
      <c r="K61" s="9" t="str">
        <f>IFERROR(VLOOKUP($D61,FIYAT!$B:$O,4,FALSE()),"")</f>
        <v>MUADIL-NET</v>
      </c>
      <c r="L61" s="9">
        <f t="shared" si="7"/>
        <v>15632</v>
      </c>
      <c r="M61" s="9"/>
      <c r="N61" s="9"/>
      <c r="O61" s="9"/>
      <c r="P61" s="9" t="str">
        <f>IF($H61="","FIYAT_YOK",IFERROR(VLOOKUP($D61,FIYAT!$B:$P,15,FALSE()),""))</f>
        <v>ORAN</v>
      </c>
      <c r="Q61" s="9" t="s">
        <v>218</v>
      </c>
      <c r="R61" s="9" t="s">
        <v>217</v>
      </c>
      <c r="S61" s="9" t="s">
        <v>550</v>
      </c>
      <c r="T61" s="9"/>
      <c r="U61" s="9">
        <v>0</v>
      </c>
    </row>
    <row r="62" spans="1:21" x14ac:dyDescent="0.25">
      <c r="A62" s="5">
        <v>61</v>
      </c>
      <c r="B62" s="5"/>
      <c r="C62" s="5" t="s">
        <v>227</v>
      </c>
      <c r="D62" s="5" t="s">
        <v>225</v>
      </c>
      <c r="E62" s="5" t="str">
        <f>IFERROR(VLOOKUP($D62,FIYAT!$B:$O,2,FALSE()),"")</f>
        <v>Сборка, кабелирование, маркировка, момент затяжки, испытания</v>
      </c>
      <c r="F62" s="5">
        <f>IFERROR(VLOOKUP($D62,FIYAT!$B:$O,5,FALSE()),"")</f>
        <v>100</v>
      </c>
      <c r="G62" s="5">
        <f>IFERROR(VLOOKUP($D62,FIYAT!$B:$O,8,FALSE()),"")</f>
        <v>100</v>
      </c>
      <c r="H62" s="5">
        <f>IF(OR($G62="",$I62=""),"",$G62*$I62)</f>
        <v>39700</v>
      </c>
      <c r="I62" s="6">
        <f>ROUND(SUM($U$50:$U$61)*KURALLAR!$B$27,0)</f>
        <v>397</v>
      </c>
      <c r="J62" s="5" t="str">
        <f>IFERROR(VLOOKUP($D62,FIYAT!$B:$O,9,FALSE()),"")</f>
        <v>мин</v>
      </c>
      <c r="K62" s="5" t="str">
        <f>IFERROR(VLOOKUP($D62,FIYAT!$B:$O,4,FALSE()),"")</f>
        <v>ISCILIK</v>
      </c>
      <c r="L62" s="5">
        <f t="shared" si="7"/>
        <v>39700</v>
      </c>
      <c r="M62" s="5"/>
      <c r="N62" s="5"/>
      <c r="O62" s="5"/>
      <c r="P62" s="5" t="str">
        <f>IF($H62="","FIYAT_YOK",IFERROR(VLOOKUP($D62,FIYAT!$B:$P,15,FALSE()),""))</f>
        <v>OK</v>
      </c>
      <c r="Q62" s="5" t="str">
        <f>CONCATENATE("montaj+test iscilik: ",TEXT($I62,"# ##0")," dk = ",TEXT($I62/60,"0,00")," saat (norm x test/etiket carpani)")</f>
        <v>montaj+test iscilik:  397 dk = 6,62 saat (norm x test/etiket carpani)</v>
      </c>
      <c r="R62" s="5" t="s">
        <v>229</v>
      </c>
      <c r="S62" s="5" t="s">
        <v>550</v>
      </c>
      <c r="T62" s="5"/>
      <c r="U62" s="5">
        <v>0</v>
      </c>
    </row>
    <row r="63" spans="1:21" x14ac:dyDescent="0.25">
      <c r="A63" s="10">
        <v>62</v>
      </c>
      <c r="B63" s="10" t="s">
        <v>557</v>
      </c>
      <c r="C63" s="10"/>
      <c r="D63" s="10"/>
      <c r="E63" s="10"/>
      <c r="F63" s="10"/>
      <c r="G63" s="10"/>
      <c r="H63" s="10">
        <f>SUBTOTAL(9,H50:H62)</f>
        <v>278643.59999999998</v>
      </c>
      <c r="I63" s="10"/>
      <c r="J63" s="10"/>
      <c r="K63" s="10"/>
      <c r="L63" s="10">
        <f>SUBTOTAL(9,L50:L62)</f>
        <v>278643.59999999998</v>
      </c>
      <c r="M63" s="10"/>
      <c r="N63" s="10"/>
      <c r="O63" s="10"/>
      <c r="P63" s="10"/>
      <c r="Q63" s="10"/>
      <c r="R63" s="10"/>
      <c r="S63" s="10"/>
      <c r="T63" s="10"/>
      <c r="U63" s="10">
        <f>SUBTOTAL(9,U50:U62)</f>
        <v>345</v>
      </c>
    </row>
    <row r="64" spans="1:21" x14ac:dyDescent="0.25">
      <c r="A64" s="8">
        <v>63</v>
      </c>
      <c r="B64" s="8" t="str">
        <f>E64</f>
        <v>BLOK A / ЩЭ-F24.2 — НКУ 380/220В 50Гц, FORM 2B, IP31/54</v>
      </c>
      <c r="C64" s="8" t="s">
        <v>545</v>
      </c>
      <c r="D64" s="8"/>
      <c r="E64" s="8" t="s">
        <v>558</v>
      </c>
      <c r="F64" s="8"/>
      <c r="G64" s="8"/>
      <c r="H64" s="8"/>
      <c r="I64" s="8">
        <v>1</v>
      </c>
      <c r="J64" s="8" t="s">
        <v>547</v>
      </c>
      <c r="K64" s="8"/>
      <c r="L64" s="8"/>
      <c r="M64" s="8"/>
      <c r="N64" s="8"/>
      <c r="O64" s="8"/>
      <c r="P64" s="8" t="s">
        <v>178</v>
      </c>
      <c r="Q64" s="8" t="s">
        <v>548</v>
      </c>
      <c r="R64" s="8" t="s">
        <v>549</v>
      </c>
      <c r="S64" s="8" t="s">
        <v>550</v>
      </c>
      <c r="T64" s="8"/>
      <c r="U64" s="8"/>
    </row>
    <row r="65" spans="1:21" x14ac:dyDescent="0.25">
      <c r="A65" s="9">
        <v>64</v>
      </c>
      <c r="B65" s="9"/>
      <c r="C65" s="9" t="s">
        <v>169</v>
      </c>
      <c r="D65" s="9" t="s">
        <v>259</v>
      </c>
      <c r="E65" s="9" t="str">
        <f>IFERROR(VLOOKUP($D65,FIYAT!$B:$O,2,FALSE()),"")</f>
        <v>Авт. выкл. NM8N-125C TM 3P 50А 36кА с рег. термомаг. расцепителем (R)</v>
      </c>
      <c r="F65" s="9">
        <f>IFERROR(VLOOKUP($D65,FIYAT!$B:$O,5,FALSE()),"")</f>
        <v>68025</v>
      </c>
      <c r="G65" s="9">
        <f>IFERROR(VLOOKUP($D65,FIYAT!$B:$O,8,FALSE()),"")</f>
        <v>40815</v>
      </c>
      <c r="H65" s="9">
        <f t="shared" ref="H65:H75" si="8">IF(OR($G65="",$I65=""),"",$G65*$I65)</f>
        <v>40815</v>
      </c>
      <c r="I65" s="6">
        <v>1</v>
      </c>
      <c r="J65" s="9" t="str">
        <f>IFERROR(VLOOKUP($D65,FIYAT!$B:$O,9,FALSE()),"")</f>
        <v>Шт.</v>
      </c>
      <c r="K65" s="9" t="str">
        <f>IFERROR(VLOOKUP($D65,FIYAT!$B:$O,4,FALSE()),"")</f>
        <v>CHINT</v>
      </c>
      <c r="L65" s="9">
        <f t="shared" ref="L65:L77" si="9">IF($H65="","",$H65)</f>
        <v>40815</v>
      </c>
      <c r="M65" s="9"/>
      <c r="N65" s="9"/>
      <c r="O65" s="9"/>
      <c r="P65" s="9" t="str">
        <f>IF($H65="","FIYAT_YOK",IFERROR(VLOOKUP($D65,FIYAT!$B:$P,15,FALSE()),""))</f>
        <v>MUADIL</v>
      </c>
      <c r="Q65" s="9" t="s">
        <v>172</v>
      </c>
      <c r="R65" s="9" t="s">
        <v>171</v>
      </c>
      <c r="S65" s="9" t="s">
        <v>550</v>
      </c>
      <c r="T65" s="9" t="s">
        <v>61</v>
      </c>
      <c r="U65" s="9">
        <f>IFERROR(VLOOKUP($T65,KURALLAR!$A$32:$B$63,2,FALSE()),0)*IF(ISNUMBER($I65),$I65,0)</f>
        <v>15</v>
      </c>
    </row>
    <row r="66" spans="1:21" x14ac:dyDescent="0.25">
      <c r="A66" s="5">
        <v>65</v>
      </c>
      <c r="B66" s="5"/>
      <c r="C66" s="5" t="s">
        <v>176</v>
      </c>
      <c r="D66" s="5" t="s">
        <v>174</v>
      </c>
      <c r="E66" s="5" t="str">
        <f>IFERROR(VLOOKUP($D66,FIYAT!$B:$O,2,FALSE()),"")</f>
        <v>УЗО NL1-63 6kA 4P 63A 300mA тип AC (R)</v>
      </c>
      <c r="F66" s="5">
        <f>IFERROR(VLOOKUP($D66,FIYAT!$B:$O,5,FALSE()),"")</f>
        <v>18106</v>
      </c>
      <c r="G66" s="5">
        <f>IFERROR(VLOOKUP($D66,FIYAT!$B:$O,8,FALSE()),"")</f>
        <v>10863.6</v>
      </c>
      <c r="H66" s="5">
        <f t="shared" si="8"/>
        <v>10863.6</v>
      </c>
      <c r="I66" s="6">
        <v>1</v>
      </c>
      <c r="J66" s="5" t="str">
        <f>IFERROR(VLOOKUP($D66,FIYAT!$B:$O,9,FALSE()),"")</f>
        <v>Шт.</v>
      </c>
      <c r="K66" s="5" t="str">
        <f>IFERROR(VLOOKUP($D66,FIYAT!$B:$O,4,FALSE()),"")</f>
        <v>CHINT</v>
      </c>
      <c r="L66" s="5">
        <f t="shared" si="9"/>
        <v>10863.6</v>
      </c>
      <c r="M66" s="5"/>
      <c r="N66" s="5"/>
      <c r="O66" s="5"/>
      <c r="P66" s="5" t="str">
        <f>IF($H66="","FIYAT_YOK",IFERROR(VLOOKUP($D66,FIYAT!$B:$P,15,FALSE()),""))</f>
        <v>OK</v>
      </c>
      <c r="Q66" s="5" t="s">
        <v>177</v>
      </c>
      <c r="R66" s="5" t="s">
        <v>171</v>
      </c>
      <c r="S66" s="5" t="s">
        <v>550</v>
      </c>
      <c r="T66" s="5" t="s">
        <v>57</v>
      </c>
      <c r="U66" s="5">
        <f>IFERROR(VLOOKUP($T66,KURALLAR!$A$32:$B$63,2,FALSE()),0)*IF(ISNUMBER($I66),$I66,0)</f>
        <v>10</v>
      </c>
    </row>
    <row r="67" spans="1:21" x14ac:dyDescent="0.25">
      <c r="A67" s="9">
        <v>66</v>
      </c>
      <c r="B67" s="9"/>
      <c r="C67" s="9" t="s">
        <v>79</v>
      </c>
      <c r="D67" s="9" t="s">
        <v>179</v>
      </c>
      <c r="E67" s="9" t="str">
        <f>IFERROR(VLOOKUP($D67,FIYAT!$B:$O,2,FALSE()),"")</f>
        <v>Держатель плавкой вставки RT36-00-160, габарит 00, 160А</v>
      </c>
      <c r="F67" s="9">
        <f>IFERROR(VLOOKUP($D67,FIYAT!$B:$O,5,FALSE()),"")</f>
        <v>2038</v>
      </c>
      <c r="G67" s="9">
        <f>IFERROR(VLOOKUP($D67,FIYAT!$B:$O,8,FALSE()),"")</f>
        <v>1222.8</v>
      </c>
      <c r="H67" s="9">
        <f t="shared" si="8"/>
        <v>4891.2</v>
      </c>
      <c r="I67" s="6">
        <v>4</v>
      </c>
      <c r="J67" s="9" t="str">
        <f>IFERROR(VLOOKUP($D67,FIYAT!$B:$O,9,FALSE()),"")</f>
        <v>Шт.</v>
      </c>
      <c r="K67" s="9" t="str">
        <f>IFERROR(VLOOKUP($D67,FIYAT!$B:$O,4,FALSE()),"")</f>
        <v>CHINT</v>
      </c>
      <c r="L67" s="9">
        <f t="shared" si="9"/>
        <v>4891.2</v>
      </c>
      <c r="M67" s="9"/>
      <c r="N67" s="9"/>
      <c r="O67" s="9"/>
      <c r="P67" s="9" t="str">
        <f>IF($H67="","FIYAT_YOK",IFERROR(VLOOKUP($D67,FIYAT!$B:$P,15,FALSE()),""))</f>
        <v>MUADIL</v>
      </c>
      <c r="Q67" s="9" t="s">
        <v>181</v>
      </c>
      <c r="R67" s="9" t="s">
        <v>171</v>
      </c>
      <c r="S67" s="9" t="s">
        <v>550</v>
      </c>
      <c r="T67" s="9" t="s">
        <v>77</v>
      </c>
      <c r="U67" s="9">
        <f>IFERROR(VLOOKUP($T67,KURALLAR!$A$32:$B$63,2,FALSE()),0)*IF(ISNUMBER($I67),$I67,0)</f>
        <v>20</v>
      </c>
    </row>
    <row r="68" spans="1:21" x14ac:dyDescent="0.25">
      <c r="A68" s="5">
        <v>67</v>
      </c>
      <c r="B68" s="5"/>
      <c r="C68" s="5" t="s">
        <v>79</v>
      </c>
      <c r="D68" s="5" t="s">
        <v>182</v>
      </c>
      <c r="E68" s="5" t="str">
        <f>IFERROR(VLOOKUP($D68,FIYAT!$B:$O,2,FALSE()),"")</f>
        <v>Плавкая вставка предохранителя RT36-00-160, габарит 00, 63А</v>
      </c>
      <c r="F68" s="5">
        <f>IFERROR(VLOOKUP($D68,FIYAT!$B:$O,5,FALSE()),"")</f>
        <v>1525</v>
      </c>
      <c r="G68" s="5">
        <f>IFERROR(VLOOKUP($D68,FIYAT!$B:$O,8,FALSE()),"")</f>
        <v>915</v>
      </c>
      <c r="H68" s="5">
        <f t="shared" si="8"/>
        <v>3660</v>
      </c>
      <c r="I68" s="6">
        <v>4</v>
      </c>
      <c r="J68" s="5" t="str">
        <f>IFERROR(VLOOKUP($D68,FIYAT!$B:$O,9,FALSE()),"")</f>
        <v>Шт.</v>
      </c>
      <c r="K68" s="5" t="str">
        <f>IFERROR(VLOOKUP($D68,FIYAT!$B:$O,4,FALSE()),"")</f>
        <v>CHINT</v>
      </c>
      <c r="L68" s="5">
        <f t="shared" si="9"/>
        <v>3660</v>
      </c>
      <c r="M68" s="5"/>
      <c r="N68" s="5"/>
      <c r="O68" s="5"/>
      <c r="P68" s="5" t="str">
        <f>IF($H68="","FIYAT_YOK",IFERROR(VLOOKUP($D68,FIYAT!$B:$P,15,FALSE()),""))</f>
        <v>MUADIL</v>
      </c>
      <c r="Q68" s="5" t="s">
        <v>185</v>
      </c>
      <c r="R68" s="5" t="s">
        <v>184</v>
      </c>
      <c r="S68" s="5" t="s">
        <v>550</v>
      </c>
      <c r="T68" s="5" t="s">
        <v>79</v>
      </c>
      <c r="U68" s="5">
        <f>IFERROR(VLOOKUP($T68,KURALLAR!$A$32:$B$63,2,FALSE()),0)*IF(ISNUMBER($I68),$I68,0)</f>
        <v>12</v>
      </c>
    </row>
    <row r="69" spans="1:21" x14ac:dyDescent="0.25">
      <c r="A69" s="9">
        <v>68</v>
      </c>
      <c r="B69" s="9"/>
      <c r="C69" s="9" t="s">
        <v>75</v>
      </c>
      <c r="D69" s="9" t="s">
        <v>186</v>
      </c>
      <c r="E69" s="9" t="str">
        <f>IFERROR(VLOOKUP($D69,FIYAT!$B:$O,2,FALSE()),"")</f>
        <v>Ограничитель имп. перенапр. NU6-IIG 4Р In=25kA Uc=440B Im=65kA (R)</v>
      </c>
      <c r="F69" s="9">
        <f>IFERROR(VLOOKUP($D69,FIYAT!$B:$O,5,FALSE()),"")</f>
        <v>33208</v>
      </c>
      <c r="G69" s="9">
        <f>IFERROR(VLOOKUP($D69,FIYAT!$B:$O,8,FALSE()),"")</f>
        <v>19924.8</v>
      </c>
      <c r="H69" s="9">
        <f t="shared" si="8"/>
        <v>19924.8</v>
      </c>
      <c r="I69" s="6">
        <v>1</v>
      </c>
      <c r="J69" s="9" t="str">
        <f>IFERROR(VLOOKUP($D69,FIYAT!$B:$O,9,FALSE()),"")</f>
        <v>Шт.</v>
      </c>
      <c r="K69" s="9" t="str">
        <f>IFERROR(VLOOKUP($D69,FIYAT!$B:$O,4,FALSE()),"")</f>
        <v>CHINT</v>
      </c>
      <c r="L69" s="9">
        <f t="shared" si="9"/>
        <v>19924.8</v>
      </c>
      <c r="M69" s="9"/>
      <c r="N69" s="9"/>
      <c r="O69" s="9"/>
      <c r="P69" s="9" t="str">
        <f>IF($H69="","FIYAT_YOK",IFERROR(VLOOKUP($D69,FIYAT!$B:$P,15,FALSE()),""))</f>
        <v>MUADIL_ONAY</v>
      </c>
      <c r="Q69" s="9" t="s">
        <v>188</v>
      </c>
      <c r="R69" s="9" t="s">
        <v>184</v>
      </c>
      <c r="S69" s="9" t="s">
        <v>550</v>
      </c>
      <c r="T69" s="9" t="s">
        <v>75</v>
      </c>
      <c r="U69" s="9">
        <f>IFERROR(VLOOKUP($T69,KURALLAR!$A$32:$B$63,2,FALSE()),0)*IF(ISNUMBER($I69),$I69,0)</f>
        <v>10</v>
      </c>
    </row>
    <row r="70" spans="1:21" x14ac:dyDescent="0.25">
      <c r="A70" s="5">
        <v>69</v>
      </c>
      <c r="B70" s="5"/>
      <c r="C70" s="5" t="s">
        <v>192</v>
      </c>
      <c r="D70" s="5" t="s">
        <v>238</v>
      </c>
      <c r="E70" s="5" t="str">
        <f>IFERROR(VLOOKUP($D70,FIYAT!$B:$O,2,FALSE()),"")</f>
        <v>Авт. выкл. NXB-63 1P 6A 6кА х-ка C (R)</v>
      </c>
      <c r="F70" s="5">
        <f>IFERROR(VLOOKUP($D70,FIYAT!$B:$O,5,FALSE()),"")</f>
        <v>1436</v>
      </c>
      <c r="G70" s="5">
        <f>IFERROR(VLOOKUP($D70,FIYAT!$B:$O,8,FALSE()),"")</f>
        <v>861.6</v>
      </c>
      <c r="H70" s="5">
        <f t="shared" si="8"/>
        <v>3446.4</v>
      </c>
      <c r="I70" s="6">
        <v>4</v>
      </c>
      <c r="J70" s="5" t="str">
        <f>IFERROR(VLOOKUP($D70,FIYAT!$B:$O,9,FALSE()),"")</f>
        <v>Шт.</v>
      </c>
      <c r="K70" s="5" t="str">
        <f>IFERROR(VLOOKUP($D70,FIYAT!$B:$O,4,FALSE()),"")</f>
        <v>CHINT</v>
      </c>
      <c r="L70" s="5">
        <f t="shared" si="9"/>
        <v>3446.4</v>
      </c>
      <c r="M70" s="5"/>
      <c r="N70" s="5"/>
      <c r="O70" s="5"/>
      <c r="P70" s="5" t="str">
        <f>IF($H70="","FIYAT_YOK",IFERROR(VLOOKUP($D70,FIYAT!$B:$P,15,FALSE()),""))</f>
        <v>OK</v>
      </c>
      <c r="Q70" s="5" t="s">
        <v>240</v>
      </c>
      <c r="R70" s="5" t="s">
        <v>171</v>
      </c>
      <c r="S70" s="5" t="s">
        <v>550</v>
      </c>
      <c r="T70" s="5" t="s">
        <v>47</v>
      </c>
      <c r="U70" s="5">
        <f>IFERROR(VLOOKUP($T70,KURALLAR!$A$32:$B$63,2,FALSE()),0)*IF(ISNUMBER($I70),$I70,0)</f>
        <v>12</v>
      </c>
    </row>
    <row r="71" spans="1:21" x14ac:dyDescent="0.25">
      <c r="A71" s="9">
        <v>70</v>
      </c>
      <c r="B71" s="9"/>
      <c r="C71" s="9" t="s">
        <v>89</v>
      </c>
      <c r="D71" s="9" t="s">
        <v>241</v>
      </c>
      <c r="E71" s="9" t="str">
        <f>IFERROR(VLOOKUP($D71,FIYAT!$B:$O,2,FALSE()),"")</f>
        <v>Индикатор ND16-22DS/4 белый АС230В (R)</v>
      </c>
      <c r="F71" s="9">
        <f>IFERROR(VLOOKUP($D71,FIYAT!$B:$O,5,FALSE()),"")</f>
        <v>1047</v>
      </c>
      <c r="G71" s="9">
        <f>IFERROR(VLOOKUP($D71,FIYAT!$B:$O,8,FALSE()),"")</f>
        <v>628.19999999999993</v>
      </c>
      <c r="H71" s="9">
        <f t="shared" si="8"/>
        <v>1884.6</v>
      </c>
      <c r="I71" s="6">
        <v>3</v>
      </c>
      <c r="J71" s="9" t="str">
        <f>IFERROR(VLOOKUP($D71,FIYAT!$B:$O,9,FALSE()),"")</f>
        <v>Шт.</v>
      </c>
      <c r="K71" s="9" t="str">
        <f>IFERROR(VLOOKUP($D71,FIYAT!$B:$O,4,FALSE()),"")</f>
        <v>CHINT</v>
      </c>
      <c r="L71" s="9">
        <f t="shared" si="9"/>
        <v>1884.6</v>
      </c>
      <c r="M71" s="9"/>
      <c r="N71" s="9"/>
      <c r="O71" s="9"/>
      <c r="P71" s="9" t="str">
        <f>IF($H71="","FIYAT_YOK",IFERROR(VLOOKUP($D71,FIYAT!$B:$P,15,FALSE()),""))</f>
        <v>OK</v>
      </c>
      <c r="Q71" s="9" t="s">
        <v>243</v>
      </c>
      <c r="R71" s="9" t="s">
        <v>184</v>
      </c>
      <c r="S71" s="9" t="s">
        <v>550</v>
      </c>
      <c r="T71" s="9" t="s">
        <v>89</v>
      </c>
      <c r="U71" s="9">
        <f>IFERROR(VLOOKUP($T71,KURALLAR!$A$32:$B$63,2,FALSE()),0)*IF(ISNUMBER($I71),$I71,0)</f>
        <v>12</v>
      </c>
    </row>
    <row r="72" spans="1:21" x14ac:dyDescent="0.25">
      <c r="A72" s="5">
        <v>71</v>
      </c>
      <c r="B72" s="5"/>
      <c r="C72" s="5" t="s">
        <v>192</v>
      </c>
      <c r="D72" s="5" t="s">
        <v>244</v>
      </c>
      <c r="E72" s="5" t="str">
        <f>IFERROR(VLOOKUP($D72,FIYAT!$B:$O,2,FALSE()),"")</f>
        <v>Авт. выкл. NXB-63 3P 40A 6кА х-ка C (R)</v>
      </c>
      <c r="F72" s="5">
        <f>IFERROR(VLOOKUP($D72,FIYAT!$B:$O,5,FALSE()),"")</f>
        <v>5647</v>
      </c>
      <c r="G72" s="5">
        <f>IFERROR(VLOOKUP($D72,FIYAT!$B:$O,8,FALSE()),"")</f>
        <v>3388.2</v>
      </c>
      <c r="H72" s="5">
        <f t="shared" si="8"/>
        <v>13552.8</v>
      </c>
      <c r="I72" s="6">
        <v>4</v>
      </c>
      <c r="J72" s="5" t="str">
        <f>IFERROR(VLOOKUP($D72,FIYAT!$B:$O,9,FALSE()),"")</f>
        <v>Шт.</v>
      </c>
      <c r="K72" s="5" t="str">
        <f>IFERROR(VLOOKUP($D72,FIYAT!$B:$O,4,FALSE()),"")</f>
        <v>CHINT</v>
      </c>
      <c r="L72" s="5">
        <f t="shared" si="9"/>
        <v>13552.8</v>
      </c>
      <c r="M72" s="5"/>
      <c r="N72" s="5"/>
      <c r="O72" s="5"/>
      <c r="P72" s="5" t="str">
        <f>IF($H72="","FIYAT_YOK",IFERROR(VLOOKUP($D72,FIYAT!$B:$P,15,FALSE()),""))</f>
        <v>OK</v>
      </c>
      <c r="Q72" s="5" t="s">
        <v>246</v>
      </c>
      <c r="R72" s="5" t="s">
        <v>171</v>
      </c>
      <c r="S72" s="5" t="s">
        <v>550</v>
      </c>
      <c r="T72" s="5" t="s">
        <v>51</v>
      </c>
      <c r="U72" s="5">
        <f>IFERROR(VLOOKUP($T72,KURALLAR!$A$32:$B$63,2,FALSE()),0)*IF(ISNUMBER($I72),$I72,0)</f>
        <v>32</v>
      </c>
    </row>
    <row r="73" spans="1:21" x14ac:dyDescent="0.25">
      <c r="A73" s="9">
        <v>72</v>
      </c>
      <c r="B73" s="9"/>
      <c r="C73" s="9" t="s">
        <v>81</v>
      </c>
      <c r="D73" s="9" t="s">
        <v>247</v>
      </c>
      <c r="E73" s="9" t="str">
        <f>IFERROR(VLOOKUP($D73,FIYAT!$B:$O,2,FALSE()),"")</f>
        <v>Трехфазный эл.счетчик EX 518 10(100)А (прям. подкл.) с PLC модулем</v>
      </c>
      <c r="F73" s="9">
        <f>IFERROR(VLOOKUP($D73,FIYAT!$B:$O,5,FALSE()),"")</f>
        <v>0</v>
      </c>
      <c r="G73" s="9" t="str">
        <f>IFERROR(VLOOKUP($D73,FIYAT!$B:$O,8,FALSE()),"")</f>
        <v/>
      </c>
      <c r="H73" s="9" t="str">
        <f t="shared" si="8"/>
        <v/>
      </c>
      <c r="I73" s="6">
        <v>2</v>
      </c>
      <c r="J73" s="9" t="str">
        <f>IFERROR(VLOOKUP($D73,FIYAT!$B:$O,9,FALSE()),"")</f>
        <v>Шт.</v>
      </c>
      <c r="K73" s="9" t="str">
        <f>IFERROR(VLOOKUP($D73,FIYAT!$B:$O,4,FALSE()),"")</f>
        <v>MUADIL-NET</v>
      </c>
      <c r="L73" s="9" t="str">
        <f t="shared" si="9"/>
        <v/>
      </c>
      <c r="M73" s="9"/>
      <c r="N73" s="9"/>
      <c r="O73" s="9"/>
      <c r="P73" s="7" t="str">
        <f>IF($H73="","FIYAT_YOK",IFERROR(VLOOKUP($D73,FIYAT!$B:$P,15,FALSE()),""))</f>
        <v>FIYAT_YOK</v>
      </c>
      <c r="Q73" s="7" t="s">
        <v>249</v>
      </c>
      <c r="R73" s="9"/>
      <c r="S73" s="9" t="s">
        <v>550</v>
      </c>
      <c r="T73" s="9" t="s">
        <v>81</v>
      </c>
      <c r="U73" s="9">
        <f>IFERROR(VLOOKUP($T73,KURALLAR!$A$32:$B$63,2,FALSE()),0)*IF(ISNUMBER($I73),$I73,0)</f>
        <v>60</v>
      </c>
    </row>
    <row r="74" spans="1:21" x14ac:dyDescent="0.25">
      <c r="A74" s="5">
        <v>73</v>
      </c>
      <c r="B74" s="5"/>
      <c r="C74" s="5" t="s">
        <v>253</v>
      </c>
      <c r="D74" s="5" t="s">
        <v>251</v>
      </c>
      <c r="E74" s="5" t="str">
        <f>IFERROR(VLOOKUP($D74,FIYAT!$B:$O,2,FALSE()),"")</f>
        <v>Шина алюминиевая твёрдая (ШАТ)</v>
      </c>
      <c r="F74" s="5">
        <f>IFERROR(VLOOKUP($D74,FIYAT!$B:$O,5,FALSE()),"")</f>
        <v>4493.5999999999995</v>
      </c>
      <c r="G74" s="5">
        <f>IFERROR(VLOOKUP($D74,FIYAT!$B:$O,8,FALSE()),"")</f>
        <v>4493.5999999999995</v>
      </c>
      <c r="H74" s="5">
        <f t="shared" si="8"/>
        <v>53923.199999999997</v>
      </c>
      <c r="I74" s="6">
        <v>12</v>
      </c>
      <c r="J74" s="5" t="str">
        <f>IFERROR(VLOOKUP($D74,FIYAT!$B:$O,9,FALSE()),"")</f>
        <v>Кг.</v>
      </c>
      <c r="K74" s="5" t="str">
        <f>IFERROR(VLOOKUP($D74,FIYAT!$B:$O,4,FALSE()),"")</f>
        <v>ALUM-BARA</v>
      </c>
      <c r="L74" s="5">
        <f t="shared" si="9"/>
        <v>53923.199999999997</v>
      </c>
      <c r="M74" s="5"/>
      <c r="N74" s="5"/>
      <c r="O74" s="5"/>
      <c r="P74" s="5" t="str">
        <f>IF($H74="","FIYAT_YOK",IFERROR(VLOOKUP($D74,FIYAT!$B:$P,15,FALSE()),""))</f>
        <v>VARSAYIM</v>
      </c>
      <c r="Q74" s="5" t="s">
        <v>255</v>
      </c>
      <c r="R74" s="5"/>
      <c r="S74" s="5" t="s">
        <v>550</v>
      </c>
      <c r="T74" s="5" t="s">
        <v>101</v>
      </c>
      <c r="U74" s="5">
        <f>IFERROR(VLOOKUP($T74,KURALLAR!$A$32:$B$63,2,FALSE()),0)*IF(ISNUMBER($I74),$I74,0)</f>
        <v>72</v>
      </c>
    </row>
    <row r="75" spans="1:21" x14ac:dyDescent="0.25">
      <c r="A75" s="9">
        <v>74</v>
      </c>
      <c r="B75" s="9"/>
      <c r="C75" s="9" t="s">
        <v>222</v>
      </c>
      <c r="D75" s="9" t="s">
        <v>261</v>
      </c>
      <c r="E75" s="9" t="str">
        <f>IFERROR(VLOOKUP($D75,FIYAT!$B:$O,2,FALSE()),"")</f>
        <v>Мет. Щит (2000x700x500) +10CM BAZA IP54</v>
      </c>
      <c r="F75" s="9">
        <f>IFERROR(VLOOKUP($D75,FIYAT!$B:$O,5,FALSE()),"")</f>
        <v>117250</v>
      </c>
      <c r="G75" s="9">
        <f>IFERROR(VLOOKUP($D75,FIYAT!$B:$O,8,FALSE()),"")</f>
        <v>70350</v>
      </c>
      <c r="H75" s="9">
        <f t="shared" si="8"/>
        <v>70350</v>
      </c>
      <c r="I75" s="6">
        <v>1</v>
      </c>
      <c r="J75" s="9" t="str">
        <f>IFERROR(VLOOKUP($D75,FIYAT!$B:$O,9,FALSE()),"")</f>
        <v>Шт.</v>
      </c>
      <c r="K75" s="9" t="str">
        <f>IFERROR(VLOOKUP($D75,FIYAT!$B:$O,4,FALSE()),"")</f>
        <v>KAZTEK</v>
      </c>
      <c r="L75" s="9">
        <f t="shared" si="9"/>
        <v>70350</v>
      </c>
      <c r="M75" s="9"/>
      <c r="N75" s="9"/>
      <c r="O75" s="9"/>
      <c r="P75" s="9" t="str">
        <f>IF($H75="","FIYAT_YOK",IFERROR(VLOOKUP($D75,FIYAT!$B:$P,15,FALSE()),""))</f>
        <v>VARSAYIM</v>
      </c>
      <c r="Q75" s="9" t="s">
        <v>263</v>
      </c>
      <c r="R75" s="9" t="s">
        <v>211</v>
      </c>
      <c r="S75" s="9" t="s">
        <v>550</v>
      </c>
      <c r="T75" s="9" t="s">
        <v>107</v>
      </c>
      <c r="U75" s="9">
        <f>IFERROR(VLOOKUP($T75,KURALLAR!$A$32:$B$63,2,FALSE()),0)*IF(ISNUMBER($I75),$I75,0)</f>
        <v>90</v>
      </c>
    </row>
    <row r="76" spans="1:21" x14ac:dyDescent="0.25">
      <c r="A76" s="5">
        <v>75</v>
      </c>
      <c r="B76" s="5"/>
      <c r="C76" s="5" t="s">
        <v>215</v>
      </c>
      <c r="D76" s="5" t="s">
        <v>213</v>
      </c>
      <c r="E76" s="5" t="str">
        <f>IFERROR(VLOOKUP($D76,FIYAT!$B:$O,2,FALSE()),"")</f>
        <v>Монтажный расходный материал (кабель, DIN-рейка, кабель-канал, клеммы, маркировка, крепёж)</v>
      </c>
      <c r="F76" s="5">
        <f>IFERROR(VLOOKUP($D76,FIYAT!$B:$O,5,FALSE()),"")</f>
        <v>0</v>
      </c>
      <c r="G76" s="5" t="str">
        <f>IFERROR(VLOOKUP($D76,FIYAT!$B:$O,8,FALSE()),"")</f>
        <v/>
      </c>
      <c r="H76" s="5">
        <f>ROUND(SUM($H$65:$H$75)*KURALLAR!$B$28,0)</f>
        <v>15632</v>
      </c>
      <c r="I76" s="6">
        <v>1</v>
      </c>
      <c r="J76" s="5" t="str">
        <f>IFERROR(VLOOKUP($D76,FIYAT!$B:$O,9,FALSE()),"")</f>
        <v>компл.</v>
      </c>
      <c r="K76" s="5" t="str">
        <f>IFERROR(VLOOKUP($D76,FIYAT!$B:$O,4,FALSE()),"")</f>
        <v>MUADIL-NET</v>
      </c>
      <c r="L76" s="5">
        <f t="shared" si="9"/>
        <v>15632</v>
      </c>
      <c r="M76" s="5"/>
      <c r="N76" s="5"/>
      <c r="O76" s="5"/>
      <c r="P76" s="5" t="str">
        <f>IF($H76="","FIYAT_YOK",IFERROR(VLOOKUP($D76,FIYAT!$B:$P,15,FALSE()),""))</f>
        <v>ORAN</v>
      </c>
      <c r="Q76" s="5" t="s">
        <v>218</v>
      </c>
      <c r="R76" s="5" t="s">
        <v>217</v>
      </c>
      <c r="S76" s="5" t="s">
        <v>550</v>
      </c>
      <c r="T76" s="5"/>
      <c r="U76" s="5">
        <v>0</v>
      </c>
    </row>
    <row r="77" spans="1:21" x14ac:dyDescent="0.25">
      <c r="A77" s="9">
        <v>76</v>
      </c>
      <c r="B77" s="9"/>
      <c r="C77" s="9" t="s">
        <v>227</v>
      </c>
      <c r="D77" s="9" t="s">
        <v>225</v>
      </c>
      <c r="E77" s="9" t="str">
        <f>IFERROR(VLOOKUP($D77,FIYAT!$B:$O,2,FALSE()),"")</f>
        <v>Сборка, кабелирование, маркировка, момент затяжки, испытания</v>
      </c>
      <c r="F77" s="9">
        <f>IFERROR(VLOOKUP($D77,FIYAT!$B:$O,5,FALSE()),"")</f>
        <v>100</v>
      </c>
      <c r="G77" s="9">
        <f>IFERROR(VLOOKUP($D77,FIYAT!$B:$O,8,FALSE()),"")</f>
        <v>100</v>
      </c>
      <c r="H77" s="9">
        <f>IF(OR($G77="",$I77=""),"",$G77*$I77)</f>
        <v>39700</v>
      </c>
      <c r="I77" s="6">
        <f>ROUND(SUM($U$65:$U$76)*KURALLAR!$B$27,0)</f>
        <v>397</v>
      </c>
      <c r="J77" s="9" t="str">
        <f>IFERROR(VLOOKUP($D77,FIYAT!$B:$O,9,FALSE()),"")</f>
        <v>мин</v>
      </c>
      <c r="K77" s="9" t="str">
        <f>IFERROR(VLOOKUP($D77,FIYAT!$B:$O,4,FALSE()),"")</f>
        <v>ISCILIK</v>
      </c>
      <c r="L77" s="9">
        <f t="shared" si="9"/>
        <v>39700</v>
      </c>
      <c r="M77" s="9"/>
      <c r="N77" s="9"/>
      <c r="O77" s="9"/>
      <c r="P77" s="9" t="str">
        <f>IF($H77="","FIYAT_YOK",IFERROR(VLOOKUP($D77,FIYAT!$B:$P,15,FALSE()),""))</f>
        <v>OK</v>
      </c>
      <c r="Q77" s="9" t="str">
        <f>CONCATENATE("montaj+test iscilik: ",TEXT($I77,"# ##0")," dk = ",TEXT($I77/60,"0,00")," saat (norm x test/etiket carpani)")</f>
        <v>montaj+test iscilik:  397 dk = 6,62 saat (norm x test/etiket carpani)</v>
      </c>
      <c r="R77" s="9" t="s">
        <v>229</v>
      </c>
      <c r="S77" s="9" t="s">
        <v>550</v>
      </c>
      <c r="T77" s="9"/>
      <c r="U77" s="9">
        <v>0</v>
      </c>
    </row>
    <row r="78" spans="1:21" x14ac:dyDescent="0.25">
      <c r="A78" s="10">
        <v>77</v>
      </c>
      <c r="B78" s="10" t="s">
        <v>559</v>
      </c>
      <c r="C78" s="10"/>
      <c r="D78" s="10"/>
      <c r="E78" s="10"/>
      <c r="F78" s="10"/>
      <c r="G78" s="10"/>
      <c r="H78" s="10">
        <f>SUBTOTAL(9,H65:H77)</f>
        <v>278643.59999999998</v>
      </c>
      <c r="I78" s="10"/>
      <c r="J78" s="10"/>
      <c r="K78" s="10"/>
      <c r="L78" s="10">
        <f>SUBTOTAL(9,L65:L77)</f>
        <v>278643.59999999998</v>
      </c>
      <c r="M78" s="10"/>
      <c r="N78" s="10"/>
      <c r="O78" s="10"/>
      <c r="P78" s="10"/>
      <c r="Q78" s="10"/>
      <c r="R78" s="10"/>
      <c r="S78" s="10"/>
      <c r="T78" s="10"/>
      <c r="U78" s="10">
        <f>SUBTOTAL(9,U65:U77)</f>
        <v>345</v>
      </c>
    </row>
    <row r="79" spans="1:21" x14ac:dyDescent="0.25">
      <c r="A79" s="8">
        <v>78</v>
      </c>
      <c r="B79" s="8" t="str">
        <f>E79</f>
        <v>BLOK A / 24F-ЩК(1-4) — НКУ 380/220В 50Гц, FORM 2B, IP31/54</v>
      </c>
      <c r="C79" s="8" t="s">
        <v>545</v>
      </c>
      <c r="D79" s="8"/>
      <c r="E79" s="8" t="s">
        <v>560</v>
      </c>
      <c r="F79" s="8"/>
      <c r="G79" s="8"/>
      <c r="H79" s="8"/>
      <c r="I79" s="8">
        <v>1</v>
      </c>
      <c r="J79" s="8" t="s">
        <v>547</v>
      </c>
      <c r="K79" s="8"/>
      <c r="L79" s="8"/>
      <c r="M79" s="8"/>
      <c r="N79" s="8"/>
      <c r="O79" s="8"/>
      <c r="P79" s="8" t="s">
        <v>178</v>
      </c>
      <c r="Q79" s="8" t="s">
        <v>548</v>
      </c>
      <c r="R79" s="8" t="s">
        <v>549</v>
      </c>
      <c r="S79" s="8" t="s">
        <v>550</v>
      </c>
      <c r="T79" s="8"/>
      <c r="U79" s="8"/>
    </row>
    <row r="80" spans="1:21" x14ac:dyDescent="0.25">
      <c r="A80" s="5">
        <v>79</v>
      </c>
      <c r="B80" s="5"/>
      <c r="C80" s="5" t="s">
        <v>169</v>
      </c>
      <c r="D80" s="5" t="s">
        <v>231</v>
      </c>
      <c r="E80" s="5" t="str">
        <f>IFERROR(VLOOKUP($D80,FIYAT!$B:$O,2,FALSE()),"")</f>
        <v>Авт. выкл. NM8N-125C TM 3P 80А 36кА с рег. термомаг. расцепителем (R)</v>
      </c>
      <c r="F80" s="5">
        <f>IFERROR(VLOOKUP($D80,FIYAT!$B:$O,5,FALSE()),"")</f>
        <v>64129</v>
      </c>
      <c r="G80" s="5">
        <f>IFERROR(VLOOKUP($D80,FIYAT!$B:$O,8,FALSE()),"")</f>
        <v>38477.4</v>
      </c>
      <c r="H80" s="5">
        <f t="shared" ref="H80:H94" si="10">IF(OR($G80="",$I80=""),"",$G80*$I80)</f>
        <v>38477.4</v>
      </c>
      <c r="I80" s="6">
        <v>1</v>
      </c>
      <c r="J80" s="5" t="str">
        <f>IFERROR(VLOOKUP($D80,FIYAT!$B:$O,9,FALSE()),"")</f>
        <v>Шт.</v>
      </c>
      <c r="K80" s="5" t="str">
        <f>IFERROR(VLOOKUP($D80,FIYAT!$B:$O,4,FALSE()),"")</f>
        <v>CHINT</v>
      </c>
      <c r="L80" s="5">
        <f t="shared" ref="L80:L96" si="11">IF($H80="","",$H80)</f>
        <v>38477.4</v>
      </c>
      <c r="M80" s="5"/>
      <c r="N80" s="5"/>
      <c r="O80" s="5"/>
      <c r="P80" s="5" t="str">
        <f>IF($H80="","FIYAT_YOK",IFERROR(VLOOKUP($D80,FIYAT!$B:$P,15,FALSE()),""))</f>
        <v>OK</v>
      </c>
      <c r="Q80" s="5" t="s">
        <v>233</v>
      </c>
      <c r="R80" s="5" t="s">
        <v>171</v>
      </c>
      <c r="S80" s="5" t="s">
        <v>550</v>
      </c>
      <c r="T80" s="5" t="s">
        <v>61</v>
      </c>
      <c r="U80" s="5">
        <f>IFERROR(VLOOKUP($T80,KURALLAR!$A$32:$B$63,2,FALSE()),0)*IF(ISNUMBER($I80),$I80,0)</f>
        <v>15</v>
      </c>
    </row>
    <row r="81" spans="1:21" x14ac:dyDescent="0.25">
      <c r="A81" s="9">
        <v>80</v>
      </c>
      <c r="B81" s="9"/>
      <c r="C81" s="9" t="s">
        <v>176</v>
      </c>
      <c r="D81" s="9" t="s">
        <v>234</v>
      </c>
      <c r="E81" s="9" t="str">
        <f>IFERROR(VLOOKUP($D81,FIYAT!$B:$O,2,FALSE()),"")</f>
        <v>Диф. модуль NM8NL-125 4P RCD1 X рег. ток утечки 0,03-0,05-0,1-0,2-0,3-0,5-1-2 A (R)</v>
      </c>
      <c r="F81" s="9">
        <f>IFERROR(VLOOKUP($D81,FIYAT!$B:$O,5,FALSE()),"")</f>
        <v>83791</v>
      </c>
      <c r="G81" s="9">
        <f>IFERROR(VLOOKUP($D81,FIYAT!$B:$O,8,FALSE()),"")</f>
        <v>50274.6</v>
      </c>
      <c r="H81" s="9">
        <f t="shared" si="10"/>
        <v>50274.6</v>
      </c>
      <c r="I81" s="6">
        <v>1</v>
      </c>
      <c r="J81" s="9" t="str">
        <f>IFERROR(VLOOKUP($D81,FIYAT!$B:$O,9,FALSE()),"")</f>
        <v>Шт.</v>
      </c>
      <c r="K81" s="9" t="str">
        <f>IFERROR(VLOOKUP($D81,FIYAT!$B:$O,4,FALSE()),"")</f>
        <v>CHINT</v>
      </c>
      <c r="L81" s="9">
        <f t="shared" si="11"/>
        <v>50274.6</v>
      </c>
      <c r="M81" s="9"/>
      <c r="N81" s="9"/>
      <c r="O81" s="9"/>
      <c r="P81" s="7" t="str">
        <f>IF($H81="","FIYAT_YOK",IFERROR(VLOOKUP($D81,FIYAT!$B:$P,15,FALSE()),""))</f>
        <v>CIHAZ_BELIRSIZ</v>
      </c>
      <c r="Q81" s="7" t="s">
        <v>236</v>
      </c>
      <c r="R81" s="9" t="s">
        <v>184</v>
      </c>
      <c r="S81" s="9" t="s">
        <v>550</v>
      </c>
      <c r="T81" s="9" t="s">
        <v>59</v>
      </c>
      <c r="U81" s="9">
        <f>IFERROR(VLOOKUP($T81,KURALLAR!$A$32:$B$63,2,FALSE()),0)*IF(ISNUMBER($I81),$I81,0)</f>
        <v>20</v>
      </c>
    </row>
    <row r="82" spans="1:21" x14ac:dyDescent="0.25">
      <c r="A82" s="5">
        <v>81</v>
      </c>
      <c r="B82" s="5"/>
      <c r="C82" s="5" t="s">
        <v>79</v>
      </c>
      <c r="D82" s="5" t="s">
        <v>179</v>
      </c>
      <c r="E82" s="5" t="str">
        <f>IFERROR(VLOOKUP($D82,FIYAT!$B:$O,2,FALSE()),"")</f>
        <v>Держатель плавкой вставки RT36-00-160, габарит 00, 160А</v>
      </c>
      <c r="F82" s="5">
        <f>IFERROR(VLOOKUP($D82,FIYAT!$B:$O,5,FALSE()),"")</f>
        <v>2038</v>
      </c>
      <c r="G82" s="5">
        <f>IFERROR(VLOOKUP($D82,FIYAT!$B:$O,8,FALSE()),"")</f>
        <v>1222.8</v>
      </c>
      <c r="H82" s="5">
        <f t="shared" si="10"/>
        <v>4891.2</v>
      </c>
      <c r="I82" s="6">
        <v>4</v>
      </c>
      <c r="J82" s="5" t="str">
        <f>IFERROR(VLOOKUP($D82,FIYAT!$B:$O,9,FALSE()),"")</f>
        <v>Шт.</v>
      </c>
      <c r="K82" s="5" t="str">
        <f>IFERROR(VLOOKUP($D82,FIYAT!$B:$O,4,FALSE()),"")</f>
        <v>CHINT</v>
      </c>
      <c r="L82" s="5">
        <f t="shared" si="11"/>
        <v>4891.2</v>
      </c>
      <c r="M82" s="5"/>
      <c r="N82" s="5"/>
      <c r="O82" s="5"/>
      <c r="P82" s="5" t="str">
        <f>IF($H82="","FIYAT_YOK",IFERROR(VLOOKUP($D82,FIYAT!$B:$P,15,FALSE()),""))</f>
        <v>MUADIL</v>
      </c>
      <c r="Q82" s="5" t="s">
        <v>181</v>
      </c>
      <c r="R82" s="5" t="s">
        <v>171</v>
      </c>
      <c r="S82" s="5" t="s">
        <v>550</v>
      </c>
      <c r="T82" s="5" t="s">
        <v>77</v>
      </c>
      <c r="U82" s="5">
        <f>IFERROR(VLOOKUP($T82,KURALLAR!$A$32:$B$63,2,FALSE()),0)*IF(ISNUMBER($I82),$I82,0)</f>
        <v>20</v>
      </c>
    </row>
    <row r="83" spans="1:21" x14ac:dyDescent="0.25">
      <c r="A83" s="9">
        <v>82</v>
      </c>
      <c r="B83" s="9"/>
      <c r="C83" s="9" t="s">
        <v>79</v>
      </c>
      <c r="D83" s="9" t="s">
        <v>182</v>
      </c>
      <c r="E83" s="9" t="str">
        <f>IFERROR(VLOOKUP($D83,FIYAT!$B:$O,2,FALSE()),"")</f>
        <v>Плавкая вставка предохранителя RT36-00-160, габарит 00, 63А</v>
      </c>
      <c r="F83" s="9">
        <f>IFERROR(VLOOKUP($D83,FIYAT!$B:$O,5,FALSE()),"")</f>
        <v>1525</v>
      </c>
      <c r="G83" s="9">
        <f>IFERROR(VLOOKUP($D83,FIYAT!$B:$O,8,FALSE()),"")</f>
        <v>915</v>
      </c>
      <c r="H83" s="9">
        <f t="shared" si="10"/>
        <v>3660</v>
      </c>
      <c r="I83" s="6">
        <v>4</v>
      </c>
      <c r="J83" s="9" t="str">
        <f>IFERROR(VLOOKUP($D83,FIYAT!$B:$O,9,FALSE()),"")</f>
        <v>Шт.</v>
      </c>
      <c r="K83" s="9" t="str">
        <f>IFERROR(VLOOKUP($D83,FIYAT!$B:$O,4,FALSE()),"")</f>
        <v>CHINT</v>
      </c>
      <c r="L83" s="9">
        <f t="shared" si="11"/>
        <v>3660</v>
      </c>
      <c r="M83" s="9"/>
      <c r="N83" s="9"/>
      <c r="O83" s="9"/>
      <c r="P83" s="9" t="str">
        <f>IF($H83="","FIYAT_YOK",IFERROR(VLOOKUP($D83,FIYAT!$B:$P,15,FALSE()),""))</f>
        <v>MUADIL</v>
      </c>
      <c r="Q83" s="9" t="s">
        <v>185</v>
      </c>
      <c r="R83" s="9" t="s">
        <v>184</v>
      </c>
      <c r="S83" s="9" t="s">
        <v>550</v>
      </c>
      <c r="T83" s="9" t="s">
        <v>79</v>
      </c>
      <c r="U83" s="9">
        <f>IFERROR(VLOOKUP($T83,KURALLAR!$A$32:$B$63,2,FALSE()),0)*IF(ISNUMBER($I83),$I83,0)</f>
        <v>12</v>
      </c>
    </row>
    <row r="84" spans="1:21" x14ac:dyDescent="0.25">
      <c r="A84" s="5">
        <v>83</v>
      </c>
      <c r="B84" s="5"/>
      <c r="C84" s="5" t="s">
        <v>75</v>
      </c>
      <c r="D84" s="5" t="s">
        <v>186</v>
      </c>
      <c r="E84" s="5" t="str">
        <f>IFERROR(VLOOKUP($D84,FIYAT!$B:$O,2,FALSE()),"")</f>
        <v>Ограничитель имп. перенапр. NU6-IIG 4Р In=25kA Uc=440B Im=65kA (R)</v>
      </c>
      <c r="F84" s="5">
        <f>IFERROR(VLOOKUP($D84,FIYAT!$B:$O,5,FALSE()),"")</f>
        <v>33208</v>
      </c>
      <c r="G84" s="5">
        <f>IFERROR(VLOOKUP($D84,FIYAT!$B:$O,8,FALSE()),"")</f>
        <v>19924.8</v>
      </c>
      <c r="H84" s="5">
        <f t="shared" si="10"/>
        <v>19924.8</v>
      </c>
      <c r="I84" s="6">
        <v>1</v>
      </c>
      <c r="J84" s="5" t="str">
        <f>IFERROR(VLOOKUP($D84,FIYAT!$B:$O,9,FALSE()),"")</f>
        <v>Шт.</v>
      </c>
      <c r="K84" s="5" t="str">
        <f>IFERROR(VLOOKUP($D84,FIYAT!$B:$O,4,FALSE()),"")</f>
        <v>CHINT</v>
      </c>
      <c r="L84" s="5">
        <f t="shared" si="11"/>
        <v>19924.8</v>
      </c>
      <c r="M84" s="5"/>
      <c r="N84" s="5"/>
      <c r="O84" s="5"/>
      <c r="P84" s="5" t="str">
        <f>IF($H84="","FIYAT_YOK",IFERROR(VLOOKUP($D84,FIYAT!$B:$P,15,FALSE()),""))</f>
        <v>MUADIL_ONAY</v>
      </c>
      <c r="Q84" s="5" t="s">
        <v>188</v>
      </c>
      <c r="R84" s="5" t="s">
        <v>184</v>
      </c>
      <c r="S84" s="5" t="s">
        <v>550</v>
      </c>
      <c r="T84" s="5" t="s">
        <v>75</v>
      </c>
      <c r="U84" s="5">
        <f>IFERROR(VLOOKUP($T84,KURALLAR!$A$32:$B$63,2,FALSE()),0)*IF(ISNUMBER($I84),$I84,0)</f>
        <v>10</v>
      </c>
    </row>
    <row r="85" spans="1:21" x14ac:dyDescent="0.25">
      <c r="A85" s="9">
        <v>84</v>
      </c>
      <c r="B85" s="9"/>
      <c r="C85" s="9" t="s">
        <v>192</v>
      </c>
      <c r="D85" s="9" t="s">
        <v>238</v>
      </c>
      <c r="E85" s="9" t="str">
        <f>IFERROR(VLOOKUP($D85,FIYAT!$B:$O,2,FALSE()),"")</f>
        <v>Авт. выкл. NXB-63 1P 6A 6кА х-ка C (R)</v>
      </c>
      <c r="F85" s="9">
        <f>IFERROR(VLOOKUP($D85,FIYAT!$B:$O,5,FALSE()),"")</f>
        <v>1436</v>
      </c>
      <c r="G85" s="9">
        <f>IFERROR(VLOOKUP($D85,FIYAT!$B:$O,8,FALSE()),"")</f>
        <v>861.6</v>
      </c>
      <c r="H85" s="9">
        <f t="shared" si="10"/>
        <v>3446.4</v>
      </c>
      <c r="I85" s="6">
        <v>4</v>
      </c>
      <c r="J85" s="9" t="str">
        <f>IFERROR(VLOOKUP($D85,FIYAT!$B:$O,9,FALSE()),"")</f>
        <v>Шт.</v>
      </c>
      <c r="K85" s="9" t="str">
        <f>IFERROR(VLOOKUP($D85,FIYAT!$B:$O,4,FALSE()),"")</f>
        <v>CHINT</v>
      </c>
      <c r="L85" s="9">
        <f t="shared" si="11"/>
        <v>3446.4</v>
      </c>
      <c r="M85" s="9"/>
      <c r="N85" s="9"/>
      <c r="O85" s="9"/>
      <c r="P85" s="9" t="str">
        <f>IF($H85="","FIYAT_YOK",IFERROR(VLOOKUP($D85,FIYAT!$B:$P,15,FALSE()),""))</f>
        <v>OK</v>
      </c>
      <c r="Q85" s="9" t="s">
        <v>240</v>
      </c>
      <c r="R85" s="9" t="s">
        <v>171</v>
      </c>
      <c r="S85" s="9" t="s">
        <v>550</v>
      </c>
      <c r="T85" s="9" t="s">
        <v>47</v>
      </c>
      <c r="U85" s="9">
        <f>IFERROR(VLOOKUP($T85,KURALLAR!$A$32:$B$63,2,FALSE()),0)*IF(ISNUMBER($I85),$I85,0)</f>
        <v>12</v>
      </c>
    </row>
    <row r="86" spans="1:21" x14ac:dyDescent="0.25">
      <c r="A86" s="5">
        <v>85</v>
      </c>
      <c r="B86" s="5"/>
      <c r="C86" s="5" t="s">
        <v>89</v>
      </c>
      <c r="D86" s="5" t="s">
        <v>241</v>
      </c>
      <c r="E86" s="5" t="str">
        <f>IFERROR(VLOOKUP($D86,FIYAT!$B:$O,2,FALSE()),"")</f>
        <v>Индикатор ND16-22DS/4 белый АС230В (R)</v>
      </c>
      <c r="F86" s="5">
        <f>IFERROR(VLOOKUP($D86,FIYAT!$B:$O,5,FALSE()),"")</f>
        <v>1047</v>
      </c>
      <c r="G86" s="5">
        <f>IFERROR(VLOOKUP($D86,FIYAT!$B:$O,8,FALSE()),"")</f>
        <v>628.19999999999993</v>
      </c>
      <c r="H86" s="5">
        <f t="shared" si="10"/>
        <v>1884.6</v>
      </c>
      <c r="I86" s="6">
        <v>3</v>
      </c>
      <c r="J86" s="5" t="str">
        <f>IFERROR(VLOOKUP($D86,FIYAT!$B:$O,9,FALSE()),"")</f>
        <v>Шт.</v>
      </c>
      <c r="K86" s="5" t="str">
        <f>IFERROR(VLOOKUP($D86,FIYAT!$B:$O,4,FALSE()),"")</f>
        <v>CHINT</v>
      </c>
      <c r="L86" s="5">
        <f t="shared" si="11"/>
        <v>1884.6</v>
      </c>
      <c r="M86" s="5"/>
      <c r="N86" s="5"/>
      <c r="O86" s="5"/>
      <c r="P86" s="5" t="str">
        <f>IF($H86="","FIYAT_YOK",IFERROR(VLOOKUP($D86,FIYAT!$B:$P,15,FALSE()),""))</f>
        <v>OK</v>
      </c>
      <c r="Q86" s="5" t="s">
        <v>243</v>
      </c>
      <c r="R86" s="5" t="s">
        <v>184</v>
      </c>
      <c r="S86" s="5" t="s">
        <v>550</v>
      </c>
      <c r="T86" s="5" t="s">
        <v>89</v>
      </c>
      <c r="U86" s="5">
        <f>IFERROR(VLOOKUP($T86,KURALLAR!$A$32:$B$63,2,FALSE()),0)*IF(ISNUMBER($I86),$I86,0)</f>
        <v>12</v>
      </c>
    </row>
    <row r="87" spans="1:21" x14ac:dyDescent="0.25">
      <c r="A87" s="9">
        <v>86</v>
      </c>
      <c r="B87" s="9"/>
      <c r="C87" s="9" t="s">
        <v>192</v>
      </c>
      <c r="D87" s="9" t="s">
        <v>190</v>
      </c>
      <c r="E87" s="9" t="str">
        <f>IFERROR(VLOOKUP($D87,FIYAT!$B:$O,2,FALSE()),"")</f>
        <v>Авт. выкл. NXB-63 3P 25A 6кА х-ка C (R)</v>
      </c>
      <c r="F87" s="9">
        <f>IFERROR(VLOOKUP($D87,FIYAT!$B:$O,5,FALSE()),"")</f>
        <v>5334</v>
      </c>
      <c r="G87" s="9">
        <f>IFERROR(VLOOKUP($D87,FIYAT!$B:$O,8,FALSE()),"")</f>
        <v>3200.4</v>
      </c>
      <c r="H87" s="9">
        <f t="shared" si="10"/>
        <v>6400.8</v>
      </c>
      <c r="I87" s="6">
        <v>2</v>
      </c>
      <c r="J87" s="9" t="str">
        <f>IFERROR(VLOOKUP($D87,FIYAT!$B:$O,9,FALSE()),"")</f>
        <v>Шт.</v>
      </c>
      <c r="K87" s="9" t="str">
        <f>IFERROR(VLOOKUP($D87,FIYAT!$B:$O,4,FALSE()),"")</f>
        <v>CHINT</v>
      </c>
      <c r="L87" s="9">
        <f t="shared" si="11"/>
        <v>6400.8</v>
      </c>
      <c r="M87" s="9"/>
      <c r="N87" s="9"/>
      <c r="O87" s="9"/>
      <c r="P87" s="9" t="str">
        <f>IF($H87="","FIYAT_YOK",IFERROR(VLOOKUP($D87,FIYAT!$B:$P,15,FALSE()),""))</f>
        <v>OK</v>
      </c>
      <c r="Q87" s="9" t="s">
        <v>193</v>
      </c>
      <c r="R87" s="9" t="s">
        <v>171</v>
      </c>
      <c r="S87" s="9" t="s">
        <v>550</v>
      </c>
      <c r="T87" s="9" t="s">
        <v>51</v>
      </c>
      <c r="U87" s="9">
        <f>IFERROR(VLOOKUP($T87,KURALLAR!$A$32:$B$63,2,FALSE()),0)*IF(ISNUMBER($I87),$I87,0)</f>
        <v>16</v>
      </c>
    </row>
    <row r="88" spans="1:21" x14ac:dyDescent="0.25">
      <c r="A88" s="5">
        <v>87</v>
      </c>
      <c r="B88" s="5"/>
      <c r="C88" s="5" t="s">
        <v>192</v>
      </c>
      <c r="D88" s="5" t="s">
        <v>194</v>
      </c>
      <c r="E88" s="5" t="str">
        <f>IFERROR(VLOOKUP($D88,FIYAT!$B:$O,2,FALSE()),"")</f>
        <v>Авт. выкл. NXB-63 1P 16A 6кА х-ка C (R)</v>
      </c>
      <c r="F88" s="5">
        <f>IFERROR(VLOOKUP($D88,FIYAT!$B:$O,5,FALSE()),"")</f>
        <v>1389</v>
      </c>
      <c r="G88" s="5">
        <f>IFERROR(VLOOKUP($D88,FIYAT!$B:$O,8,FALSE()),"")</f>
        <v>833.4</v>
      </c>
      <c r="H88" s="5">
        <f t="shared" si="10"/>
        <v>13334.4</v>
      </c>
      <c r="I88" s="6">
        <v>16</v>
      </c>
      <c r="J88" s="5" t="str">
        <f>IFERROR(VLOOKUP($D88,FIYAT!$B:$O,9,FALSE()),"")</f>
        <v>Шт.</v>
      </c>
      <c r="K88" s="5" t="str">
        <f>IFERROR(VLOOKUP($D88,FIYAT!$B:$O,4,FALSE()),"")</f>
        <v>CHINT</v>
      </c>
      <c r="L88" s="5">
        <f t="shared" si="11"/>
        <v>13334.4</v>
      </c>
      <c r="M88" s="5"/>
      <c r="N88" s="5"/>
      <c r="O88" s="5"/>
      <c r="P88" s="5" t="str">
        <f>IF($H88="","FIYAT_YOK",IFERROR(VLOOKUP($D88,FIYAT!$B:$P,15,FALSE()),""))</f>
        <v>OK</v>
      </c>
      <c r="Q88" s="5" t="s">
        <v>196</v>
      </c>
      <c r="R88" s="5" t="s">
        <v>171</v>
      </c>
      <c r="S88" s="5" t="s">
        <v>550</v>
      </c>
      <c r="T88" s="5" t="s">
        <v>47</v>
      </c>
      <c r="U88" s="5">
        <f>IFERROR(VLOOKUP($T88,KURALLAR!$A$32:$B$63,2,FALSE()),0)*IF(ISNUMBER($I88),$I88,0)</f>
        <v>48</v>
      </c>
    </row>
    <row r="89" spans="1:21" x14ac:dyDescent="0.25">
      <c r="A89" s="9">
        <v>88</v>
      </c>
      <c r="B89" s="9"/>
      <c r="C89" s="9" t="s">
        <v>176</v>
      </c>
      <c r="D89" s="9" t="s">
        <v>197</v>
      </c>
      <c r="E89" s="9" t="str">
        <f>IFERROR(VLOOKUP($D89,FIYAT!$B:$O,2,FALSE()),"")</f>
        <v>УЗО NL1-63 6kA 4P 25A 30mA тип AC (R)</v>
      </c>
      <c r="F89" s="9">
        <f>IFERROR(VLOOKUP($D89,FIYAT!$B:$O,5,FALSE()),"")</f>
        <v>18338</v>
      </c>
      <c r="G89" s="9">
        <f>IFERROR(VLOOKUP($D89,FIYAT!$B:$O,8,FALSE()),"")</f>
        <v>11002.8</v>
      </c>
      <c r="H89" s="9">
        <f t="shared" si="10"/>
        <v>11002.8</v>
      </c>
      <c r="I89" s="6">
        <v>1</v>
      </c>
      <c r="J89" s="9" t="str">
        <f>IFERROR(VLOOKUP($D89,FIYAT!$B:$O,9,FALSE()),"")</f>
        <v>Шт.</v>
      </c>
      <c r="K89" s="9" t="str">
        <f>IFERROR(VLOOKUP($D89,FIYAT!$B:$O,4,FALSE()),"")</f>
        <v>CHINT</v>
      </c>
      <c r="L89" s="9">
        <f t="shared" si="11"/>
        <v>11002.8</v>
      </c>
      <c r="M89" s="9"/>
      <c r="N89" s="9"/>
      <c r="O89" s="9"/>
      <c r="P89" s="9" t="str">
        <f>IF($H89="","FIYAT_YOK",IFERROR(VLOOKUP($D89,FIYAT!$B:$P,15,FALSE()),""))</f>
        <v>OK</v>
      </c>
      <c r="Q89" s="9" t="s">
        <v>199</v>
      </c>
      <c r="R89" s="9" t="s">
        <v>171</v>
      </c>
      <c r="S89" s="9" t="s">
        <v>550</v>
      </c>
      <c r="T89" s="9" t="s">
        <v>57</v>
      </c>
      <c r="U89" s="9">
        <f>IFERROR(VLOOKUP($T89,KURALLAR!$A$32:$B$63,2,FALSE()),0)*IF(ISNUMBER($I89),$I89,0)</f>
        <v>10</v>
      </c>
    </row>
    <row r="90" spans="1:21" x14ac:dyDescent="0.25">
      <c r="A90" s="5">
        <v>89</v>
      </c>
      <c r="B90" s="5"/>
      <c r="C90" s="5" t="s">
        <v>176</v>
      </c>
      <c r="D90" s="5" t="s">
        <v>200</v>
      </c>
      <c r="E90" s="5" t="str">
        <f>IFERROR(VLOOKUP($D90,FIYAT!$B:$O,2,FALSE()),"")</f>
        <v>УЗО NL1-63 6kA 2P 16A 30mA тип AC (R)</v>
      </c>
      <c r="F90" s="5">
        <f>IFERROR(VLOOKUP($D90,FIYAT!$B:$O,5,FALSE()),"")</f>
        <v>10809</v>
      </c>
      <c r="G90" s="5">
        <f>IFERROR(VLOOKUP($D90,FIYAT!$B:$O,8,FALSE()),"")</f>
        <v>6485.4</v>
      </c>
      <c r="H90" s="5">
        <f t="shared" si="10"/>
        <v>6485.4</v>
      </c>
      <c r="I90" s="6">
        <v>1</v>
      </c>
      <c r="J90" s="5" t="str">
        <f>IFERROR(VLOOKUP($D90,FIYAT!$B:$O,9,FALSE()),"")</f>
        <v>Шт.</v>
      </c>
      <c r="K90" s="5" t="str">
        <f>IFERROR(VLOOKUP($D90,FIYAT!$B:$O,4,FALSE()),"")</f>
        <v>CHINT</v>
      </c>
      <c r="L90" s="5">
        <f t="shared" si="11"/>
        <v>6485.4</v>
      </c>
      <c r="M90" s="5"/>
      <c r="N90" s="5"/>
      <c r="O90" s="5"/>
      <c r="P90" s="5" t="str">
        <f>IF($H90="","FIYAT_YOK",IFERROR(VLOOKUP($D90,FIYAT!$B:$P,15,FALSE()),""))</f>
        <v>OK</v>
      </c>
      <c r="Q90" s="5" t="s">
        <v>202</v>
      </c>
      <c r="R90" s="5" t="s">
        <v>171</v>
      </c>
      <c r="S90" s="5" t="s">
        <v>550</v>
      </c>
      <c r="T90" s="5" t="s">
        <v>55</v>
      </c>
      <c r="U90" s="5">
        <f>IFERROR(VLOOKUP($T90,KURALLAR!$A$32:$B$63,2,FALSE()),0)*IF(ISNUMBER($I90),$I90,0)</f>
        <v>6</v>
      </c>
    </row>
    <row r="91" spans="1:21" x14ac:dyDescent="0.25">
      <c r="A91" s="9">
        <v>90</v>
      </c>
      <c r="B91" s="9"/>
      <c r="C91" s="9" t="s">
        <v>192</v>
      </c>
      <c r="D91" s="9" t="s">
        <v>203</v>
      </c>
      <c r="E91" s="9" t="str">
        <f>IFERROR(VLOOKUP($D91,FIYAT!$B:$O,2,FALSE()),"")</f>
        <v>Авт. выкл. NXB-63 1P 20A 6кА х-ка C (R)</v>
      </c>
      <c r="F91" s="9">
        <f>IFERROR(VLOOKUP($D91,FIYAT!$B:$O,5,FALSE()),"")</f>
        <v>1434</v>
      </c>
      <c r="G91" s="9">
        <f>IFERROR(VLOOKUP($D91,FIYAT!$B:$O,8,FALSE()),"")</f>
        <v>860.4</v>
      </c>
      <c r="H91" s="9">
        <f t="shared" si="10"/>
        <v>860.4</v>
      </c>
      <c r="I91" s="6">
        <v>1</v>
      </c>
      <c r="J91" s="9" t="str">
        <f>IFERROR(VLOOKUP($D91,FIYAT!$B:$O,9,FALSE()),"")</f>
        <v>Шт.</v>
      </c>
      <c r="K91" s="9" t="str">
        <f>IFERROR(VLOOKUP($D91,FIYAT!$B:$O,4,FALSE()),"")</f>
        <v>CHINT</v>
      </c>
      <c r="L91" s="9">
        <f t="shared" si="11"/>
        <v>860.4</v>
      </c>
      <c r="M91" s="9"/>
      <c r="N91" s="9"/>
      <c r="O91" s="9"/>
      <c r="P91" s="9" t="str">
        <f>IF($H91="","FIYAT_YOK",IFERROR(VLOOKUP($D91,FIYAT!$B:$P,15,FALSE()),""))</f>
        <v>OK</v>
      </c>
      <c r="Q91" s="9" t="s">
        <v>205</v>
      </c>
      <c r="R91" s="9" t="s">
        <v>171</v>
      </c>
      <c r="S91" s="9" t="s">
        <v>550</v>
      </c>
      <c r="T91" s="9" t="s">
        <v>47</v>
      </c>
      <c r="U91" s="9">
        <f>IFERROR(VLOOKUP($T91,KURALLAR!$A$32:$B$63,2,FALSE()),0)*IF(ISNUMBER($I91),$I91,0)</f>
        <v>3</v>
      </c>
    </row>
    <row r="92" spans="1:21" x14ac:dyDescent="0.25">
      <c r="A92" s="5">
        <v>91</v>
      </c>
      <c r="B92" s="5"/>
      <c r="C92" s="5" t="s">
        <v>192</v>
      </c>
      <c r="D92" s="5" t="s">
        <v>206</v>
      </c>
      <c r="E92" s="5" t="str">
        <f>IFERROR(VLOOKUP($D92,FIYAT!$B:$O,2,FALSE()),"")</f>
        <v>Авт. выкл. NXB-63 1P 10A 6кА х-ка C (R)</v>
      </c>
      <c r="F92" s="5">
        <f>IFERROR(VLOOKUP($D92,FIYAT!$B:$O,5,FALSE()),"")</f>
        <v>1362</v>
      </c>
      <c r="G92" s="5">
        <f>IFERROR(VLOOKUP($D92,FIYAT!$B:$O,8,FALSE()),"")</f>
        <v>817.19999999999993</v>
      </c>
      <c r="H92" s="5">
        <f t="shared" si="10"/>
        <v>3268.7999999999997</v>
      </c>
      <c r="I92" s="6">
        <v>4</v>
      </c>
      <c r="J92" s="5" t="str">
        <f>IFERROR(VLOOKUP($D92,FIYAT!$B:$O,9,FALSE()),"")</f>
        <v>Шт.</v>
      </c>
      <c r="K92" s="5" t="str">
        <f>IFERROR(VLOOKUP($D92,FIYAT!$B:$O,4,FALSE()),"")</f>
        <v>CHINT</v>
      </c>
      <c r="L92" s="5">
        <f t="shared" si="11"/>
        <v>3268.7999999999997</v>
      </c>
      <c r="M92" s="5"/>
      <c r="N92" s="5"/>
      <c r="O92" s="5"/>
      <c r="P92" s="5" t="str">
        <f>IF($H92="","FIYAT_YOK",IFERROR(VLOOKUP($D92,FIYAT!$B:$P,15,FALSE()),""))</f>
        <v>OK</v>
      </c>
      <c r="Q92" s="5" t="s">
        <v>208</v>
      </c>
      <c r="R92" s="5" t="s">
        <v>184</v>
      </c>
      <c r="S92" s="5" t="s">
        <v>550</v>
      </c>
      <c r="T92" s="5" t="s">
        <v>47</v>
      </c>
      <c r="U92" s="5">
        <f>IFERROR(VLOOKUP($T92,KURALLAR!$A$32:$B$63,2,FALSE()),0)*IF(ISNUMBER($I92),$I92,0)</f>
        <v>12</v>
      </c>
    </row>
    <row r="93" spans="1:21" x14ac:dyDescent="0.25">
      <c r="A93" s="9">
        <v>92</v>
      </c>
      <c r="B93" s="9"/>
      <c r="C93" s="9" t="s">
        <v>93</v>
      </c>
      <c r="D93" s="9" t="s">
        <v>209</v>
      </c>
      <c r="E93" s="9" t="str">
        <f>IFERROR(VLOOKUP($D93,FIYAT!$B:$O,2,FALSE()),"")</f>
        <v>Шина "N" нулевая 6х9мм на DIN-рейку в корпусном изоляторе ШНИ 12К IEK (10)</v>
      </c>
      <c r="F93" s="9">
        <f>IFERROR(VLOOKUP($D93,FIYAT!$B:$O,5,FALSE()),"")</f>
        <v>755</v>
      </c>
      <c r="G93" s="9">
        <f>IFERROR(VLOOKUP($D93,FIYAT!$B:$O,8,FALSE()),"")</f>
        <v>453</v>
      </c>
      <c r="H93" s="9">
        <f t="shared" si="10"/>
        <v>1812</v>
      </c>
      <c r="I93" s="6">
        <v>4</v>
      </c>
      <c r="J93" s="9" t="str">
        <f>IFERROR(VLOOKUP($D93,FIYAT!$B:$O,9,FALSE()),"")</f>
        <v>Шт.</v>
      </c>
      <c r="K93" s="9" t="str">
        <f>IFERROR(VLOOKUP($D93,FIYAT!$B:$O,4,FALSE()),"")</f>
        <v>KAZTEK</v>
      </c>
      <c r="L93" s="9">
        <f t="shared" si="11"/>
        <v>1812</v>
      </c>
      <c r="M93" s="9"/>
      <c r="N93" s="9"/>
      <c r="O93" s="9"/>
      <c r="P93" s="9" t="str">
        <f>IF($H93="","FIYAT_YOK",IFERROR(VLOOKUP($D93,FIYAT!$B:$P,15,FALSE()),""))</f>
        <v>MUADIL</v>
      </c>
      <c r="Q93" s="9" t="s">
        <v>212</v>
      </c>
      <c r="R93" s="9" t="s">
        <v>211</v>
      </c>
      <c r="S93" s="9" t="s">
        <v>550</v>
      </c>
      <c r="T93" s="9" t="s">
        <v>93</v>
      </c>
      <c r="U93" s="9">
        <f>IFERROR(VLOOKUP($T93,KURALLAR!$A$32:$B$63,2,FALSE()),0)*IF(ISNUMBER($I93),$I93,0)</f>
        <v>32</v>
      </c>
    </row>
    <row r="94" spans="1:21" x14ac:dyDescent="0.25">
      <c r="A94" s="5">
        <v>93</v>
      </c>
      <c r="B94" s="5"/>
      <c r="C94" s="5" t="s">
        <v>222</v>
      </c>
      <c r="D94" s="5" t="s">
        <v>220</v>
      </c>
      <c r="E94" s="5" t="str">
        <f>IFERROR(VLOOKUP($D94,FIYAT!$B:$O,2,FALSE()),"")</f>
        <v>ЩМП (инд.) IP31 (650х500х150мм)</v>
      </c>
      <c r="F94" s="5">
        <f>IFERROR(VLOOKUP($D94,FIYAT!$B:$O,5,FALSE()),"")</f>
        <v>27825</v>
      </c>
      <c r="G94" s="5">
        <f>IFERROR(VLOOKUP($D94,FIYAT!$B:$O,8,FALSE()),"")</f>
        <v>16695</v>
      </c>
      <c r="H94" s="5">
        <f t="shared" si="10"/>
        <v>16695</v>
      </c>
      <c r="I94" s="6">
        <v>1</v>
      </c>
      <c r="J94" s="5" t="str">
        <f>IFERROR(VLOOKUP($D94,FIYAT!$B:$O,9,FALSE()),"")</f>
        <v>Шт.</v>
      </c>
      <c r="K94" s="5" t="str">
        <f>IFERROR(VLOOKUP($D94,FIYAT!$B:$O,4,FALSE()),"")</f>
        <v>KAZTEK</v>
      </c>
      <c r="L94" s="5">
        <f t="shared" si="11"/>
        <v>16695</v>
      </c>
      <c r="M94" s="5"/>
      <c r="N94" s="5"/>
      <c r="O94" s="5"/>
      <c r="P94" s="5" t="str">
        <f>IF($H94="","FIYAT_YOK",IFERROR(VLOOKUP($D94,FIYAT!$B:$P,15,FALSE()),""))</f>
        <v>VARSAYIM</v>
      </c>
      <c r="Q94" s="5" t="s">
        <v>223</v>
      </c>
      <c r="R94" s="5" t="s">
        <v>211</v>
      </c>
      <c r="S94" s="5" t="s">
        <v>550</v>
      </c>
      <c r="T94" s="5" t="s">
        <v>105</v>
      </c>
      <c r="U94" s="5">
        <f>IFERROR(VLOOKUP($T94,KURALLAR!$A$32:$B$63,2,FALSE()),0)*IF(ISNUMBER($I94),$I94,0)</f>
        <v>30</v>
      </c>
    </row>
    <row r="95" spans="1:21" x14ac:dyDescent="0.25">
      <c r="A95" s="9">
        <v>94</v>
      </c>
      <c r="B95" s="9"/>
      <c r="C95" s="9" t="s">
        <v>215</v>
      </c>
      <c r="D95" s="9" t="s">
        <v>213</v>
      </c>
      <c r="E95" s="9" t="str">
        <f>IFERROR(VLOOKUP($D95,FIYAT!$B:$O,2,FALSE()),"")</f>
        <v>Монтажный расходный материал (кабель, DIN-рейка, кабель-канал, клеммы, маркировка, крепёж)</v>
      </c>
      <c r="F95" s="9">
        <f>IFERROR(VLOOKUP($D95,FIYAT!$B:$O,5,FALSE()),"")</f>
        <v>0</v>
      </c>
      <c r="G95" s="9" t="str">
        <f>IFERROR(VLOOKUP($D95,FIYAT!$B:$O,8,FALSE()),"")</f>
        <v/>
      </c>
      <c r="H95" s="9">
        <f>ROUND(SUM($H$80:$H$94)*KURALLAR!$B$28,0)</f>
        <v>12769</v>
      </c>
      <c r="I95" s="6">
        <v>1</v>
      </c>
      <c r="J95" s="9" t="str">
        <f>IFERROR(VLOOKUP($D95,FIYAT!$B:$O,9,FALSE()),"")</f>
        <v>компл.</v>
      </c>
      <c r="K95" s="9" t="str">
        <f>IFERROR(VLOOKUP($D95,FIYAT!$B:$O,4,FALSE()),"")</f>
        <v>MUADIL-NET</v>
      </c>
      <c r="L95" s="9">
        <f t="shared" si="11"/>
        <v>12769</v>
      </c>
      <c r="M95" s="9"/>
      <c r="N95" s="9"/>
      <c r="O95" s="9"/>
      <c r="P95" s="9" t="str">
        <f>IF($H95="","FIYAT_YOK",IFERROR(VLOOKUP($D95,FIYAT!$B:$P,15,FALSE()),""))</f>
        <v>ORAN</v>
      </c>
      <c r="Q95" s="9" t="s">
        <v>218</v>
      </c>
      <c r="R95" s="9" t="s">
        <v>217</v>
      </c>
      <c r="S95" s="9" t="s">
        <v>550</v>
      </c>
      <c r="T95" s="9"/>
      <c r="U95" s="9">
        <v>0</v>
      </c>
    </row>
    <row r="96" spans="1:21" x14ac:dyDescent="0.25">
      <c r="A96" s="5">
        <v>95</v>
      </c>
      <c r="B96" s="5"/>
      <c r="C96" s="5" t="s">
        <v>227</v>
      </c>
      <c r="D96" s="5" t="s">
        <v>225</v>
      </c>
      <c r="E96" s="5" t="str">
        <f>IFERROR(VLOOKUP($D96,FIYAT!$B:$O,2,FALSE()),"")</f>
        <v>Сборка, кабелирование, маркировка, момент затяжки, испытания</v>
      </c>
      <c r="F96" s="5">
        <f>IFERROR(VLOOKUP($D96,FIYAT!$B:$O,5,FALSE()),"")</f>
        <v>100</v>
      </c>
      <c r="G96" s="5">
        <f>IFERROR(VLOOKUP($D96,FIYAT!$B:$O,8,FALSE()),"")</f>
        <v>100</v>
      </c>
      <c r="H96" s="5">
        <f>IF(OR($G96="",$I96=""),"",$G96*$I96)</f>
        <v>29700</v>
      </c>
      <c r="I96" s="6">
        <f>ROUND(SUM($U$80:$U$95)*KURALLAR!$B$27,0)</f>
        <v>297</v>
      </c>
      <c r="J96" s="5" t="str">
        <f>IFERROR(VLOOKUP($D96,FIYAT!$B:$O,9,FALSE()),"")</f>
        <v>мин</v>
      </c>
      <c r="K96" s="5" t="str">
        <f>IFERROR(VLOOKUP($D96,FIYAT!$B:$O,4,FALSE()),"")</f>
        <v>ISCILIK</v>
      </c>
      <c r="L96" s="5">
        <f t="shared" si="11"/>
        <v>29700</v>
      </c>
      <c r="M96" s="5"/>
      <c r="N96" s="5"/>
      <c r="O96" s="5"/>
      <c r="P96" s="5" t="str">
        <f>IF($H96="","FIYAT_YOK",IFERROR(VLOOKUP($D96,FIYAT!$B:$P,15,FALSE()),""))</f>
        <v>OK</v>
      </c>
      <c r="Q96" s="5" t="str">
        <f>CONCATENATE("montaj+test iscilik: ",TEXT($I96,"# ##0")," dk = ",TEXT($I96/60,"0,00")," saat (norm x test/etiket carpani)")</f>
        <v>montaj+test iscilik:  297 dk = 4,95 saat (norm x test/etiket carpani)</v>
      </c>
      <c r="R96" s="5" t="s">
        <v>229</v>
      </c>
      <c r="S96" s="5" t="s">
        <v>550</v>
      </c>
      <c r="T96" s="5"/>
      <c r="U96" s="5">
        <v>0</v>
      </c>
    </row>
    <row r="97" spans="1:21" x14ac:dyDescent="0.25">
      <c r="A97" s="10">
        <v>96</v>
      </c>
      <c r="B97" s="10" t="s">
        <v>561</v>
      </c>
      <c r="C97" s="10"/>
      <c r="D97" s="10"/>
      <c r="E97" s="10"/>
      <c r="F97" s="10"/>
      <c r="G97" s="10"/>
      <c r="H97" s="10">
        <f>SUBTOTAL(9,H80:H96)</f>
        <v>224887.59999999998</v>
      </c>
      <c r="I97" s="10"/>
      <c r="J97" s="10"/>
      <c r="K97" s="10"/>
      <c r="L97" s="10">
        <f>SUBTOTAL(9,L80:L96)</f>
        <v>224887.59999999998</v>
      </c>
      <c r="M97" s="10"/>
      <c r="N97" s="10"/>
      <c r="O97" s="10"/>
      <c r="P97" s="10"/>
      <c r="Q97" s="10"/>
      <c r="R97" s="10"/>
      <c r="S97" s="10"/>
      <c r="T97" s="10"/>
      <c r="U97" s="10">
        <f>SUBTOTAL(9,U80:U96)</f>
        <v>258</v>
      </c>
    </row>
    <row r="98" spans="1:21" x14ac:dyDescent="0.25">
      <c r="A98" s="8">
        <v>97</v>
      </c>
      <c r="B98" s="8" t="str">
        <f>E98</f>
        <v>BLOK A / ЩЭ-F3 — НКУ 380/220В 50Гц, FORM 2B, IP31/54</v>
      </c>
      <c r="C98" s="8" t="s">
        <v>545</v>
      </c>
      <c r="D98" s="8"/>
      <c r="E98" s="8" t="s">
        <v>562</v>
      </c>
      <c r="F98" s="8"/>
      <c r="G98" s="8"/>
      <c r="H98" s="8"/>
      <c r="I98" s="8">
        <v>1</v>
      </c>
      <c r="J98" s="8" t="s">
        <v>547</v>
      </c>
      <c r="K98" s="8"/>
      <c r="L98" s="8"/>
      <c r="M98" s="8"/>
      <c r="N98" s="8"/>
      <c r="O98" s="8"/>
      <c r="P98" s="8" t="s">
        <v>178</v>
      </c>
      <c r="Q98" s="8" t="s">
        <v>548</v>
      </c>
      <c r="R98" s="8" t="s">
        <v>549</v>
      </c>
      <c r="S98" s="8" t="s">
        <v>550</v>
      </c>
      <c r="T98" s="8"/>
      <c r="U98" s="8"/>
    </row>
    <row r="99" spans="1:21" x14ac:dyDescent="0.25">
      <c r="A99" s="9">
        <v>98</v>
      </c>
      <c r="B99" s="9"/>
      <c r="C99" s="9" t="s">
        <v>169</v>
      </c>
      <c r="D99" s="9" t="s">
        <v>264</v>
      </c>
      <c r="E99" s="9" t="str">
        <f>IFERROR(VLOOKUP($D99,FIYAT!$B:$O,2,FALSE()),"")</f>
        <v>Авт. выкл. NM8N-630S TM 3P 500А 50кА с рег. термомаг. расцепителем (R)</v>
      </c>
      <c r="F99" s="9">
        <f>IFERROR(VLOOKUP($D99,FIYAT!$B:$O,5,FALSE()),"")</f>
        <v>237703</v>
      </c>
      <c r="G99" s="9">
        <f>IFERROR(VLOOKUP($D99,FIYAT!$B:$O,8,FALSE()),"")</f>
        <v>142621.79999999999</v>
      </c>
      <c r="H99" s="9">
        <f t="shared" ref="H99:H113" si="12">IF(OR($G99="",$I99=""),"",$G99*$I99)</f>
        <v>285243.59999999998</v>
      </c>
      <c r="I99" s="6">
        <v>2</v>
      </c>
      <c r="J99" s="9" t="str">
        <f>IFERROR(VLOOKUP($D99,FIYAT!$B:$O,9,FALSE()),"")</f>
        <v>Шт.</v>
      </c>
      <c r="K99" s="9" t="str">
        <f>IFERROR(VLOOKUP($D99,FIYAT!$B:$O,4,FALSE()),"")</f>
        <v>CHINT</v>
      </c>
      <c r="L99" s="9">
        <f t="shared" ref="L99:L115" si="13">IF($H99="","",$H99)</f>
        <v>285243.59999999998</v>
      </c>
      <c r="M99" s="9"/>
      <c r="N99" s="9"/>
      <c r="O99" s="9"/>
      <c r="P99" s="9" t="str">
        <f>IF($H99="","FIYAT_YOK",IFERROR(VLOOKUP($D99,FIYAT!$B:$P,15,FALSE()),""))</f>
        <v>MUADIL</v>
      </c>
      <c r="Q99" s="9" t="s">
        <v>266</v>
      </c>
      <c r="R99" s="9" t="s">
        <v>171</v>
      </c>
      <c r="S99" s="9" t="s">
        <v>550</v>
      </c>
      <c r="T99" s="9" t="s">
        <v>67</v>
      </c>
      <c r="U99" s="9">
        <f>IFERROR(VLOOKUP($T99,KURALLAR!$A$32:$B$63,2,FALSE()),0)*IF(ISNUMBER($I99),$I99,0)</f>
        <v>110</v>
      </c>
    </row>
    <row r="100" spans="1:21" x14ac:dyDescent="0.25">
      <c r="A100" s="5">
        <v>99</v>
      </c>
      <c r="B100" s="5"/>
      <c r="C100" s="5" t="s">
        <v>93</v>
      </c>
      <c r="D100" s="5" t="s">
        <v>267</v>
      </c>
      <c r="E100" s="5" t="str">
        <f>IFERROR(VLOOKUP($D100,FIYAT!$B:$O,2,FALSE()),"")</f>
        <v>Независимый расцепитель SHT22-M8 AC220-240V для NM8N-250/400/630 (R)</v>
      </c>
      <c r="F100" s="5">
        <f>IFERROR(VLOOKUP($D100,FIYAT!$B:$O,5,FALSE()),"")</f>
        <v>18552</v>
      </c>
      <c r="G100" s="5">
        <f>IFERROR(VLOOKUP($D100,FIYAT!$B:$O,8,FALSE()),"")</f>
        <v>11131.199999999999</v>
      </c>
      <c r="H100" s="5">
        <f t="shared" si="12"/>
        <v>11131.199999999999</v>
      </c>
      <c r="I100" s="6">
        <v>1</v>
      </c>
      <c r="J100" s="5" t="str">
        <f>IFERROR(VLOOKUP($D100,FIYAT!$B:$O,9,FALSE()),"")</f>
        <v>Шт.</v>
      </c>
      <c r="K100" s="5" t="str">
        <f>IFERROR(VLOOKUP($D100,FIYAT!$B:$O,4,FALSE()),"")</f>
        <v>CHINT</v>
      </c>
      <c r="L100" s="5">
        <f t="shared" si="13"/>
        <v>11131.199999999999</v>
      </c>
      <c r="M100" s="5"/>
      <c r="N100" s="5"/>
      <c r="O100" s="5"/>
      <c r="P100" s="5" t="str">
        <f>IF($H100="","FIYAT_YOK",IFERROR(VLOOKUP($D100,FIYAT!$B:$P,15,FALSE()),""))</f>
        <v>OK</v>
      </c>
      <c r="Q100" s="5" t="s">
        <v>269</v>
      </c>
      <c r="R100" s="5" t="s">
        <v>184</v>
      </c>
      <c r="S100" s="5" t="s">
        <v>550</v>
      </c>
      <c r="T100" s="5" t="s">
        <v>95</v>
      </c>
      <c r="U100" s="5">
        <f>IFERROR(VLOOKUP($T100,KURALLAR!$A$32:$B$63,2,FALSE()),0)*IF(ISNUMBER($I100),$I100,0)</f>
        <v>10</v>
      </c>
    </row>
    <row r="101" spans="1:21" x14ac:dyDescent="0.25">
      <c r="A101" s="9">
        <v>100</v>
      </c>
      <c r="B101" s="9"/>
      <c r="C101" s="9" t="s">
        <v>192</v>
      </c>
      <c r="D101" s="9" t="s">
        <v>238</v>
      </c>
      <c r="E101" s="9" t="str">
        <f>IFERROR(VLOOKUP($D101,FIYAT!$B:$O,2,FALSE()),"")</f>
        <v>Авт. выкл. NXB-63 1P 6A 6кА х-ка C (R)</v>
      </c>
      <c r="F101" s="9">
        <f>IFERROR(VLOOKUP($D101,FIYAT!$B:$O,5,FALSE()),"")</f>
        <v>1436</v>
      </c>
      <c r="G101" s="9">
        <f>IFERROR(VLOOKUP($D101,FIYAT!$B:$O,8,FALSE()),"")</f>
        <v>861.6</v>
      </c>
      <c r="H101" s="9">
        <f t="shared" si="12"/>
        <v>3446.4</v>
      </c>
      <c r="I101" s="6">
        <v>4</v>
      </c>
      <c r="J101" s="9" t="str">
        <f>IFERROR(VLOOKUP($D101,FIYAT!$B:$O,9,FALSE()),"")</f>
        <v>Шт.</v>
      </c>
      <c r="K101" s="9" t="str">
        <f>IFERROR(VLOOKUP($D101,FIYAT!$B:$O,4,FALSE()),"")</f>
        <v>CHINT</v>
      </c>
      <c r="L101" s="9">
        <f t="shared" si="13"/>
        <v>3446.4</v>
      </c>
      <c r="M101" s="9"/>
      <c r="N101" s="9"/>
      <c r="O101" s="9"/>
      <c r="P101" s="9" t="str">
        <f>IF($H101="","FIYAT_YOK",IFERROR(VLOOKUP($D101,FIYAT!$B:$P,15,FALSE()),""))</f>
        <v>OK</v>
      </c>
      <c r="Q101" s="9" t="s">
        <v>240</v>
      </c>
      <c r="R101" s="9" t="s">
        <v>171</v>
      </c>
      <c r="S101" s="9" t="s">
        <v>550</v>
      </c>
      <c r="T101" s="9" t="s">
        <v>47</v>
      </c>
      <c r="U101" s="9">
        <f>IFERROR(VLOOKUP($T101,KURALLAR!$A$32:$B$63,2,FALSE()),0)*IF(ISNUMBER($I101),$I101,0)</f>
        <v>12</v>
      </c>
    </row>
    <row r="102" spans="1:21" x14ac:dyDescent="0.25">
      <c r="A102" s="5">
        <v>101</v>
      </c>
      <c r="B102" s="5"/>
      <c r="C102" s="5" t="s">
        <v>89</v>
      </c>
      <c r="D102" s="5" t="s">
        <v>241</v>
      </c>
      <c r="E102" s="5" t="str">
        <f>IFERROR(VLOOKUP($D102,FIYAT!$B:$O,2,FALSE()),"")</f>
        <v>Индикатор ND16-22DS/4 белый АС230В (R)</v>
      </c>
      <c r="F102" s="5">
        <f>IFERROR(VLOOKUP($D102,FIYAT!$B:$O,5,FALSE()),"")</f>
        <v>1047</v>
      </c>
      <c r="G102" s="5">
        <f>IFERROR(VLOOKUP($D102,FIYAT!$B:$O,8,FALSE()),"")</f>
        <v>628.19999999999993</v>
      </c>
      <c r="H102" s="5">
        <f t="shared" si="12"/>
        <v>1884.6</v>
      </c>
      <c r="I102" s="6">
        <v>3</v>
      </c>
      <c r="J102" s="5" t="str">
        <f>IFERROR(VLOOKUP($D102,FIYAT!$B:$O,9,FALSE()),"")</f>
        <v>Шт.</v>
      </c>
      <c r="K102" s="5" t="str">
        <f>IFERROR(VLOOKUP($D102,FIYAT!$B:$O,4,FALSE()),"")</f>
        <v>CHINT</v>
      </c>
      <c r="L102" s="5">
        <f t="shared" si="13"/>
        <v>1884.6</v>
      </c>
      <c r="M102" s="5"/>
      <c r="N102" s="5"/>
      <c r="O102" s="5"/>
      <c r="P102" s="5" t="str">
        <f>IF($H102="","FIYAT_YOK",IFERROR(VLOOKUP($D102,FIYAT!$B:$P,15,FALSE()),""))</f>
        <v>OK</v>
      </c>
      <c r="Q102" s="5" t="s">
        <v>243</v>
      </c>
      <c r="R102" s="5" t="s">
        <v>184</v>
      </c>
      <c r="S102" s="5" t="s">
        <v>550</v>
      </c>
      <c r="T102" s="5" t="s">
        <v>89</v>
      </c>
      <c r="U102" s="5">
        <f>IFERROR(VLOOKUP($T102,KURALLAR!$A$32:$B$63,2,FALSE()),0)*IF(ISNUMBER($I102),$I102,0)</f>
        <v>12</v>
      </c>
    </row>
    <row r="103" spans="1:21" x14ac:dyDescent="0.25">
      <c r="A103" s="9">
        <v>102</v>
      </c>
      <c r="B103" s="9"/>
      <c r="C103" s="9" t="s">
        <v>87</v>
      </c>
      <c r="D103" s="9" t="s">
        <v>270</v>
      </c>
      <c r="E103" s="9" t="str">
        <f>IFERROR(VLOOKUP($D103,FIYAT!$B:$O,2,FALSE()),"")</f>
        <v>Реле защиты от утечки тока с LCD индикацией (регулируемое) — CHINT листинге нет</v>
      </c>
      <c r="F103" s="9">
        <f>IFERROR(VLOOKUP($D103,FIYAT!$B:$O,5,FALSE()),"")</f>
        <v>0</v>
      </c>
      <c r="G103" s="9" t="str">
        <f>IFERROR(VLOOKUP($D103,FIYAT!$B:$O,8,FALSE()),"")</f>
        <v/>
      </c>
      <c r="H103" s="9" t="str">
        <f t="shared" si="12"/>
        <v/>
      </c>
      <c r="I103" s="6">
        <v>1</v>
      </c>
      <c r="J103" s="9" t="str">
        <f>IFERROR(VLOOKUP($D103,FIYAT!$B:$O,9,FALSE()),"")</f>
        <v>Шт.</v>
      </c>
      <c r="K103" s="9" t="str">
        <f>IFERROR(VLOOKUP($D103,FIYAT!$B:$O,4,FALSE()),"")</f>
        <v>MUADIL-NET</v>
      </c>
      <c r="L103" s="9" t="str">
        <f t="shared" si="13"/>
        <v/>
      </c>
      <c r="M103" s="9"/>
      <c r="N103" s="9"/>
      <c r="O103" s="9"/>
      <c r="P103" s="7" t="str">
        <f>IF($H103="","FIYAT_YOK",IFERROR(VLOOKUP($D103,FIYAT!$B:$P,15,FALSE()),""))</f>
        <v>FIYAT_YOK</v>
      </c>
      <c r="Q103" s="7" t="s">
        <v>272</v>
      </c>
      <c r="R103" s="9"/>
      <c r="S103" s="9" t="s">
        <v>550</v>
      </c>
      <c r="T103" s="9" t="s">
        <v>87</v>
      </c>
      <c r="U103" s="9">
        <f>IFERROR(VLOOKUP($T103,KURALLAR!$A$32:$B$63,2,FALSE()),0)*IF(ISNUMBER($I103),$I103,0)</f>
        <v>8</v>
      </c>
    </row>
    <row r="104" spans="1:21" x14ac:dyDescent="0.25">
      <c r="A104" s="5">
        <v>103</v>
      </c>
      <c r="B104" s="5"/>
      <c r="C104" s="5" t="s">
        <v>83</v>
      </c>
      <c r="D104" s="5" t="s">
        <v>273</v>
      </c>
      <c r="E104" s="5" t="str">
        <f>IFERROR(VLOOKUP($D104,FIYAT!$B:$O,2,FALSE()),"")</f>
        <v>Schneider Vigilohm GA300 — тороид тип A, Ø300мм</v>
      </c>
      <c r="F104" s="5">
        <f>IFERROR(VLOOKUP($D104,FIYAT!$B:$O,5,FALSE()),"")</f>
        <v>0</v>
      </c>
      <c r="G104" s="5" t="str">
        <f>IFERROR(VLOOKUP($D104,FIYAT!$B:$O,8,FALSE()),"")</f>
        <v/>
      </c>
      <c r="H104" s="5" t="str">
        <f t="shared" si="12"/>
        <v/>
      </c>
      <c r="I104" s="6">
        <v>1</v>
      </c>
      <c r="J104" s="5" t="str">
        <f>IFERROR(VLOOKUP($D104,FIYAT!$B:$O,9,FALSE()),"")</f>
        <v>Шт.</v>
      </c>
      <c r="K104" s="5" t="str">
        <f>IFERROR(VLOOKUP($D104,FIYAT!$B:$O,4,FALSE()),"")</f>
        <v>SCHNEIDER</v>
      </c>
      <c r="L104" s="5" t="str">
        <f t="shared" si="13"/>
        <v/>
      </c>
      <c r="M104" s="5"/>
      <c r="N104" s="5"/>
      <c r="O104" s="5"/>
      <c r="P104" s="7" t="str">
        <f>IF($H104="","FIYAT_YOK",IFERROR(VLOOKUP($D104,FIYAT!$B:$P,15,FALSE()),""))</f>
        <v>FIYAT_YOK</v>
      </c>
      <c r="Q104" s="7" t="s">
        <v>275</v>
      </c>
      <c r="R104" s="5"/>
      <c r="S104" s="5" t="s">
        <v>550</v>
      </c>
      <c r="T104" s="5" t="s">
        <v>83</v>
      </c>
      <c r="U104" s="5">
        <f>IFERROR(VLOOKUP($T104,KURALLAR!$A$32:$B$63,2,FALSE()),0)*IF(ISNUMBER($I104),$I104,0)</f>
        <v>10</v>
      </c>
    </row>
    <row r="105" spans="1:21" x14ac:dyDescent="0.25">
      <c r="A105" s="9">
        <v>104</v>
      </c>
      <c r="B105" s="9"/>
      <c r="C105" s="9" t="s">
        <v>79</v>
      </c>
      <c r="D105" s="9" t="s">
        <v>179</v>
      </c>
      <c r="E105" s="9" t="str">
        <f>IFERROR(VLOOKUP($D105,FIYAT!$B:$O,2,FALSE()),"")</f>
        <v>Держатель плавкой вставки RT36-00-160, габарит 00, 160А</v>
      </c>
      <c r="F105" s="9">
        <f>IFERROR(VLOOKUP($D105,FIYAT!$B:$O,5,FALSE()),"")</f>
        <v>2038</v>
      </c>
      <c r="G105" s="9">
        <f>IFERROR(VLOOKUP($D105,FIYAT!$B:$O,8,FALSE()),"")</f>
        <v>1222.8</v>
      </c>
      <c r="H105" s="9">
        <f t="shared" si="12"/>
        <v>4891.2</v>
      </c>
      <c r="I105" s="6">
        <v>4</v>
      </c>
      <c r="J105" s="9" t="str">
        <f>IFERROR(VLOOKUP($D105,FIYAT!$B:$O,9,FALSE()),"")</f>
        <v>Шт.</v>
      </c>
      <c r="K105" s="9" t="str">
        <f>IFERROR(VLOOKUP($D105,FIYAT!$B:$O,4,FALSE()),"")</f>
        <v>CHINT</v>
      </c>
      <c r="L105" s="9">
        <f t="shared" si="13"/>
        <v>4891.2</v>
      </c>
      <c r="M105" s="9"/>
      <c r="N105" s="9"/>
      <c r="O105" s="9"/>
      <c r="P105" s="9" t="str">
        <f>IF($H105="","FIYAT_YOK",IFERROR(VLOOKUP($D105,FIYAT!$B:$P,15,FALSE()),""))</f>
        <v>MUADIL</v>
      </c>
      <c r="Q105" s="9" t="s">
        <v>181</v>
      </c>
      <c r="R105" s="9" t="s">
        <v>171</v>
      </c>
      <c r="S105" s="9" t="s">
        <v>550</v>
      </c>
      <c r="T105" s="9" t="s">
        <v>77</v>
      </c>
      <c r="U105" s="9">
        <f>IFERROR(VLOOKUP($T105,KURALLAR!$A$32:$B$63,2,FALSE()),0)*IF(ISNUMBER($I105),$I105,0)</f>
        <v>20</v>
      </c>
    </row>
    <row r="106" spans="1:21" x14ac:dyDescent="0.25">
      <c r="A106" s="5">
        <v>105</v>
      </c>
      <c r="B106" s="5"/>
      <c r="C106" s="5" t="s">
        <v>79</v>
      </c>
      <c r="D106" s="5" t="s">
        <v>182</v>
      </c>
      <c r="E106" s="5" t="str">
        <f>IFERROR(VLOOKUP($D106,FIYAT!$B:$O,2,FALSE()),"")</f>
        <v>Плавкая вставка предохранителя RT36-00-160, габарит 00, 63А</v>
      </c>
      <c r="F106" s="5">
        <f>IFERROR(VLOOKUP($D106,FIYAT!$B:$O,5,FALSE()),"")</f>
        <v>1525</v>
      </c>
      <c r="G106" s="5">
        <f>IFERROR(VLOOKUP($D106,FIYAT!$B:$O,8,FALSE()),"")</f>
        <v>915</v>
      </c>
      <c r="H106" s="5">
        <f t="shared" si="12"/>
        <v>3660</v>
      </c>
      <c r="I106" s="6">
        <v>4</v>
      </c>
      <c r="J106" s="5" t="str">
        <f>IFERROR(VLOOKUP($D106,FIYAT!$B:$O,9,FALSE()),"")</f>
        <v>Шт.</v>
      </c>
      <c r="K106" s="5" t="str">
        <f>IFERROR(VLOOKUP($D106,FIYAT!$B:$O,4,FALSE()),"")</f>
        <v>CHINT</v>
      </c>
      <c r="L106" s="5">
        <f t="shared" si="13"/>
        <v>3660</v>
      </c>
      <c r="M106" s="5"/>
      <c r="N106" s="5"/>
      <c r="O106" s="5"/>
      <c r="P106" s="5" t="str">
        <f>IF($H106="","FIYAT_YOK",IFERROR(VLOOKUP($D106,FIYAT!$B:$P,15,FALSE()),""))</f>
        <v>MUADIL</v>
      </c>
      <c r="Q106" s="5" t="s">
        <v>185</v>
      </c>
      <c r="R106" s="5" t="s">
        <v>184</v>
      </c>
      <c r="S106" s="5" t="s">
        <v>550</v>
      </c>
      <c r="T106" s="5" t="s">
        <v>79</v>
      </c>
      <c r="U106" s="5">
        <f>IFERROR(VLOOKUP($T106,KURALLAR!$A$32:$B$63,2,FALSE()),0)*IF(ISNUMBER($I106),$I106,0)</f>
        <v>12</v>
      </c>
    </row>
    <row r="107" spans="1:21" x14ac:dyDescent="0.25">
      <c r="A107" s="9">
        <v>106</v>
      </c>
      <c r="B107" s="9"/>
      <c r="C107" s="9" t="s">
        <v>75</v>
      </c>
      <c r="D107" s="9" t="s">
        <v>186</v>
      </c>
      <c r="E107" s="9" t="str">
        <f>IFERROR(VLOOKUP($D107,FIYAT!$B:$O,2,FALSE()),"")</f>
        <v>Ограничитель имп. перенапр. NU6-IIG 4Р In=25kA Uc=440B Im=65kA (R)</v>
      </c>
      <c r="F107" s="9">
        <f>IFERROR(VLOOKUP($D107,FIYAT!$B:$O,5,FALSE()),"")</f>
        <v>33208</v>
      </c>
      <c r="G107" s="9">
        <f>IFERROR(VLOOKUP($D107,FIYAT!$B:$O,8,FALSE()),"")</f>
        <v>19924.8</v>
      </c>
      <c r="H107" s="9">
        <f t="shared" si="12"/>
        <v>19924.8</v>
      </c>
      <c r="I107" s="6">
        <v>1</v>
      </c>
      <c r="J107" s="9" t="str">
        <f>IFERROR(VLOOKUP($D107,FIYAT!$B:$O,9,FALSE()),"")</f>
        <v>Шт.</v>
      </c>
      <c r="K107" s="9" t="str">
        <f>IFERROR(VLOOKUP($D107,FIYAT!$B:$O,4,FALSE()),"")</f>
        <v>CHINT</v>
      </c>
      <c r="L107" s="9">
        <f t="shared" si="13"/>
        <v>19924.8</v>
      </c>
      <c r="M107" s="9"/>
      <c r="N107" s="9"/>
      <c r="O107" s="9"/>
      <c r="P107" s="9" t="str">
        <f>IF($H107="","FIYAT_YOK",IFERROR(VLOOKUP($D107,FIYAT!$B:$P,15,FALSE()),""))</f>
        <v>MUADIL_ONAY</v>
      </c>
      <c r="Q107" s="9" t="s">
        <v>188</v>
      </c>
      <c r="R107" s="9" t="s">
        <v>184</v>
      </c>
      <c r="S107" s="9" t="s">
        <v>550</v>
      </c>
      <c r="T107" s="9" t="s">
        <v>75</v>
      </c>
      <c r="U107" s="9">
        <f>IFERROR(VLOOKUP($T107,KURALLAR!$A$32:$B$63,2,FALSE()),0)*IF(ISNUMBER($I107),$I107,0)</f>
        <v>10</v>
      </c>
    </row>
    <row r="108" spans="1:21" x14ac:dyDescent="0.25">
      <c r="A108" s="5">
        <v>107</v>
      </c>
      <c r="B108" s="5"/>
      <c r="C108" s="5" t="s">
        <v>169</v>
      </c>
      <c r="D108" s="5" t="s">
        <v>276</v>
      </c>
      <c r="E108" s="5" t="str">
        <f>IFERROR(VLOOKUP($D108,FIYAT!$B:$O,2,FALSE()),"")</f>
        <v>Авт. выкл. NM8N-125C TM 3P 40А 36кА с рег. термомаг. расцепителем (R)</v>
      </c>
      <c r="F108" s="5">
        <f>IFERROR(VLOOKUP($D108,FIYAT!$B:$O,5,FALSE()),"")</f>
        <v>68418</v>
      </c>
      <c r="G108" s="5">
        <f>IFERROR(VLOOKUP($D108,FIYAT!$B:$O,8,FALSE()),"")</f>
        <v>41050.799999999996</v>
      </c>
      <c r="H108" s="5">
        <f t="shared" si="12"/>
        <v>82101.599999999991</v>
      </c>
      <c r="I108" s="6">
        <v>2</v>
      </c>
      <c r="J108" s="5" t="str">
        <f>IFERROR(VLOOKUP($D108,FIYAT!$B:$O,9,FALSE()),"")</f>
        <v>Шт.</v>
      </c>
      <c r="K108" s="5" t="str">
        <f>IFERROR(VLOOKUP($D108,FIYAT!$B:$O,4,FALSE()),"")</f>
        <v>CHINT</v>
      </c>
      <c r="L108" s="5">
        <f t="shared" si="13"/>
        <v>82101.599999999991</v>
      </c>
      <c r="M108" s="5"/>
      <c r="N108" s="5"/>
      <c r="O108" s="5"/>
      <c r="P108" s="5" t="str">
        <f>IF($H108="","FIYAT_YOK",IFERROR(VLOOKUP($D108,FIYAT!$B:$P,15,FALSE()),""))</f>
        <v>MUADIL</v>
      </c>
      <c r="Q108" s="5" t="s">
        <v>172</v>
      </c>
      <c r="R108" s="5" t="s">
        <v>171</v>
      </c>
      <c r="S108" s="5" t="s">
        <v>550</v>
      </c>
      <c r="T108" s="5" t="s">
        <v>61</v>
      </c>
      <c r="U108" s="5">
        <f>IFERROR(VLOOKUP($T108,KURALLAR!$A$32:$B$63,2,FALSE()),0)*IF(ISNUMBER($I108),$I108,0)</f>
        <v>30</v>
      </c>
    </row>
    <row r="109" spans="1:21" x14ac:dyDescent="0.25">
      <c r="A109" s="9">
        <v>108</v>
      </c>
      <c r="B109" s="9"/>
      <c r="C109" s="9" t="s">
        <v>83</v>
      </c>
      <c r="D109" s="9" t="s">
        <v>278</v>
      </c>
      <c r="E109" s="9" t="str">
        <f>IFERROR(VLOOKUP($D109,FIYAT!$B:$O,2,FALSE()),"")</f>
        <v>Трансформатор тока Т-0.66-1,2 У3 500/5А (для счётчика)</v>
      </c>
      <c r="F109" s="9">
        <f>IFERROR(VLOOKUP($D109,FIYAT!$B:$O,5,FALSE()),"")</f>
        <v>0</v>
      </c>
      <c r="G109" s="9" t="str">
        <f>IFERROR(VLOOKUP($D109,FIYAT!$B:$O,8,FALSE()),"")</f>
        <v/>
      </c>
      <c r="H109" s="9" t="str">
        <f t="shared" si="12"/>
        <v/>
      </c>
      <c r="I109" s="6">
        <v>3</v>
      </c>
      <c r="J109" s="9" t="str">
        <f>IFERROR(VLOOKUP($D109,FIYAT!$B:$O,9,FALSE()),"")</f>
        <v>Шт.</v>
      </c>
      <c r="K109" s="9" t="str">
        <f>IFERROR(VLOOKUP($D109,FIYAT!$B:$O,4,FALSE()),"")</f>
        <v>MUADIL-NET</v>
      </c>
      <c r="L109" s="9" t="str">
        <f t="shared" si="13"/>
        <v/>
      </c>
      <c r="M109" s="9"/>
      <c r="N109" s="9"/>
      <c r="O109" s="9"/>
      <c r="P109" s="7" t="str">
        <f>IF($H109="","FIYAT_YOK",IFERROR(VLOOKUP($D109,FIYAT!$B:$P,15,FALSE()),""))</f>
        <v>FIYAT_YOK</v>
      </c>
      <c r="Q109" s="7" t="s">
        <v>280</v>
      </c>
      <c r="R109" s="9"/>
      <c r="S109" s="9" t="s">
        <v>550</v>
      </c>
      <c r="T109" s="9" t="s">
        <v>83</v>
      </c>
      <c r="U109" s="9">
        <f>IFERROR(VLOOKUP($T109,KURALLAR!$A$32:$B$63,2,FALSE()),0)*IF(ISNUMBER($I109),$I109,0)</f>
        <v>30</v>
      </c>
    </row>
    <row r="110" spans="1:21" x14ac:dyDescent="0.25">
      <c r="A110" s="5">
        <v>109</v>
      </c>
      <c r="B110" s="5"/>
      <c r="C110" s="5" t="s">
        <v>97</v>
      </c>
      <c r="D110" s="5" t="s">
        <v>281</v>
      </c>
      <c r="E110" s="5" t="str">
        <f>IFERROR(VLOOKUP($D110,FIYAT!$B:$O,2,FALSE()),"")</f>
        <v>КОРОБКА КЛЕММНАЯ ИСПЫТАТЕЛЬНАЯ ПЕРЕХОДНАЯ ККИ1-1 EKF PROXIMA</v>
      </c>
      <c r="F110" s="5">
        <f>IFERROR(VLOOKUP($D110,FIYAT!$B:$O,5,FALSE()),"")</f>
        <v>0</v>
      </c>
      <c r="G110" s="5" t="str">
        <f>IFERROR(VLOOKUP($D110,FIYAT!$B:$O,8,FALSE()),"")</f>
        <v/>
      </c>
      <c r="H110" s="5" t="str">
        <f t="shared" si="12"/>
        <v/>
      </c>
      <c r="I110" s="6">
        <v>1</v>
      </c>
      <c r="J110" s="5" t="str">
        <f>IFERROR(VLOOKUP($D110,FIYAT!$B:$O,9,FALSE()),"")</f>
        <v>Шт.</v>
      </c>
      <c r="K110" s="5" t="str">
        <f>IFERROR(VLOOKUP($D110,FIYAT!$B:$O,4,FALSE()),"")</f>
        <v>EKF</v>
      </c>
      <c r="L110" s="5" t="str">
        <f t="shared" si="13"/>
        <v/>
      </c>
      <c r="M110" s="5"/>
      <c r="N110" s="5"/>
      <c r="O110" s="5"/>
      <c r="P110" s="7" t="str">
        <f>IF($H110="","FIYAT_YOK",IFERROR(VLOOKUP($D110,FIYAT!$B:$P,15,FALSE()),""))</f>
        <v>FIYAT_YOK</v>
      </c>
      <c r="Q110" s="7" t="s">
        <v>283</v>
      </c>
      <c r="R110" s="5"/>
      <c r="S110" s="5" t="s">
        <v>550</v>
      </c>
      <c r="T110" s="5" t="s">
        <v>97</v>
      </c>
      <c r="U110" s="5">
        <f>IFERROR(VLOOKUP($T110,KURALLAR!$A$32:$B$63,2,FALSE()),0)*IF(ISNUMBER($I110),$I110,0)</f>
        <v>4</v>
      </c>
    </row>
    <row r="111" spans="1:21" x14ac:dyDescent="0.25">
      <c r="A111" s="9">
        <v>110</v>
      </c>
      <c r="B111" s="9"/>
      <c r="C111" s="9" t="s">
        <v>81</v>
      </c>
      <c r="D111" s="9" t="s">
        <v>284</v>
      </c>
      <c r="E111" s="9" t="str">
        <f>IFERROR(VLOOKUP($D111,FIYAT!$B:$O,2,FALSE()),"")</f>
        <v>Трехфазный эл.счетчик EX 518 5А (трансф. подкл.) с PLC модулем</v>
      </c>
      <c r="F111" s="9">
        <f>IFERROR(VLOOKUP($D111,FIYAT!$B:$O,5,FALSE()),"")</f>
        <v>0</v>
      </c>
      <c r="G111" s="9" t="str">
        <f>IFERROR(VLOOKUP($D111,FIYAT!$B:$O,8,FALSE()),"")</f>
        <v/>
      </c>
      <c r="H111" s="9" t="str">
        <f t="shared" si="12"/>
        <v/>
      </c>
      <c r="I111" s="6">
        <v>1</v>
      </c>
      <c r="J111" s="9" t="str">
        <f>IFERROR(VLOOKUP($D111,FIYAT!$B:$O,9,FALSE()),"")</f>
        <v>Шт.</v>
      </c>
      <c r="K111" s="9" t="str">
        <f>IFERROR(VLOOKUP($D111,FIYAT!$B:$O,4,FALSE()),"")</f>
        <v>MUADIL-NET</v>
      </c>
      <c r="L111" s="9" t="str">
        <f t="shared" si="13"/>
        <v/>
      </c>
      <c r="M111" s="9"/>
      <c r="N111" s="9"/>
      <c r="O111" s="9"/>
      <c r="P111" s="7" t="str">
        <f>IF($H111="","FIYAT_YOK",IFERROR(VLOOKUP($D111,FIYAT!$B:$P,15,FALSE()),""))</f>
        <v>FIYAT_YOK</v>
      </c>
      <c r="Q111" s="7" t="s">
        <v>249</v>
      </c>
      <c r="R111" s="9"/>
      <c r="S111" s="9" t="s">
        <v>550</v>
      </c>
      <c r="T111" s="9" t="s">
        <v>81</v>
      </c>
      <c r="U111" s="9">
        <f>IFERROR(VLOOKUP($T111,KURALLAR!$A$32:$B$63,2,FALSE()),0)*IF(ISNUMBER($I111),$I111,0)</f>
        <v>30</v>
      </c>
    </row>
    <row r="112" spans="1:21" x14ac:dyDescent="0.25">
      <c r="A112" s="5">
        <v>111</v>
      </c>
      <c r="B112" s="5"/>
      <c r="C112" s="5" t="s">
        <v>253</v>
      </c>
      <c r="D112" s="5" t="s">
        <v>251</v>
      </c>
      <c r="E112" s="5" t="str">
        <f>IFERROR(VLOOKUP($D112,FIYAT!$B:$O,2,FALSE()),"")</f>
        <v>Шина алюминиевая твёрдая (ШАТ)</v>
      </c>
      <c r="F112" s="5">
        <f>IFERROR(VLOOKUP($D112,FIYAT!$B:$O,5,FALSE()),"")</f>
        <v>4493.5999999999995</v>
      </c>
      <c r="G112" s="5">
        <f>IFERROR(VLOOKUP($D112,FIYAT!$B:$O,8,FALSE()),"")</f>
        <v>4493.5999999999995</v>
      </c>
      <c r="H112" s="5">
        <f t="shared" si="12"/>
        <v>143795.19999999998</v>
      </c>
      <c r="I112" s="6">
        <v>32</v>
      </c>
      <c r="J112" s="5" t="str">
        <f>IFERROR(VLOOKUP($D112,FIYAT!$B:$O,9,FALSE()),"")</f>
        <v>Кг.</v>
      </c>
      <c r="K112" s="5" t="str">
        <f>IFERROR(VLOOKUP($D112,FIYAT!$B:$O,4,FALSE()),"")</f>
        <v>ALUM-BARA</v>
      </c>
      <c r="L112" s="5">
        <f t="shared" si="13"/>
        <v>143795.19999999998</v>
      </c>
      <c r="M112" s="5"/>
      <c r="N112" s="5"/>
      <c r="O112" s="5"/>
      <c r="P112" s="5" t="str">
        <f>IF($H112="","FIYAT_YOK",IFERROR(VLOOKUP($D112,FIYAT!$B:$P,15,FALSE()),""))</f>
        <v>VARSAYIM</v>
      </c>
      <c r="Q112" s="5" t="s">
        <v>255</v>
      </c>
      <c r="R112" s="5"/>
      <c r="S112" s="5" t="s">
        <v>550</v>
      </c>
      <c r="T112" s="5" t="s">
        <v>101</v>
      </c>
      <c r="U112" s="5">
        <f>IFERROR(VLOOKUP($T112,KURALLAR!$A$32:$B$63,2,FALSE()),0)*IF(ISNUMBER($I112),$I112,0)</f>
        <v>192</v>
      </c>
    </row>
    <row r="113" spans="1:21" x14ac:dyDescent="0.25">
      <c r="A113" s="9">
        <v>112</v>
      </c>
      <c r="B113" s="9"/>
      <c r="C113" s="9" t="s">
        <v>222</v>
      </c>
      <c r="D113" s="9" t="s">
        <v>261</v>
      </c>
      <c r="E113" s="9" t="str">
        <f>IFERROR(VLOOKUP($D113,FIYAT!$B:$O,2,FALSE()),"")</f>
        <v>Мет. Щит (2000x700x500) +10CM BAZA IP54</v>
      </c>
      <c r="F113" s="9">
        <f>IFERROR(VLOOKUP($D113,FIYAT!$B:$O,5,FALSE()),"")</f>
        <v>117250</v>
      </c>
      <c r="G113" s="9">
        <f>IFERROR(VLOOKUP($D113,FIYAT!$B:$O,8,FALSE()),"")</f>
        <v>70350</v>
      </c>
      <c r="H113" s="9">
        <f t="shared" si="12"/>
        <v>70350</v>
      </c>
      <c r="I113" s="6">
        <v>1</v>
      </c>
      <c r="J113" s="9" t="str">
        <f>IFERROR(VLOOKUP($D113,FIYAT!$B:$O,9,FALSE()),"")</f>
        <v>Шт.</v>
      </c>
      <c r="K113" s="9" t="str">
        <f>IFERROR(VLOOKUP($D113,FIYAT!$B:$O,4,FALSE()),"")</f>
        <v>KAZTEK</v>
      </c>
      <c r="L113" s="9">
        <f t="shared" si="13"/>
        <v>70350</v>
      </c>
      <c r="M113" s="9"/>
      <c r="N113" s="9"/>
      <c r="O113" s="9"/>
      <c r="P113" s="9" t="str">
        <f>IF($H113="","FIYAT_YOK",IFERROR(VLOOKUP($D113,FIYAT!$B:$P,15,FALSE()),""))</f>
        <v>VARSAYIM</v>
      </c>
      <c r="Q113" s="9" t="s">
        <v>263</v>
      </c>
      <c r="R113" s="9" t="s">
        <v>211</v>
      </c>
      <c r="S113" s="9" t="s">
        <v>550</v>
      </c>
      <c r="T113" s="9" t="s">
        <v>107</v>
      </c>
      <c r="U113" s="9">
        <f>IFERROR(VLOOKUP($T113,KURALLAR!$A$32:$B$63,2,FALSE()),0)*IF(ISNUMBER($I113),$I113,0)</f>
        <v>90</v>
      </c>
    </row>
    <row r="114" spans="1:21" x14ac:dyDescent="0.25">
      <c r="A114" s="5">
        <v>113</v>
      </c>
      <c r="B114" s="5"/>
      <c r="C114" s="5" t="s">
        <v>215</v>
      </c>
      <c r="D114" s="5" t="s">
        <v>213</v>
      </c>
      <c r="E114" s="5" t="str">
        <f>IFERROR(VLOOKUP($D114,FIYAT!$B:$O,2,FALSE()),"")</f>
        <v>Монтажный расходный материал (кабель, DIN-рейка, кабель-канал, клеммы, маркировка, крепёж)</v>
      </c>
      <c r="F114" s="5">
        <f>IFERROR(VLOOKUP($D114,FIYAT!$B:$O,5,FALSE()),"")</f>
        <v>0</v>
      </c>
      <c r="G114" s="5" t="str">
        <f>IFERROR(VLOOKUP($D114,FIYAT!$B:$O,8,FALSE()),"")</f>
        <v/>
      </c>
      <c r="H114" s="5">
        <f>ROUND(SUM($H$99:$H$113)*KURALLAR!$B$28,0)</f>
        <v>43850</v>
      </c>
      <c r="I114" s="6">
        <v>1</v>
      </c>
      <c r="J114" s="5" t="str">
        <f>IFERROR(VLOOKUP($D114,FIYAT!$B:$O,9,FALSE()),"")</f>
        <v>компл.</v>
      </c>
      <c r="K114" s="5" t="str">
        <f>IFERROR(VLOOKUP($D114,FIYAT!$B:$O,4,FALSE()),"")</f>
        <v>MUADIL-NET</v>
      </c>
      <c r="L114" s="5">
        <f t="shared" si="13"/>
        <v>43850</v>
      </c>
      <c r="M114" s="5"/>
      <c r="N114" s="5"/>
      <c r="O114" s="5"/>
      <c r="P114" s="5" t="str">
        <f>IF($H114="","FIYAT_YOK",IFERROR(VLOOKUP($D114,FIYAT!$B:$P,15,FALSE()),""))</f>
        <v>ORAN</v>
      </c>
      <c r="Q114" s="5" t="s">
        <v>218</v>
      </c>
      <c r="R114" s="5" t="s">
        <v>217</v>
      </c>
      <c r="S114" s="5" t="s">
        <v>550</v>
      </c>
      <c r="T114" s="5"/>
      <c r="U114" s="5">
        <v>0</v>
      </c>
    </row>
    <row r="115" spans="1:21" x14ac:dyDescent="0.25">
      <c r="A115" s="9">
        <v>114</v>
      </c>
      <c r="B115" s="9"/>
      <c r="C115" s="9" t="s">
        <v>227</v>
      </c>
      <c r="D115" s="9" t="s">
        <v>225</v>
      </c>
      <c r="E115" s="9" t="str">
        <f>IFERROR(VLOOKUP($D115,FIYAT!$B:$O,2,FALSE()),"")</f>
        <v>Сборка, кабелирование, маркировка, момент затяжки, испытания</v>
      </c>
      <c r="F115" s="9">
        <f>IFERROR(VLOOKUP($D115,FIYAT!$B:$O,5,FALSE()),"")</f>
        <v>100</v>
      </c>
      <c r="G115" s="9">
        <f>IFERROR(VLOOKUP($D115,FIYAT!$B:$O,8,FALSE()),"")</f>
        <v>100</v>
      </c>
      <c r="H115" s="9">
        <f>IF(OR($G115="",$I115=""),"",$G115*$I115)</f>
        <v>66700</v>
      </c>
      <c r="I115" s="6">
        <f>ROUND(SUM($U$99:$U$114)*KURALLAR!$B$27,0)</f>
        <v>667</v>
      </c>
      <c r="J115" s="9" t="str">
        <f>IFERROR(VLOOKUP($D115,FIYAT!$B:$O,9,FALSE()),"")</f>
        <v>мин</v>
      </c>
      <c r="K115" s="9" t="str">
        <f>IFERROR(VLOOKUP($D115,FIYAT!$B:$O,4,FALSE()),"")</f>
        <v>ISCILIK</v>
      </c>
      <c r="L115" s="9">
        <f t="shared" si="13"/>
        <v>66700</v>
      </c>
      <c r="M115" s="9"/>
      <c r="N115" s="9"/>
      <c r="O115" s="9"/>
      <c r="P115" s="9" t="str">
        <f>IF($H115="","FIYAT_YOK",IFERROR(VLOOKUP($D115,FIYAT!$B:$P,15,FALSE()),""))</f>
        <v>OK</v>
      </c>
      <c r="Q115" s="9" t="str">
        <f>CONCATENATE("montaj+test iscilik: ",TEXT($I115,"# ##0")," dk = ",TEXT($I115/60,"0,00")," saat (norm x test/etiket carpani)")</f>
        <v>montaj+test iscilik:  667 dk = 11,12 saat (norm x test/etiket carpani)</v>
      </c>
      <c r="R115" s="9" t="s">
        <v>229</v>
      </c>
      <c r="S115" s="9" t="s">
        <v>550</v>
      </c>
      <c r="T115" s="9"/>
      <c r="U115" s="9">
        <v>0</v>
      </c>
    </row>
    <row r="116" spans="1:21" x14ac:dyDescent="0.25">
      <c r="A116" s="10">
        <v>115</v>
      </c>
      <c r="B116" s="10" t="s">
        <v>563</v>
      </c>
      <c r="C116" s="10"/>
      <c r="D116" s="10"/>
      <c r="E116" s="10"/>
      <c r="F116" s="10"/>
      <c r="G116" s="10"/>
      <c r="H116" s="10">
        <f>SUBTOTAL(9,H99:H115)</f>
        <v>736978.6</v>
      </c>
      <c r="I116" s="10"/>
      <c r="J116" s="10"/>
      <c r="K116" s="10"/>
      <c r="L116" s="10">
        <f>SUBTOTAL(9,L99:L115)</f>
        <v>736978.6</v>
      </c>
      <c r="M116" s="10"/>
      <c r="N116" s="10"/>
      <c r="O116" s="10"/>
      <c r="P116" s="10"/>
      <c r="Q116" s="10"/>
      <c r="R116" s="10"/>
      <c r="S116" s="10"/>
      <c r="T116" s="10"/>
      <c r="U116" s="10">
        <f>SUBTOTAL(9,U99:U115)</f>
        <v>580</v>
      </c>
    </row>
    <row r="117" spans="1:21" x14ac:dyDescent="0.25">
      <c r="A117" s="8">
        <v>116</v>
      </c>
      <c r="B117" s="8" t="str">
        <f>E117</f>
        <v>BLOK A / ЩЭ-F2 — НКУ 380/220В 50Гц, FORM 2B, IP31/54</v>
      </c>
      <c r="C117" s="8" t="s">
        <v>545</v>
      </c>
      <c r="D117" s="8"/>
      <c r="E117" s="8" t="s">
        <v>564</v>
      </c>
      <c r="F117" s="8"/>
      <c r="G117" s="8"/>
      <c r="H117" s="8"/>
      <c r="I117" s="8">
        <v>1</v>
      </c>
      <c r="J117" s="8" t="s">
        <v>547</v>
      </c>
      <c r="K117" s="8"/>
      <c r="L117" s="8"/>
      <c r="M117" s="8"/>
      <c r="N117" s="8"/>
      <c r="O117" s="8"/>
      <c r="P117" s="8" t="s">
        <v>178</v>
      </c>
      <c r="Q117" s="8" t="s">
        <v>548</v>
      </c>
      <c r="R117" s="8" t="s">
        <v>549</v>
      </c>
      <c r="S117" s="8" t="s">
        <v>550</v>
      </c>
      <c r="T117" s="8"/>
      <c r="U117" s="8"/>
    </row>
    <row r="118" spans="1:21" x14ac:dyDescent="0.25">
      <c r="A118" s="5">
        <v>117</v>
      </c>
      <c r="B118" s="5"/>
      <c r="C118" s="5" t="s">
        <v>169</v>
      </c>
      <c r="D118" s="5" t="s">
        <v>286</v>
      </c>
      <c r="E118" s="5" t="str">
        <f>IFERROR(VLOOKUP($D118,FIYAT!$B:$O,2,FALSE()),"")</f>
        <v>Авт. выкл. NM8N-400C TM 3P 315А 36кА с рег. термомаг. расцепителем (R)</v>
      </c>
      <c r="F118" s="5">
        <f>IFERROR(VLOOKUP($D118,FIYAT!$B:$O,5,FALSE()),"")</f>
        <v>199091</v>
      </c>
      <c r="G118" s="5">
        <f>IFERROR(VLOOKUP($D118,FIYAT!$B:$O,8,FALSE()),"")</f>
        <v>119454.59999999999</v>
      </c>
      <c r="H118" s="5">
        <f t="shared" ref="H118:H133" si="14">IF(OR($G118="",$I118=""),"",$G118*$I118)</f>
        <v>119454.59999999999</v>
      </c>
      <c r="I118" s="6">
        <v>1</v>
      </c>
      <c r="J118" s="5" t="str">
        <f>IFERROR(VLOOKUP($D118,FIYAT!$B:$O,9,FALSE()),"")</f>
        <v>Шт.</v>
      </c>
      <c r="K118" s="5" t="str">
        <f>IFERROR(VLOOKUP($D118,FIYAT!$B:$O,4,FALSE()),"")</f>
        <v>CHINT</v>
      </c>
      <c r="L118" s="5">
        <f t="shared" ref="L118:L135" si="15">IF($H118="","",$H118)</f>
        <v>119454.59999999999</v>
      </c>
      <c r="M118" s="5"/>
      <c r="N118" s="5"/>
      <c r="O118" s="5"/>
      <c r="P118" s="5" t="str">
        <f>IF($H118="","FIYAT_YOK",IFERROR(VLOOKUP($D118,FIYAT!$B:$P,15,FALSE()),""))</f>
        <v>OK</v>
      </c>
      <c r="Q118" s="5" t="s">
        <v>288</v>
      </c>
      <c r="R118" s="5" t="s">
        <v>184</v>
      </c>
      <c r="S118" s="5" t="s">
        <v>550</v>
      </c>
      <c r="T118" s="5" t="s">
        <v>65</v>
      </c>
      <c r="U118" s="5">
        <f>IFERROR(VLOOKUP($T118,KURALLAR!$A$32:$B$63,2,FALSE()),0)*IF(ISNUMBER($I118),$I118,0)</f>
        <v>40</v>
      </c>
    </row>
    <row r="119" spans="1:21" x14ac:dyDescent="0.25">
      <c r="A119" s="9">
        <v>118</v>
      </c>
      <c r="B119" s="9"/>
      <c r="C119" s="9" t="s">
        <v>93</v>
      </c>
      <c r="D119" s="9" t="s">
        <v>267</v>
      </c>
      <c r="E119" s="9" t="str">
        <f>IFERROR(VLOOKUP($D119,FIYAT!$B:$O,2,FALSE()),"")</f>
        <v>Независимый расцепитель SHT22-M8 AC220-240V для NM8N-250/400/630 (R)</v>
      </c>
      <c r="F119" s="9">
        <f>IFERROR(VLOOKUP($D119,FIYAT!$B:$O,5,FALSE()),"")</f>
        <v>18552</v>
      </c>
      <c r="G119" s="9">
        <f>IFERROR(VLOOKUP($D119,FIYAT!$B:$O,8,FALSE()),"")</f>
        <v>11131.199999999999</v>
      </c>
      <c r="H119" s="9">
        <f t="shared" si="14"/>
        <v>11131.199999999999</v>
      </c>
      <c r="I119" s="6">
        <v>1</v>
      </c>
      <c r="J119" s="9" t="str">
        <f>IFERROR(VLOOKUP($D119,FIYAT!$B:$O,9,FALSE()),"")</f>
        <v>Шт.</v>
      </c>
      <c r="K119" s="9" t="str">
        <f>IFERROR(VLOOKUP($D119,FIYAT!$B:$O,4,FALSE()),"")</f>
        <v>CHINT</v>
      </c>
      <c r="L119" s="9">
        <f t="shared" si="15"/>
        <v>11131.199999999999</v>
      </c>
      <c r="M119" s="9"/>
      <c r="N119" s="9"/>
      <c r="O119" s="9"/>
      <c r="P119" s="9" t="str">
        <f>IF($H119="","FIYAT_YOK",IFERROR(VLOOKUP($D119,FIYAT!$B:$P,15,FALSE()),""))</f>
        <v>OK</v>
      </c>
      <c r="Q119" s="9" t="s">
        <v>269</v>
      </c>
      <c r="R119" s="9" t="s">
        <v>184</v>
      </c>
      <c r="S119" s="9" t="s">
        <v>550</v>
      </c>
      <c r="T119" s="9" t="s">
        <v>95</v>
      </c>
      <c r="U119" s="9">
        <f>IFERROR(VLOOKUP($T119,KURALLAR!$A$32:$B$63,2,FALSE()),0)*IF(ISNUMBER($I119),$I119,0)</f>
        <v>10</v>
      </c>
    </row>
    <row r="120" spans="1:21" x14ac:dyDescent="0.25">
      <c r="A120" s="5">
        <v>119</v>
      </c>
      <c r="B120" s="5"/>
      <c r="C120" s="5" t="s">
        <v>192</v>
      </c>
      <c r="D120" s="5" t="s">
        <v>238</v>
      </c>
      <c r="E120" s="5" t="str">
        <f>IFERROR(VLOOKUP($D120,FIYAT!$B:$O,2,FALSE()),"")</f>
        <v>Авт. выкл. NXB-63 1P 6A 6кА х-ка C (R)</v>
      </c>
      <c r="F120" s="5">
        <f>IFERROR(VLOOKUP($D120,FIYAT!$B:$O,5,FALSE()),"")</f>
        <v>1436</v>
      </c>
      <c r="G120" s="5">
        <f>IFERROR(VLOOKUP($D120,FIYAT!$B:$O,8,FALSE()),"")</f>
        <v>861.6</v>
      </c>
      <c r="H120" s="5">
        <f t="shared" si="14"/>
        <v>3446.4</v>
      </c>
      <c r="I120" s="6">
        <v>4</v>
      </c>
      <c r="J120" s="5" t="str">
        <f>IFERROR(VLOOKUP($D120,FIYAT!$B:$O,9,FALSE()),"")</f>
        <v>Шт.</v>
      </c>
      <c r="K120" s="5" t="str">
        <f>IFERROR(VLOOKUP($D120,FIYAT!$B:$O,4,FALSE()),"")</f>
        <v>CHINT</v>
      </c>
      <c r="L120" s="5">
        <f t="shared" si="15"/>
        <v>3446.4</v>
      </c>
      <c r="M120" s="5"/>
      <c r="N120" s="5"/>
      <c r="O120" s="5"/>
      <c r="P120" s="5" t="str">
        <f>IF($H120="","FIYAT_YOK",IFERROR(VLOOKUP($D120,FIYAT!$B:$P,15,FALSE()),""))</f>
        <v>OK</v>
      </c>
      <c r="Q120" s="5" t="s">
        <v>240</v>
      </c>
      <c r="R120" s="5" t="s">
        <v>171</v>
      </c>
      <c r="S120" s="5" t="s">
        <v>550</v>
      </c>
      <c r="T120" s="5" t="s">
        <v>47</v>
      </c>
      <c r="U120" s="5">
        <f>IFERROR(VLOOKUP($T120,KURALLAR!$A$32:$B$63,2,FALSE()),0)*IF(ISNUMBER($I120),$I120,0)</f>
        <v>12</v>
      </c>
    </row>
    <row r="121" spans="1:21" x14ac:dyDescent="0.25">
      <c r="A121" s="9">
        <v>120</v>
      </c>
      <c r="B121" s="9"/>
      <c r="C121" s="9" t="s">
        <v>89</v>
      </c>
      <c r="D121" s="9" t="s">
        <v>241</v>
      </c>
      <c r="E121" s="9" t="str">
        <f>IFERROR(VLOOKUP($D121,FIYAT!$B:$O,2,FALSE()),"")</f>
        <v>Индикатор ND16-22DS/4 белый АС230В (R)</v>
      </c>
      <c r="F121" s="9">
        <f>IFERROR(VLOOKUP($D121,FIYAT!$B:$O,5,FALSE()),"")</f>
        <v>1047</v>
      </c>
      <c r="G121" s="9">
        <f>IFERROR(VLOOKUP($D121,FIYAT!$B:$O,8,FALSE()),"")</f>
        <v>628.19999999999993</v>
      </c>
      <c r="H121" s="9">
        <f t="shared" si="14"/>
        <v>1884.6</v>
      </c>
      <c r="I121" s="6">
        <v>3</v>
      </c>
      <c r="J121" s="9" t="str">
        <f>IFERROR(VLOOKUP($D121,FIYAT!$B:$O,9,FALSE()),"")</f>
        <v>Шт.</v>
      </c>
      <c r="K121" s="9" t="str">
        <f>IFERROR(VLOOKUP($D121,FIYAT!$B:$O,4,FALSE()),"")</f>
        <v>CHINT</v>
      </c>
      <c r="L121" s="9">
        <f t="shared" si="15"/>
        <v>1884.6</v>
      </c>
      <c r="M121" s="9"/>
      <c r="N121" s="9"/>
      <c r="O121" s="9"/>
      <c r="P121" s="9" t="str">
        <f>IF($H121="","FIYAT_YOK",IFERROR(VLOOKUP($D121,FIYAT!$B:$P,15,FALSE()),""))</f>
        <v>OK</v>
      </c>
      <c r="Q121" s="9" t="s">
        <v>243</v>
      </c>
      <c r="R121" s="9" t="s">
        <v>184</v>
      </c>
      <c r="S121" s="9" t="s">
        <v>550</v>
      </c>
      <c r="T121" s="9" t="s">
        <v>89</v>
      </c>
      <c r="U121" s="9">
        <f>IFERROR(VLOOKUP($T121,KURALLAR!$A$32:$B$63,2,FALSE()),0)*IF(ISNUMBER($I121),$I121,0)</f>
        <v>12</v>
      </c>
    </row>
    <row r="122" spans="1:21" x14ac:dyDescent="0.25">
      <c r="A122" s="5">
        <v>121</v>
      </c>
      <c r="B122" s="5"/>
      <c r="C122" s="5" t="s">
        <v>87</v>
      </c>
      <c r="D122" s="5" t="s">
        <v>270</v>
      </c>
      <c r="E122" s="5" t="str">
        <f>IFERROR(VLOOKUP($D122,FIYAT!$B:$O,2,FALSE()),"")</f>
        <v>Реле защиты от утечки тока с LCD индикацией (регулируемое) — CHINT листинге нет</v>
      </c>
      <c r="F122" s="5">
        <f>IFERROR(VLOOKUP($D122,FIYAT!$B:$O,5,FALSE()),"")</f>
        <v>0</v>
      </c>
      <c r="G122" s="5" t="str">
        <f>IFERROR(VLOOKUP($D122,FIYAT!$B:$O,8,FALSE()),"")</f>
        <v/>
      </c>
      <c r="H122" s="5" t="str">
        <f t="shared" si="14"/>
        <v/>
      </c>
      <c r="I122" s="6">
        <v>1</v>
      </c>
      <c r="J122" s="5" t="str">
        <f>IFERROR(VLOOKUP($D122,FIYAT!$B:$O,9,FALSE()),"")</f>
        <v>Шт.</v>
      </c>
      <c r="K122" s="5" t="str">
        <f>IFERROR(VLOOKUP($D122,FIYAT!$B:$O,4,FALSE()),"")</f>
        <v>MUADIL-NET</v>
      </c>
      <c r="L122" s="5" t="str">
        <f t="shared" si="15"/>
        <v/>
      </c>
      <c r="M122" s="5"/>
      <c r="N122" s="5"/>
      <c r="O122" s="5"/>
      <c r="P122" s="7" t="str">
        <f>IF($H122="","FIYAT_YOK",IFERROR(VLOOKUP($D122,FIYAT!$B:$P,15,FALSE()),""))</f>
        <v>FIYAT_YOK</v>
      </c>
      <c r="Q122" s="7" t="s">
        <v>272</v>
      </c>
      <c r="R122" s="5"/>
      <c r="S122" s="5" t="s">
        <v>550</v>
      </c>
      <c r="T122" s="5" t="s">
        <v>87</v>
      </c>
      <c r="U122" s="5">
        <f>IFERROR(VLOOKUP($T122,KURALLAR!$A$32:$B$63,2,FALSE()),0)*IF(ISNUMBER($I122),$I122,0)</f>
        <v>8</v>
      </c>
    </row>
    <row r="123" spans="1:21" x14ac:dyDescent="0.25">
      <c r="A123" s="9">
        <v>122</v>
      </c>
      <c r="B123" s="9"/>
      <c r="C123" s="9" t="s">
        <v>83</v>
      </c>
      <c r="D123" s="9" t="s">
        <v>289</v>
      </c>
      <c r="E123" s="9" t="str">
        <f>IFERROR(VLOOKUP($D123,FIYAT!$B:$O,2,FALSE()),"")</f>
        <v>Тороидальный трансформатор тока Ø100мм (250-400A) — CHINT листинге нет</v>
      </c>
      <c r="F123" s="9">
        <f>IFERROR(VLOOKUP($D123,FIYAT!$B:$O,5,FALSE()),"")</f>
        <v>0</v>
      </c>
      <c r="G123" s="9" t="str">
        <f>IFERROR(VLOOKUP($D123,FIYAT!$B:$O,8,FALSE()),"")</f>
        <v/>
      </c>
      <c r="H123" s="9" t="str">
        <f t="shared" si="14"/>
        <v/>
      </c>
      <c r="I123" s="6">
        <v>1</v>
      </c>
      <c r="J123" s="9" t="str">
        <f>IFERROR(VLOOKUP($D123,FIYAT!$B:$O,9,FALSE()),"")</f>
        <v>Шт.</v>
      </c>
      <c r="K123" s="9" t="str">
        <f>IFERROR(VLOOKUP($D123,FIYAT!$B:$O,4,FALSE()),"")</f>
        <v>MUADIL-NET</v>
      </c>
      <c r="L123" s="9" t="str">
        <f t="shared" si="15"/>
        <v/>
      </c>
      <c r="M123" s="9"/>
      <c r="N123" s="9"/>
      <c r="O123" s="9"/>
      <c r="P123" s="7" t="str">
        <f>IF($H123="","FIYAT_YOK",IFERROR(VLOOKUP($D123,FIYAT!$B:$P,15,FALSE()),""))</f>
        <v>FIYAT_YOK</v>
      </c>
      <c r="Q123" s="7" t="s">
        <v>291</v>
      </c>
      <c r="R123" s="9"/>
      <c r="S123" s="9" t="s">
        <v>550</v>
      </c>
      <c r="T123" s="9" t="s">
        <v>83</v>
      </c>
      <c r="U123" s="9">
        <f>IFERROR(VLOOKUP($T123,KURALLAR!$A$32:$B$63,2,FALSE()),0)*IF(ISNUMBER($I123),$I123,0)</f>
        <v>10</v>
      </c>
    </row>
    <row r="124" spans="1:21" x14ac:dyDescent="0.25">
      <c r="A124" s="5">
        <v>123</v>
      </c>
      <c r="B124" s="5"/>
      <c r="C124" s="5" t="s">
        <v>79</v>
      </c>
      <c r="D124" s="5" t="s">
        <v>179</v>
      </c>
      <c r="E124" s="5" t="str">
        <f>IFERROR(VLOOKUP($D124,FIYAT!$B:$O,2,FALSE()),"")</f>
        <v>Держатель плавкой вставки RT36-00-160, габарит 00, 160А</v>
      </c>
      <c r="F124" s="5">
        <f>IFERROR(VLOOKUP($D124,FIYAT!$B:$O,5,FALSE()),"")</f>
        <v>2038</v>
      </c>
      <c r="G124" s="5">
        <f>IFERROR(VLOOKUP($D124,FIYAT!$B:$O,8,FALSE()),"")</f>
        <v>1222.8</v>
      </c>
      <c r="H124" s="5">
        <f t="shared" si="14"/>
        <v>4891.2</v>
      </c>
      <c r="I124" s="6">
        <v>4</v>
      </c>
      <c r="J124" s="5" t="str">
        <f>IFERROR(VLOOKUP($D124,FIYAT!$B:$O,9,FALSE()),"")</f>
        <v>Шт.</v>
      </c>
      <c r="K124" s="5" t="str">
        <f>IFERROR(VLOOKUP($D124,FIYAT!$B:$O,4,FALSE()),"")</f>
        <v>CHINT</v>
      </c>
      <c r="L124" s="5">
        <f t="shared" si="15"/>
        <v>4891.2</v>
      </c>
      <c r="M124" s="5"/>
      <c r="N124" s="5"/>
      <c r="O124" s="5"/>
      <c r="P124" s="5" t="str">
        <f>IF($H124="","FIYAT_YOK",IFERROR(VLOOKUP($D124,FIYAT!$B:$P,15,FALSE()),""))</f>
        <v>MUADIL</v>
      </c>
      <c r="Q124" s="5" t="s">
        <v>181</v>
      </c>
      <c r="R124" s="5" t="s">
        <v>171</v>
      </c>
      <c r="S124" s="5" t="s">
        <v>550</v>
      </c>
      <c r="T124" s="5" t="s">
        <v>77</v>
      </c>
      <c r="U124" s="5">
        <f>IFERROR(VLOOKUP($T124,KURALLAR!$A$32:$B$63,2,FALSE()),0)*IF(ISNUMBER($I124),$I124,0)</f>
        <v>20</v>
      </c>
    </row>
    <row r="125" spans="1:21" x14ac:dyDescent="0.25">
      <c r="A125" s="9">
        <v>124</v>
      </c>
      <c r="B125" s="9"/>
      <c r="C125" s="9" t="s">
        <v>79</v>
      </c>
      <c r="D125" s="9" t="s">
        <v>182</v>
      </c>
      <c r="E125" s="9" t="str">
        <f>IFERROR(VLOOKUP($D125,FIYAT!$B:$O,2,FALSE()),"")</f>
        <v>Плавкая вставка предохранителя RT36-00-160, габарит 00, 63А</v>
      </c>
      <c r="F125" s="9">
        <f>IFERROR(VLOOKUP($D125,FIYAT!$B:$O,5,FALSE()),"")</f>
        <v>1525</v>
      </c>
      <c r="G125" s="9">
        <f>IFERROR(VLOOKUP($D125,FIYAT!$B:$O,8,FALSE()),"")</f>
        <v>915</v>
      </c>
      <c r="H125" s="9">
        <f t="shared" si="14"/>
        <v>3660</v>
      </c>
      <c r="I125" s="6">
        <v>4</v>
      </c>
      <c r="J125" s="9" t="str">
        <f>IFERROR(VLOOKUP($D125,FIYAT!$B:$O,9,FALSE()),"")</f>
        <v>Шт.</v>
      </c>
      <c r="K125" s="9" t="str">
        <f>IFERROR(VLOOKUP($D125,FIYAT!$B:$O,4,FALSE()),"")</f>
        <v>CHINT</v>
      </c>
      <c r="L125" s="9">
        <f t="shared" si="15"/>
        <v>3660</v>
      </c>
      <c r="M125" s="9"/>
      <c r="N125" s="9"/>
      <c r="O125" s="9"/>
      <c r="P125" s="9" t="str">
        <f>IF($H125="","FIYAT_YOK",IFERROR(VLOOKUP($D125,FIYAT!$B:$P,15,FALSE()),""))</f>
        <v>MUADIL</v>
      </c>
      <c r="Q125" s="9" t="s">
        <v>185</v>
      </c>
      <c r="R125" s="9" t="s">
        <v>184</v>
      </c>
      <c r="S125" s="9" t="s">
        <v>550</v>
      </c>
      <c r="T125" s="9" t="s">
        <v>79</v>
      </c>
      <c r="U125" s="9">
        <f>IFERROR(VLOOKUP($T125,KURALLAR!$A$32:$B$63,2,FALSE()),0)*IF(ISNUMBER($I125),$I125,0)</f>
        <v>12</v>
      </c>
    </row>
    <row r="126" spans="1:21" x14ac:dyDescent="0.25">
      <c r="A126" s="5">
        <v>125</v>
      </c>
      <c r="B126" s="5"/>
      <c r="C126" s="5" t="s">
        <v>75</v>
      </c>
      <c r="D126" s="5" t="s">
        <v>186</v>
      </c>
      <c r="E126" s="5" t="str">
        <f>IFERROR(VLOOKUP($D126,FIYAT!$B:$O,2,FALSE()),"")</f>
        <v>Ограничитель имп. перенапр. NU6-IIG 4Р In=25kA Uc=440B Im=65kA (R)</v>
      </c>
      <c r="F126" s="5">
        <f>IFERROR(VLOOKUP($D126,FIYAT!$B:$O,5,FALSE()),"")</f>
        <v>33208</v>
      </c>
      <c r="G126" s="5">
        <f>IFERROR(VLOOKUP($D126,FIYAT!$B:$O,8,FALSE()),"")</f>
        <v>19924.8</v>
      </c>
      <c r="H126" s="5">
        <f t="shared" si="14"/>
        <v>19924.8</v>
      </c>
      <c r="I126" s="6">
        <v>1</v>
      </c>
      <c r="J126" s="5" t="str">
        <f>IFERROR(VLOOKUP($D126,FIYAT!$B:$O,9,FALSE()),"")</f>
        <v>Шт.</v>
      </c>
      <c r="K126" s="5" t="str">
        <f>IFERROR(VLOOKUP($D126,FIYAT!$B:$O,4,FALSE()),"")</f>
        <v>CHINT</v>
      </c>
      <c r="L126" s="5">
        <f t="shared" si="15"/>
        <v>19924.8</v>
      </c>
      <c r="M126" s="5"/>
      <c r="N126" s="5"/>
      <c r="O126" s="5"/>
      <c r="P126" s="5" t="str">
        <f>IF($H126="","FIYAT_YOK",IFERROR(VLOOKUP($D126,FIYAT!$B:$P,15,FALSE()),""))</f>
        <v>MUADIL_ONAY</v>
      </c>
      <c r="Q126" s="5" t="s">
        <v>188</v>
      </c>
      <c r="R126" s="5" t="s">
        <v>184</v>
      </c>
      <c r="S126" s="5" t="s">
        <v>550</v>
      </c>
      <c r="T126" s="5" t="s">
        <v>75</v>
      </c>
      <c r="U126" s="5">
        <f>IFERROR(VLOOKUP($T126,KURALLAR!$A$32:$B$63,2,FALSE()),0)*IF(ISNUMBER($I126),$I126,0)</f>
        <v>10</v>
      </c>
    </row>
    <row r="127" spans="1:21" x14ac:dyDescent="0.25">
      <c r="A127" s="9">
        <v>126</v>
      </c>
      <c r="B127" s="9"/>
      <c r="C127" s="9" t="s">
        <v>169</v>
      </c>
      <c r="D127" s="9" t="s">
        <v>292</v>
      </c>
      <c r="E127" s="9" t="str">
        <f>IFERROR(VLOOKUP($D127,FIYAT!$B:$O,2,FALSE()),"")</f>
        <v>Авт. выкл. NM8N-250C TM 3P 200А 36кА с рег. термомаг. расцепителем (R)</v>
      </c>
      <c r="F127" s="9">
        <f>IFERROR(VLOOKUP($D127,FIYAT!$B:$O,5,FALSE()),"")</f>
        <v>89663</v>
      </c>
      <c r="G127" s="9">
        <f>IFERROR(VLOOKUP($D127,FIYAT!$B:$O,8,FALSE()),"")</f>
        <v>53797.799999999996</v>
      </c>
      <c r="H127" s="9">
        <f t="shared" si="14"/>
        <v>107595.59999999999</v>
      </c>
      <c r="I127" s="6">
        <v>2</v>
      </c>
      <c r="J127" s="9" t="str">
        <f>IFERROR(VLOOKUP($D127,FIYAT!$B:$O,9,FALSE()),"")</f>
        <v>Шт.</v>
      </c>
      <c r="K127" s="9" t="str">
        <f>IFERROR(VLOOKUP($D127,FIYAT!$B:$O,4,FALSE()),"")</f>
        <v>CHINT</v>
      </c>
      <c r="L127" s="9">
        <f t="shared" si="15"/>
        <v>107595.59999999999</v>
      </c>
      <c r="M127" s="9"/>
      <c r="N127" s="9"/>
      <c r="O127" s="9"/>
      <c r="P127" s="9" t="str">
        <f>IF($H127="","FIYAT_YOK",IFERROR(VLOOKUP($D127,FIYAT!$B:$P,15,FALSE()),""))</f>
        <v>OK</v>
      </c>
      <c r="Q127" s="9" t="s">
        <v>294</v>
      </c>
      <c r="R127" s="9" t="s">
        <v>171</v>
      </c>
      <c r="S127" s="9" t="s">
        <v>550</v>
      </c>
      <c r="T127" s="9" t="s">
        <v>63</v>
      </c>
      <c r="U127" s="9">
        <f>IFERROR(VLOOKUP($T127,KURALLAR!$A$32:$B$63,2,FALSE()),0)*IF(ISNUMBER($I127),$I127,0)</f>
        <v>50</v>
      </c>
    </row>
    <row r="128" spans="1:21" x14ac:dyDescent="0.25">
      <c r="A128" s="5">
        <v>127</v>
      </c>
      <c r="B128" s="5"/>
      <c r="C128" s="5" t="s">
        <v>169</v>
      </c>
      <c r="D128" s="5" t="s">
        <v>276</v>
      </c>
      <c r="E128" s="5" t="str">
        <f>IFERROR(VLOOKUP($D128,FIYAT!$B:$O,2,FALSE()),"")</f>
        <v>Авт. выкл. NM8N-125C TM 3P 40А 36кА с рег. термомаг. расцепителем (R)</v>
      </c>
      <c r="F128" s="5">
        <f>IFERROR(VLOOKUP($D128,FIYAT!$B:$O,5,FALSE()),"")</f>
        <v>68418</v>
      </c>
      <c r="G128" s="5">
        <f>IFERROR(VLOOKUP($D128,FIYAT!$B:$O,8,FALSE()),"")</f>
        <v>41050.799999999996</v>
      </c>
      <c r="H128" s="5">
        <f t="shared" si="14"/>
        <v>82101.599999999991</v>
      </c>
      <c r="I128" s="6">
        <v>2</v>
      </c>
      <c r="J128" s="5" t="str">
        <f>IFERROR(VLOOKUP($D128,FIYAT!$B:$O,9,FALSE()),"")</f>
        <v>Шт.</v>
      </c>
      <c r="K128" s="5" t="str">
        <f>IFERROR(VLOOKUP($D128,FIYAT!$B:$O,4,FALSE()),"")</f>
        <v>CHINT</v>
      </c>
      <c r="L128" s="5">
        <f t="shared" si="15"/>
        <v>82101.599999999991</v>
      </c>
      <c r="M128" s="5"/>
      <c r="N128" s="5"/>
      <c r="O128" s="5"/>
      <c r="P128" s="5" t="str">
        <f>IF($H128="","FIYAT_YOK",IFERROR(VLOOKUP($D128,FIYAT!$B:$P,15,FALSE()),""))</f>
        <v>MUADIL</v>
      </c>
      <c r="Q128" s="5" t="s">
        <v>172</v>
      </c>
      <c r="R128" s="5" t="s">
        <v>171</v>
      </c>
      <c r="S128" s="5" t="s">
        <v>550</v>
      </c>
      <c r="T128" s="5" t="s">
        <v>61</v>
      </c>
      <c r="U128" s="5">
        <f>IFERROR(VLOOKUP($T128,KURALLAR!$A$32:$B$63,2,FALSE()),0)*IF(ISNUMBER($I128),$I128,0)</f>
        <v>30</v>
      </c>
    </row>
    <row r="129" spans="1:21" x14ac:dyDescent="0.25">
      <c r="A129" s="9">
        <v>128</v>
      </c>
      <c r="B129" s="9"/>
      <c r="C129" s="9" t="s">
        <v>83</v>
      </c>
      <c r="D129" s="9" t="s">
        <v>295</v>
      </c>
      <c r="E129" s="9" t="str">
        <f>IFERROR(VLOOKUP($D129,FIYAT!$B:$O,2,FALSE()),"")</f>
        <v>Трансформатор тока Т-0.66-1,2 У3 200/5А (для счётчика)</v>
      </c>
      <c r="F129" s="9">
        <f>IFERROR(VLOOKUP($D129,FIYAT!$B:$O,5,FALSE()),"")</f>
        <v>0</v>
      </c>
      <c r="G129" s="9" t="str">
        <f>IFERROR(VLOOKUP($D129,FIYAT!$B:$O,8,FALSE()),"")</f>
        <v/>
      </c>
      <c r="H129" s="9" t="str">
        <f t="shared" si="14"/>
        <v/>
      </c>
      <c r="I129" s="6">
        <v>6</v>
      </c>
      <c r="J129" s="9" t="str">
        <f>IFERROR(VLOOKUP($D129,FIYAT!$B:$O,9,FALSE()),"")</f>
        <v>Шт.</v>
      </c>
      <c r="K129" s="9" t="str">
        <f>IFERROR(VLOOKUP($D129,FIYAT!$B:$O,4,FALSE()),"")</f>
        <v>MUADIL-NET</v>
      </c>
      <c r="L129" s="9" t="str">
        <f t="shared" si="15"/>
        <v/>
      </c>
      <c r="M129" s="9"/>
      <c r="N129" s="9"/>
      <c r="O129" s="9"/>
      <c r="P129" s="7" t="str">
        <f>IF($H129="","FIYAT_YOK",IFERROR(VLOOKUP($D129,FIYAT!$B:$P,15,FALSE()),""))</f>
        <v>FIYAT_YOK</v>
      </c>
      <c r="Q129" s="7" t="s">
        <v>297</v>
      </c>
      <c r="R129" s="9"/>
      <c r="S129" s="9" t="s">
        <v>550</v>
      </c>
      <c r="T129" s="9" t="s">
        <v>83</v>
      </c>
      <c r="U129" s="9">
        <f>IFERROR(VLOOKUP($T129,KURALLAR!$A$32:$B$63,2,FALSE()),0)*IF(ISNUMBER($I129),$I129,0)</f>
        <v>60</v>
      </c>
    </row>
    <row r="130" spans="1:21" x14ac:dyDescent="0.25">
      <c r="A130" s="5">
        <v>129</v>
      </c>
      <c r="B130" s="5"/>
      <c r="C130" s="5" t="s">
        <v>97</v>
      </c>
      <c r="D130" s="5" t="s">
        <v>281</v>
      </c>
      <c r="E130" s="5" t="str">
        <f>IFERROR(VLOOKUP($D130,FIYAT!$B:$O,2,FALSE()),"")</f>
        <v>КОРОБКА КЛЕММНАЯ ИСПЫТАТЕЛЬНАЯ ПЕРЕХОДНАЯ ККИ1-1 EKF PROXIMA</v>
      </c>
      <c r="F130" s="5">
        <f>IFERROR(VLOOKUP($D130,FIYAT!$B:$O,5,FALSE()),"")</f>
        <v>0</v>
      </c>
      <c r="G130" s="5" t="str">
        <f>IFERROR(VLOOKUP($D130,FIYAT!$B:$O,8,FALSE()),"")</f>
        <v/>
      </c>
      <c r="H130" s="5" t="str">
        <f t="shared" si="14"/>
        <v/>
      </c>
      <c r="I130" s="6">
        <v>2</v>
      </c>
      <c r="J130" s="5" t="str">
        <f>IFERROR(VLOOKUP($D130,FIYAT!$B:$O,9,FALSE()),"")</f>
        <v>Шт.</v>
      </c>
      <c r="K130" s="5" t="str">
        <f>IFERROR(VLOOKUP($D130,FIYAT!$B:$O,4,FALSE()),"")</f>
        <v>EKF</v>
      </c>
      <c r="L130" s="5" t="str">
        <f t="shared" si="15"/>
        <v/>
      </c>
      <c r="M130" s="5"/>
      <c r="N130" s="5"/>
      <c r="O130" s="5"/>
      <c r="P130" s="7" t="str">
        <f>IF($H130="","FIYAT_YOK",IFERROR(VLOOKUP($D130,FIYAT!$B:$P,15,FALSE()),""))</f>
        <v>FIYAT_YOK</v>
      </c>
      <c r="Q130" s="7" t="s">
        <v>283</v>
      </c>
      <c r="R130" s="5"/>
      <c r="S130" s="5" t="s">
        <v>550</v>
      </c>
      <c r="T130" s="5" t="s">
        <v>97</v>
      </c>
      <c r="U130" s="5">
        <f>IFERROR(VLOOKUP($T130,KURALLAR!$A$32:$B$63,2,FALSE()),0)*IF(ISNUMBER($I130),$I130,0)</f>
        <v>8</v>
      </c>
    </row>
    <row r="131" spans="1:21" x14ac:dyDescent="0.25">
      <c r="A131" s="9">
        <v>130</v>
      </c>
      <c r="B131" s="9"/>
      <c r="C131" s="9" t="s">
        <v>81</v>
      </c>
      <c r="D131" s="9" t="s">
        <v>284</v>
      </c>
      <c r="E131" s="9" t="str">
        <f>IFERROR(VLOOKUP($D131,FIYAT!$B:$O,2,FALSE()),"")</f>
        <v>Трехфазный эл.счетчик EX 518 5А (трансф. подкл.) с PLC модулем</v>
      </c>
      <c r="F131" s="9">
        <f>IFERROR(VLOOKUP($D131,FIYAT!$B:$O,5,FALSE()),"")</f>
        <v>0</v>
      </c>
      <c r="G131" s="9" t="str">
        <f>IFERROR(VLOOKUP($D131,FIYAT!$B:$O,8,FALSE()),"")</f>
        <v/>
      </c>
      <c r="H131" s="9" t="str">
        <f t="shared" si="14"/>
        <v/>
      </c>
      <c r="I131" s="6">
        <v>2</v>
      </c>
      <c r="J131" s="9" t="str">
        <f>IFERROR(VLOOKUP($D131,FIYAT!$B:$O,9,FALSE()),"")</f>
        <v>Шт.</v>
      </c>
      <c r="K131" s="9" t="str">
        <f>IFERROR(VLOOKUP($D131,FIYAT!$B:$O,4,FALSE()),"")</f>
        <v>MUADIL-NET</v>
      </c>
      <c r="L131" s="9" t="str">
        <f t="shared" si="15"/>
        <v/>
      </c>
      <c r="M131" s="9"/>
      <c r="N131" s="9"/>
      <c r="O131" s="9"/>
      <c r="P131" s="7" t="str">
        <f>IF($H131="","FIYAT_YOK",IFERROR(VLOOKUP($D131,FIYAT!$B:$P,15,FALSE()),""))</f>
        <v>FIYAT_YOK</v>
      </c>
      <c r="Q131" s="7" t="s">
        <v>249</v>
      </c>
      <c r="R131" s="9"/>
      <c r="S131" s="9" t="s">
        <v>550</v>
      </c>
      <c r="T131" s="9" t="s">
        <v>81</v>
      </c>
      <c r="U131" s="9">
        <f>IFERROR(VLOOKUP($T131,KURALLAR!$A$32:$B$63,2,FALSE()),0)*IF(ISNUMBER($I131),$I131,0)</f>
        <v>60</v>
      </c>
    </row>
    <row r="132" spans="1:21" x14ac:dyDescent="0.25">
      <c r="A132" s="5">
        <v>131</v>
      </c>
      <c r="B132" s="5"/>
      <c r="C132" s="5" t="s">
        <v>253</v>
      </c>
      <c r="D132" s="5" t="s">
        <v>251</v>
      </c>
      <c r="E132" s="5" t="str">
        <f>IFERROR(VLOOKUP($D132,FIYAT!$B:$O,2,FALSE()),"")</f>
        <v>Шина алюминиевая твёрдая (ШАТ)</v>
      </c>
      <c r="F132" s="5">
        <f>IFERROR(VLOOKUP($D132,FIYAT!$B:$O,5,FALSE()),"")</f>
        <v>4493.5999999999995</v>
      </c>
      <c r="G132" s="5">
        <f>IFERROR(VLOOKUP($D132,FIYAT!$B:$O,8,FALSE()),"")</f>
        <v>4493.5999999999995</v>
      </c>
      <c r="H132" s="5">
        <f t="shared" si="14"/>
        <v>107846.39999999999</v>
      </c>
      <c r="I132" s="6">
        <v>24</v>
      </c>
      <c r="J132" s="5" t="str">
        <f>IFERROR(VLOOKUP($D132,FIYAT!$B:$O,9,FALSE()),"")</f>
        <v>Кг.</v>
      </c>
      <c r="K132" s="5" t="str">
        <f>IFERROR(VLOOKUP($D132,FIYAT!$B:$O,4,FALSE()),"")</f>
        <v>ALUM-BARA</v>
      </c>
      <c r="L132" s="5">
        <f t="shared" si="15"/>
        <v>107846.39999999999</v>
      </c>
      <c r="M132" s="5"/>
      <c r="N132" s="5"/>
      <c r="O132" s="5"/>
      <c r="P132" s="5" t="str">
        <f>IF($H132="","FIYAT_YOK",IFERROR(VLOOKUP($D132,FIYAT!$B:$P,15,FALSE()),""))</f>
        <v>VARSAYIM</v>
      </c>
      <c r="Q132" s="5" t="s">
        <v>255</v>
      </c>
      <c r="R132" s="5"/>
      <c r="S132" s="5" t="s">
        <v>550</v>
      </c>
      <c r="T132" s="5" t="s">
        <v>101</v>
      </c>
      <c r="U132" s="5">
        <f>IFERROR(VLOOKUP($T132,KURALLAR!$A$32:$B$63,2,FALSE()),0)*IF(ISNUMBER($I132),$I132,0)</f>
        <v>144</v>
      </c>
    </row>
    <row r="133" spans="1:21" x14ac:dyDescent="0.25">
      <c r="A133" s="9">
        <v>132</v>
      </c>
      <c r="B133" s="9"/>
      <c r="C133" s="9" t="s">
        <v>222</v>
      </c>
      <c r="D133" s="9" t="s">
        <v>261</v>
      </c>
      <c r="E133" s="9" t="str">
        <f>IFERROR(VLOOKUP($D133,FIYAT!$B:$O,2,FALSE()),"")</f>
        <v>Мет. Щит (2000x700x500) +10CM BAZA IP54</v>
      </c>
      <c r="F133" s="9">
        <f>IFERROR(VLOOKUP($D133,FIYAT!$B:$O,5,FALSE()),"")</f>
        <v>117250</v>
      </c>
      <c r="G133" s="9">
        <f>IFERROR(VLOOKUP($D133,FIYAT!$B:$O,8,FALSE()),"")</f>
        <v>70350</v>
      </c>
      <c r="H133" s="9">
        <f t="shared" si="14"/>
        <v>70350</v>
      </c>
      <c r="I133" s="6">
        <v>1</v>
      </c>
      <c r="J133" s="9" t="str">
        <f>IFERROR(VLOOKUP($D133,FIYAT!$B:$O,9,FALSE()),"")</f>
        <v>Шт.</v>
      </c>
      <c r="K133" s="9" t="str">
        <f>IFERROR(VLOOKUP($D133,FIYAT!$B:$O,4,FALSE()),"")</f>
        <v>KAZTEK</v>
      </c>
      <c r="L133" s="9">
        <f t="shared" si="15"/>
        <v>70350</v>
      </c>
      <c r="M133" s="9"/>
      <c r="N133" s="9"/>
      <c r="O133" s="9"/>
      <c r="P133" s="9" t="str">
        <f>IF($H133="","FIYAT_YOK",IFERROR(VLOOKUP($D133,FIYAT!$B:$P,15,FALSE()),""))</f>
        <v>VARSAYIM</v>
      </c>
      <c r="Q133" s="9" t="s">
        <v>263</v>
      </c>
      <c r="R133" s="9" t="s">
        <v>211</v>
      </c>
      <c r="S133" s="9" t="s">
        <v>550</v>
      </c>
      <c r="T133" s="9" t="s">
        <v>107</v>
      </c>
      <c r="U133" s="9">
        <f>IFERROR(VLOOKUP($T133,KURALLAR!$A$32:$B$63,2,FALSE()),0)*IF(ISNUMBER($I133),$I133,0)</f>
        <v>90</v>
      </c>
    </row>
    <row r="134" spans="1:21" x14ac:dyDescent="0.25">
      <c r="A134" s="5">
        <v>133</v>
      </c>
      <c r="B134" s="5"/>
      <c r="C134" s="5" t="s">
        <v>215</v>
      </c>
      <c r="D134" s="5" t="s">
        <v>213</v>
      </c>
      <c r="E134" s="5" t="str">
        <f>IFERROR(VLOOKUP($D134,FIYAT!$B:$O,2,FALSE()),"")</f>
        <v>Монтажный расходный материал (кабель, DIN-рейка, кабель-канал, клеммы, маркировка, крепёж)</v>
      </c>
      <c r="F134" s="5">
        <f>IFERROR(VLOOKUP($D134,FIYAT!$B:$O,5,FALSE()),"")</f>
        <v>0</v>
      </c>
      <c r="G134" s="5" t="str">
        <f>IFERROR(VLOOKUP($D134,FIYAT!$B:$O,8,FALSE()),"")</f>
        <v/>
      </c>
      <c r="H134" s="5">
        <f>ROUND(SUM($H$118:$H$133)*KURALLAR!$B$28,0)</f>
        <v>37260</v>
      </c>
      <c r="I134" s="6">
        <v>1</v>
      </c>
      <c r="J134" s="5" t="str">
        <f>IFERROR(VLOOKUP($D134,FIYAT!$B:$O,9,FALSE()),"")</f>
        <v>компл.</v>
      </c>
      <c r="K134" s="5" t="str">
        <f>IFERROR(VLOOKUP($D134,FIYAT!$B:$O,4,FALSE()),"")</f>
        <v>MUADIL-NET</v>
      </c>
      <c r="L134" s="5">
        <f t="shared" si="15"/>
        <v>37260</v>
      </c>
      <c r="M134" s="5"/>
      <c r="N134" s="5"/>
      <c r="O134" s="5"/>
      <c r="P134" s="5" t="str">
        <f>IF($H134="","FIYAT_YOK",IFERROR(VLOOKUP($D134,FIYAT!$B:$P,15,FALSE()),""))</f>
        <v>ORAN</v>
      </c>
      <c r="Q134" s="5" t="s">
        <v>218</v>
      </c>
      <c r="R134" s="5" t="s">
        <v>217</v>
      </c>
      <c r="S134" s="5" t="s">
        <v>550</v>
      </c>
      <c r="T134" s="5"/>
      <c r="U134" s="5">
        <v>0</v>
      </c>
    </row>
    <row r="135" spans="1:21" x14ac:dyDescent="0.25">
      <c r="A135" s="9">
        <v>134</v>
      </c>
      <c r="B135" s="9"/>
      <c r="C135" s="9" t="s">
        <v>227</v>
      </c>
      <c r="D135" s="9" t="s">
        <v>225</v>
      </c>
      <c r="E135" s="9" t="str">
        <f>IFERROR(VLOOKUP($D135,FIYAT!$B:$O,2,FALSE()),"")</f>
        <v>Сборка, кабелирование, маркировка, момент затяжки, испытания</v>
      </c>
      <c r="F135" s="9">
        <f>IFERROR(VLOOKUP($D135,FIYAT!$B:$O,5,FALSE()),"")</f>
        <v>100</v>
      </c>
      <c r="G135" s="9">
        <f>IFERROR(VLOOKUP($D135,FIYAT!$B:$O,8,FALSE()),"")</f>
        <v>100</v>
      </c>
      <c r="H135" s="9">
        <f>IF(OR($G135="",$I135=""),"",$G135*$I135)</f>
        <v>66200</v>
      </c>
      <c r="I135" s="6">
        <f>ROUND(SUM($U$118:$U$134)*KURALLAR!$B$27,0)</f>
        <v>662</v>
      </c>
      <c r="J135" s="9" t="str">
        <f>IFERROR(VLOOKUP($D135,FIYAT!$B:$O,9,FALSE()),"")</f>
        <v>мин</v>
      </c>
      <c r="K135" s="9" t="str">
        <f>IFERROR(VLOOKUP($D135,FIYAT!$B:$O,4,FALSE()),"")</f>
        <v>ISCILIK</v>
      </c>
      <c r="L135" s="9">
        <f t="shared" si="15"/>
        <v>66200</v>
      </c>
      <c r="M135" s="9"/>
      <c r="N135" s="9"/>
      <c r="O135" s="9"/>
      <c r="P135" s="9" t="str">
        <f>IF($H135="","FIYAT_YOK",IFERROR(VLOOKUP($D135,FIYAT!$B:$P,15,FALSE()),""))</f>
        <v>OK</v>
      </c>
      <c r="Q135" s="9" t="str">
        <f>CONCATENATE("montaj+test iscilik: ",TEXT($I135,"# ##0")," dk = ",TEXT($I135/60,"0,00")," saat (norm x test/etiket carpani)")</f>
        <v>montaj+test iscilik:  662 dk = 11,03 saat (norm x test/etiket carpani)</v>
      </c>
      <c r="R135" s="9" t="s">
        <v>229</v>
      </c>
      <c r="S135" s="9" t="s">
        <v>550</v>
      </c>
      <c r="T135" s="9"/>
      <c r="U135" s="9">
        <v>0</v>
      </c>
    </row>
    <row r="136" spans="1:21" x14ac:dyDescent="0.25">
      <c r="A136" s="10">
        <v>135</v>
      </c>
      <c r="B136" s="10" t="s">
        <v>565</v>
      </c>
      <c r="C136" s="10"/>
      <c r="D136" s="10"/>
      <c r="E136" s="10"/>
      <c r="F136" s="10"/>
      <c r="G136" s="10"/>
      <c r="H136" s="10">
        <f>SUBTOTAL(9,H118:H135)</f>
        <v>635746.39999999991</v>
      </c>
      <c r="I136" s="10"/>
      <c r="J136" s="10"/>
      <c r="K136" s="10"/>
      <c r="L136" s="10">
        <f>SUBTOTAL(9,L118:L135)</f>
        <v>635746.39999999991</v>
      </c>
      <c r="M136" s="10"/>
      <c r="N136" s="10"/>
      <c r="O136" s="10"/>
      <c r="P136" s="10"/>
      <c r="Q136" s="10"/>
      <c r="R136" s="10"/>
      <c r="S136" s="10"/>
      <c r="T136" s="10"/>
      <c r="U136" s="10">
        <f>SUBTOTAL(9,U118:U135)</f>
        <v>576</v>
      </c>
    </row>
    <row r="137" spans="1:21" x14ac:dyDescent="0.25">
      <c r="A137" s="8">
        <v>136</v>
      </c>
      <c r="B137" s="8" t="str">
        <f>E137</f>
        <v>BLOK A / ЩЭ-F1 — НКУ 380/220В 50Гц, FORM 2B, IP31/54</v>
      </c>
      <c r="C137" s="8" t="s">
        <v>545</v>
      </c>
      <c r="D137" s="8"/>
      <c r="E137" s="8" t="s">
        <v>566</v>
      </c>
      <c r="F137" s="8"/>
      <c r="G137" s="8"/>
      <c r="H137" s="8"/>
      <c r="I137" s="8">
        <v>1</v>
      </c>
      <c r="J137" s="8" t="s">
        <v>547</v>
      </c>
      <c r="K137" s="8"/>
      <c r="L137" s="8"/>
      <c r="M137" s="8"/>
      <c r="N137" s="8"/>
      <c r="O137" s="8"/>
      <c r="P137" s="8" t="s">
        <v>178</v>
      </c>
      <c r="Q137" s="8" t="s">
        <v>548</v>
      </c>
      <c r="R137" s="8" t="s">
        <v>549</v>
      </c>
      <c r="S137" s="8" t="s">
        <v>550</v>
      </c>
      <c r="T137" s="8"/>
      <c r="U137" s="8"/>
    </row>
    <row r="138" spans="1:21" x14ac:dyDescent="0.25">
      <c r="A138" s="5">
        <v>137</v>
      </c>
      <c r="B138" s="5"/>
      <c r="C138" s="5" t="s">
        <v>169</v>
      </c>
      <c r="D138" s="5" t="s">
        <v>286</v>
      </c>
      <c r="E138" s="5" t="str">
        <f>IFERROR(VLOOKUP($D138,FIYAT!$B:$O,2,FALSE()),"")</f>
        <v>Авт. выкл. NM8N-400C TM 3P 315А 36кА с рег. термомаг. расцепителем (R)</v>
      </c>
      <c r="F138" s="5">
        <f>IFERROR(VLOOKUP($D138,FIYAT!$B:$O,5,FALSE()),"")</f>
        <v>199091</v>
      </c>
      <c r="G138" s="5">
        <f>IFERROR(VLOOKUP($D138,FIYAT!$B:$O,8,FALSE()),"")</f>
        <v>119454.59999999999</v>
      </c>
      <c r="H138" s="5">
        <f t="shared" ref="H138:H155" si="16">IF(OR($G138="",$I138=""),"",$G138*$I138)</f>
        <v>119454.59999999999</v>
      </c>
      <c r="I138" s="6">
        <v>1</v>
      </c>
      <c r="J138" s="5" t="str">
        <f>IFERROR(VLOOKUP($D138,FIYAT!$B:$O,9,FALSE()),"")</f>
        <v>Шт.</v>
      </c>
      <c r="K138" s="5" t="str">
        <f>IFERROR(VLOOKUP($D138,FIYAT!$B:$O,4,FALSE()),"")</f>
        <v>CHINT</v>
      </c>
      <c r="L138" s="5">
        <f t="shared" ref="L138:L157" si="17">IF($H138="","",$H138)</f>
        <v>119454.59999999999</v>
      </c>
      <c r="M138" s="5"/>
      <c r="N138" s="5"/>
      <c r="O138" s="5"/>
      <c r="P138" s="5" t="str">
        <f>IF($H138="","FIYAT_YOK",IFERROR(VLOOKUP($D138,FIYAT!$B:$P,15,FALSE()),""))</f>
        <v>OK</v>
      </c>
      <c r="Q138" s="5" t="s">
        <v>288</v>
      </c>
      <c r="R138" s="5" t="s">
        <v>184</v>
      </c>
      <c r="S138" s="5" t="s">
        <v>550</v>
      </c>
      <c r="T138" s="5" t="s">
        <v>65</v>
      </c>
      <c r="U138" s="5">
        <f>IFERROR(VLOOKUP($T138,KURALLAR!$A$32:$B$63,2,FALSE()),0)*IF(ISNUMBER($I138),$I138,0)</f>
        <v>40</v>
      </c>
    </row>
    <row r="139" spans="1:21" x14ac:dyDescent="0.25">
      <c r="A139" s="9">
        <v>138</v>
      </c>
      <c r="B139" s="9"/>
      <c r="C139" s="9" t="s">
        <v>93</v>
      </c>
      <c r="D139" s="9" t="s">
        <v>267</v>
      </c>
      <c r="E139" s="9" t="str">
        <f>IFERROR(VLOOKUP($D139,FIYAT!$B:$O,2,FALSE()),"")</f>
        <v>Независимый расцепитель SHT22-M8 AC220-240V для NM8N-250/400/630 (R)</v>
      </c>
      <c r="F139" s="9">
        <f>IFERROR(VLOOKUP($D139,FIYAT!$B:$O,5,FALSE()),"")</f>
        <v>18552</v>
      </c>
      <c r="G139" s="9">
        <f>IFERROR(VLOOKUP($D139,FIYAT!$B:$O,8,FALSE()),"")</f>
        <v>11131.199999999999</v>
      </c>
      <c r="H139" s="9">
        <f t="shared" si="16"/>
        <v>11131.199999999999</v>
      </c>
      <c r="I139" s="6">
        <v>1</v>
      </c>
      <c r="J139" s="9" t="str">
        <f>IFERROR(VLOOKUP($D139,FIYAT!$B:$O,9,FALSE()),"")</f>
        <v>Шт.</v>
      </c>
      <c r="K139" s="9" t="str">
        <f>IFERROR(VLOOKUP($D139,FIYAT!$B:$O,4,FALSE()),"")</f>
        <v>CHINT</v>
      </c>
      <c r="L139" s="9">
        <f t="shared" si="17"/>
        <v>11131.199999999999</v>
      </c>
      <c r="M139" s="9"/>
      <c r="N139" s="9"/>
      <c r="O139" s="9"/>
      <c r="P139" s="9" t="str">
        <f>IF($H139="","FIYAT_YOK",IFERROR(VLOOKUP($D139,FIYAT!$B:$P,15,FALSE()),""))</f>
        <v>OK</v>
      </c>
      <c r="Q139" s="9" t="s">
        <v>269</v>
      </c>
      <c r="R139" s="9" t="s">
        <v>184</v>
      </c>
      <c r="S139" s="9" t="s">
        <v>550</v>
      </c>
      <c r="T139" s="9" t="s">
        <v>95</v>
      </c>
      <c r="U139" s="9">
        <f>IFERROR(VLOOKUP($T139,KURALLAR!$A$32:$B$63,2,FALSE()),0)*IF(ISNUMBER($I139),$I139,0)</f>
        <v>10</v>
      </c>
    </row>
    <row r="140" spans="1:21" x14ac:dyDescent="0.25">
      <c r="A140" s="5">
        <v>139</v>
      </c>
      <c r="B140" s="5"/>
      <c r="C140" s="5" t="s">
        <v>192</v>
      </c>
      <c r="D140" s="5" t="s">
        <v>238</v>
      </c>
      <c r="E140" s="5" t="str">
        <f>IFERROR(VLOOKUP($D140,FIYAT!$B:$O,2,FALSE()),"")</f>
        <v>Авт. выкл. NXB-63 1P 6A 6кА х-ка C (R)</v>
      </c>
      <c r="F140" s="5">
        <f>IFERROR(VLOOKUP($D140,FIYAT!$B:$O,5,FALSE()),"")</f>
        <v>1436</v>
      </c>
      <c r="G140" s="5">
        <f>IFERROR(VLOOKUP($D140,FIYAT!$B:$O,8,FALSE()),"")</f>
        <v>861.6</v>
      </c>
      <c r="H140" s="5">
        <f t="shared" si="16"/>
        <v>3446.4</v>
      </c>
      <c r="I140" s="6">
        <v>4</v>
      </c>
      <c r="J140" s="5" t="str">
        <f>IFERROR(VLOOKUP($D140,FIYAT!$B:$O,9,FALSE()),"")</f>
        <v>Шт.</v>
      </c>
      <c r="K140" s="5" t="str">
        <f>IFERROR(VLOOKUP($D140,FIYAT!$B:$O,4,FALSE()),"")</f>
        <v>CHINT</v>
      </c>
      <c r="L140" s="5">
        <f t="shared" si="17"/>
        <v>3446.4</v>
      </c>
      <c r="M140" s="5"/>
      <c r="N140" s="5"/>
      <c r="O140" s="5"/>
      <c r="P140" s="5" t="str">
        <f>IF($H140="","FIYAT_YOK",IFERROR(VLOOKUP($D140,FIYAT!$B:$P,15,FALSE()),""))</f>
        <v>OK</v>
      </c>
      <c r="Q140" s="5" t="s">
        <v>240</v>
      </c>
      <c r="R140" s="5" t="s">
        <v>171</v>
      </c>
      <c r="S140" s="5" t="s">
        <v>550</v>
      </c>
      <c r="T140" s="5" t="s">
        <v>47</v>
      </c>
      <c r="U140" s="5">
        <f>IFERROR(VLOOKUP($T140,KURALLAR!$A$32:$B$63,2,FALSE()),0)*IF(ISNUMBER($I140),$I140,0)</f>
        <v>12</v>
      </c>
    </row>
    <row r="141" spans="1:21" x14ac:dyDescent="0.25">
      <c r="A141" s="9">
        <v>140</v>
      </c>
      <c r="B141" s="9"/>
      <c r="C141" s="9" t="s">
        <v>89</v>
      </c>
      <c r="D141" s="9" t="s">
        <v>241</v>
      </c>
      <c r="E141" s="9" t="str">
        <f>IFERROR(VLOOKUP($D141,FIYAT!$B:$O,2,FALSE()),"")</f>
        <v>Индикатор ND16-22DS/4 белый АС230В (R)</v>
      </c>
      <c r="F141" s="9">
        <f>IFERROR(VLOOKUP($D141,FIYAT!$B:$O,5,FALSE()),"")</f>
        <v>1047</v>
      </c>
      <c r="G141" s="9">
        <f>IFERROR(VLOOKUP($D141,FIYAT!$B:$O,8,FALSE()),"")</f>
        <v>628.19999999999993</v>
      </c>
      <c r="H141" s="9">
        <f t="shared" si="16"/>
        <v>1884.6</v>
      </c>
      <c r="I141" s="6">
        <v>3</v>
      </c>
      <c r="J141" s="9" t="str">
        <f>IFERROR(VLOOKUP($D141,FIYAT!$B:$O,9,FALSE()),"")</f>
        <v>Шт.</v>
      </c>
      <c r="K141" s="9" t="str">
        <f>IFERROR(VLOOKUP($D141,FIYAT!$B:$O,4,FALSE()),"")</f>
        <v>CHINT</v>
      </c>
      <c r="L141" s="9">
        <f t="shared" si="17"/>
        <v>1884.6</v>
      </c>
      <c r="M141" s="9"/>
      <c r="N141" s="9"/>
      <c r="O141" s="9"/>
      <c r="P141" s="9" t="str">
        <f>IF($H141="","FIYAT_YOK",IFERROR(VLOOKUP($D141,FIYAT!$B:$P,15,FALSE()),""))</f>
        <v>OK</v>
      </c>
      <c r="Q141" s="9" t="s">
        <v>243</v>
      </c>
      <c r="R141" s="9" t="s">
        <v>184</v>
      </c>
      <c r="S141" s="9" t="s">
        <v>550</v>
      </c>
      <c r="T141" s="9" t="s">
        <v>89</v>
      </c>
      <c r="U141" s="9">
        <f>IFERROR(VLOOKUP($T141,KURALLAR!$A$32:$B$63,2,FALSE()),0)*IF(ISNUMBER($I141),$I141,0)</f>
        <v>12</v>
      </c>
    </row>
    <row r="142" spans="1:21" x14ac:dyDescent="0.25">
      <c r="A142" s="5">
        <v>141</v>
      </c>
      <c r="B142" s="5"/>
      <c r="C142" s="5" t="s">
        <v>87</v>
      </c>
      <c r="D142" s="5" t="s">
        <v>270</v>
      </c>
      <c r="E142" s="5" t="str">
        <f>IFERROR(VLOOKUP($D142,FIYAT!$B:$O,2,FALSE()),"")</f>
        <v>Реле защиты от утечки тока с LCD индикацией (регулируемое) — CHINT листинге нет</v>
      </c>
      <c r="F142" s="5">
        <f>IFERROR(VLOOKUP($D142,FIYAT!$B:$O,5,FALSE()),"")</f>
        <v>0</v>
      </c>
      <c r="G142" s="5" t="str">
        <f>IFERROR(VLOOKUP($D142,FIYAT!$B:$O,8,FALSE()),"")</f>
        <v/>
      </c>
      <c r="H142" s="5" t="str">
        <f t="shared" si="16"/>
        <v/>
      </c>
      <c r="I142" s="6">
        <v>1</v>
      </c>
      <c r="J142" s="5" t="str">
        <f>IFERROR(VLOOKUP($D142,FIYAT!$B:$O,9,FALSE()),"")</f>
        <v>Шт.</v>
      </c>
      <c r="K142" s="5" t="str">
        <f>IFERROR(VLOOKUP($D142,FIYAT!$B:$O,4,FALSE()),"")</f>
        <v>MUADIL-NET</v>
      </c>
      <c r="L142" s="5" t="str">
        <f t="shared" si="17"/>
        <v/>
      </c>
      <c r="M142" s="5"/>
      <c r="N142" s="5"/>
      <c r="O142" s="5"/>
      <c r="P142" s="7" t="str">
        <f>IF($H142="","FIYAT_YOK",IFERROR(VLOOKUP($D142,FIYAT!$B:$P,15,FALSE()),""))</f>
        <v>FIYAT_YOK</v>
      </c>
      <c r="Q142" s="7" t="s">
        <v>272</v>
      </c>
      <c r="R142" s="5"/>
      <c r="S142" s="5" t="s">
        <v>550</v>
      </c>
      <c r="T142" s="5" t="s">
        <v>87</v>
      </c>
      <c r="U142" s="5">
        <f>IFERROR(VLOOKUP($T142,KURALLAR!$A$32:$B$63,2,FALSE()),0)*IF(ISNUMBER($I142),$I142,0)</f>
        <v>8</v>
      </c>
    </row>
    <row r="143" spans="1:21" x14ac:dyDescent="0.25">
      <c r="A143" s="9">
        <v>142</v>
      </c>
      <c r="B143" s="9"/>
      <c r="C143" s="9" t="s">
        <v>83</v>
      </c>
      <c r="D143" s="9" t="s">
        <v>289</v>
      </c>
      <c r="E143" s="9" t="str">
        <f>IFERROR(VLOOKUP($D143,FIYAT!$B:$O,2,FALSE()),"")</f>
        <v>Тороидальный трансформатор тока Ø100мм (250-400A) — CHINT листинге нет</v>
      </c>
      <c r="F143" s="9">
        <f>IFERROR(VLOOKUP($D143,FIYAT!$B:$O,5,FALSE()),"")</f>
        <v>0</v>
      </c>
      <c r="G143" s="9" t="str">
        <f>IFERROR(VLOOKUP($D143,FIYAT!$B:$O,8,FALSE()),"")</f>
        <v/>
      </c>
      <c r="H143" s="9" t="str">
        <f t="shared" si="16"/>
        <v/>
      </c>
      <c r="I143" s="6">
        <v>1</v>
      </c>
      <c r="J143" s="9" t="str">
        <f>IFERROR(VLOOKUP($D143,FIYAT!$B:$O,9,FALSE()),"")</f>
        <v>Шт.</v>
      </c>
      <c r="K143" s="9" t="str">
        <f>IFERROR(VLOOKUP($D143,FIYAT!$B:$O,4,FALSE()),"")</f>
        <v>MUADIL-NET</v>
      </c>
      <c r="L143" s="9" t="str">
        <f t="shared" si="17"/>
        <v/>
      </c>
      <c r="M143" s="9"/>
      <c r="N143" s="9"/>
      <c r="O143" s="9"/>
      <c r="P143" s="7" t="str">
        <f>IF($H143="","FIYAT_YOK",IFERROR(VLOOKUP($D143,FIYAT!$B:$P,15,FALSE()),""))</f>
        <v>FIYAT_YOK</v>
      </c>
      <c r="Q143" s="7" t="s">
        <v>291</v>
      </c>
      <c r="R143" s="9"/>
      <c r="S143" s="9" t="s">
        <v>550</v>
      </c>
      <c r="T143" s="9" t="s">
        <v>83</v>
      </c>
      <c r="U143" s="9">
        <f>IFERROR(VLOOKUP($T143,KURALLAR!$A$32:$B$63,2,FALSE()),0)*IF(ISNUMBER($I143),$I143,0)</f>
        <v>10</v>
      </c>
    </row>
    <row r="144" spans="1:21" x14ac:dyDescent="0.25">
      <c r="A144" s="5">
        <v>143</v>
      </c>
      <c r="B144" s="5"/>
      <c r="C144" s="5" t="s">
        <v>79</v>
      </c>
      <c r="D144" s="5" t="s">
        <v>179</v>
      </c>
      <c r="E144" s="5" t="str">
        <f>IFERROR(VLOOKUP($D144,FIYAT!$B:$O,2,FALSE()),"")</f>
        <v>Держатель плавкой вставки RT36-00-160, габарит 00, 160А</v>
      </c>
      <c r="F144" s="5">
        <f>IFERROR(VLOOKUP($D144,FIYAT!$B:$O,5,FALSE()),"")</f>
        <v>2038</v>
      </c>
      <c r="G144" s="5">
        <f>IFERROR(VLOOKUP($D144,FIYAT!$B:$O,8,FALSE()),"")</f>
        <v>1222.8</v>
      </c>
      <c r="H144" s="5">
        <f t="shared" si="16"/>
        <v>4891.2</v>
      </c>
      <c r="I144" s="6">
        <v>4</v>
      </c>
      <c r="J144" s="5" t="str">
        <f>IFERROR(VLOOKUP($D144,FIYAT!$B:$O,9,FALSE()),"")</f>
        <v>Шт.</v>
      </c>
      <c r="K144" s="5" t="str">
        <f>IFERROR(VLOOKUP($D144,FIYAT!$B:$O,4,FALSE()),"")</f>
        <v>CHINT</v>
      </c>
      <c r="L144" s="5">
        <f t="shared" si="17"/>
        <v>4891.2</v>
      </c>
      <c r="M144" s="5"/>
      <c r="N144" s="5"/>
      <c r="O144" s="5"/>
      <c r="P144" s="5" t="str">
        <f>IF($H144="","FIYAT_YOK",IFERROR(VLOOKUP($D144,FIYAT!$B:$P,15,FALSE()),""))</f>
        <v>MUADIL</v>
      </c>
      <c r="Q144" s="5" t="s">
        <v>181</v>
      </c>
      <c r="R144" s="5" t="s">
        <v>171</v>
      </c>
      <c r="S144" s="5" t="s">
        <v>550</v>
      </c>
      <c r="T144" s="5" t="s">
        <v>77</v>
      </c>
      <c r="U144" s="5">
        <f>IFERROR(VLOOKUP($T144,KURALLAR!$A$32:$B$63,2,FALSE()),0)*IF(ISNUMBER($I144),$I144,0)</f>
        <v>20</v>
      </c>
    </row>
    <row r="145" spans="1:21" x14ac:dyDescent="0.25">
      <c r="A145" s="9">
        <v>144</v>
      </c>
      <c r="B145" s="9"/>
      <c r="C145" s="9" t="s">
        <v>79</v>
      </c>
      <c r="D145" s="9" t="s">
        <v>182</v>
      </c>
      <c r="E145" s="9" t="str">
        <f>IFERROR(VLOOKUP($D145,FIYAT!$B:$O,2,FALSE()),"")</f>
        <v>Плавкая вставка предохранителя RT36-00-160, габарит 00, 63А</v>
      </c>
      <c r="F145" s="9">
        <f>IFERROR(VLOOKUP($D145,FIYAT!$B:$O,5,FALSE()),"")</f>
        <v>1525</v>
      </c>
      <c r="G145" s="9">
        <f>IFERROR(VLOOKUP($D145,FIYAT!$B:$O,8,FALSE()),"")</f>
        <v>915</v>
      </c>
      <c r="H145" s="9">
        <f t="shared" si="16"/>
        <v>3660</v>
      </c>
      <c r="I145" s="6">
        <v>4</v>
      </c>
      <c r="J145" s="9" t="str">
        <f>IFERROR(VLOOKUP($D145,FIYAT!$B:$O,9,FALSE()),"")</f>
        <v>Шт.</v>
      </c>
      <c r="K145" s="9" t="str">
        <f>IFERROR(VLOOKUP($D145,FIYAT!$B:$O,4,FALSE()),"")</f>
        <v>CHINT</v>
      </c>
      <c r="L145" s="9">
        <f t="shared" si="17"/>
        <v>3660</v>
      </c>
      <c r="M145" s="9"/>
      <c r="N145" s="9"/>
      <c r="O145" s="9"/>
      <c r="P145" s="9" t="str">
        <f>IF($H145="","FIYAT_YOK",IFERROR(VLOOKUP($D145,FIYAT!$B:$P,15,FALSE()),""))</f>
        <v>MUADIL</v>
      </c>
      <c r="Q145" s="9" t="s">
        <v>185</v>
      </c>
      <c r="R145" s="9" t="s">
        <v>184</v>
      </c>
      <c r="S145" s="9" t="s">
        <v>550</v>
      </c>
      <c r="T145" s="9" t="s">
        <v>79</v>
      </c>
      <c r="U145" s="9">
        <f>IFERROR(VLOOKUP($T145,KURALLAR!$A$32:$B$63,2,FALSE()),0)*IF(ISNUMBER($I145),$I145,0)</f>
        <v>12</v>
      </c>
    </row>
    <row r="146" spans="1:21" x14ac:dyDescent="0.25">
      <c r="A146" s="5">
        <v>145</v>
      </c>
      <c r="B146" s="5"/>
      <c r="C146" s="5" t="s">
        <v>75</v>
      </c>
      <c r="D146" s="5" t="s">
        <v>186</v>
      </c>
      <c r="E146" s="5" t="str">
        <f>IFERROR(VLOOKUP($D146,FIYAT!$B:$O,2,FALSE()),"")</f>
        <v>Ограничитель имп. перенапр. NU6-IIG 4Р In=25kA Uc=440B Im=65kA (R)</v>
      </c>
      <c r="F146" s="5">
        <f>IFERROR(VLOOKUP($D146,FIYAT!$B:$O,5,FALSE()),"")</f>
        <v>33208</v>
      </c>
      <c r="G146" s="5">
        <f>IFERROR(VLOOKUP($D146,FIYAT!$B:$O,8,FALSE()),"")</f>
        <v>19924.8</v>
      </c>
      <c r="H146" s="5">
        <f t="shared" si="16"/>
        <v>19924.8</v>
      </c>
      <c r="I146" s="6">
        <v>1</v>
      </c>
      <c r="J146" s="5" t="str">
        <f>IFERROR(VLOOKUP($D146,FIYAT!$B:$O,9,FALSE()),"")</f>
        <v>Шт.</v>
      </c>
      <c r="K146" s="5" t="str">
        <f>IFERROR(VLOOKUP($D146,FIYAT!$B:$O,4,FALSE()),"")</f>
        <v>CHINT</v>
      </c>
      <c r="L146" s="5">
        <f t="shared" si="17"/>
        <v>19924.8</v>
      </c>
      <c r="M146" s="5"/>
      <c r="N146" s="5"/>
      <c r="O146" s="5"/>
      <c r="P146" s="5" t="str">
        <f>IF($H146="","FIYAT_YOK",IFERROR(VLOOKUP($D146,FIYAT!$B:$P,15,FALSE()),""))</f>
        <v>MUADIL_ONAY</v>
      </c>
      <c r="Q146" s="5" t="s">
        <v>188</v>
      </c>
      <c r="R146" s="5" t="s">
        <v>184</v>
      </c>
      <c r="S146" s="5" t="s">
        <v>550</v>
      </c>
      <c r="T146" s="5" t="s">
        <v>75</v>
      </c>
      <c r="U146" s="5">
        <f>IFERROR(VLOOKUP($T146,KURALLAR!$A$32:$B$63,2,FALSE()),0)*IF(ISNUMBER($I146),$I146,0)</f>
        <v>10</v>
      </c>
    </row>
    <row r="147" spans="1:21" x14ac:dyDescent="0.25">
      <c r="A147" s="9">
        <v>146</v>
      </c>
      <c r="B147" s="9"/>
      <c r="C147" s="9" t="s">
        <v>169</v>
      </c>
      <c r="D147" s="9" t="s">
        <v>292</v>
      </c>
      <c r="E147" s="9" t="str">
        <f>IFERROR(VLOOKUP($D147,FIYAT!$B:$O,2,FALSE()),"")</f>
        <v>Авт. выкл. NM8N-250C TM 3P 200А 36кА с рег. термомаг. расцепителем (R)</v>
      </c>
      <c r="F147" s="9">
        <f>IFERROR(VLOOKUP($D147,FIYAT!$B:$O,5,FALSE()),"")</f>
        <v>89663</v>
      </c>
      <c r="G147" s="9">
        <f>IFERROR(VLOOKUP($D147,FIYAT!$B:$O,8,FALSE()),"")</f>
        <v>53797.799999999996</v>
      </c>
      <c r="H147" s="9">
        <f t="shared" si="16"/>
        <v>53797.799999999996</v>
      </c>
      <c r="I147" s="6">
        <v>1</v>
      </c>
      <c r="J147" s="9" t="str">
        <f>IFERROR(VLOOKUP($D147,FIYAT!$B:$O,9,FALSE()),"")</f>
        <v>Шт.</v>
      </c>
      <c r="K147" s="9" t="str">
        <f>IFERROR(VLOOKUP($D147,FIYAT!$B:$O,4,FALSE()),"")</f>
        <v>CHINT</v>
      </c>
      <c r="L147" s="9">
        <f t="shared" si="17"/>
        <v>53797.799999999996</v>
      </c>
      <c r="M147" s="9"/>
      <c r="N147" s="9"/>
      <c r="O147" s="9"/>
      <c r="P147" s="9" t="str">
        <f>IF($H147="","FIYAT_YOK",IFERROR(VLOOKUP($D147,FIYAT!$B:$P,15,FALSE()),""))</f>
        <v>OK</v>
      </c>
      <c r="Q147" s="9" t="s">
        <v>294</v>
      </c>
      <c r="R147" s="9" t="s">
        <v>171</v>
      </c>
      <c r="S147" s="9" t="s">
        <v>550</v>
      </c>
      <c r="T147" s="9" t="s">
        <v>63</v>
      </c>
      <c r="U147" s="9">
        <f>IFERROR(VLOOKUP($T147,KURALLAR!$A$32:$B$63,2,FALSE()),0)*IF(ISNUMBER($I147),$I147,0)</f>
        <v>25</v>
      </c>
    </row>
    <row r="148" spans="1:21" x14ac:dyDescent="0.25">
      <c r="A148" s="5">
        <v>147</v>
      </c>
      <c r="B148" s="5"/>
      <c r="C148" s="5" t="s">
        <v>169</v>
      </c>
      <c r="D148" s="5" t="s">
        <v>298</v>
      </c>
      <c r="E148" s="5" t="str">
        <f>IFERROR(VLOOKUP($D148,FIYAT!$B:$O,2,FALSE()),"")</f>
        <v>Авт. выкл. NM8N-250C TM 3P 160А 36кА с рег. термомаг. расцепителем (R)</v>
      </c>
      <c r="F148" s="5">
        <f>IFERROR(VLOOKUP($D148,FIYAT!$B:$O,5,FALSE()),"")</f>
        <v>89083</v>
      </c>
      <c r="G148" s="5">
        <f>IFERROR(VLOOKUP($D148,FIYAT!$B:$O,8,FALSE()),"")</f>
        <v>53449.799999999996</v>
      </c>
      <c r="H148" s="5">
        <f t="shared" si="16"/>
        <v>53449.799999999996</v>
      </c>
      <c r="I148" s="6">
        <v>1</v>
      </c>
      <c r="J148" s="5" t="str">
        <f>IFERROR(VLOOKUP($D148,FIYAT!$B:$O,9,FALSE()),"")</f>
        <v>Шт.</v>
      </c>
      <c r="K148" s="5" t="str">
        <f>IFERROR(VLOOKUP($D148,FIYAT!$B:$O,4,FALSE()),"")</f>
        <v>CHINT</v>
      </c>
      <c r="L148" s="5">
        <f t="shared" si="17"/>
        <v>53449.799999999996</v>
      </c>
      <c r="M148" s="5"/>
      <c r="N148" s="5"/>
      <c r="O148" s="5"/>
      <c r="P148" s="5" t="str">
        <f>IF($H148="","FIYAT_YOK",IFERROR(VLOOKUP($D148,FIYAT!$B:$P,15,FALSE()),""))</f>
        <v>OK</v>
      </c>
      <c r="Q148" s="5" t="s">
        <v>300</v>
      </c>
      <c r="R148" s="5" t="s">
        <v>171</v>
      </c>
      <c r="S148" s="5" t="s">
        <v>550</v>
      </c>
      <c r="T148" s="5" t="s">
        <v>63</v>
      </c>
      <c r="U148" s="5">
        <f>IFERROR(VLOOKUP($T148,KURALLAR!$A$32:$B$63,2,FALSE()),0)*IF(ISNUMBER($I148),$I148,0)</f>
        <v>25</v>
      </c>
    </row>
    <row r="149" spans="1:21" x14ac:dyDescent="0.25">
      <c r="A149" s="9">
        <v>148</v>
      </c>
      <c r="B149" s="9"/>
      <c r="C149" s="9" t="s">
        <v>169</v>
      </c>
      <c r="D149" s="9" t="s">
        <v>276</v>
      </c>
      <c r="E149" s="9" t="str">
        <f>IFERROR(VLOOKUP($D149,FIYAT!$B:$O,2,FALSE()),"")</f>
        <v>Авт. выкл. NM8N-125C TM 3P 40А 36кА с рег. термомаг. расцепителем (R)</v>
      </c>
      <c r="F149" s="9">
        <f>IFERROR(VLOOKUP($D149,FIYAT!$B:$O,5,FALSE()),"")</f>
        <v>68418</v>
      </c>
      <c r="G149" s="9">
        <f>IFERROR(VLOOKUP($D149,FIYAT!$B:$O,8,FALSE()),"")</f>
        <v>41050.799999999996</v>
      </c>
      <c r="H149" s="9">
        <f t="shared" si="16"/>
        <v>82101.599999999991</v>
      </c>
      <c r="I149" s="6">
        <v>2</v>
      </c>
      <c r="J149" s="9" t="str">
        <f>IFERROR(VLOOKUP($D149,FIYAT!$B:$O,9,FALSE()),"")</f>
        <v>Шт.</v>
      </c>
      <c r="K149" s="9" t="str">
        <f>IFERROR(VLOOKUP($D149,FIYAT!$B:$O,4,FALSE()),"")</f>
        <v>CHINT</v>
      </c>
      <c r="L149" s="9">
        <f t="shared" si="17"/>
        <v>82101.599999999991</v>
      </c>
      <c r="M149" s="9"/>
      <c r="N149" s="9"/>
      <c r="O149" s="9"/>
      <c r="P149" s="9" t="str">
        <f>IF($H149="","FIYAT_YOK",IFERROR(VLOOKUP($D149,FIYAT!$B:$P,15,FALSE()),""))</f>
        <v>MUADIL</v>
      </c>
      <c r="Q149" s="9" t="s">
        <v>172</v>
      </c>
      <c r="R149" s="9" t="s">
        <v>171</v>
      </c>
      <c r="S149" s="9" t="s">
        <v>550</v>
      </c>
      <c r="T149" s="9" t="s">
        <v>61</v>
      </c>
      <c r="U149" s="9">
        <f>IFERROR(VLOOKUP($T149,KURALLAR!$A$32:$B$63,2,FALSE()),0)*IF(ISNUMBER($I149),$I149,0)</f>
        <v>30</v>
      </c>
    </row>
    <row r="150" spans="1:21" x14ac:dyDescent="0.25">
      <c r="A150" s="5">
        <v>149</v>
      </c>
      <c r="B150" s="5"/>
      <c r="C150" s="5" t="s">
        <v>83</v>
      </c>
      <c r="D150" s="5" t="s">
        <v>295</v>
      </c>
      <c r="E150" s="5" t="str">
        <f>IFERROR(VLOOKUP($D150,FIYAT!$B:$O,2,FALSE()),"")</f>
        <v>Трансформатор тока Т-0.66-1,2 У3 200/5А (для счётчика)</v>
      </c>
      <c r="F150" s="5">
        <f>IFERROR(VLOOKUP($D150,FIYAT!$B:$O,5,FALSE()),"")</f>
        <v>0</v>
      </c>
      <c r="G150" s="5" t="str">
        <f>IFERROR(VLOOKUP($D150,FIYAT!$B:$O,8,FALSE()),"")</f>
        <v/>
      </c>
      <c r="H150" s="5" t="str">
        <f t="shared" si="16"/>
        <v/>
      </c>
      <c r="I150" s="6">
        <v>3</v>
      </c>
      <c r="J150" s="5" t="str">
        <f>IFERROR(VLOOKUP($D150,FIYAT!$B:$O,9,FALSE()),"")</f>
        <v>Шт.</v>
      </c>
      <c r="K150" s="5" t="str">
        <f>IFERROR(VLOOKUP($D150,FIYAT!$B:$O,4,FALSE()),"")</f>
        <v>MUADIL-NET</v>
      </c>
      <c r="L150" s="5" t="str">
        <f t="shared" si="17"/>
        <v/>
      </c>
      <c r="M150" s="5"/>
      <c r="N150" s="5"/>
      <c r="O150" s="5"/>
      <c r="P150" s="7" t="str">
        <f>IF($H150="","FIYAT_YOK",IFERROR(VLOOKUP($D150,FIYAT!$B:$P,15,FALSE()),""))</f>
        <v>FIYAT_YOK</v>
      </c>
      <c r="Q150" s="7" t="s">
        <v>297</v>
      </c>
      <c r="R150" s="5"/>
      <c r="S150" s="5" t="s">
        <v>550</v>
      </c>
      <c r="T150" s="5" t="s">
        <v>83</v>
      </c>
      <c r="U150" s="5">
        <f>IFERROR(VLOOKUP($T150,KURALLAR!$A$32:$B$63,2,FALSE()),0)*IF(ISNUMBER($I150),$I150,0)</f>
        <v>30</v>
      </c>
    </row>
    <row r="151" spans="1:21" x14ac:dyDescent="0.25">
      <c r="A151" s="9">
        <v>150</v>
      </c>
      <c r="B151" s="9"/>
      <c r="C151" s="9" t="s">
        <v>83</v>
      </c>
      <c r="D151" s="9" t="s">
        <v>301</v>
      </c>
      <c r="E151" s="9" t="str">
        <f>IFERROR(VLOOKUP($D151,FIYAT!$B:$O,2,FALSE()),"")</f>
        <v>Трансформатор тока Т-0.66-1,2 У3 150/5А (для счётчика)</v>
      </c>
      <c r="F151" s="9">
        <f>IFERROR(VLOOKUP($D151,FIYAT!$B:$O,5,FALSE()),"")</f>
        <v>0</v>
      </c>
      <c r="G151" s="9" t="str">
        <f>IFERROR(VLOOKUP($D151,FIYAT!$B:$O,8,FALSE()),"")</f>
        <v/>
      </c>
      <c r="H151" s="9" t="str">
        <f t="shared" si="16"/>
        <v/>
      </c>
      <c r="I151" s="6">
        <v>3</v>
      </c>
      <c r="J151" s="9" t="str">
        <f>IFERROR(VLOOKUP($D151,FIYAT!$B:$O,9,FALSE()),"")</f>
        <v>Шт.</v>
      </c>
      <c r="K151" s="9" t="str">
        <f>IFERROR(VLOOKUP($D151,FIYAT!$B:$O,4,FALSE()),"")</f>
        <v>MUADIL-NET</v>
      </c>
      <c r="L151" s="9" t="str">
        <f t="shared" si="17"/>
        <v/>
      </c>
      <c r="M151" s="9"/>
      <c r="N151" s="9"/>
      <c r="O151" s="9"/>
      <c r="P151" s="7" t="str">
        <f>IF($H151="","FIYAT_YOK",IFERROR(VLOOKUP($D151,FIYAT!$B:$P,15,FALSE()),""))</f>
        <v>FIYAT_YOK</v>
      </c>
      <c r="Q151" s="7" t="s">
        <v>303</v>
      </c>
      <c r="R151" s="9"/>
      <c r="S151" s="9" t="s">
        <v>550</v>
      </c>
      <c r="T151" s="9" t="s">
        <v>83</v>
      </c>
      <c r="U151" s="9">
        <f>IFERROR(VLOOKUP($T151,KURALLAR!$A$32:$B$63,2,FALSE()),0)*IF(ISNUMBER($I151),$I151,0)</f>
        <v>30</v>
      </c>
    </row>
    <row r="152" spans="1:21" x14ac:dyDescent="0.25">
      <c r="A152" s="5">
        <v>151</v>
      </c>
      <c r="B152" s="5"/>
      <c r="C152" s="5" t="s">
        <v>97</v>
      </c>
      <c r="D152" s="5" t="s">
        <v>281</v>
      </c>
      <c r="E152" s="5" t="str">
        <f>IFERROR(VLOOKUP($D152,FIYAT!$B:$O,2,FALSE()),"")</f>
        <v>КОРОБКА КЛЕММНАЯ ИСПЫТАТЕЛЬНАЯ ПЕРЕХОДНАЯ ККИ1-1 EKF PROXIMA</v>
      </c>
      <c r="F152" s="5">
        <f>IFERROR(VLOOKUP($D152,FIYAT!$B:$O,5,FALSE()),"")</f>
        <v>0</v>
      </c>
      <c r="G152" s="5" t="str">
        <f>IFERROR(VLOOKUP($D152,FIYAT!$B:$O,8,FALSE()),"")</f>
        <v/>
      </c>
      <c r="H152" s="5" t="str">
        <f t="shared" si="16"/>
        <v/>
      </c>
      <c r="I152" s="6">
        <v>2</v>
      </c>
      <c r="J152" s="5" t="str">
        <f>IFERROR(VLOOKUP($D152,FIYAT!$B:$O,9,FALSE()),"")</f>
        <v>Шт.</v>
      </c>
      <c r="K152" s="5" t="str">
        <f>IFERROR(VLOOKUP($D152,FIYAT!$B:$O,4,FALSE()),"")</f>
        <v>EKF</v>
      </c>
      <c r="L152" s="5" t="str">
        <f t="shared" si="17"/>
        <v/>
      </c>
      <c r="M152" s="5"/>
      <c r="N152" s="5"/>
      <c r="O152" s="5"/>
      <c r="P152" s="7" t="str">
        <f>IF($H152="","FIYAT_YOK",IFERROR(VLOOKUP($D152,FIYAT!$B:$P,15,FALSE()),""))</f>
        <v>FIYAT_YOK</v>
      </c>
      <c r="Q152" s="7" t="s">
        <v>283</v>
      </c>
      <c r="R152" s="5"/>
      <c r="S152" s="5" t="s">
        <v>550</v>
      </c>
      <c r="T152" s="5" t="s">
        <v>97</v>
      </c>
      <c r="U152" s="5">
        <f>IFERROR(VLOOKUP($T152,KURALLAR!$A$32:$B$63,2,FALSE()),0)*IF(ISNUMBER($I152),$I152,0)</f>
        <v>8</v>
      </c>
    </row>
    <row r="153" spans="1:21" x14ac:dyDescent="0.25">
      <c r="A153" s="9">
        <v>152</v>
      </c>
      <c r="B153" s="9"/>
      <c r="C153" s="9" t="s">
        <v>81</v>
      </c>
      <c r="D153" s="9" t="s">
        <v>284</v>
      </c>
      <c r="E153" s="9" t="str">
        <f>IFERROR(VLOOKUP($D153,FIYAT!$B:$O,2,FALSE()),"")</f>
        <v>Трехфазный эл.счетчик EX 518 5А (трансф. подкл.) с PLC модулем</v>
      </c>
      <c r="F153" s="9">
        <f>IFERROR(VLOOKUP($D153,FIYAT!$B:$O,5,FALSE()),"")</f>
        <v>0</v>
      </c>
      <c r="G153" s="9" t="str">
        <f>IFERROR(VLOOKUP($D153,FIYAT!$B:$O,8,FALSE()),"")</f>
        <v/>
      </c>
      <c r="H153" s="9" t="str">
        <f t="shared" si="16"/>
        <v/>
      </c>
      <c r="I153" s="6">
        <v>2</v>
      </c>
      <c r="J153" s="9" t="str">
        <f>IFERROR(VLOOKUP($D153,FIYAT!$B:$O,9,FALSE()),"")</f>
        <v>Шт.</v>
      </c>
      <c r="K153" s="9" t="str">
        <f>IFERROR(VLOOKUP($D153,FIYAT!$B:$O,4,FALSE()),"")</f>
        <v>MUADIL-NET</v>
      </c>
      <c r="L153" s="9" t="str">
        <f t="shared" si="17"/>
        <v/>
      </c>
      <c r="M153" s="9"/>
      <c r="N153" s="9"/>
      <c r="O153" s="9"/>
      <c r="P153" s="7" t="str">
        <f>IF($H153="","FIYAT_YOK",IFERROR(VLOOKUP($D153,FIYAT!$B:$P,15,FALSE()),""))</f>
        <v>FIYAT_YOK</v>
      </c>
      <c r="Q153" s="7" t="s">
        <v>249</v>
      </c>
      <c r="R153" s="9"/>
      <c r="S153" s="9" t="s">
        <v>550</v>
      </c>
      <c r="T153" s="9" t="s">
        <v>81</v>
      </c>
      <c r="U153" s="9">
        <f>IFERROR(VLOOKUP($T153,KURALLAR!$A$32:$B$63,2,FALSE()),0)*IF(ISNUMBER($I153),$I153,0)</f>
        <v>60</v>
      </c>
    </row>
    <row r="154" spans="1:21" x14ac:dyDescent="0.25">
      <c r="A154" s="5">
        <v>153</v>
      </c>
      <c r="B154" s="5"/>
      <c r="C154" s="5" t="s">
        <v>253</v>
      </c>
      <c r="D154" s="5" t="s">
        <v>251</v>
      </c>
      <c r="E154" s="5" t="str">
        <f>IFERROR(VLOOKUP($D154,FIYAT!$B:$O,2,FALSE()),"")</f>
        <v>Шина алюминиевая твёрдая (ШАТ)</v>
      </c>
      <c r="F154" s="5">
        <f>IFERROR(VLOOKUP($D154,FIYAT!$B:$O,5,FALSE()),"")</f>
        <v>4493.5999999999995</v>
      </c>
      <c r="G154" s="5">
        <f>IFERROR(VLOOKUP($D154,FIYAT!$B:$O,8,FALSE()),"")</f>
        <v>4493.5999999999995</v>
      </c>
      <c r="H154" s="5">
        <f t="shared" si="16"/>
        <v>107846.39999999999</v>
      </c>
      <c r="I154" s="6">
        <v>24</v>
      </c>
      <c r="J154" s="5" t="str">
        <f>IFERROR(VLOOKUP($D154,FIYAT!$B:$O,9,FALSE()),"")</f>
        <v>Кг.</v>
      </c>
      <c r="K154" s="5" t="str">
        <f>IFERROR(VLOOKUP($D154,FIYAT!$B:$O,4,FALSE()),"")</f>
        <v>ALUM-BARA</v>
      </c>
      <c r="L154" s="5">
        <f t="shared" si="17"/>
        <v>107846.39999999999</v>
      </c>
      <c r="M154" s="5"/>
      <c r="N154" s="5"/>
      <c r="O154" s="5"/>
      <c r="P154" s="5" t="str">
        <f>IF($H154="","FIYAT_YOK",IFERROR(VLOOKUP($D154,FIYAT!$B:$P,15,FALSE()),""))</f>
        <v>VARSAYIM</v>
      </c>
      <c r="Q154" s="5" t="s">
        <v>255</v>
      </c>
      <c r="R154" s="5"/>
      <c r="S154" s="5" t="s">
        <v>550</v>
      </c>
      <c r="T154" s="5" t="s">
        <v>101</v>
      </c>
      <c r="U154" s="5">
        <f>IFERROR(VLOOKUP($T154,KURALLAR!$A$32:$B$63,2,FALSE()),0)*IF(ISNUMBER($I154),$I154,0)</f>
        <v>144</v>
      </c>
    </row>
    <row r="155" spans="1:21" x14ac:dyDescent="0.25">
      <c r="A155" s="9">
        <v>154</v>
      </c>
      <c r="B155" s="9"/>
      <c r="C155" s="9" t="s">
        <v>222</v>
      </c>
      <c r="D155" s="9" t="s">
        <v>261</v>
      </c>
      <c r="E155" s="9" t="str">
        <f>IFERROR(VLOOKUP($D155,FIYAT!$B:$O,2,FALSE()),"")</f>
        <v>Мет. Щит (2000x700x500) +10CM BAZA IP54</v>
      </c>
      <c r="F155" s="9">
        <f>IFERROR(VLOOKUP($D155,FIYAT!$B:$O,5,FALSE()),"")</f>
        <v>117250</v>
      </c>
      <c r="G155" s="9">
        <f>IFERROR(VLOOKUP($D155,FIYAT!$B:$O,8,FALSE()),"")</f>
        <v>70350</v>
      </c>
      <c r="H155" s="9">
        <f t="shared" si="16"/>
        <v>70350</v>
      </c>
      <c r="I155" s="6">
        <v>1</v>
      </c>
      <c r="J155" s="9" t="str">
        <f>IFERROR(VLOOKUP($D155,FIYAT!$B:$O,9,FALSE()),"")</f>
        <v>Шт.</v>
      </c>
      <c r="K155" s="9" t="str">
        <f>IFERROR(VLOOKUP($D155,FIYAT!$B:$O,4,FALSE()),"")</f>
        <v>KAZTEK</v>
      </c>
      <c r="L155" s="9">
        <f t="shared" si="17"/>
        <v>70350</v>
      </c>
      <c r="M155" s="9"/>
      <c r="N155" s="9"/>
      <c r="O155" s="9"/>
      <c r="P155" s="9" t="str">
        <f>IF($H155="","FIYAT_YOK",IFERROR(VLOOKUP($D155,FIYAT!$B:$P,15,FALSE()),""))</f>
        <v>VARSAYIM</v>
      </c>
      <c r="Q155" s="9" t="s">
        <v>263</v>
      </c>
      <c r="R155" s="9" t="s">
        <v>211</v>
      </c>
      <c r="S155" s="9" t="s">
        <v>550</v>
      </c>
      <c r="T155" s="9" t="s">
        <v>107</v>
      </c>
      <c r="U155" s="9">
        <f>IFERROR(VLOOKUP($T155,KURALLAR!$A$32:$B$63,2,FALSE()),0)*IF(ISNUMBER($I155),$I155,0)</f>
        <v>90</v>
      </c>
    </row>
    <row r="156" spans="1:21" x14ac:dyDescent="0.25">
      <c r="A156" s="5">
        <v>155</v>
      </c>
      <c r="B156" s="5"/>
      <c r="C156" s="5" t="s">
        <v>215</v>
      </c>
      <c r="D156" s="5" t="s">
        <v>213</v>
      </c>
      <c r="E156" s="5" t="str">
        <f>IFERROR(VLOOKUP($D156,FIYAT!$B:$O,2,FALSE()),"")</f>
        <v>Монтажный расходный материал (кабель, DIN-рейка, кабель-канал, клеммы, маркировка, крепёж)</v>
      </c>
      <c r="F156" s="5">
        <f>IFERROR(VLOOKUP($D156,FIYAT!$B:$O,5,FALSE()),"")</f>
        <v>0</v>
      </c>
      <c r="G156" s="5" t="str">
        <f>IFERROR(VLOOKUP($D156,FIYAT!$B:$O,8,FALSE()),"")</f>
        <v/>
      </c>
      <c r="H156" s="5">
        <f>ROUND(SUM($H$138:$H$155)*KURALLAR!$B$28,0)</f>
        <v>37236</v>
      </c>
      <c r="I156" s="6">
        <v>1</v>
      </c>
      <c r="J156" s="5" t="str">
        <f>IFERROR(VLOOKUP($D156,FIYAT!$B:$O,9,FALSE()),"")</f>
        <v>компл.</v>
      </c>
      <c r="K156" s="5" t="str">
        <f>IFERROR(VLOOKUP($D156,FIYAT!$B:$O,4,FALSE()),"")</f>
        <v>MUADIL-NET</v>
      </c>
      <c r="L156" s="5">
        <f t="shared" si="17"/>
        <v>37236</v>
      </c>
      <c r="M156" s="5"/>
      <c r="N156" s="5"/>
      <c r="O156" s="5"/>
      <c r="P156" s="5" t="str">
        <f>IF($H156="","FIYAT_YOK",IFERROR(VLOOKUP($D156,FIYAT!$B:$P,15,FALSE()),""))</f>
        <v>ORAN</v>
      </c>
      <c r="Q156" s="5" t="s">
        <v>218</v>
      </c>
      <c r="R156" s="5" t="s">
        <v>217</v>
      </c>
      <c r="S156" s="5" t="s">
        <v>550</v>
      </c>
      <c r="T156" s="5"/>
      <c r="U156" s="5">
        <v>0</v>
      </c>
    </row>
    <row r="157" spans="1:21" x14ac:dyDescent="0.25">
      <c r="A157" s="9">
        <v>156</v>
      </c>
      <c r="B157" s="9"/>
      <c r="C157" s="9" t="s">
        <v>227</v>
      </c>
      <c r="D157" s="9" t="s">
        <v>225</v>
      </c>
      <c r="E157" s="9" t="str">
        <f>IFERROR(VLOOKUP($D157,FIYAT!$B:$O,2,FALSE()),"")</f>
        <v>Сборка, кабелирование, маркировка, момент затяжки, испытания</v>
      </c>
      <c r="F157" s="9">
        <f>IFERROR(VLOOKUP($D157,FIYAT!$B:$O,5,FALSE()),"")</f>
        <v>100</v>
      </c>
      <c r="G157" s="9">
        <f>IFERROR(VLOOKUP($D157,FIYAT!$B:$O,8,FALSE()),"")</f>
        <v>100</v>
      </c>
      <c r="H157" s="9">
        <f>IF(OR($G157="",$I157=""),"",$G157*$I157)</f>
        <v>66200</v>
      </c>
      <c r="I157" s="6">
        <f>ROUND(SUM($U$138:$U$156)*KURALLAR!$B$27,0)</f>
        <v>662</v>
      </c>
      <c r="J157" s="9" t="str">
        <f>IFERROR(VLOOKUP($D157,FIYAT!$B:$O,9,FALSE()),"")</f>
        <v>мин</v>
      </c>
      <c r="K157" s="9" t="str">
        <f>IFERROR(VLOOKUP($D157,FIYAT!$B:$O,4,FALSE()),"")</f>
        <v>ISCILIK</v>
      </c>
      <c r="L157" s="9">
        <f t="shared" si="17"/>
        <v>66200</v>
      </c>
      <c r="M157" s="9"/>
      <c r="N157" s="9"/>
      <c r="O157" s="9"/>
      <c r="P157" s="9" t="str">
        <f>IF($H157="","FIYAT_YOK",IFERROR(VLOOKUP($D157,FIYAT!$B:$P,15,FALSE()),""))</f>
        <v>OK</v>
      </c>
      <c r="Q157" s="9" t="str">
        <f>CONCATENATE("montaj+test iscilik: ",TEXT($I157,"# ##0")," dk = ",TEXT($I157/60,"0,00")," saat (norm x test/etiket carpani)")</f>
        <v>montaj+test iscilik:  662 dk = 11,03 saat (norm x test/etiket carpani)</v>
      </c>
      <c r="R157" s="9" t="s">
        <v>229</v>
      </c>
      <c r="S157" s="9" t="s">
        <v>550</v>
      </c>
      <c r="T157" s="9"/>
      <c r="U157" s="9">
        <v>0</v>
      </c>
    </row>
    <row r="158" spans="1:21" x14ac:dyDescent="0.25">
      <c r="A158" s="10">
        <v>157</v>
      </c>
      <c r="B158" s="10" t="s">
        <v>567</v>
      </c>
      <c r="C158" s="10"/>
      <c r="D158" s="10"/>
      <c r="E158" s="10"/>
      <c r="F158" s="10"/>
      <c r="G158" s="10"/>
      <c r="H158" s="10">
        <f>SUBTOTAL(9,H138:H157)</f>
        <v>635374.39999999991</v>
      </c>
      <c r="I158" s="10"/>
      <c r="J158" s="10"/>
      <c r="K158" s="10"/>
      <c r="L158" s="10">
        <f>SUBTOTAL(9,L138:L157)</f>
        <v>635374.39999999991</v>
      </c>
      <c r="M158" s="10"/>
      <c r="N158" s="10"/>
      <c r="O158" s="10"/>
      <c r="P158" s="10"/>
      <c r="Q158" s="10"/>
      <c r="R158" s="10"/>
      <c r="S158" s="10"/>
      <c r="T158" s="10"/>
      <c r="U158" s="10">
        <f>SUBTOTAL(9,U138:U157)</f>
        <v>576</v>
      </c>
    </row>
    <row r="159" spans="1:21" x14ac:dyDescent="0.25">
      <c r="A159" s="8">
        <v>158</v>
      </c>
      <c r="B159" s="8" t="str">
        <f>E159</f>
        <v>BLOK A / B1-ЩС — НКУ 380/220В 50Гц, FORM 2B, IP31/54</v>
      </c>
      <c r="C159" s="8" t="s">
        <v>545</v>
      </c>
      <c r="D159" s="8"/>
      <c r="E159" s="8" t="s">
        <v>568</v>
      </c>
      <c r="F159" s="8"/>
      <c r="G159" s="8"/>
      <c r="H159" s="8"/>
      <c r="I159" s="8">
        <v>1</v>
      </c>
      <c r="J159" s="8" t="s">
        <v>547</v>
      </c>
      <c r="K159" s="8"/>
      <c r="L159" s="8"/>
      <c r="M159" s="8"/>
      <c r="N159" s="8"/>
      <c r="O159" s="8"/>
      <c r="P159" s="8" t="s">
        <v>178</v>
      </c>
      <c r="Q159" s="8" t="s">
        <v>548</v>
      </c>
      <c r="R159" s="8" t="s">
        <v>549</v>
      </c>
      <c r="S159" s="8" t="s">
        <v>550</v>
      </c>
      <c r="T159" s="8"/>
      <c r="U159" s="8"/>
    </row>
    <row r="160" spans="1:21" x14ac:dyDescent="0.25">
      <c r="A160" s="5">
        <v>159</v>
      </c>
      <c r="B160" s="5"/>
      <c r="C160" s="5" t="s">
        <v>169</v>
      </c>
      <c r="D160" s="5" t="s">
        <v>167</v>
      </c>
      <c r="E160" s="5" t="str">
        <f>IFERROR(VLOOKUP($D160,FIYAT!$B:$O,2,FALSE()),"")</f>
        <v>Авт. выкл. NM8N-125C TM 3P 32А 36кА с рег. термомаг. расцепителем (R)</v>
      </c>
      <c r="F160" s="5">
        <f>IFERROR(VLOOKUP($D160,FIYAT!$B:$O,5,FALSE()),"")</f>
        <v>64667</v>
      </c>
      <c r="G160" s="5">
        <f>IFERROR(VLOOKUP($D160,FIYAT!$B:$O,8,FALSE()),"")</f>
        <v>38800.199999999997</v>
      </c>
      <c r="H160" s="5">
        <f t="shared" ref="H160:H172" si="18">IF(OR($G160="",$I160=""),"",$G160*$I160)</f>
        <v>38800.199999999997</v>
      </c>
      <c r="I160" s="6">
        <v>1</v>
      </c>
      <c r="J160" s="5" t="str">
        <f>IFERROR(VLOOKUP($D160,FIYAT!$B:$O,9,FALSE()),"")</f>
        <v>Шт.</v>
      </c>
      <c r="K160" s="5" t="str">
        <f>IFERROR(VLOOKUP($D160,FIYAT!$B:$O,4,FALSE()),"")</f>
        <v>CHINT</v>
      </c>
      <c r="L160" s="5">
        <f t="shared" ref="L160:L174" si="19">IF($H160="","",$H160)</f>
        <v>38800.199999999997</v>
      </c>
      <c r="M160" s="5"/>
      <c r="N160" s="5"/>
      <c r="O160" s="5"/>
      <c r="P160" s="5" t="str">
        <f>IF($H160="","FIYAT_YOK",IFERROR(VLOOKUP($D160,FIYAT!$B:$P,15,FALSE()),""))</f>
        <v>MUADIL</v>
      </c>
      <c r="Q160" s="5" t="s">
        <v>172</v>
      </c>
      <c r="R160" s="5" t="s">
        <v>171</v>
      </c>
      <c r="S160" s="5" t="s">
        <v>550</v>
      </c>
      <c r="T160" s="5" t="s">
        <v>61</v>
      </c>
      <c r="U160" s="5">
        <f>IFERROR(VLOOKUP($T160,KURALLAR!$A$32:$B$63,2,FALSE()),0)*IF(ISNUMBER($I160),$I160,0)</f>
        <v>15</v>
      </c>
    </row>
    <row r="161" spans="1:21" x14ac:dyDescent="0.25">
      <c r="A161" s="9">
        <v>160</v>
      </c>
      <c r="B161" s="9"/>
      <c r="C161" s="9" t="s">
        <v>176</v>
      </c>
      <c r="D161" s="9" t="s">
        <v>174</v>
      </c>
      <c r="E161" s="9" t="str">
        <f>IFERROR(VLOOKUP($D161,FIYAT!$B:$O,2,FALSE()),"")</f>
        <v>УЗО NL1-63 6kA 4P 63A 300mA тип AC (R)</v>
      </c>
      <c r="F161" s="9">
        <f>IFERROR(VLOOKUP($D161,FIYAT!$B:$O,5,FALSE()),"")</f>
        <v>18106</v>
      </c>
      <c r="G161" s="9">
        <f>IFERROR(VLOOKUP($D161,FIYAT!$B:$O,8,FALSE()),"")</f>
        <v>10863.6</v>
      </c>
      <c r="H161" s="9">
        <f t="shared" si="18"/>
        <v>10863.6</v>
      </c>
      <c r="I161" s="6">
        <v>1</v>
      </c>
      <c r="J161" s="9" t="str">
        <f>IFERROR(VLOOKUP($D161,FIYAT!$B:$O,9,FALSE()),"")</f>
        <v>Шт.</v>
      </c>
      <c r="K161" s="9" t="str">
        <f>IFERROR(VLOOKUP($D161,FIYAT!$B:$O,4,FALSE()),"")</f>
        <v>CHINT</v>
      </c>
      <c r="L161" s="9">
        <f t="shared" si="19"/>
        <v>10863.6</v>
      </c>
      <c r="M161" s="9"/>
      <c r="N161" s="9"/>
      <c r="O161" s="9"/>
      <c r="P161" s="9" t="str">
        <f>IF($H161="","FIYAT_YOK",IFERROR(VLOOKUP($D161,FIYAT!$B:$P,15,FALSE()),""))</f>
        <v>OK</v>
      </c>
      <c r="Q161" s="9" t="s">
        <v>177</v>
      </c>
      <c r="R161" s="9" t="s">
        <v>171</v>
      </c>
      <c r="S161" s="9" t="s">
        <v>550</v>
      </c>
      <c r="T161" s="9" t="s">
        <v>57</v>
      </c>
      <c r="U161" s="9">
        <f>IFERROR(VLOOKUP($T161,KURALLAR!$A$32:$B$63,2,FALSE()),0)*IF(ISNUMBER($I161),$I161,0)</f>
        <v>10</v>
      </c>
    </row>
    <row r="162" spans="1:21" x14ac:dyDescent="0.25">
      <c r="A162" s="5">
        <v>161</v>
      </c>
      <c r="B162" s="5"/>
      <c r="C162" s="5" t="s">
        <v>79</v>
      </c>
      <c r="D162" s="5" t="s">
        <v>179</v>
      </c>
      <c r="E162" s="5" t="str">
        <f>IFERROR(VLOOKUP($D162,FIYAT!$B:$O,2,FALSE()),"")</f>
        <v>Держатель плавкой вставки RT36-00-160, габарит 00, 160А</v>
      </c>
      <c r="F162" s="5">
        <f>IFERROR(VLOOKUP($D162,FIYAT!$B:$O,5,FALSE()),"")</f>
        <v>2038</v>
      </c>
      <c r="G162" s="5">
        <f>IFERROR(VLOOKUP($D162,FIYAT!$B:$O,8,FALSE()),"")</f>
        <v>1222.8</v>
      </c>
      <c r="H162" s="5">
        <f t="shared" si="18"/>
        <v>4891.2</v>
      </c>
      <c r="I162" s="6">
        <v>4</v>
      </c>
      <c r="J162" s="5" t="str">
        <f>IFERROR(VLOOKUP($D162,FIYAT!$B:$O,9,FALSE()),"")</f>
        <v>Шт.</v>
      </c>
      <c r="K162" s="5" t="str">
        <f>IFERROR(VLOOKUP($D162,FIYAT!$B:$O,4,FALSE()),"")</f>
        <v>CHINT</v>
      </c>
      <c r="L162" s="5">
        <f t="shared" si="19"/>
        <v>4891.2</v>
      </c>
      <c r="M162" s="5"/>
      <c r="N162" s="5"/>
      <c r="O162" s="5"/>
      <c r="P162" s="5" t="str">
        <f>IF($H162="","FIYAT_YOK",IFERROR(VLOOKUP($D162,FIYAT!$B:$P,15,FALSE()),""))</f>
        <v>MUADIL</v>
      </c>
      <c r="Q162" s="5" t="s">
        <v>181</v>
      </c>
      <c r="R162" s="5" t="s">
        <v>171</v>
      </c>
      <c r="S162" s="5" t="s">
        <v>550</v>
      </c>
      <c r="T162" s="5" t="s">
        <v>77</v>
      </c>
      <c r="U162" s="5">
        <f>IFERROR(VLOOKUP($T162,KURALLAR!$A$32:$B$63,2,FALSE()),0)*IF(ISNUMBER($I162),$I162,0)</f>
        <v>20</v>
      </c>
    </row>
    <row r="163" spans="1:21" x14ac:dyDescent="0.25">
      <c r="A163" s="9">
        <v>162</v>
      </c>
      <c r="B163" s="9"/>
      <c r="C163" s="9" t="s">
        <v>79</v>
      </c>
      <c r="D163" s="9" t="s">
        <v>182</v>
      </c>
      <c r="E163" s="9" t="str">
        <f>IFERROR(VLOOKUP($D163,FIYAT!$B:$O,2,FALSE()),"")</f>
        <v>Плавкая вставка предохранителя RT36-00-160, габарит 00, 63А</v>
      </c>
      <c r="F163" s="9">
        <f>IFERROR(VLOOKUP($D163,FIYAT!$B:$O,5,FALSE()),"")</f>
        <v>1525</v>
      </c>
      <c r="G163" s="9">
        <f>IFERROR(VLOOKUP($D163,FIYAT!$B:$O,8,FALSE()),"")</f>
        <v>915</v>
      </c>
      <c r="H163" s="9">
        <f t="shared" si="18"/>
        <v>3660</v>
      </c>
      <c r="I163" s="6">
        <v>4</v>
      </c>
      <c r="J163" s="9" t="str">
        <f>IFERROR(VLOOKUP($D163,FIYAT!$B:$O,9,FALSE()),"")</f>
        <v>Шт.</v>
      </c>
      <c r="K163" s="9" t="str">
        <f>IFERROR(VLOOKUP($D163,FIYAT!$B:$O,4,FALSE()),"")</f>
        <v>CHINT</v>
      </c>
      <c r="L163" s="9">
        <f t="shared" si="19"/>
        <v>3660</v>
      </c>
      <c r="M163" s="9"/>
      <c r="N163" s="9"/>
      <c r="O163" s="9"/>
      <c r="P163" s="9" t="str">
        <f>IF($H163="","FIYAT_YOK",IFERROR(VLOOKUP($D163,FIYAT!$B:$P,15,FALSE()),""))</f>
        <v>MUADIL</v>
      </c>
      <c r="Q163" s="9" t="s">
        <v>185</v>
      </c>
      <c r="R163" s="9" t="s">
        <v>184</v>
      </c>
      <c r="S163" s="9" t="s">
        <v>550</v>
      </c>
      <c r="T163" s="9" t="s">
        <v>79</v>
      </c>
      <c r="U163" s="9">
        <f>IFERROR(VLOOKUP($T163,KURALLAR!$A$32:$B$63,2,FALSE()),0)*IF(ISNUMBER($I163),$I163,0)</f>
        <v>12</v>
      </c>
    </row>
    <row r="164" spans="1:21" x14ac:dyDescent="0.25">
      <c r="A164" s="5">
        <v>163</v>
      </c>
      <c r="B164" s="5"/>
      <c r="C164" s="5" t="s">
        <v>75</v>
      </c>
      <c r="D164" s="5" t="s">
        <v>186</v>
      </c>
      <c r="E164" s="5" t="str">
        <f>IFERROR(VLOOKUP($D164,FIYAT!$B:$O,2,FALSE()),"")</f>
        <v>Ограничитель имп. перенапр. NU6-IIG 4Р In=25kA Uc=440B Im=65kA (R)</v>
      </c>
      <c r="F164" s="5">
        <f>IFERROR(VLOOKUP($D164,FIYAT!$B:$O,5,FALSE()),"")</f>
        <v>33208</v>
      </c>
      <c r="G164" s="5">
        <f>IFERROR(VLOOKUP($D164,FIYAT!$B:$O,8,FALSE()),"")</f>
        <v>19924.8</v>
      </c>
      <c r="H164" s="5">
        <f t="shared" si="18"/>
        <v>19924.8</v>
      </c>
      <c r="I164" s="6">
        <v>1</v>
      </c>
      <c r="J164" s="5" t="str">
        <f>IFERROR(VLOOKUP($D164,FIYAT!$B:$O,9,FALSE()),"")</f>
        <v>Шт.</v>
      </c>
      <c r="K164" s="5" t="str">
        <f>IFERROR(VLOOKUP($D164,FIYAT!$B:$O,4,FALSE()),"")</f>
        <v>CHINT</v>
      </c>
      <c r="L164" s="5">
        <f t="shared" si="19"/>
        <v>19924.8</v>
      </c>
      <c r="M164" s="5"/>
      <c r="N164" s="5"/>
      <c r="O164" s="5"/>
      <c r="P164" s="5" t="str">
        <f>IF($H164="","FIYAT_YOK",IFERROR(VLOOKUP($D164,FIYAT!$B:$P,15,FALSE()),""))</f>
        <v>MUADIL_ONAY</v>
      </c>
      <c r="Q164" s="5" t="s">
        <v>188</v>
      </c>
      <c r="R164" s="5" t="s">
        <v>184</v>
      </c>
      <c r="S164" s="5" t="s">
        <v>550</v>
      </c>
      <c r="T164" s="5" t="s">
        <v>75</v>
      </c>
      <c r="U164" s="5">
        <f>IFERROR(VLOOKUP($T164,KURALLAR!$A$32:$B$63,2,FALSE()),0)*IF(ISNUMBER($I164),$I164,0)</f>
        <v>10</v>
      </c>
    </row>
    <row r="165" spans="1:21" x14ac:dyDescent="0.25">
      <c r="A165" s="9">
        <v>164</v>
      </c>
      <c r="B165" s="9"/>
      <c r="C165" s="9" t="s">
        <v>192</v>
      </c>
      <c r="D165" s="9" t="s">
        <v>190</v>
      </c>
      <c r="E165" s="9" t="str">
        <f>IFERROR(VLOOKUP($D165,FIYAT!$B:$O,2,FALSE()),"")</f>
        <v>Авт. выкл. NXB-63 3P 25A 6кА х-ка C (R)</v>
      </c>
      <c r="F165" s="9">
        <f>IFERROR(VLOOKUP($D165,FIYAT!$B:$O,5,FALSE()),"")</f>
        <v>5334</v>
      </c>
      <c r="G165" s="9">
        <f>IFERROR(VLOOKUP($D165,FIYAT!$B:$O,8,FALSE()),"")</f>
        <v>3200.4</v>
      </c>
      <c r="H165" s="9">
        <f t="shared" si="18"/>
        <v>3200.4</v>
      </c>
      <c r="I165" s="6">
        <v>1</v>
      </c>
      <c r="J165" s="9" t="str">
        <f>IFERROR(VLOOKUP($D165,FIYAT!$B:$O,9,FALSE()),"")</f>
        <v>Шт.</v>
      </c>
      <c r="K165" s="9" t="str">
        <f>IFERROR(VLOOKUP($D165,FIYAT!$B:$O,4,FALSE()),"")</f>
        <v>CHINT</v>
      </c>
      <c r="L165" s="9">
        <f t="shared" si="19"/>
        <v>3200.4</v>
      </c>
      <c r="M165" s="9"/>
      <c r="N165" s="9"/>
      <c r="O165" s="9"/>
      <c r="P165" s="9" t="str">
        <f>IF($H165="","FIYAT_YOK",IFERROR(VLOOKUP($D165,FIYAT!$B:$P,15,FALSE()),""))</f>
        <v>OK</v>
      </c>
      <c r="Q165" s="9" t="s">
        <v>193</v>
      </c>
      <c r="R165" s="9" t="s">
        <v>171</v>
      </c>
      <c r="S165" s="9" t="s">
        <v>550</v>
      </c>
      <c r="T165" s="9" t="s">
        <v>51</v>
      </c>
      <c r="U165" s="9">
        <f>IFERROR(VLOOKUP($T165,KURALLAR!$A$32:$B$63,2,FALSE()),0)*IF(ISNUMBER($I165),$I165,0)</f>
        <v>8</v>
      </c>
    </row>
    <row r="166" spans="1:21" x14ac:dyDescent="0.25">
      <c r="A166" s="5">
        <v>165</v>
      </c>
      <c r="B166" s="5"/>
      <c r="C166" s="5" t="s">
        <v>176</v>
      </c>
      <c r="D166" s="5" t="s">
        <v>197</v>
      </c>
      <c r="E166" s="5" t="str">
        <f>IFERROR(VLOOKUP($D166,FIYAT!$B:$O,2,FALSE()),"")</f>
        <v>УЗО NL1-63 6kA 4P 25A 30mA тип AC (R)</v>
      </c>
      <c r="F166" s="5">
        <f>IFERROR(VLOOKUP($D166,FIYAT!$B:$O,5,FALSE()),"")</f>
        <v>18338</v>
      </c>
      <c r="G166" s="5">
        <f>IFERROR(VLOOKUP($D166,FIYAT!$B:$O,8,FALSE()),"")</f>
        <v>11002.8</v>
      </c>
      <c r="H166" s="5">
        <f t="shared" si="18"/>
        <v>11002.8</v>
      </c>
      <c r="I166" s="6">
        <v>1</v>
      </c>
      <c r="J166" s="5" t="str">
        <f>IFERROR(VLOOKUP($D166,FIYAT!$B:$O,9,FALSE()),"")</f>
        <v>Шт.</v>
      </c>
      <c r="K166" s="5" t="str">
        <f>IFERROR(VLOOKUP($D166,FIYAT!$B:$O,4,FALSE()),"")</f>
        <v>CHINT</v>
      </c>
      <c r="L166" s="5">
        <f t="shared" si="19"/>
        <v>11002.8</v>
      </c>
      <c r="M166" s="5"/>
      <c r="N166" s="5"/>
      <c r="O166" s="5"/>
      <c r="P166" s="5" t="str">
        <f>IF($H166="","FIYAT_YOK",IFERROR(VLOOKUP($D166,FIYAT!$B:$P,15,FALSE()),""))</f>
        <v>OK</v>
      </c>
      <c r="Q166" s="5" t="s">
        <v>199</v>
      </c>
      <c r="R166" s="5" t="s">
        <v>171</v>
      </c>
      <c r="S166" s="5" t="s">
        <v>550</v>
      </c>
      <c r="T166" s="5" t="s">
        <v>57</v>
      </c>
      <c r="U166" s="5">
        <f>IFERROR(VLOOKUP($T166,KURALLAR!$A$32:$B$63,2,FALSE()),0)*IF(ISNUMBER($I166),$I166,0)</f>
        <v>10</v>
      </c>
    </row>
    <row r="167" spans="1:21" x14ac:dyDescent="0.25">
      <c r="A167" s="9">
        <v>166</v>
      </c>
      <c r="B167" s="9"/>
      <c r="C167" s="9" t="s">
        <v>192</v>
      </c>
      <c r="D167" s="9" t="s">
        <v>194</v>
      </c>
      <c r="E167" s="9" t="str">
        <f>IFERROR(VLOOKUP($D167,FIYAT!$B:$O,2,FALSE()),"")</f>
        <v>Авт. выкл. NXB-63 1P 16A 6кА х-ка C (R)</v>
      </c>
      <c r="F167" s="9">
        <f>IFERROR(VLOOKUP($D167,FIYAT!$B:$O,5,FALSE()),"")</f>
        <v>1389</v>
      </c>
      <c r="G167" s="9">
        <f>IFERROR(VLOOKUP($D167,FIYAT!$B:$O,8,FALSE()),"")</f>
        <v>833.4</v>
      </c>
      <c r="H167" s="9">
        <f t="shared" si="18"/>
        <v>1666.8</v>
      </c>
      <c r="I167" s="6">
        <v>2</v>
      </c>
      <c r="J167" s="9" t="str">
        <f>IFERROR(VLOOKUP($D167,FIYAT!$B:$O,9,FALSE()),"")</f>
        <v>Шт.</v>
      </c>
      <c r="K167" s="9" t="str">
        <f>IFERROR(VLOOKUP($D167,FIYAT!$B:$O,4,FALSE()),"")</f>
        <v>CHINT</v>
      </c>
      <c r="L167" s="9">
        <f t="shared" si="19"/>
        <v>1666.8</v>
      </c>
      <c r="M167" s="9"/>
      <c r="N167" s="9"/>
      <c r="O167" s="9"/>
      <c r="P167" s="9" t="str">
        <f>IF($H167="","FIYAT_YOK",IFERROR(VLOOKUP($D167,FIYAT!$B:$P,15,FALSE()),""))</f>
        <v>OK</v>
      </c>
      <c r="Q167" s="9" t="s">
        <v>196</v>
      </c>
      <c r="R167" s="9" t="s">
        <v>171</v>
      </c>
      <c r="S167" s="9" t="s">
        <v>550</v>
      </c>
      <c r="T167" s="9" t="s">
        <v>47</v>
      </c>
      <c r="U167" s="9">
        <f>IFERROR(VLOOKUP($T167,KURALLAR!$A$32:$B$63,2,FALSE()),0)*IF(ISNUMBER($I167),$I167,0)</f>
        <v>6</v>
      </c>
    </row>
    <row r="168" spans="1:21" x14ac:dyDescent="0.25">
      <c r="A168" s="5">
        <v>167</v>
      </c>
      <c r="B168" s="5"/>
      <c r="C168" s="5" t="s">
        <v>176</v>
      </c>
      <c r="D168" s="5" t="s">
        <v>200</v>
      </c>
      <c r="E168" s="5" t="str">
        <f>IFERROR(VLOOKUP($D168,FIYAT!$B:$O,2,FALSE()),"")</f>
        <v>УЗО NL1-63 6kA 2P 16A 30mA тип AC (R)</v>
      </c>
      <c r="F168" s="5">
        <f>IFERROR(VLOOKUP($D168,FIYAT!$B:$O,5,FALSE()),"")</f>
        <v>10809</v>
      </c>
      <c r="G168" s="5">
        <f>IFERROR(VLOOKUP($D168,FIYAT!$B:$O,8,FALSE()),"")</f>
        <v>6485.4</v>
      </c>
      <c r="H168" s="5">
        <f t="shared" si="18"/>
        <v>12970.8</v>
      </c>
      <c r="I168" s="6">
        <v>2</v>
      </c>
      <c r="J168" s="5" t="str">
        <f>IFERROR(VLOOKUP($D168,FIYAT!$B:$O,9,FALSE()),"")</f>
        <v>Шт.</v>
      </c>
      <c r="K168" s="5" t="str">
        <f>IFERROR(VLOOKUP($D168,FIYAT!$B:$O,4,FALSE()),"")</f>
        <v>CHINT</v>
      </c>
      <c r="L168" s="5">
        <f t="shared" si="19"/>
        <v>12970.8</v>
      </c>
      <c r="M168" s="5"/>
      <c r="N168" s="5"/>
      <c r="O168" s="5"/>
      <c r="P168" s="5" t="str">
        <f>IF($H168="","FIYAT_YOK",IFERROR(VLOOKUP($D168,FIYAT!$B:$P,15,FALSE()),""))</f>
        <v>OK</v>
      </c>
      <c r="Q168" s="5" t="s">
        <v>202</v>
      </c>
      <c r="R168" s="5" t="s">
        <v>171</v>
      </c>
      <c r="S168" s="5" t="s">
        <v>550</v>
      </c>
      <c r="T168" s="5" t="s">
        <v>55</v>
      </c>
      <c r="U168" s="5">
        <f>IFERROR(VLOOKUP($T168,KURALLAR!$A$32:$B$63,2,FALSE()),0)*IF(ISNUMBER($I168),$I168,0)</f>
        <v>12</v>
      </c>
    </row>
    <row r="169" spans="1:21" x14ac:dyDescent="0.25">
      <c r="A169" s="9">
        <v>168</v>
      </c>
      <c r="B169" s="9"/>
      <c r="C169" s="9" t="s">
        <v>192</v>
      </c>
      <c r="D169" s="9" t="s">
        <v>304</v>
      </c>
      <c r="E169" s="9" t="str">
        <f>IFERROR(VLOOKUP($D169,FIYAT!$B:$O,2,FALSE()),"")</f>
        <v>Авт. выкл. NXB-63 3P 16A 6кА х-ка C (R)</v>
      </c>
      <c r="F169" s="9">
        <f>IFERROR(VLOOKUP($D169,FIYAT!$B:$O,5,FALSE()),"")</f>
        <v>5462</v>
      </c>
      <c r="G169" s="9">
        <f>IFERROR(VLOOKUP($D169,FIYAT!$B:$O,8,FALSE()),"")</f>
        <v>3277.2</v>
      </c>
      <c r="H169" s="9">
        <f t="shared" si="18"/>
        <v>36049.199999999997</v>
      </c>
      <c r="I169" s="6">
        <v>11</v>
      </c>
      <c r="J169" s="9" t="str">
        <f>IFERROR(VLOOKUP($D169,FIYAT!$B:$O,9,FALSE()),"")</f>
        <v>Шт.</v>
      </c>
      <c r="K169" s="9" t="str">
        <f>IFERROR(VLOOKUP($D169,FIYAT!$B:$O,4,FALSE()),"")</f>
        <v>CHINT</v>
      </c>
      <c r="L169" s="9">
        <f t="shared" si="19"/>
        <v>36049.199999999997</v>
      </c>
      <c r="M169" s="9"/>
      <c r="N169" s="9"/>
      <c r="O169" s="9"/>
      <c r="P169" s="9" t="str">
        <f>IF($H169="","FIYAT_YOK",IFERROR(VLOOKUP($D169,FIYAT!$B:$P,15,FALSE()),""))</f>
        <v>OK</v>
      </c>
      <c r="Q169" s="9" t="s">
        <v>306</v>
      </c>
      <c r="R169" s="9" t="s">
        <v>171</v>
      </c>
      <c r="S169" s="9" t="s">
        <v>550</v>
      </c>
      <c r="T169" s="9" t="s">
        <v>51</v>
      </c>
      <c r="U169" s="9">
        <f>IFERROR(VLOOKUP($T169,KURALLAR!$A$32:$B$63,2,FALSE()),0)*IF(ISNUMBER($I169),$I169,0)</f>
        <v>88</v>
      </c>
    </row>
    <row r="170" spans="1:21" x14ac:dyDescent="0.25">
      <c r="A170" s="5">
        <v>169</v>
      </c>
      <c r="B170" s="5"/>
      <c r="C170" s="5" t="s">
        <v>192</v>
      </c>
      <c r="D170" s="5" t="s">
        <v>206</v>
      </c>
      <c r="E170" s="5" t="str">
        <f>IFERROR(VLOOKUP($D170,FIYAT!$B:$O,2,FALSE()),"")</f>
        <v>Авт. выкл. NXB-63 1P 10A 6кА х-ка C (R)</v>
      </c>
      <c r="F170" s="5">
        <f>IFERROR(VLOOKUP($D170,FIYAT!$B:$O,5,FALSE()),"")</f>
        <v>1362</v>
      </c>
      <c r="G170" s="5">
        <f>IFERROR(VLOOKUP($D170,FIYAT!$B:$O,8,FALSE()),"")</f>
        <v>817.19999999999993</v>
      </c>
      <c r="H170" s="5">
        <f t="shared" si="18"/>
        <v>20430</v>
      </c>
      <c r="I170" s="6">
        <v>25</v>
      </c>
      <c r="J170" s="5" t="str">
        <f>IFERROR(VLOOKUP($D170,FIYAT!$B:$O,9,FALSE()),"")</f>
        <v>Шт.</v>
      </c>
      <c r="K170" s="5" t="str">
        <f>IFERROR(VLOOKUP($D170,FIYAT!$B:$O,4,FALSE()),"")</f>
        <v>CHINT</v>
      </c>
      <c r="L170" s="5">
        <f t="shared" si="19"/>
        <v>20430</v>
      </c>
      <c r="M170" s="5"/>
      <c r="N170" s="5"/>
      <c r="O170" s="5"/>
      <c r="P170" s="5" t="str">
        <f>IF($H170="","FIYAT_YOK",IFERROR(VLOOKUP($D170,FIYAT!$B:$P,15,FALSE()),""))</f>
        <v>OK</v>
      </c>
      <c r="Q170" s="5" t="s">
        <v>208</v>
      </c>
      <c r="R170" s="5" t="s">
        <v>184</v>
      </c>
      <c r="S170" s="5" t="s">
        <v>550</v>
      </c>
      <c r="T170" s="5" t="s">
        <v>47</v>
      </c>
      <c r="U170" s="5">
        <f>IFERROR(VLOOKUP($T170,KURALLAR!$A$32:$B$63,2,FALSE()),0)*IF(ISNUMBER($I170),$I170,0)</f>
        <v>75</v>
      </c>
    </row>
    <row r="171" spans="1:21" x14ac:dyDescent="0.25">
      <c r="A171" s="9">
        <v>170</v>
      </c>
      <c r="B171" s="9"/>
      <c r="C171" s="9" t="s">
        <v>93</v>
      </c>
      <c r="D171" s="9" t="s">
        <v>209</v>
      </c>
      <c r="E171" s="9" t="str">
        <f>IFERROR(VLOOKUP($D171,FIYAT!$B:$O,2,FALSE()),"")</f>
        <v>Шина "N" нулевая 6х9мм на DIN-рейку в корпусном изоляторе ШНИ 12К IEK (10)</v>
      </c>
      <c r="F171" s="9">
        <f>IFERROR(VLOOKUP($D171,FIYAT!$B:$O,5,FALSE()),"")</f>
        <v>755</v>
      </c>
      <c r="G171" s="9">
        <f>IFERROR(VLOOKUP($D171,FIYAT!$B:$O,8,FALSE()),"")</f>
        <v>453</v>
      </c>
      <c r="H171" s="9">
        <f t="shared" si="18"/>
        <v>1812</v>
      </c>
      <c r="I171" s="6">
        <v>4</v>
      </c>
      <c r="J171" s="9" t="str">
        <f>IFERROR(VLOOKUP($D171,FIYAT!$B:$O,9,FALSE()),"")</f>
        <v>Шт.</v>
      </c>
      <c r="K171" s="9" t="str">
        <f>IFERROR(VLOOKUP($D171,FIYAT!$B:$O,4,FALSE()),"")</f>
        <v>KAZTEK</v>
      </c>
      <c r="L171" s="9">
        <f t="shared" si="19"/>
        <v>1812</v>
      </c>
      <c r="M171" s="9"/>
      <c r="N171" s="9"/>
      <c r="O171" s="9"/>
      <c r="P171" s="9" t="str">
        <f>IF($H171="","FIYAT_YOK",IFERROR(VLOOKUP($D171,FIYAT!$B:$P,15,FALSE()),""))</f>
        <v>MUADIL</v>
      </c>
      <c r="Q171" s="9" t="s">
        <v>212</v>
      </c>
      <c r="R171" s="9" t="s">
        <v>211</v>
      </c>
      <c r="S171" s="9" t="s">
        <v>550</v>
      </c>
      <c r="T171" s="9" t="s">
        <v>93</v>
      </c>
      <c r="U171" s="9">
        <f>IFERROR(VLOOKUP($T171,KURALLAR!$A$32:$B$63,2,FALSE()),0)*IF(ISNUMBER($I171),$I171,0)</f>
        <v>32</v>
      </c>
    </row>
    <row r="172" spans="1:21" x14ac:dyDescent="0.25">
      <c r="A172" s="5">
        <v>171</v>
      </c>
      <c r="B172" s="5"/>
      <c r="C172" s="5" t="s">
        <v>222</v>
      </c>
      <c r="D172" s="5" t="s">
        <v>307</v>
      </c>
      <c r="E172" s="5" t="str">
        <f>IFERROR(VLOOKUP($D172,FIYAT!$B:$O,2,FALSE()),"")</f>
        <v>Мет.Корпус ЩМП-5 (1000x650x300) IP31</v>
      </c>
      <c r="F172" s="5">
        <f>IFERROR(VLOOKUP($D172,FIYAT!$B:$O,5,FALSE()),"")</f>
        <v>38905</v>
      </c>
      <c r="G172" s="5">
        <f>IFERROR(VLOOKUP($D172,FIYAT!$B:$O,8,FALSE()),"")</f>
        <v>23343</v>
      </c>
      <c r="H172" s="5">
        <f t="shared" si="18"/>
        <v>23343</v>
      </c>
      <c r="I172" s="6">
        <v>1</v>
      </c>
      <c r="J172" s="5" t="str">
        <f>IFERROR(VLOOKUP($D172,FIYAT!$B:$O,9,FALSE()),"")</f>
        <v>Шт.</v>
      </c>
      <c r="K172" s="5" t="str">
        <f>IFERROR(VLOOKUP($D172,FIYAT!$B:$O,4,FALSE()),"")</f>
        <v>KAZTEK</v>
      </c>
      <c r="L172" s="5">
        <f t="shared" si="19"/>
        <v>23343</v>
      </c>
      <c r="M172" s="5"/>
      <c r="N172" s="5"/>
      <c r="O172" s="5"/>
      <c r="P172" s="5" t="str">
        <f>IF($H172="","FIYAT_YOK",IFERROR(VLOOKUP($D172,FIYAT!$B:$P,15,FALSE()),""))</f>
        <v>VARSAYIM</v>
      </c>
      <c r="Q172" s="5" t="s">
        <v>309</v>
      </c>
      <c r="R172" s="5" t="s">
        <v>211</v>
      </c>
      <c r="S172" s="5" t="s">
        <v>550</v>
      </c>
      <c r="T172" s="5" t="s">
        <v>105</v>
      </c>
      <c r="U172" s="5">
        <f>IFERROR(VLOOKUP($T172,KURALLAR!$A$32:$B$63,2,FALSE()),0)*IF(ISNUMBER($I172),$I172,0)</f>
        <v>30</v>
      </c>
    </row>
    <row r="173" spans="1:21" x14ac:dyDescent="0.25">
      <c r="A173" s="9">
        <v>172</v>
      </c>
      <c r="B173" s="9"/>
      <c r="C173" s="9" t="s">
        <v>215</v>
      </c>
      <c r="D173" s="9" t="s">
        <v>213</v>
      </c>
      <c r="E173" s="9" t="str">
        <f>IFERROR(VLOOKUP($D173,FIYAT!$B:$O,2,FALSE()),"")</f>
        <v>Монтажный расходный материал (кабель, DIN-рейка, кабель-канал, клеммы, маркировка, крепёж)</v>
      </c>
      <c r="F173" s="9">
        <f>IFERROR(VLOOKUP($D173,FIYAT!$B:$O,5,FALSE()),"")</f>
        <v>0</v>
      </c>
      <c r="G173" s="9" t="str">
        <f>IFERROR(VLOOKUP($D173,FIYAT!$B:$O,8,FALSE()),"")</f>
        <v/>
      </c>
      <c r="H173" s="9">
        <f>ROUND(SUM($H$160:$H$172)*KURALLAR!$B$28,0)</f>
        <v>13203</v>
      </c>
      <c r="I173" s="6">
        <v>1</v>
      </c>
      <c r="J173" s="9" t="str">
        <f>IFERROR(VLOOKUP($D173,FIYAT!$B:$O,9,FALSE()),"")</f>
        <v>компл.</v>
      </c>
      <c r="K173" s="9" t="str">
        <f>IFERROR(VLOOKUP($D173,FIYAT!$B:$O,4,FALSE()),"")</f>
        <v>MUADIL-NET</v>
      </c>
      <c r="L173" s="9">
        <f t="shared" si="19"/>
        <v>13203</v>
      </c>
      <c r="M173" s="9"/>
      <c r="N173" s="9"/>
      <c r="O173" s="9"/>
      <c r="P173" s="9" t="str">
        <f>IF($H173="","FIYAT_YOK",IFERROR(VLOOKUP($D173,FIYAT!$B:$P,15,FALSE()),""))</f>
        <v>ORAN</v>
      </c>
      <c r="Q173" s="9" t="s">
        <v>218</v>
      </c>
      <c r="R173" s="9" t="s">
        <v>217</v>
      </c>
      <c r="S173" s="9" t="s">
        <v>550</v>
      </c>
      <c r="T173" s="9"/>
      <c r="U173" s="9">
        <v>0</v>
      </c>
    </row>
    <row r="174" spans="1:21" x14ac:dyDescent="0.25">
      <c r="A174" s="5">
        <v>173</v>
      </c>
      <c r="B174" s="5"/>
      <c r="C174" s="5" t="s">
        <v>227</v>
      </c>
      <c r="D174" s="5" t="s">
        <v>225</v>
      </c>
      <c r="E174" s="5" t="str">
        <f>IFERROR(VLOOKUP($D174,FIYAT!$B:$O,2,FALSE()),"")</f>
        <v>Сборка, кабелирование, маркировка, момент затяжки, испытания</v>
      </c>
      <c r="F174" s="5">
        <f>IFERROR(VLOOKUP($D174,FIYAT!$B:$O,5,FALSE()),"")</f>
        <v>100</v>
      </c>
      <c r="G174" s="5">
        <f>IFERROR(VLOOKUP($D174,FIYAT!$B:$O,8,FALSE()),"")</f>
        <v>100</v>
      </c>
      <c r="H174" s="5">
        <f>IF(OR($G174="",$I174=""),"",$G174*$I174)</f>
        <v>37700</v>
      </c>
      <c r="I174" s="6">
        <f>ROUND(SUM($U$160:$U$173)*KURALLAR!$B$27,0)</f>
        <v>377</v>
      </c>
      <c r="J174" s="5" t="str">
        <f>IFERROR(VLOOKUP($D174,FIYAT!$B:$O,9,FALSE()),"")</f>
        <v>мин</v>
      </c>
      <c r="K174" s="5" t="str">
        <f>IFERROR(VLOOKUP($D174,FIYAT!$B:$O,4,FALSE()),"")</f>
        <v>ISCILIK</v>
      </c>
      <c r="L174" s="5">
        <f t="shared" si="19"/>
        <v>37700</v>
      </c>
      <c r="M174" s="5"/>
      <c r="N174" s="5"/>
      <c r="O174" s="5"/>
      <c r="P174" s="5" t="str">
        <f>IF($H174="","FIYAT_YOK",IFERROR(VLOOKUP($D174,FIYAT!$B:$P,15,FALSE()),""))</f>
        <v>OK</v>
      </c>
      <c r="Q174" s="5" t="str">
        <f>CONCATENATE("montaj+test iscilik: ",TEXT($I174,"# ##0")," dk = ",TEXT($I174/60,"0,00")," saat (norm x test/etiket carpani)")</f>
        <v>montaj+test iscilik:  377 dk = 6,28 saat (norm x test/etiket carpani)</v>
      </c>
      <c r="R174" s="5" t="s">
        <v>229</v>
      </c>
      <c r="S174" s="5" t="s">
        <v>550</v>
      </c>
      <c r="T174" s="5"/>
      <c r="U174" s="5">
        <v>0</v>
      </c>
    </row>
    <row r="175" spans="1:21" x14ac:dyDescent="0.25">
      <c r="A175" s="10">
        <v>174</v>
      </c>
      <c r="B175" s="10" t="s">
        <v>569</v>
      </c>
      <c r="C175" s="10"/>
      <c r="D175" s="10"/>
      <c r="E175" s="10"/>
      <c r="F175" s="10"/>
      <c r="G175" s="10"/>
      <c r="H175" s="10">
        <f>SUBTOTAL(9,H160:H174)</f>
        <v>239517.8</v>
      </c>
      <c r="I175" s="10"/>
      <c r="J175" s="10"/>
      <c r="K175" s="10"/>
      <c r="L175" s="10">
        <f>SUBTOTAL(9,L160:L174)</f>
        <v>239517.8</v>
      </c>
      <c r="M175" s="10"/>
      <c r="N175" s="10"/>
      <c r="O175" s="10"/>
      <c r="P175" s="10"/>
      <c r="Q175" s="10"/>
      <c r="R175" s="10"/>
      <c r="S175" s="10"/>
      <c r="T175" s="10"/>
      <c r="U175" s="10">
        <f>SUBTOTAL(9,U160:U174)</f>
        <v>328</v>
      </c>
    </row>
    <row r="176" spans="1:21" x14ac:dyDescent="0.25">
      <c r="A176" s="8">
        <v>175</v>
      </c>
      <c r="B176" s="8" t="str">
        <f>E176</f>
        <v>BLOK A / B1-ИБП — НКУ 380/220В 50Гц, FORM 2B, IP31/54</v>
      </c>
      <c r="C176" s="8" t="s">
        <v>545</v>
      </c>
      <c r="D176" s="8"/>
      <c r="E176" s="8" t="s">
        <v>570</v>
      </c>
      <c r="F176" s="8"/>
      <c r="G176" s="8"/>
      <c r="H176" s="8"/>
      <c r="I176" s="8">
        <v>1</v>
      </c>
      <c r="J176" s="8" t="s">
        <v>547</v>
      </c>
      <c r="K176" s="8"/>
      <c r="L176" s="8"/>
      <c r="M176" s="8"/>
      <c r="N176" s="8"/>
      <c r="O176" s="8"/>
      <c r="P176" s="8" t="s">
        <v>178</v>
      </c>
      <c r="Q176" s="8" t="s">
        <v>548</v>
      </c>
      <c r="R176" s="8" t="s">
        <v>549</v>
      </c>
      <c r="S176" s="8" t="s">
        <v>550</v>
      </c>
      <c r="T176" s="8"/>
      <c r="U176" s="8"/>
    </row>
    <row r="177" spans="1:21" x14ac:dyDescent="0.25">
      <c r="A177" s="9">
        <v>176</v>
      </c>
      <c r="B177" s="9"/>
      <c r="C177" s="9" t="s">
        <v>169</v>
      </c>
      <c r="D177" s="9" t="s">
        <v>167</v>
      </c>
      <c r="E177" s="9" t="str">
        <f>IFERROR(VLOOKUP($D177,FIYAT!$B:$O,2,FALSE()),"")</f>
        <v>Авт. выкл. NM8N-125C TM 3P 32А 36кА с рег. термомаг. расцепителем (R)</v>
      </c>
      <c r="F177" s="9">
        <f>IFERROR(VLOOKUP($D177,FIYAT!$B:$O,5,FALSE()),"")</f>
        <v>64667</v>
      </c>
      <c r="G177" s="9">
        <f>IFERROR(VLOOKUP($D177,FIYAT!$B:$O,8,FALSE()),"")</f>
        <v>38800.199999999997</v>
      </c>
      <c r="H177" s="9">
        <f t="shared" ref="H177:H188" si="20">IF(OR($G177="",$I177=""),"",$G177*$I177)</f>
        <v>38800.199999999997</v>
      </c>
      <c r="I177" s="6">
        <v>1</v>
      </c>
      <c r="J177" s="9" t="str">
        <f>IFERROR(VLOOKUP($D177,FIYAT!$B:$O,9,FALSE()),"")</f>
        <v>Шт.</v>
      </c>
      <c r="K177" s="9" t="str">
        <f>IFERROR(VLOOKUP($D177,FIYAT!$B:$O,4,FALSE()),"")</f>
        <v>CHINT</v>
      </c>
      <c r="L177" s="9">
        <f t="shared" ref="L177:L190" si="21">IF($H177="","",$H177)</f>
        <v>38800.199999999997</v>
      </c>
      <c r="M177" s="9"/>
      <c r="N177" s="9"/>
      <c r="O177" s="9"/>
      <c r="P177" s="9" t="str">
        <f>IF($H177="","FIYAT_YOK",IFERROR(VLOOKUP($D177,FIYAT!$B:$P,15,FALSE()),""))</f>
        <v>MUADIL</v>
      </c>
      <c r="Q177" s="9" t="s">
        <v>172</v>
      </c>
      <c r="R177" s="9" t="s">
        <v>171</v>
      </c>
      <c r="S177" s="9" t="s">
        <v>550</v>
      </c>
      <c r="T177" s="9" t="s">
        <v>61</v>
      </c>
      <c r="U177" s="9">
        <f>IFERROR(VLOOKUP($T177,KURALLAR!$A$32:$B$63,2,FALSE()),0)*IF(ISNUMBER($I177),$I177,0)</f>
        <v>15</v>
      </c>
    </row>
    <row r="178" spans="1:21" x14ac:dyDescent="0.25">
      <c r="A178" s="5">
        <v>177</v>
      </c>
      <c r="B178" s="5"/>
      <c r="C178" s="5" t="s">
        <v>176</v>
      </c>
      <c r="D178" s="5" t="s">
        <v>174</v>
      </c>
      <c r="E178" s="5" t="str">
        <f>IFERROR(VLOOKUP($D178,FIYAT!$B:$O,2,FALSE()),"")</f>
        <v>УЗО NL1-63 6kA 4P 63A 300mA тип AC (R)</v>
      </c>
      <c r="F178" s="5">
        <f>IFERROR(VLOOKUP($D178,FIYAT!$B:$O,5,FALSE()),"")</f>
        <v>18106</v>
      </c>
      <c r="G178" s="5">
        <f>IFERROR(VLOOKUP($D178,FIYAT!$B:$O,8,FALSE()),"")</f>
        <v>10863.6</v>
      </c>
      <c r="H178" s="5">
        <f t="shared" si="20"/>
        <v>10863.6</v>
      </c>
      <c r="I178" s="6">
        <v>1</v>
      </c>
      <c r="J178" s="5" t="str">
        <f>IFERROR(VLOOKUP($D178,FIYAT!$B:$O,9,FALSE()),"")</f>
        <v>Шт.</v>
      </c>
      <c r="K178" s="5" t="str">
        <f>IFERROR(VLOOKUP($D178,FIYAT!$B:$O,4,FALSE()),"")</f>
        <v>CHINT</v>
      </c>
      <c r="L178" s="5">
        <f t="shared" si="21"/>
        <v>10863.6</v>
      </c>
      <c r="M178" s="5"/>
      <c r="N178" s="5"/>
      <c r="O178" s="5"/>
      <c r="P178" s="5" t="str">
        <f>IF($H178="","FIYAT_YOK",IFERROR(VLOOKUP($D178,FIYAT!$B:$P,15,FALSE()),""))</f>
        <v>OK</v>
      </c>
      <c r="Q178" s="5" t="s">
        <v>177</v>
      </c>
      <c r="R178" s="5" t="s">
        <v>171</v>
      </c>
      <c r="S178" s="5" t="s">
        <v>550</v>
      </c>
      <c r="T178" s="5" t="s">
        <v>57</v>
      </c>
      <c r="U178" s="5">
        <f>IFERROR(VLOOKUP($T178,KURALLAR!$A$32:$B$63,2,FALSE()),0)*IF(ISNUMBER($I178),$I178,0)</f>
        <v>10</v>
      </c>
    </row>
    <row r="179" spans="1:21" x14ac:dyDescent="0.25">
      <c r="A179" s="9">
        <v>178</v>
      </c>
      <c r="B179" s="9"/>
      <c r="C179" s="9" t="s">
        <v>79</v>
      </c>
      <c r="D179" s="9" t="s">
        <v>179</v>
      </c>
      <c r="E179" s="9" t="str">
        <f>IFERROR(VLOOKUP($D179,FIYAT!$B:$O,2,FALSE()),"")</f>
        <v>Держатель плавкой вставки RT36-00-160, габарит 00, 160А</v>
      </c>
      <c r="F179" s="9">
        <f>IFERROR(VLOOKUP($D179,FIYAT!$B:$O,5,FALSE()),"")</f>
        <v>2038</v>
      </c>
      <c r="G179" s="9">
        <f>IFERROR(VLOOKUP($D179,FIYAT!$B:$O,8,FALSE()),"")</f>
        <v>1222.8</v>
      </c>
      <c r="H179" s="9">
        <f t="shared" si="20"/>
        <v>4891.2</v>
      </c>
      <c r="I179" s="6">
        <v>4</v>
      </c>
      <c r="J179" s="9" t="str">
        <f>IFERROR(VLOOKUP($D179,FIYAT!$B:$O,9,FALSE()),"")</f>
        <v>Шт.</v>
      </c>
      <c r="K179" s="9" t="str">
        <f>IFERROR(VLOOKUP($D179,FIYAT!$B:$O,4,FALSE()),"")</f>
        <v>CHINT</v>
      </c>
      <c r="L179" s="9">
        <f t="shared" si="21"/>
        <v>4891.2</v>
      </c>
      <c r="M179" s="9"/>
      <c r="N179" s="9"/>
      <c r="O179" s="9"/>
      <c r="P179" s="9" t="str">
        <f>IF($H179="","FIYAT_YOK",IFERROR(VLOOKUP($D179,FIYAT!$B:$P,15,FALSE()),""))</f>
        <v>MUADIL</v>
      </c>
      <c r="Q179" s="9" t="s">
        <v>181</v>
      </c>
      <c r="R179" s="9" t="s">
        <v>171</v>
      </c>
      <c r="S179" s="9" t="s">
        <v>550</v>
      </c>
      <c r="T179" s="9" t="s">
        <v>77</v>
      </c>
      <c r="U179" s="9">
        <f>IFERROR(VLOOKUP($T179,KURALLAR!$A$32:$B$63,2,FALSE()),0)*IF(ISNUMBER($I179),$I179,0)</f>
        <v>20</v>
      </c>
    </row>
    <row r="180" spans="1:21" x14ac:dyDescent="0.25">
      <c r="A180" s="5">
        <v>179</v>
      </c>
      <c r="B180" s="5"/>
      <c r="C180" s="5" t="s">
        <v>79</v>
      </c>
      <c r="D180" s="5" t="s">
        <v>182</v>
      </c>
      <c r="E180" s="5" t="str">
        <f>IFERROR(VLOOKUP($D180,FIYAT!$B:$O,2,FALSE()),"")</f>
        <v>Плавкая вставка предохранителя RT36-00-160, габарит 00, 63А</v>
      </c>
      <c r="F180" s="5">
        <f>IFERROR(VLOOKUP($D180,FIYAT!$B:$O,5,FALSE()),"")</f>
        <v>1525</v>
      </c>
      <c r="G180" s="5">
        <f>IFERROR(VLOOKUP($D180,FIYAT!$B:$O,8,FALSE()),"")</f>
        <v>915</v>
      </c>
      <c r="H180" s="5">
        <f t="shared" si="20"/>
        <v>3660</v>
      </c>
      <c r="I180" s="6">
        <v>4</v>
      </c>
      <c r="J180" s="5" t="str">
        <f>IFERROR(VLOOKUP($D180,FIYAT!$B:$O,9,FALSE()),"")</f>
        <v>Шт.</v>
      </c>
      <c r="K180" s="5" t="str">
        <f>IFERROR(VLOOKUP($D180,FIYAT!$B:$O,4,FALSE()),"")</f>
        <v>CHINT</v>
      </c>
      <c r="L180" s="5">
        <f t="shared" si="21"/>
        <v>3660</v>
      </c>
      <c r="M180" s="5"/>
      <c r="N180" s="5"/>
      <c r="O180" s="5"/>
      <c r="P180" s="5" t="str">
        <f>IF($H180="","FIYAT_YOK",IFERROR(VLOOKUP($D180,FIYAT!$B:$P,15,FALSE()),""))</f>
        <v>MUADIL</v>
      </c>
      <c r="Q180" s="5" t="s">
        <v>185</v>
      </c>
      <c r="R180" s="5" t="s">
        <v>184</v>
      </c>
      <c r="S180" s="5" t="s">
        <v>550</v>
      </c>
      <c r="T180" s="5" t="s">
        <v>79</v>
      </c>
      <c r="U180" s="5">
        <f>IFERROR(VLOOKUP($T180,KURALLAR!$A$32:$B$63,2,FALSE()),0)*IF(ISNUMBER($I180),$I180,0)</f>
        <v>12</v>
      </c>
    </row>
    <row r="181" spans="1:21" x14ac:dyDescent="0.25">
      <c r="A181" s="9">
        <v>180</v>
      </c>
      <c r="B181" s="9"/>
      <c r="C181" s="9" t="s">
        <v>75</v>
      </c>
      <c r="D181" s="9" t="s">
        <v>186</v>
      </c>
      <c r="E181" s="9" t="str">
        <f>IFERROR(VLOOKUP($D181,FIYAT!$B:$O,2,FALSE()),"")</f>
        <v>Ограничитель имп. перенапр. NU6-IIG 4Р In=25kA Uc=440B Im=65kA (R)</v>
      </c>
      <c r="F181" s="9">
        <f>IFERROR(VLOOKUP($D181,FIYAT!$B:$O,5,FALSE()),"")</f>
        <v>33208</v>
      </c>
      <c r="G181" s="9">
        <f>IFERROR(VLOOKUP($D181,FIYAT!$B:$O,8,FALSE()),"")</f>
        <v>19924.8</v>
      </c>
      <c r="H181" s="9">
        <f t="shared" si="20"/>
        <v>19924.8</v>
      </c>
      <c r="I181" s="6">
        <v>1</v>
      </c>
      <c r="J181" s="9" t="str">
        <f>IFERROR(VLOOKUP($D181,FIYAT!$B:$O,9,FALSE()),"")</f>
        <v>Шт.</v>
      </c>
      <c r="K181" s="9" t="str">
        <f>IFERROR(VLOOKUP($D181,FIYAT!$B:$O,4,FALSE()),"")</f>
        <v>CHINT</v>
      </c>
      <c r="L181" s="9">
        <f t="shared" si="21"/>
        <v>19924.8</v>
      </c>
      <c r="M181" s="9"/>
      <c r="N181" s="9"/>
      <c r="O181" s="9"/>
      <c r="P181" s="9" t="str">
        <f>IF($H181="","FIYAT_YOK",IFERROR(VLOOKUP($D181,FIYAT!$B:$P,15,FALSE()),""))</f>
        <v>MUADIL_ONAY</v>
      </c>
      <c r="Q181" s="9" t="s">
        <v>188</v>
      </c>
      <c r="R181" s="9" t="s">
        <v>184</v>
      </c>
      <c r="S181" s="9" t="s">
        <v>550</v>
      </c>
      <c r="T181" s="9" t="s">
        <v>75</v>
      </c>
      <c r="U181" s="9">
        <f>IFERROR(VLOOKUP($T181,KURALLAR!$A$32:$B$63,2,FALSE()),0)*IF(ISNUMBER($I181),$I181,0)</f>
        <v>10</v>
      </c>
    </row>
    <row r="182" spans="1:21" x14ac:dyDescent="0.25">
      <c r="A182" s="5">
        <v>181</v>
      </c>
      <c r="B182" s="5"/>
      <c r="C182" s="5" t="s">
        <v>192</v>
      </c>
      <c r="D182" s="5" t="s">
        <v>190</v>
      </c>
      <c r="E182" s="5" t="str">
        <f>IFERROR(VLOOKUP($D182,FIYAT!$B:$O,2,FALSE()),"")</f>
        <v>Авт. выкл. NXB-63 3P 25A 6кА х-ка C (R)</v>
      </c>
      <c r="F182" s="5">
        <f>IFERROR(VLOOKUP($D182,FIYAT!$B:$O,5,FALSE()),"")</f>
        <v>5334</v>
      </c>
      <c r="G182" s="5">
        <f>IFERROR(VLOOKUP($D182,FIYAT!$B:$O,8,FALSE()),"")</f>
        <v>3200.4</v>
      </c>
      <c r="H182" s="5">
        <f t="shared" si="20"/>
        <v>3200.4</v>
      </c>
      <c r="I182" s="6">
        <v>1</v>
      </c>
      <c r="J182" s="5" t="str">
        <f>IFERROR(VLOOKUP($D182,FIYAT!$B:$O,9,FALSE()),"")</f>
        <v>Шт.</v>
      </c>
      <c r="K182" s="5" t="str">
        <f>IFERROR(VLOOKUP($D182,FIYAT!$B:$O,4,FALSE()),"")</f>
        <v>CHINT</v>
      </c>
      <c r="L182" s="5">
        <f t="shared" si="21"/>
        <v>3200.4</v>
      </c>
      <c r="M182" s="5"/>
      <c r="N182" s="5"/>
      <c r="O182" s="5"/>
      <c r="P182" s="5" t="str">
        <f>IF($H182="","FIYAT_YOK",IFERROR(VLOOKUP($D182,FIYAT!$B:$P,15,FALSE()),""))</f>
        <v>OK</v>
      </c>
      <c r="Q182" s="5" t="s">
        <v>193</v>
      </c>
      <c r="R182" s="5" t="s">
        <v>171</v>
      </c>
      <c r="S182" s="5" t="s">
        <v>550</v>
      </c>
      <c r="T182" s="5" t="s">
        <v>51</v>
      </c>
      <c r="U182" s="5">
        <f>IFERROR(VLOOKUP($T182,KURALLAR!$A$32:$B$63,2,FALSE()),0)*IF(ISNUMBER($I182),$I182,0)</f>
        <v>8</v>
      </c>
    </row>
    <row r="183" spans="1:21" x14ac:dyDescent="0.25">
      <c r="A183" s="9">
        <v>182</v>
      </c>
      <c r="B183" s="9"/>
      <c r="C183" s="9" t="s">
        <v>176</v>
      </c>
      <c r="D183" s="9" t="s">
        <v>197</v>
      </c>
      <c r="E183" s="9" t="str">
        <f>IFERROR(VLOOKUP($D183,FIYAT!$B:$O,2,FALSE()),"")</f>
        <v>УЗО NL1-63 6kA 4P 25A 30mA тип AC (R)</v>
      </c>
      <c r="F183" s="9">
        <f>IFERROR(VLOOKUP($D183,FIYAT!$B:$O,5,FALSE()),"")</f>
        <v>18338</v>
      </c>
      <c r="G183" s="9">
        <f>IFERROR(VLOOKUP($D183,FIYAT!$B:$O,8,FALSE()),"")</f>
        <v>11002.8</v>
      </c>
      <c r="H183" s="9">
        <f t="shared" si="20"/>
        <v>11002.8</v>
      </c>
      <c r="I183" s="6">
        <v>1</v>
      </c>
      <c r="J183" s="9" t="str">
        <f>IFERROR(VLOOKUP($D183,FIYAT!$B:$O,9,FALSE()),"")</f>
        <v>Шт.</v>
      </c>
      <c r="K183" s="9" t="str">
        <f>IFERROR(VLOOKUP($D183,FIYAT!$B:$O,4,FALSE()),"")</f>
        <v>CHINT</v>
      </c>
      <c r="L183" s="9">
        <f t="shared" si="21"/>
        <v>11002.8</v>
      </c>
      <c r="M183" s="9"/>
      <c r="N183" s="9"/>
      <c r="O183" s="9"/>
      <c r="P183" s="9" t="str">
        <f>IF($H183="","FIYAT_YOK",IFERROR(VLOOKUP($D183,FIYAT!$B:$P,15,FALSE()),""))</f>
        <v>OK</v>
      </c>
      <c r="Q183" s="9" t="s">
        <v>199</v>
      </c>
      <c r="R183" s="9" t="s">
        <v>171</v>
      </c>
      <c r="S183" s="9" t="s">
        <v>550</v>
      </c>
      <c r="T183" s="9" t="s">
        <v>57</v>
      </c>
      <c r="U183" s="9">
        <f>IFERROR(VLOOKUP($T183,KURALLAR!$A$32:$B$63,2,FALSE()),0)*IF(ISNUMBER($I183),$I183,0)</f>
        <v>10</v>
      </c>
    </row>
    <row r="184" spans="1:21" x14ac:dyDescent="0.25">
      <c r="A184" s="5">
        <v>183</v>
      </c>
      <c r="B184" s="5"/>
      <c r="C184" s="5" t="s">
        <v>192</v>
      </c>
      <c r="D184" s="5" t="s">
        <v>194</v>
      </c>
      <c r="E184" s="5" t="str">
        <f>IFERROR(VLOOKUP($D184,FIYAT!$B:$O,2,FALSE()),"")</f>
        <v>Авт. выкл. NXB-63 1P 16A 6кА х-ка C (R)</v>
      </c>
      <c r="F184" s="5">
        <f>IFERROR(VLOOKUP($D184,FIYAT!$B:$O,5,FALSE()),"")</f>
        <v>1389</v>
      </c>
      <c r="G184" s="5">
        <f>IFERROR(VLOOKUP($D184,FIYAT!$B:$O,8,FALSE()),"")</f>
        <v>833.4</v>
      </c>
      <c r="H184" s="5">
        <f t="shared" si="20"/>
        <v>4167</v>
      </c>
      <c r="I184" s="6">
        <v>5</v>
      </c>
      <c r="J184" s="5" t="str">
        <f>IFERROR(VLOOKUP($D184,FIYAT!$B:$O,9,FALSE()),"")</f>
        <v>Шт.</v>
      </c>
      <c r="K184" s="5" t="str">
        <f>IFERROR(VLOOKUP($D184,FIYAT!$B:$O,4,FALSE()),"")</f>
        <v>CHINT</v>
      </c>
      <c r="L184" s="5">
        <f t="shared" si="21"/>
        <v>4167</v>
      </c>
      <c r="M184" s="5"/>
      <c r="N184" s="5"/>
      <c r="O184" s="5"/>
      <c r="P184" s="5" t="str">
        <f>IF($H184="","FIYAT_YOK",IFERROR(VLOOKUP($D184,FIYAT!$B:$P,15,FALSE()),""))</f>
        <v>OK</v>
      </c>
      <c r="Q184" s="5" t="s">
        <v>196</v>
      </c>
      <c r="R184" s="5" t="s">
        <v>171</v>
      </c>
      <c r="S184" s="5" t="s">
        <v>550</v>
      </c>
      <c r="T184" s="5" t="s">
        <v>47</v>
      </c>
      <c r="U184" s="5">
        <f>IFERROR(VLOOKUP($T184,KURALLAR!$A$32:$B$63,2,FALSE()),0)*IF(ISNUMBER($I184),$I184,0)</f>
        <v>15</v>
      </c>
    </row>
    <row r="185" spans="1:21" x14ac:dyDescent="0.25">
      <c r="A185" s="9">
        <v>184</v>
      </c>
      <c r="B185" s="9"/>
      <c r="C185" s="9" t="s">
        <v>176</v>
      </c>
      <c r="D185" s="9" t="s">
        <v>200</v>
      </c>
      <c r="E185" s="9" t="str">
        <f>IFERROR(VLOOKUP($D185,FIYAT!$B:$O,2,FALSE()),"")</f>
        <v>УЗО NL1-63 6kA 2P 16A 30mA тип AC (R)</v>
      </c>
      <c r="F185" s="9">
        <f>IFERROR(VLOOKUP($D185,FIYAT!$B:$O,5,FALSE()),"")</f>
        <v>10809</v>
      </c>
      <c r="G185" s="9">
        <f>IFERROR(VLOOKUP($D185,FIYAT!$B:$O,8,FALSE()),"")</f>
        <v>6485.4</v>
      </c>
      <c r="H185" s="9">
        <f t="shared" si="20"/>
        <v>6485.4</v>
      </c>
      <c r="I185" s="6">
        <v>1</v>
      </c>
      <c r="J185" s="9" t="str">
        <f>IFERROR(VLOOKUP($D185,FIYAT!$B:$O,9,FALSE()),"")</f>
        <v>Шт.</v>
      </c>
      <c r="K185" s="9" t="str">
        <f>IFERROR(VLOOKUP($D185,FIYAT!$B:$O,4,FALSE()),"")</f>
        <v>CHINT</v>
      </c>
      <c r="L185" s="9">
        <f t="shared" si="21"/>
        <v>6485.4</v>
      </c>
      <c r="M185" s="9"/>
      <c r="N185" s="9"/>
      <c r="O185" s="9"/>
      <c r="P185" s="9" t="str">
        <f>IF($H185="","FIYAT_YOK",IFERROR(VLOOKUP($D185,FIYAT!$B:$P,15,FALSE()),""))</f>
        <v>OK</v>
      </c>
      <c r="Q185" s="9" t="s">
        <v>202</v>
      </c>
      <c r="R185" s="9" t="s">
        <v>171</v>
      </c>
      <c r="S185" s="9" t="s">
        <v>550</v>
      </c>
      <c r="T185" s="9" t="s">
        <v>55</v>
      </c>
      <c r="U185" s="9">
        <f>IFERROR(VLOOKUP($T185,KURALLAR!$A$32:$B$63,2,FALSE()),0)*IF(ISNUMBER($I185),$I185,0)</f>
        <v>6</v>
      </c>
    </row>
    <row r="186" spans="1:21" x14ac:dyDescent="0.25">
      <c r="A186" s="5">
        <v>185</v>
      </c>
      <c r="B186" s="5"/>
      <c r="C186" s="5" t="s">
        <v>192</v>
      </c>
      <c r="D186" s="5" t="s">
        <v>206</v>
      </c>
      <c r="E186" s="5" t="str">
        <f>IFERROR(VLOOKUP($D186,FIYAT!$B:$O,2,FALSE()),"")</f>
        <v>Авт. выкл. NXB-63 1P 10A 6кА х-ка C (R)</v>
      </c>
      <c r="F186" s="5">
        <f>IFERROR(VLOOKUP($D186,FIYAT!$B:$O,5,FALSE()),"")</f>
        <v>1362</v>
      </c>
      <c r="G186" s="5">
        <f>IFERROR(VLOOKUP($D186,FIYAT!$B:$O,8,FALSE()),"")</f>
        <v>817.19999999999993</v>
      </c>
      <c r="H186" s="5">
        <f t="shared" si="20"/>
        <v>8989.1999999999989</v>
      </c>
      <c r="I186" s="6">
        <v>11</v>
      </c>
      <c r="J186" s="5" t="str">
        <f>IFERROR(VLOOKUP($D186,FIYAT!$B:$O,9,FALSE()),"")</f>
        <v>Шт.</v>
      </c>
      <c r="K186" s="5" t="str">
        <f>IFERROR(VLOOKUP($D186,FIYAT!$B:$O,4,FALSE()),"")</f>
        <v>CHINT</v>
      </c>
      <c r="L186" s="5">
        <f t="shared" si="21"/>
        <v>8989.1999999999989</v>
      </c>
      <c r="M186" s="5"/>
      <c r="N186" s="5"/>
      <c r="O186" s="5"/>
      <c r="P186" s="5" t="str">
        <f>IF($H186="","FIYAT_YOK",IFERROR(VLOOKUP($D186,FIYAT!$B:$P,15,FALSE()),""))</f>
        <v>OK</v>
      </c>
      <c r="Q186" s="5" t="s">
        <v>208</v>
      </c>
      <c r="R186" s="5" t="s">
        <v>184</v>
      </c>
      <c r="S186" s="5" t="s">
        <v>550</v>
      </c>
      <c r="T186" s="5" t="s">
        <v>47</v>
      </c>
      <c r="U186" s="5">
        <f>IFERROR(VLOOKUP($T186,KURALLAR!$A$32:$B$63,2,FALSE()),0)*IF(ISNUMBER($I186),$I186,0)</f>
        <v>33</v>
      </c>
    </row>
    <row r="187" spans="1:21" x14ac:dyDescent="0.25">
      <c r="A187" s="9">
        <v>186</v>
      </c>
      <c r="B187" s="9"/>
      <c r="C187" s="9" t="s">
        <v>93</v>
      </c>
      <c r="D187" s="9" t="s">
        <v>209</v>
      </c>
      <c r="E187" s="9" t="str">
        <f>IFERROR(VLOOKUP($D187,FIYAT!$B:$O,2,FALSE()),"")</f>
        <v>Шина "N" нулевая 6х9мм на DIN-рейку в корпусном изоляторе ШНИ 12К IEK (10)</v>
      </c>
      <c r="F187" s="9">
        <f>IFERROR(VLOOKUP($D187,FIYAT!$B:$O,5,FALSE()),"")</f>
        <v>755</v>
      </c>
      <c r="G187" s="9">
        <f>IFERROR(VLOOKUP($D187,FIYAT!$B:$O,8,FALSE()),"")</f>
        <v>453</v>
      </c>
      <c r="H187" s="9">
        <f t="shared" si="20"/>
        <v>1812</v>
      </c>
      <c r="I187" s="6">
        <v>4</v>
      </c>
      <c r="J187" s="9" t="str">
        <f>IFERROR(VLOOKUP($D187,FIYAT!$B:$O,9,FALSE()),"")</f>
        <v>Шт.</v>
      </c>
      <c r="K187" s="9" t="str">
        <f>IFERROR(VLOOKUP($D187,FIYAT!$B:$O,4,FALSE()),"")</f>
        <v>KAZTEK</v>
      </c>
      <c r="L187" s="9">
        <f t="shared" si="21"/>
        <v>1812</v>
      </c>
      <c r="M187" s="9"/>
      <c r="N187" s="9"/>
      <c r="O187" s="9"/>
      <c r="P187" s="9" t="str">
        <f>IF($H187="","FIYAT_YOK",IFERROR(VLOOKUP($D187,FIYAT!$B:$P,15,FALSE()),""))</f>
        <v>MUADIL</v>
      </c>
      <c r="Q187" s="9" t="s">
        <v>212</v>
      </c>
      <c r="R187" s="9" t="s">
        <v>211</v>
      </c>
      <c r="S187" s="9" t="s">
        <v>550</v>
      </c>
      <c r="T187" s="9" t="s">
        <v>93</v>
      </c>
      <c r="U187" s="9">
        <f>IFERROR(VLOOKUP($T187,KURALLAR!$A$32:$B$63,2,FALSE()),0)*IF(ISNUMBER($I187),$I187,0)</f>
        <v>32</v>
      </c>
    </row>
    <row r="188" spans="1:21" x14ac:dyDescent="0.25">
      <c r="A188" s="5">
        <v>187</v>
      </c>
      <c r="B188" s="5"/>
      <c r="C188" s="5" t="s">
        <v>222</v>
      </c>
      <c r="D188" s="5" t="s">
        <v>310</v>
      </c>
      <c r="E188" s="5" t="str">
        <f>IFERROR(VLOOKUP($D188,FIYAT!$B:$O,2,FALSE()),"")</f>
        <v>Мет.Корпус ЩМП-4 (800x650x250) IP54</v>
      </c>
      <c r="F188" s="5">
        <f>IFERROR(VLOOKUP($D188,FIYAT!$B:$O,5,FALSE()),"")</f>
        <v>30540</v>
      </c>
      <c r="G188" s="5">
        <f>IFERROR(VLOOKUP($D188,FIYAT!$B:$O,8,FALSE()),"")</f>
        <v>18324</v>
      </c>
      <c r="H188" s="5">
        <f t="shared" si="20"/>
        <v>18324</v>
      </c>
      <c r="I188" s="6">
        <v>1</v>
      </c>
      <c r="J188" s="5" t="str">
        <f>IFERROR(VLOOKUP($D188,FIYAT!$B:$O,9,FALSE()),"")</f>
        <v>Шт.</v>
      </c>
      <c r="K188" s="5" t="str">
        <f>IFERROR(VLOOKUP($D188,FIYAT!$B:$O,4,FALSE()),"")</f>
        <v>KAZTEK</v>
      </c>
      <c r="L188" s="5">
        <f t="shared" si="21"/>
        <v>18324</v>
      </c>
      <c r="M188" s="5"/>
      <c r="N188" s="5"/>
      <c r="O188" s="5"/>
      <c r="P188" s="5" t="str">
        <f>IF($H188="","FIYAT_YOK",IFERROR(VLOOKUP($D188,FIYAT!$B:$P,15,FALSE()),""))</f>
        <v>VARSAYIM</v>
      </c>
      <c r="Q188" s="5" t="s">
        <v>312</v>
      </c>
      <c r="R188" s="5" t="s">
        <v>211</v>
      </c>
      <c r="S188" s="5" t="s">
        <v>550</v>
      </c>
      <c r="T188" s="5" t="s">
        <v>105</v>
      </c>
      <c r="U188" s="5">
        <f>IFERROR(VLOOKUP($T188,KURALLAR!$A$32:$B$63,2,FALSE()),0)*IF(ISNUMBER($I188),$I188,0)</f>
        <v>30</v>
      </c>
    </row>
    <row r="189" spans="1:21" x14ac:dyDescent="0.25">
      <c r="A189" s="9">
        <v>188</v>
      </c>
      <c r="B189" s="9"/>
      <c r="C189" s="9" t="s">
        <v>215</v>
      </c>
      <c r="D189" s="9" t="s">
        <v>213</v>
      </c>
      <c r="E189" s="9" t="str">
        <f>IFERROR(VLOOKUP($D189,FIYAT!$B:$O,2,FALSE()),"")</f>
        <v>Монтажный расходный материал (кабель, DIN-рейка, кабель-канал, клеммы, маркировка, крепёж)</v>
      </c>
      <c r="F189" s="9">
        <f>IFERROR(VLOOKUP($D189,FIYAT!$B:$O,5,FALSE()),"")</f>
        <v>0</v>
      </c>
      <c r="G189" s="9" t="str">
        <f>IFERROR(VLOOKUP($D189,FIYAT!$B:$O,8,FALSE()),"")</f>
        <v/>
      </c>
      <c r="H189" s="9">
        <f>ROUND(SUM($H$177:$H$188)*KURALLAR!$B$28,0)</f>
        <v>9248</v>
      </c>
      <c r="I189" s="6">
        <v>1</v>
      </c>
      <c r="J189" s="9" t="str">
        <f>IFERROR(VLOOKUP($D189,FIYAT!$B:$O,9,FALSE()),"")</f>
        <v>компл.</v>
      </c>
      <c r="K189" s="9" t="str">
        <f>IFERROR(VLOOKUP($D189,FIYAT!$B:$O,4,FALSE()),"")</f>
        <v>MUADIL-NET</v>
      </c>
      <c r="L189" s="9">
        <f t="shared" si="21"/>
        <v>9248</v>
      </c>
      <c r="M189" s="9"/>
      <c r="N189" s="9"/>
      <c r="O189" s="9"/>
      <c r="P189" s="9" t="str">
        <f>IF($H189="","FIYAT_YOK",IFERROR(VLOOKUP($D189,FIYAT!$B:$P,15,FALSE()),""))</f>
        <v>ORAN</v>
      </c>
      <c r="Q189" s="9" t="s">
        <v>218</v>
      </c>
      <c r="R189" s="9" t="s">
        <v>217</v>
      </c>
      <c r="S189" s="9" t="s">
        <v>550</v>
      </c>
      <c r="T189" s="9"/>
      <c r="U189" s="9">
        <v>0</v>
      </c>
    </row>
    <row r="190" spans="1:21" x14ac:dyDescent="0.25">
      <c r="A190" s="5">
        <v>189</v>
      </c>
      <c r="B190" s="5"/>
      <c r="C190" s="5" t="s">
        <v>227</v>
      </c>
      <c r="D190" s="5" t="s">
        <v>225</v>
      </c>
      <c r="E190" s="5" t="str">
        <f>IFERROR(VLOOKUP($D190,FIYAT!$B:$O,2,FALSE()),"")</f>
        <v>Сборка, кабелирование, маркировка, момент затяжки, испытания</v>
      </c>
      <c r="F190" s="5">
        <f>IFERROR(VLOOKUP($D190,FIYAT!$B:$O,5,FALSE()),"")</f>
        <v>100</v>
      </c>
      <c r="G190" s="5">
        <f>IFERROR(VLOOKUP($D190,FIYAT!$B:$O,8,FALSE()),"")</f>
        <v>100</v>
      </c>
      <c r="H190" s="5">
        <f>IF(OR($G190="",$I190=""),"",$G190*$I190)</f>
        <v>23100</v>
      </c>
      <c r="I190" s="6">
        <f>ROUND(SUM($U$177:$U$189)*KURALLAR!$B$27,0)</f>
        <v>231</v>
      </c>
      <c r="J190" s="5" t="str">
        <f>IFERROR(VLOOKUP($D190,FIYAT!$B:$O,9,FALSE()),"")</f>
        <v>мин</v>
      </c>
      <c r="K190" s="5" t="str">
        <f>IFERROR(VLOOKUP($D190,FIYAT!$B:$O,4,FALSE()),"")</f>
        <v>ISCILIK</v>
      </c>
      <c r="L190" s="5">
        <f t="shared" si="21"/>
        <v>23100</v>
      </c>
      <c r="M190" s="5"/>
      <c r="N190" s="5"/>
      <c r="O190" s="5"/>
      <c r="P190" s="5" t="str">
        <f>IF($H190="","FIYAT_YOK",IFERROR(VLOOKUP($D190,FIYAT!$B:$P,15,FALSE()),""))</f>
        <v>OK</v>
      </c>
      <c r="Q190" s="5" t="str">
        <f>CONCATENATE("montaj+test iscilik: ",TEXT($I190,"# ##0")," dk = ",TEXT($I190/60,"0,00")," saat (norm x test/etiket carpani)")</f>
        <v>montaj+test iscilik:  231 dk = 3,85 saat (norm x test/etiket carpani)</v>
      </c>
      <c r="R190" s="5" t="s">
        <v>229</v>
      </c>
      <c r="S190" s="5" t="s">
        <v>550</v>
      </c>
      <c r="T190" s="5"/>
      <c r="U190" s="5">
        <v>0</v>
      </c>
    </row>
    <row r="191" spans="1:21" x14ac:dyDescent="0.25">
      <c r="A191" s="10">
        <v>190</v>
      </c>
      <c r="B191" s="10" t="s">
        <v>571</v>
      </c>
      <c r="C191" s="10"/>
      <c r="D191" s="10"/>
      <c r="E191" s="10"/>
      <c r="F191" s="10"/>
      <c r="G191" s="10"/>
      <c r="H191" s="10">
        <f>SUBTOTAL(9,H177:H190)</f>
        <v>164468.59999999998</v>
      </c>
      <c r="I191" s="10"/>
      <c r="J191" s="10"/>
      <c r="K191" s="10"/>
      <c r="L191" s="10">
        <f>SUBTOTAL(9,L177:L190)</f>
        <v>164468.59999999998</v>
      </c>
      <c r="M191" s="10"/>
      <c r="N191" s="10"/>
      <c r="O191" s="10"/>
      <c r="P191" s="10"/>
      <c r="Q191" s="10"/>
      <c r="R191" s="10"/>
      <c r="S191" s="10"/>
      <c r="T191" s="10"/>
      <c r="U191" s="10">
        <f>SUBTOTAL(9,U177:U190)</f>
        <v>201</v>
      </c>
    </row>
    <row r="192" spans="1:21" x14ac:dyDescent="0.25">
      <c r="A192" s="8">
        <v>191</v>
      </c>
      <c r="B192" s="8" t="str">
        <f>E192</f>
        <v>BLOK A / 1F-ЩС.1 — НКУ 380/220В 50Гц, FORM 2B, IP31/54</v>
      </c>
      <c r="C192" s="8" t="s">
        <v>545</v>
      </c>
      <c r="D192" s="8"/>
      <c r="E192" s="8" t="s">
        <v>572</v>
      </c>
      <c r="F192" s="8"/>
      <c r="G192" s="8"/>
      <c r="H192" s="8"/>
      <c r="I192" s="8">
        <v>1</v>
      </c>
      <c r="J192" s="8" t="s">
        <v>547</v>
      </c>
      <c r="K192" s="8"/>
      <c r="L192" s="8"/>
      <c r="M192" s="8"/>
      <c r="N192" s="8"/>
      <c r="O192" s="8"/>
      <c r="P192" s="8" t="s">
        <v>178</v>
      </c>
      <c r="Q192" s="8" t="s">
        <v>548</v>
      </c>
      <c r="R192" s="8" t="s">
        <v>549</v>
      </c>
      <c r="S192" s="8" t="s">
        <v>550</v>
      </c>
      <c r="T192" s="8"/>
      <c r="U192" s="8"/>
    </row>
    <row r="193" spans="1:21" x14ac:dyDescent="0.25">
      <c r="A193" s="9">
        <v>192</v>
      </c>
      <c r="B193" s="9"/>
      <c r="C193" s="9" t="s">
        <v>169</v>
      </c>
      <c r="D193" s="9" t="s">
        <v>167</v>
      </c>
      <c r="E193" s="9" t="str">
        <f>IFERROR(VLOOKUP($D193,FIYAT!$B:$O,2,FALSE()),"")</f>
        <v>Авт. выкл. NM8N-125C TM 3P 32А 36кА с рег. термомаг. расцепителем (R)</v>
      </c>
      <c r="F193" s="9">
        <f>IFERROR(VLOOKUP($D193,FIYAT!$B:$O,5,FALSE()),"")</f>
        <v>64667</v>
      </c>
      <c r="G193" s="9">
        <f>IFERROR(VLOOKUP($D193,FIYAT!$B:$O,8,FALSE()),"")</f>
        <v>38800.199999999997</v>
      </c>
      <c r="H193" s="9">
        <f t="shared" ref="H193:H205" si="22">IF(OR($G193="",$I193=""),"",$G193*$I193)</f>
        <v>38800.199999999997</v>
      </c>
      <c r="I193" s="6">
        <v>1</v>
      </c>
      <c r="J193" s="9" t="str">
        <f>IFERROR(VLOOKUP($D193,FIYAT!$B:$O,9,FALSE()),"")</f>
        <v>Шт.</v>
      </c>
      <c r="K193" s="9" t="str">
        <f>IFERROR(VLOOKUP($D193,FIYAT!$B:$O,4,FALSE()),"")</f>
        <v>CHINT</v>
      </c>
      <c r="L193" s="9">
        <f t="shared" ref="L193:L207" si="23">IF($H193="","",$H193)</f>
        <v>38800.199999999997</v>
      </c>
      <c r="M193" s="9"/>
      <c r="N193" s="9"/>
      <c r="O193" s="9"/>
      <c r="P193" s="9" t="str">
        <f>IF($H193="","FIYAT_YOK",IFERROR(VLOOKUP($D193,FIYAT!$B:$P,15,FALSE()),""))</f>
        <v>MUADIL</v>
      </c>
      <c r="Q193" s="9" t="s">
        <v>172</v>
      </c>
      <c r="R193" s="9" t="s">
        <v>171</v>
      </c>
      <c r="S193" s="9" t="s">
        <v>550</v>
      </c>
      <c r="T193" s="9" t="s">
        <v>61</v>
      </c>
      <c r="U193" s="9">
        <f>IFERROR(VLOOKUP($T193,KURALLAR!$A$32:$B$63,2,FALSE()),0)*IF(ISNUMBER($I193),$I193,0)</f>
        <v>15</v>
      </c>
    </row>
    <row r="194" spans="1:21" x14ac:dyDescent="0.25">
      <c r="A194" s="5">
        <v>193</v>
      </c>
      <c r="B194" s="5"/>
      <c r="C194" s="5" t="s">
        <v>176</v>
      </c>
      <c r="D194" s="5" t="s">
        <v>174</v>
      </c>
      <c r="E194" s="5" t="str">
        <f>IFERROR(VLOOKUP($D194,FIYAT!$B:$O,2,FALSE()),"")</f>
        <v>УЗО NL1-63 6kA 4P 63A 300mA тип AC (R)</v>
      </c>
      <c r="F194" s="5">
        <f>IFERROR(VLOOKUP($D194,FIYAT!$B:$O,5,FALSE()),"")</f>
        <v>18106</v>
      </c>
      <c r="G194" s="5">
        <f>IFERROR(VLOOKUP($D194,FIYAT!$B:$O,8,FALSE()),"")</f>
        <v>10863.6</v>
      </c>
      <c r="H194" s="5">
        <f t="shared" si="22"/>
        <v>10863.6</v>
      </c>
      <c r="I194" s="6">
        <v>1</v>
      </c>
      <c r="J194" s="5" t="str">
        <f>IFERROR(VLOOKUP($D194,FIYAT!$B:$O,9,FALSE()),"")</f>
        <v>Шт.</v>
      </c>
      <c r="K194" s="5" t="str">
        <f>IFERROR(VLOOKUP($D194,FIYAT!$B:$O,4,FALSE()),"")</f>
        <v>CHINT</v>
      </c>
      <c r="L194" s="5">
        <f t="shared" si="23"/>
        <v>10863.6</v>
      </c>
      <c r="M194" s="5"/>
      <c r="N194" s="5"/>
      <c r="O194" s="5"/>
      <c r="P194" s="5" t="str">
        <f>IF($H194="","FIYAT_YOK",IFERROR(VLOOKUP($D194,FIYAT!$B:$P,15,FALSE()),""))</f>
        <v>OK</v>
      </c>
      <c r="Q194" s="5" t="s">
        <v>177</v>
      </c>
      <c r="R194" s="5" t="s">
        <v>171</v>
      </c>
      <c r="S194" s="5" t="s">
        <v>550</v>
      </c>
      <c r="T194" s="5" t="s">
        <v>57</v>
      </c>
      <c r="U194" s="5">
        <f>IFERROR(VLOOKUP($T194,KURALLAR!$A$32:$B$63,2,FALSE()),0)*IF(ISNUMBER($I194),$I194,0)</f>
        <v>10</v>
      </c>
    </row>
    <row r="195" spans="1:21" x14ac:dyDescent="0.25">
      <c r="A195" s="9">
        <v>194</v>
      </c>
      <c r="B195" s="9"/>
      <c r="C195" s="9" t="s">
        <v>79</v>
      </c>
      <c r="D195" s="9" t="s">
        <v>179</v>
      </c>
      <c r="E195" s="9" t="str">
        <f>IFERROR(VLOOKUP($D195,FIYAT!$B:$O,2,FALSE()),"")</f>
        <v>Держатель плавкой вставки RT36-00-160, габарит 00, 160А</v>
      </c>
      <c r="F195" s="9">
        <f>IFERROR(VLOOKUP($D195,FIYAT!$B:$O,5,FALSE()),"")</f>
        <v>2038</v>
      </c>
      <c r="G195" s="9">
        <f>IFERROR(VLOOKUP($D195,FIYAT!$B:$O,8,FALSE()),"")</f>
        <v>1222.8</v>
      </c>
      <c r="H195" s="9">
        <f t="shared" si="22"/>
        <v>4891.2</v>
      </c>
      <c r="I195" s="6">
        <v>4</v>
      </c>
      <c r="J195" s="9" t="str">
        <f>IFERROR(VLOOKUP($D195,FIYAT!$B:$O,9,FALSE()),"")</f>
        <v>Шт.</v>
      </c>
      <c r="K195" s="9" t="str">
        <f>IFERROR(VLOOKUP($D195,FIYAT!$B:$O,4,FALSE()),"")</f>
        <v>CHINT</v>
      </c>
      <c r="L195" s="9">
        <f t="shared" si="23"/>
        <v>4891.2</v>
      </c>
      <c r="M195" s="9"/>
      <c r="N195" s="9"/>
      <c r="O195" s="9"/>
      <c r="P195" s="9" t="str">
        <f>IF($H195="","FIYAT_YOK",IFERROR(VLOOKUP($D195,FIYAT!$B:$P,15,FALSE()),""))</f>
        <v>MUADIL</v>
      </c>
      <c r="Q195" s="9" t="s">
        <v>181</v>
      </c>
      <c r="R195" s="9" t="s">
        <v>171</v>
      </c>
      <c r="S195" s="9" t="s">
        <v>550</v>
      </c>
      <c r="T195" s="9" t="s">
        <v>77</v>
      </c>
      <c r="U195" s="9">
        <f>IFERROR(VLOOKUP($T195,KURALLAR!$A$32:$B$63,2,FALSE()),0)*IF(ISNUMBER($I195),$I195,0)</f>
        <v>20</v>
      </c>
    </row>
    <row r="196" spans="1:21" x14ac:dyDescent="0.25">
      <c r="A196" s="5">
        <v>195</v>
      </c>
      <c r="B196" s="5"/>
      <c r="C196" s="5" t="s">
        <v>79</v>
      </c>
      <c r="D196" s="5" t="s">
        <v>182</v>
      </c>
      <c r="E196" s="5" t="str">
        <f>IFERROR(VLOOKUP($D196,FIYAT!$B:$O,2,FALSE()),"")</f>
        <v>Плавкая вставка предохранителя RT36-00-160, габарит 00, 63А</v>
      </c>
      <c r="F196" s="5">
        <f>IFERROR(VLOOKUP($D196,FIYAT!$B:$O,5,FALSE()),"")</f>
        <v>1525</v>
      </c>
      <c r="G196" s="5">
        <f>IFERROR(VLOOKUP($D196,FIYAT!$B:$O,8,FALSE()),"")</f>
        <v>915</v>
      </c>
      <c r="H196" s="5">
        <f t="shared" si="22"/>
        <v>3660</v>
      </c>
      <c r="I196" s="6">
        <v>4</v>
      </c>
      <c r="J196" s="5" t="str">
        <f>IFERROR(VLOOKUP($D196,FIYAT!$B:$O,9,FALSE()),"")</f>
        <v>Шт.</v>
      </c>
      <c r="K196" s="5" t="str">
        <f>IFERROR(VLOOKUP($D196,FIYAT!$B:$O,4,FALSE()),"")</f>
        <v>CHINT</v>
      </c>
      <c r="L196" s="5">
        <f t="shared" si="23"/>
        <v>3660</v>
      </c>
      <c r="M196" s="5"/>
      <c r="N196" s="5"/>
      <c r="O196" s="5"/>
      <c r="P196" s="5" t="str">
        <f>IF($H196="","FIYAT_YOK",IFERROR(VLOOKUP($D196,FIYAT!$B:$P,15,FALSE()),""))</f>
        <v>MUADIL</v>
      </c>
      <c r="Q196" s="5" t="s">
        <v>185</v>
      </c>
      <c r="R196" s="5" t="s">
        <v>184</v>
      </c>
      <c r="S196" s="5" t="s">
        <v>550</v>
      </c>
      <c r="T196" s="5" t="s">
        <v>79</v>
      </c>
      <c r="U196" s="5">
        <f>IFERROR(VLOOKUP($T196,KURALLAR!$A$32:$B$63,2,FALSE()),0)*IF(ISNUMBER($I196),$I196,0)</f>
        <v>12</v>
      </c>
    </row>
    <row r="197" spans="1:21" x14ac:dyDescent="0.25">
      <c r="A197" s="9">
        <v>196</v>
      </c>
      <c r="B197" s="9"/>
      <c r="C197" s="9" t="s">
        <v>75</v>
      </c>
      <c r="D197" s="9" t="s">
        <v>186</v>
      </c>
      <c r="E197" s="9" t="str">
        <f>IFERROR(VLOOKUP($D197,FIYAT!$B:$O,2,FALSE()),"")</f>
        <v>Ограничитель имп. перенапр. NU6-IIG 4Р In=25kA Uc=440B Im=65kA (R)</v>
      </c>
      <c r="F197" s="9">
        <f>IFERROR(VLOOKUP($D197,FIYAT!$B:$O,5,FALSE()),"")</f>
        <v>33208</v>
      </c>
      <c r="G197" s="9">
        <f>IFERROR(VLOOKUP($D197,FIYAT!$B:$O,8,FALSE()),"")</f>
        <v>19924.8</v>
      </c>
      <c r="H197" s="9">
        <f t="shared" si="22"/>
        <v>19924.8</v>
      </c>
      <c r="I197" s="6">
        <v>1</v>
      </c>
      <c r="J197" s="9" t="str">
        <f>IFERROR(VLOOKUP($D197,FIYAT!$B:$O,9,FALSE()),"")</f>
        <v>Шт.</v>
      </c>
      <c r="K197" s="9" t="str">
        <f>IFERROR(VLOOKUP($D197,FIYAT!$B:$O,4,FALSE()),"")</f>
        <v>CHINT</v>
      </c>
      <c r="L197" s="9">
        <f t="shared" si="23"/>
        <v>19924.8</v>
      </c>
      <c r="M197" s="9"/>
      <c r="N197" s="9"/>
      <c r="O197" s="9"/>
      <c r="P197" s="9" t="str">
        <f>IF($H197="","FIYAT_YOK",IFERROR(VLOOKUP($D197,FIYAT!$B:$P,15,FALSE()),""))</f>
        <v>MUADIL_ONAY</v>
      </c>
      <c r="Q197" s="9" t="s">
        <v>188</v>
      </c>
      <c r="R197" s="9" t="s">
        <v>184</v>
      </c>
      <c r="S197" s="9" t="s">
        <v>550</v>
      </c>
      <c r="T197" s="9" t="s">
        <v>75</v>
      </c>
      <c r="U197" s="9">
        <f>IFERROR(VLOOKUP($T197,KURALLAR!$A$32:$B$63,2,FALSE()),0)*IF(ISNUMBER($I197),$I197,0)</f>
        <v>10</v>
      </c>
    </row>
    <row r="198" spans="1:21" x14ac:dyDescent="0.25">
      <c r="A198" s="5">
        <v>197</v>
      </c>
      <c r="B198" s="5"/>
      <c r="C198" s="5" t="s">
        <v>192</v>
      </c>
      <c r="D198" s="5" t="s">
        <v>190</v>
      </c>
      <c r="E198" s="5" t="str">
        <f>IFERROR(VLOOKUP($D198,FIYAT!$B:$O,2,FALSE()),"")</f>
        <v>Авт. выкл. NXB-63 3P 25A 6кА х-ка C (R)</v>
      </c>
      <c r="F198" s="5">
        <f>IFERROR(VLOOKUP($D198,FIYAT!$B:$O,5,FALSE()),"")</f>
        <v>5334</v>
      </c>
      <c r="G198" s="5">
        <f>IFERROR(VLOOKUP($D198,FIYAT!$B:$O,8,FALSE()),"")</f>
        <v>3200.4</v>
      </c>
      <c r="H198" s="5">
        <f t="shared" si="22"/>
        <v>3200.4</v>
      </c>
      <c r="I198" s="6">
        <v>1</v>
      </c>
      <c r="J198" s="5" t="str">
        <f>IFERROR(VLOOKUP($D198,FIYAT!$B:$O,9,FALSE()),"")</f>
        <v>Шт.</v>
      </c>
      <c r="K198" s="5" t="str">
        <f>IFERROR(VLOOKUP($D198,FIYAT!$B:$O,4,FALSE()),"")</f>
        <v>CHINT</v>
      </c>
      <c r="L198" s="5">
        <f t="shared" si="23"/>
        <v>3200.4</v>
      </c>
      <c r="M198" s="5"/>
      <c r="N198" s="5"/>
      <c r="O198" s="5"/>
      <c r="P198" s="5" t="str">
        <f>IF($H198="","FIYAT_YOK",IFERROR(VLOOKUP($D198,FIYAT!$B:$P,15,FALSE()),""))</f>
        <v>OK</v>
      </c>
      <c r="Q198" s="5" t="s">
        <v>193</v>
      </c>
      <c r="R198" s="5" t="s">
        <v>171</v>
      </c>
      <c r="S198" s="5" t="s">
        <v>550</v>
      </c>
      <c r="T198" s="5" t="s">
        <v>51</v>
      </c>
      <c r="U198" s="5">
        <f>IFERROR(VLOOKUP($T198,KURALLAR!$A$32:$B$63,2,FALSE()),0)*IF(ISNUMBER($I198),$I198,0)</f>
        <v>8</v>
      </c>
    </row>
    <row r="199" spans="1:21" x14ac:dyDescent="0.25">
      <c r="A199" s="9">
        <v>198</v>
      </c>
      <c r="B199" s="9"/>
      <c r="C199" s="9" t="s">
        <v>176</v>
      </c>
      <c r="D199" s="9" t="s">
        <v>197</v>
      </c>
      <c r="E199" s="9" t="str">
        <f>IFERROR(VLOOKUP($D199,FIYAT!$B:$O,2,FALSE()),"")</f>
        <v>УЗО NL1-63 6kA 4P 25A 30mA тип AC (R)</v>
      </c>
      <c r="F199" s="9">
        <f>IFERROR(VLOOKUP($D199,FIYAT!$B:$O,5,FALSE()),"")</f>
        <v>18338</v>
      </c>
      <c r="G199" s="9">
        <f>IFERROR(VLOOKUP($D199,FIYAT!$B:$O,8,FALSE()),"")</f>
        <v>11002.8</v>
      </c>
      <c r="H199" s="9">
        <f t="shared" si="22"/>
        <v>11002.8</v>
      </c>
      <c r="I199" s="6">
        <v>1</v>
      </c>
      <c r="J199" s="9" t="str">
        <f>IFERROR(VLOOKUP($D199,FIYAT!$B:$O,9,FALSE()),"")</f>
        <v>Шт.</v>
      </c>
      <c r="K199" s="9" t="str">
        <f>IFERROR(VLOOKUP($D199,FIYAT!$B:$O,4,FALSE()),"")</f>
        <v>CHINT</v>
      </c>
      <c r="L199" s="9">
        <f t="shared" si="23"/>
        <v>11002.8</v>
      </c>
      <c r="M199" s="9"/>
      <c r="N199" s="9"/>
      <c r="O199" s="9"/>
      <c r="P199" s="9" t="str">
        <f>IF($H199="","FIYAT_YOK",IFERROR(VLOOKUP($D199,FIYAT!$B:$P,15,FALSE()),""))</f>
        <v>OK</v>
      </c>
      <c r="Q199" s="9" t="s">
        <v>199</v>
      </c>
      <c r="R199" s="9" t="s">
        <v>171</v>
      </c>
      <c r="S199" s="9" t="s">
        <v>550</v>
      </c>
      <c r="T199" s="9" t="s">
        <v>57</v>
      </c>
      <c r="U199" s="9">
        <f>IFERROR(VLOOKUP($T199,KURALLAR!$A$32:$B$63,2,FALSE()),0)*IF(ISNUMBER($I199),$I199,0)</f>
        <v>10</v>
      </c>
    </row>
    <row r="200" spans="1:21" x14ac:dyDescent="0.25">
      <c r="A200" s="5">
        <v>199</v>
      </c>
      <c r="B200" s="5"/>
      <c r="C200" s="5" t="s">
        <v>192</v>
      </c>
      <c r="D200" s="5" t="s">
        <v>194</v>
      </c>
      <c r="E200" s="5" t="str">
        <f>IFERROR(VLOOKUP($D200,FIYAT!$B:$O,2,FALSE()),"")</f>
        <v>Авт. выкл. NXB-63 1P 16A 6кА х-ка C (R)</v>
      </c>
      <c r="F200" s="5">
        <f>IFERROR(VLOOKUP($D200,FIYAT!$B:$O,5,FALSE()),"")</f>
        <v>1389</v>
      </c>
      <c r="G200" s="5">
        <f>IFERROR(VLOOKUP($D200,FIYAT!$B:$O,8,FALSE()),"")</f>
        <v>833.4</v>
      </c>
      <c r="H200" s="5">
        <f t="shared" si="22"/>
        <v>6667.2</v>
      </c>
      <c r="I200" s="6">
        <v>8</v>
      </c>
      <c r="J200" s="5" t="str">
        <f>IFERROR(VLOOKUP($D200,FIYAT!$B:$O,9,FALSE()),"")</f>
        <v>Шт.</v>
      </c>
      <c r="K200" s="5" t="str">
        <f>IFERROR(VLOOKUP($D200,FIYAT!$B:$O,4,FALSE()),"")</f>
        <v>CHINT</v>
      </c>
      <c r="L200" s="5">
        <f t="shared" si="23"/>
        <v>6667.2</v>
      </c>
      <c r="M200" s="5"/>
      <c r="N200" s="5"/>
      <c r="O200" s="5"/>
      <c r="P200" s="5" t="str">
        <f>IF($H200="","FIYAT_YOK",IFERROR(VLOOKUP($D200,FIYAT!$B:$P,15,FALSE()),""))</f>
        <v>OK</v>
      </c>
      <c r="Q200" s="5" t="s">
        <v>196</v>
      </c>
      <c r="R200" s="5" t="s">
        <v>171</v>
      </c>
      <c r="S200" s="5" t="s">
        <v>550</v>
      </c>
      <c r="T200" s="5" t="s">
        <v>47</v>
      </c>
      <c r="U200" s="5">
        <f>IFERROR(VLOOKUP($T200,KURALLAR!$A$32:$B$63,2,FALSE()),0)*IF(ISNUMBER($I200),$I200,0)</f>
        <v>24</v>
      </c>
    </row>
    <row r="201" spans="1:21" x14ac:dyDescent="0.25">
      <c r="A201" s="9">
        <v>200</v>
      </c>
      <c r="B201" s="9"/>
      <c r="C201" s="9" t="s">
        <v>176</v>
      </c>
      <c r="D201" s="9" t="s">
        <v>200</v>
      </c>
      <c r="E201" s="9" t="str">
        <f>IFERROR(VLOOKUP($D201,FIYAT!$B:$O,2,FALSE()),"")</f>
        <v>УЗО NL1-63 6kA 2P 16A 30mA тип AC (R)</v>
      </c>
      <c r="F201" s="9">
        <f>IFERROR(VLOOKUP($D201,FIYAT!$B:$O,5,FALSE()),"")</f>
        <v>10809</v>
      </c>
      <c r="G201" s="9">
        <f>IFERROR(VLOOKUP($D201,FIYAT!$B:$O,8,FALSE()),"")</f>
        <v>6485.4</v>
      </c>
      <c r="H201" s="9">
        <f t="shared" si="22"/>
        <v>6485.4</v>
      </c>
      <c r="I201" s="6">
        <v>1</v>
      </c>
      <c r="J201" s="9" t="str">
        <f>IFERROR(VLOOKUP($D201,FIYAT!$B:$O,9,FALSE()),"")</f>
        <v>Шт.</v>
      </c>
      <c r="K201" s="9" t="str">
        <f>IFERROR(VLOOKUP($D201,FIYAT!$B:$O,4,FALSE()),"")</f>
        <v>CHINT</v>
      </c>
      <c r="L201" s="9">
        <f t="shared" si="23"/>
        <v>6485.4</v>
      </c>
      <c r="M201" s="9"/>
      <c r="N201" s="9"/>
      <c r="O201" s="9"/>
      <c r="P201" s="9" t="str">
        <f>IF($H201="","FIYAT_YOK",IFERROR(VLOOKUP($D201,FIYAT!$B:$P,15,FALSE()),""))</f>
        <v>OK</v>
      </c>
      <c r="Q201" s="9" t="s">
        <v>202</v>
      </c>
      <c r="R201" s="9" t="s">
        <v>171</v>
      </c>
      <c r="S201" s="9" t="s">
        <v>550</v>
      </c>
      <c r="T201" s="9" t="s">
        <v>55</v>
      </c>
      <c r="U201" s="9">
        <f>IFERROR(VLOOKUP($T201,KURALLAR!$A$32:$B$63,2,FALSE()),0)*IF(ISNUMBER($I201),$I201,0)</f>
        <v>6</v>
      </c>
    </row>
    <row r="202" spans="1:21" x14ac:dyDescent="0.25">
      <c r="A202" s="5">
        <v>201</v>
      </c>
      <c r="B202" s="5"/>
      <c r="C202" s="5" t="s">
        <v>192</v>
      </c>
      <c r="D202" s="5" t="s">
        <v>304</v>
      </c>
      <c r="E202" s="5" t="str">
        <f>IFERROR(VLOOKUP($D202,FIYAT!$B:$O,2,FALSE()),"")</f>
        <v>Авт. выкл. NXB-63 3P 16A 6кА х-ка C (R)</v>
      </c>
      <c r="F202" s="5">
        <f>IFERROR(VLOOKUP($D202,FIYAT!$B:$O,5,FALSE()),"")</f>
        <v>5462</v>
      </c>
      <c r="G202" s="5">
        <f>IFERROR(VLOOKUP($D202,FIYAT!$B:$O,8,FALSE()),"")</f>
        <v>3277.2</v>
      </c>
      <c r="H202" s="5">
        <f t="shared" si="22"/>
        <v>13108.8</v>
      </c>
      <c r="I202" s="6">
        <v>4</v>
      </c>
      <c r="J202" s="5" t="str">
        <f>IFERROR(VLOOKUP($D202,FIYAT!$B:$O,9,FALSE()),"")</f>
        <v>Шт.</v>
      </c>
      <c r="K202" s="5" t="str">
        <f>IFERROR(VLOOKUP($D202,FIYAT!$B:$O,4,FALSE()),"")</f>
        <v>CHINT</v>
      </c>
      <c r="L202" s="5">
        <f t="shared" si="23"/>
        <v>13108.8</v>
      </c>
      <c r="M202" s="5"/>
      <c r="N202" s="5"/>
      <c r="O202" s="5"/>
      <c r="P202" s="5" t="str">
        <f>IF($H202="","FIYAT_YOK",IFERROR(VLOOKUP($D202,FIYAT!$B:$P,15,FALSE()),""))</f>
        <v>OK</v>
      </c>
      <c r="Q202" s="5" t="s">
        <v>306</v>
      </c>
      <c r="R202" s="5" t="s">
        <v>171</v>
      </c>
      <c r="S202" s="5" t="s">
        <v>550</v>
      </c>
      <c r="T202" s="5" t="s">
        <v>51</v>
      </c>
      <c r="U202" s="5">
        <f>IFERROR(VLOOKUP($T202,KURALLAR!$A$32:$B$63,2,FALSE()),0)*IF(ISNUMBER($I202),$I202,0)</f>
        <v>32</v>
      </c>
    </row>
    <row r="203" spans="1:21" x14ac:dyDescent="0.25">
      <c r="A203" s="9">
        <v>202</v>
      </c>
      <c r="B203" s="9"/>
      <c r="C203" s="9" t="s">
        <v>192</v>
      </c>
      <c r="D203" s="9" t="s">
        <v>206</v>
      </c>
      <c r="E203" s="9" t="str">
        <f>IFERROR(VLOOKUP($D203,FIYAT!$B:$O,2,FALSE()),"")</f>
        <v>Авт. выкл. NXB-63 1P 10A 6кА х-ка C (R)</v>
      </c>
      <c r="F203" s="9">
        <f>IFERROR(VLOOKUP($D203,FIYAT!$B:$O,5,FALSE()),"")</f>
        <v>1362</v>
      </c>
      <c r="G203" s="9">
        <f>IFERROR(VLOOKUP($D203,FIYAT!$B:$O,8,FALSE()),"")</f>
        <v>817.19999999999993</v>
      </c>
      <c r="H203" s="9">
        <f t="shared" si="22"/>
        <v>7354.7999999999993</v>
      </c>
      <c r="I203" s="6">
        <v>9</v>
      </c>
      <c r="J203" s="9" t="str">
        <f>IFERROR(VLOOKUP($D203,FIYAT!$B:$O,9,FALSE()),"")</f>
        <v>Шт.</v>
      </c>
      <c r="K203" s="9" t="str">
        <f>IFERROR(VLOOKUP($D203,FIYAT!$B:$O,4,FALSE()),"")</f>
        <v>CHINT</v>
      </c>
      <c r="L203" s="9">
        <f t="shared" si="23"/>
        <v>7354.7999999999993</v>
      </c>
      <c r="M203" s="9"/>
      <c r="N203" s="9"/>
      <c r="O203" s="9"/>
      <c r="P203" s="9" t="str">
        <f>IF($H203="","FIYAT_YOK",IFERROR(VLOOKUP($D203,FIYAT!$B:$P,15,FALSE()),""))</f>
        <v>OK</v>
      </c>
      <c r="Q203" s="9" t="s">
        <v>208</v>
      </c>
      <c r="R203" s="9" t="s">
        <v>184</v>
      </c>
      <c r="S203" s="9" t="s">
        <v>550</v>
      </c>
      <c r="T203" s="9" t="s">
        <v>47</v>
      </c>
      <c r="U203" s="9">
        <f>IFERROR(VLOOKUP($T203,KURALLAR!$A$32:$B$63,2,FALSE()),0)*IF(ISNUMBER($I203),$I203,0)</f>
        <v>27</v>
      </c>
    </row>
    <row r="204" spans="1:21" x14ac:dyDescent="0.25">
      <c r="A204" s="5">
        <v>203</v>
      </c>
      <c r="B204" s="5"/>
      <c r="C204" s="5" t="s">
        <v>93</v>
      </c>
      <c r="D204" s="5" t="s">
        <v>209</v>
      </c>
      <c r="E204" s="5" t="str">
        <f>IFERROR(VLOOKUP($D204,FIYAT!$B:$O,2,FALSE()),"")</f>
        <v>Шина "N" нулевая 6х9мм на DIN-рейку в корпусном изоляторе ШНИ 12К IEK (10)</v>
      </c>
      <c r="F204" s="5">
        <f>IFERROR(VLOOKUP($D204,FIYAT!$B:$O,5,FALSE()),"")</f>
        <v>755</v>
      </c>
      <c r="G204" s="5">
        <f>IFERROR(VLOOKUP($D204,FIYAT!$B:$O,8,FALSE()),"")</f>
        <v>453</v>
      </c>
      <c r="H204" s="5">
        <f t="shared" si="22"/>
        <v>1812</v>
      </c>
      <c r="I204" s="6">
        <v>4</v>
      </c>
      <c r="J204" s="5" t="str">
        <f>IFERROR(VLOOKUP($D204,FIYAT!$B:$O,9,FALSE()),"")</f>
        <v>Шт.</v>
      </c>
      <c r="K204" s="5" t="str">
        <f>IFERROR(VLOOKUP($D204,FIYAT!$B:$O,4,FALSE()),"")</f>
        <v>KAZTEK</v>
      </c>
      <c r="L204" s="5">
        <f t="shared" si="23"/>
        <v>1812</v>
      </c>
      <c r="M204" s="5"/>
      <c r="N204" s="5"/>
      <c r="O204" s="5"/>
      <c r="P204" s="5" t="str">
        <f>IF($H204="","FIYAT_YOK",IFERROR(VLOOKUP($D204,FIYAT!$B:$P,15,FALSE()),""))</f>
        <v>MUADIL</v>
      </c>
      <c r="Q204" s="5" t="s">
        <v>212</v>
      </c>
      <c r="R204" s="5" t="s">
        <v>211</v>
      </c>
      <c r="S204" s="5" t="s">
        <v>550</v>
      </c>
      <c r="T204" s="5" t="s">
        <v>93</v>
      </c>
      <c r="U204" s="5">
        <f>IFERROR(VLOOKUP($T204,KURALLAR!$A$32:$B$63,2,FALSE()),0)*IF(ISNUMBER($I204),$I204,0)</f>
        <v>32</v>
      </c>
    </row>
    <row r="205" spans="1:21" x14ac:dyDescent="0.25">
      <c r="A205" s="9">
        <v>204</v>
      </c>
      <c r="B205" s="9"/>
      <c r="C205" s="9" t="s">
        <v>222</v>
      </c>
      <c r="D205" s="9" t="s">
        <v>310</v>
      </c>
      <c r="E205" s="9" t="str">
        <f>IFERROR(VLOOKUP($D205,FIYAT!$B:$O,2,FALSE()),"")</f>
        <v>Мет.Корпус ЩМП-4 (800x650x250) IP54</v>
      </c>
      <c r="F205" s="9">
        <f>IFERROR(VLOOKUP($D205,FIYAT!$B:$O,5,FALSE()),"")</f>
        <v>30540</v>
      </c>
      <c r="G205" s="9">
        <f>IFERROR(VLOOKUP($D205,FIYAT!$B:$O,8,FALSE()),"")</f>
        <v>18324</v>
      </c>
      <c r="H205" s="9">
        <f t="shared" si="22"/>
        <v>18324</v>
      </c>
      <c r="I205" s="6">
        <v>1</v>
      </c>
      <c r="J205" s="9" t="str">
        <f>IFERROR(VLOOKUP($D205,FIYAT!$B:$O,9,FALSE()),"")</f>
        <v>Шт.</v>
      </c>
      <c r="K205" s="9" t="str">
        <f>IFERROR(VLOOKUP($D205,FIYAT!$B:$O,4,FALSE()),"")</f>
        <v>KAZTEK</v>
      </c>
      <c r="L205" s="9">
        <f t="shared" si="23"/>
        <v>18324</v>
      </c>
      <c r="M205" s="9"/>
      <c r="N205" s="9"/>
      <c r="O205" s="9"/>
      <c r="P205" s="9" t="str">
        <f>IF($H205="","FIYAT_YOK",IFERROR(VLOOKUP($D205,FIYAT!$B:$P,15,FALSE()),""))</f>
        <v>VARSAYIM</v>
      </c>
      <c r="Q205" s="9" t="s">
        <v>312</v>
      </c>
      <c r="R205" s="9" t="s">
        <v>211</v>
      </c>
      <c r="S205" s="9" t="s">
        <v>550</v>
      </c>
      <c r="T205" s="9" t="s">
        <v>105</v>
      </c>
      <c r="U205" s="9">
        <f>IFERROR(VLOOKUP($T205,KURALLAR!$A$32:$B$63,2,FALSE()),0)*IF(ISNUMBER($I205),$I205,0)</f>
        <v>30</v>
      </c>
    </row>
    <row r="206" spans="1:21" x14ac:dyDescent="0.25">
      <c r="A206" s="5">
        <v>205</v>
      </c>
      <c r="B206" s="5"/>
      <c r="C206" s="5" t="s">
        <v>215</v>
      </c>
      <c r="D206" s="5" t="s">
        <v>213</v>
      </c>
      <c r="E206" s="5" t="str">
        <f>IFERROR(VLOOKUP($D206,FIYAT!$B:$O,2,FALSE()),"")</f>
        <v>Монтажный расходный материал (кабель, DIN-рейка, кабель-канал, клеммы, маркировка, крепёж)</v>
      </c>
      <c r="F206" s="5">
        <f>IFERROR(VLOOKUP($D206,FIYAT!$B:$O,5,FALSE()),"")</f>
        <v>0</v>
      </c>
      <c r="G206" s="5" t="str">
        <f>IFERROR(VLOOKUP($D206,FIYAT!$B:$O,8,FALSE()),"")</f>
        <v/>
      </c>
      <c r="H206" s="5">
        <f>ROUND(SUM($H$193:$H$205)*KURALLAR!$B$28,0)</f>
        <v>10227</v>
      </c>
      <c r="I206" s="6">
        <v>1</v>
      </c>
      <c r="J206" s="5" t="str">
        <f>IFERROR(VLOOKUP($D206,FIYAT!$B:$O,9,FALSE()),"")</f>
        <v>компл.</v>
      </c>
      <c r="K206" s="5" t="str">
        <f>IFERROR(VLOOKUP($D206,FIYAT!$B:$O,4,FALSE()),"")</f>
        <v>MUADIL-NET</v>
      </c>
      <c r="L206" s="5">
        <f t="shared" si="23"/>
        <v>10227</v>
      </c>
      <c r="M206" s="5"/>
      <c r="N206" s="5"/>
      <c r="O206" s="5"/>
      <c r="P206" s="5" t="str">
        <f>IF($H206="","FIYAT_YOK",IFERROR(VLOOKUP($D206,FIYAT!$B:$P,15,FALSE()),""))</f>
        <v>ORAN</v>
      </c>
      <c r="Q206" s="5" t="s">
        <v>218</v>
      </c>
      <c r="R206" s="5" t="s">
        <v>217</v>
      </c>
      <c r="S206" s="5" t="s">
        <v>550</v>
      </c>
      <c r="T206" s="5"/>
      <c r="U206" s="5">
        <v>0</v>
      </c>
    </row>
    <row r="207" spans="1:21" x14ac:dyDescent="0.25">
      <c r="A207" s="9">
        <v>206</v>
      </c>
      <c r="B207" s="9"/>
      <c r="C207" s="9" t="s">
        <v>227</v>
      </c>
      <c r="D207" s="9" t="s">
        <v>225</v>
      </c>
      <c r="E207" s="9" t="str">
        <f>IFERROR(VLOOKUP($D207,FIYAT!$B:$O,2,FALSE()),"")</f>
        <v>Сборка, кабелирование, маркировка, момент затяжки, испытания</v>
      </c>
      <c r="F207" s="9">
        <f>IFERROR(VLOOKUP($D207,FIYAT!$B:$O,5,FALSE()),"")</f>
        <v>100</v>
      </c>
      <c r="G207" s="9">
        <f>IFERROR(VLOOKUP($D207,FIYAT!$B:$O,8,FALSE()),"")</f>
        <v>100</v>
      </c>
      <c r="H207" s="9">
        <f>IF(OR($G207="",$I207=""),"",$G207*$I207)</f>
        <v>27100</v>
      </c>
      <c r="I207" s="6">
        <f>ROUND(SUM($U$193:$U$206)*KURALLAR!$B$27,0)</f>
        <v>271</v>
      </c>
      <c r="J207" s="9" t="str">
        <f>IFERROR(VLOOKUP($D207,FIYAT!$B:$O,9,FALSE()),"")</f>
        <v>мин</v>
      </c>
      <c r="K207" s="9" t="str">
        <f>IFERROR(VLOOKUP($D207,FIYAT!$B:$O,4,FALSE()),"")</f>
        <v>ISCILIK</v>
      </c>
      <c r="L207" s="9">
        <f t="shared" si="23"/>
        <v>27100</v>
      </c>
      <c r="M207" s="9"/>
      <c r="N207" s="9"/>
      <c r="O207" s="9"/>
      <c r="P207" s="9" t="str">
        <f>IF($H207="","FIYAT_YOK",IFERROR(VLOOKUP($D207,FIYAT!$B:$P,15,FALSE()),""))</f>
        <v>OK</v>
      </c>
      <c r="Q207" s="9" t="str">
        <f>CONCATENATE("montaj+test iscilik: ",TEXT($I207,"# ##0")," dk = ",TEXT($I207/60,"0,00")," saat (norm x test/etiket carpani)")</f>
        <v>montaj+test iscilik:  271 dk = 4,52 saat (norm x test/etiket carpani)</v>
      </c>
      <c r="R207" s="9" t="s">
        <v>229</v>
      </c>
      <c r="S207" s="9" t="s">
        <v>550</v>
      </c>
      <c r="T207" s="9"/>
      <c r="U207" s="9">
        <v>0</v>
      </c>
    </row>
    <row r="208" spans="1:21" x14ac:dyDescent="0.25">
      <c r="A208" s="10">
        <v>207</v>
      </c>
      <c r="B208" s="10" t="s">
        <v>573</v>
      </c>
      <c r="C208" s="10"/>
      <c r="D208" s="10"/>
      <c r="E208" s="10"/>
      <c r="F208" s="10"/>
      <c r="G208" s="10"/>
      <c r="H208" s="10">
        <f>SUBTOTAL(9,H193:H207)</f>
        <v>183422.19999999998</v>
      </c>
      <c r="I208" s="10"/>
      <c r="J208" s="10"/>
      <c r="K208" s="10"/>
      <c r="L208" s="10">
        <f>SUBTOTAL(9,L193:L207)</f>
        <v>183422.19999999998</v>
      </c>
      <c r="M208" s="10"/>
      <c r="N208" s="10"/>
      <c r="O208" s="10"/>
      <c r="P208" s="10"/>
      <c r="Q208" s="10"/>
      <c r="R208" s="10"/>
      <c r="S208" s="10"/>
      <c r="T208" s="10"/>
      <c r="U208" s="10">
        <f>SUBTOTAL(9,U193:U207)</f>
        <v>236</v>
      </c>
    </row>
    <row r="209" spans="1:21" x14ac:dyDescent="0.25">
      <c r="A209" s="8">
        <v>208</v>
      </c>
      <c r="B209" s="8" t="str">
        <f>E209</f>
        <v>BLOK A / 1F-ЩС.2 — НКУ 380/220В 50Гц, FORM 2B, IP31/54</v>
      </c>
      <c r="C209" s="8" t="s">
        <v>545</v>
      </c>
      <c r="D209" s="8"/>
      <c r="E209" s="8" t="s">
        <v>574</v>
      </c>
      <c r="F209" s="8"/>
      <c r="G209" s="8"/>
      <c r="H209" s="8"/>
      <c r="I209" s="8">
        <v>1</v>
      </c>
      <c r="J209" s="8" t="s">
        <v>547</v>
      </c>
      <c r="K209" s="8"/>
      <c r="L209" s="8"/>
      <c r="M209" s="8"/>
      <c r="N209" s="8"/>
      <c r="O209" s="8"/>
      <c r="P209" s="8" t="s">
        <v>178</v>
      </c>
      <c r="Q209" s="8" t="s">
        <v>548</v>
      </c>
      <c r="R209" s="8" t="s">
        <v>549</v>
      </c>
      <c r="S209" s="8" t="s">
        <v>550</v>
      </c>
      <c r="T209" s="8"/>
      <c r="U209" s="8"/>
    </row>
    <row r="210" spans="1:21" x14ac:dyDescent="0.25">
      <c r="A210" s="5">
        <v>209</v>
      </c>
      <c r="B210" s="5"/>
      <c r="C210" s="5" t="s">
        <v>169</v>
      </c>
      <c r="D210" s="5" t="s">
        <v>167</v>
      </c>
      <c r="E210" s="5" t="str">
        <f>IFERROR(VLOOKUP($D210,FIYAT!$B:$O,2,FALSE()),"")</f>
        <v>Авт. выкл. NM8N-125C TM 3P 32А 36кА с рег. термомаг. расцепителем (R)</v>
      </c>
      <c r="F210" s="5">
        <f>IFERROR(VLOOKUP($D210,FIYAT!$B:$O,5,FALSE()),"")</f>
        <v>64667</v>
      </c>
      <c r="G210" s="5">
        <f>IFERROR(VLOOKUP($D210,FIYAT!$B:$O,8,FALSE()),"")</f>
        <v>38800.199999999997</v>
      </c>
      <c r="H210" s="5">
        <f t="shared" ref="H210:H221" si="24">IF(OR($G210="",$I210=""),"",$G210*$I210)</f>
        <v>38800.199999999997</v>
      </c>
      <c r="I210" s="6">
        <v>1</v>
      </c>
      <c r="J210" s="5" t="str">
        <f>IFERROR(VLOOKUP($D210,FIYAT!$B:$O,9,FALSE()),"")</f>
        <v>Шт.</v>
      </c>
      <c r="K210" s="5" t="str">
        <f>IFERROR(VLOOKUP($D210,FIYAT!$B:$O,4,FALSE()),"")</f>
        <v>CHINT</v>
      </c>
      <c r="L210" s="5">
        <f t="shared" ref="L210:L223" si="25">IF($H210="","",$H210)</f>
        <v>38800.199999999997</v>
      </c>
      <c r="M210" s="5"/>
      <c r="N210" s="5"/>
      <c r="O210" s="5"/>
      <c r="P210" s="5" t="str">
        <f>IF($H210="","FIYAT_YOK",IFERROR(VLOOKUP($D210,FIYAT!$B:$P,15,FALSE()),""))</f>
        <v>MUADIL</v>
      </c>
      <c r="Q210" s="5" t="s">
        <v>172</v>
      </c>
      <c r="R210" s="5" t="s">
        <v>171</v>
      </c>
      <c r="S210" s="5" t="s">
        <v>550</v>
      </c>
      <c r="T210" s="5" t="s">
        <v>61</v>
      </c>
      <c r="U210" s="5">
        <f>IFERROR(VLOOKUP($T210,KURALLAR!$A$32:$B$63,2,FALSE()),0)*IF(ISNUMBER($I210),$I210,0)</f>
        <v>15</v>
      </c>
    </row>
    <row r="211" spans="1:21" x14ac:dyDescent="0.25">
      <c r="A211" s="9">
        <v>210</v>
      </c>
      <c r="B211" s="9"/>
      <c r="C211" s="9" t="s">
        <v>176</v>
      </c>
      <c r="D211" s="9" t="s">
        <v>174</v>
      </c>
      <c r="E211" s="9" t="str">
        <f>IFERROR(VLOOKUP($D211,FIYAT!$B:$O,2,FALSE()),"")</f>
        <v>УЗО NL1-63 6kA 4P 63A 300mA тип AC (R)</v>
      </c>
      <c r="F211" s="9">
        <f>IFERROR(VLOOKUP($D211,FIYAT!$B:$O,5,FALSE()),"")</f>
        <v>18106</v>
      </c>
      <c r="G211" s="9">
        <f>IFERROR(VLOOKUP($D211,FIYAT!$B:$O,8,FALSE()),"")</f>
        <v>10863.6</v>
      </c>
      <c r="H211" s="9">
        <f t="shared" si="24"/>
        <v>10863.6</v>
      </c>
      <c r="I211" s="6">
        <v>1</v>
      </c>
      <c r="J211" s="9" t="str">
        <f>IFERROR(VLOOKUP($D211,FIYAT!$B:$O,9,FALSE()),"")</f>
        <v>Шт.</v>
      </c>
      <c r="K211" s="9" t="str">
        <f>IFERROR(VLOOKUP($D211,FIYAT!$B:$O,4,FALSE()),"")</f>
        <v>CHINT</v>
      </c>
      <c r="L211" s="9">
        <f t="shared" si="25"/>
        <v>10863.6</v>
      </c>
      <c r="M211" s="9"/>
      <c r="N211" s="9"/>
      <c r="O211" s="9"/>
      <c r="P211" s="9" t="str">
        <f>IF($H211="","FIYAT_YOK",IFERROR(VLOOKUP($D211,FIYAT!$B:$P,15,FALSE()),""))</f>
        <v>OK</v>
      </c>
      <c r="Q211" s="9" t="s">
        <v>177</v>
      </c>
      <c r="R211" s="9" t="s">
        <v>171</v>
      </c>
      <c r="S211" s="9" t="s">
        <v>550</v>
      </c>
      <c r="T211" s="9" t="s">
        <v>57</v>
      </c>
      <c r="U211" s="9">
        <f>IFERROR(VLOOKUP($T211,KURALLAR!$A$32:$B$63,2,FALSE()),0)*IF(ISNUMBER($I211),$I211,0)</f>
        <v>10</v>
      </c>
    </row>
    <row r="212" spans="1:21" x14ac:dyDescent="0.25">
      <c r="A212" s="5">
        <v>211</v>
      </c>
      <c r="B212" s="5"/>
      <c r="C212" s="5" t="s">
        <v>79</v>
      </c>
      <c r="D212" s="5" t="s">
        <v>179</v>
      </c>
      <c r="E212" s="5" t="str">
        <f>IFERROR(VLOOKUP($D212,FIYAT!$B:$O,2,FALSE()),"")</f>
        <v>Держатель плавкой вставки RT36-00-160, габарит 00, 160А</v>
      </c>
      <c r="F212" s="5">
        <f>IFERROR(VLOOKUP($D212,FIYAT!$B:$O,5,FALSE()),"")</f>
        <v>2038</v>
      </c>
      <c r="G212" s="5">
        <f>IFERROR(VLOOKUP($D212,FIYAT!$B:$O,8,FALSE()),"")</f>
        <v>1222.8</v>
      </c>
      <c r="H212" s="5">
        <f t="shared" si="24"/>
        <v>4891.2</v>
      </c>
      <c r="I212" s="6">
        <v>4</v>
      </c>
      <c r="J212" s="5" t="str">
        <f>IFERROR(VLOOKUP($D212,FIYAT!$B:$O,9,FALSE()),"")</f>
        <v>Шт.</v>
      </c>
      <c r="K212" s="5" t="str">
        <f>IFERROR(VLOOKUP($D212,FIYAT!$B:$O,4,FALSE()),"")</f>
        <v>CHINT</v>
      </c>
      <c r="L212" s="5">
        <f t="shared" si="25"/>
        <v>4891.2</v>
      </c>
      <c r="M212" s="5"/>
      <c r="N212" s="5"/>
      <c r="O212" s="5"/>
      <c r="P212" s="5" t="str">
        <f>IF($H212="","FIYAT_YOK",IFERROR(VLOOKUP($D212,FIYAT!$B:$P,15,FALSE()),""))</f>
        <v>MUADIL</v>
      </c>
      <c r="Q212" s="5" t="s">
        <v>181</v>
      </c>
      <c r="R212" s="5" t="s">
        <v>171</v>
      </c>
      <c r="S212" s="5" t="s">
        <v>550</v>
      </c>
      <c r="T212" s="5" t="s">
        <v>77</v>
      </c>
      <c r="U212" s="5">
        <f>IFERROR(VLOOKUP($T212,KURALLAR!$A$32:$B$63,2,FALSE()),0)*IF(ISNUMBER($I212),$I212,0)</f>
        <v>20</v>
      </c>
    </row>
    <row r="213" spans="1:21" x14ac:dyDescent="0.25">
      <c r="A213" s="9">
        <v>212</v>
      </c>
      <c r="B213" s="9"/>
      <c r="C213" s="9" t="s">
        <v>79</v>
      </c>
      <c r="D213" s="9" t="s">
        <v>182</v>
      </c>
      <c r="E213" s="9" t="str">
        <f>IFERROR(VLOOKUP($D213,FIYAT!$B:$O,2,FALSE()),"")</f>
        <v>Плавкая вставка предохранителя RT36-00-160, габарит 00, 63А</v>
      </c>
      <c r="F213" s="9">
        <f>IFERROR(VLOOKUP($D213,FIYAT!$B:$O,5,FALSE()),"")</f>
        <v>1525</v>
      </c>
      <c r="G213" s="9">
        <f>IFERROR(VLOOKUP($D213,FIYAT!$B:$O,8,FALSE()),"")</f>
        <v>915</v>
      </c>
      <c r="H213" s="9">
        <f t="shared" si="24"/>
        <v>3660</v>
      </c>
      <c r="I213" s="6">
        <v>4</v>
      </c>
      <c r="J213" s="9" t="str">
        <f>IFERROR(VLOOKUP($D213,FIYAT!$B:$O,9,FALSE()),"")</f>
        <v>Шт.</v>
      </c>
      <c r="K213" s="9" t="str">
        <f>IFERROR(VLOOKUP($D213,FIYAT!$B:$O,4,FALSE()),"")</f>
        <v>CHINT</v>
      </c>
      <c r="L213" s="9">
        <f t="shared" si="25"/>
        <v>3660</v>
      </c>
      <c r="M213" s="9"/>
      <c r="N213" s="9"/>
      <c r="O213" s="9"/>
      <c r="P213" s="9" t="str">
        <f>IF($H213="","FIYAT_YOK",IFERROR(VLOOKUP($D213,FIYAT!$B:$P,15,FALSE()),""))</f>
        <v>MUADIL</v>
      </c>
      <c r="Q213" s="9" t="s">
        <v>185</v>
      </c>
      <c r="R213" s="9" t="s">
        <v>184</v>
      </c>
      <c r="S213" s="9" t="s">
        <v>550</v>
      </c>
      <c r="T213" s="9" t="s">
        <v>79</v>
      </c>
      <c r="U213" s="9">
        <f>IFERROR(VLOOKUP($T213,KURALLAR!$A$32:$B$63,2,FALSE()),0)*IF(ISNUMBER($I213),$I213,0)</f>
        <v>12</v>
      </c>
    </row>
    <row r="214" spans="1:21" x14ac:dyDescent="0.25">
      <c r="A214" s="5">
        <v>213</v>
      </c>
      <c r="B214" s="5"/>
      <c r="C214" s="5" t="s">
        <v>75</v>
      </c>
      <c r="D214" s="5" t="s">
        <v>186</v>
      </c>
      <c r="E214" s="5" t="str">
        <f>IFERROR(VLOOKUP($D214,FIYAT!$B:$O,2,FALSE()),"")</f>
        <v>Ограничитель имп. перенапр. NU6-IIG 4Р In=25kA Uc=440B Im=65kA (R)</v>
      </c>
      <c r="F214" s="5">
        <f>IFERROR(VLOOKUP($D214,FIYAT!$B:$O,5,FALSE()),"")</f>
        <v>33208</v>
      </c>
      <c r="G214" s="5">
        <f>IFERROR(VLOOKUP($D214,FIYAT!$B:$O,8,FALSE()),"")</f>
        <v>19924.8</v>
      </c>
      <c r="H214" s="5">
        <f t="shared" si="24"/>
        <v>19924.8</v>
      </c>
      <c r="I214" s="6">
        <v>1</v>
      </c>
      <c r="J214" s="5" t="str">
        <f>IFERROR(VLOOKUP($D214,FIYAT!$B:$O,9,FALSE()),"")</f>
        <v>Шт.</v>
      </c>
      <c r="K214" s="5" t="str">
        <f>IFERROR(VLOOKUP($D214,FIYAT!$B:$O,4,FALSE()),"")</f>
        <v>CHINT</v>
      </c>
      <c r="L214" s="5">
        <f t="shared" si="25"/>
        <v>19924.8</v>
      </c>
      <c r="M214" s="5"/>
      <c r="N214" s="5"/>
      <c r="O214" s="5"/>
      <c r="P214" s="5" t="str">
        <f>IF($H214="","FIYAT_YOK",IFERROR(VLOOKUP($D214,FIYAT!$B:$P,15,FALSE()),""))</f>
        <v>MUADIL_ONAY</v>
      </c>
      <c r="Q214" s="5" t="s">
        <v>188</v>
      </c>
      <c r="R214" s="5" t="s">
        <v>184</v>
      </c>
      <c r="S214" s="5" t="s">
        <v>550</v>
      </c>
      <c r="T214" s="5" t="s">
        <v>75</v>
      </c>
      <c r="U214" s="5">
        <f>IFERROR(VLOOKUP($T214,KURALLAR!$A$32:$B$63,2,FALSE()),0)*IF(ISNUMBER($I214),$I214,0)</f>
        <v>10</v>
      </c>
    </row>
    <row r="215" spans="1:21" x14ac:dyDescent="0.25">
      <c r="A215" s="9">
        <v>214</v>
      </c>
      <c r="B215" s="9"/>
      <c r="C215" s="9" t="s">
        <v>192</v>
      </c>
      <c r="D215" s="9" t="s">
        <v>190</v>
      </c>
      <c r="E215" s="9" t="str">
        <f>IFERROR(VLOOKUP($D215,FIYAT!$B:$O,2,FALSE()),"")</f>
        <v>Авт. выкл. NXB-63 3P 25A 6кА х-ка C (R)</v>
      </c>
      <c r="F215" s="9">
        <f>IFERROR(VLOOKUP($D215,FIYAT!$B:$O,5,FALSE()),"")</f>
        <v>5334</v>
      </c>
      <c r="G215" s="9">
        <f>IFERROR(VLOOKUP($D215,FIYAT!$B:$O,8,FALSE()),"")</f>
        <v>3200.4</v>
      </c>
      <c r="H215" s="9">
        <f t="shared" si="24"/>
        <v>3200.4</v>
      </c>
      <c r="I215" s="6">
        <v>1</v>
      </c>
      <c r="J215" s="9" t="str">
        <f>IFERROR(VLOOKUP($D215,FIYAT!$B:$O,9,FALSE()),"")</f>
        <v>Шт.</v>
      </c>
      <c r="K215" s="9" t="str">
        <f>IFERROR(VLOOKUP($D215,FIYAT!$B:$O,4,FALSE()),"")</f>
        <v>CHINT</v>
      </c>
      <c r="L215" s="9">
        <f t="shared" si="25"/>
        <v>3200.4</v>
      </c>
      <c r="M215" s="9"/>
      <c r="N215" s="9"/>
      <c r="O215" s="9"/>
      <c r="P215" s="9" t="str">
        <f>IF($H215="","FIYAT_YOK",IFERROR(VLOOKUP($D215,FIYAT!$B:$P,15,FALSE()),""))</f>
        <v>OK</v>
      </c>
      <c r="Q215" s="9" t="s">
        <v>193</v>
      </c>
      <c r="R215" s="9" t="s">
        <v>171</v>
      </c>
      <c r="S215" s="9" t="s">
        <v>550</v>
      </c>
      <c r="T215" s="9" t="s">
        <v>51</v>
      </c>
      <c r="U215" s="9">
        <f>IFERROR(VLOOKUP($T215,KURALLAR!$A$32:$B$63,2,FALSE()),0)*IF(ISNUMBER($I215),$I215,0)</f>
        <v>8</v>
      </c>
    </row>
    <row r="216" spans="1:21" x14ac:dyDescent="0.25">
      <c r="A216" s="5">
        <v>215</v>
      </c>
      <c r="B216" s="5"/>
      <c r="C216" s="5" t="s">
        <v>176</v>
      </c>
      <c r="D216" s="5" t="s">
        <v>313</v>
      </c>
      <c r="E216" s="5" t="str">
        <f>IFERROR(VLOOKUP($D216,FIYAT!$B:$O,2,FALSE()),"")</f>
        <v>Диф. авт. выкл. NB1L-40 4P C25 30mA тип AC 6kA (R)</v>
      </c>
      <c r="F216" s="5">
        <f>IFERROR(VLOOKUP($D216,FIYAT!$B:$O,5,FALSE()),"")</f>
        <v>23469</v>
      </c>
      <c r="G216" s="5">
        <f>IFERROR(VLOOKUP($D216,FIYAT!$B:$O,8,FALSE()),"")</f>
        <v>14081.4</v>
      </c>
      <c r="H216" s="5">
        <f t="shared" si="24"/>
        <v>14081.4</v>
      </c>
      <c r="I216" s="6">
        <v>1</v>
      </c>
      <c r="J216" s="5" t="str">
        <f>IFERROR(VLOOKUP($D216,FIYAT!$B:$O,9,FALSE()),"")</f>
        <v>Шт.</v>
      </c>
      <c r="K216" s="5" t="str">
        <f>IFERROR(VLOOKUP($D216,FIYAT!$B:$O,4,FALSE()),"")</f>
        <v>CHINT</v>
      </c>
      <c r="L216" s="5">
        <f t="shared" si="25"/>
        <v>14081.4</v>
      </c>
      <c r="M216" s="5"/>
      <c r="N216" s="5"/>
      <c r="O216" s="5"/>
      <c r="P216" s="5" t="str">
        <f>IF($H216="","FIYAT_YOK",IFERROR(VLOOKUP($D216,FIYAT!$B:$P,15,FALSE()),""))</f>
        <v>MUADIL</v>
      </c>
      <c r="Q216" s="5" t="s">
        <v>315</v>
      </c>
      <c r="R216" s="5" t="s">
        <v>184</v>
      </c>
      <c r="S216" s="5" t="s">
        <v>550</v>
      </c>
      <c r="T216" s="5" t="s">
        <v>57</v>
      </c>
      <c r="U216" s="5">
        <f>IFERROR(VLOOKUP($T216,KURALLAR!$A$32:$B$63,2,FALSE()),0)*IF(ISNUMBER($I216),$I216,0)</f>
        <v>10</v>
      </c>
    </row>
    <row r="217" spans="1:21" x14ac:dyDescent="0.25">
      <c r="A217" s="9">
        <v>216</v>
      </c>
      <c r="B217" s="9"/>
      <c r="C217" s="9" t="s">
        <v>192</v>
      </c>
      <c r="D217" s="9" t="s">
        <v>194</v>
      </c>
      <c r="E217" s="9" t="str">
        <f>IFERROR(VLOOKUP($D217,FIYAT!$B:$O,2,FALSE()),"")</f>
        <v>Авт. выкл. NXB-63 1P 16A 6кА х-ка C (R)</v>
      </c>
      <c r="F217" s="9">
        <f>IFERROR(VLOOKUP($D217,FIYAT!$B:$O,5,FALSE()),"")</f>
        <v>1389</v>
      </c>
      <c r="G217" s="9">
        <f>IFERROR(VLOOKUP($D217,FIYAT!$B:$O,8,FALSE()),"")</f>
        <v>833.4</v>
      </c>
      <c r="H217" s="9">
        <f t="shared" si="24"/>
        <v>7500.5999999999995</v>
      </c>
      <c r="I217" s="6">
        <v>9</v>
      </c>
      <c r="J217" s="9" t="str">
        <f>IFERROR(VLOOKUP($D217,FIYAT!$B:$O,9,FALSE()),"")</f>
        <v>Шт.</v>
      </c>
      <c r="K217" s="9" t="str">
        <f>IFERROR(VLOOKUP($D217,FIYAT!$B:$O,4,FALSE()),"")</f>
        <v>CHINT</v>
      </c>
      <c r="L217" s="9">
        <f t="shared" si="25"/>
        <v>7500.5999999999995</v>
      </c>
      <c r="M217" s="9"/>
      <c r="N217" s="9"/>
      <c r="O217" s="9"/>
      <c r="P217" s="9" t="str">
        <f>IF($H217="","FIYAT_YOK",IFERROR(VLOOKUP($D217,FIYAT!$B:$P,15,FALSE()),""))</f>
        <v>OK</v>
      </c>
      <c r="Q217" s="9" t="s">
        <v>196</v>
      </c>
      <c r="R217" s="9" t="s">
        <v>171</v>
      </c>
      <c r="S217" s="9" t="s">
        <v>550</v>
      </c>
      <c r="T217" s="9" t="s">
        <v>47</v>
      </c>
      <c r="U217" s="9">
        <f>IFERROR(VLOOKUP($T217,KURALLAR!$A$32:$B$63,2,FALSE()),0)*IF(ISNUMBER($I217),$I217,0)</f>
        <v>27</v>
      </c>
    </row>
    <row r="218" spans="1:21" x14ac:dyDescent="0.25">
      <c r="A218" s="5">
        <v>217</v>
      </c>
      <c r="B218" s="5"/>
      <c r="C218" s="5" t="s">
        <v>176</v>
      </c>
      <c r="D218" s="5" t="s">
        <v>316</v>
      </c>
      <c r="E218" s="5" t="str">
        <f>IFERROR(VLOOKUP($D218,FIYAT!$B:$O,2,FALSE()),"")</f>
        <v>Диф. авт. выкл. NB1L 1P+N C25 30mA тип A 6kA (36mm) (R)</v>
      </c>
      <c r="F218" s="5">
        <f>IFERROR(VLOOKUP($D218,FIYAT!$B:$O,5,FALSE()),"")</f>
        <v>13989</v>
      </c>
      <c r="G218" s="5">
        <f>IFERROR(VLOOKUP($D218,FIYAT!$B:$O,8,FALSE()),"")</f>
        <v>8393.4</v>
      </c>
      <c r="H218" s="5">
        <f t="shared" si="24"/>
        <v>8393.4</v>
      </c>
      <c r="I218" s="6">
        <v>1</v>
      </c>
      <c r="J218" s="5" t="str">
        <f>IFERROR(VLOOKUP($D218,FIYAT!$B:$O,9,FALSE()),"")</f>
        <v>Шт.</v>
      </c>
      <c r="K218" s="5" t="str">
        <f>IFERROR(VLOOKUP($D218,FIYAT!$B:$O,4,FALSE()),"")</f>
        <v>CHINT</v>
      </c>
      <c r="L218" s="5">
        <f t="shared" si="25"/>
        <v>8393.4</v>
      </c>
      <c r="M218" s="5"/>
      <c r="N218" s="5"/>
      <c r="O218" s="5"/>
      <c r="P218" s="5" t="str">
        <f>IF($H218="","FIYAT_YOK",IFERROR(VLOOKUP($D218,FIYAT!$B:$P,15,FALSE()),""))</f>
        <v>MUADIL</v>
      </c>
      <c r="Q218" s="5" t="s">
        <v>318</v>
      </c>
      <c r="R218" s="5" t="s">
        <v>184</v>
      </c>
      <c r="S218" s="5" t="s">
        <v>550</v>
      </c>
      <c r="T218" s="5" t="s">
        <v>55</v>
      </c>
      <c r="U218" s="5">
        <f>IFERROR(VLOOKUP($T218,KURALLAR!$A$32:$B$63,2,FALSE()),0)*IF(ISNUMBER($I218),$I218,0)</f>
        <v>6</v>
      </c>
    </row>
    <row r="219" spans="1:21" x14ac:dyDescent="0.25">
      <c r="A219" s="9">
        <v>218</v>
      </c>
      <c r="B219" s="9"/>
      <c r="C219" s="9" t="s">
        <v>192</v>
      </c>
      <c r="D219" s="9" t="s">
        <v>206</v>
      </c>
      <c r="E219" s="9" t="str">
        <f>IFERROR(VLOOKUP($D219,FIYAT!$B:$O,2,FALSE()),"")</f>
        <v>Авт. выкл. NXB-63 1P 10A 6кА х-ка C (R)</v>
      </c>
      <c r="F219" s="9">
        <f>IFERROR(VLOOKUP($D219,FIYAT!$B:$O,5,FALSE()),"")</f>
        <v>1362</v>
      </c>
      <c r="G219" s="9">
        <f>IFERROR(VLOOKUP($D219,FIYAT!$B:$O,8,FALSE()),"")</f>
        <v>817.19999999999993</v>
      </c>
      <c r="H219" s="9">
        <f t="shared" si="24"/>
        <v>5720.4</v>
      </c>
      <c r="I219" s="6">
        <v>7</v>
      </c>
      <c r="J219" s="9" t="str">
        <f>IFERROR(VLOOKUP($D219,FIYAT!$B:$O,9,FALSE()),"")</f>
        <v>Шт.</v>
      </c>
      <c r="K219" s="9" t="str">
        <f>IFERROR(VLOOKUP($D219,FIYAT!$B:$O,4,FALSE()),"")</f>
        <v>CHINT</v>
      </c>
      <c r="L219" s="9">
        <f t="shared" si="25"/>
        <v>5720.4</v>
      </c>
      <c r="M219" s="9"/>
      <c r="N219" s="9"/>
      <c r="O219" s="9"/>
      <c r="P219" s="9" t="str">
        <f>IF($H219="","FIYAT_YOK",IFERROR(VLOOKUP($D219,FIYAT!$B:$P,15,FALSE()),""))</f>
        <v>OK</v>
      </c>
      <c r="Q219" s="9" t="s">
        <v>208</v>
      </c>
      <c r="R219" s="9" t="s">
        <v>184</v>
      </c>
      <c r="S219" s="9" t="s">
        <v>550</v>
      </c>
      <c r="T219" s="9" t="s">
        <v>47</v>
      </c>
      <c r="U219" s="9">
        <f>IFERROR(VLOOKUP($T219,KURALLAR!$A$32:$B$63,2,FALSE()),0)*IF(ISNUMBER($I219),$I219,0)</f>
        <v>21</v>
      </c>
    </row>
    <row r="220" spans="1:21" x14ac:dyDescent="0.25">
      <c r="A220" s="5">
        <v>219</v>
      </c>
      <c r="B220" s="5"/>
      <c r="C220" s="5" t="s">
        <v>93</v>
      </c>
      <c r="D220" s="5" t="s">
        <v>209</v>
      </c>
      <c r="E220" s="5" t="str">
        <f>IFERROR(VLOOKUP($D220,FIYAT!$B:$O,2,FALSE()),"")</f>
        <v>Шина "N" нулевая 6х9мм на DIN-рейку в корпусном изоляторе ШНИ 12К IEK (10)</v>
      </c>
      <c r="F220" s="5">
        <f>IFERROR(VLOOKUP($D220,FIYAT!$B:$O,5,FALSE()),"")</f>
        <v>755</v>
      </c>
      <c r="G220" s="5">
        <f>IFERROR(VLOOKUP($D220,FIYAT!$B:$O,8,FALSE()),"")</f>
        <v>453</v>
      </c>
      <c r="H220" s="5">
        <f t="shared" si="24"/>
        <v>1812</v>
      </c>
      <c r="I220" s="6">
        <v>4</v>
      </c>
      <c r="J220" s="5" t="str">
        <f>IFERROR(VLOOKUP($D220,FIYAT!$B:$O,9,FALSE()),"")</f>
        <v>Шт.</v>
      </c>
      <c r="K220" s="5" t="str">
        <f>IFERROR(VLOOKUP($D220,FIYAT!$B:$O,4,FALSE()),"")</f>
        <v>KAZTEK</v>
      </c>
      <c r="L220" s="5">
        <f t="shared" si="25"/>
        <v>1812</v>
      </c>
      <c r="M220" s="5"/>
      <c r="N220" s="5"/>
      <c r="O220" s="5"/>
      <c r="P220" s="5" t="str">
        <f>IF($H220="","FIYAT_YOK",IFERROR(VLOOKUP($D220,FIYAT!$B:$P,15,FALSE()),""))</f>
        <v>MUADIL</v>
      </c>
      <c r="Q220" s="5" t="s">
        <v>212</v>
      </c>
      <c r="R220" s="5" t="s">
        <v>211</v>
      </c>
      <c r="S220" s="5" t="s">
        <v>550</v>
      </c>
      <c r="T220" s="5" t="s">
        <v>93</v>
      </c>
      <c r="U220" s="5">
        <f>IFERROR(VLOOKUP($T220,KURALLAR!$A$32:$B$63,2,FALSE()),0)*IF(ISNUMBER($I220),$I220,0)</f>
        <v>32</v>
      </c>
    </row>
    <row r="221" spans="1:21" x14ac:dyDescent="0.25">
      <c r="A221" s="9">
        <v>220</v>
      </c>
      <c r="B221" s="9"/>
      <c r="C221" s="9" t="s">
        <v>222</v>
      </c>
      <c r="D221" s="9" t="s">
        <v>220</v>
      </c>
      <c r="E221" s="9" t="str">
        <f>IFERROR(VLOOKUP($D221,FIYAT!$B:$O,2,FALSE()),"")</f>
        <v>ЩМП (инд.) IP31 (650х500х150мм)</v>
      </c>
      <c r="F221" s="9">
        <f>IFERROR(VLOOKUP($D221,FIYAT!$B:$O,5,FALSE()),"")</f>
        <v>27825</v>
      </c>
      <c r="G221" s="9">
        <f>IFERROR(VLOOKUP($D221,FIYAT!$B:$O,8,FALSE()),"")</f>
        <v>16695</v>
      </c>
      <c r="H221" s="9">
        <f t="shared" si="24"/>
        <v>16695</v>
      </c>
      <c r="I221" s="6">
        <v>1</v>
      </c>
      <c r="J221" s="9" t="str">
        <f>IFERROR(VLOOKUP($D221,FIYAT!$B:$O,9,FALSE()),"")</f>
        <v>Шт.</v>
      </c>
      <c r="K221" s="9" t="str">
        <f>IFERROR(VLOOKUP($D221,FIYAT!$B:$O,4,FALSE()),"")</f>
        <v>KAZTEK</v>
      </c>
      <c r="L221" s="9">
        <f t="shared" si="25"/>
        <v>16695</v>
      </c>
      <c r="M221" s="9"/>
      <c r="N221" s="9"/>
      <c r="O221" s="9"/>
      <c r="P221" s="9" t="str">
        <f>IF($H221="","FIYAT_YOK",IFERROR(VLOOKUP($D221,FIYAT!$B:$P,15,FALSE()),""))</f>
        <v>VARSAYIM</v>
      </c>
      <c r="Q221" s="9" t="s">
        <v>223</v>
      </c>
      <c r="R221" s="9" t="s">
        <v>211</v>
      </c>
      <c r="S221" s="9" t="s">
        <v>550</v>
      </c>
      <c r="T221" s="9" t="s">
        <v>105</v>
      </c>
      <c r="U221" s="9">
        <f>IFERROR(VLOOKUP($T221,KURALLAR!$A$32:$B$63,2,FALSE()),0)*IF(ISNUMBER($I221),$I221,0)</f>
        <v>30</v>
      </c>
    </row>
    <row r="222" spans="1:21" x14ac:dyDescent="0.25">
      <c r="A222" s="5">
        <v>221</v>
      </c>
      <c r="B222" s="5"/>
      <c r="C222" s="5" t="s">
        <v>215</v>
      </c>
      <c r="D222" s="5" t="s">
        <v>213</v>
      </c>
      <c r="E222" s="5" t="str">
        <f>IFERROR(VLOOKUP($D222,FIYAT!$B:$O,2,FALSE()),"")</f>
        <v>Монтажный расходный материал (кабель, DIN-рейка, кабель-канал, клеммы, маркировка, крепёж)</v>
      </c>
      <c r="F222" s="5">
        <f>IFERROR(VLOOKUP($D222,FIYAT!$B:$O,5,FALSE()),"")</f>
        <v>0</v>
      </c>
      <c r="G222" s="5" t="str">
        <f>IFERROR(VLOOKUP($D222,FIYAT!$B:$O,8,FALSE()),"")</f>
        <v/>
      </c>
      <c r="H222" s="5">
        <f>ROUND(SUM($H$210:$H$221)*KURALLAR!$B$28,0)</f>
        <v>9488</v>
      </c>
      <c r="I222" s="6">
        <v>1</v>
      </c>
      <c r="J222" s="5" t="str">
        <f>IFERROR(VLOOKUP($D222,FIYAT!$B:$O,9,FALSE()),"")</f>
        <v>компл.</v>
      </c>
      <c r="K222" s="5" t="str">
        <f>IFERROR(VLOOKUP($D222,FIYAT!$B:$O,4,FALSE()),"")</f>
        <v>MUADIL-NET</v>
      </c>
      <c r="L222" s="5">
        <f t="shared" si="25"/>
        <v>9488</v>
      </c>
      <c r="M222" s="5"/>
      <c r="N222" s="5"/>
      <c r="O222" s="5"/>
      <c r="P222" s="5" t="str">
        <f>IF($H222="","FIYAT_YOK",IFERROR(VLOOKUP($D222,FIYAT!$B:$P,15,FALSE()),""))</f>
        <v>ORAN</v>
      </c>
      <c r="Q222" s="5" t="s">
        <v>218</v>
      </c>
      <c r="R222" s="5" t="s">
        <v>217</v>
      </c>
      <c r="S222" s="5" t="s">
        <v>550</v>
      </c>
      <c r="T222" s="5"/>
      <c r="U222" s="5">
        <v>0</v>
      </c>
    </row>
    <row r="223" spans="1:21" x14ac:dyDescent="0.25">
      <c r="A223" s="9">
        <v>222</v>
      </c>
      <c r="B223" s="9"/>
      <c r="C223" s="9" t="s">
        <v>227</v>
      </c>
      <c r="D223" s="9" t="s">
        <v>225</v>
      </c>
      <c r="E223" s="9" t="str">
        <f>IFERROR(VLOOKUP($D223,FIYAT!$B:$O,2,FALSE()),"")</f>
        <v>Сборка, кабелирование, маркировка, момент затяжки, испытания</v>
      </c>
      <c r="F223" s="9">
        <f>IFERROR(VLOOKUP($D223,FIYAT!$B:$O,5,FALSE()),"")</f>
        <v>100</v>
      </c>
      <c r="G223" s="9">
        <f>IFERROR(VLOOKUP($D223,FIYAT!$B:$O,8,FALSE()),"")</f>
        <v>100</v>
      </c>
      <c r="H223" s="9">
        <f>IF(OR($G223="",$I223=""),"",$G223*$I223)</f>
        <v>23100</v>
      </c>
      <c r="I223" s="6">
        <f>ROUND(SUM($U$210:$U$222)*KURALLAR!$B$27,0)</f>
        <v>231</v>
      </c>
      <c r="J223" s="9" t="str">
        <f>IFERROR(VLOOKUP($D223,FIYAT!$B:$O,9,FALSE()),"")</f>
        <v>мин</v>
      </c>
      <c r="K223" s="9" t="str">
        <f>IFERROR(VLOOKUP($D223,FIYAT!$B:$O,4,FALSE()),"")</f>
        <v>ISCILIK</v>
      </c>
      <c r="L223" s="9">
        <f t="shared" si="25"/>
        <v>23100</v>
      </c>
      <c r="M223" s="9"/>
      <c r="N223" s="9"/>
      <c r="O223" s="9"/>
      <c r="P223" s="9" t="str">
        <f>IF($H223="","FIYAT_YOK",IFERROR(VLOOKUP($D223,FIYAT!$B:$P,15,FALSE()),""))</f>
        <v>OK</v>
      </c>
      <c r="Q223" s="9" t="str">
        <f>CONCATENATE("montaj+test iscilik: ",TEXT($I223,"# ##0")," dk = ",TEXT($I223/60,"0,00")," saat (norm x test/etiket carpani)")</f>
        <v>montaj+test iscilik:  231 dk = 3,85 saat (norm x test/etiket carpani)</v>
      </c>
      <c r="R223" s="9" t="s">
        <v>229</v>
      </c>
      <c r="S223" s="9" t="s">
        <v>550</v>
      </c>
      <c r="T223" s="9"/>
      <c r="U223" s="9">
        <v>0</v>
      </c>
    </row>
    <row r="224" spans="1:21" x14ac:dyDescent="0.25">
      <c r="A224" s="10">
        <v>223</v>
      </c>
      <c r="B224" s="10" t="s">
        <v>575</v>
      </c>
      <c r="C224" s="10"/>
      <c r="D224" s="10"/>
      <c r="E224" s="10"/>
      <c r="F224" s="10"/>
      <c r="G224" s="10"/>
      <c r="H224" s="10">
        <f>SUBTOTAL(9,H210:H223)</f>
        <v>168130.99999999997</v>
      </c>
      <c r="I224" s="10"/>
      <c r="J224" s="10"/>
      <c r="K224" s="10"/>
      <c r="L224" s="10">
        <f>SUBTOTAL(9,L210:L223)</f>
        <v>168130.99999999997</v>
      </c>
      <c r="M224" s="10"/>
      <c r="N224" s="10"/>
      <c r="O224" s="10"/>
      <c r="P224" s="10"/>
      <c r="Q224" s="10"/>
      <c r="R224" s="10"/>
      <c r="S224" s="10"/>
      <c r="T224" s="10"/>
      <c r="U224" s="10">
        <f>SUBTOTAL(9,U210:U223)</f>
        <v>201</v>
      </c>
    </row>
    <row r="225" spans="1:21" x14ac:dyDescent="0.25">
      <c r="A225" s="8">
        <v>224</v>
      </c>
      <c r="B225" s="8" t="str">
        <f>E225</f>
        <v>BLOK A / 1F-ИБП.1 — НКУ 380/220В 50Гц, FORM 2B, IP31/54</v>
      </c>
      <c r="C225" s="8" t="s">
        <v>545</v>
      </c>
      <c r="D225" s="8"/>
      <c r="E225" s="8" t="s">
        <v>576</v>
      </c>
      <c r="F225" s="8"/>
      <c r="G225" s="8"/>
      <c r="H225" s="8"/>
      <c r="I225" s="8">
        <v>1</v>
      </c>
      <c r="J225" s="8" t="s">
        <v>547</v>
      </c>
      <c r="K225" s="8"/>
      <c r="L225" s="8"/>
      <c r="M225" s="8"/>
      <c r="N225" s="8"/>
      <c r="O225" s="8"/>
      <c r="P225" s="8" t="s">
        <v>178</v>
      </c>
      <c r="Q225" s="8" t="s">
        <v>548</v>
      </c>
      <c r="R225" s="8" t="s">
        <v>549</v>
      </c>
      <c r="S225" s="8" t="s">
        <v>550</v>
      </c>
      <c r="T225" s="8"/>
      <c r="U225" s="8"/>
    </row>
    <row r="226" spans="1:21" x14ac:dyDescent="0.25">
      <c r="A226" s="5">
        <v>225</v>
      </c>
      <c r="B226" s="5"/>
      <c r="C226" s="5" t="s">
        <v>169</v>
      </c>
      <c r="D226" s="5" t="s">
        <v>319</v>
      </c>
      <c r="E226" s="5" t="str">
        <f>IFERROR(VLOOKUP($D226,FIYAT!$B:$O,2,FALSE()),"")</f>
        <v>Авт. выкл. NM8N-125C TM 3P 16А 36кА с рег. термомаг. расцепителем (R)</v>
      </c>
      <c r="F226" s="5">
        <f>IFERROR(VLOOKUP($D226,FIYAT!$B:$O,5,FALSE()),"")</f>
        <v>65019</v>
      </c>
      <c r="G226" s="5">
        <f>IFERROR(VLOOKUP($D226,FIYAT!$B:$O,8,FALSE()),"")</f>
        <v>39011.4</v>
      </c>
      <c r="H226" s="5">
        <f t="shared" ref="H226:H233" si="26">IF(OR($G226="",$I226=""),"",$G226*$I226)</f>
        <v>39011.4</v>
      </c>
      <c r="I226" s="6">
        <v>1</v>
      </c>
      <c r="J226" s="5" t="str">
        <f>IFERROR(VLOOKUP($D226,FIYAT!$B:$O,9,FALSE()),"")</f>
        <v>Шт.</v>
      </c>
      <c r="K226" s="5" t="str">
        <f>IFERROR(VLOOKUP($D226,FIYAT!$B:$O,4,FALSE()),"")</f>
        <v>CHINT</v>
      </c>
      <c r="L226" s="5">
        <f t="shared" ref="L226:L235" si="27">IF($H226="","",$H226)</f>
        <v>39011.4</v>
      </c>
      <c r="M226" s="5"/>
      <c r="N226" s="5"/>
      <c r="O226" s="5"/>
      <c r="P226" s="5" t="str">
        <f>IF($H226="","FIYAT_YOK",IFERROR(VLOOKUP($D226,FIYAT!$B:$P,15,FALSE()),""))</f>
        <v>MUADIL</v>
      </c>
      <c r="Q226" s="5" t="s">
        <v>172</v>
      </c>
      <c r="R226" s="5" t="s">
        <v>171</v>
      </c>
      <c r="S226" s="5" t="s">
        <v>550</v>
      </c>
      <c r="T226" s="5" t="s">
        <v>61</v>
      </c>
      <c r="U226" s="5">
        <f>IFERROR(VLOOKUP($T226,KURALLAR!$A$32:$B$63,2,FALSE()),0)*IF(ISNUMBER($I226),$I226,0)</f>
        <v>15</v>
      </c>
    </row>
    <row r="227" spans="1:21" x14ac:dyDescent="0.25">
      <c r="A227" s="9">
        <v>226</v>
      </c>
      <c r="B227" s="9"/>
      <c r="C227" s="9" t="s">
        <v>176</v>
      </c>
      <c r="D227" s="9" t="s">
        <v>174</v>
      </c>
      <c r="E227" s="9" t="str">
        <f>IFERROR(VLOOKUP($D227,FIYAT!$B:$O,2,FALSE()),"")</f>
        <v>УЗО NL1-63 6kA 4P 63A 300mA тип AC (R)</v>
      </c>
      <c r="F227" s="9">
        <f>IFERROR(VLOOKUP($D227,FIYAT!$B:$O,5,FALSE()),"")</f>
        <v>18106</v>
      </c>
      <c r="G227" s="9">
        <f>IFERROR(VLOOKUP($D227,FIYAT!$B:$O,8,FALSE()),"")</f>
        <v>10863.6</v>
      </c>
      <c r="H227" s="9">
        <f t="shared" si="26"/>
        <v>10863.6</v>
      </c>
      <c r="I227" s="6">
        <v>1</v>
      </c>
      <c r="J227" s="9" t="str">
        <f>IFERROR(VLOOKUP($D227,FIYAT!$B:$O,9,FALSE()),"")</f>
        <v>Шт.</v>
      </c>
      <c r="K227" s="9" t="str">
        <f>IFERROR(VLOOKUP($D227,FIYAT!$B:$O,4,FALSE()),"")</f>
        <v>CHINT</v>
      </c>
      <c r="L227" s="9">
        <f t="shared" si="27"/>
        <v>10863.6</v>
      </c>
      <c r="M227" s="9"/>
      <c r="N227" s="9"/>
      <c r="O227" s="9"/>
      <c r="P227" s="9" t="str">
        <f>IF($H227="","FIYAT_YOK",IFERROR(VLOOKUP($D227,FIYAT!$B:$P,15,FALSE()),""))</f>
        <v>OK</v>
      </c>
      <c r="Q227" s="9" t="s">
        <v>177</v>
      </c>
      <c r="R227" s="9" t="s">
        <v>171</v>
      </c>
      <c r="S227" s="9" t="s">
        <v>550</v>
      </c>
      <c r="T227" s="9" t="s">
        <v>57</v>
      </c>
      <c r="U227" s="9">
        <f>IFERROR(VLOOKUP($T227,KURALLAR!$A$32:$B$63,2,FALSE()),0)*IF(ISNUMBER($I227),$I227,0)</f>
        <v>10</v>
      </c>
    </row>
    <row r="228" spans="1:21" x14ac:dyDescent="0.25">
      <c r="A228" s="5">
        <v>227</v>
      </c>
      <c r="B228" s="5"/>
      <c r="C228" s="5" t="s">
        <v>79</v>
      </c>
      <c r="D228" s="5" t="s">
        <v>179</v>
      </c>
      <c r="E228" s="5" t="str">
        <f>IFERROR(VLOOKUP($D228,FIYAT!$B:$O,2,FALSE()),"")</f>
        <v>Держатель плавкой вставки RT36-00-160, габарит 00, 160А</v>
      </c>
      <c r="F228" s="5">
        <f>IFERROR(VLOOKUP($D228,FIYAT!$B:$O,5,FALSE()),"")</f>
        <v>2038</v>
      </c>
      <c r="G228" s="5">
        <f>IFERROR(VLOOKUP($D228,FIYAT!$B:$O,8,FALSE()),"")</f>
        <v>1222.8</v>
      </c>
      <c r="H228" s="5">
        <f t="shared" si="26"/>
        <v>4891.2</v>
      </c>
      <c r="I228" s="6">
        <v>4</v>
      </c>
      <c r="J228" s="5" t="str">
        <f>IFERROR(VLOOKUP($D228,FIYAT!$B:$O,9,FALSE()),"")</f>
        <v>Шт.</v>
      </c>
      <c r="K228" s="5" t="str">
        <f>IFERROR(VLOOKUP($D228,FIYAT!$B:$O,4,FALSE()),"")</f>
        <v>CHINT</v>
      </c>
      <c r="L228" s="5">
        <f t="shared" si="27"/>
        <v>4891.2</v>
      </c>
      <c r="M228" s="5"/>
      <c r="N228" s="5"/>
      <c r="O228" s="5"/>
      <c r="P228" s="5" t="str">
        <f>IF($H228="","FIYAT_YOK",IFERROR(VLOOKUP($D228,FIYAT!$B:$P,15,FALSE()),""))</f>
        <v>MUADIL</v>
      </c>
      <c r="Q228" s="5" t="s">
        <v>181</v>
      </c>
      <c r="R228" s="5" t="s">
        <v>171</v>
      </c>
      <c r="S228" s="5" t="s">
        <v>550</v>
      </c>
      <c r="T228" s="5" t="s">
        <v>77</v>
      </c>
      <c r="U228" s="5">
        <f>IFERROR(VLOOKUP($T228,KURALLAR!$A$32:$B$63,2,FALSE()),0)*IF(ISNUMBER($I228),$I228,0)</f>
        <v>20</v>
      </c>
    </row>
    <row r="229" spans="1:21" x14ac:dyDescent="0.25">
      <c r="A229" s="9">
        <v>228</v>
      </c>
      <c r="B229" s="9"/>
      <c r="C229" s="9" t="s">
        <v>79</v>
      </c>
      <c r="D229" s="9" t="s">
        <v>182</v>
      </c>
      <c r="E229" s="9" t="str">
        <f>IFERROR(VLOOKUP($D229,FIYAT!$B:$O,2,FALSE()),"")</f>
        <v>Плавкая вставка предохранителя RT36-00-160, габарит 00, 63А</v>
      </c>
      <c r="F229" s="9">
        <f>IFERROR(VLOOKUP($D229,FIYAT!$B:$O,5,FALSE()),"")</f>
        <v>1525</v>
      </c>
      <c r="G229" s="9">
        <f>IFERROR(VLOOKUP($D229,FIYAT!$B:$O,8,FALSE()),"")</f>
        <v>915</v>
      </c>
      <c r="H229" s="9">
        <f t="shared" si="26"/>
        <v>3660</v>
      </c>
      <c r="I229" s="6">
        <v>4</v>
      </c>
      <c r="J229" s="9" t="str">
        <f>IFERROR(VLOOKUP($D229,FIYAT!$B:$O,9,FALSE()),"")</f>
        <v>Шт.</v>
      </c>
      <c r="K229" s="9" t="str">
        <f>IFERROR(VLOOKUP($D229,FIYAT!$B:$O,4,FALSE()),"")</f>
        <v>CHINT</v>
      </c>
      <c r="L229" s="9">
        <f t="shared" si="27"/>
        <v>3660</v>
      </c>
      <c r="M229" s="9"/>
      <c r="N229" s="9"/>
      <c r="O229" s="9"/>
      <c r="P229" s="9" t="str">
        <f>IF($H229="","FIYAT_YOK",IFERROR(VLOOKUP($D229,FIYAT!$B:$P,15,FALSE()),""))</f>
        <v>MUADIL</v>
      </c>
      <c r="Q229" s="9" t="s">
        <v>185</v>
      </c>
      <c r="R229" s="9" t="s">
        <v>184</v>
      </c>
      <c r="S229" s="9" t="s">
        <v>550</v>
      </c>
      <c r="T229" s="9" t="s">
        <v>79</v>
      </c>
      <c r="U229" s="9">
        <f>IFERROR(VLOOKUP($T229,KURALLAR!$A$32:$B$63,2,FALSE()),0)*IF(ISNUMBER($I229),$I229,0)</f>
        <v>12</v>
      </c>
    </row>
    <row r="230" spans="1:21" x14ac:dyDescent="0.25">
      <c r="A230" s="5">
        <v>229</v>
      </c>
      <c r="B230" s="5"/>
      <c r="C230" s="5" t="s">
        <v>75</v>
      </c>
      <c r="D230" s="5" t="s">
        <v>186</v>
      </c>
      <c r="E230" s="5" t="str">
        <f>IFERROR(VLOOKUP($D230,FIYAT!$B:$O,2,FALSE()),"")</f>
        <v>Ограничитель имп. перенапр. NU6-IIG 4Р In=25kA Uc=440B Im=65kA (R)</v>
      </c>
      <c r="F230" s="5">
        <f>IFERROR(VLOOKUP($D230,FIYAT!$B:$O,5,FALSE()),"")</f>
        <v>33208</v>
      </c>
      <c r="G230" s="5">
        <f>IFERROR(VLOOKUP($D230,FIYAT!$B:$O,8,FALSE()),"")</f>
        <v>19924.8</v>
      </c>
      <c r="H230" s="5">
        <f t="shared" si="26"/>
        <v>19924.8</v>
      </c>
      <c r="I230" s="6">
        <v>1</v>
      </c>
      <c r="J230" s="5" t="str">
        <f>IFERROR(VLOOKUP($D230,FIYAT!$B:$O,9,FALSE()),"")</f>
        <v>Шт.</v>
      </c>
      <c r="K230" s="5" t="str">
        <f>IFERROR(VLOOKUP($D230,FIYAT!$B:$O,4,FALSE()),"")</f>
        <v>CHINT</v>
      </c>
      <c r="L230" s="5">
        <f t="shared" si="27"/>
        <v>19924.8</v>
      </c>
      <c r="M230" s="5"/>
      <c r="N230" s="5"/>
      <c r="O230" s="5"/>
      <c r="P230" s="5" t="str">
        <f>IF($H230="","FIYAT_YOK",IFERROR(VLOOKUP($D230,FIYAT!$B:$P,15,FALSE()),""))</f>
        <v>MUADIL_ONAY</v>
      </c>
      <c r="Q230" s="5" t="s">
        <v>188</v>
      </c>
      <c r="R230" s="5" t="s">
        <v>184</v>
      </c>
      <c r="S230" s="5" t="s">
        <v>550</v>
      </c>
      <c r="T230" s="5" t="s">
        <v>75</v>
      </c>
      <c r="U230" s="5">
        <f>IFERROR(VLOOKUP($T230,KURALLAR!$A$32:$B$63,2,FALSE()),0)*IF(ISNUMBER($I230),$I230,0)</f>
        <v>10</v>
      </c>
    </row>
    <row r="231" spans="1:21" x14ac:dyDescent="0.25">
      <c r="A231" s="9">
        <v>230</v>
      </c>
      <c r="B231" s="9"/>
      <c r="C231" s="9" t="s">
        <v>192</v>
      </c>
      <c r="D231" s="9" t="s">
        <v>206</v>
      </c>
      <c r="E231" s="9" t="str">
        <f>IFERROR(VLOOKUP($D231,FIYAT!$B:$O,2,FALSE()),"")</f>
        <v>Авт. выкл. NXB-63 1P 10A 6кА х-ка C (R)</v>
      </c>
      <c r="F231" s="9">
        <f>IFERROR(VLOOKUP($D231,FIYAT!$B:$O,5,FALSE()),"")</f>
        <v>1362</v>
      </c>
      <c r="G231" s="9">
        <f>IFERROR(VLOOKUP($D231,FIYAT!$B:$O,8,FALSE()),"")</f>
        <v>817.19999999999993</v>
      </c>
      <c r="H231" s="9">
        <f t="shared" si="26"/>
        <v>5720.4</v>
      </c>
      <c r="I231" s="6">
        <v>7</v>
      </c>
      <c r="J231" s="9" t="str">
        <f>IFERROR(VLOOKUP($D231,FIYAT!$B:$O,9,FALSE()),"")</f>
        <v>Шт.</v>
      </c>
      <c r="K231" s="9" t="str">
        <f>IFERROR(VLOOKUP($D231,FIYAT!$B:$O,4,FALSE()),"")</f>
        <v>CHINT</v>
      </c>
      <c r="L231" s="9">
        <f t="shared" si="27"/>
        <v>5720.4</v>
      </c>
      <c r="M231" s="9"/>
      <c r="N231" s="9"/>
      <c r="O231" s="9"/>
      <c r="P231" s="9" t="str">
        <f>IF($H231="","FIYAT_YOK",IFERROR(VLOOKUP($D231,FIYAT!$B:$P,15,FALSE()),""))</f>
        <v>OK</v>
      </c>
      <c r="Q231" s="9" t="s">
        <v>208</v>
      </c>
      <c r="R231" s="9" t="s">
        <v>184</v>
      </c>
      <c r="S231" s="9" t="s">
        <v>550</v>
      </c>
      <c r="T231" s="9" t="s">
        <v>47</v>
      </c>
      <c r="U231" s="9">
        <f>IFERROR(VLOOKUP($T231,KURALLAR!$A$32:$B$63,2,FALSE()),0)*IF(ISNUMBER($I231),$I231,0)</f>
        <v>21</v>
      </c>
    </row>
    <row r="232" spans="1:21" x14ac:dyDescent="0.25">
      <c r="A232" s="5">
        <v>231</v>
      </c>
      <c r="B232" s="5"/>
      <c r="C232" s="5" t="s">
        <v>93</v>
      </c>
      <c r="D232" s="5" t="s">
        <v>209</v>
      </c>
      <c r="E232" s="5" t="str">
        <f>IFERROR(VLOOKUP($D232,FIYAT!$B:$O,2,FALSE()),"")</f>
        <v>Шина "N" нулевая 6х9мм на DIN-рейку в корпусном изоляторе ШНИ 12К IEK (10)</v>
      </c>
      <c r="F232" s="5">
        <f>IFERROR(VLOOKUP($D232,FIYAT!$B:$O,5,FALSE()),"")</f>
        <v>755</v>
      </c>
      <c r="G232" s="5">
        <f>IFERROR(VLOOKUP($D232,FIYAT!$B:$O,8,FALSE()),"")</f>
        <v>453</v>
      </c>
      <c r="H232" s="5">
        <f t="shared" si="26"/>
        <v>1812</v>
      </c>
      <c r="I232" s="6">
        <v>4</v>
      </c>
      <c r="J232" s="5" t="str">
        <f>IFERROR(VLOOKUP($D232,FIYAT!$B:$O,9,FALSE()),"")</f>
        <v>Шт.</v>
      </c>
      <c r="K232" s="5" t="str">
        <f>IFERROR(VLOOKUP($D232,FIYAT!$B:$O,4,FALSE()),"")</f>
        <v>KAZTEK</v>
      </c>
      <c r="L232" s="5">
        <f t="shared" si="27"/>
        <v>1812</v>
      </c>
      <c r="M232" s="5"/>
      <c r="N232" s="5"/>
      <c r="O232" s="5"/>
      <c r="P232" s="5" t="str">
        <f>IF($H232="","FIYAT_YOK",IFERROR(VLOOKUP($D232,FIYAT!$B:$P,15,FALSE()),""))</f>
        <v>MUADIL</v>
      </c>
      <c r="Q232" s="5" t="s">
        <v>212</v>
      </c>
      <c r="R232" s="5" t="s">
        <v>211</v>
      </c>
      <c r="S232" s="5" t="s">
        <v>550</v>
      </c>
      <c r="T232" s="5" t="s">
        <v>93</v>
      </c>
      <c r="U232" s="5">
        <f>IFERROR(VLOOKUP($T232,KURALLAR!$A$32:$B$63,2,FALSE()),0)*IF(ISNUMBER($I232),$I232,0)</f>
        <v>32</v>
      </c>
    </row>
    <row r="233" spans="1:21" x14ac:dyDescent="0.25">
      <c r="A233" s="9">
        <v>232</v>
      </c>
      <c r="B233" s="9"/>
      <c r="C233" s="9" t="s">
        <v>222</v>
      </c>
      <c r="D233" s="9" t="s">
        <v>220</v>
      </c>
      <c r="E233" s="9" t="str">
        <f>IFERROR(VLOOKUP($D233,FIYAT!$B:$O,2,FALSE()),"")</f>
        <v>ЩМП (инд.) IP31 (650х500х150мм)</v>
      </c>
      <c r="F233" s="9">
        <f>IFERROR(VLOOKUP($D233,FIYAT!$B:$O,5,FALSE()),"")</f>
        <v>27825</v>
      </c>
      <c r="G233" s="9">
        <f>IFERROR(VLOOKUP($D233,FIYAT!$B:$O,8,FALSE()),"")</f>
        <v>16695</v>
      </c>
      <c r="H233" s="9">
        <f t="shared" si="26"/>
        <v>16695</v>
      </c>
      <c r="I233" s="6">
        <v>1</v>
      </c>
      <c r="J233" s="9" t="str">
        <f>IFERROR(VLOOKUP($D233,FIYAT!$B:$O,9,FALSE()),"")</f>
        <v>Шт.</v>
      </c>
      <c r="K233" s="9" t="str">
        <f>IFERROR(VLOOKUP($D233,FIYAT!$B:$O,4,FALSE()),"")</f>
        <v>KAZTEK</v>
      </c>
      <c r="L233" s="9">
        <f t="shared" si="27"/>
        <v>16695</v>
      </c>
      <c r="M233" s="9"/>
      <c r="N233" s="9"/>
      <c r="O233" s="9"/>
      <c r="P233" s="9" t="str">
        <f>IF($H233="","FIYAT_YOK",IFERROR(VLOOKUP($D233,FIYAT!$B:$P,15,FALSE()),""))</f>
        <v>VARSAYIM</v>
      </c>
      <c r="Q233" s="9" t="s">
        <v>223</v>
      </c>
      <c r="R233" s="9" t="s">
        <v>211</v>
      </c>
      <c r="S233" s="9" t="s">
        <v>550</v>
      </c>
      <c r="T233" s="9" t="s">
        <v>105</v>
      </c>
      <c r="U233" s="9">
        <f>IFERROR(VLOOKUP($T233,KURALLAR!$A$32:$B$63,2,FALSE()),0)*IF(ISNUMBER($I233),$I233,0)</f>
        <v>30</v>
      </c>
    </row>
    <row r="234" spans="1:21" x14ac:dyDescent="0.25">
      <c r="A234" s="5">
        <v>233</v>
      </c>
      <c r="B234" s="5"/>
      <c r="C234" s="5" t="s">
        <v>215</v>
      </c>
      <c r="D234" s="5" t="s">
        <v>213</v>
      </c>
      <c r="E234" s="5" t="str">
        <f>IFERROR(VLOOKUP($D234,FIYAT!$B:$O,2,FALSE()),"")</f>
        <v>Монтажный расходный материал (кабель, DIN-рейка, кабель-канал, клеммы, маркировка, крепёж)</v>
      </c>
      <c r="F234" s="5">
        <f>IFERROR(VLOOKUP($D234,FIYAT!$B:$O,5,FALSE()),"")</f>
        <v>0</v>
      </c>
      <c r="G234" s="5" t="str">
        <f>IFERROR(VLOOKUP($D234,FIYAT!$B:$O,8,FALSE()),"")</f>
        <v/>
      </c>
      <c r="H234" s="5">
        <f>ROUND(SUM($H$226:$H$233)*KURALLAR!$B$28,0)</f>
        <v>7180</v>
      </c>
      <c r="I234" s="6">
        <v>1</v>
      </c>
      <c r="J234" s="5" t="str">
        <f>IFERROR(VLOOKUP($D234,FIYAT!$B:$O,9,FALSE()),"")</f>
        <v>компл.</v>
      </c>
      <c r="K234" s="5" t="str">
        <f>IFERROR(VLOOKUP($D234,FIYAT!$B:$O,4,FALSE()),"")</f>
        <v>MUADIL-NET</v>
      </c>
      <c r="L234" s="5">
        <f t="shared" si="27"/>
        <v>7180</v>
      </c>
      <c r="M234" s="5"/>
      <c r="N234" s="5"/>
      <c r="O234" s="5"/>
      <c r="P234" s="5" t="str">
        <f>IF($H234="","FIYAT_YOK",IFERROR(VLOOKUP($D234,FIYAT!$B:$P,15,FALSE()),""))</f>
        <v>ORAN</v>
      </c>
      <c r="Q234" s="5" t="s">
        <v>218</v>
      </c>
      <c r="R234" s="5" t="s">
        <v>217</v>
      </c>
      <c r="S234" s="5" t="s">
        <v>550</v>
      </c>
      <c r="T234" s="5"/>
      <c r="U234" s="5">
        <v>0</v>
      </c>
    </row>
    <row r="235" spans="1:21" x14ac:dyDescent="0.25">
      <c r="A235" s="9">
        <v>234</v>
      </c>
      <c r="B235" s="9"/>
      <c r="C235" s="9" t="s">
        <v>227</v>
      </c>
      <c r="D235" s="9" t="s">
        <v>225</v>
      </c>
      <c r="E235" s="9" t="str">
        <f>IFERROR(VLOOKUP($D235,FIYAT!$B:$O,2,FALSE()),"")</f>
        <v>Сборка, кабелирование, маркировка, момент затяжки, испытания</v>
      </c>
      <c r="F235" s="9">
        <f>IFERROR(VLOOKUP($D235,FIYAT!$B:$O,5,FALSE()),"")</f>
        <v>100</v>
      </c>
      <c r="G235" s="9">
        <f>IFERROR(VLOOKUP($D235,FIYAT!$B:$O,8,FALSE()),"")</f>
        <v>100</v>
      </c>
      <c r="H235" s="9">
        <f>IF(OR($G235="",$I235=""),"",$G235*$I235)</f>
        <v>17300</v>
      </c>
      <c r="I235" s="6">
        <f>ROUND(SUM($U$226:$U$234)*KURALLAR!$B$27,0)</f>
        <v>173</v>
      </c>
      <c r="J235" s="9" t="str">
        <f>IFERROR(VLOOKUP($D235,FIYAT!$B:$O,9,FALSE()),"")</f>
        <v>мин</v>
      </c>
      <c r="K235" s="9" t="str">
        <f>IFERROR(VLOOKUP($D235,FIYAT!$B:$O,4,FALSE()),"")</f>
        <v>ISCILIK</v>
      </c>
      <c r="L235" s="9">
        <f t="shared" si="27"/>
        <v>17300</v>
      </c>
      <c r="M235" s="9"/>
      <c r="N235" s="9"/>
      <c r="O235" s="9"/>
      <c r="P235" s="9" t="str">
        <f>IF($H235="","FIYAT_YOK",IFERROR(VLOOKUP($D235,FIYAT!$B:$P,15,FALSE()),""))</f>
        <v>OK</v>
      </c>
      <c r="Q235" s="9" t="str">
        <f>CONCATENATE("montaj+test iscilik: ",TEXT($I235,"# ##0")," dk = ",TEXT($I235/60,"0,00")," saat (norm x test/etiket carpani)")</f>
        <v>montaj+test iscilik:  173 dk = 2,88 saat (norm x test/etiket carpani)</v>
      </c>
      <c r="R235" s="9" t="s">
        <v>229</v>
      </c>
      <c r="S235" s="9" t="s">
        <v>550</v>
      </c>
      <c r="T235" s="9"/>
      <c r="U235" s="9">
        <v>0</v>
      </c>
    </row>
    <row r="236" spans="1:21" x14ac:dyDescent="0.25">
      <c r="A236" s="10">
        <v>235</v>
      </c>
      <c r="B236" s="10" t="s">
        <v>577</v>
      </c>
      <c r="C236" s="10"/>
      <c r="D236" s="10"/>
      <c r="E236" s="10"/>
      <c r="F236" s="10"/>
      <c r="G236" s="10"/>
      <c r="H236" s="10">
        <f>SUBTOTAL(9,H226:H235)</f>
        <v>127058.4</v>
      </c>
      <c r="I236" s="10"/>
      <c r="J236" s="10"/>
      <c r="K236" s="10"/>
      <c r="L236" s="10">
        <f>SUBTOTAL(9,L226:L235)</f>
        <v>127058.4</v>
      </c>
      <c r="M236" s="10"/>
      <c r="N236" s="10"/>
      <c r="O236" s="10"/>
      <c r="P236" s="10"/>
      <c r="Q236" s="10"/>
      <c r="R236" s="10"/>
      <c r="S236" s="10"/>
      <c r="T236" s="10"/>
      <c r="U236" s="10">
        <f>SUBTOTAL(9,U226:U235)</f>
        <v>150</v>
      </c>
    </row>
    <row r="237" spans="1:21" x14ac:dyDescent="0.25">
      <c r="A237" s="8">
        <v>236</v>
      </c>
      <c r="B237" s="8" t="str">
        <f>E237</f>
        <v>BLOK A / 1F-ИБП.2 — НКУ 380/220В 50Гц, FORM 2B, IP31/54</v>
      </c>
      <c r="C237" s="8" t="s">
        <v>545</v>
      </c>
      <c r="D237" s="8"/>
      <c r="E237" s="8" t="s">
        <v>578</v>
      </c>
      <c r="F237" s="8"/>
      <c r="G237" s="8"/>
      <c r="H237" s="8"/>
      <c r="I237" s="8">
        <v>1</v>
      </c>
      <c r="J237" s="8" t="s">
        <v>547</v>
      </c>
      <c r="K237" s="8"/>
      <c r="L237" s="8"/>
      <c r="M237" s="8"/>
      <c r="N237" s="8"/>
      <c r="O237" s="8"/>
      <c r="P237" s="8" t="s">
        <v>178</v>
      </c>
      <c r="Q237" s="8" t="s">
        <v>548</v>
      </c>
      <c r="R237" s="8" t="s">
        <v>549</v>
      </c>
      <c r="S237" s="8" t="s">
        <v>550</v>
      </c>
      <c r="T237" s="8"/>
      <c r="U237" s="8"/>
    </row>
    <row r="238" spans="1:21" x14ac:dyDescent="0.25">
      <c r="A238" s="5">
        <v>237</v>
      </c>
      <c r="B238" s="5"/>
      <c r="C238" s="5" t="s">
        <v>169</v>
      </c>
      <c r="D238" s="5" t="s">
        <v>167</v>
      </c>
      <c r="E238" s="5" t="str">
        <f>IFERROR(VLOOKUP($D238,FIYAT!$B:$O,2,FALSE()),"")</f>
        <v>Авт. выкл. NM8N-125C TM 3P 32А 36кА с рег. термомаг. расцепителем (R)</v>
      </c>
      <c r="F238" s="5">
        <f>IFERROR(VLOOKUP($D238,FIYAT!$B:$O,5,FALSE()),"")</f>
        <v>64667</v>
      </c>
      <c r="G238" s="5">
        <f>IFERROR(VLOOKUP($D238,FIYAT!$B:$O,8,FALSE()),"")</f>
        <v>38800.199999999997</v>
      </c>
      <c r="H238" s="5">
        <f t="shared" ref="H238:H249" si="28">IF(OR($G238="",$I238=""),"",$G238*$I238)</f>
        <v>38800.199999999997</v>
      </c>
      <c r="I238" s="6">
        <v>1</v>
      </c>
      <c r="J238" s="5" t="str">
        <f>IFERROR(VLOOKUP($D238,FIYAT!$B:$O,9,FALSE()),"")</f>
        <v>Шт.</v>
      </c>
      <c r="K238" s="5" t="str">
        <f>IFERROR(VLOOKUP($D238,FIYAT!$B:$O,4,FALSE()),"")</f>
        <v>CHINT</v>
      </c>
      <c r="L238" s="5">
        <f t="shared" ref="L238:L251" si="29">IF($H238="","",$H238)</f>
        <v>38800.199999999997</v>
      </c>
      <c r="M238" s="5"/>
      <c r="N238" s="5"/>
      <c r="O238" s="5"/>
      <c r="P238" s="5" t="str">
        <f>IF($H238="","FIYAT_YOK",IFERROR(VLOOKUP($D238,FIYAT!$B:$P,15,FALSE()),""))</f>
        <v>MUADIL</v>
      </c>
      <c r="Q238" s="5" t="s">
        <v>172</v>
      </c>
      <c r="R238" s="5" t="s">
        <v>171</v>
      </c>
      <c r="S238" s="5" t="s">
        <v>550</v>
      </c>
      <c r="T238" s="5" t="s">
        <v>61</v>
      </c>
      <c r="U238" s="5">
        <f>IFERROR(VLOOKUP($T238,KURALLAR!$A$32:$B$63,2,FALSE()),0)*IF(ISNUMBER($I238),$I238,0)</f>
        <v>15</v>
      </c>
    </row>
    <row r="239" spans="1:21" x14ac:dyDescent="0.25">
      <c r="A239" s="9">
        <v>238</v>
      </c>
      <c r="B239" s="9"/>
      <c r="C239" s="9" t="s">
        <v>176</v>
      </c>
      <c r="D239" s="9" t="s">
        <v>174</v>
      </c>
      <c r="E239" s="9" t="str">
        <f>IFERROR(VLOOKUP($D239,FIYAT!$B:$O,2,FALSE()),"")</f>
        <v>УЗО NL1-63 6kA 4P 63A 300mA тип AC (R)</v>
      </c>
      <c r="F239" s="9">
        <f>IFERROR(VLOOKUP($D239,FIYAT!$B:$O,5,FALSE()),"")</f>
        <v>18106</v>
      </c>
      <c r="G239" s="9">
        <f>IFERROR(VLOOKUP($D239,FIYAT!$B:$O,8,FALSE()),"")</f>
        <v>10863.6</v>
      </c>
      <c r="H239" s="9">
        <f t="shared" si="28"/>
        <v>10863.6</v>
      </c>
      <c r="I239" s="6">
        <v>1</v>
      </c>
      <c r="J239" s="9" t="str">
        <f>IFERROR(VLOOKUP($D239,FIYAT!$B:$O,9,FALSE()),"")</f>
        <v>Шт.</v>
      </c>
      <c r="K239" s="9" t="str">
        <f>IFERROR(VLOOKUP($D239,FIYAT!$B:$O,4,FALSE()),"")</f>
        <v>CHINT</v>
      </c>
      <c r="L239" s="9">
        <f t="shared" si="29"/>
        <v>10863.6</v>
      </c>
      <c r="M239" s="9"/>
      <c r="N239" s="9"/>
      <c r="O239" s="9"/>
      <c r="P239" s="9" t="str">
        <f>IF($H239="","FIYAT_YOK",IFERROR(VLOOKUP($D239,FIYAT!$B:$P,15,FALSE()),""))</f>
        <v>OK</v>
      </c>
      <c r="Q239" s="9" t="s">
        <v>177</v>
      </c>
      <c r="R239" s="9" t="s">
        <v>171</v>
      </c>
      <c r="S239" s="9" t="s">
        <v>550</v>
      </c>
      <c r="T239" s="9" t="s">
        <v>57</v>
      </c>
      <c r="U239" s="9">
        <f>IFERROR(VLOOKUP($T239,KURALLAR!$A$32:$B$63,2,FALSE()),0)*IF(ISNUMBER($I239),$I239,0)</f>
        <v>10</v>
      </c>
    </row>
    <row r="240" spans="1:21" x14ac:dyDescent="0.25">
      <c r="A240" s="5">
        <v>239</v>
      </c>
      <c r="B240" s="5"/>
      <c r="C240" s="5" t="s">
        <v>79</v>
      </c>
      <c r="D240" s="5" t="s">
        <v>179</v>
      </c>
      <c r="E240" s="5" t="str">
        <f>IFERROR(VLOOKUP($D240,FIYAT!$B:$O,2,FALSE()),"")</f>
        <v>Держатель плавкой вставки RT36-00-160, габарит 00, 160А</v>
      </c>
      <c r="F240" s="5">
        <f>IFERROR(VLOOKUP($D240,FIYAT!$B:$O,5,FALSE()),"")</f>
        <v>2038</v>
      </c>
      <c r="G240" s="5">
        <f>IFERROR(VLOOKUP($D240,FIYAT!$B:$O,8,FALSE()),"")</f>
        <v>1222.8</v>
      </c>
      <c r="H240" s="5">
        <f t="shared" si="28"/>
        <v>4891.2</v>
      </c>
      <c r="I240" s="6">
        <v>4</v>
      </c>
      <c r="J240" s="5" t="str">
        <f>IFERROR(VLOOKUP($D240,FIYAT!$B:$O,9,FALSE()),"")</f>
        <v>Шт.</v>
      </c>
      <c r="K240" s="5" t="str">
        <f>IFERROR(VLOOKUP($D240,FIYAT!$B:$O,4,FALSE()),"")</f>
        <v>CHINT</v>
      </c>
      <c r="L240" s="5">
        <f t="shared" si="29"/>
        <v>4891.2</v>
      </c>
      <c r="M240" s="5"/>
      <c r="N240" s="5"/>
      <c r="O240" s="5"/>
      <c r="P240" s="5" t="str">
        <f>IF($H240="","FIYAT_YOK",IFERROR(VLOOKUP($D240,FIYAT!$B:$P,15,FALSE()),""))</f>
        <v>MUADIL</v>
      </c>
      <c r="Q240" s="5" t="s">
        <v>181</v>
      </c>
      <c r="R240" s="5" t="s">
        <v>171</v>
      </c>
      <c r="S240" s="5" t="s">
        <v>550</v>
      </c>
      <c r="T240" s="5" t="s">
        <v>77</v>
      </c>
      <c r="U240" s="5">
        <f>IFERROR(VLOOKUP($T240,KURALLAR!$A$32:$B$63,2,FALSE()),0)*IF(ISNUMBER($I240),$I240,0)</f>
        <v>20</v>
      </c>
    </row>
    <row r="241" spans="1:21" x14ac:dyDescent="0.25">
      <c r="A241" s="9">
        <v>240</v>
      </c>
      <c r="B241" s="9"/>
      <c r="C241" s="9" t="s">
        <v>79</v>
      </c>
      <c r="D241" s="9" t="s">
        <v>182</v>
      </c>
      <c r="E241" s="9" t="str">
        <f>IFERROR(VLOOKUP($D241,FIYAT!$B:$O,2,FALSE()),"")</f>
        <v>Плавкая вставка предохранителя RT36-00-160, габарит 00, 63А</v>
      </c>
      <c r="F241" s="9">
        <f>IFERROR(VLOOKUP($D241,FIYAT!$B:$O,5,FALSE()),"")</f>
        <v>1525</v>
      </c>
      <c r="G241" s="9">
        <f>IFERROR(VLOOKUP($D241,FIYAT!$B:$O,8,FALSE()),"")</f>
        <v>915</v>
      </c>
      <c r="H241" s="9">
        <f t="shared" si="28"/>
        <v>3660</v>
      </c>
      <c r="I241" s="6">
        <v>4</v>
      </c>
      <c r="J241" s="9" t="str">
        <f>IFERROR(VLOOKUP($D241,FIYAT!$B:$O,9,FALSE()),"")</f>
        <v>Шт.</v>
      </c>
      <c r="K241" s="9" t="str">
        <f>IFERROR(VLOOKUP($D241,FIYAT!$B:$O,4,FALSE()),"")</f>
        <v>CHINT</v>
      </c>
      <c r="L241" s="9">
        <f t="shared" si="29"/>
        <v>3660</v>
      </c>
      <c r="M241" s="9"/>
      <c r="N241" s="9"/>
      <c r="O241" s="9"/>
      <c r="P241" s="9" t="str">
        <f>IF($H241="","FIYAT_YOK",IFERROR(VLOOKUP($D241,FIYAT!$B:$P,15,FALSE()),""))</f>
        <v>MUADIL</v>
      </c>
      <c r="Q241" s="9" t="s">
        <v>185</v>
      </c>
      <c r="R241" s="9" t="s">
        <v>184</v>
      </c>
      <c r="S241" s="9" t="s">
        <v>550</v>
      </c>
      <c r="T241" s="9" t="s">
        <v>79</v>
      </c>
      <c r="U241" s="9">
        <f>IFERROR(VLOOKUP($T241,KURALLAR!$A$32:$B$63,2,FALSE()),0)*IF(ISNUMBER($I241),$I241,0)</f>
        <v>12</v>
      </c>
    </row>
    <row r="242" spans="1:21" x14ac:dyDescent="0.25">
      <c r="A242" s="5">
        <v>241</v>
      </c>
      <c r="B242" s="5"/>
      <c r="C242" s="5" t="s">
        <v>75</v>
      </c>
      <c r="D242" s="5" t="s">
        <v>186</v>
      </c>
      <c r="E242" s="5" t="str">
        <f>IFERROR(VLOOKUP($D242,FIYAT!$B:$O,2,FALSE()),"")</f>
        <v>Ограничитель имп. перенапр. NU6-IIG 4Р In=25kA Uc=440B Im=65kA (R)</v>
      </c>
      <c r="F242" s="5">
        <f>IFERROR(VLOOKUP($D242,FIYAT!$B:$O,5,FALSE()),"")</f>
        <v>33208</v>
      </c>
      <c r="G242" s="5">
        <f>IFERROR(VLOOKUP($D242,FIYAT!$B:$O,8,FALSE()),"")</f>
        <v>19924.8</v>
      </c>
      <c r="H242" s="5">
        <f t="shared" si="28"/>
        <v>19924.8</v>
      </c>
      <c r="I242" s="6">
        <v>1</v>
      </c>
      <c r="J242" s="5" t="str">
        <f>IFERROR(VLOOKUP($D242,FIYAT!$B:$O,9,FALSE()),"")</f>
        <v>Шт.</v>
      </c>
      <c r="K242" s="5" t="str">
        <f>IFERROR(VLOOKUP($D242,FIYAT!$B:$O,4,FALSE()),"")</f>
        <v>CHINT</v>
      </c>
      <c r="L242" s="5">
        <f t="shared" si="29"/>
        <v>19924.8</v>
      </c>
      <c r="M242" s="5"/>
      <c r="N242" s="5"/>
      <c r="O242" s="5"/>
      <c r="P242" s="5" t="str">
        <f>IF($H242="","FIYAT_YOK",IFERROR(VLOOKUP($D242,FIYAT!$B:$P,15,FALSE()),""))</f>
        <v>MUADIL_ONAY</v>
      </c>
      <c r="Q242" s="5" t="s">
        <v>188</v>
      </c>
      <c r="R242" s="5" t="s">
        <v>184</v>
      </c>
      <c r="S242" s="5" t="s">
        <v>550</v>
      </c>
      <c r="T242" s="5" t="s">
        <v>75</v>
      </c>
      <c r="U242" s="5">
        <f>IFERROR(VLOOKUP($T242,KURALLAR!$A$32:$B$63,2,FALSE()),0)*IF(ISNUMBER($I242),$I242,0)</f>
        <v>10</v>
      </c>
    </row>
    <row r="243" spans="1:21" x14ac:dyDescent="0.25">
      <c r="A243" s="9">
        <v>242</v>
      </c>
      <c r="B243" s="9"/>
      <c r="C243" s="9" t="s">
        <v>192</v>
      </c>
      <c r="D243" s="9" t="s">
        <v>190</v>
      </c>
      <c r="E243" s="9" t="str">
        <f>IFERROR(VLOOKUP($D243,FIYAT!$B:$O,2,FALSE()),"")</f>
        <v>Авт. выкл. NXB-63 3P 25A 6кА х-ка C (R)</v>
      </c>
      <c r="F243" s="9">
        <f>IFERROR(VLOOKUP($D243,FIYAT!$B:$O,5,FALSE()),"")</f>
        <v>5334</v>
      </c>
      <c r="G243" s="9">
        <f>IFERROR(VLOOKUP($D243,FIYAT!$B:$O,8,FALSE()),"")</f>
        <v>3200.4</v>
      </c>
      <c r="H243" s="9">
        <f t="shared" si="28"/>
        <v>3200.4</v>
      </c>
      <c r="I243" s="6">
        <v>1</v>
      </c>
      <c r="J243" s="9" t="str">
        <f>IFERROR(VLOOKUP($D243,FIYAT!$B:$O,9,FALSE()),"")</f>
        <v>Шт.</v>
      </c>
      <c r="K243" s="9" t="str">
        <f>IFERROR(VLOOKUP($D243,FIYAT!$B:$O,4,FALSE()),"")</f>
        <v>CHINT</v>
      </c>
      <c r="L243" s="9">
        <f t="shared" si="29"/>
        <v>3200.4</v>
      </c>
      <c r="M243" s="9"/>
      <c r="N243" s="9"/>
      <c r="O243" s="9"/>
      <c r="P243" s="9" t="str">
        <f>IF($H243="","FIYAT_YOK",IFERROR(VLOOKUP($D243,FIYAT!$B:$P,15,FALSE()),""))</f>
        <v>OK</v>
      </c>
      <c r="Q243" s="9" t="s">
        <v>193</v>
      </c>
      <c r="R243" s="9" t="s">
        <v>171</v>
      </c>
      <c r="S243" s="9" t="s">
        <v>550</v>
      </c>
      <c r="T243" s="9" t="s">
        <v>51</v>
      </c>
      <c r="U243" s="9">
        <f>IFERROR(VLOOKUP($T243,KURALLAR!$A$32:$B$63,2,FALSE()),0)*IF(ISNUMBER($I243),$I243,0)</f>
        <v>8</v>
      </c>
    </row>
    <row r="244" spans="1:21" x14ac:dyDescent="0.25">
      <c r="A244" s="5">
        <v>243</v>
      </c>
      <c r="B244" s="5"/>
      <c r="C244" s="5" t="s">
        <v>176</v>
      </c>
      <c r="D244" s="5" t="s">
        <v>197</v>
      </c>
      <c r="E244" s="5" t="str">
        <f>IFERROR(VLOOKUP($D244,FIYAT!$B:$O,2,FALSE()),"")</f>
        <v>УЗО NL1-63 6kA 4P 25A 30mA тип AC (R)</v>
      </c>
      <c r="F244" s="5">
        <f>IFERROR(VLOOKUP($D244,FIYAT!$B:$O,5,FALSE()),"")</f>
        <v>18338</v>
      </c>
      <c r="G244" s="5">
        <f>IFERROR(VLOOKUP($D244,FIYAT!$B:$O,8,FALSE()),"")</f>
        <v>11002.8</v>
      </c>
      <c r="H244" s="5">
        <f t="shared" si="28"/>
        <v>11002.8</v>
      </c>
      <c r="I244" s="6">
        <v>1</v>
      </c>
      <c r="J244" s="5" t="str">
        <f>IFERROR(VLOOKUP($D244,FIYAT!$B:$O,9,FALSE()),"")</f>
        <v>Шт.</v>
      </c>
      <c r="K244" s="5" t="str">
        <f>IFERROR(VLOOKUP($D244,FIYAT!$B:$O,4,FALSE()),"")</f>
        <v>CHINT</v>
      </c>
      <c r="L244" s="5">
        <f t="shared" si="29"/>
        <v>11002.8</v>
      </c>
      <c r="M244" s="5"/>
      <c r="N244" s="5"/>
      <c r="O244" s="5"/>
      <c r="P244" s="5" t="str">
        <f>IF($H244="","FIYAT_YOK",IFERROR(VLOOKUP($D244,FIYAT!$B:$P,15,FALSE()),""))</f>
        <v>OK</v>
      </c>
      <c r="Q244" s="5" t="s">
        <v>199</v>
      </c>
      <c r="R244" s="5" t="s">
        <v>171</v>
      </c>
      <c r="S244" s="5" t="s">
        <v>550</v>
      </c>
      <c r="T244" s="5" t="s">
        <v>57</v>
      </c>
      <c r="U244" s="5">
        <f>IFERROR(VLOOKUP($T244,KURALLAR!$A$32:$B$63,2,FALSE()),0)*IF(ISNUMBER($I244),$I244,0)</f>
        <v>10</v>
      </c>
    </row>
    <row r="245" spans="1:21" x14ac:dyDescent="0.25">
      <c r="A245" s="9">
        <v>244</v>
      </c>
      <c r="B245" s="9"/>
      <c r="C245" s="9" t="s">
        <v>192</v>
      </c>
      <c r="D245" s="9" t="s">
        <v>194</v>
      </c>
      <c r="E245" s="9" t="str">
        <f>IFERROR(VLOOKUP($D245,FIYAT!$B:$O,2,FALSE()),"")</f>
        <v>Авт. выкл. NXB-63 1P 16A 6кА х-ка C (R)</v>
      </c>
      <c r="F245" s="9">
        <f>IFERROR(VLOOKUP($D245,FIYAT!$B:$O,5,FALSE()),"")</f>
        <v>1389</v>
      </c>
      <c r="G245" s="9">
        <f>IFERROR(VLOOKUP($D245,FIYAT!$B:$O,8,FALSE()),"")</f>
        <v>833.4</v>
      </c>
      <c r="H245" s="9">
        <f t="shared" si="28"/>
        <v>9167.4</v>
      </c>
      <c r="I245" s="6">
        <v>11</v>
      </c>
      <c r="J245" s="9" t="str">
        <f>IFERROR(VLOOKUP($D245,FIYAT!$B:$O,9,FALSE()),"")</f>
        <v>Шт.</v>
      </c>
      <c r="K245" s="9" t="str">
        <f>IFERROR(VLOOKUP($D245,FIYAT!$B:$O,4,FALSE()),"")</f>
        <v>CHINT</v>
      </c>
      <c r="L245" s="9">
        <f t="shared" si="29"/>
        <v>9167.4</v>
      </c>
      <c r="M245" s="9"/>
      <c r="N245" s="9"/>
      <c r="O245" s="9"/>
      <c r="P245" s="9" t="str">
        <f>IF($H245="","FIYAT_YOK",IFERROR(VLOOKUP($D245,FIYAT!$B:$P,15,FALSE()),""))</f>
        <v>OK</v>
      </c>
      <c r="Q245" s="9" t="s">
        <v>196</v>
      </c>
      <c r="R245" s="9" t="s">
        <v>171</v>
      </c>
      <c r="S245" s="9" t="s">
        <v>550</v>
      </c>
      <c r="T245" s="9" t="s">
        <v>47</v>
      </c>
      <c r="U245" s="9">
        <f>IFERROR(VLOOKUP($T245,KURALLAR!$A$32:$B$63,2,FALSE()),0)*IF(ISNUMBER($I245),$I245,0)</f>
        <v>33</v>
      </c>
    </row>
    <row r="246" spans="1:21" x14ac:dyDescent="0.25">
      <c r="A246" s="5">
        <v>245</v>
      </c>
      <c r="B246" s="5"/>
      <c r="C246" s="5" t="s">
        <v>176</v>
      </c>
      <c r="D246" s="5" t="s">
        <v>200</v>
      </c>
      <c r="E246" s="5" t="str">
        <f>IFERROR(VLOOKUP($D246,FIYAT!$B:$O,2,FALSE()),"")</f>
        <v>УЗО NL1-63 6kA 2P 16A 30mA тип AC (R)</v>
      </c>
      <c r="F246" s="5">
        <f>IFERROR(VLOOKUP($D246,FIYAT!$B:$O,5,FALSE()),"")</f>
        <v>10809</v>
      </c>
      <c r="G246" s="5">
        <f>IFERROR(VLOOKUP($D246,FIYAT!$B:$O,8,FALSE()),"")</f>
        <v>6485.4</v>
      </c>
      <c r="H246" s="5">
        <f t="shared" si="28"/>
        <v>6485.4</v>
      </c>
      <c r="I246" s="6">
        <v>1</v>
      </c>
      <c r="J246" s="5" t="str">
        <f>IFERROR(VLOOKUP($D246,FIYAT!$B:$O,9,FALSE()),"")</f>
        <v>Шт.</v>
      </c>
      <c r="K246" s="5" t="str">
        <f>IFERROR(VLOOKUP($D246,FIYAT!$B:$O,4,FALSE()),"")</f>
        <v>CHINT</v>
      </c>
      <c r="L246" s="5">
        <f t="shared" si="29"/>
        <v>6485.4</v>
      </c>
      <c r="M246" s="5"/>
      <c r="N246" s="5"/>
      <c r="O246" s="5"/>
      <c r="P246" s="5" t="str">
        <f>IF($H246="","FIYAT_YOK",IFERROR(VLOOKUP($D246,FIYAT!$B:$P,15,FALSE()),""))</f>
        <v>OK</v>
      </c>
      <c r="Q246" s="5" t="s">
        <v>202</v>
      </c>
      <c r="R246" s="5" t="s">
        <v>171</v>
      </c>
      <c r="S246" s="5" t="s">
        <v>550</v>
      </c>
      <c r="T246" s="5" t="s">
        <v>55</v>
      </c>
      <c r="U246" s="5">
        <f>IFERROR(VLOOKUP($T246,KURALLAR!$A$32:$B$63,2,FALSE()),0)*IF(ISNUMBER($I246),$I246,0)</f>
        <v>6</v>
      </c>
    </row>
    <row r="247" spans="1:21" x14ac:dyDescent="0.25">
      <c r="A247" s="9">
        <v>246</v>
      </c>
      <c r="B247" s="9"/>
      <c r="C247" s="9" t="s">
        <v>192</v>
      </c>
      <c r="D247" s="9" t="s">
        <v>206</v>
      </c>
      <c r="E247" s="9" t="str">
        <f>IFERROR(VLOOKUP($D247,FIYAT!$B:$O,2,FALSE()),"")</f>
        <v>Авт. выкл. NXB-63 1P 10A 6кА х-ка C (R)</v>
      </c>
      <c r="F247" s="9">
        <f>IFERROR(VLOOKUP($D247,FIYAT!$B:$O,5,FALSE()),"")</f>
        <v>1362</v>
      </c>
      <c r="G247" s="9">
        <f>IFERROR(VLOOKUP($D247,FIYAT!$B:$O,8,FALSE()),"")</f>
        <v>817.19999999999993</v>
      </c>
      <c r="H247" s="9">
        <f t="shared" si="28"/>
        <v>4903.2</v>
      </c>
      <c r="I247" s="6">
        <v>6</v>
      </c>
      <c r="J247" s="9" t="str">
        <f>IFERROR(VLOOKUP($D247,FIYAT!$B:$O,9,FALSE()),"")</f>
        <v>Шт.</v>
      </c>
      <c r="K247" s="9" t="str">
        <f>IFERROR(VLOOKUP($D247,FIYAT!$B:$O,4,FALSE()),"")</f>
        <v>CHINT</v>
      </c>
      <c r="L247" s="9">
        <f t="shared" si="29"/>
        <v>4903.2</v>
      </c>
      <c r="M247" s="9"/>
      <c r="N247" s="9"/>
      <c r="O247" s="9"/>
      <c r="P247" s="9" t="str">
        <f>IF($H247="","FIYAT_YOK",IFERROR(VLOOKUP($D247,FIYAT!$B:$P,15,FALSE()),""))</f>
        <v>OK</v>
      </c>
      <c r="Q247" s="9" t="s">
        <v>208</v>
      </c>
      <c r="R247" s="9" t="s">
        <v>184</v>
      </c>
      <c r="S247" s="9" t="s">
        <v>550</v>
      </c>
      <c r="T247" s="9" t="s">
        <v>47</v>
      </c>
      <c r="U247" s="9">
        <f>IFERROR(VLOOKUP($T247,KURALLAR!$A$32:$B$63,2,FALSE()),0)*IF(ISNUMBER($I247),$I247,0)</f>
        <v>18</v>
      </c>
    </row>
    <row r="248" spans="1:21" x14ac:dyDescent="0.25">
      <c r="A248" s="5">
        <v>247</v>
      </c>
      <c r="B248" s="5"/>
      <c r="C248" s="5" t="s">
        <v>93</v>
      </c>
      <c r="D248" s="5" t="s">
        <v>209</v>
      </c>
      <c r="E248" s="5" t="str">
        <f>IFERROR(VLOOKUP($D248,FIYAT!$B:$O,2,FALSE()),"")</f>
        <v>Шина "N" нулевая 6х9мм на DIN-рейку в корпусном изоляторе ШНИ 12К IEK (10)</v>
      </c>
      <c r="F248" s="5">
        <f>IFERROR(VLOOKUP($D248,FIYAT!$B:$O,5,FALSE()),"")</f>
        <v>755</v>
      </c>
      <c r="G248" s="5">
        <f>IFERROR(VLOOKUP($D248,FIYAT!$B:$O,8,FALSE()),"")</f>
        <v>453</v>
      </c>
      <c r="H248" s="5">
        <f t="shared" si="28"/>
        <v>1812</v>
      </c>
      <c r="I248" s="6">
        <v>4</v>
      </c>
      <c r="J248" s="5" t="str">
        <f>IFERROR(VLOOKUP($D248,FIYAT!$B:$O,9,FALSE()),"")</f>
        <v>Шт.</v>
      </c>
      <c r="K248" s="5" t="str">
        <f>IFERROR(VLOOKUP($D248,FIYAT!$B:$O,4,FALSE()),"")</f>
        <v>KAZTEK</v>
      </c>
      <c r="L248" s="5">
        <f t="shared" si="29"/>
        <v>1812</v>
      </c>
      <c r="M248" s="5"/>
      <c r="N248" s="5"/>
      <c r="O248" s="5"/>
      <c r="P248" s="5" t="str">
        <f>IF($H248="","FIYAT_YOK",IFERROR(VLOOKUP($D248,FIYAT!$B:$P,15,FALSE()),""))</f>
        <v>MUADIL</v>
      </c>
      <c r="Q248" s="5" t="s">
        <v>212</v>
      </c>
      <c r="R248" s="5" t="s">
        <v>211</v>
      </c>
      <c r="S248" s="5" t="s">
        <v>550</v>
      </c>
      <c r="T248" s="5" t="s">
        <v>93</v>
      </c>
      <c r="U248" s="5">
        <f>IFERROR(VLOOKUP($T248,KURALLAR!$A$32:$B$63,2,FALSE()),0)*IF(ISNUMBER($I248),$I248,0)</f>
        <v>32</v>
      </c>
    </row>
    <row r="249" spans="1:21" x14ac:dyDescent="0.25">
      <c r="A249" s="9">
        <v>248</v>
      </c>
      <c r="B249" s="9"/>
      <c r="C249" s="9" t="s">
        <v>222</v>
      </c>
      <c r="D249" s="9" t="s">
        <v>310</v>
      </c>
      <c r="E249" s="9" t="str">
        <f>IFERROR(VLOOKUP($D249,FIYAT!$B:$O,2,FALSE()),"")</f>
        <v>Мет.Корпус ЩМП-4 (800x650x250) IP54</v>
      </c>
      <c r="F249" s="9">
        <f>IFERROR(VLOOKUP($D249,FIYAT!$B:$O,5,FALSE()),"")</f>
        <v>30540</v>
      </c>
      <c r="G249" s="9">
        <f>IFERROR(VLOOKUP($D249,FIYAT!$B:$O,8,FALSE()),"")</f>
        <v>18324</v>
      </c>
      <c r="H249" s="9">
        <f t="shared" si="28"/>
        <v>18324</v>
      </c>
      <c r="I249" s="6">
        <v>1</v>
      </c>
      <c r="J249" s="9" t="str">
        <f>IFERROR(VLOOKUP($D249,FIYAT!$B:$O,9,FALSE()),"")</f>
        <v>Шт.</v>
      </c>
      <c r="K249" s="9" t="str">
        <f>IFERROR(VLOOKUP($D249,FIYAT!$B:$O,4,FALSE()),"")</f>
        <v>KAZTEK</v>
      </c>
      <c r="L249" s="9">
        <f t="shared" si="29"/>
        <v>18324</v>
      </c>
      <c r="M249" s="9"/>
      <c r="N249" s="9"/>
      <c r="O249" s="9"/>
      <c r="P249" s="9" t="str">
        <f>IF($H249="","FIYAT_YOK",IFERROR(VLOOKUP($D249,FIYAT!$B:$P,15,FALSE()),""))</f>
        <v>VARSAYIM</v>
      </c>
      <c r="Q249" s="9" t="s">
        <v>312</v>
      </c>
      <c r="R249" s="9" t="s">
        <v>211</v>
      </c>
      <c r="S249" s="9" t="s">
        <v>550</v>
      </c>
      <c r="T249" s="9" t="s">
        <v>105</v>
      </c>
      <c r="U249" s="9">
        <f>IFERROR(VLOOKUP($T249,KURALLAR!$A$32:$B$63,2,FALSE()),0)*IF(ISNUMBER($I249),$I249,0)</f>
        <v>30</v>
      </c>
    </row>
    <row r="250" spans="1:21" x14ac:dyDescent="0.25">
      <c r="A250" s="5">
        <v>249</v>
      </c>
      <c r="B250" s="5"/>
      <c r="C250" s="5" t="s">
        <v>215</v>
      </c>
      <c r="D250" s="5" t="s">
        <v>213</v>
      </c>
      <c r="E250" s="5" t="str">
        <f>IFERROR(VLOOKUP($D250,FIYAT!$B:$O,2,FALSE()),"")</f>
        <v>Монтажный расходный материал (кабель, DIN-рейка, кабель-канал, клеммы, маркировка, крепёж)</v>
      </c>
      <c r="F250" s="5">
        <f>IFERROR(VLOOKUP($D250,FIYAT!$B:$O,5,FALSE()),"")</f>
        <v>0</v>
      </c>
      <c r="G250" s="5" t="str">
        <f>IFERROR(VLOOKUP($D250,FIYAT!$B:$O,8,FALSE()),"")</f>
        <v/>
      </c>
      <c r="H250" s="5">
        <f>ROUND(SUM($H$238:$H$249)*KURALLAR!$B$28,0)</f>
        <v>9312</v>
      </c>
      <c r="I250" s="6">
        <v>1</v>
      </c>
      <c r="J250" s="5" t="str">
        <f>IFERROR(VLOOKUP($D250,FIYAT!$B:$O,9,FALSE()),"")</f>
        <v>компл.</v>
      </c>
      <c r="K250" s="5" t="str">
        <f>IFERROR(VLOOKUP($D250,FIYAT!$B:$O,4,FALSE()),"")</f>
        <v>MUADIL-NET</v>
      </c>
      <c r="L250" s="5">
        <f t="shared" si="29"/>
        <v>9312</v>
      </c>
      <c r="M250" s="5"/>
      <c r="N250" s="5"/>
      <c r="O250" s="5"/>
      <c r="P250" s="5" t="str">
        <f>IF($H250="","FIYAT_YOK",IFERROR(VLOOKUP($D250,FIYAT!$B:$P,15,FALSE()),""))</f>
        <v>ORAN</v>
      </c>
      <c r="Q250" s="5" t="s">
        <v>218</v>
      </c>
      <c r="R250" s="5" t="s">
        <v>217</v>
      </c>
      <c r="S250" s="5" t="s">
        <v>550</v>
      </c>
      <c r="T250" s="5"/>
      <c r="U250" s="5">
        <v>0</v>
      </c>
    </row>
    <row r="251" spans="1:21" x14ac:dyDescent="0.25">
      <c r="A251" s="9">
        <v>250</v>
      </c>
      <c r="B251" s="9"/>
      <c r="C251" s="9" t="s">
        <v>227</v>
      </c>
      <c r="D251" s="9" t="s">
        <v>225</v>
      </c>
      <c r="E251" s="9" t="str">
        <f>IFERROR(VLOOKUP($D251,FIYAT!$B:$O,2,FALSE()),"")</f>
        <v>Сборка, кабелирование, маркировка, момент затяжки, испытания</v>
      </c>
      <c r="F251" s="9">
        <f>IFERROR(VLOOKUP($D251,FIYAT!$B:$O,5,FALSE()),"")</f>
        <v>100</v>
      </c>
      <c r="G251" s="9">
        <f>IFERROR(VLOOKUP($D251,FIYAT!$B:$O,8,FALSE()),"")</f>
        <v>100</v>
      </c>
      <c r="H251" s="9">
        <f>IF(OR($G251="",$I251=""),"",$G251*$I251)</f>
        <v>23500</v>
      </c>
      <c r="I251" s="6">
        <f>ROUND(SUM($U$238:$U$250)*KURALLAR!$B$27,0)</f>
        <v>235</v>
      </c>
      <c r="J251" s="9" t="str">
        <f>IFERROR(VLOOKUP($D251,FIYAT!$B:$O,9,FALSE()),"")</f>
        <v>мин</v>
      </c>
      <c r="K251" s="9" t="str">
        <f>IFERROR(VLOOKUP($D251,FIYAT!$B:$O,4,FALSE()),"")</f>
        <v>ISCILIK</v>
      </c>
      <c r="L251" s="9">
        <f t="shared" si="29"/>
        <v>23500</v>
      </c>
      <c r="M251" s="9"/>
      <c r="N251" s="9"/>
      <c r="O251" s="9"/>
      <c r="P251" s="9" t="str">
        <f>IF($H251="","FIYAT_YOK",IFERROR(VLOOKUP($D251,FIYAT!$B:$P,15,FALSE()),""))</f>
        <v>OK</v>
      </c>
      <c r="Q251" s="9" t="str">
        <f>CONCATENATE("montaj+test iscilik: ",TEXT($I251,"# ##0")," dk = ",TEXT($I251/60,"0,00")," saat (norm x test/etiket carpani)")</f>
        <v>montaj+test iscilik:  235 dk = 3,92 saat (norm x test/etiket carpani)</v>
      </c>
      <c r="R251" s="9" t="s">
        <v>229</v>
      </c>
      <c r="S251" s="9" t="s">
        <v>550</v>
      </c>
      <c r="T251" s="9"/>
      <c r="U251" s="9">
        <v>0</v>
      </c>
    </row>
    <row r="252" spans="1:21" x14ac:dyDescent="0.25">
      <c r="A252" s="10">
        <v>251</v>
      </c>
      <c r="B252" s="10" t="s">
        <v>579</v>
      </c>
      <c r="C252" s="10"/>
      <c r="D252" s="10"/>
      <c r="E252" s="10"/>
      <c r="F252" s="10"/>
      <c r="G252" s="10"/>
      <c r="H252" s="10">
        <f>SUBTOTAL(9,H238:H251)</f>
        <v>165846.99999999997</v>
      </c>
      <c r="I252" s="10"/>
      <c r="J252" s="10"/>
      <c r="K252" s="10"/>
      <c r="L252" s="10">
        <f>SUBTOTAL(9,L238:L251)</f>
        <v>165846.99999999997</v>
      </c>
      <c r="M252" s="10"/>
      <c r="N252" s="10"/>
      <c r="O252" s="10"/>
      <c r="P252" s="10"/>
      <c r="Q252" s="10"/>
      <c r="R252" s="10"/>
      <c r="S252" s="10"/>
      <c r="T252" s="10"/>
      <c r="U252" s="10">
        <f>SUBTOTAL(9,U238:U251)</f>
        <v>204</v>
      </c>
    </row>
    <row r="253" spans="1:21" x14ac:dyDescent="0.25">
      <c r="A253" s="8">
        <v>252</v>
      </c>
      <c r="B253" s="8" t="str">
        <f>E253</f>
        <v>BLOK A / 6F-ЩС.1 — НКУ 380/220В 50Гц, FORM 2B, IP31/54</v>
      </c>
      <c r="C253" s="8" t="s">
        <v>545</v>
      </c>
      <c r="D253" s="8"/>
      <c r="E253" s="8" t="s">
        <v>580</v>
      </c>
      <c r="F253" s="8"/>
      <c r="G253" s="8"/>
      <c r="H253" s="8"/>
      <c r="I253" s="8">
        <v>1</v>
      </c>
      <c r="J253" s="8" t="s">
        <v>547</v>
      </c>
      <c r="K253" s="8"/>
      <c r="L253" s="8"/>
      <c r="M253" s="8"/>
      <c r="N253" s="8"/>
      <c r="O253" s="8"/>
      <c r="P253" s="8" t="s">
        <v>178</v>
      </c>
      <c r="Q253" s="8" t="s">
        <v>548</v>
      </c>
      <c r="R253" s="8" t="s">
        <v>549</v>
      </c>
      <c r="S253" s="8" t="s">
        <v>550</v>
      </c>
      <c r="T253" s="8"/>
      <c r="U253" s="8"/>
    </row>
    <row r="254" spans="1:21" x14ac:dyDescent="0.25">
      <c r="A254" s="5">
        <v>253</v>
      </c>
      <c r="B254" s="5"/>
      <c r="C254" s="5" t="s">
        <v>169</v>
      </c>
      <c r="D254" s="5" t="s">
        <v>167</v>
      </c>
      <c r="E254" s="5" t="str">
        <f>IFERROR(VLOOKUP($D254,FIYAT!$B:$O,2,FALSE()),"")</f>
        <v>Авт. выкл. NM8N-125C TM 3P 32А 36кА с рег. термомаг. расцепителем (R)</v>
      </c>
      <c r="F254" s="5">
        <f>IFERROR(VLOOKUP($D254,FIYAT!$B:$O,5,FALSE()),"")</f>
        <v>64667</v>
      </c>
      <c r="G254" s="5">
        <f>IFERROR(VLOOKUP($D254,FIYAT!$B:$O,8,FALSE()),"")</f>
        <v>38800.199999999997</v>
      </c>
      <c r="H254" s="5">
        <f t="shared" ref="H254:H265" si="30">IF(OR($G254="",$I254=""),"",$G254*$I254)</f>
        <v>38800.199999999997</v>
      </c>
      <c r="I254" s="6">
        <v>1</v>
      </c>
      <c r="J254" s="5" t="str">
        <f>IFERROR(VLOOKUP($D254,FIYAT!$B:$O,9,FALSE()),"")</f>
        <v>Шт.</v>
      </c>
      <c r="K254" s="5" t="str">
        <f>IFERROR(VLOOKUP($D254,FIYAT!$B:$O,4,FALSE()),"")</f>
        <v>CHINT</v>
      </c>
      <c r="L254" s="5">
        <f t="shared" ref="L254:L267" si="31">IF($H254="","",$H254)</f>
        <v>38800.199999999997</v>
      </c>
      <c r="M254" s="5"/>
      <c r="N254" s="5"/>
      <c r="O254" s="5"/>
      <c r="P254" s="5" t="str">
        <f>IF($H254="","FIYAT_YOK",IFERROR(VLOOKUP($D254,FIYAT!$B:$P,15,FALSE()),""))</f>
        <v>MUADIL</v>
      </c>
      <c r="Q254" s="5" t="s">
        <v>172</v>
      </c>
      <c r="R254" s="5" t="s">
        <v>171</v>
      </c>
      <c r="S254" s="5" t="s">
        <v>550</v>
      </c>
      <c r="T254" s="5" t="s">
        <v>61</v>
      </c>
      <c r="U254" s="5">
        <f>IFERROR(VLOOKUP($T254,KURALLAR!$A$32:$B$63,2,FALSE()),0)*IF(ISNUMBER($I254),$I254,0)</f>
        <v>15</v>
      </c>
    </row>
    <row r="255" spans="1:21" x14ac:dyDescent="0.25">
      <c r="A255" s="9">
        <v>254</v>
      </c>
      <c r="B255" s="9"/>
      <c r="C255" s="9" t="s">
        <v>176</v>
      </c>
      <c r="D255" s="9" t="s">
        <v>174</v>
      </c>
      <c r="E255" s="9" t="str">
        <f>IFERROR(VLOOKUP($D255,FIYAT!$B:$O,2,FALSE()),"")</f>
        <v>УЗО NL1-63 6kA 4P 63A 300mA тип AC (R)</v>
      </c>
      <c r="F255" s="9">
        <f>IFERROR(VLOOKUP($D255,FIYAT!$B:$O,5,FALSE()),"")</f>
        <v>18106</v>
      </c>
      <c r="G255" s="9">
        <f>IFERROR(VLOOKUP($D255,FIYAT!$B:$O,8,FALSE()),"")</f>
        <v>10863.6</v>
      </c>
      <c r="H255" s="9">
        <f t="shared" si="30"/>
        <v>10863.6</v>
      </c>
      <c r="I255" s="6">
        <v>1</v>
      </c>
      <c r="J255" s="9" t="str">
        <f>IFERROR(VLOOKUP($D255,FIYAT!$B:$O,9,FALSE()),"")</f>
        <v>Шт.</v>
      </c>
      <c r="K255" s="9" t="str">
        <f>IFERROR(VLOOKUP($D255,FIYAT!$B:$O,4,FALSE()),"")</f>
        <v>CHINT</v>
      </c>
      <c r="L255" s="9">
        <f t="shared" si="31"/>
        <v>10863.6</v>
      </c>
      <c r="M255" s="9"/>
      <c r="N255" s="9"/>
      <c r="O255" s="9"/>
      <c r="P255" s="9" t="str">
        <f>IF($H255="","FIYAT_YOK",IFERROR(VLOOKUP($D255,FIYAT!$B:$P,15,FALSE()),""))</f>
        <v>OK</v>
      </c>
      <c r="Q255" s="9" t="s">
        <v>177</v>
      </c>
      <c r="R255" s="9" t="s">
        <v>171</v>
      </c>
      <c r="S255" s="9" t="s">
        <v>550</v>
      </c>
      <c r="T255" s="9" t="s">
        <v>57</v>
      </c>
      <c r="U255" s="9">
        <f>IFERROR(VLOOKUP($T255,KURALLAR!$A$32:$B$63,2,FALSE()),0)*IF(ISNUMBER($I255),$I255,0)</f>
        <v>10</v>
      </c>
    </row>
    <row r="256" spans="1:21" x14ac:dyDescent="0.25">
      <c r="A256" s="5">
        <v>255</v>
      </c>
      <c r="B256" s="5"/>
      <c r="C256" s="5" t="s">
        <v>79</v>
      </c>
      <c r="D256" s="5" t="s">
        <v>179</v>
      </c>
      <c r="E256" s="5" t="str">
        <f>IFERROR(VLOOKUP($D256,FIYAT!$B:$O,2,FALSE()),"")</f>
        <v>Держатель плавкой вставки RT36-00-160, габарит 00, 160А</v>
      </c>
      <c r="F256" s="5">
        <f>IFERROR(VLOOKUP($D256,FIYAT!$B:$O,5,FALSE()),"")</f>
        <v>2038</v>
      </c>
      <c r="G256" s="5">
        <f>IFERROR(VLOOKUP($D256,FIYAT!$B:$O,8,FALSE()),"")</f>
        <v>1222.8</v>
      </c>
      <c r="H256" s="5">
        <f t="shared" si="30"/>
        <v>4891.2</v>
      </c>
      <c r="I256" s="6">
        <v>4</v>
      </c>
      <c r="J256" s="5" t="str">
        <f>IFERROR(VLOOKUP($D256,FIYAT!$B:$O,9,FALSE()),"")</f>
        <v>Шт.</v>
      </c>
      <c r="K256" s="5" t="str">
        <f>IFERROR(VLOOKUP($D256,FIYAT!$B:$O,4,FALSE()),"")</f>
        <v>CHINT</v>
      </c>
      <c r="L256" s="5">
        <f t="shared" si="31"/>
        <v>4891.2</v>
      </c>
      <c r="M256" s="5"/>
      <c r="N256" s="5"/>
      <c r="O256" s="5"/>
      <c r="P256" s="5" t="str">
        <f>IF($H256="","FIYAT_YOK",IFERROR(VLOOKUP($D256,FIYAT!$B:$P,15,FALSE()),""))</f>
        <v>MUADIL</v>
      </c>
      <c r="Q256" s="5" t="s">
        <v>181</v>
      </c>
      <c r="R256" s="5" t="s">
        <v>171</v>
      </c>
      <c r="S256" s="5" t="s">
        <v>550</v>
      </c>
      <c r="T256" s="5" t="s">
        <v>77</v>
      </c>
      <c r="U256" s="5">
        <f>IFERROR(VLOOKUP($T256,KURALLAR!$A$32:$B$63,2,FALSE()),0)*IF(ISNUMBER($I256),$I256,0)</f>
        <v>20</v>
      </c>
    </row>
    <row r="257" spans="1:21" x14ac:dyDescent="0.25">
      <c r="A257" s="9">
        <v>256</v>
      </c>
      <c r="B257" s="9"/>
      <c r="C257" s="9" t="s">
        <v>79</v>
      </c>
      <c r="D257" s="9" t="s">
        <v>182</v>
      </c>
      <c r="E257" s="9" t="str">
        <f>IFERROR(VLOOKUP($D257,FIYAT!$B:$O,2,FALSE()),"")</f>
        <v>Плавкая вставка предохранителя RT36-00-160, габарит 00, 63А</v>
      </c>
      <c r="F257" s="9">
        <f>IFERROR(VLOOKUP($D257,FIYAT!$B:$O,5,FALSE()),"")</f>
        <v>1525</v>
      </c>
      <c r="G257" s="9">
        <f>IFERROR(VLOOKUP($D257,FIYAT!$B:$O,8,FALSE()),"")</f>
        <v>915</v>
      </c>
      <c r="H257" s="9">
        <f t="shared" si="30"/>
        <v>3660</v>
      </c>
      <c r="I257" s="6">
        <v>4</v>
      </c>
      <c r="J257" s="9" t="str">
        <f>IFERROR(VLOOKUP($D257,FIYAT!$B:$O,9,FALSE()),"")</f>
        <v>Шт.</v>
      </c>
      <c r="K257" s="9" t="str">
        <f>IFERROR(VLOOKUP($D257,FIYAT!$B:$O,4,FALSE()),"")</f>
        <v>CHINT</v>
      </c>
      <c r="L257" s="9">
        <f t="shared" si="31"/>
        <v>3660</v>
      </c>
      <c r="M257" s="9"/>
      <c r="N257" s="9"/>
      <c r="O257" s="9"/>
      <c r="P257" s="9" t="str">
        <f>IF($H257="","FIYAT_YOK",IFERROR(VLOOKUP($D257,FIYAT!$B:$P,15,FALSE()),""))</f>
        <v>MUADIL</v>
      </c>
      <c r="Q257" s="9" t="s">
        <v>185</v>
      </c>
      <c r="R257" s="9" t="s">
        <v>184</v>
      </c>
      <c r="S257" s="9" t="s">
        <v>550</v>
      </c>
      <c r="T257" s="9" t="s">
        <v>79</v>
      </c>
      <c r="U257" s="9">
        <f>IFERROR(VLOOKUP($T257,KURALLAR!$A$32:$B$63,2,FALSE()),0)*IF(ISNUMBER($I257),$I257,0)</f>
        <v>12</v>
      </c>
    </row>
    <row r="258" spans="1:21" x14ac:dyDescent="0.25">
      <c r="A258" s="5">
        <v>257</v>
      </c>
      <c r="B258" s="5"/>
      <c r="C258" s="5" t="s">
        <v>75</v>
      </c>
      <c r="D258" s="5" t="s">
        <v>186</v>
      </c>
      <c r="E258" s="5" t="str">
        <f>IFERROR(VLOOKUP($D258,FIYAT!$B:$O,2,FALSE()),"")</f>
        <v>Ограничитель имп. перенапр. NU6-IIG 4Р In=25kA Uc=440B Im=65kA (R)</v>
      </c>
      <c r="F258" s="5">
        <f>IFERROR(VLOOKUP($D258,FIYAT!$B:$O,5,FALSE()),"")</f>
        <v>33208</v>
      </c>
      <c r="G258" s="5">
        <f>IFERROR(VLOOKUP($D258,FIYAT!$B:$O,8,FALSE()),"")</f>
        <v>19924.8</v>
      </c>
      <c r="H258" s="5">
        <f t="shared" si="30"/>
        <v>19924.8</v>
      </c>
      <c r="I258" s="6">
        <v>1</v>
      </c>
      <c r="J258" s="5" t="str">
        <f>IFERROR(VLOOKUP($D258,FIYAT!$B:$O,9,FALSE()),"")</f>
        <v>Шт.</v>
      </c>
      <c r="K258" s="5" t="str">
        <f>IFERROR(VLOOKUP($D258,FIYAT!$B:$O,4,FALSE()),"")</f>
        <v>CHINT</v>
      </c>
      <c r="L258" s="5">
        <f t="shared" si="31"/>
        <v>19924.8</v>
      </c>
      <c r="M258" s="5"/>
      <c r="N258" s="5"/>
      <c r="O258" s="5"/>
      <c r="P258" s="5" t="str">
        <f>IF($H258="","FIYAT_YOK",IFERROR(VLOOKUP($D258,FIYAT!$B:$P,15,FALSE()),""))</f>
        <v>MUADIL_ONAY</v>
      </c>
      <c r="Q258" s="5" t="s">
        <v>188</v>
      </c>
      <c r="R258" s="5" t="s">
        <v>184</v>
      </c>
      <c r="S258" s="5" t="s">
        <v>550</v>
      </c>
      <c r="T258" s="5" t="s">
        <v>75</v>
      </c>
      <c r="U258" s="5">
        <f>IFERROR(VLOOKUP($T258,KURALLAR!$A$32:$B$63,2,FALSE()),0)*IF(ISNUMBER($I258),$I258,0)</f>
        <v>10</v>
      </c>
    </row>
    <row r="259" spans="1:21" x14ac:dyDescent="0.25">
      <c r="A259" s="9">
        <v>258</v>
      </c>
      <c r="B259" s="9"/>
      <c r="C259" s="9" t="s">
        <v>192</v>
      </c>
      <c r="D259" s="9" t="s">
        <v>321</v>
      </c>
      <c r="E259" s="9" t="str">
        <f>IFERROR(VLOOKUP($D259,FIYAT!$B:$O,2,FALSE()),"")</f>
        <v>Авт. выкл. NXB-63 1P 25A 6кА х-ка C (R)</v>
      </c>
      <c r="F259" s="9">
        <f>IFERROR(VLOOKUP($D259,FIYAT!$B:$O,5,FALSE()),"")</f>
        <v>1330</v>
      </c>
      <c r="G259" s="9">
        <f>IFERROR(VLOOKUP($D259,FIYAT!$B:$O,8,FALSE()),"")</f>
        <v>798</v>
      </c>
      <c r="H259" s="9">
        <f t="shared" si="30"/>
        <v>798</v>
      </c>
      <c r="I259" s="6">
        <v>1</v>
      </c>
      <c r="J259" s="9" t="str">
        <f>IFERROR(VLOOKUP($D259,FIYAT!$B:$O,9,FALSE()),"")</f>
        <v>Шт.</v>
      </c>
      <c r="K259" s="9" t="str">
        <f>IFERROR(VLOOKUP($D259,FIYAT!$B:$O,4,FALSE()),"")</f>
        <v>CHINT</v>
      </c>
      <c r="L259" s="9">
        <f t="shared" si="31"/>
        <v>798</v>
      </c>
      <c r="M259" s="9"/>
      <c r="N259" s="9"/>
      <c r="O259" s="9"/>
      <c r="P259" s="9" t="str">
        <f>IF($H259="","FIYAT_YOK",IFERROR(VLOOKUP($D259,FIYAT!$B:$P,15,FALSE()),""))</f>
        <v>OK</v>
      </c>
      <c r="Q259" s="9" t="s">
        <v>323</v>
      </c>
      <c r="R259" s="9" t="s">
        <v>171</v>
      </c>
      <c r="S259" s="9" t="s">
        <v>550</v>
      </c>
      <c r="T259" s="9" t="s">
        <v>47</v>
      </c>
      <c r="U259" s="9">
        <f>IFERROR(VLOOKUP($T259,KURALLAR!$A$32:$B$63,2,FALSE()),0)*IF(ISNUMBER($I259),$I259,0)</f>
        <v>3</v>
      </c>
    </row>
    <row r="260" spans="1:21" x14ac:dyDescent="0.25">
      <c r="A260" s="5">
        <v>259</v>
      </c>
      <c r="B260" s="5"/>
      <c r="C260" s="5" t="s">
        <v>176</v>
      </c>
      <c r="D260" s="5" t="s">
        <v>324</v>
      </c>
      <c r="E260" s="5" t="str">
        <f>IFERROR(VLOOKUP($D260,FIYAT!$B:$O,2,FALSE()),"")</f>
        <v>УЗО NL1-63 6kA 2P 25A 30mA тип AC (R)</v>
      </c>
      <c r="F260" s="5">
        <f>IFERROR(VLOOKUP($D260,FIYAT!$B:$O,5,FALSE()),"")</f>
        <v>10809</v>
      </c>
      <c r="G260" s="5">
        <f>IFERROR(VLOOKUP($D260,FIYAT!$B:$O,8,FALSE()),"")</f>
        <v>6485.4</v>
      </c>
      <c r="H260" s="5">
        <f t="shared" si="30"/>
        <v>6485.4</v>
      </c>
      <c r="I260" s="6">
        <v>1</v>
      </c>
      <c r="J260" s="5" t="str">
        <f>IFERROR(VLOOKUP($D260,FIYAT!$B:$O,9,FALSE()),"")</f>
        <v>Шт.</v>
      </c>
      <c r="K260" s="5" t="str">
        <f>IFERROR(VLOOKUP($D260,FIYAT!$B:$O,4,FALSE()),"")</f>
        <v>CHINT</v>
      </c>
      <c r="L260" s="5">
        <f t="shared" si="31"/>
        <v>6485.4</v>
      </c>
      <c r="M260" s="5"/>
      <c r="N260" s="5"/>
      <c r="O260" s="5"/>
      <c r="P260" s="5" t="str">
        <f>IF($H260="","FIYAT_YOK",IFERROR(VLOOKUP($D260,FIYAT!$B:$P,15,FALSE()),""))</f>
        <v>OK</v>
      </c>
      <c r="Q260" s="5" t="s">
        <v>326</v>
      </c>
      <c r="R260" s="5" t="s">
        <v>171</v>
      </c>
      <c r="S260" s="5" t="s">
        <v>550</v>
      </c>
      <c r="T260" s="5" t="s">
        <v>55</v>
      </c>
      <c r="U260" s="5">
        <f>IFERROR(VLOOKUP($T260,KURALLAR!$A$32:$B$63,2,FALSE()),0)*IF(ISNUMBER($I260),$I260,0)</f>
        <v>6</v>
      </c>
    </row>
    <row r="261" spans="1:21" x14ac:dyDescent="0.25">
      <c r="A261" s="9">
        <v>260</v>
      </c>
      <c r="B261" s="9"/>
      <c r="C261" s="9" t="s">
        <v>192</v>
      </c>
      <c r="D261" s="9" t="s">
        <v>194</v>
      </c>
      <c r="E261" s="9" t="str">
        <f>IFERROR(VLOOKUP($D261,FIYAT!$B:$O,2,FALSE()),"")</f>
        <v>Авт. выкл. NXB-63 1P 16A 6кА х-ка C (R)</v>
      </c>
      <c r="F261" s="9">
        <f>IFERROR(VLOOKUP($D261,FIYAT!$B:$O,5,FALSE()),"")</f>
        <v>1389</v>
      </c>
      <c r="G261" s="9">
        <f>IFERROR(VLOOKUP($D261,FIYAT!$B:$O,8,FALSE()),"")</f>
        <v>833.4</v>
      </c>
      <c r="H261" s="9">
        <f t="shared" si="30"/>
        <v>6667.2</v>
      </c>
      <c r="I261" s="6">
        <v>8</v>
      </c>
      <c r="J261" s="9" t="str">
        <f>IFERROR(VLOOKUP($D261,FIYAT!$B:$O,9,FALSE()),"")</f>
        <v>Шт.</v>
      </c>
      <c r="K261" s="9" t="str">
        <f>IFERROR(VLOOKUP($D261,FIYAT!$B:$O,4,FALSE()),"")</f>
        <v>CHINT</v>
      </c>
      <c r="L261" s="9">
        <f t="shared" si="31"/>
        <v>6667.2</v>
      </c>
      <c r="M261" s="9"/>
      <c r="N261" s="9"/>
      <c r="O261" s="9"/>
      <c r="P261" s="9" t="str">
        <f>IF($H261="","FIYAT_YOK",IFERROR(VLOOKUP($D261,FIYAT!$B:$P,15,FALSE()),""))</f>
        <v>OK</v>
      </c>
      <c r="Q261" s="9" t="s">
        <v>196</v>
      </c>
      <c r="R261" s="9" t="s">
        <v>171</v>
      </c>
      <c r="S261" s="9" t="s">
        <v>550</v>
      </c>
      <c r="T261" s="9" t="s">
        <v>47</v>
      </c>
      <c r="U261" s="9">
        <f>IFERROR(VLOOKUP($T261,KURALLAR!$A$32:$B$63,2,FALSE()),0)*IF(ISNUMBER($I261),$I261,0)</f>
        <v>24</v>
      </c>
    </row>
    <row r="262" spans="1:21" x14ac:dyDescent="0.25">
      <c r="A262" s="5">
        <v>261</v>
      </c>
      <c r="B262" s="5"/>
      <c r="C262" s="5" t="s">
        <v>176</v>
      </c>
      <c r="D262" s="5" t="s">
        <v>200</v>
      </c>
      <c r="E262" s="5" t="str">
        <f>IFERROR(VLOOKUP($D262,FIYAT!$B:$O,2,FALSE()),"")</f>
        <v>УЗО NL1-63 6kA 2P 16A 30mA тип AC (R)</v>
      </c>
      <c r="F262" s="5">
        <f>IFERROR(VLOOKUP($D262,FIYAT!$B:$O,5,FALSE()),"")</f>
        <v>10809</v>
      </c>
      <c r="G262" s="5">
        <f>IFERROR(VLOOKUP($D262,FIYAT!$B:$O,8,FALSE()),"")</f>
        <v>6485.4</v>
      </c>
      <c r="H262" s="5">
        <f t="shared" si="30"/>
        <v>6485.4</v>
      </c>
      <c r="I262" s="6">
        <v>1</v>
      </c>
      <c r="J262" s="5" t="str">
        <f>IFERROR(VLOOKUP($D262,FIYAT!$B:$O,9,FALSE()),"")</f>
        <v>Шт.</v>
      </c>
      <c r="K262" s="5" t="str">
        <f>IFERROR(VLOOKUP($D262,FIYAT!$B:$O,4,FALSE()),"")</f>
        <v>CHINT</v>
      </c>
      <c r="L262" s="5">
        <f t="shared" si="31"/>
        <v>6485.4</v>
      </c>
      <c r="M262" s="5"/>
      <c r="N262" s="5"/>
      <c r="O262" s="5"/>
      <c r="P262" s="5" t="str">
        <f>IF($H262="","FIYAT_YOK",IFERROR(VLOOKUP($D262,FIYAT!$B:$P,15,FALSE()),""))</f>
        <v>OK</v>
      </c>
      <c r="Q262" s="5" t="s">
        <v>202</v>
      </c>
      <c r="R262" s="5" t="s">
        <v>171</v>
      </c>
      <c r="S262" s="5" t="s">
        <v>550</v>
      </c>
      <c r="T262" s="5" t="s">
        <v>55</v>
      </c>
      <c r="U262" s="5">
        <f>IFERROR(VLOOKUP($T262,KURALLAR!$A$32:$B$63,2,FALSE()),0)*IF(ISNUMBER($I262),$I262,0)</f>
        <v>6</v>
      </c>
    </row>
    <row r="263" spans="1:21" x14ac:dyDescent="0.25">
      <c r="A263" s="9">
        <v>262</v>
      </c>
      <c r="B263" s="9"/>
      <c r="C263" s="9" t="s">
        <v>192</v>
      </c>
      <c r="D263" s="9" t="s">
        <v>206</v>
      </c>
      <c r="E263" s="9" t="str">
        <f>IFERROR(VLOOKUP($D263,FIYAT!$B:$O,2,FALSE()),"")</f>
        <v>Авт. выкл. NXB-63 1P 10A 6кА х-ка C (R)</v>
      </c>
      <c r="F263" s="9">
        <f>IFERROR(VLOOKUP($D263,FIYAT!$B:$O,5,FALSE()),"")</f>
        <v>1362</v>
      </c>
      <c r="G263" s="9">
        <f>IFERROR(VLOOKUP($D263,FIYAT!$B:$O,8,FALSE()),"")</f>
        <v>817.19999999999993</v>
      </c>
      <c r="H263" s="9">
        <f t="shared" si="30"/>
        <v>6537.5999999999995</v>
      </c>
      <c r="I263" s="6">
        <v>8</v>
      </c>
      <c r="J263" s="9" t="str">
        <f>IFERROR(VLOOKUP($D263,FIYAT!$B:$O,9,FALSE()),"")</f>
        <v>Шт.</v>
      </c>
      <c r="K263" s="9" t="str">
        <f>IFERROR(VLOOKUP($D263,FIYAT!$B:$O,4,FALSE()),"")</f>
        <v>CHINT</v>
      </c>
      <c r="L263" s="9">
        <f t="shared" si="31"/>
        <v>6537.5999999999995</v>
      </c>
      <c r="M263" s="9"/>
      <c r="N263" s="9"/>
      <c r="O263" s="9"/>
      <c r="P263" s="9" t="str">
        <f>IF($H263="","FIYAT_YOK",IFERROR(VLOOKUP($D263,FIYAT!$B:$P,15,FALSE()),""))</f>
        <v>OK</v>
      </c>
      <c r="Q263" s="9" t="s">
        <v>208</v>
      </c>
      <c r="R263" s="9" t="s">
        <v>184</v>
      </c>
      <c r="S263" s="9" t="s">
        <v>550</v>
      </c>
      <c r="T263" s="9" t="s">
        <v>47</v>
      </c>
      <c r="U263" s="9">
        <f>IFERROR(VLOOKUP($T263,KURALLAR!$A$32:$B$63,2,FALSE()),0)*IF(ISNUMBER($I263),$I263,0)</f>
        <v>24</v>
      </c>
    </row>
    <row r="264" spans="1:21" x14ac:dyDescent="0.25">
      <c r="A264" s="5">
        <v>263</v>
      </c>
      <c r="B264" s="5"/>
      <c r="C264" s="5" t="s">
        <v>93</v>
      </c>
      <c r="D264" s="5" t="s">
        <v>209</v>
      </c>
      <c r="E264" s="5" t="str">
        <f>IFERROR(VLOOKUP($D264,FIYAT!$B:$O,2,FALSE()),"")</f>
        <v>Шина "N" нулевая 6х9мм на DIN-рейку в корпусном изоляторе ШНИ 12К IEK (10)</v>
      </c>
      <c r="F264" s="5">
        <f>IFERROR(VLOOKUP($D264,FIYAT!$B:$O,5,FALSE()),"")</f>
        <v>755</v>
      </c>
      <c r="G264" s="5">
        <f>IFERROR(VLOOKUP($D264,FIYAT!$B:$O,8,FALSE()),"")</f>
        <v>453</v>
      </c>
      <c r="H264" s="5">
        <f t="shared" si="30"/>
        <v>1812</v>
      </c>
      <c r="I264" s="6">
        <v>4</v>
      </c>
      <c r="J264" s="5" t="str">
        <f>IFERROR(VLOOKUP($D264,FIYAT!$B:$O,9,FALSE()),"")</f>
        <v>Шт.</v>
      </c>
      <c r="K264" s="5" t="str">
        <f>IFERROR(VLOOKUP($D264,FIYAT!$B:$O,4,FALSE()),"")</f>
        <v>KAZTEK</v>
      </c>
      <c r="L264" s="5">
        <f t="shared" si="31"/>
        <v>1812</v>
      </c>
      <c r="M264" s="5"/>
      <c r="N264" s="5"/>
      <c r="O264" s="5"/>
      <c r="P264" s="5" t="str">
        <f>IF($H264="","FIYAT_YOK",IFERROR(VLOOKUP($D264,FIYAT!$B:$P,15,FALSE()),""))</f>
        <v>MUADIL</v>
      </c>
      <c r="Q264" s="5" t="s">
        <v>212</v>
      </c>
      <c r="R264" s="5" t="s">
        <v>211</v>
      </c>
      <c r="S264" s="5" t="s">
        <v>550</v>
      </c>
      <c r="T264" s="5" t="s">
        <v>93</v>
      </c>
      <c r="U264" s="5">
        <f>IFERROR(VLOOKUP($T264,KURALLAR!$A$32:$B$63,2,FALSE()),0)*IF(ISNUMBER($I264),$I264,0)</f>
        <v>32</v>
      </c>
    </row>
    <row r="265" spans="1:21" x14ac:dyDescent="0.25">
      <c r="A265" s="9">
        <v>264</v>
      </c>
      <c r="B265" s="9"/>
      <c r="C265" s="9" t="s">
        <v>222</v>
      </c>
      <c r="D265" s="9" t="s">
        <v>310</v>
      </c>
      <c r="E265" s="9" t="str">
        <f>IFERROR(VLOOKUP($D265,FIYAT!$B:$O,2,FALSE()),"")</f>
        <v>Мет.Корпус ЩМП-4 (800x650x250) IP54</v>
      </c>
      <c r="F265" s="9">
        <f>IFERROR(VLOOKUP($D265,FIYAT!$B:$O,5,FALSE()),"")</f>
        <v>30540</v>
      </c>
      <c r="G265" s="9">
        <f>IFERROR(VLOOKUP($D265,FIYAT!$B:$O,8,FALSE()),"")</f>
        <v>18324</v>
      </c>
      <c r="H265" s="9">
        <f t="shared" si="30"/>
        <v>18324</v>
      </c>
      <c r="I265" s="6">
        <v>1</v>
      </c>
      <c r="J265" s="9" t="str">
        <f>IFERROR(VLOOKUP($D265,FIYAT!$B:$O,9,FALSE()),"")</f>
        <v>Шт.</v>
      </c>
      <c r="K265" s="9" t="str">
        <f>IFERROR(VLOOKUP($D265,FIYAT!$B:$O,4,FALSE()),"")</f>
        <v>KAZTEK</v>
      </c>
      <c r="L265" s="9">
        <f t="shared" si="31"/>
        <v>18324</v>
      </c>
      <c r="M265" s="9"/>
      <c r="N265" s="9"/>
      <c r="O265" s="9"/>
      <c r="P265" s="9" t="str">
        <f>IF($H265="","FIYAT_YOK",IFERROR(VLOOKUP($D265,FIYAT!$B:$P,15,FALSE()),""))</f>
        <v>VARSAYIM</v>
      </c>
      <c r="Q265" s="9" t="s">
        <v>312</v>
      </c>
      <c r="R265" s="9" t="s">
        <v>211</v>
      </c>
      <c r="S265" s="9" t="s">
        <v>550</v>
      </c>
      <c r="T265" s="9" t="s">
        <v>105</v>
      </c>
      <c r="U265" s="9">
        <f>IFERROR(VLOOKUP($T265,KURALLAR!$A$32:$B$63,2,FALSE()),0)*IF(ISNUMBER($I265),$I265,0)</f>
        <v>30</v>
      </c>
    </row>
    <row r="266" spans="1:21" x14ac:dyDescent="0.25">
      <c r="A266" s="5">
        <v>265</v>
      </c>
      <c r="B266" s="5"/>
      <c r="C266" s="5" t="s">
        <v>215</v>
      </c>
      <c r="D266" s="5" t="s">
        <v>213</v>
      </c>
      <c r="E266" s="5" t="str">
        <f>IFERROR(VLOOKUP($D266,FIYAT!$B:$O,2,FALSE()),"")</f>
        <v>Монтажный расходный материал (кабель, DIN-рейка, кабель-канал, клеммы, маркировка, крепёж)</v>
      </c>
      <c r="F266" s="5">
        <f>IFERROR(VLOOKUP($D266,FIYAT!$B:$O,5,FALSE()),"")</f>
        <v>0</v>
      </c>
      <c r="G266" s="5" t="str">
        <f>IFERROR(VLOOKUP($D266,FIYAT!$B:$O,8,FALSE()),"")</f>
        <v/>
      </c>
      <c r="H266" s="5">
        <f>ROUND(SUM($H$254:$H$265)*KURALLAR!$B$28,0)</f>
        <v>8767</v>
      </c>
      <c r="I266" s="6">
        <v>1</v>
      </c>
      <c r="J266" s="5" t="str">
        <f>IFERROR(VLOOKUP($D266,FIYAT!$B:$O,9,FALSE()),"")</f>
        <v>компл.</v>
      </c>
      <c r="K266" s="5" t="str">
        <f>IFERROR(VLOOKUP($D266,FIYAT!$B:$O,4,FALSE()),"")</f>
        <v>MUADIL-NET</v>
      </c>
      <c r="L266" s="5">
        <f t="shared" si="31"/>
        <v>8767</v>
      </c>
      <c r="M266" s="5"/>
      <c r="N266" s="5"/>
      <c r="O266" s="5"/>
      <c r="P266" s="5" t="str">
        <f>IF($H266="","FIYAT_YOK",IFERROR(VLOOKUP($D266,FIYAT!$B:$P,15,FALSE()),""))</f>
        <v>ORAN</v>
      </c>
      <c r="Q266" s="5" t="s">
        <v>218</v>
      </c>
      <c r="R266" s="5" t="s">
        <v>217</v>
      </c>
      <c r="S266" s="5" t="s">
        <v>550</v>
      </c>
      <c r="T266" s="5"/>
      <c r="U266" s="5">
        <v>0</v>
      </c>
    </row>
    <row r="267" spans="1:21" x14ac:dyDescent="0.25">
      <c r="A267" s="9">
        <v>266</v>
      </c>
      <c r="B267" s="9"/>
      <c r="C267" s="9" t="s">
        <v>227</v>
      </c>
      <c r="D267" s="9" t="s">
        <v>225</v>
      </c>
      <c r="E267" s="9" t="str">
        <f>IFERROR(VLOOKUP($D267,FIYAT!$B:$O,2,FALSE()),"")</f>
        <v>Сборка, кабелирование, маркировка, момент затяжки, испытания</v>
      </c>
      <c r="F267" s="9">
        <f>IFERROR(VLOOKUP($D267,FIYAT!$B:$O,5,FALSE()),"")</f>
        <v>100</v>
      </c>
      <c r="G267" s="9">
        <f>IFERROR(VLOOKUP($D267,FIYAT!$B:$O,8,FALSE()),"")</f>
        <v>100</v>
      </c>
      <c r="H267" s="9">
        <f>IF(OR($G267="",$I267=""),"",$G267*$I267)</f>
        <v>22100</v>
      </c>
      <c r="I267" s="6">
        <f>ROUND(SUM($U$254:$U$266)*KURALLAR!$B$27,0)</f>
        <v>221</v>
      </c>
      <c r="J267" s="9" t="str">
        <f>IFERROR(VLOOKUP($D267,FIYAT!$B:$O,9,FALSE()),"")</f>
        <v>мин</v>
      </c>
      <c r="K267" s="9" t="str">
        <f>IFERROR(VLOOKUP($D267,FIYAT!$B:$O,4,FALSE()),"")</f>
        <v>ISCILIK</v>
      </c>
      <c r="L267" s="9">
        <f t="shared" si="31"/>
        <v>22100</v>
      </c>
      <c r="M267" s="9"/>
      <c r="N267" s="9"/>
      <c r="O267" s="9"/>
      <c r="P267" s="9" t="str">
        <f>IF($H267="","FIYAT_YOK",IFERROR(VLOOKUP($D267,FIYAT!$B:$P,15,FALSE()),""))</f>
        <v>OK</v>
      </c>
      <c r="Q267" s="9" t="str">
        <f>CONCATENATE("montaj+test iscilik: ",TEXT($I267,"# ##0")," dk = ",TEXT($I267/60,"0,00")," saat (norm x test/etiket carpani)")</f>
        <v>montaj+test iscilik:  221 dk = 3,68 saat (norm x test/etiket carpani)</v>
      </c>
      <c r="R267" s="9" t="s">
        <v>229</v>
      </c>
      <c r="S267" s="9" t="s">
        <v>550</v>
      </c>
      <c r="T267" s="9"/>
      <c r="U267" s="9">
        <v>0</v>
      </c>
    </row>
    <row r="268" spans="1:21" x14ac:dyDescent="0.25">
      <c r="A268" s="10">
        <v>267</v>
      </c>
      <c r="B268" s="10" t="s">
        <v>581</v>
      </c>
      <c r="C268" s="10"/>
      <c r="D268" s="10"/>
      <c r="E268" s="10"/>
      <c r="F268" s="10"/>
      <c r="G268" s="10"/>
      <c r="H268" s="10">
        <f>SUBTOTAL(9,H254:H267)</f>
        <v>156116.39999999997</v>
      </c>
      <c r="I268" s="10"/>
      <c r="J268" s="10"/>
      <c r="K268" s="10"/>
      <c r="L268" s="10">
        <f>SUBTOTAL(9,L254:L267)</f>
        <v>156116.39999999997</v>
      </c>
      <c r="M268" s="10"/>
      <c r="N268" s="10"/>
      <c r="O268" s="10"/>
      <c r="P268" s="10"/>
      <c r="Q268" s="10"/>
      <c r="R268" s="10"/>
      <c r="S268" s="10"/>
      <c r="T268" s="10"/>
      <c r="U268" s="10">
        <f>SUBTOTAL(9,U254:U267)</f>
        <v>192</v>
      </c>
    </row>
    <row r="269" spans="1:21" x14ac:dyDescent="0.25">
      <c r="A269" s="8">
        <v>268</v>
      </c>
      <c r="B269" s="8" t="str">
        <f>E269</f>
        <v>BLOK A / 6F-ЩС.2 — НКУ 380/220В 50Гц, FORM 2B, IP31/54</v>
      </c>
      <c r="C269" s="8" t="s">
        <v>545</v>
      </c>
      <c r="D269" s="8"/>
      <c r="E269" s="8" t="s">
        <v>582</v>
      </c>
      <c r="F269" s="8"/>
      <c r="G269" s="8"/>
      <c r="H269" s="8"/>
      <c r="I269" s="8">
        <v>1</v>
      </c>
      <c r="J269" s="8" t="s">
        <v>547</v>
      </c>
      <c r="K269" s="8"/>
      <c r="L269" s="8"/>
      <c r="M269" s="8"/>
      <c r="N269" s="8"/>
      <c r="O269" s="8"/>
      <c r="P269" s="8" t="s">
        <v>178</v>
      </c>
      <c r="Q269" s="8" t="s">
        <v>548</v>
      </c>
      <c r="R269" s="8" t="s">
        <v>549</v>
      </c>
      <c r="S269" s="8" t="s">
        <v>550</v>
      </c>
      <c r="T269" s="8"/>
      <c r="U269" s="8"/>
    </row>
    <row r="270" spans="1:21" x14ac:dyDescent="0.25">
      <c r="A270" s="5">
        <v>269</v>
      </c>
      <c r="B270" s="5"/>
      <c r="C270" s="5" t="s">
        <v>169</v>
      </c>
      <c r="D270" s="5" t="s">
        <v>167</v>
      </c>
      <c r="E270" s="5" t="str">
        <f>IFERROR(VLOOKUP($D270,FIYAT!$B:$O,2,FALSE()),"")</f>
        <v>Авт. выкл. NM8N-125C TM 3P 32А 36кА с рег. термомаг. расцепителем (R)</v>
      </c>
      <c r="F270" s="5">
        <f>IFERROR(VLOOKUP($D270,FIYAT!$B:$O,5,FALSE()),"")</f>
        <v>64667</v>
      </c>
      <c r="G270" s="5">
        <f>IFERROR(VLOOKUP($D270,FIYAT!$B:$O,8,FALSE()),"")</f>
        <v>38800.199999999997</v>
      </c>
      <c r="H270" s="5">
        <f t="shared" ref="H270:H281" si="32">IF(OR($G270="",$I270=""),"",$G270*$I270)</f>
        <v>38800.199999999997</v>
      </c>
      <c r="I270" s="6">
        <v>1</v>
      </c>
      <c r="J270" s="5" t="str">
        <f>IFERROR(VLOOKUP($D270,FIYAT!$B:$O,9,FALSE()),"")</f>
        <v>Шт.</v>
      </c>
      <c r="K270" s="5" t="str">
        <f>IFERROR(VLOOKUP($D270,FIYAT!$B:$O,4,FALSE()),"")</f>
        <v>CHINT</v>
      </c>
      <c r="L270" s="5">
        <f t="shared" ref="L270:L283" si="33">IF($H270="","",$H270)</f>
        <v>38800.199999999997</v>
      </c>
      <c r="M270" s="5"/>
      <c r="N270" s="5"/>
      <c r="O270" s="5"/>
      <c r="P270" s="5" t="str">
        <f>IF($H270="","FIYAT_YOK",IFERROR(VLOOKUP($D270,FIYAT!$B:$P,15,FALSE()),""))</f>
        <v>MUADIL</v>
      </c>
      <c r="Q270" s="5" t="s">
        <v>172</v>
      </c>
      <c r="R270" s="5" t="s">
        <v>171</v>
      </c>
      <c r="S270" s="5" t="s">
        <v>550</v>
      </c>
      <c r="T270" s="5" t="s">
        <v>61</v>
      </c>
      <c r="U270" s="5">
        <f>IFERROR(VLOOKUP($T270,KURALLAR!$A$32:$B$63,2,FALSE()),0)*IF(ISNUMBER($I270),$I270,0)</f>
        <v>15</v>
      </c>
    </row>
    <row r="271" spans="1:21" x14ac:dyDescent="0.25">
      <c r="A271" s="9">
        <v>270</v>
      </c>
      <c r="B271" s="9"/>
      <c r="C271" s="9" t="s">
        <v>176</v>
      </c>
      <c r="D271" s="9" t="s">
        <v>174</v>
      </c>
      <c r="E271" s="9" t="str">
        <f>IFERROR(VLOOKUP($D271,FIYAT!$B:$O,2,FALSE()),"")</f>
        <v>УЗО NL1-63 6kA 4P 63A 300mA тип AC (R)</v>
      </c>
      <c r="F271" s="9">
        <f>IFERROR(VLOOKUP($D271,FIYAT!$B:$O,5,FALSE()),"")</f>
        <v>18106</v>
      </c>
      <c r="G271" s="9">
        <f>IFERROR(VLOOKUP($D271,FIYAT!$B:$O,8,FALSE()),"")</f>
        <v>10863.6</v>
      </c>
      <c r="H271" s="9">
        <f t="shared" si="32"/>
        <v>10863.6</v>
      </c>
      <c r="I271" s="6">
        <v>1</v>
      </c>
      <c r="J271" s="9" t="str">
        <f>IFERROR(VLOOKUP($D271,FIYAT!$B:$O,9,FALSE()),"")</f>
        <v>Шт.</v>
      </c>
      <c r="K271" s="9" t="str">
        <f>IFERROR(VLOOKUP($D271,FIYAT!$B:$O,4,FALSE()),"")</f>
        <v>CHINT</v>
      </c>
      <c r="L271" s="9">
        <f t="shared" si="33"/>
        <v>10863.6</v>
      </c>
      <c r="M271" s="9"/>
      <c r="N271" s="9"/>
      <c r="O271" s="9"/>
      <c r="P271" s="9" t="str">
        <f>IF($H271="","FIYAT_YOK",IFERROR(VLOOKUP($D271,FIYAT!$B:$P,15,FALSE()),""))</f>
        <v>OK</v>
      </c>
      <c r="Q271" s="9" t="s">
        <v>177</v>
      </c>
      <c r="R271" s="9" t="s">
        <v>171</v>
      </c>
      <c r="S271" s="9" t="s">
        <v>550</v>
      </c>
      <c r="T271" s="9" t="s">
        <v>57</v>
      </c>
      <c r="U271" s="9">
        <f>IFERROR(VLOOKUP($T271,KURALLAR!$A$32:$B$63,2,FALSE()),0)*IF(ISNUMBER($I271),$I271,0)</f>
        <v>10</v>
      </c>
    </row>
    <row r="272" spans="1:21" x14ac:dyDescent="0.25">
      <c r="A272" s="5">
        <v>271</v>
      </c>
      <c r="B272" s="5"/>
      <c r="C272" s="5" t="s">
        <v>79</v>
      </c>
      <c r="D272" s="5" t="s">
        <v>179</v>
      </c>
      <c r="E272" s="5" t="str">
        <f>IFERROR(VLOOKUP($D272,FIYAT!$B:$O,2,FALSE()),"")</f>
        <v>Держатель плавкой вставки RT36-00-160, габарит 00, 160А</v>
      </c>
      <c r="F272" s="5">
        <f>IFERROR(VLOOKUP($D272,FIYAT!$B:$O,5,FALSE()),"")</f>
        <v>2038</v>
      </c>
      <c r="G272" s="5">
        <f>IFERROR(VLOOKUP($D272,FIYAT!$B:$O,8,FALSE()),"")</f>
        <v>1222.8</v>
      </c>
      <c r="H272" s="5">
        <f t="shared" si="32"/>
        <v>4891.2</v>
      </c>
      <c r="I272" s="6">
        <v>4</v>
      </c>
      <c r="J272" s="5" t="str">
        <f>IFERROR(VLOOKUP($D272,FIYAT!$B:$O,9,FALSE()),"")</f>
        <v>Шт.</v>
      </c>
      <c r="K272" s="5" t="str">
        <f>IFERROR(VLOOKUP($D272,FIYAT!$B:$O,4,FALSE()),"")</f>
        <v>CHINT</v>
      </c>
      <c r="L272" s="5">
        <f t="shared" si="33"/>
        <v>4891.2</v>
      </c>
      <c r="M272" s="5"/>
      <c r="N272" s="5"/>
      <c r="O272" s="5"/>
      <c r="P272" s="5" t="str">
        <f>IF($H272="","FIYAT_YOK",IFERROR(VLOOKUP($D272,FIYAT!$B:$P,15,FALSE()),""))</f>
        <v>MUADIL</v>
      </c>
      <c r="Q272" s="5" t="s">
        <v>181</v>
      </c>
      <c r="R272" s="5" t="s">
        <v>171</v>
      </c>
      <c r="S272" s="5" t="s">
        <v>550</v>
      </c>
      <c r="T272" s="5" t="s">
        <v>77</v>
      </c>
      <c r="U272" s="5">
        <f>IFERROR(VLOOKUP($T272,KURALLAR!$A$32:$B$63,2,FALSE()),0)*IF(ISNUMBER($I272),$I272,0)</f>
        <v>20</v>
      </c>
    </row>
    <row r="273" spans="1:21" x14ac:dyDescent="0.25">
      <c r="A273" s="9">
        <v>272</v>
      </c>
      <c r="B273" s="9"/>
      <c r="C273" s="9" t="s">
        <v>79</v>
      </c>
      <c r="D273" s="9" t="s">
        <v>182</v>
      </c>
      <c r="E273" s="9" t="str">
        <f>IFERROR(VLOOKUP($D273,FIYAT!$B:$O,2,FALSE()),"")</f>
        <v>Плавкая вставка предохранителя RT36-00-160, габарит 00, 63А</v>
      </c>
      <c r="F273" s="9">
        <f>IFERROR(VLOOKUP($D273,FIYAT!$B:$O,5,FALSE()),"")</f>
        <v>1525</v>
      </c>
      <c r="G273" s="9">
        <f>IFERROR(VLOOKUP($D273,FIYAT!$B:$O,8,FALSE()),"")</f>
        <v>915</v>
      </c>
      <c r="H273" s="9">
        <f t="shared" si="32"/>
        <v>3660</v>
      </c>
      <c r="I273" s="6">
        <v>4</v>
      </c>
      <c r="J273" s="9" t="str">
        <f>IFERROR(VLOOKUP($D273,FIYAT!$B:$O,9,FALSE()),"")</f>
        <v>Шт.</v>
      </c>
      <c r="K273" s="9" t="str">
        <f>IFERROR(VLOOKUP($D273,FIYAT!$B:$O,4,FALSE()),"")</f>
        <v>CHINT</v>
      </c>
      <c r="L273" s="9">
        <f t="shared" si="33"/>
        <v>3660</v>
      </c>
      <c r="M273" s="9"/>
      <c r="N273" s="9"/>
      <c r="O273" s="9"/>
      <c r="P273" s="9" t="str">
        <f>IF($H273="","FIYAT_YOK",IFERROR(VLOOKUP($D273,FIYAT!$B:$P,15,FALSE()),""))</f>
        <v>MUADIL</v>
      </c>
      <c r="Q273" s="9" t="s">
        <v>185</v>
      </c>
      <c r="R273" s="9" t="s">
        <v>184</v>
      </c>
      <c r="S273" s="9" t="s">
        <v>550</v>
      </c>
      <c r="T273" s="9" t="s">
        <v>79</v>
      </c>
      <c r="U273" s="9">
        <f>IFERROR(VLOOKUP($T273,KURALLAR!$A$32:$B$63,2,FALSE()),0)*IF(ISNUMBER($I273),$I273,0)</f>
        <v>12</v>
      </c>
    </row>
    <row r="274" spans="1:21" x14ac:dyDescent="0.25">
      <c r="A274" s="5">
        <v>273</v>
      </c>
      <c r="B274" s="5"/>
      <c r="C274" s="5" t="s">
        <v>75</v>
      </c>
      <c r="D274" s="5" t="s">
        <v>186</v>
      </c>
      <c r="E274" s="5" t="str">
        <f>IFERROR(VLOOKUP($D274,FIYAT!$B:$O,2,FALSE()),"")</f>
        <v>Ограничитель имп. перенапр. NU6-IIG 4Р In=25kA Uc=440B Im=65kA (R)</v>
      </c>
      <c r="F274" s="5">
        <f>IFERROR(VLOOKUP($D274,FIYAT!$B:$O,5,FALSE()),"")</f>
        <v>33208</v>
      </c>
      <c r="G274" s="5">
        <f>IFERROR(VLOOKUP($D274,FIYAT!$B:$O,8,FALSE()),"")</f>
        <v>19924.8</v>
      </c>
      <c r="H274" s="5">
        <f t="shared" si="32"/>
        <v>19924.8</v>
      </c>
      <c r="I274" s="6">
        <v>1</v>
      </c>
      <c r="J274" s="5" t="str">
        <f>IFERROR(VLOOKUP($D274,FIYAT!$B:$O,9,FALSE()),"")</f>
        <v>Шт.</v>
      </c>
      <c r="K274" s="5" t="str">
        <f>IFERROR(VLOOKUP($D274,FIYAT!$B:$O,4,FALSE()),"")</f>
        <v>CHINT</v>
      </c>
      <c r="L274" s="5">
        <f t="shared" si="33"/>
        <v>19924.8</v>
      </c>
      <c r="M274" s="5"/>
      <c r="N274" s="5"/>
      <c r="O274" s="5"/>
      <c r="P274" s="5" t="str">
        <f>IF($H274="","FIYAT_YOK",IFERROR(VLOOKUP($D274,FIYAT!$B:$P,15,FALSE()),""))</f>
        <v>MUADIL_ONAY</v>
      </c>
      <c r="Q274" s="5" t="s">
        <v>188</v>
      </c>
      <c r="R274" s="5" t="s">
        <v>184</v>
      </c>
      <c r="S274" s="5" t="s">
        <v>550</v>
      </c>
      <c r="T274" s="5" t="s">
        <v>75</v>
      </c>
      <c r="U274" s="5">
        <f>IFERROR(VLOOKUP($T274,KURALLAR!$A$32:$B$63,2,FALSE()),0)*IF(ISNUMBER($I274),$I274,0)</f>
        <v>10</v>
      </c>
    </row>
    <row r="275" spans="1:21" x14ac:dyDescent="0.25">
      <c r="A275" s="9">
        <v>274</v>
      </c>
      <c r="B275" s="9"/>
      <c r="C275" s="9" t="s">
        <v>192</v>
      </c>
      <c r="D275" s="9" t="s">
        <v>321</v>
      </c>
      <c r="E275" s="9" t="str">
        <f>IFERROR(VLOOKUP($D275,FIYAT!$B:$O,2,FALSE()),"")</f>
        <v>Авт. выкл. NXB-63 1P 25A 6кА х-ка C (R)</v>
      </c>
      <c r="F275" s="9">
        <f>IFERROR(VLOOKUP($D275,FIYAT!$B:$O,5,FALSE()),"")</f>
        <v>1330</v>
      </c>
      <c r="G275" s="9">
        <f>IFERROR(VLOOKUP($D275,FIYAT!$B:$O,8,FALSE()),"")</f>
        <v>798</v>
      </c>
      <c r="H275" s="9">
        <f t="shared" si="32"/>
        <v>798</v>
      </c>
      <c r="I275" s="6">
        <v>1</v>
      </c>
      <c r="J275" s="9" t="str">
        <f>IFERROR(VLOOKUP($D275,FIYAT!$B:$O,9,FALSE()),"")</f>
        <v>Шт.</v>
      </c>
      <c r="K275" s="9" t="str">
        <f>IFERROR(VLOOKUP($D275,FIYAT!$B:$O,4,FALSE()),"")</f>
        <v>CHINT</v>
      </c>
      <c r="L275" s="9">
        <f t="shared" si="33"/>
        <v>798</v>
      </c>
      <c r="M275" s="9"/>
      <c r="N275" s="9"/>
      <c r="O275" s="9"/>
      <c r="P275" s="9" t="str">
        <f>IF($H275="","FIYAT_YOK",IFERROR(VLOOKUP($D275,FIYAT!$B:$P,15,FALSE()),""))</f>
        <v>OK</v>
      </c>
      <c r="Q275" s="9" t="s">
        <v>323</v>
      </c>
      <c r="R275" s="9" t="s">
        <v>171</v>
      </c>
      <c r="S275" s="9" t="s">
        <v>550</v>
      </c>
      <c r="T275" s="9" t="s">
        <v>47</v>
      </c>
      <c r="U275" s="9">
        <f>IFERROR(VLOOKUP($T275,KURALLAR!$A$32:$B$63,2,FALSE()),0)*IF(ISNUMBER($I275),$I275,0)</f>
        <v>3</v>
      </c>
    </row>
    <row r="276" spans="1:21" x14ac:dyDescent="0.25">
      <c r="A276" s="5">
        <v>275</v>
      </c>
      <c r="B276" s="5"/>
      <c r="C276" s="5" t="s">
        <v>176</v>
      </c>
      <c r="D276" s="5" t="s">
        <v>324</v>
      </c>
      <c r="E276" s="5" t="str">
        <f>IFERROR(VLOOKUP($D276,FIYAT!$B:$O,2,FALSE()),"")</f>
        <v>УЗО NL1-63 6kA 2P 25A 30mA тип AC (R)</v>
      </c>
      <c r="F276" s="5">
        <f>IFERROR(VLOOKUP($D276,FIYAT!$B:$O,5,FALSE()),"")</f>
        <v>10809</v>
      </c>
      <c r="G276" s="5">
        <f>IFERROR(VLOOKUP($D276,FIYAT!$B:$O,8,FALSE()),"")</f>
        <v>6485.4</v>
      </c>
      <c r="H276" s="5">
        <f t="shared" si="32"/>
        <v>6485.4</v>
      </c>
      <c r="I276" s="6">
        <v>1</v>
      </c>
      <c r="J276" s="5" t="str">
        <f>IFERROR(VLOOKUP($D276,FIYAT!$B:$O,9,FALSE()),"")</f>
        <v>Шт.</v>
      </c>
      <c r="K276" s="5" t="str">
        <f>IFERROR(VLOOKUP($D276,FIYAT!$B:$O,4,FALSE()),"")</f>
        <v>CHINT</v>
      </c>
      <c r="L276" s="5">
        <f t="shared" si="33"/>
        <v>6485.4</v>
      </c>
      <c r="M276" s="5"/>
      <c r="N276" s="5"/>
      <c r="O276" s="5"/>
      <c r="P276" s="5" t="str">
        <f>IF($H276="","FIYAT_YOK",IFERROR(VLOOKUP($D276,FIYAT!$B:$P,15,FALSE()),""))</f>
        <v>OK</v>
      </c>
      <c r="Q276" s="5" t="s">
        <v>326</v>
      </c>
      <c r="R276" s="5" t="s">
        <v>171</v>
      </c>
      <c r="S276" s="5" t="s">
        <v>550</v>
      </c>
      <c r="T276" s="5" t="s">
        <v>55</v>
      </c>
      <c r="U276" s="5">
        <f>IFERROR(VLOOKUP($T276,KURALLAR!$A$32:$B$63,2,FALSE()),0)*IF(ISNUMBER($I276),$I276,0)</f>
        <v>6</v>
      </c>
    </row>
    <row r="277" spans="1:21" x14ac:dyDescent="0.25">
      <c r="A277" s="9">
        <v>276</v>
      </c>
      <c r="B277" s="9"/>
      <c r="C277" s="9" t="s">
        <v>192</v>
      </c>
      <c r="D277" s="9" t="s">
        <v>194</v>
      </c>
      <c r="E277" s="9" t="str">
        <f>IFERROR(VLOOKUP($D277,FIYAT!$B:$O,2,FALSE()),"")</f>
        <v>Авт. выкл. NXB-63 1P 16A 6кА х-ка C (R)</v>
      </c>
      <c r="F277" s="9">
        <f>IFERROR(VLOOKUP($D277,FIYAT!$B:$O,5,FALSE()),"")</f>
        <v>1389</v>
      </c>
      <c r="G277" s="9">
        <f>IFERROR(VLOOKUP($D277,FIYAT!$B:$O,8,FALSE()),"")</f>
        <v>833.4</v>
      </c>
      <c r="H277" s="9">
        <f t="shared" si="32"/>
        <v>7500.5999999999995</v>
      </c>
      <c r="I277" s="6">
        <v>9</v>
      </c>
      <c r="J277" s="9" t="str">
        <f>IFERROR(VLOOKUP($D277,FIYAT!$B:$O,9,FALSE()),"")</f>
        <v>Шт.</v>
      </c>
      <c r="K277" s="9" t="str">
        <f>IFERROR(VLOOKUP($D277,FIYAT!$B:$O,4,FALSE()),"")</f>
        <v>CHINT</v>
      </c>
      <c r="L277" s="9">
        <f t="shared" si="33"/>
        <v>7500.5999999999995</v>
      </c>
      <c r="M277" s="9"/>
      <c r="N277" s="9"/>
      <c r="O277" s="9"/>
      <c r="P277" s="9" t="str">
        <f>IF($H277="","FIYAT_YOK",IFERROR(VLOOKUP($D277,FIYAT!$B:$P,15,FALSE()),""))</f>
        <v>OK</v>
      </c>
      <c r="Q277" s="9" t="s">
        <v>196</v>
      </c>
      <c r="R277" s="9" t="s">
        <v>171</v>
      </c>
      <c r="S277" s="9" t="s">
        <v>550</v>
      </c>
      <c r="T277" s="9" t="s">
        <v>47</v>
      </c>
      <c r="U277" s="9">
        <f>IFERROR(VLOOKUP($T277,KURALLAR!$A$32:$B$63,2,FALSE()),0)*IF(ISNUMBER($I277),$I277,0)</f>
        <v>27</v>
      </c>
    </row>
    <row r="278" spans="1:21" x14ac:dyDescent="0.25">
      <c r="A278" s="5">
        <v>277</v>
      </c>
      <c r="B278" s="5"/>
      <c r="C278" s="5" t="s">
        <v>176</v>
      </c>
      <c r="D278" s="5" t="s">
        <v>200</v>
      </c>
      <c r="E278" s="5" t="str">
        <f>IFERROR(VLOOKUP($D278,FIYAT!$B:$O,2,FALSE()),"")</f>
        <v>УЗО NL1-63 6kA 2P 16A 30mA тип AC (R)</v>
      </c>
      <c r="F278" s="5">
        <f>IFERROR(VLOOKUP($D278,FIYAT!$B:$O,5,FALSE()),"")</f>
        <v>10809</v>
      </c>
      <c r="G278" s="5">
        <f>IFERROR(VLOOKUP($D278,FIYAT!$B:$O,8,FALSE()),"")</f>
        <v>6485.4</v>
      </c>
      <c r="H278" s="5">
        <f t="shared" si="32"/>
        <v>6485.4</v>
      </c>
      <c r="I278" s="6">
        <v>1</v>
      </c>
      <c r="J278" s="5" t="str">
        <f>IFERROR(VLOOKUP($D278,FIYAT!$B:$O,9,FALSE()),"")</f>
        <v>Шт.</v>
      </c>
      <c r="K278" s="5" t="str">
        <f>IFERROR(VLOOKUP($D278,FIYAT!$B:$O,4,FALSE()),"")</f>
        <v>CHINT</v>
      </c>
      <c r="L278" s="5">
        <f t="shared" si="33"/>
        <v>6485.4</v>
      </c>
      <c r="M278" s="5"/>
      <c r="N278" s="5"/>
      <c r="O278" s="5"/>
      <c r="P278" s="5" t="str">
        <f>IF($H278="","FIYAT_YOK",IFERROR(VLOOKUP($D278,FIYAT!$B:$P,15,FALSE()),""))</f>
        <v>OK</v>
      </c>
      <c r="Q278" s="5" t="s">
        <v>202</v>
      </c>
      <c r="R278" s="5" t="s">
        <v>171</v>
      </c>
      <c r="S278" s="5" t="s">
        <v>550</v>
      </c>
      <c r="T278" s="5" t="s">
        <v>55</v>
      </c>
      <c r="U278" s="5">
        <f>IFERROR(VLOOKUP($T278,KURALLAR!$A$32:$B$63,2,FALSE()),0)*IF(ISNUMBER($I278),$I278,0)</f>
        <v>6</v>
      </c>
    </row>
    <row r="279" spans="1:21" x14ac:dyDescent="0.25">
      <c r="A279" s="9">
        <v>278</v>
      </c>
      <c r="B279" s="9"/>
      <c r="C279" s="9" t="s">
        <v>192</v>
      </c>
      <c r="D279" s="9" t="s">
        <v>206</v>
      </c>
      <c r="E279" s="9" t="str">
        <f>IFERROR(VLOOKUP($D279,FIYAT!$B:$O,2,FALSE()),"")</f>
        <v>Авт. выкл. NXB-63 1P 10A 6кА х-ка C (R)</v>
      </c>
      <c r="F279" s="9">
        <f>IFERROR(VLOOKUP($D279,FIYAT!$B:$O,5,FALSE()),"")</f>
        <v>1362</v>
      </c>
      <c r="G279" s="9">
        <f>IFERROR(VLOOKUP($D279,FIYAT!$B:$O,8,FALSE()),"")</f>
        <v>817.19999999999993</v>
      </c>
      <c r="H279" s="9">
        <f t="shared" si="32"/>
        <v>11440.8</v>
      </c>
      <c r="I279" s="6">
        <v>14</v>
      </c>
      <c r="J279" s="9" t="str">
        <f>IFERROR(VLOOKUP($D279,FIYAT!$B:$O,9,FALSE()),"")</f>
        <v>Шт.</v>
      </c>
      <c r="K279" s="9" t="str">
        <f>IFERROR(VLOOKUP($D279,FIYAT!$B:$O,4,FALSE()),"")</f>
        <v>CHINT</v>
      </c>
      <c r="L279" s="9">
        <f t="shared" si="33"/>
        <v>11440.8</v>
      </c>
      <c r="M279" s="9"/>
      <c r="N279" s="9"/>
      <c r="O279" s="9"/>
      <c r="P279" s="9" t="str">
        <f>IF($H279="","FIYAT_YOK",IFERROR(VLOOKUP($D279,FIYAT!$B:$P,15,FALSE()),""))</f>
        <v>OK</v>
      </c>
      <c r="Q279" s="9" t="s">
        <v>208</v>
      </c>
      <c r="R279" s="9" t="s">
        <v>184</v>
      </c>
      <c r="S279" s="9" t="s">
        <v>550</v>
      </c>
      <c r="T279" s="9" t="s">
        <v>47</v>
      </c>
      <c r="U279" s="9">
        <f>IFERROR(VLOOKUP($T279,KURALLAR!$A$32:$B$63,2,FALSE()),0)*IF(ISNUMBER($I279),$I279,0)</f>
        <v>42</v>
      </c>
    </row>
    <row r="280" spans="1:21" x14ac:dyDescent="0.25">
      <c r="A280" s="5">
        <v>279</v>
      </c>
      <c r="B280" s="5"/>
      <c r="C280" s="5" t="s">
        <v>93</v>
      </c>
      <c r="D280" s="5" t="s">
        <v>209</v>
      </c>
      <c r="E280" s="5" t="str">
        <f>IFERROR(VLOOKUP($D280,FIYAT!$B:$O,2,FALSE()),"")</f>
        <v>Шина "N" нулевая 6х9мм на DIN-рейку в корпусном изоляторе ШНИ 12К IEK (10)</v>
      </c>
      <c r="F280" s="5">
        <f>IFERROR(VLOOKUP($D280,FIYAT!$B:$O,5,FALSE()),"")</f>
        <v>755</v>
      </c>
      <c r="G280" s="5">
        <f>IFERROR(VLOOKUP($D280,FIYAT!$B:$O,8,FALSE()),"")</f>
        <v>453</v>
      </c>
      <c r="H280" s="5">
        <f t="shared" si="32"/>
        <v>1812</v>
      </c>
      <c r="I280" s="6">
        <v>4</v>
      </c>
      <c r="J280" s="5" t="str">
        <f>IFERROR(VLOOKUP($D280,FIYAT!$B:$O,9,FALSE()),"")</f>
        <v>Шт.</v>
      </c>
      <c r="K280" s="5" t="str">
        <f>IFERROR(VLOOKUP($D280,FIYAT!$B:$O,4,FALSE()),"")</f>
        <v>KAZTEK</v>
      </c>
      <c r="L280" s="5">
        <f t="shared" si="33"/>
        <v>1812</v>
      </c>
      <c r="M280" s="5"/>
      <c r="N280" s="5"/>
      <c r="O280" s="5"/>
      <c r="P280" s="5" t="str">
        <f>IF($H280="","FIYAT_YOK",IFERROR(VLOOKUP($D280,FIYAT!$B:$P,15,FALSE()),""))</f>
        <v>MUADIL</v>
      </c>
      <c r="Q280" s="5" t="s">
        <v>212</v>
      </c>
      <c r="R280" s="5" t="s">
        <v>211</v>
      </c>
      <c r="S280" s="5" t="s">
        <v>550</v>
      </c>
      <c r="T280" s="5" t="s">
        <v>93</v>
      </c>
      <c r="U280" s="5">
        <f>IFERROR(VLOOKUP($T280,KURALLAR!$A$32:$B$63,2,FALSE()),0)*IF(ISNUMBER($I280),$I280,0)</f>
        <v>32</v>
      </c>
    </row>
    <row r="281" spans="1:21" x14ac:dyDescent="0.25">
      <c r="A281" s="9">
        <v>280</v>
      </c>
      <c r="B281" s="9"/>
      <c r="C281" s="9" t="s">
        <v>222</v>
      </c>
      <c r="D281" s="9" t="s">
        <v>310</v>
      </c>
      <c r="E281" s="9" t="str">
        <f>IFERROR(VLOOKUP($D281,FIYAT!$B:$O,2,FALSE()),"")</f>
        <v>Мет.Корпус ЩМП-4 (800x650x250) IP54</v>
      </c>
      <c r="F281" s="9">
        <f>IFERROR(VLOOKUP($D281,FIYAT!$B:$O,5,FALSE()),"")</f>
        <v>30540</v>
      </c>
      <c r="G281" s="9">
        <f>IFERROR(VLOOKUP($D281,FIYAT!$B:$O,8,FALSE()),"")</f>
        <v>18324</v>
      </c>
      <c r="H281" s="9">
        <f t="shared" si="32"/>
        <v>18324</v>
      </c>
      <c r="I281" s="6">
        <v>1</v>
      </c>
      <c r="J281" s="9" t="str">
        <f>IFERROR(VLOOKUP($D281,FIYAT!$B:$O,9,FALSE()),"")</f>
        <v>Шт.</v>
      </c>
      <c r="K281" s="9" t="str">
        <f>IFERROR(VLOOKUP($D281,FIYAT!$B:$O,4,FALSE()),"")</f>
        <v>KAZTEK</v>
      </c>
      <c r="L281" s="9">
        <f t="shared" si="33"/>
        <v>18324</v>
      </c>
      <c r="M281" s="9"/>
      <c r="N281" s="9"/>
      <c r="O281" s="9"/>
      <c r="P281" s="9" t="str">
        <f>IF($H281="","FIYAT_YOK",IFERROR(VLOOKUP($D281,FIYAT!$B:$P,15,FALSE()),""))</f>
        <v>VARSAYIM</v>
      </c>
      <c r="Q281" s="9" t="s">
        <v>312</v>
      </c>
      <c r="R281" s="9" t="s">
        <v>211</v>
      </c>
      <c r="S281" s="9" t="s">
        <v>550</v>
      </c>
      <c r="T281" s="9" t="s">
        <v>105</v>
      </c>
      <c r="U281" s="9">
        <f>IFERROR(VLOOKUP($T281,KURALLAR!$A$32:$B$63,2,FALSE()),0)*IF(ISNUMBER($I281),$I281,0)</f>
        <v>30</v>
      </c>
    </row>
    <row r="282" spans="1:21" x14ac:dyDescent="0.25">
      <c r="A282" s="5">
        <v>281</v>
      </c>
      <c r="B282" s="5"/>
      <c r="C282" s="5" t="s">
        <v>215</v>
      </c>
      <c r="D282" s="5" t="s">
        <v>213</v>
      </c>
      <c r="E282" s="5" t="str">
        <f>IFERROR(VLOOKUP($D282,FIYAT!$B:$O,2,FALSE()),"")</f>
        <v>Монтажный расходный материал (кабель, DIN-рейка, кабель-канал, клеммы, маркировка, крепёж)</v>
      </c>
      <c r="F282" s="5">
        <f>IFERROR(VLOOKUP($D282,FIYAT!$B:$O,5,FALSE()),"")</f>
        <v>0</v>
      </c>
      <c r="G282" s="5" t="str">
        <f>IFERROR(VLOOKUP($D282,FIYAT!$B:$O,8,FALSE()),"")</f>
        <v/>
      </c>
      <c r="H282" s="5">
        <f>ROUND(SUM($H$270:$H$281)*KURALLAR!$B$28,0)</f>
        <v>9169</v>
      </c>
      <c r="I282" s="6">
        <v>1</v>
      </c>
      <c r="J282" s="5" t="str">
        <f>IFERROR(VLOOKUP($D282,FIYAT!$B:$O,9,FALSE()),"")</f>
        <v>компл.</v>
      </c>
      <c r="K282" s="5" t="str">
        <f>IFERROR(VLOOKUP($D282,FIYAT!$B:$O,4,FALSE()),"")</f>
        <v>MUADIL-NET</v>
      </c>
      <c r="L282" s="5">
        <f t="shared" si="33"/>
        <v>9169</v>
      </c>
      <c r="M282" s="5"/>
      <c r="N282" s="5"/>
      <c r="O282" s="5"/>
      <c r="P282" s="5" t="str">
        <f>IF($H282="","FIYAT_YOK",IFERROR(VLOOKUP($D282,FIYAT!$B:$P,15,FALSE()),""))</f>
        <v>ORAN</v>
      </c>
      <c r="Q282" s="5" t="s">
        <v>218</v>
      </c>
      <c r="R282" s="5" t="s">
        <v>217</v>
      </c>
      <c r="S282" s="5" t="s">
        <v>550</v>
      </c>
      <c r="T282" s="5"/>
      <c r="U282" s="5">
        <v>0</v>
      </c>
    </row>
    <row r="283" spans="1:21" x14ac:dyDescent="0.25">
      <c r="A283" s="9">
        <v>282</v>
      </c>
      <c r="B283" s="9"/>
      <c r="C283" s="9" t="s">
        <v>227</v>
      </c>
      <c r="D283" s="9" t="s">
        <v>225</v>
      </c>
      <c r="E283" s="9" t="str">
        <f>IFERROR(VLOOKUP($D283,FIYAT!$B:$O,2,FALSE()),"")</f>
        <v>Сборка, кабелирование, маркировка, момент затяжки, испытания</v>
      </c>
      <c r="F283" s="9">
        <f>IFERROR(VLOOKUP($D283,FIYAT!$B:$O,5,FALSE()),"")</f>
        <v>100</v>
      </c>
      <c r="G283" s="9">
        <f>IFERROR(VLOOKUP($D283,FIYAT!$B:$O,8,FALSE()),"")</f>
        <v>100</v>
      </c>
      <c r="H283" s="9">
        <f>IF(OR($G283="",$I283=""),"",$G283*$I283)</f>
        <v>24500</v>
      </c>
      <c r="I283" s="6">
        <f>ROUND(SUM($U$270:$U$282)*KURALLAR!$B$27,0)</f>
        <v>245</v>
      </c>
      <c r="J283" s="9" t="str">
        <f>IFERROR(VLOOKUP($D283,FIYAT!$B:$O,9,FALSE()),"")</f>
        <v>мин</v>
      </c>
      <c r="K283" s="9" t="str">
        <f>IFERROR(VLOOKUP($D283,FIYAT!$B:$O,4,FALSE()),"")</f>
        <v>ISCILIK</v>
      </c>
      <c r="L283" s="9">
        <f t="shared" si="33"/>
        <v>24500</v>
      </c>
      <c r="M283" s="9"/>
      <c r="N283" s="9"/>
      <c r="O283" s="9"/>
      <c r="P283" s="9" t="str">
        <f>IF($H283="","FIYAT_YOK",IFERROR(VLOOKUP($D283,FIYAT!$B:$P,15,FALSE()),""))</f>
        <v>OK</v>
      </c>
      <c r="Q283" s="9" t="str">
        <f>CONCATENATE("montaj+test iscilik: ",TEXT($I283,"# ##0")," dk = ",TEXT($I283/60,"0,00")," saat (norm x test/etiket carpani)")</f>
        <v>montaj+test iscilik:  245 dk = 4,08 saat (norm x test/etiket carpani)</v>
      </c>
      <c r="R283" s="9" t="s">
        <v>229</v>
      </c>
      <c r="S283" s="9" t="s">
        <v>550</v>
      </c>
      <c r="T283" s="9"/>
      <c r="U283" s="9">
        <v>0</v>
      </c>
    </row>
    <row r="284" spans="1:21" x14ac:dyDescent="0.25">
      <c r="A284" s="10">
        <v>283</v>
      </c>
      <c r="B284" s="10" t="s">
        <v>583</v>
      </c>
      <c r="C284" s="10"/>
      <c r="D284" s="10"/>
      <c r="E284" s="10"/>
      <c r="F284" s="10"/>
      <c r="G284" s="10"/>
      <c r="H284" s="10">
        <f>SUBTOTAL(9,H270:H283)</f>
        <v>164655</v>
      </c>
      <c r="I284" s="10"/>
      <c r="J284" s="10"/>
      <c r="K284" s="10"/>
      <c r="L284" s="10">
        <f>SUBTOTAL(9,L270:L283)</f>
        <v>164655</v>
      </c>
      <c r="M284" s="10"/>
      <c r="N284" s="10"/>
      <c r="O284" s="10"/>
      <c r="P284" s="10"/>
      <c r="Q284" s="10"/>
      <c r="R284" s="10"/>
      <c r="S284" s="10"/>
      <c r="T284" s="10"/>
      <c r="U284" s="10">
        <f>SUBTOTAL(9,U270:U283)</f>
        <v>213</v>
      </c>
    </row>
    <row r="285" spans="1:21" x14ac:dyDescent="0.25">
      <c r="A285" s="8">
        <v>284</v>
      </c>
      <c r="B285" s="8" t="str">
        <f>E285</f>
        <v>BLOK A / 6F-ИБП.1 — НКУ 380/220В 50Гц, FORM 2B, IP31/54</v>
      </c>
      <c r="C285" s="8" t="s">
        <v>545</v>
      </c>
      <c r="D285" s="8"/>
      <c r="E285" s="8" t="s">
        <v>584</v>
      </c>
      <c r="F285" s="8"/>
      <c r="G285" s="8"/>
      <c r="H285" s="8"/>
      <c r="I285" s="8">
        <v>1</v>
      </c>
      <c r="J285" s="8" t="s">
        <v>547</v>
      </c>
      <c r="K285" s="8"/>
      <c r="L285" s="8"/>
      <c r="M285" s="8"/>
      <c r="N285" s="8"/>
      <c r="O285" s="8"/>
      <c r="P285" s="8" t="s">
        <v>178</v>
      </c>
      <c r="Q285" s="8" t="s">
        <v>548</v>
      </c>
      <c r="R285" s="8" t="s">
        <v>549</v>
      </c>
      <c r="S285" s="8" t="s">
        <v>550</v>
      </c>
      <c r="T285" s="8"/>
      <c r="U285" s="8"/>
    </row>
    <row r="286" spans="1:21" x14ac:dyDescent="0.25">
      <c r="A286" s="5">
        <v>285</v>
      </c>
      <c r="B286" s="5"/>
      <c r="C286" s="5" t="s">
        <v>169</v>
      </c>
      <c r="D286" s="5" t="s">
        <v>167</v>
      </c>
      <c r="E286" s="5" t="str">
        <f>IFERROR(VLOOKUP($D286,FIYAT!$B:$O,2,FALSE()),"")</f>
        <v>Авт. выкл. NM8N-125C TM 3P 32А 36кА с рег. термомаг. расцепителем (R)</v>
      </c>
      <c r="F286" s="5">
        <f>IFERROR(VLOOKUP($D286,FIYAT!$B:$O,5,FALSE()),"")</f>
        <v>64667</v>
      </c>
      <c r="G286" s="5">
        <f>IFERROR(VLOOKUP($D286,FIYAT!$B:$O,8,FALSE()),"")</f>
        <v>38800.199999999997</v>
      </c>
      <c r="H286" s="5">
        <f t="shared" ref="H286:H297" si="34">IF(OR($G286="",$I286=""),"",$G286*$I286)</f>
        <v>38800.199999999997</v>
      </c>
      <c r="I286" s="6">
        <v>1</v>
      </c>
      <c r="J286" s="5" t="str">
        <f>IFERROR(VLOOKUP($D286,FIYAT!$B:$O,9,FALSE()),"")</f>
        <v>Шт.</v>
      </c>
      <c r="K286" s="5" t="str">
        <f>IFERROR(VLOOKUP($D286,FIYAT!$B:$O,4,FALSE()),"")</f>
        <v>CHINT</v>
      </c>
      <c r="L286" s="5">
        <f t="shared" ref="L286:L299" si="35">IF($H286="","",$H286)</f>
        <v>38800.199999999997</v>
      </c>
      <c r="M286" s="5"/>
      <c r="N286" s="5"/>
      <c r="O286" s="5"/>
      <c r="P286" s="5" t="str">
        <f>IF($H286="","FIYAT_YOK",IFERROR(VLOOKUP($D286,FIYAT!$B:$P,15,FALSE()),""))</f>
        <v>MUADIL</v>
      </c>
      <c r="Q286" s="5" t="s">
        <v>172</v>
      </c>
      <c r="R286" s="5" t="s">
        <v>171</v>
      </c>
      <c r="S286" s="5" t="s">
        <v>550</v>
      </c>
      <c r="T286" s="5" t="s">
        <v>61</v>
      </c>
      <c r="U286" s="5">
        <f>IFERROR(VLOOKUP($T286,KURALLAR!$A$32:$B$63,2,FALSE()),0)*IF(ISNUMBER($I286),$I286,0)</f>
        <v>15</v>
      </c>
    </row>
    <row r="287" spans="1:21" x14ac:dyDescent="0.25">
      <c r="A287" s="9">
        <v>286</v>
      </c>
      <c r="B287" s="9"/>
      <c r="C287" s="9" t="s">
        <v>176</v>
      </c>
      <c r="D287" s="9" t="s">
        <v>174</v>
      </c>
      <c r="E287" s="9" t="str">
        <f>IFERROR(VLOOKUP($D287,FIYAT!$B:$O,2,FALSE()),"")</f>
        <v>УЗО NL1-63 6kA 4P 63A 300mA тип AC (R)</v>
      </c>
      <c r="F287" s="9">
        <f>IFERROR(VLOOKUP($D287,FIYAT!$B:$O,5,FALSE()),"")</f>
        <v>18106</v>
      </c>
      <c r="G287" s="9">
        <f>IFERROR(VLOOKUP($D287,FIYAT!$B:$O,8,FALSE()),"")</f>
        <v>10863.6</v>
      </c>
      <c r="H287" s="9">
        <f t="shared" si="34"/>
        <v>10863.6</v>
      </c>
      <c r="I287" s="6">
        <v>1</v>
      </c>
      <c r="J287" s="9" t="str">
        <f>IFERROR(VLOOKUP($D287,FIYAT!$B:$O,9,FALSE()),"")</f>
        <v>Шт.</v>
      </c>
      <c r="K287" s="9" t="str">
        <f>IFERROR(VLOOKUP($D287,FIYAT!$B:$O,4,FALSE()),"")</f>
        <v>CHINT</v>
      </c>
      <c r="L287" s="9">
        <f t="shared" si="35"/>
        <v>10863.6</v>
      </c>
      <c r="M287" s="9"/>
      <c r="N287" s="9"/>
      <c r="O287" s="9"/>
      <c r="P287" s="9" t="str">
        <f>IF($H287="","FIYAT_YOK",IFERROR(VLOOKUP($D287,FIYAT!$B:$P,15,FALSE()),""))</f>
        <v>OK</v>
      </c>
      <c r="Q287" s="9" t="s">
        <v>177</v>
      </c>
      <c r="R287" s="9" t="s">
        <v>171</v>
      </c>
      <c r="S287" s="9" t="s">
        <v>550</v>
      </c>
      <c r="T287" s="9" t="s">
        <v>57</v>
      </c>
      <c r="U287" s="9">
        <f>IFERROR(VLOOKUP($T287,KURALLAR!$A$32:$B$63,2,FALSE()),0)*IF(ISNUMBER($I287),$I287,0)</f>
        <v>10</v>
      </c>
    </row>
    <row r="288" spans="1:21" x14ac:dyDescent="0.25">
      <c r="A288" s="5">
        <v>287</v>
      </c>
      <c r="B288" s="5"/>
      <c r="C288" s="5" t="s">
        <v>79</v>
      </c>
      <c r="D288" s="5" t="s">
        <v>179</v>
      </c>
      <c r="E288" s="5" t="str">
        <f>IFERROR(VLOOKUP($D288,FIYAT!$B:$O,2,FALSE()),"")</f>
        <v>Держатель плавкой вставки RT36-00-160, габарит 00, 160А</v>
      </c>
      <c r="F288" s="5">
        <f>IFERROR(VLOOKUP($D288,FIYAT!$B:$O,5,FALSE()),"")</f>
        <v>2038</v>
      </c>
      <c r="G288" s="5">
        <f>IFERROR(VLOOKUP($D288,FIYAT!$B:$O,8,FALSE()),"")</f>
        <v>1222.8</v>
      </c>
      <c r="H288" s="5">
        <f t="shared" si="34"/>
        <v>4891.2</v>
      </c>
      <c r="I288" s="6">
        <v>4</v>
      </c>
      <c r="J288" s="5" t="str">
        <f>IFERROR(VLOOKUP($D288,FIYAT!$B:$O,9,FALSE()),"")</f>
        <v>Шт.</v>
      </c>
      <c r="K288" s="5" t="str">
        <f>IFERROR(VLOOKUP($D288,FIYAT!$B:$O,4,FALSE()),"")</f>
        <v>CHINT</v>
      </c>
      <c r="L288" s="5">
        <f t="shared" si="35"/>
        <v>4891.2</v>
      </c>
      <c r="M288" s="5"/>
      <c r="N288" s="5"/>
      <c r="O288" s="5"/>
      <c r="P288" s="5" t="str">
        <f>IF($H288="","FIYAT_YOK",IFERROR(VLOOKUP($D288,FIYAT!$B:$P,15,FALSE()),""))</f>
        <v>MUADIL</v>
      </c>
      <c r="Q288" s="5" t="s">
        <v>181</v>
      </c>
      <c r="R288" s="5" t="s">
        <v>171</v>
      </c>
      <c r="S288" s="5" t="s">
        <v>550</v>
      </c>
      <c r="T288" s="5" t="s">
        <v>77</v>
      </c>
      <c r="U288" s="5">
        <f>IFERROR(VLOOKUP($T288,KURALLAR!$A$32:$B$63,2,FALSE()),0)*IF(ISNUMBER($I288),$I288,0)</f>
        <v>20</v>
      </c>
    </row>
    <row r="289" spans="1:21" x14ac:dyDescent="0.25">
      <c r="A289" s="9">
        <v>288</v>
      </c>
      <c r="B289" s="9"/>
      <c r="C289" s="9" t="s">
        <v>79</v>
      </c>
      <c r="D289" s="9" t="s">
        <v>182</v>
      </c>
      <c r="E289" s="9" t="str">
        <f>IFERROR(VLOOKUP($D289,FIYAT!$B:$O,2,FALSE()),"")</f>
        <v>Плавкая вставка предохранителя RT36-00-160, габарит 00, 63А</v>
      </c>
      <c r="F289" s="9">
        <f>IFERROR(VLOOKUP($D289,FIYAT!$B:$O,5,FALSE()),"")</f>
        <v>1525</v>
      </c>
      <c r="G289" s="9">
        <f>IFERROR(VLOOKUP($D289,FIYAT!$B:$O,8,FALSE()),"")</f>
        <v>915</v>
      </c>
      <c r="H289" s="9">
        <f t="shared" si="34"/>
        <v>3660</v>
      </c>
      <c r="I289" s="6">
        <v>4</v>
      </c>
      <c r="J289" s="9" t="str">
        <f>IFERROR(VLOOKUP($D289,FIYAT!$B:$O,9,FALSE()),"")</f>
        <v>Шт.</v>
      </c>
      <c r="K289" s="9" t="str">
        <f>IFERROR(VLOOKUP($D289,FIYAT!$B:$O,4,FALSE()),"")</f>
        <v>CHINT</v>
      </c>
      <c r="L289" s="9">
        <f t="shared" si="35"/>
        <v>3660</v>
      </c>
      <c r="M289" s="9"/>
      <c r="N289" s="9"/>
      <c r="O289" s="9"/>
      <c r="P289" s="9" t="str">
        <f>IF($H289="","FIYAT_YOK",IFERROR(VLOOKUP($D289,FIYAT!$B:$P,15,FALSE()),""))</f>
        <v>MUADIL</v>
      </c>
      <c r="Q289" s="9" t="s">
        <v>185</v>
      </c>
      <c r="R289" s="9" t="s">
        <v>184</v>
      </c>
      <c r="S289" s="9" t="s">
        <v>550</v>
      </c>
      <c r="T289" s="9" t="s">
        <v>79</v>
      </c>
      <c r="U289" s="9">
        <f>IFERROR(VLOOKUP($T289,KURALLAR!$A$32:$B$63,2,FALSE()),0)*IF(ISNUMBER($I289),$I289,0)</f>
        <v>12</v>
      </c>
    </row>
    <row r="290" spans="1:21" x14ac:dyDescent="0.25">
      <c r="A290" s="5">
        <v>289</v>
      </c>
      <c r="B290" s="5"/>
      <c r="C290" s="5" t="s">
        <v>75</v>
      </c>
      <c r="D290" s="5" t="s">
        <v>186</v>
      </c>
      <c r="E290" s="5" t="str">
        <f>IFERROR(VLOOKUP($D290,FIYAT!$B:$O,2,FALSE()),"")</f>
        <v>Ограничитель имп. перенапр. NU6-IIG 4Р In=25kA Uc=440B Im=65kA (R)</v>
      </c>
      <c r="F290" s="5">
        <f>IFERROR(VLOOKUP($D290,FIYAT!$B:$O,5,FALSE()),"")</f>
        <v>33208</v>
      </c>
      <c r="G290" s="5">
        <f>IFERROR(VLOOKUP($D290,FIYAT!$B:$O,8,FALSE()),"")</f>
        <v>19924.8</v>
      </c>
      <c r="H290" s="5">
        <f t="shared" si="34"/>
        <v>19924.8</v>
      </c>
      <c r="I290" s="6">
        <v>1</v>
      </c>
      <c r="J290" s="5" t="str">
        <f>IFERROR(VLOOKUP($D290,FIYAT!$B:$O,9,FALSE()),"")</f>
        <v>Шт.</v>
      </c>
      <c r="K290" s="5" t="str">
        <f>IFERROR(VLOOKUP($D290,FIYAT!$B:$O,4,FALSE()),"")</f>
        <v>CHINT</v>
      </c>
      <c r="L290" s="5">
        <f t="shared" si="35"/>
        <v>19924.8</v>
      </c>
      <c r="M290" s="5"/>
      <c r="N290" s="5"/>
      <c r="O290" s="5"/>
      <c r="P290" s="5" t="str">
        <f>IF($H290="","FIYAT_YOK",IFERROR(VLOOKUP($D290,FIYAT!$B:$P,15,FALSE()),""))</f>
        <v>MUADIL_ONAY</v>
      </c>
      <c r="Q290" s="5" t="s">
        <v>188</v>
      </c>
      <c r="R290" s="5" t="s">
        <v>184</v>
      </c>
      <c r="S290" s="5" t="s">
        <v>550</v>
      </c>
      <c r="T290" s="5" t="s">
        <v>75</v>
      </c>
      <c r="U290" s="5">
        <f>IFERROR(VLOOKUP($T290,KURALLAR!$A$32:$B$63,2,FALSE()),0)*IF(ISNUMBER($I290),$I290,0)</f>
        <v>10</v>
      </c>
    </row>
    <row r="291" spans="1:21" x14ac:dyDescent="0.25">
      <c r="A291" s="9">
        <v>290</v>
      </c>
      <c r="B291" s="9"/>
      <c r="C291" s="9" t="s">
        <v>192</v>
      </c>
      <c r="D291" s="9" t="s">
        <v>321</v>
      </c>
      <c r="E291" s="9" t="str">
        <f>IFERROR(VLOOKUP($D291,FIYAT!$B:$O,2,FALSE()),"")</f>
        <v>Авт. выкл. NXB-63 1P 25A 6кА х-ка C (R)</v>
      </c>
      <c r="F291" s="9">
        <f>IFERROR(VLOOKUP($D291,FIYAT!$B:$O,5,FALSE()),"")</f>
        <v>1330</v>
      </c>
      <c r="G291" s="9">
        <f>IFERROR(VLOOKUP($D291,FIYAT!$B:$O,8,FALSE()),"")</f>
        <v>798</v>
      </c>
      <c r="H291" s="9">
        <f t="shared" si="34"/>
        <v>798</v>
      </c>
      <c r="I291" s="6">
        <v>1</v>
      </c>
      <c r="J291" s="9" t="str">
        <f>IFERROR(VLOOKUP($D291,FIYAT!$B:$O,9,FALSE()),"")</f>
        <v>Шт.</v>
      </c>
      <c r="K291" s="9" t="str">
        <f>IFERROR(VLOOKUP($D291,FIYAT!$B:$O,4,FALSE()),"")</f>
        <v>CHINT</v>
      </c>
      <c r="L291" s="9">
        <f t="shared" si="35"/>
        <v>798</v>
      </c>
      <c r="M291" s="9"/>
      <c r="N291" s="9"/>
      <c r="O291" s="9"/>
      <c r="P291" s="9" t="str">
        <f>IF($H291="","FIYAT_YOK",IFERROR(VLOOKUP($D291,FIYAT!$B:$P,15,FALSE()),""))</f>
        <v>OK</v>
      </c>
      <c r="Q291" s="9" t="s">
        <v>323</v>
      </c>
      <c r="R291" s="9" t="s">
        <v>171</v>
      </c>
      <c r="S291" s="9" t="s">
        <v>550</v>
      </c>
      <c r="T291" s="9" t="s">
        <v>47</v>
      </c>
      <c r="U291" s="9">
        <f>IFERROR(VLOOKUP($T291,KURALLAR!$A$32:$B$63,2,FALSE()),0)*IF(ISNUMBER($I291),$I291,0)</f>
        <v>3</v>
      </c>
    </row>
    <row r="292" spans="1:21" x14ac:dyDescent="0.25">
      <c r="A292" s="5">
        <v>291</v>
      </c>
      <c r="B292" s="5"/>
      <c r="C292" s="5" t="s">
        <v>176</v>
      </c>
      <c r="D292" s="5" t="s">
        <v>324</v>
      </c>
      <c r="E292" s="5" t="str">
        <f>IFERROR(VLOOKUP($D292,FIYAT!$B:$O,2,FALSE()),"")</f>
        <v>УЗО NL1-63 6kA 2P 25A 30mA тип AC (R)</v>
      </c>
      <c r="F292" s="5">
        <f>IFERROR(VLOOKUP($D292,FIYAT!$B:$O,5,FALSE()),"")</f>
        <v>10809</v>
      </c>
      <c r="G292" s="5">
        <f>IFERROR(VLOOKUP($D292,FIYAT!$B:$O,8,FALSE()),"")</f>
        <v>6485.4</v>
      </c>
      <c r="H292" s="5">
        <f t="shared" si="34"/>
        <v>6485.4</v>
      </c>
      <c r="I292" s="6">
        <v>1</v>
      </c>
      <c r="J292" s="5" t="str">
        <f>IFERROR(VLOOKUP($D292,FIYAT!$B:$O,9,FALSE()),"")</f>
        <v>Шт.</v>
      </c>
      <c r="K292" s="5" t="str">
        <f>IFERROR(VLOOKUP($D292,FIYAT!$B:$O,4,FALSE()),"")</f>
        <v>CHINT</v>
      </c>
      <c r="L292" s="5">
        <f t="shared" si="35"/>
        <v>6485.4</v>
      </c>
      <c r="M292" s="5"/>
      <c r="N292" s="5"/>
      <c r="O292" s="5"/>
      <c r="P292" s="5" t="str">
        <f>IF($H292="","FIYAT_YOK",IFERROR(VLOOKUP($D292,FIYAT!$B:$P,15,FALSE()),""))</f>
        <v>OK</v>
      </c>
      <c r="Q292" s="5" t="s">
        <v>326</v>
      </c>
      <c r="R292" s="5" t="s">
        <v>171</v>
      </c>
      <c r="S292" s="5" t="s">
        <v>550</v>
      </c>
      <c r="T292" s="5" t="s">
        <v>55</v>
      </c>
      <c r="U292" s="5">
        <f>IFERROR(VLOOKUP($T292,KURALLAR!$A$32:$B$63,2,FALSE()),0)*IF(ISNUMBER($I292),$I292,0)</f>
        <v>6</v>
      </c>
    </row>
    <row r="293" spans="1:21" x14ac:dyDescent="0.25">
      <c r="A293" s="9">
        <v>292</v>
      </c>
      <c r="B293" s="9"/>
      <c r="C293" s="9" t="s">
        <v>192</v>
      </c>
      <c r="D293" s="9" t="s">
        <v>194</v>
      </c>
      <c r="E293" s="9" t="str">
        <f>IFERROR(VLOOKUP($D293,FIYAT!$B:$O,2,FALSE()),"")</f>
        <v>Авт. выкл. NXB-63 1P 16A 6кА х-ка C (R)</v>
      </c>
      <c r="F293" s="9">
        <f>IFERROR(VLOOKUP($D293,FIYAT!$B:$O,5,FALSE()),"")</f>
        <v>1389</v>
      </c>
      <c r="G293" s="9">
        <f>IFERROR(VLOOKUP($D293,FIYAT!$B:$O,8,FALSE()),"")</f>
        <v>833.4</v>
      </c>
      <c r="H293" s="9">
        <f t="shared" si="34"/>
        <v>7500.5999999999995</v>
      </c>
      <c r="I293" s="6">
        <v>9</v>
      </c>
      <c r="J293" s="9" t="str">
        <f>IFERROR(VLOOKUP($D293,FIYAT!$B:$O,9,FALSE()),"")</f>
        <v>Шт.</v>
      </c>
      <c r="K293" s="9" t="str">
        <f>IFERROR(VLOOKUP($D293,FIYAT!$B:$O,4,FALSE()),"")</f>
        <v>CHINT</v>
      </c>
      <c r="L293" s="9">
        <f t="shared" si="35"/>
        <v>7500.5999999999995</v>
      </c>
      <c r="M293" s="9"/>
      <c r="N293" s="9"/>
      <c r="O293" s="9"/>
      <c r="P293" s="9" t="str">
        <f>IF($H293="","FIYAT_YOK",IFERROR(VLOOKUP($D293,FIYAT!$B:$P,15,FALSE()),""))</f>
        <v>OK</v>
      </c>
      <c r="Q293" s="9" t="s">
        <v>196</v>
      </c>
      <c r="R293" s="9" t="s">
        <v>171</v>
      </c>
      <c r="S293" s="9" t="s">
        <v>550</v>
      </c>
      <c r="T293" s="9" t="s">
        <v>47</v>
      </c>
      <c r="U293" s="9">
        <f>IFERROR(VLOOKUP($T293,KURALLAR!$A$32:$B$63,2,FALSE()),0)*IF(ISNUMBER($I293),$I293,0)</f>
        <v>27</v>
      </c>
    </row>
    <row r="294" spans="1:21" x14ac:dyDescent="0.25">
      <c r="A294" s="5">
        <v>293</v>
      </c>
      <c r="B294" s="5"/>
      <c r="C294" s="5" t="s">
        <v>176</v>
      </c>
      <c r="D294" s="5" t="s">
        <v>200</v>
      </c>
      <c r="E294" s="5" t="str">
        <f>IFERROR(VLOOKUP($D294,FIYAT!$B:$O,2,FALSE()),"")</f>
        <v>УЗО NL1-63 6kA 2P 16A 30mA тип AC (R)</v>
      </c>
      <c r="F294" s="5">
        <f>IFERROR(VLOOKUP($D294,FIYAT!$B:$O,5,FALSE()),"")</f>
        <v>10809</v>
      </c>
      <c r="G294" s="5">
        <f>IFERROR(VLOOKUP($D294,FIYAT!$B:$O,8,FALSE()),"")</f>
        <v>6485.4</v>
      </c>
      <c r="H294" s="5">
        <f t="shared" si="34"/>
        <v>6485.4</v>
      </c>
      <c r="I294" s="6">
        <v>1</v>
      </c>
      <c r="J294" s="5" t="str">
        <f>IFERROR(VLOOKUP($D294,FIYAT!$B:$O,9,FALSE()),"")</f>
        <v>Шт.</v>
      </c>
      <c r="K294" s="5" t="str">
        <f>IFERROR(VLOOKUP($D294,FIYAT!$B:$O,4,FALSE()),"")</f>
        <v>CHINT</v>
      </c>
      <c r="L294" s="5">
        <f t="shared" si="35"/>
        <v>6485.4</v>
      </c>
      <c r="M294" s="5"/>
      <c r="N294" s="5"/>
      <c r="O294" s="5"/>
      <c r="P294" s="5" t="str">
        <f>IF($H294="","FIYAT_YOK",IFERROR(VLOOKUP($D294,FIYAT!$B:$P,15,FALSE()),""))</f>
        <v>OK</v>
      </c>
      <c r="Q294" s="5" t="s">
        <v>202</v>
      </c>
      <c r="R294" s="5" t="s">
        <v>171</v>
      </c>
      <c r="S294" s="5" t="s">
        <v>550</v>
      </c>
      <c r="T294" s="5" t="s">
        <v>55</v>
      </c>
      <c r="U294" s="5">
        <f>IFERROR(VLOOKUP($T294,KURALLAR!$A$32:$B$63,2,FALSE()),0)*IF(ISNUMBER($I294),$I294,0)</f>
        <v>6</v>
      </c>
    </row>
    <row r="295" spans="1:21" x14ac:dyDescent="0.25">
      <c r="A295" s="9">
        <v>294</v>
      </c>
      <c r="B295" s="9"/>
      <c r="C295" s="9" t="s">
        <v>192</v>
      </c>
      <c r="D295" s="9" t="s">
        <v>206</v>
      </c>
      <c r="E295" s="9" t="str">
        <f>IFERROR(VLOOKUP($D295,FIYAT!$B:$O,2,FALSE()),"")</f>
        <v>Авт. выкл. NXB-63 1P 10A 6кА х-ка C (R)</v>
      </c>
      <c r="F295" s="9">
        <f>IFERROR(VLOOKUP($D295,FIYAT!$B:$O,5,FALSE()),"")</f>
        <v>1362</v>
      </c>
      <c r="G295" s="9">
        <f>IFERROR(VLOOKUP($D295,FIYAT!$B:$O,8,FALSE()),"")</f>
        <v>817.19999999999993</v>
      </c>
      <c r="H295" s="9">
        <f t="shared" si="34"/>
        <v>11440.8</v>
      </c>
      <c r="I295" s="6">
        <v>14</v>
      </c>
      <c r="J295" s="9" t="str">
        <f>IFERROR(VLOOKUP($D295,FIYAT!$B:$O,9,FALSE()),"")</f>
        <v>Шт.</v>
      </c>
      <c r="K295" s="9" t="str">
        <f>IFERROR(VLOOKUP($D295,FIYAT!$B:$O,4,FALSE()),"")</f>
        <v>CHINT</v>
      </c>
      <c r="L295" s="9">
        <f t="shared" si="35"/>
        <v>11440.8</v>
      </c>
      <c r="M295" s="9"/>
      <c r="N295" s="9"/>
      <c r="O295" s="9"/>
      <c r="P295" s="9" t="str">
        <f>IF($H295="","FIYAT_YOK",IFERROR(VLOOKUP($D295,FIYAT!$B:$P,15,FALSE()),""))</f>
        <v>OK</v>
      </c>
      <c r="Q295" s="9" t="s">
        <v>208</v>
      </c>
      <c r="R295" s="9" t="s">
        <v>184</v>
      </c>
      <c r="S295" s="9" t="s">
        <v>550</v>
      </c>
      <c r="T295" s="9" t="s">
        <v>47</v>
      </c>
      <c r="U295" s="9">
        <f>IFERROR(VLOOKUP($T295,KURALLAR!$A$32:$B$63,2,FALSE()),0)*IF(ISNUMBER($I295),$I295,0)</f>
        <v>42</v>
      </c>
    </row>
    <row r="296" spans="1:21" x14ac:dyDescent="0.25">
      <c r="A296" s="5">
        <v>295</v>
      </c>
      <c r="B296" s="5"/>
      <c r="C296" s="5" t="s">
        <v>93</v>
      </c>
      <c r="D296" s="5" t="s">
        <v>209</v>
      </c>
      <c r="E296" s="5" t="str">
        <f>IFERROR(VLOOKUP($D296,FIYAT!$B:$O,2,FALSE()),"")</f>
        <v>Шина "N" нулевая 6х9мм на DIN-рейку в корпусном изоляторе ШНИ 12К IEK (10)</v>
      </c>
      <c r="F296" s="5">
        <f>IFERROR(VLOOKUP($D296,FIYAT!$B:$O,5,FALSE()),"")</f>
        <v>755</v>
      </c>
      <c r="G296" s="5">
        <f>IFERROR(VLOOKUP($D296,FIYAT!$B:$O,8,FALSE()),"")</f>
        <v>453</v>
      </c>
      <c r="H296" s="5">
        <f t="shared" si="34"/>
        <v>1812</v>
      </c>
      <c r="I296" s="6">
        <v>4</v>
      </c>
      <c r="J296" s="5" t="str">
        <f>IFERROR(VLOOKUP($D296,FIYAT!$B:$O,9,FALSE()),"")</f>
        <v>Шт.</v>
      </c>
      <c r="K296" s="5" t="str">
        <f>IFERROR(VLOOKUP($D296,FIYAT!$B:$O,4,FALSE()),"")</f>
        <v>KAZTEK</v>
      </c>
      <c r="L296" s="5">
        <f t="shared" si="35"/>
        <v>1812</v>
      </c>
      <c r="M296" s="5"/>
      <c r="N296" s="5"/>
      <c r="O296" s="5"/>
      <c r="P296" s="5" t="str">
        <f>IF($H296="","FIYAT_YOK",IFERROR(VLOOKUP($D296,FIYAT!$B:$P,15,FALSE()),""))</f>
        <v>MUADIL</v>
      </c>
      <c r="Q296" s="5" t="s">
        <v>212</v>
      </c>
      <c r="R296" s="5" t="s">
        <v>211</v>
      </c>
      <c r="S296" s="5" t="s">
        <v>550</v>
      </c>
      <c r="T296" s="5" t="s">
        <v>93</v>
      </c>
      <c r="U296" s="5">
        <f>IFERROR(VLOOKUP($T296,KURALLAR!$A$32:$B$63,2,FALSE()),0)*IF(ISNUMBER($I296),$I296,0)</f>
        <v>32</v>
      </c>
    </row>
    <row r="297" spans="1:21" x14ac:dyDescent="0.25">
      <c r="A297" s="9">
        <v>296</v>
      </c>
      <c r="B297" s="9"/>
      <c r="C297" s="9" t="s">
        <v>222</v>
      </c>
      <c r="D297" s="9" t="s">
        <v>310</v>
      </c>
      <c r="E297" s="9" t="str">
        <f>IFERROR(VLOOKUP($D297,FIYAT!$B:$O,2,FALSE()),"")</f>
        <v>Мет.Корпус ЩМП-4 (800x650x250) IP54</v>
      </c>
      <c r="F297" s="9">
        <f>IFERROR(VLOOKUP($D297,FIYAT!$B:$O,5,FALSE()),"")</f>
        <v>30540</v>
      </c>
      <c r="G297" s="9">
        <f>IFERROR(VLOOKUP($D297,FIYAT!$B:$O,8,FALSE()),"")</f>
        <v>18324</v>
      </c>
      <c r="H297" s="9">
        <f t="shared" si="34"/>
        <v>18324</v>
      </c>
      <c r="I297" s="6">
        <v>1</v>
      </c>
      <c r="J297" s="9" t="str">
        <f>IFERROR(VLOOKUP($D297,FIYAT!$B:$O,9,FALSE()),"")</f>
        <v>Шт.</v>
      </c>
      <c r="K297" s="9" t="str">
        <f>IFERROR(VLOOKUP($D297,FIYAT!$B:$O,4,FALSE()),"")</f>
        <v>KAZTEK</v>
      </c>
      <c r="L297" s="9">
        <f t="shared" si="35"/>
        <v>18324</v>
      </c>
      <c r="M297" s="9"/>
      <c r="N297" s="9"/>
      <c r="O297" s="9"/>
      <c r="P297" s="9" t="str">
        <f>IF($H297="","FIYAT_YOK",IFERROR(VLOOKUP($D297,FIYAT!$B:$P,15,FALSE()),""))</f>
        <v>VARSAYIM</v>
      </c>
      <c r="Q297" s="9" t="s">
        <v>312</v>
      </c>
      <c r="R297" s="9" t="s">
        <v>211</v>
      </c>
      <c r="S297" s="9" t="s">
        <v>550</v>
      </c>
      <c r="T297" s="9" t="s">
        <v>105</v>
      </c>
      <c r="U297" s="9">
        <f>IFERROR(VLOOKUP($T297,KURALLAR!$A$32:$B$63,2,FALSE()),0)*IF(ISNUMBER($I297),$I297,0)</f>
        <v>30</v>
      </c>
    </row>
    <row r="298" spans="1:21" x14ac:dyDescent="0.25">
      <c r="A298" s="5">
        <v>297</v>
      </c>
      <c r="B298" s="5"/>
      <c r="C298" s="5" t="s">
        <v>215</v>
      </c>
      <c r="D298" s="5" t="s">
        <v>213</v>
      </c>
      <c r="E298" s="5" t="str">
        <f>IFERROR(VLOOKUP($D298,FIYAT!$B:$O,2,FALSE()),"")</f>
        <v>Монтажный расходный материал (кабель, DIN-рейка, кабель-канал, клеммы, маркировка, крепёж)</v>
      </c>
      <c r="F298" s="5">
        <f>IFERROR(VLOOKUP($D298,FIYAT!$B:$O,5,FALSE()),"")</f>
        <v>0</v>
      </c>
      <c r="G298" s="5" t="str">
        <f>IFERROR(VLOOKUP($D298,FIYAT!$B:$O,8,FALSE()),"")</f>
        <v/>
      </c>
      <c r="H298" s="5">
        <f>ROUND(SUM($H$286:$H$297)*KURALLAR!$B$28,0)</f>
        <v>9169</v>
      </c>
      <c r="I298" s="6">
        <v>1</v>
      </c>
      <c r="J298" s="5" t="str">
        <f>IFERROR(VLOOKUP($D298,FIYAT!$B:$O,9,FALSE()),"")</f>
        <v>компл.</v>
      </c>
      <c r="K298" s="5" t="str">
        <f>IFERROR(VLOOKUP($D298,FIYAT!$B:$O,4,FALSE()),"")</f>
        <v>MUADIL-NET</v>
      </c>
      <c r="L298" s="5">
        <f t="shared" si="35"/>
        <v>9169</v>
      </c>
      <c r="M298" s="5"/>
      <c r="N298" s="5"/>
      <c r="O298" s="5"/>
      <c r="P298" s="5" t="str">
        <f>IF($H298="","FIYAT_YOK",IFERROR(VLOOKUP($D298,FIYAT!$B:$P,15,FALSE()),""))</f>
        <v>ORAN</v>
      </c>
      <c r="Q298" s="5" t="s">
        <v>218</v>
      </c>
      <c r="R298" s="5" t="s">
        <v>217</v>
      </c>
      <c r="S298" s="5" t="s">
        <v>550</v>
      </c>
      <c r="T298" s="5"/>
      <c r="U298" s="5">
        <v>0</v>
      </c>
    </row>
    <row r="299" spans="1:21" x14ac:dyDescent="0.25">
      <c r="A299" s="9">
        <v>298</v>
      </c>
      <c r="B299" s="9"/>
      <c r="C299" s="9" t="s">
        <v>227</v>
      </c>
      <c r="D299" s="9" t="s">
        <v>225</v>
      </c>
      <c r="E299" s="9" t="str">
        <f>IFERROR(VLOOKUP($D299,FIYAT!$B:$O,2,FALSE()),"")</f>
        <v>Сборка, кабелирование, маркировка, момент затяжки, испытания</v>
      </c>
      <c r="F299" s="9">
        <f>IFERROR(VLOOKUP($D299,FIYAT!$B:$O,5,FALSE()),"")</f>
        <v>100</v>
      </c>
      <c r="G299" s="9">
        <f>IFERROR(VLOOKUP($D299,FIYAT!$B:$O,8,FALSE()),"")</f>
        <v>100</v>
      </c>
      <c r="H299" s="9">
        <f>IF(OR($G299="",$I299=""),"",$G299*$I299)</f>
        <v>24500</v>
      </c>
      <c r="I299" s="6">
        <f>ROUND(SUM($U$286:$U$298)*KURALLAR!$B$27,0)</f>
        <v>245</v>
      </c>
      <c r="J299" s="9" t="str">
        <f>IFERROR(VLOOKUP($D299,FIYAT!$B:$O,9,FALSE()),"")</f>
        <v>мин</v>
      </c>
      <c r="K299" s="9" t="str">
        <f>IFERROR(VLOOKUP($D299,FIYAT!$B:$O,4,FALSE()),"")</f>
        <v>ISCILIK</v>
      </c>
      <c r="L299" s="9">
        <f t="shared" si="35"/>
        <v>24500</v>
      </c>
      <c r="M299" s="9"/>
      <c r="N299" s="9"/>
      <c r="O299" s="9"/>
      <c r="P299" s="9" t="str">
        <f>IF($H299="","FIYAT_YOK",IFERROR(VLOOKUP($D299,FIYAT!$B:$P,15,FALSE()),""))</f>
        <v>OK</v>
      </c>
      <c r="Q299" s="9" t="str">
        <f>CONCATENATE("montaj+test iscilik: ",TEXT($I299,"# ##0")," dk = ",TEXT($I299/60,"0,00")," saat (norm x test/etiket carpani)")</f>
        <v>montaj+test iscilik:  245 dk = 4,08 saat (norm x test/etiket carpani)</v>
      </c>
      <c r="R299" s="9" t="s">
        <v>229</v>
      </c>
      <c r="S299" s="9" t="s">
        <v>550</v>
      </c>
      <c r="T299" s="9"/>
      <c r="U299" s="9">
        <v>0</v>
      </c>
    </row>
    <row r="300" spans="1:21" x14ac:dyDescent="0.25">
      <c r="A300" s="10">
        <v>299</v>
      </c>
      <c r="B300" s="10" t="s">
        <v>585</v>
      </c>
      <c r="C300" s="10"/>
      <c r="D300" s="10"/>
      <c r="E300" s="10"/>
      <c r="F300" s="10"/>
      <c r="G300" s="10"/>
      <c r="H300" s="10">
        <f>SUBTOTAL(9,H286:H299)</f>
        <v>164655</v>
      </c>
      <c r="I300" s="10"/>
      <c r="J300" s="10"/>
      <c r="K300" s="10"/>
      <c r="L300" s="10">
        <f>SUBTOTAL(9,L286:L299)</f>
        <v>164655</v>
      </c>
      <c r="M300" s="10"/>
      <c r="N300" s="10"/>
      <c r="O300" s="10"/>
      <c r="P300" s="10"/>
      <c r="Q300" s="10"/>
      <c r="R300" s="10"/>
      <c r="S300" s="10"/>
      <c r="T300" s="10"/>
      <c r="U300" s="10">
        <f>SUBTOTAL(9,U286:U299)</f>
        <v>213</v>
      </c>
    </row>
    <row r="301" spans="1:21" x14ac:dyDescent="0.25">
      <c r="A301" s="8">
        <v>300</v>
      </c>
      <c r="B301" s="8" t="str">
        <f>E301</f>
        <v>BLOK A / 6F-ИБП.2 — НКУ 380/220В 50Гц, FORM 2B, IP31/54</v>
      </c>
      <c r="C301" s="8" t="s">
        <v>545</v>
      </c>
      <c r="D301" s="8"/>
      <c r="E301" s="8" t="s">
        <v>586</v>
      </c>
      <c r="F301" s="8"/>
      <c r="G301" s="8"/>
      <c r="H301" s="8"/>
      <c r="I301" s="8">
        <v>1</v>
      </c>
      <c r="J301" s="8" t="s">
        <v>547</v>
      </c>
      <c r="K301" s="8"/>
      <c r="L301" s="8"/>
      <c r="M301" s="8"/>
      <c r="N301" s="8"/>
      <c r="O301" s="8"/>
      <c r="P301" s="8" t="s">
        <v>178</v>
      </c>
      <c r="Q301" s="8" t="s">
        <v>548</v>
      </c>
      <c r="R301" s="8" t="s">
        <v>549</v>
      </c>
      <c r="S301" s="8" t="s">
        <v>550</v>
      </c>
      <c r="T301" s="8"/>
      <c r="U301" s="8"/>
    </row>
    <row r="302" spans="1:21" x14ac:dyDescent="0.25">
      <c r="A302" s="5">
        <v>301</v>
      </c>
      <c r="B302" s="5"/>
      <c r="C302" s="5" t="s">
        <v>169</v>
      </c>
      <c r="D302" s="5" t="s">
        <v>167</v>
      </c>
      <c r="E302" s="5" t="str">
        <f>IFERROR(VLOOKUP($D302,FIYAT!$B:$O,2,FALSE()),"")</f>
        <v>Авт. выкл. NM8N-125C TM 3P 32А 36кА с рег. термомаг. расцепителем (R)</v>
      </c>
      <c r="F302" s="5">
        <f>IFERROR(VLOOKUP($D302,FIYAT!$B:$O,5,FALSE()),"")</f>
        <v>64667</v>
      </c>
      <c r="G302" s="5">
        <f>IFERROR(VLOOKUP($D302,FIYAT!$B:$O,8,FALSE()),"")</f>
        <v>38800.199999999997</v>
      </c>
      <c r="H302" s="5">
        <f t="shared" ref="H302:H313" si="36">IF(OR($G302="",$I302=""),"",$G302*$I302)</f>
        <v>38800.199999999997</v>
      </c>
      <c r="I302" s="6">
        <v>1</v>
      </c>
      <c r="J302" s="5" t="str">
        <f>IFERROR(VLOOKUP($D302,FIYAT!$B:$O,9,FALSE()),"")</f>
        <v>Шт.</v>
      </c>
      <c r="K302" s="5" t="str">
        <f>IFERROR(VLOOKUP($D302,FIYAT!$B:$O,4,FALSE()),"")</f>
        <v>CHINT</v>
      </c>
      <c r="L302" s="5">
        <f t="shared" ref="L302:L315" si="37">IF($H302="","",$H302)</f>
        <v>38800.199999999997</v>
      </c>
      <c r="M302" s="5"/>
      <c r="N302" s="5"/>
      <c r="O302" s="5"/>
      <c r="P302" s="5" t="str">
        <f>IF($H302="","FIYAT_YOK",IFERROR(VLOOKUP($D302,FIYAT!$B:$P,15,FALSE()),""))</f>
        <v>MUADIL</v>
      </c>
      <c r="Q302" s="5" t="s">
        <v>172</v>
      </c>
      <c r="R302" s="5" t="s">
        <v>171</v>
      </c>
      <c r="S302" s="5" t="s">
        <v>550</v>
      </c>
      <c r="T302" s="5" t="s">
        <v>61</v>
      </c>
      <c r="U302" s="5">
        <f>IFERROR(VLOOKUP($T302,KURALLAR!$A$32:$B$63,2,FALSE()),0)*IF(ISNUMBER($I302),$I302,0)</f>
        <v>15</v>
      </c>
    </row>
    <row r="303" spans="1:21" x14ac:dyDescent="0.25">
      <c r="A303" s="9">
        <v>302</v>
      </c>
      <c r="B303" s="9"/>
      <c r="C303" s="9" t="s">
        <v>176</v>
      </c>
      <c r="D303" s="9" t="s">
        <v>174</v>
      </c>
      <c r="E303" s="9" t="str">
        <f>IFERROR(VLOOKUP($D303,FIYAT!$B:$O,2,FALSE()),"")</f>
        <v>УЗО NL1-63 6kA 4P 63A 300mA тип AC (R)</v>
      </c>
      <c r="F303" s="9">
        <f>IFERROR(VLOOKUP($D303,FIYAT!$B:$O,5,FALSE()),"")</f>
        <v>18106</v>
      </c>
      <c r="G303" s="9">
        <f>IFERROR(VLOOKUP($D303,FIYAT!$B:$O,8,FALSE()),"")</f>
        <v>10863.6</v>
      </c>
      <c r="H303" s="9">
        <f t="shared" si="36"/>
        <v>10863.6</v>
      </c>
      <c r="I303" s="6">
        <v>1</v>
      </c>
      <c r="J303" s="9" t="str">
        <f>IFERROR(VLOOKUP($D303,FIYAT!$B:$O,9,FALSE()),"")</f>
        <v>Шт.</v>
      </c>
      <c r="K303" s="9" t="str">
        <f>IFERROR(VLOOKUP($D303,FIYAT!$B:$O,4,FALSE()),"")</f>
        <v>CHINT</v>
      </c>
      <c r="L303" s="9">
        <f t="shared" si="37"/>
        <v>10863.6</v>
      </c>
      <c r="M303" s="9"/>
      <c r="N303" s="9"/>
      <c r="O303" s="9"/>
      <c r="P303" s="9" t="str">
        <f>IF($H303="","FIYAT_YOK",IFERROR(VLOOKUP($D303,FIYAT!$B:$P,15,FALSE()),""))</f>
        <v>OK</v>
      </c>
      <c r="Q303" s="9" t="s">
        <v>177</v>
      </c>
      <c r="R303" s="9" t="s">
        <v>171</v>
      </c>
      <c r="S303" s="9" t="s">
        <v>550</v>
      </c>
      <c r="T303" s="9" t="s">
        <v>57</v>
      </c>
      <c r="U303" s="9">
        <f>IFERROR(VLOOKUP($T303,KURALLAR!$A$32:$B$63,2,FALSE()),0)*IF(ISNUMBER($I303),$I303,0)</f>
        <v>10</v>
      </c>
    </row>
    <row r="304" spans="1:21" x14ac:dyDescent="0.25">
      <c r="A304" s="5">
        <v>303</v>
      </c>
      <c r="B304" s="5"/>
      <c r="C304" s="5" t="s">
        <v>79</v>
      </c>
      <c r="D304" s="5" t="s">
        <v>179</v>
      </c>
      <c r="E304" s="5" t="str">
        <f>IFERROR(VLOOKUP($D304,FIYAT!$B:$O,2,FALSE()),"")</f>
        <v>Держатель плавкой вставки RT36-00-160, габарит 00, 160А</v>
      </c>
      <c r="F304" s="5">
        <f>IFERROR(VLOOKUP($D304,FIYAT!$B:$O,5,FALSE()),"")</f>
        <v>2038</v>
      </c>
      <c r="G304" s="5">
        <f>IFERROR(VLOOKUP($D304,FIYAT!$B:$O,8,FALSE()),"")</f>
        <v>1222.8</v>
      </c>
      <c r="H304" s="5">
        <f t="shared" si="36"/>
        <v>4891.2</v>
      </c>
      <c r="I304" s="6">
        <v>4</v>
      </c>
      <c r="J304" s="5" t="str">
        <f>IFERROR(VLOOKUP($D304,FIYAT!$B:$O,9,FALSE()),"")</f>
        <v>Шт.</v>
      </c>
      <c r="K304" s="5" t="str">
        <f>IFERROR(VLOOKUP($D304,FIYAT!$B:$O,4,FALSE()),"")</f>
        <v>CHINT</v>
      </c>
      <c r="L304" s="5">
        <f t="shared" si="37"/>
        <v>4891.2</v>
      </c>
      <c r="M304" s="5"/>
      <c r="N304" s="5"/>
      <c r="O304" s="5"/>
      <c r="P304" s="5" t="str">
        <f>IF($H304="","FIYAT_YOK",IFERROR(VLOOKUP($D304,FIYAT!$B:$P,15,FALSE()),""))</f>
        <v>MUADIL</v>
      </c>
      <c r="Q304" s="5" t="s">
        <v>181</v>
      </c>
      <c r="R304" s="5" t="s">
        <v>171</v>
      </c>
      <c r="S304" s="5" t="s">
        <v>550</v>
      </c>
      <c r="T304" s="5" t="s">
        <v>77</v>
      </c>
      <c r="U304" s="5">
        <f>IFERROR(VLOOKUP($T304,KURALLAR!$A$32:$B$63,2,FALSE()),0)*IF(ISNUMBER($I304),$I304,0)</f>
        <v>20</v>
      </c>
    </row>
    <row r="305" spans="1:21" x14ac:dyDescent="0.25">
      <c r="A305" s="9">
        <v>304</v>
      </c>
      <c r="B305" s="9"/>
      <c r="C305" s="9" t="s">
        <v>79</v>
      </c>
      <c r="D305" s="9" t="s">
        <v>182</v>
      </c>
      <c r="E305" s="9" t="str">
        <f>IFERROR(VLOOKUP($D305,FIYAT!$B:$O,2,FALSE()),"")</f>
        <v>Плавкая вставка предохранителя RT36-00-160, габарит 00, 63А</v>
      </c>
      <c r="F305" s="9">
        <f>IFERROR(VLOOKUP($D305,FIYAT!$B:$O,5,FALSE()),"")</f>
        <v>1525</v>
      </c>
      <c r="G305" s="9">
        <f>IFERROR(VLOOKUP($D305,FIYAT!$B:$O,8,FALSE()),"")</f>
        <v>915</v>
      </c>
      <c r="H305" s="9">
        <f t="shared" si="36"/>
        <v>3660</v>
      </c>
      <c r="I305" s="6">
        <v>4</v>
      </c>
      <c r="J305" s="9" t="str">
        <f>IFERROR(VLOOKUP($D305,FIYAT!$B:$O,9,FALSE()),"")</f>
        <v>Шт.</v>
      </c>
      <c r="K305" s="9" t="str">
        <f>IFERROR(VLOOKUP($D305,FIYAT!$B:$O,4,FALSE()),"")</f>
        <v>CHINT</v>
      </c>
      <c r="L305" s="9">
        <f t="shared" si="37"/>
        <v>3660</v>
      </c>
      <c r="M305" s="9"/>
      <c r="N305" s="9"/>
      <c r="O305" s="9"/>
      <c r="P305" s="9" t="str">
        <f>IF($H305="","FIYAT_YOK",IFERROR(VLOOKUP($D305,FIYAT!$B:$P,15,FALSE()),""))</f>
        <v>MUADIL</v>
      </c>
      <c r="Q305" s="9" t="s">
        <v>185</v>
      </c>
      <c r="R305" s="9" t="s">
        <v>184</v>
      </c>
      <c r="S305" s="9" t="s">
        <v>550</v>
      </c>
      <c r="T305" s="9" t="s">
        <v>79</v>
      </c>
      <c r="U305" s="9">
        <f>IFERROR(VLOOKUP($T305,KURALLAR!$A$32:$B$63,2,FALSE()),0)*IF(ISNUMBER($I305),$I305,0)</f>
        <v>12</v>
      </c>
    </row>
    <row r="306" spans="1:21" x14ac:dyDescent="0.25">
      <c r="A306" s="5">
        <v>305</v>
      </c>
      <c r="B306" s="5"/>
      <c r="C306" s="5" t="s">
        <v>75</v>
      </c>
      <c r="D306" s="5" t="s">
        <v>186</v>
      </c>
      <c r="E306" s="5" t="str">
        <f>IFERROR(VLOOKUP($D306,FIYAT!$B:$O,2,FALSE()),"")</f>
        <v>Ограничитель имп. перенапр. NU6-IIG 4Р In=25kA Uc=440B Im=65kA (R)</v>
      </c>
      <c r="F306" s="5">
        <f>IFERROR(VLOOKUP($D306,FIYAT!$B:$O,5,FALSE()),"")</f>
        <v>33208</v>
      </c>
      <c r="G306" s="5">
        <f>IFERROR(VLOOKUP($D306,FIYAT!$B:$O,8,FALSE()),"")</f>
        <v>19924.8</v>
      </c>
      <c r="H306" s="5">
        <f t="shared" si="36"/>
        <v>19924.8</v>
      </c>
      <c r="I306" s="6">
        <v>1</v>
      </c>
      <c r="J306" s="5" t="str">
        <f>IFERROR(VLOOKUP($D306,FIYAT!$B:$O,9,FALSE()),"")</f>
        <v>Шт.</v>
      </c>
      <c r="K306" s="5" t="str">
        <f>IFERROR(VLOOKUP($D306,FIYAT!$B:$O,4,FALSE()),"")</f>
        <v>CHINT</v>
      </c>
      <c r="L306" s="5">
        <f t="shared" si="37"/>
        <v>19924.8</v>
      </c>
      <c r="M306" s="5"/>
      <c r="N306" s="5"/>
      <c r="O306" s="5"/>
      <c r="P306" s="5" t="str">
        <f>IF($H306="","FIYAT_YOK",IFERROR(VLOOKUP($D306,FIYAT!$B:$P,15,FALSE()),""))</f>
        <v>MUADIL_ONAY</v>
      </c>
      <c r="Q306" s="5" t="s">
        <v>188</v>
      </c>
      <c r="R306" s="5" t="s">
        <v>184</v>
      </c>
      <c r="S306" s="5" t="s">
        <v>550</v>
      </c>
      <c r="T306" s="5" t="s">
        <v>75</v>
      </c>
      <c r="U306" s="5">
        <f>IFERROR(VLOOKUP($T306,KURALLAR!$A$32:$B$63,2,FALSE()),0)*IF(ISNUMBER($I306),$I306,0)</f>
        <v>10</v>
      </c>
    </row>
    <row r="307" spans="1:21" x14ac:dyDescent="0.25">
      <c r="A307" s="9">
        <v>306</v>
      </c>
      <c r="B307" s="9"/>
      <c r="C307" s="9" t="s">
        <v>192</v>
      </c>
      <c r="D307" s="9" t="s">
        <v>321</v>
      </c>
      <c r="E307" s="9" t="str">
        <f>IFERROR(VLOOKUP($D307,FIYAT!$B:$O,2,FALSE()),"")</f>
        <v>Авт. выкл. NXB-63 1P 25A 6кА х-ка C (R)</v>
      </c>
      <c r="F307" s="9">
        <f>IFERROR(VLOOKUP($D307,FIYAT!$B:$O,5,FALSE()),"")</f>
        <v>1330</v>
      </c>
      <c r="G307" s="9">
        <f>IFERROR(VLOOKUP($D307,FIYAT!$B:$O,8,FALSE()),"")</f>
        <v>798</v>
      </c>
      <c r="H307" s="9">
        <f t="shared" si="36"/>
        <v>798</v>
      </c>
      <c r="I307" s="6">
        <v>1</v>
      </c>
      <c r="J307" s="9" t="str">
        <f>IFERROR(VLOOKUP($D307,FIYAT!$B:$O,9,FALSE()),"")</f>
        <v>Шт.</v>
      </c>
      <c r="K307" s="9" t="str">
        <f>IFERROR(VLOOKUP($D307,FIYAT!$B:$O,4,FALSE()),"")</f>
        <v>CHINT</v>
      </c>
      <c r="L307" s="9">
        <f t="shared" si="37"/>
        <v>798</v>
      </c>
      <c r="M307" s="9"/>
      <c r="N307" s="9"/>
      <c r="O307" s="9"/>
      <c r="P307" s="9" t="str">
        <f>IF($H307="","FIYAT_YOK",IFERROR(VLOOKUP($D307,FIYAT!$B:$P,15,FALSE()),""))</f>
        <v>OK</v>
      </c>
      <c r="Q307" s="9" t="s">
        <v>323</v>
      </c>
      <c r="R307" s="9" t="s">
        <v>171</v>
      </c>
      <c r="S307" s="9" t="s">
        <v>550</v>
      </c>
      <c r="T307" s="9" t="s">
        <v>47</v>
      </c>
      <c r="U307" s="9">
        <f>IFERROR(VLOOKUP($T307,KURALLAR!$A$32:$B$63,2,FALSE()),0)*IF(ISNUMBER($I307),$I307,0)</f>
        <v>3</v>
      </c>
    </row>
    <row r="308" spans="1:21" x14ac:dyDescent="0.25">
      <c r="A308" s="5">
        <v>307</v>
      </c>
      <c r="B308" s="5"/>
      <c r="C308" s="5" t="s">
        <v>176</v>
      </c>
      <c r="D308" s="5" t="s">
        <v>324</v>
      </c>
      <c r="E308" s="5" t="str">
        <f>IFERROR(VLOOKUP($D308,FIYAT!$B:$O,2,FALSE()),"")</f>
        <v>УЗО NL1-63 6kA 2P 25A 30mA тип AC (R)</v>
      </c>
      <c r="F308" s="5">
        <f>IFERROR(VLOOKUP($D308,FIYAT!$B:$O,5,FALSE()),"")</f>
        <v>10809</v>
      </c>
      <c r="G308" s="5">
        <f>IFERROR(VLOOKUP($D308,FIYAT!$B:$O,8,FALSE()),"")</f>
        <v>6485.4</v>
      </c>
      <c r="H308" s="5">
        <f t="shared" si="36"/>
        <v>6485.4</v>
      </c>
      <c r="I308" s="6">
        <v>1</v>
      </c>
      <c r="J308" s="5" t="str">
        <f>IFERROR(VLOOKUP($D308,FIYAT!$B:$O,9,FALSE()),"")</f>
        <v>Шт.</v>
      </c>
      <c r="K308" s="5" t="str">
        <f>IFERROR(VLOOKUP($D308,FIYAT!$B:$O,4,FALSE()),"")</f>
        <v>CHINT</v>
      </c>
      <c r="L308" s="5">
        <f t="shared" si="37"/>
        <v>6485.4</v>
      </c>
      <c r="M308" s="5"/>
      <c r="N308" s="5"/>
      <c r="O308" s="5"/>
      <c r="P308" s="5" t="str">
        <f>IF($H308="","FIYAT_YOK",IFERROR(VLOOKUP($D308,FIYAT!$B:$P,15,FALSE()),""))</f>
        <v>OK</v>
      </c>
      <c r="Q308" s="5" t="s">
        <v>326</v>
      </c>
      <c r="R308" s="5" t="s">
        <v>171</v>
      </c>
      <c r="S308" s="5" t="s">
        <v>550</v>
      </c>
      <c r="T308" s="5" t="s">
        <v>55</v>
      </c>
      <c r="U308" s="5">
        <f>IFERROR(VLOOKUP($T308,KURALLAR!$A$32:$B$63,2,FALSE()),0)*IF(ISNUMBER($I308),$I308,0)</f>
        <v>6</v>
      </c>
    </row>
    <row r="309" spans="1:21" x14ac:dyDescent="0.25">
      <c r="A309" s="9">
        <v>308</v>
      </c>
      <c r="B309" s="9"/>
      <c r="C309" s="9" t="s">
        <v>192</v>
      </c>
      <c r="D309" s="9" t="s">
        <v>194</v>
      </c>
      <c r="E309" s="9" t="str">
        <f>IFERROR(VLOOKUP($D309,FIYAT!$B:$O,2,FALSE()),"")</f>
        <v>Авт. выкл. NXB-63 1P 16A 6кА х-ка C (R)</v>
      </c>
      <c r="F309" s="9">
        <f>IFERROR(VLOOKUP($D309,FIYAT!$B:$O,5,FALSE()),"")</f>
        <v>1389</v>
      </c>
      <c r="G309" s="9">
        <f>IFERROR(VLOOKUP($D309,FIYAT!$B:$O,8,FALSE()),"")</f>
        <v>833.4</v>
      </c>
      <c r="H309" s="9">
        <f t="shared" si="36"/>
        <v>4167</v>
      </c>
      <c r="I309" s="6">
        <v>5</v>
      </c>
      <c r="J309" s="9" t="str">
        <f>IFERROR(VLOOKUP($D309,FIYAT!$B:$O,9,FALSE()),"")</f>
        <v>Шт.</v>
      </c>
      <c r="K309" s="9" t="str">
        <f>IFERROR(VLOOKUP($D309,FIYAT!$B:$O,4,FALSE()),"")</f>
        <v>CHINT</v>
      </c>
      <c r="L309" s="9">
        <f t="shared" si="37"/>
        <v>4167</v>
      </c>
      <c r="M309" s="9"/>
      <c r="N309" s="9"/>
      <c r="O309" s="9"/>
      <c r="P309" s="9" t="str">
        <f>IF($H309="","FIYAT_YOK",IFERROR(VLOOKUP($D309,FIYAT!$B:$P,15,FALSE()),""))</f>
        <v>OK</v>
      </c>
      <c r="Q309" s="9" t="s">
        <v>196</v>
      </c>
      <c r="R309" s="9" t="s">
        <v>171</v>
      </c>
      <c r="S309" s="9" t="s">
        <v>550</v>
      </c>
      <c r="T309" s="9" t="s">
        <v>47</v>
      </c>
      <c r="U309" s="9">
        <f>IFERROR(VLOOKUP($T309,KURALLAR!$A$32:$B$63,2,FALSE()),0)*IF(ISNUMBER($I309),$I309,0)</f>
        <v>15</v>
      </c>
    </row>
    <row r="310" spans="1:21" x14ac:dyDescent="0.25">
      <c r="A310" s="5">
        <v>309</v>
      </c>
      <c r="B310" s="5"/>
      <c r="C310" s="5" t="s">
        <v>176</v>
      </c>
      <c r="D310" s="5" t="s">
        <v>200</v>
      </c>
      <c r="E310" s="5" t="str">
        <f>IFERROR(VLOOKUP($D310,FIYAT!$B:$O,2,FALSE()),"")</f>
        <v>УЗО NL1-63 6kA 2P 16A 30mA тип AC (R)</v>
      </c>
      <c r="F310" s="5">
        <f>IFERROR(VLOOKUP($D310,FIYAT!$B:$O,5,FALSE()),"")</f>
        <v>10809</v>
      </c>
      <c r="G310" s="5">
        <f>IFERROR(VLOOKUP($D310,FIYAT!$B:$O,8,FALSE()),"")</f>
        <v>6485.4</v>
      </c>
      <c r="H310" s="5">
        <f t="shared" si="36"/>
        <v>6485.4</v>
      </c>
      <c r="I310" s="6">
        <v>1</v>
      </c>
      <c r="J310" s="5" t="str">
        <f>IFERROR(VLOOKUP($D310,FIYAT!$B:$O,9,FALSE()),"")</f>
        <v>Шт.</v>
      </c>
      <c r="K310" s="5" t="str">
        <f>IFERROR(VLOOKUP($D310,FIYAT!$B:$O,4,FALSE()),"")</f>
        <v>CHINT</v>
      </c>
      <c r="L310" s="5">
        <f t="shared" si="37"/>
        <v>6485.4</v>
      </c>
      <c r="M310" s="5"/>
      <c r="N310" s="5"/>
      <c r="O310" s="5"/>
      <c r="P310" s="5" t="str">
        <f>IF($H310="","FIYAT_YOK",IFERROR(VLOOKUP($D310,FIYAT!$B:$P,15,FALSE()),""))</f>
        <v>OK</v>
      </c>
      <c r="Q310" s="5" t="s">
        <v>202</v>
      </c>
      <c r="R310" s="5" t="s">
        <v>171</v>
      </c>
      <c r="S310" s="5" t="s">
        <v>550</v>
      </c>
      <c r="T310" s="5" t="s">
        <v>55</v>
      </c>
      <c r="U310" s="5">
        <f>IFERROR(VLOOKUP($T310,KURALLAR!$A$32:$B$63,2,FALSE()),0)*IF(ISNUMBER($I310),$I310,0)</f>
        <v>6</v>
      </c>
    </row>
    <row r="311" spans="1:21" x14ac:dyDescent="0.25">
      <c r="A311" s="9">
        <v>310</v>
      </c>
      <c r="B311" s="9"/>
      <c r="C311" s="9" t="s">
        <v>192</v>
      </c>
      <c r="D311" s="9" t="s">
        <v>206</v>
      </c>
      <c r="E311" s="9" t="str">
        <f>IFERROR(VLOOKUP($D311,FIYAT!$B:$O,2,FALSE()),"")</f>
        <v>Авт. выкл. NXB-63 1P 10A 6кА х-ка C (R)</v>
      </c>
      <c r="F311" s="9">
        <f>IFERROR(VLOOKUP($D311,FIYAT!$B:$O,5,FALSE()),"")</f>
        <v>1362</v>
      </c>
      <c r="G311" s="9">
        <f>IFERROR(VLOOKUP($D311,FIYAT!$B:$O,8,FALSE()),"")</f>
        <v>817.19999999999993</v>
      </c>
      <c r="H311" s="9">
        <f t="shared" si="36"/>
        <v>11440.8</v>
      </c>
      <c r="I311" s="6">
        <v>14</v>
      </c>
      <c r="J311" s="9" t="str">
        <f>IFERROR(VLOOKUP($D311,FIYAT!$B:$O,9,FALSE()),"")</f>
        <v>Шт.</v>
      </c>
      <c r="K311" s="9" t="str">
        <f>IFERROR(VLOOKUP($D311,FIYAT!$B:$O,4,FALSE()),"")</f>
        <v>CHINT</v>
      </c>
      <c r="L311" s="9">
        <f t="shared" si="37"/>
        <v>11440.8</v>
      </c>
      <c r="M311" s="9"/>
      <c r="N311" s="9"/>
      <c r="O311" s="9"/>
      <c r="P311" s="9" t="str">
        <f>IF($H311="","FIYAT_YOK",IFERROR(VLOOKUP($D311,FIYAT!$B:$P,15,FALSE()),""))</f>
        <v>OK</v>
      </c>
      <c r="Q311" s="9" t="s">
        <v>208</v>
      </c>
      <c r="R311" s="9" t="s">
        <v>184</v>
      </c>
      <c r="S311" s="9" t="s">
        <v>550</v>
      </c>
      <c r="T311" s="9" t="s">
        <v>47</v>
      </c>
      <c r="U311" s="9">
        <f>IFERROR(VLOOKUP($T311,KURALLAR!$A$32:$B$63,2,FALSE()),0)*IF(ISNUMBER($I311),$I311,0)</f>
        <v>42</v>
      </c>
    </row>
    <row r="312" spans="1:21" x14ac:dyDescent="0.25">
      <c r="A312" s="5">
        <v>311</v>
      </c>
      <c r="B312" s="5"/>
      <c r="C312" s="5" t="s">
        <v>93</v>
      </c>
      <c r="D312" s="5" t="s">
        <v>209</v>
      </c>
      <c r="E312" s="5" t="str">
        <f>IFERROR(VLOOKUP($D312,FIYAT!$B:$O,2,FALSE()),"")</f>
        <v>Шина "N" нулевая 6х9мм на DIN-рейку в корпусном изоляторе ШНИ 12К IEK (10)</v>
      </c>
      <c r="F312" s="5">
        <f>IFERROR(VLOOKUP($D312,FIYAT!$B:$O,5,FALSE()),"")</f>
        <v>755</v>
      </c>
      <c r="G312" s="5">
        <f>IFERROR(VLOOKUP($D312,FIYAT!$B:$O,8,FALSE()),"")</f>
        <v>453</v>
      </c>
      <c r="H312" s="5">
        <f t="shared" si="36"/>
        <v>1812</v>
      </c>
      <c r="I312" s="6">
        <v>4</v>
      </c>
      <c r="J312" s="5" t="str">
        <f>IFERROR(VLOOKUP($D312,FIYAT!$B:$O,9,FALSE()),"")</f>
        <v>Шт.</v>
      </c>
      <c r="K312" s="5" t="str">
        <f>IFERROR(VLOOKUP($D312,FIYAT!$B:$O,4,FALSE()),"")</f>
        <v>KAZTEK</v>
      </c>
      <c r="L312" s="5">
        <f t="shared" si="37"/>
        <v>1812</v>
      </c>
      <c r="M312" s="5"/>
      <c r="N312" s="5"/>
      <c r="O312" s="5"/>
      <c r="P312" s="5" t="str">
        <f>IF($H312="","FIYAT_YOK",IFERROR(VLOOKUP($D312,FIYAT!$B:$P,15,FALSE()),""))</f>
        <v>MUADIL</v>
      </c>
      <c r="Q312" s="5" t="s">
        <v>212</v>
      </c>
      <c r="R312" s="5" t="s">
        <v>211</v>
      </c>
      <c r="S312" s="5" t="s">
        <v>550</v>
      </c>
      <c r="T312" s="5" t="s">
        <v>93</v>
      </c>
      <c r="U312" s="5">
        <f>IFERROR(VLOOKUP($T312,KURALLAR!$A$32:$B$63,2,FALSE()),0)*IF(ISNUMBER($I312),$I312,0)</f>
        <v>32</v>
      </c>
    </row>
    <row r="313" spans="1:21" x14ac:dyDescent="0.25">
      <c r="A313" s="9">
        <v>312</v>
      </c>
      <c r="B313" s="9"/>
      <c r="C313" s="9" t="s">
        <v>222</v>
      </c>
      <c r="D313" s="9" t="s">
        <v>310</v>
      </c>
      <c r="E313" s="9" t="str">
        <f>IFERROR(VLOOKUP($D313,FIYAT!$B:$O,2,FALSE()),"")</f>
        <v>Мет.Корпус ЩМП-4 (800x650x250) IP54</v>
      </c>
      <c r="F313" s="9">
        <f>IFERROR(VLOOKUP($D313,FIYAT!$B:$O,5,FALSE()),"")</f>
        <v>30540</v>
      </c>
      <c r="G313" s="9">
        <f>IFERROR(VLOOKUP($D313,FIYAT!$B:$O,8,FALSE()),"")</f>
        <v>18324</v>
      </c>
      <c r="H313" s="9">
        <f t="shared" si="36"/>
        <v>18324</v>
      </c>
      <c r="I313" s="6">
        <v>1</v>
      </c>
      <c r="J313" s="9" t="str">
        <f>IFERROR(VLOOKUP($D313,FIYAT!$B:$O,9,FALSE()),"")</f>
        <v>Шт.</v>
      </c>
      <c r="K313" s="9" t="str">
        <f>IFERROR(VLOOKUP($D313,FIYAT!$B:$O,4,FALSE()),"")</f>
        <v>KAZTEK</v>
      </c>
      <c r="L313" s="9">
        <f t="shared" si="37"/>
        <v>18324</v>
      </c>
      <c r="M313" s="9"/>
      <c r="N313" s="9"/>
      <c r="O313" s="9"/>
      <c r="P313" s="9" t="str">
        <f>IF($H313="","FIYAT_YOK",IFERROR(VLOOKUP($D313,FIYAT!$B:$P,15,FALSE()),""))</f>
        <v>VARSAYIM</v>
      </c>
      <c r="Q313" s="9" t="s">
        <v>312</v>
      </c>
      <c r="R313" s="9" t="s">
        <v>211</v>
      </c>
      <c r="S313" s="9" t="s">
        <v>550</v>
      </c>
      <c r="T313" s="9" t="s">
        <v>105</v>
      </c>
      <c r="U313" s="9">
        <f>IFERROR(VLOOKUP($T313,KURALLAR!$A$32:$B$63,2,FALSE()),0)*IF(ISNUMBER($I313),$I313,0)</f>
        <v>30</v>
      </c>
    </row>
    <row r="314" spans="1:21" x14ac:dyDescent="0.25">
      <c r="A314" s="5">
        <v>313</v>
      </c>
      <c r="B314" s="5"/>
      <c r="C314" s="5" t="s">
        <v>215</v>
      </c>
      <c r="D314" s="5" t="s">
        <v>213</v>
      </c>
      <c r="E314" s="5" t="str">
        <f>IFERROR(VLOOKUP($D314,FIYAT!$B:$O,2,FALSE()),"")</f>
        <v>Монтажный расходный материал (кабель, DIN-рейка, кабель-канал, клеммы, маркировка, крепёж)</v>
      </c>
      <c r="F314" s="5">
        <f>IFERROR(VLOOKUP($D314,FIYAT!$B:$O,5,FALSE()),"")</f>
        <v>0</v>
      </c>
      <c r="G314" s="5" t="str">
        <f>IFERROR(VLOOKUP($D314,FIYAT!$B:$O,8,FALSE()),"")</f>
        <v/>
      </c>
      <c r="H314" s="5">
        <f>ROUND(SUM($H$302:$H$313)*KURALLAR!$B$28,0)</f>
        <v>8936</v>
      </c>
      <c r="I314" s="6">
        <v>1</v>
      </c>
      <c r="J314" s="5" t="str">
        <f>IFERROR(VLOOKUP($D314,FIYAT!$B:$O,9,FALSE()),"")</f>
        <v>компл.</v>
      </c>
      <c r="K314" s="5" t="str">
        <f>IFERROR(VLOOKUP($D314,FIYAT!$B:$O,4,FALSE()),"")</f>
        <v>MUADIL-NET</v>
      </c>
      <c r="L314" s="5">
        <f t="shared" si="37"/>
        <v>8936</v>
      </c>
      <c r="M314" s="5"/>
      <c r="N314" s="5"/>
      <c r="O314" s="5"/>
      <c r="P314" s="5" t="str">
        <f>IF($H314="","FIYAT_YOK",IFERROR(VLOOKUP($D314,FIYAT!$B:$P,15,FALSE()),""))</f>
        <v>ORAN</v>
      </c>
      <c r="Q314" s="5" t="s">
        <v>218</v>
      </c>
      <c r="R314" s="5" t="s">
        <v>217</v>
      </c>
      <c r="S314" s="5" t="s">
        <v>550</v>
      </c>
      <c r="T314" s="5"/>
      <c r="U314" s="5">
        <v>0</v>
      </c>
    </row>
    <row r="315" spans="1:21" x14ac:dyDescent="0.25">
      <c r="A315" s="9">
        <v>314</v>
      </c>
      <c r="B315" s="9"/>
      <c r="C315" s="9" t="s">
        <v>227</v>
      </c>
      <c r="D315" s="9" t="s">
        <v>225</v>
      </c>
      <c r="E315" s="9" t="str">
        <f>IFERROR(VLOOKUP($D315,FIYAT!$B:$O,2,FALSE()),"")</f>
        <v>Сборка, кабелирование, маркировка, момент затяжки, испытания</v>
      </c>
      <c r="F315" s="9">
        <f>IFERROR(VLOOKUP($D315,FIYAT!$B:$O,5,FALSE()),"")</f>
        <v>100</v>
      </c>
      <c r="G315" s="9">
        <f>IFERROR(VLOOKUP($D315,FIYAT!$B:$O,8,FALSE()),"")</f>
        <v>100</v>
      </c>
      <c r="H315" s="9">
        <f>IF(OR($G315="",$I315=""),"",$G315*$I315)</f>
        <v>23100</v>
      </c>
      <c r="I315" s="6">
        <f>ROUND(SUM($U$302:$U$314)*KURALLAR!$B$27,0)</f>
        <v>231</v>
      </c>
      <c r="J315" s="9" t="str">
        <f>IFERROR(VLOOKUP($D315,FIYAT!$B:$O,9,FALSE()),"")</f>
        <v>мин</v>
      </c>
      <c r="K315" s="9" t="str">
        <f>IFERROR(VLOOKUP($D315,FIYAT!$B:$O,4,FALSE()),"")</f>
        <v>ISCILIK</v>
      </c>
      <c r="L315" s="9">
        <f t="shared" si="37"/>
        <v>23100</v>
      </c>
      <c r="M315" s="9"/>
      <c r="N315" s="9"/>
      <c r="O315" s="9"/>
      <c r="P315" s="9" t="str">
        <f>IF($H315="","FIYAT_YOK",IFERROR(VLOOKUP($D315,FIYAT!$B:$P,15,FALSE()),""))</f>
        <v>OK</v>
      </c>
      <c r="Q315" s="9" t="str">
        <f>CONCATENATE("montaj+test iscilik: ",TEXT($I315,"# ##0")," dk = ",TEXT($I315/60,"0,00")," saat (norm x test/etiket carpani)")</f>
        <v>montaj+test iscilik:  231 dk = 3,85 saat (norm x test/etiket carpani)</v>
      </c>
      <c r="R315" s="9" t="s">
        <v>229</v>
      </c>
      <c r="S315" s="9" t="s">
        <v>550</v>
      </c>
      <c r="T315" s="9"/>
      <c r="U315" s="9">
        <v>0</v>
      </c>
    </row>
    <row r="316" spans="1:21" x14ac:dyDescent="0.25">
      <c r="A316" s="10">
        <v>315</v>
      </c>
      <c r="B316" s="10" t="s">
        <v>587</v>
      </c>
      <c r="C316" s="10"/>
      <c r="D316" s="10"/>
      <c r="E316" s="10"/>
      <c r="F316" s="10"/>
      <c r="G316" s="10"/>
      <c r="H316" s="10">
        <f>SUBTOTAL(9,H302:H315)</f>
        <v>159688.39999999997</v>
      </c>
      <c r="I316" s="10"/>
      <c r="J316" s="10"/>
      <c r="K316" s="10"/>
      <c r="L316" s="10">
        <f>SUBTOTAL(9,L302:L315)</f>
        <v>159688.39999999997</v>
      </c>
      <c r="M316" s="10"/>
      <c r="N316" s="10"/>
      <c r="O316" s="10"/>
      <c r="P316" s="10"/>
      <c r="Q316" s="10"/>
      <c r="R316" s="10"/>
      <c r="S316" s="10"/>
      <c r="T316" s="10"/>
      <c r="U316" s="10">
        <f>SUBTOTAL(9,U302:U315)</f>
        <v>201</v>
      </c>
    </row>
    <row r="317" spans="1:21" x14ac:dyDescent="0.25">
      <c r="A317" s="8">
        <v>316</v>
      </c>
      <c r="B317" s="8" t="str">
        <f>E317</f>
        <v>BLOK A / 11F-ЩС.1 — НКУ 380/220В 50Гц, FORM 2B, IP31/54</v>
      </c>
      <c r="C317" s="8" t="s">
        <v>545</v>
      </c>
      <c r="D317" s="8"/>
      <c r="E317" s="8" t="s">
        <v>588</v>
      </c>
      <c r="F317" s="8"/>
      <c r="G317" s="8"/>
      <c r="H317" s="8"/>
      <c r="I317" s="8">
        <v>1</v>
      </c>
      <c r="J317" s="8" t="s">
        <v>547</v>
      </c>
      <c r="K317" s="8"/>
      <c r="L317" s="8"/>
      <c r="M317" s="8"/>
      <c r="N317" s="8"/>
      <c r="O317" s="8"/>
      <c r="P317" s="8" t="s">
        <v>178</v>
      </c>
      <c r="Q317" s="8" t="s">
        <v>548</v>
      </c>
      <c r="R317" s="8" t="s">
        <v>549</v>
      </c>
      <c r="S317" s="8" t="s">
        <v>550</v>
      </c>
      <c r="T317" s="8"/>
      <c r="U317" s="8"/>
    </row>
    <row r="318" spans="1:21" x14ac:dyDescent="0.25">
      <c r="A318" s="5">
        <v>317</v>
      </c>
      <c r="B318" s="5"/>
      <c r="C318" s="5" t="s">
        <v>169</v>
      </c>
      <c r="D318" s="5" t="s">
        <v>167</v>
      </c>
      <c r="E318" s="5" t="str">
        <f>IFERROR(VLOOKUP($D318,FIYAT!$B:$O,2,FALSE()),"")</f>
        <v>Авт. выкл. NM8N-125C TM 3P 32А 36кА с рег. термомаг. расцепителем (R)</v>
      </c>
      <c r="F318" s="5">
        <f>IFERROR(VLOOKUP($D318,FIYAT!$B:$O,5,FALSE()),"")</f>
        <v>64667</v>
      </c>
      <c r="G318" s="5">
        <f>IFERROR(VLOOKUP($D318,FIYAT!$B:$O,8,FALSE()),"")</f>
        <v>38800.199999999997</v>
      </c>
      <c r="H318" s="5">
        <f t="shared" ref="H318:H329" si="38">IF(OR($G318="",$I318=""),"",$G318*$I318)</f>
        <v>38800.199999999997</v>
      </c>
      <c r="I318" s="6">
        <v>1</v>
      </c>
      <c r="J318" s="5" t="str">
        <f>IFERROR(VLOOKUP($D318,FIYAT!$B:$O,9,FALSE()),"")</f>
        <v>Шт.</v>
      </c>
      <c r="K318" s="5" t="str">
        <f>IFERROR(VLOOKUP($D318,FIYAT!$B:$O,4,FALSE()),"")</f>
        <v>CHINT</v>
      </c>
      <c r="L318" s="5">
        <f t="shared" ref="L318:L331" si="39">IF($H318="","",$H318)</f>
        <v>38800.199999999997</v>
      </c>
      <c r="M318" s="5"/>
      <c r="N318" s="5"/>
      <c r="O318" s="5"/>
      <c r="P318" s="5" t="str">
        <f>IF($H318="","FIYAT_YOK",IFERROR(VLOOKUP($D318,FIYAT!$B:$P,15,FALSE()),""))</f>
        <v>MUADIL</v>
      </c>
      <c r="Q318" s="5" t="s">
        <v>172</v>
      </c>
      <c r="R318" s="5" t="s">
        <v>171</v>
      </c>
      <c r="S318" s="5" t="s">
        <v>550</v>
      </c>
      <c r="T318" s="5" t="s">
        <v>61</v>
      </c>
      <c r="U318" s="5">
        <f>IFERROR(VLOOKUP($T318,KURALLAR!$A$32:$B$63,2,FALSE()),0)*IF(ISNUMBER($I318),$I318,0)</f>
        <v>15</v>
      </c>
    </row>
    <row r="319" spans="1:21" x14ac:dyDescent="0.25">
      <c r="A319" s="9">
        <v>318</v>
      </c>
      <c r="B319" s="9"/>
      <c r="C319" s="9" t="s">
        <v>176</v>
      </c>
      <c r="D319" s="9" t="s">
        <v>174</v>
      </c>
      <c r="E319" s="9" t="str">
        <f>IFERROR(VLOOKUP($D319,FIYAT!$B:$O,2,FALSE()),"")</f>
        <v>УЗО NL1-63 6kA 4P 63A 300mA тип AC (R)</v>
      </c>
      <c r="F319" s="9">
        <f>IFERROR(VLOOKUP($D319,FIYAT!$B:$O,5,FALSE()),"")</f>
        <v>18106</v>
      </c>
      <c r="G319" s="9">
        <f>IFERROR(VLOOKUP($D319,FIYAT!$B:$O,8,FALSE()),"")</f>
        <v>10863.6</v>
      </c>
      <c r="H319" s="9">
        <f t="shared" si="38"/>
        <v>10863.6</v>
      </c>
      <c r="I319" s="6">
        <v>1</v>
      </c>
      <c r="J319" s="9" t="str">
        <f>IFERROR(VLOOKUP($D319,FIYAT!$B:$O,9,FALSE()),"")</f>
        <v>Шт.</v>
      </c>
      <c r="K319" s="9" t="str">
        <f>IFERROR(VLOOKUP($D319,FIYAT!$B:$O,4,FALSE()),"")</f>
        <v>CHINT</v>
      </c>
      <c r="L319" s="9">
        <f t="shared" si="39"/>
        <v>10863.6</v>
      </c>
      <c r="M319" s="9"/>
      <c r="N319" s="9"/>
      <c r="O319" s="9"/>
      <c r="P319" s="9" t="str">
        <f>IF($H319="","FIYAT_YOK",IFERROR(VLOOKUP($D319,FIYAT!$B:$P,15,FALSE()),""))</f>
        <v>OK</v>
      </c>
      <c r="Q319" s="9" t="s">
        <v>177</v>
      </c>
      <c r="R319" s="9" t="s">
        <v>171</v>
      </c>
      <c r="S319" s="9" t="s">
        <v>550</v>
      </c>
      <c r="T319" s="9" t="s">
        <v>57</v>
      </c>
      <c r="U319" s="9">
        <f>IFERROR(VLOOKUP($T319,KURALLAR!$A$32:$B$63,2,FALSE()),0)*IF(ISNUMBER($I319),$I319,0)</f>
        <v>10</v>
      </c>
    </row>
    <row r="320" spans="1:21" x14ac:dyDescent="0.25">
      <c r="A320" s="5">
        <v>319</v>
      </c>
      <c r="B320" s="5"/>
      <c r="C320" s="5" t="s">
        <v>79</v>
      </c>
      <c r="D320" s="5" t="s">
        <v>179</v>
      </c>
      <c r="E320" s="5" t="str">
        <f>IFERROR(VLOOKUP($D320,FIYAT!$B:$O,2,FALSE()),"")</f>
        <v>Держатель плавкой вставки RT36-00-160, габарит 00, 160А</v>
      </c>
      <c r="F320" s="5">
        <f>IFERROR(VLOOKUP($D320,FIYAT!$B:$O,5,FALSE()),"")</f>
        <v>2038</v>
      </c>
      <c r="G320" s="5">
        <f>IFERROR(VLOOKUP($D320,FIYAT!$B:$O,8,FALSE()),"")</f>
        <v>1222.8</v>
      </c>
      <c r="H320" s="5">
        <f t="shared" si="38"/>
        <v>4891.2</v>
      </c>
      <c r="I320" s="6">
        <v>4</v>
      </c>
      <c r="J320" s="5" t="str">
        <f>IFERROR(VLOOKUP($D320,FIYAT!$B:$O,9,FALSE()),"")</f>
        <v>Шт.</v>
      </c>
      <c r="K320" s="5" t="str">
        <f>IFERROR(VLOOKUP($D320,FIYAT!$B:$O,4,FALSE()),"")</f>
        <v>CHINT</v>
      </c>
      <c r="L320" s="5">
        <f t="shared" si="39"/>
        <v>4891.2</v>
      </c>
      <c r="M320" s="5"/>
      <c r="N320" s="5"/>
      <c r="O320" s="5"/>
      <c r="P320" s="5" t="str">
        <f>IF($H320="","FIYAT_YOK",IFERROR(VLOOKUP($D320,FIYAT!$B:$P,15,FALSE()),""))</f>
        <v>MUADIL</v>
      </c>
      <c r="Q320" s="5" t="s">
        <v>181</v>
      </c>
      <c r="R320" s="5" t="s">
        <v>171</v>
      </c>
      <c r="S320" s="5" t="s">
        <v>550</v>
      </c>
      <c r="T320" s="5" t="s">
        <v>77</v>
      </c>
      <c r="U320" s="5">
        <f>IFERROR(VLOOKUP($T320,KURALLAR!$A$32:$B$63,2,FALSE()),0)*IF(ISNUMBER($I320),$I320,0)</f>
        <v>20</v>
      </c>
    </row>
    <row r="321" spans="1:21" x14ac:dyDescent="0.25">
      <c r="A321" s="9">
        <v>320</v>
      </c>
      <c r="B321" s="9"/>
      <c r="C321" s="9" t="s">
        <v>79</v>
      </c>
      <c r="D321" s="9" t="s">
        <v>182</v>
      </c>
      <c r="E321" s="9" t="str">
        <f>IFERROR(VLOOKUP($D321,FIYAT!$B:$O,2,FALSE()),"")</f>
        <v>Плавкая вставка предохранителя RT36-00-160, габарит 00, 63А</v>
      </c>
      <c r="F321" s="9">
        <f>IFERROR(VLOOKUP($D321,FIYAT!$B:$O,5,FALSE()),"")</f>
        <v>1525</v>
      </c>
      <c r="G321" s="9">
        <f>IFERROR(VLOOKUP($D321,FIYAT!$B:$O,8,FALSE()),"")</f>
        <v>915</v>
      </c>
      <c r="H321" s="9">
        <f t="shared" si="38"/>
        <v>3660</v>
      </c>
      <c r="I321" s="6">
        <v>4</v>
      </c>
      <c r="J321" s="9" t="str">
        <f>IFERROR(VLOOKUP($D321,FIYAT!$B:$O,9,FALSE()),"")</f>
        <v>Шт.</v>
      </c>
      <c r="K321" s="9" t="str">
        <f>IFERROR(VLOOKUP($D321,FIYAT!$B:$O,4,FALSE()),"")</f>
        <v>CHINT</v>
      </c>
      <c r="L321" s="9">
        <f t="shared" si="39"/>
        <v>3660</v>
      </c>
      <c r="M321" s="9"/>
      <c r="N321" s="9"/>
      <c r="O321" s="9"/>
      <c r="P321" s="9" t="str">
        <f>IF($H321="","FIYAT_YOK",IFERROR(VLOOKUP($D321,FIYAT!$B:$P,15,FALSE()),""))</f>
        <v>MUADIL</v>
      </c>
      <c r="Q321" s="9" t="s">
        <v>185</v>
      </c>
      <c r="R321" s="9" t="s">
        <v>184</v>
      </c>
      <c r="S321" s="9" t="s">
        <v>550</v>
      </c>
      <c r="T321" s="9" t="s">
        <v>79</v>
      </c>
      <c r="U321" s="9">
        <f>IFERROR(VLOOKUP($T321,KURALLAR!$A$32:$B$63,2,FALSE()),0)*IF(ISNUMBER($I321),$I321,0)</f>
        <v>12</v>
      </c>
    </row>
    <row r="322" spans="1:21" x14ac:dyDescent="0.25">
      <c r="A322" s="5">
        <v>321</v>
      </c>
      <c r="B322" s="5"/>
      <c r="C322" s="5" t="s">
        <v>75</v>
      </c>
      <c r="D322" s="5" t="s">
        <v>186</v>
      </c>
      <c r="E322" s="5" t="str">
        <f>IFERROR(VLOOKUP($D322,FIYAT!$B:$O,2,FALSE()),"")</f>
        <v>Ограничитель имп. перенапр. NU6-IIG 4Р In=25kA Uc=440B Im=65kA (R)</v>
      </c>
      <c r="F322" s="5">
        <f>IFERROR(VLOOKUP($D322,FIYAT!$B:$O,5,FALSE()),"")</f>
        <v>33208</v>
      </c>
      <c r="G322" s="5">
        <f>IFERROR(VLOOKUP($D322,FIYAT!$B:$O,8,FALSE()),"")</f>
        <v>19924.8</v>
      </c>
      <c r="H322" s="5">
        <f t="shared" si="38"/>
        <v>19924.8</v>
      </c>
      <c r="I322" s="6">
        <v>1</v>
      </c>
      <c r="J322" s="5" t="str">
        <f>IFERROR(VLOOKUP($D322,FIYAT!$B:$O,9,FALSE()),"")</f>
        <v>Шт.</v>
      </c>
      <c r="K322" s="5" t="str">
        <f>IFERROR(VLOOKUP($D322,FIYAT!$B:$O,4,FALSE()),"")</f>
        <v>CHINT</v>
      </c>
      <c r="L322" s="5">
        <f t="shared" si="39"/>
        <v>19924.8</v>
      </c>
      <c r="M322" s="5"/>
      <c r="N322" s="5"/>
      <c r="O322" s="5"/>
      <c r="P322" s="5" t="str">
        <f>IF($H322="","FIYAT_YOK",IFERROR(VLOOKUP($D322,FIYAT!$B:$P,15,FALSE()),""))</f>
        <v>MUADIL_ONAY</v>
      </c>
      <c r="Q322" s="5" t="s">
        <v>188</v>
      </c>
      <c r="R322" s="5" t="s">
        <v>184</v>
      </c>
      <c r="S322" s="5" t="s">
        <v>550</v>
      </c>
      <c r="T322" s="5" t="s">
        <v>75</v>
      </c>
      <c r="U322" s="5">
        <f>IFERROR(VLOOKUP($T322,KURALLAR!$A$32:$B$63,2,FALSE()),0)*IF(ISNUMBER($I322),$I322,0)</f>
        <v>10</v>
      </c>
    </row>
    <row r="323" spans="1:21" x14ac:dyDescent="0.25">
      <c r="A323" s="9">
        <v>322</v>
      </c>
      <c r="B323" s="9"/>
      <c r="C323" s="9" t="s">
        <v>192</v>
      </c>
      <c r="D323" s="9" t="s">
        <v>321</v>
      </c>
      <c r="E323" s="9" t="str">
        <f>IFERROR(VLOOKUP($D323,FIYAT!$B:$O,2,FALSE()),"")</f>
        <v>Авт. выкл. NXB-63 1P 25A 6кА х-ка C (R)</v>
      </c>
      <c r="F323" s="9">
        <f>IFERROR(VLOOKUP($D323,FIYAT!$B:$O,5,FALSE()),"")</f>
        <v>1330</v>
      </c>
      <c r="G323" s="9">
        <f>IFERROR(VLOOKUP($D323,FIYAT!$B:$O,8,FALSE()),"")</f>
        <v>798</v>
      </c>
      <c r="H323" s="9">
        <f t="shared" si="38"/>
        <v>798</v>
      </c>
      <c r="I323" s="6">
        <v>1</v>
      </c>
      <c r="J323" s="9" t="str">
        <f>IFERROR(VLOOKUP($D323,FIYAT!$B:$O,9,FALSE()),"")</f>
        <v>Шт.</v>
      </c>
      <c r="K323" s="9" t="str">
        <f>IFERROR(VLOOKUP($D323,FIYAT!$B:$O,4,FALSE()),"")</f>
        <v>CHINT</v>
      </c>
      <c r="L323" s="9">
        <f t="shared" si="39"/>
        <v>798</v>
      </c>
      <c r="M323" s="9"/>
      <c r="N323" s="9"/>
      <c r="O323" s="9"/>
      <c r="P323" s="9" t="str">
        <f>IF($H323="","FIYAT_YOK",IFERROR(VLOOKUP($D323,FIYAT!$B:$P,15,FALSE()),""))</f>
        <v>OK</v>
      </c>
      <c r="Q323" s="9" t="s">
        <v>323</v>
      </c>
      <c r="R323" s="9" t="s">
        <v>171</v>
      </c>
      <c r="S323" s="9" t="s">
        <v>550</v>
      </c>
      <c r="T323" s="9" t="s">
        <v>47</v>
      </c>
      <c r="U323" s="9">
        <f>IFERROR(VLOOKUP($T323,KURALLAR!$A$32:$B$63,2,FALSE()),0)*IF(ISNUMBER($I323),$I323,0)</f>
        <v>3</v>
      </c>
    </row>
    <row r="324" spans="1:21" x14ac:dyDescent="0.25">
      <c r="A324" s="5">
        <v>323</v>
      </c>
      <c r="B324" s="5"/>
      <c r="C324" s="5" t="s">
        <v>176</v>
      </c>
      <c r="D324" s="5" t="s">
        <v>324</v>
      </c>
      <c r="E324" s="5" t="str">
        <f>IFERROR(VLOOKUP($D324,FIYAT!$B:$O,2,FALSE()),"")</f>
        <v>УЗО NL1-63 6kA 2P 25A 30mA тип AC (R)</v>
      </c>
      <c r="F324" s="5">
        <f>IFERROR(VLOOKUP($D324,FIYAT!$B:$O,5,FALSE()),"")</f>
        <v>10809</v>
      </c>
      <c r="G324" s="5">
        <f>IFERROR(VLOOKUP($D324,FIYAT!$B:$O,8,FALSE()),"")</f>
        <v>6485.4</v>
      </c>
      <c r="H324" s="5">
        <f t="shared" si="38"/>
        <v>6485.4</v>
      </c>
      <c r="I324" s="6">
        <v>1</v>
      </c>
      <c r="J324" s="5" t="str">
        <f>IFERROR(VLOOKUP($D324,FIYAT!$B:$O,9,FALSE()),"")</f>
        <v>Шт.</v>
      </c>
      <c r="K324" s="5" t="str">
        <f>IFERROR(VLOOKUP($D324,FIYAT!$B:$O,4,FALSE()),"")</f>
        <v>CHINT</v>
      </c>
      <c r="L324" s="5">
        <f t="shared" si="39"/>
        <v>6485.4</v>
      </c>
      <c r="M324" s="5"/>
      <c r="N324" s="5"/>
      <c r="O324" s="5"/>
      <c r="P324" s="5" t="str">
        <f>IF($H324="","FIYAT_YOK",IFERROR(VLOOKUP($D324,FIYAT!$B:$P,15,FALSE()),""))</f>
        <v>OK</v>
      </c>
      <c r="Q324" s="5" t="s">
        <v>326</v>
      </c>
      <c r="R324" s="5" t="s">
        <v>171</v>
      </c>
      <c r="S324" s="5" t="s">
        <v>550</v>
      </c>
      <c r="T324" s="5" t="s">
        <v>55</v>
      </c>
      <c r="U324" s="5">
        <f>IFERROR(VLOOKUP($T324,KURALLAR!$A$32:$B$63,2,FALSE()),0)*IF(ISNUMBER($I324),$I324,0)</f>
        <v>6</v>
      </c>
    </row>
    <row r="325" spans="1:21" x14ac:dyDescent="0.25">
      <c r="A325" s="9">
        <v>324</v>
      </c>
      <c r="B325" s="9"/>
      <c r="C325" s="9" t="s">
        <v>192</v>
      </c>
      <c r="D325" s="9" t="s">
        <v>194</v>
      </c>
      <c r="E325" s="9" t="str">
        <f>IFERROR(VLOOKUP($D325,FIYAT!$B:$O,2,FALSE()),"")</f>
        <v>Авт. выкл. NXB-63 1P 16A 6кА х-ка C (R)</v>
      </c>
      <c r="F325" s="9">
        <f>IFERROR(VLOOKUP($D325,FIYAT!$B:$O,5,FALSE()),"")</f>
        <v>1389</v>
      </c>
      <c r="G325" s="9">
        <f>IFERROR(VLOOKUP($D325,FIYAT!$B:$O,8,FALSE()),"")</f>
        <v>833.4</v>
      </c>
      <c r="H325" s="9">
        <f t="shared" si="38"/>
        <v>6667.2</v>
      </c>
      <c r="I325" s="6">
        <v>8</v>
      </c>
      <c r="J325" s="9" t="str">
        <f>IFERROR(VLOOKUP($D325,FIYAT!$B:$O,9,FALSE()),"")</f>
        <v>Шт.</v>
      </c>
      <c r="K325" s="9" t="str">
        <f>IFERROR(VLOOKUP($D325,FIYAT!$B:$O,4,FALSE()),"")</f>
        <v>CHINT</v>
      </c>
      <c r="L325" s="9">
        <f t="shared" si="39"/>
        <v>6667.2</v>
      </c>
      <c r="M325" s="9"/>
      <c r="N325" s="9"/>
      <c r="O325" s="9"/>
      <c r="P325" s="9" t="str">
        <f>IF($H325="","FIYAT_YOK",IFERROR(VLOOKUP($D325,FIYAT!$B:$P,15,FALSE()),""))</f>
        <v>OK</v>
      </c>
      <c r="Q325" s="9" t="s">
        <v>196</v>
      </c>
      <c r="R325" s="9" t="s">
        <v>171</v>
      </c>
      <c r="S325" s="9" t="s">
        <v>550</v>
      </c>
      <c r="T325" s="9" t="s">
        <v>47</v>
      </c>
      <c r="U325" s="9">
        <f>IFERROR(VLOOKUP($T325,KURALLAR!$A$32:$B$63,2,FALSE()),0)*IF(ISNUMBER($I325),$I325,0)</f>
        <v>24</v>
      </c>
    </row>
    <row r="326" spans="1:21" x14ac:dyDescent="0.25">
      <c r="A326" s="5">
        <v>325</v>
      </c>
      <c r="B326" s="5"/>
      <c r="C326" s="5" t="s">
        <v>176</v>
      </c>
      <c r="D326" s="5" t="s">
        <v>200</v>
      </c>
      <c r="E326" s="5" t="str">
        <f>IFERROR(VLOOKUP($D326,FIYAT!$B:$O,2,FALSE()),"")</f>
        <v>УЗО NL1-63 6kA 2P 16A 30mA тип AC (R)</v>
      </c>
      <c r="F326" s="5">
        <f>IFERROR(VLOOKUP($D326,FIYAT!$B:$O,5,FALSE()),"")</f>
        <v>10809</v>
      </c>
      <c r="G326" s="5">
        <f>IFERROR(VLOOKUP($D326,FIYAT!$B:$O,8,FALSE()),"")</f>
        <v>6485.4</v>
      </c>
      <c r="H326" s="5">
        <f t="shared" si="38"/>
        <v>6485.4</v>
      </c>
      <c r="I326" s="6">
        <v>1</v>
      </c>
      <c r="J326" s="5" t="str">
        <f>IFERROR(VLOOKUP($D326,FIYAT!$B:$O,9,FALSE()),"")</f>
        <v>Шт.</v>
      </c>
      <c r="K326" s="5" t="str">
        <f>IFERROR(VLOOKUP($D326,FIYAT!$B:$O,4,FALSE()),"")</f>
        <v>CHINT</v>
      </c>
      <c r="L326" s="5">
        <f t="shared" si="39"/>
        <v>6485.4</v>
      </c>
      <c r="M326" s="5"/>
      <c r="N326" s="5"/>
      <c r="O326" s="5"/>
      <c r="P326" s="5" t="str">
        <f>IF($H326="","FIYAT_YOK",IFERROR(VLOOKUP($D326,FIYAT!$B:$P,15,FALSE()),""))</f>
        <v>OK</v>
      </c>
      <c r="Q326" s="5" t="s">
        <v>202</v>
      </c>
      <c r="R326" s="5" t="s">
        <v>171</v>
      </c>
      <c r="S326" s="5" t="s">
        <v>550</v>
      </c>
      <c r="T326" s="5" t="s">
        <v>55</v>
      </c>
      <c r="U326" s="5">
        <f>IFERROR(VLOOKUP($T326,KURALLAR!$A$32:$B$63,2,FALSE()),0)*IF(ISNUMBER($I326),$I326,0)</f>
        <v>6</v>
      </c>
    </row>
    <row r="327" spans="1:21" x14ac:dyDescent="0.25">
      <c r="A327" s="9">
        <v>326</v>
      </c>
      <c r="B327" s="9"/>
      <c r="C327" s="9" t="s">
        <v>192</v>
      </c>
      <c r="D327" s="9" t="s">
        <v>206</v>
      </c>
      <c r="E327" s="9" t="str">
        <f>IFERROR(VLOOKUP($D327,FIYAT!$B:$O,2,FALSE()),"")</f>
        <v>Авт. выкл. NXB-63 1P 10A 6кА х-ка C (R)</v>
      </c>
      <c r="F327" s="9">
        <f>IFERROR(VLOOKUP($D327,FIYAT!$B:$O,5,FALSE()),"")</f>
        <v>1362</v>
      </c>
      <c r="G327" s="9">
        <f>IFERROR(VLOOKUP($D327,FIYAT!$B:$O,8,FALSE()),"")</f>
        <v>817.19999999999993</v>
      </c>
      <c r="H327" s="9">
        <f t="shared" si="38"/>
        <v>6537.5999999999995</v>
      </c>
      <c r="I327" s="6">
        <v>8</v>
      </c>
      <c r="J327" s="9" t="str">
        <f>IFERROR(VLOOKUP($D327,FIYAT!$B:$O,9,FALSE()),"")</f>
        <v>Шт.</v>
      </c>
      <c r="K327" s="9" t="str">
        <f>IFERROR(VLOOKUP($D327,FIYAT!$B:$O,4,FALSE()),"")</f>
        <v>CHINT</v>
      </c>
      <c r="L327" s="9">
        <f t="shared" si="39"/>
        <v>6537.5999999999995</v>
      </c>
      <c r="M327" s="9"/>
      <c r="N327" s="9"/>
      <c r="O327" s="9"/>
      <c r="P327" s="9" t="str">
        <f>IF($H327="","FIYAT_YOK",IFERROR(VLOOKUP($D327,FIYAT!$B:$P,15,FALSE()),""))</f>
        <v>OK</v>
      </c>
      <c r="Q327" s="9" t="s">
        <v>208</v>
      </c>
      <c r="R327" s="9" t="s">
        <v>184</v>
      </c>
      <c r="S327" s="9" t="s">
        <v>550</v>
      </c>
      <c r="T327" s="9" t="s">
        <v>47</v>
      </c>
      <c r="U327" s="9">
        <f>IFERROR(VLOOKUP($T327,KURALLAR!$A$32:$B$63,2,FALSE()),0)*IF(ISNUMBER($I327),$I327,0)</f>
        <v>24</v>
      </c>
    </row>
    <row r="328" spans="1:21" x14ac:dyDescent="0.25">
      <c r="A328" s="5">
        <v>327</v>
      </c>
      <c r="B328" s="5"/>
      <c r="C328" s="5" t="s">
        <v>93</v>
      </c>
      <c r="D328" s="5" t="s">
        <v>209</v>
      </c>
      <c r="E328" s="5" t="str">
        <f>IFERROR(VLOOKUP($D328,FIYAT!$B:$O,2,FALSE()),"")</f>
        <v>Шина "N" нулевая 6х9мм на DIN-рейку в корпусном изоляторе ШНИ 12К IEK (10)</v>
      </c>
      <c r="F328" s="5">
        <f>IFERROR(VLOOKUP($D328,FIYAT!$B:$O,5,FALSE()),"")</f>
        <v>755</v>
      </c>
      <c r="G328" s="5">
        <f>IFERROR(VLOOKUP($D328,FIYAT!$B:$O,8,FALSE()),"")</f>
        <v>453</v>
      </c>
      <c r="H328" s="5">
        <f t="shared" si="38"/>
        <v>1812</v>
      </c>
      <c r="I328" s="6">
        <v>4</v>
      </c>
      <c r="J328" s="5" t="str">
        <f>IFERROR(VLOOKUP($D328,FIYAT!$B:$O,9,FALSE()),"")</f>
        <v>Шт.</v>
      </c>
      <c r="K328" s="5" t="str">
        <f>IFERROR(VLOOKUP($D328,FIYAT!$B:$O,4,FALSE()),"")</f>
        <v>KAZTEK</v>
      </c>
      <c r="L328" s="5">
        <f t="shared" si="39"/>
        <v>1812</v>
      </c>
      <c r="M328" s="5"/>
      <c r="N328" s="5"/>
      <c r="O328" s="5"/>
      <c r="P328" s="5" t="str">
        <f>IF($H328="","FIYAT_YOK",IFERROR(VLOOKUP($D328,FIYAT!$B:$P,15,FALSE()),""))</f>
        <v>MUADIL</v>
      </c>
      <c r="Q328" s="5" t="s">
        <v>212</v>
      </c>
      <c r="R328" s="5" t="s">
        <v>211</v>
      </c>
      <c r="S328" s="5" t="s">
        <v>550</v>
      </c>
      <c r="T328" s="5" t="s">
        <v>93</v>
      </c>
      <c r="U328" s="5">
        <f>IFERROR(VLOOKUP($T328,KURALLAR!$A$32:$B$63,2,FALSE()),0)*IF(ISNUMBER($I328),$I328,0)</f>
        <v>32</v>
      </c>
    </row>
    <row r="329" spans="1:21" x14ac:dyDescent="0.25">
      <c r="A329" s="9">
        <v>328</v>
      </c>
      <c r="B329" s="9"/>
      <c r="C329" s="9" t="s">
        <v>222</v>
      </c>
      <c r="D329" s="9" t="s">
        <v>220</v>
      </c>
      <c r="E329" s="9" t="str">
        <f>IFERROR(VLOOKUP($D329,FIYAT!$B:$O,2,FALSE()),"")</f>
        <v>ЩМП (инд.) IP31 (650х500х150мм)</v>
      </c>
      <c r="F329" s="9">
        <f>IFERROR(VLOOKUP($D329,FIYAT!$B:$O,5,FALSE()),"")</f>
        <v>27825</v>
      </c>
      <c r="G329" s="9">
        <f>IFERROR(VLOOKUP($D329,FIYAT!$B:$O,8,FALSE()),"")</f>
        <v>16695</v>
      </c>
      <c r="H329" s="9">
        <f t="shared" si="38"/>
        <v>16695</v>
      </c>
      <c r="I329" s="6">
        <v>1</v>
      </c>
      <c r="J329" s="9" t="str">
        <f>IFERROR(VLOOKUP($D329,FIYAT!$B:$O,9,FALSE()),"")</f>
        <v>Шт.</v>
      </c>
      <c r="K329" s="9" t="str">
        <f>IFERROR(VLOOKUP($D329,FIYAT!$B:$O,4,FALSE()),"")</f>
        <v>KAZTEK</v>
      </c>
      <c r="L329" s="9">
        <f t="shared" si="39"/>
        <v>16695</v>
      </c>
      <c r="M329" s="9"/>
      <c r="N329" s="9"/>
      <c r="O329" s="9"/>
      <c r="P329" s="9" t="str">
        <f>IF($H329="","FIYAT_YOK",IFERROR(VLOOKUP($D329,FIYAT!$B:$P,15,FALSE()),""))</f>
        <v>VARSAYIM</v>
      </c>
      <c r="Q329" s="9" t="s">
        <v>223</v>
      </c>
      <c r="R329" s="9" t="s">
        <v>211</v>
      </c>
      <c r="S329" s="9" t="s">
        <v>550</v>
      </c>
      <c r="T329" s="9" t="s">
        <v>105</v>
      </c>
      <c r="U329" s="9">
        <f>IFERROR(VLOOKUP($T329,KURALLAR!$A$32:$B$63,2,FALSE()),0)*IF(ISNUMBER($I329),$I329,0)</f>
        <v>30</v>
      </c>
    </row>
    <row r="330" spans="1:21" x14ac:dyDescent="0.25">
      <c r="A330" s="5">
        <v>329</v>
      </c>
      <c r="B330" s="5"/>
      <c r="C330" s="5" t="s">
        <v>215</v>
      </c>
      <c r="D330" s="5" t="s">
        <v>213</v>
      </c>
      <c r="E330" s="5" t="str">
        <f>IFERROR(VLOOKUP($D330,FIYAT!$B:$O,2,FALSE()),"")</f>
        <v>Монтажный расходный материал (кабель, DIN-рейка, кабель-канал, клеммы, маркировка, крепёж)</v>
      </c>
      <c r="F330" s="5">
        <f>IFERROR(VLOOKUP($D330,FIYAT!$B:$O,5,FALSE()),"")</f>
        <v>0</v>
      </c>
      <c r="G330" s="5" t="str">
        <f>IFERROR(VLOOKUP($D330,FIYAT!$B:$O,8,FALSE()),"")</f>
        <v/>
      </c>
      <c r="H330" s="5">
        <f>ROUND(SUM($H$318:$H$329)*KURALLAR!$B$28,0)</f>
        <v>8653</v>
      </c>
      <c r="I330" s="6">
        <v>1</v>
      </c>
      <c r="J330" s="5" t="str">
        <f>IFERROR(VLOOKUP($D330,FIYAT!$B:$O,9,FALSE()),"")</f>
        <v>компл.</v>
      </c>
      <c r="K330" s="5" t="str">
        <f>IFERROR(VLOOKUP($D330,FIYAT!$B:$O,4,FALSE()),"")</f>
        <v>MUADIL-NET</v>
      </c>
      <c r="L330" s="5">
        <f t="shared" si="39"/>
        <v>8653</v>
      </c>
      <c r="M330" s="5"/>
      <c r="N330" s="5"/>
      <c r="O330" s="5"/>
      <c r="P330" s="5" t="str">
        <f>IF($H330="","FIYAT_YOK",IFERROR(VLOOKUP($D330,FIYAT!$B:$P,15,FALSE()),""))</f>
        <v>ORAN</v>
      </c>
      <c r="Q330" s="5" t="s">
        <v>218</v>
      </c>
      <c r="R330" s="5" t="s">
        <v>217</v>
      </c>
      <c r="S330" s="5" t="s">
        <v>550</v>
      </c>
      <c r="T330" s="5"/>
      <c r="U330" s="5">
        <v>0</v>
      </c>
    </row>
    <row r="331" spans="1:21" x14ac:dyDescent="0.25">
      <c r="A331" s="9">
        <v>330</v>
      </c>
      <c r="B331" s="9"/>
      <c r="C331" s="9" t="s">
        <v>227</v>
      </c>
      <c r="D331" s="9" t="s">
        <v>225</v>
      </c>
      <c r="E331" s="9" t="str">
        <f>IFERROR(VLOOKUP($D331,FIYAT!$B:$O,2,FALSE()),"")</f>
        <v>Сборка, кабелирование, маркировка, момент затяжки, испытания</v>
      </c>
      <c r="F331" s="9">
        <f>IFERROR(VLOOKUP($D331,FIYAT!$B:$O,5,FALSE()),"")</f>
        <v>100</v>
      </c>
      <c r="G331" s="9">
        <f>IFERROR(VLOOKUP($D331,FIYAT!$B:$O,8,FALSE()),"")</f>
        <v>100</v>
      </c>
      <c r="H331" s="9">
        <f>IF(OR($G331="",$I331=""),"",$G331*$I331)</f>
        <v>22100</v>
      </c>
      <c r="I331" s="6">
        <f>ROUND(SUM($U$318:$U$330)*KURALLAR!$B$27,0)</f>
        <v>221</v>
      </c>
      <c r="J331" s="9" t="str">
        <f>IFERROR(VLOOKUP($D331,FIYAT!$B:$O,9,FALSE()),"")</f>
        <v>мин</v>
      </c>
      <c r="K331" s="9" t="str">
        <f>IFERROR(VLOOKUP($D331,FIYAT!$B:$O,4,FALSE()),"")</f>
        <v>ISCILIK</v>
      </c>
      <c r="L331" s="9">
        <f t="shared" si="39"/>
        <v>22100</v>
      </c>
      <c r="M331" s="9"/>
      <c r="N331" s="9"/>
      <c r="O331" s="9"/>
      <c r="P331" s="9" t="str">
        <f>IF($H331="","FIYAT_YOK",IFERROR(VLOOKUP($D331,FIYAT!$B:$P,15,FALSE()),""))</f>
        <v>OK</v>
      </c>
      <c r="Q331" s="9" t="str">
        <f>CONCATENATE("montaj+test iscilik: ",TEXT($I331,"# ##0")," dk = ",TEXT($I331/60,"0,00")," saat (norm x test/etiket carpani)")</f>
        <v>montaj+test iscilik:  221 dk = 3,68 saat (norm x test/etiket carpani)</v>
      </c>
      <c r="R331" s="9" t="s">
        <v>229</v>
      </c>
      <c r="S331" s="9" t="s">
        <v>550</v>
      </c>
      <c r="T331" s="9"/>
      <c r="U331" s="9">
        <v>0</v>
      </c>
    </row>
    <row r="332" spans="1:21" x14ac:dyDescent="0.25">
      <c r="A332" s="10">
        <v>331</v>
      </c>
      <c r="B332" s="10" t="s">
        <v>589</v>
      </c>
      <c r="C332" s="10"/>
      <c r="D332" s="10"/>
      <c r="E332" s="10"/>
      <c r="F332" s="10"/>
      <c r="G332" s="10"/>
      <c r="H332" s="10">
        <f>SUBTOTAL(9,H318:H331)</f>
        <v>154373.39999999997</v>
      </c>
      <c r="I332" s="10"/>
      <c r="J332" s="10"/>
      <c r="K332" s="10"/>
      <c r="L332" s="10">
        <f>SUBTOTAL(9,L318:L331)</f>
        <v>154373.39999999997</v>
      </c>
      <c r="M332" s="10"/>
      <c r="N332" s="10"/>
      <c r="O332" s="10"/>
      <c r="P332" s="10"/>
      <c r="Q332" s="10"/>
      <c r="R332" s="10"/>
      <c r="S332" s="10"/>
      <c r="T332" s="10"/>
      <c r="U332" s="10">
        <f>SUBTOTAL(9,U318:U331)</f>
        <v>192</v>
      </c>
    </row>
    <row r="333" spans="1:21" x14ac:dyDescent="0.25">
      <c r="A333" s="8">
        <v>332</v>
      </c>
      <c r="B333" s="8" t="str">
        <f>E333</f>
        <v>BLOK A / 11F-ЩС.2 — НКУ 380/220В 50Гц, FORM 2B, IP31/54</v>
      </c>
      <c r="C333" s="8" t="s">
        <v>545</v>
      </c>
      <c r="D333" s="8"/>
      <c r="E333" s="8" t="s">
        <v>590</v>
      </c>
      <c r="F333" s="8"/>
      <c r="G333" s="8"/>
      <c r="H333" s="8"/>
      <c r="I333" s="8">
        <v>1</v>
      </c>
      <c r="J333" s="8" t="s">
        <v>547</v>
      </c>
      <c r="K333" s="8"/>
      <c r="L333" s="8"/>
      <c r="M333" s="8"/>
      <c r="N333" s="8"/>
      <c r="O333" s="8"/>
      <c r="P333" s="8" t="s">
        <v>178</v>
      </c>
      <c r="Q333" s="8" t="s">
        <v>548</v>
      </c>
      <c r="R333" s="8" t="s">
        <v>549</v>
      </c>
      <c r="S333" s="8" t="s">
        <v>550</v>
      </c>
      <c r="T333" s="8"/>
      <c r="U333" s="8"/>
    </row>
    <row r="334" spans="1:21" x14ac:dyDescent="0.25">
      <c r="A334" s="5">
        <v>333</v>
      </c>
      <c r="B334" s="5"/>
      <c r="C334" s="5" t="s">
        <v>169</v>
      </c>
      <c r="D334" s="5" t="s">
        <v>167</v>
      </c>
      <c r="E334" s="5" t="str">
        <f>IFERROR(VLOOKUP($D334,FIYAT!$B:$O,2,FALSE()),"")</f>
        <v>Авт. выкл. NM8N-125C TM 3P 32А 36кА с рег. термомаг. расцепителем (R)</v>
      </c>
      <c r="F334" s="5">
        <f>IFERROR(VLOOKUP($D334,FIYAT!$B:$O,5,FALSE()),"")</f>
        <v>64667</v>
      </c>
      <c r="G334" s="5">
        <f>IFERROR(VLOOKUP($D334,FIYAT!$B:$O,8,FALSE()),"")</f>
        <v>38800.199999999997</v>
      </c>
      <c r="H334" s="5">
        <f t="shared" ref="H334:H345" si="40">IF(OR($G334="",$I334=""),"",$G334*$I334)</f>
        <v>38800.199999999997</v>
      </c>
      <c r="I334" s="6">
        <v>1</v>
      </c>
      <c r="J334" s="5" t="str">
        <f>IFERROR(VLOOKUP($D334,FIYAT!$B:$O,9,FALSE()),"")</f>
        <v>Шт.</v>
      </c>
      <c r="K334" s="5" t="str">
        <f>IFERROR(VLOOKUP($D334,FIYAT!$B:$O,4,FALSE()),"")</f>
        <v>CHINT</v>
      </c>
      <c r="L334" s="5">
        <f t="shared" ref="L334:L347" si="41">IF($H334="","",$H334)</f>
        <v>38800.199999999997</v>
      </c>
      <c r="M334" s="5"/>
      <c r="N334" s="5"/>
      <c r="O334" s="5"/>
      <c r="P334" s="5" t="str">
        <f>IF($H334="","FIYAT_YOK",IFERROR(VLOOKUP($D334,FIYAT!$B:$P,15,FALSE()),""))</f>
        <v>MUADIL</v>
      </c>
      <c r="Q334" s="5" t="s">
        <v>172</v>
      </c>
      <c r="R334" s="5" t="s">
        <v>171</v>
      </c>
      <c r="S334" s="5" t="s">
        <v>550</v>
      </c>
      <c r="T334" s="5" t="s">
        <v>61</v>
      </c>
      <c r="U334" s="5">
        <f>IFERROR(VLOOKUP($T334,KURALLAR!$A$32:$B$63,2,FALSE()),0)*IF(ISNUMBER($I334),$I334,0)</f>
        <v>15</v>
      </c>
    </row>
    <row r="335" spans="1:21" x14ac:dyDescent="0.25">
      <c r="A335" s="9">
        <v>334</v>
      </c>
      <c r="B335" s="9"/>
      <c r="C335" s="9" t="s">
        <v>176</v>
      </c>
      <c r="D335" s="9" t="s">
        <v>174</v>
      </c>
      <c r="E335" s="9" t="str">
        <f>IFERROR(VLOOKUP($D335,FIYAT!$B:$O,2,FALSE()),"")</f>
        <v>УЗО NL1-63 6kA 4P 63A 300mA тип AC (R)</v>
      </c>
      <c r="F335" s="9">
        <f>IFERROR(VLOOKUP($D335,FIYAT!$B:$O,5,FALSE()),"")</f>
        <v>18106</v>
      </c>
      <c r="G335" s="9">
        <f>IFERROR(VLOOKUP($D335,FIYAT!$B:$O,8,FALSE()),"")</f>
        <v>10863.6</v>
      </c>
      <c r="H335" s="9">
        <f t="shared" si="40"/>
        <v>10863.6</v>
      </c>
      <c r="I335" s="6">
        <v>1</v>
      </c>
      <c r="J335" s="9" t="str">
        <f>IFERROR(VLOOKUP($D335,FIYAT!$B:$O,9,FALSE()),"")</f>
        <v>Шт.</v>
      </c>
      <c r="K335" s="9" t="str">
        <f>IFERROR(VLOOKUP($D335,FIYAT!$B:$O,4,FALSE()),"")</f>
        <v>CHINT</v>
      </c>
      <c r="L335" s="9">
        <f t="shared" si="41"/>
        <v>10863.6</v>
      </c>
      <c r="M335" s="9"/>
      <c r="N335" s="9"/>
      <c r="O335" s="9"/>
      <c r="P335" s="9" t="str">
        <f>IF($H335="","FIYAT_YOK",IFERROR(VLOOKUP($D335,FIYAT!$B:$P,15,FALSE()),""))</f>
        <v>OK</v>
      </c>
      <c r="Q335" s="9" t="s">
        <v>177</v>
      </c>
      <c r="R335" s="9" t="s">
        <v>171</v>
      </c>
      <c r="S335" s="9" t="s">
        <v>550</v>
      </c>
      <c r="T335" s="9" t="s">
        <v>57</v>
      </c>
      <c r="U335" s="9">
        <f>IFERROR(VLOOKUP($T335,KURALLAR!$A$32:$B$63,2,FALSE()),0)*IF(ISNUMBER($I335),$I335,0)</f>
        <v>10</v>
      </c>
    </row>
    <row r="336" spans="1:21" x14ac:dyDescent="0.25">
      <c r="A336" s="5">
        <v>335</v>
      </c>
      <c r="B336" s="5"/>
      <c r="C336" s="5" t="s">
        <v>79</v>
      </c>
      <c r="D336" s="5" t="s">
        <v>179</v>
      </c>
      <c r="E336" s="5" t="str">
        <f>IFERROR(VLOOKUP($D336,FIYAT!$B:$O,2,FALSE()),"")</f>
        <v>Держатель плавкой вставки RT36-00-160, габарит 00, 160А</v>
      </c>
      <c r="F336" s="5">
        <f>IFERROR(VLOOKUP($D336,FIYAT!$B:$O,5,FALSE()),"")</f>
        <v>2038</v>
      </c>
      <c r="G336" s="5">
        <f>IFERROR(VLOOKUP($D336,FIYAT!$B:$O,8,FALSE()),"")</f>
        <v>1222.8</v>
      </c>
      <c r="H336" s="5">
        <f t="shared" si="40"/>
        <v>4891.2</v>
      </c>
      <c r="I336" s="6">
        <v>4</v>
      </c>
      <c r="J336" s="5" t="str">
        <f>IFERROR(VLOOKUP($D336,FIYAT!$B:$O,9,FALSE()),"")</f>
        <v>Шт.</v>
      </c>
      <c r="K336" s="5" t="str">
        <f>IFERROR(VLOOKUP($D336,FIYAT!$B:$O,4,FALSE()),"")</f>
        <v>CHINT</v>
      </c>
      <c r="L336" s="5">
        <f t="shared" si="41"/>
        <v>4891.2</v>
      </c>
      <c r="M336" s="5"/>
      <c r="N336" s="5"/>
      <c r="O336" s="5"/>
      <c r="P336" s="5" t="str">
        <f>IF($H336="","FIYAT_YOK",IFERROR(VLOOKUP($D336,FIYAT!$B:$P,15,FALSE()),""))</f>
        <v>MUADIL</v>
      </c>
      <c r="Q336" s="5" t="s">
        <v>181</v>
      </c>
      <c r="R336" s="5" t="s">
        <v>171</v>
      </c>
      <c r="S336" s="5" t="s">
        <v>550</v>
      </c>
      <c r="T336" s="5" t="s">
        <v>77</v>
      </c>
      <c r="U336" s="5">
        <f>IFERROR(VLOOKUP($T336,KURALLAR!$A$32:$B$63,2,FALSE()),0)*IF(ISNUMBER($I336),$I336,0)</f>
        <v>20</v>
      </c>
    </row>
    <row r="337" spans="1:21" x14ac:dyDescent="0.25">
      <c r="A337" s="9">
        <v>336</v>
      </c>
      <c r="B337" s="9"/>
      <c r="C337" s="9" t="s">
        <v>79</v>
      </c>
      <c r="D337" s="9" t="s">
        <v>182</v>
      </c>
      <c r="E337" s="9" t="str">
        <f>IFERROR(VLOOKUP($D337,FIYAT!$B:$O,2,FALSE()),"")</f>
        <v>Плавкая вставка предохранителя RT36-00-160, габарит 00, 63А</v>
      </c>
      <c r="F337" s="9">
        <f>IFERROR(VLOOKUP($D337,FIYAT!$B:$O,5,FALSE()),"")</f>
        <v>1525</v>
      </c>
      <c r="G337" s="9">
        <f>IFERROR(VLOOKUP($D337,FIYAT!$B:$O,8,FALSE()),"")</f>
        <v>915</v>
      </c>
      <c r="H337" s="9">
        <f t="shared" si="40"/>
        <v>3660</v>
      </c>
      <c r="I337" s="6">
        <v>4</v>
      </c>
      <c r="J337" s="9" t="str">
        <f>IFERROR(VLOOKUP($D337,FIYAT!$B:$O,9,FALSE()),"")</f>
        <v>Шт.</v>
      </c>
      <c r="K337" s="9" t="str">
        <f>IFERROR(VLOOKUP($D337,FIYAT!$B:$O,4,FALSE()),"")</f>
        <v>CHINT</v>
      </c>
      <c r="L337" s="9">
        <f t="shared" si="41"/>
        <v>3660</v>
      </c>
      <c r="M337" s="9"/>
      <c r="N337" s="9"/>
      <c r="O337" s="9"/>
      <c r="P337" s="9" t="str">
        <f>IF($H337="","FIYAT_YOK",IFERROR(VLOOKUP($D337,FIYAT!$B:$P,15,FALSE()),""))</f>
        <v>MUADIL</v>
      </c>
      <c r="Q337" s="9" t="s">
        <v>185</v>
      </c>
      <c r="R337" s="9" t="s">
        <v>184</v>
      </c>
      <c r="S337" s="9" t="s">
        <v>550</v>
      </c>
      <c r="T337" s="9" t="s">
        <v>79</v>
      </c>
      <c r="U337" s="9">
        <f>IFERROR(VLOOKUP($T337,KURALLAR!$A$32:$B$63,2,FALSE()),0)*IF(ISNUMBER($I337),$I337,0)</f>
        <v>12</v>
      </c>
    </row>
    <row r="338" spans="1:21" x14ac:dyDescent="0.25">
      <c r="A338" s="5">
        <v>337</v>
      </c>
      <c r="B338" s="5"/>
      <c r="C338" s="5" t="s">
        <v>75</v>
      </c>
      <c r="D338" s="5" t="s">
        <v>186</v>
      </c>
      <c r="E338" s="5" t="str">
        <f>IFERROR(VLOOKUP($D338,FIYAT!$B:$O,2,FALSE()),"")</f>
        <v>Ограничитель имп. перенапр. NU6-IIG 4Р In=25kA Uc=440B Im=65kA (R)</v>
      </c>
      <c r="F338" s="5">
        <f>IFERROR(VLOOKUP($D338,FIYAT!$B:$O,5,FALSE()),"")</f>
        <v>33208</v>
      </c>
      <c r="G338" s="5">
        <f>IFERROR(VLOOKUP($D338,FIYAT!$B:$O,8,FALSE()),"")</f>
        <v>19924.8</v>
      </c>
      <c r="H338" s="5">
        <f t="shared" si="40"/>
        <v>19924.8</v>
      </c>
      <c r="I338" s="6">
        <v>1</v>
      </c>
      <c r="J338" s="5" t="str">
        <f>IFERROR(VLOOKUP($D338,FIYAT!$B:$O,9,FALSE()),"")</f>
        <v>Шт.</v>
      </c>
      <c r="K338" s="5" t="str">
        <f>IFERROR(VLOOKUP($D338,FIYAT!$B:$O,4,FALSE()),"")</f>
        <v>CHINT</v>
      </c>
      <c r="L338" s="5">
        <f t="shared" si="41"/>
        <v>19924.8</v>
      </c>
      <c r="M338" s="5"/>
      <c r="N338" s="5"/>
      <c r="O338" s="5"/>
      <c r="P338" s="5" t="str">
        <f>IF($H338="","FIYAT_YOK",IFERROR(VLOOKUP($D338,FIYAT!$B:$P,15,FALSE()),""))</f>
        <v>MUADIL_ONAY</v>
      </c>
      <c r="Q338" s="5" t="s">
        <v>188</v>
      </c>
      <c r="R338" s="5" t="s">
        <v>184</v>
      </c>
      <c r="S338" s="5" t="s">
        <v>550</v>
      </c>
      <c r="T338" s="5" t="s">
        <v>75</v>
      </c>
      <c r="U338" s="5">
        <f>IFERROR(VLOOKUP($T338,KURALLAR!$A$32:$B$63,2,FALSE()),0)*IF(ISNUMBER($I338),$I338,0)</f>
        <v>10</v>
      </c>
    </row>
    <row r="339" spans="1:21" x14ac:dyDescent="0.25">
      <c r="A339" s="9">
        <v>338</v>
      </c>
      <c r="B339" s="9"/>
      <c r="C339" s="9" t="s">
        <v>192</v>
      </c>
      <c r="D339" s="9" t="s">
        <v>321</v>
      </c>
      <c r="E339" s="9" t="str">
        <f>IFERROR(VLOOKUP($D339,FIYAT!$B:$O,2,FALSE()),"")</f>
        <v>Авт. выкл. NXB-63 1P 25A 6кА х-ка C (R)</v>
      </c>
      <c r="F339" s="9">
        <f>IFERROR(VLOOKUP($D339,FIYAT!$B:$O,5,FALSE()),"")</f>
        <v>1330</v>
      </c>
      <c r="G339" s="9">
        <f>IFERROR(VLOOKUP($D339,FIYAT!$B:$O,8,FALSE()),"")</f>
        <v>798</v>
      </c>
      <c r="H339" s="9">
        <f t="shared" si="40"/>
        <v>798</v>
      </c>
      <c r="I339" s="6">
        <v>1</v>
      </c>
      <c r="J339" s="9" t="str">
        <f>IFERROR(VLOOKUP($D339,FIYAT!$B:$O,9,FALSE()),"")</f>
        <v>Шт.</v>
      </c>
      <c r="K339" s="9" t="str">
        <f>IFERROR(VLOOKUP($D339,FIYAT!$B:$O,4,FALSE()),"")</f>
        <v>CHINT</v>
      </c>
      <c r="L339" s="9">
        <f t="shared" si="41"/>
        <v>798</v>
      </c>
      <c r="M339" s="9"/>
      <c r="N339" s="9"/>
      <c r="O339" s="9"/>
      <c r="P339" s="9" t="str">
        <f>IF($H339="","FIYAT_YOK",IFERROR(VLOOKUP($D339,FIYAT!$B:$P,15,FALSE()),""))</f>
        <v>OK</v>
      </c>
      <c r="Q339" s="9" t="s">
        <v>323</v>
      </c>
      <c r="R339" s="9" t="s">
        <v>171</v>
      </c>
      <c r="S339" s="9" t="s">
        <v>550</v>
      </c>
      <c r="T339" s="9" t="s">
        <v>47</v>
      </c>
      <c r="U339" s="9">
        <f>IFERROR(VLOOKUP($T339,KURALLAR!$A$32:$B$63,2,FALSE()),0)*IF(ISNUMBER($I339),$I339,0)</f>
        <v>3</v>
      </c>
    </row>
    <row r="340" spans="1:21" x14ac:dyDescent="0.25">
      <c r="A340" s="5">
        <v>339</v>
      </c>
      <c r="B340" s="5"/>
      <c r="C340" s="5" t="s">
        <v>176</v>
      </c>
      <c r="D340" s="5" t="s">
        <v>324</v>
      </c>
      <c r="E340" s="5" t="str">
        <f>IFERROR(VLOOKUP($D340,FIYAT!$B:$O,2,FALSE()),"")</f>
        <v>УЗО NL1-63 6kA 2P 25A 30mA тип AC (R)</v>
      </c>
      <c r="F340" s="5">
        <f>IFERROR(VLOOKUP($D340,FIYAT!$B:$O,5,FALSE()),"")</f>
        <v>10809</v>
      </c>
      <c r="G340" s="5">
        <f>IFERROR(VLOOKUP($D340,FIYAT!$B:$O,8,FALSE()),"")</f>
        <v>6485.4</v>
      </c>
      <c r="H340" s="5">
        <f t="shared" si="40"/>
        <v>6485.4</v>
      </c>
      <c r="I340" s="6">
        <v>1</v>
      </c>
      <c r="J340" s="5" t="str">
        <f>IFERROR(VLOOKUP($D340,FIYAT!$B:$O,9,FALSE()),"")</f>
        <v>Шт.</v>
      </c>
      <c r="K340" s="5" t="str">
        <f>IFERROR(VLOOKUP($D340,FIYAT!$B:$O,4,FALSE()),"")</f>
        <v>CHINT</v>
      </c>
      <c r="L340" s="5">
        <f t="shared" si="41"/>
        <v>6485.4</v>
      </c>
      <c r="M340" s="5"/>
      <c r="N340" s="5"/>
      <c r="O340" s="5"/>
      <c r="P340" s="5" t="str">
        <f>IF($H340="","FIYAT_YOK",IFERROR(VLOOKUP($D340,FIYAT!$B:$P,15,FALSE()),""))</f>
        <v>OK</v>
      </c>
      <c r="Q340" s="5" t="s">
        <v>326</v>
      </c>
      <c r="R340" s="5" t="s">
        <v>171</v>
      </c>
      <c r="S340" s="5" t="s">
        <v>550</v>
      </c>
      <c r="T340" s="5" t="s">
        <v>55</v>
      </c>
      <c r="U340" s="5">
        <f>IFERROR(VLOOKUP($T340,KURALLAR!$A$32:$B$63,2,FALSE()),0)*IF(ISNUMBER($I340),$I340,0)</f>
        <v>6</v>
      </c>
    </row>
    <row r="341" spans="1:21" x14ac:dyDescent="0.25">
      <c r="A341" s="9">
        <v>340</v>
      </c>
      <c r="B341" s="9"/>
      <c r="C341" s="9" t="s">
        <v>192</v>
      </c>
      <c r="D341" s="9" t="s">
        <v>194</v>
      </c>
      <c r="E341" s="9" t="str">
        <f>IFERROR(VLOOKUP($D341,FIYAT!$B:$O,2,FALSE()),"")</f>
        <v>Авт. выкл. NXB-63 1P 16A 6кА х-ка C (R)</v>
      </c>
      <c r="F341" s="9">
        <f>IFERROR(VLOOKUP($D341,FIYAT!$B:$O,5,FALSE()),"")</f>
        <v>1389</v>
      </c>
      <c r="G341" s="9">
        <f>IFERROR(VLOOKUP($D341,FIYAT!$B:$O,8,FALSE()),"")</f>
        <v>833.4</v>
      </c>
      <c r="H341" s="9">
        <f t="shared" si="40"/>
        <v>7500.5999999999995</v>
      </c>
      <c r="I341" s="6">
        <v>9</v>
      </c>
      <c r="J341" s="9" t="str">
        <f>IFERROR(VLOOKUP($D341,FIYAT!$B:$O,9,FALSE()),"")</f>
        <v>Шт.</v>
      </c>
      <c r="K341" s="9" t="str">
        <f>IFERROR(VLOOKUP($D341,FIYAT!$B:$O,4,FALSE()),"")</f>
        <v>CHINT</v>
      </c>
      <c r="L341" s="9">
        <f t="shared" si="41"/>
        <v>7500.5999999999995</v>
      </c>
      <c r="M341" s="9"/>
      <c r="N341" s="9"/>
      <c r="O341" s="9"/>
      <c r="P341" s="9" t="str">
        <f>IF($H341="","FIYAT_YOK",IFERROR(VLOOKUP($D341,FIYAT!$B:$P,15,FALSE()),""))</f>
        <v>OK</v>
      </c>
      <c r="Q341" s="9" t="s">
        <v>196</v>
      </c>
      <c r="R341" s="9" t="s">
        <v>171</v>
      </c>
      <c r="S341" s="9" t="s">
        <v>550</v>
      </c>
      <c r="T341" s="9" t="s">
        <v>47</v>
      </c>
      <c r="U341" s="9">
        <f>IFERROR(VLOOKUP($T341,KURALLAR!$A$32:$B$63,2,FALSE()),0)*IF(ISNUMBER($I341),$I341,0)</f>
        <v>27</v>
      </c>
    </row>
    <row r="342" spans="1:21" x14ac:dyDescent="0.25">
      <c r="A342" s="5">
        <v>341</v>
      </c>
      <c r="B342" s="5"/>
      <c r="C342" s="5" t="s">
        <v>176</v>
      </c>
      <c r="D342" s="5" t="s">
        <v>200</v>
      </c>
      <c r="E342" s="5" t="str">
        <f>IFERROR(VLOOKUP($D342,FIYAT!$B:$O,2,FALSE()),"")</f>
        <v>УЗО NL1-63 6kA 2P 16A 30mA тип AC (R)</v>
      </c>
      <c r="F342" s="5">
        <f>IFERROR(VLOOKUP($D342,FIYAT!$B:$O,5,FALSE()),"")</f>
        <v>10809</v>
      </c>
      <c r="G342" s="5">
        <f>IFERROR(VLOOKUP($D342,FIYAT!$B:$O,8,FALSE()),"")</f>
        <v>6485.4</v>
      </c>
      <c r="H342" s="5">
        <f t="shared" si="40"/>
        <v>6485.4</v>
      </c>
      <c r="I342" s="6">
        <v>1</v>
      </c>
      <c r="J342" s="5" t="str">
        <f>IFERROR(VLOOKUP($D342,FIYAT!$B:$O,9,FALSE()),"")</f>
        <v>Шт.</v>
      </c>
      <c r="K342" s="5" t="str">
        <f>IFERROR(VLOOKUP($D342,FIYAT!$B:$O,4,FALSE()),"")</f>
        <v>CHINT</v>
      </c>
      <c r="L342" s="5">
        <f t="shared" si="41"/>
        <v>6485.4</v>
      </c>
      <c r="M342" s="5"/>
      <c r="N342" s="5"/>
      <c r="O342" s="5"/>
      <c r="P342" s="5" t="str">
        <f>IF($H342="","FIYAT_YOK",IFERROR(VLOOKUP($D342,FIYAT!$B:$P,15,FALSE()),""))</f>
        <v>OK</v>
      </c>
      <c r="Q342" s="5" t="s">
        <v>202</v>
      </c>
      <c r="R342" s="5" t="s">
        <v>171</v>
      </c>
      <c r="S342" s="5" t="s">
        <v>550</v>
      </c>
      <c r="T342" s="5" t="s">
        <v>55</v>
      </c>
      <c r="U342" s="5">
        <f>IFERROR(VLOOKUP($T342,KURALLAR!$A$32:$B$63,2,FALSE()),0)*IF(ISNUMBER($I342),$I342,0)</f>
        <v>6</v>
      </c>
    </row>
    <row r="343" spans="1:21" x14ac:dyDescent="0.25">
      <c r="A343" s="9">
        <v>342</v>
      </c>
      <c r="B343" s="9"/>
      <c r="C343" s="9" t="s">
        <v>192</v>
      </c>
      <c r="D343" s="9" t="s">
        <v>206</v>
      </c>
      <c r="E343" s="9" t="str">
        <f>IFERROR(VLOOKUP($D343,FIYAT!$B:$O,2,FALSE()),"")</f>
        <v>Авт. выкл. NXB-63 1P 10A 6кА х-ка C (R)</v>
      </c>
      <c r="F343" s="9">
        <f>IFERROR(VLOOKUP($D343,FIYAT!$B:$O,5,FALSE()),"")</f>
        <v>1362</v>
      </c>
      <c r="G343" s="9">
        <f>IFERROR(VLOOKUP($D343,FIYAT!$B:$O,8,FALSE()),"")</f>
        <v>817.19999999999993</v>
      </c>
      <c r="H343" s="9">
        <f t="shared" si="40"/>
        <v>10623.599999999999</v>
      </c>
      <c r="I343" s="6">
        <v>13</v>
      </c>
      <c r="J343" s="9" t="str">
        <f>IFERROR(VLOOKUP($D343,FIYAT!$B:$O,9,FALSE()),"")</f>
        <v>Шт.</v>
      </c>
      <c r="K343" s="9" t="str">
        <f>IFERROR(VLOOKUP($D343,FIYAT!$B:$O,4,FALSE()),"")</f>
        <v>CHINT</v>
      </c>
      <c r="L343" s="9">
        <f t="shared" si="41"/>
        <v>10623.599999999999</v>
      </c>
      <c r="M343" s="9"/>
      <c r="N343" s="9"/>
      <c r="O343" s="9"/>
      <c r="P343" s="9" t="str">
        <f>IF($H343="","FIYAT_YOK",IFERROR(VLOOKUP($D343,FIYAT!$B:$P,15,FALSE()),""))</f>
        <v>OK</v>
      </c>
      <c r="Q343" s="9" t="s">
        <v>208</v>
      </c>
      <c r="R343" s="9" t="s">
        <v>184</v>
      </c>
      <c r="S343" s="9" t="s">
        <v>550</v>
      </c>
      <c r="T343" s="9" t="s">
        <v>47</v>
      </c>
      <c r="U343" s="9">
        <f>IFERROR(VLOOKUP($T343,KURALLAR!$A$32:$B$63,2,FALSE()),0)*IF(ISNUMBER($I343),$I343,0)</f>
        <v>39</v>
      </c>
    </row>
    <row r="344" spans="1:21" x14ac:dyDescent="0.25">
      <c r="A344" s="5">
        <v>343</v>
      </c>
      <c r="B344" s="5"/>
      <c r="C344" s="5" t="s">
        <v>93</v>
      </c>
      <c r="D344" s="5" t="s">
        <v>209</v>
      </c>
      <c r="E344" s="5" t="str">
        <f>IFERROR(VLOOKUP($D344,FIYAT!$B:$O,2,FALSE()),"")</f>
        <v>Шина "N" нулевая 6х9мм на DIN-рейку в корпусном изоляторе ШНИ 12К IEK (10)</v>
      </c>
      <c r="F344" s="5">
        <f>IFERROR(VLOOKUP($D344,FIYAT!$B:$O,5,FALSE()),"")</f>
        <v>755</v>
      </c>
      <c r="G344" s="5">
        <f>IFERROR(VLOOKUP($D344,FIYAT!$B:$O,8,FALSE()),"")</f>
        <v>453</v>
      </c>
      <c r="H344" s="5">
        <f t="shared" si="40"/>
        <v>1812</v>
      </c>
      <c r="I344" s="6">
        <v>4</v>
      </c>
      <c r="J344" s="5" t="str">
        <f>IFERROR(VLOOKUP($D344,FIYAT!$B:$O,9,FALSE()),"")</f>
        <v>Шт.</v>
      </c>
      <c r="K344" s="5" t="str">
        <f>IFERROR(VLOOKUP($D344,FIYAT!$B:$O,4,FALSE()),"")</f>
        <v>KAZTEK</v>
      </c>
      <c r="L344" s="5">
        <f t="shared" si="41"/>
        <v>1812</v>
      </c>
      <c r="M344" s="5"/>
      <c r="N344" s="5"/>
      <c r="O344" s="5"/>
      <c r="P344" s="5" t="str">
        <f>IF($H344="","FIYAT_YOK",IFERROR(VLOOKUP($D344,FIYAT!$B:$P,15,FALSE()),""))</f>
        <v>MUADIL</v>
      </c>
      <c r="Q344" s="5" t="s">
        <v>212</v>
      </c>
      <c r="R344" s="5" t="s">
        <v>211</v>
      </c>
      <c r="S344" s="5" t="s">
        <v>550</v>
      </c>
      <c r="T344" s="5" t="s">
        <v>93</v>
      </c>
      <c r="U344" s="5">
        <f>IFERROR(VLOOKUP($T344,KURALLAR!$A$32:$B$63,2,FALSE()),0)*IF(ISNUMBER($I344),$I344,0)</f>
        <v>32</v>
      </c>
    </row>
    <row r="345" spans="1:21" x14ac:dyDescent="0.25">
      <c r="A345" s="9">
        <v>344</v>
      </c>
      <c r="B345" s="9"/>
      <c r="C345" s="9" t="s">
        <v>222</v>
      </c>
      <c r="D345" s="9" t="s">
        <v>220</v>
      </c>
      <c r="E345" s="9" t="str">
        <f>IFERROR(VLOOKUP($D345,FIYAT!$B:$O,2,FALSE()),"")</f>
        <v>ЩМП (инд.) IP31 (650х500х150мм)</v>
      </c>
      <c r="F345" s="9">
        <f>IFERROR(VLOOKUP($D345,FIYAT!$B:$O,5,FALSE()),"")</f>
        <v>27825</v>
      </c>
      <c r="G345" s="9">
        <f>IFERROR(VLOOKUP($D345,FIYAT!$B:$O,8,FALSE()),"")</f>
        <v>16695</v>
      </c>
      <c r="H345" s="9">
        <f t="shared" si="40"/>
        <v>16695</v>
      </c>
      <c r="I345" s="6">
        <v>1</v>
      </c>
      <c r="J345" s="9" t="str">
        <f>IFERROR(VLOOKUP($D345,FIYAT!$B:$O,9,FALSE()),"")</f>
        <v>Шт.</v>
      </c>
      <c r="K345" s="9" t="str">
        <f>IFERROR(VLOOKUP($D345,FIYAT!$B:$O,4,FALSE()),"")</f>
        <v>KAZTEK</v>
      </c>
      <c r="L345" s="9">
        <f t="shared" si="41"/>
        <v>16695</v>
      </c>
      <c r="M345" s="9"/>
      <c r="N345" s="9"/>
      <c r="O345" s="9"/>
      <c r="P345" s="9" t="str">
        <f>IF($H345="","FIYAT_YOK",IFERROR(VLOOKUP($D345,FIYAT!$B:$P,15,FALSE()),""))</f>
        <v>VARSAYIM</v>
      </c>
      <c r="Q345" s="9" t="s">
        <v>223</v>
      </c>
      <c r="R345" s="9" t="s">
        <v>211</v>
      </c>
      <c r="S345" s="9" t="s">
        <v>550</v>
      </c>
      <c r="T345" s="9" t="s">
        <v>105</v>
      </c>
      <c r="U345" s="9">
        <f>IFERROR(VLOOKUP($T345,KURALLAR!$A$32:$B$63,2,FALSE()),0)*IF(ISNUMBER($I345),$I345,0)</f>
        <v>30</v>
      </c>
    </row>
    <row r="346" spans="1:21" x14ac:dyDescent="0.25">
      <c r="A346" s="5">
        <v>345</v>
      </c>
      <c r="B346" s="5"/>
      <c r="C346" s="5" t="s">
        <v>215</v>
      </c>
      <c r="D346" s="5" t="s">
        <v>213</v>
      </c>
      <c r="E346" s="5" t="str">
        <f>IFERROR(VLOOKUP($D346,FIYAT!$B:$O,2,FALSE()),"")</f>
        <v>Монтажный расходный материал (кабель, DIN-рейка, кабель-канал, клеммы, маркировка, крепёж)</v>
      </c>
      <c r="F346" s="5">
        <f>IFERROR(VLOOKUP($D346,FIYAT!$B:$O,5,FALSE()),"")</f>
        <v>0</v>
      </c>
      <c r="G346" s="5" t="str">
        <f>IFERROR(VLOOKUP($D346,FIYAT!$B:$O,8,FALSE()),"")</f>
        <v/>
      </c>
      <c r="H346" s="5">
        <f>ROUND(SUM($H$334:$H$345)*KURALLAR!$B$28,0)</f>
        <v>8998</v>
      </c>
      <c r="I346" s="6">
        <v>1</v>
      </c>
      <c r="J346" s="5" t="str">
        <f>IFERROR(VLOOKUP($D346,FIYAT!$B:$O,9,FALSE()),"")</f>
        <v>компл.</v>
      </c>
      <c r="K346" s="5" t="str">
        <f>IFERROR(VLOOKUP($D346,FIYAT!$B:$O,4,FALSE()),"")</f>
        <v>MUADIL-NET</v>
      </c>
      <c r="L346" s="5">
        <f t="shared" si="41"/>
        <v>8998</v>
      </c>
      <c r="M346" s="5"/>
      <c r="N346" s="5"/>
      <c r="O346" s="5"/>
      <c r="P346" s="5" t="str">
        <f>IF($H346="","FIYAT_YOK",IFERROR(VLOOKUP($D346,FIYAT!$B:$P,15,FALSE()),""))</f>
        <v>ORAN</v>
      </c>
      <c r="Q346" s="5" t="s">
        <v>218</v>
      </c>
      <c r="R346" s="5" t="s">
        <v>217</v>
      </c>
      <c r="S346" s="5" t="s">
        <v>550</v>
      </c>
      <c r="T346" s="5"/>
      <c r="U346" s="5">
        <v>0</v>
      </c>
    </row>
    <row r="347" spans="1:21" x14ac:dyDescent="0.25">
      <c r="A347" s="9">
        <v>346</v>
      </c>
      <c r="B347" s="9"/>
      <c r="C347" s="9" t="s">
        <v>227</v>
      </c>
      <c r="D347" s="9" t="s">
        <v>225</v>
      </c>
      <c r="E347" s="9" t="str">
        <f>IFERROR(VLOOKUP($D347,FIYAT!$B:$O,2,FALSE()),"")</f>
        <v>Сборка, кабелирование, маркировка, момент затяжки, испытания</v>
      </c>
      <c r="F347" s="9">
        <f>IFERROR(VLOOKUP($D347,FIYAT!$B:$O,5,FALSE()),"")</f>
        <v>100</v>
      </c>
      <c r="G347" s="9">
        <f>IFERROR(VLOOKUP($D347,FIYAT!$B:$O,8,FALSE()),"")</f>
        <v>100</v>
      </c>
      <c r="H347" s="9">
        <f>IF(OR($G347="",$I347=""),"",$G347*$I347)</f>
        <v>24200</v>
      </c>
      <c r="I347" s="6">
        <f>ROUND(SUM($U$334:$U$346)*KURALLAR!$B$27,0)</f>
        <v>242</v>
      </c>
      <c r="J347" s="9" t="str">
        <f>IFERROR(VLOOKUP($D347,FIYAT!$B:$O,9,FALSE()),"")</f>
        <v>мин</v>
      </c>
      <c r="K347" s="9" t="str">
        <f>IFERROR(VLOOKUP($D347,FIYAT!$B:$O,4,FALSE()),"")</f>
        <v>ISCILIK</v>
      </c>
      <c r="L347" s="9">
        <f t="shared" si="41"/>
        <v>24200</v>
      </c>
      <c r="M347" s="9"/>
      <c r="N347" s="9"/>
      <c r="O347" s="9"/>
      <c r="P347" s="9" t="str">
        <f>IF($H347="","FIYAT_YOK",IFERROR(VLOOKUP($D347,FIYAT!$B:$P,15,FALSE()),""))</f>
        <v>OK</v>
      </c>
      <c r="Q347" s="9" t="str">
        <f>CONCATENATE("montaj+test iscilik: ",TEXT($I347,"# ##0")," dk = ",TEXT($I347/60,"0,00")," saat (norm x test/etiket carpani)")</f>
        <v>montaj+test iscilik:  242 dk = 4,03 saat (norm x test/etiket carpani)</v>
      </c>
      <c r="R347" s="9" t="s">
        <v>229</v>
      </c>
      <c r="S347" s="9" t="s">
        <v>550</v>
      </c>
      <c r="T347" s="9"/>
      <c r="U347" s="9">
        <v>0</v>
      </c>
    </row>
    <row r="348" spans="1:21" x14ac:dyDescent="0.25">
      <c r="A348" s="10">
        <v>347</v>
      </c>
      <c r="B348" s="10" t="s">
        <v>591</v>
      </c>
      <c r="C348" s="10"/>
      <c r="D348" s="10"/>
      <c r="E348" s="10"/>
      <c r="F348" s="10"/>
      <c r="G348" s="10"/>
      <c r="H348" s="10">
        <f>SUBTOTAL(9,H334:H347)</f>
        <v>161737.79999999999</v>
      </c>
      <c r="I348" s="10"/>
      <c r="J348" s="10"/>
      <c r="K348" s="10"/>
      <c r="L348" s="10">
        <f>SUBTOTAL(9,L334:L347)</f>
        <v>161737.79999999999</v>
      </c>
      <c r="M348" s="10"/>
      <c r="N348" s="10"/>
      <c r="O348" s="10"/>
      <c r="P348" s="10"/>
      <c r="Q348" s="10"/>
      <c r="R348" s="10"/>
      <c r="S348" s="10"/>
      <c r="T348" s="10"/>
      <c r="U348" s="10">
        <f>SUBTOTAL(9,U334:U347)</f>
        <v>210</v>
      </c>
    </row>
    <row r="349" spans="1:21" x14ac:dyDescent="0.25">
      <c r="A349" s="8">
        <v>348</v>
      </c>
      <c r="B349" s="8" t="str">
        <f>E349</f>
        <v>BLOK A / 11F-ИБП.1 — НКУ 380/220В 50Гц, FORM 2B, IP31/54</v>
      </c>
      <c r="C349" s="8" t="s">
        <v>545</v>
      </c>
      <c r="D349" s="8"/>
      <c r="E349" s="8" t="s">
        <v>592</v>
      </c>
      <c r="F349" s="8"/>
      <c r="G349" s="8"/>
      <c r="H349" s="8"/>
      <c r="I349" s="8">
        <v>1</v>
      </c>
      <c r="J349" s="8" t="s">
        <v>547</v>
      </c>
      <c r="K349" s="8"/>
      <c r="L349" s="8"/>
      <c r="M349" s="8"/>
      <c r="N349" s="8"/>
      <c r="O349" s="8"/>
      <c r="P349" s="8" t="s">
        <v>178</v>
      </c>
      <c r="Q349" s="8" t="s">
        <v>548</v>
      </c>
      <c r="R349" s="8" t="s">
        <v>549</v>
      </c>
      <c r="S349" s="8" t="s">
        <v>550</v>
      </c>
      <c r="T349" s="8"/>
      <c r="U349" s="8"/>
    </row>
    <row r="350" spans="1:21" x14ac:dyDescent="0.25">
      <c r="A350" s="5">
        <v>349</v>
      </c>
      <c r="B350" s="5"/>
      <c r="C350" s="5" t="s">
        <v>169</v>
      </c>
      <c r="D350" s="5" t="s">
        <v>167</v>
      </c>
      <c r="E350" s="5" t="str">
        <f>IFERROR(VLOOKUP($D350,FIYAT!$B:$O,2,FALSE()),"")</f>
        <v>Авт. выкл. NM8N-125C TM 3P 32А 36кА с рег. термомаг. расцепителем (R)</v>
      </c>
      <c r="F350" s="5">
        <f>IFERROR(VLOOKUP($D350,FIYAT!$B:$O,5,FALSE()),"")</f>
        <v>64667</v>
      </c>
      <c r="G350" s="5">
        <f>IFERROR(VLOOKUP($D350,FIYAT!$B:$O,8,FALSE()),"")</f>
        <v>38800.199999999997</v>
      </c>
      <c r="H350" s="5">
        <f t="shared" ref="H350:H361" si="42">IF(OR($G350="",$I350=""),"",$G350*$I350)</f>
        <v>38800.199999999997</v>
      </c>
      <c r="I350" s="6">
        <v>1</v>
      </c>
      <c r="J350" s="5" t="str">
        <f>IFERROR(VLOOKUP($D350,FIYAT!$B:$O,9,FALSE()),"")</f>
        <v>Шт.</v>
      </c>
      <c r="K350" s="5" t="str">
        <f>IFERROR(VLOOKUP($D350,FIYAT!$B:$O,4,FALSE()),"")</f>
        <v>CHINT</v>
      </c>
      <c r="L350" s="5">
        <f t="shared" ref="L350:L363" si="43">IF($H350="","",$H350)</f>
        <v>38800.199999999997</v>
      </c>
      <c r="M350" s="5"/>
      <c r="N350" s="5"/>
      <c r="O350" s="5"/>
      <c r="P350" s="5" t="str">
        <f>IF($H350="","FIYAT_YOK",IFERROR(VLOOKUP($D350,FIYAT!$B:$P,15,FALSE()),""))</f>
        <v>MUADIL</v>
      </c>
      <c r="Q350" s="5" t="s">
        <v>172</v>
      </c>
      <c r="R350" s="5" t="s">
        <v>171</v>
      </c>
      <c r="S350" s="5" t="s">
        <v>550</v>
      </c>
      <c r="T350" s="5" t="s">
        <v>61</v>
      </c>
      <c r="U350" s="5">
        <f>IFERROR(VLOOKUP($T350,KURALLAR!$A$32:$B$63,2,FALSE()),0)*IF(ISNUMBER($I350),$I350,0)</f>
        <v>15</v>
      </c>
    </row>
    <row r="351" spans="1:21" x14ac:dyDescent="0.25">
      <c r="A351" s="9">
        <v>350</v>
      </c>
      <c r="B351" s="9"/>
      <c r="C351" s="9" t="s">
        <v>176</v>
      </c>
      <c r="D351" s="9" t="s">
        <v>174</v>
      </c>
      <c r="E351" s="9" t="str">
        <f>IFERROR(VLOOKUP($D351,FIYAT!$B:$O,2,FALSE()),"")</f>
        <v>УЗО NL1-63 6kA 4P 63A 300mA тип AC (R)</v>
      </c>
      <c r="F351" s="9">
        <f>IFERROR(VLOOKUP($D351,FIYAT!$B:$O,5,FALSE()),"")</f>
        <v>18106</v>
      </c>
      <c r="G351" s="9">
        <f>IFERROR(VLOOKUP($D351,FIYAT!$B:$O,8,FALSE()),"")</f>
        <v>10863.6</v>
      </c>
      <c r="H351" s="9">
        <f t="shared" si="42"/>
        <v>10863.6</v>
      </c>
      <c r="I351" s="6">
        <v>1</v>
      </c>
      <c r="J351" s="9" t="str">
        <f>IFERROR(VLOOKUP($D351,FIYAT!$B:$O,9,FALSE()),"")</f>
        <v>Шт.</v>
      </c>
      <c r="K351" s="9" t="str">
        <f>IFERROR(VLOOKUP($D351,FIYAT!$B:$O,4,FALSE()),"")</f>
        <v>CHINT</v>
      </c>
      <c r="L351" s="9">
        <f t="shared" si="43"/>
        <v>10863.6</v>
      </c>
      <c r="M351" s="9"/>
      <c r="N351" s="9"/>
      <c r="O351" s="9"/>
      <c r="P351" s="9" t="str">
        <f>IF($H351="","FIYAT_YOK",IFERROR(VLOOKUP($D351,FIYAT!$B:$P,15,FALSE()),""))</f>
        <v>OK</v>
      </c>
      <c r="Q351" s="9" t="s">
        <v>177</v>
      </c>
      <c r="R351" s="9" t="s">
        <v>171</v>
      </c>
      <c r="S351" s="9" t="s">
        <v>550</v>
      </c>
      <c r="T351" s="9" t="s">
        <v>57</v>
      </c>
      <c r="U351" s="9">
        <f>IFERROR(VLOOKUP($T351,KURALLAR!$A$32:$B$63,2,FALSE()),0)*IF(ISNUMBER($I351),$I351,0)</f>
        <v>10</v>
      </c>
    </row>
    <row r="352" spans="1:21" x14ac:dyDescent="0.25">
      <c r="A352" s="5">
        <v>351</v>
      </c>
      <c r="B352" s="5"/>
      <c r="C352" s="5" t="s">
        <v>79</v>
      </c>
      <c r="D352" s="5" t="s">
        <v>179</v>
      </c>
      <c r="E352" s="5" t="str">
        <f>IFERROR(VLOOKUP($D352,FIYAT!$B:$O,2,FALSE()),"")</f>
        <v>Держатель плавкой вставки RT36-00-160, габарит 00, 160А</v>
      </c>
      <c r="F352" s="5">
        <f>IFERROR(VLOOKUP($D352,FIYAT!$B:$O,5,FALSE()),"")</f>
        <v>2038</v>
      </c>
      <c r="G352" s="5">
        <f>IFERROR(VLOOKUP($D352,FIYAT!$B:$O,8,FALSE()),"")</f>
        <v>1222.8</v>
      </c>
      <c r="H352" s="5">
        <f t="shared" si="42"/>
        <v>4891.2</v>
      </c>
      <c r="I352" s="6">
        <v>4</v>
      </c>
      <c r="J352" s="5" t="str">
        <f>IFERROR(VLOOKUP($D352,FIYAT!$B:$O,9,FALSE()),"")</f>
        <v>Шт.</v>
      </c>
      <c r="K352" s="5" t="str">
        <f>IFERROR(VLOOKUP($D352,FIYAT!$B:$O,4,FALSE()),"")</f>
        <v>CHINT</v>
      </c>
      <c r="L352" s="5">
        <f t="shared" si="43"/>
        <v>4891.2</v>
      </c>
      <c r="M352" s="5"/>
      <c r="N352" s="5"/>
      <c r="O352" s="5"/>
      <c r="P352" s="5" t="str">
        <f>IF($H352="","FIYAT_YOK",IFERROR(VLOOKUP($D352,FIYAT!$B:$P,15,FALSE()),""))</f>
        <v>MUADIL</v>
      </c>
      <c r="Q352" s="5" t="s">
        <v>181</v>
      </c>
      <c r="R352" s="5" t="s">
        <v>171</v>
      </c>
      <c r="S352" s="5" t="s">
        <v>550</v>
      </c>
      <c r="T352" s="5" t="s">
        <v>77</v>
      </c>
      <c r="U352" s="5">
        <f>IFERROR(VLOOKUP($T352,KURALLAR!$A$32:$B$63,2,FALSE()),0)*IF(ISNUMBER($I352),$I352,0)</f>
        <v>20</v>
      </c>
    </row>
    <row r="353" spans="1:21" x14ac:dyDescent="0.25">
      <c r="A353" s="9">
        <v>352</v>
      </c>
      <c r="B353" s="9"/>
      <c r="C353" s="9" t="s">
        <v>79</v>
      </c>
      <c r="D353" s="9" t="s">
        <v>182</v>
      </c>
      <c r="E353" s="9" t="str">
        <f>IFERROR(VLOOKUP($D353,FIYAT!$B:$O,2,FALSE()),"")</f>
        <v>Плавкая вставка предохранителя RT36-00-160, габарит 00, 63А</v>
      </c>
      <c r="F353" s="9">
        <f>IFERROR(VLOOKUP($D353,FIYAT!$B:$O,5,FALSE()),"")</f>
        <v>1525</v>
      </c>
      <c r="G353" s="9">
        <f>IFERROR(VLOOKUP($D353,FIYAT!$B:$O,8,FALSE()),"")</f>
        <v>915</v>
      </c>
      <c r="H353" s="9">
        <f t="shared" si="42"/>
        <v>3660</v>
      </c>
      <c r="I353" s="6">
        <v>4</v>
      </c>
      <c r="J353" s="9" t="str">
        <f>IFERROR(VLOOKUP($D353,FIYAT!$B:$O,9,FALSE()),"")</f>
        <v>Шт.</v>
      </c>
      <c r="K353" s="9" t="str">
        <f>IFERROR(VLOOKUP($D353,FIYAT!$B:$O,4,FALSE()),"")</f>
        <v>CHINT</v>
      </c>
      <c r="L353" s="9">
        <f t="shared" si="43"/>
        <v>3660</v>
      </c>
      <c r="M353" s="9"/>
      <c r="N353" s="9"/>
      <c r="O353" s="9"/>
      <c r="P353" s="9" t="str">
        <f>IF($H353="","FIYAT_YOK",IFERROR(VLOOKUP($D353,FIYAT!$B:$P,15,FALSE()),""))</f>
        <v>MUADIL</v>
      </c>
      <c r="Q353" s="9" t="s">
        <v>185</v>
      </c>
      <c r="R353" s="9" t="s">
        <v>184</v>
      </c>
      <c r="S353" s="9" t="s">
        <v>550</v>
      </c>
      <c r="T353" s="9" t="s">
        <v>79</v>
      </c>
      <c r="U353" s="9">
        <f>IFERROR(VLOOKUP($T353,KURALLAR!$A$32:$B$63,2,FALSE()),0)*IF(ISNUMBER($I353),$I353,0)</f>
        <v>12</v>
      </c>
    </row>
    <row r="354" spans="1:21" x14ac:dyDescent="0.25">
      <c r="A354" s="5">
        <v>353</v>
      </c>
      <c r="B354" s="5"/>
      <c r="C354" s="5" t="s">
        <v>75</v>
      </c>
      <c r="D354" s="5" t="s">
        <v>186</v>
      </c>
      <c r="E354" s="5" t="str">
        <f>IFERROR(VLOOKUP($D354,FIYAT!$B:$O,2,FALSE()),"")</f>
        <v>Ограничитель имп. перенапр. NU6-IIG 4Р In=25kA Uc=440B Im=65kA (R)</v>
      </c>
      <c r="F354" s="5">
        <f>IFERROR(VLOOKUP($D354,FIYAT!$B:$O,5,FALSE()),"")</f>
        <v>33208</v>
      </c>
      <c r="G354" s="5">
        <f>IFERROR(VLOOKUP($D354,FIYAT!$B:$O,8,FALSE()),"")</f>
        <v>19924.8</v>
      </c>
      <c r="H354" s="5">
        <f t="shared" si="42"/>
        <v>19924.8</v>
      </c>
      <c r="I354" s="6">
        <v>1</v>
      </c>
      <c r="J354" s="5" t="str">
        <f>IFERROR(VLOOKUP($D354,FIYAT!$B:$O,9,FALSE()),"")</f>
        <v>Шт.</v>
      </c>
      <c r="K354" s="5" t="str">
        <f>IFERROR(VLOOKUP($D354,FIYAT!$B:$O,4,FALSE()),"")</f>
        <v>CHINT</v>
      </c>
      <c r="L354" s="5">
        <f t="shared" si="43"/>
        <v>19924.8</v>
      </c>
      <c r="M354" s="5"/>
      <c r="N354" s="5"/>
      <c r="O354" s="5"/>
      <c r="P354" s="5" t="str">
        <f>IF($H354="","FIYAT_YOK",IFERROR(VLOOKUP($D354,FIYAT!$B:$P,15,FALSE()),""))</f>
        <v>MUADIL_ONAY</v>
      </c>
      <c r="Q354" s="5" t="s">
        <v>188</v>
      </c>
      <c r="R354" s="5" t="s">
        <v>184</v>
      </c>
      <c r="S354" s="5" t="s">
        <v>550</v>
      </c>
      <c r="T354" s="5" t="s">
        <v>75</v>
      </c>
      <c r="U354" s="5">
        <f>IFERROR(VLOOKUP($T354,KURALLAR!$A$32:$B$63,2,FALSE()),0)*IF(ISNUMBER($I354),$I354,0)</f>
        <v>10</v>
      </c>
    </row>
    <row r="355" spans="1:21" x14ac:dyDescent="0.25">
      <c r="A355" s="9">
        <v>354</v>
      </c>
      <c r="B355" s="9"/>
      <c r="C355" s="9" t="s">
        <v>192</v>
      </c>
      <c r="D355" s="9" t="s">
        <v>321</v>
      </c>
      <c r="E355" s="9" t="str">
        <f>IFERROR(VLOOKUP($D355,FIYAT!$B:$O,2,FALSE()),"")</f>
        <v>Авт. выкл. NXB-63 1P 25A 6кА х-ка C (R)</v>
      </c>
      <c r="F355" s="9">
        <f>IFERROR(VLOOKUP($D355,FIYAT!$B:$O,5,FALSE()),"")</f>
        <v>1330</v>
      </c>
      <c r="G355" s="9">
        <f>IFERROR(VLOOKUP($D355,FIYAT!$B:$O,8,FALSE()),"")</f>
        <v>798</v>
      </c>
      <c r="H355" s="9">
        <f t="shared" si="42"/>
        <v>798</v>
      </c>
      <c r="I355" s="6">
        <v>1</v>
      </c>
      <c r="J355" s="9" t="str">
        <f>IFERROR(VLOOKUP($D355,FIYAT!$B:$O,9,FALSE()),"")</f>
        <v>Шт.</v>
      </c>
      <c r="K355" s="9" t="str">
        <f>IFERROR(VLOOKUP($D355,FIYAT!$B:$O,4,FALSE()),"")</f>
        <v>CHINT</v>
      </c>
      <c r="L355" s="9">
        <f t="shared" si="43"/>
        <v>798</v>
      </c>
      <c r="M355" s="9"/>
      <c r="N355" s="9"/>
      <c r="O355" s="9"/>
      <c r="P355" s="9" t="str">
        <f>IF($H355="","FIYAT_YOK",IFERROR(VLOOKUP($D355,FIYAT!$B:$P,15,FALSE()),""))</f>
        <v>OK</v>
      </c>
      <c r="Q355" s="9" t="s">
        <v>323</v>
      </c>
      <c r="R355" s="9" t="s">
        <v>171</v>
      </c>
      <c r="S355" s="9" t="s">
        <v>550</v>
      </c>
      <c r="T355" s="9" t="s">
        <v>47</v>
      </c>
      <c r="U355" s="9">
        <f>IFERROR(VLOOKUP($T355,KURALLAR!$A$32:$B$63,2,FALSE()),0)*IF(ISNUMBER($I355),$I355,0)</f>
        <v>3</v>
      </c>
    </row>
    <row r="356" spans="1:21" x14ac:dyDescent="0.25">
      <c r="A356" s="5">
        <v>355</v>
      </c>
      <c r="B356" s="5"/>
      <c r="C356" s="5" t="s">
        <v>176</v>
      </c>
      <c r="D356" s="5" t="s">
        <v>324</v>
      </c>
      <c r="E356" s="5" t="str">
        <f>IFERROR(VLOOKUP($D356,FIYAT!$B:$O,2,FALSE()),"")</f>
        <v>УЗО NL1-63 6kA 2P 25A 30mA тип AC (R)</v>
      </c>
      <c r="F356" s="5">
        <f>IFERROR(VLOOKUP($D356,FIYAT!$B:$O,5,FALSE()),"")</f>
        <v>10809</v>
      </c>
      <c r="G356" s="5">
        <f>IFERROR(VLOOKUP($D356,FIYAT!$B:$O,8,FALSE()),"")</f>
        <v>6485.4</v>
      </c>
      <c r="H356" s="5">
        <f t="shared" si="42"/>
        <v>6485.4</v>
      </c>
      <c r="I356" s="6">
        <v>1</v>
      </c>
      <c r="J356" s="5" t="str">
        <f>IFERROR(VLOOKUP($D356,FIYAT!$B:$O,9,FALSE()),"")</f>
        <v>Шт.</v>
      </c>
      <c r="K356" s="5" t="str">
        <f>IFERROR(VLOOKUP($D356,FIYAT!$B:$O,4,FALSE()),"")</f>
        <v>CHINT</v>
      </c>
      <c r="L356" s="5">
        <f t="shared" si="43"/>
        <v>6485.4</v>
      </c>
      <c r="M356" s="5"/>
      <c r="N356" s="5"/>
      <c r="O356" s="5"/>
      <c r="P356" s="5" t="str">
        <f>IF($H356="","FIYAT_YOK",IFERROR(VLOOKUP($D356,FIYAT!$B:$P,15,FALSE()),""))</f>
        <v>OK</v>
      </c>
      <c r="Q356" s="5" t="s">
        <v>326</v>
      </c>
      <c r="R356" s="5" t="s">
        <v>171</v>
      </c>
      <c r="S356" s="5" t="s">
        <v>550</v>
      </c>
      <c r="T356" s="5" t="s">
        <v>55</v>
      </c>
      <c r="U356" s="5">
        <f>IFERROR(VLOOKUP($T356,KURALLAR!$A$32:$B$63,2,FALSE()),0)*IF(ISNUMBER($I356),$I356,0)</f>
        <v>6</v>
      </c>
    </row>
    <row r="357" spans="1:21" x14ac:dyDescent="0.25">
      <c r="A357" s="9">
        <v>356</v>
      </c>
      <c r="B357" s="9"/>
      <c r="C357" s="9" t="s">
        <v>192</v>
      </c>
      <c r="D357" s="9" t="s">
        <v>194</v>
      </c>
      <c r="E357" s="9" t="str">
        <f>IFERROR(VLOOKUP($D357,FIYAT!$B:$O,2,FALSE()),"")</f>
        <v>Авт. выкл. NXB-63 1P 16A 6кА х-ка C (R)</v>
      </c>
      <c r="F357" s="9">
        <f>IFERROR(VLOOKUP($D357,FIYAT!$B:$O,5,FALSE()),"")</f>
        <v>1389</v>
      </c>
      <c r="G357" s="9">
        <f>IFERROR(VLOOKUP($D357,FIYAT!$B:$O,8,FALSE()),"")</f>
        <v>833.4</v>
      </c>
      <c r="H357" s="9">
        <f t="shared" si="42"/>
        <v>7500.5999999999995</v>
      </c>
      <c r="I357" s="6">
        <v>9</v>
      </c>
      <c r="J357" s="9" t="str">
        <f>IFERROR(VLOOKUP($D357,FIYAT!$B:$O,9,FALSE()),"")</f>
        <v>Шт.</v>
      </c>
      <c r="K357" s="9" t="str">
        <f>IFERROR(VLOOKUP($D357,FIYAT!$B:$O,4,FALSE()),"")</f>
        <v>CHINT</v>
      </c>
      <c r="L357" s="9">
        <f t="shared" si="43"/>
        <v>7500.5999999999995</v>
      </c>
      <c r="M357" s="9"/>
      <c r="N357" s="9"/>
      <c r="O357" s="9"/>
      <c r="P357" s="9" t="str">
        <f>IF($H357="","FIYAT_YOK",IFERROR(VLOOKUP($D357,FIYAT!$B:$P,15,FALSE()),""))</f>
        <v>OK</v>
      </c>
      <c r="Q357" s="9" t="s">
        <v>196</v>
      </c>
      <c r="R357" s="9" t="s">
        <v>171</v>
      </c>
      <c r="S357" s="9" t="s">
        <v>550</v>
      </c>
      <c r="T357" s="9" t="s">
        <v>47</v>
      </c>
      <c r="U357" s="9">
        <f>IFERROR(VLOOKUP($T357,KURALLAR!$A$32:$B$63,2,FALSE()),0)*IF(ISNUMBER($I357),$I357,0)</f>
        <v>27</v>
      </c>
    </row>
    <row r="358" spans="1:21" x14ac:dyDescent="0.25">
      <c r="A358" s="5">
        <v>357</v>
      </c>
      <c r="B358" s="5"/>
      <c r="C358" s="5" t="s">
        <v>176</v>
      </c>
      <c r="D358" s="5" t="s">
        <v>200</v>
      </c>
      <c r="E358" s="5" t="str">
        <f>IFERROR(VLOOKUP($D358,FIYAT!$B:$O,2,FALSE()),"")</f>
        <v>УЗО NL1-63 6kA 2P 16A 30mA тип AC (R)</v>
      </c>
      <c r="F358" s="5">
        <f>IFERROR(VLOOKUP($D358,FIYAT!$B:$O,5,FALSE()),"")</f>
        <v>10809</v>
      </c>
      <c r="G358" s="5">
        <f>IFERROR(VLOOKUP($D358,FIYAT!$B:$O,8,FALSE()),"")</f>
        <v>6485.4</v>
      </c>
      <c r="H358" s="5">
        <f t="shared" si="42"/>
        <v>6485.4</v>
      </c>
      <c r="I358" s="6">
        <v>1</v>
      </c>
      <c r="J358" s="5" t="str">
        <f>IFERROR(VLOOKUP($D358,FIYAT!$B:$O,9,FALSE()),"")</f>
        <v>Шт.</v>
      </c>
      <c r="K358" s="5" t="str">
        <f>IFERROR(VLOOKUP($D358,FIYAT!$B:$O,4,FALSE()),"")</f>
        <v>CHINT</v>
      </c>
      <c r="L358" s="5">
        <f t="shared" si="43"/>
        <v>6485.4</v>
      </c>
      <c r="M358" s="5"/>
      <c r="N358" s="5"/>
      <c r="O358" s="5"/>
      <c r="P358" s="5" t="str">
        <f>IF($H358="","FIYAT_YOK",IFERROR(VLOOKUP($D358,FIYAT!$B:$P,15,FALSE()),""))</f>
        <v>OK</v>
      </c>
      <c r="Q358" s="5" t="s">
        <v>202</v>
      </c>
      <c r="R358" s="5" t="s">
        <v>171</v>
      </c>
      <c r="S358" s="5" t="s">
        <v>550</v>
      </c>
      <c r="T358" s="5" t="s">
        <v>55</v>
      </c>
      <c r="U358" s="5">
        <f>IFERROR(VLOOKUP($T358,KURALLAR!$A$32:$B$63,2,FALSE()),0)*IF(ISNUMBER($I358),$I358,0)</f>
        <v>6</v>
      </c>
    </row>
    <row r="359" spans="1:21" x14ac:dyDescent="0.25">
      <c r="A359" s="9">
        <v>358</v>
      </c>
      <c r="B359" s="9"/>
      <c r="C359" s="9" t="s">
        <v>192</v>
      </c>
      <c r="D359" s="9" t="s">
        <v>206</v>
      </c>
      <c r="E359" s="9" t="str">
        <f>IFERROR(VLOOKUP($D359,FIYAT!$B:$O,2,FALSE()),"")</f>
        <v>Авт. выкл. NXB-63 1P 10A 6кА х-ка C (R)</v>
      </c>
      <c r="F359" s="9">
        <f>IFERROR(VLOOKUP($D359,FIYAT!$B:$O,5,FALSE()),"")</f>
        <v>1362</v>
      </c>
      <c r="G359" s="9">
        <f>IFERROR(VLOOKUP($D359,FIYAT!$B:$O,8,FALSE()),"")</f>
        <v>817.19999999999993</v>
      </c>
      <c r="H359" s="9">
        <f t="shared" si="42"/>
        <v>11440.8</v>
      </c>
      <c r="I359" s="6">
        <v>14</v>
      </c>
      <c r="J359" s="9" t="str">
        <f>IFERROR(VLOOKUP($D359,FIYAT!$B:$O,9,FALSE()),"")</f>
        <v>Шт.</v>
      </c>
      <c r="K359" s="9" t="str">
        <f>IFERROR(VLOOKUP($D359,FIYAT!$B:$O,4,FALSE()),"")</f>
        <v>CHINT</v>
      </c>
      <c r="L359" s="9">
        <f t="shared" si="43"/>
        <v>11440.8</v>
      </c>
      <c r="M359" s="9"/>
      <c r="N359" s="9"/>
      <c r="O359" s="9"/>
      <c r="P359" s="9" t="str">
        <f>IF($H359="","FIYAT_YOK",IFERROR(VLOOKUP($D359,FIYAT!$B:$P,15,FALSE()),""))</f>
        <v>OK</v>
      </c>
      <c r="Q359" s="9" t="s">
        <v>208</v>
      </c>
      <c r="R359" s="9" t="s">
        <v>184</v>
      </c>
      <c r="S359" s="9" t="s">
        <v>550</v>
      </c>
      <c r="T359" s="9" t="s">
        <v>47</v>
      </c>
      <c r="U359" s="9">
        <f>IFERROR(VLOOKUP($T359,KURALLAR!$A$32:$B$63,2,FALSE()),0)*IF(ISNUMBER($I359),$I359,0)</f>
        <v>42</v>
      </c>
    </row>
    <row r="360" spans="1:21" x14ac:dyDescent="0.25">
      <c r="A360" s="5">
        <v>359</v>
      </c>
      <c r="B360" s="5"/>
      <c r="C360" s="5" t="s">
        <v>93</v>
      </c>
      <c r="D360" s="5" t="s">
        <v>209</v>
      </c>
      <c r="E360" s="5" t="str">
        <f>IFERROR(VLOOKUP($D360,FIYAT!$B:$O,2,FALSE()),"")</f>
        <v>Шина "N" нулевая 6х9мм на DIN-рейку в корпусном изоляторе ШНИ 12К IEK (10)</v>
      </c>
      <c r="F360" s="5">
        <f>IFERROR(VLOOKUP($D360,FIYAT!$B:$O,5,FALSE()),"")</f>
        <v>755</v>
      </c>
      <c r="G360" s="5">
        <f>IFERROR(VLOOKUP($D360,FIYAT!$B:$O,8,FALSE()),"")</f>
        <v>453</v>
      </c>
      <c r="H360" s="5">
        <f t="shared" si="42"/>
        <v>1812</v>
      </c>
      <c r="I360" s="6">
        <v>4</v>
      </c>
      <c r="J360" s="5" t="str">
        <f>IFERROR(VLOOKUP($D360,FIYAT!$B:$O,9,FALSE()),"")</f>
        <v>Шт.</v>
      </c>
      <c r="K360" s="5" t="str">
        <f>IFERROR(VLOOKUP($D360,FIYAT!$B:$O,4,FALSE()),"")</f>
        <v>KAZTEK</v>
      </c>
      <c r="L360" s="5">
        <f t="shared" si="43"/>
        <v>1812</v>
      </c>
      <c r="M360" s="5"/>
      <c r="N360" s="5"/>
      <c r="O360" s="5"/>
      <c r="P360" s="5" t="str">
        <f>IF($H360="","FIYAT_YOK",IFERROR(VLOOKUP($D360,FIYAT!$B:$P,15,FALSE()),""))</f>
        <v>MUADIL</v>
      </c>
      <c r="Q360" s="5" t="s">
        <v>212</v>
      </c>
      <c r="R360" s="5" t="s">
        <v>211</v>
      </c>
      <c r="S360" s="5" t="s">
        <v>550</v>
      </c>
      <c r="T360" s="5" t="s">
        <v>93</v>
      </c>
      <c r="U360" s="5">
        <f>IFERROR(VLOOKUP($T360,KURALLAR!$A$32:$B$63,2,FALSE()),0)*IF(ISNUMBER($I360),$I360,0)</f>
        <v>32</v>
      </c>
    </row>
    <row r="361" spans="1:21" x14ac:dyDescent="0.25">
      <c r="A361" s="9">
        <v>360</v>
      </c>
      <c r="B361" s="9"/>
      <c r="C361" s="9" t="s">
        <v>222</v>
      </c>
      <c r="D361" s="9" t="s">
        <v>310</v>
      </c>
      <c r="E361" s="9" t="str">
        <f>IFERROR(VLOOKUP($D361,FIYAT!$B:$O,2,FALSE()),"")</f>
        <v>Мет.Корпус ЩМП-4 (800x650x250) IP54</v>
      </c>
      <c r="F361" s="9">
        <f>IFERROR(VLOOKUP($D361,FIYAT!$B:$O,5,FALSE()),"")</f>
        <v>30540</v>
      </c>
      <c r="G361" s="9">
        <f>IFERROR(VLOOKUP($D361,FIYAT!$B:$O,8,FALSE()),"")</f>
        <v>18324</v>
      </c>
      <c r="H361" s="9">
        <f t="shared" si="42"/>
        <v>18324</v>
      </c>
      <c r="I361" s="6">
        <v>1</v>
      </c>
      <c r="J361" s="9" t="str">
        <f>IFERROR(VLOOKUP($D361,FIYAT!$B:$O,9,FALSE()),"")</f>
        <v>Шт.</v>
      </c>
      <c r="K361" s="9" t="str">
        <f>IFERROR(VLOOKUP($D361,FIYAT!$B:$O,4,FALSE()),"")</f>
        <v>KAZTEK</v>
      </c>
      <c r="L361" s="9">
        <f t="shared" si="43"/>
        <v>18324</v>
      </c>
      <c r="M361" s="9"/>
      <c r="N361" s="9"/>
      <c r="O361" s="9"/>
      <c r="P361" s="9" t="str">
        <f>IF($H361="","FIYAT_YOK",IFERROR(VLOOKUP($D361,FIYAT!$B:$P,15,FALSE()),""))</f>
        <v>VARSAYIM</v>
      </c>
      <c r="Q361" s="9" t="s">
        <v>312</v>
      </c>
      <c r="R361" s="9" t="s">
        <v>211</v>
      </c>
      <c r="S361" s="9" t="s">
        <v>550</v>
      </c>
      <c r="T361" s="9" t="s">
        <v>105</v>
      </c>
      <c r="U361" s="9">
        <f>IFERROR(VLOOKUP($T361,KURALLAR!$A$32:$B$63,2,FALSE()),0)*IF(ISNUMBER($I361),$I361,0)</f>
        <v>30</v>
      </c>
    </row>
    <row r="362" spans="1:21" x14ac:dyDescent="0.25">
      <c r="A362" s="5">
        <v>361</v>
      </c>
      <c r="B362" s="5"/>
      <c r="C362" s="5" t="s">
        <v>215</v>
      </c>
      <c r="D362" s="5" t="s">
        <v>213</v>
      </c>
      <c r="E362" s="5" t="str">
        <f>IFERROR(VLOOKUP($D362,FIYAT!$B:$O,2,FALSE()),"")</f>
        <v>Монтажный расходный материал (кабель, DIN-рейка, кабель-канал, клеммы, маркировка, крепёж)</v>
      </c>
      <c r="F362" s="5">
        <f>IFERROR(VLOOKUP($D362,FIYAT!$B:$O,5,FALSE()),"")</f>
        <v>0</v>
      </c>
      <c r="G362" s="5" t="str">
        <f>IFERROR(VLOOKUP($D362,FIYAT!$B:$O,8,FALSE()),"")</f>
        <v/>
      </c>
      <c r="H362" s="5">
        <f>ROUND(SUM($H$350:$H$361)*KURALLAR!$B$28,0)</f>
        <v>9169</v>
      </c>
      <c r="I362" s="6">
        <v>1</v>
      </c>
      <c r="J362" s="5" t="str">
        <f>IFERROR(VLOOKUP($D362,FIYAT!$B:$O,9,FALSE()),"")</f>
        <v>компл.</v>
      </c>
      <c r="K362" s="5" t="str">
        <f>IFERROR(VLOOKUP($D362,FIYAT!$B:$O,4,FALSE()),"")</f>
        <v>MUADIL-NET</v>
      </c>
      <c r="L362" s="5">
        <f t="shared" si="43"/>
        <v>9169</v>
      </c>
      <c r="M362" s="5"/>
      <c r="N362" s="5"/>
      <c r="O362" s="5"/>
      <c r="P362" s="5" t="str">
        <f>IF($H362="","FIYAT_YOK",IFERROR(VLOOKUP($D362,FIYAT!$B:$P,15,FALSE()),""))</f>
        <v>ORAN</v>
      </c>
      <c r="Q362" s="5" t="s">
        <v>218</v>
      </c>
      <c r="R362" s="5" t="s">
        <v>217</v>
      </c>
      <c r="S362" s="5" t="s">
        <v>550</v>
      </c>
      <c r="T362" s="5"/>
      <c r="U362" s="5">
        <v>0</v>
      </c>
    </row>
    <row r="363" spans="1:21" x14ac:dyDescent="0.25">
      <c r="A363" s="9">
        <v>362</v>
      </c>
      <c r="B363" s="9"/>
      <c r="C363" s="9" t="s">
        <v>227</v>
      </c>
      <c r="D363" s="9" t="s">
        <v>225</v>
      </c>
      <c r="E363" s="9" t="str">
        <f>IFERROR(VLOOKUP($D363,FIYAT!$B:$O,2,FALSE()),"")</f>
        <v>Сборка, кабелирование, маркировка, момент затяжки, испытания</v>
      </c>
      <c r="F363" s="9">
        <f>IFERROR(VLOOKUP($D363,FIYAT!$B:$O,5,FALSE()),"")</f>
        <v>100</v>
      </c>
      <c r="G363" s="9">
        <f>IFERROR(VLOOKUP($D363,FIYAT!$B:$O,8,FALSE()),"")</f>
        <v>100</v>
      </c>
      <c r="H363" s="9">
        <f>IF(OR($G363="",$I363=""),"",$G363*$I363)</f>
        <v>24500</v>
      </c>
      <c r="I363" s="6">
        <f>ROUND(SUM($U$350:$U$362)*KURALLAR!$B$27,0)</f>
        <v>245</v>
      </c>
      <c r="J363" s="9" t="str">
        <f>IFERROR(VLOOKUP($D363,FIYAT!$B:$O,9,FALSE()),"")</f>
        <v>мин</v>
      </c>
      <c r="K363" s="9" t="str">
        <f>IFERROR(VLOOKUP($D363,FIYAT!$B:$O,4,FALSE()),"")</f>
        <v>ISCILIK</v>
      </c>
      <c r="L363" s="9">
        <f t="shared" si="43"/>
        <v>24500</v>
      </c>
      <c r="M363" s="9"/>
      <c r="N363" s="9"/>
      <c r="O363" s="9"/>
      <c r="P363" s="9" t="str">
        <f>IF($H363="","FIYAT_YOK",IFERROR(VLOOKUP($D363,FIYAT!$B:$P,15,FALSE()),""))</f>
        <v>OK</v>
      </c>
      <c r="Q363" s="9" t="str">
        <f>CONCATENATE("montaj+test iscilik: ",TEXT($I363,"# ##0")," dk = ",TEXT($I363/60,"0,00")," saat (norm x test/etiket carpani)")</f>
        <v>montaj+test iscilik:  245 dk = 4,08 saat (norm x test/etiket carpani)</v>
      </c>
      <c r="R363" s="9" t="s">
        <v>229</v>
      </c>
      <c r="S363" s="9" t="s">
        <v>550</v>
      </c>
      <c r="T363" s="9"/>
      <c r="U363" s="9">
        <v>0</v>
      </c>
    </row>
    <row r="364" spans="1:21" x14ac:dyDescent="0.25">
      <c r="A364" s="10">
        <v>363</v>
      </c>
      <c r="B364" s="10" t="s">
        <v>593</v>
      </c>
      <c r="C364" s="10"/>
      <c r="D364" s="10"/>
      <c r="E364" s="10"/>
      <c r="F364" s="10"/>
      <c r="G364" s="10"/>
      <c r="H364" s="10">
        <f>SUBTOTAL(9,H350:H363)</f>
        <v>164655</v>
      </c>
      <c r="I364" s="10"/>
      <c r="J364" s="10"/>
      <c r="K364" s="10"/>
      <c r="L364" s="10">
        <f>SUBTOTAL(9,L350:L363)</f>
        <v>164655</v>
      </c>
      <c r="M364" s="10"/>
      <c r="N364" s="10"/>
      <c r="O364" s="10"/>
      <c r="P364" s="10"/>
      <c r="Q364" s="10"/>
      <c r="R364" s="10"/>
      <c r="S364" s="10"/>
      <c r="T364" s="10"/>
      <c r="U364" s="10">
        <f>SUBTOTAL(9,U350:U363)</f>
        <v>213</v>
      </c>
    </row>
    <row r="365" spans="1:21" x14ac:dyDescent="0.25">
      <c r="A365" s="8">
        <v>364</v>
      </c>
      <c r="B365" s="8" t="str">
        <f>E365</f>
        <v>BLOK A / 11F-ИБП.2 — НКУ 380/220В 50Гц, FORM 2B, IP31/54</v>
      </c>
      <c r="C365" s="8" t="s">
        <v>545</v>
      </c>
      <c r="D365" s="8"/>
      <c r="E365" s="8" t="s">
        <v>594</v>
      </c>
      <c r="F365" s="8"/>
      <c r="G365" s="8"/>
      <c r="H365" s="8"/>
      <c r="I365" s="8">
        <v>1</v>
      </c>
      <c r="J365" s="8" t="s">
        <v>547</v>
      </c>
      <c r="K365" s="8"/>
      <c r="L365" s="8"/>
      <c r="M365" s="8"/>
      <c r="N365" s="8"/>
      <c r="O365" s="8"/>
      <c r="P365" s="8" t="s">
        <v>178</v>
      </c>
      <c r="Q365" s="8" t="s">
        <v>548</v>
      </c>
      <c r="R365" s="8" t="s">
        <v>549</v>
      </c>
      <c r="S365" s="8" t="s">
        <v>550</v>
      </c>
      <c r="T365" s="8"/>
      <c r="U365" s="8"/>
    </row>
    <row r="366" spans="1:21" x14ac:dyDescent="0.25">
      <c r="A366" s="5">
        <v>365</v>
      </c>
      <c r="B366" s="5"/>
      <c r="C366" s="5" t="s">
        <v>169</v>
      </c>
      <c r="D366" s="5" t="s">
        <v>327</v>
      </c>
      <c r="E366" s="5" t="str">
        <f>IFERROR(VLOOKUP($D366,FIYAT!$B:$O,2,FALSE()),"")</f>
        <v>Авт. выкл. NM8N-125C TM 3P 25А 36кА с рег. термомаг. расцепителем (R)</v>
      </c>
      <c r="F366" s="5">
        <f>IFERROR(VLOOKUP($D366,FIYAT!$B:$O,5,FALSE()),"")</f>
        <v>65063</v>
      </c>
      <c r="G366" s="5">
        <f>IFERROR(VLOOKUP($D366,FIYAT!$B:$O,8,FALSE()),"")</f>
        <v>39037.799999999996</v>
      </c>
      <c r="H366" s="5">
        <f t="shared" ref="H366:H377" si="44">IF(OR($G366="",$I366=""),"",$G366*$I366)</f>
        <v>39037.799999999996</v>
      </c>
      <c r="I366" s="6">
        <v>1</v>
      </c>
      <c r="J366" s="5" t="str">
        <f>IFERROR(VLOOKUP($D366,FIYAT!$B:$O,9,FALSE()),"")</f>
        <v>Шт.</v>
      </c>
      <c r="K366" s="5" t="str">
        <f>IFERROR(VLOOKUP($D366,FIYAT!$B:$O,4,FALSE()),"")</f>
        <v>CHINT</v>
      </c>
      <c r="L366" s="5">
        <f t="shared" ref="L366:L379" si="45">IF($H366="","",$H366)</f>
        <v>39037.799999999996</v>
      </c>
      <c r="M366" s="5"/>
      <c r="N366" s="5"/>
      <c r="O366" s="5"/>
      <c r="P366" s="5" t="str">
        <f>IF($H366="","FIYAT_YOK",IFERROR(VLOOKUP($D366,FIYAT!$B:$P,15,FALSE()),""))</f>
        <v>MUADIL</v>
      </c>
      <c r="Q366" s="5" t="s">
        <v>172</v>
      </c>
      <c r="R366" s="5" t="s">
        <v>171</v>
      </c>
      <c r="S366" s="5" t="s">
        <v>550</v>
      </c>
      <c r="T366" s="5" t="s">
        <v>61</v>
      </c>
      <c r="U366" s="5">
        <f>IFERROR(VLOOKUP($T366,KURALLAR!$A$32:$B$63,2,FALSE()),0)*IF(ISNUMBER($I366),$I366,0)</f>
        <v>15</v>
      </c>
    </row>
    <row r="367" spans="1:21" x14ac:dyDescent="0.25">
      <c r="A367" s="9">
        <v>366</v>
      </c>
      <c r="B367" s="9"/>
      <c r="C367" s="9" t="s">
        <v>176</v>
      </c>
      <c r="D367" s="9" t="s">
        <v>174</v>
      </c>
      <c r="E367" s="9" t="str">
        <f>IFERROR(VLOOKUP($D367,FIYAT!$B:$O,2,FALSE()),"")</f>
        <v>УЗО NL1-63 6kA 4P 63A 300mA тип AC (R)</v>
      </c>
      <c r="F367" s="9">
        <f>IFERROR(VLOOKUP($D367,FIYAT!$B:$O,5,FALSE()),"")</f>
        <v>18106</v>
      </c>
      <c r="G367" s="9">
        <f>IFERROR(VLOOKUP($D367,FIYAT!$B:$O,8,FALSE()),"")</f>
        <v>10863.6</v>
      </c>
      <c r="H367" s="9">
        <f t="shared" si="44"/>
        <v>10863.6</v>
      </c>
      <c r="I367" s="6">
        <v>1</v>
      </c>
      <c r="J367" s="9" t="str">
        <f>IFERROR(VLOOKUP($D367,FIYAT!$B:$O,9,FALSE()),"")</f>
        <v>Шт.</v>
      </c>
      <c r="K367" s="9" t="str">
        <f>IFERROR(VLOOKUP($D367,FIYAT!$B:$O,4,FALSE()),"")</f>
        <v>CHINT</v>
      </c>
      <c r="L367" s="9">
        <f t="shared" si="45"/>
        <v>10863.6</v>
      </c>
      <c r="M367" s="9"/>
      <c r="N367" s="9"/>
      <c r="O367" s="9"/>
      <c r="P367" s="9" t="str">
        <f>IF($H367="","FIYAT_YOK",IFERROR(VLOOKUP($D367,FIYAT!$B:$P,15,FALSE()),""))</f>
        <v>OK</v>
      </c>
      <c r="Q367" s="9" t="s">
        <v>177</v>
      </c>
      <c r="R367" s="9" t="s">
        <v>171</v>
      </c>
      <c r="S367" s="9" t="s">
        <v>550</v>
      </c>
      <c r="T367" s="9" t="s">
        <v>57</v>
      </c>
      <c r="U367" s="9">
        <f>IFERROR(VLOOKUP($T367,KURALLAR!$A$32:$B$63,2,FALSE()),0)*IF(ISNUMBER($I367),$I367,0)</f>
        <v>10</v>
      </c>
    </row>
    <row r="368" spans="1:21" x14ac:dyDescent="0.25">
      <c r="A368" s="5">
        <v>367</v>
      </c>
      <c r="B368" s="5"/>
      <c r="C368" s="5" t="s">
        <v>79</v>
      </c>
      <c r="D368" s="5" t="s">
        <v>179</v>
      </c>
      <c r="E368" s="5" t="str">
        <f>IFERROR(VLOOKUP($D368,FIYAT!$B:$O,2,FALSE()),"")</f>
        <v>Держатель плавкой вставки RT36-00-160, габарит 00, 160А</v>
      </c>
      <c r="F368" s="5">
        <f>IFERROR(VLOOKUP($D368,FIYAT!$B:$O,5,FALSE()),"")</f>
        <v>2038</v>
      </c>
      <c r="G368" s="5">
        <f>IFERROR(VLOOKUP($D368,FIYAT!$B:$O,8,FALSE()),"")</f>
        <v>1222.8</v>
      </c>
      <c r="H368" s="5">
        <f t="shared" si="44"/>
        <v>4891.2</v>
      </c>
      <c r="I368" s="6">
        <v>4</v>
      </c>
      <c r="J368" s="5" t="str">
        <f>IFERROR(VLOOKUP($D368,FIYAT!$B:$O,9,FALSE()),"")</f>
        <v>Шт.</v>
      </c>
      <c r="K368" s="5" t="str">
        <f>IFERROR(VLOOKUP($D368,FIYAT!$B:$O,4,FALSE()),"")</f>
        <v>CHINT</v>
      </c>
      <c r="L368" s="5">
        <f t="shared" si="45"/>
        <v>4891.2</v>
      </c>
      <c r="M368" s="5"/>
      <c r="N368" s="5"/>
      <c r="O368" s="5"/>
      <c r="P368" s="5" t="str">
        <f>IF($H368="","FIYAT_YOK",IFERROR(VLOOKUP($D368,FIYAT!$B:$P,15,FALSE()),""))</f>
        <v>MUADIL</v>
      </c>
      <c r="Q368" s="5" t="s">
        <v>181</v>
      </c>
      <c r="R368" s="5" t="s">
        <v>171</v>
      </c>
      <c r="S368" s="5" t="s">
        <v>550</v>
      </c>
      <c r="T368" s="5" t="s">
        <v>77</v>
      </c>
      <c r="U368" s="5">
        <f>IFERROR(VLOOKUP($T368,KURALLAR!$A$32:$B$63,2,FALSE()),0)*IF(ISNUMBER($I368),$I368,0)</f>
        <v>20</v>
      </c>
    </row>
    <row r="369" spans="1:21" x14ac:dyDescent="0.25">
      <c r="A369" s="9">
        <v>368</v>
      </c>
      <c r="B369" s="9"/>
      <c r="C369" s="9" t="s">
        <v>79</v>
      </c>
      <c r="D369" s="9" t="s">
        <v>182</v>
      </c>
      <c r="E369" s="9" t="str">
        <f>IFERROR(VLOOKUP($D369,FIYAT!$B:$O,2,FALSE()),"")</f>
        <v>Плавкая вставка предохранителя RT36-00-160, габарит 00, 63А</v>
      </c>
      <c r="F369" s="9">
        <f>IFERROR(VLOOKUP($D369,FIYAT!$B:$O,5,FALSE()),"")</f>
        <v>1525</v>
      </c>
      <c r="G369" s="9">
        <f>IFERROR(VLOOKUP($D369,FIYAT!$B:$O,8,FALSE()),"")</f>
        <v>915</v>
      </c>
      <c r="H369" s="9">
        <f t="shared" si="44"/>
        <v>3660</v>
      </c>
      <c r="I369" s="6">
        <v>4</v>
      </c>
      <c r="J369" s="9" t="str">
        <f>IFERROR(VLOOKUP($D369,FIYAT!$B:$O,9,FALSE()),"")</f>
        <v>Шт.</v>
      </c>
      <c r="K369" s="9" t="str">
        <f>IFERROR(VLOOKUP($D369,FIYAT!$B:$O,4,FALSE()),"")</f>
        <v>CHINT</v>
      </c>
      <c r="L369" s="9">
        <f t="shared" si="45"/>
        <v>3660</v>
      </c>
      <c r="M369" s="9"/>
      <c r="N369" s="9"/>
      <c r="O369" s="9"/>
      <c r="P369" s="9" t="str">
        <f>IF($H369="","FIYAT_YOK",IFERROR(VLOOKUP($D369,FIYAT!$B:$P,15,FALSE()),""))</f>
        <v>MUADIL</v>
      </c>
      <c r="Q369" s="9" t="s">
        <v>185</v>
      </c>
      <c r="R369" s="9" t="s">
        <v>184</v>
      </c>
      <c r="S369" s="9" t="s">
        <v>550</v>
      </c>
      <c r="T369" s="9" t="s">
        <v>79</v>
      </c>
      <c r="U369" s="9">
        <f>IFERROR(VLOOKUP($T369,KURALLAR!$A$32:$B$63,2,FALSE()),0)*IF(ISNUMBER($I369),$I369,0)</f>
        <v>12</v>
      </c>
    </row>
    <row r="370" spans="1:21" x14ac:dyDescent="0.25">
      <c r="A370" s="5">
        <v>369</v>
      </c>
      <c r="B370" s="5"/>
      <c r="C370" s="5" t="s">
        <v>75</v>
      </c>
      <c r="D370" s="5" t="s">
        <v>186</v>
      </c>
      <c r="E370" s="5" t="str">
        <f>IFERROR(VLOOKUP($D370,FIYAT!$B:$O,2,FALSE()),"")</f>
        <v>Ограничитель имп. перенапр. NU6-IIG 4Р In=25kA Uc=440B Im=65kA (R)</v>
      </c>
      <c r="F370" s="5">
        <f>IFERROR(VLOOKUP($D370,FIYAT!$B:$O,5,FALSE()),"")</f>
        <v>33208</v>
      </c>
      <c r="G370" s="5">
        <f>IFERROR(VLOOKUP($D370,FIYAT!$B:$O,8,FALSE()),"")</f>
        <v>19924.8</v>
      </c>
      <c r="H370" s="5">
        <f t="shared" si="44"/>
        <v>19924.8</v>
      </c>
      <c r="I370" s="6">
        <v>1</v>
      </c>
      <c r="J370" s="5" t="str">
        <f>IFERROR(VLOOKUP($D370,FIYAT!$B:$O,9,FALSE()),"")</f>
        <v>Шт.</v>
      </c>
      <c r="K370" s="5" t="str">
        <f>IFERROR(VLOOKUP($D370,FIYAT!$B:$O,4,FALSE()),"")</f>
        <v>CHINT</v>
      </c>
      <c r="L370" s="5">
        <f t="shared" si="45"/>
        <v>19924.8</v>
      </c>
      <c r="M370" s="5"/>
      <c r="N370" s="5"/>
      <c r="O370" s="5"/>
      <c r="P370" s="5" t="str">
        <f>IF($H370="","FIYAT_YOK",IFERROR(VLOOKUP($D370,FIYAT!$B:$P,15,FALSE()),""))</f>
        <v>MUADIL_ONAY</v>
      </c>
      <c r="Q370" s="5" t="s">
        <v>188</v>
      </c>
      <c r="R370" s="5" t="s">
        <v>184</v>
      </c>
      <c r="S370" s="5" t="s">
        <v>550</v>
      </c>
      <c r="T370" s="5" t="s">
        <v>75</v>
      </c>
      <c r="U370" s="5">
        <f>IFERROR(VLOOKUP($T370,KURALLAR!$A$32:$B$63,2,FALSE()),0)*IF(ISNUMBER($I370),$I370,0)</f>
        <v>10</v>
      </c>
    </row>
    <row r="371" spans="1:21" x14ac:dyDescent="0.25">
      <c r="A371" s="9">
        <v>370</v>
      </c>
      <c r="B371" s="9"/>
      <c r="C371" s="9" t="s">
        <v>192</v>
      </c>
      <c r="D371" s="9" t="s">
        <v>321</v>
      </c>
      <c r="E371" s="9" t="str">
        <f>IFERROR(VLOOKUP($D371,FIYAT!$B:$O,2,FALSE()),"")</f>
        <v>Авт. выкл. NXB-63 1P 25A 6кА х-ка C (R)</v>
      </c>
      <c r="F371" s="9">
        <f>IFERROR(VLOOKUP($D371,FIYAT!$B:$O,5,FALSE()),"")</f>
        <v>1330</v>
      </c>
      <c r="G371" s="9">
        <f>IFERROR(VLOOKUP($D371,FIYAT!$B:$O,8,FALSE()),"")</f>
        <v>798</v>
      </c>
      <c r="H371" s="9">
        <f t="shared" si="44"/>
        <v>798</v>
      </c>
      <c r="I371" s="6">
        <v>1</v>
      </c>
      <c r="J371" s="9" t="str">
        <f>IFERROR(VLOOKUP($D371,FIYAT!$B:$O,9,FALSE()),"")</f>
        <v>Шт.</v>
      </c>
      <c r="K371" s="9" t="str">
        <f>IFERROR(VLOOKUP($D371,FIYAT!$B:$O,4,FALSE()),"")</f>
        <v>CHINT</v>
      </c>
      <c r="L371" s="9">
        <f t="shared" si="45"/>
        <v>798</v>
      </c>
      <c r="M371" s="9"/>
      <c r="N371" s="9"/>
      <c r="O371" s="9"/>
      <c r="P371" s="9" t="str">
        <f>IF($H371="","FIYAT_YOK",IFERROR(VLOOKUP($D371,FIYAT!$B:$P,15,FALSE()),""))</f>
        <v>OK</v>
      </c>
      <c r="Q371" s="9" t="s">
        <v>323</v>
      </c>
      <c r="R371" s="9" t="s">
        <v>171</v>
      </c>
      <c r="S371" s="9" t="s">
        <v>550</v>
      </c>
      <c r="T371" s="9" t="s">
        <v>47</v>
      </c>
      <c r="U371" s="9">
        <f>IFERROR(VLOOKUP($T371,KURALLAR!$A$32:$B$63,2,FALSE()),0)*IF(ISNUMBER($I371),$I371,0)</f>
        <v>3</v>
      </c>
    </row>
    <row r="372" spans="1:21" x14ac:dyDescent="0.25">
      <c r="A372" s="5">
        <v>371</v>
      </c>
      <c r="B372" s="5"/>
      <c r="C372" s="5" t="s">
        <v>176</v>
      </c>
      <c r="D372" s="5" t="s">
        <v>324</v>
      </c>
      <c r="E372" s="5" t="str">
        <f>IFERROR(VLOOKUP($D372,FIYAT!$B:$O,2,FALSE()),"")</f>
        <v>УЗО NL1-63 6kA 2P 25A 30mA тип AC (R)</v>
      </c>
      <c r="F372" s="5">
        <f>IFERROR(VLOOKUP($D372,FIYAT!$B:$O,5,FALSE()),"")</f>
        <v>10809</v>
      </c>
      <c r="G372" s="5">
        <f>IFERROR(VLOOKUP($D372,FIYAT!$B:$O,8,FALSE()),"")</f>
        <v>6485.4</v>
      </c>
      <c r="H372" s="5">
        <f t="shared" si="44"/>
        <v>6485.4</v>
      </c>
      <c r="I372" s="6">
        <v>1</v>
      </c>
      <c r="J372" s="5" t="str">
        <f>IFERROR(VLOOKUP($D372,FIYAT!$B:$O,9,FALSE()),"")</f>
        <v>Шт.</v>
      </c>
      <c r="K372" s="5" t="str">
        <f>IFERROR(VLOOKUP($D372,FIYAT!$B:$O,4,FALSE()),"")</f>
        <v>CHINT</v>
      </c>
      <c r="L372" s="5">
        <f t="shared" si="45"/>
        <v>6485.4</v>
      </c>
      <c r="M372" s="5"/>
      <c r="N372" s="5"/>
      <c r="O372" s="5"/>
      <c r="P372" s="5" t="str">
        <f>IF($H372="","FIYAT_YOK",IFERROR(VLOOKUP($D372,FIYAT!$B:$P,15,FALSE()),""))</f>
        <v>OK</v>
      </c>
      <c r="Q372" s="5" t="s">
        <v>326</v>
      </c>
      <c r="R372" s="5" t="s">
        <v>171</v>
      </c>
      <c r="S372" s="5" t="s">
        <v>550</v>
      </c>
      <c r="T372" s="5" t="s">
        <v>55</v>
      </c>
      <c r="U372" s="5">
        <f>IFERROR(VLOOKUP($T372,KURALLAR!$A$32:$B$63,2,FALSE()),0)*IF(ISNUMBER($I372),$I372,0)</f>
        <v>6</v>
      </c>
    </row>
    <row r="373" spans="1:21" x14ac:dyDescent="0.25">
      <c r="A373" s="9">
        <v>372</v>
      </c>
      <c r="B373" s="9"/>
      <c r="C373" s="9" t="s">
        <v>192</v>
      </c>
      <c r="D373" s="9" t="s">
        <v>194</v>
      </c>
      <c r="E373" s="9" t="str">
        <f>IFERROR(VLOOKUP($D373,FIYAT!$B:$O,2,FALSE()),"")</f>
        <v>Авт. выкл. NXB-63 1P 16A 6кА х-ка C (R)</v>
      </c>
      <c r="F373" s="9">
        <f>IFERROR(VLOOKUP($D373,FIYAT!$B:$O,5,FALSE()),"")</f>
        <v>1389</v>
      </c>
      <c r="G373" s="9">
        <f>IFERROR(VLOOKUP($D373,FIYAT!$B:$O,8,FALSE()),"")</f>
        <v>833.4</v>
      </c>
      <c r="H373" s="9">
        <f t="shared" si="44"/>
        <v>4167</v>
      </c>
      <c r="I373" s="6">
        <v>5</v>
      </c>
      <c r="J373" s="9" t="str">
        <f>IFERROR(VLOOKUP($D373,FIYAT!$B:$O,9,FALSE()),"")</f>
        <v>Шт.</v>
      </c>
      <c r="K373" s="9" t="str">
        <f>IFERROR(VLOOKUP($D373,FIYAT!$B:$O,4,FALSE()),"")</f>
        <v>CHINT</v>
      </c>
      <c r="L373" s="9">
        <f t="shared" si="45"/>
        <v>4167</v>
      </c>
      <c r="M373" s="9"/>
      <c r="N373" s="9"/>
      <c r="O373" s="9"/>
      <c r="P373" s="9" t="str">
        <f>IF($H373="","FIYAT_YOK",IFERROR(VLOOKUP($D373,FIYAT!$B:$P,15,FALSE()),""))</f>
        <v>OK</v>
      </c>
      <c r="Q373" s="9" t="s">
        <v>196</v>
      </c>
      <c r="R373" s="9" t="s">
        <v>171</v>
      </c>
      <c r="S373" s="9" t="s">
        <v>550</v>
      </c>
      <c r="T373" s="9" t="s">
        <v>47</v>
      </c>
      <c r="U373" s="9">
        <f>IFERROR(VLOOKUP($T373,KURALLAR!$A$32:$B$63,2,FALSE()),0)*IF(ISNUMBER($I373),$I373,0)</f>
        <v>15</v>
      </c>
    </row>
    <row r="374" spans="1:21" x14ac:dyDescent="0.25">
      <c r="A374" s="5">
        <v>373</v>
      </c>
      <c r="B374" s="5"/>
      <c r="C374" s="5" t="s">
        <v>176</v>
      </c>
      <c r="D374" s="5" t="s">
        <v>200</v>
      </c>
      <c r="E374" s="5" t="str">
        <f>IFERROR(VLOOKUP($D374,FIYAT!$B:$O,2,FALSE()),"")</f>
        <v>УЗО NL1-63 6kA 2P 16A 30mA тип AC (R)</v>
      </c>
      <c r="F374" s="5">
        <f>IFERROR(VLOOKUP($D374,FIYAT!$B:$O,5,FALSE()),"")</f>
        <v>10809</v>
      </c>
      <c r="G374" s="5">
        <f>IFERROR(VLOOKUP($D374,FIYAT!$B:$O,8,FALSE()),"")</f>
        <v>6485.4</v>
      </c>
      <c r="H374" s="5">
        <f t="shared" si="44"/>
        <v>6485.4</v>
      </c>
      <c r="I374" s="6">
        <v>1</v>
      </c>
      <c r="J374" s="5" t="str">
        <f>IFERROR(VLOOKUP($D374,FIYAT!$B:$O,9,FALSE()),"")</f>
        <v>Шт.</v>
      </c>
      <c r="K374" s="5" t="str">
        <f>IFERROR(VLOOKUP($D374,FIYAT!$B:$O,4,FALSE()),"")</f>
        <v>CHINT</v>
      </c>
      <c r="L374" s="5">
        <f t="shared" si="45"/>
        <v>6485.4</v>
      </c>
      <c r="M374" s="5"/>
      <c r="N374" s="5"/>
      <c r="O374" s="5"/>
      <c r="P374" s="5" t="str">
        <f>IF($H374="","FIYAT_YOK",IFERROR(VLOOKUP($D374,FIYAT!$B:$P,15,FALSE()),""))</f>
        <v>OK</v>
      </c>
      <c r="Q374" s="5" t="s">
        <v>202</v>
      </c>
      <c r="R374" s="5" t="s">
        <v>171</v>
      </c>
      <c r="S374" s="5" t="s">
        <v>550</v>
      </c>
      <c r="T374" s="5" t="s">
        <v>55</v>
      </c>
      <c r="U374" s="5">
        <f>IFERROR(VLOOKUP($T374,KURALLAR!$A$32:$B$63,2,FALSE()),0)*IF(ISNUMBER($I374),$I374,0)</f>
        <v>6</v>
      </c>
    </row>
    <row r="375" spans="1:21" x14ac:dyDescent="0.25">
      <c r="A375" s="9">
        <v>374</v>
      </c>
      <c r="B375" s="9"/>
      <c r="C375" s="9" t="s">
        <v>192</v>
      </c>
      <c r="D375" s="9" t="s">
        <v>206</v>
      </c>
      <c r="E375" s="9" t="str">
        <f>IFERROR(VLOOKUP($D375,FIYAT!$B:$O,2,FALSE()),"")</f>
        <v>Авт. выкл. NXB-63 1P 10A 6кА х-ка C (R)</v>
      </c>
      <c r="F375" s="9">
        <f>IFERROR(VLOOKUP($D375,FIYAT!$B:$O,5,FALSE()),"")</f>
        <v>1362</v>
      </c>
      <c r="G375" s="9">
        <f>IFERROR(VLOOKUP($D375,FIYAT!$B:$O,8,FALSE()),"")</f>
        <v>817.19999999999993</v>
      </c>
      <c r="H375" s="9">
        <f t="shared" si="44"/>
        <v>10623.599999999999</v>
      </c>
      <c r="I375" s="6">
        <v>13</v>
      </c>
      <c r="J375" s="9" t="str">
        <f>IFERROR(VLOOKUP($D375,FIYAT!$B:$O,9,FALSE()),"")</f>
        <v>Шт.</v>
      </c>
      <c r="K375" s="9" t="str">
        <f>IFERROR(VLOOKUP($D375,FIYAT!$B:$O,4,FALSE()),"")</f>
        <v>CHINT</v>
      </c>
      <c r="L375" s="9">
        <f t="shared" si="45"/>
        <v>10623.599999999999</v>
      </c>
      <c r="M375" s="9"/>
      <c r="N375" s="9"/>
      <c r="O375" s="9"/>
      <c r="P375" s="9" t="str">
        <f>IF($H375="","FIYAT_YOK",IFERROR(VLOOKUP($D375,FIYAT!$B:$P,15,FALSE()),""))</f>
        <v>OK</v>
      </c>
      <c r="Q375" s="9" t="s">
        <v>208</v>
      </c>
      <c r="R375" s="9" t="s">
        <v>184</v>
      </c>
      <c r="S375" s="9" t="s">
        <v>550</v>
      </c>
      <c r="T375" s="9" t="s">
        <v>47</v>
      </c>
      <c r="U375" s="9">
        <f>IFERROR(VLOOKUP($T375,KURALLAR!$A$32:$B$63,2,FALSE()),0)*IF(ISNUMBER($I375),$I375,0)</f>
        <v>39</v>
      </c>
    </row>
    <row r="376" spans="1:21" x14ac:dyDescent="0.25">
      <c r="A376" s="5">
        <v>375</v>
      </c>
      <c r="B376" s="5"/>
      <c r="C376" s="5" t="s">
        <v>93</v>
      </c>
      <c r="D376" s="5" t="s">
        <v>209</v>
      </c>
      <c r="E376" s="5" t="str">
        <f>IFERROR(VLOOKUP($D376,FIYAT!$B:$O,2,FALSE()),"")</f>
        <v>Шина "N" нулевая 6х9мм на DIN-рейку в корпусном изоляторе ШНИ 12К IEK (10)</v>
      </c>
      <c r="F376" s="5">
        <f>IFERROR(VLOOKUP($D376,FIYAT!$B:$O,5,FALSE()),"")</f>
        <v>755</v>
      </c>
      <c r="G376" s="5">
        <f>IFERROR(VLOOKUP($D376,FIYAT!$B:$O,8,FALSE()),"")</f>
        <v>453</v>
      </c>
      <c r="H376" s="5">
        <f t="shared" si="44"/>
        <v>1812</v>
      </c>
      <c r="I376" s="6">
        <v>4</v>
      </c>
      <c r="J376" s="5" t="str">
        <f>IFERROR(VLOOKUP($D376,FIYAT!$B:$O,9,FALSE()),"")</f>
        <v>Шт.</v>
      </c>
      <c r="K376" s="5" t="str">
        <f>IFERROR(VLOOKUP($D376,FIYAT!$B:$O,4,FALSE()),"")</f>
        <v>KAZTEK</v>
      </c>
      <c r="L376" s="5">
        <f t="shared" si="45"/>
        <v>1812</v>
      </c>
      <c r="M376" s="5"/>
      <c r="N376" s="5"/>
      <c r="O376" s="5"/>
      <c r="P376" s="5" t="str">
        <f>IF($H376="","FIYAT_YOK",IFERROR(VLOOKUP($D376,FIYAT!$B:$P,15,FALSE()),""))</f>
        <v>MUADIL</v>
      </c>
      <c r="Q376" s="5" t="s">
        <v>212</v>
      </c>
      <c r="R376" s="5" t="s">
        <v>211</v>
      </c>
      <c r="S376" s="5" t="s">
        <v>550</v>
      </c>
      <c r="T376" s="5" t="s">
        <v>93</v>
      </c>
      <c r="U376" s="5">
        <f>IFERROR(VLOOKUP($T376,KURALLAR!$A$32:$B$63,2,FALSE()),0)*IF(ISNUMBER($I376),$I376,0)</f>
        <v>32</v>
      </c>
    </row>
    <row r="377" spans="1:21" x14ac:dyDescent="0.25">
      <c r="A377" s="9">
        <v>376</v>
      </c>
      <c r="B377" s="9"/>
      <c r="C377" s="9" t="s">
        <v>222</v>
      </c>
      <c r="D377" s="9" t="s">
        <v>310</v>
      </c>
      <c r="E377" s="9" t="str">
        <f>IFERROR(VLOOKUP($D377,FIYAT!$B:$O,2,FALSE()),"")</f>
        <v>Мет.Корпус ЩМП-4 (800x650x250) IP54</v>
      </c>
      <c r="F377" s="9">
        <f>IFERROR(VLOOKUP($D377,FIYAT!$B:$O,5,FALSE()),"")</f>
        <v>30540</v>
      </c>
      <c r="G377" s="9">
        <f>IFERROR(VLOOKUP($D377,FIYAT!$B:$O,8,FALSE()),"")</f>
        <v>18324</v>
      </c>
      <c r="H377" s="9">
        <f t="shared" si="44"/>
        <v>18324</v>
      </c>
      <c r="I377" s="6">
        <v>1</v>
      </c>
      <c r="J377" s="9" t="str">
        <f>IFERROR(VLOOKUP($D377,FIYAT!$B:$O,9,FALSE()),"")</f>
        <v>Шт.</v>
      </c>
      <c r="K377" s="9" t="str">
        <f>IFERROR(VLOOKUP($D377,FIYAT!$B:$O,4,FALSE()),"")</f>
        <v>KAZTEK</v>
      </c>
      <c r="L377" s="9">
        <f t="shared" si="45"/>
        <v>18324</v>
      </c>
      <c r="M377" s="9"/>
      <c r="N377" s="9"/>
      <c r="O377" s="9"/>
      <c r="P377" s="9" t="str">
        <f>IF($H377="","FIYAT_YOK",IFERROR(VLOOKUP($D377,FIYAT!$B:$P,15,FALSE()),""))</f>
        <v>VARSAYIM</v>
      </c>
      <c r="Q377" s="9" t="s">
        <v>312</v>
      </c>
      <c r="R377" s="9" t="s">
        <v>211</v>
      </c>
      <c r="S377" s="9" t="s">
        <v>550</v>
      </c>
      <c r="T377" s="9" t="s">
        <v>105</v>
      </c>
      <c r="U377" s="9">
        <f>IFERROR(VLOOKUP($T377,KURALLAR!$A$32:$B$63,2,FALSE()),0)*IF(ISNUMBER($I377),$I377,0)</f>
        <v>30</v>
      </c>
    </row>
    <row r="378" spans="1:21" x14ac:dyDescent="0.25">
      <c r="A378" s="5">
        <v>377</v>
      </c>
      <c r="B378" s="5"/>
      <c r="C378" s="5" t="s">
        <v>215</v>
      </c>
      <c r="D378" s="5" t="s">
        <v>213</v>
      </c>
      <c r="E378" s="5" t="str">
        <f>IFERROR(VLOOKUP($D378,FIYAT!$B:$O,2,FALSE()),"")</f>
        <v>Монтажный расходный материал (кабель, DIN-рейка, кабель-канал, клеммы, маркировка, крепёж)</v>
      </c>
      <c r="F378" s="5">
        <f>IFERROR(VLOOKUP($D378,FIYAT!$B:$O,5,FALSE()),"")</f>
        <v>0</v>
      </c>
      <c r="G378" s="5" t="str">
        <f>IFERROR(VLOOKUP($D378,FIYAT!$B:$O,8,FALSE()),"")</f>
        <v/>
      </c>
      <c r="H378" s="5">
        <f>ROUND(SUM($H$366:$H$377)*KURALLAR!$B$28,0)</f>
        <v>8895</v>
      </c>
      <c r="I378" s="6">
        <v>1</v>
      </c>
      <c r="J378" s="5" t="str">
        <f>IFERROR(VLOOKUP($D378,FIYAT!$B:$O,9,FALSE()),"")</f>
        <v>компл.</v>
      </c>
      <c r="K378" s="5" t="str">
        <f>IFERROR(VLOOKUP($D378,FIYAT!$B:$O,4,FALSE()),"")</f>
        <v>MUADIL-NET</v>
      </c>
      <c r="L378" s="5">
        <f t="shared" si="45"/>
        <v>8895</v>
      </c>
      <c r="M378" s="5"/>
      <c r="N378" s="5"/>
      <c r="O378" s="5"/>
      <c r="P378" s="5" t="str">
        <f>IF($H378="","FIYAT_YOK",IFERROR(VLOOKUP($D378,FIYAT!$B:$P,15,FALSE()),""))</f>
        <v>ORAN</v>
      </c>
      <c r="Q378" s="5" t="s">
        <v>218</v>
      </c>
      <c r="R378" s="5" t="s">
        <v>217</v>
      </c>
      <c r="S378" s="5" t="s">
        <v>550</v>
      </c>
      <c r="T378" s="5"/>
      <c r="U378" s="5">
        <v>0</v>
      </c>
    </row>
    <row r="379" spans="1:21" x14ac:dyDescent="0.25">
      <c r="A379" s="9">
        <v>378</v>
      </c>
      <c r="B379" s="9"/>
      <c r="C379" s="9" t="s">
        <v>227</v>
      </c>
      <c r="D379" s="9" t="s">
        <v>225</v>
      </c>
      <c r="E379" s="9" t="str">
        <f>IFERROR(VLOOKUP($D379,FIYAT!$B:$O,2,FALSE()),"")</f>
        <v>Сборка, кабелирование, маркировка, момент затяжки, испытания</v>
      </c>
      <c r="F379" s="9">
        <f>IFERROR(VLOOKUP($D379,FIYAT!$B:$O,5,FALSE()),"")</f>
        <v>100</v>
      </c>
      <c r="G379" s="9">
        <f>IFERROR(VLOOKUP($D379,FIYAT!$B:$O,8,FALSE()),"")</f>
        <v>100</v>
      </c>
      <c r="H379" s="9">
        <f>IF(OR($G379="",$I379=""),"",$G379*$I379)</f>
        <v>22800</v>
      </c>
      <c r="I379" s="6">
        <f>ROUND(SUM($U$366:$U$378)*KURALLAR!$B$27,0)</f>
        <v>228</v>
      </c>
      <c r="J379" s="9" t="str">
        <f>IFERROR(VLOOKUP($D379,FIYAT!$B:$O,9,FALSE()),"")</f>
        <v>мин</v>
      </c>
      <c r="K379" s="9" t="str">
        <f>IFERROR(VLOOKUP($D379,FIYAT!$B:$O,4,FALSE()),"")</f>
        <v>ISCILIK</v>
      </c>
      <c r="L379" s="9">
        <f t="shared" si="45"/>
        <v>22800</v>
      </c>
      <c r="M379" s="9"/>
      <c r="N379" s="9"/>
      <c r="O379" s="9"/>
      <c r="P379" s="9" t="str">
        <f>IF($H379="","FIYAT_YOK",IFERROR(VLOOKUP($D379,FIYAT!$B:$P,15,FALSE()),""))</f>
        <v>OK</v>
      </c>
      <c r="Q379" s="9" t="str">
        <f>CONCATENATE("montaj+test iscilik: ",TEXT($I379,"# ##0")," dk = ",TEXT($I379/60,"0,00")," saat (norm x test/etiket carpani)")</f>
        <v>montaj+test iscilik:  228 dk = 3,80 saat (norm x test/etiket carpani)</v>
      </c>
      <c r="R379" s="9" t="s">
        <v>229</v>
      </c>
      <c r="S379" s="9" t="s">
        <v>550</v>
      </c>
      <c r="T379" s="9"/>
      <c r="U379" s="9">
        <v>0</v>
      </c>
    </row>
    <row r="380" spans="1:21" x14ac:dyDescent="0.25">
      <c r="A380" s="10">
        <v>379</v>
      </c>
      <c r="B380" s="10" t="s">
        <v>595</v>
      </c>
      <c r="C380" s="10"/>
      <c r="D380" s="10"/>
      <c r="E380" s="10"/>
      <c r="F380" s="10"/>
      <c r="G380" s="10"/>
      <c r="H380" s="10">
        <f>SUBTOTAL(9,H366:H379)</f>
        <v>158767.79999999999</v>
      </c>
      <c r="I380" s="10"/>
      <c r="J380" s="10"/>
      <c r="K380" s="10"/>
      <c r="L380" s="10">
        <f>SUBTOTAL(9,L366:L379)</f>
        <v>158767.79999999999</v>
      </c>
      <c r="M380" s="10"/>
      <c r="N380" s="10"/>
      <c r="O380" s="10"/>
      <c r="P380" s="10"/>
      <c r="Q380" s="10"/>
      <c r="R380" s="10"/>
      <c r="S380" s="10"/>
      <c r="T380" s="10"/>
      <c r="U380" s="10">
        <f>SUBTOTAL(9,U366:U379)</f>
        <v>198</v>
      </c>
    </row>
    <row r="381" spans="1:21" x14ac:dyDescent="0.25">
      <c r="A381" s="8">
        <v>380</v>
      </c>
      <c r="B381" s="8" t="str">
        <f>E381</f>
        <v>BLOK A / 16F-ЩС.1 — НКУ 380/220В 50Гц, FORM 2B, IP31/54</v>
      </c>
      <c r="C381" s="8" t="s">
        <v>545</v>
      </c>
      <c r="D381" s="8"/>
      <c r="E381" s="8" t="s">
        <v>596</v>
      </c>
      <c r="F381" s="8"/>
      <c r="G381" s="8"/>
      <c r="H381" s="8"/>
      <c r="I381" s="8">
        <v>1</v>
      </c>
      <c r="J381" s="8" t="s">
        <v>547</v>
      </c>
      <c r="K381" s="8"/>
      <c r="L381" s="8"/>
      <c r="M381" s="8"/>
      <c r="N381" s="8"/>
      <c r="O381" s="8"/>
      <c r="P381" s="8" t="s">
        <v>178</v>
      </c>
      <c r="Q381" s="8" t="s">
        <v>548</v>
      </c>
      <c r="R381" s="8" t="s">
        <v>549</v>
      </c>
      <c r="S381" s="8" t="s">
        <v>550</v>
      </c>
      <c r="T381" s="8"/>
      <c r="U381" s="8"/>
    </row>
    <row r="382" spans="1:21" x14ac:dyDescent="0.25">
      <c r="A382" s="5">
        <v>381</v>
      </c>
      <c r="B382" s="5"/>
      <c r="C382" s="5" t="s">
        <v>169</v>
      </c>
      <c r="D382" s="5" t="s">
        <v>167</v>
      </c>
      <c r="E382" s="5" t="str">
        <f>IFERROR(VLOOKUP($D382,FIYAT!$B:$O,2,FALSE()),"")</f>
        <v>Авт. выкл. NM8N-125C TM 3P 32А 36кА с рег. термомаг. расцепителем (R)</v>
      </c>
      <c r="F382" s="5">
        <f>IFERROR(VLOOKUP($D382,FIYAT!$B:$O,5,FALSE()),"")</f>
        <v>64667</v>
      </c>
      <c r="G382" s="5">
        <f>IFERROR(VLOOKUP($D382,FIYAT!$B:$O,8,FALSE()),"")</f>
        <v>38800.199999999997</v>
      </c>
      <c r="H382" s="5">
        <f t="shared" ref="H382:H393" si="46">IF(OR($G382="",$I382=""),"",$G382*$I382)</f>
        <v>38800.199999999997</v>
      </c>
      <c r="I382" s="6">
        <v>1</v>
      </c>
      <c r="J382" s="5" t="str">
        <f>IFERROR(VLOOKUP($D382,FIYAT!$B:$O,9,FALSE()),"")</f>
        <v>Шт.</v>
      </c>
      <c r="K382" s="5" t="str">
        <f>IFERROR(VLOOKUP($D382,FIYAT!$B:$O,4,FALSE()),"")</f>
        <v>CHINT</v>
      </c>
      <c r="L382" s="5">
        <f t="shared" ref="L382:L395" si="47">IF($H382="","",$H382)</f>
        <v>38800.199999999997</v>
      </c>
      <c r="M382" s="5"/>
      <c r="N382" s="5"/>
      <c r="O382" s="5"/>
      <c r="P382" s="5" t="str">
        <f>IF($H382="","FIYAT_YOK",IFERROR(VLOOKUP($D382,FIYAT!$B:$P,15,FALSE()),""))</f>
        <v>MUADIL</v>
      </c>
      <c r="Q382" s="5" t="s">
        <v>172</v>
      </c>
      <c r="R382" s="5" t="s">
        <v>171</v>
      </c>
      <c r="S382" s="5" t="s">
        <v>550</v>
      </c>
      <c r="T382" s="5" t="s">
        <v>61</v>
      </c>
      <c r="U382" s="5">
        <f>IFERROR(VLOOKUP($T382,KURALLAR!$A$32:$B$63,2,FALSE()),0)*IF(ISNUMBER($I382),$I382,0)</f>
        <v>15</v>
      </c>
    </row>
    <row r="383" spans="1:21" x14ac:dyDescent="0.25">
      <c r="A383" s="9">
        <v>382</v>
      </c>
      <c r="B383" s="9"/>
      <c r="C383" s="9" t="s">
        <v>176</v>
      </c>
      <c r="D383" s="9" t="s">
        <v>174</v>
      </c>
      <c r="E383" s="9" t="str">
        <f>IFERROR(VLOOKUP($D383,FIYAT!$B:$O,2,FALSE()),"")</f>
        <v>УЗО NL1-63 6kA 4P 63A 300mA тип AC (R)</v>
      </c>
      <c r="F383" s="9">
        <f>IFERROR(VLOOKUP($D383,FIYAT!$B:$O,5,FALSE()),"")</f>
        <v>18106</v>
      </c>
      <c r="G383" s="9">
        <f>IFERROR(VLOOKUP($D383,FIYAT!$B:$O,8,FALSE()),"")</f>
        <v>10863.6</v>
      </c>
      <c r="H383" s="9">
        <f t="shared" si="46"/>
        <v>10863.6</v>
      </c>
      <c r="I383" s="6">
        <v>1</v>
      </c>
      <c r="J383" s="9" t="str">
        <f>IFERROR(VLOOKUP($D383,FIYAT!$B:$O,9,FALSE()),"")</f>
        <v>Шт.</v>
      </c>
      <c r="K383" s="9" t="str">
        <f>IFERROR(VLOOKUP($D383,FIYAT!$B:$O,4,FALSE()),"")</f>
        <v>CHINT</v>
      </c>
      <c r="L383" s="9">
        <f t="shared" si="47"/>
        <v>10863.6</v>
      </c>
      <c r="M383" s="9"/>
      <c r="N383" s="9"/>
      <c r="O383" s="9"/>
      <c r="P383" s="9" t="str">
        <f>IF($H383="","FIYAT_YOK",IFERROR(VLOOKUP($D383,FIYAT!$B:$P,15,FALSE()),""))</f>
        <v>OK</v>
      </c>
      <c r="Q383" s="9" t="s">
        <v>177</v>
      </c>
      <c r="R383" s="9" t="s">
        <v>171</v>
      </c>
      <c r="S383" s="9" t="s">
        <v>550</v>
      </c>
      <c r="T383" s="9" t="s">
        <v>57</v>
      </c>
      <c r="U383" s="9">
        <f>IFERROR(VLOOKUP($T383,KURALLAR!$A$32:$B$63,2,FALSE()),0)*IF(ISNUMBER($I383),$I383,0)</f>
        <v>10</v>
      </c>
    </row>
    <row r="384" spans="1:21" x14ac:dyDescent="0.25">
      <c r="A384" s="5">
        <v>383</v>
      </c>
      <c r="B384" s="5"/>
      <c r="C384" s="5" t="s">
        <v>79</v>
      </c>
      <c r="D384" s="5" t="s">
        <v>179</v>
      </c>
      <c r="E384" s="5" t="str">
        <f>IFERROR(VLOOKUP($D384,FIYAT!$B:$O,2,FALSE()),"")</f>
        <v>Держатель плавкой вставки RT36-00-160, габарит 00, 160А</v>
      </c>
      <c r="F384" s="5">
        <f>IFERROR(VLOOKUP($D384,FIYAT!$B:$O,5,FALSE()),"")</f>
        <v>2038</v>
      </c>
      <c r="G384" s="5">
        <f>IFERROR(VLOOKUP($D384,FIYAT!$B:$O,8,FALSE()),"")</f>
        <v>1222.8</v>
      </c>
      <c r="H384" s="5">
        <f t="shared" si="46"/>
        <v>4891.2</v>
      </c>
      <c r="I384" s="6">
        <v>4</v>
      </c>
      <c r="J384" s="5" t="str">
        <f>IFERROR(VLOOKUP($D384,FIYAT!$B:$O,9,FALSE()),"")</f>
        <v>Шт.</v>
      </c>
      <c r="K384" s="5" t="str">
        <f>IFERROR(VLOOKUP($D384,FIYAT!$B:$O,4,FALSE()),"")</f>
        <v>CHINT</v>
      </c>
      <c r="L384" s="5">
        <f t="shared" si="47"/>
        <v>4891.2</v>
      </c>
      <c r="M384" s="5"/>
      <c r="N384" s="5"/>
      <c r="O384" s="5"/>
      <c r="P384" s="5" t="str">
        <f>IF($H384="","FIYAT_YOK",IFERROR(VLOOKUP($D384,FIYAT!$B:$P,15,FALSE()),""))</f>
        <v>MUADIL</v>
      </c>
      <c r="Q384" s="5" t="s">
        <v>181</v>
      </c>
      <c r="R384" s="5" t="s">
        <v>171</v>
      </c>
      <c r="S384" s="5" t="s">
        <v>550</v>
      </c>
      <c r="T384" s="5" t="s">
        <v>77</v>
      </c>
      <c r="U384" s="5">
        <f>IFERROR(VLOOKUP($T384,KURALLAR!$A$32:$B$63,2,FALSE()),0)*IF(ISNUMBER($I384),$I384,0)</f>
        <v>20</v>
      </c>
    </row>
    <row r="385" spans="1:21" x14ac:dyDescent="0.25">
      <c r="A385" s="9">
        <v>384</v>
      </c>
      <c r="B385" s="9"/>
      <c r="C385" s="9" t="s">
        <v>79</v>
      </c>
      <c r="D385" s="9" t="s">
        <v>182</v>
      </c>
      <c r="E385" s="9" t="str">
        <f>IFERROR(VLOOKUP($D385,FIYAT!$B:$O,2,FALSE()),"")</f>
        <v>Плавкая вставка предохранителя RT36-00-160, габарит 00, 63А</v>
      </c>
      <c r="F385" s="9">
        <f>IFERROR(VLOOKUP($D385,FIYAT!$B:$O,5,FALSE()),"")</f>
        <v>1525</v>
      </c>
      <c r="G385" s="9">
        <f>IFERROR(VLOOKUP($D385,FIYAT!$B:$O,8,FALSE()),"")</f>
        <v>915</v>
      </c>
      <c r="H385" s="9">
        <f t="shared" si="46"/>
        <v>3660</v>
      </c>
      <c r="I385" s="6">
        <v>4</v>
      </c>
      <c r="J385" s="9" t="str">
        <f>IFERROR(VLOOKUP($D385,FIYAT!$B:$O,9,FALSE()),"")</f>
        <v>Шт.</v>
      </c>
      <c r="K385" s="9" t="str">
        <f>IFERROR(VLOOKUP($D385,FIYAT!$B:$O,4,FALSE()),"")</f>
        <v>CHINT</v>
      </c>
      <c r="L385" s="9">
        <f t="shared" si="47"/>
        <v>3660</v>
      </c>
      <c r="M385" s="9"/>
      <c r="N385" s="9"/>
      <c r="O385" s="9"/>
      <c r="P385" s="9" t="str">
        <f>IF($H385="","FIYAT_YOK",IFERROR(VLOOKUP($D385,FIYAT!$B:$P,15,FALSE()),""))</f>
        <v>MUADIL</v>
      </c>
      <c r="Q385" s="9" t="s">
        <v>185</v>
      </c>
      <c r="R385" s="9" t="s">
        <v>184</v>
      </c>
      <c r="S385" s="9" t="s">
        <v>550</v>
      </c>
      <c r="T385" s="9" t="s">
        <v>79</v>
      </c>
      <c r="U385" s="9">
        <f>IFERROR(VLOOKUP($T385,KURALLAR!$A$32:$B$63,2,FALSE()),0)*IF(ISNUMBER($I385),$I385,0)</f>
        <v>12</v>
      </c>
    </row>
    <row r="386" spans="1:21" x14ac:dyDescent="0.25">
      <c r="A386" s="5">
        <v>385</v>
      </c>
      <c r="B386" s="5"/>
      <c r="C386" s="5" t="s">
        <v>75</v>
      </c>
      <c r="D386" s="5" t="s">
        <v>186</v>
      </c>
      <c r="E386" s="5" t="str">
        <f>IFERROR(VLOOKUP($D386,FIYAT!$B:$O,2,FALSE()),"")</f>
        <v>Ограничитель имп. перенапр. NU6-IIG 4Р In=25kA Uc=440B Im=65kA (R)</v>
      </c>
      <c r="F386" s="5">
        <f>IFERROR(VLOOKUP($D386,FIYAT!$B:$O,5,FALSE()),"")</f>
        <v>33208</v>
      </c>
      <c r="G386" s="5">
        <f>IFERROR(VLOOKUP($D386,FIYAT!$B:$O,8,FALSE()),"")</f>
        <v>19924.8</v>
      </c>
      <c r="H386" s="5">
        <f t="shared" si="46"/>
        <v>19924.8</v>
      </c>
      <c r="I386" s="6">
        <v>1</v>
      </c>
      <c r="J386" s="5" t="str">
        <f>IFERROR(VLOOKUP($D386,FIYAT!$B:$O,9,FALSE()),"")</f>
        <v>Шт.</v>
      </c>
      <c r="K386" s="5" t="str">
        <f>IFERROR(VLOOKUP($D386,FIYAT!$B:$O,4,FALSE()),"")</f>
        <v>CHINT</v>
      </c>
      <c r="L386" s="5">
        <f t="shared" si="47"/>
        <v>19924.8</v>
      </c>
      <c r="M386" s="5"/>
      <c r="N386" s="5"/>
      <c r="O386" s="5"/>
      <c r="P386" s="5" t="str">
        <f>IF($H386="","FIYAT_YOK",IFERROR(VLOOKUP($D386,FIYAT!$B:$P,15,FALSE()),""))</f>
        <v>MUADIL_ONAY</v>
      </c>
      <c r="Q386" s="5" t="s">
        <v>188</v>
      </c>
      <c r="R386" s="5" t="s">
        <v>184</v>
      </c>
      <c r="S386" s="5" t="s">
        <v>550</v>
      </c>
      <c r="T386" s="5" t="s">
        <v>75</v>
      </c>
      <c r="U386" s="5">
        <f>IFERROR(VLOOKUP($T386,KURALLAR!$A$32:$B$63,2,FALSE()),0)*IF(ISNUMBER($I386),$I386,0)</f>
        <v>10</v>
      </c>
    </row>
    <row r="387" spans="1:21" x14ac:dyDescent="0.25">
      <c r="A387" s="9">
        <v>386</v>
      </c>
      <c r="B387" s="9"/>
      <c r="C387" s="9" t="s">
        <v>192</v>
      </c>
      <c r="D387" s="9" t="s">
        <v>321</v>
      </c>
      <c r="E387" s="9" t="str">
        <f>IFERROR(VLOOKUP($D387,FIYAT!$B:$O,2,FALSE()),"")</f>
        <v>Авт. выкл. NXB-63 1P 25A 6кА х-ка C (R)</v>
      </c>
      <c r="F387" s="9">
        <f>IFERROR(VLOOKUP($D387,FIYAT!$B:$O,5,FALSE()),"")</f>
        <v>1330</v>
      </c>
      <c r="G387" s="9">
        <f>IFERROR(VLOOKUP($D387,FIYAT!$B:$O,8,FALSE()),"")</f>
        <v>798</v>
      </c>
      <c r="H387" s="9">
        <f t="shared" si="46"/>
        <v>798</v>
      </c>
      <c r="I387" s="6">
        <v>1</v>
      </c>
      <c r="J387" s="9" t="str">
        <f>IFERROR(VLOOKUP($D387,FIYAT!$B:$O,9,FALSE()),"")</f>
        <v>Шт.</v>
      </c>
      <c r="K387" s="9" t="str">
        <f>IFERROR(VLOOKUP($D387,FIYAT!$B:$O,4,FALSE()),"")</f>
        <v>CHINT</v>
      </c>
      <c r="L387" s="9">
        <f t="shared" si="47"/>
        <v>798</v>
      </c>
      <c r="M387" s="9"/>
      <c r="N387" s="9"/>
      <c r="O387" s="9"/>
      <c r="P387" s="9" t="str">
        <f>IF($H387="","FIYAT_YOK",IFERROR(VLOOKUP($D387,FIYAT!$B:$P,15,FALSE()),""))</f>
        <v>OK</v>
      </c>
      <c r="Q387" s="9" t="s">
        <v>323</v>
      </c>
      <c r="R387" s="9" t="s">
        <v>171</v>
      </c>
      <c r="S387" s="9" t="s">
        <v>550</v>
      </c>
      <c r="T387" s="9" t="s">
        <v>47</v>
      </c>
      <c r="U387" s="9">
        <f>IFERROR(VLOOKUP($T387,KURALLAR!$A$32:$B$63,2,FALSE()),0)*IF(ISNUMBER($I387),$I387,0)</f>
        <v>3</v>
      </c>
    </row>
    <row r="388" spans="1:21" x14ac:dyDescent="0.25">
      <c r="A388" s="5">
        <v>387</v>
      </c>
      <c r="B388" s="5"/>
      <c r="C388" s="5" t="s">
        <v>176</v>
      </c>
      <c r="D388" s="5" t="s">
        <v>324</v>
      </c>
      <c r="E388" s="5" t="str">
        <f>IFERROR(VLOOKUP($D388,FIYAT!$B:$O,2,FALSE()),"")</f>
        <v>УЗО NL1-63 6kA 2P 25A 30mA тип AC (R)</v>
      </c>
      <c r="F388" s="5">
        <f>IFERROR(VLOOKUP($D388,FIYAT!$B:$O,5,FALSE()),"")</f>
        <v>10809</v>
      </c>
      <c r="G388" s="5">
        <f>IFERROR(VLOOKUP($D388,FIYAT!$B:$O,8,FALSE()),"")</f>
        <v>6485.4</v>
      </c>
      <c r="H388" s="5">
        <f t="shared" si="46"/>
        <v>6485.4</v>
      </c>
      <c r="I388" s="6">
        <v>1</v>
      </c>
      <c r="J388" s="5" t="str">
        <f>IFERROR(VLOOKUP($D388,FIYAT!$B:$O,9,FALSE()),"")</f>
        <v>Шт.</v>
      </c>
      <c r="K388" s="5" t="str">
        <f>IFERROR(VLOOKUP($D388,FIYAT!$B:$O,4,FALSE()),"")</f>
        <v>CHINT</v>
      </c>
      <c r="L388" s="5">
        <f t="shared" si="47"/>
        <v>6485.4</v>
      </c>
      <c r="M388" s="5"/>
      <c r="N388" s="5"/>
      <c r="O388" s="5"/>
      <c r="P388" s="5" t="str">
        <f>IF($H388="","FIYAT_YOK",IFERROR(VLOOKUP($D388,FIYAT!$B:$P,15,FALSE()),""))</f>
        <v>OK</v>
      </c>
      <c r="Q388" s="5" t="s">
        <v>326</v>
      </c>
      <c r="R388" s="5" t="s">
        <v>171</v>
      </c>
      <c r="S388" s="5" t="s">
        <v>550</v>
      </c>
      <c r="T388" s="5" t="s">
        <v>55</v>
      </c>
      <c r="U388" s="5">
        <f>IFERROR(VLOOKUP($T388,KURALLAR!$A$32:$B$63,2,FALSE()),0)*IF(ISNUMBER($I388),$I388,0)</f>
        <v>6</v>
      </c>
    </row>
    <row r="389" spans="1:21" x14ac:dyDescent="0.25">
      <c r="A389" s="9">
        <v>388</v>
      </c>
      <c r="B389" s="9"/>
      <c r="C389" s="9" t="s">
        <v>192</v>
      </c>
      <c r="D389" s="9" t="s">
        <v>194</v>
      </c>
      <c r="E389" s="9" t="str">
        <f>IFERROR(VLOOKUP($D389,FIYAT!$B:$O,2,FALSE()),"")</f>
        <v>Авт. выкл. NXB-63 1P 16A 6кА х-ка C (R)</v>
      </c>
      <c r="F389" s="9">
        <f>IFERROR(VLOOKUP($D389,FIYAT!$B:$O,5,FALSE()),"")</f>
        <v>1389</v>
      </c>
      <c r="G389" s="9">
        <f>IFERROR(VLOOKUP($D389,FIYAT!$B:$O,8,FALSE()),"")</f>
        <v>833.4</v>
      </c>
      <c r="H389" s="9">
        <f t="shared" si="46"/>
        <v>6667.2</v>
      </c>
      <c r="I389" s="6">
        <v>8</v>
      </c>
      <c r="J389" s="9" t="str">
        <f>IFERROR(VLOOKUP($D389,FIYAT!$B:$O,9,FALSE()),"")</f>
        <v>Шт.</v>
      </c>
      <c r="K389" s="9" t="str">
        <f>IFERROR(VLOOKUP($D389,FIYAT!$B:$O,4,FALSE()),"")</f>
        <v>CHINT</v>
      </c>
      <c r="L389" s="9">
        <f t="shared" si="47"/>
        <v>6667.2</v>
      </c>
      <c r="M389" s="9"/>
      <c r="N389" s="9"/>
      <c r="O389" s="9"/>
      <c r="P389" s="9" t="str">
        <f>IF($H389="","FIYAT_YOK",IFERROR(VLOOKUP($D389,FIYAT!$B:$P,15,FALSE()),""))</f>
        <v>OK</v>
      </c>
      <c r="Q389" s="9" t="s">
        <v>196</v>
      </c>
      <c r="R389" s="9" t="s">
        <v>171</v>
      </c>
      <c r="S389" s="9" t="s">
        <v>550</v>
      </c>
      <c r="T389" s="9" t="s">
        <v>47</v>
      </c>
      <c r="U389" s="9">
        <f>IFERROR(VLOOKUP($T389,KURALLAR!$A$32:$B$63,2,FALSE()),0)*IF(ISNUMBER($I389),$I389,0)</f>
        <v>24</v>
      </c>
    </row>
    <row r="390" spans="1:21" x14ac:dyDescent="0.25">
      <c r="A390" s="5">
        <v>389</v>
      </c>
      <c r="B390" s="5"/>
      <c r="C390" s="5" t="s">
        <v>176</v>
      </c>
      <c r="D390" s="5" t="s">
        <v>200</v>
      </c>
      <c r="E390" s="5" t="str">
        <f>IFERROR(VLOOKUP($D390,FIYAT!$B:$O,2,FALSE()),"")</f>
        <v>УЗО NL1-63 6kA 2P 16A 30mA тип AC (R)</v>
      </c>
      <c r="F390" s="5">
        <f>IFERROR(VLOOKUP($D390,FIYAT!$B:$O,5,FALSE()),"")</f>
        <v>10809</v>
      </c>
      <c r="G390" s="5">
        <f>IFERROR(VLOOKUP($D390,FIYAT!$B:$O,8,FALSE()),"")</f>
        <v>6485.4</v>
      </c>
      <c r="H390" s="5">
        <f t="shared" si="46"/>
        <v>6485.4</v>
      </c>
      <c r="I390" s="6">
        <v>1</v>
      </c>
      <c r="J390" s="5" t="str">
        <f>IFERROR(VLOOKUP($D390,FIYAT!$B:$O,9,FALSE()),"")</f>
        <v>Шт.</v>
      </c>
      <c r="K390" s="5" t="str">
        <f>IFERROR(VLOOKUP($D390,FIYAT!$B:$O,4,FALSE()),"")</f>
        <v>CHINT</v>
      </c>
      <c r="L390" s="5">
        <f t="shared" si="47"/>
        <v>6485.4</v>
      </c>
      <c r="M390" s="5"/>
      <c r="N390" s="5"/>
      <c r="O390" s="5"/>
      <c r="P390" s="5" t="str">
        <f>IF($H390="","FIYAT_YOK",IFERROR(VLOOKUP($D390,FIYAT!$B:$P,15,FALSE()),""))</f>
        <v>OK</v>
      </c>
      <c r="Q390" s="5" t="s">
        <v>202</v>
      </c>
      <c r="R390" s="5" t="s">
        <v>171</v>
      </c>
      <c r="S390" s="5" t="s">
        <v>550</v>
      </c>
      <c r="T390" s="5" t="s">
        <v>55</v>
      </c>
      <c r="U390" s="5">
        <f>IFERROR(VLOOKUP($T390,KURALLAR!$A$32:$B$63,2,FALSE()),0)*IF(ISNUMBER($I390),$I390,0)</f>
        <v>6</v>
      </c>
    </row>
    <row r="391" spans="1:21" x14ac:dyDescent="0.25">
      <c r="A391" s="9">
        <v>390</v>
      </c>
      <c r="B391" s="9"/>
      <c r="C391" s="9" t="s">
        <v>192</v>
      </c>
      <c r="D391" s="9" t="s">
        <v>206</v>
      </c>
      <c r="E391" s="9" t="str">
        <f>IFERROR(VLOOKUP($D391,FIYAT!$B:$O,2,FALSE()),"")</f>
        <v>Авт. выкл. NXB-63 1P 10A 6кА х-ка C (R)</v>
      </c>
      <c r="F391" s="9">
        <f>IFERROR(VLOOKUP($D391,FIYAT!$B:$O,5,FALSE()),"")</f>
        <v>1362</v>
      </c>
      <c r="G391" s="9">
        <f>IFERROR(VLOOKUP($D391,FIYAT!$B:$O,8,FALSE()),"")</f>
        <v>817.19999999999993</v>
      </c>
      <c r="H391" s="9">
        <f t="shared" si="46"/>
        <v>6537.5999999999995</v>
      </c>
      <c r="I391" s="6">
        <v>8</v>
      </c>
      <c r="J391" s="9" t="str">
        <f>IFERROR(VLOOKUP($D391,FIYAT!$B:$O,9,FALSE()),"")</f>
        <v>Шт.</v>
      </c>
      <c r="K391" s="9" t="str">
        <f>IFERROR(VLOOKUP($D391,FIYAT!$B:$O,4,FALSE()),"")</f>
        <v>CHINT</v>
      </c>
      <c r="L391" s="9">
        <f t="shared" si="47"/>
        <v>6537.5999999999995</v>
      </c>
      <c r="M391" s="9"/>
      <c r="N391" s="9"/>
      <c r="O391" s="9"/>
      <c r="P391" s="9" t="str">
        <f>IF($H391="","FIYAT_YOK",IFERROR(VLOOKUP($D391,FIYAT!$B:$P,15,FALSE()),""))</f>
        <v>OK</v>
      </c>
      <c r="Q391" s="9" t="s">
        <v>208</v>
      </c>
      <c r="R391" s="9" t="s">
        <v>184</v>
      </c>
      <c r="S391" s="9" t="s">
        <v>550</v>
      </c>
      <c r="T391" s="9" t="s">
        <v>47</v>
      </c>
      <c r="U391" s="9">
        <f>IFERROR(VLOOKUP($T391,KURALLAR!$A$32:$B$63,2,FALSE()),0)*IF(ISNUMBER($I391),$I391,0)</f>
        <v>24</v>
      </c>
    </row>
    <row r="392" spans="1:21" x14ac:dyDescent="0.25">
      <c r="A392" s="5">
        <v>391</v>
      </c>
      <c r="B392" s="5"/>
      <c r="C392" s="5" t="s">
        <v>93</v>
      </c>
      <c r="D392" s="5" t="s">
        <v>209</v>
      </c>
      <c r="E392" s="5" t="str">
        <f>IFERROR(VLOOKUP($D392,FIYAT!$B:$O,2,FALSE()),"")</f>
        <v>Шина "N" нулевая 6х9мм на DIN-рейку в корпусном изоляторе ШНИ 12К IEK (10)</v>
      </c>
      <c r="F392" s="5">
        <f>IFERROR(VLOOKUP($D392,FIYAT!$B:$O,5,FALSE()),"")</f>
        <v>755</v>
      </c>
      <c r="G392" s="5">
        <f>IFERROR(VLOOKUP($D392,FIYAT!$B:$O,8,FALSE()),"")</f>
        <v>453</v>
      </c>
      <c r="H392" s="5">
        <f t="shared" si="46"/>
        <v>1812</v>
      </c>
      <c r="I392" s="6">
        <v>4</v>
      </c>
      <c r="J392" s="5" t="str">
        <f>IFERROR(VLOOKUP($D392,FIYAT!$B:$O,9,FALSE()),"")</f>
        <v>Шт.</v>
      </c>
      <c r="K392" s="5" t="str">
        <f>IFERROR(VLOOKUP($D392,FIYAT!$B:$O,4,FALSE()),"")</f>
        <v>KAZTEK</v>
      </c>
      <c r="L392" s="5">
        <f t="shared" si="47"/>
        <v>1812</v>
      </c>
      <c r="M392" s="5"/>
      <c r="N392" s="5"/>
      <c r="O392" s="5"/>
      <c r="P392" s="5" t="str">
        <f>IF($H392="","FIYAT_YOK",IFERROR(VLOOKUP($D392,FIYAT!$B:$P,15,FALSE()),""))</f>
        <v>MUADIL</v>
      </c>
      <c r="Q392" s="5" t="s">
        <v>212</v>
      </c>
      <c r="R392" s="5" t="s">
        <v>211</v>
      </c>
      <c r="S392" s="5" t="s">
        <v>550</v>
      </c>
      <c r="T392" s="5" t="s">
        <v>93</v>
      </c>
      <c r="U392" s="5">
        <f>IFERROR(VLOOKUP($T392,KURALLAR!$A$32:$B$63,2,FALSE()),0)*IF(ISNUMBER($I392),$I392,0)</f>
        <v>32</v>
      </c>
    </row>
    <row r="393" spans="1:21" x14ac:dyDescent="0.25">
      <c r="A393" s="9">
        <v>392</v>
      </c>
      <c r="B393" s="9"/>
      <c r="C393" s="9" t="s">
        <v>222</v>
      </c>
      <c r="D393" s="9" t="s">
        <v>220</v>
      </c>
      <c r="E393" s="9" t="str">
        <f>IFERROR(VLOOKUP($D393,FIYAT!$B:$O,2,FALSE()),"")</f>
        <v>ЩМП (инд.) IP31 (650х500х150мм)</v>
      </c>
      <c r="F393" s="9">
        <f>IFERROR(VLOOKUP($D393,FIYAT!$B:$O,5,FALSE()),"")</f>
        <v>27825</v>
      </c>
      <c r="G393" s="9">
        <f>IFERROR(VLOOKUP($D393,FIYAT!$B:$O,8,FALSE()),"")</f>
        <v>16695</v>
      </c>
      <c r="H393" s="9">
        <f t="shared" si="46"/>
        <v>16695</v>
      </c>
      <c r="I393" s="6">
        <v>1</v>
      </c>
      <c r="J393" s="9" t="str">
        <f>IFERROR(VLOOKUP($D393,FIYAT!$B:$O,9,FALSE()),"")</f>
        <v>Шт.</v>
      </c>
      <c r="K393" s="9" t="str">
        <f>IFERROR(VLOOKUP($D393,FIYAT!$B:$O,4,FALSE()),"")</f>
        <v>KAZTEK</v>
      </c>
      <c r="L393" s="9">
        <f t="shared" si="47"/>
        <v>16695</v>
      </c>
      <c r="M393" s="9"/>
      <c r="N393" s="9"/>
      <c r="O393" s="9"/>
      <c r="P393" s="9" t="str">
        <f>IF($H393="","FIYAT_YOK",IFERROR(VLOOKUP($D393,FIYAT!$B:$P,15,FALSE()),""))</f>
        <v>VARSAYIM</v>
      </c>
      <c r="Q393" s="9" t="s">
        <v>223</v>
      </c>
      <c r="R393" s="9" t="s">
        <v>211</v>
      </c>
      <c r="S393" s="9" t="s">
        <v>550</v>
      </c>
      <c r="T393" s="9" t="s">
        <v>105</v>
      </c>
      <c r="U393" s="9">
        <f>IFERROR(VLOOKUP($T393,KURALLAR!$A$32:$B$63,2,FALSE()),0)*IF(ISNUMBER($I393),$I393,0)</f>
        <v>30</v>
      </c>
    </row>
    <row r="394" spans="1:21" x14ac:dyDescent="0.25">
      <c r="A394" s="5">
        <v>393</v>
      </c>
      <c r="B394" s="5"/>
      <c r="C394" s="5" t="s">
        <v>215</v>
      </c>
      <c r="D394" s="5" t="s">
        <v>213</v>
      </c>
      <c r="E394" s="5" t="str">
        <f>IFERROR(VLOOKUP($D394,FIYAT!$B:$O,2,FALSE()),"")</f>
        <v>Монтажный расходный материал (кабель, DIN-рейка, кабель-канал, клеммы, маркировка, крепёж)</v>
      </c>
      <c r="F394" s="5">
        <f>IFERROR(VLOOKUP($D394,FIYAT!$B:$O,5,FALSE()),"")</f>
        <v>0</v>
      </c>
      <c r="G394" s="5" t="str">
        <f>IFERROR(VLOOKUP($D394,FIYAT!$B:$O,8,FALSE()),"")</f>
        <v/>
      </c>
      <c r="H394" s="5">
        <f>ROUND(SUM($H$382:$H$393)*KURALLAR!$B$28,0)</f>
        <v>8653</v>
      </c>
      <c r="I394" s="6">
        <v>1</v>
      </c>
      <c r="J394" s="5" t="str">
        <f>IFERROR(VLOOKUP($D394,FIYAT!$B:$O,9,FALSE()),"")</f>
        <v>компл.</v>
      </c>
      <c r="K394" s="5" t="str">
        <f>IFERROR(VLOOKUP($D394,FIYAT!$B:$O,4,FALSE()),"")</f>
        <v>MUADIL-NET</v>
      </c>
      <c r="L394" s="5">
        <f t="shared" si="47"/>
        <v>8653</v>
      </c>
      <c r="M394" s="5"/>
      <c r="N394" s="5"/>
      <c r="O394" s="5"/>
      <c r="P394" s="5" t="str">
        <f>IF($H394="","FIYAT_YOK",IFERROR(VLOOKUP($D394,FIYAT!$B:$P,15,FALSE()),""))</f>
        <v>ORAN</v>
      </c>
      <c r="Q394" s="5" t="s">
        <v>218</v>
      </c>
      <c r="R394" s="5" t="s">
        <v>217</v>
      </c>
      <c r="S394" s="5" t="s">
        <v>550</v>
      </c>
      <c r="T394" s="5"/>
      <c r="U394" s="5">
        <v>0</v>
      </c>
    </row>
    <row r="395" spans="1:21" x14ac:dyDescent="0.25">
      <c r="A395" s="9">
        <v>394</v>
      </c>
      <c r="B395" s="9"/>
      <c r="C395" s="9" t="s">
        <v>227</v>
      </c>
      <c r="D395" s="9" t="s">
        <v>225</v>
      </c>
      <c r="E395" s="9" t="str">
        <f>IFERROR(VLOOKUP($D395,FIYAT!$B:$O,2,FALSE()),"")</f>
        <v>Сборка, кабелирование, маркировка, момент затяжки, испытания</v>
      </c>
      <c r="F395" s="9">
        <f>IFERROR(VLOOKUP($D395,FIYAT!$B:$O,5,FALSE()),"")</f>
        <v>100</v>
      </c>
      <c r="G395" s="9">
        <f>IFERROR(VLOOKUP($D395,FIYAT!$B:$O,8,FALSE()),"")</f>
        <v>100</v>
      </c>
      <c r="H395" s="9">
        <f>IF(OR($G395="",$I395=""),"",$G395*$I395)</f>
        <v>22100</v>
      </c>
      <c r="I395" s="6">
        <f>ROUND(SUM($U$382:$U$394)*KURALLAR!$B$27,0)</f>
        <v>221</v>
      </c>
      <c r="J395" s="9" t="str">
        <f>IFERROR(VLOOKUP($D395,FIYAT!$B:$O,9,FALSE()),"")</f>
        <v>мин</v>
      </c>
      <c r="K395" s="9" t="str">
        <f>IFERROR(VLOOKUP($D395,FIYAT!$B:$O,4,FALSE()),"")</f>
        <v>ISCILIK</v>
      </c>
      <c r="L395" s="9">
        <f t="shared" si="47"/>
        <v>22100</v>
      </c>
      <c r="M395" s="9"/>
      <c r="N395" s="9"/>
      <c r="O395" s="9"/>
      <c r="P395" s="9" t="str">
        <f>IF($H395="","FIYAT_YOK",IFERROR(VLOOKUP($D395,FIYAT!$B:$P,15,FALSE()),""))</f>
        <v>OK</v>
      </c>
      <c r="Q395" s="9" t="str">
        <f>CONCATENATE("montaj+test iscilik: ",TEXT($I395,"# ##0")," dk = ",TEXT($I395/60,"0,00")," saat (norm x test/etiket carpani)")</f>
        <v>montaj+test iscilik:  221 dk = 3,68 saat (norm x test/etiket carpani)</v>
      </c>
      <c r="R395" s="9" t="s">
        <v>229</v>
      </c>
      <c r="S395" s="9" t="s">
        <v>550</v>
      </c>
      <c r="T395" s="9"/>
      <c r="U395" s="9">
        <v>0</v>
      </c>
    </row>
    <row r="396" spans="1:21" x14ac:dyDescent="0.25">
      <c r="A396" s="10">
        <v>395</v>
      </c>
      <c r="B396" s="10" t="s">
        <v>597</v>
      </c>
      <c r="C396" s="10"/>
      <c r="D396" s="10"/>
      <c r="E396" s="10"/>
      <c r="F396" s="10"/>
      <c r="G396" s="10"/>
      <c r="H396" s="10">
        <f>SUBTOTAL(9,H382:H395)</f>
        <v>154373.39999999997</v>
      </c>
      <c r="I396" s="10"/>
      <c r="J396" s="10"/>
      <c r="K396" s="10"/>
      <c r="L396" s="10">
        <f>SUBTOTAL(9,L382:L395)</f>
        <v>154373.39999999997</v>
      </c>
      <c r="M396" s="10"/>
      <c r="N396" s="10"/>
      <c r="O396" s="10"/>
      <c r="P396" s="10"/>
      <c r="Q396" s="10"/>
      <c r="R396" s="10"/>
      <c r="S396" s="10"/>
      <c r="T396" s="10"/>
      <c r="U396" s="10">
        <f>SUBTOTAL(9,U382:U395)</f>
        <v>192</v>
      </c>
    </row>
    <row r="397" spans="1:21" x14ac:dyDescent="0.25">
      <c r="A397" s="8">
        <v>396</v>
      </c>
      <c r="B397" s="8" t="str">
        <f>E397</f>
        <v>BLOK A / 16F-ЩС.2 — НКУ 380/220В 50Гц, FORM 2B, IP31/54</v>
      </c>
      <c r="C397" s="8" t="s">
        <v>545</v>
      </c>
      <c r="D397" s="8"/>
      <c r="E397" s="8" t="s">
        <v>598</v>
      </c>
      <c r="F397" s="8"/>
      <c r="G397" s="8"/>
      <c r="H397" s="8"/>
      <c r="I397" s="8">
        <v>1</v>
      </c>
      <c r="J397" s="8" t="s">
        <v>547</v>
      </c>
      <c r="K397" s="8"/>
      <c r="L397" s="8"/>
      <c r="M397" s="8"/>
      <c r="N397" s="8"/>
      <c r="O397" s="8"/>
      <c r="P397" s="8" t="s">
        <v>178</v>
      </c>
      <c r="Q397" s="8" t="s">
        <v>548</v>
      </c>
      <c r="R397" s="8" t="s">
        <v>549</v>
      </c>
      <c r="S397" s="8" t="s">
        <v>550</v>
      </c>
      <c r="T397" s="8"/>
      <c r="U397" s="8"/>
    </row>
    <row r="398" spans="1:21" x14ac:dyDescent="0.25">
      <c r="A398" s="5">
        <v>397</v>
      </c>
      <c r="B398" s="5"/>
      <c r="C398" s="5" t="s">
        <v>169</v>
      </c>
      <c r="D398" s="5" t="s">
        <v>167</v>
      </c>
      <c r="E398" s="5" t="str">
        <f>IFERROR(VLOOKUP($D398,FIYAT!$B:$O,2,FALSE()),"")</f>
        <v>Авт. выкл. NM8N-125C TM 3P 32А 36кА с рег. термомаг. расцепителем (R)</v>
      </c>
      <c r="F398" s="5">
        <f>IFERROR(VLOOKUP($D398,FIYAT!$B:$O,5,FALSE()),"")</f>
        <v>64667</v>
      </c>
      <c r="G398" s="5">
        <f>IFERROR(VLOOKUP($D398,FIYAT!$B:$O,8,FALSE()),"")</f>
        <v>38800.199999999997</v>
      </c>
      <c r="H398" s="5">
        <f t="shared" ref="H398:H409" si="48">IF(OR($G398="",$I398=""),"",$G398*$I398)</f>
        <v>38800.199999999997</v>
      </c>
      <c r="I398" s="6">
        <v>1</v>
      </c>
      <c r="J398" s="5" t="str">
        <f>IFERROR(VLOOKUP($D398,FIYAT!$B:$O,9,FALSE()),"")</f>
        <v>Шт.</v>
      </c>
      <c r="K398" s="5" t="str">
        <f>IFERROR(VLOOKUP($D398,FIYAT!$B:$O,4,FALSE()),"")</f>
        <v>CHINT</v>
      </c>
      <c r="L398" s="5">
        <f t="shared" ref="L398:L411" si="49">IF($H398="","",$H398)</f>
        <v>38800.199999999997</v>
      </c>
      <c r="M398" s="5"/>
      <c r="N398" s="5"/>
      <c r="O398" s="5"/>
      <c r="P398" s="5" t="str">
        <f>IF($H398="","FIYAT_YOK",IFERROR(VLOOKUP($D398,FIYAT!$B:$P,15,FALSE()),""))</f>
        <v>MUADIL</v>
      </c>
      <c r="Q398" s="5" t="s">
        <v>172</v>
      </c>
      <c r="R398" s="5" t="s">
        <v>171</v>
      </c>
      <c r="S398" s="5" t="s">
        <v>550</v>
      </c>
      <c r="T398" s="5" t="s">
        <v>61</v>
      </c>
      <c r="U398" s="5">
        <f>IFERROR(VLOOKUP($T398,KURALLAR!$A$32:$B$63,2,FALSE()),0)*IF(ISNUMBER($I398),$I398,0)</f>
        <v>15</v>
      </c>
    </row>
    <row r="399" spans="1:21" x14ac:dyDescent="0.25">
      <c r="A399" s="9">
        <v>398</v>
      </c>
      <c r="B399" s="9"/>
      <c r="C399" s="9" t="s">
        <v>176</v>
      </c>
      <c r="D399" s="9" t="s">
        <v>174</v>
      </c>
      <c r="E399" s="9" t="str">
        <f>IFERROR(VLOOKUP($D399,FIYAT!$B:$O,2,FALSE()),"")</f>
        <v>УЗО NL1-63 6kA 4P 63A 300mA тип AC (R)</v>
      </c>
      <c r="F399" s="9">
        <f>IFERROR(VLOOKUP($D399,FIYAT!$B:$O,5,FALSE()),"")</f>
        <v>18106</v>
      </c>
      <c r="G399" s="9">
        <f>IFERROR(VLOOKUP($D399,FIYAT!$B:$O,8,FALSE()),"")</f>
        <v>10863.6</v>
      </c>
      <c r="H399" s="9">
        <f t="shared" si="48"/>
        <v>10863.6</v>
      </c>
      <c r="I399" s="6">
        <v>1</v>
      </c>
      <c r="J399" s="9" t="str">
        <f>IFERROR(VLOOKUP($D399,FIYAT!$B:$O,9,FALSE()),"")</f>
        <v>Шт.</v>
      </c>
      <c r="K399" s="9" t="str">
        <f>IFERROR(VLOOKUP($D399,FIYAT!$B:$O,4,FALSE()),"")</f>
        <v>CHINT</v>
      </c>
      <c r="L399" s="9">
        <f t="shared" si="49"/>
        <v>10863.6</v>
      </c>
      <c r="M399" s="9"/>
      <c r="N399" s="9"/>
      <c r="O399" s="9"/>
      <c r="P399" s="9" t="str">
        <f>IF($H399="","FIYAT_YOK",IFERROR(VLOOKUP($D399,FIYAT!$B:$P,15,FALSE()),""))</f>
        <v>OK</v>
      </c>
      <c r="Q399" s="9" t="s">
        <v>177</v>
      </c>
      <c r="R399" s="9" t="s">
        <v>171</v>
      </c>
      <c r="S399" s="9" t="s">
        <v>550</v>
      </c>
      <c r="T399" s="9" t="s">
        <v>57</v>
      </c>
      <c r="U399" s="9">
        <f>IFERROR(VLOOKUP($T399,KURALLAR!$A$32:$B$63,2,FALSE()),0)*IF(ISNUMBER($I399),$I399,0)</f>
        <v>10</v>
      </c>
    </row>
    <row r="400" spans="1:21" x14ac:dyDescent="0.25">
      <c r="A400" s="5">
        <v>399</v>
      </c>
      <c r="B400" s="5"/>
      <c r="C400" s="5" t="s">
        <v>79</v>
      </c>
      <c r="D400" s="5" t="s">
        <v>179</v>
      </c>
      <c r="E400" s="5" t="str">
        <f>IFERROR(VLOOKUP($D400,FIYAT!$B:$O,2,FALSE()),"")</f>
        <v>Держатель плавкой вставки RT36-00-160, габарит 00, 160А</v>
      </c>
      <c r="F400" s="5">
        <f>IFERROR(VLOOKUP($D400,FIYAT!$B:$O,5,FALSE()),"")</f>
        <v>2038</v>
      </c>
      <c r="G400" s="5">
        <f>IFERROR(VLOOKUP($D400,FIYAT!$B:$O,8,FALSE()),"")</f>
        <v>1222.8</v>
      </c>
      <c r="H400" s="5">
        <f t="shared" si="48"/>
        <v>4891.2</v>
      </c>
      <c r="I400" s="6">
        <v>4</v>
      </c>
      <c r="J400" s="5" t="str">
        <f>IFERROR(VLOOKUP($D400,FIYAT!$B:$O,9,FALSE()),"")</f>
        <v>Шт.</v>
      </c>
      <c r="K400" s="5" t="str">
        <f>IFERROR(VLOOKUP($D400,FIYAT!$B:$O,4,FALSE()),"")</f>
        <v>CHINT</v>
      </c>
      <c r="L400" s="5">
        <f t="shared" si="49"/>
        <v>4891.2</v>
      </c>
      <c r="M400" s="5"/>
      <c r="N400" s="5"/>
      <c r="O400" s="5"/>
      <c r="P400" s="5" t="str">
        <f>IF($H400="","FIYAT_YOK",IFERROR(VLOOKUP($D400,FIYAT!$B:$P,15,FALSE()),""))</f>
        <v>MUADIL</v>
      </c>
      <c r="Q400" s="5" t="s">
        <v>181</v>
      </c>
      <c r="R400" s="5" t="s">
        <v>171</v>
      </c>
      <c r="S400" s="5" t="s">
        <v>550</v>
      </c>
      <c r="T400" s="5" t="s">
        <v>77</v>
      </c>
      <c r="U400" s="5">
        <f>IFERROR(VLOOKUP($T400,KURALLAR!$A$32:$B$63,2,FALSE()),0)*IF(ISNUMBER($I400),$I400,0)</f>
        <v>20</v>
      </c>
    </row>
    <row r="401" spans="1:21" x14ac:dyDescent="0.25">
      <c r="A401" s="9">
        <v>400</v>
      </c>
      <c r="B401" s="9"/>
      <c r="C401" s="9" t="s">
        <v>79</v>
      </c>
      <c r="D401" s="9" t="s">
        <v>182</v>
      </c>
      <c r="E401" s="9" t="str">
        <f>IFERROR(VLOOKUP($D401,FIYAT!$B:$O,2,FALSE()),"")</f>
        <v>Плавкая вставка предохранителя RT36-00-160, габарит 00, 63А</v>
      </c>
      <c r="F401" s="9">
        <f>IFERROR(VLOOKUP($D401,FIYAT!$B:$O,5,FALSE()),"")</f>
        <v>1525</v>
      </c>
      <c r="G401" s="9">
        <f>IFERROR(VLOOKUP($D401,FIYAT!$B:$O,8,FALSE()),"")</f>
        <v>915</v>
      </c>
      <c r="H401" s="9">
        <f t="shared" si="48"/>
        <v>3660</v>
      </c>
      <c r="I401" s="6">
        <v>4</v>
      </c>
      <c r="J401" s="9" t="str">
        <f>IFERROR(VLOOKUP($D401,FIYAT!$B:$O,9,FALSE()),"")</f>
        <v>Шт.</v>
      </c>
      <c r="K401" s="9" t="str">
        <f>IFERROR(VLOOKUP($D401,FIYAT!$B:$O,4,FALSE()),"")</f>
        <v>CHINT</v>
      </c>
      <c r="L401" s="9">
        <f t="shared" si="49"/>
        <v>3660</v>
      </c>
      <c r="M401" s="9"/>
      <c r="N401" s="9"/>
      <c r="O401" s="9"/>
      <c r="P401" s="9" t="str">
        <f>IF($H401="","FIYAT_YOK",IFERROR(VLOOKUP($D401,FIYAT!$B:$P,15,FALSE()),""))</f>
        <v>MUADIL</v>
      </c>
      <c r="Q401" s="9" t="s">
        <v>185</v>
      </c>
      <c r="R401" s="9" t="s">
        <v>184</v>
      </c>
      <c r="S401" s="9" t="s">
        <v>550</v>
      </c>
      <c r="T401" s="9" t="s">
        <v>79</v>
      </c>
      <c r="U401" s="9">
        <f>IFERROR(VLOOKUP($T401,KURALLAR!$A$32:$B$63,2,FALSE()),0)*IF(ISNUMBER($I401),$I401,0)</f>
        <v>12</v>
      </c>
    </row>
    <row r="402" spans="1:21" x14ac:dyDescent="0.25">
      <c r="A402" s="5">
        <v>401</v>
      </c>
      <c r="B402" s="5"/>
      <c r="C402" s="5" t="s">
        <v>75</v>
      </c>
      <c r="D402" s="5" t="s">
        <v>186</v>
      </c>
      <c r="E402" s="5" t="str">
        <f>IFERROR(VLOOKUP($D402,FIYAT!$B:$O,2,FALSE()),"")</f>
        <v>Ограничитель имп. перенапр. NU6-IIG 4Р In=25kA Uc=440B Im=65kA (R)</v>
      </c>
      <c r="F402" s="5">
        <f>IFERROR(VLOOKUP($D402,FIYAT!$B:$O,5,FALSE()),"")</f>
        <v>33208</v>
      </c>
      <c r="G402" s="5">
        <f>IFERROR(VLOOKUP($D402,FIYAT!$B:$O,8,FALSE()),"")</f>
        <v>19924.8</v>
      </c>
      <c r="H402" s="5">
        <f t="shared" si="48"/>
        <v>19924.8</v>
      </c>
      <c r="I402" s="6">
        <v>1</v>
      </c>
      <c r="J402" s="5" t="str">
        <f>IFERROR(VLOOKUP($D402,FIYAT!$B:$O,9,FALSE()),"")</f>
        <v>Шт.</v>
      </c>
      <c r="K402" s="5" t="str">
        <f>IFERROR(VLOOKUP($D402,FIYAT!$B:$O,4,FALSE()),"")</f>
        <v>CHINT</v>
      </c>
      <c r="L402" s="5">
        <f t="shared" si="49"/>
        <v>19924.8</v>
      </c>
      <c r="M402" s="5"/>
      <c r="N402" s="5"/>
      <c r="O402" s="5"/>
      <c r="P402" s="5" t="str">
        <f>IF($H402="","FIYAT_YOK",IFERROR(VLOOKUP($D402,FIYAT!$B:$P,15,FALSE()),""))</f>
        <v>MUADIL_ONAY</v>
      </c>
      <c r="Q402" s="5" t="s">
        <v>188</v>
      </c>
      <c r="R402" s="5" t="s">
        <v>184</v>
      </c>
      <c r="S402" s="5" t="s">
        <v>550</v>
      </c>
      <c r="T402" s="5" t="s">
        <v>75</v>
      </c>
      <c r="U402" s="5">
        <f>IFERROR(VLOOKUP($T402,KURALLAR!$A$32:$B$63,2,FALSE()),0)*IF(ISNUMBER($I402),$I402,0)</f>
        <v>10</v>
      </c>
    </row>
    <row r="403" spans="1:21" x14ac:dyDescent="0.25">
      <c r="A403" s="9">
        <v>402</v>
      </c>
      <c r="B403" s="9"/>
      <c r="C403" s="9" t="s">
        <v>192</v>
      </c>
      <c r="D403" s="9" t="s">
        <v>321</v>
      </c>
      <c r="E403" s="9" t="str">
        <f>IFERROR(VLOOKUP($D403,FIYAT!$B:$O,2,FALSE()),"")</f>
        <v>Авт. выкл. NXB-63 1P 25A 6кА х-ка C (R)</v>
      </c>
      <c r="F403" s="9">
        <f>IFERROR(VLOOKUP($D403,FIYAT!$B:$O,5,FALSE()),"")</f>
        <v>1330</v>
      </c>
      <c r="G403" s="9">
        <f>IFERROR(VLOOKUP($D403,FIYAT!$B:$O,8,FALSE()),"")</f>
        <v>798</v>
      </c>
      <c r="H403" s="9">
        <f t="shared" si="48"/>
        <v>798</v>
      </c>
      <c r="I403" s="6">
        <v>1</v>
      </c>
      <c r="J403" s="9" t="str">
        <f>IFERROR(VLOOKUP($D403,FIYAT!$B:$O,9,FALSE()),"")</f>
        <v>Шт.</v>
      </c>
      <c r="K403" s="9" t="str">
        <f>IFERROR(VLOOKUP($D403,FIYAT!$B:$O,4,FALSE()),"")</f>
        <v>CHINT</v>
      </c>
      <c r="L403" s="9">
        <f t="shared" si="49"/>
        <v>798</v>
      </c>
      <c r="M403" s="9"/>
      <c r="N403" s="9"/>
      <c r="O403" s="9"/>
      <c r="P403" s="9" t="str">
        <f>IF($H403="","FIYAT_YOK",IFERROR(VLOOKUP($D403,FIYAT!$B:$P,15,FALSE()),""))</f>
        <v>OK</v>
      </c>
      <c r="Q403" s="9" t="s">
        <v>323</v>
      </c>
      <c r="R403" s="9" t="s">
        <v>171</v>
      </c>
      <c r="S403" s="9" t="s">
        <v>550</v>
      </c>
      <c r="T403" s="9" t="s">
        <v>47</v>
      </c>
      <c r="U403" s="9">
        <f>IFERROR(VLOOKUP($T403,KURALLAR!$A$32:$B$63,2,FALSE()),0)*IF(ISNUMBER($I403),$I403,0)</f>
        <v>3</v>
      </c>
    </row>
    <row r="404" spans="1:21" x14ac:dyDescent="0.25">
      <c r="A404" s="5">
        <v>403</v>
      </c>
      <c r="B404" s="5"/>
      <c r="C404" s="5" t="s">
        <v>176</v>
      </c>
      <c r="D404" s="5" t="s">
        <v>324</v>
      </c>
      <c r="E404" s="5" t="str">
        <f>IFERROR(VLOOKUP($D404,FIYAT!$B:$O,2,FALSE()),"")</f>
        <v>УЗО NL1-63 6kA 2P 25A 30mA тип AC (R)</v>
      </c>
      <c r="F404" s="5">
        <f>IFERROR(VLOOKUP($D404,FIYAT!$B:$O,5,FALSE()),"")</f>
        <v>10809</v>
      </c>
      <c r="G404" s="5">
        <f>IFERROR(VLOOKUP($D404,FIYAT!$B:$O,8,FALSE()),"")</f>
        <v>6485.4</v>
      </c>
      <c r="H404" s="5">
        <f t="shared" si="48"/>
        <v>6485.4</v>
      </c>
      <c r="I404" s="6">
        <v>1</v>
      </c>
      <c r="J404" s="5" t="str">
        <f>IFERROR(VLOOKUP($D404,FIYAT!$B:$O,9,FALSE()),"")</f>
        <v>Шт.</v>
      </c>
      <c r="K404" s="5" t="str">
        <f>IFERROR(VLOOKUP($D404,FIYAT!$B:$O,4,FALSE()),"")</f>
        <v>CHINT</v>
      </c>
      <c r="L404" s="5">
        <f t="shared" si="49"/>
        <v>6485.4</v>
      </c>
      <c r="M404" s="5"/>
      <c r="N404" s="5"/>
      <c r="O404" s="5"/>
      <c r="P404" s="5" t="str">
        <f>IF($H404="","FIYAT_YOK",IFERROR(VLOOKUP($D404,FIYAT!$B:$P,15,FALSE()),""))</f>
        <v>OK</v>
      </c>
      <c r="Q404" s="5" t="s">
        <v>326</v>
      </c>
      <c r="R404" s="5" t="s">
        <v>171</v>
      </c>
      <c r="S404" s="5" t="s">
        <v>550</v>
      </c>
      <c r="T404" s="5" t="s">
        <v>55</v>
      </c>
      <c r="U404" s="5">
        <f>IFERROR(VLOOKUP($T404,KURALLAR!$A$32:$B$63,2,FALSE()),0)*IF(ISNUMBER($I404),$I404,0)</f>
        <v>6</v>
      </c>
    </row>
    <row r="405" spans="1:21" x14ac:dyDescent="0.25">
      <c r="A405" s="9">
        <v>404</v>
      </c>
      <c r="B405" s="9"/>
      <c r="C405" s="9" t="s">
        <v>192</v>
      </c>
      <c r="D405" s="9" t="s">
        <v>194</v>
      </c>
      <c r="E405" s="9" t="str">
        <f>IFERROR(VLOOKUP($D405,FIYAT!$B:$O,2,FALSE()),"")</f>
        <v>Авт. выкл. NXB-63 1P 16A 6кА х-ка C (R)</v>
      </c>
      <c r="F405" s="9">
        <f>IFERROR(VLOOKUP($D405,FIYAT!$B:$O,5,FALSE()),"")</f>
        <v>1389</v>
      </c>
      <c r="G405" s="9">
        <f>IFERROR(VLOOKUP($D405,FIYAT!$B:$O,8,FALSE()),"")</f>
        <v>833.4</v>
      </c>
      <c r="H405" s="9">
        <f t="shared" si="48"/>
        <v>7500.5999999999995</v>
      </c>
      <c r="I405" s="6">
        <v>9</v>
      </c>
      <c r="J405" s="9" t="str">
        <f>IFERROR(VLOOKUP($D405,FIYAT!$B:$O,9,FALSE()),"")</f>
        <v>Шт.</v>
      </c>
      <c r="K405" s="9" t="str">
        <f>IFERROR(VLOOKUP($D405,FIYAT!$B:$O,4,FALSE()),"")</f>
        <v>CHINT</v>
      </c>
      <c r="L405" s="9">
        <f t="shared" si="49"/>
        <v>7500.5999999999995</v>
      </c>
      <c r="M405" s="9"/>
      <c r="N405" s="9"/>
      <c r="O405" s="9"/>
      <c r="P405" s="9" t="str">
        <f>IF($H405="","FIYAT_YOK",IFERROR(VLOOKUP($D405,FIYAT!$B:$P,15,FALSE()),""))</f>
        <v>OK</v>
      </c>
      <c r="Q405" s="9" t="s">
        <v>196</v>
      </c>
      <c r="R405" s="9" t="s">
        <v>171</v>
      </c>
      <c r="S405" s="9" t="s">
        <v>550</v>
      </c>
      <c r="T405" s="9" t="s">
        <v>47</v>
      </c>
      <c r="U405" s="9">
        <f>IFERROR(VLOOKUP($T405,KURALLAR!$A$32:$B$63,2,FALSE()),0)*IF(ISNUMBER($I405),$I405,0)</f>
        <v>27</v>
      </c>
    </row>
    <row r="406" spans="1:21" x14ac:dyDescent="0.25">
      <c r="A406" s="5">
        <v>405</v>
      </c>
      <c r="B406" s="5"/>
      <c r="C406" s="5" t="s">
        <v>176</v>
      </c>
      <c r="D406" s="5" t="s">
        <v>200</v>
      </c>
      <c r="E406" s="5" t="str">
        <f>IFERROR(VLOOKUP($D406,FIYAT!$B:$O,2,FALSE()),"")</f>
        <v>УЗО NL1-63 6kA 2P 16A 30mA тип AC (R)</v>
      </c>
      <c r="F406" s="5">
        <f>IFERROR(VLOOKUP($D406,FIYAT!$B:$O,5,FALSE()),"")</f>
        <v>10809</v>
      </c>
      <c r="G406" s="5">
        <f>IFERROR(VLOOKUP($D406,FIYAT!$B:$O,8,FALSE()),"")</f>
        <v>6485.4</v>
      </c>
      <c r="H406" s="5">
        <f t="shared" si="48"/>
        <v>6485.4</v>
      </c>
      <c r="I406" s="6">
        <v>1</v>
      </c>
      <c r="J406" s="5" t="str">
        <f>IFERROR(VLOOKUP($D406,FIYAT!$B:$O,9,FALSE()),"")</f>
        <v>Шт.</v>
      </c>
      <c r="K406" s="5" t="str">
        <f>IFERROR(VLOOKUP($D406,FIYAT!$B:$O,4,FALSE()),"")</f>
        <v>CHINT</v>
      </c>
      <c r="L406" s="5">
        <f t="shared" si="49"/>
        <v>6485.4</v>
      </c>
      <c r="M406" s="5"/>
      <c r="N406" s="5"/>
      <c r="O406" s="5"/>
      <c r="P406" s="5" t="str">
        <f>IF($H406="","FIYAT_YOK",IFERROR(VLOOKUP($D406,FIYAT!$B:$P,15,FALSE()),""))</f>
        <v>OK</v>
      </c>
      <c r="Q406" s="5" t="s">
        <v>202</v>
      </c>
      <c r="R406" s="5" t="s">
        <v>171</v>
      </c>
      <c r="S406" s="5" t="s">
        <v>550</v>
      </c>
      <c r="T406" s="5" t="s">
        <v>55</v>
      </c>
      <c r="U406" s="5">
        <f>IFERROR(VLOOKUP($T406,KURALLAR!$A$32:$B$63,2,FALSE()),0)*IF(ISNUMBER($I406),$I406,0)</f>
        <v>6</v>
      </c>
    </row>
    <row r="407" spans="1:21" x14ac:dyDescent="0.25">
      <c r="A407" s="9">
        <v>406</v>
      </c>
      <c r="B407" s="9"/>
      <c r="C407" s="9" t="s">
        <v>192</v>
      </c>
      <c r="D407" s="9" t="s">
        <v>206</v>
      </c>
      <c r="E407" s="9" t="str">
        <f>IFERROR(VLOOKUP($D407,FIYAT!$B:$O,2,FALSE()),"")</f>
        <v>Авт. выкл. NXB-63 1P 10A 6кА х-ка C (R)</v>
      </c>
      <c r="F407" s="9">
        <f>IFERROR(VLOOKUP($D407,FIYAT!$B:$O,5,FALSE()),"")</f>
        <v>1362</v>
      </c>
      <c r="G407" s="9">
        <f>IFERROR(VLOOKUP($D407,FIYAT!$B:$O,8,FALSE()),"")</f>
        <v>817.19999999999993</v>
      </c>
      <c r="H407" s="9">
        <f t="shared" si="48"/>
        <v>10623.599999999999</v>
      </c>
      <c r="I407" s="6">
        <v>13</v>
      </c>
      <c r="J407" s="9" t="str">
        <f>IFERROR(VLOOKUP($D407,FIYAT!$B:$O,9,FALSE()),"")</f>
        <v>Шт.</v>
      </c>
      <c r="K407" s="9" t="str">
        <f>IFERROR(VLOOKUP($D407,FIYAT!$B:$O,4,FALSE()),"")</f>
        <v>CHINT</v>
      </c>
      <c r="L407" s="9">
        <f t="shared" si="49"/>
        <v>10623.599999999999</v>
      </c>
      <c r="M407" s="9"/>
      <c r="N407" s="9"/>
      <c r="O407" s="9"/>
      <c r="P407" s="9" t="str">
        <f>IF($H407="","FIYAT_YOK",IFERROR(VLOOKUP($D407,FIYAT!$B:$P,15,FALSE()),""))</f>
        <v>OK</v>
      </c>
      <c r="Q407" s="9" t="s">
        <v>208</v>
      </c>
      <c r="R407" s="9" t="s">
        <v>184</v>
      </c>
      <c r="S407" s="9" t="s">
        <v>550</v>
      </c>
      <c r="T407" s="9" t="s">
        <v>47</v>
      </c>
      <c r="U407" s="9">
        <f>IFERROR(VLOOKUP($T407,KURALLAR!$A$32:$B$63,2,FALSE()),0)*IF(ISNUMBER($I407),$I407,0)</f>
        <v>39</v>
      </c>
    </row>
    <row r="408" spans="1:21" x14ac:dyDescent="0.25">
      <c r="A408" s="5">
        <v>407</v>
      </c>
      <c r="B408" s="5"/>
      <c r="C408" s="5" t="s">
        <v>93</v>
      </c>
      <c r="D408" s="5" t="s">
        <v>209</v>
      </c>
      <c r="E408" s="5" t="str">
        <f>IFERROR(VLOOKUP($D408,FIYAT!$B:$O,2,FALSE()),"")</f>
        <v>Шина "N" нулевая 6х9мм на DIN-рейку в корпусном изоляторе ШНИ 12К IEK (10)</v>
      </c>
      <c r="F408" s="5">
        <f>IFERROR(VLOOKUP($D408,FIYAT!$B:$O,5,FALSE()),"")</f>
        <v>755</v>
      </c>
      <c r="G408" s="5">
        <f>IFERROR(VLOOKUP($D408,FIYAT!$B:$O,8,FALSE()),"")</f>
        <v>453</v>
      </c>
      <c r="H408" s="5">
        <f t="shared" si="48"/>
        <v>1812</v>
      </c>
      <c r="I408" s="6">
        <v>4</v>
      </c>
      <c r="J408" s="5" t="str">
        <f>IFERROR(VLOOKUP($D408,FIYAT!$B:$O,9,FALSE()),"")</f>
        <v>Шт.</v>
      </c>
      <c r="K408" s="5" t="str">
        <f>IFERROR(VLOOKUP($D408,FIYAT!$B:$O,4,FALSE()),"")</f>
        <v>KAZTEK</v>
      </c>
      <c r="L408" s="5">
        <f t="shared" si="49"/>
        <v>1812</v>
      </c>
      <c r="M408" s="5"/>
      <c r="N408" s="5"/>
      <c r="O408" s="5"/>
      <c r="P408" s="5" t="str">
        <f>IF($H408="","FIYAT_YOK",IFERROR(VLOOKUP($D408,FIYAT!$B:$P,15,FALSE()),""))</f>
        <v>MUADIL</v>
      </c>
      <c r="Q408" s="5" t="s">
        <v>212</v>
      </c>
      <c r="R408" s="5" t="s">
        <v>211</v>
      </c>
      <c r="S408" s="5" t="s">
        <v>550</v>
      </c>
      <c r="T408" s="5" t="s">
        <v>93</v>
      </c>
      <c r="U408" s="5">
        <f>IFERROR(VLOOKUP($T408,KURALLAR!$A$32:$B$63,2,FALSE()),0)*IF(ISNUMBER($I408),$I408,0)</f>
        <v>32</v>
      </c>
    </row>
    <row r="409" spans="1:21" x14ac:dyDescent="0.25">
      <c r="A409" s="9">
        <v>408</v>
      </c>
      <c r="B409" s="9"/>
      <c r="C409" s="9" t="s">
        <v>222</v>
      </c>
      <c r="D409" s="9" t="s">
        <v>220</v>
      </c>
      <c r="E409" s="9" t="str">
        <f>IFERROR(VLOOKUP($D409,FIYAT!$B:$O,2,FALSE()),"")</f>
        <v>ЩМП (инд.) IP31 (650х500х150мм)</v>
      </c>
      <c r="F409" s="9">
        <f>IFERROR(VLOOKUP($D409,FIYAT!$B:$O,5,FALSE()),"")</f>
        <v>27825</v>
      </c>
      <c r="G409" s="9">
        <f>IFERROR(VLOOKUP($D409,FIYAT!$B:$O,8,FALSE()),"")</f>
        <v>16695</v>
      </c>
      <c r="H409" s="9">
        <f t="shared" si="48"/>
        <v>16695</v>
      </c>
      <c r="I409" s="6">
        <v>1</v>
      </c>
      <c r="J409" s="9" t="str">
        <f>IFERROR(VLOOKUP($D409,FIYAT!$B:$O,9,FALSE()),"")</f>
        <v>Шт.</v>
      </c>
      <c r="K409" s="9" t="str">
        <f>IFERROR(VLOOKUP($D409,FIYAT!$B:$O,4,FALSE()),"")</f>
        <v>KAZTEK</v>
      </c>
      <c r="L409" s="9">
        <f t="shared" si="49"/>
        <v>16695</v>
      </c>
      <c r="M409" s="9"/>
      <c r="N409" s="9"/>
      <c r="O409" s="9"/>
      <c r="P409" s="9" t="str">
        <f>IF($H409="","FIYAT_YOK",IFERROR(VLOOKUP($D409,FIYAT!$B:$P,15,FALSE()),""))</f>
        <v>VARSAYIM</v>
      </c>
      <c r="Q409" s="9" t="s">
        <v>223</v>
      </c>
      <c r="R409" s="9" t="s">
        <v>211</v>
      </c>
      <c r="S409" s="9" t="s">
        <v>550</v>
      </c>
      <c r="T409" s="9" t="s">
        <v>105</v>
      </c>
      <c r="U409" s="9">
        <f>IFERROR(VLOOKUP($T409,KURALLAR!$A$32:$B$63,2,FALSE()),0)*IF(ISNUMBER($I409),$I409,0)</f>
        <v>30</v>
      </c>
    </row>
    <row r="410" spans="1:21" x14ac:dyDescent="0.25">
      <c r="A410" s="5">
        <v>409</v>
      </c>
      <c r="B410" s="5"/>
      <c r="C410" s="5" t="s">
        <v>215</v>
      </c>
      <c r="D410" s="5" t="s">
        <v>213</v>
      </c>
      <c r="E410" s="5" t="str">
        <f>IFERROR(VLOOKUP($D410,FIYAT!$B:$O,2,FALSE()),"")</f>
        <v>Монтажный расходный материал (кабель, DIN-рейка, кабель-канал, клеммы, маркировка, крепёж)</v>
      </c>
      <c r="F410" s="5">
        <f>IFERROR(VLOOKUP($D410,FIYAT!$B:$O,5,FALSE()),"")</f>
        <v>0</v>
      </c>
      <c r="G410" s="5" t="str">
        <f>IFERROR(VLOOKUP($D410,FIYAT!$B:$O,8,FALSE()),"")</f>
        <v/>
      </c>
      <c r="H410" s="5">
        <f>ROUND(SUM($H$398:$H$409)*KURALLAR!$B$28,0)</f>
        <v>8998</v>
      </c>
      <c r="I410" s="6">
        <v>1</v>
      </c>
      <c r="J410" s="5" t="str">
        <f>IFERROR(VLOOKUP($D410,FIYAT!$B:$O,9,FALSE()),"")</f>
        <v>компл.</v>
      </c>
      <c r="K410" s="5" t="str">
        <f>IFERROR(VLOOKUP($D410,FIYAT!$B:$O,4,FALSE()),"")</f>
        <v>MUADIL-NET</v>
      </c>
      <c r="L410" s="5">
        <f t="shared" si="49"/>
        <v>8998</v>
      </c>
      <c r="M410" s="5"/>
      <c r="N410" s="5"/>
      <c r="O410" s="5"/>
      <c r="P410" s="5" t="str">
        <f>IF($H410="","FIYAT_YOK",IFERROR(VLOOKUP($D410,FIYAT!$B:$P,15,FALSE()),""))</f>
        <v>ORAN</v>
      </c>
      <c r="Q410" s="5" t="s">
        <v>218</v>
      </c>
      <c r="R410" s="5" t="s">
        <v>217</v>
      </c>
      <c r="S410" s="5" t="s">
        <v>550</v>
      </c>
      <c r="T410" s="5"/>
      <c r="U410" s="5">
        <v>0</v>
      </c>
    </row>
    <row r="411" spans="1:21" x14ac:dyDescent="0.25">
      <c r="A411" s="9">
        <v>410</v>
      </c>
      <c r="B411" s="9"/>
      <c r="C411" s="9" t="s">
        <v>227</v>
      </c>
      <c r="D411" s="9" t="s">
        <v>225</v>
      </c>
      <c r="E411" s="9" t="str">
        <f>IFERROR(VLOOKUP($D411,FIYAT!$B:$O,2,FALSE()),"")</f>
        <v>Сборка, кабелирование, маркировка, момент затяжки, испытания</v>
      </c>
      <c r="F411" s="9">
        <f>IFERROR(VLOOKUP($D411,FIYAT!$B:$O,5,FALSE()),"")</f>
        <v>100</v>
      </c>
      <c r="G411" s="9">
        <f>IFERROR(VLOOKUP($D411,FIYAT!$B:$O,8,FALSE()),"")</f>
        <v>100</v>
      </c>
      <c r="H411" s="9">
        <f>IF(OR($G411="",$I411=""),"",$G411*$I411)</f>
        <v>24200</v>
      </c>
      <c r="I411" s="6">
        <f>ROUND(SUM($U$398:$U$410)*KURALLAR!$B$27,0)</f>
        <v>242</v>
      </c>
      <c r="J411" s="9" t="str">
        <f>IFERROR(VLOOKUP($D411,FIYAT!$B:$O,9,FALSE()),"")</f>
        <v>мин</v>
      </c>
      <c r="K411" s="9" t="str">
        <f>IFERROR(VLOOKUP($D411,FIYAT!$B:$O,4,FALSE()),"")</f>
        <v>ISCILIK</v>
      </c>
      <c r="L411" s="9">
        <f t="shared" si="49"/>
        <v>24200</v>
      </c>
      <c r="M411" s="9"/>
      <c r="N411" s="9"/>
      <c r="O411" s="9"/>
      <c r="P411" s="9" t="str">
        <f>IF($H411="","FIYAT_YOK",IFERROR(VLOOKUP($D411,FIYAT!$B:$P,15,FALSE()),""))</f>
        <v>OK</v>
      </c>
      <c r="Q411" s="9" t="str">
        <f>CONCATENATE("montaj+test iscilik: ",TEXT($I411,"# ##0")," dk = ",TEXT($I411/60,"0,00")," saat (norm x test/etiket carpani)")</f>
        <v>montaj+test iscilik:  242 dk = 4,03 saat (norm x test/etiket carpani)</v>
      </c>
      <c r="R411" s="9" t="s">
        <v>229</v>
      </c>
      <c r="S411" s="9" t="s">
        <v>550</v>
      </c>
      <c r="T411" s="9"/>
      <c r="U411" s="9">
        <v>0</v>
      </c>
    </row>
    <row r="412" spans="1:21" x14ac:dyDescent="0.25">
      <c r="A412" s="10">
        <v>411</v>
      </c>
      <c r="B412" s="10" t="s">
        <v>599</v>
      </c>
      <c r="C412" s="10"/>
      <c r="D412" s="10"/>
      <c r="E412" s="10"/>
      <c r="F412" s="10"/>
      <c r="G412" s="10"/>
      <c r="H412" s="10">
        <f>SUBTOTAL(9,H398:H411)</f>
        <v>161737.79999999999</v>
      </c>
      <c r="I412" s="10"/>
      <c r="J412" s="10"/>
      <c r="K412" s="10"/>
      <c r="L412" s="10">
        <f>SUBTOTAL(9,L398:L411)</f>
        <v>161737.79999999999</v>
      </c>
      <c r="M412" s="10"/>
      <c r="N412" s="10"/>
      <c r="O412" s="10"/>
      <c r="P412" s="10"/>
      <c r="Q412" s="10"/>
      <c r="R412" s="10"/>
      <c r="S412" s="10"/>
      <c r="T412" s="10"/>
      <c r="U412" s="10">
        <f>SUBTOTAL(9,U398:U411)</f>
        <v>210</v>
      </c>
    </row>
    <row r="413" spans="1:21" x14ac:dyDescent="0.25">
      <c r="A413" s="8">
        <v>412</v>
      </c>
      <c r="B413" s="8" t="str">
        <f>E413</f>
        <v>BLOK A / 16F-ИБП.1 — НКУ 380/220В 50Гц, FORM 2B, IP31/54</v>
      </c>
      <c r="C413" s="8" t="s">
        <v>545</v>
      </c>
      <c r="D413" s="8"/>
      <c r="E413" s="8" t="s">
        <v>600</v>
      </c>
      <c r="F413" s="8"/>
      <c r="G413" s="8"/>
      <c r="H413" s="8"/>
      <c r="I413" s="8">
        <v>1</v>
      </c>
      <c r="J413" s="8" t="s">
        <v>547</v>
      </c>
      <c r="K413" s="8"/>
      <c r="L413" s="8"/>
      <c r="M413" s="8"/>
      <c r="N413" s="8"/>
      <c r="O413" s="8"/>
      <c r="P413" s="8" t="s">
        <v>178</v>
      </c>
      <c r="Q413" s="8" t="s">
        <v>548</v>
      </c>
      <c r="R413" s="8" t="s">
        <v>549</v>
      </c>
      <c r="S413" s="8" t="s">
        <v>550</v>
      </c>
      <c r="T413" s="8"/>
      <c r="U413" s="8"/>
    </row>
    <row r="414" spans="1:21" x14ac:dyDescent="0.25">
      <c r="A414" s="5">
        <v>413</v>
      </c>
      <c r="B414" s="5"/>
      <c r="C414" s="5" t="s">
        <v>169</v>
      </c>
      <c r="D414" s="5" t="s">
        <v>167</v>
      </c>
      <c r="E414" s="5" t="str">
        <f>IFERROR(VLOOKUP($D414,FIYAT!$B:$O,2,FALSE()),"")</f>
        <v>Авт. выкл. NM8N-125C TM 3P 32А 36кА с рег. термомаг. расцепителем (R)</v>
      </c>
      <c r="F414" s="5">
        <f>IFERROR(VLOOKUP($D414,FIYAT!$B:$O,5,FALSE()),"")</f>
        <v>64667</v>
      </c>
      <c r="G414" s="5">
        <f>IFERROR(VLOOKUP($D414,FIYAT!$B:$O,8,FALSE()),"")</f>
        <v>38800.199999999997</v>
      </c>
      <c r="H414" s="5">
        <f t="shared" ref="H414:H425" si="50">IF(OR($G414="",$I414=""),"",$G414*$I414)</f>
        <v>38800.199999999997</v>
      </c>
      <c r="I414" s="6">
        <v>1</v>
      </c>
      <c r="J414" s="5" t="str">
        <f>IFERROR(VLOOKUP($D414,FIYAT!$B:$O,9,FALSE()),"")</f>
        <v>Шт.</v>
      </c>
      <c r="K414" s="5" t="str">
        <f>IFERROR(VLOOKUP($D414,FIYAT!$B:$O,4,FALSE()),"")</f>
        <v>CHINT</v>
      </c>
      <c r="L414" s="5">
        <f t="shared" ref="L414:L427" si="51">IF($H414="","",$H414)</f>
        <v>38800.199999999997</v>
      </c>
      <c r="M414" s="5"/>
      <c r="N414" s="5"/>
      <c r="O414" s="5"/>
      <c r="P414" s="5" t="str">
        <f>IF($H414="","FIYAT_YOK",IFERROR(VLOOKUP($D414,FIYAT!$B:$P,15,FALSE()),""))</f>
        <v>MUADIL</v>
      </c>
      <c r="Q414" s="5" t="s">
        <v>172</v>
      </c>
      <c r="R414" s="5" t="s">
        <v>171</v>
      </c>
      <c r="S414" s="5" t="s">
        <v>550</v>
      </c>
      <c r="T414" s="5" t="s">
        <v>61</v>
      </c>
      <c r="U414" s="5">
        <f>IFERROR(VLOOKUP($T414,KURALLAR!$A$32:$B$63,2,FALSE()),0)*IF(ISNUMBER($I414),$I414,0)</f>
        <v>15</v>
      </c>
    </row>
    <row r="415" spans="1:21" x14ac:dyDescent="0.25">
      <c r="A415" s="9">
        <v>414</v>
      </c>
      <c r="B415" s="9"/>
      <c r="C415" s="9" t="s">
        <v>176</v>
      </c>
      <c r="D415" s="9" t="s">
        <v>174</v>
      </c>
      <c r="E415" s="9" t="str">
        <f>IFERROR(VLOOKUP($D415,FIYAT!$B:$O,2,FALSE()),"")</f>
        <v>УЗО NL1-63 6kA 4P 63A 300mA тип AC (R)</v>
      </c>
      <c r="F415" s="9">
        <f>IFERROR(VLOOKUP($D415,FIYAT!$B:$O,5,FALSE()),"")</f>
        <v>18106</v>
      </c>
      <c r="G415" s="9">
        <f>IFERROR(VLOOKUP($D415,FIYAT!$B:$O,8,FALSE()),"")</f>
        <v>10863.6</v>
      </c>
      <c r="H415" s="9">
        <f t="shared" si="50"/>
        <v>10863.6</v>
      </c>
      <c r="I415" s="6">
        <v>1</v>
      </c>
      <c r="J415" s="9" t="str">
        <f>IFERROR(VLOOKUP($D415,FIYAT!$B:$O,9,FALSE()),"")</f>
        <v>Шт.</v>
      </c>
      <c r="K415" s="9" t="str">
        <f>IFERROR(VLOOKUP($D415,FIYAT!$B:$O,4,FALSE()),"")</f>
        <v>CHINT</v>
      </c>
      <c r="L415" s="9">
        <f t="shared" si="51"/>
        <v>10863.6</v>
      </c>
      <c r="M415" s="9"/>
      <c r="N415" s="9"/>
      <c r="O415" s="9"/>
      <c r="P415" s="9" t="str">
        <f>IF($H415="","FIYAT_YOK",IFERROR(VLOOKUP($D415,FIYAT!$B:$P,15,FALSE()),""))</f>
        <v>OK</v>
      </c>
      <c r="Q415" s="9" t="s">
        <v>177</v>
      </c>
      <c r="R415" s="9" t="s">
        <v>171</v>
      </c>
      <c r="S415" s="9" t="s">
        <v>550</v>
      </c>
      <c r="T415" s="9" t="s">
        <v>57</v>
      </c>
      <c r="U415" s="9">
        <f>IFERROR(VLOOKUP($T415,KURALLAR!$A$32:$B$63,2,FALSE()),0)*IF(ISNUMBER($I415),$I415,0)</f>
        <v>10</v>
      </c>
    </row>
    <row r="416" spans="1:21" x14ac:dyDescent="0.25">
      <c r="A416" s="5">
        <v>415</v>
      </c>
      <c r="B416" s="5"/>
      <c r="C416" s="5" t="s">
        <v>79</v>
      </c>
      <c r="D416" s="5" t="s">
        <v>179</v>
      </c>
      <c r="E416" s="5" t="str">
        <f>IFERROR(VLOOKUP($D416,FIYAT!$B:$O,2,FALSE()),"")</f>
        <v>Держатель плавкой вставки RT36-00-160, габарит 00, 160А</v>
      </c>
      <c r="F416" s="5">
        <f>IFERROR(VLOOKUP($D416,FIYAT!$B:$O,5,FALSE()),"")</f>
        <v>2038</v>
      </c>
      <c r="G416" s="5">
        <f>IFERROR(VLOOKUP($D416,FIYAT!$B:$O,8,FALSE()),"")</f>
        <v>1222.8</v>
      </c>
      <c r="H416" s="5">
        <f t="shared" si="50"/>
        <v>4891.2</v>
      </c>
      <c r="I416" s="6">
        <v>4</v>
      </c>
      <c r="J416" s="5" t="str">
        <f>IFERROR(VLOOKUP($D416,FIYAT!$B:$O,9,FALSE()),"")</f>
        <v>Шт.</v>
      </c>
      <c r="K416" s="5" t="str">
        <f>IFERROR(VLOOKUP($D416,FIYAT!$B:$O,4,FALSE()),"")</f>
        <v>CHINT</v>
      </c>
      <c r="L416" s="5">
        <f t="shared" si="51"/>
        <v>4891.2</v>
      </c>
      <c r="M416" s="5"/>
      <c r="N416" s="5"/>
      <c r="O416" s="5"/>
      <c r="P416" s="5" t="str">
        <f>IF($H416="","FIYAT_YOK",IFERROR(VLOOKUP($D416,FIYAT!$B:$P,15,FALSE()),""))</f>
        <v>MUADIL</v>
      </c>
      <c r="Q416" s="5" t="s">
        <v>181</v>
      </c>
      <c r="R416" s="5" t="s">
        <v>171</v>
      </c>
      <c r="S416" s="5" t="s">
        <v>550</v>
      </c>
      <c r="T416" s="5" t="s">
        <v>77</v>
      </c>
      <c r="U416" s="5">
        <f>IFERROR(VLOOKUP($T416,KURALLAR!$A$32:$B$63,2,FALSE()),0)*IF(ISNUMBER($I416),$I416,0)</f>
        <v>20</v>
      </c>
    </row>
    <row r="417" spans="1:21" x14ac:dyDescent="0.25">
      <c r="A417" s="9">
        <v>416</v>
      </c>
      <c r="B417" s="9"/>
      <c r="C417" s="9" t="s">
        <v>79</v>
      </c>
      <c r="D417" s="9" t="s">
        <v>182</v>
      </c>
      <c r="E417" s="9" t="str">
        <f>IFERROR(VLOOKUP($D417,FIYAT!$B:$O,2,FALSE()),"")</f>
        <v>Плавкая вставка предохранителя RT36-00-160, габарит 00, 63А</v>
      </c>
      <c r="F417" s="9">
        <f>IFERROR(VLOOKUP($D417,FIYAT!$B:$O,5,FALSE()),"")</f>
        <v>1525</v>
      </c>
      <c r="G417" s="9">
        <f>IFERROR(VLOOKUP($D417,FIYAT!$B:$O,8,FALSE()),"")</f>
        <v>915</v>
      </c>
      <c r="H417" s="9">
        <f t="shared" si="50"/>
        <v>3660</v>
      </c>
      <c r="I417" s="6">
        <v>4</v>
      </c>
      <c r="J417" s="9" t="str">
        <f>IFERROR(VLOOKUP($D417,FIYAT!$B:$O,9,FALSE()),"")</f>
        <v>Шт.</v>
      </c>
      <c r="K417" s="9" t="str">
        <f>IFERROR(VLOOKUP($D417,FIYAT!$B:$O,4,FALSE()),"")</f>
        <v>CHINT</v>
      </c>
      <c r="L417" s="9">
        <f t="shared" si="51"/>
        <v>3660</v>
      </c>
      <c r="M417" s="9"/>
      <c r="N417" s="9"/>
      <c r="O417" s="9"/>
      <c r="P417" s="9" t="str">
        <f>IF($H417="","FIYAT_YOK",IFERROR(VLOOKUP($D417,FIYAT!$B:$P,15,FALSE()),""))</f>
        <v>MUADIL</v>
      </c>
      <c r="Q417" s="9" t="s">
        <v>185</v>
      </c>
      <c r="R417" s="9" t="s">
        <v>184</v>
      </c>
      <c r="S417" s="9" t="s">
        <v>550</v>
      </c>
      <c r="T417" s="9" t="s">
        <v>79</v>
      </c>
      <c r="U417" s="9">
        <f>IFERROR(VLOOKUP($T417,KURALLAR!$A$32:$B$63,2,FALSE()),0)*IF(ISNUMBER($I417),$I417,0)</f>
        <v>12</v>
      </c>
    </row>
    <row r="418" spans="1:21" x14ac:dyDescent="0.25">
      <c r="A418" s="5">
        <v>417</v>
      </c>
      <c r="B418" s="5"/>
      <c r="C418" s="5" t="s">
        <v>75</v>
      </c>
      <c r="D418" s="5" t="s">
        <v>186</v>
      </c>
      <c r="E418" s="5" t="str">
        <f>IFERROR(VLOOKUP($D418,FIYAT!$B:$O,2,FALSE()),"")</f>
        <v>Ограничитель имп. перенапр. NU6-IIG 4Р In=25kA Uc=440B Im=65kA (R)</v>
      </c>
      <c r="F418" s="5">
        <f>IFERROR(VLOOKUP($D418,FIYAT!$B:$O,5,FALSE()),"")</f>
        <v>33208</v>
      </c>
      <c r="G418" s="5">
        <f>IFERROR(VLOOKUP($D418,FIYAT!$B:$O,8,FALSE()),"")</f>
        <v>19924.8</v>
      </c>
      <c r="H418" s="5">
        <f t="shared" si="50"/>
        <v>19924.8</v>
      </c>
      <c r="I418" s="6">
        <v>1</v>
      </c>
      <c r="J418" s="5" t="str">
        <f>IFERROR(VLOOKUP($D418,FIYAT!$B:$O,9,FALSE()),"")</f>
        <v>Шт.</v>
      </c>
      <c r="K418" s="5" t="str">
        <f>IFERROR(VLOOKUP($D418,FIYAT!$B:$O,4,FALSE()),"")</f>
        <v>CHINT</v>
      </c>
      <c r="L418" s="5">
        <f t="shared" si="51"/>
        <v>19924.8</v>
      </c>
      <c r="M418" s="5"/>
      <c r="N418" s="5"/>
      <c r="O418" s="5"/>
      <c r="P418" s="5" t="str">
        <f>IF($H418="","FIYAT_YOK",IFERROR(VLOOKUP($D418,FIYAT!$B:$P,15,FALSE()),""))</f>
        <v>MUADIL_ONAY</v>
      </c>
      <c r="Q418" s="5" t="s">
        <v>188</v>
      </c>
      <c r="R418" s="5" t="s">
        <v>184</v>
      </c>
      <c r="S418" s="5" t="s">
        <v>550</v>
      </c>
      <c r="T418" s="5" t="s">
        <v>75</v>
      </c>
      <c r="U418" s="5">
        <f>IFERROR(VLOOKUP($T418,KURALLAR!$A$32:$B$63,2,FALSE()),0)*IF(ISNUMBER($I418),$I418,0)</f>
        <v>10</v>
      </c>
    </row>
    <row r="419" spans="1:21" x14ac:dyDescent="0.25">
      <c r="A419" s="9">
        <v>418</v>
      </c>
      <c r="B419" s="9"/>
      <c r="C419" s="9" t="s">
        <v>192</v>
      </c>
      <c r="D419" s="9" t="s">
        <v>321</v>
      </c>
      <c r="E419" s="9" t="str">
        <f>IFERROR(VLOOKUP($D419,FIYAT!$B:$O,2,FALSE()),"")</f>
        <v>Авт. выкл. NXB-63 1P 25A 6кА х-ка C (R)</v>
      </c>
      <c r="F419" s="9">
        <f>IFERROR(VLOOKUP($D419,FIYAT!$B:$O,5,FALSE()),"")</f>
        <v>1330</v>
      </c>
      <c r="G419" s="9">
        <f>IFERROR(VLOOKUP($D419,FIYAT!$B:$O,8,FALSE()),"")</f>
        <v>798</v>
      </c>
      <c r="H419" s="9">
        <f t="shared" si="50"/>
        <v>798</v>
      </c>
      <c r="I419" s="6">
        <v>1</v>
      </c>
      <c r="J419" s="9" t="str">
        <f>IFERROR(VLOOKUP($D419,FIYAT!$B:$O,9,FALSE()),"")</f>
        <v>Шт.</v>
      </c>
      <c r="K419" s="9" t="str">
        <f>IFERROR(VLOOKUP($D419,FIYAT!$B:$O,4,FALSE()),"")</f>
        <v>CHINT</v>
      </c>
      <c r="L419" s="9">
        <f t="shared" si="51"/>
        <v>798</v>
      </c>
      <c r="M419" s="9"/>
      <c r="N419" s="9"/>
      <c r="O419" s="9"/>
      <c r="P419" s="9" t="str">
        <f>IF($H419="","FIYAT_YOK",IFERROR(VLOOKUP($D419,FIYAT!$B:$P,15,FALSE()),""))</f>
        <v>OK</v>
      </c>
      <c r="Q419" s="9" t="s">
        <v>323</v>
      </c>
      <c r="R419" s="9" t="s">
        <v>171</v>
      </c>
      <c r="S419" s="9" t="s">
        <v>550</v>
      </c>
      <c r="T419" s="9" t="s">
        <v>47</v>
      </c>
      <c r="U419" s="9">
        <f>IFERROR(VLOOKUP($T419,KURALLAR!$A$32:$B$63,2,FALSE()),0)*IF(ISNUMBER($I419),$I419,0)</f>
        <v>3</v>
      </c>
    </row>
    <row r="420" spans="1:21" x14ac:dyDescent="0.25">
      <c r="A420" s="5">
        <v>419</v>
      </c>
      <c r="B420" s="5"/>
      <c r="C420" s="5" t="s">
        <v>176</v>
      </c>
      <c r="D420" s="5" t="s">
        <v>324</v>
      </c>
      <c r="E420" s="5" t="str">
        <f>IFERROR(VLOOKUP($D420,FIYAT!$B:$O,2,FALSE()),"")</f>
        <v>УЗО NL1-63 6kA 2P 25A 30mA тип AC (R)</v>
      </c>
      <c r="F420" s="5">
        <f>IFERROR(VLOOKUP($D420,FIYAT!$B:$O,5,FALSE()),"")</f>
        <v>10809</v>
      </c>
      <c r="G420" s="5">
        <f>IFERROR(VLOOKUP($D420,FIYAT!$B:$O,8,FALSE()),"")</f>
        <v>6485.4</v>
      </c>
      <c r="H420" s="5">
        <f t="shared" si="50"/>
        <v>6485.4</v>
      </c>
      <c r="I420" s="6">
        <v>1</v>
      </c>
      <c r="J420" s="5" t="str">
        <f>IFERROR(VLOOKUP($D420,FIYAT!$B:$O,9,FALSE()),"")</f>
        <v>Шт.</v>
      </c>
      <c r="K420" s="5" t="str">
        <f>IFERROR(VLOOKUP($D420,FIYAT!$B:$O,4,FALSE()),"")</f>
        <v>CHINT</v>
      </c>
      <c r="L420" s="5">
        <f t="shared" si="51"/>
        <v>6485.4</v>
      </c>
      <c r="M420" s="5"/>
      <c r="N420" s="5"/>
      <c r="O420" s="5"/>
      <c r="P420" s="5" t="str">
        <f>IF($H420="","FIYAT_YOK",IFERROR(VLOOKUP($D420,FIYAT!$B:$P,15,FALSE()),""))</f>
        <v>OK</v>
      </c>
      <c r="Q420" s="5" t="s">
        <v>326</v>
      </c>
      <c r="R420" s="5" t="s">
        <v>171</v>
      </c>
      <c r="S420" s="5" t="s">
        <v>550</v>
      </c>
      <c r="T420" s="5" t="s">
        <v>55</v>
      </c>
      <c r="U420" s="5">
        <f>IFERROR(VLOOKUP($T420,KURALLAR!$A$32:$B$63,2,FALSE()),0)*IF(ISNUMBER($I420),$I420,0)</f>
        <v>6</v>
      </c>
    </row>
    <row r="421" spans="1:21" x14ac:dyDescent="0.25">
      <c r="A421" s="9">
        <v>420</v>
      </c>
      <c r="B421" s="9"/>
      <c r="C421" s="9" t="s">
        <v>192</v>
      </c>
      <c r="D421" s="9" t="s">
        <v>194</v>
      </c>
      <c r="E421" s="9" t="str">
        <f>IFERROR(VLOOKUP($D421,FIYAT!$B:$O,2,FALSE()),"")</f>
        <v>Авт. выкл. NXB-63 1P 16A 6кА х-ка C (R)</v>
      </c>
      <c r="F421" s="9">
        <f>IFERROR(VLOOKUP($D421,FIYAT!$B:$O,5,FALSE()),"")</f>
        <v>1389</v>
      </c>
      <c r="G421" s="9">
        <f>IFERROR(VLOOKUP($D421,FIYAT!$B:$O,8,FALSE()),"")</f>
        <v>833.4</v>
      </c>
      <c r="H421" s="9">
        <f t="shared" si="50"/>
        <v>7500.5999999999995</v>
      </c>
      <c r="I421" s="6">
        <v>9</v>
      </c>
      <c r="J421" s="9" t="str">
        <f>IFERROR(VLOOKUP($D421,FIYAT!$B:$O,9,FALSE()),"")</f>
        <v>Шт.</v>
      </c>
      <c r="K421" s="9" t="str">
        <f>IFERROR(VLOOKUP($D421,FIYAT!$B:$O,4,FALSE()),"")</f>
        <v>CHINT</v>
      </c>
      <c r="L421" s="9">
        <f t="shared" si="51"/>
        <v>7500.5999999999995</v>
      </c>
      <c r="M421" s="9"/>
      <c r="N421" s="9"/>
      <c r="O421" s="9"/>
      <c r="P421" s="9" t="str">
        <f>IF($H421="","FIYAT_YOK",IFERROR(VLOOKUP($D421,FIYAT!$B:$P,15,FALSE()),""))</f>
        <v>OK</v>
      </c>
      <c r="Q421" s="9" t="s">
        <v>196</v>
      </c>
      <c r="R421" s="9" t="s">
        <v>171</v>
      </c>
      <c r="S421" s="9" t="s">
        <v>550</v>
      </c>
      <c r="T421" s="9" t="s">
        <v>47</v>
      </c>
      <c r="U421" s="9">
        <f>IFERROR(VLOOKUP($T421,KURALLAR!$A$32:$B$63,2,FALSE()),0)*IF(ISNUMBER($I421),$I421,0)</f>
        <v>27</v>
      </c>
    </row>
    <row r="422" spans="1:21" x14ac:dyDescent="0.25">
      <c r="A422" s="5">
        <v>421</v>
      </c>
      <c r="B422" s="5"/>
      <c r="C422" s="5" t="s">
        <v>176</v>
      </c>
      <c r="D422" s="5" t="s">
        <v>200</v>
      </c>
      <c r="E422" s="5" t="str">
        <f>IFERROR(VLOOKUP($D422,FIYAT!$B:$O,2,FALSE()),"")</f>
        <v>УЗО NL1-63 6kA 2P 16A 30mA тип AC (R)</v>
      </c>
      <c r="F422" s="5">
        <f>IFERROR(VLOOKUP($D422,FIYAT!$B:$O,5,FALSE()),"")</f>
        <v>10809</v>
      </c>
      <c r="G422" s="5">
        <f>IFERROR(VLOOKUP($D422,FIYAT!$B:$O,8,FALSE()),"")</f>
        <v>6485.4</v>
      </c>
      <c r="H422" s="5">
        <f t="shared" si="50"/>
        <v>6485.4</v>
      </c>
      <c r="I422" s="6">
        <v>1</v>
      </c>
      <c r="J422" s="5" t="str">
        <f>IFERROR(VLOOKUP($D422,FIYAT!$B:$O,9,FALSE()),"")</f>
        <v>Шт.</v>
      </c>
      <c r="K422" s="5" t="str">
        <f>IFERROR(VLOOKUP($D422,FIYAT!$B:$O,4,FALSE()),"")</f>
        <v>CHINT</v>
      </c>
      <c r="L422" s="5">
        <f t="shared" si="51"/>
        <v>6485.4</v>
      </c>
      <c r="M422" s="5"/>
      <c r="N422" s="5"/>
      <c r="O422" s="5"/>
      <c r="P422" s="5" t="str">
        <f>IF($H422="","FIYAT_YOK",IFERROR(VLOOKUP($D422,FIYAT!$B:$P,15,FALSE()),""))</f>
        <v>OK</v>
      </c>
      <c r="Q422" s="5" t="s">
        <v>202</v>
      </c>
      <c r="R422" s="5" t="s">
        <v>171</v>
      </c>
      <c r="S422" s="5" t="s">
        <v>550</v>
      </c>
      <c r="T422" s="5" t="s">
        <v>55</v>
      </c>
      <c r="U422" s="5">
        <f>IFERROR(VLOOKUP($T422,KURALLAR!$A$32:$B$63,2,FALSE()),0)*IF(ISNUMBER($I422),$I422,0)</f>
        <v>6</v>
      </c>
    </row>
    <row r="423" spans="1:21" x14ac:dyDescent="0.25">
      <c r="A423" s="9">
        <v>422</v>
      </c>
      <c r="B423" s="9"/>
      <c r="C423" s="9" t="s">
        <v>192</v>
      </c>
      <c r="D423" s="9" t="s">
        <v>206</v>
      </c>
      <c r="E423" s="9" t="str">
        <f>IFERROR(VLOOKUP($D423,FIYAT!$B:$O,2,FALSE()),"")</f>
        <v>Авт. выкл. NXB-63 1P 10A 6кА х-ка C (R)</v>
      </c>
      <c r="F423" s="9">
        <f>IFERROR(VLOOKUP($D423,FIYAT!$B:$O,5,FALSE()),"")</f>
        <v>1362</v>
      </c>
      <c r="G423" s="9">
        <f>IFERROR(VLOOKUP($D423,FIYAT!$B:$O,8,FALSE()),"")</f>
        <v>817.19999999999993</v>
      </c>
      <c r="H423" s="9">
        <f t="shared" si="50"/>
        <v>11440.8</v>
      </c>
      <c r="I423" s="6">
        <v>14</v>
      </c>
      <c r="J423" s="9" t="str">
        <f>IFERROR(VLOOKUP($D423,FIYAT!$B:$O,9,FALSE()),"")</f>
        <v>Шт.</v>
      </c>
      <c r="K423" s="9" t="str">
        <f>IFERROR(VLOOKUP($D423,FIYAT!$B:$O,4,FALSE()),"")</f>
        <v>CHINT</v>
      </c>
      <c r="L423" s="9">
        <f t="shared" si="51"/>
        <v>11440.8</v>
      </c>
      <c r="M423" s="9"/>
      <c r="N423" s="9"/>
      <c r="O423" s="9"/>
      <c r="P423" s="9" t="str">
        <f>IF($H423="","FIYAT_YOK",IFERROR(VLOOKUP($D423,FIYAT!$B:$P,15,FALSE()),""))</f>
        <v>OK</v>
      </c>
      <c r="Q423" s="9" t="s">
        <v>208</v>
      </c>
      <c r="R423" s="9" t="s">
        <v>184</v>
      </c>
      <c r="S423" s="9" t="s">
        <v>550</v>
      </c>
      <c r="T423" s="9" t="s">
        <v>47</v>
      </c>
      <c r="U423" s="9">
        <f>IFERROR(VLOOKUP($T423,KURALLAR!$A$32:$B$63,2,FALSE()),0)*IF(ISNUMBER($I423),$I423,0)</f>
        <v>42</v>
      </c>
    </row>
    <row r="424" spans="1:21" x14ac:dyDescent="0.25">
      <c r="A424" s="5">
        <v>423</v>
      </c>
      <c r="B424" s="5"/>
      <c r="C424" s="5" t="s">
        <v>93</v>
      </c>
      <c r="D424" s="5" t="s">
        <v>209</v>
      </c>
      <c r="E424" s="5" t="str">
        <f>IFERROR(VLOOKUP($D424,FIYAT!$B:$O,2,FALSE()),"")</f>
        <v>Шина "N" нулевая 6х9мм на DIN-рейку в корпусном изоляторе ШНИ 12К IEK (10)</v>
      </c>
      <c r="F424" s="5">
        <f>IFERROR(VLOOKUP($D424,FIYAT!$B:$O,5,FALSE()),"")</f>
        <v>755</v>
      </c>
      <c r="G424" s="5">
        <f>IFERROR(VLOOKUP($D424,FIYAT!$B:$O,8,FALSE()),"")</f>
        <v>453</v>
      </c>
      <c r="H424" s="5">
        <f t="shared" si="50"/>
        <v>1812</v>
      </c>
      <c r="I424" s="6">
        <v>4</v>
      </c>
      <c r="J424" s="5" t="str">
        <f>IFERROR(VLOOKUP($D424,FIYAT!$B:$O,9,FALSE()),"")</f>
        <v>Шт.</v>
      </c>
      <c r="K424" s="5" t="str">
        <f>IFERROR(VLOOKUP($D424,FIYAT!$B:$O,4,FALSE()),"")</f>
        <v>KAZTEK</v>
      </c>
      <c r="L424" s="5">
        <f t="shared" si="51"/>
        <v>1812</v>
      </c>
      <c r="M424" s="5"/>
      <c r="N424" s="5"/>
      <c r="O424" s="5"/>
      <c r="P424" s="5" t="str">
        <f>IF($H424="","FIYAT_YOK",IFERROR(VLOOKUP($D424,FIYAT!$B:$P,15,FALSE()),""))</f>
        <v>MUADIL</v>
      </c>
      <c r="Q424" s="5" t="s">
        <v>212</v>
      </c>
      <c r="R424" s="5" t="s">
        <v>211</v>
      </c>
      <c r="S424" s="5" t="s">
        <v>550</v>
      </c>
      <c r="T424" s="5" t="s">
        <v>93</v>
      </c>
      <c r="U424" s="5">
        <f>IFERROR(VLOOKUP($T424,KURALLAR!$A$32:$B$63,2,FALSE()),0)*IF(ISNUMBER($I424),$I424,0)</f>
        <v>32</v>
      </c>
    </row>
    <row r="425" spans="1:21" x14ac:dyDescent="0.25">
      <c r="A425" s="9">
        <v>424</v>
      </c>
      <c r="B425" s="9"/>
      <c r="C425" s="9" t="s">
        <v>222</v>
      </c>
      <c r="D425" s="9" t="s">
        <v>220</v>
      </c>
      <c r="E425" s="9" t="str">
        <f>IFERROR(VLOOKUP($D425,FIYAT!$B:$O,2,FALSE()),"")</f>
        <v>ЩМП (инд.) IP31 (650х500х150мм)</v>
      </c>
      <c r="F425" s="9">
        <f>IFERROR(VLOOKUP($D425,FIYAT!$B:$O,5,FALSE()),"")</f>
        <v>27825</v>
      </c>
      <c r="G425" s="9">
        <f>IFERROR(VLOOKUP($D425,FIYAT!$B:$O,8,FALSE()),"")</f>
        <v>16695</v>
      </c>
      <c r="H425" s="9">
        <f t="shared" si="50"/>
        <v>16695</v>
      </c>
      <c r="I425" s="6">
        <v>1</v>
      </c>
      <c r="J425" s="9" t="str">
        <f>IFERROR(VLOOKUP($D425,FIYAT!$B:$O,9,FALSE()),"")</f>
        <v>Шт.</v>
      </c>
      <c r="K425" s="9" t="str">
        <f>IFERROR(VLOOKUP($D425,FIYAT!$B:$O,4,FALSE()),"")</f>
        <v>KAZTEK</v>
      </c>
      <c r="L425" s="9">
        <f t="shared" si="51"/>
        <v>16695</v>
      </c>
      <c r="M425" s="9"/>
      <c r="N425" s="9"/>
      <c r="O425" s="9"/>
      <c r="P425" s="9" t="str">
        <f>IF($H425="","FIYAT_YOK",IFERROR(VLOOKUP($D425,FIYAT!$B:$P,15,FALSE()),""))</f>
        <v>VARSAYIM</v>
      </c>
      <c r="Q425" s="9" t="s">
        <v>223</v>
      </c>
      <c r="R425" s="9" t="s">
        <v>211</v>
      </c>
      <c r="S425" s="9" t="s">
        <v>550</v>
      </c>
      <c r="T425" s="9" t="s">
        <v>105</v>
      </c>
      <c r="U425" s="9">
        <f>IFERROR(VLOOKUP($T425,KURALLAR!$A$32:$B$63,2,FALSE()),0)*IF(ISNUMBER($I425),$I425,0)</f>
        <v>30</v>
      </c>
    </row>
    <row r="426" spans="1:21" x14ac:dyDescent="0.25">
      <c r="A426" s="5">
        <v>425</v>
      </c>
      <c r="B426" s="5"/>
      <c r="C426" s="5" t="s">
        <v>215</v>
      </c>
      <c r="D426" s="5" t="s">
        <v>213</v>
      </c>
      <c r="E426" s="5" t="str">
        <f>IFERROR(VLOOKUP($D426,FIYAT!$B:$O,2,FALSE()),"")</f>
        <v>Монтажный расходный материал (кабель, DIN-рейка, кабель-канал, клеммы, маркировка, крепёж)</v>
      </c>
      <c r="F426" s="5">
        <f>IFERROR(VLOOKUP($D426,FIYAT!$B:$O,5,FALSE()),"")</f>
        <v>0</v>
      </c>
      <c r="G426" s="5" t="str">
        <f>IFERROR(VLOOKUP($D426,FIYAT!$B:$O,8,FALSE()),"")</f>
        <v/>
      </c>
      <c r="H426" s="5">
        <f>ROUND(SUM($H$414:$H$425)*KURALLAR!$B$28,0)</f>
        <v>9055</v>
      </c>
      <c r="I426" s="6">
        <v>1</v>
      </c>
      <c r="J426" s="5" t="str">
        <f>IFERROR(VLOOKUP($D426,FIYAT!$B:$O,9,FALSE()),"")</f>
        <v>компл.</v>
      </c>
      <c r="K426" s="5" t="str">
        <f>IFERROR(VLOOKUP($D426,FIYAT!$B:$O,4,FALSE()),"")</f>
        <v>MUADIL-NET</v>
      </c>
      <c r="L426" s="5">
        <f t="shared" si="51"/>
        <v>9055</v>
      </c>
      <c r="M426" s="5"/>
      <c r="N426" s="5"/>
      <c r="O426" s="5"/>
      <c r="P426" s="5" t="str">
        <f>IF($H426="","FIYAT_YOK",IFERROR(VLOOKUP($D426,FIYAT!$B:$P,15,FALSE()),""))</f>
        <v>ORAN</v>
      </c>
      <c r="Q426" s="5" t="s">
        <v>218</v>
      </c>
      <c r="R426" s="5" t="s">
        <v>217</v>
      </c>
      <c r="S426" s="5" t="s">
        <v>550</v>
      </c>
      <c r="T426" s="5"/>
      <c r="U426" s="5">
        <v>0</v>
      </c>
    </row>
    <row r="427" spans="1:21" x14ac:dyDescent="0.25">
      <c r="A427" s="9">
        <v>426</v>
      </c>
      <c r="B427" s="9"/>
      <c r="C427" s="9" t="s">
        <v>227</v>
      </c>
      <c r="D427" s="9" t="s">
        <v>225</v>
      </c>
      <c r="E427" s="9" t="str">
        <f>IFERROR(VLOOKUP($D427,FIYAT!$B:$O,2,FALSE()),"")</f>
        <v>Сборка, кабелирование, маркировка, момент затяжки, испытания</v>
      </c>
      <c r="F427" s="9">
        <f>IFERROR(VLOOKUP($D427,FIYAT!$B:$O,5,FALSE()),"")</f>
        <v>100</v>
      </c>
      <c r="G427" s="9">
        <f>IFERROR(VLOOKUP($D427,FIYAT!$B:$O,8,FALSE()),"")</f>
        <v>100</v>
      </c>
      <c r="H427" s="9">
        <f>IF(OR($G427="",$I427=""),"",$G427*$I427)</f>
        <v>24500</v>
      </c>
      <c r="I427" s="6">
        <f>ROUND(SUM($U$414:$U$426)*KURALLAR!$B$27,0)</f>
        <v>245</v>
      </c>
      <c r="J427" s="9" t="str">
        <f>IFERROR(VLOOKUP($D427,FIYAT!$B:$O,9,FALSE()),"")</f>
        <v>мин</v>
      </c>
      <c r="K427" s="9" t="str">
        <f>IFERROR(VLOOKUP($D427,FIYAT!$B:$O,4,FALSE()),"")</f>
        <v>ISCILIK</v>
      </c>
      <c r="L427" s="9">
        <f t="shared" si="51"/>
        <v>24500</v>
      </c>
      <c r="M427" s="9"/>
      <c r="N427" s="9"/>
      <c r="O427" s="9"/>
      <c r="P427" s="9" t="str">
        <f>IF($H427="","FIYAT_YOK",IFERROR(VLOOKUP($D427,FIYAT!$B:$P,15,FALSE()),""))</f>
        <v>OK</v>
      </c>
      <c r="Q427" s="9" t="str">
        <f>CONCATENATE("montaj+test iscilik: ",TEXT($I427,"# ##0")," dk = ",TEXT($I427/60,"0,00")," saat (norm x test/etiket carpani)")</f>
        <v>montaj+test iscilik:  245 dk = 4,08 saat (norm x test/etiket carpani)</v>
      </c>
      <c r="R427" s="9" t="s">
        <v>229</v>
      </c>
      <c r="S427" s="9" t="s">
        <v>550</v>
      </c>
      <c r="T427" s="9"/>
      <c r="U427" s="9">
        <v>0</v>
      </c>
    </row>
    <row r="428" spans="1:21" x14ac:dyDescent="0.25">
      <c r="A428" s="10">
        <v>427</v>
      </c>
      <c r="B428" s="10" t="s">
        <v>601</v>
      </c>
      <c r="C428" s="10"/>
      <c r="D428" s="10"/>
      <c r="E428" s="10"/>
      <c r="F428" s="10"/>
      <c r="G428" s="10"/>
      <c r="H428" s="10">
        <f>SUBTOTAL(9,H414:H427)</f>
        <v>162912</v>
      </c>
      <c r="I428" s="10"/>
      <c r="J428" s="10"/>
      <c r="K428" s="10"/>
      <c r="L428" s="10">
        <f>SUBTOTAL(9,L414:L427)</f>
        <v>162912</v>
      </c>
      <c r="M428" s="10"/>
      <c r="N428" s="10"/>
      <c r="O428" s="10"/>
      <c r="P428" s="10"/>
      <c r="Q428" s="10"/>
      <c r="R428" s="10"/>
      <c r="S428" s="10"/>
      <c r="T428" s="10"/>
      <c r="U428" s="10">
        <f>SUBTOTAL(9,U414:U427)</f>
        <v>213</v>
      </c>
    </row>
    <row r="429" spans="1:21" x14ac:dyDescent="0.25">
      <c r="A429" s="8">
        <v>428</v>
      </c>
      <c r="B429" s="8" t="str">
        <f>E429</f>
        <v>BLOK A / 16F-ИБП.2 — НКУ 380/220В 50Гц, FORM 2B, IP31/54</v>
      </c>
      <c r="C429" s="8" t="s">
        <v>545</v>
      </c>
      <c r="D429" s="8"/>
      <c r="E429" s="8" t="s">
        <v>602</v>
      </c>
      <c r="F429" s="8"/>
      <c r="G429" s="8"/>
      <c r="H429" s="8"/>
      <c r="I429" s="8">
        <v>1</v>
      </c>
      <c r="J429" s="8" t="s">
        <v>547</v>
      </c>
      <c r="K429" s="8"/>
      <c r="L429" s="8"/>
      <c r="M429" s="8"/>
      <c r="N429" s="8"/>
      <c r="O429" s="8"/>
      <c r="P429" s="8" t="s">
        <v>178</v>
      </c>
      <c r="Q429" s="8" t="s">
        <v>548</v>
      </c>
      <c r="R429" s="8" t="s">
        <v>549</v>
      </c>
      <c r="S429" s="8" t="s">
        <v>550</v>
      </c>
      <c r="T429" s="8"/>
      <c r="U429" s="8"/>
    </row>
    <row r="430" spans="1:21" x14ac:dyDescent="0.25">
      <c r="A430" s="5">
        <v>429</v>
      </c>
      <c r="B430" s="5"/>
      <c r="C430" s="5" t="s">
        <v>169</v>
      </c>
      <c r="D430" s="5" t="s">
        <v>327</v>
      </c>
      <c r="E430" s="5" t="str">
        <f>IFERROR(VLOOKUP($D430,FIYAT!$B:$O,2,FALSE()),"")</f>
        <v>Авт. выкл. NM8N-125C TM 3P 25А 36кА с рег. термомаг. расцепителем (R)</v>
      </c>
      <c r="F430" s="5">
        <f>IFERROR(VLOOKUP($D430,FIYAT!$B:$O,5,FALSE()),"")</f>
        <v>65063</v>
      </c>
      <c r="G430" s="5">
        <f>IFERROR(VLOOKUP($D430,FIYAT!$B:$O,8,FALSE()),"")</f>
        <v>39037.799999999996</v>
      </c>
      <c r="H430" s="5">
        <f t="shared" ref="H430:H441" si="52">IF(OR($G430="",$I430=""),"",$G430*$I430)</f>
        <v>39037.799999999996</v>
      </c>
      <c r="I430" s="6">
        <v>1</v>
      </c>
      <c r="J430" s="5" t="str">
        <f>IFERROR(VLOOKUP($D430,FIYAT!$B:$O,9,FALSE()),"")</f>
        <v>Шт.</v>
      </c>
      <c r="K430" s="5" t="str">
        <f>IFERROR(VLOOKUP($D430,FIYAT!$B:$O,4,FALSE()),"")</f>
        <v>CHINT</v>
      </c>
      <c r="L430" s="5">
        <f t="shared" ref="L430:L443" si="53">IF($H430="","",$H430)</f>
        <v>39037.799999999996</v>
      </c>
      <c r="M430" s="5"/>
      <c r="N430" s="5"/>
      <c r="O430" s="5"/>
      <c r="P430" s="5" t="str">
        <f>IF($H430="","FIYAT_YOK",IFERROR(VLOOKUP($D430,FIYAT!$B:$P,15,FALSE()),""))</f>
        <v>MUADIL</v>
      </c>
      <c r="Q430" s="5" t="s">
        <v>172</v>
      </c>
      <c r="R430" s="5" t="s">
        <v>171</v>
      </c>
      <c r="S430" s="5" t="s">
        <v>550</v>
      </c>
      <c r="T430" s="5" t="s">
        <v>61</v>
      </c>
      <c r="U430" s="5">
        <f>IFERROR(VLOOKUP($T430,KURALLAR!$A$32:$B$63,2,FALSE()),0)*IF(ISNUMBER($I430),$I430,0)</f>
        <v>15</v>
      </c>
    </row>
    <row r="431" spans="1:21" x14ac:dyDescent="0.25">
      <c r="A431" s="9">
        <v>430</v>
      </c>
      <c r="B431" s="9"/>
      <c r="C431" s="9" t="s">
        <v>176</v>
      </c>
      <c r="D431" s="9" t="s">
        <v>174</v>
      </c>
      <c r="E431" s="9" t="str">
        <f>IFERROR(VLOOKUP($D431,FIYAT!$B:$O,2,FALSE()),"")</f>
        <v>УЗО NL1-63 6kA 4P 63A 300mA тип AC (R)</v>
      </c>
      <c r="F431" s="9">
        <f>IFERROR(VLOOKUP($D431,FIYAT!$B:$O,5,FALSE()),"")</f>
        <v>18106</v>
      </c>
      <c r="G431" s="9">
        <f>IFERROR(VLOOKUP($D431,FIYAT!$B:$O,8,FALSE()),"")</f>
        <v>10863.6</v>
      </c>
      <c r="H431" s="9">
        <f t="shared" si="52"/>
        <v>10863.6</v>
      </c>
      <c r="I431" s="6">
        <v>1</v>
      </c>
      <c r="J431" s="9" t="str">
        <f>IFERROR(VLOOKUP($D431,FIYAT!$B:$O,9,FALSE()),"")</f>
        <v>Шт.</v>
      </c>
      <c r="K431" s="9" t="str">
        <f>IFERROR(VLOOKUP($D431,FIYAT!$B:$O,4,FALSE()),"")</f>
        <v>CHINT</v>
      </c>
      <c r="L431" s="9">
        <f t="shared" si="53"/>
        <v>10863.6</v>
      </c>
      <c r="M431" s="9"/>
      <c r="N431" s="9"/>
      <c r="O431" s="9"/>
      <c r="P431" s="9" t="str">
        <f>IF($H431="","FIYAT_YOK",IFERROR(VLOOKUP($D431,FIYAT!$B:$P,15,FALSE()),""))</f>
        <v>OK</v>
      </c>
      <c r="Q431" s="9" t="s">
        <v>177</v>
      </c>
      <c r="R431" s="9" t="s">
        <v>171</v>
      </c>
      <c r="S431" s="9" t="s">
        <v>550</v>
      </c>
      <c r="T431" s="9" t="s">
        <v>57</v>
      </c>
      <c r="U431" s="9">
        <f>IFERROR(VLOOKUP($T431,KURALLAR!$A$32:$B$63,2,FALSE()),0)*IF(ISNUMBER($I431),$I431,0)</f>
        <v>10</v>
      </c>
    </row>
    <row r="432" spans="1:21" x14ac:dyDescent="0.25">
      <c r="A432" s="5">
        <v>431</v>
      </c>
      <c r="B432" s="5"/>
      <c r="C432" s="5" t="s">
        <v>79</v>
      </c>
      <c r="D432" s="5" t="s">
        <v>179</v>
      </c>
      <c r="E432" s="5" t="str">
        <f>IFERROR(VLOOKUP($D432,FIYAT!$B:$O,2,FALSE()),"")</f>
        <v>Держатель плавкой вставки RT36-00-160, габарит 00, 160А</v>
      </c>
      <c r="F432" s="5">
        <f>IFERROR(VLOOKUP($D432,FIYAT!$B:$O,5,FALSE()),"")</f>
        <v>2038</v>
      </c>
      <c r="G432" s="5">
        <f>IFERROR(VLOOKUP($D432,FIYAT!$B:$O,8,FALSE()),"")</f>
        <v>1222.8</v>
      </c>
      <c r="H432" s="5">
        <f t="shared" si="52"/>
        <v>4891.2</v>
      </c>
      <c r="I432" s="6">
        <v>4</v>
      </c>
      <c r="J432" s="5" t="str">
        <f>IFERROR(VLOOKUP($D432,FIYAT!$B:$O,9,FALSE()),"")</f>
        <v>Шт.</v>
      </c>
      <c r="K432" s="5" t="str">
        <f>IFERROR(VLOOKUP($D432,FIYAT!$B:$O,4,FALSE()),"")</f>
        <v>CHINT</v>
      </c>
      <c r="L432" s="5">
        <f t="shared" si="53"/>
        <v>4891.2</v>
      </c>
      <c r="M432" s="5"/>
      <c r="N432" s="5"/>
      <c r="O432" s="5"/>
      <c r="P432" s="5" t="str">
        <f>IF($H432="","FIYAT_YOK",IFERROR(VLOOKUP($D432,FIYAT!$B:$P,15,FALSE()),""))</f>
        <v>MUADIL</v>
      </c>
      <c r="Q432" s="5" t="s">
        <v>181</v>
      </c>
      <c r="R432" s="5" t="s">
        <v>171</v>
      </c>
      <c r="S432" s="5" t="s">
        <v>550</v>
      </c>
      <c r="T432" s="5" t="s">
        <v>77</v>
      </c>
      <c r="U432" s="5">
        <f>IFERROR(VLOOKUP($T432,KURALLAR!$A$32:$B$63,2,FALSE()),0)*IF(ISNUMBER($I432),$I432,0)</f>
        <v>20</v>
      </c>
    </row>
    <row r="433" spans="1:21" x14ac:dyDescent="0.25">
      <c r="A433" s="9">
        <v>432</v>
      </c>
      <c r="B433" s="9"/>
      <c r="C433" s="9" t="s">
        <v>79</v>
      </c>
      <c r="D433" s="9" t="s">
        <v>182</v>
      </c>
      <c r="E433" s="9" t="str">
        <f>IFERROR(VLOOKUP($D433,FIYAT!$B:$O,2,FALSE()),"")</f>
        <v>Плавкая вставка предохранителя RT36-00-160, габарит 00, 63А</v>
      </c>
      <c r="F433" s="9">
        <f>IFERROR(VLOOKUP($D433,FIYAT!$B:$O,5,FALSE()),"")</f>
        <v>1525</v>
      </c>
      <c r="G433" s="9">
        <f>IFERROR(VLOOKUP($D433,FIYAT!$B:$O,8,FALSE()),"")</f>
        <v>915</v>
      </c>
      <c r="H433" s="9">
        <f t="shared" si="52"/>
        <v>3660</v>
      </c>
      <c r="I433" s="6">
        <v>4</v>
      </c>
      <c r="J433" s="9" t="str">
        <f>IFERROR(VLOOKUP($D433,FIYAT!$B:$O,9,FALSE()),"")</f>
        <v>Шт.</v>
      </c>
      <c r="K433" s="9" t="str">
        <f>IFERROR(VLOOKUP($D433,FIYAT!$B:$O,4,FALSE()),"")</f>
        <v>CHINT</v>
      </c>
      <c r="L433" s="9">
        <f t="shared" si="53"/>
        <v>3660</v>
      </c>
      <c r="M433" s="9"/>
      <c r="N433" s="9"/>
      <c r="O433" s="9"/>
      <c r="P433" s="9" t="str">
        <f>IF($H433="","FIYAT_YOK",IFERROR(VLOOKUP($D433,FIYAT!$B:$P,15,FALSE()),""))</f>
        <v>MUADIL</v>
      </c>
      <c r="Q433" s="9" t="s">
        <v>185</v>
      </c>
      <c r="R433" s="9" t="s">
        <v>184</v>
      </c>
      <c r="S433" s="9" t="s">
        <v>550</v>
      </c>
      <c r="T433" s="9" t="s">
        <v>79</v>
      </c>
      <c r="U433" s="9">
        <f>IFERROR(VLOOKUP($T433,KURALLAR!$A$32:$B$63,2,FALSE()),0)*IF(ISNUMBER($I433),$I433,0)</f>
        <v>12</v>
      </c>
    </row>
    <row r="434" spans="1:21" x14ac:dyDescent="0.25">
      <c r="A434" s="5">
        <v>433</v>
      </c>
      <c r="B434" s="5"/>
      <c r="C434" s="5" t="s">
        <v>75</v>
      </c>
      <c r="D434" s="5" t="s">
        <v>186</v>
      </c>
      <c r="E434" s="5" t="str">
        <f>IFERROR(VLOOKUP($D434,FIYAT!$B:$O,2,FALSE()),"")</f>
        <v>Ограничитель имп. перенапр. NU6-IIG 4Р In=25kA Uc=440B Im=65kA (R)</v>
      </c>
      <c r="F434" s="5">
        <f>IFERROR(VLOOKUP($D434,FIYAT!$B:$O,5,FALSE()),"")</f>
        <v>33208</v>
      </c>
      <c r="G434" s="5">
        <f>IFERROR(VLOOKUP($D434,FIYAT!$B:$O,8,FALSE()),"")</f>
        <v>19924.8</v>
      </c>
      <c r="H434" s="5">
        <f t="shared" si="52"/>
        <v>19924.8</v>
      </c>
      <c r="I434" s="6">
        <v>1</v>
      </c>
      <c r="J434" s="5" t="str">
        <f>IFERROR(VLOOKUP($D434,FIYAT!$B:$O,9,FALSE()),"")</f>
        <v>Шт.</v>
      </c>
      <c r="K434" s="5" t="str">
        <f>IFERROR(VLOOKUP($D434,FIYAT!$B:$O,4,FALSE()),"")</f>
        <v>CHINT</v>
      </c>
      <c r="L434" s="5">
        <f t="shared" si="53"/>
        <v>19924.8</v>
      </c>
      <c r="M434" s="5"/>
      <c r="N434" s="5"/>
      <c r="O434" s="5"/>
      <c r="P434" s="5" t="str">
        <f>IF($H434="","FIYAT_YOK",IFERROR(VLOOKUP($D434,FIYAT!$B:$P,15,FALSE()),""))</f>
        <v>MUADIL_ONAY</v>
      </c>
      <c r="Q434" s="5" t="s">
        <v>188</v>
      </c>
      <c r="R434" s="5" t="s">
        <v>184</v>
      </c>
      <c r="S434" s="5" t="s">
        <v>550</v>
      </c>
      <c r="T434" s="5" t="s">
        <v>75</v>
      </c>
      <c r="U434" s="5">
        <f>IFERROR(VLOOKUP($T434,KURALLAR!$A$32:$B$63,2,FALSE()),0)*IF(ISNUMBER($I434),$I434,0)</f>
        <v>10</v>
      </c>
    </row>
    <row r="435" spans="1:21" x14ac:dyDescent="0.25">
      <c r="A435" s="9">
        <v>434</v>
      </c>
      <c r="B435" s="9"/>
      <c r="C435" s="9" t="s">
        <v>192</v>
      </c>
      <c r="D435" s="9" t="s">
        <v>321</v>
      </c>
      <c r="E435" s="9" t="str">
        <f>IFERROR(VLOOKUP($D435,FIYAT!$B:$O,2,FALSE()),"")</f>
        <v>Авт. выкл. NXB-63 1P 25A 6кА х-ка C (R)</v>
      </c>
      <c r="F435" s="9">
        <f>IFERROR(VLOOKUP($D435,FIYAT!$B:$O,5,FALSE()),"")</f>
        <v>1330</v>
      </c>
      <c r="G435" s="9">
        <f>IFERROR(VLOOKUP($D435,FIYAT!$B:$O,8,FALSE()),"")</f>
        <v>798</v>
      </c>
      <c r="H435" s="9">
        <f t="shared" si="52"/>
        <v>798</v>
      </c>
      <c r="I435" s="6">
        <v>1</v>
      </c>
      <c r="J435" s="9" t="str">
        <f>IFERROR(VLOOKUP($D435,FIYAT!$B:$O,9,FALSE()),"")</f>
        <v>Шт.</v>
      </c>
      <c r="K435" s="9" t="str">
        <f>IFERROR(VLOOKUP($D435,FIYAT!$B:$O,4,FALSE()),"")</f>
        <v>CHINT</v>
      </c>
      <c r="L435" s="9">
        <f t="shared" si="53"/>
        <v>798</v>
      </c>
      <c r="M435" s="9"/>
      <c r="N435" s="9"/>
      <c r="O435" s="9"/>
      <c r="P435" s="9" t="str">
        <f>IF($H435="","FIYAT_YOK",IFERROR(VLOOKUP($D435,FIYAT!$B:$P,15,FALSE()),""))</f>
        <v>OK</v>
      </c>
      <c r="Q435" s="9" t="s">
        <v>323</v>
      </c>
      <c r="R435" s="9" t="s">
        <v>171</v>
      </c>
      <c r="S435" s="9" t="s">
        <v>550</v>
      </c>
      <c r="T435" s="9" t="s">
        <v>47</v>
      </c>
      <c r="U435" s="9">
        <f>IFERROR(VLOOKUP($T435,KURALLAR!$A$32:$B$63,2,FALSE()),0)*IF(ISNUMBER($I435),$I435,0)</f>
        <v>3</v>
      </c>
    </row>
    <row r="436" spans="1:21" x14ac:dyDescent="0.25">
      <c r="A436" s="5">
        <v>435</v>
      </c>
      <c r="B436" s="5"/>
      <c r="C436" s="5" t="s">
        <v>176</v>
      </c>
      <c r="D436" s="5" t="s">
        <v>324</v>
      </c>
      <c r="E436" s="5" t="str">
        <f>IFERROR(VLOOKUP($D436,FIYAT!$B:$O,2,FALSE()),"")</f>
        <v>УЗО NL1-63 6kA 2P 25A 30mA тип AC (R)</v>
      </c>
      <c r="F436" s="5">
        <f>IFERROR(VLOOKUP($D436,FIYAT!$B:$O,5,FALSE()),"")</f>
        <v>10809</v>
      </c>
      <c r="G436" s="5">
        <f>IFERROR(VLOOKUP($D436,FIYAT!$B:$O,8,FALSE()),"")</f>
        <v>6485.4</v>
      </c>
      <c r="H436" s="5">
        <f t="shared" si="52"/>
        <v>6485.4</v>
      </c>
      <c r="I436" s="6">
        <v>1</v>
      </c>
      <c r="J436" s="5" t="str">
        <f>IFERROR(VLOOKUP($D436,FIYAT!$B:$O,9,FALSE()),"")</f>
        <v>Шт.</v>
      </c>
      <c r="K436" s="5" t="str">
        <f>IFERROR(VLOOKUP($D436,FIYAT!$B:$O,4,FALSE()),"")</f>
        <v>CHINT</v>
      </c>
      <c r="L436" s="5">
        <f t="shared" si="53"/>
        <v>6485.4</v>
      </c>
      <c r="M436" s="5"/>
      <c r="N436" s="5"/>
      <c r="O436" s="5"/>
      <c r="P436" s="5" t="str">
        <f>IF($H436="","FIYAT_YOK",IFERROR(VLOOKUP($D436,FIYAT!$B:$P,15,FALSE()),""))</f>
        <v>OK</v>
      </c>
      <c r="Q436" s="5" t="s">
        <v>326</v>
      </c>
      <c r="R436" s="5" t="s">
        <v>171</v>
      </c>
      <c r="S436" s="5" t="s">
        <v>550</v>
      </c>
      <c r="T436" s="5" t="s">
        <v>55</v>
      </c>
      <c r="U436" s="5">
        <f>IFERROR(VLOOKUP($T436,KURALLAR!$A$32:$B$63,2,FALSE()),0)*IF(ISNUMBER($I436),$I436,0)</f>
        <v>6</v>
      </c>
    </row>
    <row r="437" spans="1:21" x14ac:dyDescent="0.25">
      <c r="A437" s="9">
        <v>436</v>
      </c>
      <c r="B437" s="9"/>
      <c r="C437" s="9" t="s">
        <v>192</v>
      </c>
      <c r="D437" s="9" t="s">
        <v>194</v>
      </c>
      <c r="E437" s="9" t="str">
        <f>IFERROR(VLOOKUP($D437,FIYAT!$B:$O,2,FALSE()),"")</f>
        <v>Авт. выкл. NXB-63 1P 16A 6кА х-ка C (R)</v>
      </c>
      <c r="F437" s="9">
        <f>IFERROR(VLOOKUP($D437,FIYAT!$B:$O,5,FALSE()),"")</f>
        <v>1389</v>
      </c>
      <c r="G437" s="9">
        <f>IFERROR(VLOOKUP($D437,FIYAT!$B:$O,8,FALSE()),"")</f>
        <v>833.4</v>
      </c>
      <c r="H437" s="9">
        <f t="shared" si="52"/>
        <v>4167</v>
      </c>
      <c r="I437" s="6">
        <v>5</v>
      </c>
      <c r="J437" s="9" t="str">
        <f>IFERROR(VLOOKUP($D437,FIYAT!$B:$O,9,FALSE()),"")</f>
        <v>Шт.</v>
      </c>
      <c r="K437" s="9" t="str">
        <f>IFERROR(VLOOKUP($D437,FIYAT!$B:$O,4,FALSE()),"")</f>
        <v>CHINT</v>
      </c>
      <c r="L437" s="9">
        <f t="shared" si="53"/>
        <v>4167</v>
      </c>
      <c r="M437" s="9"/>
      <c r="N437" s="9"/>
      <c r="O437" s="9"/>
      <c r="P437" s="9" t="str">
        <f>IF($H437="","FIYAT_YOK",IFERROR(VLOOKUP($D437,FIYAT!$B:$P,15,FALSE()),""))</f>
        <v>OK</v>
      </c>
      <c r="Q437" s="9" t="s">
        <v>196</v>
      </c>
      <c r="R437" s="9" t="s">
        <v>171</v>
      </c>
      <c r="S437" s="9" t="s">
        <v>550</v>
      </c>
      <c r="T437" s="9" t="s">
        <v>47</v>
      </c>
      <c r="U437" s="9">
        <f>IFERROR(VLOOKUP($T437,KURALLAR!$A$32:$B$63,2,FALSE()),0)*IF(ISNUMBER($I437),$I437,0)</f>
        <v>15</v>
      </c>
    </row>
    <row r="438" spans="1:21" x14ac:dyDescent="0.25">
      <c r="A438" s="5">
        <v>437</v>
      </c>
      <c r="B438" s="5"/>
      <c r="C438" s="5" t="s">
        <v>176</v>
      </c>
      <c r="D438" s="5" t="s">
        <v>200</v>
      </c>
      <c r="E438" s="5" t="str">
        <f>IFERROR(VLOOKUP($D438,FIYAT!$B:$O,2,FALSE()),"")</f>
        <v>УЗО NL1-63 6kA 2P 16A 30mA тип AC (R)</v>
      </c>
      <c r="F438" s="5">
        <f>IFERROR(VLOOKUP($D438,FIYAT!$B:$O,5,FALSE()),"")</f>
        <v>10809</v>
      </c>
      <c r="G438" s="5">
        <f>IFERROR(VLOOKUP($D438,FIYAT!$B:$O,8,FALSE()),"")</f>
        <v>6485.4</v>
      </c>
      <c r="H438" s="5">
        <f t="shared" si="52"/>
        <v>6485.4</v>
      </c>
      <c r="I438" s="6">
        <v>1</v>
      </c>
      <c r="J438" s="5" t="str">
        <f>IFERROR(VLOOKUP($D438,FIYAT!$B:$O,9,FALSE()),"")</f>
        <v>Шт.</v>
      </c>
      <c r="K438" s="5" t="str">
        <f>IFERROR(VLOOKUP($D438,FIYAT!$B:$O,4,FALSE()),"")</f>
        <v>CHINT</v>
      </c>
      <c r="L438" s="5">
        <f t="shared" si="53"/>
        <v>6485.4</v>
      </c>
      <c r="M438" s="5"/>
      <c r="N438" s="5"/>
      <c r="O438" s="5"/>
      <c r="P438" s="5" t="str">
        <f>IF($H438="","FIYAT_YOK",IFERROR(VLOOKUP($D438,FIYAT!$B:$P,15,FALSE()),""))</f>
        <v>OK</v>
      </c>
      <c r="Q438" s="5" t="s">
        <v>202</v>
      </c>
      <c r="R438" s="5" t="s">
        <v>171</v>
      </c>
      <c r="S438" s="5" t="s">
        <v>550</v>
      </c>
      <c r="T438" s="5" t="s">
        <v>55</v>
      </c>
      <c r="U438" s="5">
        <f>IFERROR(VLOOKUP($T438,KURALLAR!$A$32:$B$63,2,FALSE()),0)*IF(ISNUMBER($I438),$I438,0)</f>
        <v>6</v>
      </c>
    </row>
    <row r="439" spans="1:21" x14ac:dyDescent="0.25">
      <c r="A439" s="9">
        <v>438</v>
      </c>
      <c r="B439" s="9"/>
      <c r="C439" s="9" t="s">
        <v>192</v>
      </c>
      <c r="D439" s="9" t="s">
        <v>206</v>
      </c>
      <c r="E439" s="9" t="str">
        <f>IFERROR(VLOOKUP($D439,FIYAT!$B:$O,2,FALSE()),"")</f>
        <v>Авт. выкл. NXB-63 1P 10A 6кА х-ка C (R)</v>
      </c>
      <c r="F439" s="9">
        <f>IFERROR(VLOOKUP($D439,FIYAT!$B:$O,5,FALSE()),"")</f>
        <v>1362</v>
      </c>
      <c r="G439" s="9">
        <f>IFERROR(VLOOKUP($D439,FIYAT!$B:$O,8,FALSE()),"")</f>
        <v>817.19999999999993</v>
      </c>
      <c r="H439" s="9">
        <f t="shared" si="52"/>
        <v>10623.599999999999</v>
      </c>
      <c r="I439" s="6">
        <v>13</v>
      </c>
      <c r="J439" s="9" t="str">
        <f>IFERROR(VLOOKUP($D439,FIYAT!$B:$O,9,FALSE()),"")</f>
        <v>Шт.</v>
      </c>
      <c r="K439" s="9" t="str">
        <f>IFERROR(VLOOKUP($D439,FIYAT!$B:$O,4,FALSE()),"")</f>
        <v>CHINT</v>
      </c>
      <c r="L439" s="9">
        <f t="shared" si="53"/>
        <v>10623.599999999999</v>
      </c>
      <c r="M439" s="9"/>
      <c r="N439" s="9"/>
      <c r="O439" s="9"/>
      <c r="P439" s="9" t="str">
        <f>IF($H439="","FIYAT_YOK",IFERROR(VLOOKUP($D439,FIYAT!$B:$P,15,FALSE()),""))</f>
        <v>OK</v>
      </c>
      <c r="Q439" s="9" t="s">
        <v>208</v>
      </c>
      <c r="R439" s="9" t="s">
        <v>184</v>
      </c>
      <c r="S439" s="9" t="s">
        <v>550</v>
      </c>
      <c r="T439" s="9" t="s">
        <v>47</v>
      </c>
      <c r="U439" s="9">
        <f>IFERROR(VLOOKUP($T439,KURALLAR!$A$32:$B$63,2,FALSE()),0)*IF(ISNUMBER($I439),$I439,0)</f>
        <v>39</v>
      </c>
    </row>
    <row r="440" spans="1:21" x14ac:dyDescent="0.25">
      <c r="A440" s="5">
        <v>439</v>
      </c>
      <c r="B440" s="5"/>
      <c r="C440" s="5" t="s">
        <v>93</v>
      </c>
      <c r="D440" s="5" t="s">
        <v>209</v>
      </c>
      <c r="E440" s="5" t="str">
        <f>IFERROR(VLOOKUP($D440,FIYAT!$B:$O,2,FALSE()),"")</f>
        <v>Шина "N" нулевая 6х9мм на DIN-рейку в корпусном изоляторе ШНИ 12К IEK (10)</v>
      </c>
      <c r="F440" s="5">
        <f>IFERROR(VLOOKUP($D440,FIYAT!$B:$O,5,FALSE()),"")</f>
        <v>755</v>
      </c>
      <c r="G440" s="5">
        <f>IFERROR(VLOOKUP($D440,FIYAT!$B:$O,8,FALSE()),"")</f>
        <v>453</v>
      </c>
      <c r="H440" s="5">
        <f t="shared" si="52"/>
        <v>1812</v>
      </c>
      <c r="I440" s="6">
        <v>4</v>
      </c>
      <c r="J440" s="5" t="str">
        <f>IFERROR(VLOOKUP($D440,FIYAT!$B:$O,9,FALSE()),"")</f>
        <v>Шт.</v>
      </c>
      <c r="K440" s="5" t="str">
        <f>IFERROR(VLOOKUP($D440,FIYAT!$B:$O,4,FALSE()),"")</f>
        <v>KAZTEK</v>
      </c>
      <c r="L440" s="5">
        <f t="shared" si="53"/>
        <v>1812</v>
      </c>
      <c r="M440" s="5"/>
      <c r="N440" s="5"/>
      <c r="O440" s="5"/>
      <c r="P440" s="5" t="str">
        <f>IF($H440="","FIYAT_YOK",IFERROR(VLOOKUP($D440,FIYAT!$B:$P,15,FALSE()),""))</f>
        <v>MUADIL</v>
      </c>
      <c r="Q440" s="5" t="s">
        <v>212</v>
      </c>
      <c r="R440" s="5" t="s">
        <v>211</v>
      </c>
      <c r="S440" s="5" t="s">
        <v>550</v>
      </c>
      <c r="T440" s="5" t="s">
        <v>93</v>
      </c>
      <c r="U440" s="5">
        <f>IFERROR(VLOOKUP($T440,KURALLAR!$A$32:$B$63,2,FALSE()),0)*IF(ISNUMBER($I440),$I440,0)</f>
        <v>32</v>
      </c>
    </row>
    <row r="441" spans="1:21" x14ac:dyDescent="0.25">
      <c r="A441" s="9">
        <v>440</v>
      </c>
      <c r="B441" s="9"/>
      <c r="C441" s="9" t="s">
        <v>222</v>
      </c>
      <c r="D441" s="9" t="s">
        <v>220</v>
      </c>
      <c r="E441" s="9" t="str">
        <f>IFERROR(VLOOKUP($D441,FIYAT!$B:$O,2,FALSE()),"")</f>
        <v>ЩМП (инд.) IP31 (650х500х150мм)</v>
      </c>
      <c r="F441" s="9">
        <f>IFERROR(VLOOKUP($D441,FIYAT!$B:$O,5,FALSE()),"")</f>
        <v>27825</v>
      </c>
      <c r="G441" s="9">
        <f>IFERROR(VLOOKUP($D441,FIYAT!$B:$O,8,FALSE()),"")</f>
        <v>16695</v>
      </c>
      <c r="H441" s="9">
        <f t="shared" si="52"/>
        <v>16695</v>
      </c>
      <c r="I441" s="6">
        <v>1</v>
      </c>
      <c r="J441" s="9" t="str">
        <f>IFERROR(VLOOKUP($D441,FIYAT!$B:$O,9,FALSE()),"")</f>
        <v>Шт.</v>
      </c>
      <c r="K441" s="9" t="str">
        <f>IFERROR(VLOOKUP($D441,FIYAT!$B:$O,4,FALSE()),"")</f>
        <v>KAZTEK</v>
      </c>
      <c r="L441" s="9">
        <f t="shared" si="53"/>
        <v>16695</v>
      </c>
      <c r="M441" s="9"/>
      <c r="N441" s="9"/>
      <c r="O441" s="9"/>
      <c r="P441" s="9" t="str">
        <f>IF($H441="","FIYAT_YOK",IFERROR(VLOOKUP($D441,FIYAT!$B:$P,15,FALSE()),""))</f>
        <v>VARSAYIM</v>
      </c>
      <c r="Q441" s="9" t="s">
        <v>223</v>
      </c>
      <c r="R441" s="9" t="s">
        <v>211</v>
      </c>
      <c r="S441" s="9" t="s">
        <v>550</v>
      </c>
      <c r="T441" s="9" t="s">
        <v>105</v>
      </c>
      <c r="U441" s="9">
        <f>IFERROR(VLOOKUP($T441,KURALLAR!$A$32:$B$63,2,FALSE()),0)*IF(ISNUMBER($I441),$I441,0)</f>
        <v>30</v>
      </c>
    </row>
    <row r="442" spans="1:21" x14ac:dyDescent="0.25">
      <c r="A442" s="5">
        <v>441</v>
      </c>
      <c r="B442" s="5"/>
      <c r="C442" s="5" t="s">
        <v>215</v>
      </c>
      <c r="D442" s="5" t="s">
        <v>213</v>
      </c>
      <c r="E442" s="5" t="str">
        <f>IFERROR(VLOOKUP($D442,FIYAT!$B:$O,2,FALSE()),"")</f>
        <v>Монтажный расходный материал (кабель, DIN-рейка, кабель-канал, клеммы, маркировка, крепёж)</v>
      </c>
      <c r="F442" s="5">
        <f>IFERROR(VLOOKUP($D442,FIYAT!$B:$O,5,FALSE()),"")</f>
        <v>0</v>
      </c>
      <c r="G442" s="5" t="str">
        <f>IFERROR(VLOOKUP($D442,FIYAT!$B:$O,8,FALSE()),"")</f>
        <v/>
      </c>
      <c r="H442" s="5">
        <f>ROUND(SUM($H$430:$H$441)*KURALLAR!$B$28,0)</f>
        <v>8781</v>
      </c>
      <c r="I442" s="6">
        <v>1</v>
      </c>
      <c r="J442" s="5" t="str">
        <f>IFERROR(VLOOKUP($D442,FIYAT!$B:$O,9,FALSE()),"")</f>
        <v>компл.</v>
      </c>
      <c r="K442" s="5" t="str">
        <f>IFERROR(VLOOKUP($D442,FIYAT!$B:$O,4,FALSE()),"")</f>
        <v>MUADIL-NET</v>
      </c>
      <c r="L442" s="5">
        <f t="shared" si="53"/>
        <v>8781</v>
      </c>
      <c r="M442" s="5"/>
      <c r="N442" s="5"/>
      <c r="O442" s="5"/>
      <c r="P442" s="5" t="str">
        <f>IF($H442="","FIYAT_YOK",IFERROR(VLOOKUP($D442,FIYAT!$B:$P,15,FALSE()),""))</f>
        <v>ORAN</v>
      </c>
      <c r="Q442" s="5" t="s">
        <v>218</v>
      </c>
      <c r="R442" s="5" t="s">
        <v>217</v>
      </c>
      <c r="S442" s="5" t="s">
        <v>550</v>
      </c>
      <c r="T442" s="5"/>
      <c r="U442" s="5">
        <v>0</v>
      </c>
    </row>
    <row r="443" spans="1:21" x14ac:dyDescent="0.25">
      <c r="A443" s="9">
        <v>442</v>
      </c>
      <c r="B443" s="9"/>
      <c r="C443" s="9" t="s">
        <v>227</v>
      </c>
      <c r="D443" s="9" t="s">
        <v>225</v>
      </c>
      <c r="E443" s="9" t="str">
        <f>IFERROR(VLOOKUP($D443,FIYAT!$B:$O,2,FALSE()),"")</f>
        <v>Сборка, кабелирование, маркировка, момент затяжки, испытания</v>
      </c>
      <c r="F443" s="9">
        <f>IFERROR(VLOOKUP($D443,FIYAT!$B:$O,5,FALSE()),"")</f>
        <v>100</v>
      </c>
      <c r="G443" s="9">
        <f>IFERROR(VLOOKUP($D443,FIYAT!$B:$O,8,FALSE()),"")</f>
        <v>100</v>
      </c>
      <c r="H443" s="9">
        <f>IF(OR($G443="",$I443=""),"",$G443*$I443)</f>
        <v>22800</v>
      </c>
      <c r="I443" s="6">
        <f>ROUND(SUM($U$430:$U$442)*KURALLAR!$B$27,0)</f>
        <v>228</v>
      </c>
      <c r="J443" s="9" t="str">
        <f>IFERROR(VLOOKUP($D443,FIYAT!$B:$O,9,FALSE()),"")</f>
        <v>мин</v>
      </c>
      <c r="K443" s="9" t="str">
        <f>IFERROR(VLOOKUP($D443,FIYAT!$B:$O,4,FALSE()),"")</f>
        <v>ISCILIK</v>
      </c>
      <c r="L443" s="9">
        <f t="shared" si="53"/>
        <v>22800</v>
      </c>
      <c r="M443" s="9"/>
      <c r="N443" s="9"/>
      <c r="O443" s="9"/>
      <c r="P443" s="9" t="str">
        <f>IF($H443="","FIYAT_YOK",IFERROR(VLOOKUP($D443,FIYAT!$B:$P,15,FALSE()),""))</f>
        <v>OK</v>
      </c>
      <c r="Q443" s="9" t="str">
        <f>CONCATENATE("montaj+test iscilik: ",TEXT($I443,"# ##0")," dk = ",TEXT($I443/60,"0,00")," saat (norm x test/etiket carpani)")</f>
        <v>montaj+test iscilik:  228 dk = 3,80 saat (norm x test/etiket carpani)</v>
      </c>
      <c r="R443" s="9" t="s">
        <v>229</v>
      </c>
      <c r="S443" s="9" t="s">
        <v>550</v>
      </c>
      <c r="T443" s="9"/>
      <c r="U443" s="9">
        <v>0</v>
      </c>
    </row>
    <row r="444" spans="1:21" x14ac:dyDescent="0.25">
      <c r="A444" s="10">
        <v>443</v>
      </c>
      <c r="B444" s="10" t="s">
        <v>603</v>
      </c>
      <c r="C444" s="10"/>
      <c r="D444" s="10"/>
      <c r="E444" s="10"/>
      <c r="F444" s="10"/>
      <c r="G444" s="10"/>
      <c r="H444" s="10">
        <f>SUBTOTAL(9,H430:H443)</f>
        <v>157024.79999999999</v>
      </c>
      <c r="I444" s="10"/>
      <c r="J444" s="10"/>
      <c r="K444" s="10"/>
      <c r="L444" s="10">
        <f>SUBTOTAL(9,L430:L443)</f>
        <v>157024.79999999999</v>
      </c>
      <c r="M444" s="10"/>
      <c r="N444" s="10"/>
      <c r="O444" s="10"/>
      <c r="P444" s="10"/>
      <c r="Q444" s="10"/>
      <c r="R444" s="10"/>
      <c r="S444" s="10"/>
      <c r="T444" s="10"/>
      <c r="U444" s="10">
        <f>SUBTOTAL(9,U430:U443)</f>
        <v>198</v>
      </c>
    </row>
    <row r="445" spans="1:21" x14ac:dyDescent="0.25">
      <c r="A445" s="8">
        <v>444</v>
      </c>
      <c r="B445" s="8" t="str">
        <f>E445</f>
        <v>BLOK A / 21F-ЩС.1 — НКУ 380/220В 50Гц, FORM 2B, IP31/54</v>
      </c>
      <c r="C445" s="8" t="s">
        <v>545</v>
      </c>
      <c r="D445" s="8"/>
      <c r="E445" s="8" t="s">
        <v>604</v>
      </c>
      <c r="F445" s="8"/>
      <c r="G445" s="8"/>
      <c r="H445" s="8"/>
      <c r="I445" s="8">
        <v>1</v>
      </c>
      <c r="J445" s="8" t="s">
        <v>547</v>
      </c>
      <c r="K445" s="8"/>
      <c r="L445" s="8"/>
      <c r="M445" s="8"/>
      <c r="N445" s="8"/>
      <c r="O445" s="8"/>
      <c r="P445" s="8" t="s">
        <v>178</v>
      </c>
      <c r="Q445" s="8" t="s">
        <v>548</v>
      </c>
      <c r="R445" s="8" t="s">
        <v>549</v>
      </c>
      <c r="S445" s="8" t="s">
        <v>550</v>
      </c>
      <c r="T445" s="8"/>
      <c r="U445" s="8"/>
    </row>
    <row r="446" spans="1:21" x14ac:dyDescent="0.25">
      <c r="A446" s="5">
        <v>445</v>
      </c>
      <c r="B446" s="5"/>
      <c r="C446" s="5" t="s">
        <v>169</v>
      </c>
      <c r="D446" s="5" t="s">
        <v>167</v>
      </c>
      <c r="E446" s="5" t="str">
        <f>IFERROR(VLOOKUP($D446,FIYAT!$B:$O,2,FALSE()),"")</f>
        <v>Авт. выкл. NM8N-125C TM 3P 32А 36кА с рег. термомаг. расцепителем (R)</v>
      </c>
      <c r="F446" s="5">
        <f>IFERROR(VLOOKUP($D446,FIYAT!$B:$O,5,FALSE()),"")</f>
        <v>64667</v>
      </c>
      <c r="G446" s="5">
        <f>IFERROR(VLOOKUP($D446,FIYAT!$B:$O,8,FALSE()),"")</f>
        <v>38800.199999999997</v>
      </c>
      <c r="H446" s="5">
        <f t="shared" ref="H446:H457" si="54">IF(OR($G446="",$I446=""),"",$G446*$I446)</f>
        <v>38800.199999999997</v>
      </c>
      <c r="I446" s="6">
        <v>1</v>
      </c>
      <c r="J446" s="5" t="str">
        <f>IFERROR(VLOOKUP($D446,FIYAT!$B:$O,9,FALSE()),"")</f>
        <v>Шт.</v>
      </c>
      <c r="K446" s="5" t="str">
        <f>IFERROR(VLOOKUP($D446,FIYAT!$B:$O,4,FALSE()),"")</f>
        <v>CHINT</v>
      </c>
      <c r="L446" s="5">
        <f t="shared" ref="L446:L459" si="55">IF($H446="","",$H446)</f>
        <v>38800.199999999997</v>
      </c>
      <c r="M446" s="5"/>
      <c r="N446" s="5"/>
      <c r="O446" s="5"/>
      <c r="P446" s="5" t="str">
        <f>IF($H446="","FIYAT_YOK",IFERROR(VLOOKUP($D446,FIYAT!$B:$P,15,FALSE()),""))</f>
        <v>MUADIL</v>
      </c>
      <c r="Q446" s="5" t="s">
        <v>172</v>
      </c>
      <c r="R446" s="5" t="s">
        <v>171</v>
      </c>
      <c r="S446" s="5" t="s">
        <v>550</v>
      </c>
      <c r="T446" s="5" t="s">
        <v>61</v>
      </c>
      <c r="U446" s="5">
        <f>IFERROR(VLOOKUP($T446,KURALLAR!$A$32:$B$63,2,FALSE()),0)*IF(ISNUMBER($I446),$I446,0)</f>
        <v>15</v>
      </c>
    </row>
    <row r="447" spans="1:21" x14ac:dyDescent="0.25">
      <c r="A447" s="9">
        <v>446</v>
      </c>
      <c r="B447" s="9"/>
      <c r="C447" s="9" t="s">
        <v>176</v>
      </c>
      <c r="D447" s="9" t="s">
        <v>174</v>
      </c>
      <c r="E447" s="9" t="str">
        <f>IFERROR(VLOOKUP($D447,FIYAT!$B:$O,2,FALSE()),"")</f>
        <v>УЗО NL1-63 6kA 4P 63A 300mA тип AC (R)</v>
      </c>
      <c r="F447" s="9">
        <f>IFERROR(VLOOKUP($D447,FIYAT!$B:$O,5,FALSE()),"")</f>
        <v>18106</v>
      </c>
      <c r="G447" s="9">
        <f>IFERROR(VLOOKUP($D447,FIYAT!$B:$O,8,FALSE()),"")</f>
        <v>10863.6</v>
      </c>
      <c r="H447" s="9">
        <f t="shared" si="54"/>
        <v>10863.6</v>
      </c>
      <c r="I447" s="6">
        <v>1</v>
      </c>
      <c r="J447" s="9" t="str">
        <f>IFERROR(VLOOKUP($D447,FIYAT!$B:$O,9,FALSE()),"")</f>
        <v>Шт.</v>
      </c>
      <c r="K447" s="9" t="str">
        <f>IFERROR(VLOOKUP($D447,FIYAT!$B:$O,4,FALSE()),"")</f>
        <v>CHINT</v>
      </c>
      <c r="L447" s="9">
        <f t="shared" si="55"/>
        <v>10863.6</v>
      </c>
      <c r="M447" s="9"/>
      <c r="N447" s="9"/>
      <c r="O447" s="9"/>
      <c r="P447" s="9" t="str">
        <f>IF($H447="","FIYAT_YOK",IFERROR(VLOOKUP($D447,FIYAT!$B:$P,15,FALSE()),""))</f>
        <v>OK</v>
      </c>
      <c r="Q447" s="9" t="s">
        <v>177</v>
      </c>
      <c r="R447" s="9" t="s">
        <v>171</v>
      </c>
      <c r="S447" s="9" t="s">
        <v>550</v>
      </c>
      <c r="T447" s="9" t="s">
        <v>57</v>
      </c>
      <c r="U447" s="9">
        <f>IFERROR(VLOOKUP($T447,KURALLAR!$A$32:$B$63,2,FALSE()),0)*IF(ISNUMBER($I447),$I447,0)</f>
        <v>10</v>
      </c>
    </row>
    <row r="448" spans="1:21" x14ac:dyDescent="0.25">
      <c r="A448" s="5">
        <v>447</v>
      </c>
      <c r="B448" s="5"/>
      <c r="C448" s="5" t="s">
        <v>79</v>
      </c>
      <c r="D448" s="5" t="s">
        <v>179</v>
      </c>
      <c r="E448" s="5" t="str">
        <f>IFERROR(VLOOKUP($D448,FIYAT!$B:$O,2,FALSE()),"")</f>
        <v>Держатель плавкой вставки RT36-00-160, габарит 00, 160А</v>
      </c>
      <c r="F448" s="5">
        <f>IFERROR(VLOOKUP($D448,FIYAT!$B:$O,5,FALSE()),"")</f>
        <v>2038</v>
      </c>
      <c r="G448" s="5">
        <f>IFERROR(VLOOKUP($D448,FIYAT!$B:$O,8,FALSE()),"")</f>
        <v>1222.8</v>
      </c>
      <c r="H448" s="5">
        <f t="shared" si="54"/>
        <v>4891.2</v>
      </c>
      <c r="I448" s="6">
        <v>4</v>
      </c>
      <c r="J448" s="5" t="str">
        <f>IFERROR(VLOOKUP($D448,FIYAT!$B:$O,9,FALSE()),"")</f>
        <v>Шт.</v>
      </c>
      <c r="K448" s="5" t="str">
        <f>IFERROR(VLOOKUP($D448,FIYAT!$B:$O,4,FALSE()),"")</f>
        <v>CHINT</v>
      </c>
      <c r="L448" s="5">
        <f t="shared" si="55"/>
        <v>4891.2</v>
      </c>
      <c r="M448" s="5"/>
      <c r="N448" s="5"/>
      <c r="O448" s="5"/>
      <c r="P448" s="5" t="str">
        <f>IF($H448="","FIYAT_YOK",IFERROR(VLOOKUP($D448,FIYAT!$B:$P,15,FALSE()),""))</f>
        <v>MUADIL</v>
      </c>
      <c r="Q448" s="5" t="s">
        <v>181</v>
      </c>
      <c r="R448" s="5" t="s">
        <v>171</v>
      </c>
      <c r="S448" s="5" t="s">
        <v>550</v>
      </c>
      <c r="T448" s="5" t="s">
        <v>77</v>
      </c>
      <c r="U448" s="5">
        <f>IFERROR(VLOOKUP($T448,KURALLAR!$A$32:$B$63,2,FALSE()),0)*IF(ISNUMBER($I448),$I448,0)</f>
        <v>20</v>
      </c>
    </row>
    <row r="449" spans="1:21" x14ac:dyDescent="0.25">
      <c r="A449" s="9">
        <v>448</v>
      </c>
      <c r="B449" s="9"/>
      <c r="C449" s="9" t="s">
        <v>79</v>
      </c>
      <c r="D449" s="9" t="s">
        <v>182</v>
      </c>
      <c r="E449" s="9" t="str">
        <f>IFERROR(VLOOKUP($D449,FIYAT!$B:$O,2,FALSE()),"")</f>
        <v>Плавкая вставка предохранителя RT36-00-160, габарит 00, 63А</v>
      </c>
      <c r="F449" s="9">
        <f>IFERROR(VLOOKUP($D449,FIYAT!$B:$O,5,FALSE()),"")</f>
        <v>1525</v>
      </c>
      <c r="G449" s="9">
        <f>IFERROR(VLOOKUP($D449,FIYAT!$B:$O,8,FALSE()),"")</f>
        <v>915</v>
      </c>
      <c r="H449" s="9">
        <f t="shared" si="54"/>
        <v>3660</v>
      </c>
      <c r="I449" s="6">
        <v>4</v>
      </c>
      <c r="J449" s="9" t="str">
        <f>IFERROR(VLOOKUP($D449,FIYAT!$B:$O,9,FALSE()),"")</f>
        <v>Шт.</v>
      </c>
      <c r="K449" s="9" t="str">
        <f>IFERROR(VLOOKUP($D449,FIYAT!$B:$O,4,FALSE()),"")</f>
        <v>CHINT</v>
      </c>
      <c r="L449" s="9">
        <f t="shared" si="55"/>
        <v>3660</v>
      </c>
      <c r="M449" s="9"/>
      <c r="N449" s="9"/>
      <c r="O449" s="9"/>
      <c r="P449" s="9" t="str">
        <f>IF($H449="","FIYAT_YOK",IFERROR(VLOOKUP($D449,FIYAT!$B:$P,15,FALSE()),""))</f>
        <v>MUADIL</v>
      </c>
      <c r="Q449" s="9" t="s">
        <v>185</v>
      </c>
      <c r="R449" s="9" t="s">
        <v>184</v>
      </c>
      <c r="S449" s="9" t="s">
        <v>550</v>
      </c>
      <c r="T449" s="9" t="s">
        <v>79</v>
      </c>
      <c r="U449" s="9">
        <f>IFERROR(VLOOKUP($T449,KURALLAR!$A$32:$B$63,2,FALSE()),0)*IF(ISNUMBER($I449),$I449,0)</f>
        <v>12</v>
      </c>
    </row>
    <row r="450" spans="1:21" x14ac:dyDescent="0.25">
      <c r="A450" s="5">
        <v>449</v>
      </c>
      <c r="B450" s="5"/>
      <c r="C450" s="5" t="s">
        <v>75</v>
      </c>
      <c r="D450" s="5" t="s">
        <v>186</v>
      </c>
      <c r="E450" s="5" t="str">
        <f>IFERROR(VLOOKUP($D450,FIYAT!$B:$O,2,FALSE()),"")</f>
        <v>Ограничитель имп. перенапр. NU6-IIG 4Р In=25kA Uc=440B Im=65kA (R)</v>
      </c>
      <c r="F450" s="5">
        <f>IFERROR(VLOOKUP($D450,FIYAT!$B:$O,5,FALSE()),"")</f>
        <v>33208</v>
      </c>
      <c r="G450" s="5">
        <f>IFERROR(VLOOKUP($D450,FIYAT!$B:$O,8,FALSE()),"")</f>
        <v>19924.8</v>
      </c>
      <c r="H450" s="5">
        <f t="shared" si="54"/>
        <v>19924.8</v>
      </c>
      <c r="I450" s="6">
        <v>1</v>
      </c>
      <c r="J450" s="5" t="str">
        <f>IFERROR(VLOOKUP($D450,FIYAT!$B:$O,9,FALSE()),"")</f>
        <v>Шт.</v>
      </c>
      <c r="K450" s="5" t="str">
        <f>IFERROR(VLOOKUP($D450,FIYAT!$B:$O,4,FALSE()),"")</f>
        <v>CHINT</v>
      </c>
      <c r="L450" s="5">
        <f t="shared" si="55"/>
        <v>19924.8</v>
      </c>
      <c r="M450" s="5"/>
      <c r="N450" s="5"/>
      <c r="O450" s="5"/>
      <c r="P450" s="5" t="str">
        <f>IF($H450="","FIYAT_YOK",IFERROR(VLOOKUP($D450,FIYAT!$B:$P,15,FALSE()),""))</f>
        <v>MUADIL_ONAY</v>
      </c>
      <c r="Q450" s="5" t="s">
        <v>188</v>
      </c>
      <c r="R450" s="5" t="s">
        <v>184</v>
      </c>
      <c r="S450" s="5" t="s">
        <v>550</v>
      </c>
      <c r="T450" s="5" t="s">
        <v>75</v>
      </c>
      <c r="U450" s="5">
        <f>IFERROR(VLOOKUP($T450,KURALLAR!$A$32:$B$63,2,FALSE()),0)*IF(ISNUMBER($I450),$I450,0)</f>
        <v>10</v>
      </c>
    </row>
    <row r="451" spans="1:21" x14ac:dyDescent="0.25">
      <c r="A451" s="9">
        <v>450</v>
      </c>
      <c r="B451" s="9"/>
      <c r="C451" s="9" t="s">
        <v>192</v>
      </c>
      <c r="D451" s="9" t="s">
        <v>321</v>
      </c>
      <c r="E451" s="9" t="str">
        <f>IFERROR(VLOOKUP($D451,FIYAT!$B:$O,2,FALSE()),"")</f>
        <v>Авт. выкл. NXB-63 1P 25A 6кА х-ка C (R)</v>
      </c>
      <c r="F451" s="9">
        <f>IFERROR(VLOOKUP($D451,FIYAT!$B:$O,5,FALSE()),"")</f>
        <v>1330</v>
      </c>
      <c r="G451" s="9">
        <f>IFERROR(VLOOKUP($D451,FIYAT!$B:$O,8,FALSE()),"")</f>
        <v>798</v>
      </c>
      <c r="H451" s="9">
        <f t="shared" si="54"/>
        <v>798</v>
      </c>
      <c r="I451" s="6">
        <v>1</v>
      </c>
      <c r="J451" s="9" t="str">
        <f>IFERROR(VLOOKUP($D451,FIYAT!$B:$O,9,FALSE()),"")</f>
        <v>Шт.</v>
      </c>
      <c r="K451" s="9" t="str">
        <f>IFERROR(VLOOKUP($D451,FIYAT!$B:$O,4,FALSE()),"")</f>
        <v>CHINT</v>
      </c>
      <c r="L451" s="9">
        <f t="shared" si="55"/>
        <v>798</v>
      </c>
      <c r="M451" s="9"/>
      <c r="N451" s="9"/>
      <c r="O451" s="9"/>
      <c r="P451" s="9" t="str">
        <f>IF($H451="","FIYAT_YOK",IFERROR(VLOOKUP($D451,FIYAT!$B:$P,15,FALSE()),""))</f>
        <v>OK</v>
      </c>
      <c r="Q451" s="9" t="s">
        <v>323</v>
      </c>
      <c r="R451" s="9" t="s">
        <v>171</v>
      </c>
      <c r="S451" s="9" t="s">
        <v>550</v>
      </c>
      <c r="T451" s="9" t="s">
        <v>47</v>
      </c>
      <c r="U451" s="9">
        <f>IFERROR(VLOOKUP($T451,KURALLAR!$A$32:$B$63,2,FALSE()),0)*IF(ISNUMBER($I451),$I451,0)</f>
        <v>3</v>
      </c>
    </row>
    <row r="452" spans="1:21" x14ac:dyDescent="0.25">
      <c r="A452" s="5">
        <v>451</v>
      </c>
      <c r="B452" s="5"/>
      <c r="C452" s="5" t="s">
        <v>176</v>
      </c>
      <c r="D452" s="5" t="s">
        <v>324</v>
      </c>
      <c r="E452" s="5" t="str">
        <f>IFERROR(VLOOKUP($D452,FIYAT!$B:$O,2,FALSE()),"")</f>
        <v>УЗО NL1-63 6kA 2P 25A 30mA тип AC (R)</v>
      </c>
      <c r="F452" s="5">
        <f>IFERROR(VLOOKUP($D452,FIYAT!$B:$O,5,FALSE()),"")</f>
        <v>10809</v>
      </c>
      <c r="G452" s="5">
        <f>IFERROR(VLOOKUP($D452,FIYAT!$B:$O,8,FALSE()),"")</f>
        <v>6485.4</v>
      </c>
      <c r="H452" s="5">
        <f t="shared" si="54"/>
        <v>6485.4</v>
      </c>
      <c r="I452" s="6">
        <v>1</v>
      </c>
      <c r="J452" s="5" t="str">
        <f>IFERROR(VLOOKUP($D452,FIYAT!$B:$O,9,FALSE()),"")</f>
        <v>Шт.</v>
      </c>
      <c r="K452" s="5" t="str">
        <f>IFERROR(VLOOKUP($D452,FIYAT!$B:$O,4,FALSE()),"")</f>
        <v>CHINT</v>
      </c>
      <c r="L452" s="5">
        <f t="shared" si="55"/>
        <v>6485.4</v>
      </c>
      <c r="M452" s="5"/>
      <c r="N452" s="5"/>
      <c r="O452" s="5"/>
      <c r="P452" s="5" t="str">
        <f>IF($H452="","FIYAT_YOK",IFERROR(VLOOKUP($D452,FIYAT!$B:$P,15,FALSE()),""))</f>
        <v>OK</v>
      </c>
      <c r="Q452" s="5" t="s">
        <v>326</v>
      </c>
      <c r="R452" s="5" t="s">
        <v>171</v>
      </c>
      <c r="S452" s="5" t="s">
        <v>550</v>
      </c>
      <c r="T452" s="5" t="s">
        <v>55</v>
      </c>
      <c r="U452" s="5">
        <f>IFERROR(VLOOKUP($T452,KURALLAR!$A$32:$B$63,2,FALSE()),0)*IF(ISNUMBER($I452),$I452,0)</f>
        <v>6</v>
      </c>
    </row>
    <row r="453" spans="1:21" x14ac:dyDescent="0.25">
      <c r="A453" s="9">
        <v>452</v>
      </c>
      <c r="B453" s="9"/>
      <c r="C453" s="9" t="s">
        <v>192</v>
      </c>
      <c r="D453" s="9" t="s">
        <v>194</v>
      </c>
      <c r="E453" s="9" t="str">
        <f>IFERROR(VLOOKUP($D453,FIYAT!$B:$O,2,FALSE()),"")</f>
        <v>Авт. выкл. NXB-63 1P 16A 6кА х-ка C (R)</v>
      </c>
      <c r="F453" s="9">
        <f>IFERROR(VLOOKUP($D453,FIYAT!$B:$O,5,FALSE()),"")</f>
        <v>1389</v>
      </c>
      <c r="G453" s="9">
        <f>IFERROR(VLOOKUP($D453,FIYAT!$B:$O,8,FALSE()),"")</f>
        <v>833.4</v>
      </c>
      <c r="H453" s="9">
        <f t="shared" si="54"/>
        <v>7500.5999999999995</v>
      </c>
      <c r="I453" s="6">
        <v>9</v>
      </c>
      <c r="J453" s="9" t="str">
        <f>IFERROR(VLOOKUP($D453,FIYAT!$B:$O,9,FALSE()),"")</f>
        <v>Шт.</v>
      </c>
      <c r="K453" s="9" t="str">
        <f>IFERROR(VLOOKUP($D453,FIYAT!$B:$O,4,FALSE()),"")</f>
        <v>CHINT</v>
      </c>
      <c r="L453" s="9">
        <f t="shared" si="55"/>
        <v>7500.5999999999995</v>
      </c>
      <c r="M453" s="9"/>
      <c r="N453" s="9"/>
      <c r="O453" s="9"/>
      <c r="P453" s="9" t="str">
        <f>IF($H453="","FIYAT_YOK",IFERROR(VLOOKUP($D453,FIYAT!$B:$P,15,FALSE()),""))</f>
        <v>OK</v>
      </c>
      <c r="Q453" s="9" t="s">
        <v>196</v>
      </c>
      <c r="R453" s="9" t="s">
        <v>171</v>
      </c>
      <c r="S453" s="9" t="s">
        <v>550</v>
      </c>
      <c r="T453" s="9" t="s">
        <v>47</v>
      </c>
      <c r="U453" s="9">
        <f>IFERROR(VLOOKUP($T453,KURALLAR!$A$32:$B$63,2,FALSE()),0)*IF(ISNUMBER($I453),$I453,0)</f>
        <v>27</v>
      </c>
    </row>
    <row r="454" spans="1:21" x14ac:dyDescent="0.25">
      <c r="A454" s="5">
        <v>453</v>
      </c>
      <c r="B454" s="5"/>
      <c r="C454" s="5" t="s">
        <v>176</v>
      </c>
      <c r="D454" s="5" t="s">
        <v>200</v>
      </c>
      <c r="E454" s="5" t="str">
        <f>IFERROR(VLOOKUP($D454,FIYAT!$B:$O,2,FALSE()),"")</f>
        <v>УЗО NL1-63 6kA 2P 16A 30mA тип AC (R)</v>
      </c>
      <c r="F454" s="5">
        <f>IFERROR(VLOOKUP($D454,FIYAT!$B:$O,5,FALSE()),"")</f>
        <v>10809</v>
      </c>
      <c r="G454" s="5">
        <f>IFERROR(VLOOKUP($D454,FIYAT!$B:$O,8,FALSE()),"")</f>
        <v>6485.4</v>
      </c>
      <c r="H454" s="5">
        <f t="shared" si="54"/>
        <v>6485.4</v>
      </c>
      <c r="I454" s="6">
        <v>1</v>
      </c>
      <c r="J454" s="5" t="str">
        <f>IFERROR(VLOOKUP($D454,FIYAT!$B:$O,9,FALSE()),"")</f>
        <v>Шт.</v>
      </c>
      <c r="K454" s="5" t="str">
        <f>IFERROR(VLOOKUP($D454,FIYAT!$B:$O,4,FALSE()),"")</f>
        <v>CHINT</v>
      </c>
      <c r="L454" s="5">
        <f t="shared" si="55"/>
        <v>6485.4</v>
      </c>
      <c r="M454" s="5"/>
      <c r="N454" s="5"/>
      <c r="O454" s="5"/>
      <c r="P454" s="5" t="str">
        <f>IF($H454="","FIYAT_YOK",IFERROR(VLOOKUP($D454,FIYAT!$B:$P,15,FALSE()),""))</f>
        <v>OK</v>
      </c>
      <c r="Q454" s="5" t="s">
        <v>202</v>
      </c>
      <c r="R454" s="5" t="s">
        <v>171</v>
      </c>
      <c r="S454" s="5" t="s">
        <v>550</v>
      </c>
      <c r="T454" s="5" t="s">
        <v>55</v>
      </c>
      <c r="U454" s="5">
        <f>IFERROR(VLOOKUP($T454,KURALLAR!$A$32:$B$63,2,FALSE()),0)*IF(ISNUMBER($I454),$I454,0)</f>
        <v>6</v>
      </c>
    </row>
    <row r="455" spans="1:21" x14ac:dyDescent="0.25">
      <c r="A455" s="9">
        <v>454</v>
      </c>
      <c r="B455" s="9"/>
      <c r="C455" s="9" t="s">
        <v>192</v>
      </c>
      <c r="D455" s="9" t="s">
        <v>206</v>
      </c>
      <c r="E455" s="9" t="str">
        <f>IFERROR(VLOOKUP($D455,FIYAT!$B:$O,2,FALSE()),"")</f>
        <v>Авт. выкл. NXB-63 1P 10A 6кА х-ка C (R)</v>
      </c>
      <c r="F455" s="9">
        <f>IFERROR(VLOOKUP($D455,FIYAT!$B:$O,5,FALSE()),"")</f>
        <v>1362</v>
      </c>
      <c r="G455" s="9">
        <f>IFERROR(VLOOKUP($D455,FIYAT!$B:$O,8,FALSE()),"")</f>
        <v>817.19999999999993</v>
      </c>
      <c r="H455" s="9">
        <f t="shared" si="54"/>
        <v>6537.5999999999995</v>
      </c>
      <c r="I455" s="6">
        <v>8</v>
      </c>
      <c r="J455" s="9" t="str">
        <f>IFERROR(VLOOKUP($D455,FIYAT!$B:$O,9,FALSE()),"")</f>
        <v>Шт.</v>
      </c>
      <c r="K455" s="9" t="str">
        <f>IFERROR(VLOOKUP($D455,FIYAT!$B:$O,4,FALSE()),"")</f>
        <v>CHINT</v>
      </c>
      <c r="L455" s="9">
        <f t="shared" si="55"/>
        <v>6537.5999999999995</v>
      </c>
      <c r="M455" s="9"/>
      <c r="N455" s="9"/>
      <c r="O455" s="9"/>
      <c r="P455" s="9" t="str">
        <f>IF($H455="","FIYAT_YOK",IFERROR(VLOOKUP($D455,FIYAT!$B:$P,15,FALSE()),""))</f>
        <v>OK</v>
      </c>
      <c r="Q455" s="9" t="s">
        <v>208</v>
      </c>
      <c r="R455" s="9" t="s">
        <v>184</v>
      </c>
      <c r="S455" s="9" t="s">
        <v>550</v>
      </c>
      <c r="T455" s="9" t="s">
        <v>47</v>
      </c>
      <c r="U455" s="9">
        <f>IFERROR(VLOOKUP($T455,KURALLAR!$A$32:$B$63,2,FALSE()),0)*IF(ISNUMBER($I455),$I455,0)</f>
        <v>24</v>
      </c>
    </row>
    <row r="456" spans="1:21" x14ac:dyDescent="0.25">
      <c r="A456" s="5">
        <v>455</v>
      </c>
      <c r="B456" s="5"/>
      <c r="C456" s="5" t="s">
        <v>93</v>
      </c>
      <c r="D456" s="5" t="s">
        <v>209</v>
      </c>
      <c r="E456" s="5" t="str">
        <f>IFERROR(VLOOKUP($D456,FIYAT!$B:$O,2,FALSE()),"")</f>
        <v>Шина "N" нулевая 6х9мм на DIN-рейку в корпусном изоляторе ШНИ 12К IEK (10)</v>
      </c>
      <c r="F456" s="5">
        <f>IFERROR(VLOOKUP($D456,FIYAT!$B:$O,5,FALSE()),"")</f>
        <v>755</v>
      </c>
      <c r="G456" s="5">
        <f>IFERROR(VLOOKUP($D456,FIYAT!$B:$O,8,FALSE()),"")</f>
        <v>453</v>
      </c>
      <c r="H456" s="5">
        <f t="shared" si="54"/>
        <v>1812</v>
      </c>
      <c r="I456" s="6">
        <v>4</v>
      </c>
      <c r="J456" s="5" t="str">
        <f>IFERROR(VLOOKUP($D456,FIYAT!$B:$O,9,FALSE()),"")</f>
        <v>Шт.</v>
      </c>
      <c r="K456" s="5" t="str">
        <f>IFERROR(VLOOKUP($D456,FIYAT!$B:$O,4,FALSE()),"")</f>
        <v>KAZTEK</v>
      </c>
      <c r="L456" s="5">
        <f t="shared" si="55"/>
        <v>1812</v>
      </c>
      <c r="M456" s="5"/>
      <c r="N456" s="5"/>
      <c r="O456" s="5"/>
      <c r="P456" s="5" t="str">
        <f>IF($H456="","FIYAT_YOK",IFERROR(VLOOKUP($D456,FIYAT!$B:$P,15,FALSE()),""))</f>
        <v>MUADIL</v>
      </c>
      <c r="Q456" s="5" t="s">
        <v>212</v>
      </c>
      <c r="R456" s="5" t="s">
        <v>211</v>
      </c>
      <c r="S456" s="5" t="s">
        <v>550</v>
      </c>
      <c r="T456" s="5" t="s">
        <v>93</v>
      </c>
      <c r="U456" s="5">
        <f>IFERROR(VLOOKUP($T456,KURALLAR!$A$32:$B$63,2,FALSE()),0)*IF(ISNUMBER($I456),$I456,0)</f>
        <v>32</v>
      </c>
    </row>
    <row r="457" spans="1:21" x14ac:dyDescent="0.25">
      <c r="A457" s="9">
        <v>456</v>
      </c>
      <c r="B457" s="9"/>
      <c r="C457" s="9" t="s">
        <v>222</v>
      </c>
      <c r="D457" s="9" t="s">
        <v>220</v>
      </c>
      <c r="E457" s="9" t="str">
        <f>IFERROR(VLOOKUP($D457,FIYAT!$B:$O,2,FALSE()),"")</f>
        <v>ЩМП (инд.) IP31 (650х500х150мм)</v>
      </c>
      <c r="F457" s="9">
        <f>IFERROR(VLOOKUP($D457,FIYAT!$B:$O,5,FALSE()),"")</f>
        <v>27825</v>
      </c>
      <c r="G457" s="9">
        <f>IFERROR(VLOOKUP($D457,FIYAT!$B:$O,8,FALSE()),"")</f>
        <v>16695</v>
      </c>
      <c r="H457" s="9">
        <f t="shared" si="54"/>
        <v>16695</v>
      </c>
      <c r="I457" s="6">
        <v>1</v>
      </c>
      <c r="J457" s="9" t="str">
        <f>IFERROR(VLOOKUP($D457,FIYAT!$B:$O,9,FALSE()),"")</f>
        <v>Шт.</v>
      </c>
      <c r="K457" s="9" t="str">
        <f>IFERROR(VLOOKUP($D457,FIYAT!$B:$O,4,FALSE()),"")</f>
        <v>KAZTEK</v>
      </c>
      <c r="L457" s="9">
        <f t="shared" si="55"/>
        <v>16695</v>
      </c>
      <c r="M457" s="9"/>
      <c r="N457" s="9"/>
      <c r="O457" s="9"/>
      <c r="P457" s="9" t="str">
        <f>IF($H457="","FIYAT_YOK",IFERROR(VLOOKUP($D457,FIYAT!$B:$P,15,FALSE()),""))</f>
        <v>VARSAYIM</v>
      </c>
      <c r="Q457" s="9" t="s">
        <v>223</v>
      </c>
      <c r="R457" s="9" t="s">
        <v>211</v>
      </c>
      <c r="S457" s="9" t="s">
        <v>550</v>
      </c>
      <c r="T457" s="9" t="s">
        <v>105</v>
      </c>
      <c r="U457" s="9">
        <f>IFERROR(VLOOKUP($T457,KURALLAR!$A$32:$B$63,2,FALSE()),0)*IF(ISNUMBER($I457),$I457,0)</f>
        <v>30</v>
      </c>
    </row>
    <row r="458" spans="1:21" x14ac:dyDescent="0.25">
      <c r="A458" s="5">
        <v>457</v>
      </c>
      <c r="B458" s="5"/>
      <c r="C458" s="5" t="s">
        <v>215</v>
      </c>
      <c r="D458" s="5" t="s">
        <v>213</v>
      </c>
      <c r="E458" s="5" t="str">
        <f>IFERROR(VLOOKUP($D458,FIYAT!$B:$O,2,FALSE()),"")</f>
        <v>Монтажный расходный материал (кабель, DIN-рейка, кабель-канал, клеммы, маркировка, крепёж)</v>
      </c>
      <c r="F458" s="5">
        <f>IFERROR(VLOOKUP($D458,FIYAT!$B:$O,5,FALSE()),"")</f>
        <v>0</v>
      </c>
      <c r="G458" s="5" t="str">
        <f>IFERROR(VLOOKUP($D458,FIYAT!$B:$O,8,FALSE()),"")</f>
        <v/>
      </c>
      <c r="H458" s="5">
        <f>ROUND(SUM($H$446:$H$457)*KURALLAR!$B$28,0)</f>
        <v>8712</v>
      </c>
      <c r="I458" s="6">
        <v>1</v>
      </c>
      <c r="J458" s="5" t="str">
        <f>IFERROR(VLOOKUP($D458,FIYAT!$B:$O,9,FALSE()),"")</f>
        <v>компл.</v>
      </c>
      <c r="K458" s="5" t="str">
        <f>IFERROR(VLOOKUP($D458,FIYAT!$B:$O,4,FALSE()),"")</f>
        <v>MUADIL-NET</v>
      </c>
      <c r="L458" s="5">
        <f t="shared" si="55"/>
        <v>8712</v>
      </c>
      <c r="M458" s="5"/>
      <c r="N458" s="5"/>
      <c r="O458" s="5"/>
      <c r="P458" s="5" t="str">
        <f>IF($H458="","FIYAT_YOK",IFERROR(VLOOKUP($D458,FIYAT!$B:$P,15,FALSE()),""))</f>
        <v>ORAN</v>
      </c>
      <c r="Q458" s="5" t="s">
        <v>218</v>
      </c>
      <c r="R458" s="5" t="s">
        <v>217</v>
      </c>
      <c r="S458" s="5" t="s">
        <v>550</v>
      </c>
      <c r="T458" s="5"/>
      <c r="U458" s="5">
        <v>0</v>
      </c>
    </row>
    <row r="459" spans="1:21" x14ac:dyDescent="0.25">
      <c r="A459" s="9">
        <v>458</v>
      </c>
      <c r="B459" s="9"/>
      <c r="C459" s="9" t="s">
        <v>227</v>
      </c>
      <c r="D459" s="9" t="s">
        <v>225</v>
      </c>
      <c r="E459" s="9" t="str">
        <f>IFERROR(VLOOKUP($D459,FIYAT!$B:$O,2,FALSE()),"")</f>
        <v>Сборка, кабелирование, маркировка, момент затяжки, испытания</v>
      </c>
      <c r="F459" s="9">
        <f>IFERROR(VLOOKUP($D459,FIYAT!$B:$O,5,FALSE()),"")</f>
        <v>100</v>
      </c>
      <c r="G459" s="9">
        <f>IFERROR(VLOOKUP($D459,FIYAT!$B:$O,8,FALSE()),"")</f>
        <v>100</v>
      </c>
      <c r="H459" s="9">
        <f>IF(OR($G459="",$I459=""),"",$G459*$I459)</f>
        <v>22400</v>
      </c>
      <c r="I459" s="6">
        <f>ROUND(SUM($U$446:$U$458)*KURALLAR!$B$27,0)</f>
        <v>224</v>
      </c>
      <c r="J459" s="9" t="str">
        <f>IFERROR(VLOOKUP($D459,FIYAT!$B:$O,9,FALSE()),"")</f>
        <v>мин</v>
      </c>
      <c r="K459" s="9" t="str">
        <f>IFERROR(VLOOKUP($D459,FIYAT!$B:$O,4,FALSE()),"")</f>
        <v>ISCILIK</v>
      </c>
      <c r="L459" s="9">
        <f t="shared" si="55"/>
        <v>22400</v>
      </c>
      <c r="M459" s="9"/>
      <c r="N459" s="9"/>
      <c r="O459" s="9"/>
      <c r="P459" s="9" t="str">
        <f>IF($H459="","FIYAT_YOK",IFERROR(VLOOKUP($D459,FIYAT!$B:$P,15,FALSE()),""))</f>
        <v>OK</v>
      </c>
      <c r="Q459" s="9" t="str">
        <f>CONCATENATE("montaj+test iscilik: ",TEXT($I459,"# ##0")," dk = ",TEXT($I459/60,"0,00")," saat (norm x test/etiket carpani)")</f>
        <v>montaj+test iscilik:  224 dk = 3,73 saat (norm x test/etiket carpani)</v>
      </c>
      <c r="R459" s="9" t="s">
        <v>229</v>
      </c>
      <c r="S459" s="9" t="s">
        <v>550</v>
      </c>
      <c r="T459" s="9"/>
      <c r="U459" s="9">
        <v>0</v>
      </c>
    </row>
    <row r="460" spans="1:21" x14ac:dyDescent="0.25">
      <c r="A460" s="10">
        <v>459</v>
      </c>
      <c r="B460" s="10" t="s">
        <v>605</v>
      </c>
      <c r="C460" s="10"/>
      <c r="D460" s="10"/>
      <c r="E460" s="10"/>
      <c r="F460" s="10"/>
      <c r="G460" s="10"/>
      <c r="H460" s="10">
        <f>SUBTOTAL(9,H446:H459)</f>
        <v>155565.79999999999</v>
      </c>
      <c r="I460" s="10"/>
      <c r="J460" s="10"/>
      <c r="K460" s="10"/>
      <c r="L460" s="10">
        <f>SUBTOTAL(9,L446:L459)</f>
        <v>155565.79999999999</v>
      </c>
      <c r="M460" s="10"/>
      <c r="N460" s="10"/>
      <c r="O460" s="10"/>
      <c r="P460" s="10"/>
      <c r="Q460" s="10"/>
      <c r="R460" s="10"/>
      <c r="S460" s="10"/>
      <c r="T460" s="10"/>
      <c r="U460" s="10">
        <f>SUBTOTAL(9,U446:U459)</f>
        <v>195</v>
      </c>
    </row>
    <row r="461" spans="1:21" x14ac:dyDescent="0.25">
      <c r="A461" s="8">
        <v>460</v>
      </c>
      <c r="B461" s="8" t="str">
        <f>E461</f>
        <v>BLOK A / 21F-ЩС.2 — НКУ 380/220В 50Гц, FORM 2B, IP31/54</v>
      </c>
      <c r="C461" s="8" t="s">
        <v>545</v>
      </c>
      <c r="D461" s="8"/>
      <c r="E461" s="8" t="s">
        <v>606</v>
      </c>
      <c r="F461" s="8"/>
      <c r="G461" s="8"/>
      <c r="H461" s="8"/>
      <c r="I461" s="8">
        <v>1</v>
      </c>
      <c r="J461" s="8" t="s">
        <v>547</v>
      </c>
      <c r="K461" s="8"/>
      <c r="L461" s="8"/>
      <c r="M461" s="8"/>
      <c r="N461" s="8"/>
      <c r="O461" s="8"/>
      <c r="P461" s="8" t="s">
        <v>178</v>
      </c>
      <c r="Q461" s="8" t="s">
        <v>548</v>
      </c>
      <c r="R461" s="8" t="s">
        <v>549</v>
      </c>
      <c r="S461" s="8" t="s">
        <v>550</v>
      </c>
      <c r="T461" s="8"/>
      <c r="U461" s="8"/>
    </row>
    <row r="462" spans="1:21" x14ac:dyDescent="0.25">
      <c r="A462" s="5">
        <v>461</v>
      </c>
      <c r="B462" s="5"/>
      <c r="C462" s="5" t="s">
        <v>169</v>
      </c>
      <c r="D462" s="5" t="s">
        <v>167</v>
      </c>
      <c r="E462" s="5" t="str">
        <f>IFERROR(VLOOKUP($D462,FIYAT!$B:$O,2,FALSE()),"")</f>
        <v>Авт. выкл. NM8N-125C TM 3P 32А 36кА с рег. термомаг. расцепителем (R)</v>
      </c>
      <c r="F462" s="5">
        <f>IFERROR(VLOOKUP($D462,FIYAT!$B:$O,5,FALSE()),"")</f>
        <v>64667</v>
      </c>
      <c r="G462" s="5">
        <f>IFERROR(VLOOKUP($D462,FIYAT!$B:$O,8,FALSE()),"")</f>
        <v>38800.199999999997</v>
      </c>
      <c r="H462" s="5">
        <f t="shared" ref="H462:H473" si="56">IF(OR($G462="",$I462=""),"",$G462*$I462)</f>
        <v>38800.199999999997</v>
      </c>
      <c r="I462" s="6">
        <v>1</v>
      </c>
      <c r="J462" s="5" t="str">
        <f>IFERROR(VLOOKUP($D462,FIYAT!$B:$O,9,FALSE()),"")</f>
        <v>Шт.</v>
      </c>
      <c r="K462" s="5" t="str">
        <f>IFERROR(VLOOKUP($D462,FIYAT!$B:$O,4,FALSE()),"")</f>
        <v>CHINT</v>
      </c>
      <c r="L462" s="5">
        <f t="shared" ref="L462:L475" si="57">IF($H462="","",$H462)</f>
        <v>38800.199999999997</v>
      </c>
      <c r="M462" s="5"/>
      <c r="N462" s="5"/>
      <c r="O462" s="5"/>
      <c r="P462" s="5" t="str">
        <f>IF($H462="","FIYAT_YOK",IFERROR(VLOOKUP($D462,FIYAT!$B:$P,15,FALSE()),""))</f>
        <v>MUADIL</v>
      </c>
      <c r="Q462" s="5" t="s">
        <v>172</v>
      </c>
      <c r="R462" s="5" t="s">
        <v>171</v>
      </c>
      <c r="S462" s="5" t="s">
        <v>550</v>
      </c>
      <c r="T462" s="5" t="s">
        <v>61</v>
      </c>
      <c r="U462" s="5">
        <f>IFERROR(VLOOKUP($T462,KURALLAR!$A$32:$B$63,2,FALSE()),0)*IF(ISNUMBER($I462),$I462,0)</f>
        <v>15</v>
      </c>
    </row>
    <row r="463" spans="1:21" x14ac:dyDescent="0.25">
      <c r="A463" s="9">
        <v>462</v>
      </c>
      <c r="B463" s="9"/>
      <c r="C463" s="9" t="s">
        <v>176</v>
      </c>
      <c r="D463" s="9" t="s">
        <v>174</v>
      </c>
      <c r="E463" s="9" t="str">
        <f>IFERROR(VLOOKUP($D463,FIYAT!$B:$O,2,FALSE()),"")</f>
        <v>УЗО NL1-63 6kA 4P 63A 300mA тип AC (R)</v>
      </c>
      <c r="F463" s="9">
        <f>IFERROR(VLOOKUP($D463,FIYAT!$B:$O,5,FALSE()),"")</f>
        <v>18106</v>
      </c>
      <c r="G463" s="9">
        <f>IFERROR(VLOOKUP($D463,FIYAT!$B:$O,8,FALSE()),"")</f>
        <v>10863.6</v>
      </c>
      <c r="H463" s="9">
        <f t="shared" si="56"/>
        <v>10863.6</v>
      </c>
      <c r="I463" s="6">
        <v>1</v>
      </c>
      <c r="J463" s="9" t="str">
        <f>IFERROR(VLOOKUP($D463,FIYAT!$B:$O,9,FALSE()),"")</f>
        <v>Шт.</v>
      </c>
      <c r="K463" s="9" t="str">
        <f>IFERROR(VLOOKUP($D463,FIYAT!$B:$O,4,FALSE()),"")</f>
        <v>CHINT</v>
      </c>
      <c r="L463" s="9">
        <f t="shared" si="57"/>
        <v>10863.6</v>
      </c>
      <c r="M463" s="9"/>
      <c r="N463" s="9"/>
      <c r="O463" s="9"/>
      <c r="P463" s="9" t="str">
        <f>IF($H463="","FIYAT_YOK",IFERROR(VLOOKUP($D463,FIYAT!$B:$P,15,FALSE()),""))</f>
        <v>OK</v>
      </c>
      <c r="Q463" s="9" t="s">
        <v>177</v>
      </c>
      <c r="R463" s="9" t="s">
        <v>171</v>
      </c>
      <c r="S463" s="9" t="s">
        <v>550</v>
      </c>
      <c r="T463" s="9" t="s">
        <v>57</v>
      </c>
      <c r="U463" s="9">
        <f>IFERROR(VLOOKUP($T463,KURALLAR!$A$32:$B$63,2,FALSE()),0)*IF(ISNUMBER($I463),$I463,0)</f>
        <v>10</v>
      </c>
    </row>
    <row r="464" spans="1:21" x14ac:dyDescent="0.25">
      <c r="A464" s="5">
        <v>463</v>
      </c>
      <c r="B464" s="5"/>
      <c r="C464" s="5" t="s">
        <v>79</v>
      </c>
      <c r="D464" s="5" t="s">
        <v>179</v>
      </c>
      <c r="E464" s="5" t="str">
        <f>IFERROR(VLOOKUP($D464,FIYAT!$B:$O,2,FALSE()),"")</f>
        <v>Держатель плавкой вставки RT36-00-160, габарит 00, 160А</v>
      </c>
      <c r="F464" s="5">
        <f>IFERROR(VLOOKUP($D464,FIYAT!$B:$O,5,FALSE()),"")</f>
        <v>2038</v>
      </c>
      <c r="G464" s="5">
        <f>IFERROR(VLOOKUP($D464,FIYAT!$B:$O,8,FALSE()),"")</f>
        <v>1222.8</v>
      </c>
      <c r="H464" s="5">
        <f t="shared" si="56"/>
        <v>4891.2</v>
      </c>
      <c r="I464" s="6">
        <v>4</v>
      </c>
      <c r="J464" s="5" t="str">
        <f>IFERROR(VLOOKUP($D464,FIYAT!$B:$O,9,FALSE()),"")</f>
        <v>Шт.</v>
      </c>
      <c r="K464" s="5" t="str">
        <f>IFERROR(VLOOKUP($D464,FIYAT!$B:$O,4,FALSE()),"")</f>
        <v>CHINT</v>
      </c>
      <c r="L464" s="5">
        <f t="shared" si="57"/>
        <v>4891.2</v>
      </c>
      <c r="M464" s="5"/>
      <c r="N464" s="5"/>
      <c r="O464" s="5"/>
      <c r="P464" s="5" t="str">
        <f>IF($H464="","FIYAT_YOK",IFERROR(VLOOKUP($D464,FIYAT!$B:$P,15,FALSE()),""))</f>
        <v>MUADIL</v>
      </c>
      <c r="Q464" s="5" t="s">
        <v>181</v>
      </c>
      <c r="R464" s="5" t="s">
        <v>171</v>
      </c>
      <c r="S464" s="5" t="s">
        <v>550</v>
      </c>
      <c r="T464" s="5" t="s">
        <v>77</v>
      </c>
      <c r="U464" s="5">
        <f>IFERROR(VLOOKUP($T464,KURALLAR!$A$32:$B$63,2,FALSE()),0)*IF(ISNUMBER($I464),$I464,0)</f>
        <v>20</v>
      </c>
    </row>
    <row r="465" spans="1:21" x14ac:dyDescent="0.25">
      <c r="A465" s="9">
        <v>464</v>
      </c>
      <c r="B465" s="9"/>
      <c r="C465" s="9" t="s">
        <v>79</v>
      </c>
      <c r="D465" s="9" t="s">
        <v>182</v>
      </c>
      <c r="E465" s="9" t="str">
        <f>IFERROR(VLOOKUP($D465,FIYAT!$B:$O,2,FALSE()),"")</f>
        <v>Плавкая вставка предохранителя RT36-00-160, габарит 00, 63А</v>
      </c>
      <c r="F465" s="9">
        <f>IFERROR(VLOOKUP($D465,FIYAT!$B:$O,5,FALSE()),"")</f>
        <v>1525</v>
      </c>
      <c r="G465" s="9">
        <f>IFERROR(VLOOKUP($D465,FIYAT!$B:$O,8,FALSE()),"")</f>
        <v>915</v>
      </c>
      <c r="H465" s="9">
        <f t="shared" si="56"/>
        <v>3660</v>
      </c>
      <c r="I465" s="6">
        <v>4</v>
      </c>
      <c r="J465" s="9" t="str">
        <f>IFERROR(VLOOKUP($D465,FIYAT!$B:$O,9,FALSE()),"")</f>
        <v>Шт.</v>
      </c>
      <c r="K465" s="9" t="str">
        <f>IFERROR(VLOOKUP($D465,FIYAT!$B:$O,4,FALSE()),"")</f>
        <v>CHINT</v>
      </c>
      <c r="L465" s="9">
        <f t="shared" si="57"/>
        <v>3660</v>
      </c>
      <c r="M465" s="9"/>
      <c r="N465" s="9"/>
      <c r="O465" s="9"/>
      <c r="P465" s="9" t="str">
        <f>IF($H465="","FIYAT_YOK",IFERROR(VLOOKUP($D465,FIYAT!$B:$P,15,FALSE()),""))</f>
        <v>MUADIL</v>
      </c>
      <c r="Q465" s="9" t="s">
        <v>185</v>
      </c>
      <c r="R465" s="9" t="s">
        <v>184</v>
      </c>
      <c r="S465" s="9" t="s">
        <v>550</v>
      </c>
      <c r="T465" s="9" t="s">
        <v>79</v>
      </c>
      <c r="U465" s="9">
        <f>IFERROR(VLOOKUP($T465,KURALLAR!$A$32:$B$63,2,FALSE()),0)*IF(ISNUMBER($I465),$I465,0)</f>
        <v>12</v>
      </c>
    </row>
    <row r="466" spans="1:21" x14ac:dyDescent="0.25">
      <c r="A466" s="5">
        <v>465</v>
      </c>
      <c r="B466" s="5"/>
      <c r="C466" s="5" t="s">
        <v>75</v>
      </c>
      <c r="D466" s="5" t="s">
        <v>186</v>
      </c>
      <c r="E466" s="5" t="str">
        <f>IFERROR(VLOOKUP($D466,FIYAT!$B:$O,2,FALSE()),"")</f>
        <v>Ограничитель имп. перенапр. NU6-IIG 4Р In=25kA Uc=440B Im=65kA (R)</v>
      </c>
      <c r="F466" s="5">
        <f>IFERROR(VLOOKUP($D466,FIYAT!$B:$O,5,FALSE()),"")</f>
        <v>33208</v>
      </c>
      <c r="G466" s="5">
        <f>IFERROR(VLOOKUP($D466,FIYAT!$B:$O,8,FALSE()),"")</f>
        <v>19924.8</v>
      </c>
      <c r="H466" s="5">
        <f t="shared" si="56"/>
        <v>19924.8</v>
      </c>
      <c r="I466" s="6">
        <v>1</v>
      </c>
      <c r="J466" s="5" t="str">
        <f>IFERROR(VLOOKUP($D466,FIYAT!$B:$O,9,FALSE()),"")</f>
        <v>Шт.</v>
      </c>
      <c r="K466" s="5" t="str">
        <f>IFERROR(VLOOKUP($D466,FIYAT!$B:$O,4,FALSE()),"")</f>
        <v>CHINT</v>
      </c>
      <c r="L466" s="5">
        <f t="shared" si="57"/>
        <v>19924.8</v>
      </c>
      <c r="M466" s="5"/>
      <c r="N466" s="5"/>
      <c r="O466" s="5"/>
      <c r="P466" s="5" t="str">
        <f>IF($H466="","FIYAT_YOK",IFERROR(VLOOKUP($D466,FIYAT!$B:$P,15,FALSE()),""))</f>
        <v>MUADIL_ONAY</v>
      </c>
      <c r="Q466" s="5" t="s">
        <v>188</v>
      </c>
      <c r="R466" s="5" t="s">
        <v>184</v>
      </c>
      <c r="S466" s="5" t="s">
        <v>550</v>
      </c>
      <c r="T466" s="5" t="s">
        <v>75</v>
      </c>
      <c r="U466" s="5">
        <f>IFERROR(VLOOKUP($T466,KURALLAR!$A$32:$B$63,2,FALSE()),0)*IF(ISNUMBER($I466),$I466,0)</f>
        <v>10</v>
      </c>
    </row>
    <row r="467" spans="1:21" x14ac:dyDescent="0.25">
      <c r="A467" s="9">
        <v>466</v>
      </c>
      <c r="B467" s="9"/>
      <c r="C467" s="9" t="s">
        <v>192</v>
      </c>
      <c r="D467" s="9" t="s">
        <v>321</v>
      </c>
      <c r="E467" s="9" t="str">
        <f>IFERROR(VLOOKUP($D467,FIYAT!$B:$O,2,FALSE()),"")</f>
        <v>Авт. выкл. NXB-63 1P 25A 6кА х-ка C (R)</v>
      </c>
      <c r="F467" s="9">
        <f>IFERROR(VLOOKUP($D467,FIYAT!$B:$O,5,FALSE()),"")</f>
        <v>1330</v>
      </c>
      <c r="G467" s="9">
        <f>IFERROR(VLOOKUP($D467,FIYAT!$B:$O,8,FALSE()),"")</f>
        <v>798</v>
      </c>
      <c r="H467" s="9">
        <f t="shared" si="56"/>
        <v>798</v>
      </c>
      <c r="I467" s="6">
        <v>1</v>
      </c>
      <c r="J467" s="9" t="str">
        <f>IFERROR(VLOOKUP($D467,FIYAT!$B:$O,9,FALSE()),"")</f>
        <v>Шт.</v>
      </c>
      <c r="K467" s="9" t="str">
        <f>IFERROR(VLOOKUP($D467,FIYAT!$B:$O,4,FALSE()),"")</f>
        <v>CHINT</v>
      </c>
      <c r="L467" s="9">
        <f t="shared" si="57"/>
        <v>798</v>
      </c>
      <c r="M467" s="9"/>
      <c r="N467" s="9"/>
      <c r="O467" s="9"/>
      <c r="P467" s="9" t="str">
        <f>IF($H467="","FIYAT_YOK",IFERROR(VLOOKUP($D467,FIYAT!$B:$P,15,FALSE()),""))</f>
        <v>OK</v>
      </c>
      <c r="Q467" s="9" t="s">
        <v>323</v>
      </c>
      <c r="R467" s="9" t="s">
        <v>171</v>
      </c>
      <c r="S467" s="9" t="s">
        <v>550</v>
      </c>
      <c r="T467" s="9" t="s">
        <v>47</v>
      </c>
      <c r="U467" s="9">
        <f>IFERROR(VLOOKUP($T467,KURALLAR!$A$32:$B$63,2,FALSE()),0)*IF(ISNUMBER($I467),$I467,0)</f>
        <v>3</v>
      </c>
    </row>
    <row r="468" spans="1:21" x14ac:dyDescent="0.25">
      <c r="A468" s="5">
        <v>467</v>
      </c>
      <c r="B468" s="5"/>
      <c r="C468" s="5" t="s">
        <v>176</v>
      </c>
      <c r="D468" s="5" t="s">
        <v>324</v>
      </c>
      <c r="E468" s="5" t="str">
        <f>IFERROR(VLOOKUP($D468,FIYAT!$B:$O,2,FALSE()),"")</f>
        <v>УЗО NL1-63 6kA 2P 25A 30mA тип AC (R)</v>
      </c>
      <c r="F468" s="5">
        <f>IFERROR(VLOOKUP($D468,FIYAT!$B:$O,5,FALSE()),"")</f>
        <v>10809</v>
      </c>
      <c r="G468" s="5">
        <f>IFERROR(VLOOKUP($D468,FIYAT!$B:$O,8,FALSE()),"")</f>
        <v>6485.4</v>
      </c>
      <c r="H468" s="5">
        <f t="shared" si="56"/>
        <v>6485.4</v>
      </c>
      <c r="I468" s="6">
        <v>1</v>
      </c>
      <c r="J468" s="5" t="str">
        <f>IFERROR(VLOOKUP($D468,FIYAT!$B:$O,9,FALSE()),"")</f>
        <v>Шт.</v>
      </c>
      <c r="K468" s="5" t="str">
        <f>IFERROR(VLOOKUP($D468,FIYAT!$B:$O,4,FALSE()),"")</f>
        <v>CHINT</v>
      </c>
      <c r="L468" s="5">
        <f t="shared" si="57"/>
        <v>6485.4</v>
      </c>
      <c r="M468" s="5"/>
      <c r="N468" s="5"/>
      <c r="O468" s="5"/>
      <c r="P468" s="5" t="str">
        <f>IF($H468="","FIYAT_YOK",IFERROR(VLOOKUP($D468,FIYAT!$B:$P,15,FALSE()),""))</f>
        <v>OK</v>
      </c>
      <c r="Q468" s="5" t="s">
        <v>326</v>
      </c>
      <c r="R468" s="5" t="s">
        <v>171</v>
      </c>
      <c r="S468" s="5" t="s">
        <v>550</v>
      </c>
      <c r="T468" s="5" t="s">
        <v>55</v>
      </c>
      <c r="U468" s="5">
        <f>IFERROR(VLOOKUP($T468,KURALLAR!$A$32:$B$63,2,FALSE()),0)*IF(ISNUMBER($I468),$I468,0)</f>
        <v>6</v>
      </c>
    </row>
    <row r="469" spans="1:21" x14ac:dyDescent="0.25">
      <c r="A469" s="9">
        <v>468</v>
      </c>
      <c r="B469" s="9"/>
      <c r="C469" s="9" t="s">
        <v>192</v>
      </c>
      <c r="D469" s="9" t="s">
        <v>194</v>
      </c>
      <c r="E469" s="9" t="str">
        <f>IFERROR(VLOOKUP($D469,FIYAT!$B:$O,2,FALSE()),"")</f>
        <v>Авт. выкл. NXB-63 1P 16A 6кА х-ка C (R)</v>
      </c>
      <c r="F469" s="9">
        <f>IFERROR(VLOOKUP($D469,FIYAT!$B:$O,5,FALSE()),"")</f>
        <v>1389</v>
      </c>
      <c r="G469" s="9">
        <f>IFERROR(VLOOKUP($D469,FIYAT!$B:$O,8,FALSE()),"")</f>
        <v>833.4</v>
      </c>
      <c r="H469" s="9">
        <f t="shared" si="56"/>
        <v>7500.5999999999995</v>
      </c>
      <c r="I469" s="6">
        <v>9</v>
      </c>
      <c r="J469" s="9" t="str">
        <f>IFERROR(VLOOKUP($D469,FIYAT!$B:$O,9,FALSE()),"")</f>
        <v>Шт.</v>
      </c>
      <c r="K469" s="9" t="str">
        <f>IFERROR(VLOOKUP($D469,FIYAT!$B:$O,4,FALSE()),"")</f>
        <v>CHINT</v>
      </c>
      <c r="L469" s="9">
        <f t="shared" si="57"/>
        <v>7500.5999999999995</v>
      </c>
      <c r="M469" s="9"/>
      <c r="N469" s="9"/>
      <c r="O469" s="9"/>
      <c r="P469" s="9" t="str">
        <f>IF($H469="","FIYAT_YOK",IFERROR(VLOOKUP($D469,FIYAT!$B:$P,15,FALSE()),""))</f>
        <v>OK</v>
      </c>
      <c r="Q469" s="9" t="s">
        <v>196</v>
      </c>
      <c r="R469" s="9" t="s">
        <v>171</v>
      </c>
      <c r="S469" s="9" t="s">
        <v>550</v>
      </c>
      <c r="T469" s="9" t="s">
        <v>47</v>
      </c>
      <c r="U469" s="9">
        <f>IFERROR(VLOOKUP($T469,KURALLAR!$A$32:$B$63,2,FALSE()),0)*IF(ISNUMBER($I469),$I469,0)</f>
        <v>27</v>
      </c>
    </row>
    <row r="470" spans="1:21" x14ac:dyDescent="0.25">
      <c r="A470" s="5">
        <v>469</v>
      </c>
      <c r="B470" s="5"/>
      <c r="C470" s="5" t="s">
        <v>176</v>
      </c>
      <c r="D470" s="5" t="s">
        <v>200</v>
      </c>
      <c r="E470" s="5" t="str">
        <f>IFERROR(VLOOKUP($D470,FIYAT!$B:$O,2,FALSE()),"")</f>
        <v>УЗО NL1-63 6kA 2P 16A 30mA тип AC (R)</v>
      </c>
      <c r="F470" s="5">
        <f>IFERROR(VLOOKUP($D470,FIYAT!$B:$O,5,FALSE()),"")</f>
        <v>10809</v>
      </c>
      <c r="G470" s="5">
        <f>IFERROR(VLOOKUP($D470,FIYAT!$B:$O,8,FALSE()),"")</f>
        <v>6485.4</v>
      </c>
      <c r="H470" s="5">
        <f t="shared" si="56"/>
        <v>6485.4</v>
      </c>
      <c r="I470" s="6">
        <v>1</v>
      </c>
      <c r="J470" s="5" t="str">
        <f>IFERROR(VLOOKUP($D470,FIYAT!$B:$O,9,FALSE()),"")</f>
        <v>Шт.</v>
      </c>
      <c r="K470" s="5" t="str">
        <f>IFERROR(VLOOKUP($D470,FIYAT!$B:$O,4,FALSE()),"")</f>
        <v>CHINT</v>
      </c>
      <c r="L470" s="5">
        <f t="shared" si="57"/>
        <v>6485.4</v>
      </c>
      <c r="M470" s="5"/>
      <c r="N470" s="5"/>
      <c r="O470" s="5"/>
      <c r="P470" s="5" t="str">
        <f>IF($H470="","FIYAT_YOK",IFERROR(VLOOKUP($D470,FIYAT!$B:$P,15,FALSE()),""))</f>
        <v>OK</v>
      </c>
      <c r="Q470" s="5" t="s">
        <v>202</v>
      </c>
      <c r="R470" s="5" t="s">
        <v>171</v>
      </c>
      <c r="S470" s="5" t="s">
        <v>550</v>
      </c>
      <c r="T470" s="5" t="s">
        <v>55</v>
      </c>
      <c r="U470" s="5">
        <f>IFERROR(VLOOKUP($T470,KURALLAR!$A$32:$B$63,2,FALSE()),0)*IF(ISNUMBER($I470),$I470,0)</f>
        <v>6</v>
      </c>
    </row>
    <row r="471" spans="1:21" x14ac:dyDescent="0.25">
      <c r="A471" s="9">
        <v>470</v>
      </c>
      <c r="B471" s="9"/>
      <c r="C471" s="9" t="s">
        <v>192</v>
      </c>
      <c r="D471" s="9" t="s">
        <v>206</v>
      </c>
      <c r="E471" s="9" t="str">
        <f>IFERROR(VLOOKUP($D471,FIYAT!$B:$O,2,FALSE()),"")</f>
        <v>Авт. выкл. NXB-63 1P 10A 6кА х-ка C (R)</v>
      </c>
      <c r="F471" s="9">
        <f>IFERROR(VLOOKUP($D471,FIYAT!$B:$O,5,FALSE()),"")</f>
        <v>1362</v>
      </c>
      <c r="G471" s="9">
        <f>IFERROR(VLOOKUP($D471,FIYAT!$B:$O,8,FALSE()),"")</f>
        <v>817.19999999999993</v>
      </c>
      <c r="H471" s="9">
        <f t="shared" si="56"/>
        <v>10623.599999999999</v>
      </c>
      <c r="I471" s="6">
        <v>13</v>
      </c>
      <c r="J471" s="9" t="str">
        <f>IFERROR(VLOOKUP($D471,FIYAT!$B:$O,9,FALSE()),"")</f>
        <v>Шт.</v>
      </c>
      <c r="K471" s="9" t="str">
        <f>IFERROR(VLOOKUP($D471,FIYAT!$B:$O,4,FALSE()),"")</f>
        <v>CHINT</v>
      </c>
      <c r="L471" s="9">
        <f t="shared" si="57"/>
        <v>10623.599999999999</v>
      </c>
      <c r="M471" s="9"/>
      <c r="N471" s="9"/>
      <c r="O471" s="9"/>
      <c r="P471" s="9" t="str">
        <f>IF($H471="","FIYAT_YOK",IFERROR(VLOOKUP($D471,FIYAT!$B:$P,15,FALSE()),""))</f>
        <v>OK</v>
      </c>
      <c r="Q471" s="9" t="s">
        <v>208</v>
      </c>
      <c r="R471" s="9" t="s">
        <v>184</v>
      </c>
      <c r="S471" s="9" t="s">
        <v>550</v>
      </c>
      <c r="T471" s="9" t="s">
        <v>47</v>
      </c>
      <c r="U471" s="9">
        <f>IFERROR(VLOOKUP($T471,KURALLAR!$A$32:$B$63,2,FALSE()),0)*IF(ISNUMBER($I471),$I471,0)</f>
        <v>39</v>
      </c>
    </row>
    <row r="472" spans="1:21" x14ac:dyDescent="0.25">
      <c r="A472" s="5">
        <v>471</v>
      </c>
      <c r="B472" s="5"/>
      <c r="C472" s="5" t="s">
        <v>93</v>
      </c>
      <c r="D472" s="5" t="s">
        <v>209</v>
      </c>
      <c r="E472" s="5" t="str">
        <f>IFERROR(VLOOKUP($D472,FIYAT!$B:$O,2,FALSE()),"")</f>
        <v>Шина "N" нулевая 6х9мм на DIN-рейку в корпусном изоляторе ШНИ 12К IEK (10)</v>
      </c>
      <c r="F472" s="5">
        <f>IFERROR(VLOOKUP($D472,FIYAT!$B:$O,5,FALSE()),"")</f>
        <v>755</v>
      </c>
      <c r="G472" s="5">
        <f>IFERROR(VLOOKUP($D472,FIYAT!$B:$O,8,FALSE()),"")</f>
        <v>453</v>
      </c>
      <c r="H472" s="5">
        <f t="shared" si="56"/>
        <v>1812</v>
      </c>
      <c r="I472" s="6">
        <v>4</v>
      </c>
      <c r="J472" s="5" t="str">
        <f>IFERROR(VLOOKUP($D472,FIYAT!$B:$O,9,FALSE()),"")</f>
        <v>Шт.</v>
      </c>
      <c r="K472" s="5" t="str">
        <f>IFERROR(VLOOKUP($D472,FIYAT!$B:$O,4,FALSE()),"")</f>
        <v>KAZTEK</v>
      </c>
      <c r="L472" s="5">
        <f t="shared" si="57"/>
        <v>1812</v>
      </c>
      <c r="M472" s="5"/>
      <c r="N472" s="5"/>
      <c r="O472" s="5"/>
      <c r="P472" s="5" t="str">
        <f>IF($H472="","FIYAT_YOK",IFERROR(VLOOKUP($D472,FIYAT!$B:$P,15,FALSE()),""))</f>
        <v>MUADIL</v>
      </c>
      <c r="Q472" s="5" t="s">
        <v>212</v>
      </c>
      <c r="R472" s="5" t="s">
        <v>211</v>
      </c>
      <c r="S472" s="5" t="s">
        <v>550</v>
      </c>
      <c r="T472" s="5" t="s">
        <v>93</v>
      </c>
      <c r="U472" s="5">
        <f>IFERROR(VLOOKUP($T472,KURALLAR!$A$32:$B$63,2,FALSE()),0)*IF(ISNUMBER($I472),$I472,0)</f>
        <v>32</v>
      </c>
    </row>
    <row r="473" spans="1:21" x14ac:dyDescent="0.25">
      <c r="A473" s="9">
        <v>472</v>
      </c>
      <c r="B473" s="9"/>
      <c r="C473" s="9" t="s">
        <v>222</v>
      </c>
      <c r="D473" s="9" t="s">
        <v>220</v>
      </c>
      <c r="E473" s="9" t="str">
        <f>IFERROR(VLOOKUP($D473,FIYAT!$B:$O,2,FALSE()),"")</f>
        <v>ЩМП (инд.) IP31 (650х500х150мм)</v>
      </c>
      <c r="F473" s="9">
        <f>IFERROR(VLOOKUP($D473,FIYAT!$B:$O,5,FALSE()),"")</f>
        <v>27825</v>
      </c>
      <c r="G473" s="9">
        <f>IFERROR(VLOOKUP($D473,FIYAT!$B:$O,8,FALSE()),"")</f>
        <v>16695</v>
      </c>
      <c r="H473" s="9">
        <f t="shared" si="56"/>
        <v>16695</v>
      </c>
      <c r="I473" s="6">
        <v>1</v>
      </c>
      <c r="J473" s="9" t="str">
        <f>IFERROR(VLOOKUP($D473,FIYAT!$B:$O,9,FALSE()),"")</f>
        <v>Шт.</v>
      </c>
      <c r="K473" s="9" t="str">
        <f>IFERROR(VLOOKUP($D473,FIYAT!$B:$O,4,FALSE()),"")</f>
        <v>KAZTEK</v>
      </c>
      <c r="L473" s="9">
        <f t="shared" si="57"/>
        <v>16695</v>
      </c>
      <c r="M473" s="9"/>
      <c r="N473" s="9"/>
      <c r="O473" s="9"/>
      <c r="P473" s="9" t="str">
        <f>IF($H473="","FIYAT_YOK",IFERROR(VLOOKUP($D473,FIYAT!$B:$P,15,FALSE()),""))</f>
        <v>VARSAYIM</v>
      </c>
      <c r="Q473" s="9" t="s">
        <v>223</v>
      </c>
      <c r="R473" s="9" t="s">
        <v>211</v>
      </c>
      <c r="S473" s="9" t="s">
        <v>550</v>
      </c>
      <c r="T473" s="9" t="s">
        <v>105</v>
      </c>
      <c r="U473" s="9">
        <f>IFERROR(VLOOKUP($T473,KURALLAR!$A$32:$B$63,2,FALSE()),0)*IF(ISNUMBER($I473),$I473,0)</f>
        <v>30</v>
      </c>
    </row>
    <row r="474" spans="1:21" x14ac:dyDescent="0.25">
      <c r="A474" s="5">
        <v>473</v>
      </c>
      <c r="B474" s="5"/>
      <c r="C474" s="5" t="s">
        <v>215</v>
      </c>
      <c r="D474" s="5" t="s">
        <v>213</v>
      </c>
      <c r="E474" s="5" t="str">
        <f>IFERROR(VLOOKUP($D474,FIYAT!$B:$O,2,FALSE()),"")</f>
        <v>Монтажный расходный материал (кабель, DIN-рейка, кабель-канал, клеммы, маркировка, крепёж)</v>
      </c>
      <c r="F474" s="5">
        <f>IFERROR(VLOOKUP($D474,FIYAT!$B:$O,5,FALSE()),"")</f>
        <v>0</v>
      </c>
      <c r="G474" s="5" t="str">
        <f>IFERROR(VLOOKUP($D474,FIYAT!$B:$O,8,FALSE()),"")</f>
        <v/>
      </c>
      <c r="H474" s="5">
        <f>ROUND(SUM($H$462:$H$473)*KURALLAR!$B$28,0)</f>
        <v>8998</v>
      </c>
      <c r="I474" s="6">
        <v>1</v>
      </c>
      <c r="J474" s="5" t="str">
        <f>IFERROR(VLOOKUP($D474,FIYAT!$B:$O,9,FALSE()),"")</f>
        <v>компл.</v>
      </c>
      <c r="K474" s="5" t="str">
        <f>IFERROR(VLOOKUP($D474,FIYAT!$B:$O,4,FALSE()),"")</f>
        <v>MUADIL-NET</v>
      </c>
      <c r="L474" s="5">
        <f t="shared" si="57"/>
        <v>8998</v>
      </c>
      <c r="M474" s="5"/>
      <c r="N474" s="5"/>
      <c r="O474" s="5"/>
      <c r="P474" s="5" t="str">
        <f>IF($H474="","FIYAT_YOK",IFERROR(VLOOKUP($D474,FIYAT!$B:$P,15,FALSE()),""))</f>
        <v>ORAN</v>
      </c>
      <c r="Q474" s="5" t="s">
        <v>218</v>
      </c>
      <c r="R474" s="5" t="s">
        <v>217</v>
      </c>
      <c r="S474" s="5" t="s">
        <v>550</v>
      </c>
      <c r="T474" s="5"/>
      <c r="U474" s="5">
        <v>0</v>
      </c>
    </row>
    <row r="475" spans="1:21" x14ac:dyDescent="0.25">
      <c r="A475" s="9">
        <v>474</v>
      </c>
      <c r="B475" s="9"/>
      <c r="C475" s="9" t="s">
        <v>227</v>
      </c>
      <c r="D475" s="9" t="s">
        <v>225</v>
      </c>
      <c r="E475" s="9" t="str">
        <f>IFERROR(VLOOKUP($D475,FIYAT!$B:$O,2,FALSE()),"")</f>
        <v>Сборка, кабелирование, маркировка, момент затяжки, испытания</v>
      </c>
      <c r="F475" s="9">
        <f>IFERROR(VLOOKUP($D475,FIYAT!$B:$O,5,FALSE()),"")</f>
        <v>100</v>
      </c>
      <c r="G475" s="9">
        <f>IFERROR(VLOOKUP($D475,FIYAT!$B:$O,8,FALSE()),"")</f>
        <v>100</v>
      </c>
      <c r="H475" s="9">
        <f>IF(OR($G475="",$I475=""),"",$G475*$I475)</f>
        <v>24200</v>
      </c>
      <c r="I475" s="6">
        <f>ROUND(SUM($U$462:$U$474)*KURALLAR!$B$27,0)</f>
        <v>242</v>
      </c>
      <c r="J475" s="9" t="str">
        <f>IFERROR(VLOOKUP($D475,FIYAT!$B:$O,9,FALSE()),"")</f>
        <v>мин</v>
      </c>
      <c r="K475" s="9" t="str">
        <f>IFERROR(VLOOKUP($D475,FIYAT!$B:$O,4,FALSE()),"")</f>
        <v>ISCILIK</v>
      </c>
      <c r="L475" s="9">
        <f t="shared" si="57"/>
        <v>24200</v>
      </c>
      <c r="M475" s="9"/>
      <c r="N475" s="9"/>
      <c r="O475" s="9"/>
      <c r="P475" s="9" t="str">
        <f>IF($H475="","FIYAT_YOK",IFERROR(VLOOKUP($D475,FIYAT!$B:$P,15,FALSE()),""))</f>
        <v>OK</v>
      </c>
      <c r="Q475" s="9" t="str">
        <f>CONCATENATE("montaj+test iscilik: ",TEXT($I475,"# ##0")," dk = ",TEXT($I475/60,"0,00")," saat (norm x test/etiket carpani)")</f>
        <v>montaj+test iscilik:  242 dk = 4,03 saat (norm x test/etiket carpani)</v>
      </c>
      <c r="R475" s="9" t="s">
        <v>229</v>
      </c>
      <c r="S475" s="9" t="s">
        <v>550</v>
      </c>
      <c r="T475" s="9"/>
      <c r="U475" s="9">
        <v>0</v>
      </c>
    </row>
    <row r="476" spans="1:21" x14ac:dyDescent="0.25">
      <c r="A476" s="10">
        <v>475</v>
      </c>
      <c r="B476" s="10" t="s">
        <v>607</v>
      </c>
      <c r="C476" s="10"/>
      <c r="D476" s="10"/>
      <c r="E476" s="10"/>
      <c r="F476" s="10"/>
      <c r="G476" s="10"/>
      <c r="H476" s="10">
        <f>SUBTOTAL(9,H462:H475)</f>
        <v>161737.79999999999</v>
      </c>
      <c r="I476" s="10"/>
      <c r="J476" s="10"/>
      <c r="K476" s="10"/>
      <c r="L476" s="10">
        <f>SUBTOTAL(9,L462:L475)</f>
        <v>161737.79999999999</v>
      </c>
      <c r="M476" s="10"/>
      <c r="N476" s="10"/>
      <c r="O476" s="10"/>
      <c r="P476" s="10"/>
      <c r="Q476" s="10"/>
      <c r="R476" s="10"/>
      <c r="S476" s="10"/>
      <c r="T476" s="10"/>
      <c r="U476" s="10">
        <f>SUBTOTAL(9,U462:U475)</f>
        <v>210</v>
      </c>
    </row>
    <row r="477" spans="1:21" x14ac:dyDescent="0.25">
      <c r="A477" s="8">
        <v>476</v>
      </c>
      <c r="B477" s="8" t="str">
        <f>E477</f>
        <v>BLOK A / 21F-ИБП.1 — НКУ 380/220В 50Гц, FORM 2B, IP31/54</v>
      </c>
      <c r="C477" s="8" t="s">
        <v>545</v>
      </c>
      <c r="D477" s="8"/>
      <c r="E477" s="8" t="s">
        <v>608</v>
      </c>
      <c r="F477" s="8"/>
      <c r="G477" s="8"/>
      <c r="H477" s="8"/>
      <c r="I477" s="8">
        <v>1</v>
      </c>
      <c r="J477" s="8" t="s">
        <v>547</v>
      </c>
      <c r="K477" s="8"/>
      <c r="L477" s="8"/>
      <c r="M477" s="8"/>
      <c r="N477" s="8"/>
      <c r="O477" s="8"/>
      <c r="P477" s="8" t="s">
        <v>178</v>
      </c>
      <c r="Q477" s="8" t="s">
        <v>548</v>
      </c>
      <c r="R477" s="8" t="s">
        <v>549</v>
      </c>
      <c r="S477" s="8" t="s">
        <v>550</v>
      </c>
      <c r="T477" s="8"/>
      <c r="U477" s="8"/>
    </row>
    <row r="478" spans="1:21" x14ac:dyDescent="0.25">
      <c r="A478" s="5">
        <v>477</v>
      </c>
      <c r="B478" s="5"/>
      <c r="C478" s="5" t="s">
        <v>169</v>
      </c>
      <c r="D478" s="5" t="s">
        <v>167</v>
      </c>
      <c r="E478" s="5" t="str">
        <f>IFERROR(VLOOKUP($D478,FIYAT!$B:$O,2,FALSE()),"")</f>
        <v>Авт. выкл. NM8N-125C TM 3P 32А 36кА с рег. термомаг. расцепителем (R)</v>
      </c>
      <c r="F478" s="5">
        <f>IFERROR(VLOOKUP($D478,FIYAT!$B:$O,5,FALSE()),"")</f>
        <v>64667</v>
      </c>
      <c r="G478" s="5">
        <f>IFERROR(VLOOKUP($D478,FIYAT!$B:$O,8,FALSE()),"")</f>
        <v>38800.199999999997</v>
      </c>
      <c r="H478" s="5">
        <f t="shared" ref="H478:H489" si="58">IF(OR($G478="",$I478=""),"",$G478*$I478)</f>
        <v>38800.199999999997</v>
      </c>
      <c r="I478" s="6">
        <v>1</v>
      </c>
      <c r="J478" s="5" t="str">
        <f>IFERROR(VLOOKUP($D478,FIYAT!$B:$O,9,FALSE()),"")</f>
        <v>Шт.</v>
      </c>
      <c r="K478" s="5" t="str">
        <f>IFERROR(VLOOKUP($D478,FIYAT!$B:$O,4,FALSE()),"")</f>
        <v>CHINT</v>
      </c>
      <c r="L478" s="5">
        <f t="shared" ref="L478:L491" si="59">IF($H478="","",$H478)</f>
        <v>38800.199999999997</v>
      </c>
      <c r="M478" s="5"/>
      <c r="N478" s="5"/>
      <c r="O478" s="5"/>
      <c r="P478" s="5" t="str">
        <f>IF($H478="","FIYAT_YOK",IFERROR(VLOOKUP($D478,FIYAT!$B:$P,15,FALSE()),""))</f>
        <v>MUADIL</v>
      </c>
      <c r="Q478" s="5" t="s">
        <v>172</v>
      </c>
      <c r="R478" s="5" t="s">
        <v>171</v>
      </c>
      <c r="S478" s="5" t="s">
        <v>550</v>
      </c>
      <c r="T478" s="5" t="s">
        <v>61</v>
      </c>
      <c r="U478" s="5">
        <f>IFERROR(VLOOKUP($T478,KURALLAR!$A$32:$B$63,2,FALSE()),0)*IF(ISNUMBER($I478),$I478,0)</f>
        <v>15</v>
      </c>
    </row>
    <row r="479" spans="1:21" x14ac:dyDescent="0.25">
      <c r="A479" s="9">
        <v>478</v>
      </c>
      <c r="B479" s="9"/>
      <c r="C479" s="9" t="s">
        <v>176</v>
      </c>
      <c r="D479" s="9" t="s">
        <v>174</v>
      </c>
      <c r="E479" s="9" t="str">
        <f>IFERROR(VLOOKUP($D479,FIYAT!$B:$O,2,FALSE()),"")</f>
        <v>УЗО NL1-63 6kA 4P 63A 300mA тип AC (R)</v>
      </c>
      <c r="F479" s="9">
        <f>IFERROR(VLOOKUP($D479,FIYAT!$B:$O,5,FALSE()),"")</f>
        <v>18106</v>
      </c>
      <c r="G479" s="9">
        <f>IFERROR(VLOOKUP($D479,FIYAT!$B:$O,8,FALSE()),"")</f>
        <v>10863.6</v>
      </c>
      <c r="H479" s="9">
        <f t="shared" si="58"/>
        <v>10863.6</v>
      </c>
      <c r="I479" s="6">
        <v>1</v>
      </c>
      <c r="J479" s="9" t="str">
        <f>IFERROR(VLOOKUP($D479,FIYAT!$B:$O,9,FALSE()),"")</f>
        <v>Шт.</v>
      </c>
      <c r="K479" s="9" t="str">
        <f>IFERROR(VLOOKUP($D479,FIYAT!$B:$O,4,FALSE()),"")</f>
        <v>CHINT</v>
      </c>
      <c r="L479" s="9">
        <f t="shared" si="59"/>
        <v>10863.6</v>
      </c>
      <c r="M479" s="9"/>
      <c r="N479" s="9"/>
      <c r="O479" s="9"/>
      <c r="P479" s="9" t="str">
        <f>IF($H479="","FIYAT_YOK",IFERROR(VLOOKUP($D479,FIYAT!$B:$P,15,FALSE()),""))</f>
        <v>OK</v>
      </c>
      <c r="Q479" s="9" t="s">
        <v>177</v>
      </c>
      <c r="R479" s="9" t="s">
        <v>171</v>
      </c>
      <c r="S479" s="9" t="s">
        <v>550</v>
      </c>
      <c r="T479" s="9" t="s">
        <v>57</v>
      </c>
      <c r="U479" s="9">
        <f>IFERROR(VLOOKUP($T479,KURALLAR!$A$32:$B$63,2,FALSE()),0)*IF(ISNUMBER($I479),$I479,0)</f>
        <v>10</v>
      </c>
    </row>
    <row r="480" spans="1:21" x14ac:dyDescent="0.25">
      <c r="A480" s="5">
        <v>479</v>
      </c>
      <c r="B480" s="5"/>
      <c r="C480" s="5" t="s">
        <v>79</v>
      </c>
      <c r="D480" s="5" t="s">
        <v>179</v>
      </c>
      <c r="E480" s="5" t="str">
        <f>IFERROR(VLOOKUP($D480,FIYAT!$B:$O,2,FALSE()),"")</f>
        <v>Держатель плавкой вставки RT36-00-160, габарит 00, 160А</v>
      </c>
      <c r="F480" s="5">
        <f>IFERROR(VLOOKUP($D480,FIYAT!$B:$O,5,FALSE()),"")</f>
        <v>2038</v>
      </c>
      <c r="G480" s="5">
        <f>IFERROR(VLOOKUP($D480,FIYAT!$B:$O,8,FALSE()),"")</f>
        <v>1222.8</v>
      </c>
      <c r="H480" s="5">
        <f t="shared" si="58"/>
        <v>4891.2</v>
      </c>
      <c r="I480" s="6">
        <v>4</v>
      </c>
      <c r="J480" s="5" t="str">
        <f>IFERROR(VLOOKUP($D480,FIYAT!$B:$O,9,FALSE()),"")</f>
        <v>Шт.</v>
      </c>
      <c r="K480" s="5" t="str">
        <f>IFERROR(VLOOKUP($D480,FIYAT!$B:$O,4,FALSE()),"")</f>
        <v>CHINT</v>
      </c>
      <c r="L480" s="5">
        <f t="shared" si="59"/>
        <v>4891.2</v>
      </c>
      <c r="M480" s="5"/>
      <c r="N480" s="5"/>
      <c r="O480" s="5"/>
      <c r="P480" s="5" t="str">
        <f>IF($H480="","FIYAT_YOK",IFERROR(VLOOKUP($D480,FIYAT!$B:$P,15,FALSE()),""))</f>
        <v>MUADIL</v>
      </c>
      <c r="Q480" s="5" t="s">
        <v>181</v>
      </c>
      <c r="R480" s="5" t="s">
        <v>171</v>
      </c>
      <c r="S480" s="5" t="s">
        <v>550</v>
      </c>
      <c r="T480" s="5" t="s">
        <v>77</v>
      </c>
      <c r="U480" s="5">
        <f>IFERROR(VLOOKUP($T480,KURALLAR!$A$32:$B$63,2,FALSE()),0)*IF(ISNUMBER($I480),$I480,0)</f>
        <v>20</v>
      </c>
    </row>
    <row r="481" spans="1:21" x14ac:dyDescent="0.25">
      <c r="A481" s="9">
        <v>480</v>
      </c>
      <c r="B481" s="9"/>
      <c r="C481" s="9" t="s">
        <v>79</v>
      </c>
      <c r="D481" s="9" t="s">
        <v>182</v>
      </c>
      <c r="E481" s="9" t="str">
        <f>IFERROR(VLOOKUP($D481,FIYAT!$B:$O,2,FALSE()),"")</f>
        <v>Плавкая вставка предохранителя RT36-00-160, габарит 00, 63А</v>
      </c>
      <c r="F481" s="9">
        <f>IFERROR(VLOOKUP($D481,FIYAT!$B:$O,5,FALSE()),"")</f>
        <v>1525</v>
      </c>
      <c r="G481" s="9">
        <f>IFERROR(VLOOKUP($D481,FIYAT!$B:$O,8,FALSE()),"")</f>
        <v>915</v>
      </c>
      <c r="H481" s="9">
        <f t="shared" si="58"/>
        <v>3660</v>
      </c>
      <c r="I481" s="6">
        <v>4</v>
      </c>
      <c r="J481" s="9" t="str">
        <f>IFERROR(VLOOKUP($D481,FIYAT!$B:$O,9,FALSE()),"")</f>
        <v>Шт.</v>
      </c>
      <c r="K481" s="9" t="str">
        <f>IFERROR(VLOOKUP($D481,FIYAT!$B:$O,4,FALSE()),"")</f>
        <v>CHINT</v>
      </c>
      <c r="L481" s="9">
        <f t="shared" si="59"/>
        <v>3660</v>
      </c>
      <c r="M481" s="9"/>
      <c r="N481" s="9"/>
      <c r="O481" s="9"/>
      <c r="P481" s="9" t="str">
        <f>IF($H481="","FIYAT_YOK",IFERROR(VLOOKUP($D481,FIYAT!$B:$P,15,FALSE()),""))</f>
        <v>MUADIL</v>
      </c>
      <c r="Q481" s="9" t="s">
        <v>185</v>
      </c>
      <c r="R481" s="9" t="s">
        <v>184</v>
      </c>
      <c r="S481" s="9" t="s">
        <v>550</v>
      </c>
      <c r="T481" s="9" t="s">
        <v>79</v>
      </c>
      <c r="U481" s="9">
        <f>IFERROR(VLOOKUP($T481,KURALLAR!$A$32:$B$63,2,FALSE()),0)*IF(ISNUMBER($I481),$I481,0)</f>
        <v>12</v>
      </c>
    </row>
    <row r="482" spans="1:21" x14ac:dyDescent="0.25">
      <c r="A482" s="5">
        <v>481</v>
      </c>
      <c r="B482" s="5"/>
      <c r="C482" s="5" t="s">
        <v>75</v>
      </c>
      <c r="D482" s="5" t="s">
        <v>186</v>
      </c>
      <c r="E482" s="5" t="str">
        <f>IFERROR(VLOOKUP($D482,FIYAT!$B:$O,2,FALSE()),"")</f>
        <v>Ограничитель имп. перенапр. NU6-IIG 4Р In=25kA Uc=440B Im=65kA (R)</v>
      </c>
      <c r="F482" s="5">
        <f>IFERROR(VLOOKUP($D482,FIYAT!$B:$O,5,FALSE()),"")</f>
        <v>33208</v>
      </c>
      <c r="G482" s="5">
        <f>IFERROR(VLOOKUP($D482,FIYAT!$B:$O,8,FALSE()),"")</f>
        <v>19924.8</v>
      </c>
      <c r="H482" s="5">
        <f t="shared" si="58"/>
        <v>19924.8</v>
      </c>
      <c r="I482" s="6">
        <v>1</v>
      </c>
      <c r="J482" s="5" t="str">
        <f>IFERROR(VLOOKUP($D482,FIYAT!$B:$O,9,FALSE()),"")</f>
        <v>Шт.</v>
      </c>
      <c r="K482" s="5" t="str">
        <f>IFERROR(VLOOKUP($D482,FIYAT!$B:$O,4,FALSE()),"")</f>
        <v>CHINT</v>
      </c>
      <c r="L482" s="5">
        <f t="shared" si="59"/>
        <v>19924.8</v>
      </c>
      <c r="M482" s="5"/>
      <c r="N482" s="5"/>
      <c r="O482" s="5"/>
      <c r="P482" s="5" t="str">
        <f>IF($H482="","FIYAT_YOK",IFERROR(VLOOKUP($D482,FIYAT!$B:$P,15,FALSE()),""))</f>
        <v>MUADIL_ONAY</v>
      </c>
      <c r="Q482" s="5" t="s">
        <v>188</v>
      </c>
      <c r="R482" s="5" t="s">
        <v>184</v>
      </c>
      <c r="S482" s="5" t="s">
        <v>550</v>
      </c>
      <c r="T482" s="5" t="s">
        <v>75</v>
      </c>
      <c r="U482" s="5">
        <f>IFERROR(VLOOKUP($T482,KURALLAR!$A$32:$B$63,2,FALSE()),0)*IF(ISNUMBER($I482),$I482,0)</f>
        <v>10</v>
      </c>
    </row>
    <row r="483" spans="1:21" x14ac:dyDescent="0.25">
      <c r="A483" s="9">
        <v>482</v>
      </c>
      <c r="B483" s="9"/>
      <c r="C483" s="9" t="s">
        <v>192</v>
      </c>
      <c r="D483" s="9" t="s">
        <v>321</v>
      </c>
      <c r="E483" s="9" t="str">
        <f>IFERROR(VLOOKUP($D483,FIYAT!$B:$O,2,FALSE()),"")</f>
        <v>Авт. выкл. NXB-63 1P 25A 6кА х-ка C (R)</v>
      </c>
      <c r="F483" s="9">
        <f>IFERROR(VLOOKUP($D483,FIYAT!$B:$O,5,FALSE()),"")</f>
        <v>1330</v>
      </c>
      <c r="G483" s="9">
        <f>IFERROR(VLOOKUP($D483,FIYAT!$B:$O,8,FALSE()),"")</f>
        <v>798</v>
      </c>
      <c r="H483" s="9">
        <f t="shared" si="58"/>
        <v>798</v>
      </c>
      <c r="I483" s="6">
        <v>1</v>
      </c>
      <c r="J483" s="9" t="str">
        <f>IFERROR(VLOOKUP($D483,FIYAT!$B:$O,9,FALSE()),"")</f>
        <v>Шт.</v>
      </c>
      <c r="K483" s="9" t="str">
        <f>IFERROR(VLOOKUP($D483,FIYAT!$B:$O,4,FALSE()),"")</f>
        <v>CHINT</v>
      </c>
      <c r="L483" s="9">
        <f t="shared" si="59"/>
        <v>798</v>
      </c>
      <c r="M483" s="9"/>
      <c r="N483" s="9"/>
      <c r="O483" s="9"/>
      <c r="P483" s="9" t="str">
        <f>IF($H483="","FIYAT_YOK",IFERROR(VLOOKUP($D483,FIYAT!$B:$P,15,FALSE()),""))</f>
        <v>OK</v>
      </c>
      <c r="Q483" s="9" t="s">
        <v>323</v>
      </c>
      <c r="R483" s="9" t="s">
        <v>171</v>
      </c>
      <c r="S483" s="9" t="s">
        <v>550</v>
      </c>
      <c r="T483" s="9" t="s">
        <v>47</v>
      </c>
      <c r="U483" s="9">
        <f>IFERROR(VLOOKUP($T483,KURALLAR!$A$32:$B$63,2,FALSE()),0)*IF(ISNUMBER($I483),$I483,0)</f>
        <v>3</v>
      </c>
    </row>
    <row r="484" spans="1:21" x14ac:dyDescent="0.25">
      <c r="A484" s="5">
        <v>483</v>
      </c>
      <c r="B484" s="5"/>
      <c r="C484" s="5" t="s">
        <v>176</v>
      </c>
      <c r="D484" s="5" t="s">
        <v>324</v>
      </c>
      <c r="E484" s="5" t="str">
        <f>IFERROR(VLOOKUP($D484,FIYAT!$B:$O,2,FALSE()),"")</f>
        <v>УЗО NL1-63 6kA 2P 25A 30mA тип AC (R)</v>
      </c>
      <c r="F484" s="5">
        <f>IFERROR(VLOOKUP($D484,FIYAT!$B:$O,5,FALSE()),"")</f>
        <v>10809</v>
      </c>
      <c r="G484" s="5">
        <f>IFERROR(VLOOKUP($D484,FIYAT!$B:$O,8,FALSE()),"")</f>
        <v>6485.4</v>
      </c>
      <c r="H484" s="5">
        <f t="shared" si="58"/>
        <v>6485.4</v>
      </c>
      <c r="I484" s="6">
        <v>1</v>
      </c>
      <c r="J484" s="5" t="str">
        <f>IFERROR(VLOOKUP($D484,FIYAT!$B:$O,9,FALSE()),"")</f>
        <v>Шт.</v>
      </c>
      <c r="K484" s="5" t="str">
        <f>IFERROR(VLOOKUP($D484,FIYAT!$B:$O,4,FALSE()),"")</f>
        <v>CHINT</v>
      </c>
      <c r="L484" s="5">
        <f t="shared" si="59"/>
        <v>6485.4</v>
      </c>
      <c r="M484" s="5"/>
      <c r="N484" s="5"/>
      <c r="O484" s="5"/>
      <c r="P484" s="5" t="str">
        <f>IF($H484="","FIYAT_YOK",IFERROR(VLOOKUP($D484,FIYAT!$B:$P,15,FALSE()),""))</f>
        <v>OK</v>
      </c>
      <c r="Q484" s="5" t="s">
        <v>326</v>
      </c>
      <c r="R484" s="5" t="s">
        <v>171</v>
      </c>
      <c r="S484" s="5" t="s">
        <v>550</v>
      </c>
      <c r="T484" s="5" t="s">
        <v>55</v>
      </c>
      <c r="U484" s="5">
        <f>IFERROR(VLOOKUP($T484,KURALLAR!$A$32:$B$63,2,FALSE()),0)*IF(ISNUMBER($I484),$I484,0)</f>
        <v>6</v>
      </c>
    </row>
    <row r="485" spans="1:21" x14ac:dyDescent="0.25">
      <c r="A485" s="9">
        <v>484</v>
      </c>
      <c r="B485" s="9"/>
      <c r="C485" s="9" t="s">
        <v>192</v>
      </c>
      <c r="D485" s="9" t="s">
        <v>194</v>
      </c>
      <c r="E485" s="9" t="str">
        <f>IFERROR(VLOOKUP($D485,FIYAT!$B:$O,2,FALSE()),"")</f>
        <v>Авт. выкл. NXB-63 1P 16A 6кА х-ка C (R)</v>
      </c>
      <c r="F485" s="9">
        <f>IFERROR(VLOOKUP($D485,FIYAT!$B:$O,5,FALSE()),"")</f>
        <v>1389</v>
      </c>
      <c r="G485" s="9">
        <f>IFERROR(VLOOKUP($D485,FIYAT!$B:$O,8,FALSE()),"")</f>
        <v>833.4</v>
      </c>
      <c r="H485" s="9">
        <f t="shared" si="58"/>
        <v>7500.5999999999995</v>
      </c>
      <c r="I485" s="6">
        <v>9</v>
      </c>
      <c r="J485" s="9" t="str">
        <f>IFERROR(VLOOKUP($D485,FIYAT!$B:$O,9,FALSE()),"")</f>
        <v>Шт.</v>
      </c>
      <c r="K485" s="9" t="str">
        <f>IFERROR(VLOOKUP($D485,FIYAT!$B:$O,4,FALSE()),"")</f>
        <v>CHINT</v>
      </c>
      <c r="L485" s="9">
        <f t="shared" si="59"/>
        <v>7500.5999999999995</v>
      </c>
      <c r="M485" s="9"/>
      <c r="N485" s="9"/>
      <c r="O485" s="9"/>
      <c r="P485" s="9" t="str">
        <f>IF($H485="","FIYAT_YOK",IFERROR(VLOOKUP($D485,FIYAT!$B:$P,15,FALSE()),""))</f>
        <v>OK</v>
      </c>
      <c r="Q485" s="9" t="s">
        <v>196</v>
      </c>
      <c r="R485" s="9" t="s">
        <v>171</v>
      </c>
      <c r="S485" s="9" t="s">
        <v>550</v>
      </c>
      <c r="T485" s="9" t="s">
        <v>47</v>
      </c>
      <c r="U485" s="9">
        <f>IFERROR(VLOOKUP($T485,KURALLAR!$A$32:$B$63,2,FALSE()),0)*IF(ISNUMBER($I485),$I485,0)</f>
        <v>27</v>
      </c>
    </row>
    <row r="486" spans="1:21" x14ac:dyDescent="0.25">
      <c r="A486" s="5">
        <v>485</v>
      </c>
      <c r="B486" s="5"/>
      <c r="C486" s="5" t="s">
        <v>176</v>
      </c>
      <c r="D486" s="5" t="s">
        <v>200</v>
      </c>
      <c r="E486" s="5" t="str">
        <f>IFERROR(VLOOKUP($D486,FIYAT!$B:$O,2,FALSE()),"")</f>
        <v>УЗО NL1-63 6kA 2P 16A 30mA тип AC (R)</v>
      </c>
      <c r="F486" s="5">
        <f>IFERROR(VLOOKUP($D486,FIYAT!$B:$O,5,FALSE()),"")</f>
        <v>10809</v>
      </c>
      <c r="G486" s="5">
        <f>IFERROR(VLOOKUP($D486,FIYAT!$B:$O,8,FALSE()),"")</f>
        <v>6485.4</v>
      </c>
      <c r="H486" s="5">
        <f t="shared" si="58"/>
        <v>6485.4</v>
      </c>
      <c r="I486" s="6">
        <v>1</v>
      </c>
      <c r="J486" s="5" t="str">
        <f>IFERROR(VLOOKUP($D486,FIYAT!$B:$O,9,FALSE()),"")</f>
        <v>Шт.</v>
      </c>
      <c r="K486" s="5" t="str">
        <f>IFERROR(VLOOKUP($D486,FIYAT!$B:$O,4,FALSE()),"")</f>
        <v>CHINT</v>
      </c>
      <c r="L486" s="5">
        <f t="shared" si="59"/>
        <v>6485.4</v>
      </c>
      <c r="M486" s="5"/>
      <c r="N486" s="5"/>
      <c r="O486" s="5"/>
      <c r="P486" s="5" t="str">
        <f>IF($H486="","FIYAT_YOK",IFERROR(VLOOKUP($D486,FIYAT!$B:$P,15,FALSE()),""))</f>
        <v>OK</v>
      </c>
      <c r="Q486" s="5" t="s">
        <v>202</v>
      </c>
      <c r="R486" s="5" t="s">
        <v>171</v>
      </c>
      <c r="S486" s="5" t="s">
        <v>550</v>
      </c>
      <c r="T486" s="5" t="s">
        <v>55</v>
      </c>
      <c r="U486" s="5">
        <f>IFERROR(VLOOKUP($T486,KURALLAR!$A$32:$B$63,2,FALSE()),0)*IF(ISNUMBER($I486),$I486,0)</f>
        <v>6</v>
      </c>
    </row>
    <row r="487" spans="1:21" x14ac:dyDescent="0.25">
      <c r="A487" s="9">
        <v>486</v>
      </c>
      <c r="B487" s="9"/>
      <c r="C487" s="9" t="s">
        <v>192</v>
      </c>
      <c r="D487" s="9" t="s">
        <v>206</v>
      </c>
      <c r="E487" s="9" t="str">
        <f>IFERROR(VLOOKUP($D487,FIYAT!$B:$O,2,FALSE()),"")</f>
        <v>Авт. выкл. NXB-63 1P 10A 6кА х-ка C (R)</v>
      </c>
      <c r="F487" s="9">
        <f>IFERROR(VLOOKUP($D487,FIYAT!$B:$O,5,FALSE()),"")</f>
        <v>1362</v>
      </c>
      <c r="G487" s="9">
        <f>IFERROR(VLOOKUP($D487,FIYAT!$B:$O,8,FALSE()),"")</f>
        <v>817.19999999999993</v>
      </c>
      <c r="H487" s="9">
        <f t="shared" si="58"/>
        <v>11440.8</v>
      </c>
      <c r="I487" s="6">
        <v>14</v>
      </c>
      <c r="J487" s="9" t="str">
        <f>IFERROR(VLOOKUP($D487,FIYAT!$B:$O,9,FALSE()),"")</f>
        <v>Шт.</v>
      </c>
      <c r="K487" s="9" t="str">
        <f>IFERROR(VLOOKUP($D487,FIYAT!$B:$O,4,FALSE()),"")</f>
        <v>CHINT</v>
      </c>
      <c r="L487" s="9">
        <f t="shared" si="59"/>
        <v>11440.8</v>
      </c>
      <c r="M487" s="9"/>
      <c r="N487" s="9"/>
      <c r="O487" s="9"/>
      <c r="P487" s="9" t="str">
        <f>IF($H487="","FIYAT_YOK",IFERROR(VLOOKUP($D487,FIYAT!$B:$P,15,FALSE()),""))</f>
        <v>OK</v>
      </c>
      <c r="Q487" s="9" t="s">
        <v>208</v>
      </c>
      <c r="R487" s="9" t="s">
        <v>184</v>
      </c>
      <c r="S487" s="9" t="s">
        <v>550</v>
      </c>
      <c r="T487" s="9" t="s">
        <v>47</v>
      </c>
      <c r="U487" s="9">
        <f>IFERROR(VLOOKUP($T487,KURALLAR!$A$32:$B$63,2,FALSE()),0)*IF(ISNUMBER($I487),$I487,0)</f>
        <v>42</v>
      </c>
    </row>
    <row r="488" spans="1:21" x14ac:dyDescent="0.25">
      <c r="A488" s="5">
        <v>487</v>
      </c>
      <c r="B488" s="5"/>
      <c r="C488" s="5" t="s">
        <v>93</v>
      </c>
      <c r="D488" s="5" t="s">
        <v>209</v>
      </c>
      <c r="E488" s="5" t="str">
        <f>IFERROR(VLOOKUP($D488,FIYAT!$B:$O,2,FALSE()),"")</f>
        <v>Шина "N" нулевая 6х9мм на DIN-рейку в корпусном изоляторе ШНИ 12К IEK (10)</v>
      </c>
      <c r="F488" s="5">
        <f>IFERROR(VLOOKUP($D488,FIYAT!$B:$O,5,FALSE()),"")</f>
        <v>755</v>
      </c>
      <c r="G488" s="5">
        <f>IFERROR(VLOOKUP($D488,FIYAT!$B:$O,8,FALSE()),"")</f>
        <v>453</v>
      </c>
      <c r="H488" s="5">
        <f t="shared" si="58"/>
        <v>1812</v>
      </c>
      <c r="I488" s="6">
        <v>4</v>
      </c>
      <c r="J488" s="5" t="str">
        <f>IFERROR(VLOOKUP($D488,FIYAT!$B:$O,9,FALSE()),"")</f>
        <v>Шт.</v>
      </c>
      <c r="K488" s="5" t="str">
        <f>IFERROR(VLOOKUP($D488,FIYAT!$B:$O,4,FALSE()),"")</f>
        <v>KAZTEK</v>
      </c>
      <c r="L488" s="5">
        <f t="shared" si="59"/>
        <v>1812</v>
      </c>
      <c r="M488" s="5"/>
      <c r="N488" s="5"/>
      <c r="O488" s="5"/>
      <c r="P488" s="5" t="str">
        <f>IF($H488="","FIYAT_YOK",IFERROR(VLOOKUP($D488,FIYAT!$B:$P,15,FALSE()),""))</f>
        <v>MUADIL</v>
      </c>
      <c r="Q488" s="5" t="s">
        <v>212</v>
      </c>
      <c r="R488" s="5" t="s">
        <v>211</v>
      </c>
      <c r="S488" s="5" t="s">
        <v>550</v>
      </c>
      <c r="T488" s="5" t="s">
        <v>93</v>
      </c>
      <c r="U488" s="5">
        <f>IFERROR(VLOOKUP($T488,KURALLAR!$A$32:$B$63,2,FALSE()),0)*IF(ISNUMBER($I488),$I488,0)</f>
        <v>32</v>
      </c>
    </row>
    <row r="489" spans="1:21" x14ac:dyDescent="0.25">
      <c r="A489" s="9">
        <v>488</v>
      </c>
      <c r="B489" s="9"/>
      <c r="C489" s="9" t="s">
        <v>222</v>
      </c>
      <c r="D489" s="9" t="s">
        <v>220</v>
      </c>
      <c r="E489" s="9" t="str">
        <f>IFERROR(VLOOKUP($D489,FIYAT!$B:$O,2,FALSE()),"")</f>
        <v>ЩМП (инд.) IP31 (650х500х150мм)</v>
      </c>
      <c r="F489" s="9">
        <f>IFERROR(VLOOKUP($D489,FIYAT!$B:$O,5,FALSE()),"")</f>
        <v>27825</v>
      </c>
      <c r="G489" s="9">
        <f>IFERROR(VLOOKUP($D489,FIYAT!$B:$O,8,FALSE()),"")</f>
        <v>16695</v>
      </c>
      <c r="H489" s="9">
        <f t="shared" si="58"/>
        <v>16695</v>
      </c>
      <c r="I489" s="6">
        <v>1</v>
      </c>
      <c r="J489" s="9" t="str">
        <f>IFERROR(VLOOKUP($D489,FIYAT!$B:$O,9,FALSE()),"")</f>
        <v>Шт.</v>
      </c>
      <c r="K489" s="9" t="str">
        <f>IFERROR(VLOOKUP($D489,FIYAT!$B:$O,4,FALSE()),"")</f>
        <v>KAZTEK</v>
      </c>
      <c r="L489" s="9">
        <f t="shared" si="59"/>
        <v>16695</v>
      </c>
      <c r="M489" s="9"/>
      <c r="N489" s="9"/>
      <c r="O489" s="9"/>
      <c r="P489" s="9" t="str">
        <f>IF($H489="","FIYAT_YOK",IFERROR(VLOOKUP($D489,FIYAT!$B:$P,15,FALSE()),""))</f>
        <v>VARSAYIM</v>
      </c>
      <c r="Q489" s="9" t="s">
        <v>223</v>
      </c>
      <c r="R489" s="9" t="s">
        <v>211</v>
      </c>
      <c r="S489" s="9" t="s">
        <v>550</v>
      </c>
      <c r="T489" s="9" t="s">
        <v>105</v>
      </c>
      <c r="U489" s="9">
        <f>IFERROR(VLOOKUP($T489,KURALLAR!$A$32:$B$63,2,FALSE()),0)*IF(ISNUMBER($I489),$I489,0)</f>
        <v>30</v>
      </c>
    </row>
    <row r="490" spans="1:21" x14ac:dyDescent="0.25">
      <c r="A490" s="5">
        <v>489</v>
      </c>
      <c r="B490" s="5"/>
      <c r="C490" s="5" t="s">
        <v>215</v>
      </c>
      <c r="D490" s="5" t="s">
        <v>213</v>
      </c>
      <c r="E490" s="5" t="str">
        <f>IFERROR(VLOOKUP($D490,FIYAT!$B:$O,2,FALSE()),"")</f>
        <v>Монтажный расходный материал (кабель, DIN-рейка, кабель-канал, клеммы, маркировка, крепёж)</v>
      </c>
      <c r="F490" s="5">
        <f>IFERROR(VLOOKUP($D490,FIYAT!$B:$O,5,FALSE()),"")</f>
        <v>0</v>
      </c>
      <c r="G490" s="5" t="str">
        <f>IFERROR(VLOOKUP($D490,FIYAT!$B:$O,8,FALSE()),"")</f>
        <v/>
      </c>
      <c r="H490" s="5">
        <f>ROUND(SUM($H$478:$H$489)*KURALLAR!$B$28,0)</f>
        <v>9055</v>
      </c>
      <c r="I490" s="6">
        <v>1</v>
      </c>
      <c r="J490" s="5" t="str">
        <f>IFERROR(VLOOKUP($D490,FIYAT!$B:$O,9,FALSE()),"")</f>
        <v>компл.</v>
      </c>
      <c r="K490" s="5" t="str">
        <f>IFERROR(VLOOKUP($D490,FIYAT!$B:$O,4,FALSE()),"")</f>
        <v>MUADIL-NET</v>
      </c>
      <c r="L490" s="5">
        <f t="shared" si="59"/>
        <v>9055</v>
      </c>
      <c r="M490" s="5"/>
      <c r="N490" s="5"/>
      <c r="O490" s="5"/>
      <c r="P490" s="5" t="str">
        <f>IF($H490="","FIYAT_YOK",IFERROR(VLOOKUP($D490,FIYAT!$B:$P,15,FALSE()),""))</f>
        <v>ORAN</v>
      </c>
      <c r="Q490" s="5" t="s">
        <v>218</v>
      </c>
      <c r="R490" s="5" t="s">
        <v>217</v>
      </c>
      <c r="S490" s="5" t="s">
        <v>550</v>
      </c>
      <c r="T490" s="5"/>
      <c r="U490" s="5">
        <v>0</v>
      </c>
    </row>
    <row r="491" spans="1:21" x14ac:dyDescent="0.25">
      <c r="A491" s="9">
        <v>490</v>
      </c>
      <c r="B491" s="9"/>
      <c r="C491" s="9" t="s">
        <v>227</v>
      </c>
      <c r="D491" s="9" t="s">
        <v>225</v>
      </c>
      <c r="E491" s="9" t="str">
        <f>IFERROR(VLOOKUP($D491,FIYAT!$B:$O,2,FALSE()),"")</f>
        <v>Сборка, кабелирование, маркировка, момент затяжки, испытания</v>
      </c>
      <c r="F491" s="9">
        <f>IFERROR(VLOOKUP($D491,FIYAT!$B:$O,5,FALSE()),"")</f>
        <v>100</v>
      </c>
      <c r="G491" s="9">
        <f>IFERROR(VLOOKUP($D491,FIYAT!$B:$O,8,FALSE()),"")</f>
        <v>100</v>
      </c>
      <c r="H491" s="9">
        <f>IF(OR($G491="",$I491=""),"",$G491*$I491)</f>
        <v>24500</v>
      </c>
      <c r="I491" s="6">
        <f>ROUND(SUM($U$478:$U$490)*KURALLAR!$B$27,0)</f>
        <v>245</v>
      </c>
      <c r="J491" s="9" t="str">
        <f>IFERROR(VLOOKUP($D491,FIYAT!$B:$O,9,FALSE()),"")</f>
        <v>мин</v>
      </c>
      <c r="K491" s="9" t="str">
        <f>IFERROR(VLOOKUP($D491,FIYAT!$B:$O,4,FALSE()),"")</f>
        <v>ISCILIK</v>
      </c>
      <c r="L491" s="9">
        <f t="shared" si="59"/>
        <v>24500</v>
      </c>
      <c r="M491" s="9"/>
      <c r="N491" s="9"/>
      <c r="O491" s="9"/>
      <c r="P491" s="9" t="str">
        <f>IF($H491="","FIYAT_YOK",IFERROR(VLOOKUP($D491,FIYAT!$B:$P,15,FALSE()),""))</f>
        <v>OK</v>
      </c>
      <c r="Q491" s="9" t="str">
        <f>CONCATENATE("montaj+test iscilik: ",TEXT($I491,"# ##0")," dk = ",TEXT($I491/60,"0,00")," saat (norm x test/etiket carpani)")</f>
        <v>montaj+test iscilik:  245 dk = 4,08 saat (norm x test/etiket carpani)</v>
      </c>
      <c r="R491" s="9" t="s">
        <v>229</v>
      </c>
      <c r="S491" s="9" t="s">
        <v>550</v>
      </c>
      <c r="T491" s="9"/>
      <c r="U491" s="9">
        <v>0</v>
      </c>
    </row>
    <row r="492" spans="1:21" x14ac:dyDescent="0.25">
      <c r="A492" s="10">
        <v>491</v>
      </c>
      <c r="B492" s="10" t="s">
        <v>609</v>
      </c>
      <c r="C492" s="10"/>
      <c r="D492" s="10"/>
      <c r="E492" s="10"/>
      <c r="F492" s="10"/>
      <c r="G492" s="10"/>
      <c r="H492" s="10">
        <f>SUBTOTAL(9,H478:H491)</f>
        <v>162912</v>
      </c>
      <c r="I492" s="10"/>
      <c r="J492" s="10"/>
      <c r="K492" s="10"/>
      <c r="L492" s="10">
        <f>SUBTOTAL(9,L478:L491)</f>
        <v>162912</v>
      </c>
      <c r="M492" s="10"/>
      <c r="N492" s="10"/>
      <c r="O492" s="10"/>
      <c r="P492" s="10"/>
      <c r="Q492" s="10"/>
      <c r="R492" s="10"/>
      <c r="S492" s="10"/>
      <c r="T492" s="10"/>
      <c r="U492" s="10">
        <f>SUBTOTAL(9,U478:U491)</f>
        <v>213</v>
      </c>
    </row>
    <row r="493" spans="1:21" x14ac:dyDescent="0.25">
      <c r="A493" s="8">
        <v>492</v>
      </c>
      <c r="B493" s="8" t="str">
        <f>E493</f>
        <v>BLOK A / 21F-ИБП.2 — НКУ 380/220В 50Гц, FORM 2B, IP31/54</v>
      </c>
      <c r="C493" s="8" t="s">
        <v>545</v>
      </c>
      <c r="D493" s="8"/>
      <c r="E493" s="8" t="s">
        <v>610</v>
      </c>
      <c r="F493" s="8"/>
      <c r="G493" s="8"/>
      <c r="H493" s="8"/>
      <c r="I493" s="8">
        <v>1</v>
      </c>
      <c r="J493" s="8" t="s">
        <v>547</v>
      </c>
      <c r="K493" s="8"/>
      <c r="L493" s="8"/>
      <c r="M493" s="8"/>
      <c r="N493" s="8"/>
      <c r="O493" s="8"/>
      <c r="P493" s="8" t="s">
        <v>178</v>
      </c>
      <c r="Q493" s="8" t="s">
        <v>548</v>
      </c>
      <c r="R493" s="8" t="s">
        <v>549</v>
      </c>
      <c r="S493" s="8" t="s">
        <v>550</v>
      </c>
      <c r="T493" s="8"/>
      <c r="U493" s="8"/>
    </row>
    <row r="494" spans="1:21" x14ac:dyDescent="0.25">
      <c r="A494" s="5">
        <v>493</v>
      </c>
      <c r="B494" s="5"/>
      <c r="C494" s="5" t="s">
        <v>169</v>
      </c>
      <c r="D494" s="5" t="s">
        <v>327</v>
      </c>
      <c r="E494" s="5" t="str">
        <f>IFERROR(VLOOKUP($D494,FIYAT!$B:$O,2,FALSE()),"")</f>
        <v>Авт. выкл. NM8N-125C TM 3P 25А 36кА с рег. термомаг. расцепителем (R)</v>
      </c>
      <c r="F494" s="5">
        <f>IFERROR(VLOOKUP($D494,FIYAT!$B:$O,5,FALSE()),"")</f>
        <v>65063</v>
      </c>
      <c r="G494" s="5">
        <f>IFERROR(VLOOKUP($D494,FIYAT!$B:$O,8,FALSE()),"")</f>
        <v>39037.799999999996</v>
      </c>
      <c r="H494" s="5">
        <f t="shared" ref="H494:H505" si="60">IF(OR($G494="",$I494=""),"",$G494*$I494)</f>
        <v>39037.799999999996</v>
      </c>
      <c r="I494" s="6">
        <v>1</v>
      </c>
      <c r="J494" s="5" t="str">
        <f>IFERROR(VLOOKUP($D494,FIYAT!$B:$O,9,FALSE()),"")</f>
        <v>Шт.</v>
      </c>
      <c r="K494" s="5" t="str">
        <f>IFERROR(VLOOKUP($D494,FIYAT!$B:$O,4,FALSE()),"")</f>
        <v>CHINT</v>
      </c>
      <c r="L494" s="5">
        <f t="shared" ref="L494:L507" si="61">IF($H494="","",$H494)</f>
        <v>39037.799999999996</v>
      </c>
      <c r="M494" s="5"/>
      <c r="N494" s="5"/>
      <c r="O494" s="5"/>
      <c r="P494" s="5" t="str">
        <f>IF($H494="","FIYAT_YOK",IFERROR(VLOOKUP($D494,FIYAT!$B:$P,15,FALSE()),""))</f>
        <v>MUADIL</v>
      </c>
      <c r="Q494" s="5" t="s">
        <v>172</v>
      </c>
      <c r="R494" s="5" t="s">
        <v>171</v>
      </c>
      <c r="S494" s="5" t="s">
        <v>550</v>
      </c>
      <c r="T494" s="5" t="s">
        <v>61</v>
      </c>
      <c r="U494" s="5">
        <f>IFERROR(VLOOKUP($T494,KURALLAR!$A$32:$B$63,2,FALSE()),0)*IF(ISNUMBER($I494),$I494,0)</f>
        <v>15</v>
      </c>
    </row>
    <row r="495" spans="1:21" x14ac:dyDescent="0.25">
      <c r="A495" s="9">
        <v>494</v>
      </c>
      <c r="B495" s="9"/>
      <c r="C495" s="9" t="s">
        <v>176</v>
      </c>
      <c r="D495" s="9" t="s">
        <v>174</v>
      </c>
      <c r="E495" s="9" t="str">
        <f>IFERROR(VLOOKUP($D495,FIYAT!$B:$O,2,FALSE()),"")</f>
        <v>УЗО NL1-63 6kA 4P 63A 300mA тип AC (R)</v>
      </c>
      <c r="F495" s="9">
        <f>IFERROR(VLOOKUP($D495,FIYAT!$B:$O,5,FALSE()),"")</f>
        <v>18106</v>
      </c>
      <c r="G495" s="9">
        <f>IFERROR(VLOOKUP($D495,FIYAT!$B:$O,8,FALSE()),"")</f>
        <v>10863.6</v>
      </c>
      <c r="H495" s="9">
        <f t="shared" si="60"/>
        <v>10863.6</v>
      </c>
      <c r="I495" s="6">
        <v>1</v>
      </c>
      <c r="J495" s="9" t="str">
        <f>IFERROR(VLOOKUP($D495,FIYAT!$B:$O,9,FALSE()),"")</f>
        <v>Шт.</v>
      </c>
      <c r="K495" s="9" t="str">
        <f>IFERROR(VLOOKUP($D495,FIYAT!$B:$O,4,FALSE()),"")</f>
        <v>CHINT</v>
      </c>
      <c r="L495" s="9">
        <f t="shared" si="61"/>
        <v>10863.6</v>
      </c>
      <c r="M495" s="9"/>
      <c r="N495" s="9"/>
      <c r="O495" s="9"/>
      <c r="P495" s="9" t="str">
        <f>IF($H495="","FIYAT_YOK",IFERROR(VLOOKUP($D495,FIYAT!$B:$P,15,FALSE()),""))</f>
        <v>OK</v>
      </c>
      <c r="Q495" s="9" t="s">
        <v>177</v>
      </c>
      <c r="R495" s="9" t="s">
        <v>171</v>
      </c>
      <c r="S495" s="9" t="s">
        <v>550</v>
      </c>
      <c r="T495" s="9" t="s">
        <v>57</v>
      </c>
      <c r="U495" s="9">
        <f>IFERROR(VLOOKUP($T495,KURALLAR!$A$32:$B$63,2,FALSE()),0)*IF(ISNUMBER($I495),$I495,0)</f>
        <v>10</v>
      </c>
    </row>
    <row r="496" spans="1:21" x14ac:dyDescent="0.25">
      <c r="A496" s="5">
        <v>495</v>
      </c>
      <c r="B496" s="5"/>
      <c r="C496" s="5" t="s">
        <v>79</v>
      </c>
      <c r="D496" s="5" t="s">
        <v>179</v>
      </c>
      <c r="E496" s="5" t="str">
        <f>IFERROR(VLOOKUP($D496,FIYAT!$B:$O,2,FALSE()),"")</f>
        <v>Держатель плавкой вставки RT36-00-160, габарит 00, 160А</v>
      </c>
      <c r="F496" s="5">
        <f>IFERROR(VLOOKUP($D496,FIYAT!$B:$O,5,FALSE()),"")</f>
        <v>2038</v>
      </c>
      <c r="G496" s="5">
        <f>IFERROR(VLOOKUP($D496,FIYAT!$B:$O,8,FALSE()),"")</f>
        <v>1222.8</v>
      </c>
      <c r="H496" s="5">
        <f t="shared" si="60"/>
        <v>4891.2</v>
      </c>
      <c r="I496" s="6">
        <v>4</v>
      </c>
      <c r="J496" s="5" t="str">
        <f>IFERROR(VLOOKUP($D496,FIYAT!$B:$O,9,FALSE()),"")</f>
        <v>Шт.</v>
      </c>
      <c r="K496" s="5" t="str">
        <f>IFERROR(VLOOKUP($D496,FIYAT!$B:$O,4,FALSE()),"")</f>
        <v>CHINT</v>
      </c>
      <c r="L496" s="5">
        <f t="shared" si="61"/>
        <v>4891.2</v>
      </c>
      <c r="M496" s="5"/>
      <c r="N496" s="5"/>
      <c r="O496" s="5"/>
      <c r="P496" s="5" t="str">
        <f>IF($H496="","FIYAT_YOK",IFERROR(VLOOKUP($D496,FIYAT!$B:$P,15,FALSE()),""))</f>
        <v>MUADIL</v>
      </c>
      <c r="Q496" s="5" t="s">
        <v>181</v>
      </c>
      <c r="R496" s="5" t="s">
        <v>171</v>
      </c>
      <c r="S496" s="5" t="s">
        <v>550</v>
      </c>
      <c r="T496" s="5" t="s">
        <v>77</v>
      </c>
      <c r="U496" s="5">
        <f>IFERROR(VLOOKUP($T496,KURALLAR!$A$32:$B$63,2,FALSE()),0)*IF(ISNUMBER($I496),$I496,0)</f>
        <v>20</v>
      </c>
    </row>
    <row r="497" spans="1:21" x14ac:dyDescent="0.25">
      <c r="A497" s="9">
        <v>496</v>
      </c>
      <c r="B497" s="9"/>
      <c r="C497" s="9" t="s">
        <v>79</v>
      </c>
      <c r="D497" s="9" t="s">
        <v>182</v>
      </c>
      <c r="E497" s="9" t="str">
        <f>IFERROR(VLOOKUP($D497,FIYAT!$B:$O,2,FALSE()),"")</f>
        <v>Плавкая вставка предохранителя RT36-00-160, габарит 00, 63А</v>
      </c>
      <c r="F497" s="9">
        <f>IFERROR(VLOOKUP($D497,FIYAT!$B:$O,5,FALSE()),"")</f>
        <v>1525</v>
      </c>
      <c r="G497" s="9">
        <f>IFERROR(VLOOKUP($D497,FIYAT!$B:$O,8,FALSE()),"")</f>
        <v>915</v>
      </c>
      <c r="H497" s="9">
        <f t="shared" si="60"/>
        <v>3660</v>
      </c>
      <c r="I497" s="6">
        <v>4</v>
      </c>
      <c r="J497" s="9" t="str">
        <f>IFERROR(VLOOKUP($D497,FIYAT!$B:$O,9,FALSE()),"")</f>
        <v>Шт.</v>
      </c>
      <c r="K497" s="9" t="str">
        <f>IFERROR(VLOOKUP($D497,FIYAT!$B:$O,4,FALSE()),"")</f>
        <v>CHINT</v>
      </c>
      <c r="L497" s="9">
        <f t="shared" si="61"/>
        <v>3660</v>
      </c>
      <c r="M497" s="9"/>
      <c r="N497" s="9"/>
      <c r="O497" s="9"/>
      <c r="P497" s="9" t="str">
        <f>IF($H497="","FIYAT_YOK",IFERROR(VLOOKUP($D497,FIYAT!$B:$P,15,FALSE()),""))</f>
        <v>MUADIL</v>
      </c>
      <c r="Q497" s="9" t="s">
        <v>185</v>
      </c>
      <c r="R497" s="9" t="s">
        <v>184</v>
      </c>
      <c r="S497" s="9" t="s">
        <v>550</v>
      </c>
      <c r="T497" s="9" t="s">
        <v>79</v>
      </c>
      <c r="U497" s="9">
        <f>IFERROR(VLOOKUP($T497,KURALLAR!$A$32:$B$63,2,FALSE()),0)*IF(ISNUMBER($I497),$I497,0)</f>
        <v>12</v>
      </c>
    </row>
    <row r="498" spans="1:21" x14ac:dyDescent="0.25">
      <c r="A498" s="5">
        <v>497</v>
      </c>
      <c r="B498" s="5"/>
      <c r="C498" s="5" t="s">
        <v>75</v>
      </c>
      <c r="D498" s="5" t="s">
        <v>186</v>
      </c>
      <c r="E498" s="5" t="str">
        <f>IFERROR(VLOOKUP($D498,FIYAT!$B:$O,2,FALSE()),"")</f>
        <v>Ограничитель имп. перенапр. NU6-IIG 4Р In=25kA Uc=440B Im=65kA (R)</v>
      </c>
      <c r="F498" s="5">
        <f>IFERROR(VLOOKUP($D498,FIYAT!$B:$O,5,FALSE()),"")</f>
        <v>33208</v>
      </c>
      <c r="G498" s="5">
        <f>IFERROR(VLOOKUP($D498,FIYAT!$B:$O,8,FALSE()),"")</f>
        <v>19924.8</v>
      </c>
      <c r="H498" s="5">
        <f t="shared" si="60"/>
        <v>19924.8</v>
      </c>
      <c r="I498" s="6">
        <v>1</v>
      </c>
      <c r="J498" s="5" t="str">
        <f>IFERROR(VLOOKUP($D498,FIYAT!$B:$O,9,FALSE()),"")</f>
        <v>Шт.</v>
      </c>
      <c r="K498" s="5" t="str">
        <f>IFERROR(VLOOKUP($D498,FIYAT!$B:$O,4,FALSE()),"")</f>
        <v>CHINT</v>
      </c>
      <c r="L498" s="5">
        <f t="shared" si="61"/>
        <v>19924.8</v>
      </c>
      <c r="M498" s="5"/>
      <c r="N498" s="5"/>
      <c r="O498" s="5"/>
      <c r="P498" s="5" t="str">
        <f>IF($H498="","FIYAT_YOK",IFERROR(VLOOKUP($D498,FIYAT!$B:$P,15,FALSE()),""))</f>
        <v>MUADIL_ONAY</v>
      </c>
      <c r="Q498" s="5" t="s">
        <v>188</v>
      </c>
      <c r="R498" s="5" t="s">
        <v>184</v>
      </c>
      <c r="S498" s="5" t="s">
        <v>550</v>
      </c>
      <c r="T498" s="5" t="s">
        <v>75</v>
      </c>
      <c r="U498" s="5">
        <f>IFERROR(VLOOKUP($T498,KURALLAR!$A$32:$B$63,2,FALSE()),0)*IF(ISNUMBER($I498),$I498,0)</f>
        <v>10</v>
      </c>
    </row>
    <row r="499" spans="1:21" x14ac:dyDescent="0.25">
      <c r="A499" s="9">
        <v>498</v>
      </c>
      <c r="B499" s="9"/>
      <c r="C499" s="9" t="s">
        <v>192</v>
      </c>
      <c r="D499" s="9" t="s">
        <v>321</v>
      </c>
      <c r="E499" s="9" t="str">
        <f>IFERROR(VLOOKUP($D499,FIYAT!$B:$O,2,FALSE()),"")</f>
        <v>Авт. выкл. NXB-63 1P 25A 6кА х-ка C (R)</v>
      </c>
      <c r="F499" s="9">
        <f>IFERROR(VLOOKUP($D499,FIYAT!$B:$O,5,FALSE()),"")</f>
        <v>1330</v>
      </c>
      <c r="G499" s="9">
        <f>IFERROR(VLOOKUP($D499,FIYAT!$B:$O,8,FALSE()),"")</f>
        <v>798</v>
      </c>
      <c r="H499" s="9">
        <f t="shared" si="60"/>
        <v>798</v>
      </c>
      <c r="I499" s="6">
        <v>1</v>
      </c>
      <c r="J499" s="9" t="str">
        <f>IFERROR(VLOOKUP($D499,FIYAT!$B:$O,9,FALSE()),"")</f>
        <v>Шт.</v>
      </c>
      <c r="K499" s="9" t="str">
        <f>IFERROR(VLOOKUP($D499,FIYAT!$B:$O,4,FALSE()),"")</f>
        <v>CHINT</v>
      </c>
      <c r="L499" s="9">
        <f t="shared" si="61"/>
        <v>798</v>
      </c>
      <c r="M499" s="9"/>
      <c r="N499" s="9"/>
      <c r="O499" s="9"/>
      <c r="P499" s="9" t="str">
        <f>IF($H499="","FIYAT_YOK",IFERROR(VLOOKUP($D499,FIYAT!$B:$P,15,FALSE()),""))</f>
        <v>OK</v>
      </c>
      <c r="Q499" s="9" t="s">
        <v>323</v>
      </c>
      <c r="R499" s="9" t="s">
        <v>171</v>
      </c>
      <c r="S499" s="9" t="s">
        <v>550</v>
      </c>
      <c r="T499" s="9" t="s">
        <v>47</v>
      </c>
      <c r="U499" s="9">
        <f>IFERROR(VLOOKUP($T499,KURALLAR!$A$32:$B$63,2,FALSE()),0)*IF(ISNUMBER($I499),$I499,0)</f>
        <v>3</v>
      </c>
    </row>
    <row r="500" spans="1:21" x14ac:dyDescent="0.25">
      <c r="A500" s="5">
        <v>499</v>
      </c>
      <c r="B500" s="5"/>
      <c r="C500" s="5" t="s">
        <v>176</v>
      </c>
      <c r="D500" s="5" t="s">
        <v>324</v>
      </c>
      <c r="E500" s="5" t="str">
        <f>IFERROR(VLOOKUP($D500,FIYAT!$B:$O,2,FALSE()),"")</f>
        <v>УЗО NL1-63 6kA 2P 25A 30mA тип AC (R)</v>
      </c>
      <c r="F500" s="5">
        <f>IFERROR(VLOOKUP($D500,FIYAT!$B:$O,5,FALSE()),"")</f>
        <v>10809</v>
      </c>
      <c r="G500" s="5">
        <f>IFERROR(VLOOKUP($D500,FIYAT!$B:$O,8,FALSE()),"")</f>
        <v>6485.4</v>
      </c>
      <c r="H500" s="5">
        <f t="shared" si="60"/>
        <v>6485.4</v>
      </c>
      <c r="I500" s="6">
        <v>1</v>
      </c>
      <c r="J500" s="5" t="str">
        <f>IFERROR(VLOOKUP($D500,FIYAT!$B:$O,9,FALSE()),"")</f>
        <v>Шт.</v>
      </c>
      <c r="K500" s="5" t="str">
        <f>IFERROR(VLOOKUP($D500,FIYAT!$B:$O,4,FALSE()),"")</f>
        <v>CHINT</v>
      </c>
      <c r="L500" s="5">
        <f t="shared" si="61"/>
        <v>6485.4</v>
      </c>
      <c r="M500" s="5"/>
      <c r="N500" s="5"/>
      <c r="O500" s="5"/>
      <c r="P500" s="5" t="str">
        <f>IF($H500="","FIYAT_YOK",IFERROR(VLOOKUP($D500,FIYAT!$B:$P,15,FALSE()),""))</f>
        <v>OK</v>
      </c>
      <c r="Q500" s="5" t="s">
        <v>326</v>
      </c>
      <c r="R500" s="5" t="s">
        <v>171</v>
      </c>
      <c r="S500" s="5" t="s">
        <v>550</v>
      </c>
      <c r="T500" s="5" t="s">
        <v>55</v>
      </c>
      <c r="U500" s="5">
        <f>IFERROR(VLOOKUP($T500,KURALLAR!$A$32:$B$63,2,FALSE()),0)*IF(ISNUMBER($I500),$I500,0)</f>
        <v>6</v>
      </c>
    </row>
    <row r="501" spans="1:21" x14ac:dyDescent="0.25">
      <c r="A501" s="9">
        <v>500</v>
      </c>
      <c r="B501" s="9"/>
      <c r="C501" s="9" t="s">
        <v>192</v>
      </c>
      <c r="D501" s="9" t="s">
        <v>194</v>
      </c>
      <c r="E501" s="9" t="str">
        <f>IFERROR(VLOOKUP($D501,FIYAT!$B:$O,2,FALSE()),"")</f>
        <v>Авт. выкл. NXB-63 1P 16A 6кА х-ка C (R)</v>
      </c>
      <c r="F501" s="9">
        <f>IFERROR(VLOOKUP($D501,FIYAT!$B:$O,5,FALSE()),"")</f>
        <v>1389</v>
      </c>
      <c r="G501" s="9">
        <f>IFERROR(VLOOKUP($D501,FIYAT!$B:$O,8,FALSE()),"")</f>
        <v>833.4</v>
      </c>
      <c r="H501" s="9">
        <f t="shared" si="60"/>
        <v>4167</v>
      </c>
      <c r="I501" s="6">
        <v>5</v>
      </c>
      <c r="J501" s="9" t="str">
        <f>IFERROR(VLOOKUP($D501,FIYAT!$B:$O,9,FALSE()),"")</f>
        <v>Шт.</v>
      </c>
      <c r="K501" s="9" t="str">
        <f>IFERROR(VLOOKUP($D501,FIYAT!$B:$O,4,FALSE()),"")</f>
        <v>CHINT</v>
      </c>
      <c r="L501" s="9">
        <f t="shared" si="61"/>
        <v>4167</v>
      </c>
      <c r="M501" s="9"/>
      <c r="N501" s="9"/>
      <c r="O501" s="9"/>
      <c r="P501" s="9" t="str">
        <f>IF($H501="","FIYAT_YOK",IFERROR(VLOOKUP($D501,FIYAT!$B:$P,15,FALSE()),""))</f>
        <v>OK</v>
      </c>
      <c r="Q501" s="9" t="s">
        <v>196</v>
      </c>
      <c r="R501" s="9" t="s">
        <v>171</v>
      </c>
      <c r="S501" s="9" t="s">
        <v>550</v>
      </c>
      <c r="T501" s="9" t="s">
        <v>47</v>
      </c>
      <c r="U501" s="9">
        <f>IFERROR(VLOOKUP($T501,KURALLAR!$A$32:$B$63,2,FALSE()),0)*IF(ISNUMBER($I501),$I501,0)</f>
        <v>15</v>
      </c>
    </row>
    <row r="502" spans="1:21" x14ac:dyDescent="0.25">
      <c r="A502" s="5">
        <v>501</v>
      </c>
      <c r="B502" s="5"/>
      <c r="C502" s="5" t="s">
        <v>176</v>
      </c>
      <c r="D502" s="5" t="s">
        <v>200</v>
      </c>
      <c r="E502" s="5" t="str">
        <f>IFERROR(VLOOKUP($D502,FIYAT!$B:$O,2,FALSE()),"")</f>
        <v>УЗО NL1-63 6kA 2P 16A 30mA тип AC (R)</v>
      </c>
      <c r="F502" s="5">
        <f>IFERROR(VLOOKUP($D502,FIYAT!$B:$O,5,FALSE()),"")</f>
        <v>10809</v>
      </c>
      <c r="G502" s="5">
        <f>IFERROR(VLOOKUP($D502,FIYAT!$B:$O,8,FALSE()),"")</f>
        <v>6485.4</v>
      </c>
      <c r="H502" s="5">
        <f t="shared" si="60"/>
        <v>6485.4</v>
      </c>
      <c r="I502" s="6">
        <v>1</v>
      </c>
      <c r="J502" s="5" t="str">
        <f>IFERROR(VLOOKUP($D502,FIYAT!$B:$O,9,FALSE()),"")</f>
        <v>Шт.</v>
      </c>
      <c r="K502" s="5" t="str">
        <f>IFERROR(VLOOKUP($D502,FIYAT!$B:$O,4,FALSE()),"")</f>
        <v>CHINT</v>
      </c>
      <c r="L502" s="5">
        <f t="shared" si="61"/>
        <v>6485.4</v>
      </c>
      <c r="M502" s="5"/>
      <c r="N502" s="5"/>
      <c r="O502" s="5"/>
      <c r="P502" s="5" t="str">
        <f>IF($H502="","FIYAT_YOK",IFERROR(VLOOKUP($D502,FIYAT!$B:$P,15,FALSE()),""))</f>
        <v>OK</v>
      </c>
      <c r="Q502" s="5" t="s">
        <v>202</v>
      </c>
      <c r="R502" s="5" t="s">
        <v>171</v>
      </c>
      <c r="S502" s="5" t="s">
        <v>550</v>
      </c>
      <c r="T502" s="5" t="s">
        <v>55</v>
      </c>
      <c r="U502" s="5">
        <f>IFERROR(VLOOKUP($T502,KURALLAR!$A$32:$B$63,2,FALSE()),0)*IF(ISNUMBER($I502),$I502,0)</f>
        <v>6</v>
      </c>
    </row>
    <row r="503" spans="1:21" x14ac:dyDescent="0.25">
      <c r="A503" s="9">
        <v>502</v>
      </c>
      <c r="B503" s="9"/>
      <c r="C503" s="9" t="s">
        <v>192</v>
      </c>
      <c r="D503" s="9" t="s">
        <v>206</v>
      </c>
      <c r="E503" s="9" t="str">
        <f>IFERROR(VLOOKUP($D503,FIYAT!$B:$O,2,FALSE()),"")</f>
        <v>Авт. выкл. NXB-63 1P 10A 6кА х-ка C (R)</v>
      </c>
      <c r="F503" s="9">
        <f>IFERROR(VLOOKUP($D503,FIYAT!$B:$O,5,FALSE()),"")</f>
        <v>1362</v>
      </c>
      <c r="G503" s="9">
        <f>IFERROR(VLOOKUP($D503,FIYAT!$B:$O,8,FALSE()),"")</f>
        <v>817.19999999999993</v>
      </c>
      <c r="H503" s="9">
        <f t="shared" si="60"/>
        <v>10623.599999999999</v>
      </c>
      <c r="I503" s="6">
        <v>13</v>
      </c>
      <c r="J503" s="9" t="str">
        <f>IFERROR(VLOOKUP($D503,FIYAT!$B:$O,9,FALSE()),"")</f>
        <v>Шт.</v>
      </c>
      <c r="K503" s="9" t="str">
        <f>IFERROR(VLOOKUP($D503,FIYAT!$B:$O,4,FALSE()),"")</f>
        <v>CHINT</v>
      </c>
      <c r="L503" s="9">
        <f t="shared" si="61"/>
        <v>10623.599999999999</v>
      </c>
      <c r="M503" s="9"/>
      <c r="N503" s="9"/>
      <c r="O503" s="9"/>
      <c r="P503" s="9" t="str">
        <f>IF($H503="","FIYAT_YOK",IFERROR(VLOOKUP($D503,FIYAT!$B:$P,15,FALSE()),""))</f>
        <v>OK</v>
      </c>
      <c r="Q503" s="9" t="s">
        <v>208</v>
      </c>
      <c r="R503" s="9" t="s">
        <v>184</v>
      </c>
      <c r="S503" s="9" t="s">
        <v>550</v>
      </c>
      <c r="T503" s="9" t="s">
        <v>47</v>
      </c>
      <c r="U503" s="9">
        <f>IFERROR(VLOOKUP($T503,KURALLAR!$A$32:$B$63,2,FALSE()),0)*IF(ISNUMBER($I503),$I503,0)</f>
        <v>39</v>
      </c>
    </row>
    <row r="504" spans="1:21" x14ac:dyDescent="0.25">
      <c r="A504" s="5">
        <v>503</v>
      </c>
      <c r="B504" s="5"/>
      <c r="C504" s="5" t="s">
        <v>93</v>
      </c>
      <c r="D504" s="5" t="s">
        <v>209</v>
      </c>
      <c r="E504" s="5" t="str">
        <f>IFERROR(VLOOKUP($D504,FIYAT!$B:$O,2,FALSE()),"")</f>
        <v>Шина "N" нулевая 6х9мм на DIN-рейку в корпусном изоляторе ШНИ 12К IEK (10)</v>
      </c>
      <c r="F504" s="5">
        <f>IFERROR(VLOOKUP($D504,FIYAT!$B:$O,5,FALSE()),"")</f>
        <v>755</v>
      </c>
      <c r="G504" s="5">
        <f>IFERROR(VLOOKUP($D504,FIYAT!$B:$O,8,FALSE()),"")</f>
        <v>453</v>
      </c>
      <c r="H504" s="5">
        <f t="shared" si="60"/>
        <v>1812</v>
      </c>
      <c r="I504" s="6">
        <v>4</v>
      </c>
      <c r="J504" s="5" t="str">
        <f>IFERROR(VLOOKUP($D504,FIYAT!$B:$O,9,FALSE()),"")</f>
        <v>Шт.</v>
      </c>
      <c r="K504" s="5" t="str">
        <f>IFERROR(VLOOKUP($D504,FIYAT!$B:$O,4,FALSE()),"")</f>
        <v>KAZTEK</v>
      </c>
      <c r="L504" s="5">
        <f t="shared" si="61"/>
        <v>1812</v>
      </c>
      <c r="M504" s="5"/>
      <c r="N504" s="5"/>
      <c r="O504" s="5"/>
      <c r="P504" s="5" t="str">
        <f>IF($H504="","FIYAT_YOK",IFERROR(VLOOKUP($D504,FIYAT!$B:$P,15,FALSE()),""))</f>
        <v>MUADIL</v>
      </c>
      <c r="Q504" s="5" t="s">
        <v>212</v>
      </c>
      <c r="R504" s="5" t="s">
        <v>211</v>
      </c>
      <c r="S504" s="5" t="s">
        <v>550</v>
      </c>
      <c r="T504" s="5" t="s">
        <v>93</v>
      </c>
      <c r="U504" s="5">
        <f>IFERROR(VLOOKUP($T504,KURALLAR!$A$32:$B$63,2,FALSE()),0)*IF(ISNUMBER($I504),$I504,0)</f>
        <v>32</v>
      </c>
    </row>
    <row r="505" spans="1:21" x14ac:dyDescent="0.25">
      <c r="A505" s="9">
        <v>504</v>
      </c>
      <c r="B505" s="9"/>
      <c r="C505" s="9" t="s">
        <v>222</v>
      </c>
      <c r="D505" s="9" t="s">
        <v>220</v>
      </c>
      <c r="E505" s="9" t="str">
        <f>IFERROR(VLOOKUP($D505,FIYAT!$B:$O,2,FALSE()),"")</f>
        <v>ЩМП (инд.) IP31 (650х500х150мм)</v>
      </c>
      <c r="F505" s="9">
        <f>IFERROR(VLOOKUP($D505,FIYAT!$B:$O,5,FALSE()),"")</f>
        <v>27825</v>
      </c>
      <c r="G505" s="9">
        <f>IFERROR(VLOOKUP($D505,FIYAT!$B:$O,8,FALSE()),"")</f>
        <v>16695</v>
      </c>
      <c r="H505" s="9">
        <f t="shared" si="60"/>
        <v>16695</v>
      </c>
      <c r="I505" s="6">
        <v>1</v>
      </c>
      <c r="J505" s="9" t="str">
        <f>IFERROR(VLOOKUP($D505,FIYAT!$B:$O,9,FALSE()),"")</f>
        <v>Шт.</v>
      </c>
      <c r="K505" s="9" t="str">
        <f>IFERROR(VLOOKUP($D505,FIYAT!$B:$O,4,FALSE()),"")</f>
        <v>KAZTEK</v>
      </c>
      <c r="L505" s="9">
        <f t="shared" si="61"/>
        <v>16695</v>
      </c>
      <c r="M505" s="9"/>
      <c r="N505" s="9"/>
      <c r="O505" s="9"/>
      <c r="P505" s="9" t="str">
        <f>IF($H505="","FIYAT_YOK",IFERROR(VLOOKUP($D505,FIYAT!$B:$P,15,FALSE()),""))</f>
        <v>VARSAYIM</v>
      </c>
      <c r="Q505" s="9" t="s">
        <v>223</v>
      </c>
      <c r="R505" s="9" t="s">
        <v>211</v>
      </c>
      <c r="S505" s="9" t="s">
        <v>550</v>
      </c>
      <c r="T505" s="9" t="s">
        <v>105</v>
      </c>
      <c r="U505" s="9">
        <f>IFERROR(VLOOKUP($T505,KURALLAR!$A$32:$B$63,2,FALSE()),0)*IF(ISNUMBER($I505),$I505,0)</f>
        <v>30</v>
      </c>
    </row>
    <row r="506" spans="1:21" x14ac:dyDescent="0.25">
      <c r="A506" s="5">
        <v>505</v>
      </c>
      <c r="B506" s="5"/>
      <c r="C506" s="5" t="s">
        <v>215</v>
      </c>
      <c r="D506" s="5" t="s">
        <v>213</v>
      </c>
      <c r="E506" s="5" t="str">
        <f>IFERROR(VLOOKUP($D506,FIYAT!$B:$O,2,FALSE()),"")</f>
        <v>Монтажный расходный материал (кабель, DIN-рейка, кабель-канал, клеммы, маркировка, крепёж)</v>
      </c>
      <c r="F506" s="5">
        <f>IFERROR(VLOOKUP($D506,FIYAT!$B:$O,5,FALSE()),"")</f>
        <v>0</v>
      </c>
      <c r="G506" s="5" t="str">
        <f>IFERROR(VLOOKUP($D506,FIYAT!$B:$O,8,FALSE()),"")</f>
        <v/>
      </c>
      <c r="H506" s="5">
        <f>ROUND(SUM($H$494:$H$505)*KURALLAR!$B$28,0)</f>
        <v>8781</v>
      </c>
      <c r="I506" s="6">
        <v>1</v>
      </c>
      <c r="J506" s="5" t="str">
        <f>IFERROR(VLOOKUP($D506,FIYAT!$B:$O,9,FALSE()),"")</f>
        <v>компл.</v>
      </c>
      <c r="K506" s="5" t="str">
        <f>IFERROR(VLOOKUP($D506,FIYAT!$B:$O,4,FALSE()),"")</f>
        <v>MUADIL-NET</v>
      </c>
      <c r="L506" s="5">
        <f t="shared" si="61"/>
        <v>8781</v>
      </c>
      <c r="M506" s="5"/>
      <c r="N506" s="5"/>
      <c r="O506" s="5"/>
      <c r="P506" s="5" t="str">
        <f>IF($H506="","FIYAT_YOK",IFERROR(VLOOKUP($D506,FIYAT!$B:$P,15,FALSE()),""))</f>
        <v>ORAN</v>
      </c>
      <c r="Q506" s="5" t="s">
        <v>218</v>
      </c>
      <c r="R506" s="5" t="s">
        <v>217</v>
      </c>
      <c r="S506" s="5" t="s">
        <v>550</v>
      </c>
      <c r="T506" s="5"/>
      <c r="U506" s="5">
        <v>0</v>
      </c>
    </row>
    <row r="507" spans="1:21" x14ac:dyDescent="0.25">
      <c r="A507" s="9">
        <v>506</v>
      </c>
      <c r="B507" s="9"/>
      <c r="C507" s="9" t="s">
        <v>227</v>
      </c>
      <c r="D507" s="9" t="s">
        <v>225</v>
      </c>
      <c r="E507" s="9" t="str">
        <f>IFERROR(VLOOKUP($D507,FIYAT!$B:$O,2,FALSE()),"")</f>
        <v>Сборка, кабелирование, маркировка, момент затяжки, испытания</v>
      </c>
      <c r="F507" s="9">
        <f>IFERROR(VLOOKUP($D507,FIYAT!$B:$O,5,FALSE()),"")</f>
        <v>100</v>
      </c>
      <c r="G507" s="9">
        <f>IFERROR(VLOOKUP($D507,FIYAT!$B:$O,8,FALSE()),"")</f>
        <v>100</v>
      </c>
      <c r="H507" s="9">
        <f>IF(OR($G507="",$I507=""),"",$G507*$I507)</f>
        <v>22800</v>
      </c>
      <c r="I507" s="6">
        <f>ROUND(SUM($U$494:$U$506)*KURALLAR!$B$27,0)</f>
        <v>228</v>
      </c>
      <c r="J507" s="9" t="str">
        <f>IFERROR(VLOOKUP($D507,FIYAT!$B:$O,9,FALSE()),"")</f>
        <v>мин</v>
      </c>
      <c r="K507" s="9" t="str">
        <f>IFERROR(VLOOKUP($D507,FIYAT!$B:$O,4,FALSE()),"")</f>
        <v>ISCILIK</v>
      </c>
      <c r="L507" s="9">
        <f t="shared" si="61"/>
        <v>22800</v>
      </c>
      <c r="M507" s="9"/>
      <c r="N507" s="9"/>
      <c r="O507" s="9"/>
      <c r="P507" s="9" t="str">
        <f>IF($H507="","FIYAT_YOK",IFERROR(VLOOKUP($D507,FIYAT!$B:$P,15,FALSE()),""))</f>
        <v>OK</v>
      </c>
      <c r="Q507" s="9" t="str">
        <f>CONCATENATE("montaj+test iscilik: ",TEXT($I507,"# ##0")," dk = ",TEXT($I507/60,"0,00")," saat (norm x test/etiket carpani)")</f>
        <v>montaj+test iscilik:  228 dk = 3,80 saat (norm x test/etiket carpani)</v>
      </c>
      <c r="R507" s="9" t="s">
        <v>229</v>
      </c>
      <c r="S507" s="9" t="s">
        <v>550</v>
      </c>
      <c r="T507" s="9"/>
      <c r="U507" s="9">
        <v>0</v>
      </c>
    </row>
    <row r="508" spans="1:21" x14ac:dyDescent="0.25">
      <c r="A508" s="10">
        <v>507</v>
      </c>
      <c r="B508" s="10" t="s">
        <v>611</v>
      </c>
      <c r="C508" s="10"/>
      <c r="D508" s="10"/>
      <c r="E508" s="10"/>
      <c r="F508" s="10"/>
      <c r="G508" s="10"/>
      <c r="H508" s="10">
        <f>SUBTOTAL(9,H494:H507)</f>
        <v>157024.79999999999</v>
      </c>
      <c r="I508" s="10"/>
      <c r="J508" s="10"/>
      <c r="K508" s="10"/>
      <c r="L508" s="10">
        <f>SUBTOTAL(9,L494:L507)</f>
        <v>157024.79999999999</v>
      </c>
      <c r="M508" s="10"/>
      <c r="N508" s="10"/>
      <c r="O508" s="10"/>
      <c r="P508" s="10"/>
      <c r="Q508" s="10"/>
      <c r="R508" s="10"/>
      <c r="S508" s="10"/>
      <c r="T508" s="10"/>
      <c r="U508" s="10">
        <f>SUBTOTAL(9,U494:U507)</f>
        <v>198</v>
      </c>
    </row>
    <row r="509" spans="1:21" x14ac:dyDescent="0.25">
      <c r="A509" s="8">
        <v>508</v>
      </c>
      <c r="B509" s="8" t="str">
        <f>E509</f>
        <v>BLOK A / 24F-ЩС.1 — НКУ 380/220В 50Гц, FORM 2B, IP31/54</v>
      </c>
      <c r="C509" s="8" t="s">
        <v>545</v>
      </c>
      <c r="D509" s="8"/>
      <c r="E509" s="8" t="s">
        <v>612</v>
      </c>
      <c r="F509" s="8"/>
      <c r="G509" s="8"/>
      <c r="H509" s="8"/>
      <c r="I509" s="8">
        <v>1</v>
      </c>
      <c r="J509" s="8" t="s">
        <v>547</v>
      </c>
      <c r="K509" s="8"/>
      <c r="L509" s="8"/>
      <c r="M509" s="8"/>
      <c r="N509" s="8"/>
      <c r="O509" s="8"/>
      <c r="P509" s="8" t="s">
        <v>178</v>
      </c>
      <c r="Q509" s="8" t="s">
        <v>548</v>
      </c>
      <c r="R509" s="8" t="s">
        <v>549</v>
      </c>
      <c r="S509" s="8" t="s">
        <v>550</v>
      </c>
      <c r="T509" s="8"/>
      <c r="U509" s="8"/>
    </row>
    <row r="510" spans="1:21" x14ac:dyDescent="0.25">
      <c r="A510" s="5">
        <v>509</v>
      </c>
      <c r="B510" s="5"/>
      <c r="C510" s="5" t="s">
        <v>169</v>
      </c>
      <c r="D510" s="5" t="s">
        <v>167</v>
      </c>
      <c r="E510" s="5" t="str">
        <f>IFERROR(VLOOKUP($D510,FIYAT!$B:$O,2,FALSE()),"")</f>
        <v>Авт. выкл. NM8N-125C TM 3P 32А 36кА с рег. термомаг. расцепителем (R)</v>
      </c>
      <c r="F510" s="5">
        <f>IFERROR(VLOOKUP($D510,FIYAT!$B:$O,5,FALSE()),"")</f>
        <v>64667</v>
      </c>
      <c r="G510" s="5">
        <f>IFERROR(VLOOKUP($D510,FIYAT!$B:$O,8,FALSE()),"")</f>
        <v>38800.199999999997</v>
      </c>
      <c r="H510" s="5">
        <f t="shared" ref="H510:H521" si="62">IF(OR($G510="",$I510=""),"",$G510*$I510)</f>
        <v>38800.199999999997</v>
      </c>
      <c r="I510" s="6">
        <v>1</v>
      </c>
      <c r="J510" s="5" t="str">
        <f>IFERROR(VLOOKUP($D510,FIYAT!$B:$O,9,FALSE()),"")</f>
        <v>Шт.</v>
      </c>
      <c r="K510" s="5" t="str">
        <f>IFERROR(VLOOKUP($D510,FIYAT!$B:$O,4,FALSE()),"")</f>
        <v>CHINT</v>
      </c>
      <c r="L510" s="5">
        <f t="shared" ref="L510:L523" si="63">IF($H510="","",$H510)</f>
        <v>38800.199999999997</v>
      </c>
      <c r="M510" s="5"/>
      <c r="N510" s="5"/>
      <c r="O510" s="5"/>
      <c r="P510" s="5" t="str">
        <f>IF($H510="","FIYAT_YOK",IFERROR(VLOOKUP($D510,FIYAT!$B:$P,15,FALSE()),""))</f>
        <v>MUADIL</v>
      </c>
      <c r="Q510" s="5" t="s">
        <v>172</v>
      </c>
      <c r="R510" s="5" t="s">
        <v>171</v>
      </c>
      <c r="S510" s="5" t="s">
        <v>550</v>
      </c>
      <c r="T510" s="5" t="s">
        <v>61</v>
      </c>
      <c r="U510" s="5">
        <f>IFERROR(VLOOKUP($T510,KURALLAR!$A$32:$B$63,2,FALSE()),0)*IF(ISNUMBER($I510),$I510,0)</f>
        <v>15</v>
      </c>
    </row>
    <row r="511" spans="1:21" x14ac:dyDescent="0.25">
      <c r="A511" s="9">
        <v>510</v>
      </c>
      <c r="B511" s="9"/>
      <c r="C511" s="9" t="s">
        <v>176</v>
      </c>
      <c r="D511" s="9" t="s">
        <v>174</v>
      </c>
      <c r="E511" s="9" t="str">
        <f>IFERROR(VLOOKUP($D511,FIYAT!$B:$O,2,FALSE()),"")</f>
        <v>УЗО NL1-63 6kA 4P 63A 300mA тип AC (R)</v>
      </c>
      <c r="F511" s="9">
        <f>IFERROR(VLOOKUP($D511,FIYAT!$B:$O,5,FALSE()),"")</f>
        <v>18106</v>
      </c>
      <c r="G511" s="9">
        <f>IFERROR(VLOOKUP($D511,FIYAT!$B:$O,8,FALSE()),"")</f>
        <v>10863.6</v>
      </c>
      <c r="H511" s="9">
        <f t="shared" si="62"/>
        <v>10863.6</v>
      </c>
      <c r="I511" s="6">
        <v>1</v>
      </c>
      <c r="J511" s="9" t="str">
        <f>IFERROR(VLOOKUP($D511,FIYAT!$B:$O,9,FALSE()),"")</f>
        <v>Шт.</v>
      </c>
      <c r="K511" s="9" t="str">
        <f>IFERROR(VLOOKUP($D511,FIYAT!$B:$O,4,FALSE()),"")</f>
        <v>CHINT</v>
      </c>
      <c r="L511" s="9">
        <f t="shared" si="63"/>
        <v>10863.6</v>
      </c>
      <c r="M511" s="9"/>
      <c r="N511" s="9"/>
      <c r="O511" s="9"/>
      <c r="P511" s="9" t="str">
        <f>IF($H511="","FIYAT_YOK",IFERROR(VLOOKUP($D511,FIYAT!$B:$P,15,FALSE()),""))</f>
        <v>OK</v>
      </c>
      <c r="Q511" s="9" t="s">
        <v>177</v>
      </c>
      <c r="R511" s="9" t="s">
        <v>171</v>
      </c>
      <c r="S511" s="9" t="s">
        <v>550</v>
      </c>
      <c r="T511" s="9" t="s">
        <v>57</v>
      </c>
      <c r="U511" s="9">
        <f>IFERROR(VLOOKUP($T511,KURALLAR!$A$32:$B$63,2,FALSE()),0)*IF(ISNUMBER($I511),$I511,0)</f>
        <v>10</v>
      </c>
    </row>
    <row r="512" spans="1:21" x14ac:dyDescent="0.25">
      <c r="A512" s="5">
        <v>511</v>
      </c>
      <c r="B512" s="5"/>
      <c r="C512" s="5" t="s">
        <v>79</v>
      </c>
      <c r="D512" s="5" t="s">
        <v>179</v>
      </c>
      <c r="E512" s="5" t="str">
        <f>IFERROR(VLOOKUP($D512,FIYAT!$B:$O,2,FALSE()),"")</f>
        <v>Держатель плавкой вставки RT36-00-160, габарит 00, 160А</v>
      </c>
      <c r="F512" s="5">
        <f>IFERROR(VLOOKUP($D512,FIYAT!$B:$O,5,FALSE()),"")</f>
        <v>2038</v>
      </c>
      <c r="G512" s="5">
        <f>IFERROR(VLOOKUP($D512,FIYAT!$B:$O,8,FALSE()),"")</f>
        <v>1222.8</v>
      </c>
      <c r="H512" s="5">
        <f t="shared" si="62"/>
        <v>4891.2</v>
      </c>
      <c r="I512" s="6">
        <v>4</v>
      </c>
      <c r="J512" s="5" t="str">
        <f>IFERROR(VLOOKUP($D512,FIYAT!$B:$O,9,FALSE()),"")</f>
        <v>Шт.</v>
      </c>
      <c r="K512" s="5" t="str">
        <f>IFERROR(VLOOKUP($D512,FIYAT!$B:$O,4,FALSE()),"")</f>
        <v>CHINT</v>
      </c>
      <c r="L512" s="5">
        <f t="shared" si="63"/>
        <v>4891.2</v>
      </c>
      <c r="M512" s="5"/>
      <c r="N512" s="5"/>
      <c r="O512" s="5"/>
      <c r="P512" s="5" t="str">
        <f>IF($H512="","FIYAT_YOK",IFERROR(VLOOKUP($D512,FIYAT!$B:$P,15,FALSE()),""))</f>
        <v>MUADIL</v>
      </c>
      <c r="Q512" s="5" t="s">
        <v>181</v>
      </c>
      <c r="R512" s="5" t="s">
        <v>171</v>
      </c>
      <c r="S512" s="5" t="s">
        <v>550</v>
      </c>
      <c r="T512" s="5" t="s">
        <v>77</v>
      </c>
      <c r="U512" s="5">
        <f>IFERROR(VLOOKUP($T512,KURALLAR!$A$32:$B$63,2,FALSE()),0)*IF(ISNUMBER($I512),$I512,0)</f>
        <v>20</v>
      </c>
    </row>
    <row r="513" spans="1:21" x14ac:dyDescent="0.25">
      <c r="A513" s="9">
        <v>512</v>
      </c>
      <c r="B513" s="9"/>
      <c r="C513" s="9" t="s">
        <v>79</v>
      </c>
      <c r="D513" s="9" t="s">
        <v>182</v>
      </c>
      <c r="E513" s="9" t="str">
        <f>IFERROR(VLOOKUP($D513,FIYAT!$B:$O,2,FALSE()),"")</f>
        <v>Плавкая вставка предохранителя RT36-00-160, габарит 00, 63А</v>
      </c>
      <c r="F513" s="9">
        <f>IFERROR(VLOOKUP($D513,FIYAT!$B:$O,5,FALSE()),"")</f>
        <v>1525</v>
      </c>
      <c r="G513" s="9">
        <f>IFERROR(VLOOKUP($D513,FIYAT!$B:$O,8,FALSE()),"")</f>
        <v>915</v>
      </c>
      <c r="H513" s="9">
        <f t="shared" si="62"/>
        <v>3660</v>
      </c>
      <c r="I513" s="6">
        <v>4</v>
      </c>
      <c r="J513" s="9" t="str">
        <f>IFERROR(VLOOKUP($D513,FIYAT!$B:$O,9,FALSE()),"")</f>
        <v>Шт.</v>
      </c>
      <c r="K513" s="9" t="str">
        <f>IFERROR(VLOOKUP($D513,FIYAT!$B:$O,4,FALSE()),"")</f>
        <v>CHINT</v>
      </c>
      <c r="L513" s="9">
        <f t="shared" si="63"/>
        <v>3660</v>
      </c>
      <c r="M513" s="9"/>
      <c r="N513" s="9"/>
      <c r="O513" s="9"/>
      <c r="P513" s="9" t="str">
        <f>IF($H513="","FIYAT_YOK",IFERROR(VLOOKUP($D513,FIYAT!$B:$P,15,FALSE()),""))</f>
        <v>MUADIL</v>
      </c>
      <c r="Q513" s="9" t="s">
        <v>185</v>
      </c>
      <c r="R513" s="9" t="s">
        <v>184</v>
      </c>
      <c r="S513" s="9" t="s">
        <v>550</v>
      </c>
      <c r="T513" s="9" t="s">
        <v>79</v>
      </c>
      <c r="U513" s="9">
        <f>IFERROR(VLOOKUP($T513,KURALLAR!$A$32:$B$63,2,FALSE()),0)*IF(ISNUMBER($I513),$I513,0)</f>
        <v>12</v>
      </c>
    </row>
    <row r="514" spans="1:21" x14ac:dyDescent="0.25">
      <c r="A514" s="5">
        <v>513</v>
      </c>
      <c r="B514" s="5"/>
      <c r="C514" s="5" t="s">
        <v>75</v>
      </c>
      <c r="D514" s="5" t="s">
        <v>186</v>
      </c>
      <c r="E514" s="5" t="str">
        <f>IFERROR(VLOOKUP($D514,FIYAT!$B:$O,2,FALSE()),"")</f>
        <v>Ограничитель имп. перенапр. NU6-IIG 4Р In=25kA Uc=440B Im=65kA (R)</v>
      </c>
      <c r="F514" s="5">
        <f>IFERROR(VLOOKUP($D514,FIYAT!$B:$O,5,FALSE()),"")</f>
        <v>33208</v>
      </c>
      <c r="G514" s="5">
        <f>IFERROR(VLOOKUP($D514,FIYAT!$B:$O,8,FALSE()),"")</f>
        <v>19924.8</v>
      </c>
      <c r="H514" s="5">
        <f t="shared" si="62"/>
        <v>19924.8</v>
      </c>
      <c r="I514" s="6">
        <v>1</v>
      </c>
      <c r="J514" s="5" t="str">
        <f>IFERROR(VLOOKUP($D514,FIYAT!$B:$O,9,FALSE()),"")</f>
        <v>Шт.</v>
      </c>
      <c r="K514" s="5" t="str">
        <f>IFERROR(VLOOKUP($D514,FIYAT!$B:$O,4,FALSE()),"")</f>
        <v>CHINT</v>
      </c>
      <c r="L514" s="5">
        <f t="shared" si="63"/>
        <v>19924.8</v>
      </c>
      <c r="M514" s="5"/>
      <c r="N514" s="5"/>
      <c r="O514" s="5"/>
      <c r="P514" s="5" t="str">
        <f>IF($H514="","FIYAT_YOK",IFERROR(VLOOKUP($D514,FIYAT!$B:$P,15,FALSE()),""))</f>
        <v>MUADIL_ONAY</v>
      </c>
      <c r="Q514" s="5" t="s">
        <v>188</v>
      </c>
      <c r="R514" s="5" t="s">
        <v>184</v>
      </c>
      <c r="S514" s="5" t="s">
        <v>550</v>
      </c>
      <c r="T514" s="5" t="s">
        <v>75</v>
      </c>
      <c r="U514" s="5">
        <f>IFERROR(VLOOKUP($T514,KURALLAR!$A$32:$B$63,2,FALSE()),0)*IF(ISNUMBER($I514),$I514,0)</f>
        <v>10</v>
      </c>
    </row>
    <row r="515" spans="1:21" x14ac:dyDescent="0.25">
      <c r="A515" s="9">
        <v>514</v>
      </c>
      <c r="B515" s="9"/>
      <c r="C515" s="9" t="s">
        <v>192</v>
      </c>
      <c r="D515" s="9" t="s">
        <v>321</v>
      </c>
      <c r="E515" s="9" t="str">
        <f>IFERROR(VLOOKUP($D515,FIYAT!$B:$O,2,FALSE()),"")</f>
        <v>Авт. выкл. NXB-63 1P 25A 6кА х-ка C (R)</v>
      </c>
      <c r="F515" s="9">
        <f>IFERROR(VLOOKUP($D515,FIYAT!$B:$O,5,FALSE()),"")</f>
        <v>1330</v>
      </c>
      <c r="G515" s="9">
        <f>IFERROR(VLOOKUP($D515,FIYAT!$B:$O,8,FALSE()),"")</f>
        <v>798</v>
      </c>
      <c r="H515" s="9">
        <f t="shared" si="62"/>
        <v>798</v>
      </c>
      <c r="I515" s="6">
        <v>1</v>
      </c>
      <c r="J515" s="9" t="str">
        <f>IFERROR(VLOOKUP($D515,FIYAT!$B:$O,9,FALSE()),"")</f>
        <v>Шт.</v>
      </c>
      <c r="K515" s="9" t="str">
        <f>IFERROR(VLOOKUP($D515,FIYAT!$B:$O,4,FALSE()),"")</f>
        <v>CHINT</v>
      </c>
      <c r="L515" s="9">
        <f t="shared" si="63"/>
        <v>798</v>
      </c>
      <c r="M515" s="9"/>
      <c r="N515" s="9"/>
      <c r="O515" s="9"/>
      <c r="P515" s="9" t="str">
        <f>IF($H515="","FIYAT_YOK",IFERROR(VLOOKUP($D515,FIYAT!$B:$P,15,FALSE()),""))</f>
        <v>OK</v>
      </c>
      <c r="Q515" s="9" t="s">
        <v>323</v>
      </c>
      <c r="R515" s="9" t="s">
        <v>171</v>
      </c>
      <c r="S515" s="9" t="s">
        <v>550</v>
      </c>
      <c r="T515" s="9" t="s">
        <v>47</v>
      </c>
      <c r="U515" s="9">
        <f>IFERROR(VLOOKUP($T515,KURALLAR!$A$32:$B$63,2,FALSE()),0)*IF(ISNUMBER($I515),$I515,0)</f>
        <v>3</v>
      </c>
    </row>
    <row r="516" spans="1:21" x14ac:dyDescent="0.25">
      <c r="A516" s="5">
        <v>515</v>
      </c>
      <c r="B516" s="5"/>
      <c r="C516" s="5" t="s">
        <v>176</v>
      </c>
      <c r="D516" s="5" t="s">
        <v>324</v>
      </c>
      <c r="E516" s="5" t="str">
        <f>IFERROR(VLOOKUP($D516,FIYAT!$B:$O,2,FALSE()),"")</f>
        <v>УЗО NL1-63 6kA 2P 25A 30mA тип AC (R)</v>
      </c>
      <c r="F516" s="5">
        <f>IFERROR(VLOOKUP($D516,FIYAT!$B:$O,5,FALSE()),"")</f>
        <v>10809</v>
      </c>
      <c r="G516" s="5">
        <f>IFERROR(VLOOKUP($D516,FIYAT!$B:$O,8,FALSE()),"")</f>
        <v>6485.4</v>
      </c>
      <c r="H516" s="5">
        <f t="shared" si="62"/>
        <v>6485.4</v>
      </c>
      <c r="I516" s="6">
        <v>1</v>
      </c>
      <c r="J516" s="5" t="str">
        <f>IFERROR(VLOOKUP($D516,FIYAT!$B:$O,9,FALSE()),"")</f>
        <v>Шт.</v>
      </c>
      <c r="K516" s="5" t="str">
        <f>IFERROR(VLOOKUP($D516,FIYAT!$B:$O,4,FALSE()),"")</f>
        <v>CHINT</v>
      </c>
      <c r="L516" s="5">
        <f t="shared" si="63"/>
        <v>6485.4</v>
      </c>
      <c r="M516" s="5"/>
      <c r="N516" s="5"/>
      <c r="O516" s="5"/>
      <c r="P516" s="5" t="str">
        <f>IF($H516="","FIYAT_YOK",IFERROR(VLOOKUP($D516,FIYAT!$B:$P,15,FALSE()),""))</f>
        <v>OK</v>
      </c>
      <c r="Q516" s="5" t="s">
        <v>326</v>
      </c>
      <c r="R516" s="5" t="s">
        <v>171</v>
      </c>
      <c r="S516" s="5" t="s">
        <v>550</v>
      </c>
      <c r="T516" s="5" t="s">
        <v>55</v>
      </c>
      <c r="U516" s="5">
        <f>IFERROR(VLOOKUP($T516,KURALLAR!$A$32:$B$63,2,FALSE()),0)*IF(ISNUMBER($I516),$I516,0)</f>
        <v>6</v>
      </c>
    </row>
    <row r="517" spans="1:21" x14ac:dyDescent="0.25">
      <c r="A517" s="9">
        <v>516</v>
      </c>
      <c r="B517" s="9"/>
      <c r="C517" s="9" t="s">
        <v>192</v>
      </c>
      <c r="D517" s="9" t="s">
        <v>194</v>
      </c>
      <c r="E517" s="9" t="str">
        <f>IFERROR(VLOOKUP($D517,FIYAT!$B:$O,2,FALSE()),"")</f>
        <v>Авт. выкл. NXB-63 1P 16A 6кА х-ка C (R)</v>
      </c>
      <c r="F517" s="9">
        <f>IFERROR(VLOOKUP($D517,FIYAT!$B:$O,5,FALSE()),"")</f>
        <v>1389</v>
      </c>
      <c r="G517" s="9">
        <f>IFERROR(VLOOKUP($D517,FIYAT!$B:$O,8,FALSE()),"")</f>
        <v>833.4</v>
      </c>
      <c r="H517" s="9">
        <f t="shared" si="62"/>
        <v>5833.8</v>
      </c>
      <c r="I517" s="6">
        <v>7</v>
      </c>
      <c r="J517" s="9" t="str">
        <f>IFERROR(VLOOKUP($D517,FIYAT!$B:$O,9,FALSE()),"")</f>
        <v>Шт.</v>
      </c>
      <c r="K517" s="9" t="str">
        <f>IFERROR(VLOOKUP($D517,FIYAT!$B:$O,4,FALSE()),"")</f>
        <v>CHINT</v>
      </c>
      <c r="L517" s="9">
        <f t="shared" si="63"/>
        <v>5833.8</v>
      </c>
      <c r="M517" s="9"/>
      <c r="N517" s="9"/>
      <c r="O517" s="9"/>
      <c r="P517" s="9" t="str">
        <f>IF($H517="","FIYAT_YOK",IFERROR(VLOOKUP($D517,FIYAT!$B:$P,15,FALSE()),""))</f>
        <v>OK</v>
      </c>
      <c r="Q517" s="9" t="s">
        <v>196</v>
      </c>
      <c r="R517" s="9" t="s">
        <v>171</v>
      </c>
      <c r="S517" s="9" t="s">
        <v>550</v>
      </c>
      <c r="T517" s="9" t="s">
        <v>47</v>
      </c>
      <c r="U517" s="9">
        <f>IFERROR(VLOOKUP($T517,KURALLAR!$A$32:$B$63,2,FALSE()),0)*IF(ISNUMBER($I517),$I517,0)</f>
        <v>21</v>
      </c>
    </row>
    <row r="518" spans="1:21" x14ac:dyDescent="0.25">
      <c r="A518" s="5">
        <v>517</v>
      </c>
      <c r="B518" s="5"/>
      <c r="C518" s="5" t="s">
        <v>176</v>
      </c>
      <c r="D518" s="5" t="s">
        <v>200</v>
      </c>
      <c r="E518" s="5" t="str">
        <f>IFERROR(VLOOKUP($D518,FIYAT!$B:$O,2,FALSE()),"")</f>
        <v>УЗО NL1-63 6kA 2P 16A 30mA тип AC (R)</v>
      </c>
      <c r="F518" s="5">
        <f>IFERROR(VLOOKUP($D518,FIYAT!$B:$O,5,FALSE()),"")</f>
        <v>10809</v>
      </c>
      <c r="G518" s="5">
        <f>IFERROR(VLOOKUP($D518,FIYAT!$B:$O,8,FALSE()),"")</f>
        <v>6485.4</v>
      </c>
      <c r="H518" s="5">
        <f t="shared" si="62"/>
        <v>6485.4</v>
      </c>
      <c r="I518" s="6">
        <v>1</v>
      </c>
      <c r="J518" s="5" t="str">
        <f>IFERROR(VLOOKUP($D518,FIYAT!$B:$O,9,FALSE()),"")</f>
        <v>Шт.</v>
      </c>
      <c r="K518" s="5" t="str">
        <f>IFERROR(VLOOKUP($D518,FIYAT!$B:$O,4,FALSE()),"")</f>
        <v>CHINT</v>
      </c>
      <c r="L518" s="5">
        <f t="shared" si="63"/>
        <v>6485.4</v>
      </c>
      <c r="M518" s="5"/>
      <c r="N518" s="5"/>
      <c r="O518" s="5"/>
      <c r="P518" s="5" t="str">
        <f>IF($H518="","FIYAT_YOK",IFERROR(VLOOKUP($D518,FIYAT!$B:$P,15,FALSE()),""))</f>
        <v>OK</v>
      </c>
      <c r="Q518" s="5" t="s">
        <v>202</v>
      </c>
      <c r="R518" s="5" t="s">
        <v>171</v>
      </c>
      <c r="S518" s="5" t="s">
        <v>550</v>
      </c>
      <c r="T518" s="5" t="s">
        <v>55</v>
      </c>
      <c r="U518" s="5">
        <f>IFERROR(VLOOKUP($T518,KURALLAR!$A$32:$B$63,2,FALSE()),0)*IF(ISNUMBER($I518),$I518,0)</f>
        <v>6</v>
      </c>
    </row>
    <row r="519" spans="1:21" x14ac:dyDescent="0.25">
      <c r="A519" s="9">
        <v>518</v>
      </c>
      <c r="B519" s="9"/>
      <c r="C519" s="9" t="s">
        <v>192</v>
      </c>
      <c r="D519" s="9" t="s">
        <v>206</v>
      </c>
      <c r="E519" s="9" t="str">
        <f>IFERROR(VLOOKUP($D519,FIYAT!$B:$O,2,FALSE()),"")</f>
        <v>Авт. выкл. NXB-63 1P 10A 6кА х-ка C (R)</v>
      </c>
      <c r="F519" s="9">
        <f>IFERROR(VLOOKUP($D519,FIYAT!$B:$O,5,FALSE()),"")</f>
        <v>1362</v>
      </c>
      <c r="G519" s="9">
        <f>IFERROR(VLOOKUP($D519,FIYAT!$B:$O,8,FALSE()),"")</f>
        <v>817.19999999999993</v>
      </c>
      <c r="H519" s="9">
        <f t="shared" si="62"/>
        <v>8989.1999999999989</v>
      </c>
      <c r="I519" s="6">
        <v>11</v>
      </c>
      <c r="J519" s="9" t="str">
        <f>IFERROR(VLOOKUP($D519,FIYAT!$B:$O,9,FALSE()),"")</f>
        <v>Шт.</v>
      </c>
      <c r="K519" s="9" t="str">
        <f>IFERROR(VLOOKUP($D519,FIYAT!$B:$O,4,FALSE()),"")</f>
        <v>CHINT</v>
      </c>
      <c r="L519" s="9">
        <f t="shared" si="63"/>
        <v>8989.1999999999989</v>
      </c>
      <c r="M519" s="9"/>
      <c r="N519" s="9"/>
      <c r="O519" s="9"/>
      <c r="P519" s="9" t="str">
        <f>IF($H519="","FIYAT_YOK",IFERROR(VLOOKUP($D519,FIYAT!$B:$P,15,FALSE()),""))</f>
        <v>OK</v>
      </c>
      <c r="Q519" s="9" t="s">
        <v>208</v>
      </c>
      <c r="R519" s="9" t="s">
        <v>184</v>
      </c>
      <c r="S519" s="9" t="s">
        <v>550</v>
      </c>
      <c r="T519" s="9" t="s">
        <v>47</v>
      </c>
      <c r="U519" s="9">
        <f>IFERROR(VLOOKUP($T519,KURALLAR!$A$32:$B$63,2,FALSE()),0)*IF(ISNUMBER($I519),$I519,0)</f>
        <v>33</v>
      </c>
    </row>
    <row r="520" spans="1:21" x14ac:dyDescent="0.25">
      <c r="A520" s="5">
        <v>519</v>
      </c>
      <c r="B520" s="5"/>
      <c r="C520" s="5" t="s">
        <v>93</v>
      </c>
      <c r="D520" s="5" t="s">
        <v>209</v>
      </c>
      <c r="E520" s="5" t="str">
        <f>IFERROR(VLOOKUP($D520,FIYAT!$B:$O,2,FALSE()),"")</f>
        <v>Шина "N" нулевая 6х9мм на DIN-рейку в корпусном изоляторе ШНИ 12К IEK (10)</v>
      </c>
      <c r="F520" s="5">
        <f>IFERROR(VLOOKUP($D520,FIYAT!$B:$O,5,FALSE()),"")</f>
        <v>755</v>
      </c>
      <c r="G520" s="5">
        <f>IFERROR(VLOOKUP($D520,FIYAT!$B:$O,8,FALSE()),"")</f>
        <v>453</v>
      </c>
      <c r="H520" s="5">
        <f t="shared" si="62"/>
        <v>1812</v>
      </c>
      <c r="I520" s="6">
        <v>4</v>
      </c>
      <c r="J520" s="5" t="str">
        <f>IFERROR(VLOOKUP($D520,FIYAT!$B:$O,9,FALSE()),"")</f>
        <v>Шт.</v>
      </c>
      <c r="K520" s="5" t="str">
        <f>IFERROR(VLOOKUP($D520,FIYAT!$B:$O,4,FALSE()),"")</f>
        <v>KAZTEK</v>
      </c>
      <c r="L520" s="5">
        <f t="shared" si="63"/>
        <v>1812</v>
      </c>
      <c r="M520" s="5"/>
      <c r="N520" s="5"/>
      <c r="O520" s="5"/>
      <c r="P520" s="5" t="str">
        <f>IF($H520="","FIYAT_YOK",IFERROR(VLOOKUP($D520,FIYAT!$B:$P,15,FALSE()),""))</f>
        <v>MUADIL</v>
      </c>
      <c r="Q520" s="5" t="s">
        <v>212</v>
      </c>
      <c r="R520" s="5" t="s">
        <v>211</v>
      </c>
      <c r="S520" s="5" t="s">
        <v>550</v>
      </c>
      <c r="T520" s="5" t="s">
        <v>93</v>
      </c>
      <c r="U520" s="5">
        <f>IFERROR(VLOOKUP($T520,KURALLAR!$A$32:$B$63,2,FALSE()),0)*IF(ISNUMBER($I520),$I520,0)</f>
        <v>32</v>
      </c>
    </row>
    <row r="521" spans="1:21" x14ac:dyDescent="0.25">
      <c r="A521" s="9">
        <v>520</v>
      </c>
      <c r="B521" s="9"/>
      <c r="C521" s="9" t="s">
        <v>222</v>
      </c>
      <c r="D521" s="9" t="s">
        <v>220</v>
      </c>
      <c r="E521" s="9" t="str">
        <f>IFERROR(VLOOKUP($D521,FIYAT!$B:$O,2,FALSE()),"")</f>
        <v>ЩМП (инд.) IP31 (650х500х150мм)</v>
      </c>
      <c r="F521" s="9">
        <f>IFERROR(VLOOKUP($D521,FIYAT!$B:$O,5,FALSE()),"")</f>
        <v>27825</v>
      </c>
      <c r="G521" s="9">
        <f>IFERROR(VLOOKUP($D521,FIYAT!$B:$O,8,FALSE()),"")</f>
        <v>16695</v>
      </c>
      <c r="H521" s="9">
        <f t="shared" si="62"/>
        <v>16695</v>
      </c>
      <c r="I521" s="6">
        <v>1</v>
      </c>
      <c r="J521" s="9" t="str">
        <f>IFERROR(VLOOKUP($D521,FIYAT!$B:$O,9,FALSE()),"")</f>
        <v>Шт.</v>
      </c>
      <c r="K521" s="9" t="str">
        <f>IFERROR(VLOOKUP($D521,FIYAT!$B:$O,4,FALSE()),"")</f>
        <v>KAZTEK</v>
      </c>
      <c r="L521" s="9">
        <f t="shared" si="63"/>
        <v>16695</v>
      </c>
      <c r="M521" s="9"/>
      <c r="N521" s="9"/>
      <c r="O521" s="9"/>
      <c r="P521" s="9" t="str">
        <f>IF($H521="","FIYAT_YOK",IFERROR(VLOOKUP($D521,FIYAT!$B:$P,15,FALSE()),""))</f>
        <v>VARSAYIM</v>
      </c>
      <c r="Q521" s="9" t="s">
        <v>223</v>
      </c>
      <c r="R521" s="9" t="s">
        <v>211</v>
      </c>
      <c r="S521" s="9" t="s">
        <v>550</v>
      </c>
      <c r="T521" s="9" t="s">
        <v>105</v>
      </c>
      <c r="U521" s="9">
        <f>IFERROR(VLOOKUP($T521,KURALLAR!$A$32:$B$63,2,FALSE()),0)*IF(ISNUMBER($I521),$I521,0)</f>
        <v>30</v>
      </c>
    </row>
    <row r="522" spans="1:21" x14ac:dyDescent="0.25">
      <c r="A522" s="5">
        <v>521</v>
      </c>
      <c r="B522" s="5"/>
      <c r="C522" s="5" t="s">
        <v>215</v>
      </c>
      <c r="D522" s="5" t="s">
        <v>213</v>
      </c>
      <c r="E522" s="5" t="str">
        <f>IFERROR(VLOOKUP($D522,FIYAT!$B:$O,2,FALSE()),"")</f>
        <v>Монтажный расходный материал (кабель, DIN-рейка, кабель-канал, клеммы, маркировка, крепёж)</v>
      </c>
      <c r="F522" s="5">
        <f>IFERROR(VLOOKUP($D522,FIYAT!$B:$O,5,FALSE()),"")</f>
        <v>0</v>
      </c>
      <c r="G522" s="5" t="str">
        <f>IFERROR(VLOOKUP($D522,FIYAT!$B:$O,8,FALSE()),"")</f>
        <v/>
      </c>
      <c r="H522" s="5">
        <f>ROUND(SUM($H$510:$H$521)*KURALLAR!$B$28,0)</f>
        <v>8767</v>
      </c>
      <c r="I522" s="6">
        <v>1</v>
      </c>
      <c r="J522" s="5" t="str">
        <f>IFERROR(VLOOKUP($D522,FIYAT!$B:$O,9,FALSE()),"")</f>
        <v>компл.</v>
      </c>
      <c r="K522" s="5" t="str">
        <f>IFERROR(VLOOKUP($D522,FIYAT!$B:$O,4,FALSE()),"")</f>
        <v>MUADIL-NET</v>
      </c>
      <c r="L522" s="5">
        <f t="shared" si="63"/>
        <v>8767</v>
      </c>
      <c r="M522" s="5"/>
      <c r="N522" s="5"/>
      <c r="O522" s="5"/>
      <c r="P522" s="5" t="str">
        <f>IF($H522="","FIYAT_YOK",IFERROR(VLOOKUP($D522,FIYAT!$B:$P,15,FALSE()),""))</f>
        <v>ORAN</v>
      </c>
      <c r="Q522" s="5" t="s">
        <v>218</v>
      </c>
      <c r="R522" s="5" t="s">
        <v>217</v>
      </c>
      <c r="S522" s="5" t="s">
        <v>550</v>
      </c>
      <c r="T522" s="5"/>
      <c r="U522" s="5">
        <v>0</v>
      </c>
    </row>
    <row r="523" spans="1:21" x14ac:dyDescent="0.25">
      <c r="A523" s="9">
        <v>522</v>
      </c>
      <c r="B523" s="9"/>
      <c r="C523" s="9" t="s">
        <v>227</v>
      </c>
      <c r="D523" s="9" t="s">
        <v>225</v>
      </c>
      <c r="E523" s="9" t="str">
        <f>IFERROR(VLOOKUP($D523,FIYAT!$B:$O,2,FALSE()),"")</f>
        <v>Сборка, кабелирование, маркировка, момент затяжки, испытания</v>
      </c>
      <c r="F523" s="9">
        <f>IFERROR(VLOOKUP($D523,FIYAT!$B:$O,5,FALSE()),"")</f>
        <v>100</v>
      </c>
      <c r="G523" s="9">
        <f>IFERROR(VLOOKUP($D523,FIYAT!$B:$O,8,FALSE()),"")</f>
        <v>100</v>
      </c>
      <c r="H523" s="9">
        <f>IF(OR($G523="",$I523=""),"",$G523*$I523)</f>
        <v>22800</v>
      </c>
      <c r="I523" s="6">
        <f>ROUND(SUM($U$510:$U$522)*KURALLAR!$B$27,0)</f>
        <v>228</v>
      </c>
      <c r="J523" s="9" t="str">
        <f>IFERROR(VLOOKUP($D523,FIYAT!$B:$O,9,FALSE()),"")</f>
        <v>мин</v>
      </c>
      <c r="K523" s="9" t="str">
        <f>IFERROR(VLOOKUP($D523,FIYAT!$B:$O,4,FALSE()),"")</f>
        <v>ISCILIK</v>
      </c>
      <c r="L523" s="9">
        <f t="shared" si="63"/>
        <v>22800</v>
      </c>
      <c r="M523" s="9"/>
      <c r="N523" s="9"/>
      <c r="O523" s="9"/>
      <c r="P523" s="9" t="str">
        <f>IF($H523="","FIYAT_YOK",IFERROR(VLOOKUP($D523,FIYAT!$B:$P,15,FALSE()),""))</f>
        <v>OK</v>
      </c>
      <c r="Q523" s="9" t="str">
        <f>CONCATENATE("montaj+test iscilik: ",TEXT($I523,"# ##0")," dk = ",TEXT($I523/60,"0,00")," saat (norm x test/etiket carpani)")</f>
        <v>montaj+test iscilik:  228 dk = 3,80 saat (norm x test/etiket carpani)</v>
      </c>
      <c r="R523" s="9" t="s">
        <v>229</v>
      </c>
      <c r="S523" s="9" t="s">
        <v>550</v>
      </c>
      <c r="T523" s="9"/>
      <c r="U523" s="9">
        <v>0</v>
      </c>
    </row>
    <row r="524" spans="1:21" x14ac:dyDescent="0.25">
      <c r="A524" s="10">
        <v>523</v>
      </c>
      <c r="B524" s="10" t="s">
        <v>613</v>
      </c>
      <c r="C524" s="10"/>
      <c r="D524" s="10"/>
      <c r="E524" s="10"/>
      <c r="F524" s="10"/>
      <c r="G524" s="10"/>
      <c r="H524" s="10">
        <f>SUBTOTAL(9,H510:H523)</f>
        <v>156805.59999999998</v>
      </c>
      <c r="I524" s="10"/>
      <c r="J524" s="10"/>
      <c r="K524" s="10"/>
      <c r="L524" s="10">
        <f>SUBTOTAL(9,L510:L523)</f>
        <v>156805.59999999998</v>
      </c>
      <c r="M524" s="10"/>
      <c r="N524" s="10"/>
      <c r="O524" s="10"/>
      <c r="P524" s="10"/>
      <c r="Q524" s="10"/>
      <c r="R524" s="10"/>
      <c r="S524" s="10"/>
      <c r="T524" s="10"/>
      <c r="U524" s="10">
        <f>SUBTOTAL(9,U510:U523)</f>
        <v>198</v>
      </c>
    </row>
    <row r="525" spans="1:21" x14ac:dyDescent="0.25">
      <c r="A525" s="8">
        <v>524</v>
      </c>
      <c r="B525" s="8" t="str">
        <f>E525</f>
        <v>BLOK A / 24F-ЩС.2 — НКУ 380/220В 50Гц, FORM 2B, IP31/54</v>
      </c>
      <c r="C525" s="8" t="s">
        <v>545</v>
      </c>
      <c r="D525" s="8"/>
      <c r="E525" s="8" t="s">
        <v>614</v>
      </c>
      <c r="F525" s="8"/>
      <c r="G525" s="8"/>
      <c r="H525" s="8"/>
      <c r="I525" s="8">
        <v>1</v>
      </c>
      <c r="J525" s="8" t="s">
        <v>547</v>
      </c>
      <c r="K525" s="8"/>
      <c r="L525" s="8"/>
      <c r="M525" s="8"/>
      <c r="N525" s="8"/>
      <c r="O525" s="8"/>
      <c r="P525" s="8" t="s">
        <v>178</v>
      </c>
      <c r="Q525" s="8" t="s">
        <v>548</v>
      </c>
      <c r="R525" s="8" t="s">
        <v>549</v>
      </c>
      <c r="S525" s="8" t="s">
        <v>550</v>
      </c>
      <c r="T525" s="8"/>
      <c r="U525" s="8"/>
    </row>
    <row r="526" spans="1:21" x14ac:dyDescent="0.25">
      <c r="A526" s="5">
        <v>525</v>
      </c>
      <c r="B526" s="5"/>
      <c r="C526" s="5" t="s">
        <v>169</v>
      </c>
      <c r="D526" s="5" t="s">
        <v>167</v>
      </c>
      <c r="E526" s="5" t="str">
        <f>IFERROR(VLOOKUP($D526,FIYAT!$B:$O,2,FALSE()),"")</f>
        <v>Авт. выкл. NM8N-125C TM 3P 32А 36кА с рег. термомаг. расцепителем (R)</v>
      </c>
      <c r="F526" s="5">
        <f>IFERROR(VLOOKUP($D526,FIYAT!$B:$O,5,FALSE()),"")</f>
        <v>64667</v>
      </c>
      <c r="G526" s="5">
        <f>IFERROR(VLOOKUP($D526,FIYAT!$B:$O,8,FALSE()),"")</f>
        <v>38800.199999999997</v>
      </c>
      <c r="H526" s="5">
        <f t="shared" ref="H526:H537" si="64">IF(OR($G526="",$I526=""),"",$G526*$I526)</f>
        <v>38800.199999999997</v>
      </c>
      <c r="I526" s="6">
        <v>1</v>
      </c>
      <c r="J526" s="5" t="str">
        <f>IFERROR(VLOOKUP($D526,FIYAT!$B:$O,9,FALSE()),"")</f>
        <v>Шт.</v>
      </c>
      <c r="K526" s="5" t="str">
        <f>IFERROR(VLOOKUP($D526,FIYAT!$B:$O,4,FALSE()),"")</f>
        <v>CHINT</v>
      </c>
      <c r="L526" s="5">
        <f t="shared" ref="L526:L539" si="65">IF($H526="","",$H526)</f>
        <v>38800.199999999997</v>
      </c>
      <c r="M526" s="5"/>
      <c r="N526" s="5"/>
      <c r="O526" s="5"/>
      <c r="P526" s="5" t="str">
        <f>IF($H526="","FIYAT_YOK",IFERROR(VLOOKUP($D526,FIYAT!$B:$P,15,FALSE()),""))</f>
        <v>MUADIL</v>
      </c>
      <c r="Q526" s="5" t="s">
        <v>172</v>
      </c>
      <c r="R526" s="5" t="s">
        <v>171</v>
      </c>
      <c r="S526" s="5" t="s">
        <v>550</v>
      </c>
      <c r="T526" s="5" t="s">
        <v>61</v>
      </c>
      <c r="U526" s="5">
        <f>IFERROR(VLOOKUP($T526,KURALLAR!$A$32:$B$63,2,FALSE()),0)*IF(ISNUMBER($I526),$I526,0)</f>
        <v>15</v>
      </c>
    </row>
    <row r="527" spans="1:21" x14ac:dyDescent="0.25">
      <c r="A527" s="9">
        <v>526</v>
      </c>
      <c r="B527" s="9"/>
      <c r="C527" s="9" t="s">
        <v>176</v>
      </c>
      <c r="D527" s="9" t="s">
        <v>174</v>
      </c>
      <c r="E527" s="9" t="str">
        <f>IFERROR(VLOOKUP($D527,FIYAT!$B:$O,2,FALSE()),"")</f>
        <v>УЗО NL1-63 6kA 4P 63A 300mA тип AC (R)</v>
      </c>
      <c r="F527" s="9">
        <f>IFERROR(VLOOKUP($D527,FIYAT!$B:$O,5,FALSE()),"")</f>
        <v>18106</v>
      </c>
      <c r="G527" s="9">
        <f>IFERROR(VLOOKUP($D527,FIYAT!$B:$O,8,FALSE()),"")</f>
        <v>10863.6</v>
      </c>
      <c r="H527" s="9">
        <f t="shared" si="64"/>
        <v>10863.6</v>
      </c>
      <c r="I527" s="6">
        <v>1</v>
      </c>
      <c r="J527" s="9" t="str">
        <f>IFERROR(VLOOKUP($D527,FIYAT!$B:$O,9,FALSE()),"")</f>
        <v>Шт.</v>
      </c>
      <c r="K527" s="9" t="str">
        <f>IFERROR(VLOOKUP($D527,FIYAT!$B:$O,4,FALSE()),"")</f>
        <v>CHINT</v>
      </c>
      <c r="L527" s="9">
        <f t="shared" si="65"/>
        <v>10863.6</v>
      </c>
      <c r="M527" s="9"/>
      <c r="N527" s="9"/>
      <c r="O527" s="9"/>
      <c r="P527" s="9" t="str">
        <f>IF($H527="","FIYAT_YOK",IFERROR(VLOOKUP($D527,FIYAT!$B:$P,15,FALSE()),""))</f>
        <v>OK</v>
      </c>
      <c r="Q527" s="9" t="s">
        <v>177</v>
      </c>
      <c r="R527" s="9" t="s">
        <v>171</v>
      </c>
      <c r="S527" s="9" t="s">
        <v>550</v>
      </c>
      <c r="T527" s="9" t="s">
        <v>57</v>
      </c>
      <c r="U527" s="9">
        <f>IFERROR(VLOOKUP($T527,KURALLAR!$A$32:$B$63,2,FALSE()),0)*IF(ISNUMBER($I527),$I527,0)</f>
        <v>10</v>
      </c>
    </row>
    <row r="528" spans="1:21" x14ac:dyDescent="0.25">
      <c r="A528" s="5">
        <v>527</v>
      </c>
      <c r="B528" s="5"/>
      <c r="C528" s="5" t="s">
        <v>79</v>
      </c>
      <c r="D528" s="5" t="s">
        <v>179</v>
      </c>
      <c r="E528" s="5" t="str">
        <f>IFERROR(VLOOKUP($D528,FIYAT!$B:$O,2,FALSE()),"")</f>
        <v>Держатель плавкой вставки RT36-00-160, габарит 00, 160А</v>
      </c>
      <c r="F528" s="5">
        <f>IFERROR(VLOOKUP($D528,FIYAT!$B:$O,5,FALSE()),"")</f>
        <v>2038</v>
      </c>
      <c r="G528" s="5">
        <f>IFERROR(VLOOKUP($D528,FIYAT!$B:$O,8,FALSE()),"")</f>
        <v>1222.8</v>
      </c>
      <c r="H528" s="5">
        <f t="shared" si="64"/>
        <v>4891.2</v>
      </c>
      <c r="I528" s="6">
        <v>4</v>
      </c>
      <c r="J528" s="5" t="str">
        <f>IFERROR(VLOOKUP($D528,FIYAT!$B:$O,9,FALSE()),"")</f>
        <v>Шт.</v>
      </c>
      <c r="K528" s="5" t="str">
        <f>IFERROR(VLOOKUP($D528,FIYAT!$B:$O,4,FALSE()),"")</f>
        <v>CHINT</v>
      </c>
      <c r="L528" s="5">
        <f t="shared" si="65"/>
        <v>4891.2</v>
      </c>
      <c r="M528" s="5"/>
      <c r="N528" s="5"/>
      <c r="O528" s="5"/>
      <c r="P528" s="5" t="str">
        <f>IF($H528="","FIYAT_YOK",IFERROR(VLOOKUP($D528,FIYAT!$B:$P,15,FALSE()),""))</f>
        <v>MUADIL</v>
      </c>
      <c r="Q528" s="5" t="s">
        <v>181</v>
      </c>
      <c r="R528" s="5" t="s">
        <v>171</v>
      </c>
      <c r="S528" s="5" t="s">
        <v>550</v>
      </c>
      <c r="T528" s="5" t="s">
        <v>77</v>
      </c>
      <c r="U528" s="5">
        <f>IFERROR(VLOOKUP($T528,KURALLAR!$A$32:$B$63,2,FALSE()),0)*IF(ISNUMBER($I528),$I528,0)</f>
        <v>20</v>
      </c>
    </row>
    <row r="529" spans="1:21" x14ac:dyDescent="0.25">
      <c r="A529" s="9">
        <v>528</v>
      </c>
      <c r="B529" s="9"/>
      <c r="C529" s="9" t="s">
        <v>79</v>
      </c>
      <c r="D529" s="9" t="s">
        <v>182</v>
      </c>
      <c r="E529" s="9" t="str">
        <f>IFERROR(VLOOKUP($D529,FIYAT!$B:$O,2,FALSE()),"")</f>
        <v>Плавкая вставка предохранителя RT36-00-160, габарит 00, 63А</v>
      </c>
      <c r="F529" s="9">
        <f>IFERROR(VLOOKUP($D529,FIYAT!$B:$O,5,FALSE()),"")</f>
        <v>1525</v>
      </c>
      <c r="G529" s="9">
        <f>IFERROR(VLOOKUP($D529,FIYAT!$B:$O,8,FALSE()),"")</f>
        <v>915</v>
      </c>
      <c r="H529" s="9">
        <f t="shared" si="64"/>
        <v>3660</v>
      </c>
      <c r="I529" s="6">
        <v>4</v>
      </c>
      <c r="J529" s="9" t="str">
        <f>IFERROR(VLOOKUP($D529,FIYAT!$B:$O,9,FALSE()),"")</f>
        <v>Шт.</v>
      </c>
      <c r="K529" s="9" t="str">
        <f>IFERROR(VLOOKUP($D529,FIYAT!$B:$O,4,FALSE()),"")</f>
        <v>CHINT</v>
      </c>
      <c r="L529" s="9">
        <f t="shared" si="65"/>
        <v>3660</v>
      </c>
      <c r="M529" s="9"/>
      <c r="N529" s="9"/>
      <c r="O529" s="9"/>
      <c r="P529" s="9" t="str">
        <f>IF($H529="","FIYAT_YOK",IFERROR(VLOOKUP($D529,FIYAT!$B:$P,15,FALSE()),""))</f>
        <v>MUADIL</v>
      </c>
      <c r="Q529" s="9" t="s">
        <v>185</v>
      </c>
      <c r="R529" s="9" t="s">
        <v>184</v>
      </c>
      <c r="S529" s="9" t="s">
        <v>550</v>
      </c>
      <c r="T529" s="9" t="s">
        <v>79</v>
      </c>
      <c r="U529" s="9">
        <f>IFERROR(VLOOKUP($T529,KURALLAR!$A$32:$B$63,2,FALSE()),0)*IF(ISNUMBER($I529),$I529,0)</f>
        <v>12</v>
      </c>
    </row>
    <row r="530" spans="1:21" x14ac:dyDescent="0.25">
      <c r="A530" s="5">
        <v>529</v>
      </c>
      <c r="B530" s="5"/>
      <c r="C530" s="5" t="s">
        <v>75</v>
      </c>
      <c r="D530" s="5" t="s">
        <v>186</v>
      </c>
      <c r="E530" s="5" t="str">
        <f>IFERROR(VLOOKUP($D530,FIYAT!$B:$O,2,FALSE()),"")</f>
        <v>Ограничитель имп. перенапр. NU6-IIG 4Р In=25kA Uc=440B Im=65kA (R)</v>
      </c>
      <c r="F530" s="5">
        <f>IFERROR(VLOOKUP($D530,FIYAT!$B:$O,5,FALSE()),"")</f>
        <v>33208</v>
      </c>
      <c r="G530" s="5">
        <f>IFERROR(VLOOKUP($D530,FIYAT!$B:$O,8,FALSE()),"")</f>
        <v>19924.8</v>
      </c>
      <c r="H530" s="5">
        <f t="shared" si="64"/>
        <v>19924.8</v>
      </c>
      <c r="I530" s="6">
        <v>1</v>
      </c>
      <c r="J530" s="5" t="str">
        <f>IFERROR(VLOOKUP($D530,FIYAT!$B:$O,9,FALSE()),"")</f>
        <v>Шт.</v>
      </c>
      <c r="K530" s="5" t="str">
        <f>IFERROR(VLOOKUP($D530,FIYAT!$B:$O,4,FALSE()),"")</f>
        <v>CHINT</v>
      </c>
      <c r="L530" s="5">
        <f t="shared" si="65"/>
        <v>19924.8</v>
      </c>
      <c r="M530" s="5"/>
      <c r="N530" s="5"/>
      <c r="O530" s="5"/>
      <c r="P530" s="5" t="str">
        <f>IF($H530="","FIYAT_YOK",IFERROR(VLOOKUP($D530,FIYAT!$B:$P,15,FALSE()),""))</f>
        <v>MUADIL_ONAY</v>
      </c>
      <c r="Q530" s="5" t="s">
        <v>188</v>
      </c>
      <c r="R530" s="5" t="s">
        <v>184</v>
      </c>
      <c r="S530" s="5" t="s">
        <v>550</v>
      </c>
      <c r="T530" s="5" t="s">
        <v>75</v>
      </c>
      <c r="U530" s="5">
        <f>IFERROR(VLOOKUP($T530,KURALLAR!$A$32:$B$63,2,FALSE()),0)*IF(ISNUMBER($I530),$I530,0)</f>
        <v>10</v>
      </c>
    </row>
    <row r="531" spans="1:21" x14ac:dyDescent="0.25">
      <c r="A531" s="9">
        <v>530</v>
      </c>
      <c r="B531" s="9"/>
      <c r="C531" s="9" t="s">
        <v>192</v>
      </c>
      <c r="D531" s="9" t="s">
        <v>321</v>
      </c>
      <c r="E531" s="9" t="str">
        <f>IFERROR(VLOOKUP($D531,FIYAT!$B:$O,2,FALSE()),"")</f>
        <v>Авт. выкл. NXB-63 1P 25A 6кА х-ка C (R)</v>
      </c>
      <c r="F531" s="9">
        <f>IFERROR(VLOOKUP($D531,FIYAT!$B:$O,5,FALSE()),"")</f>
        <v>1330</v>
      </c>
      <c r="G531" s="9">
        <f>IFERROR(VLOOKUP($D531,FIYAT!$B:$O,8,FALSE()),"")</f>
        <v>798</v>
      </c>
      <c r="H531" s="9">
        <f t="shared" si="64"/>
        <v>798</v>
      </c>
      <c r="I531" s="6">
        <v>1</v>
      </c>
      <c r="J531" s="9" t="str">
        <f>IFERROR(VLOOKUP($D531,FIYAT!$B:$O,9,FALSE()),"")</f>
        <v>Шт.</v>
      </c>
      <c r="K531" s="9" t="str">
        <f>IFERROR(VLOOKUP($D531,FIYAT!$B:$O,4,FALSE()),"")</f>
        <v>CHINT</v>
      </c>
      <c r="L531" s="9">
        <f t="shared" si="65"/>
        <v>798</v>
      </c>
      <c r="M531" s="9"/>
      <c r="N531" s="9"/>
      <c r="O531" s="9"/>
      <c r="P531" s="9" t="str">
        <f>IF($H531="","FIYAT_YOK",IFERROR(VLOOKUP($D531,FIYAT!$B:$P,15,FALSE()),""))</f>
        <v>OK</v>
      </c>
      <c r="Q531" s="9" t="s">
        <v>323</v>
      </c>
      <c r="R531" s="9" t="s">
        <v>171</v>
      </c>
      <c r="S531" s="9" t="s">
        <v>550</v>
      </c>
      <c r="T531" s="9" t="s">
        <v>47</v>
      </c>
      <c r="U531" s="9">
        <f>IFERROR(VLOOKUP($T531,KURALLAR!$A$32:$B$63,2,FALSE()),0)*IF(ISNUMBER($I531),$I531,0)</f>
        <v>3</v>
      </c>
    </row>
    <row r="532" spans="1:21" x14ac:dyDescent="0.25">
      <c r="A532" s="5">
        <v>531</v>
      </c>
      <c r="B532" s="5"/>
      <c r="C532" s="5" t="s">
        <v>176</v>
      </c>
      <c r="D532" s="5" t="s">
        <v>324</v>
      </c>
      <c r="E532" s="5" t="str">
        <f>IFERROR(VLOOKUP($D532,FIYAT!$B:$O,2,FALSE()),"")</f>
        <v>УЗО NL1-63 6kA 2P 25A 30mA тип AC (R)</v>
      </c>
      <c r="F532" s="5">
        <f>IFERROR(VLOOKUP($D532,FIYAT!$B:$O,5,FALSE()),"")</f>
        <v>10809</v>
      </c>
      <c r="G532" s="5">
        <f>IFERROR(VLOOKUP($D532,FIYAT!$B:$O,8,FALSE()),"")</f>
        <v>6485.4</v>
      </c>
      <c r="H532" s="5">
        <f t="shared" si="64"/>
        <v>6485.4</v>
      </c>
      <c r="I532" s="6">
        <v>1</v>
      </c>
      <c r="J532" s="5" t="str">
        <f>IFERROR(VLOOKUP($D532,FIYAT!$B:$O,9,FALSE()),"")</f>
        <v>Шт.</v>
      </c>
      <c r="K532" s="5" t="str">
        <f>IFERROR(VLOOKUP($D532,FIYAT!$B:$O,4,FALSE()),"")</f>
        <v>CHINT</v>
      </c>
      <c r="L532" s="5">
        <f t="shared" si="65"/>
        <v>6485.4</v>
      </c>
      <c r="M532" s="5"/>
      <c r="N532" s="5"/>
      <c r="O532" s="5"/>
      <c r="P532" s="5" t="str">
        <f>IF($H532="","FIYAT_YOK",IFERROR(VLOOKUP($D532,FIYAT!$B:$P,15,FALSE()),""))</f>
        <v>OK</v>
      </c>
      <c r="Q532" s="5" t="s">
        <v>326</v>
      </c>
      <c r="R532" s="5" t="s">
        <v>171</v>
      </c>
      <c r="S532" s="5" t="s">
        <v>550</v>
      </c>
      <c r="T532" s="5" t="s">
        <v>55</v>
      </c>
      <c r="U532" s="5">
        <f>IFERROR(VLOOKUP($T532,KURALLAR!$A$32:$B$63,2,FALSE()),0)*IF(ISNUMBER($I532),$I532,0)</f>
        <v>6</v>
      </c>
    </row>
    <row r="533" spans="1:21" x14ac:dyDescent="0.25">
      <c r="A533" s="9">
        <v>532</v>
      </c>
      <c r="B533" s="9"/>
      <c r="C533" s="9" t="s">
        <v>192</v>
      </c>
      <c r="D533" s="9" t="s">
        <v>194</v>
      </c>
      <c r="E533" s="9" t="str">
        <f>IFERROR(VLOOKUP($D533,FIYAT!$B:$O,2,FALSE()),"")</f>
        <v>Авт. выкл. NXB-63 1P 16A 6кА х-ка C (R)</v>
      </c>
      <c r="F533" s="9">
        <f>IFERROR(VLOOKUP($D533,FIYAT!$B:$O,5,FALSE()),"")</f>
        <v>1389</v>
      </c>
      <c r="G533" s="9">
        <f>IFERROR(VLOOKUP($D533,FIYAT!$B:$O,8,FALSE()),"")</f>
        <v>833.4</v>
      </c>
      <c r="H533" s="9">
        <f t="shared" si="64"/>
        <v>5833.8</v>
      </c>
      <c r="I533" s="6">
        <v>7</v>
      </c>
      <c r="J533" s="9" t="str">
        <f>IFERROR(VLOOKUP($D533,FIYAT!$B:$O,9,FALSE()),"")</f>
        <v>Шт.</v>
      </c>
      <c r="K533" s="9" t="str">
        <f>IFERROR(VLOOKUP($D533,FIYAT!$B:$O,4,FALSE()),"")</f>
        <v>CHINT</v>
      </c>
      <c r="L533" s="9">
        <f t="shared" si="65"/>
        <v>5833.8</v>
      </c>
      <c r="M533" s="9"/>
      <c r="N533" s="9"/>
      <c r="O533" s="9"/>
      <c r="P533" s="9" t="str">
        <f>IF($H533="","FIYAT_YOK",IFERROR(VLOOKUP($D533,FIYAT!$B:$P,15,FALSE()),""))</f>
        <v>OK</v>
      </c>
      <c r="Q533" s="9" t="s">
        <v>196</v>
      </c>
      <c r="R533" s="9" t="s">
        <v>171</v>
      </c>
      <c r="S533" s="9" t="s">
        <v>550</v>
      </c>
      <c r="T533" s="9" t="s">
        <v>47</v>
      </c>
      <c r="U533" s="9">
        <f>IFERROR(VLOOKUP($T533,KURALLAR!$A$32:$B$63,2,FALSE()),0)*IF(ISNUMBER($I533),$I533,0)</f>
        <v>21</v>
      </c>
    </row>
    <row r="534" spans="1:21" x14ac:dyDescent="0.25">
      <c r="A534" s="5">
        <v>533</v>
      </c>
      <c r="B534" s="5"/>
      <c r="C534" s="5" t="s">
        <v>176</v>
      </c>
      <c r="D534" s="5" t="s">
        <v>200</v>
      </c>
      <c r="E534" s="5" t="str">
        <f>IFERROR(VLOOKUP($D534,FIYAT!$B:$O,2,FALSE()),"")</f>
        <v>УЗО NL1-63 6kA 2P 16A 30mA тип AC (R)</v>
      </c>
      <c r="F534" s="5">
        <f>IFERROR(VLOOKUP($D534,FIYAT!$B:$O,5,FALSE()),"")</f>
        <v>10809</v>
      </c>
      <c r="G534" s="5">
        <f>IFERROR(VLOOKUP($D534,FIYAT!$B:$O,8,FALSE()),"")</f>
        <v>6485.4</v>
      </c>
      <c r="H534" s="5">
        <f t="shared" si="64"/>
        <v>6485.4</v>
      </c>
      <c r="I534" s="6">
        <v>1</v>
      </c>
      <c r="J534" s="5" t="str">
        <f>IFERROR(VLOOKUP($D534,FIYAT!$B:$O,9,FALSE()),"")</f>
        <v>Шт.</v>
      </c>
      <c r="K534" s="5" t="str">
        <f>IFERROR(VLOOKUP($D534,FIYAT!$B:$O,4,FALSE()),"")</f>
        <v>CHINT</v>
      </c>
      <c r="L534" s="5">
        <f t="shared" si="65"/>
        <v>6485.4</v>
      </c>
      <c r="M534" s="5"/>
      <c r="N534" s="5"/>
      <c r="O534" s="5"/>
      <c r="P534" s="5" t="str">
        <f>IF($H534="","FIYAT_YOK",IFERROR(VLOOKUP($D534,FIYAT!$B:$P,15,FALSE()),""))</f>
        <v>OK</v>
      </c>
      <c r="Q534" s="5" t="s">
        <v>202</v>
      </c>
      <c r="R534" s="5" t="s">
        <v>171</v>
      </c>
      <c r="S534" s="5" t="s">
        <v>550</v>
      </c>
      <c r="T534" s="5" t="s">
        <v>55</v>
      </c>
      <c r="U534" s="5">
        <f>IFERROR(VLOOKUP($T534,KURALLAR!$A$32:$B$63,2,FALSE()),0)*IF(ISNUMBER($I534),$I534,0)</f>
        <v>6</v>
      </c>
    </row>
    <row r="535" spans="1:21" x14ac:dyDescent="0.25">
      <c r="A535" s="9">
        <v>534</v>
      </c>
      <c r="B535" s="9"/>
      <c r="C535" s="9" t="s">
        <v>192</v>
      </c>
      <c r="D535" s="9" t="s">
        <v>206</v>
      </c>
      <c r="E535" s="9" t="str">
        <f>IFERROR(VLOOKUP($D535,FIYAT!$B:$O,2,FALSE()),"")</f>
        <v>Авт. выкл. NXB-63 1P 10A 6кА х-ка C (R)</v>
      </c>
      <c r="F535" s="9">
        <f>IFERROR(VLOOKUP($D535,FIYAT!$B:$O,5,FALSE()),"")</f>
        <v>1362</v>
      </c>
      <c r="G535" s="9">
        <f>IFERROR(VLOOKUP($D535,FIYAT!$B:$O,8,FALSE()),"")</f>
        <v>817.19999999999993</v>
      </c>
      <c r="H535" s="9">
        <f t="shared" si="64"/>
        <v>11440.8</v>
      </c>
      <c r="I535" s="6">
        <v>14</v>
      </c>
      <c r="J535" s="9" t="str">
        <f>IFERROR(VLOOKUP($D535,FIYAT!$B:$O,9,FALSE()),"")</f>
        <v>Шт.</v>
      </c>
      <c r="K535" s="9" t="str">
        <f>IFERROR(VLOOKUP($D535,FIYAT!$B:$O,4,FALSE()),"")</f>
        <v>CHINT</v>
      </c>
      <c r="L535" s="9">
        <f t="shared" si="65"/>
        <v>11440.8</v>
      </c>
      <c r="M535" s="9"/>
      <c r="N535" s="9"/>
      <c r="O535" s="9"/>
      <c r="P535" s="9" t="str">
        <f>IF($H535="","FIYAT_YOK",IFERROR(VLOOKUP($D535,FIYAT!$B:$P,15,FALSE()),""))</f>
        <v>OK</v>
      </c>
      <c r="Q535" s="9" t="s">
        <v>208</v>
      </c>
      <c r="R535" s="9" t="s">
        <v>184</v>
      </c>
      <c r="S535" s="9" t="s">
        <v>550</v>
      </c>
      <c r="T535" s="9" t="s">
        <v>47</v>
      </c>
      <c r="U535" s="9">
        <f>IFERROR(VLOOKUP($T535,KURALLAR!$A$32:$B$63,2,FALSE()),0)*IF(ISNUMBER($I535),$I535,0)</f>
        <v>42</v>
      </c>
    </row>
    <row r="536" spans="1:21" x14ac:dyDescent="0.25">
      <c r="A536" s="5">
        <v>535</v>
      </c>
      <c r="B536" s="5"/>
      <c r="C536" s="5" t="s">
        <v>93</v>
      </c>
      <c r="D536" s="5" t="s">
        <v>209</v>
      </c>
      <c r="E536" s="5" t="str">
        <f>IFERROR(VLOOKUP($D536,FIYAT!$B:$O,2,FALSE()),"")</f>
        <v>Шина "N" нулевая 6х9мм на DIN-рейку в корпусном изоляторе ШНИ 12К IEK (10)</v>
      </c>
      <c r="F536" s="5">
        <f>IFERROR(VLOOKUP($D536,FIYAT!$B:$O,5,FALSE()),"")</f>
        <v>755</v>
      </c>
      <c r="G536" s="5">
        <f>IFERROR(VLOOKUP($D536,FIYAT!$B:$O,8,FALSE()),"")</f>
        <v>453</v>
      </c>
      <c r="H536" s="5">
        <f t="shared" si="64"/>
        <v>1812</v>
      </c>
      <c r="I536" s="6">
        <v>4</v>
      </c>
      <c r="J536" s="5" t="str">
        <f>IFERROR(VLOOKUP($D536,FIYAT!$B:$O,9,FALSE()),"")</f>
        <v>Шт.</v>
      </c>
      <c r="K536" s="5" t="str">
        <f>IFERROR(VLOOKUP($D536,FIYAT!$B:$O,4,FALSE()),"")</f>
        <v>KAZTEK</v>
      </c>
      <c r="L536" s="5">
        <f t="shared" si="65"/>
        <v>1812</v>
      </c>
      <c r="M536" s="5"/>
      <c r="N536" s="5"/>
      <c r="O536" s="5"/>
      <c r="P536" s="5" t="str">
        <f>IF($H536="","FIYAT_YOK",IFERROR(VLOOKUP($D536,FIYAT!$B:$P,15,FALSE()),""))</f>
        <v>MUADIL</v>
      </c>
      <c r="Q536" s="5" t="s">
        <v>212</v>
      </c>
      <c r="R536" s="5" t="s">
        <v>211</v>
      </c>
      <c r="S536" s="5" t="s">
        <v>550</v>
      </c>
      <c r="T536" s="5" t="s">
        <v>93</v>
      </c>
      <c r="U536" s="5">
        <f>IFERROR(VLOOKUP($T536,KURALLAR!$A$32:$B$63,2,FALSE()),0)*IF(ISNUMBER($I536),$I536,0)</f>
        <v>32</v>
      </c>
    </row>
    <row r="537" spans="1:21" x14ac:dyDescent="0.25">
      <c r="A537" s="9">
        <v>536</v>
      </c>
      <c r="B537" s="9"/>
      <c r="C537" s="9" t="s">
        <v>222</v>
      </c>
      <c r="D537" s="9" t="s">
        <v>220</v>
      </c>
      <c r="E537" s="9" t="str">
        <f>IFERROR(VLOOKUP($D537,FIYAT!$B:$O,2,FALSE()),"")</f>
        <v>ЩМП (инд.) IP31 (650х500х150мм)</v>
      </c>
      <c r="F537" s="9">
        <f>IFERROR(VLOOKUP($D537,FIYAT!$B:$O,5,FALSE()),"")</f>
        <v>27825</v>
      </c>
      <c r="G537" s="9">
        <f>IFERROR(VLOOKUP($D537,FIYAT!$B:$O,8,FALSE()),"")</f>
        <v>16695</v>
      </c>
      <c r="H537" s="9">
        <f t="shared" si="64"/>
        <v>16695</v>
      </c>
      <c r="I537" s="6">
        <v>1</v>
      </c>
      <c r="J537" s="9" t="str">
        <f>IFERROR(VLOOKUP($D537,FIYAT!$B:$O,9,FALSE()),"")</f>
        <v>Шт.</v>
      </c>
      <c r="K537" s="9" t="str">
        <f>IFERROR(VLOOKUP($D537,FIYAT!$B:$O,4,FALSE()),"")</f>
        <v>KAZTEK</v>
      </c>
      <c r="L537" s="9">
        <f t="shared" si="65"/>
        <v>16695</v>
      </c>
      <c r="M537" s="9"/>
      <c r="N537" s="9"/>
      <c r="O537" s="9"/>
      <c r="P537" s="9" t="str">
        <f>IF($H537="","FIYAT_YOK",IFERROR(VLOOKUP($D537,FIYAT!$B:$P,15,FALSE()),""))</f>
        <v>VARSAYIM</v>
      </c>
      <c r="Q537" s="9" t="s">
        <v>223</v>
      </c>
      <c r="R537" s="9" t="s">
        <v>211</v>
      </c>
      <c r="S537" s="9" t="s">
        <v>550</v>
      </c>
      <c r="T537" s="9" t="s">
        <v>105</v>
      </c>
      <c r="U537" s="9">
        <f>IFERROR(VLOOKUP($T537,KURALLAR!$A$32:$B$63,2,FALSE()),0)*IF(ISNUMBER($I537),$I537,0)</f>
        <v>30</v>
      </c>
    </row>
    <row r="538" spans="1:21" x14ac:dyDescent="0.25">
      <c r="A538" s="5">
        <v>537</v>
      </c>
      <c r="B538" s="5"/>
      <c r="C538" s="5" t="s">
        <v>215</v>
      </c>
      <c r="D538" s="5" t="s">
        <v>213</v>
      </c>
      <c r="E538" s="5" t="str">
        <f>IFERROR(VLOOKUP($D538,FIYAT!$B:$O,2,FALSE()),"")</f>
        <v>Монтажный расходный материал (кабель, DIN-рейка, кабель-канал, клеммы, маркировка, крепёж)</v>
      </c>
      <c r="F538" s="5">
        <f>IFERROR(VLOOKUP($D538,FIYAT!$B:$O,5,FALSE()),"")</f>
        <v>0</v>
      </c>
      <c r="G538" s="5" t="str">
        <f>IFERROR(VLOOKUP($D538,FIYAT!$B:$O,8,FALSE()),"")</f>
        <v/>
      </c>
      <c r="H538" s="5">
        <f>ROUND(SUM($H$526:$H$537)*KURALLAR!$B$28,0)</f>
        <v>8938</v>
      </c>
      <c r="I538" s="6">
        <v>1</v>
      </c>
      <c r="J538" s="5" t="str">
        <f>IFERROR(VLOOKUP($D538,FIYAT!$B:$O,9,FALSE()),"")</f>
        <v>компл.</v>
      </c>
      <c r="K538" s="5" t="str">
        <f>IFERROR(VLOOKUP($D538,FIYAT!$B:$O,4,FALSE()),"")</f>
        <v>MUADIL-NET</v>
      </c>
      <c r="L538" s="5">
        <f t="shared" si="65"/>
        <v>8938</v>
      </c>
      <c r="M538" s="5"/>
      <c r="N538" s="5"/>
      <c r="O538" s="5"/>
      <c r="P538" s="5" t="str">
        <f>IF($H538="","FIYAT_YOK",IFERROR(VLOOKUP($D538,FIYAT!$B:$P,15,FALSE()),""))</f>
        <v>ORAN</v>
      </c>
      <c r="Q538" s="5" t="s">
        <v>218</v>
      </c>
      <c r="R538" s="5" t="s">
        <v>217</v>
      </c>
      <c r="S538" s="5" t="s">
        <v>550</v>
      </c>
      <c r="T538" s="5"/>
      <c r="U538" s="5">
        <v>0</v>
      </c>
    </row>
    <row r="539" spans="1:21" x14ac:dyDescent="0.25">
      <c r="A539" s="9">
        <v>538</v>
      </c>
      <c r="B539" s="9"/>
      <c r="C539" s="9" t="s">
        <v>227</v>
      </c>
      <c r="D539" s="9" t="s">
        <v>225</v>
      </c>
      <c r="E539" s="9" t="str">
        <f>IFERROR(VLOOKUP($D539,FIYAT!$B:$O,2,FALSE()),"")</f>
        <v>Сборка, кабелирование, маркировка, момент затяжки, испытания</v>
      </c>
      <c r="F539" s="9">
        <f>IFERROR(VLOOKUP($D539,FIYAT!$B:$O,5,FALSE()),"")</f>
        <v>100</v>
      </c>
      <c r="G539" s="9">
        <f>IFERROR(VLOOKUP($D539,FIYAT!$B:$O,8,FALSE()),"")</f>
        <v>100</v>
      </c>
      <c r="H539" s="9">
        <f>IF(OR($G539="",$I539=""),"",$G539*$I539)</f>
        <v>23800</v>
      </c>
      <c r="I539" s="6">
        <f>ROUND(SUM($U$526:$U$538)*KURALLAR!$B$27,0)</f>
        <v>238</v>
      </c>
      <c r="J539" s="9" t="str">
        <f>IFERROR(VLOOKUP($D539,FIYAT!$B:$O,9,FALSE()),"")</f>
        <v>мин</v>
      </c>
      <c r="K539" s="9" t="str">
        <f>IFERROR(VLOOKUP($D539,FIYAT!$B:$O,4,FALSE()),"")</f>
        <v>ISCILIK</v>
      </c>
      <c r="L539" s="9">
        <f t="shared" si="65"/>
        <v>23800</v>
      </c>
      <c r="M539" s="9"/>
      <c r="N539" s="9"/>
      <c r="O539" s="9"/>
      <c r="P539" s="9" t="str">
        <f>IF($H539="","FIYAT_YOK",IFERROR(VLOOKUP($D539,FIYAT!$B:$P,15,FALSE()),""))</f>
        <v>OK</v>
      </c>
      <c r="Q539" s="9" t="str">
        <f>CONCATENATE("montaj+test iscilik: ",TEXT($I539,"# ##0")," dk = ",TEXT($I539/60,"0,00")," saat (norm x test/etiket carpani)")</f>
        <v>montaj+test iscilik:  238 dk = 3,97 saat (norm x test/etiket carpani)</v>
      </c>
      <c r="R539" s="9" t="s">
        <v>229</v>
      </c>
      <c r="S539" s="9" t="s">
        <v>550</v>
      </c>
      <c r="T539" s="9"/>
      <c r="U539" s="9">
        <v>0</v>
      </c>
    </row>
    <row r="540" spans="1:21" x14ac:dyDescent="0.25">
      <c r="A540" s="10">
        <v>539</v>
      </c>
      <c r="B540" s="10" t="s">
        <v>615</v>
      </c>
      <c r="C540" s="10"/>
      <c r="D540" s="10"/>
      <c r="E540" s="10"/>
      <c r="F540" s="10"/>
      <c r="G540" s="10"/>
      <c r="H540" s="10">
        <f>SUBTOTAL(9,H526:H539)</f>
        <v>160428.19999999998</v>
      </c>
      <c r="I540" s="10"/>
      <c r="J540" s="10"/>
      <c r="K540" s="10"/>
      <c r="L540" s="10">
        <f>SUBTOTAL(9,L526:L539)</f>
        <v>160428.19999999998</v>
      </c>
      <c r="M540" s="10"/>
      <c r="N540" s="10"/>
      <c r="O540" s="10"/>
      <c r="P540" s="10"/>
      <c r="Q540" s="10"/>
      <c r="R540" s="10"/>
      <c r="S540" s="10"/>
      <c r="T540" s="10"/>
      <c r="U540" s="10">
        <f>SUBTOTAL(9,U526:U539)</f>
        <v>207</v>
      </c>
    </row>
    <row r="541" spans="1:21" x14ac:dyDescent="0.25">
      <c r="A541" s="8">
        <v>540</v>
      </c>
      <c r="B541" s="8" t="str">
        <f>E541</f>
        <v>BLOK A / 24F-ИБП.1 — НКУ 380/220В 50Гц, FORM 2B, IP31/54</v>
      </c>
      <c r="C541" s="8" t="s">
        <v>545</v>
      </c>
      <c r="D541" s="8"/>
      <c r="E541" s="8" t="s">
        <v>616</v>
      </c>
      <c r="F541" s="8"/>
      <c r="G541" s="8"/>
      <c r="H541" s="8"/>
      <c r="I541" s="8">
        <v>1</v>
      </c>
      <c r="J541" s="8" t="s">
        <v>547</v>
      </c>
      <c r="K541" s="8"/>
      <c r="L541" s="8"/>
      <c r="M541" s="8"/>
      <c r="N541" s="8"/>
      <c r="O541" s="8"/>
      <c r="P541" s="8" t="s">
        <v>178</v>
      </c>
      <c r="Q541" s="8" t="s">
        <v>548</v>
      </c>
      <c r="R541" s="8" t="s">
        <v>549</v>
      </c>
      <c r="S541" s="8" t="s">
        <v>550</v>
      </c>
      <c r="T541" s="8"/>
      <c r="U541" s="8"/>
    </row>
    <row r="542" spans="1:21" x14ac:dyDescent="0.25">
      <c r="A542" s="5">
        <v>541</v>
      </c>
      <c r="B542" s="5"/>
      <c r="C542" s="5" t="s">
        <v>169</v>
      </c>
      <c r="D542" s="5" t="s">
        <v>319</v>
      </c>
      <c r="E542" s="5" t="str">
        <f>IFERROR(VLOOKUP($D542,FIYAT!$B:$O,2,FALSE()),"")</f>
        <v>Авт. выкл. NM8N-125C TM 3P 16А 36кА с рег. термомаг. расцепителем (R)</v>
      </c>
      <c r="F542" s="5">
        <f>IFERROR(VLOOKUP($D542,FIYAT!$B:$O,5,FALSE()),"")</f>
        <v>65019</v>
      </c>
      <c r="G542" s="5">
        <f>IFERROR(VLOOKUP($D542,FIYAT!$B:$O,8,FALSE()),"")</f>
        <v>39011.4</v>
      </c>
      <c r="H542" s="5">
        <f t="shared" ref="H542:H549" si="66">IF(OR($G542="",$I542=""),"",$G542*$I542)</f>
        <v>39011.4</v>
      </c>
      <c r="I542" s="6">
        <v>1</v>
      </c>
      <c r="J542" s="5" t="str">
        <f>IFERROR(VLOOKUP($D542,FIYAT!$B:$O,9,FALSE()),"")</f>
        <v>Шт.</v>
      </c>
      <c r="K542" s="5" t="str">
        <f>IFERROR(VLOOKUP($D542,FIYAT!$B:$O,4,FALSE()),"")</f>
        <v>CHINT</v>
      </c>
      <c r="L542" s="5">
        <f t="shared" ref="L542:L551" si="67">IF($H542="","",$H542)</f>
        <v>39011.4</v>
      </c>
      <c r="M542" s="5"/>
      <c r="N542" s="5"/>
      <c r="O542" s="5"/>
      <c r="P542" s="5" t="str">
        <f>IF($H542="","FIYAT_YOK",IFERROR(VLOOKUP($D542,FIYAT!$B:$P,15,FALSE()),""))</f>
        <v>MUADIL</v>
      </c>
      <c r="Q542" s="5" t="s">
        <v>172</v>
      </c>
      <c r="R542" s="5" t="s">
        <v>171</v>
      </c>
      <c r="S542" s="5" t="s">
        <v>550</v>
      </c>
      <c r="T542" s="5" t="s">
        <v>61</v>
      </c>
      <c r="U542" s="5">
        <f>IFERROR(VLOOKUP($T542,KURALLAR!$A$32:$B$63,2,FALSE()),0)*IF(ISNUMBER($I542),$I542,0)</f>
        <v>15</v>
      </c>
    </row>
    <row r="543" spans="1:21" x14ac:dyDescent="0.25">
      <c r="A543" s="9">
        <v>542</v>
      </c>
      <c r="B543" s="9"/>
      <c r="C543" s="9" t="s">
        <v>176</v>
      </c>
      <c r="D543" s="9" t="s">
        <v>174</v>
      </c>
      <c r="E543" s="9" t="str">
        <f>IFERROR(VLOOKUP($D543,FIYAT!$B:$O,2,FALSE()),"")</f>
        <v>УЗО NL1-63 6kA 4P 63A 300mA тип AC (R)</v>
      </c>
      <c r="F543" s="9">
        <f>IFERROR(VLOOKUP($D543,FIYAT!$B:$O,5,FALSE()),"")</f>
        <v>18106</v>
      </c>
      <c r="G543" s="9">
        <f>IFERROR(VLOOKUP($D543,FIYAT!$B:$O,8,FALSE()),"")</f>
        <v>10863.6</v>
      </c>
      <c r="H543" s="9">
        <f t="shared" si="66"/>
        <v>10863.6</v>
      </c>
      <c r="I543" s="6">
        <v>1</v>
      </c>
      <c r="J543" s="9" t="str">
        <f>IFERROR(VLOOKUP($D543,FIYAT!$B:$O,9,FALSE()),"")</f>
        <v>Шт.</v>
      </c>
      <c r="K543" s="9" t="str">
        <f>IFERROR(VLOOKUP($D543,FIYAT!$B:$O,4,FALSE()),"")</f>
        <v>CHINT</v>
      </c>
      <c r="L543" s="9">
        <f t="shared" si="67"/>
        <v>10863.6</v>
      </c>
      <c r="M543" s="9"/>
      <c r="N543" s="9"/>
      <c r="O543" s="9"/>
      <c r="P543" s="9" t="str">
        <f>IF($H543="","FIYAT_YOK",IFERROR(VLOOKUP($D543,FIYAT!$B:$P,15,FALSE()),""))</f>
        <v>OK</v>
      </c>
      <c r="Q543" s="9" t="s">
        <v>177</v>
      </c>
      <c r="R543" s="9" t="s">
        <v>171</v>
      </c>
      <c r="S543" s="9" t="s">
        <v>550</v>
      </c>
      <c r="T543" s="9" t="s">
        <v>57</v>
      </c>
      <c r="U543" s="9">
        <f>IFERROR(VLOOKUP($T543,KURALLAR!$A$32:$B$63,2,FALSE()),0)*IF(ISNUMBER($I543),$I543,0)</f>
        <v>10</v>
      </c>
    </row>
    <row r="544" spans="1:21" x14ac:dyDescent="0.25">
      <c r="A544" s="5">
        <v>543</v>
      </c>
      <c r="B544" s="5"/>
      <c r="C544" s="5" t="s">
        <v>79</v>
      </c>
      <c r="D544" s="5" t="s">
        <v>179</v>
      </c>
      <c r="E544" s="5" t="str">
        <f>IFERROR(VLOOKUP($D544,FIYAT!$B:$O,2,FALSE()),"")</f>
        <v>Держатель плавкой вставки RT36-00-160, габарит 00, 160А</v>
      </c>
      <c r="F544" s="5">
        <f>IFERROR(VLOOKUP($D544,FIYAT!$B:$O,5,FALSE()),"")</f>
        <v>2038</v>
      </c>
      <c r="G544" s="5">
        <f>IFERROR(VLOOKUP($D544,FIYAT!$B:$O,8,FALSE()),"")</f>
        <v>1222.8</v>
      </c>
      <c r="H544" s="5">
        <f t="shared" si="66"/>
        <v>4891.2</v>
      </c>
      <c r="I544" s="6">
        <v>4</v>
      </c>
      <c r="J544" s="5" t="str">
        <f>IFERROR(VLOOKUP($D544,FIYAT!$B:$O,9,FALSE()),"")</f>
        <v>Шт.</v>
      </c>
      <c r="K544" s="5" t="str">
        <f>IFERROR(VLOOKUP($D544,FIYAT!$B:$O,4,FALSE()),"")</f>
        <v>CHINT</v>
      </c>
      <c r="L544" s="5">
        <f t="shared" si="67"/>
        <v>4891.2</v>
      </c>
      <c r="M544" s="5"/>
      <c r="N544" s="5"/>
      <c r="O544" s="5"/>
      <c r="P544" s="5" t="str">
        <f>IF($H544="","FIYAT_YOK",IFERROR(VLOOKUP($D544,FIYAT!$B:$P,15,FALSE()),""))</f>
        <v>MUADIL</v>
      </c>
      <c r="Q544" s="5" t="s">
        <v>181</v>
      </c>
      <c r="R544" s="5" t="s">
        <v>171</v>
      </c>
      <c r="S544" s="5" t="s">
        <v>550</v>
      </c>
      <c r="T544" s="5" t="s">
        <v>77</v>
      </c>
      <c r="U544" s="5">
        <f>IFERROR(VLOOKUP($T544,KURALLAR!$A$32:$B$63,2,FALSE()),0)*IF(ISNUMBER($I544),$I544,0)</f>
        <v>20</v>
      </c>
    </row>
    <row r="545" spans="1:21" x14ac:dyDescent="0.25">
      <c r="A545" s="9">
        <v>544</v>
      </c>
      <c r="B545" s="9"/>
      <c r="C545" s="9" t="s">
        <v>79</v>
      </c>
      <c r="D545" s="9" t="s">
        <v>182</v>
      </c>
      <c r="E545" s="9" t="str">
        <f>IFERROR(VLOOKUP($D545,FIYAT!$B:$O,2,FALSE()),"")</f>
        <v>Плавкая вставка предохранителя RT36-00-160, габарит 00, 63А</v>
      </c>
      <c r="F545" s="9">
        <f>IFERROR(VLOOKUP($D545,FIYAT!$B:$O,5,FALSE()),"")</f>
        <v>1525</v>
      </c>
      <c r="G545" s="9">
        <f>IFERROR(VLOOKUP($D545,FIYAT!$B:$O,8,FALSE()),"")</f>
        <v>915</v>
      </c>
      <c r="H545" s="9">
        <f t="shared" si="66"/>
        <v>3660</v>
      </c>
      <c r="I545" s="6">
        <v>4</v>
      </c>
      <c r="J545" s="9" t="str">
        <f>IFERROR(VLOOKUP($D545,FIYAT!$B:$O,9,FALSE()),"")</f>
        <v>Шт.</v>
      </c>
      <c r="K545" s="9" t="str">
        <f>IFERROR(VLOOKUP($D545,FIYAT!$B:$O,4,FALSE()),"")</f>
        <v>CHINT</v>
      </c>
      <c r="L545" s="9">
        <f t="shared" si="67"/>
        <v>3660</v>
      </c>
      <c r="M545" s="9"/>
      <c r="N545" s="9"/>
      <c r="O545" s="9"/>
      <c r="P545" s="9" t="str">
        <f>IF($H545="","FIYAT_YOK",IFERROR(VLOOKUP($D545,FIYAT!$B:$P,15,FALSE()),""))</f>
        <v>MUADIL</v>
      </c>
      <c r="Q545" s="9" t="s">
        <v>185</v>
      </c>
      <c r="R545" s="9" t="s">
        <v>184</v>
      </c>
      <c r="S545" s="9" t="s">
        <v>550</v>
      </c>
      <c r="T545" s="9" t="s">
        <v>79</v>
      </c>
      <c r="U545" s="9">
        <f>IFERROR(VLOOKUP($T545,KURALLAR!$A$32:$B$63,2,FALSE()),0)*IF(ISNUMBER($I545),$I545,0)</f>
        <v>12</v>
      </c>
    </row>
    <row r="546" spans="1:21" x14ac:dyDescent="0.25">
      <c r="A546" s="5">
        <v>545</v>
      </c>
      <c r="B546" s="5"/>
      <c r="C546" s="5" t="s">
        <v>75</v>
      </c>
      <c r="D546" s="5" t="s">
        <v>186</v>
      </c>
      <c r="E546" s="5" t="str">
        <f>IFERROR(VLOOKUP($D546,FIYAT!$B:$O,2,FALSE()),"")</f>
        <v>Ограничитель имп. перенапр. NU6-IIG 4Р In=25kA Uc=440B Im=65kA (R)</v>
      </c>
      <c r="F546" s="5">
        <f>IFERROR(VLOOKUP($D546,FIYAT!$B:$O,5,FALSE()),"")</f>
        <v>33208</v>
      </c>
      <c r="G546" s="5">
        <f>IFERROR(VLOOKUP($D546,FIYAT!$B:$O,8,FALSE()),"")</f>
        <v>19924.8</v>
      </c>
      <c r="H546" s="5">
        <f t="shared" si="66"/>
        <v>19924.8</v>
      </c>
      <c r="I546" s="6">
        <v>1</v>
      </c>
      <c r="J546" s="5" t="str">
        <f>IFERROR(VLOOKUP($D546,FIYAT!$B:$O,9,FALSE()),"")</f>
        <v>Шт.</v>
      </c>
      <c r="K546" s="5" t="str">
        <f>IFERROR(VLOOKUP($D546,FIYAT!$B:$O,4,FALSE()),"")</f>
        <v>CHINT</v>
      </c>
      <c r="L546" s="5">
        <f t="shared" si="67"/>
        <v>19924.8</v>
      </c>
      <c r="M546" s="5"/>
      <c r="N546" s="5"/>
      <c r="O546" s="5"/>
      <c r="P546" s="5" t="str">
        <f>IF($H546="","FIYAT_YOK",IFERROR(VLOOKUP($D546,FIYAT!$B:$P,15,FALSE()),""))</f>
        <v>MUADIL_ONAY</v>
      </c>
      <c r="Q546" s="5" t="s">
        <v>188</v>
      </c>
      <c r="R546" s="5" t="s">
        <v>184</v>
      </c>
      <c r="S546" s="5" t="s">
        <v>550</v>
      </c>
      <c r="T546" s="5" t="s">
        <v>75</v>
      </c>
      <c r="U546" s="5">
        <f>IFERROR(VLOOKUP($T546,KURALLAR!$A$32:$B$63,2,FALSE()),0)*IF(ISNUMBER($I546),$I546,0)</f>
        <v>10</v>
      </c>
    </row>
    <row r="547" spans="1:21" x14ac:dyDescent="0.25">
      <c r="A547" s="9">
        <v>546</v>
      </c>
      <c r="B547" s="9"/>
      <c r="C547" s="9" t="s">
        <v>192</v>
      </c>
      <c r="D547" s="9" t="s">
        <v>206</v>
      </c>
      <c r="E547" s="9" t="str">
        <f>IFERROR(VLOOKUP($D547,FIYAT!$B:$O,2,FALSE()),"")</f>
        <v>Авт. выкл. NXB-63 1P 10A 6кА х-ка C (R)</v>
      </c>
      <c r="F547" s="9">
        <f>IFERROR(VLOOKUP($D547,FIYAT!$B:$O,5,FALSE()),"")</f>
        <v>1362</v>
      </c>
      <c r="G547" s="9">
        <f>IFERROR(VLOOKUP($D547,FIYAT!$B:$O,8,FALSE()),"")</f>
        <v>817.19999999999993</v>
      </c>
      <c r="H547" s="9">
        <f t="shared" si="66"/>
        <v>5720.4</v>
      </c>
      <c r="I547" s="6">
        <v>7</v>
      </c>
      <c r="J547" s="9" t="str">
        <f>IFERROR(VLOOKUP($D547,FIYAT!$B:$O,9,FALSE()),"")</f>
        <v>Шт.</v>
      </c>
      <c r="K547" s="9" t="str">
        <f>IFERROR(VLOOKUP($D547,FIYAT!$B:$O,4,FALSE()),"")</f>
        <v>CHINT</v>
      </c>
      <c r="L547" s="9">
        <f t="shared" si="67"/>
        <v>5720.4</v>
      </c>
      <c r="M547" s="9"/>
      <c r="N547" s="9"/>
      <c r="O547" s="9"/>
      <c r="P547" s="9" t="str">
        <f>IF($H547="","FIYAT_YOK",IFERROR(VLOOKUP($D547,FIYAT!$B:$P,15,FALSE()),""))</f>
        <v>OK</v>
      </c>
      <c r="Q547" s="9" t="s">
        <v>208</v>
      </c>
      <c r="R547" s="9" t="s">
        <v>184</v>
      </c>
      <c r="S547" s="9" t="s">
        <v>550</v>
      </c>
      <c r="T547" s="9" t="s">
        <v>47</v>
      </c>
      <c r="U547" s="9">
        <f>IFERROR(VLOOKUP($T547,KURALLAR!$A$32:$B$63,2,FALSE()),0)*IF(ISNUMBER($I547),$I547,0)</f>
        <v>21</v>
      </c>
    </row>
    <row r="548" spans="1:21" x14ac:dyDescent="0.25">
      <c r="A548" s="5">
        <v>547</v>
      </c>
      <c r="B548" s="5"/>
      <c r="C548" s="5" t="s">
        <v>93</v>
      </c>
      <c r="D548" s="5" t="s">
        <v>209</v>
      </c>
      <c r="E548" s="5" t="str">
        <f>IFERROR(VLOOKUP($D548,FIYAT!$B:$O,2,FALSE()),"")</f>
        <v>Шина "N" нулевая 6х9мм на DIN-рейку в корпусном изоляторе ШНИ 12К IEK (10)</v>
      </c>
      <c r="F548" s="5">
        <f>IFERROR(VLOOKUP($D548,FIYAT!$B:$O,5,FALSE()),"")</f>
        <v>755</v>
      </c>
      <c r="G548" s="5">
        <f>IFERROR(VLOOKUP($D548,FIYAT!$B:$O,8,FALSE()),"")</f>
        <v>453</v>
      </c>
      <c r="H548" s="5">
        <f t="shared" si="66"/>
        <v>1812</v>
      </c>
      <c r="I548" s="6">
        <v>4</v>
      </c>
      <c r="J548" s="5" t="str">
        <f>IFERROR(VLOOKUP($D548,FIYAT!$B:$O,9,FALSE()),"")</f>
        <v>Шт.</v>
      </c>
      <c r="K548" s="5" t="str">
        <f>IFERROR(VLOOKUP($D548,FIYAT!$B:$O,4,FALSE()),"")</f>
        <v>KAZTEK</v>
      </c>
      <c r="L548" s="5">
        <f t="shared" si="67"/>
        <v>1812</v>
      </c>
      <c r="M548" s="5"/>
      <c r="N548" s="5"/>
      <c r="O548" s="5"/>
      <c r="P548" s="5" t="str">
        <f>IF($H548="","FIYAT_YOK",IFERROR(VLOOKUP($D548,FIYAT!$B:$P,15,FALSE()),""))</f>
        <v>MUADIL</v>
      </c>
      <c r="Q548" s="5" t="s">
        <v>212</v>
      </c>
      <c r="R548" s="5" t="s">
        <v>211</v>
      </c>
      <c r="S548" s="5" t="s">
        <v>550</v>
      </c>
      <c r="T548" s="5" t="s">
        <v>93</v>
      </c>
      <c r="U548" s="5">
        <f>IFERROR(VLOOKUP($T548,KURALLAR!$A$32:$B$63,2,FALSE()),0)*IF(ISNUMBER($I548),$I548,0)</f>
        <v>32</v>
      </c>
    </row>
    <row r="549" spans="1:21" x14ac:dyDescent="0.25">
      <c r="A549" s="9">
        <v>548</v>
      </c>
      <c r="B549" s="9"/>
      <c r="C549" s="9" t="s">
        <v>222</v>
      </c>
      <c r="D549" s="9" t="s">
        <v>220</v>
      </c>
      <c r="E549" s="9" t="str">
        <f>IFERROR(VLOOKUP($D549,FIYAT!$B:$O,2,FALSE()),"")</f>
        <v>ЩМП (инд.) IP31 (650х500х150мм)</v>
      </c>
      <c r="F549" s="9">
        <f>IFERROR(VLOOKUP($D549,FIYAT!$B:$O,5,FALSE()),"")</f>
        <v>27825</v>
      </c>
      <c r="G549" s="9">
        <f>IFERROR(VLOOKUP($D549,FIYAT!$B:$O,8,FALSE()),"")</f>
        <v>16695</v>
      </c>
      <c r="H549" s="9">
        <f t="shared" si="66"/>
        <v>16695</v>
      </c>
      <c r="I549" s="6">
        <v>1</v>
      </c>
      <c r="J549" s="9" t="str">
        <f>IFERROR(VLOOKUP($D549,FIYAT!$B:$O,9,FALSE()),"")</f>
        <v>Шт.</v>
      </c>
      <c r="K549" s="9" t="str">
        <f>IFERROR(VLOOKUP($D549,FIYAT!$B:$O,4,FALSE()),"")</f>
        <v>KAZTEK</v>
      </c>
      <c r="L549" s="9">
        <f t="shared" si="67"/>
        <v>16695</v>
      </c>
      <c r="M549" s="9"/>
      <c r="N549" s="9"/>
      <c r="O549" s="9"/>
      <c r="P549" s="9" t="str">
        <f>IF($H549="","FIYAT_YOK",IFERROR(VLOOKUP($D549,FIYAT!$B:$P,15,FALSE()),""))</f>
        <v>VARSAYIM</v>
      </c>
      <c r="Q549" s="9" t="s">
        <v>223</v>
      </c>
      <c r="R549" s="9" t="s">
        <v>211</v>
      </c>
      <c r="S549" s="9" t="s">
        <v>550</v>
      </c>
      <c r="T549" s="9" t="s">
        <v>105</v>
      </c>
      <c r="U549" s="9">
        <f>IFERROR(VLOOKUP($T549,KURALLAR!$A$32:$B$63,2,FALSE()),0)*IF(ISNUMBER($I549),$I549,0)</f>
        <v>30</v>
      </c>
    </row>
    <row r="550" spans="1:21" x14ac:dyDescent="0.25">
      <c r="A550" s="5">
        <v>549</v>
      </c>
      <c r="B550" s="5"/>
      <c r="C550" s="5" t="s">
        <v>215</v>
      </c>
      <c r="D550" s="5" t="s">
        <v>213</v>
      </c>
      <c r="E550" s="5" t="str">
        <f>IFERROR(VLOOKUP($D550,FIYAT!$B:$O,2,FALSE()),"")</f>
        <v>Монтажный расходный материал (кабель, DIN-рейка, кабель-канал, клеммы, маркировка, крепёж)</v>
      </c>
      <c r="F550" s="5">
        <f>IFERROR(VLOOKUP($D550,FIYAT!$B:$O,5,FALSE()),"")</f>
        <v>0</v>
      </c>
      <c r="G550" s="5" t="str">
        <f>IFERROR(VLOOKUP($D550,FIYAT!$B:$O,8,FALSE()),"")</f>
        <v/>
      </c>
      <c r="H550" s="5">
        <f>ROUND(SUM($H$542:$H$549)*KURALLAR!$B$28,0)</f>
        <v>7180</v>
      </c>
      <c r="I550" s="6">
        <v>1</v>
      </c>
      <c r="J550" s="5" t="str">
        <f>IFERROR(VLOOKUP($D550,FIYAT!$B:$O,9,FALSE()),"")</f>
        <v>компл.</v>
      </c>
      <c r="K550" s="5" t="str">
        <f>IFERROR(VLOOKUP($D550,FIYAT!$B:$O,4,FALSE()),"")</f>
        <v>MUADIL-NET</v>
      </c>
      <c r="L550" s="5">
        <f t="shared" si="67"/>
        <v>7180</v>
      </c>
      <c r="M550" s="5"/>
      <c r="N550" s="5"/>
      <c r="O550" s="5"/>
      <c r="P550" s="5" t="str">
        <f>IF($H550="","FIYAT_YOK",IFERROR(VLOOKUP($D550,FIYAT!$B:$P,15,FALSE()),""))</f>
        <v>ORAN</v>
      </c>
      <c r="Q550" s="5" t="s">
        <v>218</v>
      </c>
      <c r="R550" s="5" t="s">
        <v>217</v>
      </c>
      <c r="S550" s="5" t="s">
        <v>550</v>
      </c>
      <c r="T550" s="5"/>
      <c r="U550" s="5">
        <v>0</v>
      </c>
    </row>
    <row r="551" spans="1:21" x14ac:dyDescent="0.25">
      <c r="A551" s="9">
        <v>550</v>
      </c>
      <c r="B551" s="9"/>
      <c r="C551" s="9" t="s">
        <v>227</v>
      </c>
      <c r="D551" s="9" t="s">
        <v>225</v>
      </c>
      <c r="E551" s="9" t="str">
        <f>IFERROR(VLOOKUP($D551,FIYAT!$B:$O,2,FALSE()),"")</f>
        <v>Сборка, кабелирование, маркировка, момент затяжки, испытания</v>
      </c>
      <c r="F551" s="9">
        <f>IFERROR(VLOOKUP($D551,FIYAT!$B:$O,5,FALSE()),"")</f>
        <v>100</v>
      </c>
      <c r="G551" s="9">
        <f>IFERROR(VLOOKUP($D551,FIYAT!$B:$O,8,FALSE()),"")</f>
        <v>100</v>
      </c>
      <c r="H551" s="9">
        <f>IF(OR($G551="",$I551=""),"",$G551*$I551)</f>
        <v>17300</v>
      </c>
      <c r="I551" s="6">
        <f>ROUND(SUM($U$542:$U$550)*KURALLAR!$B$27,0)</f>
        <v>173</v>
      </c>
      <c r="J551" s="9" t="str">
        <f>IFERROR(VLOOKUP($D551,FIYAT!$B:$O,9,FALSE()),"")</f>
        <v>мин</v>
      </c>
      <c r="K551" s="9" t="str">
        <f>IFERROR(VLOOKUP($D551,FIYAT!$B:$O,4,FALSE()),"")</f>
        <v>ISCILIK</v>
      </c>
      <c r="L551" s="9">
        <f t="shared" si="67"/>
        <v>17300</v>
      </c>
      <c r="M551" s="9"/>
      <c r="N551" s="9"/>
      <c r="O551" s="9"/>
      <c r="P551" s="9" t="str">
        <f>IF($H551="","FIYAT_YOK",IFERROR(VLOOKUP($D551,FIYAT!$B:$P,15,FALSE()),""))</f>
        <v>OK</v>
      </c>
      <c r="Q551" s="9" t="str">
        <f>CONCATENATE("montaj+test iscilik: ",TEXT($I551,"# ##0")," dk = ",TEXT($I551/60,"0,00")," saat (norm x test/etiket carpani)")</f>
        <v>montaj+test iscilik:  173 dk = 2,88 saat (norm x test/etiket carpani)</v>
      </c>
      <c r="R551" s="9" t="s">
        <v>229</v>
      </c>
      <c r="S551" s="9" t="s">
        <v>550</v>
      </c>
      <c r="T551" s="9"/>
      <c r="U551" s="9">
        <v>0</v>
      </c>
    </row>
    <row r="552" spans="1:21" x14ac:dyDescent="0.25">
      <c r="A552" s="10">
        <v>551</v>
      </c>
      <c r="B552" s="10" t="s">
        <v>617</v>
      </c>
      <c r="C552" s="10"/>
      <c r="D552" s="10"/>
      <c r="E552" s="10"/>
      <c r="F552" s="10"/>
      <c r="G552" s="10"/>
      <c r="H552" s="10">
        <f>SUBTOTAL(9,H542:H551)</f>
        <v>127058.4</v>
      </c>
      <c r="I552" s="10"/>
      <c r="J552" s="10"/>
      <c r="K552" s="10"/>
      <c r="L552" s="10">
        <f>SUBTOTAL(9,L542:L551)</f>
        <v>127058.4</v>
      </c>
      <c r="M552" s="10"/>
      <c r="N552" s="10"/>
      <c r="O552" s="10"/>
      <c r="P552" s="10"/>
      <c r="Q552" s="10"/>
      <c r="R552" s="10"/>
      <c r="S552" s="10"/>
      <c r="T552" s="10"/>
      <c r="U552" s="10">
        <f>SUBTOTAL(9,U542:U551)</f>
        <v>150</v>
      </c>
    </row>
    <row r="553" spans="1:21" x14ac:dyDescent="0.25">
      <c r="A553" s="8">
        <v>552</v>
      </c>
      <c r="B553" s="8" t="str">
        <f>E553</f>
        <v>BLOK A / 24F-ИБП.2 — НКУ 380/220В 50Гц, FORM 2B, IP31/54</v>
      </c>
      <c r="C553" s="8" t="s">
        <v>545</v>
      </c>
      <c r="D553" s="8"/>
      <c r="E553" s="8" t="s">
        <v>618</v>
      </c>
      <c r="F553" s="8"/>
      <c r="G553" s="8"/>
      <c r="H553" s="8"/>
      <c r="I553" s="8">
        <v>1</v>
      </c>
      <c r="J553" s="8" t="s">
        <v>547</v>
      </c>
      <c r="K553" s="8"/>
      <c r="L553" s="8"/>
      <c r="M553" s="8"/>
      <c r="N553" s="8"/>
      <c r="O553" s="8"/>
      <c r="P553" s="8" t="s">
        <v>178</v>
      </c>
      <c r="Q553" s="8" t="s">
        <v>548</v>
      </c>
      <c r="R553" s="8" t="s">
        <v>549</v>
      </c>
      <c r="S553" s="8" t="s">
        <v>550</v>
      </c>
      <c r="T553" s="8"/>
      <c r="U553" s="8"/>
    </row>
    <row r="554" spans="1:21" x14ac:dyDescent="0.25">
      <c r="A554" s="5">
        <v>553</v>
      </c>
      <c r="B554" s="5"/>
      <c r="C554" s="5" t="s">
        <v>169</v>
      </c>
      <c r="D554" s="5" t="s">
        <v>319</v>
      </c>
      <c r="E554" s="5" t="str">
        <f>IFERROR(VLOOKUP($D554,FIYAT!$B:$O,2,FALSE()),"")</f>
        <v>Авт. выкл. NM8N-125C TM 3P 16А 36кА с рег. термомаг. расцепителем (R)</v>
      </c>
      <c r="F554" s="5">
        <f>IFERROR(VLOOKUP($D554,FIYAT!$B:$O,5,FALSE()),"")</f>
        <v>65019</v>
      </c>
      <c r="G554" s="5">
        <f>IFERROR(VLOOKUP($D554,FIYAT!$B:$O,8,FALSE()),"")</f>
        <v>39011.4</v>
      </c>
      <c r="H554" s="5">
        <f t="shared" ref="H554:H561" si="68">IF(OR($G554="",$I554=""),"",$G554*$I554)</f>
        <v>39011.4</v>
      </c>
      <c r="I554" s="6">
        <v>1</v>
      </c>
      <c r="J554" s="5" t="str">
        <f>IFERROR(VLOOKUP($D554,FIYAT!$B:$O,9,FALSE()),"")</f>
        <v>Шт.</v>
      </c>
      <c r="K554" s="5" t="str">
        <f>IFERROR(VLOOKUP($D554,FIYAT!$B:$O,4,FALSE()),"")</f>
        <v>CHINT</v>
      </c>
      <c r="L554" s="5">
        <f t="shared" ref="L554:L563" si="69">IF($H554="","",$H554)</f>
        <v>39011.4</v>
      </c>
      <c r="M554" s="5"/>
      <c r="N554" s="5"/>
      <c r="O554" s="5"/>
      <c r="P554" s="5" t="str">
        <f>IF($H554="","FIYAT_YOK",IFERROR(VLOOKUP($D554,FIYAT!$B:$P,15,FALSE()),""))</f>
        <v>MUADIL</v>
      </c>
      <c r="Q554" s="5" t="s">
        <v>172</v>
      </c>
      <c r="R554" s="5" t="s">
        <v>171</v>
      </c>
      <c r="S554" s="5" t="s">
        <v>550</v>
      </c>
      <c r="T554" s="5" t="s">
        <v>61</v>
      </c>
      <c r="U554" s="5">
        <f>IFERROR(VLOOKUP($T554,KURALLAR!$A$32:$B$63,2,FALSE()),0)*IF(ISNUMBER($I554),$I554,0)</f>
        <v>15</v>
      </c>
    </row>
    <row r="555" spans="1:21" x14ac:dyDescent="0.25">
      <c r="A555" s="9">
        <v>554</v>
      </c>
      <c r="B555" s="9"/>
      <c r="C555" s="9" t="s">
        <v>176</v>
      </c>
      <c r="D555" s="9" t="s">
        <v>174</v>
      </c>
      <c r="E555" s="9" t="str">
        <f>IFERROR(VLOOKUP($D555,FIYAT!$B:$O,2,FALSE()),"")</f>
        <v>УЗО NL1-63 6kA 4P 63A 300mA тип AC (R)</v>
      </c>
      <c r="F555" s="9">
        <f>IFERROR(VLOOKUP($D555,FIYAT!$B:$O,5,FALSE()),"")</f>
        <v>18106</v>
      </c>
      <c r="G555" s="9">
        <f>IFERROR(VLOOKUP($D555,FIYAT!$B:$O,8,FALSE()),"")</f>
        <v>10863.6</v>
      </c>
      <c r="H555" s="9">
        <f t="shared" si="68"/>
        <v>10863.6</v>
      </c>
      <c r="I555" s="6">
        <v>1</v>
      </c>
      <c r="J555" s="9" t="str">
        <f>IFERROR(VLOOKUP($D555,FIYAT!$B:$O,9,FALSE()),"")</f>
        <v>Шт.</v>
      </c>
      <c r="K555" s="9" t="str">
        <f>IFERROR(VLOOKUP($D555,FIYAT!$B:$O,4,FALSE()),"")</f>
        <v>CHINT</v>
      </c>
      <c r="L555" s="9">
        <f t="shared" si="69"/>
        <v>10863.6</v>
      </c>
      <c r="M555" s="9"/>
      <c r="N555" s="9"/>
      <c r="O555" s="9"/>
      <c r="P555" s="9" t="str">
        <f>IF($H555="","FIYAT_YOK",IFERROR(VLOOKUP($D555,FIYAT!$B:$P,15,FALSE()),""))</f>
        <v>OK</v>
      </c>
      <c r="Q555" s="9" t="s">
        <v>177</v>
      </c>
      <c r="R555" s="9" t="s">
        <v>171</v>
      </c>
      <c r="S555" s="9" t="s">
        <v>550</v>
      </c>
      <c r="T555" s="9" t="s">
        <v>57</v>
      </c>
      <c r="U555" s="9">
        <f>IFERROR(VLOOKUP($T555,KURALLAR!$A$32:$B$63,2,FALSE()),0)*IF(ISNUMBER($I555),$I555,0)</f>
        <v>10</v>
      </c>
    </row>
    <row r="556" spans="1:21" x14ac:dyDescent="0.25">
      <c r="A556" s="5">
        <v>555</v>
      </c>
      <c r="B556" s="5"/>
      <c r="C556" s="5" t="s">
        <v>79</v>
      </c>
      <c r="D556" s="5" t="s">
        <v>179</v>
      </c>
      <c r="E556" s="5" t="str">
        <f>IFERROR(VLOOKUP($D556,FIYAT!$B:$O,2,FALSE()),"")</f>
        <v>Держатель плавкой вставки RT36-00-160, габарит 00, 160А</v>
      </c>
      <c r="F556" s="5">
        <f>IFERROR(VLOOKUP($D556,FIYAT!$B:$O,5,FALSE()),"")</f>
        <v>2038</v>
      </c>
      <c r="G556" s="5">
        <f>IFERROR(VLOOKUP($D556,FIYAT!$B:$O,8,FALSE()),"")</f>
        <v>1222.8</v>
      </c>
      <c r="H556" s="5">
        <f t="shared" si="68"/>
        <v>4891.2</v>
      </c>
      <c r="I556" s="6">
        <v>4</v>
      </c>
      <c r="J556" s="5" t="str">
        <f>IFERROR(VLOOKUP($D556,FIYAT!$B:$O,9,FALSE()),"")</f>
        <v>Шт.</v>
      </c>
      <c r="K556" s="5" t="str">
        <f>IFERROR(VLOOKUP($D556,FIYAT!$B:$O,4,FALSE()),"")</f>
        <v>CHINT</v>
      </c>
      <c r="L556" s="5">
        <f t="shared" si="69"/>
        <v>4891.2</v>
      </c>
      <c r="M556" s="5"/>
      <c r="N556" s="5"/>
      <c r="O556" s="5"/>
      <c r="P556" s="5" t="str">
        <f>IF($H556="","FIYAT_YOK",IFERROR(VLOOKUP($D556,FIYAT!$B:$P,15,FALSE()),""))</f>
        <v>MUADIL</v>
      </c>
      <c r="Q556" s="5" t="s">
        <v>181</v>
      </c>
      <c r="R556" s="5" t="s">
        <v>171</v>
      </c>
      <c r="S556" s="5" t="s">
        <v>550</v>
      </c>
      <c r="T556" s="5" t="s">
        <v>77</v>
      </c>
      <c r="U556" s="5">
        <f>IFERROR(VLOOKUP($T556,KURALLAR!$A$32:$B$63,2,FALSE()),0)*IF(ISNUMBER($I556),$I556,0)</f>
        <v>20</v>
      </c>
    </row>
    <row r="557" spans="1:21" x14ac:dyDescent="0.25">
      <c r="A557" s="9">
        <v>556</v>
      </c>
      <c r="B557" s="9"/>
      <c r="C557" s="9" t="s">
        <v>79</v>
      </c>
      <c r="D557" s="9" t="s">
        <v>182</v>
      </c>
      <c r="E557" s="9" t="str">
        <f>IFERROR(VLOOKUP($D557,FIYAT!$B:$O,2,FALSE()),"")</f>
        <v>Плавкая вставка предохранителя RT36-00-160, габарит 00, 63А</v>
      </c>
      <c r="F557" s="9">
        <f>IFERROR(VLOOKUP($D557,FIYAT!$B:$O,5,FALSE()),"")</f>
        <v>1525</v>
      </c>
      <c r="G557" s="9">
        <f>IFERROR(VLOOKUP($D557,FIYAT!$B:$O,8,FALSE()),"")</f>
        <v>915</v>
      </c>
      <c r="H557" s="9">
        <f t="shared" si="68"/>
        <v>3660</v>
      </c>
      <c r="I557" s="6">
        <v>4</v>
      </c>
      <c r="J557" s="9" t="str">
        <f>IFERROR(VLOOKUP($D557,FIYAT!$B:$O,9,FALSE()),"")</f>
        <v>Шт.</v>
      </c>
      <c r="K557" s="9" t="str">
        <f>IFERROR(VLOOKUP($D557,FIYAT!$B:$O,4,FALSE()),"")</f>
        <v>CHINT</v>
      </c>
      <c r="L557" s="9">
        <f t="shared" si="69"/>
        <v>3660</v>
      </c>
      <c r="M557" s="9"/>
      <c r="N557" s="9"/>
      <c r="O557" s="9"/>
      <c r="P557" s="9" t="str">
        <f>IF($H557="","FIYAT_YOK",IFERROR(VLOOKUP($D557,FIYAT!$B:$P,15,FALSE()),""))</f>
        <v>MUADIL</v>
      </c>
      <c r="Q557" s="9" t="s">
        <v>185</v>
      </c>
      <c r="R557" s="9" t="s">
        <v>184</v>
      </c>
      <c r="S557" s="9" t="s">
        <v>550</v>
      </c>
      <c r="T557" s="9" t="s">
        <v>79</v>
      </c>
      <c r="U557" s="9">
        <f>IFERROR(VLOOKUP($T557,KURALLAR!$A$32:$B$63,2,FALSE()),0)*IF(ISNUMBER($I557),$I557,0)</f>
        <v>12</v>
      </c>
    </row>
    <row r="558" spans="1:21" x14ac:dyDescent="0.25">
      <c r="A558" s="5">
        <v>557</v>
      </c>
      <c r="B558" s="5"/>
      <c r="C558" s="5" t="s">
        <v>75</v>
      </c>
      <c r="D558" s="5" t="s">
        <v>186</v>
      </c>
      <c r="E558" s="5" t="str">
        <f>IFERROR(VLOOKUP($D558,FIYAT!$B:$O,2,FALSE()),"")</f>
        <v>Ограничитель имп. перенапр. NU6-IIG 4Р In=25kA Uc=440B Im=65kA (R)</v>
      </c>
      <c r="F558" s="5">
        <f>IFERROR(VLOOKUP($D558,FIYAT!$B:$O,5,FALSE()),"")</f>
        <v>33208</v>
      </c>
      <c r="G558" s="5">
        <f>IFERROR(VLOOKUP($D558,FIYAT!$B:$O,8,FALSE()),"")</f>
        <v>19924.8</v>
      </c>
      <c r="H558" s="5">
        <f t="shared" si="68"/>
        <v>19924.8</v>
      </c>
      <c r="I558" s="6">
        <v>1</v>
      </c>
      <c r="J558" s="5" t="str">
        <f>IFERROR(VLOOKUP($D558,FIYAT!$B:$O,9,FALSE()),"")</f>
        <v>Шт.</v>
      </c>
      <c r="K558" s="5" t="str">
        <f>IFERROR(VLOOKUP($D558,FIYAT!$B:$O,4,FALSE()),"")</f>
        <v>CHINT</v>
      </c>
      <c r="L558" s="5">
        <f t="shared" si="69"/>
        <v>19924.8</v>
      </c>
      <c r="M558" s="5"/>
      <c r="N558" s="5"/>
      <c r="O558" s="5"/>
      <c r="P558" s="5" t="str">
        <f>IF($H558="","FIYAT_YOK",IFERROR(VLOOKUP($D558,FIYAT!$B:$P,15,FALSE()),""))</f>
        <v>MUADIL_ONAY</v>
      </c>
      <c r="Q558" s="5" t="s">
        <v>188</v>
      </c>
      <c r="R558" s="5" t="s">
        <v>184</v>
      </c>
      <c r="S558" s="5" t="s">
        <v>550</v>
      </c>
      <c r="T558" s="5" t="s">
        <v>75</v>
      </c>
      <c r="U558" s="5">
        <f>IFERROR(VLOOKUP($T558,KURALLAR!$A$32:$B$63,2,FALSE()),0)*IF(ISNUMBER($I558),$I558,0)</f>
        <v>10</v>
      </c>
    </row>
    <row r="559" spans="1:21" x14ac:dyDescent="0.25">
      <c r="A559" s="9">
        <v>558</v>
      </c>
      <c r="B559" s="9"/>
      <c r="C559" s="9" t="s">
        <v>192</v>
      </c>
      <c r="D559" s="9" t="s">
        <v>206</v>
      </c>
      <c r="E559" s="9" t="str">
        <f>IFERROR(VLOOKUP($D559,FIYAT!$B:$O,2,FALSE()),"")</f>
        <v>Авт. выкл. NXB-63 1P 10A 6кА х-ка C (R)</v>
      </c>
      <c r="F559" s="9">
        <f>IFERROR(VLOOKUP($D559,FIYAT!$B:$O,5,FALSE()),"")</f>
        <v>1362</v>
      </c>
      <c r="G559" s="9">
        <f>IFERROR(VLOOKUP($D559,FIYAT!$B:$O,8,FALSE()),"")</f>
        <v>817.19999999999993</v>
      </c>
      <c r="H559" s="9">
        <f t="shared" si="68"/>
        <v>5720.4</v>
      </c>
      <c r="I559" s="6">
        <v>7</v>
      </c>
      <c r="J559" s="9" t="str">
        <f>IFERROR(VLOOKUP($D559,FIYAT!$B:$O,9,FALSE()),"")</f>
        <v>Шт.</v>
      </c>
      <c r="K559" s="9" t="str">
        <f>IFERROR(VLOOKUP($D559,FIYAT!$B:$O,4,FALSE()),"")</f>
        <v>CHINT</v>
      </c>
      <c r="L559" s="9">
        <f t="shared" si="69"/>
        <v>5720.4</v>
      </c>
      <c r="M559" s="9"/>
      <c r="N559" s="9"/>
      <c r="O559" s="9"/>
      <c r="P559" s="9" t="str">
        <f>IF($H559="","FIYAT_YOK",IFERROR(VLOOKUP($D559,FIYAT!$B:$P,15,FALSE()),""))</f>
        <v>OK</v>
      </c>
      <c r="Q559" s="9" t="s">
        <v>208</v>
      </c>
      <c r="R559" s="9" t="s">
        <v>184</v>
      </c>
      <c r="S559" s="9" t="s">
        <v>550</v>
      </c>
      <c r="T559" s="9" t="s">
        <v>47</v>
      </c>
      <c r="U559" s="9">
        <f>IFERROR(VLOOKUP($T559,KURALLAR!$A$32:$B$63,2,FALSE()),0)*IF(ISNUMBER($I559),$I559,0)</f>
        <v>21</v>
      </c>
    </row>
    <row r="560" spans="1:21" x14ac:dyDescent="0.25">
      <c r="A560" s="5">
        <v>559</v>
      </c>
      <c r="B560" s="5"/>
      <c r="C560" s="5" t="s">
        <v>93</v>
      </c>
      <c r="D560" s="5" t="s">
        <v>209</v>
      </c>
      <c r="E560" s="5" t="str">
        <f>IFERROR(VLOOKUP($D560,FIYAT!$B:$O,2,FALSE()),"")</f>
        <v>Шина "N" нулевая 6х9мм на DIN-рейку в корпусном изоляторе ШНИ 12К IEK (10)</v>
      </c>
      <c r="F560" s="5">
        <f>IFERROR(VLOOKUP($D560,FIYAT!$B:$O,5,FALSE()),"")</f>
        <v>755</v>
      </c>
      <c r="G560" s="5">
        <f>IFERROR(VLOOKUP($D560,FIYAT!$B:$O,8,FALSE()),"")</f>
        <v>453</v>
      </c>
      <c r="H560" s="5">
        <f t="shared" si="68"/>
        <v>1812</v>
      </c>
      <c r="I560" s="6">
        <v>4</v>
      </c>
      <c r="J560" s="5" t="str">
        <f>IFERROR(VLOOKUP($D560,FIYAT!$B:$O,9,FALSE()),"")</f>
        <v>Шт.</v>
      </c>
      <c r="K560" s="5" t="str">
        <f>IFERROR(VLOOKUP($D560,FIYAT!$B:$O,4,FALSE()),"")</f>
        <v>KAZTEK</v>
      </c>
      <c r="L560" s="5">
        <f t="shared" si="69"/>
        <v>1812</v>
      </c>
      <c r="M560" s="5"/>
      <c r="N560" s="5"/>
      <c r="O560" s="5"/>
      <c r="P560" s="5" t="str">
        <f>IF($H560="","FIYAT_YOK",IFERROR(VLOOKUP($D560,FIYAT!$B:$P,15,FALSE()),""))</f>
        <v>MUADIL</v>
      </c>
      <c r="Q560" s="5" t="s">
        <v>212</v>
      </c>
      <c r="R560" s="5" t="s">
        <v>211</v>
      </c>
      <c r="S560" s="5" t="s">
        <v>550</v>
      </c>
      <c r="T560" s="5" t="s">
        <v>93</v>
      </c>
      <c r="U560" s="5">
        <f>IFERROR(VLOOKUP($T560,KURALLAR!$A$32:$B$63,2,FALSE()),0)*IF(ISNUMBER($I560),$I560,0)</f>
        <v>32</v>
      </c>
    </row>
    <row r="561" spans="1:21" x14ac:dyDescent="0.25">
      <c r="A561" s="9">
        <v>560</v>
      </c>
      <c r="B561" s="9"/>
      <c r="C561" s="9" t="s">
        <v>222</v>
      </c>
      <c r="D561" s="9" t="s">
        <v>220</v>
      </c>
      <c r="E561" s="9" t="str">
        <f>IFERROR(VLOOKUP($D561,FIYAT!$B:$O,2,FALSE()),"")</f>
        <v>ЩМП (инд.) IP31 (650х500х150мм)</v>
      </c>
      <c r="F561" s="9">
        <f>IFERROR(VLOOKUP($D561,FIYAT!$B:$O,5,FALSE()),"")</f>
        <v>27825</v>
      </c>
      <c r="G561" s="9">
        <f>IFERROR(VLOOKUP($D561,FIYAT!$B:$O,8,FALSE()),"")</f>
        <v>16695</v>
      </c>
      <c r="H561" s="9">
        <f t="shared" si="68"/>
        <v>16695</v>
      </c>
      <c r="I561" s="6">
        <v>1</v>
      </c>
      <c r="J561" s="9" t="str">
        <f>IFERROR(VLOOKUP($D561,FIYAT!$B:$O,9,FALSE()),"")</f>
        <v>Шт.</v>
      </c>
      <c r="K561" s="9" t="str">
        <f>IFERROR(VLOOKUP($D561,FIYAT!$B:$O,4,FALSE()),"")</f>
        <v>KAZTEK</v>
      </c>
      <c r="L561" s="9">
        <f t="shared" si="69"/>
        <v>16695</v>
      </c>
      <c r="M561" s="9"/>
      <c r="N561" s="9"/>
      <c r="O561" s="9"/>
      <c r="P561" s="9" t="str">
        <f>IF($H561="","FIYAT_YOK",IFERROR(VLOOKUP($D561,FIYAT!$B:$P,15,FALSE()),""))</f>
        <v>VARSAYIM</v>
      </c>
      <c r="Q561" s="9" t="s">
        <v>223</v>
      </c>
      <c r="R561" s="9" t="s">
        <v>211</v>
      </c>
      <c r="S561" s="9" t="s">
        <v>550</v>
      </c>
      <c r="T561" s="9" t="s">
        <v>105</v>
      </c>
      <c r="U561" s="9">
        <f>IFERROR(VLOOKUP($T561,KURALLAR!$A$32:$B$63,2,FALSE()),0)*IF(ISNUMBER($I561),$I561,0)</f>
        <v>30</v>
      </c>
    </row>
    <row r="562" spans="1:21" x14ac:dyDescent="0.25">
      <c r="A562" s="5">
        <v>561</v>
      </c>
      <c r="B562" s="5"/>
      <c r="C562" s="5" t="s">
        <v>215</v>
      </c>
      <c r="D562" s="5" t="s">
        <v>213</v>
      </c>
      <c r="E562" s="5" t="str">
        <f>IFERROR(VLOOKUP($D562,FIYAT!$B:$O,2,FALSE()),"")</f>
        <v>Монтажный расходный материал (кабель, DIN-рейка, кабель-канал, клеммы, маркировка, крепёж)</v>
      </c>
      <c r="F562" s="5">
        <f>IFERROR(VLOOKUP($D562,FIYAT!$B:$O,5,FALSE()),"")</f>
        <v>0</v>
      </c>
      <c r="G562" s="5" t="str">
        <f>IFERROR(VLOOKUP($D562,FIYAT!$B:$O,8,FALSE()),"")</f>
        <v/>
      </c>
      <c r="H562" s="5">
        <f>ROUND(SUM($H$554:$H$561)*KURALLAR!$B$28,0)</f>
        <v>7180</v>
      </c>
      <c r="I562" s="6">
        <v>1</v>
      </c>
      <c r="J562" s="5" t="str">
        <f>IFERROR(VLOOKUP($D562,FIYAT!$B:$O,9,FALSE()),"")</f>
        <v>компл.</v>
      </c>
      <c r="K562" s="5" t="str">
        <f>IFERROR(VLOOKUP($D562,FIYAT!$B:$O,4,FALSE()),"")</f>
        <v>MUADIL-NET</v>
      </c>
      <c r="L562" s="5">
        <f t="shared" si="69"/>
        <v>7180</v>
      </c>
      <c r="M562" s="5"/>
      <c r="N562" s="5"/>
      <c r="O562" s="5"/>
      <c r="P562" s="5" t="str">
        <f>IF($H562="","FIYAT_YOK",IFERROR(VLOOKUP($D562,FIYAT!$B:$P,15,FALSE()),""))</f>
        <v>ORAN</v>
      </c>
      <c r="Q562" s="5" t="s">
        <v>218</v>
      </c>
      <c r="R562" s="5" t="s">
        <v>217</v>
      </c>
      <c r="S562" s="5" t="s">
        <v>550</v>
      </c>
      <c r="T562" s="5"/>
      <c r="U562" s="5">
        <v>0</v>
      </c>
    </row>
    <row r="563" spans="1:21" x14ac:dyDescent="0.25">
      <c r="A563" s="9">
        <v>562</v>
      </c>
      <c r="B563" s="9"/>
      <c r="C563" s="9" t="s">
        <v>227</v>
      </c>
      <c r="D563" s="9" t="s">
        <v>225</v>
      </c>
      <c r="E563" s="9" t="str">
        <f>IFERROR(VLOOKUP($D563,FIYAT!$B:$O,2,FALSE()),"")</f>
        <v>Сборка, кабелирование, маркировка, момент затяжки, испытания</v>
      </c>
      <c r="F563" s="9">
        <f>IFERROR(VLOOKUP($D563,FIYAT!$B:$O,5,FALSE()),"")</f>
        <v>100</v>
      </c>
      <c r="G563" s="9">
        <f>IFERROR(VLOOKUP($D563,FIYAT!$B:$O,8,FALSE()),"")</f>
        <v>100</v>
      </c>
      <c r="H563" s="9">
        <f>IF(OR($G563="",$I563=""),"",$G563*$I563)</f>
        <v>17300</v>
      </c>
      <c r="I563" s="6">
        <f>ROUND(SUM($U$554:$U$562)*KURALLAR!$B$27,0)</f>
        <v>173</v>
      </c>
      <c r="J563" s="9" t="str">
        <f>IFERROR(VLOOKUP($D563,FIYAT!$B:$O,9,FALSE()),"")</f>
        <v>мин</v>
      </c>
      <c r="K563" s="9" t="str">
        <f>IFERROR(VLOOKUP($D563,FIYAT!$B:$O,4,FALSE()),"")</f>
        <v>ISCILIK</v>
      </c>
      <c r="L563" s="9">
        <f t="shared" si="69"/>
        <v>17300</v>
      </c>
      <c r="M563" s="9"/>
      <c r="N563" s="9"/>
      <c r="O563" s="9"/>
      <c r="P563" s="9" t="str">
        <f>IF($H563="","FIYAT_YOK",IFERROR(VLOOKUP($D563,FIYAT!$B:$P,15,FALSE()),""))</f>
        <v>OK</v>
      </c>
      <c r="Q563" s="9" t="str">
        <f>CONCATENATE("montaj+test iscilik: ",TEXT($I563,"# ##0")," dk = ",TEXT($I563/60,"0,00")," saat (norm x test/etiket carpani)")</f>
        <v>montaj+test iscilik:  173 dk = 2,88 saat (norm x test/etiket carpani)</v>
      </c>
      <c r="R563" s="9" t="s">
        <v>229</v>
      </c>
      <c r="S563" s="9" t="s">
        <v>550</v>
      </c>
      <c r="T563" s="9"/>
      <c r="U563" s="9">
        <v>0</v>
      </c>
    </row>
    <row r="564" spans="1:21" x14ac:dyDescent="0.25">
      <c r="A564" s="10">
        <v>563</v>
      </c>
      <c r="B564" s="10" t="s">
        <v>619</v>
      </c>
      <c r="C564" s="10"/>
      <c r="D564" s="10"/>
      <c r="E564" s="10"/>
      <c r="F564" s="10"/>
      <c r="G564" s="10"/>
      <c r="H564" s="10">
        <f>SUBTOTAL(9,H554:H563)</f>
        <v>127058.4</v>
      </c>
      <c r="I564" s="10"/>
      <c r="J564" s="10"/>
      <c r="K564" s="10"/>
      <c r="L564" s="10">
        <f>SUBTOTAL(9,L554:L563)</f>
        <v>127058.4</v>
      </c>
      <c r="M564" s="10"/>
      <c r="N564" s="10"/>
      <c r="O564" s="10"/>
      <c r="P564" s="10"/>
      <c r="Q564" s="10"/>
      <c r="R564" s="10"/>
      <c r="S564" s="10"/>
      <c r="T564" s="10"/>
      <c r="U564" s="10">
        <f>SUBTOTAL(9,U554:U563)</f>
        <v>150</v>
      </c>
    </row>
    <row r="565" spans="1:21" x14ac:dyDescent="0.25">
      <c r="A565" s="8">
        <v>564</v>
      </c>
      <c r="B565" s="8" t="str">
        <f>E565</f>
        <v>BLOK A / ЩА-B2 — НКУ 380/220В 50Гц, FORM 2B, IP31/54</v>
      </c>
      <c r="C565" s="8" t="s">
        <v>545</v>
      </c>
      <c r="D565" s="8"/>
      <c r="E565" s="8" t="s">
        <v>620</v>
      </c>
      <c r="F565" s="8"/>
      <c r="G565" s="8"/>
      <c r="H565" s="8"/>
      <c r="I565" s="8">
        <v>1</v>
      </c>
      <c r="J565" s="8" t="s">
        <v>547</v>
      </c>
      <c r="K565" s="8"/>
      <c r="L565" s="8"/>
      <c r="M565" s="8"/>
      <c r="N565" s="8"/>
      <c r="O565" s="8"/>
      <c r="P565" s="8" t="s">
        <v>178</v>
      </c>
      <c r="Q565" s="8" t="s">
        <v>548</v>
      </c>
      <c r="R565" s="8" t="s">
        <v>549</v>
      </c>
      <c r="S565" s="8" t="s">
        <v>550</v>
      </c>
      <c r="T565" s="8"/>
      <c r="U565" s="8"/>
    </row>
    <row r="566" spans="1:21" x14ac:dyDescent="0.25">
      <c r="A566" s="5">
        <v>565</v>
      </c>
      <c r="B566" s="5"/>
      <c r="C566" s="5" t="s">
        <v>169</v>
      </c>
      <c r="D566" s="5" t="s">
        <v>231</v>
      </c>
      <c r="E566" s="5" t="str">
        <f>IFERROR(VLOOKUP($D566,FIYAT!$B:$O,2,FALSE()),"")</f>
        <v>Авт. выкл. NM8N-125C TM 3P 80А 36кА с рег. термомаг. расцепителем (R)</v>
      </c>
      <c r="F566" s="5">
        <f>IFERROR(VLOOKUP($D566,FIYAT!$B:$O,5,FALSE()),"")</f>
        <v>64129</v>
      </c>
      <c r="G566" s="5">
        <f>IFERROR(VLOOKUP($D566,FIYAT!$B:$O,8,FALSE()),"")</f>
        <v>38477.4</v>
      </c>
      <c r="H566" s="5">
        <f t="shared" ref="H566:H581" si="70">IF(OR($G566="",$I566=""),"",$G566*$I566)</f>
        <v>38477.4</v>
      </c>
      <c r="I566" s="6">
        <v>1</v>
      </c>
      <c r="J566" s="5" t="str">
        <f>IFERROR(VLOOKUP($D566,FIYAT!$B:$O,9,FALSE()),"")</f>
        <v>Шт.</v>
      </c>
      <c r="K566" s="5" t="str">
        <f>IFERROR(VLOOKUP($D566,FIYAT!$B:$O,4,FALSE()),"")</f>
        <v>CHINT</v>
      </c>
      <c r="L566" s="5">
        <f t="shared" ref="L566:L583" si="71">IF($H566="","",$H566)</f>
        <v>38477.4</v>
      </c>
      <c r="M566" s="5"/>
      <c r="N566" s="5"/>
      <c r="O566" s="5"/>
      <c r="P566" s="5" t="str">
        <f>IF($H566="","FIYAT_YOK",IFERROR(VLOOKUP($D566,FIYAT!$B:$P,15,FALSE()),""))</f>
        <v>OK</v>
      </c>
      <c r="Q566" s="5" t="s">
        <v>233</v>
      </c>
      <c r="R566" s="5" t="s">
        <v>171</v>
      </c>
      <c r="S566" s="5" t="s">
        <v>550</v>
      </c>
      <c r="T566" s="5" t="s">
        <v>61</v>
      </c>
      <c r="U566" s="5">
        <f>IFERROR(VLOOKUP($T566,KURALLAR!$A$32:$B$63,2,FALSE()),0)*IF(ISNUMBER($I566),$I566,0)</f>
        <v>15</v>
      </c>
    </row>
    <row r="567" spans="1:21" x14ac:dyDescent="0.25">
      <c r="A567" s="9">
        <v>566</v>
      </c>
      <c r="B567" s="9"/>
      <c r="C567" s="9" t="s">
        <v>93</v>
      </c>
      <c r="D567" s="9" t="s">
        <v>329</v>
      </c>
      <c r="E567" s="9" t="str">
        <f>IFERROR(VLOOKUP($D567,FIYAT!$B:$O,2,FALSE()),"")</f>
        <v>Независимый расцепитель SHT21-M8 AC220-240V для NM8N-125 (R)</v>
      </c>
      <c r="F567" s="9">
        <f>IFERROR(VLOOKUP($D567,FIYAT!$B:$O,5,FALSE()),"")</f>
        <v>19243</v>
      </c>
      <c r="G567" s="9">
        <f>IFERROR(VLOOKUP($D567,FIYAT!$B:$O,8,FALSE()),"")</f>
        <v>11545.8</v>
      </c>
      <c r="H567" s="9">
        <f t="shared" si="70"/>
        <v>11545.8</v>
      </c>
      <c r="I567" s="6">
        <v>1</v>
      </c>
      <c r="J567" s="9" t="str">
        <f>IFERROR(VLOOKUP($D567,FIYAT!$B:$O,9,FALSE()),"")</f>
        <v>Шт.</v>
      </c>
      <c r="K567" s="9" t="str">
        <f>IFERROR(VLOOKUP($D567,FIYAT!$B:$O,4,FALSE()),"")</f>
        <v>CHINT</v>
      </c>
      <c r="L567" s="9">
        <f t="shared" si="71"/>
        <v>11545.8</v>
      </c>
      <c r="M567" s="9"/>
      <c r="N567" s="9"/>
      <c r="O567" s="9"/>
      <c r="P567" s="9" t="str">
        <f>IF($H567="","FIYAT_YOK",IFERROR(VLOOKUP($D567,FIYAT!$B:$P,15,FALSE()),""))</f>
        <v>OK</v>
      </c>
      <c r="Q567" s="9" t="s">
        <v>331</v>
      </c>
      <c r="R567" s="9" t="s">
        <v>184</v>
      </c>
      <c r="S567" s="9" t="s">
        <v>550</v>
      </c>
      <c r="T567" s="9" t="s">
        <v>95</v>
      </c>
      <c r="U567" s="9">
        <f>IFERROR(VLOOKUP($T567,KURALLAR!$A$32:$B$63,2,FALSE()),0)*IF(ISNUMBER($I567),$I567,0)</f>
        <v>10</v>
      </c>
    </row>
    <row r="568" spans="1:21" x14ac:dyDescent="0.25">
      <c r="A568" s="5">
        <v>567</v>
      </c>
      <c r="B568" s="5"/>
      <c r="C568" s="5" t="s">
        <v>79</v>
      </c>
      <c r="D568" s="5" t="s">
        <v>179</v>
      </c>
      <c r="E568" s="5" t="str">
        <f>IFERROR(VLOOKUP($D568,FIYAT!$B:$O,2,FALSE()),"")</f>
        <v>Держатель плавкой вставки RT36-00-160, габарит 00, 160А</v>
      </c>
      <c r="F568" s="5">
        <f>IFERROR(VLOOKUP($D568,FIYAT!$B:$O,5,FALSE()),"")</f>
        <v>2038</v>
      </c>
      <c r="G568" s="5">
        <f>IFERROR(VLOOKUP($D568,FIYAT!$B:$O,8,FALSE()),"")</f>
        <v>1222.8</v>
      </c>
      <c r="H568" s="5">
        <f t="shared" si="70"/>
        <v>4891.2</v>
      </c>
      <c r="I568" s="6">
        <v>4</v>
      </c>
      <c r="J568" s="5" t="str">
        <f>IFERROR(VLOOKUP($D568,FIYAT!$B:$O,9,FALSE()),"")</f>
        <v>Шт.</v>
      </c>
      <c r="K568" s="5" t="str">
        <f>IFERROR(VLOOKUP($D568,FIYAT!$B:$O,4,FALSE()),"")</f>
        <v>CHINT</v>
      </c>
      <c r="L568" s="5">
        <f t="shared" si="71"/>
        <v>4891.2</v>
      </c>
      <c r="M568" s="5"/>
      <c r="N568" s="5"/>
      <c r="O568" s="5"/>
      <c r="P568" s="5" t="str">
        <f>IF($H568="","FIYAT_YOK",IFERROR(VLOOKUP($D568,FIYAT!$B:$P,15,FALSE()),""))</f>
        <v>MUADIL</v>
      </c>
      <c r="Q568" s="5" t="s">
        <v>181</v>
      </c>
      <c r="R568" s="5" t="s">
        <v>171</v>
      </c>
      <c r="S568" s="5" t="s">
        <v>550</v>
      </c>
      <c r="T568" s="5" t="s">
        <v>77</v>
      </c>
      <c r="U568" s="5">
        <f>IFERROR(VLOOKUP($T568,KURALLAR!$A$32:$B$63,2,FALSE()),0)*IF(ISNUMBER($I568),$I568,0)</f>
        <v>20</v>
      </c>
    </row>
    <row r="569" spans="1:21" x14ac:dyDescent="0.25">
      <c r="A569" s="9">
        <v>568</v>
      </c>
      <c r="B569" s="9"/>
      <c r="C569" s="9" t="s">
        <v>79</v>
      </c>
      <c r="D569" s="9" t="s">
        <v>182</v>
      </c>
      <c r="E569" s="9" t="str">
        <f>IFERROR(VLOOKUP($D569,FIYAT!$B:$O,2,FALSE()),"")</f>
        <v>Плавкая вставка предохранителя RT36-00-160, габарит 00, 63А</v>
      </c>
      <c r="F569" s="9">
        <f>IFERROR(VLOOKUP($D569,FIYAT!$B:$O,5,FALSE()),"")</f>
        <v>1525</v>
      </c>
      <c r="G569" s="9">
        <f>IFERROR(VLOOKUP($D569,FIYAT!$B:$O,8,FALSE()),"")</f>
        <v>915</v>
      </c>
      <c r="H569" s="9">
        <f t="shared" si="70"/>
        <v>3660</v>
      </c>
      <c r="I569" s="6">
        <v>4</v>
      </c>
      <c r="J569" s="9" t="str">
        <f>IFERROR(VLOOKUP($D569,FIYAT!$B:$O,9,FALSE()),"")</f>
        <v>Шт.</v>
      </c>
      <c r="K569" s="9" t="str">
        <f>IFERROR(VLOOKUP($D569,FIYAT!$B:$O,4,FALSE()),"")</f>
        <v>CHINT</v>
      </c>
      <c r="L569" s="9">
        <f t="shared" si="71"/>
        <v>3660</v>
      </c>
      <c r="M569" s="9"/>
      <c r="N569" s="9"/>
      <c r="O569" s="9"/>
      <c r="P569" s="9" t="str">
        <f>IF($H569="","FIYAT_YOK",IFERROR(VLOOKUP($D569,FIYAT!$B:$P,15,FALSE()),""))</f>
        <v>MUADIL</v>
      </c>
      <c r="Q569" s="9" t="s">
        <v>185</v>
      </c>
      <c r="R569" s="9" t="s">
        <v>184</v>
      </c>
      <c r="S569" s="9" t="s">
        <v>550</v>
      </c>
      <c r="T569" s="9" t="s">
        <v>79</v>
      </c>
      <c r="U569" s="9">
        <f>IFERROR(VLOOKUP($T569,KURALLAR!$A$32:$B$63,2,FALSE()),0)*IF(ISNUMBER($I569),$I569,0)</f>
        <v>12</v>
      </c>
    </row>
    <row r="570" spans="1:21" x14ac:dyDescent="0.25">
      <c r="A570" s="5">
        <v>569</v>
      </c>
      <c r="B570" s="5"/>
      <c r="C570" s="5" t="s">
        <v>75</v>
      </c>
      <c r="D570" s="5" t="s">
        <v>186</v>
      </c>
      <c r="E570" s="5" t="str">
        <f>IFERROR(VLOOKUP($D570,FIYAT!$B:$O,2,FALSE()),"")</f>
        <v>Ограничитель имп. перенапр. NU6-IIG 4Р In=25kA Uc=440B Im=65kA (R)</v>
      </c>
      <c r="F570" s="5">
        <f>IFERROR(VLOOKUP($D570,FIYAT!$B:$O,5,FALSE()),"")</f>
        <v>33208</v>
      </c>
      <c r="G570" s="5">
        <f>IFERROR(VLOOKUP($D570,FIYAT!$B:$O,8,FALSE()),"")</f>
        <v>19924.8</v>
      </c>
      <c r="H570" s="5">
        <f t="shared" si="70"/>
        <v>19924.8</v>
      </c>
      <c r="I570" s="6">
        <v>1</v>
      </c>
      <c r="J570" s="5" t="str">
        <f>IFERROR(VLOOKUP($D570,FIYAT!$B:$O,9,FALSE()),"")</f>
        <v>Шт.</v>
      </c>
      <c r="K570" s="5" t="str">
        <f>IFERROR(VLOOKUP($D570,FIYAT!$B:$O,4,FALSE()),"")</f>
        <v>CHINT</v>
      </c>
      <c r="L570" s="5">
        <f t="shared" si="71"/>
        <v>19924.8</v>
      </c>
      <c r="M570" s="5"/>
      <c r="N570" s="5"/>
      <c r="O570" s="5"/>
      <c r="P570" s="5" t="str">
        <f>IF($H570="","FIYAT_YOK",IFERROR(VLOOKUP($D570,FIYAT!$B:$P,15,FALSE()),""))</f>
        <v>MUADIL_ONAY</v>
      </c>
      <c r="Q570" s="5" t="s">
        <v>188</v>
      </c>
      <c r="R570" s="5" t="s">
        <v>184</v>
      </c>
      <c r="S570" s="5" t="s">
        <v>550</v>
      </c>
      <c r="T570" s="5" t="s">
        <v>75</v>
      </c>
      <c r="U570" s="5">
        <f>IFERROR(VLOOKUP($T570,KURALLAR!$A$32:$B$63,2,FALSE()),0)*IF(ISNUMBER($I570),$I570,0)</f>
        <v>10</v>
      </c>
    </row>
    <row r="571" spans="1:21" x14ac:dyDescent="0.25">
      <c r="A571" s="9">
        <v>570</v>
      </c>
      <c r="B571" s="9"/>
      <c r="C571" s="9" t="s">
        <v>192</v>
      </c>
      <c r="D571" s="9" t="s">
        <v>238</v>
      </c>
      <c r="E571" s="9" t="str">
        <f>IFERROR(VLOOKUP($D571,FIYAT!$B:$O,2,FALSE()),"")</f>
        <v>Авт. выкл. NXB-63 1P 6A 6кА х-ка C (R)</v>
      </c>
      <c r="F571" s="9">
        <f>IFERROR(VLOOKUP($D571,FIYAT!$B:$O,5,FALSE()),"")</f>
        <v>1436</v>
      </c>
      <c r="G571" s="9">
        <f>IFERROR(VLOOKUP($D571,FIYAT!$B:$O,8,FALSE()),"")</f>
        <v>861.6</v>
      </c>
      <c r="H571" s="9">
        <f t="shared" si="70"/>
        <v>3446.4</v>
      </c>
      <c r="I571" s="6">
        <v>4</v>
      </c>
      <c r="J571" s="9" t="str">
        <f>IFERROR(VLOOKUP($D571,FIYAT!$B:$O,9,FALSE()),"")</f>
        <v>Шт.</v>
      </c>
      <c r="K571" s="9" t="str">
        <f>IFERROR(VLOOKUP($D571,FIYAT!$B:$O,4,FALSE()),"")</f>
        <v>CHINT</v>
      </c>
      <c r="L571" s="9">
        <f t="shared" si="71"/>
        <v>3446.4</v>
      </c>
      <c r="M571" s="9"/>
      <c r="N571" s="9"/>
      <c r="O571" s="9"/>
      <c r="P571" s="9" t="str">
        <f>IF($H571="","FIYAT_YOK",IFERROR(VLOOKUP($D571,FIYAT!$B:$P,15,FALSE()),""))</f>
        <v>OK</v>
      </c>
      <c r="Q571" s="9" t="s">
        <v>240</v>
      </c>
      <c r="R571" s="9" t="s">
        <v>171</v>
      </c>
      <c r="S571" s="9" t="s">
        <v>550</v>
      </c>
      <c r="T571" s="9" t="s">
        <v>47</v>
      </c>
      <c r="U571" s="9">
        <f>IFERROR(VLOOKUP($T571,KURALLAR!$A$32:$B$63,2,FALSE()),0)*IF(ISNUMBER($I571),$I571,0)</f>
        <v>12</v>
      </c>
    </row>
    <row r="572" spans="1:21" x14ac:dyDescent="0.25">
      <c r="A572" s="5">
        <v>571</v>
      </c>
      <c r="B572" s="5"/>
      <c r="C572" s="5" t="s">
        <v>89</v>
      </c>
      <c r="D572" s="5" t="s">
        <v>241</v>
      </c>
      <c r="E572" s="5" t="str">
        <f>IFERROR(VLOOKUP($D572,FIYAT!$B:$O,2,FALSE()),"")</f>
        <v>Индикатор ND16-22DS/4 белый АС230В (R)</v>
      </c>
      <c r="F572" s="5">
        <f>IFERROR(VLOOKUP($D572,FIYAT!$B:$O,5,FALSE()),"")</f>
        <v>1047</v>
      </c>
      <c r="G572" s="5">
        <f>IFERROR(VLOOKUP($D572,FIYAT!$B:$O,8,FALSE()),"")</f>
        <v>628.19999999999993</v>
      </c>
      <c r="H572" s="5">
        <f t="shared" si="70"/>
        <v>1884.6</v>
      </c>
      <c r="I572" s="6">
        <v>3</v>
      </c>
      <c r="J572" s="5" t="str">
        <f>IFERROR(VLOOKUP($D572,FIYAT!$B:$O,9,FALSE()),"")</f>
        <v>Шт.</v>
      </c>
      <c r="K572" s="5" t="str">
        <f>IFERROR(VLOOKUP($D572,FIYAT!$B:$O,4,FALSE()),"")</f>
        <v>CHINT</v>
      </c>
      <c r="L572" s="5">
        <f t="shared" si="71"/>
        <v>1884.6</v>
      </c>
      <c r="M572" s="5"/>
      <c r="N572" s="5"/>
      <c r="O572" s="5"/>
      <c r="P572" s="5" t="str">
        <f>IF($H572="","FIYAT_YOK",IFERROR(VLOOKUP($D572,FIYAT!$B:$P,15,FALSE()),""))</f>
        <v>OK</v>
      </c>
      <c r="Q572" s="5" t="s">
        <v>243</v>
      </c>
      <c r="R572" s="5" t="s">
        <v>184</v>
      </c>
      <c r="S572" s="5" t="s">
        <v>550</v>
      </c>
      <c r="T572" s="5" t="s">
        <v>89</v>
      </c>
      <c r="U572" s="5">
        <f>IFERROR(VLOOKUP($T572,KURALLAR!$A$32:$B$63,2,FALSE()),0)*IF(ISNUMBER($I572),$I572,0)</f>
        <v>12</v>
      </c>
    </row>
    <row r="573" spans="1:21" x14ac:dyDescent="0.25">
      <c r="A573" s="9">
        <v>572</v>
      </c>
      <c r="B573" s="9"/>
      <c r="C573" s="9" t="s">
        <v>87</v>
      </c>
      <c r="D573" s="9" t="s">
        <v>270</v>
      </c>
      <c r="E573" s="9" t="str">
        <f>IFERROR(VLOOKUP($D573,FIYAT!$B:$O,2,FALSE()),"")</f>
        <v>Реле защиты от утечки тока с LCD индикацией (регулируемое) — CHINT листинге нет</v>
      </c>
      <c r="F573" s="9">
        <f>IFERROR(VLOOKUP($D573,FIYAT!$B:$O,5,FALSE()),"")</f>
        <v>0</v>
      </c>
      <c r="G573" s="9" t="str">
        <f>IFERROR(VLOOKUP($D573,FIYAT!$B:$O,8,FALSE()),"")</f>
        <v/>
      </c>
      <c r="H573" s="9" t="str">
        <f t="shared" si="70"/>
        <v/>
      </c>
      <c r="I573" s="6">
        <v>1</v>
      </c>
      <c r="J573" s="9" t="str">
        <f>IFERROR(VLOOKUP($D573,FIYAT!$B:$O,9,FALSE()),"")</f>
        <v>Шт.</v>
      </c>
      <c r="K573" s="9" t="str">
        <f>IFERROR(VLOOKUP($D573,FIYAT!$B:$O,4,FALSE()),"")</f>
        <v>MUADIL-NET</v>
      </c>
      <c r="L573" s="9" t="str">
        <f t="shared" si="71"/>
        <v/>
      </c>
      <c r="M573" s="9"/>
      <c r="N573" s="9"/>
      <c r="O573" s="9"/>
      <c r="P573" s="7" t="str">
        <f>IF($H573="","FIYAT_YOK",IFERROR(VLOOKUP($D573,FIYAT!$B:$P,15,FALSE()),""))</f>
        <v>FIYAT_YOK</v>
      </c>
      <c r="Q573" s="7" t="s">
        <v>272</v>
      </c>
      <c r="R573" s="9"/>
      <c r="S573" s="9" t="s">
        <v>550</v>
      </c>
      <c r="T573" s="9" t="s">
        <v>87</v>
      </c>
      <c r="U573" s="9">
        <f>IFERROR(VLOOKUP($T573,KURALLAR!$A$32:$B$63,2,FALSE()),0)*IF(ISNUMBER($I573),$I573,0)</f>
        <v>8</v>
      </c>
    </row>
    <row r="574" spans="1:21" x14ac:dyDescent="0.25">
      <c r="A574" s="5">
        <v>573</v>
      </c>
      <c r="B574" s="5"/>
      <c r="C574" s="5" t="s">
        <v>83</v>
      </c>
      <c r="D574" s="5" t="s">
        <v>332</v>
      </c>
      <c r="E574" s="5" t="str">
        <f>IFERROR(VLOOKUP($D574,FIYAT!$B:$O,2,FALSE()),"")</f>
        <v>Тороидальный трансформатор тока Ø45мм (16-100A) — CHINT листинге нет</v>
      </c>
      <c r="F574" s="5">
        <f>IFERROR(VLOOKUP($D574,FIYAT!$B:$O,5,FALSE()),"")</f>
        <v>0</v>
      </c>
      <c r="G574" s="5" t="str">
        <f>IFERROR(VLOOKUP($D574,FIYAT!$B:$O,8,FALSE()),"")</f>
        <v/>
      </c>
      <c r="H574" s="5" t="str">
        <f t="shared" si="70"/>
        <v/>
      </c>
      <c r="I574" s="6">
        <v>1</v>
      </c>
      <c r="J574" s="5" t="str">
        <f>IFERROR(VLOOKUP($D574,FIYAT!$B:$O,9,FALSE()),"")</f>
        <v>Шт.</v>
      </c>
      <c r="K574" s="5" t="str">
        <f>IFERROR(VLOOKUP($D574,FIYAT!$B:$O,4,FALSE()),"")</f>
        <v>MUADIL-NET</v>
      </c>
      <c r="L574" s="5" t="str">
        <f t="shared" si="71"/>
        <v/>
      </c>
      <c r="M574" s="5"/>
      <c r="N574" s="5"/>
      <c r="O574" s="5"/>
      <c r="P574" s="7" t="str">
        <f>IF($H574="","FIYAT_YOK",IFERROR(VLOOKUP($D574,FIYAT!$B:$P,15,FALSE()),""))</f>
        <v>FIYAT_YOK</v>
      </c>
      <c r="Q574" s="7" t="s">
        <v>334</v>
      </c>
      <c r="R574" s="5"/>
      <c r="S574" s="5" t="s">
        <v>550</v>
      </c>
      <c r="T574" s="5" t="s">
        <v>83</v>
      </c>
      <c r="U574" s="5">
        <f>IFERROR(VLOOKUP($T574,KURALLAR!$A$32:$B$63,2,FALSE()),0)*IF(ISNUMBER($I574),$I574,0)</f>
        <v>10</v>
      </c>
    </row>
    <row r="575" spans="1:21" x14ac:dyDescent="0.25">
      <c r="A575" s="9">
        <v>574</v>
      </c>
      <c r="B575" s="9"/>
      <c r="C575" s="9" t="s">
        <v>192</v>
      </c>
      <c r="D575" s="9" t="s">
        <v>335</v>
      </c>
      <c r="E575" s="9" t="str">
        <f>IFERROR(VLOOKUP($D575,FIYAT!$B:$O,2,FALSE()),"")</f>
        <v>Авт. выкл. NXB-63 3P 63A 6кА х-ка C (R)</v>
      </c>
      <c r="F575" s="9">
        <f>IFERROR(VLOOKUP($D575,FIYAT!$B:$O,5,FALSE()),"")</f>
        <v>6071</v>
      </c>
      <c r="G575" s="9">
        <f>IFERROR(VLOOKUP($D575,FIYAT!$B:$O,8,FALSE()),"")</f>
        <v>3642.6</v>
      </c>
      <c r="H575" s="9">
        <f t="shared" si="70"/>
        <v>3642.6</v>
      </c>
      <c r="I575" s="6">
        <v>1</v>
      </c>
      <c r="J575" s="9" t="str">
        <f>IFERROR(VLOOKUP($D575,FIYAT!$B:$O,9,FALSE()),"")</f>
        <v>Шт.</v>
      </c>
      <c r="K575" s="9" t="str">
        <f>IFERROR(VLOOKUP($D575,FIYAT!$B:$O,4,FALSE()),"")</f>
        <v>CHINT</v>
      </c>
      <c r="L575" s="9">
        <f t="shared" si="71"/>
        <v>3642.6</v>
      </c>
      <c r="M575" s="9"/>
      <c r="N575" s="9"/>
      <c r="O575" s="9"/>
      <c r="P575" s="9" t="str">
        <f>IF($H575="","FIYAT_YOK",IFERROR(VLOOKUP($D575,FIYAT!$B:$P,15,FALSE()),""))</f>
        <v>OK</v>
      </c>
      <c r="Q575" s="9" t="s">
        <v>337</v>
      </c>
      <c r="R575" s="9" t="s">
        <v>171</v>
      </c>
      <c r="S575" s="9" t="s">
        <v>550</v>
      </c>
      <c r="T575" s="9" t="s">
        <v>51</v>
      </c>
      <c r="U575" s="9">
        <f>IFERROR(VLOOKUP($T575,KURALLAR!$A$32:$B$63,2,FALSE()),0)*IF(ISNUMBER($I575),$I575,0)</f>
        <v>8</v>
      </c>
    </row>
    <row r="576" spans="1:21" x14ac:dyDescent="0.25">
      <c r="A576" s="5">
        <v>575</v>
      </c>
      <c r="B576" s="5"/>
      <c r="C576" s="5" t="s">
        <v>192</v>
      </c>
      <c r="D576" s="5" t="s">
        <v>338</v>
      </c>
      <c r="E576" s="5" t="str">
        <f>IFERROR(VLOOKUP($D576,FIYAT!$B:$O,2,FALSE()),"")</f>
        <v>Авт. выкл. NXB-63 3P 50A 6кА х-ка C (R)</v>
      </c>
      <c r="F576" s="5">
        <f>IFERROR(VLOOKUP($D576,FIYAT!$B:$O,5,FALSE()),"")</f>
        <v>5719</v>
      </c>
      <c r="G576" s="5">
        <f>IFERROR(VLOOKUP($D576,FIYAT!$B:$O,8,FALSE()),"")</f>
        <v>3431.4</v>
      </c>
      <c r="H576" s="5">
        <f t="shared" si="70"/>
        <v>3431.4</v>
      </c>
      <c r="I576" s="6">
        <v>1</v>
      </c>
      <c r="J576" s="5" t="str">
        <f>IFERROR(VLOOKUP($D576,FIYAT!$B:$O,9,FALSE()),"")</f>
        <v>Шт.</v>
      </c>
      <c r="K576" s="5" t="str">
        <f>IFERROR(VLOOKUP($D576,FIYAT!$B:$O,4,FALSE()),"")</f>
        <v>CHINT</v>
      </c>
      <c r="L576" s="5">
        <f t="shared" si="71"/>
        <v>3431.4</v>
      </c>
      <c r="M576" s="5"/>
      <c r="N576" s="5"/>
      <c r="O576" s="5"/>
      <c r="P576" s="5" t="str">
        <f>IF($H576="","FIYAT_YOK",IFERROR(VLOOKUP($D576,FIYAT!$B:$P,15,FALSE()),""))</f>
        <v>OK</v>
      </c>
      <c r="Q576" s="5" t="s">
        <v>340</v>
      </c>
      <c r="R576" s="5" t="s">
        <v>171</v>
      </c>
      <c r="S576" s="5" t="s">
        <v>550</v>
      </c>
      <c r="T576" s="5" t="s">
        <v>51</v>
      </c>
      <c r="U576" s="5">
        <f>IFERROR(VLOOKUP($T576,KURALLAR!$A$32:$B$63,2,FALSE()),0)*IF(ISNUMBER($I576),$I576,0)</f>
        <v>8</v>
      </c>
    </row>
    <row r="577" spans="1:21" x14ac:dyDescent="0.25">
      <c r="A577" s="9">
        <v>576</v>
      </c>
      <c r="B577" s="9"/>
      <c r="C577" s="9" t="s">
        <v>192</v>
      </c>
      <c r="D577" s="9" t="s">
        <v>190</v>
      </c>
      <c r="E577" s="9" t="str">
        <f>IFERROR(VLOOKUP($D577,FIYAT!$B:$O,2,FALSE()),"")</f>
        <v>Авт. выкл. NXB-63 3P 25A 6кА х-ка C (R)</v>
      </c>
      <c r="F577" s="9">
        <f>IFERROR(VLOOKUP($D577,FIYAT!$B:$O,5,FALSE()),"")</f>
        <v>5334</v>
      </c>
      <c r="G577" s="9">
        <f>IFERROR(VLOOKUP($D577,FIYAT!$B:$O,8,FALSE()),"")</f>
        <v>3200.4</v>
      </c>
      <c r="H577" s="9">
        <f t="shared" si="70"/>
        <v>19202.400000000001</v>
      </c>
      <c r="I577" s="6">
        <v>6</v>
      </c>
      <c r="J577" s="9" t="str">
        <f>IFERROR(VLOOKUP($D577,FIYAT!$B:$O,9,FALSE()),"")</f>
        <v>Шт.</v>
      </c>
      <c r="K577" s="9" t="str">
        <f>IFERROR(VLOOKUP($D577,FIYAT!$B:$O,4,FALSE()),"")</f>
        <v>CHINT</v>
      </c>
      <c r="L577" s="9">
        <f t="shared" si="71"/>
        <v>19202.400000000001</v>
      </c>
      <c r="M577" s="9"/>
      <c r="N577" s="9"/>
      <c r="O577" s="9"/>
      <c r="P577" s="9" t="str">
        <f>IF($H577="","FIYAT_YOK",IFERROR(VLOOKUP($D577,FIYAT!$B:$P,15,FALSE()),""))</f>
        <v>OK</v>
      </c>
      <c r="Q577" s="9" t="s">
        <v>193</v>
      </c>
      <c r="R577" s="9" t="s">
        <v>171</v>
      </c>
      <c r="S577" s="9" t="s">
        <v>550</v>
      </c>
      <c r="T577" s="9" t="s">
        <v>51</v>
      </c>
      <c r="U577" s="9">
        <f>IFERROR(VLOOKUP($T577,KURALLAR!$A$32:$B$63,2,FALSE()),0)*IF(ISNUMBER($I577),$I577,0)</f>
        <v>48</v>
      </c>
    </row>
    <row r="578" spans="1:21" x14ac:dyDescent="0.25">
      <c r="A578" s="5">
        <v>577</v>
      </c>
      <c r="B578" s="5"/>
      <c r="C578" s="5" t="s">
        <v>192</v>
      </c>
      <c r="D578" s="5" t="s">
        <v>304</v>
      </c>
      <c r="E578" s="5" t="str">
        <f>IFERROR(VLOOKUP($D578,FIYAT!$B:$O,2,FALSE()),"")</f>
        <v>Авт. выкл. NXB-63 3P 16A 6кА х-ка C (R)</v>
      </c>
      <c r="F578" s="5">
        <f>IFERROR(VLOOKUP($D578,FIYAT!$B:$O,5,FALSE()),"")</f>
        <v>5462</v>
      </c>
      <c r="G578" s="5">
        <f>IFERROR(VLOOKUP($D578,FIYAT!$B:$O,8,FALSE()),"")</f>
        <v>3277.2</v>
      </c>
      <c r="H578" s="5">
        <f t="shared" si="70"/>
        <v>13108.8</v>
      </c>
      <c r="I578" s="6">
        <v>4</v>
      </c>
      <c r="J578" s="5" t="str">
        <f>IFERROR(VLOOKUP($D578,FIYAT!$B:$O,9,FALSE()),"")</f>
        <v>Шт.</v>
      </c>
      <c r="K578" s="5" t="str">
        <f>IFERROR(VLOOKUP($D578,FIYAT!$B:$O,4,FALSE()),"")</f>
        <v>CHINT</v>
      </c>
      <c r="L578" s="5">
        <f t="shared" si="71"/>
        <v>13108.8</v>
      </c>
      <c r="M578" s="5"/>
      <c r="N578" s="5"/>
      <c r="O578" s="5"/>
      <c r="P578" s="5" t="str">
        <f>IF($H578="","FIYAT_YOK",IFERROR(VLOOKUP($D578,FIYAT!$B:$P,15,FALSE()),""))</f>
        <v>OK</v>
      </c>
      <c r="Q578" s="5" t="s">
        <v>306</v>
      </c>
      <c r="R578" s="5" t="s">
        <v>171</v>
      </c>
      <c r="S578" s="5" t="s">
        <v>550</v>
      </c>
      <c r="T578" s="5" t="s">
        <v>51</v>
      </c>
      <c r="U578" s="5">
        <f>IFERROR(VLOOKUP($T578,KURALLAR!$A$32:$B$63,2,FALSE()),0)*IF(ISNUMBER($I578),$I578,0)</f>
        <v>32</v>
      </c>
    </row>
    <row r="579" spans="1:21" x14ac:dyDescent="0.25">
      <c r="A579" s="9">
        <v>578</v>
      </c>
      <c r="B579" s="9"/>
      <c r="C579" s="9" t="s">
        <v>192</v>
      </c>
      <c r="D579" s="9" t="s">
        <v>194</v>
      </c>
      <c r="E579" s="9" t="str">
        <f>IFERROR(VLOOKUP($D579,FIYAT!$B:$O,2,FALSE()),"")</f>
        <v>Авт. выкл. NXB-63 1P 16A 6кА х-ка C (R)</v>
      </c>
      <c r="F579" s="9">
        <f>IFERROR(VLOOKUP($D579,FIYAT!$B:$O,5,FALSE()),"")</f>
        <v>1389</v>
      </c>
      <c r="G579" s="9">
        <f>IFERROR(VLOOKUP($D579,FIYAT!$B:$O,8,FALSE()),"")</f>
        <v>833.4</v>
      </c>
      <c r="H579" s="9">
        <f t="shared" si="70"/>
        <v>5000.3999999999996</v>
      </c>
      <c r="I579" s="6">
        <v>6</v>
      </c>
      <c r="J579" s="9" t="str">
        <f>IFERROR(VLOOKUP($D579,FIYAT!$B:$O,9,FALSE()),"")</f>
        <v>Шт.</v>
      </c>
      <c r="K579" s="9" t="str">
        <f>IFERROR(VLOOKUP($D579,FIYAT!$B:$O,4,FALSE()),"")</f>
        <v>CHINT</v>
      </c>
      <c r="L579" s="9">
        <f t="shared" si="71"/>
        <v>5000.3999999999996</v>
      </c>
      <c r="M579" s="9"/>
      <c r="N579" s="9"/>
      <c r="O579" s="9"/>
      <c r="P579" s="9" t="str">
        <f>IF($H579="","FIYAT_YOK",IFERROR(VLOOKUP($D579,FIYAT!$B:$P,15,FALSE()),""))</f>
        <v>OK</v>
      </c>
      <c r="Q579" s="9" t="s">
        <v>196</v>
      </c>
      <c r="R579" s="9" t="s">
        <v>171</v>
      </c>
      <c r="S579" s="9" t="s">
        <v>550</v>
      </c>
      <c r="T579" s="9" t="s">
        <v>47</v>
      </c>
      <c r="U579" s="9">
        <f>IFERROR(VLOOKUP($T579,KURALLAR!$A$32:$B$63,2,FALSE()),0)*IF(ISNUMBER($I579),$I579,0)</f>
        <v>18</v>
      </c>
    </row>
    <row r="580" spans="1:21" x14ac:dyDescent="0.25">
      <c r="A580" s="5">
        <v>579</v>
      </c>
      <c r="B580" s="5"/>
      <c r="C580" s="5" t="s">
        <v>93</v>
      </c>
      <c r="D580" s="5" t="s">
        <v>341</v>
      </c>
      <c r="E580" s="5" t="str">
        <f>IFERROR(VLOOKUP($D580,FIYAT!$B:$O,2,FALSE()),"")</f>
        <v>Schneider Linergy DS — распределительный блок 4P 160A 48 отв.</v>
      </c>
      <c r="F580" s="5">
        <f>IFERROR(VLOOKUP($D580,FIYAT!$B:$O,5,FALSE()),"")</f>
        <v>0</v>
      </c>
      <c r="G580" s="5" t="str">
        <f>IFERROR(VLOOKUP($D580,FIYAT!$B:$O,8,FALSE()),"")</f>
        <v/>
      </c>
      <c r="H580" s="5" t="str">
        <f t="shared" si="70"/>
        <v/>
      </c>
      <c r="I580" s="6">
        <v>1</v>
      </c>
      <c r="J580" s="5" t="str">
        <f>IFERROR(VLOOKUP($D580,FIYAT!$B:$O,9,FALSE()),"")</f>
        <v>Шт.</v>
      </c>
      <c r="K580" s="5" t="str">
        <f>IFERROR(VLOOKUP($D580,FIYAT!$B:$O,4,FALSE()),"")</f>
        <v>SCHNEIDER</v>
      </c>
      <c r="L580" s="5" t="str">
        <f t="shared" si="71"/>
        <v/>
      </c>
      <c r="M580" s="5"/>
      <c r="N580" s="5"/>
      <c r="O580" s="5"/>
      <c r="P580" s="7" t="str">
        <f>IF($H580="","FIYAT_YOK",IFERROR(VLOOKUP($D580,FIYAT!$B:$P,15,FALSE()),""))</f>
        <v>FIYAT_YOK</v>
      </c>
      <c r="Q580" s="7" t="s">
        <v>343</v>
      </c>
      <c r="R580" s="5"/>
      <c r="S580" s="5" t="s">
        <v>550</v>
      </c>
      <c r="T580" s="5" t="s">
        <v>93</v>
      </c>
      <c r="U580" s="5">
        <f>IFERROR(VLOOKUP($T580,KURALLAR!$A$32:$B$63,2,FALSE()),0)*IF(ISNUMBER($I580),$I580,0)</f>
        <v>8</v>
      </c>
    </row>
    <row r="581" spans="1:21" x14ac:dyDescent="0.25">
      <c r="A581" s="9">
        <v>580</v>
      </c>
      <c r="B581" s="9"/>
      <c r="C581" s="9" t="s">
        <v>222</v>
      </c>
      <c r="D581" s="9" t="s">
        <v>307</v>
      </c>
      <c r="E581" s="9" t="str">
        <f>IFERROR(VLOOKUP($D581,FIYAT!$B:$O,2,FALSE()),"")</f>
        <v>Мет.Корпус ЩМП-5 (1000x650x300) IP31</v>
      </c>
      <c r="F581" s="9">
        <f>IFERROR(VLOOKUP($D581,FIYAT!$B:$O,5,FALSE()),"")</f>
        <v>38905</v>
      </c>
      <c r="G581" s="9">
        <f>IFERROR(VLOOKUP($D581,FIYAT!$B:$O,8,FALSE()),"")</f>
        <v>23343</v>
      </c>
      <c r="H581" s="9">
        <f t="shared" si="70"/>
        <v>23343</v>
      </c>
      <c r="I581" s="6">
        <v>1</v>
      </c>
      <c r="J581" s="9" t="str">
        <f>IFERROR(VLOOKUP($D581,FIYAT!$B:$O,9,FALSE()),"")</f>
        <v>Шт.</v>
      </c>
      <c r="K581" s="9" t="str">
        <f>IFERROR(VLOOKUP($D581,FIYAT!$B:$O,4,FALSE()),"")</f>
        <v>KAZTEK</v>
      </c>
      <c r="L581" s="9">
        <f t="shared" si="71"/>
        <v>23343</v>
      </c>
      <c r="M581" s="9"/>
      <c r="N581" s="9"/>
      <c r="O581" s="9"/>
      <c r="P581" s="9" t="str">
        <f>IF($H581="","FIYAT_YOK",IFERROR(VLOOKUP($D581,FIYAT!$B:$P,15,FALSE()),""))</f>
        <v>VARSAYIM</v>
      </c>
      <c r="Q581" s="9" t="s">
        <v>309</v>
      </c>
      <c r="R581" s="9" t="s">
        <v>211</v>
      </c>
      <c r="S581" s="9" t="s">
        <v>550</v>
      </c>
      <c r="T581" s="9" t="s">
        <v>105</v>
      </c>
      <c r="U581" s="9">
        <f>IFERROR(VLOOKUP($T581,KURALLAR!$A$32:$B$63,2,FALSE()),0)*IF(ISNUMBER($I581),$I581,0)</f>
        <v>30</v>
      </c>
    </row>
    <row r="582" spans="1:21" x14ac:dyDescent="0.25">
      <c r="A582" s="5">
        <v>581</v>
      </c>
      <c r="B582" s="5"/>
      <c r="C582" s="5" t="s">
        <v>215</v>
      </c>
      <c r="D582" s="5" t="s">
        <v>213</v>
      </c>
      <c r="E582" s="5" t="str">
        <f>IFERROR(VLOOKUP($D582,FIYAT!$B:$O,2,FALSE()),"")</f>
        <v>Монтажный расходный материал (кабель, DIN-рейка, кабель-канал, клеммы, маркировка, крепёж)</v>
      </c>
      <c r="F582" s="5">
        <f>IFERROR(VLOOKUP($D582,FIYAT!$B:$O,5,FALSE()),"")</f>
        <v>0</v>
      </c>
      <c r="G582" s="5" t="str">
        <f>IFERROR(VLOOKUP($D582,FIYAT!$B:$O,8,FALSE()),"")</f>
        <v/>
      </c>
      <c r="H582" s="5">
        <f>ROUND(SUM($H$566:$H$581)*KURALLAR!$B$28,0)</f>
        <v>10609</v>
      </c>
      <c r="I582" s="6">
        <v>1</v>
      </c>
      <c r="J582" s="5" t="str">
        <f>IFERROR(VLOOKUP($D582,FIYAT!$B:$O,9,FALSE()),"")</f>
        <v>компл.</v>
      </c>
      <c r="K582" s="5" t="str">
        <f>IFERROR(VLOOKUP($D582,FIYAT!$B:$O,4,FALSE()),"")</f>
        <v>MUADIL-NET</v>
      </c>
      <c r="L582" s="5">
        <f t="shared" si="71"/>
        <v>10609</v>
      </c>
      <c r="M582" s="5"/>
      <c r="N582" s="5"/>
      <c r="O582" s="5"/>
      <c r="P582" s="5" t="str">
        <f>IF($H582="","FIYAT_YOK",IFERROR(VLOOKUP($D582,FIYAT!$B:$P,15,FALSE()),""))</f>
        <v>ORAN</v>
      </c>
      <c r="Q582" s="5" t="s">
        <v>218</v>
      </c>
      <c r="R582" s="5" t="s">
        <v>217</v>
      </c>
      <c r="S582" s="5" t="s">
        <v>550</v>
      </c>
      <c r="T582" s="5"/>
      <c r="U582" s="5">
        <v>0</v>
      </c>
    </row>
    <row r="583" spans="1:21" x14ac:dyDescent="0.25">
      <c r="A583" s="9">
        <v>582</v>
      </c>
      <c r="B583" s="9"/>
      <c r="C583" s="9" t="s">
        <v>227</v>
      </c>
      <c r="D583" s="9" t="s">
        <v>225</v>
      </c>
      <c r="E583" s="9" t="str">
        <f>IFERROR(VLOOKUP($D583,FIYAT!$B:$O,2,FALSE()),"")</f>
        <v>Сборка, кабелирование, маркировка, момент затяжки, испытания</v>
      </c>
      <c r="F583" s="9">
        <f>IFERROR(VLOOKUP($D583,FIYAT!$B:$O,5,FALSE()),"")</f>
        <v>100</v>
      </c>
      <c r="G583" s="9">
        <f>IFERROR(VLOOKUP($D583,FIYAT!$B:$O,8,FALSE()),"")</f>
        <v>100</v>
      </c>
      <c r="H583" s="9">
        <f>IF(OR($G583="",$I583=""),"",$G583*$I583)</f>
        <v>30000</v>
      </c>
      <c r="I583" s="6">
        <f>ROUND(SUM($U$566:$U$582)*KURALLAR!$B$27,0)</f>
        <v>300</v>
      </c>
      <c r="J583" s="9" t="str">
        <f>IFERROR(VLOOKUP($D583,FIYAT!$B:$O,9,FALSE()),"")</f>
        <v>мин</v>
      </c>
      <c r="K583" s="9" t="str">
        <f>IFERROR(VLOOKUP($D583,FIYAT!$B:$O,4,FALSE()),"")</f>
        <v>ISCILIK</v>
      </c>
      <c r="L583" s="9">
        <f t="shared" si="71"/>
        <v>30000</v>
      </c>
      <c r="M583" s="9"/>
      <c r="N583" s="9"/>
      <c r="O583" s="9"/>
      <c r="P583" s="9" t="str">
        <f>IF($H583="","FIYAT_YOK",IFERROR(VLOOKUP($D583,FIYAT!$B:$P,15,FALSE()),""))</f>
        <v>OK</v>
      </c>
      <c r="Q583" s="9" t="str">
        <f>CONCATENATE("montaj+test iscilik: ",TEXT($I583,"# ##0")," dk = ",TEXT($I583/60,"0,00")," saat (norm x test/etiket carpani)")</f>
        <v>montaj+test iscilik:  300 dk = 5,00 saat (norm x test/etiket carpani)</v>
      </c>
      <c r="R583" s="9" t="s">
        <v>229</v>
      </c>
      <c r="S583" s="9" t="s">
        <v>550</v>
      </c>
      <c r="T583" s="9"/>
      <c r="U583" s="9">
        <v>0</v>
      </c>
    </row>
    <row r="584" spans="1:21" x14ac:dyDescent="0.25">
      <c r="A584" s="10">
        <v>583</v>
      </c>
      <c r="B584" s="10" t="s">
        <v>621</v>
      </c>
      <c r="C584" s="10"/>
      <c r="D584" s="10"/>
      <c r="E584" s="10"/>
      <c r="F584" s="10"/>
      <c r="G584" s="10"/>
      <c r="H584" s="10">
        <f>SUBTOTAL(9,H566:H583)</f>
        <v>192167.8</v>
      </c>
      <c r="I584" s="10"/>
      <c r="J584" s="10"/>
      <c r="K584" s="10"/>
      <c r="L584" s="10">
        <f>SUBTOTAL(9,L566:L583)</f>
        <v>192167.8</v>
      </c>
      <c r="M584" s="10"/>
      <c r="N584" s="10"/>
      <c r="O584" s="10"/>
      <c r="P584" s="10"/>
      <c r="Q584" s="10"/>
      <c r="R584" s="10"/>
      <c r="S584" s="10"/>
      <c r="T584" s="10"/>
      <c r="U584" s="10">
        <f>SUBTOTAL(9,U566:U583)</f>
        <v>261</v>
      </c>
    </row>
    <row r="585" spans="1:21" x14ac:dyDescent="0.25">
      <c r="A585" s="8">
        <v>584</v>
      </c>
      <c r="B585" s="8" t="str">
        <f>E585</f>
        <v>BLOK A / ЭЩА-B1 — НКУ 380/220В 50Гц, FORM 2B, IP31/54</v>
      </c>
      <c r="C585" s="8" t="s">
        <v>545</v>
      </c>
      <c r="D585" s="8"/>
      <c r="E585" s="8" t="s">
        <v>622</v>
      </c>
      <c r="F585" s="8"/>
      <c r="G585" s="8"/>
      <c r="H585" s="8"/>
      <c r="I585" s="8">
        <v>1</v>
      </c>
      <c r="J585" s="8" t="s">
        <v>547</v>
      </c>
      <c r="K585" s="8"/>
      <c r="L585" s="8"/>
      <c r="M585" s="8"/>
      <c r="N585" s="8"/>
      <c r="O585" s="8"/>
      <c r="P585" s="8" t="s">
        <v>178</v>
      </c>
      <c r="Q585" s="8" t="s">
        <v>548</v>
      </c>
      <c r="R585" s="8" t="s">
        <v>549</v>
      </c>
      <c r="S585" s="8" t="s">
        <v>550</v>
      </c>
      <c r="T585" s="8"/>
      <c r="U585" s="8"/>
    </row>
    <row r="586" spans="1:21" x14ac:dyDescent="0.25">
      <c r="A586" s="5">
        <v>585</v>
      </c>
      <c r="B586" s="5"/>
      <c r="C586" s="5" t="s">
        <v>169</v>
      </c>
      <c r="D586" s="5" t="s">
        <v>167</v>
      </c>
      <c r="E586" s="5" t="str">
        <f>IFERROR(VLOOKUP($D586,FIYAT!$B:$O,2,FALSE()),"")</f>
        <v>Авт. выкл. NM8N-125C TM 3P 32А 36кА с рег. термомаг. расцепителем (R)</v>
      </c>
      <c r="F586" s="5">
        <f>IFERROR(VLOOKUP($D586,FIYAT!$B:$O,5,FALSE()),"")</f>
        <v>64667</v>
      </c>
      <c r="G586" s="5">
        <f>IFERROR(VLOOKUP($D586,FIYAT!$B:$O,8,FALSE()),"")</f>
        <v>38800.199999999997</v>
      </c>
      <c r="H586" s="5">
        <f t="shared" ref="H586:H599" si="72">IF(OR($G586="",$I586=""),"",$G586*$I586)</f>
        <v>38800.199999999997</v>
      </c>
      <c r="I586" s="6">
        <v>1</v>
      </c>
      <c r="J586" s="5" t="str">
        <f>IFERROR(VLOOKUP($D586,FIYAT!$B:$O,9,FALSE()),"")</f>
        <v>Шт.</v>
      </c>
      <c r="K586" s="5" t="str">
        <f>IFERROR(VLOOKUP($D586,FIYAT!$B:$O,4,FALSE()),"")</f>
        <v>CHINT</v>
      </c>
      <c r="L586" s="5">
        <f t="shared" ref="L586:L601" si="73">IF($H586="","",$H586)</f>
        <v>38800.199999999997</v>
      </c>
      <c r="M586" s="5"/>
      <c r="N586" s="5"/>
      <c r="O586" s="5"/>
      <c r="P586" s="5" t="str">
        <f>IF($H586="","FIYAT_YOK",IFERROR(VLOOKUP($D586,FIYAT!$B:$P,15,FALSE()),""))</f>
        <v>MUADIL</v>
      </c>
      <c r="Q586" s="5" t="s">
        <v>172</v>
      </c>
      <c r="R586" s="5" t="s">
        <v>171</v>
      </c>
      <c r="S586" s="5" t="s">
        <v>550</v>
      </c>
      <c r="T586" s="5" t="s">
        <v>61</v>
      </c>
      <c r="U586" s="5">
        <f>IFERROR(VLOOKUP($T586,KURALLAR!$A$32:$B$63,2,FALSE()),0)*IF(ISNUMBER($I586),$I586,0)</f>
        <v>15</v>
      </c>
    </row>
    <row r="587" spans="1:21" x14ac:dyDescent="0.25">
      <c r="A587" s="9">
        <v>586</v>
      </c>
      <c r="B587" s="9"/>
      <c r="C587" s="9" t="s">
        <v>93</v>
      </c>
      <c r="D587" s="9" t="s">
        <v>329</v>
      </c>
      <c r="E587" s="9" t="str">
        <f>IFERROR(VLOOKUP($D587,FIYAT!$B:$O,2,FALSE()),"")</f>
        <v>Независимый расцепитель SHT21-M8 AC220-240V для NM8N-125 (R)</v>
      </c>
      <c r="F587" s="9">
        <f>IFERROR(VLOOKUP($D587,FIYAT!$B:$O,5,FALSE()),"")</f>
        <v>19243</v>
      </c>
      <c r="G587" s="9">
        <f>IFERROR(VLOOKUP($D587,FIYAT!$B:$O,8,FALSE()),"")</f>
        <v>11545.8</v>
      </c>
      <c r="H587" s="9">
        <f t="shared" si="72"/>
        <v>11545.8</v>
      </c>
      <c r="I587" s="6">
        <v>1</v>
      </c>
      <c r="J587" s="9" t="str">
        <f>IFERROR(VLOOKUP($D587,FIYAT!$B:$O,9,FALSE()),"")</f>
        <v>Шт.</v>
      </c>
      <c r="K587" s="9" t="str">
        <f>IFERROR(VLOOKUP($D587,FIYAT!$B:$O,4,FALSE()),"")</f>
        <v>CHINT</v>
      </c>
      <c r="L587" s="9">
        <f t="shared" si="73"/>
        <v>11545.8</v>
      </c>
      <c r="M587" s="9"/>
      <c r="N587" s="9"/>
      <c r="O587" s="9"/>
      <c r="P587" s="9" t="str">
        <f>IF($H587="","FIYAT_YOK",IFERROR(VLOOKUP($D587,FIYAT!$B:$P,15,FALSE()),""))</f>
        <v>OK</v>
      </c>
      <c r="Q587" s="9" t="s">
        <v>331</v>
      </c>
      <c r="R587" s="9" t="s">
        <v>184</v>
      </c>
      <c r="S587" s="9" t="s">
        <v>550</v>
      </c>
      <c r="T587" s="9" t="s">
        <v>95</v>
      </c>
      <c r="U587" s="9">
        <f>IFERROR(VLOOKUP($T587,KURALLAR!$A$32:$B$63,2,FALSE()),0)*IF(ISNUMBER($I587),$I587,0)</f>
        <v>10</v>
      </c>
    </row>
    <row r="588" spans="1:21" x14ac:dyDescent="0.25">
      <c r="A588" s="5">
        <v>587</v>
      </c>
      <c r="B588" s="5"/>
      <c r="C588" s="5" t="s">
        <v>79</v>
      </c>
      <c r="D588" s="5" t="s">
        <v>179</v>
      </c>
      <c r="E588" s="5" t="str">
        <f>IFERROR(VLOOKUP($D588,FIYAT!$B:$O,2,FALSE()),"")</f>
        <v>Держатель плавкой вставки RT36-00-160, габарит 00, 160А</v>
      </c>
      <c r="F588" s="5">
        <f>IFERROR(VLOOKUP($D588,FIYAT!$B:$O,5,FALSE()),"")</f>
        <v>2038</v>
      </c>
      <c r="G588" s="5">
        <f>IFERROR(VLOOKUP($D588,FIYAT!$B:$O,8,FALSE()),"")</f>
        <v>1222.8</v>
      </c>
      <c r="H588" s="5">
        <f t="shared" si="72"/>
        <v>4891.2</v>
      </c>
      <c r="I588" s="6">
        <v>4</v>
      </c>
      <c r="J588" s="5" t="str">
        <f>IFERROR(VLOOKUP($D588,FIYAT!$B:$O,9,FALSE()),"")</f>
        <v>Шт.</v>
      </c>
      <c r="K588" s="5" t="str">
        <f>IFERROR(VLOOKUP($D588,FIYAT!$B:$O,4,FALSE()),"")</f>
        <v>CHINT</v>
      </c>
      <c r="L588" s="5">
        <f t="shared" si="73"/>
        <v>4891.2</v>
      </c>
      <c r="M588" s="5"/>
      <c r="N588" s="5"/>
      <c r="O588" s="5"/>
      <c r="P588" s="5" t="str">
        <f>IF($H588="","FIYAT_YOK",IFERROR(VLOOKUP($D588,FIYAT!$B:$P,15,FALSE()),""))</f>
        <v>MUADIL</v>
      </c>
      <c r="Q588" s="5" t="s">
        <v>181</v>
      </c>
      <c r="R588" s="5" t="s">
        <v>171</v>
      </c>
      <c r="S588" s="5" t="s">
        <v>550</v>
      </c>
      <c r="T588" s="5" t="s">
        <v>77</v>
      </c>
      <c r="U588" s="5">
        <f>IFERROR(VLOOKUP($T588,KURALLAR!$A$32:$B$63,2,FALSE()),0)*IF(ISNUMBER($I588),$I588,0)</f>
        <v>20</v>
      </c>
    </row>
    <row r="589" spans="1:21" x14ac:dyDescent="0.25">
      <c r="A589" s="9">
        <v>588</v>
      </c>
      <c r="B589" s="9"/>
      <c r="C589" s="9" t="s">
        <v>79</v>
      </c>
      <c r="D589" s="9" t="s">
        <v>182</v>
      </c>
      <c r="E589" s="9" t="str">
        <f>IFERROR(VLOOKUP($D589,FIYAT!$B:$O,2,FALSE()),"")</f>
        <v>Плавкая вставка предохранителя RT36-00-160, габарит 00, 63А</v>
      </c>
      <c r="F589" s="9">
        <f>IFERROR(VLOOKUP($D589,FIYAT!$B:$O,5,FALSE()),"")</f>
        <v>1525</v>
      </c>
      <c r="G589" s="9">
        <f>IFERROR(VLOOKUP($D589,FIYAT!$B:$O,8,FALSE()),"")</f>
        <v>915</v>
      </c>
      <c r="H589" s="9">
        <f t="shared" si="72"/>
        <v>3660</v>
      </c>
      <c r="I589" s="6">
        <v>4</v>
      </c>
      <c r="J589" s="9" t="str">
        <f>IFERROR(VLOOKUP($D589,FIYAT!$B:$O,9,FALSE()),"")</f>
        <v>Шт.</v>
      </c>
      <c r="K589" s="9" t="str">
        <f>IFERROR(VLOOKUP($D589,FIYAT!$B:$O,4,FALSE()),"")</f>
        <v>CHINT</v>
      </c>
      <c r="L589" s="9">
        <f t="shared" si="73"/>
        <v>3660</v>
      </c>
      <c r="M589" s="9"/>
      <c r="N589" s="9"/>
      <c r="O589" s="9"/>
      <c r="P589" s="9" t="str">
        <f>IF($H589="","FIYAT_YOK",IFERROR(VLOOKUP($D589,FIYAT!$B:$P,15,FALSE()),""))</f>
        <v>MUADIL</v>
      </c>
      <c r="Q589" s="9" t="s">
        <v>185</v>
      </c>
      <c r="R589" s="9" t="s">
        <v>184</v>
      </c>
      <c r="S589" s="9" t="s">
        <v>550</v>
      </c>
      <c r="T589" s="9" t="s">
        <v>79</v>
      </c>
      <c r="U589" s="9">
        <f>IFERROR(VLOOKUP($T589,KURALLAR!$A$32:$B$63,2,FALSE()),0)*IF(ISNUMBER($I589),$I589,0)</f>
        <v>12</v>
      </c>
    </row>
    <row r="590" spans="1:21" x14ac:dyDescent="0.25">
      <c r="A590" s="5">
        <v>589</v>
      </c>
      <c r="B590" s="5"/>
      <c r="C590" s="5" t="s">
        <v>75</v>
      </c>
      <c r="D590" s="5" t="s">
        <v>186</v>
      </c>
      <c r="E590" s="5" t="str">
        <f>IFERROR(VLOOKUP($D590,FIYAT!$B:$O,2,FALSE()),"")</f>
        <v>Ограничитель имп. перенапр. NU6-IIG 4Р In=25kA Uc=440B Im=65kA (R)</v>
      </c>
      <c r="F590" s="5">
        <f>IFERROR(VLOOKUP($D590,FIYAT!$B:$O,5,FALSE()),"")</f>
        <v>33208</v>
      </c>
      <c r="G590" s="5">
        <f>IFERROR(VLOOKUP($D590,FIYAT!$B:$O,8,FALSE()),"")</f>
        <v>19924.8</v>
      </c>
      <c r="H590" s="5">
        <f t="shared" si="72"/>
        <v>19924.8</v>
      </c>
      <c r="I590" s="6">
        <v>1</v>
      </c>
      <c r="J590" s="5" t="str">
        <f>IFERROR(VLOOKUP($D590,FIYAT!$B:$O,9,FALSE()),"")</f>
        <v>Шт.</v>
      </c>
      <c r="K590" s="5" t="str">
        <f>IFERROR(VLOOKUP($D590,FIYAT!$B:$O,4,FALSE()),"")</f>
        <v>CHINT</v>
      </c>
      <c r="L590" s="5">
        <f t="shared" si="73"/>
        <v>19924.8</v>
      </c>
      <c r="M590" s="5"/>
      <c r="N590" s="5"/>
      <c r="O590" s="5"/>
      <c r="P590" s="5" t="str">
        <f>IF($H590="","FIYAT_YOK",IFERROR(VLOOKUP($D590,FIYAT!$B:$P,15,FALSE()),""))</f>
        <v>MUADIL_ONAY</v>
      </c>
      <c r="Q590" s="5" t="s">
        <v>188</v>
      </c>
      <c r="R590" s="5" t="s">
        <v>184</v>
      </c>
      <c r="S590" s="5" t="s">
        <v>550</v>
      </c>
      <c r="T590" s="5" t="s">
        <v>75</v>
      </c>
      <c r="U590" s="5">
        <f>IFERROR(VLOOKUP($T590,KURALLAR!$A$32:$B$63,2,FALSE()),0)*IF(ISNUMBER($I590),$I590,0)</f>
        <v>10</v>
      </c>
    </row>
    <row r="591" spans="1:21" x14ac:dyDescent="0.25">
      <c r="A591" s="9">
        <v>590</v>
      </c>
      <c r="B591" s="9"/>
      <c r="C591" s="9" t="s">
        <v>192</v>
      </c>
      <c r="D591" s="9" t="s">
        <v>238</v>
      </c>
      <c r="E591" s="9" t="str">
        <f>IFERROR(VLOOKUP($D591,FIYAT!$B:$O,2,FALSE()),"")</f>
        <v>Авт. выкл. NXB-63 1P 6A 6кА х-ка C (R)</v>
      </c>
      <c r="F591" s="9">
        <f>IFERROR(VLOOKUP($D591,FIYAT!$B:$O,5,FALSE()),"")</f>
        <v>1436</v>
      </c>
      <c r="G591" s="9">
        <f>IFERROR(VLOOKUP($D591,FIYAT!$B:$O,8,FALSE()),"")</f>
        <v>861.6</v>
      </c>
      <c r="H591" s="9">
        <f t="shared" si="72"/>
        <v>3446.4</v>
      </c>
      <c r="I591" s="6">
        <v>4</v>
      </c>
      <c r="J591" s="9" t="str">
        <f>IFERROR(VLOOKUP($D591,FIYAT!$B:$O,9,FALSE()),"")</f>
        <v>Шт.</v>
      </c>
      <c r="K591" s="9" t="str">
        <f>IFERROR(VLOOKUP($D591,FIYAT!$B:$O,4,FALSE()),"")</f>
        <v>CHINT</v>
      </c>
      <c r="L591" s="9">
        <f t="shared" si="73"/>
        <v>3446.4</v>
      </c>
      <c r="M591" s="9"/>
      <c r="N591" s="9"/>
      <c r="O591" s="9"/>
      <c r="P591" s="9" t="str">
        <f>IF($H591="","FIYAT_YOK",IFERROR(VLOOKUP($D591,FIYAT!$B:$P,15,FALSE()),""))</f>
        <v>OK</v>
      </c>
      <c r="Q591" s="9" t="s">
        <v>240</v>
      </c>
      <c r="R591" s="9" t="s">
        <v>171</v>
      </c>
      <c r="S591" s="9" t="s">
        <v>550</v>
      </c>
      <c r="T591" s="9" t="s">
        <v>47</v>
      </c>
      <c r="U591" s="9">
        <f>IFERROR(VLOOKUP($T591,KURALLAR!$A$32:$B$63,2,FALSE()),0)*IF(ISNUMBER($I591),$I591,0)</f>
        <v>12</v>
      </c>
    </row>
    <row r="592" spans="1:21" x14ac:dyDescent="0.25">
      <c r="A592" s="5">
        <v>591</v>
      </c>
      <c r="B592" s="5"/>
      <c r="C592" s="5" t="s">
        <v>89</v>
      </c>
      <c r="D592" s="5" t="s">
        <v>241</v>
      </c>
      <c r="E592" s="5" t="str">
        <f>IFERROR(VLOOKUP($D592,FIYAT!$B:$O,2,FALSE()),"")</f>
        <v>Индикатор ND16-22DS/4 белый АС230В (R)</v>
      </c>
      <c r="F592" s="5">
        <f>IFERROR(VLOOKUP($D592,FIYAT!$B:$O,5,FALSE()),"")</f>
        <v>1047</v>
      </c>
      <c r="G592" s="5">
        <f>IFERROR(VLOOKUP($D592,FIYAT!$B:$O,8,FALSE()),"")</f>
        <v>628.19999999999993</v>
      </c>
      <c r="H592" s="5">
        <f t="shared" si="72"/>
        <v>1884.6</v>
      </c>
      <c r="I592" s="6">
        <v>3</v>
      </c>
      <c r="J592" s="5" t="str">
        <f>IFERROR(VLOOKUP($D592,FIYAT!$B:$O,9,FALSE()),"")</f>
        <v>Шт.</v>
      </c>
      <c r="K592" s="5" t="str">
        <f>IFERROR(VLOOKUP($D592,FIYAT!$B:$O,4,FALSE()),"")</f>
        <v>CHINT</v>
      </c>
      <c r="L592" s="5">
        <f t="shared" si="73"/>
        <v>1884.6</v>
      </c>
      <c r="M592" s="5"/>
      <c r="N592" s="5"/>
      <c r="O592" s="5"/>
      <c r="P592" s="5" t="str">
        <f>IF($H592="","FIYAT_YOK",IFERROR(VLOOKUP($D592,FIYAT!$B:$P,15,FALSE()),""))</f>
        <v>OK</v>
      </c>
      <c r="Q592" s="5" t="s">
        <v>243</v>
      </c>
      <c r="R592" s="5" t="s">
        <v>184</v>
      </c>
      <c r="S592" s="5" t="s">
        <v>550</v>
      </c>
      <c r="T592" s="5" t="s">
        <v>89</v>
      </c>
      <c r="U592" s="5">
        <f>IFERROR(VLOOKUP($T592,KURALLAR!$A$32:$B$63,2,FALSE()),0)*IF(ISNUMBER($I592),$I592,0)</f>
        <v>12</v>
      </c>
    </row>
    <row r="593" spans="1:21" x14ac:dyDescent="0.25">
      <c r="A593" s="9">
        <v>592</v>
      </c>
      <c r="B593" s="9"/>
      <c r="C593" s="9" t="s">
        <v>87</v>
      </c>
      <c r="D593" s="9" t="s">
        <v>270</v>
      </c>
      <c r="E593" s="9" t="str">
        <f>IFERROR(VLOOKUP($D593,FIYAT!$B:$O,2,FALSE()),"")</f>
        <v>Реле защиты от утечки тока с LCD индикацией (регулируемое) — CHINT листинге нет</v>
      </c>
      <c r="F593" s="9">
        <f>IFERROR(VLOOKUP($D593,FIYAT!$B:$O,5,FALSE()),"")</f>
        <v>0</v>
      </c>
      <c r="G593" s="9" t="str">
        <f>IFERROR(VLOOKUP($D593,FIYAT!$B:$O,8,FALSE()),"")</f>
        <v/>
      </c>
      <c r="H593" s="9" t="str">
        <f t="shared" si="72"/>
        <v/>
      </c>
      <c r="I593" s="6">
        <v>1</v>
      </c>
      <c r="J593" s="9" t="str">
        <f>IFERROR(VLOOKUP($D593,FIYAT!$B:$O,9,FALSE()),"")</f>
        <v>Шт.</v>
      </c>
      <c r="K593" s="9" t="str">
        <f>IFERROR(VLOOKUP($D593,FIYAT!$B:$O,4,FALSE()),"")</f>
        <v>MUADIL-NET</v>
      </c>
      <c r="L593" s="9" t="str">
        <f t="shared" si="73"/>
        <v/>
      </c>
      <c r="M593" s="9"/>
      <c r="N593" s="9"/>
      <c r="O593" s="9"/>
      <c r="P593" s="7" t="str">
        <f>IF($H593="","FIYAT_YOK",IFERROR(VLOOKUP($D593,FIYAT!$B:$P,15,FALSE()),""))</f>
        <v>FIYAT_YOK</v>
      </c>
      <c r="Q593" s="7" t="s">
        <v>272</v>
      </c>
      <c r="R593" s="9"/>
      <c r="S593" s="9" t="s">
        <v>550</v>
      </c>
      <c r="T593" s="9" t="s">
        <v>87</v>
      </c>
      <c r="U593" s="9">
        <f>IFERROR(VLOOKUP($T593,KURALLAR!$A$32:$B$63,2,FALSE()),0)*IF(ISNUMBER($I593),$I593,0)</f>
        <v>8</v>
      </c>
    </row>
    <row r="594" spans="1:21" x14ac:dyDescent="0.25">
      <c r="A594" s="5">
        <v>593</v>
      </c>
      <c r="B594" s="5"/>
      <c r="C594" s="5" t="s">
        <v>83</v>
      </c>
      <c r="D594" s="5" t="s">
        <v>332</v>
      </c>
      <c r="E594" s="5" t="str">
        <f>IFERROR(VLOOKUP($D594,FIYAT!$B:$O,2,FALSE()),"")</f>
        <v>Тороидальный трансформатор тока Ø45мм (16-100A) — CHINT листинге нет</v>
      </c>
      <c r="F594" s="5">
        <f>IFERROR(VLOOKUP($D594,FIYAT!$B:$O,5,FALSE()),"")</f>
        <v>0</v>
      </c>
      <c r="G594" s="5" t="str">
        <f>IFERROR(VLOOKUP($D594,FIYAT!$B:$O,8,FALSE()),"")</f>
        <v/>
      </c>
      <c r="H594" s="5" t="str">
        <f t="shared" si="72"/>
        <v/>
      </c>
      <c r="I594" s="6">
        <v>1</v>
      </c>
      <c r="J594" s="5" t="str">
        <f>IFERROR(VLOOKUP($D594,FIYAT!$B:$O,9,FALSE()),"")</f>
        <v>Шт.</v>
      </c>
      <c r="K594" s="5" t="str">
        <f>IFERROR(VLOOKUP($D594,FIYAT!$B:$O,4,FALSE()),"")</f>
        <v>MUADIL-NET</v>
      </c>
      <c r="L594" s="5" t="str">
        <f t="shared" si="73"/>
        <v/>
      </c>
      <c r="M594" s="5"/>
      <c r="N594" s="5"/>
      <c r="O594" s="5"/>
      <c r="P594" s="7" t="str">
        <f>IF($H594="","FIYAT_YOK",IFERROR(VLOOKUP($D594,FIYAT!$B:$P,15,FALSE()),""))</f>
        <v>FIYAT_YOK</v>
      </c>
      <c r="Q594" s="7" t="s">
        <v>334</v>
      </c>
      <c r="R594" s="5"/>
      <c r="S594" s="5" t="s">
        <v>550</v>
      </c>
      <c r="T594" s="5" t="s">
        <v>83</v>
      </c>
      <c r="U594" s="5">
        <f>IFERROR(VLOOKUP($T594,KURALLAR!$A$32:$B$63,2,FALSE()),0)*IF(ISNUMBER($I594),$I594,0)</f>
        <v>10</v>
      </c>
    </row>
    <row r="595" spans="1:21" x14ac:dyDescent="0.25">
      <c r="A595" s="9">
        <v>594</v>
      </c>
      <c r="B595" s="9"/>
      <c r="C595" s="9" t="s">
        <v>169</v>
      </c>
      <c r="D595" s="9" t="s">
        <v>319</v>
      </c>
      <c r="E595" s="9" t="str">
        <f>IFERROR(VLOOKUP($D595,FIYAT!$B:$O,2,FALSE()),"")</f>
        <v>Авт. выкл. NM8N-125C TM 3P 16А 36кА с рег. термомаг. расцепителем (R)</v>
      </c>
      <c r="F595" s="9">
        <f>IFERROR(VLOOKUP($D595,FIYAT!$B:$O,5,FALSE()),"")</f>
        <v>65019</v>
      </c>
      <c r="G595" s="9">
        <f>IFERROR(VLOOKUP($D595,FIYAT!$B:$O,8,FALSE()),"")</f>
        <v>39011.4</v>
      </c>
      <c r="H595" s="9">
        <f t="shared" si="72"/>
        <v>117034.20000000001</v>
      </c>
      <c r="I595" s="6">
        <v>3</v>
      </c>
      <c r="J595" s="9" t="str">
        <f>IFERROR(VLOOKUP($D595,FIYAT!$B:$O,9,FALSE()),"")</f>
        <v>Шт.</v>
      </c>
      <c r="K595" s="9" t="str">
        <f>IFERROR(VLOOKUP($D595,FIYAT!$B:$O,4,FALSE()),"")</f>
        <v>CHINT</v>
      </c>
      <c r="L595" s="9">
        <f t="shared" si="73"/>
        <v>117034.20000000001</v>
      </c>
      <c r="M595" s="9"/>
      <c r="N595" s="9"/>
      <c r="O595" s="9"/>
      <c r="P595" s="9" t="str">
        <f>IF($H595="","FIYAT_YOK",IFERROR(VLOOKUP($D595,FIYAT!$B:$P,15,FALSE()),""))</f>
        <v>MUADIL</v>
      </c>
      <c r="Q595" s="9" t="s">
        <v>172</v>
      </c>
      <c r="R595" s="9" t="s">
        <v>171</v>
      </c>
      <c r="S595" s="9" t="s">
        <v>550</v>
      </c>
      <c r="T595" s="9" t="s">
        <v>61</v>
      </c>
      <c r="U595" s="9">
        <f>IFERROR(VLOOKUP($T595,KURALLAR!$A$32:$B$63,2,FALSE()),0)*IF(ISNUMBER($I595),$I595,0)</f>
        <v>45</v>
      </c>
    </row>
    <row r="596" spans="1:21" x14ac:dyDescent="0.25">
      <c r="A596" s="5">
        <v>595</v>
      </c>
      <c r="B596" s="5"/>
      <c r="C596" s="5" t="s">
        <v>192</v>
      </c>
      <c r="D596" s="5" t="s">
        <v>344</v>
      </c>
      <c r="E596" s="5" t="str">
        <f>IFERROR(VLOOKUP($D596,FIYAT!$B:$O,2,FALSE()),"")</f>
        <v>Авт. выкл. NXB-63 3P 20A 6кА х-ка C (R)</v>
      </c>
      <c r="F596" s="5">
        <f>IFERROR(VLOOKUP($D596,FIYAT!$B:$O,5,FALSE()),"")</f>
        <v>5884</v>
      </c>
      <c r="G596" s="5">
        <f>IFERROR(VLOOKUP($D596,FIYAT!$B:$O,8,FALSE()),"")</f>
        <v>3530.4</v>
      </c>
      <c r="H596" s="5">
        <f t="shared" si="72"/>
        <v>10591.2</v>
      </c>
      <c r="I596" s="6">
        <v>3</v>
      </c>
      <c r="J596" s="5" t="str">
        <f>IFERROR(VLOOKUP($D596,FIYAT!$B:$O,9,FALSE()),"")</f>
        <v>Шт.</v>
      </c>
      <c r="K596" s="5" t="str">
        <f>IFERROR(VLOOKUP($D596,FIYAT!$B:$O,4,FALSE()),"")</f>
        <v>CHINT</v>
      </c>
      <c r="L596" s="5">
        <f t="shared" si="73"/>
        <v>10591.2</v>
      </c>
      <c r="M596" s="5"/>
      <c r="N596" s="5"/>
      <c r="O596" s="5"/>
      <c r="P596" s="5" t="str">
        <f>IF($H596="","FIYAT_YOK",IFERROR(VLOOKUP($D596,FIYAT!$B:$P,15,FALSE()),""))</f>
        <v>OK</v>
      </c>
      <c r="Q596" s="5" t="s">
        <v>346</v>
      </c>
      <c r="R596" s="5" t="s">
        <v>184</v>
      </c>
      <c r="S596" s="5" t="s">
        <v>550</v>
      </c>
      <c r="T596" s="5" t="s">
        <v>51</v>
      </c>
      <c r="U596" s="5">
        <f>IFERROR(VLOOKUP($T596,KURALLAR!$A$32:$B$63,2,FALSE()),0)*IF(ISNUMBER($I596),$I596,0)</f>
        <v>24</v>
      </c>
    </row>
    <row r="597" spans="1:21" x14ac:dyDescent="0.25">
      <c r="A597" s="9">
        <v>596</v>
      </c>
      <c r="B597" s="9"/>
      <c r="C597" s="9" t="s">
        <v>169</v>
      </c>
      <c r="D597" s="9" t="s">
        <v>347</v>
      </c>
      <c r="E597" s="9" t="str">
        <f>IFERROR(VLOOKUP($D597,FIYAT!$B:$O,2,FALSE()),"")</f>
        <v>Пускатель NS2-25 13-18A (R)</v>
      </c>
      <c r="F597" s="9">
        <f>IFERROR(VLOOKUP($D597,FIYAT!$B:$O,5,FALSE()),"")</f>
        <v>13798</v>
      </c>
      <c r="G597" s="9">
        <f>IFERROR(VLOOKUP($D597,FIYAT!$B:$O,8,FALSE()),"")</f>
        <v>8278.7999999999993</v>
      </c>
      <c r="H597" s="9">
        <f t="shared" si="72"/>
        <v>24836.399999999998</v>
      </c>
      <c r="I597" s="6">
        <v>3</v>
      </c>
      <c r="J597" s="9" t="str">
        <f>IFERROR(VLOOKUP($D597,FIYAT!$B:$O,9,FALSE()),"")</f>
        <v>Шт.</v>
      </c>
      <c r="K597" s="9" t="str">
        <f>IFERROR(VLOOKUP($D597,FIYAT!$B:$O,4,FALSE()),"")</f>
        <v>CHINT</v>
      </c>
      <c r="L597" s="9">
        <f t="shared" si="73"/>
        <v>24836.399999999998</v>
      </c>
      <c r="M597" s="9"/>
      <c r="N597" s="9"/>
      <c r="O597" s="9"/>
      <c r="P597" s="9" t="str">
        <f>IF($H597="","FIYAT_YOK",IFERROR(VLOOKUP($D597,FIYAT!$B:$P,15,FALSE()),""))</f>
        <v>MUADIL</v>
      </c>
      <c r="Q597" s="9" t="s">
        <v>349</v>
      </c>
      <c r="R597" s="9" t="s">
        <v>171</v>
      </c>
      <c r="S597" s="9" t="s">
        <v>550</v>
      </c>
      <c r="T597" s="9" t="s">
        <v>71</v>
      </c>
      <c r="U597" s="9">
        <f>IFERROR(VLOOKUP($T597,KURALLAR!$A$32:$B$63,2,FALSE()),0)*IF(ISNUMBER($I597),$I597,0)</f>
        <v>36</v>
      </c>
    </row>
    <row r="598" spans="1:21" x14ac:dyDescent="0.25">
      <c r="A598" s="5">
        <v>597</v>
      </c>
      <c r="B598" s="5"/>
      <c r="C598" s="5" t="s">
        <v>253</v>
      </c>
      <c r="D598" s="5" t="s">
        <v>251</v>
      </c>
      <c r="E598" s="5" t="str">
        <f>IFERROR(VLOOKUP($D598,FIYAT!$B:$O,2,FALSE()),"")</f>
        <v>Шина алюминиевая твёрдая (ШАТ)</v>
      </c>
      <c r="F598" s="5">
        <f>IFERROR(VLOOKUP($D598,FIYAT!$B:$O,5,FALSE()),"")</f>
        <v>4493.5999999999995</v>
      </c>
      <c r="G598" s="5">
        <f>IFERROR(VLOOKUP($D598,FIYAT!$B:$O,8,FALSE()),"")</f>
        <v>4493.5999999999995</v>
      </c>
      <c r="H598" s="5">
        <f t="shared" si="72"/>
        <v>125820.79999999999</v>
      </c>
      <c r="I598" s="6">
        <v>28</v>
      </c>
      <c r="J598" s="5" t="str">
        <f>IFERROR(VLOOKUP($D598,FIYAT!$B:$O,9,FALSE()),"")</f>
        <v>Кг.</v>
      </c>
      <c r="K598" s="5" t="str">
        <f>IFERROR(VLOOKUP($D598,FIYAT!$B:$O,4,FALSE()),"")</f>
        <v>ALUM-BARA</v>
      </c>
      <c r="L598" s="5">
        <f t="shared" si="73"/>
        <v>125820.79999999999</v>
      </c>
      <c r="M598" s="5"/>
      <c r="N598" s="5"/>
      <c r="O598" s="5"/>
      <c r="P598" s="5" t="str">
        <f>IF($H598="","FIYAT_YOK",IFERROR(VLOOKUP($D598,FIYAT!$B:$P,15,FALSE()),""))</f>
        <v>VARSAYIM</v>
      </c>
      <c r="Q598" s="5" t="s">
        <v>255</v>
      </c>
      <c r="R598" s="5"/>
      <c r="S598" s="5" t="s">
        <v>550</v>
      </c>
      <c r="T598" s="5" t="s">
        <v>101</v>
      </c>
      <c r="U598" s="5">
        <f>IFERROR(VLOOKUP($T598,KURALLAR!$A$32:$B$63,2,FALSE()),0)*IF(ISNUMBER($I598),$I598,0)</f>
        <v>168</v>
      </c>
    </row>
    <row r="599" spans="1:21" x14ac:dyDescent="0.25">
      <c r="A599" s="9">
        <v>598</v>
      </c>
      <c r="B599" s="9"/>
      <c r="C599" s="9" t="s">
        <v>222</v>
      </c>
      <c r="D599" s="9" t="s">
        <v>256</v>
      </c>
      <c r="E599" s="9" t="str">
        <f>IFERROR(VLOOKUP($D599,FIYAT!$B:$O,2,FALSE()),"")</f>
        <v>Щит (moduler) 2000x800x800+100</v>
      </c>
      <c r="F599" s="9">
        <f>IFERROR(VLOOKUP($D599,FIYAT!$B:$O,5,FALSE()),"")</f>
        <v>197400</v>
      </c>
      <c r="G599" s="9">
        <f>IFERROR(VLOOKUP($D599,FIYAT!$B:$O,8,FALSE()),"")</f>
        <v>118440</v>
      </c>
      <c r="H599" s="9">
        <f t="shared" si="72"/>
        <v>118440</v>
      </c>
      <c r="I599" s="6">
        <v>1</v>
      </c>
      <c r="J599" s="9" t="str">
        <f>IFERROR(VLOOKUP($D599,FIYAT!$B:$O,9,FALSE()),"")</f>
        <v>Шт.</v>
      </c>
      <c r="K599" s="9" t="str">
        <f>IFERROR(VLOOKUP($D599,FIYAT!$B:$O,4,FALSE()),"")</f>
        <v>KAZTEK</v>
      </c>
      <c r="L599" s="9">
        <f t="shared" si="73"/>
        <v>118440</v>
      </c>
      <c r="M599" s="9"/>
      <c r="N599" s="9"/>
      <c r="O599" s="9"/>
      <c r="P599" s="9" t="str">
        <f>IF($H599="","FIYAT_YOK",IFERROR(VLOOKUP($D599,FIYAT!$B:$P,15,FALSE()),""))</f>
        <v>VARSAYIM</v>
      </c>
      <c r="Q599" s="9" t="s">
        <v>258</v>
      </c>
      <c r="R599" s="9" t="s">
        <v>211</v>
      </c>
      <c r="S599" s="9" t="s">
        <v>550</v>
      </c>
      <c r="T599" s="9" t="s">
        <v>107</v>
      </c>
      <c r="U599" s="9">
        <f>IFERROR(VLOOKUP($T599,KURALLAR!$A$32:$B$63,2,FALSE()),0)*IF(ISNUMBER($I599),$I599,0)</f>
        <v>90</v>
      </c>
    </row>
    <row r="600" spans="1:21" x14ac:dyDescent="0.25">
      <c r="A600" s="5">
        <v>599</v>
      </c>
      <c r="B600" s="5"/>
      <c r="C600" s="5" t="s">
        <v>215</v>
      </c>
      <c r="D600" s="5" t="s">
        <v>213</v>
      </c>
      <c r="E600" s="5" t="str">
        <f>IFERROR(VLOOKUP($D600,FIYAT!$B:$O,2,FALSE()),"")</f>
        <v>Монтажный расходный материал (кабель, DIN-рейка, кабель-канал, клеммы, маркировка, крепёж)</v>
      </c>
      <c r="F600" s="5">
        <f>IFERROR(VLOOKUP($D600,FIYAT!$B:$O,5,FALSE()),"")</f>
        <v>0</v>
      </c>
      <c r="G600" s="5" t="str">
        <f>IFERROR(VLOOKUP($D600,FIYAT!$B:$O,8,FALSE()),"")</f>
        <v/>
      </c>
      <c r="H600" s="5">
        <f>ROUND(SUM($H$586:$H$599)*KURALLAR!$B$28,0)</f>
        <v>33661</v>
      </c>
      <c r="I600" s="6">
        <v>1</v>
      </c>
      <c r="J600" s="5" t="str">
        <f>IFERROR(VLOOKUP($D600,FIYAT!$B:$O,9,FALSE()),"")</f>
        <v>компл.</v>
      </c>
      <c r="K600" s="5" t="str">
        <f>IFERROR(VLOOKUP($D600,FIYAT!$B:$O,4,FALSE()),"")</f>
        <v>MUADIL-NET</v>
      </c>
      <c r="L600" s="5">
        <f t="shared" si="73"/>
        <v>33661</v>
      </c>
      <c r="M600" s="5"/>
      <c r="N600" s="5"/>
      <c r="O600" s="5"/>
      <c r="P600" s="5" t="str">
        <f>IF($H600="","FIYAT_YOK",IFERROR(VLOOKUP($D600,FIYAT!$B:$P,15,FALSE()),""))</f>
        <v>ORAN</v>
      </c>
      <c r="Q600" s="5" t="s">
        <v>218</v>
      </c>
      <c r="R600" s="5" t="s">
        <v>217</v>
      </c>
      <c r="S600" s="5" t="s">
        <v>550</v>
      </c>
      <c r="T600" s="5"/>
      <c r="U600" s="5">
        <v>0</v>
      </c>
    </row>
    <row r="601" spans="1:21" x14ac:dyDescent="0.25">
      <c r="A601" s="9">
        <v>600</v>
      </c>
      <c r="B601" s="9"/>
      <c r="C601" s="9" t="s">
        <v>227</v>
      </c>
      <c r="D601" s="9" t="s">
        <v>225</v>
      </c>
      <c r="E601" s="9" t="str">
        <f>IFERROR(VLOOKUP($D601,FIYAT!$B:$O,2,FALSE()),"")</f>
        <v>Сборка, кабелирование, маркировка, момент затяжки, испытания</v>
      </c>
      <c r="F601" s="9">
        <f>IFERROR(VLOOKUP($D601,FIYAT!$B:$O,5,FALSE()),"")</f>
        <v>100</v>
      </c>
      <c r="G601" s="9">
        <f>IFERROR(VLOOKUP($D601,FIYAT!$B:$O,8,FALSE()),"")</f>
        <v>100</v>
      </c>
      <c r="H601" s="9">
        <f>IF(OR($G601="",$I601=""),"",$G601*$I601)</f>
        <v>54300</v>
      </c>
      <c r="I601" s="6">
        <f>ROUND(SUM($U$586:$U$600)*KURALLAR!$B$27,0)</f>
        <v>543</v>
      </c>
      <c r="J601" s="9" t="str">
        <f>IFERROR(VLOOKUP($D601,FIYAT!$B:$O,9,FALSE()),"")</f>
        <v>мин</v>
      </c>
      <c r="K601" s="9" t="str">
        <f>IFERROR(VLOOKUP($D601,FIYAT!$B:$O,4,FALSE()),"")</f>
        <v>ISCILIK</v>
      </c>
      <c r="L601" s="9">
        <f t="shared" si="73"/>
        <v>54300</v>
      </c>
      <c r="M601" s="9"/>
      <c r="N601" s="9"/>
      <c r="O601" s="9"/>
      <c r="P601" s="9" t="str">
        <f>IF($H601="","FIYAT_YOK",IFERROR(VLOOKUP($D601,FIYAT!$B:$P,15,FALSE()),""))</f>
        <v>OK</v>
      </c>
      <c r="Q601" s="9" t="str">
        <f>CONCATENATE("montaj+test iscilik: ",TEXT($I601,"# ##0")," dk = ",TEXT($I601/60,"0,00")," saat (norm x test/etiket carpani)")</f>
        <v>montaj+test iscilik:  543 dk = 9,05 saat (norm x test/etiket carpani)</v>
      </c>
      <c r="R601" s="9" t="s">
        <v>229</v>
      </c>
      <c r="S601" s="9" t="s">
        <v>550</v>
      </c>
      <c r="T601" s="9"/>
      <c r="U601" s="9">
        <v>0</v>
      </c>
    </row>
    <row r="602" spans="1:21" x14ac:dyDescent="0.25">
      <c r="A602" s="10">
        <v>601</v>
      </c>
      <c r="B602" s="10" t="s">
        <v>623</v>
      </c>
      <c r="C602" s="10"/>
      <c r="D602" s="10"/>
      <c r="E602" s="10"/>
      <c r="F602" s="10"/>
      <c r="G602" s="10"/>
      <c r="H602" s="10">
        <f>SUBTOTAL(9,H586:H601)</f>
        <v>568836.6</v>
      </c>
      <c r="I602" s="10"/>
      <c r="J602" s="10"/>
      <c r="K602" s="10"/>
      <c r="L602" s="10">
        <f>SUBTOTAL(9,L586:L601)</f>
        <v>568836.6</v>
      </c>
      <c r="M602" s="10"/>
      <c r="N602" s="10"/>
      <c r="O602" s="10"/>
      <c r="P602" s="10"/>
      <c r="Q602" s="10"/>
      <c r="R602" s="10"/>
      <c r="S602" s="10"/>
      <c r="T602" s="10"/>
      <c r="U602" s="10">
        <f>SUBTOTAL(9,U586:U601)</f>
        <v>472</v>
      </c>
    </row>
    <row r="603" spans="1:21" x14ac:dyDescent="0.25">
      <c r="A603" s="8">
        <v>602</v>
      </c>
      <c r="B603" s="8" t="str">
        <f>E603</f>
        <v>BLOK A / JFP-B1 — НКУ 380/220В 50Гц, FORM 2B, IP31/54</v>
      </c>
      <c r="C603" s="8" t="s">
        <v>545</v>
      </c>
      <c r="D603" s="8"/>
      <c r="E603" s="8" t="s">
        <v>624</v>
      </c>
      <c r="F603" s="8"/>
      <c r="G603" s="8"/>
      <c r="H603" s="8"/>
      <c r="I603" s="8">
        <v>1</v>
      </c>
      <c r="J603" s="8" t="s">
        <v>547</v>
      </c>
      <c r="K603" s="8"/>
      <c r="L603" s="8"/>
      <c r="M603" s="8"/>
      <c r="N603" s="8"/>
      <c r="O603" s="8"/>
      <c r="P603" s="8" t="s">
        <v>178</v>
      </c>
      <c r="Q603" s="8" t="s">
        <v>548</v>
      </c>
      <c r="R603" s="8" t="s">
        <v>549</v>
      </c>
      <c r="S603" s="8" t="s">
        <v>550</v>
      </c>
      <c r="T603" s="8"/>
      <c r="U603" s="8"/>
    </row>
    <row r="604" spans="1:21" x14ac:dyDescent="0.25">
      <c r="A604" s="5">
        <v>603</v>
      </c>
      <c r="B604" s="5"/>
      <c r="C604" s="5" t="s">
        <v>169</v>
      </c>
      <c r="D604" s="5" t="s">
        <v>327</v>
      </c>
      <c r="E604" s="5" t="str">
        <f>IFERROR(VLOOKUP($D604,FIYAT!$B:$O,2,FALSE()),"")</f>
        <v>Авт. выкл. NM8N-125C TM 3P 25А 36кА с рег. термомаг. расцепителем (R)</v>
      </c>
      <c r="F604" s="5">
        <f>IFERROR(VLOOKUP($D604,FIYAT!$B:$O,5,FALSE()),"")</f>
        <v>65063</v>
      </c>
      <c r="G604" s="5">
        <f>IFERROR(VLOOKUP($D604,FIYAT!$B:$O,8,FALSE()),"")</f>
        <v>39037.799999999996</v>
      </c>
      <c r="H604" s="5">
        <f t="shared" ref="H604:H611" si="74">IF(OR($G604="",$I604=""),"",$G604*$I604)</f>
        <v>39037.799999999996</v>
      </c>
      <c r="I604" s="6">
        <v>1</v>
      </c>
      <c r="J604" s="5" t="str">
        <f>IFERROR(VLOOKUP($D604,FIYAT!$B:$O,9,FALSE()),"")</f>
        <v>Шт.</v>
      </c>
      <c r="K604" s="5" t="str">
        <f>IFERROR(VLOOKUP($D604,FIYAT!$B:$O,4,FALSE()),"")</f>
        <v>CHINT</v>
      </c>
      <c r="L604" s="5">
        <f t="shared" ref="L604:L613" si="75">IF($H604="","",$H604)</f>
        <v>39037.799999999996</v>
      </c>
      <c r="M604" s="5"/>
      <c r="N604" s="5"/>
      <c r="O604" s="5"/>
      <c r="P604" s="5" t="str">
        <f>IF($H604="","FIYAT_YOK",IFERROR(VLOOKUP($D604,FIYAT!$B:$P,15,FALSE()),""))</f>
        <v>MUADIL</v>
      </c>
      <c r="Q604" s="5" t="s">
        <v>172</v>
      </c>
      <c r="R604" s="5" t="s">
        <v>171</v>
      </c>
      <c r="S604" s="5" t="s">
        <v>550</v>
      </c>
      <c r="T604" s="5" t="s">
        <v>61</v>
      </c>
      <c r="U604" s="5">
        <f>IFERROR(VLOOKUP($T604,KURALLAR!$A$32:$B$63,2,FALSE()),0)*IF(ISNUMBER($I604),$I604,0)</f>
        <v>15</v>
      </c>
    </row>
    <row r="605" spans="1:21" x14ac:dyDescent="0.25">
      <c r="A605" s="9">
        <v>604</v>
      </c>
      <c r="B605" s="9"/>
      <c r="C605" s="9" t="s">
        <v>176</v>
      </c>
      <c r="D605" s="9" t="s">
        <v>174</v>
      </c>
      <c r="E605" s="9" t="str">
        <f>IFERROR(VLOOKUP($D605,FIYAT!$B:$O,2,FALSE()),"")</f>
        <v>УЗО NL1-63 6kA 4P 63A 300mA тип AC (R)</v>
      </c>
      <c r="F605" s="9">
        <f>IFERROR(VLOOKUP($D605,FIYAT!$B:$O,5,FALSE()),"")</f>
        <v>18106</v>
      </c>
      <c r="G605" s="9">
        <f>IFERROR(VLOOKUP($D605,FIYAT!$B:$O,8,FALSE()),"")</f>
        <v>10863.6</v>
      </c>
      <c r="H605" s="9">
        <f t="shared" si="74"/>
        <v>10863.6</v>
      </c>
      <c r="I605" s="6">
        <v>1</v>
      </c>
      <c r="J605" s="9" t="str">
        <f>IFERROR(VLOOKUP($D605,FIYAT!$B:$O,9,FALSE()),"")</f>
        <v>Шт.</v>
      </c>
      <c r="K605" s="9" t="str">
        <f>IFERROR(VLOOKUP($D605,FIYAT!$B:$O,4,FALSE()),"")</f>
        <v>CHINT</v>
      </c>
      <c r="L605" s="9">
        <f t="shared" si="75"/>
        <v>10863.6</v>
      </c>
      <c r="M605" s="9"/>
      <c r="N605" s="9"/>
      <c r="O605" s="9"/>
      <c r="P605" s="9" t="str">
        <f>IF($H605="","FIYAT_YOK",IFERROR(VLOOKUP($D605,FIYAT!$B:$P,15,FALSE()),""))</f>
        <v>OK</v>
      </c>
      <c r="Q605" s="9" t="s">
        <v>177</v>
      </c>
      <c r="R605" s="9" t="s">
        <v>171</v>
      </c>
      <c r="S605" s="9" t="s">
        <v>550</v>
      </c>
      <c r="T605" s="9" t="s">
        <v>57</v>
      </c>
      <c r="U605" s="9">
        <f>IFERROR(VLOOKUP($T605,KURALLAR!$A$32:$B$63,2,FALSE()),0)*IF(ISNUMBER($I605),$I605,0)</f>
        <v>10</v>
      </c>
    </row>
    <row r="606" spans="1:21" x14ac:dyDescent="0.25">
      <c r="A606" s="5">
        <v>605</v>
      </c>
      <c r="B606" s="5"/>
      <c r="C606" s="5" t="s">
        <v>79</v>
      </c>
      <c r="D606" s="5" t="s">
        <v>179</v>
      </c>
      <c r="E606" s="5" t="str">
        <f>IFERROR(VLOOKUP($D606,FIYAT!$B:$O,2,FALSE()),"")</f>
        <v>Держатель плавкой вставки RT36-00-160, габарит 00, 160А</v>
      </c>
      <c r="F606" s="5">
        <f>IFERROR(VLOOKUP($D606,FIYAT!$B:$O,5,FALSE()),"")</f>
        <v>2038</v>
      </c>
      <c r="G606" s="5">
        <f>IFERROR(VLOOKUP($D606,FIYAT!$B:$O,8,FALSE()),"")</f>
        <v>1222.8</v>
      </c>
      <c r="H606" s="5">
        <f t="shared" si="74"/>
        <v>4891.2</v>
      </c>
      <c r="I606" s="6">
        <v>4</v>
      </c>
      <c r="J606" s="5" t="str">
        <f>IFERROR(VLOOKUP($D606,FIYAT!$B:$O,9,FALSE()),"")</f>
        <v>Шт.</v>
      </c>
      <c r="K606" s="5" t="str">
        <f>IFERROR(VLOOKUP($D606,FIYAT!$B:$O,4,FALSE()),"")</f>
        <v>CHINT</v>
      </c>
      <c r="L606" s="5">
        <f t="shared" si="75"/>
        <v>4891.2</v>
      </c>
      <c r="M606" s="5"/>
      <c r="N606" s="5"/>
      <c r="O606" s="5"/>
      <c r="P606" s="5" t="str">
        <f>IF($H606="","FIYAT_YOK",IFERROR(VLOOKUP($D606,FIYAT!$B:$P,15,FALSE()),""))</f>
        <v>MUADIL</v>
      </c>
      <c r="Q606" s="5" t="s">
        <v>181</v>
      </c>
      <c r="R606" s="5" t="s">
        <v>171</v>
      </c>
      <c r="S606" s="5" t="s">
        <v>550</v>
      </c>
      <c r="T606" s="5" t="s">
        <v>77</v>
      </c>
      <c r="U606" s="5">
        <f>IFERROR(VLOOKUP($T606,KURALLAR!$A$32:$B$63,2,FALSE()),0)*IF(ISNUMBER($I606),$I606,0)</f>
        <v>20</v>
      </c>
    </row>
    <row r="607" spans="1:21" x14ac:dyDescent="0.25">
      <c r="A607" s="9">
        <v>606</v>
      </c>
      <c r="B607" s="9"/>
      <c r="C607" s="9" t="s">
        <v>79</v>
      </c>
      <c r="D607" s="9" t="s">
        <v>182</v>
      </c>
      <c r="E607" s="9" t="str">
        <f>IFERROR(VLOOKUP($D607,FIYAT!$B:$O,2,FALSE()),"")</f>
        <v>Плавкая вставка предохранителя RT36-00-160, габарит 00, 63А</v>
      </c>
      <c r="F607" s="9">
        <f>IFERROR(VLOOKUP($D607,FIYAT!$B:$O,5,FALSE()),"")</f>
        <v>1525</v>
      </c>
      <c r="G607" s="9">
        <f>IFERROR(VLOOKUP($D607,FIYAT!$B:$O,8,FALSE()),"")</f>
        <v>915</v>
      </c>
      <c r="H607" s="9">
        <f t="shared" si="74"/>
        <v>3660</v>
      </c>
      <c r="I607" s="6">
        <v>4</v>
      </c>
      <c r="J607" s="9" t="str">
        <f>IFERROR(VLOOKUP($D607,FIYAT!$B:$O,9,FALSE()),"")</f>
        <v>Шт.</v>
      </c>
      <c r="K607" s="9" t="str">
        <f>IFERROR(VLOOKUP($D607,FIYAT!$B:$O,4,FALSE()),"")</f>
        <v>CHINT</v>
      </c>
      <c r="L607" s="9">
        <f t="shared" si="75"/>
        <v>3660</v>
      </c>
      <c r="M607" s="9"/>
      <c r="N607" s="9"/>
      <c r="O607" s="9"/>
      <c r="P607" s="9" t="str">
        <f>IF($H607="","FIYAT_YOK",IFERROR(VLOOKUP($D607,FIYAT!$B:$P,15,FALSE()),""))</f>
        <v>MUADIL</v>
      </c>
      <c r="Q607" s="9" t="s">
        <v>185</v>
      </c>
      <c r="R607" s="9" t="s">
        <v>184</v>
      </c>
      <c r="S607" s="9" t="s">
        <v>550</v>
      </c>
      <c r="T607" s="9" t="s">
        <v>79</v>
      </c>
      <c r="U607" s="9">
        <f>IFERROR(VLOOKUP($T607,KURALLAR!$A$32:$B$63,2,FALSE()),0)*IF(ISNUMBER($I607),$I607,0)</f>
        <v>12</v>
      </c>
    </row>
    <row r="608" spans="1:21" x14ac:dyDescent="0.25">
      <c r="A608" s="5">
        <v>607</v>
      </c>
      <c r="B608" s="5"/>
      <c r="C608" s="5" t="s">
        <v>75</v>
      </c>
      <c r="D608" s="5" t="s">
        <v>186</v>
      </c>
      <c r="E608" s="5" t="str">
        <f>IFERROR(VLOOKUP($D608,FIYAT!$B:$O,2,FALSE()),"")</f>
        <v>Ограничитель имп. перенапр. NU6-IIG 4Р In=25kA Uc=440B Im=65kA (R)</v>
      </c>
      <c r="F608" s="5">
        <f>IFERROR(VLOOKUP($D608,FIYAT!$B:$O,5,FALSE()),"")</f>
        <v>33208</v>
      </c>
      <c r="G608" s="5">
        <f>IFERROR(VLOOKUP($D608,FIYAT!$B:$O,8,FALSE()),"")</f>
        <v>19924.8</v>
      </c>
      <c r="H608" s="5">
        <f t="shared" si="74"/>
        <v>19924.8</v>
      </c>
      <c r="I608" s="6">
        <v>1</v>
      </c>
      <c r="J608" s="5" t="str">
        <f>IFERROR(VLOOKUP($D608,FIYAT!$B:$O,9,FALSE()),"")</f>
        <v>Шт.</v>
      </c>
      <c r="K608" s="5" t="str">
        <f>IFERROR(VLOOKUP($D608,FIYAT!$B:$O,4,FALSE()),"")</f>
        <v>CHINT</v>
      </c>
      <c r="L608" s="5">
        <f t="shared" si="75"/>
        <v>19924.8</v>
      </c>
      <c r="M608" s="5"/>
      <c r="N608" s="5"/>
      <c r="O608" s="5"/>
      <c r="P608" s="5" t="str">
        <f>IF($H608="","FIYAT_YOK",IFERROR(VLOOKUP($D608,FIYAT!$B:$P,15,FALSE()),""))</f>
        <v>MUADIL_ONAY</v>
      </c>
      <c r="Q608" s="5" t="s">
        <v>188</v>
      </c>
      <c r="R608" s="5" t="s">
        <v>184</v>
      </c>
      <c r="S608" s="5" t="s">
        <v>550</v>
      </c>
      <c r="T608" s="5" t="s">
        <v>75</v>
      </c>
      <c r="U608" s="5">
        <f>IFERROR(VLOOKUP($T608,KURALLAR!$A$32:$B$63,2,FALSE()),0)*IF(ISNUMBER($I608),$I608,0)</f>
        <v>10</v>
      </c>
    </row>
    <row r="609" spans="1:21" x14ac:dyDescent="0.25">
      <c r="A609" s="9">
        <v>608</v>
      </c>
      <c r="B609" s="9"/>
      <c r="C609" s="9" t="s">
        <v>192</v>
      </c>
      <c r="D609" s="9" t="s">
        <v>304</v>
      </c>
      <c r="E609" s="9" t="str">
        <f>IFERROR(VLOOKUP($D609,FIYAT!$B:$O,2,FALSE()),"")</f>
        <v>Авт. выкл. NXB-63 3P 16A 6кА х-ка C (R)</v>
      </c>
      <c r="F609" s="9">
        <f>IFERROR(VLOOKUP($D609,FIYAT!$B:$O,5,FALSE()),"")</f>
        <v>5462</v>
      </c>
      <c r="G609" s="9">
        <f>IFERROR(VLOOKUP($D609,FIYAT!$B:$O,8,FALSE()),"")</f>
        <v>3277.2</v>
      </c>
      <c r="H609" s="9">
        <f t="shared" si="74"/>
        <v>16386</v>
      </c>
      <c r="I609" s="6">
        <v>5</v>
      </c>
      <c r="J609" s="9" t="str">
        <f>IFERROR(VLOOKUP($D609,FIYAT!$B:$O,9,FALSE()),"")</f>
        <v>Шт.</v>
      </c>
      <c r="K609" s="9" t="str">
        <f>IFERROR(VLOOKUP($D609,FIYAT!$B:$O,4,FALSE()),"")</f>
        <v>CHINT</v>
      </c>
      <c r="L609" s="9">
        <f t="shared" si="75"/>
        <v>16386</v>
      </c>
      <c r="M609" s="9"/>
      <c r="N609" s="9"/>
      <c r="O609" s="9"/>
      <c r="P609" s="9" t="str">
        <f>IF($H609="","FIYAT_YOK",IFERROR(VLOOKUP($D609,FIYAT!$B:$P,15,FALSE()),""))</f>
        <v>OK</v>
      </c>
      <c r="Q609" s="9" t="s">
        <v>306</v>
      </c>
      <c r="R609" s="9" t="s">
        <v>171</v>
      </c>
      <c r="S609" s="9" t="s">
        <v>550</v>
      </c>
      <c r="T609" s="9" t="s">
        <v>51</v>
      </c>
      <c r="U609" s="9">
        <f>IFERROR(VLOOKUP($T609,KURALLAR!$A$32:$B$63,2,FALSE()),0)*IF(ISNUMBER($I609),$I609,0)</f>
        <v>40</v>
      </c>
    </row>
    <row r="610" spans="1:21" x14ac:dyDescent="0.25">
      <c r="A610" s="5">
        <v>609</v>
      </c>
      <c r="B610" s="5"/>
      <c r="C610" s="5" t="s">
        <v>93</v>
      </c>
      <c r="D610" s="5" t="s">
        <v>209</v>
      </c>
      <c r="E610" s="5" t="str">
        <f>IFERROR(VLOOKUP($D610,FIYAT!$B:$O,2,FALSE()),"")</f>
        <v>Шина "N" нулевая 6х9мм на DIN-рейку в корпусном изоляторе ШНИ 12К IEK (10)</v>
      </c>
      <c r="F610" s="5">
        <f>IFERROR(VLOOKUP($D610,FIYAT!$B:$O,5,FALSE()),"")</f>
        <v>755</v>
      </c>
      <c r="G610" s="5">
        <f>IFERROR(VLOOKUP($D610,FIYAT!$B:$O,8,FALSE()),"")</f>
        <v>453</v>
      </c>
      <c r="H610" s="5">
        <f t="shared" si="74"/>
        <v>1812</v>
      </c>
      <c r="I610" s="6">
        <v>4</v>
      </c>
      <c r="J610" s="5" t="str">
        <f>IFERROR(VLOOKUP($D610,FIYAT!$B:$O,9,FALSE()),"")</f>
        <v>Шт.</v>
      </c>
      <c r="K610" s="5" t="str">
        <f>IFERROR(VLOOKUP($D610,FIYAT!$B:$O,4,FALSE()),"")</f>
        <v>KAZTEK</v>
      </c>
      <c r="L610" s="5">
        <f t="shared" si="75"/>
        <v>1812</v>
      </c>
      <c r="M610" s="5"/>
      <c r="N610" s="5"/>
      <c r="O610" s="5"/>
      <c r="P610" s="5" t="str">
        <f>IF($H610="","FIYAT_YOK",IFERROR(VLOOKUP($D610,FIYAT!$B:$P,15,FALSE()),""))</f>
        <v>MUADIL</v>
      </c>
      <c r="Q610" s="5" t="s">
        <v>212</v>
      </c>
      <c r="R610" s="5" t="s">
        <v>211</v>
      </c>
      <c r="S610" s="5" t="s">
        <v>550</v>
      </c>
      <c r="T610" s="5" t="s">
        <v>93</v>
      </c>
      <c r="U610" s="5">
        <f>IFERROR(VLOOKUP($T610,KURALLAR!$A$32:$B$63,2,FALSE()),0)*IF(ISNUMBER($I610),$I610,0)</f>
        <v>32</v>
      </c>
    </row>
    <row r="611" spans="1:21" x14ac:dyDescent="0.25">
      <c r="A611" s="9">
        <v>610</v>
      </c>
      <c r="B611" s="9"/>
      <c r="C611" s="9" t="s">
        <v>222</v>
      </c>
      <c r="D611" s="9" t="s">
        <v>220</v>
      </c>
      <c r="E611" s="9" t="str">
        <f>IFERROR(VLOOKUP($D611,FIYAT!$B:$O,2,FALSE()),"")</f>
        <v>ЩМП (инд.) IP31 (650х500х150мм)</v>
      </c>
      <c r="F611" s="9">
        <f>IFERROR(VLOOKUP($D611,FIYAT!$B:$O,5,FALSE()),"")</f>
        <v>27825</v>
      </c>
      <c r="G611" s="9">
        <f>IFERROR(VLOOKUP($D611,FIYAT!$B:$O,8,FALSE()),"")</f>
        <v>16695</v>
      </c>
      <c r="H611" s="9">
        <f t="shared" si="74"/>
        <v>16695</v>
      </c>
      <c r="I611" s="6">
        <v>1</v>
      </c>
      <c r="J611" s="9" t="str">
        <f>IFERROR(VLOOKUP($D611,FIYAT!$B:$O,9,FALSE()),"")</f>
        <v>Шт.</v>
      </c>
      <c r="K611" s="9" t="str">
        <f>IFERROR(VLOOKUP($D611,FIYAT!$B:$O,4,FALSE()),"")</f>
        <v>KAZTEK</v>
      </c>
      <c r="L611" s="9">
        <f t="shared" si="75"/>
        <v>16695</v>
      </c>
      <c r="M611" s="9"/>
      <c r="N611" s="9"/>
      <c r="O611" s="9"/>
      <c r="P611" s="9" t="str">
        <f>IF($H611="","FIYAT_YOK",IFERROR(VLOOKUP($D611,FIYAT!$B:$P,15,FALSE()),""))</f>
        <v>VARSAYIM</v>
      </c>
      <c r="Q611" s="9" t="s">
        <v>223</v>
      </c>
      <c r="R611" s="9" t="s">
        <v>211</v>
      </c>
      <c r="S611" s="9" t="s">
        <v>550</v>
      </c>
      <c r="T611" s="9" t="s">
        <v>105</v>
      </c>
      <c r="U611" s="9">
        <f>IFERROR(VLOOKUP($T611,KURALLAR!$A$32:$B$63,2,FALSE()),0)*IF(ISNUMBER($I611),$I611,0)</f>
        <v>30</v>
      </c>
    </row>
    <row r="612" spans="1:21" x14ac:dyDescent="0.25">
      <c r="A612" s="5">
        <v>611</v>
      </c>
      <c r="B612" s="5"/>
      <c r="C612" s="5" t="s">
        <v>215</v>
      </c>
      <c r="D612" s="5" t="s">
        <v>213</v>
      </c>
      <c r="E612" s="5" t="str">
        <f>IFERROR(VLOOKUP($D612,FIYAT!$B:$O,2,FALSE()),"")</f>
        <v>Монтажный расходный материал (кабель, DIN-рейка, кабель-канал, клеммы, маркировка, крепёж)</v>
      </c>
      <c r="F612" s="5">
        <f>IFERROR(VLOOKUP($D612,FIYAT!$B:$O,5,FALSE()),"")</f>
        <v>0</v>
      </c>
      <c r="G612" s="5" t="str">
        <f>IFERROR(VLOOKUP($D612,FIYAT!$B:$O,8,FALSE()),"")</f>
        <v/>
      </c>
      <c r="H612" s="5">
        <f>ROUND(SUM($H$604:$H$611)*KURALLAR!$B$28,0)</f>
        <v>7929</v>
      </c>
      <c r="I612" s="6">
        <v>1</v>
      </c>
      <c r="J612" s="5" t="str">
        <f>IFERROR(VLOOKUP($D612,FIYAT!$B:$O,9,FALSE()),"")</f>
        <v>компл.</v>
      </c>
      <c r="K612" s="5" t="str">
        <f>IFERROR(VLOOKUP($D612,FIYAT!$B:$O,4,FALSE()),"")</f>
        <v>MUADIL-NET</v>
      </c>
      <c r="L612" s="5">
        <f t="shared" si="75"/>
        <v>7929</v>
      </c>
      <c r="M612" s="5"/>
      <c r="N612" s="5"/>
      <c r="O612" s="5"/>
      <c r="P612" s="5" t="str">
        <f>IF($H612="","FIYAT_YOK",IFERROR(VLOOKUP($D612,FIYAT!$B:$P,15,FALSE()),""))</f>
        <v>ORAN</v>
      </c>
      <c r="Q612" s="5" t="s">
        <v>218</v>
      </c>
      <c r="R612" s="5" t="s">
        <v>217</v>
      </c>
      <c r="S612" s="5" t="s">
        <v>550</v>
      </c>
      <c r="T612" s="5"/>
      <c r="U612" s="5">
        <v>0</v>
      </c>
    </row>
    <row r="613" spans="1:21" x14ac:dyDescent="0.25">
      <c r="A613" s="9">
        <v>612</v>
      </c>
      <c r="B613" s="9"/>
      <c r="C613" s="9" t="s">
        <v>227</v>
      </c>
      <c r="D613" s="9" t="s">
        <v>225</v>
      </c>
      <c r="E613" s="9" t="str">
        <f>IFERROR(VLOOKUP($D613,FIYAT!$B:$O,2,FALSE()),"")</f>
        <v>Сборка, кабелирование, маркировка, момент затяжки, испытания</v>
      </c>
      <c r="F613" s="9">
        <f>IFERROR(VLOOKUP($D613,FIYAT!$B:$O,5,FALSE()),"")</f>
        <v>100</v>
      </c>
      <c r="G613" s="9">
        <f>IFERROR(VLOOKUP($D613,FIYAT!$B:$O,8,FALSE()),"")</f>
        <v>100</v>
      </c>
      <c r="H613" s="9">
        <f>IF(OR($G613="",$I613=""),"",$G613*$I613)</f>
        <v>19400</v>
      </c>
      <c r="I613" s="6">
        <f>ROUND(SUM($U$604:$U$612)*KURALLAR!$B$27,0)</f>
        <v>194</v>
      </c>
      <c r="J613" s="9" t="str">
        <f>IFERROR(VLOOKUP($D613,FIYAT!$B:$O,9,FALSE()),"")</f>
        <v>мин</v>
      </c>
      <c r="K613" s="9" t="str">
        <f>IFERROR(VLOOKUP($D613,FIYAT!$B:$O,4,FALSE()),"")</f>
        <v>ISCILIK</v>
      </c>
      <c r="L613" s="9">
        <f t="shared" si="75"/>
        <v>19400</v>
      </c>
      <c r="M613" s="9"/>
      <c r="N613" s="9"/>
      <c r="O613" s="9"/>
      <c r="P613" s="9" t="str">
        <f>IF($H613="","FIYAT_YOK",IFERROR(VLOOKUP($D613,FIYAT!$B:$P,15,FALSE()),""))</f>
        <v>OK</v>
      </c>
      <c r="Q613" s="9" t="str">
        <f>CONCATENATE("montaj+test iscilik: ",TEXT($I613,"# ##0")," dk = ",TEXT($I613/60,"0,00")," saat (norm x test/etiket carpani)")</f>
        <v>montaj+test iscilik:  194 dk = 3,23 saat (norm x test/etiket carpani)</v>
      </c>
      <c r="R613" s="9" t="s">
        <v>229</v>
      </c>
      <c r="S613" s="9" t="s">
        <v>550</v>
      </c>
      <c r="T613" s="9"/>
      <c r="U613" s="9">
        <v>0</v>
      </c>
    </row>
    <row r="614" spans="1:21" x14ac:dyDescent="0.25">
      <c r="A614" s="10">
        <v>613</v>
      </c>
      <c r="B614" s="10" t="s">
        <v>625</v>
      </c>
      <c r="C614" s="10"/>
      <c r="D614" s="10"/>
      <c r="E614" s="10"/>
      <c r="F614" s="10"/>
      <c r="G614" s="10"/>
      <c r="H614" s="10">
        <f>SUBTOTAL(9,H604:H613)</f>
        <v>140599.4</v>
      </c>
      <c r="I614" s="10"/>
      <c r="J614" s="10"/>
      <c r="K614" s="10"/>
      <c r="L614" s="10">
        <f>SUBTOTAL(9,L604:L613)</f>
        <v>140599.4</v>
      </c>
      <c r="M614" s="10"/>
      <c r="N614" s="10"/>
      <c r="O614" s="10"/>
      <c r="P614" s="10"/>
      <c r="Q614" s="10"/>
      <c r="R614" s="10"/>
      <c r="S614" s="10"/>
      <c r="T614" s="10"/>
      <c r="U614" s="10">
        <f>SUBTOTAL(9,U604:U613)</f>
        <v>169</v>
      </c>
    </row>
    <row r="615" spans="1:21" x14ac:dyDescent="0.25">
      <c r="A615" s="8">
        <v>614</v>
      </c>
      <c r="B615" s="8" t="str">
        <f>E615</f>
        <v>BLOK A / ЩА-B1 — НКУ 380/220В 50Гц, FORM 2B, IP31/54</v>
      </c>
      <c r="C615" s="8" t="s">
        <v>545</v>
      </c>
      <c r="D615" s="8"/>
      <c r="E615" s="8" t="s">
        <v>626</v>
      </c>
      <c r="F615" s="8"/>
      <c r="G615" s="8"/>
      <c r="H615" s="8"/>
      <c r="I615" s="8">
        <v>1</v>
      </c>
      <c r="J615" s="8" t="s">
        <v>547</v>
      </c>
      <c r="K615" s="8"/>
      <c r="L615" s="8"/>
      <c r="M615" s="8"/>
      <c r="N615" s="8"/>
      <c r="O615" s="8"/>
      <c r="P615" s="8" t="s">
        <v>178</v>
      </c>
      <c r="Q615" s="8" t="s">
        <v>548</v>
      </c>
      <c r="R615" s="8" t="s">
        <v>549</v>
      </c>
      <c r="S615" s="8" t="s">
        <v>550</v>
      </c>
      <c r="T615" s="8"/>
      <c r="U615" s="8"/>
    </row>
    <row r="616" spans="1:21" x14ac:dyDescent="0.25">
      <c r="A616" s="5">
        <v>615</v>
      </c>
      <c r="B616" s="5"/>
      <c r="C616" s="5" t="s">
        <v>169</v>
      </c>
      <c r="D616" s="5" t="s">
        <v>259</v>
      </c>
      <c r="E616" s="5" t="str">
        <f>IFERROR(VLOOKUP($D616,FIYAT!$B:$O,2,FALSE()),"")</f>
        <v>Авт. выкл. NM8N-125C TM 3P 50А 36кА с рег. термомаг. расцепителем (R)</v>
      </c>
      <c r="F616" s="5">
        <f>IFERROR(VLOOKUP($D616,FIYAT!$B:$O,5,FALSE()),"")</f>
        <v>68025</v>
      </c>
      <c r="G616" s="5">
        <f>IFERROR(VLOOKUP($D616,FIYAT!$B:$O,8,FALSE()),"")</f>
        <v>40815</v>
      </c>
      <c r="H616" s="5">
        <f t="shared" ref="H616:H631" si="76">IF(OR($G616="",$I616=""),"",$G616*$I616)</f>
        <v>40815</v>
      </c>
      <c r="I616" s="6">
        <v>1</v>
      </c>
      <c r="J616" s="5" t="str">
        <f>IFERROR(VLOOKUP($D616,FIYAT!$B:$O,9,FALSE()),"")</f>
        <v>Шт.</v>
      </c>
      <c r="K616" s="5" t="str">
        <f>IFERROR(VLOOKUP($D616,FIYAT!$B:$O,4,FALSE()),"")</f>
        <v>CHINT</v>
      </c>
      <c r="L616" s="5">
        <f t="shared" ref="L616:L633" si="77">IF($H616="","",$H616)</f>
        <v>40815</v>
      </c>
      <c r="M616" s="5"/>
      <c r="N616" s="5"/>
      <c r="O616" s="5"/>
      <c r="P616" s="5" t="str">
        <f>IF($H616="","FIYAT_YOK",IFERROR(VLOOKUP($D616,FIYAT!$B:$P,15,FALSE()),""))</f>
        <v>MUADIL</v>
      </c>
      <c r="Q616" s="5" t="s">
        <v>172</v>
      </c>
      <c r="R616" s="5" t="s">
        <v>171</v>
      </c>
      <c r="S616" s="5" t="s">
        <v>550</v>
      </c>
      <c r="T616" s="5" t="s">
        <v>61</v>
      </c>
      <c r="U616" s="5">
        <f>IFERROR(VLOOKUP($T616,KURALLAR!$A$32:$B$63,2,FALSE()),0)*IF(ISNUMBER($I616),$I616,0)</f>
        <v>15</v>
      </c>
    </row>
    <row r="617" spans="1:21" x14ac:dyDescent="0.25">
      <c r="A617" s="9">
        <v>616</v>
      </c>
      <c r="B617" s="9"/>
      <c r="C617" s="9" t="s">
        <v>93</v>
      </c>
      <c r="D617" s="9" t="s">
        <v>329</v>
      </c>
      <c r="E617" s="9" t="str">
        <f>IFERROR(VLOOKUP($D617,FIYAT!$B:$O,2,FALSE()),"")</f>
        <v>Независимый расцепитель SHT21-M8 AC220-240V для NM8N-125 (R)</v>
      </c>
      <c r="F617" s="9">
        <f>IFERROR(VLOOKUP($D617,FIYAT!$B:$O,5,FALSE()),"")</f>
        <v>19243</v>
      </c>
      <c r="G617" s="9">
        <f>IFERROR(VLOOKUP($D617,FIYAT!$B:$O,8,FALSE()),"")</f>
        <v>11545.8</v>
      </c>
      <c r="H617" s="9">
        <f t="shared" si="76"/>
        <v>11545.8</v>
      </c>
      <c r="I617" s="6">
        <v>1</v>
      </c>
      <c r="J617" s="9" t="str">
        <f>IFERROR(VLOOKUP($D617,FIYAT!$B:$O,9,FALSE()),"")</f>
        <v>Шт.</v>
      </c>
      <c r="K617" s="9" t="str">
        <f>IFERROR(VLOOKUP($D617,FIYAT!$B:$O,4,FALSE()),"")</f>
        <v>CHINT</v>
      </c>
      <c r="L617" s="9">
        <f t="shared" si="77"/>
        <v>11545.8</v>
      </c>
      <c r="M617" s="9"/>
      <c r="N617" s="9"/>
      <c r="O617" s="9"/>
      <c r="P617" s="9" t="str">
        <f>IF($H617="","FIYAT_YOK",IFERROR(VLOOKUP($D617,FIYAT!$B:$P,15,FALSE()),""))</f>
        <v>OK</v>
      </c>
      <c r="Q617" s="9" t="s">
        <v>331</v>
      </c>
      <c r="R617" s="9" t="s">
        <v>184</v>
      </c>
      <c r="S617" s="9" t="s">
        <v>550</v>
      </c>
      <c r="T617" s="9" t="s">
        <v>95</v>
      </c>
      <c r="U617" s="9">
        <f>IFERROR(VLOOKUP($T617,KURALLAR!$A$32:$B$63,2,FALSE()),0)*IF(ISNUMBER($I617),$I617,0)</f>
        <v>10</v>
      </c>
    </row>
    <row r="618" spans="1:21" x14ac:dyDescent="0.25">
      <c r="A618" s="5">
        <v>617</v>
      </c>
      <c r="B618" s="5"/>
      <c r="C618" s="5" t="s">
        <v>79</v>
      </c>
      <c r="D618" s="5" t="s">
        <v>179</v>
      </c>
      <c r="E618" s="5" t="str">
        <f>IFERROR(VLOOKUP($D618,FIYAT!$B:$O,2,FALSE()),"")</f>
        <v>Держатель плавкой вставки RT36-00-160, габарит 00, 160А</v>
      </c>
      <c r="F618" s="5">
        <f>IFERROR(VLOOKUP($D618,FIYAT!$B:$O,5,FALSE()),"")</f>
        <v>2038</v>
      </c>
      <c r="G618" s="5">
        <f>IFERROR(VLOOKUP($D618,FIYAT!$B:$O,8,FALSE()),"")</f>
        <v>1222.8</v>
      </c>
      <c r="H618" s="5">
        <f t="shared" si="76"/>
        <v>4891.2</v>
      </c>
      <c r="I618" s="6">
        <v>4</v>
      </c>
      <c r="J618" s="5" t="str">
        <f>IFERROR(VLOOKUP($D618,FIYAT!$B:$O,9,FALSE()),"")</f>
        <v>Шт.</v>
      </c>
      <c r="K618" s="5" t="str">
        <f>IFERROR(VLOOKUP($D618,FIYAT!$B:$O,4,FALSE()),"")</f>
        <v>CHINT</v>
      </c>
      <c r="L618" s="5">
        <f t="shared" si="77"/>
        <v>4891.2</v>
      </c>
      <c r="M618" s="5"/>
      <c r="N618" s="5"/>
      <c r="O618" s="5"/>
      <c r="P618" s="5" t="str">
        <f>IF($H618="","FIYAT_YOK",IFERROR(VLOOKUP($D618,FIYAT!$B:$P,15,FALSE()),""))</f>
        <v>MUADIL</v>
      </c>
      <c r="Q618" s="5" t="s">
        <v>181</v>
      </c>
      <c r="R618" s="5" t="s">
        <v>171</v>
      </c>
      <c r="S618" s="5" t="s">
        <v>550</v>
      </c>
      <c r="T618" s="5" t="s">
        <v>77</v>
      </c>
      <c r="U618" s="5">
        <f>IFERROR(VLOOKUP($T618,KURALLAR!$A$32:$B$63,2,FALSE()),0)*IF(ISNUMBER($I618),$I618,0)</f>
        <v>20</v>
      </c>
    </row>
    <row r="619" spans="1:21" x14ac:dyDescent="0.25">
      <c r="A619" s="9">
        <v>618</v>
      </c>
      <c r="B619" s="9"/>
      <c r="C619" s="9" t="s">
        <v>79</v>
      </c>
      <c r="D619" s="9" t="s">
        <v>182</v>
      </c>
      <c r="E619" s="9" t="str">
        <f>IFERROR(VLOOKUP($D619,FIYAT!$B:$O,2,FALSE()),"")</f>
        <v>Плавкая вставка предохранителя RT36-00-160, габарит 00, 63А</v>
      </c>
      <c r="F619" s="9">
        <f>IFERROR(VLOOKUP($D619,FIYAT!$B:$O,5,FALSE()),"")</f>
        <v>1525</v>
      </c>
      <c r="G619" s="9">
        <f>IFERROR(VLOOKUP($D619,FIYAT!$B:$O,8,FALSE()),"")</f>
        <v>915</v>
      </c>
      <c r="H619" s="9">
        <f t="shared" si="76"/>
        <v>3660</v>
      </c>
      <c r="I619" s="6">
        <v>4</v>
      </c>
      <c r="J619" s="9" t="str">
        <f>IFERROR(VLOOKUP($D619,FIYAT!$B:$O,9,FALSE()),"")</f>
        <v>Шт.</v>
      </c>
      <c r="K619" s="9" t="str">
        <f>IFERROR(VLOOKUP($D619,FIYAT!$B:$O,4,FALSE()),"")</f>
        <v>CHINT</v>
      </c>
      <c r="L619" s="9">
        <f t="shared" si="77"/>
        <v>3660</v>
      </c>
      <c r="M619" s="9"/>
      <c r="N619" s="9"/>
      <c r="O619" s="9"/>
      <c r="P619" s="9" t="str">
        <f>IF($H619="","FIYAT_YOK",IFERROR(VLOOKUP($D619,FIYAT!$B:$P,15,FALSE()),""))</f>
        <v>MUADIL</v>
      </c>
      <c r="Q619" s="9" t="s">
        <v>185</v>
      </c>
      <c r="R619" s="9" t="s">
        <v>184</v>
      </c>
      <c r="S619" s="9" t="s">
        <v>550</v>
      </c>
      <c r="T619" s="9" t="s">
        <v>79</v>
      </c>
      <c r="U619" s="9">
        <f>IFERROR(VLOOKUP($T619,KURALLAR!$A$32:$B$63,2,FALSE()),0)*IF(ISNUMBER($I619),$I619,0)</f>
        <v>12</v>
      </c>
    </row>
    <row r="620" spans="1:21" x14ac:dyDescent="0.25">
      <c r="A620" s="5">
        <v>619</v>
      </c>
      <c r="B620" s="5"/>
      <c r="C620" s="5" t="s">
        <v>75</v>
      </c>
      <c r="D620" s="5" t="s">
        <v>186</v>
      </c>
      <c r="E620" s="5" t="str">
        <f>IFERROR(VLOOKUP($D620,FIYAT!$B:$O,2,FALSE()),"")</f>
        <v>Ограничитель имп. перенапр. NU6-IIG 4Р In=25kA Uc=440B Im=65kA (R)</v>
      </c>
      <c r="F620" s="5">
        <f>IFERROR(VLOOKUP($D620,FIYAT!$B:$O,5,FALSE()),"")</f>
        <v>33208</v>
      </c>
      <c r="G620" s="5">
        <f>IFERROR(VLOOKUP($D620,FIYAT!$B:$O,8,FALSE()),"")</f>
        <v>19924.8</v>
      </c>
      <c r="H620" s="5">
        <f t="shared" si="76"/>
        <v>19924.8</v>
      </c>
      <c r="I620" s="6">
        <v>1</v>
      </c>
      <c r="J620" s="5" t="str">
        <f>IFERROR(VLOOKUP($D620,FIYAT!$B:$O,9,FALSE()),"")</f>
        <v>Шт.</v>
      </c>
      <c r="K620" s="5" t="str">
        <f>IFERROR(VLOOKUP($D620,FIYAT!$B:$O,4,FALSE()),"")</f>
        <v>CHINT</v>
      </c>
      <c r="L620" s="5">
        <f t="shared" si="77"/>
        <v>19924.8</v>
      </c>
      <c r="M620" s="5"/>
      <c r="N620" s="5"/>
      <c r="O620" s="5"/>
      <c r="P620" s="5" t="str">
        <f>IF($H620="","FIYAT_YOK",IFERROR(VLOOKUP($D620,FIYAT!$B:$P,15,FALSE()),""))</f>
        <v>MUADIL_ONAY</v>
      </c>
      <c r="Q620" s="5" t="s">
        <v>188</v>
      </c>
      <c r="R620" s="5" t="s">
        <v>184</v>
      </c>
      <c r="S620" s="5" t="s">
        <v>550</v>
      </c>
      <c r="T620" s="5" t="s">
        <v>75</v>
      </c>
      <c r="U620" s="5">
        <f>IFERROR(VLOOKUP($T620,KURALLAR!$A$32:$B$63,2,FALSE()),0)*IF(ISNUMBER($I620),$I620,0)</f>
        <v>10</v>
      </c>
    </row>
    <row r="621" spans="1:21" x14ac:dyDescent="0.25">
      <c r="A621" s="9">
        <v>620</v>
      </c>
      <c r="B621" s="9"/>
      <c r="C621" s="9" t="s">
        <v>192</v>
      </c>
      <c r="D621" s="9" t="s">
        <v>238</v>
      </c>
      <c r="E621" s="9" t="str">
        <f>IFERROR(VLOOKUP($D621,FIYAT!$B:$O,2,FALSE()),"")</f>
        <v>Авт. выкл. NXB-63 1P 6A 6кА х-ка C (R)</v>
      </c>
      <c r="F621" s="9">
        <f>IFERROR(VLOOKUP($D621,FIYAT!$B:$O,5,FALSE()),"")</f>
        <v>1436</v>
      </c>
      <c r="G621" s="9">
        <f>IFERROR(VLOOKUP($D621,FIYAT!$B:$O,8,FALSE()),"")</f>
        <v>861.6</v>
      </c>
      <c r="H621" s="9">
        <f t="shared" si="76"/>
        <v>3446.4</v>
      </c>
      <c r="I621" s="6">
        <v>4</v>
      </c>
      <c r="J621" s="9" t="str">
        <f>IFERROR(VLOOKUP($D621,FIYAT!$B:$O,9,FALSE()),"")</f>
        <v>Шт.</v>
      </c>
      <c r="K621" s="9" t="str">
        <f>IFERROR(VLOOKUP($D621,FIYAT!$B:$O,4,FALSE()),"")</f>
        <v>CHINT</v>
      </c>
      <c r="L621" s="9">
        <f t="shared" si="77"/>
        <v>3446.4</v>
      </c>
      <c r="M621" s="9"/>
      <c r="N621" s="9"/>
      <c r="O621" s="9"/>
      <c r="P621" s="9" t="str">
        <f>IF($H621="","FIYAT_YOK",IFERROR(VLOOKUP($D621,FIYAT!$B:$P,15,FALSE()),""))</f>
        <v>OK</v>
      </c>
      <c r="Q621" s="9" t="s">
        <v>240</v>
      </c>
      <c r="R621" s="9" t="s">
        <v>171</v>
      </c>
      <c r="S621" s="9" t="s">
        <v>550</v>
      </c>
      <c r="T621" s="9" t="s">
        <v>47</v>
      </c>
      <c r="U621" s="9">
        <f>IFERROR(VLOOKUP($T621,KURALLAR!$A$32:$B$63,2,FALSE()),0)*IF(ISNUMBER($I621),$I621,0)</f>
        <v>12</v>
      </c>
    </row>
    <row r="622" spans="1:21" x14ac:dyDescent="0.25">
      <c r="A622" s="5">
        <v>621</v>
      </c>
      <c r="B622" s="5"/>
      <c r="C622" s="5" t="s">
        <v>89</v>
      </c>
      <c r="D622" s="5" t="s">
        <v>241</v>
      </c>
      <c r="E622" s="5" t="str">
        <f>IFERROR(VLOOKUP($D622,FIYAT!$B:$O,2,FALSE()),"")</f>
        <v>Индикатор ND16-22DS/4 белый АС230В (R)</v>
      </c>
      <c r="F622" s="5">
        <f>IFERROR(VLOOKUP($D622,FIYAT!$B:$O,5,FALSE()),"")</f>
        <v>1047</v>
      </c>
      <c r="G622" s="5">
        <f>IFERROR(VLOOKUP($D622,FIYAT!$B:$O,8,FALSE()),"")</f>
        <v>628.19999999999993</v>
      </c>
      <c r="H622" s="5">
        <f t="shared" si="76"/>
        <v>1884.6</v>
      </c>
      <c r="I622" s="6">
        <v>3</v>
      </c>
      <c r="J622" s="5" t="str">
        <f>IFERROR(VLOOKUP($D622,FIYAT!$B:$O,9,FALSE()),"")</f>
        <v>Шт.</v>
      </c>
      <c r="K622" s="5" t="str">
        <f>IFERROR(VLOOKUP($D622,FIYAT!$B:$O,4,FALSE()),"")</f>
        <v>CHINT</v>
      </c>
      <c r="L622" s="5">
        <f t="shared" si="77"/>
        <v>1884.6</v>
      </c>
      <c r="M622" s="5"/>
      <c r="N622" s="5"/>
      <c r="O622" s="5"/>
      <c r="P622" s="5" t="str">
        <f>IF($H622="","FIYAT_YOK",IFERROR(VLOOKUP($D622,FIYAT!$B:$P,15,FALSE()),""))</f>
        <v>OK</v>
      </c>
      <c r="Q622" s="5" t="s">
        <v>243</v>
      </c>
      <c r="R622" s="5" t="s">
        <v>184</v>
      </c>
      <c r="S622" s="5" t="s">
        <v>550</v>
      </c>
      <c r="T622" s="5" t="s">
        <v>89</v>
      </c>
      <c r="U622" s="5">
        <f>IFERROR(VLOOKUP($T622,KURALLAR!$A$32:$B$63,2,FALSE()),0)*IF(ISNUMBER($I622),$I622,0)</f>
        <v>12</v>
      </c>
    </row>
    <row r="623" spans="1:21" x14ac:dyDescent="0.25">
      <c r="A623" s="9">
        <v>622</v>
      </c>
      <c r="B623" s="9"/>
      <c r="C623" s="9" t="s">
        <v>87</v>
      </c>
      <c r="D623" s="9" t="s">
        <v>270</v>
      </c>
      <c r="E623" s="9" t="str">
        <f>IFERROR(VLOOKUP($D623,FIYAT!$B:$O,2,FALSE()),"")</f>
        <v>Реле защиты от утечки тока с LCD индикацией (регулируемое) — CHINT листинге нет</v>
      </c>
      <c r="F623" s="9">
        <f>IFERROR(VLOOKUP($D623,FIYAT!$B:$O,5,FALSE()),"")</f>
        <v>0</v>
      </c>
      <c r="G623" s="9" t="str">
        <f>IFERROR(VLOOKUP($D623,FIYAT!$B:$O,8,FALSE()),"")</f>
        <v/>
      </c>
      <c r="H623" s="9" t="str">
        <f t="shared" si="76"/>
        <v/>
      </c>
      <c r="I623" s="6">
        <v>1</v>
      </c>
      <c r="J623" s="9" t="str">
        <f>IFERROR(VLOOKUP($D623,FIYAT!$B:$O,9,FALSE()),"")</f>
        <v>Шт.</v>
      </c>
      <c r="K623" s="9" t="str">
        <f>IFERROR(VLOOKUP($D623,FIYAT!$B:$O,4,FALSE()),"")</f>
        <v>MUADIL-NET</v>
      </c>
      <c r="L623" s="9" t="str">
        <f t="shared" si="77"/>
        <v/>
      </c>
      <c r="M623" s="9"/>
      <c r="N623" s="9"/>
      <c r="O623" s="9"/>
      <c r="P623" s="7" t="str">
        <f>IF($H623="","FIYAT_YOK",IFERROR(VLOOKUP($D623,FIYAT!$B:$P,15,FALSE()),""))</f>
        <v>FIYAT_YOK</v>
      </c>
      <c r="Q623" s="7" t="s">
        <v>272</v>
      </c>
      <c r="R623" s="9"/>
      <c r="S623" s="9" t="s">
        <v>550</v>
      </c>
      <c r="T623" s="9" t="s">
        <v>87</v>
      </c>
      <c r="U623" s="9">
        <f>IFERROR(VLOOKUP($T623,KURALLAR!$A$32:$B$63,2,FALSE()),0)*IF(ISNUMBER($I623),$I623,0)</f>
        <v>8</v>
      </c>
    </row>
    <row r="624" spans="1:21" x14ac:dyDescent="0.25">
      <c r="A624" s="5">
        <v>623</v>
      </c>
      <c r="B624" s="5"/>
      <c r="C624" s="5" t="s">
        <v>83</v>
      </c>
      <c r="D624" s="5" t="s">
        <v>332</v>
      </c>
      <c r="E624" s="5" t="str">
        <f>IFERROR(VLOOKUP($D624,FIYAT!$B:$O,2,FALSE()),"")</f>
        <v>Тороидальный трансформатор тока Ø45мм (16-100A) — CHINT листинге нет</v>
      </c>
      <c r="F624" s="5">
        <f>IFERROR(VLOOKUP($D624,FIYAT!$B:$O,5,FALSE()),"")</f>
        <v>0</v>
      </c>
      <c r="G624" s="5" t="str">
        <f>IFERROR(VLOOKUP($D624,FIYAT!$B:$O,8,FALSE()),"")</f>
        <v/>
      </c>
      <c r="H624" s="5" t="str">
        <f t="shared" si="76"/>
        <v/>
      </c>
      <c r="I624" s="6">
        <v>1</v>
      </c>
      <c r="J624" s="5" t="str">
        <f>IFERROR(VLOOKUP($D624,FIYAT!$B:$O,9,FALSE()),"")</f>
        <v>Шт.</v>
      </c>
      <c r="K624" s="5" t="str">
        <f>IFERROR(VLOOKUP($D624,FIYAT!$B:$O,4,FALSE()),"")</f>
        <v>MUADIL-NET</v>
      </c>
      <c r="L624" s="5" t="str">
        <f t="shared" si="77"/>
        <v/>
      </c>
      <c r="M624" s="5"/>
      <c r="N624" s="5"/>
      <c r="O624" s="5"/>
      <c r="P624" s="7" t="str">
        <f>IF($H624="","FIYAT_YOK",IFERROR(VLOOKUP($D624,FIYAT!$B:$P,15,FALSE()),""))</f>
        <v>FIYAT_YOK</v>
      </c>
      <c r="Q624" s="7" t="s">
        <v>334</v>
      </c>
      <c r="R624" s="5"/>
      <c r="S624" s="5" t="s">
        <v>550</v>
      </c>
      <c r="T624" s="5" t="s">
        <v>83</v>
      </c>
      <c r="U624" s="5">
        <f>IFERROR(VLOOKUP($T624,KURALLAR!$A$32:$B$63,2,FALSE()),0)*IF(ISNUMBER($I624),$I624,0)</f>
        <v>10</v>
      </c>
    </row>
    <row r="625" spans="1:21" x14ac:dyDescent="0.25">
      <c r="A625" s="9">
        <v>624</v>
      </c>
      <c r="B625" s="9"/>
      <c r="C625" s="9" t="s">
        <v>192</v>
      </c>
      <c r="D625" s="9" t="s">
        <v>244</v>
      </c>
      <c r="E625" s="9" t="str">
        <f>IFERROR(VLOOKUP($D625,FIYAT!$B:$O,2,FALSE()),"")</f>
        <v>Авт. выкл. NXB-63 3P 40A 6кА х-ка C (R)</v>
      </c>
      <c r="F625" s="9">
        <f>IFERROR(VLOOKUP($D625,FIYAT!$B:$O,5,FALSE()),"")</f>
        <v>5647</v>
      </c>
      <c r="G625" s="9">
        <f>IFERROR(VLOOKUP($D625,FIYAT!$B:$O,8,FALSE()),"")</f>
        <v>3388.2</v>
      </c>
      <c r="H625" s="9">
        <f t="shared" si="76"/>
        <v>6776.4</v>
      </c>
      <c r="I625" s="6">
        <v>2</v>
      </c>
      <c r="J625" s="9" t="str">
        <f>IFERROR(VLOOKUP($D625,FIYAT!$B:$O,9,FALSE()),"")</f>
        <v>Шт.</v>
      </c>
      <c r="K625" s="9" t="str">
        <f>IFERROR(VLOOKUP($D625,FIYAT!$B:$O,4,FALSE()),"")</f>
        <v>CHINT</v>
      </c>
      <c r="L625" s="9">
        <f t="shared" si="77"/>
        <v>6776.4</v>
      </c>
      <c r="M625" s="9"/>
      <c r="N625" s="9"/>
      <c r="O625" s="9"/>
      <c r="P625" s="9" t="str">
        <f>IF($H625="","FIYAT_YOK",IFERROR(VLOOKUP($D625,FIYAT!$B:$P,15,FALSE()),""))</f>
        <v>OK</v>
      </c>
      <c r="Q625" s="9" t="s">
        <v>246</v>
      </c>
      <c r="R625" s="9" t="s">
        <v>171</v>
      </c>
      <c r="S625" s="9" t="s">
        <v>550</v>
      </c>
      <c r="T625" s="9" t="s">
        <v>51</v>
      </c>
      <c r="U625" s="9">
        <f>IFERROR(VLOOKUP($T625,KURALLAR!$A$32:$B$63,2,FALSE()),0)*IF(ISNUMBER($I625),$I625,0)</f>
        <v>16</v>
      </c>
    </row>
    <row r="626" spans="1:21" x14ac:dyDescent="0.25">
      <c r="A626" s="5">
        <v>625</v>
      </c>
      <c r="B626" s="5"/>
      <c r="C626" s="5" t="s">
        <v>192</v>
      </c>
      <c r="D626" s="5" t="s">
        <v>190</v>
      </c>
      <c r="E626" s="5" t="str">
        <f>IFERROR(VLOOKUP($D626,FIYAT!$B:$O,2,FALSE()),"")</f>
        <v>Авт. выкл. NXB-63 3P 25A 6кА х-ка C (R)</v>
      </c>
      <c r="F626" s="5">
        <f>IFERROR(VLOOKUP($D626,FIYAT!$B:$O,5,FALSE()),"")</f>
        <v>5334</v>
      </c>
      <c r="G626" s="5">
        <f>IFERROR(VLOOKUP($D626,FIYAT!$B:$O,8,FALSE()),"")</f>
        <v>3200.4</v>
      </c>
      <c r="H626" s="5">
        <f t="shared" si="76"/>
        <v>3200.4</v>
      </c>
      <c r="I626" s="6">
        <v>1</v>
      </c>
      <c r="J626" s="5" t="str">
        <f>IFERROR(VLOOKUP($D626,FIYAT!$B:$O,9,FALSE()),"")</f>
        <v>Шт.</v>
      </c>
      <c r="K626" s="5" t="str">
        <f>IFERROR(VLOOKUP($D626,FIYAT!$B:$O,4,FALSE()),"")</f>
        <v>CHINT</v>
      </c>
      <c r="L626" s="5">
        <f t="shared" si="77"/>
        <v>3200.4</v>
      </c>
      <c r="M626" s="5"/>
      <c r="N626" s="5"/>
      <c r="O626" s="5"/>
      <c r="P626" s="5" t="str">
        <f>IF($H626="","FIYAT_YOK",IFERROR(VLOOKUP($D626,FIYAT!$B:$P,15,FALSE()),""))</f>
        <v>OK</v>
      </c>
      <c r="Q626" s="5" t="s">
        <v>193</v>
      </c>
      <c r="R626" s="5" t="s">
        <v>171</v>
      </c>
      <c r="S626" s="5" t="s">
        <v>550</v>
      </c>
      <c r="T626" s="5" t="s">
        <v>51</v>
      </c>
      <c r="U626" s="5">
        <f>IFERROR(VLOOKUP($T626,KURALLAR!$A$32:$B$63,2,FALSE()),0)*IF(ISNUMBER($I626),$I626,0)</f>
        <v>8</v>
      </c>
    </row>
    <row r="627" spans="1:21" x14ac:dyDescent="0.25">
      <c r="A627" s="9">
        <v>626</v>
      </c>
      <c r="B627" s="9"/>
      <c r="C627" s="9" t="s">
        <v>192</v>
      </c>
      <c r="D627" s="9" t="s">
        <v>304</v>
      </c>
      <c r="E627" s="9" t="str">
        <f>IFERROR(VLOOKUP($D627,FIYAT!$B:$O,2,FALSE()),"")</f>
        <v>Авт. выкл. NXB-63 3P 16A 6кА х-ка C (R)</v>
      </c>
      <c r="F627" s="9">
        <f>IFERROR(VLOOKUP($D627,FIYAT!$B:$O,5,FALSE()),"")</f>
        <v>5462</v>
      </c>
      <c r="G627" s="9">
        <f>IFERROR(VLOOKUP($D627,FIYAT!$B:$O,8,FALSE()),"")</f>
        <v>3277.2</v>
      </c>
      <c r="H627" s="9">
        <f t="shared" si="76"/>
        <v>6554.4</v>
      </c>
      <c r="I627" s="6">
        <v>2</v>
      </c>
      <c r="J627" s="9" t="str">
        <f>IFERROR(VLOOKUP($D627,FIYAT!$B:$O,9,FALSE()),"")</f>
        <v>Шт.</v>
      </c>
      <c r="K627" s="9" t="str">
        <f>IFERROR(VLOOKUP($D627,FIYAT!$B:$O,4,FALSE()),"")</f>
        <v>CHINT</v>
      </c>
      <c r="L627" s="9">
        <f t="shared" si="77"/>
        <v>6554.4</v>
      </c>
      <c r="M627" s="9"/>
      <c r="N627" s="9"/>
      <c r="O627" s="9"/>
      <c r="P627" s="9" t="str">
        <f>IF($H627="","FIYAT_YOK",IFERROR(VLOOKUP($D627,FIYAT!$B:$P,15,FALSE()),""))</f>
        <v>OK</v>
      </c>
      <c r="Q627" s="9" t="s">
        <v>306</v>
      </c>
      <c r="R627" s="9" t="s">
        <v>171</v>
      </c>
      <c r="S627" s="9" t="s">
        <v>550</v>
      </c>
      <c r="T627" s="9" t="s">
        <v>51</v>
      </c>
      <c r="U627" s="9">
        <f>IFERROR(VLOOKUP($T627,KURALLAR!$A$32:$B$63,2,FALSE()),0)*IF(ISNUMBER($I627),$I627,0)</f>
        <v>16</v>
      </c>
    </row>
    <row r="628" spans="1:21" x14ac:dyDescent="0.25">
      <c r="A628" s="5">
        <v>627</v>
      </c>
      <c r="B628" s="5"/>
      <c r="C628" s="5" t="s">
        <v>192</v>
      </c>
      <c r="D628" s="5" t="s">
        <v>321</v>
      </c>
      <c r="E628" s="5" t="str">
        <f>IFERROR(VLOOKUP($D628,FIYAT!$B:$O,2,FALSE()),"")</f>
        <v>Авт. выкл. NXB-63 1P 25A 6кА х-ка C (R)</v>
      </c>
      <c r="F628" s="5">
        <f>IFERROR(VLOOKUP($D628,FIYAT!$B:$O,5,FALSE()),"")</f>
        <v>1330</v>
      </c>
      <c r="G628" s="5">
        <f>IFERROR(VLOOKUP($D628,FIYAT!$B:$O,8,FALSE()),"")</f>
        <v>798</v>
      </c>
      <c r="H628" s="5">
        <f t="shared" si="76"/>
        <v>2394</v>
      </c>
      <c r="I628" s="6">
        <v>3</v>
      </c>
      <c r="J628" s="5" t="str">
        <f>IFERROR(VLOOKUP($D628,FIYAT!$B:$O,9,FALSE()),"")</f>
        <v>Шт.</v>
      </c>
      <c r="K628" s="5" t="str">
        <f>IFERROR(VLOOKUP($D628,FIYAT!$B:$O,4,FALSE()),"")</f>
        <v>CHINT</v>
      </c>
      <c r="L628" s="5">
        <f t="shared" si="77"/>
        <v>2394</v>
      </c>
      <c r="M628" s="5"/>
      <c r="N628" s="5"/>
      <c r="O628" s="5"/>
      <c r="P628" s="5" t="str">
        <f>IF($H628="","FIYAT_YOK",IFERROR(VLOOKUP($D628,FIYAT!$B:$P,15,FALSE()),""))</f>
        <v>OK</v>
      </c>
      <c r="Q628" s="5" t="s">
        <v>323</v>
      </c>
      <c r="R628" s="5" t="s">
        <v>171</v>
      </c>
      <c r="S628" s="5" t="s">
        <v>550</v>
      </c>
      <c r="T628" s="5" t="s">
        <v>47</v>
      </c>
      <c r="U628" s="5">
        <f>IFERROR(VLOOKUP($T628,KURALLAR!$A$32:$B$63,2,FALSE()),0)*IF(ISNUMBER($I628),$I628,0)</f>
        <v>9</v>
      </c>
    </row>
    <row r="629" spans="1:21" x14ac:dyDescent="0.25">
      <c r="A629" s="9">
        <v>628</v>
      </c>
      <c r="B629" s="9"/>
      <c r="C629" s="9" t="s">
        <v>192</v>
      </c>
      <c r="D629" s="9" t="s">
        <v>194</v>
      </c>
      <c r="E629" s="9" t="str">
        <f>IFERROR(VLOOKUP($D629,FIYAT!$B:$O,2,FALSE()),"")</f>
        <v>Авт. выкл. NXB-63 1P 16A 6кА х-ка C (R)</v>
      </c>
      <c r="F629" s="9">
        <f>IFERROR(VLOOKUP($D629,FIYAT!$B:$O,5,FALSE()),"")</f>
        <v>1389</v>
      </c>
      <c r="G629" s="9">
        <f>IFERROR(VLOOKUP($D629,FIYAT!$B:$O,8,FALSE()),"")</f>
        <v>833.4</v>
      </c>
      <c r="H629" s="9">
        <f t="shared" si="76"/>
        <v>13334.4</v>
      </c>
      <c r="I629" s="6">
        <v>16</v>
      </c>
      <c r="J629" s="9" t="str">
        <f>IFERROR(VLOOKUP($D629,FIYAT!$B:$O,9,FALSE()),"")</f>
        <v>Шт.</v>
      </c>
      <c r="K629" s="9" t="str">
        <f>IFERROR(VLOOKUP($D629,FIYAT!$B:$O,4,FALSE()),"")</f>
        <v>CHINT</v>
      </c>
      <c r="L629" s="9">
        <f t="shared" si="77"/>
        <v>13334.4</v>
      </c>
      <c r="M629" s="9"/>
      <c r="N629" s="9"/>
      <c r="O629" s="9"/>
      <c r="P629" s="9" t="str">
        <f>IF($H629="","FIYAT_YOK",IFERROR(VLOOKUP($D629,FIYAT!$B:$P,15,FALSE()),""))</f>
        <v>OK</v>
      </c>
      <c r="Q629" s="9" t="s">
        <v>196</v>
      </c>
      <c r="R629" s="9" t="s">
        <v>171</v>
      </c>
      <c r="S629" s="9" t="s">
        <v>550</v>
      </c>
      <c r="T629" s="9" t="s">
        <v>47</v>
      </c>
      <c r="U629" s="9">
        <f>IFERROR(VLOOKUP($T629,KURALLAR!$A$32:$B$63,2,FALSE()),0)*IF(ISNUMBER($I629),$I629,0)</f>
        <v>48</v>
      </c>
    </row>
    <row r="630" spans="1:21" x14ac:dyDescent="0.25">
      <c r="A630" s="5">
        <v>629</v>
      </c>
      <c r="B630" s="5"/>
      <c r="C630" s="5" t="s">
        <v>93</v>
      </c>
      <c r="D630" s="5" t="s">
        <v>209</v>
      </c>
      <c r="E630" s="5" t="str">
        <f>IFERROR(VLOOKUP($D630,FIYAT!$B:$O,2,FALSE()),"")</f>
        <v>Шина "N" нулевая 6х9мм на DIN-рейку в корпусном изоляторе ШНИ 12К IEK (10)</v>
      </c>
      <c r="F630" s="5">
        <f>IFERROR(VLOOKUP($D630,FIYAT!$B:$O,5,FALSE()),"")</f>
        <v>755</v>
      </c>
      <c r="G630" s="5">
        <f>IFERROR(VLOOKUP($D630,FIYAT!$B:$O,8,FALSE()),"")</f>
        <v>453</v>
      </c>
      <c r="H630" s="5">
        <f t="shared" si="76"/>
        <v>1812</v>
      </c>
      <c r="I630" s="6">
        <v>4</v>
      </c>
      <c r="J630" s="5" t="str">
        <f>IFERROR(VLOOKUP($D630,FIYAT!$B:$O,9,FALSE()),"")</f>
        <v>Шт.</v>
      </c>
      <c r="K630" s="5" t="str">
        <f>IFERROR(VLOOKUP($D630,FIYAT!$B:$O,4,FALSE()),"")</f>
        <v>KAZTEK</v>
      </c>
      <c r="L630" s="5">
        <f t="shared" si="77"/>
        <v>1812</v>
      </c>
      <c r="M630" s="5"/>
      <c r="N630" s="5"/>
      <c r="O630" s="5"/>
      <c r="P630" s="5" t="str">
        <f>IF($H630="","FIYAT_YOK",IFERROR(VLOOKUP($D630,FIYAT!$B:$P,15,FALSE()),""))</f>
        <v>MUADIL</v>
      </c>
      <c r="Q630" s="5" t="s">
        <v>212</v>
      </c>
      <c r="R630" s="5" t="s">
        <v>211</v>
      </c>
      <c r="S630" s="5" t="s">
        <v>550</v>
      </c>
      <c r="T630" s="5" t="s">
        <v>93</v>
      </c>
      <c r="U630" s="5">
        <f>IFERROR(VLOOKUP($T630,KURALLAR!$A$32:$B$63,2,FALSE()),0)*IF(ISNUMBER($I630),$I630,0)</f>
        <v>32</v>
      </c>
    </row>
    <row r="631" spans="1:21" x14ac:dyDescent="0.25">
      <c r="A631" s="9">
        <v>630</v>
      </c>
      <c r="B631" s="9"/>
      <c r="C631" s="9" t="s">
        <v>222</v>
      </c>
      <c r="D631" s="9" t="s">
        <v>307</v>
      </c>
      <c r="E631" s="9" t="str">
        <f>IFERROR(VLOOKUP($D631,FIYAT!$B:$O,2,FALSE()),"")</f>
        <v>Мет.Корпус ЩМП-5 (1000x650x300) IP31</v>
      </c>
      <c r="F631" s="9">
        <f>IFERROR(VLOOKUP($D631,FIYAT!$B:$O,5,FALSE()),"")</f>
        <v>38905</v>
      </c>
      <c r="G631" s="9">
        <f>IFERROR(VLOOKUP($D631,FIYAT!$B:$O,8,FALSE()),"")</f>
        <v>23343</v>
      </c>
      <c r="H631" s="9">
        <f t="shared" si="76"/>
        <v>23343</v>
      </c>
      <c r="I631" s="6">
        <v>1</v>
      </c>
      <c r="J631" s="9" t="str">
        <f>IFERROR(VLOOKUP($D631,FIYAT!$B:$O,9,FALSE()),"")</f>
        <v>Шт.</v>
      </c>
      <c r="K631" s="9" t="str">
        <f>IFERROR(VLOOKUP($D631,FIYAT!$B:$O,4,FALSE()),"")</f>
        <v>KAZTEK</v>
      </c>
      <c r="L631" s="9">
        <f t="shared" si="77"/>
        <v>23343</v>
      </c>
      <c r="M631" s="9"/>
      <c r="N631" s="9"/>
      <c r="O631" s="9"/>
      <c r="P631" s="9" t="str">
        <f>IF($H631="","FIYAT_YOK",IFERROR(VLOOKUP($D631,FIYAT!$B:$P,15,FALSE()),""))</f>
        <v>VARSAYIM</v>
      </c>
      <c r="Q631" s="9" t="s">
        <v>309</v>
      </c>
      <c r="R631" s="9" t="s">
        <v>211</v>
      </c>
      <c r="S631" s="9" t="s">
        <v>550</v>
      </c>
      <c r="T631" s="9" t="s">
        <v>105</v>
      </c>
      <c r="U631" s="9">
        <f>IFERROR(VLOOKUP($T631,KURALLAR!$A$32:$B$63,2,FALSE()),0)*IF(ISNUMBER($I631),$I631,0)</f>
        <v>30</v>
      </c>
    </row>
    <row r="632" spans="1:21" x14ac:dyDescent="0.25">
      <c r="A632" s="5">
        <v>631</v>
      </c>
      <c r="B632" s="5"/>
      <c r="C632" s="5" t="s">
        <v>215</v>
      </c>
      <c r="D632" s="5" t="s">
        <v>213</v>
      </c>
      <c r="E632" s="5" t="str">
        <f>IFERROR(VLOOKUP($D632,FIYAT!$B:$O,2,FALSE()),"")</f>
        <v>Монтажный расходный материал (кабель, DIN-рейка, кабель-канал, клеммы, маркировка, крепёж)</v>
      </c>
      <c r="F632" s="5">
        <f>IFERROR(VLOOKUP($D632,FIYAT!$B:$O,5,FALSE()),"")</f>
        <v>0</v>
      </c>
      <c r="G632" s="5" t="str">
        <f>IFERROR(VLOOKUP($D632,FIYAT!$B:$O,8,FALSE()),"")</f>
        <v/>
      </c>
      <c r="H632" s="5">
        <f>ROUND(SUM($H$616:$H$631)*KURALLAR!$B$28,0)</f>
        <v>10051</v>
      </c>
      <c r="I632" s="6">
        <v>1</v>
      </c>
      <c r="J632" s="5" t="str">
        <f>IFERROR(VLOOKUP($D632,FIYAT!$B:$O,9,FALSE()),"")</f>
        <v>компл.</v>
      </c>
      <c r="K632" s="5" t="str">
        <f>IFERROR(VLOOKUP($D632,FIYAT!$B:$O,4,FALSE()),"")</f>
        <v>MUADIL-NET</v>
      </c>
      <c r="L632" s="5">
        <f t="shared" si="77"/>
        <v>10051</v>
      </c>
      <c r="M632" s="5"/>
      <c r="N632" s="5"/>
      <c r="O632" s="5"/>
      <c r="P632" s="5" t="str">
        <f>IF($H632="","FIYAT_YOK",IFERROR(VLOOKUP($D632,FIYAT!$B:$P,15,FALSE()),""))</f>
        <v>ORAN</v>
      </c>
      <c r="Q632" s="5" t="s">
        <v>218</v>
      </c>
      <c r="R632" s="5" t="s">
        <v>217</v>
      </c>
      <c r="S632" s="5" t="s">
        <v>550</v>
      </c>
      <c r="T632" s="5"/>
      <c r="U632" s="5">
        <v>0</v>
      </c>
    </row>
    <row r="633" spans="1:21" x14ac:dyDescent="0.25">
      <c r="A633" s="9">
        <v>632</v>
      </c>
      <c r="B633" s="9"/>
      <c r="C633" s="9" t="s">
        <v>227</v>
      </c>
      <c r="D633" s="9" t="s">
        <v>225</v>
      </c>
      <c r="E633" s="9" t="str">
        <f>IFERROR(VLOOKUP($D633,FIYAT!$B:$O,2,FALSE()),"")</f>
        <v>Сборка, кабелирование, маркировка, момент затяжки, испытания</v>
      </c>
      <c r="F633" s="9">
        <f>IFERROR(VLOOKUP($D633,FIYAT!$B:$O,5,FALSE()),"")</f>
        <v>100</v>
      </c>
      <c r="G633" s="9">
        <f>IFERROR(VLOOKUP($D633,FIYAT!$B:$O,8,FALSE()),"")</f>
        <v>100</v>
      </c>
      <c r="H633" s="9">
        <f>IF(OR($G633="",$I633=""),"",$G633*$I633)</f>
        <v>30800</v>
      </c>
      <c r="I633" s="6">
        <f>ROUND(SUM($U$616:$U$632)*KURALLAR!$B$27,0)</f>
        <v>308</v>
      </c>
      <c r="J633" s="9" t="str">
        <f>IFERROR(VLOOKUP($D633,FIYAT!$B:$O,9,FALSE()),"")</f>
        <v>мин</v>
      </c>
      <c r="K633" s="9" t="str">
        <f>IFERROR(VLOOKUP($D633,FIYAT!$B:$O,4,FALSE()),"")</f>
        <v>ISCILIK</v>
      </c>
      <c r="L633" s="9">
        <f t="shared" si="77"/>
        <v>30800</v>
      </c>
      <c r="M633" s="9"/>
      <c r="N633" s="9"/>
      <c r="O633" s="9"/>
      <c r="P633" s="9" t="str">
        <f>IF($H633="","FIYAT_YOK",IFERROR(VLOOKUP($D633,FIYAT!$B:$P,15,FALSE()),""))</f>
        <v>OK</v>
      </c>
      <c r="Q633" s="9" t="str">
        <f>CONCATENATE("montaj+test iscilik: ",TEXT($I633,"# ##0")," dk = ",TEXT($I633/60,"0,00")," saat (norm x test/etiket carpani)")</f>
        <v>montaj+test iscilik:  308 dk = 5,13 saat (norm x test/etiket carpani)</v>
      </c>
      <c r="R633" s="9" t="s">
        <v>229</v>
      </c>
      <c r="S633" s="9" t="s">
        <v>550</v>
      </c>
      <c r="T633" s="9"/>
      <c r="U633" s="9">
        <v>0</v>
      </c>
    </row>
    <row r="634" spans="1:21" x14ac:dyDescent="0.25">
      <c r="A634" s="10">
        <v>633</v>
      </c>
      <c r="B634" s="10" t="s">
        <v>627</v>
      </c>
      <c r="C634" s="10"/>
      <c r="D634" s="10"/>
      <c r="E634" s="10"/>
      <c r="F634" s="10"/>
      <c r="G634" s="10"/>
      <c r="H634" s="10">
        <f>SUBTOTAL(9,H616:H633)</f>
        <v>184433.39999999997</v>
      </c>
      <c r="I634" s="10"/>
      <c r="J634" s="10"/>
      <c r="K634" s="10"/>
      <c r="L634" s="10">
        <f>SUBTOTAL(9,L616:L633)</f>
        <v>184433.39999999997</v>
      </c>
      <c r="M634" s="10"/>
      <c r="N634" s="10"/>
      <c r="O634" s="10"/>
      <c r="P634" s="10"/>
      <c r="Q634" s="10"/>
      <c r="R634" s="10"/>
      <c r="S634" s="10"/>
      <c r="T634" s="10"/>
      <c r="U634" s="10">
        <f>SUBTOTAL(9,U616:U633)</f>
        <v>268</v>
      </c>
    </row>
    <row r="635" spans="1:21" x14ac:dyDescent="0.25">
      <c r="A635" s="8">
        <v>634</v>
      </c>
      <c r="B635" s="8" t="str">
        <f>E635</f>
        <v>BLOK A / ЩА-13F — НКУ 380/220В 50Гц, FORM 2B, IP31/54</v>
      </c>
      <c r="C635" s="8" t="s">
        <v>545</v>
      </c>
      <c r="D635" s="8"/>
      <c r="E635" s="8" t="s">
        <v>628</v>
      </c>
      <c r="F635" s="8"/>
      <c r="G635" s="8"/>
      <c r="H635" s="8"/>
      <c r="I635" s="8">
        <v>1</v>
      </c>
      <c r="J635" s="8" t="s">
        <v>547</v>
      </c>
      <c r="K635" s="8"/>
      <c r="L635" s="8"/>
      <c r="M635" s="8"/>
      <c r="N635" s="8"/>
      <c r="O635" s="8"/>
      <c r="P635" s="8" t="s">
        <v>178</v>
      </c>
      <c r="Q635" s="8" t="s">
        <v>548</v>
      </c>
      <c r="R635" s="8" t="s">
        <v>549</v>
      </c>
      <c r="S635" s="8" t="s">
        <v>550</v>
      </c>
      <c r="T635" s="8"/>
      <c r="U635" s="8"/>
    </row>
    <row r="636" spans="1:21" x14ac:dyDescent="0.25">
      <c r="A636" s="5">
        <v>635</v>
      </c>
      <c r="B636" s="5"/>
      <c r="C636" s="5" t="s">
        <v>169</v>
      </c>
      <c r="D636" s="5" t="s">
        <v>350</v>
      </c>
      <c r="E636" s="5" t="str">
        <f>IFERROR(VLOOKUP($D636,FIYAT!$B:$O,2,FALSE()),"")</f>
        <v>Авт. выкл. NM8N-125C TM 3P 63А 36кА с рег. термомаг. расцепителем (R)</v>
      </c>
      <c r="F636" s="5">
        <f>IFERROR(VLOOKUP($D636,FIYAT!$B:$O,5,FALSE()),"")</f>
        <v>64066</v>
      </c>
      <c r="G636" s="5">
        <f>IFERROR(VLOOKUP($D636,FIYAT!$B:$O,8,FALSE()),"")</f>
        <v>38439.599999999999</v>
      </c>
      <c r="H636" s="5">
        <f t="shared" ref="H636:H645" si="78">IF(OR($G636="",$I636=""),"",$G636*$I636)</f>
        <v>38439.599999999999</v>
      </c>
      <c r="I636" s="6">
        <v>1</v>
      </c>
      <c r="J636" s="5" t="str">
        <f>IFERROR(VLOOKUP($D636,FIYAT!$B:$O,9,FALSE()),"")</f>
        <v>Шт.</v>
      </c>
      <c r="K636" s="5" t="str">
        <f>IFERROR(VLOOKUP($D636,FIYAT!$B:$O,4,FALSE()),"")</f>
        <v>CHINT</v>
      </c>
      <c r="L636" s="5">
        <f t="shared" ref="L636:L647" si="79">IF($H636="","",$H636)</f>
        <v>38439.599999999999</v>
      </c>
      <c r="M636" s="5"/>
      <c r="N636" s="5"/>
      <c r="O636" s="5"/>
      <c r="P636" s="5" t="str">
        <f>IF($H636="","FIYAT_YOK",IFERROR(VLOOKUP($D636,FIYAT!$B:$P,15,FALSE()),""))</f>
        <v>MUADIL</v>
      </c>
      <c r="Q636" s="5" t="s">
        <v>172</v>
      </c>
      <c r="R636" s="5" t="s">
        <v>171</v>
      </c>
      <c r="S636" s="5" t="s">
        <v>550</v>
      </c>
      <c r="T636" s="5" t="s">
        <v>61</v>
      </c>
      <c r="U636" s="5">
        <f>IFERROR(VLOOKUP($T636,KURALLAR!$A$32:$B$63,2,FALSE()),0)*IF(ISNUMBER($I636),$I636,0)</f>
        <v>15</v>
      </c>
    </row>
    <row r="637" spans="1:21" x14ac:dyDescent="0.25">
      <c r="A637" s="9">
        <v>636</v>
      </c>
      <c r="B637" s="9"/>
      <c r="C637" s="9" t="s">
        <v>176</v>
      </c>
      <c r="D637" s="9" t="s">
        <v>174</v>
      </c>
      <c r="E637" s="9" t="str">
        <f>IFERROR(VLOOKUP($D637,FIYAT!$B:$O,2,FALSE()),"")</f>
        <v>УЗО NL1-63 6kA 4P 63A 300mA тип AC (R)</v>
      </c>
      <c r="F637" s="9">
        <f>IFERROR(VLOOKUP($D637,FIYAT!$B:$O,5,FALSE()),"")</f>
        <v>18106</v>
      </c>
      <c r="G637" s="9">
        <f>IFERROR(VLOOKUP($D637,FIYAT!$B:$O,8,FALSE()),"")</f>
        <v>10863.6</v>
      </c>
      <c r="H637" s="9">
        <f t="shared" si="78"/>
        <v>10863.6</v>
      </c>
      <c r="I637" s="6">
        <v>1</v>
      </c>
      <c r="J637" s="9" t="str">
        <f>IFERROR(VLOOKUP($D637,FIYAT!$B:$O,9,FALSE()),"")</f>
        <v>Шт.</v>
      </c>
      <c r="K637" s="9" t="str">
        <f>IFERROR(VLOOKUP($D637,FIYAT!$B:$O,4,FALSE()),"")</f>
        <v>CHINT</v>
      </c>
      <c r="L637" s="9">
        <f t="shared" si="79"/>
        <v>10863.6</v>
      </c>
      <c r="M637" s="9"/>
      <c r="N637" s="9"/>
      <c r="O637" s="9"/>
      <c r="P637" s="9" t="str">
        <f>IF($H637="","FIYAT_YOK",IFERROR(VLOOKUP($D637,FIYAT!$B:$P,15,FALSE()),""))</f>
        <v>OK</v>
      </c>
      <c r="Q637" s="9" t="s">
        <v>177</v>
      </c>
      <c r="R637" s="9" t="s">
        <v>171</v>
      </c>
      <c r="S637" s="9" t="s">
        <v>550</v>
      </c>
      <c r="T637" s="9" t="s">
        <v>57</v>
      </c>
      <c r="U637" s="9">
        <f>IFERROR(VLOOKUP($T637,KURALLAR!$A$32:$B$63,2,FALSE()),0)*IF(ISNUMBER($I637),$I637,0)</f>
        <v>10</v>
      </c>
    </row>
    <row r="638" spans="1:21" x14ac:dyDescent="0.25">
      <c r="A638" s="5">
        <v>637</v>
      </c>
      <c r="B638" s="5"/>
      <c r="C638" s="5" t="s">
        <v>79</v>
      </c>
      <c r="D638" s="5" t="s">
        <v>179</v>
      </c>
      <c r="E638" s="5" t="str">
        <f>IFERROR(VLOOKUP($D638,FIYAT!$B:$O,2,FALSE()),"")</f>
        <v>Держатель плавкой вставки RT36-00-160, габарит 00, 160А</v>
      </c>
      <c r="F638" s="5">
        <f>IFERROR(VLOOKUP($D638,FIYAT!$B:$O,5,FALSE()),"")</f>
        <v>2038</v>
      </c>
      <c r="G638" s="5">
        <f>IFERROR(VLOOKUP($D638,FIYAT!$B:$O,8,FALSE()),"")</f>
        <v>1222.8</v>
      </c>
      <c r="H638" s="5">
        <f t="shared" si="78"/>
        <v>4891.2</v>
      </c>
      <c r="I638" s="6">
        <v>4</v>
      </c>
      <c r="J638" s="5" t="str">
        <f>IFERROR(VLOOKUP($D638,FIYAT!$B:$O,9,FALSE()),"")</f>
        <v>Шт.</v>
      </c>
      <c r="K638" s="5" t="str">
        <f>IFERROR(VLOOKUP($D638,FIYAT!$B:$O,4,FALSE()),"")</f>
        <v>CHINT</v>
      </c>
      <c r="L638" s="5">
        <f t="shared" si="79"/>
        <v>4891.2</v>
      </c>
      <c r="M638" s="5"/>
      <c r="N638" s="5"/>
      <c r="O638" s="5"/>
      <c r="P638" s="5" t="str">
        <f>IF($H638="","FIYAT_YOK",IFERROR(VLOOKUP($D638,FIYAT!$B:$P,15,FALSE()),""))</f>
        <v>MUADIL</v>
      </c>
      <c r="Q638" s="5" t="s">
        <v>181</v>
      </c>
      <c r="R638" s="5" t="s">
        <v>171</v>
      </c>
      <c r="S638" s="5" t="s">
        <v>550</v>
      </c>
      <c r="T638" s="5" t="s">
        <v>77</v>
      </c>
      <c r="U638" s="5">
        <f>IFERROR(VLOOKUP($T638,KURALLAR!$A$32:$B$63,2,FALSE()),0)*IF(ISNUMBER($I638),$I638,0)</f>
        <v>20</v>
      </c>
    </row>
    <row r="639" spans="1:21" x14ac:dyDescent="0.25">
      <c r="A639" s="9">
        <v>638</v>
      </c>
      <c r="B639" s="9"/>
      <c r="C639" s="9" t="s">
        <v>79</v>
      </c>
      <c r="D639" s="9" t="s">
        <v>182</v>
      </c>
      <c r="E639" s="9" t="str">
        <f>IFERROR(VLOOKUP($D639,FIYAT!$B:$O,2,FALSE()),"")</f>
        <v>Плавкая вставка предохранителя RT36-00-160, габарит 00, 63А</v>
      </c>
      <c r="F639" s="9">
        <f>IFERROR(VLOOKUP($D639,FIYAT!$B:$O,5,FALSE()),"")</f>
        <v>1525</v>
      </c>
      <c r="G639" s="9">
        <f>IFERROR(VLOOKUP($D639,FIYAT!$B:$O,8,FALSE()),"")</f>
        <v>915</v>
      </c>
      <c r="H639" s="9">
        <f t="shared" si="78"/>
        <v>3660</v>
      </c>
      <c r="I639" s="6">
        <v>4</v>
      </c>
      <c r="J639" s="9" t="str">
        <f>IFERROR(VLOOKUP($D639,FIYAT!$B:$O,9,FALSE()),"")</f>
        <v>Шт.</v>
      </c>
      <c r="K639" s="9" t="str">
        <f>IFERROR(VLOOKUP($D639,FIYAT!$B:$O,4,FALSE()),"")</f>
        <v>CHINT</v>
      </c>
      <c r="L639" s="9">
        <f t="shared" si="79"/>
        <v>3660</v>
      </c>
      <c r="M639" s="9"/>
      <c r="N639" s="9"/>
      <c r="O639" s="9"/>
      <c r="P639" s="9" t="str">
        <f>IF($H639="","FIYAT_YOK",IFERROR(VLOOKUP($D639,FIYAT!$B:$P,15,FALSE()),""))</f>
        <v>MUADIL</v>
      </c>
      <c r="Q639" s="9" t="s">
        <v>185</v>
      </c>
      <c r="R639" s="9" t="s">
        <v>184</v>
      </c>
      <c r="S639" s="9" t="s">
        <v>550</v>
      </c>
      <c r="T639" s="9" t="s">
        <v>79</v>
      </c>
      <c r="U639" s="9">
        <f>IFERROR(VLOOKUP($T639,KURALLAR!$A$32:$B$63,2,FALSE()),0)*IF(ISNUMBER($I639),$I639,0)</f>
        <v>12</v>
      </c>
    </row>
    <row r="640" spans="1:21" x14ac:dyDescent="0.25">
      <c r="A640" s="5">
        <v>639</v>
      </c>
      <c r="B640" s="5"/>
      <c r="C640" s="5" t="s">
        <v>75</v>
      </c>
      <c r="D640" s="5" t="s">
        <v>186</v>
      </c>
      <c r="E640" s="5" t="str">
        <f>IFERROR(VLOOKUP($D640,FIYAT!$B:$O,2,FALSE()),"")</f>
        <v>Ограничитель имп. перенапр. NU6-IIG 4Р In=25kA Uc=440B Im=65kA (R)</v>
      </c>
      <c r="F640" s="5">
        <f>IFERROR(VLOOKUP($D640,FIYAT!$B:$O,5,FALSE()),"")</f>
        <v>33208</v>
      </c>
      <c r="G640" s="5">
        <f>IFERROR(VLOOKUP($D640,FIYAT!$B:$O,8,FALSE()),"")</f>
        <v>19924.8</v>
      </c>
      <c r="H640" s="5">
        <f t="shared" si="78"/>
        <v>19924.8</v>
      </c>
      <c r="I640" s="6">
        <v>1</v>
      </c>
      <c r="J640" s="5" t="str">
        <f>IFERROR(VLOOKUP($D640,FIYAT!$B:$O,9,FALSE()),"")</f>
        <v>Шт.</v>
      </c>
      <c r="K640" s="5" t="str">
        <f>IFERROR(VLOOKUP($D640,FIYAT!$B:$O,4,FALSE()),"")</f>
        <v>CHINT</v>
      </c>
      <c r="L640" s="5">
        <f t="shared" si="79"/>
        <v>19924.8</v>
      </c>
      <c r="M640" s="5"/>
      <c r="N640" s="5"/>
      <c r="O640" s="5"/>
      <c r="P640" s="5" t="str">
        <f>IF($H640="","FIYAT_YOK",IFERROR(VLOOKUP($D640,FIYAT!$B:$P,15,FALSE()),""))</f>
        <v>MUADIL_ONAY</v>
      </c>
      <c r="Q640" s="5" t="s">
        <v>188</v>
      </c>
      <c r="R640" s="5" t="s">
        <v>184</v>
      </c>
      <c r="S640" s="5" t="s">
        <v>550</v>
      </c>
      <c r="T640" s="5" t="s">
        <v>75</v>
      </c>
      <c r="U640" s="5">
        <f>IFERROR(VLOOKUP($T640,KURALLAR!$A$32:$B$63,2,FALSE()),0)*IF(ISNUMBER($I640),$I640,0)</f>
        <v>10</v>
      </c>
    </row>
    <row r="641" spans="1:21" x14ac:dyDescent="0.25">
      <c r="A641" s="9">
        <v>640</v>
      </c>
      <c r="B641" s="9"/>
      <c r="C641" s="9" t="s">
        <v>192</v>
      </c>
      <c r="D641" s="9" t="s">
        <v>338</v>
      </c>
      <c r="E641" s="9" t="str">
        <f>IFERROR(VLOOKUP($D641,FIYAT!$B:$O,2,FALSE()),"")</f>
        <v>Авт. выкл. NXB-63 3P 50A 6кА х-ка C (R)</v>
      </c>
      <c r="F641" s="9">
        <f>IFERROR(VLOOKUP($D641,FIYAT!$B:$O,5,FALSE()),"")</f>
        <v>5719</v>
      </c>
      <c r="G641" s="9">
        <f>IFERROR(VLOOKUP($D641,FIYAT!$B:$O,8,FALSE()),"")</f>
        <v>3431.4</v>
      </c>
      <c r="H641" s="9">
        <f t="shared" si="78"/>
        <v>3431.4</v>
      </c>
      <c r="I641" s="6">
        <v>1</v>
      </c>
      <c r="J641" s="9" t="str">
        <f>IFERROR(VLOOKUP($D641,FIYAT!$B:$O,9,FALSE()),"")</f>
        <v>Шт.</v>
      </c>
      <c r="K641" s="9" t="str">
        <f>IFERROR(VLOOKUP($D641,FIYAT!$B:$O,4,FALSE()),"")</f>
        <v>CHINT</v>
      </c>
      <c r="L641" s="9">
        <f t="shared" si="79"/>
        <v>3431.4</v>
      </c>
      <c r="M641" s="9"/>
      <c r="N641" s="9"/>
      <c r="O641" s="9"/>
      <c r="P641" s="9" t="str">
        <f>IF($H641="","FIYAT_YOK",IFERROR(VLOOKUP($D641,FIYAT!$B:$P,15,FALSE()),""))</f>
        <v>OK</v>
      </c>
      <c r="Q641" s="9" t="s">
        <v>340</v>
      </c>
      <c r="R641" s="9" t="s">
        <v>171</v>
      </c>
      <c r="S641" s="9" t="s">
        <v>550</v>
      </c>
      <c r="T641" s="9" t="s">
        <v>51</v>
      </c>
      <c r="U641" s="9">
        <f>IFERROR(VLOOKUP($T641,KURALLAR!$A$32:$B$63,2,FALSE()),0)*IF(ISNUMBER($I641),$I641,0)</f>
        <v>8</v>
      </c>
    </row>
    <row r="642" spans="1:21" x14ac:dyDescent="0.25">
      <c r="A642" s="5">
        <v>641</v>
      </c>
      <c r="B642" s="5"/>
      <c r="C642" s="5" t="s">
        <v>192</v>
      </c>
      <c r="D642" s="5" t="s">
        <v>304</v>
      </c>
      <c r="E642" s="5" t="str">
        <f>IFERROR(VLOOKUP($D642,FIYAT!$B:$O,2,FALSE()),"")</f>
        <v>Авт. выкл. NXB-63 3P 16A 6кА х-ка C (R)</v>
      </c>
      <c r="F642" s="5">
        <f>IFERROR(VLOOKUP($D642,FIYAT!$B:$O,5,FALSE()),"")</f>
        <v>5462</v>
      </c>
      <c r="G642" s="5">
        <f>IFERROR(VLOOKUP($D642,FIYAT!$B:$O,8,FALSE()),"")</f>
        <v>3277.2</v>
      </c>
      <c r="H642" s="5">
        <f t="shared" si="78"/>
        <v>13108.8</v>
      </c>
      <c r="I642" s="6">
        <v>4</v>
      </c>
      <c r="J642" s="5" t="str">
        <f>IFERROR(VLOOKUP($D642,FIYAT!$B:$O,9,FALSE()),"")</f>
        <v>Шт.</v>
      </c>
      <c r="K642" s="5" t="str">
        <f>IFERROR(VLOOKUP($D642,FIYAT!$B:$O,4,FALSE()),"")</f>
        <v>CHINT</v>
      </c>
      <c r="L642" s="5">
        <f t="shared" si="79"/>
        <v>13108.8</v>
      </c>
      <c r="M642" s="5"/>
      <c r="N642" s="5"/>
      <c r="O642" s="5"/>
      <c r="P642" s="5" t="str">
        <f>IF($H642="","FIYAT_YOK",IFERROR(VLOOKUP($D642,FIYAT!$B:$P,15,FALSE()),""))</f>
        <v>OK</v>
      </c>
      <c r="Q642" s="5" t="s">
        <v>306</v>
      </c>
      <c r="R642" s="5" t="s">
        <v>171</v>
      </c>
      <c r="S642" s="5" t="s">
        <v>550</v>
      </c>
      <c r="T642" s="5" t="s">
        <v>51</v>
      </c>
      <c r="U642" s="5">
        <f>IFERROR(VLOOKUP($T642,KURALLAR!$A$32:$B$63,2,FALSE()),0)*IF(ISNUMBER($I642),$I642,0)</f>
        <v>32</v>
      </c>
    </row>
    <row r="643" spans="1:21" x14ac:dyDescent="0.25">
      <c r="A643" s="9">
        <v>642</v>
      </c>
      <c r="B643" s="9"/>
      <c r="C643" s="9" t="s">
        <v>192</v>
      </c>
      <c r="D643" s="9" t="s">
        <v>194</v>
      </c>
      <c r="E643" s="9" t="str">
        <f>IFERROR(VLOOKUP($D643,FIYAT!$B:$O,2,FALSE()),"")</f>
        <v>Авт. выкл. NXB-63 1P 16A 6кА х-ка C (R)</v>
      </c>
      <c r="F643" s="9">
        <f>IFERROR(VLOOKUP($D643,FIYAT!$B:$O,5,FALSE()),"")</f>
        <v>1389</v>
      </c>
      <c r="G643" s="9">
        <f>IFERROR(VLOOKUP($D643,FIYAT!$B:$O,8,FALSE()),"")</f>
        <v>833.4</v>
      </c>
      <c r="H643" s="9">
        <f t="shared" si="78"/>
        <v>5000.3999999999996</v>
      </c>
      <c r="I643" s="6">
        <v>6</v>
      </c>
      <c r="J643" s="9" t="str">
        <f>IFERROR(VLOOKUP($D643,FIYAT!$B:$O,9,FALSE()),"")</f>
        <v>Шт.</v>
      </c>
      <c r="K643" s="9" t="str">
        <f>IFERROR(VLOOKUP($D643,FIYAT!$B:$O,4,FALSE()),"")</f>
        <v>CHINT</v>
      </c>
      <c r="L643" s="9">
        <f t="shared" si="79"/>
        <v>5000.3999999999996</v>
      </c>
      <c r="M643" s="9"/>
      <c r="N643" s="9"/>
      <c r="O643" s="9"/>
      <c r="P643" s="9" t="str">
        <f>IF($H643="","FIYAT_YOK",IFERROR(VLOOKUP($D643,FIYAT!$B:$P,15,FALSE()),""))</f>
        <v>OK</v>
      </c>
      <c r="Q643" s="9" t="s">
        <v>196</v>
      </c>
      <c r="R643" s="9" t="s">
        <v>171</v>
      </c>
      <c r="S643" s="9" t="s">
        <v>550</v>
      </c>
      <c r="T643" s="9" t="s">
        <v>47</v>
      </c>
      <c r="U643" s="9">
        <f>IFERROR(VLOOKUP($T643,KURALLAR!$A$32:$B$63,2,FALSE()),0)*IF(ISNUMBER($I643),$I643,0)</f>
        <v>18</v>
      </c>
    </row>
    <row r="644" spans="1:21" x14ac:dyDescent="0.25">
      <c r="A644" s="5">
        <v>643</v>
      </c>
      <c r="B644" s="5"/>
      <c r="C644" s="5" t="s">
        <v>93</v>
      </c>
      <c r="D644" s="5" t="s">
        <v>209</v>
      </c>
      <c r="E644" s="5" t="str">
        <f>IFERROR(VLOOKUP($D644,FIYAT!$B:$O,2,FALSE()),"")</f>
        <v>Шина "N" нулевая 6х9мм на DIN-рейку в корпусном изоляторе ШНИ 12К IEK (10)</v>
      </c>
      <c r="F644" s="5">
        <f>IFERROR(VLOOKUP($D644,FIYAT!$B:$O,5,FALSE()),"")</f>
        <v>755</v>
      </c>
      <c r="G644" s="5">
        <f>IFERROR(VLOOKUP($D644,FIYAT!$B:$O,8,FALSE()),"")</f>
        <v>453</v>
      </c>
      <c r="H644" s="5">
        <f t="shared" si="78"/>
        <v>1812</v>
      </c>
      <c r="I644" s="6">
        <v>4</v>
      </c>
      <c r="J644" s="5" t="str">
        <f>IFERROR(VLOOKUP($D644,FIYAT!$B:$O,9,FALSE()),"")</f>
        <v>Шт.</v>
      </c>
      <c r="K644" s="5" t="str">
        <f>IFERROR(VLOOKUP($D644,FIYAT!$B:$O,4,FALSE()),"")</f>
        <v>KAZTEK</v>
      </c>
      <c r="L644" s="5">
        <f t="shared" si="79"/>
        <v>1812</v>
      </c>
      <c r="M644" s="5"/>
      <c r="N644" s="5"/>
      <c r="O644" s="5"/>
      <c r="P644" s="5" t="str">
        <f>IF($H644="","FIYAT_YOK",IFERROR(VLOOKUP($D644,FIYAT!$B:$P,15,FALSE()),""))</f>
        <v>MUADIL</v>
      </c>
      <c r="Q644" s="5" t="s">
        <v>212</v>
      </c>
      <c r="R644" s="5" t="s">
        <v>211</v>
      </c>
      <c r="S644" s="5" t="s">
        <v>550</v>
      </c>
      <c r="T644" s="5" t="s">
        <v>93</v>
      </c>
      <c r="U644" s="5">
        <f>IFERROR(VLOOKUP($T644,KURALLAR!$A$32:$B$63,2,FALSE()),0)*IF(ISNUMBER($I644),$I644,0)</f>
        <v>32</v>
      </c>
    </row>
    <row r="645" spans="1:21" x14ac:dyDescent="0.25">
      <c r="A645" s="9">
        <v>644</v>
      </c>
      <c r="B645" s="9"/>
      <c r="C645" s="9" t="s">
        <v>222</v>
      </c>
      <c r="D645" s="9" t="s">
        <v>310</v>
      </c>
      <c r="E645" s="9" t="str">
        <f>IFERROR(VLOOKUP($D645,FIYAT!$B:$O,2,FALSE()),"")</f>
        <v>Мет.Корпус ЩМП-4 (800x650x250) IP54</v>
      </c>
      <c r="F645" s="9">
        <f>IFERROR(VLOOKUP($D645,FIYAT!$B:$O,5,FALSE()),"")</f>
        <v>30540</v>
      </c>
      <c r="G645" s="9">
        <f>IFERROR(VLOOKUP($D645,FIYAT!$B:$O,8,FALSE()),"")</f>
        <v>18324</v>
      </c>
      <c r="H645" s="9">
        <f t="shared" si="78"/>
        <v>18324</v>
      </c>
      <c r="I645" s="6">
        <v>1</v>
      </c>
      <c r="J645" s="9" t="str">
        <f>IFERROR(VLOOKUP($D645,FIYAT!$B:$O,9,FALSE()),"")</f>
        <v>Шт.</v>
      </c>
      <c r="K645" s="9" t="str">
        <f>IFERROR(VLOOKUP($D645,FIYAT!$B:$O,4,FALSE()),"")</f>
        <v>KAZTEK</v>
      </c>
      <c r="L645" s="9">
        <f t="shared" si="79"/>
        <v>18324</v>
      </c>
      <c r="M645" s="9"/>
      <c r="N645" s="9"/>
      <c r="O645" s="9"/>
      <c r="P645" s="9" t="str">
        <f>IF($H645="","FIYAT_YOK",IFERROR(VLOOKUP($D645,FIYAT!$B:$P,15,FALSE()),""))</f>
        <v>VARSAYIM</v>
      </c>
      <c r="Q645" s="9" t="s">
        <v>312</v>
      </c>
      <c r="R645" s="9" t="s">
        <v>211</v>
      </c>
      <c r="S645" s="9" t="s">
        <v>550</v>
      </c>
      <c r="T645" s="9" t="s">
        <v>105</v>
      </c>
      <c r="U645" s="9">
        <f>IFERROR(VLOOKUP($T645,KURALLAR!$A$32:$B$63,2,FALSE()),0)*IF(ISNUMBER($I645),$I645,0)</f>
        <v>30</v>
      </c>
    </row>
    <row r="646" spans="1:21" x14ac:dyDescent="0.25">
      <c r="A646" s="5">
        <v>645</v>
      </c>
      <c r="B646" s="5"/>
      <c r="C646" s="5" t="s">
        <v>215</v>
      </c>
      <c r="D646" s="5" t="s">
        <v>213</v>
      </c>
      <c r="E646" s="5" t="str">
        <f>IFERROR(VLOOKUP($D646,FIYAT!$B:$O,2,FALSE()),"")</f>
        <v>Монтажный расходный материал (кабель, DIN-рейка, кабель-канал, клеммы, маркировка, крепёж)</v>
      </c>
      <c r="F646" s="5">
        <f>IFERROR(VLOOKUP($D646,FIYAT!$B:$O,5,FALSE()),"")</f>
        <v>0</v>
      </c>
      <c r="G646" s="5" t="str">
        <f>IFERROR(VLOOKUP($D646,FIYAT!$B:$O,8,FALSE()),"")</f>
        <v/>
      </c>
      <c r="H646" s="5">
        <f>ROUND(SUM($H$636:$H$645)*KURALLAR!$B$28,0)</f>
        <v>8362</v>
      </c>
      <c r="I646" s="6">
        <v>1</v>
      </c>
      <c r="J646" s="5" t="str">
        <f>IFERROR(VLOOKUP($D646,FIYAT!$B:$O,9,FALSE()),"")</f>
        <v>компл.</v>
      </c>
      <c r="K646" s="5" t="str">
        <f>IFERROR(VLOOKUP($D646,FIYAT!$B:$O,4,FALSE()),"")</f>
        <v>MUADIL-NET</v>
      </c>
      <c r="L646" s="5">
        <f t="shared" si="79"/>
        <v>8362</v>
      </c>
      <c r="M646" s="5"/>
      <c r="N646" s="5"/>
      <c r="O646" s="5"/>
      <c r="P646" s="5" t="str">
        <f>IF($H646="","FIYAT_YOK",IFERROR(VLOOKUP($D646,FIYAT!$B:$P,15,FALSE()),""))</f>
        <v>ORAN</v>
      </c>
      <c r="Q646" s="5" t="s">
        <v>218</v>
      </c>
      <c r="R646" s="5" t="s">
        <v>217</v>
      </c>
      <c r="S646" s="5" t="s">
        <v>550</v>
      </c>
      <c r="T646" s="5"/>
      <c r="U646" s="5">
        <v>0</v>
      </c>
    </row>
    <row r="647" spans="1:21" x14ac:dyDescent="0.25">
      <c r="A647" s="9">
        <v>646</v>
      </c>
      <c r="B647" s="9"/>
      <c r="C647" s="9" t="s">
        <v>227</v>
      </c>
      <c r="D647" s="9" t="s">
        <v>225</v>
      </c>
      <c r="E647" s="9" t="str">
        <f>IFERROR(VLOOKUP($D647,FIYAT!$B:$O,2,FALSE()),"")</f>
        <v>Сборка, кабелирование, маркировка, момент затяжки, испытания</v>
      </c>
      <c r="F647" s="9">
        <f>IFERROR(VLOOKUP($D647,FIYAT!$B:$O,5,FALSE()),"")</f>
        <v>100</v>
      </c>
      <c r="G647" s="9">
        <f>IFERROR(VLOOKUP($D647,FIYAT!$B:$O,8,FALSE()),"")</f>
        <v>100</v>
      </c>
      <c r="H647" s="9">
        <f>IF(OR($G647="",$I647=""),"",$G647*$I647)</f>
        <v>21500</v>
      </c>
      <c r="I647" s="6">
        <f>ROUND(SUM($U$636:$U$646)*KURALLAR!$B$27,0)</f>
        <v>215</v>
      </c>
      <c r="J647" s="9" t="str">
        <f>IFERROR(VLOOKUP($D647,FIYAT!$B:$O,9,FALSE()),"")</f>
        <v>мин</v>
      </c>
      <c r="K647" s="9" t="str">
        <f>IFERROR(VLOOKUP($D647,FIYAT!$B:$O,4,FALSE()),"")</f>
        <v>ISCILIK</v>
      </c>
      <c r="L647" s="9">
        <f t="shared" si="79"/>
        <v>21500</v>
      </c>
      <c r="M647" s="9"/>
      <c r="N647" s="9"/>
      <c r="O647" s="9"/>
      <c r="P647" s="9" t="str">
        <f>IF($H647="","FIYAT_YOK",IFERROR(VLOOKUP($D647,FIYAT!$B:$P,15,FALSE()),""))</f>
        <v>OK</v>
      </c>
      <c r="Q647" s="9" t="str">
        <f>CONCATENATE("montaj+test iscilik: ",TEXT($I647,"# ##0")," dk = ",TEXT($I647/60,"0,00")," saat (norm x test/etiket carpani)")</f>
        <v>montaj+test iscilik:  215 dk = 3,58 saat (norm x test/etiket carpani)</v>
      </c>
      <c r="R647" s="9" t="s">
        <v>229</v>
      </c>
      <c r="S647" s="9" t="s">
        <v>550</v>
      </c>
      <c r="T647" s="9"/>
      <c r="U647" s="9">
        <v>0</v>
      </c>
    </row>
    <row r="648" spans="1:21" x14ac:dyDescent="0.25">
      <c r="A648" s="10">
        <v>647</v>
      </c>
      <c r="B648" s="10" t="s">
        <v>629</v>
      </c>
      <c r="C648" s="10"/>
      <c r="D648" s="10"/>
      <c r="E648" s="10"/>
      <c r="F648" s="10"/>
      <c r="G648" s="10"/>
      <c r="H648" s="10">
        <f>SUBTOTAL(9,H636:H647)</f>
        <v>149317.79999999999</v>
      </c>
      <c r="I648" s="10"/>
      <c r="J648" s="10"/>
      <c r="K648" s="10"/>
      <c r="L648" s="10">
        <f>SUBTOTAL(9,L636:L647)</f>
        <v>149317.79999999999</v>
      </c>
      <c r="M648" s="10"/>
      <c r="N648" s="10"/>
      <c r="O648" s="10"/>
      <c r="P648" s="10"/>
      <c r="Q648" s="10"/>
      <c r="R648" s="10"/>
      <c r="S648" s="10"/>
      <c r="T648" s="10"/>
      <c r="U648" s="10">
        <f>SUBTOTAL(9,U636:U647)</f>
        <v>187</v>
      </c>
    </row>
    <row r="649" spans="1:21" x14ac:dyDescent="0.25">
      <c r="A649" s="8">
        <v>648</v>
      </c>
      <c r="B649" s="8" t="str">
        <f>E649</f>
        <v>BLOK A / ЩА-24.2F — НКУ 380/220В 50Гц, FORM 2B, IP31/54</v>
      </c>
      <c r="C649" s="8" t="s">
        <v>545</v>
      </c>
      <c r="D649" s="8"/>
      <c r="E649" s="8" t="s">
        <v>630</v>
      </c>
      <c r="F649" s="8"/>
      <c r="G649" s="8"/>
      <c r="H649" s="8"/>
      <c r="I649" s="8">
        <v>1</v>
      </c>
      <c r="J649" s="8" t="s">
        <v>547</v>
      </c>
      <c r="K649" s="8"/>
      <c r="L649" s="8"/>
      <c r="M649" s="8"/>
      <c r="N649" s="8"/>
      <c r="O649" s="8"/>
      <c r="P649" s="8" t="s">
        <v>178</v>
      </c>
      <c r="Q649" s="8" t="s">
        <v>548</v>
      </c>
      <c r="R649" s="8" t="s">
        <v>549</v>
      </c>
      <c r="S649" s="8" t="s">
        <v>550</v>
      </c>
      <c r="T649" s="8"/>
      <c r="U649" s="8"/>
    </row>
    <row r="650" spans="1:21" x14ac:dyDescent="0.25">
      <c r="A650" s="5">
        <v>649</v>
      </c>
      <c r="B650" s="5"/>
      <c r="C650" s="5" t="s">
        <v>169</v>
      </c>
      <c r="D650" s="5" t="s">
        <v>167</v>
      </c>
      <c r="E650" s="5" t="str">
        <f>IFERROR(VLOOKUP($D650,FIYAT!$B:$O,2,FALSE()),"")</f>
        <v>Авт. выкл. NM8N-125C TM 3P 32А 36кА с рег. термомаг. расцепителем (R)</v>
      </c>
      <c r="F650" s="5">
        <f>IFERROR(VLOOKUP($D650,FIYAT!$B:$O,5,FALSE()),"")</f>
        <v>64667</v>
      </c>
      <c r="G650" s="5">
        <f>IFERROR(VLOOKUP($D650,FIYAT!$B:$O,8,FALSE()),"")</f>
        <v>38800.199999999997</v>
      </c>
      <c r="H650" s="5">
        <f t="shared" ref="H650:H658" si="80">IF(OR($G650="",$I650=""),"",$G650*$I650)</f>
        <v>38800.199999999997</v>
      </c>
      <c r="I650" s="6">
        <v>1</v>
      </c>
      <c r="J650" s="5" t="str">
        <f>IFERROR(VLOOKUP($D650,FIYAT!$B:$O,9,FALSE()),"")</f>
        <v>Шт.</v>
      </c>
      <c r="K650" s="5" t="str">
        <f>IFERROR(VLOOKUP($D650,FIYAT!$B:$O,4,FALSE()),"")</f>
        <v>CHINT</v>
      </c>
      <c r="L650" s="5">
        <f t="shared" ref="L650:L660" si="81">IF($H650="","",$H650)</f>
        <v>38800.199999999997</v>
      </c>
      <c r="M650" s="5"/>
      <c r="N650" s="5"/>
      <c r="O650" s="5"/>
      <c r="P650" s="5" t="str">
        <f>IF($H650="","FIYAT_YOK",IFERROR(VLOOKUP($D650,FIYAT!$B:$P,15,FALSE()),""))</f>
        <v>MUADIL</v>
      </c>
      <c r="Q650" s="5" t="s">
        <v>172</v>
      </c>
      <c r="R650" s="5" t="s">
        <v>171</v>
      </c>
      <c r="S650" s="5" t="s">
        <v>550</v>
      </c>
      <c r="T650" s="5" t="s">
        <v>61</v>
      </c>
      <c r="U650" s="5">
        <f>IFERROR(VLOOKUP($T650,KURALLAR!$A$32:$B$63,2,FALSE()),0)*IF(ISNUMBER($I650),$I650,0)</f>
        <v>15</v>
      </c>
    </row>
    <row r="651" spans="1:21" x14ac:dyDescent="0.25">
      <c r="A651" s="9">
        <v>650</v>
      </c>
      <c r="B651" s="9"/>
      <c r="C651" s="9" t="s">
        <v>176</v>
      </c>
      <c r="D651" s="9" t="s">
        <v>174</v>
      </c>
      <c r="E651" s="9" t="str">
        <f>IFERROR(VLOOKUP($D651,FIYAT!$B:$O,2,FALSE()),"")</f>
        <v>УЗО NL1-63 6kA 4P 63A 300mA тип AC (R)</v>
      </c>
      <c r="F651" s="9">
        <f>IFERROR(VLOOKUP($D651,FIYAT!$B:$O,5,FALSE()),"")</f>
        <v>18106</v>
      </c>
      <c r="G651" s="9">
        <f>IFERROR(VLOOKUP($D651,FIYAT!$B:$O,8,FALSE()),"")</f>
        <v>10863.6</v>
      </c>
      <c r="H651" s="9">
        <f t="shared" si="80"/>
        <v>10863.6</v>
      </c>
      <c r="I651" s="6">
        <v>1</v>
      </c>
      <c r="J651" s="9" t="str">
        <f>IFERROR(VLOOKUP($D651,FIYAT!$B:$O,9,FALSE()),"")</f>
        <v>Шт.</v>
      </c>
      <c r="K651" s="9" t="str">
        <f>IFERROR(VLOOKUP($D651,FIYAT!$B:$O,4,FALSE()),"")</f>
        <v>CHINT</v>
      </c>
      <c r="L651" s="9">
        <f t="shared" si="81"/>
        <v>10863.6</v>
      </c>
      <c r="M651" s="9"/>
      <c r="N651" s="9"/>
      <c r="O651" s="9"/>
      <c r="P651" s="9" t="str">
        <f>IF($H651="","FIYAT_YOK",IFERROR(VLOOKUP($D651,FIYAT!$B:$P,15,FALSE()),""))</f>
        <v>OK</v>
      </c>
      <c r="Q651" s="9" t="s">
        <v>177</v>
      </c>
      <c r="R651" s="9" t="s">
        <v>171</v>
      </c>
      <c r="S651" s="9" t="s">
        <v>550</v>
      </c>
      <c r="T651" s="9" t="s">
        <v>57</v>
      </c>
      <c r="U651" s="9">
        <f>IFERROR(VLOOKUP($T651,KURALLAR!$A$32:$B$63,2,FALSE()),0)*IF(ISNUMBER($I651),$I651,0)</f>
        <v>10</v>
      </c>
    </row>
    <row r="652" spans="1:21" x14ac:dyDescent="0.25">
      <c r="A652" s="5">
        <v>651</v>
      </c>
      <c r="B652" s="5"/>
      <c r="C652" s="5" t="s">
        <v>79</v>
      </c>
      <c r="D652" s="5" t="s">
        <v>179</v>
      </c>
      <c r="E652" s="5" t="str">
        <f>IFERROR(VLOOKUP($D652,FIYAT!$B:$O,2,FALSE()),"")</f>
        <v>Держатель плавкой вставки RT36-00-160, габарит 00, 160А</v>
      </c>
      <c r="F652" s="5">
        <f>IFERROR(VLOOKUP($D652,FIYAT!$B:$O,5,FALSE()),"")</f>
        <v>2038</v>
      </c>
      <c r="G652" s="5">
        <f>IFERROR(VLOOKUP($D652,FIYAT!$B:$O,8,FALSE()),"")</f>
        <v>1222.8</v>
      </c>
      <c r="H652" s="5">
        <f t="shared" si="80"/>
        <v>4891.2</v>
      </c>
      <c r="I652" s="6">
        <v>4</v>
      </c>
      <c r="J652" s="5" t="str">
        <f>IFERROR(VLOOKUP($D652,FIYAT!$B:$O,9,FALSE()),"")</f>
        <v>Шт.</v>
      </c>
      <c r="K652" s="5" t="str">
        <f>IFERROR(VLOOKUP($D652,FIYAT!$B:$O,4,FALSE()),"")</f>
        <v>CHINT</v>
      </c>
      <c r="L652" s="5">
        <f t="shared" si="81"/>
        <v>4891.2</v>
      </c>
      <c r="M652" s="5"/>
      <c r="N652" s="5"/>
      <c r="O652" s="5"/>
      <c r="P652" s="5" t="str">
        <f>IF($H652="","FIYAT_YOK",IFERROR(VLOOKUP($D652,FIYAT!$B:$P,15,FALSE()),""))</f>
        <v>MUADIL</v>
      </c>
      <c r="Q652" s="5" t="s">
        <v>181</v>
      </c>
      <c r="R652" s="5" t="s">
        <v>171</v>
      </c>
      <c r="S652" s="5" t="s">
        <v>550</v>
      </c>
      <c r="T652" s="5" t="s">
        <v>77</v>
      </c>
      <c r="U652" s="5">
        <f>IFERROR(VLOOKUP($T652,KURALLAR!$A$32:$B$63,2,FALSE()),0)*IF(ISNUMBER($I652),$I652,0)</f>
        <v>20</v>
      </c>
    </row>
    <row r="653" spans="1:21" x14ac:dyDescent="0.25">
      <c r="A653" s="9">
        <v>652</v>
      </c>
      <c r="B653" s="9"/>
      <c r="C653" s="9" t="s">
        <v>79</v>
      </c>
      <c r="D653" s="9" t="s">
        <v>182</v>
      </c>
      <c r="E653" s="9" t="str">
        <f>IFERROR(VLOOKUP($D653,FIYAT!$B:$O,2,FALSE()),"")</f>
        <v>Плавкая вставка предохранителя RT36-00-160, габарит 00, 63А</v>
      </c>
      <c r="F653" s="9">
        <f>IFERROR(VLOOKUP($D653,FIYAT!$B:$O,5,FALSE()),"")</f>
        <v>1525</v>
      </c>
      <c r="G653" s="9">
        <f>IFERROR(VLOOKUP($D653,FIYAT!$B:$O,8,FALSE()),"")</f>
        <v>915</v>
      </c>
      <c r="H653" s="9">
        <f t="shared" si="80"/>
        <v>3660</v>
      </c>
      <c r="I653" s="6">
        <v>4</v>
      </c>
      <c r="J653" s="9" t="str">
        <f>IFERROR(VLOOKUP($D653,FIYAT!$B:$O,9,FALSE()),"")</f>
        <v>Шт.</v>
      </c>
      <c r="K653" s="9" t="str">
        <f>IFERROR(VLOOKUP($D653,FIYAT!$B:$O,4,FALSE()),"")</f>
        <v>CHINT</v>
      </c>
      <c r="L653" s="9">
        <f t="shared" si="81"/>
        <v>3660</v>
      </c>
      <c r="M653" s="9"/>
      <c r="N653" s="9"/>
      <c r="O653" s="9"/>
      <c r="P653" s="9" t="str">
        <f>IF($H653="","FIYAT_YOK",IFERROR(VLOOKUP($D653,FIYAT!$B:$P,15,FALSE()),""))</f>
        <v>MUADIL</v>
      </c>
      <c r="Q653" s="9" t="s">
        <v>185</v>
      </c>
      <c r="R653" s="9" t="s">
        <v>184</v>
      </c>
      <c r="S653" s="9" t="s">
        <v>550</v>
      </c>
      <c r="T653" s="9" t="s">
        <v>79</v>
      </c>
      <c r="U653" s="9">
        <f>IFERROR(VLOOKUP($T653,KURALLAR!$A$32:$B$63,2,FALSE()),0)*IF(ISNUMBER($I653),$I653,0)</f>
        <v>12</v>
      </c>
    </row>
    <row r="654" spans="1:21" x14ac:dyDescent="0.25">
      <c r="A654" s="5">
        <v>653</v>
      </c>
      <c r="B654" s="5"/>
      <c r="C654" s="5" t="s">
        <v>75</v>
      </c>
      <c r="D654" s="5" t="s">
        <v>186</v>
      </c>
      <c r="E654" s="5" t="str">
        <f>IFERROR(VLOOKUP($D654,FIYAT!$B:$O,2,FALSE()),"")</f>
        <v>Ограничитель имп. перенапр. NU6-IIG 4Р In=25kA Uc=440B Im=65kA (R)</v>
      </c>
      <c r="F654" s="5">
        <f>IFERROR(VLOOKUP($D654,FIYAT!$B:$O,5,FALSE()),"")</f>
        <v>33208</v>
      </c>
      <c r="G654" s="5">
        <f>IFERROR(VLOOKUP($D654,FIYAT!$B:$O,8,FALSE()),"")</f>
        <v>19924.8</v>
      </c>
      <c r="H654" s="5">
        <f t="shared" si="80"/>
        <v>19924.8</v>
      </c>
      <c r="I654" s="6">
        <v>1</v>
      </c>
      <c r="J654" s="5" t="str">
        <f>IFERROR(VLOOKUP($D654,FIYAT!$B:$O,9,FALSE()),"")</f>
        <v>Шт.</v>
      </c>
      <c r="K654" s="5" t="str">
        <f>IFERROR(VLOOKUP($D654,FIYAT!$B:$O,4,FALSE()),"")</f>
        <v>CHINT</v>
      </c>
      <c r="L654" s="5">
        <f t="shared" si="81"/>
        <v>19924.8</v>
      </c>
      <c r="M654" s="5"/>
      <c r="N654" s="5"/>
      <c r="O654" s="5"/>
      <c r="P654" s="5" t="str">
        <f>IF($H654="","FIYAT_YOK",IFERROR(VLOOKUP($D654,FIYAT!$B:$P,15,FALSE()),""))</f>
        <v>MUADIL_ONAY</v>
      </c>
      <c r="Q654" s="5" t="s">
        <v>188</v>
      </c>
      <c r="R654" s="5" t="s">
        <v>184</v>
      </c>
      <c r="S654" s="5" t="s">
        <v>550</v>
      </c>
      <c r="T654" s="5" t="s">
        <v>75</v>
      </c>
      <c r="U654" s="5">
        <f>IFERROR(VLOOKUP($T654,KURALLAR!$A$32:$B$63,2,FALSE()),0)*IF(ISNUMBER($I654),$I654,0)</f>
        <v>10</v>
      </c>
    </row>
    <row r="655" spans="1:21" x14ac:dyDescent="0.25">
      <c r="A655" s="9">
        <v>654</v>
      </c>
      <c r="B655" s="9"/>
      <c r="C655" s="9" t="s">
        <v>192</v>
      </c>
      <c r="D655" s="9" t="s">
        <v>304</v>
      </c>
      <c r="E655" s="9" t="str">
        <f>IFERROR(VLOOKUP($D655,FIYAT!$B:$O,2,FALSE()),"")</f>
        <v>Авт. выкл. NXB-63 3P 16A 6кА х-ка C (R)</v>
      </c>
      <c r="F655" s="9">
        <f>IFERROR(VLOOKUP($D655,FIYAT!$B:$O,5,FALSE()),"")</f>
        <v>5462</v>
      </c>
      <c r="G655" s="9">
        <f>IFERROR(VLOOKUP($D655,FIYAT!$B:$O,8,FALSE()),"")</f>
        <v>3277.2</v>
      </c>
      <c r="H655" s="9">
        <f t="shared" si="80"/>
        <v>13108.8</v>
      </c>
      <c r="I655" s="6">
        <v>4</v>
      </c>
      <c r="J655" s="9" t="str">
        <f>IFERROR(VLOOKUP($D655,FIYAT!$B:$O,9,FALSE()),"")</f>
        <v>Шт.</v>
      </c>
      <c r="K655" s="9" t="str">
        <f>IFERROR(VLOOKUP($D655,FIYAT!$B:$O,4,FALSE()),"")</f>
        <v>CHINT</v>
      </c>
      <c r="L655" s="9">
        <f t="shared" si="81"/>
        <v>13108.8</v>
      </c>
      <c r="M655" s="9"/>
      <c r="N655" s="9"/>
      <c r="O655" s="9"/>
      <c r="P655" s="9" t="str">
        <f>IF($H655="","FIYAT_YOK",IFERROR(VLOOKUP($D655,FIYAT!$B:$P,15,FALSE()),""))</f>
        <v>OK</v>
      </c>
      <c r="Q655" s="9" t="s">
        <v>306</v>
      </c>
      <c r="R655" s="9" t="s">
        <v>171</v>
      </c>
      <c r="S655" s="9" t="s">
        <v>550</v>
      </c>
      <c r="T655" s="9" t="s">
        <v>51</v>
      </c>
      <c r="U655" s="9">
        <f>IFERROR(VLOOKUP($T655,KURALLAR!$A$32:$B$63,2,FALSE()),0)*IF(ISNUMBER($I655),$I655,0)</f>
        <v>32</v>
      </c>
    </row>
    <row r="656" spans="1:21" x14ac:dyDescent="0.25">
      <c r="A656" s="5">
        <v>655</v>
      </c>
      <c r="B656" s="5"/>
      <c r="C656" s="5" t="s">
        <v>192</v>
      </c>
      <c r="D656" s="5" t="s">
        <v>194</v>
      </c>
      <c r="E656" s="5" t="str">
        <f>IFERROR(VLOOKUP($D656,FIYAT!$B:$O,2,FALSE()),"")</f>
        <v>Авт. выкл. NXB-63 1P 16A 6кА х-ка C (R)</v>
      </c>
      <c r="F656" s="5">
        <f>IFERROR(VLOOKUP($D656,FIYAT!$B:$O,5,FALSE()),"")</f>
        <v>1389</v>
      </c>
      <c r="G656" s="5">
        <f>IFERROR(VLOOKUP($D656,FIYAT!$B:$O,8,FALSE()),"")</f>
        <v>833.4</v>
      </c>
      <c r="H656" s="5">
        <f t="shared" si="80"/>
        <v>8334</v>
      </c>
      <c r="I656" s="6">
        <v>10</v>
      </c>
      <c r="J656" s="5" t="str">
        <f>IFERROR(VLOOKUP($D656,FIYAT!$B:$O,9,FALSE()),"")</f>
        <v>Шт.</v>
      </c>
      <c r="K656" s="5" t="str">
        <f>IFERROR(VLOOKUP($D656,FIYAT!$B:$O,4,FALSE()),"")</f>
        <v>CHINT</v>
      </c>
      <c r="L656" s="5">
        <f t="shared" si="81"/>
        <v>8334</v>
      </c>
      <c r="M656" s="5"/>
      <c r="N656" s="5"/>
      <c r="O656" s="5"/>
      <c r="P656" s="5" t="str">
        <f>IF($H656="","FIYAT_YOK",IFERROR(VLOOKUP($D656,FIYAT!$B:$P,15,FALSE()),""))</f>
        <v>OK</v>
      </c>
      <c r="Q656" s="5" t="s">
        <v>196</v>
      </c>
      <c r="R656" s="5" t="s">
        <v>171</v>
      </c>
      <c r="S656" s="5" t="s">
        <v>550</v>
      </c>
      <c r="T656" s="5" t="s">
        <v>47</v>
      </c>
      <c r="U656" s="5">
        <f>IFERROR(VLOOKUP($T656,KURALLAR!$A$32:$B$63,2,FALSE()),0)*IF(ISNUMBER($I656),$I656,0)</f>
        <v>30</v>
      </c>
    </row>
    <row r="657" spans="1:21" x14ac:dyDescent="0.25">
      <c r="A657" s="9">
        <v>656</v>
      </c>
      <c r="B657" s="9"/>
      <c r="C657" s="9" t="s">
        <v>93</v>
      </c>
      <c r="D657" s="9" t="s">
        <v>209</v>
      </c>
      <c r="E657" s="9" t="str">
        <f>IFERROR(VLOOKUP($D657,FIYAT!$B:$O,2,FALSE()),"")</f>
        <v>Шина "N" нулевая 6х9мм на DIN-рейку в корпусном изоляторе ШНИ 12К IEK (10)</v>
      </c>
      <c r="F657" s="9">
        <f>IFERROR(VLOOKUP($D657,FIYAT!$B:$O,5,FALSE()),"")</f>
        <v>755</v>
      </c>
      <c r="G657" s="9">
        <f>IFERROR(VLOOKUP($D657,FIYAT!$B:$O,8,FALSE()),"")</f>
        <v>453</v>
      </c>
      <c r="H657" s="9">
        <f t="shared" si="80"/>
        <v>1812</v>
      </c>
      <c r="I657" s="6">
        <v>4</v>
      </c>
      <c r="J657" s="9" t="str">
        <f>IFERROR(VLOOKUP($D657,FIYAT!$B:$O,9,FALSE()),"")</f>
        <v>Шт.</v>
      </c>
      <c r="K657" s="9" t="str">
        <f>IFERROR(VLOOKUP($D657,FIYAT!$B:$O,4,FALSE()),"")</f>
        <v>KAZTEK</v>
      </c>
      <c r="L657" s="9">
        <f t="shared" si="81"/>
        <v>1812</v>
      </c>
      <c r="M657" s="9"/>
      <c r="N657" s="9"/>
      <c r="O657" s="9"/>
      <c r="P657" s="9" t="str">
        <f>IF($H657="","FIYAT_YOK",IFERROR(VLOOKUP($D657,FIYAT!$B:$P,15,FALSE()),""))</f>
        <v>MUADIL</v>
      </c>
      <c r="Q657" s="9" t="s">
        <v>212</v>
      </c>
      <c r="R657" s="9" t="s">
        <v>211</v>
      </c>
      <c r="S657" s="9" t="s">
        <v>550</v>
      </c>
      <c r="T657" s="9" t="s">
        <v>93</v>
      </c>
      <c r="U657" s="9">
        <f>IFERROR(VLOOKUP($T657,KURALLAR!$A$32:$B$63,2,FALSE()),0)*IF(ISNUMBER($I657),$I657,0)</f>
        <v>32</v>
      </c>
    </row>
    <row r="658" spans="1:21" x14ac:dyDescent="0.25">
      <c r="A658" s="5">
        <v>657</v>
      </c>
      <c r="B658" s="5"/>
      <c r="C658" s="5" t="s">
        <v>222</v>
      </c>
      <c r="D658" s="5" t="s">
        <v>220</v>
      </c>
      <c r="E658" s="5" t="str">
        <f>IFERROR(VLOOKUP($D658,FIYAT!$B:$O,2,FALSE()),"")</f>
        <v>ЩМП (инд.) IP31 (650х500х150мм)</v>
      </c>
      <c r="F658" s="5">
        <f>IFERROR(VLOOKUP($D658,FIYAT!$B:$O,5,FALSE()),"")</f>
        <v>27825</v>
      </c>
      <c r="G658" s="5">
        <f>IFERROR(VLOOKUP($D658,FIYAT!$B:$O,8,FALSE()),"")</f>
        <v>16695</v>
      </c>
      <c r="H658" s="5">
        <f t="shared" si="80"/>
        <v>16695</v>
      </c>
      <c r="I658" s="6">
        <v>1</v>
      </c>
      <c r="J658" s="5" t="str">
        <f>IFERROR(VLOOKUP($D658,FIYAT!$B:$O,9,FALSE()),"")</f>
        <v>Шт.</v>
      </c>
      <c r="K658" s="5" t="str">
        <f>IFERROR(VLOOKUP($D658,FIYAT!$B:$O,4,FALSE()),"")</f>
        <v>KAZTEK</v>
      </c>
      <c r="L658" s="5">
        <f t="shared" si="81"/>
        <v>16695</v>
      </c>
      <c r="M658" s="5"/>
      <c r="N658" s="5"/>
      <c r="O658" s="5"/>
      <c r="P658" s="5" t="str">
        <f>IF($H658="","FIYAT_YOK",IFERROR(VLOOKUP($D658,FIYAT!$B:$P,15,FALSE()),""))</f>
        <v>VARSAYIM</v>
      </c>
      <c r="Q658" s="5" t="s">
        <v>223</v>
      </c>
      <c r="R658" s="5" t="s">
        <v>211</v>
      </c>
      <c r="S658" s="5" t="s">
        <v>550</v>
      </c>
      <c r="T658" s="5" t="s">
        <v>105</v>
      </c>
      <c r="U658" s="5">
        <f>IFERROR(VLOOKUP($T658,KURALLAR!$A$32:$B$63,2,FALSE()),0)*IF(ISNUMBER($I658),$I658,0)</f>
        <v>30</v>
      </c>
    </row>
    <row r="659" spans="1:21" x14ac:dyDescent="0.25">
      <c r="A659" s="9">
        <v>658</v>
      </c>
      <c r="B659" s="9"/>
      <c r="C659" s="9" t="s">
        <v>215</v>
      </c>
      <c r="D659" s="9" t="s">
        <v>213</v>
      </c>
      <c r="E659" s="9" t="str">
        <f>IFERROR(VLOOKUP($D659,FIYAT!$B:$O,2,FALSE()),"")</f>
        <v>Монтажный расходный материал (кабель, DIN-рейка, кабель-канал, клеммы, маркировка, крепёж)</v>
      </c>
      <c r="F659" s="9">
        <f>IFERROR(VLOOKUP($D659,FIYAT!$B:$O,5,FALSE()),"")</f>
        <v>0</v>
      </c>
      <c r="G659" s="9" t="str">
        <f>IFERROR(VLOOKUP($D659,FIYAT!$B:$O,8,FALSE()),"")</f>
        <v/>
      </c>
      <c r="H659" s="9">
        <f>ROUND(SUM($H$650:$H$658)*KURALLAR!$B$28,0)</f>
        <v>8266</v>
      </c>
      <c r="I659" s="6">
        <v>1</v>
      </c>
      <c r="J659" s="9" t="str">
        <f>IFERROR(VLOOKUP($D659,FIYAT!$B:$O,9,FALSE()),"")</f>
        <v>компл.</v>
      </c>
      <c r="K659" s="9" t="str">
        <f>IFERROR(VLOOKUP($D659,FIYAT!$B:$O,4,FALSE()),"")</f>
        <v>MUADIL-NET</v>
      </c>
      <c r="L659" s="9">
        <f t="shared" si="81"/>
        <v>8266</v>
      </c>
      <c r="M659" s="9"/>
      <c r="N659" s="9"/>
      <c r="O659" s="9"/>
      <c r="P659" s="9" t="str">
        <f>IF($H659="","FIYAT_YOK",IFERROR(VLOOKUP($D659,FIYAT!$B:$P,15,FALSE()),""))</f>
        <v>ORAN</v>
      </c>
      <c r="Q659" s="9" t="s">
        <v>218</v>
      </c>
      <c r="R659" s="9" t="s">
        <v>217</v>
      </c>
      <c r="S659" s="9" t="s">
        <v>550</v>
      </c>
      <c r="T659" s="9"/>
      <c r="U659" s="9">
        <v>0</v>
      </c>
    </row>
    <row r="660" spans="1:21" x14ac:dyDescent="0.25">
      <c r="A660" s="5">
        <v>659</v>
      </c>
      <c r="B660" s="5"/>
      <c r="C660" s="5" t="s">
        <v>227</v>
      </c>
      <c r="D660" s="5" t="s">
        <v>225</v>
      </c>
      <c r="E660" s="5" t="str">
        <f>IFERROR(VLOOKUP($D660,FIYAT!$B:$O,2,FALSE()),"")</f>
        <v>Сборка, кабелирование, маркировка, момент затяжки, испытания</v>
      </c>
      <c r="F660" s="5">
        <f>IFERROR(VLOOKUP($D660,FIYAT!$B:$O,5,FALSE()),"")</f>
        <v>100</v>
      </c>
      <c r="G660" s="5">
        <f>IFERROR(VLOOKUP($D660,FIYAT!$B:$O,8,FALSE()),"")</f>
        <v>100</v>
      </c>
      <c r="H660" s="5">
        <f>IF(OR($G660="",$I660=""),"",$G660*$I660)</f>
        <v>22000</v>
      </c>
      <c r="I660" s="6">
        <f>ROUND(SUM($U$650:$U$659)*KURALLAR!$B$27,0)</f>
        <v>220</v>
      </c>
      <c r="J660" s="5" t="str">
        <f>IFERROR(VLOOKUP($D660,FIYAT!$B:$O,9,FALSE()),"")</f>
        <v>мин</v>
      </c>
      <c r="K660" s="5" t="str">
        <f>IFERROR(VLOOKUP($D660,FIYAT!$B:$O,4,FALSE()),"")</f>
        <v>ISCILIK</v>
      </c>
      <c r="L660" s="5">
        <f t="shared" si="81"/>
        <v>22000</v>
      </c>
      <c r="M660" s="5"/>
      <c r="N660" s="5"/>
      <c r="O660" s="5"/>
      <c r="P660" s="5" t="str">
        <f>IF($H660="","FIYAT_YOK",IFERROR(VLOOKUP($D660,FIYAT!$B:$P,15,FALSE()),""))</f>
        <v>OK</v>
      </c>
      <c r="Q660" s="5" t="str">
        <f>CONCATENATE("montaj+test iscilik: ",TEXT($I660,"# ##0")," dk = ",TEXT($I660/60,"0,00")," saat (norm x test/etiket carpani)")</f>
        <v>montaj+test iscilik:  220 dk = 3,67 saat (norm x test/etiket carpani)</v>
      </c>
      <c r="R660" s="5" t="s">
        <v>229</v>
      </c>
      <c r="S660" s="5" t="s">
        <v>550</v>
      </c>
      <c r="T660" s="5"/>
      <c r="U660" s="5">
        <v>0</v>
      </c>
    </row>
    <row r="661" spans="1:21" x14ac:dyDescent="0.25">
      <c r="A661" s="10">
        <v>660</v>
      </c>
      <c r="B661" s="10" t="s">
        <v>631</v>
      </c>
      <c r="C661" s="10"/>
      <c r="D661" s="10"/>
      <c r="E661" s="10"/>
      <c r="F661" s="10"/>
      <c r="G661" s="10"/>
      <c r="H661" s="10">
        <f>SUBTOTAL(9,H650:H660)</f>
        <v>148355.59999999998</v>
      </c>
      <c r="I661" s="10"/>
      <c r="J661" s="10"/>
      <c r="K661" s="10"/>
      <c r="L661" s="10">
        <f>SUBTOTAL(9,L650:L660)</f>
        <v>148355.59999999998</v>
      </c>
      <c r="M661" s="10"/>
      <c r="N661" s="10"/>
      <c r="O661" s="10"/>
      <c r="P661" s="10"/>
      <c r="Q661" s="10"/>
      <c r="R661" s="10"/>
      <c r="S661" s="10"/>
      <c r="T661" s="10"/>
      <c r="U661" s="10">
        <f>SUBTOTAL(9,U650:U660)</f>
        <v>191</v>
      </c>
    </row>
    <row r="662" spans="1:21" x14ac:dyDescent="0.25">
      <c r="A662" s="8">
        <v>661</v>
      </c>
      <c r="B662" s="8" t="str">
        <f>E662</f>
        <v>BLOK A / ЩА-RF — НКУ 380/220В 50Гц, FORM 2B, IP31/54</v>
      </c>
      <c r="C662" s="8" t="s">
        <v>545</v>
      </c>
      <c r="D662" s="8"/>
      <c r="E662" s="8" t="s">
        <v>632</v>
      </c>
      <c r="F662" s="8"/>
      <c r="G662" s="8"/>
      <c r="H662" s="8"/>
      <c r="I662" s="8">
        <v>1</v>
      </c>
      <c r="J662" s="8" t="s">
        <v>547</v>
      </c>
      <c r="K662" s="8"/>
      <c r="L662" s="8"/>
      <c r="M662" s="8"/>
      <c r="N662" s="8"/>
      <c r="O662" s="8"/>
      <c r="P662" s="8" t="s">
        <v>178</v>
      </c>
      <c r="Q662" s="8" t="s">
        <v>548</v>
      </c>
      <c r="R662" s="8" t="s">
        <v>549</v>
      </c>
      <c r="S662" s="8" t="s">
        <v>550</v>
      </c>
      <c r="T662" s="8"/>
      <c r="U662" s="8"/>
    </row>
    <row r="663" spans="1:21" x14ac:dyDescent="0.25">
      <c r="A663" s="9">
        <v>662</v>
      </c>
      <c r="B663" s="9"/>
      <c r="C663" s="9" t="s">
        <v>169</v>
      </c>
      <c r="D663" s="9" t="s">
        <v>167</v>
      </c>
      <c r="E663" s="9" t="str">
        <f>IFERROR(VLOOKUP($D663,FIYAT!$B:$O,2,FALSE()),"")</f>
        <v>Авт. выкл. NM8N-125C TM 3P 32А 36кА с рег. термомаг. расцепителем (R)</v>
      </c>
      <c r="F663" s="9">
        <f>IFERROR(VLOOKUP($D663,FIYAT!$B:$O,5,FALSE()),"")</f>
        <v>64667</v>
      </c>
      <c r="G663" s="9">
        <f>IFERROR(VLOOKUP($D663,FIYAT!$B:$O,8,FALSE()),"")</f>
        <v>38800.199999999997</v>
      </c>
      <c r="H663" s="9">
        <f t="shared" ref="H663:H675" si="82">IF(OR($G663="",$I663=""),"",$G663*$I663)</f>
        <v>38800.199999999997</v>
      </c>
      <c r="I663" s="6">
        <v>1</v>
      </c>
      <c r="J663" s="9" t="str">
        <f>IFERROR(VLOOKUP($D663,FIYAT!$B:$O,9,FALSE()),"")</f>
        <v>Шт.</v>
      </c>
      <c r="K663" s="9" t="str">
        <f>IFERROR(VLOOKUP($D663,FIYAT!$B:$O,4,FALSE()),"")</f>
        <v>CHINT</v>
      </c>
      <c r="L663" s="9">
        <f t="shared" ref="L663:L677" si="83">IF($H663="","",$H663)</f>
        <v>38800.199999999997</v>
      </c>
      <c r="M663" s="9"/>
      <c r="N663" s="9"/>
      <c r="O663" s="9"/>
      <c r="P663" s="9" t="str">
        <f>IF($H663="","FIYAT_YOK",IFERROR(VLOOKUP($D663,FIYAT!$B:$P,15,FALSE()),""))</f>
        <v>MUADIL</v>
      </c>
      <c r="Q663" s="9" t="s">
        <v>172</v>
      </c>
      <c r="R663" s="9" t="s">
        <v>171</v>
      </c>
      <c r="S663" s="9" t="s">
        <v>550</v>
      </c>
      <c r="T663" s="9" t="s">
        <v>61</v>
      </c>
      <c r="U663" s="9">
        <f>IFERROR(VLOOKUP($T663,KURALLAR!$A$32:$B$63,2,FALSE()),0)*IF(ISNUMBER($I663),$I663,0)</f>
        <v>15</v>
      </c>
    </row>
    <row r="664" spans="1:21" x14ac:dyDescent="0.25">
      <c r="A664" s="5">
        <v>663</v>
      </c>
      <c r="B664" s="5"/>
      <c r="C664" s="5" t="s">
        <v>176</v>
      </c>
      <c r="D664" s="5" t="s">
        <v>174</v>
      </c>
      <c r="E664" s="5" t="str">
        <f>IFERROR(VLOOKUP($D664,FIYAT!$B:$O,2,FALSE()),"")</f>
        <v>УЗО NL1-63 6kA 4P 63A 300mA тип AC (R)</v>
      </c>
      <c r="F664" s="5">
        <f>IFERROR(VLOOKUP($D664,FIYAT!$B:$O,5,FALSE()),"")</f>
        <v>18106</v>
      </c>
      <c r="G664" s="5">
        <f>IFERROR(VLOOKUP($D664,FIYAT!$B:$O,8,FALSE()),"")</f>
        <v>10863.6</v>
      </c>
      <c r="H664" s="5">
        <f t="shared" si="82"/>
        <v>10863.6</v>
      </c>
      <c r="I664" s="6">
        <v>1</v>
      </c>
      <c r="J664" s="5" t="str">
        <f>IFERROR(VLOOKUP($D664,FIYAT!$B:$O,9,FALSE()),"")</f>
        <v>Шт.</v>
      </c>
      <c r="K664" s="5" t="str">
        <f>IFERROR(VLOOKUP($D664,FIYAT!$B:$O,4,FALSE()),"")</f>
        <v>CHINT</v>
      </c>
      <c r="L664" s="5">
        <f t="shared" si="83"/>
        <v>10863.6</v>
      </c>
      <c r="M664" s="5"/>
      <c r="N664" s="5"/>
      <c r="O664" s="5"/>
      <c r="P664" s="5" t="str">
        <f>IF($H664="","FIYAT_YOK",IFERROR(VLOOKUP($D664,FIYAT!$B:$P,15,FALSE()),""))</f>
        <v>OK</v>
      </c>
      <c r="Q664" s="5" t="s">
        <v>177</v>
      </c>
      <c r="R664" s="5" t="s">
        <v>171</v>
      </c>
      <c r="S664" s="5" t="s">
        <v>550</v>
      </c>
      <c r="T664" s="5" t="s">
        <v>57</v>
      </c>
      <c r="U664" s="5">
        <f>IFERROR(VLOOKUP($T664,KURALLAR!$A$32:$B$63,2,FALSE()),0)*IF(ISNUMBER($I664),$I664,0)</f>
        <v>10</v>
      </c>
    </row>
    <row r="665" spans="1:21" x14ac:dyDescent="0.25">
      <c r="A665" s="9">
        <v>664</v>
      </c>
      <c r="B665" s="9"/>
      <c r="C665" s="9" t="s">
        <v>79</v>
      </c>
      <c r="D665" s="9" t="s">
        <v>179</v>
      </c>
      <c r="E665" s="9" t="str">
        <f>IFERROR(VLOOKUP($D665,FIYAT!$B:$O,2,FALSE()),"")</f>
        <v>Держатель плавкой вставки RT36-00-160, габарит 00, 160А</v>
      </c>
      <c r="F665" s="9">
        <f>IFERROR(VLOOKUP($D665,FIYAT!$B:$O,5,FALSE()),"")</f>
        <v>2038</v>
      </c>
      <c r="G665" s="9">
        <f>IFERROR(VLOOKUP($D665,FIYAT!$B:$O,8,FALSE()),"")</f>
        <v>1222.8</v>
      </c>
      <c r="H665" s="9">
        <f t="shared" si="82"/>
        <v>4891.2</v>
      </c>
      <c r="I665" s="6">
        <v>4</v>
      </c>
      <c r="J665" s="9" t="str">
        <f>IFERROR(VLOOKUP($D665,FIYAT!$B:$O,9,FALSE()),"")</f>
        <v>Шт.</v>
      </c>
      <c r="K665" s="9" t="str">
        <f>IFERROR(VLOOKUP($D665,FIYAT!$B:$O,4,FALSE()),"")</f>
        <v>CHINT</v>
      </c>
      <c r="L665" s="9">
        <f t="shared" si="83"/>
        <v>4891.2</v>
      </c>
      <c r="M665" s="9"/>
      <c r="N665" s="9"/>
      <c r="O665" s="9"/>
      <c r="P665" s="9" t="str">
        <f>IF($H665="","FIYAT_YOK",IFERROR(VLOOKUP($D665,FIYAT!$B:$P,15,FALSE()),""))</f>
        <v>MUADIL</v>
      </c>
      <c r="Q665" s="9" t="s">
        <v>181</v>
      </c>
      <c r="R665" s="9" t="s">
        <v>171</v>
      </c>
      <c r="S665" s="9" t="s">
        <v>550</v>
      </c>
      <c r="T665" s="9" t="s">
        <v>77</v>
      </c>
      <c r="U665" s="9">
        <f>IFERROR(VLOOKUP($T665,KURALLAR!$A$32:$B$63,2,FALSE()),0)*IF(ISNUMBER($I665),$I665,0)</f>
        <v>20</v>
      </c>
    </row>
    <row r="666" spans="1:21" x14ac:dyDescent="0.25">
      <c r="A666" s="5">
        <v>665</v>
      </c>
      <c r="B666" s="5"/>
      <c r="C666" s="5" t="s">
        <v>79</v>
      </c>
      <c r="D666" s="5" t="s">
        <v>182</v>
      </c>
      <c r="E666" s="5" t="str">
        <f>IFERROR(VLOOKUP($D666,FIYAT!$B:$O,2,FALSE()),"")</f>
        <v>Плавкая вставка предохранителя RT36-00-160, габарит 00, 63А</v>
      </c>
      <c r="F666" s="5">
        <f>IFERROR(VLOOKUP($D666,FIYAT!$B:$O,5,FALSE()),"")</f>
        <v>1525</v>
      </c>
      <c r="G666" s="5">
        <f>IFERROR(VLOOKUP($D666,FIYAT!$B:$O,8,FALSE()),"")</f>
        <v>915</v>
      </c>
      <c r="H666" s="5">
        <f t="shared" si="82"/>
        <v>3660</v>
      </c>
      <c r="I666" s="6">
        <v>4</v>
      </c>
      <c r="J666" s="5" t="str">
        <f>IFERROR(VLOOKUP($D666,FIYAT!$B:$O,9,FALSE()),"")</f>
        <v>Шт.</v>
      </c>
      <c r="K666" s="5" t="str">
        <f>IFERROR(VLOOKUP($D666,FIYAT!$B:$O,4,FALSE()),"")</f>
        <v>CHINT</v>
      </c>
      <c r="L666" s="5">
        <f t="shared" si="83"/>
        <v>3660</v>
      </c>
      <c r="M666" s="5"/>
      <c r="N666" s="5"/>
      <c r="O666" s="5"/>
      <c r="P666" s="5" t="str">
        <f>IF($H666="","FIYAT_YOK",IFERROR(VLOOKUP($D666,FIYAT!$B:$P,15,FALSE()),""))</f>
        <v>MUADIL</v>
      </c>
      <c r="Q666" s="5" t="s">
        <v>185</v>
      </c>
      <c r="R666" s="5" t="s">
        <v>184</v>
      </c>
      <c r="S666" s="5" t="s">
        <v>550</v>
      </c>
      <c r="T666" s="5" t="s">
        <v>79</v>
      </c>
      <c r="U666" s="5">
        <f>IFERROR(VLOOKUP($T666,KURALLAR!$A$32:$B$63,2,FALSE()),0)*IF(ISNUMBER($I666),$I666,0)</f>
        <v>12</v>
      </c>
    </row>
    <row r="667" spans="1:21" x14ac:dyDescent="0.25">
      <c r="A667" s="9">
        <v>666</v>
      </c>
      <c r="B667" s="9"/>
      <c r="C667" s="9" t="s">
        <v>75</v>
      </c>
      <c r="D667" s="9" t="s">
        <v>186</v>
      </c>
      <c r="E667" s="9" t="str">
        <f>IFERROR(VLOOKUP($D667,FIYAT!$B:$O,2,FALSE()),"")</f>
        <v>Ограничитель имп. перенапр. NU6-IIG 4Р In=25kA Uc=440B Im=65kA (R)</v>
      </c>
      <c r="F667" s="9">
        <f>IFERROR(VLOOKUP($D667,FIYAT!$B:$O,5,FALSE()),"")</f>
        <v>33208</v>
      </c>
      <c r="G667" s="9">
        <f>IFERROR(VLOOKUP($D667,FIYAT!$B:$O,8,FALSE()),"")</f>
        <v>19924.8</v>
      </c>
      <c r="H667" s="9">
        <f t="shared" si="82"/>
        <v>19924.8</v>
      </c>
      <c r="I667" s="6">
        <v>1</v>
      </c>
      <c r="J667" s="9" t="str">
        <f>IFERROR(VLOOKUP($D667,FIYAT!$B:$O,9,FALSE()),"")</f>
        <v>Шт.</v>
      </c>
      <c r="K667" s="9" t="str">
        <f>IFERROR(VLOOKUP($D667,FIYAT!$B:$O,4,FALSE()),"")</f>
        <v>CHINT</v>
      </c>
      <c r="L667" s="9">
        <f t="shared" si="83"/>
        <v>19924.8</v>
      </c>
      <c r="M667" s="9"/>
      <c r="N667" s="9"/>
      <c r="O667" s="9"/>
      <c r="P667" s="9" t="str">
        <f>IF($H667="","FIYAT_YOK",IFERROR(VLOOKUP($D667,FIYAT!$B:$P,15,FALSE()),""))</f>
        <v>MUADIL_ONAY</v>
      </c>
      <c r="Q667" s="9" t="s">
        <v>188</v>
      </c>
      <c r="R667" s="9" t="s">
        <v>184</v>
      </c>
      <c r="S667" s="9" t="s">
        <v>550</v>
      </c>
      <c r="T667" s="9" t="s">
        <v>75</v>
      </c>
      <c r="U667" s="9">
        <f>IFERROR(VLOOKUP($T667,KURALLAR!$A$32:$B$63,2,FALSE()),0)*IF(ISNUMBER($I667),$I667,0)</f>
        <v>10</v>
      </c>
    </row>
    <row r="668" spans="1:21" x14ac:dyDescent="0.25">
      <c r="A668" s="5">
        <v>667</v>
      </c>
      <c r="B668" s="5"/>
      <c r="C668" s="5" t="s">
        <v>192</v>
      </c>
      <c r="D668" s="5" t="s">
        <v>190</v>
      </c>
      <c r="E668" s="5" t="str">
        <f>IFERROR(VLOOKUP($D668,FIYAT!$B:$O,2,FALSE()),"")</f>
        <v>Авт. выкл. NXB-63 3P 25A 6кА х-ка C (R)</v>
      </c>
      <c r="F668" s="5">
        <f>IFERROR(VLOOKUP($D668,FIYAT!$B:$O,5,FALSE()),"")</f>
        <v>5334</v>
      </c>
      <c r="G668" s="5">
        <f>IFERROR(VLOOKUP($D668,FIYAT!$B:$O,8,FALSE()),"")</f>
        <v>3200.4</v>
      </c>
      <c r="H668" s="5">
        <f t="shared" si="82"/>
        <v>3200.4</v>
      </c>
      <c r="I668" s="6">
        <v>1</v>
      </c>
      <c r="J668" s="5" t="str">
        <f>IFERROR(VLOOKUP($D668,FIYAT!$B:$O,9,FALSE()),"")</f>
        <v>Шт.</v>
      </c>
      <c r="K668" s="5" t="str">
        <f>IFERROR(VLOOKUP($D668,FIYAT!$B:$O,4,FALSE()),"")</f>
        <v>CHINT</v>
      </c>
      <c r="L668" s="5">
        <f t="shared" si="83"/>
        <v>3200.4</v>
      </c>
      <c r="M668" s="5"/>
      <c r="N668" s="5"/>
      <c r="O668" s="5"/>
      <c r="P668" s="5" t="str">
        <f>IF($H668="","FIYAT_YOK",IFERROR(VLOOKUP($D668,FIYAT!$B:$P,15,FALSE()),""))</f>
        <v>OK</v>
      </c>
      <c r="Q668" s="5" t="s">
        <v>193</v>
      </c>
      <c r="R668" s="5" t="s">
        <v>171</v>
      </c>
      <c r="S668" s="5" t="s">
        <v>550</v>
      </c>
      <c r="T668" s="5" t="s">
        <v>51</v>
      </c>
      <c r="U668" s="5">
        <f>IFERROR(VLOOKUP($T668,KURALLAR!$A$32:$B$63,2,FALSE()),0)*IF(ISNUMBER($I668),$I668,0)</f>
        <v>8</v>
      </c>
    </row>
    <row r="669" spans="1:21" x14ac:dyDescent="0.25">
      <c r="A669" s="9">
        <v>668</v>
      </c>
      <c r="B669" s="9"/>
      <c r="C669" s="9" t="s">
        <v>176</v>
      </c>
      <c r="D669" s="9" t="s">
        <v>313</v>
      </c>
      <c r="E669" s="9" t="str">
        <f>IFERROR(VLOOKUP($D669,FIYAT!$B:$O,2,FALSE()),"")</f>
        <v>Диф. авт. выкл. NB1L-40 4P C25 30mA тип AC 6kA (R)</v>
      </c>
      <c r="F669" s="9">
        <f>IFERROR(VLOOKUP($D669,FIYAT!$B:$O,5,FALSE()),"")</f>
        <v>23469</v>
      </c>
      <c r="G669" s="9">
        <f>IFERROR(VLOOKUP($D669,FIYAT!$B:$O,8,FALSE()),"")</f>
        <v>14081.4</v>
      </c>
      <c r="H669" s="9">
        <f t="shared" si="82"/>
        <v>14081.4</v>
      </c>
      <c r="I669" s="6">
        <v>1</v>
      </c>
      <c r="J669" s="9" t="str">
        <f>IFERROR(VLOOKUP($D669,FIYAT!$B:$O,9,FALSE()),"")</f>
        <v>Шт.</v>
      </c>
      <c r="K669" s="9" t="str">
        <f>IFERROR(VLOOKUP($D669,FIYAT!$B:$O,4,FALSE()),"")</f>
        <v>CHINT</v>
      </c>
      <c r="L669" s="9">
        <f t="shared" si="83"/>
        <v>14081.4</v>
      </c>
      <c r="M669" s="9"/>
      <c r="N669" s="9"/>
      <c r="O669" s="9"/>
      <c r="P669" s="9" t="str">
        <f>IF($H669="","FIYAT_YOK",IFERROR(VLOOKUP($D669,FIYAT!$B:$P,15,FALSE()),""))</f>
        <v>MUADIL</v>
      </c>
      <c r="Q669" s="9" t="s">
        <v>315</v>
      </c>
      <c r="R669" s="9" t="s">
        <v>184</v>
      </c>
      <c r="S669" s="9" t="s">
        <v>550</v>
      </c>
      <c r="T669" s="9" t="s">
        <v>57</v>
      </c>
      <c r="U669" s="9">
        <f>IFERROR(VLOOKUP($T669,KURALLAR!$A$32:$B$63,2,FALSE()),0)*IF(ISNUMBER($I669),$I669,0)</f>
        <v>10</v>
      </c>
    </row>
    <row r="670" spans="1:21" x14ac:dyDescent="0.25">
      <c r="A670" s="5">
        <v>669</v>
      </c>
      <c r="B670" s="5"/>
      <c r="C670" s="5" t="s">
        <v>192</v>
      </c>
      <c r="D670" s="5" t="s">
        <v>194</v>
      </c>
      <c r="E670" s="5" t="str">
        <f>IFERROR(VLOOKUP($D670,FIYAT!$B:$O,2,FALSE()),"")</f>
        <v>Авт. выкл. NXB-63 1P 16A 6кА х-ка C (R)</v>
      </c>
      <c r="F670" s="5">
        <f>IFERROR(VLOOKUP($D670,FIYAT!$B:$O,5,FALSE()),"")</f>
        <v>1389</v>
      </c>
      <c r="G670" s="5">
        <f>IFERROR(VLOOKUP($D670,FIYAT!$B:$O,8,FALSE()),"")</f>
        <v>833.4</v>
      </c>
      <c r="H670" s="5">
        <f t="shared" si="82"/>
        <v>36669.599999999999</v>
      </c>
      <c r="I670" s="6">
        <v>44</v>
      </c>
      <c r="J670" s="5" t="str">
        <f>IFERROR(VLOOKUP($D670,FIYAT!$B:$O,9,FALSE()),"")</f>
        <v>Шт.</v>
      </c>
      <c r="K670" s="5" t="str">
        <f>IFERROR(VLOOKUP($D670,FIYAT!$B:$O,4,FALSE()),"")</f>
        <v>CHINT</v>
      </c>
      <c r="L670" s="5">
        <f t="shared" si="83"/>
        <v>36669.599999999999</v>
      </c>
      <c r="M670" s="5"/>
      <c r="N670" s="5"/>
      <c r="O670" s="5"/>
      <c r="P670" s="5" t="str">
        <f>IF($H670="","FIYAT_YOK",IFERROR(VLOOKUP($D670,FIYAT!$B:$P,15,FALSE()),""))</f>
        <v>OK</v>
      </c>
      <c r="Q670" s="5" t="s">
        <v>196</v>
      </c>
      <c r="R670" s="5" t="s">
        <v>171</v>
      </c>
      <c r="S670" s="5" t="s">
        <v>550</v>
      </c>
      <c r="T670" s="5" t="s">
        <v>47</v>
      </c>
      <c r="U670" s="5">
        <f>IFERROR(VLOOKUP($T670,KURALLAR!$A$32:$B$63,2,FALSE()),0)*IF(ISNUMBER($I670),$I670,0)</f>
        <v>132</v>
      </c>
    </row>
    <row r="671" spans="1:21" x14ac:dyDescent="0.25">
      <c r="A671" s="9">
        <v>670</v>
      </c>
      <c r="B671" s="9"/>
      <c r="C671" s="9" t="s">
        <v>176</v>
      </c>
      <c r="D671" s="9" t="s">
        <v>316</v>
      </c>
      <c r="E671" s="9" t="str">
        <f>IFERROR(VLOOKUP($D671,FIYAT!$B:$O,2,FALSE()),"")</f>
        <v>Диф. авт. выкл. NB1L 1P+N C25 30mA тип A 6kA (36mm) (R)</v>
      </c>
      <c r="F671" s="9">
        <f>IFERROR(VLOOKUP($D671,FIYAT!$B:$O,5,FALSE()),"")</f>
        <v>13989</v>
      </c>
      <c r="G671" s="9">
        <f>IFERROR(VLOOKUP($D671,FIYAT!$B:$O,8,FALSE()),"")</f>
        <v>8393.4</v>
      </c>
      <c r="H671" s="9">
        <f t="shared" si="82"/>
        <v>8393.4</v>
      </c>
      <c r="I671" s="6">
        <v>1</v>
      </c>
      <c r="J671" s="9" t="str">
        <f>IFERROR(VLOOKUP($D671,FIYAT!$B:$O,9,FALSE()),"")</f>
        <v>Шт.</v>
      </c>
      <c r="K671" s="9" t="str">
        <f>IFERROR(VLOOKUP($D671,FIYAT!$B:$O,4,FALSE()),"")</f>
        <v>CHINT</v>
      </c>
      <c r="L671" s="9">
        <f t="shared" si="83"/>
        <v>8393.4</v>
      </c>
      <c r="M671" s="9"/>
      <c r="N671" s="9"/>
      <c r="O671" s="9"/>
      <c r="P671" s="9" t="str">
        <f>IF($H671="","FIYAT_YOK",IFERROR(VLOOKUP($D671,FIYAT!$B:$P,15,FALSE()),""))</f>
        <v>MUADIL</v>
      </c>
      <c r="Q671" s="9" t="s">
        <v>318</v>
      </c>
      <c r="R671" s="9" t="s">
        <v>184</v>
      </c>
      <c r="S671" s="9" t="s">
        <v>550</v>
      </c>
      <c r="T671" s="9" t="s">
        <v>55</v>
      </c>
      <c r="U671" s="9">
        <f>IFERROR(VLOOKUP($T671,KURALLAR!$A$32:$B$63,2,FALSE()),0)*IF(ISNUMBER($I671),$I671,0)</f>
        <v>6</v>
      </c>
    </row>
    <row r="672" spans="1:21" x14ac:dyDescent="0.25">
      <c r="A672" s="5">
        <v>671</v>
      </c>
      <c r="B672" s="5"/>
      <c r="C672" s="5" t="s">
        <v>192</v>
      </c>
      <c r="D672" s="5" t="s">
        <v>304</v>
      </c>
      <c r="E672" s="5" t="str">
        <f>IFERROR(VLOOKUP($D672,FIYAT!$B:$O,2,FALSE()),"")</f>
        <v>Авт. выкл. NXB-63 3P 16A 6кА х-ка C (R)</v>
      </c>
      <c r="F672" s="5">
        <f>IFERROR(VLOOKUP($D672,FIYAT!$B:$O,5,FALSE()),"")</f>
        <v>5462</v>
      </c>
      <c r="G672" s="5">
        <f>IFERROR(VLOOKUP($D672,FIYAT!$B:$O,8,FALSE()),"")</f>
        <v>3277.2</v>
      </c>
      <c r="H672" s="5">
        <f t="shared" si="82"/>
        <v>9831.5999999999985</v>
      </c>
      <c r="I672" s="6">
        <v>3</v>
      </c>
      <c r="J672" s="5" t="str">
        <f>IFERROR(VLOOKUP($D672,FIYAT!$B:$O,9,FALSE()),"")</f>
        <v>Шт.</v>
      </c>
      <c r="K672" s="5" t="str">
        <f>IFERROR(VLOOKUP($D672,FIYAT!$B:$O,4,FALSE()),"")</f>
        <v>CHINT</v>
      </c>
      <c r="L672" s="5">
        <f t="shared" si="83"/>
        <v>9831.5999999999985</v>
      </c>
      <c r="M672" s="5"/>
      <c r="N672" s="5"/>
      <c r="O672" s="5"/>
      <c r="P672" s="5" t="str">
        <f>IF($H672="","FIYAT_YOK",IFERROR(VLOOKUP($D672,FIYAT!$B:$P,15,FALSE()),""))</f>
        <v>OK</v>
      </c>
      <c r="Q672" s="5" t="s">
        <v>306</v>
      </c>
      <c r="R672" s="5" t="s">
        <v>171</v>
      </c>
      <c r="S672" s="5" t="s">
        <v>550</v>
      </c>
      <c r="T672" s="5" t="s">
        <v>51</v>
      </c>
      <c r="U672" s="5">
        <f>IFERROR(VLOOKUP($T672,KURALLAR!$A$32:$B$63,2,FALSE()),0)*IF(ISNUMBER($I672),$I672,0)</f>
        <v>24</v>
      </c>
    </row>
    <row r="673" spans="1:21" x14ac:dyDescent="0.25">
      <c r="A673" s="9">
        <v>672</v>
      </c>
      <c r="B673" s="9"/>
      <c r="C673" s="9" t="s">
        <v>192</v>
      </c>
      <c r="D673" s="9" t="s">
        <v>206</v>
      </c>
      <c r="E673" s="9" t="str">
        <f>IFERROR(VLOOKUP($D673,FIYAT!$B:$O,2,FALSE()),"")</f>
        <v>Авт. выкл. NXB-63 1P 10A 6кА х-ка C (R)</v>
      </c>
      <c r="F673" s="9">
        <f>IFERROR(VLOOKUP($D673,FIYAT!$B:$O,5,FALSE()),"")</f>
        <v>1362</v>
      </c>
      <c r="G673" s="9">
        <f>IFERROR(VLOOKUP($D673,FIYAT!$B:$O,8,FALSE()),"")</f>
        <v>817.19999999999993</v>
      </c>
      <c r="H673" s="9">
        <f t="shared" si="82"/>
        <v>1634.3999999999999</v>
      </c>
      <c r="I673" s="6">
        <v>2</v>
      </c>
      <c r="J673" s="9" t="str">
        <f>IFERROR(VLOOKUP($D673,FIYAT!$B:$O,9,FALSE()),"")</f>
        <v>Шт.</v>
      </c>
      <c r="K673" s="9" t="str">
        <f>IFERROR(VLOOKUP($D673,FIYAT!$B:$O,4,FALSE()),"")</f>
        <v>CHINT</v>
      </c>
      <c r="L673" s="9">
        <f t="shared" si="83"/>
        <v>1634.3999999999999</v>
      </c>
      <c r="M673" s="9"/>
      <c r="N673" s="9"/>
      <c r="O673" s="9"/>
      <c r="P673" s="9" t="str">
        <f>IF($H673="","FIYAT_YOK",IFERROR(VLOOKUP($D673,FIYAT!$B:$P,15,FALSE()),""))</f>
        <v>OK</v>
      </c>
      <c r="Q673" s="9" t="s">
        <v>208</v>
      </c>
      <c r="R673" s="9" t="s">
        <v>184</v>
      </c>
      <c r="S673" s="9" t="s">
        <v>550</v>
      </c>
      <c r="T673" s="9" t="s">
        <v>47</v>
      </c>
      <c r="U673" s="9">
        <f>IFERROR(VLOOKUP($T673,KURALLAR!$A$32:$B$63,2,FALSE()),0)*IF(ISNUMBER($I673),$I673,0)</f>
        <v>6</v>
      </c>
    </row>
    <row r="674" spans="1:21" x14ac:dyDescent="0.25">
      <c r="A674" s="5">
        <v>673</v>
      </c>
      <c r="B674" s="5"/>
      <c r="C674" s="5" t="s">
        <v>93</v>
      </c>
      <c r="D674" s="5" t="s">
        <v>209</v>
      </c>
      <c r="E674" s="5" t="str">
        <f>IFERROR(VLOOKUP($D674,FIYAT!$B:$O,2,FALSE()),"")</f>
        <v>Шина "N" нулевая 6х9мм на DIN-рейку в корпусном изоляторе ШНИ 12К IEK (10)</v>
      </c>
      <c r="F674" s="5">
        <f>IFERROR(VLOOKUP($D674,FIYAT!$B:$O,5,FALSE()),"")</f>
        <v>755</v>
      </c>
      <c r="G674" s="5">
        <f>IFERROR(VLOOKUP($D674,FIYAT!$B:$O,8,FALSE()),"")</f>
        <v>453</v>
      </c>
      <c r="H674" s="5">
        <f t="shared" si="82"/>
        <v>1812</v>
      </c>
      <c r="I674" s="6">
        <v>4</v>
      </c>
      <c r="J674" s="5" t="str">
        <f>IFERROR(VLOOKUP($D674,FIYAT!$B:$O,9,FALSE()),"")</f>
        <v>Шт.</v>
      </c>
      <c r="K674" s="5" t="str">
        <f>IFERROR(VLOOKUP($D674,FIYAT!$B:$O,4,FALSE()),"")</f>
        <v>KAZTEK</v>
      </c>
      <c r="L674" s="5">
        <f t="shared" si="83"/>
        <v>1812</v>
      </c>
      <c r="M674" s="5"/>
      <c r="N674" s="5"/>
      <c r="O674" s="5"/>
      <c r="P674" s="5" t="str">
        <f>IF($H674="","FIYAT_YOK",IFERROR(VLOOKUP($D674,FIYAT!$B:$P,15,FALSE()),""))</f>
        <v>MUADIL</v>
      </c>
      <c r="Q674" s="5" t="s">
        <v>212</v>
      </c>
      <c r="R674" s="5" t="s">
        <v>211</v>
      </c>
      <c r="S674" s="5" t="s">
        <v>550</v>
      </c>
      <c r="T674" s="5" t="s">
        <v>93</v>
      </c>
      <c r="U674" s="5">
        <f>IFERROR(VLOOKUP($T674,KURALLAR!$A$32:$B$63,2,FALSE()),0)*IF(ISNUMBER($I674),$I674,0)</f>
        <v>32</v>
      </c>
    </row>
    <row r="675" spans="1:21" x14ac:dyDescent="0.25">
      <c r="A675" s="9">
        <v>674</v>
      </c>
      <c r="B675" s="9"/>
      <c r="C675" s="9" t="s">
        <v>222</v>
      </c>
      <c r="D675" s="9" t="s">
        <v>307</v>
      </c>
      <c r="E675" s="9" t="str">
        <f>IFERROR(VLOOKUP($D675,FIYAT!$B:$O,2,FALSE()),"")</f>
        <v>Мет.Корпус ЩМП-5 (1000x650x300) IP31</v>
      </c>
      <c r="F675" s="9">
        <f>IFERROR(VLOOKUP($D675,FIYAT!$B:$O,5,FALSE()),"")</f>
        <v>38905</v>
      </c>
      <c r="G675" s="9">
        <f>IFERROR(VLOOKUP($D675,FIYAT!$B:$O,8,FALSE()),"")</f>
        <v>23343</v>
      </c>
      <c r="H675" s="9">
        <f t="shared" si="82"/>
        <v>23343</v>
      </c>
      <c r="I675" s="6">
        <v>1</v>
      </c>
      <c r="J675" s="9" t="str">
        <f>IFERROR(VLOOKUP($D675,FIYAT!$B:$O,9,FALSE()),"")</f>
        <v>Шт.</v>
      </c>
      <c r="K675" s="9" t="str">
        <f>IFERROR(VLOOKUP($D675,FIYAT!$B:$O,4,FALSE()),"")</f>
        <v>KAZTEK</v>
      </c>
      <c r="L675" s="9">
        <f t="shared" si="83"/>
        <v>23343</v>
      </c>
      <c r="M675" s="9"/>
      <c r="N675" s="9"/>
      <c r="O675" s="9"/>
      <c r="P675" s="9" t="str">
        <f>IF($H675="","FIYAT_YOK",IFERROR(VLOOKUP($D675,FIYAT!$B:$P,15,FALSE()),""))</f>
        <v>VARSAYIM</v>
      </c>
      <c r="Q675" s="9" t="s">
        <v>309</v>
      </c>
      <c r="R675" s="9" t="s">
        <v>211</v>
      </c>
      <c r="S675" s="9" t="s">
        <v>550</v>
      </c>
      <c r="T675" s="9" t="s">
        <v>105</v>
      </c>
      <c r="U675" s="9">
        <f>IFERROR(VLOOKUP($T675,KURALLAR!$A$32:$B$63,2,FALSE()),0)*IF(ISNUMBER($I675),$I675,0)</f>
        <v>30</v>
      </c>
    </row>
    <row r="676" spans="1:21" x14ac:dyDescent="0.25">
      <c r="A676" s="5">
        <v>675</v>
      </c>
      <c r="B676" s="5"/>
      <c r="C676" s="5" t="s">
        <v>215</v>
      </c>
      <c r="D676" s="5" t="s">
        <v>213</v>
      </c>
      <c r="E676" s="5" t="str">
        <f>IFERROR(VLOOKUP($D676,FIYAT!$B:$O,2,FALSE()),"")</f>
        <v>Монтажный расходный материал (кабель, DIN-рейка, кабель-канал, клеммы, маркировка, крепёж)</v>
      </c>
      <c r="F676" s="5">
        <f>IFERROR(VLOOKUP($D676,FIYAT!$B:$O,5,FALSE()),"")</f>
        <v>0</v>
      </c>
      <c r="G676" s="5" t="str">
        <f>IFERROR(VLOOKUP($D676,FIYAT!$B:$O,8,FALSE()),"")</f>
        <v/>
      </c>
      <c r="H676" s="5">
        <f>ROUND(SUM($H$663:$H$675)*KURALLAR!$B$28,0)</f>
        <v>12397</v>
      </c>
      <c r="I676" s="6">
        <v>1</v>
      </c>
      <c r="J676" s="5" t="str">
        <f>IFERROR(VLOOKUP($D676,FIYAT!$B:$O,9,FALSE()),"")</f>
        <v>компл.</v>
      </c>
      <c r="K676" s="5" t="str">
        <f>IFERROR(VLOOKUP($D676,FIYAT!$B:$O,4,FALSE()),"")</f>
        <v>MUADIL-NET</v>
      </c>
      <c r="L676" s="5">
        <f t="shared" si="83"/>
        <v>12397</v>
      </c>
      <c r="M676" s="5"/>
      <c r="N676" s="5"/>
      <c r="O676" s="5"/>
      <c r="P676" s="5" t="str">
        <f>IF($H676="","FIYAT_YOK",IFERROR(VLOOKUP($D676,FIYAT!$B:$P,15,FALSE()),""))</f>
        <v>ORAN</v>
      </c>
      <c r="Q676" s="5" t="s">
        <v>218</v>
      </c>
      <c r="R676" s="5" t="s">
        <v>217</v>
      </c>
      <c r="S676" s="5" t="s">
        <v>550</v>
      </c>
      <c r="T676" s="5"/>
      <c r="U676" s="5">
        <v>0</v>
      </c>
    </row>
    <row r="677" spans="1:21" x14ac:dyDescent="0.25">
      <c r="A677" s="9">
        <v>676</v>
      </c>
      <c r="B677" s="9"/>
      <c r="C677" s="9" t="s">
        <v>227</v>
      </c>
      <c r="D677" s="9" t="s">
        <v>225</v>
      </c>
      <c r="E677" s="9" t="str">
        <f>IFERROR(VLOOKUP($D677,FIYAT!$B:$O,2,FALSE()),"")</f>
        <v>Сборка, кабелирование, маркировка, момент затяжки, испытания</v>
      </c>
      <c r="F677" s="9">
        <f>IFERROR(VLOOKUP($D677,FIYAT!$B:$O,5,FALSE()),"")</f>
        <v>100</v>
      </c>
      <c r="G677" s="9">
        <f>IFERROR(VLOOKUP($D677,FIYAT!$B:$O,8,FALSE()),"")</f>
        <v>100</v>
      </c>
      <c r="H677" s="9">
        <f>IF(OR($G677="",$I677=""),"",$G677*$I677)</f>
        <v>36200</v>
      </c>
      <c r="I677" s="6">
        <f>ROUND(SUM($U$663:$U$676)*KURALLAR!$B$27,0)</f>
        <v>362</v>
      </c>
      <c r="J677" s="9" t="str">
        <f>IFERROR(VLOOKUP($D677,FIYAT!$B:$O,9,FALSE()),"")</f>
        <v>мин</v>
      </c>
      <c r="K677" s="9" t="str">
        <f>IFERROR(VLOOKUP($D677,FIYAT!$B:$O,4,FALSE()),"")</f>
        <v>ISCILIK</v>
      </c>
      <c r="L677" s="9">
        <f t="shared" si="83"/>
        <v>36200</v>
      </c>
      <c r="M677" s="9"/>
      <c r="N677" s="9"/>
      <c r="O677" s="9"/>
      <c r="P677" s="9" t="str">
        <f>IF($H677="","FIYAT_YOK",IFERROR(VLOOKUP($D677,FIYAT!$B:$P,15,FALSE()),""))</f>
        <v>OK</v>
      </c>
      <c r="Q677" s="9" t="str">
        <f>CONCATENATE("montaj+test iscilik: ",TEXT($I677,"# ##0")," dk = ",TEXT($I677/60,"0,00")," saat (norm x test/etiket carpani)")</f>
        <v>montaj+test iscilik:  362 dk = 6,03 saat (norm x test/etiket carpani)</v>
      </c>
      <c r="R677" s="9" t="s">
        <v>229</v>
      </c>
      <c r="S677" s="9" t="s">
        <v>550</v>
      </c>
      <c r="T677" s="9"/>
      <c r="U677" s="9">
        <v>0</v>
      </c>
    </row>
    <row r="678" spans="1:21" x14ac:dyDescent="0.25">
      <c r="A678" s="10">
        <v>677</v>
      </c>
      <c r="B678" s="10" t="s">
        <v>633</v>
      </c>
      <c r="C678" s="10"/>
      <c r="D678" s="10"/>
      <c r="E678" s="10"/>
      <c r="F678" s="10"/>
      <c r="G678" s="10"/>
      <c r="H678" s="10">
        <f>SUBTOTAL(9,H663:H677)</f>
        <v>225702.59999999998</v>
      </c>
      <c r="I678" s="10"/>
      <c r="J678" s="10"/>
      <c r="K678" s="10"/>
      <c r="L678" s="10">
        <f>SUBTOTAL(9,L663:L677)</f>
        <v>225702.59999999998</v>
      </c>
      <c r="M678" s="10"/>
      <c r="N678" s="10"/>
      <c r="O678" s="10"/>
      <c r="P678" s="10"/>
      <c r="Q678" s="10"/>
      <c r="R678" s="10"/>
      <c r="S678" s="10"/>
      <c r="T678" s="10"/>
      <c r="U678" s="10">
        <f>SUBTOTAL(9,U663:U677)</f>
        <v>315</v>
      </c>
    </row>
    <row r="679" spans="1:21" x14ac:dyDescent="0.25">
      <c r="A679" s="8">
        <v>678</v>
      </c>
      <c r="B679" s="8" t="str">
        <f>E679</f>
        <v>BLOK A / ЭЩА-RF — НКУ 380/220В 50Гц, FORM 2B, IP31/54</v>
      </c>
      <c r="C679" s="8" t="s">
        <v>545</v>
      </c>
      <c r="D679" s="8"/>
      <c r="E679" s="8" t="s">
        <v>634</v>
      </c>
      <c r="F679" s="8"/>
      <c r="G679" s="8"/>
      <c r="H679" s="8"/>
      <c r="I679" s="8">
        <v>1</v>
      </c>
      <c r="J679" s="8" t="s">
        <v>547</v>
      </c>
      <c r="K679" s="8"/>
      <c r="L679" s="8"/>
      <c r="M679" s="8"/>
      <c r="N679" s="8"/>
      <c r="O679" s="8"/>
      <c r="P679" s="8" t="s">
        <v>178</v>
      </c>
      <c r="Q679" s="8" t="s">
        <v>548</v>
      </c>
      <c r="R679" s="8" t="s">
        <v>549</v>
      </c>
      <c r="S679" s="8" t="s">
        <v>550</v>
      </c>
      <c r="T679" s="8"/>
      <c r="U679" s="8"/>
    </row>
    <row r="680" spans="1:21" x14ac:dyDescent="0.25">
      <c r="A680" s="5">
        <v>679</v>
      </c>
      <c r="B680" s="5"/>
      <c r="C680" s="5" t="s">
        <v>169</v>
      </c>
      <c r="D680" s="5" t="s">
        <v>352</v>
      </c>
      <c r="E680" s="5" t="str">
        <f>IFERROR(VLOOKUP($D680,FIYAT!$B:$O,2,FALSE()),"")</f>
        <v>Авт. выкл. NM8N-250C TM 3P 250А 36кА с рег. термомаг. расцепителем (R)</v>
      </c>
      <c r="F680" s="5">
        <f>IFERROR(VLOOKUP($D680,FIYAT!$B:$O,5,FALSE()),"")</f>
        <v>90077</v>
      </c>
      <c r="G680" s="5">
        <f>IFERROR(VLOOKUP($D680,FIYAT!$B:$O,8,FALSE()),"")</f>
        <v>54046.2</v>
      </c>
      <c r="H680" s="5">
        <f t="shared" ref="H680:H698" si="84">IF(OR($G680="",$I680=""),"",$G680*$I680)</f>
        <v>54046.2</v>
      </c>
      <c r="I680" s="6">
        <v>1</v>
      </c>
      <c r="J680" s="5" t="str">
        <f>IFERROR(VLOOKUP($D680,FIYAT!$B:$O,9,FALSE()),"")</f>
        <v>Шт.</v>
      </c>
      <c r="K680" s="5" t="str">
        <f>IFERROR(VLOOKUP($D680,FIYAT!$B:$O,4,FALSE()),"")</f>
        <v>CHINT</v>
      </c>
      <c r="L680" s="5">
        <f t="shared" ref="L680:L700" si="85">IF($H680="","",$H680)</f>
        <v>54046.2</v>
      </c>
      <c r="M680" s="5"/>
      <c r="N680" s="5"/>
      <c r="O680" s="5"/>
      <c r="P680" s="5" t="str">
        <f>IF($H680="","FIYAT_YOK",IFERROR(VLOOKUP($D680,FIYAT!$B:$P,15,FALSE()),""))</f>
        <v>OK</v>
      </c>
      <c r="Q680" s="5" t="s">
        <v>354</v>
      </c>
      <c r="R680" s="5" t="s">
        <v>171</v>
      </c>
      <c r="S680" s="5" t="s">
        <v>550</v>
      </c>
      <c r="T680" s="5" t="s">
        <v>63</v>
      </c>
      <c r="U680" s="5">
        <f>IFERROR(VLOOKUP($T680,KURALLAR!$A$32:$B$63,2,FALSE()),0)*IF(ISNUMBER($I680),$I680,0)</f>
        <v>25</v>
      </c>
    </row>
    <row r="681" spans="1:21" x14ac:dyDescent="0.25">
      <c r="A681" s="9">
        <v>680</v>
      </c>
      <c r="B681" s="9"/>
      <c r="C681" s="9" t="s">
        <v>93</v>
      </c>
      <c r="D681" s="9" t="s">
        <v>267</v>
      </c>
      <c r="E681" s="9" t="str">
        <f>IFERROR(VLOOKUP($D681,FIYAT!$B:$O,2,FALSE()),"")</f>
        <v>Независимый расцепитель SHT22-M8 AC220-240V для NM8N-250/400/630 (R)</v>
      </c>
      <c r="F681" s="9">
        <f>IFERROR(VLOOKUP($D681,FIYAT!$B:$O,5,FALSE()),"")</f>
        <v>18552</v>
      </c>
      <c r="G681" s="9">
        <f>IFERROR(VLOOKUP($D681,FIYAT!$B:$O,8,FALSE()),"")</f>
        <v>11131.199999999999</v>
      </c>
      <c r="H681" s="9">
        <f t="shared" si="84"/>
        <v>11131.199999999999</v>
      </c>
      <c r="I681" s="6">
        <v>1</v>
      </c>
      <c r="J681" s="9" t="str">
        <f>IFERROR(VLOOKUP($D681,FIYAT!$B:$O,9,FALSE()),"")</f>
        <v>Шт.</v>
      </c>
      <c r="K681" s="9" t="str">
        <f>IFERROR(VLOOKUP($D681,FIYAT!$B:$O,4,FALSE()),"")</f>
        <v>CHINT</v>
      </c>
      <c r="L681" s="9">
        <f t="shared" si="85"/>
        <v>11131.199999999999</v>
      </c>
      <c r="M681" s="9"/>
      <c r="N681" s="9"/>
      <c r="O681" s="9"/>
      <c r="P681" s="9" t="str">
        <f>IF($H681="","FIYAT_YOK",IFERROR(VLOOKUP($D681,FIYAT!$B:$P,15,FALSE()),""))</f>
        <v>OK</v>
      </c>
      <c r="Q681" s="9" t="s">
        <v>269</v>
      </c>
      <c r="R681" s="9" t="s">
        <v>184</v>
      </c>
      <c r="S681" s="9" t="s">
        <v>550</v>
      </c>
      <c r="T681" s="9" t="s">
        <v>95</v>
      </c>
      <c r="U681" s="9">
        <f>IFERROR(VLOOKUP($T681,KURALLAR!$A$32:$B$63,2,FALSE()),0)*IF(ISNUMBER($I681),$I681,0)</f>
        <v>10</v>
      </c>
    </row>
    <row r="682" spans="1:21" x14ac:dyDescent="0.25">
      <c r="A682" s="5">
        <v>681</v>
      </c>
      <c r="B682" s="5"/>
      <c r="C682" s="5" t="s">
        <v>192</v>
      </c>
      <c r="D682" s="5" t="s">
        <v>238</v>
      </c>
      <c r="E682" s="5" t="str">
        <f>IFERROR(VLOOKUP($D682,FIYAT!$B:$O,2,FALSE()),"")</f>
        <v>Авт. выкл. NXB-63 1P 6A 6кА х-ка C (R)</v>
      </c>
      <c r="F682" s="5">
        <f>IFERROR(VLOOKUP($D682,FIYAT!$B:$O,5,FALSE()),"")</f>
        <v>1436</v>
      </c>
      <c r="G682" s="5">
        <f>IFERROR(VLOOKUP($D682,FIYAT!$B:$O,8,FALSE()),"")</f>
        <v>861.6</v>
      </c>
      <c r="H682" s="5">
        <f t="shared" si="84"/>
        <v>3446.4</v>
      </c>
      <c r="I682" s="6">
        <v>4</v>
      </c>
      <c r="J682" s="5" t="str">
        <f>IFERROR(VLOOKUP($D682,FIYAT!$B:$O,9,FALSE()),"")</f>
        <v>Шт.</v>
      </c>
      <c r="K682" s="5" t="str">
        <f>IFERROR(VLOOKUP($D682,FIYAT!$B:$O,4,FALSE()),"")</f>
        <v>CHINT</v>
      </c>
      <c r="L682" s="5">
        <f t="shared" si="85"/>
        <v>3446.4</v>
      </c>
      <c r="M682" s="5"/>
      <c r="N682" s="5"/>
      <c r="O682" s="5"/>
      <c r="P682" s="5" t="str">
        <f>IF($H682="","FIYAT_YOK",IFERROR(VLOOKUP($D682,FIYAT!$B:$P,15,FALSE()),""))</f>
        <v>OK</v>
      </c>
      <c r="Q682" s="5" t="s">
        <v>240</v>
      </c>
      <c r="R682" s="5" t="s">
        <v>171</v>
      </c>
      <c r="S682" s="5" t="s">
        <v>550</v>
      </c>
      <c r="T682" s="5" t="s">
        <v>47</v>
      </c>
      <c r="U682" s="5">
        <f>IFERROR(VLOOKUP($T682,KURALLAR!$A$32:$B$63,2,FALSE()),0)*IF(ISNUMBER($I682),$I682,0)</f>
        <v>12</v>
      </c>
    </row>
    <row r="683" spans="1:21" x14ac:dyDescent="0.25">
      <c r="A683" s="9">
        <v>682</v>
      </c>
      <c r="B683" s="9"/>
      <c r="C683" s="9" t="s">
        <v>89</v>
      </c>
      <c r="D683" s="9" t="s">
        <v>241</v>
      </c>
      <c r="E683" s="9" t="str">
        <f>IFERROR(VLOOKUP($D683,FIYAT!$B:$O,2,FALSE()),"")</f>
        <v>Индикатор ND16-22DS/4 белый АС230В (R)</v>
      </c>
      <c r="F683" s="9">
        <f>IFERROR(VLOOKUP($D683,FIYAT!$B:$O,5,FALSE()),"")</f>
        <v>1047</v>
      </c>
      <c r="G683" s="9">
        <f>IFERROR(VLOOKUP($D683,FIYAT!$B:$O,8,FALSE()),"")</f>
        <v>628.19999999999993</v>
      </c>
      <c r="H683" s="9">
        <f t="shared" si="84"/>
        <v>1884.6</v>
      </c>
      <c r="I683" s="6">
        <v>3</v>
      </c>
      <c r="J683" s="9" t="str">
        <f>IFERROR(VLOOKUP($D683,FIYAT!$B:$O,9,FALSE()),"")</f>
        <v>Шт.</v>
      </c>
      <c r="K683" s="9" t="str">
        <f>IFERROR(VLOOKUP($D683,FIYAT!$B:$O,4,FALSE()),"")</f>
        <v>CHINT</v>
      </c>
      <c r="L683" s="9">
        <f t="shared" si="85"/>
        <v>1884.6</v>
      </c>
      <c r="M683" s="9"/>
      <c r="N683" s="9"/>
      <c r="O683" s="9"/>
      <c r="P683" s="9" t="str">
        <f>IF($H683="","FIYAT_YOK",IFERROR(VLOOKUP($D683,FIYAT!$B:$P,15,FALSE()),""))</f>
        <v>OK</v>
      </c>
      <c r="Q683" s="9" t="s">
        <v>243</v>
      </c>
      <c r="R683" s="9" t="s">
        <v>184</v>
      </c>
      <c r="S683" s="9" t="s">
        <v>550</v>
      </c>
      <c r="T683" s="9" t="s">
        <v>89</v>
      </c>
      <c r="U683" s="9">
        <f>IFERROR(VLOOKUP($T683,KURALLAR!$A$32:$B$63,2,FALSE()),0)*IF(ISNUMBER($I683),$I683,0)</f>
        <v>12</v>
      </c>
    </row>
    <row r="684" spans="1:21" x14ac:dyDescent="0.25">
      <c r="A684" s="5">
        <v>683</v>
      </c>
      <c r="B684" s="5"/>
      <c r="C684" s="5" t="s">
        <v>87</v>
      </c>
      <c r="D684" s="5" t="s">
        <v>270</v>
      </c>
      <c r="E684" s="5" t="str">
        <f>IFERROR(VLOOKUP($D684,FIYAT!$B:$O,2,FALSE()),"")</f>
        <v>Реле защиты от утечки тока с LCD индикацией (регулируемое) — CHINT листинге нет</v>
      </c>
      <c r="F684" s="5">
        <f>IFERROR(VLOOKUP($D684,FIYAT!$B:$O,5,FALSE()),"")</f>
        <v>0</v>
      </c>
      <c r="G684" s="5" t="str">
        <f>IFERROR(VLOOKUP($D684,FIYAT!$B:$O,8,FALSE()),"")</f>
        <v/>
      </c>
      <c r="H684" s="5" t="str">
        <f t="shared" si="84"/>
        <v/>
      </c>
      <c r="I684" s="6">
        <v>1</v>
      </c>
      <c r="J684" s="5" t="str">
        <f>IFERROR(VLOOKUP($D684,FIYAT!$B:$O,9,FALSE()),"")</f>
        <v>Шт.</v>
      </c>
      <c r="K684" s="5" t="str">
        <f>IFERROR(VLOOKUP($D684,FIYAT!$B:$O,4,FALSE()),"")</f>
        <v>MUADIL-NET</v>
      </c>
      <c r="L684" s="5" t="str">
        <f t="shared" si="85"/>
        <v/>
      </c>
      <c r="M684" s="5"/>
      <c r="N684" s="5"/>
      <c r="O684" s="5"/>
      <c r="P684" s="7" t="str">
        <f>IF($H684="","FIYAT_YOK",IFERROR(VLOOKUP($D684,FIYAT!$B:$P,15,FALSE()),""))</f>
        <v>FIYAT_YOK</v>
      </c>
      <c r="Q684" s="7" t="s">
        <v>272</v>
      </c>
      <c r="R684" s="5"/>
      <c r="S684" s="5" t="s">
        <v>550</v>
      </c>
      <c r="T684" s="5" t="s">
        <v>87</v>
      </c>
      <c r="U684" s="5">
        <f>IFERROR(VLOOKUP($T684,KURALLAR!$A$32:$B$63,2,FALSE()),0)*IF(ISNUMBER($I684),$I684,0)</f>
        <v>8</v>
      </c>
    </row>
    <row r="685" spans="1:21" x14ac:dyDescent="0.25">
      <c r="A685" s="9">
        <v>684</v>
      </c>
      <c r="B685" s="9"/>
      <c r="C685" s="9" t="s">
        <v>83</v>
      </c>
      <c r="D685" s="9" t="s">
        <v>289</v>
      </c>
      <c r="E685" s="9" t="str">
        <f>IFERROR(VLOOKUP($D685,FIYAT!$B:$O,2,FALSE()),"")</f>
        <v>Тороидальный трансформатор тока Ø100мм (250-400A) — CHINT листинге нет</v>
      </c>
      <c r="F685" s="9">
        <f>IFERROR(VLOOKUP($D685,FIYAT!$B:$O,5,FALSE()),"")</f>
        <v>0</v>
      </c>
      <c r="G685" s="9" t="str">
        <f>IFERROR(VLOOKUP($D685,FIYAT!$B:$O,8,FALSE()),"")</f>
        <v/>
      </c>
      <c r="H685" s="9" t="str">
        <f t="shared" si="84"/>
        <v/>
      </c>
      <c r="I685" s="6">
        <v>1</v>
      </c>
      <c r="J685" s="9" t="str">
        <f>IFERROR(VLOOKUP($D685,FIYAT!$B:$O,9,FALSE()),"")</f>
        <v>Шт.</v>
      </c>
      <c r="K685" s="9" t="str">
        <f>IFERROR(VLOOKUP($D685,FIYAT!$B:$O,4,FALSE()),"")</f>
        <v>MUADIL-NET</v>
      </c>
      <c r="L685" s="9" t="str">
        <f t="shared" si="85"/>
        <v/>
      </c>
      <c r="M685" s="9"/>
      <c r="N685" s="9"/>
      <c r="O685" s="9"/>
      <c r="P685" s="7" t="str">
        <f>IF($H685="","FIYAT_YOK",IFERROR(VLOOKUP($D685,FIYAT!$B:$P,15,FALSE()),""))</f>
        <v>FIYAT_YOK</v>
      </c>
      <c r="Q685" s="7" t="s">
        <v>291</v>
      </c>
      <c r="R685" s="9"/>
      <c r="S685" s="9" t="s">
        <v>550</v>
      </c>
      <c r="T685" s="9" t="s">
        <v>83</v>
      </c>
      <c r="U685" s="9">
        <f>IFERROR(VLOOKUP($T685,KURALLAR!$A$32:$B$63,2,FALSE()),0)*IF(ISNUMBER($I685),$I685,0)</f>
        <v>10</v>
      </c>
    </row>
    <row r="686" spans="1:21" x14ac:dyDescent="0.25">
      <c r="A686" s="5">
        <v>685</v>
      </c>
      <c r="B686" s="5"/>
      <c r="C686" s="5" t="s">
        <v>79</v>
      </c>
      <c r="D686" s="5" t="s">
        <v>179</v>
      </c>
      <c r="E686" s="5" t="str">
        <f>IFERROR(VLOOKUP($D686,FIYAT!$B:$O,2,FALSE()),"")</f>
        <v>Держатель плавкой вставки RT36-00-160, габарит 00, 160А</v>
      </c>
      <c r="F686" s="5">
        <f>IFERROR(VLOOKUP($D686,FIYAT!$B:$O,5,FALSE()),"")</f>
        <v>2038</v>
      </c>
      <c r="G686" s="5">
        <f>IFERROR(VLOOKUP($D686,FIYAT!$B:$O,8,FALSE()),"")</f>
        <v>1222.8</v>
      </c>
      <c r="H686" s="5">
        <f t="shared" si="84"/>
        <v>4891.2</v>
      </c>
      <c r="I686" s="6">
        <v>4</v>
      </c>
      <c r="J686" s="5" t="str">
        <f>IFERROR(VLOOKUP($D686,FIYAT!$B:$O,9,FALSE()),"")</f>
        <v>Шт.</v>
      </c>
      <c r="K686" s="5" t="str">
        <f>IFERROR(VLOOKUP($D686,FIYAT!$B:$O,4,FALSE()),"")</f>
        <v>CHINT</v>
      </c>
      <c r="L686" s="5">
        <f t="shared" si="85"/>
        <v>4891.2</v>
      </c>
      <c r="M686" s="5"/>
      <c r="N686" s="5"/>
      <c r="O686" s="5"/>
      <c r="P686" s="5" t="str">
        <f>IF($H686="","FIYAT_YOK",IFERROR(VLOOKUP($D686,FIYAT!$B:$P,15,FALSE()),""))</f>
        <v>MUADIL</v>
      </c>
      <c r="Q686" s="5" t="s">
        <v>181</v>
      </c>
      <c r="R686" s="5" t="s">
        <v>171</v>
      </c>
      <c r="S686" s="5" t="s">
        <v>550</v>
      </c>
      <c r="T686" s="5" t="s">
        <v>77</v>
      </c>
      <c r="U686" s="5">
        <f>IFERROR(VLOOKUP($T686,KURALLAR!$A$32:$B$63,2,FALSE()),0)*IF(ISNUMBER($I686),$I686,0)</f>
        <v>20</v>
      </c>
    </row>
    <row r="687" spans="1:21" x14ac:dyDescent="0.25">
      <c r="A687" s="9">
        <v>686</v>
      </c>
      <c r="B687" s="9"/>
      <c r="C687" s="9" t="s">
        <v>79</v>
      </c>
      <c r="D687" s="9" t="s">
        <v>182</v>
      </c>
      <c r="E687" s="9" t="str">
        <f>IFERROR(VLOOKUP($D687,FIYAT!$B:$O,2,FALSE()),"")</f>
        <v>Плавкая вставка предохранителя RT36-00-160, габарит 00, 63А</v>
      </c>
      <c r="F687" s="9">
        <f>IFERROR(VLOOKUP($D687,FIYAT!$B:$O,5,FALSE()),"")</f>
        <v>1525</v>
      </c>
      <c r="G687" s="9">
        <f>IFERROR(VLOOKUP($D687,FIYAT!$B:$O,8,FALSE()),"")</f>
        <v>915</v>
      </c>
      <c r="H687" s="9">
        <f t="shared" si="84"/>
        <v>3660</v>
      </c>
      <c r="I687" s="6">
        <v>4</v>
      </c>
      <c r="J687" s="9" t="str">
        <f>IFERROR(VLOOKUP($D687,FIYAT!$B:$O,9,FALSE()),"")</f>
        <v>Шт.</v>
      </c>
      <c r="K687" s="9" t="str">
        <f>IFERROR(VLOOKUP($D687,FIYAT!$B:$O,4,FALSE()),"")</f>
        <v>CHINT</v>
      </c>
      <c r="L687" s="9">
        <f t="shared" si="85"/>
        <v>3660</v>
      </c>
      <c r="M687" s="9"/>
      <c r="N687" s="9"/>
      <c r="O687" s="9"/>
      <c r="P687" s="9" t="str">
        <f>IF($H687="","FIYAT_YOK",IFERROR(VLOOKUP($D687,FIYAT!$B:$P,15,FALSE()),""))</f>
        <v>MUADIL</v>
      </c>
      <c r="Q687" s="9" t="s">
        <v>185</v>
      </c>
      <c r="R687" s="9" t="s">
        <v>184</v>
      </c>
      <c r="S687" s="9" t="s">
        <v>550</v>
      </c>
      <c r="T687" s="9" t="s">
        <v>79</v>
      </c>
      <c r="U687" s="9">
        <f>IFERROR(VLOOKUP($T687,KURALLAR!$A$32:$B$63,2,FALSE()),0)*IF(ISNUMBER($I687),$I687,0)</f>
        <v>12</v>
      </c>
    </row>
    <row r="688" spans="1:21" x14ac:dyDescent="0.25">
      <c r="A688" s="5">
        <v>687</v>
      </c>
      <c r="B688" s="5"/>
      <c r="C688" s="5" t="s">
        <v>75</v>
      </c>
      <c r="D688" s="5" t="s">
        <v>186</v>
      </c>
      <c r="E688" s="5" t="str">
        <f>IFERROR(VLOOKUP($D688,FIYAT!$B:$O,2,FALSE()),"")</f>
        <v>Ограничитель имп. перенапр. NU6-IIG 4Р In=25kA Uc=440B Im=65kA (R)</v>
      </c>
      <c r="F688" s="5">
        <f>IFERROR(VLOOKUP($D688,FIYAT!$B:$O,5,FALSE()),"")</f>
        <v>33208</v>
      </c>
      <c r="G688" s="5">
        <f>IFERROR(VLOOKUP($D688,FIYAT!$B:$O,8,FALSE()),"")</f>
        <v>19924.8</v>
      </c>
      <c r="H688" s="5">
        <f t="shared" si="84"/>
        <v>19924.8</v>
      </c>
      <c r="I688" s="6">
        <v>1</v>
      </c>
      <c r="J688" s="5" t="str">
        <f>IFERROR(VLOOKUP($D688,FIYAT!$B:$O,9,FALSE()),"")</f>
        <v>Шт.</v>
      </c>
      <c r="K688" s="5" t="str">
        <f>IFERROR(VLOOKUP($D688,FIYAT!$B:$O,4,FALSE()),"")</f>
        <v>CHINT</v>
      </c>
      <c r="L688" s="5">
        <f t="shared" si="85"/>
        <v>19924.8</v>
      </c>
      <c r="M688" s="5"/>
      <c r="N688" s="5"/>
      <c r="O688" s="5"/>
      <c r="P688" s="5" t="str">
        <f>IF($H688="","FIYAT_YOK",IFERROR(VLOOKUP($D688,FIYAT!$B:$P,15,FALSE()),""))</f>
        <v>MUADIL_ONAY</v>
      </c>
      <c r="Q688" s="5" t="s">
        <v>188</v>
      </c>
      <c r="R688" s="5" t="s">
        <v>184</v>
      </c>
      <c r="S688" s="5" t="s">
        <v>550</v>
      </c>
      <c r="T688" s="5" t="s">
        <v>75</v>
      </c>
      <c r="U688" s="5">
        <f>IFERROR(VLOOKUP($T688,KURALLAR!$A$32:$B$63,2,FALSE()),0)*IF(ISNUMBER($I688),$I688,0)</f>
        <v>10</v>
      </c>
    </row>
    <row r="689" spans="1:21" x14ac:dyDescent="0.25">
      <c r="A689" s="9">
        <v>688</v>
      </c>
      <c r="B689" s="9"/>
      <c r="C689" s="9" t="s">
        <v>192</v>
      </c>
      <c r="D689" s="9" t="s">
        <v>335</v>
      </c>
      <c r="E689" s="9" t="str">
        <f>IFERROR(VLOOKUP($D689,FIYAT!$B:$O,2,FALSE()),"")</f>
        <v>Авт. выкл. NXB-63 3P 63A 6кА х-ка C (R)</v>
      </c>
      <c r="F689" s="9">
        <f>IFERROR(VLOOKUP($D689,FIYAT!$B:$O,5,FALSE()),"")</f>
        <v>6071</v>
      </c>
      <c r="G689" s="9">
        <f>IFERROR(VLOOKUP($D689,FIYAT!$B:$O,8,FALSE()),"")</f>
        <v>3642.6</v>
      </c>
      <c r="H689" s="9">
        <f t="shared" si="84"/>
        <v>3642.6</v>
      </c>
      <c r="I689" s="6">
        <v>1</v>
      </c>
      <c r="J689" s="9" t="str">
        <f>IFERROR(VLOOKUP($D689,FIYAT!$B:$O,9,FALSE()),"")</f>
        <v>Шт.</v>
      </c>
      <c r="K689" s="9" t="str">
        <f>IFERROR(VLOOKUP($D689,FIYAT!$B:$O,4,FALSE()),"")</f>
        <v>CHINT</v>
      </c>
      <c r="L689" s="9">
        <f t="shared" si="85"/>
        <v>3642.6</v>
      </c>
      <c r="M689" s="9"/>
      <c r="N689" s="9"/>
      <c r="O689" s="9"/>
      <c r="P689" s="9" t="str">
        <f>IF($H689="","FIYAT_YOK",IFERROR(VLOOKUP($D689,FIYAT!$B:$P,15,FALSE()),""))</f>
        <v>OK</v>
      </c>
      <c r="Q689" s="9" t="s">
        <v>337</v>
      </c>
      <c r="R689" s="9" t="s">
        <v>171</v>
      </c>
      <c r="S689" s="9" t="s">
        <v>550</v>
      </c>
      <c r="T689" s="9" t="s">
        <v>51</v>
      </c>
      <c r="U689" s="9">
        <f>IFERROR(VLOOKUP($T689,KURALLAR!$A$32:$B$63,2,FALSE()),0)*IF(ISNUMBER($I689),$I689,0)</f>
        <v>8</v>
      </c>
    </row>
    <row r="690" spans="1:21" x14ac:dyDescent="0.25">
      <c r="A690" s="5">
        <v>689</v>
      </c>
      <c r="B690" s="5"/>
      <c r="C690" s="5" t="s">
        <v>192</v>
      </c>
      <c r="D690" s="5" t="s">
        <v>338</v>
      </c>
      <c r="E690" s="5" t="str">
        <f>IFERROR(VLOOKUP($D690,FIYAT!$B:$O,2,FALSE()),"")</f>
        <v>Авт. выкл. NXB-63 3P 50A 6кА х-ка C (R)</v>
      </c>
      <c r="F690" s="5">
        <f>IFERROR(VLOOKUP($D690,FIYAT!$B:$O,5,FALSE()),"")</f>
        <v>5719</v>
      </c>
      <c r="G690" s="5">
        <f>IFERROR(VLOOKUP($D690,FIYAT!$B:$O,8,FALSE()),"")</f>
        <v>3431.4</v>
      </c>
      <c r="H690" s="5">
        <f t="shared" si="84"/>
        <v>3431.4</v>
      </c>
      <c r="I690" s="6">
        <v>1</v>
      </c>
      <c r="J690" s="5" t="str">
        <f>IFERROR(VLOOKUP($D690,FIYAT!$B:$O,9,FALSE()),"")</f>
        <v>Шт.</v>
      </c>
      <c r="K690" s="5" t="str">
        <f>IFERROR(VLOOKUP($D690,FIYAT!$B:$O,4,FALSE()),"")</f>
        <v>CHINT</v>
      </c>
      <c r="L690" s="5">
        <f t="shared" si="85"/>
        <v>3431.4</v>
      </c>
      <c r="M690" s="5"/>
      <c r="N690" s="5"/>
      <c r="O690" s="5"/>
      <c r="P690" s="5" t="str">
        <f>IF($H690="","FIYAT_YOK",IFERROR(VLOOKUP($D690,FIYAT!$B:$P,15,FALSE()),""))</f>
        <v>OK</v>
      </c>
      <c r="Q690" s="5" t="s">
        <v>340</v>
      </c>
      <c r="R690" s="5" t="s">
        <v>171</v>
      </c>
      <c r="S690" s="5" t="s">
        <v>550</v>
      </c>
      <c r="T690" s="5" t="s">
        <v>51</v>
      </c>
      <c r="U690" s="5">
        <f>IFERROR(VLOOKUP($T690,KURALLAR!$A$32:$B$63,2,FALSE()),0)*IF(ISNUMBER($I690),$I690,0)</f>
        <v>8</v>
      </c>
    </row>
    <row r="691" spans="1:21" x14ac:dyDescent="0.25">
      <c r="A691" s="9">
        <v>690</v>
      </c>
      <c r="B691" s="9"/>
      <c r="C691" s="9" t="s">
        <v>192</v>
      </c>
      <c r="D691" s="9" t="s">
        <v>190</v>
      </c>
      <c r="E691" s="9" t="str">
        <f>IFERROR(VLOOKUP($D691,FIYAT!$B:$O,2,FALSE()),"")</f>
        <v>Авт. выкл. NXB-63 3P 25A 6кА х-ка C (R)</v>
      </c>
      <c r="F691" s="9">
        <f>IFERROR(VLOOKUP($D691,FIYAT!$B:$O,5,FALSE()),"")</f>
        <v>5334</v>
      </c>
      <c r="G691" s="9">
        <f>IFERROR(VLOOKUP($D691,FIYAT!$B:$O,8,FALSE()),"")</f>
        <v>3200.4</v>
      </c>
      <c r="H691" s="9">
        <f t="shared" si="84"/>
        <v>25603.200000000001</v>
      </c>
      <c r="I691" s="6">
        <v>8</v>
      </c>
      <c r="J691" s="9" t="str">
        <f>IFERROR(VLOOKUP($D691,FIYAT!$B:$O,9,FALSE()),"")</f>
        <v>Шт.</v>
      </c>
      <c r="K691" s="9" t="str">
        <f>IFERROR(VLOOKUP($D691,FIYAT!$B:$O,4,FALSE()),"")</f>
        <v>CHINT</v>
      </c>
      <c r="L691" s="9">
        <f t="shared" si="85"/>
        <v>25603.200000000001</v>
      </c>
      <c r="M691" s="9"/>
      <c r="N691" s="9"/>
      <c r="O691" s="9"/>
      <c r="P691" s="9" t="str">
        <f>IF($H691="","FIYAT_YOK",IFERROR(VLOOKUP($D691,FIYAT!$B:$P,15,FALSE()),""))</f>
        <v>OK</v>
      </c>
      <c r="Q691" s="9" t="s">
        <v>193</v>
      </c>
      <c r="R691" s="9" t="s">
        <v>171</v>
      </c>
      <c r="S691" s="9" t="s">
        <v>550</v>
      </c>
      <c r="T691" s="9" t="s">
        <v>51</v>
      </c>
      <c r="U691" s="9">
        <f>IFERROR(VLOOKUP($T691,KURALLAR!$A$32:$B$63,2,FALSE()),0)*IF(ISNUMBER($I691),$I691,0)</f>
        <v>64</v>
      </c>
    </row>
    <row r="692" spans="1:21" x14ac:dyDescent="0.25">
      <c r="A692" s="5">
        <v>691</v>
      </c>
      <c r="B692" s="5"/>
      <c r="C692" s="5" t="s">
        <v>192</v>
      </c>
      <c r="D692" s="5" t="s">
        <v>304</v>
      </c>
      <c r="E692" s="5" t="str">
        <f>IFERROR(VLOOKUP($D692,FIYAT!$B:$O,2,FALSE()),"")</f>
        <v>Авт. выкл. NXB-63 3P 16A 6кА х-ка C (R)</v>
      </c>
      <c r="F692" s="5">
        <f>IFERROR(VLOOKUP($D692,FIYAT!$B:$O,5,FALSE()),"")</f>
        <v>5462</v>
      </c>
      <c r="G692" s="5">
        <f>IFERROR(VLOOKUP($D692,FIYAT!$B:$O,8,FALSE()),"")</f>
        <v>3277.2</v>
      </c>
      <c r="H692" s="5">
        <f t="shared" si="84"/>
        <v>9831.5999999999985</v>
      </c>
      <c r="I692" s="6">
        <v>3</v>
      </c>
      <c r="J692" s="5" t="str">
        <f>IFERROR(VLOOKUP($D692,FIYAT!$B:$O,9,FALSE()),"")</f>
        <v>Шт.</v>
      </c>
      <c r="K692" s="5" t="str">
        <f>IFERROR(VLOOKUP($D692,FIYAT!$B:$O,4,FALSE()),"")</f>
        <v>CHINT</v>
      </c>
      <c r="L692" s="5">
        <f t="shared" si="85"/>
        <v>9831.5999999999985</v>
      </c>
      <c r="M692" s="5"/>
      <c r="N692" s="5"/>
      <c r="O692" s="5"/>
      <c r="P692" s="5" t="str">
        <f>IF($H692="","FIYAT_YOK",IFERROR(VLOOKUP($D692,FIYAT!$B:$P,15,FALSE()),""))</f>
        <v>OK</v>
      </c>
      <c r="Q692" s="5" t="s">
        <v>306</v>
      </c>
      <c r="R692" s="5" t="s">
        <v>171</v>
      </c>
      <c r="S692" s="5" t="s">
        <v>550</v>
      </c>
      <c r="T692" s="5" t="s">
        <v>51</v>
      </c>
      <c r="U692" s="5">
        <f>IFERROR(VLOOKUP($T692,KURALLAR!$A$32:$B$63,2,FALSE()),0)*IF(ISNUMBER($I692),$I692,0)</f>
        <v>24</v>
      </c>
    </row>
    <row r="693" spans="1:21" x14ac:dyDescent="0.25">
      <c r="A693" s="9">
        <v>692</v>
      </c>
      <c r="B693" s="9"/>
      <c r="C693" s="9" t="s">
        <v>192</v>
      </c>
      <c r="D693" s="9" t="s">
        <v>355</v>
      </c>
      <c r="E693" s="9" t="str">
        <f>IFERROR(VLOOKUP($D693,FIYAT!$B:$O,2,FALSE()),"")</f>
        <v>Авт. выкл. NXB-63 3P 10A 6кА х-ка C (R)</v>
      </c>
      <c r="F693" s="9">
        <f>IFERROR(VLOOKUP($D693,FIYAT!$B:$O,5,FALSE()),"")</f>
        <v>5878</v>
      </c>
      <c r="G693" s="9">
        <f>IFERROR(VLOOKUP($D693,FIYAT!$B:$O,8,FALSE()),"")</f>
        <v>3526.7999999999997</v>
      </c>
      <c r="H693" s="9">
        <f t="shared" si="84"/>
        <v>7053.5999999999995</v>
      </c>
      <c r="I693" s="6">
        <v>2</v>
      </c>
      <c r="J693" s="9" t="str">
        <f>IFERROR(VLOOKUP($D693,FIYAT!$B:$O,9,FALSE()),"")</f>
        <v>Шт.</v>
      </c>
      <c r="K693" s="9" t="str">
        <f>IFERROR(VLOOKUP($D693,FIYAT!$B:$O,4,FALSE()),"")</f>
        <v>CHINT</v>
      </c>
      <c r="L693" s="9">
        <f t="shared" si="85"/>
        <v>7053.5999999999995</v>
      </c>
      <c r="M693" s="9"/>
      <c r="N693" s="9"/>
      <c r="O693" s="9"/>
      <c r="P693" s="9" t="str">
        <f>IF($H693="","FIYAT_YOK",IFERROR(VLOOKUP($D693,FIYAT!$B:$P,15,FALSE()),""))</f>
        <v>OK</v>
      </c>
      <c r="Q693" s="9" t="s">
        <v>357</v>
      </c>
      <c r="R693" s="9" t="s">
        <v>184</v>
      </c>
      <c r="S693" s="9" t="s">
        <v>550</v>
      </c>
      <c r="T693" s="9" t="s">
        <v>51</v>
      </c>
      <c r="U693" s="9">
        <f>IFERROR(VLOOKUP($T693,KURALLAR!$A$32:$B$63,2,FALSE()),0)*IF(ISNUMBER($I693),$I693,0)</f>
        <v>16</v>
      </c>
    </row>
    <row r="694" spans="1:21" x14ac:dyDescent="0.25">
      <c r="A694" s="5">
        <v>693</v>
      </c>
      <c r="B694" s="5"/>
      <c r="C694" s="5" t="s">
        <v>169</v>
      </c>
      <c r="D694" s="5" t="s">
        <v>358</v>
      </c>
      <c r="E694" s="5" t="str">
        <f>IFERROR(VLOOKUP($D694,FIYAT!$B:$O,2,FALSE()),"")</f>
        <v>Пускатель NS2-80B 56A-80A (R)</v>
      </c>
      <c r="F694" s="5">
        <f>IFERROR(VLOOKUP($D694,FIYAT!$B:$O,5,FALSE()),"")</f>
        <v>36692</v>
      </c>
      <c r="G694" s="5">
        <f>IFERROR(VLOOKUP($D694,FIYAT!$B:$O,8,FALSE()),"")</f>
        <v>22015.200000000001</v>
      </c>
      <c r="H694" s="5">
        <f t="shared" si="84"/>
        <v>44030.400000000001</v>
      </c>
      <c r="I694" s="6">
        <v>2</v>
      </c>
      <c r="J694" s="5" t="str">
        <f>IFERROR(VLOOKUP($D694,FIYAT!$B:$O,9,FALSE()),"")</f>
        <v>Шт.</v>
      </c>
      <c r="K694" s="5" t="str">
        <f>IFERROR(VLOOKUP($D694,FIYAT!$B:$O,4,FALSE()),"")</f>
        <v>CHINT</v>
      </c>
      <c r="L694" s="5">
        <f t="shared" si="85"/>
        <v>44030.400000000001</v>
      </c>
      <c r="M694" s="5"/>
      <c r="N694" s="5"/>
      <c r="O694" s="5"/>
      <c r="P694" s="5" t="str">
        <f>IF($H694="","FIYAT_YOK",IFERROR(VLOOKUP($D694,FIYAT!$B:$P,15,FALSE()),""))</f>
        <v>MUADIL</v>
      </c>
      <c r="Q694" s="5" t="s">
        <v>360</v>
      </c>
      <c r="R694" s="5" t="s">
        <v>171</v>
      </c>
      <c r="S694" s="5" t="s">
        <v>550</v>
      </c>
      <c r="T694" s="5" t="s">
        <v>71</v>
      </c>
      <c r="U694" s="5">
        <f>IFERROR(VLOOKUP($T694,KURALLAR!$A$32:$B$63,2,FALSE()),0)*IF(ISNUMBER($I694),$I694,0)</f>
        <v>24</v>
      </c>
    </row>
    <row r="695" spans="1:21" x14ac:dyDescent="0.25">
      <c r="A695" s="9">
        <v>694</v>
      </c>
      <c r="B695" s="9"/>
      <c r="C695" s="9" t="s">
        <v>169</v>
      </c>
      <c r="D695" s="9" t="s">
        <v>361</v>
      </c>
      <c r="E695" s="9" t="str">
        <f>IFERROR(VLOOKUP($D695,FIYAT!$B:$O,2,FALSE()),"")</f>
        <v>Пускатель NS2-80B 25A-40A (R)</v>
      </c>
      <c r="F695" s="9">
        <f>IFERROR(VLOOKUP($D695,FIYAT!$B:$O,5,FALSE()),"")</f>
        <v>36692</v>
      </c>
      <c r="G695" s="9">
        <f>IFERROR(VLOOKUP($D695,FIYAT!$B:$O,8,FALSE()),"")</f>
        <v>22015.200000000001</v>
      </c>
      <c r="H695" s="9">
        <f t="shared" si="84"/>
        <v>176121.60000000001</v>
      </c>
      <c r="I695" s="6">
        <v>8</v>
      </c>
      <c r="J695" s="9" t="str">
        <f>IFERROR(VLOOKUP($D695,FIYAT!$B:$O,9,FALSE()),"")</f>
        <v>Кг.</v>
      </c>
      <c r="K695" s="9" t="str">
        <f>IFERROR(VLOOKUP($D695,FIYAT!$B:$O,4,FALSE()),"")</f>
        <v>CHINT</v>
      </c>
      <c r="L695" s="9">
        <f t="shared" si="85"/>
        <v>176121.60000000001</v>
      </c>
      <c r="M695" s="9"/>
      <c r="N695" s="9"/>
      <c r="O695" s="9"/>
      <c r="P695" s="9" t="str">
        <f>IF($H695="","FIYAT_YOK",IFERROR(VLOOKUP($D695,FIYAT!$B:$P,15,FALSE()),""))</f>
        <v>MUADIL</v>
      </c>
      <c r="Q695" s="9" t="s">
        <v>363</v>
      </c>
      <c r="R695" s="9" t="s">
        <v>171</v>
      </c>
      <c r="S695" s="9" t="s">
        <v>550</v>
      </c>
      <c r="T695" s="9" t="s">
        <v>71</v>
      </c>
      <c r="U695" s="9">
        <f>IFERROR(VLOOKUP($T695,KURALLAR!$A$32:$B$63,2,FALSE()),0)*IF(ISNUMBER($I695),$I695,0)</f>
        <v>96</v>
      </c>
    </row>
    <row r="696" spans="1:21" x14ac:dyDescent="0.25">
      <c r="A696" s="5">
        <v>695</v>
      </c>
      <c r="B696" s="5"/>
      <c r="C696" s="5" t="s">
        <v>169</v>
      </c>
      <c r="D696" s="5" t="s">
        <v>364</v>
      </c>
      <c r="E696" s="5" t="str">
        <f>IFERROR(VLOOKUP($D696,FIYAT!$B:$O,2,FALSE()),"")</f>
        <v>Пускатель NS2-25 6-10A (R)</v>
      </c>
      <c r="F696" s="5">
        <f>IFERROR(VLOOKUP($D696,FIYAT!$B:$O,5,FALSE()),"")</f>
        <v>12904</v>
      </c>
      <c r="G696" s="5">
        <f>IFERROR(VLOOKUP($D696,FIYAT!$B:$O,8,FALSE()),"")</f>
        <v>7742.4</v>
      </c>
      <c r="H696" s="5">
        <f t="shared" si="84"/>
        <v>15484.8</v>
      </c>
      <c r="I696" s="6">
        <v>2</v>
      </c>
      <c r="J696" s="5" t="str">
        <f>IFERROR(VLOOKUP($D696,FIYAT!$B:$O,9,FALSE()),"")</f>
        <v>Шт.</v>
      </c>
      <c r="K696" s="5" t="str">
        <f>IFERROR(VLOOKUP($D696,FIYAT!$B:$O,4,FALSE()),"")</f>
        <v>CHINT</v>
      </c>
      <c r="L696" s="5">
        <f t="shared" si="85"/>
        <v>15484.8</v>
      </c>
      <c r="M696" s="5"/>
      <c r="N696" s="5"/>
      <c r="O696" s="5"/>
      <c r="P696" s="5" t="str">
        <f>IF($H696="","FIYAT_YOK",IFERROR(VLOOKUP($D696,FIYAT!$B:$P,15,FALSE()),""))</f>
        <v>MUADIL</v>
      </c>
      <c r="Q696" s="5" t="s">
        <v>366</v>
      </c>
      <c r="R696" s="5" t="s">
        <v>184</v>
      </c>
      <c r="S696" s="5" t="s">
        <v>550</v>
      </c>
      <c r="T696" s="5" t="s">
        <v>71</v>
      </c>
      <c r="U696" s="5">
        <f>IFERROR(VLOOKUP($T696,KURALLAR!$A$32:$B$63,2,FALSE()),0)*IF(ISNUMBER($I696),$I696,0)</f>
        <v>24</v>
      </c>
    </row>
    <row r="697" spans="1:21" x14ac:dyDescent="0.25">
      <c r="A697" s="9">
        <v>696</v>
      </c>
      <c r="B697" s="9"/>
      <c r="C697" s="9" t="s">
        <v>253</v>
      </c>
      <c r="D697" s="9" t="s">
        <v>251</v>
      </c>
      <c r="E697" s="9" t="str">
        <f>IFERROR(VLOOKUP($D697,FIYAT!$B:$O,2,FALSE()),"")</f>
        <v>Шина алюминиевая твёрдая (ШАТ)</v>
      </c>
      <c r="F697" s="9">
        <f>IFERROR(VLOOKUP($D697,FIYAT!$B:$O,5,FALSE()),"")</f>
        <v>4493.5999999999995</v>
      </c>
      <c r="G697" s="9">
        <f>IFERROR(VLOOKUP($D697,FIYAT!$B:$O,8,FALSE()),"")</f>
        <v>4493.5999999999995</v>
      </c>
      <c r="H697" s="9">
        <f t="shared" si="84"/>
        <v>107846.39999999999</v>
      </c>
      <c r="I697" s="6">
        <v>24</v>
      </c>
      <c r="J697" s="9" t="str">
        <f>IFERROR(VLOOKUP($D697,FIYAT!$B:$O,9,FALSE()),"")</f>
        <v>Кг.</v>
      </c>
      <c r="K697" s="9" t="str">
        <f>IFERROR(VLOOKUP($D697,FIYAT!$B:$O,4,FALSE()),"")</f>
        <v>ALUM-BARA</v>
      </c>
      <c r="L697" s="9">
        <f t="shared" si="85"/>
        <v>107846.39999999999</v>
      </c>
      <c r="M697" s="9"/>
      <c r="N697" s="9"/>
      <c r="O697" s="9"/>
      <c r="P697" s="9" t="str">
        <f>IF($H697="","FIYAT_YOK",IFERROR(VLOOKUP($D697,FIYAT!$B:$P,15,FALSE()),""))</f>
        <v>VARSAYIM</v>
      </c>
      <c r="Q697" s="9" t="s">
        <v>255</v>
      </c>
      <c r="R697" s="9"/>
      <c r="S697" s="9" t="s">
        <v>550</v>
      </c>
      <c r="T697" s="9" t="s">
        <v>101</v>
      </c>
      <c r="U697" s="9">
        <f>IFERROR(VLOOKUP($T697,KURALLAR!$A$32:$B$63,2,FALSE()),0)*IF(ISNUMBER($I697),$I697,0)</f>
        <v>144</v>
      </c>
    </row>
    <row r="698" spans="1:21" x14ac:dyDescent="0.25">
      <c r="A698" s="5">
        <v>697</v>
      </c>
      <c r="B698" s="5"/>
      <c r="C698" s="5" t="s">
        <v>222</v>
      </c>
      <c r="D698" s="5" t="s">
        <v>256</v>
      </c>
      <c r="E698" s="5" t="str">
        <f>IFERROR(VLOOKUP($D698,FIYAT!$B:$O,2,FALSE()),"")</f>
        <v>Щит (moduler) 2000x800x800+100</v>
      </c>
      <c r="F698" s="5">
        <f>IFERROR(VLOOKUP($D698,FIYAT!$B:$O,5,FALSE()),"")</f>
        <v>197400</v>
      </c>
      <c r="G698" s="5">
        <f>IFERROR(VLOOKUP($D698,FIYAT!$B:$O,8,FALSE()),"")</f>
        <v>118440</v>
      </c>
      <c r="H698" s="5">
        <f t="shared" si="84"/>
        <v>118440</v>
      </c>
      <c r="I698" s="6">
        <v>1</v>
      </c>
      <c r="J698" s="5" t="str">
        <f>IFERROR(VLOOKUP($D698,FIYAT!$B:$O,9,FALSE()),"")</f>
        <v>Шт.</v>
      </c>
      <c r="K698" s="5" t="str">
        <f>IFERROR(VLOOKUP($D698,FIYAT!$B:$O,4,FALSE()),"")</f>
        <v>KAZTEK</v>
      </c>
      <c r="L698" s="5">
        <f t="shared" si="85"/>
        <v>118440</v>
      </c>
      <c r="M698" s="5"/>
      <c r="N698" s="5"/>
      <c r="O698" s="5"/>
      <c r="P698" s="5" t="str">
        <f>IF($H698="","FIYAT_YOK",IFERROR(VLOOKUP($D698,FIYAT!$B:$P,15,FALSE()),""))</f>
        <v>VARSAYIM</v>
      </c>
      <c r="Q698" s="5" t="s">
        <v>258</v>
      </c>
      <c r="R698" s="5" t="s">
        <v>211</v>
      </c>
      <c r="S698" s="5" t="s">
        <v>550</v>
      </c>
      <c r="T698" s="5" t="s">
        <v>107</v>
      </c>
      <c r="U698" s="5">
        <f>IFERROR(VLOOKUP($T698,KURALLAR!$A$32:$B$63,2,FALSE()),0)*IF(ISNUMBER($I698),$I698,0)</f>
        <v>90</v>
      </c>
    </row>
    <row r="699" spans="1:21" x14ac:dyDescent="0.25">
      <c r="A699" s="9">
        <v>698</v>
      </c>
      <c r="B699" s="9"/>
      <c r="C699" s="9" t="s">
        <v>215</v>
      </c>
      <c r="D699" s="9" t="s">
        <v>213</v>
      </c>
      <c r="E699" s="9" t="str">
        <f>IFERROR(VLOOKUP($D699,FIYAT!$B:$O,2,FALSE()),"")</f>
        <v>Монтажный расходный материал (кабель, DIN-рейка, кабель-канал, клеммы, маркировка, крепёж)</v>
      </c>
      <c r="F699" s="9">
        <f>IFERROR(VLOOKUP($D699,FIYAT!$B:$O,5,FALSE()),"")</f>
        <v>0</v>
      </c>
      <c r="G699" s="9" t="str">
        <f>IFERROR(VLOOKUP($D699,FIYAT!$B:$O,8,FALSE()),"")</f>
        <v/>
      </c>
      <c r="H699" s="9">
        <f>ROUND(SUM($H$680:$H$698)*KURALLAR!$B$28,0)</f>
        <v>42733</v>
      </c>
      <c r="I699" s="6">
        <v>1</v>
      </c>
      <c r="J699" s="9" t="str">
        <f>IFERROR(VLOOKUP($D699,FIYAT!$B:$O,9,FALSE()),"")</f>
        <v>компл.</v>
      </c>
      <c r="K699" s="9" t="str">
        <f>IFERROR(VLOOKUP($D699,FIYAT!$B:$O,4,FALSE()),"")</f>
        <v>MUADIL-NET</v>
      </c>
      <c r="L699" s="9">
        <f t="shared" si="85"/>
        <v>42733</v>
      </c>
      <c r="M699" s="9"/>
      <c r="N699" s="9"/>
      <c r="O699" s="9"/>
      <c r="P699" s="9" t="str">
        <f>IF($H699="","FIYAT_YOK",IFERROR(VLOOKUP($D699,FIYAT!$B:$P,15,FALSE()),""))</f>
        <v>ORAN</v>
      </c>
      <c r="Q699" s="9" t="s">
        <v>218</v>
      </c>
      <c r="R699" s="9" t="s">
        <v>217</v>
      </c>
      <c r="S699" s="9" t="s">
        <v>550</v>
      </c>
      <c r="T699" s="9"/>
      <c r="U699" s="9">
        <v>0</v>
      </c>
    </row>
    <row r="700" spans="1:21" x14ac:dyDescent="0.25">
      <c r="A700" s="5">
        <v>699</v>
      </c>
      <c r="B700" s="5"/>
      <c r="C700" s="5" t="s">
        <v>227</v>
      </c>
      <c r="D700" s="5" t="s">
        <v>225</v>
      </c>
      <c r="E700" s="5" t="str">
        <f>IFERROR(VLOOKUP($D700,FIYAT!$B:$O,2,FALSE()),"")</f>
        <v>Сборка, кабелирование, маркировка, момент затяжки, испытания</v>
      </c>
      <c r="F700" s="5">
        <f>IFERROR(VLOOKUP($D700,FIYAT!$B:$O,5,FALSE()),"")</f>
        <v>100</v>
      </c>
      <c r="G700" s="5">
        <f>IFERROR(VLOOKUP($D700,FIYAT!$B:$O,8,FALSE()),"")</f>
        <v>100</v>
      </c>
      <c r="H700" s="5">
        <f>IF(OR($G700="",$I700=""),"",$G700*$I700)</f>
        <v>71000</v>
      </c>
      <c r="I700" s="6">
        <f>ROUND(SUM($U$680:$U$699)*KURALLAR!$B$27,0)</f>
        <v>710</v>
      </c>
      <c r="J700" s="5" t="str">
        <f>IFERROR(VLOOKUP($D700,FIYAT!$B:$O,9,FALSE()),"")</f>
        <v>мин</v>
      </c>
      <c r="K700" s="5" t="str">
        <f>IFERROR(VLOOKUP($D700,FIYAT!$B:$O,4,FALSE()),"")</f>
        <v>ISCILIK</v>
      </c>
      <c r="L700" s="5">
        <f t="shared" si="85"/>
        <v>71000</v>
      </c>
      <c r="M700" s="5"/>
      <c r="N700" s="5"/>
      <c r="O700" s="5"/>
      <c r="P700" s="5" t="str">
        <f>IF($H700="","FIYAT_YOK",IFERROR(VLOOKUP($D700,FIYAT!$B:$P,15,FALSE()),""))</f>
        <v>OK</v>
      </c>
      <c r="Q700" s="5" t="str">
        <f>CONCATENATE("montaj+test iscilik: ",TEXT($I700,"# ##0")," dk = ",TEXT($I700/60,"0,00")," saat (norm x test/etiket carpani)")</f>
        <v>montaj+test iscilik:  710 dk = 11,83 saat (norm x test/etiket carpani)</v>
      </c>
      <c r="R700" s="5" t="s">
        <v>229</v>
      </c>
      <c r="S700" s="5" t="s">
        <v>550</v>
      </c>
      <c r="T700" s="5"/>
      <c r="U700" s="5">
        <v>0</v>
      </c>
    </row>
    <row r="701" spans="1:21" x14ac:dyDescent="0.25">
      <c r="A701" s="10">
        <v>700</v>
      </c>
      <c r="B701" s="10" t="s">
        <v>635</v>
      </c>
      <c r="C701" s="10"/>
      <c r="D701" s="10"/>
      <c r="E701" s="10"/>
      <c r="F701" s="10"/>
      <c r="G701" s="10"/>
      <c r="H701" s="10">
        <f>SUBTOTAL(9,H680:H700)</f>
        <v>724203</v>
      </c>
      <c r="I701" s="10"/>
      <c r="J701" s="10"/>
      <c r="K701" s="10"/>
      <c r="L701" s="10">
        <f>SUBTOTAL(9,L680:L700)</f>
        <v>724203</v>
      </c>
      <c r="M701" s="10"/>
      <c r="N701" s="10"/>
      <c r="O701" s="10"/>
      <c r="P701" s="10"/>
      <c r="Q701" s="10"/>
      <c r="R701" s="10"/>
      <c r="S701" s="10"/>
      <c r="T701" s="10"/>
      <c r="U701" s="10">
        <f>SUBTOTAL(9,U680:U700)</f>
        <v>617</v>
      </c>
    </row>
    <row r="702" spans="1:21" x14ac:dyDescent="0.25">
      <c r="A702" s="8">
        <v>701</v>
      </c>
      <c r="B702" s="8" t="str">
        <f>E702</f>
        <v>BLOK B / ЩК-стандарт — НКУ 380/220В 50Гц, FORM 2B, IP31/54</v>
      </c>
      <c r="C702" s="8" t="s">
        <v>545</v>
      </c>
      <c r="D702" s="8"/>
      <c r="E702" s="8" t="s">
        <v>636</v>
      </c>
      <c r="F702" s="8"/>
      <c r="G702" s="8"/>
      <c r="H702" s="8"/>
      <c r="I702" s="8">
        <v>1</v>
      </c>
      <c r="J702" s="8" t="s">
        <v>547</v>
      </c>
      <c r="K702" s="8"/>
      <c r="L702" s="8"/>
      <c r="M702" s="8"/>
      <c r="N702" s="8"/>
      <c r="O702" s="8"/>
      <c r="P702" s="8" t="s">
        <v>178</v>
      </c>
      <c r="Q702" s="8" t="s">
        <v>548</v>
      </c>
      <c r="R702" s="8" t="s">
        <v>549</v>
      </c>
      <c r="S702" s="8" t="s">
        <v>637</v>
      </c>
      <c r="T702" s="8"/>
      <c r="U702" s="8"/>
    </row>
    <row r="703" spans="1:21" x14ac:dyDescent="0.25">
      <c r="A703" s="9">
        <v>702</v>
      </c>
      <c r="B703" s="9"/>
      <c r="C703" s="9" t="s">
        <v>169</v>
      </c>
      <c r="D703" s="9" t="s">
        <v>167</v>
      </c>
      <c r="E703" s="9" t="str">
        <f>IFERROR(VLOOKUP($D703,FIYAT!$B:$O,2,FALSE()),"")</f>
        <v>Авт. выкл. NM8N-125C TM 3P 32А 36кА с рег. термомаг. расцепителем (R)</v>
      </c>
      <c r="F703" s="9">
        <f>IFERROR(VLOOKUP($D703,FIYAT!$B:$O,5,FALSE()),"")</f>
        <v>64667</v>
      </c>
      <c r="G703" s="9">
        <f>IFERROR(VLOOKUP($D703,FIYAT!$B:$O,8,FALSE()),"")</f>
        <v>38800.199999999997</v>
      </c>
      <c r="H703" s="9">
        <f t="shared" ref="H703:H715" si="86">IF(OR($G703="",$I703=""),"",$G703*$I703)</f>
        <v>38800.199999999997</v>
      </c>
      <c r="I703" s="6">
        <v>1</v>
      </c>
      <c r="J703" s="9" t="str">
        <f>IFERROR(VLOOKUP($D703,FIYAT!$B:$O,9,FALSE()),"")</f>
        <v>Шт.</v>
      </c>
      <c r="K703" s="9" t="str">
        <f>IFERROR(VLOOKUP($D703,FIYAT!$B:$O,4,FALSE()),"")</f>
        <v>CHINT</v>
      </c>
      <c r="L703" s="9">
        <f t="shared" ref="L703:L717" si="87">IF($H703="","",$H703)</f>
        <v>38800.199999999997</v>
      </c>
      <c r="M703" s="9"/>
      <c r="N703" s="9"/>
      <c r="O703" s="9"/>
      <c r="P703" s="9" t="str">
        <f>IF($H703="","FIYAT_YOK",IFERROR(VLOOKUP($D703,FIYAT!$B:$P,15,FALSE()),""))</f>
        <v>MUADIL</v>
      </c>
      <c r="Q703" s="9" t="s">
        <v>172</v>
      </c>
      <c r="R703" s="9" t="s">
        <v>171</v>
      </c>
      <c r="S703" s="9" t="s">
        <v>637</v>
      </c>
      <c r="T703" s="9" t="s">
        <v>61</v>
      </c>
      <c r="U703" s="9">
        <f>IFERROR(VLOOKUP($T703,KURALLAR!$A$32:$B$63,2,FALSE()),0)*IF(ISNUMBER($I703),$I703,0)</f>
        <v>15</v>
      </c>
    </row>
    <row r="704" spans="1:21" x14ac:dyDescent="0.25">
      <c r="A704" s="5">
        <v>703</v>
      </c>
      <c r="B704" s="5"/>
      <c r="C704" s="5" t="s">
        <v>176</v>
      </c>
      <c r="D704" s="5" t="s">
        <v>174</v>
      </c>
      <c r="E704" s="5" t="str">
        <f>IFERROR(VLOOKUP($D704,FIYAT!$B:$O,2,FALSE()),"")</f>
        <v>УЗО NL1-63 6kA 4P 63A 300mA тип AC (R)</v>
      </c>
      <c r="F704" s="5">
        <f>IFERROR(VLOOKUP($D704,FIYAT!$B:$O,5,FALSE()),"")</f>
        <v>18106</v>
      </c>
      <c r="G704" s="5">
        <f>IFERROR(VLOOKUP($D704,FIYAT!$B:$O,8,FALSE()),"")</f>
        <v>10863.6</v>
      </c>
      <c r="H704" s="5">
        <f t="shared" si="86"/>
        <v>10863.6</v>
      </c>
      <c r="I704" s="6">
        <v>1</v>
      </c>
      <c r="J704" s="5" t="str">
        <f>IFERROR(VLOOKUP($D704,FIYAT!$B:$O,9,FALSE()),"")</f>
        <v>Шт.</v>
      </c>
      <c r="K704" s="5" t="str">
        <f>IFERROR(VLOOKUP($D704,FIYAT!$B:$O,4,FALSE()),"")</f>
        <v>CHINT</v>
      </c>
      <c r="L704" s="5">
        <f t="shared" si="87"/>
        <v>10863.6</v>
      </c>
      <c r="M704" s="5"/>
      <c r="N704" s="5"/>
      <c r="O704" s="5"/>
      <c r="P704" s="5" t="str">
        <f>IF($H704="","FIYAT_YOK",IFERROR(VLOOKUP($D704,FIYAT!$B:$P,15,FALSE()),""))</f>
        <v>OK</v>
      </c>
      <c r="Q704" s="5" t="s">
        <v>177</v>
      </c>
      <c r="R704" s="5" t="s">
        <v>171</v>
      </c>
      <c r="S704" s="5" t="s">
        <v>637</v>
      </c>
      <c r="T704" s="5" t="s">
        <v>57</v>
      </c>
      <c r="U704" s="5">
        <f>IFERROR(VLOOKUP($T704,KURALLAR!$A$32:$B$63,2,FALSE()),0)*IF(ISNUMBER($I704),$I704,0)</f>
        <v>10</v>
      </c>
    </row>
    <row r="705" spans="1:21" x14ac:dyDescent="0.25">
      <c r="A705" s="9">
        <v>704</v>
      </c>
      <c r="B705" s="9"/>
      <c r="C705" s="9" t="s">
        <v>79</v>
      </c>
      <c r="D705" s="9" t="s">
        <v>179</v>
      </c>
      <c r="E705" s="9" t="str">
        <f>IFERROR(VLOOKUP($D705,FIYAT!$B:$O,2,FALSE()),"")</f>
        <v>Держатель плавкой вставки RT36-00-160, габарит 00, 160А</v>
      </c>
      <c r="F705" s="9">
        <f>IFERROR(VLOOKUP($D705,FIYAT!$B:$O,5,FALSE()),"")</f>
        <v>2038</v>
      </c>
      <c r="G705" s="9">
        <f>IFERROR(VLOOKUP($D705,FIYAT!$B:$O,8,FALSE()),"")</f>
        <v>1222.8</v>
      </c>
      <c r="H705" s="9">
        <f t="shared" si="86"/>
        <v>4891.2</v>
      </c>
      <c r="I705" s="6">
        <v>4</v>
      </c>
      <c r="J705" s="9" t="str">
        <f>IFERROR(VLOOKUP($D705,FIYAT!$B:$O,9,FALSE()),"")</f>
        <v>Шт.</v>
      </c>
      <c r="K705" s="9" t="str">
        <f>IFERROR(VLOOKUP($D705,FIYAT!$B:$O,4,FALSE()),"")</f>
        <v>CHINT</v>
      </c>
      <c r="L705" s="9">
        <f t="shared" si="87"/>
        <v>4891.2</v>
      </c>
      <c r="M705" s="9"/>
      <c r="N705" s="9"/>
      <c r="O705" s="9"/>
      <c r="P705" s="9" t="str">
        <f>IF($H705="","FIYAT_YOK",IFERROR(VLOOKUP($D705,FIYAT!$B:$P,15,FALSE()),""))</f>
        <v>MUADIL</v>
      </c>
      <c r="Q705" s="9" t="s">
        <v>181</v>
      </c>
      <c r="R705" s="9" t="s">
        <v>171</v>
      </c>
      <c r="S705" s="9" t="s">
        <v>637</v>
      </c>
      <c r="T705" s="9" t="s">
        <v>77</v>
      </c>
      <c r="U705" s="9">
        <f>IFERROR(VLOOKUP($T705,KURALLAR!$A$32:$B$63,2,FALSE()),0)*IF(ISNUMBER($I705),$I705,0)</f>
        <v>20</v>
      </c>
    </row>
    <row r="706" spans="1:21" x14ac:dyDescent="0.25">
      <c r="A706" s="5">
        <v>705</v>
      </c>
      <c r="B706" s="5"/>
      <c r="C706" s="5" t="s">
        <v>79</v>
      </c>
      <c r="D706" s="5" t="s">
        <v>182</v>
      </c>
      <c r="E706" s="5" t="str">
        <f>IFERROR(VLOOKUP($D706,FIYAT!$B:$O,2,FALSE()),"")</f>
        <v>Плавкая вставка предохранителя RT36-00-160, габарит 00, 63А</v>
      </c>
      <c r="F706" s="5">
        <f>IFERROR(VLOOKUP($D706,FIYAT!$B:$O,5,FALSE()),"")</f>
        <v>1525</v>
      </c>
      <c r="G706" s="5">
        <f>IFERROR(VLOOKUP($D706,FIYAT!$B:$O,8,FALSE()),"")</f>
        <v>915</v>
      </c>
      <c r="H706" s="5">
        <f t="shared" si="86"/>
        <v>3660</v>
      </c>
      <c r="I706" s="6">
        <v>4</v>
      </c>
      <c r="J706" s="5" t="str">
        <f>IFERROR(VLOOKUP($D706,FIYAT!$B:$O,9,FALSE()),"")</f>
        <v>Шт.</v>
      </c>
      <c r="K706" s="5" t="str">
        <f>IFERROR(VLOOKUP($D706,FIYAT!$B:$O,4,FALSE()),"")</f>
        <v>CHINT</v>
      </c>
      <c r="L706" s="5">
        <f t="shared" si="87"/>
        <v>3660</v>
      </c>
      <c r="M706" s="5"/>
      <c r="N706" s="5"/>
      <c r="O706" s="5"/>
      <c r="P706" s="5" t="str">
        <f>IF($H706="","FIYAT_YOK",IFERROR(VLOOKUP($D706,FIYAT!$B:$P,15,FALSE()),""))</f>
        <v>MUADIL</v>
      </c>
      <c r="Q706" s="5" t="s">
        <v>185</v>
      </c>
      <c r="R706" s="5" t="s">
        <v>184</v>
      </c>
      <c r="S706" s="5" t="s">
        <v>637</v>
      </c>
      <c r="T706" s="5" t="s">
        <v>79</v>
      </c>
      <c r="U706" s="5">
        <f>IFERROR(VLOOKUP($T706,KURALLAR!$A$32:$B$63,2,FALSE()),0)*IF(ISNUMBER($I706),$I706,0)</f>
        <v>12</v>
      </c>
    </row>
    <row r="707" spans="1:21" x14ac:dyDescent="0.25">
      <c r="A707" s="9">
        <v>706</v>
      </c>
      <c r="B707" s="9"/>
      <c r="C707" s="9" t="s">
        <v>75</v>
      </c>
      <c r="D707" s="9" t="s">
        <v>186</v>
      </c>
      <c r="E707" s="9" t="str">
        <f>IFERROR(VLOOKUP($D707,FIYAT!$B:$O,2,FALSE()),"")</f>
        <v>Ограничитель имп. перенапр. NU6-IIG 4Р In=25kA Uc=440B Im=65kA (R)</v>
      </c>
      <c r="F707" s="9">
        <f>IFERROR(VLOOKUP($D707,FIYAT!$B:$O,5,FALSE()),"")</f>
        <v>33208</v>
      </c>
      <c r="G707" s="9">
        <f>IFERROR(VLOOKUP($D707,FIYAT!$B:$O,8,FALSE()),"")</f>
        <v>19924.8</v>
      </c>
      <c r="H707" s="9">
        <f t="shared" si="86"/>
        <v>19924.8</v>
      </c>
      <c r="I707" s="6">
        <v>1</v>
      </c>
      <c r="J707" s="9" t="str">
        <f>IFERROR(VLOOKUP($D707,FIYAT!$B:$O,9,FALSE()),"")</f>
        <v>Шт.</v>
      </c>
      <c r="K707" s="9" t="str">
        <f>IFERROR(VLOOKUP($D707,FIYAT!$B:$O,4,FALSE()),"")</f>
        <v>CHINT</v>
      </c>
      <c r="L707" s="9">
        <f t="shared" si="87"/>
        <v>19924.8</v>
      </c>
      <c r="M707" s="9"/>
      <c r="N707" s="9"/>
      <c r="O707" s="9"/>
      <c r="P707" s="9" t="str">
        <f>IF($H707="","FIYAT_YOK",IFERROR(VLOOKUP($D707,FIYAT!$B:$P,15,FALSE()),""))</f>
        <v>MUADIL_ONAY</v>
      </c>
      <c r="Q707" s="9" t="s">
        <v>188</v>
      </c>
      <c r="R707" s="9" t="s">
        <v>184</v>
      </c>
      <c r="S707" s="9" t="s">
        <v>637</v>
      </c>
      <c r="T707" s="9" t="s">
        <v>75</v>
      </c>
      <c r="U707" s="9">
        <f>IFERROR(VLOOKUP($T707,KURALLAR!$A$32:$B$63,2,FALSE()),0)*IF(ISNUMBER($I707),$I707,0)</f>
        <v>10</v>
      </c>
    </row>
    <row r="708" spans="1:21" x14ac:dyDescent="0.25">
      <c r="A708" s="5">
        <v>707</v>
      </c>
      <c r="B708" s="5"/>
      <c r="C708" s="5" t="s">
        <v>192</v>
      </c>
      <c r="D708" s="5" t="s">
        <v>190</v>
      </c>
      <c r="E708" s="5" t="str">
        <f>IFERROR(VLOOKUP($D708,FIYAT!$B:$O,2,FALSE()),"")</f>
        <v>Авт. выкл. NXB-63 3P 25A 6кА х-ка C (R)</v>
      </c>
      <c r="F708" s="5">
        <f>IFERROR(VLOOKUP($D708,FIYAT!$B:$O,5,FALSE()),"")</f>
        <v>5334</v>
      </c>
      <c r="G708" s="5">
        <f>IFERROR(VLOOKUP($D708,FIYAT!$B:$O,8,FALSE()),"")</f>
        <v>3200.4</v>
      </c>
      <c r="H708" s="5">
        <f t="shared" si="86"/>
        <v>3200.4</v>
      </c>
      <c r="I708" s="6">
        <v>1</v>
      </c>
      <c r="J708" s="5" t="str">
        <f>IFERROR(VLOOKUP($D708,FIYAT!$B:$O,9,FALSE()),"")</f>
        <v>Шт.</v>
      </c>
      <c r="K708" s="5" t="str">
        <f>IFERROR(VLOOKUP($D708,FIYAT!$B:$O,4,FALSE()),"")</f>
        <v>CHINT</v>
      </c>
      <c r="L708" s="5">
        <f t="shared" si="87"/>
        <v>3200.4</v>
      </c>
      <c r="M708" s="5"/>
      <c r="N708" s="5"/>
      <c r="O708" s="5"/>
      <c r="P708" s="5" t="str">
        <f>IF($H708="","FIYAT_YOK",IFERROR(VLOOKUP($D708,FIYAT!$B:$P,15,FALSE()),""))</f>
        <v>OK</v>
      </c>
      <c r="Q708" s="5" t="s">
        <v>193</v>
      </c>
      <c r="R708" s="5" t="s">
        <v>171</v>
      </c>
      <c r="S708" s="5" t="s">
        <v>637</v>
      </c>
      <c r="T708" s="5" t="s">
        <v>51</v>
      </c>
      <c r="U708" s="5">
        <f>IFERROR(VLOOKUP($T708,KURALLAR!$A$32:$B$63,2,FALSE()),0)*IF(ISNUMBER($I708),$I708,0)</f>
        <v>8</v>
      </c>
    </row>
    <row r="709" spans="1:21" x14ac:dyDescent="0.25">
      <c r="A709" s="9">
        <v>708</v>
      </c>
      <c r="B709" s="9"/>
      <c r="C709" s="9" t="s">
        <v>192</v>
      </c>
      <c r="D709" s="9" t="s">
        <v>194</v>
      </c>
      <c r="E709" s="9" t="str">
        <f>IFERROR(VLOOKUP($D709,FIYAT!$B:$O,2,FALSE()),"")</f>
        <v>Авт. выкл. NXB-63 1P 16A 6кА х-ка C (R)</v>
      </c>
      <c r="F709" s="9">
        <f>IFERROR(VLOOKUP($D709,FIYAT!$B:$O,5,FALSE()),"")</f>
        <v>1389</v>
      </c>
      <c r="G709" s="9">
        <f>IFERROR(VLOOKUP($D709,FIYAT!$B:$O,8,FALSE()),"")</f>
        <v>833.4</v>
      </c>
      <c r="H709" s="9">
        <f t="shared" si="86"/>
        <v>14167.8</v>
      </c>
      <c r="I709" s="6">
        <v>17</v>
      </c>
      <c r="J709" s="9" t="str">
        <f>IFERROR(VLOOKUP($D709,FIYAT!$B:$O,9,FALSE()),"")</f>
        <v>Шт.</v>
      </c>
      <c r="K709" s="9" t="str">
        <f>IFERROR(VLOOKUP($D709,FIYAT!$B:$O,4,FALSE()),"")</f>
        <v>CHINT</v>
      </c>
      <c r="L709" s="9">
        <f t="shared" si="87"/>
        <v>14167.8</v>
      </c>
      <c r="M709" s="9"/>
      <c r="N709" s="9"/>
      <c r="O709" s="9"/>
      <c r="P709" s="9" t="str">
        <f>IF($H709="","FIYAT_YOK",IFERROR(VLOOKUP($D709,FIYAT!$B:$P,15,FALSE()),""))</f>
        <v>OK</v>
      </c>
      <c r="Q709" s="9" t="s">
        <v>196</v>
      </c>
      <c r="R709" s="9" t="s">
        <v>171</v>
      </c>
      <c r="S709" s="9" t="s">
        <v>637</v>
      </c>
      <c r="T709" s="9" t="s">
        <v>47</v>
      </c>
      <c r="U709" s="9">
        <f>IFERROR(VLOOKUP($T709,KURALLAR!$A$32:$B$63,2,FALSE()),0)*IF(ISNUMBER($I709),$I709,0)</f>
        <v>51</v>
      </c>
    </row>
    <row r="710" spans="1:21" x14ac:dyDescent="0.25">
      <c r="A710" s="5">
        <v>709</v>
      </c>
      <c r="B710" s="5"/>
      <c r="C710" s="5" t="s">
        <v>176</v>
      </c>
      <c r="D710" s="5" t="s">
        <v>197</v>
      </c>
      <c r="E710" s="5" t="str">
        <f>IFERROR(VLOOKUP($D710,FIYAT!$B:$O,2,FALSE()),"")</f>
        <v>УЗО NL1-63 6kA 4P 25A 30mA тип AC (R)</v>
      </c>
      <c r="F710" s="5">
        <f>IFERROR(VLOOKUP($D710,FIYAT!$B:$O,5,FALSE()),"")</f>
        <v>18338</v>
      </c>
      <c r="G710" s="5">
        <f>IFERROR(VLOOKUP($D710,FIYAT!$B:$O,8,FALSE()),"")</f>
        <v>11002.8</v>
      </c>
      <c r="H710" s="5">
        <f t="shared" si="86"/>
        <v>11002.8</v>
      </c>
      <c r="I710" s="6">
        <v>1</v>
      </c>
      <c r="J710" s="5" t="str">
        <f>IFERROR(VLOOKUP($D710,FIYAT!$B:$O,9,FALSE()),"")</f>
        <v>Шт.</v>
      </c>
      <c r="K710" s="5" t="str">
        <f>IFERROR(VLOOKUP($D710,FIYAT!$B:$O,4,FALSE()),"")</f>
        <v>CHINT</v>
      </c>
      <c r="L710" s="5">
        <f t="shared" si="87"/>
        <v>11002.8</v>
      </c>
      <c r="M710" s="5"/>
      <c r="N710" s="5"/>
      <c r="O710" s="5"/>
      <c r="P710" s="5" t="str">
        <f>IF($H710="","FIYAT_YOK",IFERROR(VLOOKUP($D710,FIYAT!$B:$P,15,FALSE()),""))</f>
        <v>OK</v>
      </c>
      <c r="Q710" s="5" t="s">
        <v>199</v>
      </c>
      <c r="R710" s="5" t="s">
        <v>171</v>
      </c>
      <c r="S710" s="5" t="s">
        <v>637</v>
      </c>
      <c r="T710" s="5" t="s">
        <v>57</v>
      </c>
      <c r="U710" s="5">
        <f>IFERROR(VLOOKUP($T710,KURALLAR!$A$32:$B$63,2,FALSE()),0)*IF(ISNUMBER($I710),$I710,0)</f>
        <v>10</v>
      </c>
    </row>
    <row r="711" spans="1:21" x14ac:dyDescent="0.25">
      <c r="A711" s="9">
        <v>710</v>
      </c>
      <c r="B711" s="9"/>
      <c r="C711" s="9" t="s">
        <v>176</v>
      </c>
      <c r="D711" s="9" t="s">
        <v>200</v>
      </c>
      <c r="E711" s="9" t="str">
        <f>IFERROR(VLOOKUP($D711,FIYAT!$B:$O,2,FALSE()),"")</f>
        <v>УЗО NL1-63 6kA 2P 16A 30mA тип AC (R)</v>
      </c>
      <c r="F711" s="9">
        <f>IFERROR(VLOOKUP($D711,FIYAT!$B:$O,5,FALSE()),"")</f>
        <v>10809</v>
      </c>
      <c r="G711" s="9">
        <f>IFERROR(VLOOKUP($D711,FIYAT!$B:$O,8,FALSE()),"")</f>
        <v>6485.4</v>
      </c>
      <c r="H711" s="9">
        <f t="shared" si="86"/>
        <v>6485.4</v>
      </c>
      <c r="I711" s="6">
        <v>1</v>
      </c>
      <c r="J711" s="9" t="str">
        <f>IFERROR(VLOOKUP($D711,FIYAT!$B:$O,9,FALSE()),"")</f>
        <v>Шт.</v>
      </c>
      <c r="K711" s="9" t="str">
        <f>IFERROR(VLOOKUP($D711,FIYAT!$B:$O,4,FALSE()),"")</f>
        <v>CHINT</v>
      </c>
      <c r="L711" s="9">
        <f t="shared" si="87"/>
        <v>6485.4</v>
      </c>
      <c r="M711" s="9"/>
      <c r="N711" s="9"/>
      <c r="O711" s="9"/>
      <c r="P711" s="9" t="str">
        <f>IF($H711="","FIYAT_YOK",IFERROR(VLOOKUP($D711,FIYAT!$B:$P,15,FALSE()),""))</f>
        <v>OK</v>
      </c>
      <c r="Q711" s="9" t="s">
        <v>202</v>
      </c>
      <c r="R711" s="9" t="s">
        <v>171</v>
      </c>
      <c r="S711" s="9" t="s">
        <v>637</v>
      </c>
      <c r="T711" s="9" t="s">
        <v>55</v>
      </c>
      <c r="U711" s="9">
        <f>IFERROR(VLOOKUP($T711,KURALLAR!$A$32:$B$63,2,FALSE()),0)*IF(ISNUMBER($I711),$I711,0)</f>
        <v>6</v>
      </c>
    </row>
    <row r="712" spans="1:21" x14ac:dyDescent="0.25">
      <c r="A712" s="5">
        <v>711</v>
      </c>
      <c r="B712" s="5"/>
      <c r="C712" s="5" t="s">
        <v>192</v>
      </c>
      <c r="D712" s="5" t="s">
        <v>203</v>
      </c>
      <c r="E712" s="5" t="str">
        <f>IFERROR(VLOOKUP($D712,FIYAT!$B:$O,2,FALSE()),"")</f>
        <v>Авт. выкл. NXB-63 1P 20A 6кА х-ка C (R)</v>
      </c>
      <c r="F712" s="5">
        <f>IFERROR(VLOOKUP($D712,FIYAT!$B:$O,5,FALSE()),"")</f>
        <v>1434</v>
      </c>
      <c r="G712" s="5">
        <f>IFERROR(VLOOKUP($D712,FIYAT!$B:$O,8,FALSE()),"")</f>
        <v>860.4</v>
      </c>
      <c r="H712" s="5">
        <f t="shared" si="86"/>
        <v>860.4</v>
      </c>
      <c r="I712" s="6">
        <v>1</v>
      </c>
      <c r="J712" s="5" t="str">
        <f>IFERROR(VLOOKUP($D712,FIYAT!$B:$O,9,FALSE()),"")</f>
        <v>Шт.</v>
      </c>
      <c r="K712" s="5" t="str">
        <f>IFERROR(VLOOKUP($D712,FIYAT!$B:$O,4,FALSE()),"")</f>
        <v>CHINT</v>
      </c>
      <c r="L712" s="5">
        <f t="shared" si="87"/>
        <v>860.4</v>
      </c>
      <c r="M712" s="5"/>
      <c r="N712" s="5"/>
      <c r="O712" s="5"/>
      <c r="P712" s="5" t="str">
        <f>IF($H712="","FIYAT_YOK",IFERROR(VLOOKUP($D712,FIYAT!$B:$P,15,FALSE()),""))</f>
        <v>OK</v>
      </c>
      <c r="Q712" s="5" t="s">
        <v>205</v>
      </c>
      <c r="R712" s="5" t="s">
        <v>171</v>
      </c>
      <c r="S712" s="5" t="s">
        <v>637</v>
      </c>
      <c r="T712" s="5" t="s">
        <v>47</v>
      </c>
      <c r="U712" s="5">
        <f>IFERROR(VLOOKUP($T712,KURALLAR!$A$32:$B$63,2,FALSE()),0)*IF(ISNUMBER($I712),$I712,0)</f>
        <v>3</v>
      </c>
    </row>
    <row r="713" spans="1:21" x14ac:dyDescent="0.25">
      <c r="A713" s="9">
        <v>712</v>
      </c>
      <c r="B713" s="9"/>
      <c r="C713" s="9" t="s">
        <v>192</v>
      </c>
      <c r="D713" s="9" t="s">
        <v>206</v>
      </c>
      <c r="E713" s="9" t="str">
        <f>IFERROR(VLOOKUP($D713,FIYAT!$B:$O,2,FALSE()),"")</f>
        <v>Авт. выкл. NXB-63 1P 10A 6кА х-ка C (R)</v>
      </c>
      <c r="F713" s="9">
        <f>IFERROR(VLOOKUP($D713,FIYAT!$B:$O,5,FALSE()),"")</f>
        <v>1362</v>
      </c>
      <c r="G713" s="9">
        <f>IFERROR(VLOOKUP($D713,FIYAT!$B:$O,8,FALSE()),"")</f>
        <v>817.19999999999993</v>
      </c>
      <c r="H713" s="9">
        <f t="shared" si="86"/>
        <v>3268.7999999999997</v>
      </c>
      <c r="I713" s="6">
        <v>4</v>
      </c>
      <c r="J713" s="9" t="str">
        <f>IFERROR(VLOOKUP($D713,FIYAT!$B:$O,9,FALSE()),"")</f>
        <v>Шт.</v>
      </c>
      <c r="K713" s="9" t="str">
        <f>IFERROR(VLOOKUP($D713,FIYAT!$B:$O,4,FALSE()),"")</f>
        <v>CHINT</v>
      </c>
      <c r="L713" s="9">
        <f t="shared" si="87"/>
        <v>3268.7999999999997</v>
      </c>
      <c r="M713" s="9"/>
      <c r="N713" s="9"/>
      <c r="O713" s="9"/>
      <c r="P713" s="9" t="str">
        <f>IF($H713="","FIYAT_YOK",IFERROR(VLOOKUP($D713,FIYAT!$B:$P,15,FALSE()),""))</f>
        <v>OK</v>
      </c>
      <c r="Q713" s="9" t="s">
        <v>208</v>
      </c>
      <c r="R713" s="9" t="s">
        <v>184</v>
      </c>
      <c r="S713" s="9" t="s">
        <v>637</v>
      </c>
      <c r="T713" s="9" t="s">
        <v>47</v>
      </c>
      <c r="U713" s="9">
        <f>IFERROR(VLOOKUP($T713,KURALLAR!$A$32:$B$63,2,FALSE()),0)*IF(ISNUMBER($I713),$I713,0)</f>
        <v>12</v>
      </c>
    </row>
    <row r="714" spans="1:21" x14ac:dyDescent="0.25">
      <c r="A714" s="5">
        <v>713</v>
      </c>
      <c r="B714" s="5"/>
      <c r="C714" s="5" t="s">
        <v>93</v>
      </c>
      <c r="D714" s="5" t="s">
        <v>209</v>
      </c>
      <c r="E714" s="5" t="str">
        <f>IFERROR(VLOOKUP($D714,FIYAT!$B:$O,2,FALSE()),"")</f>
        <v>Шина "N" нулевая 6х9мм на DIN-рейку в корпусном изоляторе ШНИ 12К IEK (10)</v>
      </c>
      <c r="F714" s="5">
        <f>IFERROR(VLOOKUP($D714,FIYAT!$B:$O,5,FALSE()),"")</f>
        <v>755</v>
      </c>
      <c r="G714" s="5">
        <f>IFERROR(VLOOKUP($D714,FIYAT!$B:$O,8,FALSE()),"")</f>
        <v>453</v>
      </c>
      <c r="H714" s="5">
        <f t="shared" si="86"/>
        <v>1812</v>
      </c>
      <c r="I714" s="6">
        <v>4</v>
      </c>
      <c r="J714" s="5" t="str">
        <f>IFERROR(VLOOKUP($D714,FIYAT!$B:$O,9,FALSE()),"")</f>
        <v>Шт.</v>
      </c>
      <c r="K714" s="5" t="str">
        <f>IFERROR(VLOOKUP($D714,FIYAT!$B:$O,4,FALSE()),"")</f>
        <v>KAZTEK</v>
      </c>
      <c r="L714" s="5">
        <f t="shared" si="87"/>
        <v>1812</v>
      </c>
      <c r="M714" s="5"/>
      <c r="N714" s="5"/>
      <c r="O714" s="5"/>
      <c r="P714" s="5" t="str">
        <f>IF($H714="","FIYAT_YOK",IFERROR(VLOOKUP($D714,FIYAT!$B:$P,15,FALSE()),""))</f>
        <v>MUADIL</v>
      </c>
      <c r="Q714" s="5" t="s">
        <v>212</v>
      </c>
      <c r="R714" s="5" t="s">
        <v>211</v>
      </c>
      <c r="S714" s="5" t="s">
        <v>637</v>
      </c>
      <c r="T714" s="5" t="s">
        <v>93</v>
      </c>
      <c r="U714" s="5">
        <f>IFERROR(VLOOKUP($T714,KURALLAR!$A$32:$B$63,2,FALSE()),0)*IF(ISNUMBER($I714),$I714,0)</f>
        <v>32</v>
      </c>
    </row>
    <row r="715" spans="1:21" x14ac:dyDescent="0.25">
      <c r="A715" s="9">
        <v>714</v>
      </c>
      <c r="B715" s="9"/>
      <c r="C715" s="9" t="s">
        <v>222</v>
      </c>
      <c r="D715" s="9" t="s">
        <v>220</v>
      </c>
      <c r="E715" s="9" t="str">
        <f>IFERROR(VLOOKUP($D715,FIYAT!$B:$O,2,FALSE()),"")</f>
        <v>ЩМП (инд.) IP31 (650х500х150мм)</v>
      </c>
      <c r="F715" s="9">
        <f>IFERROR(VLOOKUP($D715,FIYAT!$B:$O,5,FALSE()),"")</f>
        <v>27825</v>
      </c>
      <c r="G715" s="9">
        <f>IFERROR(VLOOKUP($D715,FIYAT!$B:$O,8,FALSE()),"")</f>
        <v>16695</v>
      </c>
      <c r="H715" s="9">
        <f t="shared" si="86"/>
        <v>16695</v>
      </c>
      <c r="I715" s="6">
        <v>1</v>
      </c>
      <c r="J715" s="9" t="str">
        <f>IFERROR(VLOOKUP($D715,FIYAT!$B:$O,9,FALSE()),"")</f>
        <v>Шт.</v>
      </c>
      <c r="K715" s="9" t="str">
        <f>IFERROR(VLOOKUP($D715,FIYAT!$B:$O,4,FALSE()),"")</f>
        <v>KAZTEK</v>
      </c>
      <c r="L715" s="9">
        <f t="shared" si="87"/>
        <v>16695</v>
      </c>
      <c r="M715" s="9"/>
      <c r="N715" s="9"/>
      <c r="O715" s="9"/>
      <c r="P715" s="9" t="str">
        <f>IF($H715="","FIYAT_YOK",IFERROR(VLOOKUP($D715,FIYAT!$B:$P,15,FALSE()),""))</f>
        <v>VARSAYIM</v>
      </c>
      <c r="Q715" s="9" t="s">
        <v>223</v>
      </c>
      <c r="R715" s="9" t="s">
        <v>211</v>
      </c>
      <c r="S715" s="9" t="s">
        <v>637</v>
      </c>
      <c r="T715" s="9" t="s">
        <v>105</v>
      </c>
      <c r="U715" s="9">
        <f>IFERROR(VLOOKUP($T715,KURALLAR!$A$32:$B$63,2,FALSE()),0)*IF(ISNUMBER($I715),$I715,0)</f>
        <v>30</v>
      </c>
    </row>
    <row r="716" spans="1:21" x14ac:dyDescent="0.25">
      <c r="A716" s="5">
        <v>715</v>
      </c>
      <c r="B716" s="5"/>
      <c r="C716" s="5" t="s">
        <v>215</v>
      </c>
      <c r="D716" s="5" t="s">
        <v>213</v>
      </c>
      <c r="E716" s="5" t="str">
        <f>IFERROR(VLOOKUP($D716,FIYAT!$B:$O,2,FALSE()),"")</f>
        <v>Монтажный расходный материал (кабель, DIN-рейка, кабель-канал, клеммы, маркировка, крепёж)</v>
      </c>
      <c r="F716" s="5">
        <f>IFERROR(VLOOKUP($D716,FIYAT!$B:$O,5,FALSE()),"")</f>
        <v>0</v>
      </c>
      <c r="G716" s="5" t="str">
        <f>IFERROR(VLOOKUP($D716,FIYAT!$B:$O,8,FALSE()),"")</f>
        <v/>
      </c>
      <c r="H716" s="5">
        <f>ROUND(SUM($H$703:$H$715)*KURALLAR!$B$28,0)</f>
        <v>9494</v>
      </c>
      <c r="I716" s="6">
        <v>1</v>
      </c>
      <c r="J716" s="5" t="str">
        <f>IFERROR(VLOOKUP($D716,FIYAT!$B:$O,9,FALSE()),"")</f>
        <v>компл.</v>
      </c>
      <c r="K716" s="5" t="str">
        <f>IFERROR(VLOOKUP($D716,FIYAT!$B:$O,4,FALSE()),"")</f>
        <v>MUADIL-NET</v>
      </c>
      <c r="L716" s="5">
        <f t="shared" si="87"/>
        <v>9494</v>
      </c>
      <c r="M716" s="5"/>
      <c r="N716" s="5"/>
      <c r="O716" s="5"/>
      <c r="P716" s="5" t="str">
        <f>IF($H716="","FIYAT_YOK",IFERROR(VLOOKUP($D716,FIYAT!$B:$P,15,FALSE()),""))</f>
        <v>ORAN</v>
      </c>
      <c r="Q716" s="5" t="s">
        <v>218</v>
      </c>
      <c r="R716" s="5" t="s">
        <v>217</v>
      </c>
      <c r="S716" s="5" t="s">
        <v>637</v>
      </c>
      <c r="T716" s="5"/>
      <c r="U716" s="5">
        <v>0</v>
      </c>
    </row>
    <row r="717" spans="1:21" x14ac:dyDescent="0.25">
      <c r="A717" s="9">
        <v>716</v>
      </c>
      <c r="B717" s="9"/>
      <c r="C717" s="9" t="s">
        <v>227</v>
      </c>
      <c r="D717" s="9" t="s">
        <v>225</v>
      </c>
      <c r="E717" s="9" t="str">
        <f>IFERROR(VLOOKUP($D717,FIYAT!$B:$O,2,FALSE()),"")</f>
        <v>Сборка, кабелирование, маркировка, момент затяжки, испытания</v>
      </c>
      <c r="F717" s="9">
        <f>IFERROR(VLOOKUP($D717,FIYAT!$B:$O,5,FALSE()),"")</f>
        <v>100</v>
      </c>
      <c r="G717" s="9">
        <f>IFERROR(VLOOKUP($D717,FIYAT!$B:$O,8,FALSE()),"")</f>
        <v>100</v>
      </c>
      <c r="H717" s="9">
        <f>IF(OR($G717="",$I717=""),"",$G717*$I717)</f>
        <v>25200</v>
      </c>
      <c r="I717" s="6">
        <f>ROUND(SUM($U$703:$U$716)*KURALLAR!$B$27,0)</f>
        <v>252</v>
      </c>
      <c r="J717" s="9" t="str">
        <f>IFERROR(VLOOKUP($D717,FIYAT!$B:$O,9,FALSE()),"")</f>
        <v>мин</v>
      </c>
      <c r="K717" s="9" t="str">
        <f>IFERROR(VLOOKUP($D717,FIYAT!$B:$O,4,FALSE()),"")</f>
        <v>ISCILIK</v>
      </c>
      <c r="L717" s="9">
        <f t="shared" si="87"/>
        <v>25200</v>
      </c>
      <c r="M717" s="9"/>
      <c r="N717" s="9"/>
      <c r="O717" s="9"/>
      <c r="P717" s="9" t="str">
        <f>IF($H717="","FIYAT_YOK",IFERROR(VLOOKUP($D717,FIYAT!$B:$P,15,FALSE()),""))</f>
        <v>OK</v>
      </c>
      <c r="Q717" s="9" t="str">
        <f>CONCATENATE("montaj+test iscilik: ",TEXT($I717,"# ##0")," dk = ",TEXT($I717/60,"0,00")," saat (norm x test/etiket carpani)")</f>
        <v>montaj+test iscilik:  252 dk = 4,20 saat (norm x test/etiket carpani)</v>
      </c>
      <c r="R717" s="9" t="s">
        <v>229</v>
      </c>
      <c r="S717" s="9" t="s">
        <v>637</v>
      </c>
      <c r="T717" s="9"/>
      <c r="U717" s="9">
        <v>0</v>
      </c>
    </row>
    <row r="718" spans="1:21" x14ac:dyDescent="0.25">
      <c r="A718" s="10">
        <v>717</v>
      </c>
      <c r="B718" s="10" t="s">
        <v>638</v>
      </c>
      <c r="C718" s="10"/>
      <c r="D718" s="10"/>
      <c r="E718" s="10"/>
      <c r="F718" s="10"/>
      <c r="G718" s="10"/>
      <c r="H718" s="10">
        <f>SUBTOTAL(9,H703:H717)</f>
        <v>170326.39999999997</v>
      </c>
      <c r="I718" s="10"/>
      <c r="J718" s="10"/>
      <c r="K718" s="10"/>
      <c r="L718" s="10">
        <f>SUBTOTAL(9,L703:L717)</f>
        <v>170326.39999999997</v>
      </c>
      <c r="M718" s="10"/>
      <c r="N718" s="10"/>
      <c r="O718" s="10"/>
      <c r="P718" s="10"/>
      <c r="Q718" s="10"/>
      <c r="R718" s="10"/>
      <c r="S718" s="10"/>
      <c r="T718" s="10"/>
      <c r="U718" s="10">
        <f>SUBTOTAL(9,U703:U717)</f>
        <v>219</v>
      </c>
    </row>
    <row r="719" spans="1:21" x14ac:dyDescent="0.25">
      <c r="A719" s="8">
        <v>718</v>
      </c>
      <c r="B719" s="8" t="str">
        <f>E719</f>
        <v>BLOK B / ЩЭ-F(4-21).1 — НКУ 380/220В 50Гц, FORM 2B, IP31/54</v>
      </c>
      <c r="C719" s="8" t="s">
        <v>545</v>
      </c>
      <c r="D719" s="8"/>
      <c r="E719" s="8" t="s">
        <v>639</v>
      </c>
      <c r="F719" s="8"/>
      <c r="G719" s="8"/>
      <c r="H719" s="8"/>
      <c r="I719" s="8">
        <v>1</v>
      </c>
      <c r="J719" s="8" t="s">
        <v>547</v>
      </c>
      <c r="K719" s="8"/>
      <c r="L719" s="8"/>
      <c r="M719" s="8"/>
      <c r="N719" s="8"/>
      <c r="O719" s="8"/>
      <c r="P719" s="8" t="s">
        <v>178</v>
      </c>
      <c r="Q719" s="8" t="s">
        <v>548</v>
      </c>
      <c r="R719" s="8" t="s">
        <v>549</v>
      </c>
      <c r="S719" s="8" t="s">
        <v>637</v>
      </c>
      <c r="T719" s="8"/>
      <c r="U719" s="8"/>
    </row>
    <row r="720" spans="1:21" x14ac:dyDescent="0.25">
      <c r="A720" s="5">
        <v>719</v>
      </c>
      <c r="B720" s="5"/>
      <c r="C720" s="5" t="s">
        <v>169</v>
      </c>
      <c r="D720" s="5" t="s">
        <v>367</v>
      </c>
      <c r="E720" s="5" t="str">
        <f>IFERROR(VLOOKUP($D720,FIYAT!$B:$O,2,FALSE()),"")</f>
        <v>Авт. выкл. NM8N-125C TM 3P 100А 36кА с рег. термомаг. расцепителем (R)</v>
      </c>
      <c r="F720" s="5">
        <f>IFERROR(VLOOKUP($D720,FIYAT!$B:$O,5,FALSE()),"")</f>
        <v>64169</v>
      </c>
      <c r="G720" s="5">
        <f>IFERROR(VLOOKUP($D720,FIYAT!$B:$O,8,FALSE()),"")</f>
        <v>38501.4</v>
      </c>
      <c r="H720" s="5">
        <f t="shared" ref="H720:H730" si="88">IF(OR($G720="",$I720=""),"",$G720*$I720)</f>
        <v>38501.4</v>
      </c>
      <c r="I720" s="6">
        <v>1</v>
      </c>
      <c r="J720" s="5" t="str">
        <f>IFERROR(VLOOKUP($D720,FIYAT!$B:$O,9,FALSE()),"")</f>
        <v>Шт.</v>
      </c>
      <c r="K720" s="5" t="str">
        <f>IFERROR(VLOOKUP($D720,FIYAT!$B:$O,4,FALSE()),"")</f>
        <v>CHINT</v>
      </c>
      <c r="L720" s="5">
        <f t="shared" ref="L720:L732" si="89">IF($H720="","",$H720)</f>
        <v>38501.4</v>
      </c>
      <c r="M720" s="5"/>
      <c r="N720" s="5"/>
      <c r="O720" s="5"/>
      <c r="P720" s="5" t="str">
        <f>IF($H720="","FIYAT_YOK",IFERROR(VLOOKUP($D720,FIYAT!$B:$P,15,FALSE()),""))</f>
        <v>OK</v>
      </c>
      <c r="Q720" s="5" t="s">
        <v>369</v>
      </c>
      <c r="R720" s="5" t="s">
        <v>171</v>
      </c>
      <c r="S720" s="5" t="s">
        <v>637</v>
      </c>
      <c r="T720" s="5" t="s">
        <v>61</v>
      </c>
      <c r="U720" s="5">
        <f>IFERROR(VLOOKUP($T720,KURALLAR!$A$32:$B$63,2,FALSE()),0)*IF(ISNUMBER($I720),$I720,0)</f>
        <v>15</v>
      </c>
    </row>
    <row r="721" spans="1:21" x14ac:dyDescent="0.25">
      <c r="A721" s="9">
        <v>720</v>
      </c>
      <c r="B721" s="9"/>
      <c r="C721" s="9" t="s">
        <v>176</v>
      </c>
      <c r="D721" s="9" t="s">
        <v>234</v>
      </c>
      <c r="E721" s="9" t="str">
        <f>IFERROR(VLOOKUP($D721,FIYAT!$B:$O,2,FALSE()),"")</f>
        <v>Диф. модуль NM8NL-125 4P RCD1 X рег. ток утечки 0,03-0,05-0,1-0,2-0,3-0,5-1-2 A (R)</v>
      </c>
      <c r="F721" s="9">
        <f>IFERROR(VLOOKUP($D721,FIYAT!$B:$O,5,FALSE()),"")</f>
        <v>83791</v>
      </c>
      <c r="G721" s="9">
        <f>IFERROR(VLOOKUP($D721,FIYAT!$B:$O,8,FALSE()),"")</f>
        <v>50274.6</v>
      </c>
      <c r="H721" s="9">
        <f t="shared" si="88"/>
        <v>50274.6</v>
      </c>
      <c r="I721" s="6">
        <v>1</v>
      </c>
      <c r="J721" s="9" t="str">
        <f>IFERROR(VLOOKUP($D721,FIYAT!$B:$O,9,FALSE()),"")</f>
        <v>Шт.</v>
      </c>
      <c r="K721" s="9" t="str">
        <f>IFERROR(VLOOKUP($D721,FIYAT!$B:$O,4,FALSE()),"")</f>
        <v>CHINT</v>
      </c>
      <c r="L721" s="9">
        <f t="shared" si="89"/>
        <v>50274.6</v>
      </c>
      <c r="M721" s="9"/>
      <c r="N721" s="9"/>
      <c r="O721" s="9"/>
      <c r="P721" s="7" t="str">
        <f>IF($H721="","FIYAT_YOK",IFERROR(VLOOKUP($D721,FIYAT!$B:$P,15,FALSE()),""))</f>
        <v>CIHAZ_BELIRSIZ</v>
      </c>
      <c r="Q721" s="7" t="s">
        <v>236</v>
      </c>
      <c r="R721" s="9" t="s">
        <v>184</v>
      </c>
      <c r="S721" s="9" t="s">
        <v>637</v>
      </c>
      <c r="T721" s="9" t="s">
        <v>59</v>
      </c>
      <c r="U721" s="9">
        <f>IFERROR(VLOOKUP($T721,KURALLAR!$A$32:$B$63,2,FALSE()),0)*IF(ISNUMBER($I721),$I721,0)</f>
        <v>20</v>
      </c>
    </row>
    <row r="722" spans="1:21" x14ac:dyDescent="0.25">
      <c r="A722" s="5">
        <v>721</v>
      </c>
      <c r="B722" s="5"/>
      <c r="C722" s="5" t="s">
        <v>79</v>
      </c>
      <c r="D722" s="5" t="s">
        <v>179</v>
      </c>
      <c r="E722" s="5" t="str">
        <f>IFERROR(VLOOKUP($D722,FIYAT!$B:$O,2,FALSE()),"")</f>
        <v>Держатель плавкой вставки RT36-00-160, габарит 00, 160А</v>
      </c>
      <c r="F722" s="5">
        <f>IFERROR(VLOOKUP($D722,FIYAT!$B:$O,5,FALSE()),"")</f>
        <v>2038</v>
      </c>
      <c r="G722" s="5">
        <f>IFERROR(VLOOKUP($D722,FIYAT!$B:$O,8,FALSE()),"")</f>
        <v>1222.8</v>
      </c>
      <c r="H722" s="5">
        <f t="shared" si="88"/>
        <v>4891.2</v>
      </c>
      <c r="I722" s="6">
        <v>4</v>
      </c>
      <c r="J722" s="5" t="str">
        <f>IFERROR(VLOOKUP($D722,FIYAT!$B:$O,9,FALSE()),"")</f>
        <v>Шт.</v>
      </c>
      <c r="K722" s="5" t="str">
        <f>IFERROR(VLOOKUP($D722,FIYAT!$B:$O,4,FALSE()),"")</f>
        <v>CHINT</v>
      </c>
      <c r="L722" s="5">
        <f t="shared" si="89"/>
        <v>4891.2</v>
      </c>
      <c r="M722" s="5"/>
      <c r="N722" s="5"/>
      <c r="O722" s="5"/>
      <c r="P722" s="5" t="str">
        <f>IF($H722="","FIYAT_YOK",IFERROR(VLOOKUP($D722,FIYAT!$B:$P,15,FALSE()),""))</f>
        <v>MUADIL</v>
      </c>
      <c r="Q722" s="5" t="s">
        <v>181</v>
      </c>
      <c r="R722" s="5" t="s">
        <v>171</v>
      </c>
      <c r="S722" s="5" t="s">
        <v>637</v>
      </c>
      <c r="T722" s="5" t="s">
        <v>77</v>
      </c>
      <c r="U722" s="5">
        <f>IFERROR(VLOOKUP($T722,KURALLAR!$A$32:$B$63,2,FALSE()),0)*IF(ISNUMBER($I722),$I722,0)</f>
        <v>20</v>
      </c>
    </row>
    <row r="723" spans="1:21" x14ac:dyDescent="0.25">
      <c r="A723" s="9">
        <v>722</v>
      </c>
      <c r="B723" s="9"/>
      <c r="C723" s="9" t="s">
        <v>79</v>
      </c>
      <c r="D723" s="9" t="s">
        <v>182</v>
      </c>
      <c r="E723" s="9" t="str">
        <f>IFERROR(VLOOKUP($D723,FIYAT!$B:$O,2,FALSE()),"")</f>
        <v>Плавкая вставка предохранителя RT36-00-160, габарит 00, 63А</v>
      </c>
      <c r="F723" s="9">
        <f>IFERROR(VLOOKUP($D723,FIYAT!$B:$O,5,FALSE()),"")</f>
        <v>1525</v>
      </c>
      <c r="G723" s="9">
        <f>IFERROR(VLOOKUP($D723,FIYAT!$B:$O,8,FALSE()),"")</f>
        <v>915</v>
      </c>
      <c r="H723" s="9">
        <f t="shared" si="88"/>
        <v>3660</v>
      </c>
      <c r="I723" s="6">
        <v>4</v>
      </c>
      <c r="J723" s="9" t="str">
        <f>IFERROR(VLOOKUP($D723,FIYAT!$B:$O,9,FALSE()),"")</f>
        <v>Шт.</v>
      </c>
      <c r="K723" s="9" t="str">
        <f>IFERROR(VLOOKUP($D723,FIYAT!$B:$O,4,FALSE()),"")</f>
        <v>CHINT</v>
      </c>
      <c r="L723" s="9">
        <f t="shared" si="89"/>
        <v>3660</v>
      </c>
      <c r="M723" s="9"/>
      <c r="N723" s="9"/>
      <c r="O723" s="9"/>
      <c r="P723" s="9" t="str">
        <f>IF($H723="","FIYAT_YOK",IFERROR(VLOOKUP($D723,FIYAT!$B:$P,15,FALSE()),""))</f>
        <v>MUADIL</v>
      </c>
      <c r="Q723" s="9" t="s">
        <v>185</v>
      </c>
      <c r="R723" s="9" t="s">
        <v>184</v>
      </c>
      <c r="S723" s="9" t="s">
        <v>637</v>
      </c>
      <c r="T723" s="9" t="s">
        <v>79</v>
      </c>
      <c r="U723" s="9">
        <f>IFERROR(VLOOKUP($T723,KURALLAR!$A$32:$B$63,2,FALSE()),0)*IF(ISNUMBER($I723),$I723,0)</f>
        <v>12</v>
      </c>
    </row>
    <row r="724" spans="1:21" x14ac:dyDescent="0.25">
      <c r="A724" s="5">
        <v>723</v>
      </c>
      <c r="B724" s="5"/>
      <c r="C724" s="5" t="s">
        <v>75</v>
      </c>
      <c r="D724" s="5" t="s">
        <v>186</v>
      </c>
      <c r="E724" s="5" t="str">
        <f>IFERROR(VLOOKUP($D724,FIYAT!$B:$O,2,FALSE()),"")</f>
        <v>Ограничитель имп. перенапр. NU6-IIG 4Р In=25kA Uc=440B Im=65kA (R)</v>
      </c>
      <c r="F724" s="5">
        <f>IFERROR(VLOOKUP($D724,FIYAT!$B:$O,5,FALSE()),"")</f>
        <v>33208</v>
      </c>
      <c r="G724" s="5">
        <f>IFERROR(VLOOKUP($D724,FIYAT!$B:$O,8,FALSE()),"")</f>
        <v>19924.8</v>
      </c>
      <c r="H724" s="5">
        <f t="shared" si="88"/>
        <v>19924.8</v>
      </c>
      <c r="I724" s="6">
        <v>1</v>
      </c>
      <c r="J724" s="5" t="str">
        <f>IFERROR(VLOOKUP($D724,FIYAT!$B:$O,9,FALSE()),"")</f>
        <v>Шт.</v>
      </c>
      <c r="K724" s="5" t="str">
        <f>IFERROR(VLOOKUP($D724,FIYAT!$B:$O,4,FALSE()),"")</f>
        <v>CHINT</v>
      </c>
      <c r="L724" s="5">
        <f t="shared" si="89"/>
        <v>19924.8</v>
      </c>
      <c r="M724" s="5"/>
      <c r="N724" s="5"/>
      <c r="O724" s="5"/>
      <c r="P724" s="5" t="str">
        <f>IF($H724="","FIYAT_YOK",IFERROR(VLOOKUP($D724,FIYAT!$B:$P,15,FALSE()),""))</f>
        <v>MUADIL_ONAY</v>
      </c>
      <c r="Q724" s="5" t="s">
        <v>188</v>
      </c>
      <c r="R724" s="5" t="s">
        <v>184</v>
      </c>
      <c r="S724" s="5" t="s">
        <v>637</v>
      </c>
      <c r="T724" s="5" t="s">
        <v>75</v>
      </c>
      <c r="U724" s="5">
        <f>IFERROR(VLOOKUP($T724,KURALLAR!$A$32:$B$63,2,FALSE()),0)*IF(ISNUMBER($I724),$I724,0)</f>
        <v>10</v>
      </c>
    </row>
    <row r="725" spans="1:21" x14ac:dyDescent="0.25">
      <c r="A725" s="9">
        <v>724</v>
      </c>
      <c r="B725" s="9"/>
      <c r="C725" s="9" t="s">
        <v>192</v>
      </c>
      <c r="D725" s="9" t="s">
        <v>238</v>
      </c>
      <c r="E725" s="9" t="str">
        <f>IFERROR(VLOOKUP($D725,FIYAT!$B:$O,2,FALSE()),"")</f>
        <v>Авт. выкл. NXB-63 1P 6A 6кА х-ка C (R)</v>
      </c>
      <c r="F725" s="9">
        <f>IFERROR(VLOOKUP($D725,FIYAT!$B:$O,5,FALSE()),"")</f>
        <v>1436</v>
      </c>
      <c r="G725" s="9">
        <f>IFERROR(VLOOKUP($D725,FIYAT!$B:$O,8,FALSE()),"")</f>
        <v>861.6</v>
      </c>
      <c r="H725" s="9">
        <f t="shared" si="88"/>
        <v>3446.4</v>
      </c>
      <c r="I725" s="6">
        <v>4</v>
      </c>
      <c r="J725" s="9" t="str">
        <f>IFERROR(VLOOKUP($D725,FIYAT!$B:$O,9,FALSE()),"")</f>
        <v>Шт.</v>
      </c>
      <c r="K725" s="9" t="str">
        <f>IFERROR(VLOOKUP($D725,FIYAT!$B:$O,4,FALSE()),"")</f>
        <v>CHINT</v>
      </c>
      <c r="L725" s="9">
        <f t="shared" si="89"/>
        <v>3446.4</v>
      </c>
      <c r="M725" s="9"/>
      <c r="N725" s="9"/>
      <c r="O725" s="9"/>
      <c r="P725" s="9" t="str">
        <f>IF($H725="","FIYAT_YOK",IFERROR(VLOOKUP($D725,FIYAT!$B:$P,15,FALSE()),""))</f>
        <v>OK</v>
      </c>
      <c r="Q725" s="9" t="s">
        <v>240</v>
      </c>
      <c r="R725" s="9" t="s">
        <v>171</v>
      </c>
      <c r="S725" s="9" t="s">
        <v>637</v>
      </c>
      <c r="T725" s="9" t="s">
        <v>47</v>
      </c>
      <c r="U725" s="9">
        <f>IFERROR(VLOOKUP($T725,KURALLAR!$A$32:$B$63,2,FALSE()),0)*IF(ISNUMBER($I725),$I725,0)</f>
        <v>12</v>
      </c>
    </row>
    <row r="726" spans="1:21" x14ac:dyDescent="0.25">
      <c r="A726" s="5">
        <v>725</v>
      </c>
      <c r="B726" s="5"/>
      <c r="C726" s="5" t="s">
        <v>89</v>
      </c>
      <c r="D726" s="5" t="s">
        <v>241</v>
      </c>
      <c r="E726" s="5" t="str">
        <f>IFERROR(VLOOKUP($D726,FIYAT!$B:$O,2,FALSE()),"")</f>
        <v>Индикатор ND16-22DS/4 белый АС230В (R)</v>
      </c>
      <c r="F726" s="5">
        <f>IFERROR(VLOOKUP($D726,FIYAT!$B:$O,5,FALSE()),"")</f>
        <v>1047</v>
      </c>
      <c r="G726" s="5">
        <f>IFERROR(VLOOKUP($D726,FIYAT!$B:$O,8,FALSE()),"")</f>
        <v>628.19999999999993</v>
      </c>
      <c r="H726" s="5">
        <f t="shared" si="88"/>
        <v>1884.6</v>
      </c>
      <c r="I726" s="6">
        <v>3</v>
      </c>
      <c r="J726" s="5" t="str">
        <f>IFERROR(VLOOKUP($D726,FIYAT!$B:$O,9,FALSE()),"")</f>
        <v>Шт.</v>
      </c>
      <c r="K726" s="5" t="str">
        <f>IFERROR(VLOOKUP($D726,FIYAT!$B:$O,4,FALSE()),"")</f>
        <v>CHINT</v>
      </c>
      <c r="L726" s="5">
        <f t="shared" si="89"/>
        <v>1884.6</v>
      </c>
      <c r="M726" s="5"/>
      <c r="N726" s="5"/>
      <c r="O726" s="5"/>
      <c r="P726" s="5" t="str">
        <f>IF($H726="","FIYAT_YOK",IFERROR(VLOOKUP($D726,FIYAT!$B:$P,15,FALSE()),""))</f>
        <v>OK</v>
      </c>
      <c r="Q726" s="5" t="s">
        <v>243</v>
      </c>
      <c r="R726" s="5" t="s">
        <v>184</v>
      </c>
      <c r="S726" s="5" t="s">
        <v>637</v>
      </c>
      <c r="T726" s="5" t="s">
        <v>89</v>
      </c>
      <c r="U726" s="5">
        <f>IFERROR(VLOOKUP($T726,KURALLAR!$A$32:$B$63,2,FALSE()),0)*IF(ISNUMBER($I726),$I726,0)</f>
        <v>12</v>
      </c>
    </row>
    <row r="727" spans="1:21" x14ac:dyDescent="0.25">
      <c r="A727" s="9">
        <v>726</v>
      </c>
      <c r="B727" s="9"/>
      <c r="C727" s="9" t="s">
        <v>192</v>
      </c>
      <c r="D727" s="9" t="s">
        <v>244</v>
      </c>
      <c r="E727" s="9" t="str">
        <f>IFERROR(VLOOKUP($D727,FIYAT!$B:$O,2,FALSE()),"")</f>
        <v>Авт. выкл. NXB-63 3P 40A 6кА х-ка C (R)</v>
      </c>
      <c r="F727" s="9">
        <f>IFERROR(VLOOKUP($D727,FIYAT!$B:$O,5,FALSE()),"")</f>
        <v>5647</v>
      </c>
      <c r="G727" s="9">
        <f>IFERROR(VLOOKUP($D727,FIYAT!$B:$O,8,FALSE()),"")</f>
        <v>3388.2</v>
      </c>
      <c r="H727" s="9">
        <f t="shared" si="88"/>
        <v>27105.599999999999</v>
      </c>
      <c r="I727" s="6">
        <v>8</v>
      </c>
      <c r="J727" s="9" t="str">
        <f>IFERROR(VLOOKUP($D727,FIYAT!$B:$O,9,FALSE()),"")</f>
        <v>Шт.</v>
      </c>
      <c r="K727" s="9" t="str">
        <f>IFERROR(VLOOKUP($D727,FIYAT!$B:$O,4,FALSE()),"")</f>
        <v>CHINT</v>
      </c>
      <c r="L727" s="9">
        <f t="shared" si="89"/>
        <v>27105.599999999999</v>
      </c>
      <c r="M727" s="9"/>
      <c r="N727" s="9"/>
      <c r="O727" s="9"/>
      <c r="P727" s="9" t="str">
        <f>IF($H727="","FIYAT_YOK",IFERROR(VLOOKUP($D727,FIYAT!$B:$P,15,FALSE()),""))</f>
        <v>OK</v>
      </c>
      <c r="Q727" s="9" t="s">
        <v>246</v>
      </c>
      <c r="R727" s="9" t="s">
        <v>171</v>
      </c>
      <c r="S727" s="9" t="s">
        <v>637</v>
      </c>
      <c r="T727" s="9" t="s">
        <v>51</v>
      </c>
      <c r="U727" s="9">
        <f>IFERROR(VLOOKUP($T727,KURALLAR!$A$32:$B$63,2,FALSE()),0)*IF(ISNUMBER($I727),$I727,0)</f>
        <v>64</v>
      </c>
    </row>
    <row r="728" spans="1:21" x14ac:dyDescent="0.25">
      <c r="A728" s="5">
        <v>727</v>
      </c>
      <c r="B728" s="5"/>
      <c r="C728" s="5" t="s">
        <v>81</v>
      </c>
      <c r="D728" s="5" t="s">
        <v>247</v>
      </c>
      <c r="E728" s="5" t="str">
        <f>IFERROR(VLOOKUP($D728,FIYAT!$B:$O,2,FALSE()),"")</f>
        <v>Трехфазный эл.счетчик EX 518 10(100)А (прям. подкл.) с PLC модулем</v>
      </c>
      <c r="F728" s="5">
        <f>IFERROR(VLOOKUP($D728,FIYAT!$B:$O,5,FALSE()),"")</f>
        <v>0</v>
      </c>
      <c r="G728" s="5" t="str">
        <f>IFERROR(VLOOKUP($D728,FIYAT!$B:$O,8,FALSE()),"")</f>
        <v/>
      </c>
      <c r="H728" s="5" t="str">
        <f t="shared" si="88"/>
        <v/>
      </c>
      <c r="I728" s="6">
        <v>6</v>
      </c>
      <c r="J728" s="5" t="str">
        <f>IFERROR(VLOOKUP($D728,FIYAT!$B:$O,9,FALSE()),"")</f>
        <v>Шт.</v>
      </c>
      <c r="K728" s="5" t="str">
        <f>IFERROR(VLOOKUP($D728,FIYAT!$B:$O,4,FALSE()),"")</f>
        <v>MUADIL-NET</v>
      </c>
      <c r="L728" s="5" t="str">
        <f t="shared" si="89"/>
        <v/>
      </c>
      <c r="M728" s="5"/>
      <c r="N728" s="5"/>
      <c r="O728" s="5"/>
      <c r="P728" s="7" t="str">
        <f>IF($H728="","FIYAT_YOK",IFERROR(VLOOKUP($D728,FIYAT!$B:$P,15,FALSE()),""))</f>
        <v>FIYAT_YOK</v>
      </c>
      <c r="Q728" s="7" t="s">
        <v>249</v>
      </c>
      <c r="R728" s="5"/>
      <c r="S728" s="5" t="s">
        <v>637</v>
      </c>
      <c r="T728" s="5" t="s">
        <v>81</v>
      </c>
      <c r="U728" s="5">
        <f>IFERROR(VLOOKUP($T728,KURALLAR!$A$32:$B$63,2,FALSE()),0)*IF(ISNUMBER($I728),$I728,0)</f>
        <v>180</v>
      </c>
    </row>
    <row r="729" spans="1:21" x14ac:dyDescent="0.25">
      <c r="A729" s="9">
        <v>728</v>
      </c>
      <c r="B729" s="9"/>
      <c r="C729" s="9" t="s">
        <v>253</v>
      </c>
      <c r="D729" s="9" t="s">
        <v>251</v>
      </c>
      <c r="E729" s="9" t="str">
        <f>IFERROR(VLOOKUP($D729,FIYAT!$B:$O,2,FALSE()),"")</f>
        <v>Шина алюминиевая твёрдая (ШАТ)</v>
      </c>
      <c r="F729" s="9">
        <f>IFERROR(VLOOKUP($D729,FIYAT!$B:$O,5,FALSE()),"")</f>
        <v>4493.5999999999995</v>
      </c>
      <c r="G729" s="9">
        <f>IFERROR(VLOOKUP($D729,FIYAT!$B:$O,8,FALSE()),"")</f>
        <v>4493.5999999999995</v>
      </c>
      <c r="H729" s="9">
        <f t="shared" si="88"/>
        <v>89871.999999999985</v>
      </c>
      <c r="I729" s="6">
        <v>20</v>
      </c>
      <c r="J729" s="9" t="str">
        <f>IFERROR(VLOOKUP($D729,FIYAT!$B:$O,9,FALSE()),"")</f>
        <v>Кг.</v>
      </c>
      <c r="K729" s="9" t="str">
        <f>IFERROR(VLOOKUP($D729,FIYAT!$B:$O,4,FALSE()),"")</f>
        <v>ALUM-BARA</v>
      </c>
      <c r="L729" s="9">
        <f t="shared" si="89"/>
        <v>89871.999999999985</v>
      </c>
      <c r="M729" s="9"/>
      <c r="N729" s="9"/>
      <c r="O729" s="9"/>
      <c r="P729" s="9" t="str">
        <f>IF($H729="","FIYAT_YOK",IFERROR(VLOOKUP($D729,FIYAT!$B:$P,15,FALSE()),""))</f>
        <v>VARSAYIM</v>
      </c>
      <c r="Q729" s="9" t="s">
        <v>255</v>
      </c>
      <c r="R729" s="9"/>
      <c r="S729" s="9" t="s">
        <v>637</v>
      </c>
      <c r="T729" s="9" t="s">
        <v>101</v>
      </c>
      <c r="U729" s="9">
        <f>IFERROR(VLOOKUP($T729,KURALLAR!$A$32:$B$63,2,FALSE()),0)*IF(ISNUMBER($I729),$I729,0)</f>
        <v>120</v>
      </c>
    </row>
    <row r="730" spans="1:21" x14ac:dyDescent="0.25">
      <c r="A730" s="5">
        <v>729</v>
      </c>
      <c r="B730" s="5"/>
      <c r="C730" s="5" t="s">
        <v>222</v>
      </c>
      <c r="D730" s="5" t="s">
        <v>256</v>
      </c>
      <c r="E730" s="5" t="str">
        <f>IFERROR(VLOOKUP($D730,FIYAT!$B:$O,2,FALSE()),"")</f>
        <v>Щит (moduler) 2000x800x800+100</v>
      </c>
      <c r="F730" s="5">
        <f>IFERROR(VLOOKUP($D730,FIYAT!$B:$O,5,FALSE()),"")</f>
        <v>197400</v>
      </c>
      <c r="G730" s="5">
        <f>IFERROR(VLOOKUP($D730,FIYAT!$B:$O,8,FALSE()),"")</f>
        <v>118440</v>
      </c>
      <c r="H730" s="5">
        <f t="shared" si="88"/>
        <v>118440</v>
      </c>
      <c r="I730" s="6">
        <v>1</v>
      </c>
      <c r="J730" s="5" t="str">
        <f>IFERROR(VLOOKUP($D730,FIYAT!$B:$O,9,FALSE()),"")</f>
        <v>Шт.</v>
      </c>
      <c r="K730" s="5" t="str">
        <f>IFERROR(VLOOKUP($D730,FIYAT!$B:$O,4,FALSE()),"")</f>
        <v>KAZTEK</v>
      </c>
      <c r="L730" s="5">
        <f t="shared" si="89"/>
        <v>118440</v>
      </c>
      <c r="M730" s="5"/>
      <c r="N730" s="5"/>
      <c r="O730" s="5"/>
      <c r="P730" s="5" t="str">
        <f>IF($H730="","FIYAT_YOK",IFERROR(VLOOKUP($D730,FIYAT!$B:$P,15,FALSE()),""))</f>
        <v>VARSAYIM</v>
      </c>
      <c r="Q730" s="5" t="s">
        <v>258</v>
      </c>
      <c r="R730" s="5" t="s">
        <v>211</v>
      </c>
      <c r="S730" s="5" t="s">
        <v>637</v>
      </c>
      <c r="T730" s="5" t="s">
        <v>107</v>
      </c>
      <c r="U730" s="5">
        <f>IFERROR(VLOOKUP($T730,KURALLAR!$A$32:$B$63,2,FALSE()),0)*IF(ISNUMBER($I730),$I730,0)</f>
        <v>90</v>
      </c>
    </row>
    <row r="731" spans="1:21" x14ac:dyDescent="0.25">
      <c r="A731" s="9">
        <v>730</v>
      </c>
      <c r="B731" s="9"/>
      <c r="C731" s="9" t="s">
        <v>215</v>
      </c>
      <c r="D731" s="9" t="s">
        <v>213</v>
      </c>
      <c r="E731" s="9" t="str">
        <f>IFERROR(VLOOKUP($D731,FIYAT!$B:$O,2,FALSE()),"")</f>
        <v>Монтажный расходный материал (кабель, DIN-рейка, кабель-канал, клеммы, маркировка, крепёж)</v>
      </c>
      <c r="F731" s="9">
        <f>IFERROR(VLOOKUP($D731,FIYAT!$B:$O,5,FALSE()),"")</f>
        <v>0</v>
      </c>
      <c r="G731" s="9" t="str">
        <f>IFERROR(VLOOKUP($D731,FIYAT!$B:$O,8,FALSE()),"")</f>
        <v/>
      </c>
      <c r="H731" s="9">
        <f>ROUND(SUM($H$720:$H$730)*KURALLAR!$B$28,0)</f>
        <v>25060</v>
      </c>
      <c r="I731" s="6">
        <v>1</v>
      </c>
      <c r="J731" s="9" t="str">
        <f>IFERROR(VLOOKUP($D731,FIYAT!$B:$O,9,FALSE()),"")</f>
        <v>компл.</v>
      </c>
      <c r="K731" s="9" t="str">
        <f>IFERROR(VLOOKUP($D731,FIYAT!$B:$O,4,FALSE()),"")</f>
        <v>MUADIL-NET</v>
      </c>
      <c r="L731" s="9">
        <f t="shared" si="89"/>
        <v>25060</v>
      </c>
      <c r="M731" s="9"/>
      <c r="N731" s="9"/>
      <c r="O731" s="9"/>
      <c r="P731" s="9" t="str">
        <f>IF($H731="","FIYAT_YOK",IFERROR(VLOOKUP($D731,FIYAT!$B:$P,15,FALSE()),""))</f>
        <v>ORAN</v>
      </c>
      <c r="Q731" s="9" t="s">
        <v>218</v>
      </c>
      <c r="R731" s="9" t="s">
        <v>217</v>
      </c>
      <c r="S731" s="9" t="s">
        <v>637</v>
      </c>
      <c r="T731" s="9"/>
      <c r="U731" s="9">
        <v>0</v>
      </c>
    </row>
    <row r="732" spans="1:21" x14ac:dyDescent="0.25">
      <c r="A732" s="5">
        <v>731</v>
      </c>
      <c r="B732" s="5"/>
      <c r="C732" s="5" t="s">
        <v>227</v>
      </c>
      <c r="D732" s="5" t="s">
        <v>225</v>
      </c>
      <c r="E732" s="5" t="str">
        <f>IFERROR(VLOOKUP($D732,FIYAT!$B:$O,2,FALSE()),"")</f>
        <v>Сборка, кабелирование, маркировка, момент затяжки, испытания</v>
      </c>
      <c r="F732" s="5">
        <f>IFERROR(VLOOKUP($D732,FIYAT!$B:$O,5,FALSE()),"")</f>
        <v>100</v>
      </c>
      <c r="G732" s="5">
        <f>IFERROR(VLOOKUP($D732,FIYAT!$B:$O,8,FALSE()),"")</f>
        <v>100</v>
      </c>
      <c r="H732" s="5">
        <f>IF(OR($G732="",$I732=""),"",$G732*$I732)</f>
        <v>63800</v>
      </c>
      <c r="I732" s="6">
        <f>ROUND(SUM($U$720:$U$731)*KURALLAR!$B$27,0)</f>
        <v>638</v>
      </c>
      <c r="J732" s="5" t="str">
        <f>IFERROR(VLOOKUP($D732,FIYAT!$B:$O,9,FALSE()),"")</f>
        <v>мин</v>
      </c>
      <c r="K732" s="5" t="str">
        <f>IFERROR(VLOOKUP($D732,FIYAT!$B:$O,4,FALSE()),"")</f>
        <v>ISCILIK</v>
      </c>
      <c r="L732" s="5">
        <f t="shared" si="89"/>
        <v>63800</v>
      </c>
      <c r="M732" s="5"/>
      <c r="N732" s="5"/>
      <c r="O732" s="5"/>
      <c r="P732" s="5" t="str">
        <f>IF($H732="","FIYAT_YOK",IFERROR(VLOOKUP($D732,FIYAT!$B:$P,15,FALSE()),""))</f>
        <v>OK</v>
      </c>
      <c r="Q732" s="5" t="str">
        <f>CONCATENATE("montaj+test iscilik: ",TEXT($I732,"# ##0")," dk = ",TEXT($I732/60,"0,00")," saat (norm x test/etiket carpani)")</f>
        <v>montaj+test iscilik:  638 dk = 10,63 saat (norm x test/etiket carpani)</v>
      </c>
      <c r="R732" s="5" t="s">
        <v>229</v>
      </c>
      <c r="S732" s="5" t="s">
        <v>637</v>
      </c>
      <c r="T732" s="5"/>
      <c r="U732" s="5">
        <v>0</v>
      </c>
    </row>
    <row r="733" spans="1:21" x14ac:dyDescent="0.25">
      <c r="A733" s="10">
        <v>732</v>
      </c>
      <c r="B733" s="10" t="s">
        <v>640</v>
      </c>
      <c r="C733" s="10"/>
      <c r="D733" s="10"/>
      <c r="E733" s="10"/>
      <c r="F733" s="10"/>
      <c r="G733" s="10"/>
      <c r="H733" s="10">
        <f>SUBTOTAL(9,H720:H732)</f>
        <v>446860.6</v>
      </c>
      <c r="I733" s="10"/>
      <c r="J733" s="10"/>
      <c r="K733" s="10"/>
      <c r="L733" s="10">
        <f>SUBTOTAL(9,L720:L732)</f>
        <v>446860.6</v>
      </c>
      <c r="M733" s="10"/>
      <c r="N733" s="10"/>
      <c r="O733" s="10"/>
      <c r="P733" s="10"/>
      <c r="Q733" s="10"/>
      <c r="R733" s="10"/>
      <c r="S733" s="10"/>
      <c r="T733" s="10"/>
      <c r="U733" s="10">
        <f>SUBTOTAL(9,U720:U732)</f>
        <v>555</v>
      </c>
    </row>
    <row r="734" spans="1:21" x14ac:dyDescent="0.25">
      <c r="A734" s="8">
        <v>733</v>
      </c>
      <c r="B734" s="8" t="str">
        <f>E734</f>
        <v>BLOK B / ЩЭ-F(4-21).2 — НКУ 380/220В 50Гц, FORM 2B, IP31/54</v>
      </c>
      <c r="C734" s="8" t="s">
        <v>545</v>
      </c>
      <c r="D734" s="8"/>
      <c r="E734" s="8" t="s">
        <v>641</v>
      </c>
      <c r="F734" s="8"/>
      <c r="G734" s="8"/>
      <c r="H734" s="8"/>
      <c r="I734" s="8">
        <v>1</v>
      </c>
      <c r="J734" s="8" t="s">
        <v>547</v>
      </c>
      <c r="K734" s="8"/>
      <c r="L734" s="8"/>
      <c r="M734" s="8"/>
      <c r="N734" s="8"/>
      <c r="O734" s="8"/>
      <c r="P734" s="8" t="s">
        <v>178</v>
      </c>
      <c r="Q734" s="8" t="s">
        <v>548</v>
      </c>
      <c r="R734" s="8" t="s">
        <v>549</v>
      </c>
      <c r="S734" s="8" t="s">
        <v>637</v>
      </c>
      <c r="T734" s="8"/>
      <c r="U734" s="8"/>
    </row>
    <row r="735" spans="1:21" x14ac:dyDescent="0.25">
      <c r="A735" s="9">
        <v>734</v>
      </c>
      <c r="B735" s="9"/>
      <c r="C735" s="9" t="s">
        <v>169</v>
      </c>
      <c r="D735" s="9" t="s">
        <v>231</v>
      </c>
      <c r="E735" s="9" t="str">
        <f>IFERROR(VLOOKUP($D735,FIYAT!$B:$O,2,FALSE()),"")</f>
        <v>Авт. выкл. NM8N-125C TM 3P 80А 36кА с рег. термомаг. расцепителем (R)</v>
      </c>
      <c r="F735" s="9">
        <f>IFERROR(VLOOKUP($D735,FIYAT!$B:$O,5,FALSE()),"")</f>
        <v>64129</v>
      </c>
      <c r="G735" s="9">
        <f>IFERROR(VLOOKUP($D735,FIYAT!$B:$O,8,FALSE()),"")</f>
        <v>38477.4</v>
      </c>
      <c r="H735" s="9">
        <f t="shared" ref="H735:H745" si="90">IF(OR($G735="",$I735=""),"",$G735*$I735)</f>
        <v>38477.4</v>
      </c>
      <c r="I735" s="6">
        <v>1</v>
      </c>
      <c r="J735" s="9" t="str">
        <f>IFERROR(VLOOKUP($D735,FIYAT!$B:$O,9,FALSE()),"")</f>
        <v>Шт.</v>
      </c>
      <c r="K735" s="9" t="str">
        <f>IFERROR(VLOOKUP($D735,FIYAT!$B:$O,4,FALSE()),"")</f>
        <v>CHINT</v>
      </c>
      <c r="L735" s="9">
        <f t="shared" ref="L735:L747" si="91">IF($H735="","",$H735)</f>
        <v>38477.4</v>
      </c>
      <c r="M735" s="9"/>
      <c r="N735" s="9"/>
      <c r="O735" s="9"/>
      <c r="P735" s="9" t="str">
        <f>IF($H735="","FIYAT_YOK",IFERROR(VLOOKUP($D735,FIYAT!$B:$P,15,FALSE()),""))</f>
        <v>OK</v>
      </c>
      <c r="Q735" s="9" t="s">
        <v>233</v>
      </c>
      <c r="R735" s="9" t="s">
        <v>171</v>
      </c>
      <c r="S735" s="9" t="s">
        <v>637</v>
      </c>
      <c r="T735" s="9" t="s">
        <v>61</v>
      </c>
      <c r="U735" s="9">
        <f>IFERROR(VLOOKUP($T735,KURALLAR!$A$32:$B$63,2,FALSE()),0)*IF(ISNUMBER($I735),$I735,0)</f>
        <v>15</v>
      </c>
    </row>
    <row r="736" spans="1:21" x14ac:dyDescent="0.25">
      <c r="A736" s="5">
        <v>735</v>
      </c>
      <c r="B736" s="5"/>
      <c r="C736" s="5" t="s">
        <v>176</v>
      </c>
      <c r="D736" s="5" t="s">
        <v>234</v>
      </c>
      <c r="E736" s="5" t="str">
        <f>IFERROR(VLOOKUP($D736,FIYAT!$B:$O,2,FALSE()),"")</f>
        <v>Диф. модуль NM8NL-125 4P RCD1 X рег. ток утечки 0,03-0,05-0,1-0,2-0,3-0,5-1-2 A (R)</v>
      </c>
      <c r="F736" s="5">
        <f>IFERROR(VLOOKUP($D736,FIYAT!$B:$O,5,FALSE()),"")</f>
        <v>83791</v>
      </c>
      <c r="G736" s="5">
        <f>IFERROR(VLOOKUP($D736,FIYAT!$B:$O,8,FALSE()),"")</f>
        <v>50274.6</v>
      </c>
      <c r="H736" s="5">
        <f t="shared" si="90"/>
        <v>50274.6</v>
      </c>
      <c r="I736" s="6">
        <v>1</v>
      </c>
      <c r="J736" s="5" t="str">
        <f>IFERROR(VLOOKUP($D736,FIYAT!$B:$O,9,FALSE()),"")</f>
        <v>Шт.</v>
      </c>
      <c r="K736" s="5" t="str">
        <f>IFERROR(VLOOKUP($D736,FIYAT!$B:$O,4,FALSE()),"")</f>
        <v>CHINT</v>
      </c>
      <c r="L736" s="5">
        <f t="shared" si="91"/>
        <v>50274.6</v>
      </c>
      <c r="M736" s="5"/>
      <c r="N736" s="5"/>
      <c r="O736" s="5"/>
      <c r="P736" s="7" t="str">
        <f>IF($H736="","FIYAT_YOK",IFERROR(VLOOKUP($D736,FIYAT!$B:$P,15,FALSE()),""))</f>
        <v>CIHAZ_BELIRSIZ</v>
      </c>
      <c r="Q736" s="7" t="s">
        <v>236</v>
      </c>
      <c r="R736" s="5" t="s">
        <v>184</v>
      </c>
      <c r="S736" s="5" t="s">
        <v>637</v>
      </c>
      <c r="T736" s="5" t="s">
        <v>59</v>
      </c>
      <c r="U736" s="5">
        <f>IFERROR(VLOOKUP($T736,KURALLAR!$A$32:$B$63,2,FALSE()),0)*IF(ISNUMBER($I736),$I736,0)</f>
        <v>20</v>
      </c>
    </row>
    <row r="737" spans="1:21" x14ac:dyDescent="0.25">
      <c r="A737" s="9">
        <v>736</v>
      </c>
      <c r="B737" s="9"/>
      <c r="C737" s="9" t="s">
        <v>79</v>
      </c>
      <c r="D737" s="9" t="s">
        <v>179</v>
      </c>
      <c r="E737" s="9" t="str">
        <f>IFERROR(VLOOKUP($D737,FIYAT!$B:$O,2,FALSE()),"")</f>
        <v>Держатель плавкой вставки RT36-00-160, габарит 00, 160А</v>
      </c>
      <c r="F737" s="9">
        <f>IFERROR(VLOOKUP($D737,FIYAT!$B:$O,5,FALSE()),"")</f>
        <v>2038</v>
      </c>
      <c r="G737" s="9">
        <f>IFERROR(VLOOKUP($D737,FIYAT!$B:$O,8,FALSE()),"")</f>
        <v>1222.8</v>
      </c>
      <c r="H737" s="9">
        <f t="shared" si="90"/>
        <v>4891.2</v>
      </c>
      <c r="I737" s="6">
        <v>4</v>
      </c>
      <c r="J737" s="9" t="str">
        <f>IFERROR(VLOOKUP($D737,FIYAT!$B:$O,9,FALSE()),"")</f>
        <v>Шт.</v>
      </c>
      <c r="K737" s="9" t="str">
        <f>IFERROR(VLOOKUP($D737,FIYAT!$B:$O,4,FALSE()),"")</f>
        <v>CHINT</v>
      </c>
      <c r="L737" s="9">
        <f t="shared" si="91"/>
        <v>4891.2</v>
      </c>
      <c r="M737" s="9"/>
      <c r="N737" s="9"/>
      <c r="O737" s="9"/>
      <c r="P737" s="9" t="str">
        <f>IF($H737="","FIYAT_YOK",IFERROR(VLOOKUP($D737,FIYAT!$B:$P,15,FALSE()),""))</f>
        <v>MUADIL</v>
      </c>
      <c r="Q737" s="9" t="s">
        <v>181</v>
      </c>
      <c r="R737" s="9" t="s">
        <v>171</v>
      </c>
      <c r="S737" s="9" t="s">
        <v>637</v>
      </c>
      <c r="T737" s="9" t="s">
        <v>77</v>
      </c>
      <c r="U737" s="9">
        <f>IFERROR(VLOOKUP($T737,KURALLAR!$A$32:$B$63,2,FALSE()),0)*IF(ISNUMBER($I737),$I737,0)</f>
        <v>20</v>
      </c>
    </row>
    <row r="738" spans="1:21" x14ac:dyDescent="0.25">
      <c r="A738" s="5">
        <v>737</v>
      </c>
      <c r="B738" s="5"/>
      <c r="C738" s="5" t="s">
        <v>79</v>
      </c>
      <c r="D738" s="5" t="s">
        <v>182</v>
      </c>
      <c r="E738" s="5" t="str">
        <f>IFERROR(VLOOKUP($D738,FIYAT!$B:$O,2,FALSE()),"")</f>
        <v>Плавкая вставка предохранителя RT36-00-160, габарит 00, 63А</v>
      </c>
      <c r="F738" s="5">
        <f>IFERROR(VLOOKUP($D738,FIYAT!$B:$O,5,FALSE()),"")</f>
        <v>1525</v>
      </c>
      <c r="G738" s="5">
        <f>IFERROR(VLOOKUP($D738,FIYAT!$B:$O,8,FALSE()),"")</f>
        <v>915</v>
      </c>
      <c r="H738" s="5">
        <f t="shared" si="90"/>
        <v>3660</v>
      </c>
      <c r="I738" s="6">
        <v>4</v>
      </c>
      <c r="J738" s="5" t="str">
        <f>IFERROR(VLOOKUP($D738,FIYAT!$B:$O,9,FALSE()),"")</f>
        <v>Шт.</v>
      </c>
      <c r="K738" s="5" t="str">
        <f>IFERROR(VLOOKUP($D738,FIYAT!$B:$O,4,FALSE()),"")</f>
        <v>CHINT</v>
      </c>
      <c r="L738" s="5">
        <f t="shared" si="91"/>
        <v>3660</v>
      </c>
      <c r="M738" s="5"/>
      <c r="N738" s="5"/>
      <c r="O738" s="5"/>
      <c r="P738" s="5" t="str">
        <f>IF($H738="","FIYAT_YOK",IFERROR(VLOOKUP($D738,FIYAT!$B:$P,15,FALSE()),""))</f>
        <v>MUADIL</v>
      </c>
      <c r="Q738" s="5" t="s">
        <v>185</v>
      </c>
      <c r="R738" s="5" t="s">
        <v>184</v>
      </c>
      <c r="S738" s="5" t="s">
        <v>637</v>
      </c>
      <c r="T738" s="5" t="s">
        <v>79</v>
      </c>
      <c r="U738" s="5">
        <f>IFERROR(VLOOKUP($T738,KURALLAR!$A$32:$B$63,2,FALSE()),0)*IF(ISNUMBER($I738),$I738,0)</f>
        <v>12</v>
      </c>
    </row>
    <row r="739" spans="1:21" x14ac:dyDescent="0.25">
      <c r="A739" s="9">
        <v>738</v>
      </c>
      <c r="B739" s="9"/>
      <c r="C739" s="9" t="s">
        <v>75</v>
      </c>
      <c r="D739" s="9" t="s">
        <v>186</v>
      </c>
      <c r="E739" s="9" t="str">
        <f>IFERROR(VLOOKUP($D739,FIYAT!$B:$O,2,FALSE()),"")</f>
        <v>Ограничитель имп. перенапр. NU6-IIG 4Р In=25kA Uc=440B Im=65kA (R)</v>
      </c>
      <c r="F739" s="9">
        <f>IFERROR(VLOOKUP($D739,FIYAT!$B:$O,5,FALSE()),"")</f>
        <v>33208</v>
      </c>
      <c r="G739" s="9">
        <f>IFERROR(VLOOKUP($D739,FIYAT!$B:$O,8,FALSE()),"")</f>
        <v>19924.8</v>
      </c>
      <c r="H739" s="9">
        <f t="shared" si="90"/>
        <v>19924.8</v>
      </c>
      <c r="I739" s="6">
        <v>1</v>
      </c>
      <c r="J739" s="9" t="str">
        <f>IFERROR(VLOOKUP($D739,FIYAT!$B:$O,9,FALSE()),"")</f>
        <v>Шт.</v>
      </c>
      <c r="K739" s="9" t="str">
        <f>IFERROR(VLOOKUP($D739,FIYAT!$B:$O,4,FALSE()),"")</f>
        <v>CHINT</v>
      </c>
      <c r="L739" s="9">
        <f t="shared" si="91"/>
        <v>19924.8</v>
      </c>
      <c r="M739" s="9"/>
      <c r="N739" s="9"/>
      <c r="O739" s="9"/>
      <c r="P739" s="9" t="str">
        <f>IF($H739="","FIYAT_YOK",IFERROR(VLOOKUP($D739,FIYAT!$B:$P,15,FALSE()),""))</f>
        <v>MUADIL_ONAY</v>
      </c>
      <c r="Q739" s="9" t="s">
        <v>188</v>
      </c>
      <c r="R739" s="9" t="s">
        <v>184</v>
      </c>
      <c r="S739" s="9" t="s">
        <v>637</v>
      </c>
      <c r="T739" s="9" t="s">
        <v>75</v>
      </c>
      <c r="U739" s="9">
        <f>IFERROR(VLOOKUP($T739,KURALLAR!$A$32:$B$63,2,FALSE()),0)*IF(ISNUMBER($I739),$I739,0)</f>
        <v>10</v>
      </c>
    </row>
    <row r="740" spans="1:21" x14ac:dyDescent="0.25">
      <c r="A740" s="5">
        <v>739</v>
      </c>
      <c r="B740" s="5"/>
      <c r="C740" s="5" t="s">
        <v>192</v>
      </c>
      <c r="D740" s="5" t="s">
        <v>238</v>
      </c>
      <c r="E740" s="5" t="str">
        <f>IFERROR(VLOOKUP($D740,FIYAT!$B:$O,2,FALSE()),"")</f>
        <v>Авт. выкл. NXB-63 1P 6A 6кА х-ка C (R)</v>
      </c>
      <c r="F740" s="5">
        <f>IFERROR(VLOOKUP($D740,FIYAT!$B:$O,5,FALSE()),"")</f>
        <v>1436</v>
      </c>
      <c r="G740" s="5">
        <f>IFERROR(VLOOKUP($D740,FIYAT!$B:$O,8,FALSE()),"")</f>
        <v>861.6</v>
      </c>
      <c r="H740" s="5">
        <f t="shared" si="90"/>
        <v>3446.4</v>
      </c>
      <c r="I740" s="6">
        <v>4</v>
      </c>
      <c r="J740" s="5" t="str">
        <f>IFERROR(VLOOKUP($D740,FIYAT!$B:$O,9,FALSE()),"")</f>
        <v>Шт.</v>
      </c>
      <c r="K740" s="5" t="str">
        <f>IFERROR(VLOOKUP($D740,FIYAT!$B:$O,4,FALSE()),"")</f>
        <v>CHINT</v>
      </c>
      <c r="L740" s="5">
        <f t="shared" si="91"/>
        <v>3446.4</v>
      </c>
      <c r="M740" s="5"/>
      <c r="N740" s="5"/>
      <c r="O740" s="5"/>
      <c r="P740" s="5" t="str">
        <f>IF($H740="","FIYAT_YOK",IFERROR(VLOOKUP($D740,FIYAT!$B:$P,15,FALSE()),""))</f>
        <v>OK</v>
      </c>
      <c r="Q740" s="5" t="s">
        <v>240</v>
      </c>
      <c r="R740" s="5" t="s">
        <v>171</v>
      </c>
      <c r="S740" s="5" t="s">
        <v>637</v>
      </c>
      <c r="T740" s="5" t="s">
        <v>47</v>
      </c>
      <c r="U740" s="5">
        <f>IFERROR(VLOOKUP($T740,KURALLAR!$A$32:$B$63,2,FALSE()),0)*IF(ISNUMBER($I740),$I740,0)</f>
        <v>12</v>
      </c>
    </row>
    <row r="741" spans="1:21" x14ac:dyDescent="0.25">
      <c r="A741" s="9">
        <v>740</v>
      </c>
      <c r="B741" s="9"/>
      <c r="C741" s="9" t="s">
        <v>89</v>
      </c>
      <c r="D741" s="9" t="s">
        <v>241</v>
      </c>
      <c r="E741" s="9" t="str">
        <f>IFERROR(VLOOKUP($D741,FIYAT!$B:$O,2,FALSE()),"")</f>
        <v>Индикатор ND16-22DS/4 белый АС230В (R)</v>
      </c>
      <c r="F741" s="9">
        <f>IFERROR(VLOOKUP($D741,FIYAT!$B:$O,5,FALSE()),"")</f>
        <v>1047</v>
      </c>
      <c r="G741" s="9">
        <f>IFERROR(VLOOKUP($D741,FIYAT!$B:$O,8,FALSE()),"")</f>
        <v>628.19999999999993</v>
      </c>
      <c r="H741" s="9">
        <f t="shared" si="90"/>
        <v>1884.6</v>
      </c>
      <c r="I741" s="6">
        <v>3</v>
      </c>
      <c r="J741" s="9" t="str">
        <f>IFERROR(VLOOKUP($D741,FIYAT!$B:$O,9,FALSE()),"")</f>
        <v>Шт.</v>
      </c>
      <c r="K741" s="9" t="str">
        <f>IFERROR(VLOOKUP($D741,FIYAT!$B:$O,4,FALSE()),"")</f>
        <v>CHINT</v>
      </c>
      <c r="L741" s="9">
        <f t="shared" si="91"/>
        <v>1884.6</v>
      </c>
      <c r="M741" s="9"/>
      <c r="N741" s="9"/>
      <c r="O741" s="9"/>
      <c r="P741" s="9" t="str">
        <f>IF($H741="","FIYAT_YOK",IFERROR(VLOOKUP($D741,FIYAT!$B:$P,15,FALSE()),""))</f>
        <v>OK</v>
      </c>
      <c r="Q741" s="9" t="s">
        <v>243</v>
      </c>
      <c r="R741" s="9" t="s">
        <v>184</v>
      </c>
      <c r="S741" s="9" t="s">
        <v>637</v>
      </c>
      <c r="T741" s="9" t="s">
        <v>89</v>
      </c>
      <c r="U741" s="9">
        <f>IFERROR(VLOOKUP($T741,KURALLAR!$A$32:$B$63,2,FALSE()),0)*IF(ISNUMBER($I741),$I741,0)</f>
        <v>12</v>
      </c>
    </row>
    <row r="742" spans="1:21" x14ac:dyDescent="0.25">
      <c r="A742" s="5">
        <v>741</v>
      </c>
      <c r="B742" s="5"/>
      <c r="C742" s="5" t="s">
        <v>192</v>
      </c>
      <c r="D742" s="5" t="s">
        <v>244</v>
      </c>
      <c r="E742" s="5" t="str">
        <f>IFERROR(VLOOKUP($D742,FIYAT!$B:$O,2,FALSE()),"")</f>
        <v>Авт. выкл. NXB-63 3P 40A 6кА х-ка C (R)</v>
      </c>
      <c r="F742" s="5">
        <f>IFERROR(VLOOKUP($D742,FIYAT!$B:$O,5,FALSE()),"")</f>
        <v>5647</v>
      </c>
      <c r="G742" s="5">
        <f>IFERROR(VLOOKUP($D742,FIYAT!$B:$O,8,FALSE()),"")</f>
        <v>3388.2</v>
      </c>
      <c r="H742" s="5">
        <f t="shared" si="90"/>
        <v>20329.199999999997</v>
      </c>
      <c r="I742" s="6">
        <v>6</v>
      </c>
      <c r="J742" s="5" t="str">
        <f>IFERROR(VLOOKUP($D742,FIYAT!$B:$O,9,FALSE()),"")</f>
        <v>Шт.</v>
      </c>
      <c r="K742" s="5" t="str">
        <f>IFERROR(VLOOKUP($D742,FIYAT!$B:$O,4,FALSE()),"")</f>
        <v>CHINT</v>
      </c>
      <c r="L742" s="5">
        <f t="shared" si="91"/>
        <v>20329.199999999997</v>
      </c>
      <c r="M742" s="5"/>
      <c r="N742" s="5"/>
      <c r="O742" s="5"/>
      <c r="P742" s="5" t="str">
        <f>IF($H742="","FIYAT_YOK",IFERROR(VLOOKUP($D742,FIYAT!$B:$P,15,FALSE()),""))</f>
        <v>OK</v>
      </c>
      <c r="Q742" s="5" t="s">
        <v>246</v>
      </c>
      <c r="R742" s="5" t="s">
        <v>171</v>
      </c>
      <c r="S742" s="5" t="s">
        <v>637</v>
      </c>
      <c r="T742" s="5" t="s">
        <v>51</v>
      </c>
      <c r="U742" s="5">
        <f>IFERROR(VLOOKUP($T742,KURALLAR!$A$32:$B$63,2,FALSE()),0)*IF(ISNUMBER($I742),$I742,0)</f>
        <v>48</v>
      </c>
    </row>
    <row r="743" spans="1:21" x14ac:dyDescent="0.25">
      <c r="A743" s="9">
        <v>742</v>
      </c>
      <c r="B743" s="9"/>
      <c r="C743" s="9" t="s">
        <v>81</v>
      </c>
      <c r="D743" s="9" t="s">
        <v>247</v>
      </c>
      <c r="E743" s="9" t="str">
        <f>IFERROR(VLOOKUP($D743,FIYAT!$B:$O,2,FALSE()),"")</f>
        <v>Трехфазный эл.счетчик EX 518 10(100)А (прям. подкл.) с PLC модулем</v>
      </c>
      <c r="F743" s="9">
        <f>IFERROR(VLOOKUP($D743,FIYAT!$B:$O,5,FALSE()),"")</f>
        <v>0</v>
      </c>
      <c r="G743" s="9" t="str">
        <f>IFERROR(VLOOKUP($D743,FIYAT!$B:$O,8,FALSE()),"")</f>
        <v/>
      </c>
      <c r="H743" s="9" t="str">
        <f t="shared" si="90"/>
        <v/>
      </c>
      <c r="I743" s="6">
        <v>4</v>
      </c>
      <c r="J743" s="9" t="str">
        <f>IFERROR(VLOOKUP($D743,FIYAT!$B:$O,9,FALSE()),"")</f>
        <v>Шт.</v>
      </c>
      <c r="K743" s="9" t="str">
        <f>IFERROR(VLOOKUP($D743,FIYAT!$B:$O,4,FALSE()),"")</f>
        <v>MUADIL-NET</v>
      </c>
      <c r="L743" s="9" t="str">
        <f t="shared" si="91"/>
        <v/>
      </c>
      <c r="M743" s="9"/>
      <c r="N743" s="9"/>
      <c r="O743" s="9"/>
      <c r="P743" s="7" t="str">
        <f>IF($H743="","FIYAT_YOK",IFERROR(VLOOKUP($D743,FIYAT!$B:$P,15,FALSE()),""))</f>
        <v>FIYAT_YOK</v>
      </c>
      <c r="Q743" s="7" t="s">
        <v>249</v>
      </c>
      <c r="R743" s="9"/>
      <c r="S743" s="9" t="s">
        <v>637</v>
      </c>
      <c r="T743" s="9" t="s">
        <v>81</v>
      </c>
      <c r="U743" s="9">
        <f>IFERROR(VLOOKUP($T743,KURALLAR!$A$32:$B$63,2,FALSE()),0)*IF(ISNUMBER($I743),$I743,0)</f>
        <v>120</v>
      </c>
    </row>
    <row r="744" spans="1:21" x14ac:dyDescent="0.25">
      <c r="A744" s="5">
        <v>743</v>
      </c>
      <c r="B744" s="5"/>
      <c r="C744" s="5" t="s">
        <v>253</v>
      </c>
      <c r="D744" s="5" t="s">
        <v>251</v>
      </c>
      <c r="E744" s="5" t="str">
        <f>IFERROR(VLOOKUP($D744,FIYAT!$B:$O,2,FALSE()),"")</f>
        <v>Шина алюминиевая твёрдая (ШАТ)</v>
      </c>
      <c r="F744" s="5">
        <f>IFERROR(VLOOKUP($D744,FIYAT!$B:$O,5,FALSE()),"")</f>
        <v>4493.5999999999995</v>
      </c>
      <c r="G744" s="5">
        <f>IFERROR(VLOOKUP($D744,FIYAT!$B:$O,8,FALSE()),"")</f>
        <v>4493.5999999999995</v>
      </c>
      <c r="H744" s="5">
        <f t="shared" si="90"/>
        <v>89871.999999999985</v>
      </c>
      <c r="I744" s="6">
        <v>20</v>
      </c>
      <c r="J744" s="5" t="str">
        <f>IFERROR(VLOOKUP($D744,FIYAT!$B:$O,9,FALSE()),"")</f>
        <v>Кг.</v>
      </c>
      <c r="K744" s="5" t="str">
        <f>IFERROR(VLOOKUP($D744,FIYAT!$B:$O,4,FALSE()),"")</f>
        <v>ALUM-BARA</v>
      </c>
      <c r="L744" s="5">
        <f t="shared" si="91"/>
        <v>89871.999999999985</v>
      </c>
      <c r="M744" s="5"/>
      <c r="N744" s="5"/>
      <c r="O744" s="5"/>
      <c r="P744" s="5" t="str">
        <f>IF($H744="","FIYAT_YOK",IFERROR(VLOOKUP($D744,FIYAT!$B:$P,15,FALSE()),""))</f>
        <v>VARSAYIM</v>
      </c>
      <c r="Q744" s="5" t="s">
        <v>255</v>
      </c>
      <c r="R744" s="5"/>
      <c r="S744" s="5" t="s">
        <v>637</v>
      </c>
      <c r="T744" s="5" t="s">
        <v>101</v>
      </c>
      <c r="U744" s="5">
        <f>IFERROR(VLOOKUP($T744,KURALLAR!$A$32:$B$63,2,FALSE()),0)*IF(ISNUMBER($I744),$I744,0)</f>
        <v>120</v>
      </c>
    </row>
    <row r="745" spans="1:21" x14ac:dyDescent="0.25">
      <c r="A745" s="9">
        <v>744</v>
      </c>
      <c r="B745" s="9"/>
      <c r="C745" s="9" t="s">
        <v>222</v>
      </c>
      <c r="D745" s="9" t="s">
        <v>256</v>
      </c>
      <c r="E745" s="9" t="str">
        <f>IFERROR(VLOOKUP($D745,FIYAT!$B:$O,2,FALSE()),"")</f>
        <v>Щит (moduler) 2000x800x800+100</v>
      </c>
      <c r="F745" s="9">
        <f>IFERROR(VLOOKUP($D745,FIYAT!$B:$O,5,FALSE()),"")</f>
        <v>197400</v>
      </c>
      <c r="G745" s="9">
        <f>IFERROR(VLOOKUP($D745,FIYAT!$B:$O,8,FALSE()),"")</f>
        <v>118440</v>
      </c>
      <c r="H745" s="9">
        <f t="shared" si="90"/>
        <v>118440</v>
      </c>
      <c r="I745" s="6">
        <v>1</v>
      </c>
      <c r="J745" s="9" t="str">
        <f>IFERROR(VLOOKUP($D745,FIYAT!$B:$O,9,FALSE()),"")</f>
        <v>Шт.</v>
      </c>
      <c r="K745" s="9" t="str">
        <f>IFERROR(VLOOKUP($D745,FIYAT!$B:$O,4,FALSE()),"")</f>
        <v>KAZTEK</v>
      </c>
      <c r="L745" s="9">
        <f t="shared" si="91"/>
        <v>118440</v>
      </c>
      <c r="M745" s="9"/>
      <c r="N745" s="9"/>
      <c r="O745" s="9"/>
      <c r="P745" s="9" t="str">
        <f>IF($H745="","FIYAT_YOK",IFERROR(VLOOKUP($D745,FIYAT!$B:$P,15,FALSE()),""))</f>
        <v>VARSAYIM</v>
      </c>
      <c r="Q745" s="9" t="s">
        <v>258</v>
      </c>
      <c r="R745" s="9" t="s">
        <v>211</v>
      </c>
      <c r="S745" s="9" t="s">
        <v>637</v>
      </c>
      <c r="T745" s="9" t="s">
        <v>107</v>
      </c>
      <c r="U745" s="9">
        <f>IFERROR(VLOOKUP($T745,KURALLAR!$A$32:$B$63,2,FALSE()),0)*IF(ISNUMBER($I745),$I745,0)</f>
        <v>90</v>
      </c>
    </row>
    <row r="746" spans="1:21" x14ac:dyDescent="0.25">
      <c r="A746" s="5">
        <v>745</v>
      </c>
      <c r="B746" s="5"/>
      <c r="C746" s="5" t="s">
        <v>215</v>
      </c>
      <c r="D746" s="5" t="s">
        <v>213</v>
      </c>
      <c r="E746" s="5" t="str">
        <f>IFERROR(VLOOKUP($D746,FIYAT!$B:$O,2,FALSE()),"")</f>
        <v>Монтажный расходный материал (кабель, DIN-рейка, кабель-канал, клеммы, маркировка, крепёж)</v>
      </c>
      <c r="F746" s="5">
        <f>IFERROR(VLOOKUP($D746,FIYAT!$B:$O,5,FALSE()),"")</f>
        <v>0</v>
      </c>
      <c r="G746" s="5" t="str">
        <f>IFERROR(VLOOKUP($D746,FIYAT!$B:$O,8,FALSE()),"")</f>
        <v/>
      </c>
      <c r="H746" s="5">
        <f>ROUND(SUM($H$735:$H$745)*KURALLAR!$B$28,0)</f>
        <v>24584</v>
      </c>
      <c r="I746" s="6">
        <v>1</v>
      </c>
      <c r="J746" s="5" t="str">
        <f>IFERROR(VLOOKUP($D746,FIYAT!$B:$O,9,FALSE()),"")</f>
        <v>компл.</v>
      </c>
      <c r="K746" s="5" t="str">
        <f>IFERROR(VLOOKUP($D746,FIYAT!$B:$O,4,FALSE()),"")</f>
        <v>MUADIL-NET</v>
      </c>
      <c r="L746" s="5">
        <f t="shared" si="91"/>
        <v>24584</v>
      </c>
      <c r="M746" s="5"/>
      <c r="N746" s="5"/>
      <c r="O746" s="5"/>
      <c r="P746" s="5" t="str">
        <f>IF($H746="","FIYAT_YOK",IFERROR(VLOOKUP($D746,FIYAT!$B:$P,15,FALSE()),""))</f>
        <v>ORAN</v>
      </c>
      <c r="Q746" s="5" t="s">
        <v>218</v>
      </c>
      <c r="R746" s="5" t="s">
        <v>217</v>
      </c>
      <c r="S746" s="5" t="s">
        <v>637</v>
      </c>
      <c r="T746" s="5"/>
      <c r="U746" s="5">
        <v>0</v>
      </c>
    </row>
    <row r="747" spans="1:21" x14ac:dyDescent="0.25">
      <c r="A747" s="9">
        <v>746</v>
      </c>
      <c r="B747" s="9"/>
      <c r="C747" s="9" t="s">
        <v>227</v>
      </c>
      <c r="D747" s="9" t="s">
        <v>225</v>
      </c>
      <c r="E747" s="9" t="str">
        <f>IFERROR(VLOOKUP($D747,FIYAT!$B:$O,2,FALSE()),"")</f>
        <v>Сборка, кабелирование, маркировка, момент затяжки, испытания</v>
      </c>
      <c r="F747" s="9">
        <f>IFERROR(VLOOKUP($D747,FIYAT!$B:$O,5,FALSE()),"")</f>
        <v>100</v>
      </c>
      <c r="G747" s="9">
        <f>IFERROR(VLOOKUP($D747,FIYAT!$B:$O,8,FALSE()),"")</f>
        <v>100</v>
      </c>
      <c r="H747" s="9">
        <f>IF(OR($G747="",$I747=""),"",$G747*$I747)</f>
        <v>55100</v>
      </c>
      <c r="I747" s="6">
        <f>ROUND(SUM($U$735:$U$746)*KURALLAR!$B$27,0)</f>
        <v>551</v>
      </c>
      <c r="J747" s="9" t="str">
        <f>IFERROR(VLOOKUP($D747,FIYAT!$B:$O,9,FALSE()),"")</f>
        <v>мин</v>
      </c>
      <c r="K747" s="9" t="str">
        <f>IFERROR(VLOOKUP($D747,FIYAT!$B:$O,4,FALSE()),"")</f>
        <v>ISCILIK</v>
      </c>
      <c r="L747" s="9">
        <f t="shared" si="91"/>
        <v>55100</v>
      </c>
      <c r="M747" s="9"/>
      <c r="N747" s="9"/>
      <c r="O747" s="9"/>
      <c r="P747" s="9" t="str">
        <f>IF($H747="","FIYAT_YOK",IFERROR(VLOOKUP($D747,FIYAT!$B:$P,15,FALSE()),""))</f>
        <v>OK</v>
      </c>
      <c r="Q747" s="9" t="str">
        <f>CONCATENATE("montaj+test iscilik: ",TEXT($I747,"# ##0")," dk = ",TEXT($I747/60,"0,00")," saat (norm x test/etiket carpani)")</f>
        <v>montaj+test iscilik:  551 dk = 9,18 saat (norm x test/etiket carpani)</v>
      </c>
      <c r="R747" s="9" t="s">
        <v>229</v>
      </c>
      <c r="S747" s="9" t="s">
        <v>637</v>
      </c>
      <c r="T747" s="9"/>
      <c r="U747" s="9">
        <v>0</v>
      </c>
    </row>
    <row r="748" spans="1:21" x14ac:dyDescent="0.25">
      <c r="A748" s="10">
        <v>747</v>
      </c>
      <c r="B748" s="10" t="s">
        <v>642</v>
      </c>
      <c r="C748" s="10"/>
      <c r="D748" s="10"/>
      <c r="E748" s="10"/>
      <c r="F748" s="10"/>
      <c r="G748" s="10"/>
      <c r="H748" s="10">
        <f>SUBTOTAL(9,H735:H747)</f>
        <v>430884.2</v>
      </c>
      <c r="I748" s="10"/>
      <c r="J748" s="10"/>
      <c r="K748" s="10"/>
      <c r="L748" s="10">
        <f>SUBTOTAL(9,L735:L747)</f>
        <v>430884.2</v>
      </c>
      <c r="M748" s="10"/>
      <c r="N748" s="10"/>
      <c r="O748" s="10"/>
      <c r="P748" s="10"/>
      <c r="Q748" s="10"/>
      <c r="R748" s="10"/>
      <c r="S748" s="10"/>
      <c r="T748" s="10"/>
      <c r="U748" s="10">
        <f>SUBTOTAL(9,U735:U747)</f>
        <v>479</v>
      </c>
    </row>
    <row r="749" spans="1:21" x14ac:dyDescent="0.25">
      <c r="A749" s="8">
        <v>748</v>
      </c>
      <c r="B749" s="8" t="str">
        <f>E749</f>
        <v>BLOK B / 22F-ЩК(1-4) — НКУ 380/220В 50Гц, FORM 2B, IP31/54</v>
      </c>
      <c r="C749" s="8" t="s">
        <v>545</v>
      </c>
      <c r="D749" s="8"/>
      <c r="E749" s="8" t="s">
        <v>643</v>
      </c>
      <c r="F749" s="8"/>
      <c r="G749" s="8"/>
      <c r="H749" s="8"/>
      <c r="I749" s="8">
        <v>1</v>
      </c>
      <c r="J749" s="8" t="s">
        <v>547</v>
      </c>
      <c r="K749" s="8"/>
      <c r="L749" s="8"/>
      <c r="M749" s="8"/>
      <c r="N749" s="8"/>
      <c r="O749" s="8"/>
      <c r="P749" s="8" t="s">
        <v>178</v>
      </c>
      <c r="Q749" s="8" t="s">
        <v>548</v>
      </c>
      <c r="R749" s="8" t="s">
        <v>549</v>
      </c>
      <c r="S749" s="8" t="s">
        <v>637</v>
      </c>
      <c r="T749" s="8"/>
      <c r="U749" s="8"/>
    </row>
    <row r="750" spans="1:21" x14ac:dyDescent="0.25">
      <c r="A750" s="5">
        <v>749</v>
      </c>
      <c r="B750" s="5"/>
      <c r="C750" s="5" t="s">
        <v>169</v>
      </c>
      <c r="D750" s="5" t="s">
        <v>231</v>
      </c>
      <c r="E750" s="5" t="str">
        <f>IFERROR(VLOOKUP($D750,FIYAT!$B:$O,2,FALSE()),"")</f>
        <v>Авт. выкл. NM8N-125C TM 3P 80А 36кА с рег. термомаг. расцепителем (R)</v>
      </c>
      <c r="F750" s="5">
        <f>IFERROR(VLOOKUP($D750,FIYAT!$B:$O,5,FALSE()),"")</f>
        <v>64129</v>
      </c>
      <c r="G750" s="5">
        <f>IFERROR(VLOOKUP($D750,FIYAT!$B:$O,8,FALSE()),"")</f>
        <v>38477.4</v>
      </c>
      <c r="H750" s="5">
        <f t="shared" ref="H750:H764" si="92">IF(OR($G750="",$I750=""),"",$G750*$I750)</f>
        <v>38477.4</v>
      </c>
      <c r="I750" s="6">
        <v>1</v>
      </c>
      <c r="J750" s="5" t="str">
        <f>IFERROR(VLOOKUP($D750,FIYAT!$B:$O,9,FALSE()),"")</f>
        <v>Шт.</v>
      </c>
      <c r="K750" s="5" t="str">
        <f>IFERROR(VLOOKUP($D750,FIYAT!$B:$O,4,FALSE()),"")</f>
        <v>CHINT</v>
      </c>
      <c r="L750" s="5">
        <f t="shared" ref="L750:L766" si="93">IF($H750="","",$H750)</f>
        <v>38477.4</v>
      </c>
      <c r="M750" s="5"/>
      <c r="N750" s="5"/>
      <c r="O750" s="5"/>
      <c r="P750" s="5" t="str">
        <f>IF($H750="","FIYAT_YOK",IFERROR(VLOOKUP($D750,FIYAT!$B:$P,15,FALSE()),""))</f>
        <v>OK</v>
      </c>
      <c r="Q750" s="5" t="s">
        <v>233</v>
      </c>
      <c r="R750" s="5" t="s">
        <v>171</v>
      </c>
      <c r="S750" s="5" t="s">
        <v>637</v>
      </c>
      <c r="T750" s="5" t="s">
        <v>61</v>
      </c>
      <c r="U750" s="5">
        <f>IFERROR(VLOOKUP($T750,KURALLAR!$A$32:$B$63,2,FALSE()),0)*IF(ISNUMBER($I750),$I750,0)</f>
        <v>15</v>
      </c>
    </row>
    <row r="751" spans="1:21" x14ac:dyDescent="0.25">
      <c r="A751" s="9">
        <v>750</v>
      </c>
      <c r="B751" s="9"/>
      <c r="C751" s="9" t="s">
        <v>176</v>
      </c>
      <c r="D751" s="9" t="s">
        <v>234</v>
      </c>
      <c r="E751" s="9" t="str">
        <f>IFERROR(VLOOKUP($D751,FIYAT!$B:$O,2,FALSE()),"")</f>
        <v>Диф. модуль NM8NL-125 4P RCD1 X рег. ток утечки 0,03-0,05-0,1-0,2-0,3-0,5-1-2 A (R)</v>
      </c>
      <c r="F751" s="9">
        <f>IFERROR(VLOOKUP($D751,FIYAT!$B:$O,5,FALSE()),"")</f>
        <v>83791</v>
      </c>
      <c r="G751" s="9">
        <f>IFERROR(VLOOKUP($D751,FIYAT!$B:$O,8,FALSE()),"")</f>
        <v>50274.6</v>
      </c>
      <c r="H751" s="9">
        <f t="shared" si="92"/>
        <v>50274.6</v>
      </c>
      <c r="I751" s="6">
        <v>1</v>
      </c>
      <c r="J751" s="9" t="str">
        <f>IFERROR(VLOOKUP($D751,FIYAT!$B:$O,9,FALSE()),"")</f>
        <v>Шт.</v>
      </c>
      <c r="K751" s="9" t="str">
        <f>IFERROR(VLOOKUP($D751,FIYAT!$B:$O,4,FALSE()),"")</f>
        <v>CHINT</v>
      </c>
      <c r="L751" s="9">
        <f t="shared" si="93"/>
        <v>50274.6</v>
      </c>
      <c r="M751" s="9"/>
      <c r="N751" s="9"/>
      <c r="O751" s="9"/>
      <c r="P751" s="7" t="str">
        <f>IF($H751="","FIYAT_YOK",IFERROR(VLOOKUP($D751,FIYAT!$B:$P,15,FALSE()),""))</f>
        <v>CIHAZ_BELIRSIZ</v>
      </c>
      <c r="Q751" s="7" t="s">
        <v>236</v>
      </c>
      <c r="R751" s="9" t="s">
        <v>184</v>
      </c>
      <c r="S751" s="9" t="s">
        <v>637</v>
      </c>
      <c r="T751" s="9" t="s">
        <v>59</v>
      </c>
      <c r="U751" s="9">
        <f>IFERROR(VLOOKUP($T751,KURALLAR!$A$32:$B$63,2,FALSE()),0)*IF(ISNUMBER($I751),$I751,0)</f>
        <v>20</v>
      </c>
    </row>
    <row r="752" spans="1:21" x14ac:dyDescent="0.25">
      <c r="A752" s="5">
        <v>751</v>
      </c>
      <c r="B752" s="5"/>
      <c r="C752" s="5" t="s">
        <v>79</v>
      </c>
      <c r="D752" s="5" t="s">
        <v>179</v>
      </c>
      <c r="E752" s="5" t="str">
        <f>IFERROR(VLOOKUP($D752,FIYAT!$B:$O,2,FALSE()),"")</f>
        <v>Держатель плавкой вставки RT36-00-160, габарит 00, 160А</v>
      </c>
      <c r="F752" s="5">
        <f>IFERROR(VLOOKUP($D752,FIYAT!$B:$O,5,FALSE()),"")</f>
        <v>2038</v>
      </c>
      <c r="G752" s="5">
        <f>IFERROR(VLOOKUP($D752,FIYAT!$B:$O,8,FALSE()),"")</f>
        <v>1222.8</v>
      </c>
      <c r="H752" s="5">
        <f t="shared" si="92"/>
        <v>4891.2</v>
      </c>
      <c r="I752" s="6">
        <v>4</v>
      </c>
      <c r="J752" s="5" t="str">
        <f>IFERROR(VLOOKUP($D752,FIYAT!$B:$O,9,FALSE()),"")</f>
        <v>Шт.</v>
      </c>
      <c r="K752" s="5" t="str">
        <f>IFERROR(VLOOKUP($D752,FIYAT!$B:$O,4,FALSE()),"")</f>
        <v>CHINT</v>
      </c>
      <c r="L752" s="5">
        <f t="shared" si="93"/>
        <v>4891.2</v>
      </c>
      <c r="M752" s="5"/>
      <c r="N752" s="5"/>
      <c r="O752" s="5"/>
      <c r="P752" s="5" t="str">
        <f>IF($H752="","FIYAT_YOK",IFERROR(VLOOKUP($D752,FIYAT!$B:$P,15,FALSE()),""))</f>
        <v>MUADIL</v>
      </c>
      <c r="Q752" s="5" t="s">
        <v>181</v>
      </c>
      <c r="R752" s="5" t="s">
        <v>171</v>
      </c>
      <c r="S752" s="5" t="s">
        <v>637</v>
      </c>
      <c r="T752" s="5" t="s">
        <v>77</v>
      </c>
      <c r="U752" s="5">
        <f>IFERROR(VLOOKUP($T752,KURALLAR!$A$32:$B$63,2,FALSE()),0)*IF(ISNUMBER($I752),$I752,0)</f>
        <v>20</v>
      </c>
    </row>
    <row r="753" spans="1:21" x14ac:dyDescent="0.25">
      <c r="A753" s="9">
        <v>752</v>
      </c>
      <c r="B753" s="9"/>
      <c r="C753" s="9" t="s">
        <v>79</v>
      </c>
      <c r="D753" s="9" t="s">
        <v>182</v>
      </c>
      <c r="E753" s="9" t="str">
        <f>IFERROR(VLOOKUP($D753,FIYAT!$B:$O,2,FALSE()),"")</f>
        <v>Плавкая вставка предохранителя RT36-00-160, габарит 00, 63А</v>
      </c>
      <c r="F753" s="9">
        <f>IFERROR(VLOOKUP($D753,FIYAT!$B:$O,5,FALSE()),"")</f>
        <v>1525</v>
      </c>
      <c r="G753" s="9">
        <f>IFERROR(VLOOKUP($D753,FIYAT!$B:$O,8,FALSE()),"")</f>
        <v>915</v>
      </c>
      <c r="H753" s="9">
        <f t="shared" si="92"/>
        <v>3660</v>
      </c>
      <c r="I753" s="6">
        <v>4</v>
      </c>
      <c r="J753" s="9" t="str">
        <f>IFERROR(VLOOKUP($D753,FIYAT!$B:$O,9,FALSE()),"")</f>
        <v>Шт.</v>
      </c>
      <c r="K753" s="9" t="str">
        <f>IFERROR(VLOOKUP($D753,FIYAT!$B:$O,4,FALSE()),"")</f>
        <v>CHINT</v>
      </c>
      <c r="L753" s="9">
        <f t="shared" si="93"/>
        <v>3660</v>
      </c>
      <c r="M753" s="9"/>
      <c r="N753" s="9"/>
      <c r="O753" s="9"/>
      <c r="P753" s="9" t="str">
        <f>IF($H753="","FIYAT_YOK",IFERROR(VLOOKUP($D753,FIYAT!$B:$P,15,FALSE()),""))</f>
        <v>MUADIL</v>
      </c>
      <c r="Q753" s="9" t="s">
        <v>185</v>
      </c>
      <c r="R753" s="9" t="s">
        <v>184</v>
      </c>
      <c r="S753" s="9" t="s">
        <v>637</v>
      </c>
      <c r="T753" s="9" t="s">
        <v>79</v>
      </c>
      <c r="U753" s="9">
        <f>IFERROR(VLOOKUP($T753,KURALLAR!$A$32:$B$63,2,FALSE()),0)*IF(ISNUMBER($I753),$I753,0)</f>
        <v>12</v>
      </c>
    </row>
    <row r="754" spans="1:21" x14ac:dyDescent="0.25">
      <c r="A754" s="5">
        <v>753</v>
      </c>
      <c r="B754" s="5"/>
      <c r="C754" s="5" t="s">
        <v>75</v>
      </c>
      <c r="D754" s="5" t="s">
        <v>186</v>
      </c>
      <c r="E754" s="5" t="str">
        <f>IFERROR(VLOOKUP($D754,FIYAT!$B:$O,2,FALSE()),"")</f>
        <v>Ограничитель имп. перенапр. NU6-IIG 4Р In=25kA Uc=440B Im=65kA (R)</v>
      </c>
      <c r="F754" s="5">
        <f>IFERROR(VLOOKUP($D754,FIYAT!$B:$O,5,FALSE()),"")</f>
        <v>33208</v>
      </c>
      <c r="G754" s="5">
        <f>IFERROR(VLOOKUP($D754,FIYAT!$B:$O,8,FALSE()),"")</f>
        <v>19924.8</v>
      </c>
      <c r="H754" s="5">
        <f t="shared" si="92"/>
        <v>19924.8</v>
      </c>
      <c r="I754" s="6">
        <v>1</v>
      </c>
      <c r="J754" s="5" t="str">
        <f>IFERROR(VLOOKUP($D754,FIYAT!$B:$O,9,FALSE()),"")</f>
        <v>Шт.</v>
      </c>
      <c r="K754" s="5" t="str">
        <f>IFERROR(VLOOKUP($D754,FIYAT!$B:$O,4,FALSE()),"")</f>
        <v>CHINT</v>
      </c>
      <c r="L754" s="5">
        <f t="shared" si="93"/>
        <v>19924.8</v>
      </c>
      <c r="M754" s="5"/>
      <c r="N754" s="5"/>
      <c r="O754" s="5"/>
      <c r="P754" s="5" t="str">
        <f>IF($H754="","FIYAT_YOK",IFERROR(VLOOKUP($D754,FIYAT!$B:$P,15,FALSE()),""))</f>
        <v>MUADIL_ONAY</v>
      </c>
      <c r="Q754" s="5" t="s">
        <v>188</v>
      </c>
      <c r="R754" s="5" t="s">
        <v>184</v>
      </c>
      <c r="S754" s="5" t="s">
        <v>637</v>
      </c>
      <c r="T754" s="5" t="s">
        <v>75</v>
      </c>
      <c r="U754" s="5">
        <f>IFERROR(VLOOKUP($T754,KURALLAR!$A$32:$B$63,2,FALSE()),0)*IF(ISNUMBER($I754),$I754,0)</f>
        <v>10</v>
      </c>
    </row>
    <row r="755" spans="1:21" x14ac:dyDescent="0.25">
      <c r="A755" s="9">
        <v>754</v>
      </c>
      <c r="B755" s="9"/>
      <c r="C755" s="9" t="s">
        <v>192</v>
      </c>
      <c r="D755" s="9" t="s">
        <v>238</v>
      </c>
      <c r="E755" s="9" t="str">
        <f>IFERROR(VLOOKUP($D755,FIYAT!$B:$O,2,FALSE()),"")</f>
        <v>Авт. выкл. NXB-63 1P 6A 6кА х-ка C (R)</v>
      </c>
      <c r="F755" s="9">
        <f>IFERROR(VLOOKUP($D755,FIYAT!$B:$O,5,FALSE()),"")</f>
        <v>1436</v>
      </c>
      <c r="G755" s="9">
        <f>IFERROR(VLOOKUP($D755,FIYAT!$B:$O,8,FALSE()),"")</f>
        <v>861.6</v>
      </c>
      <c r="H755" s="9">
        <f t="shared" si="92"/>
        <v>3446.4</v>
      </c>
      <c r="I755" s="6">
        <v>4</v>
      </c>
      <c r="J755" s="9" t="str">
        <f>IFERROR(VLOOKUP($D755,FIYAT!$B:$O,9,FALSE()),"")</f>
        <v>Шт.</v>
      </c>
      <c r="K755" s="9" t="str">
        <f>IFERROR(VLOOKUP($D755,FIYAT!$B:$O,4,FALSE()),"")</f>
        <v>CHINT</v>
      </c>
      <c r="L755" s="9">
        <f t="shared" si="93"/>
        <v>3446.4</v>
      </c>
      <c r="M755" s="9"/>
      <c r="N755" s="9"/>
      <c r="O755" s="9"/>
      <c r="P755" s="9" t="str">
        <f>IF($H755="","FIYAT_YOK",IFERROR(VLOOKUP($D755,FIYAT!$B:$P,15,FALSE()),""))</f>
        <v>OK</v>
      </c>
      <c r="Q755" s="9" t="s">
        <v>240</v>
      </c>
      <c r="R755" s="9" t="s">
        <v>171</v>
      </c>
      <c r="S755" s="9" t="s">
        <v>637</v>
      </c>
      <c r="T755" s="9" t="s">
        <v>47</v>
      </c>
      <c r="U755" s="9">
        <f>IFERROR(VLOOKUP($T755,KURALLAR!$A$32:$B$63,2,FALSE()),0)*IF(ISNUMBER($I755),$I755,0)</f>
        <v>12</v>
      </c>
    </row>
    <row r="756" spans="1:21" x14ac:dyDescent="0.25">
      <c r="A756" s="5">
        <v>755</v>
      </c>
      <c r="B756" s="5"/>
      <c r="C756" s="5" t="s">
        <v>89</v>
      </c>
      <c r="D756" s="5" t="s">
        <v>241</v>
      </c>
      <c r="E756" s="5" t="str">
        <f>IFERROR(VLOOKUP($D756,FIYAT!$B:$O,2,FALSE()),"")</f>
        <v>Индикатор ND16-22DS/4 белый АС230В (R)</v>
      </c>
      <c r="F756" s="5">
        <f>IFERROR(VLOOKUP($D756,FIYAT!$B:$O,5,FALSE()),"")</f>
        <v>1047</v>
      </c>
      <c r="G756" s="5">
        <f>IFERROR(VLOOKUP($D756,FIYAT!$B:$O,8,FALSE()),"")</f>
        <v>628.19999999999993</v>
      </c>
      <c r="H756" s="5">
        <f t="shared" si="92"/>
        <v>1884.6</v>
      </c>
      <c r="I756" s="6">
        <v>3</v>
      </c>
      <c r="J756" s="5" t="str">
        <f>IFERROR(VLOOKUP($D756,FIYAT!$B:$O,9,FALSE()),"")</f>
        <v>Шт.</v>
      </c>
      <c r="K756" s="5" t="str">
        <f>IFERROR(VLOOKUP($D756,FIYAT!$B:$O,4,FALSE()),"")</f>
        <v>CHINT</v>
      </c>
      <c r="L756" s="5">
        <f t="shared" si="93"/>
        <v>1884.6</v>
      </c>
      <c r="M756" s="5"/>
      <c r="N756" s="5"/>
      <c r="O756" s="5"/>
      <c r="P756" s="5" t="str">
        <f>IF($H756="","FIYAT_YOK",IFERROR(VLOOKUP($D756,FIYAT!$B:$P,15,FALSE()),""))</f>
        <v>OK</v>
      </c>
      <c r="Q756" s="5" t="s">
        <v>243</v>
      </c>
      <c r="R756" s="5" t="s">
        <v>184</v>
      </c>
      <c r="S756" s="5" t="s">
        <v>637</v>
      </c>
      <c r="T756" s="5" t="s">
        <v>89</v>
      </c>
      <c r="U756" s="5">
        <f>IFERROR(VLOOKUP($T756,KURALLAR!$A$32:$B$63,2,FALSE()),0)*IF(ISNUMBER($I756),$I756,0)</f>
        <v>12</v>
      </c>
    </row>
    <row r="757" spans="1:21" x14ac:dyDescent="0.25">
      <c r="A757" s="9">
        <v>756</v>
      </c>
      <c r="B757" s="9"/>
      <c r="C757" s="9" t="s">
        <v>192</v>
      </c>
      <c r="D757" s="9" t="s">
        <v>190</v>
      </c>
      <c r="E757" s="9" t="str">
        <f>IFERROR(VLOOKUP($D757,FIYAT!$B:$O,2,FALSE()),"")</f>
        <v>Авт. выкл. NXB-63 3P 25A 6кА х-ка C (R)</v>
      </c>
      <c r="F757" s="9">
        <f>IFERROR(VLOOKUP($D757,FIYAT!$B:$O,5,FALSE()),"")</f>
        <v>5334</v>
      </c>
      <c r="G757" s="9">
        <f>IFERROR(VLOOKUP($D757,FIYAT!$B:$O,8,FALSE()),"")</f>
        <v>3200.4</v>
      </c>
      <c r="H757" s="9">
        <f t="shared" si="92"/>
        <v>6400.8</v>
      </c>
      <c r="I757" s="6">
        <v>2</v>
      </c>
      <c r="J757" s="9" t="str">
        <f>IFERROR(VLOOKUP($D757,FIYAT!$B:$O,9,FALSE()),"")</f>
        <v>Шт.</v>
      </c>
      <c r="K757" s="9" t="str">
        <f>IFERROR(VLOOKUP($D757,FIYAT!$B:$O,4,FALSE()),"")</f>
        <v>CHINT</v>
      </c>
      <c r="L757" s="9">
        <f t="shared" si="93"/>
        <v>6400.8</v>
      </c>
      <c r="M757" s="9"/>
      <c r="N757" s="9"/>
      <c r="O757" s="9"/>
      <c r="P757" s="9" t="str">
        <f>IF($H757="","FIYAT_YOK",IFERROR(VLOOKUP($D757,FIYAT!$B:$P,15,FALSE()),""))</f>
        <v>OK</v>
      </c>
      <c r="Q757" s="9" t="s">
        <v>193</v>
      </c>
      <c r="R757" s="9" t="s">
        <v>171</v>
      </c>
      <c r="S757" s="9" t="s">
        <v>637</v>
      </c>
      <c r="T757" s="9" t="s">
        <v>51</v>
      </c>
      <c r="U757" s="9">
        <f>IFERROR(VLOOKUP($T757,KURALLAR!$A$32:$B$63,2,FALSE()),0)*IF(ISNUMBER($I757),$I757,0)</f>
        <v>16</v>
      </c>
    </row>
    <row r="758" spans="1:21" x14ac:dyDescent="0.25">
      <c r="A758" s="5">
        <v>757</v>
      </c>
      <c r="B758" s="5"/>
      <c r="C758" s="5" t="s">
        <v>192</v>
      </c>
      <c r="D758" s="5" t="s">
        <v>194</v>
      </c>
      <c r="E758" s="5" t="str">
        <f>IFERROR(VLOOKUP($D758,FIYAT!$B:$O,2,FALSE()),"")</f>
        <v>Авт. выкл. NXB-63 1P 16A 6кА х-ка C (R)</v>
      </c>
      <c r="F758" s="5">
        <f>IFERROR(VLOOKUP($D758,FIYAT!$B:$O,5,FALSE()),"")</f>
        <v>1389</v>
      </c>
      <c r="G758" s="5">
        <f>IFERROR(VLOOKUP($D758,FIYAT!$B:$O,8,FALSE()),"")</f>
        <v>833.4</v>
      </c>
      <c r="H758" s="5">
        <f t="shared" si="92"/>
        <v>13334.4</v>
      </c>
      <c r="I758" s="6">
        <v>16</v>
      </c>
      <c r="J758" s="5" t="str">
        <f>IFERROR(VLOOKUP($D758,FIYAT!$B:$O,9,FALSE()),"")</f>
        <v>Шт.</v>
      </c>
      <c r="K758" s="5" t="str">
        <f>IFERROR(VLOOKUP($D758,FIYAT!$B:$O,4,FALSE()),"")</f>
        <v>CHINT</v>
      </c>
      <c r="L758" s="5">
        <f t="shared" si="93"/>
        <v>13334.4</v>
      </c>
      <c r="M758" s="5"/>
      <c r="N758" s="5"/>
      <c r="O758" s="5"/>
      <c r="P758" s="5" t="str">
        <f>IF($H758="","FIYAT_YOK",IFERROR(VLOOKUP($D758,FIYAT!$B:$P,15,FALSE()),""))</f>
        <v>OK</v>
      </c>
      <c r="Q758" s="5" t="s">
        <v>196</v>
      </c>
      <c r="R758" s="5" t="s">
        <v>171</v>
      </c>
      <c r="S758" s="5" t="s">
        <v>637</v>
      </c>
      <c r="T758" s="5" t="s">
        <v>47</v>
      </c>
      <c r="U758" s="5">
        <f>IFERROR(VLOOKUP($T758,KURALLAR!$A$32:$B$63,2,FALSE()),0)*IF(ISNUMBER($I758),$I758,0)</f>
        <v>48</v>
      </c>
    </row>
    <row r="759" spans="1:21" x14ac:dyDescent="0.25">
      <c r="A759" s="9">
        <v>758</v>
      </c>
      <c r="B759" s="9"/>
      <c r="C759" s="9" t="s">
        <v>176</v>
      </c>
      <c r="D759" s="9" t="s">
        <v>197</v>
      </c>
      <c r="E759" s="9" t="str">
        <f>IFERROR(VLOOKUP($D759,FIYAT!$B:$O,2,FALSE()),"")</f>
        <v>УЗО NL1-63 6kA 4P 25A 30mA тип AC (R)</v>
      </c>
      <c r="F759" s="9">
        <f>IFERROR(VLOOKUP($D759,FIYAT!$B:$O,5,FALSE()),"")</f>
        <v>18338</v>
      </c>
      <c r="G759" s="9">
        <f>IFERROR(VLOOKUP($D759,FIYAT!$B:$O,8,FALSE()),"")</f>
        <v>11002.8</v>
      </c>
      <c r="H759" s="9">
        <f t="shared" si="92"/>
        <v>11002.8</v>
      </c>
      <c r="I759" s="6">
        <v>1</v>
      </c>
      <c r="J759" s="9" t="str">
        <f>IFERROR(VLOOKUP($D759,FIYAT!$B:$O,9,FALSE()),"")</f>
        <v>Шт.</v>
      </c>
      <c r="K759" s="9" t="str">
        <f>IFERROR(VLOOKUP($D759,FIYAT!$B:$O,4,FALSE()),"")</f>
        <v>CHINT</v>
      </c>
      <c r="L759" s="9">
        <f t="shared" si="93"/>
        <v>11002.8</v>
      </c>
      <c r="M759" s="9"/>
      <c r="N759" s="9"/>
      <c r="O759" s="9"/>
      <c r="P759" s="9" t="str">
        <f>IF($H759="","FIYAT_YOK",IFERROR(VLOOKUP($D759,FIYAT!$B:$P,15,FALSE()),""))</f>
        <v>OK</v>
      </c>
      <c r="Q759" s="9" t="s">
        <v>199</v>
      </c>
      <c r="R759" s="9" t="s">
        <v>171</v>
      </c>
      <c r="S759" s="9" t="s">
        <v>637</v>
      </c>
      <c r="T759" s="9" t="s">
        <v>57</v>
      </c>
      <c r="U759" s="9">
        <f>IFERROR(VLOOKUP($T759,KURALLAR!$A$32:$B$63,2,FALSE()),0)*IF(ISNUMBER($I759),$I759,0)</f>
        <v>10</v>
      </c>
    </row>
    <row r="760" spans="1:21" x14ac:dyDescent="0.25">
      <c r="A760" s="5">
        <v>759</v>
      </c>
      <c r="B760" s="5"/>
      <c r="C760" s="5" t="s">
        <v>176</v>
      </c>
      <c r="D760" s="5" t="s">
        <v>200</v>
      </c>
      <c r="E760" s="5" t="str">
        <f>IFERROR(VLOOKUP($D760,FIYAT!$B:$O,2,FALSE()),"")</f>
        <v>УЗО NL1-63 6kA 2P 16A 30mA тип AC (R)</v>
      </c>
      <c r="F760" s="5">
        <f>IFERROR(VLOOKUP($D760,FIYAT!$B:$O,5,FALSE()),"")</f>
        <v>10809</v>
      </c>
      <c r="G760" s="5">
        <f>IFERROR(VLOOKUP($D760,FIYAT!$B:$O,8,FALSE()),"")</f>
        <v>6485.4</v>
      </c>
      <c r="H760" s="5">
        <f t="shared" si="92"/>
        <v>6485.4</v>
      </c>
      <c r="I760" s="6">
        <v>1</v>
      </c>
      <c r="J760" s="5" t="str">
        <f>IFERROR(VLOOKUP($D760,FIYAT!$B:$O,9,FALSE()),"")</f>
        <v>Шт.</v>
      </c>
      <c r="K760" s="5" t="str">
        <f>IFERROR(VLOOKUP($D760,FIYAT!$B:$O,4,FALSE()),"")</f>
        <v>CHINT</v>
      </c>
      <c r="L760" s="5">
        <f t="shared" si="93"/>
        <v>6485.4</v>
      </c>
      <c r="M760" s="5"/>
      <c r="N760" s="5"/>
      <c r="O760" s="5"/>
      <c r="P760" s="5" t="str">
        <f>IF($H760="","FIYAT_YOK",IFERROR(VLOOKUP($D760,FIYAT!$B:$P,15,FALSE()),""))</f>
        <v>OK</v>
      </c>
      <c r="Q760" s="5" t="s">
        <v>202</v>
      </c>
      <c r="R760" s="5" t="s">
        <v>171</v>
      </c>
      <c r="S760" s="5" t="s">
        <v>637</v>
      </c>
      <c r="T760" s="5" t="s">
        <v>55</v>
      </c>
      <c r="U760" s="5">
        <f>IFERROR(VLOOKUP($T760,KURALLAR!$A$32:$B$63,2,FALSE()),0)*IF(ISNUMBER($I760),$I760,0)</f>
        <v>6</v>
      </c>
    </row>
    <row r="761" spans="1:21" x14ac:dyDescent="0.25">
      <c r="A761" s="9">
        <v>760</v>
      </c>
      <c r="B761" s="9"/>
      <c r="C761" s="9" t="s">
        <v>192</v>
      </c>
      <c r="D761" s="9" t="s">
        <v>203</v>
      </c>
      <c r="E761" s="9" t="str">
        <f>IFERROR(VLOOKUP($D761,FIYAT!$B:$O,2,FALSE()),"")</f>
        <v>Авт. выкл. NXB-63 1P 20A 6кА х-ка C (R)</v>
      </c>
      <c r="F761" s="9">
        <f>IFERROR(VLOOKUP($D761,FIYAT!$B:$O,5,FALSE()),"")</f>
        <v>1434</v>
      </c>
      <c r="G761" s="9">
        <f>IFERROR(VLOOKUP($D761,FIYAT!$B:$O,8,FALSE()),"")</f>
        <v>860.4</v>
      </c>
      <c r="H761" s="9">
        <f t="shared" si="92"/>
        <v>860.4</v>
      </c>
      <c r="I761" s="6">
        <v>1</v>
      </c>
      <c r="J761" s="9" t="str">
        <f>IFERROR(VLOOKUP($D761,FIYAT!$B:$O,9,FALSE()),"")</f>
        <v>Шт.</v>
      </c>
      <c r="K761" s="9" t="str">
        <f>IFERROR(VLOOKUP($D761,FIYAT!$B:$O,4,FALSE()),"")</f>
        <v>CHINT</v>
      </c>
      <c r="L761" s="9">
        <f t="shared" si="93"/>
        <v>860.4</v>
      </c>
      <c r="M761" s="9"/>
      <c r="N761" s="9"/>
      <c r="O761" s="9"/>
      <c r="P761" s="9" t="str">
        <f>IF($H761="","FIYAT_YOK",IFERROR(VLOOKUP($D761,FIYAT!$B:$P,15,FALSE()),""))</f>
        <v>OK</v>
      </c>
      <c r="Q761" s="9" t="s">
        <v>205</v>
      </c>
      <c r="R761" s="9" t="s">
        <v>171</v>
      </c>
      <c r="S761" s="9" t="s">
        <v>637</v>
      </c>
      <c r="T761" s="9" t="s">
        <v>47</v>
      </c>
      <c r="U761" s="9">
        <f>IFERROR(VLOOKUP($T761,KURALLAR!$A$32:$B$63,2,FALSE()),0)*IF(ISNUMBER($I761),$I761,0)</f>
        <v>3</v>
      </c>
    </row>
    <row r="762" spans="1:21" x14ac:dyDescent="0.25">
      <c r="A762" s="5">
        <v>761</v>
      </c>
      <c r="B762" s="5"/>
      <c r="C762" s="5" t="s">
        <v>192</v>
      </c>
      <c r="D762" s="5" t="s">
        <v>206</v>
      </c>
      <c r="E762" s="5" t="str">
        <f>IFERROR(VLOOKUP($D762,FIYAT!$B:$O,2,FALSE()),"")</f>
        <v>Авт. выкл. NXB-63 1P 10A 6кА х-ка C (R)</v>
      </c>
      <c r="F762" s="5">
        <f>IFERROR(VLOOKUP($D762,FIYAT!$B:$O,5,FALSE()),"")</f>
        <v>1362</v>
      </c>
      <c r="G762" s="5">
        <f>IFERROR(VLOOKUP($D762,FIYAT!$B:$O,8,FALSE()),"")</f>
        <v>817.19999999999993</v>
      </c>
      <c r="H762" s="5">
        <f t="shared" si="92"/>
        <v>3268.7999999999997</v>
      </c>
      <c r="I762" s="6">
        <v>4</v>
      </c>
      <c r="J762" s="5" t="str">
        <f>IFERROR(VLOOKUP($D762,FIYAT!$B:$O,9,FALSE()),"")</f>
        <v>Шт.</v>
      </c>
      <c r="K762" s="5" t="str">
        <f>IFERROR(VLOOKUP($D762,FIYAT!$B:$O,4,FALSE()),"")</f>
        <v>CHINT</v>
      </c>
      <c r="L762" s="5">
        <f t="shared" si="93"/>
        <v>3268.7999999999997</v>
      </c>
      <c r="M762" s="5"/>
      <c r="N762" s="5"/>
      <c r="O762" s="5"/>
      <c r="P762" s="5" t="str">
        <f>IF($H762="","FIYAT_YOK",IFERROR(VLOOKUP($D762,FIYAT!$B:$P,15,FALSE()),""))</f>
        <v>OK</v>
      </c>
      <c r="Q762" s="5" t="s">
        <v>208</v>
      </c>
      <c r="R762" s="5" t="s">
        <v>184</v>
      </c>
      <c r="S762" s="5" t="s">
        <v>637</v>
      </c>
      <c r="T762" s="5" t="s">
        <v>47</v>
      </c>
      <c r="U762" s="5">
        <f>IFERROR(VLOOKUP($T762,KURALLAR!$A$32:$B$63,2,FALSE()),0)*IF(ISNUMBER($I762),$I762,0)</f>
        <v>12</v>
      </c>
    </row>
    <row r="763" spans="1:21" x14ac:dyDescent="0.25">
      <c r="A763" s="9">
        <v>762</v>
      </c>
      <c r="B763" s="9"/>
      <c r="C763" s="9" t="s">
        <v>93</v>
      </c>
      <c r="D763" s="9" t="s">
        <v>209</v>
      </c>
      <c r="E763" s="9" t="str">
        <f>IFERROR(VLOOKUP($D763,FIYAT!$B:$O,2,FALSE()),"")</f>
        <v>Шина "N" нулевая 6х9мм на DIN-рейку в корпусном изоляторе ШНИ 12К IEK (10)</v>
      </c>
      <c r="F763" s="9">
        <f>IFERROR(VLOOKUP($D763,FIYAT!$B:$O,5,FALSE()),"")</f>
        <v>755</v>
      </c>
      <c r="G763" s="9">
        <f>IFERROR(VLOOKUP($D763,FIYAT!$B:$O,8,FALSE()),"")</f>
        <v>453</v>
      </c>
      <c r="H763" s="9">
        <f t="shared" si="92"/>
        <v>1812</v>
      </c>
      <c r="I763" s="6">
        <v>4</v>
      </c>
      <c r="J763" s="9" t="str">
        <f>IFERROR(VLOOKUP($D763,FIYAT!$B:$O,9,FALSE()),"")</f>
        <v>Шт.</v>
      </c>
      <c r="K763" s="9" t="str">
        <f>IFERROR(VLOOKUP($D763,FIYAT!$B:$O,4,FALSE()),"")</f>
        <v>KAZTEK</v>
      </c>
      <c r="L763" s="9">
        <f t="shared" si="93"/>
        <v>1812</v>
      </c>
      <c r="M763" s="9"/>
      <c r="N763" s="9"/>
      <c r="O763" s="9"/>
      <c r="P763" s="9" t="str">
        <f>IF($H763="","FIYAT_YOK",IFERROR(VLOOKUP($D763,FIYAT!$B:$P,15,FALSE()),""))</f>
        <v>MUADIL</v>
      </c>
      <c r="Q763" s="9" t="s">
        <v>212</v>
      </c>
      <c r="R763" s="9" t="s">
        <v>211</v>
      </c>
      <c r="S763" s="9" t="s">
        <v>637</v>
      </c>
      <c r="T763" s="9" t="s">
        <v>93</v>
      </c>
      <c r="U763" s="9">
        <f>IFERROR(VLOOKUP($T763,KURALLAR!$A$32:$B$63,2,FALSE()),0)*IF(ISNUMBER($I763),$I763,0)</f>
        <v>32</v>
      </c>
    </row>
    <row r="764" spans="1:21" x14ac:dyDescent="0.25">
      <c r="A764" s="5">
        <v>763</v>
      </c>
      <c r="B764" s="5"/>
      <c r="C764" s="5" t="s">
        <v>222</v>
      </c>
      <c r="D764" s="5" t="s">
        <v>220</v>
      </c>
      <c r="E764" s="5" t="str">
        <f>IFERROR(VLOOKUP($D764,FIYAT!$B:$O,2,FALSE()),"")</f>
        <v>ЩМП (инд.) IP31 (650х500х150мм)</v>
      </c>
      <c r="F764" s="5">
        <f>IFERROR(VLOOKUP($D764,FIYAT!$B:$O,5,FALSE()),"")</f>
        <v>27825</v>
      </c>
      <c r="G764" s="5">
        <f>IFERROR(VLOOKUP($D764,FIYAT!$B:$O,8,FALSE()),"")</f>
        <v>16695</v>
      </c>
      <c r="H764" s="5">
        <f t="shared" si="92"/>
        <v>16695</v>
      </c>
      <c r="I764" s="6">
        <v>1</v>
      </c>
      <c r="J764" s="5" t="str">
        <f>IFERROR(VLOOKUP($D764,FIYAT!$B:$O,9,FALSE()),"")</f>
        <v>Шт.</v>
      </c>
      <c r="K764" s="5" t="str">
        <f>IFERROR(VLOOKUP($D764,FIYAT!$B:$O,4,FALSE()),"")</f>
        <v>KAZTEK</v>
      </c>
      <c r="L764" s="5">
        <f t="shared" si="93"/>
        <v>16695</v>
      </c>
      <c r="M764" s="5"/>
      <c r="N764" s="5"/>
      <c r="O764" s="5"/>
      <c r="P764" s="5" t="str">
        <f>IF($H764="","FIYAT_YOK",IFERROR(VLOOKUP($D764,FIYAT!$B:$P,15,FALSE()),""))</f>
        <v>VARSAYIM</v>
      </c>
      <c r="Q764" s="5" t="s">
        <v>223</v>
      </c>
      <c r="R764" s="5" t="s">
        <v>211</v>
      </c>
      <c r="S764" s="5" t="s">
        <v>637</v>
      </c>
      <c r="T764" s="5" t="s">
        <v>105</v>
      </c>
      <c r="U764" s="5">
        <f>IFERROR(VLOOKUP($T764,KURALLAR!$A$32:$B$63,2,FALSE()),0)*IF(ISNUMBER($I764),$I764,0)</f>
        <v>30</v>
      </c>
    </row>
    <row r="765" spans="1:21" x14ac:dyDescent="0.25">
      <c r="A765" s="9">
        <v>764</v>
      </c>
      <c r="B765" s="9"/>
      <c r="C765" s="9" t="s">
        <v>215</v>
      </c>
      <c r="D765" s="9" t="s">
        <v>213</v>
      </c>
      <c r="E765" s="9" t="str">
        <f>IFERROR(VLOOKUP($D765,FIYAT!$B:$O,2,FALSE()),"")</f>
        <v>Монтажный расходный материал (кабель, DIN-рейка, кабель-канал, клеммы, маркировка, крепёж)</v>
      </c>
      <c r="F765" s="9">
        <f>IFERROR(VLOOKUP($D765,FIYAT!$B:$O,5,FALSE()),"")</f>
        <v>0</v>
      </c>
      <c r="G765" s="9" t="str">
        <f>IFERROR(VLOOKUP($D765,FIYAT!$B:$O,8,FALSE()),"")</f>
        <v/>
      </c>
      <c r="H765" s="9">
        <f>ROUND(SUM($H$750:$H$764)*KURALLAR!$B$28,0)</f>
        <v>12769</v>
      </c>
      <c r="I765" s="6">
        <v>1</v>
      </c>
      <c r="J765" s="9" t="str">
        <f>IFERROR(VLOOKUP($D765,FIYAT!$B:$O,9,FALSE()),"")</f>
        <v>компл.</v>
      </c>
      <c r="K765" s="9" t="str">
        <f>IFERROR(VLOOKUP($D765,FIYAT!$B:$O,4,FALSE()),"")</f>
        <v>MUADIL-NET</v>
      </c>
      <c r="L765" s="9">
        <f t="shared" si="93"/>
        <v>12769</v>
      </c>
      <c r="M765" s="9"/>
      <c r="N765" s="9"/>
      <c r="O765" s="9"/>
      <c r="P765" s="9" t="str">
        <f>IF($H765="","FIYAT_YOK",IFERROR(VLOOKUP($D765,FIYAT!$B:$P,15,FALSE()),""))</f>
        <v>ORAN</v>
      </c>
      <c r="Q765" s="9" t="s">
        <v>218</v>
      </c>
      <c r="R765" s="9" t="s">
        <v>217</v>
      </c>
      <c r="S765" s="9" t="s">
        <v>637</v>
      </c>
      <c r="T765" s="9"/>
      <c r="U765" s="9">
        <v>0</v>
      </c>
    </row>
    <row r="766" spans="1:21" x14ac:dyDescent="0.25">
      <c r="A766" s="5">
        <v>765</v>
      </c>
      <c r="B766" s="5"/>
      <c r="C766" s="5" t="s">
        <v>227</v>
      </c>
      <c r="D766" s="5" t="s">
        <v>225</v>
      </c>
      <c r="E766" s="5" t="str">
        <f>IFERROR(VLOOKUP($D766,FIYAT!$B:$O,2,FALSE()),"")</f>
        <v>Сборка, кабелирование, маркировка, момент затяжки, испытания</v>
      </c>
      <c r="F766" s="5">
        <f>IFERROR(VLOOKUP($D766,FIYAT!$B:$O,5,FALSE()),"")</f>
        <v>100</v>
      </c>
      <c r="G766" s="5">
        <f>IFERROR(VLOOKUP($D766,FIYAT!$B:$O,8,FALSE()),"")</f>
        <v>100</v>
      </c>
      <c r="H766" s="5">
        <f>IF(OR($G766="",$I766=""),"",$G766*$I766)</f>
        <v>29700</v>
      </c>
      <c r="I766" s="6">
        <f>ROUND(SUM($U$750:$U$765)*KURALLAR!$B$27,0)</f>
        <v>297</v>
      </c>
      <c r="J766" s="5" t="str">
        <f>IFERROR(VLOOKUP($D766,FIYAT!$B:$O,9,FALSE()),"")</f>
        <v>мин</v>
      </c>
      <c r="K766" s="5" t="str">
        <f>IFERROR(VLOOKUP($D766,FIYAT!$B:$O,4,FALSE()),"")</f>
        <v>ISCILIK</v>
      </c>
      <c r="L766" s="5">
        <f t="shared" si="93"/>
        <v>29700</v>
      </c>
      <c r="M766" s="5"/>
      <c r="N766" s="5"/>
      <c r="O766" s="5"/>
      <c r="P766" s="5" t="str">
        <f>IF($H766="","FIYAT_YOK",IFERROR(VLOOKUP($D766,FIYAT!$B:$P,15,FALSE()),""))</f>
        <v>OK</v>
      </c>
      <c r="Q766" s="5" t="str">
        <f>CONCATENATE("montaj+test iscilik: ",TEXT($I766,"# ##0")," dk = ",TEXT($I766/60,"0,00")," saat (norm x test/etiket carpani)")</f>
        <v>montaj+test iscilik:  297 dk = 4,95 saat (norm x test/etiket carpani)</v>
      </c>
      <c r="R766" s="5" t="s">
        <v>229</v>
      </c>
      <c r="S766" s="5" t="s">
        <v>637</v>
      </c>
      <c r="T766" s="5"/>
      <c r="U766" s="5">
        <v>0</v>
      </c>
    </row>
    <row r="767" spans="1:21" x14ac:dyDescent="0.25">
      <c r="A767" s="10">
        <v>766</v>
      </c>
      <c r="B767" s="10" t="s">
        <v>644</v>
      </c>
      <c r="C767" s="10"/>
      <c r="D767" s="10"/>
      <c r="E767" s="10"/>
      <c r="F767" s="10"/>
      <c r="G767" s="10"/>
      <c r="H767" s="10">
        <f>SUBTOTAL(9,H750:H766)</f>
        <v>224887.59999999998</v>
      </c>
      <c r="I767" s="10"/>
      <c r="J767" s="10"/>
      <c r="K767" s="10"/>
      <c r="L767" s="10">
        <f>SUBTOTAL(9,L750:L766)</f>
        <v>224887.59999999998</v>
      </c>
      <c r="M767" s="10"/>
      <c r="N767" s="10"/>
      <c r="O767" s="10"/>
      <c r="P767" s="10"/>
      <c r="Q767" s="10"/>
      <c r="R767" s="10"/>
      <c r="S767" s="10"/>
      <c r="T767" s="10"/>
      <c r="U767" s="10">
        <f>SUBTOTAL(9,U750:U766)</f>
        <v>258</v>
      </c>
    </row>
    <row r="768" spans="1:21" x14ac:dyDescent="0.25">
      <c r="A768" s="8">
        <v>767</v>
      </c>
      <c r="B768" s="8" t="str">
        <f>E768</f>
        <v>BLOK B / ЩЭ-F22.1 — НКУ 380/220В 50Гц, FORM 2B, IP31/54</v>
      </c>
      <c r="C768" s="8" t="s">
        <v>545</v>
      </c>
      <c r="D768" s="8"/>
      <c r="E768" s="8" t="s">
        <v>645</v>
      </c>
      <c r="F768" s="8"/>
      <c r="G768" s="8"/>
      <c r="H768" s="8"/>
      <c r="I768" s="8">
        <v>1</v>
      </c>
      <c r="J768" s="8" t="s">
        <v>547</v>
      </c>
      <c r="K768" s="8"/>
      <c r="L768" s="8"/>
      <c r="M768" s="8"/>
      <c r="N768" s="8"/>
      <c r="O768" s="8"/>
      <c r="P768" s="8" t="s">
        <v>178</v>
      </c>
      <c r="Q768" s="8" t="s">
        <v>548</v>
      </c>
      <c r="R768" s="8" t="s">
        <v>549</v>
      </c>
      <c r="S768" s="8" t="s">
        <v>637</v>
      </c>
      <c r="T768" s="8"/>
      <c r="U768" s="8"/>
    </row>
    <row r="769" spans="1:21" x14ac:dyDescent="0.25">
      <c r="A769" s="9">
        <v>768</v>
      </c>
      <c r="B769" s="9"/>
      <c r="C769" s="9" t="s">
        <v>169</v>
      </c>
      <c r="D769" s="9" t="s">
        <v>259</v>
      </c>
      <c r="E769" s="9" t="str">
        <f>IFERROR(VLOOKUP($D769,FIYAT!$B:$O,2,FALSE()),"")</f>
        <v>Авт. выкл. NM8N-125C TM 3P 50А 36кА с рег. термомаг. расцепителем (R)</v>
      </c>
      <c r="F769" s="9">
        <f>IFERROR(VLOOKUP($D769,FIYAT!$B:$O,5,FALSE()),"")</f>
        <v>68025</v>
      </c>
      <c r="G769" s="9">
        <f>IFERROR(VLOOKUP($D769,FIYAT!$B:$O,8,FALSE()),"")</f>
        <v>40815</v>
      </c>
      <c r="H769" s="9">
        <f t="shared" ref="H769:H779" si="94">IF(OR($G769="",$I769=""),"",$G769*$I769)</f>
        <v>40815</v>
      </c>
      <c r="I769" s="6">
        <v>1</v>
      </c>
      <c r="J769" s="9" t="str">
        <f>IFERROR(VLOOKUP($D769,FIYAT!$B:$O,9,FALSE()),"")</f>
        <v>Шт.</v>
      </c>
      <c r="K769" s="9" t="str">
        <f>IFERROR(VLOOKUP($D769,FIYAT!$B:$O,4,FALSE()),"")</f>
        <v>CHINT</v>
      </c>
      <c r="L769" s="9">
        <f t="shared" ref="L769:L781" si="95">IF($H769="","",$H769)</f>
        <v>40815</v>
      </c>
      <c r="M769" s="9"/>
      <c r="N769" s="9"/>
      <c r="O769" s="9"/>
      <c r="P769" s="9" t="str">
        <f>IF($H769="","FIYAT_YOK",IFERROR(VLOOKUP($D769,FIYAT!$B:$P,15,FALSE()),""))</f>
        <v>MUADIL</v>
      </c>
      <c r="Q769" s="9" t="s">
        <v>172</v>
      </c>
      <c r="R769" s="9" t="s">
        <v>171</v>
      </c>
      <c r="S769" s="9" t="s">
        <v>637</v>
      </c>
      <c r="T769" s="9" t="s">
        <v>61</v>
      </c>
      <c r="U769" s="9">
        <f>IFERROR(VLOOKUP($T769,KURALLAR!$A$32:$B$63,2,FALSE()),0)*IF(ISNUMBER($I769),$I769,0)</f>
        <v>15</v>
      </c>
    </row>
    <row r="770" spans="1:21" x14ac:dyDescent="0.25">
      <c r="A770" s="5">
        <v>769</v>
      </c>
      <c r="B770" s="5"/>
      <c r="C770" s="5" t="s">
        <v>176</v>
      </c>
      <c r="D770" s="5" t="s">
        <v>174</v>
      </c>
      <c r="E770" s="5" t="str">
        <f>IFERROR(VLOOKUP($D770,FIYAT!$B:$O,2,FALSE()),"")</f>
        <v>УЗО NL1-63 6kA 4P 63A 300mA тип AC (R)</v>
      </c>
      <c r="F770" s="5">
        <f>IFERROR(VLOOKUP($D770,FIYAT!$B:$O,5,FALSE()),"")</f>
        <v>18106</v>
      </c>
      <c r="G770" s="5">
        <f>IFERROR(VLOOKUP($D770,FIYAT!$B:$O,8,FALSE()),"")</f>
        <v>10863.6</v>
      </c>
      <c r="H770" s="5">
        <f t="shared" si="94"/>
        <v>10863.6</v>
      </c>
      <c r="I770" s="6">
        <v>1</v>
      </c>
      <c r="J770" s="5" t="str">
        <f>IFERROR(VLOOKUP($D770,FIYAT!$B:$O,9,FALSE()),"")</f>
        <v>Шт.</v>
      </c>
      <c r="K770" s="5" t="str">
        <f>IFERROR(VLOOKUP($D770,FIYAT!$B:$O,4,FALSE()),"")</f>
        <v>CHINT</v>
      </c>
      <c r="L770" s="5">
        <f t="shared" si="95"/>
        <v>10863.6</v>
      </c>
      <c r="M770" s="5"/>
      <c r="N770" s="5"/>
      <c r="O770" s="5"/>
      <c r="P770" s="5" t="str">
        <f>IF($H770="","FIYAT_YOK",IFERROR(VLOOKUP($D770,FIYAT!$B:$P,15,FALSE()),""))</f>
        <v>OK</v>
      </c>
      <c r="Q770" s="5" t="s">
        <v>177</v>
      </c>
      <c r="R770" s="5" t="s">
        <v>171</v>
      </c>
      <c r="S770" s="5" t="s">
        <v>637</v>
      </c>
      <c r="T770" s="5" t="s">
        <v>57</v>
      </c>
      <c r="U770" s="5">
        <f>IFERROR(VLOOKUP($T770,KURALLAR!$A$32:$B$63,2,FALSE()),0)*IF(ISNUMBER($I770),$I770,0)</f>
        <v>10</v>
      </c>
    </row>
    <row r="771" spans="1:21" x14ac:dyDescent="0.25">
      <c r="A771" s="9">
        <v>770</v>
      </c>
      <c r="B771" s="9"/>
      <c r="C771" s="9" t="s">
        <v>79</v>
      </c>
      <c r="D771" s="9" t="s">
        <v>179</v>
      </c>
      <c r="E771" s="9" t="str">
        <f>IFERROR(VLOOKUP($D771,FIYAT!$B:$O,2,FALSE()),"")</f>
        <v>Держатель плавкой вставки RT36-00-160, габарит 00, 160А</v>
      </c>
      <c r="F771" s="9">
        <f>IFERROR(VLOOKUP($D771,FIYAT!$B:$O,5,FALSE()),"")</f>
        <v>2038</v>
      </c>
      <c r="G771" s="9">
        <f>IFERROR(VLOOKUP($D771,FIYAT!$B:$O,8,FALSE()),"")</f>
        <v>1222.8</v>
      </c>
      <c r="H771" s="9">
        <f t="shared" si="94"/>
        <v>4891.2</v>
      </c>
      <c r="I771" s="6">
        <v>4</v>
      </c>
      <c r="J771" s="9" t="str">
        <f>IFERROR(VLOOKUP($D771,FIYAT!$B:$O,9,FALSE()),"")</f>
        <v>Шт.</v>
      </c>
      <c r="K771" s="9" t="str">
        <f>IFERROR(VLOOKUP($D771,FIYAT!$B:$O,4,FALSE()),"")</f>
        <v>CHINT</v>
      </c>
      <c r="L771" s="9">
        <f t="shared" si="95"/>
        <v>4891.2</v>
      </c>
      <c r="M771" s="9"/>
      <c r="N771" s="9"/>
      <c r="O771" s="9"/>
      <c r="P771" s="9" t="str">
        <f>IF($H771="","FIYAT_YOK",IFERROR(VLOOKUP($D771,FIYAT!$B:$P,15,FALSE()),""))</f>
        <v>MUADIL</v>
      </c>
      <c r="Q771" s="9" t="s">
        <v>181</v>
      </c>
      <c r="R771" s="9" t="s">
        <v>171</v>
      </c>
      <c r="S771" s="9" t="s">
        <v>637</v>
      </c>
      <c r="T771" s="9" t="s">
        <v>77</v>
      </c>
      <c r="U771" s="9">
        <f>IFERROR(VLOOKUP($T771,KURALLAR!$A$32:$B$63,2,FALSE()),0)*IF(ISNUMBER($I771),$I771,0)</f>
        <v>20</v>
      </c>
    </row>
    <row r="772" spans="1:21" x14ac:dyDescent="0.25">
      <c r="A772" s="5">
        <v>771</v>
      </c>
      <c r="B772" s="5"/>
      <c r="C772" s="5" t="s">
        <v>79</v>
      </c>
      <c r="D772" s="5" t="s">
        <v>182</v>
      </c>
      <c r="E772" s="5" t="str">
        <f>IFERROR(VLOOKUP($D772,FIYAT!$B:$O,2,FALSE()),"")</f>
        <v>Плавкая вставка предохранителя RT36-00-160, габарит 00, 63А</v>
      </c>
      <c r="F772" s="5">
        <f>IFERROR(VLOOKUP($D772,FIYAT!$B:$O,5,FALSE()),"")</f>
        <v>1525</v>
      </c>
      <c r="G772" s="5">
        <f>IFERROR(VLOOKUP($D772,FIYAT!$B:$O,8,FALSE()),"")</f>
        <v>915</v>
      </c>
      <c r="H772" s="5">
        <f t="shared" si="94"/>
        <v>3660</v>
      </c>
      <c r="I772" s="6">
        <v>4</v>
      </c>
      <c r="J772" s="5" t="str">
        <f>IFERROR(VLOOKUP($D772,FIYAT!$B:$O,9,FALSE()),"")</f>
        <v>Шт.</v>
      </c>
      <c r="K772" s="5" t="str">
        <f>IFERROR(VLOOKUP($D772,FIYAT!$B:$O,4,FALSE()),"")</f>
        <v>CHINT</v>
      </c>
      <c r="L772" s="5">
        <f t="shared" si="95"/>
        <v>3660</v>
      </c>
      <c r="M772" s="5"/>
      <c r="N772" s="5"/>
      <c r="O772" s="5"/>
      <c r="P772" s="5" t="str">
        <f>IF($H772="","FIYAT_YOK",IFERROR(VLOOKUP($D772,FIYAT!$B:$P,15,FALSE()),""))</f>
        <v>MUADIL</v>
      </c>
      <c r="Q772" s="5" t="s">
        <v>185</v>
      </c>
      <c r="R772" s="5" t="s">
        <v>184</v>
      </c>
      <c r="S772" s="5" t="s">
        <v>637</v>
      </c>
      <c r="T772" s="5" t="s">
        <v>79</v>
      </c>
      <c r="U772" s="5">
        <f>IFERROR(VLOOKUP($T772,KURALLAR!$A$32:$B$63,2,FALSE()),0)*IF(ISNUMBER($I772),$I772,0)</f>
        <v>12</v>
      </c>
    </row>
    <row r="773" spans="1:21" x14ac:dyDescent="0.25">
      <c r="A773" s="9">
        <v>772</v>
      </c>
      <c r="B773" s="9"/>
      <c r="C773" s="9" t="s">
        <v>75</v>
      </c>
      <c r="D773" s="9" t="s">
        <v>186</v>
      </c>
      <c r="E773" s="9" t="str">
        <f>IFERROR(VLOOKUP($D773,FIYAT!$B:$O,2,FALSE()),"")</f>
        <v>Ограничитель имп. перенапр. NU6-IIG 4Р In=25kA Uc=440B Im=65kA (R)</v>
      </c>
      <c r="F773" s="9">
        <f>IFERROR(VLOOKUP($D773,FIYAT!$B:$O,5,FALSE()),"")</f>
        <v>33208</v>
      </c>
      <c r="G773" s="9">
        <f>IFERROR(VLOOKUP($D773,FIYAT!$B:$O,8,FALSE()),"")</f>
        <v>19924.8</v>
      </c>
      <c r="H773" s="9">
        <f t="shared" si="94"/>
        <v>19924.8</v>
      </c>
      <c r="I773" s="6">
        <v>1</v>
      </c>
      <c r="J773" s="9" t="str">
        <f>IFERROR(VLOOKUP($D773,FIYAT!$B:$O,9,FALSE()),"")</f>
        <v>Шт.</v>
      </c>
      <c r="K773" s="9" t="str">
        <f>IFERROR(VLOOKUP($D773,FIYAT!$B:$O,4,FALSE()),"")</f>
        <v>CHINT</v>
      </c>
      <c r="L773" s="9">
        <f t="shared" si="95"/>
        <v>19924.8</v>
      </c>
      <c r="M773" s="9"/>
      <c r="N773" s="9"/>
      <c r="O773" s="9"/>
      <c r="P773" s="9" t="str">
        <f>IF($H773="","FIYAT_YOK",IFERROR(VLOOKUP($D773,FIYAT!$B:$P,15,FALSE()),""))</f>
        <v>MUADIL_ONAY</v>
      </c>
      <c r="Q773" s="9" t="s">
        <v>188</v>
      </c>
      <c r="R773" s="9" t="s">
        <v>184</v>
      </c>
      <c r="S773" s="9" t="s">
        <v>637</v>
      </c>
      <c r="T773" s="9" t="s">
        <v>75</v>
      </c>
      <c r="U773" s="9">
        <f>IFERROR(VLOOKUP($T773,KURALLAR!$A$32:$B$63,2,FALSE()),0)*IF(ISNUMBER($I773),$I773,0)</f>
        <v>10</v>
      </c>
    </row>
    <row r="774" spans="1:21" x14ac:dyDescent="0.25">
      <c r="A774" s="5">
        <v>773</v>
      </c>
      <c r="B774" s="5"/>
      <c r="C774" s="5" t="s">
        <v>192</v>
      </c>
      <c r="D774" s="5" t="s">
        <v>238</v>
      </c>
      <c r="E774" s="5" t="str">
        <f>IFERROR(VLOOKUP($D774,FIYAT!$B:$O,2,FALSE()),"")</f>
        <v>Авт. выкл. NXB-63 1P 6A 6кА х-ка C (R)</v>
      </c>
      <c r="F774" s="5">
        <f>IFERROR(VLOOKUP($D774,FIYAT!$B:$O,5,FALSE()),"")</f>
        <v>1436</v>
      </c>
      <c r="G774" s="5">
        <f>IFERROR(VLOOKUP($D774,FIYAT!$B:$O,8,FALSE()),"")</f>
        <v>861.6</v>
      </c>
      <c r="H774" s="5">
        <f t="shared" si="94"/>
        <v>3446.4</v>
      </c>
      <c r="I774" s="6">
        <v>4</v>
      </c>
      <c r="J774" s="5" t="str">
        <f>IFERROR(VLOOKUP($D774,FIYAT!$B:$O,9,FALSE()),"")</f>
        <v>Шт.</v>
      </c>
      <c r="K774" s="5" t="str">
        <f>IFERROR(VLOOKUP($D774,FIYAT!$B:$O,4,FALSE()),"")</f>
        <v>CHINT</v>
      </c>
      <c r="L774" s="5">
        <f t="shared" si="95"/>
        <v>3446.4</v>
      </c>
      <c r="M774" s="5"/>
      <c r="N774" s="5"/>
      <c r="O774" s="5"/>
      <c r="P774" s="5" t="str">
        <f>IF($H774="","FIYAT_YOK",IFERROR(VLOOKUP($D774,FIYAT!$B:$P,15,FALSE()),""))</f>
        <v>OK</v>
      </c>
      <c r="Q774" s="5" t="s">
        <v>240</v>
      </c>
      <c r="R774" s="5" t="s">
        <v>171</v>
      </c>
      <c r="S774" s="5" t="s">
        <v>637</v>
      </c>
      <c r="T774" s="5" t="s">
        <v>47</v>
      </c>
      <c r="U774" s="5">
        <f>IFERROR(VLOOKUP($T774,KURALLAR!$A$32:$B$63,2,FALSE()),0)*IF(ISNUMBER($I774),$I774,0)</f>
        <v>12</v>
      </c>
    </row>
    <row r="775" spans="1:21" x14ac:dyDescent="0.25">
      <c r="A775" s="9">
        <v>774</v>
      </c>
      <c r="B775" s="9"/>
      <c r="C775" s="9" t="s">
        <v>89</v>
      </c>
      <c r="D775" s="9" t="s">
        <v>241</v>
      </c>
      <c r="E775" s="9" t="str">
        <f>IFERROR(VLOOKUP($D775,FIYAT!$B:$O,2,FALSE()),"")</f>
        <v>Индикатор ND16-22DS/4 белый АС230В (R)</v>
      </c>
      <c r="F775" s="9">
        <f>IFERROR(VLOOKUP($D775,FIYAT!$B:$O,5,FALSE()),"")</f>
        <v>1047</v>
      </c>
      <c r="G775" s="9">
        <f>IFERROR(VLOOKUP($D775,FIYAT!$B:$O,8,FALSE()),"")</f>
        <v>628.19999999999993</v>
      </c>
      <c r="H775" s="9">
        <f t="shared" si="94"/>
        <v>1884.6</v>
      </c>
      <c r="I775" s="6">
        <v>3</v>
      </c>
      <c r="J775" s="9" t="str">
        <f>IFERROR(VLOOKUP($D775,FIYAT!$B:$O,9,FALSE()),"")</f>
        <v>Шт.</v>
      </c>
      <c r="K775" s="9" t="str">
        <f>IFERROR(VLOOKUP($D775,FIYAT!$B:$O,4,FALSE()),"")</f>
        <v>CHINT</v>
      </c>
      <c r="L775" s="9">
        <f t="shared" si="95"/>
        <v>1884.6</v>
      </c>
      <c r="M775" s="9"/>
      <c r="N775" s="9"/>
      <c r="O775" s="9"/>
      <c r="P775" s="9" t="str">
        <f>IF($H775="","FIYAT_YOK",IFERROR(VLOOKUP($D775,FIYAT!$B:$P,15,FALSE()),""))</f>
        <v>OK</v>
      </c>
      <c r="Q775" s="9" t="s">
        <v>243</v>
      </c>
      <c r="R775" s="9" t="s">
        <v>184</v>
      </c>
      <c r="S775" s="9" t="s">
        <v>637</v>
      </c>
      <c r="T775" s="9" t="s">
        <v>89</v>
      </c>
      <c r="U775" s="9">
        <f>IFERROR(VLOOKUP($T775,KURALLAR!$A$32:$B$63,2,FALSE()),0)*IF(ISNUMBER($I775),$I775,0)</f>
        <v>12</v>
      </c>
    </row>
    <row r="776" spans="1:21" x14ac:dyDescent="0.25">
      <c r="A776" s="5">
        <v>775</v>
      </c>
      <c r="B776" s="5"/>
      <c r="C776" s="5" t="s">
        <v>192</v>
      </c>
      <c r="D776" s="5" t="s">
        <v>244</v>
      </c>
      <c r="E776" s="5" t="str">
        <f>IFERROR(VLOOKUP($D776,FIYAT!$B:$O,2,FALSE()),"")</f>
        <v>Авт. выкл. NXB-63 3P 40A 6кА х-ка C (R)</v>
      </c>
      <c r="F776" s="5">
        <f>IFERROR(VLOOKUP($D776,FIYAT!$B:$O,5,FALSE()),"")</f>
        <v>5647</v>
      </c>
      <c r="G776" s="5">
        <f>IFERROR(VLOOKUP($D776,FIYAT!$B:$O,8,FALSE()),"")</f>
        <v>3388.2</v>
      </c>
      <c r="H776" s="5">
        <f t="shared" si="94"/>
        <v>13552.8</v>
      </c>
      <c r="I776" s="6">
        <v>4</v>
      </c>
      <c r="J776" s="5" t="str">
        <f>IFERROR(VLOOKUP($D776,FIYAT!$B:$O,9,FALSE()),"")</f>
        <v>Шт.</v>
      </c>
      <c r="K776" s="5" t="str">
        <f>IFERROR(VLOOKUP($D776,FIYAT!$B:$O,4,FALSE()),"")</f>
        <v>CHINT</v>
      </c>
      <c r="L776" s="5">
        <f t="shared" si="95"/>
        <v>13552.8</v>
      </c>
      <c r="M776" s="5"/>
      <c r="N776" s="5"/>
      <c r="O776" s="5"/>
      <c r="P776" s="5" t="str">
        <f>IF($H776="","FIYAT_YOK",IFERROR(VLOOKUP($D776,FIYAT!$B:$P,15,FALSE()),""))</f>
        <v>OK</v>
      </c>
      <c r="Q776" s="5" t="s">
        <v>246</v>
      </c>
      <c r="R776" s="5" t="s">
        <v>171</v>
      </c>
      <c r="S776" s="5" t="s">
        <v>637</v>
      </c>
      <c r="T776" s="5" t="s">
        <v>51</v>
      </c>
      <c r="U776" s="5">
        <f>IFERROR(VLOOKUP($T776,KURALLAR!$A$32:$B$63,2,FALSE()),0)*IF(ISNUMBER($I776),$I776,0)</f>
        <v>32</v>
      </c>
    </row>
    <row r="777" spans="1:21" x14ac:dyDescent="0.25">
      <c r="A777" s="9">
        <v>776</v>
      </c>
      <c r="B777" s="9"/>
      <c r="C777" s="9" t="s">
        <v>81</v>
      </c>
      <c r="D777" s="9" t="s">
        <v>247</v>
      </c>
      <c r="E777" s="9" t="str">
        <f>IFERROR(VLOOKUP($D777,FIYAT!$B:$O,2,FALSE()),"")</f>
        <v>Трехфазный эл.счетчик EX 518 10(100)А (прям. подкл.) с PLC модулем</v>
      </c>
      <c r="F777" s="9">
        <f>IFERROR(VLOOKUP($D777,FIYAT!$B:$O,5,FALSE()),"")</f>
        <v>0</v>
      </c>
      <c r="G777" s="9" t="str">
        <f>IFERROR(VLOOKUP($D777,FIYAT!$B:$O,8,FALSE()),"")</f>
        <v/>
      </c>
      <c r="H777" s="9" t="str">
        <f t="shared" si="94"/>
        <v/>
      </c>
      <c r="I777" s="6">
        <v>2</v>
      </c>
      <c r="J777" s="9" t="str">
        <f>IFERROR(VLOOKUP($D777,FIYAT!$B:$O,9,FALSE()),"")</f>
        <v>Шт.</v>
      </c>
      <c r="K777" s="9" t="str">
        <f>IFERROR(VLOOKUP($D777,FIYAT!$B:$O,4,FALSE()),"")</f>
        <v>MUADIL-NET</v>
      </c>
      <c r="L777" s="9" t="str">
        <f t="shared" si="95"/>
        <v/>
      </c>
      <c r="M777" s="9"/>
      <c r="N777" s="9"/>
      <c r="O777" s="9"/>
      <c r="P777" s="7" t="str">
        <f>IF($H777="","FIYAT_YOK",IFERROR(VLOOKUP($D777,FIYAT!$B:$P,15,FALSE()),""))</f>
        <v>FIYAT_YOK</v>
      </c>
      <c r="Q777" s="7" t="s">
        <v>249</v>
      </c>
      <c r="R777" s="9"/>
      <c r="S777" s="9" t="s">
        <v>637</v>
      </c>
      <c r="T777" s="9" t="s">
        <v>81</v>
      </c>
      <c r="U777" s="9">
        <f>IFERROR(VLOOKUP($T777,KURALLAR!$A$32:$B$63,2,FALSE()),0)*IF(ISNUMBER($I777),$I777,0)</f>
        <v>60</v>
      </c>
    </row>
    <row r="778" spans="1:21" x14ac:dyDescent="0.25">
      <c r="A778" s="5">
        <v>777</v>
      </c>
      <c r="B778" s="5"/>
      <c r="C778" s="5" t="s">
        <v>253</v>
      </c>
      <c r="D778" s="5" t="s">
        <v>251</v>
      </c>
      <c r="E778" s="5" t="str">
        <f>IFERROR(VLOOKUP($D778,FIYAT!$B:$O,2,FALSE()),"")</f>
        <v>Шина алюминиевая твёрдая (ШАТ)</v>
      </c>
      <c r="F778" s="5">
        <f>IFERROR(VLOOKUP($D778,FIYAT!$B:$O,5,FALSE()),"")</f>
        <v>4493.5999999999995</v>
      </c>
      <c r="G778" s="5">
        <f>IFERROR(VLOOKUP($D778,FIYAT!$B:$O,8,FALSE()),"")</f>
        <v>4493.5999999999995</v>
      </c>
      <c r="H778" s="5">
        <f t="shared" si="94"/>
        <v>53923.199999999997</v>
      </c>
      <c r="I778" s="6">
        <v>12</v>
      </c>
      <c r="J778" s="5" t="str">
        <f>IFERROR(VLOOKUP($D778,FIYAT!$B:$O,9,FALSE()),"")</f>
        <v>Кг.</v>
      </c>
      <c r="K778" s="5" t="str">
        <f>IFERROR(VLOOKUP($D778,FIYAT!$B:$O,4,FALSE()),"")</f>
        <v>ALUM-BARA</v>
      </c>
      <c r="L778" s="5">
        <f t="shared" si="95"/>
        <v>53923.199999999997</v>
      </c>
      <c r="M778" s="5"/>
      <c r="N778" s="5"/>
      <c r="O778" s="5"/>
      <c r="P778" s="5" t="str">
        <f>IF($H778="","FIYAT_YOK",IFERROR(VLOOKUP($D778,FIYAT!$B:$P,15,FALSE()),""))</f>
        <v>VARSAYIM</v>
      </c>
      <c r="Q778" s="5" t="s">
        <v>255</v>
      </c>
      <c r="R778" s="5"/>
      <c r="S778" s="5" t="s">
        <v>637</v>
      </c>
      <c r="T778" s="5" t="s">
        <v>101</v>
      </c>
      <c r="U778" s="5">
        <f>IFERROR(VLOOKUP($T778,KURALLAR!$A$32:$B$63,2,FALSE()),0)*IF(ISNUMBER($I778),$I778,0)</f>
        <v>72</v>
      </c>
    </row>
    <row r="779" spans="1:21" x14ac:dyDescent="0.25">
      <c r="A779" s="9">
        <v>778</v>
      </c>
      <c r="B779" s="9"/>
      <c r="C779" s="9" t="s">
        <v>222</v>
      </c>
      <c r="D779" s="9" t="s">
        <v>261</v>
      </c>
      <c r="E779" s="9" t="str">
        <f>IFERROR(VLOOKUP($D779,FIYAT!$B:$O,2,FALSE()),"")</f>
        <v>Мет. Щит (2000x700x500) +10CM BAZA IP54</v>
      </c>
      <c r="F779" s="9">
        <f>IFERROR(VLOOKUP($D779,FIYAT!$B:$O,5,FALSE()),"")</f>
        <v>117250</v>
      </c>
      <c r="G779" s="9">
        <f>IFERROR(VLOOKUP($D779,FIYAT!$B:$O,8,FALSE()),"")</f>
        <v>70350</v>
      </c>
      <c r="H779" s="9">
        <f t="shared" si="94"/>
        <v>70350</v>
      </c>
      <c r="I779" s="6">
        <v>1</v>
      </c>
      <c r="J779" s="9" t="str">
        <f>IFERROR(VLOOKUP($D779,FIYAT!$B:$O,9,FALSE()),"")</f>
        <v>Шт.</v>
      </c>
      <c r="K779" s="9" t="str">
        <f>IFERROR(VLOOKUP($D779,FIYAT!$B:$O,4,FALSE()),"")</f>
        <v>KAZTEK</v>
      </c>
      <c r="L779" s="9">
        <f t="shared" si="95"/>
        <v>70350</v>
      </c>
      <c r="M779" s="9"/>
      <c r="N779" s="9"/>
      <c r="O779" s="9"/>
      <c r="P779" s="9" t="str">
        <f>IF($H779="","FIYAT_YOK",IFERROR(VLOOKUP($D779,FIYAT!$B:$P,15,FALSE()),""))</f>
        <v>VARSAYIM</v>
      </c>
      <c r="Q779" s="9" t="s">
        <v>263</v>
      </c>
      <c r="R779" s="9" t="s">
        <v>211</v>
      </c>
      <c r="S779" s="9" t="s">
        <v>637</v>
      </c>
      <c r="T779" s="9" t="s">
        <v>107</v>
      </c>
      <c r="U779" s="9">
        <f>IFERROR(VLOOKUP($T779,KURALLAR!$A$32:$B$63,2,FALSE()),0)*IF(ISNUMBER($I779),$I779,0)</f>
        <v>90</v>
      </c>
    </row>
    <row r="780" spans="1:21" x14ac:dyDescent="0.25">
      <c r="A780" s="5">
        <v>779</v>
      </c>
      <c r="B780" s="5"/>
      <c r="C780" s="5" t="s">
        <v>215</v>
      </c>
      <c r="D780" s="5" t="s">
        <v>213</v>
      </c>
      <c r="E780" s="5" t="str">
        <f>IFERROR(VLOOKUP($D780,FIYAT!$B:$O,2,FALSE()),"")</f>
        <v>Монтажный расходный материал (кабель, DIN-рейка, кабель-канал, клеммы, маркировка, крепёж)</v>
      </c>
      <c r="F780" s="5">
        <f>IFERROR(VLOOKUP($D780,FIYAT!$B:$O,5,FALSE()),"")</f>
        <v>0</v>
      </c>
      <c r="G780" s="5" t="str">
        <f>IFERROR(VLOOKUP($D780,FIYAT!$B:$O,8,FALSE()),"")</f>
        <v/>
      </c>
      <c r="H780" s="5">
        <f>ROUND(SUM($H$769:$H$779)*KURALLAR!$B$28,0)</f>
        <v>15632</v>
      </c>
      <c r="I780" s="6">
        <v>1</v>
      </c>
      <c r="J780" s="5" t="str">
        <f>IFERROR(VLOOKUP($D780,FIYAT!$B:$O,9,FALSE()),"")</f>
        <v>компл.</v>
      </c>
      <c r="K780" s="5" t="str">
        <f>IFERROR(VLOOKUP($D780,FIYAT!$B:$O,4,FALSE()),"")</f>
        <v>MUADIL-NET</v>
      </c>
      <c r="L780" s="5">
        <f t="shared" si="95"/>
        <v>15632</v>
      </c>
      <c r="M780" s="5"/>
      <c r="N780" s="5"/>
      <c r="O780" s="5"/>
      <c r="P780" s="5" t="str">
        <f>IF($H780="","FIYAT_YOK",IFERROR(VLOOKUP($D780,FIYAT!$B:$P,15,FALSE()),""))</f>
        <v>ORAN</v>
      </c>
      <c r="Q780" s="5" t="s">
        <v>218</v>
      </c>
      <c r="R780" s="5" t="s">
        <v>217</v>
      </c>
      <c r="S780" s="5" t="s">
        <v>637</v>
      </c>
      <c r="T780" s="5"/>
      <c r="U780" s="5">
        <v>0</v>
      </c>
    </row>
    <row r="781" spans="1:21" x14ac:dyDescent="0.25">
      <c r="A781" s="9">
        <v>780</v>
      </c>
      <c r="B781" s="9"/>
      <c r="C781" s="9" t="s">
        <v>227</v>
      </c>
      <c r="D781" s="9" t="s">
        <v>225</v>
      </c>
      <c r="E781" s="9" t="str">
        <f>IFERROR(VLOOKUP($D781,FIYAT!$B:$O,2,FALSE()),"")</f>
        <v>Сборка, кабелирование, маркировка, момент затяжки, испытания</v>
      </c>
      <c r="F781" s="9">
        <f>IFERROR(VLOOKUP($D781,FIYAT!$B:$O,5,FALSE()),"")</f>
        <v>100</v>
      </c>
      <c r="G781" s="9">
        <f>IFERROR(VLOOKUP($D781,FIYAT!$B:$O,8,FALSE()),"")</f>
        <v>100</v>
      </c>
      <c r="H781" s="9">
        <f>IF(OR($G781="",$I781=""),"",$G781*$I781)</f>
        <v>39700</v>
      </c>
      <c r="I781" s="6">
        <f>ROUND(SUM($U$769:$U$780)*KURALLAR!$B$27,0)</f>
        <v>397</v>
      </c>
      <c r="J781" s="9" t="str">
        <f>IFERROR(VLOOKUP($D781,FIYAT!$B:$O,9,FALSE()),"")</f>
        <v>мин</v>
      </c>
      <c r="K781" s="9" t="str">
        <f>IFERROR(VLOOKUP($D781,FIYAT!$B:$O,4,FALSE()),"")</f>
        <v>ISCILIK</v>
      </c>
      <c r="L781" s="9">
        <f t="shared" si="95"/>
        <v>39700</v>
      </c>
      <c r="M781" s="9"/>
      <c r="N781" s="9"/>
      <c r="O781" s="9"/>
      <c r="P781" s="9" t="str">
        <f>IF($H781="","FIYAT_YOK",IFERROR(VLOOKUP($D781,FIYAT!$B:$P,15,FALSE()),""))</f>
        <v>OK</v>
      </c>
      <c r="Q781" s="9" t="str">
        <f>CONCATENATE("montaj+test iscilik: ",TEXT($I781,"# ##0")," dk = ",TEXT($I781/60,"0,00")," saat (norm x test/etiket carpani)")</f>
        <v>montaj+test iscilik:  397 dk = 6,62 saat (norm x test/etiket carpani)</v>
      </c>
      <c r="R781" s="9" t="s">
        <v>229</v>
      </c>
      <c r="S781" s="9" t="s">
        <v>637</v>
      </c>
      <c r="T781" s="9"/>
      <c r="U781" s="9">
        <v>0</v>
      </c>
    </row>
    <row r="782" spans="1:21" x14ac:dyDescent="0.25">
      <c r="A782" s="10">
        <v>781</v>
      </c>
      <c r="B782" s="10" t="s">
        <v>646</v>
      </c>
      <c r="C782" s="10"/>
      <c r="D782" s="10"/>
      <c r="E782" s="10"/>
      <c r="F782" s="10"/>
      <c r="G782" s="10"/>
      <c r="H782" s="10">
        <f>SUBTOTAL(9,H769:H781)</f>
        <v>278643.59999999998</v>
      </c>
      <c r="I782" s="10"/>
      <c r="J782" s="10"/>
      <c r="K782" s="10"/>
      <c r="L782" s="10">
        <f>SUBTOTAL(9,L769:L781)</f>
        <v>278643.59999999998</v>
      </c>
      <c r="M782" s="10"/>
      <c r="N782" s="10"/>
      <c r="O782" s="10"/>
      <c r="P782" s="10"/>
      <c r="Q782" s="10"/>
      <c r="R782" s="10"/>
      <c r="S782" s="10"/>
      <c r="T782" s="10"/>
      <c r="U782" s="10">
        <f>SUBTOTAL(9,U769:U781)</f>
        <v>345</v>
      </c>
    </row>
    <row r="783" spans="1:21" x14ac:dyDescent="0.25">
      <c r="A783" s="8">
        <v>782</v>
      </c>
      <c r="B783" s="8" t="str">
        <f>E783</f>
        <v>BLOK B / ЩЭ-F22.2 — НКУ 380/220В 50Гц, FORM 2B, IP31/54</v>
      </c>
      <c r="C783" s="8" t="s">
        <v>545</v>
      </c>
      <c r="D783" s="8"/>
      <c r="E783" s="8" t="s">
        <v>647</v>
      </c>
      <c r="F783" s="8"/>
      <c r="G783" s="8"/>
      <c r="H783" s="8"/>
      <c r="I783" s="8">
        <v>1</v>
      </c>
      <c r="J783" s="8" t="s">
        <v>547</v>
      </c>
      <c r="K783" s="8"/>
      <c r="L783" s="8"/>
      <c r="M783" s="8"/>
      <c r="N783" s="8"/>
      <c r="O783" s="8"/>
      <c r="P783" s="8" t="s">
        <v>178</v>
      </c>
      <c r="Q783" s="8" t="s">
        <v>548</v>
      </c>
      <c r="R783" s="8" t="s">
        <v>549</v>
      </c>
      <c r="S783" s="8" t="s">
        <v>637</v>
      </c>
      <c r="T783" s="8"/>
      <c r="U783" s="8"/>
    </row>
    <row r="784" spans="1:21" x14ac:dyDescent="0.25">
      <c r="A784" s="5">
        <v>783</v>
      </c>
      <c r="B784" s="5"/>
      <c r="C784" s="5" t="s">
        <v>169</v>
      </c>
      <c r="D784" s="5" t="s">
        <v>259</v>
      </c>
      <c r="E784" s="5" t="str">
        <f>IFERROR(VLOOKUP($D784,FIYAT!$B:$O,2,FALSE()),"")</f>
        <v>Авт. выкл. NM8N-125C TM 3P 50А 36кА с рег. термомаг. расцепителем (R)</v>
      </c>
      <c r="F784" s="5">
        <f>IFERROR(VLOOKUP($D784,FIYAT!$B:$O,5,FALSE()),"")</f>
        <v>68025</v>
      </c>
      <c r="G784" s="5">
        <f>IFERROR(VLOOKUP($D784,FIYAT!$B:$O,8,FALSE()),"")</f>
        <v>40815</v>
      </c>
      <c r="H784" s="5">
        <f t="shared" ref="H784:H794" si="96">IF(OR($G784="",$I784=""),"",$G784*$I784)</f>
        <v>40815</v>
      </c>
      <c r="I784" s="6">
        <v>1</v>
      </c>
      <c r="J784" s="5" t="str">
        <f>IFERROR(VLOOKUP($D784,FIYAT!$B:$O,9,FALSE()),"")</f>
        <v>Шт.</v>
      </c>
      <c r="K784" s="5" t="str">
        <f>IFERROR(VLOOKUP($D784,FIYAT!$B:$O,4,FALSE()),"")</f>
        <v>CHINT</v>
      </c>
      <c r="L784" s="5">
        <f t="shared" ref="L784:L796" si="97">IF($H784="","",$H784)</f>
        <v>40815</v>
      </c>
      <c r="M784" s="5"/>
      <c r="N784" s="5"/>
      <c r="O784" s="5"/>
      <c r="P784" s="5" t="str">
        <f>IF($H784="","FIYAT_YOK",IFERROR(VLOOKUP($D784,FIYAT!$B:$P,15,FALSE()),""))</f>
        <v>MUADIL</v>
      </c>
      <c r="Q784" s="5" t="s">
        <v>172</v>
      </c>
      <c r="R784" s="5" t="s">
        <v>171</v>
      </c>
      <c r="S784" s="5" t="s">
        <v>637</v>
      </c>
      <c r="T784" s="5" t="s">
        <v>61</v>
      </c>
      <c r="U784" s="5">
        <f>IFERROR(VLOOKUP($T784,KURALLAR!$A$32:$B$63,2,FALSE()),0)*IF(ISNUMBER($I784),$I784,0)</f>
        <v>15</v>
      </c>
    </row>
    <row r="785" spans="1:21" x14ac:dyDescent="0.25">
      <c r="A785" s="9">
        <v>784</v>
      </c>
      <c r="B785" s="9"/>
      <c r="C785" s="9" t="s">
        <v>176</v>
      </c>
      <c r="D785" s="9" t="s">
        <v>174</v>
      </c>
      <c r="E785" s="9" t="str">
        <f>IFERROR(VLOOKUP($D785,FIYAT!$B:$O,2,FALSE()),"")</f>
        <v>УЗО NL1-63 6kA 4P 63A 300mA тип AC (R)</v>
      </c>
      <c r="F785" s="9">
        <f>IFERROR(VLOOKUP($D785,FIYAT!$B:$O,5,FALSE()),"")</f>
        <v>18106</v>
      </c>
      <c r="G785" s="9">
        <f>IFERROR(VLOOKUP($D785,FIYAT!$B:$O,8,FALSE()),"")</f>
        <v>10863.6</v>
      </c>
      <c r="H785" s="9">
        <f t="shared" si="96"/>
        <v>10863.6</v>
      </c>
      <c r="I785" s="6">
        <v>1</v>
      </c>
      <c r="J785" s="9" t="str">
        <f>IFERROR(VLOOKUP($D785,FIYAT!$B:$O,9,FALSE()),"")</f>
        <v>Шт.</v>
      </c>
      <c r="K785" s="9" t="str">
        <f>IFERROR(VLOOKUP($D785,FIYAT!$B:$O,4,FALSE()),"")</f>
        <v>CHINT</v>
      </c>
      <c r="L785" s="9">
        <f t="shared" si="97"/>
        <v>10863.6</v>
      </c>
      <c r="M785" s="9"/>
      <c r="N785" s="9"/>
      <c r="O785" s="9"/>
      <c r="P785" s="9" t="str">
        <f>IF($H785="","FIYAT_YOK",IFERROR(VLOOKUP($D785,FIYAT!$B:$P,15,FALSE()),""))</f>
        <v>OK</v>
      </c>
      <c r="Q785" s="9" t="s">
        <v>177</v>
      </c>
      <c r="R785" s="9" t="s">
        <v>171</v>
      </c>
      <c r="S785" s="9" t="s">
        <v>637</v>
      </c>
      <c r="T785" s="9" t="s">
        <v>57</v>
      </c>
      <c r="U785" s="9">
        <f>IFERROR(VLOOKUP($T785,KURALLAR!$A$32:$B$63,2,FALSE()),0)*IF(ISNUMBER($I785),$I785,0)</f>
        <v>10</v>
      </c>
    </row>
    <row r="786" spans="1:21" x14ac:dyDescent="0.25">
      <c r="A786" s="5">
        <v>785</v>
      </c>
      <c r="B786" s="5"/>
      <c r="C786" s="5" t="s">
        <v>79</v>
      </c>
      <c r="D786" s="5" t="s">
        <v>179</v>
      </c>
      <c r="E786" s="5" t="str">
        <f>IFERROR(VLOOKUP($D786,FIYAT!$B:$O,2,FALSE()),"")</f>
        <v>Держатель плавкой вставки RT36-00-160, габарит 00, 160А</v>
      </c>
      <c r="F786" s="5">
        <f>IFERROR(VLOOKUP($D786,FIYAT!$B:$O,5,FALSE()),"")</f>
        <v>2038</v>
      </c>
      <c r="G786" s="5">
        <f>IFERROR(VLOOKUP($D786,FIYAT!$B:$O,8,FALSE()),"")</f>
        <v>1222.8</v>
      </c>
      <c r="H786" s="5">
        <f t="shared" si="96"/>
        <v>4891.2</v>
      </c>
      <c r="I786" s="6">
        <v>4</v>
      </c>
      <c r="J786" s="5" t="str">
        <f>IFERROR(VLOOKUP($D786,FIYAT!$B:$O,9,FALSE()),"")</f>
        <v>Шт.</v>
      </c>
      <c r="K786" s="5" t="str">
        <f>IFERROR(VLOOKUP($D786,FIYAT!$B:$O,4,FALSE()),"")</f>
        <v>CHINT</v>
      </c>
      <c r="L786" s="5">
        <f t="shared" si="97"/>
        <v>4891.2</v>
      </c>
      <c r="M786" s="5"/>
      <c r="N786" s="5"/>
      <c r="O786" s="5"/>
      <c r="P786" s="5" t="str">
        <f>IF($H786="","FIYAT_YOK",IFERROR(VLOOKUP($D786,FIYAT!$B:$P,15,FALSE()),""))</f>
        <v>MUADIL</v>
      </c>
      <c r="Q786" s="5" t="s">
        <v>181</v>
      </c>
      <c r="R786" s="5" t="s">
        <v>171</v>
      </c>
      <c r="S786" s="5" t="s">
        <v>637</v>
      </c>
      <c r="T786" s="5" t="s">
        <v>77</v>
      </c>
      <c r="U786" s="5">
        <f>IFERROR(VLOOKUP($T786,KURALLAR!$A$32:$B$63,2,FALSE()),0)*IF(ISNUMBER($I786),$I786,0)</f>
        <v>20</v>
      </c>
    </row>
    <row r="787" spans="1:21" x14ac:dyDescent="0.25">
      <c r="A787" s="9">
        <v>786</v>
      </c>
      <c r="B787" s="9"/>
      <c r="C787" s="9" t="s">
        <v>79</v>
      </c>
      <c r="D787" s="9" t="s">
        <v>182</v>
      </c>
      <c r="E787" s="9" t="str">
        <f>IFERROR(VLOOKUP($D787,FIYAT!$B:$O,2,FALSE()),"")</f>
        <v>Плавкая вставка предохранителя RT36-00-160, габарит 00, 63А</v>
      </c>
      <c r="F787" s="9">
        <f>IFERROR(VLOOKUP($D787,FIYAT!$B:$O,5,FALSE()),"")</f>
        <v>1525</v>
      </c>
      <c r="G787" s="9">
        <f>IFERROR(VLOOKUP($D787,FIYAT!$B:$O,8,FALSE()),"")</f>
        <v>915</v>
      </c>
      <c r="H787" s="9">
        <f t="shared" si="96"/>
        <v>3660</v>
      </c>
      <c r="I787" s="6">
        <v>4</v>
      </c>
      <c r="J787" s="9" t="str">
        <f>IFERROR(VLOOKUP($D787,FIYAT!$B:$O,9,FALSE()),"")</f>
        <v>Шт.</v>
      </c>
      <c r="K787" s="9" t="str">
        <f>IFERROR(VLOOKUP($D787,FIYAT!$B:$O,4,FALSE()),"")</f>
        <v>CHINT</v>
      </c>
      <c r="L787" s="9">
        <f t="shared" si="97"/>
        <v>3660</v>
      </c>
      <c r="M787" s="9"/>
      <c r="N787" s="9"/>
      <c r="O787" s="9"/>
      <c r="P787" s="9" t="str">
        <f>IF($H787="","FIYAT_YOK",IFERROR(VLOOKUP($D787,FIYAT!$B:$P,15,FALSE()),""))</f>
        <v>MUADIL</v>
      </c>
      <c r="Q787" s="9" t="s">
        <v>185</v>
      </c>
      <c r="R787" s="9" t="s">
        <v>184</v>
      </c>
      <c r="S787" s="9" t="s">
        <v>637</v>
      </c>
      <c r="T787" s="9" t="s">
        <v>79</v>
      </c>
      <c r="U787" s="9">
        <f>IFERROR(VLOOKUP($T787,KURALLAR!$A$32:$B$63,2,FALSE()),0)*IF(ISNUMBER($I787),$I787,0)</f>
        <v>12</v>
      </c>
    </row>
    <row r="788" spans="1:21" x14ac:dyDescent="0.25">
      <c r="A788" s="5">
        <v>787</v>
      </c>
      <c r="B788" s="5"/>
      <c r="C788" s="5" t="s">
        <v>75</v>
      </c>
      <c r="D788" s="5" t="s">
        <v>186</v>
      </c>
      <c r="E788" s="5" t="str">
        <f>IFERROR(VLOOKUP($D788,FIYAT!$B:$O,2,FALSE()),"")</f>
        <v>Ограничитель имп. перенапр. NU6-IIG 4Р In=25kA Uc=440B Im=65kA (R)</v>
      </c>
      <c r="F788" s="5">
        <f>IFERROR(VLOOKUP($D788,FIYAT!$B:$O,5,FALSE()),"")</f>
        <v>33208</v>
      </c>
      <c r="G788" s="5">
        <f>IFERROR(VLOOKUP($D788,FIYAT!$B:$O,8,FALSE()),"")</f>
        <v>19924.8</v>
      </c>
      <c r="H788" s="5">
        <f t="shared" si="96"/>
        <v>19924.8</v>
      </c>
      <c r="I788" s="6">
        <v>1</v>
      </c>
      <c r="J788" s="5" t="str">
        <f>IFERROR(VLOOKUP($D788,FIYAT!$B:$O,9,FALSE()),"")</f>
        <v>Шт.</v>
      </c>
      <c r="K788" s="5" t="str">
        <f>IFERROR(VLOOKUP($D788,FIYAT!$B:$O,4,FALSE()),"")</f>
        <v>CHINT</v>
      </c>
      <c r="L788" s="5">
        <f t="shared" si="97"/>
        <v>19924.8</v>
      </c>
      <c r="M788" s="5"/>
      <c r="N788" s="5"/>
      <c r="O788" s="5"/>
      <c r="P788" s="5" t="str">
        <f>IF($H788="","FIYAT_YOK",IFERROR(VLOOKUP($D788,FIYAT!$B:$P,15,FALSE()),""))</f>
        <v>MUADIL_ONAY</v>
      </c>
      <c r="Q788" s="5" t="s">
        <v>188</v>
      </c>
      <c r="R788" s="5" t="s">
        <v>184</v>
      </c>
      <c r="S788" s="5" t="s">
        <v>637</v>
      </c>
      <c r="T788" s="5" t="s">
        <v>75</v>
      </c>
      <c r="U788" s="5">
        <f>IFERROR(VLOOKUP($T788,KURALLAR!$A$32:$B$63,2,FALSE()),0)*IF(ISNUMBER($I788),$I788,0)</f>
        <v>10</v>
      </c>
    </row>
    <row r="789" spans="1:21" x14ac:dyDescent="0.25">
      <c r="A789" s="9">
        <v>788</v>
      </c>
      <c r="B789" s="9"/>
      <c r="C789" s="9" t="s">
        <v>192</v>
      </c>
      <c r="D789" s="9" t="s">
        <v>238</v>
      </c>
      <c r="E789" s="9" t="str">
        <f>IFERROR(VLOOKUP($D789,FIYAT!$B:$O,2,FALSE()),"")</f>
        <v>Авт. выкл. NXB-63 1P 6A 6кА х-ка C (R)</v>
      </c>
      <c r="F789" s="9">
        <f>IFERROR(VLOOKUP($D789,FIYAT!$B:$O,5,FALSE()),"")</f>
        <v>1436</v>
      </c>
      <c r="G789" s="9">
        <f>IFERROR(VLOOKUP($D789,FIYAT!$B:$O,8,FALSE()),"")</f>
        <v>861.6</v>
      </c>
      <c r="H789" s="9">
        <f t="shared" si="96"/>
        <v>3446.4</v>
      </c>
      <c r="I789" s="6">
        <v>4</v>
      </c>
      <c r="J789" s="9" t="str">
        <f>IFERROR(VLOOKUP($D789,FIYAT!$B:$O,9,FALSE()),"")</f>
        <v>Шт.</v>
      </c>
      <c r="K789" s="9" t="str">
        <f>IFERROR(VLOOKUP($D789,FIYAT!$B:$O,4,FALSE()),"")</f>
        <v>CHINT</v>
      </c>
      <c r="L789" s="9">
        <f t="shared" si="97"/>
        <v>3446.4</v>
      </c>
      <c r="M789" s="9"/>
      <c r="N789" s="9"/>
      <c r="O789" s="9"/>
      <c r="P789" s="9" t="str">
        <f>IF($H789="","FIYAT_YOK",IFERROR(VLOOKUP($D789,FIYAT!$B:$P,15,FALSE()),""))</f>
        <v>OK</v>
      </c>
      <c r="Q789" s="9" t="s">
        <v>240</v>
      </c>
      <c r="R789" s="9" t="s">
        <v>171</v>
      </c>
      <c r="S789" s="9" t="s">
        <v>637</v>
      </c>
      <c r="T789" s="9" t="s">
        <v>47</v>
      </c>
      <c r="U789" s="9">
        <f>IFERROR(VLOOKUP($T789,KURALLAR!$A$32:$B$63,2,FALSE()),0)*IF(ISNUMBER($I789),$I789,0)</f>
        <v>12</v>
      </c>
    </row>
    <row r="790" spans="1:21" x14ac:dyDescent="0.25">
      <c r="A790" s="5">
        <v>789</v>
      </c>
      <c r="B790" s="5"/>
      <c r="C790" s="5" t="s">
        <v>89</v>
      </c>
      <c r="D790" s="5" t="s">
        <v>241</v>
      </c>
      <c r="E790" s="5" t="str">
        <f>IFERROR(VLOOKUP($D790,FIYAT!$B:$O,2,FALSE()),"")</f>
        <v>Индикатор ND16-22DS/4 белый АС230В (R)</v>
      </c>
      <c r="F790" s="5">
        <f>IFERROR(VLOOKUP($D790,FIYAT!$B:$O,5,FALSE()),"")</f>
        <v>1047</v>
      </c>
      <c r="G790" s="5">
        <f>IFERROR(VLOOKUP($D790,FIYAT!$B:$O,8,FALSE()),"")</f>
        <v>628.19999999999993</v>
      </c>
      <c r="H790" s="5">
        <f t="shared" si="96"/>
        <v>1884.6</v>
      </c>
      <c r="I790" s="6">
        <v>3</v>
      </c>
      <c r="J790" s="5" t="str">
        <f>IFERROR(VLOOKUP($D790,FIYAT!$B:$O,9,FALSE()),"")</f>
        <v>Шт.</v>
      </c>
      <c r="K790" s="5" t="str">
        <f>IFERROR(VLOOKUP($D790,FIYAT!$B:$O,4,FALSE()),"")</f>
        <v>CHINT</v>
      </c>
      <c r="L790" s="5">
        <f t="shared" si="97"/>
        <v>1884.6</v>
      </c>
      <c r="M790" s="5"/>
      <c r="N790" s="5"/>
      <c r="O790" s="5"/>
      <c r="P790" s="5" t="str">
        <f>IF($H790="","FIYAT_YOK",IFERROR(VLOOKUP($D790,FIYAT!$B:$P,15,FALSE()),""))</f>
        <v>OK</v>
      </c>
      <c r="Q790" s="5" t="s">
        <v>243</v>
      </c>
      <c r="R790" s="5" t="s">
        <v>184</v>
      </c>
      <c r="S790" s="5" t="s">
        <v>637</v>
      </c>
      <c r="T790" s="5" t="s">
        <v>89</v>
      </c>
      <c r="U790" s="5">
        <f>IFERROR(VLOOKUP($T790,KURALLAR!$A$32:$B$63,2,FALSE()),0)*IF(ISNUMBER($I790),$I790,0)</f>
        <v>12</v>
      </c>
    </row>
    <row r="791" spans="1:21" x14ac:dyDescent="0.25">
      <c r="A791" s="9">
        <v>790</v>
      </c>
      <c r="B791" s="9"/>
      <c r="C791" s="9" t="s">
        <v>192</v>
      </c>
      <c r="D791" s="9" t="s">
        <v>244</v>
      </c>
      <c r="E791" s="9" t="str">
        <f>IFERROR(VLOOKUP($D791,FIYAT!$B:$O,2,FALSE()),"")</f>
        <v>Авт. выкл. NXB-63 3P 40A 6кА х-ка C (R)</v>
      </c>
      <c r="F791" s="9">
        <f>IFERROR(VLOOKUP($D791,FIYAT!$B:$O,5,FALSE()),"")</f>
        <v>5647</v>
      </c>
      <c r="G791" s="9">
        <f>IFERROR(VLOOKUP($D791,FIYAT!$B:$O,8,FALSE()),"")</f>
        <v>3388.2</v>
      </c>
      <c r="H791" s="9">
        <f t="shared" si="96"/>
        <v>13552.8</v>
      </c>
      <c r="I791" s="6">
        <v>4</v>
      </c>
      <c r="J791" s="9" t="str">
        <f>IFERROR(VLOOKUP($D791,FIYAT!$B:$O,9,FALSE()),"")</f>
        <v>Шт.</v>
      </c>
      <c r="K791" s="9" t="str">
        <f>IFERROR(VLOOKUP($D791,FIYAT!$B:$O,4,FALSE()),"")</f>
        <v>CHINT</v>
      </c>
      <c r="L791" s="9">
        <f t="shared" si="97"/>
        <v>13552.8</v>
      </c>
      <c r="M791" s="9"/>
      <c r="N791" s="9"/>
      <c r="O791" s="9"/>
      <c r="P791" s="9" t="str">
        <f>IF($H791="","FIYAT_YOK",IFERROR(VLOOKUP($D791,FIYAT!$B:$P,15,FALSE()),""))</f>
        <v>OK</v>
      </c>
      <c r="Q791" s="9" t="s">
        <v>246</v>
      </c>
      <c r="R791" s="9" t="s">
        <v>171</v>
      </c>
      <c r="S791" s="9" t="s">
        <v>637</v>
      </c>
      <c r="T791" s="9" t="s">
        <v>51</v>
      </c>
      <c r="U791" s="9">
        <f>IFERROR(VLOOKUP($T791,KURALLAR!$A$32:$B$63,2,FALSE()),0)*IF(ISNUMBER($I791),$I791,0)</f>
        <v>32</v>
      </c>
    </row>
    <row r="792" spans="1:21" x14ac:dyDescent="0.25">
      <c r="A792" s="5">
        <v>791</v>
      </c>
      <c r="B792" s="5"/>
      <c r="C792" s="5" t="s">
        <v>81</v>
      </c>
      <c r="D792" s="5" t="s">
        <v>247</v>
      </c>
      <c r="E792" s="5" t="str">
        <f>IFERROR(VLOOKUP($D792,FIYAT!$B:$O,2,FALSE()),"")</f>
        <v>Трехфазный эл.счетчик EX 518 10(100)А (прям. подкл.) с PLC модулем</v>
      </c>
      <c r="F792" s="5">
        <f>IFERROR(VLOOKUP($D792,FIYAT!$B:$O,5,FALSE()),"")</f>
        <v>0</v>
      </c>
      <c r="G792" s="5" t="str">
        <f>IFERROR(VLOOKUP($D792,FIYAT!$B:$O,8,FALSE()),"")</f>
        <v/>
      </c>
      <c r="H792" s="5" t="str">
        <f t="shared" si="96"/>
        <v/>
      </c>
      <c r="I792" s="6">
        <v>2</v>
      </c>
      <c r="J792" s="5" t="str">
        <f>IFERROR(VLOOKUP($D792,FIYAT!$B:$O,9,FALSE()),"")</f>
        <v>Шт.</v>
      </c>
      <c r="K792" s="5" t="str">
        <f>IFERROR(VLOOKUP($D792,FIYAT!$B:$O,4,FALSE()),"")</f>
        <v>MUADIL-NET</v>
      </c>
      <c r="L792" s="5" t="str">
        <f t="shared" si="97"/>
        <v/>
      </c>
      <c r="M792" s="5"/>
      <c r="N792" s="5"/>
      <c r="O792" s="5"/>
      <c r="P792" s="7" t="str">
        <f>IF($H792="","FIYAT_YOK",IFERROR(VLOOKUP($D792,FIYAT!$B:$P,15,FALSE()),""))</f>
        <v>FIYAT_YOK</v>
      </c>
      <c r="Q792" s="7" t="s">
        <v>249</v>
      </c>
      <c r="R792" s="5"/>
      <c r="S792" s="5" t="s">
        <v>637</v>
      </c>
      <c r="T792" s="5" t="s">
        <v>81</v>
      </c>
      <c r="U792" s="5">
        <f>IFERROR(VLOOKUP($T792,KURALLAR!$A$32:$B$63,2,FALSE()),0)*IF(ISNUMBER($I792),$I792,0)</f>
        <v>60</v>
      </c>
    </row>
    <row r="793" spans="1:21" x14ac:dyDescent="0.25">
      <c r="A793" s="9">
        <v>792</v>
      </c>
      <c r="B793" s="9"/>
      <c r="C793" s="9" t="s">
        <v>253</v>
      </c>
      <c r="D793" s="9" t="s">
        <v>251</v>
      </c>
      <c r="E793" s="9" t="str">
        <f>IFERROR(VLOOKUP($D793,FIYAT!$B:$O,2,FALSE()),"")</f>
        <v>Шина алюминиевая твёрдая (ШАТ)</v>
      </c>
      <c r="F793" s="9">
        <f>IFERROR(VLOOKUP($D793,FIYAT!$B:$O,5,FALSE()),"")</f>
        <v>4493.5999999999995</v>
      </c>
      <c r="G793" s="9">
        <f>IFERROR(VLOOKUP($D793,FIYAT!$B:$O,8,FALSE()),"")</f>
        <v>4493.5999999999995</v>
      </c>
      <c r="H793" s="9">
        <f t="shared" si="96"/>
        <v>53923.199999999997</v>
      </c>
      <c r="I793" s="6">
        <v>12</v>
      </c>
      <c r="J793" s="9" t="str">
        <f>IFERROR(VLOOKUP($D793,FIYAT!$B:$O,9,FALSE()),"")</f>
        <v>Кг.</v>
      </c>
      <c r="K793" s="9" t="str">
        <f>IFERROR(VLOOKUP($D793,FIYAT!$B:$O,4,FALSE()),"")</f>
        <v>ALUM-BARA</v>
      </c>
      <c r="L793" s="9">
        <f t="shared" si="97"/>
        <v>53923.199999999997</v>
      </c>
      <c r="M793" s="9"/>
      <c r="N793" s="9"/>
      <c r="O793" s="9"/>
      <c r="P793" s="9" t="str">
        <f>IF($H793="","FIYAT_YOK",IFERROR(VLOOKUP($D793,FIYAT!$B:$P,15,FALSE()),""))</f>
        <v>VARSAYIM</v>
      </c>
      <c r="Q793" s="9" t="s">
        <v>255</v>
      </c>
      <c r="R793" s="9"/>
      <c r="S793" s="9" t="s">
        <v>637</v>
      </c>
      <c r="T793" s="9" t="s">
        <v>101</v>
      </c>
      <c r="U793" s="9">
        <f>IFERROR(VLOOKUP($T793,KURALLAR!$A$32:$B$63,2,FALSE()),0)*IF(ISNUMBER($I793),$I793,0)</f>
        <v>72</v>
      </c>
    </row>
    <row r="794" spans="1:21" x14ac:dyDescent="0.25">
      <c r="A794" s="5">
        <v>793</v>
      </c>
      <c r="B794" s="5"/>
      <c r="C794" s="5" t="s">
        <v>222</v>
      </c>
      <c r="D794" s="5" t="s">
        <v>261</v>
      </c>
      <c r="E794" s="5" t="str">
        <f>IFERROR(VLOOKUP($D794,FIYAT!$B:$O,2,FALSE()),"")</f>
        <v>Мет. Щит (2000x700x500) +10CM BAZA IP54</v>
      </c>
      <c r="F794" s="5">
        <f>IFERROR(VLOOKUP($D794,FIYAT!$B:$O,5,FALSE()),"")</f>
        <v>117250</v>
      </c>
      <c r="G794" s="5">
        <f>IFERROR(VLOOKUP($D794,FIYAT!$B:$O,8,FALSE()),"")</f>
        <v>70350</v>
      </c>
      <c r="H794" s="5">
        <f t="shared" si="96"/>
        <v>70350</v>
      </c>
      <c r="I794" s="6">
        <v>1</v>
      </c>
      <c r="J794" s="5" t="str">
        <f>IFERROR(VLOOKUP($D794,FIYAT!$B:$O,9,FALSE()),"")</f>
        <v>Шт.</v>
      </c>
      <c r="K794" s="5" t="str">
        <f>IFERROR(VLOOKUP($D794,FIYAT!$B:$O,4,FALSE()),"")</f>
        <v>KAZTEK</v>
      </c>
      <c r="L794" s="5">
        <f t="shared" si="97"/>
        <v>70350</v>
      </c>
      <c r="M794" s="5"/>
      <c r="N794" s="5"/>
      <c r="O794" s="5"/>
      <c r="P794" s="5" t="str">
        <f>IF($H794="","FIYAT_YOK",IFERROR(VLOOKUP($D794,FIYAT!$B:$P,15,FALSE()),""))</f>
        <v>VARSAYIM</v>
      </c>
      <c r="Q794" s="5" t="s">
        <v>263</v>
      </c>
      <c r="R794" s="5" t="s">
        <v>211</v>
      </c>
      <c r="S794" s="5" t="s">
        <v>637</v>
      </c>
      <c r="T794" s="5" t="s">
        <v>107</v>
      </c>
      <c r="U794" s="5">
        <f>IFERROR(VLOOKUP($T794,KURALLAR!$A$32:$B$63,2,FALSE()),0)*IF(ISNUMBER($I794),$I794,0)</f>
        <v>90</v>
      </c>
    </row>
    <row r="795" spans="1:21" x14ac:dyDescent="0.25">
      <c r="A795" s="9">
        <v>794</v>
      </c>
      <c r="B795" s="9"/>
      <c r="C795" s="9" t="s">
        <v>215</v>
      </c>
      <c r="D795" s="9" t="s">
        <v>213</v>
      </c>
      <c r="E795" s="9" t="str">
        <f>IFERROR(VLOOKUP($D795,FIYAT!$B:$O,2,FALSE()),"")</f>
        <v>Монтажный расходный материал (кабель, DIN-рейка, кабель-канал, клеммы, маркировка, крепёж)</v>
      </c>
      <c r="F795" s="9">
        <f>IFERROR(VLOOKUP($D795,FIYAT!$B:$O,5,FALSE()),"")</f>
        <v>0</v>
      </c>
      <c r="G795" s="9" t="str">
        <f>IFERROR(VLOOKUP($D795,FIYAT!$B:$O,8,FALSE()),"")</f>
        <v/>
      </c>
      <c r="H795" s="9">
        <f>ROUND(SUM($H$784:$H$794)*KURALLAR!$B$28,0)</f>
        <v>15632</v>
      </c>
      <c r="I795" s="6">
        <v>1</v>
      </c>
      <c r="J795" s="9" t="str">
        <f>IFERROR(VLOOKUP($D795,FIYAT!$B:$O,9,FALSE()),"")</f>
        <v>компл.</v>
      </c>
      <c r="K795" s="9" t="str">
        <f>IFERROR(VLOOKUP($D795,FIYAT!$B:$O,4,FALSE()),"")</f>
        <v>MUADIL-NET</v>
      </c>
      <c r="L795" s="9">
        <f t="shared" si="97"/>
        <v>15632</v>
      </c>
      <c r="M795" s="9"/>
      <c r="N795" s="9"/>
      <c r="O795" s="9"/>
      <c r="P795" s="9" t="str">
        <f>IF($H795="","FIYAT_YOK",IFERROR(VLOOKUP($D795,FIYAT!$B:$P,15,FALSE()),""))</f>
        <v>ORAN</v>
      </c>
      <c r="Q795" s="9" t="s">
        <v>218</v>
      </c>
      <c r="R795" s="9" t="s">
        <v>217</v>
      </c>
      <c r="S795" s="9" t="s">
        <v>637</v>
      </c>
      <c r="T795" s="9"/>
      <c r="U795" s="9">
        <v>0</v>
      </c>
    </row>
    <row r="796" spans="1:21" x14ac:dyDescent="0.25">
      <c r="A796" s="5">
        <v>795</v>
      </c>
      <c r="B796" s="5"/>
      <c r="C796" s="5" t="s">
        <v>227</v>
      </c>
      <c r="D796" s="5" t="s">
        <v>225</v>
      </c>
      <c r="E796" s="5" t="str">
        <f>IFERROR(VLOOKUP($D796,FIYAT!$B:$O,2,FALSE()),"")</f>
        <v>Сборка, кабелирование, маркировка, момент затяжки, испытания</v>
      </c>
      <c r="F796" s="5">
        <f>IFERROR(VLOOKUP($D796,FIYAT!$B:$O,5,FALSE()),"")</f>
        <v>100</v>
      </c>
      <c r="G796" s="5">
        <f>IFERROR(VLOOKUP($D796,FIYAT!$B:$O,8,FALSE()),"")</f>
        <v>100</v>
      </c>
      <c r="H796" s="5">
        <f>IF(OR($G796="",$I796=""),"",$G796*$I796)</f>
        <v>39700</v>
      </c>
      <c r="I796" s="6">
        <f>ROUND(SUM($U$784:$U$795)*KURALLAR!$B$27,0)</f>
        <v>397</v>
      </c>
      <c r="J796" s="5" t="str">
        <f>IFERROR(VLOOKUP($D796,FIYAT!$B:$O,9,FALSE()),"")</f>
        <v>мин</v>
      </c>
      <c r="K796" s="5" t="str">
        <f>IFERROR(VLOOKUP($D796,FIYAT!$B:$O,4,FALSE()),"")</f>
        <v>ISCILIK</v>
      </c>
      <c r="L796" s="5">
        <f t="shared" si="97"/>
        <v>39700</v>
      </c>
      <c r="M796" s="5"/>
      <c r="N796" s="5"/>
      <c r="O796" s="5"/>
      <c r="P796" s="5" t="str">
        <f>IF($H796="","FIYAT_YOK",IFERROR(VLOOKUP($D796,FIYAT!$B:$P,15,FALSE()),""))</f>
        <v>OK</v>
      </c>
      <c r="Q796" s="5" t="str">
        <f>CONCATENATE("montaj+test iscilik: ",TEXT($I796,"# ##0")," dk = ",TEXT($I796/60,"0,00")," saat (norm x test/etiket carpani)")</f>
        <v>montaj+test iscilik:  397 dk = 6,62 saat (norm x test/etiket carpani)</v>
      </c>
      <c r="R796" s="5" t="s">
        <v>229</v>
      </c>
      <c r="S796" s="5" t="s">
        <v>637</v>
      </c>
      <c r="T796" s="5"/>
      <c r="U796" s="5">
        <v>0</v>
      </c>
    </row>
    <row r="797" spans="1:21" x14ac:dyDescent="0.25">
      <c r="A797" s="10">
        <v>796</v>
      </c>
      <c r="B797" s="10" t="s">
        <v>648</v>
      </c>
      <c r="C797" s="10"/>
      <c r="D797" s="10"/>
      <c r="E797" s="10"/>
      <c r="F797" s="10"/>
      <c r="G797" s="10"/>
      <c r="H797" s="10">
        <f>SUBTOTAL(9,H784:H796)</f>
        <v>278643.59999999998</v>
      </c>
      <c r="I797" s="10"/>
      <c r="J797" s="10"/>
      <c r="K797" s="10"/>
      <c r="L797" s="10">
        <f>SUBTOTAL(9,L784:L796)</f>
        <v>278643.59999999998</v>
      </c>
      <c r="M797" s="10"/>
      <c r="N797" s="10"/>
      <c r="O797" s="10"/>
      <c r="P797" s="10"/>
      <c r="Q797" s="10"/>
      <c r="R797" s="10"/>
      <c r="S797" s="10"/>
      <c r="T797" s="10"/>
      <c r="U797" s="10">
        <f>SUBTOTAL(9,U784:U796)</f>
        <v>345</v>
      </c>
    </row>
    <row r="798" spans="1:21" x14ac:dyDescent="0.25">
      <c r="A798" s="8">
        <v>797</v>
      </c>
      <c r="B798" s="8" t="str">
        <f>E798</f>
        <v>BLOK B / ЩЭ-F1 — НКУ 380/220В 50Гц, FORM 2B, IP31/54</v>
      </c>
      <c r="C798" s="8" t="s">
        <v>545</v>
      </c>
      <c r="D798" s="8"/>
      <c r="E798" s="8" t="s">
        <v>649</v>
      </c>
      <c r="F798" s="8"/>
      <c r="G798" s="8"/>
      <c r="H798" s="8"/>
      <c r="I798" s="8">
        <v>1</v>
      </c>
      <c r="J798" s="8" t="s">
        <v>547</v>
      </c>
      <c r="K798" s="8"/>
      <c r="L798" s="8"/>
      <c r="M798" s="8"/>
      <c r="N798" s="8"/>
      <c r="O798" s="8"/>
      <c r="P798" s="8" t="s">
        <v>178</v>
      </c>
      <c r="Q798" s="8" t="s">
        <v>548</v>
      </c>
      <c r="R798" s="8" t="s">
        <v>549</v>
      </c>
      <c r="S798" s="8" t="s">
        <v>637</v>
      </c>
      <c r="T798" s="8"/>
      <c r="U798" s="8"/>
    </row>
    <row r="799" spans="1:21" x14ac:dyDescent="0.25">
      <c r="A799" s="9">
        <v>798</v>
      </c>
      <c r="B799" s="9"/>
      <c r="C799" s="9" t="s">
        <v>169</v>
      </c>
      <c r="D799" s="9" t="s">
        <v>286</v>
      </c>
      <c r="E799" s="9" t="str">
        <f>IFERROR(VLOOKUP($D799,FIYAT!$B:$O,2,FALSE()),"")</f>
        <v>Авт. выкл. NM8N-400C TM 3P 315А 36кА с рег. термомаг. расцепителем (R)</v>
      </c>
      <c r="F799" s="9">
        <f>IFERROR(VLOOKUP($D799,FIYAT!$B:$O,5,FALSE()),"")</f>
        <v>199091</v>
      </c>
      <c r="G799" s="9">
        <f>IFERROR(VLOOKUP($D799,FIYAT!$B:$O,8,FALSE()),"")</f>
        <v>119454.59999999999</v>
      </c>
      <c r="H799" s="9">
        <f t="shared" ref="H799:H816" si="98">IF(OR($G799="",$I799=""),"",$G799*$I799)</f>
        <v>119454.59999999999</v>
      </c>
      <c r="I799" s="6">
        <v>1</v>
      </c>
      <c r="J799" s="9" t="str">
        <f>IFERROR(VLOOKUP($D799,FIYAT!$B:$O,9,FALSE()),"")</f>
        <v>Шт.</v>
      </c>
      <c r="K799" s="9" t="str">
        <f>IFERROR(VLOOKUP($D799,FIYAT!$B:$O,4,FALSE()),"")</f>
        <v>CHINT</v>
      </c>
      <c r="L799" s="9">
        <f t="shared" ref="L799:L818" si="99">IF($H799="","",$H799)</f>
        <v>119454.59999999999</v>
      </c>
      <c r="M799" s="9"/>
      <c r="N799" s="9"/>
      <c r="O799" s="9"/>
      <c r="P799" s="9" t="str">
        <f>IF($H799="","FIYAT_YOK",IFERROR(VLOOKUP($D799,FIYAT!$B:$P,15,FALSE()),""))</f>
        <v>OK</v>
      </c>
      <c r="Q799" s="9" t="s">
        <v>288</v>
      </c>
      <c r="R799" s="9" t="s">
        <v>184</v>
      </c>
      <c r="S799" s="9" t="s">
        <v>637</v>
      </c>
      <c r="T799" s="9" t="s">
        <v>65</v>
      </c>
      <c r="U799" s="9">
        <f>IFERROR(VLOOKUP($T799,KURALLAR!$A$32:$B$63,2,FALSE()),0)*IF(ISNUMBER($I799),$I799,0)</f>
        <v>40</v>
      </c>
    </row>
    <row r="800" spans="1:21" x14ac:dyDescent="0.25">
      <c r="A800" s="5">
        <v>799</v>
      </c>
      <c r="B800" s="5"/>
      <c r="C800" s="5" t="s">
        <v>93</v>
      </c>
      <c r="D800" s="5" t="s">
        <v>267</v>
      </c>
      <c r="E800" s="5" t="str">
        <f>IFERROR(VLOOKUP($D800,FIYAT!$B:$O,2,FALSE()),"")</f>
        <v>Независимый расцепитель SHT22-M8 AC220-240V для NM8N-250/400/630 (R)</v>
      </c>
      <c r="F800" s="5">
        <f>IFERROR(VLOOKUP($D800,FIYAT!$B:$O,5,FALSE()),"")</f>
        <v>18552</v>
      </c>
      <c r="G800" s="5">
        <f>IFERROR(VLOOKUP($D800,FIYAT!$B:$O,8,FALSE()),"")</f>
        <v>11131.199999999999</v>
      </c>
      <c r="H800" s="5">
        <f t="shared" si="98"/>
        <v>11131.199999999999</v>
      </c>
      <c r="I800" s="6">
        <v>1</v>
      </c>
      <c r="J800" s="5" t="str">
        <f>IFERROR(VLOOKUP($D800,FIYAT!$B:$O,9,FALSE()),"")</f>
        <v>Шт.</v>
      </c>
      <c r="K800" s="5" t="str">
        <f>IFERROR(VLOOKUP($D800,FIYAT!$B:$O,4,FALSE()),"")</f>
        <v>CHINT</v>
      </c>
      <c r="L800" s="5">
        <f t="shared" si="99"/>
        <v>11131.199999999999</v>
      </c>
      <c r="M800" s="5"/>
      <c r="N800" s="5"/>
      <c r="O800" s="5"/>
      <c r="P800" s="5" t="str">
        <f>IF($H800="","FIYAT_YOK",IFERROR(VLOOKUP($D800,FIYAT!$B:$P,15,FALSE()),""))</f>
        <v>OK</v>
      </c>
      <c r="Q800" s="5" t="s">
        <v>269</v>
      </c>
      <c r="R800" s="5" t="s">
        <v>184</v>
      </c>
      <c r="S800" s="5" t="s">
        <v>637</v>
      </c>
      <c r="T800" s="5" t="s">
        <v>95</v>
      </c>
      <c r="U800" s="5">
        <f>IFERROR(VLOOKUP($T800,KURALLAR!$A$32:$B$63,2,FALSE()),0)*IF(ISNUMBER($I800),$I800,0)</f>
        <v>10</v>
      </c>
    </row>
    <row r="801" spans="1:21" x14ac:dyDescent="0.25">
      <c r="A801" s="9">
        <v>800</v>
      </c>
      <c r="B801" s="9"/>
      <c r="C801" s="9" t="s">
        <v>192</v>
      </c>
      <c r="D801" s="9" t="s">
        <v>238</v>
      </c>
      <c r="E801" s="9" t="str">
        <f>IFERROR(VLOOKUP($D801,FIYAT!$B:$O,2,FALSE()),"")</f>
        <v>Авт. выкл. NXB-63 1P 6A 6кА х-ка C (R)</v>
      </c>
      <c r="F801" s="9">
        <f>IFERROR(VLOOKUP($D801,FIYAT!$B:$O,5,FALSE()),"")</f>
        <v>1436</v>
      </c>
      <c r="G801" s="9">
        <f>IFERROR(VLOOKUP($D801,FIYAT!$B:$O,8,FALSE()),"")</f>
        <v>861.6</v>
      </c>
      <c r="H801" s="9">
        <f t="shared" si="98"/>
        <v>3446.4</v>
      </c>
      <c r="I801" s="6">
        <v>4</v>
      </c>
      <c r="J801" s="9" t="str">
        <f>IFERROR(VLOOKUP($D801,FIYAT!$B:$O,9,FALSE()),"")</f>
        <v>Шт.</v>
      </c>
      <c r="K801" s="9" t="str">
        <f>IFERROR(VLOOKUP($D801,FIYAT!$B:$O,4,FALSE()),"")</f>
        <v>CHINT</v>
      </c>
      <c r="L801" s="9">
        <f t="shared" si="99"/>
        <v>3446.4</v>
      </c>
      <c r="M801" s="9"/>
      <c r="N801" s="9"/>
      <c r="O801" s="9"/>
      <c r="P801" s="9" t="str">
        <f>IF($H801="","FIYAT_YOK",IFERROR(VLOOKUP($D801,FIYAT!$B:$P,15,FALSE()),""))</f>
        <v>OK</v>
      </c>
      <c r="Q801" s="9" t="s">
        <v>240</v>
      </c>
      <c r="R801" s="9" t="s">
        <v>171</v>
      </c>
      <c r="S801" s="9" t="s">
        <v>637</v>
      </c>
      <c r="T801" s="9" t="s">
        <v>47</v>
      </c>
      <c r="U801" s="9">
        <f>IFERROR(VLOOKUP($T801,KURALLAR!$A$32:$B$63,2,FALSE()),0)*IF(ISNUMBER($I801),$I801,0)</f>
        <v>12</v>
      </c>
    </row>
    <row r="802" spans="1:21" x14ac:dyDescent="0.25">
      <c r="A802" s="5">
        <v>801</v>
      </c>
      <c r="B802" s="5"/>
      <c r="C802" s="5" t="s">
        <v>89</v>
      </c>
      <c r="D802" s="5" t="s">
        <v>241</v>
      </c>
      <c r="E802" s="5" t="str">
        <f>IFERROR(VLOOKUP($D802,FIYAT!$B:$O,2,FALSE()),"")</f>
        <v>Индикатор ND16-22DS/4 белый АС230В (R)</v>
      </c>
      <c r="F802" s="5">
        <f>IFERROR(VLOOKUP($D802,FIYAT!$B:$O,5,FALSE()),"")</f>
        <v>1047</v>
      </c>
      <c r="G802" s="5">
        <f>IFERROR(VLOOKUP($D802,FIYAT!$B:$O,8,FALSE()),"")</f>
        <v>628.19999999999993</v>
      </c>
      <c r="H802" s="5">
        <f t="shared" si="98"/>
        <v>1884.6</v>
      </c>
      <c r="I802" s="6">
        <v>3</v>
      </c>
      <c r="J802" s="5" t="str">
        <f>IFERROR(VLOOKUP($D802,FIYAT!$B:$O,9,FALSE()),"")</f>
        <v>Шт.</v>
      </c>
      <c r="K802" s="5" t="str">
        <f>IFERROR(VLOOKUP($D802,FIYAT!$B:$O,4,FALSE()),"")</f>
        <v>CHINT</v>
      </c>
      <c r="L802" s="5">
        <f t="shared" si="99"/>
        <v>1884.6</v>
      </c>
      <c r="M802" s="5"/>
      <c r="N802" s="5"/>
      <c r="O802" s="5"/>
      <c r="P802" s="5" t="str">
        <f>IF($H802="","FIYAT_YOK",IFERROR(VLOOKUP($D802,FIYAT!$B:$P,15,FALSE()),""))</f>
        <v>OK</v>
      </c>
      <c r="Q802" s="5" t="s">
        <v>243</v>
      </c>
      <c r="R802" s="5" t="s">
        <v>184</v>
      </c>
      <c r="S802" s="5" t="s">
        <v>637</v>
      </c>
      <c r="T802" s="5" t="s">
        <v>89</v>
      </c>
      <c r="U802" s="5">
        <f>IFERROR(VLOOKUP($T802,KURALLAR!$A$32:$B$63,2,FALSE()),0)*IF(ISNUMBER($I802),$I802,0)</f>
        <v>12</v>
      </c>
    </row>
    <row r="803" spans="1:21" x14ac:dyDescent="0.25">
      <c r="A803" s="9">
        <v>802</v>
      </c>
      <c r="B803" s="9"/>
      <c r="C803" s="9" t="s">
        <v>87</v>
      </c>
      <c r="D803" s="9" t="s">
        <v>270</v>
      </c>
      <c r="E803" s="9" t="str">
        <f>IFERROR(VLOOKUP($D803,FIYAT!$B:$O,2,FALSE()),"")</f>
        <v>Реле защиты от утечки тока с LCD индикацией (регулируемое) — CHINT листинге нет</v>
      </c>
      <c r="F803" s="9">
        <f>IFERROR(VLOOKUP($D803,FIYAT!$B:$O,5,FALSE()),"")</f>
        <v>0</v>
      </c>
      <c r="G803" s="9" t="str">
        <f>IFERROR(VLOOKUP($D803,FIYAT!$B:$O,8,FALSE()),"")</f>
        <v/>
      </c>
      <c r="H803" s="9" t="str">
        <f t="shared" si="98"/>
        <v/>
      </c>
      <c r="I803" s="6">
        <v>1</v>
      </c>
      <c r="J803" s="9" t="str">
        <f>IFERROR(VLOOKUP($D803,FIYAT!$B:$O,9,FALSE()),"")</f>
        <v>Шт.</v>
      </c>
      <c r="K803" s="9" t="str">
        <f>IFERROR(VLOOKUP($D803,FIYAT!$B:$O,4,FALSE()),"")</f>
        <v>MUADIL-NET</v>
      </c>
      <c r="L803" s="9" t="str">
        <f t="shared" si="99"/>
        <v/>
      </c>
      <c r="M803" s="9"/>
      <c r="N803" s="9"/>
      <c r="O803" s="9"/>
      <c r="P803" s="7" t="str">
        <f>IF($H803="","FIYAT_YOK",IFERROR(VLOOKUP($D803,FIYAT!$B:$P,15,FALSE()),""))</f>
        <v>FIYAT_YOK</v>
      </c>
      <c r="Q803" s="7" t="s">
        <v>272</v>
      </c>
      <c r="R803" s="9"/>
      <c r="S803" s="9" t="s">
        <v>637</v>
      </c>
      <c r="T803" s="9" t="s">
        <v>87</v>
      </c>
      <c r="U803" s="9">
        <f>IFERROR(VLOOKUP($T803,KURALLAR!$A$32:$B$63,2,FALSE()),0)*IF(ISNUMBER($I803),$I803,0)</f>
        <v>8</v>
      </c>
    </row>
    <row r="804" spans="1:21" x14ac:dyDescent="0.25">
      <c r="A804" s="5">
        <v>803</v>
      </c>
      <c r="B804" s="5"/>
      <c r="C804" s="5" t="s">
        <v>83</v>
      </c>
      <c r="D804" s="5" t="s">
        <v>289</v>
      </c>
      <c r="E804" s="5" t="str">
        <f>IFERROR(VLOOKUP($D804,FIYAT!$B:$O,2,FALSE()),"")</f>
        <v>Тороидальный трансформатор тока Ø100мм (250-400A) — CHINT листинге нет</v>
      </c>
      <c r="F804" s="5">
        <f>IFERROR(VLOOKUP($D804,FIYAT!$B:$O,5,FALSE()),"")</f>
        <v>0</v>
      </c>
      <c r="G804" s="5" t="str">
        <f>IFERROR(VLOOKUP($D804,FIYAT!$B:$O,8,FALSE()),"")</f>
        <v/>
      </c>
      <c r="H804" s="5" t="str">
        <f t="shared" si="98"/>
        <v/>
      </c>
      <c r="I804" s="6">
        <v>1</v>
      </c>
      <c r="J804" s="5" t="str">
        <f>IFERROR(VLOOKUP($D804,FIYAT!$B:$O,9,FALSE()),"")</f>
        <v>Шт.</v>
      </c>
      <c r="K804" s="5" t="str">
        <f>IFERROR(VLOOKUP($D804,FIYAT!$B:$O,4,FALSE()),"")</f>
        <v>MUADIL-NET</v>
      </c>
      <c r="L804" s="5" t="str">
        <f t="shared" si="99"/>
        <v/>
      </c>
      <c r="M804" s="5"/>
      <c r="N804" s="5"/>
      <c r="O804" s="5"/>
      <c r="P804" s="7" t="str">
        <f>IF($H804="","FIYAT_YOK",IFERROR(VLOOKUP($D804,FIYAT!$B:$P,15,FALSE()),""))</f>
        <v>FIYAT_YOK</v>
      </c>
      <c r="Q804" s="7" t="s">
        <v>291</v>
      </c>
      <c r="R804" s="5"/>
      <c r="S804" s="5" t="s">
        <v>637</v>
      </c>
      <c r="T804" s="5" t="s">
        <v>83</v>
      </c>
      <c r="U804" s="5">
        <f>IFERROR(VLOOKUP($T804,KURALLAR!$A$32:$B$63,2,FALSE()),0)*IF(ISNUMBER($I804),$I804,0)</f>
        <v>10</v>
      </c>
    </row>
    <row r="805" spans="1:21" x14ac:dyDescent="0.25">
      <c r="A805" s="9">
        <v>804</v>
      </c>
      <c r="B805" s="9"/>
      <c r="C805" s="9" t="s">
        <v>79</v>
      </c>
      <c r="D805" s="9" t="s">
        <v>179</v>
      </c>
      <c r="E805" s="9" t="str">
        <f>IFERROR(VLOOKUP($D805,FIYAT!$B:$O,2,FALSE()),"")</f>
        <v>Держатель плавкой вставки RT36-00-160, габарит 00, 160А</v>
      </c>
      <c r="F805" s="9">
        <f>IFERROR(VLOOKUP($D805,FIYAT!$B:$O,5,FALSE()),"")</f>
        <v>2038</v>
      </c>
      <c r="G805" s="9">
        <f>IFERROR(VLOOKUP($D805,FIYAT!$B:$O,8,FALSE()),"")</f>
        <v>1222.8</v>
      </c>
      <c r="H805" s="9">
        <f t="shared" si="98"/>
        <v>4891.2</v>
      </c>
      <c r="I805" s="6">
        <v>4</v>
      </c>
      <c r="J805" s="9" t="str">
        <f>IFERROR(VLOOKUP($D805,FIYAT!$B:$O,9,FALSE()),"")</f>
        <v>Шт.</v>
      </c>
      <c r="K805" s="9" t="str">
        <f>IFERROR(VLOOKUP($D805,FIYAT!$B:$O,4,FALSE()),"")</f>
        <v>CHINT</v>
      </c>
      <c r="L805" s="9">
        <f t="shared" si="99"/>
        <v>4891.2</v>
      </c>
      <c r="M805" s="9"/>
      <c r="N805" s="9"/>
      <c r="O805" s="9"/>
      <c r="P805" s="9" t="str">
        <f>IF($H805="","FIYAT_YOK",IFERROR(VLOOKUP($D805,FIYAT!$B:$P,15,FALSE()),""))</f>
        <v>MUADIL</v>
      </c>
      <c r="Q805" s="9" t="s">
        <v>181</v>
      </c>
      <c r="R805" s="9" t="s">
        <v>171</v>
      </c>
      <c r="S805" s="9" t="s">
        <v>637</v>
      </c>
      <c r="T805" s="9" t="s">
        <v>77</v>
      </c>
      <c r="U805" s="9">
        <f>IFERROR(VLOOKUP($T805,KURALLAR!$A$32:$B$63,2,FALSE()),0)*IF(ISNUMBER($I805),$I805,0)</f>
        <v>20</v>
      </c>
    </row>
    <row r="806" spans="1:21" x14ac:dyDescent="0.25">
      <c r="A806" s="5">
        <v>805</v>
      </c>
      <c r="B806" s="5"/>
      <c r="C806" s="5" t="s">
        <v>79</v>
      </c>
      <c r="D806" s="5" t="s">
        <v>182</v>
      </c>
      <c r="E806" s="5" t="str">
        <f>IFERROR(VLOOKUP($D806,FIYAT!$B:$O,2,FALSE()),"")</f>
        <v>Плавкая вставка предохранителя RT36-00-160, габарит 00, 63А</v>
      </c>
      <c r="F806" s="5">
        <f>IFERROR(VLOOKUP($D806,FIYAT!$B:$O,5,FALSE()),"")</f>
        <v>1525</v>
      </c>
      <c r="G806" s="5">
        <f>IFERROR(VLOOKUP($D806,FIYAT!$B:$O,8,FALSE()),"")</f>
        <v>915</v>
      </c>
      <c r="H806" s="5">
        <f t="shared" si="98"/>
        <v>3660</v>
      </c>
      <c r="I806" s="6">
        <v>4</v>
      </c>
      <c r="J806" s="5" t="str">
        <f>IFERROR(VLOOKUP($D806,FIYAT!$B:$O,9,FALSE()),"")</f>
        <v>Шт.</v>
      </c>
      <c r="K806" s="5" t="str">
        <f>IFERROR(VLOOKUP($D806,FIYAT!$B:$O,4,FALSE()),"")</f>
        <v>CHINT</v>
      </c>
      <c r="L806" s="5">
        <f t="shared" si="99"/>
        <v>3660</v>
      </c>
      <c r="M806" s="5"/>
      <c r="N806" s="5"/>
      <c r="O806" s="5"/>
      <c r="P806" s="5" t="str">
        <f>IF($H806="","FIYAT_YOK",IFERROR(VLOOKUP($D806,FIYAT!$B:$P,15,FALSE()),""))</f>
        <v>MUADIL</v>
      </c>
      <c r="Q806" s="5" t="s">
        <v>185</v>
      </c>
      <c r="R806" s="5" t="s">
        <v>184</v>
      </c>
      <c r="S806" s="5" t="s">
        <v>637</v>
      </c>
      <c r="T806" s="5" t="s">
        <v>79</v>
      </c>
      <c r="U806" s="5">
        <f>IFERROR(VLOOKUP($T806,KURALLAR!$A$32:$B$63,2,FALSE()),0)*IF(ISNUMBER($I806),$I806,0)</f>
        <v>12</v>
      </c>
    </row>
    <row r="807" spans="1:21" x14ac:dyDescent="0.25">
      <c r="A807" s="9">
        <v>806</v>
      </c>
      <c r="B807" s="9"/>
      <c r="C807" s="9" t="s">
        <v>75</v>
      </c>
      <c r="D807" s="9" t="s">
        <v>186</v>
      </c>
      <c r="E807" s="9" t="str">
        <f>IFERROR(VLOOKUP($D807,FIYAT!$B:$O,2,FALSE()),"")</f>
        <v>Ограничитель имп. перенапр. NU6-IIG 4Р In=25kA Uc=440B Im=65kA (R)</v>
      </c>
      <c r="F807" s="9">
        <f>IFERROR(VLOOKUP($D807,FIYAT!$B:$O,5,FALSE()),"")</f>
        <v>33208</v>
      </c>
      <c r="G807" s="9">
        <f>IFERROR(VLOOKUP($D807,FIYAT!$B:$O,8,FALSE()),"")</f>
        <v>19924.8</v>
      </c>
      <c r="H807" s="9">
        <f t="shared" si="98"/>
        <v>19924.8</v>
      </c>
      <c r="I807" s="6">
        <v>1</v>
      </c>
      <c r="J807" s="9" t="str">
        <f>IFERROR(VLOOKUP($D807,FIYAT!$B:$O,9,FALSE()),"")</f>
        <v>Шт.</v>
      </c>
      <c r="K807" s="9" t="str">
        <f>IFERROR(VLOOKUP($D807,FIYAT!$B:$O,4,FALSE()),"")</f>
        <v>CHINT</v>
      </c>
      <c r="L807" s="9">
        <f t="shared" si="99"/>
        <v>19924.8</v>
      </c>
      <c r="M807" s="9"/>
      <c r="N807" s="9"/>
      <c r="O807" s="9"/>
      <c r="P807" s="9" t="str">
        <f>IF($H807="","FIYAT_YOK",IFERROR(VLOOKUP($D807,FIYAT!$B:$P,15,FALSE()),""))</f>
        <v>MUADIL_ONAY</v>
      </c>
      <c r="Q807" s="9" t="s">
        <v>188</v>
      </c>
      <c r="R807" s="9" t="s">
        <v>184</v>
      </c>
      <c r="S807" s="9" t="s">
        <v>637</v>
      </c>
      <c r="T807" s="9" t="s">
        <v>75</v>
      </c>
      <c r="U807" s="9">
        <f>IFERROR(VLOOKUP($T807,KURALLAR!$A$32:$B$63,2,FALSE()),0)*IF(ISNUMBER($I807),$I807,0)</f>
        <v>10</v>
      </c>
    </row>
    <row r="808" spans="1:21" x14ac:dyDescent="0.25">
      <c r="A808" s="5">
        <v>807</v>
      </c>
      <c r="B808" s="5"/>
      <c r="C808" s="5" t="s">
        <v>169</v>
      </c>
      <c r="D808" s="5" t="s">
        <v>292</v>
      </c>
      <c r="E808" s="5" t="str">
        <f>IFERROR(VLOOKUP($D808,FIYAT!$B:$O,2,FALSE()),"")</f>
        <v>Авт. выкл. NM8N-250C TM 3P 200А 36кА с рег. термомаг. расцепителем (R)</v>
      </c>
      <c r="F808" s="5">
        <f>IFERROR(VLOOKUP($D808,FIYAT!$B:$O,5,FALSE()),"")</f>
        <v>89663</v>
      </c>
      <c r="G808" s="5">
        <f>IFERROR(VLOOKUP($D808,FIYAT!$B:$O,8,FALSE()),"")</f>
        <v>53797.799999999996</v>
      </c>
      <c r="H808" s="5">
        <f t="shared" si="98"/>
        <v>53797.799999999996</v>
      </c>
      <c r="I808" s="6">
        <v>1</v>
      </c>
      <c r="J808" s="5" t="str">
        <f>IFERROR(VLOOKUP($D808,FIYAT!$B:$O,9,FALSE()),"")</f>
        <v>Шт.</v>
      </c>
      <c r="K808" s="5" t="str">
        <f>IFERROR(VLOOKUP($D808,FIYAT!$B:$O,4,FALSE()),"")</f>
        <v>CHINT</v>
      </c>
      <c r="L808" s="5">
        <f t="shared" si="99"/>
        <v>53797.799999999996</v>
      </c>
      <c r="M808" s="5"/>
      <c r="N808" s="5"/>
      <c r="O808" s="5"/>
      <c r="P808" s="5" t="str">
        <f>IF($H808="","FIYAT_YOK",IFERROR(VLOOKUP($D808,FIYAT!$B:$P,15,FALSE()),""))</f>
        <v>OK</v>
      </c>
      <c r="Q808" s="5" t="s">
        <v>294</v>
      </c>
      <c r="R808" s="5" t="s">
        <v>171</v>
      </c>
      <c r="S808" s="5" t="s">
        <v>637</v>
      </c>
      <c r="T808" s="5" t="s">
        <v>63</v>
      </c>
      <c r="U808" s="5">
        <f>IFERROR(VLOOKUP($T808,KURALLAR!$A$32:$B$63,2,FALSE()),0)*IF(ISNUMBER($I808),$I808,0)</f>
        <v>25</v>
      </c>
    </row>
    <row r="809" spans="1:21" x14ac:dyDescent="0.25">
      <c r="A809" s="9">
        <v>808</v>
      </c>
      <c r="B809" s="9"/>
      <c r="C809" s="9" t="s">
        <v>169</v>
      </c>
      <c r="D809" s="9" t="s">
        <v>298</v>
      </c>
      <c r="E809" s="9" t="str">
        <f>IFERROR(VLOOKUP($D809,FIYAT!$B:$O,2,FALSE()),"")</f>
        <v>Авт. выкл. NM8N-250C TM 3P 160А 36кА с рег. термомаг. расцепителем (R)</v>
      </c>
      <c r="F809" s="9">
        <f>IFERROR(VLOOKUP($D809,FIYAT!$B:$O,5,FALSE()),"")</f>
        <v>89083</v>
      </c>
      <c r="G809" s="9">
        <f>IFERROR(VLOOKUP($D809,FIYAT!$B:$O,8,FALSE()),"")</f>
        <v>53449.799999999996</v>
      </c>
      <c r="H809" s="9">
        <f t="shared" si="98"/>
        <v>53449.799999999996</v>
      </c>
      <c r="I809" s="6">
        <v>1</v>
      </c>
      <c r="J809" s="9" t="str">
        <f>IFERROR(VLOOKUP($D809,FIYAT!$B:$O,9,FALSE()),"")</f>
        <v>Шт.</v>
      </c>
      <c r="K809" s="9" t="str">
        <f>IFERROR(VLOOKUP($D809,FIYAT!$B:$O,4,FALSE()),"")</f>
        <v>CHINT</v>
      </c>
      <c r="L809" s="9">
        <f t="shared" si="99"/>
        <v>53449.799999999996</v>
      </c>
      <c r="M809" s="9"/>
      <c r="N809" s="9"/>
      <c r="O809" s="9"/>
      <c r="P809" s="9" t="str">
        <f>IF($H809="","FIYAT_YOK",IFERROR(VLOOKUP($D809,FIYAT!$B:$P,15,FALSE()),""))</f>
        <v>OK</v>
      </c>
      <c r="Q809" s="9" t="s">
        <v>300</v>
      </c>
      <c r="R809" s="9" t="s">
        <v>171</v>
      </c>
      <c r="S809" s="9" t="s">
        <v>637</v>
      </c>
      <c r="T809" s="9" t="s">
        <v>63</v>
      </c>
      <c r="U809" s="9">
        <f>IFERROR(VLOOKUP($T809,KURALLAR!$A$32:$B$63,2,FALSE()),0)*IF(ISNUMBER($I809),$I809,0)</f>
        <v>25</v>
      </c>
    </row>
    <row r="810" spans="1:21" x14ac:dyDescent="0.25">
      <c r="A810" s="5">
        <v>809</v>
      </c>
      <c r="B810" s="5"/>
      <c r="C810" s="5" t="s">
        <v>169</v>
      </c>
      <c r="D810" s="5" t="s">
        <v>276</v>
      </c>
      <c r="E810" s="5" t="str">
        <f>IFERROR(VLOOKUP($D810,FIYAT!$B:$O,2,FALSE()),"")</f>
        <v>Авт. выкл. NM8N-125C TM 3P 40А 36кА с рег. термомаг. расцепителем (R)</v>
      </c>
      <c r="F810" s="5">
        <f>IFERROR(VLOOKUP($D810,FIYAT!$B:$O,5,FALSE()),"")</f>
        <v>68418</v>
      </c>
      <c r="G810" s="5">
        <f>IFERROR(VLOOKUP($D810,FIYAT!$B:$O,8,FALSE()),"")</f>
        <v>41050.799999999996</v>
      </c>
      <c r="H810" s="5">
        <f t="shared" si="98"/>
        <v>82101.599999999991</v>
      </c>
      <c r="I810" s="6">
        <v>2</v>
      </c>
      <c r="J810" s="5" t="str">
        <f>IFERROR(VLOOKUP($D810,FIYAT!$B:$O,9,FALSE()),"")</f>
        <v>Шт.</v>
      </c>
      <c r="K810" s="5" t="str">
        <f>IFERROR(VLOOKUP($D810,FIYAT!$B:$O,4,FALSE()),"")</f>
        <v>CHINT</v>
      </c>
      <c r="L810" s="5">
        <f t="shared" si="99"/>
        <v>82101.599999999991</v>
      </c>
      <c r="M810" s="5"/>
      <c r="N810" s="5"/>
      <c r="O810" s="5"/>
      <c r="P810" s="5" t="str">
        <f>IF($H810="","FIYAT_YOK",IFERROR(VLOOKUP($D810,FIYAT!$B:$P,15,FALSE()),""))</f>
        <v>MUADIL</v>
      </c>
      <c r="Q810" s="5" t="s">
        <v>172</v>
      </c>
      <c r="R810" s="5" t="s">
        <v>171</v>
      </c>
      <c r="S810" s="5" t="s">
        <v>637</v>
      </c>
      <c r="T810" s="5" t="s">
        <v>61</v>
      </c>
      <c r="U810" s="5">
        <f>IFERROR(VLOOKUP($T810,KURALLAR!$A$32:$B$63,2,FALSE()),0)*IF(ISNUMBER($I810),$I810,0)</f>
        <v>30</v>
      </c>
    </row>
    <row r="811" spans="1:21" x14ac:dyDescent="0.25">
      <c r="A811" s="9">
        <v>810</v>
      </c>
      <c r="B811" s="9"/>
      <c r="C811" s="9" t="s">
        <v>83</v>
      </c>
      <c r="D811" s="9" t="s">
        <v>295</v>
      </c>
      <c r="E811" s="9" t="str">
        <f>IFERROR(VLOOKUP($D811,FIYAT!$B:$O,2,FALSE()),"")</f>
        <v>Трансформатор тока Т-0.66-1,2 У3 200/5А (для счётчика)</v>
      </c>
      <c r="F811" s="9">
        <f>IFERROR(VLOOKUP($D811,FIYAT!$B:$O,5,FALSE()),"")</f>
        <v>0</v>
      </c>
      <c r="G811" s="9" t="str">
        <f>IFERROR(VLOOKUP($D811,FIYAT!$B:$O,8,FALSE()),"")</f>
        <v/>
      </c>
      <c r="H811" s="9" t="str">
        <f t="shared" si="98"/>
        <v/>
      </c>
      <c r="I811" s="6">
        <v>3</v>
      </c>
      <c r="J811" s="9" t="str">
        <f>IFERROR(VLOOKUP($D811,FIYAT!$B:$O,9,FALSE()),"")</f>
        <v>Шт.</v>
      </c>
      <c r="K811" s="9" t="str">
        <f>IFERROR(VLOOKUP($D811,FIYAT!$B:$O,4,FALSE()),"")</f>
        <v>MUADIL-NET</v>
      </c>
      <c r="L811" s="9" t="str">
        <f t="shared" si="99"/>
        <v/>
      </c>
      <c r="M811" s="9"/>
      <c r="N811" s="9"/>
      <c r="O811" s="9"/>
      <c r="P811" s="7" t="str">
        <f>IF($H811="","FIYAT_YOK",IFERROR(VLOOKUP($D811,FIYAT!$B:$P,15,FALSE()),""))</f>
        <v>FIYAT_YOK</v>
      </c>
      <c r="Q811" s="7" t="s">
        <v>297</v>
      </c>
      <c r="R811" s="9"/>
      <c r="S811" s="9" t="s">
        <v>637</v>
      </c>
      <c r="T811" s="9" t="s">
        <v>83</v>
      </c>
      <c r="U811" s="9">
        <f>IFERROR(VLOOKUP($T811,KURALLAR!$A$32:$B$63,2,FALSE()),0)*IF(ISNUMBER($I811),$I811,0)</f>
        <v>30</v>
      </c>
    </row>
    <row r="812" spans="1:21" x14ac:dyDescent="0.25">
      <c r="A812" s="5">
        <v>811</v>
      </c>
      <c r="B812" s="5"/>
      <c r="C812" s="5" t="s">
        <v>83</v>
      </c>
      <c r="D812" s="5" t="s">
        <v>301</v>
      </c>
      <c r="E812" s="5" t="str">
        <f>IFERROR(VLOOKUP($D812,FIYAT!$B:$O,2,FALSE()),"")</f>
        <v>Трансформатор тока Т-0.66-1,2 У3 150/5А (для счётчика)</v>
      </c>
      <c r="F812" s="5">
        <f>IFERROR(VLOOKUP($D812,FIYAT!$B:$O,5,FALSE()),"")</f>
        <v>0</v>
      </c>
      <c r="G812" s="5" t="str">
        <f>IFERROR(VLOOKUP($D812,FIYAT!$B:$O,8,FALSE()),"")</f>
        <v/>
      </c>
      <c r="H812" s="5" t="str">
        <f t="shared" si="98"/>
        <v/>
      </c>
      <c r="I812" s="6">
        <v>3</v>
      </c>
      <c r="J812" s="5" t="str">
        <f>IFERROR(VLOOKUP($D812,FIYAT!$B:$O,9,FALSE()),"")</f>
        <v>Шт.</v>
      </c>
      <c r="K812" s="5" t="str">
        <f>IFERROR(VLOOKUP($D812,FIYAT!$B:$O,4,FALSE()),"")</f>
        <v>MUADIL-NET</v>
      </c>
      <c r="L812" s="5" t="str">
        <f t="shared" si="99"/>
        <v/>
      </c>
      <c r="M812" s="5"/>
      <c r="N812" s="5"/>
      <c r="O812" s="5"/>
      <c r="P812" s="7" t="str">
        <f>IF($H812="","FIYAT_YOK",IFERROR(VLOOKUP($D812,FIYAT!$B:$P,15,FALSE()),""))</f>
        <v>FIYAT_YOK</v>
      </c>
      <c r="Q812" s="7" t="s">
        <v>303</v>
      </c>
      <c r="R812" s="5"/>
      <c r="S812" s="5" t="s">
        <v>637</v>
      </c>
      <c r="T812" s="5" t="s">
        <v>83</v>
      </c>
      <c r="U812" s="5">
        <f>IFERROR(VLOOKUP($T812,KURALLAR!$A$32:$B$63,2,FALSE()),0)*IF(ISNUMBER($I812),$I812,0)</f>
        <v>30</v>
      </c>
    </row>
    <row r="813" spans="1:21" x14ac:dyDescent="0.25">
      <c r="A813" s="9">
        <v>812</v>
      </c>
      <c r="B813" s="9"/>
      <c r="C813" s="9" t="s">
        <v>97</v>
      </c>
      <c r="D813" s="9" t="s">
        <v>281</v>
      </c>
      <c r="E813" s="9" t="str">
        <f>IFERROR(VLOOKUP($D813,FIYAT!$B:$O,2,FALSE()),"")</f>
        <v>КОРОБКА КЛЕММНАЯ ИСПЫТАТЕЛЬНАЯ ПЕРЕХОДНАЯ ККИ1-1 EKF PROXIMA</v>
      </c>
      <c r="F813" s="9">
        <f>IFERROR(VLOOKUP($D813,FIYAT!$B:$O,5,FALSE()),"")</f>
        <v>0</v>
      </c>
      <c r="G813" s="9" t="str">
        <f>IFERROR(VLOOKUP($D813,FIYAT!$B:$O,8,FALSE()),"")</f>
        <v/>
      </c>
      <c r="H813" s="9" t="str">
        <f t="shared" si="98"/>
        <v/>
      </c>
      <c r="I813" s="6">
        <v>2</v>
      </c>
      <c r="J813" s="9" t="str">
        <f>IFERROR(VLOOKUP($D813,FIYAT!$B:$O,9,FALSE()),"")</f>
        <v>Шт.</v>
      </c>
      <c r="K813" s="9" t="str">
        <f>IFERROR(VLOOKUP($D813,FIYAT!$B:$O,4,FALSE()),"")</f>
        <v>EKF</v>
      </c>
      <c r="L813" s="9" t="str">
        <f t="shared" si="99"/>
        <v/>
      </c>
      <c r="M813" s="9"/>
      <c r="N813" s="9"/>
      <c r="O813" s="9"/>
      <c r="P813" s="7" t="str">
        <f>IF($H813="","FIYAT_YOK",IFERROR(VLOOKUP($D813,FIYAT!$B:$P,15,FALSE()),""))</f>
        <v>FIYAT_YOK</v>
      </c>
      <c r="Q813" s="7" t="s">
        <v>283</v>
      </c>
      <c r="R813" s="9"/>
      <c r="S813" s="9" t="s">
        <v>637</v>
      </c>
      <c r="T813" s="9" t="s">
        <v>97</v>
      </c>
      <c r="U813" s="9">
        <f>IFERROR(VLOOKUP($T813,KURALLAR!$A$32:$B$63,2,FALSE()),0)*IF(ISNUMBER($I813),$I813,0)</f>
        <v>8</v>
      </c>
    </row>
    <row r="814" spans="1:21" x14ac:dyDescent="0.25">
      <c r="A814" s="5">
        <v>813</v>
      </c>
      <c r="B814" s="5"/>
      <c r="C814" s="5" t="s">
        <v>81</v>
      </c>
      <c r="D814" s="5" t="s">
        <v>284</v>
      </c>
      <c r="E814" s="5" t="str">
        <f>IFERROR(VLOOKUP($D814,FIYAT!$B:$O,2,FALSE()),"")</f>
        <v>Трехфазный эл.счетчик EX 518 5А (трансф. подкл.) с PLC модулем</v>
      </c>
      <c r="F814" s="5">
        <f>IFERROR(VLOOKUP($D814,FIYAT!$B:$O,5,FALSE()),"")</f>
        <v>0</v>
      </c>
      <c r="G814" s="5" t="str">
        <f>IFERROR(VLOOKUP($D814,FIYAT!$B:$O,8,FALSE()),"")</f>
        <v/>
      </c>
      <c r="H814" s="5" t="str">
        <f t="shared" si="98"/>
        <v/>
      </c>
      <c r="I814" s="6">
        <v>2</v>
      </c>
      <c r="J814" s="5" t="str">
        <f>IFERROR(VLOOKUP($D814,FIYAT!$B:$O,9,FALSE()),"")</f>
        <v>Шт.</v>
      </c>
      <c r="K814" s="5" t="str">
        <f>IFERROR(VLOOKUP($D814,FIYAT!$B:$O,4,FALSE()),"")</f>
        <v>MUADIL-NET</v>
      </c>
      <c r="L814" s="5" t="str">
        <f t="shared" si="99"/>
        <v/>
      </c>
      <c r="M814" s="5"/>
      <c r="N814" s="5"/>
      <c r="O814" s="5"/>
      <c r="P814" s="7" t="str">
        <f>IF($H814="","FIYAT_YOK",IFERROR(VLOOKUP($D814,FIYAT!$B:$P,15,FALSE()),""))</f>
        <v>FIYAT_YOK</v>
      </c>
      <c r="Q814" s="7" t="s">
        <v>249</v>
      </c>
      <c r="R814" s="5"/>
      <c r="S814" s="5" t="s">
        <v>637</v>
      </c>
      <c r="T814" s="5" t="s">
        <v>81</v>
      </c>
      <c r="U814" s="5">
        <f>IFERROR(VLOOKUP($T814,KURALLAR!$A$32:$B$63,2,FALSE()),0)*IF(ISNUMBER($I814),$I814,0)</f>
        <v>60</v>
      </c>
    </row>
    <row r="815" spans="1:21" x14ac:dyDescent="0.25">
      <c r="A815" s="9">
        <v>814</v>
      </c>
      <c r="B815" s="9"/>
      <c r="C815" s="9" t="s">
        <v>253</v>
      </c>
      <c r="D815" s="9" t="s">
        <v>251</v>
      </c>
      <c r="E815" s="9" t="str">
        <f>IFERROR(VLOOKUP($D815,FIYAT!$B:$O,2,FALSE()),"")</f>
        <v>Шина алюминиевая твёрдая (ШАТ)</v>
      </c>
      <c r="F815" s="9">
        <f>IFERROR(VLOOKUP($D815,FIYAT!$B:$O,5,FALSE()),"")</f>
        <v>4493.5999999999995</v>
      </c>
      <c r="G815" s="9">
        <f>IFERROR(VLOOKUP($D815,FIYAT!$B:$O,8,FALSE()),"")</f>
        <v>4493.5999999999995</v>
      </c>
      <c r="H815" s="9">
        <f t="shared" si="98"/>
        <v>107846.39999999999</v>
      </c>
      <c r="I815" s="6">
        <v>24</v>
      </c>
      <c r="J815" s="9" t="str">
        <f>IFERROR(VLOOKUP($D815,FIYAT!$B:$O,9,FALSE()),"")</f>
        <v>Кг.</v>
      </c>
      <c r="K815" s="9" t="str">
        <f>IFERROR(VLOOKUP($D815,FIYAT!$B:$O,4,FALSE()),"")</f>
        <v>ALUM-BARA</v>
      </c>
      <c r="L815" s="9">
        <f t="shared" si="99"/>
        <v>107846.39999999999</v>
      </c>
      <c r="M815" s="9"/>
      <c r="N815" s="9"/>
      <c r="O815" s="9"/>
      <c r="P815" s="9" t="str">
        <f>IF($H815="","FIYAT_YOK",IFERROR(VLOOKUP($D815,FIYAT!$B:$P,15,FALSE()),""))</f>
        <v>VARSAYIM</v>
      </c>
      <c r="Q815" s="9" t="s">
        <v>255</v>
      </c>
      <c r="R815" s="9"/>
      <c r="S815" s="9" t="s">
        <v>637</v>
      </c>
      <c r="T815" s="9" t="s">
        <v>101</v>
      </c>
      <c r="U815" s="9">
        <f>IFERROR(VLOOKUP($T815,KURALLAR!$A$32:$B$63,2,FALSE()),0)*IF(ISNUMBER($I815),$I815,0)</f>
        <v>144</v>
      </c>
    </row>
    <row r="816" spans="1:21" x14ac:dyDescent="0.25">
      <c r="A816" s="5">
        <v>815</v>
      </c>
      <c r="B816" s="5"/>
      <c r="C816" s="5" t="s">
        <v>222</v>
      </c>
      <c r="D816" s="5" t="s">
        <v>261</v>
      </c>
      <c r="E816" s="5" t="str">
        <f>IFERROR(VLOOKUP($D816,FIYAT!$B:$O,2,FALSE()),"")</f>
        <v>Мет. Щит (2000x700x500) +10CM BAZA IP54</v>
      </c>
      <c r="F816" s="5">
        <f>IFERROR(VLOOKUP($D816,FIYAT!$B:$O,5,FALSE()),"")</f>
        <v>117250</v>
      </c>
      <c r="G816" s="5">
        <f>IFERROR(VLOOKUP($D816,FIYAT!$B:$O,8,FALSE()),"")</f>
        <v>70350</v>
      </c>
      <c r="H816" s="5">
        <f t="shared" si="98"/>
        <v>70350</v>
      </c>
      <c r="I816" s="6">
        <v>1</v>
      </c>
      <c r="J816" s="5" t="str">
        <f>IFERROR(VLOOKUP($D816,FIYAT!$B:$O,9,FALSE()),"")</f>
        <v>Шт.</v>
      </c>
      <c r="K816" s="5" t="str">
        <f>IFERROR(VLOOKUP($D816,FIYAT!$B:$O,4,FALSE()),"")</f>
        <v>KAZTEK</v>
      </c>
      <c r="L816" s="5">
        <f t="shared" si="99"/>
        <v>70350</v>
      </c>
      <c r="M816" s="5"/>
      <c r="N816" s="5"/>
      <c r="O816" s="5"/>
      <c r="P816" s="5" t="str">
        <f>IF($H816="","FIYAT_YOK",IFERROR(VLOOKUP($D816,FIYAT!$B:$P,15,FALSE()),""))</f>
        <v>VARSAYIM</v>
      </c>
      <c r="Q816" s="5" t="s">
        <v>263</v>
      </c>
      <c r="R816" s="5" t="s">
        <v>211</v>
      </c>
      <c r="S816" s="5" t="s">
        <v>637</v>
      </c>
      <c r="T816" s="5" t="s">
        <v>107</v>
      </c>
      <c r="U816" s="5">
        <f>IFERROR(VLOOKUP($T816,KURALLAR!$A$32:$B$63,2,FALSE()),0)*IF(ISNUMBER($I816),$I816,0)</f>
        <v>90</v>
      </c>
    </row>
    <row r="817" spans="1:21" x14ac:dyDescent="0.25">
      <c r="A817" s="9">
        <v>816</v>
      </c>
      <c r="B817" s="9"/>
      <c r="C817" s="9" t="s">
        <v>215</v>
      </c>
      <c r="D817" s="9" t="s">
        <v>213</v>
      </c>
      <c r="E817" s="9" t="str">
        <f>IFERROR(VLOOKUP($D817,FIYAT!$B:$O,2,FALSE()),"")</f>
        <v>Монтажный расходный материал (кабель, DIN-рейка, кабель-канал, клеммы, маркировка, крепёж)</v>
      </c>
      <c r="F817" s="9">
        <f>IFERROR(VLOOKUP($D817,FIYAT!$B:$O,5,FALSE()),"")</f>
        <v>0</v>
      </c>
      <c r="G817" s="9" t="str">
        <f>IFERROR(VLOOKUP($D817,FIYAT!$B:$O,8,FALSE()),"")</f>
        <v/>
      </c>
      <c r="H817" s="9">
        <f>ROUND(SUM($H$799:$H$816)*KURALLAR!$B$28,0)</f>
        <v>37236</v>
      </c>
      <c r="I817" s="6">
        <v>1</v>
      </c>
      <c r="J817" s="9" t="str">
        <f>IFERROR(VLOOKUP($D817,FIYAT!$B:$O,9,FALSE()),"")</f>
        <v>компл.</v>
      </c>
      <c r="K817" s="9" t="str">
        <f>IFERROR(VLOOKUP($D817,FIYAT!$B:$O,4,FALSE()),"")</f>
        <v>MUADIL-NET</v>
      </c>
      <c r="L817" s="9">
        <f t="shared" si="99"/>
        <v>37236</v>
      </c>
      <c r="M817" s="9"/>
      <c r="N817" s="9"/>
      <c r="O817" s="9"/>
      <c r="P817" s="9" t="str">
        <f>IF($H817="","FIYAT_YOK",IFERROR(VLOOKUP($D817,FIYAT!$B:$P,15,FALSE()),""))</f>
        <v>ORAN</v>
      </c>
      <c r="Q817" s="9" t="s">
        <v>218</v>
      </c>
      <c r="R817" s="9" t="s">
        <v>217</v>
      </c>
      <c r="S817" s="9" t="s">
        <v>637</v>
      </c>
      <c r="T817" s="9"/>
      <c r="U817" s="9">
        <v>0</v>
      </c>
    </row>
    <row r="818" spans="1:21" x14ac:dyDescent="0.25">
      <c r="A818" s="5">
        <v>817</v>
      </c>
      <c r="B818" s="5"/>
      <c r="C818" s="5" t="s">
        <v>227</v>
      </c>
      <c r="D818" s="5" t="s">
        <v>225</v>
      </c>
      <c r="E818" s="5" t="str">
        <f>IFERROR(VLOOKUP($D818,FIYAT!$B:$O,2,FALSE()),"")</f>
        <v>Сборка, кабелирование, маркировка, момент затяжки, испытания</v>
      </c>
      <c r="F818" s="5">
        <f>IFERROR(VLOOKUP($D818,FIYAT!$B:$O,5,FALSE()),"")</f>
        <v>100</v>
      </c>
      <c r="G818" s="5">
        <f>IFERROR(VLOOKUP($D818,FIYAT!$B:$O,8,FALSE()),"")</f>
        <v>100</v>
      </c>
      <c r="H818" s="5">
        <f>IF(OR($G818="",$I818=""),"",$G818*$I818)</f>
        <v>66200</v>
      </c>
      <c r="I818" s="6">
        <f>ROUND(SUM($U$799:$U$817)*KURALLAR!$B$27,0)</f>
        <v>662</v>
      </c>
      <c r="J818" s="5" t="str">
        <f>IFERROR(VLOOKUP($D818,FIYAT!$B:$O,9,FALSE()),"")</f>
        <v>мин</v>
      </c>
      <c r="K818" s="5" t="str">
        <f>IFERROR(VLOOKUP($D818,FIYAT!$B:$O,4,FALSE()),"")</f>
        <v>ISCILIK</v>
      </c>
      <c r="L818" s="5">
        <f t="shared" si="99"/>
        <v>66200</v>
      </c>
      <c r="M818" s="5"/>
      <c r="N818" s="5"/>
      <c r="O818" s="5"/>
      <c r="P818" s="5" t="str">
        <f>IF($H818="","FIYAT_YOK",IFERROR(VLOOKUP($D818,FIYAT!$B:$P,15,FALSE()),""))</f>
        <v>OK</v>
      </c>
      <c r="Q818" s="5" t="str">
        <f>CONCATENATE("montaj+test iscilik: ",TEXT($I818,"# ##0")," dk = ",TEXT($I818/60,"0,00")," saat (norm x test/etiket carpani)")</f>
        <v>montaj+test iscilik:  662 dk = 11,03 saat (norm x test/etiket carpani)</v>
      </c>
      <c r="R818" s="5" t="s">
        <v>229</v>
      </c>
      <c r="S818" s="5" t="s">
        <v>637</v>
      </c>
      <c r="T818" s="5"/>
      <c r="U818" s="5">
        <v>0</v>
      </c>
    </row>
    <row r="819" spans="1:21" x14ac:dyDescent="0.25">
      <c r="A819" s="10">
        <v>818</v>
      </c>
      <c r="B819" s="10" t="s">
        <v>650</v>
      </c>
      <c r="C819" s="10"/>
      <c r="D819" s="10"/>
      <c r="E819" s="10"/>
      <c r="F819" s="10"/>
      <c r="G819" s="10"/>
      <c r="H819" s="10">
        <f>SUBTOTAL(9,H799:H818)</f>
        <v>635374.39999999991</v>
      </c>
      <c r="I819" s="10"/>
      <c r="J819" s="10"/>
      <c r="K819" s="10"/>
      <c r="L819" s="10">
        <f>SUBTOTAL(9,L799:L818)</f>
        <v>635374.39999999991</v>
      </c>
      <c r="M819" s="10"/>
      <c r="N819" s="10"/>
      <c r="O819" s="10"/>
      <c r="P819" s="10"/>
      <c r="Q819" s="10"/>
      <c r="R819" s="10"/>
      <c r="S819" s="10"/>
      <c r="T819" s="10"/>
      <c r="U819" s="10">
        <f>SUBTOTAL(9,U799:U818)</f>
        <v>576</v>
      </c>
    </row>
    <row r="820" spans="1:21" x14ac:dyDescent="0.25">
      <c r="A820" s="8">
        <v>819</v>
      </c>
      <c r="B820" s="8" t="str">
        <f>E820</f>
        <v>BLOK B / ЩЭ-F2 — НКУ 380/220В 50Гц, FORM 2B, IP31/54</v>
      </c>
      <c r="C820" s="8" t="s">
        <v>545</v>
      </c>
      <c r="D820" s="8"/>
      <c r="E820" s="8" t="s">
        <v>651</v>
      </c>
      <c r="F820" s="8"/>
      <c r="G820" s="8"/>
      <c r="H820" s="8"/>
      <c r="I820" s="8">
        <v>1</v>
      </c>
      <c r="J820" s="8" t="s">
        <v>547</v>
      </c>
      <c r="K820" s="8"/>
      <c r="L820" s="8"/>
      <c r="M820" s="8"/>
      <c r="N820" s="8"/>
      <c r="O820" s="8"/>
      <c r="P820" s="8" t="s">
        <v>178</v>
      </c>
      <c r="Q820" s="8" t="s">
        <v>548</v>
      </c>
      <c r="R820" s="8" t="s">
        <v>549</v>
      </c>
      <c r="S820" s="8" t="s">
        <v>637</v>
      </c>
      <c r="T820" s="8"/>
      <c r="U820" s="8"/>
    </row>
    <row r="821" spans="1:21" x14ac:dyDescent="0.25">
      <c r="A821" s="9">
        <v>820</v>
      </c>
      <c r="B821" s="9"/>
      <c r="C821" s="9" t="s">
        <v>169</v>
      </c>
      <c r="D821" s="9" t="s">
        <v>286</v>
      </c>
      <c r="E821" s="9" t="str">
        <f>IFERROR(VLOOKUP($D821,FIYAT!$B:$O,2,FALSE()),"")</f>
        <v>Авт. выкл. NM8N-400C TM 3P 315А 36кА с рег. термомаг. расцепителем (R)</v>
      </c>
      <c r="F821" s="9">
        <f>IFERROR(VLOOKUP($D821,FIYAT!$B:$O,5,FALSE()),"")</f>
        <v>199091</v>
      </c>
      <c r="G821" s="9">
        <f>IFERROR(VLOOKUP($D821,FIYAT!$B:$O,8,FALSE()),"")</f>
        <v>119454.59999999999</v>
      </c>
      <c r="H821" s="9">
        <f t="shared" ref="H821:H836" si="100">IF(OR($G821="",$I821=""),"",$G821*$I821)</f>
        <v>119454.59999999999</v>
      </c>
      <c r="I821" s="6">
        <v>1</v>
      </c>
      <c r="J821" s="9" t="str">
        <f>IFERROR(VLOOKUP($D821,FIYAT!$B:$O,9,FALSE()),"")</f>
        <v>Шт.</v>
      </c>
      <c r="K821" s="9" t="str">
        <f>IFERROR(VLOOKUP($D821,FIYAT!$B:$O,4,FALSE()),"")</f>
        <v>CHINT</v>
      </c>
      <c r="L821" s="9">
        <f t="shared" ref="L821:L838" si="101">IF($H821="","",$H821)</f>
        <v>119454.59999999999</v>
      </c>
      <c r="M821" s="9"/>
      <c r="N821" s="9"/>
      <c r="O821" s="9"/>
      <c r="P821" s="9" t="str">
        <f>IF($H821="","FIYAT_YOK",IFERROR(VLOOKUP($D821,FIYAT!$B:$P,15,FALSE()),""))</f>
        <v>OK</v>
      </c>
      <c r="Q821" s="9" t="s">
        <v>288</v>
      </c>
      <c r="R821" s="9" t="s">
        <v>184</v>
      </c>
      <c r="S821" s="9" t="s">
        <v>637</v>
      </c>
      <c r="T821" s="9" t="s">
        <v>65</v>
      </c>
      <c r="U821" s="9">
        <f>IFERROR(VLOOKUP($T821,KURALLAR!$A$32:$B$63,2,FALSE()),0)*IF(ISNUMBER($I821),$I821,0)</f>
        <v>40</v>
      </c>
    </row>
    <row r="822" spans="1:21" x14ac:dyDescent="0.25">
      <c r="A822" s="5">
        <v>821</v>
      </c>
      <c r="B822" s="5"/>
      <c r="C822" s="5" t="s">
        <v>93</v>
      </c>
      <c r="D822" s="5" t="s">
        <v>267</v>
      </c>
      <c r="E822" s="5" t="str">
        <f>IFERROR(VLOOKUP($D822,FIYAT!$B:$O,2,FALSE()),"")</f>
        <v>Независимый расцепитель SHT22-M8 AC220-240V для NM8N-250/400/630 (R)</v>
      </c>
      <c r="F822" s="5">
        <f>IFERROR(VLOOKUP($D822,FIYAT!$B:$O,5,FALSE()),"")</f>
        <v>18552</v>
      </c>
      <c r="G822" s="5">
        <f>IFERROR(VLOOKUP($D822,FIYAT!$B:$O,8,FALSE()),"")</f>
        <v>11131.199999999999</v>
      </c>
      <c r="H822" s="5">
        <f t="shared" si="100"/>
        <v>11131.199999999999</v>
      </c>
      <c r="I822" s="6">
        <v>1</v>
      </c>
      <c r="J822" s="5" t="str">
        <f>IFERROR(VLOOKUP($D822,FIYAT!$B:$O,9,FALSE()),"")</f>
        <v>Шт.</v>
      </c>
      <c r="K822" s="5" t="str">
        <f>IFERROR(VLOOKUP($D822,FIYAT!$B:$O,4,FALSE()),"")</f>
        <v>CHINT</v>
      </c>
      <c r="L822" s="5">
        <f t="shared" si="101"/>
        <v>11131.199999999999</v>
      </c>
      <c r="M822" s="5"/>
      <c r="N822" s="5"/>
      <c r="O822" s="5"/>
      <c r="P822" s="5" t="str">
        <f>IF($H822="","FIYAT_YOK",IFERROR(VLOOKUP($D822,FIYAT!$B:$P,15,FALSE()),""))</f>
        <v>OK</v>
      </c>
      <c r="Q822" s="5" t="s">
        <v>269</v>
      </c>
      <c r="R822" s="5" t="s">
        <v>184</v>
      </c>
      <c r="S822" s="5" t="s">
        <v>637</v>
      </c>
      <c r="T822" s="5" t="s">
        <v>95</v>
      </c>
      <c r="U822" s="5">
        <f>IFERROR(VLOOKUP($T822,KURALLAR!$A$32:$B$63,2,FALSE()),0)*IF(ISNUMBER($I822),$I822,0)</f>
        <v>10</v>
      </c>
    </row>
    <row r="823" spans="1:21" x14ac:dyDescent="0.25">
      <c r="A823" s="9">
        <v>822</v>
      </c>
      <c r="B823" s="9"/>
      <c r="C823" s="9" t="s">
        <v>192</v>
      </c>
      <c r="D823" s="9" t="s">
        <v>238</v>
      </c>
      <c r="E823" s="9" t="str">
        <f>IFERROR(VLOOKUP($D823,FIYAT!$B:$O,2,FALSE()),"")</f>
        <v>Авт. выкл. NXB-63 1P 6A 6кА х-ка C (R)</v>
      </c>
      <c r="F823" s="9">
        <f>IFERROR(VLOOKUP($D823,FIYAT!$B:$O,5,FALSE()),"")</f>
        <v>1436</v>
      </c>
      <c r="G823" s="9">
        <f>IFERROR(VLOOKUP($D823,FIYAT!$B:$O,8,FALSE()),"")</f>
        <v>861.6</v>
      </c>
      <c r="H823" s="9">
        <f t="shared" si="100"/>
        <v>3446.4</v>
      </c>
      <c r="I823" s="6">
        <v>4</v>
      </c>
      <c r="J823" s="9" t="str">
        <f>IFERROR(VLOOKUP($D823,FIYAT!$B:$O,9,FALSE()),"")</f>
        <v>Шт.</v>
      </c>
      <c r="K823" s="9" t="str">
        <f>IFERROR(VLOOKUP($D823,FIYAT!$B:$O,4,FALSE()),"")</f>
        <v>CHINT</v>
      </c>
      <c r="L823" s="9">
        <f t="shared" si="101"/>
        <v>3446.4</v>
      </c>
      <c r="M823" s="9"/>
      <c r="N823" s="9"/>
      <c r="O823" s="9"/>
      <c r="P823" s="9" t="str">
        <f>IF($H823="","FIYAT_YOK",IFERROR(VLOOKUP($D823,FIYAT!$B:$P,15,FALSE()),""))</f>
        <v>OK</v>
      </c>
      <c r="Q823" s="9" t="s">
        <v>240</v>
      </c>
      <c r="R823" s="9" t="s">
        <v>171</v>
      </c>
      <c r="S823" s="9" t="s">
        <v>637</v>
      </c>
      <c r="T823" s="9" t="s">
        <v>47</v>
      </c>
      <c r="U823" s="9">
        <f>IFERROR(VLOOKUP($T823,KURALLAR!$A$32:$B$63,2,FALSE()),0)*IF(ISNUMBER($I823),$I823,0)</f>
        <v>12</v>
      </c>
    </row>
    <row r="824" spans="1:21" x14ac:dyDescent="0.25">
      <c r="A824" s="5">
        <v>823</v>
      </c>
      <c r="B824" s="5"/>
      <c r="C824" s="5" t="s">
        <v>89</v>
      </c>
      <c r="D824" s="5" t="s">
        <v>241</v>
      </c>
      <c r="E824" s="5" t="str">
        <f>IFERROR(VLOOKUP($D824,FIYAT!$B:$O,2,FALSE()),"")</f>
        <v>Индикатор ND16-22DS/4 белый АС230В (R)</v>
      </c>
      <c r="F824" s="5">
        <f>IFERROR(VLOOKUP($D824,FIYAT!$B:$O,5,FALSE()),"")</f>
        <v>1047</v>
      </c>
      <c r="G824" s="5">
        <f>IFERROR(VLOOKUP($D824,FIYAT!$B:$O,8,FALSE()),"")</f>
        <v>628.19999999999993</v>
      </c>
      <c r="H824" s="5">
        <f t="shared" si="100"/>
        <v>1884.6</v>
      </c>
      <c r="I824" s="6">
        <v>3</v>
      </c>
      <c r="J824" s="5" t="str">
        <f>IFERROR(VLOOKUP($D824,FIYAT!$B:$O,9,FALSE()),"")</f>
        <v>Шт.</v>
      </c>
      <c r="K824" s="5" t="str">
        <f>IFERROR(VLOOKUP($D824,FIYAT!$B:$O,4,FALSE()),"")</f>
        <v>CHINT</v>
      </c>
      <c r="L824" s="5">
        <f t="shared" si="101"/>
        <v>1884.6</v>
      </c>
      <c r="M824" s="5"/>
      <c r="N824" s="5"/>
      <c r="O824" s="5"/>
      <c r="P824" s="5" t="str">
        <f>IF($H824="","FIYAT_YOK",IFERROR(VLOOKUP($D824,FIYAT!$B:$P,15,FALSE()),""))</f>
        <v>OK</v>
      </c>
      <c r="Q824" s="5" t="s">
        <v>243</v>
      </c>
      <c r="R824" s="5" t="s">
        <v>184</v>
      </c>
      <c r="S824" s="5" t="s">
        <v>637</v>
      </c>
      <c r="T824" s="5" t="s">
        <v>89</v>
      </c>
      <c r="U824" s="5">
        <f>IFERROR(VLOOKUP($T824,KURALLAR!$A$32:$B$63,2,FALSE()),0)*IF(ISNUMBER($I824),$I824,0)</f>
        <v>12</v>
      </c>
    </row>
    <row r="825" spans="1:21" x14ac:dyDescent="0.25">
      <c r="A825" s="9">
        <v>824</v>
      </c>
      <c r="B825" s="9"/>
      <c r="C825" s="9" t="s">
        <v>87</v>
      </c>
      <c r="D825" s="9" t="s">
        <v>270</v>
      </c>
      <c r="E825" s="9" t="str">
        <f>IFERROR(VLOOKUP($D825,FIYAT!$B:$O,2,FALSE()),"")</f>
        <v>Реле защиты от утечки тока с LCD индикацией (регулируемое) — CHINT листинге нет</v>
      </c>
      <c r="F825" s="9">
        <f>IFERROR(VLOOKUP($D825,FIYAT!$B:$O,5,FALSE()),"")</f>
        <v>0</v>
      </c>
      <c r="G825" s="9" t="str">
        <f>IFERROR(VLOOKUP($D825,FIYAT!$B:$O,8,FALSE()),"")</f>
        <v/>
      </c>
      <c r="H825" s="9" t="str">
        <f t="shared" si="100"/>
        <v/>
      </c>
      <c r="I825" s="6">
        <v>1</v>
      </c>
      <c r="J825" s="9" t="str">
        <f>IFERROR(VLOOKUP($D825,FIYAT!$B:$O,9,FALSE()),"")</f>
        <v>Шт.</v>
      </c>
      <c r="K825" s="9" t="str">
        <f>IFERROR(VLOOKUP($D825,FIYAT!$B:$O,4,FALSE()),"")</f>
        <v>MUADIL-NET</v>
      </c>
      <c r="L825" s="9" t="str">
        <f t="shared" si="101"/>
        <v/>
      </c>
      <c r="M825" s="9"/>
      <c r="N825" s="9"/>
      <c r="O825" s="9"/>
      <c r="P825" s="7" t="str">
        <f>IF($H825="","FIYAT_YOK",IFERROR(VLOOKUP($D825,FIYAT!$B:$P,15,FALSE()),""))</f>
        <v>FIYAT_YOK</v>
      </c>
      <c r="Q825" s="7" t="s">
        <v>272</v>
      </c>
      <c r="R825" s="9"/>
      <c r="S825" s="9" t="s">
        <v>637</v>
      </c>
      <c r="T825" s="9" t="s">
        <v>87</v>
      </c>
      <c r="U825" s="9">
        <f>IFERROR(VLOOKUP($T825,KURALLAR!$A$32:$B$63,2,FALSE()),0)*IF(ISNUMBER($I825),$I825,0)</f>
        <v>8</v>
      </c>
    </row>
    <row r="826" spans="1:21" x14ac:dyDescent="0.25">
      <c r="A826" s="5">
        <v>825</v>
      </c>
      <c r="B826" s="5"/>
      <c r="C826" s="5" t="s">
        <v>83</v>
      </c>
      <c r="D826" s="5" t="s">
        <v>289</v>
      </c>
      <c r="E826" s="5" t="str">
        <f>IFERROR(VLOOKUP($D826,FIYAT!$B:$O,2,FALSE()),"")</f>
        <v>Тороидальный трансформатор тока Ø100мм (250-400A) — CHINT листинге нет</v>
      </c>
      <c r="F826" s="5">
        <f>IFERROR(VLOOKUP($D826,FIYAT!$B:$O,5,FALSE()),"")</f>
        <v>0</v>
      </c>
      <c r="G826" s="5" t="str">
        <f>IFERROR(VLOOKUP($D826,FIYAT!$B:$O,8,FALSE()),"")</f>
        <v/>
      </c>
      <c r="H826" s="5" t="str">
        <f t="shared" si="100"/>
        <v/>
      </c>
      <c r="I826" s="6">
        <v>1</v>
      </c>
      <c r="J826" s="5" t="str">
        <f>IFERROR(VLOOKUP($D826,FIYAT!$B:$O,9,FALSE()),"")</f>
        <v>Шт.</v>
      </c>
      <c r="K826" s="5" t="str">
        <f>IFERROR(VLOOKUP($D826,FIYAT!$B:$O,4,FALSE()),"")</f>
        <v>MUADIL-NET</v>
      </c>
      <c r="L826" s="5" t="str">
        <f t="shared" si="101"/>
        <v/>
      </c>
      <c r="M826" s="5"/>
      <c r="N826" s="5"/>
      <c r="O826" s="5"/>
      <c r="P826" s="7" t="str">
        <f>IF($H826="","FIYAT_YOK",IFERROR(VLOOKUP($D826,FIYAT!$B:$P,15,FALSE()),""))</f>
        <v>FIYAT_YOK</v>
      </c>
      <c r="Q826" s="7" t="s">
        <v>291</v>
      </c>
      <c r="R826" s="5"/>
      <c r="S826" s="5" t="s">
        <v>637</v>
      </c>
      <c r="T826" s="5" t="s">
        <v>83</v>
      </c>
      <c r="U826" s="5">
        <f>IFERROR(VLOOKUP($T826,KURALLAR!$A$32:$B$63,2,FALSE()),0)*IF(ISNUMBER($I826),$I826,0)</f>
        <v>10</v>
      </c>
    </row>
    <row r="827" spans="1:21" x14ac:dyDescent="0.25">
      <c r="A827" s="9">
        <v>826</v>
      </c>
      <c r="B827" s="9"/>
      <c r="C827" s="9" t="s">
        <v>79</v>
      </c>
      <c r="D827" s="9" t="s">
        <v>179</v>
      </c>
      <c r="E827" s="9" t="str">
        <f>IFERROR(VLOOKUP($D827,FIYAT!$B:$O,2,FALSE()),"")</f>
        <v>Держатель плавкой вставки RT36-00-160, габарит 00, 160А</v>
      </c>
      <c r="F827" s="9">
        <f>IFERROR(VLOOKUP($D827,FIYAT!$B:$O,5,FALSE()),"")</f>
        <v>2038</v>
      </c>
      <c r="G827" s="9">
        <f>IFERROR(VLOOKUP($D827,FIYAT!$B:$O,8,FALSE()),"")</f>
        <v>1222.8</v>
      </c>
      <c r="H827" s="9">
        <f t="shared" si="100"/>
        <v>4891.2</v>
      </c>
      <c r="I827" s="6">
        <v>4</v>
      </c>
      <c r="J827" s="9" t="str">
        <f>IFERROR(VLOOKUP($D827,FIYAT!$B:$O,9,FALSE()),"")</f>
        <v>Шт.</v>
      </c>
      <c r="K827" s="9" t="str">
        <f>IFERROR(VLOOKUP($D827,FIYAT!$B:$O,4,FALSE()),"")</f>
        <v>CHINT</v>
      </c>
      <c r="L827" s="9">
        <f t="shared" si="101"/>
        <v>4891.2</v>
      </c>
      <c r="M827" s="9"/>
      <c r="N827" s="9"/>
      <c r="O827" s="9"/>
      <c r="P827" s="9" t="str">
        <f>IF($H827="","FIYAT_YOK",IFERROR(VLOOKUP($D827,FIYAT!$B:$P,15,FALSE()),""))</f>
        <v>MUADIL</v>
      </c>
      <c r="Q827" s="9" t="s">
        <v>181</v>
      </c>
      <c r="R827" s="9" t="s">
        <v>171</v>
      </c>
      <c r="S827" s="9" t="s">
        <v>637</v>
      </c>
      <c r="T827" s="9" t="s">
        <v>77</v>
      </c>
      <c r="U827" s="9">
        <f>IFERROR(VLOOKUP($T827,KURALLAR!$A$32:$B$63,2,FALSE()),0)*IF(ISNUMBER($I827),$I827,0)</f>
        <v>20</v>
      </c>
    </row>
    <row r="828" spans="1:21" x14ac:dyDescent="0.25">
      <c r="A828" s="5">
        <v>827</v>
      </c>
      <c r="B828" s="5"/>
      <c r="C828" s="5" t="s">
        <v>79</v>
      </c>
      <c r="D828" s="5" t="s">
        <v>182</v>
      </c>
      <c r="E828" s="5" t="str">
        <f>IFERROR(VLOOKUP($D828,FIYAT!$B:$O,2,FALSE()),"")</f>
        <v>Плавкая вставка предохранителя RT36-00-160, габарит 00, 63А</v>
      </c>
      <c r="F828" s="5">
        <f>IFERROR(VLOOKUP($D828,FIYAT!$B:$O,5,FALSE()),"")</f>
        <v>1525</v>
      </c>
      <c r="G828" s="5">
        <f>IFERROR(VLOOKUP($D828,FIYAT!$B:$O,8,FALSE()),"")</f>
        <v>915</v>
      </c>
      <c r="H828" s="5">
        <f t="shared" si="100"/>
        <v>3660</v>
      </c>
      <c r="I828" s="6">
        <v>4</v>
      </c>
      <c r="J828" s="5" t="str">
        <f>IFERROR(VLOOKUP($D828,FIYAT!$B:$O,9,FALSE()),"")</f>
        <v>Шт.</v>
      </c>
      <c r="K828" s="5" t="str">
        <f>IFERROR(VLOOKUP($D828,FIYAT!$B:$O,4,FALSE()),"")</f>
        <v>CHINT</v>
      </c>
      <c r="L828" s="5">
        <f t="shared" si="101"/>
        <v>3660</v>
      </c>
      <c r="M828" s="5"/>
      <c r="N828" s="5"/>
      <c r="O828" s="5"/>
      <c r="P828" s="5" t="str">
        <f>IF($H828="","FIYAT_YOK",IFERROR(VLOOKUP($D828,FIYAT!$B:$P,15,FALSE()),""))</f>
        <v>MUADIL</v>
      </c>
      <c r="Q828" s="5" t="s">
        <v>185</v>
      </c>
      <c r="R828" s="5" t="s">
        <v>184</v>
      </c>
      <c r="S828" s="5" t="s">
        <v>637</v>
      </c>
      <c r="T828" s="5" t="s">
        <v>79</v>
      </c>
      <c r="U828" s="5">
        <f>IFERROR(VLOOKUP($T828,KURALLAR!$A$32:$B$63,2,FALSE()),0)*IF(ISNUMBER($I828),$I828,0)</f>
        <v>12</v>
      </c>
    </row>
    <row r="829" spans="1:21" x14ac:dyDescent="0.25">
      <c r="A829" s="9">
        <v>828</v>
      </c>
      <c r="B829" s="9"/>
      <c r="C829" s="9" t="s">
        <v>75</v>
      </c>
      <c r="D829" s="9" t="s">
        <v>186</v>
      </c>
      <c r="E829" s="9" t="str">
        <f>IFERROR(VLOOKUP($D829,FIYAT!$B:$O,2,FALSE()),"")</f>
        <v>Ограничитель имп. перенапр. NU6-IIG 4Р In=25kA Uc=440B Im=65kA (R)</v>
      </c>
      <c r="F829" s="9">
        <f>IFERROR(VLOOKUP($D829,FIYAT!$B:$O,5,FALSE()),"")</f>
        <v>33208</v>
      </c>
      <c r="G829" s="9">
        <f>IFERROR(VLOOKUP($D829,FIYAT!$B:$O,8,FALSE()),"")</f>
        <v>19924.8</v>
      </c>
      <c r="H829" s="9">
        <f t="shared" si="100"/>
        <v>19924.8</v>
      </c>
      <c r="I829" s="6">
        <v>1</v>
      </c>
      <c r="J829" s="9" t="str">
        <f>IFERROR(VLOOKUP($D829,FIYAT!$B:$O,9,FALSE()),"")</f>
        <v>Шт.</v>
      </c>
      <c r="K829" s="9" t="str">
        <f>IFERROR(VLOOKUP($D829,FIYAT!$B:$O,4,FALSE()),"")</f>
        <v>CHINT</v>
      </c>
      <c r="L829" s="9">
        <f t="shared" si="101"/>
        <v>19924.8</v>
      </c>
      <c r="M829" s="9"/>
      <c r="N829" s="9"/>
      <c r="O829" s="9"/>
      <c r="P829" s="9" t="str">
        <f>IF($H829="","FIYAT_YOK",IFERROR(VLOOKUP($D829,FIYAT!$B:$P,15,FALSE()),""))</f>
        <v>MUADIL_ONAY</v>
      </c>
      <c r="Q829" s="9" t="s">
        <v>188</v>
      </c>
      <c r="R829" s="9" t="s">
        <v>184</v>
      </c>
      <c r="S829" s="9" t="s">
        <v>637</v>
      </c>
      <c r="T829" s="9" t="s">
        <v>75</v>
      </c>
      <c r="U829" s="9">
        <f>IFERROR(VLOOKUP($T829,KURALLAR!$A$32:$B$63,2,FALSE()),0)*IF(ISNUMBER($I829),$I829,0)</f>
        <v>10</v>
      </c>
    </row>
    <row r="830" spans="1:21" x14ac:dyDescent="0.25">
      <c r="A830" s="5">
        <v>829</v>
      </c>
      <c r="B830" s="5"/>
      <c r="C830" s="5" t="s">
        <v>169</v>
      </c>
      <c r="D830" s="5" t="s">
        <v>292</v>
      </c>
      <c r="E830" s="5" t="str">
        <f>IFERROR(VLOOKUP($D830,FIYAT!$B:$O,2,FALSE()),"")</f>
        <v>Авт. выкл. NM8N-250C TM 3P 200А 36кА с рег. термомаг. расцепителем (R)</v>
      </c>
      <c r="F830" s="5">
        <f>IFERROR(VLOOKUP($D830,FIYAT!$B:$O,5,FALSE()),"")</f>
        <v>89663</v>
      </c>
      <c r="G830" s="5">
        <f>IFERROR(VLOOKUP($D830,FIYAT!$B:$O,8,FALSE()),"")</f>
        <v>53797.799999999996</v>
      </c>
      <c r="H830" s="5">
        <f t="shared" si="100"/>
        <v>107595.59999999999</v>
      </c>
      <c r="I830" s="6">
        <v>2</v>
      </c>
      <c r="J830" s="5" t="str">
        <f>IFERROR(VLOOKUP($D830,FIYAT!$B:$O,9,FALSE()),"")</f>
        <v>Шт.</v>
      </c>
      <c r="K830" s="5" t="str">
        <f>IFERROR(VLOOKUP($D830,FIYAT!$B:$O,4,FALSE()),"")</f>
        <v>CHINT</v>
      </c>
      <c r="L830" s="5">
        <f t="shared" si="101"/>
        <v>107595.59999999999</v>
      </c>
      <c r="M830" s="5"/>
      <c r="N830" s="5"/>
      <c r="O830" s="5"/>
      <c r="P830" s="5" t="str">
        <f>IF($H830="","FIYAT_YOK",IFERROR(VLOOKUP($D830,FIYAT!$B:$P,15,FALSE()),""))</f>
        <v>OK</v>
      </c>
      <c r="Q830" s="5" t="s">
        <v>294</v>
      </c>
      <c r="R830" s="5" t="s">
        <v>171</v>
      </c>
      <c r="S830" s="5" t="s">
        <v>637</v>
      </c>
      <c r="T830" s="5" t="s">
        <v>63</v>
      </c>
      <c r="U830" s="5">
        <f>IFERROR(VLOOKUP($T830,KURALLAR!$A$32:$B$63,2,FALSE()),0)*IF(ISNUMBER($I830),$I830,0)</f>
        <v>50</v>
      </c>
    </row>
    <row r="831" spans="1:21" x14ac:dyDescent="0.25">
      <c r="A831" s="9">
        <v>830</v>
      </c>
      <c r="B831" s="9"/>
      <c r="C831" s="9" t="s">
        <v>169</v>
      </c>
      <c r="D831" s="9" t="s">
        <v>276</v>
      </c>
      <c r="E831" s="9" t="str">
        <f>IFERROR(VLOOKUP($D831,FIYAT!$B:$O,2,FALSE()),"")</f>
        <v>Авт. выкл. NM8N-125C TM 3P 40А 36кА с рег. термомаг. расцепителем (R)</v>
      </c>
      <c r="F831" s="9">
        <f>IFERROR(VLOOKUP($D831,FIYAT!$B:$O,5,FALSE()),"")</f>
        <v>68418</v>
      </c>
      <c r="G831" s="9">
        <f>IFERROR(VLOOKUP($D831,FIYAT!$B:$O,8,FALSE()),"")</f>
        <v>41050.799999999996</v>
      </c>
      <c r="H831" s="9">
        <f t="shared" si="100"/>
        <v>82101.599999999991</v>
      </c>
      <c r="I831" s="6">
        <v>2</v>
      </c>
      <c r="J831" s="9" t="str">
        <f>IFERROR(VLOOKUP($D831,FIYAT!$B:$O,9,FALSE()),"")</f>
        <v>Шт.</v>
      </c>
      <c r="K831" s="9" t="str">
        <f>IFERROR(VLOOKUP($D831,FIYAT!$B:$O,4,FALSE()),"")</f>
        <v>CHINT</v>
      </c>
      <c r="L831" s="9">
        <f t="shared" si="101"/>
        <v>82101.599999999991</v>
      </c>
      <c r="M831" s="9"/>
      <c r="N831" s="9"/>
      <c r="O831" s="9"/>
      <c r="P831" s="9" t="str">
        <f>IF($H831="","FIYAT_YOK",IFERROR(VLOOKUP($D831,FIYAT!$B:$P,15,FALSE()),""))</f>
        <v>MUADIL</v>
      </c>
      <c r="Q831" s="9" t="s">
        <v>172</v>
      </c>
      <c r="R831" s="9" t="s">
        <v>171</v>
      </c>
      <c r="S831" s="9" t="s">
        <v>637</v>
      </c>
      <c r="T831" s="9" t="s">
        <v>61</v>
      </c>
      <c r="U831" s="9">
        <f>IFERROR(VLOOKUP($T831,KURALLAR!$A$32:$B$63,2,FALSE()),0)*IF(ISNUMBER($I831),$I831,0)</f>
        <v>30</v>
      </c>
    </row>
    <row r="832" spans="1:21" x14ac:dyDescent="0.25">
      <c r="A832" s="5">
        <v>831</v>
      </c>
      <c r="B832" s="5"/>
      <c r="C832" s="5" t="s">
        <v>83</v>
      </c>
      <c r="D832" s="5" t="s">
        <v>295</v>
      </c>
      <c r="E832" s="5" t="str">
        <f>IFERROR(VLOOKUP($D832,FIYAT!$B:$O,2,FALSE()),"")</f>
        <v>Трансформатор тока Т-0.66-1,2 У3 200/5А (для счётчика)</v>
      </c>
      <c r="F832" s="5">
        <f>IFERROR(VLOOKUP($D832,FIYAT!$B:$O,5,FALSE()),"")</f>
        <v>0</v>
      </c>
      <c r="G832" s="5" t="str">
        <f>IFERROR(VLOOKUP($D832,FIYAT!$B:$O,8,FALSE()),"")</f>
        <v/>
      </c>
      <c r="H832" s="5" t="str">
        <f t="shared" si="100"/>
        <v/>
      </c>
      <c r="I832" s="6">
        <v>6</v>
      </c>
      <c r="J832" s="5" t="str">
        <f>IFERROR(VLOOKUP($D832,FIYAT!$B:$O,9,FALSE()),"")</f>
        <v>Шт.</v>
      </c>
      <c r="K832" s="5" t="str">
        <f>IFERROR(VLOOKUP($D832,FIYAT!$B:$O,4,FALSE()),"")</f>
        <v>MUADIL-NET</v>
      </c>
      <c r="L832" s="5" t="str">
        <f t="shared" si="101"/>
        <v/>
      </c>
      <c r="M832" s="5"/>
      <c r="N832" s="5"/>
      <c r="O832" s="5"/>
      <c r="P832" s="7" t="str">
        <f>IF($H832="","FIYAT_YOK",IFERROR(VLOOKUP($D832,FIYAT!$B:$P,15,FALSE()),""))</f>
        <v>FIYAT_YOK</v>
      </c>
      <c r="Q832" s="7" t="s">
        <v>297</v>
      </c>
      <c r="R832" s="5"/>
      <c r="S832" s="5" t="s">
        <v>637</v>
      </c>
      <c r="T832" s="5" t="s">
        <v>83</v>
      </c>
      <c r="U832" s="5">
        <f>IFERROR(VLOOKUP($T832,KURALLAR!$A$32:$B$63,2,FALSE()),0)*IF(ISNUMBER($I832),$I832,0)</f>
        <v>60</v>
      </c>
    </row>
    <row r="833" spans="1:21" x14ac:dyDescent="0.25">
      <c r="A833" s="9">
        <v>832</v>
      </c>
      <c r="B833" s="9"/>
      <c r="C833" s="9" t="s">
        <v>97</v>
      </c>
      <c r="D833" s="9" t="s">
        <v>281</v>
      </c>
      <c r="E833" s="9" t="str">
        <f>IFERROR(VLOOKUP($D833,FIYAT!$B:$O,2,FALSE()),"")</f>
        <v>КОРОБКА КЛЕММНАЯ ИСПЫТАТЕЛЬНАЯ ПЕРЕХОДНАЯ ККИ1-1 EKF PROXIMA</v>
      </c>
      <c r="F833" s="9">
        <f>IFERROR(VLOOKUP($D833,FIYAT!$B:$O,5,FALSE()),"")</f>
        <v>0</v>
      </c>
      <c r="G833" s="9" t="str">
        <f>IFERROR(VLOOKUP($D833,FIYAT!$B:$O,8,FALSE()),"")</f>
        <v/>
      </c>
      <c r="H833" s="9" t="str">
        <f t="shared" si="100"/>
        <v/>
      </c>
      <c r="I833" s="6">
        <v>2</v>
      </c>
      <c r="J833" s="9" t="str">
        <f>IFERROR(VLOOKUP($D833,FIYAT!$B:$O,9,FALSE()),"")</f>
        <v>Шт.</v>
      </c>
      <c r="K833" s="9" t="str">
        <f>IFERROR(VLOOKUP($D833,FIYAT!$B:$O,4,FALSE()),"")</f>
        <v>EKF</v>
      </c>
      <c r="L833" s="9" t="str">
        <f t="shared" si="101"/>
        <v/>
      </c>
      <c r="M833" s="9"/>
      <c r="N833" s="9"/>
      <c r="O833" s="9"/>
      <c r="P833" s="7" t="str">
        <f>IF($H833="","FIYAT_YOK",IFERROR(VLOOKUP($D833,FIYAT!$B:$P,15,FALSE()),""))</f>
        <v>FIYAT_YOK</v>
      </c>
      <c r="Q833" s="7" t="s">
        <v>283</v>
      </c>
      <c r="R833" s="9"/>
      <c r="S833" s="9" t="s">
        <v>637</v>
      </c>
      <c r="T833" s="9" t="s">
        <v>97</v>
      </c>
      <c r="U833" s="9">
        <f>IFERROR(VLOOKUP($T833,KURALLAR!$A$32:$B$63,2,FALSE()),0)*IF(ISNUMBER($I833),$I833,0)</f>
        <v>8</v>
      </c>
    </row>
    <row r="834" spans="1:21" x14ac:dyDescent="0.25">
      <c r="A834" s="5">
        <v>833</v>
      </c>
      <c r="B834" s="5"/>
      <c r="C834" s="5" t="s">
        <v>81</v>
      </c>
      <c r="D834" s="5" t="s">
        <v>284</v>
      </c>
      <c r="E834" s="5" t="str">
        <f>IFERROR(VLOOKUP($D834,FIYAT!$B:$O,2,FALSE()),"")</f>
        <v>Трехфазный эл.счетчик EX 518 5А (трансф. подкл.) с PLC модулем</v>
      </c>
      <c r="F834" s="5">
        <f>IFERROR(VLOOKUP($D834,FIYAT!$B:$O,5,FALSE()),"")</f>
        <v>0</v>
      </c>
      <c r="G834" s="5" t="str">
        <f>IFERROR(VLOOKUP($D834,FIYAT!$B:$O,8,FALSE()),"")</f>
        <v/>
      </c>
      <c r="H834" s="5" t="str">
        <f t="shared" si="100"/>
        <v/>
      </c>
      <c r="I834" s="6">
        <v>2</v>
      </c>
      <c r="J834" s="5" t="str">
        <f>IFERROR(VLOOKUP($D834,FIYAT!$B:$O,9,FALSE()),"")</f>
        <v>Шт.</v>
      </c>
      <c r="K834" s="5" t="str">
        <f>IFERROR(VLOOKUP($D834,FIYAT!$B:$O,4,FALSE()),"")</f>
        <v>MUADIL-NET</v>
      </c>
      <c r="L834" s="5" t="str">
        <f t="shared" si="101"/>
        <v/>
      </c>
      <c r="M834" s="5"/>
      <c r="N834" s="5"/>
      <c r="O834" s="5"/>
      <c r="P834" s="7" t="str">
        <f>IF($H834="","FIYAT_YOK",IFERROR(VLOOKUP($D834,FIYAT!$B:$P,15,FALSE()),""))</f>
        <v>FIYAT_YOK</v>
      </c>
      <c r="Q834" s="7" t="s">
        <v>249</v>
      </c>
      <c r="R834" s="5"/>
      <c r="S834" s="5" t="s">
        <v>637</v>
      </c>
      <c r="T834" s="5" t="s">
        <v>81</v>
      </c>
      <c r="U834" s="5">
        <f>IFERROR(VLOOKUP($T834,KURALLAR!$A$32:$B$63,2,FALSE()),0)*IF(ISNUMBER($I834),$I834,0)</f>
        <v>60</v>
      </c>
    </row>
    <row r="835" spans="1:21" x14ac:dyDescent="0.25">
      <c r="A835" s="9">
        <v>834</v>
      </c>
      <c r="B835" s="9"/>
      <c r="C835" s="9" t="s">
        <v>253</v>
      </c>
      <c r="D835" s="9" t="s">
        <v>251</v>
      </c>
      <c r="E835" s="9" t="str">
        <f>IFERROR(VLOOKUP($D835,FIYAT!$B:$O,2,FALSE()),"")</f>
        <v>Шина алюминиевая твёрдая (ШАТ)</v>
      </c>
      <c r="F835" s="9">
        <f>IFERROR(VLOOKUP($D835,FIYAT!$B:$O,5,FALSE()),"")</f>
        <v>4493.5999999999995</v>
      </c>
      <c r="G835" s="9">
        <f>IFERROR(VLOOKUP($D835,FIYAT!$B:$O,8,FALSE()),"")</f>
        <v>4493.5999999999995</v>
      </c>
      <c r="H835" s="9">
        <f t="shared" si="100"/>
        <v>107846.39999999999</v>
      </c>
      <c r="I835" s="6">
        <v>24</v>
      </c>
      <c r="J835" s="9" t="str">
        <f>IFERROR(VLOOKUP($D835,FIYAT!$B:$O,9,FALSE()),"")</f>
        <v>Кг.</v>
      </c>
      <c r="K835" s="9" t="str">
        <f>IFERROR(VLOOKUP($D835,FIYAT!$B:$O,4,FALSE()),"")</f>
        <v>ALUM-BARA</v>
      </c>
      <c r="L835" s="9">
        <f t="shared" si="101"/>
        <v>107846.39999999999</v>
      </c>
      <c r="M835" s="9"/>
      <c r="N835" s="9"/>
      <c r="O835" s="9"/>
      <c r="P835" s="9" t="str">
        <f>IF($H835="","FIYAT_YOK",IFERROR(VLOOKUP($D835,FIYAT!$B:$P,15,FALSE()),""))</f>
        <v>VARSAYIM</v>
      </c>
      <c r="Q835" s="9" t="s">
        <v>255</v>
      </c>
      <c r="R835" s="9"/>
      <c r="S835" s="9" t="s">
        <v>637</v>
      </c>
      <c r="T835" s="9" t="s">
        <v>101</v>
      </c>
      <c r="U835" s="9">
        <f>IFERROR(VLOOKUP($T835,KURALLAR!$A$32:$B$63,2,FALSE()),0)*IF(ISNUMBER($I835),$I835,0)</f>
        <v>144</v>
      </c>
    </row>
    <row r="836" spans="1:21" x14ac:dyDescent="0.25">
      <c r="A836" s="5">
        <v>835</v>
      </c>
      <c r="B836" s="5"/>
      <c r="C836" s="5" t="s">
        <v>222</v>
      </c>
      <c r="D836" s="5" t="s">
        <v>261</v>
      </c>
      <c r="E836" s="5" t="str">
        <f>IFERROR(VLOOKUP($D836,FIYAT!$B:$O,2,FALSE()),"")</f>
        <v>Мет. Щит (2000x700x500) +10CM BAZA IP54</v>
      </c>
      <c r="F836" s="5">
        <f>IFERROR(VLOOKUP($D836,FIYAT!$B:$O,5,FALSE()),"")</f>
        <v>117250</v>
      </c>
      <c r="G836" s="5">
        <f>IFERROR(VLOOKUP($D836,FIYAT!$B:$O,8,FALSE()),"")</f>
        <v>70350</v>
      </c>
      <c r="H836" s="5">
        <f t="shared" si="100"/>
        <v>70350</v>
      </c>
      <c r="I836" s="6">
        <v>1</v>
      </c>
      <c r="J836" s="5" t="str">
        <f>IFERROR(VLOOKUP($D836,FIYAT!$B:$O,9,FALSE()),"")</f>
        <v>Шт.</v>
      </c>
      <c r="K836" s="5" t="str">
        <f>IFERROR(VLOOKUP($D836,FIYAT!$B:$O,4,FALSE()),"")</f>
        <v>KAZTEK</v>
      </c>
      <c r="L836" s="5">
        <f t="shared" si="101"/>
        <v>70350</v>
      </c>
      <c r="M836" s="5"/>
      <c r="N836" s="5"/>
      <c r="O836" s="5"/>
      <c r="P836" s="5" t="str">
        <f>IF($H836="","FIYAT_YOK",IFERROR(VLOOKUP($D836,FIYAT!$B:$P,15,FALSE()),""))</f>
        <v>VARSAYIM</v>
      </c>
      <c r="Q836" s="5" t="s">
        <v>263</v>
      </c>
      <c r="R836" s="5" t="s">
        <v>211</v>
      </c>
      <c r="S836" s="5" t="s">
        <v>637</v>
      </c>
      <c r="T836" s="5" t="s">
        <v>107</v>
      </c>
      <c r="U836" s="5">
        <f>IFERROR(VLOOKUP($T836,KURALLAR!$A$32:$B$63,2,FALSE()),0)*IF(ISNUMBER($I836),$I836,0)</f>
        <v>90</v>
      </c>
    </row>
    <row r="837" spans="1:21" x14ac:dyDescent="0.25">
      <c r="A837" s="9">
        <v>836</v>
      </c>
      <c r="B837" s="9"/>
      <c r="C837" s="9" t="s">
        <v>215</v>
      </c>
      <c r="D837" s="9" t="s">
        <v>213</v>
      </c>
      <c r="E837" s="9" t="str">
        <f>IFERROR(VLOOKUP($D837,FIYAT!$B:$O,2,FALSE()),"")</f>
        <v>Монтажный расходный материал (кабель, DIN-рейка, кабель-канал, клеммы, маркировка, крепёж)</v>
      </c>
      <c r="F837" s="9">
        <f>IFERROR(VLOOKUP($D837,FIYAT!$B:$O,5,FALSE()),"")</f>
        <v>0</v>
      </c>
      <c r="G837" s="9" t="str">
        <f>IFERROR(VLOOKUP($D837,FIYAT!$B:$O,8,FALSE()),"")</f>
        <v/>
      </c>
      <c r="H837" s="9">
        <f>ROUND(SUM($H$821:$H$836)*KURALLAR!$B$28,0)</f>
        <v>37260</v>
      </c>
      <c r="I837" s="6">
        <v>1</v>
      </c>
      <c r="J837" s="9" t="str">
        <f>IFERROR(VLOOKUP($D837,FIYAT!$B:$O,9,FALSE()),"")</f>
        <v>компл.</v>
      </c>
      <c r="K837" s="9" t="str">
        <f>IFERROR(VLOOKUP($D837,FIYAT!$B:$O,4,FALSE()),"")</f>
        <v>MUADIL-NET</v>
      </c>
      <c r="L837" s="9">
        <f t="shared" si="101"/>
        <v>37260</v>
      </c>
      <c r="M837" s="9"/>
      <c r="N837" s="9"/>
      <c r="O837" s="9"/>
      <c r="P837" s="9" t="str">
        <f>IF($H837="","FIYAT_YOK",IFERROR(VLOOKUP($D837,FIYAT!$B:$P,15,FALSE()),""))</f>
        <v>ORAN</v>
      </c>
      <c r="Q837" s="9" t="s">
        <v>218</v>
      </c>
      <c r="R837" s="9" t="s">
        <v>217</v>
      </c>
      <c r="S837" s="9" t="s">
        <v>637</v>
      </c>
      <c r="T837" s="9"/>
      <c r="U837" s="9">
        <v>0</v>
      </c>
    </row>
    <row r="838" spans="1:21" x14ac:dyDescent="0.25">
      <c r="A838" s="5">
        <v>837</v>
      </c>
      <c r="B838" s="5"/>
      <c r="C838" s="5" t="s">
        <v>227</v>
      </c>
      <c r="D838" s="5" t="s">
        <v>225</v>
      </c>
      <c r="E838" s="5" t="str">
        <f>IFERROR(VLOOKUP($D838,FIYAT!$B:$O,2,FALSE()),"")</f>
        <v>Сборка, кабелирование, маркировка, момент затяжки, испытания</v>
      </c>
      <c r="F838" s="5">
        <f>IFERROR(VLOOKUP($D838,FIYAT!$B:$O,5,FALSE()),"")</f>
        <v>100</v>
      </c>
      <c r="G838" s="5">
        <f>IFERROR(VLOOKUP($D838,FIYAT!$B:$O,8,FALSE()),"")</f>
        <v>100</v>
      </c>
      <c r="H838" s="5">
        <f>IF(OR($G838="",$I838=""),"",$G838*$I838)</f>
        <v>66200</v>
      </c>
      <c r="I838" s="6">
        <f>ROUND(SUM($U$821:$U$837)*KURALLAR!$B$27,0)</f>
        <v>662</v>
      </c>
      <c r="J838" s="5" t="str">
        <f>IFERROR(VLOOKUP($D838,FIYAT!$B:$O,9,FALSE()),"")</f>
        <v>мин</v>
      </c>
      <c r="K838" s="5" t="str">
        <f>IFERROR(VLOOKUP($D838,FIYAT!$B:$O,4,FALSE()),"")</f>
        <v>ISCILIK</v>
      </c>
      <c r="L838" s="5">
        <f t="shared" si="101"/>
        <v>66200</v>
      </c>
      <c r="M838" s="5"/>
      <c r="N838" s="5"/>
      <c r="O838" s="5"/>
      <c r="P838" s="5" t="str">
        <f>IF($H838="","FIYAT_YOK",IFERROR(VLOOKUP($D838,FIYAT!$B:$P,15,FALSE()),""))</f>
        <v>OK</v>
      </c>
      <c r="Q838" s="5" t="str">
        <f>CONCATENATE("montaj+test iscilik: ",TEXT($I838,"# ##0")," dk = ",TEXT($I838/60,"0,00")," saat (norm x test/etiket carpani)")</f>
        <v>montaj+test iscilik:  662 dk = 11,03 saat (norm x test/etiket carpani)</v>
      </c>
      <c r="R838" s="5" t="s">
        <v>229</v>
      </c>
      <c r="S838" s="5" t="s">
        <v>637</v>
      </c>
      <c r="T838" s="5"/>
      <c r="U838" s="5">
        <v>0</v>
      </c>
    </row>
    <row r="839" spans="1:21" x14ac:dyDescent="0.25">
      <c r="A839" s="10">
        <v>838</v>
      </c>
      <c r="B839" s="10" t="s">
        <v>652</v>
      </c>
      <c r="C839" s="10"/>
      <c r="D839" s="10"/>
      <c r="E839" s="10"/>
      <c r="F839" s="10"/>
      <c r="G839" s="10"/>
      <c r="H839" s="10">
        <f>SUBTOTAL(9,H821:H838)</f>
        <v>635746.39999999991</v>
      </c>
      <c r="I839" s="10"/>
      <c r="J839" s="10"/>
      <c r="K839" s="10"/>
      <c r="L839" s="10">
        <f>SUBTOTAL(9,L821:L838)</f>
        <v>635746.39999999991</v>
      </c>
      <c r="M839" s="10"/>
      <c r="N839" s="10"/>
      <c r="O839" s="10"/>
      <c r="P839" s="10"/>
      <c r="Q839" s="10"/>
      <c r="R839" s="10"/>
      <c r="S839" s="10"/>
      <c r="T839" s="10"/>
      <c r="U839" s="10">
        <f>SUBTOTAL(9,U821:U838)</f>
        <v>576</v>
      </c>
    </row>
    <row r="840" spans="1:21" x14ac:dyDescent="0.25">
      <c r="A840" s="8">
        <v>839</v>
      </c>
      <c r="B840" s="8" t="str">
        <f>E840</f>
        <v>BLOK B / ЩЭ-F3 — НКУ 380/220В 50Гц, FORM 2B, IP31/54</v>
      </c>
      <c r="C840" s="8" t="s">
        <v>545</v>
      </c>
      <c r="D840" s="8"/>
      <c r="E840" s="8" t="s">
        <v>653</v>
      </c>
      <c r="F840" s="8"/>
      <c r="G840" s="8"/>
      <c r="H840" s="8"/>
      <c r="I840" s="8">
        <v>1</v>
      </c>
      <c r="J840" s="8" t="s">
        <v>547</v>
      </c>
      <c r="K840" s="8"/>
      <c r="L840" s="8"/>
      <c r="M840" s="8"/>
      <c r="N840" s="8"/>
      <c r="O840" s="8"/>
      <c r="P840" s="8" t="s">
        <v>178</v>
      </c>
      <c r="Q840" s="8" t="s">
        <v>548</v>
      </c>
      <c r="R840" s="8" t="s">
        <v>549</v>
      </c>
      <c r="S840" s="8" t="s">
        <v>637</v>
      </c>
      <c r="T840" s="8"/>
      <c r="U840" s="8"/>
    </row>
    <row r="841" spans="1:21" x14ac:dyDescent="0.25">
      <c r="A841" s="9">
        <v>840</v>
      </c>
      <c r="B841" s="9"/>
      <c r="C841" s="9" t="s">
        <v>169</v>
      </c>
      <c r="D841" s="9" t="s">
        <v>264</v>
      </c>
      <c r="E841" s="9" t="str">
        <f>IFERROR(VLOOKUP($D841,FIYAT!$B:$O,2,FALSE()),"")</f>
        <v>Авт. выкл. NM8N-630S TM 3P 500А 50кА с рег. термомаг. расцепителем (R)</v>
      </c>
      <c r="F841" s="9">
        <f>IFERROR(VLOOKUP($D841,FIYAT!$B:$O,5,FALSE()),"")</f>
        <v>237703</v>
      </c>
      <c r="G841" s="9">
        <f>IFERROR(VLOOKUP($D841,FIYAT!$B:$O,8,FALSE()),"")</f>
        <v>142621.79999999999</v>
      </c>
      <c r="H841" s="9">
        <f t="shared" ref="H841:H855" si="102">IF(OR($G841="",$I841=""),"",$G841*$I841)</f>
        <v>285243.59999999998</v>
      </c>
      <c r="I841" s="6">
        <v>2</v>
      </c>
      <c r="J841" s="9" t="str">
        <f>IFERROR(VLOOKUP($D841,FIYAT!$B:$O,9,FALSE()),"")</f>
        <v>Шт.</v>
      </c>
      <c r="K841" s="9" t="str">
        <f>IFERROR(VLOOKUP($D841,FIYAT!$B:$O,4,FALSE()),"")</f>
        <v>CHINT</v>
      </c>
      <c r="L841" s="9">
        <f t="shared" ref="L841:L857" si="103">IF($H841="","",$H841)</f>
        <v>285243.59999999998</v>
      </c>
      <c r="M841" s="9"/>
      <c r="N841" s="9"/>
      <c r="O841" s="9"/>
      <c r="P841" s="9" t="str">
        <f>IF($H841="","FIYAT_YOK",IFERROR(VLOOKUP($D841,FIYAT!$B:$P,15,FALSE()),""))</f>
        <v>MUADIL</v>
      </c>
      <c r="Q841" s="9" t="s">
        <v>266</v>
      </c>
      <c r="R841" s="9" t="s">
        <v>171</v>
      </c>
      <c r="S841" s="9" t="s">
        <v>637</v>
      </c>
      <c r="T841" s="9" t="s">
        <v>67</v>
      </c>
      <c r="U841" s="9">
        <f>IFERROR(VLOOKUP($T841,KURALLAR!$A$32:$B$63,2,FALSE()),0)*IF(ISNUMBER($I841),$I841,0)</f>
        <v>110</v>
      </c>
    </row>
    <row r="842" spans="1:21" x14ac:dyDescent="0.25">
      <c r="A842" s="5">
        <v>841</v>
      </c>
      <c r="B842" s="5"/>
      <c r="C842" s="5" t="s">
        <v>93</v>
      </c>
      <c r="D842" s="5" t="s">
        <v>267</v>
      </c>
      <c r="E842" s="5" t="str">
        <f>IFERROR(VLOOKUP($D842,FIYAT!$B:$O,2,FALSE()),"")</f>
        <v>Независимый расцепитель SHT22-M8 AC220-240V для NM8N-250/400/630 (R)</v>
      </c>
      <c r="F842" s="5">
        <f>IFERROR(VLOOKUP($D842,FIYAT!$B:$O,5,FALSE()),"")</f>
        <v>18552</v>
      </c>
      <c r="G842" s="5">
        <f>IFERROR(VLOOKUP($D842,FIYAT!$B:$O,8,FALSE()),"")</f>
        <v>11131.199999999999</v>
      </c>
      <c r="H842" s="5">
        <f t="shared" si="102"/>
        <v>11131.199999999999</v>
      </c>
      <c r="I842" s="6">
        <v>1</v>
      </c>
      <c r="J842" s="5" t="str">
        <f>IFERROR(VLOOKUP($D842,FIYAT!$B:$O,9,FALSE()),"")</f>
        <v>Шт.</v>
      </c>
      <c r="K842" s="5" t="str">
        <f>IFERROR(VLOOKUP($D842,FIYAT!$B:$O,4,FALSE()),"")</f>
        <v>CHINT</v>
      </c>
      <c r="L842" s="5">
        <f t="shared" si="103"/>
        <v>11131.199999999999</v>
      </c>
      <c r="M842" s="5"/>
      <c r="N842" s="5"/>
      <c r="O842" s="5"/>
      <c r="P842" s="5" t="str">
        <f>IF($H842="","FIYAT_YOK",IFERROR(VLOOKUP($D842,FIYAT!$B:$P,15,FALSE()),""))</f>
        <v>OK</v>
      </c>
      <c r="Q842" s="5" t="s">
        <v>269</v>
      </c>
      <c r="R842" s="5" t="s">
        <v>184</v>
      </c>
      <c r="S842" s="5" t="s">
        <v>637</v>
      </c>
      <c r="T842" s="5" t="s">
        <v>95</v>
      </c>
      <c r="U842" s="5">
        <f>IFERROR(VLOOKUP($T842,KURALLAR!$A$32:$B$63,2,FALSE()),0)*IF(ISNUMBER($I842),$I842,0)</f>
        <v>10</v>
      </c>
    </row>
    <row r="843" spans="1:21" x14ac:dyDescent="0.25">
      <c r="A843" s="9">
        <v>842</v>
      </c>
      <c r="B843" s="9"/>
      <c r="C843" s="9" t="s">
        <v>192</v>
      </c>
      <c r="D843" s="9" t="s">
        <v>238</v>
      </c>
      <c r="E843" s="9" t="str">
        <f>IFERROR(VLOOKUP($D843,FIYAT!$B:$O,2,FALSE()),"")</f>
        <v>Авт. выкл. NXB-63 1P 6A 6кА х-ка C (R)</v>
      </c>
      <c r="F843" s="9">
        <f>IFERROR(VLOOKUP($D843,FIYAT!$B:$O,5,FALSE()),"")</f>
        <v>1436</v>
      </c>
      <c r="G843" s="9">
        <f>IFERROR(VLOOKUP($D843,FIYAT!$B:$O,8,FALSE()),"")</f>
        <v>861.6</v>
      </c>
      <c r="H843" s="9">
        <f t="shared" si="102"/>
        <v>3446.4</v>
      </c>
      <c r="I843" s="6">
        <v>4</v>
      </c>
      <c r="J843" s="9" t="str">
        <f>IFERROR(VLOOKUP($D843,FIYAT!$B:$O,9,FALSE()),"")</f>
        <v>Шт.</v>
      </c>
      <c r="K843" s="9" t="str">
        <f>IFERROR(VLOOKUP($D843,FIYAT!$B:$O,4,FALSE()),"")</f>
        <v>CHINT</v>
      </c>
      <c r="L843" s="9">
        <f t="shared" si="103"/>
        <v>3446.4</v>
      </c>
      <c r="M843" s="9"/>
      <c r="N843" s="9"/>
      <c r="O843" s="9"/>
      <c r="P843" s="9" t="str">
        <f>IF($H843="","FIYAT_YOK",IFERROR(VLOOKUP($D843,FIYAT!$B:$P,15,FALSE()),""))</f>
        <v>OK</v>
      </c>
      <c r="Q843" s="9" t="s">
        <v>240</v>
      </c>
      <c r="R843" s="9" t="s">
        <v>171</v>
      </c>
      <c r="S843" s="9" t="s">
        <v>637</v>
      </c>
      <c r="T843" s="9" t="s">
        <v>47</v>
      </c>
      <c r="U843" s="9">
        <f>IFERROR(VLOOKUP($T843,KURALLAR!$A$32:$B$63,2,FALSE()),0)*IF(ISNUMBER($I843),$I843,0)</f>
        <v>12</v>
      </c>
    </row>
    <row r="844" spans="1:21" x14ac:dyDescent="0.25">
      <c r="A844" s="5">
        <v>843</v>
      </c>
      <c r="B844" s="5"/>
      <c r="C844" s="5" t="s">
        <v>89</v>
      </c>
      <c r="D844" s="5" t="s">
        <v>241</v>
      </c>
      <c r="E844" s="5" t="str">
        <f>IFERROR(VLOOKUP($D844,FIYAT!$B:$O,2,FALSE()),"")</f>
        <v>Индикатор ND16-22DS/4 белый АС230В (R)</v>
      </c>
      <c r="F844" s="5">
        <f>IFERROR(VLOOKUP($D844,FIYAT!$B:$O,5,FALSE()),"")</f>
        <v>1047</v>
      </c>
      <c r="G844" s="5">
        <f>IFERROR(VLOOKUP($D844,FIYAT!$B:$O,8,FALSE()),"")</f>
        <v>628.19999999999993</v>
      </c>
      <c r="H844" s="5">
        <f t="shared" si="102"/>
        <v>1884.6</v>
      </c>
      <c r="I844" s="6">
        <v>3</v>
      </c>
      <c r="J844" s="5" t="str">
        <f>IFERROR(VLOOKUP($D844,FIYAT!$B:$O,9,FALSE()),"")</f>
        <v>Шт.</v>
      </c>
      <c r="K844" s="5" t="str">
        <f>IFERROR(VLOOKUP($D844,FIYAT!$B:$O,4,FALSE()),"")</f>
        <v>CHINT</v>
      </c>
      <c r="L844" s="5">
        <f t="shared" si="103"/>
        <v>1884.6</v>
      </c>
      <c r="M844" s="5"/>
      <c r="N844" s="5"/>
      <c r="O844" s="5"/>
      <c r="P844" s="5" t="str">
        <f>IF($H844="","FIYAT_YOK",IFERROR(VLOOKUP($D844,FIYAT!$B:$P,15,FALSE()),""))</f>
        <v>OK</v>
      </c>
      <c r="Q844" s="5" t="s">
        <v>243</v>
      </c>
      <c r="R844" s="5" t="s">
        <v>184</v>
      </c>
      <c r="S844" s="5" t="s">
        <v>637</v>
      </c>
      <c r="T844" s="5" t="s">
        <v>89</v>
      </c>
      <c r="U844" s="5">
        <f>IFERROR(VLOOKUP($T844,KURALLAR!$A$32:$B$63,2,FALSE()),0)*IF(ISNUMBER($I844),$I844,0)</f>
        <v>12</v>
      </c>
    </row>
    <row r="845" spans="1:21" x14ac:dyDescent="0.25">
      <c r="A845" s="9">
        <v>844</v>
      </c>
      <c r="B845" s="9"/>
      <c r="C845" s="9" t="s">
        <v>87</v>
      </c>
      <c r="D845" s="9" t="s">
        <v>270</v>
      </c>
      <c r="E845" s="9" t="str">
        <f>IFERROR(VLOOKUP($D845,FIYAT!$B:$O,2,FALSE()),"")</f>
        <v>Реле защиты от утечки тока с LCD индикацией (регулируемое) — CHINT листинге нет</v>
      </c>
      <c r="F845" s="9">
        <f>IFERROR(VLOOKUP($D845,FIYAT!$B:$O,5,FALSE()),"")</f>
        <v>0</v>
      </c>
      <c r="G845" s="9" t="str">
        <f>IFERROR(VLOOKUP($D845,FIYAT!$B:$O,8,FALSE()),"")</f>
        <v/>
      </c>
      <c r="H845" s="9" t="str">
        <f t="shared" si="102"/>
        <v/>
      </c>
      <c r="I845" s="6">
        <v>1</v>
      </c>
      <c r="J845" s="9" t="str">
        <f>IFERROR(VLOOKUP($D845,FIYAT!$B:$O,9,FALSE()),"")</f>
        <v>Шт.</v>
      </c>
      <c r="K845" s="9" t="str">
        <f>IFERROR(VLOOKUP($D845,FIYAT!$B:$O,4,FALSE()),"")</f>
        <v>MUADIL-NET</v>
      </c>
      <c r="L845" s="9" t="str">
        <f t="shared" si="103"/>
        <v/>
      </c>
      <c r="M845" s="9"/>
      <c r="N845" s="9"/>
      <c r="O845" s="9"/>
      <c r="P845" s="7" t="str">
        <f>IF($H845="","FIYAT_YOK",IFERROR(VLOOKUP($D845,FIYAT!$B:$P,15,FALSE()),""))</f>
        <v>FIYAT_YOK</v>
      </c>
      <c r="Q845" s="7" t="s">
        <v>272</v>
      </c>
      <c r="R845" s="9"/>
      <c r="S845" s="9" t="s">
        <v>637</v>
      </c>
      <c r="T845" s="9" t="s">
        <v>87</v>
      </c>
      <c r="U845" s="9">
        <f>IFERROR(VLOOKUP($T845,KURALLAR!$A$32:$B$63,2,FALSE()),0)*IF(ISNUMBER($I845),$I845,0)</f>
        <v>8</v>
      </c>
    </row>
    <row r="846" spans="1:21" x14ac:dyDescent="0.25">
      <c r="A846" s="5">
        <v>845</v>
      </c>
      <c r="B846" s="5"/>
      <c r="C846" s="5" t="s">
        <v>83</v>
      </c>
      <c r="D846" s="5" t="s">
        <v>273</v>
      </c>
      <c r="E846" s="5" t="str">
        <f>IFERROR(VLOOKUP($D846,FIYAT!$B:$O,2,FALSE()),"")</f>
        <v>Schneider Vigilohm GA300 — тороид тип A, Ø300мм</v>
      </c>
      <c r="F846" s="5">
        <f>IFERROR(VLOOKUP($D846,FIYAT!$B:$O,5,FALSE()),"")</f>
        <v>0</v>
      </c>
      <c r="G846" s="5" t="str">
        <f>IFERROR(VLOOKUP($D846,FIYAT!$B:$O,8,FALSE()),"")</f>
        <v/>
      </c>
      <c r="H846" s="5" t="str">
        <f t="shared" si="102"/>
        <v/>
      </c>
      <c r="I846" s="6">
        <v>1</v>
      </c>
      <c r="J846" s="5" t="str">
        <f>IFERROR(VLOOKUP($D846,FIYAT!$B:$O,9,FALSE()),"")</f>
        <v>Шт.</v>
      </c>
      <c r="K846" s="5" t="str">
        <f>IFERROR(VLOOKUP($D846,FIYAT!$B:$O,4,FALSE()),"")</f>
        <v>SCHNEIDER</v>
      </c>
      <c r="L846" s="5" t="str">
        <f t="shared" si="103"/>
        <v/>
      </c>
      <c r="M846" s="5"/>
      <c r="N846" s="5"/>
      <c r="O846" s="5"/>
      <c r="P846" s="7" t="str">
        <f>IF($H846="","FIYAT_YOK",IFERROR(VLOOKUP($D846,FIYAT!$B:$P,15,FALSE()),""))</f>
        <v>FIYAT_YOK</v>
      </c>
      <c r="Q846" s="7" t="s">
        <v>275</v>
      </c>
      <c r="R846" s="5"/>
      <c r="S846" s="5" t="s">
        <v>637</v>
      </c>
      <c r="T846" s="5" t="s">
        <v>83</v>
      </c>
      <c r="U846" s="5">
        <f>IFERROR(VLOOKUP($T846,KURALLAR!$A$32:$B$63,2,FALSE()),0)*IF(ISNUMBER($I846),$I846,0)</f>
        <v>10</v>
      </c>
    </row>
    <row r="847" spans="1:21" x14ac:dyDescent="0.25">
      <c r="A847" s="9">
        <v>846</v>
      </c>
      <c r="B847" s="9"/>
      <c r="C847" s="9" t="s">
        <v>79</v>
      </c>
      <c r="D847" s="9" t="s">
        <v>179</v>
      </c>
      <c r="E847" s="9" t="str">
        <f>IFERROR(VLOOKUP($D847,FIYAT!$B:$O,2,FALSE()),"")</f>
        <v>Держатель плавкой вставки RT36-00-160, габарит 00, 160А</v>
      </c>
      <c r="F847" s="9">
        <f>IFERROR(VLOOKUP($D847,FIYAT!$B:$O,5,FALSE()),"")</f>
        <v>2038</v>
      </c>
      <c r="G847" s="9">
        <f>IFERROR(VLOOKUP($D847,FIYAT!$B:$O,8,FALSE()),"")</f>
        <v>1222.8</v>
      </c>
      <c r="H847" s="9">
        <f t="shared" si="102"/>
        <v>4891.2</v>
      </c>
      <c r="I847" s="6">
        <v>4</v>
      </c>
      <c r="J847" s="9" t="str">
        <f>IFERROR(VLOOKUP($D847,FIYAT!$B:$O,9,FALSE()),"")</f>
        <v>Шт.</v>
      </c>
      <c r="K847" s="9" t="str">
        <f>IFERROR(VLOOKUP($D847,FIYAT!$B:$O,4,FALSE()),"")</f>
        <v>CHINT</v>
      </c>
      <c r="L847" s="9">
        <f t="shared" si="103"/>
        <v>4891.2</v>
      </c>
      <c r="M847" s="9"/>
      <c r="N847" s="9"/>
      <c r="O847" s="9"/>
      <c r="P847" s="9" t="str">
        <f>IF($H847="","FIYAT_YOK",IFERROR(VLOOKUP($D847,FIYAT!$B:$P,15,FALSE()),""))</f>
        <v>MUADIL</v>
      </c>
      <c r="Q847" s="9" t="s">
        <v>181</v>
      </c>
      <c r="R847" s="9" t="s">
        <v>171</v>
      </c>
      <c r="S847" s="9" t="s">
        <v>637</v>
      </c>
      <c r="T847" s="9" t="s">
        <v>77</v>
      </c>
      <c r="U847" s="9">
        <f>IFERROR(VLOOKUP($T847,KURALLAR!$A$32:$B$63,2,FALSE()),0)*IF(ISNUMBER($I847),$I847,0)</f>
        <v>20</v>
      </c>
    </row>
    <row r="848" spans="1:21" x14ac:dyDescent="0.25">
      <c r="A848" s="5">
        <v>847</v>
      </c>
      <c r="B848" s="5"/>
      <c r="C848" s="5" t="s">
        <v>79</v>
      </c>
      <c r="D848" s="5" t="s">
        <v>182</v>
      </c>
      <c r="E848" s="5" t="str">
        <f>IFERROR(VLOOKUP($D848,FIYAT!$B:$O,2,FALSE()),"")</f>
        <v>Плавкая вставка предохранителя RT36-00-160, габарит 00, 63А</v>
      </c>
      <c r="F848" s="5">
        <f>IFERROR(VLOOKUP($D848,FIYAT!$B:$O,5,FALSE()),"")</f>
        <v>1525</v>
      </c>
      <c r="G848" s="5">
        <f>IFERROR(VLOOKUP($D848,FIYAT!$B:$O,8,FALSE()),"")</f>
        <v>915</v>
      </c>
      <c r="H848" s="5">
        <f t="shared" si="102"/>
        <v>3660</v>
      </c>
      <c r="I848" s="6">
        <v>4</v>
      </c>
      <c r="J848" s="5" t="str">
        <f>IFERROR(VLOOKUP($D848,FIYAT!$B:$O,9,FALSE()),"")</f>
        <v>Шт.</v>
      </c>
      <c r="K848" s="5" t="str">
        <f>IFERROR(VLOOKUP($D848,FIYAT!$B:$O,4,FALSE()),"")</f>
        <v>CHINT</v>
      </c>
      <c r="L848" s="5">
        <f t="shared" si="103"/>
        <v>3660</v>
      </c>
      <c r="M848" s="5"/>
      <c r="N848" s="5"/>
      <c r="O848" s="5"/>
      <c r="P848" s="5" t="str">
        <f>IF($H848="","FIYAT_YOK",IFERROR(VLOOKUP($D848,FIYAT!$B:$P,15,FALSE()),""))</f>
        <v>MUADIL</v>
      </c>
      <c r="Q848" s="5" t="s">
        <v>185</v>
      </c>
      <c r="R848" s="5" t="s">
        <v>184</v>
      </c>
      <c r="S848" s="5" t="s">
        <v>637</v>
      </c>
      <c r="T848" s="5" t="s">
        <v>79</v>
      </c>
      <c r="U848" s="5">
        <f>IFERROR(VLOOKUP($T848,KURALLAR!$A$32:$B$63,2,FALSE()),0)*IF(ISNUMBER($I848),$I848,0)</f>
        <v>12</v>
      </c>
    </row>
    <row r="849" spans="1:21" x14ac:dyDescent="0.25">
      <c r="A849" s="9">
        <v>848</v>
      </c>
      <c r="B849" s="9"/>
      <c r="C849" s="9" t="s">
        <v>75</v>
      </c>
      <c r="D849" s="9" t="s">
        <v>186</v>
      </c>
      <c r="E849" s="9" t="str">
        <f>IFERROR(VLOOKUP($D849,FIYAT!$B:$O,2,FALSE()),"")</f>
        <v>Ограничитель имп. перенапр. NU6-IIG 4Р In=25kA Uc=440B Im=65kA (R)</v>
      </c>
      <c r="F849" s="9">
        <f>IFERROR(VLOOKUP($D849,FIYAT!$B:$O,5,FALSE()),"")</f>
        <v>33208</v>
      </c>
      <c r="G849" s="9">
        <f>IFERROR(VLOOKUP($D849,FIYAT!$B:$O,8,FALSE()),"")</f>
        <v>19924.8</v>
      </c>
      <c r="H849" s="9">
        <f t="shared" si="102"/>
        <v>19924.8</v>
      </c>
      <c r="I849" s="6">
        <v>1</v>
      </c>
      <c r="J849" s="9" t="str">
        <f>IFERROR(VLOOKUP($D849,FIYAT!$B:$O,9,FALSE()),"")</f>
        <v>Шт.</v>
      </c>
      <c r="K849" s="9" t="str">
        <f>IFERROR(VLOOKUP($D849,FIYAT!$B:$O,4,FALSE()),"")</f>
        <v>CHINT</v>
      </c>
      <c r="L849" s="9">
        <f t="shared" si="103"/>
        <v>19924.8</v>
      </c>
      <c r="M849" s="9"/>
      <c r="N849" s="9"/>
      <c r="O849" s="9"/>
      <c r="P849" s="9" t="str">
        <f>IF($H849="","FIYAT_YOK",IFERROR(VLOOKUP($D849,FIYAT!$B:$P,15,FALSE()),""))</f>
        <v>MUADIL_ONAY</v>
      </c>
      <c r="Q849" s="9" t="s">
        <v>188</v>
      </c>
      <c r="R849" s="9" t="s">
        <v>184</v>
      </c>
      <c r="S849" s="9" t="s">
        <v>637</v>
      </c>
      <c r="T849" s="9" t="s">
        <v>75</v>
      </c>
      <c r="U849" s="9">
        <f>IFERROR(VLOOKUP($T849,KURALLAR!$A$32:$B$63,2,FALSE()),0)*IF(ISNUMBER($I849),$I849,0)</f>
        <v>10</v>
      </c>
    </row>
    <row r="850" spans="1:21" x14ac:dyDescent="0.25">
      <c r="A850" s="5">
        <v>849</v>
      </c>
      <c r="B850" s="5"/>
      <c r="C850" s="5" t="s">
        <v>169</v>
      </c>
      <c r="D850" s="5" t="s">
        <v>276</v>
      </c>
      <c r="E850" s="5" t="str">
        <f>IFERROR(VLOOKUP($D850,FIYAT!$B:$O,2,FALSE()),"")</f>
        <v>Авт. выкл. NM8N-125C TM 3P 40А 36кА с рег. термомаг. расцепителем (R)</v>
      </c>
      <c r="F850" s="5">
        <f>IFERROR(VLOOKUP($D850,FIYAT!$B:$O,5,FALSE()),"")</f>
        <v>68418</v>
      </c>
      <c r="G850" s="5">
        <f>IFERROR(VLOOKUP($D850,FIYAT!$B:$O,8,FALSE()),"")</f>
        <v>41050.799999999996</v>
      </c>
      <c r="H850" s="5">
        <f t="shared" si="102"/>
        <v>82101.599999999991</v>
      </c>
      <c r="I850" s="6">
        <v>2</v>
      </c>
      <c r="J850" s="5" t="str">
        <f>IFERROR(VLOOKUP($D850,FIYAT!$B:$O,9,FALSE()),"")</f>
        <v>Шт.</v>
      </c>
      <c r="K850" s="5" t="str">
        <f>IFERROR(VLOOKUP($D850,FIYAT!$B:$O,4,FALSE()),"")</f>
        <v>CHINT</v>
      </c>
      <c r="L850" s="5">
        <f t="shared" si="103"/>
        <v>82101.599999999991</v>
      </c>
      <c r="M850" s="5"/>
      <c r="N850" s="5"/>
      <c r="O850" s="5"/>
      <c r="P850" s="5" t="str">
        <f>IF($H850="","FIYAT_YOK",IFERROR(VLOOKUP($D850,FIYAT!$B:$P,15,FALSE()),""))</f>
        <v>MUADIL</v>
      </c>
      <c r="Q850" s="5" t="s">
        <v>172</v>
      </c>
      <c r="R850" s="5" t="s">
        <v>171</v>
      </c>
      <c r="S850" s="5" t="s">
        <v>637</v>
      </c>
      <c r="T850" s="5" t="s">
        <v>61</v>
      </c>
      <c r="U850" s="5">
        <f>IFERROR(VLOOKUP($T850,KURALLAR!$A$32:$B$63,2,FALSE()),0)*IF(ISNUMBER($I850),$I850,0)</f>
        <v>30</v>
      </c>
    </row>
    <row r="851" spans="1:21" x14ac:dyDescent="0.25">
      <c r="A851" s="9">
        <v>850</v>
      </c>
      <c r="B851" s="9"/>
      <c r="C851" s="9" t="s">
        <v>83</v>
      </c>
      <c r="D851" s="9" t="s">
        <v>278</v>
      </c>
      <c r="E851" s="9" t="str">
        <f>IFERROR(VLOOKUP($D851,FIYAT!$B:$O,2,FALSE()),"")</f>
        <v>Трансформатор тока Т-0.66-1,2 У3 500/5А (для счётчика)</v>
      </c>
      <c r="F851" s="9">
        <f>IFERROR(VLOOKUP($D851,FIYAT!$B:$O,5,FALSE()),"")</f>
        <v>0</v>
      </c>
      <c r="G851" s="9" t="str">
        <f>IFERROR(VLOOKUP($D851,FIYAT!$B:$O,8,FALSE()),"")</f>
        <v/>
      </c>
      <c r="H851" s="9" t="str">
        <f t="shared" si="102"/>
        <v/>
      </c>
      <c r="I851" s="6">
        <v>3</v>
      </c>
      <c r="J851" s="9" t="str">
        <f>IFERROR(VLOOKUP($D851,FIYAT!$B:$O,9,FALSE()),"")</f>
        <v>Шт.</v>
      </c>
      <c r="K851" s="9" t="str">
        <f>IFERROR(VLOOKUP($D851,FIYAT!$B:$O,4,FALSE()),"")</f>
        <v>MUADIL-NET</v>
      </c>
      <c r="L851" s="9" t="str">
        <f t="shared" si="103"/>
        <v/>
      </c>
      <c r="M851" s="9"/>
      <c r="N851" s="9"/>
      <c r="O851" s="9"/>
      <c r="P851" s="7" t="str">
        <f>IF($H851="","FIYAT_YOK",IFERROR(VLOOKUP($D851,FIYAT!$B:$P,15,FALSE()),""))</f>
        <v>FIYAT_YOK</v>
      </c>
      <c r="Q851" s="7" t="s">
        <v>280</v>
      </c>
      <c r="R851" s="9"/>
      <c r="S851" s="9" t="s">
        <v>637</v>
      </c>
      <c r="T851" s="9" t="s">
        <v>83</v>
      </c>
      <c r="U851" s="9">
        <f>IFERROR(VLOOKUP($T851,KURALLAR!$A$32:$B$63,2,FALSE()),0)*IF(ISNUMBER($I851),$I851,0)</f>
        <v>30</v>
      </c>
    </row>
    <row r="852" spans="1:21" x14ac:dyDescent="0.25">
      <c r="A852" s="5">
        <v>851</v>
      </c>
      <c r="B852" s="5"/>
      <c r="C852" s="5" t="s">
        <v>97</v>
      </c>
      <c r="D852" s="5" t="s">
        <v>281</v>
      </c>
      <c r="E852" s="5" t="str">
        <f>IFERROR(VLOOKUP($D852,FIYAT!$B:$O,2,FALSE()),"")</f>
        <v>КОРОБКА КЛЕММНАЯ ИСПЫТАТЕЛЬНАЯ ПЕРЕХОДНАЯ ККИ1-1 EKF PROXIMA</v>
      </c>
      <c r="F852" s="5">
        <f>IFERROR(VLOOKUP($D852,FIYAT!$B:$O,5,FALSE()),"")</f>
        <v>0</v>
      </c>
      <c r="G852" s="5" t="str">
        <f>IFERROR(VLOOKUP($D852,FIYAT!$B:$O,8,FALSE()),"")</f>
        <v/>
      </c>
      <c r="H852" s="5" t="str">
        <f t="shared" si="102"/>
        <v/>
      </c>
      <c r="I852" s="6">
        <v>1</v>
      </c>
      <c r="J852" s="5" t="str">
        <f>IFERROR(VLOOKUP($D852,FIYAT!$B:$O,9,FALSE()),"")</f>
        <v>Шт.</v>
      </c>
      <c r="K852" s="5" t="str">
        <f>IFERROR(VLOOKUP($D852,FIYAT!$B:$O,4,FALSE()),"")</f>
        <v>EKF</v>
      </c>
      <c r="L852" s="5" t="str">
        <f t="shared" si="103"/>
        <v/>
      </c>
      <c r="M852" s="5"/>
      <c r="N852" s="5"/>
      <c r="O852" s="5"/>
      <c r="P852" s="7" t="str">
        <f>IF($H852="","FIYAT_YOK",IFERROR(VLOOKUP($D852,FIYAT!$B:$P,15,FALSE()),""))</f>
        <v>FIYAT_YOK</v>
      </c>
      <c r="Q852" s="7" t="s">
        <v>283</v>
      </c>
      <c r="R852" s="5"/>
      <c r="S852" s="5" t="s">
        <v>637</v>
      </c>
      <c r="T852" s="5" t="s">
        <v>97</v>
      </c>
      <c r="U852" s="5">
        <f>IFERROR(VLOOKUP($T852,KURALLAR!$A$32:$B$63,2,FALSE()),0)*IF(ISNUMBER($I852),$I852,0)</f>
        <v>4</v>
      </c>
    </row>
    <row r="853" spans="1:21" x14ac:dyDescent="0.25">
      <c r="A853" s="9">
        <v>852</v>
      </c>
      <c r="B853" s="9"/>
      <c r="C853" s="9" t="s">
        <v>81</v>
      </c>
      <c r="D853" s="9" t="s">
        <v>284</v>
      </c>
      <c r="E853" s="9" t="str">
        <f>IFERROR(VLOOKUP($D853,FIYAT!$B:$O,2,FALSE()),"")</f>
        <v>Трехфазный эл.счетчик EX 518 5А (трансф. подкл.) с PLC модулем</v>
      </c>
      <c r="F853" s="9">
        <f>IFERROR(VLOOKUP($D853,FIYAT!$B:$O,5,FALSE()),"")</f>
        <v>0</v>
      </c>
      <c r="G853" s="9" t="str">
        <f>IFERROR(VLOOKUP($D853,FIYAT!$B:$O,8,FALSE()),"")</f>
        <v/>
      </c>
      <c r="H853" s="9" t="str">
        <f t="shared" si="102"/>
        <v/>
      </c>
      <c r="I853" s="6">
        <v>1</v>
      </c>
      <c r="J853" s="9" t="str">
        <f>IFERROR(VLOOKUP($D853,FIYAT!$B:$O,9,FALSE()),"")</f>
        <v>Шт.</v>
      </c>
      <c r="K853" s="9" t="str">
        <f>IFERROR(VLOOKUP($D853,FIYAT!$B:$O,4,FALSE()),"")</f>
        <v>MUADIL-NET</v>
      </c>
      <c r="L853" s="9" t="str">
        <f t="shared" si="103"/>
        <v/>
      </c>
      <c r="M853" s="9"/>
      <c r="N853" s="9"/>
      <c r="O853" s="9"/>
      <c r="P853" s="7" t="str">
        <f>IF($H853="","FIYAT_YOK",IFERROR(VLOOKUP($D853,FIYAT!$B:$P,15,FALSE()),""))</f>
        <v>FIYAT_YOK</v>
      </c>
      <c r="Q853" s="7" t="s">
        <v>249</v>
      </c>
      <c r="R853" s="9"/>
      <c r="S853" s="9" t="s">
        <v>637</v>
      </c>
      <c r="T853" s="9" t="s">
        <v>81</v>
      </c>
      <c r="U853" s="9">
        <f>IFERROR(VLOOKUP($T853,KURALLAR!$A$32:$B$63,2,FALSE()),0)*IF(ISNUMBER($I853),$I853,0)</f>
        <v>30</v>
      </c>
    </row>
    <row r="854" spans="1:21" x14ac:dyDescent="0.25">
      <c r="A854" s="5">
        <v>853</v>
      </c>
      <c r="B854" s="5"/>
      <c r="C854" s="5" t="s">
        <v>253</v>
      </c>
      <c r="D854" s="5" t="s">
        <v>251</v>
      </c>
      <c r="E854" s="5" t="str">
        <f>IFERROR(VLOOKUP($D854,FIYAT!$B:$O,2,FALSE()),"")</f>
        <v>Шина алюминиевая твёрдая (ШАТ)</v>
      </c>
      <c r="F854" s="5">
        <f>IFERROR(VLOOKUP($D854,FIYAT!$B:$O,5,FALSE()),"")</f>
        <v>4493.5999999999995</v>
      </c>
      <c r="G854" s="5">
        <f>IFERROR(VLOOKUP($D854,FIYAT!$B:$O,8,FALSE()),"")</f>
        <v>4493.5999999999995</v>
      </c>
      <c r="H854" s="5">
        <f t="shared" si="102"/>
        <v>143795.19999999998</v>
      </c>
      <c r="I854" s="6">
        <v>32</v>
      </c>
      <c r="J854" s="5" t="str">
        <f>IFERROR(VLOOKUP($D854,FIYAT!$B:$O,9,FALSE()),"")</f>
        <v>Кг.</v>
      </c>
      <c r="K854" s="5" t="str">
        <f>IFERROR(VLOOKUP($D854,FIYAT!$B:$O,4,FALSE()),"")</f>
        <v>ALUM-BARA</v>
      </c>
      <c r="L854" s="5">
        <f t="shared" si="103"/>
        <v>143795.19999999998</v>
      </c>
      <c r="M854" s="5"/>
      <c r="N854" s="5"/>
      <c r="O854" s="5"/>
      <c r="P854" s="5" t="str">
        <f>IF($H854="","FIYAT_YOK",IFERROR(VLOOKUP($D854,FIYAT!$B:$P,15,FALSE()),""))</f>
        <v>VARSAYIM</v>
      </c>
      <c r="Q854" s="5" t="s">
        <v>255</v>
      </c>
      <c r="R854" s="5"/>
      <c r="S854" s="5" t="s">
        <v>637</v>
      </c>
      <c r="T854" s="5" t="s">
        <v>101</v>
      </c>
      <c r="U854" s="5">
        <f>IFERROR(VLOOKUP($T854,KURALLAR!$A$32:$B$63,2,FALSE()),0)*IF(ISNUMBER($I854),$I854,0)</f>
        <v>192</v>
      </c>
    </row>
    <row r="855" spans="1:21" x14ac:dyDescent="0.25">
      <c r="A855" s="9">
        <v>854</v>
      </c>
      <c r="B855" s="9"/>
      <c r="C855" s="9" t="s">
        <v>222</v>
      </c>
      <c r="D855" s="9" t="s">
        <v>261</v>
      </c>
      <c r="E855" s="9" t="str">
        <f>IFERROR(VLOOKUP($D855,FIYAT!$B:$O,2,FALSE()),"")</f>
        <v>Мет. Щит (2000x700x500) +10CM BAZA IP54</v>
      </c>
      <c r="F855" s="9">
        <f>IFERROR(VLOOKUP($D855,FIYAT!$B:$O,5,FALSE()),"")</f>
        <v>117250</v>
      </c>
      <c r="G855" s="9">
        <f>IFERROR(VLOOKUP($D855,FIYAT!$B:$O,8,FALSE()),"")</f>
        <v>70350</v>
      </c>
      <c r="H855" s="9">
        <f t="shared" si="102"/>
        <v>70350</v>
      </c>
      <c r="I855" s="6">
        <v>1</v>
      </c>
      <c r="J855" s="9" t="str">
        <f>IFERROR(VLOOKUP($D855,FIYAT!$B:$O,9,FALSE()),"")</f>
        <v>Шт.</v>
      </c>
      <c r="K855" s="9" t="str">
        <f>IFERROR(VLOOKUP($D855,FIYAT!$B:$O,4,FALSE()),"")</f>
        <v>KAZTEK</v>
      </c>
      <c r="L855" s="9">
        <f t="shared" si="103"/>
        <v>70350</v>
      </c>
      <c r="M855" s="9"/>
      <c r="N855" s="9"/>
      <c r="O855" s="9"/>
      <c r="P855" s="9" t="str">
        <f>IF($H855="","FIYAT_YOK",IFERROR(VLOOKUP($D855,FIYAT!$B:$P,15,FALSE()),""))</f>
        <v>VARSAYIM</v>
      </c>
      <c r="Q855" s="9" t="s">
        <v>263</v>
      </c>
      <c r="R855" s="9" t="s">
        <v>211</v>
      </c>
      <c r="S855" s="9" t="s">
        <v>637</v>
      </c>
      <c r="T855" s="9" t="s">
        <v>107</v>
      </c>
      <c r="U855" s="9">
        <f>IFERROR(VLOOKUP($T855,KURALLAR!$A$32:$B$63,2,FALSE()),0)*IF(ISNUMBER($I855),$I855,0)</f>
        <v>90</v>
      </c>
    </row>
    <row r="856" spans="1:21" x14ac:dyDescent="0.25">
      <c r="A856" s="5">
        <v>855</v>
      </c>
      <c r="B856" s="5"/>
      <c r="C856" s="5" t="s">
        <v>215</v>
      </c>
      <c r="D856" s="5" t="s">
        <v>213</v>
      </c>
      <c r="E856" s="5" t="str">
        <f>IFERROR(VLOOKUP($D856,FIYAT!$B:$O,2,FALSE()),"")</f>
        <v>Монтажный расходный материал (кабель, DIN-рейка, кабель-канал, клеммы, маркировка, крепёж)</v>
      </c>
      <c r="F856" s="5">
        <f>IFERROR(VLOOKUP($D856,FIYAT!$B:$O,5,FALSE()),"")</f>
        <v>0</v>
      </c>
      <c r="G856" s="5" t="str">
        <f>IFERROR(VLOOKUP($D856,FIYAT!$B:$O,8,FALSE()),"")</f>
        <v/>
      </c>
      <c r="H856" s="5">
        <f>ROUND(SUM($H$841:$H$855)*KURALLAR!$B$28,0)</f>
        <v>43850</v>
      </c>
      <c r="I856" s="6">
        <v>1</v>
      </c>
      <c r="J856" s="5" t="str">
        <f>IFERROR(VLOOKUP($D856,FIYAT!$B:$O,9,FALSE()),"")</f>
        <v>компл.</v>
      </c>
      <c r="K856" s="5" t="str">
        <f>IFERROR(VLOOKUP($D856,FIYAT!$B:$O,4,FALSE()),"")</f>
        <v>MUADIL-NET</v>
      </c>
      <c r="L856" s="5">
        <f t="shared" si="103"/>
        <v>43850</v>
      </c>
      <c r="M856" s="5"/>
      <c r="N856" s="5"/>
      <c r="O856" s="5"/>
      <c r="P856" s="5" t="str">
        <f>IF($H856="","FIYAT_YOK",IFERROR(VLOOKUP($D856,FIYAT!$B:$P,15,FALSE()),""))</f>
        <v>ORAN</v>
      </c>
      <c r="Q856" s="5" t="s">
        <v>218</v>
      </c>
      <c r="R856" s="5" t="s">
        <v>217</v>
      </c>
      <c r="S856" s="5" t="s">
        <v>637</v>
      </c>
      <c r="T856" s="5"/>
      <c r="U856" s="5">
        <v>0</v>
      </c>
    </row>
    <row r="857" spans="1:21" x14ac:dyDescent="0.25">
      <c r="A857" s="9">
        <v>856</v>
      </c>
      <c r="B857" s="9"/>
      <c r="C857" s="9" t="s">
        <v>227</v>
      </c>
      <c r="D857" s="9" t="s">
        <v>225</v>
      </c>
      <c r="E857" s="9" t="str">
        <f>IFERROR(VLOOKUP($D857,FIYAT!$B:$O,2,FALSE()),"")</f>
        <v>Сборка, кабелирование, маркировка, момент затяжки, испытания</v>
      </c>
      <c r="F857" s="9">
        <f>IFERROR(VLOOKUP($D857,FIYAT!$B:$O,5,FALSE()),"")</f>
        <v>100</v>
      </c>
      <c r="G857" s="9">
        <f>IFERROR(VLOOKUP($D857,FIYAT!$B:$O,8,FALSE()),"")</f>
        <v>100</v>
      </c>
      <c r="H857" s="9">
        <f>IF(OR($G857="",$I857=""),"",$G857*$I857)</f>
        <v>66700</v>
      </c>
      <c r="I857" s="6">
        <f>ROUND(SUM($U$841:$U$856)*KURALLAR!$B$27,0)</f>
        <v>667</v>
      </c>
      <c r="J857" s="9" t="str">
        <f>IFERROR(VLOOKUP($D857,FIYAT!$B:$O,9,FALSE()),"")</f>
        <v>мин</v>
      </c>
      <c r="K857" s="9" t="str">
        <f>IFERROR(VLOOKUP($D857,FIYAT!$B:$O,4,FALSE()),"")</f>
        <v>ISCILIK</v>
      </c>
      <c r="L857" s="9">
        <f t="shared" si="103"/>
        <v>66700</v>
      </c>
      <c r="M857" s="9"/>
      <c r="N857" s="9"/>
      <c r="O857" s="9"/>
      <c r="P857" s="9" t="str">
        <f>IF($H857="","FIYAT_YOK",IFERROR(VLOOKUP($D857,FIYAT!$B:$P,15,FALSE()),""))</f>
        <v>OK</v>
      </c>
      <c r="Q857" s="9" t="str">
        <f>CONCATENATE("montaj+test iscilik: ",TEXT($I857,"# ##0")," dk = ",TEXT($I857/60,"0,00")," saat (norm x test/etiket carpani)")</f>
        <v>montaj+test iscilik:  667 dk = 11,12 saat (norm x test/etiket carpani)</v>
      </c>
      <c r="R857" s="9" t="s">
        <v>229</v>
      </c>
      <c r="S857" s="9" t="s">
        <v>637</v>
      </c>
      <c r="T857" s="9"/>
      <c r="U857" s="9">
        <v>0</v>
      </c>
    </row>
    <row r="858" spans="1:21" x14ac:dyDescent="0.25">
      <c r="A858" s="10">
        <v>857</v>
      </c>
      <c r="B858" s="10" t="s">
        <v>654</v>
      </c>
      <c r="C858" s="10"/>
      <c r="D858" s="10"/>
      <c r="E858" s="10"/>
      <c r="F858" s="10"/>
      <c r="G858" s="10"/>
      <c r="H858" s="10">
        <f>SUBTOTAL(9,H841:H857)</f>
        <v>736978.6</v>
      </c>
      <c r="I858" s="10"/>
      <c r="J858" s="10"/>
      <c r="K858" s="10"/>
      <c r="L858" s="10">
        <f>SUBTOTAL(9,L841:L857)</f>
        <v>736978.6</v>
      </c>
      <c r="M858" s="10"/>
      <c r="N858" s="10"/>
      <c r="O858" s="10"/>
      <c r="P858" s="10"/>
      <c r="Q858" s="10"/>
      <c r="R858" s="10"/>
      <c r="S858" s="10"/>
      <c r="T858" s="10"/>
      <c r="U858" s="10">
        <f>SUBTOTAL(9,U841:U857)</f>
        <v>580</v>
      </c>
    </row>
    <row r="859" spans="1:21" x14ac:dyDescent="0.25">
      <c r="A859" s="8">
        <v>858</v>
      </c>
      <c r="B859" s="8" t="str">
        <f>E859</f>
        <v>BLOK B / ЩА-13F — НКУ 380/220В 50Гц, FORM 2B, IP31/54</v>
      </c>
      <c r="C859" s="8" t="s">
        <v>545</v>
      </c>
      <c r="D859" s="8"/>
      <c r="E859" s="8" t="s">
        <v>655</v>
      </c>
      <c r="F859" s="8"/>
      <c r="G859" s="8"/>
      <c r="H859" s="8"/>
      <c r="I859" s="8">
        <v>1</v>
      </c>
      <c r="J859" s="8" t="s">
        <v>547</v>
      </c>
      <c r="K859" s="8"/>
      <c r="L859" s="8"/>
      <c r="M859" s="8"/>
      <c r="N859" s="8"/>
      <c r="O859" s="8"/>
      <c r="P859" s="8" t="s">
        <v>178</v>
      </c>
      <c r="Q859" s="8" t="s">
        <v>548</v>
      </c>
      <c r="R859" s="8" t="s">
        <v>549</v>
      </c>
      <c r="S859" s="8" t="s">
        <v>637</v>
      </c>
      <c r="T859" s="8"/>
      <c r="U859" s="8"/>
    </row>
    <row r="860" spans="1:21" x14ac:dyDescent="0.25">
      <c r="A860" s="5">
        <v>859</v>
      </c>
      <c r="B860" s="5"/>
      <c r="C860" s="5" t="s">
        <v>169</v>
      </c>
      <c r="D860" s="5" t="s">
        <v>231</v>
      </c>
      <c r="E860" s="5" t="str">
        <f>IFERROR(VLOOKUP($D860,FIYAT!$B:$O,2,FALSE()),"")</f>
        <v>Авт. выкл. NM8N-125C TM 3P 80А 36кА с рег. термомаг. расцепителем (R)</v>
      </c>
      <c r="F860" s="5">
        <f>IFERROR(VLOOKUP($D860,FIYAT!$B:$O,5,FALSE()),"")</f>
        <v>64129</v>
      </c>
      <c r="G860" s="5">
        <f>IFERROR(VLOOKUP($D860,FIYAT!$B:$O,8,FALSE()),"")</f>
        <v>38477.4</v>
      </c>
      <c r="H860" s="5">
        <f t="shared" ref="H860:H868" si="104">IF(OR($G860="",$I860=""),"",$G860*$I860)</f>
        <v>38477.4</v>
      </c>
      <c r="I860" s="6">
        <v>1</v>
      </c>
      <c r="J860" s="5" t="str">
        <f>IFERROR(VLOOKUP($D860,FIYAT!$B:$O,9,FALSE()),"")</f>
        <v>Шт.</v>
      </c>
      <c r="K860" s="5" t="str">
        <f>IFERROR(VLOOKUP($D860,FIYAT!$B:$O,4,FALSE()),"")</f>
        <v>CHINT</v>
      </c>
      <c r="L860" s="5">
        <f t="shared" ref="L860:L870" si="105">IF($H860="","",$H860)</f>
        <v>38477.4</v>
      </c>
      <c r="M860" s="5"/>
      <c r="N860" s="5"/>
      <c r="O860" s="5"/>
      <c r="P860" s="5" t="str">
        <f>IF($H860="","FIYAT_YOK",IFERROR(VLOOKUP($D860,FIYAT!$B:$P,15,FALSE()),""))</f>
        <v>OK</v>
      </c>
      <c r="Q860" s="5" t="s">
        <v>233</v>
      </c>
      <c r="R860" s="5" t="s">
        <v>171</v>
      </c>
      <c r="S860" s="5" t="s">
        <v>637</v>
      </c>
      <c r="T860" s="5" t="s">
        <v>61</v>
      </c>
      <c r="U860" s="5">
        <f>IFERROR(VLOOKUP($T860,KURALLAR!$A$32:$B$63,2,FALSE()),0)*IF(ISNUMBER($I860),$I860,0)</f>
        <v>15</v>
      </c>
    </row>
    <row r="861" spans="1:21" x14ac:dyDescent="0.25">
      <c r="A861" s="9">
        <v>860</v>
      </c>
      <c r="B861" s="9"/>
      <c r="C861" s="9" t="s">
        <v>176</v>
      </c>
      <c r="D861" s="9" t="s">
        <v>234</v>
      </c>
      <c r="E861" s="9" t="str">
        <f>IFERROR(VLOOKUP($D861,FIYAT!$B:$O,2,FALSE()),"")</f>
        <v>Диф. модуль NM8NL-125 4P RCD1 X рег. ток утечки 0,03-0,05-0,1-0,2-0,3-0,5-1-2 A (R)</v>
      </c>
      <c r="F861" s="9">
        <f>IFERROR(VLOOKUP($D861,FIYAT!$B:$O,5,FALSE()),"")</f>
        <v>83791</v>
      </c>
      <c r="G861" s="9">
        <f>IFERROR(VLOOKUP($D861,FIYAT!$B:$O,8,FALSE()),"")</f>
        <v>50274.6</v>
      </c>
      <c r="H861" s="9">
        <f t="shared" si="104"/>
        <v>50274.6</v>
      </c>
      <c r="I861" s="6">
        <v>1</v>
      </c>
      <c r="J861" s="9" t="str">
        <f>IFERROR(VLOOKUP($D861,FIYAT!$B:$O,9,FALSE()),"")</f>
        <v>Шт.</v>
      </c>
      <c r="K861" s="9" t="str">
        <f>IFERROR(VLOOKUP($D861,FIYAT!$B:$O,4,FALSE()),"")</f>
        <v>CHINT</v>
      </c>
      <c r="L861" s="9">
        <f t="shared" si="105"/>
        <v>50274.6</v>
      </c>
      <c r="M861" s="9"/>
      <c r="N861" s="9"/>
      <c r="O861" s="9"/>
      <c r="P861" s="7" t="str">
        <f>IF($H861="","FIYAT_YOK",IFERROR(VLOOKUP($D861,FIYAT!$B:$P,15,FALSE()),""))</f>
        <v>CIHAZ_BELIRSIZ</v>
      </c>
      <c r="Q861" s="7" t="s">
        <v>236</v>
      </c>
      <c r="R861" s="9" t="s">
        <v>184</v>
      </c>
      <c r="S861" s="9" t="s">
        <v>637</v>
      </c>
      <c r="T861" s="9" t="s">
        <v>59</v>
      </c>
      <c r="U861" s="9">
        <f>IFERROR(VLOOKUP($T861,KURALLAR!$A$32:$B$63,2,FALSE()),0)*IF(ISNUMBER($I861),$I861,0)</f>
        <v>20</v>
      </c>
    </row>
    <row r="862" spans="1:21" x14ac:dyDescent="0.25">
      <c r="A862" s="5">
        <v>861</v>
      </c>
      <c r="B862" s="5"/>
      <c r="C862" s="5" t="s">
        <v>79</v>
      </c>
      <c r="D862" s="5" t="s">
        <v>179</v>
      </c>
      <c r="E862" s="5" t="str">
        <f>IFERROR(VLOOKUP($D862,FIYAT!$B:$O,2,FALSE()),"")</f>
        <v>Держатель плавкой вставки RT36-00-160, габарит 00, 160А</v>
      </c>
      <c r="F862" s="5">
        <f>IFERROR(VLOOKUP($D862,FIYAT!$B:$O,5,FALSE()),"")</f>
        <v>2038</v>
      </c>
      <c r="G862" s="5">
        <f>IFERROR(VLOOKUP($D862,FIYAT!$B:$O,8,FALSE()),"")</f>
        <v>1222.8</v>
      </c>
      <c r="H862" s="5">
        <f t="shared" si="104"/>
        <v>4891.2</v>
      </c>
      <c r="I862" s="6">
        <v>4</v>
      </c>
      <c r="J862" s="5" t="str">
        <f>IFERROR(VLOOKUP($D862,FIYAT!$B:$O,9,FALSE()),"")</f>
        <v>Шт.</v>
      </c>
      <c r="K862" s="5" t="str">
        <f>IFERROR(VLOOKUP($D862,FIYAT!$B:$O,4,FALSE()),"")</f>
        <v>CHINT</v>
      </c>
      <c r="L862" s="5">
        <f t="shared" si="105"/>
        <v>4891.2</v>
      </c>
      <c r="M862" s="5"/>
      <c r="N862" s="5"/>
      <c r="O862" s="5"/>
      <c r="P862" s="5" t="str">
        <f>IF($H862="","FIYAT_YOK",IFERROR(VLOOKUP($D862,FIYAT!$B:$P,15,FALSE()),""))</f>
        <v>MUADIL</v>
      </c>
      <c r="Q862" s="5" t="s">
        <v>181</v>
      </c>
      <c r="R862" s="5" t="s">
        <v>171</v>
      </c>
      <c r="S862" s="5" t="s">
        <v>637</v>
      </c>
      <c r="T862" s="5" t="s">
        <v>77</v>
      </c>
      <c r="U862" s="5">
        <f>IFERROR(VLOOKUP($T862,KURALLAR!$A$32:$B$63,2,FALSE()),0)*IF(ISNUMBER($I862),$I862,0)</f>
        <v>20</v>
      </c>
    </row>
    <row r="863" spans="1:21" x14ac:dyDescent="0.25">
      <c r="A863" s="9">
        <v>862</v>
      </c>
      <c r="B863" s="9"/>
      <c r="C863" s="9" t="s">
        <v>79</v>
      </c>
      <c r="D863" s="9" t="s">
        <v>182</v>
      </c>
      <c r="E863" s="9" t="str">
        <f>IFERROR(VLOOKUP($D863,FIYAT!$B:$O,2,FALSE()),"")</f>
        <v>Плавкая вставка предохранителя RT36-00-160, габарит 00, 63А</v>
      </c>
      <c r="F863" s="9">
        <f>IFERROR(VLOOKUP($D863,FIYAT!$B:$O,5,FALSE()),"")</f>
        <v>1525</v>
      </c>
      <c r="G863" s="9">
        <f>IFERROR(VLOOKUP($D863,FIYAT!$B:$O,8,FALSE()),"")</f>
        <v>915</v>
      </c>
      <c r="H863" s="9">
        <f t="shared" si="104"/>
        <v>3660</v>
      </c>
      <c r="I863" s="6">
        <v>4</v>
      </c>
      <c r="J863" s="9" t="str">
        <f>IFERROR(VLOOKUP($D863,FIYAT!$B:$O,9,FALSE()),"")</f>
        <v>Шт.</v>
      </c>
      <c r="K863" s="9" t="str">
        <f>IFERROR(VLOOKUP($D863,FIYAT!$B:$O,4,FALSE()),"")</f>
        <v>CHINT</v>
      </c>
      <c r="L863" s="9">
        <f t="shared" si="105"/>
        <v>3660</v>
      </c>
      <c r="M863" s="9"/>
      <c r="N863" s="9"/>
      <c r="O863" s="9"/>
      <c r="P863" s="9" t="str">
        <f>IF($H863="","FIYAT_YOK",IFERROR(VLOOKUP($D863,FIYAT!$B:$P,15,FALSE()),""))</f>
        <v>MUADIL</v>
      </c>
      <c r="Q863" s="9" t="s">
        <v>185</v>
      </c>
      <c r="R863" s="9" t="s">
        <v>184</v>
      </c>
      <c r="S863" s="9" t="s">
        <v>637</v>
      </c>
      <c r="T863" s="9" t="s">
        <v>79</v>
      </c>
      <c r="U863" s="9">
        <f>IFERROR(VLOOKUP($T863,KURALLAR!$A$32:$B$63,2,FALSE()),0)*IF(ISNUMBER($I863),$I863,0)</f>
        <v>12</v>
      </c>
    </row>
    <row r="864" spans="1:21" x14ac:dyDescent="0.25">
      <c r="A864" s="5">
        <v>863</v>
      </c>
      <c r="B864" s="5"/>
      <c r="C864" s="5" t="s">
        <v>75</v>
      </c>
      <c r="D864" s="5" t="s">
        <v>186</v>
      </c>
      <c r="E864" s="5" t="str">
        <f>IFERROR(VLOOKUP($D864,FIYAT!$B:$O,2,FALSE()),"")</f>
        <v>Ограничитель имп. перенапр. NU6-IIG 4Р In=25kA Uc=440B Im=65kA (R)</v>
      </c>
      <c r="F864" s="5">
        <f>IFERROR(VLOOKUP($D864,FIYAT!$B:$O,5,FALSE()),"")</f>
        <v>33208</v>
      </c>
      <c r="G864" s="5">
        <f>IFERROR(VLOOKUP($D864,FIYAT!$B:$O,8,FALSE()),"")</f>
        <v>19924.8</v>
      </c>
      <c r="H864" s="5">
        <f t="shared" si="104"/>
        <v>19924.8</v>
      </c>
      <c r="I864" s="6">
        <v>1</v>
      </c>
      <c r="J864" s="5" t="str">
        <f>IFERROR(VLOOKUP($D864,FIYAT!$B:$O,9,FALSE()),"")</f>
        <v>Шт.</v>
      </c>
      <c r="K864" s="5" t="str">
        <f>IFERROR(VLOOKUP($D864,FIYAT!$B:$O,4,FALSE()),"")</f>
        <v>CHINT</v>
      </c>
      <c r="L864" s="5">
        <f t="shared" si="105"/>
        <v>19924.8</v>
      </c>
      <c r="M864" s="5"/>
      <c r="N864" s="5"/>
      <c r="O864" s="5"/>
      <c r="P864" s="5" t="str">
        <f>IF($H864="","FIYAT_YOK",IFERROR(VLOOKUP($D864,FIYAT!$B:$P,15,FALSE()),""))</f>
        <v>MUADIL_ONAY</v>
      </c>
      <c r="Q864" s="5" t="s">
        <v>188</v>
      </c>
      <c r="R864" s="5" t="s">
        <v>184</v>
      </c>
      <c r="S864" s="5" t="s">
        <v>637</v>
      </c>
      <c r="T864" s="5" t="s">
        <v>75</v>
      </c>
      <c r="U864" s="5">
        <f>IFERROR(VLOOKUP($T864,KURALLAR!$A$32:$B$63,2,FALSE()),0)*IF(ISNUMBER($I864),$I864,0)</f>
        <v>10</v>
      </c>
    </row>
    <row r="865" spans="1:21" x14ac:dyDescent="0.25">
      <c r="A865" s="9">
        <v>864</v>
      </c>
      <c r="B865" s="9"/>
      <c r="C865" s="9" t="s">
        <v>192</v>
      </c>
      <c r="D865" s="9" t="s">
        <v>335</v>
      </c>
      <c r="E865" s="9" t="str">
        <f>IFERROR(VLOOKUP($D865,FIYAT!$B:$O,2,FALSE()),"")</f>
        <v>Авт. выкл. NXB-63 3P 63A 6кА х-ка C (R)</v>
      </c>
      <c r="F865" s="9">
        <f>IFERROR(VLOOKUP($D865,FIYAT!$B:$O,5,FALSE()),"")</f>
        <v>6071</v>
      </c>
      <c r="G865" s="9">
        <f>IFERROR(VLOOKUP($D865,FIYAT!$B:$O,8,FALSE()),"")</f>
        <v>3642.6</v>
      </c>
      <c r="H865" s="9">
        <f t="shared" si="104"/>
        <v>3642.6</v>
      </c>
      <c r="I865" s="6">
        <v>1</v>
      </c>
      <c r="J865" s="9" t="str">
        <f>IFERROR(VLOOKUP($D865,FIYAT!$B:$O,9,FALSE()),"")</f>
        <v>Шт.</v>
      </c>
      <c r="K865" s="9" t="str">
        <f>IFERROR(VLOOKUP($D865,FIYAT!$B:$O,4,FALSE()),"")</f>
        <v>CHINT</v>
      </c>
      <c r="L865" s="9">
        <f t="shared" si="105"/>
        <v>3642.6</v>
      </c>
      <c r="M865" s="9"/>
      <c r="N865" s="9"/>
      <c r="O865" s="9"/>
      <c r="P865" s="9" t="str">
        <f>IF($H865="","FIYAT_YOK",IFERROR(VLOOKUP($D865,FIYAT!$B:$P,15,FALSE()),""))</f>
        <v>OK</v>
      </c>
      <c r="Q865" s="9" t="s">
        <v>337</v>
      </c>
      <c r="R865" s="9" t="s">
        <v>171</v>
      </c>
      <c r="S865" s="9" t="s">
        <v>637</v>
      </c>
      <c r="T865" s="9" t="s">
        <v>51</v>
      </c>
      <c r="U865" s="9">
        <f>IFERROR(VLOOKUP($T865,KURALLAR!$A$32:$B$63,2,FALSE()),0)*IF(ISNUMBER($I865),$I865,0)</f>
        <v>8</v>
      </c>
    </row>
    <row r="866" spans="1:21" x14ac:dyDescent="0.25">
      <c r="A866" s="5">
        <v>865</v>
      </c>
      <c r="B866" s="5"/>
      <c r="C866" s="5" t="s">
        <v>192</v>
      </c>
      <c r="D866" s="5" t="s">
        <v>194</v>
      </c>
      <c r="E866" s="5" t="str">
        <f>IFERROR(VLOOKUP($D866,FIYAT!$B:$O,2,FALSE()),"")</f>
        <v>Авт. выкл. NXB-63 1P 16A 6кА х-ка C (R)</v>
      </c>
      <c r="F866" s="5">
        <f>IFERROR(VLOOKUP($D866,FIYAT!$B:$O,5,FALSE()),"")</f>
        <v>1389</v>
      </c>
      <c r="G866" s="5">
        <f>IFERROR(VLOOKUP($D866,FIYAT!$B:$O,8,FALSE()),"")</f>
        <v>833.4</v>
      </c>
      <c r="H866" s="5">
        <f t="shared" si="104"/>
        <v>8334</v>
      </c>
      <c r="I866" s="6">
        <v>10</v>
      </c>
      <c r="J866" s="5" t="str">
        <f>IFERROR(VLOOKUP($D866,FIYAT!$B:$O,9,FALSE()),"")</f>
        <v>Шт.</v>
      </c>
      <c r="K866" s="5" t="str">
        <f>IFERROR(VLOOKUP($D866,FIYAT!$B:$O,4,FALSE()),"")</f>
        <v>CHINT</v>
      </c>
      <c r="L866" s="5">
        <f t="shared" si="105"/>
        <v>8334</v>
      </c>
      <c r="M866" s="5"/>
      <c r="N866" s="5"/>
      <c r="O866" s="5"/>
      <c r="P866" s="5" t="str">
        <f>IF($H866="","FIYAT_YOK",IFERROR(VLOOKUP($D866,FIYAT!$B:$P,15,FALSE()),""))</f>
        <v>OK</v>
      </c>
      <c r="Q866" s="5" t="s">
        <v>196</v>
      </c>
      <c r="R866" s="5" t="s">
        <v>171</v>
      </c>
      <c r="S866" s="5" t="s">
        <v>637</v>
      </c>
      <c r="T866" s="5" t="s">
        <v>47</v>
      </c>
      <c r="U866" s="5">
        <f>IFERROR(VLOOKUP($T866,KURALLAR!$A$32:$B$63,2,FALSE()),0)*IF(ISNUMBER($I866),$I866,0)</f>
        <v>30</v>
      </c>
    </row>
    <row r="867" spans="1:21" x14ac:dyDescent="0.25">
      <c r="A867" s="9">
        <v>866</v>
      </c>
      <c r="B867" s="9"/>
      <c r="C867" s="9" t="s">
        <v>93</v>
      </c>
      <c r="D867" s="9" t="s">
        <v>209</v>
      </c>
      <c r="E867" s="9" t="str">
        <f>IFERROR(VLOOKUP($D867,FIYAT!$B:$O,2,FALSE()),"")</f>
        <v>Шина "N" нулевая 6х9мм на DIN-рейку в корпусном изоляторе ШНИ 12К IEK (10)</v>
      </c>
      <c r="F867" s="9">
        <f>IFERROR(VLOOKUP($D867,FIYAT!$B:$O,5,FALSE()),"")</f>
        <v>755</v>
      </c>
      <c r="G867" s="9">
        <f>IFERROR(VLOOKUP($D867,FIYAT!$B:$O,8,FALSE()),"")</f>
        <v>453</v>
      </c>
      <c r="H867" s="9">
        <f t="shared" si="104"/>
        <v>1812</v>
      </c>
      <c r="I867" s="6">
        <v>4</v>
      </c>
      <c r="J867" s="9" t="str">
        <f>IFERROR(VLOOKUP($D867,FIYAT!$B:$O,9,FALSE()),"")</f>
        <v>Шт.</v>
      </c>
      <c r="K867" s="9" t="str">
        <f>IFERROR(VLOOKUP($D867,FIYAT!$B:$O,4,FALSE()),"")</f>
        <v>KAZTEK</v>
      </c>
      <c r="L867" s="9">
        <f t="shared" si="105"/>
        <v>1812</v>
      </c>
      <c r="M867" s="9"/>
      <c r="N867" s="9"/>
      <c r="O867" s="9"/>
      <c r="P867" s="9" t="str">
        <f>IF($H867="","FIYAT_YOK",IFERROR(VLOOKUP($D867,FIYAT!$B:$P,15,FALSE()),""))</f>
        <v>MUADIL</v>
      </c>
      <c r="Q867" s="9" t="s">
        <v>212</v>
      </c>
      <c r="R867" s="9" t="s">
        <v>211</v>
      </c>
      <c r="S867" s="9" t="s">
        <v>637</v>
      </c>
      <c r="T867" s="9" t="s">
        <v>93</v>
      </c>
      <c r="U867" s="9">
        <f>IFERROR(VLOOKUP($T867,KURALLAR!$A$32:$B$63,2,FALSE()),0)*IF(ISNUMBER($I867),$I867,0)</f>
        <v>32</v>
      </c>
    </row>
    <row r="868" spans="1:21" x14ac:dyDescent="0.25">
      <c r="A868" s="5">
        <v>867</v>
      </c>
      <c r="B868" s="5"/>
      <c r="C868" s="5" t="s">
        <v>222</v>
      </c>
      <c r="D868" s="5" t="s">
        <v>310</v>
      </c>
      <c r="E868" s="5" t="str">
        <f>IFERROR(VLOOKUP($D868,FIYAT!$B:$O,2,FALSE()),"")</f>
        <v>Мет.Корпус ЩМП-4 (800x650x250) IP54</v>
      </c>
      <c r="F868" s="5">
        <f>IFERROR(VLOOKUP($D868,FIYAT!$B:$O,5,FALSE()),"")</f>
        <v>30540</v>
      </c>
      <c r="G868" s="5">
        <f>IFERROR(VLOOKUP($D868,FIYAT!$B:$O,8,FALSE()),"")</f>
        <v>18324</v>
      </c>
      <c r="H868" s="5">
        <f t="shared" si="104"/>
        <v>18324</v>
      </c>
      <c r="I868" s="6">
        <v>1</v>
      </c>
      <c r="J868" s="5" t="str">
        <f>IFERROR(VLOOKUP($D868,FIYAT!$B:$O,9,FALSE()),"")</f>
        <v>Шт.</v>
      </c>
      <c r="K868" s="5" t="str">
        <f>IFERROR(VLOOKUP($D868,FIYAT!$B:$O,4,FALSE()),"")</f>
        <v>KAZTEK</v>
      </c>
      <c r="L868" s="5">
        <f t="shared" si="105"/>
        <v>18324</v>
      </c>
      <c r="M868" s="5"/>
      <c r="N868" s="5"/>
      <c r="O868" s="5"/>
      <c r="P868" s="5" t="str">
        <f>IF($H868="","FIYAT_YOK",IFERROR(VLOOKUP($D868,FIYAT!$B:$P,15,FALSE()),""))</f>
        <v>VARSAYIM</v>
      </c>
      <c r="Q868" s="5" t="s">
        <v>312</v>
      </c>
      <c r="R868" s="5" t="s">
        <v>211</v>
      </c>
      <c r="S868" s="5" t="s">
        <v>637</v>
      </c>
      <c r="T868" s="5" t="s">
        <v>105</v>
      </c>
      <c r="U868" s="5">
        <f>IFERROR(VLOOKUP($T868,KURALLAR!$A$32:$B$63,2,FALSE()),0)*IF(ISNUMBER($I868),$I868,0)</f>
        <v>30</v>
      </c>
    </row>
    <row r="869" spans="1:21" x14ac:dyDescent="0.25">
      <c r="A869" s="9">
        <v>868</v>
      </c>
      <c r="B869" s="9"/>
      <c r="C869" s="9" t="s">
        <v>215</v>
      </c>
      <c r="D869" s="9" t="s">
        <v>213</v>
      </c>
      <c r="E869" s="9" t="str">
        <f>IFERROR(VLOOKUP($D869,FIYAT!$B:$O,2,FALSE()),"")</f>
        <v>Монтажный расходный материал (кабель, DIN-рейка, кабель-канал, клеммы, маркировка, крепёж)</v>
      </c>
      <c r="F869" s="9">
        <f>IFERROR(VLOOKUP($D869,FIYAT!$B:$O,5,FALSE()),"")</f>
        <v>0</v>
      </c>
      <c r="G869" s="9" t="str">
        <f>IFERROR(VLOOKUP($D869,FIYAT!$B:$O,8,FALSE()),"")</f>
        <v/>
      </c>
      <c r="H869" s="9">
        <f>ROUND(SUM($H$860:$H$868)*KURALLAR!$B$28,0)</f>
        <v>10454</v>
      </c>
      <c r="I869" s="6">
        <v>1</v>
      </c>
      <c r="J869" s="9" t="str">
        <f>IFERROR(VLOOKUP($D869,FIYAT!$B:$O,9,FALSE()),"")</f>
        <v>компл.</v>
      </c>
      <c r="K869" s="9" t="str">
        <f>IFERROR(VLOOKUP($D869,FIYAT!$B:$O,4,FALSE()),"")</f>
        <v>MUADIL-NET</v>
      </c>
      <c r="L869" s="9">
        <f t="shared" si="105"/>
        <v>10454</v>
      </c>
      <c r="M869" s="9"/>
      <c r="N869" s="9"/>
      <c r="O869" s="9"/>
      <c r="P869" s="9" t="str">
        <f>IF($H869="","FIYAT_YOK",IFERROR(VLOOKUP($D869,FIYAT!$B:$P,15,FALSE()),""))</f>
        <v>ORAN</v>
      </c>
      <c r="Q869" s="9" t="s">
        <v>218</v>
      </c>
      <c r="R869" s="9" t="s">
        <v>217</v>
      </c>
      <c r="S869" s="9" t="s">
        <v>637</v>
      </c>
      <c r="T869" s="9"/>
      <c r="U869" s="9">
        <v>0</v>
      </c>
    </row>
    <row r="870" spans="1:21" x14ac:dyDescent="0.25">
      <c r="A870" s="5">
        <v>869</v>
      </c>
      <c r="B870" s="5"/>
      <c r="C870" s="5" t="s">
        <v>227</v>
      </c>
      <c r="D870" s="5" t="s">
        <v>225</v>
      </c>
      <c r="E870" s="5" t="str">
        <f>IFERROR(VLOOKUP($D870,FIYAT!$B:$O,2,FALSE()),"")</f>
        <v>Сборка, кабелирование, маркировка, момент затяжки, испытания</v>
      </c>
      <c r="F870" s="5">
        <f>IFERROR(VLOOKUP($D870,FIYAT!$B:$O,5,FALSE()),"")</f>
        <v>100</v>
      </c>
      <c r="G870" s="5">
        <f>IFERROR(VLOOKUP($D870,FIYAT!$B:$O,8,FALSE()),"")</f>
        <v>100</v>
      </c>
      <c r="H870" s="5">
        <f>IF(OR($G870="",$I870=""),"",$G870*$I870)</f>
        <v>20400</v>
      </c>
      <c r="I870" s="6">
        <f>ROUND(SUM($U$860:$U$869)*KURALLAR!$B$27,0)</f>
        <v>204</v>
      </c>
      <c r="J870" s="5" t="str">
        <f>IFERROR(VLOOKUP($D870,FIYAT!$B:$O,9,FALSE()),"")</f>
        <v>мин</v>
      </c>
      <c r="K870" s="5" t="str">
        <f>IFERROR(VLOOKUP($D870,FIYAT!$B:$O,4,FALSE()),"")</f>
        <v>ISCILIK</v>
      </c>
      <c r="L870" s="5">
        <f t="shared" si="105"/>
        <v>20400</v>
      </c>
      <c r="M870" s="5"/>
      <c r="N870" s="5"/>
      <c r="O870" s="5"/>
      <c r="P870" s="5" t="str">
        <f>IF($H870="","FIYAT_YOK",IFERROR(VLOOKUP($D870,FIYAT!$B:$P,15,FALSE()),""))</f>
        <v>OK</v>
      </c>
      <c r="Q870" s="5" t="str">
        <f>CONCATENATE("montaj+test iscilik: ",TEXT($I870,"# ##0")," dk = ",TEXT($I870/60,"0,00")," saat (norm x test/etiket carpani)")</f>
        <v>montaj+test iscilik:  204 dk = 3,40 saat (norm x test/etiket carpani)</v>
      </c>
      <c r="R870" s="5" t="s">
        <v>229</v>
      </c>
      <c r="S870" s="5" t="s">
        <v>637</v>
      </c>
      <c r="T870" s="5"/>
      <c r="U870" s="5">
        <v>0</v>
      </c>
    </row>
    <row r="871" spans="1:21" x14ac:dyDescent="0.25">
      <c r="A871" s="10">
        <v>870</v>
      </c>
      <c r="B871" s="10" t="s">
        <v>656</v>
      </c>
      <c r="C871" s="10"/>
      <c r="D871" s="10"/>
      <c r="E871" s="10"/>
      <c r="F871" s="10"/>
      <c r="G871" s="10"/>
      <c r="H871" s="10">
        <f>SUBTOTAL(9,H860:H870)</f>
        <v>180194.6</v>
      </c>
      <c r="I871" s="10"/>
      <c r="J871" s="10"/>
      <c r="K871" s="10"/>
      <c r="L871" s="10">
        <f>SUBTOTAL(9,L860:L870)</f>
        <v>180194.6</v>
      </c>
      <c r="M871" s="10"/>
      <c r="N871" s="10"/>
      <c r="O871" s="10"/>
      <c r="P871" s="10"/>
      <c r="Q871" s="10"/>
      <c r="R871" s="10"/>
      <c r="S871" s="10"/>
      <c r="T871" s="10"/>
      <c r="U871" s="10">
        <f>SUBTOTAL(9,U860:U870)</f>
        <v>177</v>
      </c>
    </row>
    <row r="872" spans="1:21" x14ac:dyDescent="0.25">
      <c r="A872" s="8">
        <v>871</v>
      </c>
      <c r="B872" s="8" t="str">
        <f>E872</f>
        <v>BLOK B / B1-ЩС — НКУ 380/220В 50Гц, FORM 2B, IP31/54</v>
      </c>
      <c r="C872" s="8" t="s">
        <v>545</v>
      </c>
      <c r="D872" s="8"/>
      <c r="E872" s="8" t="s">
        <v>657</v>
      </c>
      <c r="F872" s="8"/>
      <c r="G872" s="8"/>
      <c r="H872" s="8"/>
      <c r="I872" s="8">
        <v>1</v>
      </c>
      <c r="J872" s="8" t="s">
        <v>547</v>
      </c>
      <c r="K872" s="8"/>
      <c r="L872" s="8"/>
      <c r="M872" s="8"/>
      <c r="N872" s="8"/>
      <c r="O872" s="8"/>
      <c r="P872" s="8" t="s">
        <v>178</v>
      </c>
      <c r="Q872" s="8" t="s">
        <v>548</v>
      </c>
      <c r="R872" s="8" t="s">
        <v>549</v>
      </c>
      <c r="S872" s="8" t="s">
        <v>637</v>
      </c>
      <c r="T872" s="8"/>
      <c r="U872" s="8"/>
    </row>
    <row r="873" spans="1:21" x14ac:dyDescent="0.25">
      <c r="A873" s="9">
        <v>872</v>
      </c>
      <c r="B873" s="9"/>
      <c r="C873" s="9" t="s">
        <v>169</v>
      </c>
      <c r="D873" s="9" t="s">
        <v>167</v>
      </c>
      <c r="E873" s="9" t="str">
        <f>IFERROR(VLOOKUP($D873,FIYAT!$B:$O,2,FALSE()),"")</f>
        <v>Авт. выкл. NM8N-125C TM 3P 32А 36кА с рег. термомаг. расцепителем (R)</v>
      </c>
      <c r="F873" s="9">
        <f>IFERROR(VLOOKUP($D873,FIYAT!$B:$O,5,FALSE()),"")</f>
        <v>64667</v>
      </c>
      <c r="G873" s="9">
        <f>IFERROR(VLOOKUP($D873,FIYAT!$B:$O,8,FALSE()),"")</f>
        <v>38800.199999999997</v>
      </c>
      <c r="H873" s="9">
        <f t="shared" ref="H873:H885" si="106">IF(OR($G873="",$I873=""),"",$G873*$I873)</f>
        <v>38800.199999999997</v>
      </c>
      <c r="I873" s="6">
        <v>1</v>
      </c>
      <c r="J873" s="9" t="str">
        <f>IFERROR(VLOOKUP($D873,FIYAT!$B:$O,9,FALSE()),"")</f>
        <v>Шт.</v>
      </c>
      <c r="K873" s="9" t="str">
        <f>IFERROR(VLOOKUP($D873,FIYAT!$B:$O,4,FALSE()),"")</f>
        <v>CHINT</v>
      </c>
      <c r="L873" s="9">
        <f t="shared" ref="L873:L887" si="107">IF($H873="","",$H873)</f>
        <v>38800.199999999997</v>
      </c>
      <c r="M873" s="9"/>
      <c r="N873" s="9"/>
      <c r="O873" s="9"/>
      <c r="P873" s="9" t="str">
        <f>IF($H873="","FIYAT_YOK",IFERROR(VLOOKUP($D873,FIYAT!$B:$P,15,FALSE()),""))</f>
        <v>MUADIL</v>
      </c>
      <c r="Q873" s="9" t="s">
        <v>172</v>
      </c>
      <c r="R873" s="9" t="s">
        <v>171</v>
      </c>
      <c r="S873" s="9" t="s">
        <v>637</v>
      </c>
      <c r="T873" s="9" t="s">
        <v>61</v>
      </c>
      <c r="U873" s="9">
        <f>IFERROR(VLOOKUP($T873,KURALLAR!$A$32:$B$63,2,FALSE()),0)*IF(ISNUMBER($I873),$I873,0)</f>
        <v>15</v>
      </c>
    </row>
    <row r="874" spans="1:21" x14ac:dyDescent="0.25">
      <c r="A874" s="5">
        <v>873</v>
      </c>
      <c r="B874" s="5"/>
      <c r="C874" s="5" t="s">
        <v>176</v>
      </c>
      <c r="D874" s="5" t="s">
        <v>174</v>
      </c>
      <c r="E874" s="5" t="str">
        <f>IFERROR(VLOOKUP($D874,FIYAT!$B:$O,2,FALSE()),"")</f>
        <v>УЗО NL1-63 6kA 4P 63A 300mA тип AC (R)</v>
      </c>
      <c r="F874" s="5">
        <f>IFERROR(VLOOKUP($D874,FIYAT!$B:$O,5,FALSE()),"")</f>
        <v>18106</v>
      </c>
      <c r="G874" s="5">
        <f>IFERROR(VLOOKUP($D874,FIYAT!$B:$O,8,FALSE()),"")</f>
        <v>10863.6</v>
      </c>
      <c r="H874" s="5">
        <f t="shared" si="106"/>
        <v>10863.6</v>
      </c>
      <c r="I874" s="6">
        <v>1</v>
      </c>
      <c r="J874" s="5" t="str">
        <f>IFERROR(VLOOKUP($D874,FIYAT!$B:$O,9,FALSE()),"")</f>
        <v>Шт.</v>
      </c>
      <c r="K874" s="5" t="str">
        <f>IFERROR(VLOOKUP($D874,FIYAT!$B:$O,4,FALSE()),"")</f>
        <v>CHINT</v>
      </c>
      <c r="L874" s="5">
        <f t="shared" si="107"/>
        <v>10863.6</v>
      </c>
      <c r="M874" s="5"/>
      <c r="N874" s="5"/>
      <c r="O874" s="5"/>
      <c r="P874" s="5" t="str">
        <f>IF($H874="","FIYAT_YOK",IFERROR(VLOOKUP($D874,FIYAT!$B:$P,15,FALSE()),""))</f>
        <v>OK</v>
      </c>
      <c r="Q874" s="5" t="s">
        <v>177</v>
      </c>
      <c r="R874" s="5" t="s">
        <v>171</v>
      </c>
      <c r="S874" s="5" t="s">
        <v>637</v>
      </c>
      <c r="T874" s="5" t="s">
        <v>57</v>
      </c>
      <c r="U874" s="5">
        <f>IFERROR(VLOOKUP($T874,KURALLAR!$A$32:$B$63,2,FALSE()),0)*IF(ISNUMBER($I874),$I874,0)</f>
        <v>10</v>
      </c>
    </row>
    <row r="875" spans="1:21" x14ac:dyDescent="0.25">
      <c r="A875" s="9">
        <v>874</v>
      </c>
      <c r="B875" s="9"/>
      <c r="C875" s="9" t="s">
        <v>79</v>
      </c>
      <c r="D875" s="9" t="s">
        <v>179</v>
      </c>
      <c r="E875" s="9" t="str">
        <f>IFERROR(VLOOKUP($D875,FIYAT!$B:$O,2,FALSE()),"")</f>
        <v>Держатель плавкой вставки RT36-00-160, габарит 00, 160А</v>
      </c>
      <c r="F875" s="9">
        <f>IFERROR(VLOOKUP($D875,FIYAT!$B:$O,5,FALSE()),"")</f>
        <v>2038</v>
      </c>
      <c r="G875" s="9">
        <f>IFERROR(VLOOKUP($D875,FIYAT!$B:$O,8,FALSE()),"")</f>
        <v>1222.8</v>
      </c>
      <c r="H875" s="9">
        <f t="shared" si="106"/>
        <v>4891.2</v>
      </c>
      <c r="I875" s="6">
        <v>4</v>
      </c>
      <c r="J875" s="9" t="str">
        <f>IFERROR(VLOOKUP($D875,FIYAT!$B:$O,9,FALSE()),"")</f>
        <v>Шт.</v>
      </c>
      <c r="K875" s="9" t="str">
        <f>IFERROR(VLOOKUP($D875,FIYAT!$B:$O,4,FALSE()),"")</f>
        <v>CHINT</v>
      </c>
      <c r="L875" s="9">
        <f t="shared" si="107"/>
        <v>4891.2</v>
      </c>
      <c r="M875" s="9"/>
      <c r="N875" s="9"/>
      <c r="O875" s="9"/>
      <c r="P875" s="9" t="str">
        <f>IF($H875="","FIYAT_YOK",IFERROR(VLOOKUP($D875,FIYAT!$B:$P,15,FALSE()),""))</f>
        <v>MUADIL</v>
      </c>
      <c r="Q875" s="9" t="s">
        <v>181</v>
      </c>
      <c r="R875" s="9" t="s">
        <v>171</v>
      </c>
      <c r="S875" s="9" t="s">
        <v>637</v>
      </c>
      <c r="T875" s="9" t="s">
        <v>77</v>
      </c>
      <c r="U875" s="9">
        <f>IFERROR(VLOOKUP($T875,KURALLAR!$A$32:$B$63,2,FALSE()),0)*IF(ISNUMBER($I875),$I875,0)</f>
        <v>20</v>
      </c>
    </row>
    <row r="876" spans="1:21" x14ac:dyDescent="0.25">
      <c r="A876" s="5">
        <v>875</v>
      </c>
      <c r="B876" s="5"/>
      <c r="C876" s="5" t="s">
        <v>79</v>
      </c>
      <c r="D876" s="5" t="s">
        <v>182</v>
      </c>
      <c r="E876" s="5" t="str">
        <f>IFERROR(VLOOKUP($D876,FIYAT!$B:$O,2,FALSE()),"")</f>
        <v>Плавкая вставка предохранителя RT36-00-160, габарит 00, 63А</v>
      </c>
      <c r="F876" s="5">
        <f>IFERROR(VLOOKUP($D876,FIYAT!$B:$O,5,FALSE()),"")</f>
        <v>1525</v>
      </c>
      <c r="G876" s="5">
        <f>IFERROR(VLOOKUP($D876,FIYAT!$B:$O,8,FALSE()),"")</f>
        <v>915</v>
      </c>
      <c r="H876" s="5">
        <f t="shared" si="106"/>
        <v>3660</v>
      </c>
      <c r="I876" s="6">
        <v>4</v>
      </c>
      <c r="J876" s="5" t="str">
        <f>IFERROR(VLOOKUP($D876,FIYAT!$B:$O,9,FALSE()),"")</f>
        <v>Шт.</v>
      </c>
      <c r="K876" s="5" t="str">
        <f>IFERROR(VLOOKUP($D876,FIYAT!$B:$O,4,FALSE()),"")</f>
        <v>CHINT</v>
      </c>
      <c r="L876" s="5">
        <f t="shared" si="107"/>
        <v>3660</v>
      </c>
      <c r="M876" s="5"/>
      <c r="N876" s="5"/>
      <c r="O876" s="5"/>
      <c r="P876" s="5" t="str">
        <f>IF($H876="","FIYAT_YOK",IFERROR(VLOOKUP($D876,FIYAT!$B:$P,15,FALSE()),""))</f>
        <v>MUADIL</v>
      </c>
      <c r="Q876" s="5" t="s">
        <v>185</v>
      </c>
      <c r="R876" s="5" t="s">
        <v>184</v>
      </c>
      <c r="S876" s="5" t="s">
        <v>637</v>
      </c>
      <c r="T876" s="5" t="s">
        <v>79</v>
      </c>
      <c r="U876" s="5">
        <f>IFERROR(VLOOKUP($T876,KURALLAR!$A$32:$B$63,2,FALSE()),0)*IF(ISNUMBER($I876),$I876,0)</f>
        <v>12</v>
      </c>
    </row>
    <row r="877" spans="1:21" x14ac:dyDescent="0.25">
      <c r="A877" s="9">
        <v>876</v>
      </c>
      <c r="B877" s="9"/>
      <c r="C877" s="9" t="s">
        <v>75</v>
      </c>
      <c r="D877" s="9" t="s">
        <v>186</v>
      </c>
      <c r="E877" s="9" t="str">
        <f>IFERROR(VLOOKUP($D877,FIYAT!$B:$O,2,FALSE()),"")</f>
        <v>Ограничитель имп. перенапр. NU6-IIG 4Р In=25kA Uc=440B Im=65kA (R)</v>
      </c>
      <c r="F877" s="9">
        <f>IFERROR(VLOOKUP($D877,FIYAT!$B:$O,5,FALSE()),"")</f>
        <v>33208</v>
      </c>
      <c r="G877" s="9">
        <f>IFERROR(VLOOKUP($D877,FIYAT!$B:$O,8,FALSE()),"")</f>
        <v>19924.8</v>
      </c>
      <c r="H877" s="9">
        <f t="shared" si="106"/>
        <v>19924.8</v>
      </c>
      <c r="I877" s="6">
        <v>1</v>
      </c>
      <c r="J877" s="9" t="str">
        <f>IFERROR(VLOOKUP($D877,FIYAT!$B:$O,9,FALSE()),"")</f>
        <v>Шт.</v>
      </c>
      <c r="K877" s="9" t="str">
        <f>IFERROR(VLOOKUP($D877,FIYAT!$B:$O,4,FALSE()),"")</f>
        <v>CHINT</v>
      </c>
      <c r="L877" s="9">
        <f t="shared" si="107"/>
        <v>19924.8</v>
      </c>
      <c r="M877" s="9"/>
      <c r="N877" s="9"/>
      <c r="O877" s="9"/>
      <c r="P877" s="9" t="str">
        <f>IF($H877="","FIYAT_YOK",IFERROR(VLOOKUP($D877,FIYAT!$B:$P,15,FALSE()),""))</f>
        <v>MUADIL_ONAY</v>
      </c>
      <c r="Q877" s="9" t="s">
        <v>188</v>
      </c>
      <c r="R877" s="9" t="s">
        <v>184</v>
      </c>
      <c r="S877" s="9" t="s">
        <v>637</v>
      </c>
      <c r="T877" s="9" t="s">
        <v>75</v>
      </c>
      <c r="U877" s="9">
        <f>IFERROR(VLOOKUP($T877,KURALLAR!$A$32:$B$63,2,FALSE()),0)*IF(ISNUMBER($I877),$I877,0)</f>
        <v>10</v>
      </c>
    </row>
    <row r="878" spans="1:21" x14ac:dyDescent="0.25">
      <c r="A878" s="5">
        <v>877</v>
      </c>
      <c r="B878" s="5"/>
      <c r="C878" s="5" t="s">
        <v>192</v>
      </c>
      <c r="D878" s="5" t="s">
        <v>190</v>
      </c>
      <c r="E878" s="5" t="str">
        <f>IFERROR(VLOOKUP($D878,FIYAT!$B:$O,2,FALSE()),"")</f>
        <v>Авт. выкл. NXB-63 3P 25A 6кА х-ка C (R)</v>
      </c>
      <c r="F878" s="5">
        <f>IFERROR(VLOOKUP($D878,FIYAT!$B:$O,5,FALSE()),"")</f>
        <v>5334</v>
      </c>
      <c r="G878" s="5">
        <f>IFERROR(VLOOKUP($D878,FIYAT!$B:$O,8,FALSE()),"")</f>
        <v>3200.4</v>
      </c>
      <c r="H878" s="5">
        <f t="shared" si="106"/>
        <v>6400.8</v>
      </c>
      <c r="I878" s="6">
        <v>2</v>
      </c>
      <c r="J878" s="5" t="str">
        <f>IFERROR(VLOOKUP($D878,FIYAT!$B:$O,9,FALSE()),"")</f>
        <v>Шт.</v>
      </c>
      <c r="K878" s="5" t="str">
        <f>IFERROR(VLOOKUP($D878,FIYAT!$B:$O,4,FALSE()),"")</f>
        <v>CHINT</v>
      </c>
      <c r="L878" s="5">
        <f t="shared" si="107"/>
        <v>6400.8</v>
      </c>
      <c r="M878" s="5"/>
      <c r="N878" s="5"/>
      <c r="O878" s="5"/>
      <c r="P878" s="5" t="str">
        <f>IF($H878="","FIYAT_YOK",IFERROR(VLOOKUP($D878,FIYAT!$B:$P,15,FALSE()),""))</f>
        <v>OK</v>
      </c>
      <c r="Q878" s="5" t="s">
        <v>193</v>
      </c>
      <c r="R878" s="5" t="s">
        <v>171</v>
      </c>
      <c r="S878" s="5" t="s">
        <v>637</v>
      </c>
      <c r="T878" s="5" t="s">
        <v>51</v>
      </c>
      <c r="U878" s="5">
        <f>IFERROR(VLOOKUP($T878,KURALLAR!$A$32:$B$63,2,FALSE()),0)*IF(ISNUMBER($I878),$I878,0)</f>
        <v>16</v>
      </c>
    </row>
    <row r="879" spans="1:21" x14ac:dyDescent="0.25">
      <c r="A879" s="9">
        <v>878</v>
      </c>
      <c r="B879" s="9"/>
      <c r="C879" s="9" t="s">
        <v>176</v>
      </c>
      <c r="D879" s="9" t="s">
        <v>197</v>
      </c>
      <c r="E879" s="9" t="str">
        <f>IFERROR(VLOOKUP($D879,FIYAT!$B:$O,2,FALSE()),"")</f>
        <v>УЗО NL1-63 6kA 4P 25A 30mA тип AC (R)</v>
      </c>
      <c r="F879" s="9">
        <f>IFERROR(VLOOKUP($D879,FIYAT!$B:$O,5,FALSE()),"")</f>
        <v>18338</v>
      </c>
      <c r="G879" s="9">
        <f>IFERROR(VLOOKUP($D879,FIYAT!$B:$O,8,FALSE()),"")</f>
        <v>11002.8</v>
      </c>
      <c r="H879" s="9">
        <f t="shared" si="106"/>
        <v>22005.599999999999</v>
      </c>
      <c r="I879" s="6">
        <v>2</v>
      </c>
      <c r="J879" s="9" t="str">
        <f>IFERROR(VLOOKUP($D879,FIYAT!$B:$O,9,FALSE()),"")</f>
        <v>Шт.</v>
      </c>
      <c r="K879" s="9" t="str">
        <f>IFERROR(VLOOKUP($D879,FIYAT!$B:$O,4,FALSE()),"")</f>
        <v>CHINT</v>
      </c>
      <c r="L879" s="9">
        <f t="shared" si="107"/>
        <v>22005.599999999999</v>
      </c>
      <c r="M879" s="9"/>
      <c r="N879" s="9"/>
      <c r="O879" s="9"/>
      <c r="P879" s="9" t="str">
        <f>IF($H879="","FIYAT_YOK",IFERROR(VLOOKUP($D879,FIYAT!$B:$P,15,FALSE()),""))</f>
        <v>OK</v>
      </c>
      <c r="Q879" s="9" t="s">
        <v>199</v>
      </c>
      <c r="R879" s="9" t="s">
        <v>171</v>
      </c>
      <c r="S879" s="9" t="s">
        <v>637</v>
      </c>
      <c r="T879" s="9" t="s">
        <v>57</v>
      </c>
      <c r="U879" s="9">
        <f>IFERROR(VLOOKUP($T879,KURALLAR!$A$32:$B$63,2,FALSE()),0)*IF(ISNUMBER($I879),$I879,0)</f>
        <v>20</v>
      </c>
    </row>
    <row r="880" spans="1:21" x14ac:dyDescent="0.25">
      <c r="A880" s="5">
        <v>879</v>
      </c>
      <c r="B880" s="5"/>
      <c r="C880" s="5" t="s">
        <v>192</v>
      </c>
      <c r="D880" s="5" t="s">
        <v>194</v>
      </c>
      <c r="E880" s="5" t="str">
        <f>IFERROR(VLOOKUP($D880,FIYAT!$B:$O,2,FALSE()),"")</f>
        <v>Авт. выкл. NXB-63 1P 16A 6кА х-ка C (R)</v>
      </c>
      <c r="F880" s="5">
        <f>IFERROR(VLOOKUP($D880,FIYAT!$B:$O,5,FALSE()),"")</f>
        <v>1389</v>
      </c>
      <c r="G880" s="5">
        <f>IFERROR(VLOOKUP($D880,FIYAT!$B:$O,8,FALSE()),"")</f>
        <v>833.4</v>
      </c>
      <c r="H880" s="5">
        <f t="shared" si="106"/>
        <v>1666.8</v>
      </c>
      <c r="I880" s="6">
        <v>2</v>
      </c>
      <c r="J880" s="5" t="str">
        <f>IFERROR(VLOOKUP($D880,FIYAT!$B:$O,9,FALSE()),"")</f>
        <v>Шт.</v>
      </c>
      <c r="K880" s="5" t="str">
        <f>IFERROR(VLOOKUP($D880,FIYAT!$B:$O,4,FALSE()),"")</f>
        <v>CHINT</v>
      </c>
      <c r="L880" s="5">
        <f t="shared" si="107"/>
        <v>1666.8</v>
      </c>
      <c r="M880" s="5"/>
      <c r="N880" s="5"/>
      <c r="O880" s="5"/>
      <c r="P880" s="5" t="str">
        <f>IF($H880="","FIYAT_YOK",IFERROR(VLOOKUP($D880,FIYAT!$B:$P,15,FALSE()),""))</f>
        <v>OK</v>
      </c>
      <c r="Q880" s="5" t="s">
        <v>196</v>
      </c>
      <c r="R880" s="5" t="s">
        <v>171</v>
      </c>
      <c r="S880" s="5" t="s">
        <v>637</v>
      </c>
      <c r="T880" s="5" t="s">
        <v>47</v>
      </c>
      <c r="U880" s="5">
        <f>IFERROR(VLOOKUP($T880,KURALLAR!$A$32:$B$63,2,FALSE()),0)*IF(ISNUMBER($I880),$I880,0)</f>
        <v>6</v>
      </c>
    </row>
    <row r="881" spans="1:21" x14ac:dyDescent="0.25">
      <c r="A881" s="9">
        <v>880</v>
      </c>
      <c r="B881" s="9"/>
      <c r="C881" s="9" t="s">
        <v>176</v>
      </c>
      <c r="D881" s="9" t="s">
        <v>200</v>
      </c>
      <c r="E881" s="9" t="str">
        <f>IFERROR(VLOOKUP($D881,FIYAT!$B:$O,2,FALSE()),"")</f>
        <v>УЗО NL1-63 6kA 2P 16A 30mA тип AC (R)</v>
      </c>
      <c r="F881" s="9">
        <f>IFERROR(VLOOKUP($D881,FIYAT!$B:$O,5,FALSE()),"")</f>
        <v>10809</v>
      </c>
      <c r="G881" s="9">
        <f>IFERROR(VLOOKUP($D881,FIYAT!$B:$O,8,FALSE()),"")</f>
        <v>6485.4</v>
      </c>
      <c r="H881" s="9">
        <f t="shared" si="106"/>
        <v>12970.8</v>
      </c>
      <c r="I881" s="6">
        <v>2</v>
      </c>
      <c r="J881" s="9" t="str">
        <f>IFERROR(VLOOKUP($D881,FIYAT!$B:$O,9,FALSE()),"")</f>
        <v>Шт.</v>
      </c>
      <c r="K881" s="9" t="str">
        <f>IFERROR(VLOOKUP($D881,FIYAT!$B:$O,4,FALSE()),"")</f>
        <v>CHINT</v>
      </c>
      <c r="L881" s="9">
        <f t="shared" si="107"/>
        <v>12970.8</v>
      </c>
      <c r="M881" s="9"/>
      <c r="N881" s="9"/>
      <c r="O881" s="9"/>
      <c r="P881" s="9" t="str">
        <f>IF($H881="","FIYAT_YOK",IFERROR(VLOOKUP($D881,FIYAT!$B:$P,15,FALSE()),""))</f>
        <v>OK</v>
      </c>
      <c r="Q881" s="9" t="s">
        <v>202</v>
      </c>
      <c r="R881" s="9" t="s">
        <v>171</v>
      </c>
      <c r="S881" s="9" t="s">
        <v>637</v>
      </c>
      <c r="T881" s="9" t="s">
        <v>55</v>
      </c>
      <c r="U881" s="9">
        <f>IFERROR(VLOOKUP($T881,KURALLAR!$A$32:$B$63,2,FALSE()),0)*IF(ISNUMBER($I881),$I881,0)</f>
        <v>12</v>
      </c>
    </row>
    <row r="882" spans="1:21" x14ac:dyDescent="0.25">
      <c r="A882" s="5">
        <v>881</v>
      </c>
      <c r="B882" s="5"/>
      <c r="C882" s="5" t="s">
        <v>192</v>
      </c>
      <c r="D882" s="5" t="s">
        <v>304</v>
      </c>
      <c r="E882" s="5" t="str">
        <f>IFERROR(VLOOKUP($D882,FIYAT!$B:$O,2,FALSE()),"")</f>
        <v>Авт. выкл. NXB-63 3P 16A 6кА х-ка C (R)</v>
      </c>
      <c r="F882" s="5">
        <f>IFERROR(VLOOKUP($D882,FIYAT!$B:$O,5,FALSE()),"")</f>
        <v>5462</v>
      </c>
      <c r="G882" s="5">
        <f>IFERROR(VLOOKUP($D882,FIYAT!$B:$O,8,FALSE()),"")</f>
        <v>3277.2</v>
      </c>
      <c r="H882" s="5">
        <f t="shared" si="106"/>
        <v>49158</v>
      </c>
      <c r="I882" s="6">
        <v>15</v>
      </c>
      <c r="J882" s="5" t="str">
        <f>IFERROR(VLOOKUP($D882,FIYAT!$B:$O,9,FALSE()),"")</f>
        <v>Шт.</v>
      </c>
      <c r="K882" s="5" t="str">
        <f>IFERROR(VLOOKUP($D882,FIYAT!$B:$O,4,FALSE()),"")</f>
        <v>CHINT</v>
      </c>
      <c r="L882" s="5">
        <f t="shared" si="107"/>
        <v>49158</v>
      </c>
      <c r="M882" s="5"/>
      <c r="N882" s="5"/>
      <c r="O882" s="5"/>
      <c r="P882" s="5" t="str">
        <f>IF($H882="","FIYAT_YOK",IFERROR(VLOOKUP($D882,FIYAT!$B:$P,15,FALSE()),""))</f>
        <v>OK</v>
      </c>
      <c r="Q882" s="5" t="s">
        <v>306</v>
      </c>
      <c r="R882" s="5" t="s">
        <v>171</v>
      </c>
      <c r="S882" s="5" t="s">
        <v>637</v>
      </c>
      <c r="T882" s="5" t="s">
        <v>51</v>
      </c>
      <c r="U882" s="5">
        <f>IFERROR(VLOOKUP($T882,KURALLAR!$A$32:$B$63,2,FALSE()),0)*IF(ISNUMBER($I882),$I882,0)</f>
        <v>120</v>
      </c>
    </row>
    <row r="883" spans="1:21" x14ac:dyDescent="0.25">
      <c r="A883" s="9">
        <v>882</v>
      </c>
      <c r="B883" s="9"/>
      <c r="C883" s="9" t="s">
        <v>192</v>
      </c>
      <c r="D883" s="9" t="s">
        <v>206</v>
      </c>
      <c r="E883" s="9" t="str">
        <f>IFERROR(VLOOKUP($D883,FIYAT!$B:$O,2,FALSE()),"")</f>
        <v>Авт. выкл. NXB-63 1P 10A 6кА х-ка C (R)</v>
      </c>
      <c r="F883" s="9">
        <f>IFERROR(VLOOKUP($D883,FIYAT!$B:$O,5,FALSE()),"")</f>
        <v>1362</v>
      </c>
      <c r="G883" s="9">
        <f>IFERROR(VLOOKUP($D883,FIYAT!$B:$O,8,FALSE()),"")</f>
        <v>817.19999999999993</v>
      </c>
      <c r="H883" s="9">
        <f t="shared" si="106"/>
        <v>17978.399999999998</v>
      </c>
      <c r="I883" s="6">
        <v>22</v>
      </c>
      <c r="J883" s="9" t="str">
        <f>IFERROR(VLOOKUP($D883,FIYAT!$B:$O,9,FALSE()),"")</f>
        <v>Шт.</v>
      </c>
      <c r="K883" s="9" t="str">
        <f>IFERROR(VLOOKUP($D883,FIYAT!$B:$O,4,FALSE()),"")</f>
        <v>CHINT</v>
      </c>
      <c r="L883" s="9">
        <f t="shared" si="107"/>
        <v>17978.399999999998</v>
      </c>
      <c r="M883" s="9"/>
      <c r="N883" s="9"/>
      <c r="O883" s="9"/>
      <c r="P883" s="9" t="str">
        <f>IF($H883="","FIYAT_YOK",IFERROR(VLOOKUP($D883,FIYAT!$B:$P,15,FALSE()),""))</f>
        <v>OK</v>
      </c>
      <c r="Q883" s="9" t="s">
        <v>208</v>
      </c>
      <c r="R883" s="9" t="s">
        <v>184</v>
      </c>
      <c r="S883" s="9" t="s">
        <v>637</v>
      </c>
      <c r="T883" s="9" t="s">
        <v>47</v>
      </c>
      <c r="U883" s="9">
        <f>IFERROR(VLOOKUP($T883,KURALLAR!$A$32:$B$63,2,FALSE()),0)*IF(ISNUMBER($I883),$I883,0)</f>
        <v>66</v>
      </c>
    </row>
    <row r="884" spans="1:21" x14ac:dyDescent="0.25">
      <c r="A884" s="5">
        <v>883</v>
      </c>
      <c r="B884" s="5"/>
      <c r="C884" s="5" t="s">
        <v>93</v>
      </c>
      <c r="D884" s="5" t="s">
        <v>209</v>
      </c>
      <c r="E884" s="5" t="str">
        <f>IFERROR(VLOOKUP($D884,FIYAT!$B:$O,2,FALSE()),"")</f>
        <v>Шина "N" нулевая 6х9мм на DIN-рейку в корпусном изоляторе ШНИ 12К IEK (10)</v>
      </c>
      <c r="F884" s="5">
        <f>IFERROR(VLOOKUP($D884,FIYAT!$B:$O,5,FALSE()),"")</f>
        <v>755</v>
      </c>
      <c r="G884" s="5">
        <f>IFERROR(VLOOKUP($D884,FIYAT!$B:$O,8,FALSE()),"")</f>
        <v>453</v>
      </c>
      <c r="H884" s="5">
        <f t="shared" si="106"/>
        <v>1812</v>
      </c>
      <c r="I884" s="6">
        <v>4</v>
      </c>
      <c r="J884" s="5" t="str">
        <f>IFERROR(VLOOKUP($D884,FIYAT!$B:$O,9,FALSE()),"")</f>
        <v>Шт.</v>
      </c>
      <c r="K884" s="5" t="str">
        <f>IFERROR(VLOOKUP($D884,FIYAT!$B:$O,4,FALSE()),"")</f>
        <v>KAZTEK</v>
      </c>
      <c r="L884" s="5">
        <f t="shared" si="107"/>
        <v>1812</v>
      </c>
      <c r="M884" s="5"/>
      <c r="N884" s="5"/>
      <c r="O884" s="5"/>
      <c r="P884" s="5" t="str">
        <f>IF($H884="","FIYAT_YOK",IFERROR(VLOOKUP($D884,FIYAT!$B:$P,15,FALSE()),""))</f>
        <v>MUADIL</v>
      </c>
      <c r="Q884" s="5" t="s">
        <v>212</v>
      </c>
      <c r="R884" s="5" t="s">
        <v>211</v>
      </c>
      <c r="S884" s="5" t="s">
        <v>637</v>
      </c>
      <c r="T884" s="5" t="s">
        <v>93</v>
      </c>
      <c r="U884" s="5">
        <f>IFERROR(VLOOKUP($T884,KURALLAR!$A$32:$B$63,2,FALSE()),0)*IF(ISNUMBER($I884),$I884,0)</f>
        <v>32</v>
      </c>
    </row>
    <row r="885" spans="1:21" x14ac:dyDescent="0.25">
      <c r="A885" s="9">
        <v>884</v>
      </c>
      <c r="B885" s="9"/>
      <c r="C885" s="9" t="s">
        <v>222</v>
      </c>
      <c r="D885" s="9" t="s">
        <v>370</v>
      </c>
      <c r="E885" s="9" t="str">
        <f>IFERROR(VLOOKUP($D885,FIYAT!$B:$O,2,FALSE()),"")</f>
        <v>Мет. Корпус ЩМП- 6 (1200х750х300) IP54</v>
      </c>
      <c r="F885" s="9">
        <f>IFERROR(VLOOKUP($D885,FIYAT!$B:$O,5,FALSE()),"")</f>
        <v>65570</v>
      </c>
      <c r="G885" s="9">
        <f>IFERROR(VLOOKUP($D885,FIYAT!$B:$O,8,FALSE()),"")</f>
        <v>39342</v>
      </c>
      <c r="H885" s="9">
        <f t="shared" si="106"/>
        <v>39342</v>
      </c>
      <c r="I885" s="6">
        <v>1</v>
      </c>
      <c r="J885" s="9" t="str">
        <f>IFERROR(VLOOKUP($D885,FIYAT!$B:$O,9,FALSE()),"")</f>
        <v>Шт.</v>
      </c>
      <c r="K885" s="9" t="str">
        <f>IFERROR(VLOOKUP($D885,FIYAT!$B:$O,4,FALSE()),"")</f>
        <v>KAZTEK</v>
      </c>
      <c r="L885" s="9">
        <f t="shared" si="107"/>
        <v>39342</v>
      </c>
      <c r="M885" s="9"/>
      <c r="N885" s="9"/>
      <c r="O885" s="9"/>
      <c r="P885" s="9" t="str">
        <f>IF($H885="","FIYAT_YOK",IFERROR(VLOOKUP($D885,FIYAT!$B:$P,15,FALSE()),""))</f>
        <v>VARSAYIM</v>
      </c>
      <c r="Q885" s="9" t="s">
        <v>372</v>
      </c>
      <c r="R885" s="9" t="s">
        <v>211</v>
      </c>
      <c r="S885" s="9" t="s">
        <v>637</v>
      </c>
      <c r="T885" s="9" t="s">
        <v>105</v>
      </c>
      <c r="U885" s="9">
        <f>IFERROR(VLOOKUP($T885,KURALLAR!$A$32:$B$63,2,FALSE()),0)*IF(ISNUMBER($I885),$I885,0)</f>
        <v>30</v>
      </c>
    </row>
    <row r="886" spans="1:21" x14ac:dyDescent="0.25">
      <c r="A886" s="5">
        <v>885</v>
      </c>
      <c r="B886" s="5"/>
      <c r="C886" s="5" t="s">
        <v>215</v>
      </c>
      <c r="D886" s="5" t="s">
        <v>213</v>
      </c>
      <c r="E886" s="5" t="str">
        <f>IFERROR(VLOOKUP($D886,FIYAT!$B:$O,2,FALSE()),"")</f>
        <v>Монтажный расходный материал (кабель, DIN-рейка, кабель-канал, клеммы, маркировка, крепёж)</v>
      </c>
      <c r="F886" s="5">
        <f>IFERROR(VLOOKUP($D886,FIYAT!$B:$O,5,FALSE()),"")</f>
        <v>0</v>
      </c>
      <c r="G886" s="5" t="str">
        <f>IFERROR(VLOOKUP($D886,FIYAT!$B:$O,8,FALSE()),"")</f>
        <v/>
      </c>
      <c r="H886" s="5">
        <f>ROUND(SUM($H$873:$H$885)*KURALLAR!$B$28,0)</f>
        <v>16063</v>
      </c>
      <c r="I886" s="6">
        <v>1</v>
      </c>
      <c r="J886" s="5" t="str">
        <f>IFERROR(VLOOKUP($D886,FIYAT!$B:$O,9,FALSE()),"")</f>
        <v>компл.</v>
      </c>
      <c r="K886" s="5" t="str">
        <f>IFERROR(VLOOKUP($D886,FIYAT!$B:$O,4,FALSE()),"")</f>
        <v>MUADIL-NET</v>
      </c>
      <c r="L886" s="5">
        <f t="shared" si="107"/>
        <v>16063</v>
      </c>
      <c r="M886" s="5"/>
      <c r="N886" s="5"/>
      <c r="O886" s="5"/>
      <c r="P886" s="5" t="str">
        <f>IF($H886="","FIYAT_YOK",IFERROR(VLOOKUP($D886,FIYAT!$B:$P,15,FALSE()),""))</f>
        <v>ORAN</v>
      </c>
      <c r="Q886" s="5" t="s">
        <v>218</v>
      </c>
      <c r="R886" s="5" t="s">
        <v>217</v>
      </c>
      <c r="S886" s="5" t="s">
        <v>637</v>
      </c>
      <c r="T886" s="5"/>
      <c r="U886" s="5">
        <v>0</v>
      </c>
    </row>
    <row r="887" spans="1:21" x14ac:dyDescent="0.25">
      <c r="A887" s="9">
        <v>886</v>
      </c>
      <c r="B887" s="9"/>
      <c r="C887" s="9" t="s">
        <v>227</v>
      </c>
      <c r="D887" s="9" t="s">
        <v>225</v>
      </c>
      <c r="E887" s="9" t="str">
        <f>IFERROR(VLOOKUP($D887,FIYAT!$B:$O,2,FALSE()),"")</f>
        <v>Сборка, кабелирование, маркировка, момент затяжки, испытания</v>
      </c>
      <c r="F887" s="9">
        <f>IFERROR(VLOOKUP($D887,FIYAT!$B:$O,5,FALSE()),"")</f>
        <v>100</v>
      </c>
      <c r="G887" s="9">
        <f>IFERROR(VLOOKUP($D887,FIYAT!$B:$O,8,FALSE()),"")</f>
        <v>100</v>
      </c>
      <c r="H887" s="9">
        <f>IF(OR($G887="",$I887=""),"",$G887*$I887)</f>
        <v>42400</v>
      </c>
      <c r="I887" s="6">
        <f>ROUND(SUM($U$873:$U$886)*KURALLAR!$B$27,0)</f>
        <v>424</v>
      </c>
      <c r="J887" s="9" t="str">
        <f>IFERROR(VLOOKUP($D887,FIYAT!$B:$O,9,FALSE()),"")</f>
        <v>мин</v>
      </c>
      <c r="K887" s="9" t="str">
        <f>IFERROR(VLOOKUP($D887,FIYAT!$B:$O,4,FALSE()),"")</f>
        <v>ISCILIK</v>
      </c>
      <c r="L887" s="9">
        <f t="shared" si="107"/>
        <v>42400</v>
      </c>
      <c r="M887" s="9"/>
      <c r="N887" s="9"/>
      <c r="O887" s="9"/>
      <c r="P887" s="9" t="str">
        <f>IF($H887="","FIYAT_YOK",IFERROR(VLOOKUP($D887,FIYAT!$B:$P,15,FALSE()),""))</f>
        <v>OK</v>
      </c>
      <c r="Q887" s="9" t="str">
        <f>CONCATENATE("montaj+test iscilik: ",TEXT($I887,"# ##0")," dk = ",TEXT($I887/60,"0,00")," saat (norm x test/etiket carpani)")</f>
        <v>montaj+test iscilik:  424 dk = 7,07 saat (norm x test/etiket carpani)</v>
      </c>
      <c r="R887" s="9" t="s">
        <v>229</v>
      </c>
      <c r="S887" s="9" t="s">
        <v>637</v>
      </c>
      <c r="T887" s="9"/>
      <c r="U887" s="9">
        <v>0</v>
      </c>
    </row>
    <row r="888" spans="1:21" x14ac:dyDescent="0.25">
      <c r="A888" s="10">
        <v>887</v>
      </c>
      <c r="B888" s="10" t="s">
        <v>658</v>
      </c>
      <c r="C888" s="10"/>
      <c r="D888" s="10"/>
      <c r="E888" s="10"/>
      <c r="F888" s="10"/>
      <c r="G888" s="10"/>
      <c r="H888" s="10">
        <f>SUBTOTAL(9,H873:H887)</f>
        <v>287937.19999999995</v>
      </c>
      <c r="I888" s="10"/>
      <c r="J888" s="10"/>
      <c r="K888" s="10"/>
      <c r="L888" s="10">
        <f>SUBTOTAL(9,L873:L887)</f>
        <v>287937.19999999995</v>
      </c>
      <c r="M888" s="10"/>
      <c r="N888" s="10"/>
      <c r="O888" s="10"/>
      <c r="P888" s="10"/>
      <c r="Q888" s="10"/>
      <c r="R888" s="10"/>
      <c r="S888" s="10"/>
      <c r="T888" s="10"/>
      <c r="U888" s="10">
        <f>SUBTOTAL(9,U873:U887)</f>
        <v>369</v>
      </c>
    </row>
    <row r="889" spans="1:21" x14ac:dyDescent="0.25">
      <c r="A889" s="8">
        <v>888</v>
      </c>
      <c r="B889" s="8" t="str">
        <f>E889</f>
        <v>BLOK B / B1-ИБП — НКУ 380/220В 50Гц, FORM 2B, IP31/54</v>
      </c>
      <c r="C889" s="8" t="s">
        <v>545</v>
      </c>
      <c r="D889" s="8"/>
      <c r="E889" s="8" t="s">
        <v>659</v>
      </c>
      <c r="F889" s="8"/>
      <c r="G889" s="8"/>
      <c r="H889" s="8"/>
      <c r="I889" s="8">
        <v>1</v>
      </c>
      <c r="J889" s="8" t="s">
        <v>547</v>
      </c>
      <c r="K889" s="8"/>
      <c r="L889" s="8"/>
      <c r="M889" s="8"/>
      <c r="N889" s="8"/>
      <c r="O889" s="8"/>
      <c r="P889" s="8" t="s">
        <v>178</v>
      </c>
      <c r="Q889" s="8" t="s">
        <v>548</v>
      </c>
      <c r="R889" s="8" t="s">
        <v>549</v>
      </c>
      <c r="S889" s="8" t="s">
        <v>637</v>
      </c>
      <c r="T889" s="8"/>
      <c r="U889" s="8"/>
    </row>
    <row r="890" spans="1:21" x14ac:dyDescent="0.25">
      <c r="A890" s="5">
        <v>889</v>
      </c>
      <c r="B890" s="5"/>
      <c r="C890" s="5" t="s">
        <v>169</v>
      </c>
      <c r="D890" s="5" t="s">
        <v>319</v>
      </c>
      <c r="E890" s="5" t="str">
        <f>IFERROR(VLOOKUP($D890,FIYAT!$B:$O,2,FALSE()),"")</f>
        <v>Авт. выкл. NM8N-125C TM 3P 16А 36кА с рег. термомаг. расцепителем (R)</v>
      </c>
      <c r="F890" s="5">
        <f>IFERROR(VLOOKUP($D890,FIYAT!$B:$O,5,FALSE()),"")</f>
        <v>65019</v>
      </c>
      <c r="G890" s="5">
        <f>IFERROR(VLOOKUP($D890,FIYAT!$B:$O,8,FALSE()),"")</f>
        <v>39011.4</v>
      </c>
      <c r="H890" s="5">
        <f t="shared" ref="H890:H897" si="108">IF(OR($G890="",$I890=""),"",$G890*$I890)</f>
        <v>39011.4</v>
      </c>
      <c r="I890" s="6">
        <v>1</v>
      </c>
      <c r="J890" s="5" t="str">
        <f>IFERROR(VLOOKUP($D890,FIYAT!$B:$O,9,FALSE()),"")</f>
        <v>Шт.</v>
      </c>
      <c r="K890" s="5" t="str">
        <f>IFERROR(VLOOKUP($D890,FIYAT!$B:$O,4,FALSE()),"")</f>
        <v>CHINT</v>
      </c>
      <c r="L890" s="5">
        <f t="shared" ref="L890:L899" si="109">IF($H890="","",$H890)</f>
        <v>39011.4</v>
      </c>
      <c r="M890" s="5"/>
      <c r="N890" s="5"/>
      <c r="O890" s="5"/>
      <c r="P890" s="5" t="str">
        <f>IF($H890="","FIYAT_YOK",IFERROR(VLOOKUP($D890,FIYAT!$B:$P,15,FALSE()),""))</f>
        <v>MUADIL</v>
      </c>
      <c r="Q890" s="5" t="s">
        <v>172</v>
      </c>
      <c r="R890" s="5" t="s">
        <v>171</v>
      </c>
      <c r="S890" s="5" t="s">
        <v>637</v>
      </c>
      <c r="T890" s="5" t="s">
        <v>61</v>
      </c>
      <c r="U890" s="5">
        <f>IFERROR(VLOOKUP($T890,KURALLAR!$A$32:$B$63,2,FALSE()),0)*IF(ISNUMBER($I890),$I890,0)</f>
        <v>15</v>
      </c>
    </row>
    <row r="891" spans="1:21" x14ac:dyDescent="0.25">
      <c r="A891" s="9">
        <v>890</v>
      </c>
      <c r="B891" s="9"/>
      <c r="C891" s="9" t="s">
        <v>176</v>
      </c>
      <c r="D891" s="9" t="s">
        <v>174</v>
      </c>
      <c r="E891" s="9" t="str">
        <f>IFERROR(VLOOKUP($D891,FIYAT!$B:$O,2,FALSE()),"")</f>
        <v>УЗО NL1-63 6kA 4P 63A 300mA тип AC (R)</v>
      </c>
      <c r="F891" s="9">
        <f>IFERROR(VLOOKUP($D891,FIYAT!$B:$O,5,FALSE()),"")</f>
        <v>18106</v>
      </c>
      <c r="G891" s="9">
        <f>IFERROR(VLOOKUP($D891,FIYAT!$B:$O,8,FALSE()),"")</f>
        <v>10863.6</v>
      </c>
      <c r="H891" s="9">
        <f t="shared" si="108"/>
        <v>10863.6</v>
      </c>
      <c r="I891" s="6">
        <v>1</v>
      </c>
      <c r="J891" s="9" t="str">
        <f>IFERROR(VLOOKUP($D891,FIYAT!$B:$O,9,FALSE()),"")</f>
        <v>Шт.</v>
      </c>
      <c r="K891" s="9" t="str">
        <f>IFERROR(VLOOKUP($D891,FIYAT!$B:$O,4,FALSE()),"")</f>
        <v>CHINT</v>
      </c>
      <c r="L891" s="9">
        <f t="shared" si="109"/>
        <v>10863.6</v>
      </c>
      <c r="M891" s="9"/>
      <c r="N891" s="9"/>
      <c r="O891" s="9"/>
      <c r="P891" s="9" t="str">
        <f>IF($H891="","FIYAT_YOK",IFERROR(VLOOKUP($D891,FIYAT!$B:$P,15,FALSE()),""))</f>
        <v>OK</v>
      </c>
      <c r="Q891" s="9" t="s">
        <v>177</v>
      </c>
      <c r="R891" s="9" t="s">
        <v>171</v>
      </c>
      <c r="S891" s="9" t="s">
        <v>637</v>
      </c>
      <c r="T891" s="9" t="s">
        <v>57</v>
      </c>
      <c r="U891" s="9">
        <f>IFERROR(VLOOKUP($T891,KURALLAR!$A$32:$B$63,2,FALSE()),0)*IF(ISNUMBER($I891),$I891,0)</f>
        <v>10</v>
      </c>
    </row>
    <row r="892" spans="1:21" x14ac:dyDescent="0.25">
      <c r="A892" s="5">
        <v>891</v>
      </c>
      <c r="B892" s="5"/>
      <c r="C892" s="5" t="s">
        <v>79</v>
      </c>
      <c r="D892" s="5" t="s">
        <v>179</v>
      </c>
      <c r="E892" s="5" t="str">
        <f>IFERROR(VLOOKUP($D892,FIYAT!$B:$O,2,FALSE()),"")</f>
        <v>Держатель плавкой вставки RT36-00-160, габарит 00, 160А</v>
      </c>
      <c r="F892" s="5">
        <f>IFERROR(VLOOKUP($D892,FIYAT!$B:$O,5,FALSE()),"")</f>
        <v>2038</v>
      </c>
      <c r="G892" s="5">
        <f>IFERROR(VLOOKUP($D892,FIYAT!$B:$O,8,FALSE()),"")</f>
        <v>1222.8</v>
      </c>
      <c r="H892" s="5">
        <f t="shared" si="108"/>
        <v>4891.2</v>
      </c>
      <c r="I892" s="6">
        <v>4</v>
      </c>
      <c r="J892" s="5" t="str">
        <f>IFERROR(VLOOKUP($D892,FIYAT!$B:$O,9,FALSE()),"")</f>
        <v>Шт.</v>
      </c>
      <c r="K892" s="5" t="str">
        <f>IFERROR(VLOOKUP($D892,FIYAT!$B:$O,4,FALSE()),"")</f>
        <v>CHINT</v>
      </c>
      <c r="L892" s="5">
        <f t="shared" si="109"/>
        <v>4891.2</v>
      </c>
      <c r="M892" s="5"/>
      <c r="N892" s="5"/>
      <c r="O892" s="5"/>
      <c r="P892" s="5" t="str">
        <f>IF($H892="","FIYAT_YOK",IFERROR(VLOOKUP($D892,FIYAT!$B:$P,15,FALSE()),""))</f>
        <v>MUADIL</v>
      </c>
      <c r="Q892" s="5" t="s">
        <v>181</v>
      </c>
      <c r="R892" s="5" t="s">
        <v>171</v>
      </c>
      <c r="S892" s="5" t="s">
        <v>637</v>
      </c>
      <c r="T892" s="5" t="s">
        <v>77</v>
      </c>
      <c r="U892" s="5">
        <f>IFERROR(VLOOKUP($T892,KURALLAR!$A$32:$B$63,2,FALSE()),0)*IF(ISNUMBER($I892),$I892,0)</f>
        <v>20</v>
      </c>
    </row>
    <row r="893" spans="1:21" x14ac:dyDescent="0.25">
      <c r="A893" s="9">
        <v>892</v>
      </c>
      <c r="B893" s="9"/>
      <c r="C893" s="9" t="s">
        <v>79</v>
      </c>
      <c r="D893" s="9" t="s">
        <v>182</v>
      </c>
      <c r="E893" s="9" t="str">
        <f>IFERROR(VLOOKUP($D893,FIYAT!$B:$O,2,FALSE()),"")</f>
        <v>Плавкая вставка предохранителя RT36-00-160, габарит 00, 63А</v>
      </c>
      <c r="F893" s="9">
        <f>IFERROR(VLOOKUP($D893,FIYAT!$B:$O,5,FALSE()),"")</f>
        <v>1525</v>
      </c>
      <c r="G893" s="9">
        <f>IFERROR(VLOOKUP($D893,FIYAT!$B:$O,8,FALSE()),"")</f>
        <v>915</v>
      </c>
      <c r="H893" s="9">
        <f t="shared" si="108"/>
        <v>3660</v>
      </c>
      <c r="I893" s="6">
        <v>4</v>
      </c>
      <c r="J893" s="9" t="str">
        <f>IFERROR(VLOOKUP($D893,FIYAT!$B:$O,9,FALSE()),"")</f>
        <v>Шт.</v>
      </c>
      <c r="K893" s="9" t="str">
        <f>IFERROR(VLOOKUP($D893,FIYAT!$B:$O,4,FALSE()),"")</f>
        <v>CHINT</v>
      </c>
      <c r="L893" s="9">
        <f t="shared" si="109"/>
        <v>3660</v>
      </c>
      <c r="M893" s="9"/>
      <c r="N893" s="9"/>
      <c r="O893" s="9"/>
      <c r="P893" s="9" t="str">
        <f>IF($H893="","FIYAT_YOK",IFERROR(VLOOKUP($D893,FIYAT!$B:$P,15,FALSE()),""))</f>
        <v>MUADIL</v>
      </c>
      <c r="Q893" s="9" t="s">
        <v>185</v>
      </c>
      <c r="R893" s="9" t="s">
        <v>184</v>
      </c>
      <c r="S893" s="9" t="s">
        <v>637</v>
      </c>
      <c r="T893" s="9" t="s">
        <v>79</v>
      </c>
      <c r="U893" s="9">
        <f>IFERROR(VLOOKUP($T893,KURALLAR!$A$32:$B$63,2,FALSE()),0)*IF(ISNUMBER($I893),$I893,0)</f>
        <v>12</v>
      </c>
    </row>
    <row r="894" spans="1:21" x14ac:dyDescent="0.25">
      <c r="A894" s="5">
        <v>893</v>
      </c>
      <c r="B894" s="5"/>
      <c r="C894" s="5" t="s">
        <v>75</v>
      </c>
      <c r="D894" s="5" t="s">
        <v>186</v>
      </c>
      <c r="E894" s="5" t="str">
        <f>IFERROR(VLOOKUP($D894,FIYAT!$B:$O,2,FALSE()),"")</f>
        <v>Ограничитель имп. перенапр. NU6-IIG 4Р In=25kA Uc=440B Im=65kA (R)</v>
      </c>
      <c r="F894" s="5">
        <f>IFERROR(VLOOKUP($D894,FIYAT!$B:$O,5,FALSE()),"")</f>
        <v>33208</v>
      </c>
      <c r="G894" s="5">
        <f>IFERROR(VLOOKUP($D894,FIYAT!$B:$O,8,FALSE()),"")</f>
        <v>19924.8</v>
      </c>
      <c r="H894" s="5">
        <f t="shared" si="108"/>
        <v>19924.8</v>
      </c>
      <c r="I894" s="6">
        <v>1</v>
      </c>
      <c r="J894" s="5" t="str">
        <f>IFERROR(VLOOKUP($D894,FIYAT!$B:$O,9,FALSE()),"")</f>
        <v>Шт.</v>
      </c>
      <c r="K894" s="5" t="str">
        <f>IFERROR(VLOOKUP($D894,FIYAT!$B:$O,4,FALSE()),"")</f>
        <v>CHINT</v>
      </c>
      <c r="L894" s="5">
        <f t="shared" si="109"/>
        <v>19924.8</v>
      </c>
      <c r="M894" s="5"/>
      <c r="N894" s="5"/>
      <c r="O894" s="5"/>
      <c r="P894" s="5" t="str">
        <f>IF($H894="","FIYAT_YOK",IFERROR(VLOOKUP($D894,FIYAT!$B:$P,15,FALSE()),""))</f>
        <v>MUADIL_ONAY</v>
      </c>
      <c r="Q894" s="5" t="s">
        <v>188</v>
      </c>
      <c r="R894" s="5" t="s">
        <v>184</v>
      </c>
      <c r="S894" s="5" t="s">
        <v>637</v>
      </c>
      <c r="T894" s="5" t="s">
        <v>75</v>
      </c>
      <c r="U894" s="5">
        <f>IFERROR(VLOOKUP($T894,KURALLAR!$A$32:$B$63,2,FALSE()),0)*IF(ISNUMBER($I894),$I894,0)</f>
        <v>10</v>
      </c>
    </row>
    <row r="895" spans="1:21" x14ac:dyDescent="0.25">
      <c r="A895" s="9">
        <v>894</v>
      </c>
      <c r="B895" s="9"/>
      <c r="C895" s="9" t="s">
        <v>192</v>
      </c>
      <c r="D895" s="9" t="s">
        <v>206</v>
      </c>
      <c r="E895" s="9" t="str">
        <f>IFERROR(VLOOKUP($D895,FIYAT!$B:$O,2,FALSE()),"")</f>
        <v>Авт. выкл. NXB-63 1P 10A 6кА х-ка C (R)</v>
      </c>
      <c r="F895" s="9">
        <f>IFERROR(VLOOKUP($D895,FIYAT!$B:$O,5,FALSE()),"")</f>
        <v>1362</v>
      </c>
      <c r="G895" s="9">
        <f>IFERROR(VLOOKUP($D895,FIYAT!$B:$O,8,FALSE()),"")</f>
        <v>817.19999999999993</v>
      </c>
      <c r="H895" s="9">
        <f t="shared" si="108"/>
        <v>5720.4</v>
      </c>
      <c r="I895" s="6">
        <v>7</v>
      </c>
      <c r="J895" s="9" t="str">
        <f>IFERROR(VLOOKUP($D895,FIYAT!$B:$O,9,FALSE()),"")</f>
        <v>Шт.</v>
      </c>
      <c r="K895" s="9" t="str">
        <f>IFERROR(VLOOKUP($D895,FIYAT!$B:$O,4,FALSE()),"")</f>
        <v>CHINT</v>
      </c>
      <c r="L895" s="9">
        <f t="shared" si="109"/>
        <v>5720.4</v>
      </c>
      <c r="M895" s="9"/>
      <c r="N895" s="9"/>
      <c r="O895" s="9"/>
      <c r="P895" s="9" t="str">
        <f>IF($H895="","FIYAT_YOK",IFERROR(VLOOKUP($D895,FIYAT!$B:$P,15,FALSE()),""))</f>
        <v>OK</v>
      </c>
      <c r="Q895" s="9" t="s">
        <v>208</v>
      </c>
      <c r="R895" s="9" t="s">
        <v>184</v>
      </c>
      <c r="S895" s="9" t="s">
        <v>637</v>
      </c>
      <c r="T895" s="9" t="s">
        <v>47</v>
      </c>
      <c r="U895" s="9">
        <f>IFERROR(VLOOKUP($T895,KURALLAR!$A$32:$B$63,2,FALSE()),0)*IF(ISNUMBER($I895),$I895,0)</f>
        <v>21</v>
      </c>
    </row>
    <row r="896" spans="1:21" x14ac:dyDescent="0.25">
      <c r="A896" s="5">
        <v>895</v>
      </c>
      <c r="B896" s="5"/>
      <c r="C896" s="5" t="s">
        <v>93</v>
      </c>
      <c r="D896" s="5" t="s">
        <v>209</v>
      </c>
      <c r="E896" s="5" t="str">
        <f>IFERROR(VLOOKUP($D896,FIYAT!$B:$O,2,FALSE()),"")</f>
        <v>Шина "N" нулевая 6х9мм на DIN-рейку в корпусном изоляторе ШНИ 12К IEK (10)</v>
      </c>
      <c r="F896" s="5">
        <f>IFERROR(VLOOKUP($D896,FIYAT!$B:$O,5,FALSE()),"")</f>
        <v>755</v>
      </c>
      <c r="G896" s="5">
        <f>IFERROR(VLOOKUP($D896,FIYAT!$B:$O,8,FALSE()),"")</f>
        <v>453</v>
      </c>
      <c r="H896" s="5">
        <f t="shared" si="108"/>
        <v>1812</v>
      </c>
      <c r="I896" s="6">
        <v>4</v>
      </c>
      <c r="J896" s="5" t="str">
        <f>IFERROR(VLOOKUP($D896,FIYAT!$B:$O,9,FALSE()),"")</f>
        <v>Шт.</v>
      </c>
      <c r="K896" s="5" t="str">
        <f>IFERROR(VLOOKUP($D896,FIYAT!$B:$O,4,FALSE()),"")</f>
        <v>KAZTEK</v>
      </c>
      <c r="L896" s="5">
        <f t="shared" si="109"/>
        <v>1812</v>
      </c>
      <c r="M896" s="5"/>
      <c r="N896" s="5"/>
      <c r="O896" s="5"/>
      <c r="P896" s="5" t="str">
        <f>IF($H896="","FIYAT_YOK",IFERROR(VLOOKUP($D896,FIYAT!$B:$P,15,FALSE()),""))</f>
        <v>MUADIL</v>
      </c>
      <c r="Q896" s="5" t="s">
        <v>212</v>
      </c>
      <c r="R896" s="5" t="s">
        <v>211</v>
      </c>
      <c r="S896" s="5" t="s">
        <v>637</v>
      </c>
      <c r="T896" s="5" t="s">
        <v>93</v>
      </c>
      <c r="U896" s="5">
        <f>IFERROR(VLOOKUP($T896,KURALLAR!$A$32:$B$63,2,FALSE()),0)*IF(ISNUMBER($I896),$I896,0)</f>
        <v>32</v>
      </c>
    </row>
    <row r="897" spans="1:21" x14ac:dyDescent="0.25">
      <c r="A897" s="9">
        <v>896</v>
      </c>
      <c r="B897" s="9"/>
      <c r="C897" s="9" t="s">
        <v>222</v>
      </c>
      <c r="D897" s="9" t="s">
        <v>220</v>
      </c>
      <c r="E897" s="9" t="str">
        <f>IFERROR(VLOOKUP($D897,FIYAT!$B:$O,2,FALSE()),"")</f>
        <v>ЩМП (инд.) IP31 (650х500х150мм)</v>
      </c>
      <c r="F897" s="9">
        <f>IFERROR(VLOOKUP($D897,FIYAT!$B:$O,5,FALSE()),"")</f>
        <v>27825</v>
      </c>
      <c r="G897" s="9">
        <f>IFERROR(VLOOKUP($D897,FIYAT!$B:$O,8,FALSE()),"")</f>
        <v>16695</v>
      </c>
      <c r="H897" s="9">
        <f t="shared" si="108"/>
        <v>16695</v>
      </c>
      <c r="I897" s="6">
        <v>1</v>
      </c>
      <c r="J897" s="9" t="str">
        <f>IFERROR(VLOOKUP($D897,FIYAT!$B:$O,9,FALSE()),"")</f>
        <v>Шт.</v>
      </c>
      <c r="K897" s="9" t="str">
        <f>IFERROR(VLOOKUP($D897,FIYAT!$B:$O,4,FALSE()),"")</f>
        <v>KAZTEK</v>
      </c>
      <c r="L897" s="9">
        <f t="shared" si="109"/>
        <v>16695</v>
      </c>
      <c r="M897" s="9"/>
      <c r="N897" s="9"/>
      <c r="O897" s="9"/>
      <c r="P897" s="9" t="str">
        <f>IF($H897="","FIYAT_YOK",IFERROR(VLOOKUP($D897,FIYAT!$B:$P,15,FALSE()),""))</f>
        <v>VARSAYIM</v>
      </c>
      <c r="Q897" s="9" t="s">
        <v>223</v>
      </c>
      <c r="R897" s="9" t="s">
        <v>211</v>
      </c>
      <c r="S897" s="9" t="s">
        <v>637</v>
      </c>
      <c r="T897" s="9" t="s">
        <v>105</v>
      </c>
      <c r="U897" s="9">
        <f>IFERROR(VLOOKUP($T897,KURALLAR!$A$32:$B$63,2,FALSE()),0)*IF(ISNUMBER($I897),$I897,0)</f>
        <v>30</v>
      </c>
    </row>
    <row r="898" spans="1:21" x14ac:dyDescent="0.25">
      <c r="A898" s="5">
        <v>897</v>
      </c>
      <c r="B898" s="5"/>
      <c r="C898" s="5" t="s">
        <v>215</v>
      </c>
      <c r="D898" s="5" t="s">
        <v>213</v>
      </c>
      <c r="E898" s="5" t="str">
        <f>IFERROR(VLOOKUP($D898,FIYAT!$B:$O,2,FALSE()),"")</f>
        <v>Монтажный расходный материал (кабель, DIN-рейка, кабель-канал, клеммы, маркировка, крепёж)</v>
      </c>
      <c r="F898" s="5">
        <f>IFERROR(VLOOKUP($D898,FIYAT!$B:$O,5,FALSE()),"")</f>
        <v>0</v>
      </c>
      <c r="G898" s="5" t="str">
        <f>IFERROR(VLOOKUP($D898,FIYAT!$B:$O,8,FALSE()),"")</f>
        <v/>
      </c>
      <c r="H898" s="5">
        <f>ROUND(SUM($H$890:$H$897)*KURALLAR!$B$28,0)</f>
        <v>7180</v>
      </c>
      <c r="I898" s="6">
        <v>1</v>
      </c>
      <c r="J898" s="5" t="str">
        <f>IFERROR(VLOOKUP($D898,FIYAT!$B:$O,9,FALSE()),"")</f>
        <v>компл.</v>
      </c>
      <c r="K898" s="5" t="str">
        <f>IFERROR(VLOOKUP($D898,FIYAT!$B:$O,4,FALSE()),"")</f>
        <v>MUADIL-NET</v>
      </c>
      <c r="L898" s="5">
        <f t="shared" si="109"/>
        <v>7180</v>
      </c>
      <c r="M898" s="5"/>
      <c r="N898" s="5"/>
      <c r="O898" s="5"/>
      <c r="P898" s="5" t="str">
        <f>IF($H898="","FIYAT_YOK",IFERROR(VLOOKUP($D898,FIYAT!$B:$P,15,FALSE()),""))</f>
        <v>ORAN</v>
      </c>
      <c r="Q898" s="5" t="s">
        <v>218</v>
      </c>
      <c r="R898" s="5" t="s">
        <v>217</v>
      </c>
      <c r="S898" s="5" t="s">
        <v>637</v>
      </c>
      <c r="T898" s="5"/>
      <c r="U898" s="5">
        <v>0</v>
      </c>
    </row>
    <row r="899" spans="1:21" x14ac:dyDescent="0.25">
      <c r="A899" s="9">
        <v>898</v>
      </c>
      <c r="B899" s="9"/>
      <c r="C899" s="9" t="s">
        <v>227</v>
      </c>
      <c r="D899" s="9" t="s">
        <v>225</v>
      </c>
      <c r="E899" s="9" t="str">
        <f>IFERROR(VLOOKUP($D899,FIYAT!$B:$O,2,FALSE()),"")</f>
        <v>Сборка, кабелирование, маркировка, момент затяжки, испытания</v>
      </c>
      <c r="F899" s="9">
        <f>IFERROR(VLOOKUP($D899,FIYAT!$B:$O,5,FALSE()),"")</f>
        <v>100</v>
      </c>
      <c r="G899" s="9">
        <f>IFERROR(VLOOKUP($D899,FIYAT!$B:$O,8,FALSE()),"")</f>
        <v>100</v>
      </c>
      <c r="H899" s="9">
        <f>IF(OR($G899="",$I899=""),"",$G899*$I899)</f>
        <v>17300</v>
      </c>
      <c r="I899" s="6">
        <f>ROUND(SUM($U$890:$U$898)*KURALLAR!$B$27,0)</f>
        <v>173</v>
      </c>
      <c r="J899" s="9" t="str">
        <f>IFERROR(VLOOKUP($D899,FIYAT!$B:$O,9,FALSE()),"")</f>
        <v>мин</v>
      </c>
      <c r="K899" s="9" t="str">
        <f>IFERROR(VLOOKUP($D899,FIYAT!$B:$O,4,FALSE()),"")</f>
        <v>ISCILIK</v>
      </c>
      <c r="L899" s="9">
        <f t="shared" si="109"/>
        <v>17300</v>
      </c>
      <c r="M899" s="9"/>
      <c r="N899" s="9"/>
      <c r="O899" s="9"/>
      <c r="P899" s="9" t="str">
        <f>IF($H899="","FIYAT_YOK",IFERROR(VLOOKUP($D899,FIYAT!$B:$P,15,FALSE()),""))</f>
        <v>OK</v>
      </c>
      <c r="Q899" s="9" t="str">
        <f>CONCATENATE("montaj+test iscilik: ",TEXT($I899,"# ##0")," dk = ",TEXT($I899/60,"0,00")," saat (norm x test/etiket carpani)")</f>
        <v>montaj+test iscilik:  173 dk = 2,88 saat (norm x test/etiket carpani)</v>
      </c>
      <c r="R899" s="9" t="s">
        <v>229</v>
      </c>
      <c r="S899" s="9" t="s">
        <v>637</v>
      </c>
      <c r="T899" s="9"/>
      <c r="U899" s="9">
        <v>0</v>
      </c>
    </row>
    <row r="900" spans="1:21" x14ac:dyDescent="0.25">
      <c r="A900" s="10">
        <v>899</v>
      </c>
      <c r="B900" s="10" t="s">
        <v>660</v>
      </c>
      <c r="C900" s="10"/>
      <c r="D900" s="10"/>
      <c r="E900" s="10"/>
      <c r="F900" s="10"/>
      <c r="G900" s="10"/>
      <c r="H900" s="10">
        <f>SUBTOTAL(9,H890:H899)</f>
        <v>127058.4</v>
      </c>
      <c r="I900" s="10"/>
      <c r="J900" s="10"/>
      <c r="K900" s="10"/>
      <c r="L900" s="10">
        <f>SUBTOTAL(9,L890:L899)</f>
        <v>127058.4</v>
      </c>
      <c r="M900" s="10"/>
      <c r="N900" s="10"/>
      <c r="O900" s="10"/>
      <c r="P900" s="10"/>
      <c r="Q900" s="10"/>
      <c r="R900" s="10"/>
      <c r="S900" s="10"/>
      <c r="T900" s="10"/>
      <c r="U900" s="10">
        <f>SUBTOTAL(9,U890:U899)</f>
        <v>150</v>
      </c>
    </row>
    <row r="901" spans="1:21" x14ac:dyDescent="0.25">
      <c r="A901" s="8">
        <v>900</v>
      </c>
      <c r="B901" s="8" t="str">
        <f>E901</f>
        <v>BLOK B / 1F-ЩС.1 — НКУ 380/220В 50Гц, FORM 2B, IP31/54</v>
      </c>
      <c r="C901" s="8" t="s">
        <v>545</v>
      </c>
      <c r="D901" s="8"/>
      <c r="E901" s="8" t="s">
        <v>661</v>
      </c>
      <c r="F901" s="8"/>
      <c r="G901" s="8"/>
      <c r="H901" s="8"/>
      <c r="I901" s="8">
        <v>1</v>
      </c>
      <c r="J901" s="8" t="s">
        <v>547</v>
      </c>
      <c r="K901" s="8"/>
      <c r="L901" s="8"/>
      <c r="M901" s="8"/>
      <c r="N901" s="8"/>
      <c r="O901" s="8"/>
      <c r="P901" s="8" t="s">
        <v>178</v>
      </c>
      <c r="Q901" s="8" t="s">
        <v>548</v>
      </c>
      <c r="R901" s="8" t="s">
        <v>549</v>
      </c>
      <c r="S901" s="8" t="s">
        <v>637</v>
      </c>
      <c r="T901" s="8"/>
      <c r="U901" s="8"/>
    </row>
    <row r="902" spans="1:21" x14ac:dyDescent="0.25">
      <c r="A902" s="5">
        <v>901</v>
      </c>
      <c r="B902" s="5"/>
      <c r="C902" s="5" t="s">
        <v>169</v>
      </c>
      <c r="D902" s="5" t="s">
        <v>167</v>
      </c>
      <c r="E902" s="5" t="str">
        <f>IFERROR(VLOOKUP($D902,FIYAT!$B:$O,2,FALSE()),"")</f>
        <v>Авт. выкл. NM8N-125C TM 3P 32А 36кА с рег. термомаг. расцепителем (R)</v>
      </c>
      <c r="F902" s="5">
        <f>IFERROR(VLOOKUP($D902,FIYAT!$B:$O,5,FALSE()),"")</f>
        <v>64667</v>
      </c>
      <c r="G902" s="5">
        <f>IFERROR(VLOOKUP($D902,FIYAT!$B:$O,8,FALSE()),"")</f>
        <v>38800.199999999997</v>
      </c>
      <c r="H902" s="5">
        <f t="shared" ref="H902:H914" si="110">IF(OR($G902="",$I902=""),"",$G902*$I902)</f>
        <v>38800.199999999997</v>
      </c>
      <c r="I902" s="6">
        <v>1</v>
      </c>
      <c r="J902" s="5" t="str">
        <f>IFERROR(VLOOKUP($D902,FIYAT!$B:$O,9,FALSE()),"")</f>
        <v>Шт.</v>
      </c>
      <c r="K902" s="5" t="str">
        <f>IFERROR(VLOOKUP($D902,FIYAT!$B:$O,4,FALSE()),"")</f>
        <v>CHINT</v>
      </c>
      <c r="L902" s="5">
        <f t="shared" ref="L902:L916" si="111">IF($H902="","",$H902)</f>
        <v>38800.199999999997</v>
      </c>
      <c r="M902" s="5"/>
      <c r="N902" s="5"/>
      <c r="O902" s="5"/>
      <c r="P902" s="5" t="str">
        <f>IF($H902="","FIYAT_YOK",IFERROR(VLOOKUP($D902,FIYAT!$B:$P,15,FALSE()),""))</f>
        <v>MUADIL</v>
      </c>
      <c r="Q902" s="5" t="s">
        <v>172</v>
      </c>
      <c r="R902" s="5" t="s">
        <v>171</v>
      </c>
      <c r="S902" s="5" t="s">
        <v>637</v>
      </c>
      <c r="T902" s="5" t="s">
        <v>61</v>
      </c>
      <c r="U902" s="5">
        <f>IFERROR(VLOOKUP($T902,KURALLAR!$A$32:$B$63,2,FALSE()),0)*IF(ISNUMBER($I902),$I902,0)</f>
        <v>15</v>
      </c>
    </row>
    <row r="903" spans="1:21" x14ac:dyDescent="0.25">
      <c r="A903" s="9">
        <v>902</v>
      </c>
      <c r="B903" s="9"/>
      <c r="C903" s="9" t="s">
        <v>176</v>
      </c>
      <c r="D903" s="9" t="s">
        <v>174</v>
      </c>
      <c r="E903" s="9" t="str">
        <f>IFERROR(VLOOKUP($D903,FIYAT!$B:$O,2,FALSE()),"")</f>
        <v>УЗО NL1-63 6kA 4P 63A 300mA тип AC (R)</v>
      </c>
      <c r="F903" s="9">
        <f>IFERROR(VLOOKUP($D903,FIYAT!$B:$O,5,FALSE()),"")</f>
        <v>18106</v>
      </c>
      <c r="G903" s="9">
        <f>IFERROR(VLOOKUP($D903,FIYAT!$B:$O,8,FALSE()),"")</f>
        <v>10863.6</v>
      </c>
      <c r="H903" s="9">
        <f t="shared" si="110"/>
        <v>10863.6</v>
      </c>
      <c r="I903" s="6">
        <v>1</v>
      </c>
      <c r="J903" s="9" t="str">
        <f>IFERROR(VLOOKUP($D903,FIYAT!$B:$O,9,FALSE()),"")</f>
        <v>Шт.</v>
      </c>
      <c r="K903" s="9" t="str">
        <f>IFERROR(VLOOKUP($D903,FIYAT!$B:$O,4,FALSE()),"")</f>
        <v>CHINT</v>
      </c>
      <c r="L903" s="9">
        <f t="shared" si="111"/>
        <v>10863.6</v>
      </c>
      <c r="M903" s="9"/>
      <c r="N903" s="9"/>
      <c r="O903" s="9"/>
      <c r="P903" s="9" t="str">
        <f>IF($H903="","FIYAT_YOK",IFERROR(VLOOKUP($D903,FIYAT!$B:$P,15,FALSE()),""))</f>
        <v>OK</v>
      </c>
      <c r="Q903" s="9" t="s">
        <v>177</v>
      </c>
      <c r="R903" s="9" t="s">
        <v>171</v>
      </c>
      <c r="S903" s="9" t="s">
        <v>637</v>
      </c>
      <c r="T903" s="9" t="s">
        <v>57</v>
      </c>
      <c r="U903" s="9">
        <f>IFERROR(VLOOKUP($T903,KURALLAR!$A$32:$B$63,2,FALSE()),0)*IF(ISNUMBER($I903),$I903,0)</f>
        <v>10</v>
      </c>
    </row>
    <row r="904" spans="1:21" x14ac:dyDescent="0.25">
      <c r="A904" s="5">
        <v>903</v>
      </c>
      <c r="B904" s="5"/>
      <c r="C904" s="5" t="s">
        <v>79</v>
      </c>
      <c r="D904" s="5" t="s">
        <v>179</v>
      </c>
      <c r="E904" s="5" t="str">
        <f>IFERROR(VLOOKUP($D904,FIYAT!$B:$O,2,FALSE()),"")</f>
        <v>Держатель плавкой вставки RT36-00-160, габарит 00, 160А</v>
      </c>
      <c r="F904" s="5">
        <f>IFERROR(VLOOKUP($D904,FIYAT!$B:$O,5,FALSE()),"")</f>
        <v>2038</v>
      </c>
      <c r="G904" s="5">
        <f>IFERROR(VLOOKUP($D904,FIYAT!$B:$O,8,FALSE()),"")</f>
        <v>1222.8</v>
      </c>
      <c r="H904" s="5">
        <f t="shared" si="110"/>
        <v>4891.2</v>
      </c>
      <c r="I904" s="6">
        <v>4</v>
      </c>
      <c r="J904" s="5" t="str">
        <f>IFERROR(VLOOKUP($D904,FIYAT!$B:$O,9,FALSE()),"")</f>
        <v>Шт.</v>
      </c>
      <c r="K904" s="5" t="str">
        <f>IFERROR(VLOOKUP($D904,FIYAT!$B:$O,4,FALSE()),"")</f>
        <v>CHINT</v>
      </c>
      <c r="L904" s="5">
        <f t="shared" si="111"/>
        <v>4891.2</v>
      </c>
      <c r="M904" s="5"/>
      <c r="N904" s="5"/>
      <c r="O904" s="5"/>
      <c r="P904" s="5" t="str">
        <f>IF($H904="","FIYAT_YOK",IFERROR(VLOOKUP($D904,FIYAT!$B:$P,15,FALSE()),""))</f>
        <v>MUADIL</v>
      </c>
      <c r="Q904" s="5" t="s">
        <v>181</v>
      </c>
      <c r="R904" s="5" t="s">
        <v>171</v>
      </c>
      <c r="S904" s="5" t="s">
        <v>637</v>
      </c>
      <c r="T904" s="5" t="s">
        <v>77</v>
      </c>
      <c r="U904" s="5">
        <f>IFERROR(VLOOKUP($T904,KURALLAR!$A$32:$B$63,2,FALSE()),0)*IF(ISNUMBER($I904),$I904,0)</f>
        <v>20</v>
      </c>
    </row>
    <row r="905" spans="1:21" x14ac:dyDescent="0.25">
      <c r="A905" s="9">
        <v>904</v>
      </c>
      <c r="B905" s="9"/>
      <c r="C905" s="9" t="s">
        <v>79</v>
      </c>
      <c r="D905" s="9" t="s">
        <v>182</v>
      </c>
      <c r="E905" s="9" t="str">
        <f>IFERROR(VLOOKUP($D905,FIYAT!$B:$O,2,FALSE()),"")</f>
        <v>Плавкая вставка предохранителя RT36-00-160, габарит 00, 63А</v>
      </c>
      <c r="F905" s="9">
        <f>IFERROR(VLOOKUP($D905,FIYAT!$B:$O,5,FALSE()),"")</f>
        <v>1525</v>
      </c>
      <c r="G905" s="9">
        <f>IFERROR(VLOOKUP($D905,FIYAT!$B:$O,8,FALSE()),"")</f>
        <v>915</v>
      </c>
      <c r="H905" s="9">
        <f t="shared" si="110"/>
        <v>3660</v>
      </c>
      <c r="I905" s="6">
        <v>4</v>
      </c>
      <c r="J905" s="9" t="str">
        <f>IFERROR(VLOOKUP($D905,FIYAT!$B:$O,9,FALSE()),"")</f>
        <v>Шт.</v>
      </c>
      <c r="K905" s="9" t="str">
        <f>IFERROR(VLOOKUP($D905,FIYAT!$B:$O,4,FALSE()),"")</f>
        <v>CHINT</v>
      </c>
      <c r="L905" s="9">
        <f t="shared" si="111"/>
        <v>3660</v>
      </c>
      <c r="M905" s="9"/>
      <c r="N905" s="9"/>
      <c r="O905" s="9"/>
      <c r="P905" s="9" t="str">
        <f>IF($H905="","FIYAT_YOK",IFERROR(VLOOKUP($D905,FIYAT!$B:$P,15,FALSE()),""))</f>
        <v>MUADIL</v>
      </c>
      <c r="Q905" s="9" t="s">
        <v>185</v>
      </c>
      <c r="R905" s="9" t="s">
        <v>184</v>
      </c>
      <c r="S905" s="9" t="s">
        <v>637</v>
      </c>
      <c r="T905" s="9" t="s">
        <v>79</v>
      </c>
      <c r="U905" s="9">
        <f>IFERROR(VLOOKUP($T905,KURALLAR!$A$32:$B$63,2,FALSE()),0)*IF(ISNUMBER($I905),$I905,0)</f>
        <v>12</v>
      </c>
    </row>
    <row r="906" spans="1:21" x14ac:dyDescent="0.25">
      <c r="A906" s="5">
        <v>905</v>
      </c>
      <c r="B906" s="5"/>
      <c r="C906" s="5" t="s">
        <v>75</v>
      </c>
      <c r="D906" s="5" t="s">
        <v>186</v>
      </c>
      <c r="E906" s="5" t="str">
        <f>IFERROR(VLOOKUP($D906,FIYAT!$B:$O,2,FALSE()),"")</f>
        <v>Ограничитель имп. перенапр. NU6-IIG 4Р In=25kA Uc=440B Im=65kA (R)</v>
      </c>
      <c r="F906" s="5">
        <f>IFERROR(VLOOKUP($D906,FIYAT!$B:$O,5,FALSE()),"")</f>
        <v>33208</v>
      </c>
      <c r="G906" s="5">
        <f>IFERROR(VLOOKUP($D906,FIYAT!$B:$O,8,FALSE()),"")</f>
        <v>19924.8</v>
      </c>
      <c r="H906" s="5">
        <f t="shared" si="110"/>
        <v>19924.8</v>
      </c>
      <c r="I906" s="6">
        <v>1</v>
      </c>
      <c r="J906" s="5" t="str">
        <f>IFERROR(VLOOKUP($D906,FIYAT!$B:$O,9,FALSE()),"")</f>
        <v>Шт.</v>
      </c>
      <c r="K906" s="5" t="str">
        <f>IFERROR(VLOOKUP($D906,FIYAT!$B:$O,4,FALSE()),"")</f>
        <v>CHINT</v>
      </c>
      <c r="L906" s="5">
        <f t="shared" si="111"/>
        <v>19924.8</v>
      </c>
      <c r="M906" s="5"/>
      <c r="N906" s="5"/>
      <c r="O906" s="5"/>
      <c r="P906" s="5" t="str">
        <f>IF($H906="","FIYAT_YOK",IFERROR(VLOOKUP($D906,FIYAT!$B:$P,15,FALSE()),""))</f>
        <v>MUADIL_ONAY</v>
      </c>
      <c r="Q906" s="5" t="s">
        <v>188</v>
      </c>
      <c r="R906" s="5" t="s">
        <v>184</v>
      </c>
      <c r="S906" s="5" t="s">
        <v>637</v>
      </c>
      <c r="T906" s="5" t="s">
        <v>75</v>
      </c>
      <c r="U906" s="5">
        <f>IFERROR(VLOOKUP($T906,KURALLAR!$A$32:$B$63,2,FALSE()),0)*IF(ISNUMBER($I906),$I906,0)</f>
        <v>10</v>
      </c>
    </row>
    <row r="907" spans="1:21" x14ac:dyDescent="0.25">
      <c r="A907" s="9">
        <v>906</v>
      </c>
      <c r="B907" s="9"/>
      <c r="C907" s="9" t="s">
        <v>192</v>
      </c>
      <c r="D907" s="9" t="s">
        <v>190</v>
      </c>
      <c r="E907" s="9" t="str">
        <f>IFERROR(VLOOKUP($D907,FIYAT!$B:$O,2,FALSE()),"")</f>
        <v>Авт. выкл. NXB-63 3P 25A 6кА х-ка C (R)</v>
      </c>
      <c r="F907" s="9">
        <f>IFERROR(VLOOKUP($D907,FIYAT!$B:$O,5,FALSE()),"")</f>
        <v>5334</v>
      </c>
      <c r="G907" s="9">
        <f>IFERROR(VLOOKUP($D907,FIYAT!$B:$O,8,FALSE()),"")</f>
        <v>3200.4</v>
      </c>
      <c r="H907" s="9">
        <f t="shared" si="110"/>
        <v>3200.4</v>
      </c>
      <c r="I907" s="6">
        <v>1</v>
      </c>
      <c r="J907" s="9" t="str">
        <f>IFERROR(VLOOKUP($D907,FIYAT!$B:$O,9,FALSE()),"")</f>
        <v>Шт.</v>
      </c>
      <c r="K907" s="9" t="str">
        <f>IFERROR(VLOOKUP($D907,FIYAT!$B:$O,4,FALSE()),"")</f>
        <v>CHINT</v>
      </c>
      <c r="L907" s="9">
        <f t="shared" si="111"/>
        <v>3200.4</v>
      </c>
      <c r="M907" s="9"/>
      <c r="N907" s="9"/>
      <c r="O907" s="9"/>
      <c r="P907" s="9" t="str">
        <f>IF($H907="","FIYAT_YOK",IFERROR(VLOOKUP($D907,FIYAT!$B:$P,15,FALSE()),""))</f>
        <v>OK</v>
      </c>
      <c r="Q907" s="9" t="s">
        <v>193</v>
      </c>
      <c r="R907" s="9" t="s">
        <v>171</v>
      </c>
      <c r="S907" s="9" t="s">
        <v>637</v>
      </c>
      <c r="T907" s="9" t="s">
        <v>51</v>
      </c>
      <c r="U907" s="9">
        <f>IFERROR(VLOOKUP($T907,KURALLAR!$A$32:$B$63,2,FALSE()),0)*IF(ISNUMBER($I907),$I907,0)</f>
        <v>8</v>
      </c>
    </row>
    <row r="908" spans="1:21" x14ac:dyDescent="0.25">
      <c r="A908" s="5">
        <v>907</v>
      </c>
      <c r="B908" s="5"/>
      <c r="C908" s="5" t="s">
        <v>176</v>
      </c>
      <c r="D908" s="5" t="s">
        <v>197</v>
      </c>
      <c r="E908" s="5" t="str">
        <f>IFERROR(VLOOKUP($D908,FIYAT!$B:$O,2,FALSE()),"")</f>
        <v>УЗО NL1-63 6kA 4P 25A 30mA тип AC (R)</v>
      </c>
      <c r="F908" s="5">
        <f>IFERROR(VLOOKUP($D908,FIYAT!$B:$O,5,FALSE()),"")</f>
        <v>18338</v>
      </c>
      <c r="G908" s="5">
        <f>IFERROR(VLOOKUP($D908,FIYAT!$B:$O,8,FALSE()),"")</f>
        <v>11002.8</v>
      </c>
      <c r="H908" s="5">
        <f t="shared" si="110"/>
        <v>11002.8</v>
      </c>
      <c r="I908" s="6">
        <v>1</v>
      </c>
      <c r="J908" s="5" t="str">
        <f>IFERROR(VLOOKUP($D908,FIYAT!$B:$O,9,FALSE()),"")</f>
        <v>Шт.</v>
      </c>
      <c r="K908" s="5" t="str">
        <f>IFERROR(VLOOKUP($D908,FIYAT!$B:$O,4,FALSE()),"")</f>
        <v>CHINT</v>
      </c>
      <c r="L908" s="5">
        <f t="shared" si="111"/>
        <v>11002.8</v>
      </c>
      <c r="M908" s="5"/>
      <c r="N908" s="5"/>
      <c r="O908" s="5"/>
      <c r="P908" s="5" t="str">
        <f>IF($H908="","FIYAT_YOK",IFERROR(VLOOKUP($D908,FIYAT!$B:$P,15,FALSE()),""))</f>
        <v>OK</v>
      </c>
      <c r="Q908" s="5" t="s">
        <v>199</v>
      </c>
      <c r="R908" s="5" t="s">
        <v>171</v>
      </c>
      <c r="S908" s="5" t="s">
        <v>637</v>
      </c>
      <c r="T908" s="5" t="s">
        <v>57</v>
      </c>
      <c r="U908" s="5">
        <f>IFERROR(VLOOKUP($T908,KURALLAR!$A$32:$B$63,2,FALSE()),0)*IF(ISNUMBER($I908),$I908,0)</f>
        <v>10</v>
      </c>
    </row>
    <row r="909" spans="1:21" x14ac:dyDescent="0.25">
      <c r="A909" s="9">
        <v>908</v>
      </c>
      <c r="B909" s="9"/>
      <c r="C909" s="9" t="s">
        <v>192</v>
      </c>
      <c r="D909" s="9" t="s">
        <v>194</v>
      </c>
      <c r="E909" s="9" t="str">
        <f>IFERROR(VLOOKUP($D909,FIYAT!$B:$O,2,FALSE()),"")</f>
        <v>Авт. выкл. NXB-63 1P 16A 6кА х-ка C (R)</v>
      </c>
      <c r="F909" s="9">
        <f>IFERROR(VLOOKUP($D909,FIYAT!$B:$O,5,FALSE()),"")</f>
        <v>1389</v>
      </c>
      <c r="G909" s="9">
        <f>IFERROR(VLOOKUP($D909,FIYAT!$B:$O,8,FALSE()),"")</f>
        <v>833.4</v>
      </c>
      <c r="H909" s="9">
        <f t="shared" si="110"/>
        <v>6667.2</v>
      </c>
      <c r="I909" s="6">
        <v>8</v>
      </c>
      <c r="J909" s="9" t="str">
        <f>IFERROR(VLOOKUP($D909,FIYAT!$B:$O,9,FALSE()),"")</f>
        <v>Шт.</v>
      </c>
      <c r="K909" s="9" t="str">
        <f>IFERROR(VLOOKUP($D909,FIYAT!$B:$O,4,FALSE()),"")</f>
        <v>CHINT</v>
      </c>
      <c r="L909" s="9">
        <f t="shared" si="111"/>
        <v>6667.2</v>
      </c>
      <c r="M909" s="9"/>
      <c r="N909" s="9"/>
      <c r="O909" s="9"/>
      <c r="P909" s="9" t="str">
        <f>IF($H909="","FIYAT_YOK",IFERROR(VLOOKUP($D909,FIYAT!$B:$P,15,FALSE()),""))</f>
        <v>OK</v>
      </c>
      <c r="Q909" s="9" t="s">
        <v>196</v>
      </c>
      <c r="R909" s="9" t="s">
        <v>171</v>
      </c>
      <c r="S909" s="9" t="s">
        <v>637</v>
      </c>
      <c r="T909" s="9" t="s">
        <v>47</v>
      </c>
      <c r="U909" s="9">
        <f>IFERROR(VLOOKUP($T909,KURALLAR!$A$32:$B$63,2,FALSE()),0)*IF(ISNUMBER($I909),$I909,0)</f>
        <v>24</v>
      </c>
    </row>
    <row r="910" spans="1:21" x14ac:dyDescent="0.25">
      <c r="A910" s="5">
        <v>909</v>
      </c>
      <c r="B910" s="5"/>
      <c r="C910" s="5" t="s">
        <v>176</v>
      </c>
      <c r="D910" s="5" t="s">
        <v>200</v>
      </c>
      <c r="E910" s="5" t="str">
        <f>IFERROR(VLOOKUP($D910,FIYAT!$B:$O,2,FALSE()),"")</f>
        <v>УЗО NL1-63 6kA 2P 16A 30mA тип AC (R)</v>
      </c>
      <c r="F910" s="5">
        <f>IFERROR(VLOOKUP($D910,FIYAT!$B:$O,5,FALSE()),"")</f>
        <v>10809</v>
      </c>
      <c r="G910" s="5">
        <f>IFERROR(VLOOKUP($D910,FIYAT!$B:$O,8,FALSE()),"")</f>
        <v>6485.4</v>
      </c>
      <c r="H910" s="5">
        <f t="shared" si="110"/>
        <v>6485.4</v>
      </c>
      <c r="I910" s="6">
        <v>1</v>
      </c>
      <c r="J910" s="5" t="str">
        <f>IFERROR(VLOOKUP($D910,FIYAT!$B:$O,9,FALSE()),"")</f>
        <v>Шт.</v>
      </c>
      <c r="K910" s="5" t="str">
        <f>IFERROR(VLOOKUP($D910,FIYAT!$B:$O,4,FALSE()),"")</f>
        <v>CHINT</v>
      </c>
      <c r="L910" s="5">
        <f t="shared" si="111"/>
        <v>6485.4</v>
      </c>
      <c r="M910" s="5"/>
      <c r="N910" s="5"/>
      <c r="O910" s="5"/>
      <c r="P910" s="5" t="str">
        <f>IF($H910="","FIYAT_YOK",IFERROR(VLOOKUP($D910,FIYAT!$B:$P,15,FALSE()),""))</f>
        <v>OK</v>
      </c>
      <c r="Q910" s="5" t="s">
        <v>202</v>
      </c>
      <c r="R910" s="5" t="s">
        <v>171</v>
      </c>
      <c r="S910" s="5" t="s">
        <v>637</v>
      </c>
      <c r="T910" s="5" t="s">
        <v>55</v>
      </c>
      <c r="U910" s="5">
        <f>IFERROR(VLOOKUP($T910,KURALLAR!$A$32:$B$63,2,FALSE()),0)*IF(ISNUMBER($I910),$I910,0)</f>
        <v>6</v>
      </c>
    </row>
    <row r="911" spans="1:21" x14ac:dyDescent="0.25">
      <c r="A911" s="9">
        <v>910</v>
      </c>
      <c r="B911" s="9"/>
      <c r="C911" s="9" t="s">
        <v>192</v>
      </c>
      <c r="D911" s="9" t="s">
        <v>304</v>
      </c>
      <c r="E911" s="9" t="str">
        <f>IFERROR(VLOOKUP($D911,FIYAT!$B:$O,2,FALSE()),"")</f>
        <v>Авт. выкл. NXB-63 3P 16A 6кА х-ка C (R)</v>
      </c>
      <c r="F911" s="9">
        <f>IFERROR(VLOOKUP($D911,FIYAT!$B:$O,5,FALSE()),"")</f>
        <v>5462</v>
      </c>
      <c r="G911" s="9">
        <f>IFERROR(VLOOKUP($D911,FIYAT!$B:$O,8,FALSE()),"")</f>
        <v>3277.2</v>
      </c>
      <c r="H911" s="9">
        <f t="shared" si="110"/>
        <v>13108.8</v>
      </c>
      <c r="I911" s="6">
        <v>4</v>
      </c>
      <c r="J911" s="9" t="str">
        <f>IFERROR(VLOOKUP($D911,FIYAT!$B:$O,9,FALSE()),"")</f>
        <v>Шт.</v>
      </c>
      <c r="K911" s="9" t="str">
        <f>IFERROR(VLOOKUP($D911,FIYAT!$B:$O,4,FALSE()),"")</f>
        <v>CHINT</v>
      </c>
      <c r="L911" s="9">
        <f t="shared" si="111"/>
        <v>13108.8</v>
      </c>
      <c r="M911" s="9"/>
      <c r="N911" s="9"/>
      <c r="O911" s="9"/>
      <c r="P911" s="9" t="str">
        <f>IF($H911="","FIYAT_YOK",IFERROR(VLOOKUP($D911,FIYAT!$B:$P,15,FALSE()),""))</f>
        <v>OK</v>
      </c>
      <c r="Q911" s="9" t="s">
        <v>306</v>
      </c>
      <c r="R911" s="9" t="s">
        <v>171</v>
      </c>
      <c r="S911" s="9" t="s">
        <v>637</v>
      </c>
      <c r="T911" s="9" t="s">
        <v>51</v>
      </c>
      <c r="U911" s="9">
        <f>IFERROR(VLOOKUP($T911,KURALLAR!$A$32:$B$63,2,FALSE()),0)*IF(ISNUMBER($I911),$I911,0)</f>
        <v>32</v>
      </c>
    </row>
    <row r="912" spans="1:21" x14ac:dyDescent="0.25">
      <c r="A912" s="5">
        <v>911</v>
      </c>
      <c r="B912" s="5"/>
      <c r="C912" s="5" t="s">
        <v>192</v>
      </c>
      <c r="D912" s="5" t="s">
        <v>206</v>
      </c>
      <c r="E912" s="5" t="str">
        <f>IFERROR(VLOOKUP($D912,FIYAT!$B:$O,2,FALSE()),"")</f>
        <v>Авт. выкл. NXB-63 1P 10A 6кА х-ка C (R)</v>
      </c>
      <c r="F912" s="5">
        <f>IFERROR(VLOOKUP($D912,FIYAT!$B:$O,5,FALSE()),"")</f>
        <v>1362</v>
      </c>
      <c r="G912" s="5">
        <f>IFERROR(VLOOKUP($D912,FIYAT!$B:$O,8,FALSE()),"")</f>
        <v>817.19999999999993</v>
      </c>
      <c r="H912" s="5">
        <f t="shared" si="110"/>
        <v>7354.7999999999993</v>
      </c>
      <c r="I912" s="6">
        <v>9</v>
      </c>
      <c r="J912" s="5" t="str">
        <f>IFERROR(VLOOKUP($D912,FIYAT!$B:$O,9,FALSE()),"")</f>
        <v>Шт.</v>
      </c>
      <c r="K912" s="5" t="str">
        <f>IFERROR(VLOOKUP($D912,FIYAT!$B:$O,4,FALSE()),"")</f>
        <v>CHINT</v>
      </c>
      <c r="L912" s="5">
        <f t="shared" si="111"/>
        <v>7354.7999999999993</v>
      </c>
      <c r="M912" s="5"/>
      <c r="N912" s="5"/>
      <c r="O912" s="5"/>
      <c r="P912" s="5" t="str">
        <f>IF($H912="","FIYAT_YOK",IFERROR(VLOOKUP($D912,FIYAT!$B:$P,15,FALSE()),""))</f>
        <v>OK</v>
      </c>
      <c r="Q912" s="5" t="s">
        <v>208</v>
      </c>
      <c r="R912" s="5" t="s">
        <v>184</v>
      </c>
      <c r="S912" s="5" t="s">
        <v>637</v>
      </c>
      <c r="T912" s="5" t="s">
        <v>47</v>
      </c>
      <c r="U912" s="5">
        <f>IFERROR(VLOOKUP($T912,KURALLAR!$A$32:$B$63,2,FALSE()),0)*IF(ISNUMBER($I912),$I912,0)</f>
        <v>27</v>
      </c>
    </row>
    <row r="913" spans="1:21" x14ac:dyDescent="0.25">
      <c r="A913" s="9">
        <v>912</v>
      </c>
      <c r="B913" s="9"/>
      <c r="C913" s="9" t="s">
        <v>93</v>
      </c>
      <c r="D913" s="9" t="s">
        <v>209</v>
      </c>
      <c r="E913" s="9" t="str">
        <f>IFERROR(VLOOKUP($D913,FIYAT!$B:$O,2,FALSE()),"")</f>
        <v>Шина "N" нулевая 6х9мм на DIN-рейку в корпусном изоляторе ШНИ 12К IEK (10)</v>
      </c>
      <c r="F913" s="9">
        <f>IFERROR(VLOOKUP($D913,FIYAT!$B:$O,5,FALSE()),"")</f>
        <v>755</v>
      </c>
      <c r="G913" s="9">
        <f>IFERROR(VLOOKUP($D913,FIYAT!$B:$O,8,FALSE()),"")</f>
        <v>453</v>
      </c>
      <c r="H913" s="9">
        <f t="shared" si="110"/>
        <v>1812</v>
      </c>
      <c r="I913" s="6">
        <v>4</v>
      </c>
      <c r="J913" s="9" t="str">
        <f>IFERROR(VLOOKUP($D913,FIYAT!$B:$O,9,FALSE()),"")</f>
        <v>Шт.</v>
      </c>
      <c r="K913" s="9" t="str">
        <f>IFERROR(VLOOKUP($D913,FIYAT!$B:$O,4,FALSE()),"")</f>
        <v>KAZTEK</v>
      </c>
      <c r="L913" s="9">
        <f t="shared" si="111"/>
        <v>1812</v>
      </c>
      <c r="M913" s="9"/>
      <c r="N913" s="9"/>
      <c r="O913" s="9"/>
      <c r="P913" s="9" t="str">
        <f>IF($H913="","FIYAT_YOK",IFERROR(VLOOKUP($D913,FIYAT!$B:$P,15,FALSE()),""))</f>
        <v>MUADIL</v>
      </c>
      <c r="Q913" s="9" t="s">
        <v>212</v>
      </c>
      <c r="R913" s="9" t="s">
        <v>211</v>
      </c>
      <c r="S913" s="9" t="s">
        <v>637</v>
      </c>
      <c r="T913" s="9" t="s">
        <v>93</v>
      </c>
      <c r="U913" s="9">
        <f>IFERROR(VLOOKUP($T913,KURALLAR!$A$32:$B$63,2,FALSE()),0)*IF(ISNUMBER($I913),$I913,0)</f>
        <v>32</v>
      </c>
    </row>
    <row r="914" spans="1:21" x14ac:dyDescent="0.25">
      <c r="A914" s="5">
        <v>913</v>
      </c>
      <c r="B914" s="5"/>
      <c r="C914" s="5" t="s">
        <v>222</v>
      </c>
      <c r="D914" s="5" t="s">
        <v>310</v>
      </c>
      <c r="E914" s="5" t="str">
        <f>IFERROR(VLOOKUP($D914,FIYAT!$B:$O,2,FALSE()),"")</f>
        <v>Мет.Корпус ЩМП-4 (800x650x250) IP54</v>
      </c>
      <c r="F914" s="5">
        <f>IFERROR(VLOOKUP($D914,FIYAT!$B:$O,5,FALSE()),"")</f>
        <v>30540</v>
      </c>
      <c r="G914" s="5">
        <f>IFERROR(VLOOKUP($D914,FIYAT!$B:$O,8,FALSE()),"")</f>
        <v>18324</v>
      </c>
      <c r="H914" s="5">
        <f t="shared" si="110"/>
        <v>18324</v>
      </c>
      <c r="I914" s="6">
        <v>1</v>
      </c>
      <c r="J914" s="5" t="str">
        <f>IFERROR(VLOOKUP($D914,FIYAT!$B:$O,9,FALSE()),"")</f>
        <v>Шт.</v>
      </c>
      <c r="K914" s="5" t="str">
        <f>IFERROR(VLOOKUP($D914,FIYAT!$B:$O,4,FALSE()),"")</f>
        <v>KAZTEK</v>
      </c>
      <c r="L914" s="5">
        <f t="shared" si="111"/>
        <v>18324</v>
      </c>
      <c r="M914" s="5"/>
      <c r="N914" s="5"/>
      <c r="O914" s="5"/>
      <c r="P914" s="5" t="str">
        <f>IF($H914="","FIYAT_YOK",IFERROR(VLOOKUP($D914,FIYAT!$B:$P,15,FALSE()),""))</f>
        <v>VARSAYIM</v>
      </c>
      <c r="Q914" s="5" t="s">
        <v>312</v>
      </c>
      <c r="R914" s="5" t="s">
        <v>211</v>
      </c>
      <c r="S914" s="5" t="s">
        <v>637</v>
      </c>
      <c r="T914" s="5" t="s">
        <v>105</v>
      </c>
      <c r="U914" s="5">
        <f>IFERROR(VLOOKUP($T914,KURALLAR!$A$32:$B$63,2,FALSE()),0)*IF(ISNUMBER($I914),$I914,0)</f>
        <v>30</v>
      </c>
    </row>
    <row r="915" spans="1:21" x14ac:dyDescent="0.25">
      <c r="A915" s="9">
        <v>914</v>
      </c>
      <c r="B915" s="9"/>
      <c r="C915" s="9" t="s">
        <v>215</v>
      </c>
      <c r="D915" s="9" t="s">
        <v>213</v>
      </c>
      <c r="E915" s="9" t="str">
        <f>IFERROR(VLOOKUP($D915,FIYAT!$B:$O,2,FALSE()),"")</f>
        <v>Монтажный расходный материал (кабель, DIN-рейка, кабель-канал, клеммы, маркировка, крепёж)</v>
      </c>
      <c r="F915" s="9">
        <f>IFERROR(VLOOKUP($D915,FIYAT!$B:$O,5,FALSE()),"")</f>
        <v>0</v>
      </c>
      <c r="G915" s="9" t="str">
        <f>IFERROR(VLOOKUP($D915,FIYAT!$B:$O,8,FALSE()),"")</f>
        <v/>
      </c>
      <c r="H915" s="9">
        <f>ROUND(SUM($H$902:$H$914)*KURALLAR!$B$28,0)</f>
        <v>10227</v>
      </c>
      <c r="I915" s="6">
        <v>1</v>
      </c>
      <c r="J915" s="9" t="str">
        <f>IFERROR(VLOOKUP($D915,FIYAT!$B:$O,9,FALSE()),"")</f>
        <v>компл.</v>
      </c>
      <c r="K915" s="9" t="str">
        <f>IFERROR(VLOOKUP($D915,FIYAT!$B:$O,4,FALSE()),"")</f>
        <v>MUADIL-NET</v>
      </c>
      <c r="L915" s="9">
        <f t="shared" si="111"/>
        <v>10227</v>
      </c>
      <c r="M915" s="9"/>
      <c r="N915" s="9"/>
      <c r="O915" s="9"/>
      <c r="P915" s="9" t="str">
        <f>IF($H915="","FIYAT_YOK",IFERROR(VLOOKUP($D915,FIYAT!$B:$P,15,FALSE()),""))</f>
        <v>ORAN</v>
      </c>
      <c r="Q915" s="9" t="s">
        <v>218</v>
      </c>
      <c r="R915" s="9" t="s">
        <v>217</v>
      </c>
      <c r="S915" s="9" t="s">
        <v>637</v>
      </c>
      <c r="T915" s="9"/>
      <c r="U915" s="9">
        <v>0</v>
      </c>
    </row>
    <row r="916" spans="1:21" x14ac:dyDescent="0.25">
      <c r="A916" s="5">
        <v>915</v>
      </c>
      <c r="B916" s="5"/>
      <c r="C916" s="5" t="s">
        <v>227</v>
      </c>
      <c r="D916" s="5" t="s">
        <v>225</v>
      </c>
      <c r="E916" s="5" t="str">
        <f>IFERROR(VLOOKUP($D916,FIYAT!$B:$O,2,FALSE()),"")</f>
        <v>Сборка, кабелирование, маркировка, момент затяжки, испытания</v>
      </c>
      <c r="F916" s="5">
        <f>IFERROR(VLOOKUP($D916,FIYAT!$B:$O,5,FALSE()),"")</f>
        <v>100</v>
      </c>
      <c r="G916" s="5">
        <f>IFERROR(VLOOKUP($D916,FIYAT!$B:$O,8,FALSE()),"")</f>
        <v>100</v>
      </c>
      <c r="H916" s="5">
        <f>IF(OR($G916="",$I916=""),"",$G916*$I916)</f>
        <v>27100</v>
      </c>
      <c r="I916" s="6">
        <f>ROUND(SUM($U$902:$U$915)*KURALLAR!$B$27,0)</f>
        <v>271</v>
      </c>
      <c r="J916" s="5" t="str">
        <f>IFERROR(VLOOKUP($D916,FIYAT!$B:$O,9,FALSE()),"")</f>
        <v>мин</v>
      </c>
      <c r="K916" s="5" t="str">
        <f>IFERROR(VLOOKUP($D916,FIYAT!$B:$O,4,FALSE()),"")</f>
        <v>ISCILIK</v>
      </c>
      <c r="L916" s="5">
        <f t="shared" si="111"/>
        <v>27100</v>
      </c>
      <c r="M916" s="5"/>
      <c r="N916" s="5"/>
      <c r="O916" s="5"/>
      <c r="P916" s="5" t="str">
        <f>IF($H916="","FIYAT_YOK",IFERROR(VLOOKUP($D916,FIYAT!$B:$P,15,FALSE()),""))</f>
        <v>OK</v>
      </c>
      <c r="Q916" s="5" t="str">
        <f>CONCATENATE("montaj+test iscilik: ",TEXT($I916,"# ##0")," dk = ",TEXT($I916/60,"0,00")," saat (norm x test/etiket carpani)")</f>
        <v>montaj+test iscilik:  271 dk = 4,52 saat (norm x test/etiket carpani)</v>
      </c>
      <c r="R916" s="5" t="s">
        <v>229</v>
      </c>
      <c r="S916" s="5" t="s">
        <v>637</v>
      </c>
      <c r="T916" s="5"/>
      <c r="U916" s="5">
        <v>0</v>
      </c>
    </row>
    <row r="917" spans="1:21" x14ac:dyDescent="0.25">
      <c r="A917" s="10">
        <v>916</v>
      </c>
      <c r="B917" s="10" t="s">
        <v>662</v>
      </c>
      <c r="C917" s="10"/>
      <c r="D917" s="10"/>
      <c r="E917" s="10"/>
      <c r="F917" s="10"/>
      <c r="G917" s="10"/>
      <c r="H917" s="10">
        <f>SUBTOTAL(9,H902:H916)</f>
        <v>183422.19999999998</v>
      </c>
      <c r="I917" s="10"/>
      <c r="J917" s="10"/>
      <c r="K917" s="10"/>
      <c r="L917" s="10">
        <f>SUBTOTAL(9,L902:L916)</f>
        <v>183422.19999999998</v>
      </c>
      <c r="M917" s="10"/>
      <c r="N917" s="10"/>
      <c r="O917" s="10"/>
      <c r="P917" s="10"/>
      <c r="Q917" s="10"/>
      <c r="R917" s="10"/>
      <c r="S917" s="10"/>
      <c r="T917" s="10"/>
      <c r="U917" s="10">
        <f>SUBTOTAL(9,U902:U916)</f>
        <v>236</v>
      </c>
    </row>
    <row r="918" spans="1:21" x14ac:dyDescent="0.25">
      <c r="A918" s="8">
        <v>917</v>
      </c>
      <c r="B918" s="8" t="str">
        <f>E918</f>
        <v>BLOK B / 1F-ЩС.2 — НКУ 380/220В 50Гц, FORM 2B, IP31/54</v>
      </c>
      <c r="C918" s="8" t="s">
        <v>545</v>
      </c>
      <c r="D918" s="8"/>
      <c r="E918" s="8" t="s">
        <v>663</v>
      </c>
      <c r="F918" s="8"/>
      <c r="G918" s="8"/>
      <c r="H918" s="8"/>
      <c r="I918" s="8">
        <v>1</v>
      </c>
      <c r="J918" s="8" t="s">
        <v>547</v>
      </c>
      <c r="K918" s="8"/>
      <c r="L918" s="8"/>
      <c r="M918" s="8"/>
      <c r="N918" s="8"/>
      <c r="O918" s="8"/>
      <c r="P918" s="8" t="s">
        <v>178</v>
      </c>
      <c r="Q918" s="8" t="s">
        <v>548</v>
      </c>
      <c r="R918" s="8" t="s">
        <v>549</v>
      </c>
      <c r="S918" s="8" t="s">
        <v>637</v>
      </c>
      <c r="T918" s="8"/>
      <c r="U918" s="8"/>
    </row>
    <row r="919" spans="1:21" x14ac:dyDescent="0.25">
      <c r="A919" s="9">
        <v>918</v>
      </c>
      <c r="B919" s="9"/>
      <c r="C919" s="9" t="s">
        <v>169</v>
      </c>
      <c r="D919" s="9" t="s">
        <v>167</v>
      </c>
      <c r="E919" s="9" t="str">
        <f>IFERROR(VLOOKUP($D919,FIYAT!$B:$O,2,FALSE()),"")</f>
        <v>Авт. выкл. NM8N-125C TM 3P 32А 36кА с рег. термомаг. расцепителем (R)</v>
      </c>
      <c r="F919" s="9">
        <f>IFERROR(VLOOKUP($D919,FIYAT!$B:$O,5,FALSE()),"")</f>
        <v>64667</v>
      </c>
      <c r="G919" s="9">
        <f>IFERROR(VLOOKUP($D919,FIYAT!$B:$O,8,FALSE()),"")</f>
        <v>38800.199999999997</v>
      </c>
      <c r="H919" s="9">
        <f t="shared" ref="H919:H930" si="112">IF(OR($G919="",$I919=""),"",$G919*$I919)</f>
        <v>38800.199999999997</v>
      </c>
      <c r="I919" s="6">
        <v>1</v>
      </c>
      <c r="J919" s="9" t="str">
        <f>IFERROR(VLOOKUP($D919,FIYAT!$B:$O,9,FALSE()),"")</f>
        <v>Шт.</v>
      </c>
      <c r="K919" s="9" t="str">
        <f>IFERROR(VLOOKUP($D919,FIYAT!$B:$O,4,FALSE()),"")</f>
        <v>CHINT</v>
      </c>
      <c r="L919" s="9">
        <f t="shared" ref="L919:L932" si="113">IF($H919="","",$H919)</f>
        <v>38800.199999999997</v>
      </c>
      <c r="M919" s="9"/>
      <c r="N919" s="9"/>
      <c r="O919" s="9"/>
      <c r="P919" s="9" t="str">
        <f>IF($H919="","FIYAT_YOK",IFERROR(VLOOKUP($D919,FIYAT!$B:$P,15,FALSE()),""))</f>
        <v>MUADIL</v>
      </c>
      <c r="Q919" s="9" t="s">
        <v>172</v>
      </c>
      <c r="R919" s="9" t="s">
        <v>171</v>
      </c>
      <c r="S919" s="9" t="s">
        <v>637</v>
      </c>
      <c r="T919" s="9" t="s">
        <v>61</v>
      </c>
      <c r="U919" s="9">
        <f>IFERROR(VLOOKUP($T919,KURALLAR!$A$32:$B$63,2,FALSE()),0)*IF(ISNUMBER($I919),$I919,0)</f>
        <v>15</v>
      </c>
    </row>
    <row r="920" spans="1:21" x14ac:dyDescent="0.25">
      <c r="A920" s="5">
        <v>919</v>
      </c>
      <c r="B920" s="5"/>
      <c r="C920" s="5" t="s">
        <v>176</v>
      </c>
      <c r="D920" s="5" t="s">
        <v>174</v>
      </c>
      <c r="E920" s="5" t="str">
        <f>IFERROR(VLOOKUP($D920,FIYAT!$B:$O,2,FALSE()),"")</f>
        <v>УЗО NL1-63 6kA 4P 63A 300mA тип AC (R)</v>
      </c>
      <c r="F920" s="5">
        <f>IFERROR(VLOOKUP($D920,FIYAT!$B:$O,5,FALSE()),"")</f>
        <v>18106</v>
      </c>
      <c r="G920" s="5">
        <f>IFERROR(VLOOKUP($D920,FIYAT!$B:$O,8,FALSE()),"")</f>
        <v>10863.6</v>
      </c>
      <c r="H920" s="5">
        <f t="shared" si="112"/>
        <v>10863.6</v>
      </c>
      <c r="I920" s="6">
        <v>1</v>
      </c>
      <c r="J920" s="5" t="str">
        <f>IFERROR(VLOOKUP($D920,FIYAT!$B:$O,9,FALSE()),"")</f>
        <v>Шт.</v>
      </c>
      <c r="K920" s="5" t="str">
        <f>IFERROR(VLOOKUP($D920,FIYAT!$B:$O,4,FALSE()),"")</f>
        <v>CHINT</v>
      </c>
      <c r="L920" s="5">
        <f t="shared" si="113"/>
        <v>10863.6</v>
      </c>
      <c r="M920" s="5"/>
      <c r="N920" s="5"/>
      <c r="O920" s="5"/>
      <c r="P920" s="5" t="str">
        <f>IF($H920="","FIYAT_YOK",IFERROR(VLOOKUP($D920,FIYAT!$B:$P,15,FALSE()),""))</f>
        <v>OK</v>
      </c>
      <c r="Q920" s="5" t="s">
        <v>177</v>
      </c>
      <c r="R920" s="5" t="s">
        <v>171</v>
      </c>
      <c r="S920" s="5" t="s">
        <v>637</v>
      </c>
      <c r="T920" s="5" t="s">
        <v>57</v>
      </c>
      <c r="U920" s="5">
        <f>IFERROR(VLOOKUP($T920,KURALLAR!$A$32:$B$63,2,FALSE()),0)*IF(ISNUMBER($I920),$I920,0)</f>
        <v>10</v>
      </c>
    </row>
    <row r="921" spans="1:21" x14ac:dyDescent="0.25">
      <c r="A921" s="9">
        <v>920</v>
      </c>
      <c r="B921" s="9"/>
      <c r="C921" s="9" t="s">
        <v>79</v>
      </c>
      <c r="D921" s="9" t="s">
        <v>179</v>
      </c>
      <c r="E921" s="9" t="str">
        <f>IFERROR(VLOOKUP($D921,FIYAT!$B:$O,2,FALSE()),"")</f>
        <v>Держатель плавкой вставки RT36-00-160, габарит 00, 160А</v>
      </c>
      <c r="F921" s="9">
        <f>IFERROR(VLOOKUP($D921,FIYAT!$B:$O,5,FALSE()),"")</f>
        <v>2038</v>
      </c>
      <c r="G921" s="9">
        <f>IFERROR(VLOOKUP($D921,FIYAT!$B:$O,8,FALSE()),"")</f>
        <v>1222.8</v>
      </c>
      <c r="H921" s="9">
        <f t="shared" si="112"/>
        <v>4891.2</v>
      </c>
      <c r="I921" s="6">
        <v>4</v>
      </c>
      <c r="J921" s="9" t="str">
        <f>IFERROR(VLOOKUP($D921,FIYAT!$B:$O,9,FALSE()),"")</f>
        <v>Шт.</v>
      </c>
      <c r="K921" s="9" t="str">
        <f>IFERROR(VLOOKUP($D921,FIYAT!$B:$O,4,FALSE()),"")</f>
        <v>CHINT</v>
      </c>
      <c r="L921" s="9">
        <f t="shared" si="113"/>
        <v>4891.2</v>
      </c>
      <c r="M921" s="9"/>
      <c r="N921" s="9"/>
      <c r="O921" s="9"/>
      <c r="P921" s="9" t="str">
        <f>IF($H921="","FIYAT_YOK",IFERROR(VLOOKUP($D921,FIYAT!$B:$P,15,FALSE()),""))</f>
        <v>MUADIL</v>
      </c>
      <c r="Q921" s="9" t="s">
        <v>181</v>
      </c>
      <c r="R921" s="9" t="s">
        <v>171</v>
      </c>
      <c r="S921" s="9" t="s">
        <v>637</v>
      </c>
      <c r="T921" s="9" t="s">
        <v>77</v>
      </c>
      <c r="U921" s="9">
        <f>IFERROR(VLOOKUP($T921,KURALLAR!$A$32:$B$63,2,FALSE()),0)*IF(ISNUMBER($I921),$I921,0)</f>
        <v>20</v>
      </c>
    </row>
    <row r="922" spans="1:21" x14ac:dyDescent="0.25">
      <c r="A922" s="5">
        <v>921</v>
      </c>
      <c r="B922" s="5"/>
      <c r="C922" s="5" t="s">
        <v>79</v>
      </c>
      <c r="D922" s="5" t="s">
        <v>182</v>
      </c>
      <c r="E922" s="5" t="str">
        <f>IFERROR(VLOOKUP($D922,FIYAT!$B:$O,2,FALSE()),"")</f>
        <v>Плавкая вставка предохранителя RT36-00-160, габарит 00, 63А</v>
      </c>
      <c r="F922" s="5">
        <f>IFERROR(VLOOKUP($D922,FIYAT!$B:$O,5,FALSE()),"")</f>
        <v>1525</v>
      </c>
      <c r="G922" s="5">
        <f>IFERROR(VLOOKUP($D922,FIYAT!$B:$O,8,FALSE()),"")</f>
        <v>915</v>
      </c>
      <c r="H922" s="5">
        <f t="shared" si="112"/>
        <v>3660</v>
      </c>
      <c r="I922" s="6">
        <v>4</v>
      </c>
      <c r="J922" s="5" t="str">
        <f>IFERROR(VLOOKUP($D922,FIYAT!$B:$O,9,FALSE()),"")</f>
        <v>Шт.</v>
      </c>
      <c r="K922" s="5" t="str">
        <f>IFERROR(VLOOKUP($D922,FIYAT!$B:$O,4,FALSE()),"")</f>
        <v>CHINT</v>
      </c>
      <c r="L922" s="5">
        <f t="shared" si="113"/>
        <v>3660</v>
      </c>
      <c r="M922" s="5"/>
      <c r="N922" s="5"/>
      <c r="O922" s="5"/>
      <c r="P922" s="5" t="str">
        <f>IF($H922="","FIYAT_YOK",IFERROR(VLOOKUP($D922,FIYAT!$B:$P,15,FALSE()),""))</f>
        <v>MUADIL</v>
      </c>
      <c r="Q922" s="5" t="s">
        <v>185</v>
      </c>
      <c r="R922" s="5" t="s">
        <v>184</v>
      </c>
      <c r="S922" s="5" t="s">
        <v>637</v>
      </c>
      <c r="T922" s="5" t="s">
        <v>79</v>
      </c>
      <c r="U922" s="5">
        <f>IFERROR(VLOOKUP($T922,KURALLAR!$A$32:$B$63,2,FALSE()),0)*IF(ISNUMBER($I922),$I922,0)</f>
        <v>12</v>
      </c>
    </row>
    <row r="923" spans="1:21" x14ac:dyDescent="0.25">
      <c r="A923" s="9">
        <v>922</v>
      </c>
      <c r="B923" s="9"/>
      <c r="C923" s="9" t="s">
        <v>75</v>
      </c>
      <c r="D923" s="9" t="s">
        <v>186</v>
      </c>
      <c r="E923" s="9" t="str">
        <f>IFERROR(VLOOKUP($D923,FIYAT!$B:$O,2,FALSE()),"")</f>
        <v>Ограничитель имп. перенапр. NU6-IIG 4Р In=25kA Uc=440B Im=65kA (R)</v>
      </c>
      <c r="F923" s="9">
        <f>IFERROR(VLOOKUP($D923,FIYAT!$B:$O,5,FALSE()),"")</f>
        <v>33208</v>
      </c>
      <c r="G923" s="9">
        <f>IFERROR(VLOOKUP($D923,FIYAT!$B:$O,8,FALSE()),"")</f>
        <v>19924.8</v>
      </c>
      <c r="H923" s="9">
        <f t="shared" si="112"/>
        <v>19924.8</v>
      </c>
      <c r="I923" s="6">
        <v>1</v>
      </c>
      <c r="J923" s="9" t="str">
        <f>IFERROR(VLOOKUP($D923,FIYAT!$B:$O,9,FALSE()),"")</f>
        <v>Шт.</v>
      </c>
      <c r="K923" s="9" t="str">
        <f>IFERROR(VLOOKUP($D923,FIYAT!$B:$O,4,FALSE()),"")</f>
        <v>CHINT</v>
      </c>
      <c r="L923" s="9">
        <f t="shared" si="113"/>
        <v>19924.8</v>
      </c>
      <c r="M923" s="9"/>
      <c r="N923" s="9"/>
      <c r="O923" s="9"/>
      <c r="P923" s="9" t="str">
        <f>IF($H923="","FIYAT_YOK",IFERROR(VLOOKUP($D923,FIYAT!$B:$P,15,FALSE()),""))</f>
        <v>MUADIL_ONAY</v>
      </c>
      <c r="Q923" s="9" t="s">
        <v>188</v>
      </c>
      <c r="R923" s="9" t="s">
        <v>184</v>
      </c>
      <c r="S923" s="9" t="s">
        <v>637</v>
      </c>
      <c r="T923" s="9" t="s">
        <v>75</v>
      </c>
      <c r="U923" s="9">
        <f>IFERROR(VLOOKUP($T923,KURALLAR!$A$32:$B$63,2,FALSE()),0)*IF(ISNUMBER($I923),$I923,0)</f>
        <v>10</v>
      </c>
    </row>
    <row r="924" spans="1:21" x14ac:dyDescent="0.25">
      <c r="A924" s="5">
        <v>923</v>
      </c>
      <c r="B924" s="5"/>
      <c r="C924" s="5" t="s">
        <v>192</v>
      </c>
      <c r="D924" s="5" t="s">
        <v>190</v>
      </c>
      <c r="E924" s="5" t="str">
        <f>IFERROR(VLOOKUP($D924,FIYAT!$B:$O,2,FALSE()),"")</f>
        <v>Авт. выкл. NXB-63 3P 25A 6кА х-ка C (R)</v>
      </c>
      <c r="F924" s="5">
        <f>IFERROR(VLOOKUP($D924,FIYAT!$B:$O,5,FALSE()),"")</f>
        <v>5334</v>
      </c>
      <c r="G924" s="5">
        <f>IFERROR(VLOOKUP($D924,FIYAT!$B:$O,8,FALSE()),"")</f>
        <v>3200.4</v>
      </c>
      <c r="H924" s="5">
        <f t="shared" si="112"/>
        <v>3200.4</v>
      </c>
      <c r="I924" s="6">
        <v>1</v>
      </c>
      <c r="J924" s="5" t="str">
        <f>IFERROR(VLOOKUP($D924,FIYAT!$B:$O,9,FALSE()),"")</f>
        <v>Шт.</v>
      </c>
      <c r="K924" s="5" t="str">
        <f>IFERROR(VLOOKUP($D924,FIYAT!$B:$O,4,FALSE()),"")</f>
        <v>CHINT</v>
      </c>
      <c r="L924" s="5">
        <f t="shared" si="113"/>
        <v>3200.4</v>
      </c>
      <c r="M924" s="5"/>
      <c r="N924" s="5"/>
      <c r="O924" s="5"/>
      <c r="P924" s="5" t="str">
        <f>IF($H924="","FIYAT_YOK",IFERROR(VLOOKUP($D924,FIYAT!$B:$P,15,FALSE()),""))</f>
        <v>OK</v>
      </c>
      <c r="Q924" s="5" t="s">
        <v>193</v>
      </c>
      <c r="R924" s="5" t="s">
        <v>171</v>
      </c>
      <c r="S924" s="5" t="s">
        <v>637</v>
      </c>
      <c r="T924" s="5" t="s">
        <v>51</v>
      </c>
      <c r="U924" s="5">
        <f>IFERROR(VLOOKUP($T924,KURALLAR!$A$32:$B$63,2,FALSE()),0)*IF(ISNUMBER($I924),$I924,0)</f>
        <v>8</v>
      </c>
    </row>
    <row r="925" spans="1:21" x14ac:dyDescent="0.25">
      <c r="A925" s="9">
        <v>924</v>
      </c>
      <c r="B925" s="9"/>
      <c r="C925" s="9" t="s">
        <v>176</v>
      </c>
      <c r="D925" s="9" t="s">
        <v>313</v>
      </c>
      <c r="E925" s="9" t="str">
        <f>IFERROR(VLOOKUP($D925,FIYAT!$B:$O,2,FALSE()),"")</f>
        <v>Диф. авт. выкл. NB1L-40 4P C25 30mA тип AC 6kA (R)</v>
      </c>
      <c r="F925" s="9">
        <f>IFERROR(VLOOKUP($D925,FIYAT!$B:$O,5,FALSE()),"")</f>
        <v>23469</v>
      </c>
      <c r="G925" s="9">
        <f>IFERROR(VLOOKUP($D925,FIYAT!$B:$O,8,FALSE()),"")</f>
        <v>14081.4</v>
      </c>
      <c r="H925" s="9">
        <f t="shared" si="112"/>
        <v>14081.4</v>
      </c>
      <c r="I925" s="6">
        <v>1</v>
      </c>
      <c r="J925" s="9" t="str">
        <f>IFERROR(VLOOKUP($D925,FIYAT!$B:$O,9,FALSE()),"")</f>
        <v>Шт.</v>
      </c>
      <c r="K925" s="9" t="str">
        <f>IFERROR(VLOOKUP($D925,FIYAT!$B:$O,4,FALSE()),"")</f>
        <v>CHINT</v>
      </c>
      <c r="L925" s="9">
        <f t="shared" si="113"/>
        <v>14081.4</v>
      </c>
      <c r="M925" s="9"/>
      <c r="N925" s="9"/>
      <c r="O925" s="9"/>
      <c r="P925" s="9" t="str">
        <f>IF($H925="","FIYAT_YOK",IFERROR(VLOOKUP($D925,FIYAT!$B:$P,15,FALSE()),""))</f>
        <v>MUADIL</v>
      </c>
      <c r="Q925" s="9" t="s">
        <v>315</v>
      </c>
      <c r="R925" s="9" t="s">
        <v>184</v>
      </c>
      <c r="S925" s="9" t="s">
        <v>637</v>
      </c>
      <c r="T925" s="9" t="s">
        <v>57</v>
      </c>
      <c r="U925" s="9">
        <f>IFERROR(VLOOKUP($T925,KURALLAR!$A$32:$B$63,2,FALSE()),0)*IF(ISNUMBER($I925),$I925,0)</f>
        <v>10</v>
      </c>
    </row>
    <row r="926" spans="1:21" x14ac:dyDescent="0.25">
      <c r="A926" s="5">
        <v>925</v>
      </c>
      <c r="B926" s="5"/>
      <c r="C926" s="5" t="s">
        <v>192</v>
      </c>
      <c r="D926" s="5" t="s">
        <v>194</v>
      </c>
      <c r="E926" s="5" t="str">
        <f>IFERROR(VLOOKUP($D926,FIYAT!$B:$O,2,FALSE()),"")</f>
        <v>Авт. выкл. NXB-63 1P 16A 6кА х-ка C (R)</v>
      </c>
      <c r="F926" s="5">
        <f>IFERROR(VLOOKUP($D926,FIYAT!$B:$O,5,FALSE()),"")</f>
        <v>1389</v>
      </c>
      <c r="G926" s="5">
        <f>IFERROR(VLOOKUP($D926,FIYAT!$B:$O,8,FALSE()),"")</f>
        <v>833.4</v>
      </c>
      <c r="H926" s="5">
        <f t="shared" si="112"/>
        <v>7500.5999999999995</v>
      </c>
      <c r="I926" s="6">
        <v>9</v>
      </c>
      <c r="J926" s="5" t="str">
        <f>IFERROR(VLOOKUP($D926,FIYAT!$B:$O,9,FALSE()),"")</f>
        <v>Шт.</v>
      </c>
      <c r="K926" s="5" t="str">
        <f>IFERROR(VLOOKUP($D926,FIYAT!$B:$O,4,FALSE()),"")</f>
        <v>CHINT</v>
      </c>
      <c r="L926" s="5">
        <f t="shared" si="113"/>
        <v>7500.5999999999995</v>
      </c>
      <c r="M926" s="5"/>
      <c r="N926" s="5"/>
      <c r="O926" s="5"/>
      <c r="P926" s="5" t="str">
        <f>IF($H926="","FIYAT_YOK",IFERROR(VLOOKUP($D926,FIYAT!$B:$P,15,FALSE()),""))</f>
        <v>OK</v>
      </c>
      <c r="Q926" s="5" t="s">
        <v>196</v>
      </c>
      <c r="R926" s="5" t="s">
        <v>171</v>
      </c>
      <c r="S926" s="5" t="s">
        <v>637</v>
      </c>
      <c r="T926" s="5" t="s">
        <v>47</v>
      </c>
      <c r="U926" s="5">
        <f>IFERROR(VLOOKUP($T926,KURALLAR!$A$32:$B$63,2,FALSE()),0)*IF(ISNUMBER($I926),$I926,0)</f>
        <v>27</v>
      </c>
    </row>
    <row r="927" spans="1:21" x14ac:dyDescent="0.25">
      <c r="A927" s="9">
        <v>926</v>
      </c>
      <c r="B927" s="9"/>
      <c r="C927" s="9" t="s">
        <v>176</v>
      </c>
      <c r="D927" s="9" t="s">
        <v>316</v>
      </c>
      <c r="E927" s="9" t="str">
        <f>IFERROR(VLOOKUP($D927,FIYAT!$B:$O,2,FALSE()),"")</f>
        <v>Диф. авт. выкл. NB1L 1P+N C25 30mA тип A 6kA (36mm) (R)</v>
      </c>
      <c r="F927" s="9">
        <f>IFERROR(VLOOKUP($D927,FIYAT!$B:$O,5,FALSE()),"")</f>
        <v>13989</v>
      </c>
      <c r="G927" s="9">
        <f>IFERROR(VLOOKUP($D927,FIYAT!$B:$O,8,FALSE()),"")</f>
        <v>8393.4</v>
      </c>
      <c r="H927" s="9">
        <f t="shared" si="112"/>
        <v>8393.4</v>
      </c>
      <c r="I927" s="6">
        <v>1</v>
      </c>
      <c r="J927" s="9" t="str">
        <f>IFERROR(VLOOKUP($D927,FIYAT!$B:$O,9,FALSE()),"")</f>
        <v>Шт.</v>
      </c>
      <c r="K927" s="9" t="str">
        <f>IFERROR(VLOOKUP($D927,FIYAT!$B:$O,4,FALSE()),"")</f>
        <v>CHINT</v>
      </c>
      <c r="L927" s="9">
        <f t="shared" si="113"/>
        <v>8393.4</v>
      </c>
      <c r="M927" s="9"/>
      <c r="N927" s="9"/>
      <c r="O927" s="9"/>
      <c r="P927" s="9" t="str">
        <f>IF($H927="","FIYAT_YOK",IFERROR(VLOOKUP($D927,FIYAT!$B:$P,15,FALSE()),""))</f>
        <v>MUADIL</v>
      </c>
      <c r="Q927" s="9" t="s">
        <v>318</v>
      </c>
      <c r="R927" s="9" t="s">
        <v>184</v>
      </c>
      <c r="S927" s="9" t="s">
        <v>637</v>
      </c>
      <c r="T927" s="9" t="s">
        <v>55</v>
      </c>
      <c r="U927" s="9">
        <f>IFERROR(VLOOKUP($T927,KURALLAR!$A$32:$B$63,2,FALSE()),0)*IF(ISNUMBER($I927),$I927,0)</f>
        <v>6</v>
      </c>
    </row>
    <row r="928" spans="1:21" x14ac:dyDescent="0.25">
      <c r="A928" s="5">
        <v>927</v>
      </c>
      <c r="B928" s="5"/>
      <c r="C928" s="5" t="s">
        <v>192</v>
      </c>
      <c r="D928" s="5" t="s">
        <v>206</v>
      </c>
      <c r="E928" s="5" t="str">
        <f>IFERROR(VLOOKUP($D928,FIYAT!$B:$O,2,FALSE()),"")</f>
        <v>Авт. выкл. NXB-63 1P 10A 6кА х-ка C (R)</v>
      </c>
      <c r="F928" s="5">
        <f>IFERROR(VLOOKUP($D928,FIYAT!$B:$O,5,FALSE()),"")</f>
        <v>1362</v>
      </c>
      <c r="G928" s="5">
        <f>IFERROR(VLOOKUP($D928,FIYAT!$B:$O,8,FALSE()),"")</f>
        <v>817.19999999999993</v>
      </c>
      <c r="H928" s="5">
        <f t="shared" si="112"/>
        <v>5720.4</v>
      </c>
      <c r="I928" s="6">
        <v>7</v>
      </c>
      <c r="J928" s="5" t="str">
        <f>IFERROR(VLOOKUP($D928,FIYAT!$B:$O,9,FALSE()),"")</f>
        <v>Шт.</v>
      </c>
      <c r="K928" s="5" t="str">
        <f>IFERROR(VLOOKUP($D928,FIYAT!$B:$O,4,FALSE()),"")</f>
        <v>CHINT</v>
      </c>
      <c r="L928" s="5">
        <f t="shared" si="113"/>
        <v>5720.4</v>
      </c>
      <c r="M928" s="5"/>
      <c r="N928" s="5"/>
      <c r="O928" s="5"/>
      <c r="P928" s="5" t="str">
        <f>IF($H928="","FIYAT_YOK",IFERROR(VLOOKUP($D928,FIYAT!$B:$P,15,FALSE()),""))</f>
        <v>OK</v>
      </c>
      <c r="Q928" s="5" t="s">
        <v>208</v>
      </c>
      <c r="R928" s="5" t="s">
        <v>184</v>
      </c>
      <c r="S928" s="5" t="s">
        <v>637</v>
      </c>
      <c r="T928" s="5" t="s">
        <v>47</v>
      </c>
      <c r="U928" s="5">
        <f>IFERROR(VLOOKUP($T928,KURALLAR!$A$32:$B$63,2,FALSE()),0)*IF(ISNUMBER($I928),$I928,0)</f>
        <v>21</v>
      </c>
    </row>
    <row r="929" spans="1:21" x14ac:dyDescent="0.25">
      <c r="A929" s="9">
        <v>928</v>
      </c>
      <c r="B929" s="9"/>
      <c r="C929" s="9" t="s">
        <v>93</v>
      </c>
      <c r="D929" s="9" t="s">
        <v>209</v>
      </c>
      <c r="E929" s="9" t="str">
        <f>IFERROR(VLOOKUP($D929,FIYAT!$B:$O,2,FALSE()),"")</f>
        <v>Шина "N" нулевая 6х9мм на DIN-рейку в корпусном изоляторе ШНИ 12К IEK (10)</v>
      </c>
      <c r="F929" s="9">
        <f>IFERROR(VLOOKUP($D929,FIYAT!$B:$O,5,FALSE()),"")</f>
        <v>755</v>
      </c>
      <c r="G929" s="9">
        <f>IFERROR(VLOOKUP($D929,FIYAT!$B:$O,8,FALSE()),"")</f>
        <v>453</v>
      </c>
      <c r="H929" s="9">
        <f t="shared" si="112"/>
        <v>1812</v>
      </c>
      <c r="I929" s="6">
        <v>4</v>
      </c>
      <c r="J929" s="9" t="str">
        <f>IFERROR(VLOOKUP($D929,FIYAT!$B:$O,9,FALSE()),"")</f>
        <v>Шт.</v>
      </c>
      <c r="K929" s="9" t="str">
        <f>IFERROR(VLOOKUP($D929,FIYAT!$B:$O,4,FALSE()),"")</f>
        <v>KAZTEK</v>
      </c>
      <c r="L929" s="9">
        <f t="shared" si="113"/>
        <v>1812</v>
      </c>
      <c r="M929" s="9"/>
      <c r="N929" s="9"/>
      <c r="O929" s="9"/>
      <c r="P929" s="9" t="str">
        <f>IF($H929="","FIYAT_YOK",IFERROR(VLOOKUP($D929,FIYAT!$B:$P,15,FALSE()),""))</f>
        <v>MUADIL</v>
      </c>
      <c r="Q929" s="9" t="s">
        <v>212</v>
      </c>
      <c r="R929" s="9" t="s">
        <v>211</v>
      </c>
      <c r="S929" s="9" t="s">
        <v>637</v>
      </c>
      <c r="T929" s="9" t="s">
        <v>93</v>
      </c>
      <c r="U929" s="9">
        <f>IFERROR(VLOOKUP($T929,KURALLAR!$A$32:$B$63,2,FALSE()),0)*IF(ISNUMBER($I929),$I929,0)</f>
        <v>32</v>
      </c>
    </row>
    <row r="930" spans="1:21" x14ac:dyDescent="0.25">
      <c r="A930" s="5">
        <v>929</v>
      </c>
      <c r="B930" s="5"/>
      <c r="C930" s="5" t="s">
        <v>222</v>
      </c>
      <c r="D930" s="5" t="s">
        <v>220</v>
      </c>
      <c r="E930" s="5" t="str">
        <f>IFERROR(VLOOKUP($D930,FIYAT!$B:$O,2,FALSE()),"")</f>
        <v>ЩМП (инд.) IP31 (650х500х150мм)</v>
      </c>
      <c r="F930" s="5">
        <f>IFERROR(VLOOKUP($D930,FIYAT!$B:$O,5,FALSE()),"")</f>
        <v>27825</v>
      </c>
      <c r="G930" s="5">
        <f>IFERROR(VLOOKUP($D930,FIYAT!$B:$O,8,FALSE()),"")</f>
        <v>16695</v>
      </c>
      <c r="H930" s="5">
        <f t="shared" si="112"/>
        <v>16695</v>
      </c>
      <c r="I930" s="6">
        <v>1</v>
      </c>
      <c r="J930" s="5" t="str">
        <f>IFERROR(VLOOKUP($D930,FIYAT!$B:$O,9,FALSE()),"")</f>
        <v>Шт.</v>
      </c>
      <c r="K930" s="5" t="str">
        <f>IFERROR(VLOOKUP($D930,FIYAT!$B:$O,4,FALSE()),"")</f>
        <v>KAZTEK</v>
      </c>
      <c r="L930" s="5">
        <f t="shared" si="113"/>
        <v>16695</v>
      </c>
      <c r="M930" s="5"/>
      <c r="N930" s="5"/>
      <c r="O930" s="5"/>
      <c r="P930" s="5" t="str">
        <f>IF($H930="","FIYAT_YOK",IFERROR(VLOOKUP($D930,FIYAT!$B:$P,15,FALSE()),""))</f>
        <v>VARSAYIM</v>
      </c>
      <c r="Q930" s="5" t="s">
        <v>223</v>
      </c>
      <c r="R930" s="5" t="s">
        <v>211</v>
      </c>
      <c r="S930" s="5" t="s">
        <v>637</v>
      </c>
      <c r="T930" s="5" t="s">
        <v>105</v>
      </c>
      <c r="U930" s="5">
        <f>IFERROR(VLOOKUP($T930,KURALLAR!$A$32:$B$63,2,FALSE()),0)*IF(ISNUMBER($I930),$I930,0)</f>
        <v>30</v>
      </c>
    </row>
    <row r="931" spans="1:21" x14ac:dyDescent="0.25">
      <c r="A931" s="9">
        <v>930</v>
      </c>
      <c r="B931" s="9"/>
      <c r="C931" s="9" t="s">
        <v>215</v>
      </c>
      <c r="D931" s="9" t="s">
        <v>213</v>
      </c>
      <c r="E931" s="9" t="str">
        <f>IFERROR(VLOOKUP($D931,FIYAT!$B:$O,2,FALSE()),"")</f>
        <v>Монтажный расходный материал (кабель, DIN-рейка, кабель-канал, клеммы, маркировка, крепёж)</v>
      </c>
      <c r="F931" s="9">
        <f>IFERROR(VLOOKUP($D931,FIYAT!$B:$O,5,FALSE()),"")</f>
        <v>0</v>
      </c>
      <c r="G931" s="9" t="str">
        <f>IFERROR(VLOOKUP($D931,FIYAT!$B:$O,8,FALSE()),"")</f>
        <v/>
      </c>
      <c r="H931" s="9">
        <f>ROUND(SUM($H$919:$H$930)*KURALLAR!$B$28,0)</f>
        <v>9488</v>
      </c>
      <c r="I931" s="6">
        <v>1</v>
      </c>
      <c r="J931" s="9" t="str">
        <f>IFERROR(VLOOKUP($D931,FIYAT!$B:$O,9,FALSE()),"")</f>
        <v>компл.</v>
      </c>
      <c r="K931" s="9" t="str">
        <f>IFERROR(VLOOKUP($D931,FIYAT!$B:$O,4,FALSE()),"")</f>
        <v>MUADIL-NET</v>
      </c>
      <c r="L931" s="9">
        <f t="shared" si="113"/>
        <v>9488</v>
      </c>
      <c r="M931" s="9"/>
      <c r="N931" s="9"/>
      <c r="O931" s="9"/>
      <c r="P931" s="9" t="str">
        <f>IF($H931="","FIYAT_YOK",IFERROR(VLOOKUP($D931,FIYAT!$B:$P,15,FALSE()),""))</f>
        <v>ORAN</v>
      </c>
      <c r="Q931" s="9" t="s">
        <v>218</v>
      </c>
      <c r="R931" s="9" t="s">
        <v>217</v>
      </c>
      <c r="S931" s="9" t="s">
        <v>637</v>
      </c>
      <c r="T931" s="9"/>
      <c r="U931" s="9">
        <v>0</v>
      </c>
    </row>
    <row r="932" spans="1:21" x14ac:dyDescent="0.25">
      <c r="A932" s="5">
        <v>931</v>
      </c>
      <c r="B932" s="5"/>
      <c r="C932" s="5" t="s">
        <v>227</v>
      </c>
      <c r="D932" s="5" t="s">
        <v>225</v>
      </c>
      <c r="E932" s="5" t="str">
        <f>IFERROR(VLOOKUP($D932,FIYAT!$B:$O,2,FALSE()),"")</f>
        <v>Сборка, кабелирование, маркировка, момент затяжки, испытания</v>
      </c>
      <c r="F932" s="5">
        <f>IFERROR(VLOOKUP($D932,FIYAT!$B:$O,5,FALSE()),"")</f>
        <v>100</v>
      </c>
      <c r="G932" s="5">
        <f>IFERROR(VLOOKUP($D932,FIYAT!$B:$O,8,FALSE()),"")</f>
        <v>100</v>
      </c>
      <c r="H932" s="5">
        <f>IF(OR($G932="",$I932=""),"",$G932*$I932)</f>
        <v>23100</v>
      </c>
      <c r="I932" s="6">
        <f>ROUND(SUM($U$919:$U$931)*KURALLAR!$B$27,0)</f>
        <v>231</v>
      </c>
      <c r="J932" s="5" t="str">
        <f>IFERROR(VLOOKUP($D932,FIYAT!$B:$O,9,FALSE()),"")</f>
        <v>мин</v>
      </c>
      <c r="K932" s="5" t="str">
        <f>IFERROR(VLOOKUP($D932,FIYAT!$B:$O,4,FALSE()),"")</f>
        <v>ISCILIK</v>
      </c>
      <c r="L932" s="5">
        <f t="shared" si="113"/>
        <v>23100</v>
      </c>
      <c r="M932" s="5"/>
      <c r="N932" s="5"/>
      <c r="O932" s="5"/>
      <c r="P932" s="5" t="str">
        <f>IF($H932="","FIYAT_YOK",IFERROR(VLOOKUP($D932,FIYAT!$B:$P,15,FALSE()),""))</f>
        <v>OK</v>
      </c>
      <c r="Q932" s="5" t="str">
        <f>CONCATENATE("montaj+test iscilik: ",TEXT($I932,"# ##0")," dk = ",TEXT($I932/60,"0,00")," saat (norm x test/etiket carpani)")</f>
        <v>montaj+test iscilik:  231 dk = 3,85 saat (norm x test/etiket carpani)</v>
      </c>
      <c r="R932" s="5" t="s">
        <v>229</v>
      </c>
      <c r="S932" s="5" t="s">
        <v>637</v>
      </c>
      <c r="T932" s="5"/>
      <c r="U932" s="5">
        <v>0</v>
      </c>
    </row>
    <row r="933" spans="1:21" x14ac:dyDescent="0.25">
      <c r="A933" s="10">
        <v>932</v>
      </c>
      <c r="B933" s="10" t="s">
        <v>664</v>
      </c>
      <c r="C933" s="10"/>
      <c r="D933" s="10"/>
      <c r="E933" s="10"/>
      <c r="F933" s="10"/>
      <c r="G933" s="10"/>
      <c r="H933" s="10">
        <f>SUBTOTAL(9,H919:H932)</f>
        <v>168130.99999999997</v>
      </c>
      <c r="I933" s="10"/>
      <c r="J933" s="10"/>
      <c r="K933" s="10"/>
      <c r="L933" s="10">
        <f>SUBTOTAL(9,L919:L932)</f>
        <v>168130.99999999997</v>
      </c>
      <c r="M933" s="10"/>
      <c r="N933" s="10"/>
      <c r="O933" s="10"/>
      <c r="P933" s="10"/>
      <c r="Q933" s="10"/>
      <c r="R933" s="10"/>
      <c r="S933" s="10"/>
      <c r="T933" s="10"/>
      <c r="U933" s="10">
        <f>SUBTOTAL(9,U919:U932)</f>
        <v>201</v>
      </c>
    </row>
    <row r="934" spans="1:21" x14ac:dyDescent="0.25">
      <c r="A934" s="8">
        <v>933</v>
      </c>
      <c r="B934" s="8" t="str">
        <f>E934</f>
        <v>BLOK B / 1F-ИБП.1 — НКУ 380/220В 50Гц, FORM 2B, IP31/54</v>
      </c>
      <c r="C934" s="8" t="s">
        <v>545</v>
      </c>
      <c r="D934" s="8"/>
      <c r="E934" s="8" t="s">
        <v>665</v>
      </c>
      <c r="F934" s="8"/>
      <c r="G934" s="8"/>
      <c r="H934" s="8"/>
      <c r="I934" s="8">
        <v>1</v>
      </c>
      <c r="J934" s="8" t="s">
        <v>547</v>
      </c>
      <c r="K934" s="8"/>
      <c r="L934" s="8"/>
      <c r="M934" s="8"/>
      <c r="N934" s="8"/>
      <c r="O934" s="8"/>
      <c r="P934" s="8" t="s">
        <v>178</v>
      </c>
      <c r="Q934" s="8" t="s">
        <v>548</v>
      </c>
      <c r="R934" s="8" t="s">
        <v>549</v>
      </c>
      <c r="S934" s="8" t="s">
        <v>637</v>
      </c>
      <c r="T934" s="8"/>
      <c r="U934" s="8"/>
    </row>
    <row r="935" spans="1:21" x14ac:dyDescent="0.25">
      <c r="A935" s="9">
        <v>934</v>
      </c>
      <c r="B935" s="9"/>
      <c r="C935" s="9" t="s">
        <v>169</v>
      </c>
      <c r="D935" s="9" t="s">
        <v>167</v>
      </c>
      <c r="E935" s="9" t="str">
        <f>IFERROR(VLOOKUP($D935,FIYAT!$B:$O,2,FALSE()),"")</f>
        <v>Авт. выкл. NM8N-125C TM 3P 32А 36кА с рег. термомаг. расцепителем (R)</v>
      </c>
      <c r="F935" s="9">
        <f>IFERROR(VLOOKUP($D935,FIYAT!$B:$O,5,FALSE()),"")</f>
        <v>64667</v>
      </c>
      <c r="G935" s="9">
        <f>IFERROR(VLOOKUP($D935,FIYAT!$B:$O,8,FALSE()),"")</f>
        <v>38800.199999999997</v>
      </c>
      <c r="H935" s="9">
        <f t="shared" ref="H935:H946" si="114">IF(OR($G935="",$I935=""),"",$G935*$I935)</f>
        <v>38800.199999999997</v>
      </c>
      <c r="I935" s="6">
        <v>1</v>
      </c>
      <c r="J935" s="9" t="str">
        <f>IFERROR(VLOOKUP($D935,FIYAT!$B:$O,9,FALSE()),"")</f>
        <v>Шт.</v>
      </c>
      <c r="K935" s="9" t="str">
        <f>IFERROR(VLOOKUP($D935,FIYAT!$B:$O,4,FALSE()),"")</f>
        <v>CHINT</v>
      </c>
      <c r="L935" s="9">
        <f t="shared" ref="L935:L948" si="115">IF($H935="","",$H935)</f>
        <v>38800.199999999997</v>
      </c>
      <c r="M935" s="9"/>
      <c r="N935" s="9"/>
      <c r="O935" s="9"/>
      <c r="P935" s="9" t="str">
        <f>IF($H935="","FIYAT_YOK",IFERROR(VLOOKUP($D935,FIYAT!$B:$P,15,FALSE()),""))</f>
        <v>MUADIL</v>
      </c>
      <c r="Q935" s="9" t="s">
        <v>172</v>
      </c>
      <c r="R935" s="9" t="s">
        <v>171</v>
      </c>
      <c r="S935" s="9" t="s">
        <v>637</v>
      </c>
      <c r="T935" s="9" t="s">
        <v>61</v>
      </c>
      <c r="U935" s="9">
        <f>IFERROR(VLOOKUP($T935,KURALLAR!$A$32:$B$63,2,FALSE()),0)*IF(ISNUMBER($I935),$I935,0)</f>
        <v>15</v>
      </c>
    </row>
    <row r="936" spans="1:21" x14ac:dyDescent="0.25">
      <c r="A936" s="5">
        <v>935</v>
      </c>
      <c r="B936" s="5"/>
      <c r="C936" s="5" t="s">
        <v>176</v>
      </c>
      <c r="D936" s="5" t="s">
        <v>174</v>
      </c>
      <c r="E936" s="5" t="str">
        <f>IFERROR(VLOOKUP($D936,FIYAT!$B:$O,2,FALSE()),"")</f>
        <v>УЗО NL1-63 6kA 4P 63A 300mA тип AC (R)</v>
      </c>
      <c r="F936" s="5">
        <f>IFERROR(VLOOKUP($D936,FIYAT!$B:$O,5,FALSE()),"")</f>
        <v>18106</v>
      </c>
      <c r="G936" s="5">
        <f>IFERROR(VLOOKUP($D936,FIYAT!$B:$O,8,FALSE()),"")</f>
        <v>10863.6</v>
      </c>
      <c r="H936" s="5">
        <f t="shared" si="114"/>
        <v>10863.6</v>
      </c>
      <c r="I936" s="6">
        <v>1</v>
      </c>
      <c r="J936" s="5" t="str">
        <f>IFERROR(VLOOKUP($D936,FIYAT!$B:$O,9,FALSE()),"")</f>
        <v>Шт.</v>
      </c>
      <c r="K936" s="5" t="str">
        <f>IFERROR(VLOOKUP($D936,FIYAT!$B:$O,4,FALSE()),"")</f>
        <v>CHINT</v>
      </c>
      <c r="L936" s="5">
        <f t="shared" si="115"/>
        <v>10863.6</v>
      </c>
      <c r="M936" s="5"/>
      <c r="N936" s="5"/>
      <c r="O936" s="5"/>
      <c r="P936" s="5" t="str">
        <f>IF($H936="","FIYAT_YOK",IFERROR(VLOOKUP($D936,FIYAT!$B:$P,15,FALSE()),""))</f>
        <v>OK</v>
      </c>
      <c r="Q936" s="5" t="s">
        <v>177</v>
      </c>
      <c r="R936" s="5" t="s">
        <v>171</v>
      </c>
      <c r="S936" s="5" t="s">
        <v>637</v>
      </c>
      <c r="T936" s="5" t="s">
        <v>57</v>
      </c>
      <c r="U936" s="5">
        <f>IFERROR(VLOOKUP($T936,KURALLAR!$A$32:$B$63,2,FALSE()),0)*IF(ISNUMBER($I936),$I936,0)</f>
        <v>10</v>
      </c>
    </row>
    <row r="937" spans="1:21" x14ac:dyDescent="0.25">
      <c r="A937" s="9">
        <v>936</v>
      </c>
      <c r="B937" s="9"/>
      <c r="C937" s="9" t="s">
        <v>79</v>
      </c>
      <c r="D937" s="9" t="s">
        <v>179</v>
      </c>
      <c r="E937" s="9" t="str">
        <f>IFERROR(VLOOKUP($D937,FIYAT!$B:$O,2,FALSE()),"")</f>
        <v>Держатель плавкой вставки RT36-00-160, габарит 00, 160А</v>
      </c>
      <c r="F937" s="9">
        <f>IFERROR(VLOOKUP($D937,FIYAT!$B:$O,5,FALSE()),"")</f>
        <v>2038</v>
      </c>
      <c r="G937" s="9">
        <f>IFERROR(VLOOKUP($D937,FIYAT!$B:$O,8,FALSE()),"")</f>
        <v>1222.8</v>
      </c>
      <c r="H937" s="9">
        <f t="shared" si="114"/>
        <v>4891.2</v>
      </c>
      <c r="I937" s="6">
        <v>4</v>
      </c>
      <c r="J937" s="9" t="str">
        <f>IFERROR(VLOOKUP($D937,FIYAT!$B:$O,9,FALSE()),"")</f>
        <v>Шт.</v>
      </c>
      <c r="K937" s="9" t="str">
        <f>IFERROR(VLOOKUP($D937,FIYAT!$B:$O,4,FALSE()),"")</f>
        <v>CHINT</v>
      </c>
      <c r="L937" s="9">
        <f t="shared" si="115"/>
        <v>4891.2</v>
      </c>
      <c r="M937" s="9"/>
      <c r="N937" s="9"/>
      <c r="O937" s="9"/>
      <c r="P937" s="9" t="str">
        <f>IF($H937="","FIYAT_YOK",IFERROR(VLOOKUP($D937,FIYAT!$B:$P,15,FALSE()),""))</f>
        <v>MUADIL</v>
      </c>
      <c r="Q937" s="9" t="s">
        <v>181</v>
      </c>
      <c r="R937" s="9" t="s">
        <v>171</v>
      </c>
      <c r="S937" s="9" t="s">
        <v>637</v>
      </c>
      <c r="T937" s="9" t="s">
        <v>77</v>
      </c>
      <c r="U937" s="9">
        <f>IFERROR(VLOOKUP($T937,KURALLAR!$A$32:$B$63,2,FALSE()),0)*IF(ISNUMBER($I937),$I937,0)</f>
        <v>20</v>
      </c>
    </row>
    <row r="938" spans="1:21" x14ac:dyDescent="0.25">
      <c r="A938" s="5">
        <v>937</v>
      </c>
      <c r="B938" s="5"/>
      <c r="C938" s="5" t="s">
        <v>79</v>
      </c>
      <c r="D938" s="5" t="s">
        <v>182</v>
      </c>
      <c r="E938" s="5" t="str">
        <f>IFERROR(VLOOKUP($D938,FIYAT!$B:$O,2,FALSE()),"")</f>
        <v>Плавкая вставка предохранителя RT36-00-160, габарит 00, 63А</v>
      </c>
      <c r="F938" s="5">
        <f>IFERROR(VLOOKUP($D938,FIYAT!$B:$O,5,FALSE()),"")</f>
        <v>1525</v>
      </c>
      <c r="G938" s="5">
        <f>IFERROR(VLOOKUP($D938,FIYAT!$B:$O,8,FALSE()),"")</f>
        <v>915</v>
      </c>
      <c r="H938" s="5">
        <f t="shared" si="114"/>
        <v>3660</v>
      </c>
      <c r="I938" s="6">
        <v>4</v>
      </c>
      <c r="J938" s="5" t="str">
        <f>IFERROR(VLOOKUP($D938,FIYAT!$B:$O,9,FALSE()),"")</f>
        <v>Шт.</v>
      </c>
      <c r="K938" s="5" t="str">
        <f>IFERROR(VLOOKUP($D938,FIYAT!$B:$O,4,FALSE()),"")</f>
        <v>CHINT</v>
      </c>
      <c r="L938" s="5">
        <f t="shared" si="115"/>
        <v>3660</v>
      </c>
      <c r="M938" s="5"/>
      <c r="N938" s="5"/>
      <c r="O938" s="5"/>
      <c r="P938" s="5" t="str">
        <f>IF($H938="","FIYAT_YOK",IFERROR(VLOOKUP($D938,FIYAT!$B:$P,15,FALSE()),""))</f>
        <v>MUADIL</v>
      </c>
      <c r="Q938" s="5" t="s">
        <v>185</v>
      </c>
      <c r="R938" s="5" t="s">
        <v>184</v>
      </c>
      <c r="S938" s="5" t="s">
        <v>637</v>
      </c>
      <c r="T938" s="5" t="s">
        <v>79</v>
      </c>
      <c r="U938" s="5">
        <f>IFERROR(VLOOKUP($T938,KURALLAR!$A$32:$B$63,2,FALSE()),0)*IF(ISNUMBER($I938),$I938,0)</f>
        <v>12</v>
      </c>
    </row>
    <row r="939" spans="1:21" x14ac:dyDescent="0.25">
      <c r="A939" s="9">
        <v>938</v>
      </c>
      <c r="B939" s="9"/>
      <c r="C939" s="9" t="s">
        <v>75</v>
      </c>
      <c r="D939" s="9" t="s">
        <v>186</v>
      </c>
      <c r="E939" s="9" t="str">
        <f>IFERROR(VLOOKUP($D939,FIYAT!$B:$O,2,FALSE()),"")</f>
        <v>Ограничитель имп. перенапр. NU6-IIG 4Р In=25kA Uc=440B Im=65kA (R)</v>
      </c>
      <c r="F939" s="9">
        <f>IFERROR(VLOOKUP($D939,FIYAT!$B:$O,5,FALSE()),"")</f>
        <v>33208</v>
      </c>
      <c r="G939" s="9">
        <f>IFERROR(VLOOKUP($D939,FIYAT!$B:$O,8,FALSE()),"")</f>
        <v>19924.8</v>
      </c>
      <c r="H939" s="9">
        <f t="shared" si="114"/>
        <v>19924.8</v>
      </c>
      <c r="I939" s="6">
        <v>1</v>
      </c>
      <c r="J939" s="9" t="str">
        <f>IFERROR(VLOOKUP($D939,FIYAT!$B:$O,9,FALSE()),"")</f>
        <v>Шт.</v>
      </c>
      <c r="K939" s="9" t="str">
        <f>IFERROR(VLOOKUP($D939,FIYAT!$B:$O,4,FALSE()),"")</f>
        <v>CHINT</v>
      </c>
      <c r="L939" s="9">
        <f t="shared" si="115"/>
        <v>19924.8</v>
      </c>
      <c r="M939" s="9"/>
      <c r="N939" s="9"/>
      <c r="O939" s="9"/>
      <c r="P939" s="9" t="str">
        <f>IF($H939="","FIYAT_YOK",IFERROR(VLOOKUP($D939,FIYAT!$B:$P,15,FALSE()),""))</f>
        <v>MUADIL_ONAY</v>
      </c>
      <c r="Q939" s="9" t="s">
        <v>188</v>
      </c>
      <c r="R939" s="9" t="s">
        <v>184</v>
      </c>
      <c r="S939" s="9" t="s">
        <v>637</v>
      </c>
      <c r="T939" s="9" t="s">
        <v>75</v>
      </c>
      <c r="U939" s="9">
        <f>IFERROR(VLOOKUP($T939,KURALLAR!$A$32:$B$63,2,FALSE()),0)*IF(ISNUMBER($I939),$I939,0)</f>
        <v>10</v>
      </c>
    </row>
    <row r="940" spans="1:21" x14ac:dyDescent="0.25">
      <c r="A940" s="5">
        <v>939</v>
      </c>
      <c r="B940" s="5"/>
      <c r="C940" s="5" t="s">
        <v>192</v>
      </c>
      <c r="D940" s="5" t="s">
        <v>190</v>
      </c>
      <c r="E940" s="5" t="str">
        <f>IFERROR(VLOOKUP($D940,FIYAT!$B:$O,2,FALSE()),"")</f>
        <v>Авт. выкл. NXB-63 3P 25A 6кА х-ка C (R)</v>
      </c>
      <c r="F940" s="5">
        <f>IFERROR(VLOOKUP($D940,FIYAT!$B:$O,5,FALSE()),"")</f>
        <v>5334</v>
      </c>
      <c r="G940" s="5">
        <f>IFERROR(VLOOKUP($D940,FIYAT!$B:$O,8,FALSE()),"")</f>
        <v>3200.4</v>
      </c>
      <c r="H940" s="5">
        <f t="shared" si="114"/>
        <v>3200.4</v>
      </c>
      <c r="I940" s="6">
        <v>1</v>
      </c>
      <c r="J940" s="5" t="str">
        <f>IFERROR(VLOOKUP($D940,FIYAT!$B:$O,9,FALSE()),"")</f>
        <v>Шт.</v>
      </c>
      <c r="K940" s="5" t="str">
        <f>IFERROR(VLOOKUP($D940,FIYAT!$B:$O,4,FALSE()),"")</f>
        <v>CHINT</v>
      </c>
      <c r="L940" s="5">
        <f t="shared" si="115"/>
        <v>3200.4</v>
      </c>
      <c r="M940" s="5"/>
      <c r="N940" s="5"/>
      <c r="O940" s="5"/>
      <c r="P940" s="5" t="str">
        <f>IF($H940="","FIYAT_YOK",IFERROR(VLOOKUP($D940,FIYAT!$B:$P,15,FALSE()),""))</f>
        <v>OK</v>
      </c>
      <c r="Q940" s="5" t="s">
        <v>193</v>
      </c>
      <c r="R940" s="5" t="s">
        <v>171</v>
      </c>
      <c r="S940" s="5" t="s">
        <v>637</v>
      </c>
      <c r="T940" s="5" t="s">
        <v>51</v>
      </c>
      <c r="U940" s="5">
        <f>IFERROR(VLOOKUP($T940,KURALLAR!$A$32:$B$63,2,FALSE()),0)*IF(ISNUMBER($I940),$I940,0)</f>
        <v>8</v>
      </c>
    </row>
    <row r="941" spans="1:21" x14ac:dyDescent="0.25">
      <c r="A941" s="9">
        <v>940</v>
      </c>
      <c r="B941" s="9"/>
      <c r="C941" s="9" t="s">
        <v>176</v>
      </c>
      <c r="D941" s="9" t="s">
        <v>197</v>
      </c>
      <c r="E941" s="9" t="str">
        <f>IFERROR(VLOOKUP($D941,FIYAT!$B:$O,2,FALSE()),"")</f>
        <v>УЗО NL1-63 6kA 4P 25A 30mA тип AC (R)</v>
      </c>
      <c r="F941" s="9">
        <f>IFERROR(VLOOKUP($D941,FIYAT!$B:$O,5,FALSE()),"")</f>
        <v>18338</v>
      </c>
      <c r="G941" s="9">
        <f>IFERROR(VLOOKUP($D941,FIYAT!$B:$O,8,FALSE()),"")</f>
        <v>11002.8</v>
      </c>
      <c r="H941" s="9">
        <f t="shared" si="114"/>
        <v>11002.8</v>
      </c>
      <c r="I941" s="6">
        <v>1</v>
      </c>
      <c r="J941" s="9" t="str">
        <f>IFERROR(VLOOKUP($D941,FIYAT!$B:$O,9,FALSE()),"")</f>
        <v>Шт.</v>
      </c>
      <c r="K941" s="9" t="str">
        <f>IFERROR(VLOOKUP($D941,FIYAT!$B:$O,4,FALSE()),"")</f>
        <v>CHINT</v>
      </c>
      <c r="L941" s="9">
        <f t="shared" si="115"/>
        <v>11002.8</v>
      </c>
      <c r="M941" s="9"/>
      <c r="N941" s="9"/>
      <c r="O941" s="9"/>
      <c r="P941" s="9" t="str">
        <f>IF($H941="","FIYAT_YOK",IFERROR(VLOOKUP($D941,FIYAT!$B:$P,15,FALSE()),""))</f>
        <v>OK</v>
      </c>
      <c r="Q941" s="9" t="s">
        <v>199</v>
      </c>
      <c r="R941" s="9" t="s">
        <v>171</v>
      </c>
      <c r="S941" s="9" t="s">
        <v>637</v>
      </c>
      <c r="T941" s="9" t="s">
        <v>57</v>
      </c>
      <c r="U941" s="9">
        <f>IFERROR(VLOOKUP($T941,KURALLAR!$A$32:$B$63,2,FALSE()),0)*IF(ISNUMBER($I941),$I941,0)</f>
        <v>10</v>
      </c>
    </row>
    <row r="942" spans="1:21" x14ac:dyDescent="0.25">
      <c r="A942" s="5">
        <v>941</v>
      </c>
      <c r="B942" s="5"/>
      <c r="C942" s="5" t="s">
        <v>192</v>
      </c>
      <c r="D942" s="5" t="s">
        <v>194</v>
      </c>
      <c r="E942" s="5" t="str">
        <f>IFERROR(VLOOKUP($D942,FIYAT!$B:$O,2,FALSE()),"")</f>
        <v>Авт. выкл. NXB-63 1P 16A 6кА х-ка C (R)</v>
      </c>
      <c r="F942" s="5">
        <f>IFERROR(VLOOKUP($D942,FIYAT!$B:$O,5,FALSE()),"")</f>
        <v>1389</v>
      </c>
      <c r="G942" s="5">
        <f>IFERROR(VLOOKUP($D942,FIYAT!$B:$O,8,FALSE()),"")</f>
        <v>833.4</v>
      </c>
      <c r="H942" s="5">
        <f t="shared" si="114"/>
        <v>4167</v>
      </c>
      <c r="I942" s="6">
        <v>5</v>
      </c>
      <c r="J942" s="5" t="str">
        <f>IFERROR(VLOOKUP($D942,FIYAT!$B:$O,9,FALSE()),"")</f>
        <v>Шт.</v>
      </c>
      <c r="K942" s="5" t="str">
        <f>IFERROR(VLOOKUP($D942,FIYAT!$B:$O,4,FALSE()),"")</f>
        <v>CHINT</v>
      </c>
      <c r="L942" s="5">
        <f t="shared" si="115"/>
        <v>4167</v>
      </c>
      <c r="M942" s="5"/>
      <c r="N942" s="5"/>
      <c r="O942" s="5"/>
      <c r="P942" s="5" t="str">
        <f>IF($H942="","FIYAT_YOK",IFERROR(VLOOKUP($D942,FIYAT!$B:$P,15,FALSE()),""))</f>
        <v>OK</v>
      </c>
      <c r="Q942" s="5" t="s">
        <v>196</v>
      </c>
      <c r="R942" s="5" t="s">
        <v>171</v>
      </c>
      <c r="S942" s="5" t="s">
        <v>637</v>
      </c>
      <c r="T942" s="5" t="s">
        <v>47</v>
      </c>
      <c r="U942" s="5">
        <f>IFERROR(VLOOKUP($T942,KURALLAR!$A$32:$B$63,2,FALSE()),0)*IF(ISNUMBER($I942),$I942,0)</f>
        <v>15</v>
      </c>
    </row>
    <row r="943" spans="1:21" x14ac:dyDescent="0.25">
      <c r="A943" s="9">
        <v>942</v>
      </c>
      <c r="B943" s="9"/>
      <c r="C943" s="9" t="s">
        <v>176</v>
      </c>
      <c r="D943" s="9" t="s">
        <v>200</v>
      </c>
      <c r="E943" s="9" t="str">
        <f>IFERROR(VLOOKUP($D943,FIYAT!$B:$O,2,FALSE()),"")</f>
        <v>УЗО NL1-63 6kA 2P 16A 30mA тип AC (R)</v>
      </c>
      <c r="F943" s="9">
        <f>IFERROR(VLOOKUP($D943,FIYAT!$B:$O,5,FALSE()),"")</f>
        <v>10809</v>
      </c>
      <c r="G943" s="9">
        <f>IFERROR(VLOOKUP($D943,FIYAT!$B:$O,8,FALSE()),"")</f>
        <v>6485.4</v>
      </c>
      <c r="H943" s="9">
        <f t="shared" si="114"/>
        <v>6485.4</v>
      </c>
      <c r="I943" s="6">
        <v>1</v>
      </c>
      <c r="J943" s="9" t="str">
        <f>IFERROR(VLOOKUP($D943,FIYAT!$B:$O,9,FALSE()),"")</f>
        <v>Шт.</v>
      </c>
      <c r="K943" s="9" t="str">
        <f>IFERROR(VLOOKUP($D943,FIYAT!$B:$O,4,FALSE()),"")</f>
        <v>CHINT</v>
      </c>
      <c r="L943" s="9">
        <f t="shared" si="115"/>
        <v>6485.4</v>
      </c>
      <c r="M943" s="9"/>
      <c r="N943" s="9"/>
      <c r="O943" s="9"/>
      <c r="P943" s="9" t="str">
        <f>IF($H943="","FIYAT_YOK",IFERROR(VLOOKUP($D943,FIYAT!$B:$P,15,FALSE()),""))</f>
        <v>OK</v>
      </c>
      <c r="Q943" s="9" t="s">
        <v>202</v>
      </c>
      <c r="R943" s="9" t="s">
        <v>171</v>
      </c>
      <c r="S943" s="9" t="s">
        <v>637</v>
      </c>
      <c r="T943" s="9" t="s">
        <v>55</v>
      </c>
      <c r="U943" s="9">
        <f>IFERROR(VLOOKUP($T943,KURALLAR!$A$32:$B$63,2,FALSE()),0)*IF(ISNUMBER($I943),$I943,0)</f>
        <v>6</v>
      </c>
    </row>
    <row r="944" spans="1:21" x14ac:dyDescent="0.25">
      <c r="A944" s="5">
        <v>943</v>
      </c>
      <c r="B944" s="5"/>
      <c r="C944" s="5" t="s">
        <v>192</v>
      </c>
      <c r="D944" s="5" t="s">
        <v>206</v>
      </c>
      <c r="E944" s="5" t="str">
        <f>IFERROR(VLOOKUP($D944,FIYAT!$B:$O,2,FALSE()),"")</f>
        <v>Авт. выкл. NXB-63 1P 10A 6кА х-ка C (R)</v>
      </c>
      <c r="F944" s="5">
        <f>IFERROR(VLOOKUP($D944,FIYAT!$B:$O,5,FALSE()),"")</f>
        <v>1362</v>
      </c>
      <c r="G944" s="5">
        <f>IFERROR(VLOOKUP($D944,FIYAT!$B:$O,8,FALSE()),"")</f>
        <v>817.19999999999993</v>
      </c>
      <c r="H944" s="5">
        <f t="shared" si="114"/>
        <v>8989.1999999999989</v>
      </c>
      <c r="I944" s="6">
        <v>11</v>
      </c>
      <c r="J944" s="5" t="str">
        <f>IFERROR(VLOOKUP($D944,FIYAT!$B:$O,9,FALSE()),"")</f>
        <v>Шт.</v>
      </c>
      <c r="K944" s="5" t="str">
        <f>IFERROR(VLOOKUP($D944,FIYAT!$B:$O,4,FALSE()),"")</f>
        <v>CHINT</v>
      </c>
      <c r="L944" s="5">
        <f t="shared" si="115"/>
        <v>8989.1999999999989</v>
      </c>
      <c r="M944" s="5"/>
      <c r="N944" s="5"/>
      <c r="O944" s="5"/>
      <c r="P944" s="5" t="str">
        <f>IF($H944="","FIYAT_YOK",IFERROR(VLOOKUP($D944,FIYAT!$B:$P,15,FALSE()),""))</f>
        <v>OK</v>
      </c>
      <c r="Q944" s="5" t="s">
        <v>208</v>
      </c>
      <c r="R944" s="5" t="s">
        <v>184</v>
      </c>
      <c r="S944" s="5" t="s">
        <v>637</v>
      </c>
      <c r="T944" s="5" t="s">
        <v>47</v>
      </c>
      <c r="U944" s="5">
        <f>IFERROR(VLOOKUP($T944,KURALLAR!$A$32:$B$63,2,FALSE()),0)*IF(ISNUMBER($I944),$I944,0)</f>
        <v>33</v>
      </c>
    </row>
    <row r="945" spans="1:21" x14ac:dyDescent="0.25">
      <c r="A945" s="9">
        <v>944</v>
      </c>
      <c r="B945" s="9"/>
      <c r="C945" s="9" t="s">
        <v>93</v>
      </c>
      <c r="D945" s="9" t="s">
        <v>209</v>
      </c>
      <c r="E945" s="9" t="str">
        <f>IFERROR(VLOOKUP($D945,FIYAT!$B:$O,2,FALSE()),"")</f>
        <v>Шина "N" нулевая 6х9мм на DIN-рейку в корпусном изоляторе ШНИ 12К IEK (10)</v>
      </c>
      <c r="F945" s="9">
        <f>IFERROR(VLOOKUP($D945,FIYAT!$B:$O,5,FALSE()),"")</f>
        <v>755</v>
      </c>
      <c r="G945" s="9">
        <f>IFERROR(VLOOKUP($D945,FIYAT!$B:$O,8,FALSE()),"")</f>
        <v>453</v>
      </c>
      <c r="H945" s="9">
        <f t="shared" si="114"/>
        <v>1812</v>
      </c>
      <c r="I945" s="6">
        <v>4</v>
      </c>
      <c r="J945" s="9" t="str">
        <f>IFERROR(VLOOKUP($D945,FIYAT!$B:$O,9,FALSE()),"")</f>
        <v>Шт.</v>
      </c>
      <c r="K945" s="9" t="str">
        <f>IFERROR(VLOOKUP($D945,FIYAT!$B:$O,4,FALSE()),"")</f>
        <v>KAZTEK</v>
      </c>
      <c r="L945" s="9">
        <f t="shared" si="115"/>
        <v>1812</v>
      </c>
      <c r="M945" s="9"/>
      <c r="N945" s="9"/>
      <c r="O945" s="9"/>
      <c r="P945" s="9" t="str">
        <f>IF($H945="","FIYAT_YOK",IFERROR(VLOOKUP($D945,FIYAT!$B:$P,15,FALSE()),""))</f>
        <v>MUADIL</v>
      </c>
      <c r="Q945" s="9" t="s">
        <v>212</v>
      </c>
      <c r="R945" s="9" t="s">
        <v>211</v>
      </c>
      <c r="S945" s="9" t="s">
        <v>637</v>
      </c>
      <c r="T945" s="9" t="s">
        <v>93</v>
      </c>
      <c r="U945" s="9">
        <f>IFERROR(VLOOKUP($T945,KURALLAR!$A$32:$B$63,2,FALSE()),0)*IF(ISNUMBER($I945),$I945,0)</f>
        <v>32</v>
      </c>
    </row>
    <row r="946" spans="1:21" x14ac:dyDescent="0.25">
      <c r="A946" s="5">
        <v>945</v>
      </c>
      <c r="B946" s="5"/>
      <c r="C946" s="5" t="s">
        <v>222</v>
      </c>
      <c r="D946" s="5" t="s">
        <v>310</v>
      </c>
      <c r="E946" s="5" t="str">
        <f>IFERROR(VLOOKUP($D946,FIYAT!$B:$O,2,FALSE()),"")</f>
        <v>Мет.Корпус ЩМП-4 (800x650x250) IP54</v>
      </c>
      <c r="F946" s="5">
        <f>IFERROR(VLOOKUP($D946,FIYAT!$B:$O,5,FALSE()),"")</f>
        <v>30540</v>
      </c>
      <c r="G946" s="5">
        <f>IFERROR(VLOOKUP($D946,FIYAT!$B:$O,8,FALSE()),"")</f>
        <v>18324</v>
      </c>
      <c r="H946" s="5">
        <f t="shared" si="114"/>
        <v>18324</v>
      </c>
      <c r="I946" s="6">
        <v>1</v>
      </c>
      <c r="J946" s="5" t="str">
        <f>IFERROR(VLOOKUP($D946,FIYAT!$B:$O,9,FALSE()),"")</f>
        <v>Шт.</v>
      </c>
      <c r="K946" s="5" t="str">
        <f>IFERROR(VLOOKUP($D946,FIYAT!$B:$O,4,FALSE()),"")</f>
        <v>KAZTEK</v>
      </c>
      <c r="L946" s="5">
        <f t="shared" si="115"/>
        <v>18324</v>
      </c>
      <c r="M946" s="5"/>
      <c r="N946" s="5"/>
      <c r="O946" s="5"/>
      <c r="P946" s="5" t="str">
        <f>IF($H946="","FIYAT_YOK",IFERROR(VLOOKUP($D946,FIYAT!$B:$P,15,FALSE()),""))</f>
        <v>VARSAYIM</v>
      </c>
      <c r="Q946" s="5" t="s">
        <v>312</v>
      </c>
      <c r="R946" s="5" t="s">
        <v>211</v>
      </c>
      <c r="S946" s="5" t="s">
        <v>637</v>
      </c>
      <c r="T946" s="5" t="s">
        <v>105</v>
      </c>
      <c r="U946" s="5">
        <f>IFERROR(VLOOKUP($T946,KURALLAR!$A$32:$B$63,2,FALSE()),0)*IF(ISNUMBER($I946),$I946,0)</f>
        <v>30</v>
      </c>
    </row>
    <row r="947" spans="1:21" x14ac:dyDescent="0.25">
      <c r="A947" s="9">
        <v>946</v>
      </c>
      <c r="B947" s="9"/>
      <c r="C947" s="9" t="s">
        <v>215</v>
      </c>
      <c r="D947" s="9" t="s">
        <v>213</v>
      </c>
      <c r="E947" s="9" t="str">
        <f>IFERROR(VLOOKUP($D947,FIYAT!$B:$O,2,FALSE()),"")</f>
        <v>Монтажный расходный материал (кабель, DIN-рейка, кабель-канал, клеммы, маркировка, крепёж)</v>
      </c>
      <c r="F947" s="9">
        <f>IFERROR(VLOOKUP($D947,FIYAT!$B:$O,5,FALSE()),"")</f>
        <v>0</v>
      </c>
      <c r="G947" s="9" t="str">
        <f>IFERROR(VLOOKUP($D947,FIYAT!$B:$O,8,FALSE()),"")</f>
        <v/>
      </c>
      <c r="H947" s="9">
        <f>ROUND(SUM($H$935:$H$946)*KURALLAR!$B$28,0)</f>
        <v>9248</v>
      </c>
      <c r="I947" s="6">
        <v>1</v>
      </c>
      <c r="J947" s="9" t="str">
        <f>IFERROR(VLOOKUP($D947,FIYAT!$B:$O,9,FALSE()),"")</f>
        <v>компл.</v>
      </c>
      <c r="K947" s="9" t="str">
        <f>IFERROR(VLOOKUP($D947,FIYAT!$B:$O,4,FALSE()),"")</f>
        <v>MUADIL-NET</v>
      </c>
      <c r="L947" s="9">
        <f t="shared" si="115"/>
        <v>9248</v>
      </c>
      <c r="M947" s="9"/>
      <c r="N947" s="9"/>
      <c r="O947" s="9"/>
      <c r="P947" s="9" t="str">
        <f>IF($H947="","FIYAT_YOK",IFERROR(VLOOKUP($D947,FIYAT!$B:$P,15,FALSE()),""))</f>
        <v>ORAN</v>
      </c>
      <c r="Q947" s="9" t="s">
        <v>218</v>
      </c>
      <c r="R947" s="9" t="s">
        <v>217</v>
      </c>
      <c r="S947" s="9" t="s">
        <v>637</v>
      </c>
      <c r="T947" s="9"/>
      <c r="U947" s="9">
        <v>0</v>
      </c>
    </row>
    <row r="948" spans="1:21" x14ac:dyDescent="0.25">
      <c r="A948" s="5">
        <v>947</v>
      </c>
      <c r="B948" s="5"/>
      <c r="C948" s="5" t="s">
        <v>227</v>
      </c>
      <c r="D948" s="5" t="s">
        <v>225</v>
      </c>
      <c r="E948" s="5" t="str">
        <f>IFERROR(VLOOKUP($D948,FIYAT!$B:$O,2,FALSE()),"")</f>
        <v>Сборка, кабелирование, маркировка, момент затяжки, испытания</v>
      </c>
      <c r="F948" s="5">
        <f>IFERROR(VLOOKUP($D948,FIYAT!$B:$O,5,FALSE()),"")</f>
        <v>100</v>
      </c>
      <c r="G948" s="5">
        <f>IFERROR(VLOOKUP($D948,FIYAT!$B:$O,8,FALSE()),"")</f>
        <v>100</v>
      </c>
      <c r="H948" s="5">
        <f>IF(OR($G948="",$I948=""),"",$G948*$I948)</f>
        <v>23100</v>
      </c>
      <c r="I948" s="6">
        <f>ROUND(SUM($U$935:$U$947)*KURALLAR!$B$27,0)</f>
        <v>231</v>
      </c>
      <c r="J948" s="5" t="str">
        <f>IFERROR(VLOOKUP($D948,FIYAT!$B:$O,9,FALSE()),"")</f>
        <v>мин</v>
      </c>
      <c r="K948" s="5" t="str">
        <f>IFERROR(VLOOKUP($D948,FIYAT!$B:$O,4,FALSE()),"")</f>
        <v>ISCILIK</v>
      </c>
      <c r="L948" s="5">
        <f t="shared" si="115"/>
        <v>23100</v>
      </c>
      <c r="M948" s="5"/>
      <c r="N948" s="5"/>
      <c r="O948" s="5"/>
      <c r="P948" s="5" t="str">
        <f>IF($H948="","FIYAT_YOK",IFERROR(VLOOKUP($D948,FIYAT!$B:$P,15,FALSE()),""))</f>
        <v>OK</v>
      </c>
      <c r="Q948" s="5" t="str">
        <f>CONCATENATE("montaj+test iscilik: ",TEXT($I948,"# ##0")," dk = ",TEXT($I948/60,"0,00")," saat (norm x test/etiket carpani)")</f>
        <v>montaj+test iscilik:  231 dk = 3,85 saat (norm x test/etiket carpani)</v>
      </c>
      <c r="R948" s="5" t="s">
        <v>229</v>
      </c>
      <c r="S948" s="5" t="s">
        <v>637</v>
      </c>
      <c r="T948" s="5"/>
      <c r="U948" s="5">
        <v>0</v>
      </c>
    </row>
    <row r="949" spans="1:21" x14ac:dyDescent="0.25">
      <c r="A949" s="10">
        <v>948</v>
      </c>
      <c r="B949" s="10" t="s">
        <v>666</v>
      </c>
      <c r="C949" s="10"/>
      <c r="D949" s="10"/>
      <c r="E949" s="10"/>
      <c r="F949" s="10"/>
      <c r="G949" s="10"/>
      <c r="H949" s="10">
        <f>SUBTOTAL(9,H935:H948)</f>
        <v>164468.59999999998</v>
      </c>
      <c r="I949" s="10"/>
      <c r="J949" s="10"/>
      <c r="K949" s="10"/>
      <c r="L949" s="10">
        <f>SUBTOTAL(9,L935:L948)</f>
        <v>164468.59999999998</v>
      </c>
      <c r="M949" s="10"/>
      <c r="N949" s="10"/>
      <c r="O949" s="10"/>
      <c r="P949" s="10"/>
      <c r="Q949" s="10"/>
      <c r="R949" s="10"/>
      <c r="S949" s="10"/>
      <c r="T949" s="10"/>
      <c r="U949" s="10">
        <f>SUBTOTAL(9,U935:U948)</f>
        <v>201</v>
      </c>
    </row>
    <row r="950" spans="1:21" x14ac:dyDescent="0.25">
      <c r="A950" s="8">
        <v>949</v>
      </c>
      <c r="B950" s="8" t="str">
        <f>E950</f>
        <v>BLOK B / 1F-ИБП.2 — НКУ 380/220В 50Гц, FORM 2B, IP31/54</v>
      </c>
      <c r="C950" s="8" t="s">
        <v>545</v>
      </c>
      <c r="D950" s="8"/>
      <c r="E950" s="8" t="s">
        <v>667</v>
      </c>
      <c r="F950" s="8"/>
      <c r="G950" s="8"/>
      <c r="H950" s="8"/>
      <c r="I950" s="8">
        <v>1</v>
      </c>
      <c r="J950" s="8" t="s">
        <v>547</v>
      </c>
      <c r="K950" s="8"/>
      <c r="L950" s="8"/>
      <c r="M950" s="8"/>
      <c r="N950" s="8"/>
      <c r="O950" s="8"/>
      <c r="P950" s="8" t="s">
        <v>178</v>
      </c>
      <c r="Q950" s="8" t="s">
        <v>548</v>
      </c>
      <c r="R950" s="8" t="s">
        <v>549</v>
      </c>
      <c r="S950" s="8" t="s">
        <v>637</v>
      </c>
      <c r="T950" s="8"/>
      <c r="U950" s="8"/>
    </row>
    <row r="951" spans="1:21" x14ac:dyDescent="0.25">
      <c r="A951" s="9">
        <v>950</v>
      </c>
      <c r="B951" s="9"/>
      <c r="C951" s="9" t="s">
        <v>169</v>
      </c>
      <c r="D951" s="9" t="s">
        <v>167</v>
      </c>
      <c r="E951" s="9" t="str">
        <f>IFERROR(VLOOKUP($D951,FIYAT!$B:$O,2,FALSE()),"")</f>
        <v>Авт. выкл. NM8N-125C TM 3P 32А 36кА с рег. термомаг. расцепителем (R)</v>
      </c>
      <c r="F951" s="9">
        <f>IFERROR(VLOOKUP($D951,FIYAT!$B:$O,5,FALSE()),"")</f>
        <v>64667</v>
      </c>
      <c r="G951" s="9">
        <f>IFERROR(VLOOKUP($D951,FIYAT!$B:$O,8,FALSE()),"")</f>
        <v>38800.199999999997</v>
      </c>
      <c r="H951" s="9">
        <f t="shared" ref="H951:H962" si="116">IF(OR($G951="",$I951=""),"",$G951*$I951)</f>
        <v>38800.199999999997</v>
      </c>
      <c r="I951" s="6">
        <v>1</v>
      </c>
      <c r="J951" s="9" t="str">
        <f>IFERROR(VLOOKUP($D951,FIYAT!$B:$O,9,FALSE()),"")</f>
        <v>Шт.</v>
      </c>
      <c r="K951" s="9" t="str">
        <f>IFERROR(VLOOKUP($D951,FIYAT!$B:$O,4,FALSE()),"")</f>
        <v>CHINT</v>
      </c>
      <c r="L951" s="9">
        <f t="shared" ref="L951:L964" si="117">IF($H951="","",$H951)</f>
        <v>38800.199999999997</v>
      </c>
      <c r="M951" s="9"/>
      <c r="N951" s="9"/>
      <c r="O951" s="9"/>
      <c r="P951" s="9" t="str">
        <f>IF($H951="","FIYAT_YOK",IFERROR(VLOOKUP($D951,FIYAT!$B:$P,15,FALSE()),""))</f>
        <v>MUADIL</v>
      </c>
      <c r="Q951" s="9" t="s">
        <v>172</v>
      </c>
      <c r="R951" s="9" t="s">
        <v>171</v>
      </c>
      <c r="S951" s="9" t="s">
        <v>637</v>
      </c>
      <c r="T951" s="9" t="s">
        <v>61</v>
      </c>
      <c r="U951" s="9">
        <f>IFERROR(VLOOKUP($T951,KURALLAR!$A$32:$B$63,2,FALSE()),0)*IF(ISNUMBER($I951),$I951,0)</f>
        <v>15</v>
      </c>
    </row>
    <row r="952" spans="1:21" x14ac:dyDescent="0.25">
      <c r="A952" s="5">
        <v>951</v>
      </c>
      <c r="B952" s="5"/>
      <c r="C952" s="5" t="s">
        <v>176</v>
      </c>
      <c r="D952" s="5" t="s">
        <v>174</v>
      </c>
      <c r="E952" s="5" t="str">
        <f>IFERROR(VLOOKUP($D952,FIYAT!$B:$O,2,FALSE()),"")</f>
        <v>УЗО NL1-63 6kA 4P 63A 300mA тип AC (R)</v>
      </c>
      <c r="F952" s="5">
        <f>IFERROR(VLOOKUP($D952,FIYAT!$B:$O,5,FALSE()),"")</f>
        <v>18106</v>
      </c>
      <c r="G952" s="5">
        <f>IFERROR(VLOOKUP($D952,FIYAT!$B:$O,8,FALSE()),"")</f>
        <v>10863.6</v>
      </c>
      <c r="H952" s="5">
        <f t="shared" si="116"/>
        <v>10863.6</v>
      </c>
      <c r="I952" s="6">
        <v>1</v>
      </c>
      <c r="J952" s="5" t="str">
        <f>IFERROR(VLOOKUP($D952,FIYAT!$B:$O,9,FALSE()),"")</f>
        <v>Шт.</v>
      </c>
      <c r="K952" s="5" t="str">
        <f>IFERROR(VLOOKUP($D952,FIYAT!$B:$O,4,FALSE()),"")</f>
        <v>CHINT</v>
      </c>
      <c r="L952" s="5">
        <f t="shared" si="117"/>
        <v>10863.6</v>
      </c>
      <c r="M952" s="5"/>
      <c r="N952" s="5"/>
      <c r="O952" s="5"/>
      <c r="P952" s="5" t="str">
        <f>IF($H952="","FIYAT_YOK",IFERROR(VLOOKUP($D952,FIYAT!$B:$P,15,FALSE()),""))</f>
        <v>OK</v>
      </c>
      <c r="Q952" s="5" t="s">
        <v>177</v>
      </c>
      <c r="R952" s="5" t="s">
        <v>171</v>
      </c>
      <c r="S952" s="5" t="s">
        <v>637</v>
      </c>
      <c r="T952" s="5" t="s">
        <v>57</v>
      </c>
      <c r="U952" s="5">
        <f>IFERROR(VLOOKUP($T952,KURALLAR!$A$32:$B$63,2,FALSE()),0)*IF(ISNUMBER($I952),$I952,0)</f>
        <v>10</v>
      </c>
    </row>
    <row r="953" spans="1:21" x14ac:dyDescent="0.25">
      <c r="A953" s="9">
        <v>952</v>
      </c>
      <c r="B953" s="9"/>
      <c r="C953" s="9" t="s">
        <v>79</v>
      </c>
      <c r="D953" s="9" t="s">
        <v>179</v>
      </c>
      <c r="E953" s="9" t="str">
        <f>IFERROR(VLOOKUP($D953,FIYAT!$B:$O,2,FALSE()),"")</f>
        <v>Держатель плавкой вставки RT36-00-160, габарит 00, 160А</v>
      </c>
      <c r="F953" s="9">
        <f>IFERROR(VLOOKUP($D953,FIYAT!$B:$O,5,FALSE()),"")</f>
        <v>2038</v>
      </c>
      <c r="G953" s="9">
        <f>IFERROR(VLOOKUP($D953,FIYAT!$B:$O,8,FALSE()),"")</f>
        <v>1222.8</v>
      </c>
      <c r="H953" s="9">
        <f t="shared" si="116"/>
        <v>4891.2</v>
      </c>
      <c r="I953" s="6">
        <v>4</v>
      </c>
      <c r="J953" s="9" t="str">
        <f>IFERROR(VLOOKUP($D953,FIYAT!$B:$O,9,FALSE()),"")</f>
        <v>Шт.</v>
      </c>
      <c r="K953" s="9" t="str">
        <f>IFERROR(VLOOKUP($D953,FIYAT!$B:$O,4,FALSE()),"")</f>
        <v>CHINT</v>
      </c>
      <c r="L953" s="9">
        <f t="shared" si="117"/>
        <v>4891.2</v>
      </c>
      <c r="M953" s="9"/>
      <c r="N953" s="9"/>
      <c r="O953" s="9"/>
      <c r="P953" s="9" t="str">
        <f>IF($H953="","FIYAT_YOK",IFERROR(VLOOKUP($D953,FIYAT!$B:$P,15,FALSE()),""))</f>
        <v>MUADIL</v>
      </c>
      <c r="Q953" s="9" t="s">
        <v>181</v>
      </c>
      <c r="R953" s="9" t="s">
        <v>171</v>
      </c>
      <c r="S953" s="9" t="s">
        <v>637</v>
      </c>
      <c r="T953" s="9" t="s">
        <v>77</v>
      </c>
      <c r="U953" s="9">
        <f>IFERROR(VLOOKUP($T953,KURALLAR!$A$32:$B$63,2,FALSE()),0)*IF(ISNUMBER($I953),$I953,0)</f>
        <v>20</v>
      </c>
    </row>
    <row r="954" spans="1:21" x14ac:dyDescent="0.25">
      <c r="A954" s="5">
        <v>953</v>
      </c>
      <c r="B954" s="5"/>
      <c r="C954" s="5" t="s">
        <v>79</v>
      </c>
      <c r="D954" s="5" t="s">
        <v>182</v>
      </c>
      <c r="E954" s="5" t="str">
        <f>IFERROR(VLOOKUP($D954,FIYAT!$B:$O,2,FALSE()),"")</f>
        <v>Плавкая вставка предохранителя RT36-00-160, габарит 00, 63А</v>
      </c>
      <c r="F954" s="5">
        <f>IFERROR(VLOOKUP($D954,FIYAT!$B:$O,5,FALSE()),"")</f>
        <v>1525</v>
      </c>
      <c r="G954" s="5">
        <f>IFERROR(VLOOKUP($D954,FIYAT!$B:$O,8,FALSE()),"")</f>
        <v>915</v>
      </c>
      <c r="H954" s="5">
        <f t="shared" si="116"/>
        <v>3660</v>
      </c>
      <c r="I954" s="6">
        <v>4</v>
      </c>
      <c r="J954" s="5" t="str">
        <f>IFERROR(VLOOKUP($D954,FIYAT!$B:$O,9,FALSE()),"")</f>
        <v>Шт.</v>
      </c>
      <c r="K954" s="5" t="str">
        <f>IFERROR(VLOOKUP($D954,FIYAT!$B:$O,4,FALSE()),"")</f>
        <v>CHINT</v>
      </c>
      <c r="L954" s="5">
        <f t="shared" si="117"/>
        <v>3660</v>
      </c>
      <c r="M954" s="5"/>
      <c r="N954" s="5"/>
      <c r="O954" s="5"/>
      <c r="P954" s="5" t="str">
        <f>IF($H954="","FIYAT_YOK",IFERROR(VLOOKUP($D954,FIYAT!$B:$P,15,FALSE()),""))</f>
        <v>MUADIL</v>
      </c>
      <c r="Q954" s="5" t="s">
        <v>185</v>
      </c>
      <c r="R954" s="5" t="s">
        <v>184</v>
      </c>
      <c r="S954" s="5" t="s">
        <v>637</v>
      </c>
      <c r="T954" s="5" t="s">
        <v>79</v>
      </c>
      <c r="U954" s="5">
        <f>IFERROR(VLOOKUP($T954,KURALLAR!$A$32:$B$63,2,FALSE()),0)*IF(ISNUMBER($I954),$I954,0)</f>
        <v>12</v>
      </c>
    </row>
    <row r="955" spans="1:21" x14ac:dyDescent="0.25">
      <c r="A955" s="9">
        <v>954</v>
      </c>
      <c r="B955" s="9"/>
      <c r="C955" s="9" t="s">
        <v>75</v>
      </c>
      <c r="D955" s="9" t="s">
        <v>186</v>
      </c>
      <c r="E955" s="9" t="str">
        <f>IFERROR(VLOOKUP($D955,FIYAT!$B:$O,2,FALSE()),"")</f>
        <v>Ограничитель имп. перенапр. NU6-IIG 4Р In=25kA Uc=440B Im=65kA (R)</v>
      </c>
      <c r="F955" s="9">
        <f>IFERROR(VLOOKUP($D955,FIYAT!$B:$O,5,FALSE()),"")</f>
        <v>33208</v>
      </c>
      <c r="G955" s="9">
        <f>IFERROR(VLOOKUP($D955,FIYAT!$B:$O,8,FALSE()),"")</f>
        <v>19924.8</v>
      </c>
      <c r="H955" s="9">
        <f t="shared" si="116"/>
        <v>19924.8</v>
      </c>
      <c r="I955" s="6">
        <v>1</v>
      </c>
      <c r="J955" s="9" t="str">
        <f>IFERROR(VLOOKUP($D955,FIYAT!$B:$O,9,FALSE()),"")</f>
        <v>Шт.</v>
      </c>
      <c r="K955" s="9" t="str">
        <f>IFERROR(VLOOKUP($D955,FIYAT!$B:$O,4,FALSE()),"")</f>
        <v>CHINT</v>
      </c>
      <c r="L955" s="9">
        <f t="shared" si="117"/>
        <v>19924.8</v>
      </c>
      <c r="M955" s="9"/>
      <c r="N955" s="9"/>
      <c r="O955" s="9"/>
      <c r="P955" s="9" t="str">
        <f>IF($H955="","FIYAT_YOK",IFERROR(VLOOKUP($D955,FIYAT!$B:$P,15,FALSE()),""))</f>
        <v>MUADIL_ONAY</v>
      </c>
      <c r="Q955" s="9" t="s">
        <v>188</v>
      </c>
      <c r="R955" s="9" t="s">
        <v>184</v>
      </c>
      <c r="S955" s="9" t="s">
        <v>637</v>
      </c>
      <c r="T955" s="9" t="s">
        <v>75</v>
      </c>
      <c r="U955" s="9">
        <f>IFERROR(VLOOKUP($T955,KURALLAR!$A$32:$B$63,2,FALSE()),0)*IF(ISNUMBER($I955),$I955,0)</f>
        <v>10</v>
      </c>
    </row>
    <row r="956" spans="1:21" x14ac:dyDescent="0.25">
      <c r="A956" s="5">
        <v>955</v>
      </c>
      <c r="B956" s="5"/>
      <c r="C956" s="5" t="s">
        <v>192</v>
      </c>
      <c r="D956" s="5" t="s">
        <v>190</v>
      </c>
      <c r="E956" s="5" t="str">
        <f>IFERROR(VLOOKUP($D956,FIYAT!$B:$O,2,FALSE()),"")</f>
        <v>Авт. выкл. NXB-63 3P 25A 6кА х-ка C (R)</v>
      </c>
      <c r="F956" s="5">
        <f>IFERROR(VLOOKUP($D956,FIYAT!$B:$O,5,FALSE()),"")</f>
        <v>5334</v>
      </c>
      <c r="G956" s="5">
        <f>IFERROR(VLOOKUP($D956,FIYAT!$B:$O,8,FALSE()),"")</f>
        <v>3200.4</v>
      </c>
      <c r="H956" s="5">
        <f t="shared" si="116"/>
        <v>3200.4</v>
      </c>
      <c r="I956" s="6">
        <v>1</v>
      </c>
      <c r="J956" s="5" t="str">
        <f>IFERROR(VLOOKUP($D956,FIYAT!$B:$O,9,FALSE()),"")</f>
        <v>Шт.</v>
      </c>
      <c r="K956" s="5" t="str">
        <f>IFERROR(VLOOKUP($D956,FIYAT!$B:$O,4,FALSE()),"")</f>
        <v>CHINT</v>
      </c>
      <c r="L956" s="5">
        <f t="shared" si="117"/>
        <v>3200.4</v>
      </c>
      <c r="M956" s="5"/>
      <c r="N956" s="5"/>
      <c r="O956" s="5"/>
      <c r="P956" s="5" t="str">
        <f>IF($H956="","FIYAT_YOK",IFERROR(VLOOKUP($D956,FIYAT!$B:$P,15,FALSE()),""))</f>
        <v>OK</v>
      </c>
      <c r="Q956" s="5" t="s">
        <v>193</v>
      </c>
      <c r="R956" s="5" t="s">
        <v>171</v>
      </c>
      <c r="S956" s="5" t="s">
        <v>637</v>
      </c>
      <c r="T956" s="5" t="s">
        <v>51</v>
      </c>
      <c r="U956" s="5">
        <f>IFERROR(VLOOKUP($T956,KURALLAR!$A$32:$B$63,2,FALSE()),0)*IF(ISNUMBER($I956),$I956,0)</f>
        <v>8</v>
      </c>
    </row>
    <row r="957" spans="1:21" x14ac:dyDescent="0.25">
      <c r="A957" s="9">
        <v>956</v>
      </c>
      <c r="B957" s="9"/>
      <c r="C957" s="9" t="s">
        <v>176</v>
      </c>
      <c r="D957" s="9" t="s">
        <v>197</v>
      </c>
      <c r="E957" s="9" t="str">
        <f>IFERROR(VLOOKUP($D957,FIYAT!$B:$O,2,FALSE()),"")</f>
        <v>УЗО NL1-63 6kA 4P 25A 30mA тип AC (R)</v>
      </c>
      <c r="F957" s="9">
        <f>IFERROR(VLOOKUP($D957,FIYAT!$B:$O,5,FALSE()),"")</f>
        <v>18338</v>
      </c>
      <c r="G957" s="9">
        <f>IFERROR(VLOOKUP($D957,FIYAT!$B:$O,8,FALSE()),"")</f>
        <v>11002.8</v>
      </c>
      <c r="H957" s="9">
        <f t="shared" si="116"/>
        <v>11002.8</v>
      </c>
      <c r="I957" s="6">
        <v>1</v>
      </c>
      <c r="J957" s="9" t="str">
        <f>IFERROR(VLOOKUP($D957,FIYAT!$B:$O,9,FALSE()),"")</f>
        <v>Шт.</v>
      </c>
      <c r="K957" s="9" t="str">
        <f>IFERROR(VLOOKUP($D957,FIYAT!$B:$O,4,FALSE()),"")</f>
        <v>CHINT</v>
      </c>
      <c r="L957" s="9">
        <f t="shared" si="117"/>
        <v>11002.8</v>
      </c>
      <c r="M957" s="9"/>
      <c r="N957" s="9"/>
      <c r="O957" s="9"/>
      <c r="P957" s="9" t="str">
        <f>IF($H957="","FIYAT_YOK",IFERROR(VLOOKUP($D957,FIYAT!$B:$P,15,FALSE()),""))</f>
        <v>OK</v>
      </c>
      <c r="Q957" s="9" t="s">
        <v>199</v>
      </c>
      <c r="R957" s="9" t="s">
        <v>171</v>
      </c>
      <c r="S957" s="9" t="s">
        <v>637</v>
      </c>
      <c r="T957" s="9" t="s">
        <v>57</v>
      </c>
      <c r="U957" s="9">
        <f>IFERROR(VLOOKUP($T957,KURALLAR!$A$32:$B$63,2,FALSE()),0)*IF(ISNUMBER($I957),$I957,0)</f>
        <v>10</v>
      </c>
    </row>
    <row r="958" spans="1:21" x14ac:dyDescent="0.25">
      <c r="A958" s="5">
        <v>957</v>
      </c>
      <c r="B958" s="5"/>
      <c r="C958" s="5" t="s">
        <v>192</v>
      </c>
      <c r="D958" s="5" t="s">
        <v>194</v>
      </c>
      <c r="E958" s="5" t="str">
        <f>IFERROR(VLOOKUP($D958,FIYAT!$B:$O,2,FALSE()),"")</f>
        <v>Авт. выкл. NXB-63 1P 16A 6кА х-ка C (R)</v>
      </c>
      <c r="F958" s="5">
        <f>IFERROR(VLOOKUP($D958,FIYAT!$B:$O,5,FALSE()),"")</f>
        <v>1389</v>
      </c>
      <c r="G958" s="5">
        <f>IFERROR(VLOOKUP($D958,FIYAT!$B:$O,8,FALSE()),"")</f>
        <v>833.4</v>
      </c>
      <c r="H958" s="5">
        <f t="shared" si="116"/>
        <v>9167.4</v>
      </c>
      <c r="I958" s="6">
        <v>11</v>
      </c>
      <c r="J958" s="5" t="str">
        <f>IFERROR(VLOOKUP($D958,FIYAT!$B:$O,9,FALSE()),"")</f>
        <v>Шт.</v>
      </c>
      <c r="K958" s="5" t="str">
        <f>IFERROR(VLOOKUP($D958,FIYAT!$B:$O,4,FALSE()),"")</f>
        <v>CHINT</v>
      </c>
      <c r="L958" s="5">
        <f t="shared" si="117"/>
        <v>9167.4</v>
      </c>
      <c r="M958" s="5"/>
      <c r="N958" s="5"/>
      <c r="O958" s="5"/>
      <c r="P958" s="5" t="str">
        <f>IF($H958="","FIYAT_YOK",IFERROR(VLOOKUP($D958,FIYAT!$B:$P,15,FALSE()),""))</f>
        <v>OK</v>
      </c>
      <c r="Q958" s="5" t="s">
        <v>196</v>
      </c>
      <c r="R958" s="5" t="s">
        <v>171</v>
      </c>
      <c r="S958" s="5" t="s">
        <v>637</v>
      </c>
      <c r="T958" s="5" t="s">
        <v>47</v>
      </c>
      <c r="U958" s="5">
        <f>IFERROR(VLOOKUP($T958,KURALLAR!$A$32:$B$63,2,FALSE()),0)*IF(ISNUMBER($I958),$I958,0)</f>
        <v>33</v>
      </c>
    </row>
    <row r="959" spans="1:21" x14ac:dyDescent="0.25">
      <c r="A959" s="9">
        <v>958</v>
      </c>
      <c r="B959" s="9"/>
      <c r="C959" s="9" t="s">
        <v>176</v>
      </c>
      <c r="D959" s="9" t="s">
        <v>200</v>
      </c>
      <c r="E959" s="9" t="str">
        <f>IFERROR(VLOOKUP($D959,FIYAT!$B:$O,2,FALSE()),"")</f>
        <v>УЗО NL1-63 6kA 2P 16A 30mA тип AC (R)</v>
      </c>
      <c r="F959" s="9">
        <f>IFERROR(VLOOKUP($D959,FIYAT!$B:$O,5,FALSE()),"")</f>
        <v>10809</v>
      </c>
      <c r="G959" s="9">
        <f>IFERROR(VLOOKUP($D959,FIYAT!$B:$O,8,FALSE()),"")</f>
        <v>6485.4</v>
      </c>
      <c r="H959" s="9">
        <f t="shared" si="116"/>
        <v>6485.4</v>
      </c>
      <c r="I959" s="6">
        <v>1</v>
      </c>
      <c r="J959" s="9" t="str">
        <f>IFERROR(VLOOKUP($D959,FIYAT!$B:$O,9,FALSE()),"")</f>
        <v>Шт.</v>
      </c>
      <c r="K959" s="9" t="str">
        <f>IFERROR(VLOOKUP($D959,FIYAT!$B:$O,4,FALSE()),"")</f>
        <v>CHINT</v>
      </c>
      <c r="L959" s="9">
        <f t="shared" si="117"/>
        <v>6485.4</v>
      </c>
      <c r="M959" s="9"/>
      <c r="N959" s="9"/>
      <c r="O959" s="9"/>
      <c r="P959" s="9" t="str">
        <f>IF($H959="","FIYAT_YOK",IFERROR(VLOOKUP($D959,FIYAT!$B:$P,15,FALSE()),""))</f>
        <v>OK</v>
      </c>
      <c r="Q959" s="9" t="s">
        <v>202</v>
      </c>
      <c r="R959" s="9" t="s">
        <v>171</v>
      </c>
      <c r="S959" s="9" t="s">
        <v>637</v>
      </c>
      <c r="T959" s="9" t="s">
        <v>55</v>
      </c>
      <c r="U959" s="9">
        <f>IFERROR(VLOOKUP($T959,KURALLAR!$A$32:$B$63,2,FALSE()),0)*IF(ISNUMBER($I959),$I959,0)</f>
        <v>6</v>
      </c>
    </row>
    <row r="960" spans="1:21" x14ac:dyDescent="0.25">
      <c r="A960" s="5">
        <v>959</v>
      </c>
      <c r="B960" s="5"/>
      <c r="C960" s="5" t="s">
        <v>192</v>
      </c>
      <c r="D960" s="5" t="s">
        <v>206</v>
      </c>
      <c r="E960" s="5" t="str">
        <f>IFERROR(VLOOKUP($D960,FIYAT!$B:$O,2,FALSE()),"")</f>
        <v>Авт. выкл. NXB-63 1P 10A 6кА х-ка C (R)</v>
      </c>
      <c r="F960" s="5">
        <f>IFERROR(VLOOKUP($D960,FIYAT!$B:$O,5,FALSE()),"")</f>
        <v>1362</v>
      </c>
      <c r="G960" s="5">
        <f>IFERROR(VLOOKUP($D960,FIYAT!$B:$O,8,FALSE()),"")</f>
        <v>817.19999999999993</v>
      </c>
      <c r="H960" s="5">
        <f t="shared" si="116"/>
        <v>4903.2</v>
      </c>
      <c r="I960" s="6">
        <v>6</v>
      </c>
      <c r="J960" s="5" t="str">
        <f>IFERROR(VLOOKUP($D960,FIYAT!$B:$O,9,FALSE()),"")</f>
        <v>Шт.</v>
      </c>
      <c r="K960" s="5" t="str">
        <f>IFERROR(VLOOKUP($D960,FIYAT!$B:$O,4,FALSE()),"")</f>
        <v>CHINT</v>
      </c>
      <c r="L960" s="5">
        <f t="shared" si="117"/>
        <v>4903.2</v>
      </c>
      <c r="M960" s="5"/>
      <c r="N960" s="5"/>
      <c r="O960" s="5"/>
      <c r="P960" s="5" t="str">
        <f>IF($H960="","FIYAT_YOK",IFERROR(VLOOKUP($D960,FIYAT!$B:$P,15,FALSE()),""))</f>
        <v>OK</v>
      </c>
      <c r="Q960" s="5" t="s">
        <v>208</v>
      </c>
      <c r="R960" s="5" t="s">
        <v>184</v>
      </c>
      <c r="S960" s="5" t="s">
        <v>637</v>
      </c>
      <c r="T960" s="5" t="s">
        <v>47</v>
      </c>
      <c r="U960" s="5">
        <f>IFERROR(VLOOKUP($T960,KURALLAR!$A$32:$B$63,2,FALSE()),0)*IF(ISNUMBER($I960),$I960,0)</f>
        <v>18</v>
      </c>
    </row>
    <row r="961" spans="1:21" x14ac:dyDescent="0.25">
      <c r="A961" s="9">
        <v>960</v>
      </c>
      <c r="B961" s="9"/>
      <c r="C961" s="9" t="s">
        <v>93</v>
      </c>
      <c r="D961" s="9" t="s">
        <v>209</v>
      </c>
      <c r="E961" s="9" t="str">
        <f>IFERROR(VLOOKUP($D961,FIYAT!$B:$O,2,FALSE()),"")</f>
        <v>Шина "N" нулевая 6х9мм на DIN-рейку в корпусном изоляторе ШНИ 12К IEK (10)</v>
      </c>
      <c r="F961" s="9">
        <f>IFERROR(VLOOKUP($D961,FIYAT!$B:$O,5,FALSE()),"")</f>
        <v>755</v>
      </c>
      <c r="G961" s="9">
        <f>IFERROR(VLOOKUP($D961,FIYAT!$B:$O,8,FALSE()),"")</f>
        <v>453</v>
      </c>
      <c r="H961" s="9">
        <f t="shared" si="116"/>
        <v>1812</v>
      </c>
      <c r="I961" s="6">
        <v>4</v>
      </c>
      <c r="J961" s="9" t="str">
        <f>IFERROR(VLOOKUP($D961,FIYAT!$B:$O,9,FALSE()),"")</f>
        <v>Шт.</v>
      </c>
      <c r="K961" s="9" t="str">
        <f>IFERROR(VLOOKUP($D961,FIYAT!$B:$O,4,FALSE()),"")</f>
        <v>KAZTEK</v>
      </c>
      <c r="L961" s="9">
        <f t="shared" si="117"/>
        <v>1812</v>
      </c>
      <c r="M961" s="9"/>
      <c r="N961" s="9"/>
      <c r="O961" s="9"/>
      <c r="P961" s="9" t="str">
        <f>IF($H961="","FIYAT_YOK",IFERROR(VLOOKUP($D961,FIYAT!$B:$P,15,FALSE()),""))</f>
        <v>MUADIL</v>
      </c>
      <c r="Q961" s="9" t="s">
        <v>212</v>
      </c>
      <c r="R961" s="9" t="s">
        <v>211</v>
      </c>
      <c r="S961" s="9" t="s">
        <v>637</v>
      </c>
      <c r="T961" s="9" t="s">
        <v>93</v>
      </c>
      <c r="U961" s="9">
        <f>IFERROR(VLOOKUP($T961,KURALLAR!$A$32:$B$63,2,FALSE()),0)*IF(ISNUMBER($I961),$I961,0)</f>
        <v>32</v>
      </c>
    </row>
    <row r="962" spans="1:21" x14ac:dyDescent="0.25">
      <c r="A962" s="5">
        <v>961</v>
      </c>
      <c r="B962" s="5"/>
      <c r="C962" s="5" t="s">
        <v>222</v>
      </c>
      <c r="D962" s="5" t="s">
        <v>310</v>
      </c>
      <c r="E962" s="5" t="str">
        <f>IFERROR(VLOOKUP($D962,FIYAT!$B:$O,2,FALSE()),"")</f>
        <v>Мет.Корпус ЩМП-4 (800x650x250) IP54</v>
      </c>
      <c r="F962" s="5">
        <f>IFERROR(VLOOKUP($D962,FIYAT!$B:$O,5,FALSE()),"")</f>
        <v>30540</v>
      </c>
      <c r="G962" s="5">
        <f>IFERROR(VLOOKUP($D962,FIYAT!$B:$O,8,FALSE()),"")</f>
        <v>18324</v>
      </c>
      <c r="H962" s="5">
        <f t="shared" si="116"/>
        <v>18324</v>
      </c>
      <c r="I962" s="6">
        <v>1</v>
      </c>
      <c r="J962" s="5" t="str">
        <f>IFERROR(VLOOKUP($D962,FIYAT!$B:$O,9,FALSE()),"")</f>
        <v>Шт.</v>
      </c>
      <c r="K962" s="5" t="str">
        <f>IFERROR(VLOOKUP($D962,FIYAT!$B:$O,4,FALSE()),"")</f>
        <v>KAZTEK</v>
      </c>
      <c r="L962" s="5">
        <f t="shared" si="117"/>
        <v>18324</v>
      </c>
      <c r="M962" s="5"/>
      <c r="N962" s="5"/>
      <c r="O962" s="5"/>
      <c r="P962" s="5" t="str">
        <f>IF($H962="","FIYAT_YOK",IFERROR(VLOOKUP($D962,FIYAT!$B:$P,15,FALSE()),""))</f>
        <v>VARSAYIM</v>
      </c>
      <c r="Q962" s="5" t="s">
        <v>312</v>
      </c>
      <c r="R962" s="5" t="s">
        <v>211</v>
      </c>
      <c r="S962" s="5" t="s">
        <v>637</v>
      </c>
      <c r="T962" s="5" t="s">
        <v>105</v>
      </c>
      <c r="U962" s="5">
        <f>IFERROR(VLOOKUP($T962,KURALLAR!$A$32:$B$63,2,FALSE()),0)*IF(ISNUMBER($I962),$I962,0)</f>
        <v>30</v>
      </c>
    </row>
    <row r="963" spans="1:21" x14ac:dyDescent="0.25">
      <c r="A963" s="9">
        <v>962</v>
      </c>
      <c r="B963" s="9"/>
      <c r="C963" s="9" t="s">
        <v>215</v>
      </c>
      <c r="D963" s="9" t="s">
        <v>213</v>
      </c>
      <c r="E963" s="9" t="str">
        <f>IFERROR(VLOOKUP($D963,FIYAT!$B:$O,2,FALSE()),"")</f>
        <v>Монтажный расходный материал (кабель, DIN-рейка, кабель-канал, клеммы, маркировка, крепёж)</v>
      </c>
      <c r="F963" s="9">
        <f>IFERROR(VLOOKUP($D963,FIYAT!$B:$O,5,FALSE()),"")</f>
        <v>0</v>
      </c>
      <c r="G963" s="9" t="str">
        <f>IFERROR(VLOOKUP($D963,FIYAT!$B:$O,8,FALSE()),"")</f>
        <v/>
      </c>
      <c r="H963" s="9">
        <f>ROUND(SUM($H$951:$H$962)*KURALLAR!$B$28,0)</f>
        <v>9312</v>
      </c>
      <c r="I963" s="6">
        <v>1</v>
      </c>
      <c r="J963" s="9" t="str">
        <f>IFERROR(VLOOKUP($D963,FIYAT!$B:$O,9,FALSE()),"")</f>
        <v>компл.</v>
      </c>
      <c r="K963" s="9" t="str">
        <f>IFERROR(VLOOKUP($D963,FIYAT!$B:$O,4,FALSE()),"")</f>
        <v>MUADIL-NET</v>
      </c>
      <c r="L963" s="9">
        <f t="shared" si="117"/>
        <v>9312</v>
      </c>
      <c r="M963" s="9"/>
      <c r="N963" s="9"/>
      <c r="O963" s="9"/>
      <c r="P963" s="9" t="str">
        <f>IF($H963="","FIYAT_YOK",IFERROR(VLOOKUP($D963,FIYAT!$B:$P,15,FALSE()),""))</f>
        <v>ORAN</v>
      </c>
      <c r="Q963" s="9" t="s">
        <v>218</v>
      </c>
      <c r="R963" s="9" t="s">
        <v>217</v>
      </c>
      <c r="S963" s="9" t="s">
        <v>637</v>
      </c>
      <c r="T963" s="9"/>
      <c r="U963" s="9">
        <v>0</v>
      </c>
    </row>
    <row r="964" spans="1:21" x14ac:dyDescent="0.25">
      <c r="A964" s="5">
        <v>963</v>
      </c>
      <c r="B964" s="5"/>
      <c r="C964" s="5" t="s">
        <v>227</v>
      </c>
      <c r="D964" s="5" t="s">
        <v>225</v>
      </c>
      <c r="E964" s="5" t="str">
        <f>IFERROR(VLOOKUP($D964,FIYAT!$B:$O,2,FALSE()),"")</f>
        <v>Сборка, кабелирование, маркировка, момент затяжки, испытания</v>
      </c>
      <c r="F964" s="5">
        <f>IFERROR(VLOOKUP($D964,FIYAT!$B:$O,5,FALSE()),"")</f>
        <v>100</v>
      </c>
      <c r="G964" s="5">
        <f>IFERROR(VLOOKUP($D964,FIYAT!$B:$O,8,FALSE()),"")</f>
        <v>100</v>
      </c>
      <c r="H964" s="5">
        <f>IF(OR($G964="",$I964=""),"",$G964*$I964)</f>
        <v>23500</v>
      </c>
      <c r="I964" s="6">
        <f>ROUND(SUM($U$951:$U$963)*KURALLAR!$B$27,0)</f>
        <v>235</v>
      </c>
      <c r="J964" s="5" t="str">
        <f>IFERROR(VLOOKUP($D964,FIYAT!$B:$O,9,FALSE()),"")</f>
        <v>мин</v>
      </c>
      <c r="K964" s="5" t="str">
        <f>IFERROR(VLOOKUP($D964,FIYAT!$B:$O,4,FALSE()),"")</f>
        <v>ISCILIK</v>
      </c>
      <c r="L964" s="5">
        <f t="shared" si="117"/>
        <v>23500</v>
      </c>
      <c r="M964" s="5"/>
      <c r="N964" s="5"/>
      <c r="O964" s="5"/>
      <c r="P964" s="5" t="str">
        <f>IF($H964="","FIYAT_YOK",IFERROR(VLOOKUP($D964,FIYAT!$B:$P,15,FALSE()),""))</f>
        <v>OK</v>
      </c>
      <c r="Q964" s="5" t="str">
        <f>CONCATENATE("montaj+test iscilik: ",TEXT($I964,"# ##0")," dk = ",TEXT($I964/60,"0,00")," saat (norm x test/etiket carpani)")</f>
        <v>montaj+test iscilik:  235 dk = 3,92 saat (norm x test/etiket carpani)</v>
      </c>
      <c r="R964" s="5" t="s">
        <v>229</v>
      </c>
      <c r="S964" s="5" t="s">
        <v>637</v>
      </c>
      <c r="T964" s="5"/>
      <c r="U964" s="5">
        <v>0</v>
      </c>
    </row>
    <row r="965" spans="1:21" x14ac:dyDescent="0.25">
      <c r="A965" s="10">
        <v>964</v>
      </c>
      <c r="B965" s="10" t="s">
        <v>668</v>
      </c>
      <c r="C965" s="10"/>
      <c r="D965" s="10"/>
      <c r="E965" s="10"/>
      <c r="F965" s="10"/>
      <c r="G965" s="10"/>
      <c r="H965" s="10">
        <f>SUBTOTAL(9,H951:H964)</f>
        <v>165846.99999999997</v>
      </c>
      <c r="I965" s="10"/>
      <c r="J965" s="10"/>
      <c r="K965" s="10"/>
      <c r="L965" s="10">
        <f>SUBTOTAL(9,L951:L964)</f>
        <v>165846.99999999997</v>
      </c>
      <c r="M965" s="10"/>
      <c r="N965" s="10"/>
      <c r="O965" s="10"/>
      <c r="P965" s="10"/>
      <c r="Q965" s="10"/>
      <c r="R965" s="10"/>
      <c r="S965" s="10"/>
      <c r="T965" s="10"/>
      <c r="U965" s="10">
        <f>SUBTOTAL(9,U951:U964)</f>
        <v>204</v>
      </c>
    </row>
    <row r="966" spans="1:21" x14ac:dyDescent="0.25">
      <c r="A966" s="8">
        <v>965</v>
      </c>
      <c r="B966" s="8" t="str">
        <f>E966</f>
        <v>BLOK B / 6F-ЩС.1 — НКУ 380/220В 50Гц, FORM 2B, IP31/54</v>
      </c>
      <c r="C966" s="8" t="s">
        <v>545</v>
      </c>
      <c r="D966" s="8"/>
      <c r="E966" s="8" t="s">
        <v>669</v>
      </c>
      <c r="F966" s="8"/>
      <c r="G966" s="8"/>
      <c r="H966" s="8"/>
      <c r="I966" s="8">
        <v>1</v>
      </c>
      <c r="J966" s="8" t="s">
        <v>547</v>
      </c>
      <c r="K966" s="8"/>
      <c r="L966" s="8"/>
      <c r="M966" s="8"/>
      <c r="N966" s="8"/>
      <c r="O966" s="8"/>
      <c r="P966" s="8" t="s">
        <v>178</v>
      </c>
      <c r="Q966" s="8" t="s">
        <v>548</v>
      </c>
      <c r="R966" s="8" t="s">
        <v>549</v>
      </c>
      <c r="S966" s="8" t="s">
        <v>637</v>
      </c>
      <c r="T966" s="8"/>
      <c r="U966" s="8"/>
    </row>
    <row r="967" spans="1:21" x14ac:dyDescent="0.25">
      <c r="A967" s="9">
        <v>966</v>
      </c>
      <c r="B967" s="9"/>
      <c r="C967" s="9" t="s">
        <v>169</v>
      </c>
      <c r="D967" s="9" t="s">
        <v>167</v>
      </c>
      <c r="E967" s="9" t="str">
        <f>IFERROR(VLOOKUP($D967,FIYAT!$B:$O,2,FALSE()),"")</f>
        <v>Авт. выкл. NM8N-125C TM 3P 32А 36кА с рег. термомаг. расцепителем (R)</v>
      </c>
      <c r="F967" s="9">
        <f>IFERROR(VLOOKUP($D967,FIYAT!$B:$O,5,FALSE()),"")</f>
        <v>64667</v>
      </c>
      <c r="G967" s="9">
        <f>IFERROR(VLOOKUP($D967,FIYAT!$B:$O,8,FALSE()),"")</f>
        <v>38800.199999999997</v>
      </c>
      <c r="H967" s="9">
        <f t="shared" ref="H967:H978" si="118">IF(OR($G967="",$I967=""),"",$G967*$I967)</f>
        <v>38800.199999999997</v>
      </c>
      <c r="I967" s="6">
        <v>1</v>
      </c>
      <c r="J967" s="9" t="str">
        <f>IFERROR(VLOOKUP($D967,FIYAT!$B:$O,9,FALSE()),"")</f>
        <v>Шт.</v>
      </c>
      <c r="K967" s="9" t="str">
        <f>IFERROR(VLOOKUP($D967,FIYAT!$B:$O,4,FALSE()),"")</f>
        <v>CHINT</v>
      </c>
      <c r="L967" s="9">
        <f t="shared" ref="L967:L980" si="119">IF($H967="","",$H967)</f>
        <v>38800.199999999997</v>
      </c>
      <c r="M967" s="9"/>
      <c r="N967" s="9"/>
      <c r="O967" s="9"/>
      <c r="P967" s="9" t="str">
        <f>IF($H967="","FIYAT_YOK",IFERROR(VLOOKUP($D967,FIYAT!$B:$P,15,FALSE()),""))</f>
        <v>MUADIL</v>
      </c>
      <c r="Q967" s="9" t="s">
        <v>172</v>
      </c>
      <c r="R967" s="9" t="s">
        <v>171</v>
      </c>
      <c r="S967" s="9" t="s">
        <v>637</v>
      </c>
      <c r="T967" s="9" t="s">
        <v>61</v>
      </c>
      <c r="U967" s="9">
        <f>IFERROR(VLOOKUP($T967,KURALLAR!$A$32:$B$63,2,FALSE()),0)*IF(ISNUMBER($I967),$I967,0)</f>
        <v>15</v>
      </c>
    </row>
    <row r="968" spans="1:21" x14ac:dyDescent="0.25">
      <c r="A968" s="5">
        <v>967</v>
      </c>
      <c r="B968" s="5"/>
      <c r="C968" s="5" t="s">
        <v>176</v>
      </c>
      <c r="D968" s="5" t="s">
        <v>174</v>
      </c>
      <c r="E968" s="5" t="str">
        <f>IFERROR(VLOOKUP($D968,FIYAT!$B:$O,2,FALSE()),"")</f>
        <v>УЗО NL1-63 6kA 4P 63A 300mA тип AC (R)</v>
      </c>
      <c r="F968" s="5">
        <f>IFERROR(VLOOKUP($D968,FIYAT!$B:$O,5,FALSE()),"")</f>
        <v>18106</v>
      </c>
      <c r="G968" s="5">
        <f>IFERROR(VLOOKUP($D968,FIYAT!$B:$O,8,FALSE()),"")</f>
        <v>10863.6</v>
      </c>
      <c r="H968" s="5">
        <f t="shared" si="118"/>
        <v>10863.6</v>
      </c>
      <c r="I968" s="6">
        <v>1</v>
      </c>
      <c r="J968" s="5" t="str">
        <f>IFERROR(VLOOKUP($D968,FIYAT!$B:$O,9,FALSE()),"")</f>
        <v>Шт.</v>
      </c>
      <c r="K968" s="5" t="str">
        <f>IFERROR(VLOOKUP($D968,FIYAT!$B:$O,4,FALSE()),"")</f>
        <v>CHINT</v>
      </c>
      <c r="L968" s="5">
        <f t="shared" si="119"/>
        <v>10863.6</v>
      </c>
      <c r="M968" s="5"/>
      <c r="N968" s="5"/>
      <c r="O968" s="5"/>
      <c r="P968" s="5" t="str">
        <f>IF($H968="","FIYAT_YOK",IFERROR(VLOOKUP($D968,FIYAT!$B:$P,15,FALSE()),""))</f>
        <v>OK</v>
      </c>
      <c r="Q968" s="5" t="s">
        <v>177</v>
      </c>
      <c r="R968" s="5" t="s">
        <v>171</v>
      </c>
      <c r="S968" s="5" t="s">
        <v>637</v>
      </c>
      <c r="T968" s="5" t="s">
        <v>57</v>
      </c>
      <c r="U968" s="5">
        <f>IFERROR(VLOOKUP($T968,KURALLAR!$A$32:$B$63,2,FALSE()),0)*IF(ISNUMBER($I968),$I968,0)</f>
        <v>10</v>
      </c>
    </row>
    <row r="969" spans="1:21" x14ac:dyDescent="0.25">
      <c r="A969" s="9">
        <v>968</v>
      </c>
      <c r="B969" s="9"/>
      <c r="C969" s="9" t="s">
        <v>79</v>
      </c>
      <c r="D969" s="9" t="s">
        <v>179</v>
      </c>
      <c r="E969" s="9" t="str">
        <f>IFERROR(VLOOKUP($D969,FIYAT!$B:$O,2,FALSE()),"")</f>
        <v>Держатель плавкой вставки RT36-00-160, габарит 00, 160А</v>
      </c>
      <c r="F969" s="9">
        <f>IFERROR(VLOOKUP($D969,FIYAT!$B:$O,5,FALSE()),"")</f>
        <v>2038</v>
      </c>
      <c r="G969" s="9">
        <f>IFERROR(VLOOKUP($D969,FIYAT!$B:$O,8,FALSE()),"")</f>
        <v>1222.8</v>
      </c>
      <c r="H969" s="9">
        <f t="shared" si="118"/>
        <v>4891.2</v>
      </c>
      <c r="I969" s="6">
        <v>4</v>
      </c>
      <c r="J969" s="9" t="str">
        <f>IFERROR(VLOOKUP($D969,FIYAT!$B:$O,9,FALSE()),"")</f>
        <v>Шт.</v>
      </c>
      <c r="K969" s="9" t="str">
        <f>IFERROR(VLOOKUP($D969,FIYAT!$B:$O,4,FALSE()),"")</f>
        <v>CHINT</v>
      </c>
      <c r="L969" s="9">
        <f t="shared" si="119"/>
        <v>4891.2</v>
      </c>
      <c r="M969" s="9"/>
      <c r="N969" s="9"/>
      <c r="O969" s="9"/>
      <c r="P969" s="9" t="str">
        <f>IF($H969="","FIYAT_YOK",IFERROR(VLOOKUP($D969,FIYAT!$B:$P,15,FALSE()),""))</f>
        <v>MUADIL</v>
      </c>
      <c r="Q969" s="9" t="s">
        <v>181</v>
      </c>
      <c r="R969" s="9" t="s">
        <v>171</v>
      </c>
      <c r="S969" s="9" t="s">
        <v>637</v>
      </c>
      <c r="T969" s="9" t="s">
        <v>77</v>
      </c>
      <c r="U969" s="9">
        <f>IFERROR(VLOOKUP($T969,KURALLAR!$A$32:$B$63,2,FALSE()),0)*IF(ISNUMBER($I969),$I969,0)</f>
        <v>20</v>
      </c>
    </row>
    <row r="970" spans="1:21" x14ac:dyDescent="0.25">
      <c r="A970" s="5">
        <v>969</v>
      </c>
      <c r="B970" s="5"/>
      <c r="C970" s="5" t="s">
        <v>79</v>
      </c>
      <c r="D970" s="5" t="s">
        <v>182</v>
      </c>
      <c r="E970" s="5" t="str">
        <f>IFERROR(VLOOKUP($D970,FIYAT!$B:$O,2,FALSE()),"")</f>
        <v>Плавкая вставка предохранителя RT36-00-160, габарит 00, 63А</v>
      </c>
      <c r="F970" s="5">
        <f>IFERROR(VLOOKUP($D970,FIYAT!$B:$O,5,FALSE()),"")</f>
        <v>1525</v>
      </c>
      <c r="G970" s="5">
        <f>IFERROR(VLOOKUP($D970,FIYAT!$B:$O,8,FALSE()),"")</f>
        <v>915</v>
      </c>
      <c r="H970" s="5">
        <f t="shared" si="118"/>
        <v>3660</v>
      </c>
      <c r="I970" s="6">
        <v>4</v>
      </c>
      <c r="J970" s="5" t="str">
        <f>IFERROR(VLOOKUP($D970,FIYAT!$B:$O,9,FALSE()),"")</f>
        <v>Шт.</v>
      </c>
      <c r="K970" s="5" t="str">
        <f>IFERROR(VLOOKUP($D970,FIYAT!$B:$O,4,FALSE()),"")</f>
        <v>CHINT</v>
      </c>
      <c r="L970" s="5">
        <f t="shared" si="119"/>
        <v>3660</v>
      </c>
      <c r="M970" s="5"/>
      <c r="N970" s="5"/>
      <c r="O970" s="5"/>
      <c r="P970" s="5" t="str">
        <f>IF($H970="","FIYAT_YOK",IFERROR(VLOOKUP($D970,FIYAT!$B:$P,15,FALSE()),""))</f>
        <v>MUADIL</v>
      </c>
      <c r="Q970" s="5" t="s">
        <v>185</v>
      </c>
      <c r="R970" s="5" t="s">
        <v>184</v>
      </c>
      <c r="S970" s="5" t="s">
        <v>637</v>
      </c>
      <c r="T970" s="5" t="s">
        <v>79</v>
      </c>
      <c r="U970" s="5">
        <f>IFERROR(VLOOKUP($T970,KURALLAR!$A$32:$B$63,2,FALSE()),0)*IF(ISNUMBER($I970),$I970,0)</f>
        <v>12</v>
      </c>
    </row>
    <row r="971" spans="1:21" x14ac:dyDescent="0.25">
      <c r="A971" s="9">
        <v>970</v>
      </c>
      <c r="B971" s="9"/>
      <c r="C971" s="9" t="s">
        <v>75</v>
      </c>
      <c r="D971" s="9" t="s">
        <v>186</v>
      </c>
      <c r="E971" s="9" t="str">
        <f>IFERROR(VLOOKUP($D971,FIYAT!$B:$O,2,FALSE()),"")</f>
        <v>Ограничитель имп. перенапр. NU6-IIG 4Р In=25kA Uc=440B Im=65kA (R)</v>
      </c>
      <c r="F971" s="9">
        <f>IFERROR(VLOOKUP($D971,FIYAT!$B:$O,5,FALSE()),"")</f>
        <v>33208</v>
      </c>
      <c r="G971" s="9">
        <f>IFERROR(VLOOKUP($D971,FIYAT!$B:$O,8,FALSE()),"")</f>
        <v>19924.8</v>
      </c>
      <c r="H971" s="9">
        <f t="shared" si="118"/>
        <v>19924.8</v>
      </c>
      <c r="I971" s="6">
        <v>1</v>
      </c>
      <c r="J971" s="9" t="str">
        <f>IFERROR(VLOOKUP($D971,FIYAT!$B:$O,9,FALSE()),"")</f>
        <v>Шт.</v>
      </c>
      <c r="K971" s="9" t="str">
        <f>IFERROR(VLOOKUP($D971,FIYAT!$B:$O,4,FALSE()),"")</f>
        <v>CHINT</v>
      </c>
      <c r="L971" s="9">
        <f t="shared" si="119"/>
        <v>19924.8</v>
      </c>
      <c r="M971" s="9"/>
      <c r="N971" s="9"/>
      <c r="O971" s="9"/>
      <c r="P971" s="9" t="str">
        <f>IF($H971="","FIYAT_YOK",IFERROR(VLOOKUP($D971,FIYAT!$B:$P,15,FALSE()),""))</f>
        <v>MUADIL_ONAY</v>
      </c>
      <c r="Q971" s="9" t="s">
        <v>188</v>
      </c>
      <c r="R971" s="9" t="s">
        <v>184</v>
      </c>
      <c r="S971" s="9" t="s">
        <v>637</v>
      </c>
      <c r="T971" s="9" t="s">
        <v>75</v>
      </c>
      <c r="U971" s="9">
        <f>IFERROR(VLOOKUP($T971,KURALLAR!$A$32:$B$63,2,FALSE()),0)*IF(ISNUMBER($I971),$I971,0)</f>
        <v>10</v>
      </c>
    </row>
    <row r="972" spans="1:21" x14ac:dyDescent="0.25">
      <c r="A972" s="5">
        <v>971</v>
      </c>
      <c r="B972" s="5"/>
      <c r="C972" s="5" t="s">
        <v>192</v>
      </c>
      <c r="D972" s="5" t="s">
        <v>321</v>
      </c>
      <c r="E972" s="5" t="str">
        <f>IFERROR(VLOOKUP($D972,FIYAT!$B:$O,2,FALSE()),"")</f>
        <v>Авт. выкл. NXB-63 1P 25A 6кА х-ка C (R)</v>
      </c>
      <c r="F972" s="5">
        <f>IFERROR(VLOOKUP($D972,FIYAT!$B:$O,5,FALSE()),"")</f>
        <v>1330</v>
      </c>
      <c r="G972" s="5">
        <f>IFERROR(VLOOKUP($D972,FIYAT!$B:$O,8,FALSE()),"")</f>
        <v>798</v>
      </c>
      <c r="H972" s="5">
        <f t="shared" si="118"/>
        <v>798</v>
      </c>
      <c r="I972" s="6">
        <v>1</v>
      </c>
      <c r="J972" s="5" t="str">
        <f>IFERROR(VLOOKUP($D972,FIYAT!$B:$O,9,FALSE()),"")</f>
        <v>Шт.</v>
      </c>
      <c r="K972" s="5" t="str">
        <f>IFERROR(VLOOKUP($D972,FIYAT!$B:$O,4,FALSE()),"")</f>
        <v>CHINT</v>
      </c>
      <c r="L972" s="5">
        <f t="shared" si="119"/>
        <v>798</v>
      </c>
      <c r="M972" s="5"/>
      <c r="N972" s="5"/>
      <c r="O972" s="5"/>
      <c r="P972" s="5" t="str">
        <f>IF($H972="","FIYAT_YOK",IFERROR(VLOOKUP($D972,FIYAT!$B:$P,15,FALSE()),""))</f>
        <v>OK</v>
      </c>
      <c r="Q972" s="5" t="s">
        <v>323</v>
      </c>
      <c r="R972" s="5" t="s">
        <v>171</v>
      </c>
      <c r="S972" s="5" t="s">
        <v>637</v>
      </c>
      <c r="T972" s="5" t="s">
        <v>47</v>
      </c>
      <c r="U972" s="5">
        <f>IFERROR(VLOOKUP($T972,KURALLAR!$A$32:$B$63,2,FALSE()),0)*IF(ISNUMBER($I972),$I972,0)</f>
        <v>3</v>
      </c>
    </row>
    <row r="973" spans="1:21" x14ac:dyDescent="0.25">
      <c r="A973" s="9">
        <v>972</v>
      </c>
      <c r="B973" s="9"/>
      <c r="C973" s="9" t="s">
        <v>176</v>
      </c>
      <c r="D973" s="9" t="s">
        <v>324</v>
      </c>
      <c r="E973" s="9" t="str">
        <f>IFERROR(VLOOKUP($D973,FIYAT!$B:$O,2,FALSE()),"")</f>
        <v>УЗО NL1-63 6kA 2P 25A 30mA тип AC (R)</v>
      </c>
      <c r="F973" s="9">
        <f>IFERROR(VLOOKUP($D973,FIYAT!$B:$O,5,FALSE()),"")</f>
        <v>10809</v>
      </c>
      <c r="G973" s="9">
        <f>IFERROR(VLOOKUP($D973,FIYAT!$B:$O,8,FALSE()),"")</f>
        <v>6485.4</v>
      </c>
      <c r="H973" s="9">
        <f t="shared" si="118"/>
        <v>6485.4</v>
      </c>
      <c r="I973" s="6">
        <v>1</v>
      </c>
      <c r="J973" s="9" t="str">
        <f>IFERROR(VLOOKUP($D973,FIYAT!$B:$O,9,FALSE()),"")</f>
        <v>Шт.</v>
      </c>
      <c r="K973" s="9" t="str">
        <f>IFERROR(VLOOKUP($D973,FIYAT!$B:$O,4,FALSE()),"")</f>
        <v>CHINT</v>
      </c>
      <c r="L973" s="9">
        <f t="shared" si="119"/>
        <v>6485.4</v>
      </c>
      <c r="M973" s="9"/>
      <c r="N973" s="9"/>
      <c r="O973" s="9"/>
      <c r="P973" s="9" t="str">
        <f>IF($H973="","FIYAT_YOK",IFERROR(VLOOKUP($D973,FIYAT!$B:$P,15,FALSE()),""))</f>
        <v>OK</v>
      </c>
      <c r="Q973" s="9" t="s">
        <v>326</v>
      </c>
      <c r="R973" s="9" t="s">
        <v>171</v>
      </c>
      <c r="S973" s="9" t="s">
        <v>637</v>
      </c>
      <c r="T973" s="9" t="s">
        <v>55</v>
      </c>
      <c r="U973" s="9">
        <f>IFERROR(VLOOKUP($T973,KURALLAR!$A$32:$B$63,2,FALSE()),0)*IF(ISNUMBER($I973),$I973,0)</f>
        <v>6</v>
      </c>
    </row>
    <row r="974" spans="1:21" x14ac:dyDescent="0.25">
      <c r="A974" s="5">
        <v>973</v>
      </c>
      <c r="B974" s="5"/>
      <c r="C974" s="5" t="s">
        <v>192</v>
      </c>
      <c r="D974" s="5" t="s">
        <v>194</v>
      </c>
      <c r="E974" s="5" t="str">
        <f>IFERROR(VLOOKUP($D974,FIYAT!$B:$O,2,FALSE()),"")</f>
        <v>Авт. выкл. NXB-63 1P 16A 6кА х-ка C (R)</v>
      </c>
      <c r="F974" s="5">
        <f>IFERROR(VLOOKUP($D974,FIYAT!$B:$O,5,FALSE()),"")</f>
        <v>1389</v>
      </c>
      <c r="G974" s="5">
        <f>IFERROR(VLOOKUP($D974,FIYAT!$B:$O,8,FALSE()),"")</f>
        <v>833.4</v>
      </c>
      <c r="H974" s="5">
        <f t="shared" si="118"/>
        <v>6667.2</v>
      </c>
      <c r="I974" s="6">
        <v>8</v>
      </c>
      <c r="J974" s="5" t="str">
        <f>IFERROR(VLOOKUP($D974,FIYAT!$B:$O,9,FALSE()),"")</f>
        <v>Шт.</v>
      </c>
      <c r="K974" s="5" t="str">
        <f>IFERROR(VLOOKUP($D974,FIYAT!$B:$O,4,FALSE()),"")</f>
        <v>CHINT</v>
      </c>
      <c r="L974" s="5">
        <f t="shared" si="119"/>
        <v>6667.2</v>
      </c>
      <c r="M974" s="5"/>
      <c r="N974" s="5"/>
      <c r="O974" s="5"/>
      <c r="P974" s="5" t="str">
        <f>IF($H974="","FIYAT_YOK",IFERROR(VLOOKUP($D974,FIYAT!$B:$P,15,FALSE()),""))</f>
        <v>OK</v>
      </c>
      <c r="Q974" s="5" t="s">
        <v>196</v>
      </c>
      <c r="R974" s="5" t="s">
        <v>171</v>
      </c>
      <c r="S974" s="5" t="s">
        <v>637</v>
      </c>
      <c r="T974" s="5" t="s">
        <v>47</v>
      </c>
      <c r="U974" s="5">
        <f>IFERROR(VLOOKUP($T974,KURALLAR!$A$32:$B$63,2,FALSE()),0)*IF(ISNUMBER($I974),$I974,0)</f>
        <v>24</v>
      </c>
    </row>
    <row r="975" spans="1:21" x14ac:dyDescent="0.25">
      <c r="A975" s="9">
        <v>974</v>
      </c>
      <c r="B975" s="9"/>
      <c r="C975" s="9" t="s">
        <v>176</v>
      </c>
      <c r="D975" s="9" t="s">
        <v>200</v>
      </c>
      <c r="E975" s="9" t="str">
        <f>IFERROR(VLOOKUP($D975,FIYAT!$B:$O,2,FALSE()),"")</f>
        <v>УЗО NL1-63 6kA 2P 16A 30mA тип AC (R)</v>
      </c>
      <c r="F975" s="9">
        <f>IFERROR(VLOOKUP($D975,FIYAT!$B:$O,5,FALSE()),"")</f>
        <v>10809</v>
      </c>
      <c r="G975" s="9">
        <f>IFERROR(VLOOKUP($D975,FIYAT!$B:$O,8,FALSE()),"")</f>
        <v>6485.4</v>
      </c>
      <c r="H975" s="9">
        <f t="shared" si="118"/>
        <v>6485.4</v>
      </c>
      <c r="I975" s="6">
        <v>1</v>
      </c>
      <c r="J975" s="9" t="str">
        <f>IFERROR(VLOOKUP($D975,FIYAT!$B:$O,9,FALSE()),"")</f>
        <v>Шт.</v>
      </c>
      <c r="K975" s="9" t="str">
        <f>IFERROR(VLOOKUP($D975,FIYAT!$B:$O,4,FALSE()),"")</f>
        <v>CHINT</v>
      </c>
      <c r="L975" s="9">
        <f t="shared" si="119"/>
        <v>6485.4</v>
      </c>
      <c r="M975" s="9"/>
      <c r="N975" s="9"/>
      <c r="O975" s="9"/>
      <c r="P975" s="9" t="str">
        <f>IF($H975="","FIYAT_YOK",IFERROR(VLOOKUP($D975,FIYAT!$B:$P,15,FALSE()),""))</f>
        <v>OK</v>
      </c>
      <c r="Q975" s="9" t="s">
        <v>202</v>
      </c>
      <c r="R975" s="9" t="s">
        <v>171</v>
      </c>
      <c r="S975" s="9" t="s">
        <v>637</v>
      </c>
      <c r="T975" s="9" t="s">
        <v>55</v>
      </c>
      <c r="U975" s="9">
        <f>IFERROR(VLOOKUP($T975,KURALLAR!$A$32:$B$63,2,FALSE()),0)*IF(ISNUMBER($I975),$I975,0)</f>
        <v>6</v>
      </c>
    </row>
    <row r="976" spans="1:21" x14ac:dyDescent="0.25">
      <c r="A976" s="5">
        <v>975</v>
      </c>
      <c r="B976" s="5"/>
      <c r="C976" s="5" t="s">
        <v>192</v>
      </c>
      <c r="D976" s="5" t="s">
        <v>206</v>
      </c>
      <c r="E976" s="5" t="str">
        <f>IFERROR(VLOOKUP($D976,FIYAT!$B:$O,2,FALSE()),"")</f>
        <v>Авт. выкл. NXB-63 1P 10A 6кА х-ка C (R)</v>
      </c>
      <c r="F976" s="5">
        <f>IFERROR(VLOOKUP($D976,FIYAT!$B:$O,5,FALSE()),"")</f>
        <v>1362</v>
      </c>
      <c r="G976" s="5">
        <f>IFERROR(VLOOKUP($D976,FIYAT!$B:$O,8,FALSE()),"")</f>
        <v>817.19999999999993</v>
      </c>
      <c r="H976" s="5">
        <f t="shared" si="118"/>
        <v>6537.5999999999995</v>
      </c>
      <c r="I976" s="6">
        <v>8</v>
      </c>
      <c r="J976" s="5" t="str">
        <f>IFERROR(VLOOKUP($D976,FIYAT!$B:$O,9,FALSE()),"")</f>
        <v>Шт.</v>
      </c>
      <c r="K976" s="5" t="str">
        <f>IFERROR(VLOOKUP($D976,FIYAT!$B:$O,4,FALSE()),"")</f>
        <v>CHINT</v>
      </c>
      <c r="L976" s="5">
        <f t="shared" si="119"/>
        <v>6537.5999999999995</v>
      </c>
      <c r="M976" s="5"/>
      <c r="N976" s="5"/>
      <c r="O976" s="5"/>
      <c r="P976" s="5" t="str">
        <f>IF($H976="","FIYAT_YOK",IFERROR(VLOOKUP($D976,FIYAT!$B:$P,15,FALSE()),""))</f>
        <v>OK</v>
      </c>
      <c r="Q976" s="5" t="s">
        <v>208</v>
      </c>
      <c r="R976" s="5" t="s">
        <v>184</v>
      </c>
      <c r="S976" s="5" t="s">
        <v>637</v>
      </c>
      <c r="T976" s="5" t="s">
        <v>47</v>
      </c>
      <c r="U976" s="5">
        <f>IFERROR(VLOOKUP($T976,KURALLAR!$A$32:$B$63,2,FALSE()),0)*IF(ISNUMBER($I976),$I976,0)</f>
        <v>24</v>
      </c>
    </row>
    <row r="977" spans="1:21" x14ac:dyDescent="0.25">
      <c r="A977" s="9">
        <v>976</v>
      </c>
      <c r="B977" s="9"/>
      <c r="C977" s="9" t="s">
        <v>93</v>
      </c>
      <c r="D977" s="9" t="s">
        <v>209</v>
      </c>
      <c r="E977" s="9" t="str">
        <f>IFERROR(VLOOKUP($D977,FIYAT!$B:$O,2,FALSE()),"")</f>
        <v>Шина "N" нулевая 6х9мм на DIN-рейку в корпусном изоляторе ШНИ 12К IEK (10)</v>
      </c>
      <c r="F977" s="9">
        <f>IFERROR(VLOOKUP($D977,FIYAT!$B:$O,5,FALSE()),"")</f>
        <v>755</v>
      </c>
      <c r="G977" s="9">
        <f>IFERROR(VLOOKUP($D977,FIYAT!$B:$O,8,FALSE()),"")</f>
        <v>453</v>
      </c>
      <c r="H977" s="9">
        <f t="shared" si="118"/>
        <v>1812</v>
      </c>
      <c r="I977" s="6">
        <v>4</v>
      </c>
      <c r="J977" s="9" t="str">
        <f>IFERROR(VLOOKUP($D977,FIYAT!$B:$O,9,FALSE()),"")</f>
        <v>Шт.</v>
      </c>
      <c r="K977" s="9" t="str">
        <f>IFERROR(VLOOKUP($D977,FIYAT!$B:$O,4,FALSE()),"")</f>
        <v>KAZTEK</v>
      </c>
      <c r="L977" s="9">
        <f t="shared" si="119"/>
        <v>1812</v>
      </c>
      <c r="M977" s="9"/>
      <c r="N977" s="9"/>
      <c r="O977" s="9"/>
      <c r="P977" s="9" t="str">
        <f>IF($H977="","FIYAT_YOK",IFERROR(VLOOKUP($D977,FIYAT!$B:$P,15,FALSE()),""))</f>
        <v>MUADIL</v>
      </c>
      <c r="Q977" s="9" t="s">
        <v>212</v>
      </c>
      <c r="R977" s="9" t="s">
        <v>211</v>
      </c>
      <c r="S977" s="9" t="s">
        <v>637</v>
      </c>
      <c r="T977" s="9" t="s">
        <v>93</v>
      </c>
      <c r="U977" s="9">
        <f>IFERROR(VLOOKUP($T977,KURALLAR!$A$32:$B$63,2,FALSE()),0)*IF(ISNUMBER($I977),$I977,0)</f>
        <v>32</v>
      </c>
    </row>
    <row r="978" spans="1:21" x14ac:dyDescent="0.25">
      <c r="A978" s="5">
        <v>977</v>
      </c>
      <c r="B978" s="5"/>
      <c r="C978" s="5" t="s">
        <v>222</v>
      </c>
      <c r="D978" s="5" t="s">
        <v>310</v>
      </c>
      <c r="E978" s="5" t="str">
        <f>IFERROR(VLOOKUP($D978,FIYAT!$B:$O,2,FALSE()),"")</f>
        <v>Мет.Корпус ЩМП-4 (800x650x250) IP54</v>
      </c>
      <c r="F978" s="5">
        <f>IFERROR(VLOOKUP($D978,FIYAT!$B:$O,5,FALSE()),"")</f>
        <v>30540</v>
      </c>
      <c r="G978" s="5">
        <f>IFERROR(VLOOKUP($D978,FIYAT!$B:$O,8,FALSE()),"")</f>
        <v>18324</v>
      </c>
      <c r="H978" s="5">
        <f t="shared" si="118"/>
        <v>18324</v>
      </c>
      <c r="I978" s="6">
        <v>1</v>
      </c>
      <c r="J978" s="5" t="str">
        <f>IFERROR(VLOOKUP($D978,FIYAT!$B:$O,9,FALSE()),"")</f>
        <v>Шт.</v>
      </c>
      <c r="K978" s="5" t="str">
        <f>IFERROR(VLOOKUP($D978,FIYAT!$B:$O,4,FALSE()),"")</f>
        <v>KAZTEK</v>
      </c>
      <c r="L978" s="5">
        <f t="shared" si="119"/>
        <v>18324</v>
      </c>
      <c r="M978" s="5"/>
      <c r="N978" s="5"/>
      <c r="O978" s="5"/>
      <c r="P978" s="5" t="str">
        <f>IF($H978="","FIYAT_YOK",IFERROR(VLOOKUP($D978,FIYAT!$B:$P,15,FALSE()),""))</f>
        <v>VARSAYIM</v>
      </c>
      <c r="Q978" s="5" t="s">
        <v>312</v>
      </c>
      <c r="R978" s="5" t="s">
        <v>211</v>
      </c>
      <c r="S978" s="5" t="s">
        <v>637</v>
      </c>
      <c r="T978" s="5" t="s">
        <v>105</v>
      </c>
      <c r="U978" s="5">
        <f>IFERROR(VLOOKUP($T978,KURALLAR!$A$32:$B$63,2,FALSE()),0)*IF(ISNUMBER($I978),$I978,0)</f>
        <v>30</v>
      </c>
    </row>
    <row r="979" spans="1:21" x14ac:dyDescent="0.25">
      <c r="A979" s="9">
        <v>978</v>
      </c>
      <c r="B979" s="9"/>
      <c r="C979" s="9" t="s">
        <v>215</v>
      </c>
      <c r="D979" s="9" t="s">
        <v>213</v>
      </c>
      <c r="E979" s="9" t="str">
        <f>IFERROR(VLOOKUP($D979,FIYAT!$B:$O,2,FALSE()),"")</f>
        <v>Монтажный расходный материал (кабель, DIN-рейка, кабель-канал, клеммы, маркировка, крепёж)</v>
      </c>
      <c r="F979" s="9">
        <f>IFERROR(VLOOKUP($D979,FIYAT!$B:$O,5,FALSE()),"")</f>
        <v>0</v>
      </c>
      <c r="G979" s="9" t="str">
        <f>IFERROR(VLOOKUP($D979,FIYAT!$B:$O,8,FALSE()),"")</f>
        <v/>
      </c>
      <c r="H979" s="9">
        <f>ROUND(SUM($H$967:$H$978)*KURALLAR!$B$28,0)</f>
        <v>8767</v>
      </c>
      <c r="I979" s="6">
        <v>1</v>
      </c>
      <c r="J979" s="9" t="str">
        <f>IFERROR(VLOOKUP($D979,FIYAT!$B:$O,9,FALSE()),"")</f>
        <v>компл.</v>
      </c>
      <c r="K979" s="9" t="str">
        <f>IFERROR(VLOOKUP($D979,FIYAT!$B:$O,4,FALSE()),"")</f>
        <v>MUADIL-NET</v>
      </c>
      <c r="L979" s="9">
        <f t="shared" si="119"/>
        <v>8767</v>
      </c>
      <c r="M979" s="9"/>
      <c r="N979" s="9"/>
      <c r="O979" s="9"/>
      <c r="P979" s="9" t="str">
        <f>IF($H979="","FIYAT_YOK",IFERROR(VLOOKUP($D979,FIYAT!$B:$P,15,FALSE()),""))</f>
        <v>ORAN</v>
      </c>
      <c r="Q979" s="9" t="s">
        <v>218</v>
      </c>
      <c r="R979" s="9" t="s">
        <v>217</v>
      </c>
      <c r="S979" s="9" t="s">
        <v>637</v>
      </c>
      <c r="T979" s="9"/>
      <c r="U979" s="9">
        <v>0</v>
      </c>
    </row>
    <row r="980" spans="1:21" x14ac:dyDescent="0.25">
      <c r="A980" s="5">
        <v>979</v>
      </c>
      <c r="B980" s="5"/>
      <c r="C980" s="5" t="s">
        <v>227</v>
      </c>
      <c r="D980" s="5" t="s">
        <v>225</v>
      </c>
      <c r="E980" s="5" t="str">
        <f>IFERROR(VLOOKUP($D980,FIYAT!$B:$O,2,FALSE()),"")</f>
        <v>Сборка, кабелирование, маркировка, момент затяжки, испытания</v>
      </c>
      <c r="F980" s="5">
        <f>IFERROR(VLOOKUP($D980,FIYAT!$B:$O,5,FALSE()),"")</f>
        <v>100</v>
      </c>
      <c r="G980" s="5">
        <f>IFERROR(VLOOKUP($D980,FIYAT!$B:$O,8,FALSE()),"")</f>
        <v>100</v>
      </c>
      <c r="H980" s="5">
        <f>IF(OR($G980="",$I980=""),"",$G980*$I980)</f>
        <v>22100</v>
      </c>
      <c r="I980" s="6">
        <f>ROUND(SUM($U$967:$U$979)*KURALLAR!$B$27,0)</f>
        <v>221</v>
      </c>
      <c r="J980" s="5" t="str">
        <f>IFERROR(VLOOKUP($D980,FIYAT!$B:$O,9,FALSE()),"")</f>
        <v>мин</v>
      </c>
      <c r="K980" s="5" t="str">
        <f>IFERROR(VLOOKUP($D980,FIYAT!$B:$O,4,FALSE()),"")</f>
        <v>ISCILIK</v>
      </c>
      <c r="L980" s="5">
        <f t="shared" si="119"/>
        <v>22100</v>
      </c>
      <c r="M980" s="5"/>
      <c r="N980" s="5"/>
      <c r="O980" s="5"/>
      <c r="P980" s="5" t="str">
        <f>IF($H980="","FIYAT_YOK",IFERROR(VLOOKUP($D980,FIYAT!$B:$P,15,FALSE()),""))</f>
        <v>OK</v>
      </c>
      <c r="Q980" s="5" t="str">
        <f>CONCATENATE("montaj+test iscilik: ",TEXT($I980,"# ##0")," dk = ",TEXT($I980/60,"0,00")," saat (norm x test/etiket carpani)")</f>
        <v>montaj+test iscilik:  221 dk = 3,68 saat (norm x test/etiket carpani)</v>
      </c>
      <c r="R980" s="5" t="s">
        <v>229</v>
      </c>
      <c r="S980" s="5" t="s">
        <v>637</v>
      </c>
      <c r="T980" s="5"/>
      <c r="U980" s="5">
        <v>0</v>
      </c>
    </row>
    <row r="981" spans="1:21" x14ac:dyDescent="0.25">
      <c r="A981" s="10">
        <v>980</v>
      </c>
      <c r="B981" s="10" t="s">
        <v>670</v>
      </c>
      <c r="C981" s="10"/>
      <c r="D981" s="10"/>
      <c r="E981" s="10"/>
      <c r="F981" s="10"/>
      <c r="G981" s="10"/>
      <c r="H981" s="10">
        <f>SUBTOTAL(9,H967:H980)</f>
        <v>156116.39999999997</v>
      </c>
      <c r="I981" s="10"/>
      <c r="J981" s="10"/>
      <c r="K981" s="10"/>
      <c r="L981" s="10">
        <f>SUBTOTAL(9,L967:L980)</f>
        <v>156116.39999999997</v>
      </c>
      <c r="M981" s="10"/>
      <c r="N981" s="10"/>
      <c r="O981" s="10"/>
      <c r="P981" s="10"/>
      <c r="Q981" s="10"/>
      <c r="R981" s="10"/>
      <c r="S981" s="10"/>
      <c r="T981" s="10"/>
      <c r="U981" s="10">
        <f>SUBTOTAL(9,U967:U980)</f>
        <v>192</v>
      </c>
    </row>
    <row r="982" spans="1:21" x14ac:dyDescent="0.25">
      <c r="A982" s="8">
        <v>981</v>
      </c>
      <c r="B982" s="8" t="str">
        <f>E982</f>
        <v>BLOK B / 6F-ЩС.2 — НКУ 380/220В 50Гц, FORM 2B, IP31/54</v>
      </c>
      <c r="C982" s="8" t="s">
        <v>545</v>
      </c>
      <c r="D982" s="8"/>
      <c r="E982" s="8" t="s">
        <v>671</v>
      </c>
      <c r="F982" s="8"/>
      <c r="G982" s="8"/>
      <c r="H982" s="8"/>
      <c r="I982" s="8">
        <v>1</v>
      </c>
      <c r="J982" s="8" t="s">
        <v>547</v>
      </c>
      <c r="K982" s="8"/>
      <c r="L982" s="8"/>
      <c r="M982" s="8"/>
      <c r="N982" s="8"/>
      <c r="O982" s="8"/>
      <c r="P982" s="8" t="s">
        <v>178</v>
      </c>
      <c r="Q982" s="8" t="s">
        <v>548</v>
      </c>
      <c r="R982" s="8" t="s">
        <v>549</v>
      </c>
      <c r="S982" s="8" t="s">
        <v>637</v>
      </c>
      <c r="T982" s="8"/>
      <c r="U982" s="8"/>
    </row>
    <row r="983" spans="1:21" x14ac:dyDescent="0.25">
      <c r="A983" s="9">
        <v>982</v>
      </c>
      <c r="B983" s="9"/>
      <c r="C983" s="9" t="s">
        <v>169</v>
      </c>
      <c r="D983" s="9" t="s">
        <v>167</v>
      </c>
      <c r="E983" s="9" t="str">
        <f>IFERROR(VLOOKUP($D983,FIYAT!$B:$O,2,FALSE()),"")</f>
        <v>Авт. выкл. NM8N-125C TM 3P 32А 36кА с рег. термомаг. расцепителем (R)</v>
      </c>
      <c r="F983" s="9">
        <f>IFERROR(VLOOKUP($D983,FIYAT!$B:$O,5,FALSE()),"")</f>
        <v>64667</v>
      </c>
      <c r="G983" s="9">
        <f>IFERROR(VLOOKUP($D983,FIYAT!$B:$O,8,FALSE()),"")</f>
        <v>38800.199999999997</v>
      </c>
      <c r="H983" s="9">
        <f t="shared" ref="H983:H994" si="120">IF(OR($G983="",$I983=""),"",$G983*$I983)</f>
        <v>38800.199999999997</v>
      </c>
      <c r="I983" s="6">
        <v>1</v>
      </c>
      <c r="J983" s="9" t="str">
        <f>IFERROR(VLOOKUP($D983,FIYAT!$B:$O,9,FALSE()),"")</f>
        <v>Шт.</v>
      </c>
      <c r="K983" s="9" t="str">
        <f>IFERROR(VLOOKUP($D983,FIYAT!$B:$O,4,FALSE()),"")</f>
        <v>CHINT</v>
      </c>
      <c r="L983" s="9">
        <f t="shared" ref="L983:L996" si="121">IF($H983="","",$H983)</f>
        <v>38800.199999999997</v>
      </c>
      <c r="M983" s="9"/>
      <c r="N983" s="9"/>
      <c r="O983" s="9"/>
      <c r="P983" s="9" t="str">
        <f>IF($H983="","FIYAT_YOK",IFERROR(VLOOKUP($D983,FIYAT!$B:$P,15,FALSE()),""))</f>
        <v>MUADIL</v>
      </c>
      <c r="Q983" s="9" t="s">
        <v>172</v>
      </c>
      <c r="R983" s="9" t="s">
        <v>171</v>
      </c>
      <c r="S983" s="9" t="s">
        <v>637</v>
      </c>
      <c r="T983" s="9" t="s">
        <v>61</v>
      </c>
      <c r="U983" s="9">
        <f>IFERROR(VLOOKUP($T983,KURALLAR!$A$32:$B$63,2,FALSE()),0)*IF(ISNUMBER($I983),$I983,0)</f>
        <v>15</v>
      </c>
    </row>
    <row r="984" spans="1:21" x14ac:dyDescent="0.25">
      <c r="A984" s="5">
        <v>983</v>
      </c>
      <c r="B984" s="5"/>
      <c r="C984" s="5" t="s">
        <v>176</v>
      </c>
      <c r="D984" s="5" t="s">
        <v>174</v>
      </c>
      <c r="E984" s="5" t="str">
        <f>IFERROR(VLOOKUP($D984,FIYAT!$B:$O,2,FALSE()),"")</f>
        <v>УЗО NL1-63 6kA 4P 63A 300mA тип AC (R)</v>
      </c>
      <c r="F984" s="5">
        <f>IFERROR(VLOOKUP($D984,FIYAT!$B:$O,5,FALSE()),"")</f>
        <v>18106</v>
      </c>
      <c r="G984" s="5">
        <f>IFERROR(VLOOKUP($D984,FIYAT!$B:$O,8,FALSE()),"")</f>
        <v>10863.6</v>
      </c>
      <c r="H984" s="5">
        <f t="shared" si="120"/>
        <v>10863.6</v>
      </c>
      <c r="I984" s="6">
        <v>1</v>
      </c>
      <c r="J984" s="5" t="str">
        <f>IFERROR(VLOOKUP($D984,FIYAT!$B:$O,9,FALSE()),"")</f>
        <v>Шт.</v>
      </c>
      <c r="K984" s="5" t="str">
        <f>IFERROR(VLOOKUP($D984,FIYAT!$B:$O,4,FALSE()),"")</f>
        <v>CHINT</v>
      </c>
      <c r="L984" s="5">
        <f t="shared" si="121"/>
        <v>10863.6</v>
      </c>
      <c r="M984" s="5"/>
      <c r="N984" s="5"/>
      <c r="O984" s="5"/>
      <c r="P984" s="5" t="str">
        <f>IF($H984="","FIYAT_YOK",IFERROR(VLOOKUP($D984,FIYAT!$B:$P,15,FALSE()),""))</f>
        <v>OK</v>
      </c>
      <c r="Q984" s="5" t="s">
        <v>177</v>
      </c>
      <c r="R984" s="5" t="s">
        <v>171</v>
      </c>
      <c r="S984" s="5" t="s">
        <v>637</v>
      </c>
      <c r="T984" s="5" t="s">
        <v>57</v>
      </c>
      <c r="U984" s="5">
        <f>IFERROR(VLOOKUP($T984,KURALLAR!$A$32:$B$63,2,FALSE()),0)*IF(ISNUMBER($I984),$I984,0)</f>
        <v>10</v>
      </c>
    </row>
    <row r="985" spans="1:21" x14ac:dyDescent="0.25">
      <c r="A985" s="9">
        <v>984</v>
      </c>
      <c r="B985" s="9"/>
      <c r="C985" s="9" t="s">
        <v>79</v>
      </c>
      <c r="D985" s="9" t="s">
        <v>179</v>
      </c>
      <c r="E985" s="9" t="str">
        <f>IFERROR(VLOOKUP($D985,FIYAT!$B:$O,2,FALSE()),"")</f>
        <v>Держатель плавкой вставки RT36-00-160, габарит 00, 160А</v>
      </c>
      <c r="F985" s="9">
        <f>IFERROR(VLOOKUP($D985,FIYAT!$B:$O,5,FALSE()),"")</f>
        <v>2038</v>
      </c>
      <c r="G985" s="9">
        <f>IFERROR(VLOOKUP($D985,FIYAT!$B:$O,8,FALSE()),"")</f>
        <v>1222.8</v>
      </c>
      <c r="H985" s="9">
        <f t="shared" si="120"/>
        <v>4891.2</v>
      </c>
      <c r="I985" s="6">
        <v>4</v>
      </c>
      <c r="J985" s="9" t="str">
        <f>IFERROR(VLOOKUP($D985,FIYAT!$B:$O,9,FALSE()),"")</f>
        <v>Шт.</v>
      </c>
      <c r="K985" s="9" t="str">
        <f>IFERROR(VLOOKUP($D985,FIYAT!$B:$O,4,FALSE()),"")</f>
        <v>CHINT</v>
      </c>
      <c r="L985" s="9">
        <f t="shared" si="121"/>
        <v>4891.2</v>
      </c>
      <c r="M985" s="9"/>
      <c r="N985" s="9"/>
      <c r="O985" s="9"/>
      <c r="P985" s="9" t="str">
        <f>IF($H985="","FIYAT_YOK",IFERROR(VLOOKUP($D985,FIYAT!$B:$P,15,FALSE()),""))</f>
        <v>MUADIL</v>
      </c>
      <c r="Q985" s="9" t="s">
        <v>181</v>
      </c>
      <c r="R985" s="9" t="s">
        <v>171</v>
      </c>
      <c r="S985" s="9" t="s">
        <v>637</v>
      </c>
      <c r="T985" s="9" t="s">
        <v>77</v>
      </c>
      <c r="U985" s="9">
        <f>IFERROR(VLOOKUP($T985,KURALLAR!$A$32:$B$63,2,FALSE()),0)*IF(ISNUMBER($I985),$I985,0)</f>
        <v>20</v>
      </c>
    </row>
    <row r="986" spans="1:21" x14ac:dyDescent="0.25">
      <c r="A986" s="5">
        <v>985</v>
      </c>
      <c r="B986" s="5"/>
      <c r="C986" s="5" t="s">
        <v>79</v>
      </c>
      <c r="D986" s="5" t="s">
        <v>182</v>
      </c>
      <c r="E986" s="5" t="str">
        <f>IFERROR(VLOOKUP($D986,FIYAT!$B:$O,2,FALSE()),"")</f>
        <v>Плавкая вставка предохранителя RT36-00-160, габарит 00, 63А</v>
      </c>
      <c r="F986" s="5">
        <f>IFERROR(VLOOKUP($D986,FIYAT!$B:$O,5,FALSE()),"")</f>
        <v>1525</v>
      </c>
      <c r="G986" s="5">
        <f>IFERROR(VLOOKUP($D986,FIYAT!$B:$O,8,FALSE()),"")</f>
        <v>915</v>
      </c>
      <c r="H986" s="5">
        <f t="shared" si="120"/>
        <v>3660</v>
      </c>
      <c r="I986" s="6">
        <v>4</v>
      </c>
      <c r="J986" s="5" t="str">
        <f>IFERROR(VLOOKUP($D986,FIYAT!$B:$O,9,FALSE()),"")</f>
        <v>Шт.</v>
      </c>
      <c r="K986" s="5" t="str">
        <f>IFERROR(VLOOKUP($D986,FIYAT!$B:$O,4,FALSE()),"")</f>
        <v>CHINT</v>
      </c>
      <c r="L986" s="5">
        <f t="shared" si="121"/>
        <v>3660</v>
      </c>
      <c r="M986" s="5"/>
      <c r="N986" s="5"/>
      <c r="O986" s="5"/>
      <c r="P986" s="5" t="str">
        <f>IF($H986="","FIYAT_YOK",IFERROR(VLOOKUP($D986,FIYAT!$B:$P,15,FALSE()),""))</f>
        <v>MUADIL</v>
      </c>
      <c r="Q986" s="5" t="s">
        <v>185</v>
      </c>
      <c r="R986" s="5" t="s">
        <v>184</v>
      </c>
      <c r="S986" s="5" t="s">
        <v>637</v>
      </c>
      <c r="T986" s="5" t="s">
        <v>79</v>
      </c>
      <c r="U986" s="5">
        <f>IFERROR(VLOOKUP($T986,KURALLAR!$A$32:$B$63,2,FALSE()),0)*IF(ISNUMBER($I986),$I986,0)</f>
        <v>12</v>
      </c>
    </row>
    <row r="987" spans="1:21" x14ac:dyDescent="0.25">
      <c r="A987" s="9">
        <v>986</v>
      </c>
      <c r="B987" s="9"/>
      <c r="C987" s="9" t="s">
        <v>75</v>
      </c>
      <c r="D987" s="9" t="s">
        <v>186</v>
      </c>
      <c r="E987" s="9" t="str">
        <f>IFERROR(VLOOKUP($D987,FIYAT!$B:$O,2,FALSE()),"")</f>
        <v>Ограничитель имп. перенапр. NU6-IIG 4Р In=25kA Uc=440B Im=65kA (R)</v>
      </c>
      <c r="F987" s="9">
        <f>IFERROR(VLOOKUP($D987,FIYAT!$B:$O,5,FALSE()),"")</f>
        <v>33208</v>
      </c>
      <c r="G987" s="9">
        <f>IFERROR(VLOOKUP($D987,FIYAT!$B:$O,8,FALSE()),"")</f>
        <v>19924.8</v>
      </c>
      <c r="H987" s="9">
        <f t="shared" si="120"/>
        <v>19924.8</v>
      </c>
      <c r="I987" s="6">
        <v>1</v>
      </c>
      <c r="J987" s="9" t="str">
        <f>IFERROR(VLOOKUP($D987,FIYAT!$B:$O,9,FALSE()),"")</f>
        <v>Шт.</v>
      </c>
      <c r="K987" s="9" t="str">
        <f>IFERROR(VLOOKUP($D987,FIYAT!$B:$O,4,FALSE()),"")</f>
        <v>CHINT</v>
      </c>
      <c r="L987" s="9">
        <f t="shared" si="121"/>
        <v>19924.8</v>
      </c>
      <c r="M987" s="9"/>
      <c r="N987" s="9"/>
      <c r="O987" s="9"/>
      <c r="P987" s="9" t="str">
        <f>IF($H987="","FIYAT_YOK",IFERROR(VLOOKUP($D987,FIYAT!$B:$P,15,FALSE()),""))</f>
        <v>MUADIL_ONAY</v>
      </c>
      <c r="Q987" s="9" t="s">
        <v>188</v>
      </c>
      <c r="R987" s="9" t="s">
        <v>184</v>
      </c>
      <c r="S987" s="9" t="s">
        <v>637</v>
      </c>
      <c r="T987" s="9" t="s">
        <v>75</v>
      </c>
      <c r="U987" s="9">
        <f>IFERROR(VLOOKUP($T987,KURALLAR!$A$32:$B$63,2,FALSE()),0)*IF(ISNUMBER($I987),$I987,0)</f>
        <v>10</v>
      </c>
    </row>
    <row r="988" spans="1:21" x14ac:dyDescent="0.25">
      <c r="A988" s="5">
        <v>987</v>
      </c>
      <c r="B988" s="5"/>
      <c r="C988" s="5" t="s">
        <v>192</v>
      </c>
      <c r="D988" s="5" t="s">
        <v>321</v>
      </c>
      <c r="E988" s="5" t="str">
        <f>IFERROR(VLOOKUP($D988,FIYAT!$B:$O,2,FALSE()),"")</f>
        <v>Авт. выкл. NXB-63 1P 25A 6кА х-ка C (R)</v>
      </c>
      <c r="F988" s="5">
        <f>IFERROR(VLOOKUP($D988,FIYAT!$B:$O,5,FALSE()),"")</f>
        <v>1330</v>
      </c>
      <c r="G988" s="5">
        <f>IFERROR(VLOOKUP($D988,FIYAT!$B:$O,8,FALSE()),"")</f>
        <v>798</v>
      </c>
      <c r="H988" s="5">
        <f t="shared" si="120"/>
        <v>798</v>
      </c>
      <c r="I988" s="6">
        <v>1</v>
      </c>
      <c r="J988" s="5" t="str">
        <f>IFERROR(VLOOKUP($D988,FIYAT!$B:$O,9,FALSE()),"")</f>
        <v>Шт.</v>
      </c>
      <c r="K988" s="5" t="str">
        <f>IFERROR(VLOOKUP($D988,FIYAT!$B:$O,4,FALSE()),"")</f>
        <v>CHINT</v>
      </c>
      <c r="L988" s="5">
        <f t="shared" si="121"/>
        <v>798</v>
      </c>
      <c r="M988" s="5"/>
      <c r="N988" s="5"/>
      <c r="O988" s="5"/>
      <c r="P988" s="5" t="str">
        <f>IF($H988="","FIYAT_YOK",IFERROR(VLOOKUP($D988,FIYAT!$B:$P,15,FALSE()),""))</f>
        <v>OK</v>
      </c>
      <c r="Q988" s="5" t="s">
        <v>323</v>
      </c>
      <c r="R988" s="5" t="s">
        <v>171</v>
      </c>
      <c r="S988" s="5" t="s">
        <v>637</v>
      </c>
      <c r="T988" s="5" t="s">
        <v>47</v>
      </c>
      <c r="U988" s="5">
        <f>IFERROR(VLOOKUP($T988,KURALLAR!$A$32:$B$63,2,FALSE()),0)*IF(ISNUMBER($I988),$I988,0)</f>
        <v>3</v>
      </c>
    </row>
    <row r="989" spans="1:21" x14ac:dyDescent="0.25">
      <c r="A989" s="9">
        <v>988</v>
      </c>
      <c r="B989" s="9"/>
      <c r="C989" s="9" t="s">
        <v>176</v>
      </c>
      <c r="D989" s="9" t="s">
        <v>324</v>
      </c>
      <c r="E989" s="9" t="str">
        <f>IFERROR(VLOOKUP($D989,FIYAT!$B:$O,2,FALSE()),"")</f>
        <v>УЗО NL1-63 6kA 2P 25A 30mA тип AC (R)</v>
      </c>
      <c r="F989" s="9">
        <f>IFERROR(VLOOKUP($D989,FIYAT!$B:$O,5,FALSE()),"")</f>
        <v>10809</v>
      </c>
      <c r="G989" s="9">
        <f>IFERROR(VLOOKUP($D989,FIYAT!$B:$O,8,FALSE()),"")</f>
        <v>6485.4</v>
      </c>
      <c r="H989" s="9">
        <f t="shared" si="120"/>
        <v>6485.4</v>
      </c>
      <c r="I989" s="6">
        <v>1</v>
      </c>
      <c r="J989" s="9" t="str">
        <f>IFERROR(VLOOKUP($D989,FIYAT!$B:$O,9,FALSE()),"")</f>
        <v>Шт.</v>
      </c>
      <c r="K989" s="9" t="str">
        <f>IFERROR(VLOOKUP($D989,FIYAT!$B:$O,4,FALSE()),"")</f>
        <v>CHINT</v>
      </c>
      <c r="L989" s="9">
        <f t="shared" si="121"/>
        <v>6485.4</v>
      </c>
      <c r="M989" s="9"/>
      <c r="N989" s="9"/>
      <c r="O989" s="9"/>
      <c r="P989" s="9" t="str">
        <f>IF($H989="","FIYAT_YOK",IFERROR(VLOOKUP($D989,FIYAT!$B:$P,15,FALSE()),""))</f>
        <v>OK</v>
      </c>
      <c r="Q989" s="9" t="s">
        <v>326</v>
      </c>
      <c r="R989" s="9" t="s">
        <v>171</v>
      </c>
      <c r="S989" s="9" t="s">
        <v>637</v>
      </c>
      <c r="T989" s="9" t="s">
        <v>55</v>
      </c>
      <c r="U989" s="9">
        <f>IFERROR(VLOOKUP($T989,KURALLAR!$A$32:$B$63,2,FALSE()),0)*IF(ISNUMBER($I989),$I989,0)</f>
        <v>6</v>
      </c>
    </row>
    <row r="990" spans="1:21" x14ac:dyDescent="0.25">
      <c r="A990" s="5">
        <v>989</v>
      </c>
      <c r="B990" s="5"/>
      <c r="C990" s="5" t="s">
        <v>192</v>
      </c>
      <c r="D990" s="5" t="s">
        <v>194</v>
      </c>
      <c r="E990" s="5" t="str">
        <f>IFERROR(VLOOKUP($D990,FIYAT!$B:$O,2,FALSE()),"")</f>
        <v>Авт. выкл. NXB-63 1P 16A 6кА х-ка C (R)</v>
      </c>
      <c r="F990" s="5">
        <f>IFERROR(VLOOKUP($D990,FIYAT!$B:$O,5,FALSE()),"")</f>
        <v>1389</v>
      </c>
      <c r="G990" s="5">
        <f>IFERROR(VLOOKUP($D990,FIYAT!$B:$O,8,FALSE()),"")</f>
        <v>833.4</v>
      </c>
      <c r="H990" s="5">
        <f t="shared" si="120"/>
        <v>7500.5999999999995</v>
      </c>
      <c r="I990" s="6">
        <v>9</v>
      </c>
      <c r="J990" s="5" t="str">
        <f>IFERROR(VLOOKUP($D990,FIYAT!$B:$O,9,FALSE()),"")</f>
        <v>Шт.</v>
      </c>
      <c r="K990" s="5" t="str">
        <f>IFERROR(VLOOKUP($D990,FIYAT!$B:$O,4,FALSE()),"")</f>
        <v>CHINT</v>
      </c>
      <c r="L990" s="5">
        <f t="shared" si="121"/>
        <v>7500.5999999999995</v>
      </c>
      <c r="M990" s="5"/>
      <c r="N990" s="5"/>
      <c r="O990" s="5"/>
      <c r="P990" s="5" t="str">
        <f>IF($H990="","FIYAT_YOK",IFERROR(VLOOKUP($D990,FIYAT!$B:$P,15,FALSE()),""))</f>
        <v>OK</v>
      </c>
      <c r="Q990" s="5" t="s">
        <v>196</v>
      </c>
      <c r="R990" s="5" t="s">
        <v>171</v>
      </c>
      <c r="S990" s="5" t="s">
        <v>637</v>
      </c>
      <c r="T990" s="5" t="s">
        <v>47</v>
      </c>
      <c r="U990" s="5">
        <f>IFERROR(VLOOKUP($T990,KURALLAR!$A$32:$B$63,2,FALSE()),0)*IF(ISNUMBER($I990),$I990,0)</f>
        <v>27</v>
      </c>
    </row>
    <row r="991" spans="1:21" x14ac:dyDescent="0.25">
      <c r="A991" s="9">
        <v>990</v>
      </c>
      <c r="B991" s="9"/>
      <c r="C991" s="9" t="s">
        <v>176</v>
      </c>
      <c r="D991" s="9" t="s">
        <v>200</v>
      </c>
      <c r="E991" s="9" t="str">
        <f>IFERROR(VLOOKUP($D991,FIYAT!$B:$O,2,FALSE()),"")</f>
        <v>УЗО NL1-63 6kA 2P 16A 30mA тип AC (R)</v>
      </c>
      <c r="F991" s="9">
        <f>IFERROR(VLOOKUP($D991,FIYAT!$B:$O,5,FALSE()),"")</f>
        <v>10809</v>
      </c>
      <c r="G991" s="9">
        <f>IFERROR(VLOOKUP($D991,FIYAT!$B:$O,8,FALSE()),"")</f>
        <v>6485.4</v>
      </c>
      <c r="H991" s="9">
        <f t="shared" si="120"/>
        <v>6485.4</v>
      </c>
      <c r="I991" s="6">
        <v>1</v>
      </c>
      <c r="J991" s="9" t="str">
        <f>IFERROR(VLOOKUP($D991,FIYAT!$B:$O,9,FALSE()),"")</f>
        <v>Шт.</v>
      </c>
      <c r="K991" s="9" t="str">
        <f>IFERROR(VLOOKUP($D991,FIYAT!$B:$O,4,FALSE()),"")</f>
        <v>CHINT</v>
      </c>
      <c r="L991" s="9">
        <f t="shared" si="121"/>
        <v>6485.4</v>
      </c>
      <c r="M991" s="9"/>
      <c r="N991" s="9"/>
      <c r="O991" s="9"/>
      <c r="P991" s="9" t="str">
        <f>IF($H991="","FIYAT_YOK",IFERROR(VLOOKUP($D991,FIYAT!$B:$P,15,FALSE()),""))</f>
        <v>OK</v>
      </c>
      <c r="Q991" s="9" t="s">
        <v>202</v>
      </c>
      <c r="R991" s="9" t="s">
        <v>171</v>
      </c>
      <c r="S991" s="9" t="s">
        <v>637</v>
      </c>
      <c r="T991" s="9" t="s">
        <v>55</v>
      </c>
      <c r="U991" s="9">
        <f>IFERROR(VLOOKUP($T991,KURALLAR!$A$32:$B$63,2,FALSE()),0)*IF(ISNUMBER($I991),$I991,0)</f>
        <v>6</v>
      </c>
    </row>
    <row r="992" spans="1:21" x14ac:dyDescent="0.25">
      <c r="A992" s="5">
        <v>991</v>
      </c>
      <c r="B992" s="5"/>
      <c r="C992" s="5" t="s">
        <v>192</v>
      </c>
      <c r="D992" s="5" t="s">
        <v>206</v>
      </c>
      <c r="E992" s="5" t="str">
        <f>IFERROR(VLOOKUP($D992,FIYAT!$B:$O,2,FALSE()),"")</f>
        <v>Авт. выкл. NXB-63 1P 10A 6кА х-ка C (R)</v>
      </c>
      <c r="F992" s="5">
        <f>IFERROR(VLOOKUP($D992,FIYAT!$B:$O,5,FALSE()),"")</f>
        <v>1362</v>
      </c>
      <c r="G992" s="5">
        <f>IFERROR(VLOOKUP($D992,FIYAT!$B:$O,8,FALSE()),"")</f>
        <v>817.19999999999993</v>
      </c>
      <c r="H992" s="5">
        <f t="shared" si="120"/>
        <v>11440.8</v>
      </c>
      <c r="I992" s="6">
        <v>14</v>
      </c>
      <c r="J992" s="5" t="str">
        <f>IFERROR(VLOOKUP($D992,FIYAT!$B:$O,9,FALSE()),"")</f>
        <v>Шт.</v>
      </c>
      <c r="K992" s="5" t="str">
        <f>IFERROR(VLOOKUP($D992,FIYAT!$B:$O,4,FALSE()),"")</f>
        <v>CHINT</v>
      </c>
      <c r="L992" s="5">
        <f t="shared" si="121"/>
        <v>11440.8</v>
      </c>
      <c r="M992" s="5"/>
      <c r="N992" s="5"/>
      <c r="O992" s="5"/>
      <c r="P992" s="5" t="str">
        <f>IF($H992="","FIYAT_YOK",IFERROR(VLOOKUP($D992,FIYAT!$B:$P,15,FALSE()),""))</f>
        <v>OK</v>
      </c>
      <c r="Q992" s="5" t="s">
        <v>208</v>
      </c>
      <c r="R992" s="5" t="s">
        <v>184</v>
      </c>
      <c r="S992" s="5" t="s">
        <v>637</v>
      </c>
      <c r="T992" s="5" t="s">
        <v>47</v>
      </c>
      <c r="U992" s="5">
        <f>IFERROR(VLOOKUP($T992,KURALLAR!$A$32:$B$63,2,FALSE()),0)*IF(ISNUMBER($I992),$I992,0)</f>
        <v>42</v>
      </c>
    </row>
    <row r="993" spans="1:21" x14ac:dyDescent="0.25">
      <c r="A993" s="9">
        <v>992</v>
      </c>
      <c r="B993" s="9"/>
      <c r="C993" s="9" t="s">
        <v>93</v>
      </c>
      <c r="D993" s="9" t="s">
        <v>209</v>
      </c>
      <c r="E993" s="9" t="str">
        <f>IFERROR(VLOOKUP($D993,FIYAT!$B:$O,2,FALSE()),"")</f>
        <v>Шина "N" нулевая 6х9мм на DIN-рейку в корпусном изоляторе ШНИ 12К IEK (10)</v>
      </c>
      <c r="F993" s="9">
        <f>IFERROR(VLOOKUP($D993,FIYAT!$B:$O,5,FALSE()),"")</f>
        <v>755</v>
      </c>
      <c r="G993" s="9">
        <f>IFERROR(VLOOKUP($D993,FIYAT!$B:$O,8,FALSE()),"")</f>
        <v>453</v>
      </c>
      <c r="H993" s="9">
        <f t="shared" si="120"/>
        <v>1812</v>
      </c>
      <c r="I993" s="6">
        <v>4</v>
      </c>
      <c r="J993" s="9" t="str">
        <f>IFERROR(VLOOKUP($D993,FIYAT!$B:$O,9,FALSE()),"")</f>
        <v>Шт.</v>
      </c>
      <c r="K993" s="9" t="str">
        <f>IFERROR(VLOOKUP($D993,FIYAT!$B:$O,4,FALSE()),"")</f>
        <v>KAZTEK</v>
      </c>
      <c r="L993" s="9">
        <f t="shared" si="121"/>
        <v>1812</v>
      </c>
      <c r="M993" s="9"/>
      <c r="N993" s="9"/>
      <c r="O993" s="9"/>
      <c r="P993" s="9" t="str">
        <f>IF($H993="","FIYAT_YOK",IFERROR(VLOOKUP($D993,FIYAT!$B:$P,15,FALSE()),""))</f>
        <v>MUADIL</v>
      </c>
      <c r="Q993" s="9" t="s">
        <v>212</v>
      </c>
      <c r="R993" s="9" t="s">
        <v>211</v>
      </c>
      <c r="S993" s="9" t="s">
        <v>637</v>
      </c>
      <c r="T993" s="9" t="s">
        <v>93</v>
      </c>
      <c r="U993" s="9">
        <f>IFERROR(VLOOKUP($T993,KURALLAR!$A$32:$B$63,2,FALSE()),0)*IF(ISNUMBER($I993),$I993,0)</f>
        <v>32</v>
      </c>
    </row>
    <row r="994" spans="1:21" x14ac:dyDescent="0.25">
      <c r="A994" s="5">
        <v>993</v>
      </c>
      <c r="B994" s="5"/>
      <c r="C994" s="5" t="s">
        <v>222</v>
      </c>
      <c r="D994" s="5" t="s">
        <v>310</v>
      </c>
      <c r="E994" s="5" t="str">
        <f>IFERROR(VLOOKUP($D994,FIYAT!$B:$O,2,FALSE()),"")</f>
        <v>Мет.Корпус ЩМП-4 (800x650x250) IP54</v>
      </c>
      <c r="F994" s="5">
        <f>IFERROR(VLOOKUP($D994,FIYAT!$B:$O,5,FALSE()),"")</f>
        <v>30540</v>
      </c>
      <c r="G994" s="5">
        <f>IFERROR(VLOOKUP($D994,FIYAT!$B:$O,8,FALSE()),"")</f>
        <v>18324</v>
      </c>
      <c r="H994" s="5">
        <f t="shared" si="120"/>
        <v>18324</v>
      </c>
      <c r="I994" s="6">
        <v>1</v>
      </c>
      <c r="J994" s="5" t="str">
        <f>IFERROR(VLOOKUP($D994,FIYAT!$B:$O,9,FALSE()),"")</f>
        <v>Шт.</v>
      </c>
      <c r="K994" s="5" t="str">
        <f>IFERROR(VLOOKUP($D994,FIYAT!$B:$O,4,FALSE()),"")</f>
        <v>KAZTEK</v>
      </c>
      <c r="L994" s="5">
        <f t="shared" si="121"/>
        <v>18324</v>
      </c>
      <c r="M994" s="5"/>
      <c r="N994" s="5"/>
      <c r="O994" s="5"/>
      <c r="P994" s="5" t="str">
        <f>IF($H994="","FIYAT_YOK",IFERROR(VLOOKUP($D994,FIYAT!$B:$P,15,FALSE()),""))</f>
        <v>VARSAYIM</v>
      </c>
      <c r="Q994" s="5" t="s">
        <v>312</v>
      </c>
      <c r="R994" s="5" t="s">
        <v>211</v>
      </c>
      <c r="S994" s="5" t="s">
        <v>637</v>
      </c>
      <c r="T994" s="5" t="s">
        <v>105</v>
      </c>
      <c r="U994" s="5">
        <f>IFERROR(VLOOKUP($T994,KURALLAR!$A$32:$B$63,2,FALSE()),0)*IF(ISNUMBER($I994),$I994,0)</f>
        <v>30</v>
      </c>
    </row>
    <row r="995" spans="1:21" x14ac:dyDescent="0.25">
      <c r="A995" s="9">
        <v>994</v>
      </c>
      <c r="B995" s="9"/>
      <c r="C995" s="9" t="s">
        <v>215</v>
      </c>
      <c r="D995" s="9" t="s">
        <v>213</v>
      </c>
      <c r="E995" s="9" t="str">
        <f>IFERROR(VLOOKUP($D995,FIYAT!$B:$O,2,FALSE()),"")</f>
        <v>Монтажный расходный материал (кабель, DIN-рейка, кабель-канал, клеммы, маркировка, крепёж)</v>
      </c>
      <c r="F995" s="9">
        <f>IFERROR(VLOOKUP($D995,FIYAT!$B:$O,5,FALSE()),"")</f>
        <v>0</v>
      </c>
      <c r="G995" s="9" t="str">
        <f>IFERROR(VLOOKUP($D995,FIYAT!$B:$O,8,FALSE()),"")</f>
        <v/>
      </c>
      <c r="H995" s="9">
        <f>ROUND(SUM($H$983:$H$994)*KURALLAR!$B$28,0)</f>
        <v>9169</v>
      </c>
      <c r="I995" s="6">
        <v>1</v>
      </c>
      <c r="J995" s="9" t="str">
        <f>IFERROR(VLOOKUP($D995,FIYAT!$B:$O,9,FALSE()),"")</f>
        <v>компл.</v>
      </c>
      <c r="K995" s="9" t="str">
        <f>IFERROR(VLOOKUP($D995,FIYAT!$B:$O,4,FALSE()),"")</f>
        <v>MUADIL-NET</v>
      </c>
      <c r="L995" s="9">
        <f t="shared" si="121"/>
        <v>9169</v>
      </c>
      <c r="M995" s="9"/>
      <c r="N995" s="9"/>
      <c r="O995" s="9"/>
      <c r="P995" s="9" t="str">
        <f>IF($H995="","FIYAT_YOK",IFERROR(VLOOKUP($D995,FIYAT!$B:$P,15,FALSE()),""))</f>
        <v>ORAN</v>
      </c>
      <c r="Q995" s="9" t="s">
        <v>218</v>
      </c>
      <c r="R995" s="9" t="s">
        <v>217</v>
      </c>
      <c r="S995" s="9" t="s">
        <v>637</v>
      </c>
      <c r="T995" s="9"/>
      <c r="U995" s="9">
        <v>0</v>
      </c>
    </row>
    <row r="996" spans="1:21" x14ac:dyDescent="0.25">
      <c r="A996" s="5">
        <v>995</v>
      </c>
      <c r="B996" s="5"/>
      <c r="C996" s="5" t="s">
        <v>227</v>
      </c>
      <c r="D996" s="5" t="s">
        <v>225</v>
      </c>
      <c r="E996" s="5" t="str">
        <f>IFERROR(VLOOKUP($D996,FIYAT!$B:$O,2,FALSE()),"")</f>
        <v>Сборка, кабелирование, маркировка, момент затяжки, испытания</v>
      </c>
      <c r="F996" s="5">
        <f>IFERROR(VLOOKUP($D996,FIYAT!$B:$O,5,FALSE()),"")</f>
        <v>100</v>
      </c>
      <c r="G996" s="5">
        <f>IFERROR(VLOOKUP($D996,FIYAT!$B:$O,8,FALSE()),"")</f>
        <v>100</v>
      </c>
      <c r="H996" s="5">
        <f>IF(OR($G996="",$I996=""),"",$G996*$I996)</f>
        <v>24500</v>
      </c>
      <c r="I996" s="6">
        <f>ROUND(SUM($U$983:$U$995)*KURALLAR!$B$27,0)</f>
        <v>245</v>
      </c>
      <c r="J996" s="5" t="str">
        <f>IFERROR(VLOOKUP($D996,FIYAT!$B:$O,9,FALSE()),"")</f>
        <v>мин</v>
      </c>
      <c r="K996" s="5" t="str">
        <f>IFERROR(VLOOKUP($D996,FIYAT!$B:$O,4,FALSE()),"")</f>
        <v>ISCILIK</v>
      </c>
      <c r="L996" s="5">
        <f t="shared" si="121"/>
        <v>24500</v>
      </c>
      <c r="M996" s="5"/>
      <c r="N996" s="5"/>
      <c r="O996" s="5"/>
      <c r="P996" s="5" t="str">
        <f>IF($H996="","FIYAT_YOK",IFERROR(VLOOKUP($D996,FIYAT!$B:$P,15,FALSE()),""))</f>
        <v>OK</v>
      </c>
      <c r="Q996" s="5" t="str">
        <f>CONCATENATE("montaj+test iscilik: ",TEXT($I996,"# ##0")," dk = ",TEXT($I996/60,"0,00")," saat (norm x test/etiket carpani)")</f>
        <v>montaj+test iscilik:  245 dk = 4,08 saat (norm x test/etiket carpani)</v>
      </c>
      <c r="R996" s="5" t="s">
        <v>229</v>
      </c>
      <c r="S996" s="5" t="s">
        <v>637</v>
      </c>
      <c r="T996" s="5"/>
      <c r="U996" s="5">
        <v>0</v>
      </c>
    </row>
    <row r="997" spans="1:21" x14ac:dyDescent="0.25">
      <c r="A997" s="10">
        <v>996</v>
      </c>
      <c r="B997" s="10" t="s">
        <v>672</v>
      </c>
      <c r="C997" s="10"/>
      <c r="D997" s="10"/>
      <c r="E997" s="10"/>
      <c r="F997" s="10"/>
      <c r="G997" s="10"/>
      <c r="H997" s="10">
        <f>SUBTOTAL(9,H983:H996)</f>
        <v>164655</v>
      </c>
      <c r="I997" s="10"/>
      <c r="J997" s="10"/>
      <c r="K997" s="10"/>
      <c r="L997" s="10">
        <f>SUBTOTAL(9,L983:L996)</f>
        <v>164655</v>
      </c>
      <c r="M997" s="10"/>
      <c r="N997" s="10"/>
      <c r="O997" s="10"/>
      <c r="P997" s="10"/>
      <c r="Q997" s="10"/>
      <c r="R997" s="10"/>
      <c r="S997" s="10"/>
      <c r="T997" s="10"/>
      <c r="U997" s="10">
        <f>SUBTOTAL(9,U983:U996)</f>
        <v>213</v>
      </c>
    </row>
    <row r="998" spans="1:21" x14ac:dyDescent="0.25">
      <c r="A998" s="8">
        <v>997</v>
      </c>
      <c r="B998" s="8" t="str">
        <f>E998</f>
        <v>BLOK B / 6F-ИБП.1 — НКУ 380/220В 50Гц, FORM 2B, IP31/54</v>
      </c>
      <c r="C998" s="8" t="s">
        <v>545</v>
      </c>
      <c r="D998" s="8"/>
      <c r="E998" s="8" t="s">
        <v>673</v>
      </c>
      <c r="F998" s="8"/>
      <c r="G998" s="8"/>
      <c r="H998" s="8"/>
      <c r="I998" s="8">
        <v>1</v>
      </c>
      <c r="J998" s="8" t="s">
        <v>547</v>
      </c>
      <c r="K998" s="8"/>
      <c r="L998" s="8"/>
      <c r="M998" s="8"/>
      <c r="N998" s="8"/>
      <c r="O998" s="8"/>
      <c r="P998" s="8" t="s">
        <v>178</v>
      </c>
      <c r="Q998" s="8" t="s">
        <v>548</v>
      </c>
      <c r="R998" s="8" t="s">
        <v>549</v>
      </c>
      <c r="S998" s="8" t="s">
        <v>637</v>
      </c>
      <c r="T998" s="8"/>
      <c r="U998" s="8"/>
    </row>
    <row r="999" spans="1:21" x14ac:dyDescent="0.25">
      <c r="A999" s="9">
        <v>998</v>
      </c>
      <c r="B999" s="9"/>
      <c r="C999" s="9" t="s">
        <v>169</v>
      </c>
      <c r="D999" s="9" t="s">
        <v>167</v>
      </c>
      <c r="E999" s="9" t="str">
        <f>IFERROR(VLOOKUP($D999,FIYAT!$B:$O,2,FALSE()),"")</f>
        <v>Авт. выкл. NM8N-125C TM 3P 32А 36кА с рег. термомаг. расцепителем (R)</v>
      </c>
      <c r="F999" s="9">
        <f>IFERROR(VLOOKUP($D999,FIYAT!$B:$O,5,FALSE()),"")</f>
        <v>64667</v>
      </c>
      <c r="G999" s="9">
        <f>IFERROR(VLOOKUP($D999,FIYAT!$B:$O,8,FALSE()),"")</f>
        <v>38800.199999999997</v>
      </c>
      <c r="H999" s="9">
        <f t="shared" ref="H999:H1010" si="122">IF(OR($G999="",$I999=""),"",$G999*$I999)</f>
        <v>38800.199999999997</v>
      </c>
      <c r="I999" s="6">
        <v>1</v>
      </c>
      <c r="J999" s="9" t="str">
        <f>IFERROR(VLOOKUP($D999,FIYAT!$B:$O,9,FALSE()),"")</f>
        <v>Шт.</v>
      </c>
      <c r="K999" s="9" t="str">
        <f>IFERROR(VLOOKUP($D999,FIYAT!$B:$O,4,FALSE()),"")</f>
        <v>CHINT</v>
      </c>
      <c r="L999" s="9">
        <f t="shared" ref="L999:L1012" si="123">IF($H999="","",$H999)</f>
        <v>38800.199999999997</v>
      </c>
      <c r="M999" s="9"/>
      <c r="N999" s="9"/>
      <c r="O999" s="9"/>
      <c r="P999" s="9" t="str">
        <f>IF($H999="","FIYAT_YOK",IFERROR(VLOOKUP($D999,FIYAT!$B:$P,15,FALSE()),""))</f>
        <v>MUADIL</v>
      </c>
      <c r="Q999" s="9" t="s">
        <v>172</v>
      </c>
      <c r="R999" s="9" t="s">
        <v>171</v>
      </c>
      <c r="S999" s="9" t="s">
        <v>637</v>
      </c>
      <c r="T999" s="9" t="s">
        <v>61</v>
      </c>
      <c r="U999" s="9">
        <f>IFERROR(VLOOKUP($T999,KURALLAR!$A$32:$B$63,2,FALSE()),0)*IF(ISNUMBER($I999),$I999,0)</f>
        <v>15</v>
      </c>
    </row>
    <row r="1000" spans="1:21" x14ac:dyDescent="0.25">
      <c r="A1000" s="5">
        <v>999</v>
      </c>
      <c r="B1000" s="5"/>
      <c r="C1000" s="5" t="s">
        <v>176</v>
      </c>
      <c r="D1000" s="5" t="s">
        <v>174</v>
      </c>
      <c r="E1000" s="5" t="str">
        <f>IFERROR(VLOOKUP($D1000,FIYAT!$B:$O,2,FALSE()),"")</f>
        <v>УЗО NL1-63 6kA 4P 63A 300mA тип AC (R)</v>
      </c>
      <c r="F1000" s="5">
        <f>IFERROR(VLOOKUP($D1000,FIYAT!$B:$O,5,FALSE()),"")</f>
        <v>18106</v>
      </c>
      <c r="G1000" s="5">
        <f>IFERROR(VLOOKUP($D1000,FIYAT!$B:$O,8,FALSE()),"")</f>
        <v>10863.6</v>
      </c>
      <c r="H1000" s="5">
        <f t="shared" si="122"/>
        <v>10863.6</v>
      </c>
      <c r="I1000" s="6">
        <v>1</v>
      </c>
      <c r="J1000" s="5" t="str">
        <f>IFERROR(VLOOKUP($D1000,FIYAT!$B:$O,9,FALSE()),"")</f>
        <v>Шт.</v>
      </c>
      <c r="K1000" s="5" t="str">
        <f>IFERROR(VLOOKUP($D1000,FIYAT!$B:$O,4,FALSE()),"")</f>
        <v>CHINT</v>
      </c>
      <c r="L1000" s="5">
        <f t="shared" si="123"/>
        <v>10863.6</v>
      </c>
      <c r="M1000" s="5"/>
      <c r="N1000" s="5"/>
      <c r="O1000" s="5"/>
      <c r="P1000" s="5" t="str">
        <f>IF($H1000="","FIYAT_YOK",IFERROR(VLOOKUP($D1000,FIYAT!$B:$P,15,FALSE()),""))</f>
        <v>OK</v>
      </c>
      <c r="Q1000" s="5" t="s">
        <v>177</v>
      </c>
      <c r="R1000" s="5" t="s">
        <v>171</v>
      </c>
      <c r="S1000" s="5" t="s">
        <v>637</v>
      </c>
      <c r="T1000" s="5" t="s">
        <v>57</v>
      </c>
      <c r="U1000" s="5">
        <f>IFERROR(VLOOKUP($T1000,KURALLAR!$A$32:$B$63,2,FALSE()),0)*IF(ISNUMBER($I1000),$I1000,0)</f>
        <v>10</v>
      </c>
    </row>
    <row r="1001" spans="1:21" x14ac:dyDescent="0.25">
      <c r="A1001" s="9">
        <v>1000</v>
      </c>
      <c r="B1001" s="9"/>
      <c r="C1001" s="9" t="s">
        <v>79</v>
      </c>
      <c r="D1001" s="9" t="s">
        <v>179</v>
      </c>
      <c r="E1001" s="9" t="str">
        <f>IFERROR(VLOOKUP($D1001,FIYAT!$B:$O,2,FALSE()),"")</f>
        <v>Держатель плавкой вставки RT36-00-160, габарит 00, 160А</v>
      </c>
      <c r="F1001" s="9">
        <f>IFERROR(VLOOKUP($D1001,FIYAT!$B:$O,5,FALSE()),"")</f>
        <v>2038</v>
      </c>
      <c r="G1001" s="9">
        <f>IFERROR(VLOOKUP($D1001,FIYAT!$B:$O,8,FALSE()),"")</f>
        <v>1222.8</v>
      </c>
      <c r="H1001" s="9">
        <f t="shared" si="122"/>
        <v>4891.2</v>
      </c>
      <c r="I1001" s="6">
        <v>4</v>
      </c>
      <c r="J1001" s="9" t="str">
        <f>IFERROR(VLOOKUP($D1001,FIYAT!$B:$O,9,FALSE()),"")</f>
        <v>Шт.</v>
      </c>
      <c r="K1001" s="9" t="str">
        <f>IFERROR(VLOOKUP($D1001,FIYAT!$B:$O,4,FALSE()),"")</f>
        <v>CHINT</v>
      </c>
      <c r="L1001" s="9">
        <f t="shared" si="123"/>
        <v>4891.2</v>
      </c>
      <c r="M1001" s="9"/>
      <c r="N1001" s="9"/>
      <c r="O1001" s="9"/>
      <c r="P1001" s="9" t="str">
        <f>IF($H1001="","FIYAT_YOK",IFERROR(VLOOKUP($D1001,FIYAT!$B:$P,15,FALSE()),""))</f>
        <v>MUADIL</v>
      </c>
      <c r="Q1001" s="9" t="s">
        <v>181</v>
      </c>
      <c r="R1001" s="9" t="s">
        <v>171</v>
      </c>
      <c r="S1001" s="9" t="s">
        <v>637</v>
      </c>
      <c r="T1001" s="9" t="s">
        <v>77</v>
      </c>
      <c r="U1001" s="9">
        <f>IFERROR(VLOOKUP($T1001,KURALLAR!$A$32:$B$63,2,FALSE()),0)*IF(ISNUMBER($I1001),$I1001,0)</f>
        <v>20</v>
      </c>
    </row>
    <row r="1002" spans="1:21" x14ac:dyDescent="0.25">
      <c r="A1002" s="5">
        <v>1001</v>
      </c>
      <c r="B1002" s="5"/>
      <c r="C1002" s="5" t="s">
        <v>79</v>
      </c>
      <c r="D1002" s="5" t="s">
        <v>182</v>
      </c>
      <c r="E1002" s="5" t="str">
        <f>IFERROR(VLOOKUP($D1002,FIYAT!$B:$O,2,FALSE()),"")</f>
        <v>Плавкая вставка предохранителя RT36-00-160, габарит 00, 63А</v>
      </c>
      <c r="F1002" s="5">
        <f>IFERROR(VLOOKUP($D1002,FIYAT!$B:$O,5,FALSE()),"")</f>
        <v>1525</v>
      </c>
      <c r="G1002" s="5">
        <f>IFERROR(VLOOKUP($D1002,FIYAT!$B:$O,8,FALSE()),"")</f>
        <v>915</v>
      </c>
      <c r="H1002" s="5">
        <f t="shared" si="122"/>
        <v>3660</v>
      </c>
      <c r="I1002" s="6">
        <v>4</v>
      </c>
      <c r="J1002" s="5" t="str">
        <f>IFERROR(VLOOKUP($D1002,FIYAT!$B:$O,9,FALSE()),"")</f>
        <v>Шт.</v>
      </c>
      <c r="K1002" s="5" t="str">
        <f>IFERROR(VLOOKUP($D1002,FIYAT!$B:$O,4,FALSE()),"")</f>
        <v>CHINT</v>
      </c>
      <c r="L1002" s="5">
        <f t="shared" si="123"/>
        <v>3660</v>
      </c>
      <c r="M1002" s="5"/>
      <c r="N1002" s="5"/>
      <c r="O1002" s="5"/>
      <c r="P1002" s="5" t="str">
        <f>IF($H1002="","FIYAT_YOK",IFERROR(VLOOKUP($D1002,FIYAT!$B:$P,15,FALSE()),""))</f>
        <v>MUADIL</v>
      </c>
      <c r="Q1002" s="5" t="s">
        <v>185</v>
      </c>
      <c r="R1002" s="5" t="s">
        <v>184</v>
      </c>
      <c r="S1002" s="5" t="s">
        <v>637</v>
      </c>
      <c r="T1002" s="5" t="s">
        <v>79</v>
      </c>
      <c r="U1002" s="5">
        <f>IFERROR(VLOOKUP($T1002,KURALLAR!$A$32:$B$63,2,FALSE()),0)*IF(ISNUMBER($I1002),$I1002,0)</f>
        <v>12</v>
      </c>
    </row>
    <row r="1003" spans="1:21" x14ac:dyDescent="0.25">
      <c r="A1003" s="9">
        <v>1002</v>
      </c>
      <c r="B1003" s="9"/>
      <c r="C1003" s="9" t="s">
        <v>75</v>
      </c>
      <c r="D1003" s="9" t="s">
        <v>186</v>
      </c>
      <c r="E1003" s="9" t="str">
        <f>IFERROR(VLOOKUP($D1003,FIYAT!$B:$O,2,FALSE()),"")</f>
        <v>Ограничитель имп. перенапр. NU6-IIG 4Р In=25kA Uc=440B Im=65kA (R)</v>
      </c>
      <c r="F1003" s="9">
        <f>IFERROR(VLOOKUP($D1003,FIYAT!$B:$O,5,FALSE()),"")</f>
        <v>33208</v>
      </c>
      <c r="G1003" s="9">
        <f>IFERROR(VLOOKUP($D1003,FIYAT!$B:$O,8,FALSE()),"")</f>
        <v>19924.8</v>
      </c>
      <c r="H1003" s="9">
        <f t="shared" si="122"/>
        <v>19924.8</v>
      </c>
      <c r="I1003" s="6">
        <v>1</v>
      </c>
      <c r="J1003" s="9" t="str">
        <f>IFERROR(VLOOKUP($D1003,FIYAT!$B:$O,9,FALSE()),"")</f>
        <v>Шт.</v>
      </c>
      <c r="K1003" s="9" t="str">
        <f>IFERROR(VLOOKUP($D1003,FIYAT!$B:$O,4,FALSE()),"")</f>
        <v>CHINT</v>
      </c>
      <c r="L1003" s="9">
        <f t="shared" si="123"/>
        <v>19924.8</v>
      </c>
      <c r="M1003" s="9"/>
      <c r="N1003" s="9"/>
      <c r="O1003" s="9"/>
      <c r="P1003" s="9" t="str">
        <f>IF($H1003="","FIYAT_YOK",IFERROR(VLOOKUP($D1003,FIYAT!$B:$P,15,FALSE()),""))</f>
        <v>MUADIL_ONAY</v>
      </c>
      <c r="Q1003" s="9" t="s">
        <v>188</v>
      </c>
      <c r="R1003" s="9" t="s">
        <v>184</v>
      </c>
      <c r="S1003" s="9" t="s">
        <v>637</v>
      </c>
      <c r="T1003" s="9" t="s">
        <v>75</v>
      </c>
      <c r="U1003" s="9">
        <f>IFERROR(VLOOKUP($T1003,KURALLAR!$A$32:$B$63,2,FALSE()),0)*IF(ISNUMBER($I1003),$I1003,0)</f>
        <v>10</v>
      </c>
    </row>
    <row r="1004" spans="1:21" x14ac:dyDescent="0.25">
      <c r="A1004" s="5">
        <v>1003</v>
      </c>
      <c r="B1004" s="5"/>
      <c r="C1004" s="5" t="s">
        <v>192</v>
      </c>
      <c r="D1004" s="5" t="s">
        <v>321</v>
      </c>
      <c r="E1004" s="5" t="str">
        <f>IFERROR(VLOOKUP($D1004,FIYAT!$B:$O,2,FALSE()),"")</f>
        <v>Авт. выкл. NXB-63 1P 25A 6кА х-ка C (R)</v>
      </c>
      <c r="F1004" s="5">
        <f>IFERROR(VLOOKUP($D1004,FIYAT!$B:$O,5,FALSE()),"")</f>
        <v>1330</v>
      </c>
      <c r="G1004" s="5">
        <f>IFERROR(VLOOKUP($D1004,FIYAT!$B:$O,8,FALSE()),"")</f>
        <v>798</v>
      </c>
      <c r="H1004" s="5">
        <f t="shared" si="122"/>
        <v>798</v>
      </c>
      <c r="I1004" s="6">
        <v>1</v>
      </c>
      <c r="J1004" s="5" t="str">
        <f>IFERROR(VLOOKUP($D1004,FIYAT!$B:$O,9,FALSE()),"")</f>
        <v>Шт.</v>
      </c>
      <c r="K1004" s="5" t="str">
        <f>IFERROR(VLOOKUP($D1004,FIYAT!$B:$O,4,FALSE()),"")</f>
        <v>CHINT</v>
      </c>
      <c r="L1004" s="5">
        <f t="shared" si="123"/>
        <v>798</v>
      </c>
      <c r="M1004" s="5"/>
      <c r="N1004" s="5"/>
      <c r="O1004" s="5"/>
      <c r="P1004" s="5" t="str">
        <f>IF($H1004="","FIYAT_YOK",IFERROR(VLOOKUP($D1004,FIYAT!$B:$P,15,FALSE()),""))</f>
        <v>OK</v>
      </c>
      <c r="Q1004" s="5" t="s">
        <v>323</v>
      </c>
      <c r="R1004" s="5" t="s">
        <v>171</v>
      </c>
      <c r="S1004" s="5" t="s">
        <v>637</v>
      </c>
      <c r="T1004" s="5" t="s">
        <v>47</v>
      </c>
      <c r="U1004" s="5">
        <f>IFERROR(VLOOKUP($T1004,KURALLAR!$A$32:$B$63,2,FALSE()),0)*IF(ISNUMBER($I1004),$I1004,0)</f>
        <v>3</v>
      </c>
    </row>
    <row r="1005" spans="1:21" x14ac:dyDescent="0.25">
      <c r="A1005" s="9">
        <v>1004</v>
      </c>
      <c r="B1005" s="9"/>
      <c r="C1005" s="9" t="s">
        <v>176</v>
      </c>
      <c r="D1005" s="9" t="s">
        <v>324</v>
      </c>
      <c r="E1005" s="9" t="str">
        <f>IFERROR(VLOOKUP($D1005,FIYAT!$B:$O,2,FALSE()),"")</f>
        <v>УЗО NL1-63 6kA 2P 25A 30mA тип AC (R)</v>
      </c>
      <c r="F1005" s="9">
        <f>IFERROR(VLOOKUP($D1005,FIYAT!$B:$O,5,FALSE()),"")</f>
        <v>10809</v>
      </c>
      <c r="G1005" s="9">
        <f>IFERROR(VLOOKUP($D1005,FIYAT!$B:$O,8,FALSE()),"")</f>
        <v>6485.4</v>
      </c>
      <c r="H1005" s="9">
        <f t="shared" si="122"/>
        <v>6485.4</v>
      </c>
      <c r="I1005" s="6">
        <v>1</v>
      </c>
      <c r="J1005" s="9" t="str">
        <f>IFERROR(VLOOKUP($D1005,FIYAT!$B:$O,9,FALSE()),"")</f>
        <v>Шт.</v>
      </c>
      <c r="K1005" s="9" t="str">
        <f>IFERROR(VLOOKUP($D1005,FIYAT!$B:$O,4,FALSE()),"")</f>
        <v>CHINT</v>
      </c>
      <c r="L1005" s="9">
        <f t="shared" si="123"/>
        <v>6485.4</v>
      </c>
      <c r="M1005" s="9"/>
      <c r="N1005" s="9"/>
      <c r="O1005" s="9"/>
      <c r="P1005" s="9" t="str">
        <f>IF($H1005="","FIYAT_YOK",IFERROR(VLOOKUP($D1005,FIYAT!$B:$P,15,FALSE()),""))</f>
        <v>OK</v>
      </c>
      <c r="Q1005" s="9" t="s">
        <v>326</v>
      </c>
      <c r="R1005" s="9" t="s">
        <v>171</v>
      </c>
      <c r="S1005" s="9" t="s">
        <v>637</v>
      </c>
      <c r="T1005" s="9" t="s">
        <v>55</v>
      </c>
      <c r="U1005" s="9">
        <f>IFERROR(VLOOKUP($T1005,KURALLAR!$A$32:$B$63,2,FALSE()),0)*IF(ISNUMBER($I1005),$I1005,0)</f>
        <v>6</v>
      </c>
    </row>
    <row r="1006" spans="1:21" x14ac:dyDescent="0.25">
      <c r="A1006" s="5">
        <v>1005</v>
      </c>
      <c r="B1006" s="5"/>
      <c r="C1006" s="5" t="s">
        <v>192</v>
      </c>
      <c r="D1006" s="5" t="s">
        <v>194</v>
      </c>
      <c r="E1006" s="5" t="str">
        <f>IFERROR(VLOOKUP($D1006,FIYAT!$B:$O,2,FALSE()),"")</f>
        <v>Авт. выкл. NXB-63 1P 16A 6кА х-ка C (R)</v>
      </c>
      <c r="F1006" s="5">
        <f>IFERROR(VLOOKUP($D1006,FIYAT!$B:$O,5,FALSE()),"")</f>
        <v>1389</v>
      </c>
      <c r="G1006" s="5">
        <f>IFERROR(VLOOKUP($D1006,FIYAT!$B:$O,8,FALSE()),"")</f>
        <v>833.4</v>
      </c>
      <c r="H1006" s="5">
        <f t="shared" si="122"/>
        <v>7500.5999999999995</v>
      </c>
      <c r="I1006" s="6">
        <v>9</v>
      </c>
      <c r="J1006" s="5" t="str">
        <f>IFERROR(VLOOKUP($D1006,FIYAT!$B:$O,9,FALSE()),"")</f>
        <v>Шт.</v>
      </c>
      <c r="K1006" s="5" t="str">
        <f>IFERROR(VLOOKUP($D1006,FIYAT!$B:$O,4,FALSE()),"")</f>
        <v>CHINT</v>
      </c>
      <c r="L1006" s="5">
        <f t="shared" si="123"/>
        <v>7500.5999999999995</v>
      </c>
      <c r="M1006" s="5"/>
      <c r="N1006" s="5"/>
      <c r="O1006" s="5"/>
      <c r="P1006" s="5" t="str">
        <f>IF($H1006="","FIYAT_YOK",IFERROR(VLOOKUP($D1006,FIYAT!$B:$P,15,FALSE()),""))</f>
        <v>OK</v>
      </c>
      <c r="Q1006" s="5" t="s">
        <v>196</v>
      </c>
      <c r="R1006" s="5" t="s">
        <v>171</v>
      </c>
      <c r="S1006" s="5" t="s">
        <v>637</v>
      </c>
      <c r="T1006" s="5" t="s">
        <v>47</v>
      </c>
      <c r="U1006" s="5">
        <f>IFERROR(VLOOKUP($T1006,KURALLAR!$A$32:$B$63,2,FALSE()),0)*IF(ISNUMBER($I1006),$I1006,0)</f>
        <v>27</v>
      </c>
    </row>
    <row r="1007" spans="1:21" x14ac:dyDescent="0.25">
      <c r="A1007" s="9">
        <v>1006</v>
      </c>
      <c r="B1007" s="9"/>
      <c r="C1007" s="9" t="s">
        <v>176</v>
      </c>
      <c r="D1007" s="9" t="s">
        <v>200</v>
      </c>
      <c r="E1007" s="9" t="str">
        <f>IFERROR(VLOOKUP($D1007,FIYAT!$B:$O,2,FALSE()),"")</f>
        <v>УЗО NL1-63 6kA 2P 16A 30mA тип AC (R)</v>
      </c>
      <c r="F1007" s="9">
        <f>IFERROR(VLOOKUP($D1007,FIYAT!$B:$O,5,FALSE()),"")</f>
        <v>10809</v>
      </c>
      <c r="G1007" s="9">
        <f>IFERROR(VLOOKUP($D1007,FIYAT!$B:$O,8,FALSE()),"")</f>
        <v>6485.4</v>
      </c>
      <c r="H1007" s="9">
        <f t="shared" si="122"/>
        <v>6485.4</v>
      </c>
      <c r="I1007" s="6">
        <v>1</v>
      </c>
      <c r="J1007" s="9" t="str">
        <f>IFERROR(VLOOKUP($D1007,FIYAT!$B:$O,9,FALSE()),"")</f>
        <v>Шт.</v>
      </c>
      <c r="K1007" s="9" t="str">
        <f>IFERROR(VLOOKUP($D1007,FIYAT!$B:$O,4,FALSE()),"")</f>
        <v>CHINT</v>
      </c>
      <c r="L1007" s="9">
        <f t="shared" si="123"/>
        <v>6485.4</v>
      </c>
      <c r="M1007" s="9"/>
      <c r="N1007" s="9"/>
      <c r="O1007" s="9"/>
      <c r="P1007" s="9" t="str">
        <f>IF($H1007="","FIYAT_YOK",IFERROR(VLOOKUP($D1007,FIYAT!$B:$P,15,FALSE()),""))</f>
        <v>OK</v>
      </c>
      <c r="Q1007" s="9" t="s">
        <v>202</v>
      </c>
      <c r="R1007" s="9" t="s">
        <v>171</v>
      </c>
      <c r="S1007" s="9" t="s">
        <v>637</v>
      </c>
      <c r="T1007" s="9" t="s">
        <v>55</v>
      </c>
      <c r="U1007" s="9">
        <f>IFERROR(VLOOKUP($T1007,KURALLAR!$A$32:$B$63,2,FALSE()),0)*IF(ISNUMBER($I1007),$I1007,0)</f>
        <v>6</v>
      </c>
    </row>
    <row r="1008" spans="1:21" x14ac:dyDescent="0.25">
      <c r="A1008" s="5">
        <v>1007</v>
      </c>
      <c r="B1008" s="5"/>
      <c r="C1008" s="5" t="s">
        <v>192</v>
      </c>
      <c r="D1008" s="5" t="s">
        <v>206</v>
      </c>
      <c r="E1008" s="5" t="str">
        <f>IFERROR(VLOOKUP($D1008,FIYAT!$B:$O,2,FALSE()),"")</f>
        <v>Авт. выкл. NXB-63 1P 10A 6кА х-ка C (R)</v>
      </c>
      <c r="F1008" s="5">
        <f>IFERROR(VLOOKUP($D1008,FIYAT!$B:$O,5,FALSE()),"")</f>
        <v>1362</v>
      </c>
      <c r="G1008" s="5">
        <f>IFERROR(VLOOKUP($D1008,FIYAT!$B:$O,8,FALSE()),"")</f>
        <v>817.19999999999993</v>
      </c>
      <c r="H1008" s="5">
        <f t="shared" si="122"/>
        <v>11440.8</v>
      </c>
      <c r="I1008" s="6">
        <v>14</v>
      </c>
      <c r="J1008" s="5" t="str">
        <f>IFERROR(VLOOKUP($D1008,FIYAT!$B:$O,9,FALSE()),"")</f>
        <v>Шт.</v>
      </c>
      <c r="K1008" s="5" t="str">
        <f>IFERROR(VLOOKUP($D1008,FIYAT!$B:$O,4,FALSE()),"")</f>
        <v>CHINT</v>
      </c>
      <c r="L1008" s="5">
        <f t="shared" si="123"/>
        <v>11440.8</v>
      </c>
      <c r="M1008" s="5"/>
      <c r="N1008" s="5"/>
      <c r="O1008" s="5"/>
      <c r="P1008" s="5" t="str">
        <f>IF($H1008="","FIYAT_YOK",IFERROR(VLOOKUP($D1008,FIYAT!$B:$P,15,FALSE()),""))</f>
        <v>OK</v>
      </c>
      <c r="Q1008" s="5" t="s">
        <v>208</v>
      </c>
      <c r="R1008" s="5" t="s">
        <v>184</v>
      </c>
      <c r="S1008" s="5" t="s">
        <v>637</v>
      </c>
      <c r="T1008" s="5" t="s">
        <v>47</v>
      </c>
      <c r="U1008" s="5">
        <f>IFERROR(VLOOKUP($T1008,KURALLAR!$A$32:$B$63,2,FALSE()),0)*IF(ISNUMBER($I1008),$I1008,0)</f>
        <v>42</v>
      </c>
    </row>
    <row r="1009" spans="1:21" x14ac:dyDescent="0.25">
      <c r="A1009" s="9">
        <v>1008</v>
      </c>
      <c r="B1009" s="9"/>
      <c r="C1009" s="9" t="s">
        <v>93</v>
      </c>
      <c r="D1009" s="9" t="s">
        <v>209</v>
      </c>
      <c r="E1009" s="9" t="str">
        <f>IFERROR(VLOOKUP($D1009,FIYAT!$B:$O,2,FALSE()),"")</f>
        <v>Шина "N" нулевая 6х9мм на DIN-рейку в корпусном изоляторе ШНИ 12К IEK (10)</v>
      </c>
      <c r="F1009" s="9">
        <f>IFERROR(VLOOKUP($D1009,FIYAT!$B:$O,5,FALSE()),"")</f>
        <v>755</v>
      </c>
      <c r="G1009" s="9">
        <f>IFERROR(VLOOKUP($D1009,FIYAT!$B:$O,8,FALSE()),"")</f>
        <v>453</v>
      </c>
      <c r="H1009" s="9">
        <f t="shared" si="122"/>
        <v>1812</v>
      </c>
      <c r="I1009" s="6">
        <v>4</v>
      </c>
      <c r="J1009" s="9" t="str">
        <f>IFERROR(VLOOKUP($D1009,FIYAT!$B:$O,9,FALSE()),"")</f>
        <v>Шт.</v>
      </c>
      <c r="K1009" s="9" t="str">
        <f>IFERROR(VLOOKUP($D1009,FIYAT!$B:$O,4,FALSE()),"")</f>
        <v>KAZTEK</v>
      </c>
      <c r="L1009" s="9">
        <f t="shared" si="123"/>
        <v>1812</v>
      </c>
      <c r="M1009" s="9"/>
      <c r="N1009" s="9"/>
      <c r="O1009" s="9"/>
      <c r="P1009" s="9" t="str">
        <f>IF($H1009="","FIYAT_YOK",IFERROR(VLOOKUP($D1009,FIYAT!$B:$P,15,FALSE()),""))</f>
        <v>MUADIL</v>
      </c>
      <c r="Q1009" s="9" t="s">
        <v>212</v>
      </c>
      <c r="R1009" s="9" t="s">
        <v>211</v>
      </c>
      <c r="S1009" s="9" t="s">
        <v>637</v>
      </c>
      <c r="T1009" s="9" t="s">
        <v>93</v>
      </c>
      <c r="U1009" s="9">
        <f>IFERROR(VLOOKUP($T1009,KURALLAR!$A$32:$B$63,2,FALSE()),0)*IF(ISNUMBER($I1009),$I1009,0)</f>
        <v>32</v>
      </c>
    </row>
    <row r="1010" spans="1:21" x14ac:dyDescent="0.25">
      <c r="A1010" s="5">
        <v>1009</v>
      </c>
      <c r="B1010" s="5"/>
      <c r="C1010" s="5" t="s">
        <v>222</v>
      </c>
      <c r="D1010" s="5" t="s">
        <v>310</v>
      </c>
      <c r="E1010" s="5" t="str">
        <f>IFERROR(VLOOKUP($D1010,FIYAT!$B:$O,2,FALSE()),"")</f>
        <v>Мет.Корпус ЩМП-4 (800x650x250) IP54</v>
      </c>
      <c r="F1010" s="5">
        <f>IFERROR(VLOOKUP($D1010,FIYAT!$B:$O,5,FALSE()),"")</f>
        <v>30540</v>
      </c>
      <c r="G1010" s="5">
        <f>IFERROR(VLOOKUP($D1010,FIYAT!$B:$O,8,FALSE()),"")</f>
        <v>18324</v>
      </c>
      <c r="H1010" s="5">
        <f t="shared" si="122"/>
        <v>18324</v>
      </c>
      <c r="I1010" s="6">
        <v>1</v>
      </c>
      <c r="J1010" s="5" t="str">
        <f>IFERROR(VLOOKUP($D1010,FIYAT!$B:$O,9,FALSE()),"")</f>
        <v>Шт.</v>
      </c>
      <c r="K1010" s="5" t="str">
        <f>IFERROR(VLOOKUP($D1010,FIYAT!$B:$O,4,FALSE()),"")</f>
        <v>KAZTEK</v>
      </c>
      <c r="L1010" s="5">
        <f t="shared" si="123"/>
        <v>18324</v>
      </c>
      <c r="M1010" s="5"/>
      <c r="N1010" s="5"/>
      <c r="O1010" s="5"/>
      <c r="P1010" s="5" t="str">
        <f>IF($H1010="","FIYAT_YOK",IFERROR(VLOOKUP($D1010,FIYAT!$B:$P,15,FALSE()),""))</f>
        <v>VARSAYIM</v>
      </c>
      <c r="Q1010" s="5" t="s">
        <v>312</v>
      </c>
      <c r="R1010" s="5" t="s">
        <v>211</v>
      </c>
      <c r="S1010" s="5" t="s">
        <v>637</v>
      </c>
      <c r="T1010" s="5" t="s">
        <v>105</v>
      </c>
      <c r="U1010" s="5">
        <f>IFERROR(VLOOKUP($T1010,KURALLAR!$A$32:$B$63,2,FALSE()),0)*IF(ISNUMBER($I1010),$I1010,0)</f>
        <v>30</v>
      </c>
    </row>
    <row r="1011" spans="1:21" x14ac:dyDescent="0.25">
      <c r="A1011" s="9">
        <v>1010</v>
      </c>
      <c r="B1011" s="9"/>
      <c r="C1011" s="9" t="s">
        <v>215</v>
      </c>
      <c r="D1011" s="9" t="s">
        <v>213</v>
      </c>
      <c r="E1011" s="9" t="str">
        <f>IFERROR(VLOOKUP($D1011,FIYAT!$B:$O,2,FALSE()),"")</f>
        <v>Монтажный расходный материал (кабель, DIN-рейка, кабель-канал, клеммы, маркировка, крепёж)</v>
      </c>
      <c r="F1011" s="9">
        <f>IFERROR(VLOOKUP($D1011,FIYAT!$B:$O,5,FALSE()),"")</f>
        <v>0</v>
      </c>
      <c r="G1011" s="9" t="str">
        <f>IFERROR(VLOOKUP($D1011,FIYAT!$B:$O,8,FALSE()),"")</f>
        <v/>
      </c>
      <c r="H1011" s="9">
        <f>ROUND(SUM($H$999:$H$1010)*KURALLAR!$B$28,0)</f>
        <v>9169</v>
      </c>
      <c r="I1011" s="6">
        <v>1</v>
      </c>
      <c r="J1011" s="9" t="str">
        <f>IFERROR(VLOOKUP($D1011,FIYAT!$B:$O,9,FALSE()),"")</f>
        <v>компл.</v>
      </c>
      <c r="K1011" s="9" t="str">
        <f>IFERROR(VLOOKUP($D1011,FIYAT!$B:$O,4,FALSE()),"")</f>
        <v>MUADIL-NET</v>
      </c>
      <c r="L1011" s="9">
        <f t="shared" si="123"/>
        <v>9169</v>
      </c>
      <c r="M1011" s="9"/>
      <c r="N1011" s="9"/>
      <c r="O1011" s="9"/>
      <c r="P1011" s="9" t="str">
        <f>IF($H1011="","FIYAT_YOK",IFERROR(VLOOKUP($D1011,FIYAT!$B:$P,15,FALSE()),""))</f>
        <v>ORAN</v>
      </c>
      <c r="Q1011" s="9" t="s">
        <v>218</v>
      </c>
      <c r="R1011" s="9" t="s">
        <v>217</v>
      </c>
      <c r="S1011" s="9" t="s">
        <v>637</v>
      </c>
      <c r="T1011" s="9"/>
      <c r="U1011" s="9">
        <v>0</v>
      </c>
    </row>
    <row r="1012" spans="1:21" x14ac:dyDescent="0.25">
      <c r="A1012" s="5">
        <v>1011</v>
      </c>
      <c r="B1012" s="5"/>
      <c r="C1012" s="5" t="s">
        <v>227</v>
      </c>
      <c r="D1012" s="5" t="s">
        <v>225</v>
      </c>
      <c r="E1012" s="5" t="str">
        <f>IFERROR(VLOOKUP($D1012,FIYAT!$B:$O,2,FALSE()),"")</f>
        <v>Сборка, кабелирование, маркировка, момент затяжки, испытания</v>
      </c>
      <c r="F1012" s="5">
        <f>IFERROR(VLOOKUP($D1012,FIYAT!$B:$O,5,FALSE()),"")</f>
        <v>100</v>
      </c>
      <c r="G1012" s="5">
        <f>IFERROR(VLOOKUP($D1012,FIYAT!$B:$O,8,FALSE()),"")</f>
        <v>100</v>
      </c>
      <c r="H1012" s="5">
        <f>IF(OR($G1012="",$I1012=""),"",$G1012*$I1012)</f>
        <v>24500</v>
      </c>
      <c r="I1012" s="6">
        <f>ROUND(SUM($U$999:$U$1011)*KURALLAR!$B$27,0)</f>
        <v>245</v>
      </c>
      <c r="J1012" s="5" t="str">
        <f>IFERROR(VLOOKUP($D1012,FIYAT!$B:$O,9,FALSE()),"")</f>
        <v>мин</v>
      </c>
      <c r="K1012" s="5" t="str">
        <f>IFERROR(VLOOKUP($D1012,FIYAT!$B:$O,4,FALSE()),"")</f>
        <v>ISCILIK</v>
      </c>
      <c r="L1012" s="5">
        <f t="shared" si="123"/>
        <v>24500</v>
      </c>
      <c r="M1012" s="5"/>
      <c r="N1012" s="5"/>
      <c r="O1012" s="5"/>
      <c r="P1012" s="5" t="str">
        <f>IF($H1012="","FIYAT_YOK",IFERROR(VLOOKUP($D1012,FIYAT!$B:$P,15,FALSE()),""))</f>
        <v>OK</v>
      </c>
      <c r="Q1012" s="5" t="str">
        <f>CONCATENATE("montaj+test iscilik: ",TEXT($I1012,"# ##0")," dk = ",TEXT($I1012/60,"0,00")," saat (norm x test/etiket carpani)")</f>
        <v>montaj+test iscilik:  245 dk = 4,08 saat (norm x test/etiket carpani)</v>
      </c>
      <c r="R1012" s="5" t="s">
        <v>229</v>
      </c>
      <c r="S1012" s="5" t="s">
        <v>637</v>
      </c>
      <c r="T1012" s="5"/>
      <c r="U1012" s="5">
        <v>0</v>
      </c>
    </row>
    <row r="1013" spans="1:21" x14ac:dyDescent="0.25">
      <c r="A1013" s="10">
        <v>1012</v>
      </c>
      <c r="B1013" s="10" t="s">
        <v>674</v>
      </c>
      <c r="C1013" s="10"/>
      <c r="D1013" s="10"/>
      <c r="E1013" s="10"/>
      <c r="F1013" s="10"/>
      <c r="G1013" s="10"/>
      <c r="H1013" s="10">
        <f>SUBTOTAL(9,H999:H1012)</f>
        <v>164655</v>
      </c>
      <c r="I1013" s="10"/>
      <c r="J1013" s="10"/>
      <c r="K1013" s="10"/>
      <c r="L1013" s="10">
        <f>SUBTOTAL(9,L999:L1012)</f>
        <v>164655</v>
      </c>
      <c r="M1013" s="10"/>
      <c r="N1013" s="10"/>
      <c r="O1013" s="10"/>
      <c r="P1013" s="10"/>
      <c r="Q1013" s="10"/>
      <c r="R1013" s="10"/>
      <c r="S1013" s="10"/>
      <c r="T1013" s="10"/>
      <c r="U1013" s="10">
        <f>SUBTOTAL(9,U999:U1012)</f>
        <v>213</v>
      </c>
    </row>
    <row r="1014" spans="1:21" x14ac:dyDescent="0.25">
      <c r="A1014" s="8">
        <v>1013</v>
      </c>
      <c r="B1014" s="8" t="str">
        <f>E1014</f>
        <v>BLOK B / 6F-ИБП.2 — НКУ 380/220В 50Гц, FORM 2B, IP31/54</v>
      </c>
      <c r="C1014" s="8" t="s">
        <v>545</v>
      </c>
      <c r="D1014" s="8"/>
      <c r="E1014" s="8" t="s">
        <v>675</v>
      </c>
      <c r="F1014" s="8"/>
      <c r="G1014" s="8"/>
      <c r="H1014" s="8"/>
      <c r="I1014" s="8">
        <v>1</v>
      </c>
      <c r="J1014" s="8" t="s">
        <v>547</v>
      </c>
      <c r="K1014" s="8"/>
      <c r="L1014" s="8"/>
      <c r="M1014" s="8"/>
      <c r="N1014" s="8"/>
      <c r="O1014" s="8"/>
      <c r="P1014" s="8" t="s">
        <v>178</v>
      </c>
      <c r="Q1014" s="8" t="s">
        <v>548</v>
      </c>
      <c r="R1014" s="8" t="s">
        <v>549</v>
      </c>
      <c r="S1014" s="8" t="s">
        <v>637</v>
      </c>
      <c r="T1014" s="8"/>
      <c r="U1014" s="8"/>
    </row>
    <row r="1015" spans="1:21" x14ac:dyDescent="0.25">
      <c r="A1015" s="9">
        <v>1014</v>
      </c>
      <c r="B1015" s="9"/>
      <c r="C1015" s="9" t="s">
        <v>169</v>
      </c>
      <c r="D1015" s="9" t="s">
        <v>167</v>
      </c>
      <c r="E1015" s="9" t="str">
        <f>IFERROR(VLOOKUP($D1015,FIYAT!$B:$O,2,FALSE()),"")</f>
        <v>Авт. выкл. NM8N-125C TM 3P 32А 36кА с рег. термомаг. расцепителем (R)</v>
      </c>
      <c r="F1015" s="9">
        <f>IFERROR(VLOOKUP($D1015,FIYAT!$B:$O,5,FALSE()),"")</f>
        <v>64667</v>
      </c>
      <c r="G1015" s="9">
        <f>IFERROR(VLOOKUP($D1015,FIYAT!$B:$O,8,FALSE()),"")</f>
        <v>38800.199999999997</v>
      </c>
      <c r="H1015" s="9">
        <f t="shared" ref="H1015:H1026" si="124">IF(OR($G1015="",$I1015=""),"",$G1015*$I1015)</f>
        <v>38800.199999999997</v>
      </c>
      <c r="I1015" s="6">
        <v>1</v>
      </c>
      <c r="J1015" s="9" t="str">
        <f>IFERROR(VLOOKUP($D1015,FIYAT!$B:$O,9,FALSE()),"")</f>
        <v>Шт.</v>
      </c>
      <c r="K1015" s="9" t="str">
        <f>IFERROR(VLOOKUP($D1015,FIYAT!$B:$O,4,FALSE()),"")</f>
        <v>CHINT</v>
      </c>
      <c r="L1015" s="9">
        <f t="shared" ref="L1015:L1028" si="125">IF($H1015="","",$H1015)</f>
        <v>38800.199999999997</v>
      </c>
      <c r="M1015" s="9"/>
      <c r="N1015" s="9"/>
      <c r="O1015" s="9"/>
      <c r="P1015" s="9" t="str">
        <f>IF($H1015="","FIYAT_YOK",IFERROR(VLOOKUP($D1015,FIYAT!$B:$P,15,FALSE()),""))</f>
        <v>MUADIL</v>
      </c>
      <c r="Q1015" s="9" t="s">
        <v>172</v>
      </c>
      <c r="R1015" s="9" t="s">
        <v>171</v>
      </c>
      <c r="S1015" s="9" t="s">
        <v>637</v>
      </c>
      <c r="T1015" s="9" t="s">
        <v>61</v>
      </c>
      <c r="U1015" s="9">
        <f>IFERROR(VLOOKUP($T1015,KURALLAR!$A$32:$B$63,2,FALSE()),0)*IF(ISNUMBER($I1015),$I1015,0)</f>
        <v>15</v>
      </c>
    </row>
    <row r="1016" spans="1:21" x14ac:dyDescent="0.25">
      <c r="A1016" s="5">
        <v>1015</v>
      </c>
      <c r="B1016" s="5"/>
      <c r="C1016" s="5" t="s">
        <v>176</v>
      </c>
      <c r="D1016" s="5" t="s">
        <v>174</v>
      </c>
      <c r="E1016" s="5" t="str">
        <f>IFERROR(VLOOKUP($D1016,FIYAT!$B:$O,2,FALSE()),"")</f>
        <v>УЗО NL1-63 6kA 4P 63A 300mA тип AC (R)</v>
      </c>
      <c r="F1016" s="5">
        <f>IFERROR(VLOOKUP($D1016,FIYAT!$B:$O,5,FALSE()),"")</f>
        <v>18106</v>
      </c>
      <c r="G1016" s="5">
        <f>IFERROR(VLOOKUP($D1016,FIYAT!$B:$O,8,FALSE()),"")</f>
        <v>10863.6</v>
      </c>
      <c r="H1016" s="5">
        <f t="shared" si="124"/>
        <v>10863.6</v>
      </c>
      <c r="I1016" s="6">
        <v>1</v>
      </c>
      <c r="J1016" s="5" t="str">
        <f>IFERROR(VLOOKUP($D1016,FIYAT!$B:$O,9,FALSE()),"")</f>
        <v>Шт.</v>
      </c>
      <c r="K1016" s="5" t="str">
        <f>IFERROR(VLOOKUP($D1016,FIYAT!$B:$O,4,FALSE()),"")</f>
        <v>CHINT</v>
      </c>
      <c r="L1016" s="5">
        <f t="shared" si="125"/>
        <v>10863.6</v>
      </c>
      <c r="M1016" s="5"/>
      <c r="N1016" s="5"/>
      <c r="O1016" s="5"/>
      <c r="P1016" s="5" t="str">
        <f>IF($H1016="","FIYAT_YOK",IFERROR(VLOOKUP($D1016,FIYAT!$B:$P,15,FALSE()),""))</f>
        <v>OK</v>
      </c>
      <c r="Q1016" s="5" t="s">
        <v>177</v>
      </c>
      <c r="R1016" s="5" t="s">
        <v>171</v>
      </c>
      <c r="S1016" s="5" t="s">
        <v>637</v>
      </c>
      <c r="T1016" s="5" t="s">
        <v>57</v>
      </c>
      <c r="U1016" s="5">
        <f>IFERROR(VLOOKUP($T1016,KURALLAR!$A$32:$B$63,2,FALSE()),0)*IF(ISNUMBER($I1016),$I1016,0)</f>
        <v>10</v>
      </c>
    </row>
    <row r="1017" spans="1:21" x14ac:dyDescent="0.25">
      <c r="A1017" s="9">
        <v>1016</v>
      </c>
      <c r="B1017" s="9"/>
      <c r="C1017" s="9" t="s">
        <v>79</v>
      </c>
      <c r="D1017" s="9" t="s">
        <v>179</v>
      </c>
      <c r="E1017" s="9" t="str">
        <f>IFERROR(VLOOKUP($D1017,FIYAT!$B:$O,2,FALSE()),"")</f>
        <v>Держатель плавкой вставки RT36-00-160, габарит 00, 160А</v>
      </c>
      <c r="F1017" s="9">
        <f>IFERROR(VLOOKUP($D1017,FIYAT!$B:$O,5,FALSE()),"")</f>
        <v>2038</v>
      </c>
      <c r="G1017" s="9">
        <f>IFERROR(VLOOKUP($D1017,FIYAT!$B:$O,8,FALSE()),"")</f>
        <v>1222.8</v>
      </c>
      <c r="H1017" s="9">
        <f t="shared" si="124"/>
        <v>4891.2</v>
      </c>
      <c r="I1017" s="6">
        <v>4</v>
      </c>
      <c r="J1017" s="9" t="str">
        <f>IFERROR(VLOOKUP($D1017,FIYAT!$B:$O,9,FALSE()),"")</f>
        <v>Шт.</v>
      </c>
      <c r="K1017" s="9" t="str">
        <f>IFERROR(VLOOKUP($D1017,FIYAT!$B:$O,4,FALSE()),"")</f>
        <v>CHINT</v>
      </c>
      <c r="L1017" s="9">
        <f t="shared" si="125"/>
        <v>4891.2</v>
      </c>
      <c r="M1017" s="9"/>
      <c r="N1017" s="9"/>
      <c r="O1017" s="9"/>
      <c r="P1017" s="9" t="str">
        <f>IF($H1017="","FIYAT_YOK",IFERROR(VLOOKUP($D1017,FIYAT!$B:$P,15,FALSE()),""))</f>
        <v>MUADIL</v>
      </c>
      <c r="Q1017" s="9" t="s">
        <v>181</v>
      </c>
      <c r="R1017" s="9" t="s">
        <v>171</v>
      </c>
      <c r="S1017" s="9" t="s">
        <v>637</v>
      </c>
      <c r="T1017" s="9" t="s">
        <v>77</v>
      </c>
      <c r="U1017" s="9">
        <f>IFERROR(VLOOKUP($T1017,KURALLAR!$A$32:$B$63,2,FALSE()),0)*IF(ISNUMBER($I1017),$I1017,0)</f>
        <v>20</v>
      </c>
    </row>
    <row r="1018" spans="1:21" x14ac:dyDescent="0.25">
      <c r="A1018" s="5">
        <v>1017</v>
      </c>
      <c r="B1018" s="5"/>
      <c r="C1018" s="5" t="s">
        <v>79</v>
      </c>
      <c r="D1018" s="5" t="s">
        <v>182</v>
      </c>
      <c r="E1018" s="5" t="str">
        <f>IFERROR(VLOOKUP($D1018,FIYAT!$B:$O,2,FALSE()),"")</f>
        <v>Плавкая вставка предохранителя RT36-00-160, габарит 00, 63А</v>
      </c>
      <c r="F1018" s="5">
        <f>IFERROR(VLOOKUP($D1018,FIYAT!$B:$O,5,FALSE()),"")</f>
        <v>1525</v>
      </c>
      <c r="G1018" s="5">
        <f>IFERROR(VLOOKUP($D1018,FIYAT!$B:$O,8,FALSE()),"")</f>
        <v>915</v>
      </c>
      <c r="H1018" s="5">
        <f t="shared" si="124"/>
        <v>3660</v>
      </c>
      <c r="I1018" s="6">
        <v>4</v>
      </c>
      <c r="J1018" s="5" t="str">
        <f>IFERROR(VLOOKUP($D1018,FIYAT!$B:$O,9,FALSE()),"")</f>
        <v>Шт.</v>
      </c>
      <c r="K1018" s="5" t="str">
        <f>IFERROR(VLOOKUP($D1018,FIYAT!$B:$O,4,FALSE()),"")</f>
        <v>CHINT</v>
      </c>
      <c r="L1018" s="5">
        <f t="shared" si="125"/>
        <v>3660</v>
      </c>
      <c r="M1018" s="5"/>
      <c r="N1018" s="5"/>
      <c r="O1018" s="5"/>
      <c r="P1018" s="5" t="str">
        <f>IF($H1018="","FIYAT_YOK",IFERROR(VLOOKUP($D1018,FIYAT!$B:$P,15,FALSE()),""))</f>
        <v>MUADIL</v>
      </c>
      <c r="Q1018" s="5" t="s">
        <v>185</v>
      </c>
      <c r="R1018" s="5" t="s">
        <v>184</v>
      </c>
      <c r="S1018" s="5" t="s">
        <v>637</v>
      </c>
      <c r="T1018" s="5" t="s">
        <v>79</v>
      </c>
      <c r="U1018" s="5">
        <f>IFERROR(VLOOKUP($T1018,KURALLAR!$A$32:$B$63,2,FALSE()),0)*IF(ISNUMBER($I1018),$I1018,0)</f>
        <v>12</v>
      </c>
    </row>
    <row r="1019" spans="1:21" x14ac:dyDescent="0.25">
      <c r="A1019" s="9">
        <v>1018</v>
      </c>
      <c r="B1019" s="9"/>
      <c r="C1019" s="9" t="s">
        <v>75</v>
      </c>
      <c r="D1019" s="9" t="s">
        <v>186</v>
      </c>
      <c r="E1019" s="9" t="str">
        <f>IFERROR(VLOOKUP($D1019,FIYAT!$B:$O,2,FALSE()),"")</f>
        <v>Ограничитель имп. перенапр. NU6-IIG 4Р In=25kA Uc=440B Im=65kA (R)</v>
      </c>
      <c r="F1019" s="9">
        <f>IFERROR(VLOOKUP($D1019,FIYAT!$B:$O,5,FALSE()),"")</f>
        <v>33208</v>
      </c>
      <c r="G1019" s="9">
        <f>IFERROR(VLOOKUP($D1019,FIYAT!$B:$O,8,FALSE()),"")</f>
        <v>19924.8</v>
      </c>
      <c r="H1019" s="9">
        <f t="shared" si="124"/>
        <v>19924.8</v>
      </c>
      <c r="I1019" s="6">
        <v>1</v>
      </c>
      <c r="J1019" s="9" t="str">
        <f>IFERROR(VLOOKUP($D1019,FIYAT!$B:$O,9,FALSE()),"")</f>
        <v>Шт.</v>
      </c>
      <c r="K1019" s="9" t="str">
        <f>IFERROR(VLOOKUP($D1019,FIYAT!$B:$O,4,FALSE()),"")</f>
        <v>CHINT</v>
      </c>
      <c r="L1019" s="9">
        <f t="shared" si="125"/>
        <v>19924.8</v>
      </c>
      <c r="M1019" s="9"/>
      <c r="N1019" s="9"/>
      <c r="O1019" s="9"/>
      <c r="P1019" s="9" t="str">
        <f>IF($H1019="","FIYAT_YOK",IFERROR(VLOOKUP($D1019,FIYAT!$B:$P,15,FALSE()),""))</f>
        <v>MUADIL_ONAY</v>
      </c>
      <c r="Q1019" s="9" t="s">
        <v>188</v>
      </c>
      <c r="R1019" s="9" t="s">
        <v>184</v>
      </c>
      <c r="S1019" s="9" t="s">
        <v>637</v>
      </c>
      <c r="T1019" s="9" t="s">
        <v>75</v>
      </c>
      <c r="U1019" s="9">
        <f>IFERROR(VLOOKUP($T1019,KURALLAR!$A$32:$B$63,2,FALSE()),0)*IF(ISNUMBER($I1019),$I1019,0)</f>
        <v>10</v>
      </c>
    </row>
    <row r="1020" spans="1:21" x14ac:dyDescent="0.25">
      <c r="A1020" s="5">
        <v>1019</v>
      </c>
      <c r="B1020" s="5"/>
      <c r="C1020" s="5" t="s">
        <v>192</v>
      </c>
      <c r="D1020" s="5" t="s">
        <v>321</v>
      </c>
      <c r="E1020" s="5" t="str">
        <f>IFERROR(VLOOKUP($D1020,FIYAT!$B:$O,2,FALSE()),"")</f>
        <v>Авт. выкл. NXB-63 1P 25A 6кА х-ка C (R)</v>
      </c>
      <c r="F1020" s="5">
        <f>IFERROR(VLOOKUP($D1020,FIYAT!$B:$O,5,FALSE()),"")</f>
        <v>1330</v>
      </c>
      <c r="G1020" s="5">
        <f>IFERROR(VLOOKUP($D1020,FIYAT!$B:$O,8,FALSE()),"")</f>
        <v>798</v>
      </c>
      <c r="H1020" s="5">
        <f t="shared" si="124"/>
        <v>798</v>
      </c>
      <c r="I1020" s="6">
        <v>1</v>
      </c>
      <c r="J1020" s="5" t="str">
        <f>IFERROR(VLOOKUP($D1020,FIYAT!$B:$O,9,FALSE()),"")</f>
        <v>Шт.</v>
      </c>
      <c r="K1020" s="5" t="str">
        <f>IFERROR(VLOOKUP($D1020,FIYAT!$B:$O,4,FALSE()),"")</f>
        <v>CHINT</v>
      </c>
      <c r="L1020" s="5">
        <f t="shared" si="125"/>
        <v>798</v>
      </c>
      <c r="M1020" s="5"/>
      <c r="N1020" s="5"/>
      <c r="O1020" s="5"/>
      <c r="P1020" s="5" t="str">
        <f>IF($H1020="","FIYAT_YOK",IFERROR(VLOOKUP($D1020,FIYAT!$B:$P,15,FALSE()),""))</f>
        <v>OK</v>
      </c>
      <c r="Q1020" s="5" t="s">
        <v>323</v>
      </c>
      <c r="R1020" s="5" t="s">
        <v>171</v>
      </c>
      <c r="S1020" s="5" t="s">
        <v>637</v>
      </c>
      <c r="T1020" s="5" t="s">
        <v>47</v>
      </c>
      <c r="U1020" s="5">
        <f>IFERROR(VLOOKUP($T1020,KURALLAR!$A$32:$B$63,2,FALSE()),0)*IF(ISNUMBER($I1020),$I1020,0)</f>
        <v>3</v>
      </c>
    </row>
    <row r="1021" spans="1:21" x14ac:dyDescent="0.25">
      <c r="A1021" s="9">
        <v>1020</v>
      </c>
      <c r="B1021" s="9"/>
      <c r="C1021" s="9" t="s">
        <v>176</v>
      </c>
      <c r="D1021" s="9" t="s">
        <v>324</v>
      </c>
      <c r="E1021" s="9" t="str">
        <f>IFERROR(VLOOKUP($D1021,FIYAT!$B:$O,2,FALSE()),"")</f>
        <v>УЗО NL1-63 6kA 2P 25A 30mA тип AC (R)</v>
      </c>
      <c r="F1021" s="9">
        <f>IFERROR(VLOOKUP($D1021,FIYAT!$B:$O,5,FALSE()),"")</f>
        <v>10809</v>
      </c>
      <c r="G1021" s="9">
        <f>IFERROR(VLOOKUP($D1021,FIYAT!$B:$O,8,FALSE()),"")</f>
        <v>6485.4</v>
      </c>
      <c r="H1021" s="9">
        <f t="shared" si="124"/>
        <v>6485.4</v>
      </c>
      <c r="I1021" s="6">
        <v>1</v>
      </c>
      <c r="J1021" s="9" t="str">
        <f>IFERROR(VLOOKUP($D1021,FIYAT!$B:$O,9,FALSE()),"")</f>
        <v>Шт.</v>
      </c>
      <c r="K1021" s="9" t="str">
        <f>IFERROR(VLOOKUP($D1021,FIYAT!$B:$O,4,FALSE()),"")</f>
        <v>CHINT</v>
      </c>
      <c r="L1021" s="9">
        <f t="shared" si="125"/>
        <v>6485.4</v>
      </c>
      <c r="M1021" s="9"/>
      <c r="N1021" s="9"/>
      <c r="O1021" s="9"/>
      <c r="P1021" s="9" t="str">
        <f>IF($H1021="","FIYAT_YOK",IFERROR(VLOOKUP($D1021,FIYAT!$B:$P,15,FALSE()),""))</f>
        <v>OK</v>
      </c>
      <c r="Q1021" s="9" t="s">
        <v>326</v>
      </c>
      <c r="R1021" s="9" t="s">
        <v>171</v>
      </c>
      <c r="S1021" s="9" t="s">
        <v>637</v>
      </c>
      <c r="T1021" s="9" t="s">
        <v>55</v>
      </c>
      <c r="U1021" s="9">
        <f>IFERROR(VLOOKUP($T1021,KURALLAR!$A$32:$B$63,2,FALSE()),0)*IF(ISNUMBER($I1021),$I1021,0)</f>
        <v>6</v>
      </c>
    </row>
    <row r="1022" spans="1:21" x14ac:dyDescent="0.25">
      <c r="A1022" s="5">
        <v>1021</v>
      </c>
      <c r="B1022" s="5"/>
      <c r="C1022" s="5" t="s">
        <v>192</v>
      </c>
      <c r="D1022" s="5" t="s">
        <v>194</v>
      </c>
      <c r="E1022" s="5" t="str">
        <f>IFERROR(VLOOKUP($D1022,FIYAT!$B:$O,2,FALSE()),"")</f>
        <v>Авт. выкл. NXB-63 1P 16A 6кА х-ка C (R)</v>
      </c>
      <c r="F1022" s="5">
        <f>IFERROR(VLOOKUP($D1022,FIYAT!$B:$O,5,FALSE()),"")</f>
        <v>1389</v>
      </c>
      <c r="G1022" s="5">
        <f>IFERROR(VLOOKUP($D1022,FIYAT!$B:$O,8,FALSE()),"")</f>
        <v>833.4</v>
      </c>
      <c r="H1022" s="5">
        <f t="shared" si="124"/>
        <v>4167</v>
      </c>
      <c r="I1022" s="6">
        <v>5</v>
      </c>
      <c r="J1022" s="5" t="str">
        <f>IFERROR(VLOOKUP($D1022,FIYAT!$B:$O,9,FALSE()),"")</f>
        <v>Шт.</v>
      </c>
      <c r="K1022" s="5" t="str">
        <f>IFERROR(VLOOKUP($D1022,FIYAT!$B:$O,4,FALSE()),"")</f>
        <v>CHINT</v>
      </c>
      <c r="L1022" s="5">
        <f t="shared" si="125"/>
        <v>4167</v>
      </c>
      <c r="M1022" s="5"/>
      <c r="N1022" s="5"/>
      <c r="O1022" s="5"/>
      <c r="P1022" s="5" t="str">
        <f>IF($H1022="","FIYAT_YOK",IFERROR(VLOOKUP($D1022,FIYAT!$B:$P,15,FALSE()),""))</f>
        <v>OK</v>
      </c>
      <c r="Q1022" s="5" t="s">
        <v>196</v>
      </c>
      <c r="R1022" s="5" t="s">
        <v>171</v>
      </c>
      <c r="S1022" s="5" t="s">
        <v>637</v>
      </c>
      <c r="T1022" s="5" t="s">
        <v>47</v>
      </c>
      <c r="U1022" s="5">
        <f>IFERROR(VLOOKUP($T1022,KURALLAR!$A$32:$B$63,2,FALSE()),0)*IF(ISNUMBER($I1022),$I1022,0)</f>
        <v>15</v>
      </c>
    </row>
    <row r="1023" spans="1:21" x14ac:dyDescent="0.25">
      <c r="A1023" s="9">
        <v>1022</v>
      </c>
      <c r="B1023" s="9"/>
      <c r="C1023" s="9" t="s">
        <v>176</v>
      </c>
      <c r="D1023" s="9" t="s">
        <v>200</v>
      </c>
      <c r="E1023" s="9" t="str">
        <f>IFERROR(VLOOKUP($D1023,FIYAT!$B:$O,2,FALSE()),"")</f>
        <v>УЗО NL1-63 6kA 2P 16A 30mA тип AC (R)</v>
      </c>
      <c r="F1023" s="9">
        <f>IFERROR(VLOOKUP($D1023,FIYAT!$B:$O,5,FALSE()),"")</f>
        <v>10809</v>
      </c>
      <c r="G1023" s="9">
        <f>IFERROR(VLOOKUP($D1023,FIYAT!$B:$O,8,FALSE()),"")</f>
        <v>6485.4</v>
      </c>
      <c r="H1023" s="9">
        <f t="shared" si="124"/>
        <v>6485.4</v>
      </c>
      <c r="I1023" s="6">
        <v>1</v>
      </c>
      <c r="J1023" s="9" t="str">
        <f>IFERROR(VLOOKUP($D1023,FIYAT!$B:$O,9,FALSE()),"")</f>
        <v>Шт.</v>
      </c>
      <c r="K1023" s="9" t="str">
        <f>IFERROR(VLOOKUP($D1023,FIYAT!$B:$O,4,FALSE()),"")</f>
        <v>CHINT</v>
      </c>
      <c r="L1023" s="9">
        <f t="shared" si="125"/>
        <v>6485.4</v>
      </c>
      <c r="M1023" s="9"/>
      <c r="N1023" s="9"/>
      <c r="O1023" s="9"/>
      <c r="P1023" s="9" t="str">
        <f>IF($H1023="","FIYAT_YOK",IFERROR(VLOOKUP($D1023,FIYAT!$B:$P,15,FALSE()),""))</f>
        <v>OK</v>
      </c>
      <c r="Q1023" s="9" t="s">
        <v>202</v>
      </c>
      <c r="R1023" s="9" t="s">
        <v>171</v>
      </c>
      <c r="S1023" s="9" t="s">
        <v>637</v>
      </c>
      <c r="T1023" s="9" t="s">
        <v>55</v>
      </c>
      <c r="U1023" s="9">
        <f>IFERROR(VLOOKUP($T1023,KURALLAR!$A$32:$B$63,2,FALSE()),0)*IF(ISNUMBER($I1023),$I1023,0)</f>
        <v>6</v>
      </c>
    </row>
    <row r="1024" spans="1:21" x14ac:dyDescent="0.25">
      <c r="A1024" s="5">
        <v>1023</v>
      </c>
      <c r="B1024" s="5"/>
      <c r="C1024" s="5" t="s">
        <v>192</v>
      </c>
      <c r="D1024" s="5" t="s">
        <v>206</v>
      </c>
      <c r="E1024" s="5" t="str">
        <f>IFERROR(VLOOKUP($D1024,FIYAT!$B:$O,2,FALSE()),"")</f>
        <v>Авт. выкл. NXB-63 1P 10A 6кА х-ка C (R)</v>
      </c>
      <c r="F1024" s="5">
        <f>IFERROR(VLOOKUP($D1024,FIYAT!$B:$O,5,FALSE()),"")</f>
        <v>1362</v>
      </c>
      <c r="G1024" s="5">
        <f>IFERROR(VLOOKUP($D1024,FIYAT!$B:$O,8,FALSE()),"")</f>
        <v>817.19999999999993</v>
      </c>
      <c r="H1024" s="5">
        <f t="shared" si="124"/>
        <v>11440.8</v>
      </c>
      <c r="I1024" s="6">
        <v>14</v>
      </c>
      <c r="J1024" s="5" t="str">
        <f>IFERROR(VLOOKUP($D1024,FIYAT!$B:$O,9,FALSE()),"")</f>
        <v>Шт.</v>
      </c>
      <c r="K1024" s="5" t="str">
        <f>IFERROR(VLOOKUP($D1024,FIYAT!$B:$O,4,FALSE()),"")</f>
        <v>CHINT</v>
      </c>
      <c r="L1024" s="5">
        <f t="shared" si="125"/>
        <v>11440.8</v>
      </c>
      <c r="M1024" s="5"/>
      <c r="N1024" s="5"/>
      <c r="O1024" s="5"/>
      <c r="P1024" s="5" t="str">
        <f>IF($H1024="","FIYAT_YOK",IFERROR(VLOOKUP($D1024,FIYAT!$B:$P,15,FALSE()),""))</f>
        <v>OK</v>
      </c>
      <c r="Q1024" s="5" t="s">
        <v>208</v>
      </c>
      <c r="R1024" s="5" t="s">
        <v>184</v>
      </c>
      <c r="S1024" s="5" t="s">
        <v>637</v>
      </c>
      <c r="T1024" s="5" t="s">
        <v>47</v>
      </c>
      <c r="U1024" s="5">
        <f>IFERROR(VLOOKUP($T1024,KURALLAR!$A$32:$B$63,2,FALSE()),0)*IF(ISNUMBER($I1024),$I1024,0)</f>
        <v>42</v>
      </c>
    </row>
    <row r="1025" spans="1:21" x14ac:dyDescent="0.25">
      <c r="A1025" s="9">
        <v>1024</v>
      </c>
      <c r="B1025" s="9"/>
      <c r="C1025" s="9" t="s">
        <v>93</v>
      </c>
      <c r="D1025" s="9" t="s">
        <v>209</v>
      </c>
      <c r="E1025" s="9" t="str">
        <f>IFERROR(VLOOKUP($D1025,FIYAT!$B:$O,2,FALSE()),"")</f>
        <v>Шина "N" нулевая 6х9мм на DIN-рейку в корпусном изоляторе ШНИ 12К IEK (10)</v>
      </c>
      <c r="F1025" s="9">
        <f>IFERROR(VLOOKUP($D1025,FIYAT!$B:$O,5,FALSE()),"")</f>
        <v>755</v>
      </c>
      <c r="G1025" s="9">
        <f>IFERROR(VLOOKUP($D1025,FIYAT!$B:$O,8,FALSE()),"")</f>
        <v>453</v>
      </c>
      <c r="H1025" s="9">
        <f t="shared" si="124"/>
        <v>1812</v>
      </c>
      <c r="I1025" s="6">
        <v>4</v>
      </c>
      <c r="J1025" s="9" t="str">
        <f>IFERROR(VLOOKUP($D1025,FIYAT!$B:$O,9,FALSE()),"")</f>
        <v>Шт.</v>
      </c>
      <c r="K1025" s="9" t="str">
        <f>IFERROR(VLOOKUP($D1025,FIYAT!$B:$O,4,FALSE()),"")</f>
        <v>KAZTEK</v>
      </c>
      <c r="L1025" s="9">
        <f t="shared" si="125"/>
        <v>1812</v>
      </c>
      <c r="M1025" s="9"/>
      <c r="N1025" s="9"/>
      <c r="O1025" s="9"/>
      <c r="P1025" s="9" t="str">
        <f>IF($H1025="","FIYAT_YOK",IFERROR(VLOOKUP($D1025,FIYAT!$B:$P,15,FALSE()),""))</f>
        <v>MUADIL</v>
      </c>
      <c r="Q1025" s="9" t="s">
        <v>212</v>
      </c>
      <c r="R1025" s="9" t="s">
        <v>211</v>
      </c>
      <c r="S1025" s="9" t="s">
        <v>637</v>
      </c>
      <c r="T1025" s="9" t="s">
        <v>93</v>
      </c>
      <c r="U1025" s="9">
        <f>IFERROR(VLOOKUP($T1025,KURALLAR!$A$32:$B$63,2,FALSE()),0)*IF(ISNUMBER($I1025),$I1025,0)</f>
        <v>32</v>
      </c>
    </row>
    <row r="1026" spans="1:21" x14ac:dyDescent="0.25">
      <c r="A1026" s="5">
        <v>1025</v>
      </c>
      <c r="B1026" s="5"/>
      <c r="C1026" s="5" t="s">
        <v>222</v>
      </c>
      <c r="D1026" s="5" t="s">
        <v>310</v>
      </c>
      <c r="E1026" s="5" t="str">
        <f>IFERROR(VLOOKUP($D1026,FIYAT!$B:$O,2,FALSE()),"")</f>
        <v>Мет.Корпус ЩМП-4 (800x650x250) IP54</v>
      </c>
      <c r="F1026" s="5">
        <f>IFERROR(VLOOKUP($D1026,FIYAT!$B:$O,5,FALSE()),"")</f>
        <v>30540</v>
      </c>
      <c r="G1026" s="5">
        <f>IFERROR(VLOOKUP($D1026,FIYAT!$B:$O,8,FALSE()),"")</f>
        <v>18324</v>
      </c>
      <c r="H1026" s="5">
        <f t="shared" si="124"/>
        <v>18324</v>
      </c>
      <c r="I1026" s="6">
        <v>1</v>
      </c>
      <c r="J1026" s="5" t="str">
        <f>IFERROR(VLOOKUP($D1026,FIYAT!$B:$O,9,FALSE()),"")</f>
        <v>Шт.</v>
      </c>
      <c r="K1026" s="5" t="str">
        <f>IFERROR(VLOOKUP($D1026,FIYAT!$B:$O,4,FALSE()),"")</f>
        <v>KAZTEK</v>
      </c>
      <c r="L1026" s="5">
        <f t="shared" si="125"/>
        <v>18324</v>
      </c>
      <c r="M1026" s="5"/>
      <c r="N1026" s="5"/>
      <c r="O1026" s="5"/>
      <c r="P1026" s="5" t="str">
        <f>IF($H1026="","FIYAT_YOK",IFERROR(VLOOKUP($D1026,FIYAT!$B:$P,15,FALSE()),""))</f>
        <v>VARSAYIM</v>
      </c>
      <c r="Q1026" s="5" t="s">
        <v>312</v>
      </c>
      <c r="R1026" s="5" t="s">
        <v>211</v>
      </c>
      <c r="S1026" s="5" t="s">
        <v>637</v>
      </c>
      <c r="T1026" s="5" t="s">
        <v>105</v>
      </c>
      <c r="U1026" s="5">
        <f>IFERROR(VLOOKUP($T1026,KURALLAR!$A$32:$B$63,2,FALSE()),0)*IF(ISNUMBER($I1026),$I1026,0)</f>
        <v>30</v>
      </c>
    </row>
    <row r="1027" spans="1:21" x14ac:dyDescent="0.25">
      <c r="A1027" s="9">
        <v>1026</v>
      </c>
      <c r="B1027" s="9"/>
      <c r="C1027" s="9" t="s">
        <v>215</v>
      </c>
      <c r="D1027" s="9" t="s">
        <v>213</v>
      </c>
      <c r="E1027" s="9" t="str">
        <f>IFERROR(VLOOKUP($D1027,FIYAT!$B:$O,2,FALSE()),"")</f>
        <v>Монтажный расходный материал (кабель, DIN-рейка, кабель-канал, клеммы, маркировка, крепёж)</v>
      </c>
      <c r="F1027" s="9">
        <f>IFERROR(VLOOKUP($D1027,FIYAT!$B:$O,5,FALSE()),"")</f>
        <v>0</v>
      </c>
      <c r="G1027" s="9" t="str">
        <f>IFERROR(VLOOKUP($D1027,FIYAT!$B:$O,8,FALSE()),"")</f>
        <v/>
      </c>
      <c r="H1027" s="9">
        <f>ROUND(SUM($H$1015:$H$1026)*KURALLAR!$B$28,0)</f>
        <v>8936</v>
      </c>
      <c r="I1027" s="6">
        <v>1</v>
      </c>
      <c r="J1027" s="9" t="str">
        <f>IFERROR(VLOOKUP($D1027,FIYAT!$B:$O,9,FALSE()),"")</f>
        <v>компл.</v>
      </c>
      <c r="K1027" s="9" t="str">
        <f>IFERROR(VLOOKUP($D1027,FIYAT!$B:$O,4,FALSE()),"")</f>
        <v>MUADIL-NET</v>
      </c>
      <c r="L1027" s="9">
        <f t="shared" si="125"/>
        <v>8936</v>
      </c>
      <c r="M1027" s="9"/>
      <c r="N1027" s="9"/>
      <c r="O1027" s="9"/>
      <c r="P1027" s="9" t="str">
        <f>IF($H1027="","FIYAT_YOK",IFERROR(VLOOKUP($D1027,FIYAT!$B:$P,15,FALSE()),""))</f>
        <v>ORAN</v>
      </c>
      <c r="Q1027" s="9" t="s">
        <v>218</v>
      </c>
      <c r="R1027" s="9" t="s">
        <v>217</v>
      </c>
      <c r="S1027" s="9" t="s">
        <v>637</v>
      </c>
      <c r="T1027" s="9"/>
      <c r="U1027" s="9">
        <v>0</v>
      </c>
    </row>
    <row r="1028" spans="1:21" x14ac:dyDescent="0.25">
      <c r="A1028" s="5">
        <v>1027</v>
      </c>
      <c r="B1028" s="5"/>
      <c r="C1028" s="5" t="s">
        <v>227</v>
      </c>
      <c r="D1028" s="5" t="s">
        <v>225</v>
      </c>
      <c r="E1028" s="5" t="str">
        <f>IFERROR(VLOOKUP($D1028,FIYAT!$B:$O,2,FALSE()),"")</f>
        <v>Сборка, кабелирование, маркировка, момент затяжки, испытания</v>
      </c>
      <c r="F1028" s="5">
        <f>IFERROR(VLOOKUP($D1028,FIYAT!$B:$O,5,FALSE()),"")</f>
        <v>100</v>
      </c>
      <c r="G1028" s="5">
        <f>IFERROR(VLOOKUP($D1028,FIYAT!$B:$O,8,FALSE()),"")</f>
        <v>100</v>
      </c>
      <c r="H1028" s="5">
        <f>IF(OR($G1028="",$I1028=""),"",$G1028*$I1028)</f>
        <v>23100</v>
      </c>
      <c r="I1028" s="6">
        <f>ROUND(SUM($U$1015:$U$1027)*KURALLAR!$B$27,0)</f>
        <v>231</v>
      </c>
      <c r="J1028" s="5" t="str">
        <f>IFERROR(VLOOKUP($D1028,FIYAT!$B:$O,9,FALSE()),"")</f>
        <v>мин</v>
      </c>
      <c r="K1028" s="5" t="str">
        <f>IFERROR(VLOOKUP($D1028,FIYAT!$B:$O,4,FALSE()),"")</f>
        <v>ISCILIK</v>
      </c>
      <c r="L1028" s="5">
        <f t="shared" si="125"/>
        <v>23100</v>
      </c>
      <c r="M1028" s="5"/>
      <c r="N1028" s="5"/>
      <c r="O1028" s="5"/>
      <c r="P1028" s="5" t="str">
        <f>IF($H1028="","FIYAT_YOK",IFERROR(VLOOKUP($D1028,FIYAT!$B:$P,15,FALSE()),""))</f>
        <v>OK</v>
      </c>
      <c r="Q1028" s="5" t="str">
        <f>CONCATENATE("montaj+test iscilik: ",TEXT($I1028,"# ##0")," dk = ",TEXT($I1028/60,"0,00")," saat (norm x test/etiket carpani)")</f>
        <v>montaj+test iscilik:  231 dk = 3,85 saat (norm x test/etiket carpani)</v>
      </c>
      <c r="R1028" s="5" t="s">
        <v>229</v>
      </c>
      <c r="S1028" s="5" t="s">
        <v>637</v>
      </c>
      <c r="T1028" s="5"/>
      <c r="U1028" s="5">
        <v>0</v>
      </c>
    </row>
    <row r="1029" spans="1:21" x14ac:dyDescent="0.25">
      <c r="A1029" s="10">
        <v>1028</v>
      </c>
      <c r="B1029" s="10" t="s">
        <v>676</v>
      </c>
      <c r="C1029" s="10"/>
      <c r="D1029" s="10"/>
      <c r="E1029" s="10"/>
      <c r="F1029" s="10"/>
      <c r="G1029" s="10"/>
      <c r="H1029" s="10">
        <f>SUBTOTAL(9,H1015:H1028)</f>
        <v>159688.39999999997</v>
      </c>
      <c r="I1029" s="10"/>
      <c r="J1029" s="10"/>
      <c r="K1029" s="10"/>
      <c r="L1029" s="10">
        <f>SUBTOTAL(9,L1015:L1028)</f>
        <v>159688.39999999997</v>
      </c>
      <c r="M1029" s="10"/>
      <c r="N1029" s="10"/>
      <c r="O1029" s="10"/>
      <c r="P1029" s="10"/>
      <c r="Q1029" s="10"/>
      <c r="R1029" s="10"/>
      <c r="S1029" s="10"/>
      <c r="T1029" s="10"/>
      <c r="U1029" s="10">
        <f>SUBTOTAL(9,U1015:U1028)</f>
        <v>201</v>
      </c>
    </row>
    <row r="1030" spans="1:21" x14ac:dyDescent="0.25">
      <c r="A1030" s="8">
        <v>1029</v>
      </c>
      <c r="B1030" s="8" t="str">
        <f>E1030</f>
        <v>BLOK B / 11F-ЩС.1 — НКУ 380/220В 50Гц, FORM 2B, IP31/54</v>
      </c>
      <c r="C1030" s="8" t="s">
        <v>545</v>
      </c>
      <c r="D1030" s="8"/>
      <c r="E1030" s="8" t="s">
        <v>677</v>
      </c>
      <c r="F1030" s="8"/>
      <c r="G1030" s="8"/>
      <c r="H1030" s="8"/>
      <c r="I1030" s="8">
        <v>1</v>
      </c>
      <c r="J1030" s="8" t="s">
        <v>547</v>
      </c>
      <c r="K1030" s="8"/>
      <c r="L1030" s="8"/>
      <c r="M1030" s="8"/>
      <c r="N1030" s="8"/>
      <c r="O1030" s="8"/>
      <c r="P1030" s="8" t="s">
        <v>178</v>
      </c>
      <c r="Q1030" s="8" t="s">
        <v>548</v>
      </c>
      <c r="R1030" s="8" t="s">
        <v>549</v>
      </c>
      <c r="S1030" s="8" t="s">
        <v>637</v>
      </c>
      <c r="T1030" s="8"/>
      <c r="U1030" s="8"/>
    </row>
    <row r="1031" spans="1:21" x14ac:dyDescent="0.25">
      <c r="A1031" s="9">
        <v>1030</v>
      </c>
      <c r="B1031" s="9"/>
      <c r="C1031" s="9" t="s">
        <v>169</v>
      </c>
      <c r="D1031" s="9" t="s">
        <v>167</v>
      </c>
      <c r="E1031" s="9" t="str">
        <f>IFERROR(VLOOKUP($D1031,FIYAT!$B:$O,2,FALSE()),"")</f>
        <v>Авт. выкл. NM8N-125C TM 3P 32А 36кА с рег. термомаг. расцепителем (R)</v>
      </c>
      <c r="F1031" s="9">
        <f>IFERROR(VLOOKUP($D1031,FIYAT!$B:$O,5,FALSE()),"")</f>
        <v>64667</v>
      </c>
      <c r="G1031" s="9">
        <f>IFERROR(VLOOKUP($D1031,FIYAT!$B:$O,8,FALSE()),"")</f>
        <v>38800.199999999997</v>
      </c>
      <c r="H1031" s="9">
        <f t="shared" ref="H1031:H1042" si="126">IF(OR($G1031="",$I1031=""),"",$G1031*$I1031)</f>
        <v>38800.199999999997</v>
      </c>
      <c r="I1031" s="6">
        <v>1</v>
      </c>
      <c r="J1031" s="9" t="str">
        <f>IFERROR(VLOOKUP($D1031,FIYAT!$B:$O,9,FALSE()),"")</f>
        <v>Шт.</v>
      </c>
      <c r="K1031" s="9" t="str">
        <f>IFERROR(VLOOKUP($D1031,FIYAT!$B:$O,4,FALSE()),"")</f>
        <v>CHINT</v>
      </c>
      <c r="L1031" s="9">
        <f t="shared" ref="L1031:L1044" si="127">IF($H1031="","",$H1031)</f>
        <v>38800.199999999997</v>
      </c>
      <c r="M1031" s="9"/>
      <c r="N1031" s="9"/>
      <c r="O1031" s="9"/>
      <c r="P1031" s="9" t="str">
        <f>IF($H1031="","FIYAT_YOK",IFERROR(VLOOKUP($D1031,FIYAT!$B:$P,15,FALSE()),""))</f>
        <v>MUADIL</v>
      </c>
      <c r="Q1031" s="9" t="s">
        <v>172</v>
      </c>
      <c r="R1031" s="9" t="s">
        <v>171</v>
      </c>
      <c r="S1031" s="9" t="s">
        <v>637</v>
      </c>
      <c r="T1031" s="9" t="s">
        <v>61</v>
      </c>
      <c r="U1031" s="9">
        <f>IFERROR(VLOOKUP($T1031,KURALLAR!$A$32:$B$63,2,FALSE()),0)*IF(ISNUMBER($I1031),$I1031,0)</f>
        <v>15</v>
      </c>
    </row>
    <row r="1032" spans="1:21" x14ac:dyDescent="0.25">
      <c r="A1032" s="5">
        <v>1031</v>
      </c>
      <c r="B1032" s="5"/>
      <c r="C1032" s="5" t="s">
        <v>176</v>
      </c>
      <c r="D1032" s="5" t="s">
        <v>174</v>
      </c>
      <c r="E1032" s="5" t="str">
        <f>IFERROR(VLOOKUP($D1032,FIYAT!$B:$O,2,FALSE()),"")</f>
        <v>УЗО NL1-63 6kA 4P 63A 300mA тип AC (R)</v>
      </c>
      <c r="F1032" s="5">
        <f>IFERROR(VLOOKUP($D1032,FIYAT!$B:$O,5,FALSE()),"")</f>
        <v>18106</v>
      </c>
      <c r="G1032" s="5">
        <f>IFERROR(VLOOKUP($D1032,FIYAT!$B:$O,8,FALSE()),"")</f>
        <v>10863.6</v>
      </c>
      <c r="H1032" s="5">
        <f t="shared" si="126"/>
        <v>10863.6</v>
      </c>
      <c r="I1032" s="6">
        <v>1</v>
      </c>
      <c r="J1032" s="5" t="str">
        <f>IFERROR(VLOOKUP($D1032,FIYAT!$B:$O,9,FALSE()),"")</f>
        <v>Шт.</v>
      </c>
      <c r="K1032" s="5" t="str">
        <f>IFERROR(VLOOKUP($D1032,FIYAT!$B:$O,4,FALSE()),"")</f>
        <v>CHINT</v>
      </c>
      <c r="L1032" s="5">
        <f t="shared" si="127"/>
        <v>10863.6</v>
      </c>
      <c r="M1032" s="5"/>
      <c r="N1032" s="5"/>
      <c r="O1032" s="5"/>
      <c r="P1032" s="5" t="str">
        <f>IF($H1032="","FIYAT_YOK",IFERROR(VLOOKUP($D1032,FIYAT!$B:$P,15,FALSE()),""))</f>
        <v>OK</v>
      </c>
      <c r="Q1032" s="5" t="s">
        <v>177</v>
      </c>
      <c r="R1032" s="5" t="s">
        <v>171</v>
      </c>
      <c r="S1032" s="5" t="s">
        <v>637</v>
      </c>
      <c r="T1032" s="5" t="s">
        <v>57</v>
      </c>
      <c r="U1032" s="5">
        <f>IFERROR(VLOOKUP($T1032,KURALLAR!$A$32:$B$63,2,FALSE()),0)*IF(ISNUMBER($I1032),$I1032,0)</f>
        <v>10</v>
      </c>
    </row>
    <row r="1033" spans="1:21" x14ac:dyDescent="0.25">
      <c r="A1033" s="9">
        <v>1032</v>
      </c>
      <c r="B1033" s="9"/>
      <c r="C1033" s="9" t="s">
        <v>79</v>
      </c>
      <c r="D1033" s="9" t="s">
        <v>179</v>
      </c>
      <c r="E1033" s="9" t="str">
        <f>IFERROR(VLOOKUP($D1033,FIYAT!$B:$O,2,FALSE()),"")</f>
        <v>Держатель плавкой вставки RT36-00-160, габарит 00, 160А</v>
      </c>
      <c r="F1033" s="9">
        <f>IFERROR(VLOOKUP($D1033,FIYAT!$B:$O,5,FALSE()),"")</f>
        <v>2038</v>
      </c>
      <c r="G1033" s="9">
        <f>IFERROR(VLOOKUP($D1033,FIYAT!$B:$O,8,FALSE()),"")</f>
        <v>1222.8</v>
      </c>
      <c r="H1033" s="9">
        <f t="shared" si="126"/>
        <v>4891.2</v>
      </c>
      <c r="I1033" s="6">
        <v>4</v>
      </c>
      <c r="J1033" s="9" t="str">
        <f>IFERROR(VLOOKUP($D1033,FIYAT!$B:$O,9,FALSE()),"")</f>
        <v>Шт.</v>
      </c>
      <c r="K1033" s="9" t="str">
        <f>IFERROR(VLOOKUP($D1033,FIYAT!$B:$O,4,FALSE()),"")</f>
        <v>CHINT</v>
      </c>
      <c r="L1033" s="9">
        <f t="shared" si="127"/>
        <v>4891.2</v>
      </c>
      <c r="M1033" s="9"/>
      <c r="N1033" s="9"/>
      <c r="O1033" s="9"/>
      <c r="P1033" s="9" t="str">
        <f>IF($H1033="","FIYAT_YOK",IFERROR(VLOOKUP($D1033,FIYAT!$B:$P,15,FALSE()),""))</f>
        <v>MUADIL</v>
      </c>
      <c r="Q1033" s="9" t="s">
        <v>181</v>
      </c>
      <c r="R1033" s="9" t="s">
        <v>171</v>
      </c>
      <c r="S1033" s="9" t="s">
        <v>637</v>
      </c>
      <c r="T1033" s="9" t="s">
        <v>77</v>
      </c>
      <c r="U1033" s="9">
        <f>IFERROR(VLOOKUP($T1033,KURALLAR!$A$32:$B$63,2,FALSE()),0)*IF(ISNUMBER($I1033),$I1033,0)</f>
        <v>20</v>
      </c>
    </row>
    <row r="1034" spans="1:21" x14ac:dyDescent="0.25">
      <c r="A1034" s="5">
        <v>1033</v>
      </c>
      <c r="B1034" s="5"/>
      <c r="C1034" s="5" t="s">
        <v>79</v>
      </c>
      <c r="D1034" s="5" t="s">
        <v>182</v>
      </c>
      <c r="E1034" s="5" t="str">
        <f>IFERROR(VLOOKUP($D1034,FIYAT!$B:$O,2,FALSE()),"")</f>
        <v>Плавкая вставка предохранителя RT36-00-160, габарит 00, 63А</v>
      </c>
      <c r="F1034" s="5">
        <f>IFERROR(VLOOKUP($D1034,FIYAT!$B:$O,5,FALSE()),"")</f>
        <v>1525</v>
      </c>
      <c r="G1034" s="5">
        <f>IFERROR(VLOOKUP($D1034,FIYAT!$B:$O,8,FALSE()),"")</f>
        <v>915</v>
      </c>
      <c r="H1034" s="5">
        <f t="shared" si="126"/>
        <v>3660</v>
      </c>
      <c r="I1034" s="6">
        <v>4</v>
      </c>
      <c r="J1034" s="5" t="str">
        <f>IFERROR(VLOOKUP($D1034,FIYAT!$B:$O,9,FALSE()),"")</f>
        <v>Шт.</v>
      </c>
      <c r="K1034" s="5" t="str">
        <f>IFERROR(VLOOKUP($D1034,FIYAT!$B:$O,4,FALSE()),"")</f>
        <v>CHINT</v>
      </c>
      <c r="L1034" s="5">
        <f t="shared" si="127"/>
        <v>3660</v>
      </c>
      <c r="M1034" s="5"/>
      <c r="N1034" s="5"/>
      <c r="O1034" s="5"/>
      <c r="P1034" s="5" t="str">
        <f>IF($H1034="","FIYAT_YOK",IFERROR(VLOOKUP($D1034,FIYAT!$B:$P,15,FALSE()),""))</f>
        <v>MUADIL</v>
      </c>
      <c r="Q1034" s="5" t="s">
        <v>185</v>
      </c>
      <c r="R1034" s="5" t="s">
        <v>184</v>
      </c>
      <c r="S1034" s="5" t="s">
        <v>637</v>
      </c>
      <c r="T1034" s="5" t="s">
        <v>79</v>
      </c>
      <c r="U1034" s="5">
        <f>IFERROR(VLOOKUP($T1034,KURALLAR!$A$32:$B$63,2,FALSE()),0)*IF(ISNUMBER($I1034),$I1034,0)</f>
        <v>12</v>
      </c>
    </row>
    <row r="1035" spans="1:21" x14ac:dyDescent="0.25">
      <c r="A1035" s="9">
        <v>1034</v>
      </c>
      <c r="B1035" s="9"/>
      <c r="C1035" s="9" t="s">
        <v>75</v>
      </c>
      <c r="D1035" s="9" t="s">
        <v>186</v>
      </c>
      <c r="E1035" s="9" t="str">
        <f>IFERROR(VLOOKUP($D1035,FIYAT!$B:$O,2,FALSE()),"")</f>
        <v>Ограничитель имп. перенапр. NU6-IIG 4Р In=25kA Uc=440B Im=65kA (R)</v>
      </c>
      <c r="F1035" s="9">
        <f>IFERROR(VLOOKUP($D1035,FIYAT!$B:$O,5,FALSE()),"")</f>
        <v>33208</v>
      </c>
      <c r="G1035" s="9">
        <f>IFERROR(VLOOKUP($D1035,FIYAT!$B:$O,8,FALSE()),"")</f>
        <v>19924.8</v>
      </c>
      <c r="H1035" s="9">
        <f t="shared" si="126"/>
        <v>19924.8</v>
      </c>
      <c r="I1035" s="6">
        <v>1</v>
      </c>
      <c r="J1035" s="9" t="str">
        <f>IFERROR(VLOOKUP($D1035,FIYAT!$B:$O,9,FALSE()),"")</f>
        <v>Шт.</v>
      </c>
      <c r="K1035" s="9" t="str">
        <f>IFERROR(VLOOKUP($D1035,FIYAT!$B:$O,4,FALSE()),"")</f>
        <v>CHINT</v>
      </c>
      <c r="L1035" s="9">
        <f t="shared" si="127"/>
        <v>19924.8</v>
      </c>
      <c r="M1035" s="9"/>
      <c r="N1035" s="9"/>
      <c r="O1035" s="9"/>
      <c r="P1035" s="9" t="str">
        <f>IF($H1035="","FIYAT_YOK",IFERROR(VLOOKUP($D1035,FIYAT!$B:$P,15,FALSE()),""))</f>
        <v>MUADIL_ONAY</v>
      </c>
      <c r="Q1035" s="9" t="s">
        <v>188</v>
      </c>
      <c r="R1035" s="9" t="s">
        <v>184</v>
      </c>
      <c r="S1035" s="9" t="s">
        <v>637</v>
      </c>
      <c r="T1035" s="9" t="s">
        <v>75</v>
      </c>
      <c r="U1035" s="9">
        <f>IFERROR(VLOOKUP($T1035,KURALLAR!$A$32:$B$63,2,FALSE()),0)*IF(ISNUMBER($I1035),$I1035,0)</f>
        <v>10</v>
      </c>
    </row>
    <row r="1036" spans="1:21" x14ac:dyDescent="0.25">
      <c r="A1036" s="5">
        <v>1035</v>
      </c>
      <c r="B1036" s="5"/>
      <c r="C1036" s="5" t="s">
        <v>192</v>
      </c>
      <c r="D1036" s="5" t="s">
        <v>321</v>
      </c>
      <c r="E1036" s="5" t="str">
        <f>IFERROR(VLOOKUP($D1036,FIYAT!$B:$O,2,FALSE()),"")</f>
        <v>Авт. выкл. NXB-63 1P 25A 6кА х-ка C (R)</v>
      </c>
      <c r="F1036" s="5">
        <f>IFERROR(VLOOKUP($D1036,FIYAT!$B:$O,5,FALSE()),"")</f>
        <v>1330</v>
      </c>
      <c r="G1036" s="5">
        <f>IFERROR(VLOOKUP($D1036,FIYAT!$B:$O,8,FALSE()),"")</f>
        <v>798</v>
      </c>
      <c r="H1036" s="5">
        <f t="shared" si="126"/>
        <v>798</v>
      </c>
      <c r="I1036" s="6">
        <v>1</v>
      </c>
      <c r="J1036" s="5" t="str">
        <f>IFERROR(VLOOKUP($D1036,FIYAT!$B:$O,9,FALSE()),"")</f>
        <v>Шт.</v>
      </c>
      <c r="K1036" s="5" t="str">
        <f>IFERROR(VLOOKUP($D1036,FIYAT!$B:$O,4,FALSE()),"")</f>
        <v>CHINT</v>
      </c>
      <c r="L1036" s="5">
        <f t="shared" si="127"/>
        <v>798</v>
      </c>
      <c r="M1036" s="5"/>
      <c r="N1036" s="5"/>
      <c r="O1036" s="5"/>
      <c r="P1036" s="5" t="str">
        <f>IF($H1036="","FIYAT_YOK",IFERROR(VLOOKUP($D1036,FIYAT!$B:$P,15,FALSE()),""))</f>
        <v>OK</v>
      </c>
      <c r="Q1036" s="5" t="s">
        <v>323</v>
      </c>
      <c r="R1036" s="5" t="s">
        <v>171</v>
      </c>
      <c r="S1036" s="5" t="s">
        <v>637</v>
      </c>
      <c r="T1036" s="5" t="s">
        <v>47</v>
      </c>
      <c r="U1036" s="5">
        <f>IFERROR(VLOOKUP($T1036,KURALLAR!$A$32:$B$63,2,FALSE()),0)*IF(ISNUMBER($I1036),$I1036,0)</f>
        <v>3</v>
      </c>
    </row>
    <row r="1037" spans="1:21" x14ac:dyDescent="0.25">
      <c r="A1037" s="9">
        <v>1036</v>
      </c>
      <c r="B1037" s="9"/>
      <c r="C1037" s="9" t="s">
        <v>176</v>
      </c>
      <c r="D1037" s="9" t="s">
        <v>324</v>
      </c>
      <c r="E1037" s="9" t="str">
        <f>IFERROR(VLOOKUP($D1037,FIYAT!$B:$O,2,FALSE()),"")</f>
        <v>УЗО NL1-63 6kA 2P 25A 30mA тип AC (R)</v>
      </c>
      <c r="F1037" s="9">
        <f>IFERROR(VLOOKUP($D1037,FIYAT!$B:$O,5,FALSE()),"")</f>
        <v>10809</v>
      </c>
      <c r="G1037" s="9">
        <f>IFERROR(VLOOKUP($D1037,FIYAT!$B:$O,8,FALSE()),"")</f>
        <v>6485.4</v>
      </c>
      <c r="H1037" s="9">
        <f t="shared" si="126"/>
        <v>6485.4</v>
      </c>
      <c r="I1037" s="6">
        <v>1</v>
      </c>
      <c r="J1037" s="9" t="str">
        <f>IFERROR(VLOOKUP($D1037,FIYAT!$B:$O,9,FALSE()),"")</f>
        <v>Шт.</v>
      </c>
      <c r="K1037" s="9" t="str">
        <f>IFERROR(VLOOKUP($D1037,FIYAT!$B:$O,4,FALSE()),"")</f>
        <v>CHINT</v>
      </c>
      <c r="L1037" s="9">
        <f t="shared" si="127"/>
        <v>6485.4</v>
      </c>
      <c r="M1037" s="9"/>
      <c r="N1037" s="9"/>
      <c r="O1037" s="9"/>
      <c r="P1037" s="9" t="str">
        <f>IF($H1037="","FIYAT_YOK",IFERROR(VLOOKUP($D1037,FIYAT!$B:$P,15,FALSE()),""))</f>
        <v>OK</v>
      </c>
      <c r="Q1037" s="9" t="s">
        <v>326</v>
      </c>
      <c r="R1037" s="9" t="s">
        <v>171</v>
      </c>
      <c r="S1037" s="9" t="s">
        <v>637</v>
      </c>
      <c r="T1037" s="9" t="s">
        <v>55</v>
      </c>
      <c r="U1037" s="9">
        <f>IFERROR(VLOOKUP($T1037,KURALLAR!$A$32:$B$63,2,FALSE()),0)*IF(ISNUMBER($I1037),$I1037,0)</f>
        <v>6</v>
      </c>
    </row>
    <row r="1038" spans="1:21" x14ac:dyDescent="0.25">
      <c r="A1038" s="5">
        <v>1037</v>
      </c>
      <c r="B1038" s="5"/>
      <c r="C1038" s="5" t="s">
        <v>192</v>
      </c>
      <c r="D1038" s="5" t="s">
        <v>194</v>
      </c>
      <c r="E1038" s="5" t="str">
        <f>IFERROR(VLOOKUP($D1038,FIYAT!$B:$O,2,FALSE()),"")</f>
        <v>Авт. выкл. NXB-63 1P 16A 6кА х-ка C (R)</v>
      </c>
      <c r="F1038" s="5">
        <f>IFERROR(VLOOKUP($D1038,FIYAT!$B:$O,5,FALSE()),"")</f>
        <v>1389</v>
      </c>
      <c r="G1038" s="5">
        <f>IFERROR(VLOOKUP($D1038,FIYAT!$B:$O,8,FALSE()),"")</f>
        <v>833.4</v>
      </c>
      <c r="H1038" s="5">
        <f t="shared" si="126"/>
        <v>6667.2</v>
      </c>
      <c r="I1038" s="6">
        <v>8</v>
      </c>
      <c r="J1038" s="5" t="str">
        <f>IFERROR(VLOOKUP($D1038,FIYAT!$B:$O,9,FALSE()),"")</f>
        <v>Шт.</v>
      </c>
      <c r="K1038" s="5" t="str">
        <f>IFERROR(VLOOKUP($D1038,FIYAT!$B:$O,4,FALSE()),"")</f>
        <v>CHINT</v>
      </c>
      <c r="L1038" s="5">
        <f t="shared" si="127"/>
        <v>6667.2</v>
      </c>
      <c r="M1038" s="5"/>
      <c r="N1038" s="5"/>
      <c r="O1038" s="5"/>
      <c r="P1038" s="5" t="str">
        <f>IF($H1038="","FIYAT_YOK",IFERROR(VLOOKUP($D1038,FIYAT!$B:$P,15,FALSE()),""))</f>
        <v>OK</v>
      </c>
      <c r="Q1038" s="5" t="s">
        <v>196</v>
      </c>
      <c r="R1038" s="5" t="s">
        <v>171</v>
      </c>
      <c r="S1038" s="5" t="s">
        <v>637</v>
      </c>
      <c r="T1038" s="5" t="s">
        <v>47</v>
      </c>
      <c r="U1038" s="5">
        <f>IFERROR(VLOOKUP($T1038,KURALLAR!$A$32:$B$63,2,FALSE()),0)*IF(ISNUMBER($I1038),$I1038,0)</f>
        <v>24</v>
      </c>
    </row>
    <row r="1039" spans="1:21" x14ac:dyDescent="0.25">
      <c r="A1039" s="9">
        <v>1038</v>
      </c>
      <c r="B1039" s="9"/>
      <c r="C1039" s="9" t="s">
        <v>176</v>
      </c>
      <c r="D1039" s="9" t="s">
        <v>200</v>
      </c>
      <c r="E1039" s="9" t="str">
        <f>IFERROR(VLOOKUP($D1039,FIYAT!$B:$O,2,FALSE()),"")</f>
        <v>УЗО NL1-63 6kA 2P 16A 30mA тип AC (R)</v>
      </c>
      <c r="F1039" s="9">
        <f>IFERROR(VLOOKUP($D1039,FIYAT!$B:$O,5,FALSE()),"")</f>
        <v>10809</v>
      </c>
      <c r="G1039" s="9">
        <f>IFERROR(VLOOKUP($D1039,FIYAT!$B:$O,8,FALSE()),"")</f>
        <v>6485.4</v>
      </c>
      <c r="H1039" s="9">
        <f t="shared" si="126"/>
        <v>6485.4</v>
      </c>
      <c r="I1039" s="6">
        <v>1</v>
      </c>
      <c r="J1039" s="9" t="str">
        <f>IFERROR(VLOOKUP($D1039,FIYAT!$B:$O,9,FALSE()),"")</f>
        <v>Шт.</v>
      </c>
      <c r="K1039" s="9" t="str">
        <f>IFERROR(VLOOKUP($D1039,FIYAT!$B:$O,4,FALSE()),"")</f>
        <v>CHINT</v>
      </c>
      <c r="L1039" s="9">
        <f t="shared" si="127"/>
        <v>6485.4</v>
      </c>
      <c r="M1039" s="9"/>
      <c r="N1039" s="9"/>
      <c r="O1039" s="9"/>
      <c r="P1039" s="9" t="str">
        <f>IF($H1039="","FIYAT_YOK",IFERROR(VLOOKUP($D1039,FIYAT!$B:$P,15,FALSE()),""))</f>
        <v>OK</v>
      </c>
      <c r="Q1039" s="9" t="s">
        <v>202</v>
      </c>
      <c r="R1039" s="9" t="s">
        <v>171</v>
      </c>
      <c r="S1039" s="9" t="s">
        <v>637</v>
      </c>
      <c r="T1039" s="9" t="s">
        <v>55</v>
      </c>
      <c r="U1039" s="9">
        <f>IFERROR(VLOOKUP($T1039,KURALLAR!$A$32:$B$63,2,FALSE()),0)*IF(ISNUMBER($I1039),$I1039,0)</f>
        <v>6</v>
      </c>
    </row>
    <row r="1040" spans="1:21" x14ac:dyDescent="0.25">
      <c r="A1040" s="5">
        <v>1039</v>
      </c>
      <c r="B1040" s="5"/>
      <c r="C1040" s="5" t="s">
        <v>192</v>
      </c>
      <c r="D1040" s="5" t="s">
        <v>206</v>
      </c>
      <c r="E1040" s="5" t="str">
        <f>IFERROR(VLOOKUP($D1040,FIYAT!$B:$O,2,FALSE()),"")</f>
        <v>Авт. выкл. NXB-63 1P 10A 6кА х-ка C (R)</v>
      </c>
      <c r="F1040" s="5">
        <f>IFERROR(VLOOKUP($D1040,FIYAT!$B:$O,5,FALSE()),"")</f>
        <v>1362</v>
      </c>
      <c r="G1040" s="5">
        <f>IFERROR(VLOOKUP($D1040,FIYAT!$B:$O,8,FALSE()),"")</f>
        <v>817.19999999999993</v>
      </c>
      <c r="H1040" s="5">
        <f t="shared" si="126"/>
        <v>6537.5999999999995</v>
      </c>
      <c r="I1040" s="6">
        <v>8</v>
      </c>
      <c r="J1040" s="5" t="str">
        <f>IFERROR(VLOOKUP($D1040,FIYAT!$B:$O,9,FALSE()),"")</f>
        <v>Шт.</v>
      </c>
      <c r="K1040" s="5" t="str">
        <f>IFERROR(VLOOKUP($D1040,FIYAT!$B:$O,4,FALSE()),"")</f>
        <v>CHINT</v>
      </c>
      <c r="L1040" s="5">
        <f t="shared" si="127"/>
        <v>6537.5999999999995</v>
      </c>
      <c r="M1040" s="5"/>
      <c r="N1040" s="5"/>
      <c r="O1040" s="5"/>
      <c r="P1040" s="5" t="str">
        <f>IF($H1040="","FIYAT_YOK",IFERROR(VLOOKUP($D1040,FIYAT!$B:$P,15,FALSE()),""))</f>
        <v>OK</v>
      </c>
      <c r="Q1040" s="5" t="s">
        <v>208</v>
      </c>
      <c r="R1040" s="5" t="s">
        <v>184</v>
      </c>
      <c r="S1040" s="5" t="s">
        <v>637</v>
      </c>
      <c r="T1040" s="5" t="s">
        <v>47</v>
      </c>
      <c r="U1040" s="5">
        <f>IFERROR(VLOOKUP($T1040,KURALLAR!$A$32:$B$63,2,FALSE()),0)*IF(ISNUMBER($I1040),$I1040,0)</f>
        <v>24</v>
      </c>
    </row>
    <row r="1041" spans="1:21" x14ac:dyDescent="0.25">
      <c r="A1041" s="9">
        <v>1040</v>
      </c>
      <c r="B1041" s="9"/>
      <c r="C1041" s="9" t="s">
        <v>93</v>
      </c>
      <c r="D1041" s="9" t="s">
        <v>209</v>
      </c>
      <c r="E1041" s="9" t="str">
        <f>IFERROR(VLOOKUP($D1041,FIYAT!$B:$O,2,FALSE()),"")</f>
        <v>Шина "N" нулевая 6х9мм на DIN-рейку в корпусном изоляторе ШНИ 12К IEK (10)</v>
      </c>
      <c r="F1041" s="9">
        <f>IFERROR(VLOOKUP($D1041,FIYAT!$B:$O,5,FALSE()),"")</f>
        <v>755</v>
      </c>
      <c r="G1041" s="9">
        <f>IFERROR(VLOOKUP($D1041,FIYAT!$B:$O,8,FALSE()),"")</f>
        <v>453</v>
      </c>
      <c r="H1041" s="9">
        <f t="shared" si="126"/>
        <v>1812</v>
      </c>
      <c r="I1041" s="6">
        <v>4</v>
      </c>
      <c r="J1041" s="9" t="str">
        <f>IFERROR(VLOOKUP($D1041,FIYAT!$B:$O,9,FALSE()),"")</f>
        <v>Шт.</v>
      </c>
      <c r="K1041" s="9" t="str">
        <f>IFERROR(VLOOKUP($D1041,FIYAT!$B:$O,4,FALSE()),"")</f>
        <v>KAZTEK</v>
      </c>
      <c r="L1041" s="9">
        <f t="shared" si="127"/>
        <v>1812</v>
      </c>
      <c r="M1041" s="9"/>
      <c r="N1041" s="9"/>
      <c r="O1041" s="9"/>
      <c r="P1041" s="9" t="str">
        <f>IF($H1041="","FIYAT_YOK",IFERROR(VLOOKUP($D1041,FIYAT!$B:$P,15,FALSE()),""))</f>
        <v>MUADIL</v>
      </c>
      <c r="Q1041" s="9" t="s">
        <v>212</v>
      </c>
      <c r="R1041" s="9" t="s">
        <v>211</v>
      </c>
      <c r="S1041" s="9" t="s">
        <v>637</v>
      </c>
      <c r="T1041" s="9" t="s">
        <v>93</v>
      </c>
      <c r="U1041" s="9">
        <f>IFERROR(VLOOKUP($T1041,KURALLAR!$A$32:$B$63,2,FALSE()),0)*IF(ISNUMBER($I1041),$I1041,0)</f>
        <v>32</v>
      </c>
    </row>
    <row r="1042" spans="1:21" x14ac:dyDescent="0.25">
      <c r="A1042" s="5">
        <v>1041</v>
      </c>
      <c r="B1042" s="5"/>
      <c r="C1042" s="5" t="s">
        <v>222</v>
      </c>
      <c r="D1042" s="5" t="s">
        <v>220</v>
      </c>
      <c r="E1042" s="5" t="str">
        <f>IFERROR(VLOOKUP($D1042,FIYAT!$B:$O,2,FALSE()),"")</f>
        <v>ЩМП (инд.) IP31 (650х500х150мм)</v>
      </c>
      <c r="F1042" s="5">
        <f>IFERROR(VLOOKUP($D1042,FIYAT!$B:$O,5,FALSE()),"")</f>
        <v>27825</v>
      </c>
      <c r="G1042" s="5">
        <f>IFERROR(VLOOKUP($D1042,FIYAT!$B:$O,8,FALSE()),"")</f>
        <v>16695</v>
      </c>
      <c r="H1042" s="5">
        <f t="shared" si="126"/>
        <v>16695</v>
      </c>
      <c r="I1042" s="6">
        <v>1</v>
      </c>
      <c r="J1042" s="5" t="str">
        <f>IFERROR(VLOOKUP($D1042,FIYAT!$B:$O,9,FALSE()),"")</f>
        <v>Шт.</v>
      </c>
      <c r="K1042" s="5" t="str">
        <f>IFERROR(VLOOKUP($D1042,FIYAT!$B:$O,4,FALSE()),"")</f>
        <v>KAZTEK</v>
      </c>
      <c r="L1042" s="5">
        <f t="shared" si="127"/>
        <v>16695</v>
      </c>
      <c r="M1042" s="5"/>
      <c r="N1042" s="5"/>
      <c r="O1042" s="5"/>
      <c r="P1042" s="5" t="str">
        <f>IF($H1042="","FIYAT_YOK",IFERROR(VLOOKUP($D1042,FIYAT!$B:$P,15,FALSE()),""))</f>
        <v>VARSAYIM</v>
      </c>
      <c r="Q1042" s="5" t="s">
        <v>223</v>
      </c>
      <c r="R1042" s="5" t="s">
        <v>211</v>
      </c>
      <c r="S1042" s="5" t="s">
        <v>637</v>
      </c>
      <c r="T1042" s="5" t="s">
        <v>105</v>
      </c>
      <c r="U1042" s="5">
        <f>IFERROR(VLOOKUP($T1042,KURALLAR!$A$32:$B$63,2,FALSE()),0)*IF(ISNUMBER($I1042),$I1042,0)</f>
        <v>30</v>
      </c>
    </row>
    <row r="1043" spans="1:21" x14ac:dyDescent="0.25">
      <c r="A1043" s="9">
        <v>1042</v>
      </c>
      <c r="B1043" s="9"/>
      <c r="C1043" s="9" t="s">
        <v>215</v>
      </c>
      <c r="D1043" s="9" t="s">
        <v>213</v>
      </c>
      <c r="E1043" s="9" t="str">
        <f>IFERROR(VLOOKUP($D1043,FIYAT!$B:$O,2,FALSE()),"")</f>
        <v>Монтажный расходный материал (кабель, DIN-рейка, кабель-канал, клеммы, маркировка, крепёж)</v>
      </c>
      <c r="F1043" s="9">
        <f>IFERROR(VLOOKUP($D1043,FIYAT!$B:$O,5,FALSE()),"")</f>
        <v>0</v>
      </c>
      <c r="G1043" s="9" t="str">
        <f>IFERROR(VLOOKUP($D1043,FIYAT!$B:$O,8,FALSE()),"")</f>
        <v/>
      </c>
      <c r="H1043" s="9">
        <f>ROUND(SUM($H$1031:$H$1042)*KURALLAR!$B$28,0)</f>
        <v>8653</v>
      </c>
      <c r="I1043" s="6">
        <v>1</v>
      </c>
      <c r="J1043" s="9" t="str">
        <f>IFERROR(VLOOKUP($D1043,FIYAT!$B:$O,9,FALSE()),"")</f>
        <v>компл.</v>
      </c>
      <c r="K1043" s="9" t="str">
        <f>IFERROR(VLOOKUP($D1043,FIYAT!$B:$O,4,FALSE()),"")</f>
        <v>MUADIL-NET</v>
      </c>
      <c r="L1043" s="9">
        <f t="shared" si="127"/>
        <v>8653</v>
      </c>
      <c r="M1043" s="9"/>
      <c r="N1043" s="9"/>
      <c r="O1043" s="9"/>
      <c r="P1043" s="9" t="str">
        <f>IF($H1043="","FIYAT_YOK",IFERROR(VLOOKUP($D1043,FIYAT!$B:$P,15,FALSE()),""))</f>
        <v>ORAN</v>
      </c>
      <c r="Q1043" s="9" t="s">
        <v>218</v>
      </c>
      <c r="R1043" s="9" t="s">
        <v>217</v>
      </c>
      <c r="S1043" s="9" t="s">
        <v>637</v>
      </c>
      <c r="T1043" s="9"/>
      <c r="U1043" s="9">
        <v>0</v>
      </c>
    </row>
    <row r="1044" spans="1:21" x14ac:dyDescent="0.25">
      <c r="A1044" s="5">
        <v>1043</v>
      </c>
      <c r="B1044" s="5"/>
      <c r="C1044" s="5" t="s">
        <v>227</v>
      </c>
      <c r="D1044" s="5" t="s">
        <v>225</v>
      </c>
      <c r="E1044" s="5" t="str">
        <f>IFERROR(VLOOKUP($D1044,FIYAT!$B:$O,2,FALSE()),"")</f>
        <v>Сборка, кабелирование, маркировка, момент затяжки, испытания</v>
      </c>
      <c r="F1044" s="5">
        <f>IFERROR(VLOOKUP($D1044,FIYAT!$B:$O,5,FALSE()),"")</f>
        <v>100</v>
      </c>
      <c r="G1044" s="5">
        <f>IFERROR(VLOOKUP($D1044,FIYAT!$B:$O,8,FALSE()),"")</f>
        <v>100</v>
      </c>
      <c r="H1044" s="5">
        <f>IF(OR($G1044="",$I1044=""),"",$G1044*$I1044)</f>
        <v>22100</v>
      </c>
      <c r="I1044" s="6">
        <f>ROUND(SUM($U$1031:$U$1043)*KURALLAR!$B$27,0)</f>
        <v>221</v>
      </c>
      <c r="J1044" s="5" t="str">
        <f>IFERROR(VLOOKUP($D1044,FIYAT!$B:$O,9,FALSE()),"")</f>
        <v>мин</v>
      </c>
      <c r="K1044" s="5" t="str">
        <f>IFERROR(VLOOKUP($D1044,FIYAT!$B:$O,4,FALSE()),"")</f>
        <v>ISCILIK</v>
      </c>
      <c r="L1044" s="5">
        <f t="shared" si="127"/>
        <v>22100</v>
      </c>
      <c r="M1044" s="5"/>
      <c r="N1044" s="5"/>
      <c r="O1044" s="5"/>
      <c r="P1044" s="5" t="str">
        <f>IF($H1044="","FIYAT_YOK",IFERROR(VLOOKUP($D1044,FIYAT!$B:$P,15,FALSE()),""))</f>
        <v>OK</v>
      </c>
      <c r="Q1044" s="5" t="str">
        <f>CONCATENATE("montaj+test iscilik: ",TEXT($I1044,"# ##0")," dk = ",TEXT($I1044/60,"0,00")," saat (norm x test/etiket carpani)")</f>
        <v>montaj+test iscilik:  221 dk = 3,68 saat (norm x test/etiket carpani)</v>
      </c>
      <c r="R1044" s="5" t="s">
        <v>229</v>
      </c>
      <c r="S1044" s="5" t="s">
        <v>637</v>
      </c>
      <c r="T1044" s="5"/>
      <c r="U1044" s="5">
        <v>0</v>
      </c>
    </row>
    <row r="1045" spans="1:21" x14ac:dyDescent="0.25">
      <c r="A1045" s="10">
        <v>1044</v>
      </c>
      <c r="B1045" s="10" t="s">
        <v>678</v>
      </c>
      <c r="C1045" s="10"/>
      <c r="D1045" s="10"/>
      <c r="E1045" s="10"/>
      <c r="F1045" s="10"/>
      <c r="G1045" s="10"/>
      <c r="H1045" s="10">
        <f>SUBTOTAL(9,H1031:H1044)</f>
        <v>154373.39999999997</v>
      </c>
      <c r="I1045" s="10"/>
      <c r="J1045" s="10"/>
      <c r="K1045" s="10"/>
      <c r="L1045" s="10">
        <f>SUBTOTAL(9,L1031:L1044)</f>
        <v>154373.39999999997</v>
      </c>
      <c r="M1045" s="10"/>
      <c r="N1045" s="10"/>
      <c r="O1045" s="10"/>
      <c r="P1045" s="10"/>
      <c r="Q1045" s="10"/>
      <c r="R1045" s="10"/>
      <c r="S1045" s="10"/>
      <c r="T1045" s="10"/>
      <c r="U1045" s="10">
        <f>SUBTOTAL(9,U1031:U1044)</f>
        <v>192</v>
      </c>
    </row>
    <row r="1046" spans="1:21" x14ac:dyDescent="0.25">
      <c r="A1046" s="8">
        <v>1045</v>
      </c>
      <c r="B1046" s="8" t="str">
        <f>E1046</f>
        <v>BLOK B / 11F-ЩС.2 — НКУ 380/220В 50Гц, FORM 2B, IP31/54</v>
      </c>
      <c r="C1046" s="8" t="s">
        <v>545</v>
      </c>
      <c r="D1046" s="8"/>
      <c r="E1046" s="8" t="s">
        <v>679</v>
      </c>
      <c r="F1046" s="8"/>
      <c r="G1046" s="8"/>
      <c r="H1046" s="8"/>
      <c r="I1046" s="8">
        <v>1</v>
      </c>
      <c r="J1046" s="8" t="s">
        <v>547</v>
      </c>
      <c r="K1046" s="8"/>
      <c r="L1046" s="8"/>
      <c r="M1046" s="8"/>
      <c r="N1046" s="8"/>
      <c r="O1046" s="8"/>
      <c r="P1046" s="8" t="s">
        <v>178</v>
      </c>
      <c r="Q1046" s="8" t="s">
        <v>548</v>
      </c>
      <c r="R1046" s="8" t="s">
        <v>549</v>
      </c>
      <c r="S1046" s="8" t="s">
        <v>637</v>
      </c>
      <c r="T1046" s="8"/>
      <c r="U1046" s="8"/>
    </row>
    <row r="1047" spans="1:21" x14ac:dyDescent="0.25">
      <c r="A1047" s="9">
        <v>1046</v>
      </c>
      <c r="B1047" s="9"/>
      <c r="C1047" s="9" t="s">
        <v>169</v>
      </c>
      <c r="D1047" s="9" t="s">
        <v>167</v>
      </c>
      <c r="E1047" s="9" t="str">
        <f>IFERROR(VLOOKUP($D1047,FIYAT!$B:$O,2,FALSE()),"")</f>
        <v>Авт. выкл. NM8N-125C TM 3P 32А 36кА с рег. термомаг. расцепителем (R)</v>
      </c>
      <c r="F1047" s="9">
        <f>IFERROR(VLOOKUP($D1047,FIYAT!$B:$O,5,FALSE()),"")</f>
        <v>64667</v>
      </c>
      <c r="G1047" s="9">
        <f>IFERROR(VLOOKUP($D1047,FIYAT!$B:$O,8,FALSE()),"")</f>
        <v>38800.199999999997</v>
      </c>
      <c r="H1047" s="9">
        <f t="shared" ref="H1047:H1058" si="128">IF(OR($G1047="",$I1047=""),"",$G1047*$I1047)</f>
        <v>38800.199999999997</v>
      </c>
      <c r="I1047" s="6">
        <v>1</v>
      </c>
      <c r="J1047" s="9" t="str">
        <f>IFERROR(VLOOKUP($D1047,FIYAT!$B:$O,9,FALSE()),"")</f>
        <v>Шт.</v>
      </c>
      <c r="K1047" s="9" t="str">
        <f>IFERROR(VLOOKUP($D1047,FIYAT!$B:$O,4,FALSE()),"")</f>
        <v>CHINT</v>
      </c>
      <c r="L1047" s="9">
        <f t="shared" ref="L1047:L1060" si="129">IF($H1047="","",$H1047)</f>
        <v>38800.199999999997</v>
      </c>
      <c r="M1047" s="9"/>
      <c r="N1047" s="9"/>
      <c r="O1047" s="9"/>
      <c r="P1047" s="9" t="str">
        <f>IF($H1047="","FIYAT_YOK",IFERROR(VLOOKUP($D1047,FIYAT!$B:$P,15,FALSE()),""))</f>
        <v>MUADIL</v>
      </c>
      <c r="Q1047" s="9" t="s">
        <v>172</v>
      </c>
      <c r="R1047" s="9" t="s">
        <v>171</v>
      </c>
      <c r="S1047" s="9" t="s">
        <v>637</v>
      </c>
      <c r="T1047" s="9" t="s">
        <v>61</v>
      </c>
      <c r="U1047" s="9">
        <f>IFERROR(VLOOKUP($T1047,KURALLAR!$A$32:$B$63,2,FALSE()),0)*IF(ISNUMBER($I1047),$I1047,0)</f>
        <v>15</v>
      </c>
    </row>
    <row r="1048" spans="1:21" x14ac:dyDescent="0.25">
      <c r="A1048" s="5">
        <v>1047</v>
      </c>
      <c r="B1048" s="5"/>
      <c r="C1048" s="5" t="s">
        <v>176</v>
      </c>
      <c r="D1048" s="5" t="s">
        <v>174</v>
      </c>
      <c r="E1048" s="5" t="str">
        <f>IFERROR(VLOOKUP($D1048,FIYAT!$B:$O,2,FALSE()),"")</f>
        <v>УЗО NL1-63 6kA 4P 63A 300mA тип AC (R)</v>
      </c>
      <c r="F1048" s="5">
        <f>IFERROR(VLOOKUP($D1048,FIYAT!$B:$O,5,FALSE()),"")</f>
        <v>18106</v>
      </c>
      <c r="G1048" s="5">
        <f>IFERROR(VLOOKUP($D1048,FIYAT!$B:$O,8,FALSE()),"")</f>
        <v>10863.6</v>
      </c>
      <c r="H1048" s="5">
        <f t="shared" si="128"/>
        <v>10863.6</v>
      </c>
      <c r="I1048" s="6">
        <v>1</v>
      </c>
      <c r="J1048" s="5" t="str">
        <f>IFERROR(VLOOKUP($D1048,FIYAT!$B:$O,9,FALSE()),"")</f>
        <v>Шт.</v>
      </c>
      <c r="K1048" s="5" t="str">
        <f>IFERROR(VLOOKUP($D1048,FIYAT!$B:$O,4,FALSE()),"")</f>
        <v>CHINT</v>
      </c>
      <c r="L1048" s="5">
        <f t="shared" si="129"/>
        <v>10863.6</v>
      </c>
      <c r="M1048" s="5"/>
      <c r="N1048" s="5"/>
      <c r="O1048" s="5"/>
      <c r="P1048" s="5" t="str">
        <f>IF($H1048="","FIYAT_YOK",IFERROR(VLOOKUP($D1048,FIYAT!$B:$P,15,FALSE()),""))</f>
        <v>OK</v>
      </c>
      <c r="Q1048" s="5" t="s">
        <v>177</v>
      </c>
      <c r="R1048" s="5" t="s">
        <v>171</v>
      </c>
      <c r="S1048" s="5" t="s">
        <v>637</v>
      </c>
      <c r="T1048" s="5" t="s">
        <v>57</v>
      </c>
      <c r="U1048" s="5">
        <f>IFERROR(VLOOKUP($T1048,KURALLAR!$A$32:$B$63,2,FALSE()),0)*IF(ISNUMBER($I1048),$I1048,0)</f>
        <v>10</v>
      </c>
    </row>
    <row r="1049" spans="1:21" x14ac:dyDescent="0.25">
      <c r="A1049" s="9">
        <v>1048</v>
      </c>
      <c r="B1049" s="9"/>
      <c r="C1049" s="9" t="s">
        <v>79</v>
      </c>
      <c r="D1049" s="9" t="s">
        <v>179</v>
      </c>
      <c r="E1049" s="9" t="str">
        <f>IFERROR(VLOOKUP($D1049,FIYAT!$B:$O,2,FALSE()),"")</f>
        <v>Держатель плавкой вставки RT36-00-160, габарит 00, 160А</v>
      </c>
      <c r="F1049" s="9">
        <f>IFERROR(VLOOKUP($D1049,FIYAT!$B:$O,5,FALSE()),"")</f>
        <v>2038</v>
      </c>
      <c r="G1049" s="9">
        <f>IFERROR(VLOOKUP($D1049,FIYAT!$B:$O,8,FALSE()),"")</f>
        <v>1222.8</v>
      </c>
      <c r="H1049" s="9">
        <f t="shared" si="128"/>
        <v>4891.2</v>
      </c>
      <c r="I1049" s="6">
        <v>4</v>
      </c>
      <c r="J1049" s="9" t="str">
        <f>IFERROR(VLOOKUP($D1049,FIYAT!$B:$O,9,FALSE()),"")</f>
        <v>Шт.</v>
      </c>
      <c r="K1049" s="9" t="str">
        <f>IFERROR(VLOOKUP($D1049,FIYAT!$B:$O,4,FALSE()),"")</f>
        <v>CHINT</v>
      </c>
      <c r="L1049" s="9">
        <f t="shared" si="129"/>
        <v>4891.2</v>
      </c>
      <c r="M1049" s="9"/>
      <c r="N1049" s="9"/>
      <c r="O1049" s="9"/>
      <c r="P1049" s="9" t="str">
        <f>IF($H1049="","FIYAT_YOK",IFERROR(VLOOKUP($D1049,FIYAT!$B:$P,15,FALSE()),""))</f>
        <v>MUADIL</v>
      </c>
      <c r="Q1049" s="9" t="s">
        <v>181</v>
      </c>
      <c r="R1049" s="9" t="s">
        <v>171</v>
      </c>
      <c r="S1049" s="9" t="s">
        <v>637</v>
      </c>
      <c r="T1049" s="9" t="s">
        <v>77</v>
      </c>
      <c r="U1049" s="9">
        <f>IFERROR(VLOOKUP($T1049,KURALLAR!$A$32:$B$63,2,FALSE()),0)*IF(ISNUMBER($I1049),$I1049,0)</f>
        <v>20</v>
      </c>
    </row>
    <row r="1050" spans="1:21" x14ac:dyDescent="0.25">
      <c r="A1050" s="5">
        <v>1049</v>
      </c>
      <c r="B1050" s="5"/>
      <c r="C1050" s="5" t="s">
        <v>79</v>
      </c>
      <c r="D1050" s="5" t="s">
        <v>182</v>
      </c>
      <c r="E1050" s="5" t="str">
        <f>IFERROR(VLOOKUP($D1050,FIYAT!$B:$O,2,FALSE()),"")</f>
        <v>Плавкая вставка предохранителя RT36-00-160, габарит 00, 63А</v>
      </c>
      <c r="F1050" s="5">
        <f>IFERROR(VLOOKUP($D1050,FIYAT!$B:$O,5,FALSE()),"")</f>
        <v>1525</v>
      </c>
      <c r="G1050" s="5">
        <f>IFERROR(VLOOKUP($D1050,FIYAT!$B:$O,8,FALSE()),"")</f>
        <v>915</v>
      </c>
      <c r="H1050" s="5">
        <f t="shared" si="128"/>
        <v>3660</v>
      </c>
      <c r="I1050" s="6">
        <v>4</v>
      </c>
      <c r="J1050" s="5" t="str">
        <f>IFERROR(VLOOKUP($D1050,FIYAT!$B:$O,9,FALSE()),"")</f>
        <v>Шт.</v>
      </c>
      <c r="K1050" s="5" t="str">
        <f>IFERROR(VLOOKUP($D1050,FIYAT!$B:$O,4,FALSE()),"")</f>
        <v>CHINT</v>
      </c>
      <c r="L1050" s="5">
        <f t="shared" si="129"/>
        <v>3660</v>
      </c>
      <c r="M1050" s="5"/>
      <c r="N1050" s="5"/>
      <c r="O1050" s="5"/>
      <c r="P1050" s="5" t="str">
        <f>IF($H1050="","FIYAT_YOK",IFERROR(VLOOKUP($D1050,FIYAT!$B:$P,15,FALSE()),""))</f>
        <v>MUADIL</v>
      </c>
      <c r="Q1050" s="5" t="s">
        <v>185</v>
      </c>
      <c r="R1050" s="5" t="s">
        <v>184</v>
      </c>
      <c r="S1050" s="5" t="s">
        <v>637</v>
      </c>
      <c r="T1050" s="5" t="s">
        <v>79</v>
      </c>
      <c r="U1050" s="5">
        <f>IFERROR(VLOOKUP($T1050,KURALLAR!$A$32:$B$63,2,FALSE()),0)*IF(ISNUMBER($I1050),$I1050,0)</f>
        <v>12</v>
      </c>
    </row>
    <row r="1051" spans="1:21" x14ac:dyDescent="0.25">
      <c r="A1051" s="9">
        <v>1050</v>
      </c>
      <c r="B1051" s="9"/>
      <c r="C1051" s="9" t="s">
        <v>75</v>
      </c>
      <c r="D1051" s="9" t="s">
        <v>186</v>
      </c>
      <c r="E1051" s="9" t="str">
        <f>IFERROR(VLOOKUP($D1051,FIYAT!$B:$O,2,FALSE()),"")</f>
        <v>Ограничитель имп. перенапр. NU6-IIG 4Р In=25kA Uc=440B Im=65kA (R)</v>
      </c>
      <c r="F1051" s="9">
        <f>IFERROR(VLOOKUP($D1051,FIYAT!$B:$O,5,FALSE()),"")</f>
        <v>33208</v>
      </c>
      <c r="G1051" s="9">
        <f>IFERROR(VLOOKUP($D1051,FIYAT!$B:$O,8,FALSE()),"")</f>
        <v>19924.8</v>
      </c>
      <c r="H1051" s="9">
        <f t="shared" si="128"/>
        <v>19924.8</v>
      </c>
      <c r="I1051" s="6">
        <v>1</v>
      </c>
      <c r="J1051" s="9" t="str">
        <f>IFERROR(VLOOKUP($D1051,FIYAT!$B:$O,9,FALSE()),"")</f>
        <v>Шт.</v>
      </c>
      <c r="K1051" s="9" t="str">
        <f>IFERROR(VLOOKUP($D1051,FIYAT!$B:$O,4,FALSE()),"")</f>
        <v>CHINT</v>
      </c>
      <c r="L1051" s="9">
        <f t="shared" si="129"/>
        <v>19924.8</v>
      </c>
      <c r="M1051" s="9"/>
      <c r="N1051" s="9"/>
      <c r="O1051" s="9"/>
      <c r="P1051" s="9" t="str">
        <f>IF($H1051="","FIYAT_YOK",IFERROR(VLOOKUP($D1051,FIYAT!$B:$P,15,FALSE()),""))</f>
        <v>MUADIL_ONAY</v>
      </c>
      <c r="Q1051" s="9" t="s">
        <v>188</v>
      </c>
      <c r="R1051" s="9" t="s">
        <v>184</v>
      </c>
      <c r="S1051" s="9" t="s">
        <v>637</v>
      </c>
      <c r="T1051" s="9" t="s">
        <v>75</v>
      </c>
      <c r="U1051" s="9">
        <f>IFERROR(VLOOKUP($T1051,KURALLAR!$A$32:$B$63,2,FALSE()),0)*IF(ISNUMBER($I1051),$I1051,0)</f>
        <v>10</v>
      </c>
    </row>
    <row r="1052" spans="1:21" x14ac:dyDescent="0.25">
      <c r="A1052" s="5">
        <v>1051</v>
      </c>
      <c r="B1052" s="5"/>
      <c r="C1052" s="5" t="s">
        <v>192</v>
      </c>
      <c r="D1052" s="5" t="s">
        <v>321</v>
      </c>
      <c r="E1052" s="5" t="str">
        <f>IFERROR(VLOOKUP($D1052,FIYAT!$B:$O,2,FALSE()),"")</f>
        <v>Авт. выкл. NXB-63 1P 25A 6кА х-ка C (R)</v>
      </c>
      <c r="F1052" s="5">
        <f>IFERROR(VLOOKUP($D1052,FIYAT!$B:$O,5,FALSE()),"")</f>
        <v>1330</v>
      </c>
      <c r="G1052" s="5">
        <f>IFERROR(VLOOKUP($D1052,FIYAT!$B:$O,8,FALSE()),"")</f>
        <v>798</v>
      </c>
      <c r="H1052" s="5">
        <f t="shared" si="128"/>
        <v>798</v>
      </c>
      <c r="I1052" s="6">
        <v>1</v>
      </c>
      <c r="J1052" s="5" t="str">
        <f>IFERROR(VLOOKUP($D1052,FIYAT!$B:$O,9,FALSE()),"")</f>
        <v>Шт.</v>
      </c>
      <c r="K1052" s="5" t="str">
        <f>IFERROR(VLOOKUP($D1052,FIYAT!$B:$O,4,FALSE()),"")</f>
        <v>CHINT</v>
      </c>
      <c r="L1052" s="5">
        <f t="shared" si="129"/>
        <v>798</v>
      </c>
      <c r="M1052" s="5"/>
      <c r="N1052" s="5"/>
      <c r="O1052" s="5"/>
      <c r="P1052" s="5" t="str">
        <f>IF($H1052="","FIYAT_YOK",IFERROR(VLOOKUP($D1052,FIYAT!$B:$P,15,FALSE()),""))</f>
        <v>OK</v>
      </c>
      <c r="Q1052" s="5" t="s">
        <v>323</v>
      </c>
      <c r="R1052" s="5" t="s">
        <v>171</v>
      </c>
      <c r="S1052" s="5" t="s">
        <v>637</v>
      </c>
      <c r="T1052" s="5" t="s">
        <v>47</v>
      </c>
      <c r="U1052" s="5">
        <f>IFERROR(VLOOKUP($T1052,KURALLAR!$A$32:$B$63,2,FALSE()),0)*IF(ISNUMBER($I1052),$I1052,0)</f>
        <v>3</v>
      </c>
    </row>
    <row r="1053" spans="1:21" x14ac:dyDescent="0.25">
      <c r="A1053" s="9">
        <v>1052</v>
      </c>
      <c r="B1053" s="9"/>
      <c r="C1053" s="9" t="s">
        <v>176</v>
      </c>
      <c r="D1053" s="9" t="s">
        <v>324</v>
      </c>
      <c r="E1053" s="9" t="str">
        <f>IFERROR(VLOOKUP($D1053,FIYAT!$B:$O,2,FALSE()),"")</f>
        <v>УЗО NL1-63 6kA 2P 25A 30mA тип AC (R)</v>
      </c>
      <c r="F1053" s="9">
        <f>IFERROR(VLOOKUP($D1053,FIYAT!$B:$O,5,FALSE()),"")</f>
        <v>10809</v>
      </c>
      <c r="G1053" s="9">
        <f>IFERROR(VLOOKUP($D1053,FIYAT!$B:$O,8,FALSE()),"")</f>
        <v>6485.4</v>
      </c>
      <c r="H1053" s="9">
        <f t="shared" si="128"/>
        <v>6485.4</v>
      </c>
      <c r="I1053" s="6">
        <v>1</v>
      </c>
      <c r="J1053" s="9" t="str">
        <f>IFERROR(VLOOKUP($D1053,FIYAT!$B:$O,9,FALSE()),"")</f>
        <v>Шт.</v>
      </c>
      <c r="K1053" s="9" t="str">
        <f>IFERROR(VLOOKUP($D1053,FIYAT!$B:$O,4,FALSE()),"")</f>
        <v>CHINT</v>
      </c>
      <c r="L1053" s="9">
        <f t="shared" si="129"/>
        <v>6485.4</v>
      </c>
      <c r="M1053" s="9"/>
      <c r="N1053" s="9"/>
      <c r="O1053" s="9"/>
      <c r="P1053" s="9" t="str">
        <f>IF($H1053="","FIYAT_YOK",IFERROR(VLOOKUP($D1053,FIYAT!$B:$P,15,FALSE()),""))</f>
        <v>OK</v>
      </c>
      <c r="Q1053" s="9" t="s">
        <v>326</v>
      </c>
      <c r="R1053" s="9" t="s">
        <v>171</v>
      </c>
      <c r="S1053" s="9" t="s">
        <v>637</v>
      </c>
      <c r="T1053" s="9" t="s">
        <v>55</v>
      </c>
      <c r="U1053" s="9">
        <f>IFERROR(VLOOKUP($T1053,KURALLAR!$A$32:$B$63,2,FALSE()),0)*IF(ISNUMBER($I1053),$I1053,0)</f>
        <v>6</v>
      </c>
    </row>
    <row r="1054" spans="1:21" x14ac:dyDescent="0.25">
      <c r="A1054" s="5">
        <v>1053</v>
      </c>
      <c r="B1054" s="5"/>
      <c r="C1054" s="5" t="s">
        <v>192</v>
      </c>
      <c r="D1054" s="5" t="s">
        <v>194</v>
      </c>
      <c r="E1054" s="5" t="str">
        <f>IFERROR(VLOOKUP($D1054,FIYAT!$B:$O,2,FALSE()),"")</f>
        <v>Авт. выкл. NXB-63 1P 16A 6кА х-ка C (R)</v>
      </c>
      <c r="F1054" s="5">
        <f>IFERROR(VLOOKUP($D1054,FIYAT!$B:$O,5,FALSE()),"")</f>
        <v>1389</v>
      </c>
      <c r="G1054" s="5">
        <f>IFERROR(VLOOKUP($D1054,FIYAT!$B:$O,8,FALSE()),"")</f>
        <v>833.4</v>
      </c>
      <c r="H1054" s="5">
        <f t="shared" si="128"/>
        <v>7500.5999999999995</v>
      </c>
      <c r="I1054" s="6">
        <v>9</v>
      </c>
      <c r="J1054" s="5" t="str">
        <f>IFERROR(VLOOKUP($D1054,FIYAT!$B:$O,9,FALSE()),"")</f>
        <v>Шт.</v>
      </c>
      <c r="K1054" s="5" t="str">
        <f>IFERROR(VLOOKUP($D1054,FIYAT!$B:$O,4,FALSE()),"")</f>
        <v>CHINT</v>
      </c>
      <c r="L1054" s="5">
        <f t="shared" si="129"/>
        <v>7500.5999999999995</v>
      </c>
      <c r="M1054" s="5"/>
      <c r="N1054" s="5"/>
      <c r="O1054" s="5"/>
      <c r="P1054" s="5" t="str">
        <f>IF($H1054="","FIYAT_YOK",IFERROR(VLOOKUP($D1054,FIYAT!$B:$P,15,FALSE()),""))</f>
        <v>OK</v>
      </c>
      <c r="Q1054" s="5" t="s">
        <v>196</v>
      </c>
      <c r="R1054" s="5" t="s">
        <v>171</v>
      </c>
      <c r="S1054" s="5" t="s">
        <v>637</v>
      </c>
      <c r="T1054" s="5" t="s">
        <v>47</v>
      </c>
      <c r="U1054" s="5">
        <f>IFERROR(VLOOKUP($T1054,KURALLAR!$A$32:$B$63,2,FALSE()),0)*IF(ISNUMBER($I1054),$I1054,0)</f>
        <v>27</v>
      </c>
    </row>
    <row r="1055" spans="1:21" x14ac:dyDescent="0.25">
      <c r="A1055" s="9">
        <v>1054</v>
      </c>
      <c r="B1055" s="9"/>
      <c r="C1055" s="9" t="s">
        <v>176</v>
      </c>
      <c r="D1055" s="9" t="s">
        <v>200</v>
      </c>
      <c r="E1055" s="9" t="str">
        <f>IFERROR(VLOOKUP($D1055,FIYAT!$B:$O,2,FALSE()),"")</f>
        <v>УЗО NL1-63 6kA 2P 16A 30mA тип AC (R)</v>
      </c>
      <c r="F1055" s="9">
        <f>IFERROR(VLOOKUP($D1055,FIYAT!$B:$O,5,FALSE()),"")</f>
        <v>10809</v>
      </c>
      <c r="G1055" s="9">
        <f>IFERROR(VLOOKUP($D1055,FIYAT!$B:$O,8,FALSE()),"")</f>
        <v>6485.4</v>
      </c>
      <c r="H1055" s="9">
        <f t="shared" si="128"/>
        <v>6485.4</v>
      </c>
      <c r="I1055" s="6">
        <v>1</v>
      </c>
      <c r="J1055" s="9" t="str">
        <f>IFERROR(VLOOKUP($D1055,FIYAT!$B:$O,9,FALSE()),"")</f>
        <v>Шт.</v>
      </c>
      <c r="K1055" s="9" t="str">
        <f>IFERROR(VLOOKUP($D1055,FIYAT!$B:$O,4,FALSE()),"")</f>
        <v>CHINT</v>
      </c>
      <c r="L1055" s="9">
        <f t="shared" si="129"/>
        <v>6485.4</v>
      </c>
      <c r="M1055" s="9"/>
      <c r="N1055" s="9"/>
      <c r="O1055" s="9"/>
      <c r="P1055" s="9" t="str">
        <f>IF($H1055="","FIYAT_YOK",IFERROR(VLOOKUP($D1055,FIYAT!$B:$P,15,FALSE()),""))</f>
        <v>OK</v>
      </c>
      <c r="Q1055" s="9" t="s">
        <v>202</v>
      </c>
      <c r="R1055" s="9" t="s">
        <v>171</v>
      </c>
      <c r="S1055" s="9" t="s">
        <v>637</v>
      </c>
      <c r="T1055" s="9" t="s">
        <v>55</v>
      </c>
      <c r="U1055" s="9">
        <f>IFERROR(VLOOKUP($T1055,KURALLAR!$A$32:$B$63,2,FALSE()),0)*IF(ISNUMBER($I1055),$I1055,0)</f>
        <v>6</v>
      </c>
    </row>
    <row r="1056" spans="1:21" x14ac:dyDescent="0.25">
      <c r="A1056" s="5">
        <v>1055</v>
      </c>
      <c r="B1056" s="5"/>
      <c r="C1056" s="5" t="s">
        <v>192</v>
      </c>
      <c r="D1056" s="5" t="s">
        <v>206</v>
      </c>
      <c r="E1056" s="5" t="str">
        <f>IFERROR(VLOOKUP($D1056,FIYAT!$B:$O,2,FALSE()),"")</f>
        <v>Авт. выкл. NXB-63 1P 10A 6кА х-ка C (R)</v>
      </c>
      <c r="F1056" s="5">
        <f>IFERROR(VLOOKUP($D1056,FIYAT!$B:$O,5,FALSE()),"")</f>
        <v>1362</v>
      </c>
      <c r="G1056" s="5">
        <f>IFERROR(VLOOKUP($D1056,FIYAT!$B:$O,8,FALSE()),"")</f>
        <v>817.19999999999993</v>
      </c>
      <c r="H1056" s="5">
        <f t="shared" si="128"/>
        <v>10623.599999999999</v>
      </c>
      <c r="I1056" s="6">
        <v>13</v>
      </c>
      <c r="J1056" s="5" t="str">
        <f>IFERROR(VLOOKUP($D1056,FIYAT!$B:$O,9,FALSE()),"")</f>
        <v>Шт.</v>
      </c>
      <c r="K1056" s="5" t="str">
        <f>IFERROR(VLOOKUP($D1056,FIYAT!$B:$O,4,FALSE()),"")</f>
        <v>CHINT</v>
      </c>
      <c r="L1056" s="5">
        <f t="shared" si="129"/>
        <v>10623.599999999999</v>
      </c>
      <c r="M1056" s="5"/>
      <c r="N1056" s="5"/>
      <c r="O1056" s="5"/>
      <c r="P1056" s="5" t="str">
        <f>IF($H1056="","FIYAT_YOK",IFERROR(VLOOKUP($D1056,FIYAT!$B:$P,15,FALSE()),""))</f>
        <v>OK</v>
      </c>
      <c r="Q1056" s="5" t="s">
        <v>208</v>
      </c>
      <c r="R1056" s="5" t="s">
        <v>184</v>
      </c>
      <c r="S1056" s="5" t="s">
        <v>637</v>
      </c>
      <c r="T1056" s="5" t="s">
        <v>47</v>
      </c>
      <c r="U1056" s="5">
        <f>IFERROR(VLOOKUP($T1056,KURALLAR!$A$32:$B$63,2,FALSE()),0)*IF(ISNUMBER($I1056),$I1056,0)</f>
        <v>39</v>
      </c>
    </row>
    <row r="1057" spans="1:21" x14ac:dyDescent="0.25">
      <c r="A1057" s="9">
        <v>1056</v>
      </c>
      <c r="B1057" s="9"/>
      <c r="C1057" s="9" t="s">
        <v>93</v>
      </c>
      <c r="D1057" s="9" t="s">
        <v>209</v>
      </c>
      <c r="E1057" s="9" t="str">
        <f>IFERROR(VLOOKUP($D1057,FIYAT!$B:$O,2,FALSE()),"")</f>
        <v>Шина "N" нулевая 6х9мм на DIN-рейку в корпусном изоляторе ШНИ 12К IEK (10)</v>
      </c>
      <c r="F1057" s="9">
        <f>IFERROR(VLOOKUP($D1057,FIYAT!$B:$O,5,FALSE()),"")</f>
        <v>755</v>
      </c>
      <c r="G1057" s="9">
        <f>IFERROR(VLOOKUP($D1057,FIYAT!$B:$O,8,FALSE()),"")</f>
        <v>453</v>
      </c>
      <c r="H1057" s="9">
        <f t="shared" si="128"/>
        <v>1812</v>
      </c>
      <c r="I1057" s="6">
        <v>4</v>
      </c>
      <c r="J1057" s="9" t="str">
        <f>IFERROR(VLOOKUP($D1057,FIYAT!$B:$O,9,FALSE()),"")</f>
        <v>Шт.</v>
      </c>
      <c r="K1057" s="9" t="str">
        <f>IFERROR(VLOOKUP($D1057,FIYAT!$B:$O,4,FALSE()),"")</f>
        <v>KAZTEK</v>
      </c>
      <c r="L1057" s="9">
        <f t="shared" si="129"/>
        <v>1812</v>
      </c>
      <c r="M1057" s="9"/>
      <c r="N1057" s="9"/>
      <c r="O1057" s="9"/>
      <c r="P1057" s="9" t="str">
        <f>IF($H1057="","FIYAT_YOK",IFERROR(VLOOKUP($D1057,FIYAT!$B:$P,15,FALSE()),""))</f>
        <v>MUADIL</v>
      </c>
      <c r="Q1057" s="9" t="s">
        <v>212</v>
      </c>
      <c r="R1057" s="9" t="s">
        <v>211</v>
      </c>
      <c r="S1057" s="9" t="s">
        <v>637</v>
      </c>
      <c r="T1057" s="9" t="s">
        <v>93</v>
      </c>
      <c r="U1057" s="9">
        <f>IFERROR(VLOOKUP($T1057,KURALLAR!$A$32:$B$63,2,FALSE()),0)*IF(ISNUMBER($I1057),$I1057,0)</f>
        <v>32</v>
      </c>
    </row>
    <row r="1058" spans="1:21" x14ac:dyDescent="0.25">
      <c r="A1058" s="5">
        <v>1057</v>
      </c>
      <c r="B1058" s="5"/>
      <c r="C1058" s="5" t="s">
        <v>222</v>
      </c>
      <c r="D1058" s="5" t="s">
        <v>220</v>
      </c>
      <c r="E1058" s="5" t="str">
        <f>IFERROR(VLOOKUP($D1058,FIYAT!$B:$O,2,FALSE()),"")</f>
        <v>ЩМП (инд.) IP31 (650х500х150мм)</v>
      </c>
      <c r="F1058" s="5">
        <f>IFERROR(VLOOKUP($D1058,FIYAT!$B:$O,5,FALSE()),"")</f>
        <v>27825</v>
      </c>
      <c r="G1058" s="5">
        <f>IFERROR(VLOOKUP($D1058,FIYAT!$B:$O,8,FALSE()),"")</f>
        <v>16695</v>
      </c>
      <c r="H1058" s="5">
        <f t="shared" si="128"/>
        <v>16695</v>
      </c>
      <c r="I1058" s="6">
        <v>1</v>
      </c>
      <c r="J1058" s="5" t="str">
        <f>IFERROR(VLOOKUP($D1058,FIYAT!$B:$O,9,FALSE()),"")</f>
        <v>Шт.</v>
      </c>
      <c r="K1058" s="5" t="str">
        <f>IFERROR(VLOOKUP($D1058,FIYAT!$B:$O,4,FALSE()),"")</f>
        <v>KAZTEK</v>
      </c>
      <c r="L1058" s="5">
        <f t="shared" si="129"/>
        <v>16695</v>
      </c>
      <c r="M1058" s="5"/>
      <c r="N1058" s="5"/>
      <c r="O1058" s="5"/>
      <c r="P1058" s="5" t="str">
        <f>IF($H1058="","FIYAT_YOK",IFERROR(VLOOKUP($D1058,FIYAT!$B:$P,15,FALSE()),""))</f>
        <v>VARSAYIM</v>
      </c>
      <c r="Q1058" s="5" t="s">
        <v>223</v>
      </c>
      <c r="R1058" s="5" t="s">
        <v>211</v>
      </c>
      <c r="S1058" s="5" t="s">
        <v>637</v>
      </c>
      <c r="T1058" s="5" t="s">
        <v>105</v>
      </c>
      <c r="U1058" s="5">
        <f>IFERROR(VLOOKUP($T1058,KURALLAR!$A$32:$B$63,2,FALSE()),0)*IF(ISNUMBER($I1058),$I1058,0)</f>
        <v>30</v>
      </c>
    </row>
    <row r="1059" spans="1:21" x14ac:dyDescent="0.25">
      <c r="A1059" s="9">
        <v>1058</v>
      </c>
      <c r="B1059" s="9"/>
      <c r="C1059" s="9" t="s">
        <v>215</v>
      </c>
      <c r="D1059" s="9" t="s">
        <v>213</v>
      </c>
      <c r="E1059" s="9" t="str">
        <f>IFERROR(VLOOKUP($D1059,FIYAT!$B:$O,2,FALSE()),"")</f>
        <v>Монтажный расходный материал (кабель, DIN-рейка, кабель-канал, клеммы, маркировка, крепёж)</v>
      </c>
      <c r="F1059" s="9">
        <f>IFERROR(VLOOKUP($D1059,FIYAT!$B:$O,5,FALSE()),"")</f>
        <v>0</v>
      </c>
      <c r="G1059" s="9" t="str">
        <f>IFERROR(VLOOKUP($D1059,FIYAT!$B:$O,8,FALSE()),"")</f>
        <v/>
      </c>
      <c r="H1059" s="9">
        <f>ROUND(SUM($H$1047:$H$1058)*KURALLAR!$B$28,0)</f>
        <v>8998</v>
      </c>
      <c r="I1059" s="6">
        <v>1</v>
      </c>
      <c r="J1059" s="9" t="str">
        <f>IFERROR(VLOOKUP($D1059,FIYAT!$B:$O,9,FALSE()),"")</f>
        <v>компл.</v>
      </c>
      <c r="K1059" s="9" t="str">
        <f>IFERROR(VLOOKUP($D1059,FIYAT!$B:$O,4,FALSE()),"")</f>
        <v>MUADIL-NET</v>
      </c>
      <c r="L1059" s="9">
        <f t="shared" si="129"/>
        <v>8998</v>
      </c>
      <c r="M1059" s="9"/>
      <c r="N1059" s="9"/>
      <c r="O1059" s="9"/>
      <c r="P1059" s="9" t="str">
        <f>IF($H1059="","FIYAT_YOK",IFERROR(VLOOKUP($D1059,FIYAT!$B:$P,15,FALSE()),""))</f>
        <v>ORAN</v>
      </c>
      <c r="Q1059" s="9" t="s">
        <v>218</v>
      </c>
      <c r="R1059" s="9" t="s">
        <v>217</v>
      </c>
      <c r="S1059" s="9" t="s">
        <v>637</v>
      </c>
      <c r="T1059" s="9"/>
      <c r="U1059" s="9">
        <v>0</v>
      </c>
    </row>
    <row r="1060" spans="1:21" x14ac:dyDescent="0.25">
      <c r="A1060" s="5">
        <v>1059</v>
      </c>
      <c r="B1060" s="5"/>
      <c r="C1060" s="5" t="s">
        <v>227</v>
      </c>
      <c r="D1060" s="5" t="s">
        <v>225</v>
      </c>
      <c r="E1060" s="5" t="str">
        <f>IFERROR(VLOOKUP($D1060,FIYAT!$B:$O,2,FALSE()),"")</f>
        <v>Сборка, кабелирование, маркировка, момент затяжки, испытания</v>
      </c>
      <c r="F1060" s="5">
        <f>IFERROR(VLOOKUP($D1060,FIYAT!$B:$O,5,FALSE()),"")</f>
        <v>100</v>
      </c>
      <c r="G1060" s="5">
        <f>IFERROR(VLOOKUP($D1060,FIYAT!$B:$O,8,FALSE()),"")</f>
        <v>100</v>
      </c>
      <c r="H1060" s="5">
        <f>IF(OR($G1060="",$I1060=""),"",$G1060*$I1060)</f>
        <v>24200</v>
      </c>
      <c r="I1060" s="6">
        <f>ROUND(SUM($U$1047:$U$1059)*KURALLAR!$B$27,0)</f>
        <v>242</v>
      </c>
      <c r="J1060" s="5" t="str">
        <f>IFERROR(VLOOKUP($D1060,FIYAT!$B:$O,9,FALSE()),"")</f>
        <v>мин</v>
      </c>
      <c r="K1060" s="5" t="str">
        <f>IFERROR(VLOOKUP($D1060,FIYAT!$B:$O,4,FALSE()),"")</f>
        <v>ISCILIK</v>
      </c>
      <c r="L1060" s="5">
        <f t="shared" si="129"/>
        <v>24200</v>
      </c>
      <c r="M1060" s="5"/>
      <c r="N1060" s="5"/>
      <c r="O1060" s="5"/>
      <c r="P1060" s="5" t="str">
        <f>IF($H1060="","FIYAT_YOK",IFERROR(VLOOKUP($D1060,FIYAT!$B:$P,15,FALSE()),""))</f>
        <v>OK</v>
      </c>
      <c r="Q1060" s="5" t="str">
        <f>CONCATENATE("montaj+test iscilik: ",TEXT($I1060,"# ##0")," dk = ",TEXT($I1060/60,"0,00")," saat (norm x test/etiket carpani)")</f>
        <v>montaj+test iscilik:  242 dk = 4,03 saat (norm x test/etiket carpani)</v>
      </c>
      <c r="R1060" s="5" t="s">
        <v>229</v>
      </c>
      <c r="S1060" s="5" t="s">
        <v>637</v>
      </c>
      <c r="T1060" s="5"/>
      <c r="U1060" s="5">
        <v>0</v>
      </c>
    </row>
    <row r="1061" spans="1:21" x14ac:dyDescent="0.25">
      <c r="A1061" s="10">
        <v>1060</v>
      </c>
      <c r="B1061" s="10" t="s">
        <v>680</v>
      </c>
      <c r="C1061" s="10"/>
      <c r="D1061" s="10"/>
      <c r="E1061" s="10"/>
      <c r="F1061" s="10"/>
      <c r="G1061" s="10"/>
      <c r="H1061" s="10">
        <f>SUBTOTAL(9,H1047:H1060)</f>
        <v>161737.79999999999</v>
      </c>
      <c r="I1061" s="10"/>
      <c r="J1061" s="10"/>
      <c r="K1061" s="10"/>
      <c r="L1061" s="10">
        <f>SUBTOTAL(9,L1047:L1060)</f>
        <v>161737.79999999999</v>
      </c>
      <c r="M1061" s="10"/>
      <c r="N1061" s="10"/>
      <c r="O1061" s="10"/>
      <c r="P1061" s="10"/>
      <c r="Q1061" s="10"/>
      <c r="R1061" s="10"/>
      <c r="S1061" s="10"/>
      <c r="T1061" s="10"/>
      <c r="U1061" s="10">
        <f>SUBTOTAL(9,U1047:U1060)</f>
        <v>210</v>
      </c>
    </row>
    <row r="1062" spans="1:21" x14ac:dyDescent="0.25">
      <c r="A1062" s="8">
        <v>1061</v>
      </c>
      <c r="B1062" s="8" t="str">
        <f>E1062</f>
        <v>BLOK B / 11F-ИБП.1 — НКУ 380/220В 50Гц, FORM 2B, IP31/54</v>
      </c>
      <c r="C1062" s="8" t="s">
        <v>545</v>
      </c>
      <c r="D1062" s="8"/>
      <c r="E1062" s="8" t="s">
        <v>681</v>
      </c>
      <c r="F1062" s="8"/>
      <c r="G1062" s="8"/>
      <c r="H1062" s="8"/>
      <c r="I1062" s="8">
        <v>1</v>
      </c>
      <c r="J1062" s="8" t="s">
        <v>547</v>
      </c>
      <c r="K1062" s="8"/>
      <c r="L1062" s="8"/>
      <c r="M1062" s="8"/>
      <c r="N1062" s="8"/>
      <c r="O1062" s="8"/>
      <c r="P1062" s="8" t="s">
        <v>178</v>
      </c>
      <c r="Q1062" s="8" t="s">
        <v>548</v>
      </c>
      <c r="R1062" s="8" t="s">
        <v>549</v>
      </c>
      <c r="S1062" s="8" t="s">
        <v>637</v>
      </c>
      <c r="T1062" s="8"/>
      <c r="U1062" s="8"/>
    </row>
    <row r="1063" spans="1:21" x14ac:dyDescent="0.25">
      <c r="A1063" s="9">
        <v>1062</v>
      </c>
      <c r="B1063" s="9"/>
      <c r="C1063" s="9" t="s">
        <v>169</v>
      </c>
      <c r="D1063" s="9" t="s">
        <v>167</v>
      </c>
      <c r="E1063" s="9" t="str">
        <f>IFERROR(VLOOKUP($D1063,FIYAT!$B:$O,2,FALSE()),"")</f>
        <v>Авт. выкл. NM8N-125C TM 3P 32А 36кА с рег. термомаг. расцепителем (R)</v>
      </c>
      <c r="F1063" s="9">
        <f>IFERROR(VLOOKUP($D1063,FIYAT!$B:$O,5,FALSE()),"")</f>
        <v>64667</v>
      </c>
      <c r="G1063" s="9">
        <f>IFERROR(VLOOKUP($D1063,FIYAT!$B:$O,8,FALSE()),"")</f>
        <v>38800.199999999997</v>
      </c>
      <c r="H1063" s="9">
        <f t="shared" ref="H1063:H1074" si="130">IF(OR($G1063="",$I1063=""),"",$G1063*$I1063)</f>
        <v>38800.199999999997</v>
      </c>
      <c r="I1063" s="6">
        <v>1</v>
      </c>
      <c r="J1063" s="9" t="str">
        <f>IFERROR(VLOOKUP($D1063,FIYAT!$B:$O,9,FALSE()),"")</f>
        <v>Шт.</v>
      </c>
      <c r="K1063" s="9" t="str">
        <f>IFERROR(VLOOKUP($D1063,FIYAT!$B:$O,4,FALSE()),"")</f>
        <v>CHINT</v>
      </c>
      <c r="L1063" s="9">
        <f t="shared" ref="L1063:L1076" si="131">IF($H1063="","",$H1063)</f>
        <v>38800.199999999997</v>
      </c>
      <c r="M1063" s="9"/>
      <c r="N1063" s="9"/>
      <c r="O1063" s="9"/>
      <c r="P1063" s="9" t="str">
        <f>IF($H1063="","FIYAT_YOK",IFERROR(VLOOKUP($D1063,FIYAT!$B:$P,15,FALSE()),""))</f>
        <v>MUADIL</v>
      </c>
      <c r="Q1063" s="9" t="s">
        <v>172</v>
      </c>
      <c r="R1063" s="9" t="s">
        <v>171</v>
      </c>
      <c r="S1063" s="9" t="s">
        <v>637</v>
      </c>
      <c r="T1063" s="9" t="s">
        <v>61</v>
      </c>
      <c r="U1063" s="9">
        <f>IFERROR(VLOOKUP($T1063,KURALLAR!$A$32:$B$63,2,FALSE()),0)*IF(ISNUMBER($I1063),$I1063,0)</f>
        <v>15</v>
      </c>
    </row>
    <row r="1064" spans="1:21" x14ac:dyDescent="0.25">
      <c r="A1064" s="5">
        <v>1063</v>
      </c>
      <c r="B1064" s="5"/>
      <c r="C1064" s="5" t="s">
        <v>176</v>
      </c>
      <c r="D1064" s="5" t="s">
        <v>174</v>
      </c>
      <c r="E1064" s="5" t="str">
        <f>IFERROR(VLOOKUP($D1064,FIYAT!$B:$O,2,FALSE()),"")</f>
        <v>УЗО NL1-63 6kA 4P 63A 300mA тип AC (R)</v>
      </c>
      <c r="F1064" s="5">
        <f>IFERROR(VLOOKUP($D1064,FIYAT!$B:$O,5,FALSE()),"")</f>
        <v>18106</v>
      </c>
      <c r="G1064" s="5">
        <f>IFERROR(VLOOKUP($D1064,FIYAT!$B:$O,8,FALSE()),"")</f>
        <v>10863.6</v>
      </c>
      <c r="H1064" s="5">
        <f t="shared" si="130"/>
        <v>10863.6</v>
      </c>
      <c r="I1064" s="6">
        <v>1</v>
      </c>
      <c r="J1064" s="5" t="str">
        <f>IFERROR(VLOOKUP($D1064,FIYAT!$B:$O,9,FALSE()),"")</f>
        <v>Шт.</v>
      </c>
      <c r="K1064" s="5" t="str">
        <f>IFERROR(VLOOKUP($D1064,FIYAT!$B:$O,4,FALSE()),"")</f>
        <v>CHINT</v>
      </c>
      <c r="L1064" s="5">
        <f t="shared" si="131"/>
        <v>10863.6</v>
      </c>
      <c r="M1064" s="5"/>
      <c r="N1064" s="5"/>
      <c r="O1064" s="5"/>
      <c r="P1064" s="5" t="str">
        <f>IF($H1064="","FIYAT_YOK",IFERROR(VLOOKUP($D1064,FIYAT!$B:$P,15,FALSE()),""))</f>
        <v>OK</v>
      </c>
      <c r="Q1064" s="5" t="s">
        <v>177</v>
      </c>
      <c r="R1064" s="5" t="s">
        <v>171</v>
      </c>
      <c r="S1064" s="5" t="s">
        <v>637</v>
      </c>
      <c r="T1064" s="5" t="s">
        <v>57</v>
      </c>
      <c r="U1064" s="5">
        <f>IFERROR(VLOOKUP($T1064,KURALLAR!$A$32:$B$63,2,FALSE()),0)*IF(ISNUMBER($I1064),$I1064,0)</f>
        <v>10</v>
      </c>
    </row>
    <row r="1065" spans="1:21" x14ac:dyDescent="0.25">
      <c r="A1065" s="9">
        <v>1064</v>
      </c>
      <c r="B1065" s="9"/>
      <c r="C1065" s="9" t="s">
        <v>79</v>
      </c>
      <c r="D1065" s="9" t="s">
        <v>179</v>
      </c>
      <c r="E1065" s="9" t="str">
        <f>IFERROR(VLOOKUP($D1065,FIYAT!$B:$O,2,FALSE()),"")</f>
        <v>Держатель плавкой вставки RT36-00-160, габарит 00, 160А</v>
      </c>
      <c r="F1065" s="9">
        <f>IFERROR(VLOOKUP($D1065,FIYAT!$B:$O,5,FALSE()),"")</f>
        <v>2038</v>
      </c>
      <c r="G1065" s="9">
        <f>IFERROR(VLOOKUP($D1065,FIYAT!$B:$O,8,FALSE()),"")</f>
        <v>1222.8</v>
      </c>
      <c r="H1065" s="9">
        <f t="shared" si="130"/>
        <v>4891.2</v>
      </c>
      <c r="I1065" s="6">
        <v>4</v>
      </c>
      <c r="J1065" s="9" t="str">
        <f>IFERROR(VLOOKUP($D1065,FIYAT!$B:$O,9,FALSE()),"")</f>
        <v>Шт.</v>
      </c>
      <c r="K1065" s="9" t="str">
        <f>IFERROR(VLOOKUP($D1065,FIYAT!$B:$O,4,FALSE()),"")</f>
        <v>CHINT</v>
      </c>
      <c r="L1065" s="9">
        <f t="shared" si="131"/>
        <v>4891.2</v>
      </c>
      <c r="M1065" s="9"/>
      <c r="N1065" s="9"/>
      <c r="O1065" s="9"/>
      <c r="P1065" s="9" t="str">
        <f>IF($H1065="","FIYAT_YOK",IFERROR(VLOOKUP($D1065,FIYAT!$B:$P,15,FALSE()),""))</f>
        <v>MUADIL</v>
      </c>
      <c r="Q1065" s="9" t="s">
        <v>181</v>
      </c>
      <c r="R1065" s="9" t="s">
        <v>171</v>
      </c>
      <c r="S1065" s="9" t="s">
        <v>637</v>
      </c>
      <c r="T1065" s="9" t="s">
        <v>77</v>
      </c>
      <c r="U1065" s="9">
        <f>IFERROR(VLOOKUP($T1065,KURALLAR!$A$32:$B$63,2,FALSE()),0)*IF(ISNUMBER($I1065),$I1065,0)</f>
        <v>20</v>
      </c>
    </row>
    <row r="1066" spans="1:21" x14ac:dyDescent="0.25">
      <c r="A1066" s="5">
        <v>1065</v>
      </c>
      <c r="B1066" s="5"/>
      <c r="C1066" s="5" t="s">
        <v>79</v>
      </c>
      <c r="D1066" s="5" t="s">
        <v>182</v>
      </c>
      <c r="E1066" s="5" t="str">
        <f>IFERROR(VLOOKUP($D1066,FIYAT!$B:$O,2,FALSE()),"")</f>
        <v>Плавкая вставка предохранителя RT36-00-160, габарит 00, 63А</v>
      </c>
      <c r="F1066" s="5">
        <f>IFERROR(VLOOKUP($D1066,FIYAT!$B:$O,5,FALSE()),"")</f>
        <v>1525</v>
      </c>
      <c r="G1066" s="5">
        <f>IFERROR(VLOOKUP($D1066,FIYAT!$B:$O,8,FALSE()),"")</f>
        <v>915</v>
      </c>
      <c r="H1066" s="5">
        <f t="shared" si="130"/>
        <v>3660</v>
      </c>
      <c r="I1066" s="6">
        <v>4</v>
      </c>
      <c r="J1066" s="5" t="str">
        <f>IFERROR(VLOOKUP($D1066,FIYAT!$B:$O,9,FALSE()),"")</f>
        <v>Шт.</v>
      </c>
      <c r="K1066" s="5" t="str">
        <f>IFERROR(VLOOKUP($D1066,FIYAT!$B:$O,4,FALSE()),"")</f>
        <v>CHINT</v>
      </c>
      <c r="L1066" s="5">
        <f t="shared" si="131"/>
        <v>3660</v>
      </c>
      <c r="M1066" s="5"/>
      <c r="N1066" s="5"/>
      <c r="O1066" s="5"/>
      <c r="P1066" s="5" t="str">
        <f>IF($H1066="","FIYAT_YOK",IFERROR(VLOOKUP($D1066,FIYAT!$B:$P,15,FALSE()),""))</f>
        <v>MUADIL</v>
      </c>
      <c r="Q1066" s="5" t="s">
        <v>185</v>
      </c>
      <c r="R1066" s="5" t="s">
        <v>184</v>
      </c>
      <c r="S1066" s="5" t="s">
        <v>637</v>
      </c>
      <c r="T1066" s="5" t="s">
        <v>79</v>
      </c>
      <c r="U1066" s="5">
        <f>IFERROR(VLOOKUP($T1066,KURALLAR!$A$32:$B$63,2,FALSE()),0)*IF(ISNUMBER($I1066),$I1066,0)</f>
        <v>12</v>
      </c>
    </row>
    <row r="1067" spans="1:21" x14ac:dyDescent="0.25">
      <c r="A1067" s="9">
        <v>1066</v>
      </c>
      <c r="B1067" s="9"/>
      <c r="C1067" s="9" t="s">
        <v>75</v>
      </c>
      <c r="D1067" s="9" t="s">
        <v>186</v>
      </c>
      <c r="E1067" s="9" t="str">
        <f>IFERROR(VLOOKUP($D1067,FIYAT!$B:$O,2,FALSE()),"")</f>
        <v>Ограничитель имп. перенапр. NU6-IIG 4Р In=25kA Uc=440B Im=65kA (R)</v>
      </c>
      <c r="F1067" s="9">
        <f>IFERROR(VLOOKUP($D1067,FIYAT!$B:$O,5,FALSE()),"")</f>
        <v>33208</v>
      </c>
      <c r="G1067" s="9">
        <f>IFERROR(VLOOKUP($D1067,FIYAT!$B:$O,8,FALSE()),"")</f>
        <v>19924.8</v>
      </c>
      <c r="H1067" s="9">
        <f t="shared" si="130"/>
        <v>19924.8</v>
      </c>
      <c r="I1067" s="6">
        <v>1</v>
      </c>
      <c r="J1067" s="9" t="str">
        <f>IFERROR(VLOOKUP($D1067,FIYAT!$B:$O,9,FALSE()),"")</f>
        <v>Шт.</v>
      </c>
      <c r="K1067" s="9" t="str">
        <f>IFERROR(VLOOKUP($D1067,FIYAT!$B:$O,4,FALSE()),"")</f>
        <v>CHINT</v>
      </c>
      <c r="L1067" s="9">
        <f t="shared" si="131"/>
        <v>19924.8</v>
      </c>
      <c r="M1067" s="9"/>
      <c r="N1067" s="9"/>
      <c r="O1067" s="9"/>
      <c r="P1067" s="9" t="str">
        <f>IF($H1067="","FIYAT_YOK",IFERROR(VLOOKUP($D1067,FIYAT!$B:$P,15,FALSE()),""))</f>
        <v>MUADIL_ONAY</v>
      </c>
      <c r="Q1067" s="9" t="s">
        <v>188</v>
      </c>
      <c r="R1067" s="9" t="s">
        <v>184</v>
      </c>
      <c r="S1067" s="9" t="s">
        <v>637</v>
      </c>
      <c r="T1067" s="9" t="s">
        <v>75</v>
      </c>
      <c r="U1067" s="9">
        <f>IFERROR(VLOOKUP($T1067,KURALLAR!$A$32:$B$63,2,FALSE()),0)*IF(ISNUMBER($I1067),$I1067,0)</f>
        <v>10</v>
      </c>
    </row>
    <row r="1068" spans="1:21" x14ac:dyDescent="0.25">
      <c r="A1068" s="5">
        <v>1067</v>
      </c>
      <c r="B1068" s="5"/>
      <c r="C1068" s="5" t="s">
        <v>192</v>
      </c>
      <c r="D1068" s="5" t="s">
        <v>321</v>
      </c>
      <c r="E1068" s="5" t="str">
        <f>IFERROR(VLOOKUP($D1068,FIYAT!$B:$O,2,FALSE()),"")</f>
        <v>Авт. выкл. NXB-63 1P 25A 6кА х-ка C (R)</v>
      </c>
      <c r="F1068" s="5">
        <f>IFERROR(VLOOKUP($D1068,FIYAT!$B:$O,5,FALSE()),"")</f>
        <v>1330</v>
      </c>
      <c r="G1068" s="5">
        <f>IFERROR(VLOOKUP($D1068,FIYAT!$B:$O,8,FALSE()),"")</f>
        <v>798</v>
      </c>
      <c r="H1068" s="5">
        <f t="shared" si="130"/>
        <v>798</v>
      </c>
      <c r="I1068" s="6">
        <v>1</v>
      </c>
      <c r="J1068" s="5" t="str">
        <f>IFERROR(VLOOKUP($D1068,FIYAT!$B:$O,9,FALSE()),"")</f>
        <v>Шт.</v>
      </c>
      <c r="K1068" s="5" t="str">
        <f>IFERROR(VLOOKUP($D1068,FIYAT!$B:$O,4,FALSE()),"")</f>
        <v>CHINT</v>
      </c>
      <c r="L1068" s="5">
        <f t="shared" si="131"/>
        <v>798</v>
      </c>
      <c r="M1068" s="5"/>
      <c r="N1068" s="5"/>
      <c r="O1068" s="5"/>
      <c r="P1068" s="5" t="str">
        <f>IF($H1068="","FIYAT_YOK",IFERROR(VLOOKUP($D1068,FIYAT!$B:$P,15,FALSE()),""))</f>
        <v>OK</v>
      </c>
      <c r="Q1068" s="5" t="s">
        <v>323</v>
      </c>
      <c r="R1068" s="5" t="s">
        <v>171</v>
      </c>
      <c r="S1068" s="5" t="s">
        <v>637</v>
      </c>
      <c r="T1068" s="5" t="s">
        <v>47</v>
      </c>
      <c r="U1068" s="5">
        <f>IFERROR(VLOOKUP($T1068,KURALLAR!$A$32:$B$63,2,FALSE()),0)*IF(ISNUMBER($I1068),$I1068,0)</f>
        <v>3</v>
      </c>
    </row>
    <row r="1069" spans="1:21" x14ac:dyDescent="0.25">
      <c r="A1069" s="9">
        <v>1068</v>
      </c>
      <c r="B1069" s="9"/>
      <c r="C1069" s="9" t="s">
        <v>176</v>
      </c>
      <c r="D1069" s="9" t="s">
        <v>324</v>
      </c>
      <c r="E1069" s="9" t="str">
        <f>IFERROR(VLOOKUP($D1069,FIYAT!$B:$O,2,FALSE()),"")</f>
        <v>УЗО NL1-63 6kA 2P 25A 30mA тип AC (R)</v>
      </c>
      <c r="F1069" s="9">
        <f>IFERROR(VLOOKUP($D1069,FIYAT!$B:$O,5,FALSE()),"")</f>
        <v>10809</v>
      </c>
      <c r="G1069" s="9">
        <f>IFERROR(VLOOKUP($D1069,FIYAT!$B:$O,8,FALSE()),"")</f>
        <v>6485.4</v>
      </c>
      <c r="H1069" s="9">
        <f t="shared" si="130"/>
        <v>6485.4</v>
      </c>
      <c r="I1069" s="6">
        <v>1</v>
      </c>
      <c r="J1069" s="9" t="str">
        <f>IFERROR(VLOOKUP($D1069,FIYAT!$B:$O,9,FALSE()),"")</f>
        <v>Шт.</v>
      </c>
      <c r="K1069" s="9" t="str">
        <f>IFERROR(VLOOKUP($D1069,FIYAT!$B:$O,4,FALSE()),"")</f>
        <v>CHINT</v>
      </c>
      <c r="L1069" s="9">
        <f t="shared" si="131"/>
        <v>6485.4</v>
      </c>
      <c r="M1069" s="9"/>
      <c r="N1069" s="9"/>
      <c r="O1069" s="9"/>
      <c r="P1069" s="9" t="str">
        <f>IF($H1069="","FIYAT_YOK",IFERROR(VLOOKUP($D1069,FIYAT!$B:$P,15,FALSE()),""))</f>
        <v>OK</v>
      </c>
      <c r="Q1069" s="9" t="s">
        <v>326</v>
      </c>
      <c r="R1069" s="9" t="s">
        <v>171</v>
      </c>
      <c r="S1069" s="9" t="s">
        <v>637</v>
      </c>
      <c r="T1069" s="9" t="s">
        <v>55</v>
      </c>
      <c r="U1069" s="9">
        <f>IFERROR(VLOOKUP($T1069,KURALLAR!$A$32:$B$63,2,FALSE()),0)*IF(ISNUMBER($I1069),$I1069,0)</f>
        <v>6</v>
      </c>
    </row>
    <row r="1070" spans="1:21" x14ac:dyDescent="0.25">
      <c r="A1070" s="5">
        <v>1069</v>
      </c>
      <c r="B1070" s="5"/>
      <c r="C1070" s="5" t="s">
        <v>192</v>
      </c>
      <c r="D1070" s="5" t="s">
        <v>194</v>
      </c>
      <c r="E1070" s="5" t="str">
        <f>IFERROR(VLOOKUP($D1070,FIYAT!$B:$O,2,FALSE()),"")</f>
        <v>Авт. выкл. NXB-63 1P 16A 6кА х-ка C (R)</v>
      </c>
      <c r="F1070" s="5">
        <f>IFERROR(VLOOKUP($D1070,FIYAT!$B:$O,5,FALSE()),"")</f>
        <v>1389</v>
      </c>
      <c r="G1070" s="5">
        <f>IFERROR(VLOOKUP($D1070,FIYAT!$B:$O,8,FALSE()),"")</f>
        <v>833.4</v>
      </c>
      <c r="H1070" s="5">
        <f t="shared" si="130"/>
        <v>7500.5999999999995</v>
      </c>
      <c r="I1070" s="6">
        <v>9</v>
      </c>
      <c r="J1070" s="5" t="str">
        <f>IFERROR(VLOOKUP($D1070,FIYAT!$B:$O,9,FALSE()),"")</f>
        <v>Шт.</v>
      </c>
      <c r="K1070" s="5" t="str">
        <f>IFERROR(VLOOKUP($D1070,FIYAT!$B:$O,4,FALSE()),"")</f>
        <v>CHINT</v>
      </c>
      <c r="L1070" s="5">
        <f t="shared" si="131"/>
        <v>7500.5999999999995</v>
      </c>
      <c r="M1070" s="5"/>
      <c r="N1070" s="5"/>
      <c r="O1070" s="5"/>
      <c r="P1070" s="5" t="str">
        <f>IF($H1070="","FIYAT_YOK",IFERROR(VLOOKUP($D1070,FIYAT!$B:$P,15,FALSE()),""))</f>
        <v>OK</v>
      </c>
      <c r="Q1070" s="5" t="s">
        <v>196</v>
      </c>
      <c r="R1070" s="5" t="s">
        <v>171</v>
      </c>
      <c r="S1070" s="5" t="s">
        <v>637</v>
      </c>
      <c r="T1070" s="5" t="s">
        <v>47</v>
      </c>
      <c r="U1070" s="5">
        <f>IFERROR(VLOOKUP($T1070,KURALLAR!$A$32:$B$63,2,FALSE()),0)*IF(ISNUMBER($I1070),$I1070,0)</f>
        <v>27</v>
      </c>
    </row>
    <row r="1071" spans="1:21" x14ac:dyDescent="0.25">
      <c r="A1071" s="9">
        <v>1070</v>
      </c>
      <c r="B1071" s="9"/>
      <c r="C1071" s="9" t="s">
        <v>176</v>
      </c>
      <c r="D1071" s="9" t="s">
        <v>200</v>
      </c>
      <c r="E1071" s="9" t="str">
        <f>IFERROR(VLOOKUP($D1071,FIYAT!$B:$O,2,FALSE()),"")</f>
        <v>УЗО NL1-63 6kA 2P 16A 30mA тип AC (R)</v>
      </c>
      <c r="F1071" s="9">
        <f>IFERROR(VLOOKUP($D1071,FIYAT!$B:$O,5,FALSE()),"")</f>
        <v>10809</v>
      </c>
      <c r="G1071" s="9">
        <f>IFERROR(VLOOKUP($D1071,FIYAT!$B:$O,8,FALSE()),"")</f>
        <v>6485.4</v>
      </c>
      <c r="H1071" s="9">
        <f t="shared" si="130"/>
        <v>6485.4</v>
      </c>
      <c r="I1071" s="6">
        <v>1</v>
      </c>
      <c r="J1071" s="9" t="str">
        <f>IFERROR(VLOOKUP($D1071,FIYAT!$B:$O,9,FALSE()),"")</f>
        <v>Шт.</v>
      </c>
      <c r="K1071" s="9" t="str">
        <f>IFERROR(VLOOKUP($D1071,FIYAT!$B:$O,4,FALSE()),"")</f>
        <v>CHINT</v>
      </c>
      <c r="L1071" s="9">
        <f t="shared" si="131"/>
        <v>6485.4</v>
      </c>
      <c r="M1071" s="9"/>
      <c r="N1071" s="9"/>
      <c r="O1071" s="9"/>
      <c r="P1071" s="9" t="str">
        <f>IF($H1071="","FIYAT_YOK",IFERROR(VLOOKUP($D1071,FIYAT!$B:$P,15,FALSE()),""))</f>
        <v>OK</v>
      </c>
      <c r="Q1071" s="9" t="s">
        <v>202</v>
      </c>
      <c r="R1071" s="9" t="s">
        <v>171</v>
      </c>
      <c r="S1071" s="9" t="s">
        <v>637</v>
      </c>
      <c r="T1071" s="9" t="s">
        <v>55</v>
      </c>
      <c r="U1071" s="9">
        <f>IFERROR(VLOOKUP($T1071,KURALLAR!$A$32:$B$63,2,FALSE()),0)*IF(ISNUMBER($I1071),$I1071,0)</f>
        <v>6</v>
      </c>
    </row>
    <row r="1072" spans="1:21" x14ac:dyDescent="0.25">
      <c r="A1072" s="5">
        <v>1071</v>
      </c>
      <c r="B1072" s="5"/>
      <c r="C1072" s="5" t="s">
        <v>192</v>
      </c>
      <c r="D1072" s="5" t="s">
        <v>206</v>
      </c>
      <c r="E1072" s="5" t="str">
        <f>IFERROR(VLOOKUP($D1072,FIYAT!$B:$O,2,FALSE()),"")</f>
        <v>Авт. выкл. NXB-63 1P 10A 6кА х-ка C (R)</v>
      </c>
      <c r="F1072" s="5">
        <f>IFERROR(VLOOKUP($D1072,FIYAT!$B:$O,5,FALSE()),"")</f>
        <v>1362</v>
      </c>
      <c r="G1072" s="5">
        <f>IFERROR(VLOOKUP($D1072,FIYAT!$B:$O,8,FALSE()),"")</f>
        <v>817.19999999999993</v>
      </c>
      <c r="H1072" s="5">
        <f t="shared" si="130"/>
        <v>11440.8</v>
      </c>
      <c r="I1072" s="6">
        <v>14</v>
      </c>
      <c r="J1072" s="5" t="str">
        <f>IFERROR(VLOOKUP($D1072,FIYAT!$B:$O,9,FALSE()),"")</f>
        <v>Шт.</v>
      </c>
      <c r="K1072" s="5" t="str">
        <f>IFERROR(VLOOKUP($D1072,FIYAT!$B:$O,4,FALSE()),"")</f>
        <v>CHINT</v>
      </c>
      <c r="L1072" s="5">
        <f t="shared" si="131"/>
        <v>11440.8</v>
      </c>
      <c r="M1072" s="5"/>
      <c r="N1072" s="5"/>
      <c r="O1072" s="5"/>
      <c r="P1072" s="5" t="str">
        <f>IF($H1072="","FIYAT_YOK",IFERROR(VLOOKUP($D1072,FIYAT!$B:$P,15,FALSE()),""))</f>
        <v>OK</v>
      </c>
      <c r="Q1072" s="5" t="s">
        <v>208</v>
      </c>
      <c r="R1072" s="5" t="s">
        <v>184</v>
      </c>
      <c r="S1072" s="5" t="s">
        <v>637</v>
      </c>
      <c r="T1072" s="5" t="s">
        <v>47</v>
      </c>
      <c r="U1072" s="5">
        <f>IFERROR(VLOOKUP($T1072,KURALLAR!$A$32:$B$63,2,FALSE()),0)*IF(ISNUMBER($I1072),$I1072,0)</f>
        <v>42</v>
      </c>
    </row>
    <row r="1073" spans="1:21" x14ac:dyDescent="0.25">
      <c r="A1073" s="9">
        <v>1072</v>
      </c>
      <c r="B1073" s="9"/>
      <c r="C1073" s="9" t="s">
        <v>93</v>
      </c>
      <c r="D1073" s="9" t="s">
        <v>209</v>
      </c>
      <c r="E1073" s="9" t="str">
        <f>IFERROR(VLOOKUP($D1073,FIYAT!$B:$O,2,FALSE()),"")</f>
        <v>Шина "N" нулевая 6х9мм на DIN-рейку в корпусном изоляторе ШНИ 12К IEK (10)</v>
      </c>
      <c r="F1073" s="9">
        <f>IFERROR(VLOOKUP($D1073,FIYAT!$B:$O,5,FALSE()),"")</f>
        <v>755</v>
      </c>
      <c r="G1073" s="9">
        <f>IFERROR(VLOOKUP($D1073,FIYAT!$B:$O,8,FALSE()),"")</f>
        <v>453</v>
      </c>
      <c r="H1073" s="9">
        <f t="shared" si="130"/>
        <v>1812</v>
      </c>
      <c r="I1073" s="6">
        <v>4</v>
      </c>
      <c r="J1073" s="9" t="str">
        <f>IFERROR(VLOOKUP($D1073,FIYAT!$B:$O,9,FALSE()),"")</f>
        <v>Шт.</v>
      </c>
      <c r="K1073" s="9" t="str">
        <f>IFERROR(VLOOKUP($D1073,FIYAT!$B:$O,4,FALSE()),"")</f>
        <v>KAZTEK</v>
      </c>
      <c r="L1073" s="9">
        <f t="shared" si="131"/>
        <v>1812</v>
      </c>
      <c r="M1073" s="9"/>
      <c r="N1073" s="9"/>
      <c r="O1073" s="9"/>
      <c r="P1073" s="9" t="str">
        <f>IF($H1073="","FIYAT_YOK",IFERROR(VLOOKUP($D1073,FIYAT!$B:$P,15,FALSE()),""))</f>
        <v>MUADIL</v>
      </c>
      <c r="Q1073" s="9" t="s">
        <v>212</v>
      </c>
      <c r="R1073" s="9" t="s">
        <v>211</v>
      </c>
      <c r="S1073" s="9" t="s">
        <v>637</v>
      </c>
      <c r="T1073" s="9" t="s">
        <v>93</v>
      </c>
      <c r="U1073" s="9">
        <f>IFERROR(VLOOKUP($T1073,KURALLAR!$A$32:$B$63,2,FALSE()),0)*IF(ISNUMBER($I1073),$I1073,0)</f>
        <v>32</v>
      </c>
    </row>
    <row r="1074" spans="1:21" x14ac:dyDescent="0.25">
      <c r="A1074" s="5">
        <v>1073</v>
      </c>
      <c r="B1074" s="5"/>
      <c r="C1074" s="5" t="s">
        <v>222</v>
      </c>
      <c r="D1074" s="5" t="s">
        <v>310</v>
      </c>
      <c r="E1074" s="5" t="str">
        <f>IFERROR(VLOOKUP($D1074,FIYAT!$B:$O,2,FALSE()),"")</f>
        <v>Мет.Корпус ЩМП-4 (800x650x250) IP54</v>
      </c>
      <c r="F1074" s="5">
        <f>IFERROR(VLOOKUP($D1074,FIYAT!$B:$O,5,FALSE()),"")</f>
        <v>30540</v>
      </c>
      <c r="G1074" s="5">
        <f>IFERROR(VLOOKUP($D1074,FIYAT!$B:$O,8,FALSE()),"")</f>
        <v>18324</v>
      </c>
      <c r="H1074" s="5">
        <f t="shared" si="130"/>
        <v>18324</v>
      </c>
      <c r="I1074" s="6">
        <v>1</v>
      </c>
      <c r="J1074" s="5" t="str">
        <f>IFERROR(VLOOKUP($D1074,FIYAT!$B:$O,9,FALSE()),"")</f>
        <v>Шт.</v>
      </c>
      <c r="K1074" s="5" t="str">
        <f>IFERROR(VLOOKUP($D1074,FIYAT!$B:$O,4,FALSE()),"")</f>
        <v>KAZTEK</v>
      </c>
      <c r="L1074" s="5">
        <f t="shared" si="131"/>
        <v>18324</v>
      </c>
      <c r="M1074" s="5"/>
      <c r="N1074" s="5"/>
      <c r="O1074" s="5"/>
      <c r="P1074" s="5" t="str">
        <f>IF($H1074="","FIYAT_YOK",IFERROR(VLOOKUP($D1074,FIYAT!$B:$P,15,FALSE()),""))</f>
        <v>VARSAYIM</v>
      </c>
      <c r="Q1074" s="5" t="s">
        <v>312</v>
      </c>
      <c r="R1074" s="5" t="s">
        <v>211</v>
      </c>
      <c r="S1074" s="5" t="s">
        <v>637</v>
      </c>
      <c r="T1074" s="5" t="s">
        <v>105</v>
      </c>
      <c r="U1074" s="5">
        <f>IFERROR(VLOOKUP($T1074,KURALLAR!$A$32:$B$63,2,FALSE()),0)*IF(ISNUMBER($I1074),$I1074,0)</f>
        <v>30</v>
      </c>
    </row>
    <row r="1075" spans="1:21" x14ac:dyDescent="0.25">
      <c r="A1075" s="9">
        <v>1074</v>
      </c>
      <c r="B1075" s="9"/>
      <c r="C1075" s="9" t="s">
        <v>215</v>
      </c>
      <c r="D1075" s="9" t="s">
        <v>213</v>
      </c>
      <c r="E1075" s="9" t="str">
        <f>IFERROR(VLOOKUP($D1075,FIYAT!$B:$O,2,FALSE()),"")</f>
        <v>Монтажный расходный материал (кабель, DIN-рейка, кабель-канал, клеммы, маркировка, крепёж)</v>
      </c>
      <c r="F1075" s="9">
        <f>IFERROR(VLOOKUP($D1075,FIYAT!$B:$O,5,FALSE()),"")</f>
        <v>0</v>
      </c>
      <c r="G1075" s="9" t="str">
        <f>IFERROR(VLOOKUP($D1075,FIYAT!$B:$O,8,FALSE()),"")</f>
        <v/>
      </c>
      <c r="H1075" s="9">
        <f>ROUND(SUM($H$1063:$H$1074)*KURALLAR!$B$28,0)</f>
        <v>9169</v>
      </c>
      <c r="I1075" s="6">
        <v>1</v>
      </c>
      <c r="J1075" s="9" t="str">
        <f>IFERROR(VLOOKUP($D1075,FIYAT!$B:$O,9,FALSE()),"")</f>
        <v>компл.</v>
      </c>
      <c r="K1075" s="9" t="str">
        <f>IFERROR(VLOOKUP($D1075,FIYAT!$B:$O,4,FALSE()),"")</f>
        <v>MUADIL-NET</v>
      </c>
      <c r="L1075" s="9">
        <f t="shared" si="131"/>
        <v>9169</v>
      </c>
      <c r="M1075" s="9"/>
      <c r="N1075" s="9"/>
      <c r="O1075" s="9"/>
      <c r="P1075" s="9" t="str">
        <f>IF($H1075="","FIYAT_YOK",IFERROR(VLOOKUP($D1075,FIYAT!$B:$P,15,FALSE()),""))</f>
        <v>ORAN</v>
      </c>
      <c r="Q1075" s="9" t="s">
        <v>218</v>
      </c>
      <c r="R1075" s="9" t="s">
        <v>217</v>
      </c>
      <c r="S1075" s="9" t="s">
        <v>637</v>
      </c>
      <c r="T1075" s="9"/>
      <c r="U1075" s="9">
        <v>0</v>
      </c>
    </row>
    <row r="1076" spans="1:21" x14ac:dyDescent="0.25">
      <c r="A1076" s="5">
        <v>1075</v>
      </c>
      <c r="B1076" s="5"/>
      <c r="C1076" s="5" t="s">
        <v>227</v>
      </c>
      <c r="D1076" s="5" t="s">
        <v>225</v>
      </c>
      <c r="E1076" s="5" t="str">
        <f>IFERROR(VLOOKUP($D1076,FIYAT!$B:$O,2,FALSE()),"")</f>
        <v>Сборка, кабелирование, маркировка, момент затяжки, испытания</v>
      </c>
      <c r="F1076" s="5">
        <f>IFERROR(VLOOKUP($D1076,FIYAT!$B:$O,5,FALSE()),"")</f>
        <v>100</v>
      </c>
      <c r="G1076" s="5">
        <f>IFERROR(VLOOKUP($D1076,FIYAT!$B:$O,8,FALSE()),"")</f>
        <v>100</v>
      </c>
      <c r="H1076" s="5">
        <f>IF(OR($G1076="",$I1076=""),"",$G1076*$I1076)</f>
        <v>24500</v>
      </c>
      <c r="I1076" s="6">
        <f>ROUND(SUM($U$1063:$U$1075)*KURALLAR!$B$27,0)</f>
        <v>245</v>
      </c>
      <c r="J1076" s="5" t="str">
        <f>IFERROR(VLOOKUP($D1076,FIYAT!$B:$O,9,FALSE()),"")</f>
        <v>мин</v>
      </c>
      <c r="K1076" s="5" t="str">
        <f>IFERROR(VLOOKUP($D1076,FIYAT!$B:$O,4,FALSE()),"")</f>
        <v>ISCILIK</v>
      </c>
      <c r="L1076" s="5">
        <f t="shared" si="131"/>
        <v>24500</v>
      </c>
      <c r="M1076" s="5"/>
      <c r="N1076" s="5"/>
      <c r="O1076" s="5"/>
      <c r="P1076" s="5" t="str">
        <f>IF($H1076="","FIYAT_YOK",IFERROR(VLOOKUP($D1076,FIYAT!$B:$P,15,FALSE()),""))</f>
        <v>OK</v>
      </c>
      <c r="Q1076" s="5" t="str">
        <f>CONCATENATE("montaj+test iscilik: ",TEXT($I1076,"# ##0")," dk = ",TEXT($I1076/60,"0,00")," saat (norm x test/etiket carpani)")</f>
        <v>montaj+test iscilik:  245 dk = 4,08 saat (norm x test/etiket carpani)</v>
      </c>
      <c r="R1076" s="5" t="s">
        <v>229</v>
      </c>
      <c r="S1076" s="5" t="s">
        <v>637</v>
      </c>
      <c r="T1076" s="5"/>
      <c r="U1076" s="5">
        <v>0</v>
      </c>
    </row>
    <row r="1077" spans="1:21" x14ac:dyDescent="0.25">
      <c r="A1077" s="10">
        <v>1076</v>
      </c>
      <c r="B1077" s="10" t="s">
        <v>682</v>
      </c>
      <c r="C1077" s="10"/>
      <c r="D1077" s="10"/>
      <c r="E1077" s="10"/>
      <c r="F1077" s="10"/>
      <c r="G1077" s="10"/>
      <c r="H1077" s="10">
        <f>SUBTOTAL(9,H1063:H1076)</f>
        <v>164655</v>
      </c>
      <c r="I1077" s="10"/>
      <c r="J1077" s="10"/>
      <c r="K1077" s="10"/>
      <c r="L1077" s="10">
        <f>SUBTOTAL(9,L1063:L1076)</f>
        <v>164655</v>
      </c>
      <c r="M1077" s="10"/>
      <c r="N1077" s="10"/>
      <c r="O1077" s="10"/>
      <c r="P1077" s="10"/>
      <c r="Q1077" s="10"/>
      <c r="R1077" s="10"/>
      <c r="S1077" s="10"/>
      <c r="T1077" s="10"/>
      <c r="U1077" s="10">
        <f>SUBTOTAL(9,U1063:U1076)</f>
        <v>213</v>
      </c>
    </row>
    <row r="1078" spans="1:21" x14ac:dyDescent="0.25">
      <c r="A1078" s="8">
        <v>1077</v>
      </c>
      <c r="B1078" s="8" t="str">
        <f>E1078</f>
        <v>BLOK B / 11F-ИБП.2 — НКУ 380/220В 50Гц, FORM 2B, IP31/54</v>
      </c>
      <c r="C1078" s="8" t="s">
        <v>545</v>
      </c>
      <c r="D1078" s="8"/>
      <c r="E1078" s="8" t="s">
        <v>683</v>
      </c>
      <c r="F1078" s="8"/>
      <c r="G1078" s="8"/>
      <c r="H1078" s="8"/>
      <c r="I1078" s="8">
        <v>1</v>
      </c>
      <c r="J1078" s="8" t="s">
        <v>547</v>
      </c>
      <c r="K1078" s="8"/>
      <c r="L1078" s="8"/>
      <c r="M1078" s="8"/>
      <c r="N1078" s="8"/>
      <c r="O1078" s="8"/>
      <c r="P1078" s="8" t="s">
        <v>178</v>
      </c>
      <c r="Q1078" s="8" t="s">
        <v>548</v>
      </c>
      <c r="R1078" s="8" t="s">
        <v>549</v>
      </c>
      <c r="S1078" s="8" t="s">
        <v>637</v>
      </c>
      <c r="T1078" s="8"/>
      <c r="U1078" s="8"/>
    </row>
    <row r="1079" spans="1:21" x14ac:dyDescent="0.25">
      <c r="A1079" s="9">
        <v>1078</v>
      </c>
      <c r="B1079" s="9"/>
      <c r="C1079" s="9" t="s">
        <v>169</v>
      </c>
      <c r="D1079" s="9" t="s">
        <v>327</v>
      </c>
      <c r="E1079" s="9" t="str">
        <f>IFERROR(VLOOKUP($D1079,FIYAT!$B:$O,2,FALSE()),"")</f>
        <v>Авт. выкл. NM8N-125C TM 3P 25А 36кА с рег. термомаг. расцепителем (R)</v>
      </c>
      <c r="F1079" s="9">
        <f>IFERROR(VLOOKUP($D1079,FIYAT!$B:$O,5,FALSE()),"")</f>
        <v>65063</v>
      </c>
      <c r="G1079" s="9">
        <f>IFERROR(VLOOKUP($D1079,FIYAT!$B:$O,8,FALSE()),"")</f>
        <v>39037.799999999996</v>
      </c>
      <c r="H1079" s="9">
        <f t="shared" ref="H1079:H1090" si="132">IF(OR($G1079="",$I1079=""),"",$G1079*$I1079)</f>
        <v>39037.799999999996</v>
      </c>
      <c r="I1079" s="6">
        <v>1</v>
      </c>
      <c r="J1079" s="9" t="str">
        <f>IFERROR(VLOOKUP($D1079,FIYAT!$B:$O,9,FALSE()),"")</f>
        <v>Шт.</v>
      </c>
      <c r="K1079" s="9" t="str">
        <f>IFERROR(VLOOKUP($D1079,FIYAT!$B:$O,4,FALSE()),"")</f>
        <v>CHINT</v>
      </c>
      <c r="L1079" s="9">
        <f t="shared" ref="L1079:L1092" si="133">IF($H1079="","",$H1079)</f>
        <v>39037.799999999996</v>
      </c>
      <c r="M1079" s="9"/>
      <c r="N1079" s="9"/>
      <c r="O1079" s="9"/>
      <c r="P1079" s="9" t="str">
        <f>IF($H1079="","FIYAT_YOK",IFERROR(VLOOKUP($D1079,FIYAT!$B:$P,15,FALSE()),""))</f>
        <v>MUADIL</v>
      </c>
      <c r="Q1079" s="9" t="s">
        <v>172</v>
      </c>
      <c r="R1079" s="9" t="s">
        <v>171</v>
      </c>
      <c r="S1079" s="9" t="s">
        <v>637</v>
      </c>
      <c r="T1079" s="9" t="s">
        <v>61</v>
      </c>
      <c r="U1079" s="9">
        <f>IFERROR(VLOOKUP($T1079,KURALLAR!$A$32:$B$63,2,FALSE()),0)*IF(ISNUMBER($I1079),$I1079,0)</f>
        <v>15</v>
      </c>
    </row>
    <row r="1080" spans="1:21" x14ac:dyDescent="0.25">
      <c r="A1080" s="5">
        <v>1079</v>
      </c>
      <c r="B1080" s="5"/>
      <c r="C1080" s="5" t="s">
        <v>176</v>
      </c>
      <c r="D1080" s="5" t="s">
        <v>174</v>
      </c>
      <c r="E1080" s="5" t="str">
        <f>IFERROR(VLOOKUP($D1080,FIYAT!$B:$O,2,FALSE()),"")</f>
        <v>УЗО NL1-63 6kA 4P 63A 300mA тип AC (R)</v>
      </c>
      <c r="F1080" s="5">
        <f>IFERROR(VLOOKUP($D1080,FIYAT!$B:$O,5,FALSE()),"")</f>
        <v>18106</v>
      </c>
      <c r="G1080" s="5">
        <f>IFERROR(VLOOKUP($D1080,FIYAT!$B:$O,8,FALSE()),"")</f>
        <v>10863.6</v>
      </c>
      <c r="H1080" s="5">
        <f t="shared" si="132"/>
        <v>10863.6</v>
      </c>
      <c r="I1080" s="6">
        <v>1</v>
      </c>
      <c r="J1080" s="5" t="str">
        <f>IFERROR(VLOOKUP($D1080,FIYAT!$B:$O,9,FALSE()),"")</f>
        <v>Шт.</v>
      </c>
      <c r="K1080" s="5" t="str">
        <f>IFERROR(VLOOKUP($D1080,FIYAT!$B:$O,4,FALSE()),"")</f>
        <v>CHINT</v>
      </c>
      <c r="L1080" s="5">
        <f t="shared" si="133"/>
        <v>10863.6</v>
      </c>
      <c r="M1080" s="5"/>
      <c r="N1080" s="5"/>
      <c r="O1080" s="5"/>
      <c r="P1080" s="5" t="str">
        <f>IF($H1080="","FIYAT_YOK",IFERROR(VLOOKUP($D1080,FIYAT!$B:$P,15,FALSE()),""))</f>
        <v>OK</v>
      </c>
      <c r="Q1080" s="5" t="s">
        <v>177</v>
      </c>
      <c r="R1080" s="5" t="s">
        <v>171</v>
      </c>
      <c r="S1080" s="5" t="s">
        <v>637</v>
      </c>
      <c r="T1080" s="5" t="s">
        <v>57</v>
      </c>
      <c r="U1080" s="5">
        <f>IFERROR(VLOOKUP($T1080,KURALLAR!$A$32:$B$63,2,FALSE()),0)*IF(ISNUMBER($I1080),$I1080,0)</f>
        <v>10</v>
      </c>
    </row>
    <row r="1081" spans="1:21" x14ac:dyDescent="0.25">
      <c r="A1081" s="9">
        <v>1080</v>
      </c>
      <c r="B1081" s="9"/>
      <c r="C1081" s="9" t="s">
        <v>79</v>
      </c>
      <c r="D1081" s="9" t="s">
        <v>179</v>
      </c>
      <c r="E1081" s="9" t="str">
        <f>IFERROR(VLOOKUP($D1081,FIYAT!$B:$O,2,FALSE()),"")</f>
        <v>Держатель плавкой вставки RT36-00-160, габарит 00, 160А</v>
      </c>
      <c r="F1081" s="9">
        <f>IFERROR(VLOOKUP($D1081,FIYAT!$B:$O,5,FALSE()),"")</f>
        <v>2038</v>
      </c>
      <c r="G1081" s="9">
        <f>IFERROR(VLOOKUP($D1081,FIYAT!$B:$O,8,FALSE()),"")</f>
        <v>1222.8</v>
      </c>
      <c r="H1081" s="9">
        <f t="shared" si="132"/>
        <v>4891.2</v>
      </c>
      <c r="I1081" s="6">
        <v>4</v>
      </c>
      <c r="J1081" s="9" t="str">
        <f>IFERROR(VLOOKUP($D1081,FIYAT!$B:$O,9,FALSE()),"")</f>
        <v>Шт.</v>
      </c>
      <c r="K1081" s="9" t="str">
        <f>IFERROR(VLOOKUP($D1081,FIYAT!$B:$O,4,FALSE()),"")</f>
        <v>CHINT</v>
      </c>
      <c r="L1081" s="9">
        <f t="shared" si="133"/>
        <v>4891.2</v>
      </c>
      <c r="M1081" s="9"/>
      <c r="N1081" s="9"/>
      <c r="O1081" s="9"/>
      <c r="P1081" s="9" t="str">
        <f>IF($H1081="","FIYAT_YOK",IFERROR(VLOOKUP($D1081,FIYAT!$B:$P,15,FALSE()),""))</f>
        <v>MUADIL</v>
      </c>
      <c r="Q1081" s="9" t="s">
        <v>181</v>
      </c>
      <c r="R1081" s="9" t="s">
        <v>171</v>
      </c>
      <c r="S1081" s="9" t="s">
        <v>637</v>
      </c>
      <c r="T1081" s="9" t="s">
        <v>77</v>
      </c>
      <c r="U1081" s="9">
        <f>IFERROR(VLOOKUP($T1081,KURALLAR!$A$32:$B$63,2,FALSE()),0)*IF(ISNUMBER($I1081),$I1081,0)</f>
        <v>20</v>
      </c>
    </row>
    <row r="1082" spans="1:21" x14ac:dyDescent="0.25">
      <c r="A1082" s="5">
        <v>1081</v>
      </c>
      <c r="B1082" s="5"/>
      <c r="C1082" s="5" t="s">
        <v>79</v>
      </c>
      <c r="D1082" s="5" t="s">
        <v>182</v>
      </c>
      <c r="E1082" s="5" t="str">
        <f>IFERROR(VLOOKUP($D1082,FIYAT!$B:$O,2,FALSE()),"")</f>
        <v>Плавкая вставка предохранителя RT36-00-160, габарит 00, 63А</v>
      </c>
      <c r="F1082" s="5">
        <f>IFERROR(VLOOKUP($D1082,FIYAT!$B:$O,5,FALSE()),"")</f>
        <v>1525</v>
      </c>
      <c r="G1082" s="5">
        <f>IFERROR(VLOOKUP($D1082,FIYAT!$B:$O,8,FALSE()),"")</f>
        <v>915</v>
      </c>
      <c r="H1082" s="5">
        <f t="shared" si="132"/>
        <v>3660</v>
      </c>
      <c r="I1082" s="6">
        <v>4</v>
      </c>
      <c r="J1082" s="5" t="str">
        <f>IFERROR(VLOOKUP($D1082,FIYAT!$B:$O,9,FALSE()),"")</f>
        <v>Шт.</v>
      </c>
      <c r="K1082" s="5" t="str">
        <f>IFERROR(VLOOKUP($D1082,FIYAT!$B:$O,4,FALSE()),"")</f>
        <v>CHINT</v>
      </c>
      <c r="L1082" s="5">
        <f t="shared" si="133"/>
        <v>3660</v>
      </c>
      <c r="M1082" s="5"/>
      <c r="N1082" s="5"/>
      <c r="O1082" s="5"/>
      <c r="P1082" s="5" t="str">
        <f>IF($H1082="","FIYAT_YOK",IFERROR(VLOOKUP($D1082,FIYAT!$B:$P,15,FALSE()),""))</f>
        <v>MUADIL</v>
      </c>
      <c r="Q1082" s="5" t="s">
        <v>185</v>
      </c>
      <c r="R1082" s="5" t="s">
        <v>184</v>
      </c>
      <c r="S1082" s="5" t="s">
        <v>637</v>
      </c>
      <c r="T1082" s="5" t="s">
        <v>79</v>
      </c>
      <c r="U1082" s="5">
        <f>IFERROR(VLOOKUP($T1082,KURALLAR!$A$32:$B$63,2,FALSE()),0)*IF(ISNUMBER($I1082),$I1082,0)</f>
        <v>12</v>
      </c>
    </row>
    <row r="1083" spans="1:21" x14ac:dyDescent="0.25">
      <c r="A1083" s="9">
        <v>1082</v>
      </c>
      <c r="B1083" s="9"/>
      <c r="C1083" s="9" t="s">
        <v>75</v>
      </c>
      <c r="D1083" s="9" t="s">
        <v>186</v>
      </c>
      <c r="E1083" s="9" t="str">
        <f>IFERROR(VLOOKUP($D1083,FIYAT!$B:$O,2,FALSE()),"")</f>
        <v>Ограничитель имп. перенапр. NU6-IIG 4Р In=25kA Uc=440B Im=65kA (R)</v>
      </c>
      <c r="F1083" s="9">
        <f>IFERROR(VLOOKUP($D1083,FIYAT!$B:$O,5,FALSE()),"")</f>
        <v>33208</v>
      </c>
      <c r="G1083" s="9">
        <f>IFERROR(VLOOKUP($D1083,FIYAT!$B:$O,8,FALSE()),"")</f>
        <v>19924.8</v>
      </c>
      <c r="H1083" s="9">
        <f t="shared" si="132"/>
        <v>19924.8</v>
      </c>
      <c r="I1083" s="6">
        <v>1</v>
      </c>
      <c r="J1083" s="9" t="str">
        <f>IFERROR(VLOOKUP($D1083,FIYAT!$B:$O,9,FALSE()),"")</f>
        <v>Шт.</v>
      </c>
      <c r="K1083" s="9" t="str">
        <f>IFERROR(VLOOKUP($D1083,FIYAT!$B:$O,4,FALSE()),"")</f>
        <v>CHINT</v>
      </c>
      <c r="L1083" s="9">
        <f t="shared" si="133"/>
        <v>19924.8</v>
      </c>
      <c r="M1083" s="9"/>
      <c r="N1083" s="9"/>
      <c r="O1083" s="9"/>
      <c r="P1083" s="9" t="str">
        <f>IF($H1083="","FIYAT_YOK",IFERROR(VLOOKUP($D1083,FIYAT!$B:$P,15,FALSE()),""))</f>
        <v>MUADIL_ONAY</v>
      </c>
      <c r="Q1083" s="9" t="s">
        <v>188</v>
      </c>
      <c r="R1083" s="9" t="s">
        <v>184</v>
      </c>
      <c r="S1083" s="9" t="s">
        <v>637</v>
      </c>
      <c r="T1083" s="9" t="s">
        <v>75</v>
      </c>
      <c r="U1083" s="9">
        <f>IFERROR(VLOOKUP($T1083,KURALLAR!$A$32:$B$63,2,FALSE()),0)*IF(ISNUMBER($I1083),$I1083,0)</f>
        <v>10</v>
      </c>
    </row>
    <row r="1084" spans="1:21" x14ac:dyDescent="0.25">
      <c r="A1084" s="5">
        <v>1083</v>
      </c>
      <c r="B1084" s="5"/>
      <c r="C1084" s="5" t="s">
        <v>192</v>
      </c>
      <c r="D1084" s="5" t="s">
        <v>321</v>
      </c>
      <c r="E1084" s="5" t="str">
        <f>IFERROR(VLOOKUP($D1084,FIYAT!$B:$O,2,FALSE()),"")</f>
        <v>Авт. выкл. NXB-63 1P 25A 6кА х-ка C (R)</v>
      </c>
      <c r="F1084" s="5">
        <f>IFERROR(VLOOKUP($D1084,FIYAT!$B:$O,5,FALSE()),"")</f>
        <v>1330</v>
      </c>
      <c r="G1084" s="5">
        <f>IFERROR(VLOOKUP($D1084,FIYAT!$B:$O,8,FALSE()),"")</f>
        <v>798</v>
      </c>
      <c r="H1084" s="5">
        <f t="shared" si="132"/>
        <v>798</v>
      </c>
      <c r="I1084" s="6">
        <v>1</v>
      </c>
      <c r="J1084" s="5" t="str">
        <f>IFERROR(VLOOKUP($D1084,FIYAT!$B:$O,9,FALSE()),"")</f>
        <v>Шт.</v>
      </c>
      <c r="K1084" s="5" t="str">
        <f>IFERROR(VLOOKUP($D1084,FIYAT!$B:$O,4,FALSE()),"")</f>
        <v>CHINT</v>
      </c>
      <c r="L1084" s="5">
        <f t="shared" si="133"/>
        <v>798</v>
      </c>
      <c r="M1084" s="5"/>
      <c r="N1084" s="5"/>
      <c r="O1084" s="5"/>
      <c r="P1084" s="5" t="str">
        <f>IF($H1084="","FIYAT_YOK",IFERROR(VLOOKUP($D1084,FIYAT!$B:$P,15,FALSE()),""))</f>
        <v>OK</v>
      </c>
      <c r="Q1084" s="5" t="s">
        <v>323</v>
      </c>
      <c r="R1084" s="5" t="s">
        <v>171</v>
      </c>
      <c r="S1084" s="5" t="s">
        <v>637</v>
      </c>
      <c r="T1084" s="5" t="s">
        <v>47</v>
      </c>
      <c r="U1084" s="5">
        <f>IFERROR(VLOOKUP($T1084,KURALLAR!$A$32:$B$63,2,FALSE()),0)*IF(ISNUMBER($I1084),$I1084,0)</f>
        <v>3</v>
      </c>
    </row>
    <row r="1085" spans="1:21" x14ac:dyDescent="0.25">
      <c r="A1085" s="9">
        <v>1084</v>
      </c>
      <c r="B1085" s="9"/>
      <c r="C1085" s="9" t="s">
        <v>176</v>
      </c>
      <c r="D1085" s="9" t="s">
        <v>324</v>
      </c>
      <c r="E1085" s="9" t="str">
        <f>IFERROR(VLOOKUP($D1085,FIYAT!$B:$O,2,FALSE()),"")</f>
        <v>УЗО NL1-63 6kA 2P 25A 30mA тип AC (R)</v>
      </c>
      <c r="F1085" s="9">
        <f>IFERROR(VLOOKUP($D1085,FIYAT!$B:$O,5,FALSE()),"")</f>
        <v>10809</v>
      </c>
      <c r="G1085" s="9">
        <f>IFERROR(VLOOKUP($D1085,FIYAT!$B:$O,8,FALSE()),"")</f>
        <v>6485.4</v>
      </c>
      <c r="H1085" s="9">
        <f t="shared" si="132"/>
        <v>6485.4</v>
      </c>
      <c r="I1085" s="6">
        <v>1</v>
      </c>
      <c r="J1085" s="9" t="str">
        <f>IFERROR(VLOOKUP($D1085,FIYAT!$B:$O,9,FALSE()),"")</f>
        <v>Шт.</v>
      </c>
      <c r="K1085" s="9" t="str">
        <f>IFERROR(VLOOKUP($D1085,FIYAT!$B:$O,4,FALSE()),"")</f>
        <v>CHINT</v>
      </c>
      <c r="L1085" s="9">
        <f t="shared" si="133"/>
        <v>6485.4</v>
      </c>
      <c r="M1085" s="9"/>
      <c r="N1085" s="9"/>
      <c r="O1085" s="9"/>
      <c r="P1085" s="9" t="str">
        <f>IF($H1085="","FIYAT_YOK",IFERROR(VLOOKUP($D1085,FIYAT!$B:$P,15,FALSE()),""))</f>
        <v>OK</v>
      </c>
      <c r="Q1085" s="9" t="s">
        <v>326</v>
      </c>
      <c r="R1085" s="9" t="s">
        <v>171</v>
      </c>
      <c r="S1085" s="9" t="s">
        <v>637</v>
      </c>
      <c r="T1085" s="9" t="s">
        <v>55</v>
      </c>
      <c r="U1085" s="9">
        <f>IFERROR(VLOOKUP($T1085,KURALLAR!$A$32:$B$63,2,FALSE()),0)*IF(ISNUMBER($I1085),$I1085,0)</f>
        <v>6</v>
      </c>
    </row>
    <row r="1086" spans="1:21" x14ac:dyDescent="0.25">
      <c r="A1086" s="5">
        <v>1085</v>
      </c>
      <c r="B1086" s="5"/>
      <c r="C1086" s="5" t="s">
        <v>192</v>
      </c>
      <c r="D1086" s="5" t="s">
        <v>194</v>
      </c>
      <c r="E1086" s="5" t="str">
        <f>IFERROR(VLOOKUP($D1086,FIYAT!$B:$O,2,FALSE()),"")</f>
        <v>Авт. выкл. NXB-63 1P 16A 6кА х-ка C (R)</v>
      </c>
      <c r="F1086" s="5">
        <f>IFERROR(VLOOKUP($D1086,FIYAT!$B:$O,5,FALSE()),"")</f>
        <v>1389</v>
      </c>
      <c r="G1086" s="5">
        <f>IFERROR(VLOOKUP($D1086,FIYAT!$B:$O,8,FALSE()),"")</f>
        <v>833.4</v>
      </c>
      <c r="H1086" s="5">
        <f t="shared" si="132"/>
        <v>4167</v>
      </c>
      <c r="I1086" s="6">
        <v>5</v>
      </c>
      <c r="J1086" s="5" t="str">
        <f>IFERROR(VLOOKUP($D1086,FIYAT!$B:$O,9,FALSE()),"")</f>
        <v>Шт.</v>
      </c>
      <c r="K1086" s="5" t="str">
        <f>IFERROR(VLOOKUP($D1086,FIYAT!$B:$O,4,FALSE()),"")</f>
        <v>CHINT</v>
      </c>
      <c r="L1086" s="5">
        <f t="shared" si="133"/>
        <v>4167</v>
      </c>
      <c r="M1086" s="5"/>
      <c r="N1086" s="5"/>
      <c r="O1086" s="5"/>
      <c r="P1086" s="5" t="str">
        <f>IF($H1086="","FIYAT_YOK",IFERROR(VLOOKUP($D1086,FIYAT!$B:$P,15,FALSE()),""))</f>
        <v>OK</v>
      </c>
      <c r="Q1086" s="5" t="s">
        <v>196</v>
      </c>
      <c r="R1086" s="5" t="s">
        <v>171</v>
      </c>
      <c r="S1086" s="5" t="s">
        <v>637</v>
      </c>
      <c r="T1086" s="5" t="s">
        <v>47</v>
      </c>
      <c r="U1086" s="5">
        <f>IFERROR(VLOOKUP($T1086,KURALLAR!$A$32:$B$63,2,FALSE()),0)*IF(ISNUMBER($I1086),$I1086,0)</f>
        <v>15</v>
      </c>
    </row>
    <row r="1087" spans="1:21" x14ac:dyDescent="0.25">
      <c r="A1087" s="9">
        <v>1086</v>
      </c>
      <c r="B1087" s="9"/>
      <c r="C1087" s="9" t="s">
        <v>176</v>
      </c>
      <c r="D1087" s="9" t="s">
        <v>200</v>
      </c>
      <c r="E1087" s="9" t="str">
        <f>IFERROR(VLOOKUP($D1087,FIYAT!$B:$O,2,FALSE()),"")</f>
        <v>УЗО NL1-63 6kA 2P 16A 30mA тип AC (R)</v>
      </c>
      <c r="F1087" s="9">
        <f>IFERROR(VLOOKUP($D1087,FIYAT!$B:$O,5,FALSE()),"")</f>
        <v>10809</v>
      </c>
      <c r="G1087" s="9">
        <f>IFERROR(VLOOKUP($D1087,FIYAT!$B:$O,8,FALSE()),"")</f>
        <v>6485.4</v>
      </c>
      <c r="H1087" s="9">
        <f t="shared" si="132"/>
        <v>6485.4</v>
      </c>
      <c r="I1087" s="6">
        <v>1</v>
      </c>
      <c r="J1087" s="9" t="str">
        <f>IFERROR(VLOOKUP($D1087,FIYAT!$B:$O,9,FALSE()),"")</f>
        <v>Шт.</v>
      </c>
      <c r="K1087" s="9" t="str">
        <f>IFERROR(VLOOKUP($D1087,FIYAT!$B:$O,4,FALSE()),"")</f>
        <v>CHINT</v>
      </c>
      <c r="L1087" s="9">
        <f t="shared" si="133"/>
        <v>6485.4</v>
      </c>
      <c r="M1087" s="9"/>
      <c r="N1087" s="9"/>
      <c r="O1087" s="9"/>
      <c r="P1087" s="9" t="str">
        <f>IF($H1087="","FIYAT_YOK",IFERROR(VLOOKUP($D1087,FIYAT!$B:$P,15,FALSE()),""))</f>
        <v>OK</v>
      </c>
      <c r="Q1087" s="9" t="s">
        <v>202</v>
      </c>
      <c r="R1087" s="9" t="s">
        <v>171</v>
      </c>
      <c r="S1087" s="9" t="s">
        <v>637</v>
      </c>
      <c r="T1087" s="9" t="s">
        <v>55</v>
      </c>
      <c r="U1087" s="9">
        <f>IFERROR(VLOOKUP($T1087,KURALLAR!$A$32:$B$63,2,FALSE()),0)*IF(ISNUMBER($I1087),$I1087,0)</f>
        <v>6</v>
      </c>
    </row>
    <row r="1088" spans="1:21" x14ac:dyDescent="0.25">
      <c r="A1088" s="5">
        <v>1087</v>
      </c>
      <c r="B1088" s="5"/>
      <c r="C1088" s="5" t="s">
        <v>192</v>
      </c>
      <c r="D1088" s="5" t="s">
        <v>206</v>
      </c>
      <c r="E1088" s="5" t="str">
        <f>IFERROR(VLOOKUP($D1088,FIYAT!$B:$O,2,FALSE()),"")</f>
        <v>Авт. выкл. NXB-63 1P 10A 6кА х-ка C (R)</v>
      </c>
      <c r="F1088" s="5">
        <f>IFERROR(VLOOKUP($D1088,FIYAT!$B:$O,5,FALSE()),"")</f>
        <v>1362</v>
      </c>
      <c r="G1088" s="5">
        <f>IFERROR(VLOOKUP($D1088,FIYAT!$B:$O,8,FALSE()),"")</f>
        <v>817.19999999999993</v>
      </c>
      <c r="H1088" s="5">
        <f t="shared" si="132"/>
        <v>10623.599999999999</v>
      </c>
      <c r="I1088" s="6">
        <v>13</v>
      </c>
      <c r="J1088" s="5" t="str">
        <f>IFERROR(VLOOKUP($D1088,FIYAT!$B:$O,9,FALSE()),"")</f>
        <v>Шт.</v>
      </c>
      <c r="K1088" s="5" t="str">
        <f>IFERROR(VLOOKUP($D1088,FIYAT!$B:$O,4,FALSE()),"")</f>
        <v>CHINT</v>
      </c>
      <c r="L1088" s="5">
        <f t="shared" si="133"/>
        <v>10623.599999999999</v>
      </c>
      <c r="M1088" s="5"/>
      <c r="N1088" s="5"/>
      <c r="O1088" s="5"/>
      <c r="P1088" s="5" t="str">
        <f>IF($H1088="","FIYAT_YOK",IFERROR(VLOOKUP($D1088,FIYAT!$B:$P,15,FALSE()),""))</f>
        <v>OK</v>
      </c>
      <c r="Q1088" s="5" t="s">
        <v>208</v>
      </c>
      <c r="R1088" s="5" t="s">
        <v>184</v>
      </c>
      <c r="S1088" s="5" t="s">
        <v>637</v>
      </c>
      <c r="T1088" s="5" t="s">
        <v>47</v>
      </c>
      <c r="U1088" s="5">
        <f>IFERROR(VLOOKUP($T1088,KURALLAR!$A$32:$B$63,2,FALSE()),0)*IF(ISNUMBER($I1088),$I1088,0)</f>
        <v>39</v>
      </c>
    </row>
    <row r="1089" spans="1:21" x14ac:dyDescent="0.25">
      <c r="A1089" s="9">
        <v>1088</v>
      </c>
      <c r="B1089" s="9"/>
      <c r="C1089" s="9" t="s">
        <v>93</v>
      </c>
      <c r="D1089" s="9" t="s">
        <v>209</v>
      </c>
      <c r="E1089" s="9" t="str">
        <f>IFERROR(VLOOKUP($D1089,FIYAT!$B:$O,2,FALSE()),"")</f>
        <v>Шина "N" нулевая 6х9мм на DIN-рейку в корпусном изоляторе ШНИ 12К IEK (10)</v>
      </c>
      <c r="F1089" s="9">
        <f>IFERROR(VLOOKUP($D1089,FIYAT!$B:$O,5,FALSE()),"")</f>
        <v>755</v>
      </c>
      <c r="G1089" s="9">
        <f>IFERROR(VLOOKUP($D1089,FIYAT!$B:$O,8,FALSE()),"")</f>
        <v>453</v>
      </c>
      <c r="H1089" s="9">
        <f t="shared" si="132"/>
        <v>1812</v>
      </c>
      <c r="I1089" s="6">
        <v>4</v>
      </c>
      <c r="J1089" s="9" t="str">
        <f>IFERROR(VLOOKUP($D1089,FIYAT!$B:$O,9,FALSE()),"")</f>
        <v>Шт.</v>
      </c>
      <c r="K1089" s="9" t="str">
        <f>IFERROR(VLOOKUP($D1089,FIYAT!$B:$O,4,FALSE()),"")</f>
        <v>KAZTEK</v>
      </c>
      <c r="L1089" s="9">
        <f t="shared" si="133"/>
        <v>1812</v>
      </c>
      <c r="M1089" s="9"/>
      <c r="N1089" s="9"/>
      <c r="O1089" s="9"/>
      <c r="P1089" s="9" t="str">
        <f>IF($H1089="","FIYAT_YOK",IFERROR(VLOOKUP($D1089,FIYAT!$B:$P,15,FALSE()),""))</f>
        <v>MUADIL</v>
      </c>
      <c r="Q1089" s="9" t="s">
        <v>212</v>
      </c>
      <c r="R1089" s="9" t="s">
        <v>211</v>
      </c>
      <c r="S1089" s="9" t="s">
        <v>637</v>
      </c>
      <c r="T1089" s="9" t="s">
        <v>93</v>
      </c>
      <c r="U1089" s="9">
        <f>IFERROR(VLOOKUP($T1089,KURALLAR!$A$32:$B$63,2,FALSE()),0)*IF(ISNUMBER($I1089),$I1089,0)</f>
        <v>32</v>
      </c>
    </row>
    <row r="1090" spans="1:21" x14ac:dyDescent="0.25">
      <c r="A1090" s="5">
        <v>1089</v>
      </c>
      <c r="B1090" s="5"/>
      <c r="C1090" s="5" t="s">
        <v>222</v>
      </c>
      <c r="D1090" s="5" t="s">
        <v>310</v>
      </c>
      <c r="E1090" s="5" t="str">
        <f>IFERROR(VLOOKUP($D1090,FIYAT!$B:$O,2,FALSE()),"")</f>
        <v>Мет.Корпус ЩМП-4 (800x650x250) IP54</v>
      </c>
      <c r="F1090" s="5">
        <f>IFERROR(VLOOKUP($D1090,FIYAT!$B:$O,5,FALSE()),"")</f>
        <v>30540</v>
      </c>
      <c r="G1090" s="5">
        <f>IFERROR(VLOOKUP($D1090,FIYAT!$B:$O,8,FALSE()),"")</f>
        <v>18324</v>
      </c>
      <c r="H1090" s="5">
        <f t="shared" si="132"/>
        <v>18324</v>
      </c>
      <c r="I1090" s="6">
        <v>1</v>
      </c>
      <c r="J1090" s="5" t="str">
        <f>IFERROR(VLOOKUP($D1090,FIYAT!$B:$O,9,FALSE()),"")</f>
        <v>Шт.</v>
      </c>
      <c r="K1090" s="5" t="str">
        <f>IFERROR(VLOOKUP($D1090,FIYAT!$B:$O,4,FALSE()),"")</f>
        <v>KAZTEK</v>
      </c>
      <c r="L1090" s="5">
        <f t="shared" si="133"/>
        <v>18324</v>
      </c>
      <c r="M1090" s="5"/>
      <c r="N1090" s="5"/>
      <c r="O1090" s="5"/>
      <c r="P1090" s="5" t="str">
        <f>IF($H1090="","FIYAT_YOK",IFERROR(VLOOKUP($D1090,FIYAT!$B:$P,15,FALSE()),""))</f>
        <v>VARSAYIM</v>
      </c>
      <c r="Q1090" s="5" t="s">
        <v>312</v>
      </c>
      <c r="R1090" s="5" t="s">
        <v>211</v>
      </c>
      <c r="S1090" s="5" t="s">
        <v>637</v>
      </c>
      <c r="T1090" s="5" t="s">
        <v>105</v>
      </c>
      <c r="U1090" s="5">
        <f>IFERROR(VLOOKUP($T1090,KURALLAR!$A$32:$B$63,2,FALSE()),0)*IF(ISNUMBER($I1090),$I1090,0)</f>
        <v>30</v>
      </c>
    </row>
    <row r="1091" spans="1:21" x14ac:dyDescent="0.25">
      <c r="A1091" s="9">
        <v>1090</v>
      </c>
      <c r="B1091" s="9"/>
      <c r="C1091" s="9" t="s">
        <v>215</v>
      </c>
      <c r="D1091" s="9" t="s">
        <v>213</v>
      </c>
      <c r="E1091" s="9" t="str">
        <f>IFERROR(VLOOKUP($D1091,FIYAT!$B:$O,2,FALSE()),"")</f>
        <v>Монтажный расходный материал (кабель, DIN-рейка, кабель-канал, клеммы, маркировка, крепёж)</v>
      </c>
      <c r="F1091" s="9">
        <f>IFERROR(VLOOKUP($D1091,FIYAT!$B:$O,5,FALSE()),"")</f>
        <v>0</v>
      </c>
      <c r="G1091" s="9" t="str">
        <f>IFERROR(VLOOKUP($D1091,FIYAT!$B:$O,8,FALSE()),"")</f>
        <v/>
      </c>
      <c r="H1091" s="9">
        <f>ROUND(SUM($H$1079:$H$1090)*KURALLAR!$B$28,0)</f>
        <v>8895</v>
      </c>
      <c r="I1091" s="6">
        <v>1</v>
      </c>
      <c r="J1091" s="9" t="str">
        <f>IFERROR(VLOOKUP($D1091,FIYAT!$B:$O,9,FALSE()),"")</f>
        <v>компл.</v>
      </c>
      <c r="K1091" s="9" t="str">
        <f>IFERROR(VLOOKUP($D1091,FIYAT!$B:$O,4,FALSE()),"")</f>
        <v>MUADIL-NET</v>
      </c>
      <c r="L1091" s="9">
        <f t="shared" si="133"/>
        <v>8895</v>
      </c>
      <c r="M1091" s="9"/>
      <c r="N1091" s="9"/>
      <c r="O1091" s="9"/>
      <c r="P1091" s="9" t="str">
        <f>IF($H1091="","FIYAT_YOK",IFERROR(VLOOKUP($D1091,FIYAT!$B:$P,15,FALSE()),""))</f>
        <v>ORAN</v>
      </c>
      <c r="Q1091" s="9" t="s">
        <v>218</v>
      </c>
      <c r="R1091" s="9" t="s">
        <v>217</v>
      </c>
      <c r="S1091" s="9" t="s">
        <v>637</v>
      </c>
      <c r="T1091" s="9"/>
      <c r="U1091" s="9">
        <v>0</v>
      </c>
    </row>
    <row r="1092" spans="1:21" x14ac:dyDescent="0.25">
      <c r="A1092" s="5">
        <v>1091</v>
      </c>
      <c r="B1092" s="5"/>
      <c r="C1092" s="5" t="s">
        <v>227</v>
      </c>
      <c r="D1092" s="5" t="s">
        <v>225</v>
      </c>
      <c r="E1092" s="5" t="str">
        <f>IFERROR(VLOOKUP($D1092,FIYAT!$B:$O,2,FALSE()),"")</f>
        <v>Сборка, кабелирование, маркировка, момент затяжки, испытания</v>
      </c>
      <c r="F1092" s="5">
        <f>IFERROR(VLOOKUP($D1092,FIYAT!$B:$O,5,FALSE()),"")</f>
        <v>100</v>
      </c>
      <c r="G1092" s="5">
        <f>IFERROR(VLOOKUP($D1092,FIYAT!$B:$O,8,FALSE()),"")</f>
        <v>100</v>
      </c>
      <c r="H1092" s="5">
        <f>IF(OR($G1092="",$I1092=""),"",$G1092*$I1092)</f>
        <v>22800</v>
      </c>
      <c r="I1092" s="6">
        <f>ROUND(SUM($U$1079:$U$1091)*KURALLAR!$B$27,0)</f>
        <v>228</v>
      </c>
      <c r="J1092" s="5" t="str">
        <f>IFERROR(VLOOKUP($D1092,FIYAT!$B:$O,9,FALSE()),"")</f>
        <v>мин</v>
      </c>
      <c r="K1092" s="5" t="str">
        <f>IFERROR(VLOOKUP($D1092,FIYAT!$B:$O,4,FALSE()),"")</f>
        <v>ISCILIK</v>
      </c>
      <c r="L1092" s="5">
        <f t="shared" si="133"/>
        <v>22800</v>
      </c>
      <c r="M1092" s="5"/>
      <c r="N1092" s="5"/>
      <c r="O1092" s="5"/>
      <c r="P1092" s="5" t="str">
        <f>IF($H1092="","FIYAT_YOK",IFERROR(VLOOKUP($D1092,FIYAT!$B:$P,15,FALSE()),""))</f>
        <v>OK</v>
      </c>
      <c r="Q1092" s="5" t="str">
        <f>CONCATENATE("montaj+test iscilik: ",TEXT($I1092,"# ##0")," dk = ",TEXT($I1092/60,"0,00")," saat (norm x test/etiket carpani)")</f>
        <v>montaj+test iscilik:  228 dk = 3,80 saat (norm x test/etiket carpani)</v>
      </c>
      <c r="R1092" s="5" t="s">
        <v>229</v>
      </c>
      <c r="S1092" s="5" t="s">
        <v>637</v>
      </c>
      <c r="T1092" s="5"/>
      <c r="U1092" s="5">
        <v>0</v>
      </c>
    </row>
    <row r="1093" spans="1:21" x14ac:dyDescent="0.25">
      <c r="A1093" s="10">
        <v>1092</v>
      </c>
      <c r="B1093" s="10" t="s">
        <v>684</v>
      </c>
      <c r="C1093" s="10"/>
      <c r="D1093" s="10"/>
      <c r="E1093" s="10"/>
      <c r="F1093" s="10"/>
      <c r="G1093" s="10"/>
      <c r="H1093" s="10">
        <f>SUBTOTAL(9,H1079:H1092)</f>
        <v>158767.79999999999</v>
      </c>
      <c r="I1093" s="10"/>
      <c r="J1093" s="10"/>
      <c r="K1093" s="10"/>
      <c r="L1093" s="10">
        <f>SUBTOTAL(9,L1079:L1092)</f>
        <v>158767.79999999999</v>
      </c>
      <c r="M1093" s="10"/>
      <c r="N1093" s="10"/>
      <c r="O1093" s="10"/>
      <c r="P1093" s="10"/>
      <c r="Q1093" s="10"/>
      <c r="R1093" s="10"/>
      <c r="S1093" s="10"/>
      <c r="T1093" s="10"/>
      <c r="U1093" s="10">
        <f>SUBTOTAL(9,U1079:U1092)</f>
        <v>198</v>
      </c>
    </row>
    <row r="1094" spans="1:21" x14ac:dyDescent="0.25">
      <c r="A1094" s="8">
        <v>1093</v>
      </c>
      <c r="B1094" s="8" t="str">
        <f>E1094</f>
        <v>BLOK B / 16F-ЩС.1 — НКУ 380/220В 50Гц, FORM 2B, IP31/54</v>
      </c>
      <c r="C1094" s="8" t="s">
        <v>545</v>
      </c>
      <c r="D1094" s="8"/>
      <c r="E1094" s="8" t="s">
        <v>685</v>
      </c>
      <c r="F1094" s="8"/>
      <c r="G1094" s="8"/>
      <c r="H1094" s="8"/>
      <c r="I1094" s="8">
        <v>1</v>
      </c>
      <c r="J1094" s="8" t="s">
        <v>547</v>
      </c>
      <c r="K1094" s="8"/>
      <c r="L1094" s="8"/>
      <c r="M1094" s="8"/>
      <c r="N1094" s="8"/>
      <c r="O1094" s="8"/>
      <c r="P1094" s="8" t="s">
        <v>178</v>
      </c>
      <c r="Q1094" s="8" t="s">
        <v>548</v>
      </c>
      <c r="R1094" s="8" t="s">
        <v>549</v>
      </c>
      <c r="S1094" s="8" t="s">
        <v>637</v>
      </c>
      <c r="T1094" s="8"/>
      <c r="U1094" s="8"/>
    </row>
    <row r="1095" spans="1:21" x14ac:dyDescent="0.25">
      <c r="A1095" s="9">
        <v>1094</v>
      </c>
      <c r="B1095" s="9"/>
      <c r="C1095" s="9" t="s">
        <v>169</v>
      </c>
      <c r="D1095" s="9" t="s">
        <v>167</v>
      </c>
      <c r="E1095" s="9" t="str">
        <f>IFERROR(VLOOKUP($D1095,FIYAT!$B:$O,2,FALSE()),"")</f>
        <v>Авт. выкл. NM8N-125C TM 3P 32А 36кА с рег. термомаг. расцепителем (R)</v>
      </c>
      <c r="F1095" s="9">
        <f>IFERROR(VLOOKUP($D1095,FIYAT!$B:$O,5,FALSE()),"")</f>
        <v>64667</v>
      </c>
      <c r="G1095" s="9">
        <f>IFERROR(VLOOKUP($D1095,FIYAT!$B:$O,8,FALSE()),"")</f>
        <v>38800.199999999997</v>
      </c>
      <c r="H1095" s="9">
        <f t="shared" ref="H1095:H1106" si="134">IF(OR($G1095="",$I1095=""),"",$G1095*$I1095)</f>
        <v>38800.199999999997</v>
      </c>
      <c r="I1095" s="6">
        <v>1</v>
      </c>
      <c r="J1095" s="9" t="str">
        <f>IFERROR(VLOOKUP($D1095,FIYAT!$B:$O,9,FALSE()),"")</f>
        <v>Шт.</v>
      </c>
      <c r="K1095" s="9" t="str">
        <f>IFERROR(VLOOKUP($D1095,FIYAT!$B:$O,4,FALSE()),"")</f>
        <v>CHINT</v>
      </c>
      <c r="L1095" s="9">
        <f t="shared" ref="L1095:L1108" si="135">IF($H1095="","",$H1095)</f>
        <v>38800.199999999997</v>
      </c>
      <c r="M1095" s="9"/>
      <c r="N1095" s="9"/>
      <c r="O1095" s="9"/>
      <c r="P1095" s="9" t="str">
        <f>IF($H1095="","FIYAT_YOK",IFERROR(VLOOKUP($D1095,FIYAT!$B:$P,15,FALSE()),""))</f>
        <v>MUADIL</v>
      </c>
      <c r="Q1095" s="9" t="s">
        <v>172</v>
      </c>
      <c r="R1095" s="9" t="s">
        <v>171</v>
      </c>
      <c r="S1095" s="9" t="s">
        <v>637</v>
      </c>
      <c r="T1095" s="9" t="s">
        <v>61</v>
      </c>
      <c r="U1095" s="9">
        <f>IFERROR(VLOOKUP($T1095,KURALLAR!$A$32:$B$63,2,FALSE()),0)*IF(ISNUMBER($I1095),$I1095,0)</f>
        <v>15</v>
      </c>
    </row>
    <row r="1096" spans="1:21" x14ac:dyDescent="0.25">
      <c r="A1096" s="5">
        <v>1095</v>
      </c>
      <c r="B1096" s="5"/>
      <c r="C1096" s="5" t="s">
        <v>176</v>
      </c>
      <c r="D1096" s="5" t="s">
        <v>174</v>
      </c>
      <c r="E1096" s="5" t="str">
        <f>IFERROR(VLOOKUP($D1096,FIYAT!$B:$O,2,FALSE()),"")</f>
        <v>УЗО NL1-63 6kA 4P 63A 300mA тип AC (R)</v>
      </c>
      <c r="F1096" s="5">
        <f>IFERROR(VLOOKUP($D1096,FIYAT!$B:$O,5,FALSE()),"")</f>
        <v>18106</v>
      </c>
      <c r="G1096" s="5">
        <f>IFERROR(VLOOKUP($D1096,FIYAT!$B:$O,8,FALSE()),"")</f>
        <v>10863.6</v>
      </c>
      <c r="H1096" s="5">
        <f t="shared" si="134"/>
        <v>10863.6</v>
      </c>
      <c r="I1096" s="6">
        <v>1</v>
      </c>
      <c r="J1096" s="5" t="str">
        <f>IFERROR(VLOOKUP($D1096,FIYAT!$B:$O,9,FALSE()),"")</f>
        <v>Шт.</v>
      </c>
      <c r="K1096" s="5" t="str">
        <f>IFERROR(VLOOKUP($D1096,FIYAT!$B:$O,4,FALSE()),"")</f>
        <v>CHINT</v>
      </c>
      <c r="L1096" s="5">
        <f t="shared" si="135"/>
        <v>10863.6</v>
      </c>
      <c r="M1096" s="5"/>
      <c r="N1096" s="5"/>
      <c r="O1096" s="5"/>
      <c r="P1096" s="5" t="str">
        <f>IF($H1096="","FIYAT_YOK",IFERROR(VLOOKUP($D1096,FIYAT!$B:$P,15,FALSE()),""))</f>
        <v>OK</v>
      </c>
      <c r="Q1096" s="5" t="s">
        <v>177</v>
      </c>
      <c r="R1096" s="5" t="s">
        <v>171</v>
      </c>
      <c r="S1096" s="5" t="s">
        <v>637</v>
      </c>
      <c r="T1096" s="5" t="s">
        <v>57</v>
      </c>
      <c r="U1096" s="5">
        <f>IFERROR(VLOOKUP($T1096,KURALLAR!$A$32:$B$63,2,FALSE()),0)*IF(ISNUMBER($I1096),$I1096,0)</f>
        <v>10</v>
      </c>
    </row>
    <row r="1097" spans="1:21" x14ac:dyDescent="0.25">
      <c r="A1097" s="9">
        <v>1096</v>
      </c>
      <c r="B1097" s="9"/>
      <c r="C1097" s="9" t="s">
        <v>79</v>
      </c>
      <c r="D1097" s="9" t="s">
        <v>179</v>
      </c>
      <c r="E1097" s="9" t="str">
        <f>IFERROR(VLOOKUP($D1097,FIYAT!$B:$O,2,FALSE()),"")</f>
        <v>Держатель плавкой вставки RT36-00-160, габарит 00, 160А</v>
      </c>
      <c r="F1097" s="9">
        <f>IFERROR(VLOOKUP($D1097,FIYAT!$B:$O,5,FALSE()),"")</f>
        <v>2038</v>
      </c>
      <c r="G1097" s="9">
        <f>IFERROR(VLOOKUP($D1097,FIYAT!$B:$O,8,FALSE()),"")</f>
        <v>1222.8</v>
      </c>
      <c r="H1097" s="9">
        <f t="shared" si="134"/>
        <v>4891.2</v>
      </c>
      <c r="I1097" s="6">
        <v>4</v>
      </c>
      <c r="J1097" s="9" t="str">
        <f>IFERROR(VLOOKUP($D1097,FIYAT!$B:$O,9,FALSE()),"")</f>
        <v>Шт.</v>
      </c>
      <c r="K1097" s="9" t="str">
        <f>IFERROR(VLOOKUP($D1097,FIYAT!$B:$O,4,FALSE()),"")</f>
        <v>CHINT</v>
      </c>
      <c r="L1097" s="9">
        <f t="shared" si="135"/>
        <v>4891.2</v>
      </c>
      <c r="M1097" s="9"/>
      <c r="N1097" s="9"/>
      <c r="O1097" s="9"/>
      <c r="P1097" s="9" t="str">
        <f>IF($H1097="","FIYAT_YOK",IFERROR(VLOOKUP($D1097,FIYAT!$B:$P,15,FALSE()),""))</f>
        <v>MUADIL</v>
      </c>
      <c r="Q1097" s="9" t="s">
        <v>181</v>
      </c>
      <c r="R1097" s="9" t="s">
        <v>171</v>
      </c>
      <c r="S1097" s="9" t="s">
        <v>637</v>
      </c>
      <c r="T1097" s="9" t="s">
        <v>77</v>
      </c>
      <c r="U1097" s="9">
        <f>IFERROR(VLOOKUP($T1097,KURALLAR!$A$32:$B$63,2,FALSE()),0)*IF(ISNUMBER($I1097),$I1097,0)</f>
        <v>20</v>
      </c>
    </row>
    <row r="1098" spans="1:21" x14ac:dyDescent="0.25">
      <c r="A1098" s="5">
        <v>1097</v>
      </c>
      <c r="B1098" s="5"/>
      <c r="C1098" s="5" t="s">
        <v>79</v>
      </c>
      <c r="D1098" s="5" t="s">
        <v>182</v>
      </c>
      <c r="E1098" s="5" t="str">
        <f>IFERROR(VLOOKUP($D1098,FIYAT!$B:$O,2,FALSE()),"")</f>
        <v>Плавкая вставка предохранителя RT36-00-160, габарит 00, 63А</v>
      </c>
      <c r="F1098" s="5">
        <f>IFERROR(VLOOKUP($D1098,FIYAT!$B:$O,5,FALSE()),"")</f>
        <v>1525</v>
      </c>
      <c r="G1098" s="5">
        <f>IFERROR(VLOOKUP($D1098,FIYAT!$B:$O,8,FALSE()),"")</f>
        <v>915</v>
      </c>
      <c r="H1098" s="5">
        <f t="shared" si="134"/>
        <v>3660</v>
      </c>
      <c r="I1098" s="6">
        <v>4</v>
      </c>
      <c r="J1098" s="5" t="str">
        <f>IFERROR(VLOOKUP($D1098,FIYAT!$B:$O,9,FALSE()),"")</f>
        <v>Шт.</v>
      </c>
      <c r="K1098" s="5" t="str">
        <f>IFERROR(VLOOKUP($D1098,FIYAT!$B:$O,4,FALSE()),"")</f>
        <v>CHINT</v>
      </c>
      <c r="L1098" s="5">
        <f t="shared" si="135"/>
        <v>3660</v>
      </c>
      <c r="M1098" s="5"/>
      <c r="N1098" s="5"/>
      <c r="O1098" s="5"/>
      <c r="P1098" s="5" t="str">
        <f>IF($H1098="","FIYAT_YOK",IFERROR(VLOOKUP($D1098,FIYAT!$B:$P,15,FALSE()),""))</f>
        <v>MUADIL</v>
      </c>
      <c r="Q1098" s="5" t="s">
        <v>185</v>
      </c>
      <c r="R1098" s="5" t="s">
        <v>184</v>
      </c>
      <c r="S1098" s="5" t="s">
        <v>637</v>
      </c>
      <c r="T1098" s="5" t="s">
        <v>79</v>
      </c>
      <c r="U1098" s="5">
        <f>IFERROR(VLOOKUP($T1098,KURALLAR!$A$32:$B$63,2,FALSE()),0)*IF(ISNUMBER($I1098),$I1098,0)</f>
        <v>12</v>
      </c>
    </row>
    <row r="1099" spans="1:21" x14ac:dyDescent="0.25">
      <c r="A1099" s="9">
        <v>1098</v>
      </c>
      <c r="B1099" s="9"/>
      <c r="C1099" s="9" t="s">
        <v>75</v>
      </c>
      <c r="D1099" s="9" t="s">
        <v>186</v>
      </c>
      <c r="E1099" s="9" t="str">
        <f>IFERROR(VLOOKUP($D1099,FIYAT!$B:$O,2,FALSE()),"")</f>
        <v>Ограничитель имп. перенапр. NU6-IIG 4Р In=25kA Uc=440B Im=65kA (R)</v>
      </c>
      <c r="F1099" s="9">
        <f>IFERROR(VLOOKUP($D1099,FIYAT!$B:$O,5,FALSE()),"")</f>
        <v>33208</v>
      </c>
      <c r="G1099" s="9">
        <f>IFERROR(VLOOKUP($D1099,FIYAT!$B:$O,8,FALSE()),"")</f>
        <v>19924.8</v>
      </c>
      <c r="H1099" s="9">
        <f t="shared" si="134"/>
        <v>19924.8</v>
      </c>
      <c r="I1099" s="6">
        <v>1</v>
      </c>
      <c r="J1099" s="9" t="str">
        <f>IFERROR(VLOOKUP($D1099,FIYAT!$B:$O,9,FALSE()),"")</f>
        <v>Шт.</v>
      </c>
      <c r="K1099" s="9" t="str">
        <f>IFERROR(VLOOKUP($D1099,FIYAT!$B:$O,4,FALSE()),"")</f>
        <v>CHINT</v>
      </c>
      <c r="L1099" s="9">
        <f t="shared" si="135"/>
        <v>19924.8</v>
      </c>
      <c r="M1099" s="9"/>
      <c r="N1099" s="9"/>
      <c r="O1099" s="9"/>
      <c r="P1099" s="9" t="str">
        <f>IF($H1099="","FIYAT_YOK",IFERROR(VLOOKUP($D1099,FIYAT!$B:$P,15,FALSE()),""))</f>
        <v>MUADIL_ONAY</v>
      </c>
      <c r="Q1099" s="9" t="s">
        <v>188</v>
      </c>
      <c r="R1099" s="9" t="s">
        <v>184</v>
      </c>
      <c r="S1099" s="9" t="s">
        <v>637</v>
      </c>
      <c r="T1099" s="9" t="s">
        <v>75</v>
      </c>
      <c r="U1099" s="9">
        <f>IFERROR(VLOOKUP($T1099,KURALLAR!$A$32:$B$63,2,FALSE()),0)*IF(ISNUMBER($I1099),$I1099,0)</f>
        <v>10</v>
      </c>
    </row>
    <row r="1100" spans="1:21" x14ac:dyDescent="0.25">
      <c r="A1100" s="5">
        <v>1099</v>
      </c>
      <c r="B1100" s="5"/>
      <c r="C1100" s="5" t="s">
        <v>192</v>
      </c>
      <c r="D1100" s="5" t="s">
        <v>321</v>
      </c>
      <c r="E1100" s="5" t="str">
        <f>IFERROR(VLOOKUP($D1100,FIYAT!$B:$O,2,FALSE()),"")</f>
        <v>Авт. выкл. NXB-63 1P 25A 6кА х-ка C (R)</v>
      </c>
      <c r="F1100" s="5">
        <f>IFERROR(VLOOKUP($D1100,FIYAT!$B:$O,5,FALSE()),"")</f>
        <v>1330</v>
      </c>
      <c r="G1100" s="5">
        <f>IFERROR(VLOOKUP($D1100,FIYAT!$B:$O,8,FALSE()),"")</f>
        <v>798</v>
      </c>
      <c r="H1100" s="5">
        <f t="shared" si="134"/>
        <v>798</v>
      </c>
      <c r="I1100" s="6">
        <v>1</v>
      </c>
      <c r="J1100" s="5" t="str">
        <f>IFERROR(VLOOKUP($D1100,FIYAT!$B:$O,9,FALSE()),"")</f>
        <v>Шт.</v>
      </c>
      <c r="K1100" s="5" t="str">
        <f>IFERROR(VLOOKUP($D1100,FIYAT!$B:$O,4,FALSE()),"")</f>
        <v>CHINT</v>
      </c>
      <c r="L1100" s="5">
        <f t="shared" si="135"/>
        <v>798</v>
      </c>
      <c r="M1100" s="5"/>
      <c r="N1100" s="5"/>
      <c r="O1100" s="5"/>
      <c r="P1100" s="5" t="str">
        <f>IF($H1100="","FIYAT_YOK",IFERROR(VLOOKUP($D1100,FIYAT!$B:$P,15,FALSE()),""))</f>
        <v>OK</v>
      </c>
      <c r="Q1100" s="5" t="s">
        <v>323</v>
      </c>
      <c r="R1100" s="5" t="s">
        <v>171</v>
      </c>
      <c r="S1100" s="5" t="s">
        <v>637</v>
      </c>
      <c r="T1100" s="5" t="s">
        <v>47</v>
      </c>
      <c r="U1100" s="5">
        <f>IFERROR(VLOOKUP($T1100,KURALLAR!$A$32:$B$63,2,FALSE()),0)*IF(ISNUMBER($I1100),$I1100,0)</f>
        <v>3</v>
      </c>
    </row>
    <row r="1101" spans="1:21" x14ac:dyDescent="0.25">
      <c r="A1101" s="9">
        <v>1100</v>
      </c>
      <c r="B1101" s="9"/>
      <c r="C1101" s="9" t="s">
        <v>176</v>
      </c>
      <c r="D1101" s="9" t="s">
        <v>324</v>
      </c>
      <c r="E1101" s="9" t="str">
        <f>IFERROR(VLOOKUP($D1101,FIYAT!$B:$O,2,FALSE()),"")</f>
        <v>УЗО NL1-63 6kA 2P 25A 30mA тип AC (R)</v>
      </c>
      <c r="F1101" s="9">
        <f>IFERROR(VLOOKUP($D1101,FIYAT!$B:$O,5,FALSE()),"")</f>
        <v>10809</v>
      </c>
      <c r="G1101" s="9">
        <f>IFERROR(VLOOKUP($D1101,FIYAT!$B:$O,8,FALSE()),"")</f>
        <v>6485.4</v>
      </c>
      <c r="H1101" s="9">
        <f t="shared" si="134"/>
        <v>6485.4</v>
      </c>
      <c r="I1101" s="6">
        <v>1</v>
      </c>
      <c r="J1101" s="9" t="str">
        <f>IFERROR(VLOOKUP($D1101,FIYAT!$B:$O,9,FALSE()),"")</f>
        <v>Шт.</v>
      </c>
      <c r="K1101" s="9" t="str">
        <f>IFERROR(VLOOKUP($D1101,FIYAT!$B:$O,4,FALSE()),"")</f>
        <v>CHINT</v>
      </c>
      <c r="L1101" s="9">
        <f t="shared" si="135"/>
        <v>6485.4</v>
      </c>
      <c r="M1101" s="9"/>
      <c r="N1101" s="9"/>
      <c r="O1101" s="9"/>
      <c r="P1101" s="9" t="str">
        <f>IF($H1101="","FIYAT_YOK",IFERROR(VLOOKUP($D1101,FIYAT!$B:$P,15,FALSE()),""))</f>
        <v>OK</v>
      </c>
      <c r="Q1101" s="9" t="s">
        <v>326</v>
      </c>
      <c r="R1101" s="9" t="s">
        <v>171</v>
      </c>
      <c r="S1101" s="9" t="s">
        <v>637</v>
      </c>
      <c r="T1101" s="9" t="s">
        <v>55</v>
      </c>
      <c r="U1101" s="9">
        <f>IFERROR(VLOOKUP($T1101,KURALLAR!$A$32:$B$63,2,FALSE()),0)*IF(ISNUMBER($I1101),$I1101,0)</f>
        <v>6</v>
      </c>
    </row>
    <row r="1102" spans="1:21" x14ac:dyDescent="0.25">
      <c r="A1102" s="5">
        <v>1101</v>
      </c>
      <c r="B1102" s="5"/>
      <c r="C1102" s="5" t="s">
        <v>192</v>
      </c>
      <c r="D1102" s="5" t="s">
        <v>194</v>
      </c>
      <c r="E1102" s="5" t="str">
        <f>IFERROR(VLOOKUP($D1102,FIYAT!$B:$O,2,FALSE()),"")</f>
        <v>Авт. выкл. NXB-63 1P 16A 6кА х-ка C (R)</v>
      </c>
      <c r="F1102" s="5">
        <f>IFERROR(VLOOKUP($D1102,FIYAT!$B:$O,5,FALSE()),"")</f>
        <v>1389</v>
      </c>
      <c r="G1102" s="5">
        <f>IFERROR(VLOOKUP($D1102,FIYAT!$B:$O,8,FALSE()),"")</f>
        <v>833.4</v>
      </c>
      <c r="H1102" s="5">
        <f t="shared" si="134"/>
        <v>6667.2</v>
      </c>
      <c r="I1102" s="6">
        <v>8</v>
      </c>
      <c r="J1102" s="5" t="str">
        <f>IFERROR(VLOOKUP($D1102,FIYAT!$B:$O,9,FALSE()),"")</f>
        <v>Шт.</v>
      </c>
      <c r="K1102" s="5" t="str">
        <f>IFERROR(VLOOKUP($D1102,FIYAT!$B:$O,4,FALSE()),"")</f>
        <v>CHINT</v>
      </c>
      <c r="L1102" s="5">
        <f t="shared" si="135"/>
        <v>6667.2</v>
      </c>
      <c r="M1102" s="5"/>
      <c r="N1102" s="5"/>
      <c r="O1102" s="5"/>
      <c r="P1102" s="5" t="str">
        <f>IF($H1102="","FIYAT_YOK",IFERROR(VLOOKUP($D1102,FIYAT!$B:$P,15,FALSE()),""))</f>
        <v>OK</v>
      </c>
      <c r="Q1102" s="5" t="s">
        <v>196</v>
      </c>
      <c r="R1102" s="5" t="s">
        <v>171</v>
      </c>
      <c r="S1102" s="5" t="s">
        <v>637</v>
      </c>
      <c r="T1102" s="5" t="s">
        <v>47</v>
      </c>
      <c r="U1102" s="5">
        <f>IFERROR(VLOOKUP($T1102,KURALLAR!$A$32:$B$63,2,FALSE()),0)*IF(ISNUMBER($I1102),$I1102,0)</f>
        <v>24</v>
      </c>
    </row>
    <row r="1103" spans="1:21" x14ac:dyDescent="0.25">
      <c r="A1103" s="9">
        <v>1102</v>
      </c>
      <c r="B1103" s="9"/>
      <c r="C1103" s="9" t="s">
        <v>176</v>
      </c>
      <c r="D1103" s="9" t="s">
        <v>200</v>
      </c>
      <c r="E1103" s="9" t="str">
        <f>IFERROR(VLOOKUP($D1103,FIYAT!$B:$O,2,FALSE()),"")</f>
        <v>УЗО NL1-63 6kA 2P 16A 30mA тип AC (R)</v>
      </c>
      <c r="F1103" s="9">
        <f>IFERROR(VLOOKUP($D1103,FIYAT!$B:$O,5,FALSE()),"")</f>
        <v>10809</v>
      </c>
      <c r="G1103" s="9">
        <f>IFERROR(VLOOKUP($D1103,FIYAT!$B:$O,8,FALSE()),"")</f>
        <v>6485.4</v>
      </c>
      <c r="H1103" s="9">
        <f t="shared" si="134"/>
        <v>6485.4</v>
      </c>
      <c r="I1103" s="6">
        <v>1</v>
      </c>
      <c r="J1103" s="9" t="str">
        <f>IFERROR(VLOOKUP($D1103,FIYAT!$B:$O,9,FALSE()),"")</f>
        <v>Шт.</v>
      </c>
      <c r="K1103" s="9" t="str">
        <f>IFERROR(VLOOKUP($D1103,FIYAT!$B:$O,4,FALSE()),"")</f>
        <v>CHINT</v>
      </c>
      <c r="L1103" s="9">
        <f t="shared" si="135"/>
        <v>6485.4</v>
      </c>
      <c r="M1103" s="9"/>
      <c r="N1103" s="9"/>
      <c r="O1103" s="9"/>
      <c r="P1103" s="9" t="str">
        <f>IF($H1103="","FIYAT_YOK",IFERROR(VLOOKUP($D1103,FIYAT!$B:$P,15,FALSE()),""))</f>
        <v>OK</v>
      </c>
      <c r="Q1103" s="9" t="s">
        <v>202</v>
      </c>
      <c r="R1103" s="9" t="s">
        <v>171</v>
      </c>
      <c r="S1103" s="9" t="s">
        <v>637</v>
      </c>
      <c r="T1103" s="9" t="s">
        <v>55</v>
      </c>
      <c r="U1103" s="9">
        <f>IFERROR(VLOOKUP($T1103,KURALLAR!$A$32:$B$63,2,FALSE()),0)*IF(ISNUMBER($I1103),$I1103,0)</f>
        <v>6</v>
      </c>
    </row>
    <row r="1104" spans="1:21" x14ac:dyDescent="0.25">
      <c r="A1104" s="5">
        <v>1103</v>
      </c>
      <c r="B1104" s="5"/>
      <c r="C1104" s="5" t="s">
        <v>192</v>
      </c>
      <c r="D1104" s="5" t="s">
        <v>206</v>
      </c>
      <c r="E1104" s="5" t="str">
        <f>IFERROR(VLOOKUP($D1104,FIYAT!$B:$O,2,FALSE()),"")</f>
        <v>Авт. выкл. NXB-63 1P 10A 6кА х-ка C (R)</v>
      </c>
      <c r="F1104" s="5">
        <f>IFERROR(VLOOKUP($D1104,FIYAT!$B:$O,5,FALSE()),"")</f>
        <v>1362</v>
      </c>
      <c r="G1104" s="5">
        <f>IFERROR(VLOOKUP($D1104,FIYAT!$B:$O,8,FALSE()),"")</f>
        <v>817.19999999999993</v>
      </c>
      <c r="H1104" s="5">
        <f t="shared" si="134"/>
        <v>6537.5999999999995</v>
      </c>
      <c r="I1104" s="6">
        <v>8</v>
      </c>
      <c r="J1104" s="5" t="str">
        <f>IFERROR(VLOOKUP($D1104,FIYAT!$B:$O,9,FALSE()),"")</f>
        <v>Шт.</v>
      </c>
      <c r="K1104" s="5" t="str">
        <f>IFERROR(VLOOKUP($D1104,FIYAT!$B:$O,4,FALSE()),"")</f>
        <v>CHINT</v>
      </c>
      <c r="L1104" s="5">
        <f t="shared" si="135"/>
        <v>6537.5999999999995</v>
      </c>
      <c r="M1104" s="5"/>
      <c r="N1104" s="5"/>
      <c r="O1104" s="5"/>
      <c r="P1104" s="5" t="str">
        <f>IF($H1104="","FIYAT_YOK",IFERROR(VLOOKUP($D1104,FIYAT!$B:$P,15,FALSE()),""))</f>
        <v>OK</v>
      </c>
      <c r="Q1104" s="5" t="s">
        <v>208</v>
      </c>
      <c r="R1104" s="5" t="s">
        <v>184</v>
      </c>
      <c r="S1104" s="5" t="s">
        <v>637</v>
      </c>
      <c r="T1104" s="5" t="s">
        <v>47</v>
      </c>
      <c r="U1104" s="5">
        <f>IFERROR(VLOOKUP($T1104,KURALLAR!$A$32:$B$63,2,FALSE()),0)*IF(ISNUMBER($I1104),$I1104,0)</f>
        <v>24</v>
      </c>
    </row>
    <row r="1105" spans="1:21" x14ac:dyDescent="0.25">
      <c r="A1105" s="9">
        <v>1104</v>
      </c>
      <c r="B1105" s="9"/>
      <c r="C1105" s="9" t="s">
        <v>93</v>
      </c>
      <c r="D1105" s="9" t="s">
        <v>209</v>
      </c>
      <c r="E1105" s="9" t="str">
        <f>IFERROR(VLOOKUP($D1105,FIYAT!$B:$O,2,FALSE()),"")</f>
        <v>Шина "N" нулевая 6х9мм на DIN-рейку в корпусном изоляторе ШНИ 12К IEK (10)</v>
      </c>
      <c r="F1105" s="9">
        <f>IFERROR(VLOOKUP($D1105,FIYAT!$B:$O,5,FALSE()),"")</f>
        <v>755</v>
      </c>
      <c r="G1105" s="9">
        <f>IFERROR(VLOOKUP($D1105,FIYAT!$B:$O,8,FALSE()),"")</f>
        <v>453</v>
      </c>
      <c r="H1105" s="9">
        <f t="shared" si="134"/>
        <v>1812</v>
      </c>
      <c r="I1105" s="6">
        <v>4</v>
      </c>
      <c r="J1105" s="9" t="str">
        <f>IFERROR(VLOOKUP($D1105,FIYAT!$B:$O,9,FALSE()),"")</f>
        <v>Шт.</v>
      </c>
      <c r="K1105" s="9" t="str">
        <f>IFERROR(VLOOKUP($D1105,FIYAT!$B:$O,4,FALSE()),"")</f>
        <v>KAZTEK</v>
      </c>
      <c r="L1105" s="9">
        <f t="shared" si="135"/>
        <v>1812</v>
      </c>
      <c r="M1105" s="9"/>
      <c r="N1105" s="9"/>
      <c r="O1105" s="9"/>
      <c r="P1105" s="9" t="str">
        <f>IF($H1105="","FIYAT_YOK",IFERROR(VLOOKUP($D1105,FIYAT!$B:$P,15,FALSE()),""))</f>
        <v>MUADIL</v>
      </c>
      <c r="Q1105" s="9" t="s">
        <v>212</v>
      </c>
      <c r="R1105" s="9" t="s">
        <v>211</v>
      </c>
      <c r="S1105" s="9" t="s">
        <v>637</v>
      </c>
      <c r="T1105" s="9" t="s">
        <v>93</v>
      </c>
      <c r="U1105" s="9">
        <f>IFERROR(VLOOKUP($T1105,KURALLAR!$A$32:$B$63,2,FALSE()),0)*IF(ISNUMBER($I1105),$I1105,0)</f>
        <v>32</v>
      </c>
    </row>
    <row r="1106" spans="1:21" x14ac:dyDescent="0.25">
      <c r="A1106" s="5">
        <v>1105</v>
      </c>
      <c r="B1106" s="5"/>
      <c r="C1106" s="5" t="s">
        <v>222</v>
      </c>
      <c r="D1106" s="5" t="s">
        <v>220</v>
      </c>
      <c r="E1106" s="5" t="str">
        <f>IFERROR(VLOOKUP($D1106,FIYAT!$B:$O,2,FALSE()),"")</f>
        <v>ЩМП (инд.) IP31 (650х500х150мм)</v>
      </c>
      <c r="F1106" s="5">
        <f>IFERROR(VLOOKUP($D1106,FIYAT!$B:$O,5,FALSE()),"")</f>
        <v>27825</v>
      </c>
      <c r="G1106" s="5">
        <f>IFERROR(VLOOKUP($D1106,FIYAT!$B:$O,8,FALSE()),"")</f>
        <v>16695</v>
      </c>
      <c r="H1106" s="5">
        <f t="shared" si="134"/>
        <v>16695</v>
      </c>
      <c r="I1106" s="6">
        <v>1</v>
      </c>
      <c r="J1106" s="5" t="str">
        <f>IFERROR(VLOOKUP($D1106,FIYAT!$B:$O,9,FALSE()),"")</f>
        <v>Шт.</v>
      </c>
      <c r="K1106" s="5" t="str">
        <f>IFERROR(VLOOKUP($D1106,FIYAT!$B:$O,4,FALSE()),"")</f>
        <v>KAZTEK</v>
      </c>
      <c r="L1106" s="5">
        <f t="shared" si="135"/>
        <v>16695</v>
      </c>
      <c r="M1106" s="5"/>
      <c r="N1106" s="5"/>
      <c r="O1106" s="5"/>
      <c r="P1106" s="5" t="str">
        <f>IF($H1106="","FIYAT_YOK",IFERROR(VLOOKUP($D1106,FIYAT!$B:$P,15,FALSE()),""))</f>
        <v>VARSAYIM</v>
      </c>
      <c r="Q1106" s="5" t="s">
        <v>223</v>
      </c>
      <c r="R1106" s="5" t="s">
        <v>211</v>
      </c>
      <c r="S1106" s="5" t="s">
        <v>637</v>
      </c>
      <c r="T1106" s="5" t="s">
        <v>105</v>
      </c>
      <c r="U1106" s="5">
        <f>IFERROR(VLOOKUP($T1106,KURALLAR!$A$32:$B$63,2,FALSE()),0)*IF(ISNUMBER($I1106),$I1106,0)</f>
        <v>30</v>
      </c>
    </row>
    <row r="1107" spans="1:21" x14ac:dyDescent="0.25">
      <c r="A1107" s="9">
        <v>1106</v>
      </c>
      <c r="B1107" s="9"/>
      <c r="C1107" s="9" t="s">
        <v>215</v>
      </c>
      <c r="D1107" s="9" t="s">
        <v>213</v>
      </c>
      <c r="E1107" s="9" t="str">
        <f>IFERROR(VLOOKUP($D1107,FIYAT!$B:$O,2,FALSE()),"")</f>
        <v>Монтажный расходный материал (кабель, DIN-рейка, кабель-канал, клеммы, маркировка, крепёж)</v>
      </c>
      <c r="F1107" s="9">
        <f>IFERROR(VLOOKUP($D1107,FIYAT!$B:$O,5,FALSE()),"")</f>
        <v>0</v>
      </c>
      <c r="G1107" s="9" t="str">
        <f>IFERROR(VLOOKUP($D1107,FIYAT!$B:$O,8,FALSE()),"")</f>
        <v/>
      </c>
      <c r="H1107" s="9">
        <f>ROUND(SUM($H$1095:$H$1106)*KURALLAR!$B$28,0)</f>
        <v>8653</v>
      </c>
      <c r="I1107" s="6">
        <v>1</v>
      </c>
      <c r="J1107" s="9" t="str">
        <f>IFERROR(VLOOKUP($D1107,FIYAT!$B:$O,9,FALSE()),"")</f>
        <v>компл.</v>
      </c>
      <c r="K1107" s="9" t="str">
        <f>IFERROR(VLOOKUP($D1107,FIYAT!$B:$O,4,FALSE()),"")</f>
        <v>MUADIL-NET</v>
      </c>
      <c r="L1107" s="9">
        <f t="shared" si="135"/>
        <v>8653</v>
      </c>
      <c r="M1107" s="9"/>
      <c r="N1107" s="9"/>
      <c r="O1107" s="9"/>
      <c r="P1107" s="9" t="str">
        <f>IF($H1107="","FIYAT_YOK",IFERROR(VLOOKUP($D1107,FIYAT!$B:$P,15,FALSE()),""))</f>
        <v>ORAN</v>
      </c>
      <c r="Q1107" s="9" t="s">
        <v>218</v>
      </c>
      <c r="R1107" s="9" t="s">
        <v>217</v>
      </c>
      <c r="S1107" s="9" t="s">
        <v>637</v>
      </c>
      <c r="T1107" s="9"/>
      <c r="U1107" s="9">
        <v>0</v>
      </c>
    </row>
    <row r="1108" spans="1:21" x14ac:dyDescent="0.25">
      <c r="A1108" s="5">
        <v>1107</v>
      </c>
      <c r="B1108" s="5"/>
      <c r="C1108" s="5" t="s">
        <v>227</v>
      </c>
      <c r="D1108" s="5" t="s">
        <v>225</v>
      </c>
      <c r="E1108" s="5" t="str">
        <f>IFERROR(VLOOKUP($D1108,FIYAT!$B:$O,2,FALSE()),"")</f>
        <v>Сборка, кабелирование, маркировка, момент затяжки, испытания</v>
      </c>
      <c r="F1108" s="5">
        <f>IFERROR(VLOOKUP($D1108,FIYAT!$B:$O,5,FALSE()),"")</f>
        <v>100</v>
      </c>
      <c r="G1108" s="5">
        <f>IFERROR(VLOOKUP($D1108,FIYAT!$B:$O,8,FALSE()),"")</f>
        <v>100</v>
      </c>
      <c r="H1108" s="5">
        <f>IF(OR($G1108="",$I1108=""),"",$G1108*$I1108)</f>
        <v>22100</v>
      </c>
      <c r="I1108" s="6">
        <f>ROUND(SUM($U$1095:$U$1107)*KURALLAR!$B$27,0)</f>
        <v>221</v>
      </c>
      <c r="J1108" s="5" t="str">
        <f>IFERROR(VLOOKUP($D1108,FIYAT!$B:$O,9,FALSE()),"")</f>
        <v>мин</v>
      </c>
      <c r="K1108" s="5" t="str">
        <f>IFERROR(VLOOKUP($D1108,FIYAT!$B:$O,4,FALSE()),"")</f>
        <v>ISCILIK</v>
      </c>
      <c r="L1108" s="5">
        <f t="shared" si="135"/>
        <v>22100</v>
      </c>
      <c r="M1108" s="5"/>
      <c r="N1108" s="5"/>
      <c r="O1108" s="5"/>
      <c r="P1108" s="5" t="str">
        <f>IF($H1108="","FIYAT_YOK",IFERROR(VLOOKUP($D1108,FIYAT!$B:$P,15,FALSE()),""))</f>
        <v>OK</v>
      </c>
      <c r="Q1108" s="5" t="str">
        <f>CONCATENATE("montaj+test iscilik: ",TEXT($I1108,"# ##0")," dk = ",TEXT($I1108/60,"0,00")," saat (norm x test/etiket carpani)")</f>
        <v>montaj+test iscilik:  221 dk = 3,68 saat (norm x test/etiket carpani)</v>
      </c>
      <c r="R1108" s="5" t="s">
        <v>229</v>
      </c>
      <c r="S1108" s="5" t="s">
        <v>637</v>
      </c>
      <c r="T1108" s="5"/>
      <c r="U1108" s="5">
        <v>0</v>
      </c>
    </row>
    <row r="1109" spans="1:21" x14ac:dyDescent="0.25">
      <c r="A1109" s="10">
        <v>1108</v>
      </c>
      <c r="B1109" s="10" t="s">
        <v>686</v>
      </c>
      <c r="C1109" s="10"/>
      <c r="D1109" s="10"/>
      <c r="E1109" s="10"/>
      <c r="F1109" s="10"/>
      <c r="G1109" s="10"/>
      <c r="H1109" s="10">
        <f>SUBTOTAL(9,H1095:H1108)</f>
        <v>154373.39999999997</v>
      </c>
      <c r="I1109" s="10"/>
      <c r="J1109" s="10"/>
      <c r="K1109" s="10"/>
      <c r="L1109" s="10">
        <f>SUBTOTAL(9,L1095:L1108)</f>
        <v>154373.39999999997</v>
      </c>
      <c r="M1109" s="10"/>
      <c r="N1109" s="10"/>
      <c r="O1109" s="10"/>
      <c r="P1109" s="10"/>
      <c r="Q1109" s="10"/>
      <c r="R1109" s="10"/>
      <c r="S1109" s="10"/>
      <c r="T1109" s="10"/>
      <c r="U1109" s="10">
        <f>SUBTOTAL(9,U1095:U1108)</f>
        <v>192</v>
      </c>
    </row>
    <row r="1110" spans="1:21" x14ac:dyDescent="0.25">
      <c r="A1110" s="8">
        <v>1109</v>
      </c>
      <c r="B1110" s="8" t="str">
        <f>E1110</f>
        <v>BLOK B / 16F-ЩС.2 — НКУ 380/220В 50Гц, FORM 2B, IP31/54</v>
      </c>
      <c r="C1110" s="8" t="s">
        <v>545</v>
      </c>
      <c r="D1110" s="8"/>
      <c r="E1110" s="8" t="s">
        <v>687</v>
      </c>
      <c r="F1110" s="8"/>
      <c r="G1110" s="8"/>
      <c r="H1110" s="8"/>
      <c r="I1110" s="8">
        <v>1</v>
      </c>
      <c r="J1110" s="8" t="s">
        <v>547</v>
      </c>
      <c r="K1110" s="8"/>
      <c r="L1110" s="8"/>
      <c r="M1110" s="8"/>
      <c r="N1110" s="8"/>
      <c r="O1110" s="8"/>
      <c r="P1110" s="8" t="s">
        <v>178</v>
      </c>
      <c r="Q1110" s="8" t="s">
        <v>548</v>
      </c>
      <c r="R1110" s="8" t="s">
        <v>549</v>
      </c>
      <c r="S1110" s="8" t="s">
        <v>637</v>
      </c>
      <c r="T1110" s="8"/>
      <c r="U1110" s="8"/>
    </row>
    <row r="1111" spans="1:21" x14ac:dyDescent="0.25">
      <c r="A1111" s="9">
        <v>1110</v>
      </c>
      <c r="B1111" s="9"/>
      <c r="C1111" s="9" t="s">
        <v>169</v>
      </c>
      <c r="D1111" s="9" t="s">
        <v>167</v>
      </c>
      <c r="E1111" s="9" t="str">
        <f>IFERROR(VLOOKUP($D1111,FIYAT!$B:$O,2,FALSE()),"")</f>
        <v>Авт. выкл. NM8N-125C TM 3P 32А 36кА с рег. термомаг. расцепителем (R)</v>
      </c>
      <c r="F1111" s="9">
        <f>IFERROR(VLOOKUP($D1111,FIYAT!$B:$O,5,FALSE()),"")</f>
        <v>64667</v>
      </c>
      <c r="G1111" s="9">
        <f>IFERROR(VLOOKUP($D1111,FIYAT!$B:$O,8,FALSE()),"")</f>
        <v>38800.199999999997</v>
      </c>
      <c r="H1111" s="9">
        <f t="shared" ref="H1111:H1122" si="136">IF(OR($G1111="",$I1111=""),"",$G1111*$I1111)</f>
        <v>38800.199999999997</v>
      </c>
      <c r="I1111" s="6">
        <v>1</v>
      </c>
      <c r="J1111" s="9" t="str">
        <f>IFERROR(VLOOKUP($D1111,FIYAT!$B:$O,9,FALSE()),"")</f>
        <v>Шт.</v>
      </c>
      <c r="K1111" s="9" t="str">
        <f>IFERROR(VLOOKUP($D1111,FIYAT!$B:$O,4,FALSE()),"")</f>
        <v>CHINT</v>
      </c>
      <c r="L1111" s="9">
        <f t="shared" ref="L1111:L1124" si="137">IF($H1111="","",$H1111)</f>
        <v>38800.199999999997</v>
      </c>
      <c r="M1111" s="9"/>
      <c r="N1111" s="9"/>
      <c r="O1111" s="9"/>
      <c r="P1111" s="9" t="str">
        <f>IF($H1111="","FIYAT_YOK",IFERROR(VLOOKUP($D1111,FIYAT!$B:$P,15,FALSE()),""))</f>
        <v>MUADIL</v>
      </c>
      <c r="Q1111" s="9" t="s">
        <v>172</v>
      </c>
      <c r="R1111" s="9" t="s">
        <v>171</v>
      </c>
      <c r="S1111" s="9" t="s">
        <v>637</v>
      </c>
      <c r="T1111" s="9" t="s">
        <v>61</v>
      </c>
      <c r="U1111" s="9">
        <f>IFERROR(VLOOKUP($T1111,KURALLAR!$A$32:$B$63,2,FALSE()),0)*IF(ISNUMBER($I1111),$I1111,0)</f>
        <v>15</v>
      </c>
    </row>
    <row r="1112" spans="1:21" x14ac:dyDescent="0.25">
      <c r="A1112" s="5">
        <v>1111</v>
      </c>
      <c r="B1112" s="5"/>
      <c r="C1112" s="5" t="s">
        <v>176</v>
      </c>
      <c r="D1112" s="5" t="s">
        <v>174</v>
      </c>
      <c r="E1112" s="5" t="str">
        <f>IFERROR(VLOOKUP($D1112,FIYAT!$B:$O,2,FALSE()),"")</f>
        <v>УЗО NL1-63 6kA 4P 63A 300mA тип AC (R)</v>
      </c>
      <c r="F1112" s="5">
        <f>IFERROR(VLOOKUP($D1112,FIYAT!$B:$O,5,FALSE()),"")</f>
        <v>18106</v>
      </c>
      <c r="G1112" s="5">
        <f>IFERROR(VLOOKUP($D1112,FIYAT!$B:$O,8,FALSE()),"")</f>
        <v>10863.6</v>
      </c>
      <c r="H1112" s="5">
        <f t="shared" si="136"/>
        <v>10863.6</v>
      </c>
      <c r="I1112" s="6">
        <v>1</v>
      </c>
      <c r="J1112" s="5" t="str">
        <f>IFERROR(VLOOKUP($D1112,FIYAT!$B:$O,9,FALSE()),"")</f>
        <v>Шт.</v>
      </c>
      <c r="K1112" s="5" t="str">
        <f>IFERROR(VLOOKUP($D1112,FIYAT!$B:$O,4,FALSE()),"")</f>
        <v>CHINT</v>
      </c>
      <c r="L1112" s="5">
        <f t="shared" si="137"/>
        <v>10863.6</v>
      </c>
      <c r="M1112" s="5"/>
      <c r="N1112" s="5"/>
      <c r="O1112" s="5"/>
      <c r="P1112" s="5" t="str">
        <f>IF($H1112="","FIYAT_YOK",IFERROR(VLOOKUP($D1112,FIYAT!$B:$P,15,FALSE()),""))</f>
        <v>OK</v>
      </c>
      <c r="Q1112" s="5" t="s">
        <v>177</v>
      </c>
      <c r="R1112" s="5" t="s">
        <v>171</v>
      </c>
      <c r="S1112" s="5" t="s">
        <v>637</v>
      </c>
      <c r="T1112" s="5" t="s">
        <v>57</v>
      </c>
      <c r="U1112" s="5">
        <f>IFERROR(VLOOKUP($T1112,KURALLAR!$A$32:$B$63,2,FALSE()),0)*IF(ISNUMBER($I1112),$I1112,0)</f>
        <v>10</v>
      </c>
    </row>
    <row r="1113" spans="1:21" x14ac:dyDescent="0.25">
      <c r="A1113" s="9">
        <v>1112</v>
      </c>
      <c r="B1113" s="9"/>
      <c r="C1113" s="9" t="s">
        <v>79</v>
      </c>
      <c r="D1113" s="9" t="s">
        <v>179</v>
      </c>
      <c r="E1113" s="9" t="str">
        <f>IFERROR(VLOOKUP($D1113,FIYAT!$B:$O,2,FALSE()),"")</f>
        <v>Держатель плавкой вставки RT36-00-160, габарит 00, 160А</v>
      </c>
      <c r="F1113" s="9">
        <f>IFERROR(VLOOKUP($D1113,FIYAT!$B:$O,5,FALSE()),"")</f>
        <v>2038</v>
      </c>
      <c r="G1113" s="9">
        <f>IFERROR(VLOOKUP($D1113,FIYAT!$B:$O,8,FALSE()),"")</f>
        <v>1222.8</v>
      </c>
      <c r="H1113" s="9">
        <f t="shared" si="136"/>
        <v>4891.2</v>
      </c>
      <c r="I1113" s="6">
        <v>4</v>
      </c>
      <c r="J1113" s="9" t="str">
        <f>IFERROR(VLOOKUP($D1113,FIYAT!$B:$O,9,FALSE()),"")</f>
        <v>Шт.</v>
      </c>
      <c r="K1113" s="9" t="str">
        <f>IFERROR(VLOOKUP($D1113,FIYAT!$B:$O,4,FALSE()),"")</f>
        <v>CHINT</v>
      </c>
      <c r="L1113" s="9">
        <f t="shared" si="137"/>
        <v>4891.2</v>
      </c>
      <c r="M1113" s="9"/>
      <c r="N1113" s="9"/>
      <c r="O1113" s="9"/>
      <c r="P1113" s="9" t="str">
        <f>IF($H1113="","FIYAT_YOK",IFERROR(VLOOKUP($D1113,FIYAT!$B:$P,15,FALSE()),""))</f>
        <v>MUADIL</v>
      </c>
      <c r="Q1113" s="9" t="s">
        <v>181</v>
      </c>
      <c r="R1113" s="9" t="s">
        <v>171</v>
      </c>
      <c r="S1113" s="9" t="s">
        <v>637</v>
      </c>
      <c r="T1113" s="9" t="s">
        <v>77</v>
      </c>
      <c r="U1113" s="9">
        <f>IFERROR(VLOOKUP($T1113,KURALLAR!$A$32:$B$63,2,FALSE()),0)*IF(ISNUMBER($I1113),$I1113,0)</f>
        <v>20</v>
      </c>
    </row>
    <row r="1114" spans="1:21" x14ac:dyDescent="0.25">
      <c r="A1114" s="5">
        <v>1113</v>
      </c>
      <c r="B1114" s="5"/>
      <c r="C1114" s="5" t="s">
        <v>79</v>
      </c>
      <c r="D1114" s="5" t="s">
        <v>182</v>
      </c>
      <c r="E1114" s="5" t="str">
        <f>IFERROR(VLOOKUP($D1114,FIYAT!$B:$O,2,FALSE()),"")</f>
        <v>Плавкая вставка предохранителя RT36-00-160, габарит 00, 63А</v>
      </c>
      <c r="F1114" s="5">
        <f>IFERROR(VLOOKUP($D1114,FIYAT!$B:$O,5,FALSE()),"")</f>
        <v>1525</v>
      </c>
      <c r="G1114" s="5">
        <f>IFERROR(VLOOKUP($D1114,FIYAT!$B:$O,8,FALSE()),"")</f>
        <v>915</v>
      </c>
      <c r="H1114" s="5">
        <f t="shared" si="136"/>
        <v>3660</v>
      </c>
      <c r="I1114" s="6">
        <v>4</v>
      </c>
      <c r="J1114" s="5" t="str">
        <f>IFERROR(VLOOKUP($D1114,FIYAT!$B:$O,9,FALSE()),"")</f>
        <v>Шт.</v>
      </c>
      <c r="K1114" s="5" t="str">
        <f>IFERROR(VLOOKUP($D1114,FIYAT!$B:$O,4,FALSE()),"")</f>
        <v>CHINT</v>
      </c>
      <c r="L1114" s="5">
        <f t="shared" si="137"/>
        <v>3660</v>
      </c>
      <c r="M1114" s="5"/>
      <c r="N1114" s="5"/>
      <c r="O1114" s="5"/>
      <c r="P1114" s="5" t="str">
        <f>IF($H1114="","FIYAT_YOK",IFERROR(VLOOKUP($D1114,FIYAT!$B:$P,15,FALSE()),""))</f>
        <v>MUADIL</v>
      </c>
      <c r="Q1114" s="5" t="s">
        <v>185</v>
      </c>
      <c r="R1114" s="5" t="s">
        <v>184</v>
      </c>
      <c r="S1114" s="5" t="s">
        <v>637</v>
      </c>
      <c r="T1114" s="5" t="s">
        <v>79</v>
      </c>
      <c r="U1114" s="5">
        <f>IFERROR(VLOOKUP($T1114,KURALLAR!$A$32:$B$63,2,FALSE()),0)*IF(ISNUMBER($I1114),$I1114,0)</f>
        <v>12</v>
      </c>
    </row>
    <row r="1115" spans="1:21" x14ac:dyDescent="0.25">
      <c r="A1115" s="9">
        <v>1114</v>
      </c>
      <c r="B1115" s="9"/>
      <c r="C1115" s="9" t="s">
        <v>75</v>
      </c>
      <c r="D1115" s="9" t="s">
        <v>186</v>
      </c>
      <c r="E1115" s="9" t="str">
        <f>IFERROR(VLOOKUP($D1115,FIYAT!$B:$O,2,FALSE()),"")</f>
        <v>Ограничитель имп. перенапр. NU6-IIG 4Р In=25kA Uc=440B Im=65kA (R)</v>
      </c>
      <c r="F1115" s="9">
        <f>IFERROR(VLOOKUP($D1115,FIYAT!$B:$O,5,FALSE()),"")</f>
        <v>33208</v>
      </c>
      <c r="G1115" s="9">
        <f>IFERROR(VLOOKUP($D1115,FIYAT!$B:$O,8,FALSE()),"")</f>
        <v>19924.8</v>
      </c>
      <c r="H1115" s="9">
        <f t="shared" si="136"/>
        <v>19924.8</v>
      </c>
      <c r="I1115" s="6">
        <v>1</v>
      </c>
      <c r="J1115" s="9" t="str">
        <f>IFERROR(VLOOKUP($D1115,FIYAT!$B:$O,9,FALSE()),"")</f>
        <v>Шт.</v>
      </c>
      <c r="K1115" s="9" t="str">
        <f>IFERROR(VLOOKUP($D1115,FIYAT!$B:$O,4,FALSE()),"")</f>
        <v>CHINT</v>
      </c>
      <c r="L1115" s="9">
        <f t="shared" si="137"/>
        <v>19924.8</v>
      </c>
      <c r="M1115" s="9"/>
      <c r="N1115" s="9"/>
      <c r="O1115" s="9"/>
      <c r="P1115" s="9" t="str">
        <f>IF($H1115="","FIYAT_YOK",IFERROR(VLOOKUP($D1115,FIYAT!$B:$P,15,FALSE()),""))</f>
        <v>MUADIL_ONAY</v>
      </c>
      <c r="Q1115" s="9" t="s">
        <v>188</v>
      </c>
      <c r="R1115" s="9" t="s">
        <v>184</v>
      </c>
      <c r="S1115" s="9" t="s">
        <v>637</v>
      </c>
      <c r="T1115" s="9" t="s">
        <v>75</v>
      </c>
      <c r="U1115" s="9">
        <f>IFERROR(VLOOKUP($T1115,KURALLAR!$A$32:$B$63,2,FALSE()),0)*IF(ISNUMBER($I1115),$I1115,0)</f>
        <v>10</v>
      </c>
    </row>
    <row r="1116" spans="1:21" x14ac:dyDescent="0.25">
      <c r="A1116" s="5">
        <v>1115</v>
      </c>
      <c r="B1116" s="5"/>
      <c r="C1116" s="5" t="s">
        <v>192</v>
      </c>
      <c r="D1116" s="5" t="s">
        <v>321</v>
      </c>
      <c r="E1116" s="5" t="str">
        <f>IFERROR(VLOOKUP($D1116,FIYAT!$B:$O,2,FALSE()),"")</f>
        <v>Авт. выкл. NXB-63 1P 25A 6кА х-ка C (R)</v>
      </c>
      <c r="F1116" s="5">
        <f>IFERROR(VLOOKUP($D1116,FIYAT!$B:$O,5,FALSE()),"")</f>
        <v>1330</v>
      </c>
      <c r="G1116" s="5">
        <f>IFERROR(VLOOKUP($D1116,FIYAT!$B:$O,8,FALSE()),"")</f>
        <v>798</v>
      </c>
      <c r="H1116" s="5">
        <f t="shared" si="136"/>
        <v>798</v>
      </c>
      <c r="I1116" s="6">
        <v>1</v>
      </c>
      <c r="J1116" s="5" t="str">
        <f>IFERROR(VLOOKUP($D1116,FIYAT!$B:$O,9,FALSE()),"")</f>
        <v>Шт.</v>
      </c>
      <c r="K1116" s="5" t="str">
        <f>IFERROR(VLOOKUP($D1116,FIYAT!$B:$O,4,FALSE()),"")</f>
        <v>CHINT</v>
      </c>
      <c r="L1116" s="5">
        <f t="shared" si="137"/>
        <v>798</v>
      </c>
      <c r="M1116" s="5"/>
      <c r="N1116" s="5"/>
      <c r="O1116" s="5"/>
      <c r="P1116" s="5" t="str">
        <f>IF($H1116="","FIYAT_YOK",IFERROR(VLOOKUP($D1116,FIYAT!$B:$P,15,FALSE()),""))</f>
        <v>OK</v>
      </c>
      <c r="Q1116" s="5" t="s">
        <v>323</v>
      </c>
      <c r="R1116" s="5" t="s">
        <v>171</v>
      </c>
      <c r="S1116" s="5" t="s">
        <v>637</v>
      </c>
      <c r="T1116" s="5" t="s">
        <v>47</v>
      </c>
      <c r="U1116" s="5">
        <f>IFERROR(VLOOKUP($T1116,KURALLAR!$A$32:$B$63,2,FALSE()),0)*IF(ISNUMBER($I1116),$I1116,0)</f>
        <v>3</v>
      </c>
    </row>
    <row r="1117" spans="1:21" x14ac:dyDescent="0.25">
      <c r="A1117" s="9">
        <v>1116</v>
      </c>
      <c r="B1117" s="9"/>
      <c r="C1117" s="9" t="s">
        <v>176</v>
      </c>
      <c r="D1117" s="9" t="s">
        <v>324</v>
      </c>
      <c r="E1117" s="9" t="str">
        <f>IFERROR(VLOOKUP($D1117,FIYAT!$B:$O,2,FALSE()),"")</f>
        <v>УЗО NL1-63 6kA 2P 25A 30mA тип AC (R)</v>
      </c>
      <c r="F1117" s="9">
        <f>IFERROR(VLOOKUP($D1117,FIYAT!$B:$O,5,FALSE()),"")</f>
        <v>10809</v>
      </c>
      <c r="G1117" s="9">
        <f>IFERROR(VLOOKUP($D1117,FIYAT!$B:$O,8,FALSE()),"")</f>
        <v>6485.4</v>
      </c>
      <c r="H1117" s="9">
        <f t="shared" si="136"/>
        <v>6485.4</v>
      </c>
      <c r="I1117" s="6">
        <v>1</v>
      </c>
      <c r="J1117" s="9" t="str">
        <f>IFERROR(VLOOKUP($D1117,FIYAT!$B:$O,9,FALSE()),"")</f>
        <v>Шт.</v>
      </c>
      <c r="K1117" s="9" t="str">
        <f>IFERROR(VLOOKUP($D1117,FIYAT!$B:$O,4,FALSE()),"")</f>
        <v>CHINT</v>
      </c>
      <c r="L1117" s="9">
        <f t="shared" si="137"/>
        <v>6485.4</v>
      </c>
      <c r="M1117" s="9"/>
      <c r="N1117" s="9"/>
      <c r="O1117" s="9"/>
      <c r="P1117" s="9" t="str">
        <f>IF($H1117="","FIYAT_YOK",IFERROR(VLOOKUP($D1117,FIYAT!$B:$P,15,FALSE()),""))</f>
        <v>OK</v>
      </c>
      <c r="Q1117" s="9" t="s">
        <v>326</v>
      </c>
      <c r="R1117" s="9" t="s">
        <v>171</v>
      </c>
      <c r="S1117" s="9" t="s">
        <v>637</v>
      </c>
      <c r="T1117" s="9" t="s">
        <v>55</v>
      </c>
      <c r="U1117" s="9">
        <f>IFERROR(VLOOKUP($T1117,KURALLAR!$A$32:$B$63,2,FALSE()),0)*IF(ISNUMBER($I1117),$I1117,0)</f>
        <v>6</v>
      </c>
    </row>
    <row r="1118" spans="1:21" x14ac:dyDescent="0.25">
      <c r="A1118" s="5">
        <v>1117</v>
      </c>
      <c r="B1118" s="5"/>
      <c r="C1118" s="5" t="s">
        <v>192</v>
      </c>
      <c r="D1118" s="5" t="s">
        <v>194</v>
      </c>
      <c r="E1118" s="5" t="str">
        <f>IFERROR(VLOOKUP($D1118,FIYAT!$B:$O,2,FALSE()),"")</f>
        <v>Авт. выкл. NXB-63 1P 16A 6кА х-ка C (R)</v>
      </c>
      <c r="F1118" s="5">
        <f>IFERROR(VLOOKUP($D1118,FIYAT!$B:$O,5,FALSE()),"")</f>
        <v>1389</v>
      </c>
      <c r="G1118" s="5">
        <f>IFERROR(VLOOKUP($D1118,FIYAT!$B:$O,8,FALSE()),"")</f>
        <v>833.4</v>
      </c>
      <c r="H1118" s="5">
        <f t="shared" si="136"/>
        <v>7500.5999999999995</v>
      </c>
      <c r="I1118" s="6">
        <v>9</v>
      </c>
      <c r="J1118" s="5" t="str">
        <f>IFERROR(VLOOKUP($D1118,FIYAT!$B:$O,9,FALSE()),"")</f>
        <v>Шт.</v>
      </c>
      <c r="K1118" s="5" t="str">
        <f>IFERROR(VLOOKUP($D1118,FIYAT!$B:$O,4,FALSE()),"")</f>
        <v>CHINT</v>
      </c>
      <c r="L1118" s="5">
        <f t="shared" si="137"/>
        <v>7500.5999999999995</v>
      </c>
      <c r="M1118" s="5"/>
      <c r="N1118" s="5"/>
      <c r="O1118" s="5"/>
      <c r="P1118" s="5" t="str">
        <f>IF($H1118="","FIYAT_YOK",IFERROR(VLOOKUP($D1118,FIYAT!$B:$P,15,FALSE()),""))</f>
        <v>OK</v>
      </c>
      <c r="Q1118" s="5" t="s">
        <v>196</v>
      </c>
      <c r="R1118" s="5" t="s">
        <v>171</v>
      </c>
      <c r="S1118" s="5" t="s">
        <v>637</v>
      </c>
      <c r="T1118" s="5" t="s">
        <v>47</v>
      </c>
      <c r="U1118" s="5">
        <f>IFERROR(VLOOKUP($T1118,KURALLAR!$A$32:$B$63,2,FALSE()),0)*IF(ISNUMBER($I1118),$I1118,0)</f>
        <v>27</v>
      </c>
    </row>
    <row r="1119" spans="1:21" x14ac:dyDescent="0.25">
      <c r="A1119" s="9">
        <v>1118</v>
      </c>
      <c r="B1119" s="9"/>
      <c r="C1119" s="9" t="s">
        <v>176</v>
      </c>
      <c r="D1119" s="9" t="s">
        <v>200</v>
      </c>
      <c r="E1119" s="9" t="str">
        <f>IFERROR(VLOOKUP($D1119,FIYAT!$B:$O,2,FALSE()),"")</f>
        <v>УЗО NL1-63 6kA 2P 16A 30mA тип AC (R)</v>
      </c>
      <c r="F1119" s="9">
        <f>IFERROR(VLOOKUP($D1119,FIYAT!$B:$O,5,FALSE()),"")</f>
        <v>10809</v>
      </c>
      <c r="G1119" s="9">
        <f>IFERROR(VLOOKUP($D1119,FIYAT!$B:$O,8,FALSE()),"")</f>
        <v>6485.4</v>
      </c>
      <c r="H1119" s="9">
        <f t="shared" si="136"/>
        <v>6485.4</v>
      </c>
      <c r="I1119" s="6">
        <v>1</v>
      </c>
      <c r="J1119" s="9" t="str">
        <f>IFERROR(VLOOKUP($D1119,FIYAT!$B:$O,9,FALSE()),"")</f>
        <v>Шт.</v>
      </c>
      <c r="K1119" s="9" t="str">
        <f>IFERROR(VLOOKUP($D1119,FIYAT!$B:$O,4,FALSE()),"")</f>
        <v>CHINT</v>
      </c>
      <c r="L1119" s="9">
        <f t="shared" si="137"/>
        <v>6485.4</v>
      </c>
      <c r="M1119" s="9"/>
      <c r="N1119" s="9"/>
      <c r="O1119" s="9"/>
      <c r="P1119" s="9" t="str">
        <f>IF($H1119="","FIYAT_YOK",IFERROR(VLOOKUP($D1119,FIYAT!$B:$P,15,FALSE()),""))</f>
        <v>OK</v>
      </c>
      <c r="Q1119" s="9" t="s">
        <v>202</v>
      </c>
      <c r="R1119" s="9" t="s">
        <v>171</v>
      </c>
      <c r="S1119" s="9" t="s">
        <v>637</v>
      </c>
      <c r="T1119" s="9" t="s">
        <v>55</v>
      </c>
      <c r="U1119" s="9">
        <f>IFERROR(VLOOKUP($T1119,KURALLAR!$A$32:$B$63,2,FALSE()),0)*IF(ISNUMBER($I1119),$I1119,0)</f>
        <v>6</v>
      </c>
    </row>
    <row r="1120" spans="1:21" x14ac:dyDescent="0.25">
      <c r="A1120" s="5">
        <v>1119</v>
      </c>
      <c r="B1120" s="5"/>
      <c r="C1120" s="5" t="s">
        <v>192</v>
      </c>
      <c r="D1120" s="5" t="s">
        <v>206</v>
      </c>
      <c r="E1120" s="5" t="str">
        <f>IFERROR(VLOOKUP($D1120,FIYAT!$B:$O,2,FALSE()),"")</f>
        <v>Авт. выкл. NXB-63 1P 10A 6кА х-ка C (R)</v>
      </c>
      <c r="F1120" s="5">
        <f>IFERROR(VLOOKUP($D1120,FIYAT!$B:$O,5,FALSE()),"")</f>
        <v>1362</v>
      </c>
      <c r="G1120" s="5">
        <f>IFERROR(VLOOKUP($D1120,FIYAT!$B:$O,8,FALSE()),"")</f>
        <v>817.19999999999993</v>
      </c>
      <c r="H1120" s="5">
        <f t="shared" si="136"/>
        <v>10623.599999999999</v>
      </c>
      <c r="I1120" s="6">
        <v>13</v>
      </c>
      <c r="J1120" s="5" t="str">
        <f>IFERROR(VLOOKUP($D1120,FIYAT!$B:$O,9,FALSE()),"")</f>
        <v>Шт.</v>
      </c>
      <c r="K1120" s="5" t="str">
        <f>IFERROR(VLOOKUP($D1120,FIYAT!$B:$O,4,FALSE()),"")</f>
        <v>CHINT</v>
      </c>
      <c r="L1120" s="5">
        <f t="shared" si="137"/>
        <v>10623.599999999999</v>
      </c>
      <c r="M1120" s="5"/>
      <c r="N1120" s="5"/>
      <c r="O1120" s="5"/>
      <c r="P1120" s="5" t="str">
        <f>IF($H1120="","FIYAT_YOK",IFERROR(VLOOKUP($D1120,FIYAT!$B:$P,15,FALSE()),""))</f>
        <v>OK</v>
      </c>
      <c r="Q1120" s="5" t="s">
        <v>208</v>
      </c>
      <c r="R1120" s="5" t="s">
        <v>184</v>
      </c>
      <c r="S1120" s="5" t="s">
        <v>637</v>
      </c>
      <c r="T1120" s="5" t="s">
        <v>47</v>
      </c>
      <c r="U1120" s="5">
        <f>IFERROR(VLOOKUP($T1120,KURALLAR!$A$32:$B$63,2,FALSE()),0)*IF(ISNUMBER($I1120),$I1120,0)</f>
        <v>39</v>
      </c>
    </row>
    <row r="1121" spans="1:21" x14ac:dyDescent="0.25">
      <c r="A1121" s="9">
        <v>1120</v>
      </c>
      <c r="B1121" s="9"/>
      <c r="C1121" s="9" t="s">
        <v>93</v>
      </c>
      <c r="D1121" s="9" t="s">
        <v>209</v>
      </c>
      <c r="E1121" s="9" t="str">
        <f>IFERROR(VLOOKUP($D1121,FIYAT!$B:$O,2,FALSE()),"")</f>
        <v>Шина "N" нулевая 6х9мм на DIN-рейку в корпусном изоляторе ШНИ 12К IEK (10)</v>
      </c>
      <c r="F1121" s="9">
        <f>IFERROR(VLOOKUP($D1121,FIYAT!$B:$O,5,FALSE()),"")</f>
        <v>755</v>
      </c>
      <c r="G1121" s="9">
        <f>IFERROR(VLOOKUP($D1121,FIYAT!$B:$O,8,FALSE()),"")</f>
        <v>453</v>
      </c>
      <c r="H1121" s="9">
        <f t="shared" si="136"/>
        <v>1812</v>
      </c>
      <c r="I1121" s="6">
        <v>4</v>
      </c>
      <c r="J1121" s="9" t="str">
        <f>IFERROR(VLOOKUP($D1121,FIYAT!$B:$O,9,FALSE()),"")</f>
        <v>Шт.</v>
      </c>
      <c r="K1121" s="9" t="str">
        <f>IFERROR(VLOOKUP($D1121,FIYAT!$B:$O,4,FALSE()),"")</f>
        <v>KAZTEK</v>
      </c>
      <c r="L1121" s="9">
        <f t="shared" si="137"/>
        <v>1812</v>
      </c>
      <c r="M1121" s="9"/>
      <c r="N1121" s="9"/>
      <c r="O1121" s="9"/>
      <c r="P1121" s="9" t="str">
        <f>IF($H1121="","FIYAT_YOK",IFERROR(VLOOKUP($D1121,FIYAT!$B:$P,15,FALSE()),""))</f>
        <v>MUADIL</v>
      </c>
      <c r="Q1121" s="9" t="s">
        <v>212</v>
      </c>
      <c r="R1121" s="9" t="s">
        <v>211</v>
      </c>
      <c r="S1121" s="9" t="s">
        <v>637</v>
      </c>
      <c r="T1121" s="9" t="s">
        <v>93</v>
      </c>
      <c r="U1121" s="9">
        <f>IFERROR(VLOOKUP($T1121,KURALLAR!$A$32:$B$63,2,FALSE()),0)*IF(ISNUMBER($I1121),$I1121,0)</f>
        <v>32</v>
      </c>
    </row>
    <row r="1122" spans="1:21" x14ac:dyDescent="0.25">
      <c r="A1122" s="5">
        <v>1121</v>
      </c>
      <c r="B1122" s="5"/>
      <c r="C1122" s="5" t="s">
        <v>222</v>
      </c>
      <c r="D1122" s="5" t="s">
        <v>220</v>
      </c>
      <c r="E1122" s="5" t="str">
        <f>IFERROR(VLOOKUP($D1122,FIYAT!$B:$O,2,FALSE()),"")</f>
        <v>ЩМП (инд.) IP31 (650х500х150мм)</v>
      </c>
      <c r="F1122" s="5">
        <f>IFERROR(VLOOKUP($D1122,FIYAT!$B:$O,5,FALSE()),"")</f>
        <v>27825</v>
      </c>
      <c r="G1122" s="5">
        <f>IFERROR(VLOOKUP($D1122,FIYAT!$B:$O,8,FALSE()),"")</f>
        <v>16695</v>
      </c>
      <c r="H1122" s="5">
        <f t="shared" si="136"/>
        <v>16695</v>
      </c>
      <c r="I1122" s="6">
        <v>1</v>
      </c>
      <c r="J1122" s="5" t="str">
        <f>IFERROR(VLOOKUP($D1122,FIYAT!$B:$O,9,FALSE()),"")</f>
        <v>Шт.</v>
      </c>
      <c r="K1122" s="5" t="str">
        <f>IFERROR(VLOOKUP($D1122,FIYAT!$B:$O,4,FALSE()),"")</f>
        <v>KAZTEK</v>
      </c>
      <c r="L1122" s="5">
        <f t="shared" si="137"/>
        <v>16695</v>
      </c>
      <c r="M1122" s="5"/>
      <c r="N1122" s="5"/>
      <c r="O1122" s="5"/>
      <c r="P1122" s="5" t="str">
        <f>IF($H1122="","FIYAT_YOK",IFERROR(VLOOKUP($D1122,FIYAT!$B:$P,15,FALSE()),""))</f>
        <v>VARSAYIM</v>
      </c>
      <c r="Q1122" s="5" t="s">
        <v>223</v>
      </c>
      <c r="R1122" s="5" t="s">
        <v>211</v>
      </c>
      <c r="S1122" s="5" t="s">
        <v>637</v>
      </c>
      <c r="T1122" s="5" t="s">
        <v>105</v>
      </c>
      <c r="U1122" s="5">
        <f>IFERROR(VLOOKUP($T1122,KURALLAR!$A$32:$B$63,2,FALSE()),0)*IF(ISNUMBER($I1122),$I1122,0)</f>
        <v>30</v>
      </c>
    </row>
    <row r="1123" spans="1:21" x14ac:dyDescent="0.25">
      <c r="A1123" s="9">
        <v>1122</v>
      </c>
      <c r="B1123" s="9"/>
      <c r="C1123" s="9" t="s">
        <v>215</v>
      </c>
      <c r="D1123" s="9" t="s">
        <v>213</v>
      </c>
      <c r="E1123" s="9" t="str">
        <f>IFERROR(VLOOKUP($D1123,FIYAT!$B:$O,2,FALSE()),"")</f>
        <v>Монтажный расходный материал (кабель, DIN-рейка, кабель-канал, клеммы, маркировка, крепёж)</v>
      </c>
      <c r="F1123" s="9">
        <f>IFERROR(VLOOKUP($D1123,FIYAT!$B:$O,5,FALSE()),"")</f>
        <v>0</v>
      </c>
      <c r="G1123" s="9" t="str">
        <f>IFERROR(VLOOKUP($D1123,FIYAT!$B:$O,8,FALSE()),"")</f>
        <v/>
      </c>
      <c r="H1123" s="9">
        <f>ROUND(SUM($H$1111:$H$1122)*KURALLAR!$B$28,0)</f>
        <v>8998</v>
      </c>
      <c r="I1123" s="6">
        <v>1</v>
      </c>
      <c r="J1123" s="9" t="str">
        <f>IFERROR(VLOOKUP($D1123,FIYAT!$B:$O,9,FALSE()),"")</f>
        <v>компл.</v>
      </c>
      <c r="K1123" s="9" t="str">
        <f>IFERROR(VLOOKUP($D1123,FIYAT!$B:$O,4,FALSE()),"")</f>
        <v>MUADIL-NET</v>
      </c>
      <c r="L1123" s="9">
        <f t="shared" si="137"/>
        <v>8998</v>
      </c>
      <c r="M1123" s="9"/>
      <c r="N1123" s="9"/>
      <c r="O1123" s="9"/>
      <c r="P1123" s="9" t="str">
        <f>IF($H1123="","FIYAT_YOK",IFERROR(VLOOKUP($D1123,FIYAT!$B:$P,15,FALSE()),""))</f>
        <v>ORAN</v>
      </c>
      <c r="Q1123" s="9" t="s">
        <v>218</v>
      </c>
      <c r="R1123" s="9" t="s">
        <v>217</v>
      </c>
      <c r="S1123" s="9" t="s">
        <v>637</v>
      </c>
      <c r="T1123" s="9"/>
      <c r="U1123" s="9">
        <v>0</v>
      </c>
    </row>
    <row r="1124" spans="1:21" x14ac:dyDescent="0.25">
      <c r="A1124" s="5">
        <v>1123</v>
      </c>
      <c r="B1124" s="5"/>
      <c r="C1124" s="5" t="s">
        <v>227</v>
      </c>
      <c r="D1124" s="5" t="s">
        <v>225</v>
      </c>
      <c r="E1124" s="5" t="str">
        <f>IFERROR(VLOOKUP($D1124,FIYAT!$B:$O,2,FALSE()),"")</f>
        <v>Сборка, кабелирование, маркировка, момент затяжки, испытания</v>
      </c>
      <c r="F1124" s="5">
        <f>IFERROR(VLOOKUP($D1124,FIYAT!$B:$O,5,FALSE()),"")</f>
        <v>100</v>
      </c>
      <c r="G1124" s="5">
        <f>IFERROR(VLOOKUP($D1124,FIYAT!$B:$O,8,FALSE()),"")</f>
        <v>100</v>
      </c>
      <c r="H1124" s="5">
        <f>IF(OR($G1124="",$I1124=""),"",$G1124*$I1124)</f>
        <v>24200</v>
      </c>
      <c r="I1124" s="6">
        <f>ROUND(SUM($U$1111:$U$1123)*KURALLAR!$B$27,0)</f>
        <v>242</v>
      </c>
      <c r="J1124" s="5" t="str">
        <f>IFERROR(VLOOKUP($D1124,FIYAT!$B:$O,9,FALSE()),"")</f>
        <v>мин</v>
      </c>
      <c r="K1124" s="5" t="str">
        <f>IFERROR(VLOOKUP($D1124,FIYAT!$B:$O,4,FALSE()),"")</f>
        <v>ISCILIK</v>
      </c>
      <c r="L1124" s="5">
        <f t="shared" si="137"/>
        <v>24200</v>
      </c>
      <c r="M1124" s="5"/>
      <c r="N1124" s="5"/>
      <c r="O1124" s="5"/>
      <c r="P1124" s="5" t="str">
        <f>IF($H1124="","FIYAT_YOK",IFERROR(VLOOKUP($D1124,FIYAT!$B:$P,15,FALSE()),""))</f>
        <v>OK</v>
      </c>
      <c r="Q1124" s="5" t="str">
        <f>CONCATENATE("montaj+test iscilik: ",TEXT($I1124,"# ##0")," dk = ",TEXT($I1124/60,"0,00")," saat (norm x test/etiket carpani)")</f>
        <v>montaj+test iscilik:  242 dk = 4,03 saat (norm x test/etiket carpani)</v>
      </c>
      <c r="R1124" s="5" t="s">
        <v>229</v>
      </c>
      <c r="S1124" s="5" t="s">
        <v>637</v>
      </c>
      <c r="T1124" s="5"/>
      <c r="U1124" s="5">
        <v>0</v>
      </c>
    </row>
    <row r="1125" spans="1:21" x14ac:dyDescent="0.25">
      <c r="A1125" s="10">
        <v>1124</v>
      </c>
      <c r="B1125" s="10" t="s">
        <v>688</v>
      </c>
      <c r="C1125" s="10"/>
      <c r="D1125" s="10"/>
      <c r="E1125" s="10"/>
      <c r="F1125" s="10"/>
      <c r="G1125" s="10"/>
      <c r="H1125" s="10">
        <f>SUBTOTAL(9,H1111:H1124)</f>
        <v>161737.79999999999</v>
      </c>
      <c r="I1125" s="10"/>
      <c r="J1125" s="10"/>
      <c r="K1125" s="10"/>
      <c r="L1125" s="10">
        <f>SUBTOTAL(9,L1111:L1124)</f>
        <v>161737.79999999999</v>
      </c>
      <c r="M1125" s="10"/>
      <c r="N1125" s="10"/>
      <c r="O1125" s="10"/>
      <c r="P1125" s="10"/>
      <c r="Q1125" s="10"/>
      <c r="R1125" s="10"/>
      <c r="S1125" s="10"/>
      <c r="T1125" s="10"/>
      <c r="U1125" s="10">
        <f>SUBTOTAL(9,U1111:U1124)</f>
        <v>210</v>
      </c>
    </row>
    <row r="1126" spans="1:21" x14ac:dyDescent="0.25">
      <c r="A1126" s="8">
        <v>1125</v>
      </c>
      <c r="B1126" s="8" t="str">
        <f>E1126</f>
        <v>BLOK B / 16F-ИБП.1 — НКУ 380/220В 50Гц, FORM 2B, IP31/54</v>
      </c>
      <c r="C1126" s="8" t="s">
        <v>545</v>
      </c>
      <c r="D1126" s="8"/>
      <c r="E1126" s="8" t="s">
        <v>689</v>
      </c>
      <c r="F1126" s="8"/>
      <c r="G1126" s="8"/>
      <c r="H1126" s="8"/>
      <c r="I1126" s="8">
        <v>1</v>
      </c>
      <c r="J1126" s="8" t="s">
        <v>547</v>
      </c>
      <c r="K1126" s="8"/>
      <c r="L1126" s="8"/>
      <c r="M1126" s="8"/>
      <c r="N1126" s="8"/>
      <c r="O1126" s="8"/>
      <c r="P1126" s="8" t="s">
        <v>178</v>
      </c>
      <c r="Q1126" s="8" t="s">
        <v>548</v>
      </c>
      <c r="R1126" s="8" t="s">
        <v>549</v>
      </c>
      <c r="S1126" s="8" t="s">
        <v>637</v>
      </c>
      <c r="T1126" s="8"/>
      <c r="U1126" s="8"/>
    </row>
    <row r="1127" spans="1:21" x14ac:dyDescent="0.25">
      <c r="A1127" s="9">
        <v>1126</v>
      </c>
      <c r="B1127" s="9"/>
      <c r="C1127" s="9" t="s">
        <v>169</v>
      </c>
      <c r="D1127" s="9" t="s">
        <v>167</v>
      </c>
      <c r="E1127" s="9" t="str">
        <f>IFERROR(VLOOKUP($D1127,FIYAT!$B:$O,2,FALSE()),"")</f>
        <v>Авт. выкл. NM8N-125C TM 3P 32А 36кА с рег. термомаг. расцепителем (R)</v>
      </c>
      <c r="F1127" s="9">
        <f>IFERROR(VLOOKUP($D1127,FIYAT!$B:$O,5,FALSE()),"")</f>
        <v>64667</v>
      </c>
      <c r="G1127" s="9">
        <f>IFERROR(VLOOKUP($D1127,FIYAT!$B:$O,8,FALSE()),"")</f>
        <v>38800.199999999997</v>
      </c>
      <c r="H1127" s="9">
        <f t="shared" ref="H1127:H1138" si="138">IF(OR($G1127="",$I1127=""),"",$G1127*$I1127)</f>
        <v>38800.199999999997</v>
      </c>
      <c r="I1127" s="6">
        <v>1</v>
      </c>
      <c r="J1127" s="9" t="str">
        <f>IFERROR(VLOOKUP($D1127,FIYAT!$B:$O,9,FALSE()),"")</f>
        <v>Шт.</v>
      </c>
      <c r="K1127" s="9" t="str">
        <f>IFERROR(VLOOKUP($D1127,FIYAT!$B:$O,4,FALSE()),"")</f>
        <v>CHINT</v>
      </c>
      <c r="L1127" s="9">
        <f t="shared" ref="L1127:L1140" si="139">IF($H1127="","",$H1127)</f>
        <v>38800.199999999997</v>
      </c>
      <c r="M1127" s="9"/>
      <c r="N1127" s="9"/>
      <c r="O1127" s="9"/>
      <c r="P1127" s="9" t="str">
        <f>IF($H1127="","FIYAT_YOK",IFERROR(VLOOKUP($D1127,FIYAT!$B:$P,15,FALSE()),""))</f>
        <v>MUADIL</v>
      </c>
      <c r="Q1127" s="9" t="s">
        <v>172</v>
      </c>
      <c r="R1127" s="9" t="s">
        <v>171</v>
      </c>
      <c r="S1127" s="9" t="s">
        <v>637</v>
      </c>
      <c r="T1127" s="9" t="s">
        <v>61</v>
      </c>
      <c r="U1127" s="9">
        <f>IFERROR(VLOOKUP($T1127,KURALLAR!$A$32:$B$63,2,FALSE()),0)*IF(ISNUMBER($I1127),$I1127,0)</f>
        <v>15</v>
      </c>
    </row>
    <row r="1128" spans="1:21" x14ac:dyDescent="0.25">
      <c r="A1128" s="5">
        <v>1127</v>
      </c>
      <c r="B1128" s="5"/>
      <c r="C1128" s="5" t="s">
        <v>176</v>
      </c>
      <c r="D1128" s="5" t="s">
        <v>174</v>
      </c>
      <c r="E1128" s="5" t="str">
        <f>IFERROR(VLOOKUP($D1128,FIYAT!$B:$O,2,FALSE()),"")</f>
        <v>УЗО NL1-63 6kA 4P 63A 300mA тип AC (R)</v>
      </c>
      <c r="F1128" s="5">
        <f>IFERROR(VLOOKUP($D1128,FIYAT!$B:$O,5,FALSE()),"")</f>
        <v>18106</v>
      </c>
      <c r="G1128" s="5">
        <f>IFERROR(VLOOKUP($D1128,FIYAT!$B:$O,8,FALSE()),"")</f>
        <v>10863.6</v>
      </c>
      <c r="H1128" s="5">
        <f t="shared" si="138"/>
        <v>10863.6</v>
      </c>
      <c r="I1128" s="6">
        <v>1</v>
      </c>
      <c r="J1128" s="5" t="str">
        <f>IFERROR(VLOOKUP($D1128,FIYAT!$B:$O,9,FALSE()),"")</f>
        <v>Шт.</v>
      </c>
      <c r="K1128" s="5" t="str">
        <f>IFERROR(VLOOKUP($D1128,FIYAT!$B:$O,4,FALSE()),"")</f>
        <v>CHINT</v>
      </c>
      <c r="L1128" s="5">
        <f t="shared" si="139"/>
        <v>10863.6</v>
      </c>
      <c r="M1128" s="5"/>
      <c r="N1128" s="5"/>
      <c r="O1128" s="5"/>
      <c r="P1128" s="5" t="str">
        <f>IF($H1128="","FIYAT_YOK",IFERROR(VLOOKUP($D1128,FIYAT!$B:$P,15,FALSE()),""))</f>
        <v>OK</v>
      </c>
      <c r="Q1128" s="5" t="s">
        <v>177</v>
      </c>
      <c r="R1128" s="5" t="s">
        <v>171</v>
      </c>
      <c r="S1128" s="5" t="s">
        <v>637</v>
      </c>
      <c r="T1128" s="5" t="s">
        <v>57</v>
      </c>
      <c r="U1128" s="5">
        <f>IFERROR(VLOOKUP($T1128,KURALLAR!$A$32:$B$63,2,FALSE()),0)*IF(ISNUMBER($I1128),$I1128,0)</f>
        <v>10</v>
      </c>
    </row>
    <row r="1129" spans="1:21" x14ac:dyDescent="0.25">
      <c r="A1129" s="9">
        <v>1128</v>
      </c>
      <c r="B1129" s="9"/>
      <c r="C1129" s="9" t="s">
        <v>79</v>
      </c>
      <c r="D1129" s="9" t="s">
        <v>179</v>
      </c>
      <c r="E1129" s="9" t="str">
        <f>IFERROR(VLOOKUP($D1129,FIYAT!$B:$O,2,FALSE()),"")</f>
        <v>Держатель плавкой вставки RT36-00-160, габарит 00, 160А</v>
      </c>
      <c r="F1129" s="9">
        <f>IFERROR(VLOOKUP($D1129,FIYAT!$B:$O,5,FALSE()),"")</f>
        <v>2038</v>
      </c>
      <c r="G1129" s="9">
        <f>IFERROR(VLOOKUP($D1129,FIYAT!$B:$O,8,FALSE()),"")</f>
        <v>1222.8</v>
      </c>
      <c r="H1129" s="9">
        <f t="shared" si="138"/>
        <v>4891.2</v>
      </c>
      <c r="I1129" s="6">
        <v>4</v>
      </c>
      <c r="J1129" s="9" t="str">
        <f>IFERROR(VLOOKUP($D1129,FIYAT!$B:$O,9,FALSE()),"")</f>
        <v>Шт.</v>
      </c>
      <c r="K1129" s="9" t="str">
        <f>IFERROR(VLOOKUP($D1129,FIYAT!$B:$O,4,FALSE()),"")</f>
        <v>CHINT</v>
      </c>
      <c r="L1129" s="9">
        <f t="shared" si="139"/>
        <v>4891.2</v>
      </c>
      <c r="M1129" s="9"/>
      <c r="N1129" s="9"/>
      <c r="O1129" s="9"/>
      <c r="P1129" s="9" t="str">
        <f>IF($H1129="","FIYAT_YOK",IFERROR(VLOOKUP($D1129,FIYAT!$B:$P,15,FALSE()),""))</f>
        <v>MUADIL</v>
      </c>
      <c r="Q1129" s="9" t="s">
        <v>181</v>
      </c>
      <c r="R1129" s="9" t="s">
        <v>171</v>
      </c>
      <c r="S1129" s="9" t="s">
        <v>637</v>
      </c>
      <c r="T1129" s="9" t="s">
        <v>77</v>
      </c>
      <c r="U1129" s="9">
        <f>IFERROR(VLOOKUP($T1129,KURALLAR!$A$32:$B$63,2,FALSE()),0)*IF(ISNUMBER($I1129),$I1129,0)</f>
        <v>20</v>
      </c>
    </row>
    <row r="1130" spans="1:21" x14ac:dyDescent="0.25">
      <c r="A1130" s="5">
        <v>1129</v>
      </c>
      <c r="B1130" s="5"/>
      <c r="C1130" s="5" t="s">
        <v>79</v>
      </c>
      <c r="D1130" s="5" t="s">
        <v>182</v>
      </c>
      <c r="E1130" s="5" t="str">
        <f>IFERROR(VLOOKUP($D1130,FIYAT!$B:$O,2,FALSE()),"")</f>
        <v>Плавкая вставка предохранителя RT36-00-160, габарит 00, 63А</v>
      </c>
      <c r="F1130" s="5">
        <f>IFERROR(VLOOKUP($D1130,FIYAT!$B:$O,5,FALSE()),"")</f>
        <v>1525</v>
      </c>
      <c r="G1130" s="5">
        <f>IFERROR(VLOOKUP($D1130,FIYAT!$B:$O,8,FALSE()),"")</f>
        <v>915</v>
      </c>
      <c r="H1130" s="5">
        <f t="shared" si="138"/>
        <v>3660</v>
      </c>
      <c r="I1130" s="6">
        <v>4</v>
      </c>
      <c r="J1130" s="5" t="str">
        <f>IFERROR(VLOOKUP($D1130,FIYAT!$B:$O,9,FALSE()),"")</f>
        <v>Шт.</v>
      </c>
      <c r="K1130" s="5" t="str">
        <f>IFERROR(VLOOKUP($D1130,FIYAT!$B:$O,4,FALSE()),"")</f>
        <v>CHINT</v>
      </c>
      <c r="L1130" s="5">
        <f t="shared" si="139"/>
        <v>3660</v>
      </c>
      <c r="M1130" s="5"/>
      <c r="N1130" s="5"/>
      <c r="O1130" s="5"/>
      <c r="P1130" s="5" t="str">
        <f>IF($H1130="","FIYAT_YOK",IFERROR(VLOOKUP($D1130,FIYAT!$B:$P,15,FALSE()),""))</f>
        <v>MUADIL</v>
      </c>
      <c r="Q1130" s="5" t="s">
        <v>185</v>
      </c>
      <c r="R1130" s="5" t="s">
        <v>184</v>
      </c>
      <c r="S1130" s="5" t="s">
        <v>637</v>
      </c>
      <c r="T1130" s="5" t="s">
        <v>79</v>
      </c>
      <c r="U1130" s="5">
        <f>IFERROR(VLOOKUP($T1130,KURALLAR!$A$32:$B$63,2,FALSE()),0)*IF(ISNUMBER($I1130),$I1130,0)</f>
        <v>12</v>
      </c>
    </row>
    <row r="1131" spans="1:21" x14ac:dyDescent="0.25">
      <c r="A1131" s="9">
        <v>1130</v>
      </c>
      <c r="B1131" s="9"/>
      <c r="C1131" s="9" t="s">
        <v>75</v>
      </c>
      <c r="D1131" s="9" t="s">
        <v>186</v>
      </c>
      <c r="E1131" s="9" t="str">
        <f>IFERROR(VLOOKUP($D1131,FIYAT!$B:$O,2,FALSE()),"")</f>
        <v>Ограничитель имп. перенапр. NU6-IIG 4Р In=25kA Uc=440B Im=65kA (R)</v>
      </c>
      <c r="F1131" s="9">
        <f>IFERROR(VLOOKUP($D1131,FIYAT!$B:$O,5,FALSE()),"")</f>
        <v>33208</v>
      </c>
      <c r="G1131" s="9">
        <f>IFERROR(VLOOKUP($D1131,FIYAT!$B:$O,8,FALSE()),"")</f>
        <v>19924.8</v>
      </c>
      <c r="H1131" s="9">
        <f t="shared" si="138"/>
        <v>19924.8</v>
      </c>
      <c r="I1131" s="6">
        <v>1</v>
      </c>
      <c r="J1131" s="9" t="str">
        <f>IFERROR(VLOOKUP($D1131,FIYAT!$B:$O,9,FALSE()),"")</f>
        <v>Шт.</v>
      </c>
      <c r="K1131" s="9" t="str">
        <f>IFERROR(VLOOKUP($D1131,FIYAT!$B:$O,4,FALSE()),"")</f>
        <v>CHINT</v>
      </c>
      <c r="L1131" s="9">
        <f t="shared" si="139"/>
        <v>19924.8</v>
      </c>
      <c r="M1131" s="9"/>
      <c r="N1131" s="9"/>
      <c r="O1131" s="9"/>
      <c r="P1131" s="9" t="str">
        <f>IF($H1131="","FIYAT_YOK",IFERROR(VLOOKUP($D1131,FIYAT!$B:$P,15,FALSE()),""))</f>
        <v>MUADIL_ONAY</v>
      </c>
      <c r="Q1131" s="9" t="s">
        <v>188</v>
      </c>
      <c r="R1131" s="9" t="s">
        <v>184</v>
      </c>
      <c r="S1131" s="9" t="s">
        <v>637</v>
      </c>
      <c r="T1131" s="9" t="s">
        <v>75</v>
      </c>
      <c r="U1131" s="9">
        <f>IFERROR(VLOOKUP($T1131,KURALLAR!$A$32:$B$63,2,FALSE()),0)*IF(ISNUMBER($I1131),$I1131,0)</f>
        <v>10</v>
      </c>
    </row>
    <row r="1132" spans="1:21" x14ac:dyDescent="0.25">
      <c r="A1132" s="5">
        <v>1131</v>
      </c>
      <c r="B1132" s="5"/>
      <c r="C1132" s="5" t="s">
        <v>192</v>
      </c>
      <c r="D1132" s="5" t="s">
        <v>190</v>
      </c>
      <c r="E1132" s="5" t="str">
        <f>IFERROR(VLOOKUP($D1132,FIYAT!$B:$O,2,FALSE()),"")</f>
        <v>Авт. выкл. NXB-63 3P 25A 6кА х-ка C (R)</v>
      </c>
      <c r="F1132" s="5">
        <f>IFERROR(VLOOKUP($D1132,FIYAT!$B:$O,5,FALSE()),"")</f>
        <v>5334</v>
      </c>
      <c r="G1132" s="5">
        <f>IFERROR(VLOOKUP($D1132,FIYAT!$B:$O,8,FALSE()),"")</f>
        <v>3200.4</v>
      </c>
      <c r="H1132" s="5">
        <f t="shared" si="138"/>
        <v>3200.4</v>
      </c>
      <c r="I1132" s="6">
        <v>1</v>
      </c>
      <c r="J1132" s="5" t="str">
        <f>IFERROR(VLOOKUP($D1132,FIYAT!$B:$O,9,FALSE()),"")</f>
        <v>Шт.</v>
      </c>
      <c r="K1132" s="5" t="str">
        <f>IFERROR(VLOOKUP($D1132,FIYAT!$B:$O,4,FALSE()),"")</f>
        <v>CHINT</v>
      </c>
      <c r="L1132" s="5">
        <f t="shared" si="139"/>
        <v>3200.4</v>
      </c>
      <c r="M1132" s="5"/>
      <c r="N1132" s="5"/>
      <c r="O1132" s="5"/>
      <c r="P1132" s="5" t="str">
        <f>IF($H1132="","FIYAT_YOK",IFERROR(VLOOKUP($D1132,FIYAT!$B:$P,15,FALSE()),""))</f>
        <v>OK</v>
      </c>
      <c r="Q1132" s="5" t="s">
        <v>193</v>
      </c>
      <c r="R1132" s="5" t="s">
        <v>171</v>
      </c>
      <c r="S1132" s="5" t="s">
        <v>637</v>
      </c>
      <c r="T1132" s="5" t="s">
        <v>51</v>
      </c>
      <c r="U1132" s="5">
        <f>IFERROR(VLOOKUP($T1132,KURALLAR!$A$32:$B$63,2,FALSE()),0)*IF(ISNUMBER($I1132),$I1132,0)</f>
        <v>8</v>
      </c>
    </row>
    <row r="1133" spans="1:21" x14ac:dyDescent="0.25">
      <c r="A1133" s="9">
        <v>1132</v>
      </c>
      <c r="B1133" s="9"/>
      <c r="C1133" s="9" t="s">
        <v>176</v>
      </c>
      <c r="D1133" s="9" t="s">
        <v>197</v>
      </c>
      <c r="E1133" s="9" t="str">
        <f>IFERROR(VLOOKUP($D1133,FIYAT!$B:$O,2,FALSE()),"")</f>
        <v>УЗО NL1-63 6kA 4P 25A 30mA тип AC (R)</v>
      </c>
      <c r="F1133" s="9">
        <f>IFERROR(VLOOKUP($D1133,FIYAT!$B:$O,5,FALSE()),"")</f>
        <v>18338</v>
      </c>
      <c r="G1133" s="9">
        <f>IFERROR(VLOOKUP($D1133,FIYAT!$B:$O,8,FALSE()),"")</f>
        <v>11002.8</v>
      </c>
      <c r="H1133" s="9">
        <f t="shared" si="138"/>
        <v>11002.8</v>
      </c>
      <c r="I1133" s="6">
        <v>1</v>
      </c>
      <c r="J1133" s="9" t="str">
        <f>IFERROR(VLOOKUP($D1133,FIYAT!$B:$O,9,FALSE()),"")</f>
        <v>Шт.</v>
      </c>
      <c r="K1133" s="9" t="str">
        <f>IFERROR(VLOOKUP($D1133,FIYAT!$B:$O,4,FALSE()),"")</f>
        <v>CHINT</v>
      </c>
      <c r="L1133" s="9">
        <f t="shared" si="139"/>
        <v>11002.8</v>
      </c>
      <c r="M1133" s="9"/>
      <c r="N1133" s="9"/>
      <c r="O1133" s="9"/>
      <c r="P1133" s="9" t="str">
        <f>IF($H1133="","FIYAT_YOK",IFERROR(VLOOKUP($D1133,FIYAT!$B:$P,15,FALSE()),""))</f>
        <v>OK</v>
      </c>
      <c r="Q1133" s="9" t="s">
        <v>199</v>
      </c>
      <c r="R1133" s="9" t="s">
        <v>171</v>
      </c>
      <c r="S1133" s="9" t="s">
        <v>637</v>
      </c>
      <c r="T1133" s="9" t="s">
        <v>57</v>
      </c>
      <c r="U1133" s="9">
        <f>IFERROR(VLOOKUP($T1133,KURALLAR!$A$32:$B$63,2,FALSE()),0)*IF(ISNUMBER($I1133),$I1133,0)</f>
        <v>10</v>
      </c>
    </row>
    <row r="1134" spans="1:21" x14ac:dyDescent="0.25">
      <c r="A1134" s="5">
        <v>1133</v>
      </c>
      <c r="B1134" s="5"/>
      <c r="C1134" s="5" t="s">
        <v>192</v>
      </c>
      <c r="D1134" s="5" t="s">
        <v>194</v>
      </c>
      <c r="E1134" s="5" t="str">
        <f>IFERROR(VLOOKUP($D1134,FIYAT!$B:$O,2,FALSE()),"")</f>
        <v>Авт. выкл. NXB-63 1P 16A 6кА х-ка C (R)</v>
      </c>
      <c r="F1134" s="5">
        <f>IFERROR(VLOOKUP($D1134,FIYAT!$B:$O,5,FALSE()),"")</f>
        <v>1389</v>
      </c>
      <c r="G1134" s="5">
        <f>IFERROR(VLOOKUP($D1134,FIYAT!$B:$O,8,FALSE()),"")</f>
        <v>833.4</v>
      </c>
      <c r="H1134" s="5">
        <f t="shared" si="138"/>
        <v>7500.5999999999995</v>
      </c>
      <c r="I1134" s="6">
        <v>9</v>
      </c>
      <c r="J1134" s="5" t="str">
        <f>IFERROR(VLOOKUP($D1134,FIYAT!$B:$O,9,FALSE()),"")</f>
        <v>Шт.</v>
      </c>
      <c r="K1134" s="5" t="str">
        <f>IFERROR(VLOOKUP($D1134,FIYAT!$B:$O,4,FALSE()),"")</f>
        <v>CHINT</v>
      </c>
      <c r="L1134" s="5">
        <f t="shared" si="139"/>
        <v>7500.5999999999995</v>
      </c>
      <c r="M1134" s="5"/>
      <c r="N1134" s="5"/>
      <c r="O1134" s="5"/>
      <c r="P1134" s="5" t="str">
        <f>IF($H1134="","FIYAT_YOK",IFERROR(VLOOKUP($D1134,FIYAT!$B:$P,15,FALSE()),""))</f>
        <v>OK</v>
      </c>
      <c r="Q1134" s="5" t="s">
        <v>196</v>
      </c>
      <c r="R1134" s="5" t="s">
        <v>171</v>
      </c>
      <c r="S1134" s="5" t="s">
        <v>637</v>
      </c>
      <c r="T1134" s="5" t="s">
        <v>47</v>
      </c>
      <c r="U1134" s="5">
        <f>IFERROR(VLOOKUP($T1134,KURALLAR!$A$32:$B$63,2,FALSE()),0)*IF(ISNUMBER($I1134),$I1134,0)</f>
        <v>27</v>
      </c>
    </row>
    <row r="1135" spans="1:21" x14ac:dyDescent="0.25">
      <c r="A1135" s="9">
        <v>1134</v>
      </c>
      <c r="B1135" s="9"/>
      <c r="C1135" s="9" t="s">
        <v>176</v>
      </c>
      <c r="D1135" s="9" t="s">
        <v>200</v>
      </c>
      <c r="E1135" s="9" t="str">
        <f>IFERROR(VLOOKUP($D1135,FIYAT!$B:$O,2,FALSE()),"")</f>
        <v>УЗО NL1-63 6kA 2P 16A 30mA тип AC (R)</v>
      </c>
      <c r="F1135" s="9">
        <f>IFERROR(VLOOKUP($D1135,FIYAT!$B:$O,5,FALSE()),"")</f>
        <v>10809</v>
      </c>
      <c r="G1135" s="9">
        <f>IFERROR(VLOOKUP($D1135,FIYAT!$B:$O,8,FALSE()),"")</f>
        <v>6485.4</v>
      </c>
      <c r="H1135" s="9">
        <f t="shared" si="138"/>
        <v>6485.4</v>
      </c>
      <c r="I1135" s="6">
        <v>1</v>
      </c>
      <c r="J1135" s="9" t="str">
        <f>IFERROR(VLOOKUP($D1135,FIYAT!$B:$O,9,FALSE()),"")</f>
        <v>Шт.</v>
      </c>
      <c r="K1135" s="9" t="str">
        <f>IFERROR(VLOOKUP($D1135,FIYAT!$B:$O,4,FALSE()),"")</f>
        <v>CHINT</v>
      </c>
      <c r="L1135" s="9">
        <f t="shared" si="139"/>
        <v>6485.4</v>
      </c>
      <c r="M1135" s="9"/>
      <c r="N1135" s="9"/>
      <c r="O1135" s="9"/>
      <c r="P1135" s="9" t="str">
        <f>IF($H1135="","FIYAT_YOK",IFERROR(VLOOKUP($D1135,FIYAT!$B:$P,15,FALSE()),""))</f>
        <v>OK</v>
      </c>
      <c r="Q1135" s="9" t="s">
        <v>202</v>
      </c>
      <c r="R1135" s="9" t="s">
        <v>171</v>
      </c>
      <c r="S1135" s="9" t="s">
        <v>637</v>
      </c>
      <c r="T1135" s="9" t="s">
        <v>55</v>
      </c>
      <c r="U1135" s="9">
        <f>IFERROR(VLOOKUP($T1135,KURALLAR!$A$32:$B$63,2,FALSE()),0)*IF(ISNUMBER($I1135),$I1135,0)</f>
        <v>6</v>
      </c>
    </row>
    <row r="1136" spans="1:21" x14ac:dyDescent="0.25">
      <c r="A1136" s="5">
        <v>1135</v>
      </c>
      <c r="B1136" s="5"/>
      <c r="C1136" s="5" t="s">
        <v>192</v>
      </c>
      <c r="D1136" s="5" t="s">
        <v>206</v>
      </c>
      <c r="E1136" s="5" t="str">
        <f>IFERROR(VLOOKUP($D1136,FIYAT!$B:$O,2,FALSE()),"")</f>
        <v>Авт. выкл. NXB-63 1P 10A 6кА х-ка C (R)</v>
      </c>
      <c r="F1136" s="5">
        <f>IFERROR(VLOOKUP($D1136,FIYAT!$B:$O,5,FALSE()),"")</f>
        <v>1362</v>
      </c>
      <c r="G1136" s="5">
        <f>IFERROR(VLOOKUP($D1136,FIYAT!$B:$O,8,FALSE()),"")</f>
        <v>817.19999999999993</v>
      </c>
      <c r="H1136" s="5">
        <f t="shared" si="138"/>
        <v>11440.8</v>
      </c>
      <c r="I1136" s="6">
        <v>14</v>
      </c>
      <c r="J1136" s="5" t="str">
        <f>IFERROR(VLOOKUP($D1136,FIYAT!$B:$O,9,FALSE()),"")</f>
        <v>Шт.</v>
      </c>
      <c r="K1136" s="5" t="str">
        <f>IFERROR(VLOOKUP($D1136,FIYAT!$B:$O,4,FALSE()),"")</f>
        <v>CHINT</v>
      </c>
      <c r="L1136" s="5">
        <f t="shared" si="139"/>
        <v>11440.8</v>
      </c>
      <c r="M1136" s="5"/>
      <c r="N1136" s="5"/>
      <c r="O1136" s="5"/>
      <c r="P1136" s="5" t="str">
        <f>IF($H1136="","FIYAT_YOK",IFERROR(VLOOKUP($D1136,FIYAT!$B:$P,15,FALSE()),""))</f>
        <v>OK</v>
      </c>
      <c r="Q1136" s="5" t="s">
        <v>208</v>
      </c>
      <c r="R1136" s="5" t="s">
        <v>184</v>
      </c>
      <c r="S1136" s="5" t="s">
        <v>637</v>
      </c>
      <c r="T1136" s="5" t="s">
        <v>47</v>
      </c>
      <c r="U1136" s="5">
        <f>IFERROR(VLOOKUP($T1136,KURALLAR!$A$32:$B$63,2,FALSE()),0)*IF(ISNUMBER($I1136),$I1136,0)</f>
        <v>42</v>
      </c>
    </row>
    <row r="1137" spans="1:21" x14ac:dyDescent="0.25">
      <c r="A1137" s="9">
        <v>1136</v>
      </c>
      <c r="B1137" s="9"/>
      <c r="C1137" s="9" t="s">
        <v>93</v>
      </c>
      <c r="D1137" s="9" t="s">
        <v>209</v>
      </c>
      <c r="E1137" s="9" t="str">
        <f>IFERROR(VLOOKUP($D1137,FIYAT!$B:$O,2,FALSE()),"")</f>
        <v>Шина "N" нулевая 6х9мм на DIN-рейку в корпусном изоляторе ШНИ 12К IEK (10)</v>
      </c>
      <c r="F1137" s="9">
        <f>IFERROR(VLOOKUP($D1137,FIYAT!$B:$O,5,FALSE()),"")</f>
        <v>755</v>
      </c>
      <c r="G1137" s="9">
        <f>IFERROR(VLOOKUP($D1137,FIYAT!$B:$O,8,FALSE()),"")</f>
        <v>453</v>
      </c>
      <c r="H1137" s="9">
        <f t="shared" si="138"/>
        <v>1812</v>
      </c>
      <c r="I1137" s="6">
        <v>4</v>
      </c>
      <c r="J1137" s="9" t="str">
        <f>IFERROR(VLOOKUP($D1137,FIYAT!$B:$O,9,FALSE()),"")</f>
        <v>Шт.</v>
      </c>
      <c r="K1137" s="9" t="str">
        <f>IFERROR(VLOOKUP($D1137,FIYAT!$B:$O,4,FALSE()),"")</f>
        <v>KAZTEK</v>
      </c>
      <c r="L1137" s="9">
        <f t="shared" si="139"/>
        <v>1812</v>
      </c>
      <c r="M1137" s="9"/>
      <c r="N1137" s="9"/>
      <c r="O1137" s="9"/>
      <c r="P1137" s="9" t="str">
        <f>IF($H1137="","FIYAT_YOK",IFERROR(VLOOKUP($D1137,FIYAT!$B:$P,15,FALSE()),""))</f>
        <v>MUADIL</v>
      </c>
      <c r="Q1137" s="9" t="s">
        <v>212</v>
      </c>
      <c r="R1137" s="9" t="s">
        <v>211</v>
      </c>
      <c r="S1137" s="9" t="s">
        <v>637</v>
      </c>
      <c r="T1137" s="9" t="s">
        <v>93</v>
      </c>
      <c r="U1137" s="9">
        <f>IFERROR(VLOOKUP($T1137,KURALLAR!$A$32:$B$63,2,FALSE()),0)*IF(ISNUMBER($I1137),$I1137,0)</f>
        <v>32</v>
      </c>
    </row>
    <row r="1138" spans="1:21" x14ac:dyDescent="0.25">
      <c r="A1138" s="5">
        <v>1137</v>
      </c>
      <c r="B1138" s="5"/>
      <c r="C1138" s="5" t="s">
        <v>222</v>
      </c>
      <c r="D1138" s="5" t="s">
        <v>220</v>
      </c>
      <c r="E1138" s="5" t="str">
        <f>IFERROR(VLOOKUP($D1138,FIYAT!$B:$O,2,FALSE()),"")</f>
        <v>ЩМП (инд.) IP31 (650х500х150мм)</v>
      </c>
      <c r="F1138" s="5">
        <f>IFERROR(VLOOKUP($D1138,FIYAT!$B:$O,5,FALSE()),"")</f>
        <v>27825</v>
      </c>
      <c r="G1138" s="5">
        <f>IFERROR(VLOOKUP($D1138,FIYAT!$B:$O,8,FALSE()),"")</f>
        <v>16695</v>
      </c>
      <c r="H1138" s="5">
        <f t="shared" si="138"/>
        <v>16695</v>
      </c>
      <c r="I1138" s="6">
        <v>1</v>
      </c>
      <c r="J1138" s="5" t="str">
        <f>IFERROR(VLOOKUP($D1138,FIYAT!$B:$O,9,FALSE()),"")</f>
        <v>Шт.</v>
      </c>
      <c r="K1138" s="5" t="str">
        <f>IFERROR(VLOOKUP($D1138,FIYAT!$B:$O,4,FALSE()),"")</f>
        <v>KAZTEK</v>
      </c>
      <c r="L1138" s="5">
        <f t="shared" si="139"/>
        <v>16695</v>
      </c>
      <c r="M1138" s="5"/>
      <c r="N1138" s="5"/>
      <c r="O1138" s="5"/>
      <c r="P1138" s="5" t="str">
        <f>IF($H1138="","FIYAT_YOK",IFERROR(VLOOKUP($D1138,FIYAT!$B:$P,15,FALSE()),""))</f>
        <v>VARSAYIM</v>
      </c>
      <c r="Q1138" s="5" t="s">
        <v>223</v>
      </c>
      <c r="R1138" s="5" t="s">
        <v>211</v>
      </c>
      <c r="S1138" s="5" t="s">
        <v>637</v>
      </c>
      <c r="T1138" s="5" t="s">
        <v>105</v>
      </c>
      <c r="U1138" s="5">
        <f>IFERROR(VLOOKUP($T1138,KURALLAR!$A$32:$B$63,2,FALSE()),0)*IF(ISNUMBER($I1138),$I1138,0)</f>
        <v>30</v>
      </c>
    </row>
    <row r="1139" spans="1:21" x14ac:dyDescent="0.25">
      <c r="A1139" s="9">
        <v>1138</v>
      </c>
      <c r="B1139" s="9"/>
      <c r="C1139" s="9" t="s">
        <v>215</v>
      </c>
      <c r="D1139" s="9" t="s">
        <v>213</v>
      </c>
      <c r="E1139" s="9" t="str">
        <f>IFERROR(VLOOKUP($D1139,FIYAT!$B:$O,2,FALSE()),"")</f>
        <v>Монтажный расходный материал (кабель, DIN-рейка, кабель-канал, клеммы, маркировка, крепёж)</v>
      </c>
      <c r="F1139" s="9">
        <f>IFERROR(VLOOKUP($D1139,FIYAT!$B:$O,5,FALSE()),"")</f>
        <v>0</v>
      </c>
      <c r="G1139" s="9" t="str">
        <f>IFERROR(VLOOKUP($D1139,FIYAT!$B:$O,8,FALSE()),"")</f>
        <v/>
      </c>
      <c r="H1139" s="9">
        <f>ROUND(SUM($H$1127:$H$1138)*KURALLAR!$B$28,0)</f>
        <v>9539</v>
      </c>
      <c r="I1139" s="6">
        <v>1</v>
      </c>
      <c r="J1139" s="9" t="str">
        <f>IFERROR(VLOOKUP($D1139,FIYAT!$B:$O,9,FALSE()),"")</f>
        <v>компл.</v>
      </c>
      <c r="K1139" s="9" t="str">
        <f>IFERROR(VLOOKUP($D1139,FIYAT!$B:$O,4,FALSE()),"")</f>
        <v>MUADIL-NET</v>
      </c>
      <c r="L1139" s="9">
        <f t="shared" si="139"/>
        <v>9539</v>
      </c>
      <c r="M1139" s="9"/>
      <c r="N1139" s="9"/>
      <c r="O1139" s="9"/>
      <c r="P1139" s="9" t="str">
        <f>IF($H1139="","FIYAT_YOK",IFERROR(VLOOKUP($D1139,FIYAT!$B:$P,15,FALSE()),""))</f>
        <v>ORAN</v>
      </c>
      <c r="Q1139" s="9" t="s">
        <v>218</v>
      </c>
      <c r="R1139" s="9" t="s">
        <v>217</v>
      </c>
      <c r="S1139" s="9" t="s">
        <v>637</v>
      </c>
      <c r="T1139" s="9"/>
      <c r="U1139" s="9">
        <v>0</v>
      </c>
    </row>
    <row r="1140" spans="1:21" x14ac:dyDescent="0.25">
      <c r="A1140" s="5">
        <v>1139</v>
      </c>
      <c r="B1140" s="5"/>
      <c r="C1140" s="5" t="s">
        <v>227</v>
      </c>
      <c r="D1140" s="5" t="s">
        <v>225</v>
      </c>
      <c r="E1140" s="5" t="str">
        <f>IFERROR(VLOOKUP($D1140,FIYAT!$B:$O,2,FALSE()),"")</f>
        <v>Сборка, кабелирование, маркировка, момент затяжки, испытания</v>
      </c>
      <c r="F1140" s="5">
        <f>IFERROR(VLOOKUP($D1140,FIYAT!$B:$O,5,FALSE()),"")</f>
        <v>100</v>
      </c>
      <c r="G1140" s="5">
        <f>IFERROR(VLOOKUP($D1140,FIYAT!$B:$O,8,FALSE()),"")</f>
        <v>100</v>
      </c>
      <c r="H1140" s="5">
        <f>IF(OR($G1140="",$I1140=""),"",$G1140*$I1140)</f>
        <v>25500</v>
      </c>
      <c r="I1140" s="6">
        <f>ROUND(SUM($U$1127:$U$1139)*KURALLAR!$B$27,0)</f>
        <v>255</v>
      </c>
      <c r="J1140" s="5" t="str">
        <f>IFERROR(VLOOKUP($D1140,FIYAT!$B:$O,9,FALSE()),"")</f>
        <v>мин</v>
      </c>
      <c r="K1140" s="5" t="str">
        <f>IFERROR(VLOOKUP($D1140,FIYAT!$B:$O,4,FALSE()),"")</f>
        <v>ISCILIK</v>
      </c>
      <c r="L1140" s="5">
        <f t="shared" si="139"/>
        <v>25500</v>
      </c>
      <c r="M1140" s="5"/>
      <c r="N1140" s="5"/>
      <c r="O1140" s="5"/>
      <c r="P1140" s="5" t="str">
        <f>IF($H1140="","FIYAT_YOK",IFERROR(VLOOKUP($D1140,FIYAT!$B:$P,15,FALSE()),""))</f>
        <v>OK</v>
      </c>
      <c r="Q1140" s="5" t="str">
        <f>CONCATENATE("montaj+test iscilik: ",TEXT($I1140,"# ##0")," dk = ",TEXT($I1140/60,"0,00")," saat (norm x test/etiket carpani)")</f>
        <v>montaj+test iscilik:  255 dk = 4,25 saat (norm x test/etiket carpani)</v>
      </c>
      <c r="R1140" s="5" t="s">
        <v>229</v>
      </c>
      <c r="S1140" s="5" t="s">
        <v>637</v>
      </c>
      <c r="T1140" s="5"/>
      <c r="U1140" s="5">
        <v>0</v>
      </c>
    </row>
    <row r="1141" spans="1:21" x14ac:dyDescent="0.25">
      <c r="A1141" s="10">
        <v>1140</v>
      </c>
      <c r="B1141" s="10" t="s">
        <v>690</v>
      </c>
      <c r="C1141" s="10"/>
      <c r="D1141" s="10"/>
      <c r="E1141" s="10"/>
      <c r="F1141" s="10"/>
      <c r="G1141" s="10"/>
      <c r="H1141" s="10">
        <f>SUBTOTAL(9,H1127:H1140)</f>
        <v>171315.8</v>
      </c>
      <c r="I1141" s="10"/>
      <c r="J1141" s="10"/>
      <c r="K1141" s="10"/>
      <c r="L1141" s="10">
        <f>SUBTOTAL(9,L1127:L1140)</f>
        <v>171315.8</v>
      </c>
      <c r="M1141" s="10"/>
      <c r="N1141" s="10"/>
      <c r="O1141" s="10"/>
      <c r="P1141" s="10"/>
      <c r="Q1141" s="10"/>
      <c r="R1141" s="10"/>
      <c r="S1141" s="10"/>
      <c r="T1141" s="10"/>
      <c r="U1141" s="10">
        <f>SUBTOTAL(9,U1127:U1140)</f>
        <v>222</v>
      </c>
    </row>
    <row r="1142" spans="1:21" x14ac:dyDescent="0.25">
      <c r="A1142" s="8">
        <v>1141</v>
      </c>
      <c r="B1142" s="8" t="str">
        <f>E1142</f>
        <v>BLOK B / 16F-ИБП.2 — НКУ 380/220В 50Гц, FORM 2B, IP31/54</v>
      </c>
      <c r="C1142" s="8" t="s">
        <v>545</v>
      </c>
      <c r="D1142" s="8"/>
      <c r="E1142" s="8" t="s">
        <v>691</v>
      </c>
      <c r="F1142" s="8"/>
      <c r="G1142" s="8"/>
      <c r="H1142" s="8"/>
      <c r="I1142" s="8">
        <v>1</v>
      </c>
      <c r="J1142" s="8" t="s">
        <v>547</v>
      </c>
      <c r="K1142" s="8"/>
      <c r="L1142" s="8"/>
      <c r="M1142" s="8"/>
      <c r="N1142" s="8"/>
      <c r="O1142" s="8"/>
      <c r="P1142" s="8" t="s">
        <v>178</v>
      </c>
      <c r="Q1142" s="8" t="s">
        <v>548</v>
      </c>
      <c r="R1142" s="8" t="s">
        <v>549</v>
      </c>
      <c r="S1142" s="8" t="s">
        <v>637</v>
      </c>
      <c r="T1142" s="8"/>
      <c r="U1142" s="8"/>
    </row>
    <row r="1143" spans="1:21" x14ac:dyDescent="0.25">
      <c r="A1143" s="9">
        <v>1142</v>
      </c>
      <c r="B1143" s="9"/>
      <c r="C1143" s="9" t="s">
        <v>169</v>
      </c>
      <c r="D1143" s="9" t="s">
        <v>327</v>
      </c>
      <c r="E1143" s="9" t="str">
        <f>IFERROR(VLOOKUP($D1143,FIYAT!$B:$O,2,FALSE()),"")</f>
        <v>Авт. выкл. NM8N-125C TM 3P 25А 36кА с рег. термомаг. расцепителем (R)</v>
      </c>
      <c r="F1143" s="9">
        <f>IFERROR(VLOOKUP($D1143,FIYAT!$B:$O,5,FALSE()),"")</f>
        <v>65063</v>
      </c>
      <c r="G1143" s="9">
        <f>IFERROR(VLOOKUP($D1143,FIYAT!$B:$O,8,FALSE()),"")</f>
        <v>39037.799999999996</v>
      </c>
      <c r="H1143" s="9">
        <f t="shared" ref="H1143:H1154" si="140">IF(OR($G1143="",$I1143=""),"",$G1143*$I1143)</f>
        <v>39037.799999999996</v>
      </c>
      <c r="I1143" s="6">
        <v>1</v>
      </c>
      <c r="J1143" s="9" t="str">
        <f>IFERROR(VLOOKUP($D1143,FIYAT!$B:$O,9,FALSE()),"")</f>
        <v>Шт.</v>
      </c>
      <c r="K1143" s="9" t="str">
        <f>IFERROR(VLOOKUP($D1143,FIYAT!$B:$O,4,FALSE()),"")</f>
        <v>CHINT</v>
      </c>
      <c r="L1143" s="9">
        <f t="shared" ref="L1143:L1156" si="141">IF($H1143="","",$H1143)</f>
        <v>39037.799999999996</v>
      </c>
      <c r="M1143" s="9"/>
      <c r="N1143" s="9"/>
      <c r="O1143" s="9"/>
      <c r="P1143" s="9" t="str">
        <f>IF($H1143="","FIYAT_YOK",IFERROR(VLOOKUP($D1143,FIYAT!$B:$P,15,FALSE()),""))</f>
        <v>MUADIL</v>
      </c>
      <c r="Q1143" s="9" t="s">
        <v>172</v>
      </c>
      <c r="R1143" s="9" t="s">
        <v>171</v>
      </c>
      <c r="S1143" s="9" t="s">
        <v>637</v>
      </c>
      <c r="T1143" s="9" t="s">
        <v>61</v>
      </c>
      <c r="U1143" s="9">
        <f>IFERROR(VLOOKUP($T1143,KURALLAR!$A$32:$B$63,2,FALSE()),0)*IF(ISNUMBER($I1143),$I1143,0)</f>
        <v>15</v>
      </c>
    </row>
    <row r="1144" spans="1:21" x14ac:dyDescent="0.25">
      <c r="A1144" s="5">
        <v>1143</v>
      </c>
      <c r="B1144" s="5"/>
      <c r="C1144" s="5" t="s">
        <v>176</v>
      </c>
      <c r="D1144" s="5" t="s">
        <v>174</v>
      </c>
      <c r="E1144" s="5" t="str">
        <f>IFERROR(VLOOKUP($D1144,FIYAT!$B:$O,2,FALSE()),"")</f>
        <v>УЗО NL1-63 6kA 4P 63A 300mA тип AC (R)</v>
      </c>
      <c r="F1144" s="5">
        <f>IFERROR(VLOOKUP($D1144,FIYAT!$B:$O,5,FALSE()),"")</f>
        <v>18106</v>
      </c>
      <c r="G1144" s="5">
        <f>IFERROR(VLOOKUP($D1144,FIYAT!$B:$O,8,FALSE()),"")</f>
        <v>10863.6</v>
      </c>
      <c r="H1144" s="5">
        <f t="shared" si="140"/>
        <v>10863.6</v>
      </c>
      <c r="I1144" s="6">
        <v>1</v>
      </c>
      <c r="J1144" s="5" t="str">
        <f>IFERROR(VLOOKUP($D1144,FIYAT!$B:$O,9,FALSE()),"")</f>
        <v>Шт.</v>
      </c>
      <c r="K1144" s="5" t="str">
        <f>IFERROR(VLOOKUP($D1144,FIYAT!$B:$O,4,FALSE()),"")</f>
        <v>CHINT</v>
      </c>
      <c r="L1144" s="5">
        <f t="shared" si="141"/>
        <v>10863.6</v>
      </c>
      <c r="M1144" s="5"/>
      <c r="N1144" s="5"/>
      <c r="O1144" s="5"/>
      <c r="P1144" s="5" t="str">
        <f>IF($H1144="","FIYAT_YOK",IFERROR(VLOOKUP($D1144,FIYAT!$B:$P,15,FALSE()),""))</f>
        <v>OK</v>
      </c>
      <c r="Q1144" s="5" t="s">
        <v>177</v>
      </c>
      <c r="R1144" s="5" t="s">
        <v>171</v>
      </c>
      <c r="S1144" s="5" t="s">
        <v>637</v>
      </c>
      <c r="T1144" s="5" t="s">
        <v>57</v>
      </c>
      <c r="U1144" s="5">
        <f>IFERROR(VLOOKUP($T1144,KURALLAR!$A$32:$B$63,2,FALSE()),0)*IF(ISNUMBER($I1144),$I1144,0)</f>
        <v>10</v>
      </c>
    </row>
    <row r="1145" spans="1:21" x14ac:dyDescent="0.25">
      <c r="A1145" s="9">
        <v>1144</v>
      </c>
      <c r="B1145" s="9"/>
      <c r="C1145" s="9" t="s">
        <v>79</v>
      </c>
      <c r="D1145" s="9" t="s">
        <v>179</v>
      </c>
      <c r="E1145" s="9" t="str">
        <f>IFERROR(VLOOKUP($D1145,FIYAT!$B:$O,2,FALSE()),"")</f>
        <v>Держатель плавкой вставки RT36-00-160, габарит 00, 160А</v>
      </c>
      <c r="F1145" s="9">
        <f>IFERROR(VLOOKUP($D1145,FIYAT!$B:$O,5,FALSE()),"")</f>
        <v>2038</v>
      </c>
      <c r="G1145" s="9">
        <f>IFERROR(VLOOKUP($D1145,FIYAT!$B:$O,8,FALSE()),"")</f>
        <v>1222.8</v>
      </c>
      <c r="H1145" s="9">
        <f t="shared" si="140"/>
        <v>4891.2</v>
      </c>
      <c r="I1145" s="6">
        <v>4</v>
      </c>
      <c r="J1145" s="9" t="str">
        <f>IFERROR(VLOOKUP($D1145,FIYAT!$B:$O,9,FALSE()),"")</f>
        <v>Шт.</v>
      </c>
      <c r="K1145" s="9" t="str">
        <f>IFERROR(VLOOKUP($D1145,FIYAT!$B:$O,4,FALSE()),"")</f>
        <v>CHINT</v>
      </c>
      <c r="L1145" s="9">
        <f t="shared" si="141"/>
        <v>4891.2</v>
      </c>
      <c r="M1145" s="9"/>
      <c r="N1145" s="9"/>
      <c r="O1145" s="9"/>
      <c r="P1145" s="9" t="str">
        <f>IF($H1145="","FIYAT_YOK",IFERROR(VLOOKUP($D1145,FIYAT!$B:$P,15,FALSE()),""))</f>
        <v>MUADIL</v>
      </c>
      <c r="Q1145" s="9" t="s">
        <v>181</v>
      </c>
      <c r="R1145" s="9" t="s">
        <v>171</v>
      </c>
      <c r="S1145" s="9" t="s">
        <v>637</v>
      </c>
      <c r="T1145" s="9" t="s">
        <v>77</v>
      </c>
      <c r="U1145" s="9">
        <f>IFERROR(VLOOKUP($T1145,KURALLAR!$A$32:$B$63,2,FALSE()),0)*IF(ISNUMBER($I1145),$I1145,0)</f>
        <v>20</v>
      </c>
    </row>
    <row r="1146" spans="1:21" x14ac:dyDescent="0.25">
      <c r="A1146" s="5">
        <v>1145</v>
      </c>
      <c r="B1146" s="5"/>
      <c r="C1146" s="5" t="s">
        <v>79</v>
      </c>
      <c r="D1146" s="5" t="s">
        <v>182</v>
      </c>
      <c r="E1146" s="5" t="str">
        <f>IFERROR(VLOOKUP($D1146,FIYAT!$B:$O,2,FALSE()),"")</f>
        <v>Плавкая вставка предохранителя RT36-00-160, габарит 00, 63А</v>
      </c>
      <c r="F1146" s="5">
        <f>IFERROR(VLOOKUP($D1146,FIYAT!$B:$O,5,FALSE()),"")</f>
        <v>1525</v>
      </c>
      <c r="G1146" s="5">
        <f>IFERROR(VLOOKUP($D1146,FIYAT!$B:$O,8,FALSE()),"")</f>
        <v>915</v>
      </c>
      <c r="H1146" s="5">
        <f t="shared" si="140"/>
        <v>3660</v>
      </c>
      <c r="I1146" s="6">
        <v>4</v>
      </c>
      <c r="J1146" s="5" t="str">
        <f>IFERROR(VLOOKUP($D1146,FIYAT!$B:$O,9,FALSE()),"")</f>
        <v>Шт.</v>
      </c>
      <c r="K1146" s="5" t="str">
        <f>IFERROR(VLOOKUP($D1146,FIYAT!$B:$O,4,FALSE()),"")</f>
        <v>CHINT</v>
      </c>
      <c r="L1146" s="5">
        <f t="shared" si="141"/>
        <v>3660</v>
      </c>
      <c r="M1146" s="5"/>
      <c r="N1146" s="5"/>
      <c r="O1146" s="5"/>
      <c r="P1146" s="5" t="str">
        <f>IF($H1146="","FIYAT_YOK",IFERROR(VLOOKUP($D1146,FIYAT!$B:$P,15,FALSE()),""))</f>
        <v>MUADIL</v>
      </c>
      <c r="Q1146" s="5" t="s">
        <v>185</v>
      </c>
      <c r="R1146" s="5" t="s">
        <v>184</v>
      </c>
      <c r="S1146" s="5" t="s">
        <v>637</v>
      </c>
      <c r="T1146" s="5" t="s">
        <v>79</v>
      </c>
      <c r="U1146" s="5">
        <f>IFERROR(VLOOKUP($T1146,KURALLAR!$A$32:$B$63,2,FALSE()),0)*IF(ISNUMBER($I1146),$I1146,0)</f>
        <v>12</v>
      </c>
    </row>
    <row r="1147" spans="1:21" x14ac:dyDescent="0.25">
      <c r="A1147" s="9">
        <v>1146</v>
      </c>
      <c r="B1147" s="9"/>
      <c r="C1147" s="9" t="s">
        <v>75</v>
      </c>
      <c r="D1147" s="9" t="s">
        <v>186</v>
      </c>
      <c r="E1147" s="9" t="str">
        <f>IFERROR(VLOOKUP($D1147,FIYAT!$B:$O,2,FALSE()),"")</f>
        <v>Ограничитель имп. перенапр. NU6-IIG 4Р In=25kA Uc=440B Im=65kA (R)</v>
      </c>
      <c r="F1147" s="9">
        <f>IFERROR(VLOOKUP($D1147,FIYAT!$B:$O,5,FALSE()),"")</f>
        <v>33208</v>
      </c>
      <c r="G1147" s="9">
        <f>IFERROR(VLOOKUP($D1147,FIYAT!$B:$O,8,FALSE()),"")</f>
        <v>19924.8</v>
      </c>
      <c r="H1147" s="9">
        <f t="shared" si="140"/>
        <v>19924.8</v>
      </c>
      <c r="I1147" s="6">
        <v>1</v>
      </c>
      <c r="J1147" s="9" t="str">
        <f>IFERROR(VLOOKUP($D1147,FIYAT!$B:$O,9,FALSE()),"")</f>
        <v>Шт.</v>
      </c>
      <c r="K1147" s="9" t="str">
        <f>IFERROR(VLOOKUP($D1147,FIYAT!$B:$O,4,FALSE()),"")</f>
        <v>CHINT</v>
      </c>
      <c r="L1147" s="9">
        <f t="shared" si="141"/>
        <v>19924.8</v>
      </c>
      <c r="M1147" s="9"/>
      <c r="N1147" s="9"/>
      <c r="O1147" s="9"/>
      <c r="P1147" s="9" t="str">
        <f>IF($H1147="","FIYAT_YOK",IFERROR(VLOOKUP($D1147,FIYAT!$B:$P,15,FALSE()),""))</f>
        <v>MUADIL_ONAY</v>
      </c>
      <c r="Q1147" s="9" t="s">
        <v>188</v>
      </c>
      <c r="R1147" s="9" t="s">
        <v>184</v>
      </c>
      <c r="S1147" s="9" t="s">
        <v>637</v>
      </c>
      <c r="T1147" s="9" t="s">
        <v>75</v>
      </c>
      <c r="U1147" s="9">
        <f>IFERROR(VLOOKUP($T1147,KURALLAR!$A$32:$B$63,2,FALSE()),0)*IF(ISNUMBER($I1147),$I1147,0)</f>
        <v>10</v>
      </c>
    </row>
    <row r="1148" spans="1:21" x14ac:dyDescent="0.25">
      <c r="A1148" s="5">
        <v>1147</v>
      </c>
      <c r="B1148" s="5"/>
      <c r="C1148" s="5" t="s">
        <v>192</v>
      </c>
      <c r="D1148" s="5" t="s">
        <v>321</v>
      </c>
      <c r="E1148" s="5" t="str">
        <f>IFERROR(VLOOKUP($D1148,FIYAT!$B:$O,2,FALSE()),"")</f>
        <v>Авт. выкл. NXB-63 1P 25A 6кА х-ка C (R)</v>
      </c>
      <c r="F1148" s="5">
        <f>IFERROR(VLOOKUP($D1148,FIYAT!$B:$O,5,FALSE()),"")</f>
        <v>1330</v>
      </c>
      <c r="G1148" s="5">
        <f>IFERROR(VLOOKUP($D1148,FIYAT!$B:$O,8,FALSE()),"")</f>
        <v>798</v>
      </c>
      <c r="H1148" s="5">
        <f t="shared" si="140"/>
        <v>798</v>
      </c>
      <c r="I1148" s="6">
        <v>1</v>
      </c>
      <c r="J1148" s="5" t="str">
        <f>IFERROR(VLOOKUP($D1148,FIYAT!$B:$O,9,FALSE()),"")</f>
        <v>Шт.</v>
      </c>
      <c r="K1148" s="5" t="str">
        <f>IFERROR(VLOOKUP($D1148,FIYAT!$B:$O,4,FALSE()),"")</f>
        <v>CHINT</v>
      </c>
      <c r="L1148" s="5">
        <f t="shared" si="141"/>
        <v>798</v>
      </c>
      <c r="M1148" s="5"/>
      <c r="N1148" s="5"/>
      <c r="O1148" s="5"/>
      <c r="P1148" s="5" t="str">
        <f>IF($H1148="","FIYAT_YOK",IFERROR(VLOOKUP($D1148,FIYAT!$B:$P,15,FALSE()),""))</f>
        <v>OK</v>
      </c>
      <c r="Q1148" s="5" t="s">
        <v>323</v>
      </c>
      <c r="R1148" s="5" t="s">
        <v>171</v>
      </c>
      <c r="S1148" s="5" t="s">
        <v>637</v>
      </c>
      <c r="T1148" s="5" t="s">
        <v>47</v>
      </c>
      <c r="U1148" s="5">
        <f>IFERROR(VLOOKUP($T1148,KURALLAR!$A$32:$B$63,2,FALSE()),0)*IF(ISNUMBER($I1148),$I1148,0)</f>
        <v>3</v>
      </c>
    </row>
    <row r="1149" spans="1:21" x14ac:dyDescent="0.25">
      <c r="A1149" s="9">
        <v>1148</v>
      </c>
      <c r="B1149" s="9"/>
      <c r="C1149" s="9" t="s">
        <v>176</v>
      </c>
      <c r="D1149" s="9" t="s">
        <v>324</v>
      </c>
      <c r="E1149" s="9" t="str">
        <f>IFERROR(VLOOKUP($D1149,FIYAT!$B:$O,2,FALSE()),"")</f>
        <v>УЗО NL1-63 6kA 2P 25A 30mA тип AC (R)</v>
      </c>
      <c r="F1149" s="9">
        <f>IFERROR(VLOOKUP($D1149,FIYAT!$B:$O,5,FALSE()),"")</f>
        <v>10809</v>
      </c>
      <c r="G1149" s="9">
        <f>IFERROR(VLOOKUP($D1149,FIYAT!$B:$O,8,FALSE()),"")</f>
        <v>6485.4</v>
      </c>
      <c r="H1149" s="9">
        <f t="shared" si="140"/>
        <v>6485.4</v>
      </c>
      <c r="I1149" s="6">
        <v>1</v>
      </c>
      <c r="J1149" s="9" t="str">
        <f>IFERROR(VLOOKUP($D1149,FIYAT!$B:$O,9,FALSE()),"")</f>
        <v>Шт.</v>
      </c>
      <c r="K1149" s="9" t="str">
        <f>IFERROR(VLOOKUP($D1149,FIYAT!$B:$O,4,FALSE()),"")</f>
        <v>CHINT</v>
      </c>
      <c r="L1149" s="9">
        <f t="shared" si="141"/>
        <v>6485.4</v>
      </c>
      <c r="M1149" s="9"/>
      <c r="N1149" s="9"/>
      <c r="O1149" s="9"/>
      <c r="P1149" s="9" t="str">
        <f>IF($H1149="","FIYAT_YOK",IFERROR(VLOOKUP($D1149,FIYAT!$B:$P,15,FALSE()),""))</f>
        <v>OK</v>
      </c>
      <c r="Q1149" s="9" t="s">
        <v>326</v>
      </c>
      <c r="R1149" s="9" t="s">
        <v>171</v>
      </c>
      <c r="S1149" s="9" t="s">
        <v>637</v>
      </c>
      <c r="T1149" s="9" t="s">
        <v>55</v>
      </c>
      <c r="U1149" s="9">
        <f>IFERROR(VLOOKUP($T1149,KURALLAR!$A$32:$B$63,2,FALSE()),0)*IF(ISNUMBER($I1149),$I1149,0)</f>
        <v>6</v>
      </c>
    </row>
    <row r="1150" spans="1:21" x14ac:dyDescent="0.25">
      <c r="A1150" s="5">
        <v>1149</v>
      </c>
      <c r="B1150" s="5"/>
      <c r="C1150" s="5" t="s">
        <v>192</v>
      </c>
      <c r="D1150" s="5" t="s">
        <v>194</v>
      </c>
      <c r="E1150" s="5" t="str">
        <f>IFERROR(VLOOKUP($D1150,FIYAT!$B:$O,2,FALSE()),"")</f>
        <v>Авт. выкл. NXB-63 1P 16A 6кА х-ка C (R)</v>
      </c>
      <c r="F1150" s="5">
        <f>IFERROR(VLOOKUP($D1150,FIYAT!$B:$O,5,FALSE()),"")</f>
        <v>1389</v>
      </c>
      <c r="G1150" s="5">
        <f>IFERROR(VLOOKUP($D1150,FIYAT!$B:$O,8,FALSE()),"")</f>
        <v>833.4</v>
      </c>
      <c r="H1150" s="5">
        <f t="shared" si="140"/>
        <v>4167</v>
      </c>
      <c r="I1150" s="6">
        <v>5</v>
      </c>
      <c r="J1150" s="5" t="str">
        <f>IFERROR(VLOOKUP($D1150,FIYAT!$B:$O,9,FALSE()),"")</f>
        <v>Шт.</v>
      </c>
      <c r="K1150" s="5" t="str">
        <f>IFERROR(VLOOKUP($D1150,FIYAT!$B:$O,4,FALSE()),"")</f>
        <v>CHINT</v>
      </c>
      <c r="L1150" s="5">
        <f t="shared" si="141"/>
        <v>4167</v>
      </c>
      <c r="M1150" s="5"/>
      <c r="N1150" s="5"/>
      <c r="O1150" s="5"/>
      <c r="P1150" s="5" t="str">
        <f>IF($H1150="","FIYAT_YOK",IFERROR(VLOOKUP($D1150,FIYAT!$B:$P,15,FALSE()),""))</f>
        <v>OK</v>
      </c>
      <c r="Q1150" s="5" t="s">
        <v>196</v>
      </c>
      <c r="R1150" s="5" t="s">
        <v>171</v>
      </c>
      <c r="S1150" s="5" t="s">
        <v>637</v>
      </c>
      <c r="T1150" s="5" t="s">
        <v>47</v>
      </c>
      <c r="U1150" s="5">
        <f>IFERROR(VLOOKUP($T1150,KURALLAR!$A$32:$B$63,2,FALSE()),0)*IF(ISNUMBER($I1150),$I1150,0)</f>
        <v>15</v>
      </c>
    </row>
    <row r="1151" spans="1:21" x14ac:dyDescent="0.25">
      <c r="A1151" s="9">
        <v>1150</v>
      </c>
      <c r="B1151" s="9"/>
      <c r="C1151" s="9" t="s">
        <v>176</v>
      </c>
      <c r="D1151" s="9" t="s">
        <v>200</v>
      </c>
      <c r="E1151" s="9" t="str">
        <f>IFERROR(VLOOKUP($D1151,FIYAT!$B:$O,2,FALSE()),"")</f>
        <v>УЗО NL1-63 6kA 2P 16A 30mA тип AC (R)</v>
      </c>
      <c r="F1151" s="9">
        <f>IFERROR(VLOOKUP($D1151,FIYAT!$B:$O,5,FALSE()),"")</f>
        <v>10809</v>
      </c>
      <c r="G1151" s="9">
        <f>IFERROR(VLOOKUP($D1151,FIYAT!$B:$O,8,FALSE()),"")</f>
        <v>6485.4</v>
      </c>
      <c r="H1151" s="9">
        <f t="shared" si="140"/>
        <v>6485.4</v>
      </c>
      <c r="I1151" s="6">
        <v>1</v>
      </c>
      <c r="J1151" s="9" t="str">
        <f>IFERROR(VLOOKUP($D1151,FIYAT!$B:$O,9,FALSE()),"")</f>
        <v>Шт.</v>
      </c>
      <c r="K1151" s="9" t="str">
        <f>IFERROR(VLOOKUP($D1151,FIYAT!$B:$O,4,FALSE()),"")</f>
        <v>CHINT</v>
      </c>
      <c r="L1151" s="9">
        <f t="shared" si="141"/>
        <v>6485.4</v>
      </c>
      <c r="M1151" s="9"/>
      <c r="N1151" s="9"/>
      <c r="O1151" s="9"/>
      <c r="P1151" s="9" t="str">
        <f>IF($H1151="","FIYAT_YOK",IFERROR(VLOOKUP($D1151,FIYAT!$B:$P,15,FALSE()),""))</f>
        <v>OK</v>
      </c>
      <c r="Q1151" s="9" t="s">
        <v>202</v>
      </c>
      <c r="R1151" s="9" t="s">
        <v>171</v>
      </c>
      <c r="S1151" s="9" t="s">
        <v>637</v>
      </c>
      <c r="T1151" s="9" t="s">
        <v>55</v>
      </c>
      <c r="U1151" s="9">
        <f>IFERROR(VLOOKUP($T1151,KURALLAR!$A$32:$B$63,2,FALSE()),0)*IF(ISNUMBER($I1151),$I1151,0)</f>
        <v>6</v>
      </c>
    </row>
    <row r="1152" spans="1:21" x14ac:dyDescent="0.25">
      <c r="A1152" s="5">
        <v>1151</v>
      </c>
      <c r="B1152" s="5"/>
      <c r="C1152" s="5" t="s">
        <v>192</v>
      </c>
      <c r="D1152" s="5" t="s">
        <v>206</v>
      </c>
      <c r="E1152" s="5" t="str">
        <f>IFERROR(VLOOKUP($D1152,FIYAT!$B:$O,2,FALSE()),"")</f>
        <v>Авт. выкл. NXB-63 1P 10A 6кА х-ка C (R)</v>
      </c>
      <c r="F1152" s="5">
        <f>IFERROR(VLOOKUP($D1152,FIYAT!$B:$O,5,FALSE()),"")</f>
        <v>1362</v>
      </c>
      <c r="G1152" s="5">
        <f>IFERROR(VLOOKUP($D1152,FIYAT!$B:$O,8,FALSE()),"")</f>
        <v>817.19999999999993</v>
      </c>
      <c r="H1152" s="5">
        <f t="shared" si="140"/>
        <v>10623.599999999999</v>
      </c>
      <c r="I1152" s="6">
        <v>13</v>
      </c>
      <c r="J1152" s="5" t="str">
        <f>IFERROR(VLOOKUP($D1152,FIYAT!$B:$O,9,FALSE()),"")</f>
        <v>Шт.</v>
      </c>
      <c r="K1152" s="5" t="str">
        <f>IFERROR(VLOOKUP($D1152,FIYAT!$B:$O,4,FALSE()),"")</f>
        <v>CHINT</v>
      </c>
      <c r="L1152" s="5">
        <f t="shared" si="141"/>
        <v>10623.599999999999</v>
      </c>
      <c r="M1152" s="5"/>
      <c r="N1152" s="5"/>
      <c r="O1152" s="5"/>
      <c r="P1152" s="5" t="str">
        <f>IF($H1152="","FIYAT_YOK",IFERROR(VLOOKUP($D1152,FIYAT!$B:$P,15,FALSE()),""))</f>
        <v>OK</v>
      </c>
      <c r="Q1152" s="5" t="s">
        <v>208</v>
      </c>
      <c r="R1152" s="5" t="s">
        <v>184</v>
      </c>
      <c r="S1152" s="5" t="s">
        <v>637</v>
      </c>
      <c r="T1152" s="5" t="s">
        <v>47</v>
      </c>
      <c r="U1152" s="5">
        <f>IFERROR(VLOOKUP($T1152,KURALLAR!$A$32:$B$63,2,FALSE()),0)*IF(ISNUMBER($I1152),$I1152,0)</f>
        <v>39</v>
      </c>
    </row>
    <row r="1153" spans="1:21" x14ac:dyDescent="0.25">
      <c r="A1153" s="9">
        <v>1152</v>
      </c>
      <c r="B1153" s="9"/>
      <c r="C1153" s="9" t="s">
        <v>93</v>
      </c>
      <c r="D1153" s="9" t="s">
        <v>209</v>
      </c>
      <c r="E1153" s="9" t="str">
        <f>IFERROR(VLOOKUP($D1153,FIYAT!$B:$O,2,FALSE()),"")</f>
        <v>Шина "N" нулевая 6х9мм на DIN-рейку в корпусном изоляторе ШНИ 12К IEK (10)</v>
      </c>
      <c r="F1153" s="9">
        <f>IFERROR(VLOOKUP($D1153,FIYAT!$B:$O,5,FALSE()),"")</f>
        <v>755</v>
      </c>
      <c r="G1153" s="9">
        <f>IFERROR(VLOOKUP($D1153,FIYAT!$B:$O,8,FALSE()),"")</f>
        <v>453</v>
      </c>
      <c r="H1153" s="9">
        <f t="shared" si="140"/>
        <v>1812</v>
      </c>
      <c r="I1153" s="6">
        <v>4</v>
      </c>
      <c r="J1153" s="9" t="str">
        <f>IFERROR(VLOOKUP($D1153,FIYAT!$B:$O,9,FALSE()),"")</f>
        <v>Шт.</v>
      </c>
      <c r="K1153" s="9" t="str">
        <f>IFERROR(VLOOKUP($D1153,FIYAT!$B:$O,4,FALSE()),"")</f>
        <v>KAZTEK</v>
      </c>
      <c r="L1153" s="9">
        <f t="shared" si="141"/>
        <v>1812</v>
      </c>
      <c r="M1153" s="9"/>
      <c r="N1153" s="9"/>
      <c r="O1153" s="9"/>
      <c r="P1153" s="9" t="str">
        <f>IF($H1153="","FIYAT_YOK",IFERROR(VLOOKUP($D1153,FIYAT!$B:$P,15,FALSE()),""))</f>
        <v>MUADIL</v>
      </c>
      <c r="Q1153" s="9" t="s">
        <v>212</v>
      </c>
      <c r="R1153" s="9" t="s">
        <v>211</v>
      </c>
      <c r="S1153" s="9" t="s">
        <v>637</v>
      </c>
      <c r="T1153" s="9" t="s">
        <v>93</v>
      </c>
      <c r="U1153" s="9">
        <f>IFERROR(VLOOKUP($T1153,KURALLAR!$A$32:$B$63,2,FALSE()),0)*IF(ISNUMBER($I1153),$I1153,0)</f>
        <v>32</v>
      </c>
    </row>
    <row r="1154" spans="1:21" x14ac:dyDescent="0.25">
      <c r="A1154" s="5">
        <v>1153</v>
      </c>
      <c r="B1154" s="5"/>
      <c r="C1154" s="5" t="s">
        <v>222</v>
      </c>
      <c r="D1154" s="5" t="s">
        <v>220</v>
      </c>
      <c r="E1154" s="5" t="str">
        <f>IFERROR(VLOOKUP($D1154,FIYAT!$B:$O,2,FALSE()),"")</f>
        <v>ЩМП (инд.) IP31 (650х500х150мм)</v>
      </c>
      <c r="F1154" s="5">
        <f>IFERROR(VLOOKUP($D1154,FIYAT!$B:$O,5,FALSE()),"")</f>
        <v>27825</v>
      </c>
      <c r="G1154" s="5">
        <f>IFERROR(VLOOKUP($D1154,FIYAT!$B:$O,8,FALSE()),"")</f>
        <v>16695</v>
      </c>
      <c r="H1154" s="5">
        <f t="shared" si="140"/>
        <v>16695</v>
      </c>
      <c r="I1154" s="6">
        <v>1</v>
      </c>
      <c r="J1154" s="5" t="str">
        <f>IFERROR(VLOOKUP($D1154,FIYAT!$B:$O,9,FALSE()),"")</f>
        <v>Шт.</v>
      </c>
      <c r="K1154" s="5" t="str">
        <f>IFERROR(VLOOKUP($D1154,FIYAT!$B:$O,4,FALSE()),"")</f>
        <v>KAZTEK</v>
      </c>
      <c r="L1154" s="5">
        <f t="shared" si="141"/>
        <v>16695</v>
      </c>
      <c r="M1154" s="5"/>
      <c r="N1154" s="5"/>
      <c r="O1154" s="5"/>
      <c r="P1154" s="5" t="str">
        <f>IF($H1154="","FIYAT_YOK",IFERROR(VLOOKUP($D1154,FIYAT!$B:$P,15,FALSE()),""))</f>
        <v>VARSAYIM</v>
      </c>
      <c r="Q1154" s="5" t="s">
        <v>223</v>
      </c>
      <c r="R1154" s="5" t="s">
        <v>211</v>
      </c>
      <c r="S1154" s="5" t="s">
        <v>637</v>
      </c>
      <c r="T1154" s="5" t="s">
        <v>105</v>
      </c>
      <c r="U1154" s="5">
        <f>IFERROR(VLOOKUP($T1154,KURALLAR!$A$32:$B$63,2,FALSE()),0)*IF(ISNUMBER($I1154),$I1154,0)</f>
        <v>30</v>
      </c>
    </row>
    <row r="1155" spans="1:21" x14ac:dyDescent="0.25">
      <c r="A1155" s="9">
        <v>1154</v>
      </c>
      <c r="B1155" s="9"/>
      <c r="C1155" s="9" t="s">
        <v>215</v>
      </c>
      <c r="D1155" s="9" t="s">
        <v>213</v>
      </c>
      <c r="E1155" s="9" t="str">
        <f>IFERROR(VLOOKUP($D1155,FIYAT!$B:$O,2,FALSE()),"")</f>
        <v>Монтажный расходный материал (кабель, DIN-рейка, кабель-канал, клеммы, маркировка, крепёж)</v>
      </c>
      <c r="F1155" s="9">
        <f>IFERROR(VLOOKUP($D1155,FIYAT!$B:$O,5,FALSE()),"")</f>
        <v>0</v>
      </c>
      <c r="G1155" s="9" t="str">
        <f>IFERROR(VLOOKUP($D1155,FIYAT!$B:$O,8,FALSE()),"")</f>
        <v/>
      </c>
      <c r="H1155" s="9">
        <f>ROUND(SUM($H$1143:$H$1154)*KURALLAR!$B$28,0)</f>
        <v>8781</v>
      </c>
      <c r="I1155" s="6">
        <v>1</v>
      </c>
      <c r="J1155" s="9" t="str">
        <f>IFERROR(VLOOKUP($D1155,FIYAT!$B:$O,9,FALSE()),"")</f>
        <v>компл.</v>
      </c>
      <c r="K1155" s="9" t="str">
        <f>IFERROR(VLOOKUP($D1155,FIYAT!$B:$O,4,FALSE()),"")</f>
        <v>MUADIL-NET</v>
      </c>
      <c r="L1155" s="9">
        <f t="shared" si="141"/>
        <v>8781</v>
      </c>
      <c r="M1155" s="9"/>
      <c r="N1155" s="9"/>
      <c r="O1155" s="9"/>
      <c r="P1155" s="9" t="str">
        <f>IF($H1155="","FIYAT_YOK",IFERROR(VLOOKUP($D1155,FIYAT!$B:$P,15,FALSE()),""))</f>
        <v>ORAN</v>
      </c>
      <c r="Q1155" s="9" t="s">
        <v>218</v>
      </c>
      <c r="R1155" s="9" t="s">
        <v>217</v>
      </c>
      <c r="S1155" s="9" t="s">
        <v>637</v>
      </c>
      <c r="T1155" s="9"/>
      <c r="U1155" s="9">
        <v>0</v>
      </c>
    </row>
    <row r="1156" spans="1:21" x14ac:dyDescent="0.25">
      <c r="A1156" s="5">
        <v>1155</v>
      </c>
      <c r="B1156" s="5"/>
      <c r="C1156" s="5" t="s">
        <v>227</v>
      </c>
      <c r="D1156" s="5" t="s">
        <v>225</v>
      </c>
      <c r="E1156" s="5" t="str">
        <f>IFERROR(VLOOKUP($D1156,FIYAT!$B:$O,2,FALSE()),"")</f>
        <v>Сборка, кабелирование, маркировка, момент затяжки, испытания</v>
      </c>
      <c r="F1156" s="5">
        <f>IFERROR(VLOOKUP($D1156,FIYAT!$B:$O,5,FALSE()),"")</f>
        <v>100</v>
      </c>
      <c r="G1156" s="5">
        <f>IFERROR(VLOOKUP($D1156,FIYAT!$B:$O,8,FALSE()),"")</f>
        <v>100</v>
      </c>
      <c r="H1156" s="5">
        <f>IF(OR($G1156="",$I1156=""),"",$G1156*$I1156)</f>
        <v>22800</v>
      </c>
      <c r="I1156" s="6">
        <f>ROUND(SUM($U$1143:$U$1155)*KURALLAR!$B$27,0)</f>
        <v>228</v>
      </c>
      <c r="J1156" s="5" t="str">
        <f>IFERROR(VLOOKUP($D1156,FIYAT!$B:$O,9,FALSE()),"")</f>
        <v>мин</v>
      </c>
      <c r="K1156" s="5" t="str">
        <f>IFERROR(VLOOKUP($D1156,FIYAT!$B:$O,4,FALSE()),"")</f>
        <v>ISCILIK</v>
      </c>
      <c r="L1156" s="5">
        <f t="shared" si="141"/>
        <v>22800</v>
      </c>
      <c r="M1156" s="5"/>
      <c r="N1156" s="5"/>
      <c r="O1156" s="5"/>
      <c r="P1156" s="5" t="str">
        <f>IF($H1156="","FIYAT_YOK",IFERROR(VLOOKUP($D1156,FIYAT!$B:$P,15,FALSE()),""))</f>
        <v>OK</v>
      </c>
      <c r="Q1156" s="5" t="str">
        <f>CONCATENATE("montaj+test iscilik: ",TEXT($I1156,"# ##0")," dk = ",TEXT($I1156/60,"0,00")," saat (norm x test/etiket carpani)")</f>
        <v>montaj+test iscilik:  228 dk = 3,80 saat (norm x test/etiket carpani)</v>
      </c>
      <c r="R1156" s="5" t="s">
        <v>229</v>
      </c>
      <c r="S1156" s="5" t="s">
        <v>637</v>
      </c>
      <c r="T1156" s="5"/>
      <c r="U1156" s="5">
        <v>0</v>
      </c>
    </row>
    <row r="1157" spans="1:21" x14ac:dyDescent="0.25">
      <c r="A1157" s="10">
        <v>1156</v>
      </c>
      <c r="B1157" s="10" t="s">
        <v>692</v>
      </c>
      <c r="C1157" s="10"/>
      <c r="D1157" s="10"/>
      <c r="E1157" s="10"/>
      <c r="F1157" s="10"/>
      <c r="G1157" s="10"/>
      <c r="H1157" s="10">
        <f>SUBTOTAL(9,H1143:H1156)</f>
        <v>157024.79999999999</v>
      </c>
      <c r="I1157" s="10"/>
      <c r="J1157" s="10"/>
      <c r="K1157" s="10"/>
      <c r="L1157" s="10">
        <f>SUBTOTAL(9,L1143:L1156)</f>
        <v>157024.79999999999</v>
      </c>
      <c r="M1157" s="10"/>
      <c r="N1157" s="10"/>
      <c r="O1157" s="10"/>
      <c r="P1157" s="10"/>
      <c r="Q1157" s="10"/>
      <c r="R1157" s="10"/>
      <c r="S1157" s="10"/>
      <c r="T1157" s="10"/>
      <c r="U1157" s="10">
        <f>SUBTOTAL(9,U1143:U1156)</f>
        <v>198</v>
      </c>
    </row>
    <row r="1158" spans="1:21" x14ac:dyDescent="0.25">
      <c r="A1158" s="8">
        <v>1157</v>
      </c>
      <c r="B1158" s="8" t="str">
        <f>E1158</f>
        <v>BLOK B / 21F-ЩС.1 — НКУ 380/220В 50Гц, FORM 2B, IP31/54</v>
      </c>
      <c r="C1158" s="8" t="s">
        <v>545</v>
      </c>
      <c r="D1158" s="8"/>
      <c r="E1158" s="8" t="s">
        <v>693</v>
      </c>
      <c r="F1158" s="8"/>
      <c r="G1158" s="8"/>
      <c r="H1158" s="8"/>
      <c r="I1158" s="8">
        <v>1</v>
      </c>
      <c r="J1158" s="8" t="s">
        <v>547</v>
      </c>
      <c r="K1158" s="8"/>
      <c r="L1158" s="8"/>
      <c r="M1158" s="8"/>
      <c r="N1158" s="8"/>
      <c r="O1158" s="8"/>
      <c r="P1158" s="8" t="s">
        <v>178</v>
      </c>
      <c r="Q1158" s="8" t="s">
        <v>548</v>
      </c>
      <c r="R1158" s="8" t="s">
        <v>549</v>
      </c>
      <c r="S1158" s="8" t="s">
        <v>637</v>
      </c>
      <c r="T1158" s="8"/>
      <c r="U1158" s="8"/>
    </row>
    <row r="1159" spans="1:21" x14ac:dyDescent="0.25">
      <c r="A1159" s="9">
        <v>1158</v>
      </c>
      <c r="B1159" s="9"/>
      <c r="C1159" s="9" t="s">
        <v>169</v>
      </c>
      <c r="D1159" s="9" t="s">
        <v>167</v>
      </c>
      <c r="E1159" s="9" t="str">
        <f>IFERROR(VLOOKUP($D1159,FIYAT!$B:$O,2,FALSE()),"")</f>
        <v>Авт. выкл. NM8N-125C TM 3P 32А 36кА с рег. термомаг. расцепителем (R)</v>
      </c>
      <c r="F1159" s="9">
        <f>IFERROR(VLOOKUP($D1159,FIYAT!$B:$O,5,FALSE()),"")</f>
        <v>64667</v>
      </c>
      <c r="G1159" s="9">
        <f>IFERROR(VLOOKUP($D1159,FIYAT!$B:$O,8,FALSE()),"")</f>
        <v>38800.199999999997</v>
      </c>
      <c r="H1159" s="9">
        <f t="shared" ref="H1159:H1170" si="142">IF(OR($G1159="",$I1159=""),"",$G1159*$I1159)</f>
        <v>38800.199999999997</v>
      </c>
      <c r="I1159" s="6">
        <v>1</v>
      </c>
      <c r="J1159" s="9" t="str">
        <f>IFERROR(VLOOKUP($D1159,FIYAT!$B:$O,9,FALSE()),"")</f>
        <v>Шт.</v>
      </c>
      <c r="K1159" s="9" t="str">
        <f>IFERROR(VLOOKUP($D1159,FIYAT!$B:$O,4,FALSE()),"")</f>
        <v>CHINT</v>
      </c>
      <c r="L1159" s="9">
        <f t="shared" ref="L1159:L1172" si="143">IF($H1159="","",$H1159)</f>
        <v>38800.199999999997</v>
      </c>
      <c r="M1159" s="9"/>
      <c r="N1159" s="9"/>
      <c r="O1159" s="9"/>
      <c r="P1159" s="9" t="str">
        <f>IF($H1159="","FIYAT_YOK",IFERROR(VLOOKUP($D1159,FIYAT!$B:$P,15,FALSE()),""))</f>
        <v>MUADIL</v>
      </c>
      <c r="Q1159" s="9" t="s">
        <v>172</v>
      </c>
      <c r="R1159" s="9" t="s">
        <v>171</v>
      </c>
      <c r="S1159" s="9" t="s">
        <v>637</v>
      </c>
      <c r="T1159" s="9" t="s">
        <v>61</v>
      </c>
      <c r="U1159" s="9">
        <f>IFERROR(VLOOKUP($T1159,KURALLAR!$A$32:$B$63,2,FALSE()),0)*IF(ISNUMBER($I1159),$I1159,0)</f>
        <v>15</v>
      </c>
    </row>
    <row r="1160" spans="1:21" x14ac:dyDescent="0.25">
      <c r="A1160" s="5">
        <v>1159</v>
      </c>
      <c r="B1160" s="5"/>
      <c r="C1160" s="5" t="s">
        <v>176</v>
      </c>
      <c r="D1160" s="5" t="s">
        <v>174</v>
      </c>
      <c r="E1160" s="5" t="str">
        <f>IFERROR(VLOOKUP($D1160,FIYAT!$B:$O,2,FALSE()),"")</f>
        <v>УЗО NL1-63 6kA 4P 63A 300mA тип AC (R)</v>
      </c>
      <c r="F1160" s="5">
        <f>IFERROR(VLOOKUP($D1160,FIYAT!$B:$O,5,FALSE()),"")</f>
        <v>18106</v>
      </c>
      <c r="G1160" s="5">
        <f>IFERROR(VLOOKUP($D1160,FIYAT!$B:$O,8,FALSE()),"")</f>
        <v>10863.6</v>
      </c>
      <c r="H1160" s="5">
        <f t="shared" si="142"/>
        <v>10863.6</v>
      </c>
      <c r="I1160" s="6">
        <v>1</v>
      </c>
      <c r="J1160" s="5" t="str">
        <f>IFERROR(VLOOKUP($D1160,FIYAT!$B:$O,9,FALSE()),"")</f>
        <v>Шт.</v>
      </c>
      <c r="K1160" s="5" t="str">
        <f>IFERROR(VLOOKUP($D1160,FIYAT!$B:$O,4,FALSE()),"")</f>
        <v>CHINT</v>
      </c>
      <c r="L1160" s="5">
        <f t="shared" si="143"/>
        <v>10863.6</v>
      </c>
      <c r="M1160" s="5"/>
      <c r="N1160" s="5"/>
      <c r="O1160" s="5"/>
      <c r="P1160" s="5" t="str">
        <f>IF($H1160="","FIYAT_YOK",IFERROR(VLOOKUP($D1160,FIYAT!$B:$P,15,FALSE()),""))</f>
        <v>OK</v>
      </c>
      <c r="Q1160" s="5" t="s">
        <v>177</v>
      </c>
      <c r="R1160" s="5" t="s">
        <v>171</v>
      </c>
      <c r="S1160" s="5" t="s">
        <v>637</v>
      </c>
      <c r="T1160" s="5" t="s">
        <v>57</v>
      </c>
      <c r="U1160" s="5">
        <f>IFERROR(VLOOKUP($T1160,KURALLAR!$A$32:$B$63,2,FALSE()),0)*IF(ISNUMBER($I1160),$I1160,0)</f>
        <v>10</v>
      </c>
    </row>
    <row r="1161" spans="1:21" x14ac:dyDescent="0.25">
      <c r="A1161" s="9">
        <v>1160</v>
      </c>
      <c r="B1161" s="9"/>
      <c r="C1161" s="9" t="s">
        <v>79</v>
      </c>
      <c r="D1161" s="9" t="s">
        <v>179</v>
      </c>
      <c r="E1161" s="9" t="str">
        <f>IFERROR(VLOOKUP($D1161,FIYAT!$B:$O,2,FALSE()),"")</f>
        <v>Держатель плавкой вставки RT36-00-160, габарит 00, 160А</v>
      </c>
      <c r="F1161" s="9">
        <f>IFERROR(VLOOKUP($D1161,FIYAT!$B:$O,5,FALSE()),"")</f>
        <v>2038</v>
      </c>
      <c r="G1161" s="9">
        <f>IFERROR(VLOOKUP($D1161,FIYAT!$B:$O,8,FALSE()),"")</f>
        <v>1222.8</v>
      </c>
      <c r="H1161" s="9">
        <f t="shared" si="142"/>
        <v>4891.2</v>
      </c>
      <c r="I1161" s="6">
        <v>4</v>
      </c>
      <c r="J1161" s="9" t="str">
        <f>IFERROR(VLOOKUP($D1161,FIYAT!$B:$O,9,FALSE()),"")</f>
        <v>Шт.</v>
      </c>
      <c r="K1161" s="9" t="str">
        <f>IFERROR(VLOOKUP($D1161,FIYAT!$B:$O,4,FALSE()),"")</f>
        <v>CHINT</v>
      </c>
      <c r="L1161" s="9">
        <f t="shared" si="143"/>
        <v>4891.2</v>
      </c>
      <c r="M1161" s="9"/>
      <c r="N1161" s="9"/>
      <c r="O1161" s="9"/>
      <c r="P1161" s="9" t="str">
        <f>IF($H1161="","FIYAT_YOK",IFERROR(VLOOKUP($D1161,FIYAT!$B:$P,15,FALSE()),""))</f>
        <v>MUADIL</v>
      </c>
      <c r="Q1161" s="9" t="s">
        <v>181</v>
      </c>
      <c r="R1161" s="9" t="s">
        <v>171</v>
      </c>
      <c r="S1161" s="9" t="s">
        <v>637</v>
      </c>
      <c r="T1161" s="9" t="s">
        <v>77</v>
      </c>
      <c r="U1161" s="9">
        <f>IFERROR(VLOOKUP($T1161,KURALLAR!$A$32:$B$63,2,FALSE()),0)*IF(ISNUMBER($I1161),$I1161,0)</f>
        <v>20</v>
      </c>
    </row>
    <row r="1162" spans="1:21" x14ac:dyDescent="0.25">
      <c r="A1162" s="5">
        <v>1161</v>
      </c>
      <c r="B1162" s="5"/>
      <c r="C1162" s="5" t="s">
        <v>79</v>
      </c>
      <c r="D1162" s="5" t="s">
        <v>182</v>
      </c>
      <c r="E1162" s="5" t="str">
        <f>IFERROR(VLOOKUP($D1162,FIYAT!$B:$O,2,FALSE()),"")</f>
        <v>Плавкая вставка предохранителя RT36-00-160, габарит 00, 63А</v>
      </c>
      <c r="F1162" s="5">
        <f>IFERROR(VLOOKUP($D1162,FIYAT!$B:$O,5,FALSE()),"")</f>
        <v>1525</v>
      </c>
      <c r="G1162" s="5">
        <f>IFERROR(VLOOKUP($D1162,FIYAT!$B:$O,8,FALSE()),"")</f>
        <v>915</v>
      </c>
      <c r="H1162" s="5">
        <f t="shared" si="142"/>
        <v>3660</v>
      </c>
      <c r="I1162" s="6">
        <v>4</v>
      </c>
      <c r="J1162" s="5" t="str">
        <f>IFERROR(VLOOKUP($D1162,FIYAT!$B:$O,9,FALSE()),"")</f>
        <v>Шт.</v>
      </c>
      <c r="K1162" s="5" t="str">
        <f>IFERROR(VLOOKUP($D1162,FIYAT!$B:$O,4,FALSE()),"")</f>
        <v>CHINT</v>
      </c>
      <c r="L1162" s="5">
        <f t="shared" si="143"/>
        <v>3660</v>
      </c>
      <c r="M1162" s="5"/>
      <c r="N1162" s="5"/>
      <c r="O1162" s="5"/>
      <c r="P1162" s="5" t="str">
        <f>IF($H1162="","FIYAT_YOK",IFERROR(VLOOKUP($D1162,FIYAT!$B:$P,15,FALSE()),""))</f>
        <v>MUADIL</v>
      </c>
      <c r="Q1162" s="5" t="s">
        <v>185</v>
      </c>
      <c r="R1162" s="5" t="s">
        <v>184</v>
      </c>
      <c r="S1162" s="5" t="s">
        <v>637</v>
      </c>
      <c r="T1162" s="5" t="s">
        <v>79</v>
      </c>
      <c r="U1162" s="5">
        <f>IFERROR(VLOOKUP($T1162,KURALLAR!$A$32:$B$63,2,FALSE()),0)*IF(ISNUMBER($I1162),$I1162,0)</f>
        <v>12</v>
      </c>
    </row>
    <row r="1163" spans="1:21" x14ac:dyDescent="0.25">
      <c r="A1163" s="9">
        <v>1162</v>
      </c>
      <c r="B1163" s="9"/>
      <c r="C1163" s="9" t="s">
        <v>75</v>
      </c>
      <c r="D1163" s="9" t="s">
        <v>186</v>
      </c>
      <c r="E1163" s="9" t="str">
        <f>IFERROR(VLOOKUP($D1163,FIYAT!$B:$O,2,FALSE()),"")</f>
        <v>Ограничитель имп. перенапр. NU6-IIG 4Р In=25kA Uc=440B Im=65kA (R)</v>
      </c>
      <c r="F1163" s="9">
        <f>IFERROR(VLOOKUP($D1163,FIYAT!$B:$O,5,FALSE()),"")</f>
        <v>33208</v>
      </c>
      <c r="G1163" s="9">
        <f>IFERROR(VLOOKUP($D1163,FIYAT!$B:$O,8,FALSE()),"")</f>
        <v>19924.8</v>
      </c>
      <c r="H1163" s="9">
        <f t="shared" si="142"/>
        <v>19924.8</v>
      </c>
      <c r="I1163" s="6">
        <v>1</v>
      </c>
      <c r="J1163" s="9" t="str">
        <f>IFERROR(VLOOKUP($D1163,FIYAT!$B:$O,9,FALSE()),"")</f>
        <v>Шт.</v>
      </c>
      <c r="K1163" s="9" t="str">
        <f>IFERROR(VLOOKUP($D1163,FIYAT!$B:$O,4,FALSE()),"")</f>
        <v>CHINT</v>
      </c>
      <c r="L1163" s="9">
        <f t="shared" si="143"/>
        <v>19924.8</v>
      </c>
      <c r="M1163" s="9"/>
      <c r="N1163" s="9"/>
      <c r="O1163" s="9"/>
      <c r="P1163" s="9" t="str">
        <f>IF($H1163="","FIYAT_YOK",IFERROR(VLOOKUP($D1163,FIYAT!$B:$P,15,FALSE()),""))</f>
        <v>MUADIL_ONAY</v>
      </c>
      <c r="Q1163" s="9" t="s">
        <v>188</v>
      </c>
      <c r="R1163" s="9" t="s">
        <v>184</v>
      </c>
      <c r="S1163" s="9" t="s">
        <v>637</v>
      </c>
      <c r="T1163" s="9" t="s">
        <v>75</v>
      </c>
      <c r="U1163" s="9">
        <f>IFERROR(VLOOKUP($T1163,KURALLAR!$A$32:$B$63,2,FALSE()),0)*IF(ISNUMBER($I1163),$I1163,0)</f>
        <v>10</v>
      </c>
    </row>
    <row r="1164" spans="1:21" x14ac:dyDescent="0.25">
      <c r="A1164" s="5">
        <v>1163</v>
      </c>
      <c r="B1164" s="5"/>
      <c r="C1164" s="5" t="s">
        <v>192</v>
      </c>
      <c r="D1164" s="5" t="s">
        <v>321</v>
      </c>
      <c r="E1164" s="5" t="str">
        <f>IFERROR(VLOOKUP($D1164,FIYAT!$B:$O,2,FALSE()),"")</f>
        <v>Авт. выкл. NXB-63 1P 25A 6кА х-ка C (R)</v>
      </c>
      <c r="F1164" s="5">
        <f>IFERROR(VLOOKUP($D1164,FIYAT!$B:$O,5,FALSE()),"")</f>
        <v>1330</v>
      </c>
      <c r="G1164" s="5">
        <f>IFERROR(VLOOKUP($D1164,FIYAT!$B:$O,8,FALSE()),"")</f>
        <v>798</v>
      </c>
      <c r="H1164" s="5">
        <f t="shared" si="142"/>
        <v>798</v>
      </c>
      <c r="I1164" s="6">
        <v>1</v>
      </c>
      <c r="J1164" s="5" t="str">
        <f>IFERROR(VLOOKUP($D1164,FIYAT!$B:$O,9,FALSE()),"")</f>
        <v>Шт.</v>
      </c>
      <c r="K1164" s="5" t="str">
        <f>IFERROR(VLOOKUP($D1164,FIYAT!$B:$O,4,FALSE()),"")</f>
        <v>CHINT</v>
      </c>
      <c r="L1164" s="5">
        <f t="shared" si="143"/>
        <v>798</v>
      </c>
      <c r="M1164" s="5"/>
      <c r="N1164" s="5"/>
      <c r="O1164" s="5"/>
      <c r="P1164" s="5" t="str">
        <f>IF($H1164="","FIYAT_YOK",IFERROR(VLOOKUP($D1164,FIYAT!$B:$P,15,FALSE()),""))</f>
        <v>OK</v>
      </c>
      <c r="Q1164" s="5" t="s">
        <v>323</v>
      </c>
      <c r="R1164" s="5" t="s">
        <v>171</v>
      </c>
      <c r="S1164" s="5" t="s">
        <v>637</v>
      </c>
      <c r="T1164" s="5" t="s">
        <v>47</v>
      </c>
      <c r="U1164" s="5">
        <f>IFERROR(VLOOKUP($T1164,KURALLAR!$A$32:$B$63,2,FALSE()),0)*IF(ISNUMBER($I1164),$I1164,0)</f>
        <v>3</v>
      </c>
    </row>
    <row r="1165" spans="1:21" x14ac:dyDescent="0.25">
      <c r="A1165" s="9">
        <v>1164</v>
      </c>
      <c r="B1165" s="9"/>
      <c r="C1165" s="9" t="s">
        <v>176</v>
      </c>
      <c r="D1165" s="9" t="s">
        <v>324</v>
      </c>
      <c r="E1165" s="9" t="str">
        <f>IFERROR(VLOOKUP($D1165,FIYAT!$B:$O,2,FALSE()),"")</f>
        <v>УЗО NL1-63 6kA 2P 25A 30mA тип AC (R)</v>
      </c>
      <c r="F1165" s="9">
        <f>IFERROR(VLOOKUP($D1165,FIYAT!$B:$O,5,FALSE()),"")</f>
        <v>10809</v>
      </c>
      <c r="G1165" s="9">
        <f>IFERROR(VLOOKUP($D1165,FIYAT!$B:$O,8,FALSE()),"")</f>
        <v>6485.4</v>
      </c>
      <c r="H1165" s="9">
        <f t="shared" si="142"/>
        <v>6485.4</v>
      </c>
      <c r="I1165" s="6">
        <v>1</v>
      </c>
      <c r="J1165" s="9" t="str">
        <f>IFERROR(VLOOKUP($D1165,FIYAT!$B:$O,9,FALSE()),"")</f>
        <v>Шт.</v>
      </c>
      <c r="K1165" s="9" t="str">
        <f>IFERROR(VLOOKUP($D1165,FIYAT!$B:$O,4,FALSE()),"")</f>
        <v>CHINT</v>
      </c>
      <c r="L1165" s="9">
        <f t="shared" si="143"/>
        <v>6485.4</v>
      </c>
      <c r="M1165" s="9"/>
      <c r="N1165" s="9"/>
      <c r="O1165" s="9"/>
      <c r="P1165" s="9" t="str">
        <f>IF($H1165="","FIYAT_YOK",IFERROR(VLOOKUP($D1165,FIYAT!$B:$P,15,FALSE()),""))</f>
        <v>OK</v>
      </c>
      <c r="Q1165" s="9" t="s">
        <v>326</v>
      </c>
      <c r="R1165" s="9" t="s">
        <v>171</v>
      </c>
      <c r="S1165" s="9" t="s">
        <v>637</v>
      </c>
      <c r="T1165" s="9" t="s">
        <v>55</v>
      </c>
      <c r="U1165" s="9">
        <f>IFERROR(VLOOKUP($T1165,KURALLAR!$A$32:$B$63,2,FALSE()),0)*IF(ISNUMBER($I1165),$I1165,0)</f>
        <v>6</v>
      </c>
    </row>
    <row r="1166" spans="1:21" x14ac:dyDescent="0.25">
      <c r="A1166" s="5">
        <v>1165</v>
      </c>
      <c r="B1166" s="5"/>
      <c r="C1166" s="5" t="s">
        <v>192</v>
      </c>
      <c r="D1166" s="5" t="s">
        <v>194</v>
      </c>
      <c r="E1166" s="5" t="str">
        <f>IFERROR(VLOOKUP($D1166,FIYAT!$B:$O,2,FALSE()),"")</f>
        <v>Авт. выкл. NXB-63 1P 16A 6кА х-ка C (R)</v>
      </c>
      <c r="F1166" s="5">
        <f>IFERROR(VLOOKUP($D1166,FIYAT!$B:$O,5,FALSE()),"")</f>
        <v>1389</v>
      </c>
      <c r="G1166" s="5">
        <f>IFERROR(VLOOKUP($D1166,FIYAT!$B:$O,8,FALSE()),"")</f>
        <v>833.4</v>
      </c>
      <c r="H1166" s="5">
        <f t="shared" si="142"/>
        <v>7500.5999999999995</v>
      </c>
      <c r="I1166" s="6">
        <v>9</v>
      </c>
      <c r="J1166" s="5" t="str">
        <f>IFERROR(VLOOKUP($D1166,FIYAT!$B:$O,9,FALSE()),"")</f>
        <v>Шт.</v>
      </c>
      <c r="K1166" s="5" t="str">
        <f>IFERROR(VLOOKUP($D1166,FIYAT!$B:$O,4,FALSE()),"")</f>
        <v>CHINT</v>
      </c>
      <c r="L1166" s="5">
        <f t="shared" si="143"/>
        <v>7500.5999999999995</v>
      </c>
      <c r="M1166" s="5"/>
      <c r="N1166" s="5"/>
      <c r="O1166" s="5"/>
      <c r="P1166" s="5" t="str">
        <f>IF($H1166="","FIYAT_YOK",IFERROR(VLOOKUP($D1166,FIYAT!$B:$P,15,FALSE()),""))</f>
        <v>OK</v>
      </c>
      <c r="Q1166" s="5" t="s">
        <v>196</v>
      </c>
      <c r="R1166" s="5" t="s">
        <v>171</v>
      </c>
      <c r="S1166" s="5" t="s">
        <v>637</v>
      </c>
      <c r="T1166" s="5" t="s">
        <v>47</v>
      </c>
      <c r="U1166" s="5">
        <f>IFERROR(VLOOKUP($T1166,KURALLAR!$A$32:$B$63,2,FALSE()),0)*IF(ISNUMBER($I1166),$I1166,0)</f>
        <v>27</v>
      </c>
    </row>
    <row r="1167" spans="1:21" x14ac:dyDescent="0.25">
      <c r="A1167" s="9">
        <v>1166</v>
      </c>
      <c r="B1167" s="9"/>
      <c r="C1167" s="9" t="s">
        <v>176</v>
      </c>
      <c r="D1167" s="9" t="s">
        <v>200</v>
      </c>
      <c r="E1167" s="9" t="str">
        <f>IFERROR(VLOOKUP($D1167,FIYAT!$B:$O,2,FALSE()),"")</f>
        <v>УЗО NL1-63 6kA 2P 16A 30mA тип AC (R)</v>
      </c>
      <c r="F1167" s="9">
        <f>IFERROR(VLOOKUP($D1167,FIYAT!$B:$O,5,FALSE()),"")</f>
        <v>10809</v>
      </c>
      <c r="G1167" s="9">
        <f>IFERROR(VLOOKUP($D1167,FIYAT!$B:$O,8,FALSE()),"")</f>
        <v>6485.4</v>
      </c>
      <c r="H1167" s="9">
        <f t="shared" si="142"/>
        <v>6485.4</v>
      </c>
      <c r="I1167" s="6">
        <v>1</v>
      </c>
      <c r="J1167" s="9" t="str">
        <f>IFERROR(VLOOKUP($D1167,FIYAT!$B:$O,9,FALSE()),"")</f>
        <v>Шт.</v>
      </c>
      <c r="K1167" s="9" t="str">
        <f>IFERROR(VLOOKUP($D1167,FIYAT!$B:$O,4,FALSE()),"")</f>
        <v>CHINT</v>
      </c>
      <c r="L1167" s="9">
        <f t="shared" si="143"/>
        <v>6485.4</v>
      </c>
      <c r="M1167" s="9"/>
      <c r="N1167" s="9"/>
      <c r="O1167" s="9"/>
      <c r="P1167" s="9" t="str">
        <f>IF($H1167="","FIYAT_YOK",IFERROR(VLOOKUP($D1167,FIYAT!$B:$P,15,FALSE()),""))</f>
        <v>OK</v>
      </c>
      <c r="Q1167" s="9" t="s">
        <v>202</v>
      </c>
      <c r="R1167" s="9" t="s">
        <v>171</v>
      </c>
      <c r="S1167" s="9" t="s">
        <v>637</v>
      </c>
      <c r="T1167" s="9" t="s">
        <v>55</v>
      </c>
      <c r="U1167" s="9">
        <f>IFERROR(VLOOKUP($T1167,KURALLAR!$A$32:$B$63,2,FALSE()),0)*IF(ISNUMBER($I1167),$I1167,0)</f>
        <v>6</v>
      </c>
    </row>
    <row r="1168" spans="1:21" x14ac:dyDescent="0.25">
      <c r="A1168" s="5">
        <v>1167</v>
      </c>
      <c r="B1168" s="5"/>
      <c r="C1168" s="5" t="s">
        <v>192</v>
      </c>
      <c r="D1168" s="5" t="s">
        <v>206</v>
      </c>
      <c r="E1168" s="5" t="str">
        <f>IFERROR(VLOOKUP($D1168,FIYAT!$B:$O,2,FALSE()),"")</f>
        <v>Авт. выкл. NXB-63 1P 10A 6кА х-ка C (R)</v>
      </c>
      <c r="F1168" s="5">
        <f>IFERROR(VLOOKUP($D1168,FIYAT!$B:$O,5,FALSE()),"")</f>
        <v>1362</v>
      </c>
      <c r="G1168" s="5">
        <f>IFERROR(VLOOKUP($D1168,FIYAT!$B:$O,8,FALSE()),"")</f>
        <v>817.19999999999993</v>
      </c>
      <c r="H1168" s="5">
        <f t="shared" si="142"/>
        <v>6537.5999999999995</v>
      </c>
      <c r="I1168" s="6">
        <v>8</v>
      </c>
      <c r="J1168" s="5" t="str">
        <f>IFERROR(VLOOKUP($D1168,FIYAT!$B:$O,9,FALSE()),"")</f>
        <v>Шт.</v>
      </c>
      <c r="K1168" s="5" t="str">
        <f>IFERROR(VLOOKUP($D1168,FIYAT!$B:$O,4,FALSE()),"")</f>
        <v>CHINT</v>
      </c>
      <c r="L1168" s="5">
        <f t="shared" si="143"/>
        <v>6537.5999999999995</v>
      </c>
      <c r="M1168" s="5"/>
      <c r="N1168" s="5"/>
      <c r="O1168" s="5"/>
      <c r="P1168" s="5" t="str">
        <f>IF($H1168="","FIYAT_YOK",IFERROR(VLOOKUP($D1168,FIYAT!$B:$P,15,FALSE()),""))</f>
        <v>OK</v>
      </c>
      <c r="Q1168" s="5" t="s">
        <v>208</v>
      </c>
      <c r="R1168" s="5" t="s">
        <v>184</v>
      </c>
      <c r="S1168" s="5" t="s">
        <v>637</v>
      </c>
      <c r="T1168" s="5" t="s">
        <v>47</v>
      </c>
      <c r="U1168" s="5">
        <f>IFERROR(VLOOKUP($T1168,KURALLAR!$A$32:$B$63,2,FALSE()),0)*IF(ISNUMBER($I1168),$I1168,0)</f>
        <v>24</v>
      </c>
    </row>
    <row r="1169" spans="1:21" x14ac:dyDescent="0.25">
      <c r="A1169" s="9">
        <v>1168</v>
      </c>
      <c r="B1169" s="9"/>
      <c r="C1169" s="9" t="s">
        <v>93</v>
      </c>
      <c r="D1169" s="9" t="s">
        <v>209</v>
      </c>
      <c r="E1169" s="9" t="str">
        <f>IFERROR(VLOOKUP($D1169,FIYAT!$B:$O,2,FALSE()),"")</f>
        <v>Шина "N" нулевая 6х9мм на DIN-рейку в корпусном изоляторе ШНИ 12К IEK (10)</v>
      </c>
      <c r="F1169" s="9">
        <f>IFERROR(VLOOKUP($D1169,FIYAT!$B:$O,5,FALSE()),"")</f>
        <v>755</v>
      </c>
      <c r="G1169" s="9">
        <f>IFERROR(VLOOKUP($D1169,FIYAT!$B:$O,8,FALSE()),"")</f>
        <v>453</v>
      </c>
      <c r="H1169" s="9">
        <f t="shared" si="142"/>
        <v>1812</v>
      </c>
      <c r="I1169" s="6">
        <v>4</v>
      </c>
      <c r="J1169" s="9" t="str">
        <f>IFERROR(VLOOKUP($D1169,FIYAT!$B:$O,9,FALSE()),"")</f>
        <v>Шт.</v>
      </c>
      <c r="K1169" s="9" t="str">
        <f>IFERROR(VLOOKUP($D1169,FIYAT!$B:$O,4,FALSE()),"")</f>
        <v>KAZTEK</v>
      </c>
      <c r="L1169" s="9">
        <f t="shared" si="143"/>
        <v>1812</v>
      </c>
      <c r="M1169" s="9"/>
      <c r="N1169" s="9"/>
      <c r="O1169" s="9"/>
      <c r="P1169" s="9" t="str">
        <f>IF($H1169="","FIYAT_YOK",IFERROR(VLOOKUP($D1169,FIYAT!$B:$P,15,FALSE()),""))</f>
        <v>MUADIL</v>
      </c>
      <c r="Q1169" s="9" t="s">
        <v>212</v>
      </c>
      <c r="R1169" s="9" t="s">
        <v>211</v>
      </c>
      <c r="S1169" s="9" t="s">
        <v>637</v>
      </c>
      <c r="T1169" s="9" t="s">
        <v>93</v>
      </c>
      <c r="U1169" s="9">
        <f>IFERROR(VLOOKUP($T1169,KURALLAR!$A$32:$B$63,2,FALSE()),0)*IF(ISNUMBER($I1169),$I1169,0)</f>
        <v>32</v>
      </c>
    </row>
    <row r="1170" spans="1:21" x14ac:dyDescent="0.25">
      <c r="A1170" s="5">
        <v>1169</v>
      </c>
      <c r="B1170" s="5"/>
      <c r="C1170" s="5" t="s">
        <v>222</v>
      </c>
      <c r="D1170" s="5" t="s">
        <v>220</v>
      </c>
      <c r="E1170" s="5" t="str">
        <f>IFERROR(VLOOKUP($D1170,FIYAT!$B:$O,2,FALSE()),"")</f>
        <v>ЩМП (инд.) IP31 (650х500х150мм)</v>
      </c>
      <c r="F1170" s="5">
        <f>IFERROR(VLOOKUP($D1170,FIYAT!$B:$O,5,FALSE()),"")</f>
        <v>27825</v>
      </c>
      <c r="G1170" s="5">
        <f>IFERROR(VLOOKUP($D1170,FIYAT!$B:$O,8,FALSE()),"")</f>
        <v>16695</v>
      </c>
      <c r="H1170" s="5">
        <f t="shared" si="142"/>
        <v>16695</v>
      </c>
      <c r="I1170" s="6">
        <v>1</v>
      </c>
      <c r="J1170" s="5" t="str">
        <f>IFERROR(VLOOKUP($D1170,FIYAT!$B:$O,9,FALSE()),"")</f>
        <v>Шт.</v>
      </c>
      <c r="K1170" s="5" t="str">
        <f>IFERROR(VLOOKUP($D1170,FIYAT!$B:$O,4,FALSE()),"")</f>
        <v>KAZTEK</v>
      </c>
      <c r="L1170" s="5">
        <f t="shared" si="143"/>
        <v>16695</v>
      </c>
      <c r="M1170" s="5"/>
      <c r="N1170" s="5"/>
      <c r="O1170" s="5"/>
      <c r="P1170" s="5" t="str">
        <f>IF($H1170="","FIYAT_YOK",IFERROR(VLOOKUP($D1170,FIYAT!$B:$P,15,FALSE()),""))</f>
        <v>VARSAYIM</v>
      </c>
      <c r="Q1170" s="5" t="s">
        <v>223</v>
      </c>
      <c r="R1170" s="5" t="s">
        <v>211</v>
      </c>
      <c r="S1170" s="5" t="s">
        <v>637</v>
      </c>
      <c r="T1170" s="5" t="s">
        <v>105</v>
      </c>
      <c r="U1170" s="5">
        <f>IFERROR(VLOOKUP($T1170,KURALLAR!$A$32:$B$63,2,FALSE()),0)*IF(ISNUMBER($I1170),$I1170,0)</f>
        <v>30</v>
      </c>
    </row>
    <row r="1171" spans="1:21" x14ac:dyDescent="0.25">
      <c r="A1171" s="9">
        <v>1170</v>
      </c>
      <c r="B1171" s="9"/>
      <c r="C1171" s="9" t="s">
        <v>215</v>
      </c>
      <c r="D1171" s="9" t="s">
        <v>213</v>
      </c>
      <c r="E1171" s="9" t="str">
        <f>IFERROR(VLOOKUP($D1171,FIYAT!$B:$O,2,FALSE()),"")</f>
        <v>Монтажный расходный материал (кабель, DIN-рейка, кабель-канал, клеммы, маркировка, крепёж)</v>
      </c>
      <c r="F1171" s="9">
        <f>IFERROR(VLOOKUP($D1171,FIYAT!$B:$O,5,FALSE()),"")</f>
        <v>0</v>
      </c>
      <c r="G1171" s="9" t="str">
        <f>IFERROR(VLOOKUP($D1171,FIYAT!$B:$O,8,FALSE()),"")</f>
        <v/>
      </c>
      <c r="H1171" s="9">
        <f>ROUND(SUM($H$1159:$H$1170)*KURALLAR!$B$28,0)</f>
        <v>8712</v>
      </c>
      <c r="I1171" s="6">
        <v>1</v>
      </c>
      <c r="J1171" s="9" t="str">
        <f>IFERROR(VLOOKUP($D1171,FIYAT!$B:$O,9,FALSE()),"")</f>
        <v>компл.</v>
      </c>
      <c r="K1171" s="9" t="str">
        <f>IFERROR(VLOOKUP($D1171,FIYAT!$B:$O,4,FALSE()),"")</f>
        <v>MUADIL-NET</v>
      </c>
      <c r="L1171" s="9">
        <f t="shared" si="143"/>
        <v>8712</v>
      </c>
      <c r="M1171" s="9"/>
      <c r="N1171" s="9"/>
      <c r="O1171" s="9"/>
      <c r="P1171" s="9" t="str">
        <f>IF($H1171="","FIYAT_YOK",IFERROR(VLOOKUP($D1171,FIYAT!$B:$P,15,FALSE()),""))</f>
        <v>ORAN</v>
      </c>
      <c r="Q1171" s="9" t="s">
        <v>218</v>
      </c>
      <c r="R1171" s="9" t="s">
        <v>217</v>
      </c>
      <c r="S1171" s="9" t="s">
        <v>637</v>
      </c>
      <c r="T1171" s="9"/>
      <c r="U1171" s="9">
        <v>0</v>
      </c>
    </row>
    <row r="1172" spans="1:21" x14ac:dyDescent="0.25">
      <c r="A1172" s="5">
        <v>1171</v>
      </c>
      <c r="B1172" s="5"/>
      <c r="C1172" s="5" t="s">
        <v>227</v>
      </c>
      <c r="D1172" s="5" t="s">
        <v>225</v>
      </c>
      <c r="E1172" s="5" t="str">
        <f>IFERROR(VLOOKUP($D1172,FIYAT!$B:$O,2,FALSE()),"")</f>
        <v>Сборка, кабелирование, маркировка, момент затяжки, испытания</v>
      </c>
      <c r="F1172" s="5">
        <f>IFERROR(VLOOKUP($D1172,FIYAT!$B:$O,5,FALSE()),"")</f>
        <v>100</v>
      </c>
      <c r="G1172" s="5">
        <f>IFERROR(VLOOKUP($D1172,FIYAT!$B:$O,8,FALSE()),"")</f>
        <v>100</v>
      </c>
      <c r="H1172" s="5">
        <f>IF(OR($G1172="",$I1172=""),"",$G1172*$I1172)</f>
        <v>22400</v>
      </c>
      <c r="I1172" s="6">
        <f>ROUND(SUM($U$1159:$U$1171)*KURALLAR!$B$27,0)</f>
        <v>224</v>
      </c>
      <c r="J1172" s="5" t="str">
        <f>IFERROR(VLOOKUP($D1172,FIYAT!$B:$O,9,FALSE()),"")</f>
        <v>мин</v>
      </c>
      <c r="K1172" s="5" t="str">
        <f>IFERROR(VLOOKUP($D1172,FIYAT!$B:$O,4,FALSE()),"")</f>
        <v>ISCILIK</v>
      </c>
      <c r="L1172" s="5">
        <f t="shared" si="143"/>
        <v>22400</v>
      </c>
      <c r="M1172" s="5"/>
      <c r="N1172" s="5"/>
      <c r="O1172" s="5"/>
      <c r="P1172" s="5" t="str">
        <f>IF($H1172="","FIYAT_YOK",IFERROR(VLOOKUP($D1172,FIYAT!$B:$P,15,FALSE()),""))</f>
        <v>OK</v>
      </c>
      <c r="Q1172" s="5" t="str">
        <f>CONCATENATE("montaj+test iscilik: ",TEXT($I1172,"# ##0")," dk = ",TEXT($I1172/60,"0,00")," saat (norm x test/etiket carpani)")</f>
        <v>montaj+test iscilik:  224 dk = 3,73 saat (norm x test/etiket carpani)</v>
      </c>
      <c r="R1172" s="5" t="s">
        <v>229</v>
      </c>
      <c r="S1172" s="5" t="s">
        <v>637</v>
      </c>
      <c r="T1172" s="5"/>
      <c r="U1172" s="5">
        <v>0</v>
      </c>
    </row>
    <row r="1173" spans="1:21" x14ac:dyDescent="0.25">
      <c r="A1173" s="10">
        <v>1172</v>
      </c>
      <c r="B1173" s="10" t="s">
        <v>694</v>
      </c>
      <c r="C1173" s="10"/>
      <c r="D1173" s="10"/>
      <c r="E1173" s="10"/>
      <c r="F1173" s="10"/>
      <c r="G1173" s="10"/>
      <c r="H1173" s="10">
        <f>SUBTOTAL(9,H1159:H1172)</f>
        <v>155565.79999999999</v>
      </c>
      <c r="I1173" s="10"/>
      <c r="J1173" s="10"/>
      <c r="K1173" s="10"/>
      <c r="L1173" s="10">
        <f>SUBTOTAL(9,L1159:L1172)</f>
        <v>155565.79999999999</v>
      </c>
      <c r="M1173" s="10"/>
      <c r="N1173" s="10"/>
      <c r="O1173" s="10"/>
      <c r="P1173" s="10"/>
      <c r="Q1173" s="10"/>
      <c r="R1173" s="10"/>
      <c r="S1173" s="10"/>
      <c r="T1173" s="10"/>
      <c r="U1173" s="10">
        <f>SUBTOTAL(9,U1159:U1172)</f>
        <v>195</v>
      </c>
    </row>
    <row r="1174" spans="1:21" x14ac:dyDescent="0.25">
      <c r="A1174" s="8">
        <v>1173</v>
      </c>
      <c r="B1174" s="8" t="str">
        <f>E1174</f>
        <v>BLOK B / 21F-ЩС.2 — НКУ 380/220В 50Гц, FORM 2B, IP31/54</v>
      </c>
      <c r="C1174" s="8" t="s">
        <v>545</v>
      </c>
      <c r="D1174" s="8"/>
      <c r="E1174" s="8" t="s">
        <v>695</v>
      </c>
      <c r="F1174" s="8"/>
      <c r="G1174" s="8"/>
      <c r="H1174" s="8"/>
      <c r="I1174" s="8">
        <v>1</v>
      </c>
      <c r="J1174" s="8" t="s">
        <v>547</v>
      </c>
      <c r="K1174" s="8"/>
      <c r="L1174" s="8"/>
      <c r="M1174" s="8"/>
      <c r="N1174" s="8"/>
      <c r="O1174" s="8"/>
      <c r="P1174" s="8" t="s">
        <v>178</v>
      </c>
      <c r="Q1174" s="8" t="s">
        <v>548</v>
      </c>
      <c r="R1174" s="8" t="s">
        <v>549</v>
      </c>
      <c r="S1174" s="8" t="s">
        <v>637</v>
      </c>
      <c r="T1174" s="8"/>
      <c r="U1174" s="8"/>
    </row>
    <row r="1175" spans="1:21" x14ac:dyDescent="0.25">
      <c r="A1175" s="9">
        <v>1174</v>
      </c>
      <c r="B1175" s="9"/>
      <c r="C1175" s="9" t="s">
        <v>169</v>
      </c>
      <c r="D1175" s="9" t="s">
        <v>167</v>
      </c>
      <c r="E1175" s="9" t="str">
        <f>IFERROR(VLOOKUP($D1175,FIYAT!$B:$O,2,FALSE()),"")</f>
        <v>Авт. выкл. NM8N-125C TM 3P 32А 36кА с рег. термомаг. расцепителем (R)</v>
      </c>
      <c r="F1175" s="9">
        <f>IFERROR(VLOOKUP($D1175,FIYAT!$B:$O,5,FALSE()),"")</f>
        <v>64667</v>
      </c>
      <c r="G1175" s="9">
        <f>IFERROR(VLOOKUP($D1175,FIYAT!$B:$O,8,FALSE()),"")</f>
        <v>38800.199999999997</v>
      </c>
      <c r="H1175" s="9">
        <f t="shared" ref="H1175:H1186" si="144">IF(OR($G1175="",$I1175=""),"",$G1175*$I1175)</f>
        <v>38800.199999999997</v>
      </c>
      <c r="I1175" s="6">
        <v>1</v>
      </c>
      <c r="J1175" s="9" t="str">
        <f>IFERROR(VLOOKUP($D1175,FIYAT!$B:$O,9,FALSE()),"")</f>
        <v>Шт.</v>
      </c>
      <c r="K1175" s="9" t="str">
        <f>IFERROR(VLOOKUP($D1175,FIYAT!$B:$O,4,FALSE()),"")</f>
        <v>CHINT</v>
      </c>
      <c r="L1175" s="9">
        <f t="shared" ref="L1175:L1188" si="145">IF($H1175="","",$H1175)</f>
        <v>38800.199999999997</v>
      </c>
      <c r="M1175" s="9"/>
      <c r="N1175" s="9"/>
      <c r="O1175" s="9"/>
      <c r="P1175" s="9" t="str">
        <f>IF($H1175="","FIYAT_YOK",IFERROR(VLOOKUP($D1175,FIYAT!$B:$P,15,FALSE()),""))</f>
        <v>MUADIL</v>
      </c>
      <c r="Q1175" s="9" t="s">
        <v>172</v>
      </c>
      <c r="R1175" s="9" t="s">
        <v>171</v>
      </c>
      <c r="S1175" s="9" t="s">
        <v>637</v>
      </c>
      <c r="T1175" s="9" t="s">
        <v>61</v>
      </c>
      <c r="U1175" s="9">
        <f>IFERROR(VLOOKUP($T1175,KURALLAR!$A$32:$B$63,2,FALSE()),0)*IF(ISNUMBER($I1175),$I1175,0)</f>
        <v>15</v>
      </c>
    </row>
    <row r="1176" spans="1:21" x14ac:dyDescent="0.25">
      <c r="A1176" s="5">
        <v>1175</v>
      </c>
      <c r="B1176" s="5"/>
      <c r="C1176" s="5" t="s">
        <v>176</v>
      </c>
      <c r="D1176" s="5" t="s">
        <v>174</v>
      </c>
      <c r="E1176" s="5" t="str">
        <f>IFERROR(VLOOKUP($D1176,FIYAT!$B:$O,2,FALSE()),"")</f>
        <v>УЗО NL1-63 6kA 4P 63A 300mA тип AC (R)</v>
      </c>
      <c r="F1176" s="5">
        <f>IFERROR(VLOOKUP($D1176,FIYAT!$B:$O,5,FALSE()),"")</f>
        <v>18106</v>
      </c>
      <c r="G1176" s="5">
        <f>IFERROR(VLOOKUP($D1176,FIYAT!$B:$O,8,FALSE()),"")</f>
        <v>10863.6</v>
      </c>
      <c r="H1176" s="5">
        <f t="shared" si="144"/>
        <v>10863.6</v>
      </c>
      <c r="I1176" s="6">
        <v>1</v>
      </c>
      <c r="J1176" s="5" t="str">
        <f>IFERROR(VLOOKUP($D1176,FIYAT!$B:$O,9,FALSE()),"")</f>
        <v>Шт.</v>
      </c>
      <c r="K1176" s="5" t="str">
        <f>IFERROR(VLOOKUP($D1176,FIYAT!$B:$O,4,FALSE()),"")</f>
        <v>CHINT</v>
      </c>
      <c r="L1176" s="5">
        <f t="shared" si="145"/>
        <v>10863.6</v>
      </c>
      <c r="M1176" s="5"/>
      <c r="N1176" s="5"/>
      <c r="O1176" s="5"/>
      <c r="P1176" s="5" t="str">
        <f>IF($H1176="","FIYAT_YOK",IFERROR(VLOOKUP($D1176,FIYAT!$B:$P,15,FALSE()),""))</f>
        <v>OK</v>
      </c>
      <c r="Q1176" s="5" t="s">
        <v>177</v>
      </c>
      <c r="R1176" s="5" t="s">
        <v>171</v>
      </c>
      <c r="S1176" s="5" t="s">
        <v>637</v>
      </c>
      <c r="T1176" s="5" t="s">
        <v>57</v>
      </c>
      <c r="U1176" s="5">
        <f>IFERROR(VLOOKUP($T1176,KURALLAR!$A$32:$B$63,2,FALSE()),0)*IF(ISNUMBER($I1176),$I1176,0)</f>
        <v>10</v>
      </c>
    </row>
    <row r="1177" spans="1:21" x14ac:dyDescent="0.25">
      <c r="A1177" s="9">
        <v>1176</v>
      </c>
      <c r="B1177" s="9"/>
      <c r="C1177" s="9" t="s">
        <v>79</v>
      </c>
      <c r="D1177" s="9" t="s">
        <v>179</v>
      </c>
      <c r="E1177" s="9" t="str">
        <f>IFERROR(VLOOKUP($D1177,FIYAT!$B:$O,2,FALSE()),"")</f>
        <v>Держатель плавкой вставки RT36-00-160, габарит 00, 160А</v>
      </c>
      <c r="F1177" s="9">
        <f>IFERROR(VLOOKUP($D1177,FIYAT!$B:$O,5,FALSE()),"")</f>
        <v>2038</v>
      </c>
      <c r="G1177" s="9">
        <f>IFERROR(VLOOKUP($D1177,FIYAT!$B:$O,8,FALSE()),"")</f>
        <v>1222.8</v>
      </c>
      <c r="H1177" s="9">
        <f t="shared" si="144"/>
        <v>4891.2</v>
      </c>
      <c r="I1177" s="6">
        <v>4</v>
      </c>
      <c r="J1177" s="9" t="str">
        <f>IFERROR(VLOOKUP($D1177,FIYAT!$B:$O,9,FALSE()),"")</f>
        <v>Шт.</v>
      </c>
      <c r="K1177" s="9" t="str">
        <f>IFERROR(VLOOKUP($D1177,FIYAT!$B:$O,4,FALSE()),"")</f>
        <v>CHINT</v>
      </c>
      <c r="L1177" s="9">
        <f t="shared" si="145"/>
        <v>4891.2</v>
      </c>
      <c r="M1177" s="9"/>
      <c r="N1177" s="9"/>
      <c r="O1177" s="9"/>
      <c r="P1177" s="9" t="str">
        <f>IF($H1177="","FIYAT_YOK",IFERROR(VLOOKUP($D1177,FIYAT!$B:$P,15,FALSE()),""))</f>
        <v>MUADIL</v>
      </c>
      <c r="Q1177" s="9" t="s">
        <v>181</v>
      </c>
      <c r="R1177" s="9" t="s">
        <v>171</v>
      </c>
      <c r="S1177" s="9" t="s">
        <v>637</v>
      </c>
      <c r="T1177" s="9" t="s">
        <v>77</v>
      </c>
      <c r="U1177" s="9">
        <f>IFERROR(VLOOKUP($T1177,KURALLAR!$A$32:$B$63,2,FALSE()),0)*IF(ISNUMBER($I1177),$I1177,0)</f>
        <v>20</v>
      </c>
    </row>
    <row r="1178" spans="1:21" x14ac:dyDescent="0.25">
      <c r="A1178" s="5">
        <v>1177</v>
      </c>
      <c r="B1178" s="5"/>
      <c r="C1178" s="5" t="s">
        <v>79</v>
      </c>
      <c r="D1178" s="5" t="s">
        <v>182</v>
      </c>
      <c r="E1178" s="5" t="str">
        <f>IFERROR(VLOOKUP($D1178,FIYAT!$B:$O,2,FALSE()),"")</f>
        <v>Плавкая вставка предохранителя RT36-00-160, габарит 00, 63А</v>
      </c>
      <c r="F1178" s="5">
        <f>IFERROR(VLOOKUP($D1178,FIYAT!$B:$O,5,FALSE()),"")</f>
        <v>1525</v>
      </c>
      <c r="G1178" s="5">
        <f>IFERROR(VLOOKUP($D1178,FIYAT!$B:$O,8,FALSE()),"")</f>
        <v>915</v>
      </c>
      <c r="H1178" s="5">
        <f t="shared" si="144"/>
        <v>3660</v>
      </c>
      <c r="I1178" s="6">
        <v>4</v>
      </c>
      <c r="J1178" s="5" t="str">
        <f>IFERROR(VLOOKUP($D1178,FIYAT!$B:$O,9,FALSE()),"")</f>
        <v>Шт.</v>
      </c>
      <c r="K1178" s="5" t="str">
        <f>IFERROR(VLOOKUP($D1178,FIYAT!$B:$O,4,FALSE()),"")</f>
        <v>CHINT</v>
      </c>
      <c r="L1178" s="5">
        <f t="shared" si="145"/>
        <v>3660</v>
      </c>
      <c r="M1178" s="5"/>
      <c r="N1178" s="5"/>
      <c r="O1178" s="5"/>
      <c r="P1178" s="5" t="str">
        <f>IF($H1178="","FIYAT_YOK",IFERROR(VLOOKUP($D1178,FIYAT!$B:$P,15,FALSE()),""))</f>
        <v>MUADIL</v>
      </c>
      <c r="Q1178" s="5" t="s">
        <v>185</v>
      </c>
      <c r="R1178" s="5" t="s">
        <v>184</v>
      </c>
      <c r="S1178" s="5" t="s">
        <v>637</v>
      </c>
      <c r="T1178" s="5" t="s">
        <v>79</v>
      </c>
      <c r="U1178" s="5">
        <f>IFERROR(VLOOKUP($T1178,KURALLAR!$A$32:$B$63,2,FALSE()),0)*IF(ISNUMBER($I1178),$I1178,0)</f>
        <v>12</v>
      </c>
    </row>
    <row r="1179" spans="1:21" x14ac:dyDescent="0.25">
      <c r="A1179" s="9">
        <v>1178</v>
      </c>
      <c r="B1179" s="9"/>
      <c r="C1179" s="9" t="s">
        <v>75</v>
      </c>
      <c r="D1179" s="9" t="s">
        <v>186</v>
      </c>
      <c r="E1179" s="9" t="str">
        <f>IFERROR(VLOOKUP($D1179,FIYAT!$B:$O,2,FALSE()),"")</f>
        <v>Ограничитель имп. перенапр. NU6-IIG 4Р In=25kA Uc=440B Im=65kA (R)</v>
      </c>
      <c r="F1179" s="9">
        <f>IFERROR(VLOOKUP($D1179,FIYAT!$B:$O,5,FALSE()),"")</f>
        <v>33208</v>
      </c>
      <c r="G1179" s="9">
        <f>IFERROR(VLOOKUP($D1179,FIYAT!$B:$O,8,FALSE()),"")</f>
        <v>19924.8</v>
      </c>
      <c r="H1179" s="9">
        <f t="shared" si="144"/>
        <v>19924.8</v>
      </c>
      <c r="I1179" s="6">
        <v>1</v>
      </c>
      <c r="J1179" s="9" t="str">
        <f>IFERROR(VLOOKUP($D1179,FIYAT!$B:$O,9,FALSE()),"")</f>
        <v>Шт.</v>
      </c>
      <c r="K1179" s="9" t="str">
        <f>IFERROR(VLOOKUP($D1179,FIYAT!$B:$O,4,FALSE()),"")</f>
        <v>CHINT</v>
      </c>
      <c r="L1179" s="9">
        <f t="shared" si="145"/>
        <v>19924.8</v>
      </c>
      <c r="M1179" s="9"/>
      <c r="N1179" s="9"/>
      <c r="O1179" s="9"/>
      <c r="P1179" s="9" t="str">
        <f>IF($H1179="","FIYAT_YOK",IFERROR(VLOOKUP($D1179,FIYAT!$B:$P,15,FALSE()),""))</f>
        <v>MUADIL_ONAY</v>
      </c>
      <c r="Q1179" s="9" t="s">
        <v>188</v>
      </c>
      <c r="R1179" s="9" t="s">
        <v>184</v>
      </c>
      <c r="S1179" s="9" t="s">
        <v>637</v>
      </c>
      <c r="T1179" s="9" t="s">
        <v>75</v>
      </c>
      <c r="U1179" s="9">
        <f>IFERROR(VLOOKUP($T1179,KURALLAR!$A$32:$B$63,2,FALSE()),0)*IF(ISNUMBER($I1179),$I1179,0)</f>
        <v>10</v>
      </c>
    </row>
    <row r="1180" spans="1:21" x14ac:dyDescent="0.25">
      <c r="A1180" s="5">
        <v>1179</v>
      </c>
      <c r="B1180" s="5"/>
      <c r="C1180" s="5" t="s">
        <v>192</v>
      </c>
      <c r="D1180" s="5" t="s">
        <v>321</v>
      </c>
      <c r="E1180" s="5" t="str">
        <f>IFERROR(VLOOKUP($D1180,FIYAT!$B:$O,2,FALSE()),"")</f>
        <v>Авт. выкл. NXB-63 1P 25A 6кА х-ка C (R)</v>
      </c>
      <c r="F1180" s="5">
        <f>IFERROR(VLOOKUP($D1180,FIYAT!$B:$O,5,FALSE()),"")</f>
        <v>1330</v>
      </c>
      <c r="G1180" s="5">
        <f>IFERROR(VLOOKUP($D1180,FIYAT!$B:$O,8,FALSE()),"")</f>
        <v>798</v>
      </c>
      <c r="H1180" s="5">
        <f t="shared" si="144"/>
        <v>798</v>
      </c>
      <c r="I1180" s="6">
        <v>1</v>
      </c>
      <c r="J1180" s="5" t="str">
        <f>IFERROR(VLOOKUP($D1180,FIYAT!$B:$O,9,FALSE()),"")</f>
        <v>Шт.</v>
      </c>
      <c r="K1180" s="5" t="str">
        <f>IFERROR(VLOOKUP($D1180,FIYAT!$B:$O,4,FALSE()),"")</f>
        <v>CHINT</v>
      </c>
      <c r="L1180" s="5">
        <f t="shared" si="145"/>
        <v>798</v>
      </c>
      <c r="M1180" s="5"/>
      <c r="N1180" s="5"/>
      <c r="O1180" s="5"/>
      <c r="P1180" s="5" t="str">
        <f>IF($H1180="","FIYAT_YOK",IFERROR(VLOOKUP($D1180,FIYAT!$B:$P,15,FALSE()),""))</f>
        <v>OK</v>
      </c>
      <c r="Q1180" s="5" t="s">
        <v>323</v>
      </c>
      <c r="R1180" s="5" t="s">
        <v>171</v>
      </c>
      <c r="S1180" s="5" t="s">
        <v>637</v>
      </c>
      <c r="T1180" s="5" t="s">
        <v>47</v>
      </c>
      <c r="U1180" s="5">
        <f>IFERROR(VLOOKUP($T1180,KURALLAR!$A$32:$B$63,2,FALSE()),0)*IF(ISNUMBER($I1180),$I1180,0)</f>
        <v>3</v>
      </c>
    </row>
    <row r="1181" spans="1:21" x14ac:dyDescent="0.25">
      <c r="A1181" s="9">
        <v>1180</v>
      </c>
      <c r="B1181" s="9"/>
      <c r="C1181" s="9" t="s">
        <v>176</v>
      </c>
      <c r="D1181" s="9" t="s">
        <v>324</v>
      </c>
      <c r="E1181" s="9" t="str">
        <f>IFERROR(VLOOKUP($D1181,FIYAT!$B:$O,2,FALSE()),"")</f>
        <v>УЗО NL1-63 6kA 2P 25A 30mA тип AC (R)</v>
      </c>
      <c r="F1181" s="9">
        <f>IFERROR(VLOOKUP($D1181,FIYAT!$B:$O,5,FALSE()),"")</f>
        <v>10809</v>
      </c>
      <c r="G1181" s="9">
        <f>IFERROR(VLOOKUP($D1181,FIYAT!$B:$O,8,FALSE()),"")</f>
        <v>6485.4</v>
      </c>
      <c r="H1181" s="9">
        <f t="shared" si="144"/>
        <v>6485.4</v>
      </c>
      <c r="I1181" s="6">
        <v>1</v>
      </c>
      <c r="J1181" s="9" t="str">
        <f>IFERROR(VLOOKUP($D1181,FIYAT!$B:$O,9,FALSE()),"")</f>
        <v>Шт.</v>
      </c>
      <c r="K1181" s="9" t="str">
        <f>IFERROR(VLOOKUP($D1181,FIYAT!$B:$O,4,FALSE()),"")</f>
        <v>CHINT</v>
      </c>
      <c r="L1181" s="9">
        <f t="shared" si="145"/>
        <v>6485.4</v>
      </c>
      <c r="M1181" s="9"/>
      <c r="N1181" s="9"/>
      <c r="O1181" s="9"/>
      <c r="P1181" s="9" t="str">
        <f>IF($H1181="","FIYAT_YOK",IFERROR(VLOOKUP($D1181,FIYAT!$B:$P,15,FALSE()),""))</f>
        <v>OK</v>
      </c>
      <c r="Q1181" s="9" t="s">
        <v>326</v>
      </c>
      <c r="R1181" s="9" t="s">
        <v>171</v>
      </c>
      <c r="S1181" s="9" t="s">
        <v>637</v>
      </c>
      <c r="T1181" s="9" t="s">
        <v>55</v>
      </c>
      <c r="U1181" s="9">
        <f>IFERROR(VLOOKUP($T1181,KURALLAR!$A$32:$B$63,2,FALSE()),0)*IF(ISNUMBER($I1181),$I1181,0)</f>
        <v>6</v>
      </c>
    </row>
    <row r="1182" spans="1:21" x14ac:dyDescent="0.25">
      <c r="A1182" s="5">
        <v>1181</v>
      </c>
      <c r="B1182" s="5"/>
      <c r="C1182" s="5" t="s">
        <v>192</v>
      </c>
      <c r="D1182" s="5" t="s">
        <v>194</v>
      </c>
      <c r="E1182" s="5" t="str">
        <f>IFERROR(VLOOKUP($D1182,FIYAT!$B:$O,2,FALSE()),"")</f>
        <v>Авт. выкл. NXB-63 1P 16A 6кА х-ка C (R)</v>
      </c>
      <c r="F1182" s="5">
        <f>IFERROR(VLOOKUP($D1182,FIYAT!$B:$O,5,FALSE()),"")</f>
        <v>1389</v>
      </c>
      <c r="G1182" s="5">
        <f>IFERROR(VLOOKUP($D1182,FIYAT!$B:$O,8,FALSE()),"")</f>
        <v>833.4</v>
      </c>
      <c r="H1182" s="5">
        <f t="shared" si="144"/>
        <v>7500.5999999999995</v>
      </c>
      <c r="I1182" s="6">
        <v>9</v>
      </c>
      <c r="J1182" s="5" t="str">
        <f>IFERROR(VLOOKUP($D1182,FIYAT!$B:$O,9,FALSE()),"")</f>
        <v>Шт.</v>
      </c>
      <c r="K1182" s="5" t="str">
        <f>IFERROR(VLOOKUP($D1182,FIYAT!$B:$O,4,FALSE()),"")</f>
        <v>CHINT</v>
      </c>
      <c r="L1182" s="5">
        <f t="shared" si="145"/>
        <v>7500.5999999999995</v>
      </c>
      <c r="M1182" s="5"/>
      <c r="N1182" s="5"/>
      <c r="O1182" s="5"/>
      <c r="P1182" s="5" t="str">
        <f>IF($H1182="","FIYAT_YOK",IFERROR(VLOOKUP($D1182,FIYAT!$B:$P,15,FALSE()),""))</f>
        <v>OK</v>
      </c>
      <c r="Q1182" s="5" t="s">
        <v>196</v>
      </c>
      <c r="R1182" s="5" t="s">
        <v>171</v>
      </c>
      <c r="S1182" s="5" t="s">
        <v>637</v>
      </c>
      <c r="T1182" s="5" t="s">
        <v>47</v>
      </c>
      <c r="U1182" s="5">
        <f>IFERROR(VLOOKUP($T1182,KURALLAR!$A$32:$B$63,2,FALSE()),0)*IF(ISNUMBER($I1182),$I1182,0)</f>
        <v>27</v>
      </c>
    </row>
    <row r="1183" spans="1:21" x14ac:dyDescent="0.25">
      <c r="A1183" s="9">
        <v>1182</v>
      </c>
      <c r="B1183" s="9"/>
      <c r="C1183" s="9" t="s">
        <v>176</v>
      </c>
      <c r="D1183" s="9" t="s">
        <v>200</v>
      </c>
      <c r="E1183" s="9" t="str">
        <f>IFERROR(VLOOKUP($D1183,FIYAT!$B:$O,2,FALSE()),"")</f>
        <v>УЗО NL1-63 6kA 2P 16A 30mA тип AC (R)</v>
      </c>
      <c r="F1183" s="9">
        <f>IFERROR(VLOOKUP($D1183,FIYAT!$B:$O,5,FALSE()),"")</f>
        <v>10809</v>
      </c>
      <c r="G1183" s="9">
        <f>IFERROR(VLOOKUP($D1183,FIYAT!$B:$O,8,FALSE()),"")</f>
        <v>6485.4</v>
      </c>
      <c r="H1183" s="9">
        <f t="shared" si="144"/>
        <v>6485.4</v>
      </c>
      <c r="I1183" s="6">
        <v>1</v>
      </c>
      <c r="J1183" s="9" t="str">
        <f>IFERROR(VLOOKUP($D1183,FIYAT!$B:$O,9,FALSE()),"")</f>
        <v>Шт.</v>
      </c>
      <c r="K1183" s="9" t="str">
        <f>IFERROR(VLOOKUP($D1183,FIYAT!$B:$O,4,FALSE()),"")</f>
        <v>CHINT</v>
      </c>
      <c r="L1183" s="9">
        <f t="shared" si="145"/>
        <v>6485.4</v>
      </c>
      <c r="M1183" s="9"/>
      <c r="N1183" s="9"/>
      <c r="O1183" s="9"/>
      <c r="P1183" s="9" t="str">
        <f>IF($H1183="","FIYAT_YOK",IFERROR(VLOOKUP($D1183,FIYAT!$B:$P,15,FALSE()),""))</f>
        <v>OK</v>
      </c>
      <c r="Q1183" s="9" t="s">
        <v>202</v>
      </c>
      <c r="R1183" s="9" t="s">
        <v>171</v>
      </c>
      <c r="S1183" s="9" t="s">
        <v>637</v>
      </c>
      <c r="T1183" s="9" t="s">
        <v>55</v>
      </c>
      <c r="U1183" s="9">
        <f>IFERROR(VLOOKUP($T1183,KURALLAR!$A$32:$B$63,2,FALSE()),0)*IF(ISNUMBER($I1183),$I1183,0)</f>
        <v>6</v>
      </c>
    </row>
    <row r="1184" spans="1:21" x14ac:dyDescent="0.25">
      <c r="A1184" s="5">
        <v>1183</v>
      </c>
      <c r="B1184" s="5"/>
      <c r="C1184" s="5" t="s">
        <v>192</v>
      </c>
      <c r="D1184" s="5" t="s">
        <v>206</v>
      </c>
      <c r="E1184" s="5" t="str">
        <f>IFERROR(VLOOKUP($D1184,FIYAT!$B:$O,2,FALSE()),"")</f>
        <v>Авт. выкл. NXB-63 1P 10A 6кА х-ка C (R)</v>
      </c>
      <c r="F1184" s="5">
        <f>IFERROR(VLOOKUP($D1184,FIYAT!$B:$O,5,FALSE()),"")</f>
        <v>1362</v>
      </c>
      <c r="G1184" s="5">
        <f>IFERROR(VLOOKUP($D1184,FIYAT!$B:$O,8,FALSE()),"")</f>
        <v>817.19999999999993</v>
      </c>
      <c r="H1184" s="5">
        <f t="shared" si="144"/>
        <v>10623.599999999999</v>
      </c>
      <c r="I1184" s="6">
        <v>13</v>
      </c>
      <c r="J1184" s="5" t="str">
        <f>IFERROR(VLOOKUP($D1184,FIYAT!$B:$O,9,FALSE()),"")</f>
        <v>Шт.</v>
      </c>
      <c r="K1184" s="5" t="str">
        <f>IFERROR(VLOOKUP($D1184,FIYAT!$B:$O,4,FALSE()),"")</f>
        <v>CHINT</v>
      </c>
      <c r="L1184" s="5">
        <f t="shared" si="145"/>
        <v>10623.599999999999</v>
      </c>
      <c r="M1184" s="5"/>
      <c r="N1184" s="5"/>
      <c r="O1184" s="5"/>
      <c r="P1184" s="5" t="str">
        <f>IF($H1184="","FIYAT_YOK",IFERROR(VLOOKUP($D1184,FIYAT!$B:$P,15,FALSE()),""))</f>
        <v>OK</v>
      </c>
      <c r="Q1184" s="5" t="s">
        <v>208</v>
      </c>
      <c r="R1184" s="5" t="s">
        <v>184</v>
      </c>
      <c r="S1184" s="5" t="s">
        <v>637</v>
      </c>
      <c r="T1184" s="5" t="s">
        <v>47</v>
      </c>
      <c r="U1184" s="5">
        <f>IFERROR(VLOOKUP($T1184,KURALLAR!$A$32:$B$63,2,FALSE()),0)*IF(ISNUMBER($I1184),$I1184,0)</f>
        <v>39</v>
      </c>
    </row>
    <row r="1185" spans="1:21" x14ac:dyDescent="0.25">
      <c r="A1185" s="9">
        <v>1184</v>
      </c>
      <c r="B1185" s="9"/>
      <c r="C1185" s="9" t="s">
        <v>93</v>
      </c>
      <c r="D1185" s="9" t="s">
        <v>209</v>
      </c>
      <c r="E1185" s="9" t="str">
        <f>IFERROR(VLOOKUP($D1185,FIYAT!$B:$O,2,FALSE()),"")</f>
        <v>Шина "N" нулевая 6х9мм на DIN-рейку в корпусном изоляторе ШНИ 12К IEK (10)</v>
      </c>
      <c r="F1185" s="9">
        <f>IFERROR(VLOOKUP($D1185,FIYAT!$B:$O,5,FALSE()),"")</f>
        <v>755</v>
      </c>
      <c r="G1185" s="9">
        <f>IFERROR(VLOOKUP($D1185,FIYAT!$B:$O,8,FALSE()),"")</f>
        <v>453</v>
      </c>
      <c r="H1185" s="9">
        <f t="shared" si="144"/>
        <v>1812</v>
      </c>
      <c r="I1185" s="6">
        <v>4</v>
      </c>
      <c r="J1185" s="9" t="str">
        <f>IFERROR(VLOOKUP($D1185,FIYAT!$B:$O,9,FALSE()),"")</f>
        <v>Шт.</v>
      </c>
      <c r="K1185" s="9" t="str">
        <f>IFERROR(VLOOKUP($D1185,FIYAT!$B:$O,4,FALSE()),"")</f>
        <v>KAZTEK</v>
      </c>
      <c r="L1185" s="9">
        <f t="shared" si="145"/>
        <v>1812</v>
      </c>
      <c r="M1185" s="9"/>
      <c r="N1185" s="9"/>
      <c r="O1185" s="9"/>
      <c r="P1185" s="9" t="str">
        <f>IF($H1185="","FIYAT_YOK",IFERROR(VLOOKUP($D1185,FIYAT!$B:$P,15,FALSE()),""))</f>
        <v>MUADIL</v>
      </c>
      <c r="Q1185" s="9" t="s">
        <v>212</v>
      </c>
      <c r="R1185" s="9" t="s">
        <v>211</v>
      </c>
      <c r="S1185" s="9" t="s">
        <v>637</v>
      </c>
      <c r="T1185" s="9" t="s">
        <v>93</v>
      </c>
      <c r="U1185" s="9">
        <f>IFERROR(VLOOKUP($T1185,KURALLAR!$A$32:$B$63,2,FALSE()),0)*IF(ISNUMBER($I1185),$I1185,0)</f>
        <v>32</v>
      </c>
    </row>
    <row r="1186" spans="1:21" x14ac:dyDescent="0.25">
      <c r="A1186" s="5">
        <v>1185</v>
      </c>
      <c r="B1186" s="5"/>
      <c r="C1186" s="5" t="s">
        <v>222</v>
      </c>
      <c r="D1186" s="5" t="s">
        <v>220</v>
      </c>
      <c r="E1186" s="5" t="str">
        <f>IFERROR(VLOOKUP($D1186,FIYAT!$B:$O,2,FALSE()),"")</f>
        <v>ЩМП (инд.) IP31 (650х500х150мм)</v>
      </c>
      <c r="F1186" s="5">
        <f>IFERROR(VLOOKUP($D1186,FIYAT!$B:$O,5,FALSE()),"")</f>
        <v>27825</v>
      </c>
      <c r="G1186" s="5">
        <f>IFERROR(VLOOKUP($D1186,FIYAT!$B:$O,8,FALSE()),"")</f>
        <v>16695</v>
      </c>
      <c r="H1186" s="5">
        <f t="shared" si="144"/>
        <v>16695</v>
      </c>
      <c r="I1186" s="6">
        <v>1</v>
      </c>
      <c r="J1186" s="5" t="str">
        <f>IFERROR(VLOOKUP($D1186,FIYAT!$B:$O,9,FALSE()),"")</f>
        <v>Шт.</v>
      </c>
      <c r="K1186" s="5" t="str">
        <f>IFERROR(VLOOKUP($D1186,FIYAT!$B:$O,4,FALSE()),"")</f>
        <v>KAZTEK</v>
      </c>
      <c r="L1186" s="5">
        <f t="shared" si="145"/>
        <v>16695</v>
      </c>
      <c r="M1186" s="5"/>
      <c r="N1186" s="5"/>
      <c r="O1186" s="5"/>
      <c r="P1186" s="5" t="str">
        <f>IF($H1186="","FIYAT_YOK",IFERROR(VLOOKUP($D1186,FIYAT!$B:$P,15,FALSE()),""))</f>
        <v>VARSAYIM</v>
      </c>
      <c r="Q1186" s="5" t="s">
        <v>223</v>
      </c>
      <c r="R1186" s="5" t="s">
        <v>211</v>
      </c>
      <c r="S1186" s="5" t="s">
        <v>637</v>
      </c>
      <c r="T1186" s="5" t="s">
        <v>105</v>
      </c>
      <c r="U1186" s="5">
        <f>IFERROR(VLOOKUP($T1186,KURALLAR!$A$32:$B$63,2,FALSE()),0)*IF(ISNUMBER($I1186),$I1186,0)</f>
        <v>30</v>
      </c>
    </row>
    <row r="1187" spans="1:21" x14ac:dyDescent="0.25">
      <c r="A1187" s="9">
        <v>1186</v>
      </c>
      <c r="B1187" s="9"/>
      <c r="C1187" s="9" t="s">
        <v>215</v>
      </c>
      <c r="D1187" s="9" t="s">
        <v>213</v>
      </c>
      <c r="E1187" s="9" t="str">
        <f>IFERROR(VLOOKUP($D1187,FIYAT!$B:$O,2,FALSE()),"")</f>
        <v>Монтажный расходный материал (кабель, DIN-рейка, кабель-канал, клеммы, маркировка, крепёж)</v>
      </c>
      <c r="F1187" s="9">
        <f>IFERROR(VLOOKUP($D1187,FIYAT!$B:$O,5,FALSE()),"")</f>
        <v>0</v>
      </c>
      <c r="G1187" s="9" t="str">
        <f>IFERROR(VLOOKUP($D1187,FIYAT!$B:$O,8,FALSE()),"")</f>
        <v/>
      </c>
      <c r="H1187" s="9">
        <f>ROUND(SUM($H$1175:$H$1186)*KURALLAR!$B$28,0)</f>
        <v>8998</v>
      </c>
      <c r="I1187" s="6">
        <v>1</v>
      </c>
      <c r="J1187" s="9" t="str">
        <f>IFERROR(VLOOKUP($D1187,FIYAT!$B:$O,9,FALSE()),"")</f>
        <v>компл.</v>
      </c>
      <c r="K1187" s="9" t="str">
        <f>IFERROR(VLOOKUP($D1187,FIYAT!$B:$O,4,FALSE()),"")</f>
        <v>MUADIL-NET</v>
      </c>
      <c r="L1187" s="9">
        <f t="shared" si="145"/>
        <v>8998</v>
      </c>
      <c r="M1187" s="9"/>
      <c r="N1187" s="9"/>
      <c r="O1187" s="9"/>
      <c r="P1187" s="9" t="str">
        <f>IF($H1187="","FIYAT_YOK",IFERROR(VLOOKUP($D1187,FIYAT!$B:$P,15,FALSE()),""))</f>
        <v>ORAN</v>
      </c>
      <c r="Q1187" s="9" t="s">
        <v>218</v>
      </c>
      <c r="R1187" s="9" t="s">
        <v>217</v>
      </c>
      <c r="S1187" s="9" t="s">
        <v>637</v>
      </c>
      <c r="T1187" s="9"/>
      <c r="U1187" s="9">
        <v>0</v>
      </c>
    </row>
    <row r="1188" spans="1:21" x14ac:dyDescent="0.25">
      <c r="A1188" s="5">
        <v>1187</v>
      </c>
      <c r="B1188" s="5"/>
      <c r="C1188" s="5" t="s">
        <v>227</v>
      </c>
      <c r="D1188" s="5" t="s">
        <v>225</v>
      </c>
      <c r="E1188" s="5" t="str">
        <f>IFERROR(VLOOKUP($D1188,FIYAT!$B:$O,2,FALSE()),"")</f>
        <v>Сборка, кабелирование, маркировка, момент затяжки, испытания</v>
      </c>
      <c r="F1188" s="5">
        <f>IFERROR(VLOOKUP($D1188,FIYAT!$B:$O,5,FALSE()),"")</f>
        <v>100</v>
      </c>
      <c r="G1188" s="5">
        <f>IFERROR(VLOOKUP($D1188,FIYAT!$B:$O,8,FALSE()),"")</f>
        <v>100</v>
      </c>
      <c r="H1188" s="5">
        <f>IF(OR($G1188="",$I1188=""),"",$G1188*$I1188)</f>
        <v>24200</v>
      </c>
      <c r="I1188" s="6">
        <f>ROUND(SUM($U$1175:$U$1187)*KURALLAR!$B$27,0)</f>
        <v>242</v>
      </c>
      <c r="J1188" s="5" t="str">
        <f>IFERROR(VLOOKUP($D1188,FIYAT!$B:$O,9,FALSE()),"")</f>
        <v>мин</v>
      </c>
      <c r="K1188" s="5" t="str">
        <f>IFERROR(VLOOKUP($D1188,FIYAT!$B:$O,4,FALSE()),"")</f>
        <v>ISCILIK</v>
      </c>
      <c r="L1188" s="5">
        <f t="shared" si="145"/>
        <v>24200</v>
      </c>
      <c r="M1188" s="5"/>
      <c r="N1188" s="5"/>
      <c r="O1188" s="5"/>
      <c r="P1188" s="5" t="str">
        <f>IF($H1188="","FIYAT_YOK",IFERROR(VLOOKUP($D1188,FIYAT!$B:$P,15,FALSE()),""))</f>
        <v>OK</v>
      </c>
      <c r="Q1188" s="5" t="str">
        <f>CONCATENATE("montaj+test iscilik: ",TEXT($I1188,"# ##0")," dk = ",TEXT($I1188/60,"0,00")," saat (norm x test/etiket carpani)")</f>
        <v>montaj+test iscilik:  242 dk = 4,03 saat (norm x test/etiket carpani)</v>
      </c>
      <c r="R1188" s="5" t="s">
        <v>229</v>
      </c>
      <c r="S1188" s="5" t="s">
        <v>637</v>
      </c>
      <c r="T1188" s="5"/>
      <c r="U1188" s="5">
        <v>0</v>
      </c>
    </row>
    <row r="1189" spans="1:21" x14ac:dyDescent="0.25">
      <c r="A1189" s="10">
        <v>1188</v>
      </c>
      <c r="B1189" s="10" t="s">
        <v>696</v>
      </c>
      <c r="C1189" s="10"/>
      <c r="D1189" s="10"/>
      <c r="E1189" s="10"/>
      <c r="F1189" s="10"/>
      <c r="G1189" s="10"/>
      <c r="H1189" s="10">
        <f>SUBTOTAL(9,H1175:H1188)</f>
        <v>161737.79999999999</v>
      </c>
      <c r="I1189" s="10"/>
      <c r="J1189" s="10"/>
      <c r="K1189" s="10"/>
      <c r="L1189" s="10">
        <f>SUBTOTAL(9,L1175:L1188)</f>
        <v>161737.79999999999</v>
      </c>
      <c r="M1189" s="10"/>
      <c r="N1189" s="10"/>
      <c r="O1189" s="10"/>
      <c r="P1189" s="10"/>
      <c r="Q1189" s="10"/>
      <c r="R1189" s="10"/>
      <c r="S1189" s="10"/>
      <c r="T1189" s="10"/>
      <c r="U1189" s="10">
        <f>SUBTOTAL(9,U1175:U1188)</f>
        <v>210</v>
      </c>
    </row>
    <row r="1190" spans="1:21" x14ac:dyDescent="0.25">
      <c r="A1190" s="8">
        <v>1189</v>
      </c>
      <c r="B1190" s="8" t="str">
        <f>E1190</f>
        <v>BLOK B / ЭЩА-B1 — НКУ 380/220В 50Гц, FORM 2B, IP31/54</v>
      </c>
      <c r="C1190" s="8" t="s">
        <v>545</v>
      </c>
      <c r="D1190" s="8"/>
      <c r="E1190" s="8" t="s">
        <v>697</v>
      </c>
      <c r="F1190" s="8"/>
      <c r="G1190" s="8"/>
      <c r="H1190" s="8"/>
      <c r="I1190" s="8">
        <v>1</v>
      </c>
      <c r="J1190" s="8" t="s">
        <v>547</v>
      </c>
      <c r="K1190" s="8"/>
      <c r="L1190" s="8"/>
      <c r="M1190" s="8"/>
      <c r="N1190" s="8"/>
      <c r="O1190" s="8"/>
      <c r="P1190" s="8" t="s">
        <v>178</v>
      </c>
      <c r="Q1190" s="8" t="s">
        <v>548</v>
      </c>
      <c r="R1190" s="8" t="s">
        <v>549</v>
      </c>
      <c r="S1190" s="8" t="s">
        <v>637</v>
      </c>
      <c r="T1190" s="8"/>
      <c r="U1190" s="8"/>
    </row>
    <row r="1191" spans="1:21" x14ac:dyDescent="0.25">
      <c r="A1191" s="9">
        <v>1190</v>
      </c>
      <c r="B1191" s="9"/>
      <c r="C1191" s="9" t="s">
        <v>169</v>
      </c>
      <c r="D1191" s="9" t="s">
        <v>327</v>
      </c>
      <c r="E1191" s="9" t="str">
        <f>IFERROR(VLOOKUP($D1191,FIYAT!$B:$O,2,FALSE()),"")</f>
        <v>Авт. выкл. NM8N-125C TM 3P 25А 36кА с рег. термомаг. расцепителем (R)</v>
      </c>
      <c r="F1191" s="9">
        <f>IFERROR(VLOOKUP($D1191,FIYAT!$B:$O,5,FALSE()),"")</f>
        <v>65063</v>
      </c>
      <c r="G1191" s="9">
        <f>IFERROR(VLOOKUP($D1191,FIYAT!$B:$O,8,FALSE()),"")</f>
        <v>39037.799999999996</v>
      </c>
      <c r="H1191" s="9">
        <f t="shared" ref="H1191:H1199" si="146">IF(OR($G1191="",$I1191=""),"",$G1191*$I1191)</f>
        <v>39037.799999999996</v>
      </c>
      <c r="I1191" s="6">
        <v>1</v>
      </c>
      <c r="J1191" s="9" t="str">
        <f>IFERROR(VLOOKUP($D1191,FIYAT!$B:$O,9,FALSE()),"")</f>
        <v>Шт.</v>
      </c>
      <c r="K1191" s="9" t="str">
        <f>IFERROR(VLOOKUP($D1191,FIYAT!$B:$O,4,FALSE()),"")</f>
        <v>CHINT</v>
      </c>
      <c r="L1191" s="9">
        <f t="shared" ref="L1191:L1201" si="147">IF($H1191="","",$H1191)</f>
        <v>39037.799999999996</v>
      </c>
      <c r="M1191" s="9"/>
      <c r="N1191" s="9"/>
      <c r="O1191" s="9"/>
      <c r="P1191" s="9" t="str">
        <f>IF($H1191="","FIYAT_YOK",IFERROR(VLOOKUP($D1191,FIYAT!$B:$P,15,FALSE()),""))</f>
        <v>MUADIL</v>
      </c>
      <c r="Q1191" s="9" t="s">
        <v>172</v>
      </c>
      <c r="R1191" s="9" t="s">
        <v>171</v>
      </c>
      <c r="S1191" s="9" t="s">
        <v>637</v>
      </c>
      <c r="T1191" s="9" t="s">
        <v>61</v>
      </c>
      <c r="U1191" s="9">
        <f>IFERROR(VLOOKUP($T1191,KURALLAR!$A$32:$B$63,2,FALSE()),0)*IF(ISNUMBER($I1191),$I1191,0)</f>
        <v>15</v>
      </c>
    </row>
    <row r="1192" spans="1:21" x14ac:dyDescent="0.25">
      <c r="A1192" s="5">
        <v>1191</v>
      </c>
      <c r="B1192" s="5"/>
      <c r="C1192" s="5" t="s">
        <v>93</v>
      </c>
      <c r="D1192" s="5" t="s">
        <v>329</v>
      </c>
      <c r="E1192" s="5" t="str">
        <f>IFERROR(VLOOKUP($D1192,FIYAT!$B:$O,2,FALSE()),"")</f>
        <v>Независимый расцепитель SHT21-M8 AC220-240V для NM8N-125 (R)</v>
      </c>
      <c r="F1192" s="5">
        <f>IFERROR(VLOOKUP($D1192,FIYAT!$B:$O,5,FALSE()),"")</f>
        <v>19243</v>
      </c>
      <c r="G1192" s="5">
        <f>IFERROR(VLOOKUP($D1192,FIYAT!$B:$O,8,FALSE()),"")</f>
        <v>11545.8</v>
      </c>
      <c r="H1192" s="5">
        <f t="shared" si="146"/>
        <v>11545.8</v>
      </c>
      <c r="I1192" s="6">
        <v>1</v>
      </c>
      <c r="J1192" s="5" t="str">
        <f>IFERROR(VLOOKUP($D1192,FIYAT!$B:$O,9,FALSE()),"")</f>
        <v>Шт.</v>
      </c>
      <c r="K1192" s="5" t="str">
        <f>IFERROR(VLOOKUP($D1192,FIYAT!$B:$O,4,FALSE()),"")</f>
        <v>CHINT</v>
      </c>
      <c r="L1192" s="5">
        <f t="shared" si="147"/>
        <v>11545.8</v>
      </c>
      <c r="M1192" s="5"/>
      <c r="N1192" s="5"/>
      <c r="O1192" s="5"/>
      <c r="P1192" s="5" t="str">
        <f>IF($H1192="","FIYAT_YOK",IFERROR(VLOOKUP($D1192,FIYAT!$B:$P,15,FALSE()),""))</f>
        <v>OK</v>
      </c>
      <c r="Q1192" s="5" t="s">
        <v>331</v>
      </c>
      <c r="R1192" s="5" t="s">
        <v>184</v>
      </c>
      <c r="S1192" s="5" t="s">
        <v>637</v>
      </c>
      <c r="T1192" s="5" t="s">
        <v>95</v>
      </c>
      <c r="U1192" s="5">
        <f>IFERROR(VLOOKUP($T1192,KURALLAR!$A$32:$B$63,2,FALSE()),0)*IF(ISNUMBER($I1192),$I1192,0)</f>
        <v>10</v>
      </c>
    </row>
    <row r="1193" spans="1:21" x14ac:dyDescent="0.25">
      <c r="A1193" s="9">
        <v>1192</v>
      </c>
      <c r="B1193" s="9"/>
      <c r="C1193" s="9" t="s">
        <v>79</v>
      </c>
      <c r="D1193" s="9" t="s">
        <v>179</v>
      </c>
      <c r="E1193" s="9" t="str">
        <f>IFERROR(VLOOKUP($D1193,FIYAT!$B:$O,2,FALSE()),"")</f>
        <v>Держатель плавкой вставки RT36-00-160, габарит 00, 160А</v>
      </c>
      <c r="F1193" s="9">
        <f>IFERROR(VLOOKUP($D1193,FIYAT!$B:$O,5,FALSE()),"")</f>
        <v>2038</v>
      </c>
      <c r="G1193" s="9">
        <f>IFERROR(VLOOKUP($D1193,FIYAT!$B:$O,8,FALSE()),"")</f>
        <v>1222.8</v>
      </c>
      <c r="H1193" s="9">
        <f t="shared" si="146"/>
        <v>4891.2</v>
      </c>
      <c r="I1193" s="6">
        <v>4</v>
      </c>
      <c r="J1193" s="9" t="str">
        <f>IFERROR(VLOOKUP($D1193,FIYAT!$B:$O,9,FALSE()),"")</f>
        <v>Шт.</v>
      </c>
      <c r="K1193" s="9" t="str">
        <f>IFERROR(VLOOKUP($D1193,FIYAT!$B:$O,4,FALSE()),"")</f>
        <v>CHINT</v>
      </c>
      <c r="L1193" s="9">
        <f t="shared" si="147"/>
        <v>4891.2</v>
      </c>
      <c r="M1193" s="9"/>
      <c r="N1193" s="9"/>
      <c r="O1193" s="9"/>
      <c r="P1193" s="9" t="str">
        <f>IF($H1193="","FIYAT_YOK",IFERROR(VLOOKUP($D1193,FIYAT!$B:$P,15,FALSE()),""))</f>
        <v>MUADIL</v>
      </c>
      <c r="Q1193" s="9" t="s">
        <v>181</v>
      </c>
      <c r="R1193" s="9" t="s">
        <v>171</v>
      </c>
      <c r="S1193" s="9" t="s">
        <v>637</v>
      </c>
      <c r="T1193" s="9" t="s">
        <v>77</v>
      </c>
      <c r="U1193" s="9">
        <f>IFERROR(VLOOKUP($T1193,KURALLAR!$A$32:$B$63,2,FALSE()),0)*IF(ISNUMBER($I1193),$I1193,0)</f>
        <v>20</v>
      </c>
    </row>
    <row r="1194" spans="1:21" x14ac:dyDescent="0.25">
      <c r="A1194" s="5">
        <v>1193</v>
      </c>
      <c r="B1194" s="5"/>
      <c r="C1194" s="5" t="s">
        <v>79</v>
      </c>
      <c r="D1194" s="5" t="s">
        <v>182</v>
      </c>
      <c r="E1194" s="5" t="str">
        <f>IFERROR(VLOOKUP($D1194,FIYAT!$B:$O,2,FALSE()),"")</f>
        <v>Плавкая вставка предохранителя RT36-00-160, габарит 00, 63А</v>
      </c>
      <c r="F1194" s="5">
        <f>IFERROR(VLOOKUP($D1194,FIYAT!$B:$O,5,FALSE()),"")</f>
        <v>1525</v>
      </c>
      <c r="G1194" s="5">
        <f>IFERROR(VLOOKUP($D1194,FIYAT!$B:$O,8,FALSE()),"")</f>
        <v>915</v>
      </c>
      <c r="H1194" s="5">
        <f t="shared" si="146"/>
        <v>3660</v>
      </c>
      <c r="I1194" s="6">
        <v>4</v>
      </c>
      <c r="J1194" s="5" t="str">
        <f>IFERROR(VLOOKUP($D1194,FIYAT!$B:$O,9,FALSE()),"")</f>
        <v>Шт.</v>
      </c>
      <c r="K1194" s="5" t="str">
        <f>IFERROR(VLOOKUP($D1194,FIYAT!$B:$O,4,FALSE()),"")</f>
        <v>CHINT</v>
      </c>
      <c r="L1194" s="5">
        <f t="shared" si="147"/>
        <v>3660</v>
      </c>
      <c r="M1194" s="5"/>
      <c r="N1194" s="5"/>
      <c r="O1194" s="5"/>
      <c r="P1194" s="5" t="str">
        <f>IF($H1194="","FIYAT_YOK",IFERROR(VLOOKUP($D1194,FIYAT!$B:$P,15,FALSE()),""))</f>
        <v>MUADIL</v>
      </c>
      <c r="Q1194" s="5" t="s">
        <v>185</v>
      </c>
      <c r="R1194" s="5" t="s">
        <v>184</v>
      </c>
      <c r="S1194" s="5" t="s">
        <v>637</v>
      </c>
      <c r="T1194" s="5" t="s">
        <v>79</v>
      </c>
      <c r="U1194" s="5">
        <f>IFERROR(VLOOKUP($T1194,KURALLAR!$A$32:$B$63,2,FALSE()),0)*IF(ISNUMBER($I1194),$I1194,0)</f>
        <v>12</v>
      </c>
    </row>
    <row r="1195" spans="1:21" x14ac:dyDescent="0.25">
      <c r="A1195" s="9">
        <v>1194</v>
      </c>
      <c r="B1195" s="9"/>
      <c r="C1195" s="9" t="s">
        <v>75</v>
      </c>
      <c r="D1195" s="9" t="s">
        <v>186</v>
      </c>
      <c r="E1195" s="9" t="str">
        <f>IFERROR(VLOOKUP($D1195,FIYAT!$B:$O,2,FALSE()),"")</f>
        <v>Ограничитель имп. перенапр. NU6-IIG 4Р In=25kA Uc=440B Im=65kA (R)</v>
      </c>
      <c r="F1195" s="9">
        <f>IFERROR(VLOOKUP($D1195,FIYAT!$B:$O,5,FALSE()),"")</f>
        <v>33208</v>
      </c>
      <c r="G1195" s="9">
        <f>IFERROR(VLOOKUP($D1195,FIYAT!$B:$O,8,FALSE()),"")</f>
        <v>19924.8</v>
      </c>
      <c r="H1195" s="9">
        <f t="shared" si="146"/>
        <v>19924.8</v>
      </c>
      <c r="I1195" s="6">
        <v>1</v>
      </c>
      <c r="J1195" s="9" t="str">
        <f>IFERROR(VLOOKUP($D1195,FIYAT!$B:$O,9,FALSE()),"")</f>
        <v>Шт.</v>
      </c>
      <c r="K1195" s="9" t="str">
        <f>IFERROR(VLOOKUP($D1195,FIYAT!$B:$O,4,FALSE()),"")</f>
        <v>CHINT</v>
      </c>
      <c r="L1195" s="9">
        <f t="shared" si="147"/>
        <v>19924.8</v>
      </c>
      <c r="M1195" s="9"/>
      <c r="N1195" s="9"/>
      <c r="O1195" s="9"/>
      <c r="P1195" s="9" t="str">
        <f>IF($H1195="","FIYAT_YOK",IFERROR(VLOOKUP($D1195,FIYAT!$B:$P,15,FALSE()),""))</f>
        <v>MUADIL_ONAY</v>
      </c>
      <c r="Q1195" s="9" t="s">
        <v>188</v>
      </c>
      <c r="R1195" s="9" t="s">
        <v>184</v>
      </c>
      <c r="S1195" s="9" t="s">
        <v>637</v>
      </c>
      <c r="T1195" s="9" t="s">
        <v>75</v>
      </c>
      <c r="U1195" s="9">
        <f>IFERROR(VLOOKUP($T1195,KURALLAR!$A$32:$B$63,2,FALSE()),0)*IF(ISNUMBER($I1195),$I1195,0)</f>
        <v>10</v>
      </c>
    </row>
    <row r="1196" spans="1:21" x14ac:dyDescent="0.25">
      <c r="A1196" s="5">
        <v>1195</v>
      </c>
      <c r="B1196" s="5"/>
      <c r="C1196" s="5" t="s">
        <v>192</v>
      </c>
      <c r="D1196" s="5" t="s">
        <v>304</v>
      </c>
      <c r="E1196" s="5" t="str">
        <f>IFERROR(VLOOKUP($D1196,FIYAT!$B:$O,2,FALSE()),"")</f>
        <v>Авт. выкл. NXB-63 3P 16A 6кА х-ка C (R)</v>
      </c>
      <c r="F1196" s="5">
        <f>IFERROR(VLOOKUP($D1196,FIYAT!$B:$O,5,FALSE()),"")</f>
        <v>5462</v>
      </c>
      <c r="G1196" s="5">
        <f>IFERROR(VLOOKUP($D1196,FIYAT!$B:$O,8,FALSE()),"")</f>
        <v>3277.2</v>
      </c>
      <c r="H1196" s="5">
        <f t="shared" si="146"/>
        <v>16386</v>
      </c>
      <c r="I1196" s="6">
        <v>5</v>
      </c>
      <c r="J1196" s="5" t="str">
        <f>IFERROR(VLOOKUP($D1196,FIYAT!$B:$O,9,FALSE()),"")</f>
        <v>Шт.</v>
      </c>
      <c r="K1196" s="5" t="str">
        <f>IFERROR(VLOOKUP($D1196,FIYAT!$B:$O,4,FALSE()),"")</f>
        <v>CHINT</v>
      </c>
      <c r="L1196" s="5">
        <f t="shared" si="147"/>
        <v>16386</v>
      </c>
      <c r="M1196" s="5"/>
      <c r="N1196" s="5"/>
      <c r="O1196" s="5"/>
      <c r="P1196" s="5" t="str">
        <f>IF($H1196="","FIYAT_YOK",IFERROR(VLOOKUP($D1196,FIYAT!$B:$P,15,FALSE()),""))</f>
        <v>OK</v>
      </c>
      <c r="Q1196" s="5" t="s">
        <v>306</v>
      </c>
      <c r="R1196" s="5" t="s">
        <v>171</v>
      </c>
      <c r="S1196" s="5" t="s">
        <v>637</v>
      </c>
      <c r="T1196" s="5" t="s">
        <v>51</v>
      </c>
      <c r="U1196" s="5">
        <f>IFERROR(VLOOKUP($T1196,KURALLAR!$A$32:$B$63,2,FALSE()),0)*IF(ISNUMBER($I1196),$I1196,0)</f>
        <v>40</v>
      </c>
    </row>
    <row r="1197" spans="1:21" x14ac:dyDescent="0.25">
      <c r="A1197" s="9">
        <v>1196</v>
      </c>
      <c r="B1197" s="9"/>
      <c r="C1197" s="9" t="s">
        <v>169</v>
      </c>
      <c r="D1197" s="9" t="s">
        <v>347</v>
      </c>
      <c r="E1197" s="9" t="str">
        <f>IFERROR(VLOOKUP($D1197,FIYAT!$B:$O,2,FALSE()),"")</f>
        <v>Пускатель NS2-25 13-18A (R)</v>
      </c>
      <c r="F1197" s="9">
        <f>IFERROR(VLOOKUP($D1197,FIYAT!$B:$O,5,FALSE()),"")</f>
        <v>13798</v>
      </c>
      <c r="G1197" s="9">
        <f>IFERROR(VLOOKUP($D1197,FIYAT!$B:$O,8,FALSE()),"")</f>
        <v>8278.7999999999993</v>
      </c>
      <c r="H1197" s="9">
        <f t="shared" si="146"/>
        <v>16557.599999999999</v>
      </c>
      <c r="I1197" s="6">
        <v>2</v>
      </c>
      <c r="J1197" s="9" t="str">
        <f>IFERROR(VLOOKUP($D1197,FIYAT!$B:$O,9,FALSE()),"")</f>
        <v>Шт.</v>
      </c>
      <c r="K1197" s="9" t="str">
        <f>IFERROR(VLOOKUP($D1197,FIYAT!$B:$O,4,FALSE()),"")</f>
        <v>CHINT</v>
      </c>
      <c r="L1197" s="9">
        <f t="shared" si="147"/>
        <v>16557.599999999999</v>
      </c>
      <c r="M1197" s="9"/>
      <c r="N1197" s="9"/>
      <c r="O1197" s="9"/>
      <c r="P1197" s="9" t="str">
        <f>IF($H1197="","FIYAT_YOK",IFERROR(VLOOKUP($D1197,FIYAT!$B:$P,15,FALSE()),""))</f>
        <v>MUADIL</v>
      </c>
      <c r="Q1197" s="9" t="s">
        <v>349</v>
      </c>
      <c r="R1197" s="9" t="s">
        <v>171</v>
      </c>
      <c r="S1197" s="9" t="s">
        <v>637</v>
      </c>
      <c r="T1197" s="9" t="s">
        <v>71</v>
      </c>
      <c r="U1197" s="9">
        <f>IFERROR(VLOOKUP($T1197,KURALLAR!$A$32:$B$63,2,FALSE()),0)*IF(ISNUMBER($I1197),$I1197,0)</f>
        <v>24</v>
      </c>
    </row>
    <row r="1198" spans="1:21" x14ac:dyDescent="0.25">
      <c r="A1198" s="5">
        <v>1197</v>
      </c>
      <c r="B1198" s="5"/>
      <c r="C1198" s="5" t="s">
        <v>93</v>
      </c>
      <c r="D1198" s="5" t="s">
        <v>209</v>
      </c>
      <c r="E1198" s="5" t="str">
        <f>IFERROR(VLOOKUP($D1198,FIYAT!$B:$O,2,FALSE()),"")</f>
        <v>Шина "N" нулевая 6х9мм на DIN-рейку в корпусном изоляторе ШНИ 12К IEK (10)</v>
      </c>
      <c r="F1198" s="5">
        <f>IFERROR(VLOOKUP($D1198,FIYAT!$B:$O,5,FALSE()),"")</f>
        <v>755</v>
      </c>
      <c r="G1198" s="5">
        <f>IFERROR(VLOOKUP($D1198,FIYAT!$B:$O,8,FALSE()),"")</f>
        <v>453</v>
      </c>
      <c r="H1198" s="5">
        <f t="shared" si="146"/>
        <v>1812</v>
      </c>
      <c r="I1198" s="6">
        <v>4</v>
      </c>
      <c r="J1198" s="5" t="str">
        <f>IFERROR(VLOOKUP($D1198,FIYAT!$B:$O,9,FALSE()),"")</f>
        <v>Шт.</v>
      </c>
      <c r="K1198" s="5" t="str">
        <f>IFERROR(VLOOKUP($D1198,FIYAT!$B:$O,4,FALSE()),"")</f>
        <v>KAZTEK</v>
      </c>
      <c r="L1198" s="5">
        <f t="shared" si="147"/>
        <v>1812</v>
      </c>
      <c r="M1198" s="5"/>
      <c r="N1198" s="5"/>
      <c r="O1198" s="5"/>
      <c r="P1198" s="5" t="str">
        <f>IF($H1198="","FIYAT_YOK",IFERROR(VLOOKUP($D1198,FIYAT!$B:$P,15,FALSE()),""))</f>
        <v>MUADIL</v>
      </c>
      <c r="Q1198" s="5" t="s">
        <v>212</v>
      </c>
      <c r="R1198" s="5" t="s">
        <v>211</v>
      </c>
      <c r="S1198" s="5" t="s">
        <v>637</v>
      </c>
      <c r="T1198" s="5" t="s">
        <v>93</v>
      </c>
      <c r="U1198" s="5">
        <f>IFERROR(VLOOKUP($T1198,KURALLAR!$A$32:$B$63,2,FALSE()),0)*IF(ISNUMBER($I1198),$I1198,0)</f>
        <v>32</v>
      </c>
    </row>
    <row r="1199" spans="1:21" x14ac:dyDescent="0.25">
      <c r="A1199" s="9">
        <v>1198</v>
      </c>
      <c r="B1199" s="9"/>
      <c r="C1199" s="9" t="s">
        <v>222</v>
      </c>
      <c r="D1199" s="9" t="s">
        <v>220</v>
      </c>
      <c r="E1199" s="9" t="str">
        <f>IFERROR(VLOOKUP($D1199,FIYAT!$B:$O,2,FALSE()),"")</f>
        <v>ЩМП (инд.) IP31 (650х500х150мм)</v>
      </c>
      <c r="F1199" s="9">
        <f>IFERROR(VLOOKUP($D1199,FIYAT!$B:$O,5,FALSE()),"")</f>
        <v>27825</v>
      </c>
      <c r="G1199" s="9">
        <f>IFERROR(VLOOKUP($D1199,FIYAT!$B:$O,8,FALSE()),"")</f>
        <v>16695</v>
      </c>
      <c r="H1199" s="9">
        <f t="shared" si="146"/>
        <v>16695</v>
      </c>
      <c r="I1199" s="6">
        <v>1</v>
      </c>
      <c r="J1199" s="9" t="str">
        <f>IFERROR(VLOOKUP($D1199,FIYAT!$B:$O,9,FALSE()),"")</f>
        <v>Шт.</v>
      </c>
      <c r="K1199" s="9" t="str">
        <f>IFERROR(VLOOKUP($D1199,FIYAT!$B:$O,4,FALSE()),"")</f>
        <v>KAZTEK</v>
      </c>
      <c r="L1199" s="9">
        <f t="shared" si="147"/>
        <v>16695</v>
      </c>
      <c r="M1199" s="9"/>
      <c r="N1199" s="9"/>
      <c r="O1199" s="9"/>
      <c r="P1199" s="9" t="str">
        <f>IF($H1199="","FIYAT_YOK",IFERROR(VLOOKUP($D1199,FIYAT!$B:$P,15,FALSE()),""))</f>
        <v>VARSAYIM</v>
      </c>
      <c r="Q1199" s="9" t="s">
        <v>223</v>
      </c>
      <c r="R1199" s="9" t="s">
        <v>211</v>
      </c>
      <c r="S1199" s="9" t="s">
        <v>637</v>
      </c>
      <c r="T1199" s="9" t="s">
        <v>105</v>
      </c>
      <c r="U1199" s="9">
        <f>IFERROR(VLOOKUP($T1199,KURALLAR!$A$32:$B$63,2,FALSE()),0)*IF(ISNUMBER($I1199),$I1199,0)</f>
        <v>30</v>
      </c>
    </row>
    <row r="1200" spans="1:21" x14ac:dyDescent="0.25">
      <c r="A1200" s="5">
        <v>1199</v>
      </c>
      <c r="B1200" s="5"/>
      <c r="C1200" s="5" t="s">
        <v>215</v>
      </c>
      <c r="D1200" s="5" t="s">
        <v>213</v>
      </c>
      <c r="E1200" s="5" t="str">
        <f>IFERROR(VLOOKUP($D1200,FIYAT!$B:$O,2,FALSE()),"")</f>
        <v>Монтажный расходный материал (кабель, DIN-рейка, кабель-канал, клеммы, маркировка, крепёж)</v>
      </c>
      <c r="F1200" s="5">
        <f>IFERROR(VLOOKUP($D1200,FIYAT!$B:$O,5,FALSE()),"")</f>
        <v>0</v>
      </c>
      <c r="G1200" s="5" t="str">
        <f>IFERROR(VLOOKUP($D1200,FIYAT!$B:$O,8,FALSE()),"")</f>
        <v/>
      </c>
      <c r="H1200" s="5">
        <f>ROUND(SUM($H$1191:$H$1199)*KURALLAR!$B$28,0)</f>
        <v>9136</v>
      </c>
      <c r="I1200" s="6">
        <v>1</v>
      </c>
      <c r="J1200" s="5" t="str">
        <f>IFERROR(VLOOKUP($D1200,FIYAT!$B:$O,9,FALSE()),"")</f>
        <v>компл.</v>
      </c>
      <c r="K1200" s="5" t="str">
        <f>IFERROR(VLOOKUP($D1200,FIYAT!$B:$O,4,FALSE()),"")</f>
        <v>MUADIL-NET</v>
      </c>
      <c r="L1200" s="5">
        <f t="shared" si="147"/>
        <v>9136</v>
      </c>
      <c r="M1200" s="5"/>
      <c r="N1200" s="5"/>
      <c r="O1200" s="5"/>
      <c r="P1200" s="5" t="str">
        <f>IF($H1200="","FIYAT_YOK",IFERROR(VLOOKUP($D1200,FIYAT!$B:$P,15,FALSE()),""))</f>
        <v>ORAN</v>
      </c>
      <c r="Q1200" s="5" t="s">
        <v>218</v>
      </c>
      <c r="R1200" s="5" t="s">
        <v>217</v>
      </c>
      <c r="S1200" s="5" t="s">
        <v>637</v>
      </c>
      <c r="T1200" s="5"/>
      <c r="U1200" s="5">
        <v>0</v>
      </c>
    </row>
    <row r="1201" spans="1:21" x14ac:dyDescent="0.25">
      <c r="A1201" s="9">
        <v>1200</v>
      </c>
      <c r="B1201" s="9"/>
      <c r="C1201" s="9" t="s">
        <v>227</v>
      </c>
      <c r="D1201" s="9" t="s">
        <v>225</v>
      </c>
      <c r="E1201" s="9" t="str">
        <f>IFERROR(VLOOKUP($D1201,FIYAT!$B:$O,2,FALSE()),"")</f>
        <v>Сборка, кабелирование, маркировка, момент затяжки, испытания</v>
      </c>
      <c r="F1201" s="9">
        <f>IFERROR(VLOOKUP($D1201,FIYAT!$B:$O,5,FALSE()),"")</f>
        <v>100</v>
      </c>
      <c r="G1201" s="9">
        <f>IFERROR(VLOOKUP($D1201,FIYAT!$B:$O,8,FALSE()),"")</f>
        <v>100</v>
      </c>
      <c r="H1201" s="9">
        <f>IF(OR($G1201="",$I1201=""),"",$G1201*$I1201)</f>
        <v>22200</v>
      </c>
      <c r="I1201" s="6">
        <f>ROUND(SUM($U$1191:$U$1200)*KURALLAR!$B$27,0)</f>
        <v>222</v>
      </c>
      <c r="J1201" s="9" t="str">
        <f>IFERROR(VLOOKUP($D1201,FIYAT!$B:$O,9,FALSE()),"")</f>
        <v>мин</v>
      </c>
      <c r="K1201" s="9" t="str">
        <f>IFERROR(VLOOKUP($D1201,FIYAT!$B:$O,4,FALSE()),"")</f>
        <v>ISCILIK</v>
      </c>
      <c r="L1201" s="9">
        <f t="shared" si="147"/>
        <v>22200</v>
      </c>
      <c r="M1201" s="9"/>
      <c r="N1201" s="9"/>
      <c r="O1201" s="9"/>
      <c r="P1201" s="9" t="str">
        <f>IF($H1201="","FIYAT_YOK",IFERROR(VLOOKUP($D1201,FIYAT!$B:$P,15,FALSE()),""))</f>
        <v>OK</v>
      </c>
      <c r="Q1201" s="9" t="str">
        <f>CONCATENATE("montaj+test iscilik: ",TEXT($I1201,"# ##0")," dk = ",TEXT($I1201/60,"0,00")," saat (norm x test/etiket carpani)")</f>
        <v>montaj+test iscilik:  222 dk = 3,70 saat (norm x test/etiket carpani)</v>
      </c>
      <c r="R1201" s="9" t="s">
        <v>229</v>
      </c>
      <c r="S1201" s="9" t="s">
        <v>637</v>
      </c>
      <c r="T1201" s="9"/>
      <c r="U1201" s="9">
        <v>0</v>
      </c>
    </row>
    <row r="1202" spans="1:21" x14ac:dyDescent="0.25">
      <c r="A1202" s="10">
        <v>1201</v>
      </c>
      <c r="B1202" s="10" t="s">
        <v>698</v>
      </c>
      <c r="C1202" s="10"/>
      <c r="D1202" s="10"/>
      <c r="E1202" s="10"/>
      <c r="F1202" s="10"/>
      <c r="G1202" s="10"/>
      <c r="H1202" s="10">
        <f>SUBTOTAL(9,H1191:H1201)</f>
        <v>161846.19999999998</v>
      </c>
      <c r="I1202" s="10"/>
      <c r="J1202" s="10"/>
      <c r="K1202" s="10"/>
      <c r="L1202" s="10">
        <f>SUBTOTAL(9,L1191:L1201)</f>
        <v>161846.19999999998</v>
      </c>
      <c r="M1202" s="10"/>
      <c r="N1202" s="10"/>
      <c r="O1202" s="10"/>
      <c r="P1202" s="10"/>
      <c r="Q1202" s="10"/>
      <c r="R1202" s="10"/>
      <c r="S1202" s="10"/>
      <c r="T1202" s="10"/>
      <c r="U1202" s="10">
        <f>SUBTOTAL(9,U1191:U1201)</f>
        <v>193</v>
      </c>
    </row>
    <row r="1203" spans="1:21" x14ac:dyDescent="0.25">
      <c r="A1203" s="8">
        <v>1202</v>
      </c>
      <c r="B1203" s="8" t="str">
        <f>E1203</f>
        <v>BLOK B / 21F-ИБП.1 — НКУ 380/220В 50Гц, FORM 2B, IP31/54</v>
      </c>
      <c r="C1203" s="8" t="s">
        <v>545</v>
      </c>
      <c r="D1203" s="8"/>
      <c r="E1203" s="8" t="s">
        <v>699</v>
      </c>
      <c r="F1203" s="8"/>
      <c r="G1203" s="8"/>
      <c r="H1203" s="8"/>
      <c r="I1203" s="8">
        <v>1</v>
      </c>
      <c r="J1203" s="8" t="s">
        <v>547</v>
      </c>
      <c r="K1203" s="8"/>
      <c r="L1203" s="8"/>
      <c r="M1203" s="8"/>
      <c r="N1203" s="8"/>
      <c r="O1203" s="8"/>
      <c r="P1203" s="8" t="s">
        <v>178</v>
      </c>
      <c r="Q1203" s="8" t="s">
        <v>548</v>
      </c>
      <c r="R1203" s="8" t="s">
        <v>549</v>
      </c>
      <c r="S1203" s="8" t="s">
        <v>637</v>
      </c>
      <c r="T1203" s="8"/>
      <c r="U1203" s="8"/>
    </row>
    <row r="1204" spans="1:21" x14ac:dyDescent="0.25">
      <c r="A1204" s="5">
        <v>1203</v>
      </c>
      <c r="B1204" s="5"/>
      <c r="C1204" s="5" t="s">
        <v>169</v>
      </c>
      <c r="D1204" s="5" t="s">
        <v>167</v>
      </c>
      <c r="E1204" s="5" t="str">
        <f>IFERROR(VLOOKUP($D1204,FIYAT!$B:$O,2,FALSE()),"")</f>
        <v>Авт. выкл. NM8N-125C TM 3P 32А 36кА с рег. термомаг. расцепителем (R)</v>
      </c>
      <c r="F1204" s="5">
        <f>IFERROR(VLOOKUP($D1204,FIYAT!$B:$O,5,FALSE()),"")</f>
        <v>64667</v>
      </c>
      <c r="G1204" s="5">
        <f>IFERROR(VLOOKUP($D1204,FIYAT!$B:$O,8,FALSE()),"")</f>
        <v>38800.199999999997</v>
      </c>
      <c r="H1204" s="5">
        <f t="shared" ref="H1204:H1215" si="148">IF(OR($G1204="",$I1204=""),"",$G1204*$I1204)</f>
        <v>38800.199999999997</v>
      </c>
      <c r="I1204" s="6">
        <v>1</v>
      </c>
      <c r="J1204" s="5" t="str">
        <f>IFERROR(VLOOKUP($D1204,FIYAT!$B:$O,9,FALSE()),"")</f>
        <v>Шт.</v>
      </c>
      <c r="K1204" s="5" t="str">
        <f>IFERROR(VLOOKUP($D1204,FIYAT!$B:$O,4,FALSE()),"")</f>
        <v>CHINT</v>
      </c>
      <c r="L1204" s="5">
        <f t="shared" ref="L1204:L1217" si="149">IF($H1204="","",$H1204)</f>
        <v>38800.199999999997</v>
      </c>
      <c r="M1204" s="5"/>
      <c r="N1204" s="5"/>
      <c r="O1204" s="5"/>
      <c r="P1204" s="5" t="str">
        <f>IF($H1204="","FIYAT_YOK",IFERROR(VLOOKUP($D1204,FIYAT!$B:$P,15,FALSE()),""))</f>
        <v>MUADIL</v>
      </c>
      <c r="Q1204" s="5" t="s">
        <v>172</v>
      </c>
      <c r="R1204" s="5" t="s">
        <v>171</v>
      </c>
      <c r="S1204" s="5" t="s">
        <v>637</v>
      </c>
      <c r="T1204" s="5" t="s">
        <v>61</v>
      </c>
      <c r="U1204" s="5">
        <f>IFERROR(VLOOKUP($T1204,KURALLAR!$A$32:$B$63,2,FALSE()),0)*IF(ISNUMBER($I1204),$I1204,0)</f>
        <v>15</v>
      </c>
    </row>
    <row r="1205" spans="1:21" x14ac:dyDescent="0.25">
      <c r="A1205" s="9">
        <v>1204</v>
      </c>
      <c r="B1205" s="9"/>
      <c r="C1205" s="9" t="s">
        <v>176</v>
      </c>
      <c r="D1205" s="9" t="s">
        <v>174</v>
      </c>
      <c r="E1205" s="9" t="str">
        <f>IFERROR(VLOOKUP($D1205,FIYAT!$B:$O,2,FALSE()),"")</f>
        <v>УЗО NL1-63 6kA 4P 63A 300mA тип AC (R)</v>
      </c>
      <c r="F1205" s="9">
        <f>IFERROR(VLOOKUP($D1205,FIYAT!$B:$O,5,FALSE()),"")</f>
        <v>18106</v>
      </c>
      <c r="G1205" s="9">
        <f>IFERROR(VLOOKUP($D1205,FIYAT!$B:$O,8,FALSE()),"")</f>
        <v>10863.6</v>
      </c>
      <c r="H1205" s="9">
        <f t="shared" si="148"/>
        <v>10863.6</v>
      </c>
      <c r="I1205" s="6">
        <v>1</v>
      </c>
      <c r="J1205" s="9" t="str">
        <f>IFERROR(VLOOKUP($D1205,FIYAT!$B:$O,9,FALSE()),"")</f>
        <v>Шт.</v>
      </c>
      <c r="K1205" s="9" t="str">
        <f>IFERROR(VLOOKUP($D1205,FIYAT!$B:$O,4,FALSE()),"")</f>
        <v>CHINT</v>
      </c>
      <c r="L1205" s="9">
        <f t="shared" si="149"/>
        <v>10863.6</v>
      </c>
      <c r="M1205" s="9"/>
      <c r="N1205" s="9"/>
      <c r="O1205" s="9"/>
      <c r="P1205" s="9" t="str">
        <f>IF($H1205="","FIYAT_YOK",IFERROR(VLOOKUP($D1205,FIYAT!$B:$P,15,FALSE()),""))</f>
        <v>OK</v>
      </c>
      <c r="Q1205" s="9" t="s">
        <v>177</v>
      </c>
      <c r="R1205" s="9" t="s">
        <v>171</v>
      </c>
      <c r="S1205" s="9" t="s">
        <v>637</v>
      </c>
      <c r="T1205" s="9" t="s">
        <v>57</v>
      </c>
      <c r="U1205" s="9">
        <f>IFERROR(VLOOKUP($T1205,KURALLAR!$A$32:$B$63,2,FALSE()),0)*IF(ISNUMBER($I1205),$I1205,0)</f>
        <v>10</v>
      </c>
    </row>
    <row r="1206" spans="1:21" x14ac:dyDescent="0.25">
      <c r="A1206" s="5">
        <v>1205</v>
      </c>
      <c r="B1206" s="5"/>
      <c r="C1206" s="5" t="s">
        <v>79</v>
      </c>
      <c r="D1206" s="5" t="s">
        <v>179</v>
      </c>
      <c r="E1206" s="5" t="str">
        <f>IFERROR(VLOOKUP($D1206,FIYAT!$B:$O,2,FALSE()),"")</f>
        <v>Держатель плавкой вставки RT36-00-160, габарит 00, 160А</v>
      </c>
      <c r="F1206" s="5">
        <f>IFERROR(VLOOKUP($D1206,FIYAT!$B:$O,5,FALSE()),"")</f>
        <v>2038</v>
      </c>
      <c r="G1206" s="5">
        <f>IFERROR(VLOOKUP($D1206,FIYAT!$B:$O,8,FALSE()),"")</f>
        <v>1222.8</v>
      </c>
      <c r="H1206" s="5">
        <f t="shared" si="148"/>
        <v>4891.2</v>
      </c>
      <c r="I1206" s="6">
        <v>4</v>
      </c>
      <c r="J1206" s="5" t="str">
        <f>IFERROR(VLOOKUP($D1206,FIYAT!$B:$O,9,FALSE()),"")</f>
        <v>Шт.</v>
      </c>
      <c r="K1206" s="5" t="str">
        <f>IFERROR(VLOOKUP($D1206,FIYAT!$B:$O,4,FALSE()),"")</f>
        <v>CHINT</v>
      </c>
      <c r="L1206" s="5">
        <f t="shared" si="149"/>
        <v>4891.2</v>
      </c>
      <c r="M1206" s="5"/>
      <c r="N1206" s="5"/>
      <c r="O1206" s="5"/>
      <c r="P1206" s="5" t="str">
        <f>IF($H1206="","FIYAT_YOK",IFERROR(VLOOKUP($D1206,FIYAT!$B:$P,15,FALSE()),""))</f>
        <v>MUADIL</v>
      </c>
      <c r="Q1206" s="5" t="s">
        <v>181</v>
      </c>
      <c r="R1206" s="5" t="s">
        <v>171</v>
      </c>
      <c r="S1206" s="5" t="s">
        <v>637</v>
      </c>
      <c r="T1206" s="5" t="s">
        <v>77</v>
      </c>
      <c r="U1206" s="5">
        <f>IFERROR(VLOOKUP($T1206,KURALLAR!$A$32:$B$63,2,FALSE()),0)*IF(ISNUMBER($I1206),$I1206,0)</f>
        <v>20</v>
      </c>
    </row>
    <row r="1207" spans="1:21" x14ac:dyDescent="0.25">
      <c r="A1207" s="9">
        <v>1206</v>
      </c>
      <c r="B1207" s="9"/>
      <c r="C1207" s="9" t="s">
        <v>79</v>
      </c>
      <c r="D1207" s="9" t="s">
        <v>182</v>
      </c>
      <c r="E1207" s="9" t="str">
        <f>IFERROR(VLOOKUP($D1207,FIYAT!$B:$O,2,FALSE()),"")</f>
        <v>Плавкая вставка предохранителя RT36-00-160, габарит 00, 63А</v>
      </c>
      <c r="F1207" s="9">
        <f>IFERROR(VLOOKUP($D1207,FIYAT!$B:$O,5,FALSE()),"")</f>
        <v>1525</v>
      </c>
      <c r="G1207" s="9">
        <f>IFERROR(VLOOKUP($D1207,FIYAT!$B:$O,8,FALSE()),"")</f>
        <v>915</v>
      </c>
      <c r="H1207" s="9">
        <f t="shared" si="148"/>
        <v>3660</v>
      </c>
      <c r="I1207" s="6">
        <v>4</v>
      </c>
      <c r="J1207" s="9" t="str">
        <f>IFERROR(VLOOKUP($D1207,FIYAT!$B:$O,9,FALSE()),"")</f>
        <v>Шт.</v>
      </c>
      <c r="K1207" s="9" t="str">
        <f>IFERROR(VLOOKUP($D1207,FIYAT!$B:$O,4,FALSE()),"")</f>
        <v>CHINT</v>
      </c>
      <c r="L1207" s="9">
        <f t="shared" si="149"/>
        <v>3660</v>
      </c>
      <c r="M1207" s="9"/>
      <c r="N1207" s="9"/>
      <c r="O1207" s="9"/>
      <c r="P1207" s="9" t="str">
        <f>IF($H1207="","FIYAT_YOK",IFERROR(VLOOKUP($D1207,FIYAT!$B:$P,15,FALSE()),""))</f>
        <v>MUADIL</v>
      </c>
      <c r="Q1207" s="9" t="s">
        <v>185</v>
      </c>
      <c r="R1207" s="9" t="s">
        <v>184</v>
      </c>
      <c r="S1207" s="9" t="s">
        <v>637</v>
      </c>
      <c r="T1207" s="9" t="s">
        <v>79</v>
      </c>
      <c r="U1207" s="9">
        <f>IFERROR(VLOOKUP($T1207,KURALLAR!$A$32:$B$63,2,FALSE()),0)*IF(ISNUMBER($I1207),$I1207,0)</f>
        <v>12</v>
      </c>
    </row>
    <row r="1208" spans="1:21" x14ac:dyDescent="0.25">
      <c r="A1208" s="5">
        <v>1207</v>
      </c>
      <c r="B1208" s="5"/>
      <c r="C1208" s="5" t="s">
        <v>75</v>
      </c>
      <c r="D1208" s="5" t="s">
        <v>186</v>
      </c>
      <c r="E1208" s="5" t="str">
        <f>IFERROR(VLOOKUP($D1208,FIYAT!$B:$O,2,FALSE()),"")</f>
        <v>Ограничитель имп. перенапр. NU6-IIG 4Р In=25kA Uc=440B Im=65kA (R)</v>
      </c>
      <c r="F1208" s="5">
        <f>IFERROR(VLOOKUP($D1208,FIYAT!$B:$O,5,FALSE()),"")</f>
        <v>33208</v>
      </c>
      <c r="G1208" s="5">
        <f>IFERROR(VLOOKUP($D1208,FIYAT!$B:$O,8,FALSE()),"")</f>
        <v>19924.8</v>
      </c>
      <c r="H1208" s="5">
        <f t="shared" si="148"/>
        <v>19924.8</v>
      </c>
      <c r="I1208" s="6">
        <v>1</v>
      </c>
      <c r="J1208" s="5" t="str">
        <f>IFERROR(VLOOKUP($D1208,FIYAT!$B:$O,9,FALSE()),"")</f>
        <v>Шт.</v>
      </c>
      <c r="K1208" s="5" t="str">
        <f>IFERROR(VLOOKUP($D1208,FIYAT!$B:$O,4,FALSE()),"")</f>
        <v>CHINT</v>
      </c>
      <c r="L1208" s="5">
        <f t="shared" si="149"/>
        <v>19924.8</v>
      </c>
      <c r="M1208" s="5"/>
      <c r="N1208" s="5"/>
      <c r="O1208" s="5"/>
      <c r="P1208" s="5" t="str">
        <f>IF($H1208="","FIYAT_YOK",IFERROR(VLOOKUP($D1208,FIYAT!$B:$P,15,FALSE()),""))</f>
        <v>MUADIL_ONAY</v>
      </c>
      <c r="Q1208" s="5" t="s">
        <v>188</v>
      </c>
      <c r="R1208" s="5" t="s">
        <v>184</v>
      </c>
      <c r="S1208" s="5" t="s">
        <v>637</v>
      </c>
      <c r="T1208" s="5" t="s">
        <v>75</v>
      </c>
      <c r="U1208" s="5">
        <f>IFERROR(VLOOKUP($T1208,KURALLAR!$A$32:$B$63,2,FALSE()),0)*IF(ISNUMBER($I1208),$I1208,0)</f>
        <v>10</v>
      </c>
    </row>
    <row r="1209" spans="1:21" x14ac:dyDescent="0.25">
      <c r="A1209" s="9">
        <v>1208</v>
      </c>
      <c r="B1209" s="9"/>
      <c r="C1209" s="9" t="s">
        <v>192</v>
      </c>
      <c r="D1209" s="9" t="s">
        <v>321</v>
      </c>
      <c r="E1209" s="9" t="str">
        <f>IFERROR(VLOOKUP($D1209,FIYAT!$B:$O,2,FALSE()),"")</f>
        <v>Авт. выкл. NXB-63 1P 25A 6кА х-ка C (R)</v>
      </c>
      <c r="F1209" s="9">
        <f>IFERROR(VLOOKUP($D1209,FIYAT!$B:$O,5,FALSE()),"")</f>
        <v>1330</v>
      </c>
      <c r="G1209" s="9">
        <f>IFERROR(VLOOKUP($D1209,FIYAT!$B:$O,8,FALSE()),"")</f>
        <v>798</v>
      </c>
      <c r="H1209" s="9">
        <f t="shared" si="148"/>
        <v>798</v>
      </c>
      <c r="I1209" s="6">
        <v>1</v>
      </c>
      <c r="J1209" s="9" t="str">
        <f>IFERROR(VLOOKUP($D1209,FIYAT!$B:$O,9,FALSE()),"")</f>
        <v>Шт.</v>
      </c>
      <c r="K1209" s="9" t="str">
        <f>IFERROR(VLOOKUP($D1209,FIYAT!$B:$O,4,FALSE()),"")</f>
        <v>CHINT</v>
      </c>
      <c r="L1209" s="9">
        <f t="shared" si="149"/>
        <v>798</v>
      </c>
      <c r="M1209" s="9"/>
      <c r="N1209" s="9"/>
      <c r="O1209" s="9"/>
      <c r="P1209" s="9" t="str">
        <f>IF($H1209="","FIYAT_YOK",IFERROR(VLOOKUP($D1209,FIYAT!$B:$P,15,FALSE()),""))</f>
        <v>OK</v>
      </c>
      <c r="Q1209" s="9" t="s">
        <v>323</v>
      </c>
      <c r="R1209" s="9" t="s">
        <v>171</v>
      </c>
      <c r="S1209" s="9" t="s">
        <v>637</v>
      </c>
      <c r="T1209" s="9" t="s">
        <v>47</v>
      </c>
      <c r="U1209" s="9">
        <f>IFERROR(VLOOKUP($T1209,KURALLAR!$A$32:$B$63,2,FALSE()),0)*IF(ISNUMBER($I1209),$I1209,0)</f>
        <v>3</v>
      </c>
    </row>
    <row r="1210" spans="1:21" x14ac:dyDescent="0.25">
      <c r="A1210" s="5">
        <v>1209</v>
      </c>
      <c r="B1210" s="5"/>
      <c r="C1210" s="5" t="s">
        <v>176</v>
      </c>
      <c r="D1210" s="5" t="s">
        <v>324</v>
      </c>
      <c r="E1210" s="5" t="str">
        <f>IFERROR(VLOOKUP($D1210,FIYAT!$B:$O,2,FALSE()),"")</f>
        <v>УЗО NL1-63 6kA 2P 25A 30mA тип AC (R)</v>
      </c>
      <c r="F1210" s="5">
        <f>IFERROR(VLOOKUP($D1210,FIYAT!$B:$O,5,FALSE()),"")</f>
        <v>10809</v>
      </c>
      <c r="G1210" s="5">
        <f>IFERROR(VLOOKUP($D1210,FIYAT!$B:$O,8,FALSE()),"")</f>
        <v>6485.4</v>
      </c>
      <c r="H1210" s="5">
        <f t="shared" si="148"/>
        <v>6485.4</v>
      </c>
      <c r="I1210" s="6">
        <v>1</v>
      </c>
      <c r="J1210" s="5" t="str">
        <f>IFERROR(VLOOKUP($D1210,FIYAT!$B:$O,9,FALSE()),"")</f>
        <v>Шт.</v>
      </c>
      <c r="K1210" s="5" t="str">
        <f>IFERROR(VLOOKUP($D1210,FIYAT!$B:$O,4,FALSE()),"")</f>
        <v>CHINT</v>
      </c>
      <c r="L1210" s="5">
        <f t="shared" si="149"/>
        <v>6485.4</v>
      </c>
      <c r="M1210" s="5"/>
      <c r="N1210" s="5"/>
      <c r="O1210" s="5"/>
      <c r="P1210" s="5" t="str">
        <f>IF($H1210="","FIYAT_YOK",IFERROR(VLOOKUP($D1210,FIYAT!$B:$P,15,FALSE()),""))</f>
        <v>OK</v>
      </c>
      <c r="Q1210" s="5" t="s">
        <v>326</v>
      </c>
      <c r="R1210" s="5" t="s">
        <v>171</v>
      </c>
      <c r="S1210" s="5" t="s">
        <v>637</v>
      </c>
      <c r="T1210" s="5" t="s">
        <v>55</v>
      </c>
      <c r="U1210" s="5">
        <f>IFERROR(VLOOKUP($T1210,KURALLAR!$A$32:$B$63,2,FALSE()),0)*IF(ISNUMBER($I1210),$I1210,0)</f>
        <v>6</v>
      </c>
    </row>
    <row r="1211" spans="1:21" x14ac:dyDescent="0.25">
      <c r="A1211" s="9">
        <v>1210</v>
      </c>
      <c r="B1211" s="9"/>
      <c r="C1211" s="9" t="s">
        <v>192</v>
      </c>
      <c r="D1211" s="9" t="s">
        <v>194</v>
      </c>
      <c r="E1211" s="9" t="str">
        <f>IFERROR(VLOOKUP($D1211,FIYAT!$B:$O,2,FALSE()),"")</f>
        <v>Авт. выкл. NXB-63 1P 16A 6кА х-ка C (R)</v>
      </c>
      <c r="F1211" s="9">
        <f>IFERROR(VLOOKUP($D1211,FIYAT!$B:$O,5,FALSE()),"")</f>
        <v>1389</v>
      </c>
      <c r="G1211" s="9">
        <f>IFERROR(VLOOKUP($D1211,FIYAT!$B:$O,8,FALSE()),"")</f>
        <v>833.4</v>
      </c>
      <c r="H1211" s="9">
        <f t="shared" si="148"/>
        <v>7500.5999999999995</v>
      </c>
      <c r="I1211" s="6">
        <v>9</v>
      </c>
      <c r="J1211" s="9" t="str">
        <f>IFERROR(VLOOKUP($D1211,FIYAT!$B:$O,9,FALSE()),"")</f>
        <v>Шт.</v>
      </c>
      <c r="K1211" s="9" t="str">
        <f>IFERROR(VLOOKUP($D1211,FIYAT!$B:$O,4,FALSE()),"")</f>
        <v>CHINT</v>
      </c>
      <c r="L1211" s="9">
        <f t="shared" si="149"/>
        <v>7500.5999999999995</v>
      </c>
      <c r="M1211" s="9"/>
      <c r="N1211" s="9"/>
      <c r="O1211" s="9"/>
      <c r="P1211" s="9" t="str">
        <f>IF($H1211="","FIYAT_YOK",IFERROR(VLOOKUP($D1211,FIYAT!$B:$P,15,FALSE()),""))</f>
        <v>OK</v>
      </c>
      <c r="Q1211" s="9" t="s">
        <v>196</v>
      </c>
      <c r="R1211" s="9" t="s">
        <v>171</v>
      </c>
      <c r="S1211" s="9" t="s">
        <v>637</v>
      </c>
      <c r="T1211" s="9" t="s">
        <v>47</v>
      </c>
      <c r="U1211" s="9">
        <f>IFERROR(VLOOKUP($T1211,KURALLAR!$A$32:$B$63,2,FALSE()),0)*IF(ISNUMBER($I1211),$I1211,0)</f>
        <v>27</v>
      </c>
    </row>
    <row r="1212" spans="1:21" x14ac:dyDescent="0.25">
      <c r="A1212" s="5">
        <v>1211</v>
      </c>
      <c r="B1212" s="5"/>
      <c r="C1212" s="5" t="s">
        <v>176</v>
      </c>
      <c r="D1212" s="5" t="s">
        <v>200</v>
      </c>
      <c r="E1212" s="5" t="str">
        <f>IFERROR(VLOOKUP($D1212,FIYAT!$B:$O,2,FALSE()),"")</f>
        <v>УЗО NL1-63 6kA 2P 16A 30mA тип AC (R)</v>
      </c>
      <c r="F1212" s="5">
        <f>IFERROR(VLOOKUP($D1212,FIYAT!$B:$O,5,FALSE()),"")</f>
        <v>10809</v>
      </c>
      <c r="G1212" s="5">
        <f>IFERROR(VLOOKUP($D1212,FIYAT!$B:$O,8,FALSE()),"")</f>
        <v>6485.4</v>
      </c>
      <c r="H1212" s="5">
        <f t="shared" si="148"/>
        <v>6485.4</v>
      </c>
      <c r="I1212" s="6">
        <v>1</v>
      </c>
      <c r="J1212" s="5" t="str">
        <f>IFERROR(VLOOKUP($D1212,FIYAT!$B:$O,9,FALSE()),"")</f>
        <v>Шт.</v>
      </c>
      <c r="K1212" s="5" t="str">
        <f>IFERROR(VLOOKUP($D1212,FIYAT!$B:$O,4,FALSE()),"")</f>
        <v>CHINT</v>
      </c>
      <c r="L1212" s="5">
        <f t="shared" si="149"/>
        <v>6485.4</v>
      </c>
      <c r="M1212" s="5"/>
      <c r="N1212" s="5"/>
      <c r="O1212" s="5"/>
      <c r="P1212" s="5" t="str">
        <f>IF($H1212="","FIYAT_YOK",IFERROR(VLOOKUP($D1212,FIYAT!$B:$P,15,FALSE()),""))</f>
        <v>OK</v>
      </c>
      <c r="Q1212" s="5" t="s">
        <v>202</v>
      </c>
      <c r="R1212" s="5" t="s">
        <v>171</v>
      </c>
      <c r="S1212" s="5" t="s">
        <v>637</v>
      </c>
      <c r="T1212" s="5" t="s">
        <v>55</v>
      </c>
      <c r="U1212" s="5">
        <f>IFERROR(VLOOKUP($T1212,KURALLAR!$A$32:$B$63,2,FALSE()),0)*IF(ISNUMBER($I1212),$I1212,0)</f>
        <v>6</v>
      </c>
    </row>
    <row r="1213" spans="1:21" x14ac:dyDescent="0.25">
      <c r="A1213" s="9">
        <v>1212</v>
      </c>
      <c r="B1213" s="9"/>
      <c r="C1213" s="9" t="s">
        <v>192</v>
      </c>
      <c r="D1213" s="9" t="s">
        <v>206</v>
      </c>
      <c r="E1213" s="9" t="str">
        <f>IFERROR(VLOOKUP($D1213,FIYAT!$B:$O,2,FALSE()),"")</f>
        <v>Авт. выкл. NXB-63 1P 10A 6кА х-ка C (R)</v>
      </c>
      <c r="F1213" s="9">
        <f>IFERROR(VLOOKUP($D1213,FIYAT!$B:$O,5,FALSE()),"")</f>
        <v>1362</v>
      </c>
      <c r="G1213" s="9">
        <f>IFERROR(VLOOKUP($D1213,FIYAT!$B:$O,8,FALSE()),"")</f>
        <v>817.19999999999993</v>
      </c>
      <c r="H1213" s="9">
        <f t="shared" si="148"/>
        <v>11440.8</v>
      </c>
      <c r="I1213" s="6">
        <v>14</v>
      </c>
      <c r="J1213" s="9" t="str">
        <f>IFERROR(VLOOKUP($D1213,FIYAT!$B:$O,9,FALSE()),"")</f>
        <v>Шт.</v>
      </c>
      <c r="K1213" s="9" t="str">
        <f>IFERROR(VLOOKUP($D1213,FIYAT!$B:$O,4,FALSE()),"")</f>
        <v>CHINT</v>
      </c>
      <c r="L1213" s="9">
        <f t="shared" si="149"/>
        <v>11440.8</v>
      </c>
      <c r="M1213" s="9"/>
      <c r="N1213" s="9"/>
      <c r="O1213" s="9"/>
      <c r="P1213" s="9" t="str">
        <f>IF($H1213="","FIYAT_YOK",IFERROR(VLOOKUP($D1213,FIYAT!$B:$P,15,FALSE()),""))</f>
        <v>OK</v>
      </c>
      <c r="Q1213" s="9" t="s">
        <v>208</v>
      </c>
      <c r="R1213" s="9" t="s">
        <v>184</v>
      </c>
      <c r="S1213" s="9" t="s">
        <v>637</v>
      </c>
      <c r="T1213" s="9" t="s">
        <v>47</v>
      </c>
      <c r="U1213" s="9">
        <f>IFERROR(VLOOKUP($T1213,KURALLAR!$A$32:$B$63,2,FALSE()),0)*IF(ISNUMBER($I1213),$I1213,0)</f>
        <v>42</v>
      </c>
    </row>
    <row r="1214" spans="1:21" x14ac:dyDescent="0.25">
      <c r="A1214" s="5">
        <v>1213</v>
      </c>
      <c r="B1214" s="5"/>
      <c r="C1214" s="5" t="s">
        <v>93</v>
      </c>
      <c r="D1214" s="5" t="s">
        <v>209</v>
      </c>
      <c r="E1214" s="5" t="str">
        <f>IFERROR(VLOOKUP($D1214,FIYAT!$B:$O,2,FALSE()),"")</f>
        <v>Шина "N" нулевая 6х9мм на DIN-рейку в корпусном изоляторе ШНИ 12К IEK (10)</v>
      </c>
      <c r="F1214" s="5">
        <f>IFERROR(VLOOKUP($D1214,FIYAT!$B:$O,5,FALSE()),"")</f>
        <v>755</v>
      </c>
      <c r="G1214" s="5">
        <f>IFERROR(VLOOKUP($D1214,FIYAT!$B:$O,8,FALSE()),"")</f>
        <v>453</v>
      </c>
      <c r="H1214" s="5">
        <f t="shared" si="148"/>
        <v>1812</v>
      </c>
      <c r="I1214" s="6">
        <v>4</v>
      </c>
      <c r="J1214" s="5" t="str">
        <f>IFERROR(VLOOKUP($D1214,FIYAT!$B:$O,9,FALSE()),"")</f>
        <v>Шт.</v>
      </c>
      <c r="K1214" s="5" t="str">
        <f>IFERROR(VLOOKUP($D1214,FIYAT!$B:$O,4,FALSE()),"")</f>
        <v>KAZTEK</v>
      </c>
      <c r="L1214" s="5">
        <f t="shared" si="149"/>
        <v>1812</v>
      </c>
      <c r="M1214" s="5"/>
      <c r="N1214" s="5"/>
      <c r="O1214" s="5"/>
      <c r="P1214" s="5" t="str">
        <f>IF($H1214="","FIYAT_YOK",IFERROR(VLOOKUP($D1214,FIYAT!$B:$P,15,FALSE()),""))</f>
        <v>MUADIL</v>
      </c>
      <c r="Q1214" s="5" t="s">
        <v>212</v>
      </c>
      <c r="R1214" s="5" t="s">
        <v>211</v>
      </c>
      <c r="S1214" s="5" t="s">
        <v>637</v>
      </c>
      <c r="T1214" s="5" t="s">
        <v>93</v>
      </c>
      <c r="U1214" s="5">
        <f>IFERROR(VLOOKUP($T1214,KURALLAR!$A$32:$B$63,2,FALSE()),0)*IF(ISNUMBER($I1214),$I1214,0)</f>
        <v>32</v>
      </c>
    </row>
    <row r="1215" spans="1:21" x14ac:dyDescent="0.25">
      <c r="A1215" s="9">
        <v>1214</v>
      </c>
      <c r="B1215" s="9"/>
      <c r="C1215" s="9" t="s">
        <v>222</v>
      </c>
      <c r="D1215" s="9" t="s">
        <v>220</v>
      </c>
      <c r="E1215" s="9" t="str">
        <f>IFERROR(VLOOKUP($D1215,FIYAT!$B:$O,2,FALSE()),"")</f>
        <v>ЩМП (инд.) IP31 (650х500х150мм)</v>
      </c>
      <c r="F1215" s="9">
        <f>IFERROR(VLOOKUP($D1215,FIYAT!$B:$O,5,FALSE()),"")</f>
        <v>27825</v>
      </c>
      <c r="G1215" s="9">
        <f>IFERROR(VLOOKUP($D1215,FIYAT!$B:$O,8,FALSE()),"")</f>
        <v>16695</v>
      </c>
      <c r="H1215" s="9">
        <f t="shared" si="148"/>
        <v>16695</v>
      </c>
      <c r="I1215" s="6">
        <v>1</v>
      </c>
      <c r="J1215" s="9" t="str">
        <f>IFERROR(VLOOKUP($D1215,FIYAT!$B:$O,9,FALSE()),"")</f>
        <v>Шт.</v>
      </c>
      <c r="K1215" s="9" t="str">
        <f>IFERROR(VLOOKUP($D1215,FIYAT!$B:$O,4,FALSE()),"")</f>
        <v>KAZTEK</v>
      </c>
      <c r="L1215" s="9">
        <f t="shared" si="149"/>
        <v>16695</v>
      </c>
      <c r="M1215" s="9"/>
      <c r="N1215" s="9"/>
      <c r="O1215" s="9"/>
      <c r="P1215" s="9" t="str">
        <f>IF($H1215="","FIYAT_YOK",IFERROR(VLOOKUP($D1215,FIYAT!$B:$P,15,FALSE()),""))</f>
        <v>VARSAYIM</v>
      </c>
      <c r="Q1215" s="9" t="s">
        <v>223</v>
      </c>
      <c r="R1215" s="9" t="s">
        <v>211</v>
      </c>
      <c r="S1215" s="9" t="s">
        <v>637</v>
      </c>
      <c r="T1215" s="9" t="s">
        <v>105</v>
      </c>
      <c r="U1215" s="9">
        <f>IFERROR(VLOOKUP($T1215,KURALLAR!$A$32:$B$63,2,FALSE()),0)*IF(ISNUMBER($I1215),$I1215,0)</f>
        <v>30</v>
      </c>
    </row>
    <row r="1216" spans="1:21" x14ac:dyDescent="0.25">
      <c r="A1216" s="5">
        <v>1215</v>
      </c>
      <c r="B1216" s="5"/>
      <c r="C1216" s="5" t="s">
        <v>215</v>
      </c>
      <c r="D1216" s="5" t="s">
        <v>213</v>
      </c>
      <c r="E1216" s="5" t="str">
        <f>IFERROR(VLOOKUP($D1216,FIYAT!$B:$O,2,FALSE()),"")</f>
        <v>Монтажный расходный материал (кабель, DIN-рейка, кабель-канал, клеммы, маркировка, крепёж)</v>
      </c>
      <c r="F1216" s="5">
        <f>IFERROR(VLOOKUP($D1216,FIYAT!$B:$O,5,FALSE()),"")</f>
        <v>0</v>
      </c>
      <c r="G1216" s="5" t="str">
        <f>IFERROR(VLOOKUP($D1216,FIYAT!$B:$O,8,FALSE()),"")</f>
        <v/>
      </c>
      <c r="H1216" s="5">
        <f>ROUND(SUM($H$1204:$H$1215)*KURALLAR!$B$28,0)</f>
        <v>9055</v>
      </c>
      <c r="I1216" s="6">
        <v>1</v>
      </c>
      <c r="J1216" s="5" t="str">
        <f>IFERROR(VLOOKUP($D1216,FIYAT!$B:$O,9,FALSE()),"")</f>
        <v>компл.</v>
      </c>
      <c r="K1216" s="5" t="str">
        <f>IFERROR(VLOOKUP($D1216,FIYAT!$B:$O,4,FALSE()),"")</f>
        <v>MUADIL-NET</v>
      </c>
      <c r="L1216" s="5">
        <f t="shared" si="149"/>
        <v>9055</v>
      </c>
      <c r="M1216" s="5"/>
      <c r="N1216" s="5"/>
      <c r="O1216" s="5"/>
      <c r="P1216" s="5" t="str">
        <f>IF($H1216="","FIYAT_YOK",IFERROR(VLOOKUP($D1216,FIYAT!$B:$P,15,FALSE()),""))</f>
        <v>ORAN</v>
      </c>
      <c r="Q1216" s="5" t="s">
        <v>218</v>
      </c>
      <c r="R1216" s="5" t="s">
        <v>217</v>
      </c>
      <c r="S1216" s="5" t="s">
        <v>637</v>
      </c>
      <c r="T1216" s="5"/>
      <c r="U1216" s="5">
        <v>0</v>
      </c>
    </row>
    <row r="1217" spans="1:21" x14ac:dyDescent="0.25">
      <c r="A1217" s="9">
        <v>1216</v>
      </c>
      <c r="B1217" s="9"/>
      <c r="C1217" s="9" t="s">
        <v>227</v>
      </c>
      <c r="D1217" s="9" t="s">
        <v>225</v>
      </c>
      <c r="E1217" s="9" t="str">
        <f>IFERROR(VLOOKUP($D1217,FIYAT!$B:$O,2,FALSE()),"")</f>
        <v>Сборка, кабелирование, маркировка, момент затяжки, испытания</v>
      </c>
      <c r="F1217" s="9">
        <f>IFERROR(VLOOKUP($D1217,FIYAT!$B:$O,5,FALSE()),"")</f>
        <v>100</v>
      </c>
      <c r="G1217" s="9">
        <f>IFERROR(VLOOKUP($D1217,FIYAT!$B:$O,8,FALSE()),"")</f>
        <v>100</v>
      </c>
      <c r="H1217" s="9">
        <f>IF(OR($G1217="",$I1217=""),"",$G1217*$I1217)</f>
        <v>24500</v>
      </c>
      <c r="I1217" s="6">
        <f>ROUND(SUM($U$1204:$U$1216)*KURALLAR!$B$27,0)</f>
        <v>245</v>
      </c>
      <c r="J1217" s="9" t="str">
        <f>IFERROR(VLOOKUP($D1217,FIYAT!$B:$O,9,FALSE()),"")</f>
        <v>мин</v>
      </c>
      <c r="K1217" s="9" t="str">
        <f>IFERROR(VLOOKUP($D1217,FIYAT!$B:$O,4,FALSE()),"")</f>
        <v>ISCILIK</v>
      </c>
      <c r="L1217" s="9">
        <f t="shared" si="149"/>
        <v>24500</v>
      </c>
      <c r="M1217" s="9"/>
      <c r="N1217" s="9"/>
      <c r="O1217" s="9"/>
      <c r="P1217" s="9" t="str">
        <f>IF($H1217="","FIYAT_YOK",IFERROR(VLOOKUP($D1217,FIYAT!$B:$P,15,FALSE()),""))</f>
        <v>OK</v>
      </c>
      <c r="Q1217" s="9" t="str">
        <f>CONCATENATE("montaj+test iscilik: ",TEXT($I1217,"# ##0")," dk = ",TEXT($I1217/60,"0,00")," saat (norm x test/etiket carpani)")</f>
        <v>montaj+test iscilik:  245 dk = 4,08 saat (norm x test/etiket carpani)</v>
      </c>
      <c r="R1217" s="9" t="s">
        <v>229</v>
      </c>
      <c r="S1217" s="9" t="s">
        <v>637</v>
      </c>
      <c r="T1217" s="9"/>
      <c r="U1217" s="9">
        <v>0</v>
      </c>
    </row>
    <row r="1218" spans="1:21" x14ac:dyDescent="0.25">
      <c r="A1218" s="10">
        <v>1217</v>
      </c>
      <c r="B1218" s="10" t="s">
        <v>700</v>
      </c>
      <c r="C1218" s="10"/>
      <c r="D1218" s="10"/>
      <c r="E1218" s="10"/>
      <c r="F1218" s="10"/>
      <c r="G1218" s="10"/>
      <c r="H1218" s="10">
        <f>SUBTOTAL(9,H1204:H1217)</f>
        <v>162912</v>
      </c>
      <c r="I1218" s="10"/>
      <c r="J1218" s="10"/>
      <c r="K1218" s="10"/>
      <c r="L1218" s="10">
        <f>SUBTOTAL(9,L1204:L1217)</f>
        <v>162912</v>
      </c>
      <c r="M1218" s="10"/>
      <c r="N1218" s="10"/>
      <c r="O1218" s="10"/>
      <c r="P1218" s="10"/>
      <c r="Q1218" s="10"/>
      <c r="R1218" s="10"/>
      <c r="S1218" s="10"/>
      <c r="T1218" s="10"/>
      <c r="U1218" s="10">
        <f>SUBTOTAL(9,U1204:U1217)</f>
        <v>213</v>
      </c>
    </row>
    <row r="1219" spans="1:21" x14ac:dyDescent="0.25">
      <c r="A1219" s="8">
        <v>1218</v>
      </c>
      <c r="B1219" s="8" t="str">
        <f>E1219</f>
        <v>BLOK B / 21F-ИБП.2 — НКУ 380/220В 50Гц, FORM 2B, IP31/54</v>
      </c>
      <c r="C1219" s="8" t="s">
        <v>545</v>
      </c>
      <c r="D1219" s="8"/>
      <c r="E1219" s="8" t="s">
        <v>701</v>
      </c>
      <c r="F1219" s="8"/>
      <c r="G1219" s="8"/>
      <c r="H1219" s="8"/>
      <c r="I1219" s="8">
        <v>1</v>
      </c>
      <c r="J1219" s="8" t="s">
        <v>547</v>
      </c>
      <c r="K1219" s="8"/>
      <c r="L1219" s="8"/>
      <c r="M1219" s="8"/>
      <c r="N1219" s="8"/>
      <c r="O1219" s="8"/>
      <c r="P1219" s="8" t="s">
        <v>178</v>
      </c>
      <c r="Q1219" s="8" t="s">
        <v>548</v>
      </c>
      <c r="R1219" s="8" t="s">
        <v>549</v>
      </c>
      <c r="S1219" s="8" t="s">
        <v>637</v>
      </c>
      <c r="T1219" s="8"/>
      <c r="U1219" s="8"/>
    </row>
    <row r="1220" spans="1:21" x14ac:dyDescent="0.25">
      <c r="A1220" s="5">
        <v>1219</v>
      </c>
      <c r="B1220" s="5"/>
      <c r="C1220" s="5" t="s">
        <v>169</v>
      </c>
      <c r="D1220" s="5" t="s">
        <v>327</v>
      </c>
      <c r="E1220" s="5" t="str">
        <f>IFERROR(VLOOKUP($D1220,FIYAT!$B:$O,2,FALSE()),"")</f>
        <v>Авт. выкл. NM8N-125C TM 3P 25А 36кА с рег. термомаг. расцепителем (R)</v>
      </c>
      <c r="F1220" s="5">
        <f>IFERROR(VLOOKUP($D1220,FIYAT!$B:$O,5,FALSE()),"")</f>
        <v>65063</v>
      </c>
      <c r="G1220" s="5">
        <f>IFERROR(VLOOKUP($D1220,FIYAT!$B:$O,8,FALSE()),"")</f>
        <v>39037.799999999996</v>
      </c>
      <c r="H1220" s="5">
        <f t="shared" ref="H1220:H1231" si="150">IF(OR($G1220="",$I1220=""),"",$G1220*$I1220)</f>
        <v>39037.799999999996</v>
      </c>
      <c r="I1220" s="6">
        <v>1</v>
      </c>
      <c r="J1220" s="5" t="str">
        <f>IFERROR(VLOOKUP($D1220,FIYAT!$B:$O,9,FALSE()),"")</f>
        <v>Шт.</v>
      </c>
      <c r="K1220" s="5" t="str">
        <f>IFERROR(VLOOKUP($D1220,FIYAT!$B:$O,4,FALSE()),"")</f>
        <v>CHINT</v>
      </c>
      <c r="L1220" s="5">
        <f t="shared" ref="L1220:L1233" si="151">IF($H1220="","",$H1220)</f>
        <v>39037.799999999996</v>
      </c>
      <c r="M1220" s="5"/>
      <c r="N1220" s="5"/>
      <c r="O1220" s="5"/>
      <c r="P1220" s="5" t="str">
        <f>IF($H1220="","FIYAT_YOK",IFERROR(VLOOKUP($D1220,FIYAT!$B:$P,15,FALSE()),""))</f>
        <v>MUADIL</v>
      </c>
      <c r="Q1220" s="5" t="s">
        <v>172</v>
      </c>
      <c r="R1220" s="5" t="s">
        <v>171</v>
      </c>
      <c r="S1220" s="5" t="s">
        <v>637</v>
      </c>
      <c r="T1220" s="5" t="s">
        <v>61</v>
      </c>
      <c r="U1220" s="5">
        <f>IFERROR(VLOOKUP($T1220,KURALLAR!$A$32:$B$63,2,FALSE()),0)*IF(ISNUMBER($I1220),$I1220,0)</f>
        <v>15</v>
      </c>
    </row>
    <row r="1221" spans="1:21" x14ac:dyDescent="0.25">
      <c r="A1221" s="9">
        <v>1220</v>
      </c>
      <c r="B1221" s="9"/>
      <c r="C1221" s="9" t="s">
        <v>176</v>
      </c>
      <c r="D1221" s="9" t="s">
        <v>174</v>
      </c>
      <c r="E1221" s="9" t="str">
        <f>IFERROR(VLOOKUP($D1221,FIYAT!$B:$O,2,FALSE()),"")</f>
        <v>УЗО NL1-63 6kA 4P 63A 300mA тип AC (R)</v>
      </c>
      <c r="F1221" s="9">
        <f>IFERROR(VLOOKUP($D1221,FIYAT!$B:$O,5,FALSE()),"")</f>
        <v>18106</v>
      </c>
      <c r="G1221" s="9">
        <f>IFERROR(VLOOKUP($D1221,FIYAT!$B:$O,8,FALSE()),"")</f>
        <v>10863.6</v>
      </c>
      <c r="H1221" s="9">
        <f t="shared" si="150"/>
        <v>10863.6</v>
      </c>
      <c r="I1221" s="6">
        <v>1</v>
      </c>
      <c r="J1221" s="9" t="str">
        <f>IFERROR(VLOOKUP($D1221,FIYAT!$B:$O,9,FALSE()),"")</f>
        <v>Шт.</v>
      </c>
      <c r="K1221" s="9" t="str">
        <f>IFERROR(VLOOKUP($D1221,FIYAT!$B:$O,4,FALSE()),"")</f>
        <v>CHINT</v>
      </c>
      <c r="L1221" s="9">
        <f t="shared" si="151"/>
        <v>10863.6</v>
      </c>
      <c r="M1221" s="9"/>
      <c r="N1221" s="9"/>
      <c r="O1221" s="9"/>
      <c r="P1221" s="9" t="str">
        <f>IF($H1221="","FIYAT_YOK",IFERROR(VLOOKUP($D1221,FIYAT!$B:$P,15,FALSE()),""))</f>
        <v>OK</v>
      </c>
      <c r="Q1221" s="9" t="s">
        <v>177</v>
      </c>
      <c r="R1221" s="9" t="s">
        <v>171</v>
      </c>
      <c r="S1221" s="9" t="s">
        <v>637</v>
      </c>
      <c r="T1221" s="9" t="s">
        <v>57</v>
      </c>
      <c r="U1221" s="9">
        <f>IFERROR(VLOOKUP($T1221,KURALLAR!$A$32:$B$63,2,FALSE()),0)*IF(ISNUMBER($I1221),$I1221,0)</f>
        <v>10</v>
      </c>
    </row>
    <row r="1222" spans="1:21" x14ac:dyDescent="0.25">
      <c r="A1222" s="5">
        <v>1221</v>
      </c>
      <c r="B1222" s="5"/>
      <c r="C1222" s="5" t="s">
        <v>79</v>
      </c>
      <c r="D1222" s="5" t="s">
        <v>179</v>
      </c>
      <c r="E1222" s="5" t="str">
        <f>IFERROR(VLOOKUP($D1222,FIYAT!$B:$O,2,FALSE()),"")</f>
        <v>Держатель плавкой вставки RT36-00-160, габарит 00, 160А</v>
      </c>
      <c r="F1222" s="5">
        <f>IFERROR(VLOOKUP($D1222,FIYAT!$B:$O,5,FALSE()),"")</f>
        <v>2038</v>
      </c>
      <c r="G1222" s="5">
        <f>IFERROR(VLOOKUP($D1222,FIYAT!$B:$O,8,FALSE()),"")</f>
        <v>1222.8</v>
      </c>
      <c r="H1222" s="5">
        <f t="shared" si="150"/>
        <v>4891.2</v>
      </c>
      <c r="I1222" s="6">
        <v>4</v>
      </c>
      <c r="J1222" s="5" t="str">
        <f>IFERROR(VLOOKUP($D1222,FIYAT!$B:$O,9,FALSE()),"")</f>
        <v>Шт.</v>
      </c>
      <c r="K1222" s="5" t="str">
        <f>IFERROR(VLOOKUP($D1222,FIYAT!$B:$O,4,FALSE()),"")</f>
        <v>CHINT</v>
      </c>
      <c r="L1222" s="5">
        <f t="shared" si="151"/>
        <v>4891.2</v>
      </c>
      <c r="M1222" s="5"/>
      <c r="N1222" s="5"/>
      <c r="O1222" s="5"/>
      <c r="P1222" s="5" t="str">
        <f>IF($H1222="","FIYAT_YOK",IFERROR(VLOOKUP($D1222,FIYAT!$B:$P,15,FALSE()),""))</f>
        <v>MUADIL</v>
      </c>
      <c r="Q1222" s="5" t="s">
        <v>181</v>
      </c>
      <c r="R1222" s="5" t="s">
        <v>171</v>
      </c>
      <c r="S1222" s="5" t="s">
        <v>637</v>
      </c>
      <c r="T1222" s="5" t="s">
        <v>77</v>
      </c>
      <c r="U1222" s="5">
        <f>IFERROR(VLOOKUP($T1222,KURALLAR!$A$32:$B$63,2,FALSE()),0)*IF(ISNUMBER($I1222),$I1222,0)</f>
        <v>20</v>
      </c>
    </row>
    <row r="1223" spans="1:21" x14ac:dyDescent="0.25">
      <c r="A1223" s="9">
        <v>1222</v>
      </c>
      <c r="B1223" s="9"/>
      <c r="C1223" s="9" t="s">
        <v>79</v>
      </c>
      <c r="D1223" s="9" t="s">
        <v>182</v>
      </c>
      <c r="E1223" s="9" t="str">
        <f>IFERROR(VLOOKUP($D1223,FIYAT!$B:$O,2,FALSE()),"")</f>
        <v>Плавкая вставка предохранителя RT36-00-160, габарит 00, 63А</v>
      </c>
      <c r="F1223" s="9">
        <f>IFERROR(VLOOKUP($D1223,FIYAT!$B:$O,5,FALSE()),"")</f>
        <v>1525</v>
      </c>
      <c r="G1223" s="9">
        <f>IFERROR(VLOOKUP($D1223,FIYAT!$B:$O,8,FALSE()),"")</f>
        <v>915</v>
      </c>
      <c r="H1223" s="9">
        <f t="shared" si="150"/>
        <v>3660</v>
      </c>
      <c r="I1223" s="6">
        <v>4</v>
      </c>
      <c r="J1223" s="9" t="str">
        <f>IFERROR(VLOOKUP($D1223,FIYAT!$B:$O,9,FALSE()),"")</f>
        <v>Шт.</v>
      </c>
      <c r="K1223" s="9" t="str">
        <f>IFERROR(VLOOKUP($D1223,FIYAT!$B:$O,4,FALSE()),"")</f>
        <v>CHINT</v>
      </c>
      <c r="L1223" s="9">
        <f t="shared" si="151"/>
        <v>3660</v>
      </c>
      <c r="M1223" s="9"/>
      <c r="N1223" s="9"/>
      <c r="O1223" s="9"/>
      <c r="P1223" s="9" t="str">
        <f>IF($H1223="","FIYAT_YOK",IFERROR(VLOOKUP($D1223,FIYAT!$B:$P,15,FALSE()),""))</f>
        <v>MUADIL</v>
      </c>
      <c r="Q1223" s="9" t="s">
        <v>185</v>
      </c>
      <c r="R1223" s="9" t="s">
        <v>184</v>
      </c>
      <c r="S1223" s="9" t="s">
        <v>637</v>
      </c>
      <c r="T1223" s="9" t="s">
        <v>79</v>
      </c>
      <c r="U1223" s="9">
        <f>IFERROR(VLOOKUP($T1223,KURALLAR!$A$32:$B$63,2,FALSE()),0)*IF(ISNUMBER($I1223),$I1223,0)</f>
        <v>12</v>
      </c>
    </row>
    <row r="1224" spans="1:21" x14ac:dyDescent="0.25">
      <c r="A1224" s="5">
        <v>1223</v>
      </c>
      <c r="B1224" s="5"/>
      <c r="C1224" s="5" t="s">
        <v>75</v>
      </c>
      <c r="D1224" s="5" t="s">
        <v>186</v>
      </c>
      <c r="E1224" s="5" t="str">
        <f>IFERROR(VLOOKUP($D1224,FIYAT!$B:$O,2,FALSE()),"")</f>
        <v>Ограничитель имп. перенапр. NU6-IIG 4Р In=25kA Uc=440B Im=65kA (R)</v>
      </c>
      <c r="F1224" s="5">
        <f>IFERROR(VLOOKUP($D1224,FIYAT!$B:$O,5,FALSE()),"")</f>
        <v>33208</v>
      </c>
      <c r="G1224" s="5">
        <f>IFERROR(VLOOKUP($D1224,FIYAT!$B:$O,8,FALSE()),"")</f>
        <v>19924.8</v>
      </c>
      <c r="H1224" s="5">
        <f t="shared" si="150"/>
        <v>19924.8</v>
      </c>
      <c r="I1224" s="6">
        <v>1</v>
      </c>
      <c r="J1224" s="5" t="str">
        <f>IFERROR(VLOOKUP($D1224,FIYAT!$B:$O,9,FALSE()),"")</f>
        <v>Шт.</v>
      </c>
      <c r="K1224" s="5" t="str">
        <f>IFERROR(VLOOKUP($D1224,FIYAT!$B:$O,4,FALSE()),"")</f>
        <v>CHINT</v>
      </c>
      <c r="L1224" s="5">
        <f t="shared" si="151"/>
        <v>19924.8</v>
      </c>
      <c r="M1224" s="5"/>
      <c r="N1224" s="5"/>
      <c r="O1224" s="5"/>
      <c r="P1224" s="5" t="str">
        <f>IF($H1224="","FIYAT_YOK",IFERROR(VLOOKUP($D1224,FIYAT!$B:$P,15,FALSE()),""))</f>
        <v>MUADIL_ONAY</v>
      </c>
      <c r="Q1224" s="5" t="s">
        <v>188</v>
      </c>
      <c r="R1224" s="5" t="s">
        <v>184</v>
      </c>
      <c r="S1224" s="5" t="s">
        <v>637</v>
      </c>
      <c r="T1224" s="5" t="s">
        <v>75</v>
      </c>
      <c r="U1224" s="5">
        <f>IFERROR(VLOOKUP($T1224,KURALLAR!$A$32:$B$63,2,FALSE()),0)*IF(ISNUMBER($I1224),$I1224,0)</f>
        <v>10</v>
      </c>
    </row>
    <row r="1225" spans="1:21" x14ac:dyDescent="0.25">
      <c r="A1225" s="9">
        <v>1224</v>
      </c>
      <c r="B1225" s="9"/>
      <c r="C1225" s="9" t="s">
        <v>192</v>
      </c>
      <c r="D1225" s="9" t="s">
        <v>321</v>
      </c>
      <c r="E1225" s="9" t="str">
        <f>IFERROR(VLOOKUP($D1225,FIYAT!$B:$O,2,FALSE()),"")</f>
        <v>Авт. выкл. NXB-63 1P 25A 6кА х-ка C (R)</v>
      </c>
      <c r="F1225" s="9">
        <f>IFERROR(VLOOKUP($D1225,FIYAT!$B:$O,5,FALSE()),"")</f>
        <v>1330</v>
      </c>
      <c r="G1225" s="9">
        <f>IFERROR(VLOOKUP($D1225,FIYAT!$B:$O,8,FALSE()),"")</f>
        <v>798</v>
      </c>
      <c r="H1225" s="9">
        <f t="shared" si="150"/>
        <v>798</v>
      </c>
      <c r="I1225" s="6">
        <v>1</v>
      </c>
      <c r="J1225" s="9" t="str">
        <f>IFERROR(VLOOKUP($D1225,FIYAT!$B:$O,9,FALSE()),"")</f>
        <v>Шт.</v>
      </c>
      <c r="K1225" s="9" t="str">
        <f>IFERROR(VLOOKUP($D1225,FIYAT!$B:$O,4,FALSE()),"")</f>
        <v>CHINT</v>
      </c>
      <c r="L1225" s="9">
        <f t="shared" si="151"/>
        <v>798</v>
      </c>
      <c r="M1225" s="9"/>
      <c r="N1225" s="9"/>
      <c r="O1225" s="9"/>
      <c r="P1225" s="9" t="str">
        <f>IF($H1225="","FIYAT_YOK",IFERROR(VLOOKUP($D1225,FIYAT!$B:$P,15,FALSE()),""))</f>
        <v>OK</v>
      </c>
      <c r="Q1225" s="9" t="s">
        <v>323</v>
      </c>
      <c r="R1225" s="9" t="s">
        <v>171</v>
      </c>
      <c r="S1225" s="9" t="s">
        <v>637</v>
      </c>
      <c r="T1225" s="9" t="s">
        <v>47</v>
      </c>
      <c r="U1225" s="9">
        <f>IFERROR(VLOOKUP($T1225,KURALLAR!$A$32:$B$63,2,FALSE()),0)*IF(ISNUMBER($I1225),$I1225,0)</f>
        <v>3</v>
      </c>
    </row>
    <row r="1226" spans="1:21" x14ac:dyDescent="0.25">
      <c r="A1226" s="5">
        <v>1225</v>
      </c>
      <c r="B1226" s="5"/>
      <c r="C1226" s="5" t="s">
        <v>176</v>
      </c>
      <c r="D1226" s="5" t="s">
        <v>324</v>
      </c>
      <c r="E1226" s="5" t="str">
        <f>IFERROR(VLOOKUP($D1226,FIYAT!$B:$O,2,FALSE()),"")</f>
        <v>УЗО NL1-63 6kA 2P 25A 30mA тип AC (R)</v>
      </c>
      <c r="F1226" s="5">
        <f>IFERROR(VLOOKUP($D1226,FIYAT!$B:$O,5,FALSE()),"")</f>
        <v>10809</v>
      </c>
      <c r="G1226" s="5">
        <f>IFERROR(VLOOKUP($D1226,FIYAT!$B:$O,8,FALSE()),"")</f>
        <v>6485.4</v>
      </c>
      <c r="H1226" s="5">
        <f t="shared" si="150"/>
        <v>6485.4</v>
      </c>
      <c r="I1226" s="6">
        <v>1</v>
      </c>
      <c r="J1226" s="5" t="str">
        <f>IFERROR(VLOOKUP($D1226,FIYAT!$B:$O,9,FALSE()),"")</f>
        <v>Шт.</v>
      </c>
      <c r="K1226" s="5" t="str">
        <f>IFERROR(VLOOKUP($D1226,FIYAT!$B:$O,4,FALSE()),"")</f>
        <v>CHINT</v>
      </c>
      <c r="L1226" s="5">
        <f t="shared" si="151"/>
        <v>6485.4</v>
      </c>
      <c r="M1226" s="5"/>
      <c r="N1226" s="5"/>
      <c r="O1226" s="5"/>
      <c r="P1226" s="5" t="str">
        <f>IF($H1226="","FIYAT_YOK",IFERROR(VLOOKUP($D1226,FIYAT!$B:$P,15,FALSE()),""))</f>
        <v>OK</v>
      </c>
      <c r="Q1226" s="5" t="s">
        <v>326</v>
      </c>
      <c r="R1226" s="5" t="s">
        <v>171</v>
      </c>
      <c r="S1226" s="5" t="s">
        <v>637</v>
      </c>
      <c r="T1226" s="5" t="s">
        <v>55</v>
      </c>
      <c r="U1226" s="5">
        <f>IFERROR(VLOOKUP($T1226,KURALLAR!$A$32:$B$63,2,FALSE()),0)*IF(ISNUMBER($I1226),$I1226,0)</f>
        <v>6</v>
      </c>
    </row>
    <row r="1227" spans="1:21" x14ac:dyDescent="0.25">
      <c r="A1227" s="9">
        <v>1226</v>
      </c>
      <c r="B1227" s="9"/>
      <c r="C1227" s="9" t="s">
        <v>192</v>
      </c>
      <c r="D1227" s="9" t="s">
        <v>194</v>
      </c>
      <c r="E1227" s="9" t="str">
        <f>IFERROR(VLOOKUP($D1227,FIYAT!$B:$O,2,FALSE()),"")</f>
        <v>Авт. выкл. NXB-63 1P 16A 6кА х-ка C (R)</v>
      </c>
      <c r="F1227" s="9">
        <f>IFERROR(VLOOKUP($D1227,FIYAT!$B:$O,5,FALSE()),"")</f>
        <v>1389</v>
      </c>
      <c r="G1227" s="9">
        <f>IFERROR(VLOOKUP($D1227,FIYAT!$B:$O,8,FALSE()),"")</f>
        <v>833.4</v>
      </c>
      <c r="H1227" s="9">
        <f t="shared" si="150"/>
        <v>4167</v>
      </c>
      <c r="I1227" s="6">
        <v>5</v>
      </c>
      <c r="J1227" s="9" t="str">
        <f>IFERROR(VLOOKUP($D1227,FIYAT!$B:$O,9,FALSE()),"")</f>
        <v>Шт.</v>
      </c>
      <c r="K1227" s="9" t="str">
        <f>IFERROR(VLOOKUP($D1227,FIYAT!$B:$O,4,FALSE()),"")</f>
        <v>CHINT</v>
      </c>
      <c r="L1227" s="9">
        <f t="shared" si="151"/>
        <v>4167</v>
      </c>
      <c r="M1227" s="9"/>
      <c r="N1227" s="9"/>
      <c r="O1227" s="9"/>
      <c r="P1227" s="9" t="str">
        <f>IF($H1227="","FIYAT_YOK",IFERROR(VLOOKUP($D1227,FIYAT!$B:$P,15,FALSE()),""))</f>
        <v>OK</v>
      </c>
      <c r="Q1227" s="9" t="s">
        <v>196</v>
      </c>
      <c r="R1227" s="9" t="s">
        <v>171</v>
      </c>
      <c r="S1227" s="9" t="s">
        <v>637</v>
      </c>
      <c r="T1227" s="9" t="s">
        <v>47</v>
      </c>
      <c r="U1227" s="9">
        <f>IFERROR(VLOOKUP($T1227,KURALLAR!$A$32:$B$63,2,FALSE()),0)*IF(ISNUMBER($I1227),$I1227,0)</f>
        <v>15</v>
      </c>
    </row>
    <row r="1228" spans="1:21" x14ac:dyDescent="0.25">
      <c r="A1228" s="5">
        <v>1227</v>
      </c>
      <c r="B1228" s="5"/>
      <c r="C1228" s="5" t="s">
        <v>176</v>
      </c>
      <c r="D1228" s="5" t="s">
        <v>200</v>
      </c>
      <c r="E1228" s="5" t="str">
        <f>IFERROR(VLOOKUP($D1228,FIYAT!$B:$O,2,FALSE()),"")</f>
        <v>УЗО NL1-63 6kA 2P 16A 30mA тип AC (R)</v>
      </c>
      <c r="F1228" s="5">
        <f>IFERROR(VLOOKUP($D1228,FIYAT!$B:$O,5,FALSE()),"")</f>
        <v>10809</v>
      </c>
      <c r="G1228" s="5">
        <f>IFERROR(VLOOKUP($D1228,FIYAT!$B:$O,8,FALSE()),"")</f>
        <v>6485.4</v>
      </c>
      <c r="H1228" s="5">
        <f t="shared" si="150"/>
        <v>6485.4</v>
      </c>
      <c r="I1228" s="6">
        <v>1</v>
      </c>
      <c r="J1228" s="5" t="str">
        <f>IFERROR(VLOOKUP($D1228,FIYAT!$B:$O,9,FALSE()),"")</f>
        <v>Шт.</v>
      </c>
      <c r="K1228" s="5" t="str">
        <f>IFERROR(VLOOKUP($D1228,FIYAT!$B:$O,4,FALSE()),"")</f>
        <v>CHINT</v>
      </c>
      <c r="L1228" s="5">
        <f t="shared" si="151"/>
        <v>6485.4</v>
      </c>
      <c r="M1228" s="5"/>
      <c r="N1228" s="5"/>
      <c r="O1228" s="5"/>
      <c r="P1228" s="5" t="str">
        <f>IF($H1228="","FIYAT_YOK",IFERROR(VLOOKUP($D1228,FIYAT!$B:$P,15,FALSE()),""))</f>
        <v>OK</v>
      </c>
      <c r="Q1228" s="5" t="s">
        <v>202</v>
      </c>
      <c r="R1228" s="5" t="s">
        <v>171</v>
      </c>
      <c r="S1228" s="5" t="s">
        <v>637</v>
      </c>
      <c r="T1228" s="5" t="s">
        <v>55</v>
      </c>
      <c r="U1228" s="5">
        <f>IFERROR(VLOOKUP($T1228,KURALLAR!$A$32:$B$63,2,FALSE()),0)*IF(ISNUMBER($I1228),$I1228,0)</f>
        <v>6</v>
      </c>
    </row>
    <row r="1229" spans="1:21" x14ac:dyDescent="0.25">
      <c r="A1229" s="9">
        <v>1228</v>
      </c>
      <c r="B1229" s="9"/>
      <c r="C1229" s="9" t="s">
        <v>192</v>
      </c>
      <c r="D1229" s="9" t="s">
        <v>206</v>
      </c>
      <c r="E1229" s="9" t="str">
        <f>IFERROR(VLOOKUP($D1229,FIYAT!$B:$O,2,FALSE()),"")</f>
        <v>Авт. выкл. NXB-63 1P 10A 6кА х-ка C (R)</v>
      </c>
      <c r="F1229" s="9">
        <f>IFERROR(VLOOKUP($D1229,FIYAT!$B:$O,5,FALSE()),"")</f>
        <v>1362</v>
      </c>
      <c r="G1229" s="9">
        <f>IFERROR(VLOOKUP($D1229,FIYAT!$B:$O,8,FALSE()),"")</f>
        <v>817.19999999999993</v>
      </c>
      <c r="H1229" s="9">
        <f t="shared" si="150"/>
        <v>10623.599999999999</v>
      </c>
      <c r="I1229" s="6">
        <v>13</v>
      </c>
      <c r="J1229" s="9" t="str">
        <f>IFERROR(VLOOKUP($D1229,FIYAT!$B:$O,9,FALSE()),"")</f>
        <v>Шт.</v>
      </c>
      <c r="K1229" s="9" t="str">
        <f>IFERROR(VLOOKUP($D1229,FIYAT!$B:$O,4,FALSE()),"")</f>
        <v>CHINT</v>
      </c>
      <c r="L1229" s="9">
        <f t="shared" si="151"/>
        <v>10623.599999999999</v>
      </c>
      <c r="M1229" s="9"/>
      <c r="N1229" s="9"/>
      <c r="O1229" s="9"/>
      <c r="P1229" s="9" t="str">
        <f>IF($H1229="","FIYAT_YOK",IFERROR(VLOOKUP($D1229,FIYAT!$B:$P,15,FALSE()),""))</f>
        <v>OK</v>
      </c>
      <c r="Q1229" s="9" t="s">
        <v>208</v>
      </c>
      <c r="R1229" s="9" t="s">
        <v>184</v>
      </c>
      <c r="S1229" s="9" t="s">
        <v>637</v>
      </c>
      <c r="T1229" s="9" t="s">
        <v>47</v>
      </c>
      <c r="U1229" s="9">
        <f>IFERROR(VLOOKUP($T1229,KURALLAR!$A$32:$B$63,2,FALSE()),0)*IF(ISNUMBER($I1229),$I1229,0)</f>
        <v>39</v>
      </c>
    </row>
    <row r="1230" spans="1:21" x14ac:dyDescent="0.25">
      <c r="A1230" s="5">
        <v>1229</v>
      </c>
      <c r="B1230" s="5"/>
      <c r="C1230" s="5" t="s">
        <v>93</v>
      </c>
      <c r="D1230" s="5" t="s">
        <v>209</v>
      </c>
      <c r="E1230" s="5" t="str">
        <f>IFERROR(VLOOKUP($D1230,FIYAT!$B:$O,2,FALSE()),"")</f>
        <v>Шина "N" нулевая 6х9мм на DIN-рейку в корпусном изоляторе ШНИ 12К IEK (10)</v>
      </c>
      <c r="F1230" s="5">
        <f>IFERROR(VLOOKUP($D1230,FIYAT!$B:$O,5,FALSE()),"")</f>
        <v>755</v>
      </c>
      <c r="G1230" s="5">
        <f>IFERROR(VLOOKUP($D1230,FIYAT!$B:$O,8,FALSE()),"")</f>
        <v>453</v>
      </c>
      <c r="H1230" s="5">
        <f t="shared" si="150"/>
        <v>1812</v>
      </c>
      <c r="I1230" s="6">
        <v>4</v>
      </c>
      <c r="J1230" s="5" t="str">
        <f>IFERROR(VLOOKUP($D1230,FIYAT!$B:$O,9,FALSE()),"")</f>
        <v>Шт.</v>
      </c>
      <c r="K1230" s="5" t="str">
        <f>IFERROR(VLOOKUP($D1230,FIYAT!$B:$O,4,FALSE()),"")</f>
        <v>KAZTEK</v>
      </c>
      <c r="L1230" s="5">
        <f t="shared" si="151"/>
        <v>1812</v>
      </c>
      <c r="M1230" s="5"/>
      <c r="N1230" s="5"/>
      <c r="O1230" s="5"/>
      <c r="P1230" s="5" t="str">
        <f>IF($H1230="","FIYAT_YOK",IFERROR(VLOOKUP($D1230,FIYAT!$B:$P,15,FALSE()),""))</f>
        <v>MUADIL</v>
      </c>
      <c r="Q1230" s="5" t="s">
        <v>212</v>
      </c>
      <c r="R1230" s="5" t="s">
        <v>211</v>
      </c>
      <c r="S1230" s="5" t="s">
        <v>637</v>
      </c>
      <c r="T1230" s="5" t="s">
        <v>93</v>
      </c>
      <c r="U1230" s="5">
        <f>IFERROR(VLOOKUP($T1230,KURALLAR!$A$32:$B$63,2,FALSE()),0)*IF(ISNUMBER($I1230),$I1230,0)</f>
        <v>32</v>
      </c>
    </row>
    <row r="1231" spans="1:21" x14ac:dyDescent="0.25">
      <c r="A1231" s="9">
        <v>1230</v>
      </c>
      <c r="B1231" s="9"/>
      <c r="C1231" s="9" t="s">
        <v>222</v>
      </c>
      <c r="D1231" s="9" t="s">
        <v>220</v>
      </c>
      <c r="E1231" s="9" t="str">
        <f>IFERROR(VLOOKUP($D1231,FIYAT!$B:$O,2,FALSE()),"")</f>
        <v>ЩМП (инд.) IP31 (650х500х150мм)</v>
      </c>
      <c r="F1231" s="9">
        <f>IFERROR(VLOOKUP($D1231,FIYAT!$B:$O,5,FALSE()),"")</f>
        <v>27825</v>
      </c>
      <c r="G1231" s="9">
        <f>IFERROR(VLOOKUP($D1231,FIYAT!$B:$O,8,FALSE()),"")</f>
        <v>16695</v>
      </c>
      <c r="H1231" s="9">
        <f t="shared" si="150"/>
        <v>16695</v>
      </c>
      <c r="I1231" s="6">
        <v>1</v>
      </c>
      <c r="J1231" s="9" t="str">
        <f>IFERROR(VLOOKUP($D1231,FIYAT!$B:$O,9,FALSE()),"")</f>
        <v>Шт.</v>
      </c>
      <c r="K1231" s="9" t="str">
        <f>IFERROR(VLOOKUP($D1231,FIYAT!$B:$O,4,FALSE()),"")</f>
        <v>KAZTEK</v>
      </c>
      <c r="L1231" s="9">
        <f t="shared" si="151"/>
        <v>16695</v>
      </c>
      <c r="M1231" s="9"/>
      <c r="N1231" s="9"/>
      <c r="O1231" s="9"/>
      <c r="P1231" s="9" t="str">
        <f>IF($H1231="","FIYAT_YOK",IFERROR(VLOOKUP($D1231,FIYAT!$B:$P,15,FALSE()),""))</f>
        <v>VARSAYIM</v>
      </c>
      <c r="Q1231" s="9" t="s">
        <v>223</v>
      </c>
      <c r="R1231" s="9" t="s">
        <v>211</v>
      </c>
      <c r="S1231" s="9" t="s">
        <v>637</v>
      </c>
      <c r="T1231" s="9" t="s">
        <v>105</v>
      </c>
      <c r="U1231" s="9">
        <f>IFERROR(VLOOKUP($T1231,KURALLAR!$A$32:$B$63,2,FALSE()),0)*IF(ISNUMBER($I1231),$I1231,0)</f>
        <v>30</v>
      </c>
    </row>
    <row r="1232" spans="1:21" x14ac:dyDescent="0.25">
      <c r="A1232" s="5">
        <v>1231</v>
      </c>
      <c r="B1232" s="5"/>
      <c r="C1232" s="5" t="s">
        <v>215</v>
      </c>
      <c r="D1232" s="5" t="s">
        <v>213</v>
      </c>
      <c r="E1232" s="5" t="str">
        <f>IFERROR(VLOOKUP($D1232,FIYAT!$B:$O,2,FALSE()),"")</f>
        <v>Монтажный расходный материал (кабель, DIN-рейка, кабель-канал, клеммы, маркировка, крепёж)</v>
      </c>
      <c r="F1232" s="5">
        <f>IFERROR(VLOOKUP($D1232,FIYAT!$B:$O,5,FALSE()),"")</f>
        <v>0</v>
      </c>
      <c r="G1232" s="5" t="str">
        <f>IFERROR(VLOOKUP($D1232,FIYAT!$B:$O,8,FALSE()),"")</f>
        <v/>
      </c>
      <c r="H1232" s="5">
        <f>ROUND(SUM($H$1220:$H$1231)*KURALLAR!$B$28,0)</f>
        <v>8781</v>
      </c>
      <c r="I1232" s="6">
        <v>1</v>
      </c>
      <c r="J1232" s="5" t="str">
        <f>IFERROR(VLOOKUP($D1232,FIYAT!$B:$O,9,FALSE()),"")</f>
        <v>компл.</v>
      </c>
      <c r="K1232" s="5" t="str">
        <f>IFERROR(VLOOKUP($D1232,FIYAT!$B:$O,4,FALSE()),"")</f>
        <v>MUADIL-NET</v>
      </c>
      <c r="L1232" s="5">
        <f t="shared" si="151"/>
        <v>8781</v>
      </c>
      <c r="M1232" s="5"/>
      <c r="N1232" s="5"/>
      <c r="O1232" s="5"/>
      <c r="P1232" s="5" t="str">
        <f>IF($H1232="","FIYAT_YOK",IFERROR(VLOOKUP($D1232,FIYAT!$B:$P,15,FALSE()),""))</f>
        <v>ORAN</v>
      </c>
      <c r="Q1232" s="5" t="s">
        <v>218</v>
      </c>
      <c r="R1232" s="5" t="s">
        <v>217</v>
      </c>
      <c r="S1232" s="5" t="s">
        <v>637</v>
      </c>
      <c r="T1232" s="5"/>
      <c r="U1232" s="5">
        <v>0</v>
      </c>
    </row>
    <row r="1233" spans="1:21" x14ac:dyDescent="0.25">
      <c r="A1233" s="9">
        <v>1232</v>
      </c>
      <c r="B1233" s="9"/>
      <c r="C1233" s="9" t="s">
        <v>227</v>
      </c>
      <c r="D1233" s="9" t="s">
        <v>225</v>
      </c>
      <c r="E1233" s="9" t="str">
        <f>IFERROR(VLOOKUP($D1233,FIYAT!$B:$O,2,FALSE()),"")</f>
        <v>Сборка, кабелирование, маркировка, момент затяжки, испытания</v>
      </c>
      <c r="F1233" s="9">
        <f>IFERROR(VLOOKUP($D1233,FIYAT!$B:$O,5,FALSE()),"")</f>
        <v>100</v>
      </c>
      <c r="G1233" s="9">
        <f>IFERROR(VLOOKUP($D1233,FIYAT!$B:$O,8,FALSE()),"")</f>
        <v>100</v>
      </c>
      <c r="H1233" s="9">
        <f>IF(OR($G1233="",$I1233=""),"",$G1233*$I1233)</f>
        <v>22800</v>
      </c>
      <c r="I1233" s="6">
        <f>ROUND(SUM($U$1220:$U$1232)*KURALLAR!$B$27,0)</f>
        <v>228</v>
      </c>
      <c r="J1233" s="9" t="str">
        <f>IFERROR(VLOOKUP($D1233,FIYAT!$B:$O,9,FALSE()),"")</f>
        <v>мин</v>
      </c>
      <c r="K1233" s="9" t="str">
        <f>IFERROR(VLOOKUP($D1233,FIYAT!$B:$O,4,FALSE()),"")</f>
        <v>ISCILIK</v>
      </c>
      <c r="L1233" s="9">
        <f t="shared" si="151"/>
        <v>22800</v>
      </c>
      <c r="M1233" s="9"/>
      <c r="N1233" s="9"/>
      <c r="O1233" s="9"/>
      <c r="P1233" s="9" t="str">
        <f>IF($H1233="","FIYAT_YOK",IFERROR(VLOOKUP($D1233,FIYAT!$B:$P,15,FALSE()),""))</f>
        <v>OK</v>
      </c>
      <c r="Q1233" s="9" t="str">
        <f>CONCATENATE("montaj+test iscilik: ",TEXT($I1233,"# ##0")," dk = ",TEXT($I1233/60,"0,00")," saat (norm x test/etiket carpani)")</f>
        <v>montaj+test iscilik:  228 dk = 3,80 saat (norm x test/etiket carpani)</v>
      </c>
      <c r="R1233" s="9" t="s">
        <v>229</v>
      </c>
      <c r="S1233" s="9" t="s">
        <v>637</v>
      </c>
      <c r="T1233" s="9"/>
      <c r="U1233" s="9">
        <v>0</v>
      </c>
    </row>
    <row r="1234" spans="1:21" x14ac:dyDescent="0.25">
      <c r="A1234" s="10">
        <v>1233</v>
      </c>
      <c r="B1234" s="10" t="s">
        <v>702</v>
      </c>
      <c r="C1234" s="10"/>
      <c r="D1234" s="10"/>
      <c r="E1234" s="10"/>
      <c r="F1234" s="10"/>
      <c r="G1234" s="10"/>
      <c r="H1234" s="10">
        <f>SUBTOTAL(9,H1220:H1233)</f>
        <v>157024.79999999999</v>
      </c>
      <c r="I1234" s="10"/>
      <c r="J1234" s="10"/>
      <c r="K1234" s="10"/>
      <c r="L1234" s="10">
        <f>SUBTOTAL(9,L1220:L1233)</f>
        <v>157024.79999999999</v>
      </c>
      <c r="M1234" s="10"/>
      <c r="N1234" s="10"/>
      <c r="O1234" s="10"/>
      <c r="P1234" s="10"/>
      <c r="Q1234" s="10"/>
      <c r="R1234" s="10"/>
      <c r="S1234" s="10"/>
      <c r="T1234" s="10"/>
      <c r="U1234" s="10">
        <f>SUBTOTAL(9,U1220:U1233)</f>
        <v>198</v>
      </c>
    </row>
    <row r="1235" spans="1:21" x14ac:dyDescent="0.25">
      <c r="A1235" s="8">
        <v>1234</v>
      </c>
      <c r="B1235" s="8" t="str">
        <f>E1235</f>
        <v>BLOK B / ЩА-B2 — НКУ 380/220В 50Гц, FORM 2B, IP31/54</v>
      </c>
      <c r="C1235" s="8" t="s">
        <v>545</v>
      </c>
      <c r="D1235" s="8"/>
      <c r="E1235" s="8" t="s">
        <v>703</v>
      </c>
      <c r="F1235" s="8"/>
      <c r="G1235" s="8"/>
      <c r="H1235" s="8"/>
      <c r="I1235" s="8">
        <v>1</v>
      </c>
      <c r="J1235" s="8" t="s">
        <v>547</v>
      </c>
      <c r="K1235" s="8"/>
      <c r="L1235" s="8"/>
      <c r="M1235" s="8"/>
      <c r="N1235" s="8"/>
      <c r="O1235" s="8"/>
      <c r="P1235" s="8" t="s">
        <v>178</v>
      </c>
      <c r="Q1235" s="8" t="s">
        <v>548</v>
      </c>
      <c r="R1235" s="8" t="s">
        <v>549</v>
      </c>
      <c r="S1235" s="8" t="s">
        <v>637</v>
      </c>
      <c r="T1235" s="8"/>
      <c r="U1235" s="8"/>
    </row>
    <row r="1236" spans="1:21" x14ac:dyDescent="0.25">
      <c r="A1236" s="5">
        <v>1235</v>
      </c>
      <c r="B1236" s="5"/>
      <c r="C1236" s="5" t="s">
        <v>169</v>
      </c>
      <c r="D1236" s="5" t="s">
        <v>231</v>
      </c>
      <c r="E1236" s="5" t="str">
        <f>IFERROR(VLOOKUP($D1236,FIYAT!$B:$O,2,FALSE()),"")</f>
        <v>Авт. выкл. NM8N-125C TM 3P 80А 36кА с рег. термомаг. расцепителем (R)</v>
      </c>
      <c r="F1236" s="5">
        <f>IFERROR(VLOOKUP($D1236,FIYAT!$B:$O,5,FALSE()),"")</f>
        <v>64129</v>
      </c>
      <c r="G1236" s="5">
        <f>IFERROR(VLOOKUP($D1236,FIYAT!$B:$O,8,FALSE()),"")</f>
        <v>38477.4</v>
      </c>
      <c r="H1236" s="5">
        <f t="shared" ref="H1236:H1247" si="152">IF(OR($G1236="",$I1236=""),"",$G1236*$I1236)</f>
        <v>38477.4</v>
      </c>
      <c r="I1236" s="6">
        <v>1</v>
      </c>
      <c r="J1236" s="5" t="str">
        <f>IFERROR(VLOOKUP($D1236,FIYAT!$B:$O,9,FALSE()),"")</f>
        <v>Шт.</v>
      </c>
      <c r="K1236" s="5" t="str">
        <f>IFERROR(VLOOKUP($D1236,FIYAT!$B:$O,4,FALSE()),"")</f>
        <v>CHINT</v>
      </c>
      <c r="L1236" s="5">
        <f t="shared" ref="L1236:L1249" si="153">IF($H1236="","",$H1236)</f>
        <v>38477.4</v>
      </c>
      <c r="M1236" s="5"/>
      <c r="N1236" s="5"/>
      <c r="O1236" s="5"/>
      <c r="P1236" s="5" t="str">
        <f>IF($H1236="","FIYAT_YOK",IFERROR(VLOOKUP($D1236,FIYAT!$B:$P,15,FALSE()),""))</f>
        <v>OK</v>
      </c>
      <c r="Q1236" s="5" t="s">
        <v>233</v>
      </c>
      <c r="R1236" s="5" t="s">
        <v>171</v>
      </c>
      <c r="S1236" s="5" t="s">
        <v>637</v>
      </c>
      <c r="T1236" s="5" t="s">
        <v>61</v>
      </c>
      <c r="U1236" s="5">
        <f>IFERROR(VLOOKUP($T1236,KURALLAR!$A$32:$B$63,2,FALSE()),0)*IF(ISNUMBER($I1236),$I1236,0)</f>
        <v>15</v>
      </c>
    </row>
    <row r="1237" spans="1:21" x14ac:dyDescent="0.25">
      <c r="A1237" s="9">
        <v>1236</v>
      </c>
      <c r="B1237" s="9"/>
      <c r="C1237" s="9" t="s">
        <v>93</v>
      </c>
      <c r="D1237" s="9" t="s">
        <v>329</v>
      </c>
      <c r="E1237" s="9" t="str">
        <f>IFERROR(VLOOKUP($D1237,FIYAT!$B:$O,2,FALSE()),"")</f>
        <v>Независимый расцепитель SHT21-M8 AC220-240V для NM8N-125 (R)</v>
      </c>
      <c r="F1237" s="9">
        <f>IFERROR(VLOOKUP($D1237,FIYAT!$B:$O,5,FALSE()),"")</f>
        <v>19243</v>
      </c>
      <c r="G1237" s="9">
        <f>IFERROR(VLOOKUP($D1237,FIYAT!$B:$O,8,FALSE()),"")</f>
        <v>11545.8</v>
      </c>
      <c r="H1237" s="9">
        <f t="shared" si="152"/>
        <v>11545.8</v>
      </c>
      <c r="I1237" s="6">
        <v>1</v>
      </c>
      <c r="J1237" s="9" t="str">
        <f>IFERROR(VLOOKUP($D1237,FIYAT!$B:$O,9,FALSE()),"")</f>
        <v>Шт.</v>
      </c>
      <c r="K1237" s="9" t="str">
        <f>IFERROR(VLOOKUP($D1237,FIYAT!$B:$O,4,FALSE()),"")</f>
        <v>CHINT</v>
      </c>
      <c r="L1237" s="9">
        <f t="shared" si="153"/>
        <v>11545.8</v>
      </c>
      <c r="M1237" s="9"/>
      <c r="N1237" s="9"/>
      <c r="O1237" s="9"/>
      <c r="P1237" s="9" t="str">
        <f>IF($H1237="","FIYAT_YOK",IFERROR(VLOOKUP($D1237,FIYAT!$B:$P,15,FALSE()),""))</f>
        <v>OK</v>
      </c>
      <c r="Q1237" s="9" t="s">
        <v>331</v>
      </c>
      <c r="R1237" s="9" t="s">
        <v>184</v>
      </c>
      <c r="S1237" s="9" t="s">
        <v>637</v>
      </c>
      <c r="T1237" s="9" t="s">
        <v>95</v>
      </c>
      <c r="U1237" s="9">
        <f>IFERROR(VLOOKUP($T1237,KURALLAR!$A$32:$B$63,2,FALSE()),0)*IF(ISNUMBER($I1237),$I1237,0)</f>
        <v>10</v>
      </c>
    </row>
    <row r="1238" spans="1:21" x14ac:dyDescent="0.25">
      <c r="A1238" s="5">
        <v>1237</v>
      </c>
      <c r="B1238" s="5"/>
      <c r="C1238" s="5" t="s">
        <v>79</v>
      </c>
      <c r="D1238" s="5" t="s">
        <v>179</v>
      </c>
      <c r="E1238" s="5" t="str">
        <f>IFERROR(VLOOKUP($D1238,FIYAT!$B:$O,2,FALSE()),"")</f>
        <v>Держатель плавкой вставки RT36-00-160, габарит 00, 160А</v>
      </c>
      <c r="F1238" s="5">
        <f>IFERROR(VLOOKUP($D1238,FIYAT!$B:$O,5,FALSE()),"")</f>
        <v>2038</v>
      </c>
      <c r="G1238" s="5">
        <f>IFERROR(VLOOKUP($D1238,FIYAT!$B:$O,8,FALSE()),"")</f>
        <v>1222.8</v>
      </c>
      <c r="H1238" s="5">
        <f t="shared" si="152"/>
        <v>4891.2</v>
      </c>
      <c r="I1238" s="6">
        <v>4</v>
      </c>
      <c r="J1238" s="5" t="str">
        <f>IFERROR(VLOOKUP($D1238,FIYAT!$B:$O,9,FALSE()),"")</f>
        <v>Шт.</v>
      </c>
      <c r="K1238" s="5" t="str">
        <f>IFERROR(VLOOKUP($D1238,FIYAT!$B:$O,4,FALSE()),"")</f>
        <v>CHINT</v>
      </c>
      <c r="L1238" s="5">
        <f t="shared" si="153"/>
        <v>4891.2</v>
      </c>
      <c r="M1238" s="5"/>
      <c r="N1238" s="5"/>
      <c r="O1238" s="5"/>
      <c r="P1238" s="5" t="str">
        <f>IF($H1238="","FIYAT_YOK",IFERROR(VLOOKUP($D1238,FIYAT!$B:$P,15,FALSE()),""))</f>
        <v>MUADIL</v>
      </c>
      <c r="Q1238" s="5" t="s">
        <v>181</v>
      </c>
      <c r="R1238" s="5" t="s">
        <v>171</v>
      </c>
      <c r="S1238" s="5" t="s">
        <v>637</v>
      </c>
      <c r="T1238" s="5" t="s">
        <v>77</v>
      </c>
      <c r="U1238" s="5">
        <f>IFERROR(VLOOKUP($T1238,KURALLAR!$A$32:$B$63,2,FALSE()),0)*IF(ISNUMBER($I1238),$I1238,0)</f>
        <v>20</v>
      </c>
    </row>
    <row r="1239" spans="1:21" x14ac:dyDescent="0.25">
      <c r="A1239" s="9">
        <v>1238</v>
      </c>
      <c r="B1239" s="9"/>
      <c r="C1239" s="9" t="s">
        <v>79</v>
      </c>
      <c r="D1239" s="9" t="s">
        <v>182</v>
      </c>
      <c r="E1239" s="9" t="str">
        <f>IFERROR(VLOOKUP($D1239,FIYAT!$B:$O,2,FALSE()),"")</f>
        <v>Плавкая вставка предохранителя RT36-00-160, габарит 00, 63А</v>
      </c>
      <c r="F1239" s="9">
        <f>IFERROR(VLOOKUP($D1239,FIYAT!$B:$O,5,FALSE()),"")</f>
        <v>1525</v>
      </c>
      <c r="G1239" s="9">
        <f>IFERROR(VLOOKUP($D1239,FIYAT!$B:$O,8,FALSE()),"")</f>
        <v>915</v>
      </c>
      <c r="H1239" s="9">
        <f t="shared" si="152"/>
        <v>3660</v>
      </c>
      <c r="I1239" s="6">
        <v>4</v>
      </c>
      <c r="J1239" s="9" t="str">
        <f>IFERROR(VLOOKUP($D1239,FIYAT!$B:$O,9,FALSE()),"")</f>
        <v>Шт.</v>
      </c>
      <c r="K1239" s="9" t="str">
        <f>IFERROR(VLOOKUP($D1239,FIYAT!$B:$O,4,FALSE()),"")</f>
        <v>CHINT</v>
      </c>
      <c r="L1239" s="9">
        <f t="shared" si="153"/>
        <v>3660</v>
      </c>
      <c r="M1239" s="9"/>
      <c r="N1239" s="9"/>
      <c r="O1239" s="9"/>
      <c r="P1239" s="9" t="str">
        <f>IF($H1239="","FIYAT_YOK",IFERROR(VLOOKUP($D1239,FIYAT!$B:$P,15,FALSE()),""))</f>
        <v>MUADIL</v>
      </c>
      <c r="Q1239" s="9" t="s">
        <v>185</v>
      </c>
      <c r="R1239" s="9" t="s">
        <v>184</v>
      </c>
      <c r="S1239" s="9" t="s">
        <v>637</v>
      </c>
      <c r="T1239" s="9" t="s">
        <v>79</v>
      </c>
      <c r="U1239" s="9">
        <f>IFERROR(VLOOKUP($T1239,KURALLAR!$A$32:$B$63,2,FALSE()),0)*IF(ISNUMBER($I1239),$I1239,0)</f>
        <v>12</v>
      </c>
    </row>
    <row r="1240" spans="1:21" x14ac:dyDescent="0.25">
      <c r="A1240" s="5">
        <v>1239</v>
      </c>
      <c r="B1240" s="5"/>
      <c r="C1240" s="5" t="s">
        <v>75</v>
      </c>
      <c r="D1240" s="5" t="s">
        <v>186</v>
      </c>
      <c r="E1240" s="5" t="str">
        <f>IFERROR(VLOOKUP($D1240,FIYAT!$B:$O,2,FALSE()),"")</f>
        <v>Ограничитель имп. перенапр. NU6-IIG 4Р In=25kA Uc=440B Im=65kA (R)</v>
      </c>
      <c r="F1240" s="5">
        <f>IFERROR(VLOOKUP($D1240,FIYAT!$B:$O,5,FALSE()),"")</f>
        <v>33208</v>
      </c>
      <c r="G1240" s="5">
        <f>IFERROR(VLOOKUP($D1240,FIYAT!$B:$O,8,FALSE()),"")</f>
        <v>19924.8</v>
      </c>
      <c r="H1240" s="5">
        <f t="shared" si="152"/>
        <v>19924.8</v>
      </c>
      <c r="I1240" s="6">
        <v>1</v>
      </c>
      <c r="J1240" s="5" t="str">
        <f>IFERROR(VLOOKUP($D1240,FIYAT!$B:$O,9,FALSE()),"")</f>
        <v>Шт.</v>
      </c>
      <c r="K1240" s="5" t="str">
        <f>IFERROR(VLOOKUP($D1240,FIYAT!$B:$O,4,FALSE()),"")</f>
        <v>CHINT</v>
      </c>
      <c r="L1240" s="5">
        <f t="shared" si="153"/>
        <v>19924.8</v>
      </c>
      <c r="M1240" s="5"/>
      <c r="N1240" s="5"/>
      <c r="O1240" s="5"/>
      <c r="P1240" s="5" t="str">
        <f>IF($H1240="","FIYAT_YOK",IFERROR(VLOOKUP($D1240,FIYAT!$B:$P,15,FALSE()),""))</f>
        <v>MUADIL_ONAY</v>
      </c>
      <c r="Q1240" s="5" t="s">
        <v>188</v>
      </c>
      <c r="R1240" s="5" t="s">
        <v>184</v>
      </c>
      <c r="S1240" s="5" t="s">
        <v>637</v>
      </c>
      <c r="T1240" s="5" t="s">
        <v>75</v>
      </c>
      <c r="U1240" s="5">
        <f>IFERROR(VLOOKUP($T1240,KURALLAR!$A$32:$B$63,2,FALSE()),0)*IF(ISNUMBER($I1240),$I1240,0)</f>
        <v>10</v>
      </c>
    </row>
    <row r="1241" spans="1:21" x14ac:dyDescent="0.25">
      <c r="A1241" s="9">
        <v>1240</v>
      </c>
      <c r="B1241" s="9"/>
      <c r="C1241" s="9" t="s">
        <v>192</v>
      </c>
      <c r="D1241" s="9" t="s">
        <v>238</v>
      </c>
      <c r="E1241" s="9" t="str">
        <f>IFERROR(VLOOKUP($D1241,FIYAT!$B:$O,2,FALSE()),"")</f>
        <v>Авт. выкл. NXB-63 1P 6A 6кА х-ка C (R)</v>
      </c>
      <c r="F1241" s="9">
        <f>IFERROR(VLOOKUP($D1241,FIYAT!$B:$O,5,FALSE()),"")</f>
        <v>1436</v>
      </c>
      <c r="G1241" s="9">
        <f>IFERROR(VLOOKUP($D1241,FIYAT!$B:$O,8,FALSE()),"")</f>
        <v>861.6</v>
      </c>
      <c r="H1241" s="9">
        <f t="shared" si="152"/>
        <v>3446.4</v>
      </c>
      <c r="I1241" s="6">
        <v>4</v>
      </c>
      <c r="J1241" s="9" t="str">
        <f>IFERROR(VLOOKUP($D1241,FIYAT!$B:$O,9,FALSE()),"")</f>
        <v>Шт.</v>
      </c>
      <c r="K1241" s="9" t="str">
        <f>IFERROR(VLOOKUP($D1241,FIYAT!$B:$O,4,FALSE()),"")</f>
        <v>CHINT</v>
      </c>
      <c r="L1241" s="9">
        <f t="shared" si="153"/>
        <v>3446.4</v>
      </c>
      <c r="M1241" s="9"/>
      <c r="N1241" s="9"/>
      <c r="O1241" s="9"/>
      <c r="P1241" s="9" t="str">
        <f>IF($H1241="","FIYAT_YOK",IFERROR(VLOOKUP($D1241,FIYAT!$B:$P,15,FALSE()),""))</f>
        <v>OK</v>
      </c>
      <c r="Q1241" s="9" t="s">
        <v>240</v>
      </c>
      <c r="R1241" s="9" t="s">
        <v>171</v>
      </c>
      <c r="S1241" s="9" t="s">
        <v>637</v>
      </c>
      <c r="T1241" s="9" t="s">
        <v>47</v>
      </c>
      <c r="U1241" s="9">
        <f>IFERROR(VLOOKUP($T1241,KURALLAR!$A$32:$B$63,2,FALSE()),0)*IF(ISNUMBER($I1241),$I1241,0)</f>
        <v>12</v>
      </c>
    </row>
    <row r="1242" spans="1:21" x14ac:dyDescent="0.25">
      <c r="A1242" s="5">
        <v>1241</v>
      </c>
      <c r="B1242" s="5"/>
      <c r="C1242" s="5" t="s">
        <v>89</v>
      </c>
      <c r="D1242" s="5" t="s">
        <v>241</v>
      </c>
      <c r="E1242" s="5" t="str">
        <f>IFERROR(VLOOKUP($D1242,FIYAT!$B:$O,2,FALSE()),"")</f>
        <v>Индикатор ND16-22DS/4 белый АС230В (R)</v>
      </c>
      <c r="F1242" s="5">
        <f>IFERROR(VLOOKUP($D1242,FIYAT!$B:$O,5,FALSE()),"")</f>
        <v>1047</v>
      </c>
      <c r="G1242" s="5">
        <f>IFERROR(VLOOKUP($D1242,FIYAT!$B:$O,8,FALSE()),"")</f>
        <v>628.19999999999993</v>
      </c>
      <c r="H1242" s="5">
        <f t="shared" si="152"/>
        <v>1884.6</v>
      </c>
      <c r="I1242" s="6">
        <v>3</v>
      </c>
      <c r="J1242" s="5" t="str">
        <f>IFERROR(VLOOKUP($D1242,FIYAT!$B:$O,9,FALSE()),"")</f>
        <v>Шт.</v>
      </c>
      <c r="K1242" s="5" t="str">
        <f>IFERROR(VLOOKUP($D1242,FIYAT!$B:$O,4,FALSE()),"")</f>
        <v>CHINT</v>
      </c>
      <c r="L1242" s="5">
        <f t="shared" si="153"/>
        <v>1884.6</v>
      </c>
      <c r="M1242" s="5"/>
      <c r="N1242" s="5"/>
      <c r="O1242" s="5"/>
      <c r="P1242" s="5" t="str">
        <f>IF($H1242="","FIYAT_YOK",IFERROR(VLOOKUP($D1242,FIYAT!$B:$P,15,FALSE()),""))</f>
        <v>OK</v>
      </c>
      <c r="Q1242" s="5" t="s">
        <v>243</v>
      </c>
      <c r="R1242" s="5" t="s">
        <v>184</v>
      </c>
      <c r="S1242" s="5" t="s">
        <v>637</v>
      </c>
      <c r="T1242" s="5" t="s">
        <v>89</v>
      </c>
      <c r="U1242" s="5">
        <f>IFERROR(VLOOKUP($T1242,KURALLAR!$A$32:$B$63,2,FALSE()),0)*IF(ISNUMBER($I1242),$I1242,0)</f>
        <v>12</v>
      </c>
    </row>
    <row r="1243" spans="1:21" x14ac:dyDescent="0.25">
      <c r="A1243" s="9">
        <v>1242</v>
      </c>
      <c r="B1243" s="9"/>
      <c r="C1243" s="9" t="s">
        <v>192</v>
      </c>
      <c r="D1243" s="9" t="s">
        <v>304</v>
      </c>
      <c r="E1243" s="9" t="str">
        <f>IFERROR(VLOOKUP($D1243,FIYAT!$B:$O,2,FALSE()),"")</f>
        <v>Авт. выкл. NXB-63 3P 16A 6кА х-ка C (R)</v>
      </c>
      <c r="F1243" s="9">
        <f>IFERROR(VLOOKUP($D1243,FIYAT!$B:$O,5,FALSE()),"")</f>
        <v>5462</v>
      </c>
      <c r="G1243" s="9">
        <f>IFERROR(VLOOKUP($D1243,FIYAT!$B:$O,8,FALSE()),"")</f>
        <v>3277.2</v>
      </c>
      <c r="H1243" s="9">
        <f t="shared" si="152"/>
        <v>39326.399999999994</v>
      </c>
      <c r="I1243" s="6">
        <v>12</v>
      </c>
      <c r="J1243" s="9" t="str">
        <f>IFERROR(VLOOKUP($D1243,FIYAT!$B:$O,9,FALSE()),"")</f>
        <v>Шт.</v>
      </c>
      <c r="K1243" s="9" t="str">
        <f>IFERROR(VLOOKUP($D1243,FIYAT!$B:$O,4,FALSE()),"")</f>
        <v>CHINT</v>
      </c>
      <c r="L1243" s="9">
        <f t="shared" si="153"/>
        <v>39326.399999999994</v>
      </c>
      <c r="M1243" s="9"/>
      <c r="N1243" s="9"/>
      <c r="O1243" s="9"/>
      <c r="P1243" s="9" t="str">
        <f>IF($H1243="","FIYAT_YOK",IFERROR(VLOOKUP($D1243,FIYAT!$B:$P,15,FALSE()),""))</f>
        <v>OK</v>
      </c>
      <c r="Q1243" s="9" t="s">
        <v>306</v>
      </c>
      <c r="R1243" s="9" t="s">
        <v>171</v>
      </c>
      <c r="S1243" s="9" t="s">
        <v>637</v>
      </c>
      <c r="T1243" s="9" t="s">
        <v>51</v>
      </c>
      <c r="U1243" s="9">
        <f>IFERROR(VLOOKUP($T1243,KURALLAR!$A$32:$B$63,2,FALSE()),0)*IF(ISNUMBER($I1243),$I1243,0)</f>
        <v>96</v>
      </c>
    </row>
    <row r="1244" spans="1:21" x14ac:dyDescent="0.25">
      <c r="A1244" s="5">
        <v>1243</v>
      </c>
      <c r="B1244" s="5"/>
      <c r="C1244" s="5" t="s">
        <v>192</v>
      </c>
      <c r="D1244" s="5" t="s">
        <v>321</v>
      </c>
      <c r="E1244" s="5" t="str">
        <f>IFERROR(VLOOKUP($D1244,FIYAT!$B:$O,2,FALSE()),"")</f>
        <v>Авт. выкл. NXB-63 1P 25A 6кА х-ка C (R)</v>
      </c>
      <c r="F1244" s="5">
        <f>IFERROR(VLOOKUP($D1244,FIYAT!$B:$O,5,FALSE()),"")</f>
        <v>1330</v>
      </c>
      <c r="G1244" s="5">
        <f>IFERROR(VLOOKUP($D1244,FIYAT!$B:$O,8,FALSE()),"")</f>
        <v>798</v>
      </c>
      <c r="H1244" s="5">
        <f t="shared" si="152"/>
        <v>5586</v>
      </c>
      <c r="I1244" s="6">
        <v>7</v>
      </c>
      <c r="J1244" s="5" t="str">
        <f>IFERROR(VLOOKUP($D1244,FIYAT!$B:$O,9,FALSE()),"")</f>
        <v>Шт.</v>
      </c>
      <c r="K1244" s="5" t="str">
        <f>IFERROR(VLOOKUP($D1244,FIYAT!$B:$O,4,FALSE()),"")</f>
        <v>CHINT</v>
      </c>
      <c r="L1244" s="5">
        <f t="shared" si="153"/>
        <v>5586</v>
      </c>
      <c r="M1244" s="5"/>
      <c r="N1244" s="5"/>
      <c r="O1244" s="5"/>
      <c r="P1244" s="5" t="str">
        <f>IF($H1244="","FIYAT_YOK",IFERROR(VLOOKUP($D1244,FIYAT!$B:$P,15,FALSE()),""))</f>
        <v>OK</v>
      </c>
      <c r="Q1244" s="5" t="s">
        <v>323</v>
      </c>
      <c r="R1244" s="5" t="s">
        <v>171</v>
      </c>
      <c r="S1244" s="5" t="s">
        <v>637</v>
      </c>
      <c r="T1244" s="5" t="s">
        <v>47</v>
      </c>
      <c r="U1244" s="5">
        <f>IFERROR(VLOOKUP($T1244,KURALLAR!$A$32:$B$63,2,FALSE()),0)*IF(ISNUMBER($I1244),$I1244,0)</f>
        <v>21</v>
      </c>
    </row>
    <row r="1245" spans="1:21" x14ac:dyDescent="0.25">
      <c r="A1245" s="9">
        <v>1244</v>
      </c>
      <c r="B1245" s="9"/>
      <c r="C1245" s="9" t="s">
        <v>192</v>
      </c>
      <c r="D1245" s="9" t="s">
        <v>194</v>
      </c>
      <c r="E1245" s="9" t="str">
        <f>IFERROR(VLOOKUP($D1245,FIYAT!$B:$O,2,FALSE()),"")</f>
        <v>Авт. выкл. NXB-63 1P 16A 6кА х-ка C (R)</v>
      </c>
      <c r="F1245" s="9">
        <f>IFERROR(VLOOKUP($D1245,FIYAT!$B:$O,5,FALSE()),"")</f>
        <v>1389</v>
      </c>
      <c r="G1245" s="9">
        <f>IFERROR(VLOOKUP($D1245,FIYAT!$B:$O,8,FALSE()),"")</f>
        <v>833.4</v>
      </c>
      <c r="H1245" s="9">
        <f t="shared" si="152"/>
        <v>6667.2</v>
      </c>
      <c r="I1245" s="6">
        <v>8</v>
      </c>
      <c r="J1245" s="9" t="str">
        <f>IFERROR(VLOOKUP($D1245,FIYAT!$B:$O,9,FALSE()),"")</f>
        <v>Шт.</v>
      </c>
      <c r="K1245" s="9" t="str">
        <f>IFERROR(VLOOKUP($D1245,FIYAT!$B:$O,4,FALSE()),"")</f>
        <v>CHINT</v>
      </c>
      <c r="L1245" s="9">
        <f t="shared" si="153"/>
        <v>6667.2</v>
      </c>
      <c r="M1245" s="9"/>
      <c r="N1245" s="9"/>
      <c r="O1245" s="9"/>
      <c r="P1245" s="9" t="str">
        <f>IF($H1245="","FIYAT_YOK",IFERROR(VLOOKUP($D1245,FIYAT!$B:$P,15,FALSE()),""))</f>
        <v>OK</v>
      </c>
      <c r="Q1245" s="9" t="s">
        <v>196</v>
      </c>
      <c r="R1245" s="9" t="s">
        <v>171</v>
      </c>
      <c r="S1245" s="9" t="s">
        <v>637</v>
      </c>
      <c r="T1245" s="9" t="s">
        <v>47</v>
      </c>
      <c r="U1245" s="9">
        <f>IFERROR(VLOOKUP($T1245,KURALLAR!$A$32:$B$63,2,FALSE()),0)*IF(ISNUMBER($I1245),$I1245,0)</f>
        <v>24</v>
      </c>
    </row>
    <row r="1246" spans="1:21" x14ac:dyDescent="0.25">
      <c r="A1246" s="5">
        <v>1245</v>
      </c>
      <c r="B1246" s="5"/>
      <c r="C1246" s="5" t="s">
        <v>93</v>
      </c>
      <c r="D1246" s="5" t="s">
        <v>341</v>
      </c>
      <c r="E1246" s="5" t="str">
        <f>IFERROR(VLOOKUP($D1246,FIYAT!$B:$O,2,FALSE()),"")</f>
        <v>Schneider Linergy DS — распределительный блок 4P 160A 48 отв.</v>
      </c>
      <c r="F1246" s="5">
        <f>IFERROR(VLOOKUP($D1246,FIYAT!$B:$O,5,FALSE()),"")</f>
        <v>0</v>
      </c>
      <c r="G1246" s="5" t="str">
        <f>IFERROR(VLOOKUP($D1246,FIYAT!$B:$O,8,FALSE()),"")</f>
        <v/>
      </c>
      <c r="H1246" s="5" t="str">
        <f t="shared" si="152"/>
        <v/>
      </c>
      <c r="I1246" s="6">
        <v>1</v>
      </c>
      <c r="J1246" s="5" t="str">
        <f>IFERROR(VLOOKUP($D1246,FIYAT!$B:$O,9,FALSE()),"")</f>
        <v>Шт.</v>
      </c>
      <c r="K1246" s="5" t="str">
        <f>IFERROR(VLOOKUP($D1246,FIYAT!$B:$O,4,FALSE()),"")</f>
        <v>SCHNEIDER</v>
      </c>
      <c r="L1246" s="5" t="str">
        <f t="shared" si="153"/>
        <v/>
      </c>
      <c r="M1246" s="5"/>
      <c r="N1246" s="5"/>
      <c r="O1246" s="5"/>
      <c r="P1246" s="7" t="str">
        <f>IF($H1246="","FIYAT_YOK",IFERROR(VLOOKUP($D1246,FIYAT!$B:$P,15,FALSE()),""))</f>
        <v>FIYAT_YOK</v>
      </c>
      <c r="Q1246" s="7" t="s">
        <v>343</v>
      </c>
      <c r="R1246" s="5"/>
      <c r="S1246" s="5" t="s">
        <v>637</v>
      </c>
      <c r="T1246" s="5" t="s">
        <v>93</v>
      </c>
      <c r="U1246" s="5">
        <f>IFERROR(VLOOKUP($T1246,KURALLAR!$A$32:$B$63,2,FALSE()),0)*IF(ISNUMBER($I1246),$I1246,0)</f>
        <v>8</v>
      </c>
    </row>
    <row r="1247" spans="1:21" x14ac:dyDescent="0.25">
      <c r="A1247" s="9">
        <v>1246</v>
      </c>
      <c r="B1247" s="9"/>
      <c r="C1247" s="9" t="s">
        <v>222</v>
      </c>
      <c r="D1247" s="9" t="s">
        <v>307</v>
      </c>
      <c r="E1247" s="9" t="str">
        <f>IFERROR(VLOOKUP($D1247,FIYAT!$B:$O,2,FALSE()),"")</f>
        <v>Мет.Корпус ЩМП-5 (1000x650x300) IP31</v>
      </c>
      <c r="F1247" s="9">
        <f>IFERROR(VLOOKUP($D1247,FIYAT!$B:$O,5,FALSE()),"")</f>
        <v>38905</v>
      </c>
      <c r="G1247" s="9">
        <f>IFERROR(VLOOKUP($D1247,FIYAT!$B:$O,8,FALSE()),"")</f>
        <v>23343</v>
      </c>
      <c r="H1247" s="9">
        <f t="shared" si="152"/>
        <v>23343</v>
      </c>
      <c r="I1247" s="6">
        <v>1</v>
      </c>
      <c r="J1247" s="9" t="str">
        <f>IFERROR(VLOOKUP($D1247,FIYAT!$B:$O,9,FALSE()),"")</f>
        <v>Шт.</v>
      </c>
      <c r="K1247" s="9" t="str">
        <f>IFERROR(VLOOKUP($D1247,FIYAT!$B:$O,4,FALSE()),"")</f>
        <v>KAZTEK</v>
      </c>
      <c r="L1247" s="9">
        <f t="shared" si="153"/>
        <v>23343</v>
      </c>
      <c r="M1247" s="9"/>
      <c r="N1247" s="9"/>
      <c r="O1247" s="9"/>
      <c r="P1247" s="9" t="str">
        <f>IF($H1247="","FIYAT_YOK",IFERROR(VLOOKUP($D1247,FIYAT!$B:$P,15,FALSE()),""))</f>
        <v>VARSAYIM</v>
      </c>
      <c r="Q1247" s="9" t="s">
        <v>309</v>
      </c>
      <c r="R1247" s="9" t="s">
        <v>211</v>
      </c>
      <c r="S1247" s="9" t="s">
        <v>637</v>
      </c>
      <c r="T1247" s="9" t="s">
        <v>105</v>
      </c>
      <c r="U1247" s="9">
        <f>IFERROR(VLOOKUP($T1247,KURALLAR!$A$32:$B$63,2,FALSE()),0)*IF(ISNUMBER($I1247),$I1247,0)</f>
        <v>30</v>
      </c>
    </row>
    <row r="1248" spans="1:21" x14ac:dyDescent="0.25">
      <c r="A1248" s="5">
        <v>1247</v>
      </c>
      <c r="B1248" s="5"/>
      <c r="C1248" s="5" t="s">
        <v>215</v>
      </c>
      <c r="D1248" s="5" t="s">
        <v>213</v>
      </c>
      <c r="E1248" s="5" t="str">
        <f>IFERROR(VLOOKUP($D1248,FIYAT!$B:$O,2,FALSE()),"")</f>
        <v>Монтажный расходный материал (кабель, DIN-рейка, кабель-канал, клеммы, маркировка, крепёж)</v>
      </c>
      <c r="F1248" s="5">
        <f>IFERROR(VLOOKUP($D1248,FIYAT!$B:$O,5,FALSE()),"")</f>
        <v>0</v>
      </c>
      <c r="G1248" s="5" t="str">
        <f>IFERROR(VLOOKUP($D1248,FIYAT!$B:$O,8,FALSE()),"")</f>
        <v/>
      </c>
      <c r="H1248" s="5">
        <f>ROUND(SUM($H$1236:$H$1247)*KURALLAR!$B$28,0)</f>
        <v>11113</v>
      </c>
      <c r="I1248" s="6">
        <v>1</v>
      </c>
      <c r="J1248" s="5" t="str">
        <f>IFERROR(VLOOKUP($D1248,FIYAT!$B:$O,9,FALSE()),"")</f>
        <v>компл.</v>
      </c>
      <c r="K1248" s="5" t="str">
        <f>IFERROR(VLOOKUP($D1248,FIYAT!$B:$O,4,FALSE()),"")</f>
        <v>MUADIL-NET</v>
      </c>
      <c r="L1248" s="5">
        <f t="shared" si="153"/>
        <v>11113</v>
      </c>
      <c r="M1248" s="5"/>
      <c r="N1248" s="5"/>
      <c r="O1248" s="5"/>
      <c r="P1248" s="5" t="str">
        <f>IF($H1248="","FIYAT_YOK",IFERROR(VLOOKUP($D1248,FIYAT!$B:$P,15,FALSE()),""))</f>
        <v>ORAN</v>
      </c>
      <c r="Q1248" s="5" t="s">
        <v>218</v>
      </c>
      <c r="R1248" s="5" t="s">
        <v>217</v>
      </c>
      <c r="S1248" s="5" t="s">
        <v>637</v>
      </c>
      <c r="T1248" s="5"/>
      <c r="U1248" s="5">
        <v>0</v>
      </c>
    </row>
    <row r="1249" spans="1:21" x14ac:dyDescent="0.25">
      <c r="A1249" s="9">
        <v>1248</v>
      </c>
      <c r="B1249" s="9"/>
      <c r="C1249" s="9" t="s">
        <v>227</v>
      </c>
      <c r="D1249" s="9" t="s">
        <v>225</v>
      </c>
      <c r="E1249" s="9" t="str">
        <f>IFERROR(VLOOKUP($D1249,FIYAT!$B:$O,2,FALSE()),"")</f>
        <v>Сборка, кабелирование, маркировка, момент затяжки, испытания</v>
      </c>
      <c r="F1249" s="9">
        <f>IFERROR(VLOOKUP($D1249,FIYAT!$B:$O,5,FALSE()),"")</f>
        <v>100</v>
      </c>
      <c r="G1249" s="9">
        <f>IFERROR(VLOOKUP($D1249,FIYAT!$B:$O,8,FALSE()),"")</f>
        <v>100</v>
      </c>
      <c r="H1249" s="9">
        <f>IF(OR($G1249="",$I1249=""),"",$G1249*$I1249)</f>
        <v>31100</v>
      </c>
      <c r="I1249" s="6">
        <f>ROUND(SUM($U$1236:$U$1248)*KURALLAR!$B$27,0)</f>
        <v>311</v>
      </c>
      <c r="J1249" s="9" t="str">
        <f>IFERROR(VLOOKUP($D1249,FIYAT!$B:$O,9,FALSE()),"")</f>
        <v>мин</v>
      </c>
      <c r="K1249" s="9" t="str">
        <f>IFERROR(VLOOKUP($D1249,FIYAT!$B:$O,4,FALSE()),"")</f>
        <v>ISCILIK</v>
      </c>
      <c r="L1249" s="9">
        <f t="shared" si="153"/>
        <v>31100</v>
      </c>
      <c r="M1249" s="9"/>
      <c r="N1249" s="9"/>
      <c r="O1249" s="9"/>
      <c r="P1249" s="9" t="str">
        <f>IF($H1249="","FIYAT_YOK",IFERROR(VLOOKUP($D1249,FIYAT!$B:$P,15,FALSE()),""))</f>
        <v>OK</v>
      </c>
      <c r="Q1249" s="9" t="str">
        <f>CONCATENATE("montaj+test iscilik: ",TEXT($I1249,"# ##0")," dk = ",TEXT($I1249/60,"0,00")," saat (norm x test/etiket carpani)")</f>
        <v>montaj+test iscilik:  311 dk = 5,18 saat (norm x test/etiket carpani)</v>
      </c>
      <c r="R1249" s="9" t="s">
        <v>229</v>
      </c>
      <c r="S1249" s="9" t="s">
        <v>637</v>
      </c>
      <c r="T1249" s="9"/>
      <c r="U1249" s="9">
        <v>0</v>
      </c>
    </row>
    <row r="1250" spans="1:21" x14ac:dyDescent="0.25">
      <c r="A1250" s="10">
        <v>1249</v>
      </c>
      <c r="B1250" s="10" t="s">
        <v>704</v>
      </c>
      <c r="C1250" s="10"/>
      <c r="D1250" s="10"/>
      <c r="E1250" s="10"/>
      <c r="F1250" s="10"/>
      <c r="G1250" s="10"/>
      <c r="H1250" s="10">
        <f>SUBTOTAL(9,H1236:H1249)</f>
        <v>200965.8</v>
      </c>
      <c r="I1250" s="10"/>
      <c r="J1250" s="10"/>
      <c r="K1250" s="10"/>
      <c r="L1250" s="10">
        <f>SUBTOTAL(9,L1236:L1249)</f>
        <v>200965.8</v>
      </c>
      <c r="M1250" s="10"/>
      <c r="N1250" s="10"/>
      <c r="O1250" s="10"/>
      <c r="P1250" s="10"/>
      <c r="Q1250" s="10"/>
      <c r="R1250" s="10"/>
      <c r="S1250" s="10"/>
      <c r="T1250" s="10"/>
      <c r="U1250" s="10">
        <f>SUBTOTAL(9,U1236:U1249)</f>
        <v>270</v>
      </c>
    </row>
    <row r="1251" spans="1:21" x14ac:dyDescent="0.25">
      <c r="A1251" s="8">
        <v>1250</v>
      </c>
      <c r="B1251" s="8" t="str">
        <f>E1251</f>
        <v>BLOK B / JFP-B1 — НКУ 380/220В 50Гц, FORM 2B, IP31/54</v>
      </c>
      <c r="C1251" s="8" t="s">
        <v>545</v>
      </c>
      <c r="D1251" s="8"/>
      <c r="E1251" s="8" t="s">
        <v>705</v>
      </c>
      <c r="F1251" s="8"/>
      <c r="G1251" s="8"/>
      <c r="H1251" s="8"/>
      <c r="I1251" s="8">
        <v>1</v>
      </c>
      <c r="J1251" s="8" t="s">
        <v>547</v>
      </c>
      <c r="K1251" s="8"/>
      <c r="L1251" s="8"/>
      <c r="M1251" s="8"/>
      <c r="N1251" s="8"/>
      <c r="O1251" s="8"/>
      <c r="P1251" s="8" t="s">
        <v>178</v>
      </c>
      <c r="Q1251" s="8" t="s">
        <v>548</v>
      </c>
      <c r="R1251" s="8" t="s">
        <v>549</v>
      </c>
      <c r="S1251" s="8" t="s">
        <v>637</v>
      </c>
      <c r="T1251" s="8"/>
      <c r="U1251" s="8"/>
    </row>
    <row r="1252" spans="1:21" x14ac:dyDescent="0.25">
      <c r="A1252" s="5">
        <v>1251</v>
      </c>
      <c r="B1252" s="5"/>
      <c r="C1252" s="5" t="s">
        <v>169</v>
      </c>
      <c r="D1252" s="5" t="s">
        <v>259</v>
      </c>
      <c r="E1252" s="5" t="str">
        <f>IFERROR(VLOOKUP($D1252,FIYAT!$B:$O,2,FALSE()),"")</f>
        <v>Авт. выкл. NM8N-125C TM 3P 50А 36кА с рег. термомаг. расцепителем (R)</v>
      </c>
      <c r="F1252" s="5">
        <f>IFERROR(VLOOKUP($D1252,FIYAT!$B:$O,5,FALSE()),"")</f>
        <v>68025</v>
      </c>
      <c r="G1252" s="5">
        <f>IFERROR(VLOOKUP($D1252,FIYAT!$B:$O,8,FALSE()),"")</f>
        <v>40815</v>
      </c>
      <c r="H1252" s="5">
        <f t="shared" ref="H1252:H1259" si="154">IF(OR($G1252="",$I1252=""),"",$G1252*$I1252)</f>
        <v>40815</v>
      </c>
      <c r="I1252" s="6">
        <v>1</v>
      </c>
      <c r="J1252" s="5" t="str">
        <f>IFERROR(VLOOKUP($D1252,FIYAT!$B:$O,9,FALSE()),"")</f>
        <v>Шт.</v>
      </c>
      <c r="K1252" s="5" t="str">
        <f>IFERROR(VLOOKUP($D1252,FIYAT!$B:$O,4,FALSE()),"")</f>
        <v>CHINT</v>
      </c>
      <c r="L1252" s="5">
        <f t="shared" ref="L1252:L1261" si="155">IF($H1252="","",$H1252)</f>
        <v>40815</v>
      </c>
      <c r="M1252" s="5"/>
      <c r="N1252" s="5"/>
      <c r="O1252" s="5"/>
      <c r="P1252" s="5" t="str">
        <f>IF($H1252="","FIYAT_YOK",IFERROR(VLOOKUP($D1252,FIYAT!$B:$P,15,FALSE()),""))</f>
        <v>MUADIL</v>
      </c>
      <c r="Q1252" s="5" t="s">
        <v>172</v>
      </c>
      <c r="R1252" s="5" t="s">
        <v>171</v>
      </c>
      <c r="S1252" s="5" t="s">
        <v>637</v>
      </c>
      <c r="T1252" s="5" t="s">
        <v>61</v>
      </c>
      <c r="U1252" s="5">
        <f>IFERROR(VLOOKUP($T1252,KURALLAR!$A$32:$B$63,2,FALSE()),0)*IF(ISNUMBER($I1252),$I1252,0)</f>
        <v>15</v>
      </c>
    </row>
    <row r="1253" spans="1:21" x14ac:dyDescent="0.25">
      <c r="A1253" s="9">
        <v>1252</v>
      </c>
      <c r="B1253" s="9"/>
      <c r="C1253" s="9" t="s">
        <v>93</v>
      </c>
      <c r="D1253" s="9" t="s">
        <v>329</v>
      </c>
      <c r="E1253" s="9" t="str">
        <f>IFERROR(VLOOKUP($D1253,FIYAT!$B:$O,2,FALSE()),"")</f>
        <v>Независимый расцепитель SHT21-M8 AC220-240V для NM8N-125 (R)</v>
      </c>
      <c r="F1253" s="9">
        <f>IFERROR(VLOOKUP($D1253,FIYAT!$B:$O,5,FALSE()),"")</f>
        <v>19243</v>
      </c>
      <c r="G1253" s="9">
        <f>IFERROR(VLOOKUP($D1253,FIYAT!$B:$O,8,FALSE()),"")</f>
        <v>11545.8</v>
      </c>
      <c r="H1253" s="9">
        <f t="shared" si="154"/>
        <v>11545.8</v>
      </c>
      <c r="I1253" s="6">
        <v>1</v>
      </c>
      <c r="J1253" s="9" t="str">
        <f>IFERROR(VLOOKUP($D1253,FIYAT!$B:$O,9,FALSE()),"")</f>
        <v>Шт.</v>
      </c>
      <c r="K1253" s="9" t="str">
        <f>IFERROR(VLOOKUP($D1253,FIYAT!$B:$O,4,FALSE()),"")</f>
        <v>CHINT</v>
      </c>
      <c r="L1253" s="9">
        <f t="shared" si="155"/>
        <v>11545.8</v>
      </c>
      <c r="M1253" s="9"/>
      <c r="N1253" s="9"/>
      <c r="O1253" s="9"/>
      <c r="P1253" s="9" t="str">
        <f>IF($H1253="","FIYAT_YOK",IFERROR(VLOOKUP($D1253,FIYAT!$B:$P,15,FALSE()),""))</f>
        <v>OK</v>
      </c>
      <c r="Q1253" s="9" t="s">
        <v>331</v>
      </c>
      <c r="R1253" s="9" t="s">
        <v>184</v>
      </c>
      <c r="S1253" s="9" t="s">
        <v>637</v>
      </c>
      <c r="T1253" s="9" t="s">
        <v>95</v>
      </c>
      <c r="U1253" s="9">
        <f>IFERROR(VLOOKUP($T1253,KURALLAR!$A$32:$B$63,2,FALSE()),0)*IF(ISNUMBER($I1253),$I1253,0)</f>
        <v>10</v>
      </c>
    </row>
    <row r="1254" spans="1:21" x14ac:dyDescent="0.25">
      <c r="A1254" s="5">
        <v>1253</v>
      </c>
      <c r="B1254" s="5"/>
      <c r="C1254" s="5" t="s">
        <v>79</v>
      </c>
      <c r="D1254" s="5" t="s">
        <v>179</v>
      </c>
      <c r="E1254" s="5" t="str">
        <f>IFERROR(VLOOKUP($D1254,FIYAT!$B:$O,2,FALSE()),"")</f>
        <v>Держатель плавкой вставки RT36-00-160, габарит 00, 160А</v>
      </c>
      <c r="F1254" s="5">
        <f>IFERROR(VLOOKUP($D1254,FIYAT!$B:$O,5,FALSE()),"")</f>
        <v>2038</v>
      </c>
      <c r="G1254" s="5">
        <f>IFERROR(VLOOKUP($D1254,FIYAT!$B:$O,8,FALSE()),"")</f>
        <v>1222.8</v>
      </c>
      <c r="H1254" s="5">
        <f t="shared" si="154"/>
        <v>4891.2</v>
      </c>
      <c r="I1254" s="6">
        <v>4</v>
      </c>
      <c r="J1254" s="5" t="str">
        <f>IFERROR(VLOOKUP($D1254,FIYAT!$B:$O,9,FALSE()),"")</f>
        <v>Шт.</v>
      </c>
      <c r="K1254" s="5" t="str">
        <f>IFERROR(VLOOKUP($D1254,FIYAT!$B:$O,4,FALSE()),"")</f>
        <v>CHINT</v>
      </c>
      <c r="L1254" s="5">
        <f t="shared" si="155"/>
        <v>4891.2</v>
      </c>
      <c r="M1254" s="5"/>
      <c r="N1254" s="5"/>
      <c r="O1254" s="5"/>
      <c r="P1254" s="5" t="str">
        <f>IF($H1254="","FIYAT_YOK",IFERROR(VLOOKUP($D1254,FIYAT!$B:$P,15,FALSE()),""))</f>
        <v>MUADIL</v>
      </c>
      <c r="Q1254" s="5" t="s">
        <v>181</v>
      </c>
      <c r="R1254" s="5" t="s">
        <v>171</v>
      </c>
      <c r="S1254" s="5" t="s">
        <v>637</v>
      </c>
      <c r="T1254" s="5" t="s">
        <v>77</v>
      </c>
      <c r="U1254" s="5">
        <f>IFERROR(VLOOKUP($T1254,KURALLAR!$A$32:$B$63,2,FALSE()),0)*IF(ISNUMBER($I1254),$I1254,0)</f>
        <v>20</v>
      </c>
    </row>
    <row r="1255" spans="1:21" x14ac:dyDescent="0.25">
      <c r="A1255" s="9">
        <v>1254</v>
      </c>
      <c r="B1255" s="9"/>
      <c r="C1255" s="9" t="s">
        <v>79</v>
      </c>
      <c r="D1255" s="9" t="s">
        <v>182</v>
      </c>
      <c r="E1255" s="9" t="str">
        <f>IFERROR(VLOOKUP($D1255,FIYAT!$B:$O,2,FALSE()),"")</f>
        <v>Плавкая вставка предохранителя RT36-00-160, габарит 00, 63А</v>
      </c>
      <c r="F1255" s="9">
        <f>IFERROR(VLOOKUP($D1255,FIYAT!$B:$O,5,FALSE()),"")</f>
        <v>1525</v>
      </c>
      <c r="G1255" s="9">
        <f>IFERROR(VLOOKUP($D1255,FIYAT!$B:$O,8,FALSE()),"")</f>
        <v>915</v>
      </c>
      <c r="H1255" s="9">
        <f t="shared" si="154"/>
        <v>3660</v>
      </c>
      <c r="I1255" s="6">
        <v>4</v>
      </c>
      <c r="J1255" s="9" t="str">
        <f>IFERROR(VLOOKUP($D1255,FIYAT!$B:$O,9,FALSE()),"")</f>
        <v>Шт.</v>
      </c>
      <c r="K1255" s="9" t="str">
        <f>IFERROR(VLOOKUP($D1255,FIYAT!$B:$O,4,FALSE()),"")</f>
        <v>CHINT</v>
      </c>
      <c r="L1255" s="9">
        <f t="shared" si="155"/>
        <v>3660</v>
      </c>
      <c r="M1255" s="9"/>
      <c r="N1255" s="9"/>
      <c r="O1255" s="9"/>
      <c r="P1255" s="9" t="str">
        <f>IF($H1255="","FIYAT_YOK",IFERROR(VLOOKUP($D1255,FIYAT!$B:$P,15,FALSE()),""))</f>
        <v>MUADIL</v>
      </c>
      <c r="Q1255" s="9" t="s">
        <v>185</v>
      </c>
      <c r="R1255" s="9" t="s">
        <v>184</v>
      </c>
      <c r="S1255" s="9" t="s">
        <v>637</v>
      </c>
      <c r="T1255" s="9" t="s">
        <v>79</v>
      </c>
      <c r="U1255" s="9">
        <f>IFERROR(VLOOKUP($T1255,KURALLAR!$A$32:$B$63,2,FALSE()),0)*IF(ISNUMBER($I1255),$I1255,0)</f>
        <v>12</v>
      </c>
    </row>
    <row r="1256" spans="1:21" x14ac:dyDescent="0.25">
      <c r="A1256" s="5">
        <v>1255</v>
      </c>
      <c r="B1256" s="5"/>
      <c r="C1256" s="5" t="s">
        <v>75</v>
      </c>
      <c r="D1256" s="5" t="s">
        <v>186</v>
      </c>
      <c r="E1256" s="5" t="str">
        <f>IFERROR(VLOOKUP($D1256,FIYAT!$B:$O,2,FALSE()),"")</f>
        <v>Ограничитель имп. перенапр. NU6-IIG 4Р In=25kA Uc=440B Im=65kA (R)</v>
      </c>
      <c r="F1256" s="5">
        <f>IFERROR(VLOOKUP($D1256,FIYAT!$B:$O,5,FALSE()),"")</f>
        <v>33208</v>
      </c>
      <c r="G1256" s="5">
        <f>IFERROR(VLOOKUP($D1256,FIYAT!$B:$O,8,FALSE()),"")</f>
        <v>19924.8</v>
      </c>
      <c r="H1256" s="5">
        <f t="shared" si="154"/>
        <v>19924.8</v>
      </c>
      <c r="I1256" s="6">
        <v>1</v>
      </c>
      <c r="J1256" s="5" t="str">
        <f>IFERROR(VLOOKUP($D1256,FIYAT!$B:$O,9,FALSE()),"")</f>
        <v>Шт.</v>
      </c>
      <c r="K1256" s="5" t="str">
        <f>IFERROR(VLOOKUP($D1256,FIYAT!$B:$O,4,FALSE()),"")</f>
        <v>CHINT</v>
      </c>
      <c r="L1256" s="5">
        <f t="shared" si="155"/>
        <v>19924.8</v>
      </c>
      <c r="M1256" s="5"/>
      <c r="N1256" s="5"/>
      <c r="O1256" s="5"/>
      <c r="P1256" s="5" t="str">
        <f>IF($H1256="","FIYAT_YOK",IFERROR(VLOOKUP($D1256,FIYAT!$B:$P,15,FALSE()),""))</f>
        <v>MUADIL_ONAY</v>
      </c>
      <c r="Q1256" s="5" t="s">
        <v>188</v>
      </c>
      <c r="R1256" s="5" t="s">
        <v>184</v>
      </c>
      <c r="S1256" s="5" t="s">
        <v>637</v>
      </c>
      <c r="T1256" s="5" t="s">
        <v>75</v>
      </c>
      <c r="U1256" s="5">
        <f>IFERROR(VLOOKUP($T1256,KURALLAR!$A$32:$B$63,2,FALSE()),0)*IF(ISNUMBER($I1256),$I1256,0)</f>
        <v>10</v>
      </c>
    </row>
    <row r="1257" spans="1:21" x14ac:dyDescent="0.25">
      <c r="A1257" s="9">
        <v>1256</v>
      </c>
      <c r="B1257" s="9"/>
      <c r="C1257" s="9" t="s">
        <v>192</v>
      </c>
      <c r="D1257" s="9" t="s">
        <v>304</v>
      </c>
      <c r="E1257" s="9" t="str">
        <f>IFERROR(VLOOKUP($D1257,FIYAT!$B:$O,2,FALSE()),"")</f>
        <v>Авт. выкл. NXB-63 3P 16A 6кА х-ка C (R)</v>
      </c>
      <c r="F1257" s="9">
        <f>IFERROR(VLOOKUP($D1257,FIYAT!$B:$O,5,FALSE()),"")</f>
        <v>5462</v>
      </c>
      <c r="G1257" s="9">
        <f>IFERROR(VLOOKUP($D1257,FIYAT!$B:$O,8,FALSE()),"")</f>
        <v>3277.2</v>
      </c>
      <c r="H1257" s="9">
        <f t="shared" si="154"/>
        <v>62266.799999999996</v>
      </c>
      <c r="I1257" s="6">
        <v>19</v>
      </c>
      <c r="J1257" s="9" t="str">
        <f>IFERROR(VLOOKUP($D1257,FIYAT!$B:$O,9,FALSE()),"")</f>
        <v>Шт.</v>
      </c>
      <c r="K1257" s="9" t="str">
        <f>IFERROR(VLOOKUP($D1257,FIYAT!$B:$O,4,FALSE()),"")</f>
        <v>CHINT</v>
      </c>
      <c r="L1257" s="9">
        <f t="shared" si="155"/>
        <v>62266.799999999996</v>
      </c>
      <c r="M1257" s="9"/>
      <c r="N1257" s="9"/>
      <c r="O1257" s="9"/>
      <c r="P1257" s="9" t="str">
        <f>IF($H1257="","FIYAT_YOK",IFERROR(VLOOKUP($D1257,FIYAT!$B:$P,15,FALSE()),""))</f>
        <v>OK</v>
      </c>
      <c r="Q1257" s="9" t="s">
        <v>306</v>
      </c>
      <c r="R1257" s="9" t="s">
        <v>171</v>
      </c>
      <c r="S1257" s="9" t="s">
        <v>637</v>
      </c>
      <c r="T1257" s="9" t="s">
        <v>51</v>
      </c>
      <c r="U1257" s="9">
        <f>IFERROR(VLOOKUP($T1257,KURALLAR!$A$32:$B$63,2,FALSE()),0)*IF(ISNUMBER($I1257),$I1257,0)</f>
        <v>152</v>
      </c>
    </row>
    <row r="1258" spans="1:21" x14ac:dyDescent="0.25">
      <c r="A1258" s="5">
        <v>1257</v>
      </c>
      <c r="B1258" s="5"/>
      <c r="C1258" s="5" t="s">
        <v>93</v>
      </c>
      <c r="D1258" s="5" t="s">
        <v>209</v>
      </c>
      <c r="E1258" s="5" t="str">
        <f>IFERROR(VLOOKUP($D1258,FIYAT!$B:$O,2,FALSE()),"")</f>
        <v>Шина "N" нулевая 6х9мм на DIN-рейку в корпусном изоляторе ШНИ 12К IEK (10)</v>
      </c>
      <c r="F1258" s="5">
        <f>IFERROR(VLOOKUP($D1258,FIYAT!$B:$O,5,FALSE()),"")</f>
        <v>755</v>
      </c>
      <c r="G1258" s="5">
        <f>IFERROR(VLOOKUP($D1258,FIYAT!$B:$O,8,FALSE()),"")</f>
        <v>453</v>
      </c>
      <c r="H1258" s="5">
        <f t="shared" si="154"/>
        <v>1812</v>
      </c>
      <c r="I1258" s="6">
        <v>4</v>
      </c>
      <c r="J1258" s="5" t="str">
        <f>IFERROR(VLOOKUP($D1258,FIYAT!$B:$O,9,FALSE()),"")</f>
        <v>Шт.</v>
      </c>
      <c r="K1258" s="5" t="str">
        <f>IFERROR(VLOOKUP($D1258,FIYAT!$B:$O,4,FALSE()),"")</f>
        <v>KAZTEK</v>
      </c>
      <c r="L1258" s="5">
        <f t="shared" si="155"/>
        <v>1812</v>
      </c>
      <c r="M1258" s="5"/>
      <c r="N1258" s="5"/>
      <c r="O1258" s="5"/>
      <c r="P1258" s="5" t="str">
        <f>IF($H1258="","FIYAT_YOK",IFERROR(VLOOKUP($D1258,FIYAT!$B:$P,15,FALSE()),""))</f>
        <v>MUADIL</v>
      </c>
      <c r="Q1258" s="5" t="s">
        <v>212</v>
      </c>
      <c r="R1258" s="5" t="s">
        <v>211</v>
      </c>
      <c r="S1258" s="5" t="s">
        <v>637</v>
      </c>
      <c r="T1258" s="5" t="s">
        <v>93</v>
      </c>
      <c r="U1258" s="5">
        <f>IFERROR(VLOOKUP($T1258,KURALLAR!$A$32:$B$63,2,FALSE()),0)*IF(ISNUMBER($I1258),$I1258,0)</f>
        <v>32</v>
      </c>
    </row>
    <row r="1259" spans="1:21" x14ac:dyDescent="0.25">
      <c r="A1259" s="9">
        <v>1258</v>
      </c>
      <c r="B1259" s="9"/>
      <c r="C1259" s="9" t="s">
        <v>222</v>
      </c>
      <c r="D1259" s="9" t="s">
        <v>307</v>
      </c>
      <c r="E1259" s="9" t="str">
        <f>IFERROR(VLOOKUP($D1259,FIYAT!$B:$O,2,FALSE()),"")</f>
        <v>Мет.Корпус ЩМП-5 (1000x650x300) IP31</v>
      </c>
      <c r="F1259" s="9">
        <f>IFERROR(VLOOKUP($D1259,FIYAT!$B:$O,5,FALSE()),"")</f>
        <v>38905</v>
      </c>
      <c r="G1259" s="9">
        <f>IFERROR(VLOOKUP($D1259,FIYAT!$B:$O,8,FALSE()),"")</f>
        <v>23343</v>
      </c>
      <c r="H1259" s="9">
        <f t="shared" si="154"/>
        <v>23343</v>
      </c>
      <c r="I1259" s="6">
        <v>1</v>
      </c>
      <c r="J1259" s="9" t="str">
        <f>IFERROR(VLOOKUP($D1259,FIYAT!$B:$O,9,FALSE()),"")</f>
        <v>Шт.</v>
      </c>
      <c r="K1259" s="9" t="str">
        <f>IFERROR(VLOOKUP($D1259,FIYAT!$B:$O,4,FALSE()),"")</f>
        <v>KAZTEK</v>
      </c>
      <c r="L1259" s="9">
        <f t="shared" si="155"/>
        <v>23343</v>
      </c>
      <c r="M1259" s="9"/>
      <c r="N1259" s="9"/>
      <c r="O1259" s="9"/>
      <c r="P1259" s="9" t="str">
        <f>IF($H1259="","FIYAT_YOK",IFERROR(VLOOKUP($D1259,FIYAT!$B:$P,15,FALSE()),""))</f>
        <v>VARSAYIM</v>
      </c>
      <c r="Q1259" s="9" t="s">
        <v>309</v>
      </c>
      <c r="R1259" s="9" t="s">
        <v>211</v>
      </c>
      <c r="S1259" s="9" t="s">
        <v>637</v>
      </c>
      <c r="T1259" s="9" t="s">
        <v>105</v>
      </c>
      <c r="U1259" s="9">
        <f>IFERROR(VLOOKUP($T1259,KURALLAR!$A$32:$B$63,2,FALSE()),0)*IF(ISNUMBER($I1259),$I1259,0)</f>
        <v>30</v>
      </c>
    </row>
    <row r="1260" spans="1:21" x14ac:dyDescent="0.25">
      <c r="A1260" s="5">
        <v>1259</v>
      </c>
      <c r="B1260" s="5"/>
      <c r="C1260" s="5" t="s">
        <v>215</v>
      </c>
      <c r="D1260" s="5" t="s">
        <v>213</v>
      </c>
      <c r="E1260" s="5" t="str">
        <f>IFERROR(VLOOKUP($D1260,FIYAT!$B:$O,2,FALSE()),"")</f>
        <v>Монтажный расходный материал (кабель, DIN-рейка, кабель-канал, клеммы, маркировка, крепёж)</v>
      </c>
      <c r="F1260" s="5">
        <f>IFERROR(VLOOKUP($D1260,FIYAT!$B:$O,5,FALSE()),"")</f>
        <v>0</v>
      </c>
      <c r="G1260" s="5" t="str">
        <f>IFERROR(VLOOKUP($D1260,FIYAT!$B:$O,8,FALSE()),"")</f>
        <v/>
      </c>
      <c r="H1260" s="5">
        <f>ROUND(SUM($H$1252:$H$1259)*KURALLAR!$B$28,0)</f>
        <v>11778</v>
      </c>
      <c r="I1260" s="6">
        <v>1</v>
      </c>
      <c r="J1260" s="5" t="str">
        <f>IFERROR(VLOOKUP($D1260,FIYAT!$B:$O,9,FALSE()),"")</f>
        <v>компл.</v>
      </c>
      <c r="K1260" s="5" t="str">
        <f>IFERROR(VLOOKUP($D1260,FIYAT!$B:$O,4,FALSE()),"")</f>
        <v>MUADIL-NET</v>
      </c>
      <c r="L1260" s="5">
        <f t="shared" si="155"/>
        <v>11778</v>
      </c>
      <c r="M1260" s="5"/>
      <c r="N1260" s="5"/>
      <c r="O1260" s="5"/>
      <c r="P1260" s="5" t="str">
        <f>IF($H1260="","FIYAT_YOK",IFERROR(VLOOKUP($D1260,FIYAT!$B:$P,15,FALSE()),""))</f>
        <v>ORAN</v>
      </c>
      <c r="Q1260" s="5" t="s">
        <v>218</v>
      </c>
      <c r="R1260" s="5" t="s">
        <v>217</v>
      </c>
      <c r="S1260" s="5" t="s">
        <v>637</v>
      </c>
      <c r="T1260" s="5"/>
      <c r="U1260" s="5">
        <v>0</v>
      </c>
    </row>
    <row r="1261" spans="1:21" x14ac:dyDescent="0.25">
      <c r="A1261" s="9">
        <v>1260</v>
      </c>
      <c r="B1261" s="9"/>
      <c r="C1261" s="9" t="s">
        <v>227</v>
      </c>
      <c r="D1261" s="9" t="s">
        <v>225</v>
      </c>
      <c r="E1261" s="9" t="str">
        <f>IFERROR(VLOOKUP($D1261,FIYAT!$B:$O,2,FALSE()),"")</f>
        <v>Сборка, кабелирование, маркировка, момент затяжки, испытания</v>
      </c>
      <c r="F1261" s="9">
        <f>IFERROR(VLOOKUP($D1261,FIYAT!$B:$O,5,FALSE()),"")</f>
        <v>100</v>
      </c>
      <c r="G1261" s="9">
        <f>IFERROR(VLOOKUP($D1261,FIYAT!$B:$O,8,FALSE()),"")</f>
        <v>100</v>
      </c>
      <c r="H1261" s="9">
        <f>IF(OR($G1261="",$I1261=""),"",$G1261*$I1261)</f>
        <v>32300</v>
      </c>
      <c r="I1261" s="6">
        <f>ROUND(SUM($U$1252:$U$1260)*KURALLAR!$B$27,0)</f>
        <v>323</v>
      </c>
      <c r="J1261" s="9" t="str">
        <f>IFERROR(VLOOKUP($D1261,FIYAT!$B:$O,9,FALSE()),"")</f>
        <v>мин</v>
      </c>
      <c r="K1261" s="9" t="str">
        <f>IFERROR(VLOOKUP($D1261,FIYAT!$B:$O,4,FALSE()),"")</f>
        <v>ISCILIK</v>
      </c>
      <c r="L1261" s="9">
        <f t="shared" si="155"/>
        <v>32300</v>
      </c>
      <c r="M1261" s="9"/>
      <c r="N1261" s="9"/>
      <c r="O1261" s="9"/>
      <c r="P1261" s="9" t="str">
        <f>IF($H1261="","FIYAT_YOK",IFERROR(VLOOKUP($D1261,FIYAT!$B:$P,15,FALSE()),""))</f>
        <v>OK</v>
      </c>
      <c r="Q1261" s="9" t="str">
        <f>CONCATENATE("montaj+test iscilik: ",TEXT($I1261,"# ##0")," dk = ",TEXT($I1261/60,"0,00")," saat (norm x test/etiket carpani)")</f>
        <v>montaj+test iscilik:  323 dk = 5,38 saat (norm x test/etiket carpani)</v>
      </c>
      <c r="R1261" s="9" t="s">
        <v>229</v>
      </c>
      <c r="S1261" s="9" t="s">
        <v>637</v>
      </c>
      <c r="T1261" s="9"/>
      <c r="U1261" s="9">
        <v>0</v>
      </c>
    </row>
    <row r="1262" spans="1:21" x14ac:dyDescent="0.25">
      <c r="A1262" s="10">
        <v>1261</v>
      </c>
      <c r="B1262" s="10" t="s">
        <v>706</v>
      </c>
      <c r="C1262" s="10"/>
      <c r="D1262" s="10"/>
      <c r="E1262" s="10"/>
      <c r="F1262" s="10"/>
      <c r="G1262" s="10"/>
      <c r="H1262" s="10">
        <f>SUBTOTAL(9,H1252:H1261)</f>
        <v>212336.6</v>
      </c>
      <c r="I1262" s="10"/>
      <c r="J1262" s="10"/>
      <c r="K1262" s="10"/>
      <c r="L1262" s="10">
        <f>SUBTOTAL(9,L1252:L1261)</f>
        <v>212336.6</v>
      </c>
      <c r="M1262" s="10"/>
      <c r="N1262" s="10"/>
      <c r="O1262" s="10"/>
      <c r="P1262" s="10"/>
      <c r="Q1262" s="10"/>
      <c r="R1262" s="10"/>
      <c r="S1262" s="10"/>
      <c r="T1262" s="10"/>
      <c r="U1262" s="10">
        <f>SUBTOTAL(9,U1252:U1261)</f>
        <v>281</v>
      </c>
    </row>
    <row r="1263" spans="1:21" x14ac:dyDescent="0.25">
      <c r="A1263" s="8">
        <v>1262</v>
      </c>
      <c r="B1263" s="8" t="str">
        <f>E1263</f>
        <v>BLOK B / ЩА-B1 — НКУ 380/220В 50Гц, FORM 2B, IP31/54</v>
      </c>
      <c r="C1263" s="8" t="s">
        <v>545</v>
      </c>
      <c r="D1263" s="8"/>
      <c r="E1263" s="8" t="s">
        <v>707</v>
      </c>
      <c r="F1263" s="8"/>
      <c r="G1263" s="8"/>
      <c r="H1263" s="8"/>
      <c r="I1263" s="8">
        <v>1</v>
      </c>
      <c r="J1263" s="8" t="s">
        <v>547</v>
      </c>
      <c r="K1263" s="8"/>
      <c r="L1263" s="8"/>
      <c r="M1263" s="8"/>
      <c r="N1263" s="8"/>
      <c r="O1263" s="8"/>
      <c r="P1263" s="8" t="s">
        <v>178</v>
      </c>
      <c r="Q1263" s="8" t="s">
        <v>548</v>
      </c>
      <c r="R1263" s="8" t="s">
        <v>549</v>
      </c>
      <c r="S1263" s="8" t="s">
        <v>637</v>
      </c>
      <c r="T1263" s="8"/>
      <c r="U1263" s="8"/>
    </row>
    <row r="1264" spans="1:21" x14ac:dyDescent="0.25">
      <c r="A1264" s="5">
        <v>1263</v>
      </c>
      <c r="B1264" s="5"/>
      <c r="C1264" s="5" t="s">
        <v>169</v>
      </c>
      <c r="D1264" s="5" t="s">
        <v>259</v>
      </c>
      <c r="E1264" s="5" t="str">
        <f>IFERROR(VLOOKUP($D1264,FIYAT!$B:$O,2,FALSE()),"")</f>
        <v>Авт. выкл. NM8N-125C TM 3P 50А 36кА с рег. термомаг. расцепителем (R)</v>
      </c>
      <c r="F1264" s="5">
        <f>IFERROR(VLOOKUP($D1264,FIYAT!$B:$O,5,FALSE()),"")</f>
        <v>68025</v>
      </c>
      <c r="G1264" s="5">
        <f>IFERROR(VLOOKUP($D1264,FIYAT!$B:$O,8,FALSE()),"")</f>
        <v>40815</v>
      </c>
      <c r="H1264" s="5">
        <f t="shared" ref="H1264:H1275" si="156">IF(OR($G1264="",$I1264=""),"",$G1264*$I1264)</f>
        <v>40815</v>
      </c>
      <c r="I1264" s="6">
        <v>1</v>
      </c>
      <c r="J1264" s="5" t="str">
        <f>IFERROR(VLOOKUP($D1264,FIYAT!$B:$O,9,FALSE()),"")</f>
        <v>Шт.</v>
      </c>
      <c r="K1264" s="5" t="str">
        <f>IFERROR(VLOOKUP($D1264,FIYAT!$B:$O,4,FALSE()),"")</f>
        <v>CHINT</v>
      </c>
      <c r="L1264" s="5">
        <f t="shared" ref="L1264:L1277" si="157">IF($H1264="","",$H1264)</f>
        <v>40815</v>
      </c>
      <c r="M1264" s="5"/>
      <c r="N1264" s="5"/>
      <c r="O1264" s="5"/>
      <c r="P1264" s="5" t="str">
        <f>IF($H1264="","FIYAT_YOK",IFERROR(VLOOKUP($D1264,FIYAT!$B:$P,15,FALSE()),""))</f>
        <v>MUADIL</v>
      </c>
      <c r="Q1264" s="5" t="s">
        <v>172</v>
      </c>
      <c r="R1264" s="5" t="s">
        <v>171</v>
      </c>
      <c r="S1264" s="5" t="s">
        <v>637</v>
      </c>
      <c r="T1264" s="5" t="s">
        <v>61</v>
      </c>
      <c r="U1264" s="5">
        <f>IFERROR(VLOOKUP($T1264,KURALLAR!$A$32:$B$63,2,FALSE()),0)*IF(ISNUMBER($I1264),$I1264,0)</f>
        <v>15</v>
      </c>
    </row>
    <row r="1265" spans="1:21" x14ac:dyDescent="0.25">
      <c r="A1265" s="9">
        <v>1264</v>
      </c>
      <c r="B1265" s="9"/>
      <c r="C1265" s="9" t="s">
        <v>93</v>
      </c>
      <c r="D1265" s="9" t="s">
        <v>329</v>
      </c>
      <c r="E1265" s="9" t="str">
        <f>IFERROR(VLOOKUP($D1265,FIYAT!$B:$O,2,FALSE()),"")</f>
        <v>Независимый расцепитель SHT21-M8 AC220-240V для NM8N-125 (R)</v>
      </c>
      <c r="F1265" s="9">
        <f>IFERROR(VLOOKUP($D1265,FIYAT!$B:$O,5,FALSE()),"")</f>
        <v>19243</v>
      </c>
      <c r="G1265" s="9">
        <f>IFERROR(VLOOKUP($D1265,FIYAT!$B:$O,8,FALSE()),"")</f>
        <v>11545.8</v>
      </c>
      <c r="H1265" s="9">
        <f t="shared" si="156"/>
        <v>11545.8</v>
      </c>
      <c r="I1265" s="6">
        <v>1</v>
      </c>
      <c r="J1265" s="9" t="str">
        <f>IFERROR(VLOOKUP($D1265,FIYAT!$B:$O,9,FALSE()),"")</f>
        <v>Шт.</v>
      </c>
      <c r="K1265" s="9" t="str">
        <f>IFERROR(VLOOKUP($D1265,FIYAT!$B:$O,4,FALSE()),"")</f>
        <v>CHINT</v>
      </c>
      <c r="L1265" s="9">
        <f t="shared" si="157"/>
        <v>11545.8</v>
      </c>
      <c r="M1265" s="9"/>
      <c r="N1265" s="9"/>
      <c r="O1265" s="9"/>
      <c r="P1265" s="9" t="str">
        <f>IF($H1265="","FIYAT_YOK",IFERROR(VLOOKUP($D1265,FIYAT!$B:$P,15,FALSE()),""))</f>
        <v>OK</v>
      </c>
      <c r="Q1265" s="9" t="s">
        <v>331</v>
      </c>
      <c r="R1265" s="9" t="s">
        <v>184</v>
      </c>
      <c r="S1265" s="9" t="s">
        <v>637</v>
      </c>
      <c r="T1265" s="9" t="s">
        <v>95</v>
      </c>
      <c r="U1265" s="9">
        <f>IFERROR(VLOOKUP($T1265,KURALLAR!$A$32:$B$63,2,FALSE()),0)*IF(ISNUMBER($I1265),$I1265,0)</f>
        <v>10</v>
      </c>
    </row>
    <row r="1266" spans="1:21" x14ac:dyDescent="0.25">
      <c r="A1266" s="5">
        <v>1265</v>
      </c>
      <c r="B1266" s="5"/>
      <c r="C1266" s="5" t="s">
        <v>79</v>
      </c>
      <c r="D1266" s="5" t="s">
        <v>179</v>
      </c>
      <c r="E1266" s="5" t="str">
        <f>IFERROR(VLOOKUP($D1266,FIYAT!$B:$O,2,FALSE()),"")</f>
        <v>Держатель плавкой вставки RT36-00-160, габарит 00, 160А</v>
      </c>
      <c r="F1266" s="5">
        <f>IFERROR(VLOOKUP($D1266,FIYAT!$B:$O,5,FALSE()),"")</f>
        <v>2038</v>
      </c>
      <c r="G1266" s="5">
        <f>IFERROR(VLOOKUP($D1266,FIYAT!$B:$O,8,FALSE()),"")</f>
        <v>1222.8</v>
      </c>
      <c r="H1266" s="5">
        <f t="shared" si="156"/>
        <v>4891.2</v>
      </c>
      <c r="I1266" s="6">
        <v>4</v>
      </c>
      <c r="J1266" s="5" t="str">
        <f>IFERROR(VLOOKUP($D1266,FIYAT!$B:$O,9,FALSE()),"")</f>
        <v>Шт.</v>
      </c>
      <c r="K1266" s="5" t="str">
        <f>IFERROR(VLOOKUP($D1266,FIYAT!$B:$O,4,FALSE()),"")</f>
        <v>CHINT</v>
      </c>
      <c r="L1266" s="5">
        <f t="shared" si="157"/>
        <v>4891.2</v>
      </c>
      <c r="M1266" s="5"/>
      <c r="N1266" s="5"/>
      <c r="O1266" s="5"/>
      <c r="P1266" s="5" t="str">
        <f>IF($H1266="","FIYAT_YOK",IFERROR(VLOOKUP($D1266,FIYAT!$B:$P,15,FALSE()),""))</f>
        <v>MUADIL</v>
      </c>
      <c r="Q1266" s="5" t="s">
        <v>181</v>
      </c>
      <c r="R1266" s="5" t="s">
        <v>171</v>
      </c>
      <c r="S1266" s="5" t="s">
        <v>637</v>
      </c>
      <c r="T1266" s="5" t="s">
        <v>77</v>
      </c>
      <c r="U1266" s="5">
        <f>IFERROR(VLOOKUP($T1266,KURALLAR!$A$32:$B$63,2,FALSE()),0)*IF(ISNUMBER($I1266),$I1266,0)</f>
        <v>20</v>
      </c>
    </row>
    <row r="1267" spans="1:21" x14ac:dyDescent="0.25">
      <c r="A1267" s="9">
        <v>1266</v>
      </c>
      <c r="B1267" s="9"/>
      <c r="C1267" s="9" t="s">
        <v>79</v>
      </c>
      <c r="D1267" s="9" t="s">
        <v>182</v>
      </c>
      <c r="E1267" s="9" t="str">
        <f>IFERROR(VLOOKUP($D1267,FIYAT!$B:$O,2,FALSE()),"")</f>
        <v>Плавкая вставка предохранителя RT36-00-160, габарит 00, 63А</v>
      </c>
      <c r="F1267" s="9">
        <f>IFERROR(VLOOKUP($D1267,FIYAT!$B:$O,5,FALSE()),"")</f>
        <v>1525</v>
      </c>
      <c r="G1267" s="9">
        <f>IFERROR(VLOOKUP($D1267,FIYAT!$B:$O,8,FALSE()),"")</f>
        <v>915</v>
      </c>
      <c r="H1267" s="9">
        <f t="shared" si="156"/>
        <v>3660</v>
      </c>
      <c r="I1267" s="6">
        <v>4</v>
      </c>
      <c r="J1267" s="9" t="str">
        <f>IFERROR(VLOOKUP($D1267,FIYAT!$B:$O,9,FALSE()),"")</f>
        <v>Шт.</v>
      </c>
      <c r="K1267" s="9" t="str">
        <f>IFERROR(VLOOKUP($D1267,FIYAT!$B:$O,4,FALSE()),"")</f>
        <v>CHINT</v>
      </c>
      <c r="L1267" s="9">
        <f t="shared" si="157"/>
        <v>3660</v>
      </c>
      <c r="M1267" s="9"/>
      <c r="N1267" s="9"/>
      <c r="O1267" s="9"/>
      <c r="P1267" s="9" t="str">
        <f>IF($H1267="","FIYAT_YOK",IFERROR(VLOOKUP($D1267,FIYAT!$B:$P,15,FALSE()),""))</f>
        <v>MUADIL</v>
      </c>
      <c r="Q1267" s="9" t="s">
        <v>185</v>
      </c>
      <c r="R1267" s="9" t="s">
        <v>184</v>
      </c>
      <c r="S1267" s="9" t="s">
        <v>637</v>
      </c>
      <c r="T1267" s="9" t="s">
        <v>79</v>
      </c>
      <c r="U1267" s="9">
        <f>IFERROR(VLOOKUP($T1267,KURALLAR!$A$32:$B$63,2,FALSE()),0)*IF(ISNUMBER($I1267),$I1267,0)</f>
        <v>12</v>
      </c>
    </row>
    <row r="1268" spans="1:21" x14ac:dyDescent="0.25">
      <c r="A1268" s="5">
        <v>1267</v>
      </c>
      <c r="B1268" s="5"/>
      <c r="C1268" s="5" t="s">
        <v>75</v>
      </c>
      <c r="D1268" s="5" t="s">
        <v>186</v>
      </c>
      <c r="E1268" s="5" t="str">
        <f>IFERROR(VLOOKUP($D1268,FIYAT!$B:$O,2,FALSE()),"")</f>
        <v>Ограничитель имп. перенапр. NU6-IIG 4Р In=25kA Uc=440B Im=65kA (R)</v>
      </c>
      <c r="F1268" s="5">
        <f>IFERROR(VLOOKUP($D1268,FIYAT!$B:$O,5,FALSE()),"")</f>
        <v>33208</v>
      </c>
      <c r="G1268" s="5">
        <f>IFERROR(VLOOKUP($D1268,FIYAT!$B:$O,8,FALSE()),"")</f>
        <v>19924.8</v>
      </c>
      <c r="H1268" s="5">
        <f t="shared" si="156"/>
        <v>19924.8</v>
      </c>
      <c r="I1268" s="6">
        <v>1</v>
      </c>
      <c r="J1268" s="5" t="str">
        <f>IFERROR(VLOOKUP($D1268,FIYAT!$B:$O,9,FALSE()),"")</f>
        <v>Шт.</v>
      </c>
      <c r="K1268" s="5" t="str">
        <f>IFERROR(VLOOKUP($D1268,FIYAT!$B:$O,4,FALSE()),"")</f>
        <v>CHINT</v>
      </c>
      <c r="L1268" s="5">
        <f t="shared" si="157"/>
        <v>19924.8</v>
      </c>
      <c r="M1268" s="5"/>
      <c r="N1268" s="5"/>
      <c r="O1268" s="5"/>
      <c r="P1268" s="5" t="str">
        <f>IF($H1268="","FIYAT_YOK",IFERROR(VLOOKUP($D1268,FIYAT!$B:$P,15,FALSE()),""))</f>
        <v>MUADIL_ONAY</v>
      </c>
      <c r="Q1268" s="5" t="s">
        <v>188</v>
      </c>
      <c r="R1268" s="5" t="s">
        <v>184</v>
      </c>
      <c r="S1268" s="5" t="s">
        <v>637</v>
      </c>
      <c r="T1268" s="5" t="s">
        <v>75</v>
      </c>
      <c r="U1268" s="5">
        <f>IFERROR(VLOOKUP($T1268,KURALLAR!$A$32:$B$63,2,FALSE()),0)*IF(ISNUMBER($I1268),$I1268,0)</f>
        <v>10</v>
      </c>
    </row>
    <row r="1269" spans="1:21" x14ac:dyDescent="0.25">
      <c r="A1269" s="9">
        <v>1268</v>
      </c>
      <c r="B1269" s="9"/>
      <c r="C1269" s="9" t="s">
        <v>192</v>
      </c>
      <c r="D1269" s="9" t="s">
        <v>190</v>
      </c>
      <c r="E1269" s="9" t="str">
        <f>IFERROR(VLOOKUP($D1269,FIYAT!$B:$O,2,FALSE()),"")</f>
        <v>Авт. выкл. NXB-63 3P 25A 6кА х-ка C (R)</v>
      </c>
      <c r="F1269" s="9">
        <f>IFERROR(VLOOKUP($D1269,FIYAT!$B:$O,5,FALSE()),"")</f>
        <v>5334</v>
      </c>
      <c r="G1269" s="9">
        <f>IFERROR(VLOOKUP($D1269,FIYAT!$B:$O,8,FALSE()),"")</f>
        <v>3200.4</v>
      </c>
      <c r="H1269" s="9">
        <f t="shared" si="156"/>
        <v>3200.4</v>
      </c>
      <c r="I1269" s="6">
        <v>1</v>
      </c>
      <c r="J1269" s="9" t="str">
        <f>IFERROR(VLOOKUP($D1269,FIYAT!$B:$O,9,FALSE()),"")</f>
        <v>Шт.</v>
      </c>
      <c r="K1269" s="9" t="str">
        <f>IFERROR(VLOOKUP($D1269,FIYAT!$B:$O,4,FALSE()),"")</f>
        <v>CHINT</v>
      </c>
      <c r="L1269" s="9">
        <f t="shared" si="157"/>
        <v>3200.4</v>
      </c>
      <c r="M1269" s="9"/>
      <c r="N1269" s="9"/>
      <c r="O1269" s="9"/>
      <c r="P1269" s="9" t="str">
        <f>IF($H1269="","FIYAT_YOK",IFERROR(VLOOKUP($D1269,FIYAT!$B:$P,15,FALSE()),""))</f>
        <v>OK</v>
      </c>
      <c r="Q1269" s="9" t="s">
        <v>193</v>
      </c>
      <c r="R1269" s="9" t="s">
        <v>171</v>
      </c>
      <c r="S1269" s="9" t="s">
        <v>637</v>
      </c>
      <c r="T1269" s="9" t="s">
        <v>51</v>
      </c>
      <c r="U1269" s="9">
        <f>IFERROR(VLOOKUP($T1269,KURALLAR!$A$32:$B$63,2,FALSE()),0)*IF(ISNUMBER($I1269),$I1269,0)</f>
        <v>8</v>
      </c>
    </row>
    <row r="1270" spans="1:21" x14ac:dyDescent="0.25">
      <c r="A1270" s="5">
        <v>1269</v>
      </c>
      <c r="B1270" s="5"/>
      <c r="C1270" s="5" t="s">
        <v>192</v>
      </c>
      <c r="D1270" s="5" t="s">
        <v>304</v>
      </c>
      <c r="E1270" s="5" t="str">
        <f>IFERROR(VLOOKUP($D1270,FIYAT!$B:$O,2,FALSE()),"")</f>
        <v>Авт. выкл. NXB-63 3P 16A 6кА х-ка C (R)</v>
      </c>
      <c r="F1270" s="5">
        <f>IFERROR(VLOOKUP($D1270,FIYAT!$B:$O,5,FALSE()),"")</f>
        <v>5462</v>
      </c>
      <c r="G1270" s="5">
        <f>IFERROR(VLOOKUP($D1270,FIYAT!$B:$O,8,FALSE()),"")</f>
        <v>3277.2</v>
      </c>
      <c r="H1270" s="5">
        <f t="shared" si="156"/>
        <v>3277.2</v>
      </c>
      <c r="I1270" s="6">
        <v>1</v>
      </c>
      <c r="J1270" s="5" t="str">
        <f>IFERROR(VLOOKUP($D1270,FIYAT!$B:$O,9,FALSE()),"")</f>
        <v>Шт.</v>
      </c>
      <c r="K1270" s="5" t="str">
        <f>IFERROR(VLOOKUP($D1270,FIYAT!$B:$O,4,FALSE()),"")</f>
        <v>CHINT</v>
      </c>
      <c r="L1270" s="5">
        <f t="shared" si="157"/>
        <v>3277.2</v>
      </c>
      <c r="M1270" s="5"/>
      <c r="N1270" s="5"/>
      <c r="O1270" s="5"/>
      <c r="P1270" s="5" t="str">
        <f>IF($H1270="","FIYAT_YOK",IFERROR(VLOOKUP($D1270,FIYAT!$B:$P,15,FALSE()),""))</f>
        <v>OK</v>
      </c>
      <c r="Q1270" s="5" t="s">
        <v>306</v>
      </c>
      <c r="R1270" s="5" t="s">
        <v>171</v>
      </c>
      <c r="S1270" s="5" t="s">
        <v>637</v>
      </c>
      <c r="T1270" s="5" t="s">
        <v>51</v>
      </c>
      <c r="U1270" s="5">
        <f>IFERROR(VLOOKUP($T1270,KURALLAR!$A$32:$B$63,2,FALSE()),0)*IF(ISNUMBER($I1270),$I1270,0)</f>
        <v>8</v>
      </c>
    </row>
    <row r="1271" spans="1:21" x14ac:dyDescent="0.25">
      <c r="A1271" s="9">
        <v>1270</v>
      </c>
      <c r="B1271" s="9"/>
      <c r="C1271" s="9" t="s">
        <v>192</v>
      </c>
      <c r="D1271" s="9" t="s">
        <v>373</v>
      </c>
      <c r="E1271" s="9" t="str">
        <f>IFERROR(VLOOKUP($D1271,FIYAT!$B:$O,2,FALSE()),"")</f>
        <v>Авт. выкл. NXB-63 1P 40A 6кА х-ка C (R)</v>
      </c>
      <c r="F1271" s="9">
        <f>IFERROR(VLOOKUP($D1271,FIYAT!$B:$O,5,FALSE()),"")</f>
        <v>1560</v>
      </c>
      <c r="G1271" s="9">
        <f>IFERROR(VLOOKUP($D1271,FIYAT!$B:$O,8,FALSE()),"")</f>
        <v>936</v>
      </c>
      <c r="H1271" s="9">
        <f t="shared" si="156"/>
        <v>936</v>
      </c>
      <c r="I1271" s="6">
        <v>1</v>
      </c>
      <c r="J1271" s="9" t="str">
        <f>IFERROR(VLOOKUP($D1271,FIYAT!$B:$O,9,FALSE()),"")</f>
        <v>Шт.</v>
      </c>
      <c r="K1271" s="9" t="str">
        <f>IFERROR(VLOOKUP($D1271,FIYAT!$B:$O,4,FALSE()),"")</f>
        <v>CHINT</v>
      </c>
      <c r="L1271" s="9">
        <f t="shared" si="157"/>
        <v>936</v>
      </c>
      <c r="M1271" s="9"/>
      <c r="N1271" s="9"/>
      <c r="O1271" s="9"/>
      <c r="P1271" s="9" t="str">
        <f>IF($H1271="","FIYAT_YOK",IFERROR(VLOOKUP($D1271,FIYAT!$B:$P,15,FALSE()),""))</f>
        <v>OK</v>
      </c>
      <c r="Q1271" s="9" t="s">
        <v>375</v>
      </c>
      <c r="R1271" s="9" t="s">
        <v>184</v>
      </c>
      <c r="S1271" s="9" t="s">
        <v>637</v>
      </c>
      <c r="T1271" s="9" t="s">
        <v>47</v>
      </c>
      <c r="U1271" s="9">
        <f>IFERROR(VLOOKUP($T1271,KURALLAR!$A$32:$B$63,2,FALSE()),0)*IF(ISNUMBER($I1271),$I1271,0)</f>
        <v>3</v>
      </c>
    </row>
    <row r="1272" spans="1:21" x14ac:dyDescent="0.25">
      <c r="A1272" s="5">
        <v>1271</v>
      </c>
      <c r="B1272" s="5"/>
      <c r="C1272" s="5" t="s">
        <v>192</v>
      </c>
      <c r="D1272" s="5" t="s">
        <v>321</v>
      </c>
      <c r="E1272" s="5" t="str">
        <f>IFERROR(VLOOKUP($D1272,FIYAT!$B:$O,2,FALSE()),"")</f>
        <v>Авт. выкл. NXB-63 1P 25A 6кА х-ка C (R)</v>
      </c>
      <c r="F1272" s="5">
        <f>IFERROR(VLOOKUP($D1272,FIYAT!$B:$O,5,FALSE()),"")</f>
        <v>1330</v>
      </c>
      <c r="G1272" s="5">
        <f>IFERROR(VLOOKUP($D1272,FIYAT!$B:$O,8,FALSE()),"")</f>
        <v>798</v>
      </c>
      <c r="H1272" s="5">
        <f t="shared" si="156"/>
        <v>2394</v>
      </c>
      <c r="I1272" s="6">
        <v>3</v>
      </c>
      <c r="J1272" s="5" t="str">
        <f>IFERROR(VLOOKUP($D1272,FIYAT!$B:$O,9,FALSE()),"")</f>
        <v>Шт.</v>
      </c>
      <c r="K1272" s="5" t="str">
        <f>IFERROR(VLOOKUP($D1272,FIYAT!$B:$O,4,FALSE()),"")</f>
        <v>CHINT</v>
      </c>
      <c r="L1272" s="5">
        <f t="shared" si="157"/>
        <v>2394</v>
      </c>
      <c r="M1272" s="5"/>
      <c r="N1272" s="5"/>
      <c r="O1272" s="5"/>
      <c r="P1272" s="5" t="str">
        <f>IF($H1272="","FIYAT_YOK",IFERROR(VLOOKUP($D1272,FIYAT!$B:$P,15,FALSE()),""))</f>
        <v>OK</v>
      </c>
      <c r="Q1272" s="5" t="s">
        <v>323</v>
      </c>
      <c r="R1272" s="5" t="s">
        <v>171</v>
      </c>
      <c r="S1272" s="5" t="s">
        <v>637</v>
      </c>
      <c r="T1272" s="5" t="s">
        <v>47</v>
      </c>
      <c r="U1272" s="5">
        <f>IFERROR(VLOOKUP($T1272,KURALLAR!$A$32:$B$63,2,FALSE()),0)*IF(ISNUMBER($I1272),$I1272,0)</f>
        <v>9</v>
      </c>
    </row>
    <row r="1273" spans="1:21" x14ac:dyDescent="0.25">
      <c r="A1273" s="9">
        <v>1272</v>
      </c>
      <c r="B1273" s="9"/>
      <c r="C1273" s="9" t="s">
        <v>192</v>
      </c>
      <c r="D1273" s="9" t="s">
        <v>194</v>
      </c>
      <c r="E1273" s="9" t="str">
        <f>IFERROR(VLOOKUP($D1273,FIYAT!$B:$O,2,FALSE()),"")</f>
        <v>Авт. выкл. NXB-63 1P 16A 6кА х-ка C (R)</v>
      </c>
      <c r="F1273" s="9">
        <f>IFERROR(VLOOKUP($D1273,FIYAT!$B:$O,5,FALSE()),"")</f>
        <v>1389</v>
      </c>
      <c r="G1273" s="9">
        <f>IFERROR(VLOOKUP($D1273,FIYAT!$B:$O,8,FALSE()),"")</f>
        <v>833.4</v>
      </c>
      <c r="H1273" s="9">
        <f t="shared" si="156"/>
        <v>22501.8</v>
      </c>
      <c r="I1273" s="6">
        <v>27</v>
      </c>
      <c r="J1273" s="9" t="str">
        <f>IFERROR(VLOOKUP($D1273,FIYAT!$B:$O,9,FALSE()),"")</f>
        <v>Шт.</v>
      </c>
      <c r="K1273" s="9" t="str">
        <f>IFERROR(VLOOKUP($D1273,FIYAT!$B:$O,4,FALSE()),"")</f>
        <v>CHINT</v>
      </c>
      <c r="L1273" s="9">
        <f t="shared" si="157"/>
        <v>22501.8</v>
      </c>
      <c r="M1273" s="9"/>
      <c r="N1273" s="9"/>
      <c r="O1273" s="9"/>
      <c r="P1273" s="9" t="str">
        <f>IF($H1273="","FIYAT_YOK",IFERROR(VLOOKUP($D1273,FIYAT!$B:$P,15,FALSE()),""))</f>
        <v>OK</v>
      </c>
      <c r="Q1273" s="9" t="s">
        <v>196</v>
      </c>
      <c r="R1273" s="9" t="s">
        <v>171</v>
      </c>
      <c r="S1273" s="9" t="s">
        <v>637</v>
      </c>
      <c r="T1273" s="9" t="s">
        <v>47</v>
      </c>
      <c r="U1273" s="9">
        <f>IFERROR(VLOOKUP($T1273,KURALLAR!$A$32:$B$63,2,FALSE()),0)*IF(ISNUMBER($I1273),$I1273,0)</f>
        <v>81</v>
      </c>
    </row>
    <row r="1274" spans="1:21" x14ac:dyDescent="0.25">
      <c r="A1274" s="5">
        <v>1273</v>
      </c>
      <c r="B1274" s="5"/>
      <c r="C1274" s="5" t="s">
        <v>93</v>
      </c>
      <c r="D1274" s="5" t="s">
        <v>209</v>
      </c>
      <c r="E1274" s="5" t="str">
        <f>IFERROR(VLOOKUP($D1274,FIYAT!$B:$O,2,FALSE()),"")</f>
        <v>Шина "N" нулевая 6х9мм на DIN-рейку в корпусном изоляторе ШНИ 12К IEK (10)</v>
      </c>
      <c r="F1274" s="5">
        <f>IFERROR(VLOOKUP($D1274,FIYAT!$B:$O,5,FALSE()),"")</f>
        <v>755</v>
      </c>
      <c r="G1274" s="5">
        <f>IFERROR(VLOOKUP($D1274,FIYAT!$B:$O,8,FALSE()),"")</f>
        <v>453</v>
      </c>
      <c r="H1274" s="5">
        <f t="shared" si="156"/>
        <v>1812</v>
      </c>
      <c r="I1274" s="6">
        <v>4</v>
      </c>
      <c r="J1274" s="5" t="str">
        <f>IFERROR(VLOOKUP($D1274,FIYAT!$B:$O,9,FALSE()),"")</f>
        <v>Шт.</v>
      </c>
      <c r="K1274" s="5" t="str">
        <f>IFERROR(VLOOKUP($D1274,FIYAT!$B:$O,4,FALSE()),"")</f>
        <v>KAZTEK</v>
      </c>
      <c r="L1274" s="5">
        <f t="shared" si="157"/>
        <v>1812</v>
      </c>
      <c r="M1274" s="5"/>
      <c r="N1274" s="5"/>
      <c r="O1274" s="5"/>
      <c r="P1274" s="5" t="str">
        <f>IF($H1274="","FIYAT_YOK",IFERROR(VLOOKUP($D1274,FIYAT!$B:$P,15,FALSE()),""))</f>
        <v>MUADIL</v>
      </c>
      <c r="Q1274" s="5" t="s">
        <v>212</v>
      </c>
      <c r="R1274" s="5" t="s">
        <v>211</v>
      </c>
      <c r="S1274" s="5" t="s">
        <v>637</v>
      </c>
      <c r="T1274" s="5" t="s">
        <v>93</v>
      </c>
      <c r="U1274" s="5">
        <f>IFERROR(VLOOKUP($T1274,KURALLAR!$A$32:$B$63,2,FALSE()),0)*IF(ISNUMBER($I1274),$I1274,0)</f>
        <v>32</v>
      </c>
    </row>
    <row r="1275" spans="1:21" x14ac:dyDescent="0.25">
      <c r="A1275" s="9">
        <v>1274</v>
      </c>
      <c r="B1275" s="9"/>
      <c r="C1275" s="9" t="s">
        <v>222</v>
      </c>
      <c r="D1275" s="9" t="s">
        <v>307</v>
      </c>
      <c r="E1275" s="9" t="str">
        <f>IFERROR(VLOOKUP($D1275,FIYAT!$B:$O,2,FALSE()),"")</f>
        <v>Мет.Корпус ЩМП-5 (1000x650x300) IP31</v>
      </c>
      <c r="F1275" s="9">
        <f>IFERROR(VLOOKUP($D1275,FIYAT!$B:$O,5,FALSE()),"")</f>
        <v>38905</v>
      </c>
      <c r="G1275" s="9">
        <f>IFERROR(VLOOKUP($D1275,FIYAT!$B:$O,8,FALSE()),"")</f>
        <v>23343</v>
      </c>
      <c r="H1275" s="9">
        <f t="shared" si="156"/>
        <v>23343</v>
      </c>
      <c r="I1275" s="6">
        <v>1</v>
      </c>
      <c r="J1275" s="9" t="str">
        <f>IFERROR(VLOOKUP($D1275,FIYAT!$B:$O,9,FALSE()),"")</f>
        <v>Шт.</v>
      </c>
      <c r="K1275" s="9" t="str">
        <f>IFERROR(VLOOKUP($D1275,FIYAT!$B:$O,4,FALSE()),"")</f>
        <v>KAZTEK</v>
      </c>
      <c r="L1275" s="9">
        <f t="shared" si="157"/>
        <v>23343</v>
      </c>
      <c r="M1275" s="9"/>
      <c r="N1275" s="9"/>
      <c r="O1275" s="9"/>
      <c r="P1275" s="9" t="str">
        <f>IF($H1275="","FIYAT_YOK",IFERROR(VLOOKUP($D1275,FIYAT!$B:$P,15,FALSE()),""))</f>
        <v>VARSAYIM</v>
      </c>
      <c r="Q1275" s="9" t="s">
        <v>309</v>
      </c>
      <c r="R1275" s="9" t="s">
        <v>211</v>
      </c>
      <c r="S1275" s="9" t="s">
        <v>637</v>
      </c>
      <c r="T1275" s="9" t="s">
        <v>105</v>
      </c>
      <c r="U1275" s="9">
        <f>IFERROR(VLOOKUP($T1275,KURALLAR!$A$32:$B$63,2,FALSE()),0)*IF(ISNUMBER($I1275),$I1275,0)</f>
        <v>30</v>
      </c>
    </row>
    <row r="1276" spans="1:21" x14ac:dyDescent="0.25">
      <c r="A1276" s="5">
        <v>1275</v>
      </c>
      <c r="B1276" s="5"/>
      <c r="C1276" s="5" t="s">
        <v>215</v>
      </c>
      <c r="D1276" s="5" t="s">
        <v>213</v>
      </c>
      <c r="E1276" s="5" t="str">
        <f>IFERROR(VLOOKUP($D1276,FIYAT!$B:$O,2,FALSE()),"")</f>
        <v>Монтажный расходный материал (кабель, DIN-рейка, кабель-канал, клеммы, маркировка, крепёж)</v>
      </c>
      <c r="F1276" s="5">
        <f>IFERROR(VLOOKUP($D1276,FIYAT!$B:$O,5,FALSE()),"")</f>
        <v>0</v>
      </c>
      <c r="G1276" s="5" t="str">
        <f>IFERROR(VLOOKUP($D1276,FIYAT!$B:$O,8,FALSE()),"")</f>
        <v/>
      </c>
      <c r="H1276" s="5">
        <f>ROUND(SUM($H$1264:$H$1275)*KURALLAR!$B$28,0)</f>
        <v>9681</v>
      </c>
      <c r="I1276" s="6">
        <v>1</v>
      </c>
      <c r="J1276" s="5" t="str">
        <f>IFERROR(VLOOKUP($D1276,FIYAT!$B:$O,9,FALSE()),"")</f>
        <v>компл.</v>
      </c>
      <c r="K1276" s="5" t="str">
        <f>IFERROR(VLOOKUP($D1276,FIYAT!$B:$O,4,FALSE()),"")</f>
        <v>MUADIL-NET</v>
      </c>
      <c r="L1276" s="5">
        <f t="shared" si="157"/>
        <v>9681</v>
      </c>
      <c r="M1276" s="5"/>
      <c r="N1276" s="5"/>
      <c r="O1276" s="5"/>
      <c r="P1276" s="5" t="str">
        <f>IF($H1276="","FIYAT_YOK",IFERROR(VLOOKUP($D1276,FIYAT!$B:$P,15,FALSE()),""))</f>
        <v>ORAN</v>
      </c>
      <c r="Q1276" s="5" t="s">
        <v>218</v>
      </c>
      <c r="R1276" s="5" t="s">
        <v>217</v>
      </c>
      <c r="S1276" s="5" t="s">
        <v>637</v>
      </c>
      <c r="T1276" s="5"/>
      <c r="U1276" s="5">
        <v>0</v>
      </c>
    </row>
    <row r="1277" spans="1:21" x14ac:dyDescent="0.25">
      <c r="A1277" s="9">
        <v>1276</v>
      </c>
      <c r="B1277" s="9"/>
      <c r="C1277" s="9" t="s">
        <v>227</v>
      </c>
      <c r="D1277" s="9" t="s">
        <v>225</v>
      </c>
      <c r="E1277" s="9" t="str">
        <f>IFERROR(VLOOKUP($D1277,FIYAT!$B:$O,2,FALSE()),"")</f>
        <v>Сборка, кабелирование, маркировка, момент затяжки, испытания</v>
      </c>
      <c r="F1277" s="9">
        <f>IFERROR(VLOOKUP($D1277,FIYAT!$B:$O,5,FALSE()),"")</f>
        <v>100</v>
      </c>
      <c r="G1277" s="9">
        <f>IFERROR(VLOOKUP($D1277,FIYAT!$B:$O,8,FALSE()),"")</f>
        <v>100</v>
      </c>
      <c r="H1277" s="9">
        <f>IF(OR($G1277="",$I1277=""),"",$G1277*$I1277)</f>
        <v>27400</v>
      </c>
      <c r="I1277" s="6">
        <f>ROUND(SUM($U$1264:$U$1276)*KURALLAR!$B$27,0)</f>
        <v>274</v>
      </c>
      <c r="J1277" s="9" t="str">
        <f>IFERROR(VLOOKUP($D1277,FIYAT!$B:$O,9,FALSE()),"")</f>
        <v>мин</v>
      </c>
      <c r="K1277" s="9" t="str">
        <f>IFERROR(VLOOKUP($D1277,FIYAT!$B:$O,4,FALSE()),"")</f>
        <v>ISCILIK</v>
      </c>
      <c r="L1277" s="9">
        <f t="shared" si="157"/>
        <v>27400</v>
      </c>
      <c r="M1277" s="9"/>
      <c r="N1277" s="9"/>
      <c r="O1277" s="9"/>
      <c r="P1277" s="9" t="str">
        <f>IF($H1277="","FIYAT_YOK",IFERROR(VLOOKUP($D1277,FIYAT!$B:$P,15,FALSE()),""))</f>
        <v>OK</v>
      </c>
      <c r="Q1277" s="9" t="str">
        <f>CONCATENATE("montaj+test iscilik: ",TEXT($I1277,"# ##0")," dk = ",TEXT($I1277/60,"0,00")," saat (norm x test/etiket carpani)")</f>
        <v>montaj+test iscilik:  274 dk = 4,57 saat (norm x test/etiket carpani)</v>
      </c>
      <c r="R1277" s="9" t="s">
        <v>229</v>
      </c>
      <c r="S1277" s="9" t="s">
        <v>637</v>
      </c>
      <c r="T1277" s="9"/>
      <c r="U1277" s="9">
        <v>0</v>
      </c>
    </row>
    <row r="1278" spans="1:21" x14ac:dyDescent="0.25">
      <c r="A1278" s="10">
        <v>1277</v>
      </c>
      <c r="B1278" s="10" t="s">
        <v>708</v>
      </c>
      <c r="C1278" s="10"/>
      <c r="D1278" s="10"/>
      <c r="E1278" s="10"/>
      <c r="F1278" s="10"/>
      <c r="G1278" s="10"/>
      <c r="H1278" s="10">
        <f>SUBTOTAL(9,H1264:H1277)</f>
        <v>175382.2</v>
      </c>
      <c r="I1278" s="10"/>
      <c r="J1278" s="10"/>
      <c r="K1278" s="10"/>
      <c r="L1278" s="10">
        <f>SUBTOTAL(9,L1264:L1277)</f>
        <v>175382.2</v>
      </c>
      <c r="M1278" s="10"/>
      <c r="N1278" s="10"/>
      <c r="O1278" s="10"/>
      <c r="P1278" s="10"/>
      <c r="Q1278" s="10"/>
      <c r="R1278" s="10"/>
      <c r="S1278" s="10"/>
      <c r="T1278" s="10"/>
      <c r="U1278" s="10">
        <f>SUBTOTAL(9,U1264:U1277)</f>
        <v>238</v>
      </c>
    </row>
    <row r="1279" spans="1:21" x14ac:dyDescent="0.25">
      <c r="A1279" s="8">
        <v>1278</v>
      </c>
      <c r="B1279" s="8" t="str">
        <f>E1279</f>
        <v>BLOK B / ЩА-24.2F — НКУ 380/220В 50Гц, FORM 2B, IP31/54</v>
      </c>
      <c r="C1279" s="8" t="s">
        <v>545</v>
      </c>
      <c r="D1279" s="8"/>
      <c r="E1279" s="8" t="s">
        <v>709</v>
      </c>
      <c r="F1279" s="8"/>
      <c r="G1279" s="8"/>
      <c r="H1279" s="8"/>
      <c r="I1279" s="8">
        <v>1</v>
      </c>
      <c r="J1279" s="8" t="s">
        <v>547</v>
      </c>
      <c r="K1279" s="8"/>
      <c r="L1279" s="8"/>
      <c r="M1279" s="8"/>
      <c r="N1279" s="8"/>
      <c r="O1279" s="8"/>
      <c r="P1279" s="8" t="s">
        <v>178</v>
      </c>
      <c r="Q1279" s="8" t="s">
        <v>548</v>
      </c>
      <c r="R1279" s="8" t="s">
        <v>549</v>
      </c>
      <c r="S1279" s="8" t="s">
        <v>637</v>
      </c>
      <c r="T1279" s="8"/>
      <c r="U1279" s="8"/>
    </row>
    <row r="1280" spans="1:21" x14ac:dyDescent="0.25">
      <c r="A1280" s="5">
        <v>1279</v>
      </c>
      <c r="B1280" s="5"/>
      <c r="C1280" s="5" t="s">
        <v>169</v>
      </c>
      <c r="D1280" s="5" t="s">
        <v>327</v>
      </c>
      <c r="E1280" s="5" t="str">
        <f>IFERROR(VLOOKUP($D1280,FIYAT!$B:$O,2,FALSE()),"")</f>
        <v>Авт. выкл. NM8N-125C TM 3P 25А 36кА с рег. термомаг. расцепителем (R)</v>
      </c>
      <c r="F1280" s="5">
        <f>IFERROR(VLOOKUP($D1280,FIYAT!$B:$O,5,FALSE()),"")</f>
        <v>65063</v>
      </c>
      <c r="G1280" s="5">
        <f>IFERROR(VLOOKUP($D1280,FIYAT!$B:$O,8,FALSE()),"")</f>
        <v>39037.799999999996</v>
      </c>
      <c r="H1280" s="5">
        <f t="shared" ref="H1280:H1288" si="158">IF(OR($G1280="",$I1280=""),"",$G1280*$I1280)</f>
        <v>39037.799999999996</v>
      </c>
      <c r="I1280" s="6">
        <v>1</v>
      </c>
      <c r="J1280" s="5" t="str">
        <f>IFERROR(VLOOKUP($D1280,FIYAT!$B:$O,9,FALSE()),"")</f>
        <v>Шт.</v>
      </c>
      <c r="K1280" s="5" t="str">
        <f>IFERROR(VLOOKUP($D1280,FIYAT!$B:$O,4,FALSE()),"")</f>
        <v>CHINT</v>
      </c>
      <c r="L1280" s="5">
        <f t="shared" ref="L1280:L1290" si="159">IF($H1280="","",$H1280)</f>
        <v>39037.799999999996</v>
      </c>
      <c r="M1280" s="5"/>
      <c r="N1280" s="5"/>
      <c r="O1280" s="5"/>
      <c r="P1280" s="5" t="str">
        <f>IF($H1280="","FIYAT_YOK",IFERROR(VLOOKUP($D1280,FIYAT!$B:$P,15,FALSE()),""))</f>
        <v>MUADIL</v>
      </c>
      <c r="Q1280" s="5" t="s">
        <v>172</v>
      </c>
      <c r="R1280" s="5" t="s">
        <v>171</v>
      </c>
      <c r="S1280" s="5" t="s">
        <v>637</v>
      </c>
      <c r="T1280" s="5" t="s">
        <v>61</v>
      </c>
      <c r="U1280" s="5">
        <f>IFERROR(VLOOKUP($T1280,KURALLAR!$A$32:$B$63,2,FALSE()),0)*IF(ISNUMBER($I1280),$I1280,0)</f>
        <v>15</v>
      </c>
    </row>
    <row r="1281" spans="1:21" x14ac:dyDescent="0.25">
      <c r="A1281" s="9">
        <v>1280</v>
      </c>
      <c r="B1281" s="9"/>
      <c r="C1281" s="9" t="s">
        <v>93</v>
      </c>
      <c r="D1281" s="9" t="s">
        <v>329</v>
      </c>
      <c r="E1281" s="9" t="str">
        <f>IFERROR(VLOOKUP($D1281,FIYAT!$B:$O,2,FALSE()),"")</f>
        <v>Независимый расцепитель SHT21-M8 AC220-240V для NM8N-125 (R)</v>
      </c>
      <c r="F1281" s="9">
        <f>IFERROR(VLOOKUP($D1281,FIYAT!$B:$O,5,FALSE()),"")</f>
        <v>19243</v>
      </c>
      <c r="G1281" s="9">
        <f>IFERROR(VLOOKUP($D1281,FIYAT!$B:$O,8,FALSE()),"")</f>
        <v>11545.8</v>
      </c>
      <c r="H1281" s="9">
        <f t="shared" si="158"/>
        <v>11545.8</v>
      </c>
      <c r="I1281" s="6">
        <v>1</v>
      </c>
      <c r="J1281" s="9" t="str">
        <f>IFERROR(VLOOKUP($D1281,FIYAT!$B:$O,9,FALSE()),"")</f>
        <v>Шт.</v>
      </c>
      <c r="K1281" s="9" t="str">
        <f>IFERROR(VLOOKUP($D1281,FIYAT!$B:$O,4,FALSE()),"")</f>
        <v>CHINT</v>
      </c>
      <c r="L1281" s="9">
        <f t="shared" si="159"/>
        <v>11545.8</v>
      </c>
      <c r="M1281" s="9"/>
      <c r="N1281" s="9"/>
      <c r="O1281" s="9"/>
      <c r="P1281" s="9" t="str">
        <f>IF($H1281="","FIYAT_YOK",IFERROR(VLOOKUP($D1281,FIYAT!$B:$P,15,FALSE()),""))</f>
        <v>OK</v>
      </c>
      <c r="Q1281" s="9" t="s">
        <v>331</v>
      </c>
      <c r="R1281" s="9" t="s">
        <v>184</v>
      </c>
      <c r="S1281" s="9" t="s">
        <v>637</v>
      </c>
      <c r="T1281" s="9" t="s">
        <v>95</v>
      </c>
      <c r="U1281" s="9">
        <f>IFERROR(VLOOKUP($T1281,KURALLAR!$A$32:$B$63,2,FALSE()),0)*IF(ISNUMBER($I1281),$I1281,0)</f>
        <v>10</v>
      </c>
    </row>
    <row r="1282" spans="1:21" x14ac:dyDescent="0.25">
      <c r="A1282" s="5">
        <v>1281</v>
      </c>
      <c r="B1282" s="5"/>
      <c r="C1282" s="5" t="s">
        <v>79</v>
      </c>
      <c r="D1282" s="5" t="s">
        <v>179</v>
      </c>
      <c r="E1282" s="5" t="str">
        <f>IFERROR(VLOOKUP($D1282,FIYAT!$B:$O,2,FALSE()),"")</f>
        <v>Держатель плавкой вставки RT36-00-160, габарит 00, 160А</v>
      </c>
      <c r="F1282" s="5">
        <f>IFERROR(VLOOKUP($D1282,FIYAT!$B:$O,5,FALSE()),"")</f>
        <v>2038</v>
      </c>
      <c r="G1282" s="5">
        <f>IFERROR(VLOOKUP($D1282,FIYAT!$B:$O,8,FALSE()),"")</f>
        <v>1222.8</v>
      </c>
      <c r="H1282" s="5">
        <f t="shared" si="158"/>
        <v>4891.2</v>
      </c>
      <c r="I1282" s="6">
        <v>4</v>
      </c>
      <c r="J1282" s="5" t="str">
        <f>IFERROR(VLOOKUP($D1282,FIYAT!$B:$O,9,FALSE()),"")</f>
        <v>Шт.</v>
      </c>
      <c r="K1282" s="5" t="str">
        <f>IFERROR(VLOOKUP($D1282,FIYAT!$B:$O,4,FALSE()),"")</f>
        <v>CHINT</v>
      </c>
      <c r="L1282" s="5">
        <f t="shared" si="159"/>
        <v>4891.2</v>
      </c>
      <c r="M1282" s="5"/>
      <c r="N1282" s="5"/>
      <c r="O1282" s="5"/>
      <c r="P1282" s="5" t="str">
        <f>IF($H1282="","FIYAT_YOK",IFERROR(VLOOKUP($D1282,FIYAT!$B:$P,15,FALSE()),""))</f>
        <v>MUADIL</v>
      </c>
      <c r="Q1282" s="5" t="s">
        <v>181</v>
      </c>
      <c r="R1282" s="5" t="s">
        <v>171</v>
      </c>
      <c r="S1282" s="5" t="s">
        <v>637</v>
      </c>
      <c r="T1282" s="5" t="s">
        <v>77</v>
      </c>
      <c r="U1282" s="5">
        <f>IFERROR(VLOOKUP($T1282,KURALLAR!$A$32:$B$63,2,FALSE()),0)*IF(ISNUMBER($I1282),$I1282,0)</f>
        <v>20</v>
      </c>
    </row>
    <row r="1283" spans="1:21" x14ac:dyDescent="0.25">
      <c r="A1283" s="9">
        <v>1282</v>
      </c>
      <c r="B1283" s="9"/>
      <c r="C1283" s="9" t="s">
        <v>79</v>
      </c>
      <c r="D1283" s="9" t="s">
        <v>182</v>
      </c>
      <c r="E1283" s="9" t="str">
        <f>IFERROR(VLOOKUP($D1283,FIYAT!$B:$O,2,FALSE()),"")</f>
        <v>Плавкая вставка предохранителя RT36-00-160, габарит 00, 63А</v>
      </c>
      <c r="F1283" s="9">
        <f>IFERROR(VLOOKUP($D1283,FIYAT!$B:$O,5,FALSE()),"")</f>
        <v>1525</v>
      </c>
      <c r="G1283" s="9">
        <f>IFERROR(VLOOKUP($D1283,FIYAT!$B:$O,8,FALSE()),"")</f>
        <v>915</v>
      </c>
      <c r="H1283" s="9">
        <f t="shared" si="158"/>
        <v>3660</v>
      </c>
      <c r="I1283" s="6">
        <v>4</v>
      </c>
      <c r="J1283" s="9" t="str">
        <f>IFERROR(VLOOKUP($D1283,FIYAT!$B:$O,9,FALSE()),"")</f>
        <v>Шт.</v>
      </c>
      <c r="K1283" s="9" t="str">
        <f>IFERROR(VLOOKUP($D1283,FIYAT!$B:$O,4,FALSE()),"")</f>
        <v>CHINT</v>
      </c>
      <c r="L1283" s="9">
        <f t="shared" si="159"/>
        <v>3660</v>
      </c>
      <c r="M1283" s="9"/>
      <c r="N1283" s="9"/>
      <c r="O1283" s="9"/>
      <c r="P1283" s="9" t="str">
        <f>IF($H1283="","FIYAT_YOK",IFERROR(VLOOKUP($D1283,FIYAT!$B:$P,15,FALSE()),""))</f>
        <v>MUADIL</v>
      </c>
      <c r="Q1283" s="9" t="s">
        <v>185</v>
      </c>
      <c r="R1283" s="9" t="s">
        <v>184</v>
      </c>
      <c r="S1283" s="9" t="s">
        <v>637</v>
      </c>
      <c r="T1283" s="9" t="s">
        <v>79</v>
      </c>
      <c r="U1283" s="9">
        <f>IFERROR(VLOOKUP($T1283,KURALLAR!$A$32:$B$63,2,FALSE()),0)*IF(ISNUMBER($I1283),$I1283,0)</f>
        <v>12</v>
      </c>
    </row>
    <row r="1284" spans="1:21" x14ac:dyDescent="0.25">
      <c r="A1284" s="5">
        <v>1283</v>
      </c>
      <c r="B1284" s="5"/>
      <c r="C1284" s="5" t="s">
        <v>75</v>
      </c>
      <c r="D1284" s="5" t="s">
        <v>186</v>
      </c>
      <c r="E1284" s="5" t="str">
        <f>IFERROR(VLOOKUP($D1284,FIYAT!$B:$O,2,FALSE()),"")</f>
        <v>Ограничитель имп. перенапр. NU6-IIG 4Р In=25kA Uc=440B Im=65kA (R)</v>
      </c>
      <c r="F1284" s="5">
        <f>IFERROR(VLOOKUP($D1284,FIYAT!$B:$O,5,FALSE()),"")</f>
        <v>33208</v>
      </c>
      <c r="G1284" s="5">
        <f>IFERROR(VLOOKUP($D1284,FIYAT!$B:$O,8,FALSE()),"")</f>
        <v>19924.8</v>
      </c>
      <c r="H1284" s="5">
        <f t="shared" si="158"/>
        <v>19924.8</v>
      </c>
      <c r="I1284" s="6">
        <v>1</v>
      </c>
      <c r="J1284" s="5" t="str">
        <f>IFERROR(VLOOKUP($D1284,FIYAT!$B:$O,9,FALSE()),"")</f>
        <v>Шт.</v>
      </c>
      <c r="K1284" s="5" t="str">
        <f>IFERROR(VLOOKUP($D1284,FIYAT!$B:$O,4,FALSE()),"")</f>
        <v>CHINT</v>
      </c>
      <c r="L1284" s="5">
        <f t="shared" si="159"/>
        <v>19924.8</v>
      </c>
      <c r="M1284" s="5"/>
      <c r="N1284" s="5"/>
      <c r="O1284" s="5"/>
      <c r="P1284" s="5" t="str">
        <f>IF($H1284="","FIYAT_YOK",IFERROR(VLOOKUP($D1284,FIYAT!$B:$P,15,FALSE()),""))</f>
        <v>MUADIL_ONAY</v>
      </c>
      <c r="Q1284" s="5" t="s">
        <v>188</v>
      </c>
      <c r="R1284" s="5" t="s">
        <v>184</v>
      </c>
      <c r="S1284" s="5" t="s">
        <v>637</v>
      </c>
      <c r="T1284" s="5" t="s">
        <v>75</v>
      </c>
      <c r="U1284" s="5">
        <f>IFERROR(VLOOKUP($T1284,KURALLAR!$A$32:$B$63,2,FALSE()),0)*IF(ISNUMBER($I1284),$I1284,0)</f>
        <v>10</v>
      </c>
    </row>
    <row r="1285" spans="1:21" x14ac:dyDescent="0.25">
      <c r="A1285" s="9">
        <v>1284</v>
      </c>
      <c r="B1285" s="9"/>
      <c r="C1285" s="9" t="s">
        <v>192</v>
      </c>
      <c r="D1285" s="9" t="s">
        <v>304</v>
      </c>
      <c r="E1285" s="9" t="str">
        <f>IFERROR(VLOOKUP($D1285,FIYAT!$B:$O,2,FALSE()),"")</f>
        <v>Авт. выкл. NXB-63 3P 16A 6кА х-ка C (R)</v>
      </c>
      <c r="F1285" s="9">
        <f>IFERROR(VLOOKUP($D1285,FIYAT!$B:$O,5,FALSE()),"")</f>
        <v>5462</v>
      </c>
      <c r="G1285" s="9">
        <f>IFERROR(VLOOKUP($D1285,FIYAT!$B:$O,8,FALSE()),"")</f>
        <v>3277.2</v>
      </c>
      <c r="H1285" s="9">
        <f t="shared" si="158"/>
        <v>13108.8</v>
      </c>
      <c r="I1285" s="6">
        <v>4</v>
      </c>
      <c r="J1285" s="9" t="str">
        <f>IFERROR(VLOOKUP($D1285,FIYAT!$B:$O,9,FALSE()),"")</f>
        <v>Шт.</v>
      </c>
      <c r="K1285" s="9" t="str">
        <f>IFERROR(VLOOKUP($D1285,FIYAT!$B:$O,4,FALSE()),"")</f>
        <v>CHINT</v>
      </c>
      <c r="L1285" s="9">
        <f t="shared" si="159"/>
        <v>13108.8</v>
      </c>
      <c r="M1285" s="9"/>
      <c r="N1285" s="9"/>
      <c r="O1285" s="9"/>
      <c r="P1285" s="9" t="str">
        <f>IF($H1285="","FIYAT_YOK",IFERROR(VLOOKUP($D1285,FIYAT!$B:$P,15,FALSE()),""))</f>
        <v>OK</v>
      </c>
      <c r="Q1285" s="9" t="s">
        <v>306</v>
      </c>
      <c r="R1285" s="9" t="s">
        <v>171</v>
      </c>
      <c r="S1285" s="9" t="s">
        <v>637</v>
      </c>
      <c r="T1285" s="9" t="s">
        <v>51</v>
      </c>
      <c r="U1285" s="9">
        <f>IFERROR(VLOOKUP($T1285,KURALLAR!$A$32:$B$63,2,FALSE()),0)*IF(ISNUMBER($I1285),$I1285,0)</f>
        <v>32</v>
      </c>
    </row>
    <row r="1286" spans="1:21" x14ac:dyDescent="0.25">
      <c r="A1286" s="5">
        <v>1285</v>
      </c>
      <c r="B1286" s="5"/>
      <c r="C1286" s="5" t="s">
        <v>192</v>
      </c>
      <c r="D1286" s="5" t="s">
        <v>194</v>
      </c>
      <c r="E1286" s="5" t="str">
        <f>IFERROR(VLOOKUP($D1286,FIYAT!$B:$O,2,FALSE()),"")</f>
        <v>Авт. выкл. NXB-63 1P 16A 6кА х-ка C (R)</v>
      </c>
      <c r="F1286" s="5">
        <f>IFERROR(VLOOKUP($D1286,FIYAT!$B:$O,5,FALSE()),"")</f>
        <v>1389</v>
      </c>
      <c r="G1286" s="5">
        <f>IFERROR(VLOOKUP($D1286,FIYAT!$B:$O,8,FALSE()),"")</f>
        <v>833.4</v>
      </c>
      <c r="H1286" s="5">
        <f t="shared" si="158"/>
        <v>13334.4</v>
      </c>
      <c r="I1286" s="6">
        <v>16</v>
      </c>
      <c r="J1286" s="5" t="str">
        <f>IFERROR(VLOOKUP($D1286,FIYAT!$B:$O,9,FALSE()),"")</f>
        <v>Шт.</v>
      </c>
      <c r="K1286" s="5" t="str">
        <f>IFERROR(VLOOKUP($D1286,FIYAT!$B:$O,4,FALSE()),"")</f>
        <v>CHINT</v>
      </c>
      <c r="L1286" s="5">
        <f t="shared" si="159"/>
        <v>13334.4</v>
      </c>
      <c r="M1286" s="5"/>
      <c r="N1286" s="5"/>
      <c r="O1286" s="5"/>
      <c r="P1286" s="5" t="str">
        <f>IF($H1286="","FIYAT_YOK",IFERROR(VLOOKUP($D1286,FIYAT!$B:$P,15,FALSE()),""))</f>
        <v>OK</v>
      </c>
      <c r="Q1286" s="5" t="s">
        <v>196</v>
      </c>
      <c r="R1286" s="5" t="s">
        <v>171</v>
      </c>
      <c r="S1286" s="5" t="s">
        <v>637</v>
      </c>
      <c r="T1286" s="5" t="s">
        <v>47</v>
      </c>
      <c r="U1286" s="5">
        <f>IFERROR(VLOOKUP($T1286,KURALLAR!$A$32:$B$63,2,FALSE()),0)*IF(ISNUMBER($I1286),$I1286,0)</f>
        <v>48</v>
      </c>
    </row>
    <row r="1287" spans="1:21" x14ac:dyDescent="0.25">
      <c r="A1287" s="9">
        <v>1286</v>
      </c>
      <c r="B1287" s="9"/>
      <c r="C1287" s="9" t="s">
        <v>93</v>
      </c>
      <c r="D1287" s="9" t="s">
        <v>209</v>
      </c>
      <c r="E1287" s="9" t="str">
        <f>IFERROR(VLOOKUP($D1287,FIYAT!$B:$O,2,FALSE()),"")</f>
        <v>Шина "N" нулевая 6х9мм на DIN-рейку в корпусном изоляторе ШНИ 12К IEK (10)</v>
      </c>
      <c r="F1287" s="9">
        <f>IFERROR(VLOOKUP($D1287,FIYAT!$B:$O,5,FALSE()),"")</f>
        <v>755</v>
      </c>
      <c r="G1287" s="9">
        <f>IFERROR(VLOOKUP($D1287,FIYAT!$B:$O,8,FALSE()),"")</f>
        <v>453</v>
      </c>
      <c r="H1287" s="9">
        <f t="shared" si="158"/>
        <v>1812</v>
      </c>
      <c r="I1287" s="6">
        <v>4</v>
      </c>
      <c r="J1287" s="9" t="str">
        <f>IFERROR(VLOOKUP($D1287,FIYAT!$B:$O,9,FALSE()),"")</f>
        <v>Шт.</v>
      </c>
      <c r="K1287" s="9" t="str">
        <f>IFERROR(VLOOKUP($D1287,FIYAT!$B:$O,4,FALSE()),"")</f>
        <v>KAZTEK</v>
      </c>
      <c r="L1287" s="9">
        <f t="shared" si="159"/>
        <v>1812</v>
      </c>
      <c r="M1287" s="9"/>
      <c r="N1287" s="9"/>
      <c r="O1287" s="9"/>
      <c r="P1287" s="9" t="str">
        <f>IF($H1287="","FIYAT_YOK",IFERROR(VLOOKUP($D1287,FIYAT!$B:$P,15,FALSE()),""))</f>
        <v>MUADIL</v>
      </c>
      <c r="Q1287" s="9" t="s">
        <v>212</v>
      </c>
      <c r="R1287" s="9" t="s">
        <v>211</v>
      </c>
      <c r="S1287" s="9" t="s">
        <v>637</v>
      </c>
      <c r="T1287" s="9" t="s">
        <v>93</v>
      </c>
      <c r="U1287" s="9">
        <f>IFERROR(VLOOKUP($T1287,KURALLAR!$A$32:$B$63,2,FALSE()),0)*IF(ISNUMBER($I1287),$I1287,0)</f>
        <v>32</v>
      </c>
    </row>
    <row r="1288" spans="1:21" x14ac:dyDescent="0.25">
      <c r="A1288" s="5">
        <v>1287</v>
      </c>
      <c r="B1288" s="5"/>
      <c r="C1288" s="5" t="s">
        <v>222</v>
      </c>
      <c r="D1288" s="5" t="s">
        <v>220</v>
      </c>
      <c r="E1288" s="5" t="str">
        <f>IFERROR(VLOOKUP($D1288,FIYAT!$B:$O,2,FALSE()),"")</f>
        <v>ЩМП (инд.) IP31 (650х500х150мм)</v>
      </c>
      <c r="F1288" s="5">
        <f>IFERROR(VLOOKUP($D1288,FIYAT!$B:$O,5,FALSE()),"")</f>
        <v>27825</v>
      </c>
      <c r="G1288" s="5">
        <f>IFERROR(VLOOKUP($D1288,FIYAT!$B:$O,8,FALSE()),"")</f>
        <v>16695</v>
      </c>
      <c r="H1288" s="5">
        <f t="shared" si="158"/>
        <v>16695</v>
      </c>
      <c r="I1288" s="6">
        <v>1</v>
      </c>
      <c r="J1288" s="5" t="str">
        <f>IFERROR(VLOOKUP($D1288,FIYAT!$B:$O,9,FALSE()),"")</f>
        <v>Шт.</v>
      </c>
      <c r="K1288" s="5" t="str">
        <f>IFERROR(VLOOKUP($D1288,FIYAT!$B:$O,4,FALSE()),"")</f>
        <v>KAZTEK</v>
      </c>
      <c r="L1288" s="5">
        <f t="shared" si="159"/>
        <v>16695</v>
      </c>
      <c r="M1288" s="5"/>
      <c r="N1288" s="5"/>
      <c r="O1288" s="5"/>
      <c r="P1288" s="5" t="str">
        <f>IF($H1288="","FIYAT_YOK",IFERROR(VLOOKUP($D1288,FIYAT!$B:$P,15,FALSE()),""))</f>
        <v>VARSAYIM</v>
      </c>
      <c r="Q1288" s="5" t="s">
        <v>223</v>
      </c>
      <c r="R1288" s="5" t="s">
        <v>211</v>
      </c>
      <c r="S1288" s="5" t="s">
        <v>637</v>
      </c>
      <c r="T1288" s="5" t="s">
        <v>105</v>
      </c>
      <c r="U1288" s="5">
        <f>IFERROR(VLOOKUP($T1288,KURALLAR!$A$32:$B$63,2,FALSE()),0)*IF(ISNUMBER($I1288),$I1288,0)</f>
        <v>30</v>
      </c>
    </row>
    <row r="1289" spans="1:21" x14ac:dyDescent="0.25">
      <c r="A1289" s="9">
        <v>1288</v>
      </c>
      <c r="B1289" s="9"/>
      <c r="C1289" s="9" t="s">
        <v>215</v>
      </c>
      <c r="D1289" s="9" t="s">
        <v>213</v>
      </c>
      <c r="E1289" s="9" t="str">
        <f>IFERROR(VLOOKUP($D1289,FIYAT!$B:$O,2,FALSE()),"")</f>
        <v>Монтажный расходный материал (кабель, DIN-рейка, кабель-канал, клеммы, маркировка, крепёж)</v>
      </c>
      <c r="F1289" s="9">
        <f>IFERROR(VLOOKUP($D1289,FIYAT!$B:$O,5,FALSE()),"")</f>
        <v>0</v>
      </c>
      <c r="G1289" s="9" t="str">
        <f>IFERROR(VLOOKUP($D1289,FIYAT!$B:$O,8,FALSE()),"")</f>
        <v/>
      </c>
      <c r="H1289" s="9">
        <f>ROUND(SUM($H$1280:$H$1288)*KURALLAR!$B$28,0)</f>
        <v>8681</v>
      </c>
      <c r="I1289" s="6">
        <v>1</v>
      </c>
      <c r="J1289" s="9" t="str">
        <f>IFERROR(VLOOKUP($D1289,FIYAT!$B:$O,9,FALSE()),"")</f>
        <v>компл.</v>
      </c>
      <c r="K1289" s="9" t="str">
        <f>IFERROR(VLOOKUP($D1289,FIYAT!$B:$O,4,FALSE()),"")</f>
        <v>MUADIL-NET</v>
      </c>
      <c r="L1289" s="9">
        <f t="shared" si="159"/>
        <v>8681</v>
      </c>
      <c r="M1289" s="9"/>
      <c r="N1289" s="9"/>
      <c r="O1289" s="9"/>
      <c r="P1289" s="9" t="str">
        <f>IF($H1289="","FIYAT_YOK",IFERROR(VLOOKUP($D1289,FIYAT!$B:$P,15,FALSE()),""))</f>
        <v>ORAN</v>
      </c>
      <c r="Q1289" s="9" t="s">
        <v>218</v>
      </c>
      <c r="R1289" s="9" t="s">
        <v>217</v>
      </c>
      <c r="S1289" s="9" t="s">
        <v>637</v>
      </c>
      <c r="T1289" s="9"/>
      <c r="U1289" s="9">
        <v>0</v>
      </c>
    </row>
    <row r="1290" spans="1:21" x14ac:dyDescent="0.25">
      <c r="A1290" s="5">
        <v>1289</v>
      </c>
      <c r="B1290" s="5"/>
      <c r="C1290" s="5" t="s">
        <v>227</v>
      </c>
      <c r="D1290" s="5" t="s">
        <v>225</v>
      </c>
      <c r="E1290" s="5" t="str">
        <f>IFERROR(VLOOKUP($D1290,FIYAT!$B:$O,2,FALSE()),"")</f>
        <v>Сборка, кабелирование, маркировка, момент затяжки, испытания</v>
      </c>
      <c r="F1290" s="5">
        <f>IFERROR(VLOOKUP($D1290,FIYAT!$B:$O,5,FALSE()),"")</f>
        <v>100</v>
      </c>
      <c r="G1290" s="5">
        <f>IFERROR(VLOOKUP($D1290,FIYAT!$B:$O,8,FALSE()),"")</f>
        <v>100</v>
      </c>
      <c r="H1290" s="5">
        <f>IF(OR($G1290="",$I1290=""),"",$G1290*$I1290)</f>
        <v>24000</v>
      </c>
      <c r="I1290" s="6">
        <f>ROUND(SUM($U$1280:$U$1289)*KURALLAR!$B$27,0)</f>
        <v>240</v>
      </c>
      <c r="J1290" s="5" t="str">
        <f>IFERROR(VLOOKUP($D1290,FIYAT!$B:$O,9,FALSE()),"")</f>
        <v>мин</v>
      </c>
      <c r="K1290" s="5" t="str">
        <f>IFERROR(VLOOKUP($D1290,FIYAT!$B:$O,4,FALSE()),"")</f>
        <v>ISCILIK</v>
      </c>
      <c r="L1290" s="5">
        <f t="shared" si="159"/>
        <v>24000</v>
      </c>
      <c r="M1290" s="5"/>
      <c r="N1290" s="5"/>
      <c r="O1290" s="5"/>
      <c r="P1290" s="5" t="str">
        <f>IF($H1290="","FIYAT_YOK",IFERROR(VLOOKUP($D1290,FIYAT!$B:$P,15,FALSE()),""))</f>
        <v>OK</v>
      </c>
      <c r="Q1290" s="5" t="str">
        <f>CONCATENATE("montaj+test iscilik: ",TEXT($I1290,"# ##0")," dk = ",TEXT($I1290/60,"0,00")," saat (norm x test/etiket carpani)")</f>
        <v>montaj+test iscilik:  240 dk = 4,00 saat (norm x test/etiket carpani)</v>
      </c>
      <c r="R1290" s="5" t="s">
        <v>229</v>
      </c>
      <c r="S1290" s="5" t="s">
        <v>637</v>
      </c>
      <c r="T1290" s="5"/>
      <c r="U1290" s="5">
        <v>0</v>
      </c>
    </row>
    <row r="1291" spans="1:21" x14ac:dyDescent="0.25">
      <c r="A1291" s="10">
        <v>1290</v>
      </c>
      <c r="B1291" s="10" t="s">
        <v>710</v>
      </c>
      <c r="C1291" s="10"/>
      <c r="D1291" s="10"/>
      <c r="E1291" s="10"/>
      <c r="F1291" s="10"/>
      <c r="G1291" s="10"/>
      <c r="H1291" s="10">
        <f>SUBTOTAL(9,H1280:H1290)</f>
        <v>156690.79999999999</v>
      </c>
      <c r="I1291" s="10"/>
      <c r="J1291" s="10"/>
      <c r="K1291" s="10"/>
      <c r="L1291" s="10">
        <f>SUBTOTAL(9,L1280:L1290)</f>
        <v>156690.79999999999</v>
      </c>
      <c r="M1291" s="10"/>
      <c r="N1291" s="10"/>
      <c r="O1291" s="10"/>
      <c r="P1291" s="10"/>
      <c r="Q1291" s="10"/>
      <c r="R1291" s="10"/>
      <c r="S1291" s="10"/>
      <c r="T1291" s="10"/>
      <c r="U1291" s="10">
        <f>SUBTOTAL(9,U1280:U1290)</f>
        <v>209</v>
      </c>
    </row>
    <row r="1292" spans="1:21" x14ac:dyDescent="0.25">
      <c r="A1292" s="8">
        <v>1291</v>
      </c>
      <c r="B1292" s="8" t="str">
        <f>E1292</f>
        <v>BLOK B / ЩА-RF — НКУ 380/220В 50Гц, FORM 2B, IP31/54</v>
      </c>
      <c r="C1292" s="8" t="s">
        <v>545</v>
      </c>
      <c r="D1292" s="8"/>
      <c r="E1292" s="8" t="s">
        <v>711</v>
      </c>
      <c r="F1292" s="8"/>
      <c r="G1292" s="8"/>
      <c r="H1292" s="8"/>
      <c r="I1292" s="8">
        <v>1</v>
      </c>
      <c r="J1292" s="8" t="s">
        <v>547</v>
      </c>
      <c r="K1292" s="8"/>
      <c r="L1292" s="8"/>
      <c r="M1292" s="8"/>
      <c r="N1292" s="8"/>
      <c r="O1292" s="8"/>
      <c r="P1292" s="8" t="s">
        <v>178</v>
      </c>
      <c r="Q1292" s="8" t="s">
        <v>548</v>
      </c>
      <c r="R1292" s="8" t="s">
        <v>549</v>
      </c>
      <c r="S1292" s="8" t="s">
        <v>637</v>
      </c>
      <c r="T1292" s="8"/>
      <c r="U1292" s="8"/>
    </row>
    <row r="1293" spans="1:21" x14ac:dyDescent="0.25">
      <c r="A1293" s="9">
        <v>1292</v>
      </c>
      <c r="B1293" s="9"/>
      <c r="C1293" s="9" t="s">
        <v>169</v>
      </c>
      <c r="D1293" s="9" t="s">
        <v>231</v>
      </c>
      <c r="E1293" s="9" t="str">
        <f>IFERROR(VLOOKUP($D1293,FIYAT!$B:$O,2,FALSE()),"")</f>
        <v>Авт. выкл. NM8N-125C TM 3P 80А 36кА с рег. термомаг. расцепителем (R)</v>
      </c>
      <c r="F1293" s="9">
        <f>IFERROR(VLOOKUP($D1293,FIYAT!$B:$O,5,FALSE()),"")</f>
        <v>64129</v>
      </c>
      <c r="G1293" s="9">
        <f>IFERROR(VLOOKUP($D1293,FIYAT!$B:$O,8,FALSE()),"")</f>
        <v>38477.4</v>
      </c>
      <c r="H1293" s="9">
        <f t="shared" ref="H1293:H1305" si="160">IF(OR($G1293="",$I1293=""),"",$G1293*$I1293)</f>
        <v>38477.4</v>
      </c>
      <c r="I1293" s="6">
        <v>1</v>
      </c>
      <c r="J1293" s="9" t="str">
        <f>IFERROR(VLOOKUP($D1293,FIYAT!$B:$O,9,FALSE()),"")</f>
        <v>Шт.</v>
      </c>
      <c r="K1293" s="9" t="str">
        <f>IFERROR(VLOOKUP($D1293,FIYAT!$B:$O,4,FALSE()),"")</f>
        <v>CHINT</v>
      </c>
      <c r="L1293" s="9">
        <f t="shared" ref="L1293:L1307" si="161">IF($H1293="","",$H1293)</f>
        <v>38477.4</v>
      </c>
      <c r="M1293" s="9"/>
      <c r="N1293" s="9"/>
      <c r="O1293" s="9"/>
      <c r="P1293" s="9" t="str">
        <f>IF($H1293="","FIYAT_YOK",IFERROR(VLOOKUP($D1293,FIYAT!$B:$P,15,FALSE()),""))</f>
        <v>OK</v>
      </c>
      <c r="Q1293" s="9" t="s">
        <v>233</v>
      </c>
      <c r="R1293" s="9" t="s">
        <v>171</v>
      </c>
      <c r="S1293" s="9" t="s">
        <v>637</v>
      </c>
      <c r="T1293" s="9" t="s">
        <v>61</v>
      </c>
      <c r="U1293" s="9">
        <f>IFERROR(VLOOKUP($T1293,KURALLAR!$A$32:$B$63,2,FALSE()),0)*IF(ISNUMBER($I1293),$I1293,0)</f>
        <v>15</v>
      </c>
    </row>
    <row r="1294" spans="1:21" x14ac:dyDescent="0.25">
      <c r="A1294" s="5">
        <v>1293</v>
      </c>
      <c r="B1294" s="5"/>
      <c r="C1294" s="5" t="s">
        <v>93</v>
      </c>
      <c r="D1294" s="5" t="s">
        <v>329</v>
      </c>
      <c r="E1294" s="5" t="str">
        <f>IFERROR(VLOOKUP($D1294,FIYAT!$B:$O,2,FALSE()),"")</f>
        <v>Независимый расцепитель SHT21-M8 AC220-240V для NM8N-125 (R)</v>
      </c>
      <c r="F1294" s="5">
        <f>IFERROR(VLOOKUP($D1294,FIYAT!$B:$O,5,FALSE()),"")</f>
        <v>19243</v>
      </c>
      <c r="G1294" s="5">
        <f>IFERROR(VLOOKUP($D1294,FIYAT!$B:$O,8,FALSE()),"")</f>
        <v>11545.8</v>
      </c>
      <c r="H1294" s="5">
        <f t="shared" si="160"/>
        <v>11545.8</v>
      </c>
      <c r="I1294" s="6">
        <v>1</v>
      </c>
      <c r="J1294" s="5" t="str">
        <f>IFERROR(VLOOKUP($D1294,FIYAT!$B:$O,9,FALSE()),"")</f>
        <v>Шт.</v>
      </c>
      <c r="K1294" s="5" t="str">
        <f>IFERROR(VLOOKUP($D1294,FIYAT!$B:$O,4,FALSE()),"")</f>
        <v>CHINT</v>
      </c>
      <c r="L1294" s="5">
        <f t="shared" si="161"/>
        <v>11545.8</v>
      </c>
      <c r="M1294" s="5"/>
      <c r="N1294" s="5"/>
      <c r="O1294" s="5"/>
      <c r="P1294" s="5" t="str">
        <f>IF($H1294="","FIYAT_YOK",IFERROR(VLOOKUP($D1294,FIYAT!$B:$P,15,FALSE()),""))</f>
        <v>OK</v>
      </c>
      <c r="Q1294" s="5" t="s">
        <v>331</v>
      </c>
      <c r="R1294" s="5" t="s">
        <v>184</v>
      </c>
      <c r="S1294" s="5" t="s">
        <v>637</v>
      </c>
      <c r="T1294" s="5" t="s">
        <v>95</v>
      </c>
      <c r="U1294" s="5">
        <f>IFERROR(VLOOKUP($T1294,KURALLAR!$A$32:$B$63,2,FALSE()),0)*IF(ISNUMBER($I1294),$I1294,0)</f>
        <v>10</v>
      </c>
    </row>
    <row r="1295" spans="1:21" x14ac:dyDescent="0.25">
      <c r="A1295" s="9">
        <v>1294</v>
      </c>
      <c r="B1295" s="9"/>
      <c r="C1295" s="9" t="s">
        <v>79</v>
      </c>
      <c r="D1295" s="9" t="s">
        <v>179</v>
      </c>
      <c r="E1295" s="9" t="str">
        <f>IFERROR(VLOOKUP($D1295,FIYAT!$B:$O,2,FALSE()),"")</f>
        <v>Держатель плавкой вставки RT36-00-160, габарит 00, 160А</v>
      </c>
      <c r="F1295" s="9">
        <f>IFERROR(VLOOKUP($D1295,FIYAT!$B:$O,5,FALSE()),"")</f>
        <v>2038</v>
      </c>
      <c r="G1295" s="9">
        <f>IFERROR(VLOOKUP($D1295,FIYAT!$B:$O,8,FALSE()),"")</f>
        <v>1222.8</v>
      </c>
      <c r="H1295" s="9">
        <f t="shared" si="160"/>
        <v>4891.2</v>
      </c>
      <c r="I1295" s="6">
        <v>4</v>
      </c>
      <c r="J1295" s="9" t="str">
        <f>IFERROR(VLOOKUP($D1295,FIYAT!$B:$O,9,FALSE()),"")</f>
        <v>Шт.</v>
      </c>
      <c r="K1295" s="9" t="str">
        <f>IFERROR(VLOOKUP($D1295,FIYAT!$B:$O,4,FALSE()),"")</f>
        <v>CHINT</v>
      </c>
      <c r="L1295" s="9">
        <f t="shared" si="161"/>
        <v>4891.2</v>
      </c>
      <c r="M1295" s="9"/>
      <c r="N1295" s="9"/>
      <c r="O1295" s="9"/>
      <c r="P1295" s="9" t="str">
        <f>IF($H1295="","FIYAT_YOK",IFERROR(VLOOKUP($D1295,FIYAT!$B:$P,15,FALSE()),""))</f>
        <v>MUADIL</v>
      </c>
      <c r="Q1295" s="9" t="s">
        <v>181</v>
      </c>
      <c r="R1295" s="9" t="s">
        <v>171</v>
      </c>
      <c r="S1295" s="9" t="s">
        <v>637</v>
      </c>
      <c r="T1295" s="9" t="s">
        <v>77</v>
      </c>
      <c r="U1295" s="9">
        <f>IFERROR(VLOOKUP($T1295,KURALLAR!$A$32:$B$63,2,FALSE()),0)*IF(ISNUMBER($I1295),$I1295,0)</f>
        <v>20</v>
      </c>
    </row>
    <row r="1296" spans="1:21" x14ac:dyDescent="0.25">
      <c r="A1296" s="5">
        <v>1295</v>
      </c>
      <c r="B1296" s="5"/>
      <c r="C1296" s="5" t="s">
        <v>79</v>
      </c>
      <c r="D1296" s="5" t="s">
        <v>182</v>
      </c>
      <c r="E1296" s="5" t="str">
        <f>IFERROR(VLOOKUP($D1296,FIYAT!$B:$O,2,FALSE()),"")</f>
        <v>Плавкая вставка предохранителя RT36-00-160, габарит 00, 63А</v>
      </c>
      <c r="F1296" s="5">
        <f>IFERROR(VLOOKUP($D1296,FIYAT!$B:$O,5,FALSE()),"")</f>
        <v>1525</v>
      </c>
      <c r="G1296" s="5">
        <f>IFERROR(VLOOKUP($D1296,FIYAT!$B:$O,8,FALSE()),"")</f>
        <v>915</v>
      </c>
      <c r="H1296" s="5">
        <f t="shared" si="160"/>
        <v>3660</v>
      </c>
      <c r="I1296" s="6">
        <v>4</v>
      </c>
      <c r="J1296" s="5" t="str">
        <f>IFERROR(VLOOKUP($D1296,FIYAT!$B:$O,9,FALSE()),"")</f>
        <v>Шт.</v>
      </c>
      <c r="K1296" s="5" t="str">
        <f>IFERROR(VLOOKUP($D1296,FIYAT!$B:$O,4,FALSE()),"")</f>
        <v>CHINT</v>
      </c>
      <c r="L1296" s="5">
        <f t="shared" si="161"/>
        <v>3660</v>
      </c>
      <c r="M1296" s="5"/>
      <c r="N1296" s="5"/>
      <c r="O1296" s="5"/>
      <c r="P1296" s="5" t="str">
        <f>IF($H1296="","FIYAT_YOK",IFERROR(VLOOKUP($D1296,FIYAT!$B:$P,15,FALSE()),""))</f>
        <v>MUADIL</v>
      </c>
      <c r="Q1296" s="5" t="s">
        <v>185</v>
      </c>
      <c r="R1296" s="5" t="s">
        <v>184</v>
      </c>
      <c r="S1296" s="5" t="s">
        <v>637</v>
      </c>
      <c r="T1296" s="5" t="s">
        <v>79</v>
      </c>
      <c r="U1296" s="5">
        <f>IFERROR(VLOOKUP($T1296,KURALLAR!$A$32:$B$63,2,FALSE()),0)*IF(ISNUMBER($I1296),$I1296,0)</f>
        <v>12</v>
      </c>
    </row>
    <row r="1297" spans="1:21" x14ac:dyDescent="0.25">
      <c r="A1297" s="9">
        <v>1296</v>
      </c>
      <c r="B1297" s="9"/>
      <c r="C1297" s="9" t="s">
        <v>75</v>
      </c>
      <c r="D1297" s="9" t="s">
        <v>186</v>
      </c>
      <c r="E1297" s="9" t="str">
        <f>IFERROR(VLOOKUP($D1297,FIYAT!$B:$O,2,FALSE()),"")</f>
        <v>Ограничитель имп. перенапр. NU6-IIG 4Р In=25kA Uc=440B Im=65kA (R)</v>
      </c>
      <c r="F1297" s="9">
        <f>IFERROR(VLOOKUP($D1297,FIYAT!$B:$O,5,FALSE()),"")</f>
        <v>33208</v>
      </c>
      <c r="G1297" s="9">
        <f>IFERROR(VLOOKUP($D1297,FIYAT!$B:$O,8,FALSE()),"")</f>
        <v>19924.8</v>
      </c>
      <c r="H1297" s="9">
        <f t="shared" si="160"/>
        <v>19924.8</v>
      </c>
      <c r="I1297" s="6">
        <v>1</v>
      </c>
      <c r="J1297" s="9" t="str">
        <f>IFERROR(VLOOKUP($D1297,FIYAT!$B:$O,9,FALSE()),"")</f>
        <v>Шт.</v>
      </c>
      <c r="K1297" s="9" t="str">
        <f>IFERROR(VLOOKUP($D1297,FIYAT!$B:$O,4,FALSE()),"")</f>
        <v>CHINT</v>
      </c>
      <c r="L1297" s="9">
        <f t="shared" si="161"/>
        <v>19924.8</v>
      </c>
      <c r="M1297" s="9"/>
      <c r="N1297" s="9"/>
      <c r="O1297" s="9"/>
      <c r="P1297" s="9" t="str">
        <f>IF($H1297="","FIYAT_YOK",IFERROR(VLOOKUP($D1297,FIYAT!$B:$P,15,FALSE()),""))</f>
        <v>MUADIL_ONAY</v>
      </c>
      <c r="Q1297" s="9" t="s">
        <v>188</v>
      </c>
      <c r="R1297" s="9" t="s">
        <v>184</v>
      </c>
      <c r="S1297" s="9" t="s">
        <v>637</v>
      </c>
      <c r="T1297" s="9" t="s">
        <v>75</v>
      </c>
      <c r="U1297" s="9">
        <f>IFERROR(VLOOKUP($T1297,KURALLAR!$A$32:$B$63,2,FALSE()),0)*IF(ISNUMBER($I1297),$I1297,0)</f>
        <v>10</v>
      </c>
    </row>
    <row r="1298" spans="1:21" x14ac:dyDescent="0.25">
      <c r="A1298" s="5">
        <v>1297</v>
      </c>
      <c r="B1298" s="5"/>
      <c r="C1298" s="5" t="s">
        <v>192</v>
      </c>
      <c r="D1298" s="5" t="s">
        <v>190</v>
      </c>
      <c r="E1298" s="5" t="str">
        <f>IFERROR(VLOOKUP($D1298,FIYAT!$B:$O,2,FALSE()),"")</f>
        <v>Авт. выкл. NXB-63 3P 25A 6кА х-ка C (R)</v>
      </c>
      <c r="F1298" s="5">
        <f>IFERROR(VLOOKUP($D1298,FIYAT!$B:$O,5,FALSE()),"")</f>
        <v>5334</v>
      </c>
      <c r="G1298" s="5">
        <f>IFERROR(VLOOKUP($D1298,FIYAT!$B:$O,8,FALSE()),"")</f>
        <v>3200.4</v>
      </c>
      <c r="H1298" s="5">
        <f t="shared" si="160"/>
        <v>3200.4</v>
      </c>
      <c r="I1298" s="6">
        <v>1</v>
      </c>
      <c r="J1298" s="5" t="str">
        <f>IFERROR(VLOOKUP($D1298,FIYAT!$B:$O,9,FALSE()),"")</f>
        <v>Шт.</v>
      </c>
      <c r="K1298" s="5" t="str">
        <f>IFERROR(VLOOKUP($D1298,FIYAT!$B:$O,4,FALSE()),"")</f>
        <v>CHINT</v>
      </c>
      <c r="L1298" s="5">
        <f t="shared" si="161"/>
        <v>3200.4</v>
      </c>
      <c r="M1298" s="5"/>
      <c r="N1298" s="5"/>
      <c r="O1298" s="5"/>
      <c r="P1298" s="5" t="str">
        <f>IF($H1298="","FIYAT_YOK",IFERROR(VLOOKUP($D1298,FIYAT!$B:$P,15,FALSE()),""))</f>
        <v>OK</v>
      </c>
      <c r="Q1298" s="5" t="s">
        <v>193</v>
      </c>
      <c r="R1298" s="5" t="s">
        <v>171</v>
      </c>
      <c r="S1298" s="5" t="s">
        <v>637</v>
      </c>
      <c r="T1298" s="5" t="s">
        <v>51</v>
      </c>
      <c r="U1298" s="5">
        <f>IFERROR(VLOOKUP($T1298,KURALLAR!$A$32:$B$63,2,FALSE()),0)*IF(ISNUMBER($I1298),$I1298,0)</f>
        <v>8</v>
      </c>
    </row>
    <row r="1299" spans="1:21" x14ac:dyDescent="0.25">
      <c r="A1299" s="9">
        <v>1298</v>
      </c>
      <c r="B1299" s="9"/>
      <c r="C1299" s="9" t="s">
        <v>176</v>
      </c>
      <c r="D1299" s="9" t="s">
        <v>313</v>
      </c>
      <c r="E1299" s="9" t="str">
        <f>IFERROR(VLOOKUP($D1299,FIYAT!$B:$O,2,FALSE()),"")</f>
        <v>Диф. авт. выкл. NB1L-40 4P C25 30mA тип AC 6kA (R)</v>
      </c>
      <c r="F1299" s="9">
        <f>IFERROR(VLOOKUP($D1299,FIYAT!$B:$O,5,FALSE()),"")</f>
        <v>23469</v>
      </c>
      <c r="G1299" s="9">
        <f>IFERROR(VLOOKUP($D1299,FIYAT!$B:$O,8,FALSE()),"")</f>
        <v>14081.4</v>
      </c>
      <c r="H1299" s="9">
        <f t="shared" si="160"/>
        <v>14081.4</v>
      </c>
      <c r="I1299" s="6">
        <v>1</v>
      </c>
      <c r="J1299" s="9" t="str">
        <f>IFERROR(VLOOKUP($D1299,FIYAT!$B:$O,9,FALSE()),"")</f>
        <v>Шт.</v>
      </c>
      <c r="K1299" s="9" t="str">
        <f>IFERROR(VLOOKUP($D1299,FIYAT!$B:$O,4,FALSE()),"")</f>
        <v>CHINT</v>
      </c>
      <c r="L1299" s="9">
        <f t="shared" si="161"/>
        <v>14081.4</v>
      </c>
      <c r="M1299" s="9"/>
      <c r="N1299" s="9"/>
      <c r="O1299" s="9"/>
      <c r="P1299" s="9" t="str">
        <f>IF($H1299="","FIYAT_YOK",IFERROR(VLOOKUP($D1299,FIYAT!$B:$P,15,FALSE()),""))</f>
        <v>MUADIL</v>
      </c>
      <c r="Q1299" s="9" t="s">
        <v>315</v>
      </c>
      <c r="R1299" s="9" t="s">
        <v>184</v>
      </c>
      <c r="S1299" s="9" t="s">
        <v>637</v>
      </c>
      <c r="T1299" s="9" t="s">
        <v>57</v>
      </c>
      <c r="U1299" s="9">
        <f>IFERROR(VLOOKUP($T1299,KURALLAR!$A$32:$B$63,2,FALSE()),0)*IF(ISNUMBER($I1299),$I1299,0)</f>
        <v>10</v>
      </c>
    </row>
    <row r="1300" spans="1:21" x14ac:dyDescent="0.25">
      <c r="A1300" s="5">
        <v>1299</v>
      </c>
      <c r="B1300" s="5"/>
      <c r="C1300" s="5" t="s">
        <v>192</v>
      </c>
      <c r="D1300" s="5" t="s">
        <v>194</v>
      </c>
      <c r="E1300" s="5" t="str">
        <f>IFERROR(VLOOKUP($D1300,FIYAT!$B:$O,2,FALSE()),"")</f>
        <v>Авт. выкл. NXB-63 1P 16A 6кА х-ка C (R)</v>
      </c>
      <c r="F1300" s="5">
        <f>IFERROR(VLOOKUP($D1300,FIYAT!$B:$O,5,FALSE()),"")</f>
        <v>1389</v>
      </c>
      <c r="G1300" s="5">
        <f>IFERROR(VLOOKUP($D1300,FIYAT!$B:$O,8,FALSE()),"")</f>
        <v>833.4</v>
      </c>
      <c r="H1300" s="5">
        <f t="shared" si="160"/>
        <v>36669.599999999999</v>
      </c>
      <c r="I1300" s="6">
        <v>44</v>
      </c>
      <c r="J1300" s="5" t="str">
        <f>IFERROR(VLOOKUP($D1300,FIYAT!$B:$O,9,FALSE()),"")</f>
        <v>Шт.</v>
      </c>
      <c r="K1300" s="5" t="str">
        <f>IFERROR(VLOOKUP($D1300,FIYAT!$B:$O,4,FALSE()),"")</f>
        <v>CHINT</v>
      </c>
      <c r="L1300" s="5">
        <f t="shared" si="161"/>
        <v>36669.599999999999</v>
      </c>
      <c r="M1300" s="5"/>
      <c r="N1300" s="5"/>
      <c r="O1300" s="5"/>
      <c r="P1300" s="5" t="str">
        <f>IF($H1300="","FIYAT_YOK",IFERROR(VLOOKUP($D1300,FIYAT!$B:$P,15,FALSE()),""))</f>
        <v>OK</v>
      </c>
      <c r="Q1300" s="5" t="s">
        <v>196</v>
      </c>
      <c r="R1300" s="5" t="s">
        <v>171</v>
      </c>
      <c r="S1300" s="5" t="s">
        <v>637</v>
      </c>
      <c r="T1300" s="5" t="s">
        <v>47</v>
      </c>
      <c r="U1300" s="5">
        <f>IFERROR(VLOOKUP($T1300,KURALLAR!$A$32:$B$63,2,FALSE()),0)*IF(ISNUMBER($I1300),$I1300,0)</f>
        <v>132</v>
      </c>
    </row>
    <row r="1301" spans="1:21" x14ac:dyDescent="0.25">
      <c r="A1301" s="9">
        <v>1300</v>
      </c>
      <c r="B1301" s="9"/>
      <c r="C1301" s="9" t="s">
        <v>176</v>
      </c>
      <c r="D1301" s="9" t="s">
        <v>316</v>
      </c>
      <c r="E1301" s="9" t="str">
        <f>IFERROR(VLOOKUP($D1301,FIYAT!$B:$O,2,FALSE()),"")</f>
        <v>Диф. авт. выкл. NB1L 1P+N C25 30mA тип A 6kA (36mm) (R)</v>
      </c>
      <c r="F1301" s="9">
        <f>IFERROR(VLOOKUP($D1301,FIYAT!$B:$O,5,FALSE()),"")</f>
        <v>13989</v>
      </c>
      <c r="G1301" s="9">
        <f>IFERROR(VLOOKUP($D1301,FIYAT!$B:$O,8,FALSE()),"")</f>
        <v>8393.4</v>
      </c>
      <c r="H1301" s="9">
        <f t="shared" si="160"/>
        <v>8393.4</v>
      </c>
      <c r="I1301" s="6">
        <v>1</v>
      </c>
      <c r="J1301" s="9" t="str">
        <f>IFERROR(VLOOKUP($D1301,FIYAT!$B:$O,9,FALSE()),"")</f>
        <v>Шт.</v>
      </c>
      <c r="K1301" s="9" t="str">
        <f>IFERROR(VLOOKUP($D1301,FIYAT!$B:$O,4,FALSE()),"")</f>
        <v>CHINT</v>
      </c>
      <c r="L1301" s="9">
        <f t="shared" si="161"/>
        <v>8393.4</v>
      </c>
      <c r="M1301" s="9"/>
      <c r="N1301" s="9"/>
      <c r="O1301" s="9"/>
      <c r="P1301" s="9" t="str">
        <f>IF($H1301="","FIYAT_YOK",IFERROR(VLOOKUP($D1301,FIYAT!$B:$P,15,FALSE()),""))</f>
        <v>MUADIL</v>
      </c>
      <c r="Q1301" s="9" t="s">
        <v>318</v>
      </c>
      <c r="R1301" s="9" t="s">
        <v>184</v>
      </c>
      <c r="S1301" s="9" t="s">
        <v>637</v>
      </c>
      <c r="T1301" s="9" t="s">
        <v>55</v>
      </c>
      <c r="U1301" s="9">
        <f>IFERROR(VLOOKUP($T1301,KURALLAR!$A$32:$B$63,2,FALSE()),0)*IF(ISNUMBER($I1301),$I1301,0)</f>
        <v>6</v>
      </c>
    </row>
    <row r="1302" spans="1:21" x14ac:dyDescent="0.25">
      <c r="A1302" s="5">
        <v>1301</v>
      </c>
      <c r="B1302" s="5"/>
      <c r="C1302" s="5" t="s">
        <v>192</v>
      </c>
      <c r="D1302" s="5" t="s">
        <v>304</v>
      </c>
      <c r="E1302" s="5" t="str">
        <f>IFERROR(VLOOKUP($D1302,FIYAT!$B:$O,2,FALSE()),"")</f>
        <v>Авт. выкл. NXB-63 3P 16A 6кА х-ка C (R)</v>
      </c>
      <c r="F1302" s="5">
        <f>IFERROR(VLOOKUP($D1302,FIYAT!$B:$O,5,FALSE()),"")</f>
        <v>5462</v>
      </c>
      <c r="G1302" s="5">
        <f>IFERROR(VLOOKUP($D1302,FIYAT!$B:$O,8,FALSE()),"")</f>
        <v>3277.2</v>
      </c>
      <c r="H1302" s="5">
        <f t="shared" si="160"/>
        <v>9831.5999999999985</v>
      </c>
      <c r="I1302" s="6">
        <v>3</v>
      </c>
      <c r="J1302" s="5" t="str">
        <f>IFERROR(VLOOKUP($D1302,FIYAT!$B:$O,9,FALSE()),"")</f>
        <v>Шт.</v>
      </c>
      <c r="K1302" s="5" t="str">
        <f>IFERROR(VLOOKUP($D1302,FIYAT!$B:$O,4,FALSE()),"")</f>
        <v>CHINT</v>
      </c>
      <c r="L1302" s="5">
        <f t="shared" si="161"/>
        <v>9831.5999999999985</v>
      </c>
      <c r="M1302" s="5"/>
      <c r="N1302" s="5"/>
      <c r="O1302" s="5"/>
      <c r="P1302" s="5" t="str">
        <f>IF($H1302="","FIYAT_YOK",IFERROR(VLOOKUP($D1302,FIYAT!$B:$P,15,FALSE()),""))</f>
        <v>OK</v>
      </c>
      <c r="Q1302" s="5" t="s">
        <v>306</v>
      </c>
      <c r="R1302" s="5" t="s">
        <v>171</v>
      </c>
      <c r="S1302" s="5" t="s">
        <v>637</v>
      </c>
      <c r="T1302" s="5" t="s">
        <v>51</v>
      </c>
      <c r="U1302" s="5">
        <f>IFERROR(VLOOKUP($T1302,KURALLAR!$A$32:$B$63,2,FALSE()),0)*IF(ISNUMBER($I1302),$I1302,0)</f>
        <v>24</v>
      </c>
    </row>
    <row r="1303" spans="1:21" x14ac:dyDescent="0.25">
      <c r="A1303" s="9">
        <v>1302</v>
      </c>
      <c r="B1303" s="9"/>
      <c r="C1303" s="9" t="s">
        <v>192</v>
      </c>
      <c r="D1303" s="9" t="s">
        <v>206</v>
      </c>
      <c r="E1303" s="9" t="str">
        <f>IFERROR(VLOOKUP($D1303,FIYAT!$B:$O,2,FALSE()),"")</f>
        <v>Авт. выкл. NXB-63 1P 10A 6кА х-ка C (R)</v>
      </c>
      <c r="F1303" s="9">
        <f>IFERROR(VLOOKUP($D1303,FIYAT!$B:$O,5,FALSE()),"")</f>
        <v>1362</v>
      </c>
      <c r="G1303" s="9">
        <f>IFERROR(VLOOKUP($D1303,FIYAT!$B:$O,8,FALSE()),"")</f>
        <v>817.19999999999993</v>
      </c>
      <c r="H1303" s="9">
        <f t="shared" si="160"/>
        <v>1634.3999999999999</v>
      </c>
      <c r="I1303" s="6">
        <v>2</v>
      </c>
      <c r="J1303" s="9" t="str">
        <f>IFERROR(VLOOKUP($D1303,FIYAT!$B:$O,9,FALSE()),"")</f>
        <v>Шт.</v>
      </c>
      <c r="K1303" s="9" t="str">
        <f>IFERROR(VLOOKUP($D1303,FIYAT!$B:$O,4,FALSE()),"")</f>
        <v>CHINT</v>
      </c>
      <c r="L1303" s="9">
        <f t="shared" si="161"/>
        <v>1634.3999999999999</v>
      </c>
      <c r="M1303" s="9"/>
      <c r="N1303" s="9"/>
      <c r="O1303" s="9"/>
      <c r="P1303" s="9" t="str">
        <f>IF($H1303="","FIYAT_YOK",IFERROR(VLOOKUP($D1303,FIYAT!$B:$P,15,FALSE()),""))</f>
        <v>OK</v>
      </c>
      <c r="Q1303" s="9" t="s">
        <v>208</v>
      </c>
      <c r="R1303" s="9" t="s">
        <v>184</v>
      </c>
      <c r="S1303" s="9" t="s">
        <v>637</v>
      </c>
      <c r="T1303" s="9" t="s">
        <v>47</v>
      </c>
      <c r="U1303" s="9">
        <f>IFERROR(VLOOKUP($T1303,KURALLAR!$A$32:$B$63,2,FALSE()),0)*IF(ISNUMBER($I1303),$I1303,0)</f>
        <v>6</v>
      </c>
    </row>
    <row r="1304" spans="1:21" x14ac:dyDescent="0.25">
      <c r="A1304" s="5">
        <v>1303</v>
      </c>
      <c r="B1304" s="5"/>
      <c r="C1304" s="5" t="s">
        <v>93</v>
      </c>
      <c r="D1304" s="5" t="s">
        <v>209</v>
      </c>
      <c r="E1304" s="5" t="str">
        <f>IFERROR(VLOOKUP($D1304,FIYAT!$B:$O,2,FALSE()),"")</f>
        <v>Шина "N" нулевая 6х9мм на DIN-рейку в корпусном изоляторе ШНИ 12К IEK (10)</v>
      </c>
      <c r="F1304" s="5">
        <f>IFERROR(VLOOKUP($D1304,FIYAT!$B:$O,5,FALSE()),"")</f>
        <v>755</v>
      </c>
      <c r="G1304" s="5">
        <f>IFERROR(VLOOKUP($D1304,FIYAT!$B:$O,8,FALSE()),"")</f>
        <v>453</v>
      </c>
      <c r="H1304" s="5">
        <f t="shared" si="160"/>
        <v>1812</v>
      </c>
      <c r="I1304" s="6">
        <v>4</v>
      </c>
      <c r="J1304" s="5" t="str">
        <f>IFERROR(VLOOKUP($D1304,FIYAT!$B:$O,9,FALSE()),"")</f>
        <v>Шт.</v>
      </c>
      <c r="K1304" s="5" t="str">
        <f>IFERROR(VLOOKUP($D1304,FIYAT!$B:$O,4,FALSE()),"")</f>
        <v>KAZTEK</v>
      </c>
      <c r="L1304" s="5">
        <f t="shared" si="161"/>
        <v>1812</v>
      </c>
      <c r="M1304" s="5"/>
      <c r="N1304" s="5"/>
      <c r="O1304" s="5"/>
      <c r="P1304" s="5" t="str">
        <f>IF($H1304="","FIYAT_YOK",IFERROR(VLOOKUP($D1304,FIYAT!$B:$P,15,FALSE()),""))</f>
        <v>MUADIL</v>
      </c>
      <c r="Q1304" s="5" t="s">
        <v>212</v>
      </c>
      <c r="R1304" s="5" t="s">
        <v>211</v>
      </c>
      <c r="S1304" s="5" t="s">
        <v>637</v>
      </c>
      <c r="T1304" s="5" t="s">
        <v>93</v>
      </c>
      <c r="U1304" s="5">
        <f>IFERROR(VLOOKUP($T1304,KURALLAR!$A$32:$B$63,2,FALSE()),0)*IF(ISNUMBER($I1304),$I1304,0)</f>
        <v>32</v>
      </c>
    </row>
    <row r="1305" spans="1:21" x14ac:dyDescent="0.25">
      <c r="A1305" s="9">
        <v>1304</v>
      </c>
      <c r="B1305" s="9"/>
      <c r="C1305" s="9" t="s">
        <v>222</v>
      </c>
      <c r="D1305" s="9" t="s">
        <v>370</v>
      </c>
      <c r="E1305" s="9" t="str">
        <f>IFERROR(VLOOKUP($D1305,FIYAT!$B:$O,2,FALSE()),"")</f>
        <v>Мет. Корпус ЩМП- 6 (1200х750х300) IP54</v>
      </c>
      <c r="F1305" s="9">
        <f>IFERROR(VLOOKUP($D1305,FIYAT!$B:$O,5,FALSE()),"")</f>
        <v>65570</v>
      </c>
      <c r="G1305" s="9">
        <f>IFERROR(VLOOKUP($D1305,FIYAT!$B:$O,8,FALSE()),"")</f>
        <v>39342</v>
      </c>
      <c r="H1305" s="9">
        <f t="shared" si="160"/>
        <v>39342</v>
      </c>
      <c r="I1305" s="6">
        <v>1</v>
      </c>
      <c r="J1305" s="9" t="str">
        <f>IFERROR(VLOOKUP($D1305,FIYAT!$B:$O,9,FALSE()),"")</f>
        <v>Шт.</v>
      </c>
      <c r="K1305" s="9" t="str">
        <f>IFERROR(VLOOKUP($D1305,FIYAT!$B:$O,4,FALSE()),"")</f>
        <v>KAZTEK</v>
      </c>
      <c r="L1305" s="9">
        <f t="shared" si="161"/>
        <v>39342</v>
      </c>
      <c r="M1305" s="9"/>
      <c r="N1305" s="9"/>
      <c r="O1305" s="9"/>
      <c r="P1305" s="9" t="str">
        <f>IF($H1305="","FIYAT_YOK",IFERROR(VLOOKUP($D1305,FIYAT!$B:$P,15,FALSE()),""))</f>
        <v>VARSAYIM</v>
      </c>
      <c r="Q1305" s="9" t="s">
        <v>372</v>
      </c>
      <c r="R1305" s="9" t="s">
        <v>211</v>
      </c>
      <c r="S1305" s="9" t="s">
        <v>637</v>
      </c>
      <c r="T1305" s="9" t="s">
        <v>105</v>
      </c>
      <c r="U1305" s="9">
        <f>IFERROR(VLOOKUP($T1305,KURALLAR!$A$32:$B$63,2,FALSE()),0)*IF(ISNUMBER($I1305),$I1305,0)</f>
        <v>30</v>
      </c>
    </row>
    <row r="1306" spans="1:21" x14ac:dyDescent="0.25">
      <c r="A1306" s="5">
        <v>1305</v>
      </c>
      <c r="B1306" s="5"/>
      <c r="C1306" s="5" t="s">
        <v>215</v>
      </c>
      <c r="D1306" s="5" t="s">
        <v>213</v>
      </c>
      <c r="E1306" s="5" t="str">
        <f>IFERROR(VLOOKUP($D1306,FIYAT!$B:$O,2,FALSE()),"")</f>
        <v>Монтажный расходный материал (кабель, DIN-рейка, кабель-канал, клеммы, маркировка, крепёж)</v>
      </c>
      <c r="F1306" s="5">
        <f>IFERROR(VLOOKUP($D1306,FIYAT!$B:$O,5,FALSE()),"")</f>
        <v>0</v>
      </c>
      <c r="G1306" s="5" t="str">
        <f>IFERROR(VLOOKUP($D1306,FIYAT!$B:$O,8,FALSE()),"")</f>
        <v/>
      </c>
      <c r="H1306" s="5">
        <f>ROUND(SUM($H$1293:$H$1305)*KURALLAR!$B$28,0)</f>
        <v>13542</v>
      </c>
      <c r="I1306" s="6">
        <v>1</v>
      </c>
      <c r="J1306" s="5" t="str">
        <f>IFERROR(VLOOKUP($D1306,FIYAT!$B:$O,9,FALSE()),"")</f>
        <v>компл.</v>
      </c>
      <c r="K1306" s="5" t="str">
        <f>IFERROR(VLOOKUP($D1306,FIYAT!$B:$O,4,FALSE()),"")</f>
        <v>MUADIL-NET</v>
      </c>
      <c r="L1306" s="5">
        <f t="shared" si="161"/>
        <v>13542</v>
      </c>
      <c r="M1306" s="5"/>
      <c r="N1306" s="5"/>
      <c r="O1306" s="5"/>
      <c r="P1306" s="5" t="str">
        <f>IF($H1306="","FIYAT_YOK",IFERROR(VLOOKUP($D1306,FIYAT!$B:$P,15,FALSE()),""))</f>
        <v>ORAN</v>
      </c>
      <c r="Q1306" s="5" t="s">
        <v>218</v>
      </c>
      <c r="R1306" s="5" t="s">
        <v>217</v>
      </c>
      <c r="S1306" s="5" t="s">
        <v>637</v>
      </c>
      <c r="T1306" s="5"/>
      <c r="U1306" s="5">
        <v>0</v>
      </c>
    </row>
    <row r="1307" spans="1:21" x14ac:dyDescent="0.25">
      <c r="A1307" s="9">
        <v>1306</v>
      </c>
      <c r="B1307" s="9"/>
      <c r="C1307" s="9" t="s">
        <v>227</v>
      </c>
      <c r="D1307" s="9" t="s">
        <v>225</v>
      </c>
      <c r="E1307" s="9" t="str">
        <f>IFERROR(VLOOKUP($D1307,FIYAT!$B:$O,2,FALSE()),"")</f>
        <v>Сборка, кабелирование, маркировка, момент затяжки, испытания</v>
      </c>
      <c r="F1307" s="9">
        <f>IFERROR(VLOOKUP($D1307,FIYAT!$B:$O,5,FALSE()),"")</f>
        <v>100</v>
      </c>
      <c r="G1307" s="9">
        <f>IFERROR(VLOOKUP($D1307,FIYAT!$B:$O,8,FALSE()),"")</f>
        <v>100</v>
      </c>
      <c r="H1307" s="9">
        <f>IF(OR($G1307="",$I1307=""),"",$G1307*$I1307)</f>
        <v>36200</v>
      </c>
      <c r="I1307" s="6">
        <f>ROUND(SUM($U$1293:$U$1306)*KURALLAR!$B$27,0)</f>
        <v>362</v>
      </c>
      <c r="J1307" s="9" t="str">
        <f>IFERROR(VLOOKUP($D1307,FIYAT!$B:$O,9,FALSE()),"")</f>
        <v>мин</v>
      </c>
      <c r="K1307" s="9" t="str">
        <f>IFERROR(VLOOKUP($D1307,FIYAT!$B:$O,4,FALSE()),"")</f>
        <v>ISCILIK</v>
      </c>
      <c r="L1307" s="9">
        <f t="shared" si="161"/>
        <v>36200</v>
      </c>
      <c r="M1307" s="9"/>
      <c r="N1307" s="9"/>
      <c r="O1307" s="9"/>
      <c r="P1307" s="9" t="str">
        <f>IF($H1307="","FIYAT_YOK",IFERROR(VLOOKUP($D1307,FIYAT!$B:$P,15,FALSE()),""))</f>
        <v>OK</v>
      </c>
      <c r="Q1307" s="9" t="str">
        <f>CONCATENATE("montaj+test iscilik: ",TEXT($I1307,"# ##0")," dk = ",TEXT($I1307/60,"0,00")," saat (norm x test/etiket carpani)")</f>
        <v>montaj+test iscilik:  362 dk = 6,03 saat (norm x test/etiket carpani)</v>
      </c>
      <c r="R1307" s="9" t="s">
        <v>229</v>
      </c>
      <c r="S1307" s="9" t="s">
        <v>637</v>
      </c>
      <c r="T1307" s="9"/>
      <c r="U1307" s="9">
        <v>0</v>
      </c>
    </row>
    <row r="1308" spans="1:21" x14ac:dyDescent="0.25">
      <c r="A1308" s="10">
        <v>1307</v>
      </c>
      <c r="B1308" s="10" t="s">
        <v>712</v>
      </c>
      <c r="C1308" s="10"/>
      <c r="D1308" s="10"/>
      <c r="E1308" s="10"/>
      <c r="F1308" s="10"/>
      <c r="G1308" s="10"/>
      <c r="H1308" s="10">
        <f>SUBTOTAL(9,H1293:H1307)</f>
        <v>243205.99999999997</v>
      </c>
      <c r="I1308" s="10"/>
      <c r="J1308" s="10"/>
      <c r="K1308" s="10"/>
      <c r="L1308" s="10">
        <f>SUBTOTAL(9,L1293:L1307)</f>
        <v>243205.99999999997</v>
      </c>
      <c r="M1308" s="10"/>
      <c r="N1308" s="10"/>
      <c r="O1308" s="10"/>
      <c r="P1308" s="10"/>
      <c r="Q1308" s="10"/>
      <c r="R1308" s="10"/>
      <c r="S1308" s="10"/>
      <c r="T1308" s="10"/>
      <c r="U1308" s="10">
        <f>SUBTOTAL(9,U1293:U1307)</f>
        <v>315</v>
      </c>
    </row>
    <row r="1309" spans="1:21" x14ac:dyDescent="0.25">
      <c r="A1309" s="8">
        <v>1308</v>
      </c>
      <c r="B1309" s="8" t="str">
        <f>E1309</f>
        <v>BLOK B / ЭЩА-RF — НКУ 380/220В 50Гц, FORM 2B, IP31/54</v>
      </c>
      <c r="C1309" s="8" t="s">
        <v>545</v>
      </c>
      <c r="D1309" s="8"/>
      <c r="E1309" s="8" t="s">
        <v>713</v>
      </c>
      <c r="F1309" s="8"/>
      <c r="G1309" s="8"/>
      <c r="H1309" s="8"/>
      <c r="I1309" s="8">
        <v>1</v>
      </c>
      <c r="J1309" s="8" t="s">
        <v>547</v>
      </c>
      <c r="K1309" s="8"/>
      <c r="L1309" s="8"/>
      <c r="M1309" s="8"/>
      <c r="N1309" s="8"/>
      <c r="O1309" s="8"/>
      <c r="P1309" s="8" t="s">
        <v>178</v>
      </c>
      <c r="Q1309" s="8" t="s">
        <v>548</v>
      </c>
      <c r="R1309" s="8" t="s">
        <v>549</v>
      </c>
      <c r="S1309" s="8" t="s">
        <v>637</v>
      </c>
      <c r="T1309" s="8"/>
      <c r="U1309" s="8"/>
    </row>
    <row r="1310" spans="1:21" x14ac:dyDescent="0.25">
      <c r="A1310" s="5">
        <v>1309</v>
      </c>
      <c r="B1310" s="5"/>
      <c r="C1310" s="5" t="s">
        <v>169</v>
      </c>
      <c r="D1310" s="5" t="s">
        <v>352</v>
      </c>
      <c r="E1310" s="5" t="str">
        <f>IFERROR(VLOOKUP($D1310,FIYAT!$B:$O,2,FALSE()),"")</f>
        <v>Авт. выкл. NM8N-250C TM 3P 250А 36кА с рег. термомаг. расцепителем (R)</v>
      </c>
      <c r="F1310" s="5">
        <f>IFERROR(VLOOKUP($D1310,FIYAT!$B:$O,5,FALSE()),"")</f>
        <v>90077</v>
      </c>
      <c r="G1310" s="5">
        <f>IFERROR(VLOOKUP($D1310,FIYAT!$B:$O,8,FALSE()),"")</f>
        <v>54046.2</v>
      </c>
      <c r="H1310" s="5">
        <f t="shared" ref="H1310:H1326" si="162">IF(OR($G1310="",$I1310=""),"",$G1310*$I1310)</f>
        <v>54046.2</v>
      </c>
      <c r="I1310" s="6">
        <v>1</v>
      </c>
      <c r="J1310" s="5" t="str">
        <f>IFERROR(VLOOKUP($D1310,FIYAT!$B:$O,9,FALSE()),"")</f>
        <v>Шт.</v>
      </c>
      <c r="K1310" s="5" t="str">
        <f>IFERROR(VLOOKUP($D1310,FIYAT!$B:$O,4,FALSE()),"")</f>
        <v>CHINT</v>
      </c>
      <c r="L1310" s="5">
        <f t="shared" ref="L1310:L1328" si="163">IF($H1310="","",$H1310)</f>
        <v>54046.2</v>
      </c>
      <c r="M1310" s="5"/>
      <c r="N1310" s="5"/>
      <c r="O1310" s="5"/>
      <c r="P1310" s="5" t="str">
        <f>IF($H1310="","FIYAT_YOK",IFERROR(VLOOKUP($D1310,FIYAT!$B:$P,15,FALSE()),""))</f>
        <v>OK</v>
      </c>
      <c r="Q1310" s="5" t="s">
        <v>354</v>
      </c>
      <c r="R1310" s="5" t="s">
        <v>171</v>
      </c>
      <c r="S1310" s="5" t="s">
        <v>637</v>
      </c>
      <c r="T1310" s="5" t="s">
        <v>63</v>
      </c>
      <c r="U1310" s="5">
        <f>IFERROR(VLOOKUP($T1310,KURALLAR!$A$32:$B$63,2,FALSE()),0)*IF(ISNUMBER($I1310),$I1310,0)</f>
        <v>25</v>
      </c>
    </row>
    <row r="1311" spans="1:21" x14ac:dyDescent="0.25">
      <c r="A1311" s="9">
        <v>1310</v>
      </c>
      <c r="B1311" s="9"/>
      <c r="C1311" s="9" t="s">
        <v>93</v>
      </c>
      <c r="D1311" s="9" t="s">
        <v>267</v>
      </c>
      <c r="E1311" s="9" t="str">
        <f>IFERROR(VLOOKUP($D1311,FIYAT!$B:$O,2,FALSE()),"")</f>
        <v>Независимый расцепитель SHT22-M8 AC220-240V для NM8N-250/400/630 (R)</v>
      </c>
      <c r="F1311" s="9">
        <f>IFERROR(VLOOKUP($D1311,FIYAT!$B:$O,5,FALSE()),"")</f>
        <v>18552</v>
      </c>
      <c r="G1311" s="9">
        <f>IFERROR(VLOOKUP($D1311,FIYAT!$B:$O,8,FALSE()),"")</f>
        <v>11131.199999999999</v>
      </c>
      <c r="H1311" s="9">
        <f t="shared" si="162"/>
        <v>11131.199999999999</v>
      </c>
      <c r="I1311" s="6">
        <v>1</v>
      </c>
      <c r="J1311" s="9" t="str">
        <f>IFERROR(VLOOKUP($D1311,FIYAT!$B:$O,9,FALSE()),"")</f>
        <v>Шт.</v>
      </c>
      <c r="K1311" s="9" t="str">
        <f>IFERROR(VLOOKUP($D1311,FIYAT!$B:$O,4,FALSE()),"")</f>
        <v>CHINT</v>
      </c>
      <c r="L1311" s="9">
        <f t="shared" si="163"/>
        <v>11131.199999999999</v>
      </c>
      <c r="M1311" s="9"/>
      <c r="N1311" s="9"/>
      <c r="O1311" s="9"/>
      <c r="P1311" s="9" t="str">
        <f>IF($H1311="","FIYAT_YOK",IFERROR(VLOOKUP($D1311,FIYAT!$B:$P,15,FALSE()),""))</f>
        <v>OK</v>
      </c>
      <c r="Q1311" s="9" t="s">
        <v>269</v>
      </c>
      <c r="R1311" s="9" t="s">
        <v>184</v>
      </c>
      <c r="S1311" s="9" t="s">
        <v>637</v>
      </c>
      <c r="T1311" s="9" t="s">
        <v>95</v>
      </c>
      <c r="U1311" s="9">
        <f>IFERROR(VLOOKUP($T1311,KURALLAR!$A$32:$B$63,2,FALSE()),0)*IF(ISNUMBER($I1311),$I1311,0)</f>
        <v>10</v>
      </c>
    </row>
    <row r="1312" spans="1:21" x14ac:dyDescent="0.25">
      <c r="A1312" s="5">
        <v>1311</v>
      </c>
      <c r="B1312" s="5"/>
      <c r="C1312" s="5" t="s">
        <v>192</v>
      </c>
      <c r="D1312" s="5" t="s">
        <v>238</v>
      </c>
      <c r="E1312" s="5" t="str">
        <f>IFERROR(VLOOKUP($D1312,FIYAT!$B:$O,2,FALSE()),"")</f>
        <v>Авт. выкл. NXB-63 1P 6A 6кА х-ка C (R)</v>
      </c>
      <c r="F1312" s="5">
        <f>IFERROR(VLOOKUP($D1312,FIYAT!$B:$O,5,FALSE()),"")</f>
        <v>1436</v>
      </c>
      <c r="G1312" s="5">
        <f>IFERROR(VLOOKUP($D1312,FIYAT!$B:$O,8,FALSE()),"")</f>
        <v>861.6</v>
      </c>
      <c r="H1312" s="5">
        <f t="shared" si="162"/>
        <v>3446.4</v>
      </c>
      <c r="I1312" s="6">
        <v>4</v>
      </c>
      <c r="J1312" s="5" t="str">
        <f>IFERROR(VLOOKUP($D1312,FIYAT!$B:$O,9,FALSE()),"")</f>
        <v>Шт.</v>
      </c>
      <c r="K1312" s="5" t="str">
        <f>IFERROR(VLOOKUP($D1312,FIYAT!$B:$O,4,FALSE()),"")</f>
        <v>CHINT</v>
      </c>
      <c r="L1312" s="5">
        <f t="shared" si="163"/>
        <v>3446.4</v>
      </c>
      <c r="M1312" s="5"/>
      <c r="N1312" s="5"/>
      <c r="O1312" s="5"/>
      <c r="P1312" s="5" t="str">
        <f>IF($H1312="","FIYAT_YOK",IFERROR(VLOOKUP($D1312,FIYAT!$B:$P,15,FALSE()),""))</f>
        <v>OK</v>
      </c>
      <c r="Q1312" s="5" t="s">
        <v>240</v>
      </c>
      <c r="R1312" s="5" t="s">
        <v>171</v>
      </c>
      <c r="S1312" s="5" t="s">
        <v>637</v>
      </c>
      <c r="T1312" s="5" t="s">
        <v>47</v>
      </c>
      <c r="U1312" s="5">
        <f>IFERROR(VLOOKUP($T1312,KURALLAR!$A$32:$B$63,2,FALSE()),0)*IF(ISNUMBER($I1312),$I1312,0)</f>
        <v>12</v>
      </c>
    </row>
    <row r="1313" spans="1:21" x14ac:dyDescent="0.25">
      <c r="A1313" s="9">
        <v>1312</v>
      </c>
      <c r="B1313" s="9"/>
      <c r="C1313" s="9" t="s">
        <v>89</v>
      </c>
      <c r="D1313" s="9" t="s">
        <v>241</v>
      </c>
      <c r="E1313" s="9" t="str">
        <f>IFERROR(VLOOKUP($D1313,FIYAT!$B:$O,2,FALSE()),"")</f>
        <v>Индикатор ND16-22DS/4 белый АС230В (R)</v>
      </c>
      <c r="F1313" s="9">
        <f>IFERROR(VLOOKUP($D1313,FIYAT!$B:$O,5,FALSE()),"")</f>
        <v>1047</v>
      </c>
      <c r="G1313" s="9">
        <f>IFERROR(VLOOKUP($D1313,FIYAT!$B:$O,8,FALSE()),"")</f>
        <v>628.19999999999993</v>
      </c>
      <c r="H1313" s="9">
        <f t="shared" si="162"/>
        <v>1884.6</v>
      </c>
      <c r="I1313" s="6">
        <v>3</v>
      </c>
      <c r="J1313" s="9" t="str">
        <f>IFERROR(VLOOKUP($D1313,FIYAT!$B:$O,9,FALSE()),"")</f>
        <v>Шт.</v>
      </c>
      <c r="K1313" s="9" t="str">
        <f>IFERROR(VLOOKUP($D1313,FIYAT!$B:$O,4,FALSE()),"")</f>
        <v>CHINT</v>
      </c>
      <c r="L1313" s="9">
        <f t="shared" si="163"/>
        <v>1884.6</v>
      </c>
      <c r="M1313" s="9"/>
      <c r="N1313" s="9"/>
      <c r="O1313" s="9"/>
      <c r="P1313" s="9" t="str">
        <f>IF($H1313="","FIYAT_YOK",IFERROR(VLOOKUP($D1313,FIYAT!$B:$P,15,FALSE()),""))</f>
        <v>OK</v>
      </c>
      <c r="Q1313" s="9" t="s">
        <v>243</v>
      </c>
      <c r="R1313" s="9" t="s">
        <v>184</v>
      </c>
      <c r="S1313" s="9" t="s">
        <v>637</v>
      </c>
      <c r="T1313" s="9" t="s">
        <v>89</v>
      </c>
      <c r="U1313" s="9">
        <f>IFERROR(VLOOKUP($T1313,KURALLAR!$A$32:$B$63,2,FALSE()),0)*IF(ISNUMBER($I1313),$I1313,0)</f>
        <v>12</v>
      </c>
    </row>
    <row r="1314" spans="1:21" x14ac:dyDescent="0.25">
      <c r="A1314" s="5">
        <v>1313</v>
      </c>
      <c r="B1314" s="5"/>
      <c r="C1314" s="5" t="s">
        <v>79</v>
      </c>
      <c r="D1314" s="5" t="s">
        <v>179</v>
      </c>
      <c r="E1314" s="5" t="str">
        <f>IFERROR(VLOOKUP($D1314,FIYAT!$B:$O,2,FALSE()),"")</f>
        <v>Держатель плавкой вставки RT36-00-160, габарит 00, 160А</v>
      </c>
      <c r="F1314" s="5">
        <f>IFERROR(VLOOKUP($D1314,FIYAT!$B:$O,5,FALSE()),"")</f>
        <v>2038</v>
      </c>
      <c r="G1314" s="5">
        <f>IFERROR(VLOOKUP($D1314,FIYAT!$B:$O,8,FALSE()),"")</f>
        <v>1222.8</v>
      </c>
      <c r="H1314" s="5">
        <f t="shared" si="162"/>
        <v>4891.2</v>
      </c>
      <c r="I1314" s="6">
        <v>4</v>
      </c>
      <c r="J1314" s="5" t="str">
        <f>IFERROR(VLOOKUP($D1314,FIYAT!$B:$O,9,FALSE()),"")</f>
        <v>Шт.</v>
      </c>
      <c r="K1314" s="5" t="str">
        <f>IFERROR(VLOOKUP($D1314,FIYAT!$B:$O,4,FALSE()),"")</f>
        <v>CHINT</v>
      </c>
      <c r="L1314" s="5">
        <f t="shared" si="163"/>
        <v>4891.2</v>
      </c>
      <c r="M1314" s="5"/>
      <c r="N1314" s="5"/>
      <c r="O1314" s="5"/>
      <c r="P1314" s="5" t="str">
        <f>IF($H1314="","FIYAT_YOK",IFERROR(VLOOKUP($D1314,FIYAT!$B:$P,15,FALSE()),""))</f>
        <v>MUADIL</v>
      </c>
      <c r="Q1314" s="5" t="s">
        <v>181</v>
      </c>
      <c r="R1314" s="5" t="s">
        <v>171</v>
      </c>
      <c r="S1314" s="5" t="s">
        <v>637</v>
      </c>
      <c r="T1314" s="5" t="s">
        <v>77</v>
      </c>
      <c r="U1314" s="5">
        <f>IFERROR(VLOOKUP($T1314,KURALLAR!$A$32:$B$63,2,FALSE()),0)*IF(ISNUMBER($I1314),$I1314,0)</f>
        <v>20</v>
      </c>
    </row>
    <row r="1315" spans="1:21" x14ac:dyDescent="0.25">
      <c r="A1315" s="9">
        <v>1314</v>
      </c>
      <c r="B1315" s="9"/>
      <c r="C1315" s="9" t="s">
        <v>79</v>
      </c>
      <c r="D1315" s="9" t="s">
        <v>182</v>
      </c>
      <c r="E1315" s="9" t="str">
        <f>IFERROR(VLOOKUP($D1315,FIYAT!$B:$O,2,FALSE()),"")</f>
        <v>Плавкая вставка предохранителя RT36-00-160, габарит 00, 63А</v>
      </c>
      <c r="F1315" s="9">
        <f>IFERROR(VLOOKUP($D1315,FIYAT!$B:$O,5,FALSE()),"")</f>
        <v>1525</v>
      </c>
      <c r="G1315" s="9">
        <f>IFERROR(VLOOKUP($D1315,FIYAT!$B:$O,8,FALSE()),"")</f>
        <v>915</v>
      </c>
      <c r="H1315" s="9">
        <f t="shared" si="162"/>
        <v>3660</v>
      </c>
      <c r="I1315" s="6">
        <v>4</v>
      </c>
      <c r="J1315" s="9" t="str">
        <f>IFERROR(VLOOKUP($D1315,FIYAT!$B:$O,9,FALSE()),"")</f>
        <v>Шт.</v>
      </c>
      <c r="K1315" s="9" t="str">
        <f>IFERROR(VLOOKUP($D1315,FIYAT!$B:$O,4,FALSE()),"")</f>
        <v>CHINT</v>
      </c>
      <c r="L1315" s="9">
        <f t="shared" si="163"/>
        <v>3660</v>
      </c>
      <c r="M1315" s="9"/>
      <c r="N1315" s="9"/>
      <c r="O1315" s="9"/>
      <c r="P1315" s="9" t="str">
        <f>IF($H1315="","FIYAT_YOK",IFERROR(VLOOKUP($D1315,FIYAT!$B:$P,15,FALSE()),""))</f>
        <v>MUADIL</v>
      </c>
      <c r="Q1315" s="9" t="s">
        <v>185</v>
      </c>
      <c r="R1315" s="9" t="s">
        <v>184</v>
      </c>
      <c r="S1315" s="9" t="s">
        <v>637</v>
      </c>
      <c r="T1315" s="9" t="s">
        <v>79</v>
      </c>
      <c r="U1315" s="9">
        <f>IFERROR(VLOOKUP($T1315,KURALLAR!$A$32:$B$63,2,FALSE()),0)*IF(ISNUMBER($I1315),$I1315,0)</f>
        <v>12</v>
      </c>
    </row>
    <row r="1316" spans="1:21" x14ac:dyDescent="0.25">
      <c r="A1316" s="5">
        <v>1315</v>
      </c>
      <c r="B1316" s="5"/>
      <c r="C1316" s="5" t="s">
        <v>75</v>
      </c>
      <c r="D1316" s="5" t="s">
        <v>186</v>
      </c>
      <c r="E1316" s="5" t="str">
        <f>IFERROR(VLOOKUP($D1316,FIYAT!$B:$O,2,FALSE()),"")</f>
        <v>Ограничитель имп. перенапр. NU6-IIG 4Р In=25kA Uc=440B Im=65kA (R)</v>
      </c>
      <c r="F1316" s="5">
        <f>IFERROR(VLOOKUP($D1316,FIYAT!$B:$O,5,FALSE()),"")</f>
        <v>33208</v>
      </c>
      <c r="G1316" s="5">
        <f>IFERROR(VLOOKUP($D1316,FIYAT!$B:$O,8,FALSE()),"")</f>
        <v>19924.8</v>
      </c>
      <c r="H1316" s="5">
        <f t="shared" si="162"/>
        <v>19924.8</v>
      </c>
      <c r="I1316" s="6">
        <v>1</v>
      </c>
      <c r="J1316" s="5" t="str">
        <f>IFERROR(VLOOKUP($D1316,FIYAT!$B:$O,9,FALSE()),"")</f>
        <v>Шт.</v>
      </c>
      <c r="K1316" s="5" t="str">
        <f>IFERROR(VLOOKUP($D1316,FIYAT!$B:$O,4,FALSE()),"")</f>
        <v>CHINT</v>
      </c>
      <c r="L1316" s="5">
        <f t="shared" si="163"/>
        <v>19924.8</v>
      </c>
      <c r="M1316" s="5"/>
      <c r="N1316" s="5"/>
      <c r="O1316" s="5"/>
      <c r="P1316" s="5" t="str">
        <f>IF($H1316="","FIYAT_YOK",IFERROR(VLOOKUP($D1316,FIYAT!$B:$P,15,FALSE()),""))</f>
        <v>MUADIL_ONAY</v>
      </c>
      <c r="Q1316" s="5" t="s">
        <v>188</v>
      </c>
      <c r="R1316" s="5" t="s">
        <v>184</v>
      </c>
      <c r="S1316" s="5" t="s">
        <v>637</v>
      </c>
      <c r="T1316" s="5" t="s">
        <v>75</v>
      </c>
      <c r="U1316" s="5">
        <f>IFERROR(VLOOKUP($T1316,KURALLAR!$A$32:$B$63,2,FALSE()),0)*IF(ISNUMBER($I1316),$I1316,0)</f>
        <v>10</v>
      </c>
    </row>
    <row r="1317" spans="1:21" x14ac:dyDescent="0.25">
      <c r="A1317" s="9">
        <v>1316</v>
      </c>
      <c r="B1317" s="9"/>
      <c r="C1317" s="9" t="s">
        <v>192</v>
      </c>
      <c r="D1317" s="9" t="s">
        <v>335</v>
      </c>
      <c r="E1317" s="9" t="str">
        <f>IFERROR(VLOOKUP($D1317,FIYAT!$B:$O,2,FALSE()),"")</f>
        <v>Авт. выкл. NXB-63 3P 63A 6кА х-ка C (R)</v>
      </c>
      <c r="F1317" s="9">
        <f>IFERROR(VLOOKUP($D1317,FIYAT!$B:$O,5,FALSE()),"")</f>
        <v>6071</v>
      </c>
      <c r="G1317" s="9">
        <f>IFERROR(VLOOKUP($D1317,FIYAT!$B:$O,8,FALSE()),"")</f>
        <v>3642.6</v>
      </c>
      <c r="H1317" s="9">
        <f t="shared" si="162"/>
        <v>3642.6</v>
      </c>
      <c r="I1317" s="6">
        <v>1</v>
      </c>
      <c r="J1317" s="9" t="str">
        <f>IFERROR(VLOOKUP($D1317,FIYAT!$B:$O,9,FALSE()),"")</f>
        <v>Шт.</v>
      </c>
      <c r="K1317" s="9" t="str">
        <f>IFERROR(VLOOKUP($D1317,FIYAT!$B:$O,4,FALSE()),"")</f>
        <v>CHINT</v>
      </c>
      <c r="L1317" s="9">
        <f t="shared" si="163"/>
        <v>3642.6</v>
      </c>
      <c r="M1317" s="9"/>
      <c r="N1317" s="9"/>
      <c r="O1317" s="9"/>
      <c r="P1317" s="9" t="str">
        <f>IF($H1317="","FIYAT_YOK",IFERROR(VLOOKUP($D1317,FIYAT!$B:$P,15,FALSE()),""))</f>
        <v>OK</v>
      </c>
      <c r="Q1317" s="9" t="s">
        <v>337</v>
      </c>
      <c r="R1317" s="9" t="s">
        <v>171</v>
      </c>
      <c r="S1317" s="9" t="s">
        <v>637</v>
      </c>
      <c r="T1317" s="9" t="s">
        <v>51</v>
      </c>
      <c r="U1317" s="9">
        <f>IFERROR(VLOOKUP($T1317,KURALLAR!$A$32:$B$63,2,FALSE()),0)*IF(ISNUMBER($I1317),$I1317,0)</f>
        <v>8</v>
      </c>
    </row>
    <row r="1318" spans="1:21" x14ac:dyDescent="0.25">
      <c r="A1318" s="5">
        <v>1317</v>
      </c>
      <c r="B1318" s="5"/>
      <c r="C1318" s="5" t="s">
        <v>192</v>
      </c>
      <c r="D1318" s="5" t="s">
        <v>338</v>
      </c>
      <c r="E1318" s="5" t="str">
        <f>IFERROR(VLOOKUP($D1318,FIYAT!$B:$O,2,FALSE()),"")</f>
        <v>Авт. выкл. NXB-63 3P 50A 6кА х-ка C (R)</v>
      </c>
      <c r="F1318" s="5">
        <f>IFERROR(VLOOKUP($D1318,FIYAT!$B:$O,5,FALSE()),"")</f>
        <v>5719</v>
      </c>
      <c r="G1318" s="5">
        <f>IFERROR(VLOOKUP($D1318,FIYAT!$B:$O,8,FALSE()),"")</f>
        <v>3431.4</v>
      </c>
      <c r="H1318" s="5">
        <f t="shared" si="162"/>
        <v>3431.4</v>
      </c>
      <c r="I1318" s="6">
        <v>1</v>
      </c>
      <c r="J1318" s="5" t="str">
        <f>IFERROR(VLOOKUP($D1318,FIYAT!$B:$O,9,FALSE()),"")</f>
        <v>Шт.</v>
      </c>
      <c r="K1318" s="5" t="str">
        <f>IFERROR(VLOOKUP($D1318,FIYAT!$B:$O,4,FALSE()),"")</f>
        <v>CHINT</v>
      </c>
      <c r="L1318" s="5">
        <f t="shared" si="163"/>
        <v>3431.4</v>
      </c>
      <c r="M1318" s="5"/>
      <c r="N1318" s="5"/>
      <c r="O1318" s="5"/>
      <c r="P1318" s="5" t="str">
        <f>IF($H1318="","FIYAT_YOK",IFERROR(VLOOKUP($D1318,FIYAT!$B:$P,15,FALSE()),""))</f>
        <v>OK</v>
      </c>
      <c r="Q1318" s="5" t="s">
        <v>340</v>
      </c>
      <c r="R1318" s="5" t="s">
        <v>171</v>
      </c>
      <c r="S1318" s="5" t="s">
        <v>637</v>
      </c>
      <c r="T1318" s="5" t="s">
        <v>51</v>
      </c>
      <c r="U1318" s="5">
        <f>IFERROR(VLOOKUP($T1318,KURALLAR!$A$32:$B$63,2,FALSE()),0)*IF(ISNUMBER($I1318),$I1318,0)</f>
        <v>8</v>
      </c>
    </row>
    <row r="1319" spans="1:21" x14ac:dyDescent="0.25">
      <c r="A1319" s="9">
        <v>1318</v>
      </c>
      <c r="B1319" s="9"/>
      <c r="C1319" s="9" t="s">
        <v>192</v>
      </c>
      <c r="D1319" s="9" t="s">
        <v>190</v>
      </c>
      <c r="E1319" s="9" t="str">
        <f>IFERROR(VLOOKUP($D1319,FIYAT!$B:$O,2,FALSE()),"")</f>
        <v>Авт. выкл. NXB-63 3P 25A 6кА х-ка C (R)</v>
      </c>
      <c r="F1319" s="9">
        <f>IFERROR(VLOOKUP($D1319,FIYAT!$B:$O,5,FALSE()),"")</f>
        <v>5334</v>
      </c>
      <c r="G1319" s="9">
        <f>IFERROR(VLOOKUP($D1319,FIYAT!$B:$O,8,FALSE()),"")</f>
        <v>3200.4</v>
      </c>
      <c r="H1319" s="9">
        <f t="shared" si="162"/>
        <v>25603.200000000001</v>
      </c>
      <c r="I1319" s="6">
        <v>8</v>
      </c>
      <c r="J1319" s="9" t="str">
        <f>IFERROR(VLOOKUP($D1319,FIYAT!$B:$O,9,FALSE()),"")</f>
        <v>Шт.</v>
      </c>
      <c r="K1319" s="9" t="str">
        <f>IFERROR(VLOOKUP($D1319,FIYAT!$B:$O,4,FALSE()),"")</f>
        <v>CHINT</v>
      </c>
      <c r="L1319" s="9">
        <f t="shared" si="163"/>
        <v>25603.200000000001</v>
      </c>
      <c r="M1319" s="9"/>
      <c r="N1319" s="9"/>
      <c r="O1319" s="9"/>
      <c r="P1319" s="9" t="str">
        <f>IF($H1319="","FIYAT_YOK",IFERROR(VLOOKUP($D1319,FIYAT!$B:$P,15,FALSE()),""))</f>
        <v>OK</v>
      </c>
      <c r="Q1319" s="9" t="s">
        <v>193</v>
      </c>
      <c r="R1319" s="9" t="s">
        <v>171</v>
      </c>
      <c r="S1319" s="9" t="s">
        <v>637</v>
      </c>
      <c r="T1319" s="9" t="s">
        <v>51</v>
      </c>
      <c r="U1319" s="9">
        <f>IFERROR(VLOOKUP($T1319,KURALLAR!$A$32:$B$63,2,FALSE()),0)*IF(ISNUMBER($I1319),$I1319,0)</f>
        <v>64</v>
      </c>
    </row>
    <row r="1320" spans="1:21" x14ac:dyDescent="0.25">
      <c r="A1320" s="5">
        <v>1319</v>
      </c>
      <c r="B1320" s="5"/>
      <c r="C1320" s="5" t="s">
        <v>192</v>
      </c>
      <c r="D1320" s="5" t="s">
        <v>304</v>
      </c>
      <c r="E1320" s="5" t="str">
        <f>IFERROR(VLOOKUP($D1320,FIYAT!$B:$O,2,FALSE()),"")</f>
        <v>Авт. выкл. NXB-63 3P 16A 6кА х-ка C (R)</v>
      </c>
      <c r="F1320" s="5">
        <f>IFERROR(VLOOKUP($D1320,FIYAT!$B:$O,5,FALSE()),"")</f>
        <v>5462</v>
      </c>
      <c r="G1320" s="5">
        <f>IFERROR(VLOOKUP($D1320,FIYAT!$B:$O,8,FALSE()),"")</f>
        <v>3277.2</v>
      </c>
      <c r="H1320" s="5">
        <f t="shared" si="162"/>
        <v>9831.5999999999985</v>
      </c>
      <c r="I1320" s="6">
        <v>3</v>
      </c>
      <c r="J1320" s="5" t="str">
        <f>IFERROR(VLOOKUP($D1320,FIYAT!$B:$O,9,FALSE()),"")</f>
        <v>Шт.</v>
      </c>
      <c r="K1320" s="5" t="str">
        <f>IFERROR(VLOOKUP($D1320,FIYAT!$B:$O,4,FALSE()),"")</f>
        <v>CHINT</v>
      </c>
      <c r="L1320" s="5">
        <f t="shared" si="163"/>
        <v>9831.5999999999985</v>
      </c>
      <c r="M1320" s="5"/>
      <c r="N1320" s="5"/>
      <c r="O1320" s="5"/>
      <c r="P1320" s="5" t="str">
        <f>IF($H1320="","FIYAT_YOK",IFERROR(VLOOKUP($D1320,FIYAT!$B:$P,15,FALSE()),""))</f>
        <v>OK</v>
      </c>
      <c r="Q1320" s="5" t="s">
        <v>306</v>
      </c>
      <c r="R1320" s="5" t="s">
        <v>171</v>
      </c>
      <c r="S1320" s="5" t="s">
        <v>637</v>
      </c>
      <c r="T1320" s="5" t="s">
        <v>51</v>
      </c>
      <c r="U1320" s="5">
        <f>IFERROR(VLOOKUP($T1320,KURALLAR!$A$32:$B$63,2,FALSE()),0)*IF(ISNUMBER($I1320),$I1320,0)</f>
        <v>24</v>
      </c>
    </row>
    <row r="1321" spans="1:21" x14ac:dyDescent="0.25">
      <c r="A1321" s="9">
        <v>1320</v>
      </c>
      <c r="B1321" s="9"/>
      <c r="C1321" s="9" t="s">
        <v>192</v>
      </c>
      <c r="D1321" s="9" t="s">
        <v>355</v>
      </c>
      <c r="E1321" s="9" t="str">
        <f>IFERROR(VLOOKUP($D1321,FIYAT!$B:$O,2,FALSE()),"")</f>
        <v>Авт. выкл. NXB-63 3P 10A 6кА х-ка C (R)</v>
      </c>
      <c r="F1321" s="9">
        <f>IFERROR(VLOOKUP($D1321,FIYAT!$B:$O,5,FALSE()),"")</f>
        <v>5878</v>
      </c>
      <c r="G1321" s="9">
        <f>IFERROR(VLOOKUP($D1321,FIYAT!$B:$O,8,FALSE()),"")</f>
        <v>3526.7999999999997</v>
      </c>
      <c r="H1321" s="9">
        <f t="shared" si="162"/>
        <v>7053.5999999999995</v>
      </c>
      <c r="I1321" s="6">
        <v>2</v>
      </c>
      <c r="J1321" s="9" t="str">
        <f>IFERROR(VLOOKUP($D1321,FIYAT!$B:$O,9,FALSE()),"")</f>
        <v>Шт.</v>
      </c>
      <c r="K1321" s="9" t="str">
        <f>IFERROR(VLOOKUP($D1321,FIYAT!$B:$O,4,FALSE()),"")</f>
        <v>CHINT</v>
      </c>
      <c r="L1321" s="9">
        <f t="shared" si="163"/>
        <v>7053.5999999999995</v>
      </c>
      <c r="M1321" s="9"/>
      <c r="N1321" s="9"/>
      <c r="O1321" s="9"/>
      <c r="P1321" s="9" t="str">
        <f>IF($H1321="","FIYAT_YOK",IFERROR(VLOOKUP($D1321,FIYAT!$B:$P,15,FALSE()),""))</f>
        <v>OK</v>
      </c>
      <c r="Q1321" s="9" t="s">
        <v>357</v>
      </c>
      <c r="R1321" s="9" t="s">
        <v>184</v>
      </c>
      <c r="S1321" s="9" t="s">
        <v>637</v>
      </c>
      <c r="T1321" s="9" t="s">
        <v>51</v>
      </c>
      <c r="U1321" s="9">
        <f>IFERROR(VLOOKUP($T1321,KURALLAR!$A$32:$B$63,2,FALSE()),0)*IF(ISNUMBER($I1321),$I1321,0)</f>
        <v>16</v>
      </c>
    </row>
    <row r="1322" spans="1:21" x14ac:dyDescent="0.25">
      <c r="A1322" s="5">
        <v>1321</v>
      </c>
      <c r="B1322" s="5"/>
      <c r="C1322" s="5" t="s">
        <v>169</v>
      </c>
      <c r="D1322" s="5" t="s">
        <v>358</v>
      </c>
      <c r="E1322" s="5" t="str">
        <f>IFERROR(VLOOKUP($D1322,FIYAT!$B:$O,2,FALSE()),"")</f>
        <v>Пускатель NS2-80B 56A-80A (R)</v>
      </c>
      <c r="F1322" s="5">
        <f>IFERROR(VLOOKUP($D1322,FIYAT!$B:$O,5,FALSE()),"")</f>
        <v>36692</v>
      </c>
      <c r="G1322" s="5">
        <f>IFERROR(VLOOKUP($D1322,FIYAT!$B:$O,8,FALSE()),"")</f>
        <v>22015.200000000001</v>
      </c>
      <c r="H1322" s="5">
        <f t="shared" si="162"/>
        <v>44030.400000000001</v>
      </c>
      <c r="I1322" s="6">
        <v>2</v>
      </c>
      <c r="J1322" s="5" t="str">
        <f>IFERROR(VLOOKUP($D1322,FIYAT!$B:$O,9,FALSE()),"")</f>
        <v>Шт.</v>
      </c>
      <c r="K1322" s="5" t="str">
        <f>IFERROR(VLOOKUP($D1322,FIYAT!$B:$O,4,FALSE()),"")</f>
        <v>CHINT</v>
      </c>
      <c r="L1322" s="5">
        <f t="shared" si="163"/>
        <v>44030.400000000001</v>
      </c>
      <c r="M1322" s="5"/>
      <c r="N1322" s="5"/>
      <c r="O1322" s="5"/>
      <c r="P1322" s="5" t="str">
        <f>IF($H1322="","FIYAT_YOK",IFERROR(VLOOKUP($D1322,FIYAT!$B:$P,15,FALSE()),""))</f>
        <v>MUADIL</v>
      </c>
      <c r="Q1322" s="5" t="s">
        <v>360</v>
      </c>
      <c r="R1322" s="5" t="s">
        <v>171</v>
      </c>
      <c r="S1322" s="5" t="s">
        <v>637</v>
      </c>
      <c r="T1322" s="5" t="s">
        <v>71</v>
      </c>
      <c r="U1322" s="5">
        <f>IFERROR(VLOOKUP($T1322,KURALLAR!$A$32:$B$63,2,FALSE()),0)*IF(ISNUMBER($I1322),$I1322,0)</f>
        <v>24</v>
      </c>
    </row>
    <row r="1323" spans="1:21" x14ac:dyDescent="0.25">
      <c r="A1323" s="9">
        <v>1322</v>
      </c>
      <c r="B1323" s="9"/>
      <c r="C1323" s="9" t="s">
        <v>169</v>
      </c>
      <c r="D1323" s="9" t="s">
        <v>376</v>
      </c>
      <c r="E1323" s="9" t="str">
        <f>IFERROR(VLOOKUP($D1323,FIYAT!$B:$O,2,FALSE()),"")</f>
        <v>Пускатель NS2-80B 40A-63A (R)</v>
      </c>
      <c r="F1323" s="9">
        <f>IFERROR(VLOOKUP($D1323,FIYAT!$B:$O,5,FALSE()),"")</f>
        <v>36692</v>
      </c>
      <c r="G1323" s="9">
        <f>IFERROR(VLOOKUP($D1323,FIYAT!$B:$O,8,FALSE()),"")</f>
        <v>22015.200000000001</v>
      </c>
      <c r="H1323" s="9">
        <f t="shared" si="162"/>
        <v>176121.60000000001</v>
      </c>
      <c r="I1323" s="6">
        <v>8</v>
      </c>
      <c r="J1323" s="9" t="str">
        <f>IFERROR(VLOOKUP($D1323,FIYAT!$B:$O,9,FALSE()),"")</f>
        <v>Шт.</v>
      </c>
      <c r="K1323" s="9" t="str">
        <f>IFERROR(VLOOKUP($D1323,FIYAT!$B:$O,4,FALSE()),"")</f>
        <v>CHINT</v>
      </c>
      <c r="L1323" s="9">
        <f t="shared" si="163"/>
        <v>176121.60000000001</v>
      </c>
      <c r="M1323" s="9"/>
      <c r="N1323" s="9"/>
      <c r="O1323" s="9"/>
      <c r="P1323" s="9" t="str">
        <f>IF($H1323="","FIYAT_YOK",IFERROR(VLOOKUP($D1323,FIYAT!$B:$P,15,FALSE()),""))</f>
        <v>MUADIL</v>
      </c>
      <c r="Q1323" s="9" t="s">
        <v>378</v>
      </c>
      <c r="R1323" s="9" t="s">
        <v>171</v>
      </c>
      <c r="S1323" s="9" t="s">
        <v>637</v>
      </c>
      <c r="T1323" s="9" t="s">
        <v>71</v>
      </c>
      <c r="U1323" s="9">
        <f>IFERROR(VLOOKUP($T1323,KURALLAR!$A$32:$B$63,2,FALSE()),0)*IF(ISNUMBER($I1323),$I1323,0)</f>
        <v>96</v>
      </c>
    </row>
    <row r="1324" spans="1:21" x14ac:dyDescent="0.25">
      <c r="A1324" s="5">
        <v>1323</v>
      </c>
      <c r="B1324" s="5"/>
      <c r="C1324" s="5" t="s">
        <v>169</v>
      </c>
      <c r="D1324" s="5" t="s">
        <v>364</v>
      </c>
      <c r="E1324" s="5" t="str">
        <f>IFERROR(VLOOKUP($D1324,FIYAT!$B:$O,2,FALSE()),"")</f>
        <v>Пускатель NS2-25 6-10A (R)</v>
      </c>
      <c r="F1324" s="5">
        <f>IFERROR(VLOOKUP($D1324,FIYAT!$B:$O,5,FALSE()),"")</f>
        <v>12904</v>
      </c>
      <c r="G1324" s="5">
        <f>IFERROR(VLOOKUP($D1324,FIYAT!$B:$O,8,FALSE()),"")</f>
        <v>7742.4</v>
      </c>
      <c r="H1324" s="5">
        <f t="shared" si="162"/>
        <v>46454.399999999994</v>
      </c>
      <c r="I1324" s="6">
        <v>6</v>
      </c>
      <c r="J1324" s="5" t="str">
        <f>IFERROR(VLOOKUP($D1324,FIYAT!$B:$O,9,FALSE()),"")</f>
        <v>Шт.</v>
      </c>
      <c r="K1324" s="5" t="str">
        <f>IFERROR(VLOOKUP($D1324,FIYAT!$B:$O,4,FALSE()),"")</f>
        <v>CHINT</v>
      </c>
      <c r="L1324" s="5">
        <f t="shared" si="163"/>
        <v>46454.399999999994</v>
      </c>
      <c r="M1324" s="5"/>
      <c r="N1324" s="5"/>
      <c r="O1324" s="5"/>
      <c r="P1324" s="5" t="str">
        <f>IF($H1324="","FIYAT_YOK",IFERROR(VLOOKUP($D1324,FIYAT!$B:$P,15,FALSE()),""))</f>
        <v>MUADIL</v>
      </c>
      <c r="Q1324" s="5" t="s">
        <v>366</v>
      </c>
      <c r="R1324" s="5" t="s">
        <v>184</v>
      </c>
      <c r="S1324" s="5" t="s">
        <v>637</v>
      </c>
      <c r="T1324" s="5" t="s">
        <v>71</v>
      </c>
      <c r="U1324" s="5">
        <f>IFERROR(VLOOKUP($T1324,KURALLAR!$A$32:$B$63,2,FALSE()),0)*IF(ISNUMBER($I1324),$I1324,0)</f>
        <v>72</v>
      </c>
    </row>
    <row r="1325" spans="1:21" x14ac:dyDescent="0.25">
      <c r="A1325" s="9">
        <v>1324</v>
      </c>
      <c r="B1325" s="9"/>
      <c r="C1325" s="9" t="s">
        <v>253</v>
      </c>
      <c r="D1325" s="9" t="s">
        <v>251</v>
      </c>
      <c r="E1325" s="9" t="str">
        <f>IFERROR(VLOOKUP($D1325,FIYAT!$B:$O,2,FALSE()),"")</f>
        <v>Шина алюминиевая твёрдая (ШАТ)</v>
      </c>
      <c r="F1325" s="9">
        <f>IFERROR(VLOOKUP($D1325,FIYAT!$B:$O,5,FALSE()),"")</f>
        <v>4493.5999999999995</v>
      </c>
      <c r="G1325" s="9">
        <f>IFERROR(VLOOKUP($D1325,FIYAT!$B:$O,8,FALSE()),"")</f>
        <v>4493.5999999999995</v>
      </c>
      <c r="H1325" s="9">
        <f t="shared" si="162"/>
        <v>107846.39999999999</v>
      </c>
      <c r="I1325" s="6">
        <v>24</v>
      </c>
      <c r="J1325" s="9" t="str">
        <f>IFERROR(VLOOKUP($D1325,FIYAT!$B:$O,9,FALSE()),"")</f>
        <v>Кг.</v>
      </c>
      <c r="K1325" s="9" t="str">
        <f>IFERROR(VLOOKUP($D1325,FIYAT!$B:$O,4,FALSE()),"")</f>
        <v>ALUM-BARA</v>
      </c>
      <c r="L1325" s="9">
        <f t="shared" si="163"/>
        <v>107846.39999999999</v>
      </c>
      <c r="M1325" s="9"/>
      <c r="N1325" s="9"/>
      <c r="O1325" s="9"/>
      <c r="P1325" s="9" t="str">
        <f>IF($H1325="","FIYAT_YOK",IFERROR(VLOOKUP($D1325,FIYAT!$B:$P,15,FALSE()),""))</f>
        <v>VARSAYIM</v>
      </c>
      <c r="Q1325" s="9" t="s">
        <v>255</v>
      </c>
      <c r="R1325" s="9"/>
      <c r="S1325" s="9" t="s">
        <v>637</v>
      </c>
      <c r="T1325" s="9" t="s">
        <v>101</v>
      </c>
      <c r="U1325" s="9">
        <f>IFERROR(VLOOKUP($T1325,KURALLAR!$A$32:$B$63,2,FALSE()),0)*IF(ISNUMBER($I1325),$I1325,0)</f>
        <v>144</v>
      </c>
    </row>
    <row r="1326" spans="1:21" x14ac:dyDescent="0.25">
      <c r="A1326" s="5">
        <v>1325</v>
      </c>
      <c r="B1326" s="5"/>
      <c r="C1326" s="5" t="s">
        <v>222</v>
      </c>
      <c r="D1326" s="5" t="s">
        <v>256</v>
      </c>
      <c r="E1326" s="5" t="str">
        <f>IFERROR(VLOOKUP($D1326,FIYAT!$B:$O,2,FALSE()),"")</f>
        <v>Щит (moduler) 2000x800x800+100</v>
      </c>
      <c r="F1326" s="5">
        <f>IFERROR(VLOOKUP($D1326,FIYAT!$B:$O,5,FALSE()),"")</f>
        <v>197400</v>
      </c>
      <c r="G1326" s="5">
        <f>IFERROR(VLOOKUP($D1326,FIYAT!$B:$O,8,FALSE()),"")</f>
        <v>118440</v>
      </c>
      <c r="H1326" s="5">
        <f t="shared" si="162"/>
        <v>118440</v>
      </c>
      <c r="I1326" s="6">
        <v>1</v>
      </c>
      <c r="J1326" s="5" t="str">
        <f>IFERROR(VLOOKUP($D1326,FIYAT!$B:$O,9,FALSE()),"")</f>
        <v>Шт.</v>
      </c>
      <c r="K1326" s="5" t="str">
        <f>IFERROR(VLOOKUP($D1326,FIYAT!$B:$O,4,FALSE()),"")</f>
        <v>KAZTEK</v>
      </c>
      <c r="L1326" s="5">
        <f t="shared" si="163"/>
        <v>118440</v>
      </c>
      <c r="M1326" s="5"/>
      <c r="N1326" s="5"/>
      <c r="O1326" s="5"/>
      <c r="P1326" s="5" t="str">
        <f>IF($H1326="","FIYAT_YOK",IFERROR(VLOOKUP($D1326,FIYAT!$B:$P,15,FALSE()),""))</f>
        <v>VARSAYIM</v>
      </c>
      <c r="Q1326" s="5" t="s">
        <v>258</v>
      </c>
      <c r="R1326" s="5" t="s">
        <v>211</v>
      </c>
      <c r="S1326" s="5" t="s">
        <v>637</v>
      </c>
      <c r="T1326" s="5" t="s">
        <v>107</v>
      </c>
      <c r="U1326" s="5">
        <f>IFERROR(VLOOKUP($T1326,KURALLAR!$A$32:$B$63,2,FALSE()),0)*IF(ISNUMBER($I1326),$I1326,0)</f>
        <v>90</v>
      </c>
    </row>
    <row r="1327" spans="1:21" x14ac:dyDescent="0.25">
      <c r="A1327" s="9">
        <v>1326</v>
      </c>
      <c r="B1327" s="9"/>
      <c r="C1327" s="9" t="s">
        <v>215</v>
      </c>
      <c r="D1327" s="9" t="s">
        <v>213</v>
      </c>
      <c r="E1327" s="9" t="str">
        <f>IFERROR(VLOOKUP($D1327,FIYAT!$B:$O,2,FALSE()),"")</f>
        <v>Монтажный расходный материал (кабель, DIN-рейка, кабель-канал, клеммы, маркировка, крепёж)</v>
      </c>
      <c r="F1327" s="9">
        <f>IFERROR(VLOOKUP($D1327,FIYAT!$B:$O,5,FALSE()),"")</f>
        <v>0</v>
      </c>
      <c r="G1327" s="9" t="str">
        <f>IFERROR(VLOOKUP($D1327,FIYAT!$B:$O,8,FALSE()),"")</f>
        <v/>
      </c>
      <c r="H1327" s="9">
        <f>ROUND(SUM($H$1310:$H$1326)*KURALLAR!$B$28,0)</f>
        <v>44901</v>
      </c>
      <c r="I1327" s="6">
        <v>1</v>
      </c>
      <c r="J1327" s="9" t="str">
        <f>IFERROR(VLOOKUP($D1327,FIYAT!$B:$O,9,FALSE()),"")</f>
        <v>компл.</v>
      </c>
      <c r="K1327" s="9" t="str">
        <f>IFERROR(VLOOKUP($D1327,FIYAT!$B:$O,4,FALSE()),"")</f>
        <v>MUADIL-NET</v>
      </c>
      <c r="L1327" s="9">
        <f t="shared" si="163"/>
        <v>44901</v>
      </c>
      <c r="M1327" s="9"/>
      <c r="N1327" s="9"/>
      <c r="O1327" s="9"/>
      <c r="P1327" s="9" t="str">
        <f>IF($H1327="","FIYAT_YOK",IFERROR(VLOOKUP($D1327,FIYAT!$B:$P,15,FALSE()),""))</f>
        <v>ORAN</v>
      </c>
      <c r="Q1327" s="9" t="s">
        <v>218</v>
      </c>
      <c r="R1327" s="9" t="s">
        <v>217</v>
      </c>
      <c r="S1327" s="9" t="s">
        <v>637</v>
      </c>
      <c r="T1327" s="9"/>
      <c r="U1327" s="9">
        <v>0</v>
      </c>
    </row>
    <row r="1328" spans="1:21" x14ac:dyDescent="0.25">
      <c r="A1328" s="5">
        <v>1327</v>
      </c>
      <c r="B1328" s="5"/>
      <c r="C1328" s="5" t="s">
        <v>227</v>
      </c>
      <c r="D1328" s="5" t="s">
        <v>225</v>
      </c>
      <c r="E1328" s="5" t="str">
        <f>IFERROR(VLOOKUP($D1328,FIYAT!$B:$O,2,FALSE()),"")</f>
        <v>Сборка, кабелирование, маркировка, момент затяжки, испытания</v>
      </c>
      <c r="F1328" s="5">
        <f>IFERROR(VLOOKUP($D1328,FIYAT!$B:$O,5,FALSE()),"")</f>
        <v>100</v>
      </c>
      <c r="G1328" s="5">
        <f>IFERROR(VLOOKUP($D1328,FIYAT!$B:$O,8,FALSE()),"")</f>
        <v>100</v>
      </c>
      <c r="H1328" s="5">
        <f>IF(OR($G1328="",$I1328=""),"",$G1328*$I1328)</f>
        <v>74400</v>
      </c>
      <c r="I1328" s="6">
        <f>ROUND(SUM($U$1310:$U$1327)*KURALLAR!$B$27,0)</f>
        <v>744</v>
      </c>
      <c r="J1328" s="5" t="str">
        <f>IFERROR(VLOOKUP($D1328,FIYAT!$B:$O,9,FALSE()),"")</f>
        <v>мин</v>
      </c>
      <c r="K1328" s="5" t="str">
        <f>IFERROR(VLOOKUP($D1328,FIYAT!$B:$O,4,FALSE()),"")</f>
        <v>ISCILIK</v>
      </c>
      <c r="L1328" s="5">
        <f t="shared" si="163"/>
        <v>74400</v>
      </c>
      <c r="M1328" s="5"/>
      <c r="N1328" s="5"/>
      <c r="O1328" s="5"/>
      <c r="P1328" s="5" t="str">
        <f>IF($H1328="","FIYAT_YOK",IFERROR(VLOOKUP($D1328,FIYAT!$B:$P,15,FALSE()),""))</f>
        <v>OK</v>
      </c>
      <c r="Q1328" s="5" t="str">
        <f>CONCATENATE("montaj+test iscilik: ",TEXT($I1328,"# ##0")," dk = ",TEXT($I1328/60,"0,00")," saat (norm x test/etiket carpani)")</f>
        <v>montaj+test iscilik:  744 dk = 12,40 saat (norm x test/etiket carpani)</v>
      </c>
      <c r="R1328" s="5" t="s">
        <v>229</v>
      </c>
      <c r="S1328" s="5" t="s">
        <v>637</v>
      </c>
      <c r="T1328" s="5"/>
      <c r="U1328" s="5">
        <v>0</v>
      </c>
    </row>
    <row r="1329" spans="1:21" x14ac:dyDescent="0.25">
      <c r="A1329" s="10">
        <v>1328</v>
      </c>
      <c r="B1329" s="10" t="s">
        <v>714</v>
      </c>
      <c r="C1329" s="10"/>
      <c r="D1329" s="10"/>
      <c r="E1329" s="10"/>
      <c r="F1329" s="10"/>
      <c r="G1329" s="10"/>
      <c r="H1329" s="10">
        <f>SUBTOTAL(9,H1310:H1328)</f>
        <v>760740.60000000009</v>
      </c>
      <c r="I1329" s="10"/>
      <c r="J1329" s="10"/>
      <c r="K1329" s="10"/>
      <c r="L1329" s="10">
        <f>SUBTOTAL(9,L1310:L1328)</f>
        <v>760740.60000000009</v>
      </c>
      <c r="M1329" s="10"/>
      <c r="N1329" s="10"/>
      <c r="O1329" s="10"/>
      <c r="P1329" s="10"/>
      <c r="Q1329" s="10"/>
      <c r="R1329" s="10"/>
      <c r="S1329" s="10"/>
      <c r="T1329" s="10"/>
      <c r="U1329" s="10">
        <f>SUBTOTAL(9,U1310:U1328)</f>
        <v>647</v>
      </c>
    </row>
    <row r="1330" spans="1:21" x14ac:dyDescent="0.25">
      <c r="A1330" s="8">
        <v>1329</v>
      </c>
      <c r="B1330" s="8" t="str">
        <f>E1330</f>
        <v>BLOK P / ЩЭ-П1.1 — НКУ 380/220В 50Гц, FORM 2B, IP31/54</v>
      </c>
      <c r="C1330" s="8" t="s">
        <v>545</v>
      </c>
      <c r="D1330" s="8"/>
      <c r="E1330" s="8" t="s">
        <v>715</v>
      </c>
      <c r="F1330" s="8"/>
      <c r="G1330" s="8"/>
      <c r="H1330" s="8"/>
      <c r="I1330" s="8">
        <v>1</v>
      </c>
      <c r="J1330" s="8" t="s">
        <v>547</v>
      </c>
      <c r="K1330" s="8"/>
      <c r="L1330" s="8"/>
      <c r="M1330" s="8"/>
      <c r="N1330" s="8"/>
      <c r="O1330" s="8"/>
      <c r="P1330" s="8" t="s">
        <v>178</v>
      </c>
      <c r="Q1330" s="8" t="s">
        <v>548</v>
      </c>
      <c r="R1330" s="8" t="s">
        <v>549</v>
      </c>
      <c r="S1330" s="8" t="s">
        <v>716</v>
      </c>
      <c r="T1330" s="8"/>
      <c r="U1330" s="8"/>
    </row>
    <row r="1331" spans="1:21" x14ac:dyDescent="0.25">
      <c r="A1331" s="9">
        <v>1330</v>
      </c>
      <c r="B1331" s="9"/>
      <c r="C1331" s="9" t="s">
        <v>169</v>
      </c>
      <c r="D1331" s="9" t="s">
        <v>379</v>
      </c>
      <c r="E1331" s="9" t="str">
        <f>IFERROR(VLOOKUP($D1331,FIYAT!$B:$O,2,FALSE()),"")</f>
        <v>Авт. выкл. NM8N-400C TM 3P 400А 36кА с рег. термомаг. расцепителем (R)</v>
      </c>
      <c r="F1331" s="9">
        <f>IFERROR(VLOOKUP($D1331,FIYAT!$B:$O,5,FALSE()),"")</f>
        <v>208671</v>
      </c>
      <c r="G1331" s="9">
        <f>IFERROR(VLOOKUP($D1331,FIYAT!$B:$O,8,FALSE()),"")</f>
        <v>125202.59999999999</v>
      </c>
      <c r="H1331" s="9">
        <f t="shared" ref="H1331:H1345" si="164">IF(OR($G1331="",$I1331=""),"",$G1331*$I1331)</f>
        <v>250405.19999999998</v>
      </c>
      <c r="I1331" s="6">
        <v>2</v>
      </c>
      <c r="J1331" s="9" t="str">
        <f>IFERROR(VLOOKUP($D1331,FIYAT!$B:$O,9,FALSE()),"")</f>
        <v>Шт.</v>
      </c>
      <c r="K1331" s="9" t="str">
        <f>IFERROR(VLOOKUP($D1331,FIYAT!$B:$O,4,FALSE()),"")</f>
        <v>CHINT</v>
      </c>
      <c r="L1331" s="9">
        <f t="shared" ref="L1331:L1347" si="165">IF($H1331="","",$H1331)</f>
        <v>250405.19999999998</v>
      </c>
      <c r="M1331" s="9"/>
      <c r="N1331" s="9"/>
      <c r="O1331" s="9"/>
      <c r="P1331" s="9" t="str">
        <f>IF($H1331="","FIYAT_YOK",IFERROR(VLOOKUP($D1331,FIYAT!$B:$P,15,FALSE()),""))</f>
        <v>OK</v>
      </c>
      <c r="Q1331" s="9" t="s">
        <v>381</v>
      </c>
      <c r="R1331" s="9" t="s">
        <v>171</v>
      </c>
      <c r="S1331" s="9" t="s">
        <v>716</v>
      </c>
      <c r="T1331" s="9" t="s">
        <v>65</v>
      </c>
      <c r="U1331" s="9">
        <f>IFERROR(VLOOKUP($T1331,KURALLAR!$A$32:$B$63,2,FALSE()),0)*IF(ISNUMBER($I1331),$I1331,0)</f>
        <v>80</v>
      </c>
    </row>
    <row r="1332" spans="1:21" x14ac:dyDescent="0.25">
      <c r="A1332" s="5">
        <v>1331</v>
      </c>
      <c r="B1332" s="5"/>
      <c r="C1332" s="5" t="s">
        <v>93</v>
      </c>
      <c r="D1332" s="5" t="s">
        <v>267</v>
      </c>
      <c r="E1332" s="5" t="str">
        <f>IFERROR(VLOOKUP($D1332,FIYAT!$B:$O,2,FALSE()),"")</f>
        <v>Независимый расцепитель SHT22-M8 AC220-240V для NM8N-250/400/630 (R)</v>
      </c>
      <c r="F1332" s="5">
        <f>IFERROR(VLOOKUP($D1332,FIYAT!$B:$O,5,FALSE()),"")</f>
        <v>18552</v>
      </c>
      <c r="G1332" s="5">
        <f>IFERROR(VLOOKUP($D1332,FIYAT!$B:$O,8,FALSE()),"")</f>
        <v>11131.199999999999</v>
      </c>
      <c r="H1332" s="5">
        <f t="shared" si="164"/>
        <v>11131.199999999999</v>
      </c>
      <c r="I1332" s="6">
        <v>1</v>
      </c>
      <c r="J1332" s="5" t="str">
        <f>IFERROR(VLOOKUP($D1332,FIYAT!$B:$O,9,FALSE()),"")</f>
        <v>Шт.</v>
      </c>
      <c r="K1332" s="5" t="str">
        <f>IFERROR(VLOOKUP($D1332,FIYAT!$B:$O,4,FALSE()),"")</f>
        <v>CHINT</v>
      </c>
      <c r="L1332" s="5">
        <f t="shared" si="165"/>
        <v>11131.199999999999</v>
      </c>
      <c r="M1332" s="5"/>
      <c r="N1332" s="5"/>
      <c r="O1332" s="5"/>
      <c r="P1332" s="5" t="str">
        <f>IF($H1332="","FIYAT_YOK",IFERROR(VLOOKUP($D1332,FIYAT!$B:$P,15,FALSE()),""))</f>
        <v>OK</v>
      </c>
      <c r="Q1332" s="5" t="s">
        <v>269</v>
      </c>
      <c r="R1332" s="5" t="s">
        <v>184</v>
      </c>
      <c r="S1332" s="5" t="s">
        <v>716</v>
      </c>
      <c r="T1332" s="5" t="s">
        <v>95</v>
      </c>
      <c r="U1332" s="5">
        <f>IFERROR(VLOOKUP($T1332,KURALLAR!$A$32:$B$63,2,FALSE()),0)*IF(ISNUMBER($I1332),$I1332,0)</f>
        <v>10</v>
      </c>
    </row>
    <row r="1333" spans="1:21" x14ac:dyDescent="0.25">
      <c r="A1333" s="9">
        <v>1332</v>
      </c>
      <c r="B1333" s="9"/>
      <c r="C1333" s="9" t="s">
        <v>192</v>
      </c>
      <c r="D1333" s="9" t="s">
        <v>238</v>
      </c>
      <c r="E1333" s="9" t="str">
        <f>IFERROR(VLOOKUP($D1333,FIYAT!$B:$O,2,FALSE()),"")</f>
        <v>Авт. выкл. NXB-63 1P 6A 6кА х-ка C (R)</v>
      </c>
      <c r="F1333" s="9">
        <f>IFERROR(VLOOKUP($D1333,FIYAT!$B:$O,5,FALSE()),"")</f>
        <v>1436</v>
      </c>
      <c r="G1333" s="9">
        <f>IFERROR(VLOOKUP($D1333,FIYAT!$B:$O,8,FALSE()),"")</f>
        <v>861.6</v>
      </c>
      <c r="H1333" s="9">
        <f t="shared" si="164"/>
        <v>3446.4</v>
      </c>
      <c r="I1333" s="6">
        <v>4</v>
      </c>
      <c r="J1333" s="9" t="str">
        <f>IFERROR(VLOOKUP($D1333,FIYAT!$B:$O,9,FALSE()),"")</f>
        <v>Шт.</v>
      </c>
      <c r="K1333" s="9" t="str">
        <f>IFERROR(VLOOKUP($D1333,FIYAT!$B:$O,4,FALSE()),"")</f>
        <v>CHINT</v>
      </c>
      <c r="L1333" s="9">
        <f t="shared" si="165"/>
        <v>3446.4</v>
      </c>
      <c r="M1333" s="9"/>
      <c r="N1333" s="9"/>
      <c r="O1333" s="9"/>
      <c r="P1333" s="9" t="str">
        <f>IF($H1333="","FIYAT_YOK",IFERROR(VLOOKUP($D1333,FIYAT!$B:$P,15,FALSE()),""))</f>
        <v>OK</v>
      </c>
      <c r="Q1333" s="9" t="s">
        <v>240</v>
      </c>
      <c r="R1333" s="9" t="s">
        <v>171</v>
      </c>
      <c r="S1333" s="9" t="s">
        <v>716</v>
      </c>
      <c r="T1333" s="9" t="s">
        <v>47</v>
      </c>
      <c r="U1333" s="9">
        <f>IFERROR(VLOOKUP($T1333,KURALLAR!$A$32:$B$63,2,FALSE()),0)*IF(ISNUMBER($I1333),$I1333,0)</f>
        <v>12</v>
      </c>
    </row>
    <row r="1334" spans="1:21" x14ac:dyDescent="0.25">
      <c r="A1334" s="5">
        <v>1333</v>
      </c>
      <c r="B1334" s="5"/>
      <c r="C1334" s="5" t="s">
        <v>89</v>
      </c>
      <c r="D1334" s="5" t="s">
        <v>241</v>
      </c>
      <c r="E1334" s="5" t="str">
        <f>IFERROR(VLOOKUP($D1334,FIYAT!$B:$O,2,FALSE()),"")</f>
        <v>Индикатор ND16-22DS/4 белый АС230В (R)</v>
      </c>
      <c r="F1334" s="5">
        <f>IFERROR(VLOOKUP($D1334,FIYAT!$B:$O,5,FALSE()),"")</f>
        <v>1047</v>
      </c>
      <c r="G1334" s="5">
        <f>IFERROR(VLOOKUP($D1334,FIYAT!$B:$O,8,FALSE()),"")</f>
        <v>628.19999999999993</v>
      </c>
      <c r="H1334" s="5">
        <f t="shared" si="164"/>
        <v>1884.6</v>
      </c>
      <c r="I1334" s="6">
        <v>3</v>
      </c>
      <c r="J1334" s="5" t="str">
        <f>IFERROR(VLOOKUP($D1334,FIYAT!$B:$O,9,FALSE()),"")</f>
        <v>Шт.</v>
      </c>
      <c r="K1334" s="5" t="str">
        <f>IFERROR(VLOOKUP($D1334,FIYAT!$B:$O,4,FALSE()),"")</f>
        <v>CHINT</v>
      </c>
      <c r="L1334" s="5">
        <f t="shared" si="165"/>
        <v>1884.6</v>
      </c>
      <c r="M1334" s="5"/>
      <c r="N1334" s="5"/>
      <c r="O1334" s="5"/>
      <c r="P1334" s="5" t="str">
        <f>IF($H1334="","FIYAT_YOK",IFERROR(VLOOKUP($D1334,FIYAT!$B:$P,15,FALSE()),""))</f>
        <v>OK</v>
      </c>
      <c r="Q1334" s="5" t="s">
        <v>243</v>
      </c>
      <c r="R1334" s="5" t="s">
        <v>184</v>
      </c>
      <c r="S1334" s="5" t="s">
        <v>716</v>
      </c>
      <c r="T1334" s="5" t="s">
        <v>89</v>
      </c>
      <c r="U1334" s="5">
        <f>IFERROR(VLOOKUP($T1334,KURALLAR!$A$32:$B$63,2,FALSE()),0)*IF(ISNUMBER($I1334),$I1334,0)</f>
        <v>12</v>
      </c>
    </row>
    <row r="1335" spans="1:21" x14ac:dyDescent="0.25">
      <c r="A1335" s="9">
        <v>1334</v>
      </c>
      <c r="B1335" s="9"/>
      <c r="C1335" s="9" t="s">
        <v>87</v>
      </c>
      <c r="D1335" s="9" t="s">
        <v>270</v>
      </c>
      <c r="E1335" s="9" t="str">
        <f>IFERROR(VLOOKUP($D1335,FIYAT!$B:$O,2,FALSE()),"")</f>
        <v>Реле защиты от утечки тока с LCD индикацией (регулируемое) — CHINT листинге нет</v>
      </c>
      <c r="F1335" s="9">
        <f>IFERROR(VLOOKUP($D1335,FIYAT!$B:$O,5,FALSE()),"")</f>
        <v>0</v>
      </c>
      <c r="G1335" s="9" t="str">
        <f>IFERROR(VLOOKUP($D1335,FIYAT!$B:$O,8,FALSE()),"")</f>
        <v/>
      </c>
      <c r="H1335" s="9" t="str">
        <f t="shared" si="164"/>
        <v/>
      </c>
      <c r="I1335" s="6">
        <v>1</v>
      </c>
      <c r="J1335" s="9" t="str">
        <f>IFERROR(VLOOKUP($D1335,FIYAT!$B:$O,9,FALSE()),"")</f>
        <v>Шт.</v>
      </c>
      <c r="K1335" s="9" t="str">
        <f>IFERROR(VLOOKUP($D1335,FIYAT!$B:$O,4,FALSE()),"")</f>
        <v>MUADIL-NET</v>
      </c>
      <c r="L1335" s="9" t="str">
        <f t="shared" si="165"/>
        <v/>
      </c>
      <c r="M1335" s="9"/>
      <c r="N1335" s="9"/>
      <c r="O1335" s="9"/>
      <c r="P1335" s="7" t="str">
        <f>IF($H1335="","FIYAT_YOK",IFERROR(VLOOKUP($D1335,FIYAT!$B:$P,15,FALSE()),""))</f>
        <v>FIYAT_YOK</v>
      </c>
      <c r="Q1335" s="7" t="s">
        <v>272</v>
      </c>
      <c r="R1335" s="9"/>
      <c r="S1335" s="9" t="s">
        <v>716</v>
      </c>
      <c r="T1335" s="9" t="s">
        <v>87</v>
      </c>
      <c r="U1335" s="9">
        <f>IFERROR(VLOOKUP($T1335,KURALLAR!$A$32:$B$63,2,FALSE()),0)*IF(ISNUMBER($I1335),$I1335,0)</f>
        <v>8</v>
      </c>
    </row>
    <row r="1336" spans="1:21" x14ac:dyDescent="0.25">
      <c r="A1336" s="5">
        <v>1335</v>
      </c>
      <c r="B1336" s="5"/>
      <c r="C1336" s="5" t="s">
        <v>83</v>
      </c>
      <c r="D1336" s="5" t="s">
        <v>289</v>
      </c>
      <c r="E1336" s="5" t="str">
        <f>IFERROR(VLOOKUP($D1336,FIYAT!$B:$O,2,FALSE()),"")</f>
        <v>Тороидальный трансформатор тока Ø100мм (250-400A) — CHINT листинге нет</v>
      </c>
      <c r="F1336" s="5">
        <f>IFERROR(VLOOKUP($D1336,FIYAT!$B:$O,5,FALSE()),"")</f>
        <v>0</v>
      </c>
      <c r="G1336" s="5" t="str">
        <f>IFERROR(VLOOKUP($D1336,FIYAT!$B:$O,8,FALSE()),"")</f>
        <v/>
      </c>
      <c r="H1336" s="5" t="str">
        <f t="shared" si="164"/>
        <v/>
      </c>
      <c r="I1336" s="6">
        <v>1</v>
      </c>
      <c r="J1336" s="5" t="str">
        <f>IFERROR(VLOOKUP($D1336,FIYAT!$B:$O,9,FALSE()),"")</f>
        <v>Шт.</v>
      </c>
      <c r="K1336" s="5" t="str">
        <f>IFERROR(VLOOKUP($D1336,FIYAT!$B:$O,4,FALSE()),"")</f>
        <v>MUADIL-NET</v>
      </c>
      <c r="L1336" s="5" t="str">
        <f t="shared" si="165"/>
        <v/>
      </c>
      <c r="M1336" s="5"/>
      <c r="N1336" s="5"/>
      <c r="O1336" s="5"/>
      <c r="P1336" s="7" t="str">
        <f>IF($H1336="","FIYAT_YOK",IFERROR(VLOOKUP($D1336,FIYAT!$B:$P,15,FALSE()),""))</f>
        <v>FIYAT_YOK</v>
      </c>
      <c r="Q1336" s="7" t="s">
        <v>291</v>
      </c>
      <c r="R1336" s="5"/>
      <c r="S1336" s="5" t="s">
        <v>716</v>
      </c>
      <c r="T1336" s="5" t="s">
        <v>83</v>
      </c>
      <c r="U1336" s="5">
        <f>IFERROR(VLOOKUP($T1336,KURALLAR!$A$32:$B$63,2,FALSE()),0)*IF(ISNUMBER($I1336),$I1336,0)</f>
        <v>10</v>
      </c>
    </row>
    <row r="1337" spans="1:21" x14ac:dyDescent="0.25">
      <c r="A1337" s="9">
        <v>1336</v>
      </c>
      <c r="B1337" s="9"/>
      <c r="C1337" s="9" t="s">
        <v>79</v>
      </c>
      <c r="D1337" s="9" t="s">
        <v>179</v>
      </c>
      <c r="E1337" s="9" t="str">
        <f>IFERROR(VLOOKUP($D1337,FIYAT!$B:$O,2,FALSE()),"")</f>
        <v>Держатель плавкой вставки RT36-00-160, габарит 00, 160А</v>
      </c>
      <c r="F1337" s="9">
        <f>IFERROR(VLOOKUP($D1337,FIYAT!$B:$O,5,FALSE()),"")</f>
        <v>2038</v>
      </c>
      <c r="G1337" s="9">
        <f>IFERROR(VLOOKUP($D1337,FIYAT!$B:$O,8,FALSE()),"")</f>
        <v>1222.8</v>
      </c>
      <c r="H1337" s="9">
        <f t="shared" si="164"/>
        <v>4891.2</v>
      </c>
      <c r="I1337" s="6">
        <v>4</v>
      </c>
      <c r="J1337" s="9" t="str">
        <f>IFERROR(VLOOKUP($D1337,FIYAT!$B:$O,9,FALSE()),"")</f>
        <v>Шт.</v>
      </c>
      <c r="K1337" s="9" t="str">
        <f>IFERROR(VLOOKUP($D1337,FIYAT!$B:$O,4,FALSE()),"")</f>
        <v>CHINT</v>
      </c>
      <c r="L1337" s="9">
        <f t="shared" si="165"/>
        <v>4891.2</v>
      </c>
      <c r="M1337" s="9"/>
      <c r="N1337" s="9"/>
      <c r="O1337" s="9"/>
      <c r="P1337" s="9" t="str">
        <f>IF($H1337="","FIYAT_YOK",IFERROR(VLOOKUP($D1337,FIYAT!$B:$P,15,FALSE()),""))</f>
        <v>MUADIL</v>
      </c>
      <c r="Q1337" s="9" t="s">
        <v>181</v>
      </c>
      <c r="R1337" s="9" t="s">
        <v>171</v>
      </c>
      <c r="S1337" s="9" t="s">
        <v>716</v>
      </c>
      <c r="T1337" s="9" t="s">
        <v>77</v>
      </c>
      <c r="U1337" s="9">
        <f>IFERROR(VLOOKUP($T1337,KURALLAR!$A$32:$B$63,2,FALSE()),0)*IF(ISNUMBER($I1337),$I1337,0)</f>
        <v>20</v>
      </c>
    </row>
    <row r="1338" spans="1:21" x14ac:dyDescent="0.25">
      <c r="A1338" s="5">
        <v>1337</v>
      </c>
      <c r="B1338" s="5"/>
      <c r="C1338" s="5" t="s">
        <v>79</v>
      </c>
      <c r="D1338" s="5" t="s">
        <v>182</v>
      </c>
      <c r="E1338" s="5" t="str">
        <f>IFERROR(VLOOKUP($D1338,FIYAT!$B:$O,2,FALSE()),"")</f>
        <v>Плавкая вставка предохранителя RT36-00-160, габарит 00, 63А</v>
      </c>
      <c r="F1338" s="5">
        <f>IFERROR(VLOOKUP($D1338,FIYAT!$B:$O,5,FALSE()),"")</f>
        <v>1525</v>
      </c>
      <c r="G1338" s="5">
        <f>IFERROR(VLOOKUP($D1338,FIYAT!$B:$O,8,FALSE()),"")</f>
        <v>915</v>
      </c>
      <c r="H1338" s="5">
        <f t="shared" si="164"/>
        <v>3660</v>
      </c>
      <c r="I1338" s="6">
        <v>4</v>
      </c>
      <c r="J1338" s="5" t="str">
        <f>IFERROR(VLOOKUP($D1338,FIYAT!$B:$O,9,FALSE()),"")</f>
        <v>Шт.</v>
      </c>
      <c r="K1338" s="5" t="str">
        <f>IFERROR(VLOOKUP($D1338,FIYAT!$B:$O,4,FALSE()),"")</f>
        <v>CHINT</v>
      </c>
      <c r="L1338" s="5">
        <f t="shared" si="165"/>
        <v>3660</v>
      </c>
      <c r="M1338" s="5"/>
      <c r="N1338" s="5"/>
      <c r="O1338" s="5"/>
      <c r="P1338" s="5" t="str">
        <f>IF($H1338="","FIYAT_YOK",IFERROR(VLOOKUP($D1338,FIYAT!$B:$P,15,FALSE()),""))</f>
        <v>MUADIL</v>
      </c>
      <c r="Q1338" s="5" t="s">
        <v>185</v>
      </c>
      <c r="R1338" s="5" t="s">
        <v>184</v>
      </c>
      <c r="S1338" s="5" t="s">
        <v>716</v>
      </c>
      <c r="T1338" s="5" t="s">
        <v>79</v>
      </c>
      <c r="U1338" s="5">
        <f>IFERROR(VLOOKUP($T1338,KURALLAR!$A$32:$B$63,2,FALSE()),0)*IF(ISNUMBER($I1338),$I1338,0)</f>
        <v>12</v>
      </c>
    </row>
    <row r="1339" spans="1:21" x14ac:dyDescent="0.25">
      <c r="A1339" s="9">
        <v>1338</v>
      </c>
      <c r="B1339" s="9"/>
      <c r="C1339" s="9" t="s">
        <v>75</v>
      </c>
      <c r="D1339" s="9" t="s">
        <v>186</v>
      </c>
      <c r="E1339" s="9" t="str">
        <f>IFERROR(VLOOKUP($D1339,FIYAT!$B:$O,2,FALSE()),"")</f>
        <v>Ограничитель имп. перенапр. NU6-IIG 4Р In=25kA Uc=440B Im=65kA (R)</v>
      </c>
      <c r="F1339" s="9">
        <f>IFERROR(VLOOKUP($D1339,FIYAT!$B:$O,5,FALSE()),"")</f>
        <v>33208</v>
      </c>
      <c r="G1339" s="9">
        <f>IFERROR(VLOOKUP($D1339,FIYAT!$B:$O,8,FALSE()),"")</f>
        <v>19924.8</v>
      </c>
      <c r="H1339" s="9">
        <f t="shared" si="164"/>
        <v>19924.8</v>
      </c>
      <c r="I1339" s="6">
        <v>1</v>
      </c>
      <c r="J1339" s="9" t="str">
        <f>IFERROR(VLOOKUP($D1339,FIYAT!$B:$O,9,FALSE()),"")</f>
        <v>Шт.</v>
      </c>
      <c r="K1339" s="9" t="str">
        <f>IFERROR(VLOOKUP($D1339,FIYAT!$B:$O,4,FALSE()),"")</f>
        <v>CHINT</v>
      </c>
      <c r="L1339" s="9">
        <f t="shared" si="165"/>
        <v>19924.8</v>
      </c>
      <c r="M1339" s="9"/>
      <c r="N1339" s="9"/>
      <c r="O1339" s="9"/>
      <c r="P1339" s="9" t="str">
        <f>IF($H1339="","FIYAT_YOK",IFERROR(VLOOKUP($D1339,FIYAT!$B:$P,15,FALSE()),""))</f>
        <v>MUADIL_ONAY</v>
      </c>
      <c r="Q1339" s="9" t="s">
        <v>188</v>
      </c>
      <c r="R1339" s="9" t="s">
        <v>184</v>
      </c>
      <c r="S1339" s="9" t="s">
        <v>716</v>
      </c>
      <c r="T1339" s="9" t="s">
        <v>75</v>
      </c>
      <c r="U1339" s="9">
        <f>IFERROR(VLOOKUP($T1339,KURALLAR!$A$32:$B$63,2,FALSE()),0)*IF(ISNUMBER($I1339),$I1339,0)</f>
        <v>10</v>
      </c>
    </row>
    <row r="1340" spans="1:21" x14ac:dyDescent="0.25">
      <c r="A1340" s="5">
        <v>1339</v>
      </c>
      <c r="B1340" s="5"/>
      <c r="C1340" s="5" t="s">
        <v>169</v>
      </c>
      <c r="D1340" s="5" t="s">
        <v>276</v>
      </c>
      <c r="E1340" s="5" t="str">
        <f>IFERROR(VLOOKUP($D1340,FIYAT!$B:$O,2,FALSE()),"")</f>
        <v>Авт. выкл. NM8N-125C TM 3P 40А 36кА с рег. термомаг. расцепителем (R)</v>
      </c>
      <c r="F1340" s="5">
        <f>IFERROR(VLOOKUP($D1340,FIYAT!$B:$O,5,FALSE()),"")</f>
        <v>68418</v>
      </c>
      <c r="G1340" s="5">
        <f>IFERROR(VLOOKUP($D1340,FIYAT!$B:$O,8,FALSE()),"")</f>
        <v>41050.799999999996</v>
      </c>
      <c r="H1340" s="5">
        <f t="shared" si="164"/>
        <v>82101.599999999991</v>
      </c>
      <c r="I1340" s="6">
        <v>2</v>
      </c>
      <c r="J1340" s="5" t="str">
        <f>IFERROR(VLOOKUP($D1340,FIYAT!$B:$O,9,FALSE()),"")</f>
        <v>Шт.</v>
      </c>
      <c r="K1340" s="5" t="str">
        <f>IFERROR(VLOOKUP($D1340,FIYAT!$B:$O,4,FALSE()),"")</f>
        <v>CHINT</v>
      </c>
      <c r="L1340" s="5">
        <f t="shared" si="165"/>
        <v>82101.599999999991</v>
      </c>
      <c r="M1340" s="5"/>
      <c r="N1340" s="5"/>
      <c r="O1340" s="5"/>
      <c r="P1340" s="5" t="str">
        <f>IF($H1340="","FIYAT_YOK",IFERROR(VLOOKUP($D1340,FIYAT!$B:$P,15,FALSE()),""))</f>
        <v>MUADIL</v>
      </c>
      <c r="Q1340" s="5" t="s">
        <v>172</v>
      </c>
      <c r="R1340" s="5" t="s">
        <v>171</v>
      </c>
      <c r="S1340" s="5" t="s">
        <v>716</v>
      </c>
      <c r="T1340" s="5" t="s">
        <v>61</v>
      </c>
      <c r="U1340" s="5">
        <f>IFERROR(VLOOKUP($T1340,KURALLAR!$A$32:$B$63,2,FALSE()),0)*IF(ISNUMBER($I1340),$I1340,0)</f>
        <v>30</v>
      </c>
    </row>
    <row r="1341" spans="1:21" x14ac:dyDescent="0.25">
      <c r="A1341" s="9">
        <v>1340</v>
      </c>
      <c r="B1341" s="9"/>
      <c r="C1341" s="9" t="s">
        <v>83</v>
      </c>
      <c r="D1341" s="9" t="s">
        <v>382</v>
      </c>
      <c r="E1341" s="9" t="str">
        <f>IFERROR(VLOOKUP($D1341,FIYAT!$B:$O,2,FALSE()),"")</f>
        <v>Трансформатор тока Т-0.66-1,2 У3 400/5А (для счётчика)</v>
      </c>
      <c r="F1341" s="9">
        <f>IFERROR(VLOOKUP($D1341,FIYAT!$B:$O,5,FALSE()),"")</f>
        <v>0</v>
      </c>
      <c r="G1341" s="9" t="str">
        <f>IFERROR(VLOOKUP($D1341,FIYAT!$B:$O,8,FALSE()),"")</f>
        <v/>
      </c>
      <c r="H1341" s="9" t="str">
        <f t="shared" si="164"/>
        <v/>
      </c>
      <c r="I1341" s="6">
        <v>3</v>
      </c>
      <c r="J1341" s="9" t="str">
        <f>IFERROR(VLOOKUP($D1341,FIYAT!$B:$O,9,FALSE()),"")</f>
        <v>Шт.</v>
      </c>
      <c r="K1341" s="9" t="str">
        <f>IFERROR(VLOOKUP($D1341,FIYAT!$B:$O,4,FALSE()),"")</f>
        <v>MUADIL-NET</v>
      </c>
      <c r="L1341" s="9" t="str">
        <f t="shared" si="165"/>
        <v/>
      </c>
      <c r="M1341" s="9"/>
      <c r="N1341" s="9"/>
      <c r="O1341" s="9"/>
      <c r="P1341" s="7" t="str">
        <f>IF($H1341="","FIYAT_YOK",IFERROR(VLOOKUP($D1341,FIYAT!$B:$P,15,FALSE()),""))</f>
        <v>FIYAT_YOK</v>
      </c>
      <c r="Q1341" s="7" t="s">
        <v>384</v>
      </c>
      <c r="R1341" s="9"/>
      <c r="S1341" s="9" t="s">
        <v>716</v>
      </c>
      <c r="T1341" s="9" t="s">
        <v>83</v>
      </c>
      <c r="U1341" s="9">
        <f>IFERROR(VLOOKUP($T1341,KURALLAR!$A$32:$B$63,2,FALSE()),0)*IF(ISNUMBER($I1341),$I1341,0)</f>
        <v>30</v>
      </c>
    </row>
    <row r="1342" spans="1:21" x14ac:dyDescent="0.25">
      <c r="A1342" s="5">
        <v>1341</v>
      </c>
      <c r="B1342" s="5"/>
      <c r="C1342" s="5" t="s">
        <v>97</v>
      </c>
      <c r="D1342" s="5" t="s">
        <v>281</v>
      </c>
      <c r="E1342" s="5" t="str">
        <f>IFERROR(VLOOKUP($D1342,FIYAT!$B:$O,2,FALSE()),"")</f>
        <v>КОРОБКА КЛЕММНАЯ ИСПЫТАТЕЛЬНАЯ ПЕРЕХОДНАЯ ККИ1-1 EKF PROXIMA</v>
      </c>
      <c r="F1342" s="5">
        <f>IFERROR(VLOOKUP($D1342,FIYAT!$B:$O,5,FALSE()),"")</f>
        <v>0</v>
      </c>
      <c r="G1342" s="5" t="str">
        <f>IFERROR(VLOOKUP($D1342,FIYAT!$B:$O,8,FALSE()),"")</f>
        <v/>
      </c>
      <c r="H1342" s="5" t="str">
        <f t="shared" si="164"/>
        <v/>
      </c>
      <c r="I1342" s="6">
        <v>1</v>
      </c>
      <c r="J1342" s="5" t="str">
        <f>IFERROR(VLOOKUP($D1342,FIYAT!$B:$O,9,FALSE()),"")</f>
        <v>Шт.</v>
      </c>
      <c r="K1342" s="5" t="str">
        <f>IFERROR(VLOOKUP($D1342,FIYAT!$B:$O,4,FALSE()),"")</f>
        <v>EKF</v>
      </c>
      <c r="L1342" s="5" t="str">
        <f t="shared" si="165"/>
        <v/>
      </c>
      <c r="M1342" s="5"/>
      <c r="N1342" s="5"/>
      <c r="O1342" s="5"/>
      <c r="P1342" s="7" t="str">
        <f>IF($H1342="","FIYAT_YOK",IFERROR(VLOOKUP($D1342,FIYAT!$B:$P,15,FALSE()),""))</f>
        <v>FIYAT_YOK</v>
      </c>
      <c r="Q1342" s="7" t="s">
        <v>283</v>
      </c>
      <c r="R1342" s="5"/>
      <c r="S1342" s="5" t="s">
        <v>716</v>
      </c>
      <c r="T1342" s="5" t="s">
        <v>97</v>
      </c>
      <c r="U1342" s="5">
        <f>IFERROR(VLOOKUP($T1342,KURALLAR!$A$32:$B$63,2,FALSE()),0)*IF(ISNUMBER($I1342),$I1342,0)</f>
        <v>4</v>
      </c>
    </row>
    <row r="1343" spans="1:21" x14ac:dyDescent="0.25">
      <c r="A1343" s="9">
        <v>1342</v>
      </c>
      <c r="B1343" s="9"/>
      <c r="C1343" s="9" t="s">
        <v>81</v>
      </c>
      <c r="D1343" s="9" t="s">
        <v>284</v>
      </c>
      <c r="E1343" s="9" t="str">
        <f>IFERROR(VLOOKUP($D1343,FIYAT!$B:$O,2,FALSE()),"")</f>
        <v>Трехфазный эл.счетчик EX 518 5А (трансф. подкл.) с PLC модулем</v>
      </c>
      <c r="F1343" s="9">
        <f>IFERROR(VLOOKUP($D1343,FIYAT!$B:$O,5,FALSE()),"")</f>
        <v>0</v>
      </c>
      <c r="G1343" s="9" t="str">
        <f>IFERROR(VLOOKUP($D1343,FIYAT!$B:$O,8,FALSE()),"")</f>
        <v/>
      </c>
      <c r="H1343" s="9" t="str">
        <f t="shared" si="164"/>
        <v/>
      </c>
      <c r="I1343" s="6">
        <v>1</v>
      </c>
      <c r="J1343" s="9" t="str">
        <f>IFERROR(VLOOKUP($D1343,FIYAT!$B:$O,9,FALSE()),"")</f>
        <v>Шт.</v>
      </c>
      <c r="K1343" s="9" t="str">
        <f>IFERROR(VLOOKUP($D1343,FIYAT!$B:$O,4,FALSE()),"")</f>
        <v>MUADIL-NET</v>
      </c>
      <c r="L1343" s="9" t="str">
        <f t="shared" si="165"/>
        <v/>
      </c>
      <c r="M1343" s="9"/>
      <c r="N1343" s="9"/>
      <c r="O1343" s="9"/>
      <c r="P1343" s="7" t="str">
        <f>IF($H1343="","FIYAT_YOK",IFERROR(VLOOKUP($D1343,FIYAT!$B:$P,15,FALSE()),""))</f>
        <v>FIYAT_YOK</v>
      </c>
      <c r="Q1343" s="7" t="s">
        <v>249</v>
      </c>
      <c r="R1343" s="9"/>
      <c r="S1343" s="9" t="s">
        <v>716</v>
      </c>
      <c r="T1343" s="9" t="s">
        <v>81</v>
      </c>
      <c r="U1343" s="9">
        <f>IFERROR(VLOOKUP($T1343,KURALLAR!$A$32:$B$63,2,FALSE()),0)*IF(ISNUMBER($I1343),$I1343,0)</f>
        <v>30</v>
      </c>
    </row>
    <row r="1344" spans="1:21" x14ac:dyDescent="0.25">
      <c r="A1344" s="5">
        <v>1343</v>
      </c>
      <c r="B1344" s="5"/>
      <c r="C1344" s="5" t="s">
        <v>253</v>
      </c>
      <c r="D1344" s="5" t="s">
        <v>251</v>
      </c>
      <c r="E1344" s="5" t="str">
        <f>IFERROR(VLOOKUP($D1344,FIYAT!$B:$O,2,FALSE()),"")</f>
        <v>Шина алюминиевая твёрдая (ШАТ)</v>
      </c>
      <c r="F1344" s="5">
        <f>IFERROR(VLOOKUP($D1344,FIYAT!$B:$O,5,FALSE()),"")</f>
        <v>4493.5999999999995</v>
      </c>
      <c r="G1344" s="5">
        <f>IFERROR(VLOOKUP($D1344,FIYAT!$B:$O,8,FALSE()),"")</f>
        <v>4493.5999999999995</v>
      </c>
      <c r="H1344" s="5">
        <f t="shared" si="164"/>
        <v>107846.39999999999</v>
      </c>
      <c r="I1344" s="6">
        <v>24</v>
      </c>
      <c r="J1344" s="5" t="str">
        <f>IFERROR(VLOOKUP($D1344,FIYAT!$B:$O,9,FALSE()),"")</f>
        <v>Кг.</v>
      </c>
      <c r="K1344" s="5" t="str">
        <f>IFERROR(VLOOKUP($D1344,FIYAT!$B:$O,4,FALSE()),"")</f>
        <v>ALUM-BARA</v>
      </c>
      <c r="L1344" s="5">
        <f t="shared" si="165"/>
        <v>107846.39999999999</v>
      </c>
      <c r="M1344" s="5"/>
      <c r="N1344" s="5"/>
      <c r="O1344" s="5"/>
      <c r="P1344" s="5" t="str">
        <f>IF($H1344="","FIYAT_YOK",IFERROR(VLOOKUP($D1344,FIYAT!$B:$P,15,FALSE()),""))</f>
        <v>VARSAYIM</v>
      </c>
      <c r="Q1344" s="5" t="s">
        <v>255</v>
      </c>
      <c r="R1344" s="5"/>
      <c r="S1344" s="5" t="s">
        <v>716</v>
      </c>
      <c r="T1344" s="5" t="s">
        <v>101</v>
      </c>
      <c r="U1344" s="5">
        <f>IFERROR(VLOOKUP($T1344,KURALLAR!$A$32:$B$63,2,FALSE()),0)*IF(ISNUMBER($I1344),$I1344,0)</f>
        <v>144</v>
      </c>
    </row>
    <row r="1345" spans="1:21" x14ac:dyDescent="0.25">
      <c r="A1345" s="9">
        <v>1344</v>
      </c>
      <c r="B1345" s="9"/>
      <c r="C1345" s="9" t="s">
        <v>222</v>
      </c>
      <c r="D1345" s="9" t="s">
        <v>261</v>
      </c>
      <c r="E1345" s="9" t="str">
        <f>IFERROR(VLOOKUP($D1345,FIYAT!$B:$O,2,FALSE()),"")</f>
        <v>Мет. Щит (2000x700x500) +10CM BAZA IP54</v>
      </c>
      <c r="F1345" s="9">
        <f>IFERROR(VLOOKUP($D1345,FIYAT!$B:$O,5,FALSE()),"")</f>
        <v>117250</v>
      </c>
      <c r="G1345" s="9">
        <f>IFERROR(VLOOKUP($D1345,FIYAT!$B:$O,8,FALSE()),"")</f>
        <v>70350</v>
      </c>
      <c r="H1345" s="9">
        <f t="shared" si="164"/>
        <v>70350</v>
      </c>
      <c r="I1345" s="6">
        <v>1</v>
      </c>
      <c r="J1345" s="9" t="str">
        <f>IFERROR(VLOOKUP($D1345,FIYAT!$B:$O,9,FALSE()),"")</f>
        <v>Шт.</v>
      </c>
      <c r="K1345" s="9" t="str">
        <f>IFERROR(VLOOKUP($D1345,FIYAT!$B:$O,4,FALSE()),"")</f>
        <v>KAZTEK</v>
      </c>
      <c r="L1345" s="9">
        <f t="shared" si="165"/>
        <v>70350</v>
      </c>
      <c r="M1345" s="9"/>
      <c r="N1345" s="9"/>
      <c r="O1345" s="9"/>
      <c r="P1345" s="9" t="str">
        <f>IF($H1345="","FIYAT_YOK",IFERROR(VLOOKUP($D1345,FIYAT!$B:$P,15,FALSE()),""))</f>
        <v>VARSAYIM</v>
      </c>
      <c r="Q1345" s="9" t="s">
        <v>263</v>
      </c>
      <c r="R1345" s="9" t="s">
        <v>211</v>
      </c>
      <c r="S1345" s="9" t="s">
        <v>716</v>
      </c>
      <c r="T1345" s="9" t="s">
        <v>107</v>
      </c>
      <c r="U1345" s="9">
        <f>IFERROR(VLOOKUP($T1345,KURALLAR!$A$32:$B$63,2,FALSE()),0)*IF(ISNUMBER($I1345),$I1345,0)</f>
        <v>90</v>
      </c>
    </row>
    <row r="1346" spans="1:21" x14ac:dyDescent="0.25">
      <c r="A1346" s="5">
        <v>1345</v>
      </c>
      <c r="B1346" s="5"/>
      <c r="C1346" s="5" t="s">
        <v>215</v>
      </c>
      <c r="D1346" s="5" t="s">
        <v>213</v>
      </c>
      <c r="E1346" s="5" t="str">
        <f>IFERROR(VLOOKUP($D1346,FIYAT!$B:$O,2,FALSE()),"")</f>
        <v>Монтажный расходный материал (кабель, DIN-рейка, кабель-канал, клеммы, маркировка, крепёж)</v>
      </c>
      <c r="F1346" s="5">
        <f>IFERROR(VLOOKUP($D1346,FIYAT!$B:$O,5,FALSE()),"")</f>
        <v>0</v>
      </c>
      <c r="G1346" s="5" t="str">
        <f>IFERROR(VLOOKUP($D1346,FIYAT!$B:$O,8,FALSE()),"")</f>
        <v/>
      </c>
      <c r="H1346" s="5">
        <f>ROUND(SUM($H$1331:$H$1345)*KURALLAR!$B$28,0)</f>
        <v>38895</v>
      </c>
      <c r="I1346" s="6">
        <v>1</v>
      </c>
      <c r="J1346" s="5" t="str">
        <f>IFERROR(VLOOKUP($D1346,FIYAT!$B:$O,9,FALSE()),"")</f>
        <v>компл.</v>
      </c>
      <c r="K1346" s="5" t="str">
        <f>IFERROR(VLOOKUP($D1346,FIYAT!$B:$O,4,FALSE()),"")</f>
        <v>MUADIL-NET</v>
      </c>
      <c r="L1346" s="5">
        <f t="shared" si="165"/>
        <v>38895</v>
      </c>
      <c r="M1346" s="5"/>
      <c r="N1346" s="5"/>
      <c r="O1346" s="5"/>
      <c r="P1346" s="5" t="str">
        <f>IF($H1346="","FIYAT_YOK",IFERROR(VLOOKUP($D1346,FIYAT!$B:$P,15,FALSE()),""))</f>
        <v>ORAN</v>
      </c>
      <c r="Q1346" s="5" t="s">
        <v>218</v>
      </c>
      <c r="R1346" s="5" t="s">
        <v>217</v>
      </c>
      <c r="S1346" s="5" t="s">
        <v>716</v>
      </c>
      <c r="T1346" s="5"/>
      <c r="U1346" s="5">
        <v>0</v>
      </c>
    </row>
    <row r="1347" spans="1:21" x14ac:dyDescent="0.25">
      <c r="A1347" s="9">
        <v>1346</v>
      </c>
      <c r="B1347" s="9"/>
      <c r="C1347" s="9" t="s">
        <v>227</v>
      </c>
      <c r="D1347" s="9" t="s">
        <v>225</v>
      </c>
      <c r="E1347" s="9" t="str">
        <f>IFERROR(VLOOKUP($D1347,FIYAT!$B:$O,2,FALSE()),"")</f>
        <v>Сборка, кабелирование, маркировка, момент затяжки, испытания</v>
      </c>
      <c r="F1347" s="9">
        <f>IFERROR(VLOOKUP($D1347,FIYAT!$B:$O,5,FALSE()),"")</f>
        <v>100</v>
      </c>
      <c r="G1347" s="9">
        <f>IFERROR(VLOOKUP($D1347,FIYAT!$B:$O,8,FALSE()),"")</f>
        <v>100</v>
      </c>
      <c r="H1347" s="9">
        <f>IF(OR($G1347="",$I1347=""),"",$G1347*$I1347)</f>
        <v>57700</v>
      </c>
      <c r="I1347" s="6">
        <f>ROUND(SUM($U$1331:$U$1346)*KURALLAR!$B$27,0)</f>
        <v>577</v>
      </c>
      <c r="J1347" s="9" t="str">
        <f>IFERROR(VLOOKUP($D1347,FIYAT!$B:$O,9,FALSE()),"")</f>
        <v>мин</v>
      </c>
      <c r="K1347" s="9" t="str">
        <f>IFERROR(VLOOKUP($D1347,FIYAT!$B:$O,4,FALSE()),"")</f>
        <v>ISCILIK</v>
      </c>
      <c r="L1347" s="9">
        <f t="shared" si="165"/>
        <v>57700</v>
      </c>
      <c r="M1347" s="9"/>
      <c r="N1347" s="9"/>
      <c r="O1347" s="9"/>
      <c r="P1347" s="9" t="str">
        <f>IF($H1347="","FIYAT_YOK",IFERROR(VLOOKUP($D1347,FIYAT!$B:$P,15,FALSE()),""))</f>
        <v>OK</v>
      </c>
      <c r="Q1347" s="9" t="str">
        <f>CONCATENATE("montaj+test iscilik: ",TEXT($I1347,"# ##0")," dk = ",TEXT($I1347/60,"0,00")," saat (norm x test/etiket carpani)")</f>
        <v>montaj+test iscilik:  577 dk = 9,62 saat (norm x test/etiket carpani)</v>
      </c>
      <c r="R1347" s="9" t="s">
        <v>229</v>
      </c>
      <c r="S1347" s="9" t="s">
        <v>716</v>
      </c>
      <c r="T1347" s="9"/>
      <c r="U1347" s="9">
        <v>0</v>
      </c>
    </row>
    <row r="1348" spans="1:21" x14ac:dyDescent="0.25">
      <c r="A1348" s="10">
        <v>1347</v>
      </c>
      <c r="B1348" s="10" t="s">
        <v>717</v>
      </c>
      <c r="C1348" s="10"/>
      <c r="D1348" s="10"/>
      <c r="E1348" s="10"/>
      <c r="F1348" s="10"/>
      <c r="G1348" s="10"/>
      <c r="H1348" s="10">
        <f>SUBTOTAL(9,H1331:H1347)</f>
        <v>652236.39999999991</v>
      </c>
      <c r="I1348" s="10"/>
      <c r="J1348" s="10"/>
      <c r="K1348" s="10"/>
      <c r="L1348" s="10">
        <f>SUBTOTAL(9,L1331:L1347)</f>
        <v>652236.39999999991</v>
      </c>
      <c r="M1348" s="10"/>
      <c r="N1348" s="10"/>
      <c r="O1348" s="10"/>
      <c r="P1348" s="10"/>
      <c r="Q1348" s="10"/>
      <c r="R1348" s="10"/>
      <c r="S1348" s="10"/>
      <c r="T1348" s="10"/>
      <c r="U1348" s="10">
        <f>SUBTOTAL(9,U1331:U1347)</f>
        <v>502</v>
      </c>
    </row>
    <row r="1349" spans="1:21" x14ac:dyDescent="0.25">
      <c r="A1349" s="8">
        <v>1348</v>
      </c>
      <c r="B1349" s="8" t="str">
        <f>E1349</f>
        <v>BLOK P / ЩЭ-П1.2 — НКУ 380/220В 50Гц, FORM 2B, IP31/54</v>
      </c>
      <c r="C1349" s="8" t="s">
        <v>545</v>
      </c>
      <c r="D1349" s="8"/>
      <c r="E1349" s="8" t="s">
        <v>718</v>
      </c>
      <c r="F1349" s="8"/>
      <c r="G1349" s="8"/>
      <c r="H1349" s="8"/>
      <c r="I1349" s="8">
        <v>1</v>
      </c>
      <c r="J1349" s="8" t="s">
        <v>547</v>
      </c>
      <c r="K1349" s="8"/>
      <c r="L1349" s="8"/>
      <c r="M1349" s="8"/>
      <c r="N1349" s="8"/>
      <c r="O1349" s="8"/>
      <c r="P1349" s="8" t="s">
        <v>178</v>
      </c>
      <c r="Q1349" s="8" t="s">
        <v>548</v>
      </c>
      <c r="R1349" s="8" t="s">
        <v>549</v>
      </c>
      <c r="S1349" s="8" t="s">
        <v>716</v>
      </c>
      <c r="T1349" s="8"/>
      <c r="U1349" s="8"/>
    </row>
    <row r="1350" spans="1:21" x14ac:dyDescent="0.25">
      <c r="A1350" s="5">
        <v>1349</v>
      </c>
      <c r="B1350" s="5"/>
      <c r="C1350" s="5" t="s">
        <v>169</v>
      </c>
      <c r="D1350" s="5" t="s">
        <v>379</v>
      </c>
      <c r="E1350" s="5" t="str">
        <f>IFERROR(VLOOKUP($D1350,FIYAT!$B:$O,2,FALSE()),"")</f>
        <v>Авт. выкл. NM8N-400C TM 3P 400А 36кА с рег. термомаг. расцепителем (R)</v>
      </c>
      <c r="F1350" s="5">
        <f>IFERROR(VLOOKUP($D1350,FIYAT!$B:$O,5,FALSE()),"")</f>
        <v>208671</v>
      </c>
      <c r="G1350" s="5">
        <f>IFERROR(VLOOKUP($D1350,FIYAT!$B:$O,8,FALSE()),"")</f>
        <v>125202.59999999999</v>
      </c>
      <c r="H1350" s="5">
        <f t="shared" ref="H1350:H1367" si="166">IF(OR($G1350="",$I1350=""),"",$G1350*$I1350)</f>
        <v>125202.59999999999</v>
      </c>
      <c r="I1350" s="6">
        <v>1</v>
      </c>
      <c r="J1350" s="5" t="str">
        <f>IFERROR(VLOOKUP($D1350,FIYAT!$B:$O,9,FALSE()),"")</f>
        <v>Шт.</v>
      </c>
      <c r="K1350" s="5" t="str">
        <f>IFERROR(VLOOKUP($D1350,FIYAT!$B:$O,4,FALSE()),"")</f>
        <v>CHINT</v>
      </c>
      <c r="L1350" s="5">
        <f t="shared" ref="L1350:L1369" si="167">IF($H1350="","",$H1350)</f>
        <v>125202.59999999999</v>
      </c>
      <c r="M1350" s="5"/>
      <c r="N1350" s="5"/>
      <c r="O1350" s="5"/>
      <c r="P1350" s="5" t="str">
        <f>IF($H1350="","FIYAT_YOK",IFERROR(VLOOKUP($D1350,FIYAT!$B:$P,15,FALSE()),""))</f>
        <v>OK</v>
      </c>
      <c r="Q1350" s="5" t="s">
        <v>381</v>
      </c>
      <c r="R1350" s="5" t="s">
        <v>171</v>
      </c>
      <c r="S1350" s="5" t="s">
        <v>716</v>
      </c>
      <c r="T1350" s="5" t="s">
        <v>65</v>
      </c>
      <c r="U1350" s="5">
        <f>IFERROR(VLOOKUP($T1350,KURALLAR!$A$32:$B$63,2,FALSE()),0)*IF(ISNUMBER($I1350),$I1350,0)</f>
        <v>40</v>
      </c>
    </row>
    <row r="1351" spans="1:21" x14ac:dyDescent="0.25">
      <c r="A1351" s="9">
        <v>1350</v>
      </c>
      <c r="B1351" s="9"/>
      <c r="C1351" s="9" t="s">
        <v>93</v>
      </c>
      <c r="D1351" s="9" t="s">
        <v>267</v>
      </c>
      <c r="E1351" s="9" t="str">
        <f>IFERROR(VLOOKUP($D1351,FIYAT!$B:$O,2,FALSE()),"")</f>
        <v>Независимый расцепитель SHT22-M8 AC220-240V для NM8N-250/400/630 (R)</v>
      </c>
      <c r="F1351" s="9">
        <f>IFERROR(VLOOKUP($D1351,FIYAT!$B:$O,5,FALSE()),"")</f>
        <v>18552</v>
      </c>
      <c r="G1351" s="9">
        <f>IFERROR(VLOOKUP($D1351,FIYAT!$B:$O,8,FALSE()),"")</f>
        <v>11131.199999999999</v>
      </c>
      <c r="H1351" s="9">
        <f t="shared" si="166"/>
        <v>11131.199999999999</v>
      </c>
      <c r="I1351" s="6">
        <v>1</v>
      </c>
      <c r="J1351" s="9" t="str">
        <f>IFERROR(VLOOKUP($D1351,FIYAT!$B:$O,9,FALSE()),"")</f>
        <v>Шт.</v>
      </c>
      <c r="K1351" s="9" t="str">
        <f>IFERROR(VLOOKUP($D1351,FIYAT!$B:$O,4,FALSE()),"")</f>
        <v>CHINT</v>
      </c>
      <c r="L1351" s="9">
        <f t="shared" si="167"/>
        <v>11131.199999999999</v>
      </c>
      <c r="M1351" s="9"/>
      <c r="N1351" s="9"/>
      <c r="O1351" s="9"/>
      <c r="P1351" s="9" t="str">
        <f>IF($H1351="","FIYAT_YOK",IFERROR(VLOOKUP($D1351,FIYAT!$B:$P,15,FALSE()),""))</f>
        <v>OK</v>
      </c>
      <c r="Q1351" s="9" t="s">
        <v>269</v>
      </c>
      <c r="R1351" s="9" t="s">
        <v>184</v>
      </c>
      <c r="S1351" s="9" t="s">
        <v>716</v>
      </c>
      <c r="T1351" s="9" t="s">
        <v>95</v>
      </c>
      <c r="U1351" s="9">
        <f>IFERROR(VLOOKUP($T1351,KURALLAR!$A$32:$B$63,2,FALSE()),0)*IF(ISNUMBER($I1351),$I1351,0)</f>
        <v>10</v>
      </c>
    </row>
    <row r="1352" spans="1:21" x14ac:dyDescent="0.25">
      <c r="A1352" s="5">
        <v>1351</v>
      </c>
      <c r="B1352" s="5"/>
      <c r="C1352" s="5" t="s">
        <v>192</v>
      </c>
      <c r="D1352" s="5" t="s">
        <v>238</v>
      </c>
      <c r="E1352" s="5" t="str">
        <f>IFERROR(VLOOKUP($D1352,FIYAT!$B:$O,2,FALSE()),"")</f>
        <v>Авт. выкл. NXB-63 1P 6A 6кА х-ка C (R)</v>
      </c>
      <c r="F1352" s="5">
        <f>IFERROR(VLOOKUP($D1352,FIYAT!$B:$O,5,FALSE()),"")</f>
        <v>1436</v>
      </c>
      <c r="G1352" s="5">
        <f>IFERROR(VLOOKUP($D1352,FIYAT!$B:$O,8,FALSE()),"")</f>
        <v>861.6</v>
      </c>
      <c r="H1352" s="5">
        <f t="shared" si="166"/>
        <v>3446.4</v>
      </c>
      <c r="I1352" s="6">
        <v>4</v>
      </c>
      <c r="J1352" s="5" t="str">
        <f>IFERROR(VLOOKUP($D1352,FIYAT!$B:$O,9,FALSE()),"")</f>
        <v>Шт.</v>
      </c>
      <c r="K1352" s="5" t="str">
        <f>IFERROR(VLOOKUP($D1352,FIYAT!$B:$O,4,FALSE()),"")</f>
        <v>CHINT</v>
      </c>
      <c r="L1352" s="5">
        <f t="shared" si="167"/>
        <v>3446.4</v>
      </c>
      <c r="M1352" s="5"/>
      <c r="N1352" s="5"/>
      <c r="O1352" s="5"/>
      <c r="P1352" s="5" t="str">
        <f>IF($H1352="","FIYAT_YOK",IFERROR(VLOOKUP($D1352,FIYAT!$B:$P,15,FALSE()),""))</f>
        <v>OK</v>
      </c>
      <c r="Q1352" s="5" t="s">
        <v>240</v>
      </c>
      <c r="R1352" s="5" t="s">
        <v>171</v>
      </c>
      <c r="S1352" s="5" t="s">
        <v>716</v>
      </c>
      <c r="T1352" s="5" t="s">
        <v>47</v>
      </c>
      <c r="U1352" s="5">
        <f>IFERROR(VLOOKUP($T1352,KURALLAR!$A$32:$B$63,2,FALSE()),0)*IF(ISNUMBER($I1352),$I1352,0)</f>
        <v>12</v>
      </c>
    </row>
    <row r="1353" spans="1:21" x14ac:dyDescent="0.25">
      <c r="A1353" s="9">
        <v>1352</v>
      </c>
      <c r="B1353" s="9"/>
      <c r="C1353" s="9" t="s">
        <v>89</v>
      </c>
      <c r="D1353" s="9" t="s">
        <v>241</v>
      </c>
      <c r="E1353" s="9" t="str">
        <f>IFERROR(VLOOKUP($D1353,FIYAT!$B:$O,2,FALSE()),"")</f>
        <v>Индикатор ND16-22DS/4 белый АС230В (R)</v>
      </c>
      <c r="F1353" s="9">
        <f>IFERROR(VLOOKUP($D1353,FIYAT!$B:$O,5,FALSE()),"")</f>
        <v>1047</v>
      </c>
      <c r="G1353" s="9">
        <f>IFERROR(VLOOKUP($D1353,FIYAT!$B:$O,8,FALSE()),"")</f>
        <v>628.19999999999993</v>
      </c>
      <c r="H1353" s="9">
        <f t="shared" si="166"/>
        <v>1884.6</v>
      </c>
      <c r="I1353" s="6">
        <v>3</v>
      </c>
      <c r="J1353" s="9" t="str">
        <f>IFERROR(VLOOKUP($D1353,FIYAT!$B:$O,9,FALSE()),"")</f>
        <v>Шт.</v>
      </c>
      <c r="K1353" s="9" t="str">
        <f>IFERROR(VLOOKUP($D1353,FIYAT!$B:$O,4,FALSE()),"")</f>
        <v>CHINT</v>
      </c>
      <c r="L1353" s="9">
        <f t="shared" si="167"/>
        <v>1884.6</v>
      </c>
      <c r="M1353" s="9"/>
      <c r="N1353" s="9"/>
      <c r="O1353" s="9"/>
      <c r="P1353" s="9" t="str">
        <f>IF($H1353="","FIYAT_YOK",IFERROR(VLOOKUP($D1353,FIYAT!$B:$P,15,FALSE()),""))</f>
        <v>OK</v>
      </c>
      <c r="Q1353" s="9" t="s">
        <v>243</v>
      </c>
      <c r="R1353" s="9" t="s">
        <v>184</v>
      </c>
      <c r="S1353" s="9" t="s">
        <v>716</v>
      </c>
      <c r="T1353" s="9" t="s">
        <v>89</v>
      </c>
      <c r="U1353" s="9">
        <f>IFERROR(VLOOKUP($T1353,KURALLAR!$A$32:$B$63,2,FALSE()),0)*IF(ISNUMBER($I1353),$I1353,0)</f>
        <v>12</v>
      </c>
    </row>
    <row r="1354" spans="1:21" x14ac:dyDescent="0.25">
      <c r="A1354" s="5">
        <v>1353</v>
      </c>
      <c r="B1354" s="5"/>
      <c r="C1354" s="5" t="s">
        <v>87</v>
      </c>
      <c r="D1354" s="5" t="s">
        <v>270</v>
      </c>
      <c r="E1354" s="5" t="str">
        <f>IFERROR(VLOOKUP($D1354,FIYAT!$B:$O,2,FALSE()),"")</f>
        <v>Реле защиты от утечки тока с LCD индикацией (регулируемое) — CHINT листинге нет</v>
      </c>
      <c r="F1354" s="5">
        <f>IFERROR(VLOOKUP($D1354,FIYAT!$B:$O,5,FALSE()),"")</f>
        <v>0</v>
      </c>
      <c r="G1354" s="5" t="str">
        <f>IFERROR(VLOOKUP($D1354,FIYAT!$B:$O,8,FALSE()),"")</f>
        <v/>
      </c>
      <c r="H1354" s="5" t="str">
        <f t="shared" si="166"/>
        <v/>
      </c>
      <c r="I1354" s="6">
        <v>1</v>
      </c>
      <c r="J1354" s="5" t="str">
        <f>IFERROR(VLOOKUP($D1354,FIYAT!$B:$O,9,FALSE()),"")</f>
        <v>Шт.</v>
      </c>
      <c r="K1354" s="5" t="str">
        <f>IFERROR(VLOOKUP($D1354,FIYAT!$B:$O,4,FALSE()),"")</f>
        <v>MUADIL-NET</v>
      </c>
      <c r="L1354" s="5" t="str">
        <f t="shared" si="167"/>
        <v/>
      </c>
      <c r="M1354" s="5"/>
      <c r="N1354" s="5"/>
      <c r="O1354" s="5"/>
      <c r="P1354" s="7" t="str">
        <f>IF($H1354="","FIYAT_YOK",IFERROR(VLOOKUP($D1354,FIYAT!$B:$P,15,FALSE()),""))</f>
        <v>FIYAT_YOK</v>
      </c>
      <c r="Q1354" s="7" t="s">
        <v>272</v>
      </c>
      <c r="R1354" s="5"/>
      <c r="S1354" s="5" t="s">
        <v>716</v>
      </c>
      <c r="T1354" s="5" t="s">
        <v>87</v>
      </c>
      <c r="U1354" s="5">
        <f>IFERROR(VLOOKUP($T1354,KURALLAR!$A$32:$B$63,2,FALSE()),0)*IF(ISNUMBER($I1354),$I1354,0)</f>
        <v>8</v>
      </c>
    </row>
    <row r="1355" spans="1:21" x14ac:dyDescent="0.25">
      <c r="A1355" s="9">
        <v>1354</v>
      </c>
      <c r="B1355" s="9"/>
      <c r="C1355" s="9" t="s">
        <v>83</v>
      </c>
      <c r="D1355" s="9" t="s">
        <v>289</v>
      </c>
      <c r="E1355" s="9" t="str">
        <f>IFERROR(VLOOKUP($D1355,FIYAT!$B:$O,2,FALSE()),"")</f>
        <v>Тороидальный трансформатор тока Ø100мм (250-400A) — CHINT листинге нет</v>
      </c>
      <c r="F1355" s="9">
        <f>IFERROR(VLOOKUP($D1355,FIYAT!$B:$O,5,FALSE()),"")</f>
        <v>0</v>
      </c>
      <c r="G1355" s="9" t="str">
        <f>IFERROR(VLOOKUP($D1355,FIYAT!$B:$O,8,FALSE()),"")</f>
        <v/>
      </c>
      <c r="H1355" s="9" t="str">
        <f t="shared" si="166"/>
        <v/>
      </c>
      <c r="I1355" s="6">
        <v>1</v>
      </c>
      <c r="J1355" s="9" t="str">
        <f>IFERROR(VLOOKUP($D1355,FIYAT!$B:$O,9,FALSE()),"")</f>
        <v>Шт.</v>
      </c>
      <c r="K1355" s="9" t="str">
        <f>IFERROR(VLOOKUP($D1355,FIYAT!$B:$O,4,FALSE()),"")</f>
        <v>MUADIL-NET</v>
      </c>
      <c r="L1355" s="9" t="str">
        <f t="shared" si="167"/>
        <v/>
      </c>
      <c r="M1355" s="9"/>
      <c r="N1355" s="9"/>
      <c r="O1355" s="9"/>
      <c r="P1355" s="7" t="str">
        <f>IF($H1355="","FIYAT_YOK",IFERROR(VLOOKUP($D1355,FIYAT!$B:$P,15,FALSE()),""))</f>
        <v>FIYAT_YOK</v>
      </c>
      <c r="Q1355" s="7" t="s">
        <v>291</v>
      </c>
      <c r="R1355" s="9"/>
      <c r="S1355" s="9" t="s">
        <v>716</v>
      </c>
      <c r="T1355" s="9" t="s">
        <v>83</v>
      </c>
      <c r="U1355" s="9">
        <f>IFERROR(VLOOKUP($T1355,KURALLAR!$A$32:$B$63,2,FALSE()),0)*IF(ISNUMBER($I1355),$I1355,0)</f>
        <v>10</v>
      </c>
    </row>
    <row r="1356" spans="1:21" x14ac:dyDescent="0.25">
      <c r="A1356" s="5">
        <v>1355</v>
      </c>
      <c r="B1356" s="5"/>
      <c r="C1356" s="5" t="s">
        <v>79</v>
      </c>
      <c r="D1356" s="5" t="s">
        <v>179</v>
      </c>
      <c r="E1356" s="5" t="str">
        <f>IFERROR(VLOOKUP($D1356,FIYAT!$B:$O,2,FALSE()),"")</f>
        <v>Держатель плавкой вставки RT36-00-160, габарит 00, 160А</v>
      </c>
      <c r="F1356" s="5">
        <f>IFERROR(VLOOKUP($D1356,FIYAT!$B:$O,5,FALSE()),"")</f>
        <v>2038</v>
      </c>
      <c r="G1356" s="5">
        <f>IFERROR(VLOOKUP($D1356,FIYAT!$B:$O,8,FALSE()),"")</f>
        <v>1222.8</v>
      </c>
      <c r="H1356" s="5">
        <f t="shared" si="166"/>
        <v>4891.2</v>
      </c>
      <c r="I1356" s="6">
        <v>4</v>
      </c>
      <c r="J1356" s="5" t="str">
        <f>IFERROR(VLOOKUP($D1356,FIYAT!$B:$O,9,FALSE()),"")</f>
        <v>Шт.</v>
      </c>
      <c r="K1356" s="5" t="str">
        <f>IFERROR(VLOOKUP($D1356,FIYAT!$B:$O,4,FALSE()),"")</f>
        <v>CHINT</v>
      </c>
      <c r="L1356" s="5">
        <f t="shared" si="167"/>
        <v>4891.2</v>
      </c>
      <c r="M1356" s="5"/>
      <c r="N1356" s="5"/>
      <c r="O1356" s="5"/>
      <c r="P1356" s="5" t="str">
        <f>IF($H1356="","FIYAT_YOK",IFERROR(VLOOKUP($D1356,FIYAT!$B:$P,15,FALSE()),""))</f>
        <v>MUADIL</v>
      </c>
      <c r="Q1356" s="5" t="s">
        <v>181</v>
      </c>
      <c r="R1356" s="5" t="s">
        <v>171</v>
      </c>
      <c r="S1356" s="5" t="s">
        <v>716</v>
      </c>
      <c r="T1356" s="5" t="s">
        <v>77</v>
      </c>
      <c r="U1356" s="5">
        <f>IFERROR(VLOOKUP($T1356,KURALLAR!$A$32:$B$63,2,FALSE()),0)*IF(ISNUMBER($I1356),$I1356,0)</f>
        <v>20</v>
      </c>
    </row>
    <row r="1357" spans="1:21" x14ac:dyDescent="0.25">
      <c r="A1357" s="9">
        <v>1356</v>
      </c>
      <c r="B1357" s="9"/>
      <c r="C1357" s="9" t="s">
        <v>79</v>
      </c>
      <c r="D1357" s="9" t="s">
        <v>182</v>
      </c>
      <c r="E1357" s="9" t="str">
        <f>IFERROR(VLOOKUP($D1357,FIYAT!$B:$O,2,FALSE()),"")</f>
        <v>Плавкая вставка предохранителя RT36-00-160, габарит 00, 63А</v>
      </c>
      <c r="F1357" s="9">
        <f>IFERROR(VLOOKUP($D1357,FIYAT!$B:$O,5,FALSE()),"")</f>
        <v>1525</v>
      </c>
      <c r="G1357" s="9">
        <f>IFERROR(VLOOKUP($D1357,FIYAT!$B:$O,8,FALSE()),"")</f>
        <v>915</v>
      </c>
      <c r="H1357" s="9">
        <f t="shared" si="166"/>
        <v>3660</v>
      </c>
      <c r="I1357" s="6">
        <v>4</v>
      </c>
      <c r="J1357" s="9" t="str">
        <f>IFERROR(VLOOKUP($D1357,FIYAT!$B:$O,9,FALSE()),"")</f>
        <v>Шт.</v>
      </c>
      <c r="K1357" s="9" t="str">
        <f>IFERROR(VLOOKUP($D1357,FIYAT!$B:$O,4,FALSE()),"")</f>
        <v>CHINT</v>
      </c>
      <c r="L1357" s="9">
        <f t="shared" si="167"/>
        <v>3660</v>
      </c>
      <c r="M1357" s="9"/>
      <c r="N1357" s="9"/>
      <c r="O1357" s="9"/>
      <c r="P1357" s="9" t="str">
        <f>IF($H1357="","FIYAT_YOK",IFERROR(VLOOKUP($D1357,FIYAT!$B:$P,15,FALSE()),""))</f>
        <v>MUADIL</v>
      </c>
      <c r="Q1357" s="9" t="s">
        <v>185</v>
      </c>
      <c r="R1357" s="9" t="s">
        <v>184</v>
      </c>
      <c r="S1357" s="9" t="s">
        <v>716</v>
      </c>
      <c r="T1357" s="9" t="s">
        <v>79</v>
      </c>
      <c r="U1357" s="9">
        <f>IFERROR(VLOOKUP($T1357,KURALLAR!$A$32:$B$63,2,FALSE()),0)*IF(ISNUMBER($I1357),$I1357,0)</f>
        <v>12</v>
      </c>
    </row>
    <row r="1358" spans="1:21" x14ac:dyDescent="0.25">
      <c r="A1358" s="5">
        <v>1357</v>
      </c>
      <c r="B1358" s="5"/>
      <c r="C1358" s="5" t="s">
        <v>75</v>
      </c>
      <c r="D1358" s="5" t="s">
        <v>186</v>
      </c>
      <c r="E1358" s="5" t="str">
        <f>IFERROR(VLOOKUP($D1358,FIYAT!$B:$O,2,FALSE()),"")</f>
        <v>Ограничитель имп. перенапр. NU6-IIG 4Р In=25kA Uc=440B Im=65kA (R)</v>
      </c>
      <c r="F1358" s="5">
        <f>IFERROR(VLOOKUP($D1358,FIYAT!$B:$O,5,FALSE()),"")</f>
        <v>33208</v>
      </c>
      <c r="G1358" s="5">
        <f>IFERROR(VLOOKUP($D1358,FIYAT!$B:$O,8,FALSE()),"")</f>
        <v>19924.8</v>
      </c>
      <c r="H1358" s="5">
        <f t="shared" si="166"/>
        <v>19924.8</v>
      </c>
      <c r="I1358" s="6">
        <v>1</v>
      </c>
      <c r="J1358" s="5" t="str">
        <f>IFERROR(VLOOKUP($D1358,FIYAT!$B:$O,9,FALSE()),"")</f>
        <v>Шт.</v>
      </c>
      <c r="K1358" s="5" t="str">
        <f>IFERROR(VLOOKUP($D1358,FIYAT!$B:$O,4,FALSE()),"")</f>
        <v>CHINT</v>
      </c>
      <c r="L1358" s="5">
        <f t="shared" si="167"/>
        <v>19924.8</v>
      </c>
      <c r="M1358" s="5"/>
      <c r="N1358" s="5"/>
      <c r="O1358" s="5"/>
      <c r="P1358" s="5" t="str">
        <f>IF($H1358="","FIYAT_YOK",IFERROR(VLOOKUP($D1358,FIYAT!$B:$P,15,FALSE()),""))</f>
        <v>MUADIL_ONAY</v>
      </c>
      <c r="Q1358" s="5" t="s">
        <v>188</v>
      </c>
      <c r="R1358" s="5" t="s">
        <v>184</v>
      </c>
      <c r="S1358" s="5" t="s">
        <v>716</v>
      </c>
      <c r="T1358" s="5" t="s">
        <v>75</v>
      </c>
      <c r="U1358" s="5">
        <f>IFERROR(VLOOKUP($T1358,KURALLAR!$A$32:$B$63,2,FALSE()),0)*IF(ISNUMBER($I1358),$I1358,0)</f>
        <v>10</v>
      </c>
    </row>
    <row r="1359" spans="1:21" x14ac:dyDescent="0.25">
      <c r="A1359" s="9">
        <v>1358</v>
      </c>
      <c r="B1359" s="9"/>
      <c r="C1359" s="9" t="s">
        <v>169</v>
      </c>
      <c r="D1359" s="9" t="s">
        <v>367</v>
      </c>
      <c r="E1359" s="9" t="str">
        <f>IFERROR(VLOOKUP($D1359,FIYAT!$B:$O,2,FALSE()),"")</f>
        <v>Авт. выкл. NM8N-125C TM 3P 100А 36кА с рег. термомаг. расцепителем (R)</v>
      </c>
      <c r="F1359" s="9">
        <f>IFERROR(VLOOKUP($D1359,FIYAT!$B:$O,5,FALSE()),"")</f>
        <v>64169</v>
      </c>
      <c r="G1359" s="9">
        <f>IFERROR(VLOOKUP($D1359,FIYAT!$B:$O,8,FALSE()),"")</f>
        <v>38501.4</v>
      </c>
      <c r="H1359" s="9">
        <f t="shared" si="166"/>
        <v>115504.20000000001</v>
      </c>
      <c r="I1359" s="6">
        <v>3</v>
      </c>
      <c r="J1359" s="9" t="str">
        <f>IFERROR(VLOOKUP($D1359,FIYAT!$B:$O,9,FALSE()),"")</f>
        <v>Шт.</v>
      </c>
      <c r="K1359" s="9" t="str">
        <f>IFERROR(VLOOKUP($D1359,FIYAT!$B:$O,4,FALSE()),"")</f>
        <v>CHINT</v>
      </c>
      <c r="L1359" s="9">
        <f t="shared" si="167"/>
        <v>115504.20000000001</v>
      </c>
      <c r="M1359" s="9"/>
      <c r="N1359" s="9"/>
      <c r="O1359" s="9"/>
      <c r="P1359" s="9" t="str">
        <f>IF($H1359="","FIYAT_YOK",IFERROR(VLOOKUP($D1359,FIYAT!$B:$P,15,FALSE()),""))</f>
        <v>OK</v>
      </c>
      <c r="Q1359" s="9" t="s">
        <v>369</v>
      </c>
      <c r="R1359" s="9" t="s">
        <v>171</v>
      </c>
      <c r="S1359" s="9" t="s">
        <v>716</v>
      </c>
      <c r="T1359" s="9" t="s">
        <v>61</v>
      </c>
      <c r="U1359" s="9">
        <f>IFERROR(VLOOKUP($T1359,KURALLAR!$A$32:$B$63,2,FALSE()),0)*IF(ISNUMBER($I1359),$I1359,0)</f>
        <v>45</v>
      </c>
    </row>
    <row r="1360" spans="1:21" x14ac:dyDescent="0.25">
      <c r="A1360" s="5">
        <v>1359</v>
      </c>
      <c r="B1360" s="5"/>
      <c r="C1360" s="5" t="s">
        <v>169</v>
      </c>
      <c r="D1360" s="5" t="s">
        <v>276</v>
      </c>
      <c r="E1360" s="5" t="str">
        <f>IFERROR(VLOOKUP($D1360,FIYAT!$B:$O,2,FALSE()),"")</f>
        <v>Авт. выкл. NM8N-125C TM 3P 40А 36кА с рег. термомаг. расцепителем (R)</v>
      </c>
      <c r="F1360" s="5">
        <f>IFERROR(VLOOKUP($D1360,FIYAT!$B:$O,5,FALSE()),"")</f>
        <v>68418</v>
      </c>
      <c r="G1360" s="5">
        <f>IFERROR(VLOOKUP($D1360,FIYAT!$B:$O,8,FALSE()),"")</f>
        <v>41050.799999999996</v>
      </c>
      <c r="H1360" s="5">
        <f t="shared" si="166"/>
        <v>41050.799999999996</v>
      </c>
      <c r="I1360" s="6">
        <v>1</v>
      </c>
      <c r="J1360" s="5" t="str">
        <f>IFERROR(VLOOKUP($D1360,FIYAT!$B:$O,9,FALSE()),"")</f>
        <v>Шт.</v>
      </c>
      <c r="K1360" s="5" t="str">
        <f>IFERROR(VLOOKUP($D1360,FIYAT!$B:$O,4,FALSE()),"")</f>
        <v>CHINT</v>
      </c>
      <c r="L1360" s="5">
        <f t="shared" si="167"/>
        <v>41050.799999999996</v>
      </c>
      <c r="M1360" s="5"/>
      <c r="N1360" s="5"/>
      <c r="O1360" s="5"/>
      <c r="P1360" s="5" t="str">
        <f>IF($H1360="","FIYAT_YOK",IFERROR(VLOOKUP($D1360,FIYAT!$B:$P,15,FALSE()),""))</f>
        <v>MUADIL</v>
      </c>
      <c r="Q1360" s="5" t="s">
        <v>172</v>
      </c>
      <c r="R1360" s="5" t="s">
        <v>171</v>
      </c>
      <c r="S1360" s="5" t="s">
        <v>716</v>
      </c>
      <c r="T1360" s="5" t="s">
        <v>61</v>
      </c>
      <c r="U1360" s="5">
        <f>IFERROR(VLOOKUP($T1360,KURALLAR!$A$32:$B$63,2,FALSE()),0)*IF(ISNUMBER($I1360),$I1360,0)</f>
        <v>15</v>
      </c>
    </row>
    <row r="1361" spans="1:21" x14ac:dyDescent="0.25">
      <c r="A1361" s="9">
        <v>1360</v>
      </c>
      <c r="B1361" s="9"/>
      <c r="C1361" s="9" t="s">
        <v>169</v>
      </c>
      <c r="D1361" s="9" t="s">
        <v>327</v>
      </c>
      <c r="E1361" s="9" t="str">
        <f>IFERROR(VLOOKUP($D1361,FIYAT!$B:$O,2,FALSE()),"")</f>
        <v>Авт. выкл. NM8N-125C TM 3P 25А 36кА с рег. термомаг. расцепителем (R)</v>
      </c>
      <c r="F1361" s="9">
        <f>IFERROR(VLOOKUP($D1361,FIYAT!$B:$O,5,FALSE()),"")</f>
        <v>65063</v>
      </c>
      <c r="G1361" s="9">
        <f>IFERROR(VLOOKUP($D1361,FIYAT!$B:$O,8,FALSE()),"")</f>
        <v>39037.799999999996</v>
      </c>
      <c r="H1361" s="9">
        <f t="shared" si="166"/>
        <v>78075.599999999991</v>
      </c>
      <c r="I1361" s="6">
        <v>2</v>
      </c>
      <c r="J1361" s="9" t="str">
        <f>IFERROR(VLOOKUP($D1361,FIYAT!$B:$O,9,FALSE()),"")</f>
        <v>Шт.</v>
      </c>
      <c r="K1361" s="9" t="str">
        <f>IFERROR(VLOOKUP($D1361,FIYAT!$B:$O,4,FALSE()),"")</f>
        <v>CHINT</v>
      </c>
      <c r="L1361" s="9">
        <f t="shared" si="167"/>
        <v>78075.599999999991</v>
      </c>
      <c r="M1361" s="9"/>
      <c r="N1361" s="9"/>
      <c r="O1361" s="9"/>
      <c r="P1361" s="9" t="str">
        <f>IF($H1361="","FIYAT_YOK",IFERROR(VLOOKUP($D1361,FIYAT!$B:$P,15,FALSE()),""))</f>
        <v>MUADIL</v>
      </c>
      <c r="Q1361" s="9" t="s">
        <v>172</v>
      </c>
      <c r="R1361" s="9" t="s">
        <v>171</v>
      </c>
      <c r="S1361" s="9" t="s">
        <v>716</v>
      </c>
      <c r="T1361" s="9" t="s">
        <v>61</v>
      </c>
      <c r="U1361" s="9">
        <f>IFERROR(VLOOKUP($T1361,KURALLAR!$A$32:$B$63,2,FALSE()),0)*IF(ISNUMBER($I1361),$I1361,0)</f>
        <v>30</v>
      </c>
    </row>
    <row r="1362" spans="1:21" x14ac:dyDescent="0.25">
      <c r="A1362" s="5">
        <v>1361</v>
      </c>
      <c r="B1362" s="5"/>
      <c r="C1362" s="5" t="s">
        <v>83</v>
      </c>
      <c r="D1362" s="5" t="s">
        <v>385</v>
      </c>
      <c r="E1362" s="5" t="str">
        <f>IFERROR(VLOOKUP($D1362,FIYAT!$B:$O,2,FALSE()),"")</f>
        <v>Трансформатор тока Т-0.66-1,2 У3 100/5А (для счётчика)</v>
      </c>
      <c r="F1362" s="5">
        <f>IFERROR(VLOOKUP($D1362,FIYAT!$B:$O,5,FALSE()),"")</f>
        <v>0</v>
      </c>
      <c r="G1362" s="5" t="str">
        <f>IFERROR(VLOOKUP($D1362,FIYAT!$B:$O,8,FALSE()),"")</f>
        <v/>
      </c>
      <c r="H1362" s="5" t="str">
        <f t="shared" si="166"/>
        <v/>
      </c>
      <c r="I1362" s="6">
        <v>9</v>
      </c>
      <c r="J1362" s="5" t="str">
        <f>IFERROR(VLOOKUP($D1362,FIYAT!$B:$O,9,FALSE()),"")</f>
        <v>Шт.</v>
      </c>
      <c r="K1362" s="5" t="str">
        <f>IFERROR(VLOOKUP($D1362,FIYAT!$B:$O,4,FALSE()),"")</f>
        <v>MUADIL-NET</v>
      </c>
      <c r="L1362" s="5" t="str">
        <f t="shared" si="167"/>
        <v/>
      </c>
      <c r="M1362" s="5"/>
      <c r="N1362" s="5"/>
      <c r="O1362" s="5"/>
      <c r="P1362" s="7" t="str">
        <f>IF($H1362="","FIYAT_YOK",IFERROR(VLOOKUP($D1362,FIYAT!$B:$P,15,FALSE()),""))</f>
        <v>FIYAT_YOK</v>
      </c>
      <c r="Q1362" s="7" t="s">
        <v>387</v>
      </c>
      <c r="R1362" s="5"/>
      <c r="S1362" s="5" t="s">
        <v>716</v>
      </c>
      <c r="T1362" s="5" t="s">
        <v>83</v>
      </c>
      <c r="U1362" s="5">
        <f>IFERROR(VLOOKUP($T1362,KURALLAR!$A$32:$B$63,2,FALSE()),0)*IF(ISNUMBER($I1362),$I1362,0)</f>
        <v>90</v>
      </c>
    </row>
    <row r="1363" spans="1:21" x14ac:dyDescent="0.25">
      <c r="A1363" s="9">
        <v>1362</v>
      </c>
      <c r="B1363" s="9"/>
      <c r="C1363" s="9" t="s">
        <v>97</v>
      </c>
      <c r="D1363" s="9" t="s">
        <v>281</v>
      </c>
      <c r="E1363" s="9" t="str">
        <f>IFERROR(VLOOKUP($D1363,FIYAT!$B:$O,2,FALSE()),"")</f>
        <v>КОРОБКА КЛЕММНАЯ ИСПЫТАТЕЛЬНАЯ ПЕРЕХОДНАЯ ККИ1-1 EKF PROXIMA</v>
      </c>
      <c r="F1363" s="9">
        <f>IFERROR(VLOOKUP($D1363,FIYAT!$B:$O,5,FALSE()),"")</f>
        <v>0</v>
      </c>
      <c r="G1363" s="9" t="str">
        <f>IFERROR(VLOOKUP($D1363,FIYAT!$B:$O,8,FALSE()),"")</f>
        <v/>
      </c>
      <c r="H1363" s="9" t="str">
        <f t="shared" si="166"/>
        <v/>
      </c>
      <c r="I1363" s="6">
        <v>3</v>
      </c>
      <c r="J1363" s="9" t="str">
        <f>IFERROR(VLOOKUP($D1363,FIYAT!$B:$O,9,FALSE()),"")</f>
        <v>Шт.</v>
      </c>
      <c r="K1363" s="9" t="str">
        <f>IFERROR(VLOOKUP($D1363,FIYAT!$B:$O,4,FALSE()),"")</f>
        <v>EKF</v>
      </c>
      <c r="L1363" s="9" t="str">
        <f t="shared" si="167"/>
        <v/>
      </c>
      <c r="M1363" s="9"/>
      <c r="N1363" s="9"/>
      <c r="O1363" s="9"/>
      <c r="P1363" s="7" t="str">
        <f>IF($H1363="","FIYAT_YOK",IFERROR(VLOOKUP($D1363,FIYAT!$B:$P,15,FALSE()),""))</f>
        <v>FIYAT_YOK</v>
      </c>
      <c r="Q1363" s="7" t="s">
        <v>283</v>
      </c>
      <c r="R1363" s="9"/>
      <c r="S1363" s="9" t="s">
        <v>716</v>
      </c>
      <c r="T1363" s="9" t="s">
        <v>97</v>
      </c>
      <c r="U1363" s="9">
        <f>IFERROR(VLOOKUP($T1363,KURALLAR!$A$32:$B$63,2,FALSE()),0)*IF(ISNUMBER($I1363),$I1363,0)</f>
        <v>12</v>
      </c>
    </row>
    <row r="1364" spans="1:21" x14ac:dyDescent="0.25">
      <c r="A1364" s="5">
        <v>1363</v>
      </c>
      <c r="B1364" s="5"/>
      <c r="C1364" s="5" t="s">
        <v>81</v>
      </c>
      <c r="D1364" s="5" t="s">
        <v>284</v>
      </c>
      <c r="E1364" s="5" t="str">
        <f>IFERROR(VLOOKUP($D1364,FIYAT!$B:$O,2,FALSE()),"")</f>
        <v>Трехфазный эл.счетчик EX 518 5А (трансф. подкл.) с PLC модулем</v>
      </c>
      <c r="F1364" s="5">
        <f>IFERROR(VLOOKUP($D1364,FIYAT!$B:$O,5,FALSE()),"")</f>
        <v>0</v>
      </c>
      <c r="G1364" s="5" t="str">
        <f>IFERROR(VLOOKUP($D1364,FIYAT!$B:$O,8,FALSE()),"")</f>
        <v/>
      </c>
      <c r="H1364" s="5" t="str">
        <f t="shared" si="166"/>
        <v/>
      </c>
      <c r="I1364" s="6">
        <v>3</v>
      </c>
      <c r="J1364" s="5" t="str">
        <f>IFERROR(VLOOKUP($D1364,FIYAT!$B:$O,9,FALSE()),"")</f>
        <v>Шт.</v>
      </c>
      <c r="K1364" s="5" t="str">
        <f>IFERROR(VLOOKUP($D1364,FIYAT!$B:$O,4,FALSE()),"")</f>
        <v>MUADIL-NET</v>
      </c>
      <c r="L1364" s="5" t="str">
        <f t="shared" si="167"/>
        <v/>
      </c>
      <c r="M1364" s="5"/>
      <c r="N1364" s="5"/>
      <c r="O1364" s="5"/>
      <c r="P1364" s="7" t="str">
        <f>IF($H1364="","FIYAT_YOK",IFERROR(VLOOKUP($D1364,FIYAT!$B:$P,15,FALSE()),""))</f>
        <v>FIYAT_YOK</v>
      </c>
      <c r="Q1364" s="7" t="s">
        <v>249</v>
      </c>
      <c r="R1364" s="5"/>
      <c r="S1364" s="5" t="s">
        <v>716</v>
      </c>
      <c r="T1364" s="5" t="s">
        <v>81</v>
      </c>
      <c r="U1364" s="5">
        <f>IFERROR(VLOOKUP($T1364,KURALLAR!$A$32:$B$63,2,FALSE()),0)*IF(ISNUMBER($I1364),$I1364,0)</f>
        <v>90</v>
      </c>
    </row>
    <row r="1365" spans="1:21" x14ac:dyDescent="0.25">
      <c r="A1365" s="9">
        <v>1364</v>
      </c>
      <c r="B1365" s="9"/>
      <c r="C1365" s="9" t="s">
        <v>81</v>
      </c>
      <c r="D1365" s="9" t="s">
        <v>247</v>
      </c>
      <c r="E1365" s="9" t="str">
        <f>IFERROR(VLOOKUP($D1365,FIYAT!$B:$O,2,FALSE()),"")</f>
        <v>Трехфазный эл.счетчик EX 518 10(100)А (прям. подкл.) с PLC модулем</v>
      </c>
      <c r="F1365" s="9">
        <f>IFERROR(VLOOKUP($D1365,FIYAT!$B:$O,5,FALSE()),"")</f>
        <v>0</v>
      </c>
      <c r="G1365" s="9" t="str">
        <f>IFERROR(VLOOKUP($D1365,FIYAT!$B:$O,8,FALSE()),"")</f>
        <v/>
      </c>
      <c r="H1365" s="9" t="str">
        <f t="shared" si="166"/>
        <v/>
      </c>
      <c r="I1365" s="6">
        <v>1</v>
      </c>
      <c r="J1365" s="9" t="str">
        <f>IFERROR(VLOOKUP($D1365,FIYAT!$B:$O,9,FALSE()),"")</f>
        <v>Шт.</v>
      </c>
      <c r="K1365" s="9" t="str">
        <f>IFERROR(VLOOKUP($D1365,FIYAT!$B:$O,4,FALSE()),"")</f>
        <v>MUADIL-NET</v>
      </c>
      <c r="L1365" s="9" t="str">
        <f t="shared" si="167"/>
        <v/>
      </c>
      <c r="M1365" s="9"/>
      <c r="N1365" s="9"/>
      <c r="O1365" s="9"/>
      <c r="P1365" s="7" t="str">
        <f>IF($H1365="","FIYAT_YOK",IFERROR(VLOOKUP($D1365,FIYAT!$B:$P,15,FALSE()),""))</f>
        <v>FIYAT_YOK</v>
      </c>
      <c r="Q1365" s="7" t="s">
        <v>249</v>
      </c>
      <c r="R1365" s="9"/>
      <c r="S1365" s="9" t="s">
        <v>716</v>
      </c>
      <c r="T1365" s="9" t="s">
        <v>81</v>
      </c>
      <c r="U1365" s="9">
        <f>IFERROR(VLOOKUP($T1365,KURALLAR!$A$32:$B$63,2,FALSE()),0)*IF(ISNUMBER($I1365),$I1365,0)</f>
        <v>30</v>
      </c>
    </row>
    <row r="1366" spans="1:21" x14ac:dyDescent="0.25">
      <c r="A1366" s="5">
        <v>1365</v>
      </c>
      <c r="B1366" s="5"/>
      <c r="C1366" s="5" t="s">
        <v>253</v>
      </c>
      <c r="D1366" s="5" t="s">
        <v>251</v>
      </c>
      <c r="E1366" s="5" t="str">
        <f>IFERROR(VLOOKUP($D1366,FIYAT!$B:$O,2,FALSE()),"")</f>
        <v>Шина алюминиевая твёрдая (ШАТ)</v>
      </c>
      <c r="F1366" s="5">
        <f>IFERROR(VLOOKUP($D1366,FIYAT!$B:$O,5,FALSE()),"")</f>
        <v>4493.5999999999995</v>
      </c>
      <c r="G1366" s="5">
        <f>IFERROR(VLOOKUP($D1366,FIYAT!$B:$O,8,FALSE()),"")</f>
        <v>4493.5999999999995</v>
      </c>
      <c r="H1366" s="5">
        <f t="shared" si="166"/>
        <v>107846.39999999999</v>
      </c>
      <c r="I1366" s="6">
        <v>24</v>
      </c>
      <c r="J1366" s="5" t="str">
        <f>IFERROR(VLOOKUP($D1366,FIYAT!$B:$O,9,FALSE()),"")</f>
        <v>Кг.</v>
      </c>
      <c r="K1366" s="5" t="str">
        <f>IFERROR(VLOOKUP($D1366,FIYAT!$B:$O,4,FALSE()),"")</f>
        <v>ALUM-BARA</v>
      </c>
      <c r="L1366" s="5">
        <f t="shared" si="167"/>
        <v>107846.39999999999</v>
      </c>
      <c r="M1366" s="5"/>
      <c r="N1366" s="5"/>
      <c r="O1366" s="5"/>
      <c r="P1366" s="5" t="str">
        <f>IF($H1366="","FIYAT_YOK",IFERROR(VLOOKUP($D1366,FIYAT!$B:$P,15,FALSE()),""))</f>
        <v>VARSAYIM</v>
      </c>
      <c r="Q1366" s="5" t="s">
        <v>255</v>
      </c>
      <c r="R1366" s="5"/>
      <c r="S1366" s="5" t="s">
        <v>716</v>
      </c>
      <c r="T1366" s="5" t="s">
        <v>101</v>
      </c>
      <c r="U1366" s="5">
        <f>IFERROR(VLOOKUP($T1366,KURALLAR!$A$32:$B$63,2,FALSE()),0)*IF(ISNUMBER($I1366),$I1366,0)</f>
        <v>144</v>
      </c>
    </row>
    <row r="1367" spans="1:21" x14ac:dyDescent="0.25">
      <c r="A1367" s="9">
        <v>1366</v>
      </c>
      <c r="B1367" s="9"/>
      <c r="C1367" s="9" t="s">
        <v>222</v>
      </c>
      <c r="D1367" s="9" t="s">
        <v>256</v>
      </c>
      <c r="E1367" s="9" t="str">
        <f>IFERROR(VLOOKUP($D1367,FIYAT!$B:$O,2,FALSE()),"")</f>
        <v>Щит (moduler) 2000x800x800+100</v>
      </c>
      <c r="F1367" s="9">
        <f>IFERROR(VLOOKUP($D1367,FIYAT!$B:$O,5,FALSE()),"")</f>
        <v>197400</v>
      </c>
      <c r="G1367" s="9">
        <f>IFERROR(VLOOKUP($D1367,FIYAT!$B:$O,8,FALSE()),"")</f>
        <v>118440</v>
      </c>
      <c r="H1367" s="9">
        <f t="shared" si="166"/>
        <v>118440</v>
      </c>
      <c r="I1367" s="6">
        <v>1</v>
      </c>
      <c r="J1367" s="9" t="str">
        <f>IFERROR(VLOOKUP($D1367,FIYAT!$B:$O,9,FALSE()),"")</f>
        <v>Шт.</v>
      </c>
      <c r="K1367" s="9" t="str">
        <f>IFERROR(VLOOKUP($D1367,FIYAT!$B:$O,4,FALSE()),"")</f>
        <v>KAZTEK</v>
      </c>
      <c r="L1367" s="9">
        <f t="shared" si="167"/>
        <v>118440</v>
      </c>
      <c r="M1367" s="9"/>
      <c r="N1367" s="9"/>
      <c r="O1367" s="9"/>
      <c r="P1367" s="9" t="str">
        <f>IF($H1367="","FIYAT_YOK",IFERROR(VLOOKUP($D1367,FIYAT!$B:$P,15,FALSE()),""))</f>
        <v>VARSAYIM</v>
      </c>
      <c r="Q1367" s="9" t="s">
        <v>258</v>
      </c>
      <c r="R1367" s="9" t="s">
        <v>211</v>
      </c>
      <c r="S1367" s="9" t="s">
        <v>716</v>
      </c>
      <c r="T1367" s="9" t="s">
        <v>107</v>
      </c>
      <c r="U1367" s="9">
        <f>IFERROR(VLOOKUP($T1367,KURALLAR!$A$32:$B$63,2,FALSE()),0)*IF(ISNUMBER($I1367),$I1367,0)</f>
        <v>90</v>
      </c>
    </row>
    <row r="1368" spans="1:21" x14ac:dyDescent="0.25">
      <c r="A1368" s="5">
        <v>1367</v>
      </c>
      <c r="B1368" s="5"/>
      <c r="C1368" s="5" t="s">
        <v>215</v>
      </c>
      <c r="D1368" s="5" t="s">
        <v>213</v>
      </c>
      <c r="E1368" s="5" t="str">
        <f>IFERROR(VLOOKUP($D1368,FIYAT!$B:$O,2,FALSE()),"")</f>
        <v>Монтажный расходный материал (кабель, DIN-рейка, кабель-канал, клеммы, маркировка, крепёж)</v>
      </c>
      <c r="F1368" s="5">
        <f>IFERROR(VLOOKUP($D1368,FIYAT!$B:$O,5,FALSE()),"")</f>
        <v>0</v>
      </c>
      <c r="G1368" s="5" t="str">
        <f>IFERROR(VLOOKUP($D1368,FIYAT!$B:$O,8,FALSE()),"")</f>
        <v/>
      </c>
      <c r="H1368" s="5">
        <f>ROUND(SUM($H$1350:$H$1367)*KURALLAR!$B$28,0)</f>
        <v>44174</v>
      </c>
      <c r="I1368" s="6">
        <v>1</v>
      </c>
      <c r="J1368" s="5" t="str">
        <f>IFERROR(VLOOKUP($D1368,FIYAT!$B:$O,9,FALSE()),"")</f>
        <v>компл.</v>
      </c>
      <c r="K1368" s="5" t="str">
        <f>IFERROR(VLOOKUP($D1368,FIYAT!$B:$O,4,FALSE()),"")</f>
        <v>MUADIL-NET</v>
      </c>
      <c r="L1368" s="5">
        <f t="shared" si="167"/>
        <v>44174</v>
      </c>
      <c r="M1368" s="5"/>
      <c r="N1368" s="5"/>
      <c r="O1368" s="5"/>
      <c r="P1368" s="5" t="str">
        <f>IF($H1368="","FIYAT_YOK",IFERROR(VLOOKUP($D1368,FIYAT!$B:$P,15,FALSE()),""))</f>
        <v>ORAN</v>
      </c>
      <c r="Q1368" s="5" t="s">
        <v>218</v>
      </c>
      <c r="R1368" s="5" t="s">
        <v>217</v>
      </c>
      <c r="S1368" s="5" t="s">
        <v>716</v>
      </c>
      <c r="T1368" s="5"/>
      <c r="U1368" s="5">
        <v>0</v>
      </c>
    </row>
    <row r="1369" spans="1:21" x14ac:dyDescent="0.25">
      <c r="A1369" s="9">
        <v>1368</v>
      </c>
      <c r="B1369" s="9"/>
      <c r="C1369" s="9" t="s">
        <v>227</v>
      </c>
      <c r="D1369" s="9" t="s">
        <v>225</v>
      </c>
      <c r="E1369" s="9" t="str">
        <f>IFERROR(VLOOKUP($D1369,FIYAT!$B:$O,2,FALSE()),"")</f>
        <v>Сборка, кабелирование, маркировка, момент затяжки, испытания</v>
      </c>
      <c r="F1369" s="9">
        <f>IFERROR(VLOOKUP($D1369,FIYAT!$B:$O,5,FALSE()),"")</f>
        <v>100</v>
      </c>
      <c r="G1369" s="9">
        <f>IFERROR(VLOOKUP($D1369,FIYAT!$B:$O,8,FALSE()),"")</f>
        <v>100</v>
      </c>
      <c r="H1369" s="9">
        <f>IF(OR($G1369="",$I1369=""),"",$G1369*$I1369)</f>
        <v>78200</v>
      </c>
      <c r="I1369" s="6">
        <f>ROUND(SUM($U$1350:$U$1368)*KURALLAR!$B$27,0)</f>
        <v>782</v>
      </c>
      <c r="J1369" s="9" t="str">
        <f>IFERROR(VLOOKUP($D1369,FIYAT!$B:$O,9,FALSE()),"")</f>
        <v>мин</v>
      </c>
      <c r="K1369" s="9" t="str">
        <f>IFERROR(VLOOKUP($D1369,FIYAT!$B:$O,4,FALSE()),"")</f>
        <v>ISCILIK</v>
      </c>
      <c r="L1369" s="9">
        <f t="shared" si="167"/>
        <v>78200</v>
      </c>
      <c r="M1369" s="9"/>
      <c r="N1369" s="9"/>
      <c r="O1369" s="9"/>
      <c r="P1369" s="9" t="str">
        <f>IF($H1369="","FIYAT_YOK",IFERROR(VLOOKUP($D1369,FIYAT!$B:$P,15,FALSE()),""))</f>
        <v>OK</v>
      </c>
      <c r="Q1369" s="9" t="str">
        <f>CONCATENATE("montaj+test iscilik: ",TEXT($I1369,"# ##0")," dk = ",TEXT($I1369/60,"0,00")," saat (norm x test/etiket carpani)")</f>
        <v>montaj+test iscilik:  782 dk = 13,03 saat (norm x test/etiket carpani)</v>
      </c>
      <c r="R1369" s="9" t="s">
        <v>229</v>
      </c>
      <c r="S1369" s="9" t="s">
        <v>716</v>
      </c>
      <c r="T1369" s="9"/>
      <c r="U1369" s="9">
        <v>0</v>
      </c>
    </row>
    <row r="1370" spans="1:21" x14ac:dyDescent="0.25">
      <c r="A1370" s="10">
        <v>1369</v>
      </c>
      <c r="B1370" s="10" t="s">
        <v>719</v>
      </c>
      <c r="C1370" s="10"/>
      <c r="D1370" s="10"/>
      <c r="E1370" s="10"/>
      <c r="F1370" s="10"/>
      <c r="G1370" s="10"/>
      <c r="H1370" s="10">
        <f>SUBTOTAL(9,H1350:H1369)</f>
        <v>753431.79999999993</v>
      </c>
      <c r="I1370" s="10"/>
      <c r="J1370" s="10"/>
      <c r="K1370" s="10"/>
      <c r="L1370" s="10">
        <f>SUBTOTAL(9,L1350:L1369)</f>
        <v>753431.79999999993</v>
      </c>
      <c r="M1370" s="10"/>
      <c r="N1370" s="10"/>
      <c r="O1370" s="10"/>
      <c r="P1370" s="10"/>
      <c r="Q1370" s="10"/>
      <c r="R1370" s="10"/>
      <c r="S1370" s="10"/>
      <c r="T1370" s="10"/>
      <c r="U1370" s="10">
        <f>SUBTOTAL(9,U1350:U1369)</f>
        <v>680</v>
      </c>
    </row>
    <row r="1371" spans="1:21" x14ac:dyDescent="0.25">
      <c r="A1371" s="8">
        <v>1370</v>
      </c>
      <c r="B1371" s="8" t="str">
        <f>E1371</f>
        <v>BLOK P / B1-ИБП-P — НКУ 380/220В 50Гц, FORM 2B, IP31/54</v>
      </c>
      <c r="C1371" s="8" t="s">
        <v>545</v>
      </c>
      <c r="D1371" s="8"/>
      <c r="E1371" s="8" t="s">
        <v>720</v>
      </c>
      <c r="F1371" s="8"/>
      <c r="G1371" s="8"/>
      <c r="H1371" s="8"/>
      <c r="I1371" s="8">
        <v>1</v>
      </c>
      <c r="J1371" s="8" t="s">
        <v>547</v>
      </c>
      <c r="K1371" s="8"/>
      <c r="L1371" s="8"/>
      <c r="M1371" s="8"/>
      <c r="N1371" s="8"/>
      <c r="O1371" s="8"/>
      <c r="P1371" s="8" t="s">
        <v>178</v>
      </c>
      <c r="Q1371" s="8" t="s">
        <v>548</v>
      </c>
      <c r="R1371" s="8" t="s">
        <v>549</v>
      </c>
      <c r="S1371" s="8" t="s">
        <v>716</v>
      </c>
      <c r="T1371" s="8"/>
      <c r="U1371" s="8"/>
    </row>
    <row r="1372" spans="1:21" x14ac:dyDescent="0.25">
      <c r="A1372" s="5">
        <v>1371</v>
      </c>
      <c r="B1372" s="5"/>
      <c r="C1372" s="5" t="s">
        <v>169</v>
      </c>
      <c r="D1372" s="5" t="s">
        <v>167</v>
      </c>
      <c r="E1372" s="5" t="str">
        <f>IFERROR(VLOOKUP($D1372,FIYAT!$B:$O,2,FALSE()),"")</f>
        <v>Авт. выкл. NM8N-125C TM 3P 32А 36кА с рег. термомаг. расцепителем (R)</v>
      </c>
      <c r="F1372" s="5">
        <f>IFERROR(VLOOKUP($D1372,FIYAT!$B:$O,5,FALSE()),"")</f>
        <v>64667</v>
      </c>
      <c r="G1372" s="5">
        <f>IFERROR(VLOOKUP($D1372,FIYAT!$B:$O,8,FALSE()),"")</f>
        <v>38800.199999999997</v>
      </c>
      <c r="H1372" s="5">
        <f t="shared" ref="H1372:H1383" si="168">IF(OR($G1372="",$I1372=""),"",$G1372*$I1372)</f>
        <v>38800.199999999997</v>
      </c>
      <c r="I1372" s="6">
        <v>1</v>
      </c>
      <c r="J1372" s="5" t="str">
        <f>IFERROR(VLOOKUP($D1372,FIYAT!$B:$O,9,FALSE()),"")</f>
        <v>Шт.</v>
      </c>
      <c r="K1372" s="5" t="str">
        <f>IFERROR(VLOOKUP($D1372,FIYAT!$B:$O,4,FALSE()),"")</f>
        <v>CHINT</v>
      </c>
      <c r="L1372" s="5">
        <f t="shared" ref="L1372:L1385" si="169">IF($H1372="","",$H1372)</f>
        <v>38800.199999999997</v>
      </c>
      <c r="M1372" s="5"/>
      <c r="N1372" s="5"/>
      <c r="O1372" s="5"/>
      <c r="P1372" s="5" t="str">
        <f>IF($H1372="","FIYAT_YOK",IFERROR(VLOOKUP($D1372,FIYAT!$B:$P,15,FALSE()),""))</f>
        <v>MUADIL</v>
      </c>
      <c r="Q1372" s="5" t="s">
        <v>172</v>
      </c>
      <c r="R1372" s="5" t="s">
        <v>171</v>
      </c>
      <c r="S1372" s="5" t="s">
        <v>716</v>
      </c>
      <c r="T1372" s="5" t="s">
        <v>61</v>
      </c>
      <c r="U1372" s="5">
        <f>IFERROR(VLOOKUP($T1372,KURALLAR!$A$32:$B$63,2,FALSE()),0)*IF(ISNUMBER($I1372),$I1372,0)</f>
        <v>15</v>
      </c>
    </row>
    <row r="1373" spans="1:21" x14ac:dyDescent="0.25">
      <c r="A1373" s="9">
        <v>1372</v>
      </c>
      <c r="B1373" s="9"/>
      <c r="C1373" s="9" t="s">
        <v>176</v>
      </c>
      <c r="D1373" s="9" t="s">
        <v>174</v>
      </c>
      <c r="E1373" s="9" t="str">
        <f>IFERROR(VLOOKUP($D1373,FIYAT!$B:$O,2,FALSE()),"")</f>
        <v>УЗО NL1-63 6kA 4P 63A 300mA тип AC (R)</v>
      </c>
      <c r="F1373" s="9">
        <f>IFERROR(VLOOKUP($D1373,FIYAT!$B:$O,5,FALSE()),"")</f>
        <v>18106</v>
      </c>
      <c r="G1373" s="9">
        <f>IFERROR(VLOOKUP($D1373,FIYAT!$B:$O,8,FALSE()),"")</f>
        <v>10863.6</v>
      </c>
      <c r="H1373" s="9">
        <f t="shared" si="168"/>
        <v>10863.6</v>
      </c>
      <c r="I1373" s="6">
        <v>1</v>
      </c>
      <c r="J1373" s="9" t="str">
        <f>IFERROR(VLOOKUP($D1373,FIYAT!$B:$O,9,FALSE()),"")</f>
        <v>Шт.</v>
      </c>
      <c r="K1373" s="9" t="str">
        <f>IFERROR(VLOOKUP($D1373,FIYAT!$B:$O,4,FALSE()),"")</f>
        <v>CHINT</v>
      </c>
      <c r="L1373" s="9">
        <f t="shared" si="169"/>
        <v>10863.6</v>
      </c>
      <c r="M1373" s="9"/>
      <c r="N1373" s="9"/>
      <c r="O1373" s="9"/>
      <c r="P1373" s="9" t="str">
        <f>IF($H1373="","FIYAT_YOK",IFERROR(VLOOKUP($D1373,FIYAT!$B:$P,15,FALSE()),""))</f>
        <v>OK</v>
      </c>
      <c r="Q1373" s="9" t="s">
        <v>177</v>
      </c>
      <c r="R1373" s="9" t="s">
        <v>171</v>
      </c>
      <c r="S1373" s="9" t="s">
        <v>716</v>
      </c>
      <c r="T1373" s="9" t="s">
        <v>57</v>
      </c>
      <c r="U1373" s="9">
        <f>IFERROR(VLOOKUP($T1373,KURALLAR!$A$32:$B$63,2,FALSE()),0)*IF(ISNUMBER($I1373),$I1373,0)</f>
        <v>10</v>
      </c>
    </row>
    <row r="1374" spans="1:21" x14ac:dyDescent="0.25">
      <c r="A1374" s="5">
        <v>1373</v>
      </c>
      <c r="B1374" s="5"/>
      <c r="C1374" s="5" t="s">
        <v>79</v>
      </c>
      <c r="D1374" s="5" t="s">
        <v>179</v>
      </c>
      <c r="E1374" s="5" t="str">
        <f>IFERROR(VLOOKUP($D1374,FIYAT!$B:$O,2,FALSE()),"")</f>
        <v>Держатель плавкой вставки RT36-00-160, габарит 00, 160А</v>
      </c>
      <c r="F1374" s="5">
        <f>IFERROR(VLOOKUP($D1374,FIYAT!$B:$O,5,FALSE()),"")</f>
        <v>2038</v>
      </c>
      <c r="G1374" s="5">
        <f>IFERROR(VLOOKUP($D1374,FIYAT!$B:$O,8,FALSE()),"")</f>
        <v>1222.8</v>
      </c>
      <c r="H1374" s="5">
        <f t="shared" si="168"/>
        <v>4891.2</v>
      </c>
      <c r="I1374" s="6">
        <v>4</v>
      </c>
      <c r="J1374" s="5" t="str">
        <f>IFERROR(VLOOKUP($D1374,FIYAT!$B:$O,9,FALSE()),"")</f>
        <v>Шт.</v>
      </c>
      <c r="K1374" s="5" t="str">
        <f>IFERROR(VLOOKUP($D1374,FIYAT!$B:$O,4,FALSE()),"")</f>
        <v>CHINT</v>
      </c>
      <c r="L1374" s="5">
        <f t="shared" si="169"/>
        <v>4891.2</v>
      </c>
      <c r="M1374" s="5"/>
      <c r="N1374" s="5"/>
      <c r="O1374" s="5"/>
      <c r="P1374" s="5" t="str">
        <f>IF($H1374="","FIYAT_YOK",IFERROR(VLOOKUP($D1374,FIYAT!$B:$P,15,FALSE()),""))</f>
        <v>MUADIL</v>
      </c>
      <c r="Q1374" s="5" t="s">
        <v>181</v>
      </c>
      <c r="R1374" s="5" t="s">
        <v>171</v>
      </c>
      <c r="S1374" s="5" t="s">
        <v>716</v>
      </c>
      <c r="T1374" s="5" t="s">
        <v>77</v>
      </c>
      <c r="U1374" s="5">
        <f>IFERROR(VLOOKUP($T1374,KURALLAR!$A$32:$B$63,2,FALSE()),0)*IF(ISNUMBER($I1374),$I1374,0)</f>
        <v>20</v>
      </c>
    </row>
    <row r="1375" spans="1:21" x14ac:dyDescent="0.25">
      <c r="A1375" s="9">
        <v>1374</v>
      </c>
      <c r="B1375" s="9"/>
      <c r="C1375" s="9" t="s">
        <v>79</v>
      </c>
      <c r="D1375" s="9" t="s">
        <v>182</v>
      </c>
      <c r="E1375" s="9" t="str">
        <f>IFERROR(VLOOKUP($D1375,FIYAT!$B:$O,2,FALSE()),"")</f>
        <v>Плавкая вставка предохранителя RT36-00-160, габарит 00, 63А</v>
      </c>
      <c r="F1375" s="9">
        <f>IFERROR(VLOOKUP($D1375,FIYAT!$B:$O,5,FALSE()),"")</f>
        <v>1525</v>
      </c>
      <c r="G1375" s="9">
        <f>IFERROR(VLOOKUP($D1375,FIYAT!$B:$O,8,FALSE()),"")</f>
        <v>915</v>
      </c>
      <c r="H1375" s="9">
        <f t="shared" si="168"/>
        <v>3660</v>
      </c>
      <c r="I1375" s="6">
        <v>4</v>
      </c>
      <c r="J1375" s="9" t="str">
        <f>IFERROR(VLOOKUP($D1375,FIYAT!$B:$O,9,FALSE()),"")</f>
        <v>Шт.</v>
      </c>
      <c r="K1375" s="9" t="str">
        <f>IFERROR(VLOOKUP($D1375,FIYAT!$B:$O,4,FALSE()),"")</f>
        <v>CHINT</v>
      </c>
      <c r="L1375" s="9">
        <f t="shared" si="169"/>
        <v>3660</v>
      </c>
      <c r="M1375" s="9"/>
      <c r="N1375" s="9"/>
      <c r="O1375" s="9"/>
      <c r="P1375" s="9" t="str">
        <f>IF($H1375="","FIYAT_YOK",IFERROR(VLOOKUP($D1375,FIYAT!$B:$P,15,FALSE()),""))</f>
        <v>MUADIL</v>
      </c>
      <c r="Q1375" s="9" t="s">
        <v>185</v>
      </c>
      <c r="R1375" s="9" t="s">
        <v>184</v>
      </c>
      <c r="S1375" s="9" t="s">
        <v>716</v>
      </c>
      <c r="T1375" s="9" t="s">
        <v>79</v>
      </c>
      <c r="U1375" s="9">
        <f>IFERROR(VLOOKUP($T1375,KURALLAR!$A$32:$B$63,2,FALSE()),0)*IF(ISNUMBER($I1375),$I1375,0)</f>
        <v>12</v>
      </c>
    </row>
    <row r="1376" spans="1:21" x14ac:dyDescent="0.25">
      <c r="A1376" s="5">
        <v>1375</v>
      </c>
      <c r="B1376" s="5"/>
      <c r="C1376" s="5" t="s">
        <v>75</v>
      </c>
      <c r="D1376" s="5" t="s">
        <v>186</v>
      </c>
      <c r="E1376" s="5" t="str">
        <f>IFERROR(VLOOKUP($D1376,FIYAT!$B:$O,2,FALSE()),"")</f>
        <v>Ограничитель имп. перенапр. NU6-IIG 4Р In=25kA Uc=440B Im=65kA (R)</v>
      </c>
      <c r="F1376" s="5">
        <f>IFERROR(VLOOKUP($D1376,FIYAT!$B:$O,5,FALSE()),"")</f>
        <v>33208</v>
      </c>
      <c r="G1376" s="5">
        <f>IFERROR(VLOOKUP($D1376,FIYAT!$B:$O,8,FALSE()),"")</f>
        <v>19924.8</v>
      </c>
      <c r="H1376" s="5">
        <f t="shared" si="168"/>
        <v>19924.8</v>
      </c>
      <c r="I1376" s="6">
        <v>1</v>
      </c>
      <c r="J1376" s="5" t="str">
        <f>IFERROR(VLOOKUP($D1376,FIYAT!$B:$O,9,FALSE()),"")</f>
        <v>Шт.</v>
      </c>
      <c r="K1376" s="5" t="str">
        <f>IFERROR(VLOOKUP($D1376,FIYAT!$B:$O,4,FALSE()),"")</f>
        <v>CHINT</v>
      </c>
      <c r="L1376" s="5">
        <f t="shared" si="169"/>
        <v>19924.8</v>
      </c>
      <c r="M1376" s="5"/>
      <c r="N1376" s="5"/>
      <c r="O1376" s="5"/>
      <c r="P1376" s="5" t="str">
        <f>IF($H1376="","FIYAT_YOK",IFERROR(VLOOKUP($D1376,FIYAT!$B:$P,15,FALSE()),""))</f>
        <v>MUADIL_ONAY</v>
      </c>
      <c r="Q1376" s="5" t="s">
        <v>188</v>
      </c>
      <c r="R1376" s="5" t="s">
        <v>184</v>
      </c>
      <c r="S1376" s="5" t="s">
        <v>716</v>
      </c>
      <c r="T1376" s="5" t="s">
        <v>75</v>
      </c>
      <c r="U1376" s="5">
        <f>IFERROR(VLOOKUP($T1376,KURALLAR!$A$32:$B$63,2,FALSE()),0)*IF(ISNUMBER($I1376),$I1376,0)</f>
        <v>10</v>
      </c>
    </row>
    <row r="1377" spans="1:21" x14ac:dyDescent="0.25">
      <c r="A1377" s="9">
        <v>1376</v>
      </c>
      <c r="B1377" s="9"/>
      <c r="C1377" s="9" t="s">
        <v>192</v>
      </c>
      <c r="D1377" s="9" t="s">
        <v>321</v>
      </c>
      <c r="E1377" s="9" t="str">
        <f>IFERROR(VLOOKUP($D1377,FIYAT!$B:$O,2,FALSE()),"")</f>
        <v>Авт. выкл. NXB-63 1P 25A 6кА х-ка C (R)</v>
      </c>
      <c r="F1377" s="9">
        <f>IFERROR(VLOOKUP($D1377,FIYAT!$B:$O,5,FALSE()),"")</f>
        <v>1330</v>
      </c>
      <c r="G1377" s="9">
        <f>IFERROR(VLOOKUP($D1377,FIYAT!$B:$O,8,FALSE()),"")</f>
        <v>798</v>
      </c>
      <c r="H1377" s="9">
        <f t="shared" si="168"/>
        <v>798</v>
      </c>
      <c r="I1377" s="6">
        <v>1</v>
      </c>
      <c r="J1377" s="9" t="str">
        <f>IFERROR(VLOOKUP($D1377,FIYAT!$B:$O,9,FALSE()),"")</f>
        <v>Шт.</v>
      </c>
      <c r="K1377" s="9" t="str">
        <f>IFERROR(VLOOKUP($D1377,FIYAT!$B:$O,4,FALSE()),"")</f>
        <v>CHINT</v>
      </c>
      <c r="L1377" s="9">
        <f t="shared" si="169"/>
        <v>798</v>
      </c>
      <c r="M1377" s="9"/>
      <c r="N1377" s="9"/>
      <c r="O1377" s="9"/>
      <c r="P1377" s="9" t="str">
        <f>IF($H1377="","FIYAT_YOK",IFERROR(VLOOKUP($D1377,FIYAT!$B:$P,15,FALSE()),""))</f>
        <v>OK</v>
      </c>
      <c r="Q1377" s="9" t="s">
        <v>323</v>
      </c>
      <c r="R1377" s="9" t="s">
        <v>171</v>
      </c>
      <c r="S1377" s="9" t="s">
        <v>716</v>
      </c>
      <c r="T1377" s="9" t="s">
        <v>47</v>
      </c>
      <c r="U1377" s="9">
        <f>IFERROR(VLOOKUP($T1377,KURALLAR!$A$32:$B$63,2,FALSE()),0)*IF(ISNUMBER($I1377),$I1377,0)</f>
        <v>3</v>
      </c>
    </row>
    <row r="1378" spans="1:21" x14ac:dyDescent="0.25">
      <c r="A1378" s="5">
        <v>1377</v>
      </c>
      <c r="B1378" s="5"/>
      <c r="C1378" s="5" t="s">
        <v>192</v>
      </c>
      <c r="D1378" s="5" t="s">
        <v>194</v>
      </c>
      <c r="E1378" s="5" t="str">
        <f>IFERROR(VLOOKUP($D1378,FIYAT!$B:$O,2,FALSE()),"")</f>
        <v>Авт. выкл. NXB-63 1P 16A 6кА х-ка C (R)</v>
      </c>
      <c r="F1378" s="5">
        <f>IFERROR(VLOOKUP($D1378,FIYAT!$B:$O,5,FALSE()),"")</f>
        <v>1389</v>
      </c>
      <c r="G1378" s="5">
        <f>IFERROR(VLOOKUP($D1378,FIYAT!$B:$O,8,FALSE()),"")</f>
        <v>833.4</v>
      </c>
      <c r="H1378" s="5">
        <f t="shared" si="168"/>
        <v>5000.3999999999996</v>
      </c>
      <c r="I1378" s="6">
        <v>6</v>
      </c>
      <c r="J1378" s="5" t="str">
        <f>IFERROR(VLOOKUP($D1378,FIYAT!$B:$O,9,FALSE()),"")</f>
        <v>Шт.</v>
      </c>
      <c r="K1378" s="5" t="str">
        <f>IFERROR(VLOOKUP($D1378,FIYAT!$B:$O,4,FALSE()),"")</f>
        <v>CHINT</v>
      </c>
      <c r="L1378" s="5">
        <f t="shared" si="169"/>
        <v>5000.3999999999996</v>
      </c>
      <c r="M1378" s="5"/>
      <c r="N1378" s="5"/>
      <c r="O1378" s="5"/>
      <c r="P1378" s="5" t="str">
        <f>IF($H1378="","FIYAT_YOK",IFERROR(VLOOKUP($D1378,FIYAT!$B:$P,15,FALSE()),""))</f>
        <v>OK</v>
      </c>
      <c r="Q1378" s="5" t="s">
        <v>196</v>
      </c>
      <c r="R1378" s="5" t="s">
        <v>171</v>
      </c>
      <c r="S1378" s="5" t="s">
        <v>716</v>
      </c>
      <c r="T1378" s="5" t="s">
        <v>47</v>
      </c>
      <c r="U1378" s="5">
        <f>IFERROR(VLOOKUP($T1378,KURALLAR!$A$32:$B$63,2,FALSE()),0)*IF(ISNUMBER($I1378),$I1378,0)</f>
        <v>18</v>
      </c>
    </row>
    <row r="1379" spans="1:21" x14ac:dyDescent="0.25">
      <c r="A1379" s="9">
        <v>1378</v>
      </c>
      <c r="B1379" s="9"/>
      <c r="C1379" s="9" t="s">
        <v>176</v>
      </c>
      <c r="D1379" s="9" t="s">
        <v>324</v>
      </c>
      <c r="E1379" s="9" t="str">
        <f>IFERROR(VLOOKUP($D1379,FIYAT!$B:$O,2,FALSE()),"")</f>
        <v>УЗО NL1-63 6kA 2P 25A 30mA тип AC (R)</v>
      </c>
      <c r="F1379" s="9">
        <f>IFERROR(VLOOKUP($D1379,FIYAT!$B:$O,5,FALSE()),"")</f>
        <v>10809</v>
      </c>
      <c r="G1379" s="9">
        <f>IFERROR(VLOOKUP($D1379,FIYAT!$B:$O,8,FALSE()),"")</f>
        <v>6485.4</v>
      </c>
      <c r="H1379" s="9">
        <f t="shared" si="168"/>
        <v>6485.4</v>
      </c>
      <c r="I1379" s="6">
        <v>1</v>
      </c>
      <c r="J1379" s="9" t="str">
        <f>IFERROR(VLOOKUP($D1379,FIYAT!$B:$O,9,FALSE()),"")</f>
        <v>Шт.</v>
      </c>
      <c r="K1379" s="9" t="str">
        <f>IFERROR(VLOOKUP($D1379,FIYAT!$B:$O,4,FALSE()),"")</f>
        <v>CHINT</v>
      </c>
      <c r="L1379" s="9">
        <f t="shared" si="169"/>
        <v>6485.4</v>
      </c>
      <c r="M1379" s="9"/>
      <c r="N1379" s="9"/>
      <c r="O1379" s="9"/>
      <c r="P1379" s="9" t="str">
        <f>IF($H1379="","FIYAT_YOK",IFERROR(VLOOKUP($D1379,FIYAT!$B:$P,15,FALSE()),""))</f>
        <v>OK</v>
      </c>
      <c r="Q1379" s="9" t="s">
        <v>326</v>
      </c>
      <c r="R1379" s="9" t="s">
        <v>171</v>
      </c>
      <c r="S1379" s="9" t="s">
        <v>716</v>
      </c>
      <c r="T1379" s="9" t="s">
        <v>55</v>
      </c>
      <c r="U1379" s="9">
        <f>IFERROR(VLOOKUP($T1379,KURALLAR!$A$32:$B$63,2,FALSE()),0)*IF(ISNUMBER($I1379),$I1379,0)</f>
        <v>6</v>
      </c>
    </row>
    <row r="1380" spans="1:21" x14ac:dyDescent="0.25">
      <c r="A1380" s="5">
        <v>1379</v>
      </c>
      <c r="B1380" s="5"/>
      <c r="C1380" s="5" t="s">
        <v>176</v>
      </c>
      <c r="D1380" s="5" t="s">
        <v>200</v>
      </c>
      <c r="E1380" s="5" t="str">
        <f>IFERROR(VLOOKUP($D1380,FIYAT!$B:$O,2,FALSE()),"")</f>
        <v>УЗО NL1-63 6kA 2P 16A 30mA тип AC (R)</v>
      </c>
      <c r="F1380" s="5">
        <f>IFERROR(VLOOKUP($D1380,FIYAT!$B:$O,5,FALSE()),"")</f>
        <v>10809</v>
      </c>
      <c r="G1380" s="5">
        <f>IFERROR(VLOOKUP($D1380,FIYAT!$B:$O,8,FALSE()),"")</f>
        <v>6485.4</v>
      </c>
      <c r="H1380" s="5">
        <f t="shared" si="168"/>
        <v>6485.4</v>
      </c>
      <c r="I1380" s="6">
        <v>1</v>
      </c>
      <c r="J1380" s="5" t="str">
        <f>IFERROR(VLOOKUP($D1380,FIYAT!$B:$O,9,FALSE()),"")</f>
        <v>Шт.</v>
      </c>
      <c r="K1380" s="5" t="str">
        <f>IFERROR(VLOOKUP($D1380,FIYAT!$B:$O,4,FALSE()),"")</f>
        <v>CHINT</v>
      </c>
      <c r="L1380" s="5">
        <f t="shared" si="169"/>
        <v>6485.4</v>
      </c>
      <c r="M1380" s="5"/>
      <c r="N1380" s="5"/>
      <c r="O1380" s="5"/>
      <c r="P1380" s="5" t="str">
        <f>IF($H1380="","FIYAT_YOK",IFERROR(VLOOKUP($D1380,FIYAT!$B:$P,15,FALSE()),""))</f>
        <v>OK</v>
      </c>
      <c r="Q1380" s="5" t="s">
        <v>202</v>
      </c>
      <c r="R1380" s="5" t="s">
        <v>171</v>
      </c>
      <c r="S1380" s="5" t="s">
        <v>716</v>
      </c>
      <c r="T1380" s="5" t="s">
        <v>55</v>
      </c>
      <c r="U1380" s="5">
        <f>IFERROR(VLOOKUP($T1380,KURALLAR!$A$32:$B$63,2,FALSE()),0)*IF(ISNUMBER($I1380),$I1380,0)</f>
        <v>6</v>
      </c>
    </row>
    <row r="1381" spans="1:21" x14ac:dyDescent="0.25">
      <c r="A1381" s="9">
        <v>1380</v>
      </c>
      <c r="B1381" s="9"/>
      <c r="C1381" s="9" t="s">
        <v>192</v>
      </c>
      <c r="D1381" s="9" t="s">
        <v>206</v>
      </c>
      <c r="E1381" s="9" t="str">
        <f>IFERROR(VLOOKUP($D1381,FIYAT!$B:$O,2,FALSE()),"")</f>
        <v>Авт. выкл. NXB-63 1P 10A 6кА х-ка C (R)</v>
      </c>
      <c r="F1381" s="9">
        <f>IFERROR(VLOOKUP($D1381,FIYAT!$B:$O,5,FALSE()),"")</f>
        <v>1362</v>
      </c>
      <c r="G1381" s="9">
        <f>IFERROR(VLOOKUP($D1381,FIYAT!$B:$O,8,FALSE()),"")</f>
        <v>817.19999999999993</v>
      </c>
      <c r="H1381" s="9">
        <f t="shared" si="168"/>
        <v>4085.9999999999995</v>
      </c>
      <c r="I1381" s="6">
        <v>5</v>
      </c>
      <c r="J1381" s="9" t="str">
        <f>IFERROR(VLOOKUP($D1381,FIYAT!$B:$O,9,FALSE()),"")</f>
        <v>Шт.</v>
      </c>
      <c r="K1381" s="9" t="str">
        <f>IFERROR(VLOOKUP($D1381,FIYAT!$B:$O,4,FALSE()),"")</f>
        <v>CHINT</v>
      </c>
      <c r="L1381" s="9">
        <f t="shared" si="169"/>
        <v>4085.9999999999995</v>
      </c>
      <c r="M1381" s="9"/>
      <c r="N1381" s="9"/>
      <c r="O1381" s="9"/>
      <c r="P1381" s="9" t="str">
        <f>IF($H1381="","FIYAT_YOK",IFERROR(VLOOKUP($D1381,FIYAT!$B:$P,15,FALSE()),""))</f>
        <v>OK</v>
      </c>
      <c r="Q1381" s="9" t="s">
        <v>208</v>
      </c>
      <c r="R1381" s="9" t="s">
        <v>184</v>
      </c>
      <c r="S1381" s="9" t="s">
        <v>716</v>
      </c>
      <c r="T1381" s="9" t="s">
        <v>47</v>
      </c>
      <c r="U1381" s="9">
        <f>IFERROR(VLOOKUP($T1381,KURALLAR!$A$32:$B$63,2,FALSE()),0)*IF(ISNUMBER($I1381),$I1381,0)</f>
        <v>15</v>
      </c>
    </row>
    <row r="1382" spans="1:21" x14ac:dyDescent="0.25">
      <c r="A1382" s="5">
        <v>1381</v>
      </c>
      <c r="B1382" s="5"/>
      <c r="C1382" s="5" t="s">
        <v>93</v>
      </c>
      <c r="D1382" s="5" t="s">
        <v>209</v>
      </c>
      <c r="E1382" s="5" t="str">
        <f>IFERROR(VLOOKUP($D1382,FIYAT!$B:$O,2,FALSE()),"")</f>
        <v>Шина "N" нулевая 6х9мм на DIN-рейку в корпусном изоляторе ШНИ 12К IEK (10)</v>
      </c>
      <c r="F1382" s="5">
        <f>IFERROR(VLOOKUP($D1382,FIYAT!$B:$O,5,FALSE()),"")</f>
        <v>755</v>
      </c>
      <c r="G1382" s="5">
        <f>IFERROR(VLOOKUP($D1382,FIYAT!$B:$O,8,FALSE()),"")</f>
        <v>453</v>
      </c>
      <c r="H1382" s="5">
        <f t="shared" si="168"/>
        <v>1812</v>
      </c>
      <c r="I1382" s="6">
        <v>4</v>
      </c>
      <c r="J1382" s="5" t="str">
        <f>IFERROR(VLOOKUP($D1382,FIYAT!$B:$O,9,FALSE()),"")</f>
        <v>Шт.</v>
      </c>
      <c r="K1382" s="5" t="str">
        <f>IFERROR(VLOOKUP($D1382,FIYAT!$B:$O,4,FALSE()),"")</f>
        <v>KAZTEK</v>
      </c>
      <c r="L1382" s="5">
        <f t="shared" si="169"/>
        <v>1812</v>
      </c>
      <c r="M1382" s="5"/>
      <c r="N1382" s="5"/>
      <c r="O1382" s="5"/>
      <c r="P1382" s="5" t="str">
        <f>IF($H1382="","FIYAT_YOK",IFERROR(VLOOKUP($D1382,FIYAT!$B:$P,15,FALSE()),""))</f>
        <v>MUADIL</v>
      </c>
      <c r="Q1382" s="5" t="s">
        <v>212</v>
      </c>
      <c r="R1382" s="5" t="s">
        <v>211</v>
      </c>
      <c r="S1382" s="5" t="s">
        <v>716</v>
      </c>
      <c r="T1382" s="5" t="s">
        <v>93</v>
      </c>
      <c r="U1382" s="5">
        <f>IFERROR(VLOOKUP($T1382,KURALLAR!$A$32:$B$63,2,FALSE()),0)*IF(ISNUMBER($I1382),$I1382,0)</f>
        <v>32</v>
      </c>
    </row>
    <row r="1383" spans="1:21" x14ac:dyDescent="0.25">
      <c r="A1383" s="9">
        <v>1382</v>
      </c>
      <c r="B1383" s="9"/>
      <c r="C1383" s="9" t="s">
        <v>222</v>
      </c>
      <c r="D1383" s="9" t="s">
        <v>310</v>
      </c>
      <c r="E1383" s="9" t="str">
        <f>IFERROR(VLOOKUP($D1383,FIYAT!$B:$O,2,FALSE()),"")</f>
        <v>Мет.Корпус ЩМП-4 (800x650x250) IP54</v>
      </c>
      <c r="F1383" s="9">
        <f>IFERROR(VLOOKUP($D1383,FIYAT!$B:$O,5,FALSE()),"")</f>
        <v>30540</v>
      </c>
      <c r="G1383" s="9">
        <f>IFERROR(VLOOKUP($D1383,FIYAT!$B:$O,8,FALSE()),"")</f>
        <v>18324</v>
      </c>
      <c r="H1383" s="9">
        <f t="shared" si="168"/>
        <v>18324</v>
      </c>
      <c r="I1383" s="6">
        <v>1</v>
      </c>
      <c r="J1383" s="9" t="str">
        <f>IFERROR(VLOOKUP($D1383,FIYAT!$B:$O,9,FALSE()),"")</f>
        <v>Шт.</v>
      </c>
      <c r="K1383" s="9" t="str">
        <f>IFERROR(VLOOKUP($D1383,FIYAT!$B:$O,4,FALSE()),"")</f>
        <v>KAZTEK</v>
      </c>
      <c r="L1383" s="9">
        <f t="shared" si="169"/>
        <v>18324</v>
      </c>
      <c r="M1383" s="9"/>
      <c r="N1383" s="9"/>
      <c r="O1383" s="9"/>
      <c r="P1383" s="9" t="str">
        <f>IF($H1383="","FIYAT_YOK",IFERROR(VLOOKUP($D1383,FIYAT!$B:$P,15,FALSE()),""))</f>
        <v>VARSAYIM</v>
      </c>
      <c r="Q1383" s="9" t="s">
        <v>312</v>
      </c>
      <c r="R1383" s="9" t="s">
        <v>211</v>
      </c>
      <c r="S1383" s="9" t="s">
        <v>716</v>
      </c>
      <c r="T1383" s="9" t="s">
        <v>105</v>
      </c>
      <c r="U1383" s="9">
        <f>IFERROR(VLOOKUP($T1383,KURALLAR!$A$32:$B$63,2,FALSE()),0)*IF(ISNUMBER($I1383),$I1383,0)</f>
        <v>30</v>
      </c>
    </row>
    <row r="1384" spans="1:21" x14ac:dyDescent="0.25">
      <c r="A1384" s="5">
        <v>1383</v>
      </c>
      <c r="B1384" s="5"/>
      <c r="C1384" s="5" t="s">
        <v>215</v>
      </c>
      <c r="D1384" s="5" t="s">
        <v>213</v>
      </c>
      <c r="E1384" s="5" t="str">
        <f>IFERROR(VLOOKUP($D1384,FIYAT!$B:$O,2,FALSE()),"")</f>
        <v>Монтажный расходный материал (кабель, DIN-рейка, кабель-канал, клеммы, маркировка, крепёж)</v>
      </c>
      <c r="F1384" s="5">
        <f>IFERROR(VLOOKUP($D1384,FIYAT!$B:$O,5,FALSE()),"")</f>
        <v>0</v>
      </c>
      <c r="G1384" s="5" t="str">
        <f>IFERROR(VLOOKUP($D1384,FIYAT!$B:$O,8,FALSE()),"")</f>
        <v/>
      </c>
      <c r="H1384" s="5">
        <f>ROUND(SUM($H$1372:$H$1383)*KURALLAR!$B$28,0)</f>
        <v>8479</v>
      </c>
      <c r="I1384" s="6">
        <v>1</v>
      </c>
      <c r="J1384" s="5" t="str">
        <f>IFERROR(VLOOKUP($D1384,FIYAT!$B:$O,9,FALSE()),"")</f>
        <v>компл.</v>
      </c>
      <c r="K1384" s="5" t="str">
        <f>IFERROR(VLOOKUP($D1384,FIYAT!$B:$O,4,FALSE()),"")</f>
        <v>MUADIL-NET</v>
      </c>
      <c r="L1384" s="5">
        <f t="shared" si="169"/>
        <v>8479</v>
      </c>
      <c r="M1384" s="5"/>
      <c r="N1384" s="5"/>
      <c r="O1384" s="5"/>
      <c r="P1384" s="5" t="str">
        <f>IF($H1384="","FIYAT_YOK",IFERROR(VLOOKUP($D1384,FIYAT!$B:$P,15,FALSE()),""))</f>
        <v>ORAN</v>
      </c>
      <c r="Q1384" s="5" t="s">
        <v>218</v>
      </c>
      <c r="R1384" s="5" t="s">
        <v>217</v>
      </c>
      <c r="S1384" s="5" t="s">
        <v>716</v>
      </c>
      <c r="T1384" s="5"/>
      <c r="U1384" s="5">
        <v>0</v>
      </c>
    </row>
    <row r="1385" spans="1:21" x14ac:dyDescent="0.25">
      <c r="A1385" s="9">
        <v>1384</v>
      </c>
      <c r="B1385" s="9"/>
      <c r="C1385" s="9" t="s">
        <v>227</v>
      </c>
      <c r="D1385" s="9" t="s">
        <v>225</v>
      </c>
      <c r="E1385" s="9" t="str">
        <f>IFERROR(VLOOKUP($D1385,FIYAT!$B:$O,2,FALSE()),"")</f>
        <v>Сборка, кабелирование, маркировка, момент затяжки, испытания</v>
      </c>
      <c r="F1385" s="9">
        <f>IFERROR(VLOOKUP($D1385,FIYAT!$B:$O,5,FALSE()),"")</f>
        <v>100</v>
      </c>
      <c r="G1385" s="9">
        <f>IFERROR(VLOOKUP($D1385,FIYAT!$B:$O,8,FALSE()),"")</f>
        <v>100</v>
      </c>
      <c r="H1385" s="9">
        <f>IF(OR($G1385="",$I1385=""),"",$G1385*$I1385)</f>
        <v>20400</v>
      </c>
      <c r="I1385" s="6">
        <f>ROUND(SUM($U$1372:$U$1384)*KURALLAR!$B$27,0)</f>
        <v>204</v>
      </c>
      <c r="J1385" s="9" t="str">
        <f>IFERROR(VLOOKUP($D1385,FIYAT!$B:$O,9,FALSE()),"")</f>
        <v>мин</v>
      </c>
      <c r="K1385" s="9" t="str">
        <f>IFERROR(VLOOKUP($D1385,FIYAT!$B:$O,4,FALSE()),"")</f>
        <v>ISCILIK</v>
      </c>
      <c r="L1385" s="9">
        <f t="shared" si="169"/>
        <v>20400</v>
      </c>
      <c r="M1385" s="9"/>
      <c r="N1385" s="9"/>
      <c r="O1385" s="9"/>
      <c r="P1385" s="9" t="str">
        <f>IF($H1385="","FIYAT_YOK",IFERROR(VLOOKUP($D1385,FIYAT!$B:$P,15,FALSE()),""))</f>
        <v>OK</v>
      </c>
      <c r="Q1385" s="9" t="str">
        <f>CONCATENATE("montaj+test iscilik: ",TEXT($I1385,"# ##0")," dk = ",TEXT($I1385/60,"0,00")," saat (norm x test/etiket carpani)")</f>
        <v>montaj+test iscilik:  204 dk = 3,40 saat (norm x test/etiket carpani)</v>
      </c>
      <c r="R1385" s="9" t="s">
        <v>229</v>
      </c>
      <c r="S1385" s="9" t="s">
        <v>716</v>
      </c>
      <c r="T1385" s="9"/>
      <c r="U1385" s="9">
        <v>0</v>
      </c>
    </row>
    <row r="1386" spans="1:21" x14ac:dyDescent="0.25">
      <c r="A1386" s="10">
        <v>1385</v>
      </c>
      <c r="B1386" s="10" t="s">
        <v>721</v>
      </c>
      <c r="C1386" s="10"/>
      <c r="D1386" s="10"/>
      <c r="E1386" s="10"/>
      <c r="F1386" s="10"/>
      <c r="G1386" s="10"/>
      <c r="H1386" s="10">
        <f>SUBTOTAL(9,H1372:H1385)</f>
        <v>150009.99999999997</v>
      </c>
      <c r="I1386" s="10"/>
      <c r="J1386" s="10"/>
      <c r="K1386" s="10"/>
      <c r="L1386" s="10">
        <f>SUBTOTAL(9,L1372:L1385)</f>
        <v>150009.99999999997</v>
      </c>
      <c r="M1386" s="10"/>
      <c r="N1386" s="10"/>
      <c r="O1386" s="10"/>
      <c r="P1386" s="10"/>
      <c r="Q1386" s="10"/>
      <c r="R1386" s="10"/>
      <c r="S1386" s="10"/>
      <c r="T1386" s="10"/>
      <c r="U1386" s="10">
        <f>SUBTOTAL(9,U1372:U1385)</f>
        <v>177</v>
      </c>
    </row>
    <row r="1387" spans="1:21" x14ac:dyDescent="0.25">
      <c r="A1387" s="8">
        <v>1386</v>
      </c>
      <c r="B1387" s="8" t="str">
        <f>E1387</f>
        <v>BLOK P / B1-ЩС-P — НКУ 380/220В 50Гц, FORM 2B, IP31/54</v>
      </c>
      <c r="C1387" s="8" t="s">
        <v>545</v>
      </c>
      <c r="D1387" s="8"/>
      <c r="E1387" s="8" t="s">
        <v>722</v>
      </c>
      <c r="F1387" s="8"/>
      <c r="G1387" s="8"/>
      <c r="H1387" s="8"/>
      <c r="I1387" s="8">
        <v>1</v>
      </c>
      <c r="J1387" s="8" t="s">
        <v>547</v>
      </c>
      <c r="K1387" s="8"/>
      <c r="L1387" s="8"/>
      <c r="M1387" s="8"/>
      <c r="N1387" s="8"/>
      <c r="O1387" s="8"/>
      <c r="P1387" s="8" t="s">
        <v>178</v>
      </c>
      <c r="Q1387" s="8" t="s">
        <v>548</v>
      </c>
      <c r="R1387" s="8" t="s">
        <v>549</v>
      </c>
      <c r="S1387" s="8" t="s">
        <v>716</v>
      </c>
      <c r="T1387" s="8"/>
      <c r="U1387" s="8"/>
    </row>
    <row r="1388" spans="1:21" x14ac:dyDescent="0.25">
      <c r="A1388" s="5">
        <v>1387</v>
      </c>
      <c r="B1388" s="5"/>
      <c r="C1388" s="5" t="s">
        <v>169</v>
      </c>
      <c r="D1388" s="5" t="s">
        <v>167</v>
      </c>
      <c r="E1388" s="5" t="str">
        <f>IFERROR(VLOOKUP($D1388,FIYAT!$B:$O,2,FALSE()),"")</f>
        <v>Авт. выкл. NM8N-125C TM 3P 32А 36кА с рег. термомаг. расцепителем (R)</v>
      </c>
      <c r="F1388" s="5">
        <f>IFERROR(VLOOKUP($D1388,FIYAT!$B:$O,5,FALSE()),"")</f>
        <v>64667</v>
      </c>
      <c r="G1388" s="5">
        <f>IFERROR(VLOOKUP($D1388,FIYAT!$B:$O,8,FALSE()),"")</f>
        <v>38800.199999999997</v>
      </c>
      <c r="H1388" s="5">
        <f t="shared" ref="H1388:H1400" si="170">IF(OR($G1388="",$I1388=""),"",$G1388*$I1388)</f>
        <v>38800.199999999997</v>
      </c>
      <c r="I1388" s="6">
        <v>1</v>
      </c>
      <c r="J1388" s="5" t="str">
        <f>IFERROR(VLOOKUP($D1388,FIYAT!$B:$O,9,FALSE()),"")</f>
        <v>Шт.</v>
      </c>
      <c r="K1388" s="5" t="str">
        <f>IFERROR(VLOOKUP($D1388,FIYAT!$B:$O,4,FALSE()),"")</f>
        <v>CHINT</v>
      </c>
      <c r="L1388" s="5">
        <f t="shared" ref="L1388:L1402" si="171">IF($H1388="","",$H1388)</f>
        <v>38800.199999999997</v>
      </c>
      <c r="M1388" s="5"/>
      <c r="N1388" s="5"/>
      <c r="O1388" s="5"/>
      <c r="P1388" s="5" t="str">
        <f>IF($H1388="","FIYAT_YOK",IFERROR(VLOOKUP($D1388,FIYAT!$B:$P,15,FALSE()),""))</f>
        <v>MUADIL</v>
      </c>
      <c r="Q1388" s="5" t="s">
        <v>172</v>
      </c>
      <c r="R1388" s="5" t="s">
        <v>171</v>
      </c>
      <c r="S1388" s="5" t="s">
        <v>716</v>
      </c>
      <c r="T1388" s="5" t="s">
        <v>61</v>
      </c>
      <c r="U1388" s="5">
        <f>IFERROR(VLOOKUP($T1388,KURALLAR!$A$32:$B$63,2,FALSE()),0)*IF(ISNUMBER($I1388),$I1388,0)</f>
        <v>15</v>
      </c>
    </row>
    <row r="1389" spans="1:21" x14ac:dyDescent="0.25">
      <c r="A1389" s="9">
        <v>1388</v>
      </c>
      <c r="B1389" s="9"/>
      <c r="C1389" s="9" t="s">
        <v>176</v>
      </c>
      <c r="D1389" s="9" t="s">
        <v>174</v>
      </c>
      <c r="E1389" s="9" t="str">
        <f>IFERROR(VLOOKUP($D1389,FIYAT!$B:$O,2,FALSE()),"")</f>
        <v>УЗО NL1-63 6kA 4P 63A 300mA тип AC (R)</v>
      </c>
      <c r="F1389" s="9">
        <f>IFERROR(VLOOKUP($D1389,FIYAT!$B:$O,5,FALSE()),"")</f>
        <v>18106</v>
      </c>
      <c r="G1389" s="9">
        <f>IFERROR(VLOOKUP($D1389,FIYAT!$B:$O,8,FALSE()),"")</f>
        <v>10863.6</v>
      </c>
      <c r="H1389" s="9">
        <f t="shared" si="170"/>
        <v>10863.6</v>
      </c>
      <c r="I1389" s="6">
        <v>1</v>
      </c>
      <c r="J1389" s="9" t="str">
        <f>IFERROR(VLOOKUP($D1389,FIYAT!$B:$O,9,FALSE()),"")</f>
        <v>Шт.</v>
      </c>
      <c r="K1389" s="9" t="str">
        <f>IFERROR(VLOOKUP($D1389,FIYAT!$B:$O,4,FALSE()),"")</f>
        <v>CHINT</v>
      </c>
      <c r="L1389" s="9">
        <f t="shared" si="171"/>
        <v>10863.6</v>
      </c>
      <c r="M1389" s="9"/>
      <c r="N1389" s="9"/>
      <c r="O1389" s="9"/>
      <c r="P1389" s="9" t="str">
        <f>IF($H1389="","FIYAT_YOK",IFERROR(VLOOKUP($D1389,FIYAT!$B:$P,15,FALSE()),""))</f>
        <v>OK</v>
      </c>
      <c r="Q1389" s="9" t="s">
        <v>177</v>
      </c>
      <c r="R1389" s="9" t="s">
        <v>171</v>
      </c>
      <c r="S1389" s="9" t="s">
        <v>716</v>
      </c>
      <c r="T1389" s="9" t="s">
        <v>57</v>
      </c>
      <c r="U1389" s="9">
        <f>IFERROR(VLOOKUP($T1389,KURALLAR!$A$32:$B$63,2,FALSE()),0)*IF(ISNUMBER($I1389),$I1389,0)</f>
        <v>10</v>
      </c>
    </row>
    <row r="1390" spans="1:21" x14ac:dyDescent="0.25">
      <c r="A1390" s="5">
        <v>1389</v>
      </c>
      <c r="B1390" s="5"/>
      <c r="C1390" s="5" t="s">
        <v>79</v>
      </c>
      <c r="D1390" s="5" t="s">
        <v>179</v>
      </c>
      <c r="E1390" s="5" t="str">
        <f>IFERROR(VLOOKUP($D1390,FIYAT!$B:$O,2,FALSE()),"")</f>
        <v>Держатель плавкой вставки RT36-00-160, габарит 00, 160А</v>
      </c>
      <c r="F1390" s="5">
        <f>IFERROR(VLOOKUP($D1390,FIYAT!$B:$O,5,FALSE()),"")</f>
        <v>2038</v>
      </c>
      <c r="G1390" s="5">
        <f>IFERROR(VLOOKUP($D1390,FIYAT!$B:$O,8,FALSE()),"")</f>
        <v>1222.8</v>
      </c>
      <c r="H1390" s="5">
        <f t="shared" si="170"/>
        <v>4891.2</v>
      </c>
      <c r="I1390" s="6">
        <v>4</v>
      </c>
      <c r="J1390" s="5" t="str">
        <f>IFERROR(VLOOKUP($D1390,FIYAT!$B:$O,9,FALSE()),"")</f>
        <v>Шт.</v>
      </c>
      <c r="K1390" s="5" t="str">
        <f>IFERROR(VLOOKUP($D1390,FIYAT!$B:$O,4,FALSE()),"")</f>
        <v>CHINT</v>
      </c>
      <c r="L1390" s="5">
        <f t="shared" si="171"/>
        <v>4891.2</v>
      </c>
      <c r="M1390" s="5"/>
      <c r="N1390" s="5"/>
      <c r="O1390" s="5"/>
      <c r="P1390" s="5" t="str">
        <f>IF($H1390="","FIYAT_YOK",IFERROR(VLOOKUP($D1390,FIYAT!$B:$P,15,FALSE()),""))</f>
        <v>MUADIL</v>
      </c>
      <c r="Q1390" s="5" t="s">
        <v>181</v>
      </c>
      <c r="R1390" s="5" t="s">
        <v>171</v>
      </c>
      <c r="S1390" s="5" t="s">
        <v>716</v>
      </c>
      <c r="T1390" s="5" t="s">
        <v>77</v>
      </c>
      <c r="U1390" s="5">
        <f>IFERROR(VLOOKUP($T1390,KURALLAR!$A$32:$B$63,2,FALSE()),0)*IF(ISNUMBER($I1390),$I1390,0)</f>
        <v>20</v>
      </c>
    </row>
    <row r="1391" spans="1:21" x14ac:dyDescent="0.25">
      <c r="A1391" s="9">
        <v>1390</v>
      </c>
      <c r="B1391" s="9"/>
      <c r="C1391" s="9" t="s">
        <v>79</v>
      </c>
      <c r="D1391" s="9" t="s">
        <v>182</v>
      </c>
      <c r="E1391" s="9" t="str">
        <f>IFERROR(VLOOKUP($D1391,FIYAT!$B:$O,2,FALSE()),"")</f>
        <v>Плавкая вставка предохранителя RT36-00-160, габарит 00, 63А</v>
      </c>
      <c r="F1391" s="9">
        <f>IFERROR(VLOOKUP($D1391,FIYAT!$B:$O,5,FALSE()),"")</f>
        <v>1525</v>
      </c>
      <c r="G1391" s="9">
        <f>IFERROR(VLOOKUP($D1391,FIYAT!$B:$O,8,FALSE()),"")</f>
        <v>915</v>
      </c>
      <c r="H1391" s="9">
        <f t="shared" si="170"/>
        <v>3660</v>
      </c>
      <c r="I1391" s="6">
        <v>4</v>
      </c>
      <c r="J1391" s="9" t="str">
        <f>IFERROR(VLOOKUP($D1391,FIYAT!$B:$O,9,FALSE()),"")</f>
        <v>Шт.</v>
      </c>
      <c r="K1391" s="9" t="str">
        <f>IFERROR(VLOOKUP($D1391,FIYAT!$B:$O,4,FALSE()),"")</f>
        <v>CHINT</v>
      </c>
      <c r="L1391" s="9">
        <f t="shared" si="171"/>
        <v>3660</v>
      </c>
      <c r="M1391" s="9"/>
      <c r="N1391" s="9"/>
      <c r="O1391" s="9"/>
      <c r="P1391" s="9" t="str">
        <f>IF($H1391="","FIYAT_YOK",IFERROR(VLOOKUP($D1391,FIYAT!$B:$P,15,FALSE()),""))</f>
        <v>MUADIL</v>
      </c>
      <c r="Q1391" s="9" t="s">
        <v>185</v>
      </c>
      <c r="R1391" s="9" t="s">
        <v>184</v>
      </c>
      <c r="S1391" s="9" t="s">
        <v>716</v>
      </c>
      <c r="T1391" s="9" t="s">
        <v>79</v>
      </c>
      <c r="U1391" s="9">
        <f>IFERROR(VLOOKUP($T1391,KURALLAR!$A$32:$B$63,2,FALSE()),0)*IF(ISNUMBER($I1391),$I1391,0)</f>
        <v>12</v>
      </c>
    </row>
    <row r="1392" spans="1:21" x14ac:dyDescent="0.25">
      <c r="A1392" s="5">
        <v>1391</v>
      </c>
      <c r="B1392" s="5"/>
      <c r="C1392" s="5" t="s">
        <v>75</v>
      </c>
      <c r="D1392" s="5" t="s">
        <v>186</v>
      </c>
      <c r="E1392" s="5" t="str">
        <f>IFERROR(VLOOKUP($D1392,FIYAT!$B:$O,2,FALSE()),"")</f>
        <v>Ограничитель имп. перенапр. NU6-IIG 4Р In=25kA Uc=440B Im=65kA (R)</v>
      </c>
      <c r="F1392" s="5">
        <f>IFERROR(VLOOKUP($D1392,FIYAT!$B:$O,5,FALSE()),"")</f>
        <v>33208</v>
      </c>
      <c r="G1392" s="5">
        <f>IFERROR(VLOOKUP($D1392,FIYAT!$B:$O,8,FALSE()),"")</f>
        <v>19924.8</v>
      </c>
      <c r="H1392" s="5">
        <f t="shared" si="170"/>
        <v>19924.8</v>
      </c>
      <c r="I1392" s="6">
        <v>1</v>
      </c>
      <c r="J1392" s="5" t="str">
        <f>IFERROR(VLOOKUP($D1392,FIYAT!$B:$O,9,FALSE()),"")</f>
        <v>Шт.</v>
      </c>
      <c r="K1392" s="5" t="str">
        <f>IFERROR(VLOOKUP($D1392,FIYAT!$B:$O,4,FALSE()),"")</f>
        <v>CHINT</v>
      </c>
      <c r="L1392" s="5">
        <f t="shared" si="171"/>
        <v>19924.8</v>
      </c>
      <c r="M1392" s="5"/>
      <c r="N1392" s="5"/>
      <c r="O1392" s="5"/>
      <c r="P1392" s="5" t="str">
        <f>IF($H1392="","FIYAT_YOK",IFERROR(VLOOKUP($D1392,FIYAT!$B:$P,15,FALSE()),""))</f>
        <v>MUADIL_ONAY</v>
      </c>
      <c r="Q1392" s="5" t="s">
        <v>188</v>
      </c>
      <c r="R1392" s="5" t="s">
        <v>184</v>
      </c>
      <c r="S1392" s="5" t="s">
        <v>716</v>
      </c>
      <c r="T1392" s="5" t="s">
        <v>75</v>
      </c>
      <c r="U1392" s="5">
        <f>IFERROR(VLOOKUP($T1392,KURALLAR!$A$32:$B$63,2,FALSE()),0)*IF(ISNUMBER($I1392),$I1392,0)</f>
        <v>10</v>
      </c>
    </row>
    <row r="1393" spans="1:21" x14ac:dyDescent="0.25">
      <c r="A1393" s="9">
        <v>1392</v>
      </c>
      <c r="B1393" s="9"/>
      <c r="C1393" s="9" t="s">
        <v>192</v>
      </c>
      <c r="D1393" s="9" t="s">
        <v>190</v>
      </c>
      <c r="E1393" s="9" t="str">
        <f>IFERROR(VLOOKUP($D1393,FIYAT!$B:$O,2,FALSE()),"")</f>
        <v>Авт. выкл. NXB-63 3P 25A 6кА х-ка C (R)</v>
      </c>
      <c r="F1393" s="9">
        <f>IFERROR(VLOOKUP($D1393,FIYAT!$B:$O,5,FALSE()),"")</f>
        <v>5334</v>
      </c>
      <c r="G1393" s="9">
        <f>IFERROR(VLOOKUP($D1393,FIYAT!$B:$O,8,FALSE()),"")</f>
        <v>3200.4</v>
      </c>
      <c r="H1393" s="9">
        <f t="shared" si="170"/>
        <v>6400.8</v>
      </c>
      <c r="I1393" s="6">
        <v>2</v>
      </c>
      <c r="J1393" s="9" t="str">
        <f>IFERROR(VLOOKUP($D1393,FIYAT!$B:$O,9,FALSE()),"")</f>
        <v>Шт.</v>
      </c>
      <c r="K1393" s="9" t="str">
        <f>IFERROR(VLOOKUP($D1393,FIYAT!$B:$O,4,FALSE()),"")</f>
        <v>CHINT</v>
      </c>
      <c r="L1393" s="9">
        <f t="shared" si="171"/>
        <v>6400.8</v>
      </c>
      <c r="M1393" s="9"/>
      <c r="N1393" s="9"/>
      <c r="O1393" s="9"/>
      <c r="P1393" s="9" t="str">
        <f>IF($H1393="","FIYAT_YOK",IFERROR(VLOOKUP($D1393,FIYAT!$B:$P,15,FALSE()),""))</f>
        <v>OK</v>
      </c>
      <c r="Q1393" s="9" t="s">
        <v>193</v>
      </c>
      <c r="R1393" s="9" t="s">
        <v>171</v>
      </c>
      <c r="S1393" s="9" t="s">
        <v>716</v>
      </c>
      <c r="T1393" s="9" t="s">
        <v>51</v>
      </c>
      <c r="U1393" s="9">
        <f>IFERROR(VLOOKUP($T1393,KURALLAR!$A$32:$B$63,2,FALSE()),0)*IF(ISNUMBER($I1393),$I1393,0)</f>
        <v>16</v>
      </c>
    </row>
    <row r="1394" spans="1:21" x14ac:dyDescent="0.25">
      <c r="A1394" s="5">
        <v>1393</v>
      </c>
      <c r="B1394" s="5"/>
      <c r="C1394" s="5" t="s">
        <v>176</v>
      </c>
      <c r="D1394" s="5" t="s">
        <v>197</v>
      </c>
      <c r="E1394" s="5" t="str">
        <f>IFERROR(VLOOKUP($D1394,FIYAT!$B:$O,2,FALSE()),"")</f>
        <v>УЗО NL1-63 6kA 4P 25A 30mA тип AC (R)</v>
      </c>
      <c r="F1394" s="5">
        <f>IFERROR(VLOOKUP($D1394,FIYAT!$B:$O,5,FALSE()),"")</f>
        <v>18338</v>
      </c>
      <c r="G1394" s="5">
        <f>IFERROR(VLOOKUP($D1394,FIYAT!$B:$O,8,FALSE()),"")</f>
        <v>11002.8</v>
      </c>
      <c r="H1394" s="5">
        <f t="shared" si="170"/>
        <v>22005.599999999999</v>
      </c>
      <c r="I1394" s="6">
        <v>2</v>
      </c>
      <c r="J1394" s="5" t="str">
        <f>IFERROR(VLOOKUP($D1394,FIYAT!$B:$O,9,FALSE()),"")</f>
        <v>Шт.</v>
      </c>
      <c r="K1394" s="5" t="str">
        <f>IFERROR(VLOOKUP($D1394,FIYAT!$B:$O,4,FALSE()),"")</f>
        <v>CHINT</v>
      </c>
      <c r="L1394" s="5">
        <f t="shared" si="171"/>
        <v>22005.599999999999</v>
      </c>
      <c r="M1394" s="5"/>
      <c r="N1394" s="5"/>
      <c r="O1394" s="5"/>
      <c r="P1394" s="5" t="str">
        <f>IF($H1394="","FIYAT_YOK",IFERROR(VLOOKUP($D1394,FIYAT!$B:$P,15,FALSE()),""))</f>
        <v>OK</v>
      </c>
      <c r="Q1394" s="5" t="s">
        <v>199</v>
      </c>
      <c r="R1394" s="5" t="s">
        <v>171</v>
      </c>
      <c r="S1394" s="5" t="s">
        <v>716</v>
      </c>
      <c r="T1394" s="5" t="s">
        <v>57</v>
      </c>
      <c r="U1394" s="5">
        <f>IFERROR(VLOOKUP($T1394,KURALLAR!$A$32:$B$63,2,FALSE()),0)*IF(ISNUMBER($I1394),$I1394,0)</f>
        <v>20</v>
      </c>
    </row>
    <row r="1395" spans="1:21" x14ac:dyDescent="0.25">
      <c r="A1395" s="9">
        <v>1394</v>
      </c>
      <c r="B1395" s="9"/>
      <c r="C1395" s="9" t="s">
        <v>192</v>
      </c>
      <c r="D1395" s="9" t="s">
        <v>194</v>
      </c>
      <c r="E1395" s="9" t="str">
        <f>IFERROR(VLOOKUP($D1395,FIYAT!$B:$O,2,FALSE()),"")</f>
        <v>Авт. выкл. NXB-63 1P 16A 6кА х-ка C (R)</v>
      </c>
      <c r="F1395" s="9">
        <f>IFERROR(VLOOKUP($D1395,FIYAT!$B:$O,5,FALSE()),"")</f>
        <v>1389</v>
      </c>
      <c r="G1395" s="9">
        <f>IFERROR(VLOOKUP($D1395,FIYAT!$B:$O,8,FALSE()),"")</f>
        <v>833.4</v>
      </c>
      <c r="H1395" s="9">
        <f t="shared" si="170"/>
        <v>4167</v>
      </c>
      <c r="I1395" s="6">
        <v>5</v>
      </c>
      <c r="J1395" s="9" t="str">
        <f>IFERROR(VLOOKUP($D1395,FIYAT!$B:$O,9,FALSE()),"")</f>
        <v>Шт.</v>
      </c>
      <c r="K1395" s="9" t="str">
        <f>IFERROR(VLOOKUP($D1395,FIYAT!$B:$O,4,FALSE()),"")</f>
        <v>CHINT</v>
      </c>
      <c r="L1395" s="9">
        <f t="shared" si="171"/>
        <v>4167</v>
      </c>
      <c r="M1395" s="9"/>
      <c r="N1395" s="9"/>
      <c r="O1395" s="9"/>
      <c r="P1395" s="9" t="str">
        <f>IF($H1395="","FIYAT_YOK",IFERROR(VLOOKUP($D1395,FIYAT!$B:$P,15,FALSE()),""))</f>
        <v>OK</v>
      </c>
      <c r="Q1395" s="9" t="s">
        <v>196</v>
      </c>
      <c r="R1395" s="9" t="s">
        <v>171</v>
      </c>
      <c r="S1395" s="9" t="s">
        <v>716</v>
      </c>
      <c r="T1395" s="9" t="s">
        <v>47</v>
      </c>
      <c r="U1395" s="9">
        <f>IFERROR(VLOOKUP($T1395,KURALLAR!$A$32:$B$63,2,FALSE()),0)*IF(ISNUMBER($I1395),$I1395,0)</f>
        <v>15</v>
      </c>
    </row>
    <row r="1396" spans="1:21" x14ac:dyDescent="0.25">
      <c r="A1396" s="5">
        <v>1395</v>
      </c>
      <c r="B1396" s="5"/>
      <c r="C1396" s="5" t="s">
        <v>176</v>
      </c>
      <c r="D1396" s="5" t="s">
        <v>200</v>
      </c>
      <c r="E1396" s="5" t="str">
        <f>IFERROR(VLOOKUP($D1396,FIYAT!$B:$O,2,FALSE()),"")</f>
        <v>УЗО NL1-63 6kA 2P 16A 30mA тип AC (R)</v>
      </c>
      <c r="F1396" s="5">
        <f>IFERROR(VLOOKUP($D1396,FIYAT!$B:$O,5,FALSE()),"")</f>
        <v>10809</v>
      </c>
      <c r="G1396" s="5">
        <f>IFERROR(VLOOKUP($D1396,FIYAT!$B:$O,8,FALSE()),"")</f>
        <v>6485.4</v>
      </c>
      <c r="H1396" s="5">
        <f t="shared" si="170"/>
        <v>12970.8</v>
      </c>
      <c r="I1396" s="6">
        <v>2</v>
      </c>
      <c r="J1396" s="5" t="str">
        <f>IFERROR(VLOOKUP($D1396,FIYAT!$B:$O,9,FALSE()),"")</f>
        <v>Шт.</v>
      </c>
      <c r="K1396" s="5" t="str">
        <f>IFERROR(VLOOKUP($D1396,FIYAT!$B:$O,4,FALSE()),"")</f>
        <v>CHINT</v>
      </c>
      <c r="L1396" s="5">
        <f t="shared" si="171"/>
        <v>12970.8</v>
      </c>
      <c r="M1396" s="5"/>
      <c r="N1396" s="5"/>
      <c r="O1396" s="5"/>
      <c r="P1396" s="5" t="str">
        <f>IF($H1396="","FIYAT_YOK",IFERROR(VLOOKUP($D1396,FIYAT!$B:$P,15,FALSE()),""))</f>
        <v>OK</v>
      </c>
      <c r="Q1396" s="5" t="s">
        <v>202</v>
      </c>
      <c r="R1396" s="5" t="s">
        <v>171</v>
      </c>
      <c r="S1396" s="5" t="s">
        <v>716</v>
      </c>
      <c r="T1396" s="5" t="s">
        <v>55</v>
      </c>
      <c r="U1396" s="5">
        <f>IFERROR(VLOOKUP($T1396,KURALLAR!$A$32:$B$63,2,FALSE()),0)*IF(ISNUMBER($I1396),$I1396,0)</f>
        <v>12</v>
      </c>
    </row>
    <row r="1397" spans="1:21" x14ac:dyDescent="0.25">
      <c r="A1397" s="9">
        <v>1396</v>
      </c>
      <c r="B1397" s="9"/>
      <c r="C1397" s="9" t="s">
        <v>192</v>
      </c>
      <c r="D1397" s="9" t="s">
        <v>304</v>
      </c>
      <c r="E1397" s="9" t="str">
        <f>IFERROR(VLOOKUP($D1397,FIYAT!$B:$O,2,FALSE()),"")</f>
        <v>Авт. выкл. NXB-63 3P 16A 6кА х-ка C (R)</v>
      </c>
      <c r="F1397" s="9">
        <f>IFERROR(VLOOKUP($D1397,FIYAT!$B:$O,5,FALSE()),"")</f>
        <v>5462</v>
      </c>
      <c r="G1397" s="9">
        <f>IFERROR(VLOOKUP($D1397,FIYAT!$B:$O,8,FALSE()),"")</f>
        <v>3277.2</v>
      </c>
      <c r="H1397" s="9">
        <f t="shared" si="170"/>
        <v>45880.799999999996</v>
      </c>
      <c r="I1397" s="6">
        <v>14</v>
      </c>
      <c r="J1397" s="9" t="str">
        <f>IFERROR(VLOOKUP($D1397,FIYAT!$B:$O,9,FALSE()),"")</f>
        <v>Шт.</v>
      </c>
      <c r="K1397" s="9" t="str">
        <f>IFERROR(VLOOKUP($D1397,FIYAT!$B:$O,4,FALSE()),"")</f>
        <v>CHINT</v>
      </c>
      <c r="L1397" s="9">
        <f t="shared" si="171"/>
        <v>45880.799999999996</v>
      </c>
      <c r="M1397" s="9"/>
      <c r="N1397" s="9"/>
      <c r="O1397" s="9"/>
      <c r="P1397" s="9" t="str">
        <f>IF($H1397="","FIYAT_YOK",IFERROR(VLOOKUP($D1397,FIYAT!$B:$P,15,FALSE()),""))</f>
        <v>OK</v>
      </c>
      <c r="Q1397" s="9" t="s">
        <v>306</v>
      </c>
      <c r="R1397" s="9" t="s">
        <v>171</v>
      </c>
      <c r="S1397" s="9" t="s">
        <v>716</v>
      </c>
      <c r="T1397" s="9" t="s">
        <v>51</v>
      </c>
      <c r="U1397" s="9">
        <f>IFERROR(VLOOKUP($T1397,KURALLAR!$A$32:$B$63,2,FALSE()),0)*IF(ISNUMBER($I1397),$I1397,0)</f>
        <v>112</v>
      </c>
    </row>
    <row r="1398" spans="1:21" x14ac:dyDescent="0.25">
      <c r="A1398" s="5">
        <v>1397</v>
      </c>
      <c r="B1398" s="5"/>
      <c r="C1398" s="5" t="s">
        <v>192</v>
      </c>
      <c r="D1398" s="5" t="s">
        <v>206</v>
      </c>
      <c r="E1398" s="5" t="str">
        <f>IFERROR(VLOOKUP($D1398,FIYAT!$B:$O,2,FALSE()),"")</f>
        <v>Авт. выкл. NXB-63 1P 10A 6кА х-ка C (R)</v>
      </c>
      <c r="F1398" s="5">
        <f>IFERROR(VLOOKUP($D1398,FIYAT!$B:$O,5,FALSE()),"")</f>
        <v>1362</v>
      </c>
      <c r="G1398" s="5">
        <f>IFERROR(VLOOKUP($D1398,FIYAT!$B:$O,8,FALSE()),"")</f>
        <v>817.19999999999993</v>
      </c>
      <c r="H1398" s="5">
        <f t="shared" si="170"/>
        <v>11440.8</v>
      </c>
      <c r="I1398" s="6">
        <v>14</v>
      </c>
      <c r="J1398" s="5" t="str">
        <f>IFERROR(VLOOKUP($D1398,FIYAT!$B:$O,9,FALSE()),"")</f>
        <v>Шт.</v>
      </c>
      <c r="K1398" s="5" t="str">
        <f>IFERROR(VLOOKUP($D1398,FIYAT!$B:$O,4,FALSE()),"")</f>
        <v>CHINT</v>
      </c>
      <c r="L1398" s="5">
        <f t="shared" si="171"/>
        <v>11440.8</v>
      </c>
      <c r="M1398" s="5"/>
      <c r="N1398" s="5"/>
      <c r="O1398" s="5"/>
      <c r="P1398" s="5" t="str">
        <f>IF($H1398="","FIYAT_YOK",IFERROR(VLOOKUP($D1398,FIYAT!$B:$P,15,FALSE()),""))</f>
        <v>OK</v>
      </c>
      <c r="Q1398" s="5" t="s">
        <v>208</v>
      </c>
      <c r="R1398" s="5" t="s">
        <v>184</v>
      </c>
      <c r="S1398" s="5" t="s">
        <v>716</v>
      </c>
      <c r="T1398" s="5" t="s">
        <v>47</v>
      </c>
      <c r="U1398" s="5">
        <f>IFERROR(VLOOKUP($T1398,KURALLAR!$A$32:$B$63,2,FALSE()),0)*IF(ISNUMBER($I1398),$I1398,0)</f>
        <v>42</v>
      </c>
    </row>
    <row r="1399" spans="1:21" x14ac:dyDescent="0.25">
      <c r="A1399" s="9">
        <v>1398</v>
      </c>
      <c r="B1399" s="9"/>
      <c r="C1399" s="9" t="s">
        <v>93</v>
      </c>
      <c r="D1399" s="9" t="s">
        <v>209</v>
      </c>
      <c r="E1399" s="9" t="str">
        <f>IFERROR(VLOOKUP($D1399,FIYAT!$B:$O,2,FALSE()),"")</f>
        <v>Шина "N" нулевая 6х9мм на DIN-рейку в корпусном изоляторе ШНИ 12К IEK (10)</v>
      </c>
      <c r="F1399" s="9">
        <f>IFERROR(VLOOKUP($D1399,FIYAT!$B:$O,5,FALSE()),"")</f>
        <v>755</v>
      </c>
      <c r="G1399" s="9">
        <f>IFERROR(VLOOKUP($D1399,FIYAT!$B:$O,8,FALSE()),"")</f>
        <v>453</v>
      </c>
      <c r="H1399" s="9">
        <f t="shared" si="170"/>
        <v>1812</v>
      </c>
      <c r="I1399" s="6">
        <v>4</v>
      </c>
      <c r="J1399" s="9" t="str">
        <f>IFERROR(VLOOKUP($D1399,FIYAT!$B:$O,9,FALSE()),"")</f>
        <v>Шт.</v>
      </c>
      <c r="K1399" s="9" t="str">
        <f>IFERROR(VLOOKUP($D1399,FIYAT!$B:$O,4,FALSE()),"")</f>
        <v>KAZTEK</v>
      </c>
      <c r="L1399" s="9">
        <f t="shared" si="171"/>
        <v>1812</v>
      </c>
      <c r="M1399" s="9"/>
      <c r="N1399" s="9"/>
      <c r="O1399" s="9"/>
      <c r="P1399" s="9" t="str">
        <f>IF($H1399="","FIYAT_YOK",IFERROR(VLOOKUP($D1399,FIYAT!$B:$P,15,FALSE()),""))</f>
        <v>MUADIL</v>
      </c>
      <c r="Q1399" s="9" t="s">
        <v>212</v>
      </c>
      <c r="R1399" s="9" t="s">
        <v>211</v>
      </c>
      <c r="S1399" s="9" t="s">
        <v>716</v>
      </c>
      <c r="T1399" s="9" t="s">
        <v>93</v>
      </c>
      <c r="U1399" s="9">
        <f>IFERROR(VLOOKUP($T1399,KURALLAR!$A$32:$B$63,2,FALSE()),0)*IF(ISNUMBER($I1399),$I1399,0)</f>
        <v>32</v>
      </c>
    </row>
    <row r="1400" spans="1:21" x14ac:dyDescent="0.25">
      <c r="A1400" s="5">
        <v>1399</v>
      </c>
      <c r="B1400" s="5"/>
      <c r="C1400" s="5" t="s">
        <v>222</v>
      </c>
      <c r="D1400" s="5" t="s">
        <v>370</v>
      </c>
      <c r="E1400" s="5" t="str">
        <f>IFERROR(VLOOKUP($D1400,FIYAT!$B:$O,2,FALSE()),"")</f>
        <v>Мет. Корпус ЩМП- 6 (1200х750х300) IP54</v>
      </c>
      <c r="F1400" s="5">
        <f>IFERROR(VLOOKUP($D1400,FIYAT!$B:$O,5,FALSE()),"")</f>
        <v>65570</v>
      </c>
      <c r="G1400" s="5">
        <f>IFERROR(VLOOKUP($D1400,FIYAT!$B:$O,8,FALSE()),"")</f>
        <v>39342</v>
      </c>
      <c r="H1400" s="5">
        <f t="shared" si="170"/>
        <v>39342</v>
      </c>
      <c r="I1400" s="6">
        <v>1</v>
      </c>
      <c r="J1400" s="5" t="str">
        <f>IFERROR(VLOOKUP($D1400,FIYAT!$B:$O,9,FALSE()),"")</f>
        <v>Шт.</v>
      </c>
      <c r="K1400" s="5" t="str">
        <f>IFERROR(VLOOKUP($D1400,FIYAT!$B:$O,4,FALSE()),"")</f>
        <v>KAZTEK</v>
      </c>
      <c r="L1400" s="5">
        <f t="shared" si="171"/>
        <v>39342</v>
      </c>
      <c r="M1400" s="5"/>
      <c r="N1400" s="5"/>
      <c r="O1400" s="5"/>
      <c r="P1400" s="5" t="str">
        <f>IF($H1400="","FIYAT_YOK",IFERROR(VLOOKUP($D1400,FIYAT!$B:$P,15,FALSE()),""))</f>
        <v>VARSAYIM</v>
      </c>
      <c r="Q1400" s="5" t="s">
        <v>372</v>
      </c>
      <c r="R1400" s="5" t="s">
        <v>211</v>
      </c>
      <c r="S1400" s="5" t="s">
        <v>716</v>
      </c>
      <c r="T1400" s="5" t="s">
        <v>105</v>
      </c>
      <c r="U1400" s="5">
        <f>IFERROR(VLOOKUP($T1400,KURALLAR!$A$32:$B$63,2,FALSE()),0)*IF(ISNUMBER($I1400),$I1400,0)</f>
        <v>30</v>
      </c>
    </row>
    <row r="1401" spans="1:21" x14ac:dyDescent="0.25">
      <c r="A1401" s="9">
        <v>1400</v>
      </c>
      <c r="B1401" s="9"/>
      <c r="C1401" s="9" t="s">
        <v>215</v>
      </c>
      <c r="D1401" s="9" t="s">
        <v>213</v>
      </c>
      <c r="E1401" s="9" t="str">
        <f>IFERROR(VLOOKUP($D1401,FIYAT!$B:$O,2,FALSE()),"")</f>
        <v>Монтажный расходный материал (кабель, DIN-рейка, кабель-канал, клеммы, маркировка, крепёж)</v>
      </c>
      <c r="F1401" s="9">
        <f>IFERROR(VLOOKUP($D1401,FIYAT!$B:$O,5,FALSE()),"")</f>
        <v>0</v>
      </c>
      <c r="G1401" s="9" t="str">
        <f>IFERROR(VLOOKUP($D1401,FIYAT!$B:$O,8,FALSE()),"")</f>
        <v/>
      </c>
      <c r="H1401" s="9">
        <f>ROUND(SUM($H$1388:$H$1400)*KURALLAR!$B$28,0)</f>
        <v>15551</v>
      </c>
      <c r="I1401" s="6">
        <v>1</v>
      </c>
      <c r="J1401" s="9" t="str">
        <f>IFERROR(VLOOKUP($D1401,FIYAT!$B:$O,9,FALSE()),"")</f>
        <v>компл.</v>
      </c>
      <c r="K1401" s="9" t="str">
        <f>IFERROR(VLOOKUP($D1401,FIYAT!$B:$O,4,FALSE()),"")</f>
        <v>MUADIL-NET</v>
      </c>
      <c r="L1401" s="9">
        <f t="shared" si="171"/>
        <v>15551</v>
      </c>
      <c r="M1401" s="9"/>
      <c r="N1401" s="9"/>
      <c r="O1401" s="9"/>
      <c r="P1401" s="9" t="str">
        <f>IF($H1401="","FIYAT_YOK",IFERROR(VLOOKUP($D1401,FIYAT!$B:$P,15,FALSE()),""))</f>
        <v>ORAN</v>
      </c>
      <c r="Q1401" s="9" t="s">
        <v>218</v>
      </c>
      <c r="R1401" s="9" t="s">
        <v>217</v>
      </c>
      <c r="S1401" s="9" t="s">
        <v>716</v>
      </c>
      <c r="T1401" s="9"/>
      <c r="U1401" s="9">
        <v>0</v>
      </c>
    </row>
    <row r="1402" spans="1:21" x14ac:dyDescent="0.25">
      <c r="A1402" s="5">
        <v>1401</v>
      </c>
      <c r="B1402" s="5"/>
      <c r="C1402" s="5" t="s">
        <v>227</v>
      </c>
      <c r="D1402" s="5" t="s">
        <v>225</v>
      </c>
      <c r="E1402" s="5" t="str">
        <f>IFERROR(VLOOKUP($D1402,FIYAT!$B:$O,2,FALSE()),"")</f>
        <v>Сборка, кабелирование, маркировка, момент затяжки, испытания</v>
      </c>
      <c r="F1402" s="5">
        <f>IFERROR(VLOOKUP($D1402,FIYAT!$B:$O,5,FALSE()),"")</f>
        <v>100</v>
      </c>
      <c r="G1402" s="5">
        <f>IFERROR(VLOOKUP($D1402,FIYAT!$B:$O,8,FALSE()),"")</f>
        <v>100</v>
      </c>
      <c r="H1402" s="5">
        <f>IF(OR($G1402="",$I1402=""),"",$G1402*$I1402)</f>
        <v>39800</v>
      </c>
      <c r="I1402" s="6">
        <f>ROUND(SUM($U$1388:$U$1401)*KURALLAR!$B$27,0)</f>
        <v>398</v>
      </c>
      <c r="J1402" s="5" t="str">
        <f>IFERROR(VLOOKUP($D1402,FIYAT!$B:$O,9,FALSE()),"")</f>
        <v>мин</v>
      </c>
      <c r="K1402" s="5" t="str">
        <f>IFERROR(VLOOKUP($D1402,FIYAT!$B:$O,4,FALSE()),"")</f>
        <v>ISCILIK</v>
      </c>
      <c r="L1402" s="5">
        <f t="shared" si="171"/>
        <v>39800</v>
      </c>
      <c r="M1402" s="5"/>
      <c r="N1402" s="5"/>
      <c r="O1402" s="5"/>
      <c r="P1402" s="5" t="str">
        <f>IF($H1402="","FIYAT_YOK",IFERROR(VLOOKUP($D1402,FIYAT!$B:$P,15,FALSE()),""))</f>
        <v>OK</v>
      </c>
      <c r="Q1402" s="5" t="str">
        <f>CONCATENATE("montaj+test iscilik: ",TEXT($I1402,"# ##0")," dk = ",TEXT($I1402/60,"0,00")," saat (norm x test/etiket carpani)")</f>
        <v>montaj+test iscilik:  398 dk = 6,63 saat (norm x test/etiket carpani)</v>
      </c>
      <c r="R1402" s="5" t="s">
        <v>229</v>
      </c>
      <c r="S1402" s="5" t="s">
        <v>716</v>
      </c>
      <c r="T1402" s="5"/>
      <c r="U1402" s="5">
        <v>0</v>
      </c>
    </row>
    <row r="1403" spans="1:21" x14ac:dyDescent="0.25">
      <c r="A1403" s="10">
        <v>1402</v>
      </c>
      <c r="B1403" s="10" t="s">
        <v>723</v>
      </c>
      <c r="C1403" s="10"/>
      <c r="D1403" s="10"/>
      <c r="E1403" s="10"/>
      <c r="F1403" s="10"/>
      <c r="G1403" s="10"/>
      <c r="H1403" s="10">
        <f>SUBTOTAL(9,H1388:H1402)</f>
        <v>277510.59999999998</v>
      </c>
      <c r="I1403" s="10"/>
      <c r="J1403" s="10"/>
      <c r="K1403" s="10"/>
      <c r="L1403" s="10">
        <f>SUBTOTAL(9,L1388:L1402)</f>
        <v>277510.59999999998</v>
      </c>
      <c r="M1403" s="10"/>
      <c r="N1403" s="10"/>
      <c r="O1403" s="10"/>
      <c r="P1403" s="10"/>
      <c r="Q1403" s="10"/>
      <c r="R1403" s="10"/>
      <c r="S1403" s="10"/>
      <c r="T1403" s="10"/>
      <c r="U1403" s="10">
        <f>SUBTOTAL(9,U1388:U1402)</f>
        <v>346</v>
      </c>
    </row>
    <row r="1404" spans="1:21" x14ac:dyDescent="0.25">
      <c r="A1404" s="8">
        <v>1403</v>
      </c>
      <c r="B1404" s="8" t="str">
        <f>E1404</f>
        <v>LPS / Главный распределительный щит (ГРЩ) — НКУ 380/220В 50Гц, FORM 2B, IP31/54</v>
      </c>
      <c r="C1404" s="8" t="s">
        <v>545</v>
      </c>
      <c r="D1404" s="8"/>
      <c r="E1404" s="8" t="s">
        <v>724</v>
      </c>
      <c r="F1404" s="8"/>
      <c r="G1404" s="8"/>
      <c r="H1404" s="8"/>
      <c r="I1404" s="8">
        <v>1</v>
      </c>
      <c r="J1404" s="8" t="s">
        <v>547</v>
      </c>
      <c r="K1404" s="8"/>
      <c r="L1404" s="8"/>
      <c r="M1404" s="8"/>
      <c r="N1404" s="8"/>
      <c r="O1404" s="8"/>
      <c r="P1404" s="8" t="s">
        <v>178</v>
      </c>
      <c r="Q1404" s="8" t="s">
        <v>548</v>
      </c>
      <c r="R1404" s="8" t="s">
        <v>549</v>
      </c>
      <c r="S1404" s="8" t="s">
        <v>725</v>
      </c>
      <c r="T1404" s="8"/>
      <c r="U1404" s="8"/>
    </row>
    <row r="1405" spans="1:21" x14ac:dyDescent="0.25">
      <c r="A1405" s="9">
        <v>1404</v>
      </c>
      <c r="B1405" s="9"/>
      <c r="C1405" s="9" t="s">
        <v>73</v>
      </c>
      <c r="D1405" s="9" t="s">
        <v>388</v>
      </c>
      <c r="E1405" s="9" t="str">
        <f>IFERROR(VLOOKUP($D1405,FIYAT!$B:$O,2,FALSE()),"")</f>
        <v>Воздушный авт. выкл. NA1-6300-5000M/3P выдвиж., 5000A, 120kA, тип M, AC230В (R)</v>
      </c>
      <c r="F1405" s="9">
        <f>IFERROR(VLOOKUP($D1405,FIYAT!$B:$O,5,FALSE()),"")</f>
        <v>3239606</v>
      </c>
      <c r="G1405" s="9">
        <f>IFERROR(VLOOKUP($D1405,FIYAT!$B:$O,8,FALSE()),"")</f>
        <v>1943763.5999999999</v>
      </c>
      <c r="H1405" s="9">
        <f t="shared" ref="H1405:H1441" si="172">IF(OR($G1405="",$I1405=""),"",$G1405*$I1405)</f>
        <v>7775054.3999999994</v>
      </c>
      <c r="I1405" s="6">
        <v>4</v>
      </c>
      <c r="J1405" s="9" t="str">
        <f>IFERROR(VLOOKUP($D1405,FIYAT!$B:$O,9,FALSE()),"")</f>
        <v>Шт.</v>
      </c>
      <c r="K1405" s="9" t="str">
        <f>IFERROR(VLOOKUP($D1405,FIYAT!$B:$O,4,FALSE()),"")</f>
        <v>CHINT</v>
      </c>
      <c r="L1405" s="9">
        <f t="shared" ref="L1405:L1443" si="173">IF($H1405="","",$H1405)</f>
        <v>7775054.3999999994</v>
      </c>
      <c r="M1405" s="9"/>
      <c r="N1405" s="9"/>
      <c r="O1405" s="9"/>
      <c r="P1405" s="7" t="str">
        <f>IF($H1405="","FIYAT_YOK",IFERROR(VLOOKUP($D1405,FIYAT!$B:$P,15,FALSE()),""))</f>
        <v>CIHAZ_BELIRSIZ</v>
      </c>
      <c r="Q1405" s="7" t="s">
        <v>390</v>
      </c>
      <c r="R1405" s="9" t="s">
        <v>184</v>
      </c>
      <c r="S1405" s="9" t="s">
        <v>725</v>
      </c>
      <c r="T1405" s="9" t="s">
        <v>73</v>
      </c>
      <c r="U1405" s="9">
        <f>IFERROR(VLOOKUP($T1405,KURALLAR!$A$32:$B$63,2,FALSE()),0)*IF(ISNUMBER($I1405),$I1405,0)</f>
        <v>720</v>
      </c>
    </row>
    <row r="1406" spans="1:21" x14ac:dyDescent="0.25">
      <c r="A1406" s="5">
        <v>1405</v>
      </c>
      <c r="B1406" s="5"/>
      <c r="C1406" s="5" t="s">
        <v>79</v>
      </c>
      <c r="D1406" s="5" t="s">
        <v>179</v>
      </c>
      <c r="E1406" s="5" t="str">
        <f>IFERROR(VLOOKUP($D1406,FIYAT!$B:$O,2,FALSE()),"")</f>
        <v>Держатель плавкой вставки RT36-00-160, габарит 00, 160А</v>
      </c>
      <c r="F1406" s="5">
        <f>IFERROR(VLOOKUP($D1406,FIYAT!$B:$O,5,FALSE()),"")</f>
        <v>2038</v>
      </c>
      <c r="G1406" s="5">
        <f>IFERROR(VLOOKUP($D1406,FIYAT!$B:$O,8,FALSE()),"")</f>
        <v>1222.8</v>
      </c>
      <c r="H1406" s="5">
        <f t="shared" si="172"/>
        <v>9782.4</v>
      </c>
      <c r="I1406" s="6">
        <v>8</v>
      </c>
      <c r="J1406" s="5" t="str">
        <f>IFERROR(VLOOKUP($D1406,FIYAT!$B:$O,9,FALSE()),"")</f>
        <v>Шт.</v>
      </c>
      <c r="K1406" s="5" t="str">
        <f>IFERROR(VLOOKUP($D1406,FIYAT!$B:$O,4,FALSE()),"")</f>
        <v>CHINT</v>
      </c>
      <c r="L1406" s="5">
        <f t="shared" si="173"/>
        <v>9782.4</v>
      </c>
      <c r="M1406" s="5"/>
      <c r="N1406" s="5"/>
      <c r="O1406" s="5"/>
      <c r="P1406" s="5" t="str">
        <f>IF($H1406="","FIYAT_YOK",IFERROR(VLOOKUP($D1406,FIYAT!$B:$P,15,FALSE()),""))</f>
        <v>MUADIL</v>
      </c>
      <c r="Q1406" s="5" t="s">
        <v>181</v>
      </c>
      <c r="R1406" s="5" t="s">
        <v>171</v>
      </c>
      <c r="S1406" s="5" t="s">
        <v>725</v>
      </c>
      <c r="T1406" s="5" t="s">
        <v>77</v>
      </c>
      <c r="U1406" s="5">
        <f>IFERROR(VLOOKUP($T1406,KURALLAR!$A$32:$B$63,2,FALSE()),0)*IF(ISNUMBER($I1406),$I1406,0)</f>
        <v>40</v>
      </c>
    </row>
    <row r="1407" spans="1:21" x14ac:dyDescent="0.25">
      <c r="A1407" s="9">
        <v>1406</v>
      </c>
      <c r="B1407" s="9"/>
      <c r="C1407" s="9" t="s">
        <v>79</v>
      </c>
      <c r="D1407" s="9" t="s">
        <v>182</v>
      </c>
      <c r="E1407" s="9" t="str">
        <f>IFERROR(VLOOKUP($D1407,FIYAT!$B:$O,2,FALSE()),"")</f>
        <v>Плавкая вставка предохранителя RT36-00-160, габарит 00, 63А</v>
      </c>
      <c r="F1407" s="9">
        <f>IFERROR(VLOOKUP($D1407,FIYAT!$B:$O,5,FALSE()),"")</f>
        <v>1525</v>
      </c>
      <c r="G1407" s="9">
        <f>IFERROR(VLOOKUP($D1407,FIYAT!$B:$O,8,FALSE()),"")</f>
        <v>915</v>
      </c>
      <c r="H1407" s="9">
        <f t="shared" si="172"/>
        <v>7320</v>
      </c>
      <c r="I1407" s="6">
        <v>8</v>
      </c>
      <c r="J1407" s="9" t="str">
        <f>IFERROR(VLOOKUP($D1407,FIYAT!$B:$O,9,FALSE()),"")</f>
        <v>Шт.</v>
      </c>
      <c r="K1407" s="9" t="str">
        <f>IFERROR(VLOOKUP($D1407,FIYAT!$B:$O,4,FALSE()),"")</f>
        <v>CHINT</v>
      </c>
      <c r="L1407" s="9">
        <f t="shared" si="173"/>
        <v>7320</v>
      </c>
      <c r="M1407" s="9"/>
      <c r="N1407" s="9"/>
      <c r="O1407" s="9"/>
      <c r="P1407" s="9" t="str">
        <f>IF($H1407="","FIYAT_YOK",IFERROR(VLOOKUP($D1407,FIYAT!$B:$P,15,FALSE()),""))</f>
        <v>MUADIL</v>
      </c>
      <c r="Q1407" s="9" t="s">
        <v>185</v>
      </c>
      <c r="R1407" s="9" t="s">
        <v>184</v>
      </c>
      <c r="S1407" s="9" t="s">
        <v>725</v>
      </c>
      <c r="T1407" s="9" t="s">
        <v>79</v>
      </c>
      <c r="U1407" s="9">
        <f>IFERROR(VLOOKUP($T1407,KURALLAR!$A$32:$B$63,2,FALSE()),0)*IF(ISNUMBER($I1407),$I1407,0)</f>
        <v>24</v>
      </c>
    </row>
    <row r="1408" spans="1:21" x14ac:dyDescent="0.25">
      <c r="A1408" s="5">
        <v>1407</v>
      </c>
      <c r="B1408" s="5"/>
      <c r="C1408" s="5" t="s">
        <v>75</v>
      </c>
      <c r="D1408" s="5" t="s">
        <v>186</v>
      </c>
      <c r="E1408" s="5" t="str">
        <f>IFERROR(VLOOKUP($D1408,FIYAT!$B:$O,2,FALSE()),"")</f>
        <v>Ограничитель имп. перенапр. NU6-IIG 4Р In=25kA Uc=440B Im=65kA (R)</v>
      </c>
      <c r="F1408" s="5">
        <f>IFERROR(VLOOKUP($D1408,FIYAT!$B:$O,5,FALSE()),"")</f>
        <v>33208</v>
      </c>
      <c r="G1408" s="5">
        <f>IFERROR(VLOOKUP($D1408,FIYAT!$B:$O,8,FALSE()),"")</f>
        <v>19924.8</v>
      </c>
      <c r="H1408" s="5">
        <f t="shared" si="172"/>
        <v>39849.599999999999</v>
      </c>
      <c r="I1408" s="6">
        <v>2</v>
      </c>
      <c r="J1408" s="5" t="str">
        <f>IFERROR(VLOOKUP($D1408,FIYAT!$B:$O,9,FALSE()),"")</f>
        <v>Шт.</v>
      </c>
      <c r="K1408" s="5" t="str">
        <f>IFERROR(VLOOKUP($D1408,FIYAT!$B:$O,4,FALSE()),"")</f>
        <v>CHINT</v>
      </c>
      <c r="L1408" s="5">
        <f t="shared" si="173"/>
        <v>39849.599999999999</v>
      </c>
      <c r="M1408" s="5"/>
      <c r="N1408" s="5"/>
      <c r="O1408" s="5"/>
      <c r="P1408" s="5" t="str">
        <f>IF($H1408="","FIYAT_YOK",IFERROR(VLOOKUP($D1408,FIYAT!$B:$P,15,FALSE()),""))</f>
        <v>MUADIL_ONAY</v>
      </c>
      <c r="Q1408" s="5" t="s">
        <v>188</v>
      </c>
      <c r="R1408" s="5" t="s">
        <v>184</v>
      </c>
      <c r="S1408" s="5" t="s">
        <v>725</v>
      </c>
      <c r="T1408" s="5" t="s">
        <v>75</v>
      </c>
      <c r="U1408" s="5">
        <f>IFERROR(VLOOKUP($T1408,KURALLAR!$A$32:$B$63,2,FALSE()),0)*IF(ISNUMBER($I1408),$I1408,0)</f>
        <v>20</v>
      </c>
    </row>
    <row r="1409" spans="1:21" x14ac:dyDescent="0.25">
      <c r="A1409" s="9">
        <v>1408</v>
      </c>
      <c r="B1409" s="9"/>
      <c r="C1409" s="9" t="s">
        <v>192</v>
      </c>
      <c r="D1409" s="9" t="s">
        <v>238</v>
      </c>
      <c r="E1409" s="9" t="str">
        <f>IFERROR(VLOOKUP($D1409,FIYAT!$B:$O,2,FALSE()),"")</f>
        <v>Авт. выкл. NXB-63 1P 6A 6кА х-ка C (R)</v>
      </c>
      <c r="F1409" s="9">
        <f>IFERROR(VLOOKUP($D1409,FIYAT!$B:$O,5,FALSE()),"")</f>
        <v>1436</v>
      </c>
      <c r="G1409" s="9">
        <f>IFERROR(VLOOKUP($D1409,FIYAT!$B:$O,8,FALSE()),"")</f>
        <v>861.6</v>
      </c>
      <c r="H1409" s="9">
        <f t="shared" si="172"/>
        <v>20678.400000000001</v>
      </c>
      <c r="I1409" s="6">
        <v>24</v>
      </c>
      <c r="J1409" s="9" t="str">
        <f>IFERROR(VLOOKUP($D1409,FIYAT!$B:$O,9,FALSE()),"")</f>
        <v>Шт.</v>
      </c>
      <c r="K1409" s="9" t="str">
        <f>IFERROR(VLOOKUP($D1409,FIYAT!$B:$O,4,FALSE()),"")</f>
        <v>CHINT</v>
      </c>
      <c r="L1409" s="9">
        <f t="shared" si="173"/>
        <v>20678.400000000001</v>
      </c>
      <c r="M1409" s="9"/>
      <c r="N1409" s="9"/>
      <c r="O1409" s="9"/>
      <c r="P1409" s="9" t="str">
        <f>IF($H1409="","FIYAT_YOK",IFERROR(VLOOKUP($D1409,FIYAT!$B:$P,15,FALSE()),""))</f>
        <v>OK</v>
      </c>
      <c r="Q1409" s="9" t="s">
        <v>240</v>
      </c>
      <c r="R1409" s="9" t="s">
        <v>171</v>
      </c>
      <c r="S1409" s="9" t="s">
        <v>725</v>
      </c>
      <c r="T1409" s="9" t="s">
        <v>47</v>
      </c>
      <c r="U1409" s="9">
        <f>IFERROR(VLOOKUP($T1409,KURALLAR!$A$32:$B$63,2,FALSE()),0)*IF(ISNUMBER($I1409),$I1409,0)</f>
        <v>72</v>
      </c>
    </row>
    <row r="1410" spans="1:21" x14ac:dyDescent="0.25">
      <c r="A1410" s="5">
        <v>1409</v>
      </c>
      <c r="B1410" s="5"/>
      <c r="C1410" s="5" t="s">
        <v>89</v>
      </c>
      <c r="D1410" s="5" t="s">
        <v>241</v>
      </c>
      <c r="E1410" s="5" t="str">
        <f>IFERROR(VLOOKUP($D1410,FIYAT!$B:$O,2,FALSE()),"")</f>
        <v>Индикатор ND16-22DS/4 белый АС230В (R)</v>
      </c>
      <c r="F1410" s="5">
        <f>IFERROR(VLOOKUP($D1410,FIYAT!$B:$O,5,FALSE()),"")</f>
        <v>1047</v>
      </c>
      <c r="G1410" s="5">
        <f>IFERROR(VLOOKUP($D1410,FIYAT!$B:$O,8,FALSE()),"")</f>
        <v>628.19999999999993</v>
      </c>
      <c r="H1410" s="5">
        <f t="shared" si="172"/>
        <v>3769.2</v>
      </c>
      <c r="I1410" s="6">
        <v>6</v>
      </c>
      <c r="J1410" s="5" t="str">
        <f>IFERROR(VLOOKUP($D1410,FIYAT!$B:$O,9,FALSE()),"")</f>
        <v>Шт.</v>
      </c>
      <c r="K1410" s="5" t="str">
        <f>IFERROR(VLOOKUP($D1410,FIYAT!$B:$O,4,FALSE()),"")</f>
        <v>CHINT</v>
      </c>
      <c r="L1410" s="5">
        <f t="shared" si="173"/>
        <v>3769.2</v>
      </c>
      <c r="M1410" s="5"/>
      <c r="N1410" s="5"/>
      <c r="O1410" s="5"/>
      <c r="P1410" s="5" t="str">
        <f>IF($H1410="","FIYAT_YOK",IFERROR(VLOOKUP($D1410,FIYAT!$B:$P,15,FALSE()),""))</f>
        <v>OK</v>
      </c>
      <c r="Q1410" s="5" t="s">
        <v>243</v>
      </c>
      <c r="R1410" s="5" t="s">
        <v>184</v>
      </c>
      <c r="S1410" s="5" t="s">
        <v>725</v>
      </c>
      <c r="T1410" s="5" t="s">
        <v>89</v>
      </c>
      <c r="U1410" s="5">
        <f>IFERROR(VLOOKUP($T1410,KURALLAR!$A$32:$B$63,2,FALSE()),0)*IF(ISNUMBER($I1410),$I1410,0)</f>
        <v>24</v>
      </c>
    </row>
    <row r="1411" spans="1:21" x14ac:dyDescent="0.25">
      <c r="A1411" s="9">
        <v>1410</v>
      </c>
      <c r="B1411" s="9"/>
      <c r="C1411" s="9" t="s">
        <v>83</v>
      </c>
      <c r="D1411" s="9" t="s">
        <v>391</v>
      </c>
      <c r="E1411" s="9" t="str">
        <f>IFERROR(VLOOKUP($D1411,FIYAT!$B:$O,2,FALSE()),"")</f>
        <v>Трансформатор тока Т-0.66-1,2 У3 5000/5А (для счётчика)</v>
      </c>
      <c r="F1411" s="9">
        <f>IFERROR(VLOOKUP($D1411,FIYAT!$B:$O,5,FALSE()),"")</f>
        <v>0</v>
      </c>
      <c r="G1411" s="9" t="str">
        <f>IFERROR(VLOOKUP($D1411,FIYAT!$B:$O,8,FALSE()),"")</f>
        <v/>
      </c>
      <c r="H1411" s="9" t="str">
        <f t="shared" si="172"/>
        <v/>
      </c>
      <c r="I1411" s="6">
        <v>6</v>
      </c>
      <c r="J1411" s="9" t="str">
        <f>IFERROR(VLOOKUP($D1411,FIYAT!$B:$O,9,FALSE()),"")</f>
        <v>Шт.</v>
      </c>
      <c r="K1411" s="9" t="str">
        <f>IFERROR(VLOOKUP($D1411,FIYAT!$B:$O,4,FALSE()),"")</f>
        <v>MUADIL-NET</v>
      </c>
      <c r="L1411" s="9" t="str">
        <f t="shared" si="173"/>
        <v/>
      </c>
      <c r="M1411" s="9"/>
      <c r="N1411" s="9"/>
      <c r="O1411" s="9"/>
      <c r="P1411" s="7" t="str">
        <f>IF($H1411="","FIYAT_YOK",IFERROR(VLOOKUP($D1411,FIYAT!$B:$P,15,FALSE()),""))</f>
        <v>FIYAT_YOK</v>
      </c>
      <c r="Q1411" s="7" t="s">
        <v>393</v>
      </c>
      <c r="R1411" s="9"/>
      <c r="S1411" s="9" t="s">
        <v>725</v>
      </c>
      <c r="T1411" s="9" t="s">
        <v>83</v>
      </c>
      <c r="U1411" s="9">
        <f>IFERROR(VLOOKUP($T1411,KURALLAR!$A$32:$B$63,2,FALSE()),0)*IF(ISNUMBER($I1411),$I1411,0)</f>
        <v>60</v>
      </c>
    </row>
    <row r="1412" spans="1:21" x14ac:dyDescent="0.25">
      <c r="A1412" s="5">
        <v>1411</v>
      </c>
      <c r="B1412" s="5"/>
      <c r="C1412" s="5" t="s">
        <v>83</v>
      </c>
      <c r="D1412" s="5" t="s">
        <v>394</v>
      </c>
      <c r="E1412" s="5" t="str">
        <f>IFERROR(VLOOKUP($D1412,FIYAT!$B:$O,2,FALSE()),"")</f>
        <v>Трансформатор тока 5000/5А кл. 0,5 — CHINT листинге нет</v>
      </c>
      <c r="F1412" s="5">
        <f>IFERROR(VLOOKUP($D1412,FIYAT!$B:$O,5,FALSE()),"")</f>
        <v>0</v>
      </c>
      <c r="G1412" s="5" t="str">
        <f>IFERROR(VLOOKUP($D1412,FIYAT!$B:$O,8,FALSE()),"")</f>
        <v/>
      </c>
      <c r="H1412" s="5" t="str">
        <f t="shared" si="172"/>
        <v/>
      </c>
      <c r="I1412" s="6">
        <v>8</v>
      </c>
      <c r="J1412" s="5" t="str">
        <f>IFERROR(VLOOKUP($D1412,FIYAT!$B:$O,9,FALSE()),"")</f>
        <v>Шт.</v>
      </c>
      <c r="K1412" s="5" t="str">
        <f>IFERROR(VLOOKUP($D1412,FIYAT!$B:$O,4,FALSE()),"")</f>
        <v>MUADIL-NET</v>
      </c>
      <c r="L1412" s="5" t="str">
        <f t="shared" si="173"/>
        <v/>
      </c>
      <c r="M1412" s="5"/>
      <c r="N1412" s="5"/>
      <c r="O1412" s="5"/>
      <c r="P1412" s="7" t="str">
        <f>IF($H1412="","FIYAT_YOK",IFERROR(VLOOKUP($D1412,FIYAT!$B:$P,15,FALSE()),""))</f>
        <v>FIYAT_YOK</v>
      </c>
      <c r="Q1412" s="7" t="s">
        <v>396</v>
      </c>
      <c r="R1412" s="5"/>
      <c r="S1412" s="5" t="s">
        <v>725</v>
      </c>
      <c r="T1412" s="5" t="s">
        <v>83</v>
      </c>
      <c r="U1412" s="5">
        <f>IFERROR(VLOOKUP($T1412,KURALLAR!$A$32:$B$63,2,FALSE()),0)*IF(ISNUMBER($I1412),$I1412,0)</f>
        <v>80</v>
      </c>
    </row>
    <row r="1413" spans="1:21" x14ac:dyDescent="0.25">
      <c r="A1413" s="9">
        <v>1412</v>
      </c>
      <c r="B1413" s="9"/>
      <c r="C1413" s="9" t="s">
        <v>81</v>
      </c>
      <c r="D1413" s="9" t="s">
        <v>397</v>
      </c>
      <c r="E1413" s="9" t="str">
        <f>IFERROR(VLOOKUP($D1413,FIYAT!$B:$O,2,FALSE()),"")</f>
        <v>Schneider PM5560 — анализатор сети, 2xEthernet, 4DI/2DO</v>
      </c>
      <c r="F1413" s="9">
        <f>IFERROR(VLOOKUP($D1413,FIYAT!$B:$O,5,FALSE()),"")</f>
        <v>0</v>
      </c>
      <c r="G1413" s="9" t="str">
        <f>IFERROR(VLOOKUP($D1413,FIYAT!$B:$O,8,FALSE()),"")</f>
        <v/>
      </c>
      <c r="H1413" s="9" t="str">
        <f t="shared" si="172"/>
        <v/>
      </c>
      <c r="I1413" s="6">
        <v>2</v>
      </c>
      <c r="J1413" s="9" t="str">
        <f>IFERROR(VLOOKUP($D1413,FIYAT!$B:$O,9,FALSE()),"")</f>
        <v>Шт.</v>
      </c>
      <c r="K1413" s="9" t="str">
        <f>IFERROR(VLOOKUP($D1413,FIYAT!$B:$O,4,FALSE()),"")</f>
        <v>SCHNEIDER</v>
      </c>
      <c r="L1413" s="9" t="str">
        <f t="shared" si="173"/>
        <v/>
      </c>
      <c r="M1413" s="9"/>
      <c r="N1413" s="9"/>
      <c r="O1413" s="9"/>
      <c r="P1413" s="7" t="str">
        <f>IF($H1413="","FIYAT_YOK",IFERROR(VLOOKUP($D1413,FIYAT!$B:$P,15,FALSE()),""))</f>
        <v>FIYAT_YOK</v>
      </c>
      <c r="Q1413" s="7" t="s">
        <v>399</v>
      </c>
      <c r="R1413" s="9"/>
      <c r="S1413" s="9" t="s">
        <v>725</v>
      </c>
      <c r="T1413" s="9" t="s">
        <v>81</v>
      </c>
      <c r="U1413" s="9">
        <f>IFERROR(VLOOKUP($T1413,KURALLAR!$A$32:$B$63,2,FALSE()),0)*IF(ISNUMBER($I1413),$I1413,0)</f>
        <v>60</v>
      </c>
    </row>
    <row r="1414" spans="1:21" x14ac:dyDescent="0.25">
      <c r="A1414" s="5">
        <v>1413</v>
      </c>
      <c r="B1414" s="5"/>
      <c r="C1414" s="5" t="s">
        <v>81</v>
      </c>
      <c r="D1414" s="5" t="s">
        <v>284</v>
      </c>
      <c r="E1414" s="5" t="str">
        <f>IFERROR(VLOOKUP($D1414,FIYAT!$B:$O,2,FALSE()),"")</f>
        <v>Трехфазный эл.счетчик EX 518 5А (трансф. подкл.) с PLC модулем</v>
      </c>
      <c r="F1414" s="5">
        <f>IFERROR(VLOOKUP($D1414,FIYAT!$B:$O,5,FALSE()),"")</f>
        <v>0</v>
      </c>
      <c r="G1414" s="5" t="str">
        <f>IFERROR(VLOOKUP($D1414,FIYAT!$B:$O,8,FALSE()),"")</f>
        <v/>
      </c>
      <c r="H1414" s="5" t="str">
        <f t="shared" si="172"/>
        <v/>
      </c>
      <c r="I1414" s="6">
        <v>2</v>
      </c>
      <c r="J1414" s="5" t="str">
        <f>IFERROR(VLOOKUP($D1414,FIYAT!$B:$O,9,FALSE()),"")</f>
        <v>Шт.</v>
      </c>
      <c r="K1414" s="5" t="str">
        <f>IFERROR(VLOOKUP($D1414,FIYAT!$B:$O,4,FALSE()),"")</f>
        <v>MUADIL-NET</v>
      </c>
      <c r="L1414" s="5" t="str">
        <f t="shared" si="173"/>
        <v/>
      </c>
      <c r="M1414" s="5"/>
      <c r="N1414" s="5"/>
      <c r="O1414" s="5"/>
      <c r="P1414" s="7" t="str">
        <f>IF($H1414="","FIYAT_YOK",IFERROR(VLOOKUP($D1414,FIYAT!$B:$P,15,FALSE()),""))</f>
        <v>FIYAT_YOK</v>
      </c>
      <c r="Q1414" s="7" t="s">
        <v>249</v>
      </c>
      <c r="R1414" s="5"/>
      <c r="S1414" s="5" t="s">
        <v>725</v>
      </c>
      <c r="T1414" s="5" t="s">
        <v>81</v>
      </c>
      <c r="U1414" s="5">
        <f>IFERROR(VLOOKUP($T1414,KURALLAR!$A$32:$B$63,2,FALSE()),0)*IF(ISNUMBER($I1414),$I1414,0)</f>
        <v>60</v>
      </c>
    </row>
    <row r="1415" spans="1:21" x14ac:dyDescent="0.25">
      <c r="A1415" s="9">
        <v>1414</v>
      </c>
      <c r="B1415" s="9"/>
      <c r="C1415" s="9" t="s">
        <v>97</v>
      </c>
      <c r="D1415" s="9" t="s">
        <v>281</v>
      </c>
      <c r="E1415" s="9" t="str">
        <f>IFERROR(VLOOKUP($D1415,FIYAT!$B:$O,2,FALSE()),"")</f>
        <v>КОРОБКА КЛЕММНАЯ ИСПЫТАТЕЛЬНАЯ ПЕРЕХОДНАЯ ККИ1-1 EKF PROXIMA</v>
      </c>
      <c r="F1415" s="9">
        <f>IFERROR(VLOOKUP($D1415,FIYAT!$B:$O,5,FALSE()),"")</f>
        <v>0</v>
      </c>
      <c r="G1415" s="9" t="str">
        <f>IFERROR(VLOOKUP($D1415,FIYAT!$B:$O,8,FALSE()),"")</f>
        <v/>
      </c>
      <c r="H1415" s="9" t="str">
        <f t="shared" si="172"/>
        <v/>
      </c>
      <c r="I1415" s="6">
        <v>2</v>
      </c>
      <c r="J1415" s="9" t="str">
        <f>IFERROR(VLOOKUP($D1415,FIYAT!$B:$O,9,FALSE()),"")</f>
        <v>Шт.</v>
      </c>
      <c r="K1415" s="9" t="str">
        <f>IFERROR(VLOOKUP($D1415,FIYAT!$B:$O,4,FALSE()),"")</f>
        <v>EKF</v>
      </c>
      <c r="L1415" s="9" t="str">
        <f t="shared" si="173"/>
        <v/>
      </c>
      <c r="M1415" s="9"/>
      <c r="N1415" s="9"/>
      <c r="O1415" s="9"/>
      <c r="P1415" s="7" t="str">
        <f>IF($H1415="","FIYAT_YOK",IFERROR(VLOOKUP($D1415,FIYAT!$B:$P,15,FALSE()),""))</f>
        <v>FIYAT_YOK</v>
      </c>
      <c r="Q1415" s="7" t="s">
        <v>283</v>
      </c>
      <c r="R1415" s="9"/>
      <c r="S1415" s="9" t="s">
        <v>725</v>
      </c>
      <c r="T1415" s="9" t="s">
        <v>97</v>
      </c>
      <c r="U1415" s="9">
        <f>IFERROR(VLOOKUP($T1415,KURALLAR!$A$32:$B$63,2,FALSE()),0)*IF(ISNUMBER($I1415),$I1415,0)</f>
        <v>8</v>
      </c>
    </row>
    <row r="1416" spans="1:21" x14ac:dyDescent="0.25">
      <c r="A1416" s="5">
        <v>1415</v>
      </c>
      <c r="B1416" s="5"/>
      <c r="C1416" s="5" t="s">
        <v>87</v>
      </c>
      <c r="D1416" s="5" t="s">
        <v>400</v>
      </c>
      <c r="E1416" s="5" t="str">
        <f>IFERROR(VLOOKUP($D1416,FIYAT!$B:$O,2,FALSE()),"")</f>
        <v>Schneider Zelio SR3B261FU — программируемое реле 26 I/O</v>
      </c>
      <c r="F1416" s="5">
        <f>IFERROR(VLOOKUP($D1416,FIYAT!$B:$O,5,FALSE()),"")</f>
        <v>0</v>
      </c>
      <c r="G1416" s="5" t="str">
        <f>IFERROR(VLOOKUP($D1416,FIYAT!$B:$O,8,FALSE()),"")</f>
        <v/>
      </c>
      <c r="H1416" s="5" t="str">
        <f t="shared" si="172"/>
        <v/>
      </c>
      <c r="I1416" s="6">
        <v>1</v>
      </c>
      <c r="J1416" s="5" t="str">
        <f>IFERROR(VLOOKUP($D1416,FIYAT!$B:$O,9,FALSE()),"")</f>
        <v>Шт.</v>
      </c>
      <c r="K1416" s="5" t="str">
        <f>IFERROR(VLOOKUP($D1416,FIYAT!$B:$O,4,FALSE()),"")</f>
        <v>SCHNEIDER</v>
      </c>
      <c r="L1416" s="5" t="str">
        <f t="shared" si="173"/>
        <v/>
      </c>
      <c r="M1416" s="5"/>
      <c r="N1416" s="5"/>
      <c r="O1416" s="5"/>
      <c r="P1416" s="7" t="str">
        <f>IF($H1416="","FIYAT_YOK",IFERROR(VLOOKUP($D1416,FIYAT!$B:$P,15,FALSE()),""))</f>
        <v>FIYAT_YOK</v>
      </c>
      <c r="Q1416" s="7" t="s">
        <v>402</v>
      </c>
      <c r="R1416" s="5"/>
      <c r="S1416" s="5" t="s">
        <v>725</v>
      </c>
      <c r="T1416" s="5" t="s">
        <v>87</v>
      </c>
      <c r="U1416" s="5">
        <f>IFERROR(VLOOKUP($T1416,KURALLAR!$A$32:$B$63,2,FALSE()),0)*IF(ISNUMBER($I1416),$I1416,0)</f>
        <v>8</v>
      </c>
    </row>
    <row r="1417" spans="1:21" x14ac:dyDescent="0.25">
      <c r="A1417" s="9">
        <v>1416</v>
      </c>
      <c r="B1417" s="9"/>
      <c r="C1417" s="9" t="s">
        <v>87</v>
      </c>
      <c r="D1417" s="9" t="s">
        <v>403</v>
      </c>
      <c r="E1417" s="9" t="str">
        <f>IFERROR(VLOOKUP($D1417,FIYAT!$B:$O,2,FALSE()),"")</f>
        <v>Schneider Zelio SR3XT141FU — модуль расширения 14 I/O</v>
      </c>
      <c r="F1417" s="9">
        <f>IFERROR(VLOOKUP($D1417,FIYAT!$B:$O,5,FALSE()),"")</f>
        <v>0</v>
      </c>
      <c r="G1417" s="9" t="str">
        <f>IFERROR(VLOOKUP($D1417,FIYAT!$B:$O,8,FALSE()),"")</f>
        <v/>
      </c>
      <c r="H1417" s="9" t="str">
        <f t="shared" si="172"/>
        <v/>
      </c>
      <c r="I1417" s="6">
        <v>1</v>
      </c>
      <c r="J1417" s="9" t="str">
        <f>IFERROR(VLOOKUP($D1417,FIYAT!$B:$O,9,FALSE()),"")</f>
        <v>Шт.</v>
      </c>
      <c r="K1417" s="9" t="str">
        <f>IFERROR(VLOOKUP($D1417,FIYAT!$B:$O,4,FALSE()),"")</f>
        <v>SCHNEIDER</v>
      </c>
      <c r="L1417" s="9" t="str">
        <f t="shared" si="173"/>
        <v/>
      </c>
      <c r="M1417" s="9"/>
      <c r="N1417" s="9"/>
      <c r="O1417" s="9"/>
      <c r="P1417" s="7" t="str">
        <f>IF($H1417="","FIYAT_YOK",IFERROR(VLOOKUP($D1417,FIYAT!$B:$P,15,FALSE()),""))</f>
        <v>FIYAT_YOK</v>
      </c>
      <c r="Q1417" s="7" t="s">
        <v>405</v>
      </c>
      <c r="R1417" s="9"/>
      <c r="S1417" s="9" t="s">
        <v>725</v>
      </c>
      <c r="T1417" s="9" t="s">
        <v>87</v>
      </c>
      <c r="U1417" s="9">
        <f>IFERROR(VLOOKUP($T1417,KURALLAR!$A$32:$B$63,2,FALSE()),0)*IF(ISNUMBER($I1417),$I1417,0)</f>
        <v>8</v>
      </c>
    </row>
    <row r="1418" spans="1:21" x14ac:dyDescent="0.25">
      <c r="A1418" s="5">
        <v>1417</v>
      </c>
      <c r="B1418" s="5"/>
      <c r="C1418" s="5" t="s">
        <v>87</v>
      </c>
      <c r="D1418" s="5" t="s">
        <v>406</v>
      </c>
      <c r="E1418" s="5" t="str">
        <f>IFERROR(VLOOKUP($D1418,FIYAT!$B:$O,2,FALSE()),"")</f>
        <v>Реле контроля фаз NJYB3-8 AC380V (R)</v>
      </c>
      <c r="F1418" s="5">
        <f>IFERROR(VLOOKUP($D1418,FIYAT!$B:$O,5,FALSE()),"")</f>
        <v>14175</v>
      </c>
      <c r="G1418" s="5">
        <f>IFERROR(VLOOKUP($D1418,FIYAT!$B:$O,8,FALSE()),"")</f>
        <v>8505</v>
      </c>
      <c r="H1418" s="5">
        <f t="shared" si="172"/>
        <v>25515</v>
      </c>
      <c r="I1418" s="6">
        <v>3</v>
      </c>
      <c r="J1418" s="5" t="str">
        <f>IFERROR(VLOOKUP($D1418,FIYAT!$B:$O,9,FALSE()),"")</f>
        <v>Шт.</v>
      </c>
      <c r="K1418" s="5" t="str">
        <f>IFERROR(VLOOKUP($D1418,FIYAT!$B:$O,4,FALSE()),"")</f>
        <v>CHINT</v>
      </c>
      <c r="L1418" s="5">
        <f t="shared" si="173"/>
        <v>25515</v>
      </c>
      <c r="M1418" s="5"/>
      <c r="N1418" s="5"/>
      <c r="O1418" s="5"/>
      <c r="P1418" s="5" t="str">
        <f>IF($H1418="","FIYAT_YOK",IFERROR(VLOOKUP($D1418,FIYAT!$B:$P,15,FALSE()),""))</f>
        <v>MUADIL</v>
      </c>
      <c r="Q1418" s="5" t="s">
        <v>408</v>
      </c>
      <c r="R1418" s="5" t="s">
        <v>184</v>
      </c>
      <c r="S1418" s="5" t="s">
        <v>725</v>
      </c>
      <c r="T1418" s="5" t="s">
        <v>87</v>
      </c>
      <c r="U1418" s="5">
        <f>IFERROR(VLOOKUP($T1418,KURALLAR!$A$32:$B$63,2,FALSE()),0)*IF(ISNUMBER($I1418),$I1418,0)</f>
        <v>24</v>
      </c>
    </row>
    <row r="1419" spans="1:21" x14ac:dyDescent="0.25">
      <c r="A1419" s="9">
        <v>1418</v>
      </c>
      <c r="B1419" s="9"/>
      <c r="C1419" s="9" t="s">
        <v>87</v>
      </c>
      <c r="D1419" s="9" t="s">
        <v>409</v>
      </c>
      <c r="E1419" s="9" t="str">
        <f>IFERROR(VLOOKUP($D1419,FIYAT!$B:$O,2,FALSE()),"")</f>
        <v>Реле времени NTE8-M2 (7 устанавл. функц.) АС230B (R)</v>
      </c>
      <c r="F1419" s="9">
        <f>IFERROR(VLOOKUP($D1419,FIYAT!$B:$O,5,FALSE()),"")</f>
        <v>14399</v>
      </c>
      <c r="G1419" s="9">
        <f>IFERROR(VLOOKUP($D1419,FIYAT!$B:$O,8,FALSE()),"")</f>
        <v>8639.4</v>
      </c>
      <c r="H1419" s="9">
        <f t="shared" si="172"/>
        <v>43197</v>
      </c>
      <c r="I1419" s="6">
        <v>5</v>
      </c>
      <c r="J1419" s="9" t="str">
        <f>IFERROR(VLOOKUP($D1419,FIYAT!$B:$O,9,FALSE()),"")</f>
        <v>Шт.</v>
      </c>
      <c r="K1419" s="9" t="str">
        <f>IFERROR(VLOOKUP($D1419,FIYAT!$B:$O,4,FALSE()),"")</f>
        <v>CHINT</v>
      </c>
      <c r="L1419" s="9">
        <f t="shared" si="173"/>
        <v>43197</v>
      </c>
      <c r="M1419" s="9"/>
      <c r="N1419" s="9"/>
      <c r="O1419" s="9"/>
      <c r="P1419" s="9" t="str">
        <f>IF($H1419="","FIYAT_YOK",IFERROR(VLOOKUP($D1419,FIYAT!$B:$P,15,FALSE()),""))</f>
        <v>MUADIL</v>
      </c>
      <c r="Q1419" s="9" t="s">
        <v>411</v>
      </c>
      <c r="R1419" s="9" t="s">
        <v>184</v>
      </c>
      <c r="S1419" s="9" t="s">
        <v>725</v>
      </c>
      <c r="T1419" s="9" t="s">
        <v>87</v>
      </c>
      <c r="U1419" s="9">
        <f>IFERROR(VLOOKUP($T1419,KURALLAR!$A$32:$B$63,2,FALSE()),0)*IF(ISNUMBER($I1419),$I1419,0)</f>
        <v>40</v>
      </c>
    </row>
    <row r="1420" spans="1:21" x14ac:dyDescent="0.25">
      <c r="A1420" s="5">
        <v>1419</v>
      </c>
      <c r="B1420" s="5"/>
      <c r="C1420" s="5" t="s">
        <v>87</v>
      </c>
      <c r="D1420" s="5" t="s">
        <v>412</v>
      </c>
      <c r="E1420" s="5" t="str">
        <f>IFERROR(VLOOKUP($D1420,FIYAT!$B:$O,2,FALSE()),"")</f>
        <v>Schneider RXM4AB1P7 — миниатюрное реле 6A 4CO</v>
      </c>
      <c r="F1420" s="5">
        <f>IFERROR(VLOOKUP($D1420,FIYAT!$B:$O,5,FALSE()),"")</f>
        <v>0</v>
      </c>
      <c r="G1420" s="5" t="str">
        <f>IFERROR(VLOOKUP($D1420,FIYAT!$B:$O,8,FALSE()),"")</f>
        <v/>
      </c>
      <c r="H1420" s="5" t="str">
        <f t="shared" si="172"/>
        <v/>
      </c>
      <c r="I1420" s="6">
        <v>26</v>
      </c>
      <c r="J1420" s="5" t="str">
        <f>IFERROR(VLOOKUP($D1420,FIYAT!$B:$O,9,FALSE()),"")</f>
        <v>Шт.</v>
      </c>
      <c r="K1420" s="5" t="str">
        <f>IFERROR(VLOOKUP($D1420,FIYAT!$B:$O,4,FALSE()),"")</f>
        <v>SCHNEIDER</v>
      </c>
      <c r="L1420" s="5" t="str">
        <f t="shared" si="173"/>
        <v/>
      </c>
      <c r="M1420" s="5"/>
      <c r="N1420" s="5"/>
      <c r="O1420" s="5"/>
      <c r="P1420" s="7" t="str">
        <f>IF($H1420="","FIYAT_YOK",IFERROR(VLOOKUP($D1420,FIYAT!$B:$P,15,FALSE()),""))</f>
        <v>FIYAT_YOK</v>
      </c>
      <c r="Q1420" s="7" t="s">
        <v>414</v>
      </c>
      <c r="R1420" s="5"/>
      <c r="S1420" s="5" t="s">
        <v>725</v>
      </c>
      <c r="T1420" s="5" t="s">
        <v>87</v>
      </c>
      <c r="U1420" s="5">
        <f>IFERROR(VLOOKUP($T1420,KURALLAR!$A$32:$B$63,2,FALSE()),0)*IF(ISNUMBER($I1420),$I1420,0)</f>
        <v>208</v>
      </c>
    </row>
    <row r="1421" spans="1:21" x14ac:dyDescent="0.25">
      <c r="A1421" s="9">
        <v>1420</v>
      </c>
      <c r="B1421" s="9"/>
      <c r="C1421" s="9" t="s">
        <v>417</v>
      </c>
      <c r="D1421" s="9" t="s">
        <v>415</v>
      </c>
      <c r="E1421" s="9" t="str">
        <f>IFERROR(VLOOKUP($D1421,FIYAT!$B:$O,2,FALSE()),"")</f>
        <v>Schneider RXZE2M114M — колодка для реле RXM2/RXM4</v>
      </c>
      <c r="F1421" s="9">
        <f>IFERROR(VLOOKUP($D1421,FIYAT!$B:$O,5,FALSE()),"")</f>
        <v>0</v>
      </c>
      <c r="G1421" s="9" t="str">
        <f>IFERROR(VLOOKUP($D1421,FIYAT!$B:$O,8,FALSE()),"")</f>
        <v/>
      </c>
      <c r="H1421" s="9" t="str">
        <f t="shared" si="172"/>
        <v/>
      </c>
      <c r="I1421" s="6">
        <v>26</v>
      </c>
      <c r="J1421" s="9" t="str">
        <f>IFERROR(VLOOKUP($D1421,FIYAT!$B:$O,9,FALSE()),"")</f>
        <v>Шт.</v>
      </c>
      <c r="K1421" s="9" t="str">
        <f>IFERROR(VLOOKUP($D1421,FIYAT!$B:$O,4,FALSE()),"")</f>
        <v>SCHNEIDER</v>
      </c>
      <c r="L1421" s="9" t="str">
        <f t="shared" si="173"/>
        <v/>
      </c>
      <c r="M1421" s="9"/>
      <c r="N1421" s="9"/>
      <c r="O1421" s="9"/>
      <c r="P1421" s="7" t="str">
        <f>IF($H1421="","FIYAT_YOK",IFERROR(VLOOKUP($D1421,FIYAT!$B:$P,15,FALSE()),""))</f>
        <v>FIYAT_YOK</v>
      </c>
      <c r="Q1421" s="7" t="s">
        <v>418</v>
      </c>
      <c r="R1421" s="9"/>
      <c r="S1421" s="9" t="s">
        <v>725</v>
      </c>
      <c r="T1421" s="9" t="s">
        <v>87</v>
      </c>
      <c r="U1421" s="9">
        <f>IFERROR(VLOOKUP($T1421,KURALLAR!$A$32:$B$63,2,FALSE()),0)*IF(ISNUMBER($I1421),$I1421,0)</f>
        <v>208</v>
      </c>
    </row>
    <row r="1422" spans="1:21" x14ac:dyDescent="0.25">
      <c r="A1422" s="5">
        <v>1421</v>
      </c>
      <c r="B1422" s="5"/>
      <c r="C1422" s="5" t="s">
        <v>93</v>
      </c>
      <c r="D1422" s="5" t="s">
        <v>419</v>
      </c>
      <c r="E1422" s="5" t="str">
        <f>IFERROR(VLOOKUP($D1422,FIYAT!$B:$O,2,FALSE()),"")</f>
        <v>Переключатель NP2-BD33, 3 положения с фиксацией, 2НО IP40</v>
      </c>
      <c r="F1422" s="5">
        <f>IFERROR(VLOOKUP($D1422,FIYAT!$B:$O,5,FALSE()),"")</f>
        <v>1836</v>
      </c>
      <c r="G1422" s="5">
        <f>IFERROR(VLOOKUP($D1422,FIYAT!$B:$O,8,FALSE()),"")</f>
        <v>1101.5999999999999</v>
      </c>
      <c r="H1422" s="5">
        <f t="shared" si="172"/>
        <v>1101.5999999999999</v>
      </c>
      <c r="I1422" s="6">
        <v>1</v>
      </c>
      <c r="J1422" s="5" t="str">
        <f>IFERROR(VLOOKUP($D1422,FIYAT!$B:$O,9,FALSE()),"")</f>
        <v>Шт.</v>
      </c>
      <c r="K1422" s="5" t="str">
        <f>IFERROR(VLOOKUP($D1422,FIYAT!$B:$O,4,FALSE()),"")</f>
        <v>CHINT</v>
      </c>
      <c r="L1422" s="5">
        <f t="shared" si="173"/>
        <v>1101.5999999999999</v>
      </c>
      <c r="M1422" s="5"/>
      <c r="N1422" s="5"/>
      <c r="O1422" s="5"/>
      <c r="P1422" s="5" t="str">
        <f>IF($H1422="","FIYAT_YOK",IFERROR(VLOOKUP($D1422,FIYAT!$B:$P,15,FALSE()),""))</f>
        <v>MUADIL</v>
      </c>
      <c r="Q1422" s="5" t="s">
        <v>421</v>
      </c>
      <c r="R1422" s="5" t="s">
        <v>184</v>
      </c>
      <c r="S1422" s="5" t="s">
        <v>725</v>
      </c>
      <c r="T1422" s="5" t="s">
        <v>91</v>
      </c>
      <c r="U1422" s="5">
        <f>IFERROR(VLOOKUP($T1422,KURALLAR!$A$32:$B$63,2,FALSE()),0)*IF(ISNUMBER($I1422),$I1422,0)</f>
        <v>5</v>
      </c>
    </row>
    <row r="1423" spans="1:21" x14ac:dyDescent="0.25">
      <c r="A1423" s="9">
        <v>1422</v>
      </c>
      <c r="B1423" s="9"/>
      <c r="C1423" s="9" t="s">
        <v>93</v>
      </c>
      <c r="D1423" s="9" t="s">
        <v>422</v>
      </c>
      <c r="E1423" s="9" t="str">
        <f>IFERROR(VLOOKUP($D1423,FIYAT!$B:$O,2,FALSE()),"")</f>
        <v>Кнопка управления NP2-BA42 без подсветки красная 1НЗ IP40</v>
      </c>
      <c r="F1423" s="9">
        <f>IFERROR(VLOOKUP($D1423,FIYAT!$B:$O,5,FALSE()),"")</f>
        <v>1621</v>
      </c>
      <c r="G1423" s="9">
        <f>IFERROR(VLOOKUP($D1423,FIYAT!$B:$O,8,FALSE()),"")</f>
        <v>972.59999999999991</v>
      </c>
      <c r="H1423" s="9">
        <f t="shared" si="172"/>
        <v>3890.3999999999996</v>
      </c>
      <c r="I1423" s="6">
        <v>4</v>
      </c>
      <c r="J1423" s="9" t="str">
        <f>IFERROR(VLOOKUP($D1423,FIYAT!$B:$O,9,FALSE()),"")</f>
        <v>Шт.</v>
      </c>
      <c r="K1423" s="9" t="str">
        <f>IFERROR(VLOOKUP($D1423,FIYAT!$B:$O,4,FALSE()),"")</f>
        <v>CHINT</v>
      </c>
      <c r="L1423" s="9">
        <f t="shared" si="173"/>
        <v>3890.3999999999996</v>
      </c>
      <c r="M1423" s="9"/>
      <c r="N1423" s="9"/>
      <c r="O1423" s="9"/>
      <c r="P1423" s="9" t="str">
        <f>IF($H1423="","FIYAT_YOK",IFERROR(VLOOKUP($D1423,FIYAT!$B:$P,15,FALSE()),""))</f>
        <v>OK</v>
      </c>
      <c r="Q1423" s="9" t="s">
        <v>424</v>
      </c>
      <c r="R1423" s="9" t="s">
        <v>184</v>
      </c>
      <c r="S1423" s="9" t="s">
        <v>725</v>
      </c>
      <c r="T1423" s="9" t="s">
        <v>91</v>
      </c>
      <c r="U1423" s="9">
        <f>IFERROR(VLOOKUP($T1423,KURALLAR!$A$32:$B$63,2,FALSE()),0)*IF(ISNUMBER($I1423),$I1423,0)</f>
        <v>20</v>
      </c>
    </row>
    <row r="1424" spans="1:21" x14ac:dyDescent="0.25">
      <c r="A1424" s="5">
        <v>1423</v>
      </c>
      <c r="B1424" s="5"/>
      <c r="C1424" s="5" t="s">
        <v>93</v>
      </c>
      <c r="D1424" s="5" t="s">
        <v>425</v>
      </c>
      <c r="E1424" s="5" t="str">
        <f>IFERROR(VLOOKUP($D1424,FIYAT!$B:$O,2,FALSE()),"")</f>
        <v>Кнопка управления NP2-BA31 без подсветки зеленая 1НО IP40</v>
      </c>
      <c r="F1424" s="5">
        <f>IFERROR(VLOOKUP($D1424,FIYAT!$B:$O,5,FALSE()),"")</f>
        <v>1602</v>
      </c>
      <c r="G1424" s="5">
        <f>IFERROR(VLOOKUP($D1424,FIYAT!$B:$O,8,FALSE()),"")</f>
        <v>961.19999999999993</v>
      </c>
      <c r="H1424" s="5">
        <f t="shared" si="172"/>
        <v>3844.7999999999997</v>
      </c>
      <c r="I1424" s="6">
        <v>4</v>
      </c>
      <c r="J1424" s="5" t="str">
        <f>IFERROR(VLOOKUP($D1424,FIYAT!$B:$O,9,FALSE()),"")</f>
        <v>Шт.</v>
      </c>
      <c r="K1424" s="5" t="str">
        <f>IFERROR(VLOOKUP($D1424,FIYAT!$B:$O,4,FALSE()),"")</f>
        <v>CHINT</v>
      </c>
      <c r="L1424" s="5">
        <f t="shared" si="173"/>
        <v>3844.7999999999997</v>
      </c>
      <c r="M1424" s="5"/>
      <c r="N1424" s="5"/>
      <c r="O1424" s="5"/>
      <c r="P1424" s="5" t="str">
        <f>IF($H1424="","FIYAT_YOK",IFERROR(VLOOKUP($D1424,FIYAT!$B:$P,15,FALSE()),""))</f>
        <v>OK</v>
      </c>
      <c r="Q1424" s="5" t="s">
        <v>427</v>
      </c>
      <c r="R1424" s="5" t="s">
        <v>184</v>
      </c>
      <c r="S1424" s="5" t="s">
        <v>725</v>
      </c>
      <c r="T1424" s="5" t="s">
        <v>91</v>
      </c>
      <c r="U1424" s="5">
        <f>IFERROR(VLOOKUP($T1424,KURALLAR!$A$32:$B$63,2,FALSE()),0)*IF(ISNUMBER($I1424),$I1424,0)</f>
        <v>20</v>
      </c>
    </row>
    <row r="1425" spans="1:21" x14ac:dyDescent="0.25">
      <c r="A1425" s="9">
        <v>1424</v>
      </c>
      <c r="B1425" s="9"/>
      <c r="C1425" s="9" t="s">
        <v>89</v>
      </c>
      <c r="D1425" s="9" t="s">
        <v>428</v>
      </c>
      <c r="E1425" s="9" t="str">
        <f>IFERROR(VLOOKUP($D1425,FIYAT!$B:$O,2,FALSE()),"")</f>
        <v>Индикатор ND16-22DS/4 зеленый АС230В (R)</v>
      </c>
      <c r="F1425" s="9">
        <f>IFERROR(VLOOKUP($D1425,FIYAT!$B:$O,5,FALSE()),"")</f>
        <v>836</v>
      </c>
      <c r="G1425" s="9">
        <f>IFERROR(VLOOKUP($D1425,FIYAT!$B:$O,8,FALSE()),"")</f>
        <v>501.59999999999997</v>
      </c>
      <c r="H1425" s="9">
        <f t="shared" si="172"/>
        <v>2006.3999999999999</v>
      </c>
      <c r="I1425" s="6">
        <v>4</v>
      </c>
      <c r="J1425" s="9" t="str">
        <f>IFERROR(VLOOKUP($D1425,FIYAT!$B:$O,9,FALSE()),"")</f>
        <v>Шт.</v>
      </c>
      <c r="K1425" s="9" t="str">
        <f>IFERROR(VLOOKUP($D1425,FIYAT!$B:$O,4,FALSE()),"")</f>
        <v>CHINT</v>
      </c>
      <c r="L1425" s="9">
        <f t="shared" si="173"/>
        <v>2006.3999999999999</v>
      </c>
      <c r="M1425" s="9"/>
      <c r="N1425" s="9"/>
      <c r="O1425" s="9"/>
      <c r="P1425" s="9" t="str">
        <f>IF($H1425="","FIYAT_YOK",IFERROR(VLOOKUP($D1425,FIYAT!$B:$P,15,FALSE()),""))</f>
        <v>OK</v>
      </c>
      <c r="Q1425" s="9" t="s">
        <v>430</v>
      </c>
      <c r="R1425" s="9" t="s">
        <v>184</v>
      </c>
      <c r="S1425" s="9" t="s">
        <v>725</v>
      </c>
      <c r="T1425" s="9" t="s">
        <v>89</v>
      </c>
      <c r="U1425" s="9">
        <f>IFERROR(VLOOKUP($T1425,KURALLAR!$A$32:$B$63,2,FALSE()),0)*IF(ISNUMBER($I1425),$I1425,0)</f>
        <v>16</v>
      </c>
    </row>
    <row r="1426" spans="1:21" x14ac:dyDescent="0.25">
      <c r="A1426" s="5">
        <v>1425</v>
      </c>
      <c r="B1426" s="5"/>
      <c r="C1426" s="5" t="s">
        <v>89</v>
      </c>
      <c r="D1426" s="5" t="s">
        <v>431</v>
      </c>
      <c r="E1426" s="5" t="str">
        <f>IFERROR(VLOOKUP($D1426,FIYAT!$B:$O,2,FALSE()),"")</f>
        <v>Индикатор ND16-22DS/4 красный АС230В (R)</v>
      </c>
      <c r="F1426" s="5">
        <f>IFERROR(VLOOKUP($D1426,FIYAT!$B:$O,5,FALSE()),"")</f>
        <v>836</v>
      </c>
      <c r="G1426" s="5">
        <f>IFERROR(VLOOKUP($D1426,FIYAT!$B:$O,8,FALSE()),"")</f>
        <v>501.59999999999997</v>
      </c>
      <c r="H1426" s="5">
        <f t="shared" si="172"/>
        <v>2006.3999999999999</v>
      </c>
      <c r="I1426" s="6">
        <v>4</v>
      </c>
      <c r="J1426" s="5" t="str">
        <f>IFERROR(VLOOKUP($D1426,FIYAT!$B:$O,9,FALSE()),"")</f>
        <v>Шт.</v>
      </c>
      <c r="K1426" s="5" t="str">
        <f>IFERROR(VLOOKUP($D1426,FIYAT!$B:$O,4,FALSE()),"")</f>
        <v>CHINT</v>
      </c>
      <c r="L1426" s="5">
        <f t="shared" si="173"/>
        <v>2006.3999999999999</v>
      </c>
      <c r="M1426" s="5"/>
      <c r="N1426" s="5"/>
      <c r="O1426" s="5"/>
      <c r="P1426" s="5" t="str">
        <f>IF($H1426="","FIYAT_YOK",IFERROR(VLOOKUP($D1426,FIYAT!$B:$P,15,FALSE()),""))</f>
        <v>OK</v>
      </c>
      <c r="Q1426" s="5" t="s">
        <v>433</v>
      </c>
      <c r="R1426" s="5" t="s">
        <v>184</v>
      </c>
      <c r="S1426" s="5" t="s">
        <v>725</v>
      </c>
      <c r="T1426" s="5" t="s">
        <v>89</v>
      </c>
      <c r="U1426" s="5">
        <f>IFERROR(VLOOKUP($T1426,KURALLAR!$A$32:$B$63,2,FALSE()),0)*IF(ISNUMBER($I1426),$I1426,0)</f>
        <v>16</v>
      </c>
    </row>
    <row r="1427" spans="1:21" x14ac:dyDescent="0.25">
      <c r="A1427" s="9">
        <v>1426</v>
      </c>
      <c r="B1427" s="9"/>
      <c r="C1427" s="9" t="s">
        <v>192</v>
      </c>
      <c r="D1427" s="9" t="s">
        <v>434</v>
      </c>
      <c r="E1427" s="9" t="str">
        <f>IFERROR(VLOOKUP($D1427,FIYAT!$B:$O,2,FALSE()),"")</f>
        <v>Авт. выкл. NXB-63 2P 16A 6кА х-ка C (R)</v>
      </c>
      <c r="F1427" s="9">
        <f>IFERROR(VLOOKUP($D1427,FIYAT!$B:$O,5,FALSE()),"")</f>
        <v>3199</v>
      </c>
      <c r="G1427" s="9">
        <f>IFERROR(VLOOKUP($D1427,FIYAT!$B:$O,8,FALSE()),"")</f>
        <v>1919.3999999999999</v>
      </c>
      <c r="H1427" s="9">
        <f t="shared" si="172"/>
        <v>7677.5999999999995</v>
      </c>
      <c r="I1427" s="6">
        <v>4</v>
      </c>
      <c r="J1427" s="9" t="str">
        <f>IFERROR(VLOOKUP($D1427,FIYAT!$B:$O,9,FALSE()),"")</f>
        <v>Шт.</v>
      </c>
      <c r="K1427" s="9" t="str">
        <f>IFERROR(VLOOKUP($D1427,FIYAT!$B:$O,4,FALSE()),"")</f>
        <v>CHINT</v>
      </c>
      <c r="L1427" s="9">
        <f t="shared" si="173"/>
        <v>7677.5999999999995</v>
      </c>
      <c r="M1427" s="9"/>
      <c r="N1427" s="9"/>
      <c r="O1427" s="9"/>
      <c r="P1427" s="9" t="str">
        <f>IF($H1427="","FIYAT_YOK",IFERROR(VLOOKUP($D1427,FIYAT!$B:$P,15,FALSE()),""))</f>
        <v>MUADIL</v>
      </c>
      <c r="Q1427" s="9" t="s">
        <v>436</v>
      </c>
      <c r="R1427" s="9" t="s">
        <v>184</v>
      </c>
      <c r="S1427" s="9" t="s">
        <v>725</v>
      </c>
      <c r="T1427" s="9" t="s">
        <v>49</v>
      </c>
      <c r="U1427" s="9">
        <f>IFERROR(VLOOKUP($T1427,KURALLAR!$A$32:$B$63,2,FALSE()),0)*IF(ISNUMBER($I1427),$I1427,0)</f>
        <v>20</v>
      </c>
    </row>
    <row r="1428" spans="1:21" x14ac:dyDescent="0.25">
      <c r="A1428" s="5">
        <v>1427</v>
      </c>
      <c r="B1428" s="5"/>
      <c r="C1428" s="5" t="s">
        <v>85</v>
      </c>
      <c r="D1428" s="5" t="s">
        <v>437</v>
      </c>
      <c r="E1428" s="5" t="str">
        <f>IFERROR(VLOOKUP($D1428,FIYAT!$B:$O,2,FALSE()),"")</f>
        <v>Контактор NC1-0910 9А 230В/АС3 1НО 50Гц (R)</v>
      </c>
      <c r="F1428" s="5">
        <f>IFERROR(VLOOKUP($D1428,FIYAT!$B:$O,5,FALSE()),"")</f>
        <v>4771</v>
      </c>
      <c r="G1428" s="5">
        <f>IFERROR(VLOOKUP($D1428,FIYAT!$B:$O,8,FALSE()),"")</f>
        <v>2862.6</v>
      </c>
      <c r="H1428" s="5">
        <f t="shared" si="172"/>
        <v>5725.2</v>
      </c>
      <c r="I1428" s="6">
        <v>2</v>
      </c>
      <c r="J1428" s="5" t="str">
        <f>IFERROR(VLOOKUP($D1428,FIYAT!$B:$O,9,FALSE()),"")</f>
        <v>Шт.</v>
      </c>
      <c r="K1428" s="5" t="str">
        <f>IFERROR(VLOOKUP($D1428,FIYAT!$B:$O,4,FALSE()),"")</f>
        <v>CHINT</v>
      </c>
      <c r="L1428" s="5">
        <f t="shared" si="173"/>
        <v>5725.2</v>
      </c>
      <c r="M1428" s="5"/>
      <c r="N1428" s="5"/>
      <c r="O1428" s="5"/>
      <c r="P1428" s="5" t="str">
        <f>IF($H1428="","FIYAT_YOK",IFERROR(VLOOKUP($D1428,FIYAT!$B:$P,15,FALSE()),""))</f>
        <v>MUADIL</v>
      </c>
      <c r="Q1428" s="5" t="s">
        <v>439</v>
      </c>
      <c r="R1428" s="5" t="s">
        <v>184</v>
      </c>
      <c r="S1428" s="5" t="s">
        <v>725</v>
      </c>
      <c r="T1428" s="5" t="s">
        <v>85</v>
      </c>
      <c r="U1428" s="5">
        <f>IFERROR(VLOOKUP($T1428,KURALLAR!$A$32:$B$63,2,FALSE()),0)*IF(ISNUMBER($I1428),$I1428,0)</f>
        <v>20</v>
      </c>
    </row>
    <row r="1429" spans="1:21" x14ac:dyDescent="0.25">
      <c r="A1429" s="9">
        <v>1428</v>
      </c>
      <c r="B1429" s="9"/>
      <c r="C1429" s="9" t="s">
        <v>93</v>
      </c>
      <c r="D1429" s="9" t="s">
        <v>440</v>
      </c>
      <c r="E1429" s="9" t="str">
        <f>IFERROR(VLOOKUP($D1429,FIYAT!$B:$O,2,FALSE()),"")</f>
        <v>ИБП 3000VA line-interactive, синус, батареи 4x9Ah</v>
      </c>
      <c r="F1429" s="9">
        <f>IFERROR(VLOOKUP($D1429,FIYAT!$B:$O,5,FALSE()),"")</f>
        <v>0</v>
      </c>
      <c r="G1429" s="9" t="str">
        <f>IFERROR(VLOOKUP($D1429,FIYAT!$B:$O,8,FALSE()),"")</f>
        <v/>
      </c>
      <c r="H1429" s="9" t="str">
        <f t="shared" si="172"/>
        <v/>
      </c>
      <c r="I1429" s="6">
        <v>2</v>
      </c>
      <c r="J1429" s="9" t="str">
        <f>IFERROR(VLOOKUP($D1429,FIYAT!$B:$O,9,FALSE()),"")</f>
        <v>Шт.</v>
      </c>
      <c r="K1429" s="9" t="str">
        <f>IFERROR(VLOOKUP($D1429,FIYAT!$B:$O,4,FALSE()),"")</f>
        <v>MUADIL-NET</v>
      </c>
      <c r="L1429" s="9" t="str">
        <f t="shared" si="173"/>
        <v/>
      </c>
      <c r="M1429" s="9"/>
      <c r="N1429" s="9"/>
      <c r="O1429" s="9"/>
      <c r="P1429" s="7" t="str">
        <f>IF($H1429="","FIYAT_YOK",IFERROR(VLOOKUP($D1429,FIYAT!$B:$P,15,FALSE()),""))</f>
        <v>FIYAT_YOK</v>
      </c>
      <c r="Q1429" s="7" t="s">
        <v>442</v>
      </c>
      <c r="R1429" s="9"/>
      <c r="S1429" s="9" t="s">
        <v>725</v>
      </c>
      <c r="T1429" s="9" t="s">
        <v>93</v>
      </c>
      <c r="U1429" s="9">
        <f>IFERROR(VLOOKUP($T1429,KURALLAR!$A$32:$B$63,2,FALSE()),0)*IF(ISNUMBER($I1429),$I1429,0)</f>
        <v>16</v>
      </c>
    </row>
    <row r="1430" spans="1:21" x14ac:dyDescent="0.25">
      <c r="A1430" s="5">
        <v>1429</v>
      </c>
      <c r="B1430" s="5"/>
      <c r="C1430" s="5" t="s">
        <v>215</v>
      </c>
      <c r="D1430" s="5" t="s">
        <v>443</v>
      </c>
      <c r="E1430" s="5" t="str">
        <f>IFERROR(VLOOKUP($D1430,FIYAT!$B:$O,2,FALSE()),"")</f>
        <v>Система кабельного ввода/соединения трансформатора (TRAFO KUBLAJ)</v>
      </c>
      <c r="F1430" s="5">
        <f>IFERROR(VLOOKUP($D1430,FIYAT!$B:$O,5,FALSE()),"")</f>
        <v>0</v>
      </c>
      <c r="G1430" s="5" t="str">
        <f>IFERROR(VLOOKUP($D1430,FIYAT!$B:$O,8,FALSE()),"")</f>
        <v/>
      </c>
      <c r="H1430" s="5" t="str">
        <f t="shared" si="172"/>
        <v/>
      </c>
      <c r="I1430" s="6">
        <v>1</v>
      </c>
      <c r="J1430" s="5" t="str">
        <f>IFERROR(VLOOKUP($D1430,FIYAT!$B:$O,9,FALSE()),"")</f>
        <v>Шт.</v>
      </c>
      <c r="K1430" s="5" t="str">
        <f>IFERROR(VLOOKUP($D1430,FIYAT!$B:$O,4,FALSE()),"")</f>
        <v>MUADIL-NET</v>
      </c>
      <c r="L1430" s="5" t="str">
        <f t="shared" si="173"/>
        <v/>
      </c>
      <c r="M1430" s="5"/>
      <c r="N1430" s="5"/>
      <c r="O1430" s="5"/>
      <c r="P1430" s="7" t="str">
        <f>IF($H1430="","FIYAT_YOK",IFERROR(VLOOKUP($D1430,FIYAT!$B:$P,15,FALSE()),""))</f>
        <v>FIYAT_YOK</v>
      </c>
      <c r="Q1430" s="7" t="s">
        <v>445</v>
      </c>
      <c r="R1430" s="5"/>
      <c r="S1430" s="5" t="s">
        <v>725</v>
      </c>
      <c r="T1430" s="5"/>
      <c r="U1430" s="5">
        <v>0</v>
      </c>
    </row>
    <row r="1431" spans="1:21" x14ac:dyDescent="0.25">
      <c r="A1431" s="9">
        <v>1430</v>
      </c>
      <c r="B1431" s="9"/>
      <c r="C1431" s="9" t="s">
        <v>73</v>
      </c>
      <c r="D1431" s="9" t="s">
        <v>446</v>
      </c>
      <c r="E1431" s="9" t="str">
        <f>IFERROR(VLOOKUP($D1431,FIYAT!$B:$O,2,FALSE()),"")</f>
        <v>Воздушный авт. выкл. NA1-3200-2500М/3P выдвиж., 2500A, 80kA, тип M, AC230В (R)</v>
      </c>
      <c r="F1431" s="9">
        <f>IFERROR(VLOOKUP($D1431,FIYAT!$B:$O,5,FALSE()),"")</f>
        <v>1616150</v>
      </c>
      <c r="G1431" s="9">
        <f>IFERROR(VLOOKUP($D1431,FIYAT!$B:$O,8,FALSE()),"")</f>
        <v>969690</v>
      </c>
      <c r="H1431" s="9">
        <f t="shared" si="172"/>
        <v>1939380</v>
      </c>
      <c r="I1431" s="6">
        <v>2</v>
      </c>
      <c r="J1431" s="9" t="str">
        <f>IFERROR(VLOOKUP($D1431,FIYAT!$B:$O,9,FALSE()),"")</f>
        <v>Шт.</v>
      </c>
      <c r="K1431" s="9" t="str">
        <f>IFERROR(VLOOKUP($D1431,FIYAT!$B:$O,4,FALSE()),"")</f>
        <v>CHINT</v>
      </c>
      <c r="L1431" s="9">
        <f t="shared" si="173"/>
        <v>1939380</v>
      </c>
      <c r="M1431" s="9"/>
      <c r="N1431" s="9"/>
      <c r="O1431" s="9"/>
      <c r="P1431" s="9" t="str">
        <f>IF($H1431="","FIYAT_YOK",IFERROR(VLOOKUP($D1431,FIYAT!$B:$P,15,FALSE()),""))</f>
        <v>MUADIL_ONAY</v>
      </c>
      <c r="Q1431" s="9" t="s">
        <v>448</v>
      </c>
      <c r="R1431" s="9" t="s">
        <v>184</v>
      </c>
      <c r="S1431" s="9" t="s">
        <v>725</v>
      </c>
      <c r="T1431" s="9" t="s">
        <v>73</v>
      </c>
      <c r="U1431" s="9">
        <f>IFERROR(VLOOKUP($T1431,KURALLAR!$A$32:$B$63,2,FALSE()),0)*IF(ISNUMBER($I1431),$I1431,0)</f>
        <v>360</v>
      </c>
    </row>
    <row r="1432" spans="1:21" x14ac:dyDescent="0.25">
      <c r="A1432" s="5">
        <v>1431</v>
      </c>
      <c r="B1432" s="5"/>
      <c r="C1432" s="5" t="s">
        <v>73</v>
      </c>
      <c r="D1432" s="5" t="s">
        <v>449</v>
      </c>
      <c r="E1432" s="5" t="str">
        <f>IFERROR(VLOOKUP($D1432,FIYAT!$B:$O,2,FALSE()),"")</f>
        <v>Воздушный авт. выкл. NA1-2000-1600М/3P выдвиж., 1600A, 80kA, тип M, AC230В (R)</v>
      </c>
      <c r="F1432" s="5">
        <f>IFERROR(VLOOKUP($D1432,FIYAT!$B:$O,5,FALSE()),"")</f>
        <v>1178923</v>
      </c>
      <c r="G1432" s="5">
        <f>IFERROR(VLOOKUP($D1432,FIYAT!$B:$O,8,FALSE()),"")</f>
        <v>707353.79999999993</v>
      </c>
      <c r="H1432" s="5">
        <f t="shared" si="172"/>
        <v>1414707.5999999999</v>
      </c>
      <c r="I1432" s="6">
        <v>2</v>
      </c>
      <c r="J1432" s="5" t="str">
        <f>IFERROR(VLOOKUP($D1432,FIYAT!$B:$O,9,FALSE()),"")</f>
        <v>Шт.</v>
      </c>
      <c r="K1432" s="5" t="str">
        <f>IFERROR(VLOOKUP($D1432,FIYAT!$B:$O,4,FALSE()),"")</f>
        <v>CHINT</v>
      </c>
      <c r="L1432" s="5">
        <f t="shared" si="173"/>
        <v>1414707.5999999999</v>
      </c>
      <c r="M1432" s="5"/>
      <c r="N1432" s="5"/>
      <c r="O1432" s="5"/>
      <c r="P1432" s="5" t="str">
        <f>IF($H1432="","FIYAT_YOK",IFERROR(VLOOKUP($D1432,FIYAT!$B:$P,15,FALSE()),""))</f>
        <v>MUADIL_ONAY</v>
      </c>
      <c r="Q1432" s="5" t="s">
        <v>451</v>
      </c>
      <c r="R1432" s="5" t="s">
        <v>184</v>
      </c>
      <c r="S1432" s="5" t="s">
        <v>725</v>
      </c>
      <c r="T1432" s="5" t="s">
        <v>73</v>
      </c>
      <c r="U1432" s="5">
        <f>IFERROR(VLOOKUP($T1432,KURALLAR!$A$32:$B$63,2,FALSE()),0)*IF(ISNUMBER($I1432),$I1432,0)</f>
        <v>360</v>
      </c>
    </row>
    <row r="1433" spans="1:21" x14ac:dyDescent="0.25">
      <c r="A1433" s="9">
        <v>1432</v>
      </c>
      <c r="B1433" s="9"/>
      <c r="C1433" s="9" t="s">
        <v>169</v>
      </c>
      <c r="D1433" s="9" t="s">
        <v>452</v>
      </c>
      <c r="E1433" s="9" t="str">
        <f>IFERROR(VLOOKUP($D1433,FIYAT!$B:$O,2,FALSE()),"")</f>
        <v>Авт. выкл. NM8N-630C EN 3P 630А 36кА с электронным расцепителем (R)</v>
      </c>
      <c r="F1433" s="9">
        <f>IFERROR(VLOOKUP($D1433,FIYAT!$B:$O,5,FALSE()),"")</f>
        <v>299616</v>
      </c>
      <c r="G1433" s="9">
        <f>IFERROR(VLOOKUP($D1433,FIYAT!$B:$O,8,FALSE()),"")</f>
        <v>179769.60000000001</v>
      </c>
      <c r="H1433" s="9">
        <f t="shared" si="172"/>
        <v>719078.40000000002</v>
      </c>
      <c r="I1433" s="6">
        <v>4</v>
      </c>
      <c r="J1433" s="9" t="str">
        <f>IFERROR(VLOOKUP($D1433,FIYAT!$B:$O,9,FALSE()),"")</f>
        <v>Шт.</v>
      </c>
      <c r="K1433" s="9" t="str">
        <f>IFERROR(VLOOKUP($D1433,FIYAT!$B:$O,4,FALSE()),"")</f>
        <v>CHINT</v>
      </c>
      <c r="L1433" s="9">
        <f t="shared" si="173"/>
        <v>719078.40000000002</v>
      </c>
      <c r="M1433" s="9"/>
      <c r="N1433" s="9"/>
      <c r="O1433" s="9"/>
      <c r="P1433" s="9" t="str">
        <f>IF($H1433="","FIYAT_YOK",IFERROR(VLOOKUP($D1433,FIYAT!$B:$P,15,FALSE()),""))</f>
        <v>MUADIL</v>
      </c>
      <c r="Q1433" s="9" t="s">
        <v>454</v>
      </c>
      <c r="R1433" s="9" t="s">
        <v>171</v>
      </c>
      <c r="S1433" s="9" t="s">
        <v>725</v>
      </c>
      <c r="T1433" s="9" t="s">
        <v>67</v>
      </c>
      <c r="U1433" s="9">
        <f>IFERROR(VLOOKUP($T1433,KURALLAR!$A$32:$B$63,2,FALSE()),0)*IF(ISNUMBER($I1433),$I1433,0)</f>
        <v>220</v>
      </c>
    </row>
    <row r="1434" spans="1:21" x14ac:dyDescent="0.25">
      <c r="A1434" s="5">
        <v>1433</v>
      </c>
      <c r="B1434" s="5"/>
      <c r="C1434" s="5" t="s">
        <v>169</v>
      </c>
      <c r="D1434" s="5" t="s">
        <v>379</v>
      </c>
      <c r="E1434" s="5" t="str">
        <f>IFERROR(VLOOKUP($D1434,FIYAT!$B:$O,2,FALSE()),"")</f>
        <v>Авт. выкл. NM8N-400C TM 3P 400А 36кА с рег. термомаг. расцепителем (R)</v>
      </c>
      <c r="F1434" s="5">
        <f>IFERROR(VLOOKUP($D1434,FIYAT!$B:$O,5,FALSE()),"")</f>
        <v>208671</v>
      </c>
      <c r="G1434" s="5">
        <f>IFERROR(VLOOKUP($D1434,FIYAT!$B:$O,8,FALSE()),"")</f>
        <v>125202.59999999999</v>
      </c>
      <c r="H1434" s="5">
        <f t="shared" si="172"/>
        <v>626013</v>
      </c>
      <c r="I1434" s="6">
        <v>5</v>
      </c>
      <c r="J1434" s="5" t="str">
        <f>IFERROR(VLOOKUP($D1434,FIYAT!$B:$O,9,FALSE()),"")</f>
        <v>Шт.</v>
      </c>
      <c r="K1434" s="5" t="str">
        <f>IFERROR(VLOOKUP($D1434,FIYAT!$B:$O,4,FALSE()),"")</f>
        <v>CHINT</v>
      </c>
      <c r="L1434" s="5">
        <f t="shared" si="173"/>
        <v>626013</v>
      </c>
      <c r="M1434" s="5"/>
      <c r="N1434" s="5"/>
      <c r="O1434" s="5"/>
      <c r="P1434" s="5" t="str">
        <f>IF($H1434="","FIYAT_YOK",IFERROR(VLOOKUP($D1434,FIYAT!$B:$P,15,FALSE()),""))</f>
        <v>OK</v>
      </c>
      <c r="Q1434" s="5" t="s">
        <v>381</v>
      </c>
      <c r="R1434" s="5" t="s">
        <v>171</v>
      </c>
      <c r="S1434" s="5" t="s">
        <v>725</v>
      </c>
      <c r="T1434" s="5" t="s">
        <v>65</v>
      </c>
      <c r="U1434" s="5">
        <f>IFERROR(VLOOKUP($T1434,KURALLAR!$A$32:$B$63,2,FALSE()),0)*IF(ISNUMBER($I1434),$I1434,0)</f>
        <v>200</v>
      </c>
    </row>
    <row r="1435" spans="1:21" x14ac:dyDescent="0.25">
      <c r="A1435" s="9">
        <v>1434</v>
      </c>
      <c r="B1435" s="9"/>
      <c r="C1435" s="9" t="s">
        <v>169</v>
      </c>
      <c r="D1435" s="9" t="s">
        <v>352</v>
      </c>
      <c r="E1435" s="9" t="str">
        <f>IFERROR(VLOOKUP($D1435,FIYAT!$B:$O,2,FALSE()),"")</f>
        <v>Авт. выкл. NM8N-250C TM 3P 250А 36кА с рег. термомаг. расцепителем (R)</v>
      </c>
      <c r="F1435" s="9">
        <f>IFERROR(VLOOKUP($D1435,FIYAT!$B:$O,5,FALSE()),"")</f>
        <v>90077</v>
      </c>
      <c r="G1435" s="9">
        <f>IFERROR(VLOOKUP($D1435,FIYAT!$B:$O,8,FALSE()),"")</f>
        <v>54046.2</v>
      </c>
      <c r="H1435" s="9">
        <f t="shared" si="172"/>
        <v>108092.4</v>
      </c>
      <c r="I1435" s="6">
        <v>2</v>
      </c>
      <c r="J1435" s="9" t="str">
        <f>IFERROR(VLOOKUP($D1435,FIYAT!$B:$O,9,FALSE()),"")</f>
        <v>Шт.</v>
      </c>
      <c r="K1435" s="9" t="str">
        <f>IFERROR(VLOOKUP($D1435,FIYAT!$B:$O,4,FALSE()),"")</f>
        <v>CHINT</v>
      </c>
      <c r="L1435" s="9">
        <f t="shared" si="173"/>
        <v>108092.4</v>
      </c>
      <c r="M1435" s="9"/>
      <c r="N1435" s="9"/>
      <c r="O1435" s="9"/>
      <c r="P1435" s="9" t="str">
        <f>IF($H1435="","FIYAT_YOK",IFERROR(VLOOKUP($D1435,FIYAT!$B:$P,15,FALSE()),""))</f>
        <v>OK</v>
      </c>
      <c r="Q1435" s="9" t="s">
        <v>354</v>
      </c>
      <c r="R1435" s="9" t="s">
        <v>171</v>
      </c>
      <c r="S1435" s="9" t="s">
        <v>725</v>
      </c>
      <c r="T1435" s="9" t="s">
        <v>63</v>
      </c>
      <c r="U1435" s="9">
        <f>IFERROR(VLOOKUP($T1435,KURALLAR!$A$32:$B$63,2,FALSE()),0)*IF(ISNUMBER($I1435),$I1435,0)</f>
        <v>50</v>
      </c>
    </row>
    <row r="1436" spans="1:21" x14ac:dyDescent="0.25">
      <c r="A1436" s="5">
        <v>1435</v>
      </c>
      <c r="B1436" s="5"/>
      <c r="C1436" s="5" t="s">
        <v>169</v>
      </c>
      <c r="D1436" s="5" t="s">
        <v>367</v>
      </c>
      <c r="E1436" s="5" t="str">
        <f>IFERROR(VLOOKUP($D1436,FIYAT!$B:$O,2,FALSE()),"")</f>
        <v>Авт. выкл. NM8N-125C TM 3P 100А 36кА с рег. термомаг. расцепителем (R)</v>
      </c>
      <c r="F1436" s="5">
        <f>IFERROR(VLOOKUP($D1436,FIYAT!$B:$O,5,FALSE()),"")</f>
        <v>64169</v>
      </c>
      <c r="G1436" s="5">
        <f>IFERROR(VLOOKUP($D1436,FIYAT!$B:$O,8,FALSE()),"")</f>
        <v>38501.4</v>
      </c>
      <c r="H1436" s="5">
        <f t="shared" si="172"/>
        <v>77002.8</v>
      </c>
      <c r="I1436" s="6">
        <v>2</v>
      </c>
      <c r="J1436" s="5" t="str">
        <f>IFERROR(VLOOKUP($D1436,FIYAT!$B:$O,9,FALSE()),"")</f>
        <v>Шт.</v>
      </c>
      <c r="K1436" s="5" t="str">
        <f>IFERROR(VLOOKUP($D1436,FIYAT!$B:$O,4,FALSE()),"")</f>
        <v>CHINT</v>
      </c>
      <c r="L1436" s="5">
        <f t="shared" si="173"/>
        <v>77002.8</v>
      </c>
      <c r="M1436" s="5"/>
      <c r="N1436" s="5"/>
      <c r="O1436" s="5"/>
      <c r="P1436" s="5" t="str">
        <f>IF($H1436="","FIYAT_YOK",IFERROR(VLOOKUP($D1436,FIYAT!$B:$P,15,FALSE()),""))</f>
        <v>OK</v>
      </c>
      <c r="Q1436" s="5" t="s">
        <v>369</v>
      </c>
      <c r="R1436" s="5" t="s">
        <v>171</v>
      </c>
      <c r="S1436" s="5" t="s">
        <v>725</v>
      </c>
      <c r="T1436" s="5" t="s">
        <v>61</v>
      </c>
      <c r="U1436" s="5">
        <f>IFERROR(VLOOKUP($T1436,KURALLAR!$A$32:$B$63,2,FALSE()),0)*IF(ISNUMBER($I1436),$I1436,0)</f>
        <v>30</v>
      </c>
    </row>
    <row r="1437" spans="1:21" x14ac:dyDescent="0.25">
      <c r="A1437" s="9">
        <v>1436</v>
      </c>
      <c r="B1437" s="9"/>
      <c r="C1437" s="9" t="s">
        <v>169</v>
      </c>
      <c r="D1437" s="9" t="s">
        <v>231</v>
      </c>
      <c r="E1437" s="9" t="str">
        <f>IFERROR(VLOOKUP($D1437,FIYAT!$B:$O,2,FALSE()),"")</f>
        <v>Авт. выкл. NM8N-125C TM 3P 80А 36кА с рег. термомаг. расцепителем (R)</v>
      </c>
      <c r="F1437" s="9">
        <f>IFERROR(VLOOKUP($D1437,FIYAT!$B:$O,5,FALSE()),"")</f>
        <v>64129</v>
      </c>
      <c r="G1437" s="9">
        <f>IFERROR(VLOOKUP($D1437,FIYAT!$B:$O,8,FALSE()),"")</f>
        <v>38477.4</v>
      </c>
      <c r="H1437" s="9">
        <f t="shared" si="172"/>
        <v>76954.8</v>
      </c>
      <c r="I1437" s="6">
        <v>2</v>
      </c>
      <c r="J1437" s="9" t="str">
        <f>IFERROR(VLOOKUP($D1437,FIYAT!$B:$O,9,FALSE()),"")</f>
        <v>Шт.</v>
      </c>
      <c r="K1437" s="9" t="str">
        <f>IFERROR(VLOOKUP($D1437,FIYAT!$B:$O,4,FALSE()),"")</f>
        <v>CHINT</v>
      </c>
      <c r="L1437" s="9">
        <f t="shared" si="173"/>
        <v>76954.8</v>
      </c>
      <c r="M1437" s="9"/>
      <c r="N1437" s="9"/>
      <c r="O1437" s="9"/>
      <c r="P1437" s="9" t="str">
        <f>IF($H1437="","FIYAT_YOK",IFERROR(VLOOKUP($D1437,FIYAT!$B:$P,15,FALSE()),""))</f>
        <v>OK</v>
      </c>
      <c r="Q1437" s="9" t="s">
        <v>233</v>
      </c>
      <c r="R1437" s="9" t="s">
        <v>171</v>
      </c>
      <c r="S1437" s="9" t="s">
        <v>725</v>
      </c>
      <c r="T1437" s="9" t="s">
        <v>61</v>
      </c>
      <c r="U1437" s="9">
        <f>IFERROR(VLOOKUP($T1437,KURALLAR!$A$32:$B$63,2,FALSE()),0)*IF(ISNUMBER($I1437),$I1437,0)</f>
        <v>30</v>
      </c>
    </row>
    <row r="1438" spans="1:21" x14ac:dyDescent="0.25">
      <c r="A1438" s="5">
        <v>1437</v>
      </c>
      <c r="B1438" s="5"/>
      <c r="C1438" s="5" t="s">
        <v>169</v>
      </c>
      <c r="D1438" s="5" t="s">
        <v>276</v>
      </c>
      <c r="E1438" s="5" t="str">
        <f>IFERROR(VLOOKUP($D1438,FIYAT!$B:$O,2,FALSE()),"")</f>
        <v>Авт. выкл. NM8N-125C TM 3P 40А 36кА с рег. термомаг. расцепителем (R)</v>
      </c>
      <c r="F1438" s="5">
        <f>IFERROR(VLOOKUP($D1438,FIYAT!$B:$O,5,FALSE()),"")</f>
        <v>68418</v>
      </c>
      <c r="G1438" s="5">
        <f>IFERROR(VLOOKUP($D1438,FIYAT!$B:$O,8,FALSE()),"")</f>
        <v>41050.799999999996</v>
      </c>
      <c r="H1438" s="5">
        <f t="shared" si="172"/>
        <v>41050.799999999996</v>
      </c>
      <c r="I1438" s="6">
        <v>1</v>
      </c>
      <c r="J1438" s="5" t="str">
        <f>IFERROR(VLOOKUP($D1438,FIYAT!$B:$O,9,FALSE()),"")</f>
        <v>Шт.</v>
      </c>
      <c r="K1438" s="5" t="str">
        <f>IFERROR(VLOOKUP($D1438,FIYAT!$B:$O,4,FALSE()),"")</f>
        <v>CHINT</v>
      </c>
      <c r="L1438" s="5">
        <f t="shared" si="173"/>
        <v>41050.799999999996</v>
      </c>
      <c r="M1438" s="5"/>
      <c r="N1438" s="5"/>
      <c r="O1438" s="5"/>
      <c r="P1438" s="5" t="str">
        <f>IF($H1438="","FIYAT_YOK",IFERROR(VLOOKUP($D1438,FIYAT!$B:$P,15,FALSE()),""))</f>
        <v>MUADIL</v>
      </c>
      <c r="Q1438" s="5" t="s">
        <v>172</v>
      </c>
      <c r="R1438" s="5" t="s">
        <v>171</v>
      </c>
      <c r="S1438" s="5" t="s">
        <v>725</v>
      </c>
      <c r="T1438" s="5" t="s">
        <v>61</v>
      </c>
      <c r="U1438" s="5">
        <f>IFERROR(VLOOKUP($T1438,KURALLAR!$A$32:$B$63,2,FALSE()),0)*IF(ISNUMBER($I1438),$I1438,0)</f>
        <v>15</v>
      </c>
    </row>
    <row r="1439" spans="1:21" x14ac:dyDescent="0.25">
      <c r="A1439" s="9">
        <v>1438</v>
      </c>
      <c r="B1439" s="9"/>
      <c r="C1439" s="9" t="s">
        <v>253</v>
      </c>
      <c r="D1439" s="9" t="s">
        <v>455</v>
      </c>
      <c r="E1439" s="9" t="str">
        <f>IFERROR(VLOOKUP($D1439,FIYAT!$B:$O,2,FALSE()),"")</f>
        <v>Шина медная твёрдая (ШМТ)</v>
      </c>
      <c r="F1439" s="9">
        <f>IFERROR(VLOOKUP($D1439,FIYAT!$B:$O,5,FALSE()),"")</f>
        <v>7918.5999999999995</v>
      </c>
      <c r="G1439" s="9">
        <f>IFERROR(VLOOKUP($D1439,FIYAT!$B:$O,8,FALSE()),"")</f>
        <v>7918.5999999999995</v>
      </c>
      <c r="H1439" s="9">
        <f t="shared" si="172"/>
        <v>22583847.199999999</v>
      </c>
      <c r="I1439" s="6">
        <v>2852</v>
      </c>
      <c r="J1439" s="9" t="str">
        <f>IFERROR(VLOOKUP($D1439,FIYAT!$B:$O,9,FALSE()),"")</f>
        <v>Кг.</v>
      </c>
      <c r="K1439" s="9" t="str">
        <f>IFERROR(VLOOKUP($D1439,FIYAT!$B:$O,4,FALSE()),"")</f>
        <v>BAKIR-BARA</v>
      </c>
      <c r="L1439" s="9">
        <f t="shared" si="173"/>
        <v>22583847.199999999</v>
      </c>
      <c r="M1439" s="9"/>
      <c r="N1439" s="9"/>
      <c r="O1439" s="9"/>
      <c r="P1439" s="9" t="str">
        <f>IF($H1439="","FIYAT_YOK",IFERROR(VLOOKUP($D1439,FIYAT!$B:$P,15,FALSE()),""))</f>
        <v>VARSAYIM</v>
      </c>
      <c r="Q1439" s="9" t="s">
        <v>457</v>
      </c>
      <c r="R1439" s="9"/>
      <c r="S1439" s="9" t="s">
        <v>725</v>
      </c>
      <c r="T1439" s="9" t="s">
        <v>101</v>
      </c>
      <c r="U1439" s="9">
        <f>IFERROR(VLOOKUP($T1439,KURALLAR!$A$32:$B$63,2,FALSE()),0)*IF(ISNUMBER($I1439),$I1439,0)</f>
        <v>17112</v>
      </c>
    </row>
    <row r="1440" spans="1:21" x14ac:dyDescent="0.25">
      <c r="A1440" s="5">
        <v>1439</v>
      </c>
      <c r="B1440" s="5"/>
      <c r="C1440" s="5" t="s">
        <v>222</v>
      </c>
      <c r="D1440" s="5" t="s">
        <v>256</v>
      </c>
      <c r="E1440" s="5" t="str">
        <f>IFERROR(VLOOKUP($D1440,FIYAT!$B:$O,2,FALSE()),"")</f>
        <v>Щит (moduler) 2000x800x800+100</v>
      </c>
      <c r="F1440" s="5">
        <f>IFERROR(VLOOKUP($D1440,FIYAT!$B:$O,5,FALSE()),"")</f>
        <v>197400</v>
      </c>
      <c r="G1440" s="5">
        <f>IFERROR(VLOOKUP($D1440,FIYAT!$B:$O,8,FALSE()),"")</f>
        <v>118440</v>
      </c>
      <c r="H1440" s="5">
        <f t="shared" si="172"/>
        <v>473760</v>
      </c>
      <c r="I1440" s="6">
        <v>4</v>
      </c>
      <c r="J1440" s="5" t="str">
        <f>IFERROR(VLOOKUP($D1440,FIYAT!$B:$O,9,FALSE()),"")</f>
        <v>Шт.</v>
      </c>
      <c r="K1440" s="5" t="str">
        <f>IFERROR(VLOOKUP($D1440,FIYAT!$B:$O,4,FALSE()),"")</f>
        <v>KAZTEK</v>
      </c>
      <c r="L1440" s="5">
        <f t="shared" si="173"/>
        <v>473760</v>
      </c>
      <c r="M1440" s="5"/>
      <c r="N1440" s="5"/>
      <c r="O1440" s="5"/>
      <c r="P1440" s="5" t="str">
        <f>IF($H1440="","FIYAT_YOK",IFERROR(VLOOKUP($D1440,FIYAT!$B:$P,15,FALSE()),""))</f>
        <v>VARSAYIM</v>
      </c>
      <c r="Q1440" s="5" t="s">
        <v>258</v>
      </c>
      <c r="R1440" s="5" t="s">
        <v>211</v>
      </c>
      <c r="S1440" s="5" t="s">
        <v>725</v>
      </c>
      <c r="T1440" s="5" t="s">
        <v>107</v>
      </c>
      <c r="U1440" s="5">
        <f>IFERROR(VLOOKUP($T1440,KURALLAR!$A$32:$B$63,2,FALSE()),0)*IF(ISNUMBER($I1440),$I1440,0)</f>
        <v>360</v>
      </c>
    </row>
    <row r="1441" spans="1:21" x14ac:dyDescent="0.25">
      <c r="A1441" s="9">
        <v>1440</v>
      </c>
      <c r="B1441" s="9"/>
      <c r="C1441" s="9" t="s">
        <v>222</v>
      </c>
      <c r="D1441" s="9" t="s">
        <v>458</v>
      </c>
      <c r="E1441" s="9" t="str">
        <f>IFERROR(VLOOKUP($D1441,FIYAT!$B:$O,2,FALSE()),"")</f>
        <v>Мет. Корпус (пустой) (1800x1400x600x2)+10см база 2 goz pano IP54</v>
      </c>
      <c r="F1441" s="9">
        <f>IFERROR(VLOOKUP($D1441,FIYAT!$B:$O,5,FALSE()),"")</f>
        <v>376320</v>
      </c>
      <c r="G1441" s="9">
        <f>IFERROR(VLOOKUP($D1441,FIYAT!$B:$O,8,FALSE()),"")</f>
        <v>225792</v>
      </c>
      <c r="H1441" s="9">
        <f t="shared" si="172"/>
        <v>677376</v>
      </c>
      <c r="I1441" s="6">
        <v>3</v>
      </c>
      <c r="J1441" s="9" t="str">
        <f>IFERROR(VLOOKUP($D1441,FIYAT!$B:$O,9,FALSE()),"")</f>
        <v>Шт.</v>
      </c>
      <c r="K1441" s="9" t="str">
        <f>IFERROR(VLOOKUP($D1441,FIYAT!$B:$O,4,FALSE()),"")</f>
        <v>KAZTEK</v>
      </c>
      <c r="L1441" s="9">
        <f t="shared" si="173"/>
        <v>677376</v>
      </c>
      <c r="M1441" s="9"/>
      <c r="N1441" s="9"/>
      <c r="O1441" s="9"/>
      <c r="P1441" s="9" t="str">
        <f>IF($H1441="","FIYAT_YOK",IFERROR(VLOOKUP($D1441,FIYAT!$B:$P,15,FALSE()),""))</f>
        <v>VARSAYIM</v>
      </c>
      <c r="Q1441" s="9" t="s">
        <v>460</v>
      </c>
      <c r="R1441" s="9" t="s">
        <v>211</v>
      </c>
      <c r="S1441" s="9" t="s">
        <v>725</v>
      </c>
      <c r="T1441" s="9" t="s">
        <v>107</v>
      </c>
      <c r="U1441" s="9">
        <f>IFERROR(VLOOKUP($T1441,KURALLAR!$A$32:$B$63,2,FALSE()),0)*IF(ISNUMBER($I1441),$I1441,0)</f>
        <v>270</v>
      </c>
    </row>
    <row r="1442" spans="1:21" x14ac:dyDescent="0.25">
      <c r="A1442" s="5">
        <v>1441</v>
      </c>
      <c r="B1442" s="5"/>
      <c r="C1442" s="5" t="s">
        <v>215</v>
      </c>
      <c r="D1442" s="5" t="s">
        <v>213</v>
      </c>
      <c r="E1442" s="5" t="str">
        <f>IFERROR(VLOOKUP($D1442,FIYAT!$B:$O,2,FALSE()),"")</f>
        <v>Монтажный расходный материал (кабель, DIN-рейка, кабель-канал, клеммы, маркировка, крепёж)</v>
      </c>
      <c r="F1442" s="5">
        <f>IFERROR(VLOOKUP($D1442,FIYAT!$B:$O,5,FALSE()),"")</f>
        <v>0</v>
      </c>
      <c r="G1442" s="5" t="str">
        <f>IFERROR(VLOOKUP($D1442,FIYAT!$B:$O,8,FALSE()),"")</f>
        <v/>
      </c>
      <c r="H1442" s="5">
        <f>ROUND(SUM($H$1405:$H$1441)*KURALLAR!$B$28,0)</f>
        <v>2568208</v>
      </c>
      <c r="I1442" s="6">
        <v>1</v>
      </c>
      <c r="J1442" s="5" t="str">
        <f>IFERROR(VLOOKUP($D1442,FIYAT!$B:$O,9,FALSE()),"")</f>
        <v>компл.</v>
      </c>
      <c r="K1442" s="5" t="str">
        <f>IFERROR(VLOOKUP($D1442,FIYAT!$B:$O,4,FALSE()),"")</f>
        <v>MUADIL-NET</v>
      </c>
      <c r="L1442" s="5">
        <f t="shared" si="173"/>
        <v>2568208</v>
      </c>
      <c r="M1442" s="5"/>
      <c r="N1442" s="5"/>
      <c r="O1442" s="5"/>
      <c r="P1442" s="5" t="str">
        <f>IF($H1442="","FIYAT_YOK",IFERROR(VLOOKUP($D1442,FIYAT!$B:$P,15,FALSE()),""))</f>
        <v>ORAN</v>
      </c>
      <c r="Q1442" s="5" t="s">
        <v>218</v>
      </c>
      <c r="R1442" s="5" t="s">
        <v>217</v>
      </c>
      <c r="S1442" s="5" t="s">
        <v>725</v>
      </c>
      <c r="T1442" s="5"/>
      <c r="U1442" s="5">
        <v>0</v>
      </c>
    </row>
    <row r="1443" spans="1:21" x14ac:dyDescent="0.25">
      <c r="A1443" s="9">
        <v>1442</v>
      </c>
      <c r="B1443" s="9"/>
      <c r="C1443" s="9" t="s">
        <v>227</v>
      </c>
      <c r="D1443" s="9" t="s">
        <v>225</v>
      </c>
      <c r="E1443" s="9" t="str">
        <f>IFERROR(VLOOKUP($D1443,FIYAT!$B:$O,2,FALSE()),"")</f>
        <v>Сборка, кабелирование, маркировка, момент затяжки, испытания</v>
      </c>
      <c r="F1443" s="9">
        <f>IFERROR(VLOOKUP($D1443,FIYAT!$B:$O,5,FALSE()),"")</f>
        <v>100</v>
      </c>
      <c r="G1443" s="9">
        <f>IFERROR(VLOOKUP($D1443,FIYAT!$B:$O,8,FALSE()),"")</f>
        <v>100</v>
      </c>
      <c r="H1443" s="9">
        <f>IF(OR($G1443="",$I1443=""),"",$G1443*$I1443)</f>
        <v>2392500</v>
      </c>
      <c r="I1443" s="6">
        <f>ROUND(SUM($U$1405:$U$1442)*KURALLAR!$B$27,0)</f>
        <v>23925</v>
      </c>
      <c r="J1443" s="9" t="str">
        <f>IFERROR(VLOOKUP($D1443,FIYAT!$B:$O,9,FALSE()),"")</f>
        <v>мин</v>
      </c>
      <c r="K1443" s="9" t="str">
        <f>IFERROR(VLOOKUP($D1443,FIYAT!$B:$O,4,FALSE()),"")</f>
        <v>ISCILIK</v>
      </c>
      <c r="L1443" s="9">
        <f t="shared" si="173"/>
        <v>2392500</v>
      </c>
      <c r="M1443" s="9"/>
      <c r="N1443" s="9"/>
      <c r="O1443" s="9"/>
      <c r="P1443" s="9" t="str">
        <f>IF($H1443="","FIYAT_YOK",IFERROR(VLOOKUP($D1443,FIYAT!$B:$P,15,FALSE()),""))</f>
        <v>OK</v>
      </c>
      <c r="Q1443" s="9" t="str">
        <f>CONCATENATE("montaj+test iscilik: ",TEXT($I1443,"# ##0")," dk = ",TEXT($I1443/60,"0,00")," saat (norm x test/etiket carpani)")</f>
        <v>montaj+test iscilik: 23 925 dk = 398,75 saat (norm x test/etiket carpani)</v>
      </c>
      <c r="R1443" s="9" t="s">
        <v>229</v>
      </c>
      <c r="S1443" s="9" t="s">
        <v>725</v>
      </c>
      <c r="T1443" s="9"/>
      <c r="U1443" s="9">
        <v>0</v>
      </c>
    </row>
    <row r="1444" spans="1:21" x14ac:dyDescent="0.25">
      <c r="A1444" s="10">
        <v>1443</v>
      </c>
      <c r="B1444" s="10" t="s">
        <v>726</v>
      </c>
      <c r="C1444" s="10"/>
      <c r="D1444" s="10"/>
      <c r="E1444" s="10"/>
      <c r="F1444" s="10"/>
      <c r="G1444" s="10"/>
      <c r="H1444" s="10">
        <f>SUBTOTAL(9,H1405:H1443)</f>
        <v>41649389.400000006</v>
      </c>
      <c r="I1444" s="10"/>
      <c r="J1444" s="10"/>
      <c r="K1444" s="10"/>
      <c r="L1444" s="10">
        <f>SUBTOTAL(9,L1405:L1443)</f>
        <v>41649389.400000006</v>
      </c>
      <c r="M1444" s="10"/>
      <c r="N1444" s="10"/>
      <c r="O1444" s="10"/>
      <c r="P1444" s="10"/>
      <c r="Q1444" s="10"/>
      <c r="R1444" s="10"/>
      <c r="S1444" s="10"/>
      <c r="T1444" s="10"/>
      <c r="U1444" s="10">
        <f>SUBTOTAL(9,U1405:U1443)</f>
        <v>20804</v>
      </c>
    </row>
    <row r="1445" spans="1:21" x14ac:dyDescent="0.25">
      <c r="A1445" s="8">
        <v>1444</v>
      </c>
      <c r="B1445" s="8" t="str">
        <f>E1445</f>
        <v>LPS / УКМ58-0,4-600-25 У3 - Панель компенсации Комп-1 — НКУ 380/220В 50Гц, FORM 2B, IP31/54</v>
      </c>
      <c r="C1445" s="8" t="s">
        <v>545</v>
      </c>
      <c r="D1445" s="8"/>
      <c r="E1445" s="8" t="s">
        <v>727</v>
      </c>
      <c r="F1445" s="8"/>
      <c r="G1445" s="8"/>
      <c r="H1445" s="8"/>
      <c r="I1445" s="8">
        <v>1</v>
      </c>
      <c r="J1445" s="8" t="s">
        <v>547</v>
      </c>
      <c r="K1445" s="8"/>
      <c r="L1445" s="8"/>
      <c r="M1445" s="8"/>
      <c r="N1445" s="8"/>
      <c r="O1445" s="8"/>
      <c r="P1445" s="8" t="s">
        <v>178</v>
      </c>
      <c r="Q1445" s="8" t="s">
        <v>548</v>
      </c>
      <c r="R1445" s="8" t="s">
        <v>549</v>
      </c>
      <c r="S1445" s="8" t="s">
        <v>725</v>
      </c>
      <c r="T1445" s="8"/>
      <c r="U1445" s="8"/>
    </row>
    <row r="1446" spans="1:21" x14ac:dyDescent="0.25">
      <c r="A1446" s="5">
        <v>1445</v>
      </c>
      <c r="B1446" s="5"/>
      <c r="C1446" s="5" t="s">
        <v>169</v>
      </c>
      <c r="D1446" s="5" t="s">
        <v>461</v>
      </c>
      <c r="E1446" s="5" t="str">
        <f>IFERROR(VLOOKUP($D1446,FIYAT!$B:$O,2,FALSE()),"")</f>
        <v>Авт. выкл. NM8N-1600S EN 3P 1250А 50кА с электронным расцепителем (R)</v>
      </c>
      <c r="F1446" s="5">
        <f>IFERROR(VLOOKUP($D1446,FIYAT!$B:$O,5,FALSE()),"")</f>
        <v>693323</v>
      </c>
      <c r="G1446" s="5">
        <f>IFERROR(VLOOKUP($D1446,FIYAT!$B:$O,8,FALSE()),"")</f>
        <v>415993.8</v>
      </c>
      <c r="H1446" s="5">
        <f t="shared" ref="H1446:H1467" si="174">IF(OR($G1446="",$I1446=""),"",$G1446*$I1446)</f>
        <v>415993.8</v>
      </c>
      <c r="I1446" s="6">
        <v>1</v>
      </c>
      <c r="J1446" s="5" t="str">
        <f>IFERROR(VLOOKUP($D1446,FIYAT!$B:$O,9,FALSE()),"")</f>
        <v>Шт.</v>
      </c>
      <c r="K1446" s="5" t="str">
        <f>IFERROR(VLOOKUP($D1446,FIYAT!$B:$O,4,FALSE()),"")</f>
        <v>CHINT</v>
      </c>
      <c r="L1446" s="5">
        <f t="shared" ref="L1446:L1469" si="175">IF($H1446="","",$H1446)</f>
        <v>415993.8</v>
      </c>
      <c r="M1446" s="5"/>
      <c r="N1446" s="5"/>
      <c r="O1446" s="5"/>
      <c r="P1446" s="5" t="str">
        <f>IF($H1446="","FIYAT_YOK",IFERROR(VLOOKUP($D1446,FIYAT!$B:$P,15,FALSE()),""))</f>
        <v>MUADIL</v>
      </c>
      <c r="Q1446" s="5" t="s">
        <v>463</v>
      </c>
      <c r="R1446" s="5" t="s">
        <v>184</v>
      </c>
      <c r="S1446" s="5" t="s">
        <v>725</v>
      </c>
      <c r="T1446" s="5" t="s">
        <v>69</v>
      </c>
      <c r="U1446" s="5">
        <f>IFERROR(VLOOKUP($T1446,KURALLAR!$A$32:$B$63,2,FALSE()),0)*IF(ISNUMBER($I1446),$I1446,0)</f>
        <v>90</v>
      </c>
    </row>
    <row r="1447" spans="1:21" x14ac:dyDescent="0.25">
      <c r="A1447" s="9">
        <v>1446</v>
      </c>
      <c r="B1447" s="9"/>
      <c r="C1447" s="9" t="s">
        <v>87</v>
      </c>
      <c r="D1447" s="9" t="s">
        <v>464</v>
      </c>
      <c r="E1447" s="9" t="str">
        <f>IFERROR(VLOOKUP($D1447,FIYAT!$B:$O,2,FALSE()),"")</f>
        <v>Регулятор реактивной мощности NWK1-12 с 12-тью контурами RS 485</v>
      </c>
      <c r="F1447" s="9">
        <f>IFERROR(VLOOKUP($D1447,FIYAT!$B:$O,5,FALSE()),"")</f>
        <v>154530</v>
      </c>
      <c r="G1447" s="9">
        <f>IFERROR(VLOOKUP($D1447,FIYAT!$B:$O,8,FALSE()),"")</f>
        <v>92718</v>
      </c>
      <c r="H1447" s="9">
        <f t="shared" si="174"/>
        <v>92718</v>
      </c>
      <c r="I1447" s="6">
        <v>1</v>
      </c>
      <c r="J1447" s="9" t="str">
        <f>IFERROR(VLOOKUP($D1447,FIYAT!$B:$O,9,FALSE()),"")</f>
        <v>Шт.</v>
      </c>
      <c r="K1447" s="9" t="str">
        <f>IFERROR(VLOOKUP($D1447,FIYAT!$B:$O,4,FALSE()),"")</f>
        <v>CHINT</v>
      </c>
      <c r="L1447" s="9">
        <f t="shared" si="175"/>
        <v>92718</v>
      </c>
      <c r="M1447" s="9"/>
      <c r="N1447" s="9"/>
      <c r="O1447" s="9"/>
      <c r="P1447" s="9" t="str">
        <f>IF($H1447="","FIYAT_YOK",IFERROR(VLOOKUP($D1447,FIYAT!$B:$P,15,FALSE()),""))</f>
        <v>MUADIL</v>
      </c>
      <c r="Q1447" s="9" t="s">
        <v>466</v>
      </c>
      <c r="R1447" s="9" t="s">
        <v>171</v>
      </c>
      <c r="S1447" s="9" t="s">
        <v>725</v>
      </c>
      <c r="T1447" s="9" t="s">
        <v>87</v>
      </c>
      <c r="U1447" s="9">
        <f>IFERROR(VLOOKUP($T1447,KURALLAR!$A$32:$B$63,2,FALSE()),0)*IF(ISNUMBER($I1447),$I1447,0)</f>
        <v>8</v>
      </c>
    </row>
    <row r="1448" spans="1:21" x14ac:dyDescent="0.25">
      <c r="A1448" s="5">
        <v>1447</v>
      </c>
      <c r="B1448" s="5"/>
      <c r="C1448" s="5" t="s">
        <v>192</v>
      </c>
      <c r="D1448" s="5" t="s">
        <v>238</v>
      </c>
      <c r="E1448" s="5" t="str">
        <f>IFERROR(VLOOKUP($D1448,FIYAT!$B:$O,2,FALSE()),"")</f>
        <v>Авт. выкл. NXB-63 1P 6A 6кА х-ка C (R)</v>
      </c>
      <c r="F1448" s="5">
        <f>IFERROR(VLOOKUP($D1448,FIYAT!$B:$O,5,FALSE()),"")</f>
        <v>1436</v>
      </c>
      <c r="G1448" s="5">
        <f>IFERROR(VLOOKUP($D1448,FIYAT!$B:$O,8,FALSE()),"")</f>
        <v>861.6</v>
      </c>
      <c r="H1448" s="5">
        <f t="shared" si="174"/>
        <v>4308</v>
      </c>
      <c r="I1448" s="6">
        <v>5</v>
      </c>
      <c r="J1448" s="5" t="str">
        <f>IFERROR(VLOOKUP($D1448,FIYAT!$B:$O,9,FALSE()),"")</f>
        <v>Шт.</v>
      </c>
      <c r="K1448" s="5" t="str">
        <f>IFERROR(VLOOKUP($D1448,FIYAT!$B:$O,4,FALSE()),"")</f>
        <v>CHINT</v>
      </c>
      <c r="L1448" s="5">
        <f t="shared" si="175"/>
        <v>4308</v>
      </c>
      <c r="M1448" s="5"/>
      <c r="N1448" s="5"/>
      <c r="O1448" s="5"/>
      <c r="P1448" s="5" t="str">
        <f>IF($H1448="","FIYAT_YOK",IFERROR(VLOOKUP($D1448,FIYAT!$B:$P,15,FALSE()),""))</f>
        <v>OK</v>
      </c>
      <c r="Q1448" s="5" t="s">
        <v>240</v>
      </c>
      <c r="R1448" s="5" t="s">
        <v>171</v>
      </c>
      <c r="S1448" s="5" t="s">
        <v>725</v>
      </c>
      <c r="T1448" s="5" t="s">
        <v>47</v>
      </c>
      <c r="U1448" s="5">
        <f>IFERROR(VLOOKUP($T1448,KURALLAR!$A$32:$B$63,2,FALSE()),0)*IF(ISNUMBER($I1448),$I1448,0)</f>
        <v>15</v>
      </c>
    </row>
    <row r="1449" spans="1:21" x14ac:dyDescent="0.25">
      <c r="A1449" s="9">
        <v>1448</v>
      </c>
      <c r="B1449" s="9"/>
      <c r="C1449" s="9" t="s">
        <v>99</v>
      </c>
      <c r="D1449" s="9" t="s">
        <v>467</v>
      </c>
      <c r="E1449" s="9" t="str">
        <f>IFERROR(VLOOKUP($D1449,FIYAT!$B:$O,2,FALSE()),"")</f>
        <v>Schneider Fupact ISFT160 — предохранитель-выключатель 160A NH00 3P</v>
      </c>
      <c r="F1449" s="9">
        <f>IFERROR(VLOOKUP($D1449,FIYAT!$B:$O,5,FALSE()),"")</f>
        <v>0</v>
      </c>
      <c r="G1449" s="9" t="str">
        <f>IFERROR(VLOOKUP($D1449,FIYAT!$B:$O,8,FALSE()),"")</f>
        <v/>
      </c>
      <c r="H1449" s="9" t="str">
        <f t="shared" si="174"/>
        <v/>
      </c>
      <c r="I1449" s="6">
        <v>17</v>
      </c>
      <c r="J1449" s="9" t="str">
        <f>IFERROR(VLOOKUP($D1449,FIYAT!$B:$O,9,FALSE()),"")</f>
        <v>Шт.</v>
      </c>
      <c r="K1449" s="9" t="str">
        <f>IFERROR(VLOOKUP($D1449,FIYAT!$B:$O,4,FALSE()),"")</f>
        <v>SCHNEIDER</v>
      </c>
      <c r="L1449" s="9" t="str">
        <f t="shared" si="175"/>
        <v/>
      </c>
      <c r="M1449" s="9"/>
      <c r="N1449" s="9"/>
      <c r="O1449" s="9"/>
      <c r="P1449" s="7" t="str">
        <f>IF($H1449="","FIYAT_YOK",IFERROR(VLOOKUP($D1449,FIYAT!$B:$P,15,FALSE()),""))</f>
        <v>FIYAT_YOK</v>
      </c>
      <c r="Q1449" s="7" t="s">
        <v>469</v>
      </c>
      <c r="R1449" s="9"/>
      <c r="S1449" s="9" t="s">
        <v>725</v>
      </c>
      <c r="T1449" s="9" t="s">
        <v>99</v>
      </c>
      <c r="U1449" s="9">
        <f>IFERROR(VLOOKUP($T1449,KURALLAR!$A$32:$B$63,2,FALSE()),0)*IF(ISNUMBER($I1449),$I1449,0)</f>
        <v>340</v>
      </c>
    </row>
    <row r="1450" spans="1:21" x14ac:dyDescent="0.25">
      <c r="A1450" s="5">
        <v>1449</v>
      </c>
      <c r="B1450" s="5"/>
      <c r="C1450" s="5" t="s">
        <v>79</v>
      </c>
      <c r="D1450" s="5" t="s">
        <v>182</v>
      </c>
      <c r="E1450" s="5" t="str">
        <f>IFERROR(VLOOKUP($D1450,FIYAT!$B:$O,2,FALSE()),"")</f>
        <v>Плавкая вставка предохранителя RT36-00-160, габарит 00, 63А</v>
      </c>
      <c r="F1450" s="5">
        <f>IFERROR(VLOOKUP($D1450,FIYAT!$B:$O,5,FALSE()),"")</f>
        <v>1525</v>
      </c>
      <c r="G1450" s="5">
        <f>IFERROR(VLOOKUP($D1450,FIYAT!$B:$O,8,FALSE()),"")</f>
        <v>915</v>
      </c>
      <c r="H1450" s="5">
        <f t="shared" si="174"/>
        <v>10980</v>
      </c>
      <c r="I1450" s="6">
        <v>12</v>
      </c>
      <c r="J1450" s="5" t="str">
        <f>IFERROR(VLOOKUP($D1450,FIYAT!$B:$O,9,FALSE()),"")</f>
        <v>Шт.</v>
      </c>
      <c r="K1450" s="5" t="str">
        <f>IFERROR(VLOOKUP($D1450,FIYAT!$B:$O,4,FALSE()),"")</f>
        <v>CHINT</v>
      </c>
      <c r="L1450" s="5">
        <f t="shared" si="175"/>
        <v>10980</v>
      </c>
      <c r="M1450" s="5"/>
      <c r="N1450" s="5"/>
      <c r="O1450" s="5"/>
      <c r="P1450" s="5" t="str">
        <f>IF($H1450="","FIYAT_YOK",IFERROR(VLOOKUP($D1450,FIYAT!$B:$P,15,FALSE()),""))</f>
        <v>MUADIL</v>
      </c>
      <c r="Q1450" s="5" t="s">
        <v>185</v>
      </c>
      <c r="R1450" s="5" t="s">
        <v>184</v>
      </c>
      <c r="S1450" s="5" t="s">
        <v>725</v>
      </c>
      <c r="T1450" s="5" t="s">
        <v>79</v>
      </c>
      <c r="U1450" s="5">
        <f>IFERROR(VLOOKUP($T1450,KURALLAR!$A$32:$B$63,2,FALSE()),0)*IF(ISNUMBER($I1450),$I1450,0)</f>
        <v>36</v>
      </c>
    </row>
    <row r="1451" spans="1:21" x14ac:dyDescent="0.25">
      <c r="A1451" s="9">
        <v>1450</v>
      </c>
      <c r="B1451" s="9"/>
      <c r="C1451" s="9" t="s">
        <v>79</v>
      </c>
      <c r="D1451" s="9" t="s">
        <v>470</v>
      </c>
      <c r="E1451" s="9" t="str">
        <f>IFERROR(VLOOKUP($D1451,FIYAT!$B:$O,2,FALSE()),"")</f>
        <v>Плавкая вставка предохранителя RT36-00-160, габарит 00, 80А</v>
      </c>
      <c r="F1451" s="9">
        <f>IFERROR(VLOOKUP($D1451,FIYAT!$B:$O,5,FALSE()),"")</f>
        <v>1525</v>
      </c>
      <c r="G1451" s="9">
        <f>IFERROR(VLOOKUP($D1451,FIYAT!$B:$O,8,FALSE()),"")</f>
        <v>915</v>
      </c>
      <c r="H1451" s="9">
        <f t="shared" si="174"/>
        <v>2745</v>
      </c>
      <c r="I1451" s="6">
        <v>3</v>
      </c>
      <c r="J1451" s="9" t="str">
        <f>IFERROR(VLOOKUP($D1451,FIYAT!$B:$O,9,FALSE()),"")</f>
        <v>Шт.</v>
      </c>
      <c r="K1451" s="9" t="str">
        <f>IFERROR(VLOOKUP($D1451,FIYAT!$B:$O,4,FALSE()),"")</f>
        <v>CHINT</v>
      </c>
      <c r="L1451" s="9">
        <f t="shared" si="175"/>
        <v>2745</v>
      </c>
      <c r="M1451" s="9"/>
      <c r="N1451" s="9"/>
      <c r="O1451" s="9"/>
      <c r="P1451" s="9" t="str">
        <f>IF($H1451="","FIYAT_YOK",IFERROR(VLOOKUP($D1451,FIYAT!$B:$P,15,FALSE()),""))</f>
        <v>OK</v>
      </c>
      <c r="Q1451" s="9" t="s">
        <v>472</v>
      </c>
      <c r="R1451" s="9" t="s">
        <v>184</v>
      </c>
      <c r="S1451" s="9" t="s">
        <v>725</v>
      </c>
      <c r="T1451" s="9" t="s">
        <v>79</v>
      </c>
      <c r="U1451" s="9">
        <f>IFERROR(VLOOKUP($T1451,KURALLAR!$A$32:$B$63,2,FALSE()),0)*IF(ISNUMBER($I1451),$I1451,0)</f>
        <v>9</v>
      </c>
    </row>
    <row r="1452" spans="1:21" x14ac:dyDescent="0.25">
      <c r="A1452" s="5">
        <v>1451</v>
      </c>
      <c r="B1452" s="5"/>
      <c r="C1452" s="5" t="s">
        <v>79</v>
      </c>
      <c r="D1452" s="5" t="s">
        <v>473</v>
      </c>
      <c r="E1452" s="5" t="str">
        <f>IFERROR(VLOOKUP($D1452,FIYAT!$B:$O,2,FALSE()),"")</f>
        <v>Плавкая вставка предохранителя RT36-00-160, габарит 00, 100А</v>
      </c>
      <c r="F1452" s="5">
        <f>IFERROR(VLOOKUP($D1452,FIYAT!$B:$O,5,FALSE()),"")</f>
        <v>1545</v>
      </c>
      <c r="G1452" s="5">
        <f>IFERROR(VLOOKUP($D1452,FIYAT!$B:$O,8,FALSE()),"")</f>
        <v>927</v>
      </c>
      <c r="H1452" s="5">
        <f t="shared" si="174"/>
        <v>33372</v>
      </c>
      <c r="I1452" s="6">
        <v>36</v>
      </c>
      <c r="J1452" s="5" t="str">
        <f>IFERROR(VLOOKUP($D1452,FIYAT!$B:$O,9,FALSE()),"")</f>
        <v>Шт.</v>
      </c>
      <c r="K1452" s="5" t="str">
        <f>IFERROR(VLOOKUP($D1452,FIYAT!$B:$O,4,FALSE()),"")</f>
        <v>CHINT</v>
      </c>
      <c r="L1452" s="5">
        <f t="shared" si="175"/>
        <v>33372</v>
      </c>
      <c r="M1452" s="5"/>
      <c r="N1452" s="5"/>
      <c r="O1452" s="5"/>
      <c r="P1452" s="5" t="str">
        <f>IF($H1452="","FIYAT_YOK",IFERROR(VLOOKUP($D1452,FIYAT!$B:$P,15,FALSE()),""))</f>
        <v>OK</v>
      </c>
      <c r="Q1452" s="5" t="s">
        <v>475</v>
      </c>
      <c r="R1452" s="5" t="s">
        <v>171</v>
      </c>
      <c r="S1452" s="5" t="s">
        <v>725</v>
      </c>
      <c r="T1452" s="5" t="s">
        <v>79</v>
      </c>
      <c r="U1452" s="5">
        <f>IFERROR(VLOOKUP($T1452,KURALLAR!$A$32:$B$63,2,FALSE()),0)*IF(ISNUMBER($I1452),$I1452,0)</f>
        <v>108</v>
      </c>
    </row>
    <row r="1453" spans="1:21" x14ac:dyDescent="0.25">
      <c r="A1453" s="9">
        <v>1452</v>
      </c>
      <c r="B1453" s="9"/>
      <c r="C1453" s="9" t="s">
        <v>109</v>
      </c>
      <c r="D1453" s="9" t="s">
        <v>476</v>
      </c>
      <c r="E1453" s="9" t="str">
        <f>IFERROR(VLOOKUP($D1453,FIYAT!$B:$O,2,FALSE()),"")</f>
        <v>Трехфазный конденсатор NWC6-0.45-20-3, АС450В, 20кВАр</v>
      </c>
      <c r="F1453" s="9">
        <f>IFERROR(VLOOKUP($D1453,FIYAT!$B:$O,5,FALSE()),"")</f>
        <v>36423</v>
      </c>
      <c r="G1453" s="9">
        <f>IFERROR(VLOOKUP($D1453,FIYAT!$B:$O,8,FALSE()),"")</f>
        <v>21853.8</v>
      </c>
      <c r="H1453" s="9">
        <f t="shared" si="174"/>
        <v>87415.2</v>
      </c>
      <c r="I1453" s="6">
        <v>4</v>
      </c>
      <c r="J1453" s="9" t="str">
        <f>IFERROR(VLOOKUP($D1453,FIYAT!$B:$O,9,FALSE()),"")</f>
        <v>Шт.</v>
      </c>
      <c r="K1453" s="9" t="str">
        <f>IFERROR(VLOOKUP($D1453,FIYAT!$B:$O,4,FALSE()),"")</f>
        <v>CHINT</v>
      </c>
      <c r="L1453" s="9">
        <f t="shared" si="175"/>
        <v>87415.2</v>
      </c>
      <c r="M1453" s="9"/>
      <c r="N1453" s="9"/>
      <c r="O1453" s="9"/>
      <c r="P1453" s="9" t="str">
        <f>IF($H1453="","FIYAT_YOK",IFERROR(VLOOKUP($D1453,FIYAT!$B:$P,15,FALSE()),""))</f>
        <v>OK</v>
      </c>
      <c r="Q1453" s="9" t="s">
        <v>478</v>
      </c>
      <c r="R1453" s="9" t="s">
        <v>171</v>
      </c>
      <c r="S1453" s="9" t="s">
        <v>725</v>
      </c>
      <c r="T1453" s="9" t="s">
        <v>109</v>
      </c>
      <c r="U1453" s="9">
        <f>IFERROR(VLOOKUP($T1453,KURALLAR!$A$32:$B$63,2,FALSE()),0)*IF(ISNUMBER($I1453),$I1453,0)</f>
        <v>80</v>
      </c>
    </row>
    <row r="1454" spans="1:21" x14ac:dyDescent="0.25">
      <c r="A1454" s="5">
        <v>1453</v>
      </c>
      <c r="B1454" s="5"/>
      <c r="C1454" s="5" t="s">
        <v>109</v>
      </c>
      <c r="D1454" s="5" t="s">
        <v>479</v>
      </c>
      <c r="E1454" s="5" t="str">
        <f>IFERROR(VLOOKUP($D1454,FIYAT!$B:$O,2,FALSE()),"")</f>
        <v>Трехфазный конденсатор NWC6-0.45-25-3, АС450В, 25кВАр</v>
      </c>
      <c r="F1454" s="5">
        <f>IFERROR(VLOOKUP($D1454,FIYAT!$B:$O,5,FALSE()),"")</f>
        <v>41988</v>
      </c>
      <c r="G1454" s="5">
        <f>IFERROR(VLOOKUP($D1454,FIYAT!$B:$O,8,FALSE()),"")</f>
        <v>25192.799999999999</v>
      </c>
      <c r="H1454" s="5">
        <f t="shared" si="174"/>
        <v>50385.599999999999</v>
      </c>
      <c r="I1454" s="6">
        <v>2</v>
      </c>
      <c r="J1454" s="5" t="str">
        <f>IFERROR(VLOOKUP($D1454,FIYAT!$B:$O,9,FALSE()),"")</f>
        <v>Шт.</v>
      </c>
      <c r="K1454" s="5" t="str">
        <f>IFERROR(VLOOKUP($D1454,FIYAT!$B:$O,4,FALSE()),"")</f>
        <v>CHINT</v>
      </c>
      <c r="L1454" s="5">
        <f t="shared" si="175"/>
        <v>50385.599999999999</v>
      </c>
      <c r="M1454" s="5"/>
      <c r="N1454" s="5"/>
      <c r="O1454" s="5"/>
      <c r="P1454" s="5" t="str">
        <f>IF($H1454="","FIYAT_YOK",IFERROR(VLOOKUP($D1454,FIYAT!$B:$P,15,FALSE()),""))</f>
        <v>OK</v>
      </c>
      <c r="Q1454" s="5" t="s">
        <v>481</v>
      </c>
      <c r="R1454" s="5" t="s">
        <v>184</v>
      </c>
      <c r="S1454" s="5" t="s">
        <v>725</v>
      </c>
      <c r="T1454" s="5" t="s">
        <v>109</v>
      </c>
      <c r="U1454" s="5">
        <f>IFERROR(VLOOKUP($T1454,KURALLAR!$A$32:$B$63,2,FALSE()),0)*IF(ISNUMBER($I1454),$I1454,0)</f>
        <v>40</v>
      </c>
    </row>
    <row r="1455" spans="1:21" x14ac:dyDescent="0.25">
      <c r="A1455" s="9">
        <v>1454</v>
      </c>
      <c r="B1455" s="9"/>
      <c r="C1455" s="9" t="s">
        <v>109</v>
      </c>
      <c r="D1455" s="9" t="s">
        <v>482</v>
      </c>
      <c r="E1455" s="9" t="str">
        <f>IFERROR(VLOOKUP($D1455,FIYAT!$B:$O,2,FALSE()),"")</f>
        <v>Трехфазный конденсатор BZMJ 0.4-50-3 АС400В, 50 кВАр</v>
      </c>
      <c r="F1455" s="9">
        <f>IFERROR(VLOOKUP($D1455,FIYAT!$B:$O,5,FALSE()),"")</f>
        <v>97193</v>
      </c>
      <c r="G1455" s="9">
        <f>IFERROR(VLOOKUP($D1455,FIYAT!$B:$O,8,FALSE()),"")</f>
        <v>58315.799999999996</v>
      </c>
      <c r="H1455" s="9">
        <f t="shared" si="174"/>
        <v>699789.6</v>
      </c>
      <c r="I1455" s="6">
        <v>12</v>
      </c>
      <c r="J1455" s="9" t="str">
        <f>IFERROR(VLOOKUP($D1455,FIYAT!$B:$O,9,FALSE()),"")</f>
        <v>Шт.</v>
      </c>
      <c r="K1455" s="9" t="str">
        <f>IFERROR(VLOOKUP($D1455,FIYAT!$B:$O,4,FALSE()),"")</f>
        <v>CHINT</v>
      </c>
      <c r="L1455" s="9">
        <f t="shared" si="175"/>
        <v>699789.6</v>
      </c>
      <c r="M1455" s="9"/>
      <c r="N1455" s="9"/>
      <c r="O1455" s="9"/>
      <c r="P1455" s="9" t="str">
        <f>IF($H1455="","FIYAT_YOK",IFERROR(VLOOKUP($D1455,FIYAT!$B:$P,15,FALSE()),""))</f>
        <v>MUADIL_ONAY</v>
      </c>
      <c r="Q1455" s="9" t="s">
        <v>484</v>
      </c>
      <c r="R1455" s="9" t="s">
        <v>184</v>
      </c>
      <c r="S1455" s="9" t="s">
        <v>725</v>
      </c>
      <c r="T1455" s="9" t="s">
        <v>109</v>
      </c>
      <c r="U1455" s="9">
        <f>IFERROR(VLOOKUP($T1455,KURALLAR!$A$32:$B$63,2,FALSE()),0)*IF(ISNUMBER($I1455),$I1455,0)</f>
        <v>240</v>
      </c>
    </row>
    <row r="1456" spans="1:21" x14ac:dyDescent="0.25">
      <c r="A1456" s="5">
        <v>1455</v>
      </c>
      <c r="B1456" s="5"/>
      <c r="C1456" s="5" t="s">
        <v>85</v>
      </c>
      <c r="D1456" s="5" t="s">
        <v>485</v>
      </c>
      <c r="E1456" s="5" t="str">
        <f>IFERROR(VLOOKUP($D1456,FIYAT!$B:$O,2,FALSE()),"")</f>
        <v>Контактор для компенсации реактивной мощности CJ19-6312, 30кВАр, 1НО+2НЗ, 230В (R)</v>
      </c>
      <c r="F1456" s="5">
        <f>IFERROR(VLOOKUP($D1456,FIYAT!$B:$O,5,FALSE()),"")</f>
        <v>28104</v>
      </c>
      <c r="G1456" s="5">
        <f>IFERROR(VLOOKUP($D1456,FIYAT!$B:$O,8,FALSE()),"")</f>
        <v>16862.399999999998</v>
      </c>
      <c r="H1456" s="5">
        <f t="shared" si="174"/>
        <v>67449.599999999991</v>
      </c>
      <c r="I1456" s="6">
        <v>4</v>
      </c>
      <c r="J1456" s="5" t="str">
        <f>IFERROR(VLOOKUP($D1456,FIYAT!$B:$O,9,FALSE()),"")</f>
        <v>Шт.</v>
      </c>
      <c r="K1456" s="5" t="str">
        <f>IFERROR(VLOOKUP($D1456,FIYAT!$B:$O,4,FALSE()),"")</f>
        <v>CHINT</v>
      </c>
      <c r="L1456" s="5">
        <f t="shared" si="175"/>
        <v>67449.599999999991</v>
      </c>
      <c r="M1456" s="5"/>
      <c r="N1456" s="5"/>
      <c r="O1456" s="5"/>
      <c r="P1456" s="5" t="str">
        <f>IF($H1456="","FIYAT_YOK",IFERROR(VLOOKUP($D1456,FIYAT!$B:$P,15,FALSE()),""))</f>
        <v>MUADIL_ONAY</v>
      </c>
      <c r="Q1456" s="5" t="s">
        <v>487</v>
      </c>
      <c r="R1456" s="5" t="s">
        <v>184</v>
      </c>
      <c r="S1456" s="5" t="s">
        <v>725</v>
      </c>
      <c r="T1456" s="5" t="s">
        <v>85</v>
      </c>
      <c r="U1456" s="5">
        <f>IFERROR(VLOOKUP($T1456,KURALLAR!$A$32:$B$63,2,FALSE()),0)*IF(ISNUMBER($I1456),$I1456,0)</f>
        <v>40</v>
      </c>
    </row>
    <row r="1457" spans="1:21" x14ac:dyDescent="0.25">
      <c r="A1457" s="9">
        <v>1456</v>
      </c>
      <c r="B1457" s="9"/>
      <c r="C1457" s="9" t="s">
        <v>85</v>
      </c>
      <c r="D1457" s="9" t="s">
        <v>488</v>
      </c>
      <c r="E1457" s="9" t="str">
        <f>IFERROR(VLOOKUP($D1457,FIYAT!$B:$O,2,FALSE()),"")</f>
        <v>Контактор для компенсации реактивной мощности CJ19-9512, 50кВАр, 1НО+2НЗ, 400В (R)</v>
      </c>
      <c r="F1457" s="9">
        <f>IFERROR(VLOOKUP($D1457,FIYAT!$B:$O,5,FALSE()),"")</f>
        <v>52132</v>
      </c>
      <c r="G1457" s="9">
        <f>IFERROR(VLOOKUP($D1457,FIYAT!$B:$O,8,FALSE()),"")</f>
        <v>31279.199999999997</v>
      </c>
      <c r="H1457" s="9">
        <f t="shared" si="174"/>
        <v>437908.79999999993</v>
      </c>
      <c r="I1457" s="6">
        <v>14</v>
      </c>
      <c r="J1457" s="9" t="str">
        <f>IFERROR(VLOOKUP($D1457,FIYAT!$B:$O,9,FALSE()),"")</f>
        <v>Шт.</v>
      </c>
      <c r="K1457" s="9" t="str">
        <f>IFERROR(VLOOKUP($D1457,FIYAT!$B:$O,4,FALSE()),"")</f>
        <v>CHINT</v>
      </c>
      <c r="L1457" s="9">
        <f t="shared" si="175"/>
        <v>437908.79999999993</v>
      </c>
      <c r="M1457" s="9"/>
      <c r="N1457" s="9"/>
      <c r="O1457" s="9"/>
      <c r="P1457" s="9" t="str">
        <f>IF($H1457="","FIYAT_YOK",IFERROR(VLOOKUP($D1457,FIYAT!$B:$P,15,FALSE()),""))</f>
        <v>MUADIL_ONAY</v>
      </c>
      <c r="Q1457" s="9" t="s">
        <v>490</v>
      </c>
      <c r="R1457" s="9" t="s">
        <v>171</v>
      </c>
      <c r="S1457" s="9" t="s">
        <v>725</v>
      </c>
      <c r="T1457" s="9" t="s">
        <v>85</v>
      </c>
      <c r="U1457" s="9">
        <f>IFERROR(VLOOKUP($T1457,KURALLAR!$A$32:$B$63,2,FALSE()),0)*IF(ISNUMBER($I1457),$I1457,0)</f>
        <v>140</v>
      </c>
    </row>
    <row r="1458" spans="1:21" x14ac:dyDescent="0.25">
      <c r="A1458" s="5">
        <v>1457</v>
      </c>
      <c r="B1458" s="5"/>
      <c r="C1458" s="5" t="s">
        <v>87</v>
      </c>
      <c r="D1458" s="5" t="s">
        <v>491</v>
      </c>
      <c r="E1458" s="5" t="str">
        <f>IFERROR(VLOOKUP($D1458,FIYAT!$B:$O,2,FALSE()),"")</f>
        <v>Schneider — гармонический реактор 25 kvar 5,7% 400V</v>
      </c>
      <c r="F1458" s="5">
        <f>IFERROR(VLOOKUP($D1458,FIYAT!$B:$O,5,FALSE()),"")</f>
        <v>0</v>
      </c>
      <c r="G1458" s="5" t="str">
        <f>IFERROR(VLOOKUP($D1458,FIYAT!$B:$O,8,FALSE()),"")</f>
        <v/>
      </c>
      <c r="H1458" s="5" t="str">
        <f t="shared" si="174"/>
        <v/>
      </c>
      <c r="I1458" s="6">
        <v>4</v>
      </c>
      <c r="J1458" s="5" t="str">
        <f>IFERROR(VLOOKUP($D1458,FIYAT!$B:$O,9,FALSE()),"")</f>
        <v>Шт.</v>
      </c>
      <c r="K1458" s="5" t="str">
        <f>IFERROR(VLOOKUP($D1458,FIYAT!$B:$O,4,FALSE()),"")</f>
        <v>SCHNEIDER</v>
      </c>
      <c r="L1458" s="5" t="str">
        <f t="shared" si="175"/>
        <v/>
      </c>
      <c r="M1458" s="5"/>
      <c r="N1458" s="5"/>
      <c r="O1458" s="5"/>
      <c r="P1458" s="7" t="str">
        <f>IF($H1458="","FIYAT_YOK",IFERROR(VLOOKUP($D1458,FIYAT!$B:$P,15,FALSE()),""))</f>
        <v>FIYAT_YOK</v>
      </c>
      <c r="Q1458" s="7" t="s">
        <v>493</v>
      </c>
      <c r="R1458" s="5"/>
      <c r="S1458" s="5" t="s">
        <v>725</v>
      </c>
      <c r="T1458" s="5" t="s">
        <v>87</v>
      </c>
      <c r="U1458" s="5">
        <f>IFERROR(VLOOKUP($T1458,KURALLAR!$A$32:$B$63,2,FALSE()),0)*IF(ISNUMBER($I1458),$I1458,0)</f>
        <v>32</v>
      </c>
    </row>
    <row r="1459" spans="1:21" x14ac:dyDescent="0.25">
      <c r="A1459" s="9">
        <v>1458</v>
      </c>
      <c r="B1459" s="9"/>
      <c r="C1459" s="9" t="s">
        <v>87</v>
      </c>
      <c r="D1459" s="9" t="s">
        <v>494</v>
      </c>
      <c r="E1459" s="9" t="str">
        <f>IFERROR(VLOOKUP($D1459,FIYAT!$B:$O,2,FALSE()),"")</f>
        <v>Schneider — гармонический реактор 50 kvar 5,7% 400V</v>
      </c>
      <c r="F1459" s="9">
        <f>IFERROR(VLOOKUP($D1459,FIYAT!$B:$O,5,FALSE()),"")</f>
        <v>0</v>
      </c>
      <c r="G1459" s="9" t="str">
        <f>IFERROR(VLOOKUP($D1459,FIYAT!$B:$O,8,FALSE()),"")</f>
        <v/>
      </c>
      <c r="H1459" s="9" t="str">
        <f t="shared" si="174"/>
        <v/>
      </c>
      <c r="I1459" s="6">
        <v>13</v>
      </c>
      <c r="J1459" s="9" t="str">
        <f>IFERROR(VLOOKUP($D1459,FIYAT!$B:$O,9,FALSE()),"")</f>
        <v>Шт.</v>
      </c>
      <c r="K1459" s="9" t="str">
        <f>IFERROR(VLOOKUP($D1459,FIYAT!$B:$O,4,FALSE()),"")</f>
        <v>SCHNEIDER</v>
      </c>
      <c r="L1459" s="9" t="str">
        <f t="shared" si="175"/>
        <v/>
      </c>
      <c r="M1459" s="9"/>
      <c r="N1459" s="9"/>
      <c r="O1459" s="9"/>
      <c r="P1459" s="7" t="str">
        <f>IF($H1459="","FIYAT_YOK",IFERROR(VLOOKUP($D1459,FIYAT!$B:$P,15,FALSE()),""))</f>
        <v>FIYAT_YOK</v>
      </c>
      <c r="Q1459" s="7" t="s">
        <v>493</v>
      </c>
      <c r="R1459" s="9"/>
      <c r="S1459" s="9" t="s">
        <v>725</v>
      </c>
      <c r="T1459" s="9" t="s">
        <v>87</v>
      </c>
      <c r="U1459" s="9">
        <f>IFERROR(VLOOKUP($T1459,KURALLAR!$A$32:$B$63,2,FALSE()),0)*IF(ISNUMBER($I1459),$I1459,0)</f>
        <v>104</v>
      </c>
    </row>
    <row r="1460" spans="1:21" x14ac:dyDescent="0.25">
      <c r="A1460" s="5">
        <v>1459</v>
      </c>
      <c r="B1460" s="5"/>
      <c r="C1460" s="5" t="s">
        <v>93</v>
      </c>
      <c r="D1460" s="5" t="s">
        <v>419</v>
      </c>
      <c r="E1460" s="5" t="str">
        <f>IFERROR(VLOOKUP($D1460,FIYAT!$B:$O,2,FALSE()),"")</f>
        <v>Переключатель NP2-BD33, 3 положения с фиксацией, 2НО IP40</v>
      </c>
      <c r="F1460" s="5">
        <f>IFERROR(VLOOKUP($D1460,FIYAT!$B:$O,5,FALSE()),"")</f>
        <v>1836</v>
      </c>
      <c r="G1460" s="5">
        <f>IFERROR(VLOOKUP($D1460,FIYAT!$B:$O,8,FALSE()),"")</f>
        <v>1101.5999999999999</v>
      </c>
      <c r="H1460" s="5">
        <f t="shared" si="174"/>
        <v>14320.8</v>
      </c>
      <c r="I1460" s="6">
        <v>13</v>
      </c>
      <c r="J1460" s="5" t="str">
        <f>IFERROR(VLOOKUP($D1460,FIYAT!$B:$O,9,FALSE()),"")</f>
        <v>Шт.</v>
      </c>
      <c r="K1460" s="5" t="str">
        <f>IFERROR(VLOOKUP($D1460,FIYAT!$B:$O,4,FALSE()),"")</f>
        <v>CHINT</v>
      </c>
      <c r="L1460" s="5">
        <f t="shared" si="175"/>
        <v>14320.8</v>
      </c>
      <c r="M1460" s="5"/>
      <c r="N1460" s="5"/>
      <c r="O1460" s="5"/>
      <c r="P1460" s="5" t="str">
        <f>IF($H1460="","FIYAT_YOK",IFERROR(VLOOKUP($D1460,FIYAT!$B:$P,15,FALSE()),""))</f>
        <v>MUADIL</v>
      </c>
      <c r="Q1460" s="5" t="s">
        <v>421</v>
      </c>
      <c r="R1460" s="5" t="s">
        <v>184</v>
      </c>
      <c r="S1460" s="5" t="s">
        <v>725</v>
      </c>
      <c r="T1460" s="5" t="s">
        <v>91</v>
      </c>
      <c r="U1460" s="5">
        <f>IFERROR(VLOOKUP($T1460,KURALLAR!$A$32:$B$63,2,FALSE()),0)*IF(ISNUMBER($I1460),$I1460,0)</f>
        <v>65</v>
      </c>
    </row>
    <row r="1461" spans="1:21" x14ac:dyDescent="0.25">
      <c r="A1461" s="9">
        <v>1460</v>
      </c>
      <c r="B1461" s="9"/>
      <c r="C1461" s="9" t="s">
        <v>89</v>
      </c>
      <c r="D1461" s="9" t="s">
        <v>431</v>
      </c>
      <c r="E1461" s="9" t="str">
        <f>IFERROR(VLOOKUP($D1461,FIYAT!$B:$O,2,FALSE()),"")</f>
        <v>Индикатор ND16-22DS/4 красный АС230В (R)</v>
      </c>
      <c r="F1461" s="9">
        <f>IFERROR(VLOOKUP($D1461,FIYAT!$B:$O,5,FALSE()),"")</f>
        <v>836</v>
      </c>
      <c r="G1461" s="9">
        <f>IFERROR(VLOOKUP($D1461,FIYAT!$B:$O,8,FALSE()),"")</f>
        <v>501.59999999999997</v>
      </c>
      <c r="H1461" s="9">
        <f t="shared" si="174"/>
        <v>6019.2</v>
      </c>
      <c r="I1461" s="6">
        <v>12</v>
      </c>
      <c r="J1461" s="9" t="str">
        <f>IFERROR(VLOOKUP($D1461,FIYAT!$B:$O,9,FALSE()),"")</f>
        <v>Шт.</v>
      </c>
      <c r="K1461" s="9" t="str">
        <f>IFERROR(VLOOKUP($D1461,FIYAT!$B:$O,4,FALSE()),"")</f>
        <v>CHINT</v>
      </c>
      <c r="L1461" s="9">
        <f t="shared" si="175"/>
        <v>6019.2</v>
      </c>
      <c r="M1461" s="9"/>
      <c r="N1461" s="9"/>
      <c r="O1461" s="9"/>
      <c r="P1461" s="9" t="str">
        <f>IF($H1461="","FIYAT_YOK",IFERROR(VLOOKUP($D1461,FIYAT!$B:$P,15,FALSE()),""))</f>
        <v>OK</v>
      </c>
      <c r="Q1461" s="9" t="s">
        <v>433</v>
      </c>
      <c r="R1461" s="9" t="s">
        <v>184</v>
      </c>
      <c r="S1461" s="9" t="s">
        <v>725</v>
      </c>
      <c r="T1461" s="9" t="s">
        <v>89</v>
      </c>
      <c r="U1461" s="9">
        <f>IFERROR(VLOOKUP($T1461,KURALLAR!$A$32:$B$63,2,FALSE()),0)*IF(ISNUMBER($I1461),$I1461,0)</f>
        <v>48</v>
      </c>
    </row>
    <row r="1462" spans="1:21" x14ac:dyDescent="0.25">
      <c r="A1462" s="5">
        <v>1461</v>
      </c>
      <c r="B1462" s="5"/>
      <c r="C1462" s="5" t="s">
        <v>87</v>
      </c>
      <c r="D1462" s="5" t="s">
        <v>412</v>
      </c>
      <c r="E1462" s="5" t="str">
        <f>IFERROR(VLOOKUP($D1462,FIYAT!$B:$O,2,FALSE()),"")</f>
        <v>Schneider RXM4AB1P7 — миниатюрное реле 6A 4CO</v>
      </c>
      <c r="F1462" s="5">
        <f>IFERROR(VLOOKUP($D1462,FIYAT!$B:$O,5,FALSE()),"")</f>
        <v>0</v>
      </c>
      <c r="G1462" s="5" t="str">
        <f>IFERROR(VLOOKUP($D1462,FIYAT!$B:$O,8,FALSE()),"")</f>
        <v/>
      </c>
      <c r="H1462" s="5" t="str">
        <f t="shared" si="174"/>
        <v/>
      </c>
      <c r="I1462" s="6">
        <v>12</v>
      </c>
      <c r="J1462" s="5" t="str">
        <f>IFERROR(VLOOKUP($D1462,FIYAT!$B:$O,9,FALSE()),"")</f>
        <v>Шт.</v>
      </c>
      <c r="K1462" s="5" t="str">
        <f>IFERROR(VLOOKUP($D1462,FIYAT!$B:$O,4,FALSE()),"")</f>
        <v>SCHNEIDER</v>
      </c>
      <c r="L1462" s="5" t="str">
        <f t="shared" si="175"/>
        <v/>
      </c>
      <c r="M1462" s="5"/>
      <c r="N1462" s="5"/>
      <c r="O1462" s="5"/>
      <c r="P1462" s="7" t="str">
        <f>IF($H1462="","FIYAT_YOK",IFERROR(VLOOKUP($D1462,FIYAT!$B:$P,15,FALSE()),""))</f>
        <v>FIYAT_YOK</v>
      </c>
      <c r="Q1462" s="7" t="s">
        <v>414</v>
      </c>
      <c r="R1462" s="5"/>
      <c r="S1462" s="5" t="s">
        <v>725</v>
      </c>
      <c r="T1462" s="5" t="s">
        <v>87</v>
      </c>
      <c r="U1462" s="5">
        <f>IFERROR(VLOOKUP($T1462,KURALLAR!$A$32:$B$63,2,FALSE()),0)*IF(ISNUMBER($I1462),$I1462,0)</f>
        <v>96</v>
      </c>
    </row>
    <row r="1463" spans="1:21" x14ac:dyDescent="0.25">
      <c r="A1463" s="9">
        <v>1462</v>
      </c>
      <c r="B1463" s="9"/>
      <c r="C1463" s="9" t="s">
        <v>417</v>
      </c>
      <c r="D1463" s="9" t="s">
        <v>415</v>
      </c>
      <c r="E1463" s="9" t="str">
        <f>IFERROR(VLOOKUP($D1463,FIYAT!$B:$O,2,FALSE()),"")</f>
        <v>Schneider RXZE2M114M — колодка для реле RXM2/RXM4</v>
      </c>
      <c r="F1463" s="9">
        <f>IFERROR(VLOOKUP($D1463,FIYAT!$B:$O,5,FALSE()),"")</f>
        <v>0</v>
      </c>
      <c r="G1463" s="9" t="str">
        <f>IFERROR(VLOOKUP($D1463,FIYAT!$B:$O,8,FALSE()),"")</f>
        <v/>
      </c>
      <c r="H1463" s="9" t="str">
        <f t="shared" si="174"/>
        <v/>
      </c>
      <c r="I1463" s="6">
        <v>12</v>
      </c>
      <c r="J1463" s="9" t="str">
        <f>IFERROR(VLOOKUP($D1463,FIYAT!$B:$O,9,FALSE()),"")</f>
        <v>Шт.</v>
      </c>
      <c r="K1463" s="9" t="str">
        <f>IFERROR(VLOOKUP($D1463,FIYAT!$B:$O,4,FALSE()),"")</f>
        <v>SCHNEIDER</v>
      </c>
      <c r="L1463" s="9" t="str">
        <f t="shared" si="175"/>
        <v/>
      </c>
      <c r="M1463" s="9"/>
      <c r="N1463" s="9"/>
      <c r="O1463" s="9"/>
      <c r="P1463" s="7" t="str">
        <f>IF($H1463="","FIYAT_YOK",IFERROR(VLOOKUP($D1463,FIYAT!$B:$P,15,FALSE()),""))</f>
        <v>FIYAT_YOK</v>
      </c>
      <c r="Q1463" s="7" t="s">
        <v>418</v>
      </c>
      <c r="R1463" s="9"/>
      <c r="S1463" s="9" t="s">
        <v>725</v>
      </c>
      <c r="T1463" s="9" t="s">
        <v>87</v>
      </c>
      <c r="U1463" s="9">
        <f>IFERROR(VLOOKUP($T1463,KURALLAR!$A$32:$B$63,2,FALSE()),0)*IF(ISNUMBER($I1463),$I1463,0)</f>
        <v>96</v>
      </c>
    </row>
    <row r="1464" spans="1:21" x14ac:dyDescent="0.25">
      <c r="A1464" s="5">
        <v>1463</v>
      </c>
      <c r="B1464" s="5"/>
      <c r="C1464" s="5" t="s">
        <v>85</v>
      </c>
      <c r="D1464" s="5" t="s">
        <v>437</v>
      </c>
      <c r="E1464" s="5" t="str">
        <f>IFERROR(VLOOKUP($D1464,FIYAT!$B:$O,2,FALSE()),"")</f>
        <v>Контактор NC1-0910 9А 230В/АС3 1НО 50Гц (R)</v>
      </c>
      <c r="F1464" s="5">
        <f>IFERROR(VLOOKUP($D1464,FIYAT!$B:$O,5,FALSE()),"")</f>
        <v>4771</v>
      </c>
      <c r="G1464" s="5">
        <f>IFERROR(VLOOKUP($D1464,FIYAT!$B:$O,8,FALSE()),"")</f>
        <v>2862.6</v>
      </c>
      <c r="H1464" s="5">
        <f t="shared" si="174"/>
        <v>2862.6</v>
      </c>
      <c r="I1464" s="6">
        <v>1</v>
      </c>
      <c r="J1464" s="5" t="str">
        <f>IFERROR(VLOOKUP($D1464,FIYAT!$B:$O,9,FALSE()),"")</f>
        <v>Шт.</v>
      </c>
      <c r="K1464" s="5" t="str">
        <f>IFERROR(VLOOKUP($D1464,FIYAT!$B:$O,4,FALSE()),"")</f>
        <v>CHINT</v>
      </c>
      <c r="L1464" s="5">
        <f t="shared" si="175"/>
        <v>2862.6</v>
      </c>
      <c r="M1464" s="5"/>
      <c r="N1464" s="5"/>
      <c r="O1464" s="5"/>
      <c r="P1464" s="5" t="str">
        <f>IF($H1464="","FIYAT_YOK",IFERROR(VLOOKUP($D1464,FIYAT!$B:$P,15,FALSE()),""))</f>
        <v>MUADIL</v>
      </c>
      <c r="Q1464" s="5" t="s">
        <v>439</v>
      </c>
      <c r="R1464" s="5" t="s">
        <v>184</v>
      </c>
      <c r="S1464" s="5" t="s">
        <v>725</v>
      </c>
      <c r="T1464" s="5" t="s">
        <v>85</v>
      </c>
      <c r="U1464" s="5">
        <f>IFERROR(VLOOKUP($T1464,KURALLAR!$A$32:$B$63,2,FALSE()),0)*IF(ISNUMBER($I1464),$I1464,0)</f>
        <v>10</v>
      </c>
    </row>
    <row r="1465" spans="1:21" x14ac:dyDescent="0.25">
      <c r="A1465" s="9">
        <v>1464</v>
      </c>
      <c r="B1465" s="9"/>
      <c r="C1465" s="9" t="s">
        <v>222</v>
      </c>
      <c r="D1465" s="9" t="s">
        <v>496</v>
      </c>
      <c r="E1465" s="9" t="str">
        <f>IFERROR(VLOOKUP($D1465,FIYAT!$B:$O,2,FALSE()),"")</f>
        <v>Вентилятор с фильтром 55 куб.м./час IP55 IEK (12) NEW</v>
      </c>
      <c r="F1465" s="9">
        <f>IFERROR(VLOOKUP($D1465,FIYAT!$B:$O,5,FALSE()),"")</f>
        <v>14524</v>
      </c>
      <c r="G1465" s="9">
        <f>IFERROR(VLOOKUP($D1465,FIYAT!$B:$O,8,FALSE()),"")</f>
        <v>14524</v>
      </c>
      <c r="H1465" s="9">
        <f t="shared" si="174"/>
        <v>43572</v>
      </c>
      <c r="I1465" s="6">
        <v>3</v>
      </c>
      <c r="J1465" s="9" t="str">
        <f>IFERROR(VLOOKUP($D1465,FIYAT!$B:$O,9,FALSE()),"")</f>
        <v>Шт.</v>
      </c>
      <c r="K1465" s="9" t="str">
        <f>IFERROR(VLOOKUP($D1465,FIYAT!$B:$O,4,FALSE()),"")</f>
        <v>EKT</v>
      </c>
      <c r="L1465" s="9">
        <f t="shared" si="175"/>
        <v>43572</v>
      </c>
      <c r="M1465" s="9"/>
      <c r="N1465" s="9"/>
      <c r="O1465" s="9"/>
      <c r="P1465" s="9" t="str">
        <f>IF($H1465="","FIYAT_YOK",IFERROR(VLOOKUP($D1465,FIYAT!$B:$P,15,FALSE()),""))</f>
        <v>FIYAT_ESKI</v>
      </c>
      <c r="Q1465" s="9" t="s">
        <v>499</v>
      </c>
      <c r="R1465" s="9" t="s">
        <v>498</v>
      </c>
      <c r="S1465" s="9" t="s">
        <v>725</v>
      </c>
      <c r="T1465" s="9" t="s">
        <v>95</v>
      </c>
      <c r="U1465" s="9">
        <f>IFERROR(VLOOKUP($T1465,KURALLAR!$A$32:$B$63,2,FALSE()),0)*IF(ISNUMBER($I1465),$I1465,0)</f>
        <v>30</v>
      </c>
    </row>
    <row r="1466" spans="1:21" x14ac:dyDescent="0.25">
      <c r="A1466" s="5">
        <v>1465</v>
      </c>
      <c r="B1466" s="5"/>
      <c r="C1466" s="5" t="s">
        <v>253</v>
      </c>
      <c r="D1466" s="5" t="s">
        <v>251</v>
      </c>
      <c r="E1466" s="5" t="str">
        <f>IFERROR(VLOOKUP($D1466,FIYAT!$B:$O,2,FALSE()),"")</f>
        <v>Шина алюминиевая твёрдая (ШАТ)</v>
      </c>
      <c r="F1466" s="5">
        <f>IFERROR(VLOOKUP($D1466,FIYAT!$B:$O,5,FALSE()),"")</f>
        <v>4493.5999999999995</v>
      </c>
      <c r="G1466" s="5">
        <f>IFERROR(VLOOKUP($D1466,FIYAT!$B:$O,8,FALSE()),"")</f>
        <v>4493.5999999999995</v>
      </c>
      <c r="H1466" s="5">
        <f t="shared" si="174"/>
        <v>215692.79999999999</v>
      </c>
      <c r="I1466" s="6">
        <v>48</v>
      </c>
      <c r="J1466" s="5" t="str">
        <f>IFERROR(VLOOKUP($D1466,FIYAT!$B:$O,9,FALSE()),"")</f>
        <v>Кг.</v>
      </c>
      <c r="K1466" s="5" t="str">
        <f>IFERROR(VLOOKUP($D1466,FIYAT!$B:$O,4,FALSE()),"")</f>
        <v>ALUM-BARA</v>
      </c>
      <c r="L1466" s="5">
        <f t="shared" si="175"/>
        <v>215692.79999999999</v>
      </c>
      <c r="M1466" s="5"/>
      <c r="N1466" s="5"/>
      <c r="O1466" s="5"/>
      <c r="P1466" s="5" t="str">
        <f>IF($H1466="","FIYAT_YOK",IFERROR(VLOOKUP($D1466,FIYAT!$B:$P,15,FALSE()),""))</f>
        <v>VARSAYIM</v>
      </c>
      <c r="Q1466" s="5" t="s">
        <v>255</v>
      </c>
      <c r="R1466" s="5"/>
      <c r="S1466" s="5" t="s">
        <v>725</v>
      </c>
      <c r="T1466" s="5" t="s">
        <v>101</v>
      </c>
      <c r="U1466" s="5">
        <f>IFERROR(VLOOKUP($T1466,KURALLAR!$A$32:$B$63,2,FALSE()),0)*IF(ISNUMBER($I1466),$I1466,0)</f>
        <v>288</v>
      </c>
    </row>
    <row r="1467" spans="1:21" x14ac:dyDescent="0.25">
      <c r="A1467" s="9">
        <v>1466</v>
      </c>
      <c r="B1467" s="9"/>
      <c r="C1467" s="9" t="s">
        <v>222</v>
      </c>
      <c r="D1467" s="9" t="s">
        <v>256</v>
      </c>
      <c r="E1467" s="9" t="str">
        <f>IFERROR(VLOOKUP($D1467,FIYAT!$B:$O,2,FALSE()),"")</f>
        <v>Щит (moduler) 2000x800x800+100</v>
      </c>
      <c r="F1467" s="9">
        <f>IFERROR(VLOOKUP($D1467,FIYAT!$B:$O,5,FALSE()),"")</f>
        <v>197400</v>
      </c>
      <c r="G1467" s="9">
        <f>IFERROR(VLOOKUP($D1467,FIYAT!$B:$O,8,FALSE()),"")</f>
        <v>118440</v>
      </c>
      <c r="H1467" s="9">
        <f t="shared" si="174"/>
        <v>355320</v>
      </c>
      <c r="I1467" s="6">
        <v>3</v>
      </c>
      <c r="J1467" s="9" t="str">
        <f>IFERROR(VLOOKUP($D1467,FIYAT!$B:$O,9,FALSE()),"")</f>
        <v>Шт.</v>
      </c>
      <c r="K1467" s="9" t="str">
        <f>IFERROR(VLOOKUP($D1467,FIYAT!$B:$O,4,FALSE()),"")</f>
        <v>KAZTEK</v>
      </c>
      <c r="L1467" s="9">
        <f t="shared" si="175"/>
        <v>355320</v>
      </c>
      <c r="M1467" s="9"/>
      <c r="N1467" s="9"/>
      <c r="O1467" s="9"/>
      <c r="P1467" s="9" t="str">
        <f>IF($H1467="","FIYAT_YOK",IFERROR(VLOOKUP($D1467,FIYAT!$B:$P,15,FALSE()),""))</f>
        <v>VARSAYIM</v>
      </c>
      <c r="Q1467" s="9" t="s">
        <v>258</v>
      </c>
      <c r="R1467" s="9" t="s">
        <v>211</v>
      </c>
      <c r="S1467" s="9" t="s">
        <v>725</v>
      </c>
      <c r="T1467" s="9" t="s">
        <v>107</v>
      </c>
      <c r="U1467" s="9">
        <f>IFERROR(VLOOKUP($T1467,KURALLAR!$A$32:$B$63,2,FALSE()),0)*IF(ISNUMBER($I1467),$I1467,0)</f>
        <v>270</v>
      </c>
    </row>
    <row r="1468" spans="1:21" x14ac:dyDescent="0.25">
      <c r="A1468" s="5">
        <v>1467</v>
      </c>
      <c r="B1468" s="5"/>
      <c r="C1468" s="5" t="s">
        <v>215</v>
      </c>
      <c r="D1468" s="5" t="s">
        <v>213</v>
      </c>
      <c r="E1468" s="5" t="str">
        <f>IFERROR(VLOOKUP($D1468,FIYAT!$B:$O,2,FALSE()),"")</f>
        <v>Монтажный расходный материал (кабель, DIN-рейка, кабель-канал, клеммы, маркировка, крепёж)</v>
      </c>
      <c r="F1468" s="5">
        <f>IFERROR(VLOOKUP($D1468,FIYAT!$B:$O,5,FALSE()),"")</f>
        <v>0</v>
      </c>
      <c r="G1468" s="5" t="str">
        <f>IFERROR(VLOOKUP($D1468,FIYAT!$B:$O,8,FALSE()),"")</f>
        <v/>
      </c>
      <c r="H1468" s="5">
        <f>ROUND(SUM($H$1446:$H$1467)*KURALLAR!$B$28,0)</f>
        <v>177860</v>
      </c>
      <c r="I1468" s="6">
        <v>1</v>
      </c>
      <c r="J1468" s="5" t="str">
        <f>IFERROR(VLOOKUP($D1468,FIYAT!$B:$O,9,FALSE()),"")</f>
        <v>компл.</v>
      </c>
      <c r="K1468" s="5" t="str">
        <f>IFERROR(VLOOKUP($D1468,FIYAT!$B:$O,4,FALSE()),"")</f>
        <v>MUADIL-NET</v>
      </c>
      <c r="L1468" s="5">
        <f t="shared" si="175"/>
        <v>177860</v>
      </c>
      <c r="M1468" s="5"/>
      <c r="N1468" s="5"/>
      <c r="O1468" s="5"/>
      <c r="P1468" s="5" t="str">
        <f>IF($H1468="","FIYAT_YOK",IFERROR(VLOOKUP($D1468,FIYAT!$B:$P,15,FALSE()),""))</f>
        <v>ORAN</v>
      </c>
      <c r="Q1468" s="5" t="s">
        <v>218</v>
      </c>
      <c r="R1468" s="5" t="s">
        <v>217</v>
      </c>
      <c r="S1468" s="5" t="s">
        <v>725</v>
      </c>
      <c r="T1468" s="5"/>
      <c r="U1468" s="5">
        <v>0</v>
      </c>
    </row>
    <row r="1469" spans="1:21" x14ac:dyDescent="0.25">
      <c r="A1469" s="9">
        <v>1468</v>
      </c>
      <c r="B1469" s="9"/>
      <c r="C1469" s="9" t="s">
        <v>227</v>
      </c>
      <c r="D1469" s="9" t="s">
        <v>225</v>
      </c>
      <c r="E1469" s="9" t="str">
        <f>IFERROR(VLOOKUP($D1469,FIYAT!$B:$O,2,FALSE()),"")</f>
        <v>Сборка, кабелирование, маркировка, момент затяжки, испытания</v>
      </c>
      <c r="F1469" s="9">
        <f>IFERROR(VLOOKUP($D1469,FIYAT!$B:$O,5,FALSE()),"")</f>
        <v>100</v>
      </c>
      <c r="G1469" s="9">
        <f>IFERROR(VLOOKUP($D1469,FIYAT!$B:$O,8,FALSE()),"")</f>
        <v>100</v>
      </c>
      <c r="H1469" s="9">
        <f>IF(OR($G1469="",$I1469=""),"",$G1469*$I1469)</f>
        <v>251300</v>
      </c>
      <c r="I1469" s="6">
        <f>ROUND(SUM($U$1446:$U$1468)*KURALLAR!$B$27,0)</f>
        <v>2513</v>
      </c>
      <c r="J1469" s="9" t="str">
        <f>IFERROR(VLOOKUP($D1469,FIYAT!$B:$O,9,FALSE()),"")</f>
        <v>мин</v>
      </c>
      <c r="K1469" s="9" t="str">
        <f>IFERROR(VLOOKUP($D1469,FIYAT!$B:$O,4,FALSE()),"")</f>
        <v>ISCILIK</v>
      </c>
      <c r="L1469" s="9">
        <f t="shared" si="175"/>
        <v>251300</v>
      </c>
      <c r="M1469" s="9"/>
      <c r="N1469" s="9"/>
      <c r="O1469" s="9"/>
      <c r="P1469" s="9" t="str">
        <f>IF($H1469="","FIYAT_YOK",IFERROR(VLOOKUP($D1469,FIYAT!$B:$P,15,FALSE()),""))</f>
        <v>OK</v>
      </c>
      <c r="Q1469" s="9" t="str">
        <f>CONCATENATE("montaj+test iscilik: ",TEXT($I1469,"# ##0")," dk = ",TEXT($I1469/60,"0,00")," saat (norm x test/etiket carpani)")</f>
        <v>montaj+test iscilik: 2 513 dk = 41,88 saat (norm x test/etiket carpani)</v>
      </c>
      <c r="R1469" s="9" t="s">
        <v>229</v>
      </c>
      <c r="S1469" s="9" t="s">
        <v>725</v>
      </c>
      <c r="T1469" s="9"/>
      <c r="U1469" s="9">
        <v>0</v>
      </c>
    </row>
    <row r="1470" spans="1:21" x14ac:dyDescent="0.25">
      <c r="A1470" s="10">
        <v>1469</v>
      </c>
      <c r="B1470" s="10" t="s">
        <v>728</v>
      </c>
      <c r="C1470" s="10"/>
      <c r="D1470" s="10"/>
      <c r="E1470" s="10"/>
      <c r="F1470" s="10"/>
      <c r="G1470" s="10"/>
      <c r="H1470" s="10">
        <f>SUBTOTAL(9,H1446:H1469)</f>
        <v>2970013</v>
      </c>
      <c r="I1470" s="10"/>
      <c r="J1470" s="10"/>
      <c r="K1470" s="10"/>
      <c r="L1470" s="10">
        <f>SUBTOTAL(9,L1446:L1469)</f>
        <v>2970013</v>
      </c>
      <c r="M1470" s="10"/>
      <c r="N1470" s="10"/>
      <c r="O1470" s="10"/>
      <c r="P1470" s="10"/>
      <c r="Q1470" s="10"/>
      <c r="R1470" s="10"/>
      <c r="S1470" s="10"/>
      <c r="T1470" s="10"/>
      <c r="U1470" s="10">
        <f>SUBTOTAL(9,U1446:U1469)</f>
        <v>2185</v>
      </c>
    </row>
    <row r="1471" spans="1:21" x14ac:dyDescent="0.25">
      <c r="A1471" s="8">
        <v>1470</v>
      </c>
      <c r="B1471" s="8" t="str">
        <f>E1471</f>
        <v>LPS / УКМ58-0,4-600-25 У3 - Панель компенсации Комп-2 — НКУ 380/220В 50Гц, FORM 2B, IP31/54</v>
      </c>
      <c r="C1471" s="8" t="s">
        <v>545</v>
      </c>
      <c r="D1471" s="8"/>
      <c r="E1471" s="8" t="s">
        <v>729</v>
      </c>
      <c r="F1471" s="8"/>
      <c r="G1471" s="8"/>
      <c r="H1471" s="8"/>
      <c r="I1471" s="8">
        <v>1</v>
      </c>
      <c r="J1471" s="8" t="s">
        <v>547</v>
      </c>
      <c r="K1471" s="8"/>
      <c r="L1471" s="8"/>
      <c r="M1471" s="8"/>
      <c r="N1471" s="8"/>
      <c r="O1471" s="8"/>
      <c r="P1471" s="8" t="s">
        <v>178</v>
      </c>
      <c r="Q1471" s="8" t="s">
        <v>548</v>
      </c>
      <c r="R1471" s="8" t="s">
        <v>549</v>
      </c>
      <c r="S1471" s="8" t="s">
        <v>725</v>
      </c>
      <c r="T1471" s="8"/>
      <c r="U1471" s="8"/>
    </row>
    <row r="1472" spans="1:21" x14ac:dyDescent="0.25">
      <c r="A1472" s="5">
        <v>1471</v>
      </c>
      <c r="B1472" s="5"/>
      <c r="C1472" s="5" t="s">
        <v>169</v>
      </c>
      <c r="D1472" s="5" t="s">
        <v>461</v>
      </c>
      <c r="E1472" s="5" t="str">
        <f>IFERROR(VLOOKUP($D1472,FIYAT!$B:$O,2,FALSE()),"")</f>
        <v>Авт. выкл. NM8N-1600S EN 3P 1250А 50кА с электронным расцепителем (R)</v>
      </c>
      <c r="F1472" s="5">
        <f>IFERROR(VLOOKUP($D1472,FIYAT!$B:$O,5,FALSE()),"")</f>
        <v>693323</v>
      </c>
      <c r="G1472" s="5">
        <f>IFERROR(VLOOKUP($D1472,FIYAT!$B:$O,8,FALSE()),"")</f>
        <v>415993.8</v>
      </c>
      <c r="H1472" s="5">
        <f t="shared" ref="H1472:H1493" si="176">IF(OR($G1472="",$I1472=""),"",$G1472*$I1472)</f>
        <v>415993.8</v>
      </c>
      <c r="I1472" s="6">
        <v>1</v>
      </c>
      <c r="J1472" s="5" t="str">
        <f>IFERROR(VLOOKUP($D1472,FIYAT!$B:$O,9,FALSE()),"")</f>
        <v>Шт.</v>
      </c>
      <c r="K1472" s="5" t="str">
        <f>IFERROR(VLOOKUP($D1472,FIYAT!$B:$O,4,FALSE()),"")</f>
        <v>CHINT</v>
      </c>
      <c r="L1472" s="5">
        <f t="shared" ref="L1472:L1495" si="177">IF($H1472="","",$H1472)</f>
        <v>415993.8</v>
      </c>
      <c r="M1472" s="5"/>
      <c r="N1472" s="5"/>
      <c r="O1472" s="5"/>
      <c r="P1472" s="5" t="str">
        <f>IF($H1472="","FIYAT_YOK",IFERROR(VLOOKUP($D1472,FIYAT!$B:$P,15,FALSE()),""))</f>
        <v>MUADIL</v>
      </c>
      <c r="Q1472" s="5" t="s">
        <v>463</v>
      </c>
      <c r="R1472" s="5" t="s">
        <v>184</v>
      </c>
      <c r="S1472" s="5" t="s">
        <v>725</v>
      </c>
      <c r="T1472" s="5" t="s">
        <v>69</v>
      </c>
      <c r="U1472" s="5">
        <f>IFERROR(VLOOKUP($T1472,KURALLAR!$A$32:$B$63,2,FALSE()),0)*IF(ISNUMBER($I1472),$I1472,0)</f>
        <v>90</v>
      </c>
    </row>
    <row r="1473" spans="1:21" x14ac:dyDescent="0.25">
      <c r="A1473" s="9">
        <v>1472</v>
      </c>
      <c r="B1473" s="9"/>
      <c r="C1473" s="9" t="s">
        <v>87</v>
      </c>
      <c r="D1473" s="9" t="s">
        <v>464</v>
      </c>
      <c r="E1473" s="9" t="str">
        <f>IFERROR(VLOOKUP($D1473,FIYAT!$B:$O,2,FALSE()),"")</f>
        <v>Регулятор реактивной мощности NWK1-12 с 12-тью контурами RS 485</v>
      </c>
      <c r="F1473" s="9">
        <f>IFERROR(VLOOKUP($D1473,FIYAT!$B:$O,5,FALSE()),"")</f>
        <v>154530</v>
      </c>
      <c r="G1473" s="9">
        <f>IFERROR(VLOOKUP($D1473,FIYAT!$B:$O,8,FALSE()),"")</f>
        <v>92718</v>
      </c>
      <c r="H1473" s="9">
        <f t="shared" si="176"/>
        <v>92718</v>
      </c>
      <c r="I1473" s="6">
        <v>1</v>
      </c>
      <c r="J1473" s="9" t="str">
        <f>IFERROR(VLOOKUP($D1473,FIYAT!$B:$O,9,FALSE()),"")</f>
        <v>Шт.</v>
      </c>
      <c r="K1473" s="9" t="str">
        <f>IFERROR(VLOOKUP($D1473,FIYAT!$B:$O,4,FALSE()),"")</f>
        <v>CHINT</v>
      </c>
      <c r="L1473" s="9">
        <f t="shared" si="177"/>
        <v>92718</v>
      </c>
      <c r="M1473" s="9"/>
      <c r="N1473" s="9"/>
      <c r="O1473" s="9"/>
      <c r="P1473" s="9" t="str">
        <f>IF($H1473="","FIYAT_YOK",IFERROR(VLOOKUP($D1473,FIYAT!$B:$P,15,FALSE()),""))</f>
        <v>MUADIL</v>
      </c>
      <c r="Q1473" s="9" t="s">
        <v>466</v>
      </c>
      <c r="R1473" s="9" t="s">
        <v>171</v>
      </c>
      <c r="S1473" s="9" t="s">
        <v>725</v>
      </c>
      <c r="T1473" s="9" t="s">
        <v>87</v>
      </c>
      <c r="U1473" s="9">
        <f>IFERROR(VLOOKUP($T1473,KURALLAR!$A$32:$B$63,2,FALSE()),0)*IF(ISNUMBER($I1473),$I1473,0)</f>
        <v>8</v>
      </c>
    </row>
    <row r="1474" spans="1:21" x14ac:dyDescent="0.25">
      <c r="A1474" s="5">
        <v>1473</v>
      </c>
      <c r="B1474" s="5"/>
      <c r="C1474" s="5" t="s">
        <v>192</v>
      </c>
      <c r="D1474" s="5" t="s">
        <v>238</v>
      </c>
      <c r="E1474" s="5" t="str">
        <f>IFERROR(VLOOKUP($D1474,FIYAT!$B:$O,2,FALSE()),"")</f>
        <v>Авт. выкл. NXB-63 1P 6A 6кА х-ка C (R)</v>
      </c>
      <c r="F1474" s="5">
        <f>IFERROR(VLOOKUP($D1474,FIYAT!$B:$O,5,FALSE()),"")</f>
        <v>1436</v>
      </c>
      <c r="G1474" s="5">
        <f>IFERROR(VLOOKUP($D1474,FIYAT!$B:$O,8,FALSE()),"")</f>
        <v>861.6</v>
      </c>
      <c r="H1474" s="5">
        <f t="shared" si="176"/>
        <v>4308</v>
      </c>
      <c r="I1474" s="6">
        <v>5</v>
      </c>
      <c r="J1474" s="5" t="str">
        <f>IFERROR(VLOOKUP($D1474,FIYAT!$B:$O,9,FALSE()),"")</f>
        <v>Шт.</v>
      </c>
      <c r="K1474" s="5" t="str">
        <f>IFERROR(VLOOKUP($D1474,FIYAT!$B:$O,4,FALSE()),"")</f>
        <v>CHINT</v>
      </c>
      <c r="L1474" s="5">
        <f t="shared" si="177"/>
        <v>4308</v>
      </c>
      <c r="M1474" s="5"/>
      <c r="N1474" s="5"/>
      <c r="O1474" s="5"/>
      <c r="P1474" s="5" t="str">
        <f>IF($H1474="","FIYAT_YOK",IFERROR(VLOOKUP($D1474,FIYAT!$B:$P,15,FALSE()),""))</f>
        <v>OK</v>
      </c>
      <c r="Q1474" s="5" t="s">
        <v>240</v>
      </c>
      <c r="R1474" s="5" t="s">
        <v>171</v>
      </c>
      <c r="S1474" s="5" t="s">
        <v>725</v>
      </c>
      <c r="T1474" s="5" t="s">
        <v>47</v>
      </c>
      <c r="U1474" s="5">
        <f>IFERROR(VLOOKUP($T1474,KURALLAR!$A$32:$B$63,2,FALSE()),0)*IF(ISNUMBER($I1474),$I1474,0)</f>
        <v>15</v>
      </c>
    </row>
    <row r="1475" spans="1:21" x14ac:dyDescent="0.25">
      <c r="A1475" s="9">
        <v>1474</v>
      </c>
      <c r="B1475" s="9"/>
      <c r="C1475" s="9" t="s">
        <v>99</v>
      </c>
      <c r="D1475" s="9" t="s">
        <v>467</v>
      </c>
      <c r="E1475" s="9" t="str">
        <f>IFERROR(VLOOKUP($D1475,FIYAT!$B:$O,2,FALSE()),"")</f>
        <v>Schneider Fupact ISFT160 — предохранитель-выключатель 160A NH00 3P</v>
      </c>
      <c r="F1475" s="9">
        <f>IFERROR(VLOOKUP($D1475,FIYAT!$B:$O,5,FALSE()),"")</f>
        <v>0</v>
      </c>
      <c r="G1475" s="9" t="str">
        <f>IFERROR(VLOOKUP($D1475,FIYAT!$B:$O,8,FALSE()),"")</f>
        <v/>
      </c>
      <c r="H1475" s="9" t="str">
        <f t="shared" si="176"/>
        <v/>
      </c>
      <c r="I1475" s="6">
        <v>17</v>
      </c>
      <c r="J1475" s="9" t="str">
        <f>IFERROR(VLOOKUP($D1475,FIYAT!$B:$O,9,FALSE()),"")</f>
        <v>Шт.</v>
      </c>
      <c r="K1475" s="9" t="str">
        <f>IFERROR(VLOOKUP($D1475,FIYAT!$B:$O,4,FALSE()),"")</f>
        <v>SCHNEIDER</v>
      </c>
      <c r="L1475" s="9" t="str">
        <f t="shared" si="177"/>
        <v/>
      </c>
      <c r="M1475" s="9"/>
      <c r="N1475" s="9"/>
      <c r="O1475" s="9"/>
      <c r="P1475" s="7" t="str">
        <f>IF($H1475="","FIYAT_YOK",IFERROR(VLOOKUP($D1475,FIYAT!$B:$P,15,FALSE()),""))</f>
        <v>FIYAT_YOK</v>
      </c>
      <c r="Q1475" s="7" t="s">
        <v>469</v>
      </c>
      <c r="R1475" s="9"/>
      <c r="S1475" s="9" t="s">
        <v>725</v>
      </c>
      <c r="T1475" s="9" t="s">
        <v>99</v>
      </c>
      <c r="U1475" s="9">
        <f>IFERROR(VLOOKUP($T1475,KURALLAR!$A$32:$B$63,2,FALSE()),0)*IF(ISNUMBER($I1475),$I1475,0)</f>
        <v>340</v>
      </c>
    </row>
    <row r="1476" spans="1:21" x14ac:dyDescent="0.25">
      <c r="A1476" s="5">
        <v>1475</v>
      </c>
      <c r="B1476" s="5"/>
      <c r="C1476" s="5" t="s">
        <v>79</v>
      </c>
      <c r="D1476" s="5" t="s">
        <v>182</v>
      </c>
      <c r="E1476" s="5" t="str">
        <f>IFERROR(VLOOKUP($D1476,FIYAT!$B:$O,2,FALSE()),"")</f>
        <v>Плавкая вставка предохранителя RT36-00-160, габарит 00, 63А</v>
      </c>
      <c r="F1476" s="5">
        <f>IFERROR(VLOOKUP($D1476,FIYAT!$B:$O,5,FALSE()),"")</f>
        <v>1525</v>
      </c>
      <c r="G1476" s="5">
        <f>IFERROR(VLOOKUP($D1476,FIYAT!$B:$O,8,FALSE()),"")</f>
        <v>915</v>
      </c>
      <c r="H1476" s="5">
        <f t="shared" si="176"/>
        <v>10980</v>
      </c>
      <c r="I1476" s="6">
        <v>12</v>
      </c>
      <c r="J1476" s="5" t="str">
        <f>IFERROR(VLOOKUP($D1476,FIYAT!$B:$O,9,FALSE()),"")</f>
        <v>Шт.</v>
      </c>
      <c r="K1476" s="5" t="str">
        <f>IFERROR(VLOOKUP($D1476,FIYAT!$B:$O,4,FALSE()),"")</f>
        <v>CHINT</v>
      </c>
      <c r="L1476" s="5">
        <f t="shared" si="177"/>
        <v>10980</v>
      </c>
      <c r="M1476" s="5"/>
      <c r="N1476" s="5"/>
      <c r="O1476" s="5"/>
      <c r="P1476" s="5" t="str">
        <f>IF($H1476="","FIYAT_YOK",IFERROR(VLOOKUP($D1476,FIYAT!$B:$P,15,FALSE()),""))</f>
        <v>MUADIL</v>
      </c>
      <c r="Q1476" s="5" t="s">
        <v>185</v>
      </c>
      <c r="R1476" s="5" t="s">
        <v>184</v>
      </c>
      <c r="S1476" s="5" t="s">
        <v>725</v>
      </c>
      <c r="T1476" s="5" t="s">
        <v>79</v>
      </c>
      <c r="U1476" s="5">
        <f>IFERROR(VLOOKUP($T1476,KURALLAR!$A$32:$B$63,2,FALSE()),0)*IF(ISNUMBER($I1476),$I1476,0)</f>
        <v>36</v>
      </c>
    </row>
    <row r="1477" spans="1:21" x14ac:dyDescent="0.25">
      <c r="A1477" s="9">
        <v>1476</v>
      </c>
      <c r="B1477" s="9"/>
      <c r="C1477" s="9" t="s">
        <v>79</v>
      </c>
      <c r="D1477" s="9" t="s">
        <v>470</v>
      </c>
      <c r="E1477" s="9" t="str">
        <f>IFERROR(VLOOKUP($D1477,FIYAT!$B:$O,2,FALSE()),"")</f>
        <v>Плавкая вставка предохранителя RT36-00-160, габарит 00, 80А</v>
      </c>
      <c r="F1477" s="9">
        <f>IFERROR(VLOOKUP($D1477,FIYAT!$B:$O,5,FALSE()),"")</f>
        <v>1525</v>
      </c>
      <c r="G1477" s="9">
        <f>IFERROR(VLOOKUP($D1477,FIYAT!$B:$O,8,FALSE()),"")</f>
        <v>915</v>
      </c>
      <c r="H1477" s="9">
        <f t="shared" si="176"/>
        <v>2745</v>
      </c>
      <c r="I1477" s="6">
        <v>3</v>
      </c>
      <c r="J1477" s="9" t="str">
        <f>IFERROR(VLOOKUP($D1477,FIYAT!$B:$O,9,FALSE()),"")</f>
        <v>Шт.</v>
      </c>
      <c r="K1477" s="9" t="str">
        <f>IFERROR(VLOOKUP($D1477,FIYAT!$B:$O,4,FALSE()),"")</f>
        <v>CHINT</v>
      </c>
      <c r="L1477" s="9">
        <f t="shared" si="177"/>
        <v>2745</v>
      </c>
      <c r="M1477" s="9"/>
      <c r="N1477" s="9"/>
      <c r="O1477" s="9"/>
      <c r="P1477" s="9" t="str">
        <f>IF($H1477="","FIYAT_YOK",IFERROR(VLOOKUP($D1477,FIYAT!$B:$P,15,FALSE()),""))</f>
        <v>OK</v>
      </c>
      <c r="Q1477" s="9" t="s">
        <v>472</v>
      </c>
      <c r="R1477" s="9" t="s">
        <v>184</v>
      </c>
      <c r="S1477" s="9" t="s">
        <v>725</v>
      </c>
      <c r="T1477" s="9" t="s">
        <v>79</v>
      </c>
      <c r="U1477" s="9">
        <f>IFERROR(VLOOKUP($T1477,KURALLAR!$A$32:$B$63,2,FALSE()),0)*IF(ISNUMBER($I1477),$I1477,0)</f>
        <v>9</v>
      </c>
    </row>
    <row r="1478" spans="1:21" x14ac:dyDescent="0.25">
      <c r="A1478" s="5">
        <v>1477</v>
      </c>
      <c r="B1478" s="5"/>
      <c r="C1478" s="5" t="s">
        <v>79</v>
      </c>
      <c r="D1478" s="5" t="s">
        <v>473</v>
      </c>
      <c r="E1478" s="5" t="str">
        <f>IFERROR(VLOOKUP($D1478,FIYAT!$B:$O,2,FALSE()),"")</f>
        <v>Плавкая вставка предохранителя RT36-00-160, габарит 00, 100А</v>
      </c>
      <c r="F1478" s="5">
        <f>IFERROR(VLOOKUP($D1478,FIYAT!$B:$O,5,FALSE()),"")</f>
        <v>1545</v>
      </c>
      <c r="G1478" s="5">
        <f>IFERROR(VLOOKUP($D1478,FIYAT!$B:$O,8,FALSE()),"")</f>
        <v>927</v>
      </c>
      <c r="H1478" s="5">
        <f t="shared" si="176"/>
        <v>33372</v>
      </c>
      <c r="I1478" s="6">
        <v>36</v>
      </c>
      <c r="J1478" s="5" t="str">
        <f>IFERROR(VLOOKUP($D1478,FIYAT!$B:$O,9,FALSE()),"")</f>
        <v>Шт.</v>
      </c>
      <c r="K1478" s="5" t="str">
        <f>IFERROR(VLOOKUP($D1478,FIYAT!$B:$O,4,FALSE()),"")</f>
        <v>CHINT</v>
      </c>
      <c r="L1478" s="5">
        <f t="shared" si="177"/>
        <v>33372</v>
      </c>
      <c r="M1478" s="5"/>
      <c r="N1478" s="5"/>
      <c r="O1478" s="5"/>
      <c r="P1478" s="5" t="str">
        <f>IF($H1478="","FIYAT_YOK",IFERROR(VLOOKUP($D1478,FIYAT!$B:$P,15,FALSE()),""))</f>
        <v>OK</v>
      </c>
      <c r="Q1478" s="5" t="s">
        <v>475</v>
      </c>
      <c r="R1478" s="5" t="s">
        <v>171</v>
      </c>
      <c r="S1478" s="5" t="s">
        <v>725</v>
      </c>
      <c r="T1478" s="5" t="s">
        <v>79</v>
      </c>
      <c r="U1478" s="5">
        <f>IFERROR(VLOOKUP($T1478,KURALLAR!$A$32:$B$63,2,FALSE()),0)*IF(ISNUMBER($I1478),$I1478,0)</f>
        <v>108</v>
      </c>
    </row>
    <row r="1479" spans="1:21" x14ac:dyDescent="0.25">
      <c r="A1479" s="9">
        <v>1478</v>
      </c>
      <c r="B1479" s="9"/>
      <c r="C1479" s="9" t="s">
        <v>109</v>
      </c>
      <c r="D1479" s="9" t="s">
        <v>476</v>
      </c>
      <c r="E1479" s="9" t="str">
        <f>IFERROR(VLOOKUP($D1479,FIYAT!$B:$O,2,FALSE()),"")</f>
        <v>Трехфазный конденсатор NWC6-0.45-20-3, АС450В, 20кВАр</v>
      </c>
      <c r="F1479" s="9">
        <f>IFERROR(VLOOKUP($D1479,FIYAT!$B:$O,5,FALSE()),"")</f>
        <v>36423</v>
      </c>
      <c r="G1479" s="9">
        <f>IFERROR(VLOOKUP($D1479,FIYAT!$B:$O,8,FALSE()),"")</f>
        <v>21853.8</v>
      </c>
      <c r="H1479" s="9">
        <f t="shared" si="176"/>
        <v>87415.2</v>
      </c>
      <c r="I1479" s="6">
        <v>4</v>
      </c>
      <c r="J1479" s="9" t="str">
        <f>IFERROR(VLOOKUP($D1479,FIYAT!$B:$O,9,FALSE()),"")</f>
        <v>Шт.</v>
      </c>
      <c r="K1479" s="9" t="str">
        <f>IFERROR(VLOOKUP($D1479,FIYAT!$B:$O,4,FALSE()),"")</f>
        <v>CHINT</v>
      </c>
      <c r="L1479" s="9">
        <f t="shared" si="177"/>
        <v>87415.2</v>
      </c>
      <c r="M1479" s="9"/>
      <c r="N1479" s="9"/>
      <c r="O1479" s="9"/>
      <c r="P1479" s="9" t="str">
        <f>IF($H1479="","FIYAT_YOK",IFERROR(VLOOKUP($D1479,FIYAT!$B:$P,15,FALSE()),""))</f>
        <v>OK</v>
      </c>
      <c r="Q1479" s="9" t="s">
        <v>478</v>
      </c>
      <c r="R1479" s="9" t="s">
        <v>171</v>
      </c>
      <c r="S1479" s="9" t="s">
        <v>725</v>
      </c>
      <c r="T1479" s="9" t="s">
        <v>109</v>
      </c>
      <c r="U1479" s="9">
        <f>IFERROR(VLOOKUP($T1479,KURALLAR!$A$32:$B$63,2,FALSE()),0)*IF(ISNUMBER($I1479),$I1479,0)</f>
        <v>80</v>
      </c>
    </row>
    <row r="1480" spans="1:21" x14ac:dyDescent="0.25">
      <c r="A1480" s="5">
        <v>1479</v>
      </c>
      <c r="B1480" s="5"/>
      <c r="C1480" s="5" t="s">
        <v>109</v>
      </c>
      <c r="D1480" s="5" t="s">
        <v>479</v>
      </c>
      <c r="E1480" s="5" t="str">
        <f>IFERROR(VLOOKUP($D1480,FIYAT!$B:$O,2,FALSE()),"")</f>
        <v>Трехфазный конденсатор NWC6-0.45-25-3, АС450В, 25кВАр</v>
      </c>
      <c r="F1480" s="5">
        <f>IFERROR(VLOOKUP($D1480,FIYAT!$B:$O,5,FALSE()),"")</f>
        <v>41988</v>
      </c>
      <c r="G1480" s="5">
        <f>IFERROR(VLOOKUP($D1480,FIYAT!$B:$O,8,FALSE()),"")</f>
        <v>25192.799999999999</v>
      </c>
      <c r="H1480" s="5">
        <f t="shared" si="176"/>
        <v>50385.599999999999</v>
      </c>
      <c r="I1480" s="6">
        <v>2</v>
      </c>
      <c r="J1480" s="5" t="str">
        <f>IFERROR(VLOOKUP($D1480,FIYAT!$B:$O,9,FALSE()),"")</f>
        <v>Шт.</v>
      </c>
      <c r="K1480" s="5" t="str">
        <f>IFERROR(VLOOKUP($D1480,FIYAT!$B:$O,4,FALSE()),"")</f>
        <v>CHINT</v>
      </c>
      <c r="L1480" s="5">
        <f t="shared" si="177"/>
        <v>50385.599999999999</v>
      </c>
      <c r="M1480" s="5"/>
      <c r="N1480" s="5"/>
      <c r="O1480" s="5"/>
      <c r="P1480" s="5" t="str">
        <f>IF($H1480="","FIYAT_YOK",IFERROR(VLOOKUP($D1480,FIYAT!$B:$P,15,FALSE()),""))</f>
        <v>OK</v>
      </c>
      <c r="Q1480" s="5" t="s">
        <v>481</v>
      </c>
      <c r="R1480" s="5" t="s">
        <v>184</v>
      </c>
      <c r="S1480" s="5" t="s">
        <v>725</v>
      </c>
      <c r="T1480" s="5" t="s">
        <v>109</v>
      </c>
      <c r="U1480" s="5">
        <f>IFERROR(VLOOKUP($T1480,KURALLAR!$A$32:$B$63,2,FALSE()),0)*IF(ISNUMBER($I1480),$I1480,0)</f>
        <v>40</v>
      </c>
    </row>
    <row r="1481" spans="1:21" x14ac:dyDescent="0.25">
      <c r="A1481" s="9">
        <v>1480</v>
      </c>
      <c r="B1481" s="9"/>
      <c r="C1481" s="9" t="s">
        <v>109</v>
      </c>
      <c r="D1481" s="9" t="s">
        <v>482</v>
      </c>
      <c r="E1481" s="9" t="str">
        <f>IFERROR(VLOOKUP($D1481,FIYAT!$B:$O,2,FALSE()),"")</f>
        <v>Трехфазный конденсатор BZMJ 0.4-50-3 АС400В, 50 кВАр</v>
      </c>
      <c r="F1481" s="9">
        <f>IFERROR(VLOOKUP($D1481,FIYAT!$B:$O,5,FALSE()),"")</f>
        <v>97193</v>
      </c>
      <c r="G1481" s="9">
        <f>IFERROR(VLOOKUP($D1481,FIYAT!$B:$O,8,FALSE()),"")</f>
        <v>58315.799999999996</v>
      </c>
      <c r="H1481" s="9">
        <f t="shared" si="176"/>
        <v>699789.6</v>
      </c>
      <c r="I1481" s="6">
        <v>12</v>
      </c>
      <c r="J1481" s="9" t="str">
        <f>IFERROR(VLOOKUP($D1481,FIYAT!$B:$O,9,FALSE()),"")</f>
        <v>Шт.</v>
      </c>
      <c r="K1481" s="9" t="str">
        <f>IFERROR(VLOOKUP($D1481,FIYAT!$B:$O,4,FALSE()),"")</f>
        <v>CHINT</v>
      </c>
      <c r="L1481" s="9">
        <f t="shared" si="177"/>
        <v>699789.6</v>
      </c>
      <c r="M1481" s="9"/>
      <c r="N1481" s="9"/>
      <c r="O1481" s="9"/>
      <c r="P1481" s="9" t="str">
        <f>IF($H1481="","FIYAT_YOK",IFERROR(VLOOKUP($D1481,FIYAT!$B:$P,15,FALSE()),""))</f>
        <v>MUADIL_ONAY</v>
      </c>
      <c r="Q1481" s="9" t="s">
        <v>484</v>
      </c>
      <c r="R1481" s="9" t="s">
        <v>184</v>
      </c>
      <c r="S1481" s="9" t="s">
        <v>725</v>
      </c>
      <c r="T1481" s="9" t="s">
        <v>109</v>
      </c>
      <c r="U1481" s="9">
        <f>IFERROR(VLOOKUP($T1481,KURALLAR!$A$32:$B$63,2,FALSE()),0)*IF(ISNUMBER($I1481),$I1481,0)</f>
        <v>240</v>
      </c>
    </row>
    <row r="1482" spans="1:21" x14ac:dyDescent="0.25">
      <c r="A1482" s="5">
        <v>1481</v>
      </c>
      <c r="B1482" s="5"/>
      <c r="C1482" s="5" t="s">
        <v>85</v>
      </c>
      <c r="D1482" s="5" t="s">
        <v>485</v>
      </c>
      <c r="E1482" s="5" t="str">
        <f>IFERROR(VLOOKUP($D1482,FIYAT!$B:$O,2,FALSE()),"")</f>
        <v>Контактор для компенсации реактивной мощности CJ19-6312, 30кВАр, 1НО+2НЗ, 230В (R)</v>
      </c>
      <c r="F1482" s="5">
        <f>IFERROR(VLOOKUP($D1482,FIYAT!$B:$O,5,FALSE()),"")</f>
        <v>28104</v>
      </c>
      <c r="G1482" s="5">
        <f>IFERROR(VLOOKUP($D1482,FIYAT!$B:$O,8,FALSE()),"")</f>
        <v>16862.399999999998</v>
      </c>
      <c r="H1482" s="5">
        <f t="shared" si="176"/>
        <v>67449.599999999991</v>
      </c>
      <c r="I1482" s="6">
        <v>4</v>
      </c>
      <c r="J1482" s="5" t="str">
        <f>IFERROR(VLOOKUP($D1482,FIYAT!$B:$O,9,FALSE()),"")</f>
        <v>Шт.</v>
      </c>
      <c r="K1482" s="5" t="str">
        <f>IFERROR(VLOOKUP($D1482,FIYAT!$B:$O,4,FALSE()),"")</f>
        <v>CHINT</v>
      </c>
      <c r="L1482" s="5">
        <f t="shared" si="177"/>
        <v>67449.599999999991</v>
      </c>
      <c r="M1482" s="5"/>
      <c r="N1482" s="5"/>
      <c r="O1482" s="5"/>
      <c r="P1482" s="5" t="str">
        <f>IF($H1482="","FIYAT_YOK",IFERROR(VLOOKUP($D1482,FIYAT!$B:$P,15,FALSE()),""))</f>
        <v>MUADIL_ONAY</v>
      </c>
      <c r="Q1482" s="5" t="s">
        <v>487</v>
      </c>
      <c r="R1482" s="5" t="s">
        <v>184</v>
      </c>
      <c r="S1482" s="5" t="s">
        <v>725</v>
      </c>
      <c r="T1482" s="5" t="s">
        <v>85</v>
      </c>
      <c r="U1482" s="5">
        <f>IFERROR(VLOOKUP($T1482,KURALLAR!$A$32:$B$63,2,FALSE()),0)*IF(ISNUMBER($I1482),$I1482,0)</f>
        <v>40</v>
      </c>
    </row>
    <row r="1483" spans="1:21" x14ac:dyDescent="0.25">
      <c r="A1483" s="9">
        <v>1482</v>
      </c>
      <c r="B1483" s="9"/>
      <c r="C1483" s="9" t="s">
        <v>85</v>
      </c>
      <c r="D1483" s="9" t="s">
        <v>488</v>
      </c>
      <c r="E1483" s="9" t="str">
        <f>IFERROR(VLOOKUP($D1483,FIYAT!$B:$O,2,FALSE()),"")</f>
        <v>Контактор для компенсации реактивной мощности CJ19-9512, 50кВАр, 1НО+2НЗ, 400В (R)</v>
      </c>
      <c r="F1483" s="9">
        <f>IFERROR(VLOOKUP($D1483,FIYAT!$B:$O,5,FALSE()),"")</f>
        <v>52132</v>
      </c>
      <c r="G1483" s="9">
        <f>IFERROR(VLOOKUP($D1483,FIYAT!$B:$O,8,FALSE()),"")</f>
        <v>31279.199999999997</v>
      </c>
      <c r="H1483" s="9">
        <f t="shared" si="176"/>
        <v>437908.79999999993</v>
      </c>
      <c r="I1483" s="6">
        <v>14</v>
      </c>
      <c r="J1483" s="9" t="str">
        <f>IFERROR(VLOOKUP($D1483,FIYAT!$B:$O,9,FALSE()),"")</f>
        <v>Шт.</v>
      </c>
      <c r="K1483" s="9" t="str">
        <f>IFERROR(VLOOKUP($D1483,FIYAT!$B:$O,4,FALSE()),"")</f>
        <v>CHINT</v>
      </c>
      <c r="L1483" s="9">
        <f t="shared" si="177"/>
        <v>437908.79999999993</v>
      </c>
      <c r="M1483" s="9"/>
      <c r="N1483" s="9"/>
      <c r="O1483" s="9"/>
      <c r="P1483" s="9" t="str">
        <f>IF($H1483="","FIYAT_YOK",IFERROR(VLOOKUP($D1483,FIYAT!$B:$P,15,FALSE()),""))</f>
        <v>MUADIL_ONAY</v>
      </c>
      <c r="Q1483" s="9" t="s">
        <v>490</v>
      </c>
      <c r="R1483" s="9" t="s">
        <v>171</v>
      </c>
      <c r="S1483" s="9" t="s">
        <v>725</v>
      </c>
      <c r="T1483" s="9" t="s">
        <v>85</v>
      </c>
      <c r="U1483" s="9">
        <f>IFERROR(VLOOKUP($T1483,KURALLAR!$A$32:$B$63,2,FALSE()),0)*IF(ISNUMBER($I1483),$I1483,0)</f>
        <v>140</v>
      </c>
    </row>
    <row r="1484" spans="1:21" x14ac:dyDescent="0.25">
      <c r="A1484" s="5">
        <v>1483</v>
      </c>
      <c r="B1484" s="5"/>
      <c r="C1484" s="5" t="s">
        <v>87</v>
      </c>
      <c r="D1484" s="5" t="s">
        <v>491</v>
      </c>
      <c r="E1484" s="5" t="str">
        <f>IFERROR(VLOOKUP($D1484,FIYAT!$B:$O,2,FALSE()),"")</f>
        <v>Schneider — гармонический реактор 25 kvar 5,7% 400V</v>
      </c>
      <c r="F1484" s="5">
        <f>IFERROR(VLOOKUP($D1484,FIYAT!$B:$O,5,FALSE()),"")</f>
        <v>0</v>
      </c>
      <c r="G1484" s="5" t="str">
        <f>IFERROR(VLOOKUP($D1484,FIYAT!$B:$O,8,FALSE()),"")</f>
        <v/>
      </c>
      <c r="H1484" s="5" t="str">
        <f t="shared" si="176"/>
        <v/>
      </c>
      <c r="I1484" s="6">
        <v>4</v>
      </c>
      <c r="J1484" s="5" t="str">
        <f>IFERROR(VLOOKUP($D1484,FIYAT!$B:$O,9,FALSE()),"")</f>
        <v>Шт.</v>
      </c>
      <c r="K1484" s="5" t="str">
        <f>IFERROR(VLOOKUP($D1484,FIYAT!$B:$O,4,FALSE()),"")</f>
        <v>SCHNEIDER</v>
      </c>
      <c r="L1484" s="5" t="str">
        <f t="shared" si="177"/>
        <v/>
      </c>
      <c r="M1484" s="5"/>
      <c r="N1484" s="5"/>
      <c r="O1484" s="5"/>
      <c r="P1484" s="7" t="str">
        <f>IF($H1484="","FIYAT_YOK",IFERROR(VLOOKUP($D1484,FIYAT!$B:$P,15,FALSE()),""))</f>
        <v>FIYAT_YOK</v>
      </c>
      <c r="Q1484" s="7" t="s">
        <v>493</v>
      </c>
      <c r="R1484" s="5"/>
      <c r="S1484" s="5" t="s">
        <v>725</v>
      </c>
      <c r="T1484" s="5" t="s">
        <v>87</v>
      </c>
      <c r="U1484" s="5">
        <f>IFERROR(VLOOKUP($T1484,KURALLAR!$A$32:$B$63,2,FALSE()),0)*IF(ISNUMBER($I1484),$I1484,0)</f>
        <v>32</v>
      </c>
    </row>
    <row r="1485" spans="1:21" x14ac:dyDescent="0.25">
      <c r="A1485" s="9">
        <v>1484</v>
      </c>
      <c r="B1485" s="9"/>
      <c r="C1485" s="9" t="s">
        <v>87</v>
      </c>
      <c r="D1485" s="9" t="s">
        <v>494</v>
      </c>
      <c r="E1485" s="9" t="str">
        <f>IFERROR(VLOOKUP($D1485,FIYAT!$B:$O,2,FALSE()),"")</f>
        <v>Schneider — гармонический реактор 50 kvar 5,7% 400V</v>
      </c>
      <c r="F1485" s="9">
        <f>IFERROR(VLOOKUP($D1485,FIYAT!$B:$O,5,FALSE()),"")</f>
        <v>0</v>
      </c>
      <c r="G1485" s="9" t="str">
        <f>IFERROR(VLOOKUP($D1485,FIYAT!$B:$O,8,FALSE()),"")</f>
        <v/>
      </c>
      <c r="H1485" s="9" t="str">
        <f t="shared" si="176"/>
        <v/>
      </c>
      <c r="I1485" s="6">
        <v>13</v>
      </c>
      <c r="J1485" s="9" t="str">
        <f>IFERROR(VLOOKUP($D1485,FIYAT!$B:$O,9,FALSE()),"")</f>
        <v>Шт.</v>
      </c>
      <c r="K1485" s="9" t="str">
        <f>IFERROR(VLOOKUP($D1485,FIYAT!$B:$O,4,FALSE()),"")</f>
        <v>SCHNEIDER</v>
      </c>
      <c r="L1485" s="9" t="str">
        <f t="shared" si="177"/>
        <v/>
      </c>
      <c r="M1485" s="9"/>
      <c r="N1485" s="9"/>
      <c r="O1485" s="9"/>
      <c r="P1485" s="7" t="str">
        <f>IF($H1485="","FIYAT_YOK",IFERROR(VLOOKUP($D1485,FIYAT!$B:$P,15,FALSE()),""))</f>
        <v>FIYAT_YOK</v>
      </c>
      <c r="Q1485" s="7" t="s">
        <v>493</v>
      </c>
      <c r="R1485" s="9"/>
      <c r="S1485" s="9" t="s">
        <v>725</v>
      </c>
      <c r="T1485" s="9" t="s">
        <v>87</v>
      </c>
      <c r="U1485" s="9">
        <f>IFERROR(VLOOKUP($T1485,KURALLAR!$A$32:$B$63,2,FALSE()),0)*IF(ISNUMBER($I1485),$I1485,0)</f>
        <v>104</v>
      </c>
    </row>
    <row r="1486" spans="1:21" x14ac:dyDescent="0.25">
      <c r="A1486" s="5">
        <v>1485</v>
      </c>
      <c r="B1486" s="5"/>
      <c r="C1486" s="5" t="s">
        <v>93</v>
      </c>
      <c r="D1486" s="5" t="s">
        <v>419</v>
      </c>
      <c r="E1486" s="5" t="str">
        <f>IFERROR(VLOOKUP($D1486,FIYAT!$B:$O,2,FALSE()),"")</f>
        <v>Переключатель NP2-BD33, 3 положения с фиксацией, 2НО IP40</v>
      </c>
      <c r="F1486" s="5">
        <f>IFERROR(VLOOKUP($D1486,FIYAT!$B:$O,5,FALSE()),"")</f>
        <v>1836</v>
      </c>
      <c r="G1486" s="5">
        <f>IFERROR(VLOOKUP($D1486,FIYAT!$B:$O,8,FALSE()),"")</f>
        <v>1101.5999999999999</v>
      </c>
      <c r="H1486" s="5">
        <f t="shared" si="176"/>
        <v>14320.8</v>
      </c>
      <c r="I1486" s="6">
        <v>13</v>
      </c>
      <c r="J1486" s="5" t="str">
        <f>IFERROR(VLOOKUP($D1486,FIYAT!$B:$O,9,FALSE()),"")</f>
        <v>Шт.</v>
      </c>
      <c r="K1486" s="5" t="str">
        <f>IFERROR(VLOOKUP($D1486,FIYAT!$B:$O,4,FALSE()),"")</f>
        <v>CHINT</v>
      </c>
      <c r="L1486" s="5">
        <f t="shared" si="177"/>
        <v>14320.8</v>
      </c>
      <c r="M1486" s="5"/>
      <c r="N1486" s="5"/>
      <c r="O1486" s="5"/>
      <c r="P1486" s="5" t="str">
        <f>IF($H1486="","FIYAT_YOK",IFERROR(VLOOKUP($D1486,FIYAT!$B:$P,15,FALSE()),""))</f>
        <v>MUADIL</v>
      </c>
      <c r="Q1486" s="5" t="s">
        <v>421</v>
      </c>
      <c r="R1486" s="5" t="s">
        <v>184</v>
      </c>
      <c r="S1486" s="5" t="s">
        <v>725</v>
      </c>
      <c r="T1486" s="5" t="s">
        <v>91</v>
      </c>
      <c r="U1486" s="5">
        <f>IFERROR(VLOOKUP($T1486,KURALLAR!$A$32:$B$63,2,FALSE()),0)*IF(ISNUMBER($I1486),$I1486,0)</f>
        <v>65</v>
      </c>
    </row>
    <row r="1487" spans="1:21" x14ac:dyDescent="0.25">
      <c r="A1487" s="9">
        <v>1486</v>
      </c>
      <c r="B1487" s="9"/>
      <c r="C1487" s="9" t="s">
        <v>89</v>
      </c>
      <c r="D1487" s="9" t="s">
        <v>431</v>
      </c>
      <c r="E1487" s="9" t="str">
        <f>IFERROR(VLOOKUP($D1487,FIYAT!$B:$O,2,FALSE()),"")</f>
        <v>Индикатор ND16-22DS/4 красный АС230В (R)</v>
      </c>
      <c r="F1487" s="9">
        <f>IFERROR(VLOOKUP($D1487,FIYAT!$B:$O,5,FALSE()),"")</f>
        <v>836</v>
      </c>
      <c r="G1487" s="9">
        <f>IFERROR(VLOOKUP($D1487,FIYAT!$B:$O,8,FALSE()),"")</f>
        <v>501.59999999999997</v>
      </c>
      <c r="H1487" s="9">
        <f t="shared" si="176"/>
        <v>6019.2</v>
      </c>
      <c r="I1487" s="6">
        <v>12</v>
      </c>
      <c r="J1487" s="9" t="str">
        <f>IFERROR(VLOOKUP($D1487,FIYAT!$B:$O,9,FALSE()),"")</f>
        <v>Шт.</v>
      </c>
      <c r="K1487" s="9" t="str">
        <f>IFERROR(VLOOKUP($D1487,FIYAT!$B:$O,4,FALSE()),"")</f>
        <v>CHINT</v>
      </c>
      <c r="L1487" s="9">
        <f t="shared" si="177"/>
        <v>6019.2</v>
      </c>
      <c r="M1487" s="9"/>
      <c r="N1487" s="9"/>
      <c r="O1487" s="9"/>
      <c r="P1487" s="9" t="str">
        <f>IF($H1487="","FIYAT_YOK",IFERROR(VLOOKUP($D1487,FIYAT!$B:$P,15,FALSE()),""))</f>
        <v>OK</v>
      </c>
      <c r="Q1487" s="9" t="s">
        <v>433</v>
      </c>
      <c r="R1487" s="9" t="s">
        <v>184</v>
      </c>
      <c r="S1487" s="9" t="s">
        <v>725</v>
      </c>
      <c r="T1487" s="9" t="s">
        <v>89</v>
      </c>
      <c r="U1487" s="9">
        <f>IFERROR(VLOOKUP($T1487,KURALLAR!$A$32:$B$63,2,FALSE()),0)*IF(ISNUMBER($I1487),$I1487,0)</f>
        <v>48</v>
      </c>
    </row>
    <row r="1488" spans="1:21" x14ac:dyDescent="0.25">
      <c r="A1488" s="5">
        <v>1487</v>
      </c>
      <c r="B1488" s="5"/>
      <c r="C1488" s="5" t="s">
        <v>87</v>
      </c>
      <c r="D1488" s="5" t="s">
        <v>412</v>
      </c>
      <c r="E1488" s="5" t="str">
        <f>IFERROR(VLOOKUP($D1488,FIYAT!$B:$O,2,FALSE()),"")</f>
        <v>Schneider RXM4AB1P7 — миниатюрное реле 6A 4CO</v>
      </c>
      <c r="F1488" s="5">
        <f>IFERROR(VLOOKUP($D1488,FIYAT!$B:$O,5,FALSE()),"")</f>
        <v>0</v>
      </c>
      <c r="G1488" s="5" t="str">
        <f>IFERROR(VLOOKUP($D1488,FIYAT!$B:$O,8,FALSE()),"")</f>
        <v/>
      </c>
      <c r="H1488" s="5" t="str">
        <f t="shared" si="176"/>
        <v/>
      </c>
      <c r="I1488" s="6">
        <v>12</v>
      </c>
      <c r="J1488" s="5" t="str">
        <f>IFERROR(VLOOKUP($D1488,FIYAT!$B:$O,9,FALSE()),"")</f>
        <v>Шт.</v>
      </c>
      <c r="K1488" s="5" t="str">
        <f>IFERROR(VLOOKUP($D1488,FIYAT!$B:$O,4,FALSE()),"")</f>
        <v>SCHNEIDER</v>
      </c>
      <c r="L1488" s="5" t="str">
        <f t="shared" si="177"/>
        <v/>
      </c>
      <c r="M1488" s="5"/>
      <c r="N1488" s="5"/>
      <c r="O1488" s="5"/>
      <c r="P1488" s="7" t="str">
        <f>IF($H1488="","FIYAT_YOK",IFERROR(VLOOKUP($D1488,FIYAT!$B:$P,15,FALSE()),""))</f>
        <v>FIYAT_YOK</v>
      </c>
      <c r="Q1488" s="7" t="s">
        <v>414</v>
      </c>
      <c r="R1488" s="5"/>
      <c r="S1488" s="5" t="s">
        <v>725</v>
      </c>
      <c r="T1488" s="5" t="s">
        <v>87</v>
      </c>
      <c r="U1488" s="5">
        <f>IFERROR(VLOOKUP($T1488,KURALLAR!$A$32:$B$63,2,FALSE()),0)*IF(ISNUMBER($I1488),$I1488,0)</f>
        <v>96</v>
      </c>
    </row>
    <row r="1489" spans="1:21" x14ac:dyDescent="0.25">
      <c r="A1489" s="9">
        <v>1488</v>
      </c>
      <c r="B1489" s="9"/>
      <c r="C1489" s="9" t="s">
        <v>417</v>
      </c>
      <c r="D1489" s="9" t="s">
        <v>415</v>
      </c>
      <c r="E1489" s="9" t="str">
        <f>IFERROR(VLOOKUP($D1489,FIYAT!$B:$O,2,FALSE()),"")</f>
        <v>Schneider RXZE2M114M — колодка для реле RXM2/RXM4</v>
      </c>
      <c r="F1489" s="9">
        <f>IFERROR(VLOOKUP($D1489,FIYAT!$B:$O,5,FALSE()),"")</f>
        <v>0</v>
      </c>
      <c r="G1489" s="9" t="str">
        <f>IFERROR(VLOOKUP($D1489,FIYAT!$B:$O,8,FALSE()),"")</f>
        <v/>
      </c>
      <c r="H1489" s="9" t="str">
        <f t="shared" si="176"/>
        <v/>
      </c>
      <c r="I1489" s="6">
        <v>12</v>
      </c>
      <c r="J1489" s="9" t="str">
        <f>IFERROR(VLOOKUP($D1489,FIYAT!$B:$O,9,FALSE()),"")</f>
        <v>Шт.</v>
      </c>
      <c r="K1489" s="9" t="str">
        <f>IFERROR(VLOOKUP($D1489,FIYAT!$B:$O,4,FALSE()),"")</f>
        <v>SCHNEIDER</v>
      </c>
      <c r="L1489" s="9" t="str">
        <f t="shared" si="177"/>
        <v/>
      </c>
      <c r="M1489" s="9"/>
      <c r="N1489" s="9"/>
      <c r="O1489" s="9"/>
      <c r="P1489" s="7" t="str">
        <f>IF($H1489="","FIYAT_YOK",IFERROR(VLOOKUP($D1489,FIYAT!$B:$P,15,FALSE()),""))</f>
        <v>FIYAT_YOK</v>
      </c>
      <c r="Q1489" s="7" t="s">
        <v>418</v>
      </c>
      <c r="R1489" s="9"/>
      <c r="S1489" s="9" t="s">
        <v>725</v>
      </c>
      <c r="T1489" s="9" t="s">
        <v>87</v>
      </c>
      <c r="U1489" s="9">
        <f>IFERROR(VLOOKUP($T1489,KURALLAR!$A$32:$B$63,2,FALSE()),0)*IF(ISNUMBER($I1489),$I1489,0)</f>
        <v>96</v>
      </c>
    </row>
    <row r="1490" spans="1:21" x14ac:dyDescent="0.25">
      <c r="A1490" s="5">
        <v>1489</v>
      </c>
      <c r="B1490" s="5"/>
      <c r="C1490" s="5" t="s">
        <v>85</v>
      </c>
      <c r="D1490" s="5" t="s">
        <v>437</v>
      </c>
      <c r="E1490" s="5" t="str">
        <f>IFERROR(VLOOKUP($D1490,FIYAT!$B:$O,2,FALSE()),"")</f>
        <v>Контактор NC1-0910 9А 230В/АС3 1НО 50Гц (R)</v>
      </c>
      <c r="F1490" s="5">
        <f>IFERROR(VLOOKUP($D1490,FIYAT!$B:$O,5,FALSE()),"")</f>
        <v>4771</v>
      </c>
      <c r="G1490" s="5">
        <f>IFERROR(VLOOKUP($D1490,FIYAT!$B:$O,8,FALSE()),"")</f>
        <v>2862.6</v>
      </c>
      <c r="H1490" s="5">
        <f t="shared" si="176"/>
        <v>2862.6</v>
      </c>
      <c r="I1490" s="6">
        <v>1</v>
      </c>
      <c r="J1490" s="5" t="str">
        <f>IFERROR(VLOOKUP($D1490,FIYAT!$B:$O,9,FALSE()),"")</f>
        <v>Шт.</v>
      </c>
      <c r="K1490" s="5" t="str">
        <f>IFERROR(VLOOKUP($D1490,FIYAT!$B:$O,4,FALSE()),"")</f>
        <v>CHINT</v>
      </c>
      <c r="L1490" s="5">
        <f t="shared" si="177"/>
        <v>2862.6</v>
      </c>
      <c r="M1490" s="5"/>
      <c r="N1490" s="5"/>
      <c r="O1490" s="5"/>
      <c r="P1490" s="5" t="str">
        <f>IF($H1490="","FIYAT_YOK",IFERROR(VLOOKUP($D1490,FIYAT!$B:$P,15,FALSE()),""))</f>
        <v>MUADIL</v>
      </c>
      <c r="Q1490" s="5" t="s">
        <v>439</v>
      </c>
      <c r="R1490" s="5" t="s">
        <v>184</v>
      </c>
      <c r="S1490" s="5" t="s">
        <v>725</v>
      </c>
      <c r="T1490" s="5" t="s">
        <v>85</v>
      </c>
      <c r="U1490" s="5">
        <f>IFERROR(VLOOKUP($T1490,KURALLAR!$A$32:$B$63,2,FALSE()),0)*IF(ISNUMBER($I1490),$I1490,0)</f>
        <v>10</v>
      </c>
    </row>
    <row r="1491" spans="1:21" x14ac:dyDescent="0.25">
      <c r="A1491" s="9">
        <v>1490</v>
      </c>
      <c r="B1491" s="9"/>
      <c r="C1491" s="9" t="s">
        <v>222</v>
      </c>
      <c r="D1491" s="9" t="s">
        <v>496</v>
      </c>
      <c r="E1491" s="9" t="str">
        <f>IFERROR(VLOOKUP($D1491,FIYAT!$B:$O,2,FALSE()),"")</f>
        <v>Вентилятор с фильтром 55 куб.м./час IP55 IEK (12) NEW</v>
      </c>
      <c r="F1491" s="9">
        <f>IFERROR(VLOOKUP($D1491,FIYAT!$B:$O,5,FALSE()),"")</f>
        <v>14524</v>
      </c>
      <c r="G1491" s="9">
        <f>IFERROR(VLOOKUP($D1491,FIYAT!$B:$O,8,FALSE()),"")</f>
        <v>14524</v>
      </c>
      <c r="H1491" s="9">
        <f t="shared" si="176"/>
        <v>43572</v>
      </c>
      <c r="I1491" s="6">
        <v>3</v>
      </c>
      <c r="J1491" s="9" t="str">
        <f>IFERROR(VLOOKUP($D1491,FIYAT!$B:$O,9,FALSE()),"")</f>
        <v>Шт.</v>
      </c>
      <c r="K1491" s="9" t="str">
        <f>IFERROR(VLOOKUP($D1491,FIYAT!$B:$O,4,FALSE()),"")</f>
        <v>EKT</v>
      </c>
      <c r="L1491" s="9">
        <f t="shared" si="177"/>
        <v>43572</v>
      </c>
      <c r="M1491" s="9"/>
      <c r="N1491" s="9"/>
      <c r="O1491" s="9"/>
      <c r="P1491" s="9" t="str">
        <f>IF($H1491="","FIYAT_YOK",IFERROR(VLOOKUP($D1491,FIYAT!$B:$P,15,FALSE()),""))</f>
        <v>FIYAT_ESKI</v>
      </c>
      <c r="Q1491" s="9" t="s">
        <v>499</v>
      </c>
      <c r="R1491" s="9" t="s">
        <v>498</v>
      </c>
      <c r="S1491" s="9" t="s">
        <v>725</v>
      </c>
      <c r="T1491" s="9" t="s">
        <v>95</v>
      </c>
      <c r="U1491" s="9">
        <f>IFERROR(VLOOKUP($T1491,KURALLAR!$A$32:$B$63,2,FALSE()),0)*IF(ISNUMBER($I1491),$I1491,0)</f>
        <v>30</v>
      </c>
    </row>
    <row r="1492" spans="1:21" x14ac:dyDescent="0.25">
      <c r="A1492" s="5">
        <v>1491</v>
      </c>
      <c r="B1492" s="5"/>
      <c r="C1492" s="5" t="s">
        <v>253</v>
      </c>
      <c r="D1492" s="5" t="s">
        <v>251</v>
      </c>
      <c r="E1492" s="5" t="str">
        <f>IFERROR(VLOOKUP($D1492,FIYAT!$B:$O,2,FALSE()),"")</f>
        <v>Шина алюминиевая твёрдая (ШАТ)</v>
      </c>
      <c r="F1492" s="5">
        <f>IFERROR(VLOOKUP($D1492,FIYAT!$B:$O,5,FALSE()),"")</f>
        <v>4493.5999999999995</v>
      </c>
      <c r="G1492" s="5">
        <f>IFERROR(VLOOKUP($D1492,FIYAT!$B:$O,8,FALSE()),"")</f>
        <v>4493.5999999999995</v>
      </c>
      <c r="H1492" s="5">
        <f t="shared" si="176"/>
        <v>215692.79999999999</v>
      </c>
      <c r="I1492" s="6">
        <v>48</v>
      </c>
      <c r="J1492" s="5" t="str">
        <f>IFERROR(VLOOKUP($D1492,FIYAT!$B:$O,9,FALSE()),"")</f>
        <v>Кг.</v>
      </c>
      <c r="K1492" s="5" t="str">
        <f>IFERROR(VLOOKUP($D1492,FIYAT!$B:$O,4,FALSE()),"")</f>
        <v>ALUM-BARA</v>
      </c>
      <c r="L1492" s="5">
        <f t="shared" si="177"/>
        <v>215692.79999999999</v>
      </c>
      <c r="M1492" s="5"/>
      <c r="N1492" s="5"/>
      <c r="O1492" s="5"/>
      <c r="P1492" s="5" t="str">
        <f>IF($H1492="","FIYAT_YOK",IFERROR(VLOOKUP($D1492,FIYAT!$B:$P,15,FALSE()),""))</f>
        <v>VARSAYIM</v>
      </c>
      <c r="Q1492" s="5" t="s">
        <v>255</v>
      </c>
      <c r="R1492" s="5"/>
      <c r="S1492" s="5" t="s">
        <v>725</v>
      </c>
      <c r="T1492" s="5" t="s">
        <v>101</v>
      </c>
      <c r="U1492" s="5">
        <f>IFERROR(VLOOKUP($T1492,KURALLAR!$A$32:$B$63,2,FALSE()),0)*IF(ISNUMBER($I1492),$I1492,0)</f>
        <v>288</v>
      </c>
    </row>
    <row r="1493" spans="1:21" x14ac:dyDescent="0.25">
      <c r="A1493" s="9">
        <v>1492</v>
      </c>
      <c r="B1493" s="9"/>
      <c r="C1493" s="9" t="s">
        <v>222</v>
      </c>
      <c r="D1493" s="9" t="s">
        <v>256</v>
      </c>
      <c r="E1493" s="9" t="str">
        <f>IFERROR(VLOOKUP($D1493,FIYAT!$B:$O,2,FALSE()),"")</f>
        <v>Щит (moduler) 2000x800x800+100</v>
      </c>
      <c r="F1493" s="9">
        <f>IFERROR(VLOOKUP($D1493,FIYAT!$B:$O,5,FALSE()),"")</f>
        <v>197400</v>
      </c>
      <c r="G1493" s="9">
        <f>IFERROR(VLOOKUP($D1493,FIYAT!$B:$O,8,FALSE()),"")</f>
        <v>118440</v>
      </c>
      <c r="H1493" s="9">
        <f t="shared" si="176"/>
        <v>355320</v>
      </c>
      <c r="I1493" s="6">
        <v>3</v>
      </c>
      <c r="J1493" s="9" t="str">
        <f>IFERROR(VLOOKUP($D1493,FIYAT!$B:$O,9,FALSE()),"")</f>
        <v>Шт.</v>
      </c>
      <c r="K1493" s="9" t="str">
        <f>IFERROR(VLOOKUP($D1493,FIYAT!$B:$O,4,FALSE()),"")</f>
        <v>KAZTEK</v>
      </c>
      <c r="L1493" s="9">
        <f t="shared" si="177"/>
        <v>355320</v>
      </c>
      <c r="M1493" s="9"/>
      <c r="N1493" s="9"/>
      <c r="O1493" s="9"/>
      <c r="P1493" s="9" t="str">
        <f>IF($H1493="","FIYAT_YOK",IFERROR(VLOOKUP($D1493,FIYAT!$B:$P,15,FALSE()),""))</f>
        <v>VARSAYIM</v>
      </c>
      <c r="Q1493" s="9" t="s">
        <v>258</v>
      </c>
      <c r="R1493" s="9" t="s">
        <v>211</v>
      </c>
      <c r="S1493" s="9" t="s">
        <v>725</v>
      </c>
      <c r="T1493" s="9" t="s">
        <v>107</v>
      </c>
      <c r="U1493" s="9">
        <f>IFERROR(VLOOKUP($T1493,KURALLAR!$A$32:$B$63,2,FALSE()),0)*IF(ISNUMBER($I1493),$I1493,0)</f>
        <v>270</v>
      </c>
    </row>
    <row r="1494" spans="1:21" x14ac:dyDescent="0.25">
      <c r="A1494" s="5">
        <v>1493</v>
      </c>
      <c r="B1494" s="5"/>
      <c r="C1494" s="5" t="s">
        <v>215</v>
      </c>
      <c r="D1494" s="5" t="s">
        <v>213</v>
      </c>
      <c r="E1494" s="5" t="str">
        <f>IFERROR(VLOOKUP($D1494,FIYAT!$B:$O,2,FALSE()),"")</f>
        <v>Монтажный расходный материал (кабель, DIN-рейка, кабель-канал, клеммы, маркировка, крепёж)</v>
      </c>
      <c r="F1494" s="5">
        <f>IFERROR(VLOOKUP($D1494,FIYAT!$B:$O,5,FALSE()),"")</f>
        <v>0</v>
      </c>
      <c r="G1494" s="5" t="str">
        <f>IFERROR(VLOOKUP($D1494,FIYAT!$B:$O,8,FALSE()),"")</f>
        <v/>
      </c>
      <c r="H1494" s="5">
        <f>ROUND(SUM($H$1472:$H$1493)*KURALLAR!$B$28,0)</f>
        <v>177860</v>
      </c>
      <c r="I1494" s="6">
        <v>1</v>
      </c>
      <c r="J1494" s="5" t="str">
        <f>IFERROR(VLOOKUP($D1494,FIYAT!$B:$O,9,FALSE()),"")</f>
        <v>компл.</v>
      </c>
      <c r="K1494" s="5" t="str">
        <f>IFERROR(VLOOKUP($D1494,FIYAT!$B:$O,4,FALSE()),"")</f>
        <v>MUADIL-NET</v>
      </c>
      <c r="L1494" s="5">
        <f t="shared" si="177"/>
        <v>177860</v>
      </c>
      <c r="M1494" s="5"/>
      <c r="N1494" s="5"/>
      <c r="O1494" s="5"/>
      <c r="P1494" s="5" t="str">
        <f>IF($H1494="","FIYAT_YOK",IFERROR(VLOOKUP($D1494,FIYAT!$B:$P,15,FALSE()),""))</f>
        <v>ORAN</v>
      </c>
      <c r="Q1494" s="5" t="s">
        <v>218</v>
      </c>
      <c r="R1494" s="5" t="s">
        <v>217</v>
      </c>
      <c r="S1494" s="5" t="s">
        <v>725</v>
      </c>
      <c r="T1494" s="5"/>
      <c r="U1494" s="5">
        <v>0</v>
      </c>
    </row>
    <row r="1495" spans="1:21" x14ac:dyDescent="0.25">
      <c r="A1495" s="9">
        <v>1494</v>
      </c>
      <c r="B1495" s="9"/>
      <c r="C1495" s="9" t="s">
        <v>227</v>
      </c>
      <c r="D1495" s="9" t="s">
        <v>225</v>
      </c>
      <c r="E1495" s="9" t="str">
        <f>IFERROR(VLOOKUP($D1495,FIYAT!$B:$O,2,FALSE()),"")</f>
        <v>Сборка, кабелирование, маркировка, момент затяжки, испытания</v>
      </c>
      <c r="F1495" s="9">
        <f>IFERROR(VLOOKUP($D1495,FIYAT!$B:$O,5,FALSE()),"")</f>
        <v>100</v>
      </c>
      <c r="G1495" s="9">
        <f>IFERROR(VLOOKUP($D1495,FIYAT!$B:$O,8,FALSE()),"")</f>
        <v>100</v>
      </c>
      <c r="H1495" s="9">
        <f>IF(OR($G1495="",$I1495=""),"",$G1495*$I1495)</f>
        <v>251300</v>
      </c>
      <c r="I1495" s="6">
        <f>ROUND(SUM($U$1472:$U$1494)*KURALLAR!$B$27,0)</f>
        <v>2513</v>
      </c>
      <c r="J1495" s="9" t="str">
        <f>IFERROR(VLOOKUP($D1495,FIYAT!$B:$O,9,FALSE()),"")</f>
        <v>мин</v>
      </c>
      <c r="K1495" s="9" t="str">
        <f>IFERROR(VLOOKUP($D1495,FIYAT!$B:$O,4,FALSE()),"")</f>
        <v>ISCILIK</v>
      </c>
      <c r="L1495" s="9">
        <f t="shared" si="177"/>
        <v>251300</v>
      </c>
      <c r="M1495" s="9"/>
      <c r="N1495" s="9"/>
      <c r="O1495" s="9"/>
      <c r="P1495" s="9" t="str">
        <f>IF($H1495="","FIYAT_YOK",IFERROR(VLOOKUP($D1495,FIYAT!$B:$P,15,FALSE()),""))</f>
        <v>OK</v>
      </c>
      <c r="Q1495" s="9" t="str">
        <f>CONCATENATE("montaj+test iscilik: ",TEXT($I1495,"# ##0")," dk = ",TEXT($I1495/60,"0,00")," saat (norm x test/etiket carpani)")</f>
        <v>montaj+test iscilik: 2 513 dk = 41,88 saat (norm x test/etiket carpani)</v>
      </c>
      <c r="R1495" s="9" t="s">
        <v>229</v>
      </c>
      <c r="S1495" s="9" t="s">
        <v>725</v>
      </c>
      <c r="T1495" s="9"/>
      <c r="U1495" s="9">
        <v>0</v>
      </c>
    </row>
    <row r="1496" spans="1:21" x14ac:dyDescent="0.25">
      <c r="A1496" s="10">
        <v>1495</v>
      </c>
      <c r="B1496" s="10" t="s">
        <v>730</v>
      </c>
      <c r="C1496" s="10"/>
      <c r="D1496" s="10"/>
      <c r="E1496" s="10"/>
      <c r="F1496" s="10"/>
      <c r="G1496" s="10"/>
      <c r="H1496" s="10">
        <f>SUBTOTAL(9,H1472:H1495)</f>
        <v>2970013</v>
      </c>
      <c r="I1496" s="10"/>
      <c r="J1496" s="10"/>
      <c r="K1496" s="10"/>
      <c r="L1496" s="10">
        <f>SUBTOTAL(9,L1472:L1495)</f>
        <v>2970013</v>
      </c>
      <c r="M1496" s="10"/>
      <c r="N1496" s="10"/>
      <c r="O1496" s="10"/>
      <c r="P1496" s="10"/>
      <c r="Q1496" s="10"/>
      <c r="R1496" s="10"/>
      <c r="S1496" s="10"/>
      <c r="T1496" s="10"/>
      <c r="U1496" s="10">
        <f>SUBTOTAL(9,U1472:U1495)</f>
        <v>2185</v>
      </c>
    </row>
    <row r="1497" spans="1:21" x14ac:dyDescent="0.25">
      <c r="A1497" s="8">
        <v>1496</v>
      </c>
      <c r="B1497" s="8" t="str">
        <f>E1497</f>
        <v>LPS / Главный распределительный щит ГРЩ-LOT1A — НКУ 380/220В 50Гц, FORM 2B, IP31/54</v>
      </c>
      <c r="C1497" s="8" t="s">
        <v>545</v>
      </c>
      <c r="D1497" s="8"/>
      <c r="E1497" s="8" t="s">
        <v>731</v>
      </c>
      <c r="F1497" s="8"/>
      <c r="G1497" s="8"/>
      <c r="H1497" s="8"/>
      <c r="I1497" s="8">
        <v>1</v>
      </c>
      <c r="J1497" s="8" t="s">
        <v>547</v>
      </c>
      <c r="K1497" s="8"/>
      <c r="L1497" s="8"/>
      <c r="M1497" s="8"/>
      <c r="N1497" s="8"/>
      <c r="O1497" s="8"/>
      <c r="P1497" s="8" t="s">
        <v>178</v>
      </c>
      <c r="Q1497" s="8" t="s">
        <v>548</v>
      </c>
      <c r="R1497" s="8" t="s">
        <v>549</v>
      </c>
      <c r="S1497" s="8" t="s">
        <v>725</v>
      </c>
      <c r="T1497" s="8"/>
      <c r="U1497" s="8"/>
    </row>
    <row r="1498" spans="1:21" x14ac:dyDescent="0.25">
      <c r="A1498" s="5">
        <v>1497</v>
      </c>
      <c r="B1498" s="5"/>
      <c r="C1498" s="5" t="s">
        <v>73</v>
      </c>
      <c r="D1498" s="5" t="s">
        <v>446</v>
      </c>
      <c r="E1498" s="5" t="str">
        <f>IFERROR(VLOOKUP($D1498,FIYAT!$B:$O,2,FALSE()),"")</f>
        <v>Воздушный авт. выкл. NA1-3200-2500М/3P выдвиж., 2500A, 80kA, тип M, AC230В (R)</v>
      </c>
      <c r="F1498" s="5">
        <f>IFERROR(VLOOKUP($D1498,FIYAT!$B:$O,5,FALSE()),"")</f>
        <v>1616150</v>
      </c>
      <c r="G1498" s="5">
        <f>IFERROR(VLOOKUP($D1498,FIYAT!$B:$O,8,FALSE()),"")</f>
        <v>969690</v>
      </c>
      <c r="H1498" s="5">
        <f t="shared" ref="H1498:H1515" si="178">IF(OR($G1498="",$I1498=""),"",$G1498*$I1498)</f>
        <v>969690</v>
      </c>
      <c r="I1498" s="6">
        <v>1</v>
      </c>
      <c r="J1498" s="5" t="str">
        <f>IFERROR(VLOOKUP($D1498,FIYAT!$B:$O,9,FALSE()),"")</f>
        <v>Шт.</v>
      </c>
      <c r="K1498" s="5" t="str">
        <f>IFERROR(VLOOKUP($D1498,FIYAT!$B:$O,4,FALSE()),"")</f>
        <v>CHINT</v>
      </c>
      <c r="L1498" s="5">
        <f t="shared" ref="L1498:L1517" si="179">IF($H1498="","",$H1498)</f>
        <v>969690</v>
      </c>
      <c r="M1498" s="5"/>
      <c r="N1498" s="5"/>
      <c r="O1498" s="5"/>
      <c r="P1498" s="5" t="str">
        <f>IF($H1498="","FIYAT_YOK",IFERROR(VLOOKUP($D1498,FIYAT!$B:$P,15,FALSE()),""))</f>
        <v>MUADIL_ONAY</v>
      </c>
      <c r="Q1498" s="5" t="s">
        <v>448</v>
      </c>
      <c r="R1498" s="5" t="s">
        <v>184</v>
      </c>
      <c r="S1498" s="5" t="s">
        <v>725</v>
      </c>
      <c r="T1498" s="5" t="s">
        <v>73</v>
      </c>
      <c r="U1498" s="5">
        <f>IFERROR(VLOOKUP($T1498,KURALLAR!$A$32:$B$63,2,FALSE()),0)*IF(ISNUMBER($I1498),$I1498,0)</f>
        <v>180</v>
      </c>
    </row>
    <row r="1499" spans="1:21" x14ac:dyDescent="0.25">
      <c r="A1499" s="9">
        <v>1498</v>
      </c>
      <c r="B1499" s="9"/>
      <c r="C1499" s="9" t="s">
        <v>192</v>
      </c>
      <c r="D1499" s="9" t="s">
        <v>238</v>
      </c>
      <c r="E1499" s="9" t="str">
        <f>IFERROR(VLOOKUP($D1499,FIYAT!$B:$O,2,FALSE()),"")</f>
        <v>Авт. выкл. NXB-63 1P 6A 6кА х-ка C (R)</v>
      </c>
      <c r="F1499" s="9">
        <f>IFERROR(VLOOKUP($D1499,FIYAT!$B:$O,5,FALSE()),"")</f>
        <v>1436</v>
      </c>
      <c r="G1499" s="9">
        <f>IFERROR(VLOOKUP($D1499,FIYAT!$B:$O,8,FALSE()),"")</f>
        <v>861.6</v>
      </c>
      <c r="H1499" s="9">
        <f t="shared" si="178"/>
        <v>6031.2</v>
      </c>
      <c r="I1499" s="6">
        <v>7</v>
      </c>
      <c r="J1499" s="9" t="str">
        <f>IFERROR(VLOOKUP($D1499,FIYAT!$B:$O,9,FALSE()),"")</f>
        <v>Шт.</v>
      </c>
      <c r="K1499" s="9" t="str">
        <f>IFERROR(VLOOKUP($D1499,FIYAT!$B:$O,4,FALSE()),"")</f>
        <v>CHINT</v>
      </c>
      <c r="L1499" s="9">
        <f t="shared" si="179"/>
        <v>6031.2</v>
      </c>
      <c r="M1499" s="9"/>
      <c r="N1499" s="9"/>
      <c r="O1499" s="9"/>
      <c r="P1499" s="9" t="str">
        <f>IF($H1499="","FIYAT_YOK",IFERROR(VLOOKUP($D1499,FIYAT!$B:$P,15,FALSE()),""))</f>
        <v>OK</v>
      </c>
      <c r="Q1499" s="9" t="s">
        <v>240</v>
      </c>
      <c r="R1499" s="9" t="s">
        <v>171</v>
      </c>
      <c r="S1499" s="9" t="s">
        <v>725</v>
      </c>
      <c r="T1499" s="9" t="s">
        <v>47</v>
      </c>
      <c r="U1499" s="9">
        <f>IFERROR(VLOOKUP($T1499,KURALLAR!$A$32:$B$63,2,FALSE()),0)*IF(ISNUMBER($I1499),$I1499,0)</f>
        <v>21</v>
      </c>
    </row>
    <row r="1500" spans="1:21" x14ac:dyDescent="0.25">
      <c r="A1500" s="5">
        <v>1499</v>
      </c>
      <c r="B1500" s="5"/>
      <c r="C1500" s="5" t="s">
        <v>89</v>
      </c>
      <c r="D1500" s="5" t="s">
        <v>241</v>
      </c>
      <c r="E1500" s="5" t="str">
        <f>IFERROR(VLOOKUP($D1500,FIYAT!$B:$O,2,FALSE()),"")</f>
        <v>Индикатор ND16-22DS/4 белый АС230В (R)</v>
      </c>
      <c r="F1500" s="5">
        <f>IFERROR(VLOOKUP($D1500,FIYAT!$B:$O,5,FALSE()),"")</f>
        <v>1047</v>
      </c>
      <c r="G1500" s="5">
        <f>IFERROR(VLOOKUP($D1500,FIYAT!$B:$O,8,FALSE()),"")</f>
        <v>628.19999999999993</v>
      </c>
      <c r="H1500" s="5">
        <f t="shared" si="178"/>
        <v>1884.6</v>
      </c>
      <c r="I1500" s="6">
        <v>3</v>
      </c>
      <c r="J1500" s="5" t="str">
        <f>IFERROR(VLOOKUP($D1500,FIYAT!$B:$O,9,FALSE()),"")</f>
        <v>Шт.</v>
      </c>
      <c r="K1500" s="5" t="str">
        <f>IFERROR(VLOOKUP($D1500,FIYAT!$B:$O,4,FALSE()),"")</f>
        <v>CHINT</v>
      </c>
      <c r="L1500" s="5">
        <f t="shared" si="179"/>
        <v>1884.6</v>
      </c>
      <c r="M1500" s="5"/>
      <c r="N1500" s="5"/>
      <c r="O1500" s="5"/>
      <c r="P1500" s="5" t="str">
        <f>IF($H1500="","FIYAT_YOK",IFERROR(VLOOKUP($D1500,FIYAT!$B:$P,15,FALSE()),""))</f>
        <v>OK</v>
      </c>
      <c r="Q1500" s="5" t="s">
        <v>243</v>
      </c>
      <c r="R1500" s="5" t="s">
        <v>184</v>
      </c>
      <c r="S1500" s="5" t="s">
        <v>725</v>
      </c>
      <c r="T1500" s="5" t="s">
        <v>89</v>
      </c>
      <c r="U1500" s="5">
        <f>IFERROR(VLOOKUP($T1500,KURALLAR!$A$32:$B$63,2,FALSE()),0)*IF(ISNUMBER($I1500),$I1500,0)</f>
        <v>12</v>
      </c>
    </row>
    <row r="1501" spans="1:21" x14ac:dyDescent="0.25">
      <c r="A1501" s="9">
        <v>1500</v>
      </c>
      <c r="B1501" s="9"/>
      <c r="C1501" s="9" t="s">
        <v>79</v>
      </c>
      <c r="D1501" s="9" t="s">
        <v>179</v>
      </c>
      <c r="E1501" s="9" t="str">
        <f>IFERROR(VLOOKUP($D1501,FIYAT!$B:$O,2,FALSE()),"")</f>
        <v>Держатель плавкой вставки RT36-00-160, габарит 00, 160А</v>
      </c>
      <c r="F1501" s="9">
        <f>IFERROR(VLOOKUP($D1501,FIYAT!$B:$O,5,FALSE()),"")</f>
        <v>2038</v>
      </c>
      <c r="G1501" s="9">
        <f>IFERROR(VLOOKUP($D1501,FIYAT!$B:$O,8,FALSE()),"")</f>
        <v>1222.8</v>
      </c>
      <c r="H1501" s="9">
        <f t="shared" si="178"/>
        <v>4891.2</v>
      </c>
      <c r="I1501" s="6">
        <v>4</v>
      </c>
      <c r="J1501" s="9" t="str">
        <f>IFERROR(VLOOKUP($D1501,FIYAT!$B:$O,9,FALSE()),"")</f>
        <v>Шт.</v>
      </c>
      <c r="K1501" s="9" t="str">
        <f>IFERROR(VLOOKUP($D1501,FIYAT!$B:$O,4,FALSE()),"")</f>
        <v>CHINT</v>
      </c>
      <c r="L1501" s="9">
        <f t="shared" si="179"/>
        <v>4891.2</v>
      </c>
      <c r="M1501" s="9"/>
      <c r="N1501" s="9"/>
      <c r="O1501" s="9"/>
      <c r="P1501" s="9" t="str">
        <f>IF($H1501="","FIYAT_YOK",IFERROR(VLOOKUP($D1501,FIYAT!$B:$P,15,FALSE()),""))</f>
        <v>MUADIL</v>
      </c>
      <c r="Q1501" s="9" t="s">
        <v>181</v>
      </c>
      <c r="R1501" s="9" t="s">
        <v>171</v>
      </c>
      <c r="S1501" s="9" t="s">
        <v>725</v>
      </c>
      <c r="T1501" s="9" t="s">
        <v>77</v>
      </c>
      <c r="U1501" s="9">
        <f>IFERROR(VLOOKUP($T1501,KURALLAR!$A$32:$B$63,2,FALSE()),0)*IF(ISNUMBER($I1501),$I1501,0)</f>
        <v>20</v>
      </c>
    </row>
    <row r="1502" spans="1:21" x14ac:dyDescent="0.25">
      <c r="A1502" s="5">
        <v>1501</v>
      </c>
      <c r="B1502" s="5"/>
      <c r="C1502" s="5" t="s">
        <v>79</v>
      </c>
      <c r="D1502" s="5" t="s">
        <v>182</v>
      </c>
      <c r="E1502" s="5" t="str">
        <f>IFERROR(VLOOKUP($D1502,FIYAT!$B:$O,2,FALSE()),"")</f>
        <v>Плавкая вставка предохранителя RT36-00-160, габарит 00, 63А</v>
      </c>
      <c r="F1502" s="5">
        <f>IFERROR(VLOOKUP($D1502,FIYAT!$B:$O,5,FALSE()),"")</f>
        <v>1525</v>
      </c>
      <c r="G1502" s="5">
        <f>IFERROR(VLOOKUP($D1502,FIYAT!$B:$O,8,FALSE()),"")</f>
        <v>915</v>
      </c>
      <c r="H1502" s="5">
        <f t="shared" si="178"/>
        <v>3660</v>
      </c>
      <c r="I1502" s="6">
        <v>4</v>
      </c>
      <c r="J1502" s="5" t="str">
        <f>IFERROR(VLOOKUP($D1502,FIYAT!$B:$O,9,FALSE()),"")</f>
        <v>Шт.</v>
      </c>
      <c r="K1502" s="5" t="str">
        <f>IFERROR(VLOOKUP($D1502,FIYAT!$B:$O,4,FALSE()),"")</f>
        <v>CHINT</v>
      </c>
      <c r="L1502" s="5">
        <f t="shared" si="179"/>
        <v>3660</v>
      </c>
      <c r="M1502" s="5"/>
      <c r="N1502" s="5"/>
      <c r="O1502" s="5"/>
      <c r="P1502" s="5" t="str">
        <f>IF($H1502="","FIYAT_YOK",IFERROR(VLOOKUP($D1502,FIYAT!$B:$P,15,FALSE()),""))</f>
        <v>MUADIL</v>
      </c>
      <c r="Q1502" s="5" t="s">
        <v>185</v>
      </c>
      <c r="R1502" s="5" t="s">
        <v>184</v>
      </c>
      <c r="S1502" s="5" t="s">
        <v>725</v>
      </c>
      <c r="T1502" s="5" t="s">
        <v>79</v>
      </c>
      <c r="U1502" s="5">
        <f>IFERROR(VLOOKUP($T1502,KURALLAR!$A$32:$B$63,2,FALSE()),0)*IF(ISNUMBER($I1502),$I1502,0)</f>
        <v>12</v>
      </c>
    </row>
    <row r="1503" spans="1:21" x14ac:dyDescent="0.25">
      <c r="A1503" s="9">
        <v>1502</v>
      </c>
      <c r="B1503" s="9"/>
      <c r="C1503" s="9" t="s">
        <v>75</v>
      </c>
      <c r="D1503" s="9" t="s">
        <v>186</v>
      </c>
      <c r="E1503" s="9" t="str">
        <f>IFERROR(VLOOKUP($D1503,FIYAT!$B:$O,2,FALSE()),"")</f>
        <v>Ограничитель имп. перенапр. NU6-IIG 4Р In=25kA Uc=440B Im=65kA (R)</v>
      </c>
      <c r="F1503" s="9">
        <f>IFERROR(VLOOKUP($D1503,FIYAT!$B:$O,5,FALSE()),"")</f>
        <v>33208</v>
      </c>
      <c r="G1503" s="9">
        <f>IFERROR(VLOOKUP($D1503,FIYAT!$B:$O,8,FALSE()),"")</f>
        <v>19924.8</v>
      </c>
      <c r="H1503" s="9">
        <f t="shared" si="178"/>
        <v>19924.8</v>
      </c>
      <c r="I1503" s="6">
        <v>1</v>
      </c>
      <c r="J1503" s="9" t="str">
        <f>IFERROR(VLOOKUP($D1503,FIYAT!$B:$O,9,FALSE()),"")</f>
        <v>Шт.</v>
      </c>
      <c r="K1503" s="9" t="str">
        <f>IFERROR(VLOOKUP($D1503,FIYAT!$B:$O,4,FALSE()),"")</f>
        <v>CHINT</v>
      </c>
      <c r="L1503" s="9">
        <f t="shared" si="179"/>
        <v>19924.8</v>
      </c>
      <c r="M1503" s="9"/>
      <c r="N1503" s="9"/>
      <c r="O1503" s="9"/>
      <c r="P1503" s="9" t="str">
        <f>IF($H1503="","FIYAT_YOK",IFERROR(VLOOKUP($D1503,FIYAT!$B:$P,15,FALSE()),""))</f>
        <v>MUADIL_ONAY</v>
      </c>
      <c r="Q1503" s="9" t="s">
        <v>188</v>
      </c>
      <c r="R1503" s="9" t="s">
        <v>184</v>
      </c>
      <c r="S1503" s="9" t="s">
        <v>725</v>
      </c>
      <c r="T1503" s="9" t="s">
        <v>75</v>
      </c>
      <c r="U1503" s="9">
        <f>IFERROR(VLOOKUP($T1503,KURALLAR!$A$32:$B$63,2,FALSE()),0)*IF(ISNUMBER($I1503),$I1503,0)</f>
        <v>10</v>
      </c>
    </row>
    <row r="1504" spans="1:21" x14ac:dyDescent="0.25">
      <c r="A1504" s="5">
        <v>1503</v>
      </c>
      <c r="B1504" s="5"/>
      <c r="C1504" s="5" t="s">
        <v>83</v>
      </c>
      <c r="D1504" s="5" t="s">
        <v>501</v>
      </c>
      <c r="E1504" s="5" t="str">
        <f>IFERROR(VLOOKUP($D1504,FIYAT!$B:$O,2,FALSE()),"")</f>
        <v>Трансформатор тока 2500/5А кл. 0,5 — CHINT листинге нет</v>
      </c>
      <c r="F1504" s="5">
        <f>IFERROR(VLOOKUP($D1504,FIYAT!$B:$O,5,FALSE()),"")</f>
        <v>0</v>
      </c>
      <c r="G1504" s="5" t="str">
        <f>IFERROR(VLOOKUP($D1504,FIYAT!$B:$O,8,FALSE()),"")</f>
        <v/>
      </c>
      <c r="H1504" s="5" t="str">
        <f t="shared" si="178"/>
        <v/>
      </c>
      <c r="I1504" s="6">
        <v>3</v>
      </c>
      <c r="J1504" s="5" t="str">
        <f>IFERROR(VLOOKUP($D1504,FIYAT!$B:$O,9,FALSE()),"")</f>
        <v>Шт.</v>
      </c>
      <c r="K1504" s="5" t="str">
        <f>IFERROR(VLOOKUP($D1504,FIYAT!$B:$O,4,FALSE()),"")</f>
        <v>MUADIL-NET</v>
      </c>
      <c r="L1504" s="5" t="str">
        <f t="shared" si="179"/>
        <v/>
      </c>
      <c r="M1504" s="5"/>
      <c r="N1504" s="5"/>
      <c r="O1504" s="5"/>
      <c r="P1504" s="7" t="str">
        <f>IF($H1504="","FIYAT_YOK",IFERROR(VLOOKUP($D1504,FIYAT!$B:$P,15,FALSE()),""))</f>
        <v>FIYAT_YOK</v>
      </c>
      <c r="Q1504" s="7" t="s">
        <v>503</v>
      </c>
      <c r="R1504" s="5"/>
      <c r="S1504" s="5" t="s">
        <v>725</v>
      </c>
      <c r="T1504" s="5" t="s">
        <v>83</v>
      </c>
      <c r="U1504" s="5">
        <f>IFERROR(VLOOKUP($T1504,KURALLAR!$A$32:$B$63,2,FALSE()),0)*IF(ISNUMBER($I1504),$I1504,0)</f>
        <v>30</v>
      </c>
    </row>
    <row r="1505" spans="1:21" x14ac:dyDescent="0.25">
      <c r="A1505" s="9">
        <v>1504</v>
      </c>
      <c r="B1505" s="9"/>
      <c r="C1505" s="9" t="s">
        <v>81</v>
      </c>
      <c r="D1505" s="9" t="s">
        <v>397</v>
      </c>
      <c r="E1505" s="9" t="str">
        <f>IFERROR(VLOOKUP($D1505,FIYAT!$B:$O,2,FALSE()),"")</f>
        <v>Schneider PM5560 — анализатор сети, 2xEthernet, 4DI/2DO</v>
      </c>
      <c r="F1505" s="9">
        <f>IFERROR(VLOOKUP($D1505,FIYAT!$B:$O,5,FALSE()),"")</f>
        <v>0</v>
      </c>
      <c r="G1505" s="9" t="str">
        <f>IFERROR(VLOOKUP($D1505,FIYAT!$B:$O,8,FALSE()),"")</f>
        <v/>
      </c>
      <c r="H1505" s="9" t="str">
        <f t="shared" si="178"/>
        <v/>
      </c>
      <c r="I1505" s="6">
        <v>1</v>
      </c>
      <c r="J1505" s="9" t="str">
        <f>IFERROR(VLOOKUP($D1505,FIYAT!$B:$O,9,FALSE()),"")</f>
        <v>Шт.</v>
      </c>
      <c r="K1505" s="9" t="str">
        <f>IFERROR(VLOOKUP($D1505,FIYAT!$B:$O,4,FALSE()),"")</f>
        <v>SCHNEIDER</v>
      </c>
      <c r="L1505" s="9" t="str">
        <f t="shared" si="179"/>
        <v/>
      </c>
      <c r="M1505" s="9"/>
      <c r="N1505" s="9"/>
      <c r="O1505" s="9"/>
      <c r="P1505" s="7" t="str">
        <f>IF($H1505="","FIYAT_YOK",IFERROR(VLOOKUP($D1505,FIYAT!$B:$P,15,FALSE()),""))</f>
        <v>FIYAT_YOK</v>
      </c>
      <c r="Q1505" s="7" t="s">
        <v>399</v>
      </c>
      <c r="R1505" s="9"/>
      <c r="S1505" s="9" t="s">
        <v>725</v>
      </c>
      <c r="T1505" s="9" t="s">
        <v>81</v>
      </c>
      <c r="U1505" s="9">
        <f>IFERROR(VLOOKUP($T1505,KURALLAR!$A$32:$B$63,2,FALSE()),0)*IF(ISNUMBER($I1505),$I1505,0)</f>
        <v>30</v>
      </c>
    </row>
    <row r="1506" spans="1:21" x14ac:dyDescent="0.25">
      <c r="A1506" s="5">
        <v>1505</v>
      </c>
      <c r="B1506" s="5"/>
      <c r="C1506" s="5" t="s">
        <v>83</v>
      </c>
      <c r="D1506" s="5" t="s">
        <v>504</v>
      </c>
      <c r="E1506" s="5" t="str">
        <f>IFERROR(VLOOKUP($D1506,FIYAT!$B:$O,2,FALSE()),"")</f>
        <v>Трансформатор тока Т-0.66-1,2 У3 2500/5А (для счётчика)</v>
      </c>
      <c r="F1506" s="5">
        <f>IFERROR(VLOOKUP($D1506,FIYAT!$B:$O,5,FALSE()),"")</f>
        <v>0</v>
      </c>
      <c r="G1506" s="5" t="str">
        <f>IFERROR(VLOOKUP($D1506,FIYAT!$B:$O,8,FALSE()),"")</f>
        <v/>
      </c>
      <c r="H1506" s="5" t="str">
        <f t="shared" si="178"/>
        <v/>
      </c>
      <c r="I1506" s="6">
        <v>3</v>
      </c>
      <c r="J1506" s="5" t="str">
        <f>IFERROR(VLOOKUP($D1506,FIYAT!$B:$O,9,FALSE()),"")</f>
        <v>Шт.</v>
      </c>
      <c r="K1506" s="5" t="str">
        <f>IFERROR(VLOOKUP($D1506,FIYAT!$B:$O,4,FALSE()),"")</f>
        <v>MUADIL-NET</v>
      </c>
      <c r="L1506" s="5" t="str">
        <f t="shared" si="179"/>
        <v/>
      </c>
      <c r="M1506" s="5"/>
      <c r="N1506" s="5"/>
      <c r="O1506" s="5"/>
      <c r="P1506" s="7" t="str">
        <f>IF($H1506="","FIYAT_YOK",IFERROR(VLOOKUP($D1506,FIYAT!$B:$P,15,FALSE()),""))</f>
        <v>FIYAT_YOK</v>
      </c>
      <c r="Q1506" s="7" t="s">
        <v>506</v>
      </c>
      <c r="R1506" s="5"/>
      <c r="S1506" s="5" t="s">
        <v>725</v>
      </c>
      <c r="T1506" s="5" t="s">
        <v>83</v>
      </c>
      <c r="U1506" s="5">
        <f>IFERROR(VLOOKUP($T1506,KURALLAR!$A$32:$B$63,2,FALSE()),0)*IF(ISNUMBER($I1506),$I1506,0)</f>
        <v>30</v>
      </c>
    </row>
    <row r="1507" spans="1:21" x14ac:dyDescent="0.25">
      <c r="A1507" s="9">
        <v>1506</v>
      </c>
      <c r="B1507" s="9"/>
      <c r="C1507" s="9" t="s">
        <v>81</v>
      </c>
      <c r="D1507" s="9" t="s">
        <v>284</v>
      </c>
      <c r="E1507" s="9" t="str">
        <f>IFERROR(VLOOKUP($D1507,FIYAT!$B:$O,2,FALSE()),"")</f>
        <v>Трехфазный эл.счетчик EX 518 5А (трансф. подкл.) с PLC модулем</v>
      </c>
      <c r="F1507" s="9">
        <f>IFERROR(VLOOKUP($D1507,FIYAT!$B:$O,5,FALSE()),"")</f>
        <v>0</v>
      </c>
      <c r="G1507" s="9" t="str">
        <f>IFERROR(VLOOKUP($D1507,FIYAT!$B:$O,8,FALSE()),"")</f>
        <v/>
      </c>
      <c r="H1507" s="9" t="str">
        <f t="shared" si="178"/>
        <v/>
      </c>
      <c r="I1507" s="6">
        <v>4</v>
      </c>
      <c r="J1507" s="9" t="str">
        <f>IFERROR(VLOOKUP($D1507,FIYAT!$B:$O,9,FALSE()),"")</f>
        <v>Шт.</v>
      </c>
      <c r="K1507" s="9" t="str">
        <f>IFERROR(VLOOKUP($D1507,FIYAT!$B:$O,4,FALSE()),"")</f>
        <v>MUADIL-NET</v>
      </c>
      <c r="L1507" s="9" t="str">
        <f t="shared" si="179"/>
        <v/>
      </c>
      <c r="M1507" s="9"/>
      <c r="N1507" s="9"/>
      <c r="O1507" s="9"/>
      <c r="P1507" s="7" t="str">
        <f>IF($H1507="","FIYAT_YOK",IFERROR(VLOOKUP($D1507,FIYAT!$B:$P,15,FALSE()),""))</f>
        <v>FIYAT_YOK</v>
      </c>
      <c r="Q1507" s="7" t="s">
        <v>249</v>
      </c>
      <c r="R1507" s="9"/>
      <c r="S1507" s="9" t="s">
        <v>725</v>
      </c>
      <c r="T1507" s="9" t="s">
        <v>81</v>
      </c>
      <c r="U1507" s="9">
        <f>IFERROR(VLOOKUP($T1507,KURALLAR!$A$32:$B$63,2,FALSE()),0)*IF(ISNUMBER($I1507),$I1507,0)</f>
        <v>120</v>
      </c>
    </row>
    <row r="1508" spans="1:21" x14ac:dyDescent="0.25">
      <c r="A1508" s="5">
        <v>1507</v>
      </c>
      <c r="B1508" s="5"/>
      <c r="C1508" s="5" t="s">
        <v>97</v>
      </c>
      <c r="D1508" s="5" t="s">
        <v>281</v>
      </c>
      <c r="E1508" s="5" t="str">
        <f>IFERROR(VLOOKUP($D1508,FIYAT!$B:$O,2,FALSE()),"")</f>
        <v>КОРОБКА КЛЕММНАЯ ИСПЫТАТЕЛЬНАЯ ПЕРЕХОДНАЯ ККИ1-1 EKF PROXIMA</v>
      </c>
      <c r="F1508" s="5">
        <f>IFERROR(VLOOKUP($D1508,FIYAT!$B:$O,5,FALSE()),"")</f>
        <v>0</v>
      </c>
      <c r="G1508" s="5" t="str">
        <f>IFERROR(VLOOKUP($D1508,FIYAT!$B:$O,8,FALSE()),"")</f>
        <v/>
      </c>
      <c r="H1508" s="5" t="str">
        <f t="shared" si="178"/>
        <v/>
      </c>
      <c r="I1508" s="6">
        <v>4</v>
      </c>
      <c r="J1508" s="5" t="str">
        <f>IFERROR(VLOOKUP($D1508,FIYAT!$B:$O,9,FALSE()),"")</f>
        <v>Шт.</v>
      </c>
      <c r="K1508" s="5" t="str">
        <f>IFERROR(VLOOKUP($D1508,FIYAT!$B:$O,4,FALSE()),"")</f>
        <v>EKF</v>
      </c>
      <c r="L1508" s="5" t="str">
        <f t="shared" si="179"/>
        <v/>
      </c>
      <c r="M1508" s="5"/>
      <c r="N1508" s="5"/>
      <c r="O1508" s="5"/>
      <c r="P1508" s="7" t="str">
        <f>IF($H1508="","FIYAT_YOK",IFERROR(VLOOKUP($D1508,FIYAT!$B:$P,15,FALSE()),""))</f>
        <v>FIYAT_YOK</v>
      </c>
      <c r="Q1508" s="7" t="s">
        <v>283</v>
      </c>
      <c r="R1508" s="5"/>
      <c r="S1508" s="5" t="s">
        <v>725</v>
      </c>
      <c r="T1508" s="5" t="s">
        <v>97</v>
      </c>
      <c r="U1508" s="5">
        <f>IFERROR(VLOOKUP($T1508,KURALLAR!$A$32:$B$63,2,FALSE()),0)*IF(ISNUMBER($I1508),$I1508,0)</f>
        <v>16</v>
      </c>
    </row>
    <row r="1509" spans="1:21" x14ac:dyDescent="0.25">
      <c r="A1509" s="9">
        <v>1508</v>
      </c>
      <c r="B1509" s="9"/>
      <c r="C1509" s="9" t="s">
        <v>169</v>
      </c>
      <c r="D1509" s="9" t="s">
        <v>452</v>
      </c>
      <c r="E1509" s="9" t="str">
        <f>IFERROR(VLOOKUP($D1509,FIYAT!$B:$O,2,FALSE()),"")</f>
        <v>Авт. выкл. NM8N-630C EN 3P 630А 36кА с электронным расцепителем (R)</v>
      </c>
      <c r="F1509" s="9">
        <f>IFERROR(VLOOKUP($D1509,FIYAT!$B:$O,5,FALSE()),"")</f>
        <v>299616</v>
      </c>
      <c r="G1509" s="9">
        <f>IFERROR(VLOOKUP($D1509,FIYAT!$B:$O,8,FALSE()),"")</f>
        <v>179769.60000000001</v>
      </c>
      <c r="H1509" s="9">
        <f t="shared" si="178"/>
        <v>719078.40000000002</v>
      </c>
      <c r="I1509" s="6">
        <v>4</v>
      </c>
      <c r="J1509" s="9" t="str">
        <f>IFERROR(VLOOKUP($D1509,FIYAT!$B:$O,9,FALSE()),"")</f>
        <v>Шт.</v>
      </c>
      <c r="K1509" s="9" t="str">
        <f>IFERROR(VLOOKUP($D1509,FIYAT!$B:$O,4,FALSE()),"")</f>
        <v>CHINT</v>
      </c>
      <c r="L1509" s="9">
        <f t="shared" si="179"/>
        <v>719078.40000000002</v>
      </c>
      <c r="M1509" s="9"/>
      <c r="N1509" s="9"/>
      <c r="O1509" s="9"/>
      <c r="P1509" s="9" t="str">
        <f>IF($H1509="","FIYAT_YOK",IFERROR(VLOOKUP($D1509,FIYAT!$B:$P,15,FALSE()),""))</f>
        <v>MUADIL</v>
      </c>
      <c r="Q1509" s="9" t="s">
        <v>454</v>
      </c>
      <c r="R1509" s="9" t="s">
        <v>171</v>
      </c>
      <c r="S1509" s="9" t="s">
        <v>725</v>
      </c>
      <c r="T1509" s="9" t="s">
        <v>67</v>
      </c>
      <c r="U1509" s="9">
        <f>IFERROR(VLOOKUP($T1509,KURALLAR!$A$32:$B$63,2,FALSE()),0)*IF(ISNUMBER($I1509),$I1509,0)</f>
        <v>220</v>
      </c>
    </row>
    <row r="1510" spans="1:21" x14ac:dyDescent="0.25">
      <c r="A1510" s="5">
        <v>1509</v>
      </c>
      <c r="B1510" s="5"/>
      <c r="C1510" s="5" t="s">
        <v>169</v>
      </c>
      <c r="D1510" s="5" t="s">
        <v>379</v>
      </c>
      <c r="E1510" s="5" t="str">
        <f>IFERROR(VLOOKUP($D1510,FIYAT!$B:$O,2,FALSE()),"")</f>
        <v>Авт. выкл. NM8N-400C TM 3P 400А 36кА с рег. термомаг. расцепителем (R)</v>
      </c>
      <c r="F1510" s="5">
        <f>IFERROR(VLOOKUP($D1510,FIYAT!$B:$O,5,FALSE()),"")</f>
        <v>208671</v>
      </c>
      <c r="G1510" s="5">
        <f>IFERROR(VLOOKUP($D1510,FIYAT!$B:$O,8,FALSE()),"")</f>
        <v>125202.59999999999</v>
      </c>
      <c r="H1510" s="5">
        <f t="shared" si="178"/>
        <v>375607.8</v>
      </c>
      <c r="I1510" s="6">
        <v>3</v>
      </c>
      <c r="J1510" s="5" t="str">
        <f>IFERROR(VLOOKUP($D1510,FIYAT!$B:$O,9,FALSE()),"")</f>
        <v>Шт.</v>
      </c>
      <c r="K1510" s="5" t="str">
        <f>IFERROR(VLOOKUP($D1510,FIYAT!$B:$O,4,FALSE()),"")</f>
        <v>CHINT</v>
      </c>
      <c r="L1510" s="5">
        <f t="shared" si="179"/>
        <v>375607.8</v>
      </c>
      <c r="M1510" s="5"/>
      <c r="N1510" s="5"/>
      <c r="O1510" s="5"/>
      <c r="P1510" s="5" t="str">
        <f>IF($H1510="","FIYAT_YOK",IFERROR(VLOOKUP($D1510,FIYAT!$B:$P,15,FALSE()),""))</f>
        <v>OK</v>
      </c>
      <c r="Q1510" s="5" t="s">
        <v>381</v>
      </c>
      <c r="R1510" s="5" t="s">
        <v>171</v>
      </c>
      <c r="S1510" s="5" t="s">
        <v>725</v>
      </c>
      <c r="T1510" s="5" t="s">
        <v>65</v>
      </c>
      <c r="U1510" s="5">
        <f>IFERROR(VLOOKUP($T1510,KURALLAR!$A$32:$B$63,2,FALSE()),0)*IF(ISNUMBER($I1510),$I1510,0)</f>
        <v>120</v>
      </c>
    </row>
    <row r="1511" spans="1:21" x14ac:dyDescent="0.25">
      <c r="A1511" s="9">
        <v>1510</v>
      </c>
      <c r="B1511" s="9"/>
      <c r="C1511" s="9" t="s">
        <v>169</v>
      </c>
      <c r="D1511" s="9" t="s">
        <v>231</v>
      </c>
      <c r="E1511" s="9" t="str">
        <f>IFERROR(VLOOKUP($D1511,FIYAT!$B:$O,2,FALSE()),"")</f>
        <v>Авт. выкл. NM8N-125C TM 3P 80А 36кА с рег. термомаг. расцепителем (R)</v>
      </c>
      <c r="F1511" s="9">
        <f>IFERROR(VLOOKUP($D1511,FIYAT!$B:$O,5,FALSE()),"")</f>
        <v>64129</v>
      </c>
      <c r="G1511" s="9">
        <f>IFERROR(VLOOKUP($D1511,FIYAT!$B:$O,8,FALSE()),"")</f>
        <v>38477.4</v>
      </c>
      <c r="H1511" s="9">
        <f t="shared" si="178"/>
        <v>38477.4</v>
      </c>
      <c r="I1511" s="6">
        <v>1</v>
      </c>
      <c r="J1511" s="9" t="str">
        <f>IFERROR(VLOOKUP($D1511,FIYAT!$B:$O,9,FALSE()),"")</f>
        <v>Шт.</v>
      </c>
      <c r="K1511" s="9" t="str">
        <f>IFERROR(VLOOKUP($D1511,FIYAT!$B:$O,4,FALSE()),"")</f>
        <v>CHINT</v>
      </c>
      <c r="L1511" s="9">
        <f t="shared" si="179"/>
        <v>38477.4</v>
      </c>
      <c r="M1511" s="9"/>
      <c r="N1511" s="9"/>
      <c r="O1511" s="9"/>
      <c r="P1511" s="9" t="str">
        <f>IF($H1511="","FIYAT_YOK",IFERROR(VLOOKUP($D1511,FIYAT!$B:$P,15,FALSE()),""))</f>
        <v>OK</v>
      </c>
      <c r="Q1511" s="9" t="s">
        <v>233</v>
      </c>
      <c r="R1511" s="9" t="s">
        <v>171</v>
      </c>
      <c r="S1511" s="9" t="s">
        <v>725</v>
      </c>
      <c r="T1511" s="9" t="s">
        <v>61</v>
      </c>
      <c r="U1511" s="9">
        <f>IFERROR(VLOOKUP($T1511,KURALLAR!$A$32:$B$63,2,FALSE()),0)*IF(ISNUMBER($I1511),$I1511,0)</f>
        <v>15</v>
      </c>
    </row>
    <row r="1512" spans="1:21" x14ac:dyDescent="0.25">
      <c r="A1512" s="5">
        <v>1511</v>
      </c>
      <c r="B1512" s="5"/>
      <c r="C1512" s="5" t="s">
        <v>83</v>
      </c>
      <c r="D1512" s="5" t="s">
        <v>507</v>
      </c>
      <c r="E1512" s="5" t="str">
        <f>IFERROR(VLOOKUP($D1512,FIYAT!$B:$O,2,FALSE()),"")</f>
        <v>Трансформатор тока Т-0.66-1,2 У3 600/5А (для счётчика)</v>
      </c>
      <c r="F1512" s="5">
        <f>IFERROR(VLOOKUP($D1512,FIYAT!$B:$O,5,FALSE()),"")</f>
        <v>0</v>
      </c>
      <c r="G1512" s="5" t="str">
        <f>IFERROR(VLOOKUP($D1512,FIYAT!$B:$O,8,FALSE()),"")</f>
        <v/>
      </c>
      <c r="H1512" s="5" t="str">
        <f t="shared" si="178"/>
        <v/>
      </c>
      <c r="I1512" s="6">
        <v>3</v>
      </c>
      <c r="J1512" s="5" t="str">
        <f>IFERROR(VLOOKUP($D1512,FIYAT!$B:$O,9,FALSE()),"")</f>
        <v>Шт.</v>
      </c>
      <c r="K1512" s="5" t="str">
        <f>IFERROR(VLOOKUP($D1512,FIYAT!$B:$O,4,FALSE()),"")</f>
        <v>MUADIL-NET</v>
      </c>
      <c r="L1512" s="5" t="str">
        <f t="shared" si="179"/>
        <v/>
      </c>
      <c r="M1512" s="5"/>
      <c r="N1512" s="5"/>
      <c r="O1512" s="5"/>
      <c r="P1512" s="7" t="str">
        <f>IF($H1512="","FIYAT_YOK",IFERROR(VLOOKUP($D1512,FIYAT!$B:$P,15,FALSE()),""))</f>
        <v>FIYAT_YOK</v>
      </c>
      <c r="Q1512" s="7" t="s">
        <v>509</v>
      </c>
      <c r="R1512" s="5"/>
      <c r="S1512" s="5" t="s">
        <v>725</v>
      </c>
      <c r="T1512" s="5" t="s">
        <v>83</v>
      </c>
      <c r="U1512" s="5">
        <f>IFERROR(VLOOKUP($T1512,KURALLAR!$A$32:$B$63,2,FALSE()),0)*IF(ISNUMBER($I1512),$I1512,0)</f>
        <v>30</v>
      </c>
    </row>
    <row r="1513" spans="1:21" x14ac:dyDescent="0.25">
      <c r="A1513" s="9">
        <v>1512</v>
      </c>
      <c r="B1513" s="9"/>
      <c r="C1513" s="9" t="s">
        <v>83</v>
      </c>
      <c r="D1513" s="9" t="s">
        <v>382</v>
      </c>
      <c r="E1513" s="9" t="str">
        <f>IFERROR(VLOOKUP($D1513,FIYAT!$B:$O,2,FALSE()),"")</f>
        <v>Трансформатор тока Т-0.66-1,2 У3 400/5А (для счётчика)</v>
      </c>
      <c r="F1513" s="9">
        <f>IFERROR(VLOOKUP($D1513,FIYAT!$B:$O,5,FALSE()),"")</f>
        <v>0</v>
      </c>
      <c r="G1513" s="9" t="str">
        <f>IFERROR(VLOOKUP($D1513,FIYAT!$B:$O,8,FALSE()),"")</f>
        <v/>
      </c>
      <c r="H1513" s="9" t="str">
        <f t="shared" si="178"/>
        <v/>
      </c>
      <c r="I1513" s="6">
        <v>6</v>
      </c>
      <c r="J1513" s="9" t="str">
        <f>IFERROR(VLOOKUP($D1513,FIYAT!$B:$O,9,FALSE()),"")</f>
        <v>Шт.</v>
      </c>
      <c r="K1513" s="9" t="str">
        <f>IFERROR(VLOOKUP($D1513,FIYAT!$B:$O,4,FALSE()),"")</f>
        <v>MUADIL-NET</v>
      </c>
      <c r="L1513" s="9" t="str">
        <f t="shared" si="179"/>
        <v/>
      </c>
      <c r="M1513" s="9"/>
      <c r="N1513" s="9"/>
      <c r="O1513" s="9"/>
      <c r="P1513" s="7" t="str">
        <f>IF($H1513="","FIYAT_YOK",IFERROR(VLOOKUP($D1513,FIYAT!$B:$P,15,FALSE()),""))</f>
        <v>FIYAT_YOK</v>
      </c>
      <c r="Q1513" s="7" t="s">
        <v>384</v>
      </c>
      <c r="R1513" s="9"/>
      <c r="S1513" s="9" t="s">
        <v>725</v>
      </c>
      <c r="T1513" s="9" t="s">
        <v>83</v>
      </c>
      <c r="U1513" s="9">
        <f>IFERROR(VLOOKUP($T1513,KURALLAR!$A$32:$B$63,2,FALSE()),0)*IF(ISNUMBER($I1513),$I1513,0)</f>
        <v>60</v>
      </c>
    </row>
    <row r="1514" spans="1:21" x14ac:dyDescent="0.25">
      <c r="A1514" s="5">
        <v>1513</v>
      </c>
      <c r="B1514" s="5"/>
      <c r="C1514" s="5" t="s">
        <v>253</v>
      </c>
      <c r="D1514" s="5" t="s">
        <v>251</v>
      </c>
      <c r="E1514" s="5" t="str">
        <f>IFERROR(VLOOKUP($D1514,FIYAT!$B:$O,2,FALSE()),"")</f>
        <v>Шина алюминиевая твёрдая (ШАТ)</v>
      </c>
      <c r="F1514" s="5">
        <f>IFERROR(VLOOKUP($D1514,FIYAT!$B:$O,5,FALSE()),"")</f>
        <v>4493.5999999999995</v>
      </c>
      <c r="G1514" s="5">
        <f>IFERROR(VLOOKUP($D1514,FIYAT!$B:$O,8,FALSE()),"")</f>
        <v>4493.5999999999995</v>
      </c>
      <c r="H1514" s="5">
        <f t="shared" si="178"/>
        <v>1114412.7999999998</v>
      </c>
      <c r="I1514" s="6">
        <v>248</v>
      </c>
      <c r="J1514" s="5" t="str">
        <f>IFERROR(VLOOKUP($D1514,FIYAT!$B:$O,9,FALSE()),"")</f>
        <v>Кг.</v>
      </c>
      <c r="K1514" s="5" t="str">
        <f>IFERROR(VLOOKUP($D1514,FIYAT!$B:$O,4,FALSE()),"")</f>
        <v>ALUM-BARA</v>
      </c>
      <c r="L1514" s="5">
        <f t="shared" si="179"/>
        <v>1114412.7999999998</v>
      </c>
      <c r="M1514" s="5"/>
      <c r="N1514" s="5"/>
      <c r="O1514" s="5"/>
      <c r="P1514" s="5" t="str">
        <f>IF($H1514="","FIYAT_YOK",IFERROR(VLOOKUP($D1514,FIYAT!$B:$P,15,FALSE()),""))</f>
        <v>VARSAYIM</v>
      </c>
      <c r="Q1514" s="5" t="s">
        <v>255</v>
      </c>
      <c r="R1514" s="5"/>
      <c r="S1514" s="5" t="s">
        <v>725</v>
      </c>
      <c r="T1514" s="5" t="s">
        <v>101</v>
      </c>
      <c r="U1514" s="5">
        <f>IFERROR(VLOOKUP($T1514,KURALLAR!$A$32:$B$63,2,FALSE()),0)*IF(ISNUMBER($I1514),$I1514,0)</f>
        <v>1488</v>
      </c>
    </row>
    <row r="1515" spans="1:21" x14ac:dyDescent="0.25">
      <c r="A1515" s="9">
        <v>1514</v>
      </c>
      <c r="B1515" s="9"/>
      <c r="C1515" s="9" t="s">
        <v>222</v>
      </c>
      <c r="D1515" s="9" t="s">
        <v>256</v>
      </c>
      <c r="E1515" s="9" t="str">
        <f>IFERROR(VLOOKUP($D1515,FIYAT!$B:$O,2,FALSE()),"")</f>
        <v>Щит (moduler) 2000x800x800+100</v>
      </c>
      <c r="F1515" s="9">
        <f>IFERROR(VLOOKUP($D1515,FIYAT!$B:$O,5,FALSE()),"")</f>
        <v>197400</v>
      </c>
      <c r="G1515" s="9">
        <f>IFERROR(VLOOKUP($D1515,FIYAT!$B:$O,8,FALSE()),"")</f>
        <v>118440</v>
      </c>
      <c r="H1515" s="9">
        <f t="shared" si="178"/>
        <v>236880</v>
      </c>
      <c r="I1515" s="6">
        <v>2</v>
      </c>
      <c r="J1515" s="9" t="str">
        <f>IFERROR(VLOOKUP($D1515,FIYAT!$B:$O,9,FALSE()),"")</f>
        <v>Шт.</v>
      </c>
      <c r="K1515" s="9" t="str">
        <f>IFERROR(VLOOKUP($D1515,FIYAT!$B:$O,4,FALSE()),"")</f>
        <v>KAZTEK</v>
      </c>
      <c r="L1515" s="9">
        <f t="shared" si="179"/>
        <v>236880</v>
      </c>
      <c r="M1515" s="9"/>
      <c r="N1515" s="9"/>
      <c r="O1515" s="9"/>
      <c r="P1515" s="9" t="str">
        <f>IF($H1515="","FIYAT_YOK",IFERROR(VLOOKUP($D1515,FIYAT!$B:$P,15,FALSE()),""))</f>
        <v>VARSAYIM</v>
      </c>
      <c r="Q1515" s="9" t="s">
        <v>258</v>
      </c>
      <c r="R1515" s="9" t="s">
        <v>211</v>
      </c>
      <c r="S1515" s="9" t="s">
        <v>725</v>
      </c>
      <c r="T1515" s="9" t="s">
        <v>107</v>
      </c>
      <c r="U1515" s="9">
        <f>IFERROR(VLOOKUP($T1515,KURALLAR!$A$32:$B$63,2,FALSE()),0)*IF(ISNUMBER($I1515),$I1515,0)</f>
        <v>180</v>
      </c>
    </row>
    <row r="1516" spans="1:21" x14ac:dyDescent="0.25">
      <c r="A1516" s="5">
        <v>1515</v>
      </c>
      <c r="B1516" s="5"/>
      <c r="C1516" s="5" t="s">
        <v>215</v>
      </c>
      <c r="D1516" s="5" t="s">
        <v>213</v>
      </c>
      <c r="E1516" s="5" t="str">
        <f>IFERROR(VLOOKUP($D1516,FIYAT!$B:$O,2,FALSE()),"")</f>
        <v>Монтажный расходный материал (кабель, DIN-рейка, кабель-канал, клеммы, маркировка, крепёж)</v>
      </c>
      <c r="F1516" s="5">
        <f>IFERROR(VLOOKUP($D1516,FIYAT!$B:$O,5,FALSE()),"")</f>
        <v>0</v>
      </c>
      <c r="G1516" s="5" t="str">
        <f>IFERROR(VLOOKUP($D1516,FIYAT!$B:$O,8,FALSE()),"")</f>
        <v/>
      </c>
      <c r="H1516" s="5">
        <f>ROUND(SUM($H$1498:$H$1515)*KURALLAR!$B$28,0)</f>
        <v>244338</v>
      </c>
      <c r="I1516" s="6">
        <v>1</v>
      </c>
      <c r="J1516" s="5" t="str">
        <f>IFERROR(VLOOKUP($D1516,FIYAT!$B:$O,9,FALSE()),"")</f>
        <v>компл.</v>
      </c>
      <c r="K1516" s="5" t="str">
        <f>IFERROR(VLOOKUP($D1516,FIYAT!$B:$O,4,FALSE()),"")</f>
        <v>MUADIL-NET</v>
      </c>
      <c r="L1516" s="5">
        <f t="shared" si="179"/>
        <v>244338</v>
      </c>
      <c r="M1516" s="5"/>
      <c r="N1516" s="5"/>
      <c r="O1516" s="5"/>
      <c r="P1516" s="5" t="str">
        <f>IF($H1516="","FIYAT_YOK",IFERROR(VLOOKUP($D1516,FIYAT!$B:$P,15,FALSE()),""))</f>
        <v>ORAN</v>
      </c>
      <c r="Q1516" s="5" t="s">
        <v>218</v>
      </c>
      <c r="R1516" s="5" t="s">
        <v>217</v>
      </c>
      <c r="S1516" s="5" t="s">
        <v>725</v>
      </c>
      <c r="T1516" s="5"/>
      <c r="U1516" s="5">
        <v>0</v>
      </c>
    </row>
    <row r="1517" spans="1:21" x14ac:dyDescent="0.25">
      <c r="A1517" s="9">
        <v>1516</v>
      </c>
      <c r="B1517" s="9"/>
      <c r="C1517" s="9" t="s">
        <v>227</v>
      </c>
      <c r="D1517" s="9" t="s">
        <v>225</v>
      </c>
      <c r="E1517" s="9" t="str">
        <f>IFERROR(VLOOKUP($D1517,FIYAT!$B:$O,2,FALSE()),"")</f>
        <v>Сборка, кабелирование, маркировка, момент затяжки, испытания</v>
      </c>
      <c r="F1517" s="9">
        <f>IFERROR(VLOOKUP($D1517,FIYAT!$B:$O,5,FALSE()),"")</f>
        <v>100</v>
      </c>
      <c r="G1517" s="9">
        <f>IFERROR(VLOOKUP($D1517,FIYAT!$B:$O,8,FALSE()),"")</f>
        <v>100</v>
      </c>
      <c r="H1517" s="9">
        <f>IF(OR($G1517="",$I1517=""),"",$G1517*$I1517)</f>
        <v>298300</v>
      </c>
      <c r="I1517" s="6">
        <f>ROUND(SUM($U$1498:$U$1516)*KURALLAR!$B$27,0)</f>
        <v>2983</v>
      </c>
      <c r="J1517" s="9" t="str">
        <f>IFERROR(VLOOKUP($D1517,FIYAT!$B:$O,9,FALSE()),"")</f>
        <v>мин</v>
      </c>
      <c r="K1517" s="9" t="str">
        <f>IFERROR(VLOOKUP($D1517,FIYAT!$B:$O,4,FALSE()),"")</f>
        <v>ISCILIK</v>
      </c>
      <c r="L1517" s="9">
        <f t="shared" si="179"/>
        <v>298300</v>
      </c>
      <c r="M1517" s="9"/>
      <c r="N1517" s="9"/>
      <c r="O1517" s="9"/>
      <c r="P1517" s="9" t="str">
        <f>IF($H1517="","FIYAT_YOK",IFERROR(VLOOKUP($D1517,FIYAT!$B:$P,15,FALSE()),""))</f>
        <v>OK</v>
      </c>
      <c r="Q1517" s="9" t="str">
        <f>CONCATENATE("montaj+test iscilik: ",TEXT($I1517,"# ##0")," dk = ",TEXT($I1517/60,"0,00")," saat (norm x test/etiket carpani)")</f>
        <v>montaj+test iscilik: 2 983 dk = 49,72 saat (norm x test/etiket carpani)</v>
      </c>
      <c r="R1517" s="9" t="s">
        <v>229</v>
      </c>
      <c r="S1517" s="9" t="s">
        <v>725</v>
      </c>
      <c r="T1517" s="9"/>
      <c r="U1517" s="9">
        <v>0</v>
      </c>
    </row>
    <row r="1518" spans="1:21" x14ac:dyDescent="0.25">
      <c r="A1518" s="10">
        <v>1517</v>
      </c>
      <c r="B1518" s="10" t="s">
        <v>732</v>
      </c>
      <c r="C1518" s="10"/>
      <c r="D1518" s="10"/>
      <c r="E1518" s="10"/>
      <c r="F1518" s="10"/>
      <c r="G1518" s="10"/>
      <c r="H1518" s="10">
        <f>SUBTOTAL(9,H1498:H1517)</f>
        <v>4033176.1999999997</v>
      </c>
      <c r="I1518" s="10"/>
      <c r="J1518" s="10"/>
      <c r="K1518" s="10"/>
      <c r="L1518" s="10">
        <f>SUBTOTAL(9,L1498:L1517)</f>
        <v>4033176.1999999997</v>
      </c>
      <c r="M1518" s="10"/>
      <c r="N1518" s="10"/>
      <c r="O1518" s="10"/>
      <c r="P1518" s="10"/>
      <c r="Q1518" s="10"/>
      <c r="R1518" s="10"/>
      <c r="S1518" s="10"/>
      <c r="T1518" s="10"/>
      <c r="U1518" s="10">
        <f>SUBTOTAL(9,U1498:U1517)</f>
        <v>2594</v>
      </c>
    </row>
    <row r="1519" spans="1:21" x14ac:dyDescent="0.25">
      <c r="A1519" s="8">
        <v>1518</v>
      </c>
      <c r="B1519" s="8" t="str">
        <f>E1519</f>
        <v>LPS / Главный распределительный щит АВР-LOT1A — НКУ 380/220В 50Гц, FORM 2B, IP31/54</v>
      </c>
      <c r="C1519" s="8" t="s">
        <v>545</v>
      </c>
      <c r="D1519" s="8"/>
      <c r="E1519" s="8" t="s">
        <v>733</v>
      </c>
      <c r="F1519" s="8"/>
      <c r="G1519" s="8"/>
      <c r="H1519" s="8"/>
      <c r="I1519" s="8">
        <v>1</v>
      </c>
      <c r="J1519" s="8" t="s">
        <v>547</v>
      </c>
      <c r="K1519" s="8"/>
      <c r="L1519" s="8"/>
      <c r="M1519" s="8"/>
      <c r="N1519" s="8"/>
      <c r="O1519" s="8"/>
      <c r="P1519" s="8" t="s">
        <v>178</v>
      </c>
      <c r="Q1519" s="8" t="s">
        <v>548</v>
      </c>
      <c r="R1519" s="8" t="s">
        <v>549</v>
      </c>
      <c r="S1519" s="8" t="s">
        <v>725</v>
      </c>
      <c r="T1519" s="8"/>
      <c r="U1519" s="8"/>
    </row>
    <row r="1520" spans="1:21" x14ac:dyDescent="0.25">
      <c r="A1520" s="5">
        <v>1519</v>
      </c>
      <c r="B1520" s="5"/>
      <c r="C1520" s="5" t="s">
        <v>169</v>
      </c>
      <c r="D1520" s="5" t="s">
        <v>452</v>
      </c>
      <c r="E1520" s="5" t="str">
        <f>IFERROR(VLOOKUP($D1520,FIYAT!$B:$O,2,FALSE()),"")</f>
        <v>Авт. выкл. NM8N-630C EN 3P 630А 36кА с электронным расцепителем (R)</v>
      </c>
      <c r="F1520" s="5">
        <f>IFERROR(VLOOKUP($D1520,FIYAT!$B:$O,5,FALSE()),"")</f>
        <v>299616</v>
      </c>
      <c r="G1520" s="5">
        <f>IFERROR(VLOOKUP($D1520,FIYAT!$B:$O,8,FALSE()),"")</f>
        <v>179769.60000000001</v>
      </c>
      <c r="H1520" s="5">
        <f t="shared" ref="H1520:H1538" si="180">IF(OR($G1520="",$I1520=""),"",$G1520*$I1520)</f>
        <v>179769.60000000001</v>
      </c>
      <c r="I1520" s="6">
        <v>1</v>
      </c>
      <c r="J1520" s="5" t="str">
        <f>IFERROR(VLOOKUP($D1520,FIYAT!$B:$O,9,FALSE()),"")</f>
        <v>Шт.</v>
      </c>
      <c r="K1520" s="5" t="str">
        <f>IFERROR(VLOOKUP($D1520,FIYAT!$B:$O,4,FALSE()),"")</f>
        <v>CHINT</v>
      </c>
      <c r="L1520" s="5">
        <f t="shared" ref="L1520:L1540" si="181">IF($H1520="","",$H1520)</f>
        <v>179769.60000000001</v>
      </c>
      <c r="M1520" s="5"/>
      <c r="N1520" s="5"/>
      <c r="O1520" s="5"/>
      <c r="P1520" s="5" t="str">
        <f>IF($H1520="","FIYAT_YOK",IFERROR(VLOOKUP($D1520,FIYAT!$B:$P,15,FALSE()),""))</f>
        <v>MUADIL</v>
      </c>
      <c r="Q1520" s="5" t="s">
        <v>454</v>
      </c>
      <c r="R1520" s="5" t="s">
        <v>171</v>
      </c>
      <c r="S1520" s="5" t="s">
        <v>725</v>
      </c>
      <c r="T1520" s="5" t="s">
        <v>67</v>
      </c>
      <c r="U1520" s="5">
        <f>IFERROR(VLOOKUP($T1520,KURALLAR!$A$32:$B$63,2,FALSE()),0)*IF(ISNUMBER($I1520),$I1520,0)</f>
        <v>55</v>
      </c>
    </row>
    <row r="1521" spans="1:21" x14ac:dyDescent="0.25">
      <c r="A1521" s="9">
        <v>1520</v>
      </c>
      <c r="B1521" s="9"/>
      <c r="C1521" s="9" t="s">
        <v>83</v>
      </c>
      <c r="D1521" s="9" t="s">
        <v>507</v>
      </c>
      <c r="E1521" s="9" t="str">
        <f>IFERROR(VLOOKUP($D1521,FIYAT!$B:$O,2,FALSE()),"")</f>
        <v>Трансформатор тока Т-0.66-1,2 У3 600/5А (для счётчика)</v>
      </c>
      <c r="F1521" s="9">
        <f>IFERROR(VLOOKUP($D1521,FIYAT!$B:$O,5,FALSE()),"")</f>
        <v>0</v>
      </c>
      <c r="G1521" s="9" t="str">
        <f>IFERROR(VLOOKUP($D1521,FIYAT!$B:$O,8,FALSE()),"")</f>
        <v/>
      </c>
      <c r="H1521" s="9" t="str">
        <f t="shared" si="180"/>
        <v/>
      </c>
      <c r="I1521" s="6">
        <v>3</v>
      </c>
      <c r="J1521" s="9" t="str">
        <f>IFERROR(VLOOKUP($D1521,FIYAT!$B:$O,9,FALSE()),"")</f>
        <v>Шт.</v>
      </c>
      <c r="K1521" s="9" t="str">
        <f>IFERROR(VLOOKUP($D1521,FIYAT!$B:$O,4,FALSE()),"")</f>
        <v>MUADIL-NET</v>
      </c>
      <c r="L1521" s="9" t="str">
        <f t="shared" si="181"/>
        <v/>
      </c>
      <c r="M1521" s="9"/>
      <c r="N1521" s="9"/>
      <c r="O1521" s="9"/>
      <c r="P1521" s="7" t="str">
        <f>IF($H1521="","FIYAT_YOK",IFERROR(VLOOKUP($D1521,FIYAT!$B:$P,15,FALSE()),""))</f>
        <v>FIYAT_YOK</v>
      </c>
      <c r="Q1521" s="7" t="s">
        <v>509</v>
      </c>
      <c r="R1521" s="9"/>
      <c r="S1521" s="9" t="s">
        <v>725</v>
      </c>
      <c r="T1521" s="9" t="s">
        <v>83</v>
      </c>
      <c r="U1521" s="9">
        <f>IFERROR(VLOOKUP($T1521,KURALLAR!$A$32:$B$63,2,FALSE()),0)*IF(ISNUMBER($I1521),$I1521,0)</f>
        <v>30</v>
      </c>
    </row>
    <row r="1522" spans="1:21" x14ac:dyDescent="0.25">
      <c r="A1522" s="5">
        <v>1521</v>
      </c>
      <c r="B1522" s="5"/>
      <c r="C1522" s="5" t="s">
        <v>97</v>
      </c>
      <c r="D1522" s="5" t="s">
        <v>281</v>
      </c>
      <c r="E1522" s="5" t="str">
        <f>IFERROR(VLOOKUP($D1522,FIYAT!$B:$O,2,FALSE()),"")</f>
        <v>КОРОБКА КЛЕММНАЯ ИСПЫТАТЕЛЬНАЯ ПЕРЕХОДНАЯ ККИ1-1 EKF PROXIMA</v>
      </c>
      <c r="F1522" s="5">
        <f>IFERROR(VLOOKUP($D1522,FIYAT!$B:$O,5,FALSE()),"")</f>
        <v>0</v>
      </c>
      <c r="G1522" s="5" t="str">
        <f>IFERROR(VLOOKUP($D1522,FIYAT!$B:$O,8,FALSE()),"")</f>
        <v/>
      </c>
      <c r="H1522" s="5" t="str">
        <f t="shared" si="180"/>
        <v/>
      </c>
      <c r="I1522" s="6">
        <v>1</v>
      </c>
      <c r="J1522" s="5" t="str">
        <f>IFERROR(VLOOKUP($D1522,FIYAT!$B:$O,9,FALSE()),"")</f>
        <v>Шт.</v>
      </c>
      <c r="K1522" s="5" t="str">
        <f>IFERROR(VLOOKUP($D1522,FIYAT!$B:$O,4,FALSE()),"")</f>
        <v>EKF</v>
      </c>
      <c r="L1522" s="5" t="str">
        <f t="shared" si="181"/>
        <v/>
      </c>
      <c r="M1522" s="5"/>
      <c r="N1522" s="5"/>
      <c r="O1522" s="5"/>
      <c r="P1522" s="7" t="str">
        <f>IF($H1522="","FIYAT_YOK",IFERROR(VLOOKUP($D1522,FIYAT!$B:$P,15,FALSE()),""))</f>
        <v>FIYAT_YOK</v>
      </c>
      <c r="Q1522" s="7" t="s">
        <v>283</v>
      </c>
      <c r="R1522" s="5"/>
      <c r="S1522" s="5" t="s">
        <v>725</v>
      </c>
      <c r="T1522" s="5" t="s">
        <v>97</v>
      </c>
      <c r="U1522" s="5">
        <f>IFERROR(VLOOKUP($T1522,KURALLAR!$A$32:$B$63,2,FALSE()),0)*IF(ISNUMBER($I1522),$I1522,0)</f>
        <v>4</v>
      </c>
    </row>
    <row r="1523" spans="1:21" x14ac:dyDescent="0.25">
      <c r="A1523" s="9">
        <v>1522</v>
      </c>
      <c r="B1523" s="9"/>
      <c r="C1523" s="9" t="s">
        <v>81</v>
      </c>
      <c r="D1523" s="9" t="s">
        <v>284</v>
      </c>
      <c r="E1523" s="9" t="str">
        <f>IFERROR(VLOOKUP($D1523,FIYAT!$B:$O,2,FALSE()),"")</f>
        <v>Трехфазный эл.счетчик EX 518 5А (трансф. подкл.) с PLC модулем</v>
      </c>
      <c r="F1523" s="9">
        <f>IFERROR(VLOOKUP($D1523,FIYAT!$B:$O,5,FALSE()),"")</f>
        <v>0</v>
      </c>
      <c r="G1523" s="9" t="str">
        <f>IFERROR(VLOOKUP($D1523,FIYAT!$B:$O,8,FALSE()),"")</f>
        <v/>
      </c>
      <c r="H1523" s="9" t="str">
        <f t="shared" si="180"/>
        <v/>
      </c>
      <c r="I1523" s="6">
        <v>1</v>
      </c>
      <c r="J1523" s="9" t="str">
        <f>IFERROR(VLOOKUP($D1523,FIYAT!$B:$O,9,FALSE()),"")</f>
        <v>Шт.</v>
      </c>
      <c r="K1523" s="9" t="str">
        <f>IFERROR(VLOOKUP($D1523,FIYAT!$B:$O,4,FALSE()),"")</f>
        <v>MUADIL-NET</v>
      </c>
      <c r="L1523" s="9" t="str">
        <f t="shared" si="181"/>
        <v/>
      </c>
      <c r="M1523" s="9"/>
      <c r="N1523" s="9"/>
      <c r="O1523" s="9"/>
      <c r="P1523" s="7" t="str">
        <f>IF($H1523="","FIYAT_YOK",IFERROR(VLOOKUP($D1523,FIYAT!$B:$P,15,FALSE()),""))</f>
        <v>FIYAT_YOK</v>
      </c>
      <c r="Q1523" s="7" t="s">
        <v>249</v>
      </c>
      <c r="R1523" s="9"/>
      <c r="S1523" s="9" t="s">
        <v>725</v>
      </c>
      <c r="T1523" s="9" t="s">
        <v>81</v>
      </c>
      <c r="U1523" s="9">
        <f>IFERROR(VLOOKUP($T1523,KURALLAR!$A$32:$B$63,2,FALSE()),0)*IF(ISNUMBER($I1523),$I1523,0)</f>
        <v>30</v>
      </c>
    </row>
    <row r="1524" spans="1:21" x14ac:dyDescent="0.25">
      <c r="A1524" s="5">
        <v>1523</v>
      </c>
      <c r="B1524" s="5"/>
      <c r="C1524" s="5" t="s">
        <v>192</v>
      </c>
      <c r="D1524" s="5" t="s">
        <v>238</v>
      </c>
      <c r="E1524" s="5" t="str">
        <f>IFERROR(VLOOKUP($D1524,FIYAT!$B:$O,2,FALSE()),"")</f>
        <v>Авт. выкл. NXB-63 1P 6A 6кА х-ка C (R)</v>
      </c>
      <c r="F1524" s="5">
        <f>IFERROR(VLOOKUP($D1524,FIYAT!$B:$O,5,FALSE()),"")</f>
        <v>1436</v>
      </c>
      <c r="G1524" s="5">
        <f>IFERROR(VLOOKUP($D1524,FIYAT!$B:$O,8,FALSE()),"")</f>
        <v>861.6</v>
      </c>
      <c r="H1524" s="5">
        <f t="shared" si="180"/>
        <v>6031.2</v>
      </c>
      <c r="I1524" s="6">
        <v>7</v>
      </c>
      <c r="J1524" s="5" t="str">
        <f>IFERROR(VLOOKUP($D1524,FIYAT!$B:$O,9,FALSE()),"")</f>
        <v>Шт.</v>
      </c>
      <c r="K1524" s="5" t="str">
        <f>IFERROR(VLOOKUP($D1524,FIYAT!$B:$O,4,FALSE()),"")</f>
        <v>CHINT</v>
      </c>
      <c r="L1524" s="5">
        <f t="shared" si="181"/>
        <v>6031.2</v>
      </c>
      <c r="M1524" s="5"/>
      <c r="N1524" s="5"/>
      <c r="O1524" s="5"/>
      <c r="P1524" s="5" t="str">
        <f>IF($H1524="","FIYAT_YOK",IFERROR(VLOOKUP($D1524,FIYAT!$B:$P,15,FALSE()),""))</f>
        <v>OK</v>
      </c>
      <c r="Q1524" s="5" t="s">
        <v>240</v>
      </c>
      <c r="R1524" s="5" t="s">
        <v>171</v>
      </c>
      <c r="S1524" s="5" t="s">
        <v>725</v>
      </c>
      <c r="T1524" s="5" t="s">
        <v>47</v>
      </c>
      <c r="U1524" s="5">
        <f>IFERROR(VLOOKUP($T1524,KURALLAR!$A$32:$B$63,2,FALSE()),0)*IF(ISNUMBER($I1524),$I1524,0)</f>
        <v>21</v>
      </c>
    </row>
    <row r="1525" spans="1:21" x14ac:dyDescent="0.25">
      <c r="A1525" s="9">
        <v>1524</v>
      </c>
      <c r="B1525" s="9"/>
      <c r="C1525" s="9" t="s">
        <v>89</v>
      </c>
      <c r="D1525" s="9" t="s">
        <v>241</v>
      </c>
      <c r="E1525" s="9" t="str">
        <f>IFERROR(VLOOKUP($D1525,FIYAT!$B:$O,2,FALSE()),"")</f>
        <v>Индикатор ND16-22DS/4 белый АС230В (R)</v>
      </c>
      <c r="F1525" s="9">
        <f>IFERROR(VLOOKUP($D1525,FIYAT!$B:$O,5,FALSE()),"")</f>
        <v>1047</v>
      </c>
      <c r="G1525" s="9">
        <f>IFERROR(VLOOKUP($D1525,FIYAT!$B:$O,8,FALSE()),"")</f>
        <v>628.19999999999993</v>
      </c>
      <c r="H1525" s="9">
        <f t="shared" si="180"/>
        <v>1884.6</v>
      </c>
      <c r="I1525" s="6">
        <v>3</v>
      </c>
      <c r="J1525" s="9" t="str">
        <f>IFERROR(VLOOKUP($D1525,FIYAT!$B:$O,9,FALSE()),"")</f>
        <v>Шт.</v>
      </c>
      <c r="K1525" s="9" t="str">
        <f>IFERROR(VLOOKUP($D1525,FIYAT!$B:$O,4,FALSE()),"")</f>
        <v>CHINT</v>
      </c>
      <c r="L1525" s="9">
        <f t="shared" si="181"/>
        <v>1884.6</v>
      </c>
      <c r="M1525" s="9"/>
      <c r="N1525" s="9"/>
      <c r="O1525" s="9"/>
      <c r="P1525" s="9" t="str">
        <f>IF($H1525="","FIYAT_YOK",IFERROR(VLOOKUP($D1525,FIYAT!$B:$P,15,FALSE()),""))</f>
        <v>OK</v>
      </c>
      <c r="Q1525" s="9" t="s">
        <v>243</v>
      </c>
      <c r="R1525" s="9" t="s">
        <v>184</v>
      </c>
      <c r="S1525" s="9" t="s">
        <v>725</v>
      </c>
      <c r="T1525" s="9" t="s">
        <v>89</v>
      </c>
      <c r="U1525" s="9">
        <f>IFERROR(VLOOKUP($T1525,KURALLAR!$A$32:$B$63,2,FALSE()),0)*IF(ISNUMBER($I1525),$I1525,0)</f>
        <v>12</v>
      </c>
    </row>
    <row r="1526" spans="1:21" x14ac:dyDescent="0.25">
      <c r="A1526" s="5">
        <v>1525</v>
      </c>
      <c r="B1526" s="5"/>
      <c r="C1526" s="5" t="s">
        <v>79</v>
      </c>
      <c r="D1526" s="5" t="s">
        <v>179</v>
      </c>
      <c r="E1526" s="5" t="str">
        <f>IFERROR(VLOOKUP($D1526,FIYAT!$B:$O,2,FALSE()),"")</f>
        <v>Держатель плавкой вставки RT36-00-160, габарит 00, 160А</v>
      </c>
      <c r="F1526" s="5">
        <f>IFERROR(VLOOKUP($D1526,FIYAT!$B:$O,5,FALSE()),"")</f>
        <v>2038</v>
      </c>
      <c r="G1526" s="5">
        <f>IFERROR(VLOOKUP($D1526,FIYAT!$B:$O,8,FALSE()),"")</f>
        <v>1222.8</v>
      </c>
      <c r="H1526" s="5">
        <f t="shared" si="180"/>
        <v>4891.2</v>
      </c>
      <c r="I1526" s="6">
        <v>4</v>
      </c>
      <c r="J1526" s="5" t="str">
        <f>IFERROR(VLOOKUP($D1526,FIYAT!$B:$O,9,FALSE()),"")</f>
        <v>Шт.</v>
      </c>
      <c r="K1526" s="5" t="str">
        <f>IFERROR(VLOOKUP($D1526,FIYAT!$B:$O,4,FALSE()),"")</f>
        <v>CHINT</v>
      </c>
      <c r="L1526" s="5">
        <f t="shared" si="181"/>
        <v>4891.2</v>
      </c>
      <c r="M1526" s="5"/>
      <c r="N1526" s="5"/>
      <c r="O1526" s="5"/>
      <c r="P1526" s="5" t="str">
        <f>IF($H1526="","FIYAT_YOK",IFERROR(VLOOKUP($D1526,FIYAT!$B:$P,15,FALSE()),""))</f>
        <v>MUADIL</v>
      </c>
      <c r="Q1526" s="5" t="s">
        <v>181</v>
      </c>
      <c r="R1526" s="5" t="s">
        <v>171</v>
      </c>
      <c r="S1526" s="5" t="s">
        <v>725</v>
      </c>
      <c r="T1526" s="5" t="s">
        <v>77</v>
      </c>
      <c r="U1526" s="5">
        <f>IFERROR(VLOOKUP($T1526,KURALLAR!$A$32:$B$63,2,FALSE()),0)*IF(ISNUMBER($I1526),$I1526,0)</f>
        <v>20</v>
      </c>
    </row>
    <row r="1527" spans="1:21" x14ac:dyDescent="0.25">
      <c r="A1527" s="9">
        <v>1526</v>
      </c>
      <c r="B1527" s="9"/>
      <c r="C1527" s="9" t="s">
        <v>79</v>
      </c>
      <c r="D1527" s="9" t="s">
        <v>182</v>
      </c>
      <c r="E1527" s="9" t="str">
        <f>IFERROR(VLOOKUP($D1527,FIYAT!$B:$O,2,FALSE()),"")</f>
        <v>Плавкая вставка предохранителя RT36-00-160, габарит 00, 63А</v>
      </c>
      <c r="F1527" s="9">
        <f>IFERROR(VLOOKUP($D1527,FIYAT!$B:$O,5,FALSE()),"")</f>
        <v>1525</v>
      </c>
      <c r="G1527" s="9">
        <f>IFERROR(VLOOKUP($D1527,FIYAT!$B:$O,8,FALSE()),"")</f>
        <v>915</v>
      </c>
      <c r="H1527" s="9">
        <f t="shared" si="180"/>
        <v>3660</v>
      </c>
      <c r="I1527" s="6">
        <v>4</v>
      </c>
      <c r="J1527" s="9" t="str">
        <f>IFERROR(VLOOKUP($D1527,FIYAT!$B:$O,9,FALSE()),"")</f>
        <v>Шт.</v>
      </c>
      <c r="K1527" s="9" t="str">
        <f>IFERROR(VLOOKUP($D1527,FIYAT!$B:$O,4,FALSE()),"")</f>
        <v>CHINT</v>
      </c>
      <c r="L1527" s="9">
        <f t="shared" si="181"/>
        <v>3660</v>
      </c>
      <c r="M1527" s="9"/>
      <c r="N1527" s="9"/>
      <c r="O1527" s="9"/>
      <c r="P1527" s="9" t="str">
        <f>IF($H1527="","FIYAT_YOK",IFERROR(VLOOKUP($D1527,FIYAT!$B:$P,15,FALSE()),""))</f>
        <v>MUADIL</v>
      </c>
      <c r="Q1527" s="9" t="s">
        <v>185</v>
      </c>
      <c r="R1527" s="9" t="s">
        <v>184</v>
      </c>
      <c r="S1527" s="9" t="s">
        <v>725</v>
      </c>
      <c r="T1527" s="9" t="s">
        <v>79</v>
      </c>
      <c r="U1527" s="9">
        <f>IFERROR(VLOOKUP($T1527,KURALLAR!$A$32:$B$63,2,FALSE()),0)*IF(ISNUMBER($I1527),$I1527,0)</f>
        <v>12</v>
      </c>
    </row>
    <row r="1528" spans="1:21" x14ac:dyDescent="0.25">
      <c r="A1528" s="5">
        <v>1527</v>
      </c>
      <c r="B1528" s="5"/>
      <c r="C1528" s="5" t="s">
        <v>75</v>
      </c>
      <c r="D1528" s="5" t="s">
        <v>186</v>
      </c>
      <c r="E1528" s="5" t="str">
        <f>IFERROR(VLOOKUP($D1528,FIYAT!$B:$O,2,FALSE()),"")</f>
        <v>Ограничитель имп. перенапр. NU6-IIG 4Р In=25kA Uc=440B Im=65kA (R)</v>
      </c>
      <c r="F1528" s="5">
        <f>IFERROR(VLOOKUP($D1528,FIYAT!$B:$O,5,FALSE()),"")</f>
        <v>33208</v>
      </c>
      <c r="G1528" s="5">
        <f>IFERROR(VLOOKUP($D1528,FIYAT!$B:$O,8,FALSE()),"")</f>
        <v>19924.8</v>
      </c>
      <c r="H1528" s="5">
        <f t="shared" si="180"/>
        <v>19924.8</v>
      </c>
      <c r="I1528" s="6">
        <v>1</v>
      </c>
      <c r="J1528" s="5" t="str">
        <f>IFERROR(VLOOKUP($D1528,FIYAT!$B:$O,9,FALSE()),"")</f>
        <v>Шт.</v>
      </c>
      <c r="K1528" s="5" t="str">
        <f>IFERROR(VLOOKUP($D1528,FIYAT!$B:$O,4,FALSE()),"")</f>
        <v>CHINT</v>
      </c>
      <c r="L1528" s="5">
        <f t="shared" si="181"/>
        <v>19924.8</v>
      </c>
      <c r="M1528" s="5"/>
      <c r="N1528" s="5"/>
      <c r="O1528" s="5"/>
      <c r="P1528" s="5" t="str">
        <f>IF($H1528="","FIYAT_YOK",IFERROR(VLOOKUP($D1528,FIYAT!$B:$P,15,FALSE()),""))</f>
        <v>MUADIL_ONAY</v>
      </c>
      <c r="Q1528" s="5" t="s">
        <v>188</v>
      </c>
      <c r="R1528" s="5" t="s">
        <v>184</v>
      </c>
      <c r="S1528" s="5" t="s">
        <v>725</v>
      </c>
      <c r="T1528" s="5" t="s">
        <v>75</v>
      </c>
      <c r="U1528" s="5">
        <f>IFERROR(VLOOKUP($T1528,KURALLAR!$A$32:$B$63,2,FALSE()),0)*IF(ISNUMBER($I1528),$I1528,0)</f>
        <v>10</v>
      </c>
    </row>
    <row r="1529" spans="1:21" x14ac:dyDescent="0.25">
      <c r="A1529" s="9">
        <v>1528</v>
      </c>
      <c r="B1529" s="9"/>
      <c r="C1529" s="9" t="s">
        <v>83</v>
      </c>
      <c r="D1529" s="9" t="s">
        <v>510</v>
      </c>
      <c r="E1529" s="9" t="str">
        <f>IFERROR(VLOOKUP($D1529,FIYAT!$B:$O,2,FALSE()),"")</f>
        <v>Трансформатор тока 800/5А кл. 0,5 — CHINT листинге нет</v>
      </c>
      <c r="F1529" s="9">
        <f>IFERROR(VLOOKUP($D1529,FIYAT!$B:$O,5,FALSE()),"")</f>
        <v>0</v>
      </c>
      <c r="G1529" s="9" t="str">
        <f>IFERROR(VLOOKUP($D1529,FIYAT!$B:$O,8,FALSE()),"")</f>
        <v/>
      </c>
      <c r="H1529" s="9" t="str">
        <f t="shared" si="180"/>
        <v/>
      </c>
      <c r="I1529" s="6">
        <v>3</v>
      </c>
      <c r="J1529" s="9" t="str">
        <f>IFERROR(VLOOKUP($D1529,FIYAT!$B:$O,9,FALSE()),"")</f>
        <v>Шт.</v>
      </c>
      <c r="K1529" s="9" t="str">
        <f>IFERROR(VLOOKUP($D1529,FIYAT!$B:$O,4,FALSE()),"")</f>
        <v>MUADIL-NET</v>
      </c>
      <c r="L1529" s="9" t="str">
        <f t="shared" si="181"/>
        <v/>
      </c>
      <c r="M1529" s="9"/>
      <c r="N1529" s="9"/>
      <c r="O1529" s="9"/>
      <c r="P1529" s="7" t="str">
        <f>IF($H1529="","FIYAT_YOK",IFERROR(VLOOKUP($D1529,FIYAT!$B:$P,15,FALSE()),""))</f>
        <v>FIYAT_YOK</v>
      </c>
      <c r="Q1529" s="7" t="s">
        <v>512</v>
      </c>
      <c r="R1529" s="9"/>
      <c r="S1529" s="9" t="s">
        <v>725</v>
      </c>
      <c r="T1529" s="9" t="s">
        <v>83</v>
      </c>
      <c r="U1529" s="9">
        <f>IFERROR(VLOOKUP($T1529,KURALLAR!$A$32:$B$63,2,FALSE()),0)*IF(ISNUMBER($I1529),$I1529,0)</f>
        <v>30</v>
      </c>
    </row>
    <row r="1530" spans="1:21" x14ac:dyDescent="0.25">
      <c r="A1530" s="5">
        <v>1529</v>
      </c>
      <c r="B1530" s="5"/>
      <c r="C1530" s="5" t="s">
        <v>81</v>
      </c>
      <c r="D1530" s="5" t="s">
        <v>513</v>
      </c>
      <c r="E1530" s="5" t="str">
        <f>IFERROR(VLOOKUP($D1530,FIYAT!$B:$O,2,FALSE()),"")</f>
        <v>Schneider PM2230 — анализатор сети, LCD, RS485, кл. 0,5S</v>
      </c>
      <c r="F1530" s="5">
        <f>IFERROR(VLOOKUP($D1530,FIYAT!$B:$O,5,FALSE()),"")</f>
        <v>0</v>
      </c>
      <c r="G1530" s="5" t="str">
        <f>IFERROR(VLOOKUP($D1530,FIYAT!$B:$O,8,FALSE()),"")</f>
        <v/>
      </c>
      <c r="H1530" s="5" t="str">
        <f t="shared" si="180"/>
        <v/>
      </c>
      <c r="I1530" s="6">
        <v>1</v>
      </c>
      <c r="J1530" s="5" t="str">
        <f>IFERROR(VLOOKUP($D1530,FIYAT!$B:$O,9,FALSE()),"")</f>
        <v>Шт.</v>
      </c>
      <c r="K1530" s="5" t="str">
        <f>IFERROR(VLOOKUP($D1530,FIYAT!$B:$O,4,FALSE()),"")</f>
        <v>SCHNEIDER</v>
      </c>
      <c r="L1530" s="5" t="str">
        <f t="shared" si="181"/>
        <v/>
      </c>
      <c r="M1530" s="5"/>
      <c r="N1530" s="5"/>
      <c r="O1530" s="5"/>
      <c r="P1530" s="7" t="str">
        <f>IF($H1530="","FIYAT_YOK",IFERROR(VLOOKUP($D1530,FIYAT!$B:$P,15,FALSE()),""))</f>
        <v>FIYAT_YOK</v>
      </c>
      <c r="Q1530" s="7" t="s">
        <v>515</v>
      </c>
      <c r="R1530" s="5"/>
      <c r="S1530" s="5" t="s">
        <v>725</v>
      </c>
      <c r="T1530" s="5" t="s">
        <v>81</v>
      </c>
      <c r="U1530" s="5">
        <f>IFERROR(VLOOKUP($T1530,KURALLAR!$A$32:$B$63,2,FALSE()),0)*IF(ISNUMBER($I1530),$I1530,0)</f>
        <v>30</v>
      </c>
    </row>
    <row r="1531" spans="1:21" x14ac:dyDescent="0.25">
      <c r="A1531" s="9">
        <v>1530</v>
      </c>
      <c r="B1531" s="9"/>
      <c r="C1531" s="9" t="s">
        <v>169</v>
      </c>
      <c r="D1531" s="9" t="s">
        <v>379</v>
      </c>
      <c r="E1531" s="9" t="str">
        <f>IFERROR(VLOOKUP($D1531,FIYAT!$B:$O,2,FALSE()),"")</f>
        <v>Авт. выкл. NM8N-400C TM 3P 400А 36кА с рег. термомаг. расцепителем (R)</v>
      </c>
      <c r="F1531" s="9">
        <f>IFERROR(VLOOKUP($D1531,FIYAT!$B:$O,5,FALSE()),"")</f>
        <v>208671</v>
      </c>
      <c r="G1531" s="9">
        <f>IFERROR(VLOOKUP($D1531,FIYAT!$B:$O,8,FALSE()),"")</f>
        <v>125202.59999999999</v>
      </c>
      <c r="H1531" s="9">
        <f t="shared" si="180"/>
        <v>125202.59999999999</v>
      </c>
      <c r="I1531" s="6">
        <v>1</v>
      </c>
      <c r="J1531" s="9" t="str">
        <f>IFERROR(VLOOKUP($D1531,FIYAT!$B:$O,9,FALSE()),"")</f>
        <v>Шт.</v>
      </c>
      <c r="K1531" s="9" t="str">
        <f>IFERROR(VLOOKUP($D1531,FIYAT!$B:$O,4,FALSE()),"")</f>
        <v>CHINT</v>
      </c>
      <c r="L1531" s="9">
        <f t="shared" si="181"/>
        <v>125202.59999999999</v>
      </c>
      <c r="M1531" s="9"/>
      <c r="N1531" s="9"/>
      <c r="O1531" s="9"/>
      <c r="P1531" s="9" t="str">
        <f>IF($H1531="","FIYAT_YOK",IFERROR(VLOOKUP($D1531,FIYAT!$B:$P,15,FALSE()),""))</f>
        <v>OK</v>
      </c>
      <c r="Q1531" s="9" t="s">
        <v>381</v>
      </c>
      <c r="R1531" s="9" t="s">
        <v>171</v>
      </c>
      <c r="S1531" s="9" t="s">
        <v>725</v>
      </c>
      <c r="T1531" s="9" t="s">
        <v>65</v>
      </c>
      <c r="U1531" s="9">
        <f>IFERROR(VLOOKUP($T1531,KURALLAR!$A$32:$B$63,2,FALSE()),0)*IF(ISNUMBER($I1531),$I1531,0)</f>
        <v>40</v>
      </c>
    </row>
    <row r="1532" spans="1:21" x14ac:dyDescent="0.25">
      <c r="A1532" s="5">
        <v>1531</v>
      </c>
      <c r="B1532" s="5"/>
      <c r="C1532" s="5" t="s">
        <v>169</v>
      </c>
      <c r="D1532" s="5" t="s">
        <v>367</v>
      </c>
      <c r="E1532" s="5" t="str">
        <f>IFERROR(VLOOKUP($D1532,FIYAT!$B:$O,2,FALSE()),"")</f>
        <v>Авт. выкл. NM8N-125C TM 3P 100А 36кА с рег. термомаг. расцепителем (R)</v>
      </c>
      <c r="F1532" s="5">
        <f>IFERROR(VLOOKUP($D1532,FIYAT!$B:$O,5,FALSE()),"")</f>
        <v>64169</v>
      </c>
      <c r="G1532" s="5">
        <f>IFERROR(VLOOKUP($D1532,FIYAT!$B:$O,8,FALSE()),"")</f>
        <v>38501.4</v>
      </c>
      <c r="H1532" s="5">
        <f t="shared" si="180"/>
        <v>115504.20000000001</v>
      </c>
      <c r="I1532" s="6">
        <v>3</v>
      </c>
      <c r="J1532" s="5" t="str">
        <f>IFERROR(VLOOKUP($D1532,FIYAT!$B:$O,9,FALSE()),"")</f>
        <v>Шт.</v>
      </c>
      <c r="K1532" s="5" t="str">
        <f>IFERROR(VLOOKUP($D1532,FIYAT!$B:$O,4,FALSE()),"")</f>
        <v>CHINT</v>
      </c>
      <c r="L1532" s="5">
        <f t="shared" si="181"/>
        <v>115504.20000000001</v>
      </c>
      <c r="M1532" s="5"/>
      <c r="N1532" s="5"/>
      <c r="O1532" s="5"/>
      <c r="P1532" s="5" t="str">
        <f>IF($H1532="","FIYAT_YOK",IFERROR(VLOOKUP($D1532,FIYAT!$B:$P,15,FALSE()),""))</f>
        <v>OK</v>
      </c>
      <c r="Q1532" s="5" t="s">
        <v>369</v>
      </c>
      <c r="R1532" s="5" t="s">
        <v>171</v>
      </c>
      <c r="S1532" s="5" t="s">
        <v>725</v>
      </c>
      <c r="T1532" s="5" t="s">
        <v>61</v>
      </c>
      <c r="U1532" s="5">
        <f>IFERROR(VLOOKUP($T1532,KURALLAR!$A$32:$B$63,2,FALSE()),0)*IF(ISNUMBER($I1532),$I1532,0)</f>
        <v>45</v>
      </c>
    </row>
    <row r="1533" spans="1:21" x14ac:dyDescent="0.25">
      <c r="A1533" s="9">
        <v>1532</v>
      </c>
      <c r="B1533" s="9"/>
      <c r="C1533" s="9" t="s">
        <v>169</v>
      </c>
      <c r="D1533" s="9" t="s">
        <v>231</v>
      </c>
      <c r="E1533" s="9" t="str">
        <f>IFERROR(VLOOKUP($D1533,FIYAT!$B:$O,2,FALSE()),"")</f>
        <v>Авт. выкл. NM8N-125C TM 3P 80А 36кА с рег. термомаг. расцепителем (R)</v>
      </c>
      <c r="F1533" s="9">
        <f>IFERROR(VLOOKUP($D1533,FIYAT!$B:$O,5,FALSE()),"")</f>
        <v>64129</v>
      </c>
      <c r="G1533" s="9">
        <f>IFERROR(VLOOKUP($D1533,FIYAT!$B:$O,8,FALSE()),"")</f>
        <v>38477.4</v>
      </c>
      <c r="H1533" s="9">
        <f t="shared" si="180"/>
        <v>115432.20000000001</v>
      </c>
      <c r="I1533" s="6">
        <v>3</v>
      </c>
      <c r="J1533" s="9" t="str">
        <f>IFERROR(VLOOKUP($D1533,FIYAT!$B:$O,9,FALSE()),"")</f>
        <v>Шт.</v>
      </c>
      <c r="K1533" s="9" t="str">
        <f>IFERROR(VLOOKUP($D1533,FIYAT!$B:$O,4,FALSE()),"")</f>
        <v>CHINT</v>
      </c>
      <c r="L1533" s="9">
        <f t="shared" si="181"/>
        <v>115432.20000000001</v>
      </c>
      <c r="M1533" s="9"/>
      <c r="N1533" s="9"/>
      <c r="O1533" s="9"/>
      <c r="P1533" s="9" t="str">
        <f>IF($H1533="","FIYAT_YOK",IFERROR(VLOOKUP($D1533,FIYAT!$B:$P,15,FALSE()),""))</f>
        <v>OK</v>
      </c>
      <c r="Q1533" s="9" t="s">
        <v>233</v>
      </c>
      <c r="R1533" s="9" t="s">
        <v>171</v>
      </c>
      <c r="S1533" s="9" t="s">
        <v>725</v>
      </c>
      <c r="T1533" s="9" t="s">
        <v>61</v>
      </c>
      <c r="U1533" s="9">
        <f>IFERROR(VLOOKUP($T1533,KURALLAR!$A$32:$B$63,2,FALSE()),0)*IF(ISNUMBER($I1533),$I1533,0)</f>
        <v>45</v>
      </c>
    </row>
    <row r="1534" spans="1:21" x14ac:dyDescent="0.25">
      <c r="A1534" s="5">
        <v>1533</v>
      </c>
      <c r="B1534" s="5"/>
      <c r="C1534" s="5" t="s">
        <v>169</v>
      </c>
      <c r="D1534" s="5" t="s">
        <v>350</v>
      </c>
      <c r="E1534" s="5" t="str">
        <f>IFERROR(VLOOKUP($D1534,FIYAT!$B:$O,2,FALSE()),"")</f>
        <v>Авт. выкл. NM8N-125C TM 3P 63А 36кА с рег. термомаг. расцепителем (R)</v>
      </c>
      <c r="F1534" s="5">
        <f>IFERROR(VLOOKUP($D1534,FIYAT!$B:$O,5,FALSE()),"")</f>
        <v>64066</v>
      </c>
      <c r="G1534" s="5">
        <f>IFERROR(VLOOKUP($D1534,FIYAT!$B:$O,8,FALSE()),"")</f>
        <v>38439.599999999999</v>
      </c>
      <c r="H1534" s="5">
        <f t="shared" si="180"/>
        <v>38439.599999999999</v>
      </c>
      <c r="I1534" s="6">
        <v>1</v>
      </c>
      <c r="J1534" s="5" t="str">
        <f>IFERROR(VLOOKUP($D1534,FIYAT!$B:$O,9,FALSE()),"")</f>
        <v>Шт.</v>
      </c>
      <c r="K1534" s="5" t="str">
        <f>IFERROR(VLOOKUP($D1534,FIYAT!$B:$O,4,FALSE()),"")</f>
        <v>CHINT</v>
      </c>
      <c r="L1534" s="5">
        <f t="shared" si="181"/>
        <v>38439.599999999999</v>
      </c>
      <c r="M1534" s="5"/>
      <c r="N1534" s="5"/>
      <c r="O1534" s="5"/>
      <c r="P1534" s="5" t="str">
        <f>IF($H1534="","FIYAT_YOK",IFERROR(VLOOKUP($D1534,FIYAT!$B:$P,15,FALSE()),""))</f>
        <v>MUADIL</v>
      </c>
      <c r="Q1534" s="5" t="s">
        <v>172</v>
      </c>
      <c r="R1534" s="5" t="s">
        <v>171</v>
      </c>
      <c r="S1534" s="5" t="s">
        <v>725</v>
      </c>
      <c r="T1534" s="5" t="s">
        <v>61</v>
      </c>
      <c r="U1534" s="5">
        <f>IFERROR(VLOOKUP($T1534,KURALLAR!$A$32:$B$63,2,FALSE()),0)*IF(ISNUMBER($I1534),$I1534,0)</f>
        <v>15</v>
      </c>
    </row>
    <row r="1535" spans="1:21" x14ac:dyDescent="0.25">
      <c r="A1535" s="9">
        <v>1534</v>
      </c>
      <c r="B1535" s="9"/>
      <c r="C1535" s="9" t="s">
        <v>169</v>
      </c>
      <c r="D1535" s="9" t="s">
        <v>276</v>
      </c>
      <c r="E1535" s="9" t="str">
        <f>IFERROR(VLOOKUP($D1535,FIYAT!$B:$O,2,FALSE()),"")</f>
        <v>Авт. выкл. NM8N-125C TM 3P 40А 36кА с рег. термомаг. расцепителем (R)</v>
      </c>
      <c r="F1535" s="9">
        <f>IFERROR(VLOOKUP($D1535,FIYAT!$B:$O,5,FALSE()),"")</f>
        <v>68418</v>
      </c>
      <c r="G1535" s="9">
        <f>IFERROR(VLOOKUP($D1535,FIYAT!$B:$O,8,FALSE()),"")</f>
        <v>41050.799999999996</v>
      </c>
      <c r="H1535" s="9">
        <f t="shared" si="180"/>
        <v>41050.799999999996</v>
      </c>
      <c r="I1535" s="6">
        <v>1</v>
      </c>
      <c r="J1535" s="9" t="str">
        <f>IFERROR(VLOOKUP($D1535,FIYAT!$B:$O,9,FALSE()),"")</f>
        <v>Шт.</v>
      </c>
      <c r="K1535" s="9" t="str">
        <f>IFERROR(VLOOKUP($D1535,FIYAT!$B:$O,4,FALSE()),"")</f>
        <v>CHINT</v>
      </c>
      <c r="L1535" s="9">
        <f t="shared" si="181"/>
        <v>41050.799999999996</v>
      </c>
      <c r="M1535" s="9"/>
      <c r="N1535" s="9"/>
      <c r="O1535" s="9"/>
      <c r="P1535" s="9" t="str">
        <f>IF($H1535="","FIYAT_YOK",IFERROR(VLOOKUP($D1535,FIYAT!$B:$P,15,FALSE()),""))</f>
        <v>MUADIL</v>
      </c>
      <c r="Q1535" s="9" t="s">
        <v>172</v>
      </c>
      <c r="R1535" s="9" t="s">
        <v>171</v>
      </c>
      <c r="S1535" s="9" t="s">
        <v>725</v>
      </c>
      <c r="T1535" s="9" t="s">
        <v>61</v>
      </c>
      <c r="U1535" s="9">
        <f>IFERROR(VLOOKUP($T1535,KURALLAR!$A$32:$B$63,2,FALSE()),0)*IF(ISNUMBER($I1535),$I1535,0)</f>
        <v>15</v>
      </c>
    </row>
    <row r="1536" spans="1:21" x14ac:dyDescent="0.25">
      <c r="A1536" s="5">
        <v>1535</v>
      </c>
      <c r="B1536" s="5"/>
      <c r="C1536" s="5" t="s">
        <v>169</v>
      </c>
      <c r="D1536" s="5" t="s">
        <v>167</v>
      </c>
      <c r="E1536" s="5" t="str">
        <f>IFERROR(VLOOKUP($D1536,FIYAT!$B:$O,2,FALSE()),"")</f>
        <v>Авт. выкл. NM8N-125C TM 3P 32А 36кА с рег. термомаг. расцепителем (R)</v>
      </c>
      <c r="F1536" s="5">
        <f>IFERROR(VLOOKUP($D1536,FIYAT!$B:$O,5,FALSE()),"")</f>
        <v>64667</v>
      </c>
      <c r="G1536" s="5">
        <f>IFERROR(VLOOKUP($D1536,FIYAT!$B:$O,8,FALSE()),"")</f>
        <v>38800.199999999997</v>
      </c>
      <c r="H1536" s="5">
        <f t="shared" si="180"/>
        <v>38800.199999999997</v>
      </c>
      <c r="I1536" s="6">
        <v>1</v>
      </c>
      <c r="J1536" s="5" t="str">
        <f>IFERROR(VLOOKUP($D1536,FIYAT!$B:$O,9,FALSE()),"")</f>
        <v>Шт.</v>
      </c>
      <c r="K1536" s="5" t="str">
        <f>IFERROR(VLOOKUP($D1536,FIYAT!$B:$O,4,FALSE()),"")</f>
        <v>CHINT</v>
      </c>
      <c r="L1536" s="5">
        <f t="shared" si="181"/>
        <v>38800.199999999997</v>
      </c>
      <c r="M1536" s="5"/>
      <c r="N1536" s="5"/>
      <c r="O1536" s="5"/>
      <c r="P1536" s="5" t="str">
        <f>IF($H1536="","FIYAT_YOK",IFERROR(VLOOKUP($D1536,FIYAT!$B:$P,15,FALSE()),""))</f>
        <v>MUADIL</v>
      </c>
      <c r="Q1536" s="5" t="s">
        <v>172</v>
      </c>
      <c r="R1536" s="5" t="s">
        <v>171</v>
      </c>
      <c r="S1536" s="5" t="s">
        <v>725</v>
      </c>
      <c r="T1536" s="5" t="s">
        <v>61</v>
      </c>
      <c r="U1536" s="5">
        <f>IFERROR(VLOOKUP($T1536,KURALLAR!$A$32:$B$63,2,FALSE()),0)*IF(ISNUMBER($I1536),$I1536,0)</f>
        <v>15</v>
      </c>
    </row>
    <row r="1537" spans="1:21" x14ac:dyDescent="0.25">
      <c r="A1537" s="9">
        <v>1536</v>
      </c>
      <c r="B1537" s="9"/>
      <c r="C1537" s="9" t="s">
        <v>253</v>
      </c>
      <c r="D1537" s="9" t="s">
        <v>251</v>
      </c>
      <c r="E1537" s="9" t="str">
        <f>IFERROR(VLOOKUP($D1537,FIYAT!$B:$O,2,FALSE()),"")</f>
        <v>Шина алюминиевая твёрдая (ШАТ)</v>
      </c>
      <c r="F1537" s="9">
        <f>IFERROR(VLOOKUP($D1537,FIYAT!$B:$O,5,FALSE()),"")</f>
        <v>4493.5999999999995</v>
      </c>
      <c r="G1537" s="9">
        <f>IFERROR(VLOOKUP($D1537,FIYAT!$B:$O,8,FALSE()),"")</f>
        <v>4493.5999999999995</v>
      </c>
      <c r="H1537" s="9">
        <f t="shared" si="180"/>
        <v>665052.79999999993</v>
      </c>
      <c r="I1537" s="6">
        <v>148</v>
      </c>
      <c r="J1537" s="9" t="str">
        <f>IFERROR(VLOOKUP($D1537,FIYAT!$B:$O,9,FALSE()),"")</f>
        <v>Кг.</v>
      </c>
      <c r="K1537" s="9" t="str">
        <f>IFERROR(VLOOKUP($D1537,FIYAT!$B:$O,4,FALSE()),"")</f>
        <v>ALUM-BARA</v>
      </c>
      <c r="L1537" s="9">
        <f t="shared" si="181"/>
        <v>665052.79999999993</v>
      </c>
      <c r="M1537" s="9"/>
      <c r="N1537" s="9"/>
      <c r="O1537" s="9"/>
      <c r="P1537" s="9" t="str">
        <f>IF($H1537="","FIYAT_YOK",IFERROR(VLOOKUP($D1537,FIYAT!$B:$P,15,FALSE()),""))</f>
        <v>VARSAYIM</v>
      </c>
      <c r="Q1537" s="9" t="s">
        <v>255</v>
      </c>
      <c r="R1537" s="9"/>
      <c r="S1537" s="9" t="s">
        <v>725</v>
      </c>
      <c r="T1537" s="9" t="s">
        <v>101</v>
      </c>
      <c r="U1537" s="9">
        <f>IFERROR(VLOOKUP($T1537,KURALLAR!$A$32:$B$63,2,FALSE()),0)*IF(ISNUMBER($I1537),$I1537,0)</f>
        <v>888</v>
      </c>
    </row>
    <row r="1538" spans="1:21" x14ac:dyDescent="0.25">
      <c r="A1538" s="5">
        <v>1537</v>
      </c>
      <c r="B1538" s="5"/>
      <c r="C1538" s="5" t="s">
        <v>222</v>
      </c>
      <c r="D1538" s="5" t="s">
        <v>256</v>
      </c>
      <c r="E1538" s="5" t="str">
        <f>IFERROR(VLOOKUP($D1538,FIYAT!$B:$O,2,FALSE()),"")</f>
        <v>Щит (moduler) 2000x800x800+100</v>
      </c>
      <c r="F1538" s="5">
        <f>IFERROR(VLOOKUP($D1538,FIYAT!$B:$O,5,FALSE()),"")</f>
        <v>197400</v>
      </c>
      <c r="G1538" s="5">
        <f>IFERROR(VLOOKUP($D1538,FIYAT!$B:$O,8,FALSE()),"")</f>
        <v>118440</v>
      </c>
      <c r="H1538" s="5">
        <f t="shared" si="180"/>
        <v>118440</v>
      </c>
      <c r="I1538" s="6">
        <v>1</v>
      </c>
      <c r="J1538" s="5" t="str">
        <f>IFERROR(VLOOKUP($D1538,FIYAT!$B:$O,9,FALSE()),"")</f>
        <v>Шт.</v>
      </c>
      <c r="K1538" s="5" t="str">
        <f>IFERROR(VLOOKUP($D1538,FIYAT!$B:$O,4,FALSE()),"")</f>
        <v>KAZTEK</v>
      </c>
      <c r="L1538" s="5">
        <f t="shared" si="181"/>
        <v>118440</v>
      </c>
      <c r="M1538" s="5"/>
      <c r="N1538" s="5"/>
      <c r="O1538" s="5"/>
      <c r="P1538" s="5" t="str">
        <f>IF($H1538="","FIYAT_YOK",IFERROR(VLOOKUP($D1538,FIYAT!$B:$P,15,FALSE()),""))</f>
        <v>VARSAYIM</v>
      </c>
      <c r="Q1538" s="5" t="s">
        <v>258</v>
      </c>
      <c r="R1538" s="5" t="s">
        <v>211</v>
      </c>
      <c r="S1538" s="5" t="s">
        <v>725</v>
      </c>
      <c r="T1538" s="5" t="s">
        <v>107</v>
      </c>
      <c r="U1538" s="5">
        <f>IFERROR(VLOOKUP($T1538,KURALLAR!$A$32:$B$63,2,FALSE()),0)*IF(ISNUMBER($I1538),$I1538,0)</f>
        <v>90</v>
      </c>
    </row>
    <row r="1539" spans="1:21" x14ac:dyDescent="0.25">
      <c r="A1539" s="9">
        <v>1538</v>
      </c>
      <c r="B1539" s="9"/>
      <c r="C1539" s="9" t="s">
        <v>215</v>
      </c>
      <c r="D1539" s="9" t="s">
        <v>213</v>
      </c>
      <c r="E1539" s="9" t="str">
        <f>IFERROR(VLOOKUP($D1539,FIYAT!$B:$O,2,FALSE()),"")</f>
        <v>Монтажный расходный материал (кабель, DIN-рейка, кабель-канал, клеммы, маркировка, крепёж)</v>
      </c>
      <c r="F1539" s="9">
        <f>IFERROR(VLOOKUP($D1539,FIYAT!$B:$O,5,FALSE()),"")</f>
        <v>0</v>
      </c>
      <c r="G1539" s="9" t="str">
        <f>IFERROR(VLOOKUP($D1539,FIYAT!$B:$O,8,FALSE()),"")</f>
        <v/>
      </c>
      <c r="H1539" s="9">
        <f>ROUND(SUM($H$1520:$H$1538)*KURALLAR!$B$28,0)</f>
        <v>103186</v>
      </c>
      <c r="I1539" s="6">
        <v>1</v>
      </c>
      <c r="J1539" s="9" t="str">
        <f>IFERROR(VLOOKUP($D1539,FIYAT!$B:$O,9,FALSE()),"")</f>
        <v>компл.</v>
      </c>
      <c r="K1539" s="9" t="str">
        <f>IFERROR(VLOOKUP($D1539,FIYAT!$B:$O,4,FALSE()),"")</f>
        <v>MUADIL-NET</v>
      </c>
      <c r="L1539" s="9">
        <f t="shared" si="181"/>
        <v>103186</v>
      </c>
      <c r="M1539" s="9"/>
      <c r="N1539" s="9"/>
      <c r="O1539" s="9"/>
      <c r="P1539" s="9" t="str">
        <f>IF($H1539="","FIYAT_YOK",IFERROR(VLOOKUP($D1539,FIYAT!$B:$P,15,FALSE()),""))</f>
        <v>ORAN</v>
      </c>
      <c r="Q1539" s="9" t="s">
        <v>218</v>
      </c>
      <c r="R1539" s="9" t="s">
        <v>217</v>
      </c>
      <c r="S1539" s="9" t="s">
        <v>725</v>
      </c>
      <c r="T1539" s="9"/>
      <c r="U1539" s="9">
        <v>0</v>
      </c>
    </row>
    <row r="1540" spans="1:21" x14ac:dyDescent="0.25">
      <c r="A1540" s="5">
        <v>1539</v>
      </c>
      <c r="B1540" s="5"/>
      <c r="C1540" s="5" t="s">
        <v>227</v>
      </c>
      <c r="D1540" s="5" t="s">
        <v>225</v>
      </c>
      <c r="E1540" s="5" t="str">
        <f>IFERROR(VLOOKUP($D1540,FIYAT!$B:$O,2,FALSE()),"")</f>
        <v>Сборка, кабелирование, маркировка, момент затяжки, испытания</v>
      </c>
      <c r="F1540" s="5">
        <f>IFERROR(VLOOKUP($D1540,FIYAT!$B:$O,5,FALSE()),"")</f>
        <v>100</v>
      </c>
      <c r="G1540" s="5">
        <f>IFERROR(VLOOKUP($D1540,FIYAT!$B:$O,8,FALSE()),"")</f>
        <v>100</v>
      </c>
      <c r="H1540" s="5">
        <f>IF(OR($G1540="",$I1540=""),"",$G1540*$I1540)</f>
        <v>161800</v>
      </c>
      <c r="I1540" s="6">
        <f>ROUND(SUM($U$1520:$U$1539)*KURALLAR!$B$27,0)</f>
        <v>1618</v>
      </c>
      <c r="J1540" s="5" t="str">
        <f>IFERROR(VLOOKUP($D1540,FIYAT!$B:$O,9,FALSE()),"")</f>
        <v>мин</v>
      </c>
      <c r="K1540" s="5" t="str">
        <f>IFERROR(VLOOKUP($D1540,FIYAT!$B:$O,4,FALSE()),"")</f>
        <v>ISCILIK</v>
      </c>
      <c r="L1540" s="5">
        <f t="shared" si="181"/>
        <v>161800</v>
      </c>
      <c r="M1540" s="5"/>
      <c r="N1540" s="5"/>
      <c r="O1540" s="5"/>
      <c r="P1540" s="5" t="str">
        <f>IF($H1540="","FIYAT_YOK",IFERROR(VLOOKUP($D1540,FIYAT!$B:$P,15,FALSE()),""))</f>
        <v>OK</v>
      </c>
      <c r="Q1540" s="5" t="str">
        <f>CONCATENATE("montaj+test iscilik: ",TEXT($I1540,"# ##0")," dk = ",TEXT($I1540/60,"0,00")," saat (norm x test/etiket carpani)")</f>
        <v>montaj+test iscilik: 1 618 dk = 26,97 saat (norm x test/etiket carpani)</v>
      </c>
      <c r="R1540" s="5" t="s">
        <v>229</v>
      </c>
      <c r="S1540" s="5" t="s">
        <v>725</v>
      </c>
      <c r="T1540" s="5"/>
      <c r="U1540" s="5">
        <v>0</v>
      </c>
    </row>
    <row r="1541" spans="1:21" x14ac:dyDescent="0.25">
      <c r="A1541" s="10">
        <v>1540</v>
      </c>
      <c r="B1541" s="10" t="s">
        <v>734</v>
      </c>
      <c r="C1541" s="10"/>
      <c r="D1541" s="10"/>
      <c r="E1541" s="10"/>
      <c r="F1541" s="10"/>
      <c r="G1541" s="10"/>
      <c r="H1541" s="10">
        <f>SUBTOTAL(9,H1520:H1540)</f>
        <v>1739069.7999999998</v>
      </c>
      <c r="I1541" s="10"/>
      <c r="J1541" s="10"/>
      <c r="K1541" s="10"/>
      <c r="L1541" s="10">
        <f>SUBTOTAL(9,L1520:L1540)</f>
        <v>1739069.7999999998</v>
      </c>
      <c r="M1541" s="10"/>
      <c r="N1541" s="10"/>
      <c r="O1541" s="10"/>
      <c r="P1541" s="10"/>
      <c r="Q1541" s="10"/>
      <c r="R1541" s="10"/>
      <c r="S1541" s="10"/>
      <c r="T1541" s="10"/>
      <c r="U1541" s="10">
        <f>SUBTOTAL(9,U1520:U1540)</f>
        <v>1407</v>
      </c>
    </row>
    <row r="1542" spans="1:21" x14ac:dyDescent="0.25">
      <c r="A1542" s="8">
        <v>1541</v>
      </c>
      <c r="B1542" s="8" t="str">
        <f>E1542</f>
        <v>LPS / Главный распределительный щит ИБП-АВР-LOT1A — НКУ 380/220В 50Гц, FORM 2B, IP31/54</v>
      </c>
      <c r="C1542" s="8" t="s">
        <v>545</v>
      </c>
      <c r="D1542" s="8"/>
      <c r="E1542" s="8" t="s">
        <v>735</v>
      </c>
      <c r="F1542" s="8"/>
      <c r="G1542" s="8"/>
      <c r="H1542" s="8"/>
      <c r="I1542" s="8">
        <v>1</v>
      </c>
      <c r="J1542" s="8" t="s">
        <v>547</v>
      </c>
      <c r="K1542" s="8"/>
      <c r="L1542" s="8"/>
      <c r="M1542" s="8"/>
      <c r="N1542" s="8"/>
      <c r="O1542" s="8"/>
      <c r="P1542" s="8" t="s">
        <v>178</v>
      </c>
      <c r="Q1542" s="8" t="s">
        <v>548</v>
      </c>
      <c r="R1542" s="8" t="s">
        <v>549</v>
      </c>
      <c r="S1542" s="8" t="s">
        <v>725</v>
      </c>
      <c r="T1542" s="8"/>
      <c r="U1542" s="8"/>
    </row>
    <row r="1543" spans="1:21" x14ac:dyDescent="0.25">
      <c r="A1543" s="9">
        <v>1542</v>
      </c>
      <c r="B1543" s="9"/>
      <c r="C1543" s="9" t="s">
        <v>169</v>
      </c>
      <c r="D1543" s="9" t="s">
        <v>350</v>
      </c>
      <c r="E1543" s="9" t="str">
        <f>IFERROR(VLOOKUP($D1543,FIYAT!$B:$O,2,FALSE()),"")</f>
        <v>Авт. выкл. NM8N-125C TM 3P 63А 36кА с рег. термомаг. расцепителем (R)</v>
      </c>
      <c r="F1543" s="9">
        <f>IFERROR(VLOOKUP($D1543,FIYAT!$B:$O,5,FALSE()),"")</f>
        <v>64066</v>
      </c>
      <c r="G1543" s="9">
        <f>IFERROR(VLOOKUP($D1543,FIYAT!$B:$O,8,FALSE()),"")</f>
        <v>38439.599999999999</v>
      </c>
      <c r="H1543" s="9">
        <f t="shared" ref="H1543:H1556" si="182">IF(OR($G1543="",$I1543=""),"",$G1543*$I1543)</f>
        <v>76879.199999999997</v>
      </c>
      <c r="I1543" s="6">
        <v>2</v>
      </c>
      <c r="J1543" s="9" t="str">
        <f>IFERROR(VLOOKUP($D1543,FIYAT!$B:$O,9,FALSE()),"")</f>
        <v>Шт.</v>
      </c>
      <c r="K1543" s="9" t="str">
        <f>IFERROR(VLOOKUP($D1543,FIYAT!$B:$O,4,FALSE()),"")</f>
        <v>CHINT</v>
      </c>
      <c r="L1543" s="9">
        <f t="shared" ref="L1543:L1558" si="183">IF($H1543="","",$H1543)</f>
        <v>76879.199999999997</v>
      </c>
      <c r="M1543" s="9"/>
      <c r="N1543" s="9"/>
      <c r="O1543" s="9"/>
      <c r="P1543" s="9" t="str">
        <f>IF($H1543="","FIYAT_YOK",IFERROR(VLOOKUP($D1543,FIYAT!$B:$P,15,FALSE()),""))</f>
        <v>MUADIL</v>
      </c>
      <c r="Q1543" s="9" t="s">
        <v>172</v>
      </c>
      <c r="R1543" s="9" t="s">
        <v>171</v>
      </c>
      <c r="S1543" s="9" t="s">
        <v>725</v>
      </c>
      <c r="T1543" s="9" t="s">
        <v>61</v>
      </c>
      <c r="U1543" s="9">
        <f>IFERROR(VLOOKUP($T1543,KURALLAR!$A$32:$B$63,2,FALSE()),0)*IF(ISNUMBER($I1543),$I1543,0)</f>
        <v>30</v>
      </c>
    </row>
    <row r="1544" spans="1:21" x14ac:dyDescent="0.25">
      <c r="A1544" s="5">
        <v>1543</v>
      </c>
      <c r="B1544" s="5"/>
      <c r="C1544" s="5" t="s">
        <v>192</v>
      </c>
      <c r="D1544" s="5" t="s">
        <v>238</v>
      </c>
      <c r="E1544" s="5" t="str">
        <f>IFERROR(VLOOKUP($D1544,FIYAT!$B:$O,2,FALSE()),"")</f>
        <v>Авт. выкл. NXB-63 1P 6A 6кА х-ка C (R)</v>
      </c>
      <c r="F1544" s="5">
        <f>IFERROR(VLOOKUP($D1544,FIYAT!$B:$O,5,FALSE()),"")</f>
        <v>1436</v>
      </c>
      <c r="G1544" s="5">
        <f>IFERROR(VLOOKUP($D1544,FIYAT!$B:$O,8,FALSE()),"")</f>
        <v>861.6</v>
      </c>
      <c r="H1544" s="5">
        <f t="shared" si="182"/>
        <v>6031.2</v>
      </c>
      <c r="I1544" s="6">
        <v>7</v>
      </c>
      <c r="J1544" s="5" t="str">
        <f>IFERROR(VLOOKUP($D1544,FIYAT!$B:$O,9,FALSE()),"")</f>
        <v>Шт.</v>
      </c>
      <c r="K1544" s="5" t="str">
        <f>IFERROR(VLOOKUP($D1544,FIYAT!$B:$O,4,FALSE()),"")</f>
        <v>CHINT</v>
      </c>
      <c r="L1544" s="5">
        <f t="shared" si="183"/>
        <v>6031.2</v>
      </c>
      <c r="M1544" s="5"/>
      <c r="N1544" s="5"/>
      <c r="O1544" s="5"/>
      <c r="P1544" s="5" t="str">
        <f>IF($H1544="","FIYAT_YOK",IFERROR(VLOOKUP($D1544,FIYAT!$B:$P,15,FALSE()),""))</f>
        <v>OK</v>
      </c>
      <c r="Q1544" s="5" t="s">
        <v>240</v>
      </c>
      <c r="R1544" s="5" t="s">
        <v>171</v>
      </c>
      <c r="S1544" s="5" t="s">
        <v>725</v>
      </c>
      <c r="T1544" s="5" t="s">
        <v>47</v>
      </c>
      <c r="U1544" s="5">
        <f>IFERROR(VLOOKUP($T1544,KURALLAR!$A$32:$B$63,2,FALSE()),0)*IF(ISNUMBER($I1544),$I1544,0)</f>
        <v>21</v>
      </c>
    </row>
    <row r="1545" spans="1:21" x14ac:dyDescent="0.25">
      <c r="A1545" s="9">
        <v>1544</v>
      </c>
      <c r="B1545" s="9"/>
      <c r="C1545" s="9" t="s">
        <v>89</v>
      </c>
      <c r="D1545" s="9" t="s">
        <v>241</v>
      </c>
      <c r="E1545" s="9" t="str">
        <f>IFERROR(VLOOKUP($D1545,FIYAT!$B:$O,2,FALSE()),"")</f>
        <v>Индикатор ND16-22DS/4 белый АС230В (R)</v>
      </c>
      <c r="F1545" s="9">
        <f>IFERROR(VLOOKUP($D1545,FIYAT!$B:$O,5,FALSE()),"")</f>
        <v>1047</v>
      </c>
      <c r="G1545" s="9">
        <f>IFERROR(VLOOKUP($D1545,FIYAT!$B:$O,8,FALSE()),"")</f>
        <v>628.19999999999993</v>
      </c>
      <c r="H1545" s="9">
        <f t="shared" si="182"/>
        <v>1884.6</v>
      </c>
      <c r="I1545" s="6">
        <v>3</v>
      </c>
      <c r="J1545" s="9" t="str">
        <f>IFERROR(VLOOKUP($D1545,FIYAT!$B:$O,9,FALSE()),"")</f>
        <v>Шт.</v>
      </c>
      <c r="K1545" s="9" t="str">
        <f>IFERROR(VLOOKUP($D1545,FIYAT!$B:$O,4,FALSE()),"")</f>
        <v>CHINT</v>
      </c>
      <c r="L1545" s="9">
        <f t="shared" si="183"/>
        <v>1884.6</v>
      </c>
      <c r="M1545" s="9"/>
      <c r="N1545" s="9"/>
      <c r="O1545" s="9"/>
      <c r="P1545" s="9" t="str">
        <f>IF($H1545="","FIYAT_YOK",IFERROR(VLOOKUP($D1545,FIYAT!$B:$P,15,FALSE()),""))</f>
        <v>OK</v>
      </c>
      <c r="Q1545" s="9" t="s">
        <v>243</v>
      </c>
      <c r="R1545" s="9" t="s">
        <v>184</v>
      </c>
      <c r="S1545" s="9" t="s">
        <v>725</v>
      </c>
      <c r="T1545" s="9" t="s">
        <v>89</v>
      </c>
      <c r="U1545" s="9">
        <f>IFERROR(VLOOKUP($T1545,KURALLAR!$A$32:$B$63,2,FALSE()),0)*IF(ISNUMBER($I1545),$I1545,0)</f>
        <v>12</v>
      </c>
    </row>
    <row r="1546" spans="1:21" x14ac:dyDescent="0.25">
      <c r="A1546" s="5">
        <v>1545</v>
      </c>
      <c r="B1546" s="5"/>
      <c r="C1546" s="5" t="s">
        <v>79</v>
      </c>
      <c r="D1546" s="5" t="s">
        <v>179</v>
      </c>
      <c r="E1546" s="5" t="str">
        <f>IFERROR(VLOOKUP($D1546,FIYAT!$B:$O,2,FALSE()),"")</f>
        <v>Держатель плавкой вставки RT36-00-160, габарит 00, 160А</v>
      </c>
      <c r="F1546" s="5">
        <f>IFERROR(VLOOKUP($D1546,FIYAT!$B:$O,5,FALSE()),"")</f>
        <v>2038</v>
      </c>
      <c r="G1546" s="5">
        <f>IFERROR(VLOOKUP($D1546,FIYAT!$B:$O,8,FALSE()),"")</f>
        <v>1222.8</v>
      </c>
      <c r="H1546" s="5">
        <f t="shared" si="182"/>
        <v>4891.2</v>
      </c>
      <c r="I1546" s="6">
        <v>4</v>
      </c>
      <c r="J1546" s="5" t="str">
        <f>IFERROR(VLOOKUP($D1546,FIYAT!$B:$O,9,FALSE()),"")</f>
        <v>Шт.</v>
      </c>
      <c r="K1546" s="5" t="str">
        <f>IFERROR(VLOOKUP($D1546,FIYAT!$B:$O,4,FALSE()),"")</f>
        <v>CHINT</v>
      </c>
      <c r="L1546" s="5">
        <f t="shared" si="183"/>
        <v>4891.2</v>
      </c>
      <c r="M1546" s="5"/>
      <c r="N1546" s="5"/>
      <c r="O1546" s="5"/>
      <c r="P1546" s="5" t="str">
        <f>IF($H1546="","FIYAT_YOK",IFERROR(VLOOKUP($D1546,FIYAT!$B:$P,15,FALSE()),""))</f>
        <v>MUADIL</v>
      </c>
      <c r="Q1546" s="5" t="s">
        <v>181</v>
      </c>
      <c r="R1546" s="5" t="s">
        <v>171</v>
      </c>
      <c r="S1546" s="5" t="s">
        <v>725</v>
      </c>
      <c r="T1546" s="5" t="s">
        <v>77</v>
      </c>
      <c r="U1546" s="5">
        <f>IFERROR(VLOOKUP($T1546,KURALLAR!$A$32:$B$63,2,FALSE()),0)*IF(ISNUMBER($I1546),$I1546,0)</f>
        <v>20</v>
      </c>
    </row>
    <row r="1547" spans="1:21" x14ac:dyDescent="0.25">
      <c r="A1547" s="9">
        <v>1546</v>
      </c>
      <c r="B1547" s="9"/>
      <c r="C1547" s="9" t="s">
        <v>79</v>
      </c>
      <c r="D1547" s="9" t="s">
        <v>182</v>
      </c>
      <c r="E1547" s="9" t="str">
        <f>IFERROR(VLOOKUP($D1547,FIYAT!$B:$O,2,FALSE()),"")</f>
        <v>Плавкая вставка предохранителя RT36-00-160, габарит 00, 63А</v>
      </c>
      <c r="F1547" s="9">
        <f>IFERROR(VLOOKUP($D1547,FIYAT!$B:$O,5,FALSE()),"")</f>
        <v>1525</v>
      </c>
      <c r="G1547" s="9">
        <f>IFERROR(VLOOKUP($D1547,FIYAT!$B:$O,8,FALSE()),"")</f>
        <v>915</v>
      </c>
      <c r="H1547" s="9">
        <f t="shared" si="182"/>
        <v>3660</v>
      </c>
      <c r="I1547" s="6">
        <v>4</v>
      </c>
      <c r="J1547" s="9" t="str">
        <f>IFERROR(VLOOKUP($D1547,FIYAT!$B:$O,9,FALSE()),"")</f>
        <v>Шт.</v>
      </c>
      <c r="K1547" s="9" t="str">
        <f>IFERROR(VLOOKUP($D1547,FIYAT!$B:$O,4,FALSE()),"")</f>
        <v>CHINT</v>
      </c>
      <c r="L1547" s="9">
        <f t="shared" si="183"/>
        <v>3660</v>
      </c>
      <c r="M1547" s="9"/>
      <c r="N1547" s="9"/>
      <c r="O1547" s="9"/>
      <c r="P1547" s="9" t="str">
        <f>IF($H1547="","FIYAT_YOK",IFERROR(VLOOKUP($D1547,FIYAT!$B:$P,15,FALSE()),""))</f>
        <v>MUADIL</v>
      </c>
      <c r="Q1547" s="9" t="s">
        <v>185</v>
      </c>
      <c r="R1547" s="9" t="s">
        <v>184</v>
      </c>
      <c r="S1547" s="9" t="s">
        <v>725</v>
      </c>
      <c r="T1547" s="9" t="s">
        <v>79</v>
      </c>
      <c r="U1547" s="9">
        <f>IFERROR(VLOOKUP($T1547,KURALLAR!$A$32:$B$63,2,FALSE()),0)*IF(ISNUMBER($I1547),$I1547,0)</f>
        <v>12</v>
      </c>
    </row>
    <row r="1548" spans="1:21" x14ac:dyDescent="0.25">
      <c r="A1548" s="5">
        <v>1547</v>
      </c>
      <c r="B1548" s="5"/>
      <c r="C1548" s="5" t="s">
        <v>75</v>
      </c>
      <c r="D1548" s="5" t="s">
        <v>186</v>
      </c>
      <c r="E1548" s="5" t="str">
        <f>IFERROR(VLOOKUP($D1548,FIYAT!$B:$O,2,FALSE()),"")</f>
        <v>Ограничитель имп. перенапр. NU6-IIG 4Р In=25kA Uc=440B Im=65kA (R)</v>
      </c>
      <c r="F1548" s="5">
        <f>IFERROR(VLOOKUP($D1548,FIYAT!$B:$O,5,FALSE()),"")</f>
        <v>33208</v>
      </c>
      <c r="G1548" s="5">
        <f>IFERROR(VLOOKUP($D1548,FIYAT!$B:$O,8,FALSE()),"")</f>
        <v>19924.8</v>
      </c>
      <c r="H1548" s="5">
        <f t="shared" si="182"/>
        <v>19924.8</v>
      </c>
      <c r="I1548" s="6">
        <v>1</v>
      </c>
      <c r="J1548" s="5" t="str">
        <f>IFERROR(VLOOKUP($D1548,FIYAT!$B:$O,9,FALSE()),"")</f>
        <v>Шт.</v>
      </c>
      <c r="K1548" s="5" t="str">
        <f>IFERROR(VLOOKUP($D1548,FIYAT!$B:$O,4,FALSE()),"")</f>
        <v>CHINT</v>
      </c>
      <c r="L1548" s="5">
        <f t="shared" si="183"/>
        <v>19924.8</v>
      </c>
      <c r="M1548" s="5"/>
      <c r="N1548" s="5"/>
      <c r="O1548" s="5"/>
      <c r="P1548" s="5" t="str">
        <f>IF($H1548="","FIYAT_YOK",IFERROR(VLOOKUP($D1548,FIYAT!$B:$P,15,FALSE()),""))</f>
        <v>MUADIL_ONAY</v>
      </c>
      <c r="Q1548" s="5" t="s">
        <v>188</v>
      </c>
      <c r="R1548" s="5" t="s">
        <v>184</v>
      </c>
      <c r="S1548" s="5" t="s">
        <v>725</v>
      </c>
      <c r="T1548" s="5" t="s">
        <v>75</v>
      </c>
      <c r="U1548" s="5">
        <f>IFERROR(VLOOKUP($T1548,KURALLAR!$A$32:$B$63,2,FALSE()),0)*IF(ISNUMBER($I1548),$I1548,0)</f>
        <v>10</v>
      </c>
    </row>
    <row r="1549" spans="1:21" x14ac:dyDescent="0.25">
      <c r="A1549" s="9">
        <v>1548</v>
      </c>
      <c r="B1549" s="9"/>
      <c r="C1549" s="9" t="s">
        <v>83</v>
      </c>
      <c r="D1549" s="9" t="s">
        <v>516</v>
      </c>
      <c r="E1549" s="9" t="str">
        <f>IFERROR(VLOOKUP($D1549,FIYAT!$B:$O,2,FALSE()),"")</f>
        <v>Трансформатор тока 75/5А кл. 0,5 — CHINT листинге нет</v>
      </c>
      <c r="F1549" s="9">
        <f>IFERROR(VLOOKUP($D1549,FIYAT!$B:$O,5,FALSE()),"")</f>
        <v>0</v>
      </c>
      <c r="G1549" s="9" t="str">
        <f>IFERROR(VLOOKUP($D1549,FIYAT!$B:$O,8,FALSE()),"")</f>
        <v/>
      </c>
      <c r="H1549" s="9" t="str">
        <f t="shared" si="182"/>
        <v/>
      </c>
      <c r="I1549" s="6">
        <v>3</v>
      </c>
      <c r="J1549" s="9" t="str">
        <f>IFERROR(VLOOKUP($D1549,FIYAT!$B:$O,9,FALSE()),"")</f>
        <v>Шт.</v>
      </c>
      <c r="K1549" s="9" t="str">
        <f>IFERROR(VLOOKUP($D1549,FIYAT!$B:$O,4,FALSE()),"")</f>
        <v>MUADIL-NET</v>
      </c>
      <c r="L1549" s="9" t="str">
        <f t="shared" si="183"/>
        <v/>
      </c>
      <c r="M1549" s="9"/>
      <c r="N1549" s="9"/>
      <c r="O1549" s="9"/>
      <c r="P1549" s="7" t="str">
        <f>IF($H1549="","FIYAT_YOK",IFERROR(VLOOKUP($D1549,FIYAT!$B:$P,15,FALSE()),""))</f>
        <v>FIYAT_YOK</v>
      </c>
      <c r="Q1549" s="7" t="s">
        <v>518</v>
      </c>
      <c r="R1549" s="9"/>
      <c r="S1549" s="9" t="s">
        <v>725</v>
      </c>
      <c r="T1549" s="9" t="s">
        <v>83</v>
      </c>
      <c r="U1549" s="9">
        <f>IFERROR(VLOOKUP($T1549,KURALLAR!$A$32:$B$63,2,FALSE()),0)*IF(ISNUMBER($I1549),$I1549,0)</f>
        <v>30</v>
      </c>
    </row>
    <row r="1550" spans="1:21" x14ac:dyDescent="0.25">
      <c r="A1550" s="5">
        <v>1549</v>
      </c>
      <c r="B1550" s="5"/>
      <c r="C1550" s="5" t="s">
        <v>81</v>
      </c>
      <c r="D1550" s="5" t="s">
        <v>513</v>
      </c>
      <c r="E1550" s="5" t="str">
        <f>IFERROR(VLOOKUP($D1550,FIYAT!$B:$O,2,FALSE()),"")</f>
        <v>Schneider PM2230 — анализатор сети, LCD, RS485, кл. 0,5S</v>
      </c>
      <c r="F1550" s="5">
        <f>IFERROR(VLOOKUP($D1550,FIYAT!$B:$O,5,FALSE()),"")</f>
        <v>0</v>
      </c>
      <c r="G1550" s="5" t="str">
        <f>IFERROR(VLOOKUP($D1550,FIYAT!$B:$O,8,FALSE()),"")</f>
        <v/>
      </c>
      <c r="H1550" s="5" t="str">
        <f t="shared" si="182"/>
        <v/>
      </c>
      <c r="I1550" s="6">
        <v>1</v>
      </c>
      <c r="J1550" s="5" t="str">
        <f>IFERROR(VLOOKUP($D1550,FIYAT!$B:$O,9,FALSE()),"")</f>
        <v>Шт.</v>
      </c>
      <c r="K1550" s="5" t="str">
        <f>IFERROR(VLOOKUP($D1550,FIYAT!$B:$O,4,FALSE()),"")</f>
        <v>SCHNEIDER</v>
      </c>
      <c r="L1550" s="5" t="str">
        <f t="shared" si="183"/>
        <v/>
      </c>
      <c r="M1550" s="5"/>
      <c r="N1550" s="5"/>
      <c r="O1550" s="5"/>
      <c r="P1550" s="7" t="str">
        <f>IF($H1550="","FIYAT_YOK",IFERROR(VLOOKUP($D1550,FIYAT!$B:$P,15,FALSE()),""))</f>
        <v>FIYAT_YOK</v>
      </c>
      <c r="Q1550" s="7" t="s">
        <v>515</v>
      </c>
      <c r="R1550" s="5"/>
      <c r="S1550" s="5" t="s">
        <v>725</v>
      </c>
      <c r="T1550" s="5" t="s">
        <v>81</v>
      </c>
      <c r="U1550" s="5">
        <f>IFERROR(VLOOKUP($T1550,KURALLAR!$A$32:$B$63,2,FALSE()),0)*IF(ISNUMBER($I1550),$I1550,0)</f>
        <v>30</v>
      </c>
    </row>
    <row r="1551" spans="1:21" x14ac:dyDescent="0.25">
      <c r="A1551" s="9">
        <v>1550</v>
      </c>
      <c r="B1551" s="9"/>
      <c r="C1551" s="9" t="s">
        <v>169</v>
      </c>
      <c r="D1551" s="9" t="s">
        <v>259</v>
      </c>
      <c r="E1551" s="9" t="str">
        <f>IFERROR(VLOOKUP($D1551,FIYAT!$B:$O,2,FALSE()),"")</f>
        <v>Авт. выкл. NM8N-125C TM 3P 50А 36кА с рег. термомаг. расцепителем (R)</v>
      </c>
      <c r="F1551" s="9">
        <f>IFERROR(VLOOKUP($D1551,FIYAT!$B:$O,5,FALSE()),"")</f>
        <v>68025</v>
      </c>
      <c r="G1551" s="9">
        <f>IFERROR(VLOOKUP($D1551,FIYAT!$B:$O,8,FALSE()),"")</f>
        <v>40815</v>
      </c>
      <c r="H1551" s="9">
        <f t="shared" si="182"/>
        <v>163260</v>
      </c>
      <c r="I1551" s="6">
        <v>4</v>
      </c>
      <c r="J1551" s="9" t="str">
        <f>IFERROR(VLOOKUP($D1551,FIYAT!$B:$O,9,FALSE()),"")</f>
        <v>Шт.</v>
      </c>
      <c r="K1551" s="9" t="str">
        <f>IFERROR(VLOOKUP($D1551,FIYAT!$B:$O,4,FALSE()),"")</f>
        <v>CHINT</v>
      </c>
      <c r="L1551" s="9">
        <f t="shared" si="183"/>
        <v>163260</v>
      </c>
      <c r="M1551" s="9"/>
      <c r="N1551" s="9"/>
      <c r="O1551" s="9"/>
      <c r="P1551" s="9" t="str">
        <f>IF($H1551="","FIYAT_YOK",IFERROR(VLOOKUP($D1551,FIYAT!$B:$P,15,FALSE()),""))</f>
        <v>MUADIL</v>
      </c>
      <c r="Q1551" s="9" t="s">
        <v>172</v>
      </c>
      <c r="R1551" s="9" t="s">
        <v>171</v>
      </c>
      <c r="S1551" s="9" t="s">
        <v>725</v>
      </c>
      <c r="T1551" s="9" t="s">
        <v>61</v>
      </c>
      <c r="U1551" s="9">
        <f>IFERROR(VLOOKUP($T1551,KURALLAR!$A$32:$B$63,2,FALSE()),0)*IF(ISNUMBER($I1551),$I1551,0)</f>
        <v>60</v>
      </c>
    </row>
    <row r="1552" spans="1:21" x14ac:dyDescent="0.25">
      <c r="A1552" s="5">
        <v>1551</v>
      </c>
      <c r="B1552" s="5"/>
      <c r="C1552" s="5" t="s">
        <v>169</v>
      </c>
      <c r="D1552" s="5" t="s">
        <v>276</v>
      </c>
      <c r="E1552" s="5" t="str">
        <f>IFERROR(VLOOKUP($D1552,FIYAT!$B:$O,2,FALSE()),"")</f>
        <v>Авт. выкл. NM8N-125C TM 3P 40А 36кА с рег. термомаг. расцепителем (R)</v>
      </c>
      <c r="F1552" s="5">
        <f>IFERROR(VLOOKUP($D1552,FIYAT!$B:$O,5,FALSE()),"")</f>
        <v>68418</v>
      </c>
      <c r="G1552" s="5">
        <f>IFERROR(VLOOKUP($D1552,FIYAT!$B:$O,8,FALSE()),"")</f>
        <v>41050.799999999996</v>
      </c>
      <c r="H1552" s="5">
        <f t="shared" si="182"/>
        <v>205253.99999999997</v>
      </c>
      <c r="I1552" s="6">
        <v>5</v>
      </c>
      <c r="J1552" s="5" t="str">
        <f>IFERROR(VLOOKUP($D1552,FIYAT!$B:$O,9,FALSE()),"")</f>
        <v>Шт.</v>
      </c>
      <c r="K1552" s="5" t="str">
        <f>IFERROR(VLOOKUP($D1552,FIYAT!$B:$O,4,FALSE()),"")</f>
        <v>CHINT</v>
      </c>
      <c r="L1552" s="5">
        <f t="shared" si="183"/>
        <v>205253.99999999997</v>
      </c>
      <c r="M1552" s="5"/>
      <c r="N1552" s="5"/>
      <c r="O1552" s="5"/>
      <c r="P1552" s="5" t="str">
        <f>IF($H1552="","FIYAT_YOK",IFERROR(VLOOKUP($D1552,FIYAT!$B:$P,15,FALSE()),""))</f>
        <v>MUADIL</v>
      </c>
      <c r="Q1552" s="5" t="s">
        <v>172</v>
      </c>
      <c r="R1552" s="5" t="s">
        <v>171</v>
      </c>
      <c r="S1552" s="5" t="s">
        <v>725</v>
      </c>
      <c r="T1552" s="5" t="s">
        <v>61</v>
      </c>
      <c r="U1552" s="5">
        <f>IFERROR(VLOOKUP($T1552,KURALLAR!$A$32:$B$63,2,FALSE()),0)*IF(ISNUMBER($I1552),$I1552,0)</f>
        <v>75</v>
      </c>
    </row>
    <row r="1553" spans="1:21" x14ac:dyDescent="0.25">
      <c r="A1553" s="9">
        <v>1552</v>
      </c>
      <c r="B1553" s="9"/>
      <c r="C1553" s="9" t="s">
        <v>169</v>
      </c>
      <c r="D1553" s="9" t="s">
        <v>167</v>
      </c>
      <c r="E1553" s="9" t="str">
        <f>IFERROR(VLOOKUP($D1553,FIYAT!$B:$O,2,FALSE()),"")</f>
        <v>Авт. выкл. NM8N-125C TM 3P 32А 36кА с рег. термомаг. расцепителем (R)</v>
      </c>
      <c r="F1553" s="9">
        <f>IFERROR(VLOOKUP($D1553,FIYAT!$B:$O,5,FALSE()),"")</f>
        <v>64667</v>
      </c>
      <c r="G1553" s="9">
        <f>IFERROR(VLOOKUP($D1553,FIYAT!$B:$O,8,FALSE()),"")</f>
        <v>38800.199999999997</v>
      </c>
      <c r="H1553" s="9">
        <f t="shared" si="182"/>
        <v>194001</v>
      </c>
      <c r="I1553" s="6">
        <v>5</v>
      </c>
      <c r="J1553" s="9" t="str">
        <f>IFERROR(VLOOKUP($D1553,FIYAT!$B:$O,9,FALSE()),"")</f>
        <v>Шт.</v>
      </c>
      <c r="K1553" s="9" t="str">
        <f>IFERROR(VLOOKUP($D1553,FIYAT!$B:$O,4,FALSE()),"")</f>
        <v>CHINT</v>
      </c>
      <c r="L1553" s="9">
        <f t="shared" si="183"/>
        <v>194001</v>
      </c>
      <c r="M1553" s="9"/>
      <c r="N1553" s="9"/>
      <c r="O1553" s="9"/>
      <c r="P1553" s="9" t="str">
        <f>IF($H1553="","FIYAT_YOK",IFERROR(VLOOKUP($D1553,FIYAT!$B:$P,15,FALSE()),""))</f>
        <v>MUADIL</v>
      </c>
      <c r="Q1553" s="9" t="s">
        <v>172</v>
      </c>
      <c r="R1553" s="9" t="s">
        <v>171</v>
      </c>
      <c r="S1553" s="9" t="s">
        <v>725</v>
      </c>
      <c r="T1553" s="9" t="s">
        <v>61</v>
      </c>
      <c r="U1553" s="9">
        <f>IFERROR(VLOOKUP($T1553,KURALLAR!$A$32:$B$63,2,FALSE()),0)*IF(ISNUMBER($I1553),$I1553,0)</f>
        <v>75</v>
      </c>
    </row>
    <row r="1554" spans="1:21" x14ac:dyDescent="0.25">
      <c r="A1554" s="5">
        <v>1553</v>
      </c>
      <c r="B1554" s="5"/>
      <c r="C1554" s="5" t="s">
        <v>169</v>
      </c>
      <c r="D1554" s="5" t="s">
        <v>327</v>
      </c>
      <c r="E1554" s="5" t="str">
        <f>IFERROR(VLOOKUP($D1554,FIYAT!$B:$O,2,FALSE()),"")</f>
        <v>Авт. выкл. NM8N-125C TM 3P 25А 36кА с рег. термомаг. расцепителем (R)</v>
      </c>
      <c r="F1554" s="5">
        <f>IFERROR(VLOOKUP($D1554,FIYAT!$B:$O,5,FALSE()),"")</f>
        <v>65063</v>
      </c>
      <c r="G1554" s="5">
        <f>IFERROR(VLOOKUP($D1554,FIYAT!$B:$O,8,FALSE()),"")</f>
        <v>39037.799999999996</v>
      </c>
      <c r="H1554" s="5">
        <f t="shared" si="182"/>
        <v>117113.4</v>
      </c>
      <c r="I1554" s="6">
        <v>3</v>
      </c>
      <c r="J1554" s="5" t="str">
        <f>IFERROR(VLOOKUP($D1554,FIYAT!$B:$O,9,FALSE()),"")</f>
        <v>Шт.</v>
      </c>
      <c r="K1554" s="5" t="str">
        <f>IFERROR(VLOOKUP($D1554,FIYAT!$B:$O,4,FALSE()),"")</f>
        <v>CHINT</v>
      </c>
      <c r="L1554" s="5">
        <f t="shared" si="183"/>
        <v>117113.4</v>
      </c>
      <c r="M1554" s="5"/>
      <c r="N1554" s="5"/>
      <c r="O1554" s="5"/>
      <c r="P1554" s="5" t="str">
        <f>IF($H1554="","FIYAT_YOK",IFERROR(VLOOKUP($D1554,FIYAT!$B:$P,15,FALSE()),""))</f>
        <v>MUADIL</v>
      </c>
      <c r="Q1554" s="5" t="s">
        <v>172</v>
      </c>
      <c r="R1554" s="5" t="s">
        <v>171</v>
      </c>
      <c r="S1554" s="5" t="s">
        <v>725</v>
      </c>
      <c r="T1554" s="5" t="s">
        <v>61</v>
      </c>
      <c r="U1554" s="5">
        <f>IFERROR(VLOOKUP($T1554,KURALLAR!$A$32:$B$63,2,FALSE()),0)*IF(ISNUMBER($I1554),$I1554,0)</f>
        <v>45</v>
      </c>
    </row>
    <row r="1555" spans="1:21" x14ac:dyDescent="0.25">
      <c r="A1555" s="9">
        <v>1554</v>
      </c>
      <c r="B1555" s="9"/>
      <c r="C1555" s="9" t="s">
        <v>253</v>
      </c>
      <c r="D1555" s="9" t="s">
        <v>251</v>
      </c>
      <c r="E1555" s="9" t="str">
        <f>IFERROR(VLOOKUP($D1555,FIYAT!$B:$O,2,FALSE()),"")</f>
        <v>Шина алюминиевая твёрдая (ШАТ)</v>
      </c>
      <c r="F1555" s="9">
        <f>IFERROR(VLOOKUP($D1555,FIYAT!$B:$O,5,FALSE()),"")</f>
        <v>4493.5999999999995</v>
      </c>
      <c r="G1555" s="9">
        <f>IFERROR(VLOOKUP($D1555,FIYAT!$B:$O,8,FALSE()),"")</f>
        <v>4493.5999999999995</v>
      </c>
      <c r="H1555" s="9">
        <f t="shared" si="182"/>
        <v>40442.399999999994</v>
      </c>
      <c r="I1555" s="6">
        <v>9</v>
      </c>
      <c r="J1555" s="9" t="str">
        <f>IFERROR(VLOOKUP($D1555,FIYAT!$B:$O,9,FALSE()),"")</f>
        <v>Кг.</v>
      </c>
      <c r="K1555" s="9" t="str">
        <f>IFERROR(VLOOKUP($D1555,FIYAT!$B:$O,4,FALSE()),"")</f>
        <v>ALUM-BARA</v>
      </c>
      <c r="L1555" s="9">
        <f t="shared" si="183"/>
        <v>40442.399999999994</v>
      </c>
      <c r="M1555" s="9"/>
      <c r="N1555" s="9"/>
      <c r="O1555" s="9"/>
      <c r="P1555" s="9" t="str">
        <f>IF($H1555="","FIYAT_YOK",IFERROR(VLOOKUP($D1555,FIYAT!$B:$P,15,FALSE()),""))</f>
        <v>VARSAYIM</v>
      </c>
      <c r="Q1555" s="9" t="s">
        <v>255</v>
      </c>
      <c r="R1555" s="9"/>
      <c r="S1555" s="9" t="s">
        <v>725</v>
      </c>
      <c r="T1555" s="9" t="s">
        <v>101</v>
      </c>
      <c r="U1555" s="9">
        <f>IFERROR(VLOOKUP($T1555,KURALLAR!$A$32:$B$63,2,FALSE()),0)*IF(ISNUMBER($I1555),$I1555,0)</f>
        <v>54</v>
      </c>
    </row>
    <row r="1556" spans="1:21" x14ac:dyDescent="0.25">
      <c r="A1556" s="5">
        <v>1555</v>
      </c>
      <c r="B1556" s="5"/>
      <c r="C1556" s="5" t="s">
        <v>222</v>
      </c>
      <c r="D1556" s="5" t="s">
        <v>261</v>
      </c>
      <c r="E1556" s="5" t="str">
        <f>IFERROR(VLOOKUP($D1556,FIYAT!$B:$O,2,FALSE()),"")</f>
        <v>Мет. Щит (2000x700x500) +10CM BAZA IP54</v>
      </c>
      <c r="F1556" s="5">
        <f>IFERROR(VLOOKUP($D1556,FIYAT!$B:$O,5,FALSE()),"")</f>
        <v>117250</v>
      </c>
      <c r="G1556" s="5">
        <f>IFERROR(VLOOKUP($D1556,FIYAT!$B:$O,8,FALSE()),"")</f>
        <v>70350</v>
      </c>
      <c r="H1556" s="5">
        <f t="shared" si="182"/>
        <v>70350</v>
      </c>
      <c r="I1556" s="6">
        <v>1</v>
      </c>
      <c r="J1556" s="5" t="str">
        <f>IFERROR(VLOOKUP($D1556,FIYAT!$B:$O,9,FALSE()),"")</f>
        <v>Шт.</v>
      </c>
      <c r="K1556" s="5" t="str">
        <f>IFERROR(VLOOKUP($D1556,FIYAT!$B:$O,4,FALSE()),"")</f>
        <v>KAZTEK</v>
      </c>
      <c r="L1556" s="5">
        <f t="shared" si="183"/>
        <v>70350</v>
      </c>
      <c r="M1556" s="5"/>
      <c r="N1556" s="5"/>
      <c r="O1556" s="5"/>
      <c r="P1556" s="5" t="str">
        <f>IF($H1556="","FIYAT_YOK",IFERROR(VLOOKUP($D1556,FIYAT!$B:$P,15,FALSE()),""))</f>
        <v>VARSAYIM</v>
      </c>
      <c r="Q1556" s="5" t="s">
        <v>263</v>
      </c>
      <c r="R1556" s="5" t="s">
        <v>211</v>
      </c>
      <c r="S1556" s="5" t="s">
        <v>725</v>
      </c>
      <c r="T1556" s="5" t="s">
        <v>107</v>
      </c>
      <c r="U1556" s="5">
        <f>IFERROR(VLOOKUP($T1556,KURALLAR!$A$32:$B$63,2,FALSE()),0)*IF(ISNUMBER($I1556),$I1556,0)</f>
        <v>90</v>
      </c>
    </row>
    <row r="1557" spans="1:21" x14ac:dyDescent="0.25">
      <c r="A1557" s="9">
        <v>1556</v>
      </c>
      <c r="B1557" s="9"/>
      <c r="C1557" s="9" t="s">
        <v>215</v>
      </c>
      <c r="D1557" s="9" t="s">
        <v>213</v>
      </c>
      <c r="E1557" s="9" t="str">
        <f>IFERROR(VLOOKUP($D1557,FIYAT!$B:$O,2,FALSE()),"")</f>
        <v>Монтажный расходный материал (кабель, DIN-рейка, кабель-канал, клеммы, маркировка, крепёж)</v>
      </c>
      <c r="F1557" s="9">
        <f>IFERROR(VLOOKUP($D1557,FIYAT!$B:$O,5,FALSE()),"")</f>
        <v>0</v>
      </c>
      <c r="G1557" s="9" t="str">
        <f>IFERROR(VLOOKUP($D1557,FIYAT!$B:$O,8,FALSE()),"")</f>
        <v/>
      </c>
      <c r="H1557" s="9">
        <f>ROUND(SUM($H$1543:$H$1556)*KURALLAR!$B$28,0)</f>
        <v>63258</v>
      </c>
      <c r="I1557" s="6">
        <v>1</v>
      </c>
      <c r="J1557" s="9" t="str">
        <f>IFERROR(VLOOKUP($D1557,FIYAT!$B:$O,9,FALSE()),"")</f>
        <v>компл.</v>
      </c>
      <c r="K1557" s="9" t="str">
        <f>IFERROR(VLOOKUP($D1557,FIYAT!$B:$O,4,FALSE()),"")</f>
        <v>MUADIL-NET</v>
      </c>
      <c r="L1557" s="9">
        <f t="shared" si="183"/>
        <v>63258</v>
      </c>
      <c r="M1557" s="9"/>
      <c r="N1557" s="9"/>
      <c r="O1557" s="9"/>
      <c r="P1557" s="9" t="str">
        <f>IF($H1557="","FIYAT_YOK",IFERROR(VLOOKUP($D1557,FIYAT!$B:$P,15,FALSE()),""))</f>
        <v>ORAN</v>
      </c>
      <c r="Q1557" s="9" t="s">
        <v>218</v>
      </c>
      <c r="R1557" s="9" t="s">
        <v>217</v>
      </c>
      <c r="S1557" s="9" t="s">
        <v>725</v>
      </c>
      <c r="T1557" s="9"/>
      <c r="U1557" s="9">
        <v>0</v>
      </c>
    </row>
    <row r="1558" spans="1:21" x14ac:dyDescent="0.25">
      <c r="A1558" s="5">
        <v>1557</v>
      </c>
      <c r="B1558" s="5"/>
      <c r="C1558" s="5" t="s">
        <v>227</v>
      </c>
      <c r="D1558" s="5" t="s">
        <v>225</v>
      </c>
      <c r="E1558" s="5" t="str">
        <f>IFERROR(VLOOKUP($D1558,FIYAT!$B:$O,2,FALSE()),"")</f>
        <v>Сборка, кабелирование, маркировка, момент затяжки, испытания</v>
      </c>
      <c r="F1558" s="5">
        <f>IFERROR(VLOOKUP($D1558,FIYAT!$B:$O,5,FALSE()),"")</f>
        <v>100</v>
      </c>
      <c r="G1558" s="5">
        <f>IFERROR(VLOOKUP($D1558,FIYAT!$B:$O,8,FALSE()),"")</f>
        <v>100</v>
      </c>
      <c r="H1558" s="5">
        <f>IF(OR($G1558="",$I1558=""),"",$G1558*$I1558)</f>
        <v>64900</v>
      </c>
      <c r="I1558" s="6">
        <f>ROUND(SUM($U$1543:$U$1557)*KURALLAR!$B$27,0)</f>
        <v>649</v>
      </c>
      <c r="J1558" s="5" t="str">
        <f>IFERROR(VLOOKUP($D1558,FIYAT!$B:$O,9,FALSE()),"")</f>
        <v>мин</v>
      </c>
      <c r="K1558" s="5" t="str">
        <f>IFERROR(VLOOKUP($D1558,FIYAT!$B:$O,4,FALSE()),"")</f>
        <v>ISCILIK</v>
      </c>
      <c r="L1558" s="5">
        <f t="shared" si="183"/>
        <v>64900</v>
      </c>
      <c r="M1558" s="5"/>
      <c r="N1558" s="5"/>
      <c r="O1558" s="5"/>
      <c r="P1558" s="5" t="str">
        <f>IF($H1558="","FIYAT_YOK",IFERROR(VLOOKUP($D1558,FIYAT!$B:$P,15,FALSE()),""))</f>
        <v>OK</v>
      </c>
      <c r="Q1558" s="5" t="str">
        <f>CONCATENATE("montaj+test iscilik: ",TEXT($I1558,"# ##0")," dk = ",TEXT($I1558/60,"0,00")," saat (norm x test/etiket carpani)")</f>
        <v>montaj+test iscilik:  649 dk = 10,82 saat (norm x test/etiket carpani)</v>
      </c>
      <c r="R1558" s="5" t="s">
        <v>229</v>
      </c>
      <c r="S1558" s="5" t="s">
        <v>725</v>
      </c>
      <c r="T1558" s="5"/>
      <c r="U1558" s="5">
        <v>0</v>
      </c>
    </row>
    <row r="1559" spans="1:21" x14ac:dyDescent="0.25">
      <c r="A1559" s="10">
        <v>1558</v>
      </c>
      <c r="B1559" s="10" t="s">
        <v>736</v>
      </c>
      <c r="C1559" s="10"/>
      <c r="D1559" s="10"/>
      <c r="E1559" s="10"/>
      <c r="F1559" s="10"/>
      <c r="G1559" s="10"/>
      <c r="H1559" s="10">
        <f>SUBTOTAL(9,H1543:H1558)</f>
        <v>1031849.8</v>
      </c>
      <c r="I1559" s="10"/>
      <c r="J1559" s="10"/>
      <c r="K1559" s="10"/>
      <c r="L1559" s="10">
        <f>SUBTOTAL(9,L1543:L1558)</f>
        <v>1031849.8</v>
      </c>
      <c r="M1559" s="10"/>
      <c r="N1559" s="10"/>
      <c r="O1559" s="10"/>
      <c r="P1559" s="10"/>
      <c r="Q1559" s="10"/>
      <c r="R1559" s="10"/>
      <c r="S1559" s="10"/>
      <c r="T1559" s="10"/>
      <c r="U1559" s="10">
        <f>SUBTOTAL(9,U1543:U1558)</f>
        <v>564</v>
      </c>
    </row>
    <row r="1560" spans="1:21" x14ac:dyDescent="0.25">
      <c r="A1560" s="8">
        <v>1559</v>
      </c>
      <c r="B1560" s="8" t="str">
        <f>E1560</f>
        <v>LPS / Общий распределительный щит ЩС-LOT1A — НКУ 380/220В 50Гц, FORM 2B, IP31/54</v>
      </c>
      <c r="C1560" s="8" t="s">
        <v>545</v>
      </c>
      <c r="D1560" s="8"/>
      <c r="E1560" s="8" t="s">
        <v>737</v>
      </c>
      <c r="F1560" s="8"/>
      <c r="G1560" s="8"/>
      <c r="H1560" s="8"/>
      <c r="I1560" s="8">
        <v>1</v>
      </c>
      <c r="J1560" s="8" t="s">
        <v>547</v>
      </c>
      <c r="K1560" s="8"/>
      <c r="L1560" s="8"/>
      <c r="M1560" s="8"/>
      <c r="N1560" s="8"/>
      <c r="O1560" s="8"/>
      <c r="P1560" s="8" t="s">
        <v>178</v>
      </c>
      <c r="Q1560" s="8" t="s">
        <v>548</v>
      </c>
      <c r="R1560" s="8" t="s">
        <v>549</v>
      </c>
      <c r="S1560" s="8" t="s">
        <v>725</v>
      </c>
      <c r="T1560" s="8"/>
      <c r="U1560" s="8"/>
    </row>
    <row r="1561" spans="1:21" x14ac:dyDescent="0.25">
      <c r="A1561" s="9">
        <v>1560</v>
      </c>
      <c r="B1561" s="9"/>
      <c r="C1561" s="9" t="s">
        <v>169</v>
      </c>
      <c r="D1561" s="9" t="s">
        <v>379</v>
      </c>
      <c r="E1561" s="9" t="str">
        <f>IFERROR(VLOOKUP($D1561,FIYAT!$B:$O,2,FALSE()),"")</f>
        <v>Авт. выкл. NM8N-400C TM 3P 400А 36кА с рег. термомаг. расцепителем (R)</v>
      </c>
      <c r="F1561" s="9">
        <f>IFERROR(VLOOKUP($D1561,FIYAT!$B:$O,5,FALSE()),"")</f>
        <v>208671</v>
      </c>
      <c r="G1561" s="9">
        <f>IFERROR(VLOOKUP($D1561,FIYAT!$B:$O,8,FALSE()),"")</f>
        <v>125202.59999999999</v>
      </c>
      <c r="H1561" s="9">
        <f t="shared" ref="H1561:H1577" si="184">IF(OR($G1561="",$I1561=""),"",$G1561*$I1561)</f>
        <v>125202.59999999999</v>
      </c>
      <c r="I1561" s="6">
        <v>1</v>
      </c>
      <c r="J1561" s="9" t="str">
        <f>IFERROR(VLOOKUP($D1561,FIYAT!$B:$O,9,FALSE()),"")</f>
        <v>Шт.</v>
      </c>
      <c r="K1561" s="9" t="str">
        <f>IFERROR(VLOOKUP($D1561,FIYAT!$B:$O,4,FALSE()),"")</f>
        <v>CHINT</v>
      </c>
      <c r="L1561" s="9">
        <f t="shared" ref="L1561:L1579" si="185">IF($H1561="","",$H1561)</f>
        <v>125202.59999999999</v>
      </c>
      <c r="M1561" s="9"/>
      <c r="N1561" s="9"/>
      <c r="O1561" s="9"/>
      <c r="P1561" s="9" t="str">
        <f>IF($H1561="","FIYAT_YOK",IFERROR(VLOOKUP($D1561,FIYAT!$B:$P,15,FALSE()),""))</f>
        <v>OK</v>
      </c>
      <c r="Q1561" s="9" t="s">
        <v>381</v>
      </c>
      <c r="R1561" s="9" t="s">
        <v>171</v>
      </c>
      <c r="S1561" s="9" t="s">
        <v>725</v>
      </c>
      <c r="T1561" s="9" t="s">
        <v>65</v>
      </c>
      <c r="U1561" s="9">
        <f>IFERROR(VLOOKUP($T1561,KURALLAR!$A$32:$B$63,2,FALSE()),0)*IF(ISNUMBER($I1561),$I1561,0)</f>
        <v>40</v>
      </c>
    </row>
    <row r="1562" spans="1:21" x14ac:dyDescent="0.25">
      <c r="A1562" s="5">
        <v>1561</v>
      </c>
      <c r="B1562" s="5"/>
      <c r="C1562" s="5" t="s">
        <v>83</v>
      </c>
      <c r="D1562" s="5" t="s">
        <v>382</v>
      </c>
      <c r="E1562" s="5" t="str">
        <f>IFERROR(VLOOKUP($D1562,FIYAT!$B:$O,2,FALSE()),"")</f>
        <v>Трансформатор тока Т-0.66-1,2 У3 400/5А (для счётчика)</v>
      </c>
      <c r="F1562" s="5">
        <f>IFERROR(VLOOKUP($D1562,FIYAT!$B:$O,5,FALSE()),"")</f>
        <v>0</v>
      </c>
      <c r="G1562" s="5" t="str">
        <f>IFERROR(VLOOKUP($D1562,FIYAT!$B:$O,8,FALSE()),"")</f>
        <v/>
      </c>
      <c r="H1562" s="5" t="str">
        <f t="shared" si="184"/>
        <v/>
      </c>
      <c r="I1562" s="6">
        <v>3</v>
      </c>
      <c r="J1562" s="5" t="str">
        <f>IFERROR(VLOOKUP($D1562,FIYAT!$B:$O,9,FALSE()),"")</f>
        <v>Шт.</v>
      </c>
      <c r="K1562" s="5" t="str">
        <f>IFERROR(VLOOKUP($D1562,FIYAT!$B:$O,4,FALSE()),"")</f>
        <v>MUADIL-NET</v>
      </c>
      <c r="L1562" s="5" t="str">
        <f t="shared" si="185"/>
        <v/>
      </c>
      <c r="M1562" s="5"/>
      <c r="N1562" s="5"/>
      <c r="O1562" s="5"/>
      <c r="P1562" s="7" t="str">
        <f>IF($H1562="","FIYAT_YOK",IFERROR(VLOOKUP($D1562,FIYAT!$B:$P,15,FALSE()),""))</f>
        <v>FIYAT_YOK</v>
      </c>
      <c r="Q1562" s="7" t="s">
        <v>384</v>
      </c>
      <c r="R1562" s="5"/>
      <c r="S1562" s="5" t="s">
        <v>725</v>
      </c>
      <c r="T1562" s="5" t="s">
        <v>83</v>
      </c>
      <c r="U1562" s="5">
        <f>IFERROR(VLOOKUP($T1562,KURALLAR!$A$32:$B$63,2,FALSE()),0)*IF(ISNUMBER($I1562),$I1562,0)</f>
        <v>30</v>
      </c>
    </row>
    <row r="1563" spans="1:21" x14ac:dyDescent="0.25">
      <c r="A1563" s="9">
        <v>1562</v>
      </c>
      <c r="B1563" s="9"/>
      <c r="C1563" s="9" t="s">
        <v>97</v>
      </c>
      <c r="D1563" s="9" t="s">
        <v>281</v>
      </c>
      <c r="E1563" s="9" t="str">
        <f>IFERROR(VLOOKUP($D1563,FIYAT!$B:$O,2,FALSE()),"")</f>
        <v>КОРОБКА КЛЕММНАЯ ИСПЫТАТЕЛЬНАЯ ПЕРЕХОДНАЯ ККИ1-1 EKF PROXIMA</v>
      </c>
      <c r="F1563" s="9">
        <f>IFERROR(VLOOKUP($D1563,FIYAT!$B:$O,5,FALSE()),"")</f>
        <v>0</v>
      </c>
      <c r="G1563" s="9" t="str">
        <f>IFERROR(VLOOKUP($D1563,FIYAT!$B:$O,8,FALSE()),"")</f>
        <v/>
      </c>
      <c r="H1563" s="9" t="str">
        <f t="shared" si="184"/>
        <v/>
      </c>
      <c r="I1563" s="6">
        <v>1</v>
      </c>
      <c r="J1563" s="9" t="str">
        <f>IFERROR(VLOOKUP($D1563,FIYAT!$B:$O,9,FALSE()),"")</f>
        <v>Шт.</v>
      </c>
      <c r="K1563" s="9" t="str">
        <f>IFERROR(VLOOKUP($D1563,FIYAT!$B:$O,4,FALSE()),"")</f>
        <v>EKF</v>
      </c>
      <c r="L1563" s="9" t="str">
        <f t="shared" si="185"/>
        <v/>
      </c>
      <c r="M1563" s="9"/>
      <c r="N1563" s="9"/>
      <c r="O1563" s="9"/>
      <c r="P1563" s="7" t="str">
        <f>IF($H1563="","FIYAT_YOK",IFERROR(VLOOKUP($D1563,FIYAT!$B:$P,15,FALSE()),""))</f>
        <v>FIYAT_YOK</v>
      </c>
      <c r="Q1563" s="7" t="s">
        <v>283</v>
      </c>
      <c r="R1563" s="9"/>
      <c r="S1563" s="9" t="s">
        <v>725</v>
      </c>
      <c r="T1563" s="9" t="s">
        <v>97</v>
      </c>
      <c r="U1563" s="9">
        <f>IFERROR(VLOOKUP($T1563,KURALLAR!$A$32:$B$63,2,FALSE()),0)*IF(ISNUMBER($I1563),$I1563,0)</f>
        <v>4</v>
      </c>
    </row>
    <row r="1564" spans="1:21" x14ac:dyDescent="0.25">
      <c r="A1564" s="5">
        <v>1563</v>
      </c>
      <c r="B1564" s="5"/>
      <c r="C1564" s="5" t="s">
        <v>81</v>
      </c>
      <c r="D1564" s="5" t="s">
        <v>284</v>
      </c>
      <c r="E1564" s="5" t="str">
        <f>IFERROR(VLOOKUP($D1564,FIYAT!$B:$O,2,FALSE()),"")</f>
        <v>Трехфазный эл.счетчик EX 518 5А (трансф. подкл.) с PLC модулем</v>
      </c>
      <c r="F1564" s="5">
        <f>IFERROR(VLOOKUP($D1564,FIYAT!$B:$O,5,FALSE()),"")</f>
        <v>0</v>
      </c>
      <c r="G1564" s="5" t="str">
        <f>IFERROR(VLOOKUP($D1564,FIYAT!$B:$O,8,FALSE()),"")</f>
        <v/>
      </c>
      <c r="H1564" s="5" t="str">
        <f t="shared" si="184"/>
        <v/>
      </c>
      <c r="I1564" s="6">
        <v>1</v>
      </c>
      <c r="J1564" s="5" t="str">
        <f>IFERROR(VLOOKUP($D1564,FIYAT!$B:$O,9,FALSE()),"")</f>
        <v>Шт.</v>
      </c>
      <c r="K1564" s="5" t="str">
        <f>IFERROR(VLOOKUP($D1564,FIYAT!$B:$O,4,FALSE()),"")</f>
        <v>MUADIL-NET</v>
      </c>
      <c r="L1564" s="5" t="str">
        <f t="shared" si="185"/>
        <v/>
      </c>
      <c r="M1564" s="5"/>
      <c r="N1564" s="5"/>
      <c r="O1564" s="5"/>
      <c r="P1564" s="7" t="str">
        <f>IF($H1564="","FIYAT_YOK",IFERROR(VLOOKUP($D1564,FIYAT!$B:$P,15,FALSE()),""))</f>
        <v>FIYAT_YOK</v>
      </c>
      <c r="Q1564" s="7" t="s">
        <v>249</v>
      </c>
      <c r="R1564" s="5"/>
      <c r="S1564" s="5" t="s">
        <v>725</v>
      </c>
      <c r="T1564" s="5" t="s">
        <v>81</v>
      </c>
      <c r="U1564" s="5">
        <f>IFERROR(VLOOKUP($T1564,KURALLAR!$A$32:$B$63,2,FALSE()),0)*IF(ISNUMBER($I1564),$I1564,0)</f>
        <v>30</v>
      </c>
    </row>
    <row r="1565" spans="1:21" x14ac:dyDescent="0.25">
      <c r="A1565" s="9">
        <v>1564</v>
      </c>
      <c r="B1565" s="9"/>
      <c r="C1565" s="9" t="s">
        <v>192</v>
      </c>
      <c r="D1565" s="9" t="s">
        <v>238</v>
      </c>
      <c r="E1565" s="9" t="str">
        <f>IFERROR(VLOOKUP($D1565,FIYAT!$B:$O,2,FALSE()),"")</f>
        <v>Авт. выкл. NXB-63 1P 6A 6кА х-ка C (R)</v>
      </c>
      <c r="F1565" s="9">
        <f>IFERROR(VLOOKUP($D1565,FIYAT!$B:$O,5,FALSE()),"")</f>
        <v>1436</v>
      </c>
      <c r="G1565" s="9">
        <f>IFERROR(VLOOKUP($D1565,FIYAT!$B:$O,8,FALSE()),"")</f>
        <v>861.6</v>
      </c>
      <c r="H1565" s="9">
        <f t="shared" si="184"/>
        <v>6031.2</v>
      </c>
      <c r="I1565" s="6">
        <v>7</v>
      </c>
      <c r="J1565" s="9" t="str">
        <f>IFERROR(VLOOKUP($D1565,FIYAT!$B:$O,9,FALSE()),"")</f>
        <v>Шт.</v>
      </c>
      <c r="K1565" s="9" t="str">
        <f>IFERROR(VLOOKUP($D1565,FIYAT!$B:$O,4,FALSE()),"")</f>
        <v>CHINT</v>
      </c>
      <c r="L1565" s="9">
        <f t="shared" si="185"/>
        <v>6031.2</v>
      </c>
      <c r="M1565" s="9"/>
      <c r="N1565" s="9"/>
      <c r="O1565" s="9"/>
      <c r="P1565" s="9" t="str">
        <f>IF($H1565="","FIYAT_YOK",IFERROR(VLOOKUP($D1565,FIYAT!$B:$P,15,FALSE()),""))</f>
        <v>OK</v>
      </c>
      <c r="Q1565" s="9" t="s">
        <v>240</v>
      </c>
      <c r="R1565" s="9" t="s">
        <v>171</v>
      </c>
      <c r="S1565" s="9" t="s">
        <v>725</v>
      </c>
      <c r="T1565" s="9" t="s">
        <v>47</v>
      </c>
      <c r="U1565" s="9">
        <f>IFERROR(VLOOKUP($T1565,KURALLAR!$A$32:$B$63,2,FALSE()),0)*IF(ISNUMBER($I1565),$I1565,0)</f>
        <v>21</v>
      </c>
    </row>
    <row r="1566" spans="1:21" x14ac:dyDescent="0.25">
      <c r="A1566" s="5">
        <v>1565</v>
      </c>
      <c r="B1566" s="5"/>
      <c r="C1566" s="5" t="s">
        <v>89</v>
      </c>
      <c r="D1566" s="5" t="s">
        <v>241</v>
      </c>
      <c r="E1566" s="5" t="str">
        <f>IFERROR(VLOOKUP($D1566,FIYAT!$B:$O,2,FALSE()),"")</f>
        <v>Индикатор ND16-22DS/4 белый АС230В (R)</v>
      </c>
      <c r="F1566" s="5">
        <f>IFERROR(VLOOKUP($D1566,FIYAT!$B:$O,5,FALSE()),"")</f>
        <v>1047</v>
      </c>
      <c r="G1566" s="5">
        <f>IFERROR(VLOOKUP($D1566,FIYAT!$B:$O,8,FALSE()),"")</f>
        <v>628.19999999999993</v>
      </c>
      <c r="H1566" s="5">
        <f t="shared" si="184"/>
        <v>1884.6</v>
      </c>
      <c r="I1566" s="6">
        <v>3</v>
      </c>
      <c r="J1566" s="5" t="str">
        <f>IFERROR(VLOOKUP($D1566,FIYAT!$B:$O,9,FALSE()),"")</f>
        <v>Шт.</v>
      </c>
      <c r="K1566" s="5" t="str">
        <f>IFERROR(VLOOKUP($D1566,FIYAT!$B:$O,4,FALSE()),"")</f>
        <v>CHINT</v>
      </c>
      <c r="L1566" s="5">
        <f t="shared" si="185"/>
        <v>1884.6</v>
      </c>
      <c r="M1566" s="5"/>
      <c r="N1566" s="5"/>
      <c r="O1566" s="5"/>
      <c r="P1566" s="5" t="str">
        <f>IF($H1566="","FIYAT_YOK",IFERROR(VLOOKUP($D1566,FIYAT!$B:$P,15,FALSE()),""))</f>
        <v>OK</v>
      </c>
      <c r="Q1566" s="5" t="s">
        <v>243</v>
      </c>
      <c r="R1566" s="5" t="s">
        <v>184</v>
      </c>
      <c r="S1566" s="5" t="s">
        <v>725</v>
      </c>
      <c r="T1566" s="5" t="s">
        <v>89</v>
      </c>
      <c r="U1566" s="5">
        <f>IFERROR(VLOOKUP($T1566,KURALLAR!$A$32:$B$63,2,FALSE()),0)*IF(ISNUMBER($I1566),$I1566,0)</f>
        <v>12</v>
      </c>
    </row>
    <row r="1567" spans="1:21" x14ac:dyDescent="0.25">
      <c r="A1567" s="9">
        <v>1566</v>
      </c>
      <c r="B1567" s="9"/>
      <c r="C1567" s="9" t="s">
        <v>79</v>
      </c>
      <c r="D1567" s="9" t="s">
        <v>179</v>
      </c>
      <c r="E1567" s="9" t="str">
        <f>IFERROR(VLOOKUP($D1567,FIYAT!$B:$O,2,FALSE()),"")</f>
        <v>Держатель плавкой вставки RT36-00-160, габарит 00, 160А</v>
      </c>
      <c r="F1567" s="9">
        <f>IFERROR(VLOOKUP($D1567,FIYAT!$B:$O,5,FALSE()),"")</f>
        <v>2038</v>
      </c>
      <c r="G1567" s="9">
        <f>IFERROR(VLOOKUP($D1567,FIYAT!$B:$O,8,FALSE()),"")</f>
        <v>1222.8</v>
      </c>
      <c r="H1567" s="9">
        <f t="shared" si="184"/>
        <v>4891.2</v>
      </c>
      <c r="I1567" s="6">
        <v>4</v>
      </c>
      <c r="J1567" s="9" t="str">
        <f>IFERROR(VLOOKUP($D1567,FIYAT!$B:$O,9,FALSE()),"")</f>
        <v>Шт.</v>
      </c>
      <c r="K1567" s="9" t="str">
        <f>IFERROR(VLOOKUP($D1567,FIYAT!$B:$O,4,FALSE()),"")</f>
        <v>CHINT</v>
      </c>
      <c r="L1567" s="9">
        <f t="shared" si="185"/>
        <v>4891.2</v>
      </c>
      <c r="M1567" s="9"/>
      <c r="N1567" s="9"/>
      <c r="O1567" s="9"/>
      <c r="P1567" s="9" t="str">
        <f>IF($H1567="","FIYAT_YOK",IFERROR(VLOOKUP($D1567,FIYAT!$B:$P,15,FALSE()),""))</f>
        <v>MUADIL</v>
      </c>
      <c r="Q1567" s="9" t="s">
        <v>181</v>
      </c>
      <c r="R1567" s="9" t="s">
        <v>171</v>
      </c>
      <c r="S1567" s="9" t="s">
        <v>725</v>
      </c>
      <c r="T1567" s="9" t="s">
        <v>77</v>
      </c>
      <c r="U1567" s="9">
        <f>IFERROR(VLOOKUP($T1567,KURALLAR!$A$32:$B$63,2,FALSE()),0)*IF(ISNUMBER($I1567),$I1567,0)</f>
        <v>20</v>
      </c>
    </row>
    <row r="1568" spans="1:21" x14ac:dyDescent="0.25">
      <c r="A1568" s="5">
        <v>1567</v>
      </c>
      <c r="B1568" s="5"/>
      <c r="C1568" s="5" t="s">
        <v>79</v>
      </c>
      <c r="D1568" s="5" t="s">
        <v>182</v>
      </c>
      <c r="E1568" s="5" t="str">
        <f>IFERROR(VLOOKUP($D1568,FIYAT!$B:$O,2,FALSE()),"")</f>
        <v>Плавкая вставка предохранителя RT36-00-160, габарит 00, 63А</v>
      </c>
      <c r="F1568" s="5">
        <f>IFERROR(VLOOKUP($D1568,FIYAT!$B:$O,5,FALSE()),"")</f>
        <v>1525</v>
      </c>
      <c r="G1568" s="5">
        <f>IFERROR(VLOOKUP($D1568,FIYAT!$B:$O,8,FALSE()),"")</f>
        <v>915</v>
      </c>
      <c r="H1568" s="5">
        <f t="shared" si="184"/>
        <v>3660</v>
      </c>
      <c r="I1568" s="6">
        <v>4</v>
      </c>
      <c r="J1568" s="5" t="str">
        <f>IFERROR(VLOOKUP($D1568,FIYAT!$B:$O,9,FALSE()),"")</f>
        <v>Шт.</v>
      </c>
      <c r="K1568" s="5" t="str">
        <f>IFERROR(VLOOKUP($D1568,FIYAT!$B:$O,4,FALSE()),"")</f>
        <v>CHINT</v>
      </c>
      <c r="L1568" s="5">
        <f t="shared" si="185"/>
        <v>3660</v>
      </c>
      <c r="M1568" s="5"/>
      <c r="N1568" s="5"/>
      <c r="O1568" s="5"/>
      <c r="P1568" s="5" t="str">
        <f>IF($H1568="","FIYAT_YOK",IFERROR(VLOOKUP($D1568,FIYAT!$B:$P,15,FALSE()),""))</f>
        <v>MUADIL</v>
      </c>
      <c r="Q1568" s="5" t="s">
        <v>185</v>
      </c>
      <c r="R1568" s="5" t="s">
        <v>184</v>
      </c>
      <c r="S1568" s="5" t="s">
        <v>725</v>
      </c>
      <c r="T1568" s="5" t="s">
        <v>79</v>
      </c>
      <c r="U1568" s="5">
        <f>IFERROR(VLOOKUP($T1568,KURALLAR!$A$32:$B$63,2,FALSE()),0)*IF(ISNUMBER($I1568),$I1568,0)</f>
        <v>12</v>
      </c>
    </row>
    <row r="1569" spans="1:21" x14ac:dyDescent="0.25">
      <c r="A1569" s="9">
        <v>1568</v>
      </c>
      <c r="B1569" s="9"/>
      <c r="C1569" s="9" t="s">
        <v>75</v>
      </c>
      <c r="D1569" s="9" t="s">
        <v>186</v>
      </c>
      <c r="E1569" s="9" t="str">
        <f>IFERROR(VLOOKUP($D1569,FIYAT!$B:$O,2,FALSE()),"")</f>
        <v>Ограничитель имп. перенапр. NU6-IIG 4Р In=25kA Uc=440B Im=65kA (R)</v>
      </c>
      <c r="F1569" s="9">
        <f>IFERROR(VLOOKUP($D1569,FIYAT!$B:$O,5,FALSE()),"")</f>
        <v>33208</v>
      </c>
      <c r="G1569" s="9">
        <f>IFERROR(VLOOKUP($D1569,FIYAT!$B:$O,8,FALSE()),"")</f>
        <v>19924.8</v>
      </c>
      <c r="H1569" s="9">
        <f t="shared" si="184"/>
        <v>19924.8</v>
      </c>
      <c r="I1569" s="6">
        <v>1</v>
      </c>
      <c r="J1569" s="9" t="str">
        <f>IFERROR(VLOOKUP($D1569,FIYAT!$B:$O,9,FALSE()),"")</f>
        <v>Шт.</v>
      </c>
      <c r="K1569" s="9" t="str">
        <f>IFERROR(VLOOKUP($D1569,FIYAT!$B:$O,4,FALSE()),"")</f>
        <v>CHINT</v>
      </c>
      <c r="L1569" s="9">
        <f t="shared" si="185"/>
        <v>19924.8</v>
      </c>
      <c r="M1569" s="9"/>
      <c r="N1569" s="9"/>
      <c r="O1569" s="9"/>
      <c r="P1569" s="9" t="str">
        <f>IF($H1569="","FIYAT_YOK",IFERROR(VLOOKUP($D1569,FIYAT!$B:$P,15,FALSE()),""))</f>
        <v>MUADIL_ONAY</v>
      </c>
      <c r="Q1569" s="9" t="s">
        <v>188</v>
      </c>
      <c r="R1569" s="9" t="s">
        <v>184</v>
      </c>
      <c r="S1569" s="9" t="s">
        <v>725</v>
      </c>
      <c r="T1569" s="9" t="s">
        <v>75</v>
      </c>
      <c r="U1569" s="9">
        <f>IFERROR(VLOOKUP($T1569,KURALLAR!$A$32:$B$63,2,FALSE()),0)*IF(ISNUMBER($I1569),$I1569,0)</f>
        <v>10</v>
      </c>
    </row>
    <row r="1570" spans="1:21" x14ac:dyDescent="0.25">
      <c r="A1570" s="5">
        <v>1569</v>
      </c>
      <c r="B1570" s="5"/>
      <c r="C1570" s="5" t="s">
        <v>83</v>
      </c>
      <c r="D1570" s="5" t="s">
        <v>519</v>
      </c>
      <c r="E1570" s="5" t="str">
        <f>IFERROR(VLOOKUP($D1570,FIYAT!$B:$O,2,FALSE()),"")</f>
        <v>Трансформатор тока BH-0.66 60 I 400/5A класс точности 0.5 (R)</v>
      </c>
      <c r="F1570" s="5">
        <f>IFERROR(VLOOKUP($D1570,FIYAT!$B:$O,5,FALSE()),"")</f>
        <v>6065</v>
      </c>
      <c r="G1570" s="5">
        <f>IFERROR(VLOOKUP($D1570,FIYAT!$B:$O,8,FALSE()),"")</f>
        <v>3639</v>
      </c>
      <c r="H1570" s="5">
        <f t="shared" si="184"/>
        <v>10917</v>
      </c>
      <c r="I1570" s="6">
        <v>3</v>
      </c>
      <c r="J1570" s="5" t="str">
        <f>IFERROR(VLOOKUP($D1570,FIYAT!$B:$O,9,FALSE()),"")</f>
        <v>Шт.</v>
      </c>
      <c r="K1570" s="5" t="str">
        <f>IFERROR(VLOOKUP($D1570,FIYAT!$B:$O,4,FALSE()),"")</f>
        <v>CHINT</v>
      </c>
      <c r="L1570" s="5">
        <f t="shared" si="185"/>
        <v>10917</v>
      </c>
      <c r="M1570" s="5"/>
      <c r="N1570" s="5"/>
      <c r="O1570" s="5"/>
      <c r="P1570" s="5" t="str">
        <f>IF($H1570="","FIYAT_YOK",IFERROR(VLOOKUP($D1570,FIYAT!$B:$P,15,FALSE()),""))</f>
        <v>OK</v>
      </c>
      <c r="Q1570" s="5" t="s">
        <v>521</v>
      </c>
      <c r="R1570" s="5" t="s">
        <v>184</v>
      </c>
      <c r="S1570" s="5" t="s">
        <v>725</v>
      </c>
      <c r="T1570" s="5" t="s">
        <v>83</v>
      </c>
      <c r="U1570" s="5">
        <f>IFERROR(VLOOKUP($T1570,KURALLAR!$A$32:$B$63,2,FALSE()),0)*IF(ISNUMBER($I1570),$I1570,0)</f>
        <v>30</v>
      </c>
    </row>
    <row r="1571" spans="1:21" x14ac:dyDescent="0.25">
      <c r="A1571" s="9">
        <v>1570</v>
      </c>
      <c r="B1571" s="9"/>
      <c r="C1571" s="9" t="s">
        <v>81</v>
      </c>
      <c r="D1571" s="9" t="s">
        <v>513</v>
      </c>
      <c r="E1571" s="9" t="str">
        <f>IFERROR(VLOOKUP($D1571,FIYAT!$B:$O,2,FALSE()),"")</f>
        <v>Schneider PM2230 — анализатор сети, LCD, RS485, кл. 0,5S</v>
      </c>
      <c r="F1571" s="9">
        <f>IFERROR(VLOOKUP($D1571,FIYAT!$B:$O,5,FALSE()),"")</f>
        <v>0</v>
      </c>
      <c r="G1571" s="9" t="str">
        <f>IFERROR(VLOOKUP($D1571,FIYAT!$B:$O,8,FALSE()),"")</f>
        <v/>
      </c>
      <c r="H1571" s="9" t="str">
        <f t="shared" si="184"/>
        <v/>
      </c>
      <c r="I1571" s="6">
        <v>1</v>
      </c>
      <c r="J1571" s="9" t="str">
        <f>IFERROR(VLOOKUP($D1571,FIYAT!$B:$O,9,FALSE()),"")</f>
        <v>Шт.</v>
      </c>
      <c r="K1571" s="9" t="str">
        <f>IFERROR(VLOOKUP($D1571,FIYAT!$B:$O,4,FALSE()),"")</f>
        <v>SCHNEIDER</v>
      </c>
      <c r="L1571" s="9" t="str">
        <f t="shared" si="185"/>
        <v/>
      </c>
      <c r="M1571" s="9"/>
      <c r="N1571" s="9"/>
      <c r="O1571" s="9"/>
      <c r="P1571" s="7" t="str">
        <f>IF($H1571="","FIYAT_YOK",IFERROR(VLOOKUP($D1571,FIYAT!$B:$P,15,FALSE()),""))</f>
        <v>FIYAT_YOK</v>
      </c>
      <c r="Q1571" s="7" t="s">
        <v>515</v>
      </c>
      <c r="R1571" s="9"/>
      <c r="S1571" s="9" t="s">
        <v>725</v>
      </c>
      <c r="T1571" s="9" t="s">
        <v>81</v>
      </c>
      <c r="U1571" s="9">
        <f>IFERROR(VLOOKUP($T1571,KURALLAR!$A$32:$B$63,2,FALSE()),0)*IF(ISNUMBER($I1571),$I1571,0)</f>
        <v>30</v>
      </c>
    </row>
    <row r="1572" spans="1:21" x14ac:dyDescent="0.25">
      <c r="A1572" s="5">
        <v>1571</v>
      </c>
      <c r="B1572" s="5"/>
      <c r="C1572" s="5" t="s">
        <v>169</v>
      </c>
      <c r="D1572" s="5" t="s">
        <v>231</v>
      </c>
      <c r="E1572" s="5" t="str">
        <f>IFERROR(VLOOKUP($D1572,FIYAT!$B:$O,2,FALSE()),"")</f>
        <v>Авт. выкл. NM8N-125C TM 3P 80А 36кА с рег. термомаг. расцепителем (R)</v>
      </c>
      <c r="F1572" s="5">
        <f>IFERROR(VLOOKUP($D1572,FIYAT!$B:$O,5,FALSE()),"")</f>
        <v>64129</v>
      </c>
      <c r="G1572" s="5">
        <f>IFERROR(VLOOKUP($D1572,FIYAT!$B:$O,8,FALSE()),"")</f>
        <v>38477.4</v>
      </c>
      <c r="H1572" s="5">
        <f t="shared" si="184"/>
        <v>115432.20000000001</v>
      </c>
      <c r="I1572" s="6">
        <v>3</v>
      </c>
      <c r="J1572" s="5" t="str">
        <f>IFERROR(VLOOKUP($D1572,FIYAT!$B:$O,9,FALSE()),"")</f>
        <v>Шт.</v>
      </c>
      <c r="K1572" s="5" t="str">
        <f>IFERROR(VLOOKUP($D1572,FIYAT!$B:$O,4,FALSE()),"")</f>
        <v>CHINT</v>
      </c>
      <c r="L1572" s="5">
        <f t="shared" si="185"/>
        <v>115432.20000000001</v>
      </c>
      <c r="M1572" s="5"/>
      <c r="N1572" s="5"/>
      <c r="O1572" s="5"/>
      <c r="P1572" s="5" t="str">
        <f>IF($H1572="","FIYAT_YOK",IFERROR(VLOOKUP($D1572,FIYAT!$B:$P,15,FALSE()),""))</f>
        <v>OK</v>
      </c>
      <c r="Q1572" s="5" t="s">
        <v>233</v>
      </c>
      <c r="R1572" s="5" t="s">
        <v>171</v>
      </c>
      <c r="S1572" s="5" t="s">
        <v>725</v>
      </c>
      <c r="T1572" s="5" t="s">
        <v>61</v>
      </c>
      <c r="U1572" s="5">
        <f>IFERROR(VLOOKUP($T1572,KURALLAR!$A$32:$B$63,2,FALSE()),0)*IF(ISNUMBER($I1572),$I1572,0)</f>
        <v>45</v>
      </c>
    </row>
    <row r="1573" spans="1:21" x14ac:dyDescent="0.25">
      <c r="A1573" s="9">
        <v>1572</v>
      </c>
      <c r="B1573" s="9"/>
      <c r="C1573" s="9" t="s">
        <v>169</v>
      </c>
      <c r="D1573" s="9" t="s">
        <v>350</v>
      </c>
      <c r="E1573" s="9" t="str">
        <f>IFERROR(VLOOKUP($D1573,FIYAT!$B:$O,2,FALSE()),"")</f>
        <v>Авт. выкл. NM8N-125C TM 3P 63А 36кА с рег. термомаг. расцепителем (R)</v>
      </c>
      <c r="F1573" s="9">
        <f>IFERROR(VLOOKUP($D1573,FIYAT!$B:$O,5,FALSE()),"")</f>
        <v>64066</v>
      </c>
      <c r="G1573" s="9">
        <f>IFERROR(VLOOKUP($D1573,FIYAT!$B:$O,8,FALSE()),"")</f>
        <v>38439.599999999999</v>
      </c>
      <c r="H1573" s="9">
        <f t="shared" si="184"/>
        <v>38439.599999999999</v>
      </c>
      <c r="I1573" s="6">
        <v>1</v>
      </c>
      <c r="J1573" s="9" t="str">
        <f>IFERROR(VLOOKUP($D1573,FIYAT!$B:$O,9,FALSE()),"")</f>
        <v>Шт.</v>
      </c>
      <c r="K1573" s="9" t="str">
        <f>IFERROR(VLOOKUP($D1573,FIYAT!$B:$O,4,FALSE()),"")</f>
        <v>CHINT</v>
      </c>
      <c r="L1573" s="9">
        <f t="shared" si="185"/>
        <v>38439.599999999999</v>
      </c>
      <c r="M1573" s="9"/>
      <c r="N1573" s="9"/>
      <c r="O1573" s="9"/>
      <c r="P1573" s="9" t="str">
        <f>IF($H1573="","FIYAT_YOK",IFERROR(VLOOKUP($D1573,FIYAT!$B:$P,15,FALSE()),""))</f>
        <v>MUADIL</v>
      </c>
      <c r="Q1573" s="9" t="s">
        <v>172</v>
      </c>
      <c r="R1573" s="9" t="s">
        <v>171</v>
      </c>
      <c r="S1573" s="9" t="s">
        <v>725</v>
      </c>
      <c r="T1573" s="9" t="s">
        <v>61</v>
      </c>
      <c r="U1573" s="9">
        <f>IFERROR(VLOOKUP($T1573,KURALLAR!$A$32:$B$63,2,FALSE()),0)*IF(ISNUMBER($I1573),$I1573,0)</f>
        <v>15</v>
      </c>
    </row>
    <row r="1574" spans="1:21" x14ac:dyDescent="0.25">
      <c r="A1574" s="5">
        <v>1573</v>
      </c>
      <c r="B1574" s="5"/>
      <c r="C1574" s="5" t="s">
        <v>169</v>
      </c>
      <c r="D1574" s="5" t="s">
        <v>259</v>
      </c>
      <c r="E1574" s="5" t="str">
        <f>IFERROR(VLOOKUP($D1574,FIYAT!$B:$O,2,FALSE()),"")</f>
        <v>Авт. выкл. NM8N-125C TM 3P 50А 36кА с рег. термомаг. расцепителем (R)</v>
      </c>
      <c r="F1574" s="5">
        <f>IFERROR(VLOOKUP($D1574,FIYAT!$B:$O,5,FALSE()),"")</f>
        <v>68025</v>
      </c>
      <c r="G1574" s="5">
        <f>IFERROR(VLOOKUP($D1574,FIYAT!$B:$O,8,FALSE()),"")</f>
        <v>40815</v>
      </c>
      <c r="H1574" s="5">
        <f t="shared" si="184"/>
        <v>40815</v>
      </c>
      <c r="I1574" s="6">
        <v>1</v>
      </c>
      <c r="J1574" s="5" t="str">
        <f>IFERROR(VLOOKUP($D1574,FIYAT!$B:$O,9,FALSE()),"")</f>
        <v>Шт.</v>
      </c>
      <c r="K1574" s="5" t="str">
        <f>IFERROR(VLOOKUP($D1574,FIYAT!$B:$O,4,FALSE()),"")</f>
        <v>CHINT</v>
      </c>
      <c r="L1574" s="5">
        <f t="shared" si="185"/>
        <v>40815</v>
      </c>
      <c r="M1574" s="5"/>
      <c r="N1574" s="5"/>
      <c r="O1574" s="5"/>
      <c r="P1574" s="5" t="str">
        <f>IF($H1574="","FIYAT_YOK",IFERROR(VLOOKUP($D1574,FIYAT!$B:$P,15,FALSE()),""))</f>
        <v>MUADIL</v>
      </c>
      <c r="Q1574" s="5" t="s">
        <v>172</v>
      </c>
      <c r="R1574" s="5" t="s">
        <v>171</v>
      </c>
      <c r="S1574" s="5" t="s">
        <v>725</v>
      </c>
      <c r="T1574" s="5" t="s">
        <v>61</v>
      </c>
      <c r="U1574" s="5">
        <f>IFERROR(VLOOKUP($T1574,KURALLAR!$A$32:$B$63,2,FALSE()),0)*IF(ISNUMBER($I1574),$I1574,0)</f>
        <v>15</v>
      </c>
    </row>
    <row r="1575" spans="1:21" x14ac:dyDescent="0.25">
      <c r="A1575" s="9">
        <v>1574</v>
      </c>
      <c r="B1575" s="9"/>
      <c r="C1575" s="9" t="s">
        <v>169</v>
      </c>
      <c r="D1575" s="9" t="s">
        <v>276</v>
      </c>
      <c r="E1575" s="9" t="str">
        <f>IFERROR(VLOOKUP($D1575,FIYAT!$B:$O,2,FALSE()),"")</f>
        <v>Авт. выкл. NM8N-125C TM 3P 40А 36кА с рег. термомаг. расцепителем (R)</v>
      </c>
      <c r="F1575" s="9">
        <f>IFERROR(VLOOKUP($D1575,FIYAT!$B:$O,5,FALSE()),"")</f>
        <v>68418</v>
      </c>
      <c r="G1575" s="9">
        <f>IFERROR(VLOOKUP($D1575,FIYAT!$B:$O,8,FALSE()),"")</f>
        <v>41050.799999999996</v>
      </c>
      <c r="H1575" s="9">
        <f t="shared" si="184"/>
        <v>656812.79999999993</v>
      </c>
      <c r="I1575" s="6">
        <v>16</v>
      </c>
      <c r="J1575" s="9" t="str">
        <f>IFERROR(VLOOKUP($D1575,FIYAT!$B:$O,9,FALSE()),"")</f>
        <v>Шт.</v>
      </c>
      <c r="K1575" s="9" t="str">
        <f>IFERROR(VLOOKUP($D1575,FIYAT!$B:$O,4,FALSE()),"")</f>
        <v>CHINT</v>
      </c>
      <c r="L1575" s="9">
        <f t="shared" si="185"/>
        <v>656812.79999999993</v>
      </c>
      <c r="M1575" s="9"/>
      <c r="N1575" s="9"/>
      <c r="O1575" s="9"/>
      <c r="P1575" s="9" t="str">
        <f>IF($H1575="","FIYAT_YOK",IFERROR(VLOOKUP($D1575,FIYAT!$B:$P,15,FALSE()),""))</f>
        <v>MUADIL</v>
      </c>
      <c r="Q1575" s="9" t="s">
        <v>172</v>
      </c>
      <c r="R1575" s="9" t="s">
        <v>171</v>
      </c>
      <c r="S1575" s="9" t="s">
        <v>725</v>
      </c>
      <c r="T1575" s="9" t="s">
        <v>61</v>
      </c>
      <c r="U1575" s="9">
        <f>IFERROR(VLOOKUP($T1575,KURALLAR!$A$32:$B$63,2,FALSE()),0)*IF(ISNUMBER($I1575),$I1575,0)</f>
        <v>240</v>
      </c>
    </row>
    <row r="1576" spans="1:21" x14ac:dyDescent="0.25">
      <c r="A1576" s="5">
        <v>1575</v>
      </c>
      <c r="B1576" s="5"/>
      <c r="C1576" s="5" t="s">
        <v>253</v>
      </c>
      <c r="D1576" s="5" t="s">
        <v>251</v>
      </c>
      <c r="E1576" s="5" t="str">
        <f>IFERROR(VLOOKUP($D1576,FIYAT!$B:$O,2,FALSE()),"")</f>
        <v>Шина алюминиевая твёрдая (ШАТ)</v>
      </c>
      <c r="F1576" s="5">
        <f>IFERROR(VLOOKUP($D1576,FIYAT!$B:$O,5,FALSE()),"")</f>
        <v>4493.5999999999995</v>
      </c>
      <c r="G1576" s="5">
        <f>IFERROR(VLOOKUP($D1576,FIYAT!$B:$O,8,FALSE()),"")</f>
        <v>4493.5999999999995</v>
      </c>
      <c r="H1576" s="5">
        <f t="shared" si="184"/>
        <v>166263.19999999998</v>
      </c>
      <c r="I1576" s="6">
        <v>37</v>
      </c>
      <c r="J1576" s="5" t="str">
        <f>IFERROR(VLOOKUP($D1576,FIYAT!$B:$O,9,FALSE()),"")</f>
        <v>Кг.</v>
      </c>
      <c r="K1576" s="5" t="str">
        <f>IFERROR(VLOOKUP($D1576,FIYAT!$B:$O,4,FALSE()),"")</f>
        <v>ALUM-BARA</v>
      </c>
      <c r="L1576" s="5">
        <f t="shared" si="185"/>
        <v>166263.19999999998</v>
      </c>
      <c r="M1576" s="5"/>
      <c r="N1576" s="5"/>
      <c r="O1576" s="5"/>
      <c r="P1576" s="5" t="str">
        <f>IF($H1576="","FIYAT_YOK",IFERROR(VLOOKUP($D1576,FIYAT!$B:$P,15,FALSE()),""))</f>
        <v>VARSAYIM</v>
      </c>
      <c r="Q1576" s="5" t="s">
        <v>255</v>
      </c>
      <c r="R1576" s="5"/>
      <c r="S1576" s="5" t="s">
        <v>725</v>
      </c>
      <c r="T1576" s="5" t="s">
        <v>101</v>
      </c>
      <c r="U1576" s="5">
        <f>IFERROR(VLOOKUP($T1576,KURALLAR!$A$32:$B$63,2,FALSE()),0)*IF(ISNUMBER($I1576),$I1576,0)</f>
        <v>222</v>
      </c>
    </row>
    <row r="1577" spans="1:21" x14ac:dyDescent="0.25">
      <c r="A1577" s="9">
        <v>1576</v>
      </c>
      <c r="B1577" s="9"/>
      <c r="C1577" s="9" t="s">
        <v>222</v>
      </c>
      <c r="D1577" s="9" t="s">
        <v>256</v>
      </c>
      <c r="E1577" s="9" t="str">
        <f>IFERROR(VLOOKUP($D1577,FIYAT!$B:$O,2,FALSE()),"")</f>
        <v>Щит (moduler) 2000x800x800+100</v>
      </c>
      <c r="F1577" s="9">
        <f>IFERROR(VLOOKUP($D1577,FIYAT!$B:$O,5,FALSE()),"")</f>
        <v>197400</v>
      </c>
      <c r="G1577" s="9">
        <f>IFERROR(VLOOKUP($D1577,FIYAT!$B:$O,8,FALSE()),"")</f>
        <v>118440</v>
      </c>
      <c r="H1577" s="9">
        <f t="shared" si="184"/>
        <v>236880</v>
      </c>
      <c r="I1577" s="6">
        <v>2</v>
      </c>
      <c r="J1577" s="9" t="str">
        <f>IFERROR(VLOOKUP($D1577,FIYAT!$B:$O,9,FALSE()),"")</f>
        <v>Шт.</v>
      </c>
      <c r="K1577" s="9" t="str">
        <f>IFERROR(VLOOKUP($D1577,FIYAT!$B:$O,4,FALSE()),"")</f>
        <v>KAZTEK</v>
      </c>
      <c r="L1577" s="9">
        <f t="shared" si="185"/>
        <v>236880</v>
      </c>
      <c r="M1577" s="9"/>
      <c r="N1577" s="9"/>
      <c r="O1577" s="9"/>
      <c r="P1577" s="9" t="str">
        <f>IF($H1577="","FIYAT_YOK",IFERROR(VLOOKUP($D1577,FIYAT!$B:$P,15,FALSE()),""))</f>
        <v>VARSAYIM</v>
      </c>
      <c r="Q1577" s="9" t="s">
        <v>258</v>
      </c>
      <c r="R1577" s="9" t="s">
        <v>211</v>
      </c>
      <c r="S1577" s="9" t="s">
        <v>725</v>
      </c>
      <c r="T1577" s="9" t="s">
        <v>107</v>
      </c>
      <c r="U1577" s="9">
        <f>IFERROR(VLOOKUP($T1577,KURALLAR!$A$32:$B$63,2,FALSE()),0)*IF(ISNUMBER($I1577),$I1577,0)</f>
        <v>180</v>
      </c>
    </row>
    <row r="1578" spans="1:21" x14ac:dyDescent="0.25">
      <c r="A1578" s="5">
        <v>1577</v>
      </c>
      <c r="B1578" s="5"/>
      <c r="C1578" s="5" t="s">
        <v>215</v>
      </c>
      <c r="D1578" s="5" t="s">
        <v>213</v>
      </c>
      <c r="E1578" s="5" t="str">
        <f>IFERROR(VLOOKUP($D1578,FIYAT!$B:$O,2,FALSE()),"")</f>
        <v>Монтажный расходный материал (кабель, DIN-рейка, кабель-канал, клеммы, маркировка, крепёж)</v>
      </c>
      <c r="F1578" s="5">
        <f>IFERROR(VLOOKUP($D1578,FIYAT!$B:$O,5,FALSE()),"")</f>
        <v>0</v>
      </c>
      <c r="G1578" s="5" t="str">
        <f>IFERROR(VLOOKUP($D1578,FIYAT!$B:$O,8,FALSE()),"")</f>
        <v/>
      </c>
      <c r="H1578" s="5">
        <f>ROUND(SUM($H$1561:$H$1577)*KURALLAR!$B$28,0)</f>
        <v>99901</v>
      </c>
      <c r="I1578" s="6">
        <v>1</v>
      </c>
      <c r="J1578" s="5" t="str">
        <f>IFERROR(VLOOKUP($D1578,FIYAT!$B:$O,9,FALSE()),"")</f>
        <v>компл.</v>
      </c>
      <c r="K1578" s="5" t="str">
        <f>IFERROR(VLOOKUP($D1578,FIYAT!$B:$O,4,FALSE()),"")</f>
        <v>MUADIL-NET</v>
      </c>
      <c r="L1578" s="5">
        <f t="shared" si="185"/>
        <v>99901</v>
      </c>
      <c r="M1578" s="5"/>
      <c r="N1578" s="5"/>
      <c r="O1578" s="5"/>
      <c r="P1578" s="5" t="str">
        <f>IF($H1578="","FIYAT_YOK",IFERROR(VLOOKUP($D1578,FIYAT!$B:$P,15,FALSE()),""))</f>
        <v>ORAN</v>
      </c>
      <c r="Q1578" s="5" t="s">
        <v>218</v>
      </c>
      <c r="R1578" s="5" t="s">
        <v>217</v>
      </c>
      <c r="S1578" s="5" t="s">
        <v>725</v>
      </c>
      <c r="T1578" s="5"/>
      <c r="U1578" s="5">
        <v>0</v>
      </c>
    </row>
    <row r="1579" spans="1:21" x14ac:dyDescent="0.25">
      <c r="A1579" s="9">
        <v>1578</v>
      </c>
      <c r="B1579" s="9"/>
      <c r="C1579" s="9" t="s">
        <v>227</v>
      </c>
      <c r="D1579" s="9" t="s">
        <v>225</v>
      </c>
      <c r="E1579" s="9" t="str">
        <f>IFERROR(VLOOKUP($D1579,FIYAT!$B:$O,2,FALSE()),"")</f>
        <v>Сборка, кабелирование, маркировка, момент затяжки, испытания</v>
      </c>
      <c r="F1579" s="9">
        <f>IFERROR(VLOOKUP($D1579,FIYAT!$B:$O,5,FALSE()),"")</f>
        <v>100</v>
      </c>
      <c r="G1579" s="9">
        <f>IFERROR(VLOOKUP($D1579,FIYAT!$B:$O,8,FALSE()),"")</f>
        <v>100</v>
      </c>
      <c r="H1579" s="9">
        <f>IF(OR($G1579="",$I1579=""),"",$G1579*$I1579)</f>
        <v>109900</v>
      </c>
      <c r="I1579" s="6">
        <f>ROUND(SUM($U$1561:$U$1578)*KURALLAR!$B$27,0)</f>
        <v>1099</v>
      </c>
      <c r="J1579" s="9" t="str">
        <f>IFERROR(VLOOKUP($D1579,FIYAT!$B:$O,9,FALSE()),"")</f>
        <v>мин</v>
      </c>
      <c r="K1579" s="9" t="str">
        <f>IFERROR(VLOOKUP($D1579,FIYAT!$B:$O,4,FALSE()),"")</f>
        <v>ISCILIK</v>
      </c>
      <c r="L1579" s="9">
        <f t="shared" si="185"/>
        <v>109900</v>
      </c>
      <c r="M1579" s="9"/>
      <c r="N1579" s="9"/>
      <c r="O1579" s="9"/>
      <c r="P1579" s="9" t="str">
        <f>IF($H1579="","FIYAT_YOK",IFERROR(VLOOKUP($D1579,FIYAT!$B:$P,15,FALSE()),""))</f>
        <v>OK</v>
      </c>
      <c r="Q1579" s="9" t="str">
        <f>CONCATENATE("montaj+test iscilik: ",TEXT($I1579,"# ##0")," dk = ",TEXT($I1579/60,"0,00")," saat (norm x test/etiket carpani)")</f>
        <v>montaj+test iscilik: 1 099 dk = 18,32 saat (norm x test/etiket carpani)</v>
      </c>
      <c r="R1579" s="9" t="s">
        <v>229</v>
      </c>
      <c r="S1579" s="9" t="s">
        <v>725</v>
      </c>
      <c r="T1579" s="9"/>
      <c r="U1579" s="9">
        <v>0</v>
      </c>
    </row>
    <row r="1580" spans="1:21" x14ac:dyDescent="0.25">
      <c r="A1580" s="10">
        <v>1579</v>
      </c>
      <c r="B1580" s="10" t="s">
        <v>738</v>
      </c>
      <c r="C1580" s="10"/>
      <c r="D1580" s="10"/>
      <c r="E1580" s="10"/>
      <c r="F1580" s="10"/>
      <c r="G1580" s="10"/>
      <c r="H1580" s="10">
        <f>SUBTOTAL(9,H1561:H1579)</f>
        <v>1636955.2</v>
      </c>
      <c r="I1580" s="10"/>
      <c r="J1580" s="10"/>
      <c r="K1580" s="10"/>
      <c r="L1580" s="10">
        <f>SUBTOTAL(9,L1561:L1579)</f>
        <v>1636955.2</v>
      </c>
      <c r="M1580" s="10"/>
      <c r="N1580" s="10"/>
      <c r="O1580" s="10"/>
      <c r="P1580" s="10"/>
      <c r="Q1580" s="10"/>
      <c r="R1580" s="10"/>
      <c r="S1580" s="10"/>
      <c r="T1580" s="10"/>
      <c r="U1580" s="10">
        <f>SUBTOTAL(9,U1561:U1579)</f>
        <v>956</v>
      </c>
    </row>
    <row r="1581" spans="1:21" x14ac:dyDescent="0.25">
      <c r="A1581" s="8">
        <v>1580</v>
      </c>
      <c r="B1581" s="8" t="str">
        <f>E1581</f>
        <v>LPS / Главный распределительный щит ГРЩ-LOT1В — НКУ 380/220В 50Гц, FORM 2B, IP31/54</v>
      </c>
      <c r="C1581" s="8" t="s">
        <v>545</v>
      </c>
      <c r="D1581" s="8"/>
      <c r="E1581" s="8" t="s">
        <v>739</v>
      </c>
      <c r="F1581" s="8"/>
      <c r="G1581" s="8"/>
      <c r="H1581" s="8"/>
      <c r="I1581" s="8">
        <v>1</v>
      </c>
      <c r="J1581" s="8" t="s">
        <v>547</v>
      </c>
      <c r="K1581" s="8"/>
      <c r="L1581" s="8"/>
      <c r="M1581" s="8"/>
      <c r="N1581" s="8"/>
      <c r="O1581" s="8"/>
      <c r="P1581" s="8" t="s">
        <v>178</v>
      </c>
      <c r="Q1581" s="8" t="s">
        <v>548</v>
      </c>
      <c r="R1581" s="8" t="s">
        <v>549</v>
      </c>
      <c r="S1581" s="8" t="s">
        <v>725</v>
      </c>
      <c r="T1581" s="8"/>
      <c r="U1581" s="8"/>
    </row>
    <row r="1582" spans="1:21" x14ac:dyDescent="0.25">
      <c r="A1582" s="5">
        <v>1581</v>
      </c>
      <c r="B1582" s="5"/>
      <c r="C1582" s="5" t="s">
        <v>73</v>
      </c>
      <c r="D1582" s="5" t="s">
        <v>446</v>
      </c>
      <c r="E1582" s="5" t="str">
        <f>IFERROR(VLOOKUP($D1582,FIYAT!$B:$O,2,FALSE()),"")</f>
        <v>Воздушный авт. выкл. NA1-3200-2500М/3P выдвиж., 2500A, 80kA, тип M, AC230В (R)</v>
      </c>
      <c r="F1582" s="5">
        <f>IFERROR(VLOOKUP($D1582,FIYAT!$B:$O,5,FALSE()),"")</f>
        <v>1616150</v>
      </c>
      <c r="G1582" s="5">
        <f>IFERROR(VLOOKUP($D1582,FIYAT!$B:$O,8,FALSE()),"")</f>
        <v>969690</v>
      </c>
      <c r="H1582" s="5">
        <f t="shared" ref="H1582:H1599" si="186">IF(OR($G1582="",$I1582=""),"",$G1582*$I1582)</f>
        <v>969690</v>
      </c>
      <c r="I1582" s="6">
        <v>1</v>
      </c>
      <c r="J1582" s="5" t="str">
        <f>IFERROR(VLOOKUP($D1582,FIYAT!$B:$O,9,FALSE()),"")</f>
        <v>Шт.</v>
      </c>
      <c r="K1582" s="5" t="str">
        <f>IFERROR(VLOOKUP($D1582,FIYAT!$B:$O,4,FALSE()),"")</f>
        <v>CHINT</v>
      </c>
      <c r="L1582" s="5">
        <f t="shared" ref="L1582:L1601" si="187">IF($H1582="","",$H1582)</f>
        <v>969690</v>
      </c>
      <c r="M1582" s="5"/>
      <c r="N1582" s="5"/>
      <c r="O1582" s="5"/>
      <c r="P1582" s="5" t="str">
        <f>IF($H1582="","FIYAT_YOK",IFERROR(VLOOKUP($D1582,FIYAT!$B:$P,15,FALSE()),""))</f>
        <v>MUADIL_ONAY</v>
      </c>
      <c r="Q1582" s="5" t="s">
        <v>448</v>
      </c>
      <c r="R1582" s="5" t="s">
        <v>184</v>
      </c>
      <c r="S1582" s="5" t="s">
        <v>725</v>
      </c>
      <c r="T1582" s="5" t="s">
        <v>73</v>
      </c>
      <c r="U1582" s="5">
        <f>IFERROR(VLOOKUP($T1582,KURALLAR!$A$32:$B$63,2,FALSE()),0)*IF(ISNUMBER($I1582),$I1582,0)</f>
        <v>180</v>
      </c>
    </row>
    <row r="1583" spans="1:21" x14ac:dyDescent="0.25">
      <c r="A1583" s="9">
        <v>1582</v>
      </c>
      <c r="B1583" s="9"/>
      <c r="C1583" s="9" t="s">
        <v>192</v>
      </c>
      <c r="D1583" s="9" t="s">
        <v>238</v>
      </c>
      <c r="E1583" s="9" t="str">
        <f>IFERROR(VLOOKUP($D1583,FIYAT!$B:$O,2,FALSE()),"")</f>
        <v>Авт. выкл. NXB-63 1P 6A 6кА х-ка C (R)</v>
      </c>
      <c r="F1583" s="9">
        <f>IFERROR(VLOOKUP($D1583,FIYAT!$B:$O,5,FALSE()),"")</f>
        <v>1436</v>
      </c>
      <c r="G1583" s="9">
        <f>IFERROR(VLOOKUP($D1583,FIYAT!$B:$O,8,FALSE()),"")</f>
        <v>861.6</v>
      </c>
      <c r="H1583" s="9">
        <f t="shared" si="186"/>
        <v>6031.2</v>
      </c>
      <c r="I1583" s="6">
        <v>7</v>
      </c>
      <c r="J1583" s="9" t="str">
        <f>IFERROR(VLOOKUP($D1583,FIYAT!$B:$O,9,FALSE()),"")</f>
        <v>Шт.</v>
      </c>
      <c r="K1583" s="9" t="str">
        <f>IFERROR(VLOOKUP($D1583,FIYAT!$B:$O,4,FALSE()),"")</f>
        <v>CHINT</v>
      </c>
      <c r="L1583" s="9">
        <f t="shared" si="187"/>
        <v>6031.2</v>
      </c>
      <c r="M1583" s="9"/>
      <c r="N1583" s="9"/>
      <c r="O1583" s="9"/>
      <c r="P1583" s="9" t="str">
        <f>IF($H1583="","FIYAT_YOK",IFERROR(VLOOKUP($D1583,FIYAT!$B:$P,15,FALSE()),""))</f>
        <v>OK</v>
      </c>
      <c r="Q1583" s="9" t="s">
        <v>240</v>
      </c>
      <c r="R1583" s="9" t="s">
        <v>171</v>
      </c>
      <c r="S1583" s="9" t="s">
        <v>725</v>
      </c>
      <c r="T1583" s="9" t="s">
        <v>47</v>
      </c>
      <c r="U1583" s="9">
        <f>IFERROR(VLOOKUP($T1583,KURALLAR!$A$32:$B$63,2,FALSE()),0)*IF(ISNUMBER($I1583),$I1583,0)</f>
        <v>21</v>
      </c>
    </row>
    <row r="1584" spans="1:21" x14ac:dyDescent="0.25">
      <c r="A1584" s="5">
        <v>1583</v>
      </c>
      <c r="B1584" s="5"/>
      <c r="C1584" s="5" t="s">
        <v>89</v>
      </c>
      <c r="D1584" s="5" t="s">
        <v>241</v>
      </c>
      <c r="E1584" s="5" t="str">
        <f>IFERROR(VLOOKUP($D1584,FIYAT!$B:$O,2,FALSE()),"")</f>
        <v>Индикатор ND16-22DS/4 белый АС230В (R)</v>
      </c>
      <c r="F1584" s="5">
        <f>IFERROR(VLOOKUP($D1584,FIYAT!$B:$O,5,FALSE()),"")</f>
        <v>1047</v>
      </c>
      <c r="G1584" s="5">
        <f>IFERROR(VLOOKUP($D1584,FIYAT!$B:$O,8,FALSE()),"")</f>
        <v>628.19999999999993</v>
      </c>
      <c r="H1584" s="5">
        <f t="shared" si="186"/>
        <v>1884.6</v>
      </c>
      <c r="I1584" s="6">
        <v>3</v>
      </c>
      <c r="J1584" s="5" t="str">
        <f>IFERROR(VLOOKUP($D1584,FIYAT!$B:$O,9,FALSE()),"")</f>
        <v>Шт.</v>
      </c>
      <c r="K1584" s="5" t="str">
        <f>IFERROR(VLOOKUP($D1584,FIYAT!$B:$O,4,FALSE()),"")</f>
        <v>CHINT</v>
      </c>
      <c r="L1584" s="5">
        <f t="shared" si="187"/>
        <v>1884.6</v>
      </c>
      <c r="M1584" s="5"/>
      <c r="N1584" s="5"/>
      <c r="O1584" s="5"/>
      <c r="P1584" s="5" t="str">
        <f>IF($H1584="","FIYAT_YOK",IFERROR(VLOOKUP($D1584,FIYAT!$B:$P,15,FALSE()),""))</f>
        <v>OK</v>
      </c>
      <c r="Q1584" s="5" t="s">
        <v>243</v>
      </c>
      <c r="R1584" s="5" t="s">
        <v>184</v>
      </c>
      <c r="S1584" s="5" t="s">
        <v>725</v>
      </c>
      <c r="T1584" s="5" t="s">
        <v>89</v>
      </c>
      <c r="U1584" s="5">
        <f>IFERROR(VLOOKUP($T1584,KURALLAR!$A$32:$B$63,2,FALSE()),0)*IF(ISNUMBER($I1584),$I1584,0)</f>
        <v>12</v>
      </c>
    </row>
    <row r="1585" spans="1:21" x14ac:dyDescent="0.25">
      <c r="A1585" s="9">
        <v>1584</v>
      </c>
      <c r="B1585" s="9"/>
      <c r="C1585" s="9" t="s">
        <v>79</v>
      </c>
      <c r="D1585" s="9" t="s">
        <v>179</v>
      </c>
      <c r="E1585" s="9" t="str">
        <f>IFERROR(VLOOKUP($D1585,FIYAT!$B:$O,2,FALSE()),"")</f>
        <v>Держатель плавкой вставки RT36-00-160, габарит 00, 160А</v>
      </c>
      <c r="F1585" s="9">
        <f>IFERROR(VLOOKUP($D1585,FIYAT!$B:$O,5,FALSE()),"")</f>
        <v>2038</v>
      </c>
      <c r="G1585" s="9">
        <f>IFERROR(VLOOKUP($D1585,FIYAT!$B:$O,8,FALSE()),"")</f>
        <v>1222.8</v>
      </c>
      <c r="H1585" s="9">
        <f t="shared" si="186"/>
        <v>4891.2</v>
      </c>
      <c r="I1585" s="6">
        <v>4</v>
      </c>
      <c r="J1585" s="9" t="str">
        <f>IFERROR(VLOOKUP($D1585,FIYAT!$B:$O,9,FALSE()),"")</f>
        <v>Шт.</v>
      </c>
      <c r="K1585" s="9" t="str">
        <f>IFERROR(VLOOKUP($D1585,FIYAT!$B:$O,4,FALSE()),"")</f>
        <v>CHINT</v>
      </c>
      <c r="L1585" s="9">
        <f t="shared" si="187"/>
        <v>4891.2</v>
      </c>
      <c r="M1585" s="9"/>
      <c r="N1585" s="9"/>
      <c r="O1585" s="9"/>
      <c r="P1585" s="9" t="str">
        <f>IF($H1585="","FIYAT_YOK",IFERROR(VLOOKUP($D1585,FIYAT!$B:$P,15,FALSE()),""))</f>
        <v>MUADIL</v>
      </c>
      <c r="Q1585" s="9" t="s">
        <v>181</v>
      </c>
      <c r="R1585" s="9" t="s">
        <v>171</v>
      </c>
      <c r="S1585" s="9" t="s">
        <v>725</v>
      </c>
      <c r="T1585" s="9" t="s">
        <v>77</v>
      </c>
      <c r="U1585" s="9">
        <f>IFERROR(VLOOKUP($T1585,KURALLAR!$A$32:$B$63,2,FALSE()),0)*IF(ISNUMBER($I1585),$I1585,0)</f>
        <v>20</v>
      </c>
    </row>
    <row r="1586" spans="1:21" x14ac:dyDescent="0.25">
      <c r="A1586" s="5">
        <v>1585</v>
      </c>
      <c r="B1586" s="5"/>
      <c r="C1586" s="5" t="s">
        <v>79</v>
      </c>
      <c r="D1586" s="5" t="s">
        <v>182</v>
      </c>
      <c r="E1586" s="5" t="str">
        <f>IFERROR(VLOOKUP($D1586,FIYAT!$B:$O,2,FALSE()),"")</f>
        <v>Плавкая вставка предохранителя RT36-00-160, габарит 00, 63А</v>
      </c>
      <c r="F1586" s="5">
        <f>IFERROR(VLOOKUP($D1586,FIYAT!$B:$O,5,FALSE()),"")</f>
        <v>1525</v>
      </c>
      <c r="G1586" s="5">
        <f>IFERROR(VLOOKUP($D1586,FIYAT!$B:$O,8,FALSE()),"")</f>
        <v>915</v>
      </c>
      <c r="H1586" s="5">
        <f t="shared" si="186"/>
        <v>3660</v>
      </c>
      <c r="I1586" s="6">
        <v>4</v>
      </c>
      <c r="J1586" s="5" t="str">
        <f>IFERROR(VLOOKUP($D1586,FIYAT!$B:$O,9,FALSE()),"")</f>
        <v>Шт.</v>
      </c>
      <c r="K1586" s="5" t="str">
        <f>IFERROR(VLOOKUP($D1586,FIYAT!$B:$O,4,FALSE()),"")</f>
        <v>CHINT</v>
      </c>
      <c r="L1586" s="5">
        <f t="shared" si="187"/>
        <v>3660</v>
      </c>
      <c r="M1586" s="5"/>
      <c r="N1586" s="5"/>
      <c r="O1586" s="5"/>
      <c r="P1586" s="5" t="str">
        <f>IF($H1586="","FIYAT_YOK",IFERROR(VLOOKUP($D1586,FIYAT!$B:$P,15,FALSE()),""))</f>
        <v>MUADIL</v>
      </c>
      <c r="Q1586" s="5" t="s">
        <v>185</v>
      </c>
      <c r="R1586" s="5" t="s">
        <v>184</v>
      </c>
      <c r="S1586" s="5" t="s">
        <v>725</v>
      </c>
      <c r="T1586" s="5" t="s">
        <v>79</v>
      </c>
      <c r="U1586" s="5">
        <f>IFERROR(VLOOKUP($T1586,KURALLAR!$A$32:$B$63,2,FALSE()),0)*IF(ISNUMBER($I1586),$I1586,0)</f>
        <v>12</v>
      </c>
    </row>
    <row r="1587" spans="1:21" x14ac:dyDescent="0.25">
      <c r="A1587" s="9">
        <v>1586</v>
      </c>
      <c r="B1587" s="9"/>
      <c r="C1587" s="9" t="s">
        <v>75</v>
      </c>
      <c r="D1587" s="9" t="s">
        <v>186</v>
      </c>
      <c r="E1587" s="9" t="str">
        <f>IFERROR(VLOOKUP($D1587,FIYAT!$B:$O,2,FALSE()),"")</f>
        <v>Ограничитель имп. перенапр. NU6-IIG 4Р In=25kA Uc=440B Im=65kA (R)</v>
      </c>
      <c r="F1587" s="9">
        <f>IFERROR(VLOOKUP($D1587,FIYAT!$B:$O,5,FALSE()),"")</f>
        <v>33208</v>
      </c>
      <c r="G1587" s="9">
        <f>IFERROR(VLOOKUP($D1587,FIYAT!$B:$O,8,FALSE()),"")</f>
        <v>19924.8</v>
      </c>
      <c r="H1587" s="9">
        <f t="shared" si="186"/>
        <v>19924.8</v>
      </c>
      <c r="I1587" s="6">
        <v>1</v>
      </c>
      <c r="J1587" s="9" t="str">
        <f>IFERROR(VLOOKUP($D1587,FIYAT!$B:$O,9,FALSE()),"")</f>
        <v>Шт.</v>
      </c>
      <c r="K1587" s="9" t="str">
        <f>IFERROR(VLOOKUP($D1587,FIYAT!$B:$O,4,FALSE()),"")</f>
        <v>CHINT</v>
      </c>
      <c r="L1587" s="9">
        <f t="shared" si="187"/>
        <v>19924.8</v>
      </c>
      <c r="M1587" s="9"/>
      <c r="N1587" s="9"/>
      <c r="O1587" s="9"/>
      <c r="P1587" s="9" t="str">
        <f>IF($H1587="","FIYAT_YOK",IFERROR(VLOOKUP($D1587,FIYAT!$B:$P,15,FALSE()),""))</f>
        <v>MUADIL_ONAY</v>
      </c>
      <c r="Q1587" s="9" t="s">
        <v>188</v>
      </c>
      <c r="R1587" s="9" t="s">
        <v>184</v>
      </c>
      <c r="S1587" s="9" t="s">
        <v>725</v>
      </c>
      <c r="T1587" s="9" t="s">
        <v>75</v>
      </c>
      <c r="U1587" s="9">
        <f>IFERROR(VLOOKUP($T1587,KURALLAR!$A$32:$B$63,2,FALSE()),0)*IF(ISNUMBER($I1587),$I1587,0)</f>
        <v>10</v>
      </c>
    </row>
    <row r="1588" spans="1:21" x14ac:dyDescent="0.25">
      <c r="A1588" s="5">
        <v>1587</v>
      </c>
      <c r="B1588" s="5"/>
      <c r="C1588" s="5" t="s">
        <v>83</v>
      </c>
      <c r="D1588" s="5" t="s">
        <v>501</v>
      </c>
      <c r="E1588" s="5" t="str">
        <f>IFERROR(VLOOKUP($D1588,FIYAT!$B:$O,2,FALSE()),"")</f>
        <v>Трансформатор тока 2500/5А кл. 0,5 — CHINT листинге нет</v>
      </c>
      <c r="F1588" s="5">
        <f>IFERROR(VLOOKUP($D1588,FIYAT!$B:$O,5,FALSE()),"")</f>
        <v>0</v>
      </c>
      <c r="G1588" s="5" t="str">
        <f>IFERROR(VLOOKUP($D1588,FIYAT!$B:$O,8,FALSE()),"")</f>
        <v/>
      </c>
      <c r="H1588" s="5" t="str">
        <f t="shared" si="186"/>
        <v/>
      </c>
      <c r="I1588" s="6">
        <v>3</v>
      </c>
      <c r="J1588" s="5" t="str">
        <f>IFERROR(VLOOKUP($D1588,FIYAT!$B:$O,9,FALSE()),"")</f>
        <v>Шт.</v>
      </c>
      <c r="K1588" s="5" t="str">
        <f>IFERROR(VLOOKUP($D1588,FIYAT!$B:$O,4,FALSE()),"")</f>
        <v>MUADIL-NET</v>
      </c>
      <c r="L1588" s="5" t="str">
        <f t="shared" si="187"/>
        <v/>
      </c>
      <c r="M1588" s="5"/>
      <c r="N1588" s="5"/>
      <c r="O1588" s="5"/>
      <c r="P1588" s="7" t="str">
        <f>IF($H1588="","FIYAT_YOK",IFERROR(VLOOKUP($D1588,FIYAT!$B:$P,15,FALSE()),""))</f>
        <v>FIYAT_YOK</v>
      </c>
      <c r="Q1588" s="7" t="s">
        <v>503</v>
      </c>
      <c r="R1588" s="5"/>
      <c r="S1588" s="5" t="s">
        <v>725</v>
      </c>
      <c r="T1588" s="5" t="s">
        <v>83</v>
      </c>
      <c r="U1588" s="5">
        <f>IFERROR(VLOOKUP($T1588,KURALLAR!$A$32:$B$63,2,FALSE()),0)*IF(ISNUMBER($I1588),$I1588,0)</f>
        <v>30</v>
      </c>
    </row>
    <row r="1589" spans="1:21" x14ac:dyDescent="0.25">
      <c r="A1589" s="9">
        <v>1588</v>
      </c>
      <c r="B1589" s="9"/>
      <c r="C1589" s="9" t="s">
        <v>81</v>
      </c>
      <c r="D1589" s="9" t="s">
        <v>397</v>
      </c>
      <c r="E1589" s="9" t="str">
        <f>IFERROR(VLOOKUP($D1589,FIYAT!$B:$O,2,FALSE()),"")</f>
        <v>Schneider PM5560 — анализатор сети, 2xEthernet, 4DI/2DO</v>
      </c>
      <c r="F1589" s="9">
        <f>IFERROR(VLOOKUP($D1589,FIYAT!$B:$O,5,FALSE()),"")</f>
        <v>0</v>
      </c>
      <c r="G1589" s="9" t="str">
        <f>IFERROR(VLOOKUP($D1589,FIYAT!$B:$O,8,FALSE()),"")</f>
        <v/>
      </c>
      <c r="H1589" s="9" t="str">
        <f t="shared" si="186"/>
        <v/>
      </c>
      <c r="I1589" s="6">
        <v>1</v>
      </c>
      <c r="J1589" s="9" t="str">
        <f>IFERROR(VLOOKUP($D1589,FIYAT!$B:$O,9,FALSE()),"")</f>
        <v>Шт.</v>
      </c>
      <c r="K1589" s="9" t="str">
        <f>IFERROR(VLOOKUP($D1589,FIYAT!$B:$O,4,FALSE()),"")</f>
        <v>SCHNEIDER</v>
      </c>
      <c r="L1589" s="9" t="str">
        <f t="shared" si="187"/>
        <v/>
      </c>
      <c r="M1589" s="9"/>
      <c r="N1589" s="9"/>
      <c r="O1589" s="9"/>
      <c r="P1589" s="7" t="str">
        <f>IF($H1589="","FIYAT_YOK",IFERROR(VLOOKUP($D1589,FIYAT!$B:$P,15,FALSE()),""))</f>
        <v>FIYAT_YOK</v>
      </c>
      <c r="Q1589" s="7" t="s">
        <v>399</v>
      </c>
      <c r="R1589" s="9"/>
      <c r="S1589" s="9" t="s">
        <v>725</v>
      </c>
      <c r="T1589" s="9" t="s">
        <v>81</v>
      </c>
      <c r="U1589" s="9">
        <f>IFERROR(VLOOKUP($T1589,KURALLAR!$A$32:$B$63,2,FALSE()),0)*IF(ISNUMBER($I1589),$I1589,0)</f>
        <v>30</v>
      </c>
    </row>
    <row r="1590" spans="1:21" x14ac:dyDescent="0.25">
      <c r="A1590" s="5">
        <v>1589</v>
      </c>
      <c r="B1590" s="5"/>
      <c r="C1590" s="5" t="s">
        <v>83</v>
      </c>
      <c r="D1590" s="5" t="s">
        <v>504</v>
      </c>
      <c r="E1590" s="5" t="str">
        <f>IFERROR(VLOOKUP($D1590,FIYAT!$B:$O,2,FALSE()),"")</f>
        <v>Трансформатор тока Т-0.66-1,2 У3 2500/5А (для счётчика)</v>
      </c>
      <c r="F1590" s="5">
        <f>IFERROR(VLOOKUP($D1590,FIYAT!$B:$O,5,FALSE()),"")</f>
        <v>0</v>
      </c>
      <c r="G1590" s="5" t="str">
        <f>IFERROR(VLOOKUP($D1590,FIYAT!$B:$O,8,FALSE()),"")</f>
        <v/>
      </c>
      <c r="H1590" s="5" t="str">
        <f t="shared" si="186"/>
        <v/>
      </c>
      <c r="I1590" s="6">
        <v>3</v>
      </c>
      <c r="J1590" s="5" t="str">
        <f>IFERROR(VLOOKUP($D1590,FIYAT!$B:$O,9,FALSE()),"")</f>
        <v>Шт.</v>
      </c>
      <c r="K1590" s="5" t="str">
        <f>IFERROR(VLOOKUP($D1590,FIYAT!$B:$O,4,FALSE()),"")</f>
        <v>MUADIL-NET</v>
      </c>
      <c r="L1590" s="5" t="str">
        <f t="shared" si="187"/>
        <v/>
      </c>
      <c r="M1590" s="5"/>
      <c r="N1590" s="5"/>
      <c r="O1590" s="5"/>
      <c r="P1590" s="7" t="str">
        <f>IF($H1590="","FIYAT_YOK",IFERROR(VLOOKUP($D1590,FIYAT!$B:$P,15,FALSE()),""))</f>
        <v>FIYAT_YOK</v>
      </c>
      <c r="Q1590" s="7" t="s">
        <v>506</v>
      </c>
      <c r="R1590" s="5"/>
      <c r="S1590" s="5" t="s">
        <v>725</v>
      </c>
      <c r="T1590" s="5" t="s">
        <v>83</v>
      </c>
      <c r="U1590" s="5">
        <f>IFERROR(VLOOKUP($T1590,KURALLAR!$A$32:$B$63,2,FALSE()),0)*IF(ISNUMBER($I1590),$I1590,0)</f>
        <v>30</v>
      </c>
    </row>
    <row r="1591" spans="1:21" x14ac:dyDescent="0.25">
      <c r="A1591" s="9">
        <v>1590</v>
      </c>
      <c r="B1591" s="9"/>
      <c r="C1591" s="9" t="s">
        <v>81</v>
      </c>
      <c r="D1591" s="9" t="s">
        <v>284</v>
      </c>
      <c r="E1591" s="9" t="str">
        <f>IFERROR(VLOOKUP($D1591,FIYAT!$B:$O,2,FALSE()),"")</f>
        <v>Трехфазный эл.счетчик EX 518 5А (трансф. подкл.) с PLC модулем</v>
      </c>
      <c r="F1591" s="9">
        <f>IFERROR(VLOOKUP($D1591,FIYAT!$B:$O,5,FALSE()),"")</f>
        <v>0</v>
      </c>
      <c r="G1591" s="9" t="str">
        <f>IFERROR(VLOOKUP($D1591,FIYAT!$B:$O,8,FALSE()),"")</f>
        <v/>
      </c>
      <c r="H1591" s="9" t="str">
        <f t="shared" si="186"/>
        <v/>
      </c>
      <c r="I1591" s="6">
        <v>4</v>
      </c>
      <c r="J1591" s="9" t="str">
        <f>IFERROR(VLOOKUP($D1591,FIYAT!$B:$O,9,FALSE()),"")</f>
        <v>Шт.</v>
      </c>
      <c r="K1591" s="9" t="str">
        <f>IFERROR(VLOOKUP($D1591,FIYAT!$B:$O,4,FALSE()),"")</f>
        <v>MUADIL-NET</v>
      </c>
      <c r="L1591" s="9" t="str">
        <f t="shared" si="187"/>
        <v/>
      </c>
      <c r="M1591" s="9"/>
      <c r="N1591" s="9"/>
      <c r="O1591" s="9"/>
      <c r="P1591" s="7" t="str">
        <f>IF($H1591="","FIYAT_YOK",IFERROR(VLOOKUP($D1591,FIYAT!$B:$P,15,FALSE()),""))</f>
        <v>FIYAT_YOK</v>
      </c>
      <c r="Q1591" s="7" t="s">
        <v>249</v>
      </c>
      <c r="R1591" s="9"/>
      <c r="S1591" s="9" t="s">
        <v>725</v>
      </c>
      <c r="T1591" s="9" t="s">
        <v>81</v>
      </c>
      <c r="U1591" s="9">
        <f>IFERROR(VLOOKUP($T1591,KURALLAR!$A$32:$B$63,2,FALSE()),0)*IF(ISNUMBER($I1591),$I1591,0)</f>
        <v>120</v>
      </c>
    </row>
    <row r="1592" spans="1:21" x14ac:dyDescent="0.25">
      <c r="A1592" s="5">
        <v>1591</v>
      </c>
      <c r="B1592" s="5"/>
      <c r="C1592" s="5" t="s">
        <v>97</v>
      </c>
      <c r="D1592" s="5" t="s">
        <v>281</v>
      </c>
      <c r="E1592" s="5" t="str">
        <f>IFERROR(VLOOKUP($D1592,FIYAT!$B:$O,2,FALSE()),"")</f>
        <v>КОРОБКА КЛЕММНАЯ ИСПЫТАТЕЛЬНАЯ ПЕРЕХОДНАЯ ККИ1-1 EKF PROXIMA</v>
      </c>
      <c r="F1592" s="5">
        <f>IFERROR(VLOOKUP($D1592,FIYAT!$B:$O,5,FALSE()),"")</f>
        <v>0</v>
      </c>
      <c r="G1592" s="5" t="str">
        <f>IFERROR(VLOOKUP($D1592,FIYAT!$B:$O,8,FALSE()),"")</f>
        <v/>
      </c>
      <c r="H1592" s="5" t="str">
        <f t="shared" si="186"/>
        <v/>
      </c>
      <c r="I1592" s="6">
        <v>4</v>
      </c>
      <c r="J1592" s="5" t="str">
        <f>IFERROR(VLOOKUP($D1592,FIYAT!$B:$O,9,FALSE()),"")</f>
        <v>Шт.</v>
      </c>
      <c r="K1592" s="5" t="str">
        <f>IFERROR(VLOOKUP($D1592,FIYAT!$B:$O,4,FALSE()),"")</f>
        <v>EKF</v>
      </c>
      <c r="L1592" s="5" t="str">
        <f t="shared" si="187"/>
        <v/>
      </c>
      <c r="M1592" s="5"/>
      <c r="N1592" s="5"/>
      <c r="O1592" s="5"/>
      <c r="P1592" s="7" t="str">
        <f>IF($H1592="","FIYAT_YOK",IFERROR(VLOOKUP($D1592,FIYAT!$B:$P,15,FALSE()),""))</f>
        <v>FIYAT_YOK</v>
      </c>
      <c r="Q1592" s="7" t="s">
        <v>283</v>
      </c>
      <c r="R1592" s="5"/>
      <c r="S1592" s="5" t="s">
        <v>725</v>
      </c>
      <c r="T1592" s="5" t="s">
        <v>97</v>
      </c>
      <c r="U1592" s="5">
        <f>IFERROR(VLOOKUP($T1592,KURALLAR!$A$32:$B$63,2,FALSE()),0)*IF(ISNUMBER($I1592),$I1592,0)</f>
        <v>16</v>
      </c>
    </row>
    <row r="1593" spans="1:21" x14ac:dyDescent="0.25">
      <c r="A1593" s="9">
        <v>1592</v>
      </c>
      <c r="B1593" s="9"/>
      <c r="C1593" s="9" t="s">
        <v>169</v>
      </c>
      <c r="D1593" s="9" t="s">
        <v>452</v>
      </c>
      <c r="E1593" s="9" t="str">
        <f>IFERROR(VLOOKUP($D1593,FIYAT!$B:$O,2,FALSE()),"")</f>
        <v>Авт. выкл. NM8N-630C EN 3P 630А 36кА с электронным расцепителем (R)</v>
      </c>
      <c r="F1593" s="9">
        <f>IFERROR(VLOOKUP($D1593,FIYAT!$B:$O,5,FALSE()),"")</f>
        <v>299616</v>
      </c>
      <c r="G1593" s="9">
        <f>IFERROR(VLOOKUP($D1593,FIYAT!$B:$O,8,FALSE()),"")</f>
        <v>179769.60000000001</v>
      </c>
      <c r="H1593" s="9">
        <f t="shared" si="186"/>
        <v>719078.40000000002</v>
      </c>
      <c r="I1593" s="6">
        <v>4</v>
      </c>
      <c r="J1593" s="9" t="str">
        <f>IFERROR(VLOOKUP($D1593,FIYAT!$B:$O,9,FALSE()),"")</f>
        <v>Шт.</v>
      </c>
      <c r="K1593" s="9" t="str">
        <f>IFERROR(VLOOKUP($D1593,FIYAT!$B:$O,4,FALSE()),"")</f>
        <v>CHINT</v>
      </c>
      <c r="L1593" s="9">
        <f t="shared" si="187"/>
        <v>719078.40000000002</v>
      </c>
      <c r="M1593" s="9"/>
      <c r="N1593" s="9"/>
      <c r="O1593" s="9"/>
      <c r="P1593" s="9" t="str">
        <f>IF($H1593="","FIYAT_YOK",IFERROR(VLOOKUP($D1593,FIYAT!$B:$P,15,FALSE()),""))</f>
        <v>MUADIL</v>
      </c>
      <c r="Q1593" s="9" t="s">
        <v>454</v>
      </c>
      <c r="R1593" s="9" t="s">
        <v>171</v>
      </c>
      <c r="S1593" s="9" t="s">
        <v>725</v>
      </c>
      <c r="T1593" s="9" t="s">
        <v>67</v>
      </c>
      <c r="U1593" s="9">
        <f>IFERROR(VLOOKUP($T1593,KURALLAR!$A$32:$B$63,2,FALSE()),0)*IF(ISNUMBER($I1593),$I1593,0)</f>
        <v>220</v>
      </c>
    </row>
    <row r="1594" spans="1:21" x14ac:dyDescent="0.25">
      <c r="A1594" s="5">
        <v>1593</v>
      </c>
      <c r="B1594" s="5"/>
      <c r="C1594" s="5" t="s">
        <v>169</v>
      </c>
      <c r="D1594" s="5" t="s">
        <v>379</v>
      </c>
      <c r="E1594" s="5" t="str">
        <f>IFERROR(VLOOKUP($D1594,FIYAT!$B:$O,2,FALSE()),"")</f>
        <v>Авт. выкл. NM8N-400C TM 3P 400А 36кА с рег. термомаг. расцепителем (R)</v>
      </c>
      <c r="F1594" s="5">
        <f>IFERROR(VLOOKUP($D1594,FIYAT!$B:$O,5,FALSE()),"")</f>
        <v>208671</v>
      </c>
      <c r="G1594" s="5">
        <f>IFERROR(VLOOKUP($D1594,FIYAT!$B:$O,8,FALSE()),"")</f>
        <v>125202.59999999999</v>
      </c>
      <c r="H1594" s="5">
        <f t="shared" si="186"/>
        <v>250405.19999999998</v>
      </c>
      <c r="I1594" s="6">
        <v>2</v>
      </c>
      <c r="J1594" s="5" t="str">
        <f>IFERROR(VLOOKUP($D1594,FIYAT!$B:$O,9,FALSE()),"")</f>
        <v>Шт.</v>
      </c>
      <c r="K1594" s="5" t="str">
        <f>IFERROR(VLOOKUP($D1594,FIYAT!$B:$O,4,FALSE()),"")</f>
        <v>CHINT</v>
      </c>
      <c r="L1594" s="5">
        <f t="shared" si="187"/>
        <v>250405.19999999998</v>
      </c>
      <c r="M1594" s="5"/>
      <c r="N1594" s="5"/>
      <c r="O1594" s="5"/>
      <c r="P1594" s="5" t="str">
        <f>IF($H1594="","FIYAT_YOK",IFERROR(VLOOKUP($D1594,FIYAT!$B:$P,15,FALSE()),""))</f>
        <v>OK</v>
      </c>
      <c r="Q1594" s="5" t="s">
        <v>381</v>
      </c>
      <c r="R1594" s="5" t="s">
        <v>171</v>
      </c>
      <c r="S1594" s="5" t="s">
        <v>725</v>
      </c>
      <c r="T1594" s="5" t="s">
        <v>65</v>
      </c>
      <c r="U1594" s="5">
        <f>IFERROR(VLOOKUP($T1594,KURALLAR!$A$32:$B$63,2,FALSE()),0)*IF(ISNUMBER($I1594),$I1594,0)</f>
        <v>80</v>
      </c>
    </row>
    <row r="1595" spans="1:21" x14ac:dyDescent="0.25">
      <c r="A1595" s="9">
        <v>1594</v>
      </c>
      <c r="B1595" s="9"/>
      <c r="C1595" s="9" t="s">
        <v>169</v>
      </c>
      <c r="D1595" s="9" t="s">
        <v>231</v>
      </c>
      <c r="E1595" s="9" t="str">
        <f>IFERROR(VLOOKUP($D1595,FIYAT!$B:$O,2,FALSE()),"")</f>
        <v>Авт. выкл. NM8N-125C TM 3P 80А 36кА с рег. термомаг. расцепителем (R)</v>
      </c>
      <c r="F1595" s="9">
        <f>IFERROR(VLOOKUP($D1595,FIYAT!$B:$O,5,FALSE()),"")</f>
        <v>64129</v>
      </c>
      <c r="G1595" s="9">
        <f>IFERROR(VLOOKUP($D1595,FIYAT!$B:$O,8,FALSE()),"")</f>
        <v>38477.4</v>
      </c>
      <c r="H1595" s="9">
        <f t="shared" si="186"/>
        <v>76954.8</v>
      </c>
      <c r="I1595" s="6">
        <v>2</v>
      </c>
      <c r="J1595" s="9" t="str">
        <f>IFERROR(VLOOKUP($D1595,FIYAT!$B:$O,9,FALSE()),"")</f>
        <v>Шт.</v>
      </c>
      <c r="K1595" s="9" t="str">
        <f>IFERROR(VLOOKUP($D1595,FIYAT!$B:$O,4,FALSE()),"")</f>
        <v>CHINT</v>
      </c>
      <c r="L1595" s="9">
        <f t="shared" si="187"/>
        <v>76954.8</v>
      </c>
      <c r="M1595" s="9"/>
      <c r="N1595" s="9"/>
      <c r="O1595" s="9"/>
      <c r="P1595" s="9" t="str">
        <f>IF($H1595="","FIYAT_YOK",IFERROR(VLOOKUP($D1595,FIYAT!$B:$P,15,FALSE()),""))</f>
        <v>OK</v>
      </c>
      <c r="Q1595" s="9" t="s">
        <v>233</v>
      </c>
      <c r="R1595" s="9" t="s">
        <v>171</v>
      </c>
      <c r="S1595" s="9" t="s">
        <v>725</v>
      </c>
      <c r="T1595" s="9" t="s">
        <v>61</v>
      </c>
      <c r="U1595" s="9">
        <f>IFERROR(VLOOKUP($T1595,KURALLAR!$A$32:$B$63,2,FALSE()),0)*IF(ISNUMBER($I1595),$I1595,0)</f>
        <v>30</v>
      </c>
    </row>
    <row r="1596" spans="1:21" x14ac:dyDescent="0.25">
      <c r="A1596" s="5">
        <v>1595</v>
      </c>
      <c r="B1596" s="5"/>
      <c r="C1596" s="5" t="s">
        <v>83</v>
      </c>
      <c r="D1596" s="5" t="s">
        <v>507</v>
      </c>
      <c r="E1596" s="5" t="str">
        <f>IFERROR(VLOOKUP($D1596,FIYAT!$B:$O,2,FALSE()),"")</f>
        <v>Трансформатор тока Т-0.66-1,2 У3 600/5А (для счётчика)</v>
      </c>
      <c r="F1596" s="5">
        <f>IFERROR(VLOOKUP($D1596,FIYAT!$B:$O,5,FALSE()),"")</f>
        <v>0</v>
      </c>
      <c r="G1596" s="5" t="str">
        <f>IFERROR(VLOOKUP($D1596,FIYAT!$B:$O,8,FALSE()),"")</f>
        <v/>
      </c>
      <c r="H1596" s="5" t="str">
        <f t="shared" si="186"/>
        <v/>
      </c>
      <c r="I1596" s="6">
        <v>3</v>
      </c>
      <c r="J1596" s="5" t="str">
        <f>IFERROR(VLOOKUP($D1596,FIYAT!$B:$O,9,FALSE()),"")</f>
        <v>Шт.</v>
      </c>
      <c r="K1596" s="5" t="str">
        <f>IFERROR(VLOOKUP($D1596,FIYAT!$B:$O,4,FALSE()),"")</f>
        <v>MUADIL-NET</v>
      </c>
      <c r="L1596" s="5" t="str">
        <f t="shared" si="187"/>
        <v/>
      </c>
      <c r="M1596" s="5"/>
      <c r="N1596" s="5"/>
      <c r="O1596" s="5"/>
      <c r="P1596" s="7" t="str">
        <f>IF($H1596="","FIYAT_YOK",IFERROR(VLOOKUP($D1596,FIYAT!$B:$P,15,FALSE()),""))</f>
        <v>FIYAT_YOK</v>
      </c>
      <c r="Q1596" s="7" t="s">
        <v>509</v>
      </c>
      <c r="R1596" s="5"/>
      <c r="S1596" s="5" t="s">
        <v>725</v>
      </c>
      <c r="T1596" s="5" t="s">
        <v>83</v>
      </c>
      <c r="U1596" s="5">
        <f>IFERROR(VLOOKUP($T1596,KURALLAR!$A$32:$B$63,2,FALSE()),0)*IF(ISNUMBER($I1596),$I1596,0)</f>
        <v>30</v>
      </c>
    </row>
    <row r="1597" spans="1:21" x14ac:dyDescent="0.25">
      <c r="A1597" s="9">
        <v>1596</v>
      </c>
      <c r="B1597" s="9"/>
      <c r="C1597" s="9" t="s">
        <v>83</v>
      </c>
      <c r="D1597" s="9" t="s">
        <v>382</v>
      </c>
      <c r="E1597" s="9" t="str">
        <f>IFERROR(VLOOKUP($D1597,FIYAT!$B:$O,2,FALSE()),"")</f>
        <v>Трансформатор тока Т-0.66-1,2 У3 400/5А (для счётчика)</v>
      </c>
      <c r="F1597" s="9">
        <f>IFERROR(VLOOKUP($D1597,FIYAT!$B:$O,5,FALSE()),"")</f>
        <v>0</v>
      </c>
      <c r="G1597" s="9" t="str">
        <f>IFERROR(VLOOKUP($D1597,FIYAT!$B:$O,8,FALSE()),"")</f>
        <v/>
      </c>
      <c r="H1597" s="9" t="str">
        <f t="shared" si="186"/>
        <v/>
      </c>
      <c r="I1597" s="6">
        <v>6</v>
      </c>
      <c r="J1597" s="9" t="str">
        <f>IFERROR(VLOOKUP($D1597,FIYAT!$B:$O,9,FALSE()),"")</f>
        <v>Шт.</v>
      </c>
      <c r="K1597" s="9" t="str">
        <f>IFERROR(VLOOKUP($D1597,FIYAT!$B:$O,4,FALSE()),"")</f>
        <v>MUADIL-NET</v>
      </c>
      <c r="L1597" s="9" t="str">
        <f t="shared" si="187"/>
        <v/>
      </c>
      <c r="M1597" s="9"/>
      <c r="N1597" s="9"/>
      <c r="O1597" s="9"/>
      <c r="P1597" s="7" t="str">
        <f>IF($H1597="","FIYAT_YOK",IFERROR(VLOOKUP($D1597,FIYAT!$B:$P,15,FALSE()),""))</f>
        <v>FIYAT_YOK</v>
      </c>
      <c r="Q1597" s="7" t="s">
        <v>384</v>
      </c>
      <c r="R1597" s="9"/>
      <c r="S1597" s="9" t="s">
        <v>725</v>
      </c>
      <c r="T1597" s="9" t="s">
        <v>83</v>
      </c>
      <c r="U1597" s="9">
        <f>IFERROR(VLOOKUP($T1597,KURALLAR!$A$32:$B$63,2,FALSE()),0)*IF(ISNUMBER($I1597),$I1597,0)</f>
        <v>60</v>
      </c>
    </row>
    <row r="1598" spans="1:21" x14ac:dyDescent="0.25">
      <c r="A1598" s="5">
        <v>1597</v>
      </c>
      <c r="B1598" s="5"/>
      <c r="C1598" s="5" t="s">
        <v>253</v>
      </c>
      <c r="D1598" s="5" t="s">
        <v>251</v>
      </c>
      <c r="E1598" s="5" t="str">
        <f>IFERROR(VLOOKUP($D1598,FIYAT!$B:$O,2,FALSE()),"")</f>
        <v>Шина алюминиевая твёрдая (ШАТ)</v>
      </c>
      <c r="F1598" s="5">
        <f>IFERROR(VLOOKUP($D1598,FIYAT!$B:$O,5,FALSE()),"")</f>
        <v>4493.5999999999995</v>
      </c>
      <c r="G1598" s="5">
        <f>IFERROR(VLOOKUP($D1598,FIYAT!$B:$O,8,FALSE()),"")</f>
        <v>4493.5999999999995</v>
      </c>
      <c r="H1598" s="5">
        <f t="shared" si="186"/>
        <v>1114412.7999999998</v>
      </c>
      <c r="I1598" s="6">
        <v>248</v>
      </c>
      <c r="J1598" s="5" t="str">
        <f>IFERROR(VLOOKUP($D1598,FIYAT!$B:$O,9,FALSE()),"")</f>
        <v>Кг.</v>
      </c>
      <c r="K1598" s="5" t="str">
        <f>IFERROR(VLOOKUP($D1598,FIYAT!$B:$O,4,FALSE()),"")</f>
        <v>ALUM-BARA</v>
      </c>
      <c r="L1598" s="5">
        <f t="shared" si="187"/>
        <v>1114412.7999999998</v>
      </c>
      <c r="M1598" s="5"/>
      <c r="N1598" s="5"/>
      <c r="O1598" s="5"/>
      <c r="P1598" s="5" t="str">
        <f>IF($H1598="","FIYAT_YOK",IFERROR(VLOOKUP($D1598,FIYAT!$B:$P,15,FALSE()),""))</f>
        <v>VARSAYIM</v>
      </c>
      <c r="Q1598" s="5" t="s">
        <v>255</v>
      </c>
      <c r="R1598" s="5"/>
      <c r="S1598" s="5" t="s">
        <v>725</v>
      </c>
      <c r="T1598" s="5" t="s">
        <v>101</v>
      </c>
      <c r="U1598" s="5">
        <f>IFERROR(VLOOKUP($T1598,KURALLAR!$A$32:$B$63,2,FALSE()),0)*IF(ISNUMBER($I1598),$I1598,0)</f>
        <v>1488</v>
      </c>
    </row>
    <row r="1599" spans="1:21" x14ac:dyDescent="0.25">
      <c r="A1599" s="9">
        <v>1598</v>
      </c>
      <c r="B1599" s="9"/>
      <c r="C1599" s="9" t="s">
        <v>222</v>
      </c>
      <c r="D1599" s="9" t="s">
        <v>256</v>
      </c>
      <c r="E1599" s="9" t="str">
        <f>IFERROR(VLOOKUP($D1599,FIYAT!$B:$O,2,FALSE()),"")</f>
        <v>Щит (moduler) 2000x800x800+100</v>
      </c>
      <c r="F1599" s="9">
        <f>IFERROR(VLOOKUP($D1599,FIYAT!$B:$O,5,FALSE()),"")</f>
        <v>197400</v>
      </c>
      <c r="G1599" s="9">
        <f>IFERROR(VLOOKUP($D1599,FIYAT!$B:$O,8,FALSE()),"")</f>
        <v>118440</v>
      </c>
      <c r="H1599" s="9">
        <f t="shared" si="186"/>
        <v>236880</v>
      </c>
      <c r="I1599" s="6">
        <v>2</v>
      </c>
      <c r="J1599" s="9" t="str">
        <f>IFERROR(VLOOKUP($D1599,FIYAT!$B:$O,9,FALSE()),"")</f>
        <v>Шт.</v>
      </c>
      <c r="K1599" s="9" t="str">
        <f>IFERROR(VLOOKUP($D1599,FIYAT!$B:$O,4,FALSE()),"")</f>
        <v>KAZTEK</v>
      </c>
      <c r="L1599" s="9">
        <f t="shared" si="187"/>
        <v>236880</v>
      </c>
      <c r="M1599" s="9"/>
      <c r="N1599" s="9"/>
      <c r="O1599" s="9"/>
      <c r="P1599" s="9" t="str">
        <f>IF($H1599="","FIYAT_YOK",IFERROR(VLOOKUP($D1599,FIYAT!$B:$P,15,FALSE()),""))</f>
        <v>VARSAYIM</v>
      </c>
      <c r="Q1599" s="9" t="s">
        <v>258</v>
      </c>
      <c r="R1599" s="9" t="s">
        <v>211</v>
      </c>
      <c r="S1599" s="9" t="s">
        <v>725</v>
      </c>
      <c r="T1599" s="9" t="s">
        <v>107</v>
      </c>
      <c r="U1599" s="9">
        <f>IFERROR(VLOOKUP($T1599,KURALLAR!$A$32:$B$63,2,FALSE()),0)*IF(ISNUMBER($I1599),$I1599,0)</f>
        <v>180</v>
      </c>
    </row>
    <row r="1600" spans="1:21" x14ac:dyDescent="0.25">
      <c r="A1600" s="5">
        <v>1599</v>
      </c>
      <c r="B1600" s="5"/>
      <c r="C1600" s="5" t="s">
        <v>215</v>
      </c>
      <c r="D1600" s="5" t="s">
        <v>213</v>
      </c>
      <c r="E1600" s="5" t="str">
        <f>IFERROR(VLOOKUP($D1600,FIYAT!$B:$O,2,FALSE()),"")</f>
        <v>Монтажный расходный материал (кабель, DIN-рейка, кабель-канал, клеммы, маркировка, крепёж)</v>
      </c>
      <c r="F1600" s="5">
        <f>IFERROR(VLOOKUP($D1600,FIYAT!$B:$O,5,FALSE()),"")</f>
        <v>0</v>
      </c>
      <c r="G1600" s="5" t="str">
        <f>IFERROR(VLOOKUP($D1600,FIYAT!$B:$O,8,FALSE()),"")</f>
        <v/>
      </c>
      <c r="H1600" s="5">
        <f>ROUND(SUM($H$1582:$H$1599)*KURALLAR!$B$28,0)</f>
        <v>238267</v>
      </c>
      <c r="I1600" s="6">
        <v>1</v>
      </c>
      <c r="J1600" s="5" t="str">
        <f>IFERROR(VLOOKUP($D1600,FIYAT!$B:$O,9,FALSE()),"")</f>
        <v>компл.</v>
      </c>
      <c r="K1600" s="5" t="str">
        <f>IFERROR(VLOOKUP($D1600,FIYAT!$B:$O,4,FALSE()),"")</f>
        <v>MUADIL-NET</v>
      </c>
      <c r="L1600" s="5">
        <f t="shared" si="187"/>
        <v>238267</v>
      </c>
      <c r="M1600" s="5"/>
      <c r="N1600" s="5"/>
      <c r="O1600" s="5"/>
      <c r="P1600" s="5" t="str">
        <f>IF($H1600="","FIYAT_YOK",IFERROR(VLOOKUP($D1600,FIYAT!$B:$P,15,FALSE()),""))</f>
        <v>ORAN</v>
      </c>
      <c r="Q1600" s="5" t="s">
        <v>218</v>
      </c>
      <c r="R1600" s="5" t="s">
        <v>217</v>
      </c>
      <c r="S1600" s="5" t="s">
        <v>725</v>
      </c>
      <c r="T1600" s="5"/>
      <c r="U1600" s="5">
        <v>0</v>
      </c>
    </row>
    <row r="1601" spans="1:21" x14ac:dyDescent="0.25">
      <c r="A1601" s="9">
        <v>1600</v>
      </c>
      <c r="B1601" s="9"/>
      <c r="C1601" s="9" t="s">
        <v>227</v>
      </c>
      <c r="D1601" s="9" t="s">
        <v>225</v>
      </c>
      <c r="E1601" s="9" t="str">
        <f>IFERROR(VLOOKUP($D1601,FIYAT!$B:$O,2,FALSE()),"")</f>
        <v>Сборка, кабелирование, маркировка, момент затяжки, испытания</v>
      </c>
      <c r="F1601" s="9">
        <f>IFERROR(VLOOKUP($D1601,FIYAT!$B:$O,5,FALSE()),"")</f>
        <v>100</v>
      </c>
      <c r="G1601" s="9">
        <f>IFERROR(VLOOKUP($D1601,FIYAT!$B:$O,8,FALSE()),"")</f>
        <v>100</v>
      </c>
      <c r="H1601" s="9">
        <f>IF(OR($G1601="",$I1601=""),"",$G1601*$I1601)</f>
        <v>295400</v>
      </c>
      <c r="I1601" s="6">
        <f>ROUND(SUM($U$1582:$U$1600)*KURALLAR!$B$27,0)</f>
        <v>2954</v>
      </c>
      <c r="J1601" s="9" t="str">
        <f>IFERROR(VLOOKUP($D1601,FIYAT!$B:$O,9,FALSE()),"")</f>
        <v>мин</v>
      </c>
      <c r="K1601" s="9" t="str">
        <f>IFERROR(VLOOKUP($D1601,FIYAT!$B:$O,4,FALSE()),"")</f>
        <v>ISCILIK</v>
      </c>
      <c r="L1601" s="9">
        <f t="shared" si="187"/>
        <v>295400</v>
      </c>
      <c r="M1601" s="9"/>
      <c r="N1601" s="9"/>
      <c r="O1601" s="9"/>
      <c r="P1601" s="9" t="str">
        <f>IF($H1601="","FIYAT_YOK",IFERROR(VLOOKUP($D1601,FIYAT!$B:$P,15,FALSE()),""))</f>
        <v>OK</v>
      </c>
      <c r="Q1601" s="9" t="str">
        <f>CONCATENATE("montaj+test iscilik: ",TEXT($I1601,"# ##0")," dk = ",TEXT($I1601/60,"0,00")," saat (norm x test/etiket carpani)")</f>
        <v>montaj+test iscilik: 2 954 dk = 49,23 saat (norm x test/etiket carpani)</v>
      </c>
      <c r="R1601" s="9" t="s">
        <v>229</v>
      </c>
      <c r="S1601" s="9" t="s">
        <v>725</v>
      </c>
      <c r="T1601" s="9"/>
      <c r="U1601" s="9">
        <v>0</v>
      </c>
    </row>
    <row r="1602" spans="1:21" x14ac:dyDescent="0.25">
      <c r="A1602" s="10">
        <v>1601</v>
      </c>
      <c r="B1602" s="10" t="s">
        <v>740</v>
      </c>
      <c r="C1602" s="10"/>
      <c r="D1602" s="10"/>
      <c r="E1602" s="10"/>
      <c r="F1602" s="10"/>
      <c r="G1602" s="10"/>
      <c r="H1602" s="10">
        <f>SUBTOTAL(9,H1582:H1601)</f>
        <v>3937480</v>
      </c>
      <c r="I1602" s="10"/>
      <c r="J1602" s="10"/>
      <c r="K1602" s="10"/>
      <c r="L1602" s="10">
        <f>SUBTOTAL(9,L1582:L1601)</f>
        <v>3937480</v>
      </c>
      <c r="M1602" s="10"/>
      <c r="N1602" s="10"/>
      <c r="O1602" s="10"/>
      <c r="P1602" s="10"/>
      <c r="Q1602" s="10"/>
      <c r="R1602" s="10"/>
      <c r="S1602" s="10"/>
      <c r="T1602" s="10"/>
      <c r="U1602" s="10">
        <f>SUBTOTAL(9,U1582:U1601)</f>
        <v>2569</v>
      </c>
    </row>
    <row r="1603" spans="1:21" x14ac:dyDescent="0.25">
      <c r="A1603" s="8">
        <v>1602</v>
      </c>
      <c r="B1603" s="8" t="str">
        <f>E1603</f>
        <v>LPS / Главный распределительный щит АВР-LOT1В — НКУ 380/220В 50Гц, FORM 2B, IP31/54</v>
      </c>
      <c r="C1603" s="8" t="s">
        <v>545</v>
      </c>
      <c r="D1603" s="8"/>
      <c r="E1603" s="8" t="s">
        <v>741</v>
      </c>
      <c r="F1603" s="8"/>
      <c r="G1603" s="8"/>
      <c r="H1603" s="8"/>
      <c r="I1603" s="8">
        <v>1</v>
      </c>
      <c r="J1603" s="8" t="s">
        <v>547</v>
      </c>
      <c r="K1603" s="8"/>
      <c r="L1603" s="8"/>
      <c r="M1603" s="8"/>
      <c r="N1603" s="8"/>
      <c r="O1603" s="8"/>
      <c r="P1603" s="8" t="s">
        <v>178</v>
      </c>
      <c r="Q1603" s="8" t="s">
        <v>548</v>
      </c>
      <c r="R1603" s="8" t="s">
        <v>549</v>
      </c>
      <c r="S1603" s="8" t="s">
        <v>725</v>
      </c>
      <c r="T1603" s="8"/>
      <c r="U1603" s="8"/>
    </row>
    <row r="1604" spans="1:21" x14ac:dyDescent="0.25">
      <c r="A1604" s="5">
        <v>1603</v>
      </c>
      <c r="B1604" s="5"/>
      <c r="C1604" s="5" t="s">
        <v>169</v>
      </c>
      <c r="D1604" s="5" t="s">
        <v>452</v>
      </c>
      <c r="E1604" s="5" t="str">
        <f>IFERROR(VLOOKUP($D1604,FIYAT!$B:$O,2,FALSE()),"")</f>
        <v>Авт. выкл. NM8N-630C EN 3P 630А 36кА с электронным расцепителем (R)</v>
      </c>
      <c r="F1604" s="5">
        <f>IFERROR(VLOOKUP($D1604,FIYAT!$B:$O,5,FALSE()),"")</f>
        <v>299616</v>
      </c>
      <c r="G1604" s="5">
        <f>IFERROR(VLOOKUP($D1604,FIYAT!$B:$O,8,FALSE()),"")</f>
        <v>179769.60000000001</v>
      </c>
      <c r="H1604" s="5">
        <f t="shared" ref="H1604:H1620" si="188">IF(OR($G1604="",$I1604=""),"",$G1604*$I1604)</f>
        <v>179769.60000000001</v>
      </c>
      <c r="I1604" s="6">
        <v>1</v>
      </c>
      <c r="J1604" s="5" t="str">
        <f>IFERROR(VLOOKUP($D1604,FIYAT!$B:$O,9,FALSE()),"")</f>
        <v>Шт.</v>
      </c>
      <c r="K1604" s="5" t="str">
        <f>IFERROR(VLOOKUP($D1604,FIYAT!$B:$O,4,FALSE()),"")</f>
        <v>CHINT</v>
      </c>
      <c r="L1604" s="5">
        <f t="shared" ref="L1604:L1622" si="189">IF($H1604="","",$H1604)</f>
        <v>179769.60000000001</v>
      </c>
      <c r="M1604" s="5"/>
      <c r="N1604" s="5"/>
      <c r="O1604" s="5"/>
      <c r="P1604" s="5" t="str">
        <f>IF($H1604="","FIYAT_YOK",IFERROR(VLOOKUP($D1604,FIYAT!$B:$P,15,FALSE()),""))</f>
        <v>MUADIL</v>
      </c>
      <c r="Q1604" s="5" t="s">
        <v>454</v>
      </c>
      <c r="R1604" s="5" t="s">
        <v>171</v>
      </c>
      <c r="S1604" s="5" t="s">
        <v>725</v>
      </c>
      <c r="T1604" s="5" t="s">
        <v>67</v>
      </c>
      <c r="U1604" s="5">
        <f>IFERROR(VLOOKUP($T1604,KURALLAR!$A$32:$B$63,2,FALSE()),0)*IF(ISNUMBER($I1604),$I1604,0)</f>
        <v>55</v>
      </c>
    </row>
    <row r="1605" spans="1:21" x14ac:dyDescent="0.25">
      <c r="A1605" s="9">
        <v>1604</v>
      </c>
      <c r="B1605" s="9"/>
      <c r="C1605" s="9" t="s">
        <v>83</v>
      </c>
      <c r="D1605" s="9" t="s">
        <v>507</v>
      </c>
      <c r="E1605" s="9" t="str">
        <f>IFERROR(VLOOKUP($D1605,FIYAT!$B:$O,2,FALSE()),"")</f>
        <v>Трансформатор тока Т-0.66-1,2 У3 600/5А (для счётчика)</v>
      </c>
      <c r="F1605" s="9">
        <f>IFERROR(VLOOKUP($D1605,FIYAT!$B:$O,5,FALSE()),"")</f>
        <v>0</v>
      </c>
      <c r="G1605" s="9" t="str">
        <f>IFERROR(VLOOKUP($D1605,FIYAT!$B:$O,8,FALSE()),"")</f>
        <v/>
      </c>
      <c r="H1605" s="9" t="str">
        <f t="shared" si="188"/>
        <v/>
      </c>
      <c r="I1605" s="6">
        <v>3</v>
      </c>
      <c r="J1605" s="9" t="str">
        <f>IFERROR(VLOOKUP($D1605,FIYAT!$B:$O,9,FALSE()),"")</f>
        <v>Шт.</v>
      </c>
      <c r="K1605" s="9" t="str">
        <f>IFERROR(VLOOKUP($D1605,FIYAT!$B:$O,4,FALSE()),"")</f>
        <v>MUADIL-NET</v>
      </c>
      <c r="L1605" s="9" t="str">
        <f t="shared" si="189"/>
        <v/>
      </c>
      <c r="M1605" s="9"/>
      <c r="N1605" s="9"/>
      <c r="O1605" s="9"/>
      <c r="P1605" s="7" t="str">
        <f>IF($H1605="","FIYAT_YOK",IFERROR(VLOOKUP($D1605,FIYAT!$B:$P,15,FALSE()),""))</f>
        <v>FIYAT_YOK</v>
      </c>
      <c r="Q1605" s="7" t="s">
        <v>509</v>
      </c>
      <c r="R1605" s="9"/>
      <c r="S1605" s="9" t="s">
        <v>725</v>
      </c>
      <c r="T1605" s="9" t="s">
        <v>83</v>
      </c>
      <c r="U1605" s="9">
        <f>IFERROR(VLOOKUP($T1605,KURALLAR!$A$32:$B$63,2,FALSE()),0)*IF(ISNUMBER($I1605),$I1605,0)</f>
        <v>30</v>
      </c>
    </row>
    <row r="1606" spans="1:21" x14ac:dyDescent="0.25">
      <c r="A1606" s="5">
        <v>1605</v>
      </c>
      <c r="B1606" s="5"/>
      <c r="C1606" s="5" t="s">
        <v>97</v>
      </c>
      <c r="D1606" s="5" t="s">
        <v>281</v>
      </c>
      <c r="E1606" s="5" t="str">
        <f>IFERROR(VLOOKUP($D1606,FIYAT!$B:$O,2,FALSE()),"")</f>
        <v>КОРОБКА КЛЕММНАЯ ИСПЫТАТЕЛЬНАЯ ПЕРЕХОДНАЯ ККИ1-1 EKF PROXIMA</v>
      </c>
      <c r="F1606" s="5">
        <f>IFERROR(VLOOKUP($D1606,FIYAT!$B:$O,5,FALSE()),"")</f>
        <v>0</v>
      </c>
      <c r="G1606" s="5" t="str">
        <f>IFERROR(VLOOKUP($D1606,FIYAT!$B:$O,8,FALSE()),"")</f>
        <v/>
      </c>
      <c r="H1606" s="5" t="str">
        <f t="shared" si="188"/>
        <v/>
      </c>
      <c r="I1606" s="6">
        <v>1</v>
      </c>
      <c r="J1606" s="5" t="str">
        <f>IFERROR(VLOOKUP($D1606,FIYAT!$B:$O,9,FALSE()),"")</f>
        <v>Шт.</v>
      </c>
      <c r="K1606" s="5" t="str">
        <f>IFERROR(VLOOKUP($D1606,FIYAT!$B:$O,4,FALSE()),"")</f>
        <v>EKF</v>
      </c>
      <c r="L1606" s="5" t="str">
        <f t="shared" si="189"/>
        <v/>
      </c>
      <c r="M1606" s="5"/>
      <c r="N1606" s="5"/>
      <c r="O1606" s="5"/>
      <c r="P1606" s="7" t="str">
        <f>IF($H1606="","FIYAT_YOK",IFERROR(VLOOKUP($D1606,FIYAT!$B:$P,15,FALSE()),""))</f>
        <v>FIYAT_YOK</v>
      </c>
      <c r="Q1606" s="7" t="s">
        <v>283</v>
      </c>
      <c r="R1606" s="5"/>
      <c r="S1606" s="5" t="s">
        <v>725</v>
      </c>
      <c r="T1606" s="5" t="s">
        <v>97</v>
      </c>
      <c r="U1606" s="5">
        <f>IFERROR(VLOOKUP($T1606,KURALLAR!$A$32:$B$63,2,FALSE()),0)*IF(ISNUMBER($I1606),$I1606,0)</f>
        <v>4</v>
      </c>
    </row>
    <row r="1607" spans="1:21" x14ac:dyDescent="0.25">
      <c r="A1607" s="9">
        <v>1606</v>
      </c>
      <c r="B1607" s="9"/>
      <c r="C1607" s="9" t="s">
        <v>81</v>
      </c>
      <c r="D1607" s="9" t="s">
        <v>284</v>
      </c>
      <c r="E1607" s="9" t="str">
        <f>IFERROR(VLOOKUP($D1607,FIYAT!$B:$O,2,FALSE()),"")</f>
        <v>Трехфазный эл.счетчик EX 518 5А (трансф. подкл.) с PLC модулем</v>
      </c>
      <c r="F1607" s="9">
        <f>IFERROR(VLOOKUP($D1607,FIYAT!$B:$O,5,FALSE()),"")</f>
        <v>0</v>
      </c>
      <c r="G1607" s="9" t="str">
        <f>IFERROR(VLOOKUP($D1607,FIYAT!$B:$O,8,FALSE()),"")</f>
        <v/>
      </c>
      <c r="H1607" s="9" t="str">
        <f t="shared" si="188"/>
        <v/>
      </c>
      <c r="I1607" s="6">
        <v>1</v>
      </c>
      <c r="J1607" s="9" t="str">
        <f>IFERROR(VLOOKUP($D1607,FIYAT!$B:$O,9,FALSE()),"")</f>
        <v>Шт.</v>
      </c>
      <c r="K1607" s="9" t="str">
        <f>IFERROR(VLOOKUP($D1607,FIYAT!$B:$O,4,FALSE()),"")</f>
        <v>MUADIL-NET</v>
      </c>
      <c r="L1607" s="9" t="str">
        <f t="shared" si="189"/>
        <v/>
      </c>
      <c r="M1607" s="9"/>
      <c r="N1607" s="9"/>
      <c r="O1607" s="9"/>
      <c r="P1607" s="7" t="str">
        <f>IF($H1607="","FIYAT_YOK",IFERROR(VLOOKUP($D1607,FIYAT!$B:$P,15,FALSE()),""))</f>
        <v>FIYAT_YOK</v>
      </c>
      <c r="Q1607" s="7" t="s">
        <v>249</v>
      </c>
      <c r="R1607" s="9"/>
      <c r="S1607" s="9" t="s">
        <v>725</v>
      </c>
      <c r="T1607" s="9" t="s">
        <v>81</v>
      </c>
      <c r="U1607" s="9">
        <f>IFERROR(VLOOKUP($T1607,KURALLAR!$A$32:$B$63,2,FALSE()),0)*IF(ISNUMBER($I1607),$I1607,0)</f>
        <v>30</v>
      </c>
    </row>
    <row r="1608" spans="1:21" x14ac:dyDescent="0.25">
      <c r="A1608" s="5">
        <v>1607</v>
      </c>
      <c r="B1608" s="5"/>
      <c r="C1608" s="5" t="s">
        <v>192</v>
      </c>
      <c r="D1608" s="5" t="s">
        <v>238</v>
      </c>
      <c r="E1608" s="5" t="str">
        <f>IFERROR(VLOOKUP($D1608,FIYAT!$B:$O,2,FALSE()),"")</f>
        <v>Авт. выкл. NXB-63 1P 6A 6кА х-ка C (R)</v>
      </c>
      <c r="F1608" s="5">
        <f>IFERROR(VLOOKUP($D1608,FIYAT!$B:$O,5,FALSE()),"")</f>
        <v>1436</v>
      </c>
      <c r="G1608" s="5">
        <f>IFERROR(VLOOKUP($D1608,FIYAT!$B:$O,8,FALSE()),"")</f>
        <v>861.6</v>
      </c>
      <c r="H1608" s="5">
        <f t="shared" si="188"/>
        <v>6031.2</v>
      </c>
      <c r="I1608" s="6">
        <v>7</v>
      </c>
      <c r="J1608" s="5" t="str">
        <f>IFERROR(VLOOKUP($D1608,FIYAT!$B:$O,9,FALSE()),"")</f>
        <v>Шт.</v>
      </c>
      <c r="K1608" s="5" t="str">
        <f>IFERROR(VLOOKUP($D1608,FIYAT!$B:$O,4,FALSE()),"")</f>
        <v>CHINT</v>
      </c>
      <c r="L1608" s="5">
        <f t="shared" si="189"/>
        <v>6031.2</v>
      </c>
      <c r="M1608" s="5"/>
      <c r="N1608" s="5"/>
      <c r="O1608" s="5"/>
      <c r="P1608" s="5" t="str">
        <f>IF($H1608="","FIYAT_YOK",IFERROR(VLOOKUP($D1608,FIYAT!$B:$P,15,FALSE()),""))</f>
        <v>OK</v>
      </c>
      <c r="Q1608" s="5" t="s">
        <v>240</v>
      </c>
      <c r="R1608" s="5" t="s">
        <v>171</v>
      </c>
      <c r="S1608" s="5" t="s">
        <v>725</v>
      </c>
      <c r="T1608" s="5" t="s">
        <v>47</v>
      </c>
      <c r="U1608" s="5">
        <f>IFERROR(VLOOKUP($T1608,KURALLAR!$A$32:$B$63,2,FALSE()),0)*IF(ISNUMBER($I1608),$I1608,0)</f>
        <v>21</v>
      </c>
    </row>
    <row r="1609" spans="1:21" x14ac:dyDescent="0.25">
      <c r="A1609" s="9">
        <v>1608</v>
      </c>
      <c r="B1609" s="9"/>
      <c r="C1609" s="9" t="s">
        <v>89</v>
      </c>
      <c r="D1609" s="9" t="s">
        <v>241</v>
      </c>
      <c r="E1609" s="9" t="str">
        <f>IFERROR(VLOOKUP($D1609,FIYAT!$B:$O,2,FALSE()),"")</f>
        <v>Индикатор ND16-22DS/4 белый АС230В (R)</v>
      </c>
      <c r="F1609" s="9">
        <f>IFERROR(VLOOKUP($D1609,FIYAT!$B:$O,5,FALSE()),"")</f>
        <v>1047</v>
      </c>
      <c r="G1609" s="9">
        <f>IFERROR(VLOOKUP($D1609,FIYAT!$B:$O,8,FALSE()),"")</f>
        <v>628.19999999999993</v>
      </c>
      <c r="H1609" s="9">
        <f t="shared" si="188"/>
        <v>1884.6</v>
      </c>
      <c r="I1609" s="6">
        <v>3</v>
      </c>
      <c r="J1609" s="9" t="str">
        <f>IFERROR(VLOOKUP($D1609,FIYAT!$B:$O,9,FALSE()),"")</f>
        <v>Шт.</v>
      </c>
      <c r="K1609" s="9" t="str">
        <f>IFERROR(VLOOKUP($D1609,FIYAT!$B:$O,4,FALSE()),"")</f>
        <v>CHINT</v>
      </c>
      <c r="L1609" s="9">
        <f t="shared" si="189"/>
        <v>1884.6</v>
      </c>
      <c r="M1609" s="9"/>
      <c r="N1609" s="9"/>
      <c r="O1609" s="9"/>
      <c r="P1609" s="9" t="str">
        <f>IF($H1609="","FIYAT_YOK",IFERROR(VLOOKUP($D1609,FIYAT!$B:$P,15,FALSE()),""))</f>
        <v>OK</v>
      </c>
      <c r="Q1609" s="9" t="s">
        <v>243</v>
      </c>
      <c r="R1609" s="9" t="s">
        <v>184</v>
      </c>
      <c r="S1609" s="9" t="s">
        <v>725</v>
      </c>
      <c r="T1609" s="9" t="s">
        <v>89</v>
      </c>
      <c r="U1609" s="9">
        <f>IFERROR(VLOOKUP($T1609,KURALLAR!$A$32:$B$63,2,FALSE()),0)*IF(ISNUMBER($I1609),$I1609,0)</f>
        <v>12</v>
      </c>
    </row>
    <row r="1610" spans="1:21" x14ac:dyDescent="0.25">
      <c r="A1610" s="5">
        <v>1609</v>
      </c>
      <c r="B1610" s="5"/>
      <c r="C1610" s="5" t="s">
        <v>79</v>
      </c>
      <c r="D1610" s="5" t="s">
        <v>179</v>
      </c>
      <c r="E1610" s="5" t="str">
        <f>IFERROR(VLOOKUP($D1610,FIYAT!$B:$O,2,FALSE()),"")</f>
        <v>Держатель плавкой вставки RT36-00-160, габарит 00, 160А</v>
      </c>
      <c r="F1610" s="5">
        <f>IFERROR(VLOOKUP($D1610,FIYAT!$B:$O,5,FALSE()),"")</f>
        <v>2038</v>
      </c>
      <c r="G1610" s="5">
        <f>IFERROR(VLOOKUP($D1610,FIYAT!$B:$O,8,FALSE()),"")</f>
        <v>1222.8</v>
      </c>
      <c r="H1610" s="5">
        <f t="shared" si="188"/>
        <v>4891.2</v>
      </c>
      <c r="I1610" s="6">
        <v>4</v>
      </c>
      <c r="J1610" s="5" t="str">
        <f>IFERROR(VLOOKUP($D1610,FIYAT!$B:$O,9,FALSE()),"")</f>
        <v>Шт.</v>
      </c>
      <c r="K1610" s="5" t="str">
        <f>IFERROR(VLOOKUP($D1610,FIYAT!$B:$O,4,FALSE()),"")</f>
        <v>CHINT</v>
      </c>
      <c r="L1610" s="5">
        <f t="shared" si="189"/>
        <v>4891.2</v>
      </c>
      <c r="M1610" s="5"/>
      <c r="N1610" s="5"/>
      <c r="O1610" s="5"/>
      <c r="P1610" s="5" t="str">
        <f>IF($H1610="","FIYAT_YOK",IFERROR(VLOOKUP($D1610,FIYAT!$B:$P,15,FALSE()),""))</f>
        <v>MUADIL</v>
      </c>
      <c r="Q1610" s="5" t="s">
        <v>181</v>
      </c>
      <c r="R1610" s="5" t="s">
        <v>171</v>
      </c>
      <c r="S1610" s="5" t="s">
        <v>725</v>
      </c>
      <c r="T1610" s="5" t="s">
        <v>77</v>
      </c>
      <c r="U1610" s="5">
        <f>IFERROR(VLOOKUP($T1610,KURALLAR!$A$32:$B$63,2,FALSE()),0)*IF(ISNUMBER($I1610),$I1610,0)</f>
        <v>20</v>
      </c>
    </row>
    <row r="1611" spans="1:21" x14ac:dyDescent="0.25">
      <c r="A1611" s="9">
        <v>1610</v>
      </c>
      <c r="B1611" s="9"/>
      <c r="C1611" s="9" t="s">
        <v>79</v>
      </c>
      <c r="D1611" s="9" t="s">
        <v>182</v>
      </c>
      <c r="E1611" s="9" t="str">
        <f>IFERROR(VLOOKUP($D1611,FIYAT!$B:$O,2,FALSE()),"")</f>
        <v>Плавкая вставка предохранителя RT36-00-160, габарит 00, 63А</v>
      </c>
      <c r="F1611" s="9">
        <f>IFERROR(VLOOKUP($D1611,FIYAT!$B:$O,5,FALSE()),"")</f>
        <v>1525</v>
      </c>
      <c r="G1611" s="9">
        <f>IFERROR(VLOOKUP($D1611,FIYAT!$B:$O,8,FALSE()),"")</f>
        <v>915</v>
      </c>
      <c r="H1611" s="9">
        <f t="shared" si="188"/>
        <v>3660</v>
      </c>
      <c r="I1611" s="6">
        <v>4</v>
      </c>
      <c r="J1611" s="9" t="str">
        <f>IFERROR(VLOOKUP($D1611,FIYAT!$B:$O,9,FALSE()),"")</f>
        <v>Шт.</v>
      </c>
      <c r="K1611" s="9" t="str">
        <f>IFERROR(VLOOKUP($D1611,FIYAT!$B:$O,4,FALSE()),"")</f>
        <v>CHINT</v>
      </c>
      <c r="L1611" s="9">
        <f t="shared" si="189"/>
        <v>3660</v>
      </c>
      <c r="M1611" s="9"/>
      <c r="N1611" s="9"/>
      <c r="O1611" s="9"/>
      <c r="P1611" s="9" t="str">
        <f>IF($H1611="","FIYAT_YOK",IFERROR(VLOOKUP($D1611,FIYAT!$B:$P,15,FALSE()),""))</f>
        <v>MUADIL</v>
      </c>
      <c r="Q1611" s="9" t="s">
        <v>185</v>
      </c>
      <c r="R1611" s="9" t="s">
        <v>184</v>
      </c>
      <c r="S1611" s="9" t="s">
        <v>725</v>
      </c>
      <c r="T1611" s="9" t="s">
        <v>79</v>
      </c>
      <c r="U1611" s="9">
        <f>IFERROR(VLOOKUP($T1611,KURALLAR!$A$32:$B$63,2,FALSE()),0)*IF(ISNUMBER($I1611),$I1611,0)</f>
        <v>12</v>
      </c>
    </row>
    <row r="1612" spans="1:21" x14ac:dyDescent="0.25">
      <c r="A1612" s="5">
        <v>1611</v>
      </c>
      <c r="B1612" s="5"/>
      <c r="C1612" s="5" t="s">
        <v>75</v>
      </c>
      <c r="D1612" s="5" t="s">
        <v>186</v>
      </c>
      <c r="E1612" s="5" t="str">
        <f>IFERROR(VLOOKUP($D1612,FIYAT!$B:$O,2,FALSE()),"")</f>
        <v>Ограничитель имп. перенапр. NU6-IIG 4Р In=25kA Uc=440B Im=65kA (R)</v>
      </c>
      <c r="F1612" s="5">
        <f>IFERROR(VLOOKUP($D1612,FIYAT!$B:$O,5,FALSE()),"")</f>
        <v>33208</v>
      </c>
      <c r="G1612" s="5">
        <f>IFERROR(VLOOKUP($D1612,FIYAT!$B:$O,8,FALSE()),"")</f>
        <v>19924.8</v>
      </c>
      <c r="H1612" s="5">
        <f t="shared" si="188"/>
        <v>19924.8</v>
      </c>
      <c r="I1612" s="6">
        <v>1</v>
      </c>
      <c r="J1612" s="5" t="str">
        <f>IFERROR(VLOOKUP($D1612,FIYAT!$B:$O,9,FALSE()),"")</f>
        <v>Шт.</v>
      </c>
      <c r="K1612" s="5" t="str">
        <f>IFERROR(VLOOKUP($D1612,FIYAT!$B:$O,4,FALSE()),"")</f>
        <v>CHINT</v>
      </c>
      <c r="L1612" s="5">
        <f t="shared" si="189"/>
        <v>19924.8</v>
      </c>
      <c r="M1612" s="5"/>
      <c r="N1612" s="5"/>
      <c r="O1612" s="5"/>
      <c r="P1612" s="5" t="str">
        <f>IF($H1612="","FIYAT_YOK",IFERROR(VLOOKUP($D1612,FIYAT!$B:$P,15,FALSE()),""))</f>
        <v>MUADIL_ONAY</v>
      </c>
      <c r="Q1612" s="5" t="s">
        <v>188</v>
      </c>
      <c r="R1612" s="5" t="s">
        <v>184</v>
      </c>
      <c r="S1612" s="5" t="s">
        <v>725</v>
      </c>
      <c r="T1612" s="5" t="s">
        <v>75</v>
      </c>
      <c r="U1612" s="5">
        <f>IFERROR(VLOOKUP($T1612,KURALLAR!$A$32:$B$63,2,FALSE()),0)*IF(ISNUMBER($I1612),$I1612,0)</f>
        <v>10</v>
      </c>
    </row>
    <row r="1613" spans="1:21" x14ac:dyDescent="0.25">
      <c r="A1613" s="9">
        <v>1612</v>
      </c>
      <c r="B1613" s="9"/>
      <c r="C1613" s="9" t="s">
        <v>83</v>
      </c>
      <c r="D1613" s="9" t="s">
        <v>510</v>
      </c>
      <c r="E1613" s="9" t="str">
        <f>IFERROR(VLOOKUP($D1613,FIYAT!$B:$O,2,FALSE()),"")</f>
        <v>Трансформатор тока 800/5А кл. 0,5 — CHINT листинге нет</v>
      </c>
      <c r="F1613" s="9">
        <f>IFERROR(VLOOKUP($D1613,FIYAT!$B:$O,5,FALSE()),"")</f>
        <v>0</v>
      </c>
      <c r="G1613" s="9" t="str">
        <f>IFERROR(VLOOKUP($D1613,FIYAT!$B:$O,8,FALSE()),"")</f>
        <v/>
      </c>
      <c r="H1613" s="9" t="str">
        <f t="shared" si="188"/>
        <v/>
      </c>
      <c r="I1613" s="6">
        <v>3</v>
      </c>
      <c r="J1613" s="9" t="str">
        <f>IFERROR(VLOOKUP($D1613,FIYAT!$B:$O,9,FALSE()),"")</f>
        <v>Шт.</v>
      </c>
      <c r="K1613" s="9" t="str">
        <f>IFERROR(VLOOKUP($D1613,FIYAT!$B:$O,4,FALSE()),"")</f>
        <v>MUADIL-NET</v>
      </c>
      <c r="L1613" s="9" t="str">
        <f t="shared" si="189"/>
        <v/>
      </c>
      <c r="M1613" s="9"/>
      <c r="N1613" s="9"/>
      <c r="O1613" s="9"/>
      <c r="P1613" s="7" t="str">
        <f>IF($H1613="","FIYAT_YOK",IFERROR(VLOOKUP($D1613,FIYAT!$B:$P,15,FALSE()),""))</f>
        <v>FIYAT_YOK</v>
      </c>
      <c r="Q1613" s="7" t="s">
        <v>512</v>
      </c>
      <c r="R1613" s="9"/>
      <c r="S1613" s="9" t="s">
        <v>725</v>
      </c>
      <c r="T1613" s="9" t="s">
        <v>83</v>
      </c>
      <c r="U1613" s="9">
        <f>IFERROR(VLOOKUP($T1613,KURALLAR!$A$32:$B$63,2,FALSE()),0)*IF(ISNUMBER($I1613),$I1613,0)</f>
        <v>30</v>
      </c>
    </row>
    <row r="1614" spans="1:21" x14ac:dyDescent="0.25">
      <c r="A1614" s="5">
        <v>1613</v>
      </c>
      <c r="B1614" s="5"/>
      <c r="C1614" s="5" t="s">
        <v>81</v>
      </c>
      <c r="D1614" s="5" t="s">
        <v>513</v>
      </c>
      <c r="E1614" s="5" t="str">
        <f>IFERROR(VLOOKUP($D1614,FIYAT!$B:$O,2,FALSE()),"")</f>
        <v>Schneider PM2230 — анализатор сети, LCD, RS485, кл. 0,5S</v>
      </c>
      <c r="F1614" s="5">
        <f>IFERROR(VLOOKUP($D1614,FIYAT!$B:$O,5,FALSE()),"")</f>
        <v>0</v>
      </c>
      <c r="G1614" s="5" t="str">
        <f>IFERROR(VLOOKUP($D1614,FIYAT!$B:$O,8,FALSE()),"")</f>
        <v/>
      </c>
      <c r="H1614" s="5" t="str">
        <f t="shared" si="188"/>
        <v/>
      </c>
      <c r="I1614" s="6">
        <v>1</v>
      </c>
      <c r="J1614" s="5" t="str">
        <f>IFERROR(VLOOKUP($D1614,FIYAT!$B:$O,9,FALSE()),"")</f>
        <v>Шт.</v>
      </c>
      <c r="K1614" s="5" t="str">
        <f>IFERROR(VLOOKUP($D1614,FIYAT!$B:$O,4,FALSE()),"")</f>
        <v>SCHNEIDER</v>
      </c>
      <c r="L1614" s="5" t="str">
        <f t="shared" si="189"/>
        <v/>
      </c>
      <c r="M1614" s="5"/>
      <c r="N1614" s="5"/>
      <c r="O1614" s="5"/>
      <c r="P1614" s="7" t="str">
        <f>IF($H1614="","FIYAT_YOK",IFERROR(VLOOKUP($D1614,FIYAT!$B:$P,15,FALSE()),""))</f>
        <v>FIYAT_YOK</v>
      </c>
      <c r="Q1614" s="7" t="s">
        <v>515</v>
      </c>
      <c r="R1614" s="5"/>
      <c r="S1614" s="5" t="s">
        <v>725</v>
      </c>
      <c r="T1614" s="5" t="s">
        <v>81</v>
      </c>
      <c r="U1614" s="5">
        <f>IFERROR(VLOOKUP($T1614,KURALLAR!$A$32:$B$63,2,FALSE()),0)*IF(ISNUMBER($I1614),$I1614,0)</f>
        <v>30</v>
      </c>
    </row>
    <row r="1615" spans="1:21" x14ac:dyDescent="0.25">
      <c r="A1615" s="9">
        <v>1614</v>
      </c>
      <c r="B1615" s="9"/>
      <c r="C1615" s="9" t="s">
        <v>169</v>
      </c>
      <c r="D1615" s="9" t="s">
        <v>379</v>
      </c>
      <c r="E1615" s="9" t="str">
        <f>IFERROR(VLOOKUP($D1615,FIYAT!$B:$O,2,FALSE()),"")</f>
        <v>Авт. выкл. NM8N-400C TM 3P 400А 36кА с рег. термомаг. расцепителем (R)</v>
      </c>
      <c r="F1615" s="9">
        <f>IFERROR(VLOOKUP($D1615,FIYAT!$B:$O,5,FALSE()),"")</f>
        <v>208671</v>
      </c>
      <c r="G1615" s="9">
        <f>IFERROR(VLOOKUP($D1615,FIYAT!$B:$O,8,FALSE()),"")</f>
        <v>125202.59999999999</v>
      </c>
      <c r="H1615" s="9">
        <f t="shared" si="188"/>
        <v>125202.59999999999</v>
      </c>
      <c r="I1615" s="6">
        <v>1</v>
      </c>
      <c r="J1615" s="9" t="str">
        <f>IFERROR(VLOOKUP($D1615,FIYAT!$B:$O,9,FALSE()),"")</f>
        <v>Шт.</v>
      </c>
      <c r="K1615" s="9" t="str">
        <f>IFERROR(VLOOKUP($D1615,FIYAT!$B:$O,4,FALSE()),"")</f>
        <v>CHINT</v>
      </c>
      <c r="L1615" s="9">
        <f t="shared" si="189"/>
        <v>125202.59999999999</v>
      </c>
      <c r="M1615" s="9"/>
      <c r="N1615" s="9"/>
      <c r="O1615" s="9"/>
      <c r="P1615" s="9" t="str">
        <f>IF($H1615="","FIYAT_YOK",IFERROR(VLOOKUP($D1615,FIYAT!$B:$P,15,FALSE()),""))</f>
        <v>OK</v>
      </c>
      <c r="Q1615" s="9" t="s">
        <v>381</v>
      </c>
      <c r="R1615" s="9" t="s">
        <v>171</v>
      </c>
      <c r="S1615" s="9" t="s">
        <v>725</v>
      </c>
      <c r="T1615" s="9" t="s">
        <v>65</v>
      </c>
      <c r="U1615" s="9">
        <f>IFERROR(VLOOKUP($T1615,KURALLAR!$A$32:$B$63,2,FALSE()),0)*IF(ISNUMBER($I1615),$I1615,0)</f>
        <v>40</v>
      </c>
    </row>
    <row r="1616" spans="1:21" x14ac:dyDescent="0.25">
      <c r="A1616" s="5">
        <v>1615</v>
      </c>
      <c r="B1616" s="5"/>
      <c r="C1616" s="5" t="s">
        <v>169</v>
      </c>
      <c r="D1616" s="5" t="s">
        <v>367</v>
      </c>
      <c r="E1616" s="5" t="str">
        <f>IFERROR(VLOOKUP($D1616,FIYAT!$B:$O,2,FALSE()),"")</f>
        <v>Авт. выкл. NM8N-125C TM 3P 100А 36кА с рег. термомаг. расцепителем (R)</v>
      </c>
      <c r="F1616" s="5">
        <f>IFERROR(VLOOKUP($D1616,FIYAT!$B:$O,5,FALSE()),"")</f>
        <v>64169</v>
      </c>
      <c r="G1616" s="5">
        <f>IFERROR(VLOOKUP($D1616,FIYAT!$B:$O,8,FALSE()),"")</f>
        <v>38501.4</v>
      </c>
      <c r="H1616" s="5">
        <f t="shared" si="188"/>
        <v>115504.20000000001</v>
      </c>
      <c r="I1616" s="6">
        <v>3</v>
      </c>
      <c r="J1616" s="5" t="str">
        <f>IFERROR(VLOOKUP($D1616,FIYAT!$B:$O,9,FALSE()),"")</f>
        <v>Шт.</v>
      </c>
      <c r="K1616" s="5" t="str">
        <f>IFERROR(VLOOKUP($D1616,FIYAT!$B:$O,4,FALSE()),"")</f>
        <v>CHINT</v>
      </c>
      <c r="L1616" s="5">
        <f t="shared" si="189"/>
        <v>115504.20000000001</v>
      </c>
      <c r="M1616" s="5"/>
      <c r="N1616" s="5"/>
      <c r="O1616" s="5"/>
      <c r="P1616" s="5" t="str">
        <f>IF($H1616="","FIYAT_YOK",IFERROR(VLOOKUP($D1616,FIYAT!$B:$P,15,FALSE()),""))</f>
        <v>OK</v>
      </c>
      <c r="Q1616" s="5" t="s">
        <v>369</v>
      </c>
      <c r="R1616" s="5" t="s">
        <v>171</v>
      </c>
      <c r="S1616" s="5" t="s">
        <v>725</v>
      </c>
      <c r="T1616" s="5" t="s">
        <v>61</v>
      </c>
      <c r="U1616" s="5">
        <f>IFERROR(VLOOKUP($T1616,KURALLAR!$A$32:$B$63,2,FALSE()),0)*IF(ISNUMBER($I1616),$I1616,0)</f>
        <v>45</v>
      </c>
    </row>
    <row r="1617" spans="1:21" x14ac:dyDescent="0.25">
      <c r="A1617" s="9">
        <v>1616</v>
      </c>
      <c r="B1617" s="9"/>
      <c r="C1617" s="9" t="s">
        <v>169</v>
      </c>
      <c r="D1617" s="9" t="s">
        <v>231</v>
      </c>
      <c r="E1617" s="9" t="str">
        <f>IFERROR(VLOOKUP($D1617,FIYAT!$B:$O,2,FALSE()),"")</f>
        <v>Авт. выкл. NM8N-125C TM 3P 80А 36кА с рег. термомаг. расцепителем (R)</v>
      </c>
      <c r="F1617" s="9">
        <f>IFERROR(VLOOKUP($D1617,FIYAT!$B:$O,5,FALSE()),"")</f>
        <v>64129</v>
      </c>
      <c r="G1617" s="9">
        <f>IFERROR(VLOOKUP($D1617,FIYAT!$B:$O,8,FALSE()),"")</f>
        <v>38477.4</v>
      </c>
      <c r="H1617" s="9">
        <f t="shared" si="188"/>
        <v>115432.20000000001</v>
      </c>
      <c r="I1617" s="6">
        <v>3</v>
      </c>
      <c r="J1617" s="9" t="str">
        <f>IFERROR(VLOOKUP($D1617,FIYAT!$B:$O,9,FALSE()),"")</f>
        <v>Шт.</v>
      </c>
      <c r="K1617" s="9" t="str">
        <f>IFERROR(VLOOKUP($D1617,FIYAT!$B:$O,4,FALSE()),"")</f>
        <v>CHINT</v>
      </c>
      <c r="L1617" s="9">
        <f t="shared" si="189"/>
        <v>115432.20000000001</v>
      </c>
      <c r="M1617" s="9"/>
      <c r="N1617" s="9"/>
      <c r="O1617" s="9"/>
      <c r="P1617" s="9" t="str">
        <f>IF($H1617="","FIYAT_YOK",IFERROR(VLOOKUP($D1617,FIYAT!$B:$P,15,FALSE()),""))</f>
        <v>OK</v>
      </c>
      <c r="Q1617" s="9" t="s">
        <v>233</v>
      </c>
      <c r="R1617" s="9" t="s">
        <v>171</v>
      </c>
      <c r="S1617" s="9" t="s">
        <v>725</v>
      </c>
      <c r="T1617" s="9" t="s">
        <v>61</v>
      </c>
      <c r="U1617" s="9">
        <f>IFERROR(VLOOKUP($T1617,KURALLAR!$A$32:$B$63,2,FALSE()),0)*IF(ISNUMBER($I1617),$I1617,0)</f>
        <v>45</v>
      </c>
    </row>
    <row r="1618" spans="1:21" x14ac:dyDescent="0.25">
      <c r="A1618" s="5">
        <v>1617</v>
      </c>
      <c r="B1618" s="5"/>
      <c r="C1618" s="5" t="s">
        <v>169</v>
      </c>
      <c r="D1618" s="5" t="s">
        <v>350</v>
      </c>
      <c r="E1618" s="5" t="str">
        <f>IFERROR(VLOOKUP($D1618,FIYAT!$B:$O,2,FALSE()),"")</f>
        <v>Авт. выкл. NM8N-125C TM 3P 63А 36кА с рег. термомаг. расцепителем (R)</v>
      </c>
      <c r="F1618" s="5">
        <f>IFERROR(VLOOKUP($D1618,FIYAT!$B:$O,5,FALSE()),"")</f>
        <v>64066</v>
      </c>
      <c r="G1618" s="5">
        <f>IFERROR(VLOOKUP($D1618,FIYAT!$B:$O,8,FALSE()),"")</f>
        <v>38439.599999999999</v>
      </c>
      <c r="H1618" s="5">
        <f t="shared" si="188"/>
        <v>76879.199999999997</v>
      </c>
      <c r="I1618" s="6">
        <v>2</v>
      </c>
      <c r="J1618" s="5" t="str">
        <f>IFERROR(VLOOKUP($D1618,FIYAT!$B:$O,9,FALSE()),"")</f>
        <v>Шт.</v>
      </c>
      <c r="K1618" s="5" t="str">
        <f>IFERROR(VLOOKUP($D1618,FIYAT!$B:$O,4,FALSE()),"")</f>
        <v>CHINT</v>
      </c>
      <c r="L1618" s="5">
        <f t="shared" si="189"/>
        <v>76879.199999999997</v>
      </c>
      <c r="M1618" s="5"/>
      <c r="N1618" s="5"/>
      <c r="O1618" s="5"/>
      <c r="P1618" s="5" t="str">
        <f>IF($H1618="","FIYAT_YOK",IFERROR(VLOOKUP($D1618,FIYAT!$B:$P,15,FALSE()),""))</f>
        <v>MUADIL</v>
      </c>
      <c r="Q1618" s="5" t="s">
        <v>172</v>
      </c>
      <c r="R1618" s="5" t="s">
        <v>171</v>
      </c>
      <c r="S1618" s="5" t="s">
        <v>725</v>
      </c>
      <c r="T1618" s="5" t="s">
        <v>61</v>
      </c>
      <c r="U1618" s="5">
        <f>IFERROR(VLOOKUP($T1618,KURALLAR!$A$32:$B$63,2,FALSE()),0)*IF(ISNUMBER($I1618),$I1618,0)</f>
        <v>30</v>
      </c>
    </row>
    <row r="1619" spans="1:21" x14ac:dyDescent="0.25">
      <c r="A1619" s="9">
        <v>1618</v>
      </c>
      <c r="B1619" s="9"/>
      <c r="C1619" s="9" t="s">
        <v>253</v>
      </c>
      <c r="D1619" s="9" t="s">
        <v>251</v>
      </c>
      <c r="E1619" s="9" t="str">
        <f>IFERROR(VLOOKUP($D1619,FIYAT!$B:$O,2,FALSE()),"")</f>
        <v>Шина алюминиевая твёрдая (ШАТ)</v>
      </c>
      <c r="F1619" s="9">
        <f>IFERROR(VLOOKUP($D1619,FIYAT!$B:$O,5,FALSE()),"")</f>
        <v>4493.5999999999995</v>
      </c>
      <c r="G1619" s="9">
        <f>IFERROR(VLOOKUP($D1619,FIYAT!$B:$O,8,FALSE()),"")</f>
        <v>4493.5999999999995</v>
      </c>
      <c r="H1619" s="9">
        <f t="shared" si="188"/>
        <v>665052.79999999993</v>
      </c>
      <c r="I1619" s="6">
        <v>148</v>
      </c>
      <c r="J1619" s="9" t="str">
        <f>IFERROR(VLOOKUP($D1619,FIYAT!$B:$O,9,FALSE()),"")</f>
        <v>Кг.</v>
      </c>
      <c r="K1619" s="9" t="str">
        <f>IFERROR(VLOOKUP($D1619,FIYAT!$B:$O,4,FALSE()),"")</f>
        <v>ALUM-BARA</v>
      </c>
      <c r="L1619" s="9">
        <f t="shared" si="189"/>
        <v>665052.79999999993</v>
      </c>
      <c r="M1619" s="9"/>
      <c r="N1619" s="9"/>
      <c r="O1619" s="9"/>
      <c r="P1619" s="9" t="str">
        <f>IF($H1619="","FIYAT_YOK",IFERROR(VLOOKUP($D1619,FIYAT!$B:$P,15,FALSE()),""))</f>
        <v>VARSAYIM</v>
      </c>
      <c r="Q1619" s="9" t="s">
        <v>255</v>
      </c>
      <c r="R1619" s="9"/>
      <c r="S1619" s="9" t="s">
        <v>725</v>
      </c>
      <c r="T1619" s="9" t="s">
        <v>101</v>
      </c>
      <c r="U1619" s="9">
        <f>IFERROR(VLOOKUP($T1619,KURALLAR!$A$32:$B$63,2,FALSE()),0)*IF(ISNUMBER($I1619),$I1619,0)</f>
        <v>888</v>
      </c>
    </row>
    <row r="1620" spans="1:21" x14ac:dyDescent="0.25">
      <c r="A1620" s="5">
        <v>1619</v>
      </c>
      <c r="B1620" s="5"/>
      <c r="C1620" s="5" t="s">
        <v>222</v>
      </c>
      <c r="D1620" s="5" t="s">
        <v>256</v>
      </c>
      <c r="E1620" s="5" t="str">
        <f>IFERROR(VLOOKUP($D1620,FIYAT!$B:$O,2,FALSE()),"")</f>
        <v>Щит (moduler) 2000x800x800+100</v>
      </c>
      <c r="F1620" s="5">
        <f>IFERROR(VLOOKUP($D1620,FIYAT!$B:$O,5,FALSE()),"")</f>
        <v>197400</v>
      </c>
      <c r="G1620" s="5">
        <f>IFERROR(VLOOKUP($D1620,FIYAT!$B:$O,8,FALSE()),"")</f>
        <v>118440</v>
      </c>
      <c r="H1620" s="5">
        <f t="shared" si="188"/>
        <v>118440</v>
      </c>
      <c r="I1620" s="6">
        <v>1</v>
      </c>
      <c r="J1620" s="5" t="str">
        <f>IFERROR(VLOOKUP($D1620,FIYAT!$B:$O,9,FALSE()),"")</f>
        <v>Шт.</v>
      </c>
      <c r="K1620" s="5" t="str">
        <f>IFERROR(VLOOKUP($D1620,FIYAT!$B:$O,4,FALSE()),"")</f>
        <v>KAZTEK</v>
      </c>
      <c r="L1620" s="5">
        <f t="shared" si="189"/>
        <v>118440</v>
      </c>
      <c r="M1620" s="5"/>
      <c r="N1620" s="5"/>
      <c r="O1620" s="5"/>
      <c r="P1620" s="5" t="str">
        <f>IF($H1620="","FIYAT_YOK",IFERROR(VLOOKUP($D1620,FIYAT!$B:$P,15,FALSE()),""))</f>
        <v>VARSAYIM</v>
      </c>
      <c r="Q1620" s="5" t="s">
        <v>258</v>
      </c>
      <c r="R1620" s="5" t="s">
        <v>211</v>
      </c>
      <c r="S1620" s="5" t="s">
        <v>725</v>
      </c>
      <c r="T1620" s="5" t="s">
        <v>107</v>
      </c>
      <c r="U1620" s="5">
        <f>IFERROR(VLOOKUP($T1620,KURALLAR!$A$32:$B$63,2,FALSE()),0)*IF(ISNUMBER($I1620),$I1620,0)</f>
        <v>90</v>
      </c>
    </row>
    <row r="1621" spans="1:21" x14ac:dyDescent="0.25">
      <c r="A1621" s="9">
        <v>1620</v>
      </c>
      <c r="B1621" s="9"/>
      <c r="C1621" s="9" t="s">
        <v>215</v>
      </c>
      <c r="D1621" s="9" t="s">
        <v>213</v>
      </c>
      <c r="E1621" s="9" t="str">
        <f>IFERROR(VLOOKUP($D1621,FIYAT!$B:$O,2,FALSE()),"")</f>
        <v>Монтажный расходный материал (кабель, DIN-рейка, кабель-канал, клеммы, маркировка, крепёж)</v>
      </c>
      <c r="F1621" s="9">
        <f>IFERROR(VLOOKUP($D1621,FIYAT!$B:$O,5,FALSE()),"")</f>
        <v>0</v>
      </c>
      <c r="G1621" s="9" t="str">
        <f>IFERROR(VLOOKUP($D1621,FIYAT!$B:$O,8,FALSE()),"")</f>
        <v/>
      </c>
      <c r="H1621" s="9">
        <f>ROUND(SUM($H$1604:$H$1620)*KURALLAR!$B$28,0)</f>
        <v>100287</v>
      </c>
      <c r="I1621" s="6">
        <v>1</v>
      </c>
      <c r="J1621" s="9" t="str">
        <f>IFERROR(VLOOKUP($D1621,FIYAT!$B:$O,9,FALSE()),"")</f>
        <v>компл.</v>
      </c>
      <c r="K1621" s="9" t="str">
        <f>IFERROR(VLOOKUP($D1621,FIYAT!$B:$O,4,FALSE()),"")</f>
        <v>MUADIL-NET</v>
      </c>
      <c r="L1621" s="9">
        <f t="shared" si="189"/>
        <v>100287</v>
      </c>
      <c r="M1621" s="9"/>
      <c r="N1621" s="9"/>
      <c r="O1621" s="9"/>
      <c r="P1621" s="9" t="str">
        <f>IF($H1621="","FIYAT_YOK",IFERROR(VLOOKUP($D1621,FIYAT!$B:$P,15,FALSE()),""))</f>
        <v>ORAN</v>
      </c>
      <c r="Q1621" s="9" t="s">
        <v>218</v>
      </c>
      <c r="R1621" s="9" t="s">
        <v>217</v>
      </c>
      <c r="S1621" s="9" t="s">
        <v>725</v>
      </c>
      <c r="T1621" s="9"/>
      <c r="U1621" s="9">
        <v>0</v>
      </c>
    </row>
    <row r="1622" spans="1:21" x14ac:dyDescent="0.25">
      <c r="A1622" s="5">
        <v>1621</v>
      </c>
      <c r="B1622" s="5"/>
      <c r="C1622" s="5" t="s">
        <v>227</v>
      </c>
      <c r="D1622" s="5" t="s">
        <v>225</v>
      </c>
      <c r="E1622" s="5" t="str">
        <f>IFERROR(VLOOKUP($D1622,FIYAT!$B:$O,2,FALSE()),"")</f>
        <v>Сборка, кабелирование, маркировка, момент затяжки, испытания</v>
      </c>
      <c r="F1622" s="5">
        <f>IFERROR(VLOOKUP($D1622,FIYAT!$B:$O,5,FALSE()),"")</f>
        <v>100</v>
      </c>
      <c r="G1622" s="5">
        <f>IFERROR(VLOOKUP($D1622,FIYAT!$B:$O,8,FALSE()),"")</f>
        <v>100</v>
      </c>
      <c r="H1622" s="5">
        <f>IF(OR($G1622="",$I1622=""),"",$G1622*$I1622)</f>
        <v>160100</v>
      </c>
      <c r="I1622" s="6">
        <f>ROUND(SUM($U$1604:$U$1621)*KURALLAR!$B$27,0)</f>
        <v>1601</v>
      </c>
      <c r="J1622" s="5" t="str">
        <f>IFERROR(VLOOKUP($D1622,FIYAT!$B:$O,9,FALSE()),"")</f>
        <v>мин</v>
      </c>
      <c r="K1622" s="5" t="str">
        <f>IFERROR(VLOOKUP($D1622,FIYAT!$B:$O,4,FALSE()),"")</f>
        <v>ISCILIK</v>
      </c>
      <c r="L1622" s="5">
        <f t="shared" si="189"/>
        <v>160100</v>
      </c>
      <c r="M1622" s="5"/>
      <c r="N1622" s="5"/>
      <c r="O1622" s="5"/>
      <c r="P1622" s="5" t="str">
        <f>IF($H1622="","FIYAT_YOK",IFERROR(VLOOKUP($D1622,FIYAT!$B:$P,15,FALSE()),""))</f>
        <v>OK</v>
      </c>
      <c r="Q1622" s="5" t="str">
        <f>CONCATENATE("montaj+test iscilik: ",TEXT($I1622,"# ##0")," dk = ",TEXT($I1622/60,"0,00")," saat (norm x test/etiket carpani)")</f>
        <v>montaj+test iscilik: 1 601 dk = 26,68 saat (norm x test/etiket carpani)</v>
      </c>
      <c r="R1622" s="5" t="s">
        <v>229</v>
      </c>
      <c r="S1622" s="5" t="s">
        <v>725</v>
      </c>
      <c r="T1622" s="5"/>
      <c r="U1622" s="5">
        <v>0</v>
      </c>
    </row>
    <row r="1623" spans="1:21" x14ac:dyDescent="0.25">
      <c r="A1623" s="10">
        <v>1622</v>
      </c>
      <c r="B1623" s="10" t="s">
        <v>742</v>
      </c>
      <c r="C1623" s="10"/>
      <c r="D1623" s="10"/>
      <c r="E1623" s="10"/>
      <c r="F1623" s="10"/>
      <c r="G1623" s="10"/>
      <c r="H1623" s="10">
        <f>SUBTOTAL(9,H1604:H1622)</f>
        <v>1693059.4</v>
      </c>
      <c r="I1623" s="10"/>
      <c r="J1623" s="10"/>
      <c r="K1623" s="10"/>
      <c r="L1623" s="10">
        <f>SUBTOTAL(9,L1604:L1622)</f>
        <v>1693059.4</v>
      </c>
      <c r="M1623" s="10"/>
      <c r="N1623" s="10"/>
      <c r="O1623" s="10"/>
      <c r="P1623" s="10"/>
      <c r="Q1623" s="10"/>
      <c r="R1623" s="10"/>
      <c r="S1623" s="10"/>
      <c r="T1623" s="10"/>
      <c r="U1623" s="10">
        <f>SUBTOTAL(9,U1604:U1622)</f>
        <v>1392</v>
      </c>
    </row>
    <row r="1624" spans="1:21" x14ac:dyDescent="0.25">
      <c r="A1624" s="8">
        <v>1623</v>
      </c>
      <c r="B1624" s="8" t="str">
        <f>E1624</f>
        <v>LPS / Главный распределительный щит ИБП-АВР-LOT1В — НКУ 380/220В 50Гц, FORM 2B, IP31/54</v>
      </c>
      <c r="C1624" s="8" t="s">
        <v>545</v>
      </c>
      <c r="D1624" s="8"/>
      <c r="E1624" s="8" t="s">
        <v>743</v>
      </c>
      <c r="F1624" s="8"/>
      <c r="G1624" s="8"/>
      <c r="H1624" s="8"/>
      <c r="I1624" s="8">
        <v>1</v>
      </c>
      <c r="J1624" s="8" t="s">
        <v>547</v>
      </c>
      <c r="K1624" s="8"/>
      <c r="L1624" s="8"/>
      <c r="M1624" s="8"/>
      <c r="N1624" s="8"/>
      <c r="O1624" s="8"/>
      <c r="P1624" s="8" t="s">
        <v>178</v>
      </c>
      <c r="Q1624" s="8" t="s">
        <v>548</v>
      </c>
      <c r="R1624" s="8" t="s">
        <v>549</v>
      </c>
      <c r="S1624" s="8" t="s">
        <v>725</v>
      </c>
      <c r="T1624" s="8"/>
      <c r="U1624" s="8"/>
    </row>
    <row r="1625" spans="1:21" x14ac:dyDescent="0.25">
      <c r="A1625" s="9">
        <v>1624</v>
      </c>
      <c r="B1625" s="9"/>
      <c r="C1625" s="9" t="s">
        <v>169</v>
      </c>
      <c r="D1625" s="9" t="s">
        <v>350</v>
      </c>
      <c r="E1625" s="9" t="str">
        <f>IFERROR(VLOOKUP($D1625,FIYAT!$B:$O,2,FALSE()),"")</f>
        <v>Авт. выкл. NM8N-125C TM 3P 63А 36кА с рег. термомаг. расцепителем (R)</v>
      </c>
      <c r="F1625" s="9">
        <f>IFERROR(VLOOKUP($D1625,FIYAT!$B:$O,5,FALSE()),"")</f>
        <v>64066</v>
      </c>
      <c r="G1625" s="9">
        <f>IFERROR(VLOOKUP($D1625,FIYAT!$B:$O,8,FALSE()),"")</f>
        <v>38439.599999999999</v>
      </c>
      <c r="H1625" s="9">
        <f t="shared" ref="H1625:H1638" si="190">IF(OR($G1625="",$I1625=""),"",$G1625*$I1625)</f>
        <v>38439.599999999999</v>
      </c>
      <c r="I1625" s="6">
        <v>1</v>
      </c>
      <c r="J1625" s="9" t="str">
        <f>IFERROR(VLOOKUP($D1625,FIYAT!$B:$O,9,FALSE()),"")</f>
        <v>Шт.</v>
      </c>
      <c r="K1625" s="9" t="str">
        <f>IFERROR(VLOOKUP($D1625,FIYAT!$B:$O,4,FALSE()),"")</f>
        <v>CHINT</v>
      </c>
      <c r="L1625" s="9">
        <f t="shared" ref="L1625:L1640" si="191">IF($H1625="","",$H1625)</f>
        <v>38439.599999999999</v>
      </c>
      <c r="M1625" s="9"/>
      <c r="N1625" s="9"/>
      <c r="O1625" s="9"/>
      <c r="P1625" s="9" t="str">
        <f>IF($H1625="","FIYAT_YOK",IFERROR(VLOOKUP($D1625,FIYAT!$B:$P,15,FALSE()),""))</f>
        <v>MUADIL</v>
      </c>
      <c r="Q1625" s="9" t="s">
        <v>172</v>
      </c>
      <c r="R1625" s="9" t="s">
        <v>171</v>
      </c>
      <c r="S1625" s="9" t="s">
        <v>725</v>
      </c>
      <c r="T1625" s="9" t="s">
        <v>61</v>
      </c>
      <c r="U1625" s="9">
        <f>IFERROR(VLOOKUP($T1625,KURALLAR!$A$32:$B$63,2,FALSE()),0)*IF(ISNUMBER($I1625),$I1625,0)</f>
        <v>15</v>
      </c>
    </row>
    <row r="1626" spans="1:21" x14ac:dyDescent="0.25">
      <c r="A1626" s="5">
        <v>1625</v>
      </c>
      <c r="B1626" s="5"/>
      <c r="C1626" s="5" t="s">
        <v>192</v>
      </c>
      <c r="D1626" s="5" t="s">
        <v>238</v>
      </c>
      <c r="E1626" s="5" t="str">
        <f>IFERROR(VLOOKUP($D1626,FIYAT!$B:$O,2,FALSE()),"")</f>
        <v>Авт. выкл. NXB-63 1P 6A 6кА х-ка C (R)</v>
      </c>
      <c r="F1626" s="5">
        <f>IFERROR(VLOOKUP($D1626,FIYAT!$B:$O,5,FALSE()),"")</f>
        <v>1436</v>
      </c>
      <c r="G1626" s="5">
        <f>IFERROR(VLOOKUP($D1626,FIYAT!$B:$O,8,FALSE()),"")</f>
        <v>861.6</v>
      </c>
      <c r="H1626" s="5">
        <f t="shared" si="190"/>
        <v>6031.2</v>
      </c>
      <c r="I1626" s="6">
        <v>7</v>
      </c>
      <c r="J1626" s="5" t="str">
        <f>IFERROR(VLOOKUP($D1626,FIYAT!$B:$O,9,FALSE()),"")</f>
        <v>Шт.</v>
      </c>
      <c r="K1626" s="5" t="str">
        <f>IFERROR(VLOOKUP($D1626,FIYAT!$B:$O,4,FALSE()),"")</f>
        <v>CHINT</v>
      </c>
      <c r="L1626" s="5">
        <f t="shared" si="191"/>
        <v>6031.2</v>
      </c>
      <c r="M1626" s="5"/>
      <c r="N1626" s="5"/>
      <c r="O1626" s="5"/>
      <c r="P1626" s="5" t="str">
        <f>IF($H1626="","FIYAT_YOK",IFERROR(VLOOKUP($D1626,FIYAT!$B:$P,15,FALSE()),""))</f>
        <v>OK</v>
      </c>
      <c r="Q1626" s="5" t="s">
        <v>240</v>
      </c>
      <c r="R1626" s="5" t="s">
        <v>171</v>
      </c>
      <c r="S1626" s="5" t="s">
        <v>725</v>
      </c>
      <c r="T1626" s="5" t="s">
        <v>47</v>
      </c>
      <c r="U1626" s="5">
        <f>IFERROR(VLOOKUP($T1626,KURALLAR!$A$32:$B$63,2,FALSE()),0)*IF(ISNUMBER($I1626),$I1626,0)</f>
        <v>21</v>
      </c>
    </row>
    <row r="1627" spans="1:21" x14ac:dyDescent="0.25">
      <c r="A1627" s="9">
        <v>1626</v>
      </c>
      <c r="B1627" s="9"/>
      <c r="C1627" s="9" t="s">
        <v>89</v>
      </c>
      <c r="D1627" s="9" t="s">
        <v>241</v>
      </c>
      <c r="E1627" s="9" t="str">
        <f>IFERROR(VLOOKUP($D1627,FIYAT!$B:$O,2,FALSE()),"")</f>
        <v>Индикатор ND16-22DS/4 белый АС230В (R)</v>
      </c>
      <c r="F1627" s="9">
        <f>IFERROR(VLOOKUP($D1627,FIYAT!$B:$O,5,FALSE()),"")</f>
        <v>1047</v>
      </c>
      <c r="G1627" s="9">
        <f>IFERROR(VLOOKUP($D1627,FIYAT!$B:$O,8,FALSE()),"")</f>
        <v>628.19999999999993</v>
      </c>
      <c r="H1627" s="9">
        <f t="shared" si="190"/>
        <v>1884.6</v>
      </c>
      <c r="I1627" s="6">
        <v>3</v>
      </c>
      <c r="J1627" s="9" t="str">
        <f>IFERROR(VLOOKUP($D1627,FIYAT!$B:$O,9,FALSE()),"")</f>
        <v>Шт.</v>
      </c>
      <c r="K1627" s="9" t="str">
        <f>IFERROR(VLOOKUP($D1627,FIYAT!$B:$O,4,FALSE()),"")</f>
        <v>CHINT</v>
      </c>
      <c r="L1627" s="9">
        <f t="shared" si="191"/>
        <v>1884.6</v>
      </c>
      <c r="M1627" s="9"/>
      <c r="N1627" s="9"/>
      <c r="O1627" s="9"/>
      <c r="P1627" s="9" t="str">
        <f>IF($H1627="","FIYAT_YOK",IFERROR(VLOOKUP($D1627,FIYAT!$B:$P,15,FALSE()),""))</f>
        <v>OK</v>
      </c>
      <c r="Q1627" s="9" t="s">
        <v>243</v>
      </c>
      <c r="R1627" s="9" t="s">
        <v>184</v>
      </c>
      <c r="S1627" s="9" t="s">
        <v>725</v>
      </c>
      <c r="T1627" s="9" t="s">
        <v>89</v>
      </c>
      <c r="U1627" s="9">
        <f>IFERROR(VLOOKUP($T1627,KURALLAR!$A$32:$B$63,2,FALSE()),0)*IF(ISNUMBER($I1627),$I1627,0)</f>
        <v>12</v>
      </c>
    </row>
    <row r="1628" spans="1:21" x14ac:dyDescent="0.25">
      <c r="A1628" s="5">
        <v>1627</v>
      </c>
      <c r="B1628" s="5"/>
      <c r="C1628" s="5" t="s">
        <v>79</v>
      </c>
      <c r="D1628" s="5" t="s">
        <v>179</v>
      </c>
      <c r="E1628" s="5" t="str">
        <f>IFERROR(VLOOKUP($D1628,FIYAT!$B:$O,2,FALSE()),"")</f>
        <v>Держатель плавкой вставки RT36-00-160, габарит 00, 160А</v>
      </c>
      <c r="F1628" s="5">
        <f>IFERROR(VLOOKUP($D1628,FIYAT!$B:$O,5,FALSE()),"")</f>
        <v>2038</v>
      </c>
      <c r="G1628" s="5">
        <f>IFERROR(VLOOKUP($D1628,FIYAT!$B:$O,8,FALSE()),"")</f>
        <v>1222.8</v>
      </c>
      <c r="H1628" s="5">
        <f t="shared" si="190"/>
        <v>4891.2</v>
      </c>
      <c r="I1628" s="6">
        <v>4</v>
      </c>
      <c r="J1628" s="5" t="str">
        <f>IFERROR(VLOOKUP($D1628,FIYAT!$B:$O,9,FALSE()),"")</f>
        <v>Шт.</v>
      </c>
      <c r="K1628" s="5" t="str">
        <f>IFERROR(VLOOKUP($D1628,FIYAT!$B:$O,4,FALSE()),"")</f>
        <v>CHINT</v>
      </c>
      <c r="L1628" s="5">
        <f t="shared" si="191"/>
        <v>4891.2</v>
      </c>
      <c r="M1628" s="5"/>
      <c r="N1628" s="5"/>
      <c r="O1628" s="5"/>
      <c r="P1628" s="5" t="str">
        <f>IF($H1628="","FIYAT_YOK",IFERROR(VLOOKUP($D1628,FIYAT!$B:$P,15,FALSE()),""))</f>
        <v>MUADIL</v>
      </c>
      <c r="Q1628" s="5" t="s">
        <v>181</v>
      </c>
      <c r="R1628" s="5" t="s">
        <v>171</v>
      </c>
      <c r="S1628" s="5" t="s">
        <v>725</v>
      </c>
      <c r="T1628" s="5" t="s">
        <v>77</v>
      </c>
      <c r="U1628" s="5">
        <f>IFERROR(VLOOKUP($T1628,KURALLAR!$A$32:$B$63,2,FALSE()),0)*IF(ISNUMBER($I1628),$I1628,0)</f>
        <v>20</v>
      </c>
    </row>
    <row r="1629" spans="1:21" x14ac:dyDescent="0.25">
      <c r="A1629" s="9">
        <v>1628</v>
      </c>
      <c r="B1629" s="9"/>
      <c r="C1629" s="9" t="s">
        <v>79</v>
      </c>
      <c r="D1629" s="9" t="s">
        <v>182</v>
      </c>
      <c r="E1629" s="9" t="str">
        <f>IFERROR(VLOOKUP($D1629,FIYAT!$B:$O,2,FALSE()),"")</f>
        <v>Плавкая вставка предохранителя RT36-00-160, габарит 00, 63А</v>
      </c>
      <c r="F1629" s="9">
        <f>IFERROR(VLOOKUP($D1629,FIYAT!$B:$O,5,FALSE()),"")</f>
        <v>1525</v>
      </c>
      <c r="G1629" s="9">
        <f>IFERROR(VLOOKUP($D1629,FIYAT!$B:$O,8,FALSE()),"")</f>
        <v>915</v>
      </c>
      <c r="H1629" s="9">
        <f t="shared" si="190"/>
        <v>3660</v>
      </c>
      <c r="I1629" s="6">
        <v>4</v>
      </c>
      <c r="J1629" s="9" t="str">
        <f>IFERROR(VLOOKUP($D1629,FIYAT!$B:$O,9,FALSE()),"")</f>
        <v>Шт.</v>
      </c>
      <c r="K1629" s="9" t="str">
        <f>IFERROR(VLOOKUP($D1629,FIYAT!$B:$O,4,FALSE()),"")</f>
        <v>CHINT</v>
      </c>
      <c r="L1629" s="9">
        <f t="shared" si="191"/>
        <v>3660</v>
      </c>
      <c r="M1629" s="9"/>
      <c r="N1629" s="9"/>
      <c r="O1629" s="9"/>
      <c r="P1629" s="9" t="str">
        <f>IF($H1629="","FIYAT_YOK",IFERROR(VLOOKUP($D1629,FIYAT!$B:$P,15,FALSE()),""))</f>
        <v>MUADIL</v>
      </c>
      <c r="Q1629" s="9" t="s">
        <v>185</v>
      </c>
      <c r="R1629" s="9" t="s">
        <v>184</v>
      </c>
      <c r="S1629" s="9" t="s">
        <v>725</v>
      </c>
      <c r="T1629" s="9" t="s">
        <v>79</v>
      </c>
      <c r="U1629" s="9">
        <f>IFERROR(VLOOKUP($T1629,KURALLAR!$A$32:$B$63,2,FALSE()),0)*IF(ISNUMBER($I1629),$I1629,0)</f>
        <v>12</v>
      </c>
    </row>
    <row r="1630" spans="1:21" x14ac:dyDescent="0.25">
      <c r="A1630" s="5">
        <v>1629</v>
      </c>
      <c r="B1630" s="5"/>
      <c r="C1630" s="5" t="s">
        <v>75</v>
      </c>
      <c r="D1630" s="5" t="s">
        <v>186</v>
      </c>
      <c r="E1630" s="5" t="str">
        <f>IFERROR(VLOOKUP($D1630,FIYAT!$B:$O,2,FALSE()),"")</f>
        <v>Ограничитель имп. перенапр. NU6-IIG 4Р In=25kA Uc=440B Im=65kA (R)</v>
      </c>
      <c r="F1630" s="5">
        <f>IFERROR(VLOOKUP($D1630,FIYAT!$B:$O,5,FALSE()),"")</f>
        <v>33208</v>
      </c>
      <c r="G1630" s="5">
        <f>IFERROR(VLOOKUP($D1630,FIYAT!$B:$O,8,FALSE()),"")</f>
        <v>19924.8</v>
      </c>
      <c r="H1630" s="5">
        <f t="shared" si="190"/>
        <v>19924.8</v>
      </c>
      <c r="I1630" s="6">
        <v>1</v>
      </c>
      <c r="J1630" s="5" t="str">
        <f>IFERROR(VLOOKUP($D1630,FIYAT!$B:$O,9,FALSE()),"")</f>
        <v>Шт.</v>
      </c>
      <c r="K1630" s="5" t="str">
        <f>IFERROR(VLOOKUP($D1630,FIYAT!$B:$O,4,FALSE()),"")</f>
        <v>CHINT</v>
      </c>
      <c r="L1630" s="5">
        <f t="shared" si="191"/>
        <v>19924.8</v>
      </c>
      <c r="M1630" s="5"/>
      <c r="N1630" s="5"/>
      <c r="O1630" s="5"/>
      <c r="P1630" s="5" t="str">
        <f>IF($H1630="","FIYAT_YOK",IFERROR(VLOOKUP($D1630,FIYAT!$B:$P,15,FALSE()),""))</f>
        <v>MUADIL_ONAY</v>
      </c>
      <c r="Q1630" s="5" t="s">
        <v>188</v>
      </c>
      <c r="R1630" s="5" t="s">
        <v>184</v>
      </c>
      <c r="S1630" s="5" t="s">
        <v>725</v>
      </c>
      <c r="T1630" s="5" t="s">
        <v>75</v>
      </c>
      <c r="U1630" s="5">
        <f>IFERROR(VLOOKUP($T1630,KURALLAR!$A$32:$B$63,2,FALSE()),0)*IF(ISNUMBER($I1630),$I1630,0)</f>
        <v>10</v>
      </c>
    </row>
    <row r="1631" spans="1:21" x14ac:dyDescent="0.25">
      <c r="A1631" s="9">
        <v>1630</v>
      </c>
      <c r="B1631" s="9"/>
      <c r="C1631" s="9" t="s">
        <v>83</v>
      </c>
      <c r="D1631" s="9" t="s">
        <v>522</v>
      </c>
      <c r="E1631" s="9" t="str">
        <f>IFERROR(VLOOKUP($D1631,FIYAT!$B:$O,2,FALSE()),"")</f>
        <v>Трансформатор тока 50/5А кл. 0,5 — CHINT листинге нет</v>
      </c>
      <c r="F1631" s="9">
        <f>IFERROR(VLOOKUP($D1631,FIYAT!$B:$O,5,FALSE()),"")</f>
        <v>0</v>
      </c>
      <c r="G1631" s="9" t="str">
        <f>IFERROR(VLOOKUP($D1631,FIYAT!$B:$O,8,FALSE()),"")</f>
        <v/>
      </c>
      <c r="H1631" s="9" t="str">
        <f t="shared" si="190"/>
        <v/>
      </c>
      <c r="I1631" s="6">
        <v>3</v>
      </c>
      <c r="J1631" s="9" t="str">
        <f>IFERROR(VLOOKUP($D1631,FIYAT!$B:$O,9,FALSE()),"")</f>
        <v>Шт.</v>
      </c>
      <c r="K1631" s="9" t="str">
        <f>IFERROR(VLOOKUP($D1631,FIYAT!$B:$O,4,FALSE()),"")</f>
        <v>MUADIL-NET</v>
      </c>
      <c r="L1631" s="9" t="str">
        <f t="shared" si="191"/>
        <v/>
      </c>
      <c r="M1631" s="9"/>
      <c r="N1631" s="9"/>
      <c r="O1631" s="9"/>
      <c r="P1631" s="7" t="str">
        <f>IF($H1631="","FIYAT_YOK",IFERROR(VLOOKUP($D1631,FIYAT!$B:$P,15,FALSE()),""))</f>
        <v>FIYAT_YOK</v>
      </c>
      <c r="Q1631" s="7" t="s">
        <v>524</v>
      </c>
      <c r="R1631" s="9"/>
      <c r="S1631" s="9" t="s">
        <v>725</v>
      </c>
      <c r="T1631" s="9" t="s">
        <v>83</v>
      </c>
      <c r="U1631" s="9">
        <f>IFERROR(VLOOKUP($T1631,KURALLAR!$A$32:$B$63,2,FALSE()),0)*IF(ISNUMBER($I1631),$I1631,0)</f>
        <v>30</v>
      </c>
    </row>
    <row r="1632" spans="1:21" x14ac:dyDescent="0.25">
      <c r="A1632" s="5">
        <v>1631</v>
      </c>
      <c r="B1632" s="5"/>
      <c r="C1632" s="5" t="s">
        <v>81</v>
      </c>
      <c r="D1632" s="5" t="s">
        <v>513</v>
      </c>
      <c r="E1632" s="5" t="str">
        <f>IFERROR(VLOOKUP($D1632,FIYAT!$B:$O,2,FALSE()),"")</f>
        <v>Schneider PM2230 — анализатор сети, LCD, RS485, кл. 0,5S</v>
      </c>
      <c r="F1632" s="5">
        <f>IFERROR(VLOOKUP($D1632,FIYAT!$B:$O,5,FALSE()),"")</f>
        <v>0</v>
      </c>
      <c r="G1632" s="5" t="str">
        <f>IFERROR(VLOOKUP($D1632,FIYAT!$B:$O,8,FALSE()),"")</f>
        <v/>
      </c>
      <c r="H1632" s="5" t="str">
        <f t="shared" si="190"/>
        <v/>
      </c>
      <c r="I1632" s="6">
        <v>1</v>
      </c>
      <c r="J1632" s="5" t="str">
        <f>IFERROR(VLOOKUP($D1632,FIYAT!$B:$O,9,FALSE()),"")</f>
        <v>Шт.</v>
      </c>
      <c r="K1632" s="5" t="str">
        <f>IFERROR(VLOOKUP($D1632,FIYAT!$B:$O,4,FALSE()),"")</f>
        <v>SCHNEIDER</v>
      </c>
      <c r="L1632" s="5" t="str">
        <f t="shared" si="191"/>
        <v/>
      </c>
      <c r="M1632" s="5"/>
      <c r="N1632" s="5"/>
      <c r="O1632" s="5"/>
      <c r="P1632" s="7" t="str">
        <f>IF($H1632="","FIYAT_YOK",IFERROR(VLOOKUP($D1632,FIYAT!$B:$P,15,FALSE()),""))</f>
        <v>FIYAT_YOK</v>
      </c>
      <c r="Q1632" s="7" t="s">
        <v>515</v>
      </c>
      <c r="R1632" s="5"/>
      <c r="S1632" s="5" t="s">
        <v>725</v>
      </c>
      <c r="T1632" s="5" t="s">
        <v>81</v>
      </c>
      <c r="U1632" s="5">
        <f>IFERROR(VLOOKUP($T1632,KURALLAR!$A$32:$B$63,2,FALSE()),0)*IF(ISNUMBER($I1632),$I1632,0)</f>
        <v>30</v>
      </c>
    </row>
    <row r="1633" spans="1:21" x14ac:dyDescent="0.25">
      <c r="A1633" s="9">
        <v>1632</v>
      </c>
      <c r="B1633" s="9"/>
      <c r="C1633" s="9" t="s">
        <v>169</v>
      </c>
      <c r="D1633" s="9" t="s">
        <v>259</v>
      </c>
      <c r="E1633" s="9" t="str">
        <f>IFERROR(VLOOKUP($D1633,FIYAT!$B:$O,2,FALSE()),"")</f>
        <v>Авт. выкл. NM8N-125C TM 3P 50А 36кА с рег. термомаг. расцепителем (R)</v>
      </c>
      <c r="F1633" s="9">
        <f>IFERROR(VLOOKUP($D1633,FIYAT!$B:$O,5,FALSE()),"")</f>
        <v>68025</v>
      </c>
      <c r="G1633" s="9">
        <f>IFERROR(VLOOKUP($D1633,FIYAT!$B:$O,8,FALSE()),"")</f>
        <v>40815</v>
      </c>
      <c r="H1633" s="9">
        <f t="shared" si="190"/>
        <v>122445</v>
      </c>
      <c r="I1633" s="6">
        <v>3</v>
      </c>
      <c r="J1633" s="9" t="str">
        <f>IFERROR(VLOOKUP($D1633,FIYAT!$B:$O,9,FALSE()),"")</f>
        <v>Шт.</v>
      </c>
      <c r="K1633" s="9" t="str">
        <f>IFERROR(VLOOKUP($D1633,FIYAT!$B:$O,4,FALSE()),"")</f>
        <v>CHINT</v>
      </c>
      <c r="L1633" s="9">
        <f t="shared" si="191"/>
        <v>122445</v>
      </c>
      <c r="M1633" s="9"/>
      <c r="N1633" s="9"/>
      <c r="O1633" s="9"/>
      <c r="P1633" s="9" t="str">
        <f>IF($H1633="","FIYAT_YOK",IFERROR(VLOOKUP($D1633,FIYAT!$B:$P,15,FALSE()),""))</f>
        <v>MUADIL</v>
      </c>
      <c r="Q1633" s="9" t="s">
        <v>172</v>
      </c>
      <c r="R1633" s="9" t="s">
        <v>171</v>
      </c>
      <c r="S1633" s="9" t="s">
        <v>725</v>
      </c>
      <c r="T1633" s="9" t="s">
        <v>61</v>
      </c>
      <c r="U1633" s="9">
        <f>IFERROR(VLOOKUP($T1633,KURALLAR!$A$32:$B$63,2,FALSE()),0)*IF(ISNUMBER($I1633),$I1633,0)</f>
        <v>45</v>
      </c>
    </row>
    <row r="1634" spans="1:21" x14ac:dyDescent="0.25">
      <c r="A1634" s="5">
        <v>1633</v>
      </c>
      <c r="B1634" s="5"/>
      <c r="C1634" s="5" t="s">
        <v>169</v>
      </c>
      <c r="D1634" s="5" t="s">
        <v>276</v>
      </c>
      <c r="E1634" s="5" t="str">
        <f>IFERROR(VLOOKUP($D1634,FIYAT!$B:$O,2,FALSE()),"")</f>
        <v>Авт. выкл. NM8N-125C TM 3P 40А 36кА с рег. термомаг. расцепителем (R)</v>
      </c>
      <c r="F1634" s="5">
        <f>IFERROR(VLOOKUP($D1634,FIYAT!$B:$O,5,FALSE()),"")</f>
        <v>68418</v>
      </c>
      <c r="G1634" s="5">
        <f>IFERROR(VLOOKUP($D1634,FIYAT!$B:$O,8,FALSE()),"")</f>
        <v>41050.799999999996</v>
      </c>
      <c r="H1634" s="5">
        <f t="shared" si="190"/>
        <v>287355.59999999998</v>
      </c>
      <c r="I1634" s="6">
        <v>7</v>
      </c>
      <c r="J1634" s="5" t="str">
        <f>IFERROR(VLOOKUP($D1634,FIYAT!$B:$O,9,FALSE()),"")</f>
        <v>Шт.</v>
      </c>
      <c r="K1634" s="5" t="str">
        <f>IFERROR(VLOOKUP($D1634,FIYAT!$B:$O,4,FALSE()),"")</f>
        <v>CHINT</v>
      </c>
      <c r="L1634" s="5">
        <f t="shared" si="191"/>
        <v>287355.59999999998</v>
      </c>
      <c r="M1634" s="5"/>
      <c r="N1634" s="5"/>
      <c r="O1634" s="5"/>
      <c r="P1634" s="5" t="str">
        <f>IF($H1634="","FIYAT_YOK",IFERROR(VLOOKUP($D1634,FIYAT!$B:$P,15,FALSE()),""))</f>
        <v>MUADIL</v>
      </c>
      <c r="Q1634" s="5" t="s">
        <v>172</v>
      </c>
      <c r="R1634" s="5" t="s">
        <v>171</v>
      </c>
      <c r="S1634" s="5" t="s">
        <v>725</v>
      </c>
      <c r="T1634" s="5" t="s">
        <v>61</v>
      </c>
      <c r="U1634" s="5">
        <f>IFERROR(VLOOKUP($T1634,KURALLAR!$A$32:$B$63,2,FALSE()),0)*IF(ISNUMBER($I1634),$I1634,0)</f>
        <v>105</v>
      </c>
    </row>
    <row r="1635" spans="1:21" x14ac:dyDescent="0.25">
      <c r="A1635" s="9">
        <v>1634</v>
      </c>
      <c r="B1635" s="9"/>
      <c r="C1635" s="9" t="s">
        <v>169</v>
      </c>
      <c r="D1635" s="9" t="s">
        <v>167</v>
      </c>
      <c r="E1635" s="9" t="str">
        <f>IFERROR(VLOOKUP($D1635,FIYAT!$B:$O,2,FALSE()),"")</f>
        <v>Авт. выкл. NM8N-125C TM 3P 32А 36кА с рег. термомаг. расцепителем (R)</v>
      </c>
      <c r="F1635" s="9">
        <f>IFERROR(VLOOKUP($D1635,FIYAT!$B:$O,5,FALSE()),"")</f>
        <v>64667</v>
      </c>
      <c r="G1635" s="9">
        <f>IFERROR(VLOOKUP($D1635,FIYAT!$B:$O,8,FALSE()),"")</f>
        <v>38800.199999999997</v>
      </c>
      <c r="H1635" s="9">
        <f t="shared" si="190"/>
        <v>155200.79999999999</v>
      </c>
      <c r="I1635" s="6">
        <v>4</v>
      </c>
      <c r="J1635" s="9" t="str">
        <f>IFERROR(VLOOKUP($D1635,FIYAT!$B:$O,9,FALSE()),"")</f>
        <v>Шт.</v>
      </c>
      <c r="K1635" s="9" t="str">
        <f>IFERROR(VLOOKUP($D1635,FIYAT!$B:$O,4,FALSE()),"")</f>
        <v>CHINT</v>
      </c>
      <c r="L1635" s="9">
        <f t="shared" si="191"/>
        <v>155200.79999999999</v>
      </c>
      <c r="M1635" s="9"/>
      <c r="N1635" s="9"/>
      <c r="O1635" s="9"/>
      <c r="P1635" s="9" t="str">
        <f>IF($H1635="","FIYAT_YOK",IFERROR(VLOOKUP($D1635,FIYAT!$B:$P,15,FALSE()),""))</f>
        <v>MUADIL</v>
      </c>
      <c r="Q1635" s="9" t="s">
        <v>172</v>
      </c>
      <c r="R1635" s="9" t="s">
        <v>171</v>
      </c>
      <c r="S1635" s="9" t="s">
        <v>725</v>
      </c>
      <c r="T1635" s="9" t="s">
        <v>61</v>
      </c>
      <c r="U1635" s="9">
        <f>IFERROR(VLOOKUP($T1635,KURALLAR!$A$32:$B$63,2,FALSE()),0)*IF(ISNUMBER($I1635),$I1635,0)</f>
        <v>60</v>
      </c>
    </row>
    <row r="1636" spans="1:21" x14ac:dyDescent="0.25">
      <c r="A1636" s="5">
        <v>1635</v>
      </c>
      <c r="B1636" s="5"/>
      <c r="C1636" s="5" t="s">
        <v>169</v>
      </c>
      <c r="D1636" s="5" t="s">
        <v>327</v>
      </c>
      <c r="E1636" s="5" t="str">
        <f>IFERROR(VLOOKUP($D1636,FIYAT!$B:$O,2,FALSE()),"")</f>
        <v>Авт. выкл. NM8N-125C TM 3P 25А 36кА с рег. термомаг. расцепителем (R)</v>
      </c>
      <c r="F1636" s="5">
        <f>IFERROR(VLOOKUP($D1636,FIYAT!$B:$O,5,FALSE()),"")</f>
        <v>65063</v>
      </c>
      <c r="G1636" s="5">
        <f>IFERROR(VLOOKUP($D1636,FIYAT!$B:$O,8,FALSE()),"")</f>
        <v>39037.799999999996</v>
      </c>
      <c r="H1636" s="5">
        <f t="shared" si="190"/>
        <v>117113.4</v>
      </c>
      <c r="I1636" s="6">
        <v>3</v>
      </c>
      <c r="J1636" s="5" t="str">
        <f>IFERROR(VLOOKUP($D1636,FIYAT!$B:$O,9,FALSE()),"")</f>
        <v>Шт.</v>
      </c>
      <c r="K1636" s="5" t="str">
        <f>IFERROR(VLOOKUP($D1636,FIYAT!$B:$O,4,FALSE()),"")</f>
        <v>CHINT</v>
      </c>
      <c r="L1636" s="5">
        <f t="shared" si="191"/>
        <v>117113.4</v>
      </c>
      <c r="M1636" s="5"/>
      <c r="N1636" s="5"/>
      <c r="O1636" s="5"/>
      <c r="P1636" s="5" t="str">
        <f>IF($H1636="","FIYAT_YOK",IFERROR(VLOOKUP($D1636,FIYAT!$B:$P,15,FALSE()),""))</f>
        <v>MUADIL</v>
      </c>
      <c r="Q1636" s="5" t="s">
        <v>172</v>
      </c>
      <c r="R1636" s="5" t="s">
        <v>171</v>
      </c>
      <c r="S1636" s="5" t="s">
        <v>725</v>
      </c>
      <c r="T1636" s="5" t="s">
        <v>61</v>
      </c>
      <c r="U1636" s="5">
        <f>IFERROR(VLOOKUP($T1636,KURALLAR!$A$32:$B$63,2,FALSE()),0)*IF(ISNUMBER($I1636),$I1636,0)</f>
        <v>45</v>
      </c>
    </row>
    <row r="1637" spans="1:21" x14ac:dyDescent="0.25">
      <c r="A1637" s="9">
        <v>1636</v>
      </c>
      <c r="B1637" s="9"/>
      <c r="C1637" s="9" t="s">
        <v>253</v>
      </c>
      <c r="D1637" s="9" t="s">
        <v>251</v>
      </c>
      <c r="E1637" s="9" t="str">
        <f>IFERROR(VLOOKUP($D1637,FIYAT!$B:$O,2,FALSE()),"")</f>
        <v>Шина алюминиевая твёрдая (ШАТ)</v>
      </c>
      <c r="F1637" s="9">
        <f>IFERROR(VLOOKUP($D1637,FIYAT!$B:$O,5,FALSE()),"")</f>
        <v>4493.5999999999995</v>
      </c>
      <c r="G1637" s="9">
        <f>IFERROR(VLOOKUP($D1637,FIYAT!$B:$O,8,FALSE()),"")</f>
        <v>4493.5999999999995</v>
      </c>
      <c r="H1637" s="9">
        <f t="shared" si="190"/>
        <v>40442.399999999994</v>
      </c>
      <c r="I1637" s="6">
        <v>9</v>
      </c>
      <c r="J1637" s="9" t="str">
        <f>IFERROR(VLOOKUP($D1637,FIYAT!$B:$O,9,FALSE()),"")</f>
        <v>Кг.</v>
      </c>
      <c r="K1637" s="9" t="str">
        <f>IFERROR(VLOOKUP($D1637,FIYAT!$B:$O,4,FALSE()),"")</f>
        <v>ALUM-BARA</v>
      </c>
      <c r="L1637" s="9">
        <f t="shared" si="191"/>
        <v>40442.399999999994</v>
      </c>
      <c r="M1637" s="9"/>
      <c r="N1637" s="9"/>
      <c r="O1637" s="9"/>
      <c r="P1637" s="9" t="str">
        <f>IF($H1637="","FIYAT_YOK",IFERROR(VLOOKUP($D1637,FIYAT!$B:$P,15,FALSE()),""))</f>
        <v>VARSAYIM</v>
      </c>
      <c r="Q1637" s="9" t="s">
        <v>255</v>
      </c>
      <c r="R1637" s="9"/>
      <c r="S1637" s="9" t="s">
        <v>725</v>
      </c>
      <c r="T1637" s="9" t="s">
        <v>101</v>
      </c>
      <c r="U1637" s="9">
        <f>IFERROR(VLOOKUP($T1637,KURALLAR!$A$32:$B$63,2,FALSE()),0)*IF(ISNUMBER($I1637),$I1637,0)</f>
        <v>54</v>
      </c>
    </row>
    <row r="1638" spans="1:21" x14ac:dyDescent="0.25">
      <c r="A1638" s="5">
        <v>1637</v>
      </c>
      <c r="B1638" s="5"/>
      <c r="C1638" s="5" t="s">
        <v>222</v>
      </c>
      <c r="D1638" s="5" t="s">
        <v>261</v>
      </c>
      <c r="E1638" s="5" t="str">
        <f>IFERROR(VLOOKUP($D1638,FIYAT!$B:$O,2,FALSE()),"")</f>
        <v>Мет. Щит (2000x700x500) +10CM BAZA IP54</v>
      </c>
      <c r="F1638" s="5">
        <f>IFERROR(VLOOKUP($D1638,FIYAT!$B:$O,5,FALSE()),"")</f>
        <v>117250</v>
      </c>
      <c r="G1638" s="5">
        <f>IFERROR(VLOOKUP($D1638,FIYAT!$B:$O,8,FALSE()),"")</f>
        <v>70350</v>
      </c>
      <c r="H1638" s="5">
        <f t="shared" si="190"/>
        <v>70350</v>
      </c>
      <c r="I1638" s="6">
        <v>1</v>
      </c>
      <c r="J1638" s="5" t="str">
        <f>IFERROR(VLOOKUP($D1638,FIYAT!$B:$O,9,FALSE()),"")</f>
        <v>Шт.</v>
      </c>
      <c r="K1638" s="5" t="str">
        <f>IFERROR(VLOOKUP($D1638,FIYAT!$B:$O,4,FALSE()),"")</f>
        <v>KAZTEK</v>
      </c>
      <c r="L1638" s="5">
        <f t="shared" si="191"/>
        <v>70350</v>
      </c>
      <c r="M1638" s="5"/>
      <c r="N1638" s="5"/>
      <c r="O1638" s="5"/>
      <c r="P1638" s="5" t="str">
        <f>IF($H1638="","FIYAT_YOK",IFERROR(VLOOKUP($D1638,FIYAT!$B:$P,15,FALSE()),""))</f>
        <v>VARSAYIM</v>
      </c>
      <c r="Q1638" s="5" t="s">
        <v>263</v>
      </c>
      <c r="R1638" s="5" t="s">
        <v>211</v>
      </c>
      <c r="S1638" s="5" t="s">
        <v>725</v>
      </c>
      <c r="T1638" s="5" t="s">
        <v>107</v>
      </c>
      <c r="U1638" s="5">
        <f>IFERROR(VLOOKUP($T1638,KURALLAR!$A$32:$B$63,2,FALSE()),0)*IF(ISNUMBER($I1638),$I1638,0)</f>
        <v>90</v>
      </c>
    </row>
    <row r="1639" spans="1:21" x14ac:dyDescent="0.25">
      <c r="A1639" s="9">
        <v>1638</v>
      </c>
      <c r="B1639" s="9"/>
      <c r="C1639" s="9" t="s">
        <v>215</v>
      </c>
      <c r="D1639" s="9" t="s">
        <v>213</v>
      </c>
      <c r="E1639" s="9" t="str">
        <f>IFERROR(VLOOKUP($D1639,FIYAT!$B:$O,2,FALSE()),"")</f>
        <v>Монтажный расходный материал (кабель, DIN-рейка, кабель-канал, клеммы, маркировка, крепёж)</v>
      </c>
      <c r="F1639" s="9">
        <f>IFERROR(VLOOKUP($D1639,FIYAT!$B:$O,5,FALSE()),"")</f>
        <v>0</v>
      </c>
      <c r="G1639" s="9" t="str">
        <f>IFERROR(VLOOKUP($D1639,FIYAT!$B:$O,8,FALSE()),"")</f>
        <v/>
      </c>
      <c r="H1639" s="9">
        <f>ROUND(SUM($H$1625:$H$1638)*KURALLAR!$B$28,0)</f>
        <v>60742</v>
      </c>
      <c r="I1639" s="6">
        <v>1</v>
      </c>
      <c r="J1639" s="9" t="str">
        <f>IFERROR(VLOOKUP($D1639,FIYAT!$B:$O,9,FALSE()),"")</f>
        <v>компл.</v>
      </c>
      <c r="K1639" s="9" t="str">
        <f>IFERROR(VLOOKUP($D1639,FIYAT!$B:$O,4,FALSE()),"")</f>
        <v>MUADIL-NET</v>
      </c>
      <c r="L1639" s="9">
        <f t="shared" si="191"/>
        <v>60742</v>
      </c>
      <c r="M1639" s="9"/>
      <c r="N1639" s="9"/>
      <c r="O1639" s="9"/>
      <c r="P1639" s="9" t="str">
        <f>IF($H1639="","FIYAT_YOK",IFERROR(VLOOKUP($D1639,FIYAT!$B:$P,15,FALSE()),""))</f>
        <v>ORAN</v>
      </c>
      <c r="Q1639" s="9" t="s">
        <v>218</v>
      </c>
      <c r="R1639" s="9" t="s">
        <v>217</v>
      </c>
      <c r="S1639" s="9" t="s">
        <v>725</v>
      </c>
      <c r="T1639" s="9"/>
      <c r="U1639" s="9">
        <v>0</v>
      </c>
    </row>
    <row r="1640" spans="1:21" x14ac:dyDescent="0.25">
      <c r="A1640" s="5">
        <v>1639</v>
      </c>
      <c r="B1640" s="5"/>
      <c r="C1640" s="5" t="s">
        <v>227</v>
      </c>
      <c r="D1640" s="5" t="s">
        <v>225</v>
      </c>
      <c r="E1640" s="5" t="str">
        <f>IFERROR(VLOOKUP($D1640,FIYAT!$B:$O,2,FALSE()),"")</f>
        <v>Сборка, кабелирование, маркировка, момент затяжки, испытания</v>
      </c>
      <c r="F1640" s="5">
        <f>IFERROR(VLOOKUP($D1640,FIYAT!$B:$O,5,FALSE()),"")</f>
        <v>100</v>
      </c>
      <c r="G1640" s="5">
        <f>IFERROR(VLOOKUP($D1640,FIYAT!$B:$O,8,FALSE()),"")</f>
        <v>100</v>
      </c>
      <c r="H1640" s="5">
        <f>IF(OR($G1640="",$I1640=""),"",$G1640*$I1640)</f>
        <v>63100</v>
      </c>
      <c r="I1640" s="6">
        <f>ROUND(SUM($U$1625:$U$1639)*KURALLAR!$B$27,0)</f>
        <v>631</v>
      </c>
      <c r="J1640" s="5" t="str">
        <f>IFERROR(VLOOKUP($D1640,FIYAT!$B:$O,9,FALSE()),"")</f>
        <v>мин</v>
      </c>
      <c r="K1640" s="5" t="str">
        <f>IFERROR(VLOOKUP($D1640,FIYAT!$B:$O,4,FALSE()),"")</f>
        <v>ISCILIK</v>
      </c>
      <c r="L1640" s="5">
        <f t="shared" si="191"/>
        <v>63100</v>
      </c>
      <c r="M1640" s="5"/>
      <c r="N1640" s="5"/>
      <c r="O1640" s="5"/>
      <c r="P1640" s="5" t="str">
        <f>IF($H1640="","FIYAT_YOK",IFERROR(VLOOKUP($D1640,FIYAT!$B:$P,15,FALSE()),""))</f>
        <v>OK</v>
      </c>
      <c r="Q1640" s="5" t="str">
        <f>CONCATENATE("montaj+test iscilik: ",TEXT($I1640,"# ##0")," dk = ",TEXT($I1640/60,"0,00")," saat (norm x test/etiket carpani)")</f>
        <v>montaj+test iscilik:  631 dk = 10,52 saat (norm x test/etiket carpani)</v>
      </c>
      <c r="R1640" s="5" t="s">
        <v>229</v>
      </c>
      <c r="S1640" s="5" t="s">
        <v>725</v>
      </c>
      <c r="T1640" s="5"/>
      <c r="U1640" s="5">
        <v>0</v>
      </c>
    </row>
    <row r="1641" spans="1:21" x14ac:dyDescent="0.25">
      <c r="A1641" s="10">
        <v>1640</v>
      </c>
      <c r="B1641" s="10" t="s">
        <v>744</v>
      </c>
      <c r="C1641" s="10"/>
      <c r="D1641" s="10"/>
      <c r="E1641" s="10"/>
      <c r="F1641" s="10"/>
      <c r="G1641" s="10"/>
      <c r="H1641" s="10">
        <f>SUBTOTAL(9,H1625:H1640)</f>
        <v>991580.60000000009</v>
      </c>
      <c r="I1641" s="10"/>
      <c r="J1641" s="10"/>
      <c r="K1641" s="10"/>
      <c r="L1641" s="10">
        <f>SUBTOTAL(9,L1625:L1640)</f>
        <v>991580.60000000009</v>
      </c>
      <c r="M1641" s="10"/>
      <c r="N1641" s="10"/>
      <c r="O1641" s="10"/>
      <c r="P1641" s="10"/>
      <c r="Q1641" s="10"/>
      <c r="R1641" s="10"/>
      <c r="S1641" s="10"/>
      <c r="T1641" s="10"/>
      <c r="U1641" s="10">
        <f>SUBTOTAL(9,U1625:U1640)</f>
        <v>549</v>
      </c>
    </row>
    <row r="1642" spans="1:21" x14ac:dyDescent="0.25">
      <c r="A1642" s="8">
        <v>1641</v>
      </c>
      <c r="B1642" s="8" t="str">
        <f>E1642</f>
        <v>LPS / Общий распределительный щит ЩС-LOT1В — НКУ 380/220В 50Гц, FORM 2B, IP31/54</v>
      </c>
      <c r="C1642" s="8" t="s">
        <v>545</v>
      </c>
      <c r="D1642" s="8"/>
      <c r="E1642" s="8" t="s">
        <v>745</v>
      </c>
      <c r="F1642" s="8"/>
      <c r="G1642" s="8"/>
      <c r="H1642" s="8"/>
      <c r="I1642" s="8">
        <v>1</v>
      </c>
      <c r="J1642" s="8" t="s">
        <v>547</v>
      </c>
      <c r="K1642" s="8"/>
      <c r="L1642" s="8"/>
      <c r="M1642" s="8"/>
      <c r="N1642" s="8"/>
      <c r="O1642" s="8"/>
      <c r="P1642" s="8" t="s">
        <v>178</v>
      </c>
      <c r="Q1642" s="8" t="s">
        <v>548</v>
      </c>
      <c r="R1642" s="8" t="s">
        <v>549</v>
      </c>
      <c r="S1642" s="8" t="s">
        <v>725</v>
      </c>
      <c r="T1642" s="8"/>
      <c r="U1642" s="8"/>
    </row>
    <row r="1643" spans="1:21" x14ac:dyDescent="0.25">
      <c r="A1643" s="9">
        <v>1642</v>
      </c>
      <c r="B1643" s="9"/>
      <c r="C1643" s="9" t="s">
        <v>169</v>
      </c>
      <c r="D1643" s="9" t="s">
        <v>452</v>
      </c>
      <c r="E1643" s="9" t="str">
        <f>IFERROR(VLOOKUP($D1643,FIYAT!$B:$O,2,FALSE()),"")</f>
        <v>Авт. выкл. NM8N-630C EN 3P 630А 36кА с электронным расцепителем (R)</v>
      </c>
      <c r="F1643" s="9">
        <f>IFERROR(VLOOKUP($D1643,FIYAT!$B:$O,5,FALSE()),"")</f>
        <v>299616</v>
      </c>
      <c r="G1643" s="9">
        <f>IFERROR(VLOOKUP($D1643,FIYAT!$B:$O,8,FALSE()),"")</f>
        <v>179769.60000000001</v>
      </c>
      <c r="H1643" s="9">
        <f t="shared" ref="H1643:H1660" si="192">IF(OR($G1643="",$I1643=""),"",$G1643*$I1643)</f>
        <v>179769.60000000001</v>
      </c>
      <c r="I1643" s="6">
        <v>1</v>
      </c>
      <c r="J1643" s="9" t="str">
        <f>IFERROR(VLOOKUP($D1643,FIYAT!$B:$O,9,FALSE()),"")</f>
        <v>Шт.</v>
      </c>
      <c r="K1643" s="9" t="str">
        <f>IFERROR(VLOOKUP($D1643,FIYAT!$B:$O,4,FALSE()),"")</f>
        <v>CHINT</v>
      </c>
      <c r="L1643" s="9">
        <f t="shared" ref="L1643:L1662" si="193">IF($H1643="","",$H1643)</f>
        <v>179769.60000000001</v>
      </c>
      <c r="M1643" s="9"/>
      <c r="N1643" s="9"/>
      <c r="O1643" s="9"/>
      <c r="P1643" s="9" t="str">
        <f>IF($H1643="","FIYAT_YOK",IFERROR(VLOOKUP($D1643,FIYAT!$B:$P,15,FALSE()),""))</f>
        <v>MUADIL</v>
      </c>
      <c r="Q1643" s="9" t="s">
        <v>454</v>
      </c>
      <c r="R1643" s="9" t="s">
        <v>171</v>
      </c>
      <c r="S1643" s="9" t="s">
        <v>725</v>
      </c>
      <c r="T1643" s="9" t="s">
        <v>67</v>
      </c>
      <c r="U1643" s="9">
        <f>IFERROR(VLOOKUP($T1643,KURALLAR!$A$32:$B$63,2,FALSE()),0)*IF(ISNUMBER($I1643),$I1643,0)</f>
        <v>55</v>
      </c>
    </row>
    <row r="1644" spans="1:21" x14ac:dyDescent="0.25">
      <c r="A1644" s="5">
        <v>1643</v>
      </c>
      <c r="B1644" s="5"/>
      <c r="C1644" s="5" t="s">
        <v>83</v>
      </c>
      <c r="D1644" s="5" t="s">
        <v>507</v>
      </c>
      <c r="E1644" s="5" t="str">
        <f>IFERROR(VLOOKUP($D1644,FIYAT!$B:$O,2,FALSE()),"")</f>
        <v>Трансформатор тока Т-0.66-1,2 У3 600/5А (для счётчика)</v>
      </c>
      <c r="F1644" s="5">
        <f>IFERROR(VLOOKUP($D1644,FIYAT!$B:$O,5,FALSE()),"")</f>
        <v>0</v>
      </c>
      <c r="G1644" s="5" t="str">
        <f>IFERROR(VLOOKUP($D1644,FIYAT!$B:$O,8,FALSE()),"")</f>
        <v/>
      </c>
      <c r="H1644" s="5" t="str">
        <f t="shared" si="192"/>
        <v/>
      </c>
      <c r="I1644" s="6">
        <v>3</v>
      </c>
      <c r="J1644" s="5" t="str">
        <f>IFERROR(VLOOKUP($D1644,FIYAT!$B:$O,9,FALSE()),"")</f>
        <v>Шт.</v>
      </c>
      <c r="K1644" s="5" t="str">
        <f>IFERROR(VLOOKUP($D1644,FIYAT!$B:$O,4,FALSE()),"")</f>
        <v>MUADIL-NET</v>
      </c>
      <c r="L1644" s="5" t="str">
        <f t="shared" si="193"/>
        <v/>
      </c>
      <c r="M1644" s="5"/>
      <c r="N1644" s="5"/>
      <c r="O1644" s="5"/>
      <c r="P1644" s="7" t="str">
        <f>IF($H1644="","FIYAT_YOK",IFERROR(VLOOKUP($D1644,FIYAT!$B:$P,15,FALSE()),""))</f>
        <v>FIYAT_YOK</v>
      </c>
      <c r="Q1644" s="7" t="s">
        <v>509</v>
      </c>
      <c r="R1644" s="5"/>
      <c r="S1644" s="5" t="s">
        <v>725</v>
      </c>
      <c r="T1644" s="5" t="s">
        <v>83</v>
      </c>
      <c r="U1644" s="5">
        <f>IFERROR(VLOOKUP($T1644,KURALLAR!$A$32:$B$63,2,FALSE()),0)*IF(ISNUMBER($I1644),$I1644,0)</f>
        <v>30</v>
      </c>
    </row>
    <row r="1645" spans="1:21" x14ac:dyDescent="0.25">
      <c r="A1645" s="9">
        <v>1644</v>
      </c>
      <c r="B1645" s="9"/>
      <c r="C1645" s="9" t="s">
        <v>97</v>
      </c>
      <c r="D1645" s="9" t="s">
        <v>281</v>
      </c>
      <c r="E1645" s="9" t="str">
        <f>IFERROR(VLOOKUP($D1645,FIYAT!$B:$O,2,FALSE()),"")</f>
        <v>КОРОБКА КЛЕММНАЯ ИСПЫТАТЕЛЬНАЯ ПЕРЕХОДНАЯ ККИ1-1 EKF PROXIMA</v>
      </c>
      <c r="F1645" s="9">
        <f>IFERROR(VLOOKUP($D1645,FIYAT!$B:$O,5,FALSE()),"")</f>
        <v>0</v>
      </c>
      <c r="G1645" s="9" t="str">
        <f>IFERROR(VLOOKUP($D1645,FIYAT!$B:$O,8,FALSE()),"")</f>
        <v/>
      </c>
      <c r="H1645" s="9" t="str">
        <f t="shared" si="192"/>
        <v/>
      </c>
      <c r="I1645" s="6">
        <v>1</v>
      </c>
      <c r="J1645" s="9" t="str">
        <f>IFERROR(VLOOKUP($D1645,FIYAT!$B:$O,9,FALSE()),"")</f>
        <v>Шт.</v>
      </c>
      <c r="K1645" s="9" t="str">
        <f>IFERROR(VLOOKUP($D1645,FIYAT!$B:$O,4,FALSE()),"")</f>
        <v>EKF</v>
      </c>
      <c r="L1645" s="9" t="str">
        <f t="shared" si="193"/>
        <v/>
      </c>
      <c r="M1645" s="9"/>
      <c r="N1645" s="9"/>
      <c r="O1645" s="9"/>
      <c r="P1645" s="7" t="str">
        <f>IF($H1645="","FIYAT_YOK",IFERROR(VLOOKUP($D1645,FIYAT!$B:$P,15,FALSE()),""))</f>
        <v>FIYAT_YOK</v>
      </c>
      <c r="Q1645" s="7" t="s">
        <v>283</v>
      </c>
      <c r="R1645" s="9"/>
      <c r="S1645" s="9" t="s">
        <v>725</v>
      </c>
      <c r="T1645" s="9" t="s">
        <v>97</v>
      </c>
      <c r="U1645" s="9">
        <f>IFERROR(VLOOKUP($T1645,KURALLAR!$A$32:$B$63,2,FALSE()),0)*IF(ISNUMBER($I1645),$I1645,0)</f>
        <v>4</v>
      </c>
    </row>
    <row r="1646" spans="1:21" x14ac:dyDescent="0.25">
      <c r="A1646" s="5">
        <v>1645</v>
      </c>
      <c r="B1646" s="5"/>
      <c r="C1646" s="5" t="s">
        <v>81</v>
      </c>
      <c r="D1646" s="5" t="s">
        <v>284</v>
      </c>
      <c r="E1646" s="5" t="str">
        <f>IFERROR(VLOOKUP($D1646,FIYAT!$B:$O,2,FALSE()),"")</f>
        <v>Трехфазный эл.счетчик EX 518 5А (трансф. подкл.) с PLC модулем</v>
      </c>
      <c r="F1646" s="5">
        <f>IFERROR(VLOOKUP($D1646,FIYAT!$B:$O,5,FALSE()),"")</f>
        <v>0</v>
      </c>
      <c r="G1646" s="5" t="str">
        <f>IFERROR(VLOOKUP($D1646,FIYAT!$B:$O,8,FALSE()),"")</f>
        <v/>
      </c>
      <c r="H1646" s="5" t="str">
        <f t="shared" si="192"/>
        <v/>
      </c>
      <c r="I1646" s="6">
        <v>1</v>
      </c>
      <c r="J1646" s="5" t="str">
        <f>IFERROR(VLOOKUP($D1646,FIYAT!$B:$O,9,FALSE()),"")</f>
        <v>Шт.</v>
      </c>
      <c r="K1646" s="5" t="str">
        <f>IFERROR(VLOOKUP($D1646,FIYAT!$B:$O,4,FALSE()),"")</f>
        <v>MUADIL-NET</v>
      </c>
      <c r="L1646" s="5" t="str">
        <f t="shared" si="193"/>
        <v/>
      </c>
      <c r="M1646" s="5"/>
      <c r="N1646" s="5"/>
      <c r="O1646" s="5"/>
      <c r="P1646" s="7" t="str">
        <f>IF($H1646="","FIYAT_YOK",IFERROR(VLOOKUP($D1646,FIYAT!$B:$P,15,FALSE()),""))</f>
        <v>FIYAT_YOK</v>
      </c>
      <c r="Q1646" s="7" t="s">
        <v>249</v>
      </c>
      <c r="R1646" s="5"/>
      <c r="S1646" s="5" t="s">
        <v>725</v>
      </c>
      <c r="T1646" s="5" t="s">
        <v>81</v>
      </c>
      <c r="U1646" s="5">
        <f>IFERROR(VLOOKUP($T1646,KURALLAR!$A$32:$B$63,2,FALSE()),0)*IF(ISNUMBER($I1646),$I1646,0)</f>
        <v>30</v>
      </c>
    </row>
    <row r="1647" spans="1:21" x14ac:dyDescent="0.25">
      <c r="A1647" s="9">
        <v>1646</v>
      </c>
      <c r="B1647" s="9"/>
      <c r="C1647" s="9" t="s">
        <v>192</v>
      </c>
      <c r="D1647" s="9" t="s">
        <v>238</v>
      </c>
      <c r="E1647" s="9" t="str">
        <f>IFERROR(VLOOKUP($D1647,FIYAT!$B:$O,2,FALSE()),"")</f>
        <v>Авт. выкл. NXB-63 1P 6A 6кА х-ка C (R)</v>
      </c>
      <c r="F1647" s="9">
        <f>IFERROR(VLOOKUP($D1647,FIYAT!$B:$O,5,FALSE()),"")</f>
        <v>1436</v>
      </c>
      <c r="G1647" s="9">
        <f>IFERROR(VLOOKUP($D1647,FIYAT!$B:$O,8,FALSE()),"")</f>
        <v>861.6</v>
      </c>
      <c r="H1647" s="9">
        <f t="shared" si="192"/>
        <v>6031.2</v>
      </c>
      <c r="I1647" s="6">
        <v>7</v>
      </c>
      <c r="J1647" s="9" t="str">
        <f>IFERROR(VLOOKUP($D1647,FIYAT!$B:$O,9,FALSE()),"")</f>
        <v>Шт.</v>
      </c>
      <c r="K1647" s="9" t="str">
        <f>IFERROR(VLOOKUP($D1647,FIYAT!$B:$O,4,FALSE()),"")</f>
        <v>CHINT</v>
      </c>
      <c r="L1647" s="9">
        <f t="shared" si="193"/>
        <v>6031.2</v>
      </c>
      <c r="M1647" s="9"/>
      <c r="N1647" s="9"/>
      <c r="O1647" s="9"/>
      <c r="P1647" s="9" t="str">
        <f>IF($H1647="","FIYAT_YOK",IFERROR(VLOOKUP($D1647,FIYAT!$B:$P,15,FALSE()),""))</f>
        <v>OK</v>
      </c>
      <c r="Q1647" s="9" t="s">
        <v>240</v>
      </c>
      <c r="R1647" s="9" t="s">
        <v>171</v>
      </c>
      <c r="S1647" s="9" t="s">
        <v>725</v>
      </c>
      <c r="T1647" s="9" t="s">
        <v>47</v>
      </c>
      <c r="U1647" s="9">
        <f>IFERROR(VLOOKUP($T1647,KURALLAR!$A$32:$B$63,2,FALSE()),0)*IF(ISNUMBER($I1647),$I1647,0)</f>
        <v>21</v>
      </c>
    </row>
    <row r="1648" spans="1:21" x14ac:dyDescent="0.25">
      <c r="A1648" s="5">
        <v>1647</v>
      </c>
      <c r="B1648" s="5"/>
      <c r="C1648" s="5" t="s">
        <v>89</v>
      </c>
      <c r="D1648" s="5" t="s">
        <v>241</v>
      </c>
      <c r="E1648" s="5" t="str">
        <f>IFERROR(VLOOKUP($D1648,FIYAT!$B:$O,2,FALSE()),"")</f>
        <v>Индикатор ND16-22DS/4 белый АС230В (R)</v>
      </c>
      <c r="F1648" s="5">
        <f>IFERROR(VLOOKUP($D1648,FIYAT!$B:$O,5,FALSE()),"")</f>
        <v>1047</v>
      </c>
      <c r="G1648" s="5">
        <f>IFERROR(VLOOKUP($D1648,FIYAT!$B:$O,8,FALSE()),"")</f>
        <v>628.19999999999993</v>
      </c>
      <c r="H1648" s="5">
        <f t="shared" si="192"/>
        <v>1884.6</v>
      </c>
      <c r="I1648" s="6">
        <v>3</v>
      </c>
      <c r="J1648" s="5" t="str">
        <f>IFERROR(VLOOKUP($D1648,FIYAT!$B:$O,9,FALSE()),"")</f>
        <v>Шт.</v>
      </c>
      <c r="K1648" s="5" t="str">
        <f>IFERROR(VLOOKUP($D1648,FIYAT!$B:$O,4,FALSE()),"")</f>
        <v>CHINT</v>
      </c>
      <c r="L1648" s="5">
        <f t="shared" si="193"/>
        <v>1884.6</v>
      </c>
      <c r="M1648" s="5"/>
      <c r="N1648" s="5"/>
      <c r="O1648" s="5"/>
      <c r="P1648" s="5" t="str">
        <f>IF($H1648="","FIYAT_YOK",IFERROR(VLOOKUP($D1648,FIYAT!$B:$P,15,FALSE()),""))</f>
        <v>OK</v>
      </c>
      <c r="Q1648" s="5" t="s">
        <v>243</v>
      </c>
      <c r="R1648" s="5" t="s">
        <v>184</v>
      </c>
      <c r="S1648" s="5" t="s">
        <v>725</v>
      </c>
      <c r="T1648" s="5" t="s">
        <v>89</v>
      </c>
      <c r="U1648" s="5">
        <f>IFERROR(VLOOKUP($T1648,KURALLAR!$A$32:$B$63,2,FALSE()),0)*IF(ISNUMBER($I1648),$I1648,0)</f>
        <v>12</v>
      </c>
    </row>
    <row r="1649" spans="1:21" x14ac:dyDescent="0.25">
      <c r="A1649" s="9">
        <v>1648</v>
      </c>
      <c r="B1649" s="9"/>
      <c r="C1649" s="9" t="s">
        <v>79</v>
      </c>
      <c r="D1649" s="9" t="s">
        <v>179</v>
      </c>
      <c r="E1649" s="9" t="str">
        <f>IFERROR(VLOOKUP($D1649,FIYAT!$B:$O,2,FALSE()),"")</f>
        <v>Держатель плавкой вставки RT36-00-160, габарит 00, 160А</v>
      </c>
      <c r="F1649" s="9">
        <f>IFERROR(VLOOKUP($D1649,FIYAT!$B:$O,5,FALSE()),"")</f>
        <v>2038</v>
      </c>
      <c r="G1649" s="9">
        <f>IFERROR(VLOOKUP($D1649,FIYAT!$B:$O,8,FALSE()),"")</f>
        <v>1222.8</v>
      </c>
      <c r="H1649" s="9">
        <f t="shared" si="192"/>
        <v>4891.2</v>
      </c>
      <c r="I1649" s="6">
        <v>4</v>
      </c>
      <c r="J1649" s="9" t="str">
        <f>IFERROR(VLOOKUP($D1649,FIYAT!$B:$O,9,FALSE()),"")</f>
        <v>Шт.</v>
      </c>
      <c r="K1649" s="9" t="str">
        <f>IFERROR(VLOOKUP($D1649,FIYAT!$B:$O,4,FALSE()),"")</f>
        <v>CHINT</v>
      </c>
      <c r="L1649" s="9">
        <f t="shared" si="193"/>
        <v>4891.2</v>
      </c>
      <c r="M1649" s="9"/>
      <c r="N1649" s="9"/>
      <c r="O1649" s="9"/>
      <c r="P1649" s="9" t="str">
        <f>IF($H1649="","FIYAT_YOK",IFERROR(VLOOKUP($D1649,FIYAT!$B:$P,15,FALSE()),""))</f>
        <v>MUADIL</v>
      </c>
      <c r="Q1649" s="9" t="s">
        <v>181</v>
      </c>
      <c r="R1649" s="9" t="s">
        <v>171</v>
      </c>
      <c r="S1649" s="9" t="s">
        <v>725</v>
      </c>
      <c r="T1649" s="9" t="s">
        <v>77</v>
      </c>
      <c r="U1649" s="9">
        <f>IFERROR(VLOOKUP($T1649,KURALLAR!$A$32:$B$63,2,FALSE()),0)*IF(ISNUMBER($I1649),$I1649,0)</f>
        <v>20</v>
      </c>
    </row>
    <row r="1650" spans="1:21" x14ac:dyDescent="0.25">
      <c r="A1650" s="5">
        <v>1649</v>
      </c>
      <c r="B1650" s="5"/>
      <c r="C1650" s="5" t="s">
        <v>79</v>
      </c>
      <c r="D1650" s="5" t="s">
        <v>182</v>
      </c>
      <c r="E1650" s="5" t="str">
        <f>IFERROR(VLOOKUP($D1650,FIYAT!$B:$O,2,FALSE()),"")</f>
        <v>Плавкая вставка предохранителя RT36-00-160, габарит 00, 63А</v>
      </c>
      <c r="F1650" s="5">
        <f>IFERROR(VLOOKUP($D1650,FIYAT!$B:$O,5,FALSE()),"")</f>
        <v>1525</v>
      </c>
      <c r="G1650" s="5">
        <f>IFERROR(VLOOKUP($D1650,FIYAT!$B:$O,8,FALSE()),"")</f>
        <v>915</v>
      </c>
      <c r="H1650" s="5">
        <f t="shared" si="192"/>
        <v>3660</v>
      </c>
      <c r="I1650" s="6">
        <v>4</v>
      </c>
      <c r="J1650" s="5" t="str">
        <f>IFERROR(VLOOKUP($D1650,FIYAT!$B:$O,9,FALSE()),"")</f>
        <v>Шт.</v>
      </c>
      <c r="K1650" s="5" t="str">
        <f>IFERROR(VLOOKUP($D1650,FIYAT!$B:$O,4,FALSE()),"")</f>
        <v>CHINT</v>
      </c>
      <c r="L1650" s="5">
        <f t="shared" si="193"/>
        <v>3660</v>
      </c>
      <c r="M1650" s="5"/>
      <c r="N1650" s="5"/>
      <c r="O1650" s="5"/>
      <c r="P1650" s="5" t="str">
        <f>IF($H1650="","FIYAT_YOK",IFERROR(VLOOKUP($D1650,FIYAT!$B:$P,15,FALSE()),""))</f>
        <v>MUADIL</v>
      </c>
      <c r="Q1650" s="5" t="s">
        <v>185</v>
      </c>
      <c r="R1650" s="5" t="s">
        <v>184</v>
      </c>
      <c r="S1650" s="5" t="s">
        <v>725</v>
      </c>
      <c r="T1650" s="5" t="s">
        <v>79</v>
      </c>
      <c r="U1650" s="5">
        <f>IFERROR(VLOOKUP($T1650,KURALLAR!$A$32:$B$63,2,FALSE()),0)*IF(ISNUMBER($I1650),$I1650,0)</f>
        <v>12</v>
      </c>
    </row>
    <row r="1651" spans="1:21" x14ac:dyDescent="0.25">
      <c r="A1651" s="9">
        <v>1650</v>
      </c>
      <c r="B1651" s="9"/>
      <c r="C1651" s="9" t="s">
        <v>75</v>
      </c>
      <c r="D1651" s="9" t="s">
        <v>186</v>
      </c>
      <c r="E1651" s="9" t="str">
        <f>IFERROR(VLOOKUP($D1651,FIYAT!$B:$O,2,FALSE()),"")</f>
        <v>Ограничитель имп. перенапр. NU6-IIG 4Р In=25kA Uc=440B Im=65kA (R)</v>
      </c>
      <c r="F1651" s="9">
        <f>IFERROR(VLOOKUP($D1651,FIYAT!$B:$O,5,FALSE()),"")</f>
        <v>33208</v>
      </c>
      <c r="G1651" s="9">
        <f>IFERROR(VLOOKUP($D1651,FIYAT!$B:$O,8,FALSE()),"")</f>
        <v>19924.8</v>
      </c>
      <c r="H1651" s="9">
        <f t="shared" si="192"/>
        <v>19924.8</v>
      </c>
      <c r="I1651" s="6">
        <v>1</v>
      </c>
      <c r="J1651" s="9" t="str">
        <f>IFERROR(VLOOKUP($D1651,FIYAT!$B:$O,9,FALSE()),"")</f>
        <v>Шт.</v>
      </c>
      <c r="K1651" s="9" t="str">
        <f>IFERROR(VLOOKUP($D1651,FIYAT!$B:$O,4,FALSE()),"")</f>
        <v>CHINT</v>
      </c>
      <c r="L1651" s="9">
        <f t="shared" si="193"/>
        <v>19924.8</v>
      </c>
      <c r="M1651" s="9"/>
      <c r="N1651" s="9"/>
      <c r="O1651" s="9"/>
      <c r="P1651" s="9" t="str">
        <f>IF($H1651="","FIYAT_YOK",IFERROR(VLOOKUP($D1651,FIYAT!$B:$P,15,FALSE()),""))</f>
        <v>MUADIL_ONAY</v>
      </c>
      <c r="Q1651" s="9" t="s">
        <v>188</v>
      </c>
      <c r="R1651" s="9" t="s">
        <v>184</v>
      </c>
      <c r="S1651" s="9" t="s">
        <v>725</v>
      </c>
      <c r="T1651" s="9" t="s">
        <v>75</v>
      </c>
      <c r="U1651" s="9">
        <f>IFERROR(VLOOKUP($T1651,KURALLAR!$A$32:$B$63,2,FALSE()),0)*IF(ISNUMBER($I1651),$I1651,0)</f>
        <v>10</v>
      </c>
    </row>
    <row r="1652" spans="1:21" x14ac:dyDescent="0.25">
      <c r="A1652" s="5">
        <v>1651</v>
      </c>
      <c r="B1652" s="5"/>
      <c r="C1652" s="5" t="s">
        <v>83</v>
      </c>
      <c r="D1652" s="5" t="s">
        <v>525</v>
      </c>
      <c r="E1652" s="5" t="str">
        <f>IFERROR(VLOOKUP($D1652,FIYAT!$B:$O,2,FALSE()),"")</f>
        <v>Трансформатор тока 500/5А кл. 0,5 — CHINT листинге нет</v>
      </c>
      <c r="F1652" s="5">
        <f>IFERROR(VLOOKUP($D1652,FIYAT!$B:$O,5,FALSE()),"")</f>
        <v>0</v>
      </c>
      <c r="G1652" s="5" t="str">
        <f>IFERROR(VLOOKUP($D1652,FIYAT!$B:$O,8,FALSE()),"")</f>
        <v/>
      </c>
      <c r="H1652" s="5" t="str">
        <f t="shared" si="192"/>
        <v/>
      </c>
      <c r="I1652" s="6">
        <v>3</v>
      </c>
      <c r="J1652" s="5" t="str">
        <f>IFERROR(VLOOKUP($D1652,FIYAT!$B:$O,9,FALSE()),"")</f>
        <v>Шт.</v>
      </c>
      <c r="K1652" s="5" t="str">
        <f>IFERROR(VLOOKUP($D1652,FIYAT!$B:$O,4,FALSE()),"")</f>
        <v>MUADIL-NET</v>
      </c>
      <c r="L1652" s="5" t="str">
        <f t="shared" si="193"/>
        <v/>
      </c>
      <c r="M1652" s="5"/>
      <c r="N1652" s="5"/>
      <c r="O1652" s="5"/>
      <c r="P1652" s="7" t="str">
        <f>IF($H1652="","FIYAT_YOK",IFERROR(VLOOKUP($D1652,FIYAT!$B:$P,15,FALSE()),""))</f>
        <v>FIYAT_YOK</v>
      </c>
      <c r="Q1652" s="7" t="s">
        <v>527</v>
      </c>
      <c r="R1652" s="5"/>
      <c r="S1652" s="5" t="s">
        <v>725</v>
      </c>
      <c r="T1652" s="5" t="s">
        <v>83</v>
      </c>
      <c r="U1652" s="5">
        <f>IFERROR(VLOOKUP($T1652,KURALLAR!$A$32:$B$63,2,FALSE()),0)*IF(ISNUMBER($I1652),$I1652,0)</f>
        <v>30</v>
      </c>
    </row>
    <row r="1653" spans="1:21" x14ac:dyDescent="0.25">
      <c r="A1653" s="9">
        <v>1652</v>
      </c>
      <c r="B1653" s="9"/>
      <c r="C1653" s="9" t="s">
        <v>81</v>
      </c>
      <c r="D1653" s="9" t="s">
        <v>513</v>
      </c>
      <c r="E1653" s="9" t="str">
        <f>IFERROR(VLOOKUP($D1653,FIYAT!$B:$O,2,FALSE()),"")</f>
        <v>Schneider PM2230 — анализатор сети, LCD, RS485, кл. 0,5S</v>
      </c>
      <c r="F1653" s="9">
        <f>IFERROR(VLOOKUP($D1653,FIYAT!$B:$O,5,FALSE()),"")</f>
        <v>0</v>
      </c>
      <c r="G1653" s="9" t="str">
        <f>IFERROR(VLOOKUP($D1653,FIYAT!$B:$O,8,FALSE()),"")</f>
        <v/>
      </c>
      <c r="H1653" s="9" t="str">
        <f t="shared" si="192"/>
        <v/>
      </c>
      <c r="I1653" s="6">
        <v>1</v>
      </c>
      <c r="J1653" s="9" t="str">
        <f>IFERROR(VLOOKUP($D1653,FIYAT!$B:$O,9,FALSE()),"")</f>
        <v>Шт.</v>
      </c>
      <c r="K1653" s="9" t="str">
        <f>IFERROR(VLOOKUP($D1653,FIYAT!$B:$O,4,FALSE()),"")</f>
        <v>SCHNEIDER</v>
      </c>
      <c r="L1653" s="9" t="str">
        <f t="shared" si="193"/>
        <v/>
      </c>
      <c r="M1653" s="9"/>
      <c r="N1653" s="9"/>
      <c r="O1653" s="9"/>
      <c r="P1653" s="7" t="str">
        <f>IF($H1653="","FIYAT_YOK",IFERROR(VLOOKUP($D1653,FIYAT!$B:$P,15,FALSE()),""))</f>
        <v>FIYAT_YOK</v>
      </c>
      <c r="Q1653" s="7" t="s">
        <v>515</v>
      </c>
      <c r="R1653" s="9"/>
      <c r="S1653" s="9" t="s">
        <v>725</v>
      </c>
      <c r="T1653" s="9" t="s">
        <v>81</v>
      </c>
      <c r="U1653" s="9">
        <f>IFERROR(VLOOKUP($T1653,KURALLAR!$A$32:$B$63,2,FALSE()),0)*IF(ISNUMBER($I1653),$I1653,0)</f>
        <v>30</v>
      </c>
    </row>
    <row r="1654" spans="1:21" x14ac:dyDescent="0.25">
      <c r="A1654" s="5">
        <v>1653</v>
      </c>
      <c r="B1654" s="5"/>
      <c r="C1654" s="5" t="s">
        <v>169</v>
      </c>
      <c r="D1654" s="5" t="s">
        <v>367</v>
      </c>
      <c r="E1654" s="5" t="str">
        <f>IFERROR(VLOOKUP($D1654,FIYAT!$B:$O,2,FALSE()),"")</f>
        <v>Авт. выкл. NM8N-125C TM 3P 100А 36кА с рег. термомаг. расцепителем (R)</v>
      </c>
      <c r="F1654" s="5">
        <f>IFERROR(VLOOKUP($D1654,FIYAT!$B:$O,5,FALSE()),"")</f>
        <v>64169</v>
      </c>
      <c r="G1654" s="5">
        <f>IFERROR(VLOOKUP($D1654,FIYAT!$B:$O,8,FALSE()),"")</f>
        <v>38501.4</v>
      </c>
      <c r="H1654" s="5">
        <f t="shared" si="192"/>
        <v>77002.8</v>
      </c>
      <c r="I1654" s="6">
        <v>2</v>
      </c>
      <c r="J1654" s="5" t="str">
        <f>IFERROR(VLOOKUP($D1654,FIYAT!$B:$O,9,FALSE()),"")</f>
        <v>Шт.</v>
      </c>
      <c r="K1654" s="5" t="str">
        <f>IFERROR(VLOOKUP($D1654,FIYAT!$B:$O,4,FALSE()),"")</f>
        <v>CHINT</v>
      </c>
      <c r="L1654" s="5">
        <f t="shared" si="193"/>
        <v>77002.8</v>
      </c>
      <c r="M1654" s="5"/>
      <c r="N1654" s="5"/>
      <c r="O1654" s="5"/>
      <c r="P1654" s="5" t="str">
        <f>IF($H1654="","FIYAT_YOK",IFERROR(VLOOKUP($D1654,FIYAT!$B:$P,15,FALSE()),""))</f>
        <v>OK</v>
      </c>
      <c r="Q1654" s="5" t="s">
        <v>369</v>
      </c>
      <c r="R1654" s="5" t="s">
        <v>171</v>
      </c>
      <c r="S1654" s="5" t="s">
        <v>725</v>
      </c>
      <c r="T1654" s="5" t="s">
        <v>61</v>
      </c>
      <c r="U1654" s="5">
        <f>IFERROR(VLOOKUP($T1654,KURALLAR!$A$32:$B$63,2,FALSE()),0)*IF(ISNUMBER($I1654),$I1654,0)</f>
        <v>30</v>
      </c>
    </row>
    <row r="1655" spans="1:21" x14ac:dyDescent="0.25">
      <c r="A1655" s="9">
        <v>1654</v>
      </c>
      <c r="B1655" s="9"/>
      <c r="C1655" s="9" t="s">
        <v>169</v>
      </c>
      <c r="D1655" s="9" t="s">
        <v>231</v>
      </c>
      <c r="E1655" s="9" t="str">
        <f>IFERROR(VLOOKUP($D1655,FIYAT!$B:$O,2,FALSE()),"")</f>
        <v>Авт. выкл. NM8N-125C TM 3P 80А 36кА с рег. термомаг. расцепителем (R)</v>
      </c>
      <c r="F1655" s="9">
        <f>IFERROR(VLOOKUP($D1655,FIYAT!$B:$O,5,FALSE()),"")</f>
        <v>64129</v>
      </c>
      <c r="G1655" s="9">
        <f>IFERROR(VLOOKUP($D1655,FIYAT!$B:$O,8,FALSE()),"")</f>
        <v>38477.4</v>
      </c>
      <c r="H1655" s="9">
        <f t="shared" si="192"/>
        <v>38477.4</v>
      </c>
      <c r="I1655" s="6">
        <v>1</v>
      </c>
      <c r="J1655" s="9" t="str">
        <f>IFERROR(VLOOKUP($D1655,FIYAT!$B:$O,9,FALSE()),"")</f>
        <v>Шт.</v>
      </c>
      <c r="K1655" s="9" t="str">
        <f>IFERROR(VLOOKUP($D1655,FIYAT!$B:$O,4,FALSE()),"")</f>
        <v>CHINT</v>
      </c>
      <c r="L1655" s="9">
        <f t="shared" si="193"/>
        <v>38477.4</v>
      </c>
      <c r="M1655" s="9"/>
      <c r="N1655" s="9"/>
      <c r="O1655" s="9"/>
      <c r="P1655" s="9" t="str">
        <f>IF($H1655="","FIYAT_YOK",IFERROR(VLOOKUP($D1655,FIYAT!$B:$P,15,FALSE()),""))</f>
        <v>OK</v>
      </c>
      <c r="Q1655" s="9" t="s">
        <v>233</v>
      </c>
      <c r="R1655" s="9" t="s">
        <v>171</v>
      </c>
      <c r="S1655" s="9" t="s">
        <v>725</v>
      </c>
      <c r="T1655" s="9" t="s">
        <v>61</v>
      </c>
      <c r="U1655" s="9">
        <f>IFERROR(VLOOKUP($T1655,KURALLAR!$A$32:$B$63,2,FALSE()),0)*IF(ISNUMBER($I1655),$I1655,0)</f>
        <v>15</v>
      </c>
    </row>
    <row r="1656" spans="1:21" x14ac:dyDescent="0.25">
      <c r="A1656" s="5">
        <v>1655</v>
      </c>
      <c r="B1656" s="5"/>
      <c r="C1656" s="5" t="s">
        <v>169</v>
      </c>
      <c r="D1656" s="5" t="s">
        <v>350</v>
      </c>
      <c r="E1656" s="5" t="str">
        <f>IFERROR(VLOOKUP($D1656,FIYAT!$B:$O,2,FALSE()),"")</f>
        <v>Авт. выкл. NM8N-125C TM 3P 63А 36кА с рег. термомаг. расцепителем (R)</v>
      </c>
      <c r="F1656" s="5">
        <f>IFERROR(VLOOKUP($D1656,FIYAT!$B:$O,5,FALSE()),"")</f>
        <v>64066</v>
      </c>
      <c r="G1656" s="5">
        <f>IFERROR(VLOOKUP($D1656,FIYAT!$B:$O,8,FALSE()),"")</f>
        <v>38439.599999999999</v>
      </c>
      <c r="H1656" s="5">
        <f t="shared" si="192"/>
        <v>76879.199999999997</v>
      </c>
      <c r="I1656" s="6">
        <v>2</v>
      </c>
      <c r="J1656" s="5" t="str">
        <f>IFERROR(VLOOKUP($D1656,FIYAT!$B:$O,9,FALSE()),"")</f>
        <v>Шт.</v>
      </c>
      <c r="K1656" s="5" t="str">
        <f>IFERROR(VLOOKUP($D1656,FIYAT!$B:$O,4,FALSE()),"")</f>
        <v>CHINT</v>
      </c>
      <c r="L1656" s="5">
        <f t="shared" si="193"/>
        <v>76879.199999999997</v>
      </c>
      <c r="M1656" s="5"/>
      <c r="N1656" s="5"/>
      <c r="O1656" s="5"/>
      <c r="P1656" s="5" t="str">
        <f>IF($H1656="","FIYAT_YOK",IFERROR(VLOOKUP($D1656,FIYAT!$B:$P,15,FALSE()),""))</f>
        <v>MUADIL</v>
      </c>
      <c r="Q1656" s="5" t="s">
        <v>172</v>
      </c>
      <c r="R1656" s="5" t="s">
        <v>171</v>
      </c>
      <c r="S1656" s="5" t="s">
        <v>725</v>
      </c>
      <c r="T1656" s="5" t="s">
        <v>61</v>
      </c>
      <c r="U1656" s="5">
        <f>IFERROR(VLOOKUP($T1656,KURALLAR!$A$32:$B$63,2,FALSE()),0)*IF(ISNUMBER($I1656),$I1656,0)</f>
        <v>30</v>
      </c>
    </row>
    <row r="1657" spans="1:21" x14ac:dyDescent="0.25">
      <c r="A1657" s="9">
        <v>1656</v>
      </c>
      <c r="B1657" s="9"/>
      <c r="C1657" s="9" t="s">
        <v>169</v>
      </c>
      <c r="D1657" s="9" t="s">
        <v>276</v>
      </c>
      <c r="E1657" s="9" t="str">
        <f>IFERROR(VLOOKUP($D1657,FIYAT!$B:$O,2,FALSE()),"")</f>
        <v>Авт. выкл. NM8N-125C TM 3P 40А 36кА с рег. термомаг. расцепителем (R)</v>
      </c>
      <c r="F1657" s="9">
        <f>IFERROR(VLOOKUP($D1657,FIYAT!$B:$O,5,FALSE()),"")</f>
        <v>68418</v>
      </c>
      <c r="G1657" s="9">
        <f>IFERROR(VLOOKUP($D1657,FIYAT!$B:$O,8,FALSE()),"")</f>
        <v>41050.799999999996</v>
      </c>
      <c r="H1657" s="9">
        <f t="shared" si="192"/>
        <v>492609.6</v>
      </c>
      <c r="I1657" s="6">
        <v>12</v>
      </c>
      <c r="J1657" s="9" t="str">
        <f>IFERROR(VLOOKUP($D1657,FIYAT!$B:$O,9,FALSE()),"")</f>
        <v>Шт.</v>
      </c>
      <c r="K1657" s="9" t="str">
        <f>IFERROR(VLOOKUP($D1657,FIYAT!$B:$O,4,FALSE()),"")</f>
        <v>CHINT</v>
      </c>
      <c r="L1657" s="9">
        <f t="shared" si="193"/>
        <v>492609.6</v>
      </c>
      <c r="M1657" s="9"/>
      <c r="N1657" s="9"/>
      <c r="O1657" s="9"/>
      <c r="P1657" s="9" t="str">
        <f>IF($H1657="","FIYAT_YOK",IFERROR(VLOOKUP($D1657,FIYAT!$B:$P,15,FALSE()),""))</f>
        <v>MUADIL</v>
      </c>
      <c r="Q1657" s="9" t="s">
        <v>172</v>
      </c>
      <c r="R1657" s="9" t="s">
        <v>171</v>
      </c>
      <c r="S1657" s="9" t="s">
        <v>725</v>
      </c>
      <c r="T1657" s="9" t="s">
        <v>61</v>
      </c>
      <c r="U1657" s="9">
        <f>IFERROR(VLOOKUP($T1657,KURALLAR!$A$32:$B$63,2,FALSE()),0)*IF(ISNUMBER($I1657),$I1657,0)</f>
        <v>180</v>
      </c>
    </row>
    <row r="1658" spans="1:21" x14ac:dyDescent="0.25">
      <c r="A1658" s="5">
        <v>1657</v>
      </c>
      <c r="B1658" s="5"/>
      <c r="C1658" s="5" t="s">
        <v>169</v>
      </c>
      <c r="D1658" s="5" t="s">
        <v>167</v>
      </c>
      <c r="E1658" s="5" t="str">
        <f>IFERROR(VLOOKUP($D1658,FIYAT!$B:$O,2,FALSE()),"")</f>
        <v>Авт. выкл. NM8N-125C TM 3P 32А 36кА с рег. термомаг. расцепителем (R)</v>
      </c>
      <c r="F1658" s="5">
        <f>IFERROR(VLOOKUP($D1658,FIYAT!$B:$O,5,FALSE()),"")</f>
        <v>64667</v>
      </c>
      <c r="G1658" s="5">
        <f>IFERROR(VLOOKUP($D1658,FIYAT!$B:$O,8,FALSE()),"")</f>
        <v>38800.199999999997</v>
      </c>
      <c r="H1658" s="5">
        <f t="shared" si="192"/>
        <v>155200.79999999999</v>
      </c>
      <c r="I1658" s="6">
        <v>4</v>
      </c>
      <c r="J1658" s="5" t="str">
        <f>IFERROR(VLOOKUP($D1658,FIYAT!$B:$O,9,FALSE()),"")</f>
        <v>Шт.</v>
      </c>
      <c r="K1658" s="5" t="str">
        <f>IFERROR(VLOOKUP($D1658,FIYAT!$B:$O,4,FALSE()),"")</f>
        <v>CHINT</v>
      </c>
      <c r="L1658" s="5">
        <f t="shared" si="193"/>
        <v>155200.79999999999</v>
      </c>
      <c r="M1658" s="5"/>
      <c r="N1658" s="5"/>
      <c r="O1658" s="5"/>
      <c r="P1658" s="5" t="str">
        <f>IF($H1658="","FIYAT_YOK",IFERROR(VLOOKUP($D1658,FIYAT!$B:$P,15,FALSE()),""))</f>
        <v>MUADIL</v>
      </c>
      <c r="Q1658" s="5" t="s">
        <v>172</v>
      </c>
      <c r="R1658" s="5" t="s">
        <v>171</v>
      </c>
      <c r="S1658" s="5" t="s">
        <v>725</v>
      </c>
      <c r="T1658" s="5" t="s">
        <v>61</v>
      </c>
      <c r="U1658" s="5">
        <f>IFERROR(VLOOKUP($T1658,KURALLAR!$A$32:$B$63,2,FALSE()),0)*IF(ISNUMBER($I1658),$I1658,0)</f>
        <v>60</v>
      </c>
    </row>
    <row r="1659" spans="1:21" x14ac:dyDescent="0.25">
      <c r="A1659" s="9">
        <v>1658</v>
      </c>
      <c r="B1659" s="9"/>
      <c r="C1659" s="9" t="s">
        <v>253</v>
      </c>
      <c r="D1659" s="9" t="s">
        <v>251</v>
      </c>
      <c r="E1659" s="9" t="str">
        <f>IFERROR(VLOOKUP($D1659,FIYAT!$B:$O,2,FALSE()),"")</f>
        <v>Шина алюминиевая твёрдая (ШАТ)</v>
      </c>
      <c r="F1659" s="9">
        <f>IFERROR(VLOOKUP($D1659,FIYAT!$B:$O,5,FALSE()),"")</f>
        <v>4493.5999999999995</v>
      </c>
      <c r="G1659" s="9">
        <f>IFERROR(VLOOKUP($D1659,FIYAT!$B:$O,8,FALSE()),"")</f>
        <v>4493.5999999999995</v>
      </c>
      <c r="H1659" s="9">
        <f t="shared" si="192"/>
        <v>166263.19999999998</v>
      </c>
      <c r="I1659" s="6">
        <v>37</v>
      </c>
      <c r="J1659" s="9" t="str">
        <f>IFERROR(VLOOKUP($D1659,FIYAT!$B:$O,9,FALSE()),"")</f>
        <v>Кг.</v>
      </c>
      <c r="K1659" s="9" t="str">
        <f>IFERROR(VLOOKUP($D1659,FIYAT!$B:$O,4,FALSE()),"")</f>
        <v>ALUM-BARA</v>
      </c>
      <c r="L1659" s="9">
        <f t="shared" si="193"/>
        <v>166263.19999999998</v>
      </c>
      <c r="M1659" s="9"/>
      <c r="N1659" s="9"/>
      <c r="O1659" s="9"/>
      <c r="P1659" s="9" t="str">
        <f>IF($H1659="","FIYAT_YOK",IFERROR(VLOOKUP($D1659,FIYAT!$B:$P,15,FALSE()),""))</f>
        <v>VARSAYIM</v>
      </c>
      <c r="Q1659" s="9" t="s">
        <v>255</v>
      </c>
      <c r="R1659" s="9"/>
      <c r="S1659" s="9" t="s">
        <v>725</v>
      </c>
      <c r="T1659" s="9" t="s">
        <v>101</v>
      </c>
      <c r="U1659" s="9">
        <f>IFERROR(VLOOKUP($T1659,KURALLAR!$A$32:$B$63,2,FALSE()),0)*IF(ISNUMBER($I1659),$I1659,0)</f>
        <v>222</v>
      </c>
    </row>
    <row r="1660" spans="1:21" x14ac:dyDescent="0.25">
      <c r="A1660" s="5">
        <v>1659</v>
      </c>
      <c r="B1660" s="5"/>
      <c r="C1660" s="5" t="s">
        <v>222</v>
      </c>
      <c r="D1660" s="5" t="s">
        <v>256</v>
      </c>
      <c r="E1660" s="5" t="str">
        <f>IFERROR(VLOOKUP($D1660,FIYAT!$B:$O,2,FALSE()),"")</f>
        <v>Щит (moduler) 2000x800x800+100</v>
      </c>
      <c r="F1660" s="5">
        <f>IFERROR(VLOOKUP($D1660,FIYAT!$B:$O,5,FALSE()),"")</f>
        <v>197400</v>
      </c>
      <c r="G1660" s="5">
        <f>IFERROR(VLOOKUP($D1660,FIYAT!$B:$O,8,FALSE()),"")</f>
        <v>118440</v>
      </c>
      <c r="H1660" s="5">
        <f t="shared" si="192"/>
        <v>236880</v>
      </c>
      <c r="I1660" s="6">
        <v>2</v>
      </c>
      <c r="J1660" s="5" t="str">
        <f>IFERROR(VLOOKUP($D1660,FIYAT!$B:$O,9,FALSE()),"")</f>
        <v>Шт.</v>
      </c>
      <c r="K1660" s="5" t="str">
        <f>IFERROR(VLOOKUP($D1660,FIYAT!$B:$O,4,FALSE()),"")</f>
        <v>KAZTEK</v>
      </c>
      <c r="L1660" s="5">
        <f t="shared" si="193"/>
        <v>236880</v>
      </c>
      <c r="M1660" s="5"/>
      <c r="N1660" s="5"/>
      <c r="O1660" s="5"/>
      <c r="P1660" s="5" t="str">
        <f>IF($H1660="","FIYAT_YOK",IFERROR(VLOOKUP($D1660,FIYAT!$B:$P,15,FALSE()),""))</f>
        <v>VARSAYIM</v>
      </c>
      <c r="Q1660" s="5" t="s">
        <v>258</v>
      </c>
      <c r="R1660" s="5" t="s">
        <v>211</v>
      </c>
      <c r="S1660" s="5" t="s">
        <v>725</v>
      </c>
      <c r="T1660" s="5" t="s">
        <v>107</v>
      </c>
      <c r="U1660" s="5">
        <f>IFERROR(VLOOKUP($T1660,KURALLAR!$A$32:$B$63,2,FALSE()),0)*IF(ISNUMBER($I1660),$I1660,0)</f>
        <v>180</v>
      </c>
    </row>
    <row r="1661" spans="1:21" x14ac:dyDescent="0.25">
      <c r="A1661" s="9">
        <v>1660</v>
      </c>
      <c r="B1661" s="9"/>
      <c r="C1661" s="9" t="s">
        <v>215</v>
      </c>
      <c r="D1661" s="9" t="s">
        <v>213</v>
      </c>
      <c r="E1661" s="9" t="str">
        <f>IFERROR(VLOOKUP($D1661,FIYAT!$B:$O,2,FALSE()),"")</f>
        <v>Монтажный расходный материал (кабель, DIN-рейка, кабель-канал, клеммы, маркировка, крепёж)</v>
      </c>
      <c r="F1661" s="9">
        <f>IFERROR(VLOOKUP($D1661,FIYAT!$B:$O,5,FALSE()),"")</f>
        <v>0</v>
      </c>
      <c r="G1661" s="9" t="str">
        <f>IFERROR(VLOOKUP($D1661,FIYAT!$B:$O,8,FALSE()),"")</f>
        <v/>
      </c>
      <c r="H1661" s="9">
        <f>ROUND(SUM($H$1643:$H$1660)*KURALLAR!$B$28,0)</f>
        <v>102163</v>
      </c>
      <c r="I1661" s="6">
        <v>1</v>
      </c>
      <c r="J1661" s="9" t="str">
        <f>IFERROR(VLOOKUP($D1661,FIYAT!$B:$O,9,FALSE()),"")</f>
        <v>компл.</v>
      </c>
      <c r="K1661" s="9" t="str">
        <f>IFERROR(VLOOKUP($D1661,FIYAT!$B:$O,4,FALSE()),"")</f>
        <v>MUADIL-NET</v>
      </c>
      <c r="L1661" s="9">
        <f t="shared" si="193"/>
        <v>102163</v>
      </c>
      <c r="M1661" s="9"/>
      <c r="N1661" s="9"/>
      <c r="O1661" s="9"/>
      <c r="P1661" s="9" t="str">
        <f>IF($H1661="","FIYAT_YOK",IFERROR(VLOOKUP($D1661,FIYAT!$B:$P,15,FALSE()),""))</f>
        <v>ORAN</v>
      </c>
      <c r="Q1661" s="9" t="s">
        <v>218</v>
      </c>
      <c r="R1661" s="9" t="s">
        <v>217</v>
      </c>
      <c r="S1661" s="9" t="s">
        <v>725</v>
      </c>
      <c r="T1661" s="9"/>
      <c r="U1661" s="9">
        <v>0</v>
      </c>
    </row>
    <row r="1662" spans="1:21" x14ac:dyDescent="0.25">
      <c r="A1662" s="5">
        <v>1661</v>
      </c>
      <c r="B1662" s="5"/>
      <c r="C1662" s="5" t="s">
        <v>227</v>
      </c>
      <c r="D1662" s="5" t="s">
        <v>225</v>
      </c>
      <c r="E1662" s="5" t="str">
        <f>IFERROR(VLOOKUP($D1662,FIYAT!$B:$O,2,FALSE()),"")</f>
        <v>Сборка, кабелирование, маркировка, момент затяжки, испытания</v>
      </c>
      <c r="F1662" s="5">
        <f>IFERROR(VLOOKUP($D1662,FIYAT!$B:$O,5,FALSE()),"")</f>
        <v>100</v>
      </c>
      <c r="G1662" s="5">
        <f>IFERROR(VLOOKUP($D1662,FIYAT!$B:$O,8,FALSE()),"")</f>
        <v>100</v>
      </c>
      <c r="H1662" s="5">
        <f>IF(OR($G1662="",$I1662=""),"",$G1662*$I1662)</f>
        <v>111700</v>
      </c>
      <c r="I1662" s="6">
        <f>ROUND(SUM($U$1643:$U$1661)*KURALLAR!$B$27,0)</f>
        <v>1117</v>
      </c>
      <c r="J1662" s="5" t="str">
        <f>IFERROR(VLOOKUP($D1662,FIYAT!$B:$O,9,FALSE()),"")</f>
        <v>мин</v>
      </c>
      <c r="K1662" s="5" t="str">
        <f>IFERROR(VLOOKUP($D1662,FIYAT!$B:$O,4,FALSE()),"")</f>
        <v>ISCILIK</v>
      </c>
      <c r="L1662" s="5">
        <f t="shared" si="193"/>
        <v>111700</v>
      </c>
      <c r="M1662" s="5"/>
      <c r="N1662" s="5"/>
      <c r="O1662" s="5"/>
      <c r="P1662" s="5" t="str">
        <f>IF($H1662="","FIYAT_YOK",IFERROR(VLOOKUP($D1662,FIYAT!$B:$P,15,FALSE()),""))</f>
        <v>OK</v>
      </c>
      <c r="Q1662" s="5" t="str">
        <f>CONCATENATE("montaj+test iscilik: ",TEXT($I1662,"# ##0")," dk = ",TEXT($I1662/60,"0,00")," saat (norm x test/etiket carpani)")</f>
        <v>montaj+test iscilik: 1 117 dk = 18,62 saat (norm x test/etiket carpani)</v>
      </c>
      <c r="R1662" s="5" t="s">
        <v>229</v>
      </c>
      <c r="S1662" s="5" t="s">
        <v>725</v>
      </c>
      <c r="T1662" s="5"/>
      <c r="U1662" s="5">
        <v>0</v>
      </c>
    </row>
    <row r="1663" spans="1:21" x14ac:dyDescent="0.25">
      <c r="A1663" s="10">
        <v>1662</v>
      </c>
      <c r="B1663" s="10" t="s">
        <v>746</v>
      </c>
      <c r="C1663" s="10"/>
      <c r="D1663" s="10"/>
      <c r="E1663" s="10"/>
      <c r="F1663" s="10"/>
      <c r="G1663" s="10"/>
      <c r="H1663" s="10">
        <f>SUBTOTAL(9,H1643:H1662)</f>
        <v>1673337.4</v>
      </c>
      <c r="I1663" s="10"/>
      <c r="J1663" s="10"/>
      <c r="K1663" s="10"/>
      <c r="L1663" s="10">
        <f>SUBTOTAL(9,L1643:L1662)</f>
        <v>1673337.4</v>
      </c>
      <c r="M1663" s="10"/>
      <c r="N1663" s="10"/>
      <c r="O1663" s="10"/>
      <c r="P1663" s="10"/>
      <c r="Q1663" s="10"/>
      <c r="R1663" s="10"/>
      <c r="S1663" s="10"/>
      <c r="T1663" s="10"/>
      <c r="U1663" s="10">
        <f>SUBTOTAL(9,U1643:U1662)</f>
        <v>971</v>
      </c>
    </row>
  </sheetData>
  <autoFilter ref="A1:U1" xr:uid="{00000000-0001-0000-0200-000000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10" customWidth="1"/>
    <col min="3" max="3" width="26" customWidth="1"/>
    <col min="4" max="4" width="16" customWidth="1"/>
    <col min="5" max="5" width="22" customWidth="1"/>
    <col min="6" max="6" width="24" customWidth="1"/>
    <col min="7" max="8" width="20" customWidth="1"/>
    <col min="9" max="9" width="32" customWidth="1"/>
  </cols>
  <sheetData>
    <row r="1" spans="1:9" x14ac:dyDescent="0.25">
      <c r="A1" s="4" t="s">
        <v>747</v>
      </c>
      <c r="B1" s="4" t="s">
        <v>93</v>
      </c>
      <c r="C1" s="4" t="s">
        <v>748</v>
      </c>
      <c r="D1" s="4" t="s">
        <v>749</v>
      </c>
      <c r="E1" s="4" t="s">
        <v>750</v>
      </c>
      <c r="F1" s="4" t="s">
        <v>751</v>
      </c>
      <c r="G1" s="4" t="s">
        <v>752</v>
      </c>
      <c r="H1" s="4" t="s">
        <v>753</v>
      </c>
      <c r="I1" s="4" t="s">
        <v>543</v>
      </c>
    </row>
    <row r="2" spans="1:9" x14ac:dyDescent="0.25">
      <c r="A2" s="5">
        <v>1</v>
      </c>
      <c r="B2" s="5" t="s">
        <v>754</v>
      </c>
      <c r="C2" s="5" t="s">
        <v>755</v>
      </c>
      <c r="D2" s="6">
        <v>1</v>
      </c>
      <c r="E2" s="5">
        <f>BOM!$H$18</f>
        <v>170326.39999999997</v>
      </c>
      <c r="F2" s="5">
        <f t="shared" ref="F2:F33" si="0">IF($E2="","",$E2*$D2)</f>
        <v>170326.39999999997</v>
      </c>
      <c r="G2" s="5">
        <f>BOM!$I$17</f>
        <v>252</v>
      </c>
      <c r="H2" s="5">
        <f t="shared" ref="H2:H33" si="1">ROUND($G2/60,2)</f>
        <v>4.2</v>
      </c>
      <c r="I2" s="5" t="s">
        <v>550</v>
      </c>
    </row>
    <row r="3" spans="1:9" x14ac:dyDescent="0.25">
      <c r="A3" s="5">
        <v>2</v>
      </c>
      <c r="B3" s="5" t="s">
        <v>754</v>
      </c>
      <c r="C3" s="5" t="s">
        <v>756</v>
      </c>
      <c r="D3" s="6">
        <v>20</v>
      </c>
      <c r="E3" s="5">
        <f>BOM!$H$33</f>
        <v>438909.39999999997</v>
      </c>
      <c r="F3" s="5">
        <f t="shared" si="0"/>
        <v>8778188</v>
      </c>
      <c r="G3" s="5">
        <f>BOM!$I$32</f>
        <v>595</v>
      </c>
      <c r="H3" s="5">
        <f t="shared" si="1"/>
        <v>9.92</v>
      </c>
      <c r="I3" s="5" t="s">
        <v>550</v>
      </c>
    </row>
    <row r="4" spans="1:9" x14ac:dyDescent="0.25">
      <c r="A4" s="5">
        <v>3</v>
      </c>
      <c r="B4" s="5" t="s">
        <v>754</v>
      </c>
      <c r="C4" s="5" t="s">
        <v>757</v>
      </c>
      <c r="D4" s="6">
        <v>20</v>
      </c>
      <c r="E4" s="5">
        <f>BOM!$H$48</f>
        <v>438909.39999999997</v>
      </c>
      <c r="F4" s="5">
        <f t="shared" si="0"/>
        <v>8778188</v>
      </c>
      <c r="G4" s="5">
        <f>BOM!$I$47</f>
        <v>595</v>
      </c>
      <c r="H4" s="5">
        <f t="shared" si="1"/>
        <v>9.92</v>
      </c>
      <c r="I4" s="5" t="s">
        <v>550</v>
      </c>
    </row>
    <row r="5" spans="1:9" x14ac:dyDescent="0.25">
      <c r="A5" s="5">
        <v>4</v>
      </c>
      <c r="B5" s="5" t="s">
        <v>754</v>
      </c>
      <c r="C5" s="5" t="s">
        <v>758</v>
      </c>
      <c r="D5" s="6">
        <v>1</v>
      </c>
      <c r="E5" s="5">
        <f>BOM!$H$63</f>
        <v>278643.59999999998</v>
      </c>
      <c r="F5" s="5">
        <f t="shared" si="0"/>
        <v>278643.59999999998</v>
      </c>
      <c r="G5" s="5">
        <f>BOM!$I$62</f>
        <v>397</v>
      </c>
      <c r="H5" s="5">
        <f t="shared" si="1"/>
        <v>6.62</v>
      </c>
      <c r="I5" s="5" t="s">
        <v>550</v>
      </c>
    </row>
    <row r="6" spans="1:9" x14ac:dyDescent="0.25">
      <c r="A6" s="5">
        <v>5</v>
      </c>
      <c r="B6" s="5" t="s">
        <v>754</v>
      </c>
      <c r="C6" s="5" t="s">
        <v>759</v>
      </c>
      <c r="D6" s="6">
        <v>1</v>
      </c>
      <c r="E6" s="5">
        <f>BOM!$H$78</f>
        <v>278643.59999999998</v>
      </c>
      <c r="F6" s="5">
        <f t="shared" si="0"/>
        <v>278643.59999999998</v>
      </c>
      <c r="G6" s="5">
        <f>BOM!$I$77</f>
        <v>397</v>
      </c>
      <c r="H6" s="5">
        <f t="shared" si="1"/>
        <v>6.62</v>
      </c>
      <c r="I6" s="5" t="s">
        <v>550</v>
      </c>
    </row>
    <row r="7" spans="1:9" x14ac:dyDescent="0.25">
      <c r="A7" s="5">
        <v>6</v>
      </c>
      <c r="B7" s="5" t="s">
        <v>754</v>
      </c>
      <c r="C7" s="5" t="s">
        <v>760</v>
      </c>
      <c r="D7" s="6">
        <v>1</v>
      </c>
      <c r="E7" s="5">
        <f>BOM!$H$97</f>
        <v>224887.59999999998</v>
      </c>
      <c r="F7" s="5">
        <f t="shared" si="0"/>
        <v>224887.59999999998</v>
      </c>
      <c r="G7" s="5">
        <f>BOM!$I$96</f>
        <v>297</v>
      </c>
      <c r="H7" s="5">
        <f t="shared" si="1"/>
        <v>4.95</v>
      </c>
      <c r="I7" s="5" t="s">
        <v>550</v>
      </c>
    </row>
    <row r="8" spans="1:9" x14ac:dyDescent="0.25">
      <c r="A8" s="5">
        <v>7</v>
      </c>
      <c r="B8" s="5" t="s">
        <v>754</v>
      </c>
      <c r="C8" s="5" t="s">
        <v>761</v>
      </c>
      <c r="D8" s="6">
        <v>1</v>
      </c>
      <c r="E8" s="5">
        <f>BOM!$H$116</f>
        <v>736978.6</v>
      </c>
      <c r="F8" s="5">
        <f t="shared" si="0"/>
        <v>736978.6</v>
      </c>
      <c r="G8" s="5">
        <f>BOM!$I$115</f>
        <v>667</v>
      </c>
      <c r="H8" s="5">
        <f t="shared" si="1"/>
        <v>11.12</v>
      </c>
      <c r="I8" s="5" t="s">
        <v>550</v>
      </c>
    </row>
    <row r="9" spans="1:9" x14ac:dyDescent="0.25">
      <c r="A9" s="5">
        <v>8</v>
      </c>
      <c r="B9" s="5" t="s">
        <v>754</v>
      </c>
      <c r="C9" s="5" t="s">
        <v>762</v>
      </c>
      <c r="D9" s="6">
        <v>1</v>
      </c>
      <c r="E9" s="5">
        <f>BOM!$H$136</f>
        <v>635746.39999999991</v>
      </c>
      <c r="F9" s="5">
        <f t="shared" si="0"/>
        <v>635746.39999999991</v>
      </c>
      <c r="G9" s="5">
        <f>BOM!$I$135</f>
        <v>662</v>
      </c>
      <c r="H9" s="5">
        <f t="shared" si="1"/>
        <v>11.03</v>
      </c>
      <c r="I9" s="5" t="s">
        <v>550</v>
      </c>
    </row>
    <row r="10" spans="1:9" x14ac:dyDescent="0.25">
      <c r="A10" s="5">
        <v>9</v>
      </c>
      <c r="B10" s="5" t="s">
        <v>754</v>
      </c>
      <c r="C10" s="5" t="s">
        <v>763</v>
      </c>
      <c r="D10" s="6">
        <v>1</v>
      </c>
      <c r="E10" s="5">
        <f>BOM!$H$158</f>
        <v>635374.39999999991</v>
      </c>
      <c r="F10" s="5">
        <f t="shared" si="0"/>
        <v>635374.39999999991</v>
      </c>
      <c r="G10" s="5">
        <f>BOM!$I$157</f>
        <v>662</v>
      </c>
      <c r="H10" s="5">
        <f t="shared" si="1"/>
        <v>11.03</v>
      </c>
      <c r="I10" s="5" t="s">
        <v>550</v>
      </c>
    </row>
    <row r="11" spans="1:9" x14ac:dyDescent="0.25">
      <c r="A11" s="5">
        <v>10</v>
      </c>
      <c r="B11" s="5" t="s">
        <v>754</v>
      </c>
      <c r="C11" s="5" t="s">
        <v>764</v>
      </c>
      <c r="D11" s="6">
        <v>1</v>
      </c>
      <c r="E11" s="5">
        <f>BOM!$H$175</f>
        <v>239517.8</v>
      </c>
      <c r="F11" s="5">
        <f t="shared" si="0"/>
        <v>239517.8</v>
      </c>
      <c r="G11" s="5">
        <f>BOM!$I$174</f>
        <v>377</v>
      </c>
      <c r="H11" s="5">
        <f t="shared" si="1"/>
        <v>6.28</v>
      </c>
      <c r="I11" s="5" t="s">
        <v>550</v>
      </c>
    </row>
    <row r="12" spans="1:9" x14ac:dyDescent="0.25">
      <c r="A12" s="5">
        <v>11</v>
      </c>
      <c r="B12" s="5" t="s">
        <v>754</v>
      </c>
      <c r="C12" s="5" t="s">
        <v>765</v>
      </c>
      <c r="D12" s="6">
        <v>1</v>
      </c>
      <c r="E12" s="5">
        <f>BOM!$H$191</f>
        <v>164468.59999999998</v>
      </c>
      <c r="F12" s="5">
        <f t="shared" si="0"/>
        <v>164468.59999999998</v>
      </c>
      <c r="G12" s="5">
        <f>BOM!$I$190</f>
        <v>231</v>
      </c>
      <c r="H12" s="5">
        <f t="shared" si="1"/>
        <v>3.85</v>
      </c>
      <c r="I12" s="5" t="s">
        <v>550</v>
      </c>
    </row>
    <row r="13" spans="1:9" x14ac:dyDescent="0.25">
      <c r="A13" s="5">
        <v>12</v>
      </c>
      <c r="B13" s="5" t="s">
        <v>754</v>
      </c>
      <c r="C13" s="5" t="s">
        <v>766</v>
      </c>
      <c r="D13" s="6">
        <v>1</v>
      </c>
      <c r="E13" s="5">
        <f>BOM!$H$208</f>
        <v>183422.19999999998</v>
      </c>
      <c r="F13" s="5">
        <f t="shared" si="0"/>
        <v>183422.19999999998</v>
      </c>
      <c r="G13" s="5">
        <f>BOM!$I$207</f>
        <v>271</v>
      </c>
      <c r="H13" s="5">
        <f t="shared" si="1"/>
        <v>4.5199999999999996</v>
      </c>
      <c r="I13" s="5" t="s">
        <v>550</v>
      </c>
    </row>
    <row r="14" spans="1:9" x14ac:dyDescent="0.25">
      <c r="A14" s="5">
        <v>13</v>
      </c>
      <c r="B14" s="5" t="s">
        <v>754</v>
      </c>
      <c r="C14" s="5" t="s">
        <v>767</v>
      </c>
      <c r="D14" s="6">
        <v>1</v>
      </c>
      <c r="E14" s="5">
        <f>BOM!$H$224</f>
        <v>168130.99999999997</v>
      </c>
      <c r="F14" s="5">
        <f t="shared" si="0"/>
        <v>168130.99999999997</v>
      </c>
      <c r="G14" s="5">
        <f>BOM!$I$223</f>
        <v>231</v>
      </c>
      <c r="H14" s="5">
        <f t="shared" si="1"/>
        <v>3.85</v>
      </c>
      <c r="I14" s="5" t="s">
        <v>550</v>
      </c>
    </row>
    <row r="15" spans="1:9" x14ac:dyDescent="0.25">
      <c r="A15" s="5">
        <v>14</v>
      </c>
      <c r="B15" s="5" t="s">
        <v>754</v>
      </c>
      <c r="C15" s="5" t="s">
        <v>768</v>
      </c>
      <c r="D15" s="6">
        <v>1</v>
      </c>
      <c r="E15" s="5">
        <f>BOM!$H$236</f>
        <v>127058.4</v>
      </c>
      <c r="F15" s="5">
        <f t="shared" si="0"/>
        <v>127058.4</v>
      </c>
      <c r="G15" s="5">
        <f>BOM!$I$235</f>
        <v>173</v>
      </c>
      <c r="H15" s="5">
        <f t="shared" si="1"/>
        <v>2.88</v>
      </c>
      <c r="I15" s="5" t="s">
        <v>550</v>
      </c>
    </row>
    <row r="16" spans="1:9" x14ac:dyDescent="0.25">
      <c r="A16" s="5">
        <v>15</v>
      </c>
      <c r="B16" s="5" t="s">
        <v>754</v>
      </c>
      <c r="C16" s="5" t="s">
        <v>769</v>
      </c>
      <c r="D16" s="6">
        <v>1</v>
      </c>
      <c r="E16" s="5">
        <f>BOM!$H$252</f>
        <v>165846.99999999997</v>
      </c>
      <c r="F16" s="5">
        <f t="shared" si="0"/>
        <v>165846.99999999997</v>
      </c>
      <c r="G16" s="5">
        <f>BOM!$I$251</f>
        <v>235</v>
      </c>
      <c r="H16" s="5">
        <f t="shared" si="1"/>
        <v>3.92</v>
      </c>
      <c r="I16" s="5" t="s">
        <v>550</v>
      </c>
    </row>
    <row r="17" spans="1:9" x14ac:dyDescent="0.25">
      <c r="A17" s="5">
        <v>16</v>
      </c>
      <c r="B17" s="5" t="s">
        <v>754</v>
      </c>
      <c r="C17" s="5" t="s">
        <v>770</v>
      </c>
      <c r="D17" s="6">
        <v>1</v>
      </c>
      <c r="E17" s="5">
        <f>BOM!$H$268</f>
        <v>156116.39999999997</v>
      </c>
      <c r="F17" s="5">
        <f t="shared" si="0"/>
        <v>156116.39999999997</v>
      </c>
      <c r="G17" s="5">
        <f>BOM!$I$267</f>
        <v>221</v>
      </c>
      <c r="H17" s="5">
        <f t="shared" si="1"/>
        <v>3.68</v>
      </c>
      <c r="I17" s="5" t="s">
        <v>550</v>
      </c>
    </row>
    <row r="18" spans="1:9" x14ac:dyDescent="0.25">
      <c r="A18" s="5">
        <v>17</v>
      </c>
      <c r="B18" s="5" t="s">
        <v>754</v>
      </c>
      <c r="C18" s="5" t="s">
        <v>771</v>
      </c>
      <c r="D18" s="6">
        <v>1</v>
      </c>
      <c r="E18" s="5">
        <f>BOM!$H$284</f>
        <v>164655</v>
      </c>
      <c r="F18" s="5">
        <f t="shared" si="0"/>
        <v>164655</v>
      </c>
      <c r="G18" s="5">
        <f>BOM!$I$283</f>
        <v>245</v>
      </c>
      <c r="H18" s="5">
        <f t="shared" si="1"/>
        <v>4.08</v>
      </c>
      <c r="I18" s="5" t="s">
        <v>550</v>
      </c>
    </row>
    <row r="19" spans="1:9" x14ac:dyDescent="0.25">
      <c r="A19" s="5">
        <v>18</v>
      </c>
      <c r="B19" s="5" t="s">
        <v>754</v>
      </c>
      <c r="C19" s="5" t="s">
        <v>772</v>
      </c>
      <c r="D19" s="6">
        <v>1</v>
      </c>
      <c r="E19" s="5">
        <f>BOM!$H$300</f>
        <v>164655</v>
      </c>
      <c r="F19" s="5">
        <f t="shared" si="0"/>
        <v>164655</v>
      </c>
      <c r="G19" s="5">
        <f>BOM!$I$299</f>
        <v>245</v>
      </c>
      <c r="H19" s="5">
        <f t="shared" si="1"/>
        <v>4.08</v>
      </c>
      <c r="I19" s="5" t="s">
        <v>550</v>
      </c>
    </row>
    <row r="20" spans="1:9" x14ac:dyDescent="0.25">
      <c r="A20" s="5">
        <v>19</v>
      </c>
      <c r="B20" s="5" t="s">
        <v>754</v>
      </c>
      <c r="C20" s="5" t="s">
        <v>773</v>
      </c>
      <c r="D20" s="6">
        <v>1</v>
      </c>
      <c r="E20" s="5">
        <f>BOM!$H$316</f>
        <v>159688.39999999997</v>
      </c>
      <c r="F20" s="5">
        <f t="shared" si="0"/>
        <v>159688.39999999997</v>
      </c>
      <c r="G20" s="5">
        <f>BOM!$I$315</f>
        <v>231</v>
      </c>
      <c r="H20" s="5">
        <f t="shared" si="1"/>
        <v>3.85</v>
      </c>
      <c r="I20" s="5" t="s">
        <v>550</v>
      </c>
    </row>
    <row r="21" spans="1:9" x14ac:dyDescent="0.25">
      <c r="A21" s="5">
        <v>20</v>
      </c>
      <c r="B21" s="5" t="s">
        <v>754</v>
      </c>
      <c r="C21" s="5" t="s">
        <v>774</v>
      </c>
      <c r="D21" s="6">
        <v>1</v>
      </c>
      <c r="E21" s="5">
        <f>BOM!$H$332</f>
        <v>154373.39999999997</v>
      </c>
      <c r="F21" s="5">
        <f t="shared" si="0"/>
        <v>154373.39999999997</v>
      </c>
      <c r="G21" s="5">
        <f>BOM!$I$331</f>
        <v>221</v>
      </c>
      <c r="H21" s="5">
        <f t="shared" si="1"/>
        <v>3.68</v>
      </c>
      <c r="I21" s="5" t="s">
        <v>550</v>
      </c>
    </row>
    <row r="22" spans="1:9" x14ac:dyDescent="0.25">
      <c r="A22" s="5">
        <v>21</v>
      </c>
      <c r="B22" s="5" t="s">
        <v>754</v>
      </c>
      <c r="C22" s="5" t="s">
        <v>775</v>
      </c>
      <c r="D22" s="6">
        <v>1</v>
      </c>
      <c r="E22" s="5">
        <f>BOM!$H$348</f>
        <v>161737.79999999999</v>
      </c>
      <c r="F22" s="5">
        <f t="shared" si="0"/>
        <v>161737.79999999999</v>
      </c>
      <c r="G22" s="5">
        <f>BOM!$I$347</f>
        <v>242</v>
      </c>
      <c r="H22" s="5">
        <f t="shared" si="1"/>
        <v>4.03</v>
      </c>
      <c r="I22" s="5" t="s">
        <v>550</v>
      </c>
    </row>
    <row r="23" spans="1:9" x14ac:dyDescent="0.25">
      <c r="A23" s="5">
        <v>22</v>
      </c>
      <c r="B23" s="5" t="s">
        <v>754</v>
      </c>
      <c r="C23" s="5" t="s">
        <v>776</v>
      </c>
      <c r="D23" s="6">
        <v>1</v>
      </c>
      <c r="E23" s="5">
        <f>BOM!$H$364</f>
        <v>164655</v>
      </c>
      <c r="F23" s="5">
        <f t="shared" si="0"/>
        <v>164655</v>
      </c>
      <c r="G23" s="5">
        <f>BOM!$I$363</f>
        <v>245</v>
      </c>
      <c r="H23" s="5">
        <f t="shared" si="1"/>
        <v>4.08</v>
      </c>
      <c r="I23" s="5" t="s">
        <v>550</v>
      </c>
    </row>
    <row r="24" spans="1:9" x14ac:dyDescent="0.25">
      <c r="A24" s="5">
        <v>23</v>
      </c>
      <c r="B24" s="5" t="s">
        <v>754</v>
      </c>
      <c r="C24" s="5" t="s">
        <v>777</v>
      </c>
      <c r="D24" s="6">
        <v>1</v>
      </c>
      <c r="E24" s="5">
        <f>BOM!$H$380</f>
        <v>158767.79999999999</v>
      </c>
      <c r="F24" s="5">
        <f t="shared" si="0"/>
        <v>158767.79999999999</v>
      </c>
      <c r="G24" s="5">
        <f>BOM!$I$379</f>
        <v>228</v>
      </c>
      <c r="H24" s="5">
        <f t="shared" si="1"/>
        <v>3.8</v>
      </c>
      <c r="I24" s="5" t="s">
        <v>550</v>
      </c>
    </row>
    <row r="25" spans="1:9" x14ac:dyDescent="0.25">
      <c r="A25" s="5">
        <v>24</v>
      </c>
      <c r="B25" s="5" t="s">
        <v>754</v>
      </c>
      <c r="C25" s="5" t="s">
        <v>778</v>
      </c>
      <c r="D25" s="6">
        <v>1</v>
      </c>
      <c r="E25" s="5">
        <f>BOM!$H$396</f>
        <v>154373.39999999997</v>
      </c>
      <c r="F25" s="5">
        <f t="shared" si="0"/>
        <v>154373.39999999997</v>
      </c>
      <c r="G25" s="5">
        <f>BOM!$I$395</f>
        <v>221</v>
      </c>
      <c r="H25" s="5">
        <f t="shared" si="1"/>
        <v>3.68</v>
      </c>
      <c r="I25" s="5" t="s">
        <v>550</v>
      </c>
    </row>
    <row r="26" spans="1:9" x14ac:dyDescent="0.25">
      <c r="A26" s="5">
        <v>25</v>
      </c>
      <c r="B26" s="5" t="s">
        <v>754</v>
      </c>
      <c r="C26" s="5" t="s">
        <v>779</v>
      </c>
      <c r="D26" s="6">
        <v>1</v>
      </c>
      <c r="E26" s="5">
        <f>BOM!$H$412</f>
        <v>161737.79999999999</v>
      </c>
      <c r="F26" s="5">
        <f t="shared" si="0"/>
        <v>161737.79999999999</v>
      </c>
      <c r="G26" s="5">
        <f>BOM!$I$411</f>
        <v>242</v>
      </c>
      <c r="H26" s="5">
        <f t="shared" si="1"/>
        <v>4.03</v>
      </c>
      <c r="I26" s="5" t="s">
        <v>550</v>
      </c>
    </row>
    <row r="27" spans="1:9" x14ac:dyDescent="0.25">
      <c r="A27" s="5">
        <v>26</v>
      </c>
      <c r="B27" s="5" t="s">
        <v>754</v>
      </c>
      <c r="C27" s="5" t="s">
        <v>780</v>
      </c>
      <c r="D27" s="6">
        <v>1</v>
      </c>
      <c r="E27" s="5">
        <f>BOM!$H$428</f>
        <v>162912</v>
      </c>
      <c r="F27" s="5">
        <f t="shared" si="0"/>
        <v>162912</v>
      </c>
      <c r="G27" s="5">
        <f>BOM!$I$427</f>
        <v>245</v>
      </c>
      <c r="H27" s="5">
        <f t="shared" si="1"/>
        <v>4.08</v>
      </c>
      <c r="I27" s="5" t="s">
        <v>550</v>
      </c>
    </row>
    <row r="28" spans="1:9" x14ac:dyDescent="0.25">
      <c r="A28" s="5">
        <v>27</v>
      </c>
      <c r="B28" s="5" t="s">
        <v>754</v>
      </c>
      <c r="C28" s="5" t="s">
        <v>781</v>
      </c>
      <c r="D28" s="6">
        <v>1</v>
      </c>
      <c r="E28" s="5">
        <f>BOM!$H$444</f>
        <v>157024.79999999999</v>
      </c>
      <c r="F28" s="5">
        <f t="shared" si="0"/>
        <v>157024.79999999999</v>
      </c>
      <c r="G28" s="5">
        <f>BOM!$I$443</f>
        <v>228</v>
      </c>
      <c r="H28" s="5">
        <f t="shared" si="1"/>
        <v>3.8</v>
      </c>
      <c r="I28" s="5" t="s">
        <v>550</v>
      </c>
    </row>
    <row r="29" spans="1:9" x14ac:dyDescent="0.25">
      <c r="A29" s="5">
        <v>28</v>
      </c>
      <c r="B29" s="5" t="s">
        <v>754</v>
      </c>
      <c r="C29" s="5" t="s">
        <v>782</v>
      </c>
      <c r="D29" s="6">
        <v>1</v>
      </c>
      <c r="E29" s="5">
        <f>BOM!$H$460</f>
        <v>155565.79999999999</v>
      </c>
      <c r="F29" s="5">
        <f t="shared" si="0"/>
        <v>155565.79999999999</v>
      </c>
      <c r="G29" s="5">
        <f>BOM!$I$459</f>
        <v>224</v>
      </c>
      <c r="H29" s="5">
        <f t="shared" si="1"/>
        <v>3.73</v>
      </c>
      <c r="I29" s="5" t="s">
        <v>550</v>
      </c>
    </row>
    <row r="30" spans="1:9" x14ac:dyDescent="0.25">
      <c r="A30" s="5">
        <v>29</v>
      </c>
      <c r="B30" s="5" t="s">
        <v>754</v>
      </c>
      <c r="C30" s="5" t="s">
        <v>783</v>
      </c>
      <c r="D30" s="6">
        <v>1</v>
      </c>
      <c r="E30" s="5">
        <f>BOM!$H$476</f>
        <v>161737.79999999999</v>
      </c>
      <c r="F30" s="5">
        <f t="shared" si="0"/>
        <v>161737.79999999999</v>
      </c>
      <c r="G30" s="5">
        <f>BOM!$I$475</f>
        <v>242</v>
      </c>
      <c r="H30" s="5">
        <f t="shared" si="1"/>
        <v>4.03</v>
      </c>
      <c r="I30" s="5" t="s">
        <v>550</v>
      </c>
    </row>
    <row r="31" spans="1:9" x14ac:dyDescent="0.25">
      <c r="A31" s="5">
        <v>30</v>
      </c>
      <c r="B31" s="5" t="s">
        <v>754</v>
      </c>
      <c r="C31" s="5" t="s">
        <v>784</v>
      </c>
      <c r="D31" s="6">
        <v>1</v>
      </c>
      <c r="E31" s="5">
        <f>BOM!$H$492</f>
        <v>162912</v>
      </c>
      <c r="F31" s="5">
        <f t="shared" si="0"/>
        <v>162912</v>
      </c>
      <c r="G31" s="5">
        <f>BOM!$I$491</f>
        <v>245</v>
      </c>
      <c r="H31" s="5">
        <f t="shared" si="1"/>
        <v>4.08</v>
      </c>
      <c r="I31" s="5" t="s">
        <v>550</v>
      </c>
    </row>
    <row r="32" spans="1:9" x14ac:dyDescent="0.25">
      <c r="A32" s="5">
        <v>31</v>
      </c>
      <c r="B32" s="5" t="s">
        <v>754</v>
      </c>
      <c r="C32" s="5" t="s">
        <v>785</v>
      </c>
      <c r="D32" s="6">
        <v>1</v>
      </c>
      <c r="E32" s="5">
        <f>BOM!$H$508</f>
        <v>157024.79999999999</v>
      </c>
      <c r="F32" s="5">
        <f t="shared" si="0"/>
        <v>157024.79999999999</v>
      </c>
      <c r="G32" s="5">
        <f>BOM!$I$507</f>
        <v>228</v>
      </c>
      <c r="H32" s="5">
        <f t="shared" si="1"/>
        <v>3.8</v>
      </c>
      <c r="I32" s="5" t="s">
        <v>550</v>
      </c>
    </row>
    <row r="33" spans="1:9" x14ac:dyDescent="0.25">
      <c r="A33" s="5">
        <v>32</v>
      </c>
      <c r="B33" s="5" t="s">
        <v>754</v>
      </c>
      <c r="C33" s="5" t="s">
        <v>786</v>
      </c>
      <c r="D33" s="6">
        <v>1</v>
      </c>
      <c r="E33" s="5">
        <f>BOM!$H$524</f>
        <v>156805.59999999998</v>
      </c>
      <c r="F33" s="5">
        <f t="shared" si="0"/>
        <v>156805.59999999998</v>
      </c>
      <c r="G33" s="5">
        <f>BOM!$I$523</f>
        <v>228</v>
      </c>
      <c r="H33" s="5">
        <f t="shared" si="1"/>
        <v>3.8</v>
      </c>
      <c r="I33" s="5" t="s">
        <v>550</v>
      </c>
    </row>
    <row r="34" spans="1:9" x14ac:dyDescent="0.25">
      <c r="A34" s="5">
        <v>33</v>
      </c>
      <c r="B34" s="5" t="s">
        <v>754</v>
      </c>
      <c r="C34" s="5" t="s">
        <v>787</v>
      </c>
      <c r="D34" s="6">
        <v>1</v>
      </c>
      <c r="E34" s="5">
        <f>BOM!$H$540</f>
        <v>160428.19999999998</v>
      </c>
      <c r="F34" s="5">
        <f t="shared" ref="F34:F65" si="2">IF($E34="","",$E34*$D34)</f>
        <v>160428.19999999998</v>
      </c>
      <c r="G34" s="5">
        <f>BOM!$I$539</f>
        <v>238</v>
      </c>
      <c r="H34" s="5">
        <f t="shared" ref="H34:H65" si="3">ROUND($G34/60,2)</f>
        <v>3.97</v>
      </c>
      <c r="I34" s="5" t="s">
        <v>550</v>
      </c>
    </row>
    <row r="35" spans="1:9" x14ac:dyDescent="0.25">
      <c r="A35" s="5">
        <v>34</v>
      </c>
      <c r="B35" s="5" t="s">
        <v>754</v>
      </c>
      <c r="C35" s="5" t="s">
        <v>788</v>
      </c>
      <c r="D35" s="6">
        <v>1</v>
      </c>
      <c r="E35" s="5">
        <f>BOM!$H$552</f>
        <v>127058.4</v>
      </c>
      <c r="F35" s="5">
        <f t="shared" si="2"/>
        <v>127058.4</v>
      </c>
      <c r="G35" s="5">
        <f>BOM!$I$551</f>
        <v>173</v>
      </c>
      <c r="H35" s="5">
        <f t="shared" si="3"/>
        <v>2.88</v>
      </c>
      <c r="I35" s="5" t="s">
        <v>550</v>
      </c>
    </row>
    <row r="36" spans="1:9" x14ac:dyDescent="0.25">
      <c r="A36" s="5">
        <v>35</v>
      </c>
      <c r="B36" s="5" t="s">
        <v>754</v>
      </c>
      <c r="C36" s="5" t="s">
        <v>789</v>
      </c>
      <c r="D36" s="6">
        <v>1</v>
      </c>
      <c r="E36" s="5">
        <f>BOM!$H$564</f>
        <v>127058.4</v>
      </c>
      <c r="F36" s="5">
        <f t="shared" si="2"/>
        <v>127058.4</v>
      </c>
      <c r="G36" s="5">
        <f>BOM!$I$563</f>
        <v>173</v>
      </c>
      <c r="H36" s="5">
        <f t="shared" si="3"/>
        <v>2.88</v>
      </c>
      <c r="I36" s="5" t="s">
        <v>550</v>
      </c>
    </row>
    <row r="37" spans="1:9" x14ac:dyDescent="0.25">
      <c r="A37" s="5">
        <v>36</v>
      </c>
      <c r="B37" s="5" t="s">
        <v>754</v>
      </c>
      <c r="C37" s="5" t="s">
        <v>790</v>
      </c>
      <c r="D37" s="6">
        <v>1</v>
      </c>
      <c r="E37" s="5">
        <f>BOM!$H$584</f>
        <v>192167.8</v>
      </c>
      <c r="F37" s="5">
        <f t="shared" si="2"/>
        <v>192167.8</v>
      </c>
      <c r="G37" s="5">
        <f>BOM!$I$583</f>
        <v>300</v>
      </c>
      <c r="H37" s="5">
        <f t="shared" si="3"/>
        <v>5</v>
      </c>
      <c r="I37" s="5" t="s">
        <v>550</v>
      </c>
    </row>
    <row r="38" spans="1:9" x14ac:dyDescent="0.25">
      <c r="A38" s="5">
        <v>37</v>
      </c>
      <c r="B38" s="5" t="s">
        <v>754</v>
      </c>
      <c r="C38" s="5" t="s">
        <v>791</v>
      </c>
      <c r="D38" s="6">
        <v>1</v>
      </c>
      <c r="E38" s="5">
        <f>BOM!$H$602</f>
        <v>568836.6</v>
      </c>
      <c r="F38" s="5">
        <f t="shared" si="2"/>
        <v>568836.6</v>
      </c>
      <c r="G38" s="5">
        <f>BOM!$I$601</f>
        <v>543</v>
      </c>
      <c r="H38" s="5">
        <f t="shared" si="3"/>
        <v>9.0500000000000007</v>
      </c>
      <c r="I38" s="5" t="s">
        <v>550</v>
      </c>
    </row>
    <row r="39" spans="1:9" x14ac:dyDescent="0.25">
      <c r="A39" s="5">
        <v>38</v>
      </c>
      <c r="B39" s="5" t="s">
        <v>754</v>
      </c>
      <c r="C39" s="5" t="s">
        <v>792</v>
      </c>
      <c r="D39" s="6">
        <v>1</v>
      </c>
      <c r="E39" s="5">
        <f>BOM!$H$614</f>
        <v>140599.4</v>
      </c>
      <c r="F39" s="5">
        <f t="shared" si="2"/>
        <v>140599.4</v>
      </c>
      <c r="G39" s="5">
        <f>BOM!$I$613</f>
        <v>194</v>
      </c>
      <c r="H39" s="5">
        <f t="shared" si="3"/>
        <v>3.23</v>
      </c>
      <c r="I39" s="5" t="s">
        <v>550</v>
      </c>
    </row>
    <row r="40" spans="1:9" x14ac:dyDescent="0.25">
      <c r="A40" s="5">
        <v>39</v>
      </c>
      <c r="B40" s="5" t="s">
        <v>754</v>
      </c>
      <c r="C40" s="5" t="s">
        <v>793</v>
      </c>
      <c r="D40" s="6">
        <v>1</v>
      </c>
      <c r="E40" s="5">
        <f>BOM!$H$634</f>
        <v>184433.39999999997</v>
      </c>
      <c r="F40" s="5">
        <f t="shared" si="2"/>
        <v>184433.39999999997</v>
      </c>
      <c r="G40" s="5">
        <f>BOM!$I$633</f>
        <v>308</v>
      </c>
      <c r="H40" s="5">
        <f t="shared" si="3"/>
        <v>5.13</v>
      </c>
      <c r="I40" s="5" t="s">
        <v>550</v>
      </c>
    </row>
    <row r="41" spans="1:9" x14ac:dyDescent="0.25">
      <c r="A41" s="5">
        <v>40</v>
      </c>
      <c r="B41" s="5" t="s">
        <v>754</v>
      </c>
      <c r="C41" s="5" t="s">
        <v>794</v>
      </c>
      <c r="D41" s="6">
        <v>1</v>
      </c>
      <c r="E41" s="5">
        <f>BOM!$H$648</f>
        <v>149317.79999999999</v>
      </c>
      <c r="F41" s="5">
        <f t="shared" si="2"/>
        <v>149317.79999999999</v>
      </c>
      <c r="G41" s="5">
        <f>BOM!$I$647</f>
        <v>215</v>
      </c>
      <c r="H41" s="5">
        <f t="shared" si="3"/>
        <v>3.58</v>
      </c>
      <c r="I41" s="5" t="s">
        <v>550</v>
      </c>
    </row>
    <row r="42" spans="1:9" x14ac:dyDescent="0.25">
      <c r="A42" s="5">
        <v>41</v>
      </c>
      <c r="B42" s="5" t="s">
        <v>754</v>
      </c>
      <c r="C42" s="5" t="s">
        <v>795</v>
      </c>
      <c r="D42" s="6">
        <v>1</v>
      </c>
      <c r="E42" s="5">
        <f>BOM!$H$661</f>
        <v>148355.59999999998</v>
      </c>
      <c r="F42" s="5">
        <f t="shared" si="2"/>
        <v>148355.59999999998</v>
      </c>
      <c r="G42" s="5">
        <f>BOM!$I$660</f>
        <v>220</v>
      </c>
      <c r="H42" s="5">
        <f t="shared" si="3"/>
        <v>3.67</v>
      </c>
      <c r="I42" s="5" t="s">
        <v>550</v>
      </c>
    </row>
    <row r="43" spans="1:9" x14ac:dyDescent="0.25">
      <c r="A43" s="5">
        <v>42</v>
      </c>
      <c r="B43" s="5" t="s">
        <v>754</v>
      </c>
      <c r="C43" s="5" t="s">
        <v>796</v>
      </c>
      <c r="D43" s="6">
        <v>1</v>
      </c>
      <c r="E43" s="5">
        <f>BOM!$H$678</f>
        <v>225702.59999999998</v>
      </c>
      <c r="F43" s="5">
        <f t="shared" si="2"/>
        <v>225702.59999999998</v>
      </c>
      <c r="G43" s="5">
        <f>BOM!$I$677</f>
        <v>362</v>
      </c>
      <c r="H43" s="5">
        <f t="shared" si="3"/>
        <v>6.03</v>
      </c>
      <c r="I43" s="5" t="s">
        <v>550</v>
      </c>
    </row>
    <row r="44" spans="1:9" x14ac:dyDescent="0.25">
      <c r="A44" s="5">
        <v>43</v>
      </c>
      <c r="B44" s="5" t="s">
        <v>754</v>
      </c>
      <c r="C44" s="5" t="s">
        <v>797</v>
      </c>
      <c r="D44" s="6">
        <v>1</v>
      </c>
      <c r="E44" s="5">
        <f>BOM!$H$701</f>
        <v>724203</v>
      </c>
      <c r="F44" s="5">
        <f t="shared" si="2"/>
        <v>724203</v>
      </c>
      <c r="G44" s="5">
        <f>BOM!$I$700</f>
        <v>710</v>
      </c>
      <c r="H44" s="5">
        <f t="shared" si="3"/>
        <v>11.83</v>
      </c>
      <c r="I44" s="5" t="s">
        <v>550</v>
      </c>
    </row>
    <row r="45" spans="1:9" x14ac:dyDescent="0.25">
      <c r="A45" s="5">
        <v>44</v>
      </c>
      <c r="B45" s="5" t="s">
        <v>798</v>
      </c>
      <c r="C45" s="5" t="s">
        <v>755</v>
      </c>
      <c r="D45" s="6">
        <v>1</v>
      </c>
      <c r="E45" s="5">
        <f>BOM!$H$718</f>
        <v>170326.39999999997</v>
      </c>
      <c r="F45" s="5">
        <f t="shared" si="2"/>
        <v>170326.39999999997</v>
      </c>
      <c r="G45" s="5">
        <f>BOM!$I$717</f>
        <v>252</v>
      </c>
      <c r="H45" s="5">
        <f t="shared" si="3"/>
        <v>4.2</v>
      </c>
      <c r="I45" s="5" t="s">
        <v>637</v>
      </c>
    </row>
    <row r="46" spans="1:9" x14ac:dyDescent="0.25">
      <c r="A46" s="5">
        <v>45</v>
      </c>
      <c r="B46" s="5" t="s">
        <v>798</v>
      </c>
      <c r="C46" s="5" t="s">
        <v>799</v>
      </c>
      <c r="D46" s="6">
        <v>18</v>
      </c>
      <c r="E46" s="5">
        <f>BOM!$H$733</f>
        <v>446860.6</v>
      </c>
      <c r="F46" s="5">
        <f t="shared" si="2"/>
        <v>8043490.7999999998</v>
      </c>
      <c r="G46" s="5">
        <f>BOM!$I$732</f>
        <v>638</v>
      </c>
      <c r="H46" s="5">
        <f t="shared" si="3"/>
        <v>10.63</v>
      </c>
      <c r="I46" s="5" t="s">
        <v>637</v>
      </c>
    </row>
    <row r="47" spans="1:9" x14ac:dyDescent="0.25">
      <c r="A47" s="5">
        <v>46</v>
      </c>
      <c r="B47" s="5" t="s">
        <v>798</v>
      </c>
      <c r="C47" s="5" t="s">
        <v>800</v>
      </c>
      <c r="D47" s="6">
        <v>18</v>
      </c>
      <c r="E47" s="5">
        <f>BOM!$H$748</f>
        <v>430884.2</v>
      </c>
      <c r="F47" s="5">
        <f t="shared" si="2"/>
        <v>7755915.6000000006</v>
      </c>
      <c r="G47" s="5">
        <f>BOM!$I$747</f>
        <v>551</v>
      </c>
      <c r="H47" s="5">
        <f t="shared" si="3"/>
        <v>9.18</v>
      </c>
      <c r="I47" s="5" t="s">
        <v>637</v>
      </c>
    </row>
    <row r="48" spans="1:9" x14ac:dyDescent="0.25">
      <c r="A48" s="5">
        <v>47</v>
      </c>
      <c r="B48" s="5" t="s">
        <v>798</v>
      </c>
      <c r="C48" s="5" t="s">
        <v>801</v>
      </c>
      <c r="D48" s="6">
        <v>1</v>
      </c>
      <c r="E48" s="5">
        <f>BOM!$H$767</f>
        <v>224887.59999999998</v>
      </c>
      <c r="F48" s="5">
        <f t="shared" si="2"/>
        <v>224887.59999999998</v>
      </c>
      <c r="G48" s="5">
        <f>BOM!$I$766</f>
        <v>297</v>
      </c>
      <c r="H48" s="5">
        <f t="shared" si="3"/>
        <v>4.95</v>
      </c>
      <c r="I48" s="5" t="s">
        <v>637</v>
      </c>
    </row>
    <row r="49" spans="1:9" x14ac:dyDescent="0.25">
      <c r="A49" s="5">
        <v>48</v>
      </c>
      <c r="B49" s="5" t="s">
        <v>798</v>
      </c>
      <c r="C49" s="5" t="s">
        <v>802</v>
      </c>
      <c r="D49" s="6">
        <v>1</v>
      </c>
      <c r="E49" s="5">
        <f>BOM!$H$782</f>
        <v>278643.59999999998</v>
      </c>
      <c r="F49" s="5">
        <f t="shared" si="2"/>
        <v>278643.59999999998</v>
      </c>
      <c r="G49" s="5">
        <f>BOM!$I$781</f>
        <v>397</v>
      </c>
      <c r="H49" s="5">
        <f t="shared" si="3"/>
        <v>6.62</v>
      </c>
      <c r="I49" s="5" t="s">
        <v>637</v>
      </c>
    </row>
    <row r="50" spans="1:9" x14ac:dyDescent="0.25">
      <c r="A50" s="5">
        <v>49</v>
      </c>
      <c r="B50" s="5" t="s">
        <v>798</v>
      </c>
      <c r="C50" s="5" t="s">
        <v>803</v>
      </c>
      <c r="D50" s="6">
        <v>1</v>
      </c>
      <c r="E50" s="5">
        <f>BOM!$H$797</f>
        <v>278643.59999999998</v>
      </c>
      <c r="F50" s="5">
        <f t="shared" si="2"/>
        <v>278643.59999999998</v>
      </c>
      <c r="G50" s="5">
        <f>BOM!$I$796</f>
        <v>397</v>
      </c>
      <c r="H50" s="5">
        <f t="shared" si="3"/>
        <v>6.62</v>
      </c>
      <c r="I50" s="5" t="s">
        <v>637</v>
      </c>
    </row>
    <row r="51" spans="1:9" x14ac:dyDescent="0.25">
      <c r="A51" s="5">
        <v>50</v>
      </c>
      <c r="B51" s="5" t="s">
        <v>798</v>
      </c>
      <c r="C51" s="5" t="s">
        <v>763</v>
      </c>
      <c r="D51" s="6">
        <v>1</v>
      </c>
      <c r="E51" s="5">
        <f>BOM!$H$819</f>
        <v>635374.39999999991</v>
      </c>
      <c r="F51" s="5">
        <f t="shared" si="2"/>
        <v>635374.39999999991</v>
      </c>
      <c r="G51" s="5">
        <f>BOM!$I$818</f>
        <v>662</v>
      </c>
      <c r="H51" s="5">
        <f t="shared" si="3"/>
        <v>11.03</v>
      </c>
      <c r="I51" s="5" t="s">
        <v>637</v>
      </c>
    </row>
    <row r="52" spans="1:9" x14ac:dyDescent="0.25">
      <c r="A52" s="5">
        <v>51</v>
      </c>
      <c r="B52" s="5" t="s">
        <v>798</v>
      </c>
      <c r="C52" s="5" t="s">
        <v>762</v>
      </c>
      <c r="D52" s="6">
        <v>1</v>
      </c>
      <c r="E52" s="5">
        <f>BOM!$H$839</f>
        <v>635746.39999999991</v>
      </c>
      <c r="F52" s="5">
        <f t="shared" si="2"/>
        <v>635746.39999999991</v>
      </c>
      <c r="G52" s="5">
        <f>BOM!$I$838</f>
        <v>662</v>
      </c>
      <c r="H52" s="5">
        <f t="shared" si="3"/>
        <v>11.03</v>
      </c>
      <c r="I52" s="5" t="s">
        <v>637</v>
      </c>
    </row>
    <row r="53" spans="1:9" x14ac:dyDescent="0.25">
      <c r="A53" s="5">
        <v>52</v>
      </c>
      <c r="B53" s="5" t="s">
        <v>798</v>
      </c>
      <c r="C53" s="5" t="s">
        <v>761</v>
      </c>
      <c r="D53" s="6">
        <v>1</v>
      </c>
      <c r="E53" s="5">
        <f>BOM!$H$858</f>
        <v>736978.6</v>
      </c>
      <c r="F53" s="5">
        <f t="shared" si="2"/>
        <v>736978.6</v>
      </c>
      <c r="G53" s="5">
        <f>BOM!$I$857</f>
        <v>667</v>
      </c>
      <c r="H53" s="5">
        <f t="shared" si="3"/>
        <v>11.12</v>
      </c>
      <c r="I53" s="5" t="s">
        <v>637</v>
      </c>
    </row>
    <row r="54" spans="1:9" x14ac:dyDescent="0.25">
      <c r="A54" s="5">
        <v>53</v>
      </c>
      <c r="B54" s="5" t="s">
        <v>798</v>
      </c>
      <c r="C54" s="5" t="s">
        <v>794</v>
      </c>
      <c r="D54" s="6">
        <v>1</v>
      </c>
      <c r="E54" s="5">
        <f>BOM!$H$871</f>
        <v>180194.6</v>
      </c>
      <c r="F54" s="5">
        <f t="shared" si="2"/>
        <v>180194.6</v>
      </c>
      <c r="G54" s="5">
        <f>BOM!$I$870</f>
        <v>204</v>
      </c>
      <c r="H54" s="5">
        <f t="shared" si="3"/>
        <v>3.4</v>
      </c>
      <c r="I54" s="5" t="s">
        <v>637</v>
      </c>
    </row>
    <row r="55" spans="1:9" x14ac:dyDescent="0.25">
      <c r="A55" s="5">
        <v>54</v>
      </c>
      <c r="B55" s="5" t="s">
        <v>798</v>
      </c>
      <c r="C55" s="5" t="s">
        <v>764</v>
      </c>
      <c r="D55" s="6">
        <v>1</v>
      </c>
      <c r="E55" s="5">
        <f>BOM!$H$888</f>
        <v>287937.19999999995</v>
      </c>
      <c r="F55" s="5">
        <f t="shared" si="2"/>
        <v>287937.19999999995</v>
      </c>
      <c r="G55" s="5">
        <f>BOM!$I$887</f>
        <v>424</v>
      </c>
      <c r="H55" s="5">
        <f t="shared" si="3"/>
        <v>7.07</v>
      </c>
      <c r="I55" s="5" t="s">
        <v>637</v>
      </c>
    </row>
    <row r="56" spans="1:9" x14ac:dyDescent="0.25">
      <c r="A56" s="5">
        <v>55</v>
      </c>
      <c r="B56" s="5" t="s">
        <v>798</v>
      </c>
      <c r="C56" s="5" t="s">
        <v>765</v>
      </c>
      <c r="D56" s="6">
        <v>1</v>
      </c>
      <c r="E56" s="5">
        <f>BOM!$H$900</f>
        <v>127058.4</v>
      </c>
      <c r="F56" s="5">
        <f t="shared" si="2"/>
        <v>127058.4</v>
      </c>
      <c r="G56" s="5">
        <f>BOM!$I$899</f>
        <v>173</v>
      </c>
      <c r="H56" s="5">
        <f t="shared" si="3"/>
        <v>2.88</v>
      </c>
      <c r="I56" s="5" t="s">
        <v>637</v>
      </c>
    </row>
    <row r="57" spans="1:9" x14ac:dyDescent="0.25">
      <c r="A57" s="5">
        <v>56</v>
      </c>
      <c r="B57" s="5" t="s">
        <v>798</v>
      </c>
      <c r="C57" s="5" t="s">
        <v>766</v>
      </c>
      <c r="D57" s="6">
        <v>1</v>
      </c>
      <c r="E57" s="5">
        <f>BOM!$H$917</f>
        <v>183422.19999999998</v>
      </c>
      <c r="F57" s="5">
        <f t="shared" si="2"/>
        <v>183422.19999999998</v>
      </c>
      <c r="G57" s="5">
        <f>BOM!$I$916</f>
        <v>271</v>
      </c>
      <c r="H57" s="5">
        <f t="shared" si="3"/>
        <v>4.5199999999999996</v>
      </c>
      <c r="I57" s="5" t="s">
        <v>637</v>
      </c>
    </row>
    <row r="58" spans="1:9" x14ac:dyDescent="0.25">
      <c r="A58" s="5">
        <v>57</v>
      </c>
      <c r="B58" s="5" t="s">
        <v>798</v>
      </c>
      <c r="C58" s="5" t="s">
        <v>767</v>
      </c>
      <c r="D58" s="6">
        <v>1</v>
      </c>
      <c r="E58" s="5">
        <f>BOM!$H$933</f>
        <v>168130.99999999997</v>
      </c>
      <c r="F58" s="5">
        <f t="shared" si="2"/>
        <v>168130.99999999997</v>
      </c>
      <c r="G58" s="5">
        <f>BOM!$I$932</f>
        <v>231</v>
      </c>
      <c r="H58" s="5">
        <f t="shared" si="3"/>
        <v>3.85</v>
      </c>
      <c r="I58" s="5" t="s">
        <v>637</v>
      </c>
    </row>
    <row r="59" spans="1:9" x14ac:dyDescent="0.25">
      <c r="A59" s="5">
        <v>58</v>
      </c>
      <c r="B59" s="5" t="s">
        <v>798</v>
      </c>
      <c r="C59" s="5" t="s">
        <v>768</v>
      </c>
      <c r="D59" s="6">
        <v>1</v>
      </c>
      <c r="E59" s="5">
        <f>BOM!$H$949</f>
        <v>164468.59999999998</v>
      </c>
      <c r="F59" s="5">
        <f t="shared" si="2"/>
        <v>164468.59999999998</v>
      </c>
      <c r="G59" s="5">
        <f>BOM!$I$948</f>
        <v>231</v>
      </c>
      <c r="H59" s="5">
        <f t="shared" si="3"/>
        <v>3.85</v>
      </c>
      <c r="I59" s="5" t="s">
        <v>637</v>
      </c>
    </row>
    <row r="60" spans="1:9" x14ac:dyDescent="0.25">
      <c r="A60" s="5">
        <v>59</v>
      </c>
      <c r="B60" s="5" t="s">
        <v>798</v>
      </c>
      <c r="C60" s="5" t="s">
        <v>769</v>
      </c>
      <c r="D60" s="6">
        <v>1</v>
      </c>
      <c r="E60" s="5">
        <f>BOM!$H$965</f>
        <v>165846.99999999997</v>
      </c>
      <c r="F60" s="5">
        <f t="shared" si="2"/>
        <v>165846.99999999997</v>
      </c>
      <c r="G60" s="5">
        <f>BOM!$I$964</f>
        <v>235</v>
      </c>
      <c r="H60" s="5">
        <f t="shared" si="3"/>
        <v>3.92</v>
      </c>
      <c r="I60" s="5" t="s">
        <v>637</v>
      </c>
    </row>
    <row r="61" spans="1:9" x14ac:dyDescent="0.25">
      <c r="A61" s="5">
        <v>60</v>
      </c>
      <c r="B61" s="5" t="s">
        <v>798</v>
      </c>
      <c r="C61" s="5" t="s">
        <v>770</v>
      </c>
      <c r="D61" s="6">
        <v>1</v>
      </c>
      <c r="E61" s="5">
        <f>BOM!$H$981</f>
        <v>156116.39999999997</v>
      </c>
      <c r="F61" s="5">
        <f t="shared" si="2"/>
        <v>156116.39999999997</v>
      </c>
      <c r="G61" s="5">
        <f>BOM!$I$980</f>
        <v>221</v>
      </c>
      <c r="H61" s="5">
        <f t="shared" si="3"/>
        <v>3.68</v>
      </c>
      <c r="I61" s="5" t="s">
        <v>637</v>
      </c>
    </row>
    <row r="62" spans="1:9" x14ac:dyDescent="0.25">
      <c r="A62" s="5">
        <v>61</v>
      </c>
      <c r="B62" s="5" t="s">
        <v>798</v>
      </c>
      <c r="C62" s="5" t="s">
        <v>771</v>
      </c>
      <c r="D62" s="6">
        <v>1</v>
      </c>
      <c r="E62" s="5">
        <f>BOM!$H$997</f>
        <v>164655</v>
      </c>
      <c r="F62" s="5">
        <f t="shared" si="2"/>
        <v>164655</v>
      </c>
      <c r="G62" s="5">
        <f>BOM!$I$996</f>
        <v>245</v>
      </c>
      <c r="H62" s="5">
        <f t="shared" si="3"/>
        <v>4.08</v>
      </c>
      <c r="I62" s="5" t="s">
        <v>637</v>
      </c>
    </row>
    <row r="63" spans="1:9" x14ac:dyDescent="0.25">
      <c r="A63" s="5">
        <v>62</v>
      </c>
      <c r="B63" s="5" t="s">
        <v>798</v>
      </c>
      <c r="C63" s="5" t="s">
        <v>772</v>
      </c>
      <c r="D63" s="6">
        <v>1</v>
      </c>
      <c r="E63" s="5">
        <f>BOM!$H$1013</f>
        <v>164655</v>
      </c>
      <c r="F63" s="5">
        <f t="shared" si="2"/>
        <v>164655</v>
      </c>
      <c r="G63" s="5">
        <f>BOM!$I$1012</f>
        <v>245</v>
      </c>
      <c r="H63" s="5">
        <f t="shared" si="3"/>
        <v>4.08</v>
      </c>
      <c r="I63" s="5" t="s">
        <v>637</v>
      </c>
    </row>
    <row r="64" spans="1:9" x14ac:dyDescent="0.25">
      <c r="A64" s="5">
        <v>63</v>
      </c>
      <c r="B64" s="5" t="s">
        <v>798</v>
      </c>
      <c r="C64" s="5" t="s">
        <v>773</v>
      </c>
      <c r="D64" s="6">
        <v>1</v>
      </c>
      <c r="E64" s="5">
        <f>BOM!$H$1029</f>
        <v>159688.39999999997</v>
      </c>
      <c r="F64" s="5">
        <f t="shared" si="2"/>
        <v>159688.39999999997</v>
      </c>
      <c r="G64" s="5">
        <f>BOM!$I$1028</f>
        <v>231</v>
      </c>
      <c r="H64" s="5">
        <f t="shared" si="3"/>
        <v>3.85</v>
      </c>
      <c r="I64" s="5" t="s">
        <v>637</v>
      </c>
    </row>
    <row r="65" spans="1:9" x14ac:dyDescent="0.25">
      <c r="A65" s="5">
        <v>64</v>
      </c>
      <c r="B65" s="5" t="s">
        <v>798</v>
      </c>
      <c r="C65" s="5" t="s">
        <v>774</v>
      </c>
      <c r="D65" s="6">
        <v>1</v>
      </c>
      <c r="E65" s="5">
        <f>BOM!$H$1045</f>
        <v>154373.39999999997</v>
      </c>
      <c r="F65" s="5">
        <f t="shared" si="2"/>
        <v>154373.39999999997</v>
      </c>
      <c r="G65" s="5">
        <f>BOM!$I$1044</f>
        <v>221</v>
      </c>
      <c r="H65" s="5">
        <f t="shared" si="3"/>
        <v>3.68</v>
      </c>
      <c r="I65" s="5" t="s">
        <v>637</v>
      </c>
    </row>
    <row r="66" spans="1:9" x14ac:dyDescent="0.25">
      <c r="A66" s="5">
        <v>65</v>
      </c>
      <c r="B66" s="5" t="s">
        <v>798</v>
      </c>
      <c r="C66" s="5" t="s">
        <v>775</v>
      </c>
      <c r="D66" s="6">
        <v>1</v>
      </c>
      <c r="E66" s="5">
        <f>BOM!$H$1061</f>
        <v>161737.79999999999</v>
      </c>
      <c r="F66" s="5">
        <f t="shared" ref="F66:F98" si="4">IF($E66="","",$E66*$D66)</f>
        <v>161737.79999999999</v>
      </c>
      <c r="G66" s="5">
        <f>BOM!$I$1060</f>
        <v>242</v>
      </c>
      <c r="H66" s="5">
        <f t="shared" ref="H66:H99" si="5">ROUND($G66/60,2)</f>
        <v>4.03</v>
      </c>
      <c r="I66" s="5" t="s">
        <v>637</v>
      </c>
    </row>
    <row r="67" spans="1:9" x14ac:dyDescent="0.25">
      <c r="A67" s="5">
        <v>66</v>
      </c>
      <c r="B67" s="5" t="s">
        <v>798</v>
      </c>
      <c r="C67" s="5" t="s">
        <v>776</v>
      </c>
      <c r="D67" s="6">
        <v>1</v>
      </c>
      <c r="E67" s="5">
        <f>BOM!$H$1077</f>
        <v>164655</v>
      </c>
      <c r="F67" s="5">
        <f t="shared" si="4"/>
        <v>164655</v>
      </c>
      <c r="G67" s="5">
        <f>BOM!$I$1076</f>
        <v>245</v>
      </c>
      <c r="H67" s="5">
        <f t="shared" si="5"/>
        <v>4.08</v>
      </c>
      <c r="I67" s="5" t="s">
        <v>637</v>
      </c>
    </row>
    <row r="68" spans="1:9" x14ac:dyDescent="0.25">
      <c r="A68" s="5">
        <v>67</v>
      </c>
      <c r="B68" s="5" t="s">
        <v>798</v>
      </c>
      <c r="C68" s="5" t="s">
        <v>777</v>
      </c>
      <c r="D68" s="6">
        <v>1</v>
      </c>
      <c r="E68" s="5">
        <f>BOM!$H$1093</f>
        <v>158767.79999999999</v>
      </c>
      <c r="F68" s="5">
        <f t="shared" si="4"/>
        <v>158767.79999999999</v>
      </c>
      <c r="G68" s="5">
        <f>BOM!$I$1092</f>
        <v>228</v>
      </c>
      <c r="H68" s="5">
        <f t="shared" si="5"/>
        <v>3.8</v>
      </c>
      <c r="I68" s="5" t="s">
        <v>637</v>
      </c>
    </row>
    <row r="69" spans="1:9" x14ac:dyDescent="0.25">
      <c r="A69" s="5">
        <v>68</v>
      </c>
      <c r="B69" s="5" t="s">
        <v>798</v>
      </c>
      <c r="C69" s="5" t="s">
        <v>778</v>
      </c>
      <c r="D69" s="6">
        <v>1</v>
      </c>
      <c r="E69" s="5">
        <f>BOM!$H$1109</f>
        <v>154373.39999999997</v>
      </c>
      <c r="F69" s="5">
        <f t="shared" si="4"/>
        <v>154373.39999999997</v>
      </c>
      <c r="G69" s="5">
        <f>BOM!$I$1108</f>
        <v>221</v>
      </c>
      <c r="H69" s="5">
        <f t="shared" si="5"/>
        <v>3.68</v>
      </c>
      <c r="I69" s="5" t="s">
        <v>637</v>
      </c>
    </row>
    <row r="70" spans="1:9" x14ac:dyDescent="0.25">
      <c r="A70" s="5">
        <v>69</v>
      </c>
      <c r="B70" s="5" t="s">
        <v>798</v>
      </c>
      <c r="C70" s="5" t="s">
        <v>779</v>
      </c>
      <c r="D70" s="6">
        <v>1</v>
      </c>
      <c r="E70" s="5">
        <f>BOM!$H$1125</f>
        <v>161737.79999999999</v>
      </c>
      <c r="F70" s="5">
        <f t="shared" si="4"/>
        <v>161737.79999999999</v>
      </c>
      <c r="G70" s="5">
        <f>BOM!$I$1124</f>
        <v>242</v>
      </c>
      <c r="H70" s="5">
        <f t="shared" si="5"/>
        <v>4.03</v>
      </c>
      <c r="I70" s="5" t="s">
        <v>637</v>
      </c>
    </row>
    <row r="71" spans="1:9" x14ac:dyDescent="0.25">
      <c r="A71" s="5">
        <v>70</v>
      </c>
      <c r="B71" s="5" t="s">
        <v>798</v>
      </c>
      <c r="C71" s="5" t="s">
        <v>780</v>
      </c>
      <c r="D71" s="6">
        <v>1</v>
      </c>
      <c r="E71" s="5">
        <f>BOM!$H$1141</f>
        <v>171315.8</v>
      </c>
      <c r="F71" s="5">
        <f t="shared" si="4"/>
        <v>171315.8</v>
      </c>
      <c r="G71" s="5">
        <f>BOM!$I$1140</f>
        <v>255</v>
      </c>
      <c r="H71" s="5">
        <f t="shared" si="5"/>
        <v>4.25</v>
      </c>
      <c r="I71" s="5" t="s">
        <v>637</v>
      </c>
    </row>
    <row r="72" spans="1:9" x14ac:dyDescent="0.25">
      <c r="A72" s="5">
        <v>71</v>
      </c>
      <c r="B72" s="5" t="s">
        <v>798</v>
      </c>
      <c r="C72" s="5" t="s">
        <v>781</v>
      </c>
      <c r="D72" s="6">
        <v>1</v>
      </c>
      <c r="E72" s="5">
        <f>BOM!$H$1157</f>
        <v>157024.79999999999</v>
      </c>
      <c r="F72" s="5">
        <f t="shared" si="4"/>
        <v>157024.79999999999</v>
      </c>
      <c r="G72" s="5">
        <f>BOM!$I$1156</f>
        <v>228</v>
      </c>
      <c r="H72" s="5">
        <f t="shared" si="5"/>
        <v>3.8</v>
      </c>
      <c r="I72" s="5" t="s">
        <v>637</v>
      </c>
    </row>
    <row r="73" spans="1:9" x14ac:dyDescent="0.25">
      <c r="A73" s="5">
        <v>72</v>
      </c>
      <c r="B73" s="5" t="s">
        <v>798</v>
      </c>
      <c r="C73" s="5" t="s">
        <v>782</v>
      </c>
      <c r="D73" s="6">
        <v>1</v>
      </c>
      <c r="E73" s="5">
        <f>BOM!$H$1173</f>
        <v>155565.79999999999</v>
      </c>
      <c r="F73" s="5">
        <f t="shared" si="4"/>
        <v>155565.79999999999</v>
      </c>
      <c r="G73" s="5">
        <f>BOM!$I$1172</f>
        <v>224</v>
      </c>
      <c r="H73" s="5">
        <f t="shared" si="5"/>
        <v>3.73</v>
      </c>
      <c r="I73" s="5" t="s">
        <v>637</v>
      </c>
    </row>
    <row r="74" spans="1:9" x14ac:dyDescent="0.25">
      <c r="A74" s="5">
        <v>73</v>
      </c>
      <c r="B74" s="5" t="s">
        <v>798</v>
      </c>
      <c r="C74" s="5" t="s">
        <v>783</v>
      </c>
      <c r="D74" s="6">
        <v>1</v>
      </c>
      <c r="E74" s="5">
        <f>BOM!$H$1189</f>
        <v>161737.79999999999</v>
      </c>
      <c r="F74" s="5">
        <f t="shared" si="4"/>
        <v>161737.79999999999</v>
      </c>
      <c r="G74" s="5">
        <f>BOM!$I$1188</f>
        <v>242</v>
      </c>
      <c r="H74" s="5">
        <f t="shared" si="5"/>
        <v>4.03</v>
      </c>
      <c r="I74" s="5" t="s">
        <v>637</v>
      </c>
    </row>
    <row r="75" spans="1:9" x14ac:dyDescent="0.25">
      <c r="A75" s="5">
        <v>74</v>
      </c>
      <c r="B75" s="5" t="s">
        <v>798</v>
      </c>
      <c r="C75" s="5" t="s">
        <v>791</v>
      </c>
      <c r="D75" s="6">
        <v>1</v>
      </c>
      <c r="E75" s="5">
        <f>BOM!$H$1202</f>
        <v>161846.19999999998</v>
      </c>
      <c r="F75" s="5">
        <f t="shared" si="4"/>
        <v>161846.19999999998</v>
      </c>
      <c r="G75" s="5">
        <f>BOM!$I$1201</f>
        <v>222</v>
      </c>
      <c r="H75" s="5">
        <f t="shared" si="5"/>
        <v>3.7</v>
      </c>
      <c r="I75" s="5" t="s">
        <v>637</v>
      </c>
    </row>
    <row r="76" spans="1:9" x14ac:dyDescent="0.25">
      <c r="A76" s="5">
        <v>75</v>
      </c>
      <c r="B76" s="5" t="s">
        <v>798</v>
      </c>
      <c r="C76" s="5" t="s">
        <v>784</v>
      </c>
      <c r="D76" s="6">
        <v>1</v>
      </c>
      <c r="E76" s="5">
        <f>BOM!$H$1218</f>
        <v>162912</v>
      </c>
      <c r="F76" s="5">
        <f t="shared" si="4"/>
        <v>162912</v>
      </c>
      <c r="G76" s="5">
        <f>BOM!$I$1217</f>
        <v>245</v>
      </c>
      <c r="H76" s="5">
        <f t="shared" si="5"/>
        <v>4.08</v>
      </c>
      <c r="I76" s="5" t="s">
        <v>637</v>
      </c>
    </row>
    <row r="77" spans="1:9" x14ac:dyDescent="0.25">
      <c r="A77" s="5">
        <v>76</v>
      </c>
      <c r="B77" s="5" t="s">
        <v>798</v>
      </c>
      <c r="C77" s="5" t="s">
        <v>785</v>
      </c>
      <c r="D77" s="6">
        <v>1</v>
      </c>
      <c r="E77" s="5">
        <f>BOM!$H$1234</f>
        <v>157024.79999999999</v>
      </c>
      <c r="F77" s="5">
        <f t="shared" si="4"/>
        <v>157024.79999999999</v>
      </c>
      <c r="G77" s="5">
        <f>BOM!$I$1233</f>
        <v>228</v>
      </c>
      <c r="H77" s="5">
        <f t="shared" si="5"/>
        <v>3.8</v>
      </c>
      <c r="I77" s="5" t="s">
        <v>637</v>
      </c>
    </row>
    <row r="78" spans="1:9" x14ac:dyDescent="0.25">
      <c r="A78" s="5">
        <v>77</v>
      </c>
      <c r="B78" s="5" t="s">
        <v>798</v>
      </c>
      <c r="C78" s="5" t="s">
        <v>790</v>
      </c>
      <c r="D78" s="6">
        <v>1</v>
      </c>
      <c r="E78" s="5">
        <f>BOM!$H$1250</f>
        <v>200965.8</v>
      </c>
      <c r="F78" s="5">
        <f t="shared" si="4"/>
        <v>200965.8</v>
      </c>
      <c r="G78" s="5">
        <f>BOM!$I$1249</f>
        <v>311</v>
      </c>
      <c r="H78" s="5">
        <f t="shared" si="5"/>
        <v>5.18</v>
      </c>
      <c r="I78" s="5" t="s">
        <v>637</v>
      </c>
    </row>
    <row r="79" spans="1:9" x14ac:dyDescent="0.25">
      <c r="A79" s="5">
        <v>78</v>
      </c>
      <c r="B79" s="5" t="s">
        <v>798</v>
      </c>
      <c r="C79" s="5" t="s">
        <v>792</v>
      </c>
      <c r="D79" s="6">
        <v>1</v>
      </c>
      <c r="E79" s="5">
        <f>BOM!$H$1262</f>
        <v>212336.6</v>
      </c>
      <c r="F79" s="5">
        <f t="shared" si="4"/>
        <v>212336.6</v>
      </c>
      <c r="G79" s="5">
        <f>BOM!$I$1261</f>
        <v>323</v>
      </c>
      <c r="H79" s="5">
        <f t="shared" si="5"/>
        <v>5.38</v>
      </c>
      <c r="I79" s="5" t="s">
        <v>637</v>
      </c>
    </row>
    <row r="80" spans="1:9" x14ac:dyDescent="0.25">
      <c r="A80" s="5">
        <v>79</v>
      </c>
      <c r="B80" s="5" t="s">
        <v>798</v>
      </c>
      <c r="C80" s="5" t="s">
        <v>793</v>
      </c>
      <c r="D80" s="6">
        <v>1</v>
      </c>
      <c r="E80" s="5">
        <f>BOM!$H$1278</f>
        <v>175382.2</v>
      </c>
      <c r="F80" s="5">
        <f t="shared" si="4"/>
        <v>175382.2</v>
      </c>
      <c r="G80" s="5">
        <f>BOM!$I$1277</f>
        <v>274</v>
      </c>
      <c r="H80" s="5">
        <f t="shared" si="5"/>
        <v>4.57</v>
      </c>
      <c r="I80" s="5" t="s">
        <v>637</v>
      </c>
    </row>
    <row r="81" spans="1:9" x14ac:dyDescent="0.25">
      <c r="A81" s="5">
        <v>80</v>
      </c>
      <c r="B81" s="5" t="s">
        <v>798</v>
      </c>
      <c r="C81" s="5" t="s">
        <v>795</v>
      </c>
      <c r="D81" s="6">
        <v>1</v>
      </c>
      <c r="E81" s="5">
        <f>BOM!$H$1291</f>
        <v>156690.79999999999</v>
      </c>
      <c r="F81" s="5">
        <f t="shared" si="4"/>
        <v>156690.79999999999</v>
      </c>
      <c r="G81" s="5">
        <f>BOM!$I$1290</f>
        <v>240</v>
      </c>
      <c r="H81" s="5">
        <f t="shared" si="5"/>
        <v>4</v>
      </c>
      <c r="I81" s="5" t="s">
        <v>637</v>
      </c>
    </row>
    <row r="82" spans="1:9" x14ac:dyDescent="0.25">
      <c r="A82" s="5">
        <v>81</v>
      </c>
      <c r="B82" s="5" t="s">
        <v>798</v>
      </c>
      <c r="C82" s="5" t="s">
        <v>796</v>
      </c>
      <c r="D82" s="6">
        <v>1</v>
      </c>
      <c r="E82" s="5">
        <f>BOM!$H$1308</f>
        <v>243205.99999999997</v>
      </c>
      <c r="F82" s="5">
        <f t="shared" si="4"/>
        <v>243205.99999999997</v>
      </c>
      <c r="G82" s="5">
        <f>BOM!$I$1307</f>
        <v>362</v>
      </c>
      <c r="H82" s="5">
        <f t="shared" si="5"/>
        <v>6.03</v>
      </c>
      <c r="I82" s="5" t="s">
        <v>637</v>
      </c>
    </row>
    <row r="83" spans="1:9" x14ac:dyDescent="0.25">
      <c r="A83" s="5">
        <v>82</v>
      </c>
      <c r="B83" s="5" t="s">
        <v>798</v>
      </c>
      <c r="C83" s="5" t="s">
        <v>797</v>
      </c>
      <c r="D83" s="6">
        <v>1</v>
      </c>
      <c r="E83" s="5">
        <f>BOM!$H$1329</f>
        <v>760740.60000000009</v>
      </c>
      <c r="F83" s="5">
        <f t="shared" si="4"/>
        <v>760740.60000000009</v>
      </c>
      <c r="G83" s="5">
        <f>BOM!$I$1328</f>
        <v>744</v>
      </c>
      <c r="H83" s="5">
        <f t="shared" si="5"/>
        <v>12.4</v>
      </c>
      <c r="I83" s="5" t="s">
        <v>637</v>
      </c>
    </row>
    <row r="84" spans="1:9" x14ac:dyDescent="0.25">
      <c r="A84" s="5">
        <v>83</v>
      </c>
      <c r="B84" s="5" t="s">
        <v>804</v>
      </c>
      <c r="C84" s="5" t="s">
        <v>805</v>
      </c>
      <c r="D84" s="6">
        <v>1</v>
      </c>
      <c r="E84" s="5">
        <f>BOM!$H$1348</f>
        <v>652236.39999999991</v>
      </c>
      <c r="F84" s="5">
        <f t="shared" si="4"/>
        <v>652236.39999999991</v>
      </c>
      <c r="G84" s="5">
        <f>BOM!$I$1347</f>
        <v>577</v>
      </c>
      <c r="H84" s="5">
        <f t="shared" si="5"/>
        <v>9.6199999999999992</v>
      </c>
      <c r="I84" s="5" t="s">
        <v>716</v>
      </c>
    </row>
    <row r="85" spans="1:9" x14ac:dyDescent="0.25">
      <c r="A85" s="5">
        <v>84</v>
      </c>
      <c r="B85" s="5" t="s">
        <v>804</v>
      </c>
      <c r="C85" s="5" t="s">
        <v>806</v>
      </c>
      <c r="D85" s="6">
        <v>1</v>
      </c>
      <c r="E85" s="5">
        <f>BOM!$H$1370</f>
        <v>753431.79999999993</v>
      </c>
      <c r="F85" s="5">
        <f t="shared" si="4"/>
        <v>753431.79999999993</v>
      </c>
      <c r="G85" s="5">
        <f>BOM!$I$1369</f>
        <v>782</v>
      </c>
      <c r="H85" s="5">
        <f t="shared" si="5"/>
        <v>13.03</v>
      </c>
      <c r="I85" s="5" t="s">
        <v>716</v>
      </c>
    </row>
    <row r="86" spans="1:9" x14ac:dyDescent="0.25">
      <c r="A86" s="5">
        <v>85</v>
      </c>
      <c r="B86" s="5" t="s">
        <v>804</v>
      </c>
      <c r="C86" s="5" t="s">
        <v>807</v>
      </c>
      <c r="D86" s="6">
        <v>1</v>
      </c>
      <c r="E86" s="5">
        <f>BOM!$H$1386</f>
        <v>150009.99999999997</v>
      </c>
      <c r="F86" s="5">
        <f t="shared" si="4"/>
        <v>150009.99999999997</v>
      </c>
      <c r="G86" s="5">
        <f>BOM!$I$1385</f>
        <v>204</v>
      </c>
      <c r="H86" s="5">
        <f t="shared" si="5"/>
        <v>3.4</v>
      </c>
      <c r="I86" s="5" t="s">
        <v>716</v>
      </c>
    </row>
    <row r="87" spans="1:9" x14ac:dyDescent="0.25">
      <c r="A87" s="5">
        <v>86</v>
      </c>
      <c r="B87" s="5" t="s">
        <v>804</v>
      </c>
      <c r="C87" s="5" t="s">
        <v>808</v>
      </c>
      <c r="D87" s="6">
        <v>1</v>
      </c>
      <c r="E87" s="5">
        <f>BOM!$H$1403</f>
        <v>277510.59999999998</v>
      </c>
      <c r="F87" s="5">
        <f t="shared" si="4"/>
        <v>277510.59999999998</v>
      </c>
      <c r="G87" s="5">
        <f>BOM!$I$1402</f>
        <v>398</v>
      </c>
      <c r="H87" s="5">
        <f t="shared" si="5"/>
        <v>6.63</v>
      </c>
      <c r="I87" s="5" t="s">
        <v>716</v>
      </c>
    </row>
    <row r="88" spans="1:9" x14ac:dyDescent="0.25">
      <c r="A88" s="5">
        <v>87</v>
      </c>
      <c r="B88" s="5" t="s">
        <v>809</v>
      </c>
      <c r="C88" s="5" t="s">
        <v>810</v>
      </c>
      <c r="D88" s="6">
        <v>1</v>
      </c>
      <c r="E88" s="5">
        <f>BOM!$H$1444</f>
        <v>41649389.400000006</v>
      </c>
      <c r="F88" s="5">
        <f t="shared" si="4"/>
        <v>41649389.400000006</v>
      </c>
      <c r="G88" s="5">
        <f>BOM!$I$1443</f>
        <v>23925</v>
      </c>
      <c r="H88" s="5">
        <f t="shared" si="5"/>
        <v>398.75</v>
      </c>
      <c r="I88" s="5" t="s">
        <v>725</v>
      </c>
    </row>
    <row r="89" spans="1:9" x14ac:dyDescent="0.25">
      <c r="A89" s="5">
        <v>88</v>
      </c>
      <c r="B89" s="5" t="s">
        <v>809</v>
      </c>
      <c r="C89" s="5" t="s">
        <v>811</v>
      </c>
      <c r="D89" s="6">
        <v>1</v>
      </c>
      <c r="E89" s="5">
        <f>BOM!$H$1470</f>
        <v>2970013</v>
      </c>
      <c r="F89" s="5">
        <f t="shared" si="4"/>
        <v>2970013</v>
      </c>
      <c r="G89" s="5">
        <f>BOM!$I$1469</f>
        <v>2513</v>
      </c>
      <c r="H89" s="5">
        <f t="shared" si="5"/>
        <v>41.88</v>
      </c>
      <c r="I89" s="5" t="s">
        <v>725</v>
      </c>
    </row>
    <row r="90" spans="1:9" x14ac:dyDescent="0.25">
      <c r="A90" s="5">
        <v>89</v>
      </c>
      <c r="B90" s="5" t="s">
        <v>809</v>
      </c>
      <c r="C90" s="5" t="s">
        <v>812</v>
      </c>
      <c r="D90" s="6">
        <v>1</v>
      </c>
      <c r="E90" s="5">
        <f>BOM!$H$1496</f>
        <v>2970013</v>
      </c>
      <c r="F90" s="5">
        <f t="shared" si="4"/>
        <v>2970013</v>
      </c>
      <c r="G90" s="5">
        <f>BOM!$I$1495</f>
        <v>2513</v>
      </c>
      <c r="H90" s="5">
        <f t="shared" si="5"/>
        <v>41.88</v>
      </c>
      <c r="I90" s="5" t="s">
        <v>725</v>
      </c>
    </row>
    <row r="91" spans="1:9" x14ac:dyDescent="0.25">
      <c r="A91" s="5">
        <v>90</v>
      </c>
      <c r="B91" s="5" t="s">
        <v>809</v>
      </c>
      <c r="C91" s="5" t="s">
        <v>813</v>
      </c>
      <c r="D91" s="6">
        <v>1</v>
      </c>
      <c r="E91" s="5">
        <f>BOM!$H$1518</f>
        <v>4033176.1999999997</v>
      </c>
      <c r="F91" s="5">
        <f t="shared" si="4"/>
        <v>4033176.1999999997</v>
      </c>
      <c r="G91" s="5">
        <f>BOM!$I$1517</f>
        <v>2983</v>
      </c>
      <c r="H91" s="5">
        <f t="shared" si="5"/>
        <v>49.72</v>
      </c>
      <c r="I91" s="5" t="s">
        <v>725</v>
      </c>
    </row>
    <row r="92" spans="1:9" x14ac:dyDescent="0.25">
      <c r="A92" s="5">
        <v>91</v>
      </c>
      <c r="B92" s="5" t="s">
        <v>809</v>
      </c>
      <c r="C92" s="5" t="s">
        <v>814</v>
      </c>
      <c r="D92" s="6">
        <v>1</v>
      </c>
      <c r="E92" s="5">
        <f>BOM!$H$1541</f>
        <v>1739069.7999999998</v>
      </c>
      <c r="F92" s="5">
        <f t="shared" si="4"/>
        <v>1739069.7999999998</v>
      </c>
      <c r="G92" s="5">
        <f>BOM!$I$1540</f>
        <v>1618</v>
      </c>
      <c r="H92" s="5">
        <f t="shared" si="5"/>
        <v>26.97</v>
      </c>
      <c r="I92" s="5" t="s">
        <v>725</v>
      </c>
    </row>
    <row r="93" spans="1:9" x14ac:dyDescent="0.25">
      <c r="A93" s="5">
        <v>92</v>
      </c>
      <c r="B93" s="5" t="s">
        <v>809</v>
      </c>
      <c r="C93" s="5" t="s">
        <v>815</v>
      </c>
      <c r="D93" s="6">
        <v>1</v>
      </c>
      <c r="E93" s="5">
        <f>BOM!$H$1559</f>
        <v>1031849.8</v>
      </c>
      <c r="F93" s="5">
        <f t="shared" si="4"/>
        <v>1031849.8</v>
      </c>
      <c r="G93" s="5">
        <f>BOM!$I$1558</f>
        <v>649</v>
      </c>
      <c r="H93" s="5">
        <f t="shared" si="5"/>
        <v>10.82</v>
      </c>
      <c r="I93" s="5" t="s">
        <v>725</v>
      </c>
    </row>
    <row r="94" spans="1:9" x14ac:dyDescent="0.25">
      <c r="A94" s="5">
        <v>93</v>
      </c>
      <c r="B94" s="5" t="s">
        <v>809</v>
      </c>
      <c r="C94" s="5" t="s">
        <v>816</v>
      </c>
      <c r="D94" s="6">
        <v>1</v>
      </c>
      <c r="E94" s="5">
        <f>BOM!$H$1580</f>
        <v>1636955.2</v>
      </c>
      <c r="F94" s="5">
        <f t="shared" si="4"/>
        <v>1636955.2</v>
      </c>
      <c r="G94" s="5">
        <f>BOM!$I$1579</f>
        <v>1099</v>
      </c>
      <c r="H94" s="5">
        <f t="shared" si="5"/>
        <v>18.32</v>
      </c>
      <c r="I94" s="5" t="s">
        <v>725</v>
      </c>
    </row>
    <row r="95" spans="1:9" x14ac:dyDescent="0.25">
      <c r="A95" s="5">
        <v>94</v>
      </c>
      <c r="B95" s="5" t="s">
        <v>809</v>
      </c>
      <c r="C95" s="5" t="s">
        <v>817</v>
      </c>
      <c r="D95" s="6">
        <v>1</v>
      </c>
      <c r="E95" s="5">
        <f>BOM!$H$1602</f>
        <v>3937480</v>
      </c>
      <c r="F95" s="5">
        <f t="shared" si="4"/>
        <v>3937480</v>
      </c>
      <c r="G95" s="5">
        <f>BOM!$I$1601</f>
        <v>2954</v>
      </c>
      <c r="H95" s="5">
        <f t="shared" si="5"/>
        <v>49.23</v>
      </c>
      <c r="I95" s="5" t="s">
        <v>725</v>
      </c>
    </row>
    <row r="96" spans="1:9" x14ac:dyDescent="0.25">
      <c r="A96" s="5">
        <v>95</v>
      </c>
      <c r="B96" s="5" t="s">
        <v>809</v>
      </c>
      <c r="C96" s="5" t="s">
        <v>818</v>
      </c>
      <c r="D96" s="6">
        <v>1</v>
      </c>
      <c r="E96" s="5">
        <f>BOM!$H$1623</f>
        <v>1693059.4</v>
      </c>
      <c r="F96" s="5">
        <f t="shared" si="4"/>
        <v>1693059.4</v>
      </c>
      <c r="G96" s="5">
        <f>BOM!$I$1622</f>
        <v>1601</v>
      </c>
      <c r="H96" s="5">
        <f t="shared" si="5"/>
        <v>26.68</v>
      </c>
      <c r="I96" s="5" t="s">
        <v>725</v>
      </c>
    </row>
    <row r="97" spans="1:9" x14ac:dyDescent="0.25">
      <c r="A97" s="5">
        <v>96</v>
      </c>
      <c r="B97" s="5" t="s">
        <v>809</v>
      </c>
      <c r="C97" s="5" t="s">
        <v>819</v>
      </c>
      <c r="D97" s="6">
        <v>1</v>
      </c>
      <c r="E97" s="5">
        <f>BOM!$H$1641</f>
        <v>991580.60000000009</v>
      </c>
      <c r="F97" s="5">
        <f t="shared" si="4"/>
        <v>991580.60000000009</v>
      </c>
      <c r="G97" s="5">
        <f>BOM!$I$1640</f>
        <v>631</v>
      </c>
      <c r="H97" s="5">
        <f t="shared" si="5"/>
        <v>10.52</v>
      </c>
      <c r="I97" s="5" t="s">
        <v>725</v>
      </c>
    </row>
    <row r="98" spans="1:9" x14ac:dyDescent="0.25">
      <c r="A98" s="5">
        <v>97</v>
      </c>
      <c r="B98" s="5" t="s">
        <v>809</v>
      </c>
      <c r="C98" s="5" t="s">
        <v>820</v>
      </c>
      <c r="D98" s="6">
        <v>1</v>
      </c>
      <c r="E98" s="5">
        <f>BOM!$H$1663</f>
        <v>1673337.4</v>
      </c>
      <c r="F98" s="5">
        <f t="shared" si="4"/>
        <v>1673337.4</v>
      </c>
      <c r="G98" s="5">
        <f>BOM!$I$1662</f>
        <v>1117</v>
      </c>
      <c r="H98" s="5">
        <f t="shared" si="5"/>
        <v>18.62</v>
      </c>
      <c r="I98" s="5" t="s">
        <v>725</v>
      </c>
    </row>
    <row r="99" spans="1:9" x14ac:dyDescent="0.25">
      <c r="A99" s="10"/>
      <c r="B99" s="10"/>
      <c r="C99" s="10" t="s">
        <v>14</v>
      </c>
      <c r="D99" s="10">
        <f>SUM(D2:D98)</f>
        <v>169</v>
      </c>
      <c r="E99" s="10"/>
      <c r="F99" s="10">
        <f>SUM(F2:F98)</f>
        <v>117702013.39999999</v>
      </c>
      <c r="G99" s="10">
        <f>SUMPRODUCT($D$2:$D$98,$G$2:$G$98)</f>
        <v>112377</v>
      </c>
      <c r="H99" s="10">
        <f t="shared" si="5"/>
        <v>1872.95</v>
      </c>
      <c r="I99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zoomScaleNormal="100" workbookViewId="0"/>
  </sheetViews>
  <sheetFormatPr defaultColWidth="8.7109375" defaultRowHeight="15" x14ac:dyDescent="0.25"/>
  <cols>
    <col min="1" max="1" width="42" customWidth="1"/>
    <col min="2" max="2" width="26" customWidth="1"/>
  </cols>
  <sheetData>
    <row r="1" spans="1:3" ht="16.5" x14ac:dyDescent="0.25">
      <c r="A1" s="1" t="s">
        <v>821</v>
      </c>
    </row>
    <row r="3" spans="1:3" x14ac:dyDescent="0.25">
      <c r="A3" s="2" t="s">
        <v>822</v>
      </c>
      <c r="B3">
        <f>OZET!$F$99</f>
        <v>117702013.39999999</v>
      </c>
    </row>
    <row r="4" spans="1:3" x14ac:dyDescent="0.25">
      <c r="A4" s="2" t="s">
        <v>823</v>
      </c>
      <c r="B4">
        <f>SUMIFS(BOM!$H:$H,BOM!$D:$D,"ISCILIK-MONTAJ")</f>
        <v>6955400</v>
      </c>
    </row>
    <row r="5" spans="1:3" x14ac:dyDescent="0.25">
      <c r="A5" s="2" t="s">
        <v>824</v>
      </c>
      <c r="B5">
        <f>SUMIFS(BOM!$H:$H,BOM!$D:$D,"MONTAJ-MALZEME")</f>
        <v>5177798</v>
      </c>
    </row>
    <row r="6" spans="1:3" x14ac:dyDescent="0.25">
      <c r="A6" s="2" t="s">
        <v>825</v>
      </c>
      <c r="B6">
        <f>B3</f>
        <v>117702013.39999999</v>
      </c>
    </row>
    <row r="7" spans="1:3" x14ac:dyDescent="0.25">
      <c r="A7" s="2" t="s">
        <v>826</v>
      </c>
      <c r="B7" t="str">
        <f>IF(KURALLAR!$B$75="","",B6*KURALLAR!$B$75)</f>
        <v/>
      </c>
    </row>
    <row r="8" spans="1:3" x14ac:dyDescent="0.25">
      <c r="A8" s="2" t="s">
        <v>827</v>
      </c>
      <c r="B8" t="str">
        <f>IF(KURALLAR!$B$76="","",-B6*KURALLAR!$B$76)</f>
        <v/>
      </c>
    </row>
    <row r="9" spans="1:3" x14ac:dyDescent="0.25">
      <c r="A9" s="2" t="s">
        <v>828</v>
      </c>
      <c r="B9">
        <f>(B6+IF(ISNUMBER(B7),B7,0)+IF(ISNUMBER(B8),B8,0))*KURALLAR!$B$77</f>
        <v>14124241.607999999</v>
      </c>
    </row>
    <row r="10" spans="1:3" x14ac:dyDescent="0.25">
      <c r="A10" s="2" t="s">
        <v>829</v>
      </c>
      <c r="B10">
        <f>B6+IF(ISNUMBER(B7),B7,0)+IF(ISNUMBER(B8),B8,0)+IF(ISNUMBER(B9),B9,0)</f>
        <v>131826255.00799999</v>
      </c>
    </row>
    <row r="12" spans="1:3" x14ac:dyDescent="0.25">
      <c r="A12" t="s">
        <v>830</v>
      </c>
      <c r="B12">
        <f>OZET!$D$99</f>
        <v>169</v>
      </c>
    </row>
    <row r="13" spans="1:3" x14ac:dyDescent="0.25">
      <c r="A13" t="s">
        <v>831</v>
      </c>
      <c r="B13">
        <f>OZET!$G$99</f>
        <v>112377</v>
      </c>
      <c r="C13">
        <f>ROUND(B13/60,1)</f>
        <v>1873</v>
      </c>
    </row>
    <row r="14" spans="1:3" x14ac:dyDescent="0.25">
      <c r="A14" t="s">
        <v>832</v>
      </c>
    </row>
    <row r="15" spans="1:3" x14ac:dyDescent="0.25">
      <c r="A15" t="str">
        <f>CONCATENATE("Fiyati alinamayan artikul sayisi: ",COUNTIF(FIYAT!$N:$N,"FIYAT_YOK"))</f>
        <v>Fiyati alinamayan artikul sayisi: 33</v>
      </c>
    </row>
    <row r="16" spans="1:3" x14ac:dyDescent="0.25">
      <c r="A16" t="str">
        <f>CONCATENATE("Muadil onayi bekleyen artikul sayisi: ",COUNTIF(FIYAT!$N:$N,"MUADIL_ONAY")+COUNTIF(FIYAT!$N:$N,"CIHAZ_BELIRSIZ"))</f>
        <v>Muadil onayi bekleyen artikul sayisi: 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6" customWidth="1"/>
    <col min="3" max="4" width="62" customWidth="1"/>
    <col min="5" max="5" width="26" customWidth="1"/>
  </cols>
  <sheetData>
    <row r="1" spans="1:5" x14ac:dyDescent="0.25">
      <c r="A1" s="4" t="s">
        <v>833</v>
      </c>
      <c r="B1" s="4" t="s">
        <v>834</v>
      </c>
      <c r="C1" s="4" t="s">
        <v>835</v>
      </c>
      <c r="D1" s="4" t="s">
        <v>836</v>
      </c>
      <c r="E1" s="4" t="s">
        <v>164</v>
      </c>
    </row>
    <row r="2" spans="1:5" ht="30" x14ac:dyDescent="0.25">
      <c r="A2" s="11" t="s">
        <v>837</v>
      </c>
      <c r="B2" s="11" t="s">
        <v>838</v>
      </c>
      <c r="C2" s="11" t="s">
        <v>839</v>
      </c>
      <c r="D2" s="11" t="s">
        <v>840</v>
      </c>
      <c r="E2" s="11" t="s">
        <v>549</v>
      </c>
    </row>
    <row r="3" spans="1:5" ht="30" x14ac:dyDescent="0.25">
      <c r="A3" s="12" t="s">
        <v>841</v>
      </c>
      <c r="B3" s="12" t="s">
        <v>842</v>
      </c>
      <c r="C3" s="12" t="s">
        <v>843</v>
      </c>
      <c r="D3" s="12" t="s">
        <v>844</v>
      </c>
      <c r="E3" s="12" t="s">
        <v>845</v>
      </c>
    </row>
    <row r="4" spans="1:5" ht="30" x14ac:dyDescent="0.25">
      <c r="A4" s="12" t="s">
        <v>841</v>
      </c>
      <c r="B4" s="12" t="s">
        <v>846</v>
      </c>
      <c r="C4" s="12" t="s">
        <v>847</v>
      </c>
      <c r="D4" s="12" t="s">
        <v>848</v>
      </c>
      <c r="E4" s="12" t="s">
        <v>845</v>
      </c>
    </row>
    <row r="5" spans="1:5" ht="30" x14ac:dyDescent="0.25">
      <c r="A5" s="12" t="s">
        <v>841</v>
      </c>
      <c r="B5" s="12" t="s">
        <v>849</v>
      </c>
      <c r="C5" s="12" t="s">
        <v>850</v>
      </c>
      <c r="D5" s="12" t="s">
        <v>851</v>
      </c>
      <c r="E5" s="12" t="s">
        <v>852</v>
      </c>
    </row>
    <row r="6" spans="1:5" ht="30" x14ac:dyDescent="0.25">
      <c r="A6" s="12" t="s">
        <v>841</v>
      </c>
      <c r="B6" s="12" t="s">
        <v>853</v>
      </c>
      <c r="C6" s="12" t="s">
        <v>854</v>
      </c>
      <c r="D6" s="12" t="s">
        <v>855</v>
      </c>
      <c r="E6" s="12" t="s">
        <v>856</v>
      </c>
    </row>
    <row r="7" spans="1:5" ht="30" x14ac:dyDescent="0.25">
      <c r="A7" s="13" t="s">
        <v>857</v>
      </c>
      <c r="B7" s="13" t="s">
        <v>858</v>
      </c>
      <c r="C7" s="13" t="s">
        <v>859</v>
      </c>
      <c r="D7" s="13" t="s">
        <v>860</v>
      </c>
      <c r="E7" s="13" t="s">
        <v>211</v>
      </c>
    </row>
    <row r="8" spans="1:5" ht="30" x14ac:dyDescent="0.25">
      <c r="A8" s="13" t="s">
        <v>857</v>
      </c>
      <c r="B8" s="13" t="s">
        <v>861</v>
      </c>
      <c r="C8" s="13" t="s">
        <v>862</v>
      </c>
      <c r="D8" s="13" t="s">
        <v>863</v>
      </c>
      <c r="E8" s="13" t="s">
        <v>845</v>
      </c>
    </row>
    <row r="9" spans="1:5" ht="30" x14ac:dyDescent="0.25">
      <c r="A9" s="13" t="s">
        <v>857</v>
      </c>
      <c r="B9" s="13" t="s">
        <v>864</v>
      </c>
      <c r="C9" s="13" t="s">
        <v>865</v>
      </c>
      <c r="D9" s="13" t="s">
        <v>866</v>
      </c>
      <c r="E9" s="13" t="s">
        <v>845</v>
      </c>
    </row>
    <row r="10" spans="1:5" ht="30" x14ac:dyDescent="0.25">
      <c r="A10" s="13" t="s">
        <v>857</v>
      </c>
      <c r="B10" s="13" t="s">
        <v>867</v>
      </c>
      <c r="C10" s="13" t="s">
        <v>868</v>
      </c>
      <c r="D10" s="13" t="s">
        <v>869</v>
      </c>
      <c r="E10" s="13" t="s">
        <v>845</v>
      </c>
    </row>
    <row r="11" spans="1:5" x14ac:dyDescent="0.25">
      <c r="A11" s="13" t="s">
        <v>857</v>
      </c>
      <c r="B11" s="13" t="s">
        <v>870</v>
      </c>
      <c r="C11" s="13" t="s">
        <v>871</v>
      </c>
      <c r="D11" s="13" t="s">
        <v>872</v>
      </c>
      <c r="E11" s="13" t="s">
        <v>845</v>
      </c>
    </row>
    <row r="12" spans="1:5" ht="30" x14ac:dyDescent="0.25">
      <c r="A12" s="13" t="s">
        <v>857</v>
      </c>
      <c r="B12" s="13" t="s">
        <v>873</v>
      </c>
      <c r="C12" s="13" t="s">
        <v>874</v>
      </c>
      <c r="D12" s="13" t="s">
        <v>875</v>
      </c>
      <c r="E12" s="13" t="s">
        <v>845</v>
      </c>
    </row>
    <row r="13" spans="1:5" ht="30" x14ac:dyDescent="0.25">
      <c r="A13" s="13" t="s">
        <v>857</v>
      </c>
      <c r="B13" s="13" t="s">
        <v>876</v>
      </c>
      <c r="C13" s="13" t="s">
        <v>877</v>
      </c>
      <c r="D13" s="13" t="s">
        <v>878</v>
      </c>
      <c r="E13" s="13" t="s">
        <v>184</v>
      </c>
    </row>
    <row r="14" spans="1:5" ht="30" x14ac:dyDescent="0.25">
      <c r="A14" s="13" t="s">
        <v>857</v>
      </c>
      <c r="B14" s="13" t="s">
        <v>879</v>
      </c>
      <c r="C14" s="13" t="s">
        <v>880</v>
      </c>
      <c r="D14" s="13" t="s">
        <v>881</v>
      </c>
      <c r="E14" s="13" t="s">
        <v>549</v>
      </c>
    </row>
    <row r="15" spans="1:5" x14ac:dyDescent="0.25">
      <c r="A15" s="13" t="s">
        <v>857</v>
      </c>
      <c r="B15" s="13" t="s">
        <v>882</v>
      </c>
      <c r="C15" s="13" t="s">
        <v>883</v>
      </c>
      <c r="D15" s="13" t="s">
        <v>884</v>
      </c>
      <c r="E15" s="13" t="s">
        <v>549</v>
      </c>
    </row>
    <row r="16" spans="1:5" x14ac:dyDescent="0.25">
      <c r="A16" s="13" t="s">
        <v>857</v>
      </c>
      <c r="B16" s="13" t="s">
        <v>885</v>
      </c>
      <c r="C16" s="13" t="s">
        <v>886</v>
      </c>
      <c r="D16" s="13" t="s">
        <v>887</v>
      </c>
      <c r="E16" s="13" t="s">
        <v>888</v>
      </c>
    </row>
    <row r="17" spans="1:5" ht="30" x14ac:dyDescent="0.25">
      <c r="A17" s="11" t="s">
        <v>837</v>
      </c>
      <c r="B17" s="11" t="s">
        <v>889</v>
      </c>
      <c r="C17" s="11" t="s">
        <v>890</v>
      </c>
      <c r="D17" s="11" t="s">
        <v>891</v>
      </c>
      <c r="E17" s="11" t="s">
        <v>229</v>
      </c>
    </row>
    <row r="18" spans="1:5" ht="30" x14ac:dyDescent="0.25">
      <c r="A18" s="11" t="s">
        <v>837</v>
      </c>
      <c r="B18" s="11" t="s">
        <v>892</v>
      </c>
      <c r="C18" s="11" t="s">
        <v>893</v>
      </c>
      <c r="D18" s="11" t="s">
        <v>894</v>
      </c>
      <c r="E18" s="11" t="s">
        <v>895</v>
      </c>
    </row>
    <row r="19" spans="1:5" ht="45" x14ac:dyDescent="0.25">
      <c r="A19" s="11" t="s">
        <v>837</v>
      </c>
      <c r="B19" s="11" t="s">
        <v>896</v>
      </c>
      <c r="C19" s="11" t="s">
        <v>897</v>
      </c>
      <c r="D19" s="11" t="s">
        <v>898</v>
      </c>
      <c r="E19" s="11" t="s">
        <v>899</v>
      </c>
    </row>
    <row r="20" spans="1:5" ht="30" x14ac:dyDescent="0.25">
      <c r="A20" s="11" t="s">
        <v>837</v>
      </c>
      <c r="B20" s="11" t="s">
        <v>900</v>
      </c>
      <c r="C20" s="11" t="s">
        <v>901</v>
      </c>
      <c r="D20" s="11" t="s">
        <v>902</v>
      </c>
      <c r="E20" s="11" t="s">
        <v>903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KURALLAR</vt:lpstr>
      <vt:lpstr>FIYAT</vt:lpstr>
      <vt:lpstr>BOM</vt:lpstr>
      <vt:lpstr>OZET</vt:lpstr>
      <vt:lpstr>TEKLIF</vt:lpstr>
      <vt:lpstr>KONTROL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2026-09-08T12:11:06Z</dcterms:created>
  <dcterms:modified xsi:type="dcterms:W3CDTF">2026-09-09T11:57:30Z</dcterms:modified>
  <dc:language>en-US</dc:language>
</cp:coreProperties>
</file>