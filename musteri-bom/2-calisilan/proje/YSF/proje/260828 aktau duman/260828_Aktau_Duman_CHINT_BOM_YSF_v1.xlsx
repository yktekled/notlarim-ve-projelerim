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a6e1d7cd2d1bd643/Belgeler/YSF/proje/260828 aktau duman/"/>
    </mc:Choice>
  </mc:AlternateContent>
  <xr:revisionPtr revIDLastSave="1" documentId="11_89256951562EA838462B5755CE214EE5535C5E5B" xr6:coauthVersionLast="47" xr6:coauthVersionMax="47" xr10:uidLastSave="{00977F2B-A64C-4449-ACAC-02D7A04739DC}"/>
  <bookViews>
    <workbookView xWindow="28680" yWindow="-120" windowWidth="29040" windowHeight="15720" activeTab="4" xr2:uid="{00000000-000D-0000-FFFF-FFFF00000000}"/>
  </bookViews>
  <sheets>
    <sheet name="KURALLAR" sheetId="1" r:id="rId1"/>
    <sheet name="FIYAT" sheetId="2" r:id="rId2"/>
    <sheet name="BOM" sheetId="3" r:id="rId3"/>
    <sheet name="OZET" sheetId="4" r:id="rId4"/>
    <sheet name="TEKLIF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19" i="3" l="1"/>
  <c r="D10" i="5" s="1"/>
  <c r="I18" i="3"/>
  <c r="H18" i="3"/>
  <c r="L18" i="3" s="1"/>
  <c r="G18" i="3"/>
  <c r="F18" i="3"/>
  <c r="H15" i="3"/>
  <c r="L15" i="3" s="1"/>
  <c r="L14" i="3"/>
  <c r="H14" i="3"/>
  <c r="H13" i="3"/>
  <c r="L13" i="3" s="1"/>
  <c r="H10" i="3"/>
  <c r="L10" i="3" s="1"/>
  <c r="H9" i="3"/>
  <c r="L9" i="3" s="1"/>
  <c r="H8" i="3"/>
  <c r="L8" i="3" s="1"/>
  <c r="H7" i="3"/>
  <c r="L7" i="3" s="1"/>
  <c r="L6" i="3"/>
  <c r="H6" i="3"/>
  <c r="H5" i="3"/>
  <c r="L5" i="3" s="1"/>
  <c r="H4" i="3"/>
  <c r="L4" i="3" s="1"/>
  <c r="B2" i="3"/>
  <c r="L19" i="3" l="1"/>
  <c r="B6" i="4"/>
</calcChain>
</file>

<file path=xl/sharedStrings.xml><?xml version="1.0" encoding="utf-8"?>
<sst xmlns="http://schemas.openxmlformats.org/spreadsheetml/2006/main" count="267" uniqueCount="156">
  <si>
    <t>YSF HICH - KURALLAR (duzenlenebilir sari hucreler = BOM'da kullanilan tum sabitler)</t>
  </si>
  <si>
    <t>MARKA KATSAYILARI (referans - birlesik.csv NET_KZT icinde zaten uygulanmis, tekrar uygulanmaz)</t>
  </si>
  <si>
    <t>CHINT</t>
  </si>
  <si>
    <t>ABB standart</t>
  </si>
  <si>
    <t>ABB acik tip/ayar sahali</t>
  </si>
  <si>
    <t>SCHNEIDER</t>
  </si>
  <si>
    <t>CNC</t>
  </si>
  <si>
    <t>EKF</t>
  </si>
  <si>
    <t>LEGRAND (teyitsiz)</t>
  </si>
  <si>
    <t>KAZTEK/EKT/SAIMAN/HARMONY/KLEMSAN</t>
  </si>
  <si>
    <t>KUR (KZT)</t>
  </si>
  <si>
    <t>EUR</t>
  </si>
  <si>
    <t>TRY</t>
  </si>
  <si>
    <t>USD</t>
  </si>
  <si>
    <t>ISCILIK UCRETI</t>
  </si>
  <si>
    <t>KZT / dakika</t>
  </si>
  <si>
    <t>Test + etiket katsayisi (carpan)</t>
  </si>
  <si>
    <t>ISCILIK NORMLARI (dakika) - duzenlenebilir</t>
  </si>
  <si>
    <t>MCB 1P</t>
  </si>
  <si>
    <t>MCB 3P</t>
  </si>
  <si>
    <t>MCCB &lt;=250A</t>
  </si>
  <si>
    <t>MCCB 315-630A</t>
  </si>
  <si>
    <t>Moduler salter / perekidnoy rubilnik</t>
  </si>
  <si>
    <t>Parafudr (SPD)</t>
  </si>
  <si>
    <t>Sayac + AT (akim trafosu dahil)</t>
  </si>
  <si>
    <t>Klemens (adet basi)</t>
  </si>
  <si>
    <t>Tarak bara (adet basi)</t>
  </si>
  <si>
    <t>Bakir bara (metre basi)</t>
  </si>
  <si>
    <t>DIN ray + kanal (metre basi)</t>
  </si>
  <si>
    <t>Korpus kucuk</t>
  </si>
  <si>
    <t>Korpus orta</t>
  </si>
  <si>
    <t>Korpus ayakli / cok bolmeli</t>
  </si>
  <si>
    <t>NOTLAR / CELISKI KAYITLARI</t>
  </si>
  <si>
    <t>Sema, sartnameye ustundur. Bu pano icin ayri sartname belgesi verilmedi.</t>
  </si>
  <si>
    <t>260828 aktau duman: proje klasorundeki 2 ekran goruntusu (PNG) cihaz koprusu hatasi (device_stage_files -&gt; HTTP 401, tekrarlanan denemelerde duzelmedi) nedeniyle GORSEL OLARAK OKUNAMADI. Bu BOM SADECE VRU.pdf metin/koordinat cikarimina dayanir - CAD cizim goruntusu gorulmedi.</t>
  </si>
  <si>
    <t>VRU.pdf metin katmanindan cikarilan QF etiket/amper eslesmesi koordinat kumelemesiyle (y-satir gruplama, pdfplumber) yapildi; hangi QF hangi alt panoyu/blogu besledigi (baglanti cizgileri) goruntu olmadan dogrulanamadi.</t>
  </si>
  <si>
    <t>Sema tum QF'lerde tip etiketi olarak 'VA88-32' kullaniyor (25A'dan 320A'ya kadar tum degerlerde ayni etiket metni cikti - sablon govde adi olabilir). 320A degeri VA88-32 govdesinin (max ~250A) uzerinde; CHINT esdegeri NM8N-400 govdesine (400A, bir ust standart kademe) yuvarlandi - MUHENDIS ONAYI GEREKLI.</t>
  </si>
  <si>
    <t>Sayac modeli sema metninde 'SAR4U-E720' olarak cikti - taninan bir model degil (OCR/metin cikarma hatasi olasi). CHINT fiyat listesinde sayac kalemi yok - FIYAT YOK.</t>
  </si>
  <si>
    <t>CHINT fiyat listesinde UZIP/OPN (parafudr) kalemi yok - FIYAT YOK.</t>
  </si>
  <si>
    <t>Ana bara olcusu icin BARA_TABLO kaynagi projede verilmedi; olcu secilmedi, KONTROL satiri (kirmizi) olarak isaretlendi, iscilik hesabina dahil edilmedi.</t>
  </si>
  <si>
    <t>1AVR (400A) icin CHINT'te otomatik motorlu ATS (ATSE) bulunamadi; en yakin urun NH40-400/3CS manuel perekidnoy rubilniktir - otomatik devreye girme gerekiyorsa kontrolor/motor tahriki ayrica eklenmelidir - MUHENDIS ONAYI GEREKLI.</t>
  </si>
  <si>
    <t>Akim trafosu 250/5A istendi, CHINT'te yok; bir ust kademe 400/5A kl.0.5 kullanildi (istenen 0.5S sinifi CHINT'te yok, en yakin 0.5 sinifi alindi).</t>
  </si>
  <si>
    <t>DIN ray metraji sema/gorselden net cikarilamadi; 6m VARSAYIM olarak alindi.</t>
  </si>
  <si>
    <t>KOD</t>
  </si>
  <si>
    <t>MARKA</t>
  </si>
  <si>
    <t>ARTIKUL</t>
  </si>
  <si>
    <t>ACIKLAMA</t>
  </si>
  <si>
    <t>BIRIM</t>
  </si>
  <si>
    <t>PARA</t>
  </si>
  <si>
    <t>LISTE</t>
  </si>
  <si>
    <t>NET_KZT</t>
  </si>
  <si>
    <t>KAYNAK</t>
  </si>
  <si>
    <t>TARIH</t>
  </si>
  <si>
    <t>DURUM</t>
  </si>
  <si>
    <t>CHINT2608</t>
  </si>
  <si>
    <t>Авт. выкл. NM8N-400C TM 3P 400А 36кА с рег. термомаг. расцепителем (R)</t>
  </si>
  <si>
    <t>шт</t>
  </si>
  <si>
    <t>KZT</t>
  </si>
  <si>
    <t>2026-08-27</t>
  </si>
  <si>
    <t>ok</t>
  </si>
  <si>
    <t>Авт. выкл. NM8N-250C TM 3P 250А 36кА с рег. термомаг. расцепителем (R)</t>
  </si>
  <si>
    <t>Авт. выкл. NM8N-125C TM 3P 80А 36кА с рег. термомаг. расцепителем (R)</t>
  </si>
  <si>
    <t>Авт. выкл. NM8N-125C TM 3P 32А 36кА с рег. термомаг. расцепителем (R)</t>
  </si>
  <si>
    <t>Авт. выкл. NM8N-125C TM 3P 25А 36кА с рег. термомаг. расцепителем (R)</t>
  </si>
  <si>
    <t>Перекидной рубильник NH40-400/3CS, 3P, 400А, 3 положения I-0-II, стандартная рукоятка управления</t>
  </si>
  <si>
    <t>Трансформатор тока BH-0.66 60 I 400/5A класс точности 0.5 (R)</t>
  </si>
  <si>
    <t>Зажимы CCT22-M8 для NM8N-250 сечение проводов 10-120 мм2 (R)</t>
  </si>
  <si>
    <t>компл</t>
  </si>
  <si>
    <t>Клеммы MC23-M8(2) для NM8N-400/630 сечение проводов 2x(120-240) мм2 (R)</t>
  </si>
  <si>
    <t>KAZTEK2607</t>
  </si>
  <si>
    <t>KAZTEK</t>
  </si>
  <si>
    <t>DIN-рейка оцинкованная TH35-7.5 100cm</t>
  </si>
  <si>
    <t>2026-07-15</t>
  </si>
  <si>
    <t>ROW</t>
  </si>
  <si>
    <t>Наименование1</t>
  </si>
  <si>
    <t>Тип</t>
  </si>
  <si>
    <t>Артикул</t>
  </si>
  <si>
    <t>Номенклатура</t>
  </si>
  <si>
    <t>Цена</t>
  </si>
  <si>
    <t>Net</t>
  </si>
  <si>
    <t>Сумма</t>
  </si>
  <si>
    <t>Кол-во</t>
  </si>
  <si>
    <t>Ед.изм</t>
  </si>
  <si>
    <t>Завод</t>
  </si>
  <si>
    <t>Сумма2</t>
  </si>
  <si>
    <t>Группа</t>
  </si>
  <si>
    <t>Note(N)</t>
  </si>
  <si>
    <t>O</t>
  </si>
  <si>
    <t>ВРУ-0,4 кВ (Ana Dagitim Panosu) - 260828 Aktau Duman</t>
  </si>
  <si>
    <t>korpus</t>
  </si>
  <si>
    <t>Pano govdesi (cok bolmeli, ozel imalat) - olcu/IP/RAL sema+fotograftan teyit edilemedi (2 ekran goruntusu okunamadi)  [FIYAT YOK]</t>
  </si>
  <si>
    <t>FIYAT_YOK</t>
  </si>
  <si>
    <t>tms</t>
  </si>
  <si>
    <t>Kompakt salter (MCCB) 3P 400A 36kA - sema: QF1/QF2/+1 'VA88-32 320A' (320A -&gt; ust kademe 400A'ya yuvarlandi, bkz KURALLAR)</t>
  </si>
  <si>
    <t>Kompakt salter (MCCB) 3P 250A 36kA - sema: QF11 x2 + QF12 'VA88-32 250A'</t>
  </si>
  <si>
    <t>Kompakt salter (MCCB) 3P 80A 36kA - sema: QF3 + QF8 x2 'VA88-32 80A'</t>
  </si>
  <si>
    <t>Kompakt salter (MCCB) 3P 32A 36kA - sema: QF4/QF5/QF7 'VA88-32 32A'</t>
  </si>
  <si>
    <t>Kompakt salter (MCCB) 3P 25A 36kA - sema: QF6/QF9 x2/QF10 'VA88-32 25A'</t>
  </si>
  <si>
    <t>rubilnik</t>
  </si>
  <si>
    <t>Perekidnoy rubilnik (AVR) NH40-400/3CS 3P 400A - sema: '1AVR 400A' (manuel; motorlu/otomatik ATSE gerekiyorsa MUHENDIS ONAYI GEREKLI)</t>
  </si>
  <si>
    <t>tt</t>
  </si>
  <si>
    <t>Akim trafosu BH-0.66 400/5A kl.0.5 - sema: 3x 'T-0,66 250/5A' noktasi x 3 adet/sayac kurali (250/5A CHINT'te yok, 400/5A'ya yuvarlandi)</t>
  </si>
  <si>
    <t>sayac</t>
  </si>
  <si>
    <t>3 fazli enerji sayaci (trafo baglantili, kl. 0,5S/1,0) - sema modeli 'SAR4U-E720' teyitsiz, CHINT'te sayac kalemi yok  [FIYAT YOK]</t>
  </si>
  <si>
    <t>opn</t>
  </si>
  <si>
    <t>Asiri gerilim koruma cihazi (parafudr) Tip 2 - sema: FV1 x3, CHINT'te UZIP/OPN kalemi yok  [FIYAT YOK]</t>
  </si>
  <si>
    <t>klemens</t>
  </si>
  <si>
    <t>Baglanti terminali CCT22-M8 (NM8N-250 icin)</t>
  </si>
  <si>
    <t>Baglanti terminali MC23-M8(2) (NM8N-400/630 icin)</t>
  </si>
  <si>
    <t>din</t>
  </si>
  <si>
    <t>DIN-ray TH35-7.5 100cm - metraj sema/gorselden net cikarilamadi, VARSAYIM 6m alindi</t>
  </si>
  <si>
    <t>VARSAYIM</t>
  </si>
  <si>
    <t>bara</t>
  </si>
  <si>
    <t>Ana bara (bakir) - BARA_TABLO kaynagi projede yok, olcu secilmedi  [FIYAT YOK]</t>
  </si>
  <si>
    <t>м</t>
  </si>
  <si>
    <t>монтажный материал</t>
  </si>
  <si>
    <t>Montaj malzemesi (numaralandirma, kablo pabucu, vida, kablo bagi vb.) - miktar sema/gorselden net cikarilamadi  [FIYAT YOK]</t>
  </si>
  <si>
    <t>FIYAT_YOK / VARSAYIM</t>
  </si>
  <si>
    <t>монтажная работа</t>
  </si>
  <si>
    <t>Montaj iscligi (toplam) - normlar KURALLAR sayfasindan, test+etiket katsayisi dahil</t>
  </si>
  <si>
    <t>dk</t>
  </si>
  <si>
    <t>montaj isciligi</t>
  </si>
  <si>
    <t>Toplam VRU-0,4 kV</t>
  </si>
  <si>
    <t>OZET - 260828 Aktau Duman - VRU-0,4 kV Panosu (CHINT)</t>
  </si>
  <si>
    <t>DURUM DAMGASI</t>
  </si>
  <si>
    <t>TEKLIFE HAZIR DEGIL - fiyati bulunamayan kalemler var (sayac, parafudr, ana bara), pano govdesi olcusu teyitsiz, 2 ekran goruntusu okunamadi. Etkilenen: 3 kalem FIYAT YOK + govde/bara KONTROL.</t>
  </si>
  <si>
    <t>Toplam (fiyatlanan kalemler, malzeme+iscilik)</t>
  </si>
  <si>
    <t>Modul / korpus kapasitesi</t>
  </si>
  <si>
    <t xml:space="preserve">Belirlenemedi - uygun govde CHINT/KAZTEK stogunda yok, ozel imalat </t>
  </si>
  <si>
    <t>%20 yedek modul kurali</t>
  </si>
  <si>
    <t>Govde secilmeden degerlendirilemedi</t>
  </si>
  <si>
    <t>Klemens DIN-mm</t>
  </si>
  <si>
    <t>Sema/gorselden cikarilamadi - belirtilemedi</t>
  </si>
  <si>
    <t>RISK LISTESI OZETI (detay: KURALLAR sayfasi NOTLAR + BOM 'Note' sutunu)</t>
  </si>
  <si>
    <t>FIYAT YOK: enerji sayaci x3, parafudr(SPD) x3, ana bara - CHINT listesinde yok / olcu belirsiz.</t>
  </si>
  <si>
    <t>CIHAZ BELIRSIZ: 1AVR icin CHINT'te otomatik ATSE bulunamadi, manuel NH40-400 kullanildi.</t>
  </si>
  <si>
    <t>MUADIL KULLANILDI: VA88-32 320A -&gt; NM8N-400C 400A (bir ust kademe, onaylı-BUYUK HARF MUHENDIS ONAYI GEREKLI). Akim trafosu 250/5A -&gt; 400/5A (MUHENDIS ONAYI GEREKLI).</t>
  </si>
  <si>
    <t>VARSAYIM: DIN ray metraji 6m, montaj malzemesi miktari, pano govdesi tipi/olcusu.</t>
  </si>
  <si>
    <t>KAPSAM DISI: Sayac ve parafudrun kesin marka/modeli, downstream panolar (ЩС-1/2/3, ЩЭ kat panolari, ШУНО, БУО) bu BOM'a DAHIL DEGIL - sadece VRU (ana giris) panosu kapsaminda.</t>
  </si>
  <si>
    <t>VERI NOTU: CHINT fiyat listesi 2026-08-27 tarihli (0 gunluk, ok). KAZTEK fiyat listesi 2026-07-15 tarihli (~1.4 ay, ok). 260828 aktau duman klasorundeki 2 PNG ekran goruntusu device_stage_files HTTP 401 hatasi nedeniyle goruntulenemedi - VRU.pdf metin cikarimi tek kaynak oldu.</t>
  </si>
  <si>
    <t>TEKLIF - 260828 Aktau Duman</t>
  </si>
  <si>
    <t>Proje</t>
  </si>
  <si>
    <t>Aktau, Duman - VRU-0,4 kV Ana Dagitim Panosu</t>
  </si>
  <si>
    <t>Marka</t>
  </si>
  <si>
    <t>CHINT (korpus: KAZTEK)</t>
  </si>
  <si>
    <t>Tarih</t>
  </si>
  <si>
    <t>2026-08-28</t>
  </si>
  <si>
    <t>Durum</t>
  </si>
  <si>
    <t>TEKLIFE HAZIR DEGIL (bkz OZET sayfasi)</t>
  </si>
  <si>
    <t>Kalem</t>
  </si>
  <si>
    <t>Adet</t>
  </si>
  <si>
    <t>Birim</t>
  </si>
  <si>
    <t>Tutar (KZT)</t>
  </si>
  <si>
    <t>VRU-0,4 kV pano (malzeme + montaj isciligi, fiyatlanan kalemler)</t>
  </si>
  <si>
    <t>Not</t>
  </si>
  <si>
    <t>Yukaridaki tutara fiyatlanamayan kalemler (sayac, parafudr, ana bara) DAHIL DEGILDIR - bkz OZET/KURALLAR risk listesi.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</si>
</sst>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3"/>
      <name val="Cambria"/>
      <family val="1"/>
      <charset val="204"/>
    </font>
    <font>
      <b/>
      <sz val="11"/>
      <name val="Cambria"/>
      <family val="1"/>
      <charset val="204"/>
    </font>
    <font>
      <b/>
      <sz val="14"/>
      <name val="Cambria"/>
      <family val="1"/>
      <charset val="204"/>
    </font>
    <font>
      <b/>
      <sz val="11"/>
      <color rgb="FFCC0000"/>
      <name val="Cambria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D9E1F2"/>
        <bgColor rgb="FFBDD7EE"/>
      </patternFill>
    </fill>
    <fill>
      <patternFill patternType="solid">
        <fgColor rgb="FFBDD7EE"/>
        <bgColor rgb="FFD9E1F2"/>
      </patternFill>
    </fill>
    <fill>
      <patternFill patternType="solid">
        <fgColor rgb="FFF4CCCC"/>
        <bgColor rgb="FFD9E1F2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1" xfId="0" applyFill="1" applyBorder="1"/>
    <xf numFmtId="0" fontId="0" fillId="0" borderId="0" xfId="0" applyAlignment="1">
      <alignment vertical="top" wrapText="1"/>
    </xf>
    <xf numFmtId="0" fontId="2" fillId="3" borderId="1" xfId="0" applyFont="1" applyFill="1" applyBorder="1"/>
    <xf numFmtId="0" fontId="0" fillId="0" borderId="1" xfId="0" applyBorder="1"/>
    <xf numFmtId="0" fontId="0" fillId="4" borderId="1" xfId="0" applyFill="1" applyBorder="1"/>
    <xf numFmtId="0" fontId="2" fillId="4" borderId="1" xfId="0" applyFont="1" applyFill="1" applyBorder="1"/>
    <xf numFmtId="0" fontId="0" fillId="5" borderId="1" xfId="0" applyFill="1" applyBorder="1"/>
    <xf numFmtId="0" fontId="0" fillId="5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0" borderId="1" xfId="0" applyFont="1" applyBorder="1"/>
    <xf numFmtId="0" fontId="0" fillId="0" borderId="0" xfId="0" applyAlignment="1">
      <alignment wrapText="1"/>
    </xf>
    <xf numFmtId="0" fontId="3" fillId="0" borderId="0" xfId="0" applyFont="1"/>
    <xf numFmtId="0" fontId="4" fillId="0" borderId="0" xfId="0" applyFont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2CC"/>
      <rgbColor rgb="FFD9E1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8"/>
  <sheetViews>
    <sheetView showGridLines="0" zoomScaleNormal="100" workbookViewId="0">
      <selection activeCell="B12" sqref="B12"/>
    </sheetView>
  </sheetViews>
  <sheetFormatPr defaultColWidth="8.7109375" defaultRowHeight="15" x14ac:dyDescent="0.25"/>
  <cols>
    <col min="1" max="1" width="90" customWidth="1"/>
    <col min="2" max="6" width="14" customWidth="1"/>
  </cols>
  <sheetData>
    <row r="1" spans="1:2" ht="16.5" x14ac:dyDescent="0.25">
      <c r="A1" s="1" t="s">
        <v>0</v>
      </c>
    </row>
    <row r="3" spans="1:2" x14ac:dyDescent="0.25">
      <c r="A3" s="2" t="s">
        <v>1</v>
      </c>
    </row>
    <row r="4" spans="1:2" x14ac:dyDescent="0.25">
      <c r="A4" t="s">
        <v>2</v>
      </c>
      <c r="B4" s="3">
        <v>0.6</v>
      </c>
    </row>
    <row r="5" spans="1:2" x14ac:dyDescent="0.25">
      <c r="A5" t="s">
        <v>3</v>
      </c>
      <c r="B5" s="3">
        <v>0.40500000000000003</v>
      </c>
    </row>
    <row r="6" spans="1:2" x14ac:dyDescent="0.25">
      <c r="A6" t="s">
        <v>4</v>
      </c>
      <c r="B6" s="3">
        <v>0.3105</v>
      </c>
    </row>
    <row r="7" spans="1:2" x14ac:dyDescent="0.25">
      <c r="A7" t="s">
        <v>5</v>
      </c>
      <c r="B7" s="3">
        <v>0.6</v>
      </c>
    </row>
    <row r="8" spans="1:2" x14ac:dyDescent="0.25">
      <c r="A8" t="s">
        <v>6</v>
      </c>
      <c r="B8" s="3">
        <v>0.55000000000000004</v>
      </c>
    </row>
    <row r="9" spans="1:2" x14ac:dyDescent="0.25">
      <c r="A9" t="s">
        <v>7</v>
      </c>
      <c r="B9" s="3">
        <v>0.67</v>
      </c>
    </row>
    <row r="10" spans="1:2" x14ac:dyDescent="0.25">
      <c r="A10" t="s">
        <v>8</v>
      </c>
      <c r="B10" s="3">
        <v>0.5</v>
      </c>
    </row>
    <row r="11" spans="1:2" x14ac:dyDescent="0.25">
      <c r="A11" t="s">
        <v>9</v>
      </c>
      <c r="B11" s="3">
        <v>0.6</v>
      </c>
    </row>
    <row r="13" spans="1:2" x14ac:dyDescent="0.25">
      <c r="A13" s="2" t="s">
        <v>10</v>
      </c>
    </row>
    <row r="14" spans="1:2" x14ac:dyDescent="0.25">
      <c r="A14" t="s">
        <v>11</v>
      </c>
      <c r="B14" s="3">
        <v>585</v>
      </c>
    </row>
    <row r="15" spans="1:2" x14ac:dyDescent="0.25">
      <c r="A15" t="s">
        <v>12</v>
      </c>
      <c r="B15" s="3">
        <v>13.5</v>
      </c>
    </row>
    <row r="16" spans="1:2" x14ac:dyDescent="0.25">
      <c r="A16" t="s">
        <v>13</v>
      </c>
      <c r="B16" s="3">
        <v>505</v>
      </c>
    </row>
    <row r="18" spans="1:2" x14ac:dyDescent="0.25">
      <c r="A18" s="2" t="s">
        <v>14</v>
      </c>
    </row>
    <row r="19" spans="1:2" x14ac:dyDescent="0.25">
      <c r="A19" t="s">
        <v>15</v>
      </c>
      <c r="B19" s="3">
        <v>100</v>
      </c>
    </row>
    <row r="20" spans="1:2" x14ac:dyDescent="0.25">
      <c r="A20" t="s">
        <v>16</v>
      </c>
      <c r="B20" s="3">
        <v>1.1499999999999999</v>
      </c>
    </row>
    <row r="22" spans="1:2" x14ac:dyDescent="0.25">
      <c r="A22" s="2" t="s">
        <v>17</v>
      </c>
    </row>
    <row r="23" spans="1:2" x14ac:dyDescent="0.25">
      <c r="A23" t="s">
        <v>18</v>
      </c>
      <c r="B23" s="3">
        <v>10</v>
      </c>
    </row>
    <row r="24" spans="1:2" x14ac:dyDescent="0.25">
      <c r="A24" t="s">
        <v>19</v>
      </c>
      <c r="B24" s="3">
        <v>18</v>
      </c>
    </row>
    <row r="25" spans="1:2" x14ac:dyDescent="0.25">
      <c r="A25" t="s">
        <v>20</v>
      </c>
      <c r="B25" s="3">
        <v>60</v>
      </c>
    </row>
    <row r="26" spans="1:2" x14ac:dyDescent="0.25">
      <c r="A26" t="s">
        <v>21</v>
      </c>
      <c r="B26" s="3">
        <v>90</v>
      </c>
    </row>
    <row r="27" spans="1:2" x14ac:dyDescent="0.25">
      <c r="A27" t="s">
        <v>22</v>
      </c>
      <c r="B27" s="3">
        <v>45</v>
      </c>
    </row>
    <row r="28" spans="1:2" x14ac:dyDescent="0.25">
      <c r="A28" t="s">
        <v>23</v>
      </c>
      <c r="B28" s="3">
        <v>15</v>
      </c>
    </row>
    <row r="29" spans="1:2" x14ac:dyDescent="0.25">
      <c r="A29" t="s">
        <v>24</v>
      </c>
      <c r="B29" s="3">
        <v>90</v>
      </c>
    </row>
    <row r="30" spans="1:2" x14ac:dyDescent="0.25">
      <c r="A30" t="s">
        <v>25</v>
      </c>
      <c r="B30" s="3">
        <v>4</v>
      </c>
    </row>
    <row r="31" spans="1:2" x14ac:dyDescent="0.25">
      <c r="A31" t="s">
        <v>26</v>
      </c>
      <c r="B31" s="3">
        <v>10</v>
      </c>
    </row>
    <row r="32" spans="1:2" x14ac:dyDescent="0.25">
      <c r="A32" t="s">
        <v>27</v>
      </c>
      <c r="B32" s="3">
        <v>45</v>
      </c>
    </row>
    <row r="33" spans="1:2" x14ac:dyDescent="0.25">
      <c r="A33" t="s">
        <v>28</v>
      </c>
      <c r="B33" s="3">
        <v>5</v>
      </c>
    </row>
    <row r="34" spans="1:2" x14ac:dyDescent="0.25">
      <c r="A34" t="s">
        <v>29</v>
      </c>
      <c r="B34" s="3">
        <v>30</v>
      </c>
    </row>
    <row r="35" spans="1:2" x14ac:dyDescent="0.25">
      <c r="A35" t="s">
        <v>30</v>
      </c>
      <c r="B35" s="3">
        <v>45</v>
      </c>
    </row>
    <row r="36" spans="1:2" x14ac:dyDescent="0.25">
      <c r="A36" t="s">
        <v>31</v>
      </c>
      <c r="B36" s="3">
        <v>90</v>
      </c>
    </row>
    <row r="38" spans="1:2" x14ac:dyDescent="0.25">
      <c r="A38" s="2" t="s">
        <v>32</v>
      </c>
    </row>
    <row r="39" spans="1:2" ht="30" customHeight="1" x14ac:dyDescent="0.25">
      <c r="A39" s="4" t="s">
        <v>33</v>
      </c>
    </row>
    <row r="40" spans="1:2" ht="30" customHeight="1" x14ac:dyDescent="0.25">
      <c r="A40" s="4" t="s">
        <v>34</v>
      </c>
    </row>
    <row r="41" spans="1:2" ht="30" customHeight="1" x14ac:dyDescent="0.25">
      <c r="A41" s="4" t="s">
        <v>35</v>
      </c>
    </row>
    <row r="42" spans="1:2" ht="30" customHeight="1" x14ac:dyDescent="0.25">
      <c r="A42" s="4" t="s">
        <v>36</v>
      </c>
    </row>
    <row r="43" spans="1:2" ht="30" customHeight="1" x14ac:dyDescent="0.25">
      <c r="A43" s="4" t="s">
        <v>37</v>
      </c>
    </row>
    <row r="44" spans="1:2" ht="30" customHeight="1" x14ac:dyDescent="0.25">
      <c r="A44" s="4" t="s">
        <v>38</v>
      </c>
    </row>
    <row r="45" spans="1:2" ht="30" customHeight="1" x14ac:dyDescent="0.25">
      <c r="A45" s="4" t="s">
        <v>39</v>
      </c>
    </row>
    <row r="46" spans="1:2" ht="30" customHeight="1" x14ac:dyDescent="0.25">
      <c r="A46" s="4" t="s">
        <v>40</v>
      </c>
    </row>
    <row r="47" spans="1:2" ht="30" customHeight="1" x14ac:dyDescent="0.25">
      <c r="A47" s="4" t="s">
        <v>41</v>
      </c>
    </row>
    <row r="48" spans="1:2" ht="30" customHeight="1" x14ac:dyDescent="0.25">
      <c r="A48" s="4" t="s">
        <v>42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1"/>
  <sheetViews>
    <sheetView showGridLines="0" zoomScaleNormal="100" workbookViewId="0"/>
  </sheetViews>
  <sheetFormatPr defaultColWidth="8.7109375" defaultRowHeight="15" x14ac:dyDescent="0.25"/>
  <cols>
    <col min="1" max="1" width="11" customWidth="1"/>
    <col min="2" max="2" width="8" customWidth="1"/>
    <col min="3" max="3" width="9" customWidth="1"/>
    <col min="4" max="4" width="60" customWidth="1"/>
    <col min="5" max="5" width="8" customWidth="1"/>
    <col min="6" max="6" width="6" customWidth="1"/>
    <col min="7" max="8" width="10" customWidth="1"/>
    <col min="9" max="10" width="11" customWidth="1"/>
    <col min="11" max="11" width="7" customWidth="1"/>
  </cols>
  <sheetData>
    <row r="1" spans="1:11" x14ac:dyDescent="0.25">
      <c r="A1" s="5" t="s">
        <v>43</v>
      </c>
      <c r="B1" s="5" t="s">
        <v>44</v>
      </c>
      <c r="C1" s="5" t="s">
        <v>45</v>
      </c>
      <c r="D1" s="5" t="s">
        <v>46</v>
      </c>
      <c r="E1" s="5" t="s">
        <v>47</v>
      </c>
      <c r="F1" s="5" t="s">
        <v>48</v>
      </c>
      <c r="G1" s="5" t="s">
        <v>49</v>
      </c>
      <c r="H1" s="5" t="s">
        <v>50</v>
      </c>
      <c r="I1" s="5" t="s">
        <v>51</v>
      </c>
      <c r="J1" s="5" t="s">
        <v>52</v>
      </c>
      <c r="K1" s="5" t="s">
        <v>53</v>
      </c>
    </row>
    <row r="2" spans="1:11" x14ac:dyDescent="0.25">
      <c r="A2" s="6" t="s">
        <v>54</v>
      </c>
      <c r="B2" s="6" t="s">
        <v>2</v>
      </c>
      <c r="C2" s="6">
        <v>268938</v>
      </c>
      <c r="D2" s="6" t="s">
        <v>55</v>
      </c>
      <c r="E2" s="6" t="s">
        <v>56</v>
      </c>
      <c r="F2" s="6" t="s">
        <v>57</v>
      </c>
      <c r="G2" s="6">
        <v>208671</v>
      </c>
      <c r="H2" s="6">
        <v>125203</v>
      </c>
      <c r="I2" s="6" t="s">
        <v>54</v>
      </c>
      <c r="J2" s="6" t="s">
        <v>58</v>
      </c>
      <c r="K2" s="6" t="s">
        <v>59</v>
      </c>
    </row>
    <row r="3" spans="1:11" x14ac:dyDescent="0.25">
      <c r="A3" s="6" t="s">
        <v>54</v>
      </c>
      <c r="B3" s="6" t="s">
        <v>2</v>
      </c>
      <c r="C3" s="6">
        <v>271146</v>
      </c>
      <c r="D3" s="6" t="s">
        <v>60</v>
      </c>
      <c r="E3" s="6" t="s">
        <v>56</v>
      </c>
      <c r="F3" s="6" t="s">
        <v>57</v>
      </c>
      <c r="G3" s="6">
        <v>90077</v>
      </c>
      <c r="H3" s="6">
        <v>54046</v>
      </c>
      <c r="I3" s="6" t="s">
        <v>54</v>
      </c>
      <c r="J3" s="6" t="s">
        <v>58</v>
      </c>
      <c r="K3" s="6" t="s">
        <v>59</v>
      </c>
    </row>
    <row r="4" spans="1:11" x14ac:dyDescent="0.25">
      <c r="A4" s="6" t="s">
        <v>54</v>
      </c>
      <c r="B4" s="6" t="s">
        <v>2</v>
      </c>
      <c r="C4" s="6">
        <v>271538</v>
      </c>
      <c r="D4" s="6" t="s">
        <v>61</v>
      </c>
      <c r="E4" s="6" t="s">
        <v>56</v>
      </c>
      <c r="F4" s="6" t="s">
        <v>57</v>
      </c>
      <c r="G4" s="6">
        <v>64129</v>
      </c>
      <c r="H4" s="6">
        <v>38477</v>
      </c>
      <c r="I4" s="6" t="s">
        <v>54</v>
      </c>
      <c r="J4" s="6" t="s">
        <v>58</v>
      </c>
      <c r="K4" s="6" t="s">
        <v>59</v>
      </c>
    </row>
    <row r="5" spans="1:11" x14ac:dyDescent="0.25">
      <c r="A5" s="6" t="s">
        <v>54</v>
      </c>
      <c r="B5" s="6" t="s">
        <v>2</v>
      </c>
      <c r="C5" s="6">
        <v>271534</v>
      </c>
      <c r="D5" s="6" t="s">
        <v>62</v>
      </c>
      <c r="E5" s="6" t="s">
        <v>56</v>
      </c>
      <c r="F5" s="6" t="s">
        <v>57</v>
      </c>
      <c r="G5" s="6">
        <v>64667</v>
      </c>
      <c r="H5" s="6">
        <v>38800</v>
      </c>
      <c r="I5" s="6" t="s">
        <v>54</v>
      </c>
      <c r="J5" s="6" t="s">
        <v>58</v>
      </c>
      <c r="K5" s="6" t="s">
        <v>59</v>
      </c>
    </row>
    <row r="6" spans="1:11" x14ac:dyDescent="0.25">
      <c r="A6" s="6" t="s">
        <v>54</v>
      </c>
      <c r="B6" s="6" t="s">
        <v>2</v>
      </c>
      <c r="C6" s="6">
        <v>271533</v>
      </c>
      <c r="D6" s="6" t="s">
        <v>63</v>
      </c>
      <c r="E6" s="6" t="s">
        <v>56</v>
      </c>
      <c r="F6" s="6" t="s">
        <v>57</v>
      </c>
      <c r="G6" s="6">
        <v>65063</v>
      </c>
      <c r="H6" s="6">
        <v>39038</v>
      </c>
      <c r="I6" s="6" t="s">
        <v>54</v>
      </c>
      <c r="J6" s="6" t="s">
        <v>58</v>
      </c>
      <c r="K6" s="6" t="s">
        <v>59</v>
      </c>
    </row>
    <row r="7" spans="1:11" x14ac:dyDescent="0.25">
      <c r="A7" s="6" t="s">
        <v>54</v>
      </c>
      <c r="B7" s="6" t="s">
        <v>2</v>
      </c>
      <c r="C7" s="6">
        <v>393375</v>
      </c>
      <c r="D7" s="6" t="s">
        <v>64</v>
      </c>
      <c r="E7" s="6" t="s">
        <v>56</v>
      </c>
      <c r="F7" s="6" t="s">
        <v>57</v>
      </c>
      <c r="G7" s="6">
        <v>215150</v>
      </c>
      <c r="H7" s="6">
        <v>129090</v>
      </c>
      <c r="I7" s="6" t="s">
        <v>54</v>
      </c>
      <c r="J7" s="6" t="s">
        <v>58</v>
      </c>
      <c r="K7" s="6" t="s">
        <v>59</v>
      </c>
    </row>
    <row r="8" spans="1:11" x14ac:dyDescent="0.25">
      <c r="A8" s="6" t="s">
        <v>54</v>
      </c>
      <c r="B8" s="6" t="s">
        <v>2</v>
      </c>
      <c r="C8" s="6">
        <v>255298</v>
      </c>
      <c r="D8" s="6" t="s">
        <v>65</v>
      </c>
      <c r="E8" s="6" t="s">
        <v>56</v>
      </c>
      <c r="F8" s="6" t="s">
        <v>57</v>
      </c>
      <c r="G8" s="6">
        <v>6065</v>
      </c>
      <c r="H8" s="6">
        <v>3639</v>
      </c>
      <c r="I8" s="6" t="s">
        <v>54</v>
      </c>
      <c r="J8" s="6" t="s">
        <v>58</v>
      </c>
      <c r="K8" s="6" t="s">
        <v>59</v>
      </c>
    </row>
    <row r="9" spans="1:11" x14ac:dyDescent="0.25">
      <c r="A9" s="6" t="s">
        <v>54</v>
      </c>
      <c r="B9" s="6" t="s">
        <v>2</v>
      </c>
      <c r="C9" s="6">
        <v>269725</v>
      </c>
      <c r="D9" s="6" t="s">
        <v>66</v>
      </c>
      <c r="E9" s="6" t="s">
        <v>67</v>
      </c>
      <c r="F9" s="6" t="s">
        <v>57</v>
      </c>
      <c r="G9" s="6">
        <v>1571</v>
      </c>
      <c r="H9" s="6">
        <v>943</v>
      </c>
      <c r="I9" s="6" t="s">
        <v>54</v>
      </c>
      <c r="J9" s="6" t="s">
        <v>58</v>
      </c>
      <c r="K9" s="6" t="s">
        <v>59</v>
      </c>
    </row>
    <row r="10" spans="1:11" x14ac:dyDescent="0.25">
      <c r="A10" s="6" t="s">
        <v>54</v>
      </c>
      <c r="B10" s="6" t="s">
        <v>2</v>
      </c>
      <c r="C10" s="6">
        <v>269731</v>
      </c>
      <c r="D10" s="6" t="s">
        <v>68</v>
      </c>
      <c r="E10" s="6" t="s">
        <v>67</v>
      </c>
      <c r="F10" s="6" t="s">
        <v>57</v>
      </c>
      <c r="G10" s="6">
        <v>11691</v>
      </c>
      <c r="H10" s="6">
        <v>7015</v>
      </c>
      <c r="I10" s="6" t="s">
        <v>54</v>
      </c>
      <c r="J10" s="6" t="s">
        <v>58</v>
      </c>
      <c r="K10" s="6" t="s">
        <v>59</v>
      </c>
    </row>
    <row r="11" spans="1:11" x14ac:dyDescent="0.25">
      <c r="A11" s="6" t="s">
        <v>69</v>
      </c>
      <c r="B11" s="6" t="s">
        <v>70</v>
      </c>
      <c r="C11" s="6">
        <v>570003</v>
      </c>
      <c r="D11" s="6" t="s">
        <v>71</v>
      </c>
      <c r="E11" s="6" t="s">
        <v>56</v>
      </c>
      <c r="F11" s="6" t="s">
        <v>57</v>
      </c>
      <c r="G11" s="6">
        <v>869</v>
      </c>
      <c r="H11" s="6">
        <v>521</v>
      </c>
      <c r="I11" s="6" t="s">
        <v>69</v>
      </c>
      <c r="J11" s="6" t="s">
        <v>72</v>
      </c>
      <c r="K11" s="6" t="s">
        <v>59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9"/>
  <sheetViews>
    <sheetView showGridLines="0" zoomScaleNormal="100" workbookViewId="0">
      <pane ySplit="1" topLeftCell="A7" activePane="bottomLeft" state="frozen"/>
      <selection pane="bottomLeft" activeCell="E4" sqref="E4"/>
    </sheetView>
  </sheetViews>
  <sheetFormatPr defaultColWidth="8.7109375" defaultRowHeight="15" x14ac:dyDescent="0.25"/>
  <cols>
    <col min="1" max="1" width="5" customWidth="1"/>
    <col min="2" max="2" width="12" customWidth="1"/>
    <col min="3" max="3" width="14" customWidth="1"/>
    <col min="4" max="4" width="9" customWidth="1"/>
    <col min="5" max="5" width="46" customWidth="1"/>
    <col min="6" max="7" width="10" customWidth="1"/>
    <col min="8" max="8" width="12" customWidth="1"/>
    <col min="9" max="9" width="7" customWidth="1"/>
    <col min="10" max="10" width="8" customWidth="1"/>
    <col min="11" max="11" width="11" customWidth="1"/>
    <col min="12" max="12" width="12" customWidth="1"/>
    <col min="13" max="13" width="14" customWidth="1"/>
    <col min="14" max="14" width="12" customWidth="1"/>
    <col min="15" max="15" width="6" customWidth="1"/>
  </cols>
  <sheetData>
    <row r="1" spans="1:15" x14ac:dyDescent="0.25">
      <c r="A1" s="5" t="s">
        <v>73</v>
      </c>
      <c r="B1" s="5" t="s">
        <v>74</v>
      </c>
      <c r="C1" s="5" t="s">
        <v>75</v>
      </c>
      <c r="D1" s="5" t="s">
        <v>76</v>
      </c>
      <c r="E1" s="5" t="s">
        <v>77</v>
      </c>
      <c r="F1" s="5" t="s">
        <v>78</v>
      </c>
      <c r="G1" s="5" t="s">
        <v>79</v>
      </c>
      <c r="H1" s="5" t="s">
        <v>80</v>
      </c>
      <c r="I1" s="5" t="s">
        <v>81</v>
      </c>
      <c r="J1" s="5" t="s">
        <v>82</v>
      </c>
      <c r="K1" s="5" t="s">
        <v>83</v>
      </c>
      <c r="L1" s="5" t="s">
        <v>84</v>
      </c>
      <c r="M1" s="5" t="s">
        <v>85</v>
      </c>
      <c r="N1" s="5" t="s">
        <v>86</v>
      </c>
      <c r="O1" s="5" t="s">
        <v>87</v>
      </c>
    </row>
    <row r="2" spans="1:15" x14ac:dyDescent="0.25">
      <c r="A2" s="7">
        <v>1</v>
      </c>
      <c r="B2" s="8" t="str">
        <f>E2</f>
        <v>ВРУ-0,4 кВ (Ana Dagitim Panosu) - 260828 Aktau Duman</v>
      </c>
      <c r="C2" s="7"/>
      <c r="D2" s="7"/>
      <c r="E2" s="8" t="s">
        <v>88</v>
      </c>
      <c r="F2" s="7"/>
      <c r="G2" s="7"/>
      <c r="H2" s="7"/>
      <c r="I2" s="7">
        <v>1</v>
      </c>
      <c r="J2" s="7" t="s">
        <v>67</v>
      </c>
      <c r="K2" s="7"/>
      <c r="L2" s="7"/>
      <c r="M2" s="7"/>
      <c r="N2" s="7"/>
      <c r="O2" s="7"/>
    </row>
    <row r="3" spans="1:15" ht="45" x14ac:dyDescent="0.25">
      <c r="A3" s="9">
        <v>2</v>
      </c>
      <c r="B3" s="9"/>
      <c r="C3" s="9" t="s">
        <v>89</v>
      </c>
      <c r="D3" s="9"/>
      <c r="E3" s="10" t="s">
        <v>90</v>
      </c>
      <c r="F3" s="9"/>
      <c r="G3" s="9"/>
      <c r="H3" s="9"/>
      <c r="I3" s="9">
        <v>1</v>
      </c>
      <c r="J3" s="9" t="s">
        <v>67</v>
      </c>
      <c r="K3" s="9"/>
      <c r="L3" s="9"/>
      <c r="M3" s="9" t="s">
        <v>89</v>
      </c>
      <c r="N3" s="9" t="s">
        <v>91</v>
      </c>
      <c r="O3" s="9"/>
    </row>
    <row r="4" spans="1:15" ht="45" x14ac:dyDescent="0.25">
      <c r="A4" s="6">
        <v>3</v>
      </c>
      <c r="B4" s="6"/>
      <c r="C4" s="6" t="s">
        <v>92</v>
      </c>
      <c r="D4" s="6">
        <v>268938</v>
      </c>
      <c r="E4" s="11" t="s">
        <v>93</v>
      </c>
      <c r="F4" s="6">
        <v>208671</v>
      </c>
      <c r="G4" s="6">
        <v>125203</v>
      </c>
      <c r="H4" s="6">
        <f t="shared" ref="H4:H10" si="0">G4*I4</f>
        <v>375609</v>
      </c>
      <c r="I4" s="6">
        <v>3</v>
      </c>
      <c r="J4" s="6" t="s">
        <v>56</v>
      </c>
      <c r="K4" s="6" t="s">
        <v>54</v>
      </c>
      <c r="L4" s="6">
        <f t="shared" ref="L4:L10" si="1">H4</f>
        <v>375609</v>
      </c>
      <c r="M4" s="6" t="s">
        <v>92</v>
      </c>
      <c r="N4" s="6"/>
      <c r="O4" s="6"/>
    </row>
    <row r="5" spans="1:15" ht="30" x14ac:dyDescent="0.25">
      <c r="A5" s="6">
        <v>4</v>
      </c>
      <c r="B5" s="6"/>
      <c r="C5" s="6" t="s">
        <v>92</v>
      </c>
      <c r="D5" s="6">
        <v>271146</v>
      </c>
      <c r="E5" s="11" t="s">
        <v>94</v>
      </c>
      <c r="F5" s="6">
        <v>90077</v>
      </c>
      <c r="G5" s="6">
        <v>54046</v>
      </c>
      <c r="H5" s="6">
        <f t="shared" si="0"/>
        <v>162138</v>
      </c>
      <c r="I5" s="6">
        <v>3</v>
      </c>
      <c r="J5" s="6" t="s">
        <v>56</v>
      </c>
      <c r="K5" s="6" t="s">
        <v>54</v>
      </c>
      <c r="L5" s="6">
        <f t="shared" si="1"/>
        <v>162138</v>
      </c>
      <c r="M5" s="6" t="s">
        <v>92</v>
      </c>
      <c r="N5" s="6"/>
      <c r="O5" s="6"/>
    </row>
    <row r="6" spans="1:15" ht="30" x14ac:dyDescent="0.25">
      <c r="A6" s="6">
        <v>5</v>
      </c>
      <c r="B6" s="6"/>
      <c r="C6" s="6" t="s">
        <v>92</v>
      </c>
      <c r="D6" s="6">
        <v>271538</v>
      </c>
      <c r="E6" s="11" t="s">
        <v>95</v>
      </c>
      <c r="F6" s="6">
        <v>64129</v>
      </c>
      <c r="G6" s="6">
        <v>38477</v>
      </c>
      <c r="H6" s="6">
        <f t="shared" si="0"/>
        <v>115431</v>
      </c>
      <c r="I6" s="6">
        <v>3</v>
      </c>
      <c r="J6" s="6" t="s">
        <v>56</v>
      </c>
      <c r="K6" s="6" t="s">
        <v>54</v>
      </c>
      <c r="L6" s="6">
        <f t="shared" si="1"/>
        <v>115431</v>
      </c>
      <c r="M6" s="6" t="s">
        <v>92</v>
      </c>
      <c r="N6" s="6"/>
      <c r="O6" s="6"/>
    </row>
    <row r="7" spans="1:15" ht="30" x14ac:dyDescent="0.25">
      <c r="A7" s="6">
        <v>6</v>
      </c>
      <c r="B7" s="6"/>
      <c r="C7" s="6" t="s">
        <v>92</v>
      </c>
      <c r="D7" s="6">
        <v>271534</v>
      </c>
      <c r="E7" s="11" t="s">
        <v>96</v>
      </c>
      <c r="F7" s="6">
        <v>64667</v>
      </c>
      <c r="G7" s="6">
        <v>38800</v>
      </c>
      <c r="H7" s="6">
        <f t="shared" si="0"/>
        <v>116400</v>
      </c>
      <c r="I7" s="6">
        <v>3</v>
      </c>
      <c r="J7" s="6" t="s">
        <v>56</v>
      </c>
      <c r="K7" s="6" t="s">
        <v>54</v>
      </c>
      <c r="L7" s="6">
        <f t="shared" si="1"/>
        <v>116400</v>
      </c>
      <c r="M7" s="6" t="s">
        <v>92</v>
      </c>
      <c r="N7" s="6"/>
      <c r="O7" s="6"/>
    </row>
    <row r="8" spans="1:15" ht="30" x14ac:dyDescent="0.25">
      <c r="A8" s="6">
        <v>7</v>
      </c>
      <c r="B8" s="6"/>
      <c r="C8" s="6" t="s">
        <v>92</v>
      </c>
      <c r="D8" s="6">
        <v>271533</v>
      </c>
      <c r="E8" s="11" t="s">
        <v>97</v>
      </c>
      <c r="F8" s="6">
        <v>65063</v>
      </c>
      <c r="G8" s="6">
        <v>39038</v>
      </c>
      <c r="H8" s="6">
        <f t="shared" si="0"/>
        <v>156152</v>
      </c>
      <c r="I8" s="6">
        <v>4</v>
      </c>
      <c r="J8" s="6" t="s">
        <v>56</v>
      </c>
      <c r="K8" s="6" t="s">
        <v>54</v>
      </c>
      <c r="L8" s="6">
        <f t="shared" si="1"/>
        <v>156152</v>
      </c>
      <c r="M8" s="6" t="s">
        <v>92</v>
      </c>
      <c r="N8" s="6"/>
      <c r="O8" s="6"/>
    </row>
    <row r="9" spans="1:15" ht="45" x14ac:dyDescent="0.25">
      <c r="A9" s="6">
        <v>8</v>
      </c>
      <c r="B9" s="6"/>
      <c r="C9" s="6" t="s">
        <v>98</v>
      </c>
      <c r="D9" s="6">
        <v>393375</v>
      </c>
      <c r="E9" s="11" t="s">
        <v>99</v>
      </c>
      <c r="F9" s="6">
        <v>215150</v>
      </c>
      <c r="G9" s="6">
        <v>129090</v>
      </c>
      <c r="H9" s="6">
        <f t="shared" si="0"/>
        <v>129090</v>
      </c>
      <c r="I9" s="6">
        <v>1</v>
      </c>
      <c r="J9" s="6" t="s">
        <v>56</v>
      </c>
      <c r="K9" s="6" t="s">
        <v>54</v>
      </c>
      <c r="L9" s="6">
        <f t="shared" si="1"/>
        <v>129090</v>
      </c>
      <c r="M9" s="6" t="s">
        <v>98</v>
      </c>
      <c r="N9" s="6"/>
      <c r="O9" s="6"/>
    </row>
    <row r="10" spans="1:15" ht="45" x14ac:dyDescent="0.25">
      <c r="A10" s="6">
        <v>9</v>
      </c>
      <c r="B10" s="6"/>
      <c r="C10" s="6" t="s">
        <v>100</v>
      </c>
      <c r="D10" s="6">
        <v>255298</v>
      </c>
      <c r="E10" s="11" t="s">
        <v>101</v>
      </c>
      <c r="F10" s="6">
        <v>6065</v>
      </c>
      <c r="G10" s="6">
        <v>3639</v>
      </c>
      <c r="H10" s="6">
        <f t="shared" si="0"/>
        <v>32751</v>
      </c>
      <c r="I10" s="6">
        <v>9</v>
      </c>
      <c r="J10" s="6" t="s">
        <v>56</v>
      </c>
      <c r="K10" s="6" t="s">
        <v>54</v>
      </c>
      <c r="L10" s="6">
        <f t="shared" si="1"/>
        <v>32751</v>
      </c>
      <c r="M10" s="6" t="s">
        <v>100</v>
      </c>
      <c r="N10" s="6"/>
      <c r="O10" s="6"/>
    </row>
    <row r="11" spans="1:15" ht="45" x14ac:dyDescent="0.25">
      <c r="A11" s="6">
        <v>10</v>
      </c>
      <c r="B11" s="6"/>
      <c r="C11" s="6" t="s">
        <v>102</v>
      </c>
      <c r="D11" s="6"/>
      <c r="E11" s="11" t="s">
        <v>103</v>
      </c>
      <c r="F11" s="6"/>
      <c r="G11" s="6"/>
      <c r="H11" s="6"/>
      <c r="I11" s="6">
        <v>3</v>
      </c>
      <c r="J11" s="6" t="s">
        <v>56</v>
      </c>
      <c r="K11" s="6"/>
      <c r="L11" s="6"/>
      <c r="M11" s="6" t="s">
        <v>102</v>
      </c>
      <c r="N11" s="6" t="s">
        <v>91</v>
      </c>
      <c r="O11" s="6"/>
    </row>
    <row r="12" spans="1:15" ht="45" x14ac:dyDescent="0.25">
      <c r="A12" s="6">
        <v>11</v>
      </c>
      <c r="B12" s="6"/>
      <c r="C12" s="6" t="s">
        <v>104</v>
      </c>
      <c r="D12" s="6"/>
      <c r="E12" s="11" t="s">
        <v>105</v>
      </c>
      <c r="F12" s="6"/>
      <c r="G12" s="6"/>
      <c r="H12" s="6"/>
      <c r="I12" s="6">
        <v>3</v>
      </c>
      <c r="J12" s="6" t="s">
        <v>56</v>
      </c>
      <c r="K12" s="6"/>
      <c r="L12" s="6"/>
      <c r="M12" s="6" t="s">
        <v>104</v>
      </c>
      <c r="N12" s="6" t="s">
        <v>91</v>
      </c>
      <c r="O12" s="6"/>
    </row>
    <row r="13" spans="1:15" x14ac:dyDescent="0.25">
      <c r="A13" s="6">
        <v>12</v>
      </c>
      <c r="B13" s="6"/>
      <c r="C13" s="6" t="s">
        <v>106</v>
      </c>
      <c r="D13" s="6">
        <v>269725</v>
      </c>
      <c r="E13" s="11" t="s">
        <v>107</v>
      </c>
      <c r="F13" s="6">
        <v>1571</v>
      </c>
      <c r="G13" s="6">
        <v>943</v>
      </c>
      <c r="H13" s="6">
        <f>G13*I13</f>
        <v>2829</v>
      </c>
      <c r="I13" s="6">
        <v>3</v>
      </c>
      <c r="J13" s="6" t="s">
        <v>67</v>
      </c>
      <c r="K13" s="6" t="s">
        <v>54</v>
      </c>
      <c r="L13" s="6">
        <f>H13</f>
        <v>2829</v>
      </c>
      <c r="M13" s="6" t="s">
        <v>106</v>
      </c>
      <c r="N13" s="6"/>
      <c r="O13" s="6"/>
    </row>
    <row r="14" spans="1:15" ht="30" x14ac:dyDescent="0.25">
      <c r="A14" s="6">
        <v>13</v>
      </c>
      <c r="B14" s="6"/>
      <c r="C14" s="6" t="s">
        <v>106</v>
      </c>
      <c r="D14" s="6">
        <v>269731</v>
      </c>
      <c r="E14" s="11" t="s">
        <v>108</v>
      </c>
      <c r="F14" s="6">
        <v>11691</v>
      </c>
      <c r="G14" s="6">
        <v>7015</v>
      </c>
      <c r="H14" s="6">
        <f>G14*I14</f>
        <v>21045</v>
      </c>
      <c r="I14" s="6">
        <v>3</v>
      </c>
      <c r="J14" s="6" t="s">
        <v>67</v>
      </c>
      <c r="K14" s="6" t="s">
        <v>54</v>
      </c>
      <c r="L14" s="6">
        <f>H14</f>
        <v>21045</v>
      </c>
      <c r="M14" s="6" t="s">
        <v>106</v>
      </c>
      <c r="N14" s="6"/>
      <c r="O14" s="6"/>
    </row>
    <row r="15" spans="1:15" ht="30" x14ac:dyDescent="0.25">
      <c r="A15" s="6">
        <v>14</v>
      </c>
      <c r="B15" s="6"/>
      <c r="C15" s="6" t="s">
        <v>109</v>
      </c>
      <c r="D15" s="6">
        <v>570003</v>
      </c>
      <c r="E15" s="11" t="s">
        <v>110</v>
      </c>
      <c r="F15" s="6">
        <v>869</v>
      </c>
      <c r="G15" s="6">
        <v>521</v>
      </c>
      <c r="H15" s="6">
        <f>G15*I15</f>
        <v>3126</v>
      </c>
      <c r="I15" s="6">
        <v>6</v>
      </c>
      <c r="J15" s="6" t="s">
        <v>56</v>
      </c>
      <c r="K15" s="6" t="s">
        <v>69</v>
      </c>
      <c r="L15" s="6">
        <f>H15</f>
        <v>3126</v>
      </c>
      <c r="M15" s="6" t="s">
        <v>109</v>
      </c>
      <c r="N15" s="6" t="s">
        <v>111</v>
      </c>
      <c r="O15" s="6"/>
    </row>
    <row r="16" spans="1:15" ht="30" x14ac:dyDescent="0.25">
      <c r="A16" s="9">
        <v>15</v>
      </c>
      <c r="B16" s="9"/>
      <c r="C16" s="9" t="s">
        <v>112</v>
      </c>
      <c r="D16" s="9"/>
      <c r="E16" s="10" t="s">
        <v>113</v>
      </c>
      <c r="F16" s="9"/>
      <c r="G16" s="9"/>
      <c r="H16" s="9"/>
      <c r="I16" s="9"/>
      <c r="J16" s="9" t="s">
        <v>114</v>
      </c>
      <c r="K16" s="9"/>
      <c r="L16" s="9"/>
      <c r="M16" s="9" t="s">
        <v>112</v>
      </c>
      <c r="N16" s="9" t="s">
        <v>91</v>
      </c>
      <c r="O16" s="9"/>
    </row>
    <row r="17" spans="1:15" ht="45" x14ac:dyDescent="0.25">
      <c r="A17" s="6">
        <v>16</v>
      </c>
      <c r="B17" s="6"/>
      <c r="C17" s="6" t="s">
        <v>115</v>
      </c>
      <c r="D17" s="6"/>
      <c r="E17" s="11" t="s">
        <v>116</v>
      </c>
      <c r="F17" s="6"/>
      <c r="G17" s="6"/>
      <c r="H17" s="6"/>
      <c r="I17" s="6">
        <v>1</v>
      </c>
      <c r="J17" s="6" t="s">
        <v>67</v>
      </c>
      <c r="K17" s="6"/>
      <c r="L17" s="6"/>
      <c r="M17" s="6" t="s">
        <v>115</v>
      </c>
      <c r="N17" s="6" t="s">
        <v>117</v>
      </c>
      <c r="O17" s="6"/>
    </row>
    <row r="18" spans="1:15" ht="30" x14ac:dyDescent="0.25">
      <c r="A18" s="6">
        <v>17</v>
      </c>
      <c r="B18" s="6"/>
      <c r="C18" s="6" t="s">
        <v>118</v>
      </c>
      <c r="D18" s="6"/>
      <c r="E18" s="11" t="s">
        <v>119</v>
      </c>
      <c r="F18" s="6">
        <f>I18/60</f>
        <v>29.785</v>
      </c>
      <c r="G18" s="6">
        <f>KURALLAR!$B$19</f>
        <v>100</v>
      </c>
      <c r="H18" s="6">
        <f>G18*I18</f>
        <v>178710</v>
      </c>
      <c r="I18" s="6">
        <f>(I4*KURALLAR!$B$26+I5*KURALLAR!$B$25+I6*KURALLAR!$B$25+I7*KURALLAR!$B$25+I8*KURALLAR!$B$25+I9*KURALLAR!$B$27+I11*KURALLAR!$B$29+I12*KURALLAR!$B$28+I13*KURALLAR!$B$30+I14*KURALLAR!$B$30+I15*KURALLAR!$B$33+I3*KURALLAR!$B$36)*KURALLAR!$B$20</f>
        <v>1787.1</v>
      </c>
      <c r="J18" s="6" t="s">
        <v>120</v>
      </c>
      <c r="K18" s="6"/>
      <c r="L18" s="6">
        <f>H18</f>
        <v>178710</v>
      </c>
      <c r="M18" s="6" t="s">
        <v>121</v>
      </c>
      <c r="N18" s="6"/>
      <c r="O18" s="6"/>
    </row>
    <row r="19" spans="1:15" x14ac:dyDescent="0.25">
      <c r="A19" s="12"/>
      <c r="B19" s="12" t="s">
        <v>122</v>
      </c>
      <c r="C19" s="12"/>
      <c r="D19" s="12"/>
      <c r="E19" s="12"/>
      <c r="F19" s="12"/>
      <c r="G19" s="12"/>
      <c r="H19" s="12">
        <f>SUBTOTAL(9,H3:H18)</f>
        <v>1293281</v>
      </c>
      <c r="I19" s="12"/>
      <c r="J19" s="12"/>
      <c r="K19" s="12"/>
      <c r="L19" s="12">
        <f>SUBTOTAL(9,L3:L18)</f>
        <v>1293281</v>
      </c>
      <c r="M19" s="12"/>
      <c r="N19" s="12"/>
      <c r="O19" s="12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3"/>
  <sheetViews>
    <sheetView showGridLines="0" zoomScaleNormal="100" workbookViewId="0">
      <selection activeCell="A11" sqref="A11"/>
    </sheetView>
  </sheetViews>
  <sheetFormatPr defaultColWidth="8.7109375" defaultRowHeight="15" x14ac:dyDescent="0.25"/>
  <cols>
    <col min="1" max="1" width="95" customWidth="1"/>
    <col min="2" max="6" width="14" customWidth="1"/>
  </cols>
  <sheetData>
    <row r="1" spans="1:2" ht="16.5" x14ac:dyDescent="0.25">
      <c r="A1" s="1" t="s">
        <v>123</v>
      </c>
    </row>
    <row r="3" spans="1:2" x14ac:dyDescent="0.25">
      <c r="A3" s="2" t="s">
        <v>124</v>
      </c>
    </row>
    <row r="4" spans="1:2" ht="45" customHeight="1" x14ac:dyDescent="0.25">
      <c r="A4" s="13" t="s">
        <v>125</v>
      </c>
    </row>
    <row r="6" spans="1:2" x14ac:dyDescent="0.25">
      <c r="A6" t="s">
        <v>126</v>
      </c>
      <c r="B6">
        <f>BOM!H19</f>
        <v>1293281</v>
      </c>
    </row>
    <row r="7" spans="1:2" x14ac:dyDescent="0.25">
      <c r="A7" t="s">
        <v>57</v>
      </c>
    </row>
    <row r="9" spans="1:2" x14ac:dyDescent="0.25">
      <c r="A9" t="s">
        <v>127</v>
      </c>
    </row>
    <row r="10" spans="1:2" x14ac:dyDescent="0.25">
      <c r="A10" s="13" t="s">
        <v>128</v>
      </c>
    </row>
    <row r="11" spans="1:2" x14ac:dyDescent="0.25">
      <c r="A11" t="s">
        <v>129</v>
      </c>
    </row>
    <row r="12" spans="1:2" x14ac:dyDescent="0.25">
      <c r="A12" s="13" t="s">
        <v>130</v>
      </c>
    </row>
    <row r="14" spans="1:2" x14ac:dyDescent="0.25">
      <c r="A14" t="s">
        <v>131</v>
      </c>
    </row>
    <row r="15" spans="1:2" x14ac:dyDescent="0.25">
      <c r="A15" s="13" t="s">
        <v>132</v>
      </c>
    </row>
    <row r="17" spans="1:1" x14ac:dyDescent="0.25">
      <c r="A17" s="2" t="s">
        <v>133</v>
      </c>
    </row>
    <row r="18" spans="1:1" ht="30" customHeight="1" x14ac:dyDescent="0.25">
      <c r="A18" s="4" t="s">
        <v>134</v>
      </c>
    </row>
    <row r="19" spans="1:1" ht="30" customHeight="1" x14ac:dyDescent="0.25">
      <c r="A19" s="4" t="s">
        <v>135</v>
      </c>
    </row>
    <row r="20" spans="1:1" ht="30" customHeight="1" x14ac:dyDescent="0.25">
      <c r="A20" s="4" t="s">
        <v>136</v>
      </c>
    </row>
    <row r="21" spans="1:1" ht="30" customHeight="1" x14ac:dyDescent="0.25">
      <c r="A21" s="4" t="s">
        <v>137</v>
      </c>
    </row>
    <row r="22" spans="1:1" ht="30" customHeight="1" x14ac:dyDescent="0.25">
      <c r="A22" s="4" t="s">
        <v>138</v>
      </c>
    </row>
    <row r="23" spans="1:1" ht="30" customHeight="1" x14ac:dyDescent="0.25">
      <c r="A23" s="4" t="s">
        <v>139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1"/>
  <sheetViews>
    <sheetView showGridLines="0" tabSelected="1" zoomScaleNormal="100" workbookViewId="0"/>
  </sheetViews>
  <sheetFormatPr defaultColWidth="8.7109375" defaultRowHeight="15" x14ac:dyDescent="0.25"/>
  <cols>
    <col min="1" max="1" width="14" customWidth="1"/>
    <col min="2" max="2" width="70" customWidth="1"/>
    <col min="3" max="3" width="10" customWidth="1"/>
    <col min="4" max="4" width="16" customWidth="1"/>
    <col min="5" max="5" width="14" customWidth="1"/>
  </cols>
  <sheetData>
    <row r="1" spans="1:4" ht="18" x14ac:dyDescent="0.25">
      <c r="A1" s="14" t="s">
        <v>140</v>
      </c>
    </row>
    <row r="3" spans="1:4" x14ac:dyDescent="0.25">
      <c r="A3" t="s">
        <v>141</v>
      </c>
      <c r="B3" t="s">
        <v>142</v>
      </c>
    </row>
    <row r="4" spans="1:4" x14ac:dyDescent="0.25">
      <c r="A4" t="s">
        <v>143</v>
      </c>
      <c r="B4" t="s">
        <v>144</v>
      </c>
    </row>
    <row r="5" spans="1:4" x14ac:dyDescent="0.25">
      <c r="A5" t="s">
        <v>145</v>
      </c>
      <c r="B5" t="s">
        <v>146</v>
      </c>
    </row>
    <row r="6" spans="1:4" x14ac:dyDescent="0.25">
      <c r="A6" s="15" t="s">
        <v>147</v>
      </c>
      <c r="B6" t="s">
        <v>148</v>
      </c>
    </row>
    <row r="9" spans="1:4" x14ac:dyDescent="0.25">
      <c r="A9" s="16" t="s">
        <v>149</v>
      </c>
      <c r="B9" s="16" t="s">
        <v>150</v>
      </c>
      <c r="C9" s="16" t="s">
        <v>151</v>
      </c>
      <c r="D9" s="16" t="s">
        <v>152</v>
      </c>
    </row>
    <row r="10" spans="1:4" x14ac:dyDescent="0.25">
      <c r="A10" t="s">
        <v>153</v>
      </c>
      <c r="B10">
        <v>1</v>
      </c>
      <c r="C10" t="s">
        <v>67</v>
      </c>
      <c r="D10">
        <f>BOM!H19</f>
        <v>1293281</v>
      </c>
    </row>
    <row r="11" spans="1:4" ht="30" customHeight="1" x14ac:dyDescent="0.25">
      <c r="A11" t="s">
        <v>154</v>
      </c>
      <c r="B11" s="13" t="s">
        <v>155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KURALLAR</vt:lpstr>
      <vt:lpstr>FIYAT</vt:lpstr>
      <vt:lpstr>BOM</vt:lpstr>
      <vt:lpstr>OZET</vt:lpstr>
      <vt:lpstr>TEKLIF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yusuf kaplan</cp:lastModifiedBy>
  <cp:revision>0</cp:revision>
  <dcterms:created xsi:type="dcterms:W3CDTF">2026-08-28T10:05:45Z</dcterms:created>
  <dcterms:modified xsi:type="dcterms:W3CDTF">2026-08-28T13:13:51Z</dcterms:modified>
  <dc:language>en-US</dc:language>
</cp:coreProperties>
</file>