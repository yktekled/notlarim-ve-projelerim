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204 yakup bey shct\"/>
    </mc:Choice>
  </mc:AlternateContent>
  <xr:revisionPtr revIDLastSave="0" documentId="13_ncr:1_{B8E3816B-8629-4B50-8F31-05E084EAFFF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yat calismasi burda" sheetId="1" r:id="rId1"/>
  </sheets>
  <definedNames>
    <definedName name="_xlnm._FilterDatabase" localSheetId="0" hidden="1">'fiyat calismasi burda'!$A$1:$K$16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G8" i="1"/>
  <c r="H8" i="1" s="1"/>
  <c r="G11" i="1"/>
  <c r="H11" i="1" s="1"/>
  <c r="G12" i="1"/>
  <c r="H12" i="1" s="1"/>
  <c r="G13" i="1"/>
  <c r="H13" i="1" s="1"/>
  <c r="G10" i="1"/>
  <c r="H10" i="1" s="1"/>
  <c r="G4" i="1"/>
  <c r="H4" i="1" s="1"/>
  <c r="P16" i="1"/>
  <c r="G9" i="1" l="1"/>
  <c r="H9" i="1" s="1"/>
  <c r="G3" i="1"/>
  <c r="H3" i="1" s="1"/>
  <c r="H15" i="1" l="1"/>
  <c r="F14" i="1" l="1"/>
  <c r="G14" i="1" s="1"/>
  <c r="H14" i="1" s="1"/>
  <c r="G7" i="1"/>
  <c r="H7" i="1" s="1"/>
  <c r="G6" i="1"/>
  <c r="H6" i="1" s="1"/>
  <c r="G5" i="1"/>
  <c r="H5" i="1" s="1"/>
  <c r="B2" i="1"/>
  <c r="B3" i="1" l="1"/>
  <c r="B4" i="1"/>
  <c r="B8" i="1" s="1"/>
  <c r="H16" i="1"/>
  <c r="F2" i="1" s="1"/>
  <c r="B6" i="1"/>
  <c r="B11" i="1" s="1"/>
  <c r="B14" i="1"/>
  <c r="B15" i="1" s="1"/>
  <c r="B7" i="1"/>
  <c r="B5" i="1"/>
  <c r="B9" i="1" l="1"/>
  <c r="B12" i="1" s="1"/>
  <c r="B10" i="1"/>
  <c r="B13" i="1" s="1"/>
</calcChain>
</file>

<file path=xl/sharedStrings.xml><?xml version="1.0" encoding="utf-8"?>
<sst xmlns="http://schemas.openxmlformats.org/spreadsheetml/2006/main" count="80" uniqueCount="48">
  <si>
    <t>malzeme</t>
  </si>
  <si>
    <t>Артикул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</si>
  <si>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</si>
  <si>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</si>
  <si>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</si>
  <si>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</si>
  <si>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</si>
  <si>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</si>
  <si>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</si>
  <si>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</si>
  <si>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</si>
  <si>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</si>
  <si>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</si>
  <si>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</si>
  <si>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</si>
  <si>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</si>
  <si>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296710</t>
  </si>
  <si>
    <t>Авт. выкл. NXB-63S 1P 16А 4.5kA х-ка C (R)</t>
  </si>
  <si>
    <t>kontaktor</t>
  </si>
  <si>
    <t>pyc</t>
  </si>
  <si>
    <t>termoreguliator</t>
  </si>
  <si>
    <t>296830</t>
  </si>
  <si>
    <t>Авт. выкл. NXB-63S 3P 32А 4.5kA х-ка C (R)</t>
  </si>
  <si>
    <t xml:space="preserve">  chint</t>
  </si>
  <si>
    <t>РТ-330</t>
  </si>
  <si>
    <t>Наименование1</t>
  </si>
  <si>
    <t>719-15425</t>
  </si>
  <si>
    <t>Мет.Корпус ЩМП-2 (500x400x220)  IP54</t>
  </si>
  <si>
    <t>Toplam ЩС-1Кат.</t>
  </si>
  <si>
    <t>ecotherm-03-Б2-T1</t>
  </si>
  <si>
    <t>ЩС-Т(260205 Nova MP)</t>
  </si>
  <si>
    <t>sinyal lamb</t>
  </si>
  <si>
    <t>perkluchatel</t>
  </si>
  <si>
    <t>296712</t>
  </si>
  <si>
    <t>Авт. выкл. NXB-63S 1P 25А 4.5kA х-ка C (R)</t>
  </si>
  <si>
    <t>836779</t>
  </si>
  <si>
    <t>Контактор NXC-40 40A 380В/АС3 1НО+1НЗ 50Гц (R)</t>
  </si>
  <si>
    <t>593077</t>
  </si>
  <si>
    <t>Индикатор ND16-22D/2 зеленый AC/DC230В (R)</t>
  </si>
  <si>
    <t>593075</t>
  </si>
  <si>
    <t>Индикатор ND16-22D/2 красный AC/DC230В (R)</t>
  </si>
  <si>
    <t>593076</t>
  </si>
  <si>
    <t>Индикатор ND16-22D/2 желтый AC/DC230В (R)</t>
  </si>
  <si>
    <t>574822</t>
  </si>
  <si>
    <t>Переключатель NP2-ED33, 3 положения с фиксацией, 2НО IP40</t>
  </si>
  <si>
    <t>296708</t>
  </si>
  <si>
    <t>Авт. выкл. NXB-63S 1P 6А 4.5kA х-ка C (R)</t>
  </si>
  <si>
    <t xml:space="preserve">  989-090-0101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</si>
</sst>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11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7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0" fillId="5" borderId="0" xfId="0" applyFill="1"/>
    <xf numFmtId="0" fontId="6" fillId="5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5" fontId="9" fillId="4" borderId="1" xfId="1" applyNumberFormat="1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5" fontId="9" fillId="6" borderId="1" xfId="1" applyNumberFormat="1" applyFont="1" applyFill="1" applyBorder="1" applyAlignment="1" applyProtection="1">
      <alignment horizontal="center" vertical="center" wrapText="1"/>
    </xf>
    <xf numFmtId="0" fontId="9" fillId="4" borderId="1" xfId="1" applyNumberFormat="1" applyFont="1" applyFill="1" applyBorder="1" applyAlignment="1" applyProtection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3" fontId="9" fillId="6" borderId="1" xfId="1" applyNumberFormat="1" applyFont="1" applyFill="1" applyBorder="1" applyAlignment="1" applyProtection="1">
      <alignment horizontal="center" vertical="center" wrapText="1"/>
    </xf>
    <xf numFmtId="3" fontId="9" fillId="4" borderId="1" xfId="1" applyNumberFormat="1" applyFont="1" applyFill="1" applyBorder="1" applyAlignment="1" applyProtection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10" fillId="5" borderId="1" xfId="0" applyNumberFormat="1" applyFont="1" applyFill="1" applyBorder="1" applyAlignment="1">
      <alignment horizontal="center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3" fontId="6" fillId="5" borderId="0" xfId="0" applyNumberFormat="1" applyFont="1" applyFill="1"/>
    <xf numFmtId="0" fontId="9" fillId="6" borderId="1" xfId="1" applyNumberFormat="1" applyFont="1" applyFill="1" applyBorder="1" applyAlignment="1" applyProtection="1">
      <alignment horizontal="center" vertical="center" wrapText="1"/>
    </xf>
    <xf numFmtId="0" fontId="6" fillId="5" borderId="0" xfId="0" applyFont="1" applyFill="1" applyAlignment="1">
      <alignment horizontal="center" vertical="center"/>
    </xf>
  </cellXfs>
  <cellStyles count="7">
    <cellStyle name="Normal" xfId="0" builtinId="0"/>
    <cellStyle name="Normal 2" xfId="4" xr:uid="{00000000-0005-0000-0000-000001000000}"/>
    <cellStyle name="Virgül" xfId="1" builtinId="3"/>
    <cellStyle name="Обычный 2" xfId="2" xr:uid="{00000000-0005-0000-0000-000003000000}"/>
    <cellStyle name="Обычный 2 2" xfId="3" xr:uid="{00000000-0005-0000-0000-000004000000}"/>
    <cellStyle name="Обычный 2 2 2" xfId="6" xr:uid="{00000000-0005-0000-0000-000005000000}"/>
    <cellStyle name="Обычный 2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tabSelected="1" zoomScale="70" zoomScaleNormal="70" workbookViewId="0">
      <pane ySplit="1" topLeftCell="A2" activePane="bottomLeft" state="frozen"/>
      <selection pane="bottomLeft" activeCell="E7" sqref="E7"/>
    </sheetView>
  </sheetViews>
  <sheetFormatPr defaultColWidth="8.42578125" defaultRowHeight="15" x14ac:dyDescent="0.25"/>
  <cols>
    <col min="1" max="1" width="11.85546875" style="1" customWidth="1"/>
    <col min="2" max="2" width="33.85546875" style="1" customWidth="1"/>
    <col min="3" max="3" width="17.28515625" style="1" customWidth="1"/>
    <col min="4" max="4" width="24.7109375" style="2" customWidth="1"/>
    <col min="5" max="5" width="73.140625" style="2" customWidth="1"/>
    <col min="6" max="8" width="24.7109375" style="17" customWidth="1"/>
    <col min="9" max="9" width="24.7109375" style="19" customWidth="1"/>
    <col min="10" max="10" width="24.7109375" style="2" customWidth="1"/>
    <col min="11" max="11" width="29" style="2" customWidth="1"/>
    <col min="12" max="16384" width="8.42578125" style="1"/>
  </cols>
  <sheetData>
    <row r="1" spans="1:16" s="2" customFormat="1" ht="93" customHeight="1" x14ac:dyDescent="0.25">
      <c r="A1" s="3"/>
      <c r="B1" s="3" t="s">
        <v>25</v>
      </c>
      <c r="C1" s="3" t="s">
        <v>0</v>
      </c>
      <c r="D1" s="3" t="s">
        <v>1</v>
      </c>
      <c r="E1" s="3" t="s">
        <v>13</v>
      </c>
      <c r="F1" s="14" t="s">
        <v>2</v>
      </c>
      <c r="G1" s="14" t="s">
        <v>2</v>
      </c>
      <c r="H1" s="14" t="s">
        <v>5</v>
      </c>
      <c r="I1" s="3" t="s">
        <v>14</v>
      </c>
      <c r="J1" s="3" t="s">
        <v>3</v>
      </c>
      <c r="K1" s="3" t="s">
        <v>4</v>
      </c>
    </row>
    <row r="2" spans="1:16" s="2" customFormat="1" ht="39" customHeight="1" x14ac:dyDescent="0.25">
      <c r="A2" s="8"/>
      <c r="B2" s="7" t="str">
        <f>E2</f>
        <v>ЩС-Т(260205 Nova MP)</v>
      </c>
      <c r="C2" s="8"/>
      <c r="D2" s="9" t="s">
        <v>47</v>
      </c>
      <c r="E2" s="8" t="s">
        <v>30</v>
      </c>
      <c r="F2" s="12">
        <f>2.145*H16</f>
        <v>100145.33100000001</v>
      </c>
      <c r="G2" s="12"/>
      <c r="H2" s="12"/>
      <c r="I2" s="18">
        <v>1</v>
      </c>
      <c r="J2" s="9" t="s">
        <v>6</v>
      </c>
      <c r="K2" s="9" t="s">
        <v>8</v>
      </c>
    </row>
    <row r="3" spans="1:16" s="2" customFormat="1" ht="42" customHeight="1" x14ac:dyDescent="0.25">
      <c r="A3" s="4"/>
      <c r="B3" s="4" t="str">
        <f>B2</f>
        <v>ЩС-Т(260205 Nova MP)</v>
      </c>
      <c r="C3" s="6" t="s">
        <v>7</v>
      </c>
      <c r="D3" s="5" t="s">
        <v>26</v>
      </c>
      <c r="E3" s="4" t="s">
        <v>27</v>
      </c>
      <c r="F3" s="13">
        <v>16770</v>
      </c>
      <c r="G3" s="13">
        <f>0.6*F3</f>
        <v>10062</v>
      </c>
      <c r="H3" s="13">
        <f>G3*I3</f>
        <v>10062</v>
      </c>
      <c r="I3" s="10">
        <v>1</v>
      </c>
      <c r="J3" s="5" t="s">
        <v>12</v>
      </c>
      <c r="K3" s="5" t="s">
        <v>15</v>
      </c>
    </row>
    <row r="4" spans="1:16" ht="54.75" customHeight="1" x14ac:dyDescent="0.25">
      <c r="A4" s="4"/>
      <c r="B4" s="4" t="str">
        <f>B2</f>
        <v>ЩС-Т(260205 Nova MP)</v>
      </c>
      <c r="C4" s="6" t="s">
        <v>11</v>
      </c>
      <c r="D4" s="6" t="s">
        <v>21</v>
      </c>
      <c r="E4" s="6" t="s">
        <v>22</v>
      </c>
      <c r="F4" s="15">
        <v>2530</v>
      </c>
      <c r="G4" s="15">
        <f t="shared" ref="G4" si="0">F4*0.6</f>
        <v>1518</v>
      </c>
      <c r="H4" s="15">
        <f t="shared" ref="H4" si="1">G4*I4</f>
        <v>1518</v>
      </c>
      <c r="I4" s="6">
        <v>1</v>
      </c>
      <c r="J4" s="6" t="s">
        <v>12</v>
      </c>
      <c r="K4" s="6" t="s">
        <v>23</v>
      </c>
    </row>
    <row r="5" spans="1:16" ht="54.75" customHeight="1" x14ac:dyDescent="0.25">
      <c r="A5" s="4"/>
      <c r="B5" s="4" t="str">
        <f>B3</f>
        <v>ЩС-Т(260205 Nova MP)</v>
      </c>
      <c r="C5" s="6" t="s">
        <v>11</v>
      </c>
      <c r="D5" s="6" t="s">
        <v>33</v>
      </c>
      <c r="E5" s="6" t="s">
        <v>34</v>
      </c>
      <c r="F5" s="15">
        <v>784</v>
      </c>
      <c r="G5" s="15">
        <f t="shared" ref="G5:G7" si="2">F5*0.6</f>
        <v>470.4</v>
      </c>
      <c r="H5" s="15">
        <f t="shared" ref="H5:H7" si="3">G5*I5</f>
        <v>470.4</v>
      </c>
      <c r="I5" s="6">
        <v>1</v>
      </c>
      <c r="J5" s="6" t="s">
        <v>12</v>
      </c>
      <c r="K5" s="6" t="s">
        <v>23</v>
      </c>
    </row>
    <row r="6" spans="1:16" ht="54.75" customHeight="1" x14ac:dyDescent="0.25">
      <c r="A6" s="4"/>
      <c r="B6" s="4" t="str">
        <f>B2</f>
        <v>ЩС-Т(260205 Nova MP)</v>
      </c>
      <c r="C6" s="6" t="s">
        <v>18</v>
      </c>
      <c r="D6" s="6" t="s">
        <v>35</v>
      </c>
      <c r="E6" s="6" t="s">
        <v>36</v>
      </c>
      <c r="F6" s="15">
        <v>14650</v>
      </c>
      <c r="G6" s="15">
        <f t="shared" si="2"/>
        <v>8790</v>
      </c>
      <c r="H6" s="15">
        <f t="shared" si="3"/>
        <v>8790</v>
      </c>
      <c r="I6" s="6">
        <v>1</v>
      </c>
      <c r="J6" s="6" t="s">
        <v>12</v>
      </c>
      <c r="K6" s="6" t="s">
        <v>23</v>
      </c>
    </row>
    <row r="7" spans="1:16" ht="54.75" customHeight="1" x14ac:dyDescent="0.25">
      <c r="A7" s="4"/>
      <c r="B7" s="4" t="str">
        <f>B3</f>
        <v>ЩС-Т(260205 Nova MP)</v>
      </c>
      <c r="C7" s="6" t="s">
        <v>11</v>
      </c>
      <c r="D7" s="6" t="s">
        <v>16</v>
      </c>
      <c r="E7" s="6" t="s">
        <v>17</v>
      </c>
      <c r="F7" s="15">
        <v>760</v>
      </c>
      <c r="G7" s="15">
        <f t="shared" si="2"/>
        <v>456</v>
      </c>
      <c r="H7" s="15">
        <f t="shared" si="3"/>
        <v>2736</v>
      </c>
      <c r="I7" s="6">
        <v>6</v>
      </c>
      <c r="J7" s="6" t="s">
        <v>12</v>
      </c>
      <c r="K7" s="6" t="s">
        <v>23</v>
      </c>
    </row>
    <row r="8" spans="1:16" ht="54.75" customHeight="1" x14ac:dyDescent="0.25">
      <c r="A8" s="4"/>
      <c r="B8" s="4" t="str">
        <f>B4</f>
        <v>ЩС-Т(260205 Nova MP)</v>
      </c>
      <c r="C8" s="6" t="s">
        <v>11</v>
      </c>
      <c r="D8" s="6" t="s">
        <v>45</v>
      </c>
      <c r="E8" s="6" t="s">
        <v>46</v>
      </c>
      <c r="F8" s="15">
        <v>947</v>
      </c>
      <c r="G8" s="15">
        <f t="shared" ref="G8" si="4">F8*0.6</f>
        <v>568.19999999999993</v>
      </c>
      <c r="H8" s="15">
        <f t="shared" ref="H8" si="5">G8*I8</f>
        <v>1704.6</v>
      </c>
      <c r="I8" s="6">
        <v>3</v>
      </c>
      <c r="J8" s="6" t="s">
        <v>12</v>
      </c>
      <c r="K8" s="6" t="s">
        <v>23</v>
      </c>
    </row>
    <row r="9" spans="1:16" ht="54.75" customHeight="1" x14ac:dyDescent="0.25">
      <c r="A9" s="4"/>
      <c r="B9" s="4" t="str">
        <f>B5</f>
        <v>ЩС-Т(260205 Nova MP)</v>
      </c>
      <c r="C9" s="11" t="s">
        <v>20</v>
      </c>
      <c r="D9" s="11" t="s">
        <v>24</v>
      </c>
      <c r="E9" s="11" t="s">
        <v>29</v>
      </c>
      <c r="F9" s="16">
        <v>39000</v>
      </c>
      <c r="G9" s="16">
        <f>F9</f>
        <v>39000</v>
      </c>
      <c r="H9" s="16">
        <f>G9*I9</f>
        <v>0</v>
      </c>
      <c r="I9" s="11">
        <v>0</v>
      </c>
      <c r="J9" s="11" t="s">
        <v>12</v>
      </c>
      <c r="K9" s="11" t="s">
        <v>19</v>
      </c>
    </row>
    <row r="10" spans="1:16" ht="54.75" customHeight="1" x14ac:dyDescent="0.25">
      <c r="A10" s="4"/>
      <c r="B10" s="4" t="str">
        <f>B5</f>
        <v>ЩС-Т(260205 Nova MP)</v>
      </c>
      <c r="C10" s="6" t="s">
        <v>31</v>
      </c>
      <c r="D10" s="6" t="s">
        <v>37</v>
      </c>
      <c r="E10" s="6" t="s">
        <v>38</v>
      </c>
      <c r="F10" s="15">
        <v>589</v>
      </c>
      <c r="G10" s="15">
        <f t="shared" ref="G10:G11" si="6">F10*0.6</f>
        <v>353.4</v>
      </c>
      <c r="H10" s="15">
        <f t="shared" ref="H10:H11" si="7">G10*I10</f>
        <v>353.4</v>
      </c>
      <c r="I10" s="6">
        <v>1</v>
      </c>
      <c r="J10" s="6" t="s">
        <v>12</v>
      </c>
      <c r="K10" s="6" t="s">
        <v>23</v>
      </c>
    </row>
    <row r="11" spans="1:16" ht="54.75" customHeight="1" x14ac:dyDescent="0.25">
      <c r="A11" s="4"/>
      <c r="B11" s="4" t="str">
        <f>B6</f>
        <v>ЩС-Т(260205 Nova MP)</v>
      </c>
      <c r="C11" s="6" t="s">
        <v>31</v>
      </c>
      <c r="D11" s="6" t="s">
        <v>39</v>
      </c>
      <c r="E11" s="6" t="s">
        <v>40</v>
      </c>
      <c r="F11" s="15">
        <v>571</v>
      </c>
      <c r="G11" s="15">
        <f t="shared" si="6"/>
        <v>342.59999999999997</v>
      </c>
      <c r="H11" s="15">
        <f t="shared" si="7"/>
        <v>1370.3999999999999</v>
      </c>
      <c r="I11" s="6">
        <v>4</v>
      </c>
      <c r="J11" s="6" t="s">
        <v>12</v>
      </c>
      <c r="K11" s="6" t="s">
        <v>23</v>
      </c>
    </row>
    <row r="12" spans="1:16" ht="54.75" customHeight="1" x14ac:dyDescent="0.25">
      <c r="A12" s="4"/>
      <c r="B12" s="4" t="str">
        <f>B9</f>
        <v>ЩС-Т(260205 Nova MP)</v>
      </c>
      <c r="C12" s="6" t="s">
        <v>31</v>
      </c>
      <c r="D12" s="6" t="s">
        <v>41</v>
      </c>
      <c r="E12" s="6" t="s">
        <v>42</v>
      </c>
      <c r="F12" s="15">
        <v>571</v>
      </c>
      <c r="G12" s="15">
        <f>F12</f>
        <v>571</v>
      </c>
      <c r="H12" s="15">
        <f>G12*I12</f>
        <v>571</v>
      </c>
      <c r="I12" s="6">
        <v>1</v>
      </c>
      <c r="J12" s="6" t="s">
        <v>12</v>
      </c>
      <c r="K12" s="6" t="s">
        <v>19</v>
      </c>
    </row>
    <row r="13" spans="1:16" ht="54.75" customHeight="1" x14ac:dyDescent="0.25">
      <c r="A13" s="4"/>
      <c r="B13" s="4" t="str">
        <f>B10</f>
        <v>ЩС-Т(260205 Nova MP)</v>
      </c>
      <c r="C13" s="6" t="s">
        <v>32</v>
      </c>
      <c r="D13" s="6" t="s">
        <v>43</v>
      </c>
      <c r="E13" s="6" t="s">
        <v>44</v>
      </c>
      <c r="F13" s="15">
        <v>1112</v>
      </c>
      <c r="G13" s="15">
        <f>F13</f>
        <v>1112</v>
      </c>
      <c r="H13" s="15">
        <f>G13*I13</f>
        <v>1112</v>
      </c>
      <c r="I13" s="6">
        <v>1</v>
      </c>
      <c r="J13" s="6" t="s">
        <v>12</v>
      </c>
      <c r="K13" s="6" t="s">
        <v>19</v>
      </c>
    </row>
    <row r="14" spans="1:16" s="2" customFormat="1" ht="49.5" customHeight="1" x14ac:dyDescent="0.25">
      <c r="A14" s="4"/>
      <c r="B14" s="4" t="str">
        <f>B3</f>
        <v>ЩС-Т(260205 Nova MP)</v>
      </c>
      <c r="C14" s="6" t="s">
        <v>9</v>
      </c>
      <c r="D14" s="6" t="s">
        <v>9</v>
      </c>
      <c r="E14" s="6" t="s">
        <v>9</v>
      </c>
      <c r="F14" s="15">
        <f>H15</f>
        <v>9000</v>
      </c>
      <c r="G14" s="15">
        <f>F14</f>
        <v>9000</v>
      </c>
      <c r="H14" s="15">
        <f t="shared" ref="H14:H15" si="8">G14*I14</f>
        <v>9000</v>
      </c>
      <c r="I14" s="6">
        <v>1</v>
      </c>
      <c r="J14" s="6" t="s">
        <v>12</v>
      </c>
      <c r="K14" s="6" t="s">
        <v>9</v>
      </c>
    </row>
    <row r="15" spans="1:16" ht="54.75" customHeight="1" x14ac:dyDescent="0.25">
      <c r="A15" s="4"/>
      <c r="B15" s="4" t="str">
        <f>B14</f>
        <v>ЩС-Т(260205 Nova MP)</v>
      </c>
      <c r="C15" s="6" t="s">
        <v>10</v>
      </c>
      <c r="D15" s="6" t="s">
        <v>10</v>
      </c>
      <c r="E15" s="6" t="s">
        <v>10</v>
      </c>
      <c r="F15" s="15">
        <v>1.5</v>
      </c>
      <c r="G15" s="15">
        <v>100</v>
      </c>
      <c r="H15" s="15">
        <f t="shared" si="8"/>
        <v>9000</v>
      </c>
      <c r="I15" s="6">
        <f>F15*60</f>
        <v>90</v>
      </c>
      <c r="J15" s="6" t="s">
        <v>12</v>
      </c>
      <c r="K15" s="6" t="s">
        <v>10</v>
      </c>
    </row>
    <row r="16" spans="1:16" ht="54.75" customHeight="1" x14ac:dyDescent="0.25">
      <c r="A16" s="4"/>
      <c r="B16" s="4" t="s">
        <v>28</v>
      </c>
      <c r="C16" s="6"/>
      <c r="D16" s="6"/>
      <c r="E16" s="6"/>
      <c r="F16" s="15"/>
      <c r="G16" s="15"/>
      <c r="H16" s="15">
        <f>SUBTOTAL(9,H2:H15)</f>
        <v>46687.8</v>
      </c>
      <c r="I16" s="6"/>
      <c r="J16" s="6"/>
      <c r="K16" s="6"/>
      <c r="P16" s="1">
        <f>SUBTOTAL(9,P2:P15)</f>
        <v>0</v>
      </c>
    </row>
  </sheetData>
  <autoFilter ref="A1:K16" xr:uid="{00000000-0009-0000-0000-000001000000}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fiyat calismasi burda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2026-02-09T11:51:12Z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