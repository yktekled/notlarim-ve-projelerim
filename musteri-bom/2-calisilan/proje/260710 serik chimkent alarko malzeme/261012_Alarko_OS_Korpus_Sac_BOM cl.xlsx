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KURALLAR" sheetId="2" state="visible" r:id="rId4"/>
    <sheet name="KONTROL" sheetId="3" state="visible" r:id="rId5"/>
  </sheets>
  <definedNames>
    <definedName function="false" hidden="false" name="KALINLIK" vbProcedure="false">KURALLAR!$B$2</definedName>
    <definedName function="false" hidden="false" name="KAPI_ADET" vbProcedure="false">KURALLAR!$B$8</definedName>
    <definedName function="false" hidden="false" name="LEVHA_ADET" vbProcedure="false">KURALLAR!$B$7</definedName>
    <definedName function="false" hidden="false" name="LEVHA_KG" vbProcedure="false">KURALLAR!$B$4</definedName>
    <definedName function="false" hidden="false" name="MENTESE_KAPI" vbProcedure="false">KURALLAR!$B$9</definedName>
    <definedName function="false" hidden="false" name="NDS" vbProcedure="false">KURALLAR!$B$6</definedName>
    <definedName function="false" hidden="false" name="TON_FIYAT" vbProcedure="false">KURALLAR!$B$5</definedName>
    <definedName function="false" hidden="false" name="YOGUNLUK" vbProcedure="false">KURALLAR!$B$3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<sst xmlns="http://schemas.openxmlformats.org/spreadsheetml/2006/main" count="111" uniqueCount="102">
  <si>
    <t xml:space="preserve">ALARKO OS KORPUS — SAC BOM (Eptim çizimleri 24.06.2026)</t>
  </si>
  <si>
    <t xml:space="preserve">№</t>
  </si>
  <si>
    <t xml:space="preserve">PARÇA KODU</t>
  </si>
  <si>
    <t xml:space="preserve">PARÇA ADI</t>
  </si>
  <si>
    <t xml:space="preserve">MALZEME</t>
  </si>
  <si>
    <t xml:space="preserve">KALINLIK mm</t>
  </si>
  <si>
    <t xml:space="preserve">AÇINIM G mm</t>
  </si>
  <si>
    <t xml:space="preserve">AÇINIM Y mm</t>
  </si>
  <si>
    <t xml:space="preserve">ADET</t>
  </si>
  <si>
    <t xml:space="preserve">ALAN m² (1 ad)</t>
  </si>
  <si>
    <t xml:space="preserve">ALAN m² TOPLAM</t>
  </si>
  <si>
    <t xml:space="preserve">NET kg</t>
  </si>
  <si>
    <t xml:space="preserve">NOT</t>
  </si>
  <si>
    <t xml:space="preserve">BT.SHBZ.001</t>
  </si>
  <si>
    <t xml:space="preserve">Gövde (900×1200, derinlik 200)</t>
  </si>
  <si>
    <t xml:space="preserve">DKP/galv. — çizimde boş</t>
  </si>
  <si>
    <t xml:space="preserve">Malzeme antetde yazmıyor → KONTROL</t>
  </si>
  <si>
    <t xml:space="preserve">BT.SHBZ.003-002</t>
  </si>
  <si>
    <t xml:space="preserve">Üst/alt kapak (900 × 200)</t>
  </si>
  <si>
    <t xml:space="preserve">Çizimde adet 1+1; malzeme antetde yok → KONTROL</t>
  </si>
  <si>
    <t xml:space="preserve">BT.SHBZ.004</t>
  </si>
  <si>
    <t xml:space="preserve">Montaj plakası 1135×830</t>
  </si>
  <si>
    <t xml:space="preserve">Galvanizli çelik</t>
  </si>
  <si>
    <t xml:space="preserve">BT.SHBZ.005</t>
  </si>
  <si>
    <t xml:space="preserve">Kapak (sol) 1195×445</t>
  </si>
  <si>
    <t xml:space="preserve">Ø7 delikli, Detay C</t>
  </si>
  <si>
    <t xml:space="preserve">BT.SHBZ.006</t>
  </si>
  <si>
    <t xml:space="preserve">Kapak (sağ) 1195×445</t>
  </si>
  <si>
    <t xml:space="preserve">BT.SHBZ.007</t>
  </si>
  <si>
    <t xml:space="preserve">Bağlantı parçası 36×18,8</t>
  </si>
  <si>
    <t xml:space="preserve">TOPLAM SAC (1 korpus)</t>
  </si>
  <si>
    <t xml:space="preserve">SAC SATIN ALMA</t>
  </si>
  <si>
    <t xml:space="preserve">KALEM</t>
  </si>
  <si>
    <t xml:space="preserve">AÇIKLAMA</t>
  </si>
  <si>
    <t xml:space="preserve">BİRİM</t>
  </si>
  <si>
    <t xml:space="preserve">ADET/kg</t>
  </si>
  <si>
    <t xml:space="preserve">BİRİM FİYAT ₸ (НДС dahil)</t>
  </si>
  <si>
    <t xml:space="preserve">TUTAR ₸ (НДС dahil)</t>
  </si>
  <si>
    <t xml:space="preserve">TUTAR ₸ без НДС</t>
  </si>
  <si>
    <t xml:space="preserve">SAC-1.2-GALV</t>
  </si>
  <si>
    <t xml:space="preserve">Лист оцинкованный 1,2×1250×2500 08пс ГОСТ 14918</t>
  </si>
  <si>
    <t xml:space="preserve">лист</t>
  </si>
  <si>
    <t xml:space="preserve">Yerleşim: lev.1 = 001+005+006(+007), lev.2 = 004+003×2 · fire KONTROL'de</t>
  </si>
  <si>
    <t xml:space="preserve">095-6-3-V</t>
  </si>
  <si>
    <t xml:space="preserve">Mesan gizli menteşe 095 (çelik, çinko kaplı)</t>
  </si>
  <si>
    <t xml:space="preserve">шт</t>
  </si>
  <si>
    <t xml:space="preserve">Fiyat yok (KZ piyasasında bulunamadı) → KONTROL</t>
  </si>
  <si>
    <t xml:space="preserve">TOPLAM (1 korpus)</t>
  </si>
  <si>
    <t xml:space="preserve">FİRE</t>
  </si>
  <si>
    <t xml:space="preserve">Alınan sac kg</t>
  </si>
  <si>
    <t xml:space="preserve">Net parça kg</t>
  </si>
  <si>
    <t xml:space="preserve">Fire %</t>
  </si>
  <si>
    <t xml:space="preserve">Artan sac sonraki korpuslarda kullanılabilir (adet artarsa levha/korpus düşer)</t>
  </si>
  <si>
    <t xml:space="preserve">PARAMETRE</t>
  </si>
  <si>
    <t xml:space="preserve">DEĞER</t>
  </si>
  <si>
    <t xml:space="preserve">KAYNAK</t>
  </si>
  <si>
    <t xml:space="preserve">KALINLIK</t>
  </si>
  <si>
    <t xml:space="preserve">mm</t>
  </si>
  <si>
    <t xml:space="preserve">kullanıcı</t>
  </si>
  <si>
    <t xml:space="preserve">YOGUNLUK</t>
  </si>
  <si>
    <t xml:space="preserve">kg/dm³ (çelik)</t>
  </si>
  <si>
    <t xml:space="preserve">sabit</t>
  </si>
  <si>
    <t xml:space="preserve">LEVHA_KG</t>
  </si>
  <si>
    <t xml:space="preserve">kg/levha 1250×2500</t>
  </si>
  <si>
    <t xml:space="preserve">formül</t>
  </si>
  <si>
    <t xml:space="preserve">TON_FIYAT</t>
  </si>
  <si>
    <t xml:space="preserve">₸/т НДС dahil</t>
  </si>
  <si>
    <t xml:space="preserve">TEMIR MURA, 12.10.2026, &lt;3 т (3 т+ 669 930)</t>
  </si>
  <si>
    <t xml:space="preserve">NDS</t>
  </si>
  <si>
    <t xml:space="preserve">KZ НДС</t>
  </si>
  <si>
    <t xml:space="preserve">LEVHA_ADET</t>
  </si>
  <si>
    <t xml:space="preserve">levha / korpus</t>
  </si>
  <si>
    <t xml:space="preserve">yerleşim planı (1 korpus)</t>
  </si>
  <si>
    <t xml:space="preserve">KAPI_ADET</t>
  </si>
  <si>
    <t xml:space="preserve">kapak</t>
  </si>
  <si>
    <t xml:space="preserve">SHBZ.005 + 006</t>
  </si>
  <si>
    <t xml:space="preserve">MENTESE_KAPI</t>
  </si>
  <si>
    <t xml:space="preserve">menteşe/kapak</t>
  </si>
  <si>
    <t xml:space="preserve">KONTROL — çizimde menteşe adedi yok</t>
  </si>
  <si>
    <t xml:space="preserve">PİYASA KARŞILAŞTIRMA (оцинк. 1,2 мм)</t>
  </si>
  <si>
    <t xml:space="preserve">₸/т</t>
  </si>
  <si>
    <t xml:space="preserve">TEMIR MURA (temirmura.kz) — 1,2×1250×2500 08пс, НДС dahil</t>
  </si>
  <si>
    <t xml:space="preserve">seçilen</t>
  </si>
  <si>
    <t xml:space="preserve">Pulscen Алматы — 08пс/08сп 1,2×1,25×2,5</t>
  </si>
  <si>
    <t xml:space="preserve">uyumlu</t>
  </si>
  <si>
    <t xml:space="preserve">Pulscen Алматы — Zn140 1,2 мм</t>
  </si>
  <si>
    <t xml:space="preserve">alternatif</t>
  </si>
  <si>
    <t xml:space="preserve">Satu / ТК АЛМЕТ Алматы — ММК 1,2×1250×2500</t>
  </si>
  <si>
    <t xml:space="preserve">güncellik şüpheli → KONTROL</t>
  </si>
  <si>
    <t xml:space="preserve">KOD</t>
  </si>
  <si>
    <t xml:space="preserve">KONU</t>
  </si>
  <si>
    <t xml:space="preserve">KAYNAK:</t>
  </si>
  <si>
    <t xml:space="preserve">SHBZ.001 ve SHBZ.003-002 antetinde malzeme boş; galvanizli 1,2 mm varsayıldı (004–007 galvanizli). DKP + boya olacaksa fiyat değişir</t>
  </si>
  <si>
    <t xml:space="preserve">FIYAT:</t>
  </si>
  <si>
    <t xml:space="preserve">Sac fiyatı TEMIR MURA web fiyatı (685 000 ₸/т, НДС 16% dahil, &lt;3 т). Alım öncesi teklif alınmalı; ТК АЛМЕТ 378 438 ₸/т ile büyük fark</t>
  </si>
  <si>
    <t xml:space="preserve">Mesan 095 menteşe — KZ fiyatı bulunamadı, fiyat boş</t>
  </si>
  <si>
    <t xml:space="preserve">TEKNIK:</t>
  </si>
  <si>
    <t xml:space="preserve">Menteşe adedi çizimde yok; 2/kapak alındı (KURALLAR › MENTESE_KAPI)</t>
  </si>
  <si>
    <t xml:space="preserve">KORPUS:</t>
  </si>
  <si>
    <t xml:space="preserve">Kilit, conta, toz boya, kaynak/cıvata, topraklama saplaması çizim setinde yok → BOM'a girmedi</t>
  </si>
  <si>
    <t xml:space="preserve">Yerleşim 1 korpus için 2 levha; çoklu üretimde LEVHA_ADET/korpus düşer</t>
  </si>
  <si>
    <t xml:space="preserve">SHBZ.002 parçası dosya adında var, çizimde yalnız 003-002 (1+1) görünüyor — teyit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</si>
</sst>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8" min="6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6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n">
        <v>1</v>
      </c>
      <c r="B3" s="3" t="s">
        <v>13</v>
      </c>
      <c r="C3" s="3" t="s">
        <v>14</v>
      </c>
      <c r="D3" s="3" t="s">
        <v>15</v>
      </c>
      <c r="E3" s="3" t="n">
        <f aca="false">KALINLIK</f>
        <v>1.2</v>
      </c>
      <c r="F3" s="4" t="n">
        <v>1406.84</v>
      </c>
      <c r="G3" s="4" t="n">
        <v>1200</v>
      </c>
      <c r="H3" s="4" t="n">
        <v>1</v>
      </c>
      <c r="I3" s="4" t="n">
        <f aca="false">F3*G3/1000000</f>
        <v>1.688208</v>
      </c>
      <c r="J3" s="4" t="n">
        <f aca="false">I3*H3</f>
        <v>1.688208</v>
      </c>
      <c r="K3" s="4" t="n">
        <f aca="false">J3*KALINLIK*YOGUNLUK</f>
        <v>15.90291936</v>
      </c>
      <c r="L3" s="3" t="s">
        <v>16</v>
      </c>
    </row>
    <row r="4" customFormat="false" ht="15" hidden="false" customHeight="false" outlineLevel="0" collapsed="false">
      <c r="A4" s="3" t="n">
        <v>2</v>
      </c>
      <c r="B4" s="3" t="s">
        <v>17</v>
      </c>
      <c r="C4" s="3" t="s">
        <v>18</v>
      </c>
      <c r="D4" s="3" t="s">
        <v>15</v>
      </c>
      <c r="E4" s="3" t="n">
        <f aca="false">KALINLIK</f>
        <v>1.2</v>
      </c>
      <c r="F4" s="4" t="n">
        <v>900</v>
      </c>
      <c r="G4" s="4" t="n">
        <v>267.22</v>
      </c>
      <c r="H4" s="4" t="n">
        <v>2</v>
      </c>
      <c r="I4" s="4" t="n">
        <f aca="false">F4*G4/1000000</f>
        <v>0.240498</v>
      </c>
      <c r="J4" s="4" t="n">
        <f aca="false">I4*H4</f>
        <v>0.480996</v>
      </c>
      <c r="K4" s="4" t="n">
        <f aca="false">J4*KALINLIK*YOGUNLUK</f>
        <v>4.53098232</v>
      </c>
      <c r="L4" s="3" t="s">
        <v>19</v>
      </c>
    </row>
    <row r="5" customFormat="false" ht="15" hidden="false" customHeight="false" outlineLevel="0" collapsed="false">
      <c r="A5" s="3" t="n">
        <v>3</v>
      </c>
      <c r="B5" s="3" t="s">
        <v>20</v>
      </c>
      <c r="C5" s="3" t="s">
        <v>21</v>
      </c>
      <c r="D5" s="3" t="s">
        <v>22</v>
      </c>
      <c r="E5" s="3" t="n">
        <f aca="false">KALINLIK</f>
        <v>1.2</v>
      </c>
      <c r="F5" s="4" t="n">
        <v>1160.51</v>
      </c>
      <c r="G5" s="4" t="n">
        <v>855.51</v>
      </c>
      <c r="H5" s="4" t="n">
        <v>1</v>
      </c>
      <c r="I5" s="4" t="n">
        <f aca="false">F5*G5/1000000</f>
        <v>0.9928279101</v>
      </c>
      <c r="J5" s="4" t="n">
        <f aca="false">I5*H5</f>
        <v>0.9928279101</v>
      </c>
      <c r="K5" s="4" t="n">
        <f aca="false">J5*KALINLIK*YOGUNLUK</f>
        <v>9.352438913142</v>
      </c>
      <c r="L5" s="3"/>
    </row>
    <row r="6" customFormat="false" ht="15" hidden="false" customHeight="false" outlineLevel="0" collapsed="false">
      <c r="A6" s="3" t="n">
        <v>4</v>
      </c>
      <c r="B6" s="3" t="s">
        <v>23</v>
      </c>
      <c r="C6" s="3" t="s">
        <v>24</v>
      </c>
      <c r="D6" s="3" t="s">
        <v>22</v>
      </c>
      <c r="E6" s="3" t="n">
        <f aca="false">KALINLIK</f>
        <v>1.2</v>
      </c>
      <c r="F6" s="4" t="n">
        <v>1230.51</v>
      </c>
      <c r="G6" s="4" t="n">
        <v>519.02</v>
      </c>
      <c r="H6" s="4" t="n">
        <v>1</v>
      </c>
      <c r="I6" s="4" t="n">
        <f aca="false">F6*G6/1000000</f>
        <v>0.6386593002</v>
      </c>
      <c r="J6" s="4" t="n">
        <f aca="false">I6*H6</f>
        <v>0.6386593002</v>
      </c>
      <c r="K6" s="4" t="n">
        <f aca="false">J6*KALINLIK*YOGUNLUK</f>
        <v>6.016170607884</v>
      </c>
      <c r="L6" s="3" t="s">
        <v>25</v>
      </c>
    </row>
    <row r="7" customFormat="false" ht="15" hidden="false" customHeight="false" outlineLevel="0" collapsed="false">
      <c r="A7" s="3" t="n">
        <v>5</v>
      </c>
      <c r="B7" s="3" t="s">
        <v>26</v>
      </c>
      <c r="C7" s="3" t="s">
        <v>27</v>
      </c>
      <c r="D7" s="3" t="s">
        <v>22</v>
      </c>
      <c r="E7" s="3" t="n">
        <f aca="false">KALINLIK</f>
        <v>1.2</v>
      </c>
      <c r="F7" s="4" t="n">
        <v>1230.51</v>
      </c>
      <c r="G7" s="4" t="n">
        <v>480.51</v>
      </c>
      <c r="H7" s="4" t="n">
        <v>1</v>
      </c>
      <c r="I7" s="4" t="n">
        <f aca="false">F7*G7/1000000</f>
        <v>0.5912723601</v>
      </c>
      <c r="J7" s="4" t="n">
        <f aca="false">I7*H7</f>
        <v>0.5912723601</v>
      </c>
      <c r="K7" s="4" t="n">
        <f aca="false">J7*KALINLIK*YOGUNLUK</f>
        <v>5.569785632142</v>
      </c>
      <c r="L7" s="3"/>
    </row>
    <row r="8" customFormat="false" ht="15" hidden="false" customHeight="false" outlineLevel="0" collapsed="false">
      <c r="A8" s="3" t="n">
        <v>6</v>
      </c>
      <c r="B8" s="3" t="s">
        <v>28</v>
      </c>
      <c r="C8" s="3" t="s">
        <v>29</v>
      </c>
      <c r="D8" s="3" t="s">
        <v>22</v>
      </c>
      <c r="E8" s="3" t="n">
        <f aca="false">KALINLIK</f>
        <v>1.2</v>
      </c>
      <c r="F8" s="4" t="n">
        <v>69.11</v>
      </c>
      <c r="G8" s="4" t="n">
        <v>42</v>
      </c>
      <c r="H8" s="4" t="n">
        <v>2</v>
      </c>
      <c r="I8" s="4" t="n">
        <f aca="false">F8*G8/1000000</f>
        <v>0.00290262</v>
      </c>
      <c r="J8" s="4" t="n">
        <f aca="false">I8*H8</f>
        <v>0.00580524</v>
      </c>
      <c r="K8" s="4" t="n">
        <f aca="false">J8*KALINLIK*YOGUNLUK</f>
        <v>0.0546853608</v>
      </c>
      <c r="L8" s="3"/>
    </row>
    <row r="9" customFormat="false" ht="15" hidden="false" customHeight="false" outlineLevel="0" collapsed="false">
      <c r="A9" s="2"/>
      <c r="B9" s="2"/>
      <c r="C9" s="2" t="s">
        <v>30</v>
      </c>
      <c r="D9" s="2"/>
      <c r="E9" s="2"/>
      <c r="F9" s="5"/>
      <c r="G9" s="5"/>
      <c r="H9" s="5"/>
      <c r="I9" s="5"/>
      <c r="J9" s="5" t="n">
        <f aca="false">SUM(J3:J8)</f>
        <v>4.3977688104</v>
      </c>
      <c r="K9" s="5" t="n">
        <f aca="false">SUM(K3:K8)</f>
        <v>41.426982193968</v>
      </c>
      <c r="L9" s="2"/>
    </row>
    <row r="10" customFormat="false" ht="15" hidden="false" customHeight="false" outlineLevel="0" collapsed="false">
      <c r="F10" s="6"/>
      <c r="G10" s="6"/>
      <c r="H10" s="6"/>
      <c r="I10" s="6"/>
      <c r="J10" s="6"/>
      <c r="K10" s="6"/>
    </row>
    <row r="11" customFormat="false" ht="15" hidden="false" customHeight="false" outlineLevel="0" collapsed="false">
      <c r="A11" s="1" t="s">
        <v>31</v>
      </c>
      <c r="B11" s="1"/>
      <c r="C11" s="1"/>
      <c r="D11" s="1"/>
      <c r="E11" s="1"/>
      <c r="F11" s="7"/>
      <c r="G11" s="7"/>
      <c r="H11" s="7"/>
      <c r="I11" s="7"/>
      <c r="J11" s="7"/>
      <c r="K11" s="7"/>
      <c r="L11" s="1"/>
    </row>
    <row r="12" customFormat="false" ht="15" hidden="false" customHeight="false" outlineLevel="0" collapsed="false">
      <c r="A12" s="2"/>
      <c r="B12" s="2" t="s">
        <v>32</v>
      </c>
      <c r="C12" s="2" t="s">
        <v>33</v>
      </c>
      <c r="D12" s="2" t="s">
        <v>34</v>
      </c>
      <c r="E12" s="2" t="s">
        <v>35</v>
      </c>
      <c r="F12" s="5" t="s">
        <v>36</v>
      </c>
      <c r="G12" s="5" t="s">
        <v>37</v>
      </c>
      <c r="H12" s="5" t="s">
        <v>38</v>
      </c>
      <c r="I12" s="5"/>
      <c r="J12" s="5"/>
      <c r="K12" s="5"/>
      <c r="L12" s="2" t="s">
        <v>12</v>
      </c>
    </row>
    <row r="13" customFormat="false" ht="15" hidden="false" customHeight="false" outlineLevel="0" collapsed="false">
      <c r="A13" s="3" t="n">
        <v>1</v>
      </c>
      <c r="B13" s="3" t="s">
        <v>39</v>
      </c>
      <c r="C13" s="3" t="s">
        <v>40</v>
      </c>
      <c r="D13" s="3" t="s">
        <v>41</v>
      </c>
      <c r="E13" s="3" t="n">
        <f aca="false">LEVHA_ADET</f>
        <v>2</v>
      </c>
      <c r="F13" s="4" t="n">
        <f aca="false">LEVHA_KG*TON_FIYAT/1000</f>
        <v>20164.6875</v>
      </c>
      <c r="G13" s="4" t="n">
        <f aca="false">E13*F13</f>
        <v>40329.375</v>
      </c>
      <c r="H13" s="4" t="n">
        <f aca="false">G13/(1+NDS)</f>
        <v>34766.7025862069</v>
      </c>
      <c r="I13" s="4"/>
      <c r="J13" s="4"/>
      <c r="K13" s="4"/>
      <c r="L13" s="3" t="s">
        <v>42</v>
      </c>
    </row>
    <row r="14" customFormat="false" ht="15" hidden="false" customHeight="false" outlineLevel="0" collapsed="false">
      <c r="A14" s="3" t="n">
        <v>2</v>
      </c>
      <c r="B14" s="3" t="s">
        <v>43</v>
      </c>
      <c r="C14" s="3" t="s">
        <v>44</v>
      </c>
      <c r="D14" s="3" t="s">
        <v>45</v>
      </c>
      <c r="E14" s="3" t="n">
        <f aca="false">KAPI_ADET*MENTESE_KAPI</f>
        <v>4</v>
      </c>
      <c r="F14" s="4"/>
      <c r="G14" s="4"/>
      <c r="H14" s="4"/>
      <c r="I14" s="4"/>
      <c r="J14" s="4"/>
      <c r="K14" s="4"/>
      <c r="L14" s="3" t="s">
        <v>46</v>
      </c>
    </row>
    <row r="15" customFormat="false" ht="15" hidden="false" customHeight="false" outlineLevel="0" collapsed="false">
      <c r="A15" s="2"/>
      <c r="B15" s="2"/>
      <c r="C15" s="2" t="s">
        <v>47</v>
      </c>
      <c r="D15" s="2"/>
      <c r="E15" s="2"/>
      <c r="F15" s="5"/>
      <c r="G15" s="5" t="n">
        <f aca="false">SUM(G13:G14)</f>
        <v>40329.375</v>
      </c>
      <c r="H15" s="5" t="n">
        <f aca="false">SUM(H13:H14)</f>
        <v>34766.7025862069</v>
      </c>
      <c r="I15" s="5"/>
      <c r="J15" s="5"/>
      <c r="K15" s="5"/>
      <c r="L15" s="2"/>
    </row>
    <row r="16" customFormat="false" ht="15" hidden="false" customHeight="false" outlineLevel="0" collapsed="false">
      <c r="F16" s="6"/>
      <c r="G16" s="6"/>
      <c r="H16" s="6"/>
      <c r="I16" s="6"/>
      <c r="J16" s="6"/>
      <c r="K16" s="6"/>
    </row>
    <row r="17" customFormat="false" ht="15" hidden="false" customHeight="false" outlineLevel="0" collapsed="false">
      <c r="A17" s="1" t="s">
        <v>48</v>
      </c>
      <c r="B17" s="1"/>
      <c r="C17" s="1"/>
      <c r="D17" s="1"/>
      <c r="E17" s="1"/>
      <c r="F17" s="7"/>
      <c r="G17" s="7"/>
      <c r="H17" s="7"/>
      <c r="I17" s="7"/>
      <c r="J17" s="7"/>
      <c r="K17" s="7"/>
      <c r="L17" s="1"/>
    </row>
    <row r="18" customFormat="false" ht="15" hidden="false" customHeight="false" outlineLevel="0" collapsed="false">
      <c r="A18" s="3"/>
      <c r="B18" s="3" t="s">
        <v>49</v>
      </c>
      <c r="C18" s="3"/>
      <c r="D18" s="3"/>
      <c r="E18" s="3"/>
      <c r="F18" s="4" t="n">
        <f aca="false">LEVHA_ADET*LEVHA_KG</f>
        <v>58.875</v>
      </c>
      <c r="G18" s="4"/>
      <c r="H18" s="4"/>
      <c r="I18" s="4"/>
      <c r="J18" s="4"/>
      <c r="K18" s="4"/>
      <c r="L18" s="3"/>
    </row>
    <row r="19" customFormat="false" ht="15" hidden="false" customHeight="false" outlineLevel="0" collapsed="false">
      <c r="A19" s="3"/>
      <c r="B19" s="3" t="s">
        <v>50</v>
      </c>
      <c r="C19" s="3"/>
      <c r="D19" s="3"/>
      <c r="E19" s="3"/>
      <c r="F19" s="4" t="n">
        <f aca="false">K9</f>
        <v>41.426982193968</v>
      </c>
      <c r="G19" s="4"/>
      <c r="H19" s="4"/>
      <c r="I19" s="4"/>
      <c r="J19" s="4"/>
      <c r="K19" s="4"/>
      <c r="L19" s="3"/>
    </row>
    <row r="20" customFormat="false" ht="15" hidden="false" customHeight="false" outlineLevel="0" collapsed="false">
      <c r="A20" s="3"/>
      <c r="B20" s="3" t="s">
        <v>51</v>
      </c>
      <c r="C20" s="3"/>
      <c r="D20" s="3"/>
      <c r="E20" s="3"/>
      <c r="F20" s="4" t="n">
        <f aca="false">1-F19/F18</f>
        <v>0.296356990336</v>
      </c>
      <c r="G20" s="4"/>
      <c r="H20" s="4"/>
      <c r="I20" s="4"/>
      <c r="J20" s="4"/>
      <c r="K20" s="4"/>
      <c r="L20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8" t="s">
        <v>53</v>
      </c>
      <c r="B1" s="8" t="s">
        <v>54</v>
      </c>
      <c r="C1" s="8" t="s">
        <v>34</v>
      </c>
      <c r="D1" s="8" t="s">
        <v>55</v>
      </c>
    </row>
    <row r="2" customFormat="false" ht="15" hidden="false" customHeight="false" outlineLevel="0" collapsed="false">
      <c r="A2" s="8" t="s">
        <v>56</v>
      </c>
      <c r="B2" s="9" t="n">
        <v>1.2</v>
      </c>
      <c r="C2" s="8" t="s">
        <v>57</v>
      </c>
      <c r="D2" s="8" t="s">
        <v>58</v>
      </c>
    </row>
    <row r="3" customFormat="false" ht="15" hidden="false" customHeight="false" outlineLevel="0" collapsed="false">
      <c r="A3" s="8" t="s">
        <v>59</v>
      </c>
      <c r="B3" s="9" t="n">
        <v>7.85</v>
      </c>
      <c r="C3" s="8" t="s">
        <v>60</v>
      </c>
      <c r="D3" s="8" t="s">
        <v>61</v>
      </c>
    </row>
    <row r="4" customFormat="false" ht="15" hidden="false" customHeight="false" outlineLevel="0" collapsed="false">
      <c r="A4" s="8" t="s">
        <v>62</v>
      </c>
      <c r="B4" s="9" t="n">
        <f aca="false">1.25*2.5*KALINLIK*YOGUNLUK</f>
        <v>29.4375</v>
      </c>
      <c r="C4" s="8" t="s">
        <v>63</v>
      </c>
      <c r="D4" s="8" t="s">
        <v>64</v>
      </c>
    </row>
    <row r="5" customFormat="false" ht="15" hidden="false" customHeight="false" outlineLevel="0" collapsed="false">
      <c r="A5" s="8" t="s">
        <v>65</v>
      </c>
      <c r="B5" s="9" t="n">
        <v>685000</v>
      </c>
      <c r="C5" s="8" t="s">
        <v>66</v>
      </c>
      <c r="D5" s="8" t="s">
        <v>67</v>
      </c>
    </row>
    <row r="6" customFormat="false" ht="15" hidden="false" customHeight="false" outlineLevel="0" collapsed="false">
      <c r="A6" s="8" t="s">
        <v>68</v>
      </c>
      <c r="B6" s="9" t="n">
        <v>0.16</v>
      </c>
      <c r="C6" s="8"/>
      <c r="D6" s="8" t="s">
        <v>69</v>
      </c>
    </row>
    <row r="7" customFormat="false" ht="15" hidden="false" customHeight="false" outlineLevel="0" collapsed="false">
      <c r="A7" s="8" t="s">
        <v>70</v>
      </c>
      <c r="B7" s="9" t="n">
        <v>2</v>
      </c>
      <c r="C7" s="8" t="s">
        <v>71</v>
      </c>
      <c r="D7" s="8" t="s">
        <v>72</v>
      </c>
    </row>
    <row r="8" customFormat="false" ht="15" hidden="false" customHeight="false" outlineLevel="0" collapsed="false">
      <c r="A8" s="8" t="s">
        <v>73</v>
      </c>
      <c r="B8" s="9" t="n">
        <v>2</v>
      </c>
      <c r="C8" s="8" t="s">
        <v>74</v>
      </c>
      <c r="D8" s="8" t="s">
        <v>75</v>
      </c>
    </row>
    <row r="9" customFormat="false" ht="15" hidden="false" customHeight="false" outlineLevel="0" collapsed="false">
      <c r="A9" s="8" t="s">
        <v>76</v>
      </c>
      <c r="B9" s="9" t="n">
        <v>2</v>
      </c>
      <c r="C9" s="8" t="s">
        <v>77</v>
      </c>
      <c r="D9" s="8" t="s">
        <v>78</v>
      </c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 t="s">
        <v>79</v>
      </c>
      <c r="B11" s="8" t="s">
        <v>80</v>
      </c>
      <c r="C11" s="8"/>
      <c r="D11" s="8"/>
    </row>
    <row r="12" customFormat="false" ht="15" hidden="false" customHeight="false" outlineLevel="0" collapsed="false">
      <c r="A12" s="8" t="s">
        <v>81</v>
      </c>
      <c r="B12" s="8" t="n">
        <v>685000</v>
      </c>
      <c r="C12" s="8"/>
      <c r="D12" s="8" t="s">
        <v>82</v>
      </c>
    </row>
    <row r="13" customFormat="false" ht="15" hidden="false" customHeight="false" outlineLevel="0" collapsed="false">
      <c r="A13" s="8" t="s">
        <v>83</v>
      </c>
      <c r="B13" s="8" t="n">
        <v>688110</v>
      </c>
      <c r="C13" s="8"/>
      <c r="D13" s="8" t="s">
        <v>84</v>
      </c>
    </row>
    <row r="14" customFormat="false" ht="15" hidden="false" customHeight="false" outlineLevel="0" collapsed="false">
      <c r="A14" s="8" t="s">
        <v>85</v>
      </c>
      <c r="B14" s="8" t="n">
        <v>593260.8</v>
      </c>
      <c r="C14" s="8"/>
      <c r="D14" s="8" t="s">
        <v>86</v>
      </c>
    </row>
    <row r="15" customFormat="false" ht="15" hidden="false" customHeight="false" outlineLevel="0" collapsed="false">
      <c r="A15" s="8" t="s">
        <v>87</v>
      </c>
      <c r="B15" s="8" t="n">
        <v>378438</v>
      </c>
      <c r="C15" s="8"/>
      <c r="D15" s="8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0"/>
  </cols>
  <sheetData>
    <row r="1" customFormat="false" ht="15" hidden="false" customHeight="false" outlineLevel="0" collapsed="false">
      <c r="A1" s="0" t="s">
        <v>89</v>
      </c>
      <c r="B1" s="0" t="s">
        <v>90</v>
      </c>
    </row>
    <row r="2" customFormat="false" ht="15" hidden="false" customHeight="false" outlineLevel="0" collapsed="false">
      <c r="A2" s="0" t="s">
        <v>91</v>
      </c>
      <c r="B2" s="0" t="s">
        <v>92</v>
      </c>
    </row>
    <row r="3" customFormat="false" ht="15" hidden="false" customHeight="false" outlineLevel="0" collapsed="false">
      <c r="A3" s="0" t="s">
        <v>93</v>
      </c>
      <c r="B3" s="0" t="s">
        <v>94</v>
      </c>
    </row>
    <row r="4" customFormat="false" ht="15" hidden="false" customHeight="false" outlineLevel="0" collapsed="false">
      <c r="A4" s="0" t="s">
        <v>93</v>
      </c>
      <c r="B4" s="0" t="s">
        <v>95</v>
      </c>
    </row>
    <row r="5" customFormat="false" ht="15" hidden="false" customHeight="false" outlineLevel="0" collapsed="false">
      <c r="A5" s="0" t="s">
        <v>96</v>
      </c>
      <c r="B5" s="0" t="s">
        <v>97</v>
      </c>
    </row>
    <row r="6" customFormat="false" ht="15" hidden="false" customHeight="false" outlineLevel="0" collapsed="false">
      <c r="A6" s="0" t="s">
        <v>98</v>
      </c>
      <c r="B6" s="0" t="s">
        <v>99</v>
      </c>
    </row>
    <row r="7" customFormat="false" ht="15" hidden="false" customHeight="false" outlineLevel="0" collapsed="false">
      <c r="A7" s="0" t="s">
        <v>98</v>
      </c>
      <c r="B7" s="0" t="s">
        <v>100</v>
      </c>
    </row>
    <row r="8" customFormat="false" ht="15" hidden="false" customHeight="false" outlineLevel="0" collapsed="false">
      <c r="A8" s="0" t="s">
        <v>98</v>
      </c>
      <c r="B8" s="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2026-10-12T10:38:09Z</dcterms:created>
  <dc:creator>openpyxl</dc:creator>
  <dc:description/>
  <dc:language>en-US</dc:language>
  <cp:lastModifiedBy/>
  <dcterms:modified xsi:type="dcterms:W3CDTF">2026-10-12T10:38:09Z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