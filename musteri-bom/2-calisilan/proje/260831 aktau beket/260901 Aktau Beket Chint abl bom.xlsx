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831 aktau beket\"/>
    </mc:Choice>
  </mc:AlternateContent>
  <xr:revisionPtr revIDLastSave="0" documentId="13_ncr:1_{583A1A70-FFAB-4B68-B197-57D5DE031E6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Sayfa1!$A$1:$J$19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2" l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F35" i="2"/>
  <c r="G35" i="2" s="1"/>
  <c r="F34" i="2"/>
  <c r="G34" i="2" s="1"/>
  <c r="F33" i="2"/>
  <c r="G33" i="2" s="1"/>
  <c r="F32" i="2"/>
  <c r="G32" i="2" s="1"/>
  <c r="F31" i="2"/>
  <c r="G31" i="2" s="1"/>
  <c r="F27" i="2"/>
  <c r="G27" i="2" s="1"/>
  <c r="F25" i="2"/>
  <c r="G25" i="2" s="1"/>
  <c r="F28" i="2"/>
  <c r="G28" i="2" s="1"/>
  <c r="F29" i="2"/>
  <c r="G29" i="2" s="1"/>
  <c r="F30" i="2"/>
  <c r="G30" i="2" s="1"/>
  <c r="H40" i="2"/>
  <c r="G40" i="2"/>
  <c r="E39" i="2"/>
  <c r="F39" i="2" s="1"/>
  <c r="G39" i="2" s="1"/>
  <c r="F38" i="2"/>
  <c r="G38" i="2" s="1"/>
  <c r="F37" i="2"/>
  <c r="G37" i="2" s="1"/>
  <c r="F36" i="2"/>
  <c r="G36" i="2" s="1"/>
  <c r="F26" i="2"/>
  <c r="G26" i="2" s="1"/>
  <c r="F24" i="2"/>
  <c r="G24" i="2" s="1"/>
  <c r="F23" i="2"/>
  <c r="G23" i="2" s="1"/>
  <c r="F22" i="2"/>
  <c r="G22" i="2" s="1"/>
  <c r="F21" i="2"/>
  <c r="G21" i="2" s="1"/>
  <c r="A20" i="2"/>
  <c r="A21" i="2" s="1"/>
  <c r="F16" i="2"/>
  <c r="G16" i="2" s="1"/>
  <c r="F13" i="2"/>
  <c r="G13" i="2" s="1"/>
  <c r="F12" i="2"/>
  <c r="G12" i="2" s="1"/>
  <c r="F11" i="2"/>
  <c r="G11" i="2" s="1"/>
  <c r="F15" i="2"/>
  <c r="G15" i="2" s="1"/>
  <c r="F14" i="2"/>
  <c r="G14" i="2" s="1"/>
  <c r="F10" i="2"/>
  <c r="G10" i="2" s="1"/>
  <c r="F9" i="2"/>
  <c r="G9" i="2" s="1"/>
  <c r="F8" i="2"/>
  <c r="G8" i="2" s="1"/>
  <c r="F7" i="2"/>
  <c r="G7" i="2" s="1"/>
  <c r="G18" i="2"/>
  <c r="H18" i="2"/>
  <c r="F3" i="2"/>
  <c r="F4" i="2"/>
  <c r="G4" i="2" s="1"/>
  <c r="F5" i="2"/>
  <c r="G5" i="2" s="1"/>
  <c r="F6" i="2"/>
  <c r="G6" i="2" s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G41" i="2" l="1"/>
  <c r="E17" i="2"/>
  <c r="F17" i="2" s="1"/>
  <c r="G3" i="2"/>
  <c r="G17" i="2" l="1"/>
  <c r="G19" i="2" l="1"/>
</calcChain>
</file>

<file path=xl/sharedStrings.xml><?xml version="1.0" encoding="utf-8"?>
<sst xmlns="http://schemas.openxmlformats.org/spreadsheetml/2006/main" count="194" uniqueCount="87">
  <si>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</si>
  <si>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</si>
  <si>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</si>
  <si>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</si>
  <si>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</si>
  <si>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</si>
  <si>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</si>
  <si>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</si>
  <si>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</si>
  <si>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</si>
  <si>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</si>
  <si>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</si>
  <si>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</si>
  <si>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</si>
  <si>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</si>
  <si>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</si>
  <si>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</si>
  <si>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</si>
  <si>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sayac</t>
  </si>
  <si>
    <t>296708</t>
  </si>
  <si>
    <t>Авт. выкл. NXB-63S 1P 6А 4.5kA х-ка C (R)</t>
  </si>
  <si>
    <t>131362</t>
  </si>
  <si>
    <t>Авт. выкл. NXM-125S/3Р 100A 25кА (R)</t>
  </si>
  <si>
    <t>pys</t>
  </si>
  <si>
    <t>tt</t>
  </si>
  <si>
    <t>condencator К3-500мкФ</t>
  </si>
  <si>
    <t>lamb</t>
  </si>
  <si>
    <t>ppn</t>
  </si>
  <si>
    <t>condencator</t>
  </si>
  <si>
    <t>131361</t>
  </si>
  <si>
    <t>Авт. выкл. NXM-125S/3Р 80A 25кА (R)</t>
  </si>
  <si>
    <t>mccb</t>
  </si>
  <si>
    <t>ats</t>
  </si>
  <si>
    <t>593077</t>
  </si>
  <si>
    <t>Индикатор ND16-22D/2 зеленый AC/DC230В (R)</t>
  </si>
  <si>
    <t>593075</t>
  </si>
  <si>
    <t>Индикатор ND16-22D/2 красный AC/DC230В (R)</t>
  </si>
  <si>
    <t>indicator</t>
  </si>
  <si>
    <t>?</t>
  </si>
  <si>
    <t>719-15043</t>
  </si>
  <si>
    <t>Мет. Щит ВРУ 1700х800х450+10CM База</t>
  </si>
  <si>
    <t>697027</t>
  </si>
  <si>
    <t>Реле контроля фаз NJYB3-8 AC380V (R)</t>
  </si>
  <si>
    <t>rele</t>
  </si>
  <si>
    <t>489025</t>
  </si>
  <si>
    <t>Устройство плавного пуска NJR2-37D, 70А,37кВт</t>
  </si>
  <si>
    <t>upp</t>
  </si>
  <si>
    <t>573981</t>
  </si>
  <si>
    <t>Переключатель NP2-BD25, 2 положения с фиксацией, 1НЗ +1НО IP40</t>
  </si>
  <si>
    <t>perekluchatel</t>
  </si>
  <si>
    <t>574862</t>
  </si>
  <si>
    <t>Кнопка управления "Грибок" Φ40мм (2) с фиксации NP2-BS542 без подсветки красная 1НЗ IP40</t>
  </si>
  <si>
    <t>button</t>
  </si>
  <si>
    <t>574842</t>
  </si>
  <si>
    <t>Кнопка управления NP2-BA31 без подсветки зеленая 1НО IP40</t>
  </si>
  <si>
    <t>klemm</t>
  </si>
  <si>
    <t>ЩУпн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</si>
  <si>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</si>
  <si>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</si>
  <si>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</si>
  <si>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</si>
  <si>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285976</t>
  </si>
  <si>
    <t>Розетка CZY14A для JZX-22F(D) 4 контакта</t>
  </si>
  <si>
    <t>130301152_</t>
  </si>
  <si>
    <t>ЗНИ  2.5мм ² (24А) серый  UNIT (100)</t>
  </si>
  <si>
    <t>719-15440</t>
  </si>
  <si>
    <t>Мет.Корпус ЩМП-4 (800x650x250) IP31</t>
  </si>
  <si>
    <t>ВРУ</t>
  </si>
  <si>
    <t>256781</t>
  </si>
  <si>
    <t>Устройство автоматического ввода резерва NXZM-125S/3B 100A (R)</t>
  </si>
  <si>
    <t>814173</t>
  </si>
  <si>
    <t>Авт. выкл. NXB-63 3P 32A 6кА х-ка C (R)</t>
  </si>
  <si>
    <t>814014</t>
  </si>
  <si>
    <t>Авт. выкл. NXB-63 1P 16A 6кА х-ка C (R)</t>
  </si>
  <si>
    <t>814013</t>
  </si>
  <si>
    <t>Авт. выкл. NXB-63 1P 10A 6кА х-ка C (R)</t>
  </si>
  <si>
    <t>814170</t>
  </si>
  <si>
    <t>Авт. выкл. NXB-63 3P 16A 6кА х-ка C (R)</t>
  </si>
  <si>
    <t>520248</t>
  </si>
  <si>
    <t>Плавкая вставка цилиндрическая RT28-32 2A 10х38</t>
  </si>
  <si>
    <t>520441</t>
  </si>
  <si>
    <t>Держатель плавких вставок с индикацией RT28N-32X 10х38 1П (R)</t>
  </si>
  <si>
    <t>Многофункциональный измерительный прибор SM-Е 96*96</t>
  </si>
  <si>
    <t>489020</t>
  </si>
  <si>
    <t>Устройство плавного пуска NJR2-11D, 22А,11кВт</t>
  </si>
  <si>
    <t>270300099_</t>
  </si>
  <si>
    <t xml:space="preserve">  Трансформатор тока ТТИ-А  100/5А  5ВА  класс 0,5  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</si>
</sst>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K41"/>
  <sheetViews>
    <sheetView tabSelected="1" zoomScale="115" zoomScaleNormal="115" workbookViewId="0">
      <pane ySplit="1" topLeftCell="A18" activePane="bottomLeft" state="frozen"/>
      <selection pane="bottomLeft" activeCell="L23" sqref="L23"/>
    </sheetView>
  </sheetViews>
  <sheetFormatPr defaultRowHeight="21" customHeight="1" x14ac:dyDescent="0.25"/>
  <cols>
    <col min="1" max="1" width="36.42578125" customWidth="1"/>
    <col min="3" max="3" width="9.28515625" bestFit="1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</cols>
  <sheetData>
    <row r="1" spans="1:10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</row>
    <row r="2" spans="1:10" ht="39.75" customHeight="1" x14ac:dyDescent="0.25">
      <c r="A2" s="5" t="str">
        <f>D2</f>
        <v>ЩУпн</v>
      </c>
      <c r="B2" s="6"/>
      <c r="C2" s="7"/>
      <c r="D2" s="6" t="s">
        <v>56</v>
      </c>
      <c r="E2" s="8"/>
      <c r="F2" s="8"/>
      <c r="G2" s="9"/>
      <c r="H2" s="10">
        <v>1</v>
      </c>
      <c r="I2" s="11" t="s">
        <v>7</v>
      </c>
      <c r="J2" s="6" t="s">
        <v>9</v>
      </c>
    </row>
    <row r="3" spans="1:10" ht="21" customHeight="1" x14ac:dyDescent="0.25">
      <c r="A3" s="12" t="str">
        <f>A2</f>
        <v>ЩУпн</v>
      </c>
      <c r="B3" s="13" t="s">
        <v>8</v>
      </c>
      <c r="C3" s="14" t="s">
        <v>65</v>
      </c>
      <c r="D3" s="12" t="s">
        <v>66</v>
      </c>
      <c r="E3" s="13">
        <v>30540</v>
      </c>
      <c r="F3" s="15">
        <f>E3*0.6</f>
        <v>18324</v>
      </c>
      <c r="G3" s="15">
        <f>H3*F3</f>
        <v>18324</v>
      </c>
      <c r="H3" s="16">
        <v>1</v>
      </c>
      <c r="I3" s="17" t="s">
        <v>13</v>
      </c>
      <c r="J3" s="13" t="s">
        <v>16</v>
      </c>
    </row>
    <row r="4" spans="1:10" ht="21" customHeight="1" x14ac:dyDescent="0.25">
      <c r="A4" s="12" t="str">
        <f t="shared" ref="A4:A19" si="0">A3</f>
        <v>ЩУпн</v>
      </c>
      <c r="B4" s="13" t="s">
        <v>31</v>
      </c>
      <c r="C4" s="14" t="s">
        <v>29</v>
      </c>
      <c r="D4" s="12" t="s">
        <v>30</v>
      </c>
      <c r="E4" s="13">
        <v>19418</v>
      </c>
      <c r="F4" s="15">
        <f t="shared" ref="F4" si="1">E4*0.6</f>
        <v>11650.8</v>
      </c>
      <c r="G4" s="15">
        <f t="shared" ref="G4" si="2">F4*H4</f>
        <v>11650.8</v>
      </c>
      <c r="H4" s="16">
        <v>1</v>
      </c>
      <c r="I4" s="17" t="s">
        <v>13</v>
      </c>
      <c r="J4" s="13" t="s">
        <v>17</v>
      </c>
    </row>
    <row r="5" spans="1:10" ht="21" customHeight="1" x14ac:dyDescent="0.25">
      <c r="A5" s="12" t="str">
        <f t="shared" si="0"/>
        <v>ЩУпн</v>
      </c>
      <c r="B5" s="13" t="s">
        <v>43</v>
      </c>
      <c r="C5" s="14" t="s">
        <v>41</v>
      </c>
      <c r="D5" s="12" t="s">
        <v>42</v>
      </c>
      <c r="E5" s="13">
        <v>14175</v>
      </c>
      <c r="F5" s="15">
        <f t="shared" ref="F5" si="3">E5*0.6</f>
        <v>8505</v>
      </c>
      <c r="G5" s="15">
        <f t="shared" ref="G5" si="4">F5*H5</f>
        <v>8505</v>
      </c>
      <c r="H5" s="16">
        <v>1</v>
      </c>
      <c r="I5" s="17" t="s">
        <v>13</v>
      </c>
      <c r="J5" s="13" t="s">
        <v>17</v>
      </c>
    </row>
    <row r="6" spans="1:10" ht="21" customHeight="1" x14ac:dyDescent="0.25">
      <c r="A6" s="12" t="str">
        <f t="shared" si="0"/>
        <v>ЩУпн</v>
      </c>
      <c r="B6" s="13" t="s">
        <v>12</v>
      </c>
      <c r="C6" s="14" t="s">
        <v>19</v>
      </c>
      <c r="D6" s="12" t="s">
        <v>20</v>
      </c>
      <c r="E6" s="13">
        <v>975</v>
      </c>
      <c r="F6" s="15">
        <f t="shared" ref="F6:F15" si="5">E6*0.6</f>
        <v>585</v>
      </c>
      <c r="G6" s="15">
        <f t="shared" ref="G6:G15" si="6">F6*H6</f>
        <v>585</v>
      </c>
      <c r="H6" s="16">
        <v>1</v>
      </c>
      <c r="I6" s="17" t="s">
        <v>13</v>
      </c>
      <c r="J6" s="13" t="s">
        <v>17</v>
      </c>
    </row>
    <row r="7" spans="1:10" ht="21" customHeight="1" x14ac:dyDescent="0.25">
      <c r="A7" s="12" t="str">
        <f t="shared" si="0"/>
        <v>ЩУпн</v>
      </c>
      <c r="B7" s="13" t="s">
        <v>46</v>
      </c>
      <c r="C7" s="14" t="s">
        <v>44</v>
      </c>
      <c r="D7" s="12" t="s">
        <v>45</v>
      </c>
      <c r="E7" s="13">
        <v>271448</v>
      </c>
      <c r="F7" s="15">
        <f t="shared" si="5"/>
        <v>162868.79999999999</v>
      </c>
      <c r="G7" s="15">
        <f t="shared" si="6"/>
        <v>162868.79999999999</v>
      </c>
      <c r="H7" s="16">
        <v>1</v>
      </c>
      <c r="I7" s="17" t="s">
        <v>13</v>
      </c>
      <c r="J7" s="13" t="s">
        <v>17</v>
      </c>
    </row>
    <row r="8" spans="1:10" ht="21" customHeight="1" x14ac:dyDescent="0.25">
      <c r="A8" s="12" t="str">
        <f t="shared" si="0"/>
        <v>ЩУпн</v>
      </c>
      <c r="B8" s="13" t="s">
        <v>49</v>
      </c>
      <c r="C8" s="14" t="s">
        <v>47</v>
      </c>
      <c r="D8" s="12" t="s">
        <v>48</v>
      </c>
      <c r="E8" s="13">
        <v>2289</v>
      </c>
      <c r="F8" s="15">
        <f t="shared" si="5"/>
        <v>1373.3999999999999</v>
      </c>
      <c r="G8" s="15">
        <f t="shared" si="6"/>
        <v>1373.3999999999999</v>
      </c>
      <c r="H8" s="16">
        <v>1</v>
      </c>
      <c r="I8" s="17" t="s">
        <v>13</v>
      </c>
      <c r="J8" s="13" t="s">
        <v>17</v>
      </c>
    </row>
    <row r="9" spans="1:10" ht="21" customHeight="1" x14ac:dyDescent="0.25">
      <c r="A9" s="12" t="str">
        <f t="shared" si="0"/>
        <v>ЩУпн</v>
      </c>
      <c r="B9" s="13" t="s">
        <v>52</v>
      </c>
      <c r="C9" s="14" t="s">
        <v>50</v>
      </c>
      <c r="D9" s="12" t="s">
        <v>51</v>
      </c>
      <c r="E9" s="13">
        <v>1799</v>
      </c>
      <c r="F9" s="15">
        <f t="shared" si="5"/>
        <v>1079.3999999999999</v>
      </c>
      <c r="G9" s="15">
        <f t="shared" si="6"/>
        <v>1079.3999999999999</v>
      </c>
      <c r="H9" s="16">
        <v>1</v>
      </c>
      <c r="I9" s="17" t="s">
        <v>13</v>
      </c>
      <c r="J9" s="13" t="s">
        <v>17</v>
      </c>
    </row>
    <row r="10" spans="1:10" ht="21" customHeight="1" x14ac:dyDescent="0.25">
      <c r="A10" s="12" t="str">
        <f t="shared" si="0"/>
        <v>ЩУпн</v>
      </c>
      <c r="B10" s="13" t="s">
        <v>52</v>
      </c>
      <c r="C10" s="14" t="s">
        <v>53</v>
      </c>
      <c r="D10" s="12" t="s">
        <v>54</v>
      </c>
      <c r="E10" s="13">
        <v>1602</v>
      </c>
      <c r="F10" s="15">
        <f t="shared" si="5"/>
        <v>961.19999999999993</v>
      </c>
      <c r="G10" s="15">
        <f t="shared" si="6"/>
        <v>961.19999999999993</v>
      </c>
      <c r="H10" s="16">
        <v>1</v>
      </c>
      <c r="I10" s="17" t="s">
        <v>13</v>
      </c>
      <c r="J10" s="13" t="s">
        <v>17</v>
      </c>
    </row>
    <row r="11" spans="1:10" ht="21" customHeight="1" x14ac:dyDescent="0.25">
      <c r="A11" s="12" t="str">
        <f t="shared" si="0"/>
        <v>ЩУпн</v>
      </c>
      <c r="B11" s="13" t="s">
        <v>43</v>
      </c>
      <c r="C11" s="14" t="s">
        <v>57</v>
      </c>
      <c r="D11" s="12" t="s">
        <v>58</v>
      </c>
      <c r="E11" s="13">
        <v>1930</v>
      </c>
      <c r="F11" s="15">
        <f t="shared" si="5"/>
        <v>1158</v>
      </c>
      <c r="G11" s="15">
        <f t="shared" si="6"/>
        <v>1158</v>
      </c>
      <c r="H11" s="16">
        <v>1</v>
      </c>
      <c r="I11" s="17" t="s">
        <v>13</v>
      </c>
      <c r="J11" s="13" t="s">
        <v>17</v>
      </c>
    </row>
    <row r="12" spans="1:10" ht="21" customHeight="1" x14ac:dyDescent="0.25">
      <c r="A12" s="12" t="str">
        <f t="shared" si="0"/>
        <v>ЩУпн</v>
      </c>
      <c r="B12" s="13" t="s">
        <v>43</v>
      </c>
      <c r="C12" s="14" t="s">
        <v>59</v>
      </c>
      <c r="D12" s="12" t="s">
        <v>60</v>
      </c>
      <c r="E12" s="13">
        <v>1565</v>
      </c>
      <c r="F12" s="15">
        <f t="shared" si="5"/>
        <v>939</v>
      </c>
      <c r="G12" s="15">
        <f t="shared" si="6"/>
        <v>1878</v>
      </c>
      <c r="H12" s="16">
        <v>2</v>
      </c>
      <c r="I12" s="17" t="s">
        <v>13</v>
      </c>
      <c r="J12" s="13" t="s">
        <v>17</v>
      </c>
    </row>
    <row r="13" spans="1:10" ht="21" customHeight="1" x14ac:dyDescent="0.25">
      <c r="A13" s="12" t="str">
        <f t="shared" si="0"/>
        <v>ЩУпн</v>
      </c>
      <c r="B13" s="13" t="s">
        <v>43</v>
      </c>
      <c r="C13" s="14" t="s">
        <v>61</v>
      </c>
      <c r="D13" s="12" t="s">
        <v>62</v>
      </c>
      <c r="E13" s="13">
        <v>682</v>
      </c>
      <c r="F13" s="15">
        <f t="shared" si="5"/>
        <v>409.2</v>
      </c>
      <c r="G13" s="15">
        <f t="shared" si="6"/>
        <v>1227.5999999999999</v>
      </c>
      <c r="H13" s="16">
        <v>3</v>
      </c>
      <c r="I13" s="17" t="s">
        <v>13</v>
      </c>
      <c r="J13" s="13" t="s">
        <v>17</v>
      </c>
    </row>
    <row r="14" spans="1:10" ht="21" customHeight="1" x14ac:dyDescent="0.25">
      <c r="A14" s="12" t="str">
        <f t="shared" si="0"/>
        <v>ЩУпн</v>
      </c>
      <c r="B14" s="13" t="s">
        <v>37</v>
      </c>
      <c r="C14" s="14" t="s">
        <v>33</v>
      </c>
      <c r="D14" s="12" t="s">
        <v>34</v>
      </c>
      <c r="E14" s="13">
        <v>589</v>
      </c>
      <c r="F14" s="15">
        <f t="shared" si="5"/>
        <v>353.4</v>
      </c>
      <c r="G14" s="15">
        <f t="shared" si="6"/>
        <v>353.4</v>
      </c>
      <c r="H14" s="16">
        <v>1</v>
      </c>
      <c r="I14" s="17" t="s">
        <v>13</v>
      </c>
      <c r="J14" s="13" t="s">
        <v>17</v>
      </c>
    </row>
    <row r="15" spans="1:10" ht="21" customHeight="1" x14ac:dyDescent="0.25">
      <c r="A15" s="12" t="str">
        <f t="shared" si="0"/>
        <v>ЩУпн</v>
      </c>
      <c r="B15" s="13" t="s">
        <v>37</v>
      </c>
      <c r="C15" s="14" t="s">
        <v>35</v>
      </c>
      <c r="D15" s="12" t="s">
        <v>36</v>
      </c>
      <c r="E15" s="13">
        <v>571</v>
      </c>
      <c r="F15" s="15">
        <f t="shared" si="5"/>
        <v>342.59999999999997</v>
      </c>
      <c r="G15" s="15">
        <f t="shared" si="6"/>
        <v>342.59999999999997</v>
      </c>
      <c r="H15" s="16">
        <v>1</v>
      </c>
      <c r="I15" s="17" t="s">
        <v>13</v>
      </c>
      <c r="J15" s="13" t="s">
        <v>17</v>
      </c>
    </row>
    <row r="16" spans="1:10" ht="21" customHeight="1" x14ac:dyDescent="0.25">
      <c r="A16" s="12" t="str">
        <f t="shared" si="0"/>
        <v>ЩУпн</v>
      </c>
      <c r="B16" s="13" t="s">
        <v>55</v>
      </c>
      <c r="C16" s="14" t="s">
        <v>63</v>
      </c>
      <c r="D16" s="12" t="s">
        <v>64</v>
      </c>
      <c r="E16" s="13">
        <v>91</v>
      </c>
      <c r="F16" s="15">
        <f>E16</f>
        <v>91</v>
      </c>
      <c r="G16" s="15">
        <f t="shared" ref="G16:G17" si="7">F16*H16</f>
        <v>910</v>
      </c>
      <c r="H16" s="16">
        <v>10</v>
      </c>
      <c r="I16" s="17" t="s">
        <v>13</v>
      </c>
      <c r="J16" s="13" t="s">
        <v>23</v>
      </c>
    </row>
    <row r="17" spans="1:10" ht="24" customHeight="1" x14ac:dyDescent="0.25">
      <c r="A17" s="12" t="str">
        <f t="shared" si="0"/>
        <v>ЩУпн</v>
      </c>
      <c r="B17" s="12" t="s">
        <v>10</v>
      </c>
      <c r="C17" s="18" t="s">
        <v>10</v>
      </c>
      <c r="D17" s="12" t="s">
        <v>10</v>
      </c>
      <c r="E17" s="12">
        <f ca="1">OFFSET(E17,1,2)</f>
        <v>0</v>
      </c>
      <c r="F17" s="15">
        <f ca="1">E17</f>
        <v>0</v>
      </c>
      <c r="G17" s="15">
        <f t="shared" ca="1" si="7"/>
        <v>0</v>
      </c>
      <c r="H17" s="12"/>
      <c r="I17" s="12" t="s">
        <v>13</v>
      </c>
      <c r="J17" s="12" t="s">
        <v>10</v>
      </c>
    </row>
    <row r="18" spans="1:10" ht="21" customHeight="1" x14ac:dyDescent="0.25">
      <c r="A18" s="12" t="str">
        <f t="shared" si="0"/>
        <v>ЩУпн</v>
      </c>
      <c r="B18" s="12" t="s">
        <v>11</v>
      </c>
      <c r="C18" s="18" t="s">
        <v>11</v>
      </c>
      <c r="D18" s="12" t="s">
        <v>11</v>
      </c>
      <c r="E18" s="12"/>
      <c r="F18" s="15">
        <v>100</v>
      </c>
      <c r="G18" s="15">
        <f>60*E18*F18</f>
        <v>0</v>
      </c>
      <c r="H18" s="12">
        <f>60*E18</f>
        <v>0</v>
      </c>
      <c r="I18" s="12" t="s">
        <v>13</v>
      </c>
      <c r="J18" s="12" t="s">
        <v>11</v>
      </c>
    </row>
    <row r="19" spans="1:10" ht="30" customHeight="1" x14ac:dyDescent="0.25">
      <c r="A19" s="12" t="str">
        <f t="shared" si="0"/>
        <v>ЩУпн</v>
      </c>
      <c r="B19" s="19"/>
      <c r="C19" s="20"/>
      <c r="D19" s="21"/>
      <c r="E19" s="23"/>
      <c r="F19" s="25"/>
      <c r="G19" s="24">
        <f ca="1">SUM(G3:G18)</f>
        <v>211217.19999999998</v>
      </c>
      <c r="H19" s="20"/>
      <c r="I19" s="22"/>
      <c r="J19" s="20"/>
    </row>
    <row r="20" spans="1:10" ht="39.75" customHeight="1" x14ac:dyDescent="0.25">
      <c r="A20" s="5" t="str">
        <f>D20</f>
        <v>ВРУ</v>
      </c>
      <c r="B20" s="6"/>
      <c r="C20" s="7"/>
      <c r="D20" s="6" t="s">
        <v>67</v>
      </c>
      <c r="E20" s="8"/>
      <c r="F20" s="8"/>
      <c r="G20" s="9"/>
      <c r="H20" s="10">
        <v>1</v>
      </c>
      <c r="I20" s="11" t="s">
        <v>7</v>
      </c>
      <c r="J20" s="6" t="s">
        <v>9</v>
      </c>
    </row>
    <row r="21" spans="1:10" ht="21" customHeight="1" x14ac:dyDescent="0.25">
      <c r="A21" s="12" t="str">
        <f>A20</f>
        <v>ВРУ</v>
      </c>
      <c r="B21" s="13" t="s">
        <v>8</v>
      </c>
      <c r="C21" s="14" t="s">
        <v>39</v>
      </c>
      <c r="D21" s="12" t="s">
        <v>40</v>
      </c>
      <c r="E21" s="13">
        <v>155000</v>
      </c>
      <c r="F21" s="15">
        <f>E21*0.6</f>
        <v>93000</v>
      </c>
      <c r="G21" s="15">
        <f>H21*F21</f>
        <v>93000</v>
      </c>
      <c r="H21" s="16">
        <v>1</v>
      </c>
      <c r="I21" s="17" t="s">
        <v>13</v>
      </c>
      <c r="J21" s="13" t="s">
        <v>16</v>
      </c>
    </row>
    <row r="22" spans="1:10" ht="21" customHeight="1" x14ac:dyDescent="0.25">
      <c r="A22" s="12" t="str">
        <f t="shared" ref="A22:A41" si="8">A21</f>
        <v>ВРУ</v>
      </c>
      <c r="B22" s="13" t="s">
        <v>24</v>
      </c>
      <c r="C22" s="14" t="s">
        <v>85</v>
      </c>
      <c r="D22" s="12" t="s">
        <v>86</v>
      </c>
      <c r="E22" s="13">
        <v>6018</v>
      </c>
      <c r="F22" s="15">
        <f>E22</f>
        <v>6018</v>
      </c>
      <c r="G22" s="15">
        <f>F22*H22</f>
        <v>18054</v>
      </c>
      <c r="H22" s="16">
        <v>3</v>
      </c>
      <c r="I22" s="17" t="s">
        <v>13</v>
      </c>
      <c r="J22" s="13" t="s">
        <v>23</v>
      </c>
    </row>
    <row r="23" spans="1:10" ht="21" customHeight="1" x14ac:dyDescent="0.25">
      <c r="A23" s="12" t="str">
        <f t="shared" si="8"/>
        <v>ВРУ</v>
      </c>
      <c r="B23" s="13" t="s">
        <v>32</v>
      </c>
      <c r="C23" s="14" t="s">
        <v>68</v>
      </c>
      <c r="D23" s="12" t="s">
        <v>69</v>
      </c>
      <c r="E23" s="13">
        <v>207389</v>
      </c>
      <c r="F23" s="15">
        <f t="shared" ref="F23:F25" si="9">E23*0.6</f>
        <v>124433.4</v>
      </c>
      <c r="G23" s="15">
        <f t="shared" ref="G23:G25" si="10">F23*H23</f>
        <v>124433.4</v>
      </c>
      <c r="H23" s="16">
        <v>1</v>
      </c>
      <c r="I23" s="17" t="s">
        <v>13</v>
      </c>
      <c r="J23" s="13" t="s">
        <v>17</v>
      </c>
    </row>
    <row r="24" spans="1:10" ht="21" customHeight="1" x14ac:dyDescent="0.25">
      <c r="A24" s="12" t="str">
        <f t="shared" si="8"/>
        <v>ВРУ</v>
      </c>
      <c r="B24" s="13" t="s">
        <v>31</v>
      </c>
      <c r="C24" s="14" t="s">
        <v>21</v>
      </c>
      <c r="D24" s="12" t="s">
        <v>22</v>
      </c>
      <c r="E24" s="13">
        <v>19443</v>
      </c>
      <c r="F24" s="15">
        <f t="shared" si="9"/>
        <v>11665.8</v>
      </c>
      <c r="G24" s="15">
        <f t="shared" si="10"/>
        <v>11665.8</v>
      </c>
      <c r="H24" s="16">
        <v>1</v>
      </c>
      <c r="I24" s="17" t="s">
        <v>13</v>
      </c>
      <c r="J24" s="13" t="s">
        <v>17</v>
      </c>
    </row>
    <row r="25" spans="1:10" ht="21" customHeight="1" x14ac:dyDescent="0.25">
      <c r="A25" s="12" t="str">
        <f t="shared" si="8"/>
        <v>ВРУ</v>
      </c>
      <c r="B25" s="13" t="s">
        <v>31</v>
      </c>
      <c r="C25" s="14" t="s">
        <v>29</v>
      </c>
      <c r="D25" s="12" t="s">
        <v>30</v>
      </c>
      <c r="E25" s="13">
        <v>19418</v>
      </c>
      <c r="F25" s="15">
        <f t="shared" si="9"/>
        <v>11650.8</v>
      </c>
      <c r="G25" s="15">
        <f t="shared" si="10"/>
        <v>23301.599999999999</v>
      </c>
      <c r="H25" s="16">
        <v>2</v>
      </c>
      <c r="I25" s="17" t="s">
        <v>13</v>
      </c>
      <c r="J25" s="13" t="s">
        <v>17</v>
      </c>
    </row>
    <row r="26" spans="1:10" ht="21" customHeight="1" x14ac:dyDescent="0.25">
      <c r="A26" s="12" t="str">
        <f t="shared" si="8"/>
        <v>ВРУ</v>
      </c>
      <c r="B26" s="13" t="s">
        <v>12</v>
      </c>
      <c r="C26" s="14" t="s">
        <v>70</v>
      </c>
      <c r="D26" s="12" t="s">
        <v>71</v>
      </c>
      <c r="E26" s="13">
        <v>6060</v>
      </c>
      <c r="F26" s="15">
        <f t="shared" ref="F26:F32" si="11">E26*0.6</f>
        <v>3636</v>
      </c>
      <c r="G26" s="15">
        <f t="shared" ref="G26:G32" si="12">F26*H26</f>
        <v>3636</v>
      </c>
      <c r="H26" s="16">
        <v>1</v>
      </c>
      <c r="I26" s="17" t="s">
        <v>13</v>
      </c>
      <c r="J26" s="13" t="s">
        <v>17</v>
      </c>
    </row>
    <row r="27" spans="1:10" ht="21" customHeight="1" x14ac:dyDescent="0.25">
      <c r="A27" s="12" t="str">
        <f t="shared" si="8"/>
        <v>ВРУ</v>
      </c>
      <c r="B27" s="13" t="s">
        <v>12</v>
      </c>
      <c r="C27" s="14" t="s">
        <v>76</v>
      </c>
      <c r="D27" s="12" t="s">
        <v>77</v>
      </c>
      <c r="E27" s="13">
        <v>5462</v>
      </c>
      <c r="F27" s="15">
        <f t="shared" si="11"/>
        <v>3277.2</v>
      </c>
      <c r="G27" s="15">
        <f t="shared" si="12"/>
        <v>9831.5999999999985</v>
      </c>
      <c r="H27" s="16">
        <v>3</v>
      </c>
      <c r="I27" s="17" t="s">
        <v>13</v>
      </c>
      <c r="J27" s="13" t="s">
        <v>17</v>
      </c>
    </row>
    <row r="28" spans="1:10" ht="21" customHeight="1" x14ac:dyDescent="0.25">
      <c r="A28" s="12" t="str">
        <f t="shared" si="8"/>
        <v>ВРУ</v>
      </c>
      <c r="B28" s="13" t="s">
        <v>12</v>
      </c>
      <c r="C28" s="14" t="s">
        <v>72</v>
      </c>
      <c r="D28" s="12" t="s">
        <v>73</v>
      </c>
      <c r="E28" s="13">
        <v>1389</v>
      </c>
      <c r="F28" s="15">
        <f t="shared" si="11"/>
        <v>833.4</v>
      </c>
      <c r="G28" s="15">
        <f t="shared" si="12"/>
        <v>833.4</v>
      </c>
      <c r="H28" s="16">
        <v>1</v>
      </c>
      <c r="I28" s="17" t="s">
        <v>13</v>
      </c>
      <c r="J28" s="13" t="s">
        <v>17</v>
      </c>
    </row>
    <row r="29" spans="1:10" ht="21" customHeight="1" x14ac:dyDescent="0.25">
      <c r="A29" s="12" t="str">
        <f t="shared" si="8"/>
        <v>ВРУ</v>
      </c>
      <c r="B29" s="13" t="s">
        <v>12</v>
      </c>
      <c r="C29" s="14" t="s">
        <v>74</v>
      </c>
      <c r="D29" s="12" t="s">
        <v>75</v>
      </c>
      <c r="E29" s="13">
        <v>1362</v>
      </c>
      <c r="F29" s="15">
        <f t="shared" si="11"/>
        <v>817.19999999999993</v>
      </c>
      <c r="G29" s="15">
        <f t="shared" si="12"/>
        <v>1634.3999999999999</v>
      </c>
      <c r="H29" s="16">
        <v>2</v>
      </c>
      <c r="I29" s="17" t="s">
        <v>13</v>
      </c>
      <c r="J29" s="13" t="s">
        <v>17</v>
      </c>
    </row>
    <row r="30" spans="1:10" ht="21" customHeight="1" x14ac:dyDescent="0.25">
      <c r="A30" s="12" t="str">
        <f t="shared" si="8"/>
        <v>ВРУ</v>
      </c>
      <c r="B30" s="13" t="s">
        <v>12</v>
      </c>
      <c r="C30" s="14" t="s">
        <v>19</v>
      </c>
      <c r="D30" s="12" t="s">
        <v>20</v>
      </c>
      <c r="E30" s="13">
        <v>975</v>
      </c>
      <c r="F30" s="15">
        <f t="shared" si="11"/>
        <v>585</v>
      </c>
      <c r="G30" s="15">
        <f t="shared" si="12"/>
        <v>2340</v>
      </c>
      <c r="H30" s="16">
        <v>4</v>
      </c>
      <c r="I30" s="17" t="s">
        <v>13</v>
      </c>
      <c r="J30" s="13" t="s">
        <v>17</v>
      </c>
    </row>
    <row r="31" spans="1:10" ht="21" customHeight="1" x14ac:dyDescent="0.25">
      <c r="A31" s="12" t="str">
        <f t="shared" si="8"/>
        <v>ВРУ</v>
      </c>
      <c r="B31" s="13" t="s">
        <v>46</v>
      </c>
      <c r="C31" s="14" t="s">
        <v>44</v>
      </c>
      <c r="D31" s="12" t="s">
        <v>45</v>
      </c>
      <c r="E31" s="13">
        <v>271448</v>
      </c>
      <c r="F31" s="15">
        <f t="shared" si="11"/>
        <v>162868.79999999999</v>
      </c>
      <c r="G31" s="15">
        <f t="shared" si="12"/>
        <v>325737.59999999998</v>
      </c>
      <c r="H31" s="16">
        <v>2</v>
      </c>
      <c r="I31" s="17" t="s">
        <v>13</v>
      </c>
      <c r="J31" s="13" t="s">
        <v>17</v>
      </c>
    </row>
    <row r="32" spans="1:10" ht="21" customHeight="1" x14ac:dyDescent="0.25">
      <c r="A32" s="12" t="str">
        <f t="shared" si="8"/>
        <v>ВРУ</v>
      </c>
      <c r="B32" s="13" t="s">
        <v>46</v>
      </c>
      <c r="C32" s="14" t="s">
        <v>83</v>
      </c>
      <c r="D32" s="12" t="s">
        <v>84</v>
      </c>
      <c r="E32" s="13">
        <v>194431</v>
      </c>
      <c r="F32" s="15">
        <f t="shared" si="11"/>
        <v>116658.59999999999</v>
      </c>
      <c r="G32" s="15">
        <f t="shared" si="12"/>
        <v>233317.19999999998</v>
      </c>
      <c r="H32" s="16">
        <v>2</v>
      </c>
      <c r="I32" s="17" t="s">
        <v>13</v>
      </c>
      <c r="J32" s="13" t="s">
        <v>17</v>
      </c>
    </row>
    <row r="33" spans="1:11" ht="21" customHeight="1" x14ac:dyDescent="0.25">
      <c r="A33" s="12" t="str">
        <f t="shared" si="8"/>
        <v>ВРУ</v>
      </c>
      <c r="B33" s="13" t="s">
        <v>43</v>
      </c>
      <c r="C33" s="14" t="s">
        <v>41</v>
      </c>
      <c r="D33" s="12" t="s">
        <v>42</v>
      </c>
      <c r="E33" s="13">
        <v>14175</v>
      </c>
      <c r="F33" s="15">
        <f t="shared" ref="F33" si="13">E33*0.6</f>
        <v>8505</v>
      </c>
      <c r="G33" s="15">
        <f t="shared" ref="G33" si="14">F33*H33</f>
        <v>51030</v>
      </c>
      <c r="H33" s="16">
        <v>6</v>
      </c>
      <c r="I33" s="17" t="s">
        <v>13</v>
      </c>
      <c r="J33" s="13" t="s">
        <v>17</v>
      </c>
    </row>
    <row r="34" spans="1:11" ht="21" customHeight="1" x14ac:dyDescent="0.25">
      <c r="A34" s="12" t="str">
        <f t="shared" si="8"/>
        <v>ВРУ</v>
      </c>
      <c r="B34" s="13" t="s">
        <v>27</v>
      </c>
      <c r="C34" s="14" t="s">
        <v>78</v>
      </c>
      <c r="D34" s="12" t="s">
        <v>79</v>
      </c>
      <c r="E34" s="13">
        <v>141</v>
      </c>
      <c r="F34" s="15">
        <f>E34*0.6</f>
        <v>84.6</v>
      </c>
      <c r="G34" s="15">
        <f>F34*H34</f>
        <v>253.79999999999998</v>
      </c>
      <c r="H34" s="16">
        <v>3</v>
      </c>
      <c r="I34" s="17" t="s">
        <v>13</v>
      </c>
      <c r="J34" s="13" t="s">
        <v>17</v>
      </c>
    </row>
    <row r="35" spans="1:11" ht="21" customHeight="1" x14ac:dyDescent="0.25">
      <c r="A35" s="12" t="str">
        <f t="shared" si="8"/>
        <v>ВРУ</v>
      </c>
      <c r="B35" s="13" t="s">
        <v>27</v>
      </c>
      <c r="C35" s="14" t="s">
        <v>80</v>
      </c>
      <c r="D35" s="12" t="s">
        <v>81</v>
      </c>
      <c r="E35" s="13">
        <v>750</v>
      </c>
      <c r="F35" s="15">
        <f>E35*0.6</f>
        <v>450</v>
      </c>
      <c r="G35" s="15">
        <f>F35*H35</f>
        <v>1350</v>
      </c>
      <c r="H35" s="16">
        <v>3</v>
      </c>
      <c r="I35" s="17" t="s">
        <v>13</v>
      </c>
      <c r="J35" s="13" t="s">
        <v>17</v>
      </c>
    </row>
    <row r="36" spans="1:11" ht="22.5" customHeight="1" x14ac:dyDescent="0.25">
      <c r="A36" s="12" t="str">
        <f t="shared" si="8"/>
        <v>ВРУ</v>
      </c>
      <c r="B36" s="13" t="s">
        <v>18</v>
      </c>
      <c r="C36" s="14"/>
      <c r="D36" s="12" t="s">
        <v>82</v>
      </c>
      <c r="E36" s="13"/>
      <c r="F36" s="15">
        <f>E36</f>
        <v>0</v>
      </c>
      <c r="G36" s="15">
        <f t="shared" ref="G36:G39" si="15">F36*H36</f>
        <v>0</v>
      </c>
      <c r="H36" s="16">
        <v>1</v>
      </c>
      <c r="I36" s="17" t="s">
        <v>13</v>
      </c>
      <c r="J36" s="13" t="s">
        <v>23</v>
      </c>
      <c r="K36" t="s">
        <v>38</v>
      </c>
    </row>
    <row r="37" spans="1:11" ht="21" customHeight="1" x14ac:dyDescent="0.25">
      <c r="A37" s="12" t="str">
        <f t="shared" si="8"/>
        <v>ВРУ</v>
      </c>
      <c r="B37" s="13" t="s">
        <v>28</v>
      </c>
      <c r="C37" s="14"/>
      <c r="D37" s="12" t="s">
        <v>25</v>
      </c>
      <c r="E37" s="13"/>
      <c r="F37" s="15">
        <f t="shared" ref="F37:F38" si="16">E37*0.6</f>
        <v>0</v>
      </c>
      <c r="G37" s="15">
        <f t="shared" si="15"/>
        <v>0</v>
      </c>
      <c r="H37" s="16">
        <v>6</v>
      </c>
      <c r="I37" s="17" t="s">
        <v>13</v>
      </c>
      <c r="J37" s="13" t="s">
        <v>23</v>
      </c>
    </row>
    <row r="38" spans="1:11" ht="21" customHeight="1" x14ac:dyDescent="0.25">
      <c r="A38" s="12" t="str">
        <f t="shared" si="8"/>
        <v>ВРУ</v>
      </c>
      <c r="B38" s="13" t="s">
        <v>26</v>
      </c>
      <c r="C38" s="14"/>
      <c r="D38" s="12" t="s">
        <v>26</v>
      </c>
      <c r="E38" s="13"/>
      <c r="F38" s="15">
        <f t="shared" si="16"/>
        <v>0</v>
      </c>
      <c r="G38" s="15">
        <f t="shared" si="15"/>
        <v>0</v>
      </c>
      <c r="H38" s="16">
        <v>1</v>
      </c>
      <c r="I38" s="17" t="s">
        <v>13</v>
      </c>
      <c r="J38" s="13" t="s">
        <v>23</v>
      </c>
    </row>
    <row r="39" spans="1:11" ht="24" customHeight="1" x14ac:dyDescent="0.25">
      <c r="A39" s="12" t="str">
        <f t="shared" si="8"/>
        <v>ВРУ</v>
      </c>
      <c r="B39" s="12" t="s">
        <v>10</v>
      </c>
      <c r="C39" s="18" t="s">
        <v>10</v>
      </c>
      <c r="D39" s="12" t="s">
        <v>10</v>
      </c>
      <c r="E39" s="12">
        <f ca="1">OFFSET(E39,1,2)</f>
        <v>0</v>
      </c>
      <c r="F39" s="15">
        <f ca="1">E39</f>
        <v>0</v>
      </c>
      <c r="G39" s="15">
        <f t="shared" ca="1" si="15"/>
        <v>0</v>
      </c>
      <c r="H39" s="12"/>
      <c r="I39" s="12" t="s">
        <v>13</v>
      </c>
      <c r="J39" s="12" t="s">
        <v>10</v>
      </c>
    </row>
    <row r="40" spans="1:11" ht="21" customHeight="1" x14ac:dyDescent="0.25">
      <c r="A40" s="12" t="str">
        <f t="shared" si="8"/>
        <v>ВРУ</v>
      </c>
      <c r="B40" s="12" t="s">
        <v>11</v>
      </c>
      <c r="C40" s="18" t="s">
        <v>11</v>
      </c>
      <c r="D40" s="12" t="s">
        <v>11</v>
      </c>
      <c r="E40" s="12"/>
      <c r="F40" s="15">
        <v>100</v>
      </c>
      <c r="G40" s="15">
        <f>60*E40*F40</f>
        <v>0</v>
      </c>
      <c r="H40" s="12">
        <f>60*E40</f>
        <v>0</v>
      </c>
      <c r="I40" s="12" t="s">
        <v>13</v>
      </c>
      <c r="J40" s="12" t="s">
        <v>11</v>
      </c>
    </row>
    <row r="41" spans="1:11" ht="30" customHeight="1" x14ac:dyDescent="0.25">
      <c r="A41" s="12" t="str">
        <f t="shared" si="8"/>
        <v>ВРУ</v>
      </c>
      <c r="B41" s="19"/>
      <c r="C41" s="20"/>
      <c r="D41" s="21"/>
      <c r="E41" s="23"/>
      <c r="F41" s="25"/>
      <c r="G41" s="24">
        <f ca="1">SUM(G21:G40)</f>
        <v>900418.8</v>
      </c>
      <c r="H41" s="20"/>
      <c r="I41" s="22"/>
      <c r="J41" s="20"/>
    </row>
  </sheetData>
  <autoFilter ref="A1:J19" xr:uid="{0E2C231C-0991-4FBE-BD8E-9CD4D9BF5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2026-09-14T11:32:10Z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