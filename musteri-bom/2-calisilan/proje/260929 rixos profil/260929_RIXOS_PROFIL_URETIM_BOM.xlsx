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RDI" sheetId="1" state="visible" r:id="rId3"/>
    <sheet name="BOM" sheetId="2" state="visible" r:id="rId4"/>
    <sheet name="NESTING" sheetId="3" state="visible" r:id="rId5"/>
    <sheet name="KONTROL_LISTES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<sst xmlns="http://schemas.openxmlformats.org/spreadsheetml/2006/main" count="116" uniqueCount="105">
  <si>
    <t xml:space="preserve">Parametre</t>
  </si>
  <si>
    <t xml:space="preserve">Değer</t>
  </si>
  <si>
    <t xml:space="preserve">Kaynak / not</t>
  </si>
  <si>
    <t xml:space="preserve">Profil 80x20 – adet</t>
  </si>
  <si>
    <t xml:space="preserve">Sipariş</t>
  </si>
  <si>
    <t xml:space="preserve">Profil 80x20 – boy (mm)</t>
  </si>
  <si>
    <t xml:space="preserve">Profil 80x20 – açınım eni (mm)</t>
  </si>
  <si>
    <t xml:space="preserve">KONTROL: keskin köşe (kesit 384 mm²/2). Bükme radyüsü/K faktörüne göre atölye teyidi</t>
  </si>
  <si>
    <t xml:space="preserve">Profil 40x20 – adet</t>
  </si>
  <si>
    <t xml:space="preserve">Profil 40x20 – boy (mm)</t>
  </si>
  <si>
    <t xml:space="preserve">Profil 40x20 – açınım eni (mm)</t>
  </si>
  <si>
    <t xml:space="preserve">KONTROL: keskin köşe (kesit 224 mm²/2)</t>
  </si>
  <si>
    <t xml:space="preserve">Saç kalınlığı (mm)</t>
  </si>
  <si>
    <t xml:space="preserve">Saç yoğunluğu (g/cm³)</t>
  </si>
  <si>
    <t xml:space="preserve">Çelik (KONTROL: siyah/DKP/paslanmaz)</t>
  </si>
  <si>
    <t xml:space="preserve">Levha eni (mm)</t>
  </si>
  <si>
    <t xml:space="preserve">KONTROL: tedarik ölçüsü</t>
  </si>
  <si>
    <t xml:space="preserve">Levha boyu (mm)</t>
  </si>
  <si>
    <t xml:space="preserve">KONTROL: profil boyu = levha boyu, uç düzeltme payı yok</t>
  </si>
  <si>
    <t xml:space="preserve">Profil başına bükme sayısı</t>
  </si>
  <si>
    <t xml:space="preserve">Kapalı kutu: 4 büküm + 1 boyuna dikiş (KONTROL)</t>
  </si>
  <si>
    <t xml:space="preserve">ROW</t>
  </si>
  <si>
    <t xml:space="preserve">Наименование</t>
  </si>
  <si>
    <t xml:space="preserve">malzeme</t>
  </si>
  <si>
    <t xml:space="preserve">Артикул</t>
  </si>
  <si>
    <t xml:space="preserve">Номенклатура</t>
  </si>
  <si>
    <t xml:space="preserve">Birim fiyat (KZT)</t>
  </si>
  <si>
    <t xml:space="preserve">Tutar (KZT)</t>
  </si>
  <si>
    <t xml:space="preserve">Miktar</t>
  </si>
  <si>
    <t xml:space="preserve">Ед.изм</t>
  </si>
  <si>
    <t xml:space="preserve">Not / durum</t>
  </si>
  <si>
    <t xml:space="preserve">RIXOS – Profil 80x20x2 / 40x20x2 (L=3000)</t>
  </si>
  <si>
    <t xml:space="preserve">RIXOS profil üretimi</t>
  </si>
  <si>
    <t xml:space="preserve">комплект</t>
  </si>
  <si>
    <t xml:space="preserve">saç</t>
  </si>
  <si>
    <t xml:space="preserve">Saç 2 mm, 1500×3000</t>
  </si>
  <si>
    <t xml:space="preserve">лист</t>
  </si>
  <si>
    <t xml:space="preserve">Nesting planına göre. Malzeme cinsi KONTROL</t>
  </si>
  <si>
    <t xml:space="preserve">Saç 2 mm – ağırlık</t>
  </si>
  <si>
    <t xml:space="preserve">кг</t>
  </si>
  <si>
    <t xml:space="preserve">Bilgi satırı (fiyat kg bazlı ise G'ye kg fiyatı girin, levha satırını 0 yapın)</t>
  </si>
  <si>
    <t xml:space="preserve">kesim</t>
  </si>
  <si>
    <t xml:space="preserve">Şerit kesim 192×3000 (80x20 için)</t>
  </si>
  <si>
    <t xml:space="preserve">шт</t>
  </si>
  <si>
    <t xml:space="preserve">Giyotin/lazer</t>
  </si>
  <si>
    <t xml:space="preserve">Şerit kesim 112×3000 (40x20 için)</t>
  </si>
  <si>
    <t xml:space="preserve">bükme</t>
  </si>
  <si>
    <t xml:space="preserve">Abkant bükme, L=3000</t>
  </si>
  <si>
    <t xml:space="preserve">büküm</t>
  </si>
  <si>
    <t xml:space="preserve">Abkant tabla ≥3000 mm KONTROL</t>
  </si>
  <si>
    <t xml:space="preserve">kaynak</t>
  </si>
  <si>
    <t xml:space="preserve">Boyuna dikiş kaynağı (kapalı kutu)</t>
  </si>
  <si>
    <t xml:space="preserve">м</t>
  </si>
  <si>
    <t xml:space="preserve">Kaynak yöntemi (MIG/TIG/punta) KONTROL</t>
  </si>
  <si>
    <t xml:space="preserve">taşlama</t>
  </si>
  <si>
    <t xml:space="preserve">Dikiş taşlama / yüzey hazırlık</t>
  </si>
  <si>
    <t xml:space="preserve">KONTROL</t>
  </si>
  <si>
    <t xml:space="preserve">kaplama</t>
  </si>
  <si>
    <t xml:space="preserve">Dış yüzey kaplama</t>
  </si>
  <si>
    <t xml:space="preserve">м²</t>
  </si>
  <si>
    <t xml:space="preserve">Kaplama tipi (PVD altın / toz boya) KONTROL EDİLECEK</t>
  </si>
  <si>
    <t xml:space="preserve">montajная работа</t>
  </si>
  <si>
    <t xml:space="preserve">İşçilik (saat)</t>
  </si>
  <si>
    <t xml:space="preserve">час</t>
  </si>
  <si>
    <t xml:space="preserve">Saat KONTROL EDİLECEK — atölye girer</t>
  </si>
  <si>
    <t xml:space="preserve">ambalaj</t>
  </si>
  <si>
    <t xml:space="preserve">Ambalaj / sevkiyat</t>
  </si>
  <si>
    <t xml:space="preserve">MALZEME + İŞÇİLİK TOPLAM</t>
  </si>
  <si>
    <t xml:space="preserve">Çıktı</t>
  </si>
  <si>
    <t xml:space="preserve">80x20x2</t>
  </si>
  <si>
    <t xml:space="preserve">40x20x2</t>
  </si>
  <si>
    <t xml:space="preserve">Toplam</t>
  </si>
  <si>
    <t xml:space="preserve">Adet</t>
  </si>
  <si>
    <t xml:space="preserve">Metraj (m)</t>
  </si>
  <si>
    <t xml:space="preserve">Teorik kg/m</t>
  </si>
  <si>
    <t xml:space="preserve">Net ağırlık (kg)</t>
  </si>
  <si>
    <t xml:space="preserve">Mavi/sarı hücreler girdi. Birim fiyatlar (F, sarı) boş — tedarikçi/atölye fiyatı girilince tutarlar hesaplanır.</t>
  </si>
  <si>
    <t xml:space="preserve">Levha</t>
  </si>
  <si>
    <t xml:space="preserve">192 mm şerit</t>
  </si>
  <si>
    <t xml:space="preserve">112 mm şerit</t>
  </si>
  <si>
    <t xml:space="preserve">Kullanılan en (mm)</t>
  </si>
  <si>
    <t xml:space="preserve">Kalan en (mm)</t>
  </si>
  <si>
    <t xml:space="preserve">Levha 1</t>
  </si>
  <si>
    <t xml:space="preserve">Levha 2</t>
  </si>
  <si>
    <t xml:space="preserve">Levha 3</t>
  </si>
  <si>
    <t xml:space="preserve">Levha 4</t>
  </si>
  <si>
    <t xml:space="preserve">Toplam şerit</t>
  </si>
  <si>
    <t xml:space="preserve">İhtiyaç</t>
  </si>
  <si>
    <t xml:space="preserve">Kontrol</t>
  </si>
  <si>
    <t xml:space="preserve">En kontrolü (tüm levhalar)</t>
  </si>
  <si>
    <t xml:space="preserve">Levha adedi</t>
  </si>
  <si>
    <t xml:space="preserve">Levha toplam ağırlık (kg)</t>
  </si>
  <si>
    <t xml:space="preserve">Fire (kg)</t>
  </si>
  <si>
    <t xml:space="preserve">Not: kesim (testere/lazer) payı ve açınım toleransı düşülmedi — KONTROL. Levha 1-2'de kalan 44 mm, Levha 3'te 12 mm, Levha 4'te 604 mm (tekrar kullanılabilir).</t>
  </si>
  <si>
    <t xml:space="preserve">No</t>
  </si>
  <si>
    <t xml:space="preserve">KONTROL EDİLECEK</t>
  </si>
  <si>
    <t xml:space="preserve">Açınım eni 192 / 112 mm keskin köşe kabulü — bükme radyüsü ve K faktörüne göre atölye deneme bükümü ile teyit</t>
  </si>
  <si>
    <t xml:space="preserve">Levha 1-2'de kalan en 44 mm, Levha 3'te 12 mm: kesim payı (lazer ~0,2 / giyotin) bu boşluğa sığmalı; sığmazsa 112'lik şerit Levha 4'e kaydırılır (Levha 4'te 604 mm boş)</t>
  </si>
  <si>
    <t xml:space="preserve">Levha boyu 3000 = profil boyu 3000: uç düzeltme/gönye payı yok. 3000 net isteniyorsa levha 3000'den uzun olmalı veya profil boyu 2990 kabul edilmeli</t>
  </si>
  <si>
    <t xml:space="preserve">Abkant tabla boyu ve tonajı 3000 mm × 2 mm büküm için yeterli mi</t>
  </si>
  <si>
    <t xml:space="preserve">Kapalı kutu dikişi: yer (20 mm yüz mü), yöntem (MIG/TIG/lazer), taşlama; açık U ise kaynak/taşlama satırları düşer</t>
  </si>
  <si>
    <t xml:space="preserve">Malzeme cinsi: siyah saç / DKP / paslanmaz — yoğunluk ve fiyat değişir</t>
  </si>
  <si>
    <t xml:space="preserve">Kaplama tipi (altın PVD / toz boya / eloksal değil — çelik) ve kaplama tedarikçisi</t>
  </si>
  <si>
    <t xml:space="preserve">İşçilik saati ve saatlik ücret atölyeden girilecek</t>
  </si>
  <si>
    <t xml:space="preserve">Çizim metrajı (80x20 ≥72,8 m, 40x20 ≥46,2 m) sipariş metrajından (60 m / 39 m) fazla — sipariş adedi müşteri ile teyit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</si>
</sst>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9D9D9"/>
      </patternFill>
    </fill>
    <fill>
      <patternFill patternType="solid">
        <fgColor rgb="FFD9D9D9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2"/>
    <col collapsed="false" customWidth="true" hidden="false" outlineLevel="0" max="3" min="3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3</v>
      </c>
      <c r="B2" s="4" t="n">
        <v>20</v>
      </c>
      <c r="C2" s="3" t="s">
        <v>4</v>
      </c>
    </row>
    <row r="3" customFormat="false" ht="15" hidden="false" customHeight="true" outlineLevel="0" collapsed="false">
      <c r="A3" s="3" t="s">
        <v>5</v>
      </c>
      <c r="B3" s="4" t="n">
        <v>3000</v>
      </c>
      <c r="C3" s="3" t="s">
        <v>4</v>
      </c>
    </row>
    <row r="4" customFormat="false" ht="15" hidden="false" customHeight="true" outlineLevel="0" collapsed="false">
      <c r="A4" s="3" t="s">
        <v>6</v>
      </c>
      <c r="B4" s="4" t="n">
        <v>192</v>
      </c>
      <c r="C4" s="5" t="s">
        <v>7</v>
      </c>
    </row>
    <row r="5" customFormat="false" ht="15" hidden="false" customHeight="true" outlineLevel="0" collapsed="false">
      <c r="A5" s="3" t="s">
        <v>8</v>
      </c>
      <c r="B5" s="4" t="n">
        <v>13</v>
      </c>
      <c r="C5" s="3" t="s">
        <v>4</v>
      </c>
    </row>
    <row r="6" customFormat="false" ht="15" hidden="false" customHeight="true" outlineLevel="0" collapsed="false">
      <c r="A6" s="3" t="s">
        <v>9</v>
      </c>
      <c r="B6" s="4" t="n">
        <v>3000</v>
      </c>
      <c r="C6" s="3" t="s">
        <v>4</v>
      </c>
    </row>
    <row r="7" customFormat="false" ht="15" hidden="false" customHeight="true" outlineLevel="0" collapsed="false">
      <c r="A7" s="3" t="s">
        <v>10</v>
      </c>
      <c r="B7" s="4" t="n">
        <v>112</v>
      </c>
      <c r="C7" s="5" t="s">
        <v>11</v>
      </c>
    </row>
    <row r="8" customFormat="false" ht="15" hidden="false" customHeight="true" outlineLevel="0" collapsed="false">
      <c r="A8" s="3" t="s">
        <v>12</v>
      </c>
      <c r="B8" s="4" t="n">
        <v>2</v>
      </c>
      <c r="C8" s="3" t="s">
        <v>4</v>
      </c>
    </row>
    <row r="9" customFormat="false" ht="15" hidden="false" customHeight="true" outlineLevel="0" collapsed="false">
      <c r="A9" s="3" t="s">
        <v>13</v>
      </c>
      <c r="B9" s="4" t="n">
        <v>7.85</v>
      </c>
      <c r="C9" s="5" t="s">
        <v>14</v>
      </c>
    </row>
    <row r="10" customFormat="false" ht="15" hidden="false" customHeight="true" outlineLevel="0" collapsed="false">
      <c r="A10" s="3" t="s">
        <v>15</v>
      </c>
      <c r="B10" s="4" t="n">
        <v>1500</v>
      </c>
      <c r="C10" s="5" t="s">
        <v>16</v>
      </c>
    </row>
    <row r="11" customFormat="false" ht="15" hidden="false" customHeight="true" outlineLevel="0" collapsed="false">
      <c r="A11" s="3" t="s">
        <v>17</v>
      </c>
      <c r="B11" s="4" t="n">
        <v>3000</v>
      </c>
      <c r="C11" s="5" t="s">
        <v>18</v>
      </c>
    </row>
    <row r="12" customFormat="false" ht="15" hidden="false" customHeight="true" outlineLevel="0" collapsed="false">
      <c r="A12" s="3" t="s">
        <v>19</v>
      </c>
      <c r="B12" s="4" t="n">
        <v>4</v>
      </c>
      <c r="C12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44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8"/>
    <col collapsed="false" customWidth="true" hidden="false" outlineLevel="0" max="10" min="10" style="1" width="58"/>
  </cols>
  <sheetData>
    <row r="1" customFormat="false" ht="26.2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</row>
    <row r="2" customFormat="false" ht="15" hidden="false" customHeight="true" outlineLevel="0" collapsed="false">
      <c r="A2" s="7" t="n">
        <v>1</v>
      </c>
      <c r="B2" s="8" t="s">
        <v>31</v>
      </c>
      <c r="C2" s="7"/>
      <c r="D2" s="7"/>
      <c r="E2" s="9" t="s">
        <v>32</v>
      </c>
      <c r="F2" s="10"/>
      <c r="G2" s="10"/>
      <c r="H2" s="11" t="n">
        <f aca="false">1</f>
        <v>1</v>
      </c>
      <c r="I2" s="7" t="s">
        <v>33</v>
      </c>
      <c r="J2" s="9"/>
    </row>
    <row r="3" customFormat="false" ht="15" hidden="false" customHeight="true" outlineLevel="0" collapsed="false">
      <c r="A3" s="12" t="n">
        <v>2</v>
      </c>
      <c r="B3" s="12"/>
      <c r="C3" s="12" t="s">
        <v>34</v>
      </c>
      <c r="D3" s="12"/>
      <c r="E3" s="13" t="s">
        <v>35</v>
      </c>
      <c r="F3" s="14"/>
      <c r="G3" s="15" t="n">
        <f aca="false">F3*H3</f>
        <v>0</v>
      </c>
      <c r="H3" s="16" t="n">
        <f aca="false">NESTING!B12</f>
        <v>4</v>
      </c>
      <c r="I3" s="12" t="s">
        <v>36</v>
      </c>
      <c r="J3" s="17" t="s">
        <v>37</v>
      </c>
    </row>
    <row r="4" customFormat="false" ht="15" hidden="false" customHeight="true" outlineLevel="0" collapsed="false">
      <c r="A4" s="12" t="n">
        <v>3</v>
      </c>
      <c r="B4" s="12"/>
      <c r="C4" s="12" t="s">
        <v>34</v>
      </c>
      <c r="D4" s="12"/>
      <c r="E4" s="13" t="s">
        <v>38</v>
      </c>
      <c r="F4" s="14"/>
      <c r="G4" s="15" t="n">
        <f aca="false">F4*H4</f>
        <v>0</v>
      </c>
      <c r="H4" s="16" t="n">
        <f aca="false">NESTING!B13</f>
        <v>282.6</v>
      </c>
      <c r="I4" s="12" t="s">
        <v>39</v>
      </c>
      <c r="J4" s="13" t="s">
        <v>40</v>
      </c>
    </row>
    <row r="5" customFormat="false" ht="15" hidden="false" customHeight="true" outlineLevel="0" collapsed="false">
      <c r="A5" s="12" t="n">
        <v>4</v>
      </c>
      <c r="B5" s="12"/>
      <c r="C5" s="12" t="s">
        <v>41</v>
      </c>
      <c r="D5" s="12"/>
      <c r="E5" s="13" t="s">
        <v>42</v>
      </c>
      <c r="F5" s="14"/>
      <c r="G5" s="15" t="n">
        <f aca="false">F5*H5</f>
        <v>0</v>
      </c>
      <c r="H5" s="16" t="n">
        <f aca="false">GIRDI!B2</f>
        <v>20</v>
      </c>
      <c r="I5" s="12" t="s">
        <v>43</v>
      </c>
      <c r="J5" s="13" t="s">
        <v>44</v>
      </c>
    </row>
    <row r="6" customFormat="false" ht="15" hidden="false" customHeight="true" outlineLevel="0" collapsed="false">
      <c r="A6" s="12" t="n">
        <v>5</v>
      </c>
      <c r="B6" s="12"/>
      <c r="C6" s="12" t="s">
        <v>41</v>
      </c>
      <c r="D6" s="12"/>
      <c r="E6" s="13" t="s">
        <v>45</v>
      </c>
      <c r="F6" s="14"/>
      <c r="G6" s="15" t="n">
        <f aca="false">F6*H6</f>
        <v>0</v>
      </c>
      <c r="H6" s="16" t="n">
        <f aca="false">GIRDI!B5</f>
        <v>13</v>
      </c>
      <c r="I6" s="12" t="s">
        <v>43</v>
      </c>
      <c r="J6" s="13" t="s">
        <v>44</v>
      </c>
    </row>
    <row r="7" customFormat="false" ht="15" hidden="false" customHeight="true" outlineLevel="0" collapsed="false">
      <c r="A7" s="12" t="n">
        <v>6</v>
      </c>
      <c r="B7" s="12"/>
      <c r="C7" s="12" t="s">
        <v>46</v>
      </c>
      <c r="D7" s="12"/>
      <c r="E7" s="13" t="s">
        <v>47</v>
      </c>
      <c r="F7" s="14"/>
      <c r="G7" s="15" t="n">
        <f aca="false">F7*H7</f>
        <v>0</v>
      </c>
      <c r="H7" s="16" t="n">
        <f aca="false">(GIRDI!B2+GIRDI!B5)*GIRDI!B12</f>
        <v>132</v>
      </c>
      <c r="I7" s="12" t="s">
        <v>48</v>
      </c>
      <c r="J7" s="17" t="s">
        <v>49</v>
      </c>
    </row>
    <row r="8" customFormat="false" ht="15" hidden="false" customHeight="true" outlineLevel="0" collapsed="false">
      <c r="A8" s="12" t="n">
        <v>7</v>
      </c>
      <c r="B8" s="12"/>
      <c r="C8" s="12" t="s">
        <v>50</v>
      </c>
      <c r="D8" s="12"/>
      <c r="E8" s="13" t="s">
        <v>51</v>
      </c>
      <c r="F8" s="14"/>
      <c r="G8" s="15" t="n">
        <f aca="false">F8*H8</f>
        <v>0</v>
      </c>
      <c r="H8" s="16" t="n">
        <f aca="false">(GIRDI!B2*GIRDI!B3+GIRDI!B5*GIRDI!B6)/1000</f>
        <v>99</v>
      </c>
      <c r="I8" s="12" t="s">
        <v>52</v>
      </c>
      <c r="J8" s="17" t="s">
        <v>53</v>
      </c>
    </row>
    <row r="9" customFormat="false" ht="15" hidden="false" customHeight="true" outlineLevel="0" collapsed="false">
      <c r="A9" s="12" t="n">
        <v>8</v>
      </c>
      <c r="B9" s="12"/>
      <c r="C9" s="12" t="s">
        <v>54</v>
      </c>
      <c r="D9" s="12"/>
      <c r="E9" s="13" t="s">
        <v>55</v>
      </c>
      <c r="F9" s="14"/>
      <c r="G9" s="15" t="n">
        <f aca="false">F9*H9</f>
        <v>0</v>
      </c>
      <c r="H9" s="16" t="n">
        <f aca="false">H8</f>
        <v>99</v>
      </c>
      <c r="I9" s="12" t="s">
        <v>52</v>
      </c>
      <c r="J9" s="17" t="s">
        <v>56</v>
      </c>
    </row>
    <row r="10" customFormat="false" ht="15" hidden="false" customHeight="true" outlineLevel="0" collapsed="false">
      <c r="A10" s="12" t="n">
        <v>9</v>
      </c>
      <c r="B10" s="12"/>
      <c r="C10" s="12" t="s">
        <v>57</v>
      </c>
      <c r="D10" s="12"/>
      <c r="E10" s="13" t="s">
        <v>58</v>
      </c>
      <c r="F10" s="14"/>
      <c r="G10" s="15" t="n">
        <f aca="false">F10*H10</f>
        <v>0</v>
      </c>
      <c r="H10" s="16" t="n">
        <f aca="false">(GIRDI!B2*GIRDI!B3*2*(80+20)+GIRDI!B5*GIRDI!B6*2*(40+20))/1000000</f>
        <v>16.68</v>
      </c>
      <c r="I10" s="12" t="s">
        <v>59</v>
      </c>
      <c r="J10" s="17" t="s">
        <v>60</v>
      </c>
    </row>
    <row r="11" customFormat="false" ht="15" hidden="false" customHeight="true" outlineLevel="0" collapsed="false">
      <c r="A11" s="12" t="n">
        <v>10</v>
      </c>
      <c r="B11" s="12"/>
      <c r="C11" s="12" t="s">
        <v>61</v>
      </c>
      <c r="D11" s="12"/>
      <c r="E11" s="13" t="s">
        <v>62</v>
      </c>
      <c r="F11" s="14"/>
      <c r="G11" s="15" t="n">
        <f aca="false">F11*H11</f>
        <v>0</v>
      </c>
      <c r="H11" s="16"/>
      <c r="I11" s="12" t="s">
        <v>63</v>
      </c>
      <c r="J11" s="17" t="s">
        <v>64</v>
      </c>
    </row>
    <row r="12" customFormat="false" ht="15" hidden="false" customHeight="true" outlineLevel="0" collapsed="false">
      <c r="A12" s="12" t="n">
        <v>11</v>
      </c>
      <c r="B12" s="12"/>
      <c r="C12" s="12" t="s">
        <v>65</v>
      </c>
      <c r="D12" s="12"/>
      <c r="E12" s="13" t="s">
        <v>66</v>
      </c>
      <c r="F12" s="14"/>
      <c r="G12" s="15" t="n">
        <f aca="false">F12*H12</f>
        <v>0</v>
      </c>
      <c r="H12" s="16"/>
      <c r="I12" s="12" t="s">
        <v>33</v>
      </c>
      <c r="J12" s="17" t="s">
        <v>56</v>
      </c>
    </row>
    <row r="13" customFormat="false" ht="15" hidden="false" customHeight="true" outlineLevel="0" collapsed="false">
      <c r="A13" s="18"/>
      <c r="B13" s="19" t="s">
        <v>67</v>
      </c>
      <c r="C13" s="18"/>
      <c r="D13" s="18"/>
      <c r="E13" s="18"/>
      <c r="F13" s="18"/>
      <c r="G13" s="20" t="n">
        <f aca="false">SUBTOTAL(9,G3:G12)</f>
        <v>0</v>
      </c>
      <c r="H13" s="18"/>
      <c r="I13" s="18"/>
      <c r="J13" s="18"/>
    </row>
    <row r="15" customFormat="false" ht="15" hidden="false" customHeight="true" outlineLevel="0" collapsed="false">
      <c r="B15" s="21" t="s">
        <v>68</v>
      </c>
      <c r="C15" s="21" t="s">
        <v>69</v>
      </c>
      <c r="D15" s="21" t="s">
        <v>70</v>
      </c>
      <c r="E15" s="21" t="s">
        <v>71</v>
      </c>
    </row>
    <row r="16" customFormat="false" ht="15" hidden="false" customHeight="true" outlineLevel="0" collapsed="false">
      <c r="B16" s="22" t="s">
        <v>72</v>
      </c>
      <c r="C16" s="22" t="n">
        <f aca="false">GIRDI!B2</f>
        <v>20</v>
      </c>
      <c r="D16" s="22" t="n">
        <f aca="false">GIRDI!B5</f>
        <v>13</v>
      </c>
      <c r="E16" s="22" t="n">
        <f aca="false">C16+D16</f>
        <v>33</v>
      </c>
    </row>
    <row r="17" customFormat="false" ht="15" hidden="false" customHeight="true" outlineLevel="0" collapsed="false">
      <c r="B17" s="22" t="s">
        <v>73</v>
      </c>
      <c r="C17" s="22" t="n">
        <f aca="false">GIRDI!B2*GIRDI!B3/1000</f>
        <v>60</v>
      </c>
      <c r="D17" s="22" t="n">
        <f aca="false">GIRDI!B5*GIRDI!B6/1000</f>
        <v>39</v>
      </c>
      <c r="E17" s="22" t="n">
        <f aca="false">C17+D17</f>
        <v>99</v>
      </c>
    </row>
    <row r="18" customFormat="false" ht="15" hidden="false" customHeight="true" outlineLevel="0" collapsed="false">
      <c r="B18" s="22" t="s">
        <v>74</v>
      </c>
      <c r="C18" s="22" t="n">
        <f aca="false">GIRDI!B4*GIRDI!B8*GIRDI!B9/1000</f>
        <v>3.0144</v>
      </c>
      <c r="D18" s="22" t="n">
        <f aca="false">GIRDI!B7*GIRDI!B8*GIRDI!B9/1000</f>
        <v>1.7584</v>
      </c>
      <c r="E18" s="22"/>
    </row>
    <row r="19" customFormat="false" ht="15" hidden="false" customHeight="true" outlineLevel="0" collapsed="false">
      <c r="B19" s="22" t="s">
        <v>75</v>
      </c>
      <c r="C19" s="22" t="n">
        <f aca="false">C17*C18</f>
        <v>180.864</v>
      </c>
      <c r="D19" s="22" t="n">
        <f aca="false">D17*D18</f>
        <v>68.5776</v>
      </c>
      <c r="E19" s="22" t="n">
        <f aca="false">C19+D19</f>
        <v>249.4416</v>
      </c>
    </row>
    <row r="21" customFormat="false" ht="15" hidden="false" customHeight="true" outlineLevel="0" collapsed="false">
      <c r="B21" s="2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4"/>
    <col collapsed="false" customWidth="true" hidden="false" outlineLevel="0" max="5" min="5" style="1" width="40"/>
  </cols>
  <sheetData>
    <row r="1" customFormat="false" ht="15" hidden="false" customHeight="true" outlineLevel="0" collapsed="false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</row>
    <row r="2" customFormat="false" ht="15" hidden="false" customHeight="true" outlineLevel="0" collapsed="false">
      <c r="A2" s="24" t="s">
        <v>82</v>
      </c>
      <c r="B2" s="25" t="n">
        <v>7</v>
      </c>
      <c r="C2" s="25" t="n">
        <v>1</v>
      </c>
      <c r="D2" s="24" t="n">
        <f aca="false">B2*GIRDI!$B$4+C2*GIRDI!$B$7</f>
        <v>1456</v>
      </c>
      <c r="E2" s="24" t="n">
        <f aca="false">GIRDI!$B$10-D2</f>
        <v>44</v>
      </c>
    </row>
    <row r="3" customFormat="false" ht="15" hidden="false" customHeight="true" outlineLevel="0" collapsed="false">
      <c r="A3" s="24" t="s">
        <v>83</v>
      </c>
      <c r="B3" s="25" t="n">
        <v>7</v>
      </c>
      <c r="C3" s="25" t="n">
        <v>1</v>
      </c>
      <c r="D3" s="24" t="n">
        <f aca="false">B3*GIRDI!$B$4+C3*GIRDI!$B$7</f>
        <v>1456</v>
      </c>
      <c r="E3" s="24" t="n">
        <f aca="false">GIRDI!$B$10-D3</f>
        <v>44</v>
      </c>
    </row>
    <row r="4" customFormat="false" ht="15" hidden="false" customHeight="true" outlineLevel="0" collapsed="false">
      <c r="A4" s="24" t="s">
        <v>84</v>
      </c>
      <c r="B4" s="25" t="n">
        <v>6</v>
      </c>
      <c r="C4" s="25" t="n">
        <v>3</v>
      </c>
      <c r="D4" s="24" t="n">
        <f aca="false">B4*GIRDI!$B$4+C4*GIRDI!$B$7</f>
        <v>1488</v>
      </c>
      <c r="E4" s="24" t="n">
        <f aca="false">GIRDI!$B$10-D4</f>
        <v>12</v>
      </c>
    </row>
    <row r="5" customFormat="false" ht="15" hidden="false" customHeight="true" outlineLevel="0" collapsed="false">
      <c r="A5" s="24" t="s">
        <v>85</v>
      </c>
      <c r="B5" s="25" t="n">
        <v>0</v>
      </c>
      <c r="C5" s="25" t="n">
        <v>8</v>
      </c>
      <c r="D5" s="24" t="n">
        <f aca="false">B5*GIRDI!$B$4+C5*GIRDI!$B$7</f>
        <v>896</v>
      </c>
      <c r="E5" s="24" t="n">
        <f aca="false">GIRDI!$B$10-D5</f>
        <v>604</v>
      </c>
    </row>
    <row r="6" customFormat="false" ht="15" hidden="false" customHeight="true" outlineLevel="0" collapsed="false">
      <c r="A6" s="26" t="s">
        <v>86</v>
      </c>
      <c r="B6" s="26" t="n">
        <f aca="false">SUM(B2:B5)</f>
        <v>20</v>
      </c>
      <c r="C6" s="26" t="n">
        <f aca="false">SUM(C2:C5)</f>
        <v>13</v>
      </c>
    </row>
    <row r="7" customFormat="false" ht="15" hidden="false" customHeight="true" outlineLevel="0" collapsed="false">
      <c r="A7" s="26" t="s">
        <v>87</v>
      </c>
      <c r="B7" s="26" t="n">
        <f aca="false">GIRDI!B2</f>
        <v>20</v>
      </c>
      <c r="C7" s="26" t="n">
        <f aca="false">GIRDI!B5</f>
        <v>13</v>
      </c>
    </row>
    <row r="8" customFormat="false" ht="15" hidden="false" customHeight="true" outlineLevel="0" collapsed="false">
      <c r="A8" s="26" t="s">
        <v>88</v>
      </c>
      <c r="B8" s="26" t="str">
        <f aca="false">IF(B6&gt;=B7,"OK","EKSİK")</f>
        <v>OK</v>
      </c>
      <c r="C8" s="26" t="str">
        <f aca="false">IF(C6&gt;=C7,"OK","EKSİK")</f>
        <v>OK</v>
      </c>
    </row>
    <row r="9" customFormat="false" ht="15" hidden="false" customHeight="true" outlineLevel="0" collapsed="false">
      <c r="A9" s="26" t="s">
        <v>89</v>
      </c>
      <c r="B9" s="26" t="str">
        <f aca="false">IF(MIN(E2:E5)&gt;=0,"OK","TAŞMA")</f>
        <v>OK</v>
      </c>
      <c r="C9" s="26"/>
    </row>
    <row r="12" customFormat="false" ht="15" hidden="false" customHeight="true" outlineLevel="0" collapsed="false">
      <c r="A12" s="26" t="s">
        <v>90</v>
      </c>
      <c r="B12" s="27" t="n">
        <f aca="false">COUNTIF(D2:D5,"&gt;0")</f>
        <v>4</v>
      </c>
    </row>
    <row r="13" customFormat="false" ht="15" hidden="false" customHeight="true" outlineLevel="0" collapsed="false">
      <c r="A13" s="26" t="s">
        <v>91</v>
      </c>
      <c r="B13" s="27" t="n">
        <f aca="false">B12*GIRDI!B10*GIRDI!B11*GIRDI!B8*GIRDI!B9/1000000</f>
        <v>282.6</v>
      </c>
    </row>
    <row r="14" customFormat="false" ht="15" hidden="false" customHeight="true" outlineLevel="0" collapsed="false">
      <c r="A14" s="26" t="s">
        <v>92</v>
      </c>
      <c r="B14" s="27" t="n">
        <f aca="false">B13-BOM!E19</f>
        <v>33.1584</v>
      </c>
    </row>
    <row r="16" customFormat="false" ht="15" hidden="false" customHeight="true" outlineLevel="0" collapsed="false">
      <c r="A16" s="23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5"/>
  </cols>
  <sheetData>
    <row r="1" customFormat="false" ht="15" hidden="false" customHeight="true" outlineLevel="0" collapsed="false">
      <c r="A1" s="28" t="s">
        <v>94</v>
      </c>
      <c r="B1" s="28" t="s">
        <v>95</v>
      </c>
    </row>
    <row r="2" customFormat="false" ht="15" hidden="false" customHeight="true" outlineLevel="0" collapsed="false">
      <c r="A2" s="29" t="n">
        <v>1</v>
      </c>
      <c r="B2" s="30" t="s">
        <v>96</v>
      </c>
    </row>
    <row r="3" customFormat="false" ht="23.25" hidden="false" customHeight="true" outlineLevel="0" collapsed="false">
      <c r="A3" s="29" t="n">
        <v>2</v>
      </c>
      <c r="B3" s="30" t="s">
        <v>97</v>
      </c>
    </row>
    <row r="4" customFormat="false" ht="23.25" hidden="false" customHeight="true" outlineLevel="0" collapsed="false">
      <c r="A4" s="29" t="n">
        <v>3</v>
      </c>
      <c r="B4" s="30" t="s">
        <v>98</v>
      </c>
    </row>
    <row r="5" customFormat="false" ht="15" hidden="false" customHeight="true" outlineLevel="0" collapsed="false">
      <c r="A5" s="29" t="n">
        <v>4</v>
      </c>
      <c r="B5" s="30" t="s">
        <v>99</v>
      </c>
    </row>
    <row r="6" customFormat="false" ht="15" hidden="false" customHeight="true" outlineLevel="0" collapsed="false">
      <c r="A6" s="29" t="n">
        <v>5</v>
      </c>
      <c r="B6" s="30" t="s">
        <v>100</v>
      </c>
    </row>
    <row r="7" customFormat="false" ht="15" hidden="false" customHeight="true" outlineLevel="0" collapsed="false">
      <c r="A7" s="29" t="n">
        <v>6</v>
      </c>
      <c r="B7" s="30" t="s">
        <v>101</v>
      </c>
    </row>
    <row r="8" customFormat="false" ht="15" hidden="false" customHeight="true" outlineLevel="0" collapsed="false">
      <c r="A8" s="29" t="n">
        <v>7</v>
      </c>
      <c r="B8" s="30" t="s">
        <v>102</v>
      </c>
    </row>
    <row r="9" customFormat="false" ht="15" hidden="false" customHeight="true" outlineLevel="0" collapsed="false">
      <c r="A9" s="29" t="n">
        <v>8</v>
      </c>
      <c r="B9" s="30" t="s">
        <v>103</v>
      </c>
    </row>
    <row r="10" customFormat="false" ht="15" hidden="false" customHeight="true" outlineLevel="0" collapsed="false">
      <c r="A10" s="29" t="n">
        <v>9</v>
      </c>
      <c r="B10" s="30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2026-09-29T04:38:41Z</dcterms:created>
  <dc:creator>openpyxl</dc:creator>
  <dc:description/>
  <dc:language>en-US</dc:language>
  <cp:lastModifiedBy/>
  <dcterms:modified xsi:type="dcterms:W3CDTF">2026-09-29T04:38:49Z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