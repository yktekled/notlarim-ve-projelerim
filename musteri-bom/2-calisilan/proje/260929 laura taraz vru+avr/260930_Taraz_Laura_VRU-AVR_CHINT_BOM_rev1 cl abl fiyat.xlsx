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9 laura taraz vru+avr\"/>
    </mc:Choice>
  </mc:AlternateContent>
  <xr:revisionPtr revIDLastSave="0" documentId="13_ncr:1_{56B1F397-06C7-4D21-9022-405854AF823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TEKLIF!$A$1:$H$68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3" i="4" l="1"/>
  <c r="J53" i="4" s="1"/>
  <c r="I52" i="4"/>
  <c r="I51" i="4"/>
  <c r="I50" i="4"/>
  <c r="I49" i="4"/>
  <c r="J49" i="4" s="1"/>
  <c r="I48" i="4"/>
  <c r="J48" i="4" s="1"/>
  <c r="I47" i="4"/>
  <c r="J47" i="4" s="1"/>
  <c r="I46" i="4"/>
  <c r="J46" i="4" s="1"/>
  <c r="I44" i="4"/>
  <c r="J50" i="4" l="1"/>
  <c r="J52" i="4"/>
  <c r="J51" i="4"/>
  <c r="G44" i="4"/>
  <c r="I27" i="4" l="1"/>
  <c r="I17" i="4"/>
  <c r="J17" i="4" l="1"/>
  <c r="J27" i="4"/>
  <c r="K17" i="4" l="1"/>
  <c r="G17" i="4"/>
  <c r="K27" i="4"/>
  <c r="G27" i="4"/>
  <c r="I40" i="4" l="1"/>
  <c r="I35" i="4"/>
  <c r="I26" i="4"/>
  <c r="I31" i="4"/>
  <c r="J35" i="4" l="1"/>
  <c r="J40" i="4"/>
  <c r="J26" i="4"/>
  <c r="J31" i="4"/>
  <c r="K35" i="4" l="1"/>
  <c r="G35" i="4"/>
  <c r="K40" i="4"/>
  <c r="G40" i="4"/>
  <c r="K26" i="4"/>
  <c r="G26" i="4"/>
  <c r="K31" i="4"/>
  <c r="G31" i="4"/>
  <c r="G34" i="4" l="1"/>
  <c r="G25" i="4" l="1"/>
  <c r="G30" i="4"/>
  <c r="G23" i="4"/>
  <c r="G42" i="4"/>
  <c r="G33" i="4"/>
  <c r="G20" i="4"/>
  <c r="G18" i="4"/>
  <c r="G28" i="4"/>
  <c r="G38" i="4"/>
  <c r="G29" i="4"/>
  <c r="G24" i="4"/>
  <c r="G19" i="4"/>
  <c r="I22" i="4" l="1"/>
  <c r="I23" i="4" l="1"/>
  <c r="I24" i="4"/>
  <c r="I18" i="4"/>
  <c r="I19" i="4"/>
  <c r="I25" i="4"/>
  <c r="I34" i="4"/>
  <c r="I42" i="4"/>
  <c r="I30" i="4"/>
  <c r="I20" i="4"/>
  <c r="I29" i="4"/>
  <c r="I28" i="4"/>
  <c r="I16" i="4"/>
  <c r="I33" i="4"/>
  <c r="I38" i="4"/>
  <c r="I21" i="4"/>
  <c r="J16" i="4"/>
  <c r="J21" i="4"/>
  <c r="J22" i="4"/>
  <c r="J18" i="4" l="1"/>
  <c r="J28" i="4"/>
  <c r="J29" i="4"/>
  <c r="J19" i="4"/>
  <c r="J33" i="4"/>
  <c r="J24" i="4"/>
  <c r="J42" i="4"/>
  <c r="J38" i="4"/>
  <c r="J20" i="4"/>
  <c r="J23" i="4"/>
  <c r="J25" i="4"/>
  <c r="J34" i="4"/>
  <c r="J30" i="4"/>
  <c r="K16" i="4"/>
  <c r="G16" i="4"/>
  <c r="K21" i="4"/>
  <c r="G21" i="4"/>
  <c r="K22" i="4"/>
  <c r="G22" i="4"/>
  <c r="K18" i="4" l="1"/>
  <c r="K28" i="4"/>
  <c r="K29" i="4"/>
  <c r="K19" i="4"/>
  <c r="K33" i="4"/>
  <c r="K24" i="4"/>
  <c r="K42" i="4"/>
  <c r="K38" i="4"/>
  <c r="K20" i="4"/>
  <c r="K23" i="4"/>
  <c r="K25" i="4"/>
  <c r="K34" i="4"/>
  <c r="K30" i="4"/>
  <c r="I37" i="4"/>
  <c r="I32" i="4" l="1"/>
  <c r="I43" i="4"/>
  <c r="I41" i="4"/>
  <c r="I36" i="4" l="1"/>
  <c r="I39" i="4"/>
  <c r="J32" i="4"/>
  <c r="J37" i="4"/>
  <c r="J41" i="4"/>
  <c r="J43" i="4"/>
  <c r="K32" i="4" l="1"/>
  <c r="G32" i="4"/>
  <c r="K37" i="4"/>
  <c r="G37" i="4"/>
  <c r="K41" i="4"/>
  <c r="G41" i="4"/>
  <c r="K43" i="4"/>
  <c r="G43" i="4"/>
  <c r="J36" i="4"/>
  <c r="J39" i="4"/>
  <c r="K36" i="4" l="1"/>
  <c r="G36" i="4"/>
  <c r="K39" i="4"/>
  <c r="G39" i="4"/>
  <c r="K44" i="4" l="1"/>
</calcChain>
</file>

<file path=xl/sharedStrings.xml><?xml version="1.0" encoding="utf-8"?>
<sst xmlns="http://schemas.openxmlformats.org/spreadsheetml/2006/main" count="112" uniqueCount="70">
  <si>
    <t>Блок 1 ВРУ-1 (ВРУ1-13-10) (260929 Laura)</t>
  </si>
  <si>
    <t>TEKLED electric</t>
  </si>
  <si>
    <t>Блок 1 ВРУ-2 (ВРУ1-50-00) (260929 Laura)</t>
  </si>
  <si>
    <t>Блок 1 АВР-1 (АВР-3-160-2-У) (260929 Laura)</t>
  </si>
  <si>
    <t>Блок 1 АВР-2 (АВР-3-160-2, Ip=100A) (260929 Laura)</t>
  </si>
  <si>
    <t>Блок 1 ВРУ-3 (ВРУ1-41-00) (260929 Laura)</t>
  </si>
  <si>
    <t>Блок 2,3 ВРУ-1 (ВРУ1-13-10) (260929 Laura)</t>
  </si>
  <si>
    <t>Блок 2,3 ВРУ-2 (ВРУ1-50-00) (260929 Laura)</t>
  </si>
  <si>
    <t>Блок 2,3 АВР-1 (АВР-3-100-2-У) (260929 Laura)</t>
  </si>
  <si>
    <t>Блок 2,3 АВР-2 (АВР-3-100-2) (260929 Laura)</t>
  </si>
  <si>
    <t>Блок 2,3 ВРУ-3 (ВРУ1-41-00) (260929 Laura)</t>
  </si>
  <si>
    <t>Блок 4,5 ВРУ-1 (ВРУ1-13-10) (260929 Laura)</t>
  </si>
  <si>
    <t>Блок 4,5 ВРУ-2 (ВРУ1-50-00) (260929 Laura)</t>
  </si>
  <si>
    <t>Блок 4,5 АВР-1 (АВР-3-100-2-У) (260929 Laura)</t>
  </si>
  <si>
    <t>Блок 4,5 АВР-2 (АВР-3-100-2) (260929 Laura)</t>
  </si>
  <si>
    <t>Блок 4,5 ВРУ-3 (ВРУ1-41-00) (260929 Laura)</t>
  </si>
  <si>
    <t>Блок 6 ВРУ-1.1 (ВРУ1-17-70, АВР 1000A) (260929 Laura)</t>
  </si>
  <si>
    <t>Блок 6 ВРУ-1.2 (ВРУ1-50-00 ×2, с БАУО) (260929 Laura)</t>
  </si>
  <si>
    <t>Блок 6 АВР-1 (АВР-3-100-2-У) (260929 Laura)</t>
  </si>
  <si>
    <t>Блок 6 ВРУ-3 (ВРУ1-41-00) (260929 Laura)</t>
  </si>
  <si>
    <t>Блок 8,9 ВРУ-1.1 (ВРУ1-17-70, АВР 1000A) (260929 Laura)</t>
  </si>
  <si>
    <t>Блок 8,9 ВРУ-1.2 (ВРУ1-50-00 ×2) (260929 Laura)</t>
  </si>
  <si>
    <t>Блок 8,9 ВРУ-1.3 (ВРУ1-50-00 ×2) (260929 Laura)</t>
  </si>
  <si>
    <t>Блок 8,9 АВР (АВР-3-250-2-У) (260929 Laura)</t>
  </si>
  <si>
    <t>Блок 8,9 ВРУ-3 (ВРУ1-41-00) (260929 Laura)</t>
  </si>
  <si>
    <t>Блок 10 ВРУ-1 (ВРУ1-17-70, АВР 630A) (260929 Laura)</t>
  </si>
  <si>
    <t>Блок 10 ВРУ-2 (ВРУ1-50-00) (260929 Laura)</t>
  </si>
  <si>
    <t>Блок 10 АВР (АВР-3-100-2-У) (260929 Laura)</t>
  </si>
  <si>
    <t>Блок 10 ВРУ-3 (ВРУ1-41-00) (260929 Laura)</t>
  </si>
  <si>
    <t>Laura</t>
  </si>
  <si>
    <t>Многопрофильная больница на 300 коек с поликлиникой (ВРУ + АВР)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</si>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</sst>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34</xdr:row>
      <xdr:rowOff>142920</xdr:rowOff>
    </xdr:from>
    <xdr:to>
      <xdr:col>1</xdr:col>
      <xdr:colOff>1228320</xdr:colOff>
      <xdr:row>34</xdr:row>
      <xdr:rowOff>390240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306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35</xdr:row>
      <xdr:rowOff>142920</xdr:rowOff>
    </xdr:from>
    <xdr:to>
      <xdr:col>1</xdr:col>
      <xdr:colOff>1228320</xdr:colOff>
      <xdr:row>35</xdr:row>
      <xdr:rowOff>390240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839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36</xdr:row>
      <xdr:rowOff>142920</xdr:rowOff>
    </xdr:from>
    <xdr:to>
      <xdr:col>1</xdr:col>
      <xdr:colOff>1228320</xdr:colOff>
      <xdr:row>36</xdr:row>
      <xdr:rowOff>390240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373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37</xdr:row>
      <xdr:rowOff>142920</xdr:rowOff>
    </xdr:from>
    <xdr:to>
      <xdr:col>1</xdr:col>
      <xdr:colOff>1228320</xdr:colOff>
      <xdr:row>37</xdr:row>
      <xdr:rowOff>390240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906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38</xdr:row>
      <xdr:rowOff>142920</xdr:rowOff>
    </xdr:from>
    <xdr:to>
      <xdr:col>1</xdr:col>
      <xdr:colOff>1228320</xdr:colOff>
      <xdr:row>38</xdr:row>
      <xdr:rowOff>390240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440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39</xdr:row>
      <xdr:rowOff>142920</xdr:rowOff>
    </xdr:from>
    <xdr:to>
      <xdr:col>1</xdr:col>
      <xdr:colOff>1228320</xdr:colOff>
      <xdr:row>39</xdr:row>
      <xdr:rowOff>390240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973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40</xdr:row>
      <xdr:rowOff>142920</xdr:rowOff>
    </xdr:from>
    <xdr:to>
      <xdr:col>1</xdr:col>
      <xdr:colOff>1228320</xdr:colOff>
      <xdr:row>40</xdr:row>
      <xdr:rowOff>390240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7507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41</xdr:row>
      <xdr:rowOff>142920</xdr:rowOff>
    </xdr:from>
    <xdr:to>
      <xdr:col>1</xdr:col>
      <xdr:colOff>1228320</xdr:colOff>
      <xdr:row>41</xdr:row>
      <xdr:rowOff>390240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040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42</xdr:row>
      <xdr:rowOff>142920</xdr:rowOff>
    </xdr:from>
    <xdr:to>
      <xdr:col>1</xdr:col>
      <xdr:colOff>1228320</xdr:colOff>
      <xdr:row>42</xdr:row>
      <xdr:rowOff>390240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573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66</xdr:row>
      <xdr:rowOff>19080</xdr:rowOff>
    </xdr:from>
    <xdr:to>
      <xdr:col>2</xdr:col>
      <xdr:colOff>2666580</xdr:colOff>
      <xdr:row>66</xdr:row>
      <xdr:rowOff>399600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244220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2786DD-0C74-4B6E-87DB-F02DC522E036}">
  <we:reference id="wa200006007" version="1.2.3.0" store="tr-TR" storeType="OMEX"/>
  <we:alternateReferences>
    <we:reference id="WA200006007" version="1.2.3.0" store="" storeType="OMEX"/>
  </we:alternateReferences>
  <we:properties>
    <we:property name="document_UID" value="&quot;63913795-9e4f-427e-8755-7c1a4c76568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7"/>
  <sheetViews>
    <sheetView showGridLines="0" tabSelected="1" topLeftCell="A39" zoomScaleNormal="100" workbookViewId="0">
      <selection activeCell="Q47" sqref="Q47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33.28515625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14" t="s">
        <v>1</v>
      </c>
      <c r="H1" s="14"/>
    </row>
    <row r="2" spans="1:11" ht="30" customHeight="1" x14ac:dyDescent="0.25">
      <c r="G2" s="14"/>
      <c r="H2" s="14"/>
    </row>
    <row r="3" spans="1:11" ht="13.5" customHeight="1" x14ac:dyDescent="0.25">
      <c r="G3" s="14"/>
      <c r="H3" s="14"/>
    </row>
    <row r="5" spans="1:11" ht="27.75" customHeight="1" x14ac:dyDescent="0.25">
      <c r="A5" s="15" t="s">
        <v>34</v>
      </c>
      <c r="B5" s="15"/>
      <c r="C5" s="15"/>
      <c r="D5" s="15"/>
      <c r="E5" s="15"/>
      <c r="F5" s="15"/>
      <c r="G5" s="15"/>
      <c r="H5" s="15"/>
    </row>
    <row r="7" spans="1:11" ht="15.75" customHeight="1" x14ac:dyDescent="0.25">
      <c r="A7" s="16" t="s">
        <v>35</v>
      </c>
      <c r="B7" s="16"/>
      <c r="C7" s="2">
        <v>98909000</v>
      </c>
      <c r="D7" s="17" t="s">
        <v>36</v>
      </c>
      <c r="E7" s="17"/>
      <c r="F7" s="18" t="s">
        <v>29</v>
      </c>
      <c r="G7" s="18"/>
      <c r="H7" s="18"/>
    </row>
    <row r="8" spans="1:11" ht="27.75" customHeight="1" x14ac:dyDescent="0.25">
      <c r="A8" s="16" t="s">
        <v>37</v>
      </c>
      <c r="B8" s="16"/>
      <c r="C8" s="4">
        <v>46294</v>
      </c>
      <c r="D8" s="17" t="s">
        <v>38</v>
      </c>
      <c r="E8" s="17"/>
      <c r="F8" s="18" t="s">
        <v>62</v>
      </c>
      <c r="G8" s="18"/>
      <c r="H8" s="18"/>
    </row>
    <row r="9" spans="1:11" ht="27.75" customHeight="1" x14ac:dyDescent="0.25">
      <c r="D9" s="17" t="s">
        <v>39</v>
      </c>
      <c r="E9" s="17"/>
      <c r="F9" s="18" t="s">
        <v>30</v>
      </c>
      <c r="G9" s="18"/>
      <c r="H9" s="18"/>
    </row>
    <row r="10" spans="1:11" ht="15" customHeight="1" x14ac:dyDescent="0.25">
      <c r="D10" s="17" t="s">
        <v>40</v>
      </c>
      <c r="E10" s="17"/>
      <c r="F10" s="18" t="s">
        <v>62</v>
      </c>
      <c r="G10" s="18"/>
      <c r="H10" s="18"/>
    </row>
    <row r="11" spans="1:11" ht="15" customHeight="1" x14ac:dyDescent="0.25">
      <c r="D11" s="17" t="s">
        <v>41</v>
      </c>
      <c r="E11" s="17"/>
      <c r="F11" s="18" t="s">
        <v>62</v>
      </c>
      <c r="G11" s="18"/>
      <c r="H11" s="18"/>
    </row>
    <row r="12" spans="1:11" ht="15" customHeight="1" x14ac:dyDescent="0.25">
      <c r="D12" s="17" t="s">
        <v>42</v>
      </c>
      <c r="E12" s="17"/>
      <c r="F12" s="18" t="s">
        <v>62</v>
      </c>
      <c r="G12" s="18"/>
      <c r="H12" s="18"/>
    </row>
    <row r="13" spans="1:11" ht="15" customHeight="1" x14ac:dyDescent="0.25">
      <c r="D13" s="17" t="s">
        <v>43</v>
      </c>
      <c r="E13" s="17"/>
      <c r="F13" s="18" t="s">
        <v>62</v>
      </c>
      <c r="G13" s="18"/>
      <c r="H13" s="18"/>
    </row>
    <row r="15" spans="1:11" ht="39.75" customHeight="1" x14ac:dyDescent="0.25">
      <c r="A15" s="5" t="s">
        <v>44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49</v>
      </c>
      <c r="G15" s="5" t="s">
        <v>50</v>
      </c>
      <c r="H15" s="5" t="s">
        <v>51</v>
      </c>
      <c r="I15" s="3" t="s">
        <v>52</v>
      </c>
      <c r="J15" s="3" t="s">
        <v>53</v>
      </c>
      <c r="K15" s="3" t="s">
        <v>54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55</v>
      </c>
      <c r="F16" s="10">
        <v>3313695</v>
      </c>
      <c r="G16" s="10">
        <f t="shared" ref="G16:G43" si="0">IF(F16="","",D16*F16)</f>
        <v>3313695</v>
      </c>
      <c r="H16" s="6">
        <v>45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43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55</v>
      </c>
      <c r="F17" s="10">
        <v>790586</v>
      </c>
      <c r="G17" s="10">
        <f t="shared" si="0"/>
        <v>790586</v>
      </c>
      <c r="H17" s="6">
        <v>45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55</v>
      </c>
      <c r="F18" s="10">
        <v>1124004</v>
      </c>
      <c r="G18" s="10">
        <f t="shared" si="0"/>
        <v>1124004</v>
      </c>
      <c r="H18" s="6">
        <v>45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55</v>
      </c>
      <c r="F19" s="10">
        <v>851181</v>
      </c>
      <c r="G19" s="10">
        <f t="shared" si="0"/>
        <v>851181</v>
      </c>
      <c r="H19" s="6">
        <v>45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5</v>
      </c>
      <c r="D20" s="9">
        <v>1</v>
      </c>
      <c r="E20" s="6" t="s">
        <v>55</v>
      </c>
      <c r="F20" s="10">
        <v>299876</v>
      </c>
      <c r="G20" s="10">
        <f t="shared" si="0"/>
        <v>299876</v>
      </c>
      <c r="H20" s="6">
        <v>45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6</v>
      </c>
      <c r="D21" s="9">
        <v>1</v>
      </c>
      <c r="E21" s="6" t="s">
        <v>55</v>
      </c>
      <c r="F21" s="10">
        <v>1539434</v>
      </c>
      <c r="G21" s="10">
        <f t="shared" si="0"/>
        <v>1539434</v>
      </c>
      <c r="H21" s="6">
        <v>45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7</v>
      </c>
      <c r="D22" s="9">
        <v>1</v>
      </c>
      <c r="E22" s="6" t="s">
        <v>55</v>
      </c>
      <c r="F22" s="10">
        <v>671389</v>
      </c>
      <c r="G22" s="10">
        <f t="shared" si="0"/>
        <v>671389</v>
      </c>
      <c r="H22" s="6">
        <v>45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8</v>
      </c>
      <c r="D23" s="9">
        <v>1</v>
      </c>
      <c r="E23" s="6" t="s">
        <v>55</v>
      </c>
      <c r="F23" s="10">
        <v>921024</v>
      </c>
      <c r="G23" s="10">
        <f t="shared" si="0"/>
        <v>921024</v>
      </c>
      <c r="H23" s="6">
        <v>45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9</v>
      </c>
      <c r="D24" s="9">
        <v>1</v>
      </c>
      <c r="E24" s="6" t="s">
        <v>55</v>
      </c>
      <c r="F24" s="10">
        <v>688292</v>
      </c>
      <c r="G24" s="10">
        <f t="shared" si="0"/>
        <v>688292</v>
      </c>
      <c r="H24" s="6">
        <v>45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42" customHeight="1" x14ac:dyDescent="0.25">
      <c r="A25" s="6">
        <v>10</v>
      </c>
      <c r="B25" s="7"/>
      <c r="C25" s="8" t="s">
        <v>10</v>
      </c>
      <c r="D25" s="9">
        <v>1</v>
      </c>
      <c r="E25" s="6" t="s">
        <v>55</v>
      </c>
      <c r="F25" s="10">
        <v>274105</v>
      </c>
      <c r="G25" s="10">
        <f t="shared" si="0"/>
        <v>274105</v>
      </c>
      <c r="H25" s="6">
        <v>45</v>
      </c>
      <c r="I25" s="3" t="e">
        <f>TRIM(#REF!&amp;" "&amp;#REF!)</f>
        <v>#REF!</v>
      </c>
      <c r="J25" s="11" t="e">
        <f>IF(KAR_ORANI="","",ROUND(#REF!*(1+KAR_ORANI)*(1-ISKONTO),0))</f>
        <v>#REF!</v>
      </c>
      <c r="K25" s="11" t="e">
        <f t="shared" si="1"/>
        <v>#REF!</v>
      </c>
    </row>
    <row r="26" spans="1:11" ht="42" customHeight="1" x14ac:dyDescent="0.25">
      <c r="A26" s="6">
        <v>11</v>
      </c>
      <c r="B26" s="7"/>
      <c r="C26" s="8" t="s">
        <v>11</v>
      </c>
      <c r="D26" s="9">
        <v>1</v>
      </c>
      <c r="E26" s="6" t="s">
        <v>55</v>
      </c>
      <c r="F26" s="10">
        <v>1880539</v>
      </c>
      <c r="G26" s="10">
        <f t="shared" si="0"/>
        <v>1880539</v>
      </c>
      <c r="H26" s="6">
        <v>45</v>
      </c>
      <c r="I26" s="3" t="e">
        <f>TRIM(#REF!&amp;" "&amp;#REF!)</f>
        <v>#REF!</v>
      </c>
      <c r="J26" s="11" t="e">
        <f>IF(KAR_ORANI="","",ROUND(#REF!*(1+KAR_ORANI)*(1-ISKONTO),0))</f>
        <v>#REF!</v>
      </c>
      <c r="K26" s="11" t="e">
        <f t="shared" si="1"/>
        <v>#REF!</v>
      </c>
    </row>
    <row r="27" spans="1:11" ht="42" customHeight="1" x14ac:dyDescent="0.25">
      <c r="A27" s="6">
        <v>12</v>
      </c>
      <c r="B27" s="7"/>
      <c r="C27" s="8" t="s">
        <v>12</v>
      </c>
      <c r="D27" s="9">
        <v>1</v>
      </c>
      <c r="E27" s="6" t="s">
        <v>55</v>
      </c>
      <c r="F27" s="10">
        <v>827685</v>
      </c>
      <c r="G27" s="10">
        <f t="shared" si="0"/>
        <v>827685</v>
      </c>
      <c r="H27" s="6">
        <v>45</v>
      </c>
      <c r="I27" s="3" t="e">
        <f>TRIM(#REF!&amp;" "&amp;#REF!)</f>
        <v>#REF!</v>
      </c>
      <c r="J27" s="11" t="e">
        <f>IF(KAR_ORANI="","",ROUND(#REF!*(1+KAR_ORANI)*(1-ISKONTO),0))</f>
        <v>#REF!</v>
      </c>
      <c r="K27" s="11" t="e">
        <f t="shared" si="1"/>
        <v>#REF!</v>
      </c>
    </row>
    <row r="28" spans="1:11" ht="42" customHeight="1" x14ac:dyDescent="0.25">
      <c r="A28" s="6">
        <v>13</v>
      </c>
      <c r="B28" s="7"/>
      <c r="C28" s="8" t="s">
        <v>13</v>
      </c>
      <c r="D28" s="9">
        <v>1</v>
      </c>
      <c r="E28" s="6" t="s">
        <v>55</v>
      </c>
      <c r="F28" s="10">
        <v>898142</v>
      </c>
      <c r="G28" s="10">
        <f t="shared" si="0"/>
        <v>898142</v>
      </c>
      <c r="H28" s="6">
        <v>45</v>
      </c>
      <c r="I28" s="3" t="e">
        <f>TRIM(#REF!&amp;" "&amp;#REF!)</f>
        <v>#REF!</v>
      </c>
      <c r="J28" s="11" t="e">
        <f>IF(KAR_ORANI="","",ROUND(#REF!*(1+KAR_ORANI)*(1-ISKONTO),0))</f>
        <v>#REF!</v>
      </c>
      <c r="K28" s="11" t="e">
        <f t="shared" si="1"/>
        <v>#REF!</v>
      </c>
    </row>
    <row r="29" spans="1:11" ht="42" customHeight="1" x14ac:dyDescent="0.25">
      <c r="A29" s="6">
        <v>14</v>
      </c>
      <c r="B29" s="7"/>
      <c r="C29" s="8" t="s">
        <v>14</v>
      </c>
      <c r="D29" s="9">
        <v>1</v>
      </c>
      <c r="E29" s="6" t="s">
        <v>55</v>
      </c>
      <c r="F29" s="10">
        <v>688292</v>
      </c>
      <c r="G29" s="10">
        <f t="shared" si="0"/>
        <v>688292</v>
      </c>
      <c r="H29" s="6">
        <v>45</v>
      </c>
      <c r="I29" s="3" t="e">
        <f>TRIM(#REF!&amp;" "&amp;#REF!)</f>
        <v>#REF!</v>
      </c>
      <c r="J29" s="11" t="e">
        <f>IF(KAR_ORANI="","",ROUND(#REF!*(1+KAR_ORANI)*(1-ISKONTO),0))</f>
        <v>#REF!</v>
      </c>
      <c r="K29" s="11" t="e">
        <f t="shared" si="1"/>
        <v>#REF!</v>
      </c>
    </row>
    <row r="30" spans="1:11" ht="42" customHeight="1" x14ac:dyDescent="0.25">
      <c r="A30" s="6">
        <v>15</v>
      </c>
      <c r="B30" s="7"/>
      <c r="C30" s="8" t="s">
        <v>15</v>
      </c>
      <c r="D30" s="9">
        <v>1</v>
      </c>
      <c r="E30" s="6" t="s">
        <v>55</v>
      </c>
      <c r="F30" s="10">
        <v>344762</v>
      </c>
      <c r="G30" s="10">
        <f t="shared" si="0"/>
        <v>344762</v>
      </c>
      <c r="H30" s="6">
        <v>45</v>
      </c>
      <c r="I30" s="3" t="e">
        <f>TRIM(#REF!&amp;" "&amp;#REF!)</f>
        <v>#REF!</v>
      </c>
      <c r="J30" s="11" t="e">
        <f>IF(KAR_ORANI="","",ROUND(#REF!*(1+KAR_ORANI)*(1-ISKONTO),0))</f>
        <v>#REF!</v>
      </c>
      <c r="K30" s="11" t="e">
        <f t="shared" si="1"/>
        <v>#REF!</v>
      </c>
    </row>
    <row r="31" spans="1:11" ht="42" customHeight="1" x14ac:dyDescent="0.25">
      <c r="A31" s="6">
        <v>16</v>
      </c>
      <c r="B31" s="7"/>
      <c r="C31" s="8" t="s">
        <v>16</v>
      </c>
      <c r="D31" s="9">
        <v>1</v>
      </c>
      <c r="E31" s="6" t="s">
        <v>55</v>
      </c>
      <c r="F31" s="10">
        <v>3563452</v>
      </c>
      <c r="G31" s="10">
        <f t="shared" si="0"/>
        <v>3563452</v>
      </c>
      <c r="H31" s="6">
        <v>45</v>
      </c>
      <c r="I31" s="3" t="e">
        <f>TRIM(#REF!&amp;" "&amp;#REF!)</f>
        <v>#REF!</v>
      </c>
      <c r="J31" s="11" t="e">
        <f>IF(KAR_ORANI="","",ROUND(#REF!*(1+KAR_ORANI)*(1-ISKONTO),0))</f>
        <v>#REF!</v>
      </c>
      <c r="K31" s="11" t="e">
        <f t="shared" si="1"/>
        <v>#REF!</v>
      </c>
    </row>
    <row r="32" spans="1:11" ht="42" customHeight="1" x14ac:dyDescent="0.25">
      <c r="A32" s="6">
        <v>17</v>
      </c>
      <c r="B32" s="7"/>
      <c r="C32" s="8" t="s">
        <v>17</v>
      </c>
      <c r="D32" s="9">
        <v>1</v>
      </c>
      <c r="E32" s="6" t="s">
        <v>55</v>
      </c>
      <c r="F32" s="10">
        <v>2023433</v>
      </c>
      <c r="G32" s="10">
        <f t="shared" si="0"/>
        <v>2023433</v>
      </c>
      <c r="H32" s="6">
        <v>45</v>
      </c>
      <c r="I32" s="3" t="e">
        <f>TRIM(#REF!&amp;" "&amp;#REF!)</f>
        <v>#REF!</v>
      </c>
      <c r="J32" s="11" t="e">
        <f>IF(KAR_ORANI="","",ROUND(#REF!*(1+KAR_ORANI)*(1-ISKONTO),0))</f>
        <v>#REF!</v>
      </c>
      <c r="K32" s="11" t="e">
        <f t="shared" si="1"/>
        <v>#REF!</v>
      </c>
    </row>
    <row r="33" spans="1:11" ht="42" customHeight="1" x14ac:dyDescent="0.25">
      <c r="A33" s="6">
        <v>18</v>
      </c>
      <c r="B33" s="7"/>
      <c r="C33" s="8" t="s">
        <v>18</v>
      </c>
      <c r="D33" s="9">
        <v>1</v>
      </c>
      <c r="E33" s="6" t="s">
        <v>55</v>
      </c>
      <c r="F33" s="10">
        <v>1079132</v>
      </c>
      <c r="G33" s="10">
        <f t="shared" si="0"/>
        <v>1079132</v>
      </c>
      <c r="H33" s="6">
        <v>45</v>
      </c>
      <c r="I33" s="3" t="e">
        <f>TRIM(#REF!&amp;" "&amp;#REF!)</f>
        <v>#REF!</v>
      </c>
      <c r="J33" s="11" t="e">
        <f>IF(KAR_ORANI="","",ROUND(#REF!*(1+KAR_ORANI)*(1-ISKONTO),0))</f>
        <v>#REF!</v>
      </c>
      <c r="K33" s="11" t="e">
        <f t="shared" si="1"/>
        <v>#REF!</v>
      </c>
    </row>
    <row r="34" spans="1:11" ht="42" customHeight="1" x14ac:dyDescent="0.25">
      <c r="A34" s="6">
        <v>19</v>
      </c>
      <c r="B34" s="7"/>
      <c r="C34" s="8" t="s">
        <v>19</v>
      </c>
      <c r="D34" s="9">
        <v>1</v>
      </c>
      <c r="E34" s="6" t="s">
        <v>55</v>
      </c>
      <c r="F34" s="10">
        <v>316883</v>
      </c>
      <c r="G34" s="10">
        <f t="shared" si="0"/>
        <v>316883</v>
      </c>
      <c r="H34" s="6">
        <v>45</v>
      </c>
      <c r="I34" s="3" t="e">
        <f>TRIM(#REF!&amp;" "&amp;#REF!)</f>
        <v>#REF!</v>
      </c>
      <c r="J34" s="11" t="e">
        <f>IF(KAR_ORANI="","",ROUND(#REF!*(1+KAR_ORANI)*(1-ISKONTO),0))</f>
        <v>#REF!</v>
      </c>
      <c r="K34" s="11" t="e">
        <f t="shared" si="1"/>
        <v>#REF!</v>
      </c>
    </row>
    <row r="35" spans="1:11" ht="42" customHeight="1" x14ac:dyDescent="0.25">
      <c r="A35" s="6">
        <v>20</v>
      </c>
      <c r="B35" s="7"/>
      <c r="C35" s="8" t="s">
        <v>20</v>
      </c>
      <c r="D35" s="9">
        <v>1</v>
      </c>
      <c r="E35" s="6" t="s">
        <v>55</v>
      </c>
      <c r="F35" s="10">
        <v>3563452</v>
      </c>
      <c r="G35" s="10">
        <f t="shared" si="0"/>
        <v>3563452</v>
      </c>
      <c r="H35" s="6">
        <v>45</v>
      </c>
      <c r="I35" s="3" t="e">
        <f>TRIM(#REF!&amp;" "&amp;#REF!)</f>
        <v>#REF!</v>
      </c>
      <c r="J35" s="11" t="e">
        <f>IF(KAR_ORANI="","",ROUND(#REF!*(1+KAR_ORANI)*(1-ISKONTO),0))</f>
        <v>#REF!</v>
      </c>
      <c r="K35" s="11" t="e">
        <f t="shared" si="1"/>
        <v>#REF!</v>
      </c>
    </row>
    <row r="36" spans="1:11" ht="42" customHeight="1" x14ac:dyDescent="0.25">
      <c r="A36" s="6">
        <v>21</v>
      </c>
      <c r="B36" s="7"/>
      <c r="C36" s="8" t="s">
        <v>21</v>
      </c>
      <c r="D36" s="9">
        <v>1</v>
      </c>
      <c r="E36" s="6" t="s">
        <v>55</v>
      </c>
      <c r="F36" s="10">
        <v>1582839</v>
      </c>
      <c r="G36" s="10">
        <f t="shared" si="0"/>
        <v>1582839</v>
      </c>
      <c r="H36" s="6">
        <v>45</v>
      </c>
      <c r="I36" s="3" t="e">
        <f>TRIM(#REF!&amp;" "&amp;#REF!)</f>
        <v>#REF!</v>
      </c>
      <c r="J36" s="11" t="e">
        <f>IF(KAR_ORANI="","",ROUND(#REF!*(1+KAR_ORANI)*(1-ISKONTO),0))</f>
        <v>#REF!</v>
      </c>
      <c r="K36" s="11" t="e">
        <f t="shared" si="1"/>
        <v>#REF!</v>
      </c>
    </row>
    <row r="37" spans="1:11" ht="42" customHeight="1" x14ac:dyDescent="0.25">
      <c r="A37" s="6">
        <v>22</v>
      </c>
      <c r="B37" s="7"/>
      <c r="C37" s="8" t="s">
        <v>22</v>
      </c>
      <c r="D37" s="9">
        <v>1</v>
      </c>
      <c r="E37" s="6" t="s">
        <v>55</v>
      </c>
      <c r="F37" s="10">
        <v>1305429</v>
      </c>
      <c r="G37" s="10">
        <f t="shared" si="0"/>
        <v>1305429</v>
      </c>
      <c r="H37" s="6">
        <v>45</v>
      </c>
      <c r="I37" s="3" t="e">
        <f>TRIM(#REF!&amp;" "&amp;#REF!)</f>
        <v>#REF!</v>
      </c>
      <c r="J37" s="11" t="e">
        <f>IF(KAR_ORANI="","",ROUND(#REF!*(1+KAR_ORANI)*(1-ISKONTO),0))</f>
        <v>#REF!</v>
      </c>
      <c r="K37" s="11" t="e">
        <f t="shared" si="1"/>
        <v>#REF!</v>
      </c>
    </row>
    <row r="38" spans="1:11" ht="42" customHeight="1" x14ac:dyDescent="0.25">
      <c r="A38" s="6">
        <v>23</v>
      </c>
      <c r="B38" s="7"/>
      <c r="C38" s="8" t="s">
        <v>23</v>
      </c>
      <c r="D38" s="9">
        <v>1</v>
      </c>
      <c r="E38" s="6" t="s">
        <v>55</v>
      </c>
      <c r="F38" s="10">
        <v>1095842</v>
      </c>
      <c r="G38" s="10">
        <f t="shared" si="0"/>
        <v>1095842</v>
      </c>
      <c r="H38" s="6">
        <v>45</v>
      </c>
      <c r="I38" s="3" t="e">
        <f>TRIM(#REF!&amp;" "&amp;#REF!)</f>
        <v>#REF!</v>
      </c>
      <c r="J38" s="11" t="e">
        <f>IF(KAR_ORANI="","",ROUND(#REF!*(1+KAR_ORANI)*(1-ISKONTO),0))</f>
        <v>#REF!</v>
      </c>
      <c r="K38" s="11" t="e">
        <f t="shared" si="1"/>
        <v>#REF!</v>
      </c>
    </row>
    <row r="39" spans="1:11" ht="42" customHeight="1" x14ac:dyDescent="0.25">
      <c r="A39" s="6">
        <v>24</v>
      </c>
      <c r="B39" s="7"/>
      <c r="C39" s="8" t="s">
        <v>24</v>
      </c>
      <c r="D39" s="9">
        <v>1</v>
      </c>
      <c r="E39" s="6" t="s">
        <v>55</v>
      </c>
      <c r="F39" s="10">
        <v>397211</v>
      </c>
      <c r="G39" s="10">
        <f t="shared" si="0"/>
        <v>397211</v>
      </c>
      <c r="H39" s="6">
        <v>45</v>
      </c>
      <c r="I39" s="3" t="e">
        <f>TRIM(#REF!&amp;" "&amp;#REF!)</f>
        <v>#REF!</v>
      </c>
      <c r="J39" s="11" t="e">
        <f>IF(KAR_ORANI="","",ROUND(#REF!*(1+KAR_ORANI)*(1-ISKONTO),0))</f>
        <v>#REF!</v>
      </c>
      <c r="K39" s="11" t="e">
        <f t="shared" si="1"/>
        <v>#REF!</v>
      </c>
    </row>
    <row r="40" spans="1:11" ht="42" customHeight="1" x14ac:dyDescent="0.25">
      <c r="A40" s="6">
        <v>25</v>
      </c>
      <c r="B40" s="7"/>
      <c r="C40" s="8" t="s">
        <v>25</v>
      </c>
      <c r="D40" s="9">
        <v>1</v>
      </c>
      <c r="E40" s="6" t="s">
        <v>55</v>
      </c>
      <c r="F40" s="10">
        <v>2351572</v>
      </c>
      <c r="G40" s="10">
        <f t="shared" si="0"/>
        <v>2351572</v>
      </c>
      <c r="H40" s="6">
        <v>45</v>
      </c>
      <c r="I40" s="3" t="e">
        <f>TRIM(#REF!&amp;" "&amp;#REF!)</f>
        <v>#REF!</v>
      </c>
      <c r="J40" s="11" t="e">
        <f>IF(KAR_ORANI="","",ROUND(#REF!*(1+KAR_ORANI)*(1-ISKONTO),0))</f>
        <v>#REF!</v>
      </c>
      <c r="K40" s="11" t="e">
        <f t="shared" si="1"/>
        <v>#REF!</v>
      </c>
    </row>
    <row r="41" spans="1:11" ht="42" customHeight="1" x14ac:dyDescent="0.25">
      <c r="A41" s="6">
        <v>26</v>
      </c>
      <c r="B41" s="7"/>
      <c r="C41" s="8" t="s">
        <v>26</v>
      </c>
      <c r="D41" s="9">
        <v>1</v>
      </c>
      <c r="E41" s="6" t="s">
        <v>55</v>
      </c>
      <c r="F41" s="10">
        <v>1026703</v>
      </c>
      <c r="G41" s="10">
        <f t="shared" si="0"/>
        <v>1026703</v>
      </c>
      <c r="H41" s="6">
        <v>45</v>
      </c>
      <c r="I41" s="3" t="e">
        <f>TRIM(#REF!&amp;" "&amp;#REF!)</f>
        <v>#REF!</v>
      </c>
      <c r="J41" s="11" t="e">
        <f>IF(KAR_ORANI="","",ROUND(#REF!*(1+KAR_ORANI)*(1-ISKONTO),0))</f>
        <v>#REF!</v>
      </c>
      <c r="K41" s="11" t="e">
        <f t="shared" si="1"/>
        <v>#REF!</v>
      </c>
    </row>
    <row r="42" spans="1:11" ht="42" customHeight="1" x14ac:dyDescent="0.25">
      <c r="A42" s="6">
        <v>27</v>
      </c>
      <c r="B42" s="7"/>
      <c r="C42" s="8" t="s">
        <v>27</v>
      </c>
      <c r="D42" s="9">
        <v>1</v>
      </c>
      <c r="E42" s="6" t="s">
        <v>55</v>
      </c>
      <c r="F42" s="10">
        <v>897892</v>
      </c>
      <c r="G42" s="10">
        <f t="shared" si="0"/>
        <v>897892</v>
      </c>
      <c r="H42" s="6">
        <v>45</v>
      </c>
      <c r="I42" s="3" t="e">
        <f>TRIM(#REF!&amp;" "&amp;#REF!)</f>
        <v>#REF!</v>
      </c>
      <c r="J42" s="11" t="e">
        <f>IF(KAR_ORANI="","",ROUND(#REF!*(1+KAR_ORANI)*(1-ISKONTO),0))</f>
        <v>#REF!</v>
      </c>
      <c r="K42" s="11" t="e">
        <f t="shared" si="1"/>
        <v>#REF!</v>
      </c>
    </row>
    <row r="43" spans="1:11" ht="42" customHeight="1" x14ac:dyDescent="0.25">
      <c r="A43" s="6">
        <v>28</v>
      </c>
      <c r="B43" s="7"/>
      <c r="C43" s="8" t="s">
        <v>28</v>
      </c>
      <c r="D43" s="9">
        <v>1</v>
      </c>
      <c r="E43" s="6" t="s">
        <v>55</v>
      </c>
      <c r="F43" s="10">
        <v>348769</v>
      </c>
      <c r="G43" s="10">
        <f t="shared" si="0"/>
        <v>348769</v>
      </c>
      <c r="H43" s="6">
        <v>45</v>
      </c>
      <c r="I43" s="3" t="e">
        <f>TRIM(#REF!&amp;" "&amp;#REF!)</f>
        <v>#REF!</v>
      </c>
      <c r="J43" s="11" t="e">
        <f>IF(KAR_ORANI="","",ROUND(#REF!*(1+KAR_ORANI)*(1-ISKONTO),0))</f>
        <v>#REF!</v>
      </c>
      <c r="K43" s="11" t="e">
        <f t="shared" si="1"/>
        <v>#REF!</v>
      </c>
    </row>
    <row r="44" spans="1:11" ht="21.75" customHeight="1" x14ac:dyDescent="0.25">
      <c r="A44" s="12"/>
      <c r="B44" s="5" t="s">
        <v>56</v>
      </c>
      <c r="C44" s="12"/>
      <c r="D44" s="12"/>
      <c r="E44" s="12"/>
      <c r="F44" s="12"/>
      <c r="G44" s="13">
        <f>SUM(G16:G43)</f>
        <v>34665615</v>
      </c>
      <c r="H44" s="12"/>
      <c r="I44" s="3" t="e">
        <f>IF(KAR_ORANI="","KÂR ORANI GİRİLMEDİ","")</f>
        <v>#REF!</v>
      </c>
      <c r="K44" s="11" t="e">
        <f>SUM(K16:K43)</f>
        <v>#REF!</v>
      </c>
    </row>
    <row r="46" spans="1:11" ht="24" customHeight="1" x14ac:dyDescent="0.25">
      <c r="A46" s="19" t="s">
        <v>63</v>
      </c>
      <c r="B46" s="19"/>
      <c r="C46" s="19"/>
      <c r="D46" s="19"/>
      <c r="E46" s="19"/>
      <c r="F46" s="19"/>
      <c r="G46" s="19"/>
      <c r="H46" s="19"/>
      <c r="I46" s="3" t="e">
        <f>IF(GECERLILIK&lt;&gt;"","Срок действия ценового предложения "&amp;GECERLILIK&amp;" рабочих дней.","")</f>
        <v>#REF!</v>
      </c>
      <c r="J46" s="3" t="e">
        <f>IF(I46="","",COUNTIF(I$46:I46,"?*"))</f>
        <v>#REF!</v>
      </c>
    </row>
    <row r="47" spans="1:11" ht="24" customHeight="1" x14ac:dyDescent="0.25">
      <c r="A47" s="19" t="s">
        <v>64</v>
      </c>
      <c r="B47" s="19"/>
      <c r="C47" s="19"/>
      <c r="D47" s="19"/>
      <c r="E47" s="19"/>
      <c r="F47" s="19"/>
      <c r="G47" s="19"/>
      <c r="H47" s="19"/>
      <c r="I47" s="3" t="e">
        <f>IF(TESLIM_YERI&lt;&gt;"","Место поставки: "&amp;TESLIM_YERI&amp;".","")</f>
        <v>#REF!</v>
      </c>
      <c r="J47" s="3" t="e">
        <f>IF(I47="","",COUNTIF(I$46:I47,"?*"))</f>
        <v>#REF!</v>
      </c>
    </row>
    <row r="48" spans="1:11" ht="24" customHeight="1" x14ac:dyDescent="0.25">
      <c r="A48" s="19" t="s">
        <v>65</v>
      </c>
      <c r="B48" s="19"/>
      <c r="C48" s="19"/>
      <c r="D48" s="19"/>
      <c r="E48" s="19"/>
      <c r="F48" s="19"/>
      <c r="G48" s="19"/>
      <c r="H48" s="19"/>
      <c r="I48" s="3" t="e">
        <f>IF(ODEME&lt;&gt;"","Условия оплаты: "&amp;ODEME&amp;".","")</f>
        <v>#REF!</v>
      </c>
      <c r="J48" s="3" t="e">
        <f>IF(I48="","",COUNTIF(I$46:I48,"?*"))</f>
        <v>#REF!</v>
      </c>
    </row>
    <row r="49" spans="1:10" ht="24" customHeight="1" x14ac:dyDescent="0.25">
      <c r="A49" s="19" t="s">
        <v>66</v>
      </c>
      <c r="B49" s="19"/>
      <c r="C49" s="19"/>
      <c r="D49" s="19"/>
      <c r="E49" s="19"/>
      <c r="F49" s="19"/>
      <c r="G49" s="19"/>
      <c r="H49" s="19"/>
      <c r="I49" s="3" t="e">
        <f>IF(GARANTI&lt;&gt;"","Гарантия: "&amp;GARANTI&amp;".","")</f>
        <v>#REF!</v>
      </c>
      <c r="J49" s="3" t="e">
        <f>IF(I49="","",COUNTIF(I$46:I49,"?*"))</f>
        <v>#REF!</v>
      </c>
    </row>
    <row r="50" spans="1:10" ht="24" customHeight="1" x14ac:dyDescent="0.25">
      <c r="A50" s="19" t="s">
        <v>67</v>
      </c>
      <c r="B50" s="19"/>
      <c r="C50" s="19"/>
      <c r="D50" s="19"/>
      <c r="E50" s="19"/>
      <c r="F50" s="19"/>
      <c r="G50" s="19"/>
      <c r="H50" s="19"/>
      <c r="I50" s="3" t="e">
        <f>IF(1=1,"В щитах с системой сборных шин применяются "&amp;IF(BARA_MALZEME="AL","алюминиевые (Al)","медные (Cu)")&amp;" шины.","")</f>
        <v>#REF!</v>
      </c>
      <c r="J50" s="3" t="e">
        <f>IF(I50="","",COUNTIF(I$46:I50,"?*"))</f>
        <v>#REF!</v>
      </c>
    </row>
    <row r="51" spans="1:10" ht="24" customHeight="1" x14ac:dyDescent="0.25">
      <c r="A51" s="19" t="s">
        <v>62</v>
      </c>
      <c r="B51" s="19"/>
      <c r="C51" s="19"/>
      <c r="D51" s="19"/>
      <c r="E51" s="19"/>
      <c r="F51" s="19"/>
      <c r="G51" s="19"/>
      <c r="H51" s="19"/>
      <c r="I51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51" s="3" t="e">
        <f>IF(I51="","",COUNTIF(I$46:I51,"?*"))</f>
        <v>#REF!</v>
      </c>
    </row>
    <row r="52" spans="1:10" ht="24" customHeight="1" x14ac:dyDescent="0.25">
      <c r="A52" s="19" t="s">
        <v>62</v>
      </c>
      <c r="B52" s="19"/>
      <c r="C52" s="19"/>
      <c r="D52" s="19"/>
      <c r="E52" s="19"/>
      <c r="F52" s="19"/>
      <c r="G52" s="19"/>
      <c r="H52" s="19"/>
      <c r="I52" s="3" t="e">
        <f>IF(SERTIFIKAT&lt;&gt;"",SERTIFIKAT,"")</f>
        <v>#REF!</v>
      </c>
      <c r="J52" s="3" t="e">
        <f>IF(I52="","",COUNTIF(I$46:I52,"?*"))</f>
        <v>#REF!</v>
      </c>
    </row>
    <row r="53" spans="1:10" ht="24" customHeight="1" x14ac:dyDescent="0.25">
      <c r="A53" s="19" t="s">
        <v>62</v>
      </c>
      <c r="B53" s="19"/>
      <c r="C53" s="19"/>
      <c r="D53" s="19"/>
      <c r="E53" s="19"/>
      <c r="F53" s="19"/>
      <c r="G53" s="19"/>
      <c r="H53" s="19"/>
      <c r="I53" s="3" t="e">
        <f>IF(PROJE_NOT&lt;&gt;"",PROJE_NOT,"")</f>
        <v>#REF!</v>
      </c>
      <c r="J53" s="3" t="e">
        <f>IF(I53="","",COUNTIF(I$46:I53,"?*"))</f>
        <v>#REF!</v>
      </c>
    </row>
    <row r="55" spans="1:10" ht="19.5" customHeight="1" x14ac:dyDescent="0.25">
      <c r="A55" s="20" t="s">
        <v>62</v>
      </c>
      <c r="B55" s="20"/>
      <c r="C55" s="20"/>
      <c r="D55" s="20"/>
      <c r="E55" s="20"/>
      <c r="F55" s="20"/>
      <c r="G55" s="20"/>
      <c r="H55" s="20"/>
    </row>
    <row r="57" spans="1:10" ht="15" customHeight="1" x14ac:dyDescent="0.25">
      <c r="A57" s="21" t="s">
        <v>57</v>
      </c>
      <c r="B57" s="21"/>
      <c r="C57" s="21"/>
    </row>
    <row r="58" spans="1:10" x14ac:dyDescent="0.25">
      <c r="A58" s="21" t="s">
        <v>62</v>
      </c>
      <c r="B58" s="21"/>
      <c r="C58" s="21"/>
      <c r="F58" s="21" t="s">
        <v>62</v>
      </c>
      <c r="G58" s="21"/>
      <c r="H58" s="21"/>
    </row>
    <row r="61" spans="1:10" x14ac:dyDescent="0.25">
      <c r="A61" s="22" t="s">
        <v>58</v>
      </c>
      <c r="B61" s="22"/>
      <c r="C61" s="1" t="s">
        <v>68</v>
      </c>
      <c r="E61" s="23" t="s">
        <v>59</v>
      </c>
      <c r="F61" s="23"/>
      <c r="G61" s="24" t="s">
        <v>62</v>
      </c>
      <c r="H61" s="24"/>
    </row>
    <row r="62" spans="1:10" x14ac:dyDescent="0.25">
      <c r="A62" s="22" t="s">
        <v>60</v>
      </c>
      <c r="B62" s="22"/>
      <c r="C62" s="1" t="s">
        <v>68</v>
      </c>
    </row>
    <row r="63" spans="1:10" x14ac:dyDescent="0.25">
      <c r="A63" s="22" t="s">
        <v>61</v>
      </c>
      <c r="B63" s="22"/>
      <c r="C63" s="1" t="s">
        <v>69</v>
      </c>
    </row>
    <row r="64" spans="1:10" x14ac:dyDescent="0.25">
      <c r="A64" s="22" t="s">
        <v>31</v>
      </c>
      <c r="B64" s="22"/>
      <c r="C64" s="1" t="s">
        <v>68</v>
      </c>
    </row>
    <row r="65" spans="1:3" x14ac:dyDescent="0.25">
      <c r="A65" s="22" t="s">
        <v>32</v>
      </c>
      <c r="B65" s="22"/>
      <c r="C65" s="1" t="s">
        <v>68</v>
      </c>
    </row>
    <row r="66" spans="1:3" x14ac:dyDescent="0.25">
      <c r="A66" s="22" t="s">
        <v>33</v>
      </c>
      <c r="B66" s="22"/>
      <c r="C66" s="1" t="s">
        <v>68</v>
      </c>
    </row>
    <row r="67" spans="1:3" ht="33.75" customHeight="1" x14ac:dyDescent="0.25"/>
  </sheetData>
  <mergeCells count="38">
    <mergeCell ref="A62:B62"/>
    <mergeCell ref="A63:B63"/>
    <mergeCell ref="A64:B64"/>
    <mergeCell ref="A65:B65"/>
    <mergeCell ref="A66:B66"/>
    <mergeCell ref="A55:H55"/>
    <mergeCell ref="A57:C57"/>
    <mergeCell ref="A58:C58"/>
    <mergeCell ref="F58:H58"/>
    <mergeCell ref="A61:B61"/>
    <mergeCell ref="E61:F61"/>
    <mergeCell ref="G61:H61"/>
    <mergeCell ref="A49:H49"/>
    <mergeCell ref="A50:H50"/>
    <mergeCell ref="A51:H51"/>
    <mergeCell ref="A52:H52"/>
    <mergeCell ref="A53:H53"/>
    <mergeCell ref="D13:E13"/>
    <mergeCell ref="F13:H13"/>
    <mergeCell ref="A46:H46"/>
    <mergeCell ref="A47:H47"/>
    <mergeCell ref="A48:H48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2026-09-30T03:19:33Z</dcterms:created>
  <dcterms:modified xsi:type="dcterms:W3CDTF">2026-10-01T08:26:00Z</dcterms:modified>
  <dc:language>en-US</dc:language>
</cp:coreProperties>
</file>