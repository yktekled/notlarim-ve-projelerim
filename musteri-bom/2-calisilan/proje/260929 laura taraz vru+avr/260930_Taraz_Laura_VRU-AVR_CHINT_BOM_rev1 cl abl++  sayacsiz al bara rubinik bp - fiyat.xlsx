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929 laura taraz vru+avr\"/>
    </mc:Choice>
  </mc:AlternateContent>
  <xr:revisionPtr revIDLastSave="0" documentId="13_ncr:1_{35A60778-5E47-441D-9E66-7F63CF27818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KLIF" sheetId="4" r:id="rId1"/>
  </sheets>
  <definedNames>
    <definedName name="AL_A">#REF!</definedName>
    <definedName name="AL_KOD">#REF!</definedName>
    <definedName name="AL_MM2">#REF!</definedName>
    <definedName name="BAG_ADET_M">#REF!</definedName>
    <definedName name="BAKIM_PAY_MM">#REF!</definedName>
    <definedName name="BANKA">#REF!</definedName>
    <definedName name="BARA_DERATING">#REF!</definedName>
    <definedName name="BARA_ESIK_A">#REF!</definedName>
    <definedName name="BARA_FIRE">#REF!</definedName>
    <definedName name="BARA_MALZEME">#REF!</definedName>
    <definedName name="BIK">#REF!</definedName>
    <definedName name="BUK_ALAN">#REF!</definedName>
    <definedName name="BUK_CAP">#REF!</definedName>
    <definedName name="BUK_KESIT">#REF!</definedName>
    <definedName name="CU_A">#REF!</definedName>
    <definedName name="CU_KOD">#REF!</definedName>
    <definedName name="CU_MM2">#REF!</definedName>
    <definedName name="DK_UCRET">#REF!</definedName>
    <definedName name="EK_KURAL">#REF!</definedName>
    <definedName name="F_BK">#REF!</definedName>
    <definedName name="F_D">#REF!</definedName>
    <definedName name="F_G">#REF!</definedName>
    <definedName name="F_IN">#REF!</definedName>
    <definedName name="F_INKOR">#REF!</definedName>
    <definedName name="F_KAP">#REF!</definedName>
    <definedName name="F_KK">#REF!</definedName>
    <definedName name="F_KLN">#REF!</definedName>
    <definedName name="F_KPE">#REF!</definedName>
    <definedName name="F_KUTUP">#REF!</definedName>
    <definedName name="F_MODUL">#REF!</definedName>
    <definedName name="F_PAKET">#REF!</definedName>
    <definedName name="F_TEL">#REF!</definedName>
    <definedName name="F_TELM">#REF!</definedName>
    <definedName name="F_UC">#REF!</definedName>
    <definedName name="F_Y">#REF!</definedName>
    <definedName name="FA">#REF!</definedName>
    <definedName name="FA_ANA">#REF!</definedName>
    <definedName name="FIRMA">#REF!</definedName>
    <definedName name="FIRMA_ADRES">#REF!</definedName>
    <definedName name="FIRMA_BIN">#REF!</definedName>
    <definedName name="FIRMA_EMAIL">#REF!</definedName>
    <definedName name="FIRMA_TAM">#REF!</definedName>
    <definedName name="FIRMA_TEL">#REF!</definedName>
    <definedName name="FIYAT_AD">#REF!</definedName>
    <definedName name="FIYAT_BIRIM">#REF!</definedName>
    <definedName name="FIYAT_DURUM">#REF!</definedName>
    <definedName name="FIYAT_ID">#REF!</definedName>
    <definedName name="FIYAT_LISTE">#REF!</definedName>
    <definedName name="FIYAT_MARKA">#REF!</definedName>
    <definedName name="FIYAT_NET">#REF!</definedName>
    <definedName name="GARANTI">#REF!</definedName>
    <definedName name="GECERLILIK">#REF!</definedName>
    <definedName name="GUN_SAAT">#REF!</definedName>
    <definedName name="HAZIRLAYAN">#REF!</definedName>
    <definedName name="ICERIK_AD">#REF!</definedName>
    <definedName name="ICERIK_IZIN">#REF!</definedName>
    <definedName name="IIK">#REF!</definedName>
    <definedName name="IMZA_UNVAN">#REF!</definedName>
    <definedName name="IMZALAYAN">#REF!</definedName>
    <definedName name="ISCILIK_KAT">#REF!</definedName>
    <definedName name="ISKONTO">#REF!</definedName>
    <definedName name="IZOLATOR_ARALIK_M">#REF!</definedName>
    <definedName name="KABLO_FIRE">#REF!</definedName>
    <definedName name="KABLO_IN_ALT">#REF!</definedName>
    <definedName name="KABLO_KESIT">#REF!</definedName>
    <definedName name="KABLO_MAX_IN">#REF!</definedName>
    <definedName name="KANAL_DOLULUK_MAX">#REF!</definedName>
    <definedName name="KANAL_FIRE">#REF!</definedName>
    <definedName name="KAPANIS">#REF!</definedName>
    <definedName name="KAPI_ARKA_PAY_MM">#REF!</definedName>
    <definedName name="KAPI_TOPRAK_M">#REF!</definedName>
    <definedName name="KAR_ORANI">#REF!</definedName>
    <definedName name="KAYNAK_DOSYA">#REF!</definedName>
    <definedName name="KAYNAK_KOD">#REF!</definedName>
    <definedName name="KAYNAK_TARIH">#REF!</definedName>
    <definedName name="KLEMENS_ALT">#REF!</definedName>
    <definedName name="KLEMENS_GEN">#REF!</definedName>
    <definedName name="KLEMENS_KES">#REF!</definedName>
    <definedName name="KLEMENS_MAX_KESIT">#REF!</definedName>
    <definedName name="KLEMENS_YEDEK">#REF!</definedName>
    <definedName name="KOD">#REF!</definedName>
    <definedName name="KORPUS_IC_PAY_MM">#REF!</definedName>
    <definedName name="KORPUS_YEDEK">#REF!</definedName>
    <definedName name="KT_DURUM">#REF!</definedName>
    <definedName name="KUMANDA_KESIT">#REF!</definedName>
    <definedName name="KUR_AD">#REF!</definedName>
    <definedName name="KUR_DEG">#REF!</definedName>
    <definedName name="L_AD">#REF!</definedName>
    <definedName name="L_ART">#REF!</definedName>
    <definedName name="L_BIRIM">#REF!</definedName>
    <definedName name="L_D">#REF!</definedName>
    <definedName name="L_G">#REF!</definedName>
    <definedName name="L_IN">#REF!</definedName>
    <definedName name="L_KAP">#REF!</definedName>
    <definedName name="L_KAYNAK">#REF!</definedName>
    <definedName name="L_KESIT">#REF!</definedName>
    <definedName name="L_KUTUP">#REF!</definedName>
    <definedName name="L_LISTE">#REF!</definedName>
    <definedName name="L_MARKA">#REF!</definedName>
    <definedName name="L_MODUL">#REF!</definedName>
    <definedName name="L_PAKET">#REF!</definedName>
    <definedName name="L_SINIF">#REF!</definedName>
    <definedName name="L_TIP">#REF!</definedName>
    <definedName name="L_Y">#REF!</definedName>
    <definedName name="MARKA_AD">#REF!</definedName>
    <definedName name="MARKA_IZIN">#REF!</definedName>
    <definedName name="MARKA_KAT">#REF!</definedName>
    <definedName name="MARKA_NOT">#REF!</definedName>
    <definedName name="MARKA_PARA">#REF!</definedName>
    <definedName name="MODUL_MM">#REF!</definedName>
    <definedName name="MONTAJ_MALZ_KAT">#REF!</definedName>
    <definedName name="MONTAJ_PLAKA_PAY_MM">#REF!</definedName>
    <definedName name="MUSTERI">#REF!</definedName>
    <definedName name="MUSTERI_ADRES">#REF!</definedName>
    <definedName name="MUSTERI_EMAIL">#REF!</definedName>
    <definedName name="MUSTERI_KISI">#REF!</definedName>
    <definedName name="MUSTERI_MOBIL">#REF!</definedName>
    <definedName name="MUSTERI_TEL">#REF!</definedName>
    <definedName name="NDS_ORANI">#REF!</definedName>
    <definedName name="NORM_DK">#REF!</definedName>
    <definedName name="ODEME">#REF!</definedName>
    <definedName name="OK_FIYATSIZ">#REF!</definedName>
    <definedName name="OK_OTO">#REF!</definedName>
    <definedName name="OK_PANO">#REF!</definedName>
    <definedName name="OK_YERLESIM">#REF!</definedName>
    <definedName name="OLCU_KESIT">#REF!</definedName>
    <definedName name="OZ_KONTROL">#REF!</definedName>
    <definedName name="OZ_MALIYET">#REF!</definedName>
    <definedName name="OZ_TEKLIF">#REF!</definedName>
    <definedName name="PABUC_FIRE">#REF!</definedName>
    <definedName name="PANO_EK">#REF!</definedName>
    <definedName name="PROJE">#REF!</definedName>
    <definedName name="PROJE_NOT">#REF!</definedName>
    <definedName name="SALT_MARKA">#REF!</definedName>
    <definedName name="SARF_BAG">#REF!</definedName>
    <definedName name="SARF_IZOLATOR">#REF!</definedName>
    <definedName name="SARF_KABLO">#REF!</definedName>
    <definedName name="SARF_KESIT">#REF!</definedName>
    <definedName name="SARF_KLN">#REF!</definedName>
    <definedName name="SARF_KPE">#REF!</definedName>
    <definedName name="SARF_PABUC">#REF!</definedName>
    <definedName name="SARF_STOPOR">#REF!</definedName>
    <definedName name="SARF_YUKSUK">#REF!</definedName>
    <definedName name="SARF_ZAGL">#REF!</definedName>
    <definedName name="SEHIR">#REF!</definedName>
    <definedName name="SERTIFIKAT">#REF!</definedName>
    <definedName name="SNI_DELIK">#REF!</definedName>
    <definedName name="SNI_KOD">#REF!</definedName>
    <definedName name="TARIH">#REF!</definedName>
    <definedName name="TEKLIF_NO">#REF!</definedName>
    <definedName name="TESLIM">#REF!</definedName>
    <definedName name="TESLIM_YERI">#REF!</definedName>
    <definedName name="TIP_AD">#REF!</definedName>
    <definedName name="TIP_BOSLUK">#REF!</definedName>
    <definedName name="TIP_GRUP">#REF!</definedName>
    <definedName name="TIP_KAT">#REF!</definedName>
    <definedName name="TIP_PABUC">#REF!</definedName>
    <definedName name="TIP_SIRA">#REF!</definedName>
    <definedName name="TIP_TEL">#REF!</definedName>
    <definedName name="TIP_TELM">#REF!</definedName>
    <definedName name="URETICI">#REF!</definedName>
    <definedName name="USER_ACK">#REF!</definedName>
    <definedName name="USER_DEG">#REF!</definedName>
    <definedName name="USER_KOD">#REF!</definedName>
    <definedName name="UST_ALT_PAY_MM">#REF!</definedName>
    <definedName name="YAS_ESKI_AY">#REF!</definedName>
    <definedName name="YAS_YASAK_AY">#REF!</definedName>
    <definedName name="_xlnm.Print_Area" localSheetId="0">TEKLIF!$A$1:$H$68</definedName>
    <definedName name="YUKSUK_FIR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53" i="4" l="1"/>
  <c r="J53" i="4" s="1"/>
  <c r="I52" i="4"/>
  <c r="I51" i="4"/>
  <c r="I50" i="4"/>
  <c r="I49" i="4"/>
  <c r="J49" i="4" s="1"/>
  <c r="I48" i="4"/>
  <c r="J48" i="4" s="1"/>
  <c r="I47" i="4"/>
  <c r="J47" i="4" s="1"/>
  <c r="I46" i="4"/>
  <c r="J46" i="4" s="1"/>
  <c r="I44" i="4"/>
  <c r="J50" i="4" l="1"/>
  <c r="J52" i="4"/>
  <c r="J51" i="4"/>
  <c r="I27" i="4" l="1"/>
  <c r="I17" i="4"/>
  <c r="J17" i="4" l="1"/>
  <c r="J27" i="4"/>
  <c r="K17" i="4" l="1"/>
  <c r="G17" i="4"/>
  <c r="K27" i="4"/>
  <c r="G27" i="4"/>
  <c r="I22" i="4" l="1"/>
  <c r="J22" i="4" l="1"/>
  <c r="K22" i="4" l="1"/>
  <c r="G22" i="4"/>
  <c r="I37" i="4" l="1"/>
  <c r="I41" i="4"/>
  <c r="I31" i="4" l="1"/>
  <c r="I35" i="4"/>
  <c r="I40" i="4" l="1"/>
  <c r="I26" i="4"/>
  <c r="J37" i="4"/>
  <c r="G37" i="4" l="1"/>
  <c r="K37" i="4"/>
  <c r="J35" i="4" l="1"/>
  <c r="J31" i="4"/>
  <c r="J40" i="4"/>
  <c r="J26" i="4"/>
  <c r="G35" i="4" l="1"/>
  <c r="K35" i="4"/>
  <c r="G31" i="4"/>
  <c r="K31" i="4"/>
  <c r="G40" i="4"/>
  <c r="K40" i="4"/>
  <c r="G26" i="4"/>
  <c r="K26" i="4"/>
  <c r="I21" i="4" l="1"/>
  <c r="J16" i="4" l="1"/>
  <c r="J21" i="4"/>
  <c r="J41" i="4"/>
  <c r="I16" i="4"/>
  <c r="I36" i="4" l="1"/>
  <c r="G16" i="4"/>
  <c r="K16" i="4"/>
  <c r="K21" i="4"/>
  <c r="G21" i="4"/>
  <c r="G41" i="4"/>
  <c r="K41" i="4"/>
  <c r="I29" i="4" l="1"/>
  <c r="I33" i="4"/>
  <c r="I25" i="4"/>
  <c r="I19" i="4"/>
  <c r="I30" i="4"/>
  <c r="I42" i="4"/>
  <c r="I28" i="4"/>
  <c r="I38" i="4"/>
  <c r="I43" i="4"/>
  <c r="I20" i="4"/>
  <c r="I39" i="4"/>
  <c r="I34" i="4"/>
  <c r="I23" i="4"/>
  <c r="I24" i="4"/>
  <c r="I18" i="4"/>
  <c r="I32" i="4" l="1"/>
  <c r="J32" i="4" l="1"/>
  <c r="J36" i="4"/>
  <c r="G32" i="4" l="1"/>
  <c r="K32" i="4"/>
  <c r="J30" i="4"/>
  <c r="G36" i="4"/>
  <c r="K36" i="4"/>
  <c r="J34" i="4"/>
  <c r="J28" i="4"/>
  <c r="J29" i="4"/>
  <c r="J25" i="4"/>
  <c r="J20" i="4"/>
  <c r="J42" i="4"/>
  <c r="J39" i="4"/>
  <c r="J24" i="4"/>
  <c r="J38" i="4"/>
  <c r="J19" i="4"/>
  <c r="J18" i="4"/>
  <c r="J33" i="4"/>
  <c r="J43" i="4"/>
  <c r="J23" i="4"/>
  <c r="K30" i="4" l="1"/>
  <c r="G30" i="4"/>
  <c r="G34" i="4"/>
  <c r="K34" i="4"/>
  <c r="G28" i="4"/>
  <c r="K28" i="4"/>
  <c r="K29" i="4"/>
  <c r="G29" i="4"/>
  <c r="G25" i="4"/>
  <c r="K25" i="4"/>
  <c r="K20" i="4"/>
  <c r="G20" i="4"/>
  <c r="K42" i="4"/>
  <c r="G42" i="4"/>
  <c r="G39" i="4"/>
  <c r="K39" i="4"/>
  <c r="K24" i="4"/>
  <c r="G24" i="4"/>
  <c r="G38" i="4"/>
  <c r="K38" i="4"/>
  <c r="G19" i="4"/>
  <c r="K19" i="4"/>
  <c r="K18" i="4"/>
  <c r="G18" i="4"/>
  <c r="K33" i="4"/>
  <c r="G33" i="4"/>
  <c r="K43" i="4"/>
  <c r="G43" i="4"/>
  <c r="K23" i="4"/>
  <c r="G23" i="4"/>
  <c r="G44" i="4" l="1"/>
  <c r="K44" i="4"/>
</calcChain>
</file>

<file path=xl/sharedStrings.xml><?xml version="1.0" encoding="utf-8"?>
<sst xmlns="http://schemas.openxmlformats.org/spreadsheetml/2006/main" count="112" uniqueCount="73">
  <si>
    <t>Блок 1 ВРУ-1 (ВРУ1-13-10) (260929 Laura)</t>
  </si>
  <si>
    <t>TEKLED electric</t>
  </si>
  <si>
    <t>Блок 1 ВРУ-2 (ВРУ1-50-00) (260929 Laura)</t>
  </si>
  <si>
    <t>Блок 1 АВР-1 (АВР-3-160-2-У) (260929 Laura)</t>
  </si>
  <si>
    <t>Блок 1 АВР-2 (АВР-3-160-2, Ip=100A) (260929 Laura)</t>
  </si>
  <si>
    <t>Блок 1 ВРУ-3 (ВРУ1-41-00) (260929 Laura)</t>
  </si>
  <si>
    <t>Блок 2,3 ВРУ-1 (ВРУ1-13-10) (260929 Laura)</t>
  </si>
  <si>
    <t>Блок 2,3 ВРУ-2 (ВРУ1-50-00) (260929 Laura)</t>
  </si>
  <si>
    <t>Блок 2,3 АВР-1 (АВР-3-100-2-У) (260929 Laura)</t>
  </si>
  <si>
    <t>Блок 2,3 АВР-2 (АВР-3-100-2) (260929 Laura)</t>
  </si>
  <si>
    <t>Блок 2,3 ВРУ-3 (ВРУ1-41-00) (260929 Laura)</t>
  </si>
  <si>
    <t>Блок 4,5 ВРУ-1 (ВРУ1-13-10) (260929 Laura)</t>
  </si>
  <si>
    <t>Блок 4,5 ВРУ-2 (ВРУ1-50-00) (260929 Laura)</t>
  </si>
  <si>
    <t>Блок 4,5 АВР-1 (АВР-3-100-2-У) (260929 Laura)</t>
  </si>
  <si>
    <t>Блок 4,5 АВР-2 (АВР-3-100-2) (260929 Laura)</t>
  </si>
  <si>
    <t>Блок 4,5 ВРУ-3 (ВРУ1-41-00) (260929 Laura)</t>
  </si>
  <si>
    <t>Блок 6 ВРУ-1.1 (ВРУ1-17-70, АВР 1000A) (260929 Laura)</t>
  </si>
  <si>
    <t>Блок 6 ВРУ-1.2 (ВРУ1-50-00 ×2, с БАУО) (260929 Laura)</t>
  </si>
  <si>
    <t>Блок 6 АВР-1 (АВР-3-100-2-У) (260929 Laura)</t>
  </si>
  <si>
    <t>Блок 6 ВРУ-3 (ВРУ1-41-00) (260929 Laura)</t>
  </si>
  <si>
    <t>Блок 8,9 ВРУ-1.1 (ВРУ1-17-70, АВР 1000A) (260929 Laura)</t>
  </si>
  <si>
    <t>Блок 8,9 ВРУ-1.2 (ВРУ1-50-00 ×2) (260929 Laura)</t>
  </si>
  <si>
    <t>Блок 8,9 ВРУ-1.3 (ВРУ1-50-00 ×2) (260929 Laura)</t>
  </si>
  <si>
    <t>Блок 8,9 АВР (АВР-3-250-2-У) (260929 Laura)</t>
  </si>
  <si>
    <t>Блок 8,9 ВРУ-3 (ВРУ1-41-00) (260929 Laura)</t>
  </si>
  <si>
    <t>Блок 10 ВРУ-1 (ВРУ1-17-70, АВР 630A) (260929 Laura)</t>
  </si>
  <si>
    <t>Блок 10 ВРУ-2 (ВРУ1-50-00) (260929 Laura)</t>
  </si>
  <si>
    <t>Блок 10 АВР (АВР-3-100-2-У) (260929 Laura)</t>
  </si>
  <si>
    <t>Блок 10 ВРУ-3 (ВРУ1-41-00) (260929 Laura)</t>
  </si>
  <si>
    <t>Laura</t>
  </si>
  <si>
    <t>Многопрофильная больница на 300 коек с поликлиникой (ВРУ + АВР)</t>
  </si>
  <si>
    <t>Название банка</t>
  </si>
  <si>
    <t>ИИК</t>
  </si>
  <si>
    <t>БИК</t>
  </si>
  <si>
    <t>КОММЕРЧЕСКОЕ ПРЕДЛОЖЕНИЕ</t>
  </si>
  <si>
    <t>Исх.№</t>
  </si>
  <si>
    <t>Кому :</t>
  </si>
  <si>
    <t>Дата:</t>
  </si>
  <si>
    <t>Адрес :</t>
  </si>
  <si>
    <t>Объект :</t>
  </si>
  <si>
    <t>Контактное лицо :</t>
  </si>
  <si>
    <t>Рабочий :</t>
  </si>
  <si>
    <t>Мобильный :</t>
  </si>
  <si>
    <t>Эл. почта :</t>
  </si>
  <si>
    <t>№</t>
  </si>
  <si>
    <t>Изображение</t>
  </si>
  <si>
    <t>Наименование товара</t>
  </si>
  <si>
    <t>Кол-во</t>
  </si>
  <si>
    <t>Ед.</t>
  </si>
  <si>
    <t>Цена с НДС</t>
  </si>
  <si>
    <t>Сумма</t>
  </si>
  <si>
    <t>Срок поставки товара</t>
  </si>
  <si>
    <t>iç kontrol (yazdırılmaz)</t>
  </si>
  <si>
    <t>birim без НДС</t>
  </si>
  <si>
    <t>tutar без НДС</t>
  </si>
  <si>
    <t>компл.</t>
  </si>
  <si>
    <t>Сумма:</t>
  </si>
  <si>
    <t>С уважением</t>
  </si>
  <si>
    <t>Адрес</t>
  </si>
  <si>
    <t>Исполнитель:</t>
  </si>
  <si>
    <t>Телефон</t>
  </si>
  <si>
    <t>Эл. почта</t>
  </si>
  <si>
    <t/>
  </si>
  <si>
    <t>1) Срок действия ценового предложения 5 рабочих дней.</t>
  </si>
  <si>
    <t>2) Условия оплаты: 70+30%.</t>
  </si>
  <si>
    <t>4) Коммутационная аппаратура (автоматические выключатели, рубильники, контакторы и др.): CHINT.</t>
  </si>
  <si>
    <t>5) У компании есть сертификат отечественного производителя «Сертификат CT-KZ», международные сертификаты и сертификат ISO 9001-2015.</t>
  </si>
  <si>
    <t xml:space="preserve">:   </t>
  </si>
  <si>
    <t>:   yusuf.kaplan@tekled.com</t>
  </si>
  <si>
    <t>3) В щитах с системой сборных шин применяются медные (AL.) шины.</t>
  </si>
  <si>
    <t>6) Без счётчика, с подготовленным местом для установки.</t>
  </si>
  <si>
    <t>7) Будут использоваться рубильники типа ВР 32.</t>
  </si>
  <si>
    <t>8)В щите Блок 1 ВРУ-1 (ВРУ1-13-10) рубильник заменён на 630 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</si>
</sst>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.mm\.yyyy"/>
    <numFmt numFmtId="167" formatCode="#,##0.00&quot; KZT&quot;"/>
  </numFmts>
  <fonts count="11" x14ac:knownFonts="1">
    <font>
      <sz val="11"/>
      <color theme="1"/>
      <name val="Calibri"/>
      <family val="2"/>
      <charset val="1"/>
    </font>
    <font>
      <sz val="10"/>
      <name val="Calibri"/>
      <family val="2"/>
      <charset val="204"/>
    </font>
    <font>
      <sz val="9"/>
      <color rgb="FF1E8449"/>
      <name val="Cambria"/>
      <family val="1"/>
      <charset val="204"/>
    </font>
    <font>
      <b/>
      <sz val="16"/>
      <color rgb="FF1E8449"/>
      <name val="Cambria"/>
      <family val="1"/>
      <charset val="204"/>
    </font>
    <font>
      <sz val="10"/>
      <color rgb="FF1E8449"/>
      <name val="Cambria"/>
      <family val="1"/>
      <charset val="204"/>
    </font>
    <font>
      <b/>
      <sz val="10"/>
      <color rgb="FF000000"/>
      <name val="Cambria"/>
      <family val="1"/>
      <charset val="204"/>
    </font>
    <font>
      <sz val="10"/>
      <color rgb="FF000000"/>
      <name val="Cambria"/>
      <family val="1"/>
      <charset val="204"/>
    </font>
    <font>
      <i/>
      <sz val="10"/>
      <color rgb="FF000000"/>
      <name val="Cambria"/>
      <family val="1"/>
      <charset val="204"/>
    </font>
    <font>
      <b/>
      <sz val="12"/>
      <color rgb="FF1E8449"/>
      <name val="Cambria"/>
      <family val="1"/>
      <charset val="204"/>
    </font>
    <font>
      <sz val="8"/>
      <color rgb="FF000000"/>
      <name val="Cambria"/>
      <family val="1"/>
      <charset val="204"/>
    </font>
    <font>
      <i/>
      <sz val="10"/>
      <color rgb="FF1E8449"/>
      <name val="Cambria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9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1" fillId="0" borderId="0" xfId="0" applyFont="1"/>
    <xf numFmtId="165" fontId="4" fillId="0" borderId="0" xfId="0" applyNumberFormat="1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3" fontId="1" fillId="0" borderId="0" xfId="0" applyNumberFormat="1" applyFont="1"/>
    <xf numFmtId="0" fontId="5" fillId="2" borderId="1" xfId="0" applyFont="1" applyFill="1" applyBorder="1"/>
    <xf numFmtId="167" fontId="5" fillId="2" borderId="1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4" fillId="0" borderId="0" xfId="0" applyFont="1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38160</xdr:colOff>
      <xdr:row>0</xdr:row>
      <xdr:rowOff>57240</xdr:rowOff>
    </xdr:from>
    <xdr:to>
      <xdr:col>2</xdr:col>
      <xdr:colOff>885600</xdr:colOff>
      <xdr:row>1</xdr:row>
      <xdr:rowOff>266400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160" y="57240"/>
          <a:ext cx="2609640" cy="59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190440</xdr:colOff>
      <xdr:row>0</xdr:row>
      <xdr:rowOff>19080</xdr:rowOff>
    </xdr:from>
    <xdr:to>
      <xdr:col>4</xdr:col>
      <xdr:colOff>456840</xdr:colOff>
      <xdr:row>1</xdr:row>
      <xdr:rowOff>304560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71800" y="19080"/>
          <a:ext cx="97128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15</xdr:row>
      <xdr:rowOff>142920</xdr:rowOff>
    </xdr:from>
    <xdr:to>
      <xdr:col>1</xdr:col>
      <xdr:colOff>1228320</xdr:colOff>
      <xdr:row>15</xdr:row>
      <xdr:rowOff>390240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1720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16</xdr:row>
      <xdr:rowOff>142920</xdr:rowOff>
    </xdr:from>
    <xdr:to>
      <xdr:col>1</xdr:col>
      <xdr:colOff>1228320</xdr:colOff>
      <xdr:row>16</xdr:row>
      <xdr:rowOff>390240</xdr:rowOff>
    </xdr:to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7055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17</xdr:row>
      <xdr:rowOff>142920</xdr:rowOff>
    </xdr:from>
    <xdr:to>
      <xdr:col>1</xdr:col>
      <xdr:colOff>1228320</xdr:colOff>
      <xdr:row>17</xdr:row>
      <xdr:rowOff>390240</xdr:rowOff>
    </xdr:to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2387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18</xdr:row>
      <xdr:rowOff>142920</xdr:rowOff>
    </xdr:from>
    <xdr:to>
      <xdr:col>1</xdr:col>
      <xdr:colOff>1228320</xdr:colOff>
      <xdr:row>18</xdr:row>
      <xdr:rowOff>390240</xdr:rowOff>
    </xdr:to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7722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19</xdr:row>
      <xdr:rowOff>142920</xdr:rowOff>
    </xdr:from>
    <xdr:to>
      <xdr:col>1</xdr:col>
      <xdr:colOff>1228320</xdr:colOff>
      <xdr:row>19</xdr:row>
      <xdr:rowOff>390240</xdr:rowOff>
    </xdr:to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63057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20</xdr:row>
      <xdr:rowOff>142920</xdr:rowOff>
    </xdr:from>
    <xdr:to>
      <xdr:col>1</xdr:col>
      <xdr:colOff>1228320</xdr:colOff>
      <xdr:row>20</xdr:row>
      <xdr:rowOff>390240</xdr:rowOff>
    </xdr:to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68389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21</xdr:row>
      <xdr:rowOff>142920</xdr:rowOff>
    </xdr:from>
    <xdr:to>
      <xdr:col>1</xdr:col>
      <xdr:colOff>1228320</xdr:colOff>
      <xdr:row>21</xdr:row>
      <xdr:rowOff>390240</xdr:rowOff>
    </xdr:to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73724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22</xdr:row>
      <xdr:rowOff>142920</xdr:rowOff>
    </xdr:from>
    <xdr:to>
      <xdr:col>1</xdr:col>
      <xdr:colOff>1228320</xdr:colOff>
      <xdr:row>22</xdr:row>
      <xdr:rowOff>390240</xdr:rowOff>
    </xdr:to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79059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23</xdr:row>
      <xdr:rowOff>142920</xdr:rowOff>
    </xdr:from>
    <xdr:to>
      <xdr:col>1</xdr:col>
      <xdr:colOff>1228320</xdr:colOff>
      <xdr:row>23</xdr:row>
      <xdr:rowOff>390240</xdr:rowOff>
    </xdr:to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84391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24</xdr:row>
      <xdr:rowOff>142920</xdr:rowOff>
    </xdr:from>
    <xdr:to>
      <xdr:col>1</xdr:col>
      <xdr:colOff>1228320</xdr:colOff>
      <xdr:row>24</xdr:row>
      <xdr:rowOff>390240</xdr:rowOff>
    </xdr:to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89726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25</xdr:row>
      <xdr:rowOff>142920</xdr:rowOff>
    </xdr:from>
    <xdr:to>
      <xdr:col>1</xdr:col>
      <xdr:colOff>1228320</xdr:colOff>
      <xdr:row>25</xdr:row>
      <xdr:rowOff>390240</xdr:rowOff>
    </xdr:to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95061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26</xdr:row>
      <xdr:rowOff>142920</xdr:rowOff>
    </xdr:from>
    <xdr:to>
      <xdr:col>1</xdr:col>
      <xdr:colOff>1228320</xdr:colOff>
      <xdr:row>26</xdr:row>
      <xdr:rowOff>390240</xdr:rowOff>
    </xdr:to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00393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27</xdr:row>
      <xdr:rowOff>142920</xdr:rowOff>
    </xdr:from>
    <xdr:to>
      <xdr:col>1</xdr:col>
      <xdr:colOff>1228320</xdr:colOff>
      <xdr:row>27</xdr:row>
      <xdr:rowOff>390240</xdr:rowOff>
    </xdr:to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05728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28</xdr:row>
      <xdr:rowOff>142920</xdr:rowOff>
    </xdr:from>
    <xdr:to>
      <xdr:col>1</xdr:col>
      <xdr:colOff>1228320</xdr:colOff>
      <xdr:row>28</xdr:row>
      <xdr:rowOff>390240</xdr:rowOff>
    </xdr:to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11063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29</xdr:row>
      <xdr:rowOff>142920</xdr:rowOff>
    </xdr:from>
    <xdr:to>
      <xdr:col>1</xdr:col>
      <xdr:colOff>1228320</xdr:colOff>
      <xdr:row>29</xdr:row>
      <xdr:rowOff>390240</xdr:rowOff>
    </xdr:to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16395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30</xdr:row>
      <xdr:rowOff>142920</xdr:rowOff>
    </xdr:from>
    <xdr:to>
      <xdr:col>1</xdr:col>
      <xdr:colOff>1228320</xdr:colOff>
      <xdr:row>30</xdr:row>
      <xdr:rowOff>390240</xdr:rowOff>
    </xdr:to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21730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31</xdr:row>
      <xdr:rowOff>142920</xdr:rowOff>
    </xdr:from>
    <xdr:to>
      <xdr:col>1</xdr:col>
      <xdr:colOff>1228320</xdr:colOff>
      <xdr:row>31</xdr:row>
      <xdr:rowOff>390240</xdr:rowOff>
    </xdr:to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27065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32</xdr:row>
      <xdr:rowOff>142920</xdr:rowOff>
    </xdr:from>
    <xdr:to>
      <xdr:col>1</xdr:col>
      <xdr:colOff>1228320</xdr:colOff>
      <xdr:row>32</xdr:row>
      <xdr:rowOff>390240</xdr:rowOff>
    </xdr:to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32397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33</xdr:row>
      <xdr:rowOff>142920</xdr:rowOff>
    </xdr:from>
    <xdr:to>
      <xdr:col>1</xdr:col>
      <xdr:colOff>1228320</xdr:colOff>
      <xdr:row>33</xdr:row>
      <xdr:rowOff>390240</xdr:rowOff>
    </xdr:to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37732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34</xdr:row>
      <xdr:rowOff>142920</xdr:rowOff>
    </xdr:from>
    <xdr:to>
      <xdr:col>1</xdr:col>
      <xdr:colOff>1228320</xdr:colOff>
      <xdr:row>34</xdr:row>
      <xdr:rowOff>390240</xdr:rowOff>
    </xdr:to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43067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35</xdr:row>
      <xdr:rowOff>142920</xdr:rowOff>
    </xdr:from>
    <xdr:to>
      <xdr:col>1</xdr:col>
      <xdr:colOff>1228320</xdr:colOff>
      <xdr:row>35</xdr:row>
      <xdr:rowOff>390240</xdr:rowOff>
    </xdr:to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48399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36</xdr:row>
      <xdr:rowOff>142920</xdr:rowOff>
    </xdr:from>
    <xdr:to>
      <xdr:col>1</xdr:col>
      <xdr:colOff>1228320</xdr:colOff>
      <xdr:row>36</xdr:row>
      <xdr:rowOff>390240</xdr:rowOff>
    </xdr:to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53734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37</xdr:row>
      <xdr:rowOff>142920</xdr:rowOff>
    </xdr:from>
    <xdr:to>
      <xdr:col>1</xdr:col>
      <xdr:colOff>1228320</xdr:colOff>
      <xdr:row>37</xdr:row>
      <xdr:rowOff>390240</xdr:rowOff>
    </xdr:to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59069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38</xdr:row>
      <xdr:rowOff>142920</xdr:rowOff>
    </xdr:from>
    <xdr:to>
      <xdr:col>1</xdr:col>
      <xdr:colOff>1228320</xdr:colOff>
      <xdr:row>38</xdr:row>
      <xdr:rowOff>390240</xdr:rowOff>
    </xdr:to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64401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39</xdr:row>
      <xdr:rowOff>142920</xdr:rowOff>
    </xdr:from>
    <xdr:to>
      <xdr:col>1</xdr:col>
      <xdr:colOff>1228320</xdr:colOff>
      <xdr:row>39</xdr:row>
      <xdr:rowOff>390240</xdr:rowOff>
    </xdr:to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69736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40</xdr:row>
      <xdr:rowOff>142920</xdr:rowOff>
    </xdr:from>
    <xdr:to>
      <xdr:col>1</xdr:col>
      <xdr:colOff>1228320</xdr:colOff>
      <xdr:row>40</xdr:row>
      <xdr:rowOff>390240</xdr:rowOff>
    </xdr:to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75071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41</xdr:row>
      <xdr:rowOff>142920</xdr:rowOff>
    </xdr:from>
    <xdr:to>
      <xdr:col>1</xdr:col>
      <xdr:colOff>1228320</xdr:colOff>
      <xdr:row>41</xdr:row>
      <xdr:rowOff>390240</xdr:rowOff>
    </xdr:to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80403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42</xdr:row>
      <xdr:rowOff>142920</xdr:rowOff>
    </xdr:from>
    <xdr:to>
      <xdr:col>1</xdr:col>
      <xdr:colOff>1228320</xdr:colOff>
      <xdr:row>42</xdr:row>
      <xdr:rowOff>390240</xdr:rowOff>
    </xdr:to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85738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66</xdr:row>
      <xdr:rowOff>19080</xdr:rowOff>
    </xdr:from>
    <xdr:to>
      <xdr:col>2</xdr:col>
      <xdr:colOff>2666580</xdr:colOff>
      <xdr:row>66</xdr:row>
      <xdr:rowOff>399600</xdr:rowOff>
    </xdr:to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9080" y="24422040"/>
          <a:ext cx="444780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82786DD-0C74-4B6E-87DB-F02DC522E036}">
  <we:reference id="wa200006007" version="1.2.3.0" store="tr-TR" storeType="OMEX"/>
  <we:alternateReferences>
    <we:reference id="WA200006007" version="1.2.3.0" store="" storeType="OMEX"/>
  </we:alternateReferences>
  <we:properties>
    <we:property name="document_UID" value="&quot;63913795-9e4f-427e-8755-7c1a4c76568f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_xldudf_COPILOTR2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67"/>
  <sheetViews>
    <sheetView showGridLines="0" tabSelected="1" topLeftCell="A17" zoomScaleNormal="100" workbookViewId="0">
      <selection activeCell="H54" sqref="H54"/>
    </sheetView>
  </sheetViews>
  <sheetFormatPr defaultColWidth="8.7109375" defaultRowHeight="15" outlineLevelCol="1" x14ac:dyDescent="0.25"/>
  <cols>
    <col min="1" max="1" width="5" customWidth="1"/>
    <col min="2" max="2" width="20" customWidth="1"/>
    <col min="3" max="3" width="40" customWidth="1"/>
    <col min="4" max="4" width="10" customWidth="1"/>
    <col min="5" max="5" width="9" customWidth="1"/>
    <col min="6" max="6" width="15" customWidth="1"/>
    <col min="7" max="7" width="33.28515625" customWidth="1"/>
    <col min="8" max="8" width="15" customWidth="1"/>
    <col min="9" max="11" width="40" hidden="1" customWidth="1" outlineLevel="1"/>
    <col min="12" max="12" width="8.7109375" collapsed="1"/>
  </cols>
  <sheetData>
    <row r="1" spans="1:11" ht="30" customHeight="1" x14ac:dyDescent="0.25">
      <c r="G1" s="23" t="s">
        <v>1</v>
      </c>
      <c r="H1" s="23"/>
    </row>
    <row r="2" spans="1:11" ht="30" customHeight="1" x14ac:dyDescent="0.25">
      <c r="G2" s="23"/>
      <c r="H2" s="23"/>
    </row>
    <row r="3" spans="1:11" ht="13.5" customHeight="1" x14ac:dyDescent="0.25">
      <c r="G3" s="23"/>
      <c r="H3" s="23"/>
    </row>
    <row r="5" spans="1:11" ht="27.75" customHeight="1" x14ac:dyDescent="0.25">
      <c r="A5" s="24" t="s">
        <v>34</v>
      </c>
      <c r="B5" s="24"/>
      <c r="C5" s="24"/>
      <c r="D5" s="24"/>
      <c r="E5" s="24"/>
      <c r="F5" s="24"/>
      <c r="G5" s="24"/>
      <c r="H5" s="24"/>
    </row>
    <row r="7" spans="1:11" ht="15.75" customHeight="1" x14ac:dyDescent="0.25">
      <c r="A7" s="22" t="s">
        <v>35</v>
      </c>
      <c r="B7" s="22"/>
      <c r="C7" s="2">
        <v>98909000</v>
      </c>
      <c r="D7" s="20" t="s">
        <v>36</v>
      </c>
      <c r="E7" s="20"/>
      <c r="F7" s="21" t="s">
        <v>29</v>
      </c>
      <c r="G7" s="21"/>
      <c r="H7" s="21"/>
    </row>
    <row r="8" spans="1:11" ht="27.75" customHeight="1" x14ac:dyDescent="0.25">
      <c r="A8" s="22" t="s">
        <v>37</v>
      </c>
      <c r="B8" s="22"/>
      <c r="C8" s="4">
        <v>46294</v>
      </c>
      <c r="D8" s="20" t="s">
        <v>38</v>
      </c>
      <c r="E8" s="20"/>
      <c r="F8" s="21" t="s">
        <v>62</v>
      </c>
      <c r="G8" s="21"/>
      <c r="H8" s="21"/>
    </row>
    <row r="9" spans="1:11" ht="27.75" customHeight="1" x14ac:dyDescent="0.25">
      <c r="D9" s="20" t="s">
        <v>39</v>
      </c>
      <c r="E9" s="20"/>
      <c r="F9" s="21" t="s">
        <v>30</v>
      </c>
      <c r="G9" s="21"/>
      <c r="H9" s="21"/>
    </row>
    <row r="10" spans="1:11" ht="15" customHeight="1" x14ac:dyDescent="0.25">
      <c r="D10" s="20" t="s">
        <v>40</v>
      </c>
      <c r="E10" s="20"/>
      <c r="F10" s="21" t="s">
        <v>62</v>
      </c>
      <c r="G10" s="21"/>
      <c r="H10" s="21"/>
    </row>
    <row r="11" spans="1:11" ht="15" customHeight="1" x14ac:dyDescent="0.25">
      <c r="D11" s="20" t="s">
        <v>41</v>
      </c>
      <c r="E11" s="20"/>
      <c r="F11" s="21" t="s">
        <v>62</v>
      </c>
      <c r="G11" s="21"/>
      <c r="H11" s="21"/>
    </row>
    <row r="12" spans="1:11" ht="15" customHeight="1" x14ac:dyDescent="0.25">
      <c r="D12" s="20" t="s">
        <v>42</v>
      </c>
      <c r="E12" s="20"/>
      <c r="F12" s="21" t="s">
        <v>62</v>
      </c>
      <c r="G12" s="21"/>
      <c r="H12" s="21"/>
    </row>
    <row r="13" spans="1:11" ht="15" customHeight="1" x14ac:dyDescent="0.25">
      <c r="D13" s="20" t="s">
        <v>43</v>
      </c>
      <c r="E13" s="20"/>
      <c r="F13" s="21" t="s">
        <v>62</v>
      </c>
      <c r="G13" s="21"/>
      <c r="H13" s="21"/>
    </row>
    <row r="15" spans="1:11" ht="39.75" customHeight="1" x14ac:dyDescent="0.25">
      <c r="A15" s="5" t="s">
        <v>44</v>
      </c>
      <c r="B15" s="5" t="s">
        <v>45</v>
      </c>
      <c r="C15" s="5" t="s">
        <v>46</v>
      </c>
      <c r="D15" s="5" t="s">
        <v>47</v>
      </c>
      <c r="E15" s="5" t="s">
        <v>48</v>
      </c>
      <c r="F15" s="5" t="s">
        <v>49</v>
      </c>
      <c r="G15" s="5" t="s">
        <v>50</v>
      </c>
      <c r="H15" s="5" t="s">
        <v>51</v>
      </c>
      <c r="I15" s="3" t="s">
        <v>52</v>
      </c>
      <c r="J15" s="3" t="s">
        <v>53</v>
      </c>
      <c r="K15" s="3" t="s">
        <v>54</v>
      </c>
    </row>
    <row r="16" spans="1:11" ht="42" customHeight="1" x14ac:dyDescent="0.25">
      <c r="A16" s="6">
        <v>1</v>
      </c>
      <c r="B16" s="7"/>
      <c r="C16" s="8" t="s">
        <v>0</v>
      </c>
      <c r="D16" s="9">
        <v>1</v>
      </c>
      <c r="E16" s="6" t="s">
        <v>55</v>
      </c>
      <c r="F16" s="10">
        <v>914049</v>
      </c>
      <c r="G16" s="10">
        <f t="shared" ref="G16:G43" si="0">IF(F16="","",D16*F16)</f>
        <v>914049</v>
      </c>
      <c r="H16" s="6">
        <v>45</v>
      </c>
      <c r="I16" s="3" t="e">
        <f>TRIM(#REF!&amp;" "&amp;#REF!)</f>
        <v>#REF!</v>
      </c>
      <c r="J16" s="11" t="e">
        <f>IF(KAR_ORANI="","",ROUND(#REF!*(1+KAR_ORANI)*(1-ISKONTO),0))</f>
        <v>#REF!</v>
      </c>
      <c r="K16" s="11" t="e">
        <f t="shared" ref="K16:K43" si="1">IF(J16="","",D16*J16)</f>
        <v>#REF!</v>
      </c>
    </row>
    <row r="17" spans="1:11" ht="42" customHeight="1" x14ac:dyDescent="0.25">
      <c r="A17" s="6">
        <v>2</v>
      </c>
      <c r="B17" s="7"/>
      <c r="C17" s="8" t="s">
        <v>2</v>
      </c>
      <c r="D17" s="9">
        <v>1</v>
      </c>
      <c r="E17" s="6" t="s">
        <v>55</v>
      </c>
      <c r="F17" s="10">
        <v>790586</v>
      </c>
      <c r="G17" s="10">
        <f t="shared" si="0"/>
        <v>790586</v>
      </c>
      <c r="H17" s="6">
        <v>45</v>
      </c>
      <c r="I17" s="3" t="e">
        <f>TRIM(#REF!&amp;" "&amp;#REF!)</f>
        <v>#REF!</v>
      </c>
      <c r="J17" s="11" t="e">
        <f>IF(KAR_ORANI="","",ROUND(#REF!*(1+KAR_ORANI)*(1-ISKONTO),0))</f>
        <v>#REF!</v>
      </c>
      <c r="K17" s="11" t="e">
        <f t="shared" si="1"/>
        <v>#REF!</v>
      </c>
    </row>
    <row r="18" spans="1:11" ht="42" customHeight="1" x14ac:dyDescent="0.25">
      <c r="A18" s="6">
        <v>3</v>
      </c>
      <c r="B18" s="7"/>
      <c r="C18" s="8" t="s">
        <v>3</v>
      </c>
      <c r="D18" s="9">
        <v>1</v>
      </c>
      <c r="E18" s="6" t="s">
        <v>55</v>
      </c>
      <c r="F18" s="10">
        <v>896062</v>
      </c>
      <c r="G18" s="10">
        <f t="shared" si="0"/>
        <v>896062</v>
      </c>
      <c r="H18" s="6">
        <v>45</v>
      </c>
      <c r="I18" s="3" t="e">
        <f>TRIM(#REF!&amp;" "&amp;#REF!)</f>
        <v>#REF!</v>
      </c>
      <c r="J18" s="11" t="e">
        <f>IF(KAR_ORANI="","",ROUND(#REF!*(1+KAR_ORANI)*(1-ISKONTO),0))</f>
        <v>#REF!</v>
      </c>
      <c r="K18" s="11" t="e">
        <f t="shared" si="1"/>
        <v>#REF!</v>
      </c>
    </row>
    <row r="19" spans="1:11" ht="42" customHeight="1" x14ac:dyDescent="0.25">
      <c r="A19" s="6">
        <v>4</v>
      </c>
      <c r="B19" s="7"/>
      <c r="C19" s="8" t="s">
        <v>4</v>
      </c>
      <c r="D19" s="9">
        <v>1</v>
      </c>
      <c r="E19" s="6" t="s">
        <v>55</v>
      </c>
      <c r="F19" s="10">
        <v>767003</v>
      </c>
      <c r="G19" s="10">
        <f t="shared" si="0"/>
        <v>767003</v>
      </c>
      <c r="H19" s="6">
        <v>45</v>
      </c>
      <c r="I19" s="3" t="e">
        <f>TRIM(#REF!&amp;" "&amp;#REF!)</f>
        <v>#REF!</v>
      </c>
      <c r="J19" s="11" t="e">
        <f>IF(KAR_ORANI="","",ROUND(#REF!*(1+KAR_ORANI)*(1-ISKONTO),0))</f>
        <v>#REF!</v>
      </c>
      <c r="K19" s="11" t="e">
        <f t="shared" si="1"/>
        <v>#REF!</v>
      </c>
    </row>
    <row r="20" spans="1:11" ht="42" customHeight="1" x14ac:dyDescent="0.25">
      <c r="A20" s="6">
        <v>5</v>
      </c>
      <c r="B20" s="7"/>
      <c r="C20" s="8" t="s">
        <v>5</v>
      </c>
      <c r="D20" s="9">
        <v>1</v>
      </c>
      <c r="E20" s="6" t="s">
        <v>55</v>
      </c>
      <c r="F20" s="10">
        <v>299876</v>
      </c>
      <c r="G20" s="10">
        <f t="shared" si="0"/>
        <v>299876</v>
      </c>
      <c r="H20" s="6">
        <v>45</v>
      </c>
      <c r="I20" s="3" t="e">
        <f>TRIM(#REF!&amp;" "&amp;#REF!)</f>
        <v>#REF!</v>
      </c>
      <c r="J20" s="11" t="e">
        <f>IF(KAR_ORANI="","",ROUND(#REF!*(1+KAR_ORANI)*(1-ISKONTO),0))</f>
        <v>#REF!</v>
      </c>
      <c r="K20" s="11" t="e">
        <f t="shared" si="1"/>
        <v>#REF!</v>
      </c>
    </row>
    <row r="21" spans="1:11" ht="42" customHeight="1" x14ac:dyDescent="0.25">
      <c r="A21" s="6">
        <v>6</v>
      </c>
      <c r="B21" s="7"/>
      <c r="C21" s="8" t="s">
        <v>6</v>
      </c>
      <c r="D21" s="9">
        <v>1</v>
      </c>
      <c r="E21" s="6" t="s">
        <v>55</v>
      </c>
      <c r="F21" s="10">
        <v>621956</v>
      </c>
      <c r="G21" s="10">
        <f t="shared" si="0"/>
        <v>621956</v>
      </c>
      <c r="H21" s="6">
        <v>45</v>
      </c>
      <c r="I21" s="3" t="e">
        <f>TRIM(#REF!&amp;" "&amp;#REF!)</f>
        <v>#REF!</v>
      </c>
      <c r="J21" s="11" t="e">
        <f>IF(KAR_ORANI="","",ROUND(#REF!*(1+KAR_ORANI)*(1-ISKONTO),0))</f>
        <v>#REF!</v>
      </c>
      <c r="K21" s="11" t="e">
        <f t="shared" si="1"/>
        <v>#REF!</v>
      </c>
    </row>
    <row r="22" spans="1:11" ht="42" customHeight="1" x14ac:dyDescent="0.25">
      <c r="A22" s="6">
        <v>7</v>
      </c>
      <c r="B22" s="7"/>
      <c r="C22" s="8" t="s">
        <v>7</v>
      </c>
      <c r="D22" s="9">
        <v>1</v>
      </c>
      <c r="E22" s="6" t="s">
        <v>55</v>
      </c>
      <c r="F22" s="10">
        <v>671389</v>
      </c>
      <c r="G22" s="10">
        <f t="shared" si="0"/>
        <v>671389</v>
      </c>
      <c r="H22" s="6">
        <v>45</v>
      </c>
      <c r="I22" s="3" t="e">
        <f>TRIM(#REF!&amp;" "&amp;#REF!)</f>
        <v>#REF!</v>
      </c>
      <c r="J22" s="11" t="e">
        <f>IF(KAR_ORANI="","",ROUND(#REF!*(1+KAR_ORANI)*(1-ISKONTO),0))</f>
        <v>#REF!</v>
      </c>
      <c r="K22" s="11" t="e">
        <f t="shared" si="1"/>
        <v>#REF!</v>
      </c>
    </row>
    <row r="23" spans="1:11" ht="42" customHeight="1" x14ac:dyDescent="0.25">
      <c r="A23" s="6">
        <v>8</v>
      </c>
      <c r="B23" s="7"/>
      <c r="C23" s="8" t="s">
        <v>8</v>
      </c>
      <c r="D23" s="9">
        <v>1</v>
      </c>
      <c r="E23" s="6" t="s">
        <v>55</v>
      </c>
      <c r="F23" s="10">
        <v>730008</v>
      </c>
      <c r="G23" s="10">
        <f t="shared" si="0"/>
        <v>730008</v>
      </c>
      <c r="H23" s="6">
        <v>45</v>
      </c>
      <c r="I23" s="3" t="e">
        <f>TRIM(#REF!&amp;" "&amp;#REF!)</f>
        <v>#REF!</v>
      </c>
      <c r="J23" s="11" t="e">
        <f>IF(KAR_ORANI="","",ROUND(#REF!*(1+KAR_ORANI)*(1-ISKONTO),0))</f>
        <v>#REF!</v>
      </c>
      <c r="K23" s="11" t="e">
        <f t="shared" si="1"/>
        <v>#REF!</v>
      </c>
    </row>
    <row r="24" spans="1:11" ht="42" customHeight="1" x14ac:dyDescent="0.25">
      <c r="A24" s="6">
        <v>9</v>
      </c>
      <c r="B24" s="7"/>
      <c r="C24" s="8" t="s">
        <v>9</v>
      </c>
      <c r="D24" s="9">
        <v>1</v>
      </c>
      <c r="E24" s="6" t="s">
        <v>55</v>
      </c>
      <c r="F24" s="10">
        <v>688292</v>
      </c>
      <c r="G24" s="10">
        <f t="shared" si="0"/>
        <v>688292</v>
      </c>
      <c r="H24" s="6">
        <v>45</v>
      </c>
      <c r="I24" s="3" t="e">
        <f>TRIM(#REF!&amp;" "&amp;#REF!)</f>
        <v>#REF!</v>
      </c>
      <c r="J24" s="11" t="e">
        <f>IF(KAR_ORANI="","",ROUND(#REF!*(1+KAR_ORANI)*(1-ISKONTO),0))</f>
        <v>#REF!</v>
      </c>
      <c r="K24" s="11" t="e">
        <f t="shared" si="1"/>
        <v>#REF!</v>
      </c>
    </row>
    <row r="25" spans="1:11" ht="42" customHeight="1" x14ac:dyDescent="0.25">
      <c r="A25" s="6">
        <v>10</v>
      </c>
      <c r="B25" s="7"/>
      <c r="C25" s="8" t="s">
        <v>10</v>
      </c>
      <c r="D25" s="9">
        <v>1</v>
      </c>
      <c r="E25" s="6" t="s">
        <v>55</v>
      </c>
      <c r="F25" s="10">
        <v>274105</v>
      </c>
      <c r="G25" s="10">
        <f t="shared" si="0"/>
        <v>274105</v>
      </c>
      <c r="H25" s="6">
        <v>45</v>
      </c>
      <c r="I25" s="3" t="e">
        <f>TRIM(#REF!&amp;" "&amp;#REF!)</f>
        <v>#REF!</v>
      </c>
      <c r="J25" s="11" t="e">
        <f>IF(KAR_ORANI="","",ROUND(#REF!*(1+KAR_ORANI)*(1-ISKONTO),0))</f>
        <v>#REF!</v>
      </c>
      <c r="K25" s="11" t="e">
        <f t="shared" si="1"/>
        <v>#REF!</v>
      </c>
    </row>
    <row r="26" spans="1:11" ht="42" customHeight="1" x14ac:dyDescent="0.25">
      <c r="A26" s="6">
        <v>11</v>
      </c>
      <c r="B26" s="7"/>
      <c r="C26" s="8" t="s">
        <v>11</v>
      </c>
      <c r="D26" s="9">
        <v>1</v>
      </c>
      <c r="E26" s="6" t="s">
        <v>55</v>
      </c>
      <c r="F26" s="10">
        <v>968154</v>
      </c>
      <c r="G26" s="10">
        <f t="shared" si="0"/>
        <v>968154</v>
      </c>
      <c r="H26" s="6">
        <v>45</v>
      </c>
      <c r="I26" s="3" t="e">
        <f>TRIM(#REF!&amp;" "&amp;#REF!)</f>
        <v>#REF!</v>
      </c>
      <c r="J26" s="11" t="e">
        <f>IF(KAR_ORANI="","",ROUND(#REF!*(1+KAR_ORANI)*(1-ISKONTO),0))</f>
        <v>#REF!</v>
      </c>
      <c r="K26" s="11" t="e">
        <f t="shared" si="1"/>
        <v>#REF!</v>
      </c>
    </row>
    <row r="27" spans="1:11" ht="42" customHeight="1" x14ac:dyDescent="0.25">
      <c r="A27" s="6">
        <v>12</v>
      </c>
      <c r="B27" s="7"/>
      <c r="C27" s="8" t="s">
        <v>12</v>
      </c>
      <c r="D27" s="9">
        <v>1</v>
      </c>
      <c r="E27" s="6" t="s">
        <v>55</v>
      </c>
      <c r="F27" s="10">
        <v>827685</v>
      </c>
      <c r="G27" s="10">
        <f t="shared" si="0"/>
        <v>827685</v>
      </c>
      <c r="H27" s="6">
        <v>45</v>
      </c>
      <c r="I27" s="3" t="e">
        <f>TRIM(#REF!&amp;" "&amp;#REF!)</f>
        <v>#REF!</v>
      </c>
      <c r="J27" s="11" t="e">
        <f>IF(KAR_ORANI="","",ROUND(#REF!*(1+KAR_ORANI)*(1-ISKONTO),0))</f>
        <v>#REF!</v>
      </c>
      <c r="K27" s="11" t="e">
        <f t="shared" si="1"/>
        <v>#REF!</v>
      </c>
    </row>
    <row r="28" spans="1:11" ht="42" customHeight="1" x14ac:dyDescent="0.25">
      <c r="A28" s="6">
        <v>13</v>
      </c>
      <c r="B28" s="7"/>
      <c r="C28" s="8" t="s">
        <v>13</v>
      </c>
      <c r="D28" s="9">
        <v>1</v>
      </c>
      <c r="E28" s="6" t="s">
        <v>55</v>
      </c>
      <c r="F28" s="10">
        <v>708017</v>
      </c>
      <c r="G28" s="10">
        <f t="shared" si="0"/>
        <v>708017</v>
      </c>
      <c r="H28" s="6">
        <v>45</v>
      </c>
      <c r="I28" s="3" t="e">
        <f>TRIM(#REF!&amp;" "&amp;#REF!)</f>
        <v>#REF!</v>
      </c>
      <c r="J28" s="11" t="e">
        <f>IF(KAR_ORANI="","",ROUND(#REF!*(1+KAR_ORANI)*(1-ISKONTO),0))</f>
        <v>#REF!</v>
      </c>
      <c r="K28" s="11" t="e">
        <f t="shared" si="1"/>
        <v>#REF!</v>
      </c>
    </row>
    <row r="29" spans="1:11" ht="42" customHeight="1" x14ac:dyDescent="0.25">
      <c r="A29" s="6">
        <v>14</v>
      </c>
      <c r="B29" s="7"/>
      <c r="C29" s="8" t="s">
        <v>14</v>
      </c>
      <c r="D29" s="9">
        <v>1</v>
      </c>
      <c r="E29" s="6" t="s">
        <v>55</v>
      </c>
      <c r="F29" s="10">
        <v>688292</v>
      </c>
      <c r="G29" s="10">
        <f t="shared" si="0"/>
        <v>688292</v>
      </c>
      <c r="H29" s="6">
        <v>45</v>
      </c>
      <c r="I29" s="3" t="e">
        <f>TRIM(#REF!&amp;" "&amp;#REF!)</f>
        <v>#REF!</v>
      </c>
      <c r="J29" s="11" t="e">
        <f>IF(KAR_ORANI="","",ROUND(#REF!*(1+KAR_ORANI)*(1-ISKONTO),0))</f>
        <v>#REF!</v>
      </c>
      <c r="K29" s="11" t="e">
        <f t="shared" si="1"/>
        <v>#REF!</v>
      </c>
    </row>
    <row r="30" spans="1:11" ht="42" customHeight="1" x14ac:dyDescent="0.25">
      <c r="A30" s="6">
        <v>15</v>
      </c>
      <c r="B30" s="7"/>
      <c r="C30" s="8" t="s">
        <v>15</v>
      </c>
      <c r="D30" s="9">
        <v>1</v>
      </c>
      <c r="E30" s="6" t="s">
        <v>55</v>
      </c>
      <c r="F30" s="10">
        <v>344762</v>
      </c>
      <c r="G30" s="10">
        <f t="shared" si="0"/>
        <v>344762</v>
      </c>
      <c r="H30" s="6">
        <v>45</v>
      </c>
      <c r="I30" s="3" t="e">
        <f>TRIM(#REF!&amp;" "&amp;#REF!)</f>
        <v>#REF!</v>
      </c>
      <c r="J30" s="11" t="e">
        <f>IF(KAR_ORANI="","",ROUND(#REF!*(1+KAR_ORANI)*(1-ISKONTO),0))</f>
        <v>#REF!</v>
      </c>
      <c r="K30" s="11" t="e">
        <f t="shared" si="1"/>
        <v>#REF!</v>
      </c>
    </row>
    <row r="31" spans="1:11" ht="42" customHeight="1" x14ac:dyDescent="0.25">
      <c r="A31" s="6">
        <v>16</v>
      </c>
      <c r="B31" s="7"/>
      <c r="C31" s="8" t="s">
        <v>16</v>
      </c>
      <c r="D31" s="9">
        <v>1</v>
      </c>
      <c r="E31" s="6" t="s">
        <v>55</v>
      </c>
      <c r="F31" s="10">
        <v>2507877</v>
      </c>
      <c r="G31" s="10">
        <f t="shared" si="0"/>
        <v>2507877</v>
      </c>
      <c r="H31" s="6">
        <v>45</v>
      </c>
      <c r="I31" s="3" t="e">
        <f>TRIM(#REF!&amp;" "&amp;#REF!)</f>
        <v>#REF!</v>
      </c>
      <c r="J31" s="11" t="e">
        <f>IF(KAR_ORANI="","",ROUND(#REF!*(1+KAR_ORANI)*(1-ISKONTO),0))</f>
        <v>#REF!</v>
      </c>
      <c r="K31" s="11" t="e">
        <f t="shared" si="1"/>
        <v>#REF!</v>
      </c>
    </row>
    <row r="32" spans="1:11" ht="42" customHeight="1" x14ac:dyDescent="0.25">
      <c r="A32" s="6">
        <v>17</v>
      </c>
      <c r="B32" s="7"/>
      <c r="C32" s="8" t="s">
        <v>17</v>
      </c>
      <c r="D32" s="9">
        <v>1</v>
      </c>
      <c r="E32" s="6" t="s">
        <v>55</v>
      </c>
      <c r="F32" s="10">
        <v>2023433</v>
      </c>
      <c r="G32" s="10">
        <f t="shared" si="0"/>
        <v>2023433</v>
      </c>
      <c r="H32" s="6">
        <v>45</v>
      </c>
      <c r="I32" s="3" t="e">
        <f>TRIM(#REF!&amp;" "&amp;#REF!)</f>
        <v>#REF!</v>
      </c>
      <c r="J32" s="11" t="e">
        <f>IF(KAR_ORANI="","",ROUND(#REF!*(1+KAR_ORANI)*(1-ISKONTO),0))</f>
        <v>#REF!</v>
      </c>
      <c r="K32" s="11" t="e">
        <f t="shared" si="1"/>
        <v>#REF!</v>
      </c>
    </row>
    <row r="33" spans="1:11" ht="42" customHeight="1" x14ac:dyDescent="0.25">
      <c r="A33" s="6">
        <v>18</v>
      </c>
      <c r="B33" s="7"/>
      <c r="C33" s="8" t="s">
        <v>18</v>
      </c>
      <c r="D33" s="9">
        <v>1</v>
      </c>
      <c r="E33" s="6" t="s">
        <v>55</v>
      </c>
      <c r="F33" s="10">
        <v>669473</v>
      </c>
      <c r="G33" s="10">
        <f t="shared" si="0"/>
        <v>669473</v>
      </c>
      <c r="H33" s="6">
        <v>45</v>
      </c>
      <c r="I33" s="3" t="e">
        <f>TRIM(#REF!&amp;" "&amp;#REF!)</f>
        <v>#REF!</v>
      </c>
      <c r="J33" s="11" t="e">
        <f>IF(KAR_ORANI="","",ROUND(#REF!*(1+KAR_ORANI)*(1-ISKONTO),0))</f>
        <v>#REF!</v>
      </c>
      <c r="K33" s="11" t="e">
        <f t="shared" si="1"/>
        <v>#REF!</v>
      </c>
    </row>
    <row r="34" spans="1:11" ht="42" customHeight="1" x14ac:dyDescent="0.25">
      <c r="A34" s="6">
        <v>19</v>
      </c>
      <c r="B34" s="7"/>
      <c r="C34" s="8" t="s">
        <v>19</v>
      </c>
      <c r="D34" s="9">
        <v>1</v>
      </c>
      <c r="E34" s="6" t="s">
        <v>55</v>
      </c>
      <c r="F34" s="10">
        <v>316883</v>
      </c>
      <c r="G34" s="10">
        <f t="shared" si="0"/>
        <v>316883</v>
      </c>
      <c r="H34" s="6">
        <v>45</v>
      </c>
      <c r="I34" s="3" t="e">
        <f>TRIM(#REF!&amp;" "&amp;#REF!)</f>
        <v>#REF!</v>
      </c>
      <c r="J34" s="11" t="e">
        <f>IF(KAR_ORANI="","",ROUND(#REF!*(1+KAR_ORANI)*(1-ISKONTO),0))</f>
        <v>#REF!</v>
      </c>
      <c r="K34" s="11" t="e">
        <f t="shared" si="1"/>
        <v>#REF!</v>
      </c>
    </row>
    <row r="35" spans="1:11" ht="42" customHeight="1" x14ac:dyDescent="0.25">
      <c r="A35" s="6">
        <v>20</v>
      </c>
      <c r="B35" s="7"/>
      <c r="C35" s="8" t="s">
        <v>20</v>
      </c>
      <c r="D35" s="9">
        <v>1</v>
      </c>
      <c r="E35" s="6" t="s">
        <v>55</v>
      </c>
      <c r="F35" s="10">
        <v>2507877</v>
      </c>
      <c r="G35" s="10">
        <f t="shared" si="0"/>
        <v>2507877</v>
      </c>
      <c r="H35" s="6">
        <v>45</v>
      </c>
      <c r="I35" s="3" t="e">
        <f>TRIM(#REF!&amp;" "&amp;#REF!)</f>
        <v>#REF!</v>
      </c>
      <c r="J35" s="11" t="e">
        <f>IF(KAR_ORANI="","",ROUND(#REF!*(1+KAR_ORANI)*(1-ISKONTO),0))</f>
        <v>#REF!</v>
      </c>
      <c r="K35" s="11" t="e">
        <f t="shared" si="1"/>
        <v>#REF!</v>
      </c>
    </row>
    <row r="36" spans="1:11" ht="42" customHeight="1" x14ac:dyDescent="0.25">
      <c r="A36" s="6">
        <v>21</v>
      </c>
      <c r="B36" s="7"/>
      <c r="C36" s="8" t="s">
        <v>21</v>
      </c>
      <c r="D36" s="9">
        <v>1</v>
      </c>
      <c r="E36" s="6" t="s">
        <v>55</v>
      </c>
      <c r="F36" s="10">
        <v>1437353</v>
      </c>
      <c r="G36" s="10">
        <f t="shared" si="0"/>
        <v>1437353</v>
      </c>
      <c r="H36" s="6">
        <v>45</v>
      </c>
      <c r="I36" s="3" t="e">
        <f>TRIM(#REF!&amp;" "&amp;#REF!)</f>
        <v>#REF!</v>
      </c>
      <c r="J36" s="11" t="e">
        <f>IF(KAR_ORANI="","",ROUND(#REF!*(1+KAR_ORANI)*(1-ISKONTO),0))</f>
        <v>#REF!</v>
      </c>
      <c r="K36" s="11" t="e">
        <f t="shared" si="1"/>
        <v>#REF!</v>
      </c>
    </row>
    <row r="37" spans="1:11" ht="42" customHeight="1" x14ac:dyDescent="0.25">
      <c r="A37" s="6">
        <v>22</v>
      </c>
      <c r="B37" s="7"/>
      <c r="C37" s="8" t="s">
        <v>22</v>
      </c>
      <c r="D37" s="9">
        <v>1</v>
      </c>
      <c r="E37" s="6" t="s">
        <v>55</v>
      </c>
      <c r="F37" s="10">
        <v>1259869</v>
      </c>
      <c r="G37" s="10">
        <f t="shared" si="0"/>
        <v>1259869</v>
      </c>
      <c r="H37" s="6">
        <v>45</v>
      </c>
      <c r="I37" s="3" t="e">
        <f>TRIM(#REF!&amp;" "&amp;#REF!)</f>
        <v>#REF!</v>
      </c>
      <c r="J37" s="11" t="e">
        <f>IF(KAR_ORANI="","",ROUND(#REF!*(1+KAR_ORANI)*(1-ISKONTO),0))</f>
        <v>#REF!</v>
      </c>
      <c r="K37" s="11" t="e">
        <f t="shared" si="1"/>
        <v>#REF!</v>
      </c>
    </row>
    <row r="38" spans="1:11" ht="42" customHeight="1" x14ac:dyDescent="0.25">
      <c r="A38" s="6">
        <v>23</v>
      </c>
      <c r="B38" s="7"/>
      <c r="C38" s="8" t="s">
        <v>23</v>
      </c>
      <c r="D38" s="9">
        <v>1</v>
      </c>
      <c r="E38" s="6" t="s">
        <v>55</v>
      </c>
      <c r="F38" s="10">
        <v>879647</v>
      </c>
      <c r="G38" s="10">
        <f t="shared" si="0"/>
        <v>879647</v>
      </c>
      <c r="H38" s="6">
        <v>45</v>
      </c>
      <c r="I38" s="3" t="e">
        <f>TRIM(#REF!&amp;" "&amp;#REF!)</f>
        <v>#REF!</v>
      </c>
      <c r="J38" s="11" t="e">
        <f>IF(KAR_ORANI="","",ROUND(#REF!*(1+KAR_ORANI)*(1-ISKONTO),0))</f>
        <v>#REF!</v>
      </c>
      <c r="K38" s="11" t="e">
        <f t="shared" si="1"/>
        <v>#REF!</v>
      </c>
    </row>
    <row r="39" spans="1:11" ht="42" customHeight="1" x14ac:dyDescent="0.25">
      <c r="A39" s="6">
        <v>24</v>
      </c>
      <c r="B39" s="7"/>
      <c r="C39" s="8" t="s">
        <v>24</v>
      </c>
      <c r="D39" s="9">
        <v>1</v>
      </c>
      <c r="E39" s="6" t="s">
        <v>55</v>
      </c>
      <c r="F39" s="10">
        <v>397211</v>
      </c>
      <c r="G39" s="10">
        <f t="shared" si="0"/>
        <v>397211</v>
      </c>
      <c r="H39" s="6">
        <v>45</v>
      </c>
      <c r="I39" s="3" t="e">
        <f>TRIM(#REF!&amp;" "&amp;#REF!)</f>
        <v>#REF!</v>
      </c>
      <c r="J39" s="11" t="e">
        <f>IF(KAR_ORANI="","",ROUND(#REF!*(1+KAR_ORANI)*(1-ISKONTO),0))</f>
        <v>#REF!</v>
      </c>
      <c r="K39" s="11" t="e">
        <f t="shared" si="1"/>
        <v>#REF!</v>
      </c>
    </row>
    <row r="40" spans="1:11" ht="42" customHeight="1" x14ac:dyDescent="0.25">
      <c r="A40" s="6">
        <v>25</v>
      </c>
      <c r="B40" s="7"/>
      <c r="C40" s="8" t="s">
        <v>25</v>
      </c>
      <c r="D40" s="9">
        <v>1</v>
      </c>
      <c r="E40" s="6" t="s">
        <v>55</v>
      </c>
      <c r="F40" s="10">
        <v>1609153</v>
      </c>
      <c r="G40" s="10">
        <f t="shared" si="0"/>
        <v>1609153</v>
      </c>
      <c r="H40" s="6">
        <v>45</v>
      </c>
      <c r="I40" s="3" t="e">
        <f>TRIM(#REF!&amp;" "&amp;#REF!)</f>
        <v>#REF!</v>
      </c>
      <c r="J40" s="11" t="e">
        <f>IF(KAR_ORANI="","",ROUND(#REF!*(1+KAR_ORANI)*(1-ISKONTO),0))</f>
        <v>#REF!</v>
      </c>
      <c r="K40" s="11" t="e">
        <f t="shared" si="1"/>
        <v>#REF!</v>
      </c>
    </row>
    <row r="41" spans="1:11" ht="42" customHeight="1" x14ac:dyDescent="0.25">
      <c r="A41" s="6">
        <v>26</v>
      </c>
      <c r="B41" s="7"/>
      <c r="C41" s="8" t="s">
        <v>26</v>
      </c>
      <c r="D41" s="9">
        <v>1</v>
      </c>
      <c r="E41" s="6" t="s">
        <v>55</v>
      </c>
      <c r="F41" s="10">
        <v>800689</v>
      </c>
      <c r="G41" s="10">
        <f t="shared" si="0"/>
        <v>800689</v>
      </c>
      <c r="H41" s="6">
        <v>45</v>
      </c>
      <c r="I41" s="3" t="e">
        <f>TRIM(#REF!&amp;" "&amp;#REF!)</f>
        <v>#REF!</v>
      </c>
      <c r="J41" s="11" t="e">
        <f>IF(KAR_ORANI="","",ROUND(#REF!*(1+KAR_ORANI)*(1-ISKONTO),0))</f>
        <v>#REF!</v>
      </c>
      <c r="K41" s="11" t="e">
        <f t="shared" si="1"/>
        <v>#REF!</v>
      </c>
    </row>
    <row r="42" spans="1:11" ht="42" customHeight="1" x14ac:dyDescent="0.25">
      <c r="A42" s="6">
        <v>27</v>
      </c>
      <c r="B42" s="7"/>
      <c r="C42" s="8" t="s">
        <v>27</v>
      </c>
      <c r="D42" s="9">
        <v>1</v>
      </c>
      <c r="E42" s="6" t="s">
        <v>55</v>
      </c>
      <c r="F42" s="10">
        <v>690977</v>
      </c>
      <c r="G42" s="10">
        <f t="shared" si="0"/>
        <v>690977</v>
      </c>
      <c r="H42" s="6">
        <v>45</v>
      </c>
      <c r="I42" s="3" t="e">
        <f>TRIM(#REF!&amp;" "&amp;#REF!)</f>
        <v>#REF!</v>
      </c>
      <c r="J42" s="11" t="e">
        <f>IF(KAR_ORANI="","",ROUND(#REF!*(1+KAR_ORANI)*(1-ISKONTO),0))</f>
        <v>#REF!</v>
      </c>
      <c r="K42" s="11" t="e">
        <f t="shared" si="1"/>
        <v>#REF!</v>
      </c>
    </row>
    <row r="43" spans="1:11" ht="42" customHeight="1" x14ac:dyDescent="0.25">
      <c r="A43" s="6">
        <v>28</v>
      </c>
      <c r="B43" s="7"/>
      <c r="C43" s="8" t="s">
        <v>28</v>
      </c>
      <c r="D43" s="9">
        <v>1</v>
      </c>
      <c r="E43" s="6" t="s">
        <v>55</v>
      </c>
      <c r="F43" s="10">
        <v>348769</v>
      </c>
      <c r="G43" s="10">
        <f t="shared" si="0"/>
        <v>348769</v>
      </c>
      <c r="H43" s="6">
        <v>45</v>
      </c>
      <c r="I43" s="3" t="e">
        <f>TRIM(#REF!&amp;" "&amp;#REF!)</f>
        <v>#REF!</v>
      </c>
      <c r="J43" s="11" t="e">
        <f>IF(KAR_ORANI="","",ROUND(#REF!*(1+KAR_ORANI)*(1-ISKONTO),0))</f>
        <v>#REF!</v>
      </c>
      <c r="K43" s="11" t="e">
        <f t="shared" si="1"/>
        <v>#REF!</v>
      </c>
    </row>
    <row r="44" spans="1:11" ht="21.75" customHeight="1" x14ac:dyDescent="0.25">
      <c r="A44" s="12"/>
      <c r="B44" s="5" t="s">
        <v>56</v>
      </c>
      <c r="C44" s="12"/>
      <c r="D44" s="12"/>
      <c r="E44" s="12"/>
      <c r="F44" s="12"/>
      <c r="G44" s="13">
        <f>SUM(G16:G43)</f>
        <v>25639447</v>
      </c>
      <c r="H44" s="12"/>
      <c r="I44" s="3" t="e">
        <f>IF(KAR_ORANI="","KÂR ORANI GİRİLMEDİ","")</f>
        <v>#REF!</v>
      </c>
      <c r="K44" s="11" t="e">
        <f>SUM(K16:K43)</f>
        <v>#REF!</v>
      </c>
    </row>
    <row r="46" spans="1:11" ht="24" customHeight="1" x14ac:dyDescent="0.25">
      <c r="A46" s="19" t="s">
        <v>63</v>
      </c>
      <c r="B46" s="19"/>
      <c r="C46" s="19"/>
      <c r="D46" s="19"/>
      <c r="E46" s="19"/>
      <c r="F46" s="19"/>
      <c r="G46" s="19"/>
      <c r="H46" s="19"/>
      <c r="I46" s="3" t="e">
        <f>IF(GECERLILIK&lt;&gt;"","Срок действия ценового предложения "&amp;GECERLILIK&amp;" рабочих дней.","")</f>
        <v>#REF!</v>
      </c>
      <c r="J46" s="3" t="e">
        <f>IF(I46="","",COUNTIF(I$46:I46,"?*"))</f>
        <v>#REF!</v>
      </c>
    </row>
    <row r="47" spans="1:11" ht="24" customHeight="1" x14ac:dyDescent="0.25">
      <c r="A47" s="19" t="s">
        <v>64</v>
      </c>
      <c r="B47" s="19"/>
      <c r="C47" s="19"/>
      <c r="D47" s="19"/>
      <c r="E47" s="19"/>
      <c r="F47" s="19"/>
      <c r="G47" s="19"/>
      <c r="H47" s="19"/>
      <c r="I47" s="3" t="e">
        <f>IF(TESLIM_YERI&lt;&gt;"","Место поставки: "&amp;TESLIM_YERI&amp;".","")</f>
        <v>#REF!</v>
      </c>
      <c r="J47" s="3" t="e">
        <f>IF(I47="","",COUNTIF(I$46:I47,"?*"))</f>
        <v>#REF!</v>
      </c>
    </row>
    <row r="48" spans="1:11" ht="24" customHeight="1" x14ac:dyDescent="0.25">
      <c r="A48" s="19" t="s">
        <v>69</v>
      </c>
      <c r="B48" s="19"/>
      <c r="C48" s="19"/>
      <c r="D48" s="19"/>
      <c r="E48" s="19"/>
      <c r="F48" s="19"/>
      <c r="G48" s="19"/>
      <c r="H48" s="19"/>
      <c r="I48" s="3" t="e">
        <f>IF(ODEME&lt;&gt;"","Условия оплаты: "&amp;ODEME&amp;".","")</f>
        <v>#REF!</v>
      </c>
      <c r="J48" s="3" t="e">
        <f>IF(I48="","",COUNTIF(I$46:I48,"?*"))</f>
        <v>#REF!</v>
      </c>
    </row>
    <row r="49" spans="1:10" ht="24" customHeight="1" x14ac:dyDescent="0.25">
      <c r="A49" s="19" t="s">
        <v>65</v>
      </c>
      <c r="B49" s="19"/>
      <c r="C49" s="19"/>
      <c r="D49" s="19"/>
      <c r="E49" s="19"/>
      <c r="F49" s="19"/>
      <c r="G49" s="19"/>
      <c r="H49" s="19"/>
      <c r="I49" s="3" t="e">
        <f>IF(GARANTI&lt;&gt;"","Гарантия: "&amp;GARANTI&amp;".","")</f>
        <v>#REF!</v>
      </c>
      <c r="J49" s="3" t="e">
        <f>IF(I49="","",COUNTIF(I$46:I49,"?*"))</f>
        <v>#REF!</v>
      </c>
    </row>
    <row r="50" spans="1:10" ht="24" customHeight="1" x14ac:dyDescent="0.25">
      <c r="A50" s="19" t="s">
        <v>66</v>
      </c>
      <c r="B50" s="19"/>
      <c r="C50" s="19"/>
      <c r="D50" s="19"/>
      <c r="E50" s="19"/>
      <c r="F50" s="19"/>
      <c r="G50" s="19"/>
      <c r="H50" s="19"/>
      <c r="I50" s="3" t="e">
        <f>IF(1=1,"В щитах с системой сборных шин применяются "&amp;IF(BARA_MALZEME="AL","алюминиевые (Al)","медные (Cu)")&amp;" шины.","")</f>
        <v>#REF!</v>
      </c>
      <c r="J50" s="3" t="e">
        <f>IF(I50="","",COUNTIF(I$46:I50,"?*"))</f>
        <v>#REF!</v>
      </c>
    </row>
    <row r="51" spans="1:10" ht="24" customHeight="1" x14ac:dyDescent="0.25">
      <c r="A51" s="19" t="s">
        <v>70</v>
      </c>
      <c r="B51" s="19"/>
      <c r="C51" s="19"/>
      <c r="D51" s="19"/>
      <c r="E51" s="19"/>
      <c r="F51" s="19"/>
      <c r="G51" s="19"/>
      <c r="H51" s="19"/>
      <c r="I51" s="3" t="e">
        <f>IF(SALT_MARKA&lt;&gt;"","Коммутационная аппаратура (автоматические выключатели, рубильники, контакторы и др.): "&amp;SALT_MARKA&amp;".","")</f>
        <v>#REF!</v>
      </c>
      <c r="J51" s="3" t="e">
        <f>IF(I51="","",COUNTIF(I$46:I51,"?*"))</f>
        <v>#REF!</v>
      </c>
    </row>
    <row r="52" spans="1:10" ht="24" customHeight="1" x14ac:dyDescent="0.25">
      <c r="A52" s="19" t="s">
        <v>71</v>
      </c>
      <c r="B52" s="19"/>
      <c r="C52" s="19"/>
      <c r="D52" s="19"/>
      <c r="E52" s="19"/>
      <c r="F52" s="19"/>
      <c r="G52" s="19"/>
      <c r="H52" s="19"/>
      <c r="I52" s="3" t="e">
        <f>IF(SERTIFIKAT&lt;&gt;"",SERTIFIKAT,"")</f>
        <v>#REF!</v>
      </c>
      <c r="J52" s="3" t="e">
        <f>IF(I52="","",COUNTIF(I$46:I52,"?*"))</f>
        <v>#REF!</v>
      </c>
    </row>
    <row r="53" spans="1:10" ht="24" customHeight="1" x14ac:dyDescent="0.25">
      <c r="A53" s="19" t="s">
        <v>72</v>
      </c>
      <c r="B53" s="19"/>
      <c r="C53" s="19"/>
      <c r="D53" s="19"/>
      <c r="E53" s="19"/>
      <c r="F53" s="19"/>
      <c r="G53" s="19"/>
      <c r="H53" s="19"/>
      <c r="I53" s="3" t="e">
        <f>IF(PROJE_NOT&lt;&gt;"",PROJE_NOT,"")</f>
        <v>#REF!</v>
      </c>
      <c r="J53" s="3" t="e">
        <f>IF(I53="","",COUNTIF(I$46:I53,"?*"))</f>
        <v>#REF!</v>
      </c>
    </row>
    <row r="55" spans="1:10" ht="19.5" customHeight="1" x14ac:dyDescent="0.25">
      <c r="A55" s="15" t="s">
        <v>62</v>
      </c>
      <c r="B55" s="15"/>
      <c r="C55" s="15"/>
      <c r="D55" s="15"/>
      <c r="E55" s="15"/>
      <c r="F55" s="15"/>
      <c r="G55" s="15"/>
      <c r="H55" s="15"/>
    </row>
    <row r="57" spans="1:10" ht="15" customHeight="1" x14ac:dyDescent="0.25">
      <c r="A57" s="16" t="s">
        <v>57</v>
      </c>
      <c r="B57" s="16"/>
      <c r="C57" s="16"/>
    </row>
    <row r="58" spans="1:10" x14ac:dyDescent="0.25">
      <c r="A58" s="16" t="s">
        <v>62</v>
      </c>
      <c r="B58" s="16"/>
      <c r="C58" s="16"/>
      <c r="F58" s="16" t="s">
        <v>62</v>
      </c>
      <c r="G58" s="16"/>
      <c r="H58" s="16"/>
    </row>
    <row r="61" spans="1:10" x14ac:dyDescent="0.25">
      <c r="A61" s="14" t="s">
        <v>58</v>
      </c>
      <c r="B61" s="14"/>
      <c r="C61" s="1" t="s">
        <v>67</v>
      </c>
      <c r="E61" s="17" t="s">
        <v>59</v>
      </c>
      <c r="F61" s="17"/>
      <c r="G61" s="18" t="s">
        <v>62</v>
      </c>
      <c r="H61" s="18"/>
    </row>
    <row r="62" spans="1:10" x14ac:dyDescent="0.25">
      <c r="A62" s="14" t="s">
        <v>60</v>
      </c>
      <c r="B62" s="14"/>
      <c r="C62" s="1" t="s">
        <v>67</v>
      </c>
    </row>
    <row r="63" spans="1:10" x14ac:dyDescent="0.25">
      <c r="A63" s="14" t="s">
        <v>61</v>
      </c>
      <c r="B63" s="14"/>
      <c r="C63" s="1" t="s">
        <v>68</v>
      </c>
    </row>
    <row r="64" spans="1:10" x14ac:dyDescent="0.25">
      <c r="A64" s="14" t="s">
        <v>31</v>
      </c>
      <c r="B64" s="14"/>
      <c r="C64" s="1" t="s">
        <v>67</v>
      </c>
    </row>
    <row r="65" spans="1:3" x14ac:dyDescent="0.25">
      <c r="A65" s="14" t="s">
        <v>32</v>
      </c>
      <c r="B65" s="14"/>
      <c r="C65" s="1" t="s">
        <v>67</v>
      </c>
    </row>
    <row r="66" spans="1:3" x14ac:dyDescent="0.25">
      <c r="A66" s="14" t="s">
        <v>33</v>
      </c>
      <c r="B66" s="14"/>
      <c r="C66" s="1" t="s">
        <v>67</v>
      </c>
    </row>
    <row r="67" spans="1:3" ht="33.75" customHeight="1" x14ac:dyDescent="0.25"/>
  </sheetData>
  <mergeCells count="38">
    <mergeCell ref="G1:H3"/>
    <mergeCell ref="A5:H5"/>
    <mergeCell ref="A7:B7"/>
    <mergeCell ref="D7:E7"/>
    <mergeCell ref="F7:H7"/>
    <mergeCell ref="A8:B8"/>
    <mergeCell ref="D8:E8"/>
    <mergeCell ref="F8:H8"/>
    <mergeCell ref="D9:E9"/>
    <mergeCell ref="F9:H9"/>
    <mergeCell ref="D10:E10"/>
    <mergeCell ref="F10:H10"/>
    <mergeCell ref="D11:E11"/>
    <mergeCell ref="F11:H11"/>
    <mergeCell ref="D12:E12"/>
    <mergeCell ref="F12:H12"/>
    <mergeCell ref="D13:E13"/>
    <mergeCell ref="F13:H13"/>
    <mergeCell ref="A46:H46"/>
    <mergeCell ref="A47:H47"/>
    <mergeCell ref="A48:H48"/>
    <mergeCell ref="A49:H49"/>
    <mergeCell ref="A50:H50"/>
    <mergeCell ref="A51:H51"/>
    <mergeCell ref="A52:H52"/>
    <mergeCell ref="A53:H53"/>
    <mergeCell ref="A55:H55"/>
    <mergeCell ref="A57:C57"/>
    <mergeCell ref="A58:C58"/>
    <mergeCell ref="F58:H58"/>
    <mergeCell ref="A61:B61"/>
    <mergeCell ref="E61:F61"/>
    <mergeCell ref="G61:H61"/>
    <mergeCell ref="A62:B62"/>
    <mergeCell ref="A63:B63"/>
    <mergeCell ref="A64:B64"/>
    <mergeCell ref="A65:B65"/>
    <mergeCell ref="A66:B66"/>
  </mergeCells>
  <pageMargins left="0.4" right="0.4" top="0.4" bottom="0.5" header="0.511811023622047" footer="0.5"/>
  <pageSetup paperSize="9" fitToHeight="0" orientation="portrait" horizontalDpi="300" verticalDpi="300"/>
  <headerFooter>
    <oddFooter>&amp;CСтраница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TEKLIF</vt:lpstr>
      <vt:lpstr>TEKLIF!Yazdırma_Alanı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2026-09-30T03:19:33Z</dcterms:created>
  <dcterms:modified xsi:type="dcterms:W3CDTF">2026-10-05T09:29:19Z</dcterms:modified>
  <dc:language>en-US</dc:language>
</cp:coreProperties>
</file>