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7470" tabRatio="500"/>
  </bookViews>
  <sheets>
    <sheet name="BOM" sheetId="1" r:id="rId1"/>
    <sheet name="FIYAT" sheetId="2" r:id="rId2"/>
    <sheet name="KURALLAR" sheetId="3" r:id="rId3"/>
    <sheet name="OZET" sheetId="4" r:id="rId4"/>
    <sheet name="ДОПУЩЕНИЯ" sheetId="5" r:id="rId5"/>
  </sheets>
  <definedNames>
    <definedName name="_xlnm._FilterDatabase" localSheetId="0" hidden="1">BOM!$A$1:$N$1</definedName>
  </definedNames>
  <calcPr calcId="162913" refMode="R1C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72" i="1" l="1"/>
  <c r="N172" i="1" s="1"/>
  <c r="I172" i="1"/>
  <c r="F172" i="1"/>
  <c r="G172" i="1" s="1"/>
  <c r="M137" i="1"/>
  <c r="N137" i="1" s="1"/>
  <c r="I137" i="1"/>
  <c r="F137" i="1"/>
  <c r="G137" i="1" s="1"/>
  <c r="M102" i="1"/>
  <c r="N102" i="1" s="1"/>
  <c r="I102" i="1"/>
  <c r="F102" i="1"/>
  <c r="G102" i="1" s="1"/>
  <c r="M68" i="1"/>
  <c r="N68" i="1" s="1"/>
  <c r="I68" i="1"/>
  <c r="F68" i="1"/>
  <c r="G68" i="1" s="1"/>
  <c r="F3" i="1"/>
  <c r="G3" i="1" s="1"/>
  <c r="F36" i="1"/>
  <c r="M36" i="1"/>
  <c r="N36" i="1" s="1"/>
  <c r="I36" i="1"/>
  <c r="G36" i="1"/>
  <c r="M3" i="1"/>
  <c r="N3" i="1" s="1"/>
  <c r="I3" i="1"/>
  <c r="M199" i="1"/>
  <c r="N199" i="1" s="1"/>
  <c r="I199" i="1"/>
  <c r="G199" i="1"/>
  <c r="M198" i="1"/>
  <c r="N198" i="1" s="1"/>
  <c r="I198" i="1"/>
  <c r="G198" i="1"/>
  <c r="M163" i="1"/>
  <c r="N163" i="1" s="1"/>
  <c r="I163" i="1"/>
  <c r="G163" i="1"/>
  <c r="M162" i="1"/>
  <c r="N162" i="1" s="1"/>
  <c r="I162" i="1"/>
  <c r="G162" i="1"/>
  <c r="M128" i="1"/>
  <c r="N128" i="1" s="1"/>
  <c r="I128" i="1"/>
  <c r="G128" i="1"/>
  <c r="M127" i="1"/>
  <c r="N127" i="1" s="1"/>
  <c r="I127" i="1"/>
  <c r="G127" i="1"/>
  <c r="M95" i="1"/>
  <c r="N95" i="1" s="1"/>
  <c r="I95" i="1"/>
  <c r="G95" i="1"/>
  <c r="M94" i="1"/>
  <c r="N94" i="1" s="1"/>
  <c r="I94" i="1"/>
  <c r="G94" i="1"/>
  <c r="D96" i="1"/>
  <c r="E96" i="1"/>
  <c r="F96" i="1"/>
  <c r="G96" i="1" s="1"/>
  <c r="I96" i="1"/>
  <c r="J96" i="1"/>
  <c r="M96" i="1"/>
  <c r="N96" i="1" s="1"/>
  <c r="M61" i="1"/>
  <c r="N61" i="1" s="1"/>
  <c r="I61" i="1"/>
  <c r="G61" i="1"/>
  <c r="M60" i="1"/>
  <c r="N60" i="1" s="1"/>
  <c r="I60" i="1"/>
  <c r="G60" i="1"/>
  <c r="M29" i="1"/>
  <c r="N29" i="1" s="1"/>
  <c r="I29" i="1"/>
  <c r="G29" i="1"/>
  <c r="M28" i="1"/>
  <c r="N28" i="1" s="1"/>
  <c r="I28" i="1"/>
  <c r="G28" i="1"/>
  <c r="M197" i="1"/>
  <c r="N197" i="1" s="1"/>
  <c r="G197" i="1"/>
  <c r="M195" i="1"/>
  <c r="N195" i="1" s="1"/>
  <c r="G195" i="1"/>
  <c r="M182" i="1"/>
  <c r="N182" i="1" s="1"/>
  <c r="G182" i="1"/>
  <c r="M159" i="1"/>
  <c r="N159" i="1" s="1"/>
  <c r="G159" i="1"/>
  <c r="M161" i="1"/>
  <c r="N161" i="1" s="1"/>
  <c r="G161" i="1"/>
  <c r="M147" i="1"/>
  <c r="N147" i="1" s="1"/>
  <c r="G147" i="1"/>
  <c r="M124" i="1"/>
  <c r="N124" i="1" s="1"/>
  <c r="G124" i="1"/>
  <c r="M126" i="1"/>
  <c r="N126" i="1" s="1"/>
  <c r="G126" i="1"/>
  <c r="M112" i="1"/>
  <c r="N112" i="1" s="1"/>
  <c r="G112" i="1"/>
  <c r="M91" i="1"/>
  <c r="N91" i="1" s="1"/>
  <c r="G91" i="1"/>
  <c r="M93" i="1"/>
  <c r="N93" i="1" s="1"/>
  <c r="G93" i="1"/>
  <c r="M78" i="1"/>
  <c r="N78" i="1" s="1"/>
  <c r="G78" i="1"/>
  <c r="M57" i="1" l="1"/>
  <c r="N57" i="1" s="1"/>
  <c r="G57" i="1"/>
  <c r="M59" i="1"/>
  <c r="N59" i="1" s="1"/>
  <c r="G59" i="1"/>
  <c r="M46" i="1"/>
  <c r="N46" i="1" s="1"/>
  <c r="G46" i="1"/>
  <c r="G27" i="1"/>
  <c r="I36" i="2"/>
  <c r="J36" i="2" s="1"/>
  <c r="M27" i="1"/>
  <c r="N27" i="1" s="1"/>
  <c r="D58" i="1"/>
  <c r="M25" i="1"/>
  <c r="N25" i="1" s="1"/>
  <c r="G25" i="1"/>
  <c r="I35" i="2"/>
  <c r="J35" i="2"/>
  <c r="I34" i="2"/>
  <c r="J34" i="2"/>
  <c r="M22" i="1"/>
  <c r="N22" i="1" s="1"/>
  <c r="G22" i="1"/>
  <c r="G13" i="1"/>
  <c r="J33" i="2"/>
  <c r="I33" i="2"/>
  <c r="M13" i="1"/>
  <c r="N13" i="1" s="1"/>
  <c r="D12" i="1" l="1"/>
  <c r="E9" i="1"/>
  <c r="G8" i="4"/>
  <c r="J32" i="2"/>
  <c r="F76" i="1" s="1"/>
  <c r="G76" i="1" s="1"/>
  <c r="I32" i="2"/>
  <c r="J31" i="2"/>
  <c r="F109" i="1" s="1"/>
  <c r="G109" i="1" s="1"/>
  <c r="I31" i="2"/>
  <c r="J30" i="2"/>
  <c r="F194" i="1" s="1"/>
  <c r="G194" i="1" s="1"/>
  <c r="I30" i="2"/>
  <c r="E194" i="1" s="1"/>
  <c r="I29" i="2"/>
  <c r="J29" i="2" s="1"/>
  <c r="F122" i="1" s="1"/>
  <c r="G122" i="1" s="1"/>
  <c r="I28" i="2"/>
  <c r="J28" i="2" s="1"/>
  <c r="I27" i="2"/>
  <c r="J27" i="2"/>
  <c r="I26" i="2"/>
  <c r="E175" i="1" s="1"/>
  <c r="I25" i="2"/>
  <c r="I24" i="2"/>
  <c r="J24" i="2"/>
  <c r="I23" i="2"/>
  <c r="J23" i="2"/>
  <c r="I22" i="2"/>
  <c r="E178" i="1" s="1"/>
  <c r="J22" i="2"/>
  <c r="I21" i="2"/>
  <c r="J20" i="2"/>
  <c r="F132" i="1" s="1"/>
  <c r="G132" i="1" s="1"/>
  <c r="I20" i="2"/>
  <c r="J19" i="2"/>
  <c r="F30" i="1" s="1"/>
  <c r="G30" i="1" s="1"/>
  <c r="I19" i="2"/>
  <c r="I18" i="2"/>
  <c r="E166" i="1" s="1"/>
  <c r="I17" i="2"/>
  <c r="J17" i="2" s="1"/>
  <c r="F129" i="1" s="1"/>
  <c r="G129" i="1" s="1"/>
  <c r="I16" i="2"/>
  <c r="E201" i="1" s="1"/>
  <c r="I15" i="2"/>
  <c r="J15" i="2"/>
  <c r="I14" i="2"/>
  <c r="J14" i="2" s="1"/>
  <c r="I13" i="2"/>
  <c r="I12" i="2"/>
  <c r="E87" i="1" s="1"/>
  <c r="I11" i="2"/>
  <c r="J11" i="2"/>
  <c r="I10" i="2"/>
  <c r="J10" i="2" s="1"/>
  <c r="I9" i="2"/>
  <c r="J9" i="2" s="1"/>
  <c r="F152" i="1" s="1"/>
  <c r="G152" i="1" s="1"/>
  <c r="J8" i="2"/>
  <c r="F50" i="1" s="1"/>
  <c r="G50" i="1" s="1"/>
  <c r="I8" i="2"/>
  <c r="J7" i="2"/>
  <c r="F82" i="1" s="1"/>
  <c r="G82" i="1" s="1"/>
  <c r="I7" i="2"/>
  <c r="J6" i="2"/>
  <c r="F16" i="1" s="1"/>
  <c r="G16" i="1" s="1"/>
  <c r="I6" i="2"/>
  <c r="I5" i="2"/>
  <c r="I4" i="2"/>
  <c r="J4" i="2" s="1"/>
  <c r="F103" i="1" s="1"/>
  <c r="G103" i="1" s="1"/>
  <c r="J3" i="2"/>
  <c r="F138" i="1" s="1"/>
  <c r="G138" i="1" s="1"/>
  <c r="I3" i="2"/>
  <c r="I2" i="2"/>
  <c r="J2" i="2" s="1"/>
  <c r="E203" i="1"/>
  <c r="F203" i="1" s="1"/>
  <c r="M201" i="1"/>
  <c r="N201" i="1" s="1"/>
  <c r="J201" i="1"/>
  <c r="I201" i="1"/>
  <c r="D201" i="1"/>
  <c r="M200" i="1"/>
  <c r="N200" i="1" s="1"/>
  <c r="J200" i="1"/>
  <c r="I200" i="1"/>
  <c r="E200" i="1"/>
  <c r="D200" i="1"/>
  <c r="M196" i="1"/>
  <c r="N196" i="1" s="1"/>
  <c r="J196" i="1"/>
  <c r="I196" i="1"/>
  <c r="E196" i="1"/>
  <c r="D196" i="1"/>
  <c r="M194" i="1"/>
  <c r="N194" i="1" s="1"/>
  <c r="J194" i="1"/>
  <c r="I194" i="1"/>
  <c r="D194" i="1"/>
  <c r="M193" i="1"/>
  <c r="N193" i="1" s="1"/>
  <c r="J193" i="1"/>
  <c r="I193" i="1"/>
  <c r="D193" i="1"/>
  <c r="M192" i="1"/>
  <c r="N192" i="1" s="1"/>
  <c r="J192" i="1"/>
  <c r="I192" i="1"/>
  <c r="D192" i="1"/>
  <c r="M191" i="1"/>
  <c r="N191" i="1" s="1"/>
  <c r="J191" i="1"/>
  <c r="I191" i="1"/>
  <c r="E191" i="1"/>
  <c r="D191" i="1"/>
  <c r="M190" i="1"/>
  <c r="N190" i="1" s="1"/>
  <c r="J190" i="1"/>
  <c r="I190" i="1"/>
  <c r="E190" i="1"/>
  <c r="D190" i="1"/>
  <c r="M189" i="1"/>
  <c r="N189" i="1" s="1"/>
  <c r="J189" i="1"/>
  <c r="I189" i="1"/>
  <c r="E189" i="1"/>
  <c r="D189" i="1"/>
  <c r="M188" i="1"/>
  <c r="N188" i="1" s="1"/>
  <c r="J188" i="1"/>
  <c r="I188" i="1"/>
  <c r="F188" i="1"/>
  <c r="G188" i="1" s="1"/>
  <c r="D188" i="1"/>
  <c r="M187" i="1"/>
  <c r="N187" i="1" s="1"/>
  <c r="J187" i="1"/>
  <c r="I187" i="1"/>
  <c r="E187" i="1"/>
  <c r="D187" i="1"/>
  <c r="M186" i="1"/>
  <c r="N186" i="1" s="1"/>
  <c r="J186" i="1"/>
  <c r="I186" i="1"/>
  <c r="F186" i="1"/>
  <c r="G186" i="1" s="1"/>
  <c r="E186" i="1"/>
  <c r="D186" i="1"/>
  <c r="M185" i="1"/>
  <c r="N185" i="1" s="1"/>
  <c r="J185" i="1"/>
  <c r="I185" i="1"/>
  <c r="E185" i="1"/>
  <c r="D185" i="1"/>
  <c r="M184" i="1"/>
  <c r="N184" i="1" s="1"/>
  <c r="J184" i="1"/>
  <c r="I184" i="1"/>
  <c r="D184" i="1"/>
  <c r="M183" i="1"/>
  <c r="N183" i="1" s="1"/>
  <c r="J183" i="1"/>
  <c r="I183" i="1"/>
  <c r="E183" i="1"/>
  <c r="D183" i="1"/>
  <c r="M181" i="1"/>
  <c r="N181" i="1" s="1"/>
  <c r="J181" i="1"/>
  <c r="I181" i="1"/>
  <c r="E181" i="1"/>
  <c r="D181" i="1"/>
  <c r="M180" i="1"/>
  <c r="N180" i="1" s="1"/>
  <c r="J180" i="1"/>
  <c r="I180" i="1"/>
  <c r="E180" i="1"/>
  <c r="D180" i="1"/>
  <c r="M179" i="1"/>
  <c r="N179" i="1" s="1"/>
  <c r="J179" i="1"/>
  <c r="I179" i="1"/>
  <c r="F179" i="1"/>
  <c r="G179" i="1" s="1"/>
  <c r="E179" i="1"/>
  <c r="D179" i="1"/>
  <c r="M178" i="1"/>
  <c r="N178" i="1" s="1"/>
  <c r="J178" i="1"/>
  <c r="I178" i="1"/>
  <c r="D178" i="1"/>
  <c r="M177" i="1"/>
  <c r="N177" i="1" s="1"/>
  <c r="J177" i="1"/>
  <c r="I177" i="1"/>
  <c r="E177" i="1"/>
  <c r="D177" i="1"/>
  <c r="M176" i="1"/>
  <c r="N176" i="1" s="1"/>
  <c r="J176" i="1"/>
  <c r="I176" i="1"/>
  <c r="E176" i="1"/>
  <c r="D176" i="1"/>
  <c r="M175" i="1"/>
  <c r="N175" i="1" s="1"/>
  <c r="J175" i="1"/>
  <c r="I175" i="1"/>
  <c r="D175" i="1"/>
  <c r="M174" i="1"/>
  <c r="N174" i="1" s="1"/>
  <c r="J174" i="1"/>
  <c r="I174" i="1"/>
  <c r="D174" i="1"/>
  <c r="M173" i="1"/>
  <c r="N173" i="1" s="1"/>
  <c r="J173" i="1"/>
  <c r="I173" i="1"/>
  <c r="D173" i="1"/>
  <c r="E169" i="1"/>
  <c r="F169" i="1" s="1"/>
  <c r="M167" i="1"/>
  <c r="N167" i="1" s="1"/>
  <c r="J167" i="1"/>
  <c r="I167" i="1"/>
  <c r="E167" i="1"/>
  <c r="D167" i="1"/>
  <c r="M166" i="1"/>
  <c r="N166" i="1" s="1"/>
  <c r="J166" i="1"/>
  <c r="I166" i="1"/>
  <c r="D166" i="1"/>
  <c r="M165" i="1"/>
  <c r="N165" i="1" s="1"/>
  <c r="J165" i="1"/>
  <c r="I165" i="1"/>
  <c r="D165" i="1"/>
  <c r="M164" i="1"/>
  <c r="N164" i="1" s="1"/>
  <c r="J164" i="1"/>
  <c r="I164" i="1"/>
  <c r="E164" i="1"/>
  <c r="D164" i="1"/>
  <c r="M160" i="1"/>
  <c r="N160" i="1" s="1"/>
  <c r="J160" i="1"/>
  <c r="I160" i="1"/>
  <c r="E160" i="1"/>
  <c r="D160" i="1"/>
  <c r="M158" i="1"/>
  <c r="N158" i="1" s="1"/>
  <c r="J158" i="1"/>
  <c r="I158" i="1"/>
  <c r="E158" i="1"/>
  <c r="D158" i="1"/>
  <c r="M157" i="1"/>
  <c r="N157" i="1" s="1"/>
  <c r="J157" i="1"/>
  <c r="I157" i="1"/>
  <c r="D157" i="1"/>
  <c r="M156" i="1"/>
  <c r="N156" i="1" s="1"/>
  <c r="J156" i="1"/>
  <c r="I156" i="1"/>
  <c r="E156" i="1"/>
  <c r="D156" i="1"/>
  <c r="M155" i="1"/>
  <c r="N155" i="1" s="1"/>
  <c r="J155" i="1"/>
  <c r="I155" i="1"/>
  <c r="E155" i="1"/>
  <c r="D155" i="1"/>
  <c r="M154" i="1"/>
  <c r="N154" i="1" s="1"/>
  <c r="J154" i="1"/>
  <c r="I154" i="1"/>
  <c r="E154" i="1"/>
  <c r="D154" i="1"/>
  <c r="M153" i="1"/>
  <c r="N153" i="1" s="1"/>
  <c r="J153" i="1"/>
  <c r="I153" i="1"/>
  <c r="E153" i="1"/>
  <c r="D153" i="1"/>
  <c r="M152" i="1"/>
  <c r="N152" i="1" s="1"/>
  <c r="J152" i="1"/>
  <c r="I152" i="1"/>
  <c r="D152" i="1"/>
  <c r="M151" i="1"/>
  <c r="N151" i="1" s="1"/>
  <c r="J151" i="1"/>
  <c r="I151" i="1"/>
  <c r="F151" i="1"/>
  <c r="G151" i="1" s="1"/>
  <c r="E151" i="1"/>
  <c r="D151" i="1"/>
  <c r="M150" i="1"/>
  <c r="N150" i="1" s="1"/>
  <c r="J150" i="1"/>
  <c r="I150" i="1"/>
  <c r="F150" i="1"/>
  <c r="G150" i="1" s="1"/>
  <c r="E150" i="1"/>
  <c r="D150" i="1"/>
  <c r="M149" i="1"/>
  <c r="N149" i="1" s="1"/>
  <c r="J149" i="1"/>
  <c r="I149" i="1"/>
  <c r="E149" i="1"/>
  <c r="D149" i="1"/>
  <c r="M148" i="1"/>
  <c r="N148" i="1" s="1"/>
  <c r="J148" i="1"/>
  <c r="I148" i="1"/>
  <c r="E148" i="1"/>
  <c r="D148" i="1"/>
  <c r="M146" i="1"/>
  <c r="N146" i="1" s="1"/>
  <c r="J146" i="1"/>
  <c r="I146" i="1"/>
  <c r="E146" i="1"/>
  <c r="D146" i="1"/>
  <c r="M145" i="1"/>
  <c r="N145" i="1" s="1"/>
  <c r="J145" i="1"/>
  <c r="I145" i="1"/>
  <c r="F145" i="1"/>
  <c r="G145" i="1" s="1"/>
  <c r="E145" i="1"/>
  <c r="D145" i="1"/>
  <c r="M144" i="1"/>
  <c r="N144" i="1" s="1"/>
  <c r="J144" i="1"/>
  <c r="I144" i="1"/>
  <c r="E144" i="1"/>
  <c r="D144" i="1"/>
  <c r="M143" i="1"/>
  <c r="N143" i="1" s="1"/>
  <c r="J143" i="1"/>
  <c r="I143" i="1"/>
  <c r="D143" i="1"/>
  <c r="M142" i="1"/>
  <c r="N142" i="1" s="1"/>
  <c r="J142" i="1"/>
  <c r="I142" i="1"/>
  <c r="E142" i="1"/>
  <c r="D142" i="1"/>
  <c r="M141" i="1"/>
  <c r="N141" i="1" s="1"/>
  <c r="J141" i="1"/>
  <c r="I141" i="1"/>
  <c r="E141" i="1"/>
  <c r="D141" i="1"/>
  <c r="M140" i="1"/>
  <c r="N140" i="1" s="1"/>
  <c r="J140" i="1"/>
  <c r="I140" i="1"/>
  <c r="D140" i="1"/>
  <c r="M139" i="1"/>
  <c r="N139" i="1" s="1"/>
  <c r="J139" i="1"/>
  <c r="I139" i="1"/>
  <c r="E139" i="1"/>
  <c r="D139" i="1"/>
  <c r="M138" i="1"/>
  <c r="N138" i="1" s="1"/>
  <c r="J138" i="1"/>
  <c r="I138" i="1"/>
  <c r="E138" i="1"/>
  <c r="D138" i="1"/>
  <c r="E134" i="1"/>
  <c r="F134" i="1" s="1"/>
  <c r="M132" i="1"/>
  <c r="N132" i="1" s="1"/>
  <c r="J132" i="1"/>
  <c r="I132" i="1"/>
  <c r="E132" i="1"/>
  <c r="D132" i="1"/>
  <c r="M131" i="1"/>
  <c r="N131" i="1" s="1"/>
  <c r="J131" i="1"/>
  <c r="I131" i="1"/>
  <c r="E131" i="1"/>
  <c r="D131" i="1"/>
  <c r="M130" i="1"/>
  <c r="N130" i="1" s="1"/>
  <c r="J130" i="1"/>
  <c r="I130" i="1"/>
  <c r="D130" i="1"/>
  <c r="M129" i="1"/>
  <c r="N129" i="1" s="1"/>
  <c r="J129" i="1"/>
  <c r="I129" i="1"/>
  <c r="D129" i="1"/>
  <c r="M125" i="1"/>
  <c r="N125" i="1" s="1"/>
  <c r="J125" i="1"/>
  <c r="I125" i="1"/>
  <c r="E125" i="1"/>
  <c r="D125" i="1"/>
  <c r="M123" i="1"/>
  <c r="N123" i="1" s="1"/>
  <c r="J123" i="1"/>
  <c r="I123" i="1"/>
  <c r="E123" i="1"/>
  <c r="D123" i="1"/>
  <c r="M122" i="1"/>
  <c r="N122" i="1" s="1"/>
  <c r="J122" i="1"/>
  <c r="I122" i="1"/>
  <c r="D122" i="1"/>
  <c r="M121" i="1"/>
  <c r="N121" i="1" s="1"/>
  <c r="J121" i="1"/>
  <c r="I121" i="1"/>
  <c r="E121" i="1"/>
  <c r="D121" i="1"/>
  <c r="M120" i="1"/>
  <c r="N120" i="1" s="1"/>
  <c r="J120" i="1"/>
  <c r="I120" i="1"/>
  <c r="E120" i="1"/>
  <c r="D120" i="1"/>
  <c r="M119" i="1"/>
  <c r="N119" i="1" s="1"/>
  <c r="J119" i="1"/>
  <c r="I119" i="1"/>
  <c r="E119" i="1"/>
  <c r="D119" i="1"/>
  <c r="M118" i="1"/>
  <c r="N118" i="1" s="1"/>
  <c r="J118" i="1"/>
  <c r="I118" i="1"/>
  <c r="E118" i="1"/>
  <c r="D118" i="1"/>
  <c r="M117" i="1"/>
  <c r="N117" i="1" s="1"/>
  <c r="J117" i="1"/>
  <c r="I117" i="1"/>
  <c r="F117" i="1"/>
  <c r="G117" i="1" s="1"/>
  <c r="D117" i="1"/>
  <c r="M116" i="1"/>
  <c r="N116" i="1" s="1"/>
  <c r="J116" i="1"/>
  <c r="I116" i="1"/>
  <c r="E116" i="1"/>
  <c r="D116" i="1"/>
  <c r="M115" i="1"/>
  <c r="N115" i="1" s="1"/>
  <c r="J115" i="1"/>
  <c r="I115" i="1"/>
  <c r="F115" i="1"/>
  <c r="G115" i="1" s="1"/>
  <c r="E115" i="1"/>
  <c r="D115" i="1"/>
  <c r="M114" i="1"/>
  <c r="N114" i="1" s="1"/>
  <c r="J114" i="1"/>
  <c r="I114" i="1"/>
  <c r="D114" i="1"/>
  <c r="M113" i="1"/>
  <c r="N113" i="1" s="1"/>
  <c r="J113" i="1"/>
  <c r="I113" i="1"/>
  <c r="E113" i="1"/>
  <c r="D113" i="1"/>
  <c r="M111" i="1"/>
  <c r="N111" i="1" s="1"/>
  <c r="J111" i="1"/>
  <c r="I111" i="1"/>
  <c r="E111" i="1"/>
  <c r="D111" i="1"/>
  <c r="M110" i="1"/>
  <c r="N110" i="1" s="1"/>
  <c r="J110" i="1"/>
  <c r="I110" i="1"/>
  <c r="F110" i="1"/>
  <c r="G110" i="1" s="1"/>
  <c r="E110" i="1"/>
  <c r="D110" i="1"/>
  <c r="M109" i="1"/>
  <c r="N109" i="1" s="1"/>
  <c r="J109" i="1"/>
  <c r="I109" i="1"/>
  <c r="E109" i="1"/>
  <c r="D109" i="1"/>
  <c r="M108" i="1"/>
  <c r="N108" i="1" s="1"/>
  <c r="J108" i="1"/>
  <c r="I108" i="1"/>
  <c r="E108" i="1"/>
  <c r="D108" i="1"/>
  <c r="M107" i="1"/>
  <c r="N107" i="1" s="1"/>
  <c r="J107" i="1"/>
  <c r="I107" i="1"/>
  <c r="D107" i="1"/>
  <c r="M106" i="1"/>
  <c r="N106" i="1" s="1"/>
  <c r="J106" i="1"/>
  <c r="I106" i="1"/>
  <c r="E106" i="1"/>
  <c r="D106" i="1"/>
  <c r="M105" i="1"/>
  <c r="N105" i="1" s="1"/>
  <c r="J105" i="1"/>
  <c r="I105" i="1"/>
  <c r="D105" i="1"/>
  <c r="M104" i="1"/>
  <c r="N104" i="1" s="1"/>
  <c r="J104" i="1"/>
  <c r="I104" i="1"/>
  <c r="E104" i="1"/>
  <c r="D104" i="1"/>
  <c r="M103" i="1"/>
  <c r="N103" i="1" s="1"/>
  <c r="J103" i="1"/>
  <c r="I103" i="1"/>
  <c r="E103" i="1"/>
  <c r="D103" i="1"/>
  <c r="E99" i="1"/>
  <c r="F99" i="1" s="1"/>
  <c r="M97" i="1"/>
  <c r="N97" i="1" s="1"/>
  <c r="J97" i="1"/>
  <c r="I97" i="1"/>
  <c r="D97" i="1"/>
  <c r="M92" i="1"/>
  <c r="N92" i="1" s="1"/>
  <c r="J92" i="1"/>
  <c r="I92" i="1"/>
  <c r="E92" i="1"/>
  <c r="D92" i="1"/>
  <c r="M90" i="1"/>
  <c r="N90" i="1" s="1"/>
  <c r="J90" i="1"/>
  <c r="I90" i="1"/>
  <c r="E90" i="1"/>
  <c r="D90" i="1"/>
  <c r="M89" i="1"/>
  <c r="N89" i="1" s="1"/>
  <c r="J89" i="1"/>
  <c r="I89" i="1"/>
  <c r="D89" i="1"/>
  <c r="M88" i="1"/>
  <c r="N88" i="1" s="1"/>
  <c r="J88" i="1"/>
  <c r="I88" i="1"/>
  <c r="E88" i="1"/>
  <c r="D88" i="1"/>
  <c r="M87" i="1"/>
  <c r="N87" i="1" s="1"/>
  <c r="J87" i="1"/>
  <c r="I87" i="1"/>
  <c r="D87" i="1"/>
  <c r="M86" i="1"/>
  <c r="N86" i="1" s="1"/>
  <c r="J86" i="1"/>
  <c r="I86" i="1"/>
  <c r="E86" i="1"/>
  <c r="D86" i="1"/>
  <c r="M85" i="1"/>
  <c r="N85" i="1" s="1"/>
  <c r="J85" i="1"/>
  <c r="I85" i="1"/>
  <c r="E85" i="1"/>
  <c r="D85" i="1"/>
  <c r="M84" i="1"/>
  <c r="N84" i="1" s="1"/>
  <c r="J84" i="1"/>
  <c r="I84" i="1"/>
  <c r="F84" i="1"/>
  <c r="G84" i="1" s="1"/>
  <c r="E84" i="1"/>
  <c r="D84" i="1"/>
  <c r="M83" i="1"/>
  <c r="N83" i="1" s="1"/>
  <c r="J83" i="1"/>
  <c r="I83" i="1"/>
  <c r="F83" i="1"/>
  <c r="G83" i="1" s="1"/>
  <c r="E83" i="1"/>
  <c r="D83" i="1"/>
  <c r="M82" i="1"/>
  <c r="N82" i="1" s="1"/>
  <c r="J82" i="1"/>
  <c r="I82" i="1"/>
  <c r="E82" i="1"/>
  <c r="D82" i="1"/>
  <c r="M81" i="1"/>
  <c r="N81" i="1" s="1"/>
  <c r="J81" i="1"/>
  <c r="I81" i="1"/>
  <c r="E81" i="1"/>
  <c r="D81" i="1"/>
  <c r="M80" i="1"/>
  <c r="N80" i="1" s="1"/>
  <c r="J80" i="1"/>
  <c r="I80" i="1"/>
  <c r="D80" i="1"/>
  <c r="M79" i="1"/>
  <c r="N79" i="1" s="1"/>
  <c r="J79" i="1"/>
  <c r="I79" i="1"/>
  <c r="E79" i="1"/>
  <c r="D79" i="1"/>
  <c r="M77" i="1"/>
  <c r="N77" i="1" s="1"/>
  <c r="J77" i="1"/>
  <c r="I77" i="1"/>
  <c r="E77" i="1"/>
  <c r="D77" i="1"/>
  <c r="M76" i="1"/>
  <c r="N76" i="1" s="1"/>
  <c r="J76" i="1"/>
  <c r="I76" i="1"/>
  <c r="E76" i="1"/>
  <c r="D76" i="1"/>
  <c r="M75" i="1"/>
  <c r="N75" i="1" s="1"/>
  <c r="J75" i="1"/>
  <c r="I75" i="1"/>
  <c r="F75" i="1"/>
  <c r="G75" i="1" s="1"/>
  <c r="E75" i="1"/>
  <c r="D75" i="1"/>
  <c r="M74" i="1"/>
  <c r="N74" i="1" s="1"/>
  <c r="J74" i="1"/>
  <c r="I74" i="1"/>
  <c r="E74" i="1"/>
  <c r="D74" i="1"/>
  <c r="M73" i="1"/>
  <c r="N73" i="1" s="1"/>
  <c r="J73" i="1"/>
  <c r="I73" i="1"/>
  <c r="E73" i="1"/>
  <c r="D73" i="1"/>
  <c r="M72" i="1"/>
  <c r="N72" i="1" s="1"/>
  <c r="J72" i="1"/>
  <c r="I72" i="1"/>
  <c r="E72" i="1"/>
  <c r="D72" i="1"/>
  <c r="M71" i="1"/>
  <c r="N71" i="1" s="1"/>
  <c r="J71" i="1"/>
  <c r="I71" i="1"/>
  <c r="D71" i="1"/>
  <c r="M70" i="1"/>
  <c r="N70" i="1" s="1"/>
  <c r="J70" i="1"/>
  <c r="I70" i="1"/>
  <c r="E70" i="1"/>
  <c r="D70" i="1"/>
  <c r="M69" i="1"/>
  <c r="N69" i="1" s="1"/>
  <c r="J69" i="1"/>
  <c r="I69" i="1"/>
  <c r="E69" i="1"/>
  <c r="D69" i="1"/>
  <c r="E65" i="1"/>
  <c r="F65" i="1" s="1"/>
  <c r="M63" i="1"/>
  <c r="N63" i="1" s="1"/>
  <c r="J63" i="1"/>
  <c r="I63" i="1"/>
  <c r="E63" i="1"/>
  <c r="D63" i="1"/>
  <c r="M62" i="1"/>
  <c r="N62" i="1" s="1"/>
  <c r="J62" i="1"/>
  <c r="I62" i="1"/>
  <c r="E62" i="1"/>
  <c r="D62" i="1"/>
  <c r="M58" i="1"/>
  <c r="N58" i="1" s="1"/>
  <c r="J58" i="1"/>
  <c r="I58" i="1"/>
  <c r="E58" i="1"/>
  <c r="M56" i="1"/>
  <c r="N56" i="1" s="1"/>
  <c r="J56" i="1"/>
  <c r="I56" i="1"/>
  <c r="F56" i="1"/>
  <c r="G56" i="1" s="1"/>
  <c r="E56" i="1"/>
  <c r="D56" i="1"/>
  <c r="M55" i="1"/>
  <c r="N55" i="1" s="1"/>
  <c r="J55" i="1"/>
  <c r="I55" i="1"/>
  <c r="D55" i="1"/>
  <c r="M54" i="1"/>
  <c r="N54" i="1" s="1"/>
  <c r="J54" i="1"/>
  <c r="I54" i="1"/>
  <c r="E54" i="1"/>
  <c r="D54" i="1"/>
  <c r="M53" i="1"/>
  <c r="N53" i="1" s="1"/>
  <c r="J53" i="1"/>
  <c r="I53" i="1"/>
  <c r="D53" i="1"/>
  <c r="M52" i="1"/>
  <c r="N52" i="1" s="1"/>
  <c r="J52" i="1"/>
  <c r="I52" i="1"/>
  <c r="E52" i="1"/>
  <c r="D52" i="1"/>
  <c r="M51" i="1"/>
  <c r="N51" i="1" s="1"/>
  <c r="J51" i="1"/>
  <c r="I51" i="1"/>
  <c r="F51" i="1"/>
  <c r="G51" i="1" s="1"/>
  <c r="E51" i="1"/>
  <c r="D51" i="1"/>
  <c r="M50" i="1"/>
  <c r="N50" i="1" s="1"/>
  <c r="J50" i="1"/>
  <c r="I50" i="1"/>
  <c r="E50" i="1"/>
  <c r="D50" i="1"/>
  <c r="M49" i="1"/>
  <c r="N49" i="1" s="1"/>
  <c r="J49" i="1"/>
  <c r="I49" i="1"/>
  <c r="E49" i="1"/>
  <c r="D49" i="1"/>
  <c r="M48" i="1"/>
  <c r="N48" i="1" s="1"/>
  <c r="J48" i="1"/>
  <c r="I48" i="1"/>
  <c r="E48" i="1"/>
  <c r="D48" i="1"/>
  <c r="M47" i="1"/>
  <c r="N47" i="1" s="1"/>
  <c r="J47" i="1"/>
  <c r="I47" i="1"/>
  <c r="E47" i="1"/>
  <c r="D47" i="1"/>
  <c r="M45" i="1"/>
  <c r="N45" i="1" s="1"/>
  <c r="J45" i="1"/>
  <c r="I45" i="1"/>
  <c r="E45" i="1"/>
  <c r="D45" i="1"/>
  <c r="M44" i="1"/>
  <c r="N44" i="1" s="1"/>
  <c r="J44" i="1"/>
  <c r="I44" i="1"/>
  <c r="F44" i="1"/>
  <c r="G44" i="1" s="1"/>
  <c r="E44" i="1"/>
  <c r="D44" i="1"/>
  <c r="M43" i="1"/>
  <c r="N43" i="1" s="1"/>
  <c r="J43" i="1"/>
  <c r="I43" i="1"/>
  <c r="E43" i="1"/>
  <c r="D43" i="1"/>
  <c r="M42" i="1"/>
  <c r="N42" i="1" s="1"/>
  <c r="J42" i="1"/>
  <c r="I42" i="1"/>
  <c r="E42" i="1"/>
  <c r="D42" i="1"/>
  <c r="M41" i="1"/>
  <c r="N41" i="1" s="1"/>
  <c r="J41" i="1"/>
  <c r="I41" i="1"/>
  <c r="E41" i="1"/>
  <c r="D41" i="1"/>
  <c r="M40" i="1"/>
  <c r="N40" i="1" s="1"/>
  <c r="J40" i="1"/>
  <c r="I40" i="1"/>
  <c r="E40" i="1"/>
  <c r="D40" i="1"/>
  <c r="M39" i="1"/>
  <c r="N39" i="1" s="1"/>
  <c r="J39" i="1"/>
  <c r="I39" i="1"/>
  <c r="E39" i="1"/>
  <c r="D39" i="1"/>
  <c r="M38" i="1"/>
  <c r="N38" i="1" s="1"/>
  <c r="J38" i="1"/>
  <c r="I38" i="1"/>
  <c r="E38" i="1"/>
  <c r="D38" i="1"/>
  <c r="M37" i="1"/>
  <c r="N37" i="1" s="1"/>
  <c r="J37" i="1"/>
  <c r="I37" i="1"/>
  <c r="E37" i="1"/>
  <c r="D37" i="1"/>
  <c r="E33" i="1"/>
  <c r="F33" i="1" s="1"/>
  <c r="M31" i="1"/>
  <c r="N31" i="1" s="1"/>
  <c r="J31" i="1"/>
  <c r="I31" i="1"/>
  <c r="E31" i="1"/>
  <c r="D31" i="1"/>
  <c r="M30" i="1"/>
  <c r="N30" i="1" s="1"/>
  <c r="J30" i="1"/>
  <c r="I30" i="1"/>
  <c r="E30" i="1"/>
  <c r="D30" i="1"/>
  <c r="M26" i="1"/>
  <c r="N26" i="1" s="1"/>
  <c r="J26" i="1"/>
  <c r="I26" i="1"/>
  <c r="E26" i="1"/>
  <c r="D26" i="1"/>
  <c r="M24" i="1"/>
  <c r="N24" i="1" s="1"/>
  <c r="J24" i="1"/>
  <c r="I24" i="1"/>
  <c r="F24" i="1"/>
  <c r="G24" i="1" s="1"/>
  <c r="E24" i="1"/>
  <c r="D24" i="1"/>
  <c r="M23" i="1"/>
  <c r="N23" i="1" s="1"/>
  <c r="J23" i="1"/>
  <c r="I23" i="1"/>
  <c r="E23" i="1"/>
  <c r="D23" i="1"/>
  <c r="M21" i="1"/>
  <c r="N21" i="1" s="1"/>
  <c r="J21" i="1"/>
  <c r="I21" i="1"/>
  <c r="E21" i="1"/>
  <c r="D21" i="1"/>
  <c r="M20" i="1"/>
  <c r="N20" i="1" s="1"/>
  <c r="J20" i="1"/>
  <c r="I20" i="1"/>
  <c r="E20" i="1"/>
  <c r="D20" i="1"/>
  <c r="M19" i="1"/>
  <c r="N19" i="1" s="1"/>
  <c r="J19" i="1"/>
  <c r="I19" i="1"/>
  <c r="E19" i="1"/>
  <c r="D19" i="1"/>
  <c r="M18" i="1"/>
  <c r="N18" i="1" s="1"/>
  <c r="J18" i="1"/>
  <c r="I18" i="1"/>
  <c r="F18" i="1"/>
  <c r="G18" i="1" s="1"/>
  <c r="E18" i="1"/>
  <c r="D18" i="1"/>
  <c r="M17" i="1"/>
  <c r="N17" i="1" s="1"/>
  <c r="J17" i="1"/>
  <c r="I17" i="1"/>
  <c r="E17" i="1"/>
  <c r="D17" i="1"/>
  <c r="M16" i="1"/>
  <c r="N16" i="1" s="1"/>
  <c r="J16" i="1"/>
  <c r="I16" i="1"/>
  <c r="E16" i="1"/>
  <c r="D16" i="1"/>
  <c r="M15" i="1"/>
  <c r="N15" i="1" s="1"/>
  <c r="J15" i="1"/>
  <c r="I15" i="1"/>
  <c r="E15" i="1"/>
  <c r="D15" i="1"/>
  <c r="M14" i="1"/>
  <c r="N14" i="1" s="1"/>
  <c r="J14" i="1"/>
  <c r="I14" i="1"/>
  <c r="E14" i="1"/>
  <c r="D14" i="1"/>
  <c r="M12" i="1"/>
  <c r="N12" i="1" s="1"/>
  <c r="J12" i="1"/>
  <c r="I12" i="1"/>
  <c r="E12" i="1"/>
  <c r="M11" i="1"/>
  <c r="N11" i="1" s="1"/>
  <c r="J11" i="1"/>
  <c r="I11" i="1"/>
  <c r="F11" i="1"/>
  <c r="G11" i="1" s="1"/>
  <c r="E11" i="1"/>
  <c r="D11" i="1"/>
  <c r="M10" i="1"/>
  <c r="N10" i="1" s="1"/>
  <c r="J10" i="1"/>
  <c r="I10" i="1"/>
  <c r="E10" i="1"/>
  <c r="D10" i="1"/>
  <c r="M9" i="1"/>
  <c r="N9" i="1" s="1"/>
  <c r="J9" i="1"/>
  <c r="I9" i="1"/>
  <c r="D9" i="1"/>
  <c r="M8" i="1"/>
  <c r="N8" i="1" s="1"/>
  <c r="J8" i="1"/>
  <c r="I8" i="1"/>
  <c r="E8" i="1"/>
  <c r="D8" i="1"/>
  <c r="M7" i="1"/>
  <c r="N7" i="1" s="1"/>
  <c r="J7" i="1"/>
  <c r="I7" i="1"/>
  <c r="E7" i="1"/>
  <c r="D7" i="1"/>
  <c r="M6" i="1"/>
  <c r="N6" i="1" s="1"/>
  <c r="J6" i="1"/>
  <c r="I6" i="1"/>
  <c r="E6" i="1"/>
  <c r="D6" i="1"/>
  <c r="M5" i="1"/>
  <c r="N5" i="1" s="1"/>
  <c r="J5" i="1"/>
  <c r="I5" i="1"/>
  <c r="E5" i="1"/>
  <c r="D5" i="1"/>
  <c r="M4" i="1"/>
  <c r="N4" i="1" s="1"/>
  <c r="J4" i="1"/>
  <c r="I4" i="1"/>
  <c r="E4" i="1"/>
  <c r="D4" i="1"/>
  <c r="F158" i="1" l="1"/>
  <c r="G158" i="1" s="1"/>
  <c r="F90" i="1"/>
  <c r="G90" i="1" s="1"/>
  <c r="F81" i="1"/>
  <c r="G81" i="1" s="1"/>
  <c r="F144" i="1"/>
  <c r="G144" i="1" s="1"/>
  <c r="F123" i="1"/>
  <c r="G123" i="1" s="1"/>
  <c r="F10" i="1"/>
  <c r="G10" i="1" s="1"/>
  <c r="F43" i="1"/>
  <c r="G43" i="1" s="1"/>
  <c r="H99" i="1"/>
  <c r="G99" i="1" s="1"/>
  <c r="H203" i="1"/>
  <c r="F12" i="1"/>
  <c r="G12" i="1" s="1"/>
  <c r="F111" i="1"/>
  <c r="G111" i="1" s="1"/>
  <c r="F181" i="1"/>
  <c r="G181" i="1" s="1"/>
  <c r="F146" i="1"/>
  <c r="G146" i="1" s="1"/>
  <c r="F77" i="1"/>
  <c r="G77" i="1" s="1"/>
  <c r="F45" i="1"/>
  <c r="G45" i="1" s="1"/>
  <c r="F173" i="1"/>
  <c r="G173" i="1" s="1"/>
  <c r="F69" i="1"/>
  <c r="G69" i="1" s="1"/>
  <c r="H65" i="1"/>
  <c r="H134" i="1"/>
  <c r="H33" i="1"/>
  <c r="H169" i="1"/>
  <c r="F189" i="1"/>
  <c r="G189" i="1" s="1"/>
  <c r="F85" i="1"/>
  <c r="G85" i="1" s="1"/>
  <c r="F118" i="1"/>
  <c r="G118" i="1" s="1"/>
  <c r="F153" i="1"/>
  <c r="G153" i="1" s="1"/>
  <c r="F31" i="1"/>
  <c r="G31" i="1" s="1"/>
  <c r="F63" i="1"/>
  <c r="G63" i="1" s="1"/>
  <c r="F40" i="1"/>
  <c r="G40" i="1" s="1"/>
  <c r="F106" i="1"/>
  <c r="G106" i="1" s="1"/>
  <c r="F176" i="1"/>
  <c r="G176" i="1" s="1"/>
  <c r="F141" i="1"/>
  <c r="G141" i="1" s="1"/>
  <c r="F7" i="1"/>
  <c r="G7" i="1" s="1"/>
  <c r="F72" i="1"/>
  <c r="G72" i="1" s="1"/>
  <c r="F154" i="1"/>
  <c r="G154" i="1" s="1"/>
  <c r="F19" i="1"/>
  <c r="G19" i="1" s="1"/>
  <c r="F190" i="1"/>
  <c r="G190" i="1" s="1"/>
  <c r="F86" i="1"/>
  <c r="G86" i="1" s="1"/>
  <c r="F119" i="1"/>
  <c r="G119" i="1" s="1"/>
  <c r="F52" i="1"/>
  <c r="G52" i="1" s="1"/>
  <c r="F108" i="1"/>
  <c r="G108" i="1" s="1"/>
  <c r="F9" i="1"/>
  <c r="G9" i="1" s="1"/>
  <c r="F178" i="1"/>
  <c r="G178" i="1" s="1"/>
  <c r="F74" i="1"/>
  <c r="G74" i="1" s="1"/>
  <c r="F42" i="1"/>
  <c r="G42" i="1" s="1"/>
  <c r="F143" i="1"/>
  <c r="G143" i="1" s="1"/>
  <c r="F196" i="1"/>
  <c r="G196" i="1" s="1"/>
  <c r="F125" i="1"/>
  <c r="G125" i="1" s="1"/>
  <c r="F92" i="1"/>
  <c r="G92" i="1" s="1"/>
  <c r="F26" i="1"/>
  <c r="G26" i="1" s="1"/>
  <c r="F58" i="1"/>
  <c r="G58" i="1" s="1"/>
  <c r="F160" i="1"/>
  <c r="G160" i="1" s="1"/>
  <c r="F38" i="1"/>
  <c r="G38" i="1" s="1"/>
  <c r="F104" i="1"/>
  <c r="G104" i="1" s="1"/>
  <c r="F139" i="1"/>
  <c r="G139" i="1" s="1"/>
  <c r="F174" i="1"/>
  <c r="G174" i="1" s="1"/>
  <c r="F70" i="1"/>
  <c r="G70" i="1" s="1"/>
  <c r="F5" i="1"/>
  <c r="G5" i="1" s="1"/>
  <c r="F149" i="1"/>
  <c r="G149" i="1" s="1"/>
  <c r="F80" i="1"/>
  <c r="G80" i="1" s="1"/>
  <c r="F48" i="1"/>
  <c r="G48" i="1" s="1"/>
  <c r="F15" i="1"/>
  <c r="G15" i="1" s="1"/>
  <c r="F114" i="1"/>
  <c r="G114" i="1" s="1"/>
  <c r="F184" i="1"/>
  <c r="G184" i="1" s="1"/>
  <c r="E55" i="1"/>
  <c r="E105" i="1"/>
  <c r="F180" i="1"/>
  <c r="G180" i="1" s="1"/>
  <c r="E89" i="1"/>
  <c r="E165" i="1"/>
  <c r="F200" i="1"/>
  <c r="G200" i="1" s="1"/>
  <c r="J16" i="2"/>
  <c r="J25" i="2"/>
  <c r="F49" i="1"/>
  <c r="G49" i="1" s="1"/>
  <c r="F89" i="1"/>
  <c r="G89" i="1" s="1"/>
  <c r="E107" i="1"/>
  <c r="F116" i="1"/>
  <c r="G116" i="1" s="1"/>
  <c r="E130" i="1"/>
  <c r="E174" i="1"/>
  <c r="E188" i="1"/>
  <c r="E193" i="1"/>
  <c r="J12" i="2"/>
  <c r="J21" i="2"/>
  <c r="F193" i="1"/>
  <c r="G193" i="1" s="1"/>
  <c r="F167" i="1"/>
  <c r="G167" i="1" s="1"/>
  <c r="J13" i="2"/>
  <c r="J26" i="2"/>
  <c r="F185" i="1"/>
  <c r="G185" i="1" s="1"/>
  <c r="F17" i="1"/>
  <c r="G17" i="1" s="1"/>
  <c r="F164" i="1"/>
  <c r="G164" i="1" s="1"/>
  <c r="J5" i="2"/>
  <c r="J18" i="2"/>
  <c r="E53" i="1"/>
  <c r="E80" i="1"/>
  <c r="E129" i="1"/>
  <c r="E152" i="1"/>
  <c r="E157" i="1"/>
  <c r="E173" i="1"/>
  <c r="F187" i="1"/>
  <c r="G187" i="1" s="1"/>
  <c r="E192" i="1"/>
  <c r="E97" i="1"/>
  <c r="F62" i="1"/>
  <c r="G62" i="1" s="1"/>
  <c r="E71" i="1"/>
  <c r="E117" i="1"/>
  <c r="E143" i="1"/>
  <c r="F157" i="1"/>
  <c r="G157" i="1" s="1"/>
  <c r="E184" i="1"/>
  <c r="E122" i="1"/>
  <c r="F23" i="1"/>
  <c r="G23" i="1" s="1"/>
  <c r="F55" i="1"/>
  <c r="G55" i="1" s="1"/>
  <c r="E114" i="1"/>
  <c r="E140" i="1"/>
  <c r="H4" i="4" l="1"/>
  <c r="F54" i="1"/>
  <c r="G54" i="1" s="1"/>
  <c r="F192" i="1"/>
  <c r="G192" i="1" s="1"/>
  <c r="F88" i="1"/>
  <c r="G88" i="1" s="1"/>
  <c r="F121" i="1"/>
  <c r="G121" i="1" s="1"/>
  <c r="F21" i="1"/>
  <c r="G21" i="1" s="1"/>
  <c r="F156" i="1"/>
  <c r="G156" i="1" s="1"/>
  <c r="F41" i="1"/>
  <c r="G41" i="1" s="1"/>
  <c r="F107" i="1"/>
  <c r="G107" i="1" s="1"/>
  <c r="F73" i="1"/>
  <c r="G73" i="1" s="1"/>
  <c r="F142" i="1"/>
  <c r="G142" i="1" s="1"/>
  <c r="F8" i="1"/>
  <c r="G8" i="1" s="1"/>
  <c r="F177" i="1"/>
  <c r="G177" i="1" s="1"/>
  <c r="E4" i="4"/>
  <c r="E98" i="1"/>
  <c r="F98" i="1" s="1"/>
  <c r="G98" i="1" s="1"/>
  <c r="D4" i="4" s="1"/>
  <c r="F201" i="1"/>
  <c r="G201" i="1" s="1"/>
  <c r="F130" i="1"/>
  <c r="G130" i="1" s="1"/>
  <c r="F97" i="1"/>
  <c r="G97" i="1" s="1"/>
  <c r="F165" i="1"/>
  <c r="G165" i="1" s="1"/>
  <c r="H6" i="4"/>
  <c r="G169" i="1"/>
  <c r="F131" i="1"/>
  <c r="G131" i="1" s="1"/>
  <c r="F166" i="1"/>
  <c r="G166" i="1" s="1"/>
  <c r="G33" i="1"/>
  <c r="H2" i="4"/>
  <c r="F47" i="1"/>
  <c r="G47" i="1" s="1"/>
  <c r="F14" i="1"/>
  <c r="G14" i="1" s="1"/>
  <c r="F113" i="1"/>
  <c r="G113" i="1" s="1"/>
  <c r="F79" i="1"/>
  <c r="G79" i="1" s="1"/>
  <c r="F183" i="1"/>
  <c r="G183" i="1" s="1"/>
  <c r="F148" i="1"/>
  <c r="G148" i="1" s="1"/>
  <c r="F53" i="1"/>
  <c r="G53" i="1" s="1"/>
  <c r="F120" i="1"/>
  <c r="G120" i="1" s="1"/>
  <c r="F155" i="1"/>
  <c r="G155" i="1" s="1"/>
  <c r="F20" i="1"/>
  <c r="G20" i="1" s="1"/>
  <c r="F191" i="1"/>
  <c r="G191" i="1" s="1"/>
  <c r="F87" i="1"/>
  <c r="G87" i="1" s="1"/>
  <c r="F37" i="1"/>
  <c r="G37" i="1" s="1"/>
  <c r="F4" i="1"/>
  <c r="G4" i="1" s="1"/>
  <c r="H5" i="4"/>
  <c r="G134" i="1"/>
  <c r="F6" i="1"/>
  <c r="G6" i="1" s="1"/>
  <c r="F105" i="1"/>
  <c r="G105" i="1" s="1"/>
  <c r="F39" i="1"/>
  <c r="G39" i="1" s="1"/>
  <c r="F175" i="1"/>
  <c r="G175" i="1" s="1"/>
  <c r="F140" i="1"/>
  <c r="G140" i="1" s="1"/>
  <c r="F71" i="1"/>
  <c r="G71" i="1" s="1"/>
  <c r="H3" i="4"/>
  <c r="G65" i="1"/>
  <c r="H7" i="4"/>
  <c r="G203" i="1"/>
  <c r="H8" i="4" l="1"/>
  <c r="G100" i="1"/>
  <c r="F4" i="4" s="1"/>
  <c r="E3" i="4"/>
  <c r="E64" i="1"/>
  <c r="F64" i="1" s="1"/>
  <c r="G64" i="1" s="1"/>
  <c r="D3" i="4" s="1"/>
  <c r="E5" i="4"/>
  <c r="E133" i="1"/>
  <c r="F133" i="1" s="1"/>
  <c r="G133" i="1" s="1"/>
  <c r="D5" i="4" s="1"/>
  <c r="E2" i="4"/>
  <c r="E32" i="1"/>
  <c r="F32" i="1" s="1"/>
  <c r="G32" i="1" s="1"/>
  <c r="D2" i="4" s="1"/>
  <c r="E6" i="4"/>
  <c r="E168" i="1"/>
  <c r="F168" i="1" s="1"/>
  <c r="G168" i="1" s="1"/>
  <c r="D6" i="4" s="1"/>
  <c r="E202" i="1"/>
  <c r="F202" i="1" s="1"/>
  <c r="G202" i="1" s="1"/>
  <c r="D7" i="4" s="1"/>
  <c r="E7" i="4"/>
  <c r="G204" i="1" l="1"/>
  <c r="F7" i="4" s="1"/>
  <c r="C4" i="4"/>
  <c r="D8" i="4"/>
  <c r="G66" i="1"/>
  <c r="F3" i="4" s="1"/>
  <c r="E8" i="4"/>
  <c r="G170" i="1"/>
  <c r="G34" i="1"/>
  <c r="G135" i="1"/>
  <c r="C7" i="4" l="1"/>
  <c r="C3" i="4"/>
  <c r="F5" i="4"/>
  <c r="C5" i="4"/>
  <c r="C2" i="4"/>
  <c r="F2" i="4"/>
  <c r="F6" i="4"/>
  <c r="C6" i="4"/>
  <c r="F8" i="4" l="1"/>
  <c r="C8" i="4"/>
  <c r="F9" i="4" l="1"/>
  <c r="F10" i="4" s="1"/>
</calcChain>
</file>

<file path=xl/comments1.xml><?xml version="1.0" encoding="utf-8"?>
<comments xmlns="http://schemas.openxmlformats.org/spreadsheetml/2006/main">
  <authors>
    <author>Unknown Author</author>
  </authors>
  <commentList>
    <comment ref="E1" authorId="0" shapeId="0">
      <text>
        <r>
          <rPr>
            <sz val="10"/>
            <rFont val="Arial"/>
            <family val="2"/>
          </rPr>
          <t>E = прайс ABB (EUR) × курс; F = E × (1 − скидка группы)</t>
        </r>
      </text>
    </comment>
  </commentList>
</comments>
</file>

<file path=xl/sharedStrings.xml><?xml version="1.0" encoding="utf-8"?>
<sst xmlns="http://schemas.openxmlformats.org/spreadsheetml/2006/main" count="1511" uniqueCount="304">
  <si>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</si>
  <si>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</si>
  <si>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</si>
  <si>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</si>
  <si>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</si>
  <si>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</si>
  <si>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</si>
  <si>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</si>
  <si>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изготовитель</t>
  </si>
  <si>
    <t>Источник</t>
  </si>
  <si>
    <t>Примечание (листы DXF)</t>
  </si>
  <si>
    <t>норма, мин/шт</t>
  </si>
  <si>
    <t>мин. итого</t>
  </si>
  <si>
    <t>MKA-MCC-1 (MCC-01-DT1-04 (VIP)) — MCC, 8 моторных фидеров (ABB)</t>
  </si>
  <si>
    <t>комплект</t>
  </si>
  <si>
    <t>ABB (комплектующие)</t>
  </si>
  <si>
    <t>MKA-MCC</t>
  </si>
  <si>
    <t>mccb</t>
  </si>
  <si>
    <t>1SDA068059R1</t>
  </si>
  <si>
    <t>лист 1 (ввод): QF1 MAIN BREAKER; на схеме «XT1N 250A»; ПОДМЕНА XT1N→XT3N (XT1 макс. 160А)</t>
  </si>
  <si>
    <t>oto</t>
  </si>
  <si>
    <t>2CDS211001R0065</t>
  </si>
  <si>
    <t>лист 1 (ввод): FH1-FH3, защита ламп фаз; фидеры: 1F1 защита цепи управления</t>
  </si>
  <si>
    <t>lamb</t>
  </si>
  <si>
    <t>1SFA619403R5231</t>
  </si>
  <si>
    <t>лист 1 (ввод): H1 лампа фазы; фидеры: 1H2 FAULT (тип не указан, принят CL2-523R)</t>
  </si>
  <si>
    <t>1SFA619403R5233</t>
  </si>
  <si>
    <t>лист 1 (ввод): H2 лампа фазы</t>
  </si>
  <si>
    <t>1SFA619403R5232</t>
  </si>
  <si>
    <t>лист 1 (ввод): H3 лампа фазы; фидеры: 1H1 ON (тип не указан, принят CL2-523G)</t>
  </si>
  <si>
    <t>rele</t>
  </si>
  <si>
    <t>1SVR550824R9100</t>
  </si>
  <si>
    <t>лист 1 (ввод): -FKR реле контроля фаз</t>
  </si>
  <si>
    <t>bh</t>
  </si>
  <si>
    <t>2CSM204753R1801</t>
  </si>
  <si>
    <t>лист 1 (ввод): -FFKR</t>
  </si>
  <si>
    <t>aksesuar</t>
  </si>
  <si>
    <t>2CSM256363R1801</t>
  </si>
  <si>
    <t>лист 1 (ввод): -FFKR, по 1 на полюс (принято)</t>
  </si>
  <si>
    <t>1SVR405613R3000</t>
  </si>
  <si>
    <t>лист 1 (ввод): -R0 выходное реле реле фаз; фидеры: 1R1 (ARIZA) + реле LAMP TEST на листе 2</t>
  </si>
  <si>
    <t>2CDS252001R0104</t>
  </si>
  <si>
    <t>лист 2: -FT1, -FT2 (питание T1/T2)</t>
  </si>
  <si>
    <t>button</t>
  </si>
  <si>
    <t>1SFA619100R1016</t>
  </si>
  <si>
    <t>лист 2: LAMP TEST</t>
  </si>
  <si>
    <t>motor</t>
  </si>
  <si>
    <t>1SAM250000R1007</t>
  </si>
  <si>
    <t>фидеры: MS116-2.5 (поз. Q1)</t>
  </si>
  <si>
    <t>1SAM250000R1009</t>
  </si>
  <si>
    <t>фидеры: MS116-6.3 (поз. Q1)</t>
  </si>
  <si>
    <t>contactor</t>
  </si>
  <si>
    <t>1SBL137001R1310</t>
  </si>
  <si>
    <t>фидеры: AF09-30-10 (поз. K1)</t>
  </si>
  <si>
    <t>kontak</t>
  </si>
  <si>
    <t>1SBN010120R1011</t>
  </si>
  <si>
    <t>фидеры: 1 на контактор</t>
  </si>
  <si>
    <t>1SAM201901R1001</t>
  </si>
  <si>
    <t>фидеры: 1 на MS116 (метка дублируется в силовой и управл. частях)</t>
  </si>
  <si>
    <t>1SAM201903R1001</t>
  </si>
  <si>
    <t>perekluchatel</t>
  </si>
  <si>
    <t>1SFA611601R1100</t>
  </si>
  <si>
    <t>фидеры: 1S1 селектор MAN-0-AUTO (корпус)</t>
  </si>
  <si>
    <t>1SFA611610R1001</t>
  </si>
  <si>
    <t>фидеры: 1S1 контактные блоки, 2 на селектор (принято; на схеме MCB-20/A, MCB-10/A)</t>
  </si>
  <si>
    <t>1SVR405601R0000</t>
  </si>
  <si>
    <t>фидеры: 1R2 REMOTE START/STOP, 1R3 FIRE START</t>
  </si>
  <si>
    <t>2CDS213001R0404</t>
  </si>
  <si>
    <t>хвост. листы: QF 3x40A 6кА (х-ка C принята)</t>
  </si>
  <si>
    <t>2CDS211001R0164</t>
  </si>
  <si>
    <t>хвост. листы: QF 1x16A 6кА (х-ка C принята)</t>
  </si>
  <si>
    <t>монтажный материал</t>
  </si>
  <si>
    <t>шт</t>
  </si>
  <si>
    <t>монтажная работа</t>
  </si>
  <si>
    <t>мин</t>
  </si>
  <si>
    <t>ИТОГО по щиту, тг</t>
  </si>
  <si>
    <t>MKA-MCC-2 (MCC-01-DT1-05 (6 GATE)) — MCC, 4 моторных фидеров (ABB)</t>
  </si>
  <si>
    <t>1SAM250000R1010</t>
  </si>
  <si>
    <t>фидеры: MS116-10 (поз. Q1)</t>
  </si>
  <si>
    <t>MKA-MCC-3 (MCC-03-DT1-01 (VK 5)) — MCC, 8 моторных фидеров (ABB)</t>
  </si>
  <si>
    <t>1SDA067415R1</t>
  </si>
  <si>
    <t>лист 1 (ввод): QF1 MAIN BREAKER; на схеме «XT1N 80A»</t>
  </si>
  <si>
    <t>1SBL157001R1310</t>
  </si>
  <si>
    <t>фидеры: AF12-30-10 (поз. K1)</t>
  </si>
  <si>
    <t>2CDS213001R0164</t>
  </si>
  <si>
    <t>хвост. листы: QF 3x16A 6кА (х-ка C принята)</t>
  </si>
  <si>
    <t>2CDS213001R0104</t>
  </si>
  <si>
    <t>хвост. листы: QF 3x10A 6кА (х-ка C принята)</t>
  </si>
  <si>
    <t>MKA-MCC-4 (MCC-03-DT1-02 (NEW)) — MCC, 7 моторных фидеров (ABB)</t>
  </si>
  <si>
    <t>1SDA068058R1</t>
  </si>
  <si>
    <t>лист 1 (ввод): QF1 MAIN BREAKER; на схеме «XT1N 200A»; ПОДМЕНА XT1N→XT3N (XT1 макс. 160А)</t>
  </si>
  <si>
    <t>2CDS213001R0324</t>
  </si>
  <si>
    <t>хвост. листы: QF 3x32A 6кА (х-ка C принята)</t>
  </si>
  <si>
    <t>2CDS213001R0634</t>
  </si>
  <si>
    <t>хвост. листы: QF 3x63A 6кА (х-ка C принята)</t>
  </si>
  <si>
    <t>MKA-MCC-5 (MCC-03-DT1-04 (57)) — MCC, 10 моторных фидеров (ABB)</t>
  </si>
  <si>
    <t>1SDA067418R1</t>
  </si>
  <si>
    <t>лист 1 (ввод): QF1 MAIN BREAKER; на схеме «XT1N 160A»</t>
  </si>
  <si>
    <t>MKA-MCC-6 (MCC-03-DT1-0 (VK 11)) — MCC, 12 моторных фидеров (ABB)</t>
  </si>
  <si>
    <t>ID</t>
  </si>
  <si>
    <t>tip</t>
  </si>
  <si>
    <t>Тип (модель)</t>
  </si>
  <si>
    <t>Цена по прайсу, EUR</t>
  </si>
  <si>
    <t>Группа скидки</t>
  </si>
  <si>
    <t>Скидка</t>
  </si>
  <si>
    <t>Прайс,тг</t>
  </si>
  <si>
    <t>Нетто,тг</t>
  </si>
  <si>
    <t>marka</t>
  </si>
  <si>
    <t>Источник (стр. PDF)</t>
  </si>
  <si>
    <t>F001</t>
  </si>
  <si>
    <t>Авт. выкл. Tmax XT1N 160, TMD, In=80A, 3P, Icu 36кА</t>
  </si>
  <si>
    <t>XT1N 160 TMD In=80A 3P</t>
  </si>
  <si>
    <t>MCCB</t>
  </si>
  <si>
    <t>abb</t>
  </si>
  <si>
    <t>ABB KASIM2025, PDF стр. 102</t>
  </si>
  <si>
    <t>F002</t>
  </si>
  <si>
    <t>Авт. выкл. Tmax XT1N 160, TMD, In=160A, 3P, Icu 36кА</t>
  </si>
  <si>
    <t>XT1N 160 TMD In=160A 3P</t>
  </si>
  <si>
    <t>F003</t>
  </si>
  <si>
    <t>Авт. выкл. Tmax XT3N 250, TMD, In=200A, 3P, Icu 36кА</t>
  </si>
  <si>
    <t>XT3N 250 TMD In=200A 3P</t>
  </si>
  <si>
    <t>F004</t>
  </si>
  <si>
    <t>Авт. выкл. Tmax XT3N 250, TMD, In=250A, 3P, Icu 36кА</t>
  </si>
  <si>
    <t>XT3N 250 TMD In=250A 3P</t>
  </si>
  <si>
    <t>F005</t>
  </si>
  <si>
    <t>Автомат защиты двигателя MS116-2.5 (1.6-2.5А)</t>
  </si>
  <si>
    <t>MS116-2.5</t>
  </si>
  <si>
    <t>OTHER</t>
  </si>
  <si>
    <t>ABB KASIM2025, PDF стр. 232</t>
  </si>
  <si>
    <t>F006</t>
  </si>
  <si>
    <t>Автомат защиты двигателя MS116-6.3 (4-6.3А)</t>
  </si>
  <si>
    <t>MS116-6.3</t>
  </si>
  <si>
    <t>F007</t>
  </si>
  <si>
    <t>Автомат защиты двигателя MS116-10 (6.3-10А)</t>
  </si>
  <si>
    <t>MS116-10</t>
  </si>
  <si>
    <t>F008</t>
  </si>
  <si>
    <t>Контактор AF09-30-10, 3P, 9А AC3, 1НО, катушка 100-250В AC/DC</t>
  </si>
  <si>
    <t>AF09-30-10</t>
  </si>
  <si>
    <t>ABB KASIM2025, PDF стр. 222</t>
  </si>
  <si>
    <t>F009</t>
  </si>
  <si>
    <t>Контактор AF12-30-10, 3P, 12А AC3, 1НО, катушка 100-250В AC/DC</t>
  </si>
  <si>
    <t>AF12-30-10</t>
  </si>
  <si>
    <t>F010</t>
  </si>
  <si>
    <t>Блок доп. контактов боковой CAL4-11 (1НО+1НЗ) для AF09...AF96</t>
  </si>
  <si>
    <t>CAL4-11</t>
  </si>
  <si>
    <t>ABB KASIM2025, PDF стр. 225</t>
  </si>
  <si>
    <t>F011</t>
  </si>
  <si>
    <t>Блок доп. контактов HKF1-11 (1НО+1НЗ), верхний, для MS116</t>
  </si>
  <si>
    <t>HKF1-11</t>
  </si>
  <si>
    <t>ABB KASIM2025, PDF стр. 233</t>
  </si>
  <si>
    <t>F012</t>
  </si>
  <si>
    <t>Контакт сигнализации SK1-11 (1НО+1НЗ), боковой, для MS116</t>
  </si>
  <si>
    <t>SK1-11</t>
  </si>
  <si>
    <t>F013</t>
  </si>
  <si>
    <t>Авт. выкл. SH 201-B 6, 1P, 6А, х-ка B, 6кА</t>
  </si>
  <si>
    <t>SH 201-B 6</t>
  </si>
  <si>
    <t>ABB KASIM2025, PDF стр. 12</t>
  </si>
  <si>
    <t>F014</t>
  </si>
  <si>
    <t>Авт. выкл. SH 201-C 16, 1P, 16А, х-ка C, 6кА</t>
  </si>
  <si>
    <t>SH 201-C 16</t>
  </si>
  <si>
    <t>ABB KASIM2025, PDF стр. 13</t>
  </si>
  <si>
    <t>F015</t>
  </si>
  <si>
    <t>Авт. выкл. SH 203-C 10, 3P, 10А, х-ка C, 6кА</t>
  </si>
  <si>
    <t>SH 203-C 10</t>
  </si>
  <si>
    <t>F016</t>
  </si>
  <si>
    <t>Авт. выкл. SH 203-C 16, 3P, 16А, х-ка C, 6кА</t>
  </si>
  <si>
    <t>SH 203-C 16</t>
  </si>
  <si>
    <t>F017</t>
  </si>
  <si>
    <t>Авт. выкл. SH 203-C 32, 3P, 32А, х-ка C, 6кА</t>
  </si>
  <si>
    <t>SH 203-C 32</t>
  </si>
  <si>
    <t>F018</t>
  </si>
  <si>
    <t>Авт. выкл. SH 203-C 40, 3P, 40А, х-ка C, 6кА</t>
  </si>
  <si>
    <t>SH 203-C 40</t>
  </si>
  <si>
    <t>F019</t>
  </si>
  <si>
    <t>Авт. выкл. SH 203-C 63, 3P, 63А, х-ка C, 6кА</t>
  </si>
  <si>
    <t>SH 203-C 63</t>
  </si>
  <si>
    <t>F020</t>
  </si>
  <si>
    <t>Авт. выкл. S 202-C 10, 2P, 10А, х-ка C</t>
  </si>
  <si>
    <t>S 202-C 10</t>
  </si>
  <si>
    <t>ABB KASIM2025, PDF стр. 15</t>
  </si>
  <si>
    <t>F021</t>
  </si>
  <si>
    <t>Реле контроля фаз CM-PFE, 3x208-440В AC, 1 перекл. контакт</t>
  </si>
  <si>
    <t>CM-PFE</t>
  </si>
  <si>
    <t>ABB KASIM2025, PDF стр. 252</t>
  </si>
  <si>
    <t>F022</t>
  </si>
  <si>
    <t>Реле CR-M230AC4, 4 перекл., катушка 230В AC</t>
  </si>
  <si>
    <t>CR-M230AC4</t>
  </si>
  <si>
    <t>ABB KASIM2025, PDF стр. 250</t>
  </si>
  <si>
    <t>F023</t>
  </si>
  <si>
    <t>Реле CR-P024AC2, 2 перекл., 8А, катушка 24В AC</t>
  </si>
  <si>
    <t>CR-P024AC2</t>
  </si>
  <si>
    <t>F024</t>
  </si>
  <si>
    <t>Лампа сигнальная LED CL2-523G, 230В AC, зелёная</t>
  </si>
  <si>
    <t>CL2-523G</t>
  </si>
  <si>
    <t>ABB KASIM2025, PDF стр. 276</t>
  </si>
  <si>
    <t>F025</t>
  </si>
  <si>
    <t>Лампа сигнальная LED CL2-523R, 230В AC, красная</t>
  </si>
  <si>
    <t>CL2-523R</t>
  </si>
  <si>
    <t>F026</t>
  </si>
  <si>
    <t>Лампа сигнальная LED CL2-523Y, 230В AC, жёлтая</t>
  </si>
  <si>
    <t>CL2-523Y</t>
  </si>
  <si>
    <t>F027</t>
  </si>
  <si>
    <t>Кнопка CP1-10B-10, чёрная, 1НО, без фиксации</t>
  </si>
  <si>
    <t>CP1-10B-10</t>
  </si>
  <si>
    <t>ABB KASIM2025, PDF стр. 275</t>
  </si>
  <si>
    <t>F028</t>
  </si>
  <si>
    <t>Корпус MCBH5-00 для головок и блоков (5 блоков в ряд)</t>
  </si>
  <si>
    <t>MCBH5-00</t>
  </si>
  <si>
    <t>ABB KASIM2025, PDF стр. 272</t>
  </si>
  <si>
    <t>F029</t>
  </si>
  <si>
    <t>Блок контактов MCB-10, 1НО</t>
  </si>
  <si>
    <t>MCB-10</t>
  </si>
  <si>
    <t>F030</t>
  </si>
  <si>
    <t>Держатель плавких вставок E 93/32, 3P, 10.3x38</t>
  </si>
  <si>
    <t>E 93/32</t>
  </si>
  <si>
    <t>ABB KASIM2025, PDF стр. 37</t>
  </si>
  <si>
    <t>F031</t>
  </si>
  <si>
    <t>Плавкая вставка E 9F10 GG6, 10.3x38, 6А gG</t>
  </si>
  <si>
    <t>E 9F10 GG6</t>
  </si>
  <si>
    <t>KURALLAR — жёлтые ячейки меняются вручную; BOM, FIYAT и OZET пересчитываются</t>
  </si>
  <si>
    <t>EUR_KZT</t>
  </si>
  <si>
    <t>Курс EUR→KZT (НБ РК, последний найденный на 07.10.2026 — обновить на дату КП)</t>
  </si>
  <si>
    <t>DISC_MCCB</t>
  </si>
  <si>
    <t>Скидка: компактные и воздушные автоматы (из названия файла прайса: 77%)</t>
  </si>
  <si>
    <t>DISC_OTHER</t>
  </si>
  <si>
    <t>Скидка: все прочие группы (из названия файла прайса: 70%)</t>
  </si>
  <si>
    <t>DK_UCRET</t>
  </si>
  <si>
    <t>Стоимость монтажа, KZT/мин (как в образце)</t>
  </si>
  <si>
    <t>ISCILIK_KAT</t>
  </si>
  <si>
    <t>Множитель норм времени</t>
  </si>
  <si>
    <t>MONTAJ_MALZ_KAT</t>
  </si>
  <si>
    <t>Монтажный материал = стоимость работ ×</t>
  </si>
  <si>
    <t>NDS_ORANI</t>
  </si>
  <si>
    <t>НДС</t>
  </si>
  <si>
    <t>НОРМЫ МОНТАЖА, мин/шт (взяты из таблицы KURALLAR образца ASTANA WB)</t>
  </si>
  <si>
    <t>ЩИТ</t>
  </si>
  <si>
    <t>ШТ</t>
  </si>
  <si>
    <t>Оборудование ABB,тг</t>
  </si>
  <si>
    <t>Монтажный материал,тг</t>
  </si>
  <si>
    <t>Монтаж (работа),тг</t>
  </si>
  <si>
    <t>ИТОГО по щиту,тг</t>
  </si>
  <si>
    <t>Фидеров</t>
  </si>
  <si>
    <t>Мин. монтажа</t>
  </si>
  <si>
    <t>MKA-MCC-1 (MCC-01-DT1-04 (VIP))</t>
  </si>
  <si>
    <t>MKA-MCC-2 (MCC-01-DT1-05 (6 GATE))</t>
  </si>
  <si>
    <t>MKA-MCC-3 (MCC-03-DT1-01 (VK 5))</t>
  </si>
  <si>
    <t>MKA-MCC-4 (MCC-03-DT1-02 (NEW))</t>
  </si>
  <si>
    <t>MKA-MCC-5 (MCC-03-DT1-04 (57))</t>
  </si>
  <si>
    <t>MKA-MCC-6 (MCC-03-DT1-0 (VK 11))</t>
  </si>
  <si>
    <t>ИТОГО без НДС, тг</t>
  </si>
  <si>
    <t>НДС, тг</t>
  </si>
  <si>
    <t>ИТОГО с НДС, тг</t>
  </si>
  <si>
    <t>Нетто-цены: прайс ABB Ноябрь 2025 (EUR) × курс × (1−скидка). Параметры — лист KURALLAR.</t>
  </si>
  <si>
    <t>ДОПУЩЕНИЯ И ЗАМЕЧАНИЯ</t>
  </si>
  <si>
    <t>DXF «mcc_tek_hat_seması»: 69 листов, 6 щитов MKA-MCC-1…6 (Almaty Airport, MKA STROY LLP), 49 моторных фидеров. Цены — ABB Elektrifikasyon Fiyat Listesi, Kasım 2025 (EUR).</t>
  </si>
  <si>
    <t>Скидки</t>
  </si>
  <si>
    <t>Взяты из названия файла прайса: 77% — компактные/воздушные автоматы (XT), 70% — все прочие группы. Проверьте.</t>
  </si>
  <si>
    <t>Курс</t>
  </si>
  <si>
    <t>509,99 ₸/€ — официальный курс НБ РК на 07.10.2026 (последний найденный). Обновить в KURALLAR!C3.</t>
  </si>
  <si>
    <t>Главные автоматы</t>
  </si>
  <si>
    <t>Схема: «XT1N 200A» и «XT1N 250A» (MCC-1, 2, 4). У XT1 макс. 160А, поэтому приняты XT3N 250 In=200/250А. Подтвердить с проектировщиком.</t>
  </si>
  <si>
    <t>Катушка контакторов</t>
  </si>
  <si>
    <t>Цепи управления 230В → AF..-30-10 с катушкой 100-250В AC/DC (R1310), а не 24-60В.</t>
  </si>
  <si>
    <t>HKF1-11 / SK1-11</t>
  </si>
  <si>
    <t>Метка встречается дважды на фидер (силовая и цепь управления) — принято по 1 шт. на фидер.</t>
  </si>
  <si>
    <t>Селектор 1S1</t>
  </si>
  <si>
    <t>Принято: корпус MCBH5-00 ×1 + 2 блока MCB-10 (1НО) на фидер. На схеме указаны MCB-20/A, MCB-10/A — в прайсе таких артикулов нет. Головка селектора 1-0-2 в прайсе не найдена.</t>
  </si>
  <si>
    <t>Лампы фидеров</t>
  </si>
  <si>
    <t>1H1 (ON) и 1H2 (FAULT) без типа на схеме — приняты CL2-523G / CL2-523R как на листе ввода.</t>
  </si>
  <si>
    <t>Плавкие вставки</t>
  </si>
  <si>
    <t>E 9F10 GG6: принято 3 шт. на щит (по полюсу).</t>
  </si>
  <si>
    <t>Автоматы QF</t>
  </si>
  <si>
    <t>Тип кривой не указан — принята C. 6кА → серия SH200.</t>
  </si>
  <si>
    <t>Монтаж</t>
  </si>
  <si>
    <t>Нормы минут и ставка 100 ₸/мин взяты из образца ASTANA WB; монтажный материал = 40% работ. Обнулите в KURALLAR, если не нужно.</t>
  </si>
  <si>
    <t>НЕ ВОШЛО (нет в каталоге ABB)</t>
  </si>
  <si>
    <t>Корпуса щитов, шины, трансформаторы T1 250VA 400/230В и T2 100VA 230/24В (по 1 на щит ×6), головки селекторов 1-0-2 (49), розетки/колодки реле CR-M / CR-P, клеммники X1/X2/X3 и PE, внутренний монтаж, кабели N2XH.</t>
  </si>
  <si>
    <t>1SVR405651R3000 </t>
  </si>
  <si>
    <t>kolodka</t>
  </si>
  <si>
    <t>CR-M4SS</t>
  </si>
  <si>
    <t>CR-M4SS колодка для реле</t>
  </si>
  <si>
    <t>ABB KASIM2025, PDF стр. 38</t>
  </si>
  <si>
    <t>M3SS1-10B</t>
  </si>
  <si>
    <t>M3SS1-10B mandal buton kafalari</t>
  </si>
  <si>
    <t>1SFA611210R1006</t>
  </si>
  <si>
    <t>1SFA611610R1002</t>
  </si>
  <si>
    <t>MCB--20 Блок контактов</t>
  </si>
  <si>
    <t>MCB-20</t>
  </si>
  <si>
    <t xml:space="preserve"> abb</t>
  </si>
  <si>
    <t>CR-PSS</t>
  </si>
  <si>
    <t xml:space="preserve"> CR-PSS колодка для реле</t>
  </si>
  <si>
    <t>1SVR405650R1000</t>
  </si>
  <si>
    <t>MCB--20 Блок контактов (возможно нет в наличии)</t>
  </si>
  <si>
    <t>tt</t>
  </si>
  <si>
    <t>Понижающий трансформатор ОСМ1-0,25кВА 380-220/220-110-42-36-24-12-5</t>
  </si>
  <si>
    <t>pys</t>
  </si>
  <si>
    <t>Понижающий трансформатор ОСМ1 0,1кВА 380-220/220-110-42-36-24-12-6</t>
  </si>
  <si>
    <t>korpus</t>
  </si>
  <si>
    <t>719-15698</t>
  </si>
  <si>
    <t>Мет.Корпус (2000X800X400+10 CM База) IP31</t>
  </si>
  <si>
    <t>719-15568</t>
  </si>
  <si>
    <t>Мет. Щит ЩМП- 6 (1200х750х300) IP31</t>
  </si>
  <si>
    <t>teksan f</t>
  </si>
  <si>
    <t>2000*800+400*400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</si>
</sst>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1" fillId="2" borderId="0" xfId="0" applyFont="1" applyFill="1"/>
    <xf numFmtId="9" fontId="2" fillId="0" borderId="0" xfId="0" applyNumberFormat="1" applyFont="1"/>
    <xf numFmtId="0" fontId="2" fillId="4" borderId="0" xfId="0" applyFont="1" applyFill="1"/>
    <xf numFmtId="0" fontId="1" fillId="2" borderId="0" xfId="0" applyFont="1" applyFill="1" applyAlignment="1">
      <alignment wrapText="1"/>
    </xf>
    <xf numFmtId="3" fontId="1" fillId="2" borderId="0" xfId="0" applyNumberFormat="1" applyFont="1" applyFill="1" applyAlignment="1">
      <alignment wrapText="1"/>
    </xf>
    <xf numFmtId="3" fontId="2" fillId="0" borderId="0" xfId="0" applyNumberFormat="1" applyFont="1"/>
    <xf numFmtId="3" fontId="1" fillId="0" borderId="0" xfId="0" applyNumberFormat="1" applyFont="1"/>
    <xf numFmtId="0" fontId="2" fillId="0" borderId="0" xfId="0" applyFont="1" applyAlignment="1">
      <alignment vertical="top" wrapText="1"/>
    </xf>
    <xf numFmtId="0" fontId="4" fillId="0" borderId="0" xfId="0" applyFont="1"/>
    <xf numFmtId="4" fontId="4" fillId="0" borderId="0" xfId="0" applyNumberFormat="1" applyFont="1"/>
    <xf numFmtId="0" fontId="2" fillId="5" borderId="0" xfId="0" applyFont="1" applyFill="1"/>
    <xf numFmtId="0" fontId="4" fillId="5" borderId="0" xfId="0" applyFont="1" applyFill="1"/>
    <xf numFmtId="0" fontId="0" fillId="5" borderId="0" xfId="0" applyFill="1"/>
    <xf numFmtId="4" fontId="2" fillId="5" borderId="0" xfId="0" applyNumberFormat="1" applyFont="1" applyFill="1"/>
    <xf numFmtId="164" fontId="2" fillId="5" borderId="0" xfId="0" applyNumberFormat="1" applyFont="1" applyFill="1"/>
    <xf numFmtId="0" fontId="0" fillId="6" borderId="0" xfId="0" applyFill="1"/>
    <xf numFmtId="0" fontId="0" fillId="0" borderId="0" xfId="0" applyAlignment="1">
      <alignment vertical="top"/>
    </xf>
    <xf numFmtId="0" fontId="4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4"/>
  <sheetViews>
    <sheetView tabSelected="1" zoomScale="70" zoomScaleNormal="70" workbookViewId="0">
      <pane ySplit="1" topLeftCell="A161" activePane="bottomLeft" state="frozen"/>
      <selection pane="bottomLeft" activeCell="E190" sqref="E190"/>
    </sheetView>
  </sheetViews>
  <sheetFormatPr defaultColWidth="8.7109375" defaultRowHeight="15" x14ac:dyDescent="0.25"/>
  <cols>
    <col min="1" max="1" width="40" customWidth="1"/>
    <col min="2" max="2" width="16" customWidth="1"/>
    <col min="3" max="3" width="18" customWidth="1"/>
    <col min="4" max="4" width="66" customWidth="1"/>
    <col min="5" max="6" width="13" customWidth="1"/>
    <col min="7" max="7" width="14" customWidth="1"/>
    <col min="8" max="8" width="8" customWidth="1"/>
    <col min="9" max="9" width="9" customWidth="1"/>
    <col min="10" max="10" width="20" customWidth="1"/>
    <col min="11" max="11" width="10" customWidth="1"/>
    <col min="12" max="12" width="60" customWidth="1"/>
    <col min="13" max="14" width="9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 t="s">
        <v>13</v>
      </c>
      <c r="B2" s="2"/>
      <c r="C2" s="2"/>
      <c r="D2" s="2" t="s">
        <v>13</v>
      </c>
      <c r="E2" s="2"/>
      <c r="F2" s="2"/>
      <c r="G2" s="2"/>
      <c r="H2" s="2">
        <v>1</v>
      </c>
      <c r="I2" s="2" t="s">
        <v>14</v>
      </c>
      <c r="J2" s="2" t="s">
        <v>15</v>
      </c>
      <c r="K2" s="2" t="s">
        <v>16</v>
      </c>
      <c r="L2" s="2"/>
      <c r="M2" s="2"/>
      <c r="N2" s="2"/>
    </row>
    <row r="3" spans="1:14" s="24" customFormat="1" x14ac:dyDescent="0.25">
      <c r="A3" s="3" t="s">
        <v>13</v>
      </c>
      <c r="B3" s="3" t="s">
        <v>297</v>
      </c>
      <c r="C3" s="3" t="s">
        <v>298</v>
      </c>
      <c r="D3" s="3" t="s">
        <v>299</v>
      </c>
      <c r="E3" s="4">
        <v>175000</v>
      </c>
      <c r="F3" s="4">
        <f>E3*0.6</f>
        <v>105000</v>
      </c>
      <c r="G3" s="4">
        <f t="shared" ref="G3" si="0">IF(OR(F3="",H3=""),"",H3*F3)</f>
        <v>105000</v>
      </c>
      <c r="H3" s="3">
        <v>1</v>
      </c>
      <c r="I3" s="3" t="str">
        <f>IFERROR(INDEX(FIYAT!$K$2:$K$32,MATCH($C3,FIYAT!$C$2:$C$32,0)),"")</f>
        <v/>
      </c>
      <c r="J3" s="17" t="s">
        <v>302</v>
      </c>
      <c r="K3" s="3" t="s">
        <v>16</v>
      </c>
      <c r="L3" s="3" t="s">
        <v>68</v>
      </c>
      <c r="M3" s="5">
        <f>IFERROR(INDEX(KURALLAR!$B$13:$B$23,MATCH($B3,KURALLAR!$A$13:$A$23,0)),0)</f>
        <v>0</v>
      </c>
      <c r="N3" s="5">
        <f t="shared" ref="N3" si="1">H3*M3</f>
        <v>0</v>
      </c>
    </row>
    <row r="4" spans="1:14" x14ac:dyDescent="0.25">
      <c r="A4" s="3" t="s">
        <v>13</v>
      </c>
      <c r="B4" s="3" t="s">
        <v>17</v>
      </c>
      <c r="C4" s="3" t="s">
        <v>18</v>
      </c>
      <c r="D4" s="3" t="str">
        <f>IFERROR(INDEX(FIYAT!$D$2:$D$32,MATCH($C4,FIYAT!$C$2:$C$32,0)),"АРТИКУЛ НЕ В FIYAT")</f>
        <v>Авт. выкл. Tmax XT3N 250, TMD, In=250A, 3P, Icu 36кА</v>
      </c>
      <c r="E4" s="4">
        <f>IFERROR(INDEX(FIYAT!$I$2:$I$32,MATCH($C4,FIYAT!$C$2:$C$32,0)),"")</f>
        <v>234187.408</v>
      </c>
      <c r="F4" s="4">
        <f>IFERROR(INDEX(FIYAT!$J$2:$J$32,MATCH($C4,FIYAT!$C$2:$C$32,0)),"")</f>
        <v>234187.408</v>
      </c>
      <c r="G4" s="4">
        <f t="shared" ref="G4:G31" si="2">IF(OR(F4="",H4=""),"",H4*F4)</f>
        <v>234187.408</v>
      </c>
      <c r="H4" s="3">
        <v>1</v>
      </c>
      <c r="I4" s="3" t="str">
        <f>IFERROR(INDEX(FIYAT!$K$2:$K$32,MATCH($C4,FIYAT!$C$2:$C$32,0)),"")</f>
        <v>шт</v>
      </c>
      <c r="J4" s="3" t="str">
        <f>IFERROR(INDEX(FIYAT!$L$2:$L$32,MATCH($C4,FIYAT!$C$2:$C$32,0)),"")</f>
        <v>abb</v>
      </c>
      <c r="K4" s="3" t="s">
        <v>16</v>
      </c>
      <c r="L4" s="3" t="s">
        <v>19</v>
      </c>
      <c r="M4" s="5">
        <f>IFERROR(INDEX(KURALLAR!$B$13:$B$23,MATCH($B4,KURALLAR!$A$13:$A$23,0)),0)</f>
        <v>15.3</v>
      </c>
      <c r="N4" s="5">
        <f t="shared" ref="N4:N31" si="3">H4*M4</f>
        <v>15.3</v>
      </c>
    </row>
    <row r="5" spans="1:14" x14ac:dyDescent="0.25">
      <c r="A5" s="3" t="s">
        <v>13</v>
      </c>
      <c r="B5" s="3" t="s">
        <v>20</v>
      </c>
      <c r="C5" s="3" t="s">
        <v>21</v>
      </c>
      <c r="D5" s="3" t="str">
        <f>IFERROR(INDEX(FIYAT!$D$2:$D$32,MATCH($C5,FIYAT!$C$2:$C$32,0)),"АРТИКУЛ НЕ В FIYAT")</f>
        <v>Авт. выкл. SH 201-B 6, 1P, 6А, х-ка B, 6кА</v>
      </c>
      <c r="E5" s="4">
        <f>IFERROR(INDEX(FIYAT!$I$2:$I$32,MATCH($C5,FIYAT!$C$2:$C$32,0)),"")</f>
        <v>4503.2116999999998</v>
      </c>
      <c r="F5" s="4">
        <f>IFERROR(INDEX(FIYAT!$J$2:$J$32,MATCH($C5,FIYAT!$C$2:$C$32,0)),"")</f>
        <v>4503.2116999999998</v>
      </c>
      <c r="G5" s="4">
        <f t="shared" si="2"/>
        <v>49535.328699999998</v>
      </c>
      <c r="H5" s="3">
        <v>11</v>
      </c>
      <c r="I5" s="3" t="str">
        <f>IFERROR(INDEX(FIYAT!$K$2:$K$32,MATCH($C5,FIYAT!$C$2:$C$32,0)),"")</f>
        <v>шт</v>
      </c>
      <c r="J5" s="3" t="str">
        <f>IFERROR(INDEX(FIYAT!$L$2:$L$32,MATCH($C5,FIYAT!$C$2:$C$32,0)),"")</f>
        <v>abb</v>
      </c>
      <c r="K5" s="3" t="s">
        <v>16</v>
      </c>
      <c r="L5" s="3" t="s">
        <v>22</v>
      </c>
      <c r="M5" s="5">
        <f>IFERROR(INDEX(KURALLAR!$B$13:$B$23,MATCH($B5,KURALLAR!$A$13:$A$23,0)),0)</f>
        <v>4</v>
      </c>
      <c r="N5" s="5">
        <f t="shared" si="3"/>
        <v>44</v>
      </c>
    </row>
    <row r="6" spans="1:14" x14ac:dyDescent="0.25">
      <c r="A6" s="3" t="s">
        <v>13</v>
      </c>
      <c r="B6" s="3" t="s">
        <v>23</v>
      </c>
      <c r="C6" s="3" t="s">
        <v>24</v>
      </c>
      <c r="D6" s="3" t="str">
        <f>IFERROR(INDEX(FIYAT!$D$2:$D$32,MATCH($C6,FIYAT!$C$2:$C$32,0)),"АРТИКУЛ НЕ В FIYAT")</f>
        <v>Лампа сигнальная LED CL2-523R, 230В AC, красная</v>
      </c>
      <c r="E6" s="4">
        <f>IFERROR(INDEX(FIYAT!$I$2:$I$32,MATCH($C6,FIYAT!$C$2:$C$32,0)),"")</f>
        <v>4906.1037999999999</v>
      </c>
      <c r="F6" s="4">
        <f>IFERROR(INDEX(FIYAT!$J$2:$J$32,MATCH($C6,FIYAT!$C$2:$C$32,0)),"")</f>
        <v>4906.1037999999999</v>
      </c>
      <c r="G6" s="4">
        <f t="shared" si="2"/>
        <v>44154.934199999996</v>
      </c>
      <c r="H6" s="3">
        <v>9</v>
      </c>
      <c r="I6" s="3" t="str">
        <f>IFERROR(INDEX(FIYAT!$K$2:$K$32,MATCH($C6,FIYAT!$C$2:$C$32,0)),"")</f>
        <v>шт</v>
      </c>
      <c r="J6" s="3" t="str">
        <f>IFERROR(INDEX(FIYAT!$L$2:$L$32,MATCH($C6,FIYAT!$C$2:$C$32,0)),"")</f>
        <v>abb</v>
      </c>
      <c r="K6" s="3" t="s">
        <v>16</v>
      </c>
      <c r="L6" s="3" t="s">
        <v>25</v>
      </c>
      <c r="M6" s="5">
        <f>IFERROR(INDEX(KURALLAR!$B$13:$B$23,MATCH($B6,KURALLAR!$A$13:$A$23,0)),0)</f>
        <v>8</v>
      </c>
      <c r="N6" s="5">
        <f t="shared" si="3"/>
        <v>72</v>
      </c>
    </row>
    <row r="7" spans="1:14" x14ac:dyDescent="0.25">
      <c r="A7" s="3" t="s">
        <v>13</v>
      </c>
      <c r="B7" s="3" t="s">
        <v>23</v>
      </c>
      <c r="C7" s="3" t="s">
        <v>26</v>
      </c>
      <c r="D7" s="3" t="str">
        <f>IFERROR(INDEX(FIYAT!$D$2:$D$32,MATCH($C7,FIYAT!$C$2:$C$32,0)),"АРТИКУЛ НЕ В FIYAT")</f>
        <v>Лампа сигнальная LED CL2-523Y, 230В AC, жёлтая</v>
      </c>
      <c r="E7" s="4">
        <f>IFERROR(INDEX(FIYAT!$I$2:$I$32,MATCH($C7,FIYAT!$C$2:$C$32,0)),"")</f>
        <v>4906.1037999999999</v>
      </c>
      <c r="F7" s="4">
        <f>IFERROR(INDEX(FIYAT!$J$2:$J$32,MATCH($C7,FIYAT!$C$2:$C$32,0)),"")</f>
        <v>4906.1037999999999</v>
      </c>
      <c r="G7" s="4">
        <f t="shared" si="2"/>
        <v>4906.1037999999999</v>
      </c>
      <c r="H7" s="3">
        <v>1</v>
      </c>
      <c r="I7" s="3" t="str">
        <f>IFERROR(INDEX(FIYAT!$K$2:$K$32,MATCH($C7,FIYAT!$C$2:$C$32,0)),"")</f>
        <v>шт</v>
      </c>
      <c r="J7" s="3" t="str">
        <f>IFERROR(INDEX(FIYAT!$L$2:$L$32,MATCH($C7,FIYAT!$C$2:$C$32,0)),"")</f>
        <v>abb</v>
      </c>
      <c r="K7" s="3" t="s">
        <v>16</v>
      </c>
      <c r="L7" s="3" t="s">
        <v>27</v>
      </c>
      <c r="M7" s="5">
        <f>IFERROR(INDEX(KURALLAR!$B$13:$B$23,MATCH($B7,KURALLAR!$A$13:$A$23,0)),0)</f>
        <v>8</v>
      </c>
      <c r="N7" s="5">
        <f t="shared" si="3"/>
        <v>8</v>
      </c>
    </row>
    <row r="8" spans="1:14" x14ac:dyDescent="0.25">
      <c r="A8" s="3" t="s">
        <v>13</v>
      </c>
      <c r="B8" s="3" t="s">
        <v>23</v>
      </c>
      <c r="C8" s="3" t="s">
        <v>28</v>
      </c>
      <c r="D8" s="3" t="str">
        <f>IFERROR(INDEX(FIYAT!$D$2:$D$32,MATCH($C8,FIYAT!$C$2:$C$32,0)),"АРТИКУЛ НЕ В FIYAT")</f>
        <v>Лампа сигнальная LED CL2-523G, 230В AC, зелёная</v>
      </c>
      <c r="E8" s="4">
        <f>IFERROR(INDEX(FIYAT!$I$2:$I$32,MATCH($C8,FIYAT!$C$2:$C$32,0)),"")</f>
        <v>4906.1037999999999</v>
      </c>
      <c r="F8" s="4">
        <f>IFERROR(INDEX(FIYAT!$J$2:$J$32,MATCH($C8,FIYAT!$C$2:$C$32,0)),"")</f>
        <v>4906.1037999999999</v>
      </c>
      <c r="G8" s="4">
        <f t="shared" si="2"/>
        <v>44154.934199999996</v>
      </c>
      <c r="H8" s="3">
        <v>9</v>
      </c>
      <c r="I8" s="3" t="str">
        <f>IFERROR(INDEX(FIYAT!$K$2:$K$32,MATCH($C8,FIYAT!$C$2:$C$32,0)),"")</f>
        <v>шт</v>
      </c>
      <c r="J8" s="3" t="str">
        <f>IFERROR(INDEX(FIYAT!$L$2:$L$32,MATCH($C8,FIYAT!$C$2:$C$32,0)),"")</f>
        <v>abb</v>
      </c>
      <c r="K8" s="3" t="s">
        <v>16</v>
      </c>
      <c r="L8" s="3" t="s">
        <v>29</v>
      </c>
      <c r="M8" s="5">
        <f>IFERROR(INDEX(KURALLAR!$B$13:$B$23,MATCH($B8,KURALLAR!$A$13:$A$23,0)),0)</f>
        <v>8</v>
      </c>
      <c r="N8" s="5">
        <f t="shared" si="3"/>
        <v>72</v>
      </c>
    </row>
    <row r="9" spans="1:14" x14ac:dyDescent="0.25">
      <c r="A9" s="3" t="s">
        <v>13</v>
      </c>
      <c r="B9" s="3" t="s">
        <v>30</v>
      </c>
      <c r="C9" s="3" t="s">
        <v>31</v>
      </c>
      <c r="D9" s="3" t="str">
        <f>IFERROR(INDEX(FIYAT!$D$2:$D$32,MATCH($C9,FIYAT!$C$2:$C$32,0)),"АРТИКУЛ НЕ В FIYAT")</f>
        <v>Реле контроля фаз CM-PFE, 3x208-440В AC, 1 перекл. контакт</v>
      </c>
      <c r="E9" s="4">
        <f>IFERROR(INDEX(FIYAT!$I$2:$I$32,MATCH($C9,FIYAT!$C$2:$C$32,0)),"")</f>
        <v>73132.566000000006</v>
      </c>
      <c r="F9" s="4">
        <f>IFERROR(INDEX(FIYAT!$J$2:$J$32,MATCH($C9,FIYAT!$C$2:$C$32,0)),"")</f>
        <v>73132.566000000006</v>
      </c>
      <c r="G9" s="4">
        <f t="shared" si="2"/>
        <v>73132.566000000006</v>
      </c>
      <c r="H9" s="3">
        <v>1</v>
      </c>
      <c r="I9" s="3" t="str">
        <f>IFERROR(INDEX(FIYAT!$K$2:$K$32,MATCH($C9,FIYAT!$C$2:$C$32,0)),"")</f>
        <v>шт</v>
      </c>
      <c r="J9" s="3" t="str">
        <f>IFERROR(INDEX(FIYAT!$L$2:$L$32,MATCH($C9,FIYAT!$C$2:$C$32,0)),"")</f>
        <v>abb</v>
      </c>
      <c r="K9" s="3" t="s">
        <v>16</v>
      </c>
      <c r="L9" s="3" t="s">
        <v>32</v>
      </c>
      <c r="M9" s="5">
        <f>IFERROR(INDEX(KURALLAR!$B$13:$B$23,MATCH($B9,KURALLAR!$A$13:$A$23,0)),0)</f>
        <v>21.8</v>
      </c>
      <c r="N9" s="5">
        <f t="shared" si="3"/>
        <v>21.8</v>
      </c>
    </row>
    <row r="10" spans="1:14" x14ac:dyDescent="0.25">
      <c r="A10" s="3" t="s">
        <v>13</v>
      </c>
      <c r="B10" s="3" t="s">
        <v>33</v>
      </c>
      <c r="C10" s="3" t="s">
        <v>34</v>
      </c>
      <c r="D10" s="3" t="str">
        <f>IFERROR(INDEX(FIYAT!$D$2:$D$32,MATCH($C10,FIYAT!$C$2:$C$32,0)),"АРТИКУЛ НЕ В FIYAT")</f>
        <v>Держатель плавких вставок E 93/32, 3P, 10.3x38</v>
      </c>
      <c r="E10" s="4">
        <f>IFERROR(INDEX(FIYAT!$I$2:$I$32,MATCH($C10,FIYAT!$C$2:$C$32,0)),"")</f>
        <v>12693.651100000001</v>
      </c>
      <c r="F10" s="4">
        <f>IFERROR(INDEX(FIYAT!$J$2:$J$32,MATCH($C10,FIYAT!$C$2:$C$32,0)),"")</f>
        <v>12693.651100000001</v>
      </c>
      <c r="G10" s="4">
        <f t="shared" si="2"/>
        <v>12693.651100000001</v>
      </c>
      <c r="H10" s="3">
        <v>1</v>
      </c>
      <c r="I10" s="3" t="str">
        <f>IFERROR(INDEX(FIYAT!$K$2:$K$32,MATCH($C10,FIYAT!$C$2:$C$32,0)),"")</f>
        <v>шт</v>
      </c>
      <c r="J10" s="3" t="str">
        <f>IFERROR(INDEX(FIYAT!$L$2:$L$32,MATCH($C10,FIYAT!$C$2:$C$32,0)),"")</f>
        <v>abb</v>
      </c>
      <c r="K10" s="3" t="s">
        <v>16</v>
      </c>
      <c r="L10" s="3" t="s">
        <v>35</v>
      </c>
      <c r="M10" s="5">
        <f>IFERROR(INDEX(KURALLAR!$B$13:$B$23,MATCH($B10,KURALLAR!$A$13:$A$23,0)),0)</f>
        <v>4</v>
      </c>
      <c r="N10" s="5">
        <f t="shared" si="3"/>
        <v>4</v>
      </c>
    </row>
    <row r="11" spans="1:14" x14ac:dyDescent="0.25">
      <c r="A11" s="3" t="s">
        <v>13</v>
      </c>
      <c r="B11" s="3" t="s">
        <v>36</v>
      </c>
      <c r="C11" s="3" t="s">
        <v>37</v>
      </c>
      <c r="D11" s="3" t="str">
        <f>IFERROR(INDEX(FIYAT!$D$2:$D$32,MATCH($C11,FIYAT!$C$2:$C$32,0)),"АРТИКУЛ НЕ В FIYAT")</f>
        <v>Плавкая вставка E 9F10 GG6, 10.3x38, 6А gG</v>
      </c>
      <c r="E11" s="4">
        <f>IFERROR(INDEX(FIYAT!$I$2:$I$32,MATCH($C11,FIYAT!$C$2:$C$32,0)),"")</f>
        <v>1943.0619000000002</v>
      </c>
      <c r="F11" s="4">
        <f>IFERROR(INDEX(FIYAT!$J$2:$J$32,MATCH($C11,FIYAT!$C$2:$C$32,0)),"")</f>
        <v>1943.0619000000002</v>
      </c>
      <c r="G11" s="4">
        <f t="shared" si="2"/>
        <v>5829.1857</v>
      </c>
      <c r="H11" s="3">
        <v>3</v>
      </c>
      <c r="I11" s="3" t="str">
        <f>IFERROR(INDEX(FIYAT!$K$2:$K$32,MATCH($C11,FIYAT!$C$2:$C$32,0)),"")</f>
        <v>шт</v>
      </c>
      <c r="J11" s="3" t="str">
        <f>IFERROR(INDEX(FIYAT!$L$2:$L$32,MATCH($C11,FIYAT!$C$2:$C$32,0)),"")</f>
        <v>abb</v>
      </c>
      <c r="K11" s="3" t="s">
        <v>16</v>
      </c>
      <c r="L11" s="3" t="s">
        <v>38</v>
      </c>
      <c r="M11" s="5">
        <f>IFERROR(INDEX(KURALLAR!$B$13:$B$23,MATCH($B11,KURALLAR!$A$13:$A$23,0)),0)</f>
        <v>0</v>
      </c>
      <c r="N11" s="5">
        <f t="shared" si="3"/>
        <v>0</v>
      </c>
    </row>
    <row r="12" spans="1:14" x14ac:dyDescent="0.25">
      <c r="A12" s="3" t="s">
        <v>13</v>
      </c>
      <c r="B12" s="3" t="s">
        <v>30</v>
      </c>
      <c r="C12" s="3" t="s">
        <v>39</v>
      </c>
      <c r="D12" s="3" t="str">
        <f>IFERROR(INDEX(FIYAT!$D$2:$D$32,MATCH($C12,FIYAT!$C$2:$C$32,0)),"АРТИКУЛ НЕ В FIYAT")</f>
        <v>Реле CR-M230AC4, 4 перекл., катушка 230В AC</v>
      </c>
      <c r="E12" s="4">
        <f>IFERROR(INDEX(FIYAT!$I$2:$I$32,MATCH($C12,FIYAT!$C$2:$C$32,0)),"")</f>
        <v>6543.1716999999999</v>
      </c>
      <c r="F12" s="4">
        <f>IFERROR(INDEX(FIYAT!$J$2:$J$32,MATCH($C12,FIYAT!$C$2:$C$32,0)),"")</f>
        <v>6543.1716999999999</v>
      </c>
      <c r="G12" s="4">
        <f t="shared" si="2"/>
        <v>111233.9189</v>
      </c>
      <c r="H12" s="3">
        <v>17</v>
      </c>
      <c r="I12" s="3" t="str">
        <f>IFERROR(INDEX(FIYAT!$K$2:$K$32,MATCH($C12,FIYAT!$C$2:$C$32,0)),"")</f>
        <v>шт</v>
      </c>
      <c r="J12" s="3" t="str">
        <f>IFERROR(INDEX(FIYAT!$L$2:$L$32,MATCH($C12,FIYAT!$C$2:$C$32,0)),"")</f>
        <v>abb</v>
      </c>
      <c r="K12" s="3" t="s">
        <v>16</v>
      </c>
      <c r="L12" s="3" t="s">
        <v>40</v>
      </c>
      <c r="M12" s="5">
        <f>IFERROR(INDEX(KURALLAR!$B$13:$B$23,MATCH($B12,KURALLAR!$A$13:$A$23,0)),0)</f>
        <v>21.8</v>
      </c>
      <c r="N12" s="5">
        <f t="shared" si="3"/>
        <v>370.6</v>
      </c>
    </row>
    <row r="13" spans="1:14" s="21" customFormat="1" x14ac:dyDescent="0.25">
      <c r="A13" s="19" t="s">
        <v>13</v>
      </c>
      <c r="B13" s="20" t="s">
        <v>278</v>
      </c>
      <c r="C13" s="19" t="s">
        <v>277</v>
      </c>
      <c r="D13" s="21" t="s">
        <v>280</v>
      </c>
      <c r="E13" s="22">
        <v>4334.915</v>
      </c>
      <c r="F13" s="22">
        <v>4334.915</v>
      </c>
      <c r="G13" s="22">
        <f t="shared" si="2"/>
        <v>73693.554999999993</v>
      </c>
      <c r="H13" s="19">
        <v>17</v>
      </c>
      <c r="I13" s="20" t="s">
        <v>72</v>
      </c>
      <c r="J13" s="20" t="s">
        <v>113</v>
      </c>
      <c r="K13" s="19" t="s">
        <v>16</v>
      </c>
      <c r="L13" s="19" t="s">
        <v>40</v>
      </c>
      <c r="M13" s="23">
        <f>IFERROR(INDEX(KURALLAR!$B$13:$B$23,MATCH($B13,KURALLAR!$A$13:$A$23,0)),0)</f>
        <v>0</v>
      </c>
      <c r="N13" s="23">
        <f t="shared" ref="N13" si="4">H13*M13</f>
        <v>0</v>
      </c>
    </row>
    <row r="14" spans="1:14" x14ac:dyDescent="0.25">
      <c r="A14" s="3" t="s">
        <v>13</v>
      </c>
      <c r="B14" s="3" t="s">
        <v>20</v>
      </c>
      <c r="C14" s="3" t="s">
        <v>41</v>
      </c>
      <c r="D14" s="3" t="str">
        <f>IFERROR(INDEX(FIYAT!$D$2:$D$32,MATCH($C14,FIYAT!$C$2:$C$32,0)),"АРТИКУЛ НЕ В FIYAT")</f>
        <v>Авт. выкл. S 202-C 10, 2P, 10А, х-ка C</v>
      </c>
      <c r="E14" s="4">
        <f>IFERROR(INDEX(FIYAT!$I$2:$I$32,MATCH($C14,FIYAT!$C$2:$C$32,0)),"")</f>
        <v>19241.922699999999</v>
      </c>
      <c r="F14" s="4">
        <f>IFERROR(INDEX(FIYAT!$J$2:$J$32,MATCH($C14,FIYAT!$C$2:$C$32,0)),"")</f>
        <v>19241.922699999999</v>
      </c>
      <c r="G14" s="4">
        <f t="shared" si="2"/>
        <v>38483.845399999998</v>
      </c>
      <c r="H14" s="3">
        <v>2</v>
      </c>
      <c r="I14" s="3" t="str">
        <f>IFERROR(INDEX(FIYAT!$K$2:$K$32,MATCH($C14,FIYAT!$C$2:$C$32,0)),"")</f>
        <v>шт</v>
      </c>
      <c r="J14" s="3" t="str">
        <f>IFERROR(INDEX(FIYAT!$L$2:$L$32,MATCH($C14,FIYAT!$C$2:$C$32,0)),"")</f>
        <v>abb</v>
      </c>
      <c r="K14" s="3" t="s">
        <v>16</v>
      </c>
      <c r="L14" s="3" t="s">
        <v>42</v>
      </c>
      <c r="M14" s="5">
        <f>IFERROR(INDEX(KURALLAR!$B$13:$B$23,MATCH($B14,KURALLAR!$A$13:$A$23,0)),0)</f>
        <v>4</v>
      </c>
      <c r="N14" s="5">
        <f t="shared" si="3"/>
        <v>8</v>
      </c>
    </row>
    <row r="15" spans="1:14" x14ac:dyDescent="0.25">
      <c r="A15" s="3" t="s">
        <v>13</v>
      </c>
      <c r="B15" s="3" t="s">
        <v>43</v>
      </c>
      <c r="C15" s="3" t="s">
        <v>44</v>
      </c>
      <c r="D15" s="3" t="str">
        <f>IFERROR(INDEX(FIYAT!$D$2:$D$32,MATCH($C15,FIYAT!$C$2:$C$32,0)),"АРТИКУЛ НЕ В FIYAT")</f>
        <v>Кнопка CP1-10B-10, чёрная, 1НО, без фиксации</v>
      </c>
      <c r="E15" s="4">
        <f>IFERROR(INDEX(FIYAT!$I$2:$I$32,MATCH($C15,FIYAT!$C$2:$C$32,0)),"")</f>
        <v>3187.4375</v>
      </c>
      <c r="F15" s="4">
        <f>IFERROR(INDEX(FIYAT!$J$2:$J$32,MATCH($C15,FIYAT!$C$2:$C$32,0)),"")</f>
        <v>3187.4375</v>
      </c>
      <c r="G15" s="4">
        <f t="shared" si="2"/>
        <v>3187.4375</v>
      </c>
      <c r="H15" s="3">
        <v>1</v>
      </c>
      <c r="I15" s="3" t="str">
        <f>IFERROR(INDEX(FIYAT!$K$2:$K$32,MATCH($C15,FIYAT!$C$2:$C$32,0)),"")</f>
        <v>шт</v>
      </c>
      <c r="J15" s="3" t="str">
        <f>IFERROR(INDEX(FIYAT!$L$2:$L$32,MATCH($C15,FIYAT!$C$2:$C$32,0)),"")</f>
        <v>abb</v>
      </c>
      <c r="K15" s="3" t="s">
        <v>16</v>
      </c>
      <c r="L15" s="3" t="s">
        <v>45</v>
      </c>
      <c r="M15" s="5">
        <f>IFERROR(INDEX(KURALLAR!$B$13:$B$23,MATCH($B15,KURALLAR!$A$13:$A$23,0)),0)</f>
        <v>8</v>
      </c>
      <c r="N15" s="5">
        <f t="shared" si="3"/>
        <v>8</v>
      </c>
    </row>
    <row r="16" spans="1:14" x14ac:dyDescent="0.25">
      <c r="A16" s="3" t="s">
        <v>13</v>
      </c>
      <c r="B16" s="3" t="s">
        <v>46</v>
      </c>
      <c r="C16" s="3" t="s">
        <v>47</v>
      </c>
      <c r="D16" s="3" t="str">
        <f>IFERROR(INDEX(FIYAT!$D$2:$D$32,MATCH($C16,FIYAT!$C$2:$C$32,0)),"АРТИКУЛ НЕ В FIYAT")</f>
        <v>Автомат защиты двигателя MS116-2.5 (1.6-2.5А)</v>
      </c>
      <c r="E16" s="4">
        <f>IFERROR(INDEX(FIYAT!$I$2:$I$32,MATCH($C16,FIYAT!$C$2:$C$32,0)),"")</f>
        <v>31889.6747</v>
      </c>
      <c r="F16" s="4">
        <f>IFERROR(INDEX(FIYAT!$J$2:$J$32,MATCH($C16,FIYAT!$C$2:$C$32,0)),"")</f>
        <v>31889.6747</v>
      </c>
      <c r="G16" s="4">
        <f t="shared" si="2"/>
        <v>191338.04819999999</v>
      </c>
      <c r="H16" s="3">
        <v>6</v>
      </c>
      <c r="I16" s="3" t="str">
        <f>IFERROR(INDEX(FIYAT!$K$2:$K$32,MATCH($C16,FIYAT!$C$2:$C$32,0)),"")</f>
        <v>шт</v>
      </c>
      <c r="J16" s="3" t="str">
        <f>IFERROR(INDEX(FIYAT!$L$2:$L$32,MATCH($C16,FIYAT!$C$2:$C$32,0)),"")</f>
        <v>abb</v>
      </c>
      <c r="K16" s="3" t="s">
        <v>16</v>
      </c>
      <c r="L16" s="3" t="s">
        <v>48</v>
      </c>
      <c r="M16" s="5">
        <f>IFERROR(INDEX(KURALLAR!$B$13:$B$23,MATCH($B16,KURALLAR!$A$13:$A$23,0)),0)</f>
        <v>2</v>
      </c>
      <c r="N16" s="5">
        <f t="shared" si="3"/>
        <v>12</v>
      </c>
    </row>
    <row r="17" spans="1:14" x14ac:dyDescent="0.25">
      <c r="A17" s="3" t="s">
        <v>13</v>
      </c>
      <c r="B17" s="3" t="s">
        <v>46</v>
      </c>
      <c r="C17" s="3" t="s">
        <v>49</v>
      </c>
      <c r="D17" s="3" t="str">
        <f>IFERROR(INDEX(FIYAT!$D$2:$D$32,MATCH($C17,FIYAT!$C$2:$C$32,0)),"АРТИКУЛ НЕ В FIYAT")</f>
        <v>Автомат защиты двигателя MS116-6.3 (4-6.3А)</v>
      </c>
      <c r="E17" s="4">
        <f>IFERROR(INDEX(FIYAT!$I$2:$I$32,MATCH($C17,FIYAT!$C$2:$C$32,0)),"")</f>
        <v>31889.6747</v>
      </c>
      <c r="F17" s="4">
        <f>IFERROR(INDEX(FIYAT!$J$2:$J$32,MATCH($C17,FIYAT!$C$2:$C$32,0)),"")</f>
        <v>31889.6747</v>
      </c>
      <c r="G17" s="4">
        <f t="shared" si="2"/>
        <v>63779.349399999999</v>
      </c>
      <c r="H17" s="3">
        <v>2</v>
      </c>
      <c r="I17" s="3" t="str">
        <f>IFERROR(INDEX(FIYAT!$K$2:$K$32,MATCH($C17,FIYAT!$C$2:$C$32,0)),"")</f>
        <v>шт</v>
      </c>
      <c r="J17" s="3" t="str">
        <f>IFERROR(INDEX(FIYAT!$L$2:$L$32,MATCH($C17,FIYAT!$C$2:$C$32,0)),"")</f>
        <v>abb</v>
      </c>
      <c r="K17" s="3" t="s">
        <v>16</v>
      </c>
      <c r="L17" s="3" t="s">
        <v>50</v>
      </c>
      <c r="M17" s="5">
        <f>IFERROR(INDEX(KURALLAR!$B$13:$B$23,MATCH($B17,KURALLAR!$A$13:$A$23,0)),0)</f>
        <v>2</v>
      </c>
      <c r="N17" s="5">
        <f t="shared" si="3"/>
        <v>4</v>
      </c>
    </row>
    <row r="18" spans="1:14" x14ac:dyDescent="0.25">
      <c r="A18" s="3" t="s">
        <v>13</v>
      </c>
      <c r="B18" s="3" t="s">
        <v>51</v>
      </c>
      <c r="C18" s="3" t="s">
        <v>52</v>
      </c>
      <c r="D18" s="3" t="str">
        <f>IFERROR(INDEX(FIYAT!$D$2:$D$32,MATCH($C18,FIYAT!$C$2:$C$32,0)),"АРТИКУЛ НЕ В FIYAT")</f>
        <v>Контактор AF09-30-10, 3P, 9А AC3, 1НО, катушка 100-250В AC/DC</v>
      </c>
      <c r="E18" s="4">
        <f>IFERROR(INDEX(FIYAT!$I$2:$I$32,MATCH($C18,FIYAT!$C$2:$C$32,0)),"")</f>
        <v>19333.7209</v>
      </c>
      <c r="F18" s="4">
        <f>IFERROR(INDEX(FIYAT!$J$2:$J$32,MATCH($C18,FIYAT!$C$2:$C$32,0)),"")</f>
        <v>19333.7209</v>
      </c>
      <c r="G18" s="4">
        <f t="shared" si="2"/>
        <v>154669.7672</v>
      </c>
      <c r="H18" s="3">
        <v>8</v>
      </c>
      <c r="I18" s="3" t="str">
        <f>IFERROR(INDEX(FIYAT!$K$2:$K$32,MATCH($C18,FIYAT!$C$2:$C$32,0)),"")</f>
        <v>шт</v>
      </c>
      <c r="J18" s="3" t="str">
        <f>IFERROR(INDEX(FIYAT!$L$2:$L$32,MATCH($C18,FIYAT!$C$2:$C$32,0)),"")</f>
        <v>abb</v>
      </c>
      <c r="K18" s="3" t="s">
        <v>16</v>
      </c>
      <c r="L18" s="3" t="s">
        <v>53</v>
      </c>
      <c r="M18" s="5">
        <f>IFERROR(INDEX(KURALLAR!$B$13:$B$23,MATCH($B18,KURALLAR!$A$13:$A$23,0)),0)</f>
        <v>5.9</v>
      </c>
      <c r="N18" s="5">
        <f t="shared" si="3"/>
        <v>47.2</v>
      </c>
    </row>
    <row r="19" spans="1:14" x14ac:dyDescent="0.25">
      <c r="A19" s="3" t="s">
        <v>13</v>
      </c>
      <c r="B19" s="3" t="s">
        <v>54</v>
      </c>
      <c r="C19" s="3" t="s">
        <v>55</v>
      </c>
      <c r="D19" s="3" t="str">
        <f>IFERROR(INDEX(FIYAT!$D$2:$D$32,MATCH($C19,FIYAT!$C$2:$C$32,0)),"АРТИКУЛ НЕ В FIYAT")</f>
        <v>Блок доп. контактов боковой CAL4-11 (1НО+1НЗ) для AF09...AF96</v>
      </c>
      <c r="E19" s="4">
        <f>IFERROR(INDEX(FIYAT!$I$2:$I$32,MATCH($C19,FIYAT!$C$2:$C$32,0)),"")</f>
        <v>6201.4784</v>
      </c>
      <c r="F19" s="4">
        <f>IFERROR(INDEX(FIYAT!$J$2:$J$32,MATCH($C19,FIYAT!$C$2:$C$32,0)),"")</f>
        <v>6201.4784</v>
      </c>
      <c r="G19" s="4">
        <f t="shared" si="2"/>
        <v>49611.8272</v>
      </c>
      <c r="H19" s="3">
        <v>8</v>
      </c>
      <c r="I19" s="3" t="str">
        <f>IFERROR(INDEX(FIYAT!$K$2:$K$32,MATCH($C19,FIYAT!$C$2:$C$32,0)),"")</f>
        <v>шт</v>
      </c>
      <c r="J19" s="3" t="str">
        <f>IFERROR(INDEX(FIYAT!$L$2:$L$32,MATCH($C19,FIYAT!$C$2:$C$32,0)),"")</f>
        <v>abb</v>
      </c>
      <c r="K19" s="3" t="s">
        <v>16</v>
      </c>
      <c r="L19" s="3" t="s">
        <v>56</v>
      </c>
      <c r="M19" s="5">
        <f>IFERROR(INDEX(KURALLAR!$B$13:$B$23,MATCH($B19,KURALLAR!$A$13:$A$23,0)),0)</f>
        <v>2</v>
      </c>
      <c r="N19" s="5">
        <f t="shared" si="3"/>
        <v>16</v>
      </c>
    </row>
    <row r="20" spans="1:14" x14ac:dyDescent="0.25">
      <c r="A20" s="3" t="s">
        <v>13</v>
      </c>
      <c r="B20" s="3" t="s">
        <v>54</v>
      </c>
      <c r="C20" s="3" t="s">
        <v>57</v>
      </c>
      <c r="D20" s="3" t="str">
        <f>IFERROR(INDEX(FIYAT!$D$2:$D$32,MATCH($C20,FIYAT!$C$2:$C$32,0)),"АРТИКУЛ НЕ В FIYAT")</f>
        <v>Блок доп. контактов HKF1-11 (1НО+1НЗ), верхний, для MS116</v>
      </c>
      <c r="E20" s="4">
        <f>IFERROR(INDEX(FIYAT!$I$2:$I$32,MATCH($C20,FIYAT!$C$2:$C$32,0)),"")</f>
        <v>4793.9059999999999</v>
      </c>
      <c r="F20" s="4">
        <f>IFERROR(INDEX(FIYAT!$J$2:$J$32,MATCH($C20,FIYAT!$C$2:$C$32,0)),"")</f>
        <v>4793.9059999999999</v>
      </c>
      <c r="G20" s="4">
        <f t="shared" si="2"/>
        <v>38351.248</v>
      </c>
      <c r="H20" s="3">
        <v>8</v>
      </c>
      <c r="I20" s="3" t="str">
        <f>IFERROR(INDEX(FIYAT!$K$2:$K$32,MATCH($C20,FIYAT!$C$2:$C$32,0)),"")</f>
        <v>шт</v>
      </c>
      <c r="J20" s="3" t="str">
        <f>IFERROR(INDEX(FIYAT!$L$2:$L$32,MATCH($C20,FIYAT!$C$2:$C$32,0)),"")</f>
        <v>abb</v>
      </c>
      <c r="K20" s="3" t="s">
        <v>16</v>
      </c>
      <c r="L20" s="3" t="s">
        <v>58</v>
      </c>
      <c r="M20" s="5">
        <f>IFERROR(INDEX(KURALLAR!$B$13:$B$23,MATCH($B20,KURALLAR!$A$13:$A$23,0)),0)</f>
        <v>2</v>
      </c>
      <c r="N20" s="5">
        <f t="shared" si="3"/>
        <v>16</v>
      </c>
    </row>
    <row r="21" spans="1:14" x14ac:dyDescent="0.25">
      <c r="A21" s="3" t="s">
        <v>13</v>
      </c>
      <c r="B21" s="3" t="s">
        <v>54</v>
      </c>
      <c r="C21" s="3" t="s">
        <v>59</v>
      </c>
      <c r="D21" s="3" t="str">
        <f>IFERROR(INDEX(FIYAT!$D$2:$D$32,MATCH($C21,FIYAT!$C$2:$C$32,0)),"АРТИКУЛ НЕ В FIYAT")</f>
        <v>Контакт сигнализации SK1-11 (1НО+1НЗ), боковой, для MS116</v>
      </c>
      <c r="E21" s="4">
        <f>IFERROR(INDEX(FIYAT!$I$2:$I$32,MATCH($C21,FIYAT!$C$2:$C$32,0)),"")</f>
        <v>9766.3084999999992</v>
      </c>
      <c r="F21" s="4">
        <f>IFERROR(INDEX(FIYAT!$J$2:$J$32,MATCH($C21,FIYAT!$C$2:$C$32,0)),"")</f>
        <v>9766.3084999999992</v>
      </c>
      <c r="G21" s="4">
        <f t="shared" si="2"/>
        <v>78130.467999999993</v>
      </c>
      <c r="H21" s="3">
        <v>8</v>
      </c>
      <c r="I21" s="3" t="str">
        <f>IFERROR(INDEX(FIYAT!$K$2:$K$32,MATCH($C21,FIYAT!$C$2:$C$32,0)),"")</f>
        <v>шт</v>
      </c>
      <c r="J21" s="3" t="str">
        <f>IFERROR(INDEX(FIYAT!$L$2:$L$32,MATCH($C21,FIYAT!$C$2:$C$32,0)),"")</f>
        <v>abb</v>
      </c>
      <c r="K21" s="3" t="s">
        <v>16</v>
      </c>
      <c r="L21" s="3" t="s">
        <v>58</v>
      </c>
      <c r="M21" s="5">
        <f>IFERROR(INDEX(KURALLAR!$B$13:$B$23,MATCH($B21,KURALLAR!$A$13:$A$23,0)),0)</f>
        <v>2</v>
      </c>
      <c r="N21" s="5">
        <f t="shared" si="3"/>
        <v>16</v>
      </c>
    </row>
    <row r="22" spans="1:14" x14ac:dyDescent="0.25">
      <c r="A22" s="3" t="s">
        <v>13</v>
      </c>
      <c r="B22" s="3" t="s">
        <v>60</v>
      </c>
      <c r="C22" s="17" t="s">
        <v>284</v>
      </c>
      <c r="D22" t="s">
        <v>283</v>
      </c>
      <c r="E22" s="4">
        <v>5431.3935000000001</v>
      </c>
      <c r="F22" s="4">
        <v>5431.3935000000001</v>
      </c>
      <c r="G22" s="4">
        <f t="shared" ref="G22" si="5">IF(OR(F22="",H22=""),"",H22*F22)</f>
        <v>43451.148000000001</v>
      </c>
      <c r="H22" s="3">
        <v>8</v>
      </c>
      <c r="I22" s="17" t="s">
        <v>72</v>
      </c>
      <c r="J22" s="17" t="s">
        <v>113</v>
      </c>
      <c r="K22" s="3" t="s">
        <v>16</v>
      </c>
      <c r="L22" s="3" t="s">
        <v>62</v>
      </c>
      <c r="M22" s="5">
        <f>IFERROR(INDEX(KURALLAR!$B$13:$B$23,MATCH($B22,KURALLAR!$A$13:$A$23,0)),0)</f>
        <v>21.8</v>
      </c>
      <c r="N22" s="5">
        <f t="shared" ref="N22" si="6">H22*M22</f>
        <v>174.4</v>
      </c>
    </row>
    <row r="23" spans="1:14" x14ac:dyDescent="0.25">
      <c r="A23" s="3" t="s">
        <v>13</v>
      </c>
      <c r="B23" s="3" t="s">
        <v>60</v>
      </c>
      <c r="C23" s="3" t="s">
        <v>61</v>
      </c>
      <c r="D23" s="3" t="str">
        <f>IFERROR(INDEX(FIYAT!$D$2:$D$32,MATCH($C23,FIYAT!$C$2:$C$32,0)),"АРТИКУЛ НЕ В FIYAT")</f>
        <v>Корпус MCBH5-00 для головок и блоков (5 блоков в ряд)</v>
      </c>
      <c r="E23" s="4">
        <f>IFERROR(INDEX(FIYAT!$I$2:$I$32,MATCH($C23,FIYAT!$C$2:$C$32,0)),"")</f>
        <v>647.68730000000005</v>
      </c>
      <c r="F23" s="4">
        <f>IFERROR(INDEX(FIYAT!$J$2:$J$32,MATCH($C23,FIYAT!$C$2:$C$32,0)),"")</f>
        <v>647.68730000000005</v>
      </c>
      <c r="G23" s="4">
        <f t="shared" si="2"/>
        <v>5181.4984000000004</v>
      </c>
      <c r="H23" s="3">
        <v>8</v>
      </c>
      <c r="I23" s="3" t="str">
        <f>IFERROR(INDEX(FIYAT!$K$2:$K$32,MATCH($C23,FIYAT!$C$2:$C$32,0)),"")</f>
        <v>шт</v>
      </c>
      <c r="J23" s="3" t="str">
        <f>IFERROR(INDEX(FIYAT!$L$2:$L$32,MATCH($C23,FIYAT!$C$2:$C$32,0)),"")</f>
        <v>abb</v>
      </c>
      <c r="K23" s="3" t="s">
        <v>16</v>
      </c>
      <c r="L23" s="3" t="s">
        <v>62</v>
      </c>
      <c r="M23" s="5">
        <f>IFERROR(INDEX(KURALLAR!$B$13:$B$23,MATCH($B23,KURALLAR!$A$13:$A$23,0)),0)</f>
        <v>21.8</v>
      </c>
      <c r="N23" s="5">
        <f t="shared" si="3"/>
        <v>174.4</v>
      </c>
    </row>
    <row r="24" spans="1:14" x14ac:dyDescent="0.25">
      <c r="A24" s="3" t="s">
        <v>13</v>
      </c>
      <c r="B24" s="3" t="s">
        <v>54</v>
      </c>
      <c r="C24" s="17" t="s">
        <v>63</v>
      </c>
      <c r="D24" s="3" t="str">
        <f>IFERROR(INDEX(FIYAT!$D$2:$D$32,MATCH($C24,FIYAT!$C$2:$C$32,0)),"АРТИКУЛ НЕ В FIYAT")</f>
        <v>Блок контактов MCB-10, 1НО</v>
      </c>
      <c r="E24" s="4">
        <f>IFERROR(INDEX(FIYAT!$I$2:$I$32,MATCH($C24,FIYAT!$C$2:$C$32,0)),"")</f>
        <v>2345.9539999999997</v>
      </c>
      <c r="F24" s="4">
        <f>IFERROR(INDEX(FIYAT!$J$2:$J$32,MATCH($C24,FIYAT!$C$2:$C$32,0)),"")</f>
        <v>2345.9539999999997</v>
      </c>
      <c r="G24" s="4">
        <f t="shared" si="2"/>
        <v>18767.631999999998</v>
      </c>
      <c r="H24" s="3">
        <v>8</v>
      </c>
      <c r="I24" s="3" t="str">
        <f>IFERROR(INDEX(FIYAT!$K$2:$K$32,MATCH($C24,FIYAT!$C$2:$C$32,0)),"")</f>
        <v>шт</v>
      </c>
      <c r="J24" s="3" t="str">
        <f>IFERROR(INDEX(FIYAT!$L$2:$L$32,MATCH($C24,FIYAT!$C$2:$C$32,0)),"")</f>
        <v>abb</v>
      </c>
      <c r="K24" s="3" t="s">
        <v>16</v>
      </c>
      <c r="L24" s="3" t="s">
        <v>64</v>
      </c>
      <c r="M24" s="5">
        <f>IFERROR(INDEX(KURALLAR!$B$13:$B$23,MATCH($B24,KURALLAR!$A$13:$A$23,0)),0)</f>
        <v>2</v>
      </c>
      <c r="N24" s="5">
        <f t="shared" si="3"/>
        <v>16</v>
      </c>
    </row>
    <row r="25" spans="1:14" s="21" customFormat="1" x14ac:dyDescent="0.25">
      <c r="A25" s="19" t="s">
        <v>13</v>
      </c>
      <c r="B25" s="19" t="s">
        <v>54</v>
      </c>
      <c r="C25" s="21" t="s">
        <v>285</v>
      </c>
      <c r="D25" s="20" t="s">
        <v>286</v>
      </c>
      <c r="E25" s="22">
        <v>3059</v>
      </c>
      <c r="F25" s="22">
        <v>3059</v>
      </c>
      <c r="G25" s="22">
        <f t="shared" ref="G25" si="7">IF(OR(F25="",H25=""),"",H25*F25)</f>
        <v>24472</v>
      </c>
      <c r="H25" s="19">
        <v>8</v>
      </c>
      <c r="I25" s="20" t="s">
        <v>72</v>
      </c>
      <c r="J25" s="20" t="s">
        <v>288</v>
      </c>
      <c r="K25" s="19" t="s">
        <v>16</v>
      </c>
      <c r="L25" s="19" t="s">
        <v>64</v>
      </c>
      <c r="M25" s="23">
        <f>IFERROR(INDEX(KURALLAR!$B$13:$B$23,MATCH($B25,KURALLAR!$A$13:$A$23,0)),0)</f>
        <v>2</v>
      </c>
      <c r="N25" s="23">
        <f t="shared" ref="N25" si="8">H25*M25</f>
        <v>16</v>
      </c>
    </row>
    <row r="26" spans="1:14" x14ac:dyDescent="0.25">
      <c r="A26" s="3" t="s">
        <v>13</v>
      </c>
      <c r="B26" s="3" t="s">
        <v>30</v>
      </c>
      <c r="C26" s="3" t="s">
        <v>65</v>
      </c>
      <c r="D26" s="3" t="str">
        <f>IFERROR(INDEX(FIYAT!$D$2:$D$32,MATCH($C26,FIYAT!$C$2:$C$32,0)),"АРТИКУЛ НЕ В FIYAT")</f>
        <v>Реле CR-P024AC2, 2 перекл., 8А, катушка 24В AC</v>
      </c>
      <c r="E26" s="4">
        <f>IFERROR(INDEX(FIYAT!$I$2:$I$32,MATCH($C26,FIYAT!$C$2:$C$32,0)),"")</f>
        <v>4334.915</v>
      </c>
      <c r="F26" s="4">
        <f>IFERROR(INDEX(FIYAT!$J$2:$J$32,MATCH($C26,FIYAT!$C$2:$C$32,0)),"")</f>
        <v>4334.915</v>
      </c>
      <c r="G26" s="4">
        <f t="shared" si="2"/>
        <v>69358.64</v>
      </c>
      <c r="H26" s="3">
        <v>16</v>
      </c>
      <c r="I26" s="3" t="str">
        <f>IFERROR(INDEX(FIYAT!$K$2:$K$32,MATCH($C26,FIYAT!$C$2:$C$32,0)),"")</f>
        <v>шт</v>
      </c>
      <c r="J26" s="3" t="str">
        <f>IFERROR(INDEX(FIYAT!$L$2:$L$32,MATCH($C26,FIYAT!$C$2:$C$32,0)),"")</f>
        <v>abb</v>
      </c>
      <c r="K26" s="3" t="s">
        <v>16</v>
      </c>
      <c r="L26" s="3" t="s">
        <v>66</v>
      </c>
      <c r="M26" s="5">
        <f>IFERROR(INDEX(KURALLAR!$B$13:$B$23,MATCH($B26,KURALLAR!$A$13:$A$23,0)),0)</f>
        <v>21.8</v>
      </c>
      <c r="N26" s="5">
        <f t="shared" si="3"/>
        <v>348.8</v>
      </c>
    </row>
    <row r="27" spans="1:14" s="21" customFormat="1" x14ac:dyDescent="0.25">
      <c r="A27" s="19" t="s">
        <v>13</v>
      </c>
      <c r="B27" s="20" t="s">
        <v>278</v>
      </c>
      <c r="C27" s="19" t="s">
        <v>291</v>
      </c>
      <c r="D27" s="21" t="s">
        <v>290</v>
      </c>
      <c r="E27" s="22">
        <v>4666.4085000000005</v>
      </c>
      <c r="F27" s="22">
        <v>4666.4085000000005</v>
      </c>
      <c r="G27" s="22">
        <f t="shared" ref="G27:G28" si="9">IF(OR(F27="",H27=""),"",H27*F27)</f>
        <v>74662.536000000007</v>
      </c>
      <c r="H27" s="19">
        <v>16</v>
      </c>
      <c r="I27" s="20" t="s">
        <v>72</v>
      </c>
      <c r="J27" s="20" t="s">
        <v>113</v>
      </c>
      <c r="K27" s="19" t="s">
        <v>16</v>
      </c>
      <c r="L27" s="19" t="s">
        <v>40</v>
      </c>
      <c r="M27" s="23">
        <f>IFERROR(INDEX(KURALLAR!$B$13:$B$23,MATCH($B27,KURALLAR!$A$13:$A$23,0)),0)</f>
        <v>0</v>
      </c>
      <c r="N27" s="23">
        <f t="shared" si="3"/>
        <v>0</v>
      </c>
    </row>
    <row r="28" spans="1:14" s="21" customFormat="1" x14ac:dyDescent="0.25">
      <c r="A28" s="19" t="s">
        <v>13</v>
      </c>
      <c r="B28" s="19" t="s">
        <v>293</v>
      </c>
      <c r="C28" s="19"/>
      <c r="D28" s="20" t="s">
        <v>294</v>
      </c>
      <c r="E28" s="22">
        <v>30000</v>
      </c>
      <c r="F28" s="22">
        <v>30000</v>
      </c>
      <c r="G28" s="22">
        <f t="shared" si="9"/>
        <v>30000</v>
      </c>
      <c r="H28" s="19">
        <v>1</v>
      </c>
      <c r="I28" s="19" t="str">
        <f>IFERROR(INDEX(FIYAT!$K$2:$K$32,MATCH($C28,FIYAT!$C$2:$C$32,0)),"")</f>
        <v/>
      </c>
      <c r="J28" s="20" t="s">
        <v>295</v>
      </c>
      <c r="K28" s="19" t="s">
        <v>16</v>
      </c>
      <c r="L28" s="19" t="s">
        <v>68</v>
      </c>
      <c r="M28" s="23">
        <f>IFERROR(INDEX(KURALLAR!$B$13:$B$23,MATCH($B28,KURALLAR!$A$13:$A$23,0)),0)</f>
        <v>0</v>
      </c>
      <c r="N28" s="23">
        <f t="shared" ref="N28" si="10">H28*M28</f>
        <v>0</v>
      </c>
    </row>
    <row r="29" spans="1:14" s="21" customFormat="1" x14ac:dyDescent="0.25">
      <c r="A29" s="19" t="s">
        <v>13</v>
      </c>
      <c r="B29" s="19" t="s">
        <v>293</v>
      </c>
      <c r="C29" s="19"/>
      <c r="D29" s="19" t="s">
        <v>296</v>
      </c>
      <c r="E29" s="22">
        <v>20000</v>
      </c>
      <c r="F29" s="22">
        <v>20000</v>
      </c>
      <c r="G29" s="22">
        <f t="shared" ref="G29" si="11">IF(OR(F29="",H29=""),"",H29*F29)</f>
        <v>20000</v>
      </c>
      <c r="H29" s="19">
        <v>1</v>
      </c>
      <c r="I29" s="19" t="str">
        <f>IFERROR(INDEX(FIYAT!$K$2:$K$32,MATCH($C29,FIYAT!$C$2:$C$32,0)),"")</f>
        <v/>
      </c>
      <c r="J29" s="20" t="s">
        <v>295</v>
      </c>
      <c r="K29" s="19" t="s">
        <v>16</v>
      </c>
      <c r="L29" s="19" t="s">
        <v>68</v>
      </c>
      <c r="M29" s="23">
        <f>IFERROR(INDEX(KURALLAR!$B$13:$B$23,MATCH($B29,KURALLAR!$A$13:$A$23,0)),0)</f>
        <v>0</v>
      </c>
      <c r="N29" s="23">
        <f t="shared" ref="N29" si="12">H29*M29</f>
        <v>0</v>
      </c>
    </row>
    <row r="30" spans="1:14" x14ac:dyDescent="0.25">
      <c r="A30" s="3" t="s">
        <v>13</v>
      </c>
      <c r="B30" s="3" t="s">
        <v>20</v>
      </c>
      <c r="C30" s="3" t="s">
        <v>67</v>
      </c>
      <c r="D30" s="3" t="str">
        <f>IFERROR(INDEX(FIYAT!$D$2:$D$32,MATCH($C30,FIYAT!$C$2:$C$32,0)),"АРТИКУЛ НЕ В FIYAT")</f>
        <v>Авт. выкл. SH 203-C 40, 3P, 40А, х-ка C, 6кА</v>
      </c>
      <c r="E30" s="4">
        <f>IFERROR(INDEX(FIYAT!$I$2:$I$32,MATCH($C30,FIYAT!$C$2:$C$32,0)),"")</f>
        <v>24163.326200000003</v>
      </c>
      <c r="F30" s="4">
        <f>IFERROR(INDEX(FIYAT!$J$2:$J$32,MATCH($C30,FIYAT!$C$2:$C$32,0)),"")</f>
        <v>24163.326200000003</v>
      </c>
      <c r="G30" s="4">
        <f t="shared" si="2"/>
        <v>241633.26200000005</v>
      </c>
      <c r="H30" s="3">
        <v>10</v>
      </c>
      <c r="I30" s="3" t="str">
        <f>IFERROR(INDEX(FIYAT!$K$2:$K$32,MATCH($C30,FIYAT!$C$2:$C$32,0)),"")</f>
        <v>шт</v>
      </c>
      <c r="J30" s="3" t="str">
        <f>IFERROR(INDEX(FIYAT!$L$2:$L$32,MATCH($C30,FIYAT!$C$2:$C$32,0)),"")</f>
        <v>abb</v>
      </c>
      <c r="K30" s="3" t="s">
        <v>16</v>
      </c>
      <c r="L30" s="3" t="s">
        <v>68</v>
      </c>
      <c r="M30" s="5">
        <f>IFERROR(INDEX(KURALLAR!$B$13:$B$23,MATCH($B30,KURALLAR!$A$13:$A$23,0)),0)</f>
        <v>4</v>
      </c>
      <c r="N30" s="5">
        <f t="shared" si="3"/>
        <v>40</v>
      </c>
    </row>
    <row r="31" spans="1:14" x14ac:dyDescent="0.25">
      <c r="A31" s="3" t="s">
        <v>13</v>
      </c>
      <c r="B31" s="3" t="s">
        <v>20</v>
      </c>
      <c r="C31" s="3" t="s">
        <v>69</v>
      </c>
      <c r="D31" s="3" t="str">
        <f>IFERROR(INDEX(FIYAT!$D$2:$D$32,MATCH($C31,FIYAT!$C$2:$C$32,0)),"АРТИКУЛ НЕ В FIYAT")</f>
        <v>Авт. выкл. SH 201-C 16, 1P, 16А, х-ка C, 6кА</v>
      </c>
      <c r="E31" s="4">
        <f>IFERROR(INDEX(FIYAT!$I$2:$I$32,MATCH($C31,FIYAT!$C$2:$C$32,0)),"")</f>
        <v>4125.8190999999997</v>
      </c>
      <c r="F31" s="4">
        <f>IFERROR(INDEX(FIYAT!$J$2:$J$32,MATCH($C31,FIYAT!$C$2:$C$32,0)),"")</f>
        <v>4125.8190999999997</v>
      </c>
      <c r="G31" s="4">
        <f t="shared" si="2"/>
        <v>61887.286499999995</v>
      </c>
      <c r="H31" s="3">
        <v>15</v>
      </c>
      <c r="I31" s="3" t="str">
        <f>IFERROR(INDEX(FIYAT!$K$2:$K$32,MATCH($C31,FIYAT!$C$2:$C$32,0)),"")</f>
        <v>шт</v>
      </c>
      <c r="J31" s="3" t="str">
        <f>IFERROR(INDEX(FIYAT!$L$2:$L$32,MATCH($C31,FIYAT!$C$2:$C$32,0)),"")</f>
        <v>abb</v>
      </c>
      <c r="K31" s="3" t="s">
        <v>16</v>
      </c>
      <c r="L31" s="3" t="s">
        <v>70</v>
      </c>
      <c r="M31" s="5">
        <f>IFERROR(INDEX(KURALLAR!$B$13:$B$23,MATCH($B31,KURALLAR!$A$13:$A$23,0)),0)</f>
        <v>4</v>
      </c>
      <c r="N31" s="5">
        <f t="shared" si="3"/>
        <v>60</v>
      </c>
    </row>
    <row r="32" spans="1:14" x14ac:dyDescent="0.25">
      <c r="A32" s="3" t="s">
        <v>13</v>
      </c>
      <c r="B32" s="3" t="s">
        <v>71</v>
      </c>
      <c r="C32" s="3" t="s">
        <v>71</v>
      </c>
      <c r="D32" s="3" t="s">
        <v>71</v>
      </c>
      <c r="E32" s="4">
        <f>G33*KURALLAR!$C$8</f>
        <v>62580</v>
      </c>
      <c r="F32" s="4">
        <f>E32</f>
        <v>62580</v>
      </c>
      <c r="G32" s="4">
        <f>H32*F32</f>
        <v>62580</v>
      </c>
      <c r="H32" s="3">
        <v>1</v>
      </c>
      <c r="I32" s="3" t="s">
        <v>72</v>
      </c>
      <c r="J32" s="3" t="s">
        <v>71</v>
      </c>
      <c r="K32" s="3" t="s">
        <v>16</v>
      </c>
      <c r="L32" s="3"/>
      <c r="M32" s="5"/>
      <c r="N32" s="5"/>
    </row>
    <row r="33" spans="1:14" x14ac:dyDescent="0.25">
      <c r="A33" s="3" t="s">
        <v>13</v>
      </c>
      <c r="B33" s="3" t="s">
        <v>73</v>
      </c>
      <c r="C33" s="3" t="s">
        <v>73</v>
      </c>
      <c r="D33" s="3" t="s">
        <v>73</v>
      </c>
      <c r="E33" s="4">
        <f>KURALLAR!$C$6</f>
        <v>100</v>
      </c>
      <c r="F33" s="4">
        <f>E33</f>
        <v>100</v>
      </c>
      <c r="G33" s="4">
        <f>H33*F33</f>
        <v>156450</v>
      </c>
      <c r="H33" s="3">
        <f>SUM(N4:N31)*KURALLAR!$C$7</f>
        <v>1564.5</v>
      </c>
      <c r="I33" s="3" t="s">
        <v>74</v>
      </c>
      <c r="J33" s="3" t="s">
        <v>73</v>
      </c>
      <c r="K33" s="3" t="s">
        <v>16</v>
      </c>
      <c r="L33" s="3"/>
      <c r="M33" s="5"/>
      <c r="N33" s="5"/>
    </row>
    <row r="34" spans="1:14" x14ac:dyDescent="0.25">
      <c r="A34" s="6" t="s">
        <v>13</v>
      </c>
      <c r="B34" s="6"/>
      <c r="C34" s="6"/>
      <c r="D34" s="6" t="s">
        <v>75</v>
      </c>
      <c r="E34" s="7"/>
      <c r="F34" s="7"/>
      <c r="G34" s="7">
        <f>SUM(G4:G33)</f>
        <v>2079517.5793999999</v>
      </c>
      <c r="H34" s="6"/>
      <c r="I34" s="6"/>
      <c r="J34" s="6"/>
      <c r="K34" s="6" t="s">
        <v>16</v>
      </c>
      <c r="L34" s="6"/>
      <c r="M34" s="8"/>
      <c r="N34" s="8"/>
    </row>
    <row r="35" spans="1:14" x14ac:dyDescent="0.25">
      <c r="A35" s="2" t="s">
        <v>76</v>
      </c>
      <c r="B35" s="2"/>
      <c r="C35" s="2"/>
      <c r="D35" s="2" t="s">
        <v>76</v>
      </c>
      <c r="E35" s="2"/>
      <c r="F35" s="2"/>
      <c r="G35" s="2"/>
      <c r="H35" s="2">
        <v>1</v>
      </c>
      <c r="I35" s="2" t="s">
        <v>14</v>
      </c>
      <c r="J35" s="2" t="s">
        <v>15</v>
      </c>
      <c r="K35" s="2" t="s">
        <v>16</v>
      </c>
      <c r="L35" s="2"/>
      <c r="M35" s="2"/>
      <c r="N35" s="2"/>
    </row>
    <row r="36" spans="1:14" s="24" customFormat="1" x14ac:dyDescent="0.25">
      <c r="A36" s="3" t="s">
        <v>76</v>
      </c>
      <c r="B36" s="3" t="s">
        <v>297</v>
      </c>
      <c r="C36" s="25" t="s">
        <v>300</v>
      </c>
      <c r="D36" s="26" t="s">
        <v>301</v>
      </c>
      <c r="E36" s="4">
        <v>65000</v>
      </c>
      <c r="F36" s="4">
        <f>E36*0.6</f>
        <v>39000</v>
      </c>
      <c r="G36" s="4">
        <f t="shared" ref="G36" si="13">IF(OR(F36="",H36=""),"",H36*F36)</f>
        <v>39000</v>
      </c>
      <c r="H36" s="3">
        <v>1</v>
      </c>
      <c r="I36" s="3" t="str">
        <f>IFERROR(INDEX(FIYAT!$K$2:$K$32,MATCH($C36,FIYAT!$C$2:$C$32,0)),"")</f>
        <v/>
      </c>
      <c r="J36" s="17" t="s">
        <v>302</v>
      </c>
      <c r="K36" s="3" t="s">
        <v>16</v>
      </c>
      <c r="L36" s="3" t="s">
        <v>68</v>
      </c>
      <c r="M36" s="5">
        <f>IFERROR(INDEX(KURALLAR!$B$13:$B$23,MATCH($B36,KURALLAR!$A$13:$A$23,0)),0)</f>
        <v>0</v>
      </c>
      <c r="N36" s="5">
        <f t="shared" ref="N36" si="14">H36*M36</f>
        <v>0</v>
      </c>
    </row>
    <row r="37" spans="1:14" x14ac:dyDescent="0.25">
      <c r="A37" s="3" t="s">
        <v>76</v>
      </c>
      <c r="B37" s="3" t="s">
        <v>17</v>
      </c>
      <c r="C37" s="3" t="s">
        <v>18</v>
      </c>
      <c r="D37" s="3" t="str">
        <f>IFERROR(INDEX(FIYAT!$D$2:$D$32,MATCH($C37,FIYAT!$C$2:$C$32,0)),"АРТИКУЛ НЕ В FIYAT")</f>
        <v>Авт. выкл. Tmax XT3N 250, TMD, In=250A, 3P, Icu 36кА</v>
      </c>
      <c r="E37" s="4">
        <f>IFERROR(INDEX(FIYAT!$I$2:$I$32,MATCH($C37,FIYAT!$C$2:$C$32,0)),"")</f>
        <v>234187.408</v>
      </c>
      <c r="F37" s="4">
        <f>IFERROR(INDEX(FIYAT!$J$2:$J$32,MATCH($C37,FIYAT!$C$2:$C$32,0)),"")</f>
        <v>234187.408</v>
      </c>
      <c r="G37" s="4">
        <f t="shared" ref="G37:G63" si="15">IF(OR(F37="",H37=""),"",H37*F37)</f>
        <v>234187.408</v>
      </c>
      <c r="H37" s="3">
        <v>1</v>
      </c>
      <c r="I37" s="3" t="str">
        <f>IFERROR(INDEX(FIYAT!$K$2:$K$32,MATCH($C37,FIYAT!$C$2:$C$32,0)),"")</f>
        <v>шт</v>
      </c>
      <c r="J37" s="3" t="str">
        <f>IFERROR(INDEX(FIYAT!$L$2:$L$32,MATCH($C37,FIYAT!$C$2:$C$32,0)),"")</f>
        <v>abb</v>
      </c>
      <c r="K37" s="3" t="s">
        <v>16</v>
      </c>
      <c r="L37" s="3" t="s">
        <v>19</v>
      </c>
      <c r="M37" s="5">
        <f>IFERROR(INDEX(KURALLAR!$B$13:$B$23,MATCH($B37,KURALLAR!$A$13:$A$23,0)),0)</f>
        <v>15.3</v>
      </c>
      <c r="N37" s="5">
        <f t="shared" ref="N37:N63" si="16">H37*M37</f>
        <v>15.3</v>
      </c>
    </row>
    <row r="38" spans="1:14" x14ac:dyDescent="0.25">
      <c r="A38" s="3" t="s">
        <v>76</v>
      </c>
      <c r="B38" s="3" t="s">
        <v>20</v>
      </c>
      <c r="C38" s="3" t="s">
        <v>21</v>
      </c>
      <c r="D38" s="3" t="str">
        <f>IFERROR(INDEX(FIYAT!$D$2:$D$32,MATCH($C38,FIYAT!$C$2:$C$32,0)),"АРТИКУЛ НЕ В FIYAT")</f>
        <v>Авт. выкл. SH 201-B 6, 1P, 6А, х-ка B, 6кА</v>
      </c>
      <c r="E38" s="4">
        <f>IFERROR(INDEX(FIYAT!$I$2:$I$32,MATCH($C38,FIYAT!$C$2:$C$32,0)),"")</f>
        <v>4503.2116999999998</v>
      </c>
      <c r="F38" s="4">
        <f>IFERROR(INDEX(FIYAT!$J$2:$J$32,MATCH($C38,FIYAT!$C$2:$C$32,0)),"")</f>
        <v>4503.2116999999998</v>
      </c>
      <c r="G38" s="4">
        <f t="shared" si="15"/>
        <v>31522.481899999999</v>
      </c>
      <c r="H38" s="3">
        <v>7</v>
      </c>
      <c r="I38" s="3" t="str">
        <f>IFERROR(INDEX(FIYAT!$K$2:$K$32,MATCH($C38,FIYAT!$C$2:$C$32,0)),"")</f>
        <v>шт</v>
      </c>
      <c r="J38" s="3" t="str">
        <f>IFERROR(INDEX(FIYAT!$L$2:$L$32,MATCH($C38,FIYAT!$C$2:$C$32,0)),"")</f>
        <v>abb</v>
      </c>
      <c r="K38" s="3" t="s">
        <v>16</v>
      </c>
      <c r="L38" s="3" t="s">
        <v>22</v>
      </c>
      <c r="M38" s="5">
        <f>IFERROR(INDEX(KURALLAR!$B$13:$B$23,MATCH($B38,KURALLAR!$A$13:$A$23,0)),0)</f>
        <v>4</v>
      </c>
      <c r="N38" s="5">
        <f t="shared" si="16"/>
        <v>28</v>
      </c>
    </row>
    <row r="39" spans="1:14" x14ac:dyDescent="0.25">
      <c r="A39" s="3" t="s">
        <v>76</v>
      </c>
      <c r="B39" s="3" t="s">
        <v>23</v>
      </c>
      <c r="C39" s="3" t="s">
        <v>24</v>
      </c>
      <c r="D39" s="3" t="str">
        <f>IFERROR(INDEX(FIYAT!$D$2:$D$32,MATCH($C39,FIYAT!$C$2:$C$32,0)),"АРТИКУЛ НЕ В FIYAT")</f>
        <v>Лампа сигнальная LED CL2-523R, 230В AC, красная</v>
      </c>
      <c r="E39" s="4">
        <f>IFERROR(INDEX(FIYAT!$I$2:$I$32,MATCH($C39,FIYAT!$C$2:$C$32,0)),"")</f>
        <v>4906.1037999999999</v>
      </c>
      <c r="F39" s="4">
        <f>IFERROR(INDEX(FIYAT!$J$2:$J$32,MATCH($C39,FIYAT!$C$2:$C$32,0)),"")</f>
        <v>4906.1037999999999</v>
      </c>
      <c r="G39" s="4">
        <f t="shared" si="15"/>
        <v>24530.519</v>
      </c>
      <c r="H39" s="3">
        <v>5</v>
      </c>
      <c r="I39" s="3" t="str">
        <f>IFERROR(INDEX(FIYAT!$K$2:$K$32,MATCH($C39,FIYAT!$C$2:$C$32,0)),"")</f>
        <v>шт</v>
      </c>
      <c r="J39" s="3" t="str">
        <f>IFERROR(INDEX(FIYAT!$L$2:$L$32,MATCH($C39,FIYAT!$C$2:$C$32,0)),"")</f>
        <v>abb</v>
      </c>
      <c r="K39" s="3" t="s">
        <v>16</v>
      </c>
      <c r="L39" s="3" t="s">
        <v>25</v>
      </c>
      <c r="M39" s="5">
        <f>IFERROR(INDEX(KURALLAR!$B$13:$B$23,MATCH($B39,KURALLAR!$A$13:$A$23,0)),0)</f>
        <v>8</v>
      </c>
      <c r="N39" s="5">
        <f t="shared" si="16"/>
        <v>40</v>
      </c>
    </row>
    <row r="40" spans="1:14" x14ac:dyDescent="0.25">
      <c r="A40" s="3" t="s">
        <v>76</v>
      </c>
      <c r="B40" s="3" t="s">
        <v>23</v>
      </c>
      <c r="C40" s="3" t="s">
        <v>26</v>
      </c>
      <c r="D40" s="3" t="str">
        <f>IFERROR(INDEX(FIYAT!$D$2:$D$32,MATCH($C40,FIYAT!$C$2:$C$32,0)),"АРТИКУЛ НЕ В FIYAT")</f>
        <v>Лампа сигнальная LED CL2-523Y, 230В AC, жёлтая</v>
      </c>
      <c r="E40" s="4">
        <f>IFERROR(INDEX(FIYAT!$I$2:$I$32,MATCH($C40,FIYAT!$C$2:$C$32,0)),"")</f>
        <v>4906.1037999999999</v>
      </c>
      <c r="F40" s="4">
        <f>IFERROR(INDEX(FIYAT!$J$2:$J$32,MATCH($C40,FIYAT!$C$2:$C$32,0)),"")</f>
        <v>4906.1037999999999</v>
      </c>
      <c r="G40" s="4">
        <f t="shared" si="15"/>
        <v>4906.1037999999999</v>
      </c>
      <c r="H40" s="3">
        <v>1</v>
      </c>
      <c r="I40" s="3" t="str">
        <f>IFERROR(INDEX(FIYAT!$K$2:$K$32,MATCH($C40,FIYAT!$C$2:$C$32,0)),"")</f>
        <v>шт</v>
      </c>
      <c r="J40" s="3" t="str">
        <f>IFERROR(INDEX(FIYAT!$L$2:$L$32,MATCH($C40,FIYAT!$C$2:$C$32,0)),"")</f>
        <v>abb</v>
      </c>
      <c r="K40" s="3" t="s">
        <v>16</v>
      </c>
      <c r="L40" s="3" t="s">
        <v>27</v>
      </c>
      <c r="M40" s="5">
        <f>IFERROR(INDEX(KURALLAR!$B$13:$B$23,MATCH($B40,KURALLAR!$A$13:$A$23,0)),0)</f>
        <v>8</v>
      </c>
      <c r="N40" s="5">
        <f t="shared" si="16"/>
        <v>8</v>
      </c>
    </row>
    <row r="41" spans="1:14" x14ac:dyDescent="0.25">
      <c r="A41" s="3" t="s">
        <v>76</v>
      </c>
      <c r="B41" s="3" t="s">
        <v>23</v>
      </c>
      <c r="C41" s="3" t="s">
        <v>28</v>
      </c>
      <c r="D41" s="3" t="str">
        <f>IFERROR(INDEX(FIYAT!$D$2:$D$32,MATCH($C41,FIYAT!$C$2:$C$32,0)),"АРТИКУЛ НЕ В FIYAT")</f>
        <v>Лампа сигнальная LED CL2-523G, 230В AC, зелёная</v>
      </c>
      <c r="E41" s="4">
        <f>IFERROR(INDEX(FIYAT!$I$2:$I$32,MATCH($C41,FIYAT!$C$2:$C$32,0)),"")</f>
        <v>4906.1037999999999</v>
      </c>
      <c r="F41" s="4">
        <f>IFERROR(INDEX(FIYAT!$J$2:$J$32,MATCH($C41,FIYAT!$C$2:$C$32,0)),"")</f>
        <v>4906.1037999999999</v>
      </c>
      <c r="G41" s="4">
        <f t="shared" si="15"/>
        <v>24530.519</v>
      </c>
      <c r="H41" s="3">
        <v>5</v>
      </c>
      <c r="I41" s="3" t="str">
        <f>IFERROR(INDEX(FIYAT!$K$2:$K$32,MATCH($C41,FIYAT!$C$2:$C$32,0)),"")</f>
        <v>шт</v>
      </c>
      <c r="J41" s="3" t="str">
        <f>IFERROR(INDEX(FIYAT!$L$2:$L$32,MATCH($C41,FIYAT!$C$2:$C$32,0)),"")</f>
        <v>abb</v>
      </c>
      <c r="K41" s="3" t="s">
        <v>16</v>
      </c>
      <c r="L41" s="3" t="s">
        <v>29</v>
      </c>
      <c r="M41" s="5">
        <f>IFERROR(INDEX(KURALLAR!$B$13:$B$23,MATCH($B41,KURALLAR!$A$13:$A$23,0)),0)</f>
        <v>8</v>
      </c>
      <c r="N41" s="5">
        <f t="shared" si="16"/>
        <v>40</v>
      </c>
    </row>
    <row r="42" spans="1:14" x14ac:dyDescent="0.25">
      <c r="A42" s="3" t="s">
        <v>76</v>
      </c>
      <c r="B42" s="3" t="s">
        <v>30</v>
      </c>
      <c r="C42" s="3" t="s">
        <v>31</v>
      </c>
      <c r="D42" s="3" t="str">
        <f>IFERROR(INDEX(FIYAT!$D$2:$D$32,MATCH($C42,FIYAT!$C$2:$C$32,0)),"АРТИКУЛ НЕ В FIYAT")</f>
        <v>Реле контроля фаз CM-PFE, 3x208-440В AC, 1 перекл. контакт</v>
      </c>
      <c r="E42" s="4">
        <f>IFERROR(INDEX(FIYAT!$I$2:$I$32,MATCH($C42,FIYAT!$C$2:$C$32,0)),"")</f>
        <v>73132.566000000006</v>
      </c>
      <c r="F42" s="4">
        <f>IFERROR(INDEX(FIYAT!$J$2:$J$32,MATCH($C42,FIYAT!$C$2:$C$32,0)),"")</f>
        <v>73132.566000000006</v>
      </c>
      <c r="G42" s="4">
        <f t="shared" si="15"/>
        <v>73132.566000000006</v>
      </c>
      <c r="H42" s="3">
        <v>1</v>
      </c>
      <c r="I42" s="3" t="str">
        <f>IFERROR(INDEX(FIYAT!$K$2:$K$32,MATCH($C42,FIYAT!$C$2:$C$32,0)),"")</f>
        <v>шт</v>
      </c>
      <c r="J42" s="3" t="str">
        <f>IFERROR(INDEX(FIYAT!$L$2:$L$32,MATCH($C42,FIYAT!$C$2:$C$32,0)),"")</f>
        <v>abb</v>
      </c>
      <c r="K42" s="3" t="s">
        <v>16</v>
      </c>
      <c r="L42" s="3" t="s">
        <v>32</v>
      </c>
      <c r="M42" s="5">
        <f>IFERROR(INDEX(KURALLAR!$B$13:$B$23,MATCH($B42,KURALLAR!$A$13:$A$23,0)),0)</f>
        <v>21.8</v>
      </c>
      <c r="N42" s="5">
        <f t="shared" si="16"/>
        <v>21.8</v>
      </c>
    </row>
    <row r="43" spans="1:14" x14ac:dyDescent="0.25">
      <c r="A43" s="3" t="s">
        <v>76</v>
      </c>
      <c r="B43" s="3" t="s">
        <v>33</v>
      </c>
      <c r="C43" s="3" t="s">
        <v>34</v>
      </c>
      <c r="D43" s="3" t="str">
        <f>IFERROR(INDEX(FIYAT!$D$2:$D$32,MATCH($C43,FIYAT!$C$2:$C$32,0)),"АРТИКУЛ НЕ В FIYAT")</f>
        <v>Держатель плавких вставок E 93/32, 3P, 10.3x38</v>
      </c>
      <c r="E43" s="4">
        <f>IFERROR(INDEX(FIYAT!$I$2:$I$32,MATCH($C43,FIYAT!$C$2:$C$32,0)),"")</f>
        <v>12693.651100000001</v>
      </c>
      <c r="F43" s="4">
        <f>IFERROR(INDEX(FIYAT!$J$2:$J$32,MATCH($C43,FIYAT!$C$2:$C$32,0)),"")</f>
        <v>12693.651100000001</v>
      </c>
      <c r="G43" s="4">
        <f t="shared" si="15"/>
        <v>12693.651100000001</v>
      </c>
      <c r="H43" s="3">
        <v>1</v>
      </c>
      <c r="I43" s="3" t="str">
        <f>IFERROR(INDEX(FIYAT!$K$2:$K$32,MATCH($C43,FIYAT!$C$2:$C$32,0)),"")</f>
        <v>шт</v>
      </c>
      <c r="J43" s="3" t="str">
        <f>IFERROR(INDEX(FIYAT!$L$2:$L$32,MATCH($C43,FIYAT!$C$2:$C$32,0)),"")</f>
        <v>abb</v>
      </c>
      <c r="K43" s="3" t="s">
        <v>16</v>
      </c>
      <c r="L43" s="3" t="s">
        <v>35</v>
      </c>
      <c r="M43" s="5">
        <f>IFERROR(INDEX(KURALLAR!$B$13:$B$23,MATCH($B43,KURALLAR!$A$13:$A$23,0)),0)</f>
        <v>4</v>
      </c>
      <c r="N43" s="5">
        <f t="shared" si="16"/>
        <v>4</v>
      </c>
    </row>
    <row r="44" spans="1:14" x14ac:dyDescent="0.25">
      <c r="A44" s="3" t="s">
        <v>76</v>
      </c>
      <c r="B44" s="3" t="s">
        <v>36</v>
      </c>
      <c r="C44" s="3" t="s">
        <v>37</v>
      </c>
      <c r="D44" s="3" t="str">
        <f>IFERROR(INDEX(FIYAT!$D$2:$D$32,MATCH($C44,FIYAT!$C$2:$C$32,0)),"АРТИКУЛ НЕ В FIYAT")</f>
        <v>Плавкая вставка E 9F10 GG6, 10.3x38, 6А gG</v>
      </c>
      <c r="E44" s="4">
        <f>IFERROR(INDEX(FIYAT!$I$2:$I$32,MATCH($C44,FIYAT!$C$2:$C$32,0)),"")</f>
        <v>1943.0619000000002</v>
      </c>
      <c r="F44" s="4">
        <f>IFERROR(INDEX(FIYAT!$J$2:$J$32,MATCH($C44,FIYAT!$C$2:$C$32,0)),"")</f>
        <v>1943.0619000000002</v>
      </c>
      <c r="G44" s="4">
        <f t="shared" si="15"/>
        <v>5829.1857</v>
      </c>
      <c r="H44" s="3">
        <v>3</v>
      </c>
      <c r="I44" s="3" t="str">
        <f>IFERROR(INDEX(FIYAT!$K$2:$K$32,MATCH($C44,FIYAT!$C$2:$C$32,0)),"")</f>
        <v>шт</v>
      </c>
      <c r="J44" s="3" t="str">
        <f>IFERROR(INDEX(FIYAT!$L$2:$L$32,MATCH($C44,FIYAT!$C$2:$C$32,0)),"")</f>
        <v>abb</v>
      </c>
      <c r="K44" s="3" t="s">
        <v>16</v>
      </c>
      <c r="L44" s="3" t="s">
        <v>38</v>
      </c>
      <c r="M44" s="5">
        <f>IFERROR(INDEX(KURALLAR!$B$13:$B$23,MATCH($B44,KURALLAR!$A$13:$A$23,0)),0)</f>
        <v>0</v>
      </c>
      <c r="N44" s="5">
        <f t="shared" si="16"/>
        <v>0</v>
      </c>
    </row>
    <row r="45" spans="1:14" x14ac:dyDescent="0.25">
      <c r="A45" s="3" t="s">
        <v>76</v>
      </c>
      <c r="B45" s="3" t="s">
        <v>30</v>
      </c>
      <c r="C45" s="3" t="s">
        <v>39</v>
      </c>
      <c r="D45" s="3" t="str">
        <f>IFERROR(INDEX(FIYAT!$D$2:$D$32,MATCH($C45,FIYAT!$C$2:$C$32,0)),"АРТИКУЛ НЕ В FIYAT")</f>
        <v>Реле CR-M230AC4, 4 перекл., катушка 230В AC</v>
      </c>
      <c r="E45" s="4">
        <f>IFERROR(INDEX(FIYAT!$I$2:$I$32,MATCH($C45,FIYAT!$C$2:$C$32,0)),"")</f>
        <v>6543.1716999999999</v>
      </c>
      <c r="F45" s="4">
        <f>IFERROR(INDEX(FIYAT!$J$2:$J$32,MATCH($C45,FIYAT!$C$2:$C$32,0)),"")</f>
        <v>6543.1716999999999</v>
      </c>
      <c r="G45" s="4">
        <f t="shared" si="15"/>
        <v>58888.545299999998</v>
      </c>
      <c r="H45" s="3">
        <v>9</v>
      </c>
      <c r="I45" s="3" t="str">
        <f>IFERROR(INDEX(FIYAT!$K$2:$K$32,MATCH($C45,FIYAT!$C$2:$C$32,0)),"")</f>
        <v>шт</v>
      </c>
      <c r="J45" s="3" t="str">
        <f>IFERROR(INDEX(FIYAT!$L$2:$L$32,MATCH($C45,FIYAT!$C$2:$C$32,0)),"")</f>
        <v>abb</v>
      </c>
      <c r="K45" s="3" t="s">
        <v>16</v>
      </c>
      <c r="L45" s="3" t="s">
        <v>40</v>
      </c>
      <c r="M45" s="5">
        <f>IFERROR(INDEX(KURALLAR!$B$13:$B$23,MATCH($B45,KURALLAR!$A$13:$A$23,0)),0)</f>
        <v>21.8</v>
      </c>
      <c r="N45" s="5">
        <f t="shared" si="16"/>
        <v>196.20000000000002</v>
      </c>
    </row>
    <row r="46" spans="1:14" s="21" customFormat="1" x14ac:dyDescent="0.25">
      <c r="A46" s="3" t="s">
        <v>76</v>
      </c>
      <c r="B46" s="20" t="s">
        <v>278</v>
      </c>
      <c r="C46" s="19" t="s">
        <v>277</v>
      </c>
      <c r="D46" s="21" t="s">
        <v>280</v>
      </c>
      <c r="E46" s="22">
        <v>4334.915</v>
      </c>
      <c r="F46" s="22">
        <v>4334.915</v>
      </c>
      <c r="G46" s="22">
        <f t="shared" si="15"/>
        <v>39014.235000000001</v>
      </c>
      <c r="H46" s="19">
        <v>9</v>
      </c>
      <c r="I46" s="20" t="s">
        <v>72</v>
      </c>
      <c r="J46" s="20" t="s">
        <v>113</v>
      </c>
      <c r="K46" s="19" t="s">
        <v>16</v>
      </c>
      <c r="L46" s="19" t="s">
        <v>40</v>
      </c>
      <c r="M46" s="23">
        <f>IFERROR(INDEX(KURALLAR!$B$13:$B$23,MATCH($B46,KURALLAR!$A$13:$A$23,0)),0)</f>
        <v>0</v>
      </c>
      <c r="N46" s="23">
        <f t="shared" si="16"/>
        <v>0</v>
      </c>
    </row>
    <row r="47" spans="1:14" x14ac:dyDescent="0.25">
      <c r="A47" s="3" t="s">
        <v>76</v>
      </c>
      <c r="B47" s="3" t="s">
        <v>20</v>
      </c>
      <c r="C47" s="3" t="s">
        <v>41</v>
      </c>
      <c r="D47" s="3" t="str">
        <f>IFERROR(INDEX(FIYAT!$D$2:$D$32,MATCH($C47,FIYAT!$C$2:$C$32,0)),"АРТИКУЛ НЕ В FIYAT")</f>
        <v>Авт. выкл. S 202-C 10, 2P, 10А, х-ка C</v>
      </c>
      <c r="E47" s="4">
        <f>IFERROR(INDEX(FIYAT!$I$2:$I$32,MATCH($C47,FIYAT!$C$2:$C$32,0)),"")</f>
        <v>19241.922699999999</v>
      </c>
      <c r="F47" s="4">
        <f>IFERROR(INDEX(FIYAT!$J$2:$J$32,MATCH($C47,FIYAT!$C$2:$C$32,0)),"")</f>
        <v>19241.922699999999</v>
      </c>
      <c r="G47" s="4">
        <f t="shared" si="15"/>
        <v>38483.845399999998</v>
      </c>
      <c r="H47" s="3">
        <v>2</v>
      </c>
      <c r="I47" s="3" t="str">
        <f>IFERROR(INDEX(FIYAT!$K$2:$K$32,MATCH($C47,FIYAT!$C$2:$C$32,0)),"")</f>
        <v>шт</v>
      </c>
      <c r="J47" s="3" t="str">
        <f>IFERROR(INDEX(FIYAT!$L$2:$L$32,MATCH($C47,FIYAT!$C$2:$C$32,0)),"")</f>
        <v>abb</v>
      </c>
      <c r="K47" s="3" t="s">
        <v>16</v>
      </c>
      <c r="L47" s="3" t="s">
        <v>42</v>
      </c>
      <c r="M47" s="5">
        <f>IFERROR(INDEX(KURALLAR!$B$13:$B$23,MATCH($B47,KURALLAR!$A$13:$A$23,0)),0)</f>
        <v>4</v>
      </c>
      <c r="N47" s="5">
        <f t="shared" si="16"/>
        <v>8</v>
      </c>
    </row>
    <row r="48" spans="1:14" x14ac:dyDescent="0.25">
      <c r="A48" s="3" t="s">
        <v>76</v>
      </c>
      <c r="B48" s="3" t="s">
        <v>43</v>
      </c>
      <c r="C48" s="3" t="s">
        <v>44</v>
      </c>
      <c r="D48" s="3" t="str">
        <f>IFERROR(INDEX(FIYAT!$D$2:$D$32,MATCH($C48,FIYAT!$C$2:$C$32,0)),"АРТИКУЛ НЕ В FIYAT")</f>
        <v>Кнопка CP1-10B-10, чёрная, 1НО, без фиксации</v>
      </c>
      <c r="E48" s="4">
        <f>IFERROR(INDEX(FIYAT!$I$2:$I$32,MATCH($C48,FIYAT!$C$2:$C$32,0)),"")</f>
        <v>3187.4375</v>
      </c>
      <c r="F48" s="4">
        <f>IFERROR(INDEX(FIYAT!$J$2:$J$32,MATCH($C48,FIYAT!$C$2:$C$32,0)),"")</f>
        <v>3187.4375</v>
      </c>
      <c r="G48" s="4">
        <f t="shared" si="15"/>
        <v>3187.4375</v>
      </c>
      <c r="H48" s="3">
        <v>1</v>
      </c>
      <c r="I48" s="3" t="str">
        <f>IFERROR(INDEX(FIYAT!$K$2:$K$32,MATCH($C48,FIYAT!$C$2:$C$32,0)),"")</f>
        <v>шт</v>
      </c>
      <c r="J48" s="3" t="str">
        <f>IFERROR(INDEX(FIYAT!$L$2:$L$32,MATCH($C48,FIYAT!$C$2:$C$32,0)),"")</f>
        <v>abb</v>
      </c>
      <c r="K48" s="3" t="s">
        <v>16</v>
      </c>
      <c r="L48" s="3" t="s">
        <v>45</v>
      </c>
      <c r="M48" s="5">
        <f>IFERROR(INDEX(KURALLAR!$B$13:$B$23,MATCH($B48,KURALLAR!$A$13:$A$23,0)),0)</f>
        <v>8</v>
      </c>
      <c r="N48" s="5">
        <f t="shared" si="16"/>
        <v>8</v>
      </c>
    </row>
    <row r="49" spans="1:14" x14ac:dyDescent="0.25">
      <c r="A49" s="3" t="s">
        <v>76</v>
      </c>
      <c r="B49" s="3" t="s">
        <v>46</v>
      </c>
      <c r="C49" s="3" t="s">
        <v>47</v>
      </c>
      <c r="D49" s="3" t="str">
        <f>IFERROR(INDEX(FIYAT!$D$2:$D$32,MATCH($C49,FIYAT!$C$2:$C$32,0)),"АРТИКУЛ НЕ В FIYAT")</f>
        <v>Автомат защиты двигателя MS116-2.5 (1.6-2.5А)</v>
      </c>
      <c r="E49" s="4">
        <f>IFERROR(INDEX(FIYAT!$I$2:$I$32,MATCH($C49,FIYAT!$C$2:$C$32,0)),"")</f>
        <v>31889.6747</v>
      </c>
      <c r="F49" s="4">
        <f>IFERROR(INDEX(FIYAT!$J$2:$J$32,MATCH($C49,FIYAT!$C$2:$C$32,0)),"")</f>
        <v>31889.6747</v>
      </c>
      <c r="G49" s="4">
        <f t="shared" si="15"/>
        <v>95669.024099999995</v>
      </c>
      <c r="H49" s="3">
        <v>3</v>
      </c>
      <c r="I49" s="3" t="str">
        <f>IFERROR(INDEX(FIYAT!$K$2:$K$32,MATCH($C49,FIYAT!$C$2:$C$32,0)),"")</f>
        <v>шт</v>
      </c>
      <c r="J49" s="3" t="str">
        <f>IFERROR(INDEX(FIYAT!$L$2:$L$32,MATCH($C49,FIYAT!$C$2:$C$32,0)),"")</f>
        <v>abb</v>
      </c>
      <c r="K49" s="3" t="s">
        <v>16</v>
      </c>
      <c r="L49" s="3" t="s">
        <v>48</v>
      </c>
      <c r="M49" s="5">
        <f>IFERROR(INDEX(KURALLAR!$B$13:$B$23,MATCH($B49,KURALLAR!$A$13:$A$23,0)),0)</f>
        <v>2</v>
      </c>
      <c r="N49" s="5">
        <f t="shared" si="16"/>
        <v>6</v>
      </c>
    </row>
    <row r="50" spans="1:14" x14ac:dyDescent="0.25">
      <c r="A50" s="3" t="s">
        <v>76</v>
      </c>
      <c r="B50" s="3" t="s">
        <v>46</v>
      </c>
      <c r="C50" s="3" t="s">
        <v>77</v>
      </c>
      <c r="D50" s="3" t="str">
        <f>IFERROR(INDEX(FIYAT!$D$2:$D$32,MATCH($C50,FIYAT!$C$2:$C$32,0)),"АРТИКУЛ НЕ В FIYAT")</f>
        <v>Автомат защиты двигателя MS116-10 (6.3-10А)</v>
      </c>
      <c r="E50" s="4">
        <f>IFERROR(INDEX(FIYAT!$I$2:$I$32,MATCH($C50,FIYAT!$C$2:$C$32,0)),"")</f>
        <v>34256.028299999998</v>
      </c>
      <c r="F50" s="4">
        <f>IFERROR(INDEX(FIYAT!$J$2:$J$32,MATCH($C50,FIYAT!$C$2:$C$32,0)),"")</f>
        <v>34256.028299999998</v>
      </c>
      <c r="G50" s="4">
        <f t="shared" si="15"/>
        <v>34256.028299999998</v>
      </c>
      <c r="H50" s="3">
        <v>1</v>
      </c>
      <c r="I50" s="3" t="str">
        <f>IFERROR(INDEX(FIYAT!$K$2:$K$32,MATCH($C50,FIYAT!$C$2:$C$32,0)),"")</f>
        <v>шт</v>
      </c>
      <c r="J50" s="3" t="str">
        <f>IFERROR(INDEX(FIYAT!$L$2:$L$32,MATCH($C50,FIYAT!$C$2:$C$32,0)),"")</f>
        <v>abb</v>
      </c>
      <c r="K50" s="3" t="s">
        <v>16</v>
      </c>
      <c r="L50" s="3" t="s">
        <v>78</v>
      </c>
      <c r="M50" s="5">
        <f>IFERROR(INDEX(KURALLAR!$B$13:$B$23,MATCH($B50,KURALLAR!$A$13:$A$23,0)),0)</f>
        <v>2</v>
      </c>
      <c r="N50" s="5">
        <f t="shared" si="16"/>
        <v>2</v>
      </c>
    </row>
    <row r="51" spans="1:14" x14ac:dyDescent="0.25">
      <c r="A51" s="3" t="s">
        <v>76</v>
      </c>
      <c r="B51" s="3" t="s">
        <v>51</v>
      </c>
      <c r="C51" s="3" t="s">
        <v>52</v>
      </c>
      <c r="D51" s="3" t="str">
        <f>IFERROR(INDEX(FIYAT!$D$2:$D$32,MATCH($C51,FIYAT!$C$2:$C$32,0)),"АРТИКУЛ НЕ В FIYAT")</f>
        <v>Контактор AF09-30-10, 3P, 9А AC3, 1НО, катушка 100-250В AC/DC</v>
      </c>
      <c r="E51" s="4">
        <f>IFERROR(INDEX(FIYAT!$I$2:$I$32,MATCH($C51,FIYAT!$C$2:$C$32,0)),"")</f>
        <v>19333.7209</v>
      </c>
      <c r="F51" s="4">
        <f>IFERROR(INDEX(FIYAT!$J$2:$J$32,MATCH($C51,FIYAT!$C$2:$C$32,0)),"")</f>
        <v>19333.7209</v>
      </c>
      <c r="G51" s="4">
        <f t="shared" si="15"/>
        <v>77334.883600000001</v>
      </c>
      <c r="H51" s="3">
        <v>4</v>
      </c>
      <c r="I51" s="3" t="str">
        <f>IFERROR(INDEX(FIYAT!$K$2:$K$32,MATCH($C51,FIYAT!$C$2:$C$32,0)),"")</f>
        <v>шт</v>
      </c>
      <c r="J51" s="3" t="str">
        <f>IFERROR(INDEX(FIYAT!$L$2:$L$32,MATCH($C51,FIYAT!$C$2:$C$32,0)),"")</f>
        <v>abb</v>
      </c>
      <c r="K51" s="3" t="s">
        <v>16</v>
      </c>
      <c r="L51" s="3" t="s">
        <v>53</v>
      </c>
      <c r="M51" s="5">
        <f>IFERROR(INDEX(KURALLAR!$B$13:$B$23,MATCH($B51,KURALLAR!$A$13:$A$23,0)),0)</f>
        <v>5.9</v>
      </c>
      <c r="N51" s="5">
        <f t="shared" si="16"/>
        <v>23.6</v>
      </c>
    </row>
    <row r="52" spans="1:14" x14ac:dyDescent="0.25">
      <c r="A52" s="3" t="s">
        <v>76</v>
      </c>
      <c r="B52" s="3" t="s">
        <v>54</v>
      </c>
      <c r="C52" s="3" t="s">
        <v>55</v>
      </c>
      <c r="D52" s="3" t="str">
        <f>IFERROR(INDEX(FIYAT!$D$2:$D$32,MATCH($C52,FIYAT!$C$2:$C$32,0)),"АРТИКУЛ НЕ В FIYAT")</f>
        <v>Блок доп. контактов боковой CAL4-11 (1НО+1НЗ) для AF09...AF96</v>
      </c>
      <c r="E52" s="4">
        <f>IFERROR(INDEX(FIYAT!$I$2:$I$32,MATCH($C52,FIYAT!$C$2:$C$32,0)),"")</f>
        <v>6201.4784</v>
      </c>
      <c r="F52" s="4">
        <f>IFERROR(INDEX(FIYAT!$J$2:$J$32,MATCH($C52,FIYAT!$C$2:$C$32,0)),"")</f>
        <v>6201.4784</v>
      </c>
      <c r="G52" s="4">
        <f t="shared" si="15"/>
        <v>24805.9136</v>
      </c>
      <c r="H52" s="3">
        <v>4</v>
      </c>
      <c r="I52" s="3" t="str">
        <f>IFERROR(INDEX(FIYAT!$K$2:$K$32,MATCH($C52,FIYAT!$C$2:$C$32,0)),"")</f>
        <v>шт</v>
      </c>
      <c r="J52" s="3" t="str">
        <f>IFERROR(INDEX(FIYAT!$L$2:$L$32,MATCH($C52,FIYAT!$C$2:$C$32,0)),"")</f>
        <v>abb</v>
      </c>
      <c r="K52" s="3" t="s">
        <v>16</v>
      </c>
      <c r="L52" s="3" t="s">
        <v>56</v>
      </c>
      <c r="M52" s="5">
        <f>IFERROR(INDEX(KURALLAR!$B$13:$B$23,MATCH($B52,KURALLAR!$A$13:$A$23,0)),0)</f>
        <v>2</v>
      </c>
      <c r="N52" s="5">
        <f t="shared" si="16"/>
        <v>8</v>
      </c>
    </row>
    <row r="53" spans="1:14" x14ac:dyDescent="0.25">
      <c r="A53" s="3" t="s">
        <v>76</v>
      </c>
      <c r="B53" s="3" t="s">
        <v>54</v>
      </c>
      <c r="C53" s="3" t="s">
        <v>57</v>
      </c>
      <c r="D53" s="3" t="str">
        <f>IFERROR(INDEX(FIYAT!$D$2:$D$32,MATCH($C53,FIYAT!$C$2:$C$32,0)),"АРТИКУЛ НЕ В FIYAT")</f>
        <v>Блок доп. контактов HKF1-11 (1НО+1НЗ), верхний, для MS116</v>
      </c>
      <c r="E53" s="4">
        <f>IFERROR(INDEX(FIYAT!$I$2:$I$32,MATCH($C53,FIYAT!$C$2:$C$32,0)),"")</f>
        <v>4793.9059999999999</v>
      </c>
      <c r="F53" s="4">
        <f>IFERROR(INDEX(FIYAT!$J$2:$J$32,MATCH($C53,FIYAT!$C$2:$C$32,0)),"")</f>
        <v>4793.9059999999999</v>
      </c>
      <c r="G53" s="4">
        <f t="shared" si="15"/>
        <v>19175.624</v>
      </c>
      <c r="H53" s="3">
        <v>4</v>
      </c>
      <c r="I53" s="3" t="str">
        <f>IFERROR(INDEX(FIYAT!$K$2:$K$32,MATCH($C53,FIYAT!$C$2:$C$32,0)),"")</f>
        <v>шт</v>
      </c>
      <c r="J53" s="3" t="str">
        <f>IFERROR(INDEX(FIYAT!$L$2:$L$32,MATCH($C53,FIYAT!$C$2:$C$32,0)),"")</f>
        <v>abb</v>
      </c>
      <c r="K53" s="3" t="s">
        <v>16</v>
      </c>
      <c r="L53" s="3" t="s">
        <v>58</v>
      </c>
      <c r="M53" s="5">
        <f>IFERROR(INDEX(KURALLAR!$B$13:$B$23,MATCH($B53,KURALLAR!$A$13:$A$23,0)),0)</f>
        <v>2</v>
      </c>
      <c r="N53" s="5">
        <f t="shared" si="16"/>
        <v>8</v>
      </c>
    </row>
    <row r="54" spans="1:14" x14ac:dyDescent="0.25">
      <c r="A54" s="3" t="s">
        <v>76</v>
      </c>
      <c r="B54" s="3" t="s">
        <v>54</v>
      </c>
      <c r="C54" s="3" t="s">
        <v>59</v>
      </c>
      <c r="D54" s="3" t="str">
        <f>IFERROR(INDEX(FIYAT!$D$2:$D$32,MATCH($C54,FIYAT!$C$2:$C$32,0)),"АРТИКУЛ НЕ В FIYAT")</f>
        <v>Контакт сигнализации SK1-11 (1НО+1НЗ), боковой, для MS116</v>
      </c>
      <c r="E54" s="4">
        <f>IFERROR(INDEX(FIYAT!$I$2:$I$32,MATCH($C54,FIYAT!$C$2:$C$32,0)),"")</f>
        <v>9766.3084999999992</v>
      </c>
      <c r="F54" s="4">
        <f>IFERROR(INDEX(FIYAT!$J$2:$J$32,MATCH($C54,FIYAT!$C$2:$C$32,0)),"")</f>
        <v>9766.3084999999992</v>
      </c>
      <c r="G54" s="4">
        <f t="shared" si="15"/>
        <v>39065.233999999997</v>
      </c>
      <c r="H54" s="3">
        <v>4</v>
      </c>
      <c r="I54" s="3" t="str">
        <f>IFERROR(INDEX(FIYAT!$K$2:$K$32,MATCH($C54,FIYAT!$C$2:$C$32,0)),"")</f>
        <v>шт</v>
      </c>
      <c r="J54" s="3" t="str">
        <f>IFERROR(INDEX(FIYAT!$L$2:$L$32,MATCH($C54,FIYAT!$C$2:$C$32,0)),"")</f>
        <v>abb</v>
      </c>
      <c r="K54" s="3" t="s">
        <v>16</v>
      </c>
      <c r="L54" s="3" t="s">
        <v>58</v>
      </c>
      <c r="M54" s="5">
        <f>IFERROR(INDEX(KURALLAR!$B$13:$B$23,MATCH($B54,KURALLAR!$A$13:$A$23,0)),0)</f>
        <v>2</v>
      </c>
      <c r="N54" s="5">
        <f t="shared" si="16"/>
        <v>8</v>
      </c>
    </row>
    <row r="55" spans="1:14" x14ac:dyDescent="0.25">
      <c r="A55" s="3" t="s">
        <v>76</v>
      </c>
      <c r="B55" s="3" t="s">
        <v>60</v>
      </c>
      <c r="C55" s="3" t="s">
        <v>61</v>
      </c>
      <c r="D55" s="3" t="str">
        <f>IFERROR(INDEX(FIYAT!$D$2:$D$32,MATCH($C55,FIYAT!$C$2:$C$32,0)),"АРТИКУЛ НЕ В FIYAT")</f>
        <v>Корпус MCBH5-00 для головок и блоков (5 блоков в ряд)</v>
      </c>
      <c r="E55" s="4">
        <f>IFERROR(INDEX(FIYAT!$I$2:$I$32,MATCH($C55,FIYAT!$C$2:$C$32,0)),"")</f>
        <v>647.68730000000005</v>
      </c>
      <c r="F55" s="4">
        <f>IFERROR(INDEX(FIYAT!$J$2:$J$32,MATCH($C55,FIYAT!$C$2:$C$32,0)),"")</f>
        <v>647.68730000000005</v>
      </c>
      <c r="G55" s="4">
        <f t="shared" si="15"/>
        <v>2590.7492000000002</v>
      </c>
      <c r="H55" s="3">
        <v>4</v>
      </c>
      <c r="I55" s="3" t="str">
        <f>IFERROR(INDEX(FIYAT!$K$2:$K$32,MATCH($C55,FIYAT!$C$2:$C$32,0)),"")</f>
        <v>шт</v>
      </c>
      <c r="J55" s="3" t="str">
        <f>IFERROR(INDEX(FIYAT!$L$2:$L$32,MATCH($C55,FIYAT!$C$2:$C$32,0)),"")</f>
        <v>abb</v>
      </c>
      <c r="K55" s="3" t="s">
        <v>16</v>
      </c>
      <c r="L55" s="3" t="s">
        <v>62</v>
      </c>
      <c r="M55" s="5">
        <f>IFERROR(INDEX(KURALLAR!$B$13:$B$23,MATCH($B55,KURALLAR!$A$13:$A$23,0)),0)</f>
        <v>21.8</v>
      </c>
      <c r="N55" s="5">
        <f t="shared" si="16"/>
        <v>87.2</v>
      </c>
    </row>
    <row r="56" spans="1:14" x14ac:dyDescent="0.25">
      <c r="A56" s="3" t="s">
        <v>76</v>
      </c>
      <c r="B56" s="3" t="s">
        <v>54</v>
      </c>
      <c r="C56" s="3" t="s">
        <v>63</v>
      </c>
      <c r="D56" s="3" t="str">
        <f>IFERROR(INDEX(FIYAT!$D$2:$D$32,MATCH($C56,FIYAT!$C$2:$C$32,0)),"АРТИКУЛ НЕ В FIYAT")</f>
        <v>Блок контактов MCB-10, 1НО</v>
      </c>
      <c r="E56" s="4">
        <f>IFERROR(INDEX(FIYAT!$I$2:$I$32,MATCH($C56,FIYAT!$C$2:$C$32,0)),"")</f>
        <v>2345.9539999999997</v>
      </c>
      <c r="F56" s="4">
        <f>IFERROR(INDEX(FIYAT!$J$2:$J$32,MATCH($C56,FIYAT!$C$2:$C$32,0)),"")</f>
        <v>2345.9539999999997</v>
      </c>
      <c r="G56" s="4">
        <f t="shared" si="15"/>
        <v>9383.8159999999989</v>
      </c>
      <c r="H56" s="3">
        <v>4</v>
      </c>
      <c r="I56" s="3" t="str">
        <f>IFERROR(INDEX(FIYAT!$K$2:$K$32,MATCH($C56,FIYAT!$C$2:$C$32,0)),"")</f>
        <v>шт</v>
      </c>
      <c r="J56" s="3" t="str">
        <f>IFERROR(INDEX(FIYAT!$L$2:$L$32,MATCH($C56,FIYAT!$C$2:$C$32,0)),"")</f>
        <v>abb</v>
      </c>
      <c r="K56" s="3" t="s">
        <v>16</v>
      </c>
      <c r="L56" s="3" t="s">
        <v>64</v>
      </c>
      <c r="M56" s="5">
        <f>IFERROR(INDEX(KURALLAR!$B$13:$B$23,MATCH($B56,KURALLAR!$A$13:$A$23,0)),0)</f>
        <v>2</v>
      </c>
      <c r="N56" s="5">
        <f t="shared" si="16"/>
        <v>8</v>
      </c>
    </row>
    <row r="57" spans="1:14" s="21" customFormat="1" x14ac:dyDescent="0.25">
      <c r="A57" s="3" t="s">
        <v>76</v>
      </c>
      <c r="B57" s="19" t="s">
        <v>54</v>
      </c>
      <c r="C57" s="21" t="s">
        <v>285</v>
      </c>
      <c r="D57" s="20" t="s">
        <v>286</v>
      </c>
      <c r="E57" s="22">
        <v>3059</v>
      </c>
      <c r="F57" s="22">
        <v>3059</v>
      </c>
      <c r="G57" s="22">
        <f t="shared" si="15"/>
        <v>12236</v>
      </c>
      <c r="H57" s="19">
        <v>4</v>
      </c>
      <c r="I57" s="20" t="s">
        <v>72</v>
      </c>
      <c r="J57" s="20" t="s">
        <v>288</v>
      </c>
      <c r="K57" s="19" t="s">
        <v>16</v>
      </c>
      <c r="L57" s="19" t="s">
        <v>64</v>
      </c>
      <c r="M57" s="23">
        <f>IFERROR(INDEX(KURALLAR!$B$13:$B$23,MATCH($B57,KURALLAR!$A$13:$A$23,0)),0)</f>
        <v>2</v>
      </c>
      <c r="N57" s="23">
        <f t="shared" si="16"/>
        <v>8</v>
      </c>
    </row>
    <row r="58" spans="1:14" x14ac:dyDescent="0.25">
      <c r="A58" s="3" t="s">
        <v>76</v>
      </c>
      <c r="B58" s="3" t="s">
        <v>30</v>
      </c>
      <c r="C58" s="3" t="s">
        <v>65</v>
      </c>
      <c r="D58" s="3" t="str">
        <f>IFERROR(INDEX(FIYAT!$D$2:$D$32,MATCH($C58,FIYAT!$C$2:$C$32,0)),"АРТИКУЛ НЕ В FIYAT")</f>
        <v>Реле CR-P024AC2, 2 перекл., 8А, катушка 24В AC</v>
      </c>
      <c r="E58" s="4">
        <f>IFERROR(INDEX(FIYAT!$I$2:$I$32,MATCH($C58,FIYAT!$C$2:$C$32,0)),"")</f>
        <v>4334.915</v>
      </c>
      <c r="F58" s="4">
        <f>IFERROR(INDEX(FIYAT!$J$2:$J$32,MATCH($C58,FIYAT!$C$2:$C$32,0)),"")</f>
        <v>4334.915</v>
      </c>
      <c r="G58" s="4">
        <f t="shared" si="15"/>
        <v>34679.32</v>
      </c>
      <c r="H58" s="3">
        <v>8</v>
      </c>
      <c r="I58" s="3" t="str">
        <f>IFERROR(INDEX(FIYAT!$K$2:$K$32,MATCH($C58,FIYAT!$C$2:$C$32,0)),"")</f>
        <v>шт</v>
      </c>
      <c r="J58" s="3" t="str">
        <f>IFERROR(INDEX(FIYAT!$L$2:$L$32,MATCH($C58,FIYAT!$C$2:$C$32,0)),"")</f>
        <v>abb</v>
      </c>
      <c r="K58" s="3" t="s">
        <v>16</v>
      </c>
      <c r="L58" s="3" t="s">
        <v>66</v>
      </c>
      <c r="M58" s="5">
        <f>IFERROR(INDEX(KURALLAR!$B$13:$B$23,MATCH($B58,KURALLAR!$A$13:$A$23,0)),0)</f>
        <v>21.8</v>
      </c>
      <c r="N58" s="5">
        <f t="shared" si="16"/>
        <v>174.4</v>
      </c>
    </row>
    <row r="59" spans="1:14" s="21" customFormat="1" x14ac:dyDescent="0.25">
      <c r="A59" s="3" t="s">
        <v>76</v>
      </c>
      <c r="B59" s="20" t="s">
        <v>278</v>
      </c>
      <c r="C59" s="19" t="s">
        <v>291</v>
      </c>
      <c r="D59" s="21" t="s">
        <v>290</v>
      </c>
      <c r="E59" s="22">
        <v>4666.4085000000005</v>
      </c>
      <c r="F59" s="22">
        <v>4666.4085000000005</v>
      </c>
      <c r="G59" s="22">
        <f t="shared" si="15"/>
        <v>37331.268000000004</v>
      </c>
      <c r="H59" s="19">
        <v>8</v>
      </c>
      <c r="I59" s="20" t="s">
        <v>72</v>
      </c>
      <c r="J59" s="20" t="s">
        <v>113</v>
      </c>
      <c r="K59" s="19" t="s">
        <v>16</v>
      </c>
      <c r="L59" s="19" t="s">
        <v>40</v>
      </c>
      <c r="M59" s="23">
        <f>IFERROR(INDEX(KURALLAR!$B$13:$B$23,MATCH($B59,KURALLAR!$A$13:$A$23,0)),0)</f>
        <v>0</v>
      </c>
      <c r="N59" s="23">
        <f t="shared" si="16"/>
        <v>0</v>
      </c>
    </row>
    <row r="60" spans="1:14" s="21" customFormat="1" x14ac:dyDescent="0.25">
      <c r="A60" s="3" t="s">
        <v>76</v>
      </c>
      <c r="B60" s="19" t="s">
        <v>293</v>
      </c>
      <c r="C60" s="19"/>
      <c r="D60" s="20" t="s">
        <v>294</v>
      </c>
      <c r="E60" s="22">
        <v>30000</v>
      </c>
      <c r="F60" s="22">
        <v>30000</v>
      </c>
      <c r="G60" s="22">
        <f t="shared" si="15"/>
        <v>30000</v>
      </c>
      <c r="H60" s="19">
        <v>1</v>
      </c>
      <c r="I60" s="19" t="str">
        <f>IFERROR(INDEX(FIYAT!$K$2:$K$32,MATCH($C60,FIYAT!$C$2:$C$32,0)),"")</f>
        <v/>
      </c>
      <c r="J60" s="20" t="s">
        <v>295</v>
      </c>
      <c r="K60" s="19" t="s">
        <v>16</v>
      </c>
      <c r="L60" s="19" t="s">
        <v>68</v>
      </c>
      <c r="M60" s="23">
        <f>IFERROR(INDEX(KURALLAR!$B$13:$B$23,MATCH($B60,KURALLAR!$A$13:$A$23,0)),0)</f>
        <v>0</v>
      </c>
      <c r="N60" s="23">
        <f t="shared" si="16"/>
        <v>0</v>
      </c>
    </row>
    <row r="61" spans="1:14" s="21" customFormat="1" x14ac:dyDescent="0.25">
      <c r="A61" s="3" t="s">
        <v>76</v>
      </c>
      <c r="B61" s="19" t="s">
        <v>293</v>
      </c>
      <c r="C61" s="19"/>
      <c r="D61" s="19" t="s">
        <v>296</v>
      </c>
      <c r="E61" s="22">
        <v>20000</v>
      </c>
      <c r="F61" s="22">
        <v>20000</v>
      </c>
      <c r="G61" s="22">
        <f t="shared" si="15"/>
        <v>20000</v>
      </c>
      <c r="H61" s="19">
        <v>1</v>
      </c>
      <c r="I61" s="19" t="str">
        <f>IFERROR(INDEX(FIYAT!$K$2:$K$32,MATCH($C61,FIYAT!$C$2:$C$32,0)),"")</f>
        <v/>
      </c>
      <c r="J61" s="20" t="s">
        <v>295</v>
      </c>
      <c r="K61" s="19" t="s">
        <v>16</v>
      </c>
      <c r="L61" s="19" t="s">
        <v>68</v>
      </c>
      <c r="M61" s="23">
        <f>IFERROR(INDEX(KURALLAR!$B$13:$B$23,MATCH($B61,KURALLAR!$A$13:$A$23,0)),0)</f>
        <v>0</v>
      </c>
      <c r="N61" s="23">
        <f t="shared" si="16"/>
        <v>0</v>
      </c>
    </row>
    <row r="62" spans="1:14" x14ac:dyDescent="0.25">
      <c r="A62" s="3" t="s">
        <v>76</v>
      </c>
      <c r="B62" s="3" t="s">
        <v>20</v>
      </c>
      <c r="C62" s="3" t="s">
        <v>67</v>
      </c>
      <c r="D62" s="3" t="str">
        <f>IFERROR(INDEX(FIYAT!$D$2:$D$32,MATCH($C62,FIYAT!$C$2:$C$32,0)),"АРТИКУЛ НЕ В FIYAT")</f>
        <v>Авт. выкл. SH 203-C 40, 3P, 40А, х-ка C, 6кА</v>
      </c>
      <c r="E62" s="4">
        <f>IFERROR(INDEX(FIYAT!$I$2:$I$32,MATCH($C62,FIYAT!$C$2:$C$32,0)),"")</f>
        <v>24163.326200000003</v>
      </c>
      <c r="F62" s="4">
        <f>IFERROR(INDEX(FIYAT!$J$2:$J$32,MATCH($C62,FIYAT!$C$2:$C$32,0)),"")</f>
        <v>24163.326200000003</v>
      </c>
      <c r="G62" s="4">
        <f t="shared" si="15"/>
        <v>241633.26200000005</v>
      </c>
      <c r="H62" s="3">
        <v>10</v>
      </c>
      <c r="I62" s="3" t="str">
        <f>IFERROR(INDEX(FIYAT!$K$2:$K$32,MATCH($C62,FIYAT!$C$2:$C$32,0)),"")</f>
        <v>шт</v>
      </c>
      <c r="J62" s="3" t="str">
        <f>IFERROR(INDEX(FIYAT!$L$2:$L$32,MATCH($C62,FIYAT!$C$2:$C$32,0)),"")</f>
        <v>abb</v>
      </c>
      <c r="K62" s="3" t="s">
        <v>16</v>
      </c>
      <c r="L62" s="3" t="s">
        <v>68</v>
      </c>
      <c r="M62" s="5">
        <f>IFERROR(INDEX(KURALLAR!$B$13:$B$23,MATCH($B62,KURALLAR!$A$13:$A$23,0)),0)</f>
        <v>4</v>
      </c>
      <c r="N62" s="5">
        <f t="shared" si="16"/>
        <v>40</v>
      </c>
    </row>
    <row r="63" spans="1:14" x14ac:dyDescent="0.25">
      <c r="A63" s="3" t="s">
        <v>76</v>
      </c>
      <c r="B63" s="3" t="s">
        <v>20</v>
      </c>
      <c r="C63" s="3" t="s">
        <v>69</v>
      </c>
      <c r="D63" s="3" t="str">
        <f>IFERROR(INDEX(FIYAT!$D$2:$D$32,MATCH($C63,FIYAT!$C$2:$C$32,0)),"АРТИКУЛ НЕ В FIYAT")</f>
        <v>Авт. выкл. SH 201-C 16, 1P, 16А, х-ка C, 6кА</v>
      </c>
      <c r="E63" s="4">
        <f>IFERROR(INDEX(FIYAT!$I$2:$I$32,MATCH($C63,FIYAT!$C$2:$C$32,0)),"")</f>
        <v>4125.8190999999997</v>
      </c>
      <c r="F63" s="4">
        <f>IFERROR(INDEX(FIYAT!$J$2:$J$32,MATCH($C63,FIYAT!$C$2:$C$32,0)),"")</f>
        <v>4125.8190999999997</v>
      </c>
      <c r="G63" s="4">
        <f t="shared" si="15"/>
        <v>45384.0101</v>
      </c>
      <c r="H63" s="3">
        <v>11</v>
      </c>
      <c r="I63" s="3" t="str">
        <f>IFERROR(INDEX(FIYAT!$K$2:$K$32,MATCH($C63,FIYAT!$C$2:$C$32,0)),"")</f>
        <v>шт</v>
      </c>
      <c r="J63" s="3" t="str">
        <f>IFERROR(INDEX(FIYAT!$L$2:$L$32,MATCH($C63,FIYAT!$C$2:$C$32,0)),"")</f>
        <v>abb</v>
      </c>
      <c r="K63" s="3" t="s">
        <v>16</v>
      </c>
      <c r="L63" s="3" t="s">
        <v>70</v>
      </c>
      <c r="M63" s="5">
        <f>IFERROR(INDEX(KURALLAR!$B$13:$B$23,MATCH($B63,KURALLAR!$A$13:$A$23,0)),0)</f>
        <v>4</v>
      </c>
      <c r="N63" s="5">
        <f t="shared" si="16"/>
        <v>44</v>
      </c>
    </row>
    <row r="64" spans="1:14" x14ac:dyDescent="0.25">
      <c r="A64" s="3" t="s">
        <v>76</v>
      </c>
      <c r="B64" s="3" t="s">
        <v>71</v>
      </c>
      <c r="C64" s="3" t="s">
        <v>71</v>
      </c>
      <c r="D64" s="3" t="s">
        <v>71</v>
      </c>
      <c r="E64" s="4">
        <f>G65*KURALLAR!$C$8</f>
        <v>31460.000000000007</v>
      </c>
      <c r="F64" s="4">
        <f>E64</f>
        <v>31460.000000000007</v>
      </c>
      <c r="G64" s="4">
        <f>H64*F64</f>
        <v>31460.000000000007</v>
      </c>
      <c r="H64" s="3">
        <v>1</v>
      </c>
      <c r="I64" s="3" t="s">
        <v>72</v>
      </c>
      <c r="J64" s="3" t="s">
        <v>71</v>
      </c>
      <c r="K64" s="3" t="s">
        <v>16</v>
      </c>
      <c r="L64" s="3"/>
      <c r="M64" s="5"/>
      <c r="N64" s="5"/>
    </row>
    <row r="65" spans="1:14" x14ac:dyDescent="0.25">
      <c r="A65" s="3" t="s">
        <v>76</v>
      </c>
      <c r="B65" s="3" t="s">
        <v>73</v>
      </c>
      <c r="C65" s="3" t="s">
        <v>73</v>
      </c>
      <c r="D65" s="3" t="s">
        <v>73</v>
      </c>
      <c r="E65" s="4">
        <f>KURALLAR!$C$6</f>
        <v>100</v>
      </c>
      <c r="F65" s="4">
        <f>E65</f>
        <v>100</v>
      </c>
      <c r="G65" s="4">
        <f>H65*F65</f>
        <v>78650.000000000015</v>
      </c>
      <c r="H65" s="3">
        <f>SUM(N37:N63)*KURALLAR!$C$7</f>
        <v>786.50000000000011</v>
      </c>
      <c r="I65" s="3" t="s">
        <v>74</v>
      </c>
      <c r="J65" s="3" t="s">
        <v>73</v>
      </c>
      <c r="K65" s="3" t="s">
        <v>16</v>
      </c>
      <c r="L65" s="3"/>
      <c r="M65" s="5"/>
      <c r="N65" s="5"/>
    </row>
    <row r="66" spans="1:14" x14ac:dyDescent="0.25">
      <c r="A66" s="6" t="s">
        <v>76</v>
      </c>
      <c r="B66" s="6"/>
      <c r="C66" s="6"/>
      <c r="D66" s="6" t="s">
        <v>75</v>
      </c>
      <c r="E66" s="7"/>
      <c r="F66" s="7"/>
      <c r="G66" s="7">
        <f>SUM(G37:G65)</f>
        <v>1384561.6306</v>
      </c>
      <c r="H66" s="6"/>
      <c r="I66" s="6"/>
      <c r="J66" s="6"/>
      <c r="K66" s="6" t="s">
        <v>16</v>
      </c>
      <c r="L66" s="6"/>
      <c r="M66" s="8"/>
      <c r="N66" s="8"/>
    </row>
    <row r="67" spans="1:14" x14ac:dyDescent="0.25">
      <c r="A67" s="2" t="s">
        <v>79</v>
      </c>
      <c r="B67" s="2"/>
      <c r="C67" s="2"/>
      <c r="D67" s="2" t="s">
        <v>79</v>
      </c>
      <c r="E67" s="2"/>
      <c r="F67" s="2"/>
      <c r="G67" s="2"/>
      <c r="H67" s="2">
        <v>1</v>
      </c>
      <c r="I67" s="2" t="s">
        <v>14</v>
      </c>
      <c r="J67" s="2" t="s">
        <v>15</v>
      </c>
      <c r="K67" s="2" t="s">
        <v>16</v>
      </c>
      <c r="L67" s="2"/>
      <c r="M67" s="2"/>
      <c r="N67" s="2"/>
    </row>
    <row r="68" spans="1:14" s="24" customFormat="1" x14ac:dyDescent="0.25">
      <c r="A68" s="3" t="s">
        <v>79</v>
      </c>
      <c r="B68" s="3" t="s">
        <v>297</v>
      </c>
      <c r="C68" s="3" t="s">
        <v>298</v>
      </c>
      <c r="D68" s="3" t="s">
        <v>299</v>
      </c>
      <c r="E68" s="4">
        <v>175000</v>
      </c>
      <c r="F68" s="4">
        <f>E68*0.6</f>
        <v>105000</v>
      </c>
      <c r="G68" s="4">
        <f t="shared" ref="G68" si="17">IF(OR(F68="",H68=""),"",H68*F68)</f>
        <v>105000</v>
      </c>
      <c r="H68" s="3">
        <v>1</v>
      </c>
      <c r="I68" s="3" t="str">
        <f>IFERROR(INDEX(FIYAT!$K$2:$K$32,MATCH($C68,FIYAT!$C$2:$C$32,0)),"")</f>
        <v/>
      </c>
      <c r="J68" s="17" t="s">
        <v>302</v>
      </c>
      <c r="K68" s="3" t="s">
        <v>16</v>
      </c>
      <c r="L68" s="3" t="s">
        <v>68</v>
      </c>
      <c r="M68" s="5">
        <f>IFERROR(INDEX(KURALLAR!$B$13:$B$23,MATCH($B68,KURALLAR!$A$13:$A$23,0)),0)</f>
        <v>0</v>
      </c>
      <c r="N68" s="5">
        <f t="shared" ref="N68" si="18">H68*M68</f>
        <v>0</v>
      </c>
    </row>
    <row r="69" spans="1:14" x14ac:dyDescent="0.25">
      <c r="A69" s="3" t="s">
        <v>79</v>
      </c>
      <c r="B69" s="3" t="s">
        <v>17</v>
      </c>
      <c r="C69" s="3" t="s">
        <v>80</v>
      </c>
      <c r="D69" s="3" t="str">
        <f>IFERROR(INDEX(FIYAT!$D$2:$D$32,MATCH($C69,FIYAT!$C$2:$C$32,0)),"АРТИКУЛ НЕ В FIYAT")</f>
        <v>Авт. выкл. Tmax XT1N 160, TMD, In=80A, 3P, Icu 36кА</v>
      </c>
      <c r="E69" s="4">
        <f>IFERROR(INDEX(FIYAT!$I$2:$I$32,MATCH($C69,FIYAT!$C$2:$C$32,0)),"")</f>
        <v>125508.539</v>
      </c>
      <c r="F69" s="4">
        <f>IFERROR(INDEX(FIYAT!$J$2:$J$32,MATCH($C69,FIYAT!$C$2:$C$32,0)),"")</f>
        <v>125508.539</v>
      </c>
      <c r="G69" s="4">
        <f t="shared" ref="G69:G97" si="19">IF(OR(F69="",H69=""),"",H69*F69)</f>
        <v>125508.539</v>
      </c>
      <c r="H69" s="3">
        <v>1</v>
      </c>
      <c r="I69" s="3" t="str">
        <f>IFERROR(INDEX(FIYAT!$K$2:$K$32,MATCH($C69,FIYAT!$C$2:$C$32,0)),"")</f>
        <v>шт</v>
      </c>
      <c r="J69" s="3" t="str">
        <f>IFERROR(INDEX(FIYAT!$L$2:$L$32,MATCH($C69,FIYAT!$C$2:$C$32,0)),"")</f>
        <v>abb</v>
      </c>
      <c r="K69" s="3" t="s">
        <v>16</v>
      </c>
      <c r="L69" s="3" t="s">
        <v>81</v>
      </c>
      <c r="M69" s="5">
        <f>IFERROR(INDEX(KURALLAR!$B$13:$B$23,MATCH($B69,KURALLAR!$A$13:$A$23,0)),0)</f>
        <v>15.3</v>
      </c>
      <c r="N69" s="5">
        <f t="shared" ref="N69:N97" si="20">H69*M69</f>
        <v>15.3</v>
      </c>
    </row>
    <row r="70" spans="1:14" x14ac:dyDescent="0.25">
      <c r="A70" s="3" t="s">
        <v>79</v>
      </c>
      <c r="B70" s="3" t="s">
        <v>20</v>
      </c>
      <c r="C70" s="3" t="s">
        <v>21</v>
      </c>
      <c r="D70" s="3" t="str">
        <f>IFERROR(INDEX(FIYAT!$D$2:$D$32,MATCH($C70,FIYAT!$C$2:$C$32,0)),"АРТИКУЛ НЕ В FIYAT")</f>
        <v>Авт. выкл. SH 201-B 6, 1P, 6А, х-ка B, 6кА</v>
      </c>
      <c r="E70" s="4">
        <f>IFERROR(INDEX(FIYAT!$I$2:$I$32,MATCH($C70,FIYAT!$C$2:$C$32,0)),"")</f>
        <v>4503.2116999999998</v>
      </c>
      <c r="F70" s="4">
        <f>IFERROR(INDEX(FIYAT!$J$2:$J$32,MATCH($C70,FIYAT!$C$2:$C$32,0)),"")</f>
        <v>4503.2116999999998</v>
      </c>
      <c r="G70" s="4">
        <f t="shared" si="19"/>
        <v>49535.328699999998</v>
      </c>
      <c r="H70" s="3">
        <v>11</v>
      </c>
      <c r="I70" s="3" t="str">
        <f>IFERROR(INDEX(FIYAT!$K$2:$K$32,MATCH($C70,FIYAT!$C$2:$C$32,0)),"")</f>
        <v>шт</v>
      </c>
      <c r="J70" s="3" t="str">
        <f>IFERROR(INDEX(FIYAT!$L$2:$L$32,MATCH($C70,FIYAT!$C$2:$C$32,0)),"")</f>
        <v>abb</v>
      </c>
      <c r="K70" s="3" t="s">
        <v>16</v>
      </c>
      <c r="L70" s="3" t="s">
        <v>22</v>
      </c>
      <c r="M70" s="5">
        <f>IFERROR(INDEX(KURALLAR!$B$13:$B$23,MATCH($B70,KURALLAR!$A$13:$A$23,0)),0)</f>
        <v>4</v>
      </c>
      <c r="N70" s="5">
        <f t="shared" si="20"/>
        <v>44</v>
      </c>
    </row>
    <row r="71" spans="1:14" x14ac:dyDescent="0.25">
      <c r="A71" s="3" t="s">
        <v>79</v>
      </c>
      <c r="B71" s="3" t="s">
        <v>23</v>
      </c>
      <c r="C71" s="3" t="s">
        <v>24</v>
      </c>
      <c r="D71" s="3" t="str">
        <f>IFERROR(INDEX(FIYAT!$D$2:$D$32,MATCH($C71,FIYAT!$C$2:$C$32,0)),"АРТИКУЛ НЕ В FIYAT")</f>
        <v>Лампа сигнальная LED CL2-523R, 230В AC, красная</v>
      </c>
      <c r="E71" s="4">
        <f>IFERROR(INDEX(FIYAT!$I$2:$I$32,MATCH($C71,FIYAT!$C$2:$C$32,0)),"")</f>
        <v>4906.1037999999999</v>
      </c>
      <c r="F71" s="4">
        <f>IFERROR(INDEX(FIYAT!$J$2:$J$32,MATCH($C71,FIYAT!$C$2:$C$32,0)),"")</f>
        <v>4906.1037999999999</v>
      </c>
      <c r="G71" s="4">
        <f t="shared" si="19"/>
        <v>44154.934199999996</v>
      </c>
      <c r="H71" s="3">
        <v>9</v>
      </c>
      <c r="I71" s="3" t="str">
        <f>IFERROR(INDEX(FIYAT!$K$2:$K$32,MATCH($C71,FIYAT!$C$2:$C$32,0)),"")</f>
        <v>шт</v>
      </c>
      <c r="J71" s="3" t="str">
        <f>IFERROR(INDEX(FIYAT!$L$2:$L$32,MATCH($C71,FIYAT!$C$2:$C$32,0)),"")</f>
        <v>abb</v>
      </c>
      <c r="K71" s="3" t="s">
        <v>16</v>
      </c>
      <c r="L71" s="3" t="s">
        <v>25</v>
      </c>
      <c r="M71" s="5">
        <f>IFERROR(INDEX(KURALLAR!$B$13:$B$23,MATCH($B71,KURALLAR!$A$13:$A$23,0)),0)</f>
        <v>8</v>
      </c>
      <c r="N71" s="5">
        <f t="shared" si="20"/>
        <v>72</v>
      </c>
    </row>
    <row r="72" spans="1:14" x14ac:dyDescent="0.25">
      <c r="A72" s="3" t="s">
        <v>79</v>
      </c>
      <c r="B72" s="3" t="s">
        <v>23</v>
      </c>
      <c r="C72" s="3" t="s">
        <v>26</v>
      </c>
      <c r="D72" s="3" t="str">
        <f>IFERROR(INDEX(FIYAT!$D$2:$D$32,MATCH($C72,FIYAT!$C$2:$C$32,0)),"АРТИКУЛ НЕ В FIYAT")</f>
        <v>Лампа сигнальная LED CL2-523Y, 230В AC, жёлтая</v>
      </c>
      <c r="E72" s="4">
        <f>IFERROR(INDEX(FIYAT!$I$2:$I$32,MATCH($C72,FIYAT!$C$2:$C$32,0)),"")</f>
        <v>4906.1037999999999</v>
      </c>
      <c r="F72" s="4">
        <f>IFERROR(INDEX(FIYAT!$J$2:$J$32,MATCH($C72,FIYAT!$C$2:$C$32,0)),"")</f>
        <v>4906.1037999999999</v>
      </c>
      <c r="G72" s="4">
        <f t="shared" si="19"/>
        <v>4906.1037999999999</v>
      </c>
      <c r="H72" s="3">
        <v>1</v>
      </c>
      <c r="I72" s="3" t="str">
        <f>IFERROR(INDEX(FIYAT!$K$2:$K$32,MATCH($C72,FIYAT!$C$2:$C$32,0)),"")</f>
        <v>шт</v>
      </c>
      <c r="J72" s="3" t="str">
        <f>IFERROR(INDEX(FIYAT!$L$2:$L$32,MATCH($C72,FIYAT!$C$2:$C$32,0)),"")</f>
        <v>abb</v>
      </c>
      <c r="K72" s="3" t="s">
        <v>16</v>
      </c>
      <c r="L72" s="3" t="s">
        <v>27</v>
      </c>
      <c r="M72" s="5">
        <f>IFERROR(INDEX(KURALLAR!$B$13:$B$23,MATCH($B72,KURALLAR!$A$13:$A$23,0)),0)</f>
        <v>8</v>
      </c>
      <c r="N72" s="5">
        <f t="shared" si="20"/>
        <v>8</v>
      </c>
    </row>
    <row r="73" spans="1:14" x14ac:dyDescent="0.25">
      <c r="A73" s="3" t="s">
        <v>79</v>
      </c>
      <c r="B73" s="3" t="s">
        <v>23</v>
      </c>
      <c r="C73" s="3" t="s">
        <v>28</v>
      </c>
      <c r="D73" s="3" t="str">
        <f>IFERROR(INDEX(FIYAT!$D$2:$D$32,MATCH($C73,FIYAT!$C$2:$C$32,0)),"АРТИКУЛ НЕ В FIYAT")</f>
        <v>Лампа сигнальная LED CL2-523G, 230В AC, зелёная</v>
      </c>
      <c r="E73" s="4">
        <f>IFERROR(INDEX(FIYAT!$I$2:$I$32,MATCH($C73,FIYAT!$C$2:$C$32,0)),"")</f>
        <v>4906.1037999999999</v>
      </c>
      <c r="F73" s="4">
        <f>IFERROR(INDEX(FIYAT!$J$2:$J$32,MATCH($C73,FIYAT!$C$2:$C$32,0)),"")</f>
        <v>4906.1037999999999</v>
      </c>
      <c r="G73" s="4">
        <f t="shared" si="19"/>
        <v>44154.934199999996</v>
      </c>
      <c r="H73" s="3">
        <v>9</v>
      </c>
      <c r="I73" s="3" t="str">
        <f>IFERROR(INDEX(FIYAT!$K$2:$K$32,MATCH($C73,FIYAT!$C$2:$C$32,0)),"")</f>
        <v>шт</v>
      </c>
      <c r="J73" s="3" t="str">
        <f>IFERROR(INDEX(FIYAT!$L$2:$L$32,MATCH($C73,FIYAT!$C$2:$C$32,0)),"")</f>
        <v>abb</v>
      </c>
      <c r="K73" s="3" t="s">
        <v>16</v>
      </c>
      <c r="L73" s="3" t="s">
        <v>29</v>
      </c>
      <c r="M73" s="5">
        <f>IFERROR(INDEX(KURALLAR!$B$13:$B$23,MATCH($B73,KURALLAR!$A$13:$A$23,0)),0)</f>
        <v>8</v>
      </c>
      <c r="N73" s="5">
        <f t="shared" si="20"/>
        <v>72</v>
      </c>
    </row>
    <row r="74" spans="1:14" x14ac:dyDescent="0.25">
      <c r="A74" s="3" t="s">
        <v>79</v>
      </c>
      <c r="B74" s="3" t="s">
        <v>30</v>
      </c>
      <c r="C74" s="3" t="s">
        <v>31</v>
      </c>
      <c r="D74" s="3" t="str">
        <f>IFERROR(INDEX(FIYAT!$D$2:$D$32,MATCH($C74,FIYAT!$C$2:$C$32,0)),"АРТИКУЛ НЕ В FIYAT")</f>
        <v>Реле контроля фаз CM-PFE, 3x208-440В AC, 1 перекл. контакт</v>
      </c>
      <c r="E74" s="4">
        <f>IFERROR(INDEX(FIYAT!$I$2:$I$32,MATCH($C74,FIYAT!$C$2:$C$32,0)),"")</f>
        <v>73132.566000000006</v>
      </c>
      <c r="F74" s="4">
        <f>IFERROR(INDEX(FIYAT!$J$2:$J$32,MATCH($C74,FIYAT!$C$2:$C$32,0)),"")</f>
        <v>73132.566000000006</v>
      </c>
      <c r="G74" s="4">
        <f t="shared" si="19"/>
        <v>73132.566000000006</v>
      </c>
      <c r="H74" s="3">
        <v>1</v>
      </c>
      <c r="I74" s="3" t="str">
        <f>IFERROR(INDEX(FIYAT!$K$2:$K$32,MATCH($C74,FIYAT!$C$2:$C$32,0)),"")</f>
        <v>шт</v>
      </c>
      <c r="J74" s="3" t="str">
        <f>IFERROR(INDEX(FIYAT!$L$2:$L$32,MATCH($C74,FIYAT!$C$2:$C$32,0)),"")</f>
        <v>abb</v>
      </c>
      <c r="K74" s="3" t="s">
        <v>16</v>
      </c>
      <c r="L74" s="3" t="s">
        <v>32</v>
      </c>
      <c r="M74" s="5">
        <f>IFERROR(INDEX(KURALLAR!$B$13:$B$23,MATCH($B74,KURALLAR!$A$13:$A$23,0)),0)</f>
        <v>21.8</v>
      </c>
      <c r="N74" s="5">
        <f t="shared" si="20"/>
        <v>21.8</v>
      </c>
    </row>
    <row r="75" spans="1:14" x14ac:dyDescent="0.25">
      <c r="A75" s="3" t="s">
        <v>79</v>
      </c>
      <c r="B75" s="3" t="s">
        <v>33</v>
      </c>
      <c r="C75" s="3" t="s">
        <v>34</v>
      </c>
      <c r="D75" s="3" t="str">
        <f>IFERROR(INDEX(FIYAT!$D$2:$D$32,MATCH($C75,FIYAT!$C$2:$C$32,0)),"АРТИКУЛ НЕ В FIYAT")</f>
        <v>Держатель плавких вставок E 93/32, 3P, 10.3x38</v>
      </c>
      <c r="E75" s="4">
        <f>IFERROR(INDEX(FIYAT!$I$2:$I$32,MATCH($C75,FIYAT!$C$2:$C$32,0)),"")</f>
        <v>12693.651100000001</v>
      </c>
      <c r="F75" s="4">
        <f>IFERROR(INDEX(FIYAT!$J$2:$J$32,MATCH($C75,FIYAT!$C$2:$C$32,0)),"")</f>
        <v>12693.651100000001</v>
      </c>
      <c r="G75" s="4">
        <f t="shared" si="19"/>
        <v>12693.651100000001</v>
      </c>
      <c r="H75" s="3">
        <v>1</v>
      </c>
      <c r="I75" s="3" t="str">
        <f>IFERROR(INDEX(FIYAT!$K$2:$K$32,MATCH($C75,FIYAT!$C$2:$C$32,0)),"")</f>
        <v>шт</v>
      </c>
      <c r="J75" s="3" t="str">
        <f>IFERROR(INDEX(FIYAT!$L$2:$L$32,MATCH($C75,FIYAT!$C$2:$C$32,0)),"")</f>
        <v>abb</v>
      </c>
      <c r="K75" s="3" t="s">
        <v>16</v>
      </c>
      <c r="L75" s="3" t="s">
        <v>35</v>
      </c>
      <c r="M75" s="5">
        <f>IFERROR(INDEX(KURALLAR!$B$13:$B$23,MATCH($B75,KURALLAR!$A$13:$A$23,0)),0)</f>
        <v>4</v>
      </c>
      <c r="N75" s="5">
        <f t="shared" si="20"/>
        <v>4</v>
      </c>
    </row>
    <row r="76" spans="1:14" x14ac:dyDescent="0.25">
      <c r="A76" s="3" t="s">
        <v>79</v>
      </c>
      <c r="B76" s="3" t="s">
        <v>36</v>
      </c>
      <c r="C76" s="3" t="s">
        <v>37</v>
      </c>
      <c r="D76" s="3" t="str">
        <f>IFERROR(INDEX(FIYAT!$D$2:$D$32,MATCH($C76,FIYAT!$C$2:$C$32,0)),"АРТИКУЛ НЕ В FIYAT")</f>
        <v>Плавкая вставка E 9F10 GG6, 10.3x38, 6А gG</v>
      </c>
      <c r="E76" s="4">
        <f>IFERROR(INDEX(FIYAT!$I$2:$I$32,MATCH($C76,FIYAT!$C$2:$C$32,0)),"")</f>
        <v>1943.0619000000002</v>
      </c>
      <c r="F76" s="4">
        <f>IFERROR(INDEX(FIYAT!$J$2:$J$32,MATCH($C76,FIYAT!$C$2:$C$32,0)),"")</f>
        <v>1943.0619000000002</v>
      </c>
      <c r="G76" s="4">
        <f t="shared" si="19"/>
        <v>5829.1857</v>
      </c>
      <c r="H76" s="3">
        <v>3</v>
      </c>
      <c r="I76" s="3" t="str">
        <f>IFERROR(INDEX(FIYAT!$K$2:$K$32,MATCH($C76,FIYAT!$C$2:$C$32,0)),"")</f>
        <v>шт</v>
      </c>
      <c r="J76" s="3" t="str">
        <f>IFERROR(INDEX(FIYAT!$L$2:$L$32,MATCH($C76,FIYAT!$C$2:$C$32,0)),"")</f>
        <v>abb</v>
      </c>
      <c r="K76" s="3" t="s">
        <v>16</v>
      </c>
      <c r="L76" s="3" t="s">
        <v>38</v>
      </c>
      <c r="M76" s="5">
        <f>IFERROR(INDEX(KURALLAR!$B$13:$B$23,MATCH($B76,KURALLAR!$A$13:$A$23,0)),0)</f>
        <v>0</v>
      </c>
      <c r="N76" s="5">
        <f t="shared" si="20"/>
        <v>0</v>
      </c>
    </row>
    <row r="77" spans="1:14" x14ac:dyDescent="0.25">
      <c r="A77" s="3" t="s">
        <v>79</v>
      </c>
      <c r="B77" s="3" t="s">
        <v>30</v>
      </c>
      <c r="C77" s="3" t="s">
        <v>39</v>
      </c>
      <c r="D77" s="3" t="str">
        <f>IFERROR(INDEX(FIYAT!$D$2:$D$32,MATCH($C77,FIYAT!$C$2:$C$32,0)),"АРТИКУЛ НЕ В FIYAT")</f>
        <v>Реле CR-M230AC4, 4 перекл., катушка 230В AC</v>
      </c>
      <c r="E77" s="4">
        <f>IFERROR(INDEX(FIYAT!$I$2:$I$32,MATCH($C77,FIYAT!$C$2:$C$32,0)),"")</f>
        <v>6543.1716999999999</v>
      </c>
      <c r="F77" s="4">
        <f>IFERROR(INDEX(FIYAT!$J$2:$J$32,MATCH($C77,FIYAT!$C$2:$C$32,0)),"")</f>
        <v>6543.1716999999999</v>
      </c>
      <c r="G77" s="4">
        <f t="shared" si="19"/>
        <v>111233.9189</v>
      </c>
      <c r="H77" s="3">
        <v>17</v>
      </c>
      <c r="I77" s="3" t="str">
        <f>IFERROR(INDEX(FIYAT!$K$2:$K$32,MATCH($C77,FIYAT!$C$2:$C$32,0)),"")</f>
        <v>шт</v>
      </c>
      <c r="J77" s="3" t="str">
        <f>IFERROR(INDEX(FIYAT!$L$2:$L$32,MATCH($C77,FIYAT!$C$2:$C$32,0)),"")</f>
        <v>abb</v>
      </c>
      <c r="K77" s="3" t="s">
        <v>16</v>
      </c>
      <c r="L77" s="3" t="s">
        <v>40</v>
      </c>
      <c r="M77" s="5">
        <f>IFERROR(INDEX(KURALLAR!$B$13:$B$23,MATCH($B77,KURALLAR!$A$13:$A$23,0)),0)</f>
        <v>21.8</v>
      </c>
      <c r="N77" s="5">
        <f t="shared" si="20"/>
        <v>370.6</v>
      </c>
    </row>
    <row r="78" spans="1:14" s="21" customFormat="1" x14ac:dyDescent="0.25">
      <c r="A78" s="3" t="s">
        <v>79</v>
      </c>
      <c r="B78" s="20" t="s">
        <v>278</v>
      </c>
      <c r="C78" s="19" t="s">
        <v>277</v>
      </c>
      <c r="D78" s="21" t="s">
        <v>280</v>
      </c>
      <c r="E78" s="22">
        <v>4334.915</v>
      </c>
      <c r="F78" s="22">
        <v>4334.915</v>
      </c>
      <c r="G78" s="22">
        <f t="shared" si="19"/>
        <v>73693.554999999993</v>
      </c>
      <c r="H78" s="19">
        <v>17</v>
      </c>
      <c r="I78" s="20" t="s">
        <v>72</v>
      </c>
      <c r="J78" s="20" t="s">
        <v>113</v>
      </c>
      <c r="K78" s="19" t="s">
        <v>16</v>
      </c>
      <c r="L78" s="19" t="s">
        <v>40</v>
      </c>
      <c r="M78" s="23">
        <f>IFERROR(INDEX(KURALLAR!$B$13:$B$23,MATCH($B78,KURALLAR!$A$13:$A$23,0)),0)</f>
        <v>0</v>
      </c>
      <c r="N78" s="23">
        <f t="shared" si="20"/>
        <v>0</v>
      </c>
    </row>
    <row r="79" spans="1:14" x14ac:dyDescent="0.25">
      <c r="A79" s="3" t="s">
        <v>79</v>
      </c>
      <c r="B79" s="3" t="s">
        <v>20</v>
      </c>
      <c r="C79" s="3" t="s">
        <v>41</v>
      </c>
      <c r="D79" s="3" t="str">
        <f>IFERROR(INDEX(FIYAT!$D$2:$D$32,MATCH($C79,FIYAT!$C$2:$C$32,0)),"АРТИКУЛ НЕ В FIYAT")</f>
        <v>Авт. выкл. S 202-C 10, 2P, 10А, х-ка C</v>
      </c>
      <c r="E79" s="4">
        <f>IFERROR(INDEX(FIYAT!$I$2:$I$32,MATCH($C79,FIYAT!$C$2:$C$32,0)),"")</f>
        <v>19241.922699999999</v>
      </c>
      <c r="F79" s="4">
        <f>IFERROR(INDEX(FIYAT!$J$2:$J$32,MATCH($C79,FIYAT!$C$2:$C$32,0)),"")</f>
        <v>19241.922699999999</v>
      </c>
      <c r="G79" s="4">
        <f t="shared" si="19"/>
        <v>38483.845399999998</v>
      </c>
      <c r="H79" s="3">
        <v>2</v>
      </c>
      <c r="I79" s="3" t="str">
        <f>IFERROR(INDEX(FIYAT!$K$2:$K$32,MATCH($C79,FIYAT!$C$2:$C$32,0)),"")</f>
        <v>шт</v>
      </c>
      <c r="J79" s="3" t="str">
        <f>IFERROR(INDEX(FIYAT!$L$2:$L$32,MATCH($C79,FIYAT!$C$2:$C$32,0)),"")</f>
        <v>abb</v>
      </c>
      <c r="K79" s="3" t="s">
        <v>16</v>
      </c>
      <c r="L79" s="3" t="s">
        <v>42</v>
      </c>
      <c r="M79" s="5">
        <f>IFERROR(INDEX(KURALLAR!$B$13:$B$23,MATCH($B79,KURALLAR!$A$13:$A$23,0)),0)</f>
        <v>4</v>
      </c>
      <c r="N79" s="5">
        <f t="shared" si="20"/>
        <v>8</v>
      </c>
    </row>
    <row r="80" spans="1:14" x14ac:dyDescent="0.25">
      <c r="A80" s="3" t="s">
        <v>79</v>
      </c>
      <c r="B80" s="3" t="s">
        <v>43</v>
      </c>
      <c r="C80" s="3" t="s">
        <v>44</v>
      </c>
      <c r="D80" s="3" t="str">
        <f>IFERROR(INDEX(FIYAT!$D$2:$D$32,MATCH($C80,FIYAT!$C$2:$C$32,0)),"АРТИКУЛ НЕ В FIYAT")</f>
        <v>Кнопка CP1-10B-10, чёрная, 1НО, без фиксации</v>
      </c>
      <c r="E80" s="4">
        <f>IFERROR(INDEX(FIYAT!$I$2:$I$32,MATCH($C80,FIYAT!$C$2:$C$32,0)),"")</f>
        <v>3187.4375</v>
      </c>
      <c r="F80" s="4">
        <f>IFERROR(INDEX(FIYAT!$J$2:$J$32,MATCH($C80,FIYAT!$C$2:$C$32,0)),"")</f>
        <v>3187.4375</v>
      </c>
      <c r="G80" s="4">
        <f t="shared" si="19"/>
        <v>3187.4375</v>
      </c>
      <c r="H80" s="3">
        <v>1</v>
      </c>
      <c r="I80" s="3" t="str">
        <f>IFERROR(INDEX(FIYAT!$K$2:$K$32,MATCH($C80,FIYAT!$C$2:$C$32,0)),"")</f>
        <v>шт</v>
      </c>
      <c r="J80" s="3" t="str">
        <f>IFERROR(INDEX(FIYAT!$L$2:$L$32,MATCH($C80,FIYAT!$C$2:$C$32,0)),"")</f>
        <v>abb</v>
      </c>
      <c r="K80" s="3" t="s">
        <v>16</v>
      </c>
      <c r="L80" s="3" t="s">
        <v>45</v>
      </c>
      <c r="M80" s="5">
        <f>IFERROR(INDEX(KURALLAR!$B$13:$B$23,MATCH($B80,KURALLAR!$A$13:$A$23,0)),0)</f>
        <v>8</v>
      </c>
      <c r="N80" s="5">
        <f t="shared" si="20"/>
        <v>8</v>
      </c>
    </row>
    <row r="81" spans="1:14" x14ac:dyDescent="0.25">
      <c r="A81" s="3" t="s">
        <v>79</v>
      </c>
      <c r="B81" s="3" t="s">
        <v>46</v>
      </c>
      <c r="C81" s="3" t="s">
        <v>47</v>
      </c>
      <c r="D81" s="3" t="str">
        <f>IFERROR(INDEX(FIYAT!$D$2:$D$32,MATCH($C81,FIYAT!$C$2:$C$32,0)),"АРТИКУЛ НЕ В FIYAT")</f>
        <v>Автомат защиты двигателя MS116-2.5 (1.6-2.5А)</v>
      </c>
      <c r="E81" s="4">
        <f>IFERROR(INDEX(FIYAT!$I$2:$I$32,MATCH($C81,FIYAT!$C$2:$C$32,0)),"")</f>
        <v>31889.6747</v>
      </c>
      <c r="F81" s="4">
        <f>IFERROR(INDEX(FIYAT!$J$2:$J$32,MATCH($C81,FIYAT!$C$2:$C$32,0)),"")</f>
        <v>31889.6747</v>
      </c>
      <c r="G81" s="4">
        <f t="shared" si="19"/>
        <v>159448.37349999999</v>
      </c>
      <c r="H81" s="3">
        <v>5</v>
      </c>
      <c r="I81" s="3" t="str">
        <f>IFERROR(INDEX(FIYAT!$K$2:$K$32,MATCH($C81,FIYAT!$C$2:$C$32,0)),"")</f>
        <v>шт</v>
      </c>
      <c r="J81" s="3" t="str">
        <f>IFERROR(INDEX(FIYAT!$L$2:$L$32,MATCH($C81,FIYAT!$C$2:$C$32,0)),"")</f>
        <v>abb</v>
      </c>
      <c r="K81" s="3" t="s">
        <v>16</v>
      </c>
      <c r="L81" s="3" t="s">
        <v>48</v>
      </c>
      <c r="M81" s="5">
        <f>IFERROR(INDEX(KURALLAR!$B$13:$B$23,MATCH($B81,KURALLAR!$A$13:$A$23,0)),0)</f>
        <v>2</v>
      </c>
      <c r="N81" s="5">
        <f t="shared" si="20"/>
        <v>10</v>
      </c>
    </row>
    <row r="82" spans="1:14" x14ac:dyDescent="0.25">
      <c r="A82" s="3" t="s">
        <v>79</v>
      </c>
      <c r="B82" s="3" t="s">
        <v>46</v>
      </c>
      <c r="C82" s="3" t="s">
        <v>49</v>
      </c>
      <c r="D82" s="3" t="str">
        <f>IFERROR(INDEX(FIYAT!$D$2:$D$32,MATCH($C82,FIYAT!$C$2:$C$32,0)),"АРТИКУЛ НЕ В FIYAT")</f>
        <v>Автомат защиты двигателя MS116-6.3 (4-6.3А)</v>
      </c>
      <c r="E82" s="4">
        <f>IFERROR(INDEX(FIYAT!$I$2:$I$32,MATCH($C82,FIYAT!$C$2:$C$32,0)),"")</f>
        <v>31889.6747</v>
      </c>
      <c r="F82" s="4">
        <f>IFERROR(INDEX(FIYAT!$J$2:$J$32,MATCH($C82,FIYAT!$C$2:$C$32,0)),"")</f>
        <v>31889.6747</v>
      </c>
      <c r="G82" s="4">
        <f t="shared" si="19"/>
        <v>63779.349399999999</v>
      </c>
      <c r="H82" s="3">
        <v>2</v>
      </c>
      <c r="I82" s="3" t="str">
        <f>IFERROR(INDEX(FIYAT!$K$2:$K$32,MATCH($C82,FIYAT!$C$2:$C$32,0)),"")</f>
        <v>шт</v>
      </c>
      <c r="J82" s="3" t="str">
        <f>IFERROR(INDEX(FIYAT!$L$2:$L$32,MATCH($C82,FIYAT!$C$2:$C$32,0)),"")</f>
        <v>abb</v>
      </c>
      <c r="K82" s="3" t="s">
        <v>16</v>
      </c>
      <c r="L82" s="3" t="s">
        <v>50</v>
      </c>
      <c r="M82" s="5">
        <f>IFERROR(INDEX(KURALLAR!$B$13:$B$23,MATCH($B82,KURALLAR!$A$13:$A$23,0)),0)</f>
        <v>2</v>
      </c>
      <c r="N82" s="5">
        <f t="shared" si="20"/>
        <v>4</v>
      </c>
    </row>
    <row r="83" spans="1:14" x14ac:dyDescent="0.25">
      <c r="A83" s="3" t="s">
        <v>79</v>
      </c>
      <c r="B83" s="3" t="s">
        <v>46</v>
      </c>
      <c r="C83" s="3" t="s">
        <v>77</v>
      </c>
      <c r="D83" s="3" t="str">
        <f>IFERROR(INDEX(FIYAT!$D$2:$D$32,MATCH($C83,FIYAT!$C$2:$C$32,0)),"АРТИКУЛ НЕ В FIYAT")</f>
        <v>Автомат защиты двигателя MS116-10 (6.3-10А)</v>
      </c>
      <c r="E83" s="4">
        <f>IFERROR(INDEX(FIYAT!$I$2:$I$32,MATCH($C83,FIYAT!$C$2:$C$32,0)),"")</f>
        <v>34256.028299999998</v>
      </c>
      <c r="F83" s="4">
        <f>IFERROR(INDEX(FIYAT!$J$2:$J$32,MATCH($C83,FIYAT!$C$2:$C$32,0)),"")</f>
        <v>34256.028299999998</v>
      </c>
      <c r="G83" s="4">
        <f t="shared" si="19"/>
        <v>34256.028299999998</v>
      </c>
      <c r="H83" s="3">
        <v>1</v>
      </c>
      <c r="I83" s="3" t="str">
        <f>IFERROR(INDEX(FIYAT!$K$2:$K$32,MATCH($C83,FIYAT!$C$2:$C$32,0)),"")</f>
        <v>шт</v>
      </c>
      <c r="J83" s="3" t="str">
        <f>IFERROR(INDEX(FIYAT!$L$2:$L$32,MATCH($C83,FIYAT!$C$2:$C$32,0)),"")</f>
        <v>abb</v>
      </c>
      <c r="K83" s="3" t="s">
        <v>16</v>
      </c>
      <c r="L83" s="3" t="s">
        <v>78</v>
      </c>
      <c r="M83" s="5">
        <f>IFERROR(INDEX(KURALLAR!$B$13:$B$23,MATCH($B83,KURALLAR!$A$13:$A$23,0)),0)</f>
        <v>2</v>
      </c>
      <c r="N83" s="5">
        <f t="shared" si="20"/>
        <v>2</v>
      </c>
    </row>
    <row r="84" spans="1:14" x14ac:dyDescent="0.25">
      <c r="A84" s="3" t="s">
        <v>79</v>
      </c>
      <c r="B84" s="3" t="s">
        <v>51</v>
      </c>
      <c r="C84" s="3" t="s">
        <v>52</v>
      </c>
      <c r="D84" s="3" t="str">
        <f>IFERROR(INDEX(FIYAT!$D$2:$D$32,MATCH($C84,FIYAT!$C$2:$C$32,0)),"АРТИКУЛ НЕ В FIYAT")</f>
        <v>Контактор AF09-30-10, 3P, 9А AC3, 1НО, катушка 100-250В AC/DC</v>
      </c>
      <c r="E84" s="4">
        <f>IFERROR(INDEX(FIYAT!$I$2:$I$32,MATCH($C84,FIYAT!$C$2:$C$32,0)),"")</f>
        <v>19333.7209</v>
      </c>
      <c r="F84" s="4">
        <f>IFERROR(INDEX(FIYAT!$J$2:$J$32,MATCH($C84,FIYAT!$C$2:$C$32,0)),"")</f>
        <v>19333.7209</v>
      </c>
      <c r="G84" s="4">
        <f t="shared" si="19"/>
        <v>135336.04629999999</v>
      </c>
      <c r="H84" s="3">
        <v>7</v>
      </c>
      <c r="I84" s="3" t="str">
        <f>IFERROR(INDEX(FIYAT!$K$2:$K$32,MATCH($C84,FIYAT!$C$2:$C$32,0)),"")</f>
        <v>шт</v>
      </c>
      <c r="J84" s="3" t="str">
        <f>IFERROR(INDEX(FIYAT!$L$2:$L$32,MATCH($C84,FIYAT!$C$2:$C$32,0)),"")</f>
        <v>abb</v>
      </c>
      <c r="K84" s="3" t="s">
        <v>16</v>
      </c>
      <c r="L84" s="3" t="s">
        <v>53</v>
      </c>
      <c r="M84" s="5">
        <f>IFERROR(INDEX(KURALLAR!$B$13:$B$23,MATCH($B84,KURALLAR!$A$13:$A$23,0)),0)</f>
        <v>5.9</v>
      </c>
      <c r="N84" s="5">
        <f t="shared" si="20"/>
        <v>41.300000000000004</v>
      </c>
    </row>
    <row r="85" spans="1:14" x14ac:dyDescent="0.25">
      <c r="A85" s="3" t="s">
        <v>79</v>
      </c>
      <c r="B85" s="3" t="s">
        <v>51</v>
      </c>
      <c r="C85" s="3" t="s">
        <v>82</v>
      </c>
      <c r="D85" s="3" t="str">
        <f>IFERROR(INDEX(FIYAT!$D$2:$D$32,MATCH($C85,FIYAT!$C$2:$C$32,0)),"АРТИКУЛ НЕ В FIYAT")</f>
        <v>Контактор AF12-30-10, 3P, 12А AC3, 1НО, катушка 100-250В AC/DC</v>
      </c>
      <c r="E85" s="4">
        <f>IFERROR(INDEX(FIYAT!$I$2:$I$32,MATCH($C85,FIYAT!$C$2:$C$32,0)),"")</f>
        <v>20216.0036</v>
      </c>
      <c r="F85" s="4">
        <f>IFERROR(INDEX(FIYAT!$J$2:$J$32,MATCH($C85,FIYAT!$C$2:$C$32,0)),"")</f>
        <v>20216.0036</v>
      </c>
      <c r="G85" s="4">
        <f t="shared" si="19"/>
        <v>20216.0036</v>
      </c>
      <c r="H85" s="3">
        <v>1</v>
      </c>
      <c r="I85" s="3" t="str">
        <f>IFERROR(INDEX(FIYAT!$K$2:$K$32,MATCH($C85,FIYAT!$C$2:$C$32,0)),"")</f>
        <v>шт</v>
      </c>
      <c r="J85" s="3" t="str">
        <f>IFERROR(INDEX(FIYAT!$L$2:$L$32,MATCH($C85,FIYAT!$C$2:$C$32,0)),"")</f>
        <v>abb</v>
      </c>
      <c r="K85" s="3" t="s">
        <v>16</v>
      </c>
      <c r="L85" s="3" t="s">
        <v>83</v>
      </c>
      <c r="M85" s="5">
        <f>IFERROR(INDEX(KURALLAR!$B$13:$B$23,MATCH($B85,KURALLAR!$A$13:$A$23,0)),0)</f>
        <v>5.9</v>
      </c>
      <c r="N85" s="5">
        <f t="shared" si="20"/>
        <v>5.9</v>
      </c>
    </row>
    <row r="86" spans="1:14" x14ac:dyDescent="0.25">
      <c r="A86" s="3" t="s">
        <v>79</v>
      </c>
      <c r="B86" s="3" t="s">
        <v>54</v>
      </c>
      <c r="C86" s="3" t="s">
        <v>55</v>
      </c>
      <c r="D86" s="3" t="str">
        <f>IFERROR(INDEX(FIYAT!$D$2:$D$32,MATCH($C86,FIYAT!$C$2:$C$32,0)),"АРТИКУЛ НЕ В FIYAT")</f>
        <v>Блок доп. контактов боковой CAL4-11 (1НО+1НЗ) для AF09...AF96</v>
      </c>
      <c r="E86" s="4">
        <f>IFERROR(INDEX(FIYAT!$I$2:$I$32,MATCH($C86,FIYAT!$C$2:$C$32,0)),"")</f>
        <v>6201.4784</v>
      </c>
      <c r="F86" s="4">
        <f>IFERROR(INDEX(FIYAT!$J$2:$J$32,MATCH($C86,FIYAT!$C$2:$C$32,0)),"")</f>
        <v>6201.4784</v>
      </c>
      <c r="G86" s="4">
        <f t="shared" si="19"/>
        <v>49611.8272</v>
      </c>
      <c r="H86" s="3">
        <v>8</v>
      </c>
      <c r="I86" s="3" t="str">
        <f>IFERROR(INDEX(FIYAT!$K$2:$K$32,MATCH($C86,FIYAT!$C$2:$C$32,0)),"")</f>
        <v>шт</v>
      </c>
      <c r="J86" s="3" t="str">
        <f>IFERROR(INDEX(FIYAT!$L$2:$L$32,MATCH($C86,FIYAT!$C$2:$C$32,0)),"")</f>
        <v>abb</v>
      </c>
      <c r="K86" s="3" t="s">
        <v>16</v>
      </c>
      <c r="L86" s="3" t="s">
        <v>56</v>
      </c>
      <c r="M86" s="5">
        <f>IFERROR(INDEX(KURALLAR!$B$13:$B$23,MATCH($B86,KURALLAR!$A$13:$A$23,0)),0)</f>
        <v>2</v>
      </c>
      <c r="N86" s="5">
        <f t="shared" si="20"/>
        <v>16</v>
      </c>
    </row>
    <row r="87" spans="1:14" x14ac:dyDescent="0.25">
      <c r="A87" s="3" t="s">
        <v>79</v>
      </c>
      <c r="B87" s="3" t="s">
        <v>54</v>
      </c>
      <c r="C87" s="3" t="s">
        <v>57</v>
      </c>
      <c r="D87" s="3" t="str">
        <f>IFERROR(INDEX(FIYAT!$D$2:$D$32,MATCH($C87,FIYAT!$C$2:$C$32,0)),"АРТИКУЛ НЕ В FIYAT")</f>
        <v>Блок доп. контактов HKF1-11 (1НО+1НЗ), верхний, для MS116</v>
      </c>
      <c r="E87" s="4">
        <f>IFERROR(INDEX(FIYAT!$I$2:$I$32,MATCH($C87,FIYAT!$C$2:$C$32,0)),"")</f>
        <v>4793.9059999999999</v>
      </c>
      <c r="F87" s="4">
        <f>IFERROR(INDEX(FIYAT!$J$2:$J$32,MATCH($C87,FIYAT!$C$2:$C$32,0)),"")</f>
        <v>4793.9059999999999</v>
      </c>
      <c r="G87" s="4">
        <f t="shared" si="19"/>
        <v>38351.248</v>
      </c>
      <c r="H87" s="3">
        <v>8</v>
      </c>
      <c r="I87" s="3" t="str">
        <f>IFERROR(INDEX(FIYAT!$K$2:$K$32,MATCH($C87,FIYAT!$C$2:$C$32,0)),"")</f>
        <v>шт</v>
      </c>
      <c r="J87" s="3" t="str">
        <f>IFERROR(INDEX(FIYAT!$L$2:$L$32,MATCH($C87,FIYAT!$C$2:$C$32,0)),"")</f>
        <v>abb</v>
      </c>
      <c r="K87" s="3" t="s">
        <v>16</v>
      </c>
      <c r="L87" s="3" t="s">
        <v>58</v>
      </c>
      <c r="M87" s="5">
        <f>IFERROR(INDEX(KURALLAR!$B$13:$B$23,MATCH($B87,KURALLAR!$A$13:$A$23,0)),0)</f>
        <v>2</v>
      </c>
      <c r="N87" s="5">
        <f t="shared" si="20"/>
        <v>16</v>
      </c>
    </row>
    <row r="88" spans="1:14" x14ac:dyDescent="0.25">
      <c r="A88" s="3" t="s">
        <v>79</v>
      </c>
      <c r="B88" s="3" t="s">
        <v>54</v>
      </c>
      <c r="C88" s="3" t="s">
        <v>59</v>
      </c>
      <c r="D88" s="3" t="str">
        <f>IFERROR(INDEX(FIYAT!$D$2:$D$32,MATCH($C88,FIYAT!$C$2:$C$32,0)),"АРТИКУЛ НЕ В FIYAT")</f>
        <v>Контакт сигнализации SK1-11 (1НО+1НЗ), боковой, для MS116</v>
      </c>
      <c r="E88" s="4">
        <f>IFERROR(INDEX(FIYAT!$I$2:$I$32,MATCH($C88,FIYAT!$C$2:$C$32,0)),"")</f>
        <v>9766.3084999999992</v>
      </c>
      <c r="F88" s="4">
        <f>IFERROR(INDEX(FIYAT!$J$2:$J$32,MATCH($C88,FIYAT!$C$2:$C$32,0)),"")</f>
        <v>9766.3084999999992</v>
      </c>
      <c r="G88" s="4">
        <f t="shared" si="19"/>
        <v>78130.467999999993</v>
      </c>
      <c r="H88" s="3">
        <v>8</v>
      </c>
      <c r="I88" s="3" t="str">
        <f>IFERROR(INDEX(FIYAT!$K$2:$K$32,MATCH($C88,FIYAT!$C$2:$C$32,0)),"")</f>
        <v>шт</v>
      </c>
      <c r="J88" s="3" t="str">
        <f>IFERROR(INDEX(FIYAT!$L$2:$L$32,MATCH($C88,FIYAT!$C$2:$C$32,0)),"")</f>
        <v>abb</v>
      </c>
      <c r="K88" s="3" t="s">
        <v>16</v>
      </c>
      <c r="L88" s="3" t="s">
        <v>58</v>
      </c>
      <c r="M88" s="5">
        <f>IFERROR(INDEX(KURALLAR!$B$13:$B$23,MATCH($B88,KURALLAR!$A$13:$A$23,0)),0)</f>
        <v>2</v>
      </c>
      <c r="N88" s="5">
        <f t="shared" si="20"/>
        <v>16</v>
      </c>
    </row>
    <row r="89" spans="1:14" x14ac:dyDescent="0.25">
      <c r="A89" s="3" t="s">
        <v>79</v>
      </c>
      <c r="B89" s="3" t="s">
        <v>60</v>
      </c>
      <c r="C89" s="3" t="s">
        <v>61</v>
      </c>
      <c r="D89" s="3" t="str">
        <f>IFERROR(INDEX(FIYAT!$D$2:$D$32,MATCH($C89,FIYAT!$C$2:$C$32,0)),"АРТИКУЛ НЕ В FIYAT")</f>
        <v>Корпус MCBH5-00 для головок и блоков (5 блоков в ряд)</v>
      </c>
      <c r="E89" s="4">
        <f>IFERROR(INDEX(FIYAT!$I$2:$I$32,MATCH($C89,FIYAT!$C$2:$C$32,0)),"")</f>
        <v>647.68730000000005</v>
      </c>
      <c r="F89" s="4">
        <f>IFERROR(INDEX(FIYAT!$J$2:$J$32,MATCH($C89,FIYAT!$C$2:$C$32,0)),"")</f>
        <v>647.68730000000005</v>
      </c>
      <c r="G89" s="4">
        <f t="shared" si="19"/>
        <v>5181.4984000000004</v>
      </c>
      <c r="H89" s="3">
        <v>8</v>
      </c>
      <c r="I89" s="3" t="str">
        <f>IFERROR(INDEX(FIYAT!$K$2:$K$32,MATCH($C89,FIYAT!$C$2:$C$32,0)),"")</f>
        <v>шт</v>
      </c>
      <c r="J89" s="3" t="str">
        <f>IFERROR(INDEX(FIYAT!$L$2:$L$32,MATCH($C89,FIYAT!$C$2:$C$32,0)),"")</f>
        <v>abb</v>
      </c>
      <c r="K89" s="3" t="s">
        <v>16</v>
      </c>
      <c r="L89" s="3" t="s">
        <v>62</v>
      </c>
      <c r="M89" s="5">
        <f>IFERROR(INDEX(KURALLAR!$B$13:$B$23,MATCH($B89,KURALLAR!$A$13:$A$23,0)),0)</f>
        <v>21.8</v>
      </c>
      <c r="N89" s="5">
        <f t="shared" si="20"/>
        <v>174.4</v>
      </c>
    </row>
    <row r="90" spans="1:14" x14ac:dyDescent="0.25">
      <c r="A90" s="3" t="s">
        <v>79</v>
      </c>
      <c r="B90" s="3" t="s">
        <v>54</v>
      </c>
      <c r="C90" s="3" t="s">
        <v>63</v>
      </c>
      <c r="D90" s="3" t="str">
        <f>IFERROR(INDEX(FIYAT!$D$2:$D$32,MATCH($C90,FIYAT!$C$2:$C$32,0)),"АРТИКУЛ НЕ В FIYAT")</f>
        <v>Блок контактов MCB-10, 1НО</v>
      </c>
      <c r="E90" s="4">
        <f>IFERROR(INDEX(FIYAT!$I$2:$I$32,MATCH($C90,FIYAT!$C$2:$C$32,0)),"")</f>
        <v>2345.9539999999997</v>
      </c>
      <c r="F90" s="4">
        <f>IFERROR(INDEX(FIYAT!$J$2:$J$32,MATCH($C90,FIYAT!$C$2:$C$32,0)),"")</f>
        <v>2345.9539999999997</v>
      </c>
      <c r="G90" s="4">
        <f t="shared" si="19"/>
        <v>18767.631999999998</v>
      </c>
      <c r="H90" s="3">
        <v>8</v>
      </c>
      <c r="I90" s="3" t="str">
        <f>IFERROR(INDEX(FIYAT!$K$2:$K$32,MATCH($C90,FIYAT!$C$2:$C$32,0)),"")</f>
        <v>шт</v>
      </c>
      <c r="J90" s="3" t="str">
        <f>IFERROR(INDEX(FIYAT!$L$2:$L$32,MATCH($C90,FIYAT!$C$2:$C$32,0)),"")</f>
        <v>abb</v>
      </c>
      <c r="K90" s="3" t="s">
        <v>16</v>
      </c>
      <c r="L90" s="3" t="s">
        <v>64</v>
      </c>
      <c r="M90" s="5">
        <f>IFERROR(INDEX(KURALLAR!$B$13:$B$23,MATCH($B90,KURALLAR!$A$13:$A$23,0)),0)</f>
        <v>2</v>
      </c>
      <c r="N90" s="5">
        <f t="shared" si="20"/>
        <v>16</v>
      </c>
    </row>
    <row r="91" spans="1:14" s="21" customFormat="1" x14ac:dyDescent="0.25">
      <c r="A91" s="3" t="s">
        <v>79</v>
      </c>
      <c r="B91" s="19" t="s">
        <v>54</v>
      </c>
      <c r="C91" s="21" t="s">
        <v>285</v>
      </c>
      <c r="D91" s="20" t="s">
        <v>292</v>
      </c>
      <c r="E91" s="22">
        <v>3059</v>
      </c>
      <c r="F91" s="22">
        <v>3059</v>
      </c>
      <c r="G91" s="22">
        <f t="shared" si="19"/>
        <v>24472</v>
      </c>
      <c r="H91" s="19">
        <v>8</v>
      </c>
      <c r="I91" s="20" t="s">
        <v>72</v>
      </c>
      <c r="J91" s="20" t="s">
        <v>288</v>
      </c>
      <c r="K91" s="19" t="s">
        <v>16</v>
      </c>
      <c r="L91" s="19" t="s">
        <v>64</v>
      </c>
      <c r="M91" s="23">
        <f>IFERROR(INDEX(KURALLAR!$B$13:$B$23,MATCH($B91,KURALLAR!$A$13:$A$23,0)),0)</f>
        <v>2</v>
      </c>
      <c r="N91" s="23">
        <f t="shared" si="20"/>
        <v>16</v>
      </c>
    </row>
    <row r="92" spans="1:14" x14ac:dyDescent="0.25">
      <c r="A92" s="3" t="s">
        <v>79</v>
      </c>
      <c r="B92" s="3" t="s">
        <v>30</v>
      </c>
      <c r="C92" s="3" t="s">
        <v>65</v>
      </c>
      <c r="D92" s="3" t="str">
        <f>IFERROR(INDEX(FIYAT!$D$2:$D$32,MATCH($C92,FIYAT!$C$2:$C$32,0)),"АРТИКУЛ НЕ В FIYAT")</f>
        <v>Реле CR-P024AC2, 2 перекл., 8А, катушка 24В AC</v>
      </c>
      <c r="E92" s="4">
        <f>IFERROR(INDEX(FIYAT!$I$2:$I$32,MATCH($C92,FIYAT!$C$2:$C$32,0)),"")</f>
        <v>4334.915</v>
      </c>
      <c r="F92" s="4">
        <f>IFERROR(INDEX(FIYAT!$J$2:$J$32,MATCH($C92,FIYAT!$C$2:$C$32,0)),"")</f>
        <v>4334.915</v>
      </c>
      <c r="G92" s="4">
        <f t="shared" si="19"/>
        <v>69358.64</v>
      </c>
      <c r="H92" s="3">
        <v>16</v>
      </c>
      <c r="I92" s="3" t="str">
        <f>IFERROR(INDEX(FIYAT!$K$2:$K$32,MATCH($C92,FIYAT!$C$2:$C$32,0)),"")</f>
        <v>шт</v>
      </c>
      <c r="J92" s="3" t="str">
        <f>IFERROR(INDEX(FIYAT!$L$2:$L$32,MATCH($C92,FIYAT!$C$2:$C$32,0)),"")</f>
        <v>abb</v>
      </c>
      <c r="K92" s="3" t="s">
        <v>16</v>
      </c>
      <c r="L92" s="3" t="s">
        <v>66</v>
      </c>
      <c r="M92" s="5">
        <f>IFERROR(INDEX(KURALLAR!$B$13:$B$23,MATCH($B92,KURALLAR!$A$13:$A$23,0)),0)</f>
        <v>21.8</v>
      </c>
      <c r="N92" s="5">
        <f t="shared" si="20"/>
        <v>348.8</v>
      </c>
    </row>
    <row r="93" spans="1:14" s="21" customFormat="1" x14ac:dyDescent="0.25">
      <c r="A93" s="3" t="s">
        <v>79</v>
      </c>
      <c r="B93" s="20" t="s">
        <v>278</v>
      </c>
      <c r="C93" s="19" t="s">
        <v>291</v>
      </c>
      <c r="D93" s="21" t="s">
        <v>290</v>
      </c>
      <c r="E93" s="22">
        <v>4666.4085000000005</v>
      </c>
      <c r="F93" s="22">
        <v>4666.4085000000005</v>
      </c>
      <c r="G93" s="22">
        <f t="shared" si="19"/>
        <v>74662.536000000007</v>
      </c>
      <c r="H93" s="19">
        <v>16</v>
      </c>
      <c r="I93" s="20" t="s">
        <v>72</v>
      </c>
      <c r="J93" s="20" t="s">
        <v>113</v>
      </c>
      <c r="K93" s="19" t="s">
        <v>16</v>
      </c>
      <c r="L93" s="19" t="s">
        <v>40</v>
      </c>
      <c r="M93" s="23">
        <f>IFERROR(INDEX(KURALLAR!$B$13:$B$23,MATCH($B93,KURALLAR!$A$13:$A$23,0)),0)</f>
        <v>0</v>
      </c>
      <c r="N93" s="23">
        <f t="shared" si="20"/>
        <v>0</v>
      </c>
    </row>
    <row r="94" spans="1:14" s="21" customFormat="1" x14ac:dyDescent="0.25">
      <c r="A94" s="3" t="s">
        <v>79</v>
      </c>
      <c r="B94" s="19" t="s">
        <v>293</v>
      </c>
      <c r="C94" s="19"/>
      <c r="D94" s="20" t="s">
        <v>294</v>
      </c>
      <c r="E94" s="22">
        <v>30000</v>
      </c>
      <c r="F94" s="22">
        <v>30000</v>
      </c>
      <c r="G94" s="22">
        <f t="shared" si="19"/>
        <v>30000</v>
      </c>
      <c r="H94" s="19">
        <v>1</v>
      </c>
      <c r="I94" s="19" t="str">
        <f>IFERROR(INDEX(FIYAT!$K$2:$K$32,MATCH($C94,FIYAT!$C$2:$C$32,0)),"")</f>
        <v/>
      </c>
      <c r="J94" s="20" t="s">
        <v>295</v>
      </c>
      <c r="K94" s="19" t="s">
        <v>16</v>
      </c>
      <c r="L94" s="19" t="s">
        <v>68</v>
      </c>
      <c r="M94" s="23">
        <f>IFERROR(INDEX(KURALLAR!$B$13:$B$23,MATCH($B94,KURALLAR!$A$13:$A$23,0)),0)</f>
        <v>0</v>
      </c>
      <c r="N94" s="23">
        <f t="shared" si="20"/>
        <v>0</v>
      </c>
    </row>
    <row r="95" spans="1:14" s="21" customFormat="1" x14ac:dyDescent="0.25">
      <c r="A95" s="3" t="s">
        <v>79</v>
      </c>
      <c r="B95" s="19" t="s">
        <v>293</v>
      </c>
      <c r="C95" s="19"/>
      <c r="D95" s="19" t="s">
        <v>296</v>
      </c>
      <c r="E95" s="22">
        <v>20000</v>
      </c>
      <c r="F95" s="22">
        <v>20000</v>
      </c>
      <c r="G95" s="22">
        <f t="shared" si="19"/>
        <v>20000</v>
      </c>
      <c r="H95" s="19">
        <v>1</v>
      </c>
      <c r="I95" s="19" t="str">
        <f>IFERROR(INDEX(FIYAT!$K$2:$K$32,MATCH($C95,FIYAT!$C$2:$C$32,0)),"")</f>
        <v/>
      </c>
      <c r="J95" s="20" t="s">
        <v>295</v>
      </c>
      <c r="K95" s="19" t="s">
        <v>16</v>
      </c>
      <c r="L95" s="19" t="s">
        <v>68</v>
      </c>
      <c r="M95" s="23">
        <f>IFERROR(INDEX(KURALLAR!$B$13:$B$23,MATCH($B95,KURALLAR!$A$13:$A$23,0)),0)</f>
        <v>0</v>
      </c>
      <c r="N95" s="23">
        <f t="shared" si="20"/>
        <v>0</v>
      </c>
    </row>
    <row r="96" spans="1:14" x14ac:dyDescent="0.25">
      <c r="A96" s="3" t="s">
        <v>79</v>
      </c>
      <c r="B96" s="3" t="s">
        <v>20</v>
      </c>
      <c r="C96" s="3" t="s">
        <v>84</v>
      </c>
      <c r="D96" s="3" t="str">
        <f>IFERROR(INDEX(FIYAT!$D$2:$D$32,MATCH($C96,FIYAT!$C$2:$C$32,0)),"АРТИКУЛ НЕ В FIYAT")</f>
        <v>Авт. выкл. SH 203-C 16, 3P, 16А, х-ка C, 6кА</v>
      </c>
      <c r="E96" s="4">
        <f>IFERROR(INDEX(FIYAT!$I$2:$I$32,MATCH($C96,FIYAT!$C$2:$C$32,0)),"")</f>
        <v>18573.835800000001</v>
      </c>
      <c r="F96" s="4">
        <f>IFERROR(INDEX(FIYAT!$J$2:$J$32,MATCH($C96,FIYAT!$C$2:$C$32,0)),"")</f>
        <v>18573.835800000001</v>
      </c>
      <c r="G96" s="4">
        <f t="shared" si="19"/>
        <v>130016.85060000001</v>
      </c>
      <c r="H96" s="3">
        <v>7</v>
      </c>
      <c r="I96" s="3" t="str">
        <f>IFERROR(INDEX(FIYAT!$K$2:$K$32,MATCH($C96,FIYAT!$C$2:$C$32,0)),"")</f>
        <v>шт</v>
      </c>
      <c r="J96" s="3" t="str">
        <f>IFERROR(INDEX(FIYAT!$L$2:$L$32,MATCH($C96,FIYAT!$C$2:$C$32,0)),"")</f>
        <v>abb</v>
      </c>
      <c r="K96" s="3" t="s">
        <v>16</v>
      </c>
      <c r="L96" s="3" t="s">
        <v>85</v>
      </c>
      <c r="M96" s="5">
        <f>IFERROR(INDEX(KURALLAR!$B$13:$B$23,MATCH($B96,KURALLAR!$A$13:$A$23,0)),0)</f>
        <v>4</v>
      </c>
      <c r="N96" s="5">
        <f t="shared" si="20"/>
        <v>28</v>
      </c>
    </row>
    <row r="97" spans="1:14" x14ac:dyDescent="0.25">
      <c r="A97" s="3" t="s">
        <v>79</v>
      </c>
      <c r="B97" s="3" t="s">
        <v>20</v>
      </c>
      <c r="C97" s="3" t="s">
        <v>86</v>
      </c>
      <c r="D97" s="3" t="str">
        <f>IFERROR(INDEX(FIYAT!$D$2:$D$32,MATCH($C97,FIYAT!$C$2:$C$32,0)),"АРТИКУЛ НЕ В FIYAT")</f>
        <v>Авт. выкл. SH 203-C 10, 3P, 10А, х-ка C, 6кА</v>
      </c>
      <c r="E97" s="4">
        <f>IFERROR(INDEX(FIYAT!$I$2:$I$32,MATCH($C97,FIYAT!$C$2:$C$32,0)),"")</f>
        <v>18573.835800000001</v>
      </c>
      <c r="F97" s="4">
        <f>IFERROR(INDEX(FIYAT!$J$2:$J$32,MATCH($C97,FIYAT!$C$2:$C$32,0)),"")</f>
        <v>18573.835800000001</v>
      </c>
      <c r="G97" s="4">
        <f t="shared" si="19"/>
        <v>18573.835800000001</v>
      </c>
      <c r="H97" s="3">
        <v>1</v>
      </c>
      <c r="I97" s="3" t="str">
        <f>IFERROR(INDEX(FIYAT!$K$2:$K$32,MATCH($C97,FIYAT!$C$2:$C$32,0)),"")</f>
        <v>шт</v>
      </c>
      <c r="J97" s="3" t="str">
        <f>IFERROR(INDEX(FIYAT!$L$2:$L$32,MATCH($C97,FIYAT!$C$2:$C$32,0)),"")</f>
        <v>abb</v>
      </c>
      <c r="K97" s="3" t="s">
        <v>16</v>
      </c>
      <c r="L97" s="3" t="s">
        <v>87</v>
      </c>
      <c r="M97" s="5">
        <f>IFERROR(INDEX(KURALLAR!$B$13:$B$23,MATCH($B97,KURALLAR!$A$13:$A$23,0)),0)</f>
        <v>4</v>
      </c>
      <c r="N97" s="5">
        <f t="shared" si="20"/>
        <v>4</v>
      </c>
    </row>
    <row r="98" spans="1:14" x14ac:dyDescent="0.25">
      <c r="A98" s="3" t="s">
        <v>79</v>
      </c>
      <c r="B98" s="3" t="s">
        <v>71</v>
      </c>
      <c r="C98" s="3" t="s">
        <v>71</v>
      </c>
      <c r="D98" s="3" t="s">
        <v>71</v>
      </c>
      <c r="E98" s="4">
        <f>G99*KURALLAR!$C$8</f>
        <v>52884</v>
      </c>
      <c r="F98" s="4">
        <f>E98</f>
        <v>52884</v>
      </c>
      <c r="G98" s="4">
        <f>H98*F98</f>
        <v>52884</v>
      </c>
      <c r="H98" s="3">
        <v>1</v>
      </c>
      <c r="I98" s="3" t="s">
        <v>72</v>
      </c>
      <c r="J98" s="3" t="s">
        <v>71</v>
      </c>
      <c r="K98" s="3" t="s">
        <v>16</v>
      </c>
      <c r="L98" s="3"/>
      <c r="M98" s="5"/>
      <c r="N98" s="5"/>
    </row>
    <row r="99" spans="1:14" x14ac:dyDescent="0.25">
      <c r="A99" s="3" t="s">
        <v>79</v>
      </c>
      <c r="B99" s="3" t="s">
        <v>73</v>
      </c>
      <c r="C99" s="3" t="s">
        <v>73</v>
      </c>
      <c r="D99" s="3" t="s">
        <v>73</v>
      </c>
      <c r="E99" s="4">
        <f>KURALLAR!$C$6</f>
        <v>100</v>
      </c>
      <c r="F99" s="4">
        <f>E99</f>
        <v>100</v>
      </c>
      <c r="G99" s="4">
        <f>H99*F99</f>
        <v>132210</v>
      </c>
      <c r="H99" s="3">
        <f>SUM(N69:N97)*KURALLAR!$C$7</f>
        <v>1322.1</v>
      </c>
      <c r="I99" s="3" t="s">
        <v>74</v>
      </c>
      <c r="J99" s="3" t="s">
        <v>73</v>
      </c>
      <c r="K99" s="3" t="s">
        <v>16</v>
      </c>
      <c r="L99" s="3"/>
      <c r="M99" s="5"/>
      <c r="N99" s="5"/>
    </row>
    <row r="100" spans="1:14" x14ac:dyDescent="0.25">
      <c r="A100" s="6" t="s">
        <v>79</v>
      </c>
      <c r="B100" s="6"/>
      <c r="C100" s="6"/>
      <c r="D100" s="6" t="s">
        <v>75</v>
      </c>
      <c r="E100" s="7"/>
      <c r="F100" s="7"/>
      <c r="G100" s="7">
        <f>SUM(G69:G99)</f>
        <v>1741770.3365999998</v>
      </c>
      <c r="H100" s="6"/>
      <c r="I100" s="6"/>
      <c r="J100" s="6"/>
      <c r="K100" s="6" t="s">
        <v>16</v>
      </c>
      <c r="L100" s="6"/>
      <c r="M100" s="8"/>
      <c r="N100" s="8"/>
    </row>
    <row r="101" spans="1:14" x14ac:dyDescent="0.25">
      <c r="A101" s="2" t="s">
        <v>88</v>
      </c>
      <c r="B101" s="2"/>
      <c r="C101" s="2"/>
      <c r="D101" s="2" t="s">
        <v>88</v>
      </c>
      <c r="E101" s="2"/>
      <c r="F101" s="2"/>
      <c r="G101" s="2"/>
      <c r="H101" s="2">
        <v>1</v>
      </c>
      <c r="I101" s="2" t="s">
        <v>14</v>
      </c>
      <c r="J101" s="2" t="s">
        <v>15</v>
      </c>
      <c r="K101" s="2" t="s">
        <v>16</v>
      </c>
      <c r="L101" s="2"/>
      <c r="M101" s="2"/>
      <c r="N101" s="2"/>
    </row>
    <row r="102" spans="1:14" s="24" customFormat="1" x14ac:dyDescent="0.25">
      <c r="A102" s="3" t="s">
        <v>88</v>
      </c>
      <c r="B102" s="3" t="s">
        <v>297</v>
      </c>
      <c r="C102" s="3" t="s">
        <v>298</v>
      </c>
      <c r="D102" s="3" t="s">
        <v>299</v>
      </c>
      <c r="E102" s="4">
        <v>175000</v>
      </c>
      <c r="F102" s="4">
        <f>E102*0.6</f>
        <v>105000</v>
      </c>
      <c r="G102" s="4">
        <f t="shared" ref="G102" si="21">IF(OR(F102="",H102=""),"",H102*F102)</f>
        <v>105000</v>
      </c>
      <c r="H102" s="3">
        <v>1</v>
      </c>
      <c r="I102" s="3" t="str">
        <f>IFERROR(INDEX(FIYAT!$K$2:$K$32,MATCH($C102,FIYAT!$C$2:$C$32,0)),"")</f>
        <v/>
      </c>
      <c r="J102" s="17" t="s">
        <v>302</v>
      </c>
      <c r="K102" s="3" t="s">
        <v>16</v>
      </c>
      <c r="L102" s="3" t="s">
        <v>68</v>
      </c>
      <c r="M102" s="5">
        <f>IFERROR(INDEX(KURALLAR!$B$13:$B$23,MATCH($B102,KURALLAR!$A$13:$A$23,0)),0)</f>
        <v>0</v>
      </c>
      <c r="N102" s="5">
        <f t="shared" ref="N102" si="22">H102*M102</f>
        <v>0</v>
      </c>
    </row>
    <row r="103" spans="1:14" x14ac:dyDescent="0.25">
      <c r="A103" s="3" t="s">
        <v>88</v>
      </c>
      <c r="B103" s="3" t="s">
        <v>17</v>
      </c>
      <c r="C103" s="3" t="s">
        <v>89</v>
      </c>
      <c r="D103" s="3" t="str">
        <f>IFERROR(INDEX(FIYAT!$D$2:$D$32,MATCH($C103,FIYAT!$C$2:$C$32,0)),"АРТИКУЛ НЕ В FIYAT")</f>
        <v>Авт. выкл. Tmax XT3N 250, TMD, In=200A, 3P, Icu 36кА</v>
      </c>
      <c r="E103" s="4">
        <f>IFERROR(INDEX(FIYAT!$I$2:$I$32,MATCH($C103,FIYAT!$C$2:$C$32,0)),"")</f>
        <v>234187.408</v>
      </c>
      <c r="F103" s="4">
        <f>IFERROR(INDEX(FIYAT!$J$2:$J$32,MATCH($C103,FIYAT!$C$2:$C$32,0)),"")</f>
        <v>234187.408</v>
      </c>
      <c r="G103" s="4">
        <f t="shared" ref="G103:G132" si="23">IF(OR(F103="",H103=""),"",H103*F103)</f>
        <v>234187.408</v>
      </c>
      <c r="H103" s="3">
        <v>1</v>
      </c>
      <c r="I103" s="3" t="str">
        <f>IFERROR(INDEX(FIYAT!$K$2:$K$32,MATCH($C103,FIYAT!$C$2:$C$32,0)),"")</f>
        <v>шт</v>
      </c>
      <c r="J103" s="3" t="str">
        <f>IFERROR(INDEX(FIYAT!$L$2:$L$32,MATCH($C103,FIYAT!$C$2:$C$32,0)),"")</f>
        <v>abb</v>
      </c>
      <c r="K103" s="3" t="s">
        <v>16</v>
      </c>
      <c r="L103" s="3" t="s">
        <v>90</v>
      </c>
      <c r="M103" s="5">
        <f>IFERROR(INDEX(KURALLAR!$B$13:$B$23,MATCH($B103,KURALLAR!$A$13:$A$23,0)),0)</f>
        <v>15.3</v>
      </c>
      <c r="N103" s="5">
        <f t="shared" ref="N103:N132" si="24">H103*M103</f>
        <v>15.3</v>
      </c>
    </row>
    <row r="104" spans="1:14" x14ac:dyDescent="0.25">
      <c r="A104" s="3" t="s">
        <v>88</v>
      </c>
      <c r="B104" s="3" t="s">
        <v>20</v>
      </c>
      <c r="C104" s="3" t="s">
        <v>21</v>
      </c>
      <c r="D104" s="3" t="str">
        <f>IFERROR(INDEX(FIYAT!$D$2:$D$32,MATCH($C104,FIYAT!$C$2:$C$32,0)),"АРТИКУЛ НЕ В FIYAT")</f>
        <v>Авт. выкл. SH 201-B 6, 1P, 6А, х-ка B, 6кА</v>
      </c>
      <c r="E104" s="4">
        <f>IFERROR(INDEX(FIYAT!$I$2:$I$32,MATCH($C104,FIYAT!$C$2:$C$32,0)),"")</f>
        <v>4503.2116999999998</v>
      </c>
      <c r="F104" s="4">
        <f>IFERROR(INDEX(FIYAT!$J$2:$J$32,MATCH($C104,FIYAT!$C$2:$C$32,0)),"")</f>
        <v>4503.2116999999998</v>
      </c>
      <c r="G104" s="4">
        <f t="shared" si="23"/>
        <v>45032.116999999998</v>
      </c>
      <c r="H104" s="3">
        <v>10</v>
      </c>
      <c r="I104" s="3" t="str">
        <f>IFERROR(INDEX(FIYAT!$K$2:$K$32,MATCH($C104,FIYAT!$C$2:$C$32,0)),"")</f>
        <v>шт</v>
      </c>
      <c r="J104" s="3" t="str">
        <f>IFERROR(INDEX(FIYAT!$L$2:$L$32,MATCH($C104,FIYAT!$C$2:$C$32,0)),"")</f>
        <v>abb</v>
      </c>
      <c r="K104" s="3" t="s">
        <v>16</v>
      </c>
      <c r="L104" s="3" t="s">
        <v>22</v>
      </c>
      <c r="M104" s="5">
        <f>IFERROR(INDEX(KURALLAR!$B$13:$B$23,MATCH($B104,KURALLAR!$A$13:$A$23,0)),0)</f>
        <v>4</v>
      </c>
      <c r="N104" s="5">
        <f t="shared" si="24"/>
        <v>40</v>
      </c>
    </row>
    <row r="105" spans="1:14" x14ac:dyDescent="0.25">
      <c r="A105" s="3" t="s">
        <v>88</v>
      </c>
      <c r="B105" s="3" t="s">
        <v>23</v>
      </c>
      <c r="C105" s="3" t="s">
        <v>24</v>
      </c>
      <c r="D105" s="3" t="str">
        <f>IFERROR(INDEX(FIYAT!$D$2:$D$32,MATCH($C105,FIYAT!$C$2:$C$32,0)),"АРТИКУЛ НЕ В FIYAT")</f>
        <v>Лампа сигнальная LED CL2-523R, 230В AC, красная</v>
      </c>
      <c r="E105" s="4">
        <f>IFERROR(INDEX(FIYAT!$I$2:$I$32,MATCH($C105,FIYAT!$C$2:$C$32,0)),"")</f>
        <v>4906.1037999999999</v>
      </c>
      <c r="F105" s="4">
        <f>IFERROR(INDEX(FIYAT!$J$2:$J$32,MATCH($C105,FIYAT!$C$2:$C$32,0)),"")</f>
        <v>4906.1037999999999</v>
      </c>
      <c r="G105" s="4">
        <f t="shared" si="23"/>
        <v>39248.830399999999</v>
      </c>
      <c r="H105" s="3">
        <v>8</v>
      </c>
      <c r="I105" s="3" t="str">
        <f>IFERROR(INDEX(FIYAT!$K$2:$K$32,MATCH($C105,FIYAT!$C$2:$C$32,0)),"")</f>
        <v>шт</v>
      </c>
      <c r="J105" s="3" t="str">
        <f>IFERROR(INDEX(FIYAT!$L$2:$L$32,MATCH($C105,FIYAT!$C$2:$C$32,0)),"")</f>
        <v>abb</v>
      </c>
      <c r="K105" s="3" t="s">
        <v>16</v>
      </c>
      <c r="L105" s="3" t="s">
        <v>25</v>
      </c>
      <c r="M105" s="5">
        <f>IFERROR(INDEX(KURALLAR!$B$13:$B$23,MATCH($B105,KURALLAR!$A$13:$A$23,0)),0)</f>
        <v>8</v>
      </c>
      <c r="N105" s="5">
        <f t="shared" si="24"/>
        <v>64</v>
      </c>
    </row>
    <row r="106" spans="1:14" x14ac:dyDescent="0.25">
      <c r="A106" s="3" t="s">
        <v>88</v>
      </c>
      <c r="B106" s="3" t="s">
        <v>23</v>
      </c>
      <c r="C106" s="3" t="s">
        <v>26</v>
      </c>
      <c r="D106" s="3" t="str">
        <f>IFERROR(INDEX(FIYAT!$D$2:$D$32,MATCH($C106,FIYAT!$C$2:$C$32,0)),"АРТИКУЛ НЕ В FIYAT")</f>
        <v>Лампа сигнальная LED CL2-523Y, 230В AC, жёлтая</v>
      </c>
      <c r="E106" s="4">
        <f>IFERROR(INDEX(FIYAT!$I$2:$I$32,MATCH($C106,FIYAT!$C$2:$C$32,0)),"")</f>
        <v>4906.1037999999999</v>
      </c>
      <c r="F106" s="4">
        <f>IFERROR(INDEX(FIYAT!$J$2:$J$32,MATCH($C106,FIYAT!$C$2:$C$32,0)),"")</f>
        <v>4906.1037999999999</v>
      </c>
      <c r="G106" s="4">
        <f t="shared" si="23"/>
        <v>4906.1037999999999</v>
      </c>
      <c r="H106" s="3">
        <v>1</v>
      </c>
      <c r="I106" s="3" t="str">
        <f>IFERROR(INDEX(FIYAT!$K$2:$K$32,MATCH($C106,FIYAT!$C$2:$C$32,0)),"")</f>
        <v>шт</v>
      </c>
      <c r="J106" s="3" t="str">
        <f>IFERROR(INDEX(FIYAT!$L$2:$L$32,MATCH($C106,FIYAT!$C$2:$C$32,0)),"")</f>
        <v>abb</v>
      </c>
      <c r="K106" s="3" t="s">
        <v>16</v>
      </c>
      <c r="L106" s="3" t="s">
        <v>27</v>
      </c>
      <c r="M106" s="5">
        <f>IFERROR(INDEX(KURALLAR!$B$13:$B$23,MATCH($B106,KURALLAR!$A$13:$A$23,0)),0)</f>
        <v>8</v>
      </c>
      <c r="N106" s="5">
        <f t="shared" si="24"/>
        <v>8</v>
      </c>
    </row>
    <row r="107" spans="1:14" x14ac:dyDescent="0.25">
      <c r="A107" s="3" t="s">
        <v>88</v>
      </c>
      <c r="B107" s="3" t="s">
        <v>23</v>
      </c>
      <c r="C107" s="3" t="s">
        <v>28</v>
      </c>
      <c r="D107" s="3" t="str">
        <f>IFERROR(INDEX(FIYAT!$D$2:$D$32,MATCH($C107,FIYAT!$C$2:$C$32,0)),"АРТИКУЛ НЕ В FIYAT")</f>
        <v>Лампа сигнальная LED CL2-523G, 230В AC, зелёная</v>
      </c>
      <c r="E107" s="4">
        <f>IFERROR(INDEX(FIYAT!$I$2:$I$32,MATCH($C107,FIYAT!$C$2:$C$32,0)),"")</f>
        <v>4906.1037999999999</v>
      </c>
      <c r="F107" s="4">
        <f>IFERROR(INDEX(FIYAT!$J$2:$J$32,MATCH($C107,FIYAT!$C$2:$C$32,0)),"")</f>
        <v>4906.1037999999999</v>
      </c>
      <c r="G107" s="4">
        <f t="shared" si="23"/>
        <v>39248.830399999999</v>
      </c>
      <c r="H107" s="3">
        <v>8</v>
      </c>
      <c r="I107" s="3" t="str">
        <f>IFERROR(INDEX(FIYAT!$K$2:$K$32,MATCH($C107,FIYAT!$C$2:$C$32,0)),"")</f>
        <v>шт</v>
      </c>
      <c r="J107" s="3" t="str">
        <f>IFERROR(INDEX(FIYAT!$L$2:$L$32,MATCH($C107,FIYAT!$C$2:$C$32,0)),"")</f>
        <v>abb</v>
      </c>
      <c r="K107" s="3" t="s">
        <v>16</v>
      </c>
      <c r="L107" s="3" t="s">
        <v>29</v>
      </c>
      <c r="M107" s="5">
        <f>IFERROR(INDEX(KURALLAR!$B$13:$B$23,MATCH($B107,KURALLAR!$A$13:$A$23,0)),0)</f>
        <v>8</v>
      </c>
      <c r="N107" s="5">
        <f t="shared" si="24"/>
        <v>64</v>
      </c>
    </row>
    <row r="108" spans="1:14" x14ac:dyDescent="0.25">
      <c r="A108" s="3" t="s">
        <v>88</v>
      </c>
      <c r="B108" s="3" t="s">
        <v>30</v>
      </c>
      <c r="C108" s="3" t="s">
        <v>31</v>
      </c>
      <c r="D108" s="3" t="str">
        <f>IFERROR(INDEX(FIYAT!$D$2:$D$32,MATCH($C108,FIYAT!$C$2:$C$32,0)),"АРТИКУЛ НЕ В FIYAT")</f>
        <v>Реле контроля фаз CM-PFE, 3x208-440В AC, 1 перекл. контакт</v>
      </c>
      <c r="E108" s="4">
        <f>IFERROR(INDEX(FIYAT!$I$2:$I$32,MATCH($C108,FIYAT!$C$2:$C$32,0)),"")</f>
        <v>73132.566000000006</v>
      </c>
      <c r="F108" s="4">
        <f>IFERROR(INDEX(FIYAT!$J$2:$J$32,MATCH($C108,FIYAT!$C$2:$C$32,0)),"")</f>
        <v>73132.566000000006</v>
      </c>
      <c r="G108" s="4">
        <f t="shared" si="23"/>
        <v>73132.566000000006</v>
      </c>
      <c r="H108" s="3">
        <v>1</v>
      </c>
      <c r="I108" s="3" t="str">
        <f>IFERROR(INDEX(FIYAT!$K$2:$K$32,MATCH($C108,FIYAT!$C$2:$C$32,0)),"")</f>
        <v>шт</v>
      </c>
      <c r="J108" s="3" t="str">
        <f>IFERROR(INDEX(FIYAT!$L$2:$L$32,MATCH($C108,FIYAT!$C$2:$C$32,0)),"")</f>
        <v>abb</v>
      </c>
      <c r="K108" s="3" t="s">
        <v>16</v>
      </c>
      <c r="L108" s="3" t="s">
        <v>32</v>
      </c>
      <c r="M108" s="5">
        <f>IFERROR(INDEX(KURALLAR!$B$13:$B$23,MATCH($B108,KURALLAR!$A$13:$A$23,0)),0)</f>
        <v>21.8</v>
      </c>
      <c r="N108" s="5">
        <f t="shared" si="24"/>
        <v>21.8</v>
      </c>
    </row>
    <row r="109" spans="1:14" x14ac:dyDescent="0.25">
      <c r="A109" s="3" t="s">
        <v>88</v>
      </c>
      <c r="B109" s="3" t="s">
        <v>33</v>
      </c>
      <c r="C109" s="3" t="s">
        <v>34</v>
      </c>
      <c r="D109" s="3" t="str">
        <f>IFERROR(INDEX(FIYAT!$D$2:$D$32,MATCH($C109,FIYAT!$C$2:$C$32,0)),"АРТИКУЛ НЕ В FIYAT")</f>
        <v>Держатель плавких вставок E 93/32, 3P, 10.3x38</v>
      </c>
      <c r="E109" s="4">
        <f>IFERROR(INDEX(FIYAT!$I$2:$I$32,MATCH($C109,FIYAT!$C$2:$C$32,0)),"")</f>
        <v>12693.651100000001</v>
      </c>
      <c r="F109" s="4">
        <f>IFERROR(INDEX(FIYAT!$J$2:$J$32,MATCH($C109,FIYAT!$C$2:$C$32,0)),"")</f>
        <v>12693.651100000001</v>
      </c>
      <c r="G109" s="4">
        <f t="shared" si="23"/>
        <v>12693.651100000001</v>
      </c>
      <c r="H109" s="3">
        <v>1</v>
      </c>
      <c r="I109" s="3" t="str">
        <f>IFERROR(INDEX(FIYAT!$K$2:$K$32,MATCH($C109,FIYAT!$C$2:$C$32,0)),"")</f>
        <v>шт</v>
      </c>
      <c r="J109" s="3" t="str">
        <f>IFERROR(INDEX(FIYAT!$L$2:$L$32,MATCH($C109,FIYAT!$C$2:$C$32,0)),"")</f>
        <v>abb</v>
      </c>
      <c r="K109" s="3" t="s">
        <v>16</v>
      </c>
      <c r="L109" s="3" t="s">
        <v>35</v>
      </c>
      <c r="M109" s="5">
        <f>IFERROR(INDEX(KURALLAR!$B$13:$B$23,MATCH($B109,KURALLAR!$A$13:$A$23,0)),0)</f>
        <v>4</v>
      </c>
      <c r="N109" s="5">
        <f t="shared" si="24"/>
        <v>4</v>
      </c>
    </row>
    <row r="110" spans="1:14" x14ac:dyDescent="0.25">
      <c r="A110" s="3" t="s">
        <v>88</v>
      </c>
      <c r="B110" s="3" t="s">
        <v>36</v>
      </c>
      <c r="C110" s="3" t="s">
        <v>37</v>
      </c>
      <c r="D110" s="3" t="str">
        <f>IFERROR(INDEX(FIYAT!$D$2:$D$32,MATCH($C110,FIYAT!$C$2:$C$32,0)),"АРТИКУЛ НЕ В FIYAT")</f>
        <v>Плавкая вставка E 9F10 GG6, 10.3x38, 6А gG</v>
      </c>
      <c r="E110" s="4">
        <f>IFERROR(INDEX(FIYAT!$I$2:$I$32,MATCH($C110,FIYAT!$C$2:$C$32,0)),"")</f>
        <v>1943.0619000000002</v>
      </c>
      <c r="F110" s="4">
        <f>IFERROR(INDEX(FIYAT!$J$2:$J$32,MATCH($C110,FIYAT!$C$2:$C$32,0)),"")</f>
        <v>1943.0619000000002</v>
      </c>
      <c r="G110" s="4">
        <f t="shared" si="23"/>
        <v>5829.1857</v>
      </c>
      <c r="H110" s="3">
        <v>3</v>
      </c>
      <c r="I110" s="3" t="str">
        <f>IFERROR(INDEX(FIYAT!$K$2:$K$32,MATCH($C110,FIYAT!$C$2:$C$32,0)),"")</f>
        <v>шт</v>
      </c>
      <c r="J110" s="3" t="str">
        <f>IFERROR(INDEX(FIYAT!$L$2:$L$32,MATCH($C110,FIYAT!$C$2:$C$32,0)),"")</f>
        <v>abb</v>
      </c>
      <c r="K110" s="3" t="s">
        <v>16</v>
      </c>
      <c r="L110" s="3" t="s">
        <v>38</v>
      </c>
      <c r="M110" s="5">
        <f>IFERROR(INDEX(KURALLAR!$B$13:$B$23,MATCH($B110,KURALLAR!$A$13:$A$23,0)),0)</f>
        <v>0</v>
      </c>
      <c r="N110" s="5">
        <f t="shared" si="24"/>
        <v>0</v>
      </c>
    </row>
    <row r="111" spans="1:14" x14ac:dyDescent="0.25">
      <c r="A111" s="3" t="s">
        <v>88</v>
      </c>
      <c r="B111" s="3" t="s">
        <v>30</v>
      </c>
      <c r="C111" s="3" t="s">
        <v>39</v>
      </c>
      <c r="D111" s="3" t="str">
        <f>IFERROR(INDEX(FIYAT!$D$2:$D$32,MATCH($C111,FIYAT!$C$2:$C$32,0)),"АРТИКУЛ НЕ В FIYAT")</f>
        <v>Реле CR-M230AC4, 4 перекл., катушка 230В AC</v>
      </c>
      <c r="E111" s="4">
        <f>IFERROR(INDEX(FIYAT!$I$2:$I$32,MATCH($C111,FIYAT!$C$2:$C$32,0)),"")</f>
        <v>6543.1716999999999</v>
      </c>
      <c r="F111" s="4">
        <f>IFERROR(INDEX(FIYAT!$J$2:$J$32,MATCH($C111,FIYAT!$C$2:$C$32,0)),"")</f>
        <v>6543.1716999999999</v>
      </c>
      <c r="G111" s="4">
        <f t="shared" si="23"/>
        <v>98147.575499999992</v>
      </c>
      <c r="H111" s="3">
        <v>15</v>
      </c>
      <c r="I111" s="3" t="str">
        <f>IFERROR(INDEX(FIYAT!$K$2:$K$32,MATCH($C111,FIYAT!$C$2:$C$32,0)),"")</f>
        <v>шт</v>
      </c>
      <c r="J111" s="3" t="str">
        <f>IFERROR(INDEX(FIYAT!$L$2:$L$32,MATCH($C111,FIYAT!$C$2:$C$32,0)),"")</f>
        <v>abb</v>
      </c>
      <c r="K111" s="3" t="s">
        <v>16</v>
      </c>
      <c r="L111" s="3" t="s">
        <v>40</v>
      </c>
      <c r="M111" s="5">
        <f>IFERROR(INDEX(KURALLAR!$B$13:$B$23,MATCH($B111,KURALLAR!$A$13:$A$23,0)),0)</f>
        <v>21.8</v>
      </c>
      <c r="N111" s="5">
        <f t="shared" si="24"/>
        <v>327</v>
      </c>
    </row>
    <row r="112" spans="1:14" s="21" customFormat="1" x14ac:dyDescent="0.25">
      <c r="A112" s="3" t="s">
        <v>88</v>
      </c>
      <c r="B112" s="20" t="s">
        <v>278</v>
      </c>
      <c r="C112" s="19" t="s">
        <v>277</v>
      </c>
      <c r="D112" s="21" t="s">
        <v>280</v>
      </c>
      <c r="E112" s="22">
        <v>4334.915</v>
      </c>
      <c r="F112" s="22">
        <v>4334.915</v>
      </c>
      <c r="G112" s="22">
        <f t="shared" si="23"/>
        <v>65023.724999999999</v>
      </c>
      <c r="H112" s="19">
        <v>15</v>
      </c>
      <c r="I112" s="20" t="s">
        <v>72</v>
      </c>
      <c r="J112" s="20" t="s">
        <v>113</v>
      </c>
      <c r="K112" s="19" t="s">
        <v>16</v>
      </c>
      <c r="L112" s="19" t="s">
        <v>40</v>
      </c>
      <c r="M112" s="23">
        <f>IFERROR(INDEX(KURALLAR!$B$13:$B$23,MATCH($B112,KURALLAR!$A$13:$A$23,0)),0)</f>
        <v>0</v>
      </c>
      <c r="N112" s="23">
        <f t="shared" si="24"/>
        <v>0</v>
      </c>
    </row>
    <row r="113" spans="1:14" x14ac:dyDescent="0.25">
      <c r="A113" s="3" t="s">
        <v>88</v>
      </c>
      <c r="B113" s="3" t="s">
        <v>20</v>
      </c>
      <c r="C113" s="3" t="s">
        <v>41</v>
      </c>
      <c r="D113" s="3" t="str">
        <f>IFERROR(INDEX(FIYAT!$D$2:$D$32,MATCH($C113,FIYAT!$C$2:$C$32,0)),"АРТИКУЛ НЕ В FIYAT")</f>
        <v>Авт. выкл. S 202-C 10, 2P, 10А, х-ка C</v>
      </c>
      <c r="E113" s="4">
        <f>IFERROR(INDEX(FIYAT!$I$2:$I$32,MATCH($C113,FIYAT!$C$2:$C$32,0)),"")</f>
        <v>19241.922699999999</v>
      </c>
      <c r="F113" s="4">
        <f>IFERROR(INDEX(FIYAT!$J$2:$J$32,MATCH($C113,FIYAT!$C$2:$C$32,0)),"")</f>
        <v>19241.922699999999</v>
      </c>
      <c r="G113" s="4">
        <f t="shared" si="23"/>
        <v>38483.845399999998</v>
      </c>
      <c r="H113" s="3">
        <v>2</v>
      </c>
      <c r="I113" s="3" t="str">
        <f>IFERROR(INDEX(FIYAT!$K$2:$K$32,MATCH($C113,FIYAT!$C$2:$C$32,0)),"")</f>
        <v>шт</v>
      </c>
      <c r="J113" s="3" t="str">
        <f>IFERROR(INDEX(FIYAT!$L$2:$L$32,MATCH($C113,FIYAT!$C$2:$C$32,0)),"")</f>
        <v>abb</v>
      </c>
      <c r="K113" s="3" t="s">
        <v>16</v>
      </c>
      <c r="L113" s="3" t="s">
        <v>42</v>
      </c>
      <c r="M113" s="5">
        <f>IFERROR(INDEX(KURALLAR!$B$13:$B$23,MATCH($B113,KURALLAR!$A$13:$A$23,0)),0)</f>
        <v>4</v>
      </c>
      <c r="N113" s="5">
        <f t="shared" si="24"/>
        <v>8</v>
      </c>
    </row>
    <row r="114" spans="1:14" x14ac:dyDescent="0.25">
      <c r="A114" s="3" t="s">
        <v>88</v>
      </c>
      <c r="B114" s="3" t="s">
        <v>43</v>
      </c>
      <c r="C114" s="3" t="s">
        <v>44</v>
      </c>
      <c r="D114" s="3" t="str">
        <f>IFERROR(INDEX(FIYAT!$D$2:$D$32,MATCH($C114,FIYAT!$C$2:$C$32,0)),"АРТИКУЛ НЕ В FIYAT")</f>
        <v>Кнопка CP1-10B-10, чёрная, 1НО, без фиксации</v>
      </c>
      <c r="E114" s="4">
        <f>IFERROR(INDEX(FIYAT!$I$2:$I$32,MATCH($C114,FIYAT!$C$2:$C$32,0)),"")</f>
        <v>3187.4375</v>
      </c>
      <c r="F114" s="4">
        <f>IFERROR(INDEX(FIYAT!$J$2:$J$32,MATCH($C114,FIYAT!$C$2:$C$32,0)),"")</f>
        <v>3187.4375</v>
      </c>
      <c r="G114" s="4">
        <f t="shared" si="23"/>
        <v>3187.4375</v>
      </c>
      <c r="H114" s="3">
        <v>1</v>
      </c>
      <c r="I114" s="3" t="str">
        <f>IFERROR(INDEX(FIYAT!$K$2:$K$32,MATCH($C114,FIYAT!$C$2:$C$32,0)),"")</f>
        <v>шт</v>
      </c>
      <c r="J114" s="3" t="str">
        <f>IFERROR(INDEX(FIYAT!$L$2:$L$32,MATCH($C114,FIYAT!$C$2:$C$32,0)),"")</f>
        <v>abb</v>
      </c>
      <c r="K114" s="3" t="s">
        <v>16</v>
      </c>
      <c r="L114" s="3" t="s">
        <v>45</v>
      </c>
      <c r="M114" s="5">
        <f>IFERROR(INDEX(KURALLAR!$B$13:$B$23,MATCH($B114,KURALLAR!$A$13:$A$23,0)),0)</f>
        <v>8</v>
      </c>
      <c r="N114" s="5">
        <f t="shared" si="24"/>
        <v>8</v>
      </c>
    </row>
    <row r="115" spans="1:14" x14ac:dyDescent="0.25">
      <c r="A115" s="3" t="s">
        <v>88</v>
      </c>
      <c r="B115" s="3" t="s">
        <v>46</v>
      </c>
      <c r="C115" s="3" t="s">
        <v>47</v>
      </c>
      <c r="D115" s="3" t="str">
        <f>IFERROR(INDEX(FIYAT!$D$2:$D$32,MATCH($C115,FIYAT!$C$2:$C$32,0)),"АРТИКУЛ НЕ В FIYAT")</f>
        <v>Автомат защиты двигателя MS116-2.5 (1.6-2.5А)</v>
      </c>
      <c r="E115" s="4">
        <f>IFERROR(INDEX(FIYAT!$I$2:$I$32,MATCH($C115,FIYAT!$C$2:$C$32,0)),"")</f>
        <v>31889.6747</v>
      </c>
      <c r="F115" s="4">
        <f>IFERROR(INDEX(FIYAT!$J$2:$J$32,MATCH($C115,FIYAT!$C$2:$C$32,0)),"")</f>
        <v>31889.6747</v>
      </c>
      <c r="G115" s="4">
        <f t="shared" si="23"/>
        <v>159448.37349999999</v>
      </c>
      <c r="H115" s="3">
        <v>5</v>
      </c>
      <c r="I115" s="3" t="str">
        <f>IFERROR(INDEX(FIYAT!$K$2:$K$32,MATCH($C115,FIYAT!$C$2:$C$32,0)),"")</f>
        <v>шт</v>
      </c>
      <c r="J115" s="3" t="str">
        <f>IFERROR(INDEX(FIYAT!$L$2:$L$32,MATCH($C115,FIYAT!$C$2:$C$32,0)),"")</f>
        <v>abb</v>
      </c>
      <c r="K115" s="3" t="s">
        <v>16</v>
      </c>
      <c r="L115" s="3" t="s">
        <v>48</v>
      </c>
      <c r="M115" s="5">
        <f>IFERROR(INDEX(KURALLAR!$B$13:$B$23,MATCH($B115,KURALLAR!$A$13:$A$23,0)),0)</f>
        <v>2</v>
      </c>
      <c r="N115" s="5">
        <f t="shared" si="24"/>
        <v>10</v>
      </c>
    </row>
    <row r="116" spans="1:14" x14ac:dyDescent="0.25">
      <c r="A116" s="3" t="s">
        <v>88</v>
      </c>
      <c r="B116" s="3" t="s">
        <v>46</v>
      </c>
      <c r="C116" s="3" t="s">
        <v>77</v>
      </c>
      <c r="D116" s="3" t="str">
        <f>IFERROR(INDEX(FIYAT!$D$2:$D$32,MATCH($C116,FIYAT!$C$2:$C$32,0)),"АРТИКУЛ НЕ В FIYAT")</f>
        <v>Автомат защиты двигателя MS116-10 (6.3-10А)</v>
      </c>
      <c r="E116" s="4">
        <f>IFERROR(INDEX(FIYAT!$I$2:$I$32,MATCH($C116,FIYAT!$C$2:$C$32,0)),"")</f>
        <v>34256.028299999998</v>
      </c>
      <c r="F116" s="4">
        <f>IFERROR(INDEX(FIYAT!$J$2:$J$32,MATCH($C116,FIYAT!$C$2:$C$32,0)),"")</f>
        <v>34256.028299999998</v>
      </c>
      <c r="G116" s="4">
        <f t="shared" si="23"/>
        <v>68512.056599999996</v>
      </c>
      <c r="H116" s="3">
        <v>2</v>
      </c>
      <c r="I116" s="3" t="str">
        <f>IFERROR(INDEX(FIYAT!$K$2:$K$32,MATCH($C116,FIYAT!$C$2:$C$32,0)),"")</f>
        <v>шт</v>
      </c>
      <c r="J116" s="3" t="str">
        <f>IFERROR(INDEX(FIYAT!$L$2:$L$32,MATCH($C116,FIYAT!$C$2:$C$32,0)),"")</f>
        <v>abb</v>
      </c>
      <c r="K116" s="3" t="s">
        <v>16</v>
      </c>
      <c r="L116" s="3" t="s">
        <v>78</v>
      </c>
      <c r="M116" s="5">
        <f>IFERROR(INDEX(KURALLAR!$B$13:$B$23,MATCH($B116,KURALLAR!$A$13:$A$23,0)),0)</f>
        <v>2</v>
      </c>
      <c r="N116" s="5">
        <f t="shared" si="24"/>
        <v>4</v>
      </c>
    </row>
    <row r="117" spans="1:14" x14ac:dyDescent="0.25">
      <c r="A117" s="3" t="s">
        <v>88</v>
      </c>
      <c r="B117" s="3" t="s">
        <v>51</v>
      </c>
      <c r="C117" s="3" t="s">
        <v>52</v>
      </c>
      <c r="D117" s="3" t="str">
        <f>IFERROR(INDEX(FIYAT!$D$2:$D$32,MATCH($C117,FIYAT!$C$2:$C$32,0)),"АРТИКУЛ НЕ В FIYAT")</f>
        <v>Контактор AF09-30-10, 3P, 9А AC3, 1НО, катушка 100-250В AC/DC</v>
      </c>
      <c r="E117" s="4">
        <f>IFERROR(INDEX(FIYAT!$I$2:$I$32,MATCH($C117,FIYAT!$C$2:$C$32,0)),"")</f>
        <v>19333.7209</v>
      </c>
      <c r="F117" s="4">
        <f>IFERROR(INDEX(FIYAT!$J$2:$J$32,MATCH($C117,FIYAT!$C$2:$C$32,0)),"")</f>
        <v>19333.7209</v>
      </c>
      <c r="G117" s="4">
        <f t="shared" si="23"/>
        <v>96668.604500000001</v>
      </c>
      <c r="H117" s="3">
        <v>5</v>
      </c>
      <c r="I117" s="3" t="str">
        <f>IFERROR(INDEX(FIYAT!$K$2:$K$32,MATCH($C117,FIYAT!$C$2:$C$32,0)),"")</f>
        <v>шт</v>
      </c>
      <c r="J117" s="3" t="str">
        <f>IFERROR(INDEX(FIYAT!$L$2:$L$32,MATCH($C117,FIYAT!$C$2:$C$32,0)),"")</f>
        <v>abb</v>
      </c>
      <c r="K117" s="3" t="s">
        <v>16</v>
      </c>
      <c r="L117" s="3" t="s">
        <v>53</v>
      </c>
      <c r="M117" s="5">
        <f>IFERROR(INDEX(KURALLAR!$B$13:$B$23,MATCH($B117,KURALLAR!$A$13:$A$23,0)),0)</f>
        <v>5.9</v>
      </c>
      <c r="N117" s="5">
        <f t="shared" si="24"/>
        <v>29.5</v>
      </c>
    </row>
    <row r="118" spans="1:14" x14ac:dyDescent="0.25">
      <c r="A118" s="3" t="s">
        <v>88</v>
      </c>
      <c r="B118" s="3" t="s">
        <v>51</v>
      </c>
      <c r="C118" s="3" t="s">
        <v>82</v>
      </c>
      <c r="D118" s="3" t="str">
        <f>IFERROR(INDEX(FIYAT!$D$2:$D$32,MATCH($C118,FIYAT!$C$2:$C$32,0)),"АРТИКУЛ НЕ В FIYAT")</f>
        <v>Контактор AF12-30-10, 3P, 12А AC3, 1НО, катушка 100-250В AC/DC</v>
      </c>
      <c r="E118" s="4">
        <f>IFERROR(INDEX(FIYAT!$I$2:$I$32,MATCH($C118,FIYAT!$C$2:$C$32,0)),"")</f>
        <v>20216.0036</v>
      </c>
      <c r="F118" s="4">
        <f>IFERROR(INDEX(FIYAT!$J$2:$J$32,MATCH($C118,FIYAT!$C$2:$C$32,0)),"")</f>
        <v>20216.0036</v>
      </c>
      <c r="G118" s="4">
        <f t="shared" si="23"/>
        <v>40432.0072</v>
      </c>
      <c r="H118" s="3">
        <v>2</v>
      </c>
      <c r="I118" s="3" t="str">
        <f>IFERROR(INDEX(FIYAT!$K$2:$K$32,MATCH($C118,FIYAT!$C$2:$C$32,0)),"")</f>
        <v>шт</v>
      </c>
      <c r="J118" s="3" t="str">
        <f>IFERROR(INDEX(FIYAT!$L$2:$L$32,MATCH($C118,FIYAT!$C$2:$C$32,0)),"")</f>
        <v>abb</v>
      </c>
      <c r="K118" s="3" t="s">
        <v>16</v>
      </c>
      <c r="L118" s="3" t="s">
        <v>83</v>
      </c>
      <c r="M118" s="5">
        <f>IFERROR(INDEX(KURALLAR!$B$13:$B$23,MATCH($B118,KURALLAR!$A$13:$A$23,0)),0)</f>
        <v>5.9</v>
      </c>
      <c r="N118" s="5">
        <f t="shared" si="24"/>
        <v>11.8</v>
      </c>
    </row>
    <row r="119" spans="1:14" x14ac:dyDescent="0.25">
      <c r="A119" s="3" t="s">
        <v>88</v>
      </c>
      <c r="B119" s="3" t="s">
        <v>54</v>
      </c>
      <c r="C119" s="3" t="s">
        <v>55</v>
      </c>
      <c r="D119" s="3" t="str">
        <f>IFERROR(INDEX(FIYAT!$D$2:$D$32,MATCH($C119,FIYAT!$C$2:$C$32,0)),"АРТИКУЛ НЕ В FIYAT")</f>
        <v>Блок доп. контактов боковой CAL4-11 (1НО+1НЗ) для AF09...AF96</v>
      </c>
      <c r="E119" s="4">
        <f>IFERROR(INDEX(FIYAT!$I$2:$I$32,MATCH($C119,FIYAT!$C$2:$C$32,0)),"")</f>
        <v>6201.4784</v>
      </c>
      <c r="F119" s="4">
        <f>IFERROR(INDEX(FIYAT!$J$2:$J$32,MATCH($C119,FIYAT!$C$2:$C$32,0)),"")</f>
        <v>6201.4784</v>
      </c>
      <c r="G119" s="4">
        <f t="shared" si="23"/>
        <v>43410.3488</v>
      </c>
      <c r="H119" s="3">
        <v>7</v>
      </c>
      <c r="I119" s="3" t="str">
        <f>IFERROR(INDEX(FIYAT!$K$2:$K$32,MATCH($C119,FIYAT!$C$2:$C$32,0)),"")</f>
        <v>шт</v>
      </c>
      <c r="J119" s="3" t="str">
        <f>IFERROR(INDEX(FIYAT!$L$2:$L$32,MATCH($C119,FIYAT!$C$2:$C$32,0)),"")</f>
        <v>abb</v>
      </c>
      <c r="K119" s="3" t="s">
        <v>16</v>
      </c>
      <c r="L119" s="3" t="s">
        <v>56</v>
      </c>
      <c r="M119" s="5">
        <f>IFERROR(INDEX(KURALLAR!$B$13:$B$23,MATCH($B119,KURALLAR!$A$13:$A$23,0)),0)</f>
        <v>2</v>
      </c>
      <c r="N119" s="5">
        <f t="shared" si="24"/>
        <v>14</v>
      </c>
    </row>
    <row r="120" spans="1:14" x14ac:dyDescent="0.25">
      <c r="A120" s="3" t="s">
        <v>88</v>
      </c>
      <c r="B120" s="3" t="s">
        <v>54</v>
      </c>
      <c r="C120" s="3" t="s">
        <v>57</v>
      </c>
      <c r="D120" s="3" t="str">
        <f>IFERROR(INDEX(FIYAT!$D$2:$D$32,MATCH($C120,FIYAT!$C$2:$C$32,0)),"АРТИКУЛ НЕ В FIYAT")</f>
        <v>Блок доп. контактов HKF1-11 (1НО+1НЗ), верхний, для MS116</v>
      </c>
      <c r="E120" s="4">
        <f>IFERROR(INDEX(FIYAT!$I$2:$I$32,MATCH($C120,FIYAT!$C$2:$C$32,0)),"")</f>
        <v>4793.9059999999999</v>
      </c>
      <c r="F120" s="4">
        <f>IFERROR(INDEX(FIYAT!$J$2:$J$32,MATCH($C120,FIYAT!$C$2:$C$32,0)),"")</f>
        <v>4793.9059999999999</v>
      </c>
      <c r="G120" s="4">
        <f t="shared" si="23"/>
        <v>33557.341999999997</v>
      </c>
      <c r="H120" s="3">
        <v>7</v>
      </c>
      <c r="I120" s="3" t="str">
        <f>IFERROR(INDEX(FIYAT!$K$2:$K$32,MATCH($C120,FIYAT!$C$2:$C$32,0)),"")</f>
        <v>шт</v>
      </c>
      <c r="J120" s="3" t="str">
        <f>IFERROR(INDEX(FIYAT!$L$2:$L$32,MATCH($C120,FIYAT!$C$2:$C$32,0)),"")</f>
        <v>abb</v>
      </c>
      <c r="K120" s="3" t="s">
        <v>16</v>
      </c>
      <c r="L120" s="3" t="s">
        <v>58</v>
      </c>
      <c r="M120" s="5">
        <f>IFERROR(INDEX(KURALLAR!$B$13:$B$23,MATCH($B120,KURALLAR!$A$13:$A$23,0)),0)</f>
        <v>2</v>
      </c>
      <c r="N120" s="5">
        <f t="shared" si="24"/>
        <v>14</v>
      </c>
    </row>
    <row r="121" spans="1:14" x14ac:dyDescent="0.25">
      <c r="A121" s="3" t="s">
        <v>88</v>
      </c>
      <c r="B121" s="3" t="s">
        <v>54</v>
      </c>
      <c r="C121" s="3" t="s">
        <v>59</v>
      </c>
      <c r="D121" s="3" t="str">
        <f>IFERROR(INDEX(FIYAT!$D$2:$D$32,MATCH($C121,FIYAT!$C$2:$C$32,0)),"АРТИКУЛ НЕ В FIYAT")</f>
        <v>Контакт сигнализации SK1-11 (1НО+1НЗ), боковой, для MS116</v>
      </c>
      <c r="E121" s="4">
        <f>IFERROR(INDEX(FIYAT!$I$2:$I$32,MATCH($C121,FIYAT!$C$2:$C$32,0)),"")</f>
        <v>9766.3084999999992</v>
      </c>
      <c r="F121" s="4">
        <f>IFERROR(INDEX(FIYAT!$J$2:$J$32,MATCH($C121,FIYAT!$C$2:$C$32,0)),"")</f>
        <v>9766.3084999999992</v>
      </c>
      <c r="G121" s="4">
        <f t="shared" si="23"/>
        <v>68364.159499999994</v>
      </c>
      <c r="H121" s="3">
        <v>7</v>
      </c>
      <c r="I121" s="3" t="str">
        <f>IFERROR(INDEX(FIYAT!$K$2:$K$32,MATCH($C121,FIYAT!$C$2:$C$32,0)),"")</f>
        <v>шт</v>
      </c>
      <c r="J121" s="3" t="str">
        <f>IFERROR(INDEX(FIYAT!$L$2:$L$32,MATCH($C121,FIYAT!$C$2:$C$32,0)),"")</f>
        <v>abb</v>
      </c>
      <c r="K121" s="3" t="s">
        <v>16</v>
      </c>
      <c r="L121" s="3" t="s">
        <v>58</v>
      </c>
      <c r="M121" s="5">
        <f>IFERROR(INDEX(KURALLAR!$B$13:$B$23,MATCH($B121,KURALLAR!$A$13:$A$23,0)),0)</f>
        <v>2</v>
      </c>
      <c r="N121" s="5">
        <f t="shared" si="24"/>
        <v>14</v>
      </c>
    </row>
    <row r="122" spans="1:14" x14ac:dyDescent="0.25">
      <c r="A122" s="3" t="s">
        <v>88</v>
      </c>
      <c r="B122" s="3" t="s">
        <v>60</v>
      </c>
      <c r="C122" s="3" t="s">
        <v>61</v>
      </c>
      <c r="D122" s="3" t="str">
        <f>IFERROR(INDEX(FIYAT!$D$2:$D$32,MATCH($C122,FIYAT!$C$2:$C$32,0)),"АРТИКУЛ НЕ В FIYAT")</f>
        <v>Корпус MCBH5-00 для головок и блоков (5 блоков в ряд)</v>
      </c>
      <c r="E122" s="4">
        <f>IFERROR(INDEX(FIYAT!$I$2:$I$32,MATCH($C122,FIYAT!$C$2:$C$32,0)),"")</f>
        <v>647.68730000000005</v>
      </c>
      <c r="F122" s="4">
        <f>IFERROR(INDEX(FIYAT!$J$2:$J$32,MATCH($C122,FIYAT!$C$2:$C$32,0)),"")</f>
        <v>647.68730000000005</v>
      </c>
      <c r="G122" s="4">
        <f t="shared" si="23"/>
        <v>4533.8111000000008</v>
      </c>
      <c r="H122" s="3">
        <v>7</v>
      </c>
      <c r="I122" s="3" t="str">
        <f>IFERROR(INDEX(FIYAT!$K$2:$K$32,MATCH($C122,FIYAT!$C$2:$C$32,0)),"")</f>
        <v>шт</v>
      </c>
      <c r="J122" s="3" t="str">
        <f>IFERROR(INDEX(FIYAT!$L$2:$L$32,MATCH($C122,FIYAT!$C$2:$C$32,0)),"")</f>
        <v>abb</v>
      </c>
      <c r="K122" s="3" t="s">
        <v>16</v>
      </c>
      <c r="L122" s="3" t="s">
        <v>62</v>
      </c>
      <c r="M122" s="5">
        <f>IFERROR(INDEX(KURALLAR!$B$13:$B$23,MATCH($B122,KURALLAR!$A$13:$A$23,0)),0)</f>
        <v>21.8</v>
      </c>
      <c r="N122" s="5">
        <f t="shared" si="24"/>
        <v>152.6</v>
      </c>
    </row>
    <row r="123" spans="1:14" x14ac:dyDescent="0.25">
      <c r="A123" s="3" t="s">
        <v>88</v>
      </c>
      <c r="B123" s="3" t="s">
        <v>54</v>
      </c>
      <c r="C123" s="3" t="s">
        <v>63</v>
      </c>
      <c r="D123" s="3" t="str">
        <f>IFERROR(INDEX(FIYAT!$D$2:$D$32,MATCH($C123,FIYAT!$C$2:$C$32,0)),"АРТИКУЛ НЕ В FIYAT")</f>
        <v>Блок контактов MCB-10, 1НО</v>
      </c>
      <c r="E123" s="4">
        <f>IFERROR(INDEX(FIYAT!$I$2:$I$32,MATCH($C123,FIYAT!$C$2:$C$32,0)),"")</f>
        <v>2345.9539999999997</v>
      </c>
      <c r="F123" s="4">
        <f>IFERROR(INDEX(FIYAT!$J$2:$J$32,MATCH($C123,FIYAT!$C$2:$C$32,0)),"")</f>
        <v>2345.9539999999997</v>
      </c>
      <c r="G123" s="4">
        <f t="shared" si="23"/>
        <v>16421.678</v>
      </c>
      <c r="H123" s="3">
        <v>7</v>
      </c>
      <c r="I123" s="3" t="str">
        <f>IFERROR(INDEX(FIYAT!$K$2:$K$32,MATCH($C123,FIYAT!$C$2:$C$32,0)),"")</f>
        <v>шт</v>
      </c>
      <c r="J123" s="3" t="str">
        <f>IFERROR(INDEX(FIYAT!$L$2:$L$32,MATCH($C123,FIYAT!$C$2:$C$32,0)),"")</f>
        <v>abb</v>
      </c>
      <c r="K123" s="3" t="s">
        <v>16</v>
      </c>
      <c r="L123" s="3" t="s">
        <v>64</v>
      </c>
      <c r="M123" s="5">
        <f>IFERROR(INDEX(KURALLAR!$B$13:$B$23,MATCH($B123,KURALLAR!$A$13:$A$23,0)),0)</f>
        <v>2</v>
      </c>
      <c r="N123" s="5">
        <f t="shared" si="24"/>
        <v>14</v>
      </c>
    </row>
    <row r="124" spans="1:14" s="21" customFormat="1" x14ac:dyDescent="0.25">
      <c r="A124" s="3" t="s">
        <v>88</v>
      </c>
      <c r="B124" s="19" t="s">
        <v>54</v>
      </c>
      <c r="C124" s="21" t="s">
        <v>285</v>
      </c>
      <c r="D124" s="20" t="s">
        <v>286</v>
      </c>
      <c r="E124" s="22">
        <v>3059</v>
      </c>
      <c r="F124" s="22">
        <v>3059</v>
      </c>
      <c r="G124" s="22">
        <f t="shared" si="23"/>
        <v>21413</v>
      </c>
      <c r="H124" s="19">
        <v>7</v>
      </c>
      <c r="I124" s="20" t="s">
        <v>72</v>
      </c>
      <c r="J124" s="20" t="s">
        <v>288</v>
      </c>
      <c r="K124" s="19" t="s">
        <v>16</v>
      </c>
      <c r="L124" s="19" t="s">
        <v>64</v>
      </c>
      <c r="M124" s="23">
        <f>IFERROR(INDEX(KURALLAR!$B$13:$B$23,MATCH($B124,KURALLAR!$A$13:$A$23,0)),0)</f>
        <v>2</v>
      </c>
      <c r="N124" s="23">
        <f t="shared" si="24"/>
        <v>14</v>
      </c>
    </row>
    <row r="125" spans="1:14" x14ac:dyDescent="0.25">
      <c r="A125" s="3" t="s">
        <v>88</v>
      </c>
      <c r="B125" s="3" t="s">
        <v>30</v>
      </c>
      <c r="C125" s="3" t="s">
        <v>65</v>
      </c>
      <c r="D125" s="3" t="str">
        <f>IFERROR(INDEX(FIYAT!$D$2:$D$32,MATCH($C125,FIYAT!$C$2:$C$32,0)),"АРТИКУЛ НЕ В FIYAT")</f>
        <v>Реле CR-P024AC2, 2 перекл., 8А, катушка 24В AC</v>
      </c>
      <c r="E125" s="4">
        <f>IFERROR(INDEX(FIYAT!$I$2:$I$32,MATCH($C125,FIYAT!$C$2:$C$32,0)),"")</f>
        <v>4334.915</v>
      </c>
      <c r="F125" s="4">
        <f>IFERROR(INDEX(FIYAT!$J$2:$J$32,MATCH($C125,FIYAT!$C$2:$C$32,0)),"")</f>
        <v>4334.915</v>
      </c>
      <c r="G125" s="4">
        <f t="shared" si="23"/>
        <v>60688.81</v>
      </c>
      <c r="H125" s="3">
        <v>14</v>
      </c>
      <c r="I125" s="3" t="str">
        <f>IFERROR(INDEX(FIYAT!$K$2:$K$32,MATCH($C125,FIYAT!$C$2:$C$32,0)),"")</f>
        <v>шт</v>
      </c>
      <c r="J125" s="3" t="str">
        <f>IFERROR(INDEX(FIYAT!$L$2:$L$32,MATCH($C125,FIYAT!$C$2:$C$32,0)),"")</f>
        <v>abb</v>
      </c>
      <c r="K125" s="3" t="s">
        <v>16</v>
      </c>
      <c r="L125" s="3" t="s">
        <v>66</v>
      </c>
      <c r="M125" s="5">
        <f>IFERROR(INDEX(KURALLAR!$B$13:$B$23,MATCH($B125,KURALLAR!$A$13:$A$23,0)),0)</f>
        <v>21.8</v>
      </c>
      <c r="N125" s="5">
        <f t="shared" si="24"/>
        <v>305.2</v>
      </c>
    </row>
    <row r="126" spans="1:14" s="21" customFormat="1" x14ac:dyDescent="0.25">
      <c r="A126" s="3" t="s">
        <v>88</v>
      </c>
      <c r="B126" s="20" t="s">
        <v>278</v>
      </c>
      <c r="C126" s="19" t="s">
        <v>291</v>
      </c>
      <c r="D126" s="21" t="s">
        <v>290</v>
      </c>
      <c r="E126" s="22">
        <v>4666.4085000000005</v>
      </c>
      <c r="F126" s="22">
        <v>4666.4085000000005</v>
      </c>
      <c r="G126" s="22">
        <f t="shared" si="23"/>
        <v>65329.719000000005</v>
      </c>
      <c r="H126" s="19">
        <v>14</v>
      </c>
      <c r="I126" s="20" t="s">
        <v>72</v>
      </c>
      <c r="J126" s="20" t="s">
        <v>113</v>
      </c>
      <c r="K126" s="19" t="s">
        <v>16</v>
      </c>
      <c r="L126" s="19" t="s">
        <v>40</v>
      </c>
      <c r="M126" s="23">
        <f>IFERROR(INDEX(KURALLAR!$B$13:$B$23,MATCH($B126,KURALLAR!$A$13:$A$23,0)),0)</f>
        <v>0</v>
      </c>
      <c r="N126" s="23">
        <f t="shared" si="24"/>
        <v>0</v>
      </c>
    </row>
    <row r="127" spans="1:14" s="21" customFormat="1" x14ac:dyDescent="0.25">
      <c r="A127" s="3" t="s">
        <v>88</v>
      </c>
      <c r="B127" s="19" t="s">
        <v>293</v>
      </c>
      <c r="C127" s="19"/>
      <c r="D127" s="20" t="s">
        <v>294</v>
      </c>
      <c r="E127" s="22">
        <v>30000</v>
      </c>
      <c r="F127" s="22">
        <v>30000</v>
      </c>
      <c r="G127" s="22">
        <f t="shared" si="23"/>
        <v>30000</v>
      </c>
      <c r="H127" s="19">
        <v>1</v>
      </c>
      <c r="I127" s="19" t="str">
        <f>IFERROR(INDEX(FIYAT!$K$2:$K$32,MATCH($C127,FIYAT!$C$2:$C$32,0)),"")</f>
        <v/>
      </c>
      <c r="J127" s="20" t="s">
        <v>295</v>
      </c>
      <c r="K127" s="19" t="s">
        <v>16</v>
      </c>
      <c r="L127" s="19" t="s">
        <v>68</v>
      </c>
      <c r="M127" s="23">
        <f>IFERROR(INDEX(KURALLAR!$B$13:$B$23,MATCH($B127,KURALLAR!$A$13:$A$23,0)),0)</f>
        <v>0</v>
      </c>
      <c r="N127" s="23">
        <f t="shared" si="24"/>
        <v>0</v>
      </c>
    </row>
    <row r="128" spans="1:14" s="21" customFormat="1" x14ac:dyDescent="0.25">
      <c r="A128" s="3" t="s">
        <v>88</v>
      </c>
      <c r="B128" s="19" t="s">
        <v>293</v>
      </c>
      <c r="C128" s="19"/>
      <c r="D128" s="19" t="s">
        <v>296</v>
      </c>
      <c r="E128" s="22">
        <v>20000</v>
      </c>
      <c r="F128" s="22">
        <v>20000</v>
      </c>
      <c r="G128" s="22">
        <f t="shared" si="23"/>
        <v>20000</v>
      </c>
      <c r="H128" s="19">
        <v>1</v>
      </c>
      <c r="I128" s="19" t="str">
        <f>IFERROR(INDEX(FIYAT!$K$2:$K$32,MATCH($C128,FIYAT!$C$2:$C$32,0)),"")</f>
        <v/>
      </c>
      <c r="J128" s="20" t="s">
        <v>295</v>
      </c>
      <c r="K128" s="19" t="s">
        <v>16</v>
      </c>
      <c r="L128" s="19" t="s">
        <v>68</v>
      </c>
      <c r="M128" s="23">
        <f>IFERROR(INDEX(KURALLAR!$B$13:$B$23,MATCH($B128,KURALLAR!$A$13:$A$23,0)),0)</f>
        <v>0</v>
      </c>
      <c r="N128" s="23">
        <f t="shared" si="24"/>
        <v>0</v>
      </c>
    </row>
    <row r="129" spans="1:14" x14ac:dyDescent="0.25">
      <c r="A129" s="3" t="s">
        <v>88</v>
      </c>
      <c r="B129" s="3" t="s">
        <v>20</v>
      </c>
      <c r="C129" s="3" t="s">
        <v>84</v>
      </c>
      <c r="D129" s="3" t="str">
        <f>IFERROR(INDEX(FIYAT!$D$2:$D$32,MATCH($C129,FIYAT!$C$2:$C$32,0)),"АРТИКУЛ НЕ В FIYAT")</f>
        <v>Авт. выкл. SH 203-C 16, 3P, 16А, х-ка C, 6кА</v>
      </c>
      <c r="E129" s="4">
        <f>IFERROR(INDEX(FIYAT!$I$2:$I$32,MATCH($C129,FIYAT!$C$2:$C$32,0)),"")</f>
        <v>18573.835800000001</v>
      </c>
      <c r="F129" s="4">
        <f>IFERROR(INDEX(FIYAT!$J$2:$J$32,MATCH($C129,FIYAT!$C$2:$C$32,0)),"")</f>
        <v>18573.835800000001</v>
      </c>
      <c r="G129" s="4">
        <f t="shared" si="23"/>
        <v>204312.19380000001</v>
      </c>
      <c r="H129" s="3">
        <v>11</v>
      </c>
      <c r="I129" s="3" t="str">
        <f>IFERROR(INDEX(FIYAT!$K$2:$K$32,MATCH($C129,FIYAT!$C$2:$C$32,0)),"")</f>
        <v>шт</v>
      </c>
      <c r="J129" s="3" t="str">
        <f>IFERROR(INDEX(FIYAT!$L$2:$L$32,MATCH($C129,FIYAT!$C$2:$C$32,0)),"")</f>
        <v>abb</v>
      </c>
      <c r="K129" s="3" t="s">
        <v>16</v>
      </c>
      <c r="L129" s="3" t="s">
        <v>85</v>
      </c>
      <c r="M129" s="5">
        <f>IFERROR(INDEX(KURALLAR!$B$13:$B$23,MATCH($B129,KURALLAR!$A$13:$A$23,0)),0)</f>
        <v>4</v>
      </c>
      <c r="N129" s="5">
        <f t="shared" si="24"/>
        <v>44</v>
      </c>
    </row>
    <row r="130" spans="1:14" x14ac:dyDescent="0.25">
      <c r="A130" s="3" t="s">
        <v>88</v>
      </c>
      <c r="B130" s="3" t="s">
        <v>20</v>
      </c>
      <c r="C130" s="3" t="s">
        <v>86</v>
      </c>
      <c r="D130" s="3" t="str">
        <f>IFERROR(INDEX(FIYAT!$D$2:$D$32,MATCH($C130,FIYAT!$C$2:$C$32,0)),"АРТИКУЛ НЕ В FIYAT")</f>
        <v>Авт. выкл. SH 203-C 10, 3P, 10А, х-ка C, 6кА</v>
      </c>
      <c r="E130" s="4">
        <f>IFERROR(INDEX(FIYAT!$I$2:$I$32,MATCH($C130,FIYAT!$C$2:$C$32,0)),"")</f>
        <v>18573.835800000001</v>
      </c>
      <c r="F130" s="4">
        <f>IFERROR(INDEX(FIYAT!$J$2:$J$32,MATCH($C130,FIYAT!$C$2:$C$32,0)),"")</f>
        <v>18573.835800000001</v>
      </c>
      <c r="G130" s="4">
        <f t="shared" si="23"/>
        <v>18573.835800000001</v>
      </c>
      <c r="H130" s="3">
        <v>1</v>
      </c>
      <c r="I130" s="3" t="str">
        <f>IFERROR(INDEX(FIYAT!$K$2:$K$32,MATCH($C130,FIYAT!$C$2:$C$32,0)),"")</f>
        <v>шт</v>
      </c>
      <c r="J130" s="3" t="str">
        <f>IFERROR(INDEX(FIYAT!$L$2:$L$32,MATCH($C130,FIYAT!$C$2:$C$32,0)),"")</f>
        <v>abb</v>
      </c>
      <c r="K130" s="3" t="s">
        <v>16</v>
      </c>
      <c r="L130" s="3" t="s">
        <v>87</v>
      </c>
      <c r="M130" s="5">
        <f>IFERROR(INDEX(KURALLAR!$B$13:$B$23,MATCH($B130,KURALLAR!$A$13:$A$23,0)),0)</f>
        <v>4</v>
      </c>
      <c r="N130" s="5">
        <f t="shared" si="24"/>
        <v>4</v>
      </c>
    </row>
    <row r="131" spans="1:14" x14ac:dyDescent="0.25">
      <c r="A131" s="3" t="s">
        <v>88</v>
      </c>
      <c r="B131" s="3" t="s">
        <v>20</v>
      </c>
      <c r="C131" s="3" t="s">
        <v>91</v>
      </c>
      <c r="D131" s="3" t="str">
        <f>IFERROR(INDEX(FIYAT!$D$2:$D$32,MATCH($C131,FIYAT!$C$2:$C$32,0)),"АРТИКУЛ НЕ В FIYAT")</f>
        <v>Авт. выкл. SH 203-C 32, 3P, 32А, х-ка C, 6кА</v>
      </c>
      <c r="E131" s="4">
        <f>IFERROR(INDEX(FIYAT!$I$2:$I$32,MATCH($C131,FIYAT!$C$2:$C$32,0)),"")</f>
        <v>23224.944599999999</v>
      </c>
      <c r="F131" s="4">
        <f>IFERROR(INDEX(FIYAT!$J$2:$J$32,MATCH($C131,FIYAT!$C$2:$C$32,0)),"")</f>
        <v>23224.944599999999</v>
      </c>
      <c r="G131" s="4">
        <f t="shared" si="23"/>
        <v>23224.944599999999</v>
      </c>
      <c r="H131" s="3">
        <v>1</v>
      </c>
      <c r="I131" s="3" t="str">
        <f>IFERROR(INDEX(FIYAT!$K$2:$K$32,MATCH($C131,FIYAT!$C$2:$C$32,0)),"")</f>
        <v>шт</v>
      </c>
      <c r="J131" s="3" t="str">
        <f>IFERROR(INDEX(FIYAT!$L$2:$L$32,MATCH($C131,FIYAT!$C$2:$C$32,0)),"")</f>
        <v>abb</v>
      </c>
      <c r="K131" s="3" t="s">
        <v>16</v>
      </c>
      <c r="L131" s="3" t="s">
        <v>92</v>
      </c>
      <c r="M131" s="5">
        <f>IFERROR(INDEX(KURALLAR!$B$13:$B$23,MATCH($B131,KURALLAR!$A$13:$A$23,0)),0)</f>
        <v>4</v>
      </c>
      <c r="N131" s="5">
        <f t="shared" si="24"/>
        <v>4</v>
      </c>
    </row>
    <row r="132" spans="1:14" x14ac:dyDescent="0.25">
      <c r="A132" s="3" t="s">
        <v>88</v>
      </c>
      <c r="B132" s="3" t="s">
        <v>20</v>
      </c>
      <c r="C132" s="3" t="s">
        <v>93</v>
      </c>
      <c r="D132" s="3" t="str">
        <f>IFERROR(INDEX(FIYAT!$D$2:$D$32,MATCH($C132,FIYAT!$C$2:$C$32,0)),"АРТИКУЛ НЕ В FIYAT")</f>
        <v>Авт. выкл. SH 203-C 63, 3P, 63А, х-ка C, 6кА</v>
      </c>
      <c r="E132" s="4">
        <f>IFERROR(INDEX(FIYAT!$I$2:$I$32,MATCH($C132,FIYAT!$C$2:$C$32,0)),"")</f>
        <v>31588.780599999998</v>
      </c>
      <c r="F132" s="4">
        <f>IFERROR(INDEX(FIYAT!$J$2:$J$32,MATCH($C132,FIYAT!$C$2:$C$32,0)),"")</f>
        <v>31588.780599999998</v>
      </c>
      <c r="G132" s="4">
        <f t="shared" si="23"/>
        <v>31588.780599999998</v>
      </c>
      <c r="H132" s="3">
        <v>1</v>
      </c>
      <c r="I132" s="3" t="str">
        <f>IFERROR(INDEX(FIYAT!$K$2:$K$32,MATCH($C132,FIYAT!$C$2:$C$32,0)),"")</f>
        <v>шт</v>
      </c>
      <c r="J132" s="3" t="str">
        <f>IFERROR(INDEX(FIYAT!$L$2:$L$32,MATCH($C132,FIYAT!$C$2:$C$32,0)),"")</f>
        <v>abb</v>
      </c>
      <c r="K132" s="3" t="s">
        <v>16</v>
      </c>
      <c r="L132" s="3" t="s">
        <v>94</v>
      </c>
      <c r="M132" s="5">
        <f>IFERROR(INDEX(KURALLAR!$B$13:$B$23,MATCH($B132,KURALLAR!$A$13:$A$23,0)),0)</f>
        <v>4</v>
      </c>
      <c r="N132" s="5">
        <f t="shared" si="24"/>
        <v>4</v>
      </c>
    </row>
    <row r="133" spans="1:14" x14ac:dyDescent="0.25">
      <c r="A133" s="3" t="s">
        <v>88</v>
      </c>
      <c r="B133" s="3" t="s">
        <v>71</v>
      </c>
      <c r="C133" s="3" t="s">
        <v>71</v>
      </c>
      <c r="D133" s="3" t="s">
        <v>71</v>
      </c>
      <c r="E133" s="4">
        <f>G134*KURALLAR!$C$8</f>
        <v>47968</v>
      </c>
      <c r="F133" s="4">
        <f>E133</f>
        <v>47968</v>
      </c>
      <c r="G133" s="4">
        <f>H133*F133</f>
        <v>47968</v>
      </c>
      <c r="H133" s="3">
        <v>1</v>
      </c>
      <c r="I133" s="3" t="s">
        <v>72</v>
      </c>
      <c r="J133" s="3" t="s">
        <v>71</v>
      </c>
      <c r="K133" s="3" t="s">
        <v>16</v>
      </c>
      <c r="L133" s="3"/>
      <c r="M133" s="5"/>
      <c r="N133" s="5"/>
    </row>
    <row r="134" spans="1:14" x14ac:dyDescent="0.25">
      <c r="A134" s="3" t="s">
        <v>88</v>
      </c>
      <c r="B134" s="3" t="s">
        <v>73</v>
      </c>
      <c r="C134" s="3" t="s">
        <v>73</v>
      </c>
      <c r="D134" s="3" t="s">
        <v>73</v>
      </c>
      <c r="E134" s="4">
        <f>KURALLAR!$C$6</f>
        <v>100</v>
      </c>
      <c r="F134" s="4">
        <f>E134</f>
        <v>100</v>
      </c>
      <c r="G134" s="4">
        <f>H134*F134</f>
        <v>119920</v>
      </c>
      <c r="H134" s="3">
        <f>SUM(N103:N132)*KURALLAR!$C$7</f>
        <v>1199.2</v>
      </c>
      <c r="I134" s="3" t="s">
        <v>74</v>
      </c>
      <c r="J134" s="3" t="s">
        <v>73</v>
      </c>
      <c r="K134" s="3" t="s">
        <v>16</v>
      </c>
      <c r="L134" s="3"/>
      <c r="M134" s="5"/>
      <c r="N134" s="5"/>
    </row>
    <row r="135" spans="1:14" x14ac:dyDescent="0.25">
      <c r="A135" s="6" t="s">
        <v>88</v>
      </c>
      <c r="B135" s="6"/>
      <c r="C135" s="6"/>
      <c r="D135" s="6" t="s">
        <v>75</v>
      </c>
      <c r="E135" s="7"/>
      <c r="F135" s="7"/>
      <c r="G135" s="7">
        <f>SUM(G103:G134)</f>
        <v>1833488.9408000002</v>
      </c>
      <c r="H135" s="6"/>
      <c r="I135" s="6"/>
      <c r="J135" s="6"/>
      <c r="K135" s="6" t="s">
        <v>16</v>
      </c>
      <c r="L135" s="6"/>
      <c r="M135" s="8"/>
      <c r="N135" s="8"/>
    </row>
    <row r="136" spans="1:14" x14ac:dyDescent="0.25">
      <c r="A136" s="2" t="s">
        <v>95</v>
      </c>
      <c r="B136" s="2"/>
      <c r="C136" s="2"/>
      <c r="D136" s="2" t="s">
        <v>95</v>
      </c>
      <c r="E136" s="2"/>
      <c r="F136" s="2"/>
      <c r="G136" s="2"/>
      <c r="H136" s="2">
        <v>1</v>
      </c>
      <c r="I136" s="2" t="s">
        <v>14</v>
      </c>
      <c r="J136" s="2" t="s">
        <v>15</v>
      </c>
      <c r="K136" s="2" t="s">
        <v>16</v>
      </c>
      <c r="L136" s="2"/>
      <c r="M136" s="2"/>
      <c r="N136" s="2"/>
    </row>
    <row r="137" spans="1:14" s="24" customFormat="1" x14ac:dyDescent="0.25">
      <c r="A137" s="3" t="s">
        <v>95</v>
      </c>
      <c r="B137" s="3" t="s">
        <v>297</v>
      </c>
      <c r="C137" s="3" t="s">
        <v>298</v>
      </c>
      <c r="D137" s="19" t="s">
        <v>299</v>
      </c>
      <c r="E137" s="4">
        <v>175000</v>
      </c>
      <c r="F137" s="4">
        <f>E137*0.6</f>
        <v>105000</v>
      </c>
      <c r="G137" s="4">
        <f t="shared" ref="G137" si="25">IF(OR(F137="",H137=""),"",H137*F137)</f>
        <v>105000</v>
      </c>
      <c r="H137" s="3">
        <v>1</v>
      </c>
      <c r="I137" s="3" t="str">
        <f>IFERROR(INDEX(FIYAT!$K$2:$K$32,MATCH($C137,FIYAT!$C$2:$C$32,0)),"")</f>
        <v/>
      </c>
      <c r="J137" s="17" t="s">
        <v>302</v>
      </c>
      <c r="K137" s="3" t="s">
        <v>16</v>
      </c>
      <c r="L137" s="3" t="s">
        <v>68</v>
      </c>
      <c r="M137" s="5">
        <f>IFERROR(INDEX(KURALLAR!$B$13:$B$23,MATCH($B137,KURALLAR!$A$13:$A$23,0)),0)</f>
        <v>0</v>
      </c>
      <c r="N137" s="5">
        <f t="shared" ref="N137" si="26">H137*M137</f>
        <v>0</v>
      </c>
    </row>
    <row r="138" spans="1:14" x14ac:dyDescent="0.25">
      <c r="A138" s="3" t="s">
        <v>95</v>
      </c>
      <c r="B138" s="3" t="s">
        <v>17</v>
      </c>
      <c r="C138" s="3" t="s">
        <v>96</v>
      </c>
      <c r="D138" s="3" t="str">
        <f>IFERROR(INDEX(FIYAT!$D$2:$D$32,MATCH($C138,FIYAT!$C$2:$C$32,0)),"АРТИКУЛ НЕ В FIYAT")</f>
        <v>Авт. выкл. Tmax XT1N 160, TMD, In=160A, 3P, Icu 36кА</v>
      </c>
      <c r="E138" s="4">
        <f>IFERROR(INDEX(FIYAT!$I$2:$I$32,MATCH($C138,FIYAT!$C$2:$C$32,0)),"")</f>
        <v>162125.821</v>
      </c>
      <c r="F138" s="4">
        <f>IFERROR(INDEX(FIYAT!$J$2:$J$32,MATCH($C138,FIYAT!$C$2:$C$32,0)),"")</f>
        <v>162125.821</v>
      </c>
      <c r="G138" s="4">
        <f t="shared" ref="G138:G167" si="27">IF(OR(F138="",H138=""),"",H138*F138)</f>
        <v>162125.821</v>
      </c>
      <c r="H138" s="3">
        <v>1</v>
      </c>
      <c r="I138" s="3" t="str">
        <f>IFERROR(INDEX(FIYAT!$K$2:$K$32,MATCH($C138,FIYAT!$C$2:$C$32,0)),"")</f>
        <v>шт</v>
      </c>
      <c r="J138" s="3" t="str">
        <f>IFERROR(INDEX(FIYAT!$L$2:$L$32,MATCH($C138,FIYAT!$C$2:$C$32,0)),"")</f>
        <v>abb</v>
      </c>
      <c r="K138" s="3" t="s">
        <v>16</v>
      </c>
      <c r="L138" s="3" t="s">
        <v>97</v>
      </c>
      <c r="M138" s="5">
        <f>IFERROR(INDEX(KURALLAR!$B$13:$B$23,MATCH($B138,KURALLAR!$A$13:$A$23,0)),0)</f>
        <v>15.3</v>
      </c>
      <c r="N138" s="5">
        <f t="shared" ref="N138:N167" si="28">H138*M138</f>
        <v>15.3</v>
      </c>
    </row>
    <row r="139" spans="1:14" x14ac:dyDescent="0.25">
      <c r="A139" s="3" t="s">
        <v>95</v>
      </c>
      <c r="B139" s="3" t="s">
        <v>20</v>
      </c>
      <c r="C139" s="3" t="s">
        <v>21</v>
      </c>
      <c r="D139" s="3" t="str">
        <f>IFERROR(INDEX(FIYAT!$D$2:$D$32,MATCH($C139,FIYAT!$C$2:$C$32,0)),"АРТИКУЛ НЕ В FIYAT")</f>
        <v>Авт. выкл. SH 201-B 6, 1P, 6А, х-ка B, 6кА</v>
      </c>
      <c r="E139" s="4">
        <f>IFERROR(INDEX(FIYAT!$I$2:$I$32,MATCH($C139,FIYAT!$C$2:$C$32,0)),"")</f>
        <v>4503.2116999999998</v>
      </c>
      <c r="F139" s="4">
        <f>IFERROR(INDEX(FIYAT!$J$2:$J$32,MATCH($C139,FIYAT!$C$2:$C$32,0)),"")</f>
        <v>4503.2116999999998</v>
      </c>
      <c r="G139" s="4">
        <f t="shared" si="27"/>
        <v>58541.752099999998</v>
      </c>
      <c r="H139" s="3">
        <v>13</v>
      </c>
      <c r="I139" s="3" t="str">
        <f>IFERROR(INDEX(FIYAT!$K$2:$K$32,MATCH($C139,FIYAT!$C$2:$C$32,0)),"")</f>
        <v>шт</v>
      </c>
      <c r="J139" s="3" t="str">
        <f>IFERROR(INDEX(FIYAT!$L$2:$L$32,MATCH($C139,FIYAT!$C$2:$C$32,0)),"")</f>
        <v>abb</v>
      </c>
      <c r="K139" s="3" t="s">
        <v>16</v>
      </c>
      <c r="L139" s="3" t="s">
        <v>22</v>
      </c>
      <c r="M139" s="5">
        <f>IFERROR(INDEX(KURALLAR!$B$13:$B$23,MATCH($B139,KURALLAR!$A$13:$A$23,0)),0)</f>
        <v>4</v>
      </c>
      <c r="N139" s="5">
        <f t="shared" si="28"/>
        <v>52</v>
      </c>
    </row>
    <row r="140" spans="1:14" x14ac:dyDescent="0.25">
      <c r="A140" s="3" t="s">
        <v>95</v>
      </c>
      <c r="B140" s="3" t="s">
        <v>23</v>
      </c>
      <c r="C140" s="3" t="s">
        <v>24</v>
      </c>
      <c r="D140" s="3" t="str">
        <f>IFERROR(INDEX(FIYAT!$D$2:$D$32,MATCH($C140,FIYAT!$C$2:$C$32,0)),"АРТИКУЛ НЕ В FIYAT")</f>
        <v>Лампа сигнальная LED CL2-523R, 230В AC, красная</v>
      </c>
      <c r="E140" s="4">
        <f>IFERROR(INDEX(FIYAT!$I$2:$I$32,MATCH($C140,FIYAT!$C$2:$C$32,0)),"")</f>
        <v>4906.1037999999999</v>
      </c>
      <c r="F140" s="4">
        <f>IFERROR(INDEX(FIYAT!$J$2:$J$32,MATCH($C140,FIYAT!$C$2:$C$32,0)),"")</f>
        <v>4906.1037999999999</v>
      </c>
      <c r="G140" s="4">
        <f t="shared" si="27"/>
        <v>53967.141799999998</v>
      </c>
      <c r="H140" s="3">
        <v>11</v>
      </c>
      <c r="I140" s="3" t="str">
        <f>IFERROR(INDEX(FIYAT!$K$2:$K$32,MATCH($C140,FIYAT!$C$2:$C$32,0)),"")</f>
        <v>шт</v>
      </c>
      <c r="J140" s="3" t="str">
        <f>IFERROR(INDEX(FIYAT!$L$2:$L$32,MATCH($C140,FIYAT!$C$2:$C$32,0)),"")</f>
        <v>abb</v>
      </c>
      <c r="K140" s="3" t="s">
        <v>16</v>
      </c>
      <c r="L140" s="3" t="s">
        <v>25</v>
      </c>
      <c r="M140" s="5">
        <f>IFERROR(INDEX(KURALLAR!$B$13:$B$23,MATCH($B140,KURALLAR!$A$13:$A$23,0)),0)</f>
        <v>8</v>
      </c>
      <c r="N140" s="5">
        <f t="shared" si="28"/>
        <v>88</v>
      </c>
    </row>
    <row r="141" spans="1:14" x14ac:dyDescent="0.25">
      <c r="A141" s="3" t="s">
        <v>95</v>
      </c>
      <c r="B141" s="3" t="s">
        <v>23</v>
      </c>
      <c r="C141" s="3" t="s">
        <v>26</v>
      </c>
      <c r="D141" s="3" t="str">
        <f>IFERROR(INDEX(FIYAT!$D$2:$D$32,MATCH($C141,FIYAT!$C$2:$C$32,0)),"АРТИКУЛ НЕ В FIYAT")</f>
        <v>Лампа сигнальная LED CL2-523Y, 230В AC, жёлтая</v>
      </c>
      <c r="E141" s="4">
        <f>IFERROR(INDEX(FIYAT!$I$2:$I$32,MATCH($C141,FIYAT!$C$2:$C$32,0)),"")</f>
        <v>4906.1037999999999</v>
      </c>
      <c r="F141" s="4">
        <f>IFERROR(INDEX(FIYAT!$J$2:$J$32,MATCH($C141,FIYAT!$C$2:$C$32,0)),"")</f>
        <v>4906.1037999999999</v>
      </c>
      <c r="G141" s="4">
        <f t="shared" si="27"/>
        <v>4906.1037999999999</v>
      </c>
      <c r="H141" s="3">
        <v>1</v>
      </c>
      <c r="I141" s="3" t="str">
        <f>IFERROR(INDEX(FIYAT!$K$2:$K$32,MATCH($C141,FIYAT!$C$2:$C$32,0)),"")</f>
        <v>шт</v>
      </c>
      <c r="J141" s="3" t="str">
        <f>IFERROR(INDEX(FIYAT!$L$2:$L$32,MATCH($C141,FIYAT!$C$2:$C$32,0)),"")</f>
        <v>abb</v>
      </c>
      <c r="K141" s="3" t="s">
        <v>16</v>
      </c>
      <c r="L141" s="3" t="s">
        <v>27</v>
      </c>
      <c r="M141" s="5">
        <f>IFERROR(INDEX(KURALLAR!$B$13:$B$23,MATCH($B141,KURALLAR!$A$13:$A$23,0)),0)</f>
        <v>8</v>
      </c>
      <c r="N141" s="5">
        <f t="shared" si="28"/>
        <v>8</v>
      </c>
    </row>
    <row r="142" spans="1:14" x14ac:dyDescent="0.25">
      <c r="A142" s="3" t="s">
        <v>95</v>
      </c>
      <c r="B142" s="3" t="s">
        <v>23</v>
      </c>
      <c r="C142" s="3" t="s">
        <v>28</v>
      </c>
      <c r="D142" s="3" t="str">
        <f>IFERROR(INDEX(FIYAT!$D$2:$D$32,MATCH($C142,FIYAT!$C$2:$C$32,0)),"АРТИКУЛ НЕ В FIYAT")</f>
        <v>Лампа сигнальная LED CL2-523G, 230В AC, зелёная</v>
      </c>
      <c r="E142" s="4">
        <f>IFERROR(INDEX(FIYAT!$I$2:$I$32,MATCH($C142,FIYAT!$C$2:$C$32,0)),"")</f>
        <v>4906.1037999999999</v>
      </c>
      <c r="F142" s="4">
        <f>IFERROR(INDEX(FIYAT!$J$2:$J$32,MATCH($C142,FIYAT!$C$2:$C$32,0)),"")</f>
        <v>4906.1037999999999</v>
      </c>
      <c r="G142" s="4">
        <f t="shared" si="27"/>
        <v>53967.141799999998</v>
      </c>
      <c r="H142" s="3">
        <v>11</v>
      </c>
      <c r="I142" s="3" t="str">
        <f>IFERROR(INDEX(FIYAT!$K$2:$K$32,MATCH($C142,FIYAT!$C$2:$C$32,0)),"")</f>
        <v>шт</v>
      </c>
      <c r="J142" s="3" t="str">
        <f>IFERROR(INDEX(FIYAT!$L$2:$L$32,MATCH($C142,FIYAT!$C$2:$C$32,0)),"")</f>
        <v>abb</v>
      </c>
      <c r="K142" s="3" t="s">
        <v>16</v>
      </c>
      <c r="L142" s="3" t="s">
        <v>29</v>
      </c>
      <c r="M142" s="5">
        <f>IFERROR(INDEX(KURALLAR!$B$13:$B$23,MATCH($B142,KURALLAR!$A$13:$A$23,0)),0)</f>
        <v>8</v>
      </c>
      <c r="N142" s="5">
        <f t="shared" si="28"/>
        <v>88</v>
      </c>
    </row>
    <row r="143" spans="1:14" x14ac:dyDescent="0.25">
      <c r="A143" s="3" t="s">
        <v>95</v>
      </c>
      <c r="B143" s="3" t="s">
        <v>30</v>
      </c>
      <c r="C143" s="3" t="s">
        <v>31</v>
      </c>
      <c r="D143" s="3" t="str">
        <f>IFERROR(INDEX(FIYAT!$D$2:$D$32,MATCH($C143,FIYAT!$C$2:$C$32,0)),"АРТИКУЛ НЕ В FIYAT")</f>
        <v>Реле контроля фаз CM-PFE, 3x208-440В AC, 1 перекл. контакт</v>
      </c>
      <c r="E143" s="4">
        <f>IFERROR(INDEX(FIYAT!$I$2:$I$32,MATCH($C143,FIYAT!$C$2:$C$32,0)),"")</f>
        <v>73132.566000000006</v>
      </c>
      <c r="F143" s="4">
        <f>IFERROR(INDEX(FIYAT!$J$2:$J$32,MATCH($C143,FIYAT!$C$2:$C$32,0)),"")</f>
        <v>73132.566000000006</v>
      </c>
      <c r="G143" s="4">
        <f t="shared" si="27"/>
        <v>73132.566000000006</v>
      </c>
      <c r="H143" s="3">
        <v>1</v>
      </c>
      <c r="I143" s="3" t="str">
        <f>IFERROR(INDEX(FIYAT!$K$2:$K$32,MATCH($C143,FIYAT!$C$2:$C$32,0)),"")</f>
        <v>шт</v>
      </c>
      <c r="J143" s="3" t="str">
        <f>IFERROR(INDEX(FIYAT!$L$2:$L$32,MATCH($C143,FIYAT!$C$2:$C$32,0)),"")</f>
        <v>abb</v>
      </c>
      <c r="K143" s="3" t="s">
        <v>16</v>
      </c>
      <c r="L143" s="3" t="s">
        <v>32</v>
      </c>
      <c r="M143" s="5">
        <f>IFERROR(INDEX(KURALLAR!$B$13:$B$23,MATCH($B143,KURALLAR!$A$13:$A$23,0)),0)</f>
        <v>21.8</v>
      </c>
      <c r="N143" s="5">
        <f t="shared" si="28"/>
        <v>21.8</v>
      </c>
    </row>
    <row r="144" spans="1:14" x14ac:dyDescent="0.25">
      <c r="A144" s="3" t="s">
        <v>95</v>
      </c>
      <c r="B144" s="3" t="s">
        <v>33</v>
      </c>
      <c r="C144" s="3" t="s">
        <v>34</v>
      </c>
      <c r="D144" s="3" t="str">
        <f>IFERROR(INDEX(FIYAT!$D$2:$D$32,MATCH($C144,FIYAT!$C$2:$C$32,0)),"АРТИКУЛ НЕ В FIYAT")</f>
        <v>Держатель плавких вставок E 93/32, 3P, 10.3x38</v>
      </c>
      <c r="E144" s="4">
        <f>IFERROR(INDEX(FIYAT!$I$2:$I$32,MATCH($C144,FIYAT!$C$2:$C$32,0)),"")</f>
        <v>12693.651100000001</v>
      </c>
      <c r="F144" s="4">
        <f>IFERROR(INDEX(FIYAT!$J$2:$J$32,MATCH($C144,FIYAT!$C$2:$C$32,0)),"")</f>
        <v>12693.651100000001</v>
      </c>
      <c r="G144" s="4">
        <f t="shared" si="27"/>
        <v>12693.651100000001</v>
      </c>
      <c r="H144" s="3">
        <v>1</v>
      </c>
      <c r="I144" s="3" t="str">
        <f>IFERROR(INDEX(FIYAT!$K$2:$K$32,MATCH($C144,FIYAT!$C$2:$C$32,0)),"")</f>
        <v>шт</v>
      </c>
      <c r="J144" s="3" t="str">
        <f>IFERROR(INDEX(FIYAT!$L$2:$L$32,MATCH($C144,FIYAT!$C$2:$C$32,0)),"")</f>
        <v>abb</v>
      </c>
      <c r="K144" s="3" t="s">
        <v>16</v>
      </c>
      <c r="L144" s="3" t="s">
        <v>35</v>
      </c>
      <c r="M144" s="5">
        <f>IFERROR(INDEX(KURALLAR!$B$13:$B$23,MATCH($B144,KURALLAR!$A$13:$A$23,0)),0)</f>
        <v>4</v>
      </c>
      <c r="N144" s="5">
        <f t="shared" si="28"/>
        <v>4</v>
      </c>
    </row>
    <row r="145" spans="1:14" x14ac:dyDescent="0.25">
      <c r="A145" s="3" t="s">
        <v>95</v>
      </c>
      <c r="B145" s="3" t="s">
        <v>36</v>
      </c>
      <c r="C145" s="3" t="s">
        <v>37</v>
      </c>
      <c r="D145" s="3" t="str">
        <f>IFERROR(INDEX(FIYAT!$D$2:$D$32,MATCH($C145,FIYAT!$C$2:$C$32,0)),"АРТИКУЛ НЕ В FIYAT")</f>
        <v>Плавкая вставка E 9F10 GG6, 10.3x38, 6А gG</v>
      </c>
      <c r="E145" s="4">
        <f>IFERROR(INDEX(FIYAT!$I$2:$I$32,MATCH($C145,FIYAT!$C$2:$C$32,0)),"")</f>
        <v>1943.0619000000002</v>
      </c>
      <c r="F145" s="4">
        <f>IFERROR(INDEX(FIYAT!$J$2:$J$32,MATCH($C145,FIYAT!$C$2:$C$32,0)),"")</f>
        <v>1943.0619000000002</v>
      </c>
      <c r="G145" s="4">
        <f t="shared" si="27"/>
        <v>5829.1857</v>
      </c>
      <c r="H145" s="3">
        <v>3</v>
      </c>
      <c r="I145" s="3" t="str">
        <f>IFERROR(INDEX(FIYAT!$K$2:$K$32,MATCH($C145,FIYAT!$C$2:$C$32,0)),"")</f>
        <v>шт</v>
      </c>
      <c r="J145" s="3" t="str">
        <f>IFERROR(INDEX(FIYAT!$L$2:$L$32,MATCH($C145,FIYAT!$C$2:$C$32,0)),"")</f>
        <v>abb</v>
      </c>
      <c r="K145" s="3" t="s">
        <v>16</v>
      </c>
      <c r="L145" s="3" t="s">
        <v>38</v>
      </c>
      <c r="M145" s="5">
        <f>IFERROR(INDEX(KURALLAR!$B$13:$B$23,MATCH($B145,KURALLAR!$A$13:$A$23,0)),0)</f>
        <v>0</v>
      </c>
      <c r="N145" s="5">
        <f t="shared" si="28"/>
        <v>0</v>
      </c>
    </row>
    <row r="146" spans="1:14" x14ac:dyDescent="0.25">
      <c r="A146" s="3" t="s">
        <v>95</v>
      </c>
      <c r="B146" s="3" t="s">
        <v>30</v>
      </c>
      <c r="C146" s="3" t="s">
        <v>39</v>
      </c>
      <c r="D146" s="3" t="str">
        <f>IFERROR(INDEX(FIYAT!$D$2:$D$32,MATCH($C146,FIYAT!$C$2:$C$32,0)),"АРТИКУЛ НЕ В FIYAT")</f>
        <v>Реле CR-M230AC4, 4 перекл., катушка 230В AC</v>
      </c>
      <c r="E146" s="4">
        <f>IFERROR(INDEX(FIYAT!$I$2:$I$32,MATCH($C146,FIYAT!$C$2:$C$32,0)),"")</f>
        <v>6543.1716999999999</v>
      </c>
      <c r="F146" s="4">
        <f>IFERROR(INDEX(FIYAT!$J$2:$J$32,MATCH($C146,FIYAT!$C$2:$C$32,0)),"")</f>
        <v>6543.1716999999999</v>
      </c>
      <c r="G146" s="4">
        <f t="shared" si="27"/>
        <v>137406.60569999999</v>
      </c>
      <c r="H146" s="3">
        <v>21</v>
      </c>
      <c r="I146" s="3" t="str">
        <f>IFERROR(INDEX(FIYAT!$K$2:$K$32,MATCH($C146,FIYAT!$C$2:$C$32,0)),"")</f>
        <v>шт</v>
      </c>
      <c r="J146" s="3" t="str">
        <f>IFERROR(INDEX(FIYAT!$L$2:$L$32,MATCH($C146,FIYAT!$C$2:$C$32,0)),"")</f>
        <v>abb</v>
      </c>
      <c r="K146" s="3" t="s">
        <v>16</v>
      </c>
      <c r="L146" s="3" t="s">
        <v>40</v>
      </c>
      <c r="M146" s="5">
        <f>IFERROR(INDEX(KURALLAR!$B$13:$B$23,MATCH($B146,KURALLAR!$A$13:$A$23,0)),0)</f>
        <v>21.8</v>
      </c>
      <c r="N146" s="5">
        <f t="shared" si="28"/>
        <v>457.8</v>
      </c>
    </row>
    <row r="147" spans="1:14" s="21" customFormat="1" x14ac:dyDescent="0.25">
      <c r="A147" s="3" t="s">
        <v>95</v>
      </c>
      <c r="B147" s="20" t="s">
        <v>278</v>
      </c>
      <c r="C147" s="19" t="s">
        <v>277</v>
      </c>
      <c r="D147" s="21" t="s">
        <v>280</v>
      </c>
      <c r="E147" s="22">
        <v>4334.915</v>
      </c>
      <c r="F147" s="22">
        <v>4334.915</v>
      </c>
      <c r="G147" s="22">
        <f t="shared" si="27"/>
        <v>91033.214999999997</v>
      </c>
      <c r="H147" s="19">
        <v>21</v>
      </c>
      <c r="I147" s="20" t="s">
        <v>72</v>
      </c>
      <c r="J147" s="20" t="s">
        <v>113</v>
      </c>
      <c r="K147" s="19" t="s">
        <v>16</v>
      </c>
      <c r="L147" s="19" t="s">
        <v>40</v>
      </c>
      <c r="M147" s="23">
        <f>IFERROR(INDEX(KURALLAR!$B$13:$B$23,MATCH($B147,KURALLAR!$A$13:$A$23,0)),0)</f>
        <v>0</v>
      </c>
      <c r="N147" s="23">
        <f t="shared" si="28"/>
        <v>0</v>
      </c>
    </row>
    <row r="148" spans="1:14" x14ac:dyDescent="0.25">
      <c r="A148" s="3" t="s">
        <v>95</v>
      </c>
      <c r="B148" s="3" t="s">
        <v>20</v>
      </c>
      <c r="C148" s="3" t="s">
        <v>41</v>
      </c>
      <c r="D148" s="3" t="str">
        <f>IFERROR(INDEX(FIYAT!$D$2:$D$32,MATCH($C148,FIYAT!$C$2:$C$32,0)),"АРТИКУЛ НЕ В FIYAT")</f>
        <v>Авт. выкл. S 202-C 10, 2P, 10А, х-ка C</v>
      </c>
      <c r="E148" s="4">
        <f>IFERROR(INDEX(FIYAT!$I$2:$I$32,MATCH($C148,FIYAT!$C$2:$C$32,0)),"")</f>
        <v>19241.922699999999</v>
      </c>
      <c r="F148" s="4">
        <f>IFERROR(INDEX(FIYAT!$J$2:$J$32,MATCH($C148,FIYAT!$C$2:$C$32,0)),"")</f>
        <v>19241.922699999999</v>
      </c>
      <c r="G148" s="4">
        <f t="shared" si="27"/>
        <v>38483.845399999998</v>
      </c>
      <c r="H148" s="3">
        <v>2</v>
      </c>
      <c r="I148" s="3" t="str">
        <f>IFERROR(INDEX(FIYAT!$K$2:$K$32,MATCH($C148,FIYAT!$C$2:$C$32,0)),"")</f>
        <v>шт</v>
      </c>
      <c r="J148" s="3" t="str">
        <f>IFERROR(INDEX(FIYAT!$L$2:$L$32,MATCH($C148,FIYAT!$C$2:$C$32,0)),"")</f>
        <v>abb</v>
      </c>
      <c r="K148" s="3" t="s">
        <v>16</v>
      </c>
      <c r="L148" s="3" t="s">
        <v>42</v>
      </c>
      <c r="M148" s="5">
        <f>IFERROR(INDEX(KURALLAR!$B$13:$B$23,MATCH($B148,KURALLAR!$A$13:$A$23,0)),0)</f>
        <v>4</v>
      </c>
      <c r="N148" s="5">
        <f t="shared" si="28"/>
        <v>8</v>
      </c>
    </row>
    <row r="149" spans="1:14" x14ac:dyDescent="0.25">
      <c r="A149" s="3" t="s">
        <v>95</v>
      </c>
      <c r="B149" s="3" t="s">
        <v>43</v>
      </c>
      <c r="C149" s="3" t="s">
        <v>44</v>
      </c>
      <c r="D149" s="3" t="str">
        <f>IFERROR(INDEX(FIYAT!$D$2:$D$32,MATCH($C149,FIYAT!$C$2:$C$32,0)),"АРТИКУЛ НЕ В FIYAT")</f>
        <v>Кнопка CP1-10B-10, чёрная, 1НО, без фиксации</v>
      </c>
      <c r="E149" s="4">
        <f>IFERROR(INDEX(FIYAT!$I$2:$I$32,MATCH($C149,FIYAT!$C$2:$C$32,0)),"")</f>
        <v>3187.4375</v>
      </c>
      <c r="F149" s="4">
        <f>IFERROR(INDEX(FIYAT!$J$2:$J$32,MATCH($C149,FIYAT!$C$2:$C$32,0)),"")</f>
        <v>3187.4375</v>
      </c>
      <c r="G149" s="4">
        <f t="shared" si="27"/>
        <v>3187.4375</v>
      </c>
      <c r="H149" s="3">
        <v>1</v>
      </c>
      <c r="I149" s="3" t="str">
        <f>IFERROR(INDEX(FIYAT!$K$2:$K$32,MATCH($C149,FIYAT!$C$2:$C$32,0)),"")</f>
        <v>шт</v>
      </c>
      <c r="J149" s="3" t="str">
        <f>IFERROR(INDEX(FIYAT!$L$2:$L$32,MATCH($C149,FIYAT!$C$2:$C$32,0)),"")</f>
        <v>abb</v>
      </c>
      <c r="K149" s="3" t="s">
        <v>16</v>
      </c>
      <c r="L149" s="3" t="s">
        <v>45</v>
      </c>
      <c r="M149" s="5">
        <f>IFERROR(INDEX(KURALLAR!$B$13:$B$23,MATCH($B149,KURALLAR!$A$13:$A$23,0)),0)</f>
        <v>8</v>
      </c>
      <c r="N149" s="5">
        <f t="shared" si="28"/>
        <v>8</v>
      </c>
    </row>
    <row r="150" spans="1:14" x14ac:dyDescent="0.25">
      <c r="A150" s="3" t="s">
        <v>95</v>
      </c>
      <c r="B150" s="3" t="s">
        <v>46</v>
      </c>
      <c r="C150" s="3" t="s">
        <v>47</v>
      </c>
      <c r="D150" s="3" t="str">
        <f>IFERROR(INDEX(FIYAT!$D$2:$D$32,MATCH($C150,FIYAT!$C$2:$C$32,0)),"АРТИКУЛ НЕ В FIYAT")</f>
        <v>Автомат защиты двигателя MS116-2.5 (1.6-2.5А)</v>
      </c>
      <c r="E150" s="4">
        <f>IFERROR(INDEX(FIYAT!$I$2:$I$32,MATCH($C150,FIYAT!$C$2:$C$32,0)),"")</f>
        <v>31889.6747</v>
      </c>
      <c r="F150" s="4">
        <f>IFERROR(INDEX(FIYAT!$J$2:$J$32,MATCH($C150,FIYAT!$C$2:$C$32,0)),"")</f>
        <v>31889.6747</v>
      </c>
      <c r="G150" s="4">
        <f t="shared" si="27"/>
        <v>255117.3976</v>
      </c>
      <c r="H150" s="3">
        <v>8</v>
      </c>
      <c r="I150" s="3" t="str">
        <f>IFERROR(INDEX(FIYAT!$K$2:$K$32,MATCH($C150,FIYAT!$C$2:$C$32,0)),"")</f>
        <v>шт</v>
      </c>
      <c r="J150" s="3" t="str">
        <f>IFERROR(INDEX(FIYAT!$L$2:$L$32,MATCH($C150,FIYAT!$C$2:$C$32,0)),"")</f>
        <v>abb</v>
      </c>
      <c r="K150" s="3" t="s">
        <v>16</v>
      </c>
      <c r="L150" s="3" t="s">
        <v>48</v>
      </c>
      <c r="M150" s="5">
        <f>IFERROR(INDEX(KURALLAR!$B$13:$B$23,MATCH($B150,KURALLAR!$A$13:$A$23,0)),0)</f>
        <v>2</v>
      </c>
      <c r="N150" s="5">
        <f t="shared" si="28"/>
        <v>16</v>
      </c>
    </row>
    <row r="151" spans="1:14" x14ac:dyDescent="0.25">
      <c r="A151" s="3" t="s">
        <v>95</v>
      </c>
      <c r="B151" s="3" t="s">
        <v>46</v>
      </c>
      <c r="C151" s="3" t="s">
        <v>49</v>
      </c>
      <c r="D151" s="3" t="str">
        <f>IFERROR(INDEX(FIYAT!$D$2:$D$32,MATCH($C151,FIYAT!$C$2:$C$32,0)),"АРТИКУЛ НЕ В FIYAT")</f>
        <v>Автомат защиты двигателя MS116-6.3 (4-6.3А)</v>
      </c>
      <c r="E151" s="4">
        <f>IFERROR(INDEX(FIYAT!$I$2:$I$32,MATCH($C151,FIYAT!$C$2:$C$32,0)),"")</f>
        <v>31889.6747</v>
      </c>
      <c r="F151" s="4">
        <f>IFERROR(INDEX(FIYAT!$J$2:$J$32,MATCH($C151,FIYAT!$C$2:$C$32,0)),"")</f>
        <v>31889.6747</v>
      </c>
      <c r="G151" s="4">
        <f t="shared" si="27"/>
        <v>63779.349399999999</v>
      </c>
      <c r="H151" s="3">
        <v>2</v>
      </c>
      <c r="I151" s="3" t="str">
        <f>IFERROR(INDEX(FIYAT!$K$2:$K$32,MATCH($C151,FIYAT!$C$2:$C$32,0)),"")</f>
        <v>шт</v>
      </c>
      <c r="J151" s="3" t="str">
        <f>IFERROR(INDEX(FIYAT!$L$2:$L$32,MATCH($C151,FIYAT!$C$2:$C$32,0)),"")</f>
        <v>abb</v>
      </c>
      <c r="K151" s="3" t="s">
        <v>16</v>
      </c>
      <c r="L151" s="3" t="s">
        <v>50</v>
      </c>
      <c r="M151" s="5">
        <f>IFERROR(INDEX(KURALLAR!$B$13:$B$23,MATCH($B151,KURALLAR!$A$13:$A$23,0)),0)</f>
        <v>2</v>
      </c>
      <c r="N151" s="5">
        <f t="shared" si="28"/>
        <v>4</v>
      </c>
    </row>
    <row r="152" spans="1:14" x14ac:dyDescent="0.25">
      <c r="A152" s="3" t="s">
        <v>95</v>
      </c>
      <c r="B152" s="3" t="s">
        <v>51</v>
      </c>
      <c r="C152" s="3" t="s">
        <v>52</v>
      </c>
      <c r="D152" s="3" t="str">
        <f>IFERROR(INDEX(FIYAT!$D$2:$D$32,MATCH($C152,FIYAT!$C$2:$C$32,0)),"АРТИКУЛ НЕ В FIYAT")</f>
        <v>Контактор AF09-30-10, 3P, 9А AC3, 1НО, катушка 100-250В AC/DC</v>
      </c>
      <c r="E152" s="4">
        <f>IFERROR(INDEX(FIYAT!$I$2:$I$32,MATCH($C152,FIYAT!$C$2:$C$32,0)),"")</f>
        <v>19333.7209</v>
      </c>
      <c r="F152" s="4">
        <f>IFERROR(INDEX(FIYAT!$J$2:$J$32,MATCH($C152,FIYAT!$C$2:$C$32,0)),"")</f>
        <v>19333.7209</v>
      </c>
      <c r="G152" s="4">
        <f t="shared" si="27"/>
        <v>154669.7672</v>
      </c>
      <c r="H152" s="3">
        <v>8</v>
      </c>
      <c r="I152" s="3" t="str">
        <f>IFERROR(INDEX(FIYAT!$K$2:$K$32,MATCH($C152,FIYAT!$C$2:$C$32,0)),"")</f>
        <v>шт</v>
      </c>
      <c r="J152" s="3" t="str">
        <f>IFERROR(INDEX(FIYAT!$L$2:$L$32,MATCH($C152,FIYAT!$C$2:$C$32,0)),"")</f>
        <v>abb</v>
      </c>
      <c r="K152" s="3" t="s">
        <v>16</v>
      </c>
      <c r="L152" s="3" t="s">
        <v>53</v>
      </c>
      <c r="M152" s="5">
        <f>IFERROR(INDEX(KURALLAR!$B$13:$B$23,MATCH($B152,KURALLAR!$A$13:$A$23,0)),0)</f>
        <v>5.9</v>
      </c>
      <c r="N152" s="5">
        <f t="shared" si="28"/>
        <v>47.2</v>
      </c>
    </row>
    <row r="153" spans="1:14" x14ac:dyDescent="0.25">
      <c r="A153" s="3" t="s">
        <v>95</v>
      </c>
      <c r="B153" s="3" t="s">
        <v>51</v>
      </c>
      <c r="C153" s="3" t="s">
        <v>82</v>
      </c>
      <c r="D153" s="3" t="str">
        <f>IFERROR(INDEX(FIYAT!$D$2:$D$32,MATCH($C153,FIYAT!$C$2:$C$32,0)),"АРТИКУЛ НЕ В FIYAT")</f>
        <v>Контактор AF12-30-10, 3P, 12А AC3, 1НО, катушка 100-250В AC/DC</v>
      </c>
      <c r="E153" s="4">
        <f>IFERROR(INDEX(FIYAT!$I$2:$I$32,MATCH($C153,FIYAT!$C$2:$C$32,0)),"")</f>
        <v>20216.0036</v>
      </c>
      <c r="F153" s="4">
        <f>IFERROR(INDEX(FIYAT!$J$2:$J$32,MATCH($C153,FIYAT!$C$2:$C$32,0)),"")</f>
        <v>20216.0036</v>
      </c>
      <c r="G153" s="4">
        <f t="shared" si="27"/>
        <v>40432.0072</v>
      </c>
      <c r="H153" s="3">
        <v>2</v>
      </c>
      <c r="I153" s="3" t="str">
        <f>IFERROR(INDEX(FIYAT!$K$2:$K$32,MATCH($C153,FIYAT!$C$2:$C$32,0)),"")</f>
        <v>шт</v>
      </c>
      <c r="J153" s="3" t="str">
        <f>IFERROR(INDEX(FIYAT!$L$2:$L$32,MATCH($C153,FIYAT!$C$2:$C$32,0)),"")</f>
        <v>abb</v>
      </c>
      <c r="K153" s="3" t="s">
        <v>16</v>
      </c>
      <c r="L153" s="3" t="s">
        <v>83</v>
      </c>
      <c r="M153" s="5">
        <f>IFERROR(INDEX(KURALLAR!$B$13:$B$23,MATCH($B153,KURALLAR!$A$13:$A$23,0)),0)</f>
        <v>5.9</v>
      </c>
      <c r="N153" s="5">
        <f t="shared" si="28"/>
        <v>11.8</v>
      </c>
    </row>
    <row r="154" spans="1:14" x14ac:dyDescent="0.25">
      <c r="A154" s="3" t="s">
        <v>95</v>
      </c>
      <c r="B154" s="3" t="s">
        <v>54</v>
      </c>
      <c r="C154" s="3" t="s">
        <v>55</v>
      </c>
      <c r="D154" s="3" t="str">
        <f>IFERROR(INDEX(FIYAT!$D$2:$D$32,MATCH($C154,FIYAT!$C$2:$C$32,0)),"АРТИКУЛ НЕ В FIYAT")</f>
        <v>Блок доп. контактов боковой CAL4-11 (1НО+1НЗ) для AF09...AF96</v>
      </c>
      <c r="E154" s="4">
        <f>IFERROR(INDEX(FIYAT!$I$2:$I$32,MATCH($C154,FIYAT!$C$2:$C$32,0)),"")</f>
        <v>6201.4784</v>
      </c>
      <c r="F154" s="4">
        <f>IFERROR(INDEX(FIYAT!$J$2:$J$32,MATCH($C154,FIYAT!$C$2:$C$32,0)),"")</f>
        <v>6201.4784</v>
      </c>
      <c r="G154" s="4">
        <f t="shared" si="27"/>
        <v>62014.784</v>
      </c>
      <c r="H154" s="3">
        <v>10</v>
      </c>
      <c r="I154" s="3" t="str">
        <f>IFERROR(INDEX(FIYAT!$K$2:$K$32,MATCH($C154,FIYAT!$C$2:$C$32,0)),"")</f>
        <v>шт</v>
      </c>
      <c r="J154" s="3" t="str">
        <f>IFERROR(INDEX(FIYAT!$L$2:$L$32,MATCH($C154,FIYAT!$C$2:$C$32,0)),"")</f>
        <v>abb</v>
      </c>
      <c r="K154" s="3" t="s">
        <v>16</v>
      </c>
      <c r="L154" s="3" t="s">
        <v>56</v>
      </c>
      <c r="M154" s="5">
        <f>IFERROR(INDEX(KURALLAR!$B$13:$B$23,MATCH($B154,KURALLAR!$A$13:$A$23,0)),0)</f>
        <v>2</v>
      </c>
      <c r="N154" s="5">
        <f t="shared" si="28"/>
        <v>20</v>
      </c>
    </row>
    <row r="155" spans="1:14" x14ac:dyDescent="0.25">
      <c r="A155" s="3" t="s">
        <v>95</v>
      </c>
      <c r="B155" s="3" t="s">
        <v>54</v>
      </c>
      <c r="C155" s="3" t="s">
        <v>57</v>
      </c>
      <c r="D155" s="3" t="str">
        <f>IFERROR(INDEX(FIYAT!$D$2:$D$32,MATCH($C155,FIYAT!$C$2:$C$32,0)),"АРТИКУЛ НЕ В FIYAT")</f>
        <v>Блок доп. контактов HKF1-11 (1НО+1НЗ), верхний, для MS116</v>
      </c>
      <c r="E155" s="4">
        <f>IFERROR(INDEX(FIYAT!$I$2:$I$32,MATCH($C155,FIYAT!$C$2:$C$32,0)),"")</f>
        <v>4793.9059999999999</v>
      </c>
      <c r="F155" s="4">
        <f>IFERROR(INDEX(FIYAT!$J$2:$J$32,MATCH($C155,FIYAT!$C$2:$C$32,0)),"")</f>
        <v>4793.9059999999999</v>
      </c>
      <c r="G155" s="4">
        <f t="shared" si="27"/>
        <v>47939.06</v>
      </c>
      <c r="H155" s="3">
        <v>10</v>
      </c>
      <c r="I155" s="3" t="str">
        <f>IFERROR(INDEX(FIYAT!$K$2:$K$32,MATCH($C155,FIYAT!$C$2:$C$32,0)),"")</f>
        <v>шт</v>
      </c>
      <c r="J155" s="3" t="str">
        <f>IFERROR(INDEX(FIYAT!$L$2:$L$32,MATCH($C155,FIYAT!$C$2:$C$32,0)),"")</f>
        <v>abb</v>
      </c>
      <c r="K155" s="3" t="s">
        <v>16</v>
      </c>
      <c r="L155" s="3" t="s">
        <v>58</v>
      </c>
      <c r="M155" s="5">
        <f>IFERROR(INDEX(KURALLAR!$B$13:$B$23,MATCH($B155,KURALLAR!$A$13:$A$23,0)),0)</f>
        <v>2</v>
      </c>
      <c r="N155" s="5">
        <f t="shared" si="28"/>
        <v>20</v>
      </c>
    </row>
    <row r="156" spans="1:14" x14ac:dyDescent="0.25">
      <c r="A156" s="3" t="s">
        <v>95</v>
      </c>
      <c r="B156" s="3" t="s">
        <v>54</v>
      </c>
      <c r="C156" s="3" t="s">
        <v>59</v>
      </c>
      <c r="D156" s="3" t="str">
        <f>IFERROR(INDEX(FIYAT!$D$2:$D$32,MATCH($C156,FIYAT!$C$2:$C$32,0)),"АРТИКУЛ НЕ В FIYAT")</f>
        <v>Контакт сигнализации SK1-11 (1НО+1НЗ), боковой, для MS116</v>
      </c>
      <c r="E156" s="4">
        <f>IFERROR(INDEX(FIYAT!$I$2:$I$32,MATCH($C156,FIYAT!$C$2:$C$32,0)),"")</f>
        <v>9766.3084999999992</v>
      </c>
      <c r="F156" s="4">
        <f>IFERROR(INDEX(FIYAT!$J$2:$J$32,MATCH($C156,FIYAT!$C$2:$C$32,0)),"")</f>
        <v>9766.3084999999992</v>
      </c>
      <c r="G156" s="4">
        <f t="shared" si="27"/>
        <v>97663.084999999992</v>
      </c>
      <c r="H156" s="3">
        <v>10</v>
      </c>
      <c r="I156" s="3" t="str">
        <f>IFERROR(INDEX(FIYAT!$K$2:$K$32,MATCH($C156,FIYAT!$C$2:$C$32,0)),"")</f>
        <v>шт</v>
      </c>
      <c r="J156" s="3" t="str">
        <f>IFERROR(INDEX(FIYAT!$L$2:$L$32,MATCH($C156,FIYAT!$C$2:$C$32,0)),"")</f>
        <v>abb</v>
      </c>
      <c r="K156" s="3" t="s">
        <v>16</v>
      </c>
      <c r="L156" s="3" t="s">
        <v>58</v>
      </c>
      <c r="M156" s="5">
        <f>IFERROR(INDEX(KURALLAR!$B$13:$B$23,MATCH($B156,KURALLAR!$A$13:$A$23,0)),0)</f>
        <v>2</v>
      </c>
      <c r="N156" s="5">
        <f t="shared" si="28"/>
        <v>20</v>
      </c>
    </row>
    <row r="157" spans="1:14" x14ac:dyDescent="0.25">
      <c r="A157" s="3" t="s">
        <v>95</v>
      </c>
      <c r="B157" s="3" t="s">
        <v>60</v>
      </c>
      <c r="C157" s="3" t="s">
        <v>61</v>
      </c>
      <c r="D157" s="3" t="str">
        <f>IFERROR(INDEX(FIYAT!$D$2:$D$32,MATCH($C157,FIYAT!$C$2:$C$32,0)),"АРТИКУЛ НЕ В FIYAT")</f>
        <v>Корпус MCBH5-00 для головок и блоков (5 блоков в ряд)</v>
      </c>
      <c r="E157" s="4">
        <f>IFERROR(INDEX(FIYAT!$I$2:$I$32,MATCH($C157,FIYAT!$C$2:$C$32,0)),"")</f>
        <v>647.68730000000005</v>
      </c>
      <c r="F157" s="4">
        <f>IFERROR(INDEX(FIYAT!$J$2:$J$32,MATCH($C157,FIYAT!$C$2:$C$32,0)),"")</f>
        <v>647.68730000000005</v>
      </c>
      <c r="G157" s="4">
        <f t="shared" si="27"/>
        <v>6476.8730000000005</v>
      </c>
      <c r="H157" s="3">
        <v>10</v>
      </c>
      <c r="I157" s="3" t="str">
        <f>IFERROR(INDEX(FIYAT!$K$2:$K$32,MATCH($C157,FIYAT!$C$2:$C$32,0)),"")</f>
        <v>шт</v>
      </c>
      <c r="J157" s="3" t="str">
        <f>IFERROR(INDEX(FIYAT!$L$2:$L$32,MATCH($C157,FIYAT!$C$2:$C$32,0)),"")</f>
        <v>abb</v>
      </c>
      <c r="K157" s="3" t="s">
        <v>16</v>
      </c>
      <c r="L157" s="3" t="s">
        <v>62</v>
      </c>
      <c r="M157" s="5">
        <f>IFERROR(INDEX(KURALLAR!$B$13:$B$23,MATCH($B157,KURALLAR!$A$13:$A$23,0)),0)</f>
        <v>21.8</v>
      </c>
      <c r="N157" s="5">
        <f t="shared" si="28"/>
        <v>218</v>
      </c>
    </row>
    <row r="158" spans="1:14" x14ac:dyDescent="0.25">
      <c r="A158" s="3" t="s">
        <v>95</v>
      </c>
      <c r="B158" s="3" t="s">
        <v>54</v>
      </c>
      <c r="C158" s="3" t="s">
        <v>63</v>
      </c>
      <c r="D158" s="3" t="str">
        <f>IFERROR(INDEX(FIYAT!$D$2:$D$32,MATCH($C158,FIYAT!$C$2:$C$32,0)),"АРТИКУЛ НЕ В FIYAT")</f>
        <v>Блок контактов MCB-10, 1НО</v>
      </c>
      <c r="E158" s="4">
        <f>IFERROR(INDEX(FIYAT!$I$2:$I$32,MATCH($C158,FIYAT!$C$2:$C$32,0)),"")</f>
        <v>2345.9539999999997</v>
      </c>
      <c r="F158" s="4">
        <f>IFERROR(INDEX(FIYAT!$J$2:$J$32,MATCH($C158,FIYAT!$C$2:$C$32,0)),"")</f>
        <v>2345.9539999999997</v>
      </c>
      <c r="G158" s="4">
        <f t="shared" si="27"/>
        <v>23459.539999999997</v>
      </c>
      <c r="H158" s="3">
        <v>10</v>
      </c>
      <c r="I158" s="3" t="str">
        <f>IFERROR(INDEX(FIYAT!$K$2:$K$32,MATCH($C158,FIYAT!$C$2:$C$32,0)),"")</f>
        <v>шт</v>
      </c>
      <c r="J158" s="3" t="str">
        <f>IFERROR(INDEX(FIYAT!$L$2:$L$32,MATCH($C158,FIYAT!$C$2:$C$32,0)),"")</f>
        <v>abb</v>
      </c>
      <c r="K158" s="3" t="s">
        <v>16</v>
      </c>
      <c r="L158" s="3" t="s">
        <v>64</v>
      </c>
      <c r="M158" s="5">
        <f>IFERROR(INDEX(KURALLAR!$B$13:$B$23,MATCH($B158,KURALLAR!$A$13:$A$23,0)),0)</f>
        <v>2</v>
      </c>
      <c r="N158" s="5">
        <f t="shared" si="28"/>
        <v>20</v>
      </c>
    </row>
    <row r="159" spans="1:14" s="21" customFormat="1" x14ac:dyDescent="0.25">
      <c r="A159" s="3" t="s">
        <v>95</v>
      </c>
      <c r="B159" s="19" t="s">
        <v>54</v>
      </c>
      <c r="C159" s="21" t="s">
        <v>285</v>
      </c>
      <c r="D159" s="20" t="s">
        <v>286</v>
      </c>
      <c r="E159" s="22">
        <v>3059</v>
      </c>
      <c r="F159" s="22">
        <v>3059</v>
      </c>
      <c r="G159" s="22">
        <f t="shared" si="27"/>
        <v>30590</v>
      </c>
      <c r="H159" s="19">
        <v>10</v>
      </c>
      <c r="I159" s="20" t="s">
        <v>72</v>
      </c>
      <c r="J159" s="20" t="s">
        <v>288</v>
      </c>
      <c r="K159" s="19" t="s">
        <v>16</v>
      </c>
      <c r="L159" s="19" t="s">
        <v>64</v>
      </c>
      <c r="M159" s="23">
        <f>IFERROR(INDEX(KURALLAR!$B$13:$B$23,MATCH($B159,KURALLAR!$A$13:$A$23,0)),0)</f>
        <v>2</v>
      </c>
      <c r="N159" s="23">
        <f t="shared" si="28"/>
        <v>20</v>
      </c>
    </row>
    <row r="160" spans="1:14" x14ac:dyDescent="0.25">
      <c r="A160" s="3" t="s">
        <v>95</v>
      </c>
      <c r="B160" s="3" t="s">
        <v>30</v>
      </c>
      <c r="C160" s="3" t="s">
        <v>65</v>
      </c>
      <c r="D160" s="3" t="str">
        <f>IFERROR(INDEX(FIYAT!$D$2:$D$32,MATCH($C160,FIYAT!$C$2:$C$32,0)),"АРТИКУЛ НЕ В FIYAT")</f>
        <v>Реле CR-P024AC2, 2 перекл., 8А, катушка 24В AC</v>
      </c>
      <c r="E160" s="4">
        <f>IFERROR(INDEX(FIYAT!$I$2:$I$32,MATCH($C160,FIYAT!$C$2:$C$32,0)),"")</f>
        <v>4334.915</v>
      </c>
      <c r="F160" s="4">
        <f>IFERROR(INDEX(FIYAT!$J$2:$J$32,MATCH($C160,FIYAT!$C$2:$C$32,0)),"")</f>
        <v>4334.915</v>
      </c>
      <c r="G160" s="4">
        <f t="shared" si="27"/>
        <v>86698.3</v>
      </c>
      <c r="H160" s="3">
        <v>20</v>
      </c>
      <c r="I160" s="3" t="str">
        <f>IFERROR(INDEX(FIYAT!$K$2:$K$32,MATCH($C160,FIYAT!$C$2:$C$32,0)),"")</f>
        <v>шт</v>
      </c>
      <c r="J160" s="3" t="str">
        <f>IFERROR(INDEX(FIYAT!$L$2:$L$32,MATCH($C160,FIYAT!$C$2:$C$32,0)),"")</f>
        <v>abb</v>
      </c>
      <c r="K160" s="3" t="s">
        <v>16</v>
      </c>
      <c r="L160" s="3" t="s">
        <v>66</v>
      </c>
      <c r="M160" s="5">
        <f>IFERROR(INDEX(KURALLAR!$B$13:$B$23,MATCH($B160,KURALLAR!$A$13:$A$23,0)),0)</f>
        <v>21.8</v>
      </c>
      <c r="N160" s="5">
        <f t="shared" si="28"/>
        <v>436</v>
      </c>
    </row>
    <row r="161" spans="1:14" s="21" customFormat="1" x14ac:dyDescent="0.25">
      <c r="A161" s="3" t="s">
        <v>95</v>
      </c>
      <c r="B161" s="20" t="s">
        <v>278</v>
      </c>
      <c r="C161" s="19" t="s">
        <v>291</v>
      </c>
      <c r="D161" s="21" t="s">
        <v>290</v>
      </c>
      <c r="E161" s="22">
        <v>4666.4085000000005</v>
      </c>
      <c r="F161" s="22">
        <v>4666.4085000000005</v>
      </c>
      <c r="G161" s="22">
        <f t="shared" si="27"/>
        <v>93328.170000000013</v>
      </c>
      <c r="H161" s="19">
        <v>20</v>
      </c>
      <c r="I161" s="20" t="s">
        <v>72</v>
      </c>
      <c r="J161" s="20" t="s">
        <v>113</v>
      </c>
      <c r="K161" s="19" t="s">
        <v>16</v>
      </c>
      <c r="L161" s="19" t="s">
        <v>40</v>
      </c>
      <c r="M161" s="23">
        <f>IFERROR(INDEX(KURALLAR!$B$13:$B$23,MATCH($B161,KURALLAR!$A$13:$A$23,0)),0)</f>
        <v>0</v>
      </c>
      <c r="N161" s="23">
        <f t="shared" si="28"/>
        <v>0</v>
      </c>
    </row>
    <row r="162" spans="1:14" s="21" customFormat="1" x14ac:dyDescent="0.25">
      <c r="A162" s="3" t="s">
        <v>95</v>
      </c>
      <c r="B162" s="19" t="s">
        <v>293</v>
      </c>
      <c r="C162" s="19"/>
      <c r="D162" s="20" t="s">
        <v>294</v>
      </c>
      <c r="E162" s="22">
        <v>30000</v>
      </c>
      <c r="F162" s="22">
        <v>30000</v>
      </c>
      <c r="G162" s="22">
        <f t="shared" si="27"/>
        <v>30000</v>
      </c>
      <c r="H162" s="19">
        <v>1</v>
      </c>
      <c r="I162" s="19" t="str">
        <f>IFERROR(INDEX(FIYAT!$K$2:$K$32,MATCH($C162,FIYAT!$C$2:$C$32,0)),"")</f>
        <v/>
      </c>
      <c r="J162" s="20" t="s">
        <v>295</v>
      </c>
      <c r="K162" s="19" t="s">
        <v>16</v>
      </c>
      <c r="L162" s="19" t="s">
        <v>68</v>
      </c>
      <c r="M162" s="23">
        <f>IFERROR(INDEX(KURALLAR!$B$13:$B$23,MATCH($B162,KURALLAR!$A$13:$A$23,0)),0)</f>
        <v>0</v>
      </c>
      <c r="N162" s="23">
        <f t="shared" si="28"/>
        <v>0</v>
      </c>
    </row>
    <row r="163" spans="1:14" s="21" customFormat="1" x14ac:dyDescent="0.25">
      <c r="A163" s="3" t="s">
        <v>95</v>
      </c>
      <c r="B163" s="19" t="s">
        <v>293</v>
      </c>
      <c r="C163" s="19"/>
      <c r="D163" s="19" t="s">
        <v>296</v>
      </c>
      <c r="E163" s="22">
        <v>20000</v>
      </c>
      <c r="F163" s="22">
        <v>20000</v>
      </c>
      <c r="G163" s="22">
        <f t="shared" si="27"/>
        <v>20000</v>
      </c>
      <c r="H163" s="19">
        <v>1</v>
      </c>
      <c r="I163" s="19" t="str">
        <f>IFERROR(INDEX(FIYAT!$K$2:$K$32,MATCH($C163,FIYAT!$C$2:$C$32,0)),"")</f>
        <v/>
      </c>
      <c r="J163" s="20" t="s">
        <v>295</v>
      </c>
      <c r="K163" s="19" t="s">
        <v>16</v>
      </c>
      <c r="L163" s="19" t="s">
        <v>68</v>
      </c>
      <c r="M163" s="23">
        <f>IFERROR(INDEX(KURALLAR!$B$13:$B$23,MATCH($B163,KURALLAR!$A$13:$A$23,0)),0)</f>
        <v>0</v>
      </c>
      <c r="N163" s="23">
        <f t="shared" si="28"/>
        <v>0</v>
      </c>
    </row>
    <row r="164" spans="1:14" x14ac:dyDescent="0.25">
      <c r="A164" s="3" t="s">
        <v>95</v>
      </c>
      <c r="B164" s="3" t="s">
        <v>20</v>
      </c>
      <c r="C164" s="3" t="s">
        <v>84</v>
      </c>
      <c r="D164" s="3" t="str">
        <f>IFERROR(INDEX(FIYAT!$D$2:$D$32,MATCH($C164,FIYAT!$C$2:$C$32,0)),"АРТИКУЛ НЕ В FIYAT")</f>
        <v>Авт. выкл. SH 203-C 16, 3P, 16А, х-ка C, 6кА</v>
      </c>
      <c r="E164" s="4">
        <f>IFERROR(INDEX(FIYAT!$I$2:$I$32,MATCH($C164,FIYAT!$C$2:$C$32,0)),"")</f>
        <v>18573.835800000001</v>
      </c>
      <c r="F164" s="4">
        <f>IFERROR(INDEX(FIYAT!$J$2:$J$32,MATCH($C164,FIYAT!$C$2:$C$32,0)),"")</f>
        <v>18573.835800000001</v>
      </c>
      <c r="G164" s="4">
        <f t="shared" si="27"/>
        <v>204312.19380000001</v>
      </c>
      <c r="H164" s="3">
        <v>11</v>
      </c>
      <c r="I164" s="3" t="str">
        <f>IFERROR(INDEX(FIYAT!$K$2:$K$32,MATCH($C164,FIYAT!$C$2:$C$32,0)),"")</f>
        <v>шт</v>
      </c>
      <c r="J164" s="3" t="str">
        <f>IFERROR(INDEX(FIYAT!$L$2:$L$32,MATCH($C164,FIYAT!$C$2:$C$32,0)),"")</f>
        <v>abb</v>
      </c>
      <c r="K164" s="3" t="s">
        <v>16</v>
      </c>
      <c r="L164" s="3" t="s">
        <v>85</v>
      </c>
      <c r="M164" s="5">
        <f>IFERROR(INDEX(KURALLAR!$B$13:$B$23,MATCH($B164,KURALLAR!$A$13:$A$23,0)),0)</f>
        <v>4</v>
      </c>
      <c r="N164" s="5">
        <f t="shared" si="28"/>
        <v>44</v>
      </c>
    </row>
    <row r="165" spans="1:14" x14ac:dyDescent="0.25">
      <c r="A165" s="3" t="s">
        <v>95</v>
      </c>
      <c r="B165" s="3" t="s">
        <v>20</v>
      </c>
      <c r="C165" s="3" t="s">
        <v>86</v>
      </c>
      <c r="D165" s="3" t="str">
        <f>IFERROR(INDEX(FIYAT!$D$2:$D$32,MATCH($C165,FIYAT!$C$2:$C$32,0)),"АРТИКУЛ НЕ В FIYAT")</f>
        <v>Авт. выкл. SH 203-C 10, 3P, 10А, х-ка C, 6кА</v>
      </c>
      <c r="E165" s="4">
        <f>IFERROR(INDEX(FIYAT!$I$2:$I$32,MATCH($C165,FIYAT!$C$2:$C$32,0)),"")</f>
        <v>18573.835800000001</v>
      </c>
      <c r="F165" s="4">
        <f>IFERROR(INDEX(FIYAT!$J$2:$J$32,MATCH($C165,FIYAT!$C$2:$C$32,0)),"")</f>
        <v>18573.835800000001</v>
      </c>
      <c r="G165" s="4">
        <f t="shared" si="27"/>
        <v>18573.835800000001</v>
      </c>
      <c r="H165" s="3">
        <v>1</v>
      </c>
      <c r="I165" s="3" t="str">
        <f>IFERROR(INDEX(FIYAT!$K$2:$K$32,MATCH($C165,FIYAT!$C$2:$C$32,0)),"")</f>
        <v>шт</v>
      </c>
      <c r="J165" s="3" t="str">
        <f>IFERROR(INDEX(FIYAT!$L$2:$L$32,MATCH($C165,FIYAT!$C$2:$C$32,0)),"")</f>
        <v>abb</v>
      </c>
      <c r="K165" s="3" t="s">
        <v>16</v>
      </c>
      <c r="L165" s="3" t="s">
        <v>87</v>
      </c>
      <c r="M165" s="5">
        <f>IFERROR(INDEX(KURALLAR!$B$13:$B$23,MATCH($B165,KURALLAR!$A$13:$A$23,0)),0)</f>
        <v>4</v>
      </c>
      <c r="N165" s="5">
        <f t="shared" si="28"/>
        <v>4</v>
      </c>
    </row>
    <row r="166" spans="1:14" x14ac:dyDescent="0.25">
      <c r="A166" s="3" t="s">
        <v>95</v>
      </c>
      <c r="B166" s="3" t="s">
        <v>20</v>
      </c>
      <c r="C166" s="3" t="s">
        <v>91</v>
      </c>
      <c r="D166" s="3" t="str">
        <f>IFERROR(INDEX(FIYAT!$D$2:$D$32,MATCH($C166,FIYAT!$C$2:$C$32,0)),"АРТИКУЛ НЕ В FIYAT")</f>
        <v>Авт. выкл. SH 203-C 32, 3P, 32А, х-ка C, 6кА</v>
      </c>
      <c r="E166" s="4">
        <f>IFERROR(INDEX(FIYAT!$I$2:$I$32,MATCH($C166,FIYAT!$C$2:$C$32,0)),"")</f>
        <v>23224.944599999999</v>
      </c>
      <c r="F166" s="4">
        <f>IFERROR(INDEX(FIYAT!$J$2:$J$32,MATCH($C166,FIYAT!$C$2:$C$32,0)),"")</f>
        <v>23224.944599999999</v>
      </c>
      <c r="G166" s="4">
        <f t="shared" si="27"/>
        <v>23224.944599999999</v>
      </c>
      <c r="H166" s="3">
        <v>1</v>
      </c>
      <c r="I166" s="3" t="str">
        <f>IFERROR(INDEX(FIYAT!$K$2:$K$32,MATCH($C166,FIYAT!$C$2:$C$32,0)),"")</f>
        <v>шт</v>
      </c>
      <c r="J166" s="3" t="str">
        <f>IFERROR(INDEX(FIYAT!$L$2:$L$32,MATCH($C166,FIYAT!$C$2:$C$32,0)),"")</f>
        <v>abb</v>
      </c>
      <c r="K166" s="3" t="s">
        <v>16</v>
      </c>
      <c r="L166" s="3" t="s">
        <v>92</v>
      </c>
      <c r="M166" s="5">
        <f>IFERROR(INDEX(KURALLAR!$B$13:$B$23,MATCH($B166,KURALLAR!$A$13:$A$23,0)),0)</f>
        <v>4</v>
      </c>
      <c r="N166" s="5">
        <f t="shared" si="28"/>
        <v>4</v>
      </c>
    </row>
    <row r="167" spans="1:14" x14ac:dyDescent="0.25">
      <c r="A167" s="3" t="s">
        <v>95</v>
      </c>
      <c r="B167" s="3" t="s">
        <v>20</v>
      </c>
      <c r="C167" s="3" t="s">
        <v>93</v>
      </c>
      <c r="D167" s="3" t="str">
        <f>IFERROR(INDEX(FIYAT!$D$2:$D$32,MATCH($C167,FIYAT!$C$2:$C$32,0)),"АРТИКУЛ НЕ В FIYAT")</f>
        <v>Авт. выкл. SH 203-C 63, 3P, 63А, х-ка C, 6кА</v>
      </c>
      <c r="E167" s="4">
        <f>IFERROR(INDEX(FIYAT!$I$2:$I$32,MATCH($C167,FIYAT!$C$2:$C$32,0)),"")</f>
        <v>31588.780599999998</v>
      </c>
      <c r="F167" s="4">
        <f>IFERROR(INDEX(FIYAT!$J$2:$J$32,MATCH($C167,FIYAT!$C$2:$C$32,0)),"")</f>
        <v>31588.780599999998</v>
      </c>
      <c r="G167" s="4">
        <f t="shared" si="27"/>
        <v>31588.780599999998</v>
      </c>
      <c r="H167" s="3">
        <v>1</v>
      </c>
      <c r="I167" s="3" t="str">
        <f>IFERROR(INDEX(FIYAT!$K$2:$K$32,MATCH($C167,FIYAT!$C$2:$C$32,0)),"")</f>
        <v>шт</v>
      </c>
      <c r="J167" s="3" t="str">
        <f>IFERROR(INDEX(FIYAT!$L$2:$L$32,MATCH($C167,FIYAT!$C$2:$C$32,0)),"")</f>
        <v>abb</v>
      </c>
      <c r="K167" s="3" t="s">
        <v>16</v>
      </c>
      <c r="L167" s="3" t="s">
        <v>94</v>
      </c>
      <c r="M167" s="5">
        <f>IFERROR(INDEX(KURALLAR!$B$13:$B$23,MATCH($B167,KURALLAR!$A$13:$A$23,0)),0)</f>
        <v>4</v>
      </c>
      <c r="N167" s="5">
        <f t="shared" si="28"/>
        <v>4</v>
      </c>
    </row>
    <row r="168" spans="1:14" x14ac:dyDescent="0.25">
      <c r="A168" s="3" t="s">
        <v>95</v>
      </c>
      <c r="B168" s="3" t="s">
        <v>71</v>
      </c>
      <c r="C168" s="3" t="s">
        <v>71</v>
      </c>
      <c r="D168" s="3" t="s">
        <v>71</v>
      </c>
      <c r="E168" s="4">
        <f>G169*KURALLAR!$C$8</f>
        <v>65596</v>
      </c>
      <c r="F168" s="4">
        <f>E168</f>
        <v>65596</v>
      </c>
      <c r="G168" s="4">
        <f>H168*F168</f>
        <v>65596</v>
      </c>
      <c r="H168" s="3">
        <v>1</v>
      </c>
      <c r="I168" s="3" t="s">
        <v>72</v>
      </c>
      <c r="J168" s="3" t="s">
        <v>71</v>
      </c>
      <c r="K168" s="3" t="s">
        <v>16</v>
      </c>
      <c r="L168" s="3"/>
      <c r="M168" s="5"/>
      <c r="N168" s="5"/>
    </row>
    <row r="169" spans="1:14" x14ac:dyDescent="0.25">
      <c r="A169" s="3" t="s">
        <v>95</v>
      </c>
      <c r="B169" s="3" t="s">
        <v>73</v>
      </c>
      <c r="C169" s="3" t="s">
        <v>73</v>
      </c>
      <c r="D169" s="3" t="s">
        <v>73</v>
      </c>
      <c r="E169" s="4">
        <f>KURALLAR!$C$6</f>
        <v>100</v>
      </c>
      <c r="F169" s="4">
        <f>E169</f>
        <v>100</v>
      </c>
      <c r="G169" s="4">
        <f>H169*F169</f>
        <v>163990</v>
      </c>
      <c r="H169" s="3">
        <f>SUM(N138:N167)*KURALLAR!$C$7</f>
        <v>1639.9</v>
      </c>
      <c r="I169" s="3" t="s">
        <v>74</v>
      </c>
      <c r="J169" s="3" t="s">
        <v>73</v>
      </c>
      <c r="K169" s="3" t="s">
        <v>16</v>
      </c>
      <c r="L169" s="3"/>
      <c r="M169" s="5"/>
      <c r="N169" s="5"/>
    </row>
    <row r="170" spans="1:14" x14ac:dyDescent="0.25">
      <c r="A170" s="6" t="s">
        <v>95</v>
      </c>
      <c r="B170" s="6"/>
      <c r="C170" s="6"/>
      <c r="D170" s="6" t="s">
        <v>75</v>
      </c>
      <c r="E170" s="7"/>
      <c r="F170" s="7"/>
      <c r="G170" s="7">
        <f>SUM(G138:G169)</f>
        <v>2214728.5551</v>
      </c>
      <c r="H170" s="6"/>
      <c r="I170" s="6"/>
      <c r="J170" s="6"/>
      <c r="K170" s="6" t="s">
        <v>16</v>
      </c>
      <c r="L170" s="6"/>
      <c r="M170" s="8"/>
      <c r="N170" s="8"/>
    </row>
    <row r="171" spans="1:14" x14ac:dyDescent="0.25">
      <c r="A171" s="2" t="s">
        <v>98</v>
      </c>
      <c r="B171" s="2"/>
      <c r="C171" s="2"/>
      <c r="D171" s="2" t="s">
        <v>98</v>
      </c>
      <c r="E171" s="2"/>
      <c r="F171" s="2"/>
      <c r="G171" s="2"/>
      <c r="H171" s="2">
        <v>1</v>
      </c>
      <c r="I171" s="2" t="s">
        <v>14</v>
      </c>
      <c r="J171" s="2" t="s">
        <v>15</v>
      </c>
      <c r="K171" s="2" t="s">
        <v>16</v>
      </c>
      <c r="L171" s="2"/>
      <c r="M171" s="2"/>
      <c r="N171" s="2"/>
    </row>
    <row r="172" spans="1:14" s="24" customFormat="1" x14ac:dyDescent="0.25">
      <c r="A172" s="3" t="s">
        <v>98</v>
      </c>
      <c r="B172" s="3" t="s">
        <v>297</v>
      </c>
      <c r="C172" s="3"/>
      <c r="D172" s="20" t="s">
        <v>303</v>
      </c>
      <c r="E172" s="4"/>
      <c r="F172" s="4">
        <f>E172*0.6</f>
        <v>0</v>
      </c>
      <c r="G172" s="4">
        <f t="shared" ref="G172" si="29">IF(OR(F172="",H172=""),"",H172*F172)</f>
        <v>0</v>
      </c>
      <c r="H172" s="3">
        <v>1</v>
      </c>
      <c r="I172" s="3" t="str">
        <f>IFERROR(INDEX(FIYAT!$K$2:$K$32,MATCH($C172,FIYAT!$C$2:$C$32,0)),"")</f>
        <v/>
      </c>
      <c r="J172" s="17" t="s">
        <v>302</v>
      </c>
      <c r="K172" s="3" t="s">
        <v>16</v>
      </c>
      <c r="L172" s="3" t="s">
        <v>68</v>
      </c>
      <c r="M172" s="5">
        <f>IFERROR(INDEX(KURALLAR!$B$13:$B$23,MATCH($B172,KURALLAR!$A$13:$A$23,0)),0)</f>
        <v>0</v>
      </c>
      <c r="N172" s="5">
        <f t="shared" ref="N172" si="30">H172*M172</f>
        <v>0</v>
      </c>
    </row>
    <row r="173" spans="1:14" x14ac:dyDescent="0.25">
      <c r="A173" s="3" t="s">
        <v>98</v>
      </c>
      <c r="B173" s="3" t="s">
        <v>17</v>
      </c>
      <c r="C173" s="3" t="s">
        <v>80</v>
      </c>
      <c r="D173" s="3" t="str">
        <f>IFERROR(INDEX(FIYAT!$D$2:$D$32,MATCH($C173,FIYAT!$C$2:$C$32,0)),"АРТИКУЛ НЕ В FIYAT")</f>
        <v>Авт. выкл. Tmax XT1N 160, TMD, In=80A, 3P, Icu 36кА</v>
      </c>
      <c r="E173" s="4">
        <f>IFERROR(INDEX(FIYAT!$I$2:$I$32,MATCH($C173,FIYAT!$C$2:$C$32,0)),"")</f>
        <v>125508.539</v>
      </c>
      <c r="F173" s="4">
        <f>IFERROR(INDEX(FIYAT!$J$2:$J$32,MATCH($C173,FIYAT!$C$2:$C$32,0)),"")</f>
        <v>125508.539</v>
      </c>
      <c r="G173" s="4">
        <f t="shared" ref="G173:G201" si="31">IF(OR(F173="",H173=""),"",H173*F173)</f>
        <v>125508.539</v>
      </c>
      <c r="H173" s="3">
        <v>1</v>
      </c>
      <c r="I173" s="3" t="str">
        <f>IFERROR(INDEX(FIYAT!$K$2:$K$32,MATCH($C173,FIYAT!$C$2:$C$32,0)),"")</f>
        <v>шт</v>
      </c>
      <c r="J173" s="3" t="str">
        <f>IFERROR(INDEX(FIYAT!$L$2:$L$32,MATCH($C173,FIYAT!$C$2:$C$32,0)),"")</f>
        <v>abb</v>
      </c>
      <c r="K173" s="3" t="s">
        <v>16</v>
      </c>
      <c r="L173" s="3" t="s">
        <v>81</v>
      </c>
      <c r="M173" s="5">
        <f>IFERROR(INDEX(KURALLAR!$B$13:$B$23,MATCH($B173,KURALLAR!$A$13:$A$23,0)),0)</f>
        <v>15.3</v>
      </c>
      <c r="N173" s="5">
        <f t="shared" ref="N173:N201" si="32">H173*M173</f>
        <v>15.3</v>
      </c>
    </row>
    <row r="174" spans="1:14" x14ac:dyDescent="0.25">
      <c r="A174" s="3" t="s">
        <v>98</v>
      </c>
      <c r="B174" s="3" t="s">
        <v>20</v>
      </c>
      <c r="C174" s="3" t="s">
        <v>21</v>
      </c>
      <c r="D174" s="3" t="str">
        <f>IFERROR(INDEX(FIYAT!$D$2:$D$32,MATCH($C174,FIYAT!$C$2:$C$32,0)),"АРТИКУЛ НЕ В FIYAT")</f>
        <v>Авт. выкл. SH 201-B 6, 1P, 6А, х-ка B, 6кА</v>
      </c>
      <c r="E174" s="4">
        <f>IFERROR(INDEX(FIYAT!$I$2:$I$32,MATCH($C174,FIYAT!$C$2:$C$32,0)),"")</f>
        <v>4503.2116999999998</v>
      </c>
      <c r="F174" s="4">
        <f>IFERROR(INDEX(FIYAT!$J$2:$J$32,MATCH($C174,FIYAT!$C$2:$C$32,0)),"")</f>
        <v>4503.2116999999998</v>
      </c>
      <c r="G174" s="4">
        <f t="shared" si="31"/>
        <v>67548.175499999998</v>
      </c>
      <c r="H174" s="3">
        <v>15</v>
      </c>
      <c r="I174" s="3" t="str">
        <f>IFERROR(INDEX(FIYAT!$K$2:$K$32,MATCH($C174,FIYAT!$C$2:$C$32,0)),"")</f>
        <v>шт</v>
      </c>
      <c r="J174" s="3" t="str">
        <f>IFERROR(INDEX(FIYAT!$L$2:$L$32,MATCH($C174,FIYAT!$C$2:$C$32,0)),"")</f>
        <v>abb</v>
      </c>
      <c r="K174" s="3" t="s">
        <v>16</v>
      </c>
      <c r="L174" s="3" t="s">
        <v>22</v>
      </c>
      <c r="M174" s="5">
        <f>IFERROR(INDEX(KURALLAR!$B$13:$B$23,MATCH($B174,KURALLAR!$A$13:$A$23,0)),0)</f>
        <v>4</v>
      </c>
      <c r="N174" s="5">
        <f t="shared" si="32"/>
        <v>60</v>
      </c>
    </row>
    <row r="175" spans="1:14" x14ac:dyDescent="0.25">
      <c r="A175" s="3" t="s">
        <v>98</v>
      </c>
      <c r="B175" s="3" t="s">
        <v>23</v>
      </c>
      <c r="C175" s="3" t="s">
        <v>24</v>
      </c>
      <c r="D175" s="3" t="str">
        <f>IFERROR(INDEX(FIYAT!$D$2:$D$32,MATCH($C175,FIYAT!$C$2:$C$32,0)),"АРТИКУЛ НЕ В FIYAT")</f>
        <v>Лампа сигнальная LED CL2-523R, 230В AC, красная</v>
      </c>
      <c r="E175" s="4">
        <f>IFERROR(INDEX(FIYAT!$I$2:$I$32,MATCH($C175,FIYAT!$C$2:$C$32,0)),"")</f>
        <v>4906.1037999999999</v>
      </c>
      <c r="F175" s="4">
        <f>IFERROR(INDEX(FIYAT!$J$2:$J$32,MATCH($C175,FIYAT!$C$2:$C$32,0)),"")</f>
        <v>4906.1037999999999</v>
      </c>
      <c r="G175" s="4">
        <f t="shared" si="31"/>
        <v>63779.349399999999</v>
      </c>
      <c r="H175" s="3">
        <v>13</v>
      </c>
      <c r="I175" s="3" t="str">
        <f>IFERROR(INDEX(FIYAT!$K$2:$K$32,MATCH($C175,FIYAT!$C$2:$C$32,0)),"")</f>
        <v>шт</v>
      </c>
      <c r="J175" s="3" t="str">
        <f>IFERROR(INDEX(FIYAT!$L$2:$L$32,MATCH($C175,FIYAT!$C$2:$C$32,0)),"")</f>
        <v>abb</v>
      </c>
      <c r="K175" s="3" t="s">
        <v>16</v>
      </c>
      <c r="L175" s="3" t="s">
        <v>25</v>
      </c>
      <c r="M175" s="5">
        <f>IFERROR(INDEX(KURALLAR!$B$13:$B$23,MATCH($B175,KURALLAR!$A$13:$A$23,0)),0)</f>
        <v>8</v>
      </c>
      <c r="N175" s="5">
        <f t="shared" si="32"/>
        <v>104</v>
      </c>
    </row>
    <row r="176" spans="1:14" x14ac:dyDescent="0.25">
      <c r="A176" s="3" t="s">
        <v>98</v>
      </c>
      <c r="B176" s="3" t="s">
        <v>23</v>
      </c>
      <c r="C176" s="3" t="s">
        <v>26</v>
      </c>
      <c r="D176" s="3" t="str">
        <f>IFERROR(INDEX(FIYAT!$D$2:$D$32,MATCH($C176,FIYAT!$C$2:$C$32,0)),"АРТИКУЛ НЕ В FIYAT")</f>
        <v>Лампа сигнальная LED CL2-523Y, 230В AC, жёлтая</v>
      </c>
      <c r="E176" s="4">
        <f>IFERROR(INDEX(FIYAT!$I$2:$I$32,MATCH($C176,FIYAT!$C$2:$C$32,0)),"")</f>
        <v>4906.1037999999999</v>
      </c>
      <c r="F176" s="4">
        <f>IFERROR(INDEX(FIYAT!$J$2:$J$32,MATCH($C176,FIYAT!$C$2:$C$32,0)),"")</f>
        <v>4906.1037999999999</v>
      </c>
      <c r="G176" s="4">
        <f t="shared" si="31"/>
        <v>4906.1037999999999</v>
      </c>
      <c r="H176" s="3">
        <v>1</v>
      </c>
      <c r="I176" s="3" t="str">
        <f>IFERROR(INDEX(FIYAT!$K$2:$K$32,MATCH($C176,FIYAT!$C$2:$C$32,0)),"")</f>
        <v>шт</v>
      </c>
      <c r="J176" s="3" t="str">
        <f>IFERROR(INDEX(FIYAT!$L$2:$L$32,MATCH($C176,FIYAT!$C$2:$C$32,0)),"")</f>
        <v>abb</v>
      </c>
      <c r="K176" s="3" t="s">
        <v>16</v>
      </c>
      <c r="L176" s="3" t="s">
        <v>27</v>
      </c>
      <c r="M176" s="5">
        <f>IFERROR(INDEX(KURALLAR!$B$13:$B$23,MATCH($B176,KURALLAR!$A$13:$A$23,0)),0)</f>
        <v>8</v>
      </c>
      <c r="N176" s="5">
        <f t="shared" si="32"/>
        <v>8</v>
      </c>
    </row>
    <row r="177" spans="1:14" x14ac:dyDescent="0.25">
      <c r="A177" s="3" t="s">
        <v>98</v>
      </c>
      <c r="B177" s="3" t="s">
        <v>23</v>
      </c>
      <c r="C177" s="3" t="s">
        <v>28</v>
      </c>
      <c r="D177" s="3" t="str">
        <f>IFERROR(INDEX(FIYAT!$D$2:$D$32,MATCH($C177,FIYAT!$C$2:$C$32,0)),"АРТИКУЛ НЕ В FIYAT")</f>
        <v>Лампа сигнальная LED CL2-523G, 230В AC, зелёная</v>
      </c>
      <c r="E177" s="4">
        <f>IFERROR(INDEX(FIYAT!$I$2:$I$32,MATCH($C177,FIYAT!$C$2:$C$32,0)),"")</f>
        <v>4906.1037999999999</v>
      </c>
      <c r="F177" s="4">
        <f>IFERROR(INDEX(FIYAT!$J$2:$J$32,MATCH($C177,FIYAT!$C$2:$C$32,0)),"")</f>
        <v>4906.1037999999999</v>
      </c>
      <c r="G177" s="4">
        <f t="shared" si="31"/>
        <v>63779.349399999999</v>
      </c>
      <c r="H177" s="3">
        <v>13</v>
      </c>
      <c r="I177" s="3" t="str">
        <f>IFERROR(INDEX(FIYAT!$K$2:$K$32,MATCH($C177,FIYAT!$C$2:$C$32,0)),"")</f>
        <v>шт</v>
      </c>
      <c r="J177" s="3" t="str">
        <f>IFERROR(INDEX(FIYAT!$L$2:$L$32,MATCH($C177,FIYAT!$C$2:$C$32,0)),"")</f>
        <v>abb</v>
      </c>
      <c r="K177" s="3" t="s">
        <v>16</v>
      </c>
      <c r="L177" s="3" t="s">
        <v>29</v>
      </c>
      <c r="M177" s="5">
        <f>IFERROR(INDEX(KURALLAR!$B$13:$B$23,MATCH($B177,KURALLAR!$A$13:$A$23,0)),0)</f>
        <v>8</v>
      </c>
      <c r="N177" s="5">
        <f t="shared" si="32"/>
        <v>104</v>
      </c>
    </row>
    <row r="178" spans="1:14" x14ac:dyDescent="0.25">
      <c r="A178" s="3" t="s">
        <v>98</v>
      </c>
      <c r="B178" s="3" t="s">
        <v>30</v>
      </c>
      <c r="C178" s="3" t="s">
        <v>31</v>
      </c>
      <c r="D178" s="3" t="str">
        <f>IFERROR(INDEX(FIYAT!$D$2:$D$32,MATCH($C178,FIYAT!$C$2:$C$32,0)),"АРТИКУЛ НЕ В FIYAT")</f>
        <v>Реле контроля фаз CM-PFE, 3x208-440В AC, 1 перекл. контакт</v>
      </c>
      <c r="E178" s="4">
        <f>IFERROR(INDEX(FIYAT!$I$2:$I$32,MATCH($C178,FIYAT!$C$2:$C$32,0)),"")</f>
        <v>73132.566000000006</v>
      </c>
      <c r="F178" s="4">
        <f>IFERROR(INDEX(FIYAT!$J$2:$J$32,MATCH($C178,FIYAT!$C$2:$C$32,0)),"")</f>
        <v>73132.566000000006</v>
      </c>
      <c r="G178" s="4">
        <f t="shared" si="31"/>
        <v>73132.566000000006</v>
      </c>
      <c r="H178" s="3">
        <v>1</v>
      </c>
      <c r="I178" s="3" t="str">
        <f>IFERROR(INDEX(FIYAT!$K$2:$K$32,MATCH($C178,FIYAT!$C$2:$C$32,0)),"")</f>
        <v>шт</v>
      </c>
      <c r="J178" s="3" t="str">
        <f>IFERROR(INDEX(FIYAT!$L$2:$L$32,MATCH($C178,FIYAT!$C$2:$C$32,0)),"")</f>
        <v>abb</v>
      </c>
      <c r="K178" s="3" t="s">
        <v>16</v>
      </c>
      <c r="L178" s="3" t="s">
        <v>32</v>
      </c>
      <c r="M178" s="5">
        <f>IFERROR(INDEX(KURALLAR!$B$13:$B$23,MATCH($B178,KURALLAR!$A$13:$A$23,0)),0)</f>
        <v>21.8</v>
      </c>
      <c r="N178" s="5">
        <f t="shared" si="32"/>
        <v>21.8</v>
      </c>
    </row>
    <row r="179" spans="1:14" x14ac:dyDescent="0.25">
      <c r="A179" s="3" t="s">
        <v>98</v>
      </c>
      <c r="B179" s="3" t="s">
        <v>33</v>
      </c>
      <c r="C179" s="3" t="s">
        <v>34</v>
      </c>
      <c r="D179" s="3" t="str">
        <f>IFERROR(INDEX(FIYAT!$D$2:$D$32,MATCH($C179,FIYAT!$C$2:$C$32,0)),"АРТИКУЛ НЕ В FIYAT")</f>
        <v>Держатель плавких вставок E 93/32, 3P, 10.3x38</v>
      </c>
      <c r="E179" s="4">
        <f>IFERROR(INDEX(FIYAT!$I$2:$I$32,MATCH($C179,FIYAT!$C$2:$C$32,0)),"")</f>
        <v>12693.651100000001</v>
      </c>
      <c r="F179" s="4">
        <f>IFERROR(INDEX(FIYAT!$J$2:$J$32,MATCH($C179,FIYAT!$C$2:$C$32,0)),"")</f>
        <v>12693.651100000001</v>
      </c>
      <c r="G179" s="4">
        <f t="shared" si="31"/>
        <v>12693.651100000001</v>
      </c>
      <c r="H179" s="3">
        <v>1</v>
      </c>
      <c r="I179" s="3" t="str">
        <f>IFERROR(INDEX(FIYAT!$K$2:$K$32,MATCH($C179,FIYAT!$C$2:$C$32,0)),"")</f>
        <v>шт</v>
      </c>
      <c r="J179" s="3" t="str">
        <f>IFERROR(INDEX(FIYAT!$L$2:$L$32,MATCH($C179,FIYAT!$C$2:$C$32,0)),"")</f>
        <v>abb</v>
      </c>
      <c r="K179" s="3" t="s">
        <v>16</v>
      </c>
      <c r="L179" s="3" t="s">
        <v>35</v>
      </c>
      <c r="M179" s="5">
        <f>IFERROR(INDEX(KURALLAR!$B$13:$B$23,MATCH($B179,KURALLAR!$A$13:$A$23,0)),0)</f>
        <v>4</v>
      </c>
      <c r="N179" s="5">
        <f t="shared" si="32"/>
        <v>4</v>
      </c>
    </row>
    <row r="180" spans="1:14" x14ac:dyDescent="0.25">
      <c r="A180" s="3" t="s">
        <v>98</v>
      </c>
      <c r="B180" s="3" t="s">
        <v>36</v>
      </c>
      <c r="C180" s="3" t="s">
        <v>37</v>
      </c>
      <c r="D180" s="3" t="str">
        <f>IFERROR(INDEX(FIYAT!$D$2:$D$32,MATCH($C180,FIYAT!$C$2:$C$32,0)),"АРТИКУЛ НЕ В FIYAT")</f>
        <v>Плавкая вставка E 9F10 GG6, 10.3x38, 6А gG</v>
      </c>
      <c r="E180" s="4">
        <f>IFERROR(INDEX(FIYAT!$I$2:$I$32,MATCH($C180,FIYAT!$C$2:$C$32,0)),"")</f>
        <v>1943.0619000000002</v>
      </c>
      <c r="F180" s="4">
        <f>IFERROR(INDEX(FIYAT!$J$2:$J$32,MATCH($C180,FIYAT!$C$2:$C$32,0)),"")</f>
        <v>1943.0619000000002</v>
      </c>
      <c r="G180" s="4">
        <f t="shared" si="31"/>
        <v>5829.1857</v>
      </c>
      <c r="H180" s="3">
        <v>3</v>
      </c>
      <c r="I180" s="3" t="str">
        <f>IFERROR(INDEX(FIYAT!$K$2:$K$32,MATCH($C180,FIYAT!$C$2:$C$32,0)),"")</f>
        <v>шт</v>
      </c>
      <c r="J180" s="3" t="str">
        <f>IFERROR(INDEX(FIYAT!$L$2:$L$32,MATCH($C180,FIYAT!$C$2:$C$32,0)),"")</f>
        <v>abb</v>
      </c>
      <c r="K180" s="3" t="s">
        <v>16</v>
      </c>
      <c r="L180" s="3" t="s">
        <v>38</v>
      </c>
      <c r="M180" s="5">
        <f>IFERROR(INDEX(KURALLAR!$B$13:$B$23,MATCH($B180,KURALLAR!$A$13:$A$23,0)),0)</f>
        <v>0</v>
      </c>
      <c r="N180" s="5">
        <f t="shared" si="32"/>
        <v>0</v>
      </c>
    </row>
    <row r="181" spans="1:14" x14ac:dyDescent="0.25">
      <c r="A181" s="3" t="s">
        <v>98</v>
      </c>
      <c r="B181" s="3" t="s">
        <v>30</v>
      </c>
      <c r="C181" s="3" t="s">
        <v>39</v>
      </c>
      <c r="D181" s="3" t="str">
        <f>IFERROR(INDEX(FIYAT!$D$2:$D$32,MATCH($C181,FIYAT!$C$2:$C$32,0)),"АРТИКУЛ НЕ В FIYAT")</f>
        <v>Реле CR-M230AC4, 4 перекл., катушка 230В AC</v>
      </c>
      <c r="E181" s="4">
        <f>IFERROR(INDEX(FIYAT!$I$2:$I$32,MATCH($C181,FIYAT!$C$2:$C$32,0)),"")</f>
        <v>6543.1716999999999</v>
      </c>
      <c r="F181" s="4">
        <f>IFERROR(INDEX(FIYAT!$J$2:$J$32,MATCH($C181,FIYAT!$C$2:$C$32,0)),"")</f>
        <v>6543.1716999999999</v>
      </c>
      <c r="G181" s="4">
        <f t="shared" si="31"/>
        <v>163579.29250000001</v>
      </c>
      <c r="H181" s="3">
        <v>25</v>
      </c>
      <c r="I181" s="3" t="str">
        <f>IFERROR(INDEX(FIYAT!$K$2:$K$32,MATCH($C181,FIYAT!$C$2:$C$32,0)),"")</f>
        <v>шт</v>
      </c>
      <c r="J181" s="3" t="str">
        <f>IFERROR(INDEX(FIYAT!$L$2:$L$32,MATCH($C181,FIYAT!$C$2:$C$32,0)),"")</f>
        <v>abb</v>
      </c>
      <c r="K181" s="3" t="s">
        <v>16</v>
      </c>
      <c r="L181" s="3" t="s">
        <v>40</v>
      </c>
      <c r="M181" s="5">
        <f>IFERROR(INDEX(KURALLAR!$B$13:$B$23,MATCH($B181,KURALLAR!$A$13:$A$23,0)),0)</f>
        <v>21.8</v>
      </c>
      <c r="N181" s="5">
        <f t="shared" si="32"/>
        <v>545</v>
      </c>
    </row>
    <row r="182" spans="1:14" s="21" customFormat="1" x14ac:dyDescent="0.25">
      <c r="A182" s="19" t="s">
        <v>13</v>
      </c>
      <c r="B182" s="20" t="s">
        <v>278</v>
      </c>
      <c r="C182" s="19" t="s">
        <v>277</v>
      </c>
      <c r="D182" s="21" t="s">
        <v>280</v>
      </c>
      <c r="E182" s="22">
        <v>4334.915</v>
      </c>
      <c r="F182" s="22">
        <v>4334.915</v>
      </c>
      <c r="G182" s="22">
        <f t="shared" si="31"/>
        <v>108372.875</v>
      </c>
      <c r="H182" s="19">
        <v>25</v>
      </c>
      <c r="I182" s="20" t="s">
        <v>72</v>
      </c>
      <c r="J182" s="20" t="s">
        <v>113</v>
      </c>
      <c r="K182" s="19" t="s">
        <v>16</v>
      </c>
      <c r="L182" s="19" t="s">
        <v>40</v>
      </c>
      <c r="M182" s="23">
        <f>IFERROR(INDEX(KURALLAR!$B$13:$B$23,MATCH($B182,KURALLAR!$A$13:$A$23,0)),0)</f>
        <v>0</v>
      </c>
      <c r="N182" s="23">
        <f t="shared" si="32"/>
        <v>0</v>
      </c>
    </row>
    <row r="183" spans="1:14" x14ac:dyDescent="0.25">
      <c r="A183" s="3" t="s">
        <v>98</v>
      </c>
      <c r="B183" s="3" t="s">
        <v>20</v>
      </c>
      <c r="C183" s="3" t="s">
        <v>41</v>
      </c>
      <c r="D183" s="3" t="str">
        <f>IFERROR(INDEX(FIYAT!$D$2:$D$32,MATCH($C183,FIYAT!$C$2:$C$32,0)),"АРТИКУЛ НЕ В FIYAT")</f>
        <v>Авт. выкл. S 202-C 10, 2P, 10А, х-ка C</v>
      </c>
      <c r="E183" s="4">
        <f>IFERROR(INDEX(FIYAT!$I$2:$I$32,MATCH($C183,FIYAT!$C$2:$C$32,0)),"")</f>
        <v>19241.922699999999</v>
      </c>
      <c r="F183" s="4">
        <f>IFERROR(INDEX(FIYAT!$J$2:$J$32,MATCH($C183,FIYAT!$C$2:$C$32,0)),"")</f>
        <v>19241.922699999999</v>
      </c>
      <c r="G183" s="4">
        <f t="shared" si="31"/>
        <v>38483.845399999998</v>
      </c>
      <c r="H183" s="3">
        <v>2</v>
      </c>
      <c r="I183" s="3" t="str">
        <f>IFERROR(INDEX(FIYAT!$K$2:$K$32,MATCH($C183,FIYAT!$C$2:$C$32,0)),"")</f>
        <v>шт</v>
      </c>
      <c r="J183" s="3" t="str">
        <f>IFERROR(INDEX(FIYAT!$L$2:$L$32,MATCH($C183,FIYAT!$C$2:$C$32,0)),"")</f>
        <v>abb</v>
      </c>
      <c r="K183" s="3" t="s">
        <v>16</v>
      </c>
      <c r="L183" s="3" t="s">
        <v>42</v>
      </c>
      <c r="M183" s="5">
        <f>IFERROR(INDEX(KURALLAR!$B$13:$B$23,MATCH($B183,KURALLAR!$A$13:$A$23,0)),0)</f>
        <v>4</v>
      </c>
      <c r="N183" s="5">
        <f t="shared" si="32"/>
        <v>8</v>
      </c>
    </row>
    <row r="184" spans="1:14" x14ac:dyDescent="0.25">
      <c r="A184" s="3" t="s">
        <v>98</v>
      </c>
      <c r="B184" s="3" t="s">
        <v>43</v>
      </c>
      <c r="C184" s="3" t="s">
        <v>44</v>
      </c>
      <c r="D184" s="3" t="str">
        <f>IFERROR(INDEX(FIYAT!$D$2:$D$32,MATCH($C184,FIYAT!$C$2:$C$32,0)),"АРТИКУЛ НЕ В FIYAT")</f>
        <v>Кнопка CP1-10B-10, чёрная, 1НО, без фиксации</v>
      </c>
      <c r="E184" s="4">
        <f>IFERROR(INDEX(FIYAT!$I$2:$I$32,MATCH($C184,FIYAT!$C$2:$C$32,0)),"")</f>
        <v>3187.4375</v>
      </c>
      <c r="F184" s="4">
        <f>IFERROR(INDEX(FIYAT!$J$2:$J$32,MATCH($C184,FIYAT!$C$2:$C$32,0)),"")</f>
        <v>3187.4375</v>
      </c>
      <c r="G184" s="4">
        <f t="shared" si="31"/>
        <v>3187.4375</v>
      </c>
      <c r="H184" s="3">
        <v>1</v>
      </c>
      <c r="I184" s="3" t="str">
        <f>IFERROR(INDEX(FIYAT!$K$2:$K$32,MATCH($C184,FIYAT!$C$2:$C$32,0)),"")</f>
        <v>шт</v>
      </c>
      <c r="J184" s="3" t="str">
        <f>IFERROR(INDEX(FIYAT!$L$2:$L$32,MATCH($C184,FIYAT!$C$2:$C$32,0)),"")</f>
        <v>abb</v>
      </c>
      <c r="K184" s="3" t="s">
        <v>16</v>
      </c>
      <c r="L184" s="3" t="s">
        <v>45</v>
      </c>
      <c r="M184" s="5">
        <f>IFERROR(INDEX(KURALLAR!$B$13:$B$23,MATCH($B184,KURALLAR!$A$13:$A$23,0)),0)</f>
        <v>8</v>
      </c>
      <c r="N184" s="5">
        <f t="shared" si="32"/>
        <v>8</v>
      </c>
    </row>
    <row r="185" spans="1:14" x14ac:dyDescent="0.25">
      <c r="A185" s="3" t="s">
        <v>98</v>
      </c>
      <c r="B185" s="3" t="s">
        <v>46</v>
      </c>
      <c r="C185" s="3" t="s">
        <v>47</v>
      </c>
      <c r="D185" s="3" t="str">
        <f>IFERROR(INDEX(FIYAT!$D$2:$D$32,MATCH($C185,FIYAT!$C$2:$C$32,0)),"АРТИКУЛ НЕ В FIYAT")</f>
        <v>Автомат защиты двигателя MS116-2.5 (1.6-2.5А)</v>
      </c>
      <c r="E185" s="4">
        <f>IFERROR(INDEX(FIYAT!$I$2:$I$32,MATCH($C185,FIYAT!$C$2:$C$32,0)),"")</f>
        <v>31889.6747</v>
      </c>
      <c r="F185" s="4">
        <f>IFERROR(INDEX(FIYAT!$J$2:$J$32,MATCH($C185,FIYAT!$C$2:$C$32,0)),"")</f>
        <v>31889.6747</v>
      </c>
      <c r="G185" s="4">
        <f t="shared" si="31"/>
        <v>255117.3976</v>
      </c>
      <c r="H185" s="3">
        <v>8</v>
      </c>
      <c r="I185" s="3" t="str">
        <f>IFERROR(INDEX(FIYAT!$K$2:$K$32,MATCH($C185,FIYAT!$C$2:$C$32,0)),"")</f>
        <v>шт</v>
      </c>
      <c r="J185" s="3" t="str">
        <f>IFERROR(INDEX(FIYAT!$L$2:$L$32,MATCH($C185,FIYAT!$C$2:$C$32,0)),"")</f>
        <v>abb</v>
      </c>
      <c r="K185" s="3" t="s">
        <v>16</v>
      </c>
      <c r="L185" s="3" t="s">
        <v>48</v>
      </c>
      <c r="M185" s="5">
        <f>IFERROR(INDEX(KURALLAR!$B$13:$B$23,MATCH($B185,KURALLAR!$A$13:$A$23,0)),0)</f>
        <v>2</v>
      </c>
      <c r="N185" s="5">
        <f t="shared" si="32"/>
        <v>16</v>
      </c>
    </row>
    <row r="186" spans="1:14" x14ac:dyDescent="0.25">
      <c r="A186" s="3" t="s">
        <v>98</v>
      </c>
      <c r="B186" s="3" t="s">
        <v>46</v>
      </c>
      <c r="C186" s="3" t="s">
        <v>49</v>
      </c>
      <c r="D186" s="3" t="str">
        <f>IFERROR(INDEX(FIYAT!$D$2:$D$32,MATCH($C186,FIYAT!$C$2:$C$32,0)),"АРТИКУЛ НЕ В FIYAT")</f>
        <v>Автомат защиты двигателя MS116-6.3 (4-6.3А)</v>
      </c>
      <c r="E186" s="4">
        <f>IFERROR(INDEX(FIYAT!$I$2:$I$32,MATCH($C186,FIYAT!$C$2:$C$32,0)),"")</f>
        <v>31889.6747</v>
      </c>
      <c r="F186" s="4">
        <f>IFERROR(INDEX(FIYAT!$J$2:$J$32,MATCH($C186,FIYAT!$C$2:$C$32,0)),"")</f>
        <v>31889.6747</v>
      </c>
      <c r="G186" s="4">
        <f t="shared" si="31"/>
        <v>31889.6747</v>
      </c>
      <c r="H186" s="3">
        <v>1</v>
      </c>
      <c r="I186" s="3" t="str">
        <f>IFERROR(INDEX(FIYAT!$K$2:$K$32,MATCH($C186,FIYAT!$C$2:$C$32,0)),"")</f>
        <v>шт</v>
      </c>
      <c r="J186" s="3" t="str">
        <f>IFERROR(INDEX(FIYAT!$L$2:$L$32,MATCH($C186,FIYAT!$C$2:$C$32,0)),"")</f>
        <v>abb</v>
      </c>
      <c r="K186" s="3" t="s">
        <v>16</v>
      </c>
      <c r="L186" s="3" t="s">
        <v>50</v>
      </c>
      <c r="M186" s="5">
        <f>IFERROR(INDEX(KURALLAR!$B$13:$B$23,MATCH($B186,KURALLAR!$A$13:$A$23,0)),0)</f>
        <v>2</v>
      </c>
      <c r="N186" s="5">
        <f t="shared" si="32"/>
        <v>2</v>
      </c>
    </row>
    <row r="187" spans="1:14" x14ac:dyDescent="0.25">
      <c r="A187" s="3" t="s">
        <v>98</v>
      </c>
      <c r="B187" s="3" t="s">
        <v>46</v>
      </c>
      <c r="C187" s="3" t="s">
        <v>77</v>
      </c>
      <c r="D187" s="3" t="str">
        <f>IFERROR(INDEX(FIYAT!$D$2:$D$32,MATCH($C187,FIYAT!$C$2:$C$32,0)),"АРТИКУЛ НЕ В FIYAT")</f>
        <v>Автомат защиты двигателя MS116-10 (6.3-10А)</v>
      </c>
      <c r="E187" s="4">
        <f>IFERROR(INDEX(FIYAT!$I$2:$I$32,MATCH($C187,FIYAT!$C$2:$C$32,0)),"")</f>
        <v>34256.028299999998</v>
      </c>
      <c r="F187" s="4">
        <f>IFERROR(INDEX(FIYAT!$J$2:$J$32,MATCH($C187,FIYAT!$C$2:$C$32,0)),"")</f>
        <v>34256.028299999998</v>
      </c>
      <c r="G187" s="4">
        <f t="shared" si="31"/>
        <v>102768.08489999999</v>
      </c>
      <c r="H187" s="3">
        <v>3</v>
      </c>
      <c r="I187" s="3" t="str">
        <f>IFERROR(INDEX(FIYAT!$K$2:$K$32,MATCH($C187,FIYAT!$C$2:$C$32,0)),"")</f>
        <v>шт</v>
      </c>
      <c r="J187" s="3" t="str">
        <f>IFERROR(INDEX(FIYAT!$L$2:$L$32,MATCH($C187,FIYAT!$C$2:$C$32,0)),"")</f>
        <v>abb</v>
      </c>
      <c r="K187" s="3" t="s">
        <v>16</v>
      </c>
      <c r="L187" s="3" t="s">
        <v>78</v>
      </c>
      <c r="M187" s="5">
        <f>IFERROR(INDEX(KURALLAR!$B$13:$B$23,MATCH($B187,KURALLAR!$A$13:$A$23,0)),0)</f>
        <v>2</v>
      </c>
      <c r="N187" s="5">
        <f t="shared" si="32"/>
        <v>6</v>
      </c>
    </row>
    <row r="188" spans="1:14" x14ac:dyDescent="0.25">
      <c r="A188" s="3" t="s">
        <v>98</v>
      </c>
      <c r="B188" s="3" t="s">
        <v>51</v>
      </c>
      <c r="C188" s="3" t="s">
        <v>52</v>
      </c>
      <c r="D188" s="3" t="str">
        <f>IFERROR(INDEX(FIYAT!$D$2:$D$32,MATCH($C188,FIYAT!$C$2:$C$32,0)),"АРТИКУЛ НЕ В FIYAT")</f>
        <v>Контактор AF09-30-10, 3P, 9А AC3, 1НО, катушка 100-250В AC/DC</v>
      </c>
      <c r="E188" s="4">
        <f>IFERROR(INDEX(FIYAT!$I$2:$I$32,MATCH($C188,FIYAT!$C$2:$C$32,0)),"")</f>
        <v>19333.7209</v>
      </c>
      <c r="F188" s="4">
        <f>IFERROR(INDEX(FIYAT!$J$2:$J$32,MATCH($C188,FIYAT!$C$2:$C$32,0)),"")</f>
        <v>19333.7209</v>
      </c>
      <c r="G188" s="4">
        <f t="shared" si="31"/>
        <v>135336.04629999999</v>
      </c>
      <c r="H188" s="3">
        <v>7</v>
      </c>
      <c r="I188" s="3" t="str">
        <f>IFERROR(INDEX(FIYAT!$K$2:$K$32,MATCH($C188,FIYAT!$C$2:$C$32,0)),"")</f>
        <v>шт</v>
      </c>
      <c r="J188" s="3" t="str">
        <f>IFERROR(INDEX(FIYAT!$L$2:$L$32,MATCH($C188,FIYAT!$C$2:$C$32,0)),"")</f>
        <v>abb</v>
      </c>
      <c r="K188" s="3" t="s">
        <v>16</v>
      </c>
      <c r="L188" s="3" t="s">
        <v>53</v>
      </c>
      <c r="M188" s="5">
        <f>IFERROR(INDEX(KURALLAR!$B$13:$B$23,MATCH($B188,KURALLAR!$A$13:$A$23,0)),0)</f>
        <v>5.9</v>
      </c>
      <c r="N188" s="5">
        <f t="shared" si="32"/>
        <v>41.300000000000004</v>
      </c>
    </row>
    <row r="189" spans="1:14" x14ac:dyDescent="0.25">
      <c r="A189" s="3" t="s">
        <v>98</v>
      </c>
      <c r="B189" s="3" t="s">
        <v>51</v>
      </c>
      <c r="C189" s="3" t="s">
        <v>82</v>
      </c>
      <c r="D189" s="3" t="str">
        <f>IFERROR(INDEX(FIYAT!$D$2:$D$32,MATCH($C189,FIYAT!$C$2:$C$32,0)),"АРТИКУЛ НЕ В FIYAT")</f>
        <v>Контактор AF12-30-10, 3P, 12А AC3, 1НО, катушка 100-250В AC/DC</v>
      </c>
      <c r="E189" s="4">
        <f>IFERROR(INDEX(FIYAT!$I$2:$I$32,MATCH($C189,FIYAT!$C$2:$C$32,0)),"")</f>
        <v>20216.0036</v>
      </c>
      <c r="F189" s="4">
        <f>IFERROR(INDEX(FIYAT!$J$2:$J$32,MATCH($C189,FIYAT!$C$2:$C$32,0)),"")</f>
        <v>20216.0036</v>
      </c>
      <c r="G189" s="4">
        <f t="shared" si="31"/>
        <v>101080.018</v>
      </c>
      <c r="H189" s="3">
        <v>5</v>
      </c>
      <c r="I189" s="3" t="str">
        <f>IFERROR(INDEX(FIYAT!$K$2:$K$32,MATCH($C189,FIYAT!$C$2:$C$32,0)),"")</f>
        <v>шт</v>
      </c>
      <c r="J189" s="3" t="str">
        <f>IFERROR(INDEX(FIYAT!$L$2:$L$32,MATCH($C189,FIYAT!$C$2:$C$32,0)),"")</f>
        <v>abb</v>
      </c>
      <c r="K189" s="3" t="s">
        <v>16</v>
      </c>
      <c r="L189" s="3" t="s">
        <v>83</v>
      </c>
      <c r="M189" s="5">
        <f>IFERROR(INDEX(KURALLAR!$B$13:$B$23,MATCH($B189,KURALLAR!$A$13:$A$23,0)),0)</f>
        <v>5.9</v>
      </c>
      <c r="N189" s="5">
        <f t="shared" si="32"/>
        <v>29.5</v>
      </c>
    </row>
    <row r="190" spans="1:14" x14ac:dyDescent="0.25">
      <c r="A190" s="3" t="s">
        <v>98</v>
      </c>
      <c r="B190" s="3" t="s">
        <v>54</v>
      </c>
      <c r="C190" s="3" t="s">
        <v>55</v>
      </c>
      <c r="D190" s="3" t="str">
        <f>IFERROR(INDEX(FIYAT!$D$2:$D$32,MATCH($C190,FIYAT!$C$2:$C$32,0)),"АРТИКУЛ НЕ В FIYAT")</f>
        <v>Блок доп. контактов боковой CAL4-11 (1НО+1НЗ) для AF09...AF96</v>
      </c>
      <c r="E190" s="4">
        <f>IFERROR(INDEX(FIYAT!$I$2:$I$32,MATCH($C190,FIYAT!$C$2:$C$32,0)),"")</f>
        <v>6201.4784</v>
      </c>
      <c r="F190" s="4">
        <f>IFERROR(INDEX(FIYAT!$J$2:$J$32,MATCH($C190,FIYAT!$C$2:$C$32,0)),"")</f>
        <v>6201.4784</v>
      </c>
      <c r="G190" s="4">
        <f t="shared" si="31"/>
        <v>74417.7408</v>
      </c>
      <c r="H190" s="3">
        <v>12</v>
      </c>
      <c r="I190" s="3" t="str">
        <f>IFERROR(INDEX(FIYAT!$K$2:$K$32,MATCH($C190,FIYAT!$C$2:$C$32,0)),"")</f>
        <v>шт</v>
      </c>
      <c r="J190" s="3" t="str">
        <f>IFERROR(INDEX(FIYAT!$L$2:$L$32,MATCH($C190,FIYAT!$C$2:$C$32,0)),"")</f>
        <v>abb</v>
      </c>
      <c r="K190" s="3" t="s">
        <v>16</v>
      </c>
      <c r="L190" s="3" t="s">
        <v>56</v>
      </c>
      <c r="M190" s="5">
        <f>IFERROR(INDEX(KURALLAR!$B$13:$B$23,MATCH($B190,KURALLAR!$A$13:$A$23,0)),0)</f>
        <v>2</v>
      </c>
      <c r="N190" s="5">
        <f t="shared" si="32"/>
        <v>24</v>
      </c>
    </row>
    <row r="191" spans="1:14" x14ac:dyDescent="0.25">
      <c r="A191" s="3" t="s">
        <v>98</v>
      </c>
      <c r="B191" s="3" t="s">
        <v>54</v>
      </c>
      <c r="C191" s="3" t="s">
        <v>57</v>
      </c>
      <c r="D191" s="3" t="str">
        <f>IFERROR(INDEX(FIYAT!$D$2:$D$32,MATCH($C191,FIYAT!$C$2:$C$32,0)),"АРТИКУЛ НЕ В FIYAT")</f>
        <v>Блок доп. контактов HKF1-11 (1НО+1НЗ), верхний, для MS116</v>
      </c>
      <c r="E191" s="4">
        <f>IFERROR(INDEX(FIYAT!$I$2:$I$32,MATCH($C191,FIYAT!$C$2:$C$32,0)),"")</f>
        <v>4793.9059999999999</v>
      </c>
      <c r="F191" s="4">
        <f>IFERROR(INDEX(FIYAT!$J$2:$J$32,MATCH($C191,FIYAT!$C$2:$C$32,0)),"")</f>
        <v>4793.9059999999999</v>
      </c>
      <c r="G191" s="4">
        <f t="shared" si="31"/>
        <v>57526.872000000003</v>
      </c>
      <c r="H191" s="3">
        <v>12</v>
      </c>
      <c r="I191" s="3" t="str">
        <f>IFERROR(INDEX(FIYAT!$K$2:$K$32,MATCH($C191,FIYAT!$C$2:$C$32,0)),"")</f>
        <v>шт</v>
      </c>
      <c r="J191" s="3" t="str">
        <f>IFERROR(INDEX(FIYAT!$L$2:$L$32,MATCH($C191,FIYAT!$C$2:$C$32,0)),"")</f>
        <v>abb</v>
      </c>
      <c r="K191" s="3" t="s">
        <v>16</v>
      </c>
      <c r="L191" s="3" t="s">
        <v>58</v>
      </c>
      <c r="M191" s="5">
        <f>IFERROR(INDEX(KURALLAR!$B$13:$B$23,MATCH($B191,KURALLAR!$A$13:$A$23,0)),0)</f>
        <v>2</v>
      </c>
      <c r="N191" s="5">
        <f t="shared" si="32"/>
        <v>24</v>
      </c>
    </row>
    <row r="192" spans="1:14" x14ac:dyDescent="0.25">
      <c r="A192" s="3" t="s">
        <v>98</v>
      </c>
      <c r="B192" s="3" t="s">
        <v>54</v>
      </c>
      <c r="C192" s="3" t="s">
        <v>59</v>
      </c>
      <c r="D192" s="3" t="str">
        <f>IFERROR(INDEX(FIYAT!$D$2:$D$32,MATCH($C192,FIYAT!$C$2:$C$32,0)),"АРТИКУЛ НЕ В FIYAT")</f>
        <v>Контакт сигнализации SK1-11 (1НО+1НЗ), боковой, для MS116</v>
      </c>
      <c r="E192" s="4">
        <f>IFERROR(INDEX(FIYAT!$I$2:$I$32,MATCH($C192,FIYAT!$C$2:$C$32,0)),"")</f>
        <v>9766.3084999999992</v>
      </c>
      <c r="F192" s="4">
        <f>IFERROR(INDEX(FIYAT!$J$2:$J$32,MATCH($C192,FIYAT!$C$2:$C$32,0)),"")</f>
        <v>9766.3084999999992</v>
      </c>
      <c r="G192" s="4">
        <f t="shared" si="31"/>
        <v>117195.70199999999</v>
      </c>
      <c r="H192" s="3">
        <v>12</v>
      </c>
      <c r="I192" s="3" t="str">
        <f>IFERROR(INDEX(FIYAT!$K$2:$K$32,MATCH($C192,FIYAT!$C$2:$C$32,0)),"")</f>
        <v>шт</v>
      </c>
      <c r="J192" s="3" t="str">
        <f>IFERROR(INDEX(FIYAT!$L$2:$L$32,MATCH($C192,FIYAT!$C$2:$C$32,0)),"")</f>
        <v>abb</v>
      </c>
      <c r="K192" s="3" t="s">
        <v>16</v>
      </c>
      <c r="L192" s="3" t="s">
        <v>58</v>
      </c>
      <c r="M192" s="5">
        <f>IFERROR(INDEX(KURALLAR!$B$13:$B$23,MATCH($B192,KURALLAR!$A$13:$A$23,0)),0)</f>
        <v>2</v>
      </c>
      <c r="N192" s="5">
        <f t="shared" si="32"/>
        <v>24</v>
      </c>
    </row>
    <row r="193" spans="1:14" x14ac:dyDescent="0.25">
      <c r="A193" s="3" t="s">
        <v>98</v>
      </c>
      <c r="B193" s="3" t="s">
        <v>60</v>
      </c>
      <c r="C193" s="3" t="s">
        <v>61</v>
      </c>
      <c r="D193" s="3" t="str">
        <f>IFERROR(INDEX(FIYAT!$D$2:$D$32,MATCH($C193,FIYAT!$C$2:$C$32,0)),"АРТИКУЛ НЕ В FIYAT")</f>
        <v>Корпус MCBH5-00 для головок и блоков (5 блоков в ряд)</v>
      </c>
      <c r="E193" s="4">
        <f>IFERROR(INDEX(FIYAT!$I$2:$I$32,MATCH($C193,FIYAT!$C$2:$C$32,0)),"")</f>
        <v>647.68730000000005</v>
      </c>
      <c r="F193" s="4">
        <f>IFERROR(INDEX(FIYAT!$J$2:$J$32,MATCH($C193,FIYAT!$C$2:$C$32,0)),"")</f>
        <v>647.68730000000005</v>
      </c>
      <c r="G193" s="4">
        <f t="shared" si="31"/>
        <v>7772.2476000000006</v>
      </c>
      <c r="H193" s="3">
        <v>12</v>
      </c>
      <c r="I193" s="3" t="str">
        <f>IFERROR(INDEX(FIYAT!$K$2:$K$32,MATCH($C193,FIYAT!$C$2:$C$32,0)),"")</f>
        <v>шт</v>
      </c>
      <c r="J193" s="3" t="str">
        <f>IFERROR(INDEX(FIYAT!$L$2:$L$32,MATCH($C193,FIYAT!$C$2:$C$32,0)),"")</f>
        <v>abb</v>
      </c>
      <c r="K193" s="3" t="s">
        <v>16</v>
      </c>
      <c r="L193" s="3" t="s">
        <v>62</v>
      </c>
      <c r="M193" s="5">
        <f>IFERROR(INDEX(KURALLAR!$B$13:$B$23,MATCH($B193,KURALLAR!$A$13:$A$23,0)),0)</f>
        <v>21.8</v>
      </c>
      <c r="N193" s="5">
        <f t="shared" si="32"/>
        <v>261.60000000000002</v>
      </c>
    </row>
    <row r="194" spans="1:14" x14ac:dyDescent="0.25">
      <c r="A194" s="3" t="s">
        <v>98</v>
      </c>
      <c r="B194" s="3" t="s">
        <v>54</v>
      </c>
      <c r="C194" s="3" t="s">
        <v>63</v>
      </c>
      <c r="D194" s="3" t="str">
        <f>IFERROR(INDEX(FIYAT!$D$2:$D$32,MATCH($C194,FIYAT!$C$2:$C$32,0)),"АРТИКУЛ НЕ В FIYAT")</f>
        <v>Блок контактов MCB-10, 1НО</v>
      </c>
      <c r="E194" s="4">
        <f>IFERROR(INDEX(FIYAT!$I$2:$I$32,MATCH($C194,FIYAT!$C$2:$C$32,0)),"")</f>
        <v>2345.9539999999997</v>
      </c>
      <c r="F194" s="4">
        <f>IFERROR(INDEX(FIYAT!$J$2:$J$32,MATCH($C194,FIYAT!$C$2:$C$32,0)),"")</f>
        <v>2345.9539999999997</v>
      </c>
      <c r="G194" s="4">
        <f t="shared" si="31"/>
        <v>28151.447999999997</v>
      </c>
      <c r="H194" s="3">
        <v>12</v>
      </c>
      <c r="I194" s="3" t="str">
        <f>IFERROR(INDEX(FIYAT!$K$2:$K$32,MATCH($C194,FIYAT!$C$2:$C$32,0)),"")</f>
        <v>шт</v>
      </c>
      <c r="J194" s="3" t="str">
        <f>IFERROR(INDEX(FIYAT!$L$2:$L$32,MATCH($C194,FIYAT!$C$2:$C$32,0)),"")</f>
        <v>abb</v>
      </c>
      <c r="K194" s="3" t="s">
        <v>16</v>
      </c>
      <c r="L194" s="3" t="s">
        <v>64</v>
      </c>
      <c r="M194" s="5">
        <f>IFERROR(INDEX(KURALLAR!$B$13:$B$23,MATCH($B194,KURALLAR!$A$13:$A$23,0)),0)</f>
        <v>2</v>
      </c>
      <c r="N194" s="5">
        <f t="shared" si="32"/>
        <v>24</v>
      </c>
    </row>
    <row r="195" spans="1:14" s="21" customFormat="1" x14ac:dyDescent="0.25">
      <c r="A195" s="19" t="s">
        <v>13</v>
      </c>
      <c r="B195" s="19" t="s">
        <v>54</v>
      </c>
      <c r="C195" s="21" t="s">
        <v>285</v>
      </c>
      <c r="D195" s="20" t="s">
        <v>286</v>
      </c>
      <c r="E195" s="22">
        <v>3059</v>
      </c>
      <c r="F195" s="22">
        <v>3059</v>
      </c>
      <c r="G195" s="22">
        <f t="shared" si="31"/>
        <v>36708</v>
      </c>
      <c r="H195" s="19">
        <v>12</v>
      </c>
      <c r="I195" s="20" t="s">
        <v>72</v>
      </c>
      <c r="J195" s="20" t="s">
        <v>288</v>
      </c>
      <c r="K195" s="19" t="s">
        <v>16</v>
      </c>
      <c r="L195" s="19" t="s">
        <v>64</v>
      </c>
      <c r="M195" s="23">
        <f>IFERROR(INDEX(KURALLAR!$B$13:$B$23,MATCH($B195,KURALLAR!$A$13:$A$23,0)),0)</f>
        <v>2</v>
      </c>
      <c r="N195" s="23">
        <f t="shared" si="32"/>
        <v>24</v>
      </c>
    </row>
    <row r="196" spans="1:14" x14ac:dyDescent="0.25">
      <c r="A196" s="3" t="s">
        <v>98</v>
      </c>
      <c r="B196" s="3" t="s">
        <v>30</v>
      </c>
      <c r="C196" s="3" t="s">
        <v>65</v>
      </c>
      <c r="D196" s="3" t="str">
        <f>IFERROR(INDEX(FIYAT!$D$2:$D$32,MATCH($C196,FIYAT!$C$2:$C$32,0)),"АРТИКУЛ НЕ В FIYAT")</f>
        <v>Реле CR-P024AC2, 2 перекл., 8А, катушка 24В AC</v>
      </c>
      <c r="E196" s="4">
        <f>IFERROR(INDEX(FIYAT!$I$2:$I$32,MATCH($C196,FIYAT!$C$2:$C$32,0)),"")</f>
        <v>4334.915</v>
      </c>
      <c r="F196" s="4">
        <f>IFERROR(INDEX(FIYAT!$J$2:$J$32,MATCH($C196,FIYAT!$C$2:$C$32,0)),"")</f>
        <v>4334.915</v>
      </c>
      <c r="G196" s="4">
        <f t="shared" si="31"/>
        <v>104037.95999999999</v>
      </c>
      <c r="H196" s="3">
        <v>24</v>
      </c>
      <c r="I196" s="3" t="str">
        <f>IFERROR(INDEX(FIYAT!$K$2:$K$32,MATCH($C196,FIYAT!$C$2:$C$32,0)),"")</f>
        <v>шт</v>
      </c>
      <c r="J196" s="3" t="str">
        <f>IFERROR(INDEX(FIYAT!$L$2:$L$32,MATCH($C196,FIYAT!$C$2:$C$32,0)),"")</f>
        <v>abb</v>
      </c>
      <c r="K196" s="3" t="s">
        <v>16</v>
      </c>
      <c r="L196" s="3" t="s">
        <v>66</v>
      </c>
      <c r="M196" s="5">
        <f>IFERROR(INDEX(KURALLAR!$B$13:$B$23,MATCH($B196,KURALLAR!$A$13:$A$23,0)),0)</f>
        <v>21.8</v>
      </c>
      <c r="N196" s="5">
        <f t="shared" si="32"/>
        <v>523.20000000000005</v>
      </c>
    </row>
    <row r="197" spans="1:14" s="21" customFormat="1" x14ac:dyDescent="0.25">
      <c r="A197" s="19" t="s">
        <v>13</v>
      </c>
      <c r="B197" s="20" t="s">
        <v>278</v>
      </c>
      <c r="C197" s="19" t="s">
        <v>291</v>
      </c>
      <c r="D197" s="21" t="s">
        <v>290</v>
      </c>
      <c r="E197" s="22">
        <v>4666.4085000000005</v>
      </c>
      <c r="F197" s="22">
        <v>4666.4085000000005</v>
      </c>
      <c r="G197" s="22">
        <f t="shared" si="31"/>
        <v>111993.804</v>
      </c>
      <c r="H197" s="19">
        <v>24</v>
      </c>
      <c r="I197" s="20" t="s">
        <v>72</v>
      </c>
      <c r="J197" s="20" t="s">
        <v>113</v>
      </c>
      <c r="K197" s="19" t="s">
        <v>16</v>
      </c>
      <c r="L197" s="19" t="s">
        <v>40</v>
      </c>
      <c r="M197" s="23">
        <f>IFERROR(INDEX(KURALLAR!$B$13:$B$23,MATCH($B197,KURALLAR!$A$13:$A$23,0)),0)</f>
        <v>0</v>
      </c>
      <c r="N197" s="23">
        <f t="shared" si="32"/>
        <v>0</v>
      </c>
    </row>
    <row r="198" spans="1:14" s="21" customFormat="1" x14ac:dyDescent="0.25">
      <c r="A198" s="19" t="s">
        <v>13</v>
      </c>
      <c r="B198" s="19" t="s">
        <v>293</v>
      </c>
      <c r="C198" s="19"/>
      <c r="D198" s="20" t="s">
        <v>294</v>
      </c>
      <c r="E198" s="22">
        <v>30000</v>
      </c>
      <c r="F198" s="22">
        <v>30000</v>
      </c>
      <c r="G198" s="22">
        <f t="shared" si="31"/>
        <v>30000</v>
      </c>
      <c r="H198" s="19">
        <v>1</v>
      </c>
      <c r="I198" s="19" t="str">
        <f>IFERROR(INDEX(FIYAT!$K$2:$K$32,MATCH($C198,FIYAT!$C$2:$C$32,0)),"")</f>
        <v/>
      </c>
      <c r="J198" s="20" t="s">
        <v>295</v>
      </c>
      <c r="K198" s="19" t="s">
        <v>16</v>
      </c>
      <c r="L198" s="19" t="s">
        <v>68</v>
      </c>
      <c r="M198" s="23">
        <f>IFERROR(INDEX(KURALLAR!$B$13:$B$23,MATCH($B198,KURALLAR!$A$13:$A$23,0)),0)</f>
        <v>0</v>
      </c>
      <c r="N198" s="23">
        <f t="shared" si="32"/>
        <v>0</v>
      </c>
    </row>
    <row r="199" spans="1:14" s="21" customFormat="1" x14ac:dyDescent="0.25">
      <c r="A199" s="19" t="s">
        <v>13</v>
      </c>
      <c r="B199" s="19" t="s">
        <v>293</v>
      </c>
      <c r="C199" s="19"/>
      <c r="D199" s="19" t="s">
        <v>296</v>
      </c>
      <c r="E199" s="22">
        <v>20000</v>
      </c>
      <c r="F199" s="22">
        <v>20000</v>
      </c>
      <c r="G199" s="22">
        <f t="shared" si="31"/>
        <v>20000</v>
      </c>
      <c r="H199" s="19">
        <v>1</v>
      </c>
      <c r="I199" s="19" t="str">
        <f>IFERROR(INDEX(FIYAT!$K$2:$K$32,MATCH($C199,FIYAT!$C$2:$C$32,0)),"")</f>
        <v/>
      </c>
      <c r="J199" s="20" t="s">
        <v>295</v>
      </c>
      <c r="K199" s="19" t="s">
        <v>16</v>
      </c>
      <c r="L199" s="19" t="s">
        <v>68</v>
      </c>
      <c r="M199" s="23">
        <f>IFERROR(INDEX(KURALLAR!$B$13:$B$23,MATCH($B199,KURALLAR!$A$13:$A$23,0)),0)</f>
        <v>0</v>
      </c>
      <c r="N199" s="23">
        <f t="shared" si="32"/>
        <v>0</v>
      </c>
    </row>
    <row r="200" spans="1:14" x14ac:dyDescent="0.25">
      <c r="A200" s="3" t="s">
        <v>98</v>
      </c>
      <c r="B200" s="3" t="s">
        <v>20</v>
      </c>
      <c r="C200" s="3" t="s">
        <v>84</v>
      </c>
      <c r="D200" s="3" t="str">
        <f>IFERROR(INDEX(FIYAT!$D$2:$D$32,MATCH($C200,FIYAT!$C$2:$C$32,0)),"АРТИКУЛ НЕ В FIYAT")</f>
        <v>Авт. выкл. SH 203-C 16, 3P, 16А, х-ка C, 6кА</v>
      </c>
      <c r="E200" s="4">
        <f>IFERROR(INDEX(FIYAT!$I$2:$I$32,MATCH($C200,FIYAT!$C$2:$C$32,0)),"")</f>
        <v>18573.835800000001</v>
      </c>
      <c r="F200" s="4">
        <f>IFERROR(INDEX(FIYAT!$J$2:$J$32,MATCH($C200,FIYAT!$C$2:$C$32,0)),"")</f>
        <v>18573.835800000001</v>
      </c>
      <c r="G200" s="4">
        <f t="shared" si="31"/>
        <v>130016.85060000001</v>
      </c>
      <c r="H200" s="3">
        <v>7</v>
      </c>
      <c r="I200" s="3" t="str">
        <f>IFERROR(INDEX(FIYAT!$K$2:$K$32,MATCH($C200,FIYAT!$C$2:$C$32,0)),"")</f>
        <v>шт</v>
      </c>
      <c r="J200" s="3" t="str">
        <f>IFERROR(INDEX(FIYAT!$L$2:$L$32,MATCH($C200,FIYAT!$C$2:$C$32,0)),"")</f>
        <v>abb</v>
      </c>
      <c r="K200" s="3" t="s">
        <v>16</v>
      </c>
      <c r="L200" s="3" t="s">
        <v>85</v>
      </c>
      <c r="M200" s="5">
        <f>IFERROR(INDEX(KURALLAR!$B$13:$B$23,MATCH($B200,KURALLAR!$A$13:$A$23,0)),0)</f>
        <v>4</v>
      </c>
      <c r="N200" s="5">
        <f t="shared" si="32"/>
        <v>28</v>
      </c>
    </row>
    <row r="201" spans="1:14" x14ac:dyDescent="0.25">
      <c r="A201" s="3" t="s">
        <v>98</v>
      </c>
      <c r="B201" s="3" t="s">
        <v>20</v>
      </c>
      <c r="C201" s="3" t="s">
        <v>86</v>
      </c>
      <c r="D201" s="3" t="str">
        <f>IFERROR(INDEX(FIYAT!$D$2:$D$32,MATCH($C201,FIYAT!$C$2:$C$32,0)),"АРТИКУЛ НЕ В FIYAT")</f>
        <v>Авт. выкл. SH 203-C 10, 3P, 10А, х-ка C, 6кА</v>
      </c>
      <c r="E201" s="4">
        <f>IFERROR(INDEX(FIYAT!$I$2:$I$32,MATCH($C201,FIYAT!$C$2:$C$32,0)),"")</f>
        <v>18573.835800000001</v>
      </c>
      <c r="F201" s="4">
        <f>IFERROR(INDEX(FIYAT!$J$2:$J$32,MATCH($C201,FIYAT!$C$2:$C$32,0)),"")</f>
        <v>18573.835800000001</v>
      </c>
      <c r="G201" s="4">
        <f t="shared" si="31"/>
        <v>18573.835800000001</v>
      </c>
      <c r="H201" s="3">
        <v>1</v>
      </c>
      <c r="I201" s="3" t="str">
        <f>IFERROR(INDEX(FIYAT!$K$2:$K$32,MATCH($C201,FIYAT!$C$2:$C$32,0)),"")</f>
        <v>шт</v>
      </c>
      <c r="J201" s="3" t="str">
        <f>IFERROR(INDEX(FIYAT!$L$2:$L$32,MATCH($C201,FIYAT!$C$2:$C$32,0)),"")</f>
        <v>abb</v>
      </c>
      <c r="K201" s="3" t="s">
        <v>16</v>
      </c>
      <c r="L201" s="3" t="s">
        <v>87</v>
      </c>
      <c r="M201" s="5">
        <f>IFERROR(INDEX(KURALLAR!$B$13:$B$23,MATCH($B201,KURALLAR!$A$13:$A$23,0)),0)</f>
        <v>4</v>
      </c>
      <c r="N201" s="5">
        <f t="shared" si="32"/>
        <v>4</v>
      </c>
    </row>
    <row r="202" spans="1:14" x14ac:dyDescent="0.25">
      <c r="A202" s="3" t="s">
        <v>98</v>
      </c>
      <c r="B202" s="3" t="s">
        <v>71</v>
      </c>
      <c r="C202" s="3" t="s">
        <v>71</v>
      </c>
      <c r="D202" s="3" t="s">
        <v>71</v>
      </c>
      <c r="E202" s="4">
        <f>G203*KURALLAR!$C$8</f>
        <v>76388</v>
      </c>
      <c r="F202" s="4">
        <f>E202</f>
        <v>76388</v>
      </c>
      <c r="G202" s="4">
        <f>H202*F202</f>
        <v>76388</v>
      </c>
      <c r="H202" s="3">
        <v>1</v>
      </c>
      <c r="I202" s="3" t="s">
        <v>72</v>
      </c>
      <c r="J202" s="3" t="s">
        <v>71</v>
      </c>
      <c r="K202" s="3" t="s">
        <v>16</v>
      </c>
      <c r="L202" s="3"/>
      <c r="M202" s="5"/>
      <c r="N202" s="5"/>
    </row>
    <row r="203" spans="1:14" x14ac:dyDescent="0.25">
      <c r="A203" s="3" t="s">
        <v>98</v>
      </c>
      <c r="B203" s="3" t="s">
        <v>73</v>
      </c>
      <c r="C203" s="3" t="s">
        <v>73</v>
      </c>
      <c r="D203" s="3" t="s">
        <v>73</v>
      </c>
      <c r="E203" s="4">
        <f>KURALLAR!$C$6</f>
        <v>100</v>
      </c>
      <c r="F203" s="4">
        <f>E203</f>
        <v>100</v>
      </c>
      <c r="G203" s="4">
        <f>H203*F203</f>
        <v>190970</v>
      </c>
      <c r="H203" s="3">
        <f>SUM(N173:N201)*KURALLAR!$C$7</f>
        <v>1909.7</v>
      </c>
      <c r="I203" s="3" t="s">
        <v>74</v>
      </c>
      <c r="J203" s="3" t="s">
        <v>73</v>
      </c>
      <c r="K203" s="3" t="s">
        <v>16</v>
      </c>
      <c r="L203" s="3"/>
      <c r="M203" s="5"/>
      <c r="N203" s="5"/>
    </row>
    <row r="204" spans="1:14" x14ac:dyDescent="0.25">
      <c r="A204" s="6" t="s">
        <v>98</v>
      </c>
      <c r="B204" s="6"/>
      <c r="C204" s="6"/>
      <c r="D204" s="6" t="s">
        <v>75</v>
      </c>
      <c r="E204" s="7"/>
      <c r="F204" s="7"/>
      <c r="G204" s="7">
        <f>SUM(G173:G203)</f>
        <v>2360744.0526000001</v>
      </c>
      <c r="H204" s="6"/>
      <c r="I204" s="6"/>
      <c r="J204" s="6"/>
      <c r="K204" s="6" t="s">
        <v>16</v>
      </c>
      <c r="L204" s="6"/>
      <c r="M204" s="8"/>
      <c r="N204" s="8"/>
    </row>
  </sheetData>
  <autoFilter ref="A1:N1"/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zoomScaleNormal="100" workbookViewId="0">
      <pane ySplit="1" topLeftCell="A2" activePane="bottomLeft" state="frozen"/>
      <selection pane="bottomLeft" activeCell="I16" sqref="I16"/>
    </sheetView>
  </sheetViews>
  <sheetFormatPr defaultColWidth="8.7109375" defaultRowHeight="15" x14ac:dyDescent="0.25"/>
  <cols>
    <col min="1" max="1" width="7" customWidth="1"/>
    <col min="2" max="2" width="13" customWidth="1"/>
    <col min="3" max="3" width="18" customWidth="1"/>
    <col min="4" max="4" width="62" customWidth="1"/>
    <col min="5" max="5" width="24" customWidth="1"/>
    <col min="6" max="6" width="12" customWidth="1"/>
    <col min="7" max="7" width="11" customWidth="1"/>
    <col min="8" max="8" width="8" customWidth="1"/>
    <col min="9" max="10" width="12" customWidth="1"/>
    <col min="11" max="12" width="8" customWidth="1"/>
    <col min="13" max="13" width="30" customWidth="1"/>
  </cols>
  <sheetData>
    <row r="1" spans="1:13" x14ac:dyDescent="0.25">
      <c r="A1" s="9" t="s">
        <v>99</v>
      </c>
      <c r="B1" s="9" t="s">
        <v>100</v>
      </c>
      <c r="C1" s="9" t="s">
        <v>2</v>
      </c>
      <c r="D1" s="9" t="s">
        <v>3</v>
      </c>
      <c r="E1" s="9" t="s">
        <v>101</v>
      </c>
      <c r="F1" s="9" t="s">
        <v>102</v>
      </c>
      <c r="G1" s="9" t="s">
        <v>103</v>
      </c>
      <c r="H1" s="9" t="s">
        <v>104</v>
      </c>
      <c r="I1" s="9" t="s">
        <v>105</v>
      </c>
      <c r="J1" s="9" t="s">
        <v>106</v>
      </c>
      <c r="K1" s="9" t="s">
        <v>7</v>
      </c>
      <c r="L1" s="9" t="s">
        <v>107</v>
      </c>
      <c r="M1" s="9" t="s">
        <v>108</v>
      </c>
    </row>
    <row r="2" spans="1:13" x14ac:dyDescent="0.25">
      <c r="A2" s="3" t="s">
        <v>109</v>
      </c>
      <c r="B2" s="3" t="s">
        <v>17</v>
      </c>
      <c r="C2" s="17" t="s">
        <v>80</v>
      </c>
      <c r="D2" s="3" t="s">
        <v>110</v>
      </c>
      <c r="E2" s="3" t="s">
        <v>111</v>
      </c>
      <c r="F2" s="4">
        <v>246.1</v>
      </c>
      <c r="G2" s="3" t="s">
        <v>112</v>
      </c>
      <c r="H2" s="10">
        <v>0</v>
      </c>
      <c r="I2" s="4">
        <f>F2*KURALLAR!$C$3</f>
        <v>125508.539</v>
      </c>
      <c r="J2" s="4">
        <f t="shared" ref="J2:J32" si="0">I2*(1-H2)</f>
        <v>125508.539</v>
      </c>
      <c r="K2" s="3" t="s">
        <v>72</v>
      </c>
      <c r="L2" s="3" t="s">
        <v>113</v>
      </c>
      <c r="M2" s="3" t="s">
        <v>114</v>
      </c>
    </row>
    <row r="3" spans="1:13" x14ac:dyDescent="0.25">
      <c r="A3" s="3" t="s">
        <v>115</v>
      </c>
      <c r="B3" s="3" t="s">
        <v>17</v>
      </c>
      <c r="C3" s="17" t="s">
        <v>96</v>
      </c>
      <c r="D3" s="3" t="s">
        <v>116</v>
      </c>
      <c r="E3" s="3" t="s">
        <v>117</v>
      </c>
      <c r="F3" s="4">
        <v>317.89999999999998</v>
      </c>
      <c r="G3" s="3" t="s">
        <v>112</v>
      </c>
      <c r="H3" s="10">
        <v>0</v>
      </c>
      <c r="I3" s="4">
        <f>F3*KURALLAR!$C$3</f>
        <v>162125.821</v>
      </c>
      <c r="J3" s="4">
        <f t="shared" si="0"/>
        <v>162125.821</v>
      </c>
      <c r="K3" s="3" t="s">
        <v>72</v>
      </c>
      <c r="L3" s="3" t="s">
        <v>113</v>
      </c>
      <c r="M3" s="3" t="s">
        <v>114</v>
      </c>
    </row>
    <row r="4" spans="1:13" x14ac:dyDescent="0.25">
      <c r="A4" s="3" t="s">
        <v>118</v>
      </c>
      <c r="B4" s="3" t="s">
        <v>17</v>
      </c>
      <c r="C4" s="3" t="s">
        <v>89</v>
      </c>
      <c r="D4" s="3" t="s">
        <v>119</v>
      </c>
      <c r="E4" s="3" t="s">
        <v>120</v>
      </c>
      <c r="F4" s="4">
        <v>459.2</v>
      </c>
      <c r="G4" s="3" t="s">
        <v>112</v>
      </c>
      <c r="H4" s="10">
        <v>0</v>
      </c>
      <c r="I4" s="4">
        <f>F4*KURALLAR!$C$3</f>
        <v>234187.408</v>
      </c>
      <c r="J4" s="4">
        <f t="shared" si="0"/>
        <v>234187.408</v>
      </c>
      <c r="K4" s="3" t="s">
        <v>72</v>
      </c>
      <c r="L4" s="3" t="s">
        <v>113</v>
      </c>
      <c r="M4" s="3" t="s">
        <v>114</v>
      </c>
    </row>
    <row r="5" spans="1:13" x14ac:dyDescent="0.25">
      <c r="A5" s="3" t="s">
        <v>121</v>
      </c>
      <c r="B5" s="3" t="s">
        <v>17</v>
      </c>
      <c r="C5" s="3" t="s">
        <v>18</v>
      </c>
      <c r="D5" s="3" t="s">
        <v>122</v>
      </c>
      <c r="E5" s="3" t="s">
        <v>123</v>
      </c>
      <c r="F5" s="4">
        <v>459.2</v>
      </c>
      <c r="G5" s="3" t="s">
        <v>112</v>
      </c>
      <c r="H5" s="10">
        <v>0</v>
      </c>
      <c r="I5" s="4">
        <f>F5*KURALLAR!$C$3</f>
        <v>234187.408</v>
      </c>
      <c r="J5" s="4">
        <f t="shared" si="0"/>
        <v>234187.408</v>
      </c>
      <c r="K5" s="3" t="s">
        <v>72</v>
      </c>
      <c r="L5" s="3" t="s">
        <v>113</v>
      </c>
      <c r="M5" s="3" t="s">
        <v>114</v>
      </c>
    </row>
    <row r="6" spans="1:13" x14ac:dyDescent="0.25">
      <c r="A6" s="3" t="s">
        <v>124</v>
      </c>
      <c r="B6" s="3" t="s">
        <v>46</v>
      </c>
      <c r="C6" s="3" t="s">
        <v>47</v>
      </c>
      <c r="D6" s="3" t="s">
        <v>125</v>
      </c>
      <c r="E6" s="3" t="s">
        <v>126</v>
      </c>
      <c r="F6" s="4">
        <v>62.53</v>
      </c>
      <c r="G6" s="3" t="s">
        <v>127</v>
      </c>
      <c r="H6" s="10">
        <v>0</v>
      </c>
      <c r="I6" s="4">
        <f>F6*KURALLAR!$C$3</f>
        <v>31889.6747</v>
      </c>
      <c r="J6" s="4">
        <f t="shared" si="0"/>
        <v>31889.6747</v>
      </c>
      <c r="K6" s="3" t="s">
        <v>72</v>
      </c>
      <c r="L6" s="3" t="s">
        <v>113</v>
      </c>
      <c r="M6" s="3" t="s">
        <v>128</v>
      </c>
    </row>
    <row r="7" spans="1:13" x14ac:dyDescent="0.25">
      <c r="A7" s="3" t="s">
        <v>129</v>
      </c>
      <c r="B7" s="3" t="s">
        <v>46</v>
      </c>
      <c r="C7" s="3" t="s">
        <v>49</v>
      </c>
      <c r="D7" s="3" t="s">
        <v>130</v>
      </c>
      <c r="E7" s="3" t="s">
        <v>131</v>
      </c>
      <c r="F7" s="4">
        <v>62.53</v>
      </c>
      <c r="G7" s="3" t="s">
        <v>127</v>
      </c>
      <c r="H7" s="10">
        <v>0</v>
      </c>
      <c r="I7" s="4">
        <f>F7*KURALLAR!$C$3</f>
        <v>31889.6747</v>
      </c>
      <c r="J7" s="4">
        <f t="shared" si="0"/>
        <v>31889.6747</v>
      </c>
      <c r="K7" s="3" t="s">
        <v>72</v>
      </c>
      <c r="L7" s="3" t="s">
        <v>113</v>
      </c>
      <c r="M7" s="3" t="s">
        <v>128</v>
      </c>
    </row>
    <row r="8" spans="1:13" x14ac:dyDescent="0.25">
      <c r="A8" s="3" t="s">
        <v>132</v>
      </c>
      <c r="B8" s="3" t="s">
        <v>46</v>
      </c>
      <c r="C8" s="3" t="s">
        <v>77</v>
      </c>
      <c r="D8" s="3" t="s">
        <v>133</v>
      </c>
      <c r="E8" s="3" t="s">
        <v>134</v>
      </c>
      <c r="F8" s="4">
        <v>67.17</v>
      </c>
      <c r="G8" s="3" t="s">
        <v>127</v>
      </c>
      <c r="H8" s="10">
        <v>0</v>
      </c>
      <c r="I8" s="4">
        <f>F8*KURALLAR!$C$3</f>
        <v>34256.028299999998</v>
      </c>
      <c r="J8" s="4">
        <f t="shared" si="0"/>
        <v>34256.028299999998</v>
      </c>
      <c r="K8" s="3" t="s">
        <v>72</v>
      </c>
      <c r="L8" s="3" t="s">
        <v>113</v>
      </c>
      <c r="M8" s="3" t="s">
        <v>128</v>
      </c>
    </row>
    <row r="9" spans="1:13" x14ac:dyDescent="0.25">
      <c r="A9" s="3" t="s">
        <v>135</v>
      </c>
      <c r="B9" s="3" t="s">
        <v>51</v>
      </c>
      <c r="C9" s="3" t="s">
        <v>52</v>
      </c>
      <c r="D9" s="3" t="s">
        <v>136</v>
      </c>
      <c r="E9" s="3" t="s">
        <v>137</v>
      </c>
      <c r="F9" s="4">
        <v>37.909999999999997</v>
      </c>
      <c r="G9" s="3" t="s">
        <v>127</v>
      </c>
      <c r="H9" s="10">
        <v>0</v>
      </c>
      <c r="I9" s="4">
        <f>F9*KURALLAR!$C$3</f>
        <v>19333.7209</v>
      </c>
      <c r="J9" s="4">
        <f t="shared" si="0"/>
        <v>19333.7209</v>
      </c>
      <c r="K9" s="3" t="s">
        <v>72</v>
      </c>
      <c r="L9" s="3" t="s">
        <v>113</v>
      </c>
      <c r="M9" s="3" t="s">
        <v>138</v>
      </c>
    </row>
    <row r="10" spans="1:13" x14ac:dyDescent="0.25">
      <c r="A10" s="3" t="s">
        <v>139</v>
      </c>
      <c r="B10" s="3" t="s">
        <v>51</v>
      </c>
      <c r="C10" s="3" t="s">
        <v>82</v>
      </c>
      <c r="D10" s="3" t="s">
        <v>140</v>
      </c>
      <c r="E10" s="3" t="s">
        <v>141</v>
      </c>
      <c r="F10" s="4">
        <v>39.64</v>
      </c>
      <c r="G10" s="3" t="s">
        <v>127</v>
      </c>
      <c r="H10" s="10">
        <v>0</v>
      </c>
      <c r="I10" s="4">
        <f>F10*KURALLAR!$C$3</f>
        <v>20216.0036</v>
      </c>
      <c r="J10" s="4">
        <f t="shared" si="0"/>
        <v>20216.0036</v>
      </c>
      <c r="K10" s="3" t="s">
        <v>72</v>
      </c>
      <c r="L10" s="3" t="s">
        <v>113</v>
      </c>
      <c r="M10" s="3" t="s">
        <v>138</v>
      </c>
    </row>
    <row r="11" spans="1:13" x14ac:dyDescent="0.25">
      <c r="A11" s="3" t="s">
        <v>142</v>
      </c>
      <c r="B11" s="3" t="s">
        <v>54</v>
      </c>
      <c r="C11" s="3" t="s">
        <v>55</v>
      </c>
      <c r="D11" s="3" t="s">
        <v>143</v>
      </c>
      <c r="E11" s="3" t="s">
        <v>144</v>
      </c>
      <c r="F11" s="4">
        <v>12.16</v>
      </c>
      <c r="G11" s="3" t="s">
        <v>127</v>
      </c>
      <c r="H11" s="10">
        <v>0</v>
      </c>
      <c r="I11" s="4">
        <f>F11*KURALLAR!$C$3</f>
        <v>6201.4784</v>
      </c>
      <c r="J11" s="4">
        <f t="shared" si="0"/>
        <v>6201.4784</v>
      </c>
      <c r="K11" s="3" t="s">
        <v>72</v>
      </c>
      <c r="L11" s="3" t="s">
        <v>113</v>
      </c>
      <c r="M11" s="3" t="s">
        <v>145</v>
      </c>
    </row>
    <row r="12" spans="1:13" x14ac:dyDescent="0.25">
      <c r="A12" s="3" t="s">
        <v>146</v>
      </c>
      <c r="B12" s="3" t="s">
        <v>54</v>
      </c>
      <c r="C12" s="17" t="s">
        <v>57</v>
      </c>
      <c r="D12" s="3" t="s">
        <v>147</v>
      </c>
      <c r="E12" s="3" t="s">
        <v>148</v>
      </c>
      <c r="F12" s="4">
        <v>9.4</v>
      </c>
      <c r="G12" s="3" t="s">
        <v>127</v>
      </c>
      <c r="H12" s="10">
        <v>0</v>
      </c>
      <c r="I12" s="4">
        <f>F12*KURALLAR!$C$3</f>
        <v>4793.9059999999999</v>
      </c>
      <c r="J12" s="4">
        <f t="shared" si="0"/>
        <v>4793.9059999999999</v>
      </c>
      <c r="K12" s="3" t="s">
        <v>72</v>
      </c>
      <c r="L12" s="3" t="s">
        <v>113</v>
      </c>
      <c r="M12" s="3" t="s">
        <v>149</v>
      </c>
    </row>
    <row r="13" spans="1:13" x14ac:dyDescent="0.25">
      <c r="A13" s="3" t="s">
        <v>150</v>
      </c>
      <c r="B13" s="3" t="s">
        <v>54</v>
      </c>
      <c r="C13" s="3" t="s">
        <v>59</v>
      </c>
      <c r="D13" s="3" t="s">
        <v>151</v>
      </c>
      <c r="E13" s="3" t="s">
        <v>152</v>
      </c>
      <c r="F13" s="4">
        <v>19.149999999999999</v>
      </c>
      <c r="G13" s="3" t="s">
        <v>127</v>
      </c>
      <c r="H13" s="10">
        <v>0</v>
      </c>
      <c r="I13" s="4">
        <f>F13*KURALLAR!$C$3</f>
        <v>9766.3084999999992</v>
      </c>
      <c r="J13" s="4">
        <f t="shared" si="0"/>
        <v>9766.3084999999992</v>
      </c>
      <c r="K13" s="3" t="s">
        <v>72</v>
      </c>
      <c r="L13" s="3" t="s">
        <v>113</v>
      </c>
      <c r="M13" s="3" t="s">
        <v>149</v>
      </c>
    </row>
    <row r="14" spans="1:13" x14ac:dyDescent="0.25">
      <c r="A14" s="3" t="s">
        <v>153</v>
      </c>
      <c r="B14" s="3" t="s">
        <v>20</v>
      </c>
      <c r="C14" s="3" t="s">
        <v>21</v>
      </c>
      <c r="D14" s="3" t="s">
        <v>154</v>
      </c>
      <c r="E14" s="3" t="s">
        <v>155</v>
      </c>
      <c r="F14" s="4">
        <v>8.83</v>
      </c>
      <c r="G14" s="3" t="s">
        <v>127</v>
      </c>
      <c r="H14" s="10">
        <v>0</v>
      </c>
      <c r="I14" s="4">
        <f>F14*KURALLAR!$C$3</f>
        <v>4503.2116999999998</v>
      </c>
      <c r="J14" s="4">
        <f t="shared" si="0"/>
        <v>4503.2116999999998</v>
      </c>
      <c r="K14" s="3" t="s">
        <v>72</v>
      </c>
      <c r="L14" s="3" t="s">
        <v>113</v>
      </c>
      <c r="M14" s="3" t="s">
        <v>156</v>
      </c>
    </row>
    <row r="15" spans="1:13" x14ac:dyDescent="0.25">
      <c r="A15" s="3" t="s">
        <v>157</v>
      </c>
      <c r="B15" s="3" t="s">
        <v>20</v>
      </c>
      <c r="C15" s="3" t="s">
        <v>69</v>
      </c>
      <c r="D15" s="3" t="s">
        <v>158</v>
      </c>
      <c r="E15" s="3" t="s">
        <v>159</v>
      </c>
      <c r="F15" s="4">
        <v>8.09</v>
      </c>
      <c r="G15" s="3" t="s">
        <v>127</v>
      </c>
      <c r="H15" s="10">
        <v>0</v>
      </c>
      <c r="I15" s="4">
        <f>F15*KURALLAR!$C$3</f>
        <v>4125.8190999999997</v>
      </c>
      <c r="J15" s="4">
        <f t="shared" si="0"/>
        <v>4125.8190999999997</v>
      </c>
      <c r="K15" s="3" t="s">
        <v>72</v>
      </c>
      <c r="L15" s="3" t="s">
        <v>113</v>
      </c>
      <c r="M15" s="3" t="s">
        <v>160</v>
      </c>
    </row>
    <row r="16" spans="1:13" x14ac:dyDescent="0.25">
      <c r="A16" s="3" t="s">
        <v>161</v>
      </c>
      <c r="B16" s="3" t="s">
        <v>20</v>
      </c>
      <c r="C16" s="17" t="s">
        <v>86</v>
      </c>
      <c r="D16" s="3" t="s">
        <v>162</v>
      </c>
      <c r="E16" s="3" t="s">
        <v>163</v>
      </c>
      <c r="F16" s="4">
        <v>36.42</v>
      </c>
      <c r="G16" s="3" t="s">
        <v>127</v>
      </c>
      <c r="H16" s="10">
        <v>0</v>
      </c>
      <c r="I16" s="4">
        <f>F16*KURALLAR!$C$3</f>
        <v>18573.835800000001</v>
      </c>
      <c r="J16" s="4">
        <f t="shared" si="0"/>
        <v>18573.835800000001</v>
      </c>
      <c r="K16" s="3" t="s">
        <v>72</v>
      </c>
      <c r="L16" s="3" t="s">
        <v>113</v>
      </c>
      <c r="M16" s="3" t="s">
        <v>160</v>
      </c>
    </row>
    <row r="17" spans="1:13" x14ac:dyDescent="0.25">
      <c r="A17" s="3" t="s">
        <v>164</v>
      </c>
      <c r="B17" s="3" t="s">
        <v>20</v>
      </c>
      <c r="C17" s="3" t="s">
        <v>84</v>
      </c>
      <c r="D17" s="3" t="s">
        <v>165</v>
      </c>
      <c r="E17" s="3" t="s">
        <v>166</v>
      </c>
      <c r="F17" s="4">
        <v>36.42</v>
      </c>
      <c r="G17" s="3" t="s">
        <v>127</v>
      </c>
      <c r="H17" s="10">
        <v>0</v>
      </c>
      <c r="I17" s="4">
        <f>F17*KURALLAR!$C$3</f>
        <v>18573.835800000001</v>
      </c>
      <c r="J17" s="4">
        <f t="shared" si="0"/>
        <v>18573.835800000001</v>
      </c>
      <c r="K17" s="3" t="s">
        <v>72</v>
      </c>
      <c r="L17" s="3" t="s">
        <v>113</v>
      </c>
      <c r="M17" s="3" t="s">
        <v>160</v>
      </c>
    </row>
    <row r="18" spans="1:13" x14ac:dyDescent="0.25">
      <c r="A18" s="3" t="s">
        <v>167</v>
      </c>
      <c r="B18" s="3" t="s">
        <v>20</v>
      </c>
      <c r="C18" s="3" t="s">
        <v>91</v>
      </c>
      <c r="D18" s="3" t="s">
        <v>168</v>
      </c>
      <c r="E18" s="3" t="s">
        <v>169</v>
      </c>
      <c r="F18" s="4">
        <v>45.54</v>
      </c>
      <c r="G18" s="3" t="s">
        <v>127</v>
      </c>
      <c r="H18" s="10">
        <v>0</v>
      </c>
      <c r="I18" s="4">
        <f>F18*KURALLAR!$C$3</f>
        <v>23224.944599999999</v>
      </c>
      <c r="J18" s="4">
        <f t="shared" si="0"/>
        <v>23224.944599999999</v>
      </c>
      <c r="K18" s="3" t="s">
        <v>72</v>
      </c>
      <c r="L18" s="3" t="s">
        <v>113</v>
      </c>
      <c r="M18" s="3" t="s">
        <v>160</v>
      </c>
    </row>
    <row r="19" spans="1:13" x14ac:dyDescent="0.25">
      <c r="A19" s="3" t="s">
        <v>170</v>
      </c>
      <c r="B19" s="3" t="s">
        <v>20</v>
      </c>
      <c r="C19" s="3" t="s">
        <v>67</v>
      </c>
      <c r="D19" s="3" t="s">
        <v>171</v>
      </c>
      <c r="E19" s="3" t="s">
        <v>172</v>
      </c>
      <c r="F19" s="4">
        <v>47.38</v>
      </c>
      <c r="G19" s="3" t="s">
        <v>127</v>
      </c>
      <c r="H19" s="10">
        <v>0</v>
      </c>
      <c r="I19" s="4">
        <f>F19*KURALLAR!$C$3</f>
        <v>24163.326200000003</v>
      </c>
      <c r="J19" s="4">
        <f t="shared" si="0"/>
        <v>24163.326200000003</v>
      </c>
      <c r="K19" s="3" t="s">
        <v>72</v>
      </c>
      <c r="L19" s="3" t="s">
        <v>113</v>
      </c>
      <c r="M19" s="3" t="s">
        <v>160</v>
      </c>
    </row>
    <row r="20" spans="1:13" x14ac:dyDescent="0.25">
      <c r="A20" s="3" t="s">
        <v>173</v>
      </c>
      <c r="B20" s="3" t="s">
        <v>20</v>
      </c>
      <c r="C20" s="3" t="s">
        <v>93</v>
      </c>
      <c r="D20" s="3" t="s">
        <v>174</v>
      </c>
      <c r="E20" s="3" t="s">
        <v>175</v>
      </c>
      <c r="F20" s="4">
        <v>61.94</v>
      </c>
      <c r="G20" s="3" t="s">
        <v>127</v>
      </c>
      <c r="H20" s="10">
        <v>0</v>
      </c>
      <c r="I20" s="4">
        <f>F20*KURALLAR!$C$3</f>
        <v>31588.780599999998</v>
      </c>
      <c r="J20" s="4">
        <f t="shared" si="0"/>
        <v>31588.780599999998</v>
      </c>
      <c r="K20" s="3" t="s">
        <v>72</v>
      </c>
      <c r="L20" s="3" t="s">
        <v>113</v>
      </c>
      <c r="M20" s="3" t="s">
        <v>160</v>
      </c>
    </row>
    <row r="21" spans="1:13" x14ac:dyDescent="0.25">
      <c r="A21" s="3" t="s">
        <v>176</v>
      </c>
      <c r="B21" s="3" t="s">
        <v>20</v>
      </c>
      <c r="C21" s="3" t="s">
        <v>41</v>
      </c>
      <c r="D21" s="3" t="s">
        <v>177</v>
      </c>
      <c r="E21" s="3" t="s">
        <v>178</v>
      </c>
      <c r="F21" s="4">
        <v>37.729999999999997</v>
      </c>
      <c r="G21" s="3" t="s">
        <v>127</v>
      </c>
      <c r="H21" s="10">
        <v>0</v>
      </c>
      <c r="I21" s="4">
        <f>F21*KURALLAR!$C$3</f>
        <v>19241.922699999999</v>
      </c>
      <c r="J21" s="4">
        <f t="shared" si="0"/>
        <v>19241.922699999999</v>
      </c>
      <c r="K21" s="3" t="s">
        <v>72</v>
      </c>
      <c r="L21" s="3" t="s">
        <v>113</v>
      </c>
      <c r="M21" s="3" t="s">
        <v>179</v>
      </c>
    </row>
    <row r="22" spans="1:13" x14ac:dyDescent="0.25">
      <c r="A22" s="3" t="s">
        <v>180</v>
      </c>
      <c r="B22" s="3" t="s">
        <v>30</v>
      </c>
      <c r="C22" s="3" t="s">
        <v>31</v>
      </c>
      <c r="D22" s="3" t="s">
        <v>181</v>
      </c>
      <c r="E22" s="3" t="s">
        <v>182</v>
      </c>
      <c r="F22" s="4">
        <v>143.4</v>
      </c>
      <c r="G22" s="3" t="s">
        <v>127</v>
      </c>
      <c r="H22" s="10">
        <v>0</v>
      </c>
      <c r="I22" s="4">
        <f>F22*KURALLAR!$C$3</f>
        <v>73132.566000000006</v>
      </c>
      <c r="J22" s="4">
        <f t="shared" si="0"/>
        <v>73132.566000000006</v>
      </c>
      <c r="K22" s="3" t="s">
        <v>72</v>
      </c>
      <c r="L22" s="3" t="s">
        <v>113</v>
      </c>
      <c r="M22" s="3" t="s">
        <v>183</v>
      </c>
    </row>
    <row r="23" spans="1:13" x14ac:dyDescent="0.25">
      <c r="A23" s="3" t="s">
        <v>184</v>
      </c>
      <c r="B23" s="3" t="s">
        <v>30</v>
      </c>
      <c r="C23" s="3" t="s">
        <v>39</v>
      </c>
      <c r="D23" s="3" t="s">
        <v>185</v>
      </c>
      <c r="E23" s="3" t="s">
        <v>186</v>
      </c>
      <c r="F23" s="4">
        <v>12.83</v>
      </c>
      <c r="G23" s="3" t="s">
        <v>127</v>
      </c>
      <c r="H23" s="10">
        <v>0</v>
      </c>
      <c r="I23" s="4">
        <f>F23*KURALLAR!$C$3</f>
        <v>6543.1716999999999</v>
      </c>
      <c r="J23" s="4">
        <f t="shared" si="0"/>
        <v>6543.1716999999999</v>
      </c>
      <c r="K23" s="3" t="s">
        <v>72</v>
      </c>
      <c r="L23" s="3" t="s">
        <v>113</v>
      </c>
      <c r="M23" s="3" t="s">
        <v>187</v>
      </c>
    </row>
    <row r="24" spans="1:13" x14ac:dyDescent="0.25">
      <c r="A24" s="3" t="s">
        <v>188</v>
      </c>
      <c r="B24" s="3" t="s">
        <v>30</v>
      </c>
      <c r="C24" s="3" t="s">
        <v>65</v>
      </c>
      <c r="D24" s="3" t="s">
        <v>189</v>
      </c>
      <c r="E24" s="3" t="s">
        <v>190</v>
      </c>
      <c r="F24" s="4">
        <v>8.5</v>
      </c>
      <c r="G24" s="3" t="s">
        <v>127</v>
      </c>
      <c r="H24" s="10">
        <v>0</v>
      </c>
      <c r="I24" s="4">
        <f>F24*KURALLAR!$C$3</f>
        <v>4334.915</v>
      </c>
      <c r="J24" s="4">
        <f t="shared" si="0"/>
        <v>4334.915</v>
      </c>
      <c r="K24" s="3" t="s">
        <v>72</v>
      </c>
      <c r="L24" s="3" t="s">
        <v>113</v>
      </c>
      <c r="M24" s="3" t="s">
        <v>187</v>
      </c>
    </row>
    <row r="25" spans="1:13" x14ac:dyDescent="0.25">
      <c r="A25" s="3" t="s">
        <v>191</v>
      </c>
      <c r="B25" s="3" t="s">
        <v>23</v>
      </c>
      <c r="C25" s="3" t="s">
        <v>28</v>
      </c>
      <c r="D25" s="3" t="s">
        <v>192</v>
      </c>
      <c r="E25" s="3" t="s">
        <v>193</v>
      </c>
      <c r="F25" s="4">
        <v>9.6199999999999992</v>
      </c>
      <c r="G25" s="3" t="s">
        <v>127</v>
      </c>
      <c r="H25" s="10">
        <v>0</v>
      </c>
      <c r="I25" s="4">
        <f>F25*KURALLAR!$C$3</f>
        <v>4906.1037999999999</v>
      </c>
      <c r="J25" s="4">
        <f t="shared" si="0"/>
        <v>4906.1037999999999</v>
      </c>
      <c r="K25" s="3" t="s">
        <v>72</v>
      </c>
      <c r="L25" s="3" t="s">
        <v>113</v>
      </c>
      <c r="M25" s="3" t="s">
        <v>194</v>
      </c>
    </row>
    <row r="26" spans="1:13" x14ac:dyDescent="0.25">
      <c r="A26" s="3" t="s">
        <v>195</v>
      </c>
      <c r="B26" s="3" t="s">
        <v>23</v>
      </c>
      <c r="C26" s="3" t="s">
        <v>24</v>
      </c>
      <c r="D26" s="3" t="s">
        <v>196</v>
      </c>
      <c r="E26" s="3" t="s">
        <v>197</v>
      </c>
      <c r="F26" s="4">
        <v>9.6199999999999992</v>
      </c>
      <c r="G26" s="3" t="s">
        <v>127</v>
      </c>
      <c r="H26" s="10">
        <v>0</v>
      </c>
      <c r="I26" s="4">
        <f>F26*KURALLAR!$C$3</f>
        <v>4906.1037999999999</v>
      </c>
      <c r="J26" s="4">
        <f t="shared" si="0"/>
        <v>4906.1037999999999</v>
      </c>
      <c r="K26" s="3" t="s">
        <v>72</v>
      </c>
      <c r="L26" s="3" t="s">
        <v>113</v>
      </c>
      <c r="M26" s="3" t="s">
        <v>194</v>
      </c>
    </row>
    <row r="27" spans="1:13" x14ac:dyDescent="0.25">
      <c r="A27" s="3" t="s">
        <v>198</v>
      </c>
      <c r="B27" s="3" t="s">
        <v>23</v>
      </c>
      <c r="C27" s="3" t="s">
        <v>26</v>
      </c>
      <c r="D27" s="3" t="s">
        <v>199</v>
      </c>
      <c r="E27" s="3" t="s">
        <v>200</v>
      </c>
      <c r="F27" s="4">
        <v>9.6199999999999992</v>
      </c>
      <c r="G27" s="3" t="s">
        <v>127</v>
      </c>
      <c r="H27" s="10">
        <v>0</v>
      </c>
      <c r="I27" s="4">
        <f>F27*KURALLAR!$C$3</f>
        <v>4906.1037999999999</v>
      </c>
      <c r="J27" s="4">
        <f t="shared" si="0"/>
        <v>4906.1037999999999</v>
      </c>
      <c r="K27" s="3" t="s">
        <v>72</v>
      </c>
      <c r="L27" s="3" t="s">
        <v>113</v>
      </c>
      <c r="M27" s="3" t="s">
        <v>194</v>
      </c>
    </row>
    <row r="28" spans="1:13" x14ac:dyDescent="0.25">
      <c r="A28" s="3" t="s">
        <v>201</v>
      </c>
      <c r="B28" s="3" t="s">
        <v>43</v>
      </c>
      <c r="C28" s="3" t="s">
        <v>44</v>
      </c>
      <c r="D28" s="3" t="s">
        <v>202</v>
      </c>
      <c r="E28" s="3" t="s">
        <v>203</v>
      </c>
      <c r="F28" s="4">
        <v>6.25</v>
      </c>
      <c r="G28" s="3" t="s">
        <v>127</v>
      </c>
      <c r="H28" s="10">
        <v>0</v>
      </c>
      <c r="I28" s="4">
        <f>F28*KURALLAR!$C$3</f>
        <v>3187.4375</v>
      </c>
      <c r="J28" s="4">
        <f t="shared" si="0"/>
        <v>3187.4375</v>
      </c>
      <c r="K28" s="3" t="s">
        <v>72</v>
      </c>
      <c r="L28" s="3" t="s">
        <v>113</v>
      </c>
      <c r="M28" s="3" t="s">
        <v>204</v>
      </c>
    </row>
    <row r="29" spans="1:13" x14ac:dyDescent="0.25">
      <c r="A29" s="3" t="s">
        <v>205</v>
      </c>
      <c r="B29" s="3" t="s">
        <v>60</v>
      </c>
      <c r="C29" s="3" t="s">
        <v>61</v>
      </c>
      <c r="D29" s="3" t="s">
        <v>206</v>
      </c>
      <c r="E29" s="3" t="s">
        <v>207</v>
      </c>
      <c r="F29" s="4">
        <v>1.27</v>
      </c>
      <c r="G29" s="3" t="s">
        <v>127</v>
      </c>
      <c r="H29" s="10">
        <v>0</v>
      </c>
      <c r="I29" s="4">
        <f>F29*KURALLAR!$C$3</f>
        <v>647.68730000000005</v>
      </c>
      <c r="J29" s="4">
        <f t="shared" si="0"/>
        <v>647.68730000000005</v>
      </c>
      <c r="K29" s="3" t="s">
        <v>72</v>
      </c>
      <c r="L29" s="3" t="s">
        <v>113</v>
      </c>
      <c r="M29" s="3" t="s">
        <v>208</v>
      </c>
    </row>
    <row r="30" spans="1:13" x14ac:dyDescent="0.25">
      <c r="A30" s="3" t="s">
        <v>209</v>
      </c>
      <c r="B30" s="3" t="s">
        <v>54</v>
      </c>
      <c r="C30" s="3" t="s">
        <v>63</v>
      </c>
      <c r="D30" s="3" t="s">
        <v>210</v>
      </c>
      <c r="E30" s="3" t="s">
        <v>211</v>
      </c>
      <c r="F30" s="4">
        <v>4.5999999999999996</v>
      </c>
      <c r="G30" s="3" t="s">
        <v>127</v>
      </c>
      <c r="H30" s="10">
        <v>0</v>
      </c>
      <c r="I30" s="4">
        <f>F30*KURALLAR!$C$3</f>
        <v>2345.9539999999997</v>
      </c>
      <c r="J30" s="4">
        <f t="shared" si="0"/>
        <v>2345.9539999999997</v>
      </c>
      <c r="K30" s="3" t="s">
        <v>72</v>
      </c>
      <c r="L30" s="3" t="s">
        <v>113</v>
      </c>
      <c r="M30" s="3" t="s">
        <v>208</v>
      </c>
    </row>
    <row r="31" spans="1:13" x14ac:dyDescent="0.25">
      <c r="A31" s="3" t="s">
        <v>212</v>
      </c>
      <c r="B31" s="3" t="s">
        <v>33</v>
      </c>
      <c r="C31" s="3" t="s">
        <v>34</v>
      </c>
      <c r="D31" s="3" t="s">
        <v>213</v>
      </c>
      <c r="E31" s="3" t="s">
        <v>214</v>
      </c>
      <c r="F31" s="4">
        <v>24.89</v>
      </c>
      <c r="G31" s="3" t="s">
        <v>127</v>
      </c>
      <c r="H31" s="10">
        <v>0</v>
      </c>
      <c r="I31" s="4">
        <f>F31*KURALLAR!$C$3</f>
        <v>12693.651100000001</v>
      </c>
      <c r="J31" s="4">
        <f t="shared" si="0"/>
        <v>12693.651100000001</v>
      </c>
      <c r="K31" s="3" t="s">
        <v>72</v>
      </c>
      <c r="L31" s="3" t="s">
        <v>113</v>
      </c>
      <c r="M31" s="3" t="s">
        <v>215</v>
      </c>
    </row>
    <row r="32" spans="1:13" x14ac:dyDescent="0.25">
      <c r="A32" s="3" t="s">
        <v>216</v>
      </c>
      <c r="B32" s="3" t="s">
        <v>36</v>
      </c>
      <c r="C32" s="3" t="s">
        <v>37</v>
      </c>
      <c r="D32" s="3" t="s">
        <v>217</v>
      </c>
      <c r="E32" s="3" t="s">
        <v>218</v>
      </c>
      <c r="F32" s="4">
        <v>3.81</v>
      </c>
      <c r="G32" s="3" t="s">
        <v>127</v>
      </c>
      <c r="H32" s="10">
        <v>0</v>
      </c>
      <c r="I32" s="4">
        <f>F32*KURALLAR!$C$3</f>
        <v>1943.0619000000002</v>
      </c>
      <c r="J32" s="4">
        <f t="shared" si="0"/>
        <v>1943.0619000000002</v>
      </c>
      <c r="K32" s="3" t="s">
        <v>72</v>
      </c>
      <c r="L32" s="3" t="s">
        <v>113</v>
      </c>
      <c r="M32" s="3" t="s">
        <v>215</v>
      </c>
    </row>
    <row r="33" spans="2:13" x14ac:dyDescent="0.25">
      <c r="B33" s="17" t="s">
        <v>278</v>
      </c>
      <c r="C33" s="3" t="s">
        <v>277</v>
      </c>
      <c r="D33" t="s">
        <v>280</v>
      </c>
      <c r="E33" t="s">
        <v>279</v>
      </c>
      <c r="F33" s="18">
        <v>8.5</v>
      </c>
      <c r="G33" s="3" t="s">
        <v>127</v>
      </c>
      <c r="H33" s="10">
        <v>0</v>
      </c>
      <c r="I33" s="4">
        <f>F33*KURALLAR!$C$3</f>
        <v>4334.915</v>
      </c>
      <c r="J33" s="4">
        <f t="shared" ref="J33" si="1">I33*(1-H33)</f>
        <v>4334.915</v>
      </c>
      <c r="K33" s="3" t="s">
        <v>72</v>
      </c>
      <c r="L33" s="17" t="s">
        <v>113</v>
      </c>
      <c r="M33" s="3" t="s">
        <v>281</v>
      </c>
    </row>
    <row r="34" spans="2:13" x14ac:dyDescent="0.25">
      <c r="C34" s="17" t="s">
        <v>284</v>
      </c>
      <c r="D34" t="s">
        <v>283</v>
      </c>
      <c r="E34" t="s">
        <v>282</v>
      </c>
      <c r="F34">
        <v>10.65</v>
      </c>
      <c r="G34" s="3" t="s">
        <v>127</v>
      </c>
      <c r="H34" s="10">
        <v>0</v>
      </c>
      <c r="I34" s="4">
        <f>F34*KURALLAR!$C$3</f>
        <v>5431.3935000000001</v>
      </c>
      <c r="J34" s="4">
        <f t="shared" ref="J34" si="2">I34*(1-H34)</f>
        <v>5431.3935000000001</v>
      </c>
      <c r="K34" s="3" t="s">
        <v>72</v>
      </c>
      <c r="L34" s="17" t="s">
        <v>113</v>
      </c>
    </row>
    <row r="35" spans="2:13" x14ac:dyDescent="0.25">
      <c r="C35" t="s">
        <v>285</v>
      </c>
      <c r="D35" s="17" t="s">
        <v>286</v>
      </c>
      <c r="E35" s="17" t="s">
        <v>287</v>
      </c>
      <c r="F35" s="18">
        <v>6</v>
      </c>
      <c r="G35" s="3" t="s">
        <v>127</v>
      </c>
      <c r="H35" s="10">
        <v>0</v>
      </c>
      <c r="I35" s="4">
        <f>F35*KURALLAR!$C$3</f>
        <v>3059.94</v>
      </c>
      <c r="J35" s="4">
        <f t="shared" ref="J35:J36" si="3">I35*(1-H35)</f>
        <v>3059.94</v>
      </c>
      <c r="K35" s="3" t="s">
        <v>72</v>
      </c>
      <c r="L35" s="17" t="s">
        <v>113</v>
      </c>
    </row>
    <row r="36" spans="2:13" x14ac:dyDescent="0.25">
      <c r="B36" s="17" t="s">
        <v>278</v>
      </c>
      <c r="C36" t="s">
        <v>291</v>
      </c>
      <c r="D36" t="s">
        <v>290</v>
      </c>
      <c r="E36" t="s">
        <v>289</v>
      </c>
      <c r="F36" s="18">
        <v>9.15</v>
      </c>
      <c r="G36" s="3" t="s">
        <v>127</v>
      </c>
      <c r="H36" s="10">
        <v>0</v>
      </c>
      <c r="I36" s="4">
        <f>F36*KURALLAR!$C$3</f>
        <v>4666.4085000000005</v>
      </c>
      <c r="J36" s="4">
        <f t="shared" si="3"/>
        <v>4666.4085000000005</v>
      </c>
      <c r="K36" s="3" t="s">
        <v>72</v>
      </c>
      <c r="L36" s="17" t="s">
        <v>113</v>
      </c>
      <c r="M36" s="3" t="s">
        <v>281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2" customWidth="1"/>
    <col min="2" max="2" width="80" customWidth="1"/>
    <col min="3" max="3" width="12" customWidth="1"/>
  </cols>
  <sheetData>
    <row r="1" spans="1:3" x14ac:dyDescent="0.25">
      <c r="A1" s="6" t="s">
        <v>219</v>
      </c>
    </row>
    <row r="3" spans="1:3" x14ac:dyDescent="0.25">
      <c r="A3" s="6" t="s">
        <v>220</v>
      </c>
      <c r="B3" s="3" t="s">
        <v>221</v>
      </c>
      <c r="C3" s="11">
        <v>509.99</v>
      </c>
    </row>
    <row r="4" spans="1:3" x14ac:dyDescent="0.25">
      <c r="A4" s="6" t="s">
        <v>222</v>
      </c>
      <c r="B4" s="3" t="s">
        <v>223</v>
      </c>
      <c r="C4" s="11">
        <v>0.77</v>
      </c>
    </row>
    <row r="5" spans="1:3" x14ac:dyDescent="0.25">
      <c r="A5" s="6" t="s">
        <v>224</v>
      </c>
      <c r="B5" s="3" t="s">
        <v>225</v>
      </c>
      <c r="C5" s="11">
        <v>0.7</v>
      </c>
    </row>
    <row r="6" spans="1:3" x14ac:dyDescent="0.25">
      <c r="A6" s="6" t="s">
        <v>226</v>
      </c>
      <c r="B6" s="3" t="s">
        <v>227</v>
      </c>
      <c r="C6" s="11">
        <v>100</v>
      </c>
    </row>
    <row r="7" spans="1:3" x14ac:dyDescent="0.25">
      <c r="A7" s="6" t="s">
        <v>228</v>
      </c>
      <c r="B7" s="3" t="s">
        <v>229</v>
      </c>
      <c r="C7" s="11">
        <v>1</v>
      </c>
    </row>
    <row r="8" spans="1:3" x14ac:dyDescent="0.25">
      <c r="A8" s="6" t="s">
        <v>230</v>
      </c>
      <c r="B8" s="3" t="s">
        <v>231</v>
      </c>
      <c r="C8" s="11">
        <v>0.4</v>
      </c>
    </row>
    <row r="9" spans="1:3" x14ac:dyDescent="0.25">
      <c r="A9" s="6" t="s">
        <v>232</v>
      </c>
      <c r="B9" s="3" t="s">
        <v>233</v>
      </c>
      <c r="C9" s="11">
        <v>0.16</v>
      </c>
    </row>
    <row r="12" spans="1:3" x14ac:dyDescent="0.25">
      <c r="A12" s="6" t="s">
        <v>234</v>
      </c>
    </row>
    <row r="13" spans="1:3" x14ac:dyDescent="0.25">
      <c r="A13" s="3" t="s">
        <v>17</v>
      </c>
      <c r="B13" s="11">
        <v>15.3</v>
      </c>
    </row>
    <row r="14" spans="1:3" x14ac:dyDescent="0.25">
      <c r="A14" s="3" t="s">
        <v>20</v>
      </c>
      <c r="B14" s="11">
        <v>4</v>
      </c>
    </row>
    <row r="15" spans="1:3" x14ac:dyDescent="0.25">
      <c r="A15" s="3" t="s">
        <v>51</v>
      </c>
      <c r="B15" s="11">
        <v>5.9</v>
      </c>
    </row>
    <row r="16" spans="1:3" x14ac:dyDescent="0.25">
      <c r="A16" s="3" t="s">
        <v>54</v>
      </c>
      <c r="B16" s="11">
        <v>2</v>
      </c>
    </row>
    <row r="17" spans="1:2" x14ac:dyDescent="0.25">
      <c r="A17" s="3" t="s">
        <v>23</v>
      </c>
      <c r="B17" s="11">
        <v>8</v>
      </c>
    </row>
    <row r="18" spans="1:2" x14ac:dyDescent="0.25">
      <c r="A18" s="3" t="s">
        <v>43</v>
      </c>
      <c r="B18" s="11">
        <v>8</v>
      </c>
    </row>
    <row r="19" spans="1:2" x14ac:dyDescent="0.25">
      <c r="A19" s="3" t="s">
        <v>30</v>
      </c>
      <c r="B19" s="11">
        <v>21.8</v>
      </c>
    </row>
    <row r="20" spans="1:2" x14ac:dyDescent="0.25">
      <c r="A20" s="3" t="s">
        <v>60</v>
      </c>
      <c r="B20" s="11">
        <v>21.8</v>
      </c>
    </row>
    <row r="21" spans="1:2" x14ac:dyDescent="0.25">
      <c r="A21" s="3" t="s">
        <v>46</v>
      </c>
      <c r="B21" s="11">
        <v>2</v>
      </c>
    </row>
    <row r="22" spans="1:2" x14ac:dyDescent="0.25">
      <c r="A22" s="3" t="s">
        <v>33</v>
      </c>
      <c r="B22" s="11">
        <v>4</v>
      </c>
    </row>
    <row r="23" spans="1:2" x14ac:dyDescent="0.25">
      <c r="A23" s="3" t="s">
        <v>36</v>
      </c>
      <c r="B23" s="1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Normal="100" workbookViewId="0"/>
  </sheetViews>
  <sheetFormatPr defaultColWidth="8.7109375" defaultRowHeight="15" x14ac:dyDescent="0.25"/>
  <cols>
    <col min="1" max="1" width="44" customWidth="1"/>
    <col min="2" max="2" width="6" customWidth="1"/>
    <col min="3" max="6" width="20" customWidth="1"/>
    <col min="7" max="7" width="10" customWidth="1"/>
    <col min="8" max="8" width="12" customWidth="1"/>
  </cols>
  <sheetData>
    <row r="1" spans="1:8" ht="26.25" x14ac:dyDescent="0.25">
      <c r="A1" s="12" t="s">
        <v>235</v>
      </c>
      <c r="B1" s="12" t="s">
        <v>236</v>
      </c>
      <c r="C1" s="13" t="s">
        <v>237</v>
      </c>
      <c r="D1" s="13" t="s">
        <v>238</v>
      </c>
      <c r="E1" s="13" t="s">
        <v>239</v>
      </c>
      <c r="F1" s="13" t="s">
        <v>240</v>
      </c>
      <c r="G1" s="12" t="s">
        <v>241</v>
      </c>
      <c r="H1" s="13" t="s">
        <v>242</v>
      </c>
    </row>
    <row r="2" spans="1:8" x14ac:dyDescent="0.25">
      <c r="A2" s="3" t="s">
        <v>243</v>
      </c>
      <c r="B2" s="3">
        <v>1</v>
      </c>
      <c r="C2" s="14">
        <f>BOM!G34-BOM!G32-BOM!G33</f>
        <v>1860487.5793999999</v>
      </c>
      <c r="D2" s="14">
        <f>BOM!G32</f>
        <v>62580</v>
      </c>
      <c r="E2" s="14">
        <f>BOM!G33</f>
        <v>156450</v>
      </c>
      <c r="F2" s="14">
        <f>BOM!G34*B2</f>
        <v>2079517.5793999999</v>
      </c>
      <c r="G2" s="3">
        <v>8</v>
      </c>
      <c r="H2" s="14">
        <f>BOM!H33</f>
        <v>1564.5</v>
      </c>
    </row>
    <row r="3" spans="1:8" x14ac:dyDescent="0.25">
      <c r="A3" s="3" t="s">
        <v>244</v>
      </c>
      <c r="B3" s="3">
        <v>1</v>
      </c>
      <c r="C3" s="14">
        <f>BOM!G66-BOM!G64-BOM!G65</f>
        <v>1274451.6306</v>
      </c>
      <c r="D3" s="14">
        <f>BOM!G64</f>
        <v>31460.000000000007</v>
      </c>
      <c r="E3" s="14">
        <f>BOM!G65</f>
        <v>78650.000000000015</v>
      </c>
      <c r="F3" s="14">
        <f>BOM!G66*B3</f>
        <v>1384561.6306</v>
      </c>
      <c r="G3" s="3">
        <v>4</v>
      </c>
      <c r="H3" s="14">
        <f>BOM!H65</f>
        <v>786.50000000000011</v>
      </c>
    </row>
    <row r="4" spans="1:8" x14ac:dyDescent="0.25">
      <c r="A4" s="3" t="s">
        <v>245</v>
      </c>
      <c r="B4" s="3">
        <v>1</v>
      </c>
      <c r="C4" s="14">
        <f>BOM!G100-BOM!G98-BOM!G99</f>
        <v>1556676.3365999998</v>
      </c>
      <c r="D4" s="14">
        <f>BOM!G98</f>
        <v>52884</v>
      </c>
      <c r="E4" s="14">
        <f>BOM!G99</f>
        <v>132210</v>
      </c>
      <c r="F4" s="14">
        <f>BOM!G100*B4</f>
        <v>1741770.3365999998</v>
      </c>
      <c r="G4" s="3">
        <v>8</v>
      </c>
      <c r="H4" s="14">
        <f>BOM!H99</f>
        <v>1322.1</v>
      </c>
    </row>
    <row r="5" spans="1:8" x14ac:dyDescent="0.25">
      <c r="A5" s="3" t="s">
        <v>246</v>
      </c>
      <c r="B5" s="3">
        <v>1</v>
      </c>
      <c r="C5" s="14">
        <f>BOM!G135-BOM!G133-BOM!G134</f>
        <v>1665600.9408000002</v>
      </c>
      <c r="D5" s="14">
        <f>BOM!G133</f>
        <v>47968</v>
      </c>
      <c r="E5" s="14">
        <f>BOM!G134</f>
        <v>119920</v>
      </c>
      <c r="F5" s="14">
        <f>BOM!G135*B5</f>
        <v>1833488.9408000002</v>
      </c>
      <c r="G5" s="3">
        <v>7</v>
      </c>
      <c r="H5" s="14">
        <f>BOM!H134</f>
        <v>1199.2</v>
      </c>
    </row>
    <row r="6" spans="1:8" x14ac:dyDescent="0.25">
      <c r="A6" s="3" t="s">
        <v>247</v>
      </c>
      <c r="B6" s="3">
        <v>1</v>
      </c>
      <c r="C6" s="14">
        <f>BOM!G170-BOM!G168-BOM!G169</f>
        <v>1985142.5551</v>
      </c>
      <c r="D6" s="14">
        <f>BOM!G168</f>
        <v>65596</v>
      </c>
      <c r="E6" s="14">
        <f>BOM!G169</f>
        <v>163990</v>
      </c>
      <c r="F6" s="14">
        <f>BOM!G170*B6</f>
        <v>2214728.5551</v>
      </c>
      <c r="G6" s="3">
        <v>10</v>
      </c>
      <c r="H6" s="14">
        <f>BOM!H169</f>
        <v>1639.9</v>
      </c>
    </row>
    <row r="7" spans="1:8" x14ac:dyDescent="0.25">
      <c r="A7" s="3" t="s">
        <v>248</v>
      </c>
      <c r="B7" s="3">
        <v>1</v>
      </c>
      <c r="C7" s="14">
        <f>BOM!G204-BOM!G202-BOM!G203</f>
        <v>2093386.0526000001</v>
      </c>
      <c r="D7" s="14">
        <f>BOM!G202</f>
        <v>76388</v>
      </c>
      <c r="E7" s="14">
        <f>BOM!G203</f>
        <v>190970</v>
      </c>
      <c r="F7" s="14">
        <f>BOM!G204*B7</f>
        <v>2360744.0526000001</v>
      </c>
      <c r="G7" s="3">
        <v>12</v>
      </c>
      <c r="H7" s="14">
        <f>BOM!H203</f>
        <v>1909.7</v>
      </c>
    </row>
    <row r="8" spans="1:8" x14ac:dyDescent="0.25">
      <c r="A8" s="6" t="s">
        <v>249</v>
      </c>
      <c r="B8" s="6"/>
      <c r="C8" s="15">
        <f t="shared" ref="C8:H8" si="0">SUM(C2:C7)</f>
        <v>10435745.095100001</v>
      </c>
      <c r="D8" s="15">
        <f t="shared" si="0"/>
        <v>336876</v>
      </c>
      <c r="E8" s="15">
        <f t="shared" si="0"/>
        <v>842190</v>
      </c>
      <c r="F8" s="15">
        <f t="shared" si="0"/>
        <v>11614811.095100001</v>
      </c>
      <c r="G8" s="6">
        <f t="shared" si="0"/>
        <v>49</v>
      </c>
      <c r="H8" s="15">
        <f t="shared" si="0"/>
        <v>8421.9000000000015</v>
      </c>
    </row>
    <row r="9" spans="1:8" x14ac:dyDescent="0.25">
      <c r="A9" s="3" t="s">
        <v>250</v>
      </c>
      <c r="B9" s="3"/>
      <c r="C9" s="14"/>
      <c r="D9" s="14"/>
      <c r="E9" s="14"/>
      <c r="F9" s="14">
        <f>F8*KURALLAR!$C$9</f>
        <v>1858369.7752160002</v>
      </c>
      <c r="G9" s="3"/>
      <c r="H9" s="14"/>
    </row>
    <row r="10" spans="1:8" x14ac:dyDescent="0.25">
      <c r="A10" s="6" t="s">
        <v>251</v>
      </c>
      <c r="B10" s="6"/>
      <c r="C10" s="15"/>
      <c r="D10" s="15"/>
      <c r="E10" s="15"/>
      <c r="F10" s="15">
        <f>F8+F9</f>
        <v>13473180.870316001</v>
      </c>
      <c r="G10" s="6"/>
      <c r="H10" s="15"/>
    </row>
    <row r="12" spans="1:8" x14ac:dyDescent="0.25">
      <c r="A12" s="3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30" customWidth="1"/>
  </cols>
  <sheetData>
    <row r="1" spans="1:2" x14ac:dyDescent="0.25">
      <c r="A1" s="6" t="s">
        <v>253</v>
      </c>
      <c r="B1" s="16"/>
    </row>
    <row r="2" spans="1:2" ht="25.5" x14ac:dyDescent="0.25">
      <c r="A2" s="6" t="s">
        <v>9</v>
      </c>
      <c r="B2" s="16" t="s">
        <v>254</v>
      </c>
    </row>
    <row r="3" spans="1:2" x14ac:dyDescent="0.25">
      <c r="A3" s="6" t="s">
        <v>255</v>
      </c>
      <c r="B3" s="16" t="s">
        <v>256</v>
      </c>
    </row>
    <row r="4" spans="1:2" x14ac:dyDescent="0.25">
      <c r="A4" s="6" t="s">
        <v>257</v>
      </c>
      <c r="B4" s="16" t="s">
        <v>258</v>
      </c>
    </row>
    <row r="5" spans="1:2" x14ac:dyDescent="0.25">
      <c r="A5" s="6" t="s">
        <v>259</v>
      </c>
      <c r="B5" s="16" t="s">
        <v>260</v>
      </c>
    </row>
    <row r="6" spans="1:2" x14ac:dyDescent="0.25">
      <c r="A6" s="6" t="s">
        <v>261</v>
      </c>
      <c r="B6" s="16" t="s">
        <v>262</v>
      </c>
    </row>
    <row r="7" spans="1:2" x14ac:dyDescent="0.25">
      <c r="A7" s="6" t="s">
        <v>263</v>
      </c>
      <c r="B7" s="16" t="s">
        <v>264</v>
      </c>
    </row>
    <row r="8" spans="1:2" ht="25.5" x14ac:dyDescent="0.25">
      <c r="A8" s="6" t="s">
        <v>265</v>
      </c>
      <c r="B8" s="16" t="s">
        <v>266</v>
      </c>
    </row>
    <row r="9" spans="1:2" x14ac:dyDescent="0.25">
      <c r="A9" s="6" t="s">
        <v>267</v>
      </c>
      <c r="B9" s="16" t="s">
        <v>268</v>
      </c>
    </row>
    <row r="10" spans="1:2" x14ac:dyDescent="0.25">
      <c r="A10" s="6" t="s">
        <v>269</v>
      </c>
      <c r="B10" s="16" t="s">
        <v>270</v>
      </c>
    </row>
    <row r="11" spans="1:2" x14ac:dyDescent="0.25">
      <c r="A11" s="6" t="s">
        <v>271</v>
      </c>
      <c r="B11" s="16" t="s">
        <v>272</v>
      </c>
    </row>
    <row r="12" spans="1:2" x14ac:dyDescent="0.25">
      <c r="A12" s="6" t="s">
        <v>273</v>
      </c>
      <c r="B12" s="16" t="s">
        <v>274</v>
      </c>
    </row>
    <row r="13" spans="1:2" ht="25.5" x14ac:dyDescent="0.25">
      <c r="A13" s="6" t="s">
        <v>275</v>
      </c>
      <c r="B13" s="16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BOM</vt:lpstr>
      <vt:lpstr>FIYAT</vt:lpstr>
      <vt:lpstr>KURALLAR</vt:lpstr>
      <vt:lpstr>OZET</vt:lpstr>
      <vt:lpstr>ДОПУЩЕНИЯ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</cp:lastModifiedBy>
  <cp:revision>0</cp:revision>
  <dcterms:created xsi:type="dcterms:W3CDTF">2026-10-21T04:09:13Z</dcterms:created>
  <dcterms:modified xsi:type="dcterms:W3CDTF">2026-10-22T10:39:00Z</dcterms:modified>
  <dc:language>en-US</dc:language>
</cp:coreProperties>
</file>