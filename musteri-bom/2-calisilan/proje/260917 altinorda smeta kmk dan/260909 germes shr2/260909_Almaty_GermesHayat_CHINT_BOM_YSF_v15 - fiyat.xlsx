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9 germes shr2\"/>
    </mc:Choice>
  </mc:AlternateContent>
  <xr:revisionPtr revIDLastSave="0" documentId="13_ncr:1_{4A2DEAF8-69EF-4536-81B6-F064DFA85E1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5" r:id="rId1"/>
  </sheets>
  <definedNames>
    <definedName name="DURUM_LIST">#REF!</definedName>
    <definedName name="FIYAT_ACK">OFFSET(#REF!,0,0,COUNTA(#REF!)-1,1)</definedName>
    <definedName name="FIYAT_ART">OFFSET(#REF!,0,0,COUNTA(#REF!)-1,1)</definedName>
    <definedName name="FIYAT_KOD">OFFSET(#REF!,0,0,COUNTA(#REF!)-1,1)</definedName>
    <definedName name="FIYAT_LISTE">OFFSET(#REF!,0,0,COUNTA(#REF!)-1,1)</definedName>
    <definedName name="FIYAT_MARKA">OFFSET(#REF!,0,0,COUNTA(#REF!)-1,1)</definedName>
    <definedName name="FIYAT_NET">OFFSET(#REF!,0,0,COUNTA(#REF!)-1,1)</definedName>
    <definedName name="ISKONTO">#REF!</definedName>
    <definedName name="KAR_ORANI">#REF!</definedName>
    <definedName name="KUR_AD">#REF!</definedName>
    <definedName name="KUR_DEG">#REF!</definedName>
    <definedName name="MARKA_AD">#REF!</definedName>
    <definedName name="MARKA_KAT">#REF!</definedName>
    <definedName name="MARKA_PARA">#REF!</definedName>
    <definedName name="MARKA_TIP">#REF!</definedName>
    <definedName name="NDS_ORAN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5" l="1"/>
  <c r="F20" i="5"/>
  <c r="F21" i="5" s="1"/>
  <c r="F18" i="5"/>
  <c r="F12" i="5"/>
  <c r="F13" i="5"/>
  <c r="F14" i="5"/>
  <c r="F15" i="5"/>
  <c r="F16" i="5"/>
  <c r="F11" i="5"/>
</calcChain>
</file>

<file path=xl/sharedStrings.xml><?xml version="1.0" encoding="utf-8"?>
<sst xmlns="http://schemas.openxmlformats.org/spreadsheetml/2006/main" count="43" uniqueCount="38">
  <si>
    <t>KZT</t>
  </si>
  <si>
    <t>%50 avans, %50 teslimde</t>
  </si>
  <si>
    <t>12 ay</t>
  </si>
  <si>
    <t>Ед.изм</t>
  </si>
  <si>
    <t>TEKLİF NO</t>
  </si>
  <si>
    <t>260909-GH-CHINT-01</t>
  </si>
  <si>
    <t>TARİH</t>
  </si>
  <si>
    <t>2026-09-09</t>
  </si>
  <si>
    <t>GEÇERLİLİK</t>
  </si>
  <si>
    <t>MÜŞTERİ</t>
  </si>
  <si>
    <t>Germes Hayat</t>
  </si>
  <si>
    <t>PROJE</t>
  </si>
  <si>
    <t>Многоэтажный жилой комплекс, г.Алматы, мкр.Коктобе, ул.Т.Бигелдинова 1Б (41-22-2022-1В-ЭОМ), Блок 1В</t>
  </si>
  <si>
    <t>ADRES</t>
  </si>
  <si>
    <t>г.Алматы, Медеуский р-н, мкр.Коктобе, ул.Т.Бигелдинова, 1Б</t>
  </si>
  <si>
    <t>PARA BİRİMİ</t>
  </si>
  <si>
    <t>№</t>
  </si>
  <si>
    <t>Наименование</t>
  </si>
  <si>
    <t>Кол-во</t>
  </si>
  <si>
    <t>Цена за ед.</t>
  </si>
  <si>
    <t>Сумма</t>
  </si>
  <si>
    <t>Щит распределительный ЩР.2, навесной, IP31, RAL7035, In=125A, Icu=25kA, 3х380/220В, TN-S</t>
  </si>
  <si>
    <t>компл.</t>
  </si>
  <si>
    <t>Щит распределительный ЩР.1, навесной, IP31, RAL7035, In=32A, Icu=15kA, 3х380/220В, TN-S</t>
  </si>
  <si>
    <t>Щит управления/распределения ЩУ.1, навесной, IP31, RAL7035, In=63A, 3х380/220В, TN-S</t>
  </si>
  <si>
    <t>Щит управления/распределения ЩУ.2, навесной, IP31, RAL7035, In=125A, 3х380/220В, TN-S</t>
  </si>
  <si>
    <t>Щит управления/распределения ЩУ.3, навесной, IP31, RAL7035, In=32A, 3х380/220В, TN-S</t>
  </si>
  <si>
    <t>Щит освещения ЩО.1, навесной, IP31, RAL7035, In=25A, 3х380/220В, TN-S</t>
  </si>
  <si>
    <t>Итого</t>
  </si>
  <si>
    <t>Скидка (ISKONTO)</t>
  </si>
  <si>
    <t>Итого со скидкой</t>
  </si>
  <si>
    <t>НДС (NDS_ORANI)</t>
  </si>
  <si>
    <t>Всего с НДС</t>
  </si>
  <si>
    <t>Срок изготовления</t>
  </si>
  <si>
    <t>Условия оплаты</t>
  </si>
  <si>
    <t>Гарантия</t>
  </si>
  <si>
    <t>14 gün</t>
  </si>
  <si>
    <t>20 iş günü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</si>
</sst>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  <charset val="204"/>
    </font>
    <font>
      <b/>
      <sz val="11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3" fontId="0" fillId="0" borderId="0" xfId="0" applyNumberFormat="1"/>
    <xf numFmtId="3" fontId="1" fillId="2" borderId="1" xfId="0" applyNumberFormat="1" applyFont="1" applyFill="1" applyBorder="1"/>
    <xf numFmtId="3" fontId="0" fillId="0" borderId="1" xfId="0" applyNumberFormat="1" applyBorder="1"/>
    <xf numFmtId="3" fontId="2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showGridLines="0" tabSelected="1" zoomScaleNormal="100" workbookViewId="0">
      <selection activeCell="T7" sqref="T7"/>
    </sheetView>
  </sheetViews>
  <sheetFormatPr defaultColWidth="8.7109375" defaultRowHeight="15" x14ac:dyDescent="0.25"/>
  <cols>
    <col min="1" max="1" width="20.5703125" customWidth="1"/>
    <col min="2" max="2" width="61" customWidth="1"/>
    <col min="3" max="3" width="9" customWidth="1"/>
    <col min="4" max="4" width="10" customWidth="1"/>
    <col min="5" max="6" width="16" style="4" customWidth="1"/>
  </cols>
  <sheetData>
    <row r="1" spans="1:6" x14ac:dyDescent="0.25">
      <c r="A1" s="1" t="s">
        <v>4</v>
      </c>
      <c r="B1" t="s">
        <v>5</v>
      </c>
    </row>
    <row r="2" spans="1:6" x14ac:dyDescent="0.25">
      <c r="A2" s="1" t="s">
        <v>6</v>
      </c>
      <c r="B2" t="s">
        <v>7</v>
      </c>
    </row>
    <row r="3" spans="1:6" x14ac:dyDescent="0.25">
      <c r="A3" s="1" t="s">
        <v>8</v>
      </c>
      <c r="B3" t="s">
        <v>36</v>
      </c>
    </row>
    <row r="4" spans="1:6" x14ac:dyDescent="0.25">
      <c r="A4" s="1" t="s">
        <v>9</v>
      </c>
      <c r="B4" t="s">
        <v>10</v>
      </c>
    </row>
    <row r="5" spans="1:6" x14ac:dyDescent="0.25">
      <c r="A5" s="1" t="s">
        <v>11</v>
      </c>
      <c r="B5" t="s">
        <v>12</v>
      </c>
    </row>
    <row r="6" spans="1:6" x14ac:dyDescent="0.25">
      <c r="A6" s="1" t="s">
        <v>13</v>
      </c>
      <c r="B6" t="s">
        <v>14</v>
      </c>
    </row>
    <row r="7" spans="1:6" x14ac:dyDescent="0.25">
      <c r="A7" s="1" t="s">
        <v>15</v>
      </c>
      <c r="B7" t="s">
        <v>0</v>
      </c>
    </row>
    <row r="10" spans="1:6" x14ac:dyDescent="0.25">
      <c r="A10" s="8" t="s">
        <v>16</v>
      </c>
      <c r="B10" s="3" t="s">
        <v>17</v>
      </c>
      <c r="C10" s="3" t="s">
        <v>18</v>
      </c>
      <c r="D10" s="3" t="s">
        <v>3</v>
      </c>
      <c r="E10" s="5" t="s">
        <v>19</v>
      </c>
      <c r="F10" s="5" t="s">
        <v>20</v>
      </c>
    </row>
    <row r="11" spans="1:6" x14ac:dyDescent="0.25">
      <c r="A11" s="9">
        <v>1</v>
      </c>
      <c r="B11" s="2" t="s">
        <v>21</v>
      </c>
      <c r="C11" s="2">
        <v>1</v>
      </c>
      <c r="D11" s="2" t="s">
        <v>22</v>
      </c>
      <c r="E11" s="6">
        <v>371803.49</v>
      </c>
      <c r="F11" s="6">
        <f>E11*C11</f>
        <v>371803.49</v>
      </c>
    </row>
    <row r="12" spans="1:6" x14ac:dyDescent="0.25">
      <c r="A12" s="9">
        <v>2</v>
      </c>
      <c r="B12" s="2" t="s">
        <v>23</v>
      </c>
      <c r="C12" s="2">
        <v>1</v>
      </c>
      <c r="D12" s="2" t="s">
        <v>22</v>
      </c>
      <c r="E12" s="6">
        <v>221976.15</v>
      </c>
      <c r="F12" s="6">
        <f t="shared" ref="F12:F16" si="0">E12*C12</f>
        <v>221976.15</v>
      </c>
    </row>
    <row r="13" spans="1:6" x14ac:dyDescent="0.25">
      <c r="A13" s="9">
        <v>3</v>
      </c>
      <c r="B13" s="2" t="s">
        <v>24</v>
      </c>
      <c r="C13" s="2">
        <v>1</v>
      </c>
      <c r="D13" s="2" t="s">
        <v>22</v>
      </c>
      <c r="E13" s="6">
        <v>152166.47999999998</v>
      </c>
      <c r="F13" s="6">
        <f t="shared" si="0"/>
        <v>152166.47999999998</v>
      </c>
    </row>
    <row r="14" spans="1:6" x14ac:dyDescent="0.25">
      <c r="A14" s="9">
        <v>4</v>
      </c>
      <c r="B14" s="2" t="s">
        <v>25</v>
      </c>
      <c r="C14" s="2">
        <v>1</v>
      </c>
      <c r="D14" s="2" t="s">
        <v>22</v>
      </c>
      <c r="E14" s="6">
        <v>244506.53999999998</v>
      </c>
      <c r="F14" s="6">
        <f t="shared" si="0"/>
        <v>244506.53999999998</v>
      </c>
    </row>
    <row r="15" spans="1:6" x14ac:dyDescent="0.25">
      <c r="A15" s="9">
        <v>5</v>
      </c>
      <c r="B15" s="2" t="s">
        <v>26</v>
      </c>
      <c r="C15" s="2">
        <v>1</v>
      </c>
      <c r="D15" s="2" t="s">
        <v>22</v>
      </c>
      <c r="E15" s="6">
        <v>123002.34000000001</v>
      </c>
      <c r="F15" s="6">
        <f t="shared" si="0"/>
        <v>123002.34000000001</v>
      </c>
    </row>
    <row r="16" spans="1:6" x14ac:dyDescent="0.25">
      <c r="A16" s="9">
        <v>6</v>
      </c>
      <c r="B16" s="2" t="s">
        <v>27</v>
      </c>
      <c r="C16" s="2">
        <v>1</v>
      </c>
      <c r="D16" s="2" t="s">
        <v>22</v>
      </c>
      <c r="E16" s="6">
        <v>47726.75</v>
      </c>
      <c r="F16" s="6">
        <f t="shared" si="0"/>
        <v>47726.75</v>
      </c>
    </row>
    <row r="18" spans="2:6" x14ac:dyDescent="0.25">
      <c r="B18" t="s">
        <v>28</v>
      </c>
      <c r="F18" s="4">
        <f>SUM(F11:F17)</f>
        <v>1161181.75</v>
      </c>
    </row>
    <row r="19" spans="2:6" x14ac:dyDescent="0.25">
      <c r="B19" t="s">
        <v>29</v>
      </c>
      <c r="F19" s="4">
        <v>348354.52499999997</v>
      </c>
    </row>
    <row r="20" spans="2:6" x14ac:dyDescent="0.25">
      <c r="B20" t="s">
        <v>30</v>
      </c>
      <c r="F20" s="4">
        <f>F18-F19</f>
        <v>812827.22500000009</v>
      </c>
    </row>
    <row r="21" spans="2:6" x14ac:dyDescent="0.25">
      <c r="B21" t="s">
        <v>31</v>
      </c>
      <c r="F21" s="4">
        <f>0.16*F20</f>
        <v>130052.35600000001</v>
      </c>
    </row>
    <row r="22" spans="2:6" x14ac:dyDescent="0.25">
      <c r="B22" s="1" t="s">
        <v>32</v>
      </c>
      <c r="F22" s="7">
        <f>F20</f>
        <v>812827.22500000009</v>
      </c>
    </row>
    <row r="23" spans="2:6" x14ac:dyDescent="0.25">
      <c r="B23" t="s">
        <v>33</v>
      </c>
      <c r="F23" s="4" t="s">
        <v>37</v>
      </c>
    </row>
    <row r="24" spans="2:6" x14ac:dyDescent="0.25">
      <c r="B24" t="s">
        <v>34</v>
      </c>
      <c r="F24" s="4" t="s">
        <v>1</v>
      </c>
    </row>
    <row r="25" spans="2:6" x14ac:dyDescent="0.25">
      <c r="B25" t="s">
        <v>35</v>
      </c>
      <c r="F25" s="4" t="s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2026-09-11T07:11:06Z</dcterms:created>
  <dcterms:modified xsi:type="dcterms:W3CDTF">2026-09-11T09:50:19Z</dcterms:modified>
  <dc:language>en-US</dc:language>
</cp:coreProperties>
</file>