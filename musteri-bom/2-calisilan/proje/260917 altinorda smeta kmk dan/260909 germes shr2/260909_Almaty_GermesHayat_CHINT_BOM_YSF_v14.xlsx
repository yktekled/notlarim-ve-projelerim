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9 germes shr2\"/>
    </mc:Choice>
  </mc:AlternateContent>
  <xr:revisionPtr revIDLastSave="0" documentId="13_ncr:1_{F8121970-E534-40FF-B16D-68265E17E20A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definedNames>
    <definedName name="_xlnm._FilterDatabase" localSheetId="2" hidden="1">BOM!$A$1:$P$104</definedName>
    <definedName name="_xlnm._FilterDatabase" localSheetId="1" hidden="1">FIYAT!$A$1:$Q$43</definedName>
    <definedName name="DURUM_LIST">KURALLAR!$J$2:$J$11</definedName>
    <definedName name="FIYAT_ACK">OFFSET(FIYAT!$D$2,0,0,COUNTA(FIYAT!$C:$C)-1,1)</definedName>
    <definedName name="FIYAT_ART">OFFSET(FIYAT!$Q$2,0,0,COUNTA(FIYAT!$C:$C)-1,1)</definedName>
    <definedName name="FIYAT_KOD">OFFSET(FIYAT!$C$2,0,0,COUNTA(FIYAT!$C:$C)-1,1)</definedName>
    <definedName name="FIYAT_LISTE">OFFSET(FIYAT!$E$2,0,0,COUNTA(FIYAT!$C:$C)-1,1)</definedName>
    <definedName name="FIYAT_MARKA">OFFSET(FIYAT!$J$2,0,0,COUNTA(FIYAT!$C:$C)-1,1)</definedName>
    <definedName name="FIYAT_NET">OFFSET(FIYAT!$F$2,0,0,COUNTA(FIYAT!$C:$C)-1,1)</definedName>
    <definedName name="ISKONTO">KURALLAR!$B$52</definedName>
    <definedName name="KAR_ORANI">KURALLAR!$B$51</definedName>
    <definedName name="KUR_AD">KURALLAR!$A$5:$A$8</definedName>
    <definedName name="KUR_DEG">KURALLAR!$B$5:$B$8</definedName>
    <definedName name="MARKA_AD">KURALLAR!$A$12:$A$26</definedName>
    <definedName name="MARKA_KAT">KURALLAR!$E$12:$E$26</definedName>
    <definedName name="MARKA_PARA">KURALLAR!$B$12:$B$26</definedName>
    <definedName name="MARKA_TIP">KURALLAR!$F$12:$F$26</definedName>
    <definedName name="NDS_ORANI">KURALLAR!$B$53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2" l="1"/>
  <c r="F25" i="5" l="1"/>
  <c r="F24" i="5"/>
  <c r="F23" i="5"/>
  <c r="C16" i="5"/>
  <c r="C15" i="5"/>
  <c r="C14" i="5"/>
  <c r="C13" i="5"/>
  <c r="C12" i="5"/>
  <c r="A9" i="5"/>
  <c r="B3" i="5"/>
  <c r="Q6" i="4"/>
  <c r="P6" i="4"/>
  <c r="O6" i="4"/>
  <c r="J6" i="4"/>
  <c r="K6" i="4" s="1"/>
  <c r="Q5" i="4"/>
  <c r="P5" i="4"/>
  <c r="O5" i="4"/>
  <c r="K5" i="4"/>
  <c r="J5" i="4"/>
  <c r="Q4" i="4"/>
  <c r="P4" i="4"/>
  <c r="O4" i="4"/>
  <c r="J4" i="4"/>
  <c r="K4" i="4" s="1"/>
  <c r="Q3" i="4"/>
  <c r="P3" i="4"/>
  <c r="O3" i="4"/>
  <c r="J3" i="4"/>
  <c r="K3" i="4" s="1"/>
  <c r="Q2" i="4"/>
  <c r="P2" i="4"/>
  <c r="O2" i="4"/>
  <c r="J2" i="4"/>
  <c r="K2" i="4" s="1"/>
  <c r="K104" i="3"/>
  <c r="E104" i="3"/>
  <c r="B104" i="3" s="1"/>
  <c r="D104" i="3"/>
  <c r="K103" i="3"/>
  <c r="G103" i="3"/>
  <c r="H103" i="3" s="1"/>
  <c r="L103" i="3" s="1"/>
  <c r="F103" i="3"/>
  <c r="E103" i="3"/>
  <c r="B103" i="3" s="1"/>
  <c r="D103" i="3"/>
  <c r="K102" i="3"/>
  <c r="F102" i="3"/>
  <c r="E102" i="3"/>
  <c r="B102" i="3" s="1"/>
  <c r="D102" i="3"/>
  <c r="K101" i="3"/>
  <c r="F101" i="3"/>
  <c r="E101" i="3"/>
  <c r="B101" i="3" s="1"/>
  <c r="D101" i="3"/>
  <c r="K100" i="3"/>
  <c r="F100" i="3"/>
  <c r="E100" i="3"/>
  <c r="B100" i="3" s="1"/>
  <c r="D100" i="3"/>
  <c r="K99" i="3"/>
  <c r="F99" i="3"/>
  <c r="E99" i="3"/>
  <c r="B99" i="3" s="1"/>
  <c r="D99" i="3"/>
  <c r="K98" i="3"/>
  <c r="F98" i="3"/>
  <c r="E98" i="3"/>
  <c r="B98" i="3" s="1"/>
  <c r="D98" i="3"/>
  <c r="K97" i="3"/>
  <c r="F97" i="3"/>
  <c r="E97" i="3"/>
  <c r="B97" i="3" s="1"/>
  <c r="D97" i="3"/>
  <c r="K96" i="3"/>
  <c r="F96" i="3"/>
  <c r="E96" i="3"/>
  <c r="B96" i="3" s="1"/>
  <c r="D96" i="3"/>
  <c r="K95" i="3"/>
  <c r="F95" i="3"/>
  <c r="E95" i="3"/>
  <c r="B95" i="3" s="1"/>
  <c r="D95" i="3"/>
  <c r="K94" i="3"/>
  <c r="F94" i="3"/>
  <c r="E94" i="3"/>
  <c r="B94" i="3" s="1"/>
  <c r="D94" i="3"/>
  <c r="K93" i="3"/>
  <c r="F93" i="3"/>
  <c r="E93" i="3"/>
  <c r="B93" i="3" s="1"/>
  <c r="D93" i="3"/>
  <c r="K92" i="3"/>
  <c r="F92" i="3"/>
  <c r="E92" i="3"/>
  <c r="B92" i="3" s="1"/>
  <c r="D92" i="3"/>
  <c r="K91" i="3"/>
  <c r="F91" i="3"/>
  <c r="E91" i="3"/>
  <c r="B91" i="3" s="1"/>
  <c r="D91" i="3"/>
  <c r="K88" i="3"/>
  <c r="E88" i="3"/>
  <c r="B88" i="3" s="1"/>
  <c r="D88" i="3"/>
  <c r="K87" i="3"/>
  <c r="G87" i="3"/>
  <c r="H87" i="3" s="1"/>
  <c r="L87" i="3" s="1"/>
  <c r="F87" i="3"/>
  <c r="E87" i="3"/>
  <c r="B87" i="3" s="1"/>
  <c r="D87" i="3"/>
  <c r="K86" i="3"/>
  <c r="F86" i="3"/>
  <c r="E86" i="3"/>
  <c r="B86" i="3" s="1"/>
  <c r="D86" i="3"/>
  <c r="K85" i="3"/>
  <c r="F85" i="3"/>
  <c r="E85" i="3"/>
  <c r="B85" i="3" s="1"/>
  <c r="D85" i="3"/>
  <c r="K84" i="3"/>
  <c r="F84" i="3"/>
  <c r="E84" i="3"/>
  <c r="B84" i="3" s="1"/>
  <c r="D84" i="3"/>
  <c r="K83" i="3"/>
  <c r="F83" i="3"/>
  <c r="E83" i="3"/>
  <c r="B83" i="3" s="1"/>
  <c r="D83" i="3"/>
  <c r="K82" i="3"/>
  <c r="F82" i="3"/>
  <c r="E82" i="3"/>
  <c r="B82" i="3" s="1"/>
  <c r="D82" i="3"/>
  <c r="K81" i="3"/>
  <c r="F81" i="3"/>
  <c r="E81" i="3"/>
  <c r="B81" i="3" s="1"/>
  <c r="D81" i="3"/>
  <c r="K80" i="3"/>
  <c r="F80" i="3"/>
  <c r="E80" i="3"/>
  <c r="B80" i="3" s="1"/>
  <c r="D80" i="3"/>
  <c r="K79" i="3"/>
  <c r="F79" i="3"/>
  <c r="E79" i="3"/>
  <c r="B79" i="3" s="1"/>
  <c r="D79" i="3"/>
  <c r="K78" i="3"/>
  <c r="F78" i="3"/>
  <c r="E78" i="3"/>
  <c r="B78" i="3" s="1"/>
  <c r="D78" i="3"/>
  <c r="K77" i="3"/>
  <c r="F77" i="3"/>
  <c r="E77" i="3"/>
  <c r="B77" i="3" s="1"/>
  <c r="D77" i="3"/>
  <c r="K76" i="3"/>
  <c r="F76" i="3"/>
  <c r="E76" i="3"/>
  <c r="B76" i="3" s="1"/>
  <c r="D76" i="3"/>
  <c r="K75" i="3"/>
  <c r="F75" i="3"/>
  <c r="E75" i="3"/>
  <c r="B75" i="3" s="1"/>
  <c r="D75" i="3"/>
  <c r="K74" i="3"/>
  <c r="F74" i="3"/>
  <c r="E74" i="3"/>
  <c r="B74" i="3" s="1"/>
  <c r="D74" i="3"/>
  <c r="K73" i="3"/>
  <c r="F73" i="3"/>
  <c r="E73" i="3"/>
  <c r="B73" i="3" s="1"/>
  <c r="D73" i="3"/>
  <c r="K72" i="3"/>
  <c r="F72" i="3"/>
  <c r="E72" i="3"/>
  <c r="B72" i="3" s="1"/>
  <c r="D72" i="3"/>
  <c r="K71" i="3"/>
  <c r="F71" i="3"/>
  <c r="E71" i="3"/>
  <c r="B71" i="3" s="1"/>
  <c r="D71" i="3"/>
  <c r="K70" i="3"/>
  <c r="F70" i="3"/>
  <c r="E70" i="3"/>
  <c r="B70" i="3" s="1"/>
  <c r="D70" i="3"/>
  <c r="K69" i="3"/>
  <c r="F69" i="3"/>
  <c r="E69" i="3"/>
  <c r="B69" i="3" s="1"/>
  <c r="D69" i="3"/>
  <c r="K68" i="3"/>
  <c r="F68" i="3"/>
  <c r="E68" i="3"/>
  <c r="B68" i="3" s="1"/>
  <c r="D68" i="3"/>
  <c r="K67" i="3"/>
  <c r="F67" i="3"/>
  <c r="E67" i="3"/>
  <c r="B67" i="3" s="1"/>
  <c r="D67" i="3"/>
  <c r="K64" i="3"/>
  <c r="E64" i="3"/>
  <c r="B64" i="3" s="1"/>
  <c r="D64" i="3"/>
  <c r="K63" i="3"/>
  <c r="G63" i="3"/>
  <c r="H63" i="3" s="1"/>
  <c r="L63" i="3" s="1"/>
  <c r="F63" i="3"/>
  <c r="E63" i="3"/>
  <c r="B63" i="3" s="1"/>
  <c r="D63" i="3"/>
  <c r="K62" i="3"/>
  <c r="F62" i="3"/>
  <c r="E62" i="3"/>
  <c r="B62" i="3" s="1"/>
  <c r="D62" i="3"/>
  <c r="K61" i="3"/>
  <c r="F61" i="3"/>
  <c r="E61" i="3"/>
  <c r="B61" i="3" s="1"/>
  <c r="D61" i="3"/>
  <c r="K60" i="3"/>
  <c r="F60" i="3"/>
  <c r="E60" i="3"/>
  <c r="B60" i="3" s="1"/>
  <c r="D60" i="3"/>
  <c r="K59" i="3"/>
  <c r="F59" i="3"/>
  <c r="E59" i="3"/>
  <c r="B59" i="3" s="1"/>
  <c r="D59" i="3"/>
  <c r="K58" i="3"/>
  <c r="F58" i="3"/>
  <c r="E58" i="3"/>
  <c r="B58" i="3" s="1"/>
  <c r="D58" i="3"/>
  <c r="K57" i="3"/>
  <c r="F57" i="3"/>
  <c r="E57" i="3"/>
  <c r="B57" i="3" s="1"/>
  <c r="D57" i="3"/>
  <c r="K56" i="3"/>
  <c r="F56" i="3"/>
  <c r="E56" i="3"/>
  <c r="B56" i="3" s="1"/>
  <c r="D56" i="3"/>
  <c r="K55" i="3"/>
  <c r="F55" i="3"/>
  <c r="E55" i="3"/>
  <c r="B55" i="3" s="1"/>
  <c r="D55" i="3"/>
  <c r="K54" i="3"/>
  <c r="F54" i="3"/>
  <c r="E54" i="3"/>
  <c r="B54" i="3" s="1"/>
  <c r="D54" i="3"/>
  <c r="K53" i="3"/>
  <c r="F53" i="3"/>
  <c r="E53" i="3"/>
  <c r="B53" i="3" s="1"/>
  <c r="D53" i="3"/>
  <c r="K52" i="3"/>
  <c r="F52" i="3"/>
  <c r="E52" i="3"/>
  <c r="B52" i="3" s="1"/>
  <c r="D52" i="3"/>
  <c r="K51" i="3"/>
  <c r="F51" i="3"/>
  <c r="E51" i="3"/>
  <c r="B51" i="3" s="1"/>
  <c r="D51" i="3"/>
  <c r="K50" i="3"/>
  <c r="F50" i="3"/>
  <c r="E50" i="3"/>
  <c r="B50" i="3" s="1"/>
  <c r="D50" i="3"/>
  <c r="K49" i="3"/>
  <c r="F49" i="3"/>
  <c r="E49" i="3"/>
  <c r="B49" i="3" s="1"/>
  <c r="D49" i="3"/>
  <c r="K48" i="3"/>
  <c r="F48" i="3"/>
  <c r="E48" i="3"/>
  <c r="B48" i="3" s="1"/>
  <c r="D48" i="3"/>
  <c r="K47" i="3"/>
  <c r="F47" i="3"/>
  <c r="E47" i="3"/>
  <c r="B47" i="3" s="1"/>
  <c r="D47" i="3"/>
  <c r="K46" i="3"/>
  <c r="F46" i="3"/>
  <c r="E46" i="3"/>
  <c r="B46" i="3" s="1"/>
  <c r="D46" i="3"/>
  <c r="K45" i="3"/>
  <c r="B45" i="3"/>
  <c r="K42" i="3"/>
  <c r="E42" i="3"/>
  <c r="B42" i="3" s="1"/>
  <c r="D42" i="3"/>
  <c r="K41" i="3"/>
  <c r="G41" i="3"/>
  <c r="H41" i="3" s="1"/>
  <c r="L41" i="3" s="1"/>
  <c r="F41" i="3"/>
  <c r="E41" i="3"/>
  <c r="B41" i="3" s="1"/>
  <c r="D41" i="3"/>
  <c r="K40" i="3"/>
  <c r="F40" i="3"/>
  <c r="E40" i="3"/>
  <c r="B40" i="3" s="1"/>
  <c r="D40" i="3"/>
  <c r="K39" i="3"/>
  <c r="F39" i="3"/>
  <c r="E39" i="3"/>
  <c r="B39" i="3" s="1"/>
  <c r="D39" i="3"/>
  <c r="K38" i="3"/>
  <c r="F38" i="3"/>
  <c r="E38" i="3"/>
  <c r="B38" i="3" s="1"/>
  <c r="D38" i="3"/>
  <c r="K37" i="3"/>
  <c r="F37" i="3"/>
  <c r="E37" i="3"/>
  <c r="B37" i="3" s="1"/>
  <c r="D37" i="3"/>
  <c r="K36" i="3"/>
  <c r="F36" i="3"/>
  <c r="E36" i="3"/>
  <c r="B36" i="3" s="1"/>
  <c r="D36" i="3"/>
  <c r="K35" i="3"/>
  <c r="F35" i="3"/>
  <c r="E35" i="3"/>
  <c r="B35" i="3" s="1"/>
  <c r="D35" i="3"/>
  <c r="K34" i="3"/>
  <c r="F34" i="3"/>
  <c r="E34" i="3"/>
  <c r="B34" i="3" s="1"/>
  <c r="D34" i="3"/>
  <c r="K33" i="3"/>
  <c r="F33" i="3"/>
  <c r="E33" i="3"/>
  <c r="B33" i="3" s="1"/>
  <c r="D33" i="3"/>
  <c r="K32" i="3"/>
  <c r="F32" i="3"/>
  <c r="E32" i="3"/>
  <c r="B32" i="3" s="1"/>
  <c r="D32" i="3"/>
  <c r="K31" i="3"/>
  <c r="F31" i="3"/>
  <c r="E31" i="3"/>
  <c r="B31" i="3" s="1"/>
  <c r="D31" i="3"/>
  <c r="K30" i="3"/>
  <c r="F30" i="3"/>
  <c r="E30" i="3"/>
  <c r="B30" i="3" s="1"/>
  <c r="D30" i="3"/>
  <c r="K29" i="3"/>
  <c r="F29" i="3"/>
  <c r="E29" i="3"/>
  <c r="B29" i="3" s="1"/>
  <c r="D29" i="3"/>
  <c r="K28" i="3"/>
  <c r="F28" i="3"/>
  <c r="E28" i="3"/>
  <c r="B28" i="3" s="1"/>
  <c r="D28" i="3"/>
  <c r="K25" i="3"/>
  <c r="E25" i="3"/>
  <c r="B25" i="3" s="1"/>
  <c r="D25" i="3"/>
  <c r="K24" i="3"/>
  <c r="G24" i="3"/>
  <c r="H24" i="3" s="1"/>
  <c r="L24" i="3" s="1"/>
  <c r="F24" i="3"/>
  <c r="E24" i="3"/>
  <c r="B24" i="3" s="1"/>
  <c r="D24" i="3"/>
  <c r="K23" i="3"/>
  <c r="F23" i="3"/>
  <c r="E23" i="3"/>
  <c r="B23" i="3" s="1"/>
  <c r="D23" i="3"/>
  <c r="K22" i="3"/>
  <c r="F22" i="3"/>
  <c r="E22" i="3"/>
  <c r="B22" i="3" s="1"/>
  <c r="D22" i="3"/>
  <c r="K21" i="3"/>
  <c r="F21" i="3"/>
  <c r="E21" i="3"/>
  <c r="B21" i="3" s="1"/>
  <c r="D21" i="3"/>
  <c r="K20" i="3"/>
  <c r="F20" i="3"/>
  <c r="E20" i="3"/>
  <c r="B20" i="3" s="1"/>
  <c r="D20" i="3"/>
  <c r="K19" i="3"/>
  <c r="F19" i="3"/>
  <c r="E19" i="3"/>
  <c r="B19" i="3" s="1"/>
  <c r="D19" i="3"/>
  <c r="K18" i="3"/>
  <c r="F18" i="3"/>
  <c r="E18" i="3"/>
  <c r="B18" i="3" s="1"/>
  <c r="D18" i="3"/>
  <c r="K17" i="3"/>
  <c r="F17" i="3"/>
  <c r="E17" i="3"/>
  <c r="B17" i="3" s="1"/>
  <c r="D17" i="3"/>
  <c r="K16" i="3"/>
  <c r="F16" i="3"/>
  <c r="E16" i="3"/>
  <c r="B16" i="3" s="1"/>
  <c r="D16" i="3"/>
  <c r="K15" i="3"/>
  <c r="F15" i="3"/>
  <c r="E15" i="3"/>
  <c r="B15" i="3" s="1"/>
  <c r="D15" i="3"/>
  <c r="K14" i="3"/>
  <c r="F14" i="3"/>
  <c r="E14" i="3"/>
  <c r="B14" i="3" s="1"/>
  <c r="D14" i="3"/>
  <c r="K13" i="3"/>
  <c r="F13" i="3"/>
  <c r="E13" i="3"/>
  <c r="B13" i="3" s="1"/>
  <c r="D13" i="3"/>
  <c r="K12" i="3"/>
  <c r="F12" i="3"/>
  <c r="E12" i="3"/>
  <c r="B12" i="3" s="1"/>
  <c r="D12" i="3"/>
  <c r="K11" i="3"/>
  <c r="F11" i="3"/>
  <c r="E11" i="3"/>
  <c r="B11" i="3" s="1"/>
  <c r="D11" i="3"/>
  <c r="K10" i="3"/>
  <c r="F10" i="3"/>
  <c r="E10" i="3"/>
  <c r="B10" i="3" s="1"/>
  <c r="D10" i="3"/>
  <c r="K9" i="3"/>
  <c r="F9" i="3"/>
  <c r="E9" i="3"/>
  <c r="B9" i="3" s="1"/>
  <c r="D9" i="3"/>
  <c r="K8" i="3"/>
  <c r="F8" i="3"/>
  <c r="E8" i="3"/>
  <c r="B8" i="3" s="1"/>
  <c r="D8" i="3"/>
  <c r="K7" i="3"/>
  <c r="F7" i="3"/>
  <c r="E7" i="3"/>
  <c r="B7" i="3" s="1"/>
  <c r="D7" i="3"/>
  <c r="K6" i="3"/>
  <c r="F6" i="3"/>
  <c r="E6" i="3"/>
  <c r="B6" i="3" s="1"/>
  <c r="D6" i="3"/>
  <c r="K5" i="3"/>
  <c r="F5" i="3"/>
  <c r="E5" i="3"/>
  <c r="B5" i="3" s="1"/>
  <c r="D5" i="3"/>
  <c r="K4" i="3"/>
  <c r="F4" i="3"/>
  <c r="E4" i="3"/>
  <c r="B4" i="3" s="1"/>
  <c r="D4" i="3"/>
  <c r="K3" i="3"/>
  <c r="F3" i="3"/>
  <c r="E3" i="3"/>
  <c r="B3" i="3" s="1"/>
  <c r="D3" i="3"/>
  <c r="P43" i="2"/>
  <c r="K43" i="2"/>
  <c r="I43" i="2"/>
  <c r="G43" i="2"/>
  <c r="P42" i="2"/>
  <c r="I42" i="2"/>
  <c r="G42" i="2"/>
  <c r="P41" i="2"/>
  <c r="K41" i="2"/>
  <c r="I41" i="2"/>
  <c r="F41" i="2" s="1"/>
  <c r="G45" i="3" s="1"/>
  <c r="H45" i="3" s="1"/>
  <c r="G41" i="2"/>
  <c r="P40" i="2"/>
  <c r="I40" i="2"/>
  <c r="G40" i="2"/>
  <c r="P39" i="2"/>
  <c r="K39" i="2"/>
  <c r="I39" i="2"/>
  <c r="F39" i="2" s="1"/>
  <c r="G57" i="3" s="1"/>
  <c r="H57" i="3" s="1"/>
  <c r="L57" i="3" s="1"/>
  <c r="G39" i="2"/>
  <c r="P38" i="2"/>
  <c r="I38" i="2"/>
  <c r="G38" i="2"/>
  <c r="P37" i="2"/>
  <c r="K37" i="2"/>
  <c r="I37" i="2"/>
  <c r="F37" i="2" s="1"/>
  <c r="G94" i="3" s="1"/>
  <c r="H94" i="3" s="1"/>
  <c r="L94" i="3" s="1"/>
  <c r="G37" i="2"/>
  <c r="P36" i="2"/>
  <c r="K36" i="2"/>
  <c r="I36" i="2"/>
  <c r="F36" i="2" s="1"/>
  <c r="G36" i="2"/>
  <c r="P35" i="2"/>
  <c r="K35" i="2"/>
  <c r="I35" i="2"/>
  <c r="F35" i="2" s="1"/>
  <c r="G71" i="3" s="1"/>
  <c r="H71" i="3" s="1"/>
  <c r="L71" i="3" s="1"/>
  <c r="G35" i="2"/>
  <c r="P34" i="2"/>
  <c r="I34" i="2"/>
  <c r="G34" i="2"/>
  <c r="P33" i="2"/>
  <c r="K33" i="2"/>
  <c r="I33" i="2"/>
  <c r="F33" i="2" s="1"/>
  <c r="G93" i="3" s="1"/>
  <c r="H93" i="3" s="1"/>
  <c r="L93" i="3" s="1"/>
  <c r="G33" i="2"/>
  <c r="P32" i="2"/>
  <c r="K32" i="2"/>
  <c r="I32" i="2"/>
  <c r="F32" i="2" s="1"/>
  <c r="G73" i="3" s="1"/>
  <c r="H73" i="3" s="1"/>
  <c r="L73" i="3" s="1"/>
  <c r="G32" i="2"/>
  <c r="P31" i="2"/>
  <c r="K31" i="2"/>
  <c r="I31" i="2"/>
  <c r="F31" i="2" s="1"/>
  <c r="G31" i="2"/>
  <c r="P30" i="2"/>
  <c r="K30" i="2"/>
  <c r="I30" i="2"/>
  <c r="F30" i="2" s="1"/>
  <c r="G30" i="2"/>
  <c r="P29" i="2"/>
  <c r="K29" i="2"/>
  <c r="I29" i="2"/>
  <c r="F29" i="2" s="1"/>
  <c r="G29" i="2"/>
  <c r="P28" i="2"/>
  <c r="K28" i="2"/>
  <c r="I28" i="2"/>
  <c r="G28" i="2"/>
  <c r="F28" i="2"/>
  <c r="G50" i="3" s="1"/>
  <c r="H50" i="3" s="1"/>
  <c r="L50" i="3" s="1"/>
  <c r="P27" i="2"/>
  <c r="K27" i="2"/>
  <c r="I27" i="2"/>
  <c r="F27" i="2" s="1"/>
  <c r="G47" i="3" s="1"/>
  <c r="H47" i="3" s="1"/>
  <c r="L47" i="3" s="1"/>
  <c r="G27" i="2"/>
  <c r="P26" i="2"/>
  <c r="K26" i="2"/>
  <c r="I26" i="2"/>
  <c r="F26" i="2" s="1"/>
  <c r="G29" i="3" s="1"/>
  <c r="H29" i="3" s="1"/>
  <c r="L29" i="3" s="1"/>
  <c r="G26" i="2"/>
  <c r="P25" i="2"/>
  <c r="K25" i="2"/>
  <c r="G25" i="2"/>
  <c r="F25" i="2"/>
  <c r="G88" i="3" s="1"/>
  <c r="H88" i="3" s="1"/>
  <c r="F88" i="3"/>
  <c r="P24" i="2"/>
  <c r="K24" i="2"/>
  <c r="I24" i="2"/>
  <c r="H24" i="2"/>
  <c r="G24" i="2"/>
  <c r="P23" i="2"/>
  <c r="K23" i="2"/>
  <c r="I23" i="2"/>
  <c r="F23" i="2" s="1"/>
  <c r="G23" i="2"/>
  <c r="P22" i="2"/>
  <c r="K22" i="2"/>
  <c r="I22" i="2"/>
  <c r="F22" i="2" s="1"/>
  <c r="G85" i="3" s="1"/>
  <c r="H85" i="3" s="1"/>
  <c r="L85" i="3" s="1"/>
  <c r="G22" i="2"/>
  <c r="P21" i="2"/>
  <c r="K21" i="2"/>
  <c r="I21" i="2"/>
  <c r="F21" i="2" s="1"/>
  <c r="G21" i="3" s="1"/>
  <c r="H21" i="3" s="1"/>
  <c r="L21" i="3" s="1"/>
  <c r="G21" i="2"/>
  <c r="P20" i="2"/>
  <c r="K20" i="2"/>
  <c r="I20" i="2"/>
  <c r="F20" i="2" s="1"/>
  <c r="G20" i="2"/>
  <c r="P19" i="2"/>
  <c r="K19" i="2"/>
  <c r="I19" i="2"/>
  <c r="F19" i="2" s="1"/>
  <c r="G19" i="2"/>
  <c r="P18" i="2"/>
  <c r="K18" i="2"/>
  <c r="I18" i="2"/>
  <c r="F18" i="2" s="1"/>
  <c r="G38" i="3" s="1"/>
  <c r="H38" i="3" s="1"/>
  <c r="L38" i="3" s="1"/>
  <c r="G18" i="2"/>
  <c r="P17" i="2"/>
  <c r="K17" i="2"/>
  <c r="I17" i="2"/>
  <c r="F17" i="2" s="1"/>
  <c r="G17" i="2"/>
  <c r="P16" i="2"/>
  <c r="K16" i="2"/>
  <c r="I16" i="2"/>
  <c r="F16" i="2" s="1"/>
  <c r="G100" i="3" s="1"/>
  <c r="H100" i="3" s="1"/>
  <c r="L100" i="3" s="1"/>
  <c r="G16" i="2"/>
  <c r="P15" i="2"/>
  <c r="K15" i="2"/>
  <c r="I15" i="2"/>
  <c r="F15" i="2" s="1"/>
  <c r="G15" i="3" s="1"/>
  <c r="H15" i="3" s="1"/>
  <c r="L15" i="3" s="1"/>
  <c r="G15" i="2"/>
  <c r="P14" i="2"/>
  <c r="K14" i="2"/>
  <c r="I14" i="2"/>
  <c r="F14" i="2" s="1"/>
  <c r="G35" i="3" s="1"/>
  <c r="H35" i="3" s="1"/>
  <c r="L35" i="3" s="1"/>
  <c r="G14" i="2"/>
  <c r="P13" i="2"/>
  <c r="K13" i="2"/>
  <c r="I13" i="2"/>
  <c r="F13" i="2" s="1"/>
  <c r="G13" i="2"/>
  <c r="P12" i="2"/>
  <c r="K12" i="2"/>
  <c r="I12" i="2"/>
  <c r="F12" i="2" s="1"/>
  <c r="G76" i="3" s="1"/>
  <c r="H76" i="3" s="1"/>
  <c r="L76" i="3" s="1"/>
  <c r="G12" i="2"/>
  <c r="P11" i="2"/>
  <c r="K11" i="2"/>
  <c r="I11" i="2"/>
  <c r="F11" i="2" s="1"/>
  <c r="G6" i="3" s="1"/>
  <c r="H6" i="3" s="1"/>
  <c r="L6" i="3" s="1"/>
  <c r="G11" i="2"/>
  <c r="P10" i="2"/>
  <c r="I10" i="2"/>
  <c r="F10" i="2" s="1"/>
  <c r="G10" i="2"/>
  <c r="P9" i="2"/>
  <c r="K9" i="2"/>
  <c r="I9" i="2"/>
  <c r="F9" i="2" s="1"/>
  <c r="G3" i="3" s="1"/>
  <c r="H3" i="3" s="1"/>
  <c r="G9" i="2"/>
  <c r="P8" i="2"/>
  <c r="K8" i="2"/>
  <c r="I8" i="2"/>
  <c r="F8" i="2" s="1"/>
  <c r="G32" i="3" s="1"/>
  <c r="H32" i="3" s="1"/>
  <c r="L32" i="3" s="1"/>
  <c r="G8" i="2"/>
  <c r="P7" i="2"/>
  <c r="K7" i="2"/>
  <c r="I7" i="2"/>
  <c r="F7" i="2" s="1"/>
  <c r="G7" i="2"/>
  <c r="P6" i="2"/>
  <c r="K6" i="2"/>
  <c r="I6" i="2"/>
  <c r="F6" i="2" s="1"/>
  <c r="G6" i="2"/>
  <c r="P5" i="2"/>
  <c r="K5" i="2"/>
  <c r="I5" i="2"/>
  <c r="F5" i="2" s="1"/>
  <c r="G7" i="3" s="1"/>
  <c r="H7" i="3" s="1"/>
  <c r="L7" i="3" s="1"/>
  <c r="G5" i="2"/>
  <c r="P4" i="2"/>
  <c r="K4" i="2"/>
  <c r="I4" i="2"/>
  <c r="F4" i="2" s="1"/>
  <c r="G9" i="3" s="1"/>
  <c r="H9" i="3" s="1"/>
  <c r="L9" i="3" s="1"/>
  <c r="G4" i="2"/>
  <c r="P3" i="2"/>
  <c r="K3" i="2"/>
  <c r="I3" i="2"/>
  <c r="F3" i="2" s="1"/>
  <c r="G5" i="3" s="1"/>
  <c r="H5" i="3" s="1"/>
  <c r="L5" i="3" s="1"/>
  <c r="G3" i="2"/>
  <c r="P2" i="2"/>
  <c r="K2" i="2"/>
  <c r="I2" i="2"/>
  <c r="F2" i="2" s="1"/>
  <c r="G2" i="2"/>
  <c r="B64" i="1"/>
  <c r="B63" i="1"/>
  <c r="B62" i="1"/>
  <c r="E26" i="1"/>
  <c r="E25" i="1"/>
  <c r="E24" i="1"/>
  <c r="E23" i="1"/>
  <c r="E22" i="1"/>
  <c r="E21" i="1"/>
  <c r="E20" i="1"/>
  <c r="K40" i="2" s="1"/>
  <c r="E19" i="1"/>
  <c r="E18" i="1"/>
  <c r="E17" i="1"/>
  <c r="E16" i="1"/>
  <c r="E15" i="1"/>
  <c r="E14" i="1"/>
  <c r="E13" i="1"/>
  <c r="E12" i="1"/>
  <c r="C10" i="4" l="1"/>
  <c r="F43" i="2"/>
  <c r="G91" i="3" s="1"/>
  <c r="H91" i="3" s="1"/>
  <c r="H20" i="2"/>
  <c r="H6" i="2"/>
  <c r="H10" i="2"/>
  <c r="H30" i="2"/>
  <c r="H2" i="2"/>
  <c r="G77" i="3"/>
  <c r="H77" i="3" s="1"/>
  <c r="L77" i="3" s="1"/>
  <c r="G34" i="3"/>
  <c r="H34" i="3" s="1"/>
  <c r="L34" i="3" s="1"/>
  <c r="H29" i="2"/>
  <c r="G69" i="3"/>
  <c r="H69" i="3" s="1"/>
  <c r="L69" i="3" s="1"/>
  <c r="G82" i="3"/>
  <c r="H82" i="3" s="1"/>
  <c r="L82" i="3" s="1"/>
  <c r="G37" i="3"/>
  <c r="H37" i="3" s="1"/>
  <c r="L37" i="3" s="1"/>
  <c r="G52" i="3"/>
  <c r="H52" i="3" s="1"/>
  <c r="L52" i="3" s="1"/>
  <c r="H36" i="2"/>
  <c r="G75" i="3"/>
  <c r="H75" i="3" s="1"/>
  <c r="L75" i="3" s="1"/>
  <c r="G19" i="3"/>
  <c r="H19" i="3" s="1"/>
  <c r="L19" i="3" s="1"/>
  <c r="G81" i="3"/>
  <c r="H81" i="3" s="1"/>
  <c r="L81" i="3" s="1"/>
  <c r="G62" i="3"/>
  <c r="H62" i="3" s="1"/>
  <c r="L62" i="3" s="1"/>
  <c r="G40" i="3"/>
  <c r="H40" i="3" s="1"/>
  <c r="L40" i="3" s="1"/>
  <c r="G74" i="3"/>
  <c r="H74" i="3" s="1"/>
  <c r="L74" i="3" s="1"/>
  <c r="G31" i="3"/>
  <c r="H31" i="3" s="1"/>
  <c r="L31" i="3" s="1"/>
  <c r="G92" i="3"/>
  <c r="H92" i="3" s="1"/>
  <c r="L92" i="3" s="1"/>
  <c r="G72" i="3"/>
  <c r="H72" i="3" s="1"/>
  <c r="L72" i="3" s="1"/>
  <c r="G28" i="3"/>
  <c r="H28" i="3" s="1"/>
  <c r="L28" i="3" s="1"/>
  <c r="G78" i="3"/>
  <c r="H78" i="3" s="1"/>
  <c r="L78" i="3" s="1"/>
  <c r="G84" i="3"/>
  <c r="H84" i="3" s="1"/>
  <c r="L84" i="3" s="1"/>
  <c r="L3" i="3"/>
  <c r="H43" i="2"/>
  <c r="E5" i="4"/>
  <c r="L88" i="3"/>
  <c r="L45" i="3"/>
  <c r="H3" i="2"/>
  <c r="H5" i="2"/>
  <c r="H7" i="2"/>
  <c r="H9" i="2"/>
  <c r="H11" i="2"/>
  <c r="H13" i="2"/>
  <c r="H15" i="2"/>
  <c r="H17" i="2"/>
  <c r="H19" i="2"/>
  <c r="H21" i="2"/>
  <c r="H23" i="2"/>
  <c r="H25" i="2"/>
  <c r="H27" i="2"/>
  <c r="H31" i="2"/>
  <c r="H33" i="2"/>
  <c r="H35" i="2"/>
  <c r="H37" i="2"/>
  <c r="H39" i="2"/>
  <c r="H41" i="2"/>
  <c r="G8" i="3"/>
  <c r="H8" i="3" s="1"/>
  <c r="L8" i="3" s="1"/>
  <c r="G11" i="3"/>
  <c r="H11" i="3" s="1"/>
  <c r="L11" i="3" s="1"/>
  <c r="G14" i="3"/>
  <c r="H14" i="3" s="1"/>
  <c r="L14" i="3" s="1"/>
  <c r="G17" i="3"/>
  <c r="H17" i="3" s="1"/>
  <c r="L17" i="3" s="1"/>
  <c r="G20" i="3"/>
  <c r="H20" i="3" s="1"/>
  <c r="L20" i="3" s="1"/>
  <c r="G23" i="3"/>
  <c r="H23" i="3" s="1"/>
  <c r="L23" i="3" s="1"/>
  <c r="G46" i="3"/>
  <c r="H46" i="3" s="1"/>
  <c r="L46" i="3" s="1"/>
  <c r="G49" i="3"/>
  <c r="H49" i="3" s="1"/>
  <c r="L49" i="3" s="1"/>
  <c r="G55" i="3"/>
  <c r="H55" i="3" s="1"/>
  <c r="L55" i="3" s="1"/>
  <c r="G61" i="3"/>
  <c r="H61" i="3" s="1"/>
  <c r="L61" i="3" s="1"/>
  <c r="G64" i="3"/>
  <c r="H64" i="3" s="1"/>
  <c r="G96" i="3"/>
  <c r="H96" i="3" s="1"/>
  <c r="L96" i="3" s="1"/>
  <c r="G99" i="3"/>
  <c r="H99" i="3" s="1"/>
  <c r="L99" i="3" s="1"/>
  <c r="G102" i="3"/>
  <c r="H102" i="3" s="1"/>
  <c r="L102" i="3" s="1"/>
  <c r="F64" i="3"/>
  <c r="I25" i="2"/>
  <c r="F25" i="3"/>
  <c r="F104" i="3"/>
  <c r="F34" i="2"/>
  <c r="F38" i="2"/>
  <c r="F40" i="2"/>
  <c r="F42" i="2"/>
  <c r="G4" i="3"/>
  <c r="H4" i="3" s="1"/>
  <c r="L4" i="3" s="1"/>
  <c r="G10" i="3"/>
  <c r="H10" i="3" s="1"/>
  <c r="L10" i="3" s="1"/>
  <c r="G13" i="3"/>
  <c r="H13" i="3" s="1"/>
  <c r="L13" i="3" s="1"/>
  <c r="G16" i="3"/>
  <c r="H16" i="3" s="1"/>
  <c r="L16" i="3" s="1"/>
  <c r="G22" i="3"/>
  <c r="H22" i="3" s="1"/>
  <c r="L22" i="3" s="1"/>
  <c r="G25" i="3"/>
  <c r="H25" i="3" s="1"/>
  <c r="G48" i="3"/>
  <c r="H48" i="3" s="1"/>
  <c r="L48" i="3" s="1"/>
  <c r="G51" i="3"/>
  <c r="H51" i="3" s="1"/>
  <c r="L51" i="3" s="1"/>
  <c r="G54" i="3"/>
  <c r="H54" i="3" s="1"/>
  <c r="L54" i="3" s="1"/>
  <c r="G60" i="3"/>
  <c r="H60" i="3" s="1"/>
  <c r="L60" i="3" s="1"/>
  <c r="G95" i="3"/>
  <c r="H95" i="3" s="1"/>
  <c r="L95" i="3" s="1"/>
  <c r="G101" i="3"/>
  <c r="H101" i="3" s="1"/>
  <c r="L101" i="3" s="1"/>
  <c r="G104" i="3"/>
  <c r="H104" i="3" s="1"/>
  <c r="F42" i="3"/>
  <c r="H4" i="2"/>
  <c r="H22" i="2"/>
  <c r="G30" i="3"/>
  <c r="H30" i="3" s="1"/>
  <c r="L30" i="3" s="1"/>
  <c r="G39" i="3"/>
  <c r="H39" i="3" s="1"/>
  <c r="L39" i="3" s="1"/>
  <c r="G68" i="3"/>
  <c r="H68" i="3" s="1"/>
  <c r="L68" i="3" s="1"/>
  <c r="G80" i="3"/>
  <c r="H80" i="3" s="1"/>
  <c r="L80" i="3" s="1"/>
  <c r="G83" i="3"/>
  <c r="H83" i="3" s="1"/>
  <c r="L83" i="3" s="1"/>
  <c r="G86" i="3"/>
  <c r="H86" i="3" s="1"/>
  <c r="L86" i="3" s="1"/>
  <c r="H8" i="2"/>
  <c r="H12" i="2"/>
  <c r="H14" i="2"/>
  <c r="H16" i="2"/>
  <c r="H18" i="2"/>
  <c r="H26" i="2"/>
  <c r="H28" i="2"/>
  <c r="H32" i="2"/>
  <c r="G33" i="3"/>
  <c r="H33" i="3" s="1"/>
  <c r="L33" i="3" s="1"/>
  <c r="G36" i="3"/>
  <c r="H36" i="3" s="1"/>
  <c r="L36" i="3" s="1"/>
  <c r="G42" i="3"/>
  <c r="H42" i="3" s="1"/>
  <c r="K10" i="2"/>
  <c r="K34" i="2"/>
  <c r="K38" i="2"/>
  <c r="K42" i="2"/>
  <c r="G12" i="3"/>
  <c r="H12" i="3" s="1"/>
  <c r="L12" i="3" s="1"/>
  <c r="G18" i="3"/>
  <c r="H18" i="3" s="1"/>
  <c r="L18" i="3" s="1"/>
  <c r="G53" i="3"/>
  <c r="H53" i="3" s="1"/>
  <c r="L53" i="3" s="1"/>
  <c r="G59" i="3"/>
  <c r="H59" i="3" s="1"/>
  <c r="L59" i="3" s="1"/>
  <c r="G97" i="3"/>
  <c r="H97" i="3" s="1"/>
  <c r="L97" i="3" s="1"/>
  <c r="C9" i="4"/>
  <c r="H43" i="3" l="1"/>
  <c r="L104" i="3"/>
  <c r="E6" i="4"/>
  <c r="G67" i="3"/>
  <c r="H67" i="3" s="1"/>
  <c r="H42" i="2"/>
  <c r="G79" i="3"/>
  <c r="H79" i="3" s="1"/>
  <c r="L79" i="3" s="1"/>
  <c r="G56" i="3"/>
  <c r="H56" i="3" s="1"/>
  <c r="H40" i="2"/>
  <c r="G98" i="3"/>
  <c r="H98" i="3" s="1"/>
  <c r="L98" i="3" s="1"/>
  <c r="H38" i="2"/>
  <c r="G58" i="3"/>
  <c r="H58" i="3" s="1"/>
  <c r="L58" i="3" s="1"/>
  <c r="L91" i="3"/>
  <c r="E4" i="4"/>
  <c r="L64" i="3"/>
  <c r="L42" i="3"/>
  <c r="L43" i="3" s="1"/>
  <c r="E3" i="4"/>
  <c r="G70" i="3"/>
  <c r="H70" i="3" s="1"/>
  <c r="L70" i="3" s="1"/>
  <c r="H34" i="2"/>
  <c r="D3" i="4"/>
  <c r="H26" i="3"/>
  <c r="L25" i="3"/>
  <c r="L26" i="3" s="1"/>
  <c r="E2" i="4"/>
  <c r="D2" i="4"/>
  <c r="F3" i="4" l="1"/>
  <c r="G3" i="4" s="1"/>
  <c r="H65" i="3"/>
  <c r="L105" i="3"/>
  <c r="F2" i="4"/>
  <c r="E12" i="5" s="1"/>
  <c r="F12" i="5" s="1"/>
  <c r="L56" i="3"/>
  <c r="L65" i="3" s="1"/>
  <c r="D4" i="4"/>
  <c r="F4" i="4" s="1"/>
  <c r="H89" i="3"/>
  <c r="D5" i="4"/>
  <c r="F5" i="4" s="1"/>
  <c r="L67" i="3"/>
  <c r="L89" i="3" s="1"/>
  <c r="H105" i="3"/>
  <c r="D6" i="4"/>
  <c r="F6" i="4" s="1"/>
  <c r="E13" i="5" l="1"/>
  <c r="F13" i="5" s="1"/>
  <c r="G2" i="4"/>
  <c r="E16" i="5"/>
  <c r="F16" i="5" s="1"/>
  <c r="G6" i="4"/>
  <c r="E14" i="5"/>
  <c r="F14" i="5" s="1"/>
  <c r="G4" i="4"/>
  <c r="E15" i="5"/>
  <c r="F15" i="5" s="1"/>
  <c r="G5" i="4"/>
  <c r="G8" i="4" l="1"/>
  <c r="F18" i="5"/>
  <c r="F19" i="5" s="1"/>
  <c r="F20" i="5" s="1"/>
  <c r="F21" i="5" l="1"/>
  <c r="F22" i="5" s="1"/>
</calcChain>
</file>

<file path=xl/sharedStrings.xml><?xml version="1.0" encoding="utf-8"?>
<sst xmlns="http://schemas.openxmlformats.org/spreadsheetml/2006/main" count="1089" uniqueCount="481">
  <si>
    <t>KURALLAR - TEK GERCEK KAYNAK</t>
  </si>
  <si>
    <t>OK</t>
  </si>
  <si>
    <t>BLOK 1: KUR TABLOSU</t>
  </si>
  <si>
    <t>FIYAT_YOK</t>
  </si>
  <si>
    <t>PARA</t>
  </si>
  <si>
    <t>KZT</t>
  </si>
  <si>
    <t>TARIH</t>
  </si>
  <si>
    <t>MUADIL</t>
  </si>
  <si>
    <t>MUADIL_ONAY</t>
  </si>
  <si>
    <t>USD</t>
  </si>
  <si>
    <t>2026-09-09 (VARSAYIM)</t>
  </si>
  <si>
    <t>CIHAZ_BELIRSIZ</t>
  </si>
  <si>
    <t>EUR</t>
  </si>
  <si>
    <t>VARSAYIM - kullanilmadi</t>
  </si>
  <si>
    <t>VARSAYIM</t>
  </si>
  <si>
    <t>TRY</t>
  </si>
  <si>
    <t>KAPSAM_DISI</t>
  </si>
  <si>
    <t>KONTROL</t>
  </si>
  <si>
    <t>BLOK 2: MARKA KURAL TABLOSU</t>
  </si>
  <si>
    <t>OKUNAMADI</t>
  </si>
  <si>
    <t>MARKA</t>
  </si>
  <si>
    <t>KATSAYI1</t>
  </si>
  <si>
    <t>KATSAYI2</t>
  </si>
  <si>
    <t>TOPLAM</t>
  </si>
  <si>
    <t>GIRDI_TIPI</t>
  </si>
  <si>
    <t>NOT</t>
  </si>
  <si>
    <t>FIYAT_ESKI</t>
  </si>
  <si>
    <t>ABB</t>
  </si>
  <si>
    <t>LISTE</t>
  </si>
  <si>
    <t>standart</t>
  </si>
  <si>
    <t>ABB-ACIK</t>
  </si>
  <si>
    <t>ayar sahali / acik tip</t>
  </si>
  <si>
    <t>SCHNEIDER</t>
  </si>
  <si>
    <t>CHINT</t>
  </si>
  <si>
    <t>CNC</t>
  </si>
  <si>
    <t>liste 2025-02-04, guvenilmez</t>
  </si>
  <si>
    <t>LEGRAND</t>
  </si>
  <si>
    <t>teyitsiz</t>
  </si>
  <si>
    <t>IEK</t>
  </si>
  <si>
    <t>EKF</t>
  </si>
  <si>
    <t>referans, fiyat yasak</t>
  </si>
  <si>
    <t>EKT</t>
  </si>
  <si>
    <t>yas 14.9 ay - GUNCELLE</t>
  </si>
  <si>
    <t>SAIMAN</t>
  </si>
  <si>
    <t>KAZTEK</t>
  </si>
  <si>
    <t>korpus</t>
  </si>
  <si>
    <t>BAKIR-BARA</t>
  </si>
  <si>
    <t>NET</t>
  </si>
  <si>
    <t>kg fiyatindan hesaplanir</t>
  </si>
  <si>
    <t>ALUM-BARA</t>
  </si>
  <si>
    <t>MUADIL-NET</t>
  </si>
  <si>
    <t>ISCILIK</t>
  </si>
  <si>
    <t>BLOK 3: ISCILIK (sari)</t>
  </si>
  <si>
    <t>ISCILIK_SAAT_UCRETI</t>
  </si>
  <si>
    <t>ISCILIK_G_SABIT</t>
  </si>
  <si>
    <t>TEST_ETIKET_CARPANI</t>
  </si>
  <si>
    <t>BLOK 6: OTOMATIK TAMAMLAMA PARAMETRELERI (sari)</t>
  </si>
  <si>
    <t>BARA_DERATING</t>
  </si>
  <si>
    <t>BARA_FIRE</t>
  </si>
  <si>
    <t>BARA_N_ORANI</t>
  </si>
  <si>
    <t>BARA_PE_ORANI</t>
  </si>
  <si>
    <t>BARA_KOPRU_M</t>
  </si>
  <si>
    <t>BARA_BOY_M</t>
  </si>
  <si>
    <t>KABLO_FIRE</t>
  </si>
  <si>
    <t>KABLO_M_MODULER</t>
  </si>
  <si>
    <t>KABLO_M_MCCB</t>
  </si>
  <si>
    <t>DINRAY_FIRE</t>
  </si>
  <si>
    <t>KANAL_FIRE</t>
  </si>
  <si>
    <t>KLEMENS_YEDEK</t>
  </si>
  <si>
    <t>TARAK_MOD_ADET</t>
  </si>
  <si>
    <t>KUMANDA_MCB_TIP</t>
  </si>
  <si>
    <t>1P 6A C 4.5kA</t>
  </si>
  <si>
    <t>BLOK 7: TICARI (sari)</t>
  </si>
  <si>
    <t>KAR_ORANI</t>
  </si>
  <si>
    <t>ISKONTO</t>
  </si>
  <si>
    <t>NDS_ORANI</t>
  </si>
  <si>
    <t>TEKLIF_GECERLILIK (gun)</t>
  </si>
  <si>
    <t>URETIM_SURESI (is gunu)</t>
  </si>
  <si>
    <t>ODEME_SARTI</t>
  </si>
  <si>
    <t>%50 avans, %50 teslimde</t>
  </si>
  <si>
    <t>GARANTI</t>
  </si>
  <si>
    <t>12 ay</t>
  </si>
  <si>
    <t>BLOK 8: METAL FIYATI (sari) - bu projede bara kullanilmadi (ana salterler &lt;=125A, pin-bara)</t>
  </si>
  <si>
    <t>BAKIR_KG_USD</t>
  </si>
  <si>
    <t>ALUM_KG_USD</t>
  </si>
  <si>
    <t>USD_KZT (BLOK1'den)</t>
  </si>
  <si>
    <t>BAKIR_KG_KZT</t>
  </si>
  <si>
    <t>ALUM_KG_KZT</t>
  </si>
  <si>
    <t>BLOK 4: FIYAT LISTESI YAS DENETIMI</t>
  </si>
  <si>
    <t>Marka</t>
  </si>
  <si>
    <t>Dosya</t>
  </si>
  <si>
    <t>Tarih</t>
  </si>
  <si>
    <t>Yas(ay)</t>
  </si>
  <si>
    <t>Durum</t>
  </si>
  <si>
    <t>260827_chint_price...xlsx</t>
  </si>
  <si>
    <t>2026-08-27</t>
  </si>
  <si>
    <t>normal</t>
  </si>
  <si>
    <t>2607_15_Kaztek_pano_fiyat_listesi.XLSX</t>
  </si>
  <si>
    <t>2026-07-15</t>
  </si>
  <si>
    <t>(devralindi)</t>
  </si>
  <si>
    <t>2025-06-12</t>
  </si>
  <si>
    <t>GUNCELLE (12-18ay)</t>
  </si>
  <si>
    <t>SIRA</t>
  </si>
  <si>
    <t>TIP</t>
  </si>
  <si>
    <t>ARTIKUL</t>
  </si>
  <si>
    <t>ACIKLAMA</t>
  </si>
  <si>
    <t>LISTE_FIYAT</t>
  </si>
  <si>
    <t>NET_KZT</t>
  </si>
  <si>
    <t>TOPLAM_ADET</t>
  </si>
  <si>
    <t>TOPLAM_TUTAR</t>
  </si>
  <si>
    <t>KATSAYI</t>
  </si>
  <si>
    <t>BIRIM</t>
  </si>
  <si>
    <t>KAYNAK</t>
  </si>
  <si>
    <t>DURUM</t>
  </si>
  <si>
    <t>PANO(LAR)</t>
  </si>
  <si>
    <t>KOD (SISTEM ANAHTARI - DOKUNMA)</t>
  </si>
  <si>
    <t>MCCB</t>
  </si>
  <si>
    <t>131363</t>
  </si>
  <si>
    <t>Авт. выкл. NXM-125S/3Р 125A 25кА (R)</t>
  </si>
  <si>
    <t>шт</t>
  </si>
  <si>
    <t>birlesik.csv (CHINT) ARTIKUL 131363</t>
  </si>
  <si>
    <t>Eski NM1-125S serisi yerine NXM-125S serisine gecildi (kullanici talebi), ayni akim/kA.</t>
  </si>
  <si>
    <t>CHINT-NXM125S3P125</t>
  </si>
  <si>
    <t>131361</t>
  </si>
  <si>
    <t>Авт. выкл. NXM-125S/3Р 80A 25кА (R)</t>
  </si>
  <si>
    <t>birlesik.csv (CHINT) ARTIKUL 131361</t>
  </si>
  <si>
    <t>CHINT-NXM125S3P80</t>
  </si>
  <si>
    <t>DIF</t>
  </si>
  <si>
    <t>105544</t>
  </si>
  <si>
    <t>Диф. авт. выкл. NXBLE-63Y 1P+N 25А 30mA электронный тип AC, х-ка С, 4.5kA</t>
  </si>
  <si>
    <t>birlesik.csv (CHINT 260827) ARTIKUL 105544</t>
  </si>
  <si>
    <t>CHINT-NXBLE63Y-1PN25-30</t>
  </si>
  <si>
    <t>MCB</t>
  </si>
  <si>
    <t>296831</t>
  </si>
  <si>
    <t>Авт. выкл. NXB-63S 3P 40А 4.5kA х-ка C</t>
  </si>
  <si>
    <t>birlesik.csv (CHINT 260827) ARTIKUL 296831</t>
  </si>
  <si>
    <t>CHINT-NXB63S-3P40C</t>
  </si>
  <si>
    <t>UZO</t>
  </si>
  <si>
    <t>200325</t>
  </si>
  <si>
    <t>УЗО NL1-63 6kA 4P 63A 30mA тип AC</t>
  </si>
  <si>
    <t>birlesik.csv (CHINT 260827) ARTIKUL 200325</t>
  </si>
  <si>
    <t>CHINT-NL163-4P63-30AC</t>
  </si>
  <si>
    <t>814012</t>
  </si>
  <si>
    <t>Авт. выкл. NXB-63 1P 6A 6кА х-ка C</t>
  </si>
  <si>
    <t>birlesik.csv (CHINT 260827) ARTIKUL 814012</t>
  </si>
  <si>
    <t>otomatik eklendi: kumanda/sayac koruma MCB</t>
  </si>
  <si>
    <t>CHINT-NXB63-1P6C</t>
  </si>
  <si>
    <t>BARA</t>
  </si>
  <si>
    <t>811004</t>
  </si>
  <si>
    <t>Шина соединительная типа PIN 1P, 100А, L=1000мм</t>
  </si>
  <si>
    <t>birlesik.csv (CHINT 260827) ARTIKUL 811004</t>
  </si>
  <si>
    <t>tarak/pin bara - Q'ya hesap</t>
  </si>
  <si>
    <t>CHINT-PINBUS-1P100A</t>
  </si>
  <si>
    <t>KORPUS</t>
  </si>
  <si>
    <t>Kaztek resmi liste (2607 15 Kaztek pano fiyat listesi.XLSX) ARTIKUL 714-15121</t>
  </si>
  <si>
    <t>ONCEKI SECIM (ЩРН-72, 660x440x120) YANLIS: panoda 2 adet MCCB (NXM-125S govdeli ana giris+alt salter) VE dogrudan baglantili sayac var - 120mm derinlik MCCB kablo payi ve sayac montaji icin YETERSIZ. 650x500x220 IP31'e yukseltildi (derinlik 120-&gt;220mm). Modul kapasitesi teyit edilmedi, benzer/daha genis taban alani nedeniyle en az eski ЩРН-72 kadar (72 modul) kabul edildi - TEYIT GEREKIR.</t>
  </si>
  <si>
    <t>KAZTEK-SHRN3-650X500X220</t>
  </si>
  <si>
    <t>719-15560</t>
  </si>
  <si>
    <t>Мет. Корпус ЩМП-3 (650x500x150) IP31</t>
  </si>
  <si>
    <t>Kaztek resmi liste (2607 15 Kaztek pano fiyat listesi.XLSX) ARTIKUL 719-15560</t>
  </si>
  <si>
    <t>ONCEKI SECIM (ЩРН-72, 660x440x120) YANLIS: panoda 1 adet MCCB (NXM-63S govdeli ana giris, muadil 40A) var - 120mm derinlik MCCB kablo payi icin YETERSIZ. Sayac yok, bu yuzden ЩР.2'ye gore daha az derinlik (150mm) yeterli kabul edildi. Modul kapasitesi teyit edilmedi, en az eski ЩРН-72 kadar (72 modul) kabul edildi - TEYIT GEREKIR.</t>
  </si>
  <si>
    <t>KAZTEK-SMP3-650X500X150</t>
  </si>
  <si>
    <t>SAYAC</t>
  </si>
  <si>
    <t>200200048</t>
  </si>
  <si>
    <t>Счетчик LM СА4-Э720 Дала 3ф (10-100А) 1 тариф. Т1 (dogrudan, dahili tarifikator)</t>
  </si>
  <si>
    <t>birlesik.csv (EKT/Saiman 250612) ARTIKUL 200200048</t>
  </si>
  <si>
    <t>kod LM - SHR.2'de 'R T1' notasyonu tam eslesmiyor; SHU.1'de kod LM birebir eslesiyor</t>
  </si>
  <si>
    <t>EKT-SAYAC-DALA-10-100</t>
  </si>
  <si>
    <t>YNN10-69-24D-K07</t>
  </si>
  <si>
    <t>Шина N ноль DIN-изол ШНИ-6х9-24-Д-С</t>
  </si>
  <si>
    <t>birlesik.csv (EKT 250612)</t>
  </si>
  <si>
    <t>izoleli notr barasi - her panoda zorunlu</t>
  </si>
  <si>
    <t>EKT-SHINA-N24</t>
  </si>
  <si>
    <t>130200401</t>
  </si>
  <si>
    <t>Шина PE земля ШНИ 6х9 12-К-З</t>
  </si>
  <si>
    <t>ГЗШ topraklama barasi - her panoda zorunlu</t>
  </si>
  <si>
    <t>EKT-SHINA-PE12</t>
  </si>
  <si>
    <t>DIN</t>
  </si>
  <si>
    <t>YDN10-0100</t>
  </si>
  <si>
    <t>DIN-рейка (100см) оцинкованная</t>
  </si>
  <si>
    <t>otomatik hesap - Q'ya metraj</t>
  </si>
  <si>
    <t>EKT-DINRAY-100</t>
  </si>
  <si>
    <t>KANAL</t>
  </si>
  <si>
    <t>280100252</t>
  </si>
  <si>
    <t>Кабель-канал 40х40 белый</t>
  </si>
  <si>
    <t>м</t>
  </si>
  <si>
    <t>EKT-KANAL-40X40</t>
  </si>
  <si>
    <t>KABLO</t>
  </si>
  <si>
    <t>100300025</t>
  </si>
  <si>
    <t>ПВ3-2,5 белый ГОСТ (pano ici kablo)</t>
  </si>
  <si>
    <t>EKT-PVGV-2.5</t>
  </si>
  <si>
    <t>100300030</t>
  </si>
  <si>
    <t>ПВ3-4 белый ГОСТ (pano ici kablo)</t>
  </si>
  <si>
    <t>EKT-PVGV-4</t>
  </si>
  <si>
    <t>100300031</t>
  </si>
  <si>
    <t>ПВ3-6 белый ГОСТ (pano ici kablo)</t>
  </si>
  <si>
    <t>EKT-PVGV-6</t>
  </si>
  <si>
    <t>100300016</t>
  </si>
  <si>
    <t>ПВ3-25 белый ГОСТ (pano ici kablo)</t>
  </si>
  <si>
    <t>EKT-PVGV-25</t>
  </si>
  <si>
    <t>100300021</t>
  </si>
  <si>
    <t>ПВ3-35 белый ГОСТ (pano ici kablo)</t>
  </si>
  <si>
    <t>EKT-PVGV-35</t>
  </si>
  <si>
    <t>KLEMENS</t>
  </si>
  <si>
    <t>030300442</t>
  </si>
  <si>
    <t>222-412 Клемма проходная (0,08-4мм 32А)</t>
  </si>
  <si>
    <t>birlesik.csv (EKT 250612) ARTIKUL 030300442</t>
  </si>
  <si>
    <t>otomatik hesap - Q'ya adet</t>
  </si>
  <si>
    <t>EKT-KLEMENS-4MM</t>
  </si>
  <si>
    <t>PABUC</t>
  </si>
  <si>
    <t>260100132</t>
  </si>
  <si>
    <t>Наконечник медный лужёный ТМЛ 35-10-9</t>
  </si>
  <si>
    <t>birlesik.csv (EKT 250612) ARTIKUL 260100132</t>
  </si>
  <si>
    <t>&gt;=16mm2 uc pabucu - otomatik</t>
  </si>
  <si>
    <t>EKT-PABUC-35</t>
  </si>
  <si>
    <t>YUKSUK</t>
  </si>
  <si>
    <t>260200024</t>
  </si>
  <si>
    <t>Наконечник-гильза Е4009 4мм2 izole (100 ad/paket)</t>
  </si>
  <si>
    <t>упак</t>
  </si>
  <si>
    <t>birlesik.csv (EKT 250612) ARTIKUL 260200024</t>
  </si>
  <si>
    <t>&lt;=10mm2 uc yuksugu - otomatik, 1 paket=100ad</t>
  </si>
  <si>
    <t>EKT-YUKSUK-4MM-PAK100</t>
  </si>
  <si>
    <t>MONTAJ</t>
  </si>
  <si>
    <t>MONTAJ-MALZEME-KOMPLE</t>
  </si>
  <si>
    <t>Montaj malzemesi (etiket, sema cebi, kilit-menteşe, numaralandirma, vida-dubel takimi)</t>
  </si>
  <si>
    <t>YOK</t>
  </si>
  <si>
    <t>katalogda net eslesme yok - fiyat girilecek</t>
  </si>
  <si>
    <t>ISCILIK-MONTAJ</t>
  </si>
  <si>
    <t>Montaj + test + etiketleme iscilik</t>
  </si>
  <si>
    <t>мин.</t>
  </si>
  <si>
    <t>KURALLAR ISCILIK_SAAT_UCRETI(bilgi,saat)+ISCILIK_G_SABIT(dakika ucreti,100 KZT)</t>
  </si>
  <si>
    <t>dakika bazli iscilik: FIYAT!LISTE_FIYAT=saat ucreti(bilgi), NET_KZT=dakika ucreti(100 KZT, gercek hesap), Qty=dakika. Q'ya hesap</t>
  </si>
  <si>
    <t>205886</t>
  </si>
  <si>
    <t>Авт. выкл. NXM-63S/3Р 32A 25кА (R)</t>
  </si>
  <si>
    <t>birlesik.csv (CHINT) ARTIKUL 205886</t>
  </si>
  <si>
    <t>Eski NM1-63S serisinde 32A trip yoktu (FIYAT_YOK idi); NXM-63S serisine gecilince (kullanici talebi) TAM ESLESEN 32A bulundu, istenen deger artik gercek urunle karsilaniyor.</t>
  </si>
  <si>
    <t>CHINT-NXM63S3P32</t>
  </si>
  <si>
    <t>296833</t>
  </si>
  <si>
    <t>Авт. выкл. NXB-63S 3P 63А 4.5kA х-ка C</t>
  </si>
  <si>
    <t>birlesik.csv (CHINT 260827) ARTIKUL 296833</t>
  </si>
  <si>
    <t>CHINT-NXB63S-3P63C</t>
  </si>
  <si>
    <t>CHINT-NXBLE125-3PN50-30</t>
  </si>
  <si>
    <t>Диф. автомат NXBLE-125 3P+N 50A х-ка C 30mA</t>
  </si>
  <si>
    <t>SHU.1 semasinda istenen deger (50A C 30mA) korundu - DEGISTIRILMEDI. Katalogda bu kademe/hassasiyette SADECE 80A/300mA (yangin tipi) var, kisi korumali 50A/30mA versiyonu yok; fiyat/tedarik teyidi bekleniyor.</t>
  </si>
  <si>
    <t>131362</t>
  </si>
  <si>
    <t>Авт. выкл. NXM-125S/3Р 100A 25кА (R)</t>
  </si>
  <si>
    <t>birlesik.csv (CHINT) ARTIKUL 131362</t>
  </si>
  <si>
    <t>Eski NM1-125S serisinde 100A trip yoktu (FIYAT_YOK idi); NXM-125S serisine gecilince (kullanici talebi) TAM ESLESEN 100A bulundu, istenen deger artik gercek urunle karsilaniyor.</t>
  </si>
  <si>
    <t>CHINT-NXM125S3P100</t>
  </si>
  <si>
    <t>296830</t>
  </si>
  <si>
    <t>Авт. выкл. NXB-63S 3P 32А 4.5kA х-ка C</t>
  </si>
  <si>
    <t>birlesik.csv (CHINT 260827) ARTIKUL 296830</t>
  </si>
  <si>
    <t>CHINT-NXB63S-3P32C</t>
  </si>
  <si>
    <t>296829</t>
  </si>
  <si>
    <t>Авт. выкл. NXB-63S 3P 25А 4.5kA х-ка C</t>
  </si>
  <si>
    <t>birlesik.csv (CHINT 260827) ARTIKUL 296829</t>
  </si>
  <si>
    <t>CHINT-NXB63S-3P25C</t>
  </si>
  <si>
    <t>296827</t>
  </si>
  <si>
    <t>Авт. выкл. NXB-63S 3P 16А 4.5kA х-ка C</t>
  </si>
  <si>
    <t>birlesik.csv (CHINT 260827) ARTIKUL 296827</t>
  </si>
  <si>
    <t>CHINT-NXB63S-3P16C</t>
  </si>
  <si>
    <t>296710</t>
  </si>
  <si>
    <t>Авт. выкл. NXB-63S 1P 16А 4.5kA х-ка C</t>
  </si>
  <si>
    <t>birlesik.csv (CHINT 260827) ARTIKUL 296710</t>
  </si>
  <si>
    <t>CHINT-NXB63S-1P16C</t>
  </si>
  <si>
    <t>200200046</t>
  </si>
  <si>
    <t>Счетчик ND СА4У-Э720 Дала 3ф (5-7,5А) 1 тариф. Saiman (AT'li)</t>
  </si>
  <si>
    <t>birlesik.csv (EKT/Saiman 250612) ARTIKUL 200200046</t>
  </si>
  <si>
    <t>kod ND - semayla birebir eslesiyor</t>
  </si>
  <si>
    <t>EKT-SAYAC-DALA-ND-5-7.5</t>
  </si>
  <si>
    <t>AT</t>
  </si>
  <si>
    <t>255298</t>
  </si>
  <si>
    <t>Трансформатор тока BH-0.66 60 I 400/5A класс точности 0.5</t>
  </si>
  <si>
    <t>birlesik.csv (CHINT 260827) ARTIKUL 255298</t>
  </si>
  <si>
    <t>SHU.2 sayaci icin AT; oran (400/5) semadaki yuke (~88A) gore buyuk - dogruluk sinifi icin daha kucuk oranli AT onerilir, MUHENDIS KONTROLU</t>
  </si>
  <si>
    <t>CHINT-CT-BH066-400-5</t>
  </si>
  <si>
    <t>811002</t>
  </si>
  <si>
    <t>Шина соединительная типа PIN 3P, 63А, L=1000мм</t>
  </si>
  <si>
    <t>birlesik.csv (CHINT 260827) ARTIKUL 811002</t>
  </si>
  <si>
    <t>3 fazli cikisli dagitim panolari icin tarak/pin bara</t>
  </si>
  <si>
    <t>CHINT-PIN3P-63A</t>
  </si>
  <si>
    <t>130200407</t>
  </si>
  <si>
    <t>Шина соединительная PIN (штырь) 1ф 63А (22см)</t>
  </si>
  <si>
    <t>birlesik.csv (EKT 250612) ARTIKUL 130200407</t>
  </si>
  <si>
    <t>kucuk pano icin kisa pin-bara</t>
  </si>
  <si>
    <t>EKT-PIN1P-63A-22CM</t>
  </si>
  <si>
    <t>100300079</t>
  </si>
  <si>
    <t>ПВ3-10 белый ГОСТ (pano ici kablo)</t>
  </si>
  <si>
    <t>birlesik.csv (EKT 250612) ARTIKUL 100300079</t>
  </si>
  <si>
    <t>EKT-PVGV-10</t>
  </si>
  <si>
    <t>100300015</t>
  </si>
  <si>
    <t>ПВ3-16 белый ГОСТ (pano ici kablo)</t>
  </si>
  <si>
    <t>birlesik.csv (EKT 250612) ARTIKUL 100300015</t>
  </si>
  <si>
    <t>EKT-PVGV-16</t>
  </si>
  <si>
    <t>280100249</t>
  </si>
  <si>
    <t>Кабель-канал 25х25 белый</t>
  </si>
  <si>
    <t>birlesik.csv (EKT 250612) ARTIKUL 280100249</t>
  </si>
  <si>
    <t>EKT-KANAL-25X25</t>
  </si>
  <si>
    <t>Kaztek resmi liste (2607 15 Kaztek pano fiyat listesi.XLSX) ARTIKUL 719-15415</t>
  </si>
  <si>
    <t>ONCEKI SECIM (395x310x120) YANLIS: panoda dogrudan baglantili sayac var - 120mm derinlik sayac montaji icin dar. 150mm'ye yukseltildi (ayni taban 395x310). ONCEKI 989-100-1336 (al-sat/jenerik grup kodu) zaten KULLANILMAMISTI. Modul kapasitesi (24) ayni taban alani nedeniyle degismedi kabul edildi.</t>
  </si>
  <si>
    <t>KAZTEK-SMP1-395X310X150</t>
  </si>
  <si>
    <t>Kaztek resmi liste (2607 15 Kaztek pano fiyat listesi.XLSX) ARTIKUL 714-15123</t>
  </si>
  <si>
    <t>ONCEKI SECIM (540x310x120) YANLIS: panoda 2 adet MCCB (NXM-125S ana giris + QF3 100A muadil) VE AT'li (3xCT) sayac var - bu panonun EN AGIR derinlik ihtiyaci. 120mm'den 220mm'ye yukseltildi, taban da genisletildi (540x310-&gt;540x400). ONCEKI 989-100-1337 (al-sat/jenerik grup kodu) zaten KULLANILMAMISTI. Modul kapasitesi teyit edilmedi, en az eski ЩРН-36 kadar (36 modul) kabul edildi - TEYIT GEREKIR.</t>
  </si>
  <si>
    <t>KAZTEK-SHRN2-540X400X220</t>
  </si>
  <si>
    <t>714-15027</t>
  </si>
  <si>
    <t>Мет. Корпус ЩРН-18 (395x310x120) IP54</t>
  </si>
  <si>
    <t>Kaztek resmi liste (2607 15 Kaztek pano fiyat listesi.XLSX) ARTIKUL 714-15027</t>
  </si>
  <si>
    <t>modul hesabina gore secildi; ONCEKI 989-101-0057 (al-sat/jenerik grup kodu) KULLANILMADI; olcusu semada teyit edilmedi, Kaztek katalogunda ЩРН-18 icin 4 farkli govde var (448x268, 395x310, 265x440 x2) - EN YAYGIN 395x310x120 secildi, TEYIT GEREKIR</t>
  </si>
  <si>
    <t>KAZTEK-SRN18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</si>
  <si>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</si>
  <si>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</si>
  <si>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</si>
  <si>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</si>
  <si>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</si>
  <si>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</si>
  <si>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</si>
  <si>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H(G×I)</t>
  </si>
  <si>
    <t>Qty</t>
  </si>
  <si>
    <t>Ед.изм</t>
  </si>
  <si>
    <t>Завод</t>
  </si>
  <si>
    <t>tutar</t>
  </si>
  <si>
    <t>ANAHTAR (sistem-dokunma)</t>
  </si>
  <si>
    <t>ЩР.2 (Fitness Center, Блок 1В — 41-22-2022-1В-ЭОМ л.16)</t>
  </si>
  <si>
    <t>компл</t>
  </si>
  <si>
    <t>Korpus</t>
  </si>
  <si>
    <t>otomatik hesap: DIN modul=49 (14xNXBLE-63Y 1P+N x2mod=28 + 3 yedek x2mod=6 + 2xNXB-63S 3P x3mod=6 + 2xNL1-63 4P x4mod=8 + 1xkumanda MCB=1); kapasite (varsayim, teyitsiz) = 72 -&gt; doluluk %68, yedek %32 (SADECE GENISLIK/MODUL SAYISI kontrolu - yukseklik/yerlesim TEYIT EDILMEDI). Korpus 660x440x120 -&gt; 650x500x220 IP31'e yukseltildi: panoda 2 MCCB (NXM-125S x2) + dogrudan sayac var, 120mm derinlik yetersizdi. YERLESIM: 650mm genislikte 1 DIN sirasina ~34 modul sigar (kenar bosluklari dusulunce); 49 modulun DIF/MCB/UZO/kumanda kismi (43 modul, sayac ve MCCB'ler haric) 2 SIRAYA bolunmek zorunda (DIN ray 2 adet zaten bu sekilde alinmis). SAYAC (LM SA4-Э720, 3 fazli) standart 17.5mm DIN modulu DEGIL - kendi basina ayri bir yukseklik bandi ister (tahmini ~150-190mm, tam govde olcusu KATALOGDA YOK), MCB satirlariyla AYNI SIRAYA konulamaz. 2 MCCB (NXM-125S govde, tahmini ~105mm gen. x 150mm yuk.) da ayri bir bant ister. 500mm pano yuksekliginde: ust bant (2xMCCB+sayac yan yana) ~150-190mm + 2 modul sirasi ~200-230mm + ust/alt bosluk ~60mm = pano yuksekligine YAKLASIK SIGAR ama REZERV PAYI (kural: &gt;=%20 yedek) BIRAKMAZ. Kesin dogrulama icin Kaztek'ten bu govde+cihaz listesi icin GENEL YERLESIM (GA) cizimi istenmeli - TEYIT GEREKIR, fabrikasyona gecmeden onaylanmali.</t>
  </si>
  <si>
    <t>Ana giris (Н-ЩР.2 от ЩС.1, см.лист9).</t>
  </si>
  <si>
    <t>Sayac yaninda gorulen ayrik 3P koruma; sauna alt-dagitimini besledigi varsayildi (2x24kW~53.6A icin 80A uygun). Baglanti topolojisi semada net degil - MUHENDIS ONAYI ONERILIR.</t>
  </si>
  <si>
    <t>Sayac</t>
  </si>
  <si>
    <t>Semada: ДАЛА СА4-Э720 R T1 3x220/380V 10(100)A. 'R' varyanti katalogda yok; model/akim/tarife esdegeri kullanildi.</t>
  </si>
  <si>
    <t>GrN2.16/2.17 sauna elektro-pec, 24kW/26.8A - semada acik.</t>
  </si>
  <si>
    <t>Sauna devrelerinde MCB ile seri UZO.</t>
  </si>
  <si>
    <t>GrN1.2,2.2,3.2,4.2,5.2,2.6-2.13,2.15 = 14 adet rozet grubu cikisi. GrN2.14 ve 2 etiketsiz poz 'Rezerv' - cihazsiz.</t>
  </si>
  <si>
    <t>Sayac gerilim olcu devresi icin otomatik kumanda MCB eklendi.</t>
  </si>
  <si>
    <t>Bara</t>
  </si>
  <si>
    <t>otomatik hesap: 17 poz(14 aktif+3 yedek) x1P+N(2mod)=34mod (~0.6m); TARAK_MOD_ADET(12) asildigi icin 57mod(1m) PIN bara secildi. DUZELTME: bu 34 modul 2 AYRI DIN sirasina bolunuyor (bkz korpus notu) - tek parca 1m/57mod tarak bara iki farkli rayin arasindaki bosluktan GECEMEZ, her sira icin AYRI parca gerekir -&gt; adet 1'den 2'ye cikarildi (1m'lik parca sahada olculup kesilir). Ana salter&lt;=125A -&gt; bakir bara yerine pin-bara (KURALLAR kurali).</t>
  </si>
  <si>
    <t>izoleli notr barasi - zorunlu.</t>
  </si>
  <si>
    <t>ГЗШ topraklama barasi - zorunlu.</t>
  </si>
  <si>
    <t>49 modul x~18mm + klemens payi x DINRAY_FIRE ~1.0m -&gt; 2 sira icin 2x1m.</t>
  </si>
  <si>
    <t>Kanal</t>
  </si>
  <si>
    <t>49mod&gt;24 -&gt; 40x40; (2+1)x0.64+2x0.42=2.76m x1.10=3.04m.</t>
  </si>
  <si>
    <t>Kablo</t>
  </si>
  <si>
    <t>14devre x2ilet x1.2m x1.10=36.96m.</t>
  </si>
  <si>
    <t>2 sauna devresi x4ilet x0.8m x1.10=7.04m.</t>
  </si>
  <si>
    <t>kumanda/sayac gerilim devresi 2ilet x2.5m x1.10=5.5m.</t>
  </si>
  <si>
    <t>80A alt-salter giris atlamasi 3ilet x0.8m x1.10=2.64m.</t>
  </si>
  <si>
    <t>ana salter cikisindan 2 atlama x3ilet x0.8m x1.10=5.28m.</t>
  </si>
  <si>
    <t>Klemens</t>
  </si>
  <si>
    <t>14x(2+1PE)=42+2x(4+1PE)=10+kumanda1=53 x1.10=58.3.</t>
  </si>
  <si>
    <t>Pabuc</t>
  </si>
  <si>
    <t>&gt;=16mm2 uclar (PVGV-25 3ilet+PVGV-35 3ilet)x2uc=12.</t>
  </si>
  <si>
    <t>Yuksuk</t>
  </si>
  <si>
    <t>&lt;=10mm2 uclar ~76+yedek~84 -&gt; 1 paket(100).</t>
  </si>
  <si>
    <t>Montaj</t>
  </si>
  <si>
    <t>Etiket/sema cebi/kilit-menteşe/numaralandirma - katalog eslesmesi yok.</t>
  </si>
  <si>
    <t>Iscilik</t>
  </si>
  <si>
    <t>dk: kumanda10+sauna MCB3Px2=36+RCBOx14=630+UZO4Px2=90+sayac90+klemensx59=236+tarakbara10+DIN(2m)+kanal(3m)=25+korpus(orta)45+MCCBx2(ana+alt)=120; toplam1292dk x1.15(TEST_ETIKET_CARPANI)=1485.8 dk (Qty, dakika bazli).</t>
  </si>
  <si>
    <t>Toplam ЩР.2</t>
  </si>
  <si>
    <t>ЩР.1 (Entertainment rooms, Блок 1В — 41-22-2022-1В-ЭОМ л.2)</t>
  </si>
  <si>
    <t>otomatik hesap: DIN modul=51 (25xNXBLE-63Y 1P+N x2mod=50 + kumanda MCB=1); kapasite (varsayim, teyitsiz) = 72 -&gt; doluluk %71, yedek %29 (SADECE GENISLIK/MODUL SAYISI kontrolu - yukseklik/yerlesim TEYIT EDILMEDI). 650mm genislikte 1 DIN sirasina ~34 modul sigar (kenar bosluklari dusulunce); 51 modul 2 SIRAYA bolunmek zorunda (DIN ray 2 adet zaten bu sekilde alinmis, PIN bara da 2 parcaya cikarildi). Korpus 660x440x120 -&gt; 650x500x150 IP31'e yukseltildi: panoda MCCB (NXM-63S ana giris) var, 120mm derinlik yetersizdi. Kesin yerlesim dogrulamasi icin Kaztek'ten GA cizimi istenmeli - TEYIT GEREKIR.</t>
  </si>
  <si>
    <t>Ana giris; semada 32A 15kA isteniyordu. Eski NM1-63S serisinde 32A yoktu; NXM-63S/3P 32A 25kA (kullanici talebiyle NXM serisine gecildi) akimda TAM ESLESIYOR, kA'da 15-&gt;25kA (daha yuksek, sorun degil).</t>
  </si>
  <si>
    <t>QF1-QF25 = semada (kullanicinin gonderdigi tek hat semasi) 25 pozisyonun HEPSI 'CHINT NXBLE-63Y 1P+N 25A C 30mA' olarak donatili gosterilmis (Розеточная группа cikislari) - ONCEKI VARSAYIM (QF23-25 'Резерв'/cihazsiz) YANLISTI, sema uzerinde tum 25 pozisyon icin cihaz cizili; 22-&gt;25 adet olarak duzeltildi.</t>
  </si>
  <si>
    <t>Priz grubu panosu icin otomatik kumanda/test MCB eklendi.</t>
  </si>
  <si>
    <t>otomatik hesap: 25 poz(tumu aktif) x1P+N(2mod)=50mod; TARAK_MOD_ADET(12) asildigi icin 57mod(1m) PIN bara secildi. DUZELTME: 50 modul 2 AYRI DIN sirasina bolunuyor (bkz korpus notu, DIN ray 2 adet) - tek parca 1m/57mod tarak bara iki rayin arasindan GECEMEZ, her sira icin AYRI parca gerekir -&gt; adet 1'den 2'ye cikarildi (1m'lik parca sahada olculup kesilir).</t>
  </si>
  <si>
    <t>51 modul x~18mm x1.10 ~1.0m -&gt; 2 sira icin 2x1m.</t>
  </si>
  <si>
    <t>51mod&gt;24 -&gt; 40x40; ~2.76m x1.10=3.04m.</t>
  </si>
  <si>
    <t>25devre x2ilet x1.2m x1.10=66.00m (DIF 22-&gt;25 duzeltmesi ile guncellendi).</t>
  </si>
  <si>
    <t>ana salter(40A) cikisi-&gt;pin-bara atlamasi 3ilet x0.8m x1.10=2.64m.</t>
  </si>
  <si>
    <t>25x(2+1PE)=75+kumanda1=76 x1.10=83.6 -&gt; 84 (DIF 22-&gt;25 duzeltmesi ile guncellendi).</t>
  </si>
  <si>
    <t>25x2ilet x2uc=100 x1.10=110 -&gt; 2 paket(100 ad/paket) (DIF 22-&gt;25 duzeltmesi ile guncellendi).</t>
  </si>
  <si>
    <t>dk: kumanda10+RCBOx25=1125+ana salter(MCCB&lt;=250)60+klemensx84=336+tarakbara10+DIN(2m)+kanal(3m)=25+korpus(orta)45; toplam1611dk x1.15(TEST_ETIKET_CARPANI)=1852.65 dk (Qty, dakika bazli; DIF 22-&gt;25 duzeltmesi ile guncellendi).</t>
  </si>
  <si>
    <t>Toplam ЩР.1</t>
  </si>
  <si>
    <t>ЩУ.1 (dagitim panosu, Блок 1В (2 очередь) — 41-22-2022-1В-ЭОМ л.14)</t>
  </si>
  <si>
    <t>otomatik hesap: DIN modul=17 (QF0 dif 3P+N~4mod + QF1-4 3P x3mod=12 + kumanda1); kapasite=24 -&gt; doluluk %71, yedek %29. Ana salter (NXB-63S 3P) ve sayac plaka montajli kabul edildi. Korpus 395x310x120 -&gt; 395x310x150 IP31'e yukseltildi: panoda dogrudan baglantili sayac var, 120mm derinlik sayac montaji icin dardi.</t>
  </si>
  <si>
    <t>ДАЛА СА4-Э720 R T1 10(100)A Kod LM - katalogda kod LM birebir eslesiyor.</t>
  </si>
  <si>
    <t>Ana giris (ЩУ.1 от ЩС.1, см.лист9).</t>
  </si>
  <si>
    <t>QF1(-&gt;ЩО.1) ve QF4(Резерв) = 2 adet 3P 32A.</t>
  </si>
  <si>
    <t>QF2(-&gt;ЩР.1) ve QF3(Резерв) = 2 adet 3P 40A.</t>
  </si>
  <si>
    <t>QF0: semada 'CHINT NXBLE-125 3P+N 50A C 30mA' - istenen deger korundu, DEGISTIRILMEDI. Katalogda bu kademede sadece 80A/300mA (yangin koruma tipi) var, fiyat/tedarik teyidi bekleniyor.</t>
  </si>
  <si>
    <t>Sayac gerilim olcu devresi icin otomatik kumanda MCB.</t>
  </si>
  <si>
    <t>4 adet 3P cikis (QF1-4) icin tarak/pin bara, ana salter&lt;=125A.</t>
  </si>
  <si>
    <t>17 modul x~18mm x1.10 ~0.34m -&gt; 1x1m parca.</t>
  </si>
  <si>
    <t>17mod&lt;=24 -&gt; 25x25; kucuk pano ~1.5m x1.10~1.7m -&gt; 2m.</t>
  </si>
  <si>
    <t>ana salter(63A) cikisi-&gt;QF0 atlamasi 3ilet x0.8m x1.10=2.64m.</t>
  </si>
  <si>
    <t>QF0 cikisi-&gt;pin-bara atlamasi (semadaki 50A tasarimina gore) 4ilet(3P+N) x0.8m x1.10=3.52m.</t>
  </si>
  <si>
    <t>QF1-4 (4 devre) x4ilet(3P+N) x0.8m x1.10=14.08m.</t>
  </si>
  <si>
    <t>4x(4+1PE)=20+kumanda1=21 x1.10=23.1.</t>
  </si>
  <si>
    <t>&gt;=16mm2 uc (PVGV-16, 3ilet)x2uc=6.</t>
  </si>
  <si>
    <t>(QF0 4ilet+QF1-4 16ilet)x2uc=40 x1.10=44 -&gt; 1 paket(100).</t>
  </si>
  <si>
    <t>dk: ana salter(MCCB&lt;=250)60+QF0(moduler dif)45+4x3P MCB(moduler)45x4=180+kumanda10+sayac90+klemensx24=96+tarakbara10+DIN(1m)+kanal(2m)=15+korpus(kucuk)30; toplam536dk x1.15(TEST_ETIKET_CARPANI)=616.4 dk (Qty, dakika bazli).</t>
  </si>
  <si>
    <t>Toplam ЩУ.1</t>
  </si>
  <si>
    <t>ЩУ.2 (dagitim panosu, Блок 1В (2 очередь) — 41-22-2022-1В-ЭОМ л.14)</t>
  </si>
  <si>
    <t>otomatik hesap: DIN modul=19 (QF1,2,4,5,6,7=6x3P x3mod=18 + kumanda1); kapasite (varsayim, teyitsiz)=36 -&gt; doluluk %53, yedek %47. Ana salter (125A) ve QF3 (100A muadil 125A, MCCB govdeli) plaka montajli kabul edildi. Korpus 540x310x120 -&gt; 540x400x220 IP31'e yukseltildi: panoda 2 MCCB (NXM-125S x2) VE AT'li (3xCT) sayac var - bu panonun en agir derinlik ihtiyaci, 120mm kesinlikle yetersizdi.</t>
  </si>
  <si>
    <t>Ana giris (ЩУ.2 от ЩС.1, см.лист9).</t>
  </si>
  <si>
    <t>QF3 -&gt; ЩР.2; semada 100A isteniyordu. Eski NM1-125S serisinde 100A yoktu; NXM-125S/3P 100A 25kA (kullanici talebiyle NXM serisine gecildi) TAM ESLESIYOR.</t>
  </si>
  <si>
    <t>ND СА4У-Э720 Дала 3ф(5-7.5А) 1 тариф. Saiman - kod ND birebir eslesiyor (AT'li olcum).</t>
  </si>
  <si>
    <t>Sayac icin akim trafosu, sayac basina 3 adet (TT sembolu semada acik).</t>
  </si>
  <si>
    <t>QF1 -&gt; ЩО.2 (Щит рабочего освещения).</t>
  </si>
  <si>
    <t>QF2(-&gt;ЩАО.2), QF4(-&gt;ЩВ.2), QF5-7(Резерв, semada donanimli cizilmis) = 5 adet.</t>
  </si>
  <si>
    <t>6 adet 3P DIN cikisi (QF1,2,4,5,6,7) icin tarak/pin bara.</t>
  </si>
  <si>
    <t>19+1=20 modul x~18mm x1.10 ~0.4m -&gt; 1x1m parca.</t>
  </si>
  <si>
    <t>20mod&lt;=24 -&gt; 25x25; ~1.5m x1.10~1.7m -&gt; 2m.</t>
  </si>
  <si>
    <t>ana salter(125A) cikisi ic bara atlamasi 3ilet x0.8m x1.10=2.64m.</t>
  </si>
  <si>
    <t>QF3(100A tasarim) cikisi 4ilet(3P+N) x0.8m x1.10=3.52m.</t>
  </si>
  <si>
    <t>QF1(25A) cikisi 4ilet x0.8m x1.10=3.52m.</t>
  </si>
  <si>
    <t>QF2,4,5,6,7(16A,5devre)x4ilet=20ilet x0.8m x1.10=17.6m + AT sekonder 3xAT x2ilet x1.5m x1.10=9.9m = 27.5m.</t>
  </si>
  <si>
    <t>6x(4+1PE)=30+kumanda1+AT sekonder(3x2)=6 -&gt; 37 x1.10=40.7.</t>
  </si>
  <si>
    <t>&gt;=16mm2 uc (PVGV-25 4ilet+PVGV-35 3ilet)x2uc=14.</t>
  </si>
  <si>
    <t>(QF1-7 devre iletkenleri 24+AT sekonder 6)x2uc=60 x1.10=66 -&gt; 1 paket(100).</t>
  </si>
  <si>
    <t>dk: ana salter60+QF3(MCCB&lt;=250)60+6x3P MCB(moduler)45x6=270+kumanda10+sayac90+AT montaj 15x3=45+klemensx41=164+tarakbara10+DIN(1m)+kanal(2m)=15+korpus(orta)45; toplam769dk x1.15(TEST_ETIKET_CARPANI)=884.35 dk (Qty, dakika bazli).</t>
  </si>
  <si>
    <t>Toplam ЩУ.2</t>
  </si>
  <si>
    <t>ЩО.1 (aydınlatma panosu, Блок 1В отм -4500 — 41-22-2022-1В-ЭОМ л.1)</t>
  </si>
  <si>
    <t>otomatik hesap: DIN modul=12 (QF1-12, 1P MCB x1mod=12; kumanda eklenmedi - bkz risk). ЩРН-18 kapasite=18 -&gt; doluluk %67, yedek %33.</t>
  </si>
  <si>
    <t>Ana giris (ЩО.1 от ЩС.1, см.лист9) - CHINT NXB-63S 3P 25A C 4.5kA.</t>
  </si>
  <si>
    <t>QF1-QF8 = 8 aktif aydinlatma grubu (Каворкинг/Холл/Муз.komната/Kinozal/Игровая/vs), QF9-12=4 adet 'Резерв' (semada QF12 icin de cihaz cizilmis, digerleri de ayni tip kabul edildi) - toplam 12 adet CHINT NXB-63S 1P 16A.</t>
  </si>
  <si>
    <t>otomatik hesap: 12x1P(1mod)=12mod=TARAK_MOD_ADET(12) sinirinda -&gt; 1x22cm kisa pin-bara yeterli.</t>
  </si>
  <si>
    <t>12 modul x~18mm x1.10~0.24m -&gt; 1x1m parca.</t>
  </si>
  <si>
    <t>12mod&lt;=24 -&gt; 25x25; kucuk pano ~1m.</t>
  </si>
  <si>
    <t>ana salter(25A) cikisi 4ilet(3P+N) x0.8m x1.10=3.52m.</t>
  </si>
  <si>
    <t>12 devre(16A) x2ilet x1.2m x1.10=31.68m.</t>
  </si>
  <si>
    <t>12x(2+1PE)=36 x1.10=39.6.</t>
  </si>
  <si>
    <t>12x2ilet x2uc=48 x1.10=52.8 -&gt; 1 paket(100).</t>
  </si>
  <si>
    <t>dk: ana salter(moduler)45+12xMCB1P=10x12=120+pinbara(kucuk)10+klemensx40=160+DIN(1m)+kanal(1m)=10+korpus(kucuk)30; toplam375dk x1.15(TEST_ETIKET_CARPANI)=431.25 dk (Qty, dakika bazli).</t>
  </si>
  <si>
    <t>Toplam ЩО.1</t>
  </si>
  <si>
    <t>PANO</t>
  </si>
  <si>
    <t>ADET</t>
  </si>
  <si>
    <t>MALZEME</t>
  </si>
  <si>
    <t>MODUL</t>
  </si>
  <si>
    <t>KAPASITE</t>
  </si>
  <si>
    <t>DOLULUK%</t>
  </si>
  <si>
    <t>YEDEK%</t>
  </si>
  <si>
    <t>BARA m</t>
  </si>
  <si>
    <t>BARA kg</t>
  </si>
  <si>
    <t>BARA TUTARI</t>
  </si>
  <si>
    <t>FIYAT_YOK adedi</t>
  </si>
  <si>
    <t>MUADIL adedi</t>
  </si>
  <si>
    <t>VARSAYIM adedi</t>
  </si>
  <si>
    <t>ЩР.2 (Fitness Center)</t>
  </si>
  <si>
    <t>ЩР.1 (Entertainment rooms)</t>
  </si>
  <si>
    <t>ЩУ.1 (dagitim panosu - Millhouse)</t>
  </si>
  <si>
    <t>ЩУ.2 (dagitim panosu - Fitness Zal)</t>
  </si>
  <si>
    <t>ЩО.1 (aydinlatma panosu)</t>
  </si>
  <si>
    <t>GENEL TOPLAM</t>
  </si>
  <si>
    <t>FIYAT_YOK toplam adet</t>
  </si>
  <si>
    <t>DURUM DAMGASI</t>
  </si>
  <si>
    <t>TEKLİF NO</t>
  </si>
  <si>
    <t>260909-GH-CHINT-01</t>
  </si>
  <si>
    <t>TARİH</t>
  </si>
  <si>
    <t>2026-09-09</t>
  </si>
  <si>
    <t>GEÇERLİLİK</t>
  </si>
  <si>
    <t>MÜŞTERİ</t>
  </si>
  <si>
    <t>Germes Hayat</t>
  </si>
  <si>
    <t>PROJE</t>
  </si>
  <si>
    <t>Многоэтажный жилой комплекс, г.Алматы, мкр.Коктобе, ул.Т.Бигелдинова 1Б (41-22-2022-1В-ЭОМ), Блок 1В</t>
  </si>
  <si>
    <t>ADRES</t>
  </si>
  <si>
    <t>г.Алматы, Медеуский р-н, мкр.Коктобе, ул.Т.Бигелдинова, 1Б</t>
  </si>
  <si>
    <t>PARA BİRİMİ</t>
  </si>
  <si>
    <t>№</t>
  </si>
  <si>
    <t>Наименование</t>
  </si>
  <si>
    <t>Кол-во</t>
  </si>
  <si>
    <t>Цена за ед.</t>
  </si>
  <si>
    <t>Сумма</t>
  </si>
  <si>
    <t>Щит распределительный ЩР.2, навесной, IP31, RAL7035, In=125A, Icu=25kA, 3х380/220В, TN-S</t>
  </si>
  <si>
    <t>компл.</t>
  </si>
  <si>
    <t>Щит распределительный ЩР.1, навесной, IP31, RAL7035, In=32A, Icu=15kA, 3х380/220В, TN-S</t>
  </si>
  <si>
    <t>Щит управления/распределения ЩУ.1, навесной, IP31, RAL7035, In=63A, 3х380/220В, TN-S</t>
  </si>
  <si>
    <t>Щит управления/распределения ЩУ.2, навесной, IP31, RAL7035, In=125A, 3х380/220В, TN-S</t>
  </si>
  <si>
    <t>Щит освещения ЩО.1, навесной, IP31, RAL7035, In=25A, 3х380/220В, TN-S</t>
  </si>
  <si>
    <t>Итого</t>
  </si>
  <si>
    <t>Скидка (ISKONTO)</t>
  </si>
  <si>
    <t>Итого со скидкой</t>
  </si>
  <si>
    <t>НДС (NDS_ORANI)</t>
  </si>
  <si>
    <t>Всего с НДС</t>
  </si>
  <si>
    <t>Срок изготовления</t>
  </si>
  <si>
    <t>Условия оплаты</t>
  </si>
  <si>
    <t>Гарантия</t>
  </si>
  <si>
    <t>716-15015</t>
  </si>
  <si>
    <t>Щит ЩУРн-3/30 окошко (490х540х165) S/U36 IP31(TS)</t>
  </si>
  <si>
    <t>714-15112</t>
  </si>
  <si>
    <t>Щит мет. ЩРн-7-2 PR (1320x750x300) IP54 (TS)</t>
  </si>
  <si>
    <t>Normlar(dk): MCB1P=2,MCB3P=5,MCCB&lt;=250A=25,moduler=20,klemens=2/ad,DINray+kanal=2/m,korpus kucuk=5/orta=22/ayakli=45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</si>
</sst>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204"/>
    </font>
    <font>
      <b/>
      <sz val="11"/>
      <name val="Cambria"/>
      <family val="1"/>
      <charset val="204"/>
    </font>
    <font>
      <i/>
      <sz val="11"/>
      <color rgb="FF808080"/>
      <name val="Cambria"/>
      <family val="1"/>
      <charset val="204"/>
    </font>
    <font>
      <sz val="11"/>
      <color rgb="FFFF0000"/>
      <name val="Cambria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3" borderId="1" xfId="0" applyFill="1" applyBorder="1"/>
    <xf numFmtId="0" fontId="2" fillId="4" borderId="1" xfId="0" applyFont="1" applyFill="1" applyBorder="1"/>
    <xf numFmtId="0" fontId="0" fillId="0" borderId="1" xfId="0" applyBorder="1"/>
    <xf numFmtId="9" fontId="0" fillId="3" borderId="1" xfId="0" applyNumberFormat="1" applyFill="1" applyBorder="1"/>
    <xf numFmtId="0" fontId="1" fillId="2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9" fontId="0" fillId="0" borderId="1" xfId="0" applyNumberFormat="1" applyBorder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opLeftCell="A22" zoomScaleNormal="100" workbookViewId="0">
      <selection activeCell="A33" sqref="A33"/>
    </sheetView>
  </sheetViews>
  <sheetFormatPr defaultColWidth="8.7109375" defaultRowHeight="15" x14ac:dyDescent="0.25"/>
  <cols>
    <col min="1" max="1" width="20" customWidth="1"/>
    <col min="2" max="7" width="14" customWidth="1"/>
  </cols>
  <sheetData>
    <row r="1" spans="1:10" x14ac:dyDescent="0.25">
      <c r="A1" s="16" t="s">
        <v>0</v>
      </c>
      <c r="B1" s="16"/>
      <c r="C1" s="16"/>
      <c r="D1" s="16"/>
      <c r="E1" s="16"/>
      <c r="F1" s="16"/>
      <c r="G1" s="16"/>
    </row>
    <row r="2" spans="1:10" x14ac:dyDescent="0.25">
      <c r="J2" t="s">
        <v>1</v>
      </c>
    </row>
    <row r="3" spans="1:10" x14ac:dyDescent="0.25">
      <c r="A3" s="1" t="s">
        <v>2</v>
      </c>
      <c r="J3" t="s">
        <v>3</v>
      </c>
    </row>
    <row r="4" spans="1:10" x14ac:dyDescent="0.25">
      <c r="A4" s="1" t="s">
        <v>4</v>
      </c>
      <c r="B4" s="1" t="s">
        <v>5</v>
      </c>
      <c r="C4" s="1" t="s">
        <v>6</v>
      </c>
      <c r="J4" t="s">
        <v>7</v>
      </c>
    </row>
    <row r="5" spans="1:10" x14ac:dyDescent="0.25">
      <c r="A5" t="s">
        <v>5</v>
      </c>
      <c r="B5" s="2">
        <v>1</v>
      </c>
      <c r="J5" t="s">
        <v>8</v>
      </c>
    </row>
    <row r="6" spans="1:10" x14ac:dyDescent="0.25">
      <c r="A6" t="s">
        <v>9</v>
      </c>
      <c r="B6" s="2">
        <v>548</v>
      </c>
      <c r="C6" t="s">
        <v>10</v>
      </c>
      <c r="J6" t="s">
        <v>11</v>
      </c>
    </row>
    <row r="7" spans="1:10" x14ac:dyDescent="0.25">
      <c r="A7" t="s">
        <v>12</v>
      </c>
      <c r="B7" s="2">
        <v>590</v>
      </c>
      <c r="C7" t="s">
        <v>13</v>
      </c>
      <c r="J7" t="s">
        <v>14</v>
      </c>
    </row>
    <row r="8" spans="1:10" x14ac:dyDescent="0.25">
      <c r="A8" t="s">
        <v>15</v>
      </c>
      <c r="B8" s="2">
        <v>16.5</v>
      </c>
      <c r="C8" t="s">
        <v>13</v>
      </c>
      <c r="J8" t="s">
        <v>16</v>
      </c>
    </row>
    <row r="9" spans="1:10" x14ac:dyDescent="0.25">
      <c r="J9" t="s">
        <v>17</v>
      </c>
    </row>
    <row r="10" spans="1:10" x14ac:dyDescent="0.25">
      <c r="A10" s="1" t="s">
        <v>18</v>
      </c>
      <c r="J10" t="s">
        <v>19</v>
      </c>
    </row>
    <row r="11" spans="1:10" x14ac:dyDescent="0.25">
      <c r="A11" s="3" t="s">
        <v>20</v>
      </c>
      <c r="B11" s="3" t="s">
        <v>4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J11" t="s">
        <v>26</v>
      </c>
    </row>
    <row r="12" spans="1:10" x14ac:dyDescent="0.25">
      <c r="A12" s="4" t="s">
        <v>27</v>
      </c>
      <c r="B12" s="4" t="s">
        <v>12</v>
      </c>
      <c r="C12" s="4">
        <v>1.35</v>
      </c>
      <c r="D12" s="4">
        <v>0.3</v>
      </c>
      <c r="E12" s="4">
        <f t="shared" ref="E12:E26" si="0">C12*D12</f>
        <v>0.40500000000000003</v>
      </c>
      <c r="F12" s="4" t="s">
        <v>28</v>
      </c>
      <c r="G12" s="4" t="s">
        <v>29</v>
      </c>
    </row>
    <row r="13" spans="1:10" x14ac:dyDescent="0.25">
      <c r="A13" s="4" t="s">
        <v>30</v>
      </c>
      <c r="B13" s="4" t="s">
        <v>12</v>
      </c>
      <c r="C13" s="4">
        <v>1.35</v>
      </c>
      <c r="D13" s="4">
        <v>0.23</v>
      </c>
      <c r="E13" s="4">
        <f t="shared" si="0"/>
        <v>0.31050000000000005</v>
      </c>
      <c r="F13" s="4" t="s">
        <v>28</v>
      </c>
      <c r="G13" s="4" t="s">
        <v>31</v>
      </c>
    </row>
    <row r="14" spans="1:10" x14ac:dyDescent="0.25">
      <c r="A14" s="4" t="s">
        <v>32</v>
      </c>
      <c r="B14" s="4" t="s">
        <v>12</v>
      </c>
      <c r="C14" s="4">
        <v>0.6</v>
      </c>
      <c r="D14" s="4">
        <v>1</v>
      </c>
      <c r="E14" s="4">
        <f t="shared" si="0"/>
        <v>0.6</v>
      </c>
      <c r="F14" s="4" t="s">
        <v>28</v>
      </c>
      <c r="G14" s="4"/>
    </row>
    <row r="15" spans="1:10" x14ac:dyDescent="0.25">
      <c r="A15" s="4" t="s">
        <v>33</v>
      </c>
      <c r="B15" s="4" t="s">
        <v>5</v>
      </c>
      <c r="C15" s="4">
        <v>0.6</v>
      </c>
      <c r="D15" s="4">
        <v>1</v>
      </c>
      <c r="E15" s="4">
        <f t="shared" si="0"/>
        <v>0.6</v>
      </c>
      <c r="F15" s="4" t="s">
        <v>28</v>
      </c>
      <c r="G15" s="4"/>
    </row>
    <row r="16" spans="1:10" x14ac:dyDescent="0.25">
      <c r="A16" s="4" t="s">
        <v>34</v>
      </c>
      <c r="B16" s="4" t="s">
        <v>5</v>
      </c>
      <c r="C16" s="4">
        <v>0.55000000000000004</v>
      </c>
      <c r="D16" s="4">
        <v>1</v>
      </c>
      <c r="E16" s="4">
        <f t="shared" si="0"/>
        <v>0.55000000000000004</v>
      </c>
      <c r="F16" s="4" t="s">
        <v>28</v>
      </c>
      <c r="G16" s="4" t="s">
        <v>35</v>
      </c>
    </row>
    <row r="17" spans="1:7" x14ac:dyDescent="0.25">
      <c r="A17" s="4" t="s">
        <v>36</v>
      </c>
      <c r="B17" s="4" t="s">
        <v>15</v>
      </c>
      <c r="C17" s="4">
        <v>0.5</v>
      </c>
      <c r="D17" s="4">
        <v>1</v>
      </c>
      <c r="E17" s="4">
        <f t="shared" si="0"/>
        <v>0.5</v>
      </c>
      <c r="F17" s="4" t="s">
        <v>28</v>
      </c>
      <c r="G17" s="4" t="s">
        <v>37</v>
      </c>
    </row>
    <row r="18" spans="1:7" x14ac:dyDescent="0.25">
      <c r="A18" s="4" t="s">
        <v>38</v>
      </c>
      <c r="B18" s="4" t="s">
        <v>5</v>
      </c>
      <c r="C18" s="4">
        <v>1</v>
      </c>
      <c r="D18" s="4">
        <v>1</v>
      </c>
      <c r="E18" s="4">
        <f t="shared" si="0"/>
        <v>1</v>
      </c>
      <c r="F18" s="4" t="s">
        <v>28</v>
      </c>
      <c r="G18" s="4"/>
    </row>
    <row r="19" spans="1:7" x14ac:dyDescent="0.25">
      <c r="A19" s="4" t="s">
        <v>39</v>
      </c>
      <c r="B19" s="4" t="s">
        <v>5</v>
      </c>
      <c r="C19" s="4">
        <v>1</v>
      </c>
      <c r="D19" s="4">
        <v>1</v>
      </c>
      <c r="E19" s="4">
        <f t="shared" si="0"/>
        <v>1</v>
      </c>
      <c r="F19" s="4" t="s">
        <v>28</v>
      </c>
      <c r="G19" s="4" t="s">
        <v>40</v>
      </c>
    </row>
    <row r="20" spans="1:7" x14ac:dyDescent="0.25">
      <c r="A20" s="4" t="s">
        <v>41</v>
      </c>
      <c r="B20" s="4" t="s">
        <v>5</v>
      </c>
      <c r="C20" s="4">
        <v>1</v>
      </c>
      <c r="D20" s="4">
        <v>1</v>
      </c>
      <c r="E20" s="4">
        <f t="shared" si="0"/>
        <v>1</v>
      </c>
      <c r="F20" s="4" t="s">
        <v>28</v>
      </c>
      <c r="G20" s="4" t="s">
        <v>42</v>
      </c>
    </row>
    <row r="21" spans="1:7" x14ac:dyDescent="0.25">
      <c r="A21" s="4" t="s">
        <v>43</v>
      </c>
      <c r="B21" s="4" t="s">
        <v>5</v>
      </c>
      <c r="C21" s="4">
        <v>1</v>
      </c>
      <c r="D21" s="4">
        <v>1</v>
      </c>
      <c r="E21" s="4">
        <f t="shared" si="0"/>
        <v>1</v>
      </c>
      <c r="F21" s="4" t="s">
        <v>28</v>
      </c>
      <c r="G21" s="4"/>
    </row>
    <row r="22" spans="1:7" x14ac:dyDescent="0.25">
      <c r="A22" s="4" t="s">
        <v>44</v>
      </c>
      <c r="B22" s="4" t="s">
        <v>5</v>
      </c>
      <c r="C22" s="4">
        <v>0.6</v>
      </c>
      <c r="D22" s="4">
        <v>1</v>
      </c>
      <c r="E22" s="4">
        <f t="shared" si="0"/>
        <v>0.6</v>
      </c>
      <c r="F22" s="4" t="s">
        <v>28</v>
      </c>
      <c r="G22" s="4" t="s">
        <v>45</v>
      </c>
    </row>
    <row r="23" spans="1:7" x14ac:dyDescent="0.25">
      <c r="A23" s="4" t="s">
        <v>46</v>
      </c>
      <c r="B23" s="4" t="s">
        <v>5</v>
      </c>
      <c r="C23" s="4">
        <v>1</v>
      </c>
      <c r="D23" s="4">
        <v>1</v>
      </c>
      <c r="E23" s="4">
        <f t="shared" si="0"/>
        <v>1</v>
      </c>
      <c r="F23" s="4" t="s">
        <v>47</v>
      </c>
      <c r="G23" s="4" t="s">
        <v>48</v>
      </c>
    </row>
    <row r="24" spans="1:7" x14ac:dyDescent="0.25">
      <c r="A24" s="4" t="s">
        <v>49</v>
      </c>
      <c r="B24" s="4" t="s">
        <v>5</v>
      </c>
      <c r="C24" s="4">
        <v>1</v>
      </c>
      <c r="D24" s="4">
        <v>1</v>
      </c>
      <c r="E24" s="4">
        <f t="shared" si="0"/>
        <v>1</v>
      </c>
      <c r="F24" s="4" t="s">
        <v>47</v>
      </c>
      <c r="G24" s="4" t="s">
        <v>48</v>
      </c>
    </row>
    <row r="25" spans="1:7" x14ac:dyDescent="0.25">
      <c r="A25" s="4" t="s">
        <v>50</v>
      </c>
      <c r="B25" s="4" t="s">
        <v>5</v>
      </c>
      <c r="C25" s="4">
        <v>1</v>
      </c>
      <c r="D25" s="4">
        <v>1</v>
      </c>
      <c r="E25" s="4">
        <f t="shared" si="0"/>
        <v>1</v>
      </c>
      <c r="F25" s="4" t="s">
        <v>47</v>
      </c>
      <c r="G25" s="4"/>
    </row>
    <row r="26" spans="1:7" x14ac:dyDescent="0.25">
      <c r="A26" s="4" t="s">
        <v>51</v>
      </c>
      <c r="B26" s="4" t="s">
        <v>5</v>
      </c>
      <c r="C26" s="4">
        <v>1</v>
      </c>
      <c r="D26" s="4">
        <v>1</v>
      </c>
      <c r="E26" s="4">
        <f t="shared" si="0"/>
        <v>1</v>
      </c>
      <c r="F26" s="4" t="s">
        <v>47</v>
      </c>
      <c r="G26" s="4"/>
    </row>
    <row r="28" spans="1:7" x14ac:dyDescent="0.25">
      <c r="A28" s="1" t="s">
        <v>52</v>
      </c>
    </row>
    <row r="29" spans="1:7" x14ac:dyDescent="0.25">
      <c r="A29" t="s">
        <v>53</v>
      </c>
      <c r="B29" s="2">
        <v>6000</v>
      </c>
    </row>
    <row r="30" spans="1:7" x14ac:dyDescent="0.25">
      <c r="A30" t="s">
        <v>54</v>
      </c>
      <c r="B30" s="2">
        <v>100</v>
      </c>
    </row>
    <row r="31" spans="1:7" x14ac:dyDescent="0.25">
      <c r="A31" t="s">
        <v>55</v>
      </c>
      <c r="B31" s="2">
        <v>1.1499999999999999</v>
      </c>
    </row>
    <row r="32" spans="1:7" x14ac:dyDescent="0.25">
      <c r="A32" t="s">
        <v>480</v>
      </c>
    </row>
    <row r="34" spans="1:2" x14ac:dyDescent="0.25">
      <c r="A34" s="1" t="s">
        <v>56</v>
      </c>
    </row>
    <row r="35" spans="1:2" x14ac:dyDescent="0.25">
      <c r="A35" t="s">
        <v>57</v>
      </c>
      <c r="B35" s="2">
        <v>0.85</v>
      </c>
    </row>
    <row r="36" spans="1:2" x14ac:dyDescent="0.25">
      <c r="A36" t="s">
        <v>58</v>
      </c>
      <c r="B36" s="2">
        <v>1.1499999999999999</v>
      </c>
    </row>
    <row r="37" spans="1:2" x14ac:dyDescent="0.25">
      <c r="A37" t="s">
        <v>59</v>
      </c>
      <c r="B37" s="2">
        <v>1</v>
      </c>
    </row>
    <row r="38" spans="1:2" x14ac:dyDescent="0.25">
      <c r="A38" t="s">
        <v>60</v>
      </c>
      <c r="B38" s="2">
        <v>0.5</v>
      </c>
    </row>
    <row r="39" spans="1:2" x14ac:dyDescent="0.25">
      <c r="A39" t="s">
        <v>61</v>
      </c>
      <c r="B39" s="2">
        <v>0.3</v>
      </c>
    </row>
    <row r="40" spans="1:2" x14ac:dyDescent="0.25">
      <c r="A40" t="s">
        <v>62</v>
      </c>
      <c r="B40" s="2">
        <v>4</v>
      </c>
    </row>
    <row r="41" spans="1:2" x14ac:dyDescent="0.25">
      <c r="A41" t="s">
        <v>63</v>
      </c>
      <c r="B41" s="2">
        <v>1.1000000000000001</v>
      </c>
    </row>
    <row r="42" spans="1:2" x14ac:dyDescent="0.25">
      <c r="A42" t="s">
        <v>64</v>
      </c>
      <c r="B42" s="2">
        <v>1.2</v>
      </c>
    </row>
    <row r="43" spans="1:2" x14ac:dyDescent="0.25">
      <c r="A43" t="s">
        <v>65</v>
      </c>
      <c r="B43" s="2">
        <v>0.8</v>
      </c>
    </row>
    <row r="44" spans="1:2" x14ac:dyDescent="0.25">
      <c r="A44" t="s">
        <v>66</v>
      </c>
      <c r="B44" s="2">
        <v>1.1000000000000001</v>
      </c>
    </row>
    <row r="45" spans="1:2" x14ac:dyDescent="0.25">
      <c r="A45" t="s">
        <v>67</v>
      </c>
      <c r="B45" s="2">
        <v>1.1000000000000001</v>
      </c>
    </row>
    <row r="46" spans="1:2" x14ac:dyDescent="0.25">
      <c r="A46" t="s">
        <v>68</v>
      </c>
      <c r="B46" s="2">
        <v>1.1000000000000001</v>
      </c>
    </row>
    <row r="47" spans="1:2" x14ac:dyDescent="0.25">
      <c r="A47" t="s">
        <v>69</v>
      </c>
      <c r="B47" s="2">
        <v>12</v>
      </c>
    </row>
    <row r="48" spans="1:2" x14ac:dyDescent="0.25">
      <c r="A48" t="s">
        <v>70</v>
      </c>
      <c r="B48" s="2" t="s">
        <v>71</v>
      </c>
    </row>
    <row r="50" spans="1:2" x14ac:dyDescent="0.25">
      <c r="A50" s="1" t="s">
        <v>72</v>
      </c>
    </row>
    <row r="51" spans="1:2" x14ac:dyDescent="0.25">
      <c r="A51" t="s">
        <v>73</v>
      </c>
      <c r="B51" s="5">
        <v>0.25</v>
      </c>
    </row>
    <row r="52" spans="1:2" x14ac:dyDescent="0.25">
      <c r="A52" t="s">
        <v>74</v>
      </c>
      <c r="B52" s="5">
        <v>0</v>
      </c>
    </row>
    <row r="53" spans="1:2" x14ac:dyDescent="0.25">
      <c r="A53" t="s">
        <v>75</v>
      </c>
      <c r="B53" s="5">
        <v>0.16</v>
      </c>
    </row>
    <row r="54" spans="1:2" x14ac:dyDescent="0.25">
      <c r="A54" t="s">
        <v>76</v>
      </c>
      <c r="B54" s="2">
        <v>14</v>
      </c>
    </row>
    <row r="55" spans="1:2" x14ac:dyDescent="0.25">
      <c r="A55" t="s">
        <v>77</v>
      </c>
      <c r="B55" s="2">
        <v>25</v>
      </c>
    </row>
    <row r="56" spans="1:2" x14ac:dyDescent="0.25">
      <c r="A56" t="s">
        <v>78</v>
      </c>
      <c r="B56" s="2" t="s">
        <v>79</v>
      </c>
    </row>
    <row r="57" spans="1:2" x14ac:dyDescent="0.25">
      <c r="A57" t="s">
        <v>80</v>
      </c>
      <c r="B57" s="2" t="s">
        <v>81</v>
      </c>
    </row>
    <row r="59" spans="1:2" x14ac:dyDescent="0.25">
      <c r="A59" s="1" t="s">
        <v>82</v>
      </c>
    </row>
    <row r="60" spans="1:2" x14ac:dyDescent="0.25">
      <c r="A60" t="s">
        <v>83</v>
      </c>
      <c r="B60" s="2">
        <v>14.45</v>
      </c>
    </row>
    <row r="61" spans="1:2" x14ac:dyDescent="0.25">
      <c r="A61" t="s">
        <v>84</v>
      </c>
      <c r="B61" s="2">
        <v>8.1999999999999993</v>
      </c>
    </row>
    <row r="62" spans="1:2" x14ac:dyDescent="0.25">
      <c r="A62" t="s">
        <v>85</v>
      </c>
      <c r="B62">
        <f>B5</f>
        <v>1</v>
      </c>
    </row>
    <row r="63" spans="1:2" x14ac:dyDescent="0.25">
      <c r="A63" t="s">
        <v>86</v>
      </c>
      <c r="B63">
        <f>B60*B62</f>
        <v>14.45</v>
      </c>
    </row>
    <row r="64" spans="1:2" x14ac:dyDescent="0.25">
      <c r="A64" t="s">
        <v>87</v>
      </c>
      <c r="B64">
        <f>B61*B62</f>
        <v>8.1999999999999993</v>
      </c>
    </row>
    <row r="66" spans="1:5" x14ac:dyDescent="0.25">
      <c r="A66" s="1" t="s">
        <v>88</v>
      </c>
    </row>
    <row r="67" spans="1:5" x14ac:dyDescent="0.25">
      <c r="A67" t="s">
        <v>89</v>
      </c>
      <c r="B67" t="s">
        <v>90</v>
      </c>
      <c r="C67" t="s">
        <v>91</v>
      </c>
      <c r="D67" t="s">
        <v>92</v>
      </c>
      <c r="E67" t="s">
        <v>93</v>
      </c>
    </row>
    <row r="68" spans="1:5" x14ac:dyDescent="0.25">
      <c r="A68" s="4" t="s">
        <v>33</v>
      </c>
      <c r="B68" s="4" t="s">
        <v>94</v>
      </c>
      <c r="C68" s="4" t="s">
        <v>95</v>
      </c>
      <c r="D68" s="4">
        <v>0.4</v>
      </c>
      <c r="E68" s="4" t="s">
        <v>96</v>
      </c>
    </row>
    <row r="69" spans="1:5" x14ac:dyDescent="0.25">
      <c r="A69" s="4" t="s">
        <v>44</v>
      </c>
      <c r="B69" s="4" t="s">
        <v>97</v>
      </c>
      <c r="C69" s="4" t="s">
        <v>98</v>
      </c>
      <c r="D69" s="4">
        <v>1.8</v>
      </c>
      <c r="E69" s="4" t="s">
        <v>96</v>
      </c>
    </row>
    <row r="70" spans="1:5" x14ac:dyDescent="0.25">
      <c r="A70" s="4" t="s">
        <v>41</v>
      </c>
      <c r="B70" s="4" t="s">
        <v>99</v>
      </c>
      <c r="C70" s="4" t="s">
        <v>100</v>
      </c>
      <c r="D70" s="4">
        <v>14.9</v>
      </c>
      <c r="E70" s="4" t="s">
        <v>101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showGridLines="0" zoomScaleNormal="100" workbookViewId="0">
      <pane ySplit="1" topLeftCell="A2" activePane="bottomLeft" state="frozen"/>
      <selection pane="bottomLeft" activeCell="B1" sqref="B1:B1048576"/>
    </sheetView>
  </sheetViews>
  <sheetFormatPr defaultColWidth="8.7109375" defaultRowHeight="15" x14ac:dyDescent="0.25"/>
  <cols>
    <col min="1" max="1" width="5" customWidth="1"/>
    <col min="2" max="2" width="12" customWidth="1"/>
    <col min="3" max="3" width="26" customWidth="1"/>
    <col min="4" max="4" width="58" customWidth="1"/>
    <col min="5" max="6" width="12" customWidth="1"/>
    <col min="7" max="7" width="11" customWidth="1"/>
    <col min="8" max="8" width="13" customWidth="1"/>
    <col min="9" max="9" width="7" customWidth="1"/>
    <col min="10" max="10" width="10" customWidth="1"/>
    <col min="11" max="12" width="8" customWidth="1"/>
    <col min="13" max="13" width="16" customWidth="1"/>
    <col min="14" max="14" width="14" customWidth="1"/>
    <col min="15" max="15" width="40" customWidth="1"/>
    <col min="16" max="16" width="28" customWidth="1"/>
    <col min="17" max="17" width="26" hidden="1" customWidth="1"/>
  </cols>
  <sheetData>
    <row r="1" spans="1:17" x14ac:dyDescent="0.25">
      <c r="A1" s="6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4</v>
      </c>
      <c r="J1" s="6" t="s">
        <v>20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25</v>
      </c>
      <c r="P1" s="6" t="s">
        <v>114</v>
      </c>
      <c r="Q1" s="6" t="s">
        <v>115</v>
      </c>
    </row>
    <row r="2" spans="1:17" x14ac:dyDescent="0.25">
      <c r="A2" s="4">
        <v>1</v>
      </c>
      <c r="B2" s="4" t="s">
        <v>116</v>
      </c>
      <c r="C2" s="7" t="s">
        <v>117</v>
      </c>
      <c r="D2" s="4" t="s">
        <v>118</v>
      </c>
      <c r="E2" s="2">
        <v>19760</v>
      </c>
      <c r="F2" s="4">
        <f t="shared" ref="F2:F23" si="0">IF($E2="","",IF(INDEX(MARKA_TIP,MATCH($J2,MARKA_AD,0))="NET",$E2,$E2*INDEX(MARKA_KAT,MATCH($J2,MARKA_AD,0))*INDEX(KUR_DEG,MATCH($I2,KUR_AD,0))))</f>
        <v>11856</v>
      </c>
      <c r="G2" s="4">
        <f>SUMIF(BOM!$P:$P,$Q2,BOM!$I:$I)</f>
        <v>2</v>
      </c>
      <c r="H2" s="4">
        <f t="shared" ref="H2:H43" si="1">IF($F2="","",$F2*$G2)</f>
        <v>23712</v>
      </c>
      <c r="I2" s="4" t="str">
        <f t="shared" ref="I2:I43" si="2">IF($E2="","",INDEX(MARKA_PARA,MATCH($J2,MARKA_AD,0)))</f>
        <v>KZT</v>
      </c>
      <c r="J2" s="4" t="s">
        <v>33</v>
      </c>
      <c r="K2" s="4">
        <f t="shared" ref="K2:K43" si="3">IF($E2="","",INDEX(MARKA_KAT,MATCH($J2,MARKA_AD,0)))</f>
        <v>0.6</v>
      </c>
      <c r="L2" s="4" t="s">
        <v>119</v>
      </c>
      <c r="M2" s="4" t="s">
        <v>120</v>
      </c>
      <c r="N2" s="4" t="s">
        <v>1</v>
      </c>
      <c r="O2" s="4" t="s">
        <v>121</v>
      </c>
      <c r="P2" s="4" t="str">
        <f>_xlfn.TEXTJOIN(", ",TRUE(),IF(COUNTIF(BOM!$P$3:$P$25,$Q2)&gt;0,"ЩР.2",""),IF(COUNTIF(BOM!$P$28:$P$42,$Q2)&gt;0,"ЩР.1",""),IF(COUNTIF(BOM!$P$45:$P$64,$Q2)&gt;0,"ЩУ.1",""),IF(COUNTIF(BOM!$P$67:$P$88,$Q2)&gt;0,"ЩУ.2",""),IF(COUNTIF(BOM!$P$91:$P$104,$Q2)&gt;0,"ЩО.1",""))</f>
        <v>ЩР.2, ЩУ.2</v>
      </c>
      <c r="Q2" s="8" t="s">
        <v>122</v>
      </c>
    </row>
    <row r="3" spans="1:17" x14ac:dyDescent="0.25">
      <c r="A3" s="4">
        <v>2</v>
      </c>
      <c r="B3" s="4" t="s">
        <v>116</v>
      </c>
      <c r="C3" s="7" t="s">
        <v>123</v>
      </c>
      <c r="D3" s="4" t="s">
        <v>124</v>
      </c>
      <c r="E3" s="2">
        <v>19418</v>
      </c>
      <c r="F3" s="4">
        <f t="shared" si="0"/>
        <v>11650.8</v>
      </c>
      <c r="G3" s="4">
        <f>SUMIF(BOM!$P:$P,$Q3,BOM!$I:$I)</f>
        <v>1</v>
      </c>
      <c r="H3" s="4">
        <f t="shared" si="1"/>
        <v>11650.8</v>
      </c>
      <c r="I3" s="4" t="str">
        <f t="shared" si="2"/>
        <v>KZT</v>
      </c>
      <c r="J3" s="4" t="s">
        <v>33</v>
      </c>
      <c r="K3" s="4">
        <f t="shared" si="3"/>
        <v>0.6</v>
      </c>
      <c r="L3" s="4" t="s">
        <v>119</v>
      </c>
      <c r="M3" s="4" t="s">
        <v>125</v>
      </c>
      <c r="N3" s="4" t="s">
        <v>1</v>
      </c>
      <c r="O3" s="4" t="s">
        <v>121</v>
      </c>
      <c r="P3" s="4" t="str">
        <f>_xlfn.TEXTJOIN(", ",TRUE(),IF(COUNTIF(BOM!$P$3:$P$25,$Q3)&gt;0,"ЩР.2",""),IF(COUNTIF(BOM!$P$28:$P$42,$Q3)&gt;0,"ЩР.1",""),IF(COUNTIF(BOM!$P$45:$P$64,$Q3)&gt;0,"ЩУ.1",""),IF(COUNTIF(BOM!$P$67:$P$88,$Q3)&gt;0,"ЩУ.2",""),IF(COUNTIF(BOM!$P$91:$P$104,$Q3)&gt;0,"ЩО.1",""))</f>
        <v>ЩР.2</v>
      </c>
      <c r="Q3" s="8" t="s">
        <v>126</v>
      </c>
    </row>
    <row r="4" spans="1:17" x14ac:dyDescent="0.25">
      <c r="A4" s="4">
        <v>3</v>
      </c>
      <c r="B4" s="4" t="s">
        <v>127</v>
      </c>
      <c r="C4" s="7" t="s">
        <v>128</v>
      </c>
      <c r="D4" s="4" t="s">
        <v>129</v>
      </c>
      <c r="E4" s="2">
        <v>4939</v>
      </c>
      <c r="F4" s="4">
        <f t="shared" si="0"/>
        <v>2963.4</v>
      </c>
      <c r="G4" s="4">
        <f>SUMIF(BOM!$P:$P,$Q4,BOM!$I:$I)</f>
        <v>42</v>
      </c>
      <c r="H4" s="4">
        <f t="shared" si="1"/>
        <v>124462.8</v>
      </c>
      <c r="I4" s="4" t="str">
        <f t="shared" si="2"/>
        <v>KZT</v>
      </c>
      <c r="J4" s="4" t="s">
        <v>33</v>
      </c>
      <c r="K4" s="4">
        <f t="shared" si="3"/>
        <v>0.6</v>
      </c>
      <c r="L4" s="4" t="s">
        <v>119</v>
      </c>
      <c r="M4" s="4" t="s">
        <v>130</v>
      </c>
      <c r="N4" s="4" t="s">
        <v>1</v>
      </c>
      <c r="O4" s="4"/>
      <c r="P4" s="4" t="str">
        <f>_xlfn.TEXTJOIN(", ",TRUE(),IF(COUNTIF(BOM!$P$3:$P$25,$Q4)&gt;0,"ЩР.2",""),IF(COUNTIF(BOM!$P$28:$P$42,$Q4)&gt;0,"ЩР.1",""),IF(COUNTIF(BOM!$P$45:$P$64,$Q4)&gt;0,"ЩУ.1",""),IF(COUNTIF(BOM!$P$67:$P$88,$Q4)&gt;0,"ЩУ.2",""),IF(COUNTIF(BOM!$P$91:$P$104,$Q4)&gt;0,"ЩО.1",""))</f>
        <v>ЩР.2, ЩР.1</v>
      </c>
      <c r="Q4" s="8" t="s">
        <v>131</v>
      </c>
    </row>
    <row r="5" spans="1:17" x14ac:dyDescent="0.25">
      <c r="A5" s="4">
        <v>4</v>
      </c>
      <c r="B5" s="4" t="s">
        <v>132</v>
      </c>
      <c r="C5" s="7" t="s">
        <v>133</v>
      </c>
      <c r="D5" s="4" t="s">
        <v>134</v>
      </c>
      <c r="E5" s="2">
        <v>2807</v>
      </c>
      <c r="F5" s="4">
        <f t="shared" si="0"/>
        <v>1684.2</v>
      </c>
      <c r="G5" s="4">
        <f>SUMIF(BOM!$P:$P,$Q5,BOM!$I:$I)</f>
        <v>4</v>
      </c>
      <c r="H5" s="4">
        <f t="shared" si="1"/>
        <v>6736.8</v>
      </c>
      <c r="I5" s="4" t="str">
        <f t="shared" si="2"/>
        <v>KZT</v>
      </c>
      <c r="J5" s="4" t="s">
        <v>33</v>
      </c>
      <c r="K5" s="4">
        <f t="shared" si="3"/>
        <v>0.6</v>
      </c>
      <c r="L5" s="4" t="s">
        <v>119</v>
      </c>
      <c r="M5" s="4" t="s">
        <v>135</v>
      </c>
      <c r="N5" s="4" t="s">
        <v>1</v>
      </c>
      <c r="O5" s="4"/>
      <c r="P5" s="4" t="str">
        <f>_xlfn.TEXTJOIN(", ",TRUE(),IF(COUNTIF(BOM!$P$3:$P$25,$Q5)&gt;0,"ЩР.2",""),IF(COUNTIF(BOM!$P$28:$P$42,$Q5)&gt;0,"ЩР.1",""),IF(COUNTIF(BOM!$P$45:$P$64,$Q5)&gt;0,"ЩУ.1",""),IF(COUNTIF(BOM!$P$67:$P$88,$Q5)&gt;0,"ЩУ.2",""),IF(COUNTIF(BOM!$P$91:$P$104,$Q5)&gt;0,"ЩО.1",""))</f>
        <v>ЩР.2, ЩУ.1</v>
      </c>
      <c r="Q5" s="8" t="s">
        <v>136</v>
      </c>
    </row>
    <row r="6" spans="1:17" x14ac:dyDescent="0.25">
      <c r="A6" s="4">
        <v>5</v>
      </c>
      <c r="B6" s="4" t="s">
        <v>137</v>
      </c>
      <c r="C6" s="7" t="s">
        <v>138</v>
      </c>
      <c r="D6" s="4" t="s">
        <v>139</v>
      </c>
      <c r="E6" s="2">
        <v>19129</v>
      </c>
      <c r="F6" s="4">
        <f t="shared" si="0"/>
        <v>11477.4</v>
      </c>
      <c r="G6" s="4">
        <f>SUMIF(BOM!$P:$P,$Q6,BOM!$I:$I)</f>
        <v>2</v>
      </c>
      <c r="H6" s="4">
        <f t="shared" si="1"/>
        <v>22954.799999999999</v>
      </c>
      <c r="I6" s="4" t="str">
        <f t="shared" si="2"/>
        <v>KZT</v>
      </c>
      <c r="J6" s="4" t="s">
        <v>33</v>
      </c>
      <c r="K6" s="4">
        <f t="shared" si="3"/>
        <v>0.6</v>
      </c>
      <c r="L6" s="4" t="s">
        <v>119</v>
      </c>
      <c r="M6" s="4" t="s">
        <v>140</v>
      </c>
      <c r="N6" s="4" t="s">
        <v>1</v>
      </c>
      <c r="O6" s="4"/>
      <c r="P6" s="4" t="str">
        <f>_xlfn.TEXTJOIN(", ",TRUE(),IF(COUNTIF(BOM!$P$3:$P$25,$Q6)&gt;0,"ЩР.2",""),IF(COUNTIF(BOM!$P$28:$P$42,$Q6)&gt;0,"ЩР.1",""),IF(COUNTIF(BOM!$P$45:$P$64,$Q6)&gt;0,"ЩУ.1",""),IF(COUNTIF(BOM!$P$67:$P$88,$Q6)&gt;0,"ЩУ.2",""),IF(COUNTIF(BOM!$P$91:$P$104,$Q6)&gt;0,"ЩО.1",""))</f>
        <v>ЩР.2</v>
      </c>
      <c r="Q6" s="8" t="s">
        <v>141</v>
      </c>
    </row>
    <row r="7" spans="1:17" x14ac:dyDescent="0.25">
      <c r="A7" s="4">
        <v>6</v>
      </c>
      <c r="B7" s="4" t="s">
        <v>132</v>
      </c>
      <c r="C7" s="7" t="s">
        <v>142</v>
      </c>
      <c r="D7" s="4" t="s">
        <v>143</v>
      </c>
      <c r="E7" s="2">
        <v>1436</v>
      </c>
      <c r="F7" s="4">
        <f t="shared" si="0"/>
        <v>861.6</v>
      </c>
      <c r="G7" s="4">
        <f>SUMIF(BOM!$P:$P,$Q7,BOM!$I:$I)</f>
        <v>1</v>
      </c>
      <c r="H7" s="4">
        <f t="shared" si="1"/>
        <v>861.6</v>
      </c>
      <c r="I7" s="4" t="str">
        <f t="shared" si="2"/>
        <v>KZT</v>
      </c>
      <c r="J7" s="4" t="s">
        <v>33</v>
      </c>
      <c r="K7" s="4">
        <f t="shared" si="3"/>
        <v>0.6</v>
      </c>
      <c r="L7" s="4" t="s">
        <v>119</v>
      </c>
      <c r="M7" s="4" t="s">
        <v>144</v>
      </c>
      <c r="N7" s="4" t="s">
        <v>14</v>
      </c>
      <c r="O7" s="4" t="s">
        <v>145</v>
      </c>
      <c r="P7" s="4" t="str">
        <f>_xlfn.TEXTJOIN(", ",TRUE(),IF(COUNTIF(BOM!$P$3:$P$25,$Q7)&gt;0,"ЩР.2",""),IF(COUNTIF(BOM!$P$28:$P$42,$Q7)&gt;0,"ЩР.1",""),IF(COUNTIF(BOM!$P$45:$P$64,$Q7)&gt;0,"ЩУ.1",""),IF(COUNTIF(BOM!$P$67:$P$88,$Q7)&gt;0,"ЩУ.2",""),IF(COUNTIF(BOM!$P$91:$P$104,$Q7)&gt;0,"ЩО.1",""))</f>
        <v>ЩР.2, ЩР.1, ЩУ.1, ЩУ.2</v>
      </c>
      <c r="Q7" s="8" t="s">
        <v>146</v>
      </c>
    </row>
    <row r="8" spans="1:17" x14ac:dyDescent="0.25">
      <c r="A8" s="4">
        <v>7</v>
      </c>
      <c r="B8" s="4" t="s">
        <v>147</v>
      </c>
      <c r="C8" s="7" t="s">
        <v>148</v>
      </c>
      <c r="D8" s="4" t="s">
        <v>149</v>
      </c>
      <c r="E8" s="2">
        <v>5972</v>
      </c>
      <c r="F8" s="4">
        <f t="shared" si="0"/>
        <v>3583.2</v>
      </c>
      <c r="G8" s="4">
        <f>SUMIF(BOM!$P:$P,$Q8,BOM!$I:$I)</f>
        <v>4</v>
      </c>
      <c r="H8" s="4">
        <f t="shared" si="1"/>
        <v>14332.8</v>
      </c>
      <c r="I8" s="4" t="str">
        <f t="shared" si="2"/>
        <v>KZT</v>
      </c>
      <c r="J8" s="4" t="s">
        <v>33</v>
      </c>
      <c r="K8" s="4">
        <f t="shared" si="3"/>
        <v>0.6</v>
      </c>
      <c r="L8" s="4" t="s">
        <v>119</v>
      </c>
      <c r="M8" s="4" t="s">
        <v>150</v>
      </c>
      <c r="N8" s="4" t="s">
        <v>14</v>
      </c>
      <c r="O8" s="4" t="s">
        <v>151</v>
      </c>
      <c r="P8" s="4" t="str">
        <f>_xlfn.TEXTJOIN(", ",TRUE(),IF(COUNTIF(BOM!$P$3:$P$25,$Q8)&gt;0,"ЩР.2",""),IF(COUNTIF(BOM!$P$28:$P$42,$Q8)&gt;0,"ЩР.1",""),IF(COUNTIF(BOM!$P$45:$P$64,$Q8)&gt;0,"ЩУ.1",""),IF(COUNTIF(BOM!$P$67:$P$88,$Q8)&gt;0,"ЩУ.2",""),IF(COUNTIF(BOM!$P$91:$P$104,$Q8)&gt;0,"ЩО.1",""))</f>
        <v>ЩР.2, ЩР.1</v>
      </c>
      <c r="Q8" s="8" t="s">
        <v>152</v>
      </c>
    </row>
    <row r="9" spans="1:17" x14ac:dyDescent="0.25">
      <c r="A9" s="4">
        <v>8</v>
      </c>
      <c r="B9" s="4" t="s">
        <v>153</v>
      </c>
      <c r="C9" s="7" t="s">
        <v>478</v>
      </c>
      <c r="D9" s="4" t="s">
        <v>479</v>
      </c>
      <c r="E9" s="2">
        <v>73730</v>
      </c>
      <c r="F9" s="4">
        <f t="shared" si="0"/>
        <v>44238</v>
      </c>
      <c r="G9" s="4">
        <f>SUMIF(BOM!$P:$P,$Q9,BOM!$I:$I)</f>
        <v>1</v>
      </c>
      <c r="H9" s="4">
        <f t="shared" si="1"/>
        <v>44238</v>
      </c>
      <c r="I9" s="4" t="str">
        <f t="shared" si="2"/>
        <v>KZT</v>
      </c>
      <c r="J9" s="4" t="s">
        <v>44</v>
      </c>
      <c r="K9" s="4">
        <f t="shared" si="3"/>
        <v>0.6</v>
      </c>
      <c r="L9" s="4" t="s">
        <v>119</v>
      </c>
      <c r="M9" s="4" t="s">
        <v>154</v>
      </c>
      <c r="N9" s="4" t="s">
        <v>14</v>
      </c>
      <c r="O9" s="4" t="s">
        <v>155</v>
      </c>
      <c r="P9" s="4" t="str">
        <f>_xlfn.TEXTJOIN(", ",TRUE(),IF(COUNTIF(BOM!$P$3:$P$25,$Q9)&gt;0,"ЩР.2",""),IF(COUNTIF(BOM!$P$28:$P$42,$Q9)&gt;0,"ЩР.1",""),IF(COUNTIF(BOM!$P$45:$P$64,$Q9)&gt;0,"ЩУ.1",""),IF(COUNTIF(BOM!$P$67:$P$88,$Q9)&gt;0,"ЩУ.2",""),IF(COUNTIF(BOM!$P$91:$P$104,$Q9)&gt;0,"ЩО.1",""))</f>
        <v>ЩР.2</v>
      </c>
      <c r="Q9" s="8" t="s">
        <v>156</v>
      </c>
    </row>
    <row r="10" spans="1:17" x14ac:dyDescent="0.25">
      <c r="A10" s="4">
        <v>9</v>
      </c>
      <c r="B10" s="4" t="s">
        <v>153</v>
      </c>
      <c r="C10" s="7" t="s">
        <v>157</v>
      </c>
      <c r="D10" s="4" t="s">
        <v>158</v>
      </c>
      <c r="E10" s="2">
        <v>25050</v>
      </c>
      <c r="F10" s="4">
        <f t="shared" si="0"/>
        <v>15030</v>
      </c>
      <c r="G10" s="4">
        <f>SUMIF(BOM!$P:$P,$Q10,BOM!$I:$I)</f>
        <v>1</v>
      </c>
      <c r="H10" s="4">
        <f t="shared" si="1"/>
        <v>15030</v>
      </c>
      <c r="I10" s="4" t="str">
        <f t="shared" si="2"/>
        <v>KZT</v>
      </c>
      <c r="J10" s="4" t="s">
        <v>44</v>
      </c>
      <c r="K10" s="4">
        <f t="shared" si="3"/>
        <v>0.6</v>
      </c>
      <c r="L10" s="4" t="s">
        <v>119</v>
      </c>
      <c r="M10" s="4" t="s">
        <v>159</v>
      </c>
      <c r="N10" s="4" t="s">
        <v>14</v>
      </c>
      <c r="O10" s="4" t="s">
        <v>160</v>
      </c>
      <c r="P10" s="4" t="str">
        <f>_xlfn.TEXTJOIN(", ",TRUE(),IF(COUNTIF(BOM!$P$3:$P$25,$Q10)&gt;0,"ЩР.2",""),IF(COUNTIF(BOM!$P$28:$P$42,$Q10)&gt;0,"ЩР.1",""),IF(COUNTIF(BOM!$P$45:$P$64,$Q10)&gt;0,"ЩУ.1",""),IF(COUNTIF(BOM!$P$67:$P$88,$Q10)&gt;0,"ЩУ.2",""),IF(COUNTIF(BOM!$P$91:$P$104,$Q10)&gt;0,"ЩО.1",""))</f>
        <v>ЩР.1</v>
      </c>
      <c r="Q10" s="8" t="s">
        <v>161</v>
      </c>
    </row>
    <row r="11" spans="1:17" x14ac:dyDescent="0.25">
      <c r="A11" s="4">
        <v>10</v>
      </c>
      <c r="B11" s="4" t="s">
        <v>162</v>
      </c>
      <c r="C11" s="7" t="s">
        <v>163</v>
      </c>
      <c r="D11" s="4" t="s">
        <v>164</v>
      </c>
      <c r="E11" s="2">
        <v>39360</v>
      </c>
      <c r="F11" s="4">
        <f t="shared" si="0"/>
        <v>39360</v>
      </c>
      <c r="G11" s="4">
        <f>SUMIF(BOM!$P:$P,$Q11,BOM!$I:$I)</f>
        <v>2</v>
      </c>
      <c r="H11" s="4">
        <f t="shared" si="1"/>
        <v>78720</v>
      </c>
      <c r="I11" s="4" t="str">
        <f t="shared" si="2"/>
        <v>KZT</v>
      </c>
      <c r="J11" s="4" t="s">
        <v>41</v>
      </c>
      <c r="K11" s="4">
        <f t="shared" si="3"/>
        <v>1</v>
      </c>
      <c r="L11" s="4" t="s">
        <v>119</v>
      </c>
      <c r="M11" s="4" t="s">
        <v>165</v>
      </c>
      <c r="N11" s="4" t="s">
        <v>7</v>
      </c>
      <c r="O11" s="4" t="s">
        <v>166</v>
      </c>
      <c r="P11" s="4" t="str">
        <f>_xlfn.TEXTJOIN(", ",TRUE(),IF(COUNTIF(BOM!$P$3:$P$25,$Q11)&gt;0,"ЩР.2",""),IF(COUNTIF(BOM!$P$28:$P$42,$Q11)&gt;0,"ЩР.1",""),IF(COUNTIF(BOM!$P$45:$P$64,$Q11)&gt;0,"ЩУ.1",""),IF(COUNTIF(BOM!$P$67:$P$88,$Q11)&gt;0,"ЩУ.2",""),IF(COUNTIF(BOM!$P$91:$P$104,$Q11)&gt;0,"ЩО.1",""))</f>
        <v>ЩР.2, ЩУ.1</v>
      </c>
      <c r="Q11" s="8" t="s">
        <v>167</v>
      </c>
    </row>
    <row r="12" spans="1:17" x14ac:dyDescent="0.25">
      <c r="A12" s="4">
        <v>11</v>
      </c>
      <c r="B12" s="4" t="s">
        <v>147</v>
      </c>
      <c r="C12" s="7" t="s">
        <v>168</v>
      </c>
      <c r="D12" s="4" t="s">
        <v>169</v>
      </c>
      <c r="E12" s="2">
        <v>900</v>
      </c>
      <c r="F12" s="4">
        <f t="shared" si="0"/>
        <v>900</v>
      </c>
      <c r="G12" s="4">
        <f>SUMIF(BOM!$P:$P,$Q12,BOM!$I:$I)</f>
        <v>5</v>
      </c>
      <c r="H12" s="4">
        <f t="shared" si="1"/>
        <v>4500</v>
      </c>
      <c r="I12" s="4" t="str">
        <f t="shared" si="2"/>
        <v>KZT</v>
      </c>
      <c r="J12" s="4" t="s">
        <v>41</v>
      </c>
      <c r="K12" s="4">
        <f t="shared" si="3"/>
        <v>1</v>
      </c>
      <c r="L12" s="4" t="s">
        <v>119</v>
      </c>
      <c r="M12" s="4" t="s">
        <v>170</v>
      </c>
      <c r="N12" s="4" t="s">
        <v>14</v>
      </c>
      <c r="O12" s="4" t="s">
        <v>171</v>
      </c>
      <c r="P12" s="4" t="str">
        <f>_xlfn.TEXTJOIN(", ",TRUE(),IF(COUNTIF(BOM!$P$3:$P$25,$Q12)&gt;0,"ЩР.2",""),IF(COUNTIF(BOM!$P$28:$P$42,$Q12)&gt;0,"ЩР.1",""),IF(COUNTIF(BOM!$P$45:$P$64,$Q12)&gt;0,"ЩУ.1",""),IF(COUNTIF(BOM!$P$67:$P$88,$Q12)&gt;0,"ЩУ.2",""),IF(COUNTIF(BOM!$P$91:$P$104,$Q12)&gt;0,"ЩО.1",""))</f>
        <v>ЩР.2, ЩР.1, ЩУ.1, ЩУ.2, ЩО.1</v>
      </c>
      <c r="Q12" s="8" t="s">
        <v>172</v>
      </c>
    </row>
    <row r="13" spans="1:17" x14ac:dyDescent="0.25">
      <c r="A13" s="4">
        <v>12</v>
      </c>
      <c r="B13" s="4" t="s">
        <v>147</v>
      </c>
      <c r="C13" s="7" t="s">
        <v>173</v>
      </c>
      <c r="D13" s="4" t="s">
        <v>174</v>
      </c>
      <c r="E13" s="2">
        <v>514</v>
      </c>
      <c r="F13" s="4">
        <f t="shared" si="0"/>
        <v>514</v>
      </c>
      <c r="G13" s="4">
        <f>SUMIF(BOM!$P:$P,$Q13,BOM!$I:$I)</f>
        <v>5</v>
      </c>
      <c r="H13" s="4">
        <f t="shared" si="1"/>
        <v>2570</v>
      </c>
      <c r="I13" s="4" t="str">
        <f t="shared" si="2"/>
        <v>KZT</v>
      </c>
      <c r="J13" s="4" t="s">
        <v>41</v>
      </c>
      <c r="K13" s="4">
        <f t="shared" si="3"/>
        <v>1</v>
      </c>
      <c r="L13" s="4" t="s">
        <v>119</v>
      </c>
      <c r="M13" s="4" t="s">
        <v>170</v>
      </c>
      <c r="N13" s="4" t="s">
        <v>14</v>
      </c>
      <c r="O13" s="4" t="s">
        <v>175</v>
      </c>
      <c r="P13" s="4" t="str">
        <f>_xlfn.TEXTJOIN(", ",TRUE(),IF(COUNTIF(BOM!$P$3:$P$25,$Q13)&gt;0,"ЩР.2",""),IF(COUNTIF(BOM!$P$28:$P$42,$Q13)&gt;0,"ЩР.1",""),IF(COUNTIF(BOM!$P$45:$P$64,$Q13)&gt;0,"ЩУ.1",""),IF(COUNTIF(BOM!$P$67:$P$88,$Q13)&gt;0,"ЩУ.2",""),IF(COUNTIF(BOM!$P$91:$P$104,$Q13)&gt;0,"ЩО.1",""))</f>
        <v>ЩР.2, ЩР.1, ЩУ.1, ЩУ.2, ЩО.1</v>
      </c>
      <c r="Q13" s="8" t="s">
        <v>176</v>
      </c>
    </row>
    <row r="14" spans="1:17" x14ac:dyDescent="0.25">
      <c r="A14" s="4">
        <v>13</v>
      </c>
      <c r="B14" s="4" t="s">
        <v>177</v>
      </c>
      <c r="C14" s="7" t="s">
        <v>178</v>
      </c>
      <c r="D14" s="4" t="s">
        <v>179</v>
      </c>
      <c r="E14" s="2">
        <v>686</v>
      </c>
      <c r="F14" s="4">
        <f t="shared" si="0"/>
        <v>686</v>
      </c>
      <c r="G14" s="4">
        <f>SUMIF(BOM!$P:$P,$Q14,BOM!$I:$I)</f>
        <v>0</v>
      </c>
      <c r="H14" s="4">
        <f t="shared" si="1"/>
        <v>0</v>
      </c>
      <c r="I14" s="4" t="str">
        <f t="shared" si="2"/>
        <v>KZT</v>
      </c>
      <c r="J14" s="4" t="s">
        <v>41</v>
      </c>
      <c r="K14" s="4">
        <f t="shared" si="3"/>
        <v>1</v>
      </c>
      <c r="L14" s="4" t="s">
        <v>119</v>
      </c>
      <c r="M14" s="4" t="s">
        <v>170</v>
      </c>
      <c r="N14" s="4" t="s">
        <v>14</v>
      </c>
      <c r="O14" s="4" t="s">
        <v>180</v>
      </c>
      <c r="P14" s="4" t="str">
        <f>_xlfn.TEXTJOIN(", ",TRUE(),IF(COUNTIF(BOM!$P$3:$P$25,$Q14)&gt;0,"ЩР.2",""),IF(COUNTIF(BOM!$P$28:$P$42,$Q14)&gt;0,"ЩР.1",""),IF(COUNTIF(BOM!$P$45:$P$64,$Q14)&gt;0,"ЩУ.1",""),IF(COUNTIF(BOM!$P$67:$P$88,$Q14)&gt;0,"ЩУ.2",""),IF(COUNTIF(BOM!$P$91:$P$104,$Q14)&gt;0,"ЩО.1",""))</f>
        <v>ЩР.2, ЩР.1, ЩУ.1, ЩУ.2, ЩО.1</v>
      </c>
      <c r="Q14" s="8" t="s">
        <v>181</v>
      </c>
    </row>
    <row r="15" spans="1:17" x14ac:dyDescent="0.25">
      <c r="A15" s="4">
        <v>14</v>
      </c>
      <c r="B15" s="4" t="s">
        <v>182</v>
      </c>
      <c r="C15" s="7" t="s">
        <v>183</v>
      </c>
      <c r="D15" s="4" t="s">
        <v>184</v>
      </c>
      <c r="E15" s="2">
        <v>238</v>
      </c>
      <c r="F15" s="4">
        <f t="shared" si="0"/>
        <v>238</v>
      </c>
      <c r="G15" s="4">
        <f>SUMIF(BOM!$P:$P,$Q15,BOM!$I:$I)</f>
        <v>6</v>
      </c>
      <c r="H15" s="4">
        <f t="shared" si="1"/>
        <v>1428</v>
      </c>
      <c r="I15" s="4" t="str">
        <f t="shared" si="2"/>
        <v>KZT</v>
      </c>
      <c r="J15" s="4" t="s">
        <v>41</v>
      </c>
      <c r="K15" s="4">
        <f t="shared" si="3"/>
        <v>1</v>
      </c>
      <c r="L15" s="4" t="s">
        <v>185</v>
      </c>
      <c r="M15" s="4" t="s">
        <v>170</v>
      </c>
      <c r="N15" s="4" t="s">
        <v>14</v>
      </c>
      <c r="O15" s="4" t="s">
        <v>180</v>
      </c>
      <c r="P15" s="4" t="str">
        <f>_xlfn.TEXTJOIN(", ",TRUE(),IF(COUNTIF(BOM!$P$3:$P$25,$Q15)&gt;0,"ЩР.2",""),IF(COUNTIF(BOM!$P$28:$P$42,$Q15)&gt;0,"ЩР.1",""),IF(COUNTIF(BOM!$P$45:$P$64,$Q15)&gt;0,"ЩУ.1",""),IF(COUNTIF(BOM!$P$67:$P$88,$Q15)&gt;0,"ЩУ.2",""),IF(COUNTIF(BOM!$P$91:$P$104,$Q15)&gt;0,"ЩО.1",""))</f>
        <v>ЩР.2, ЩР.1</v>
      </c>
      <c r="Q15" s="8" t="s">
        <v>186</v>
      </c>
    </row>
    <row r="16" spans="1:17" x14ac:dyDescent="0.25">
      <c r="A16" s="4">
        <v>15</v>
      </c>
      <c r="B16" s="4" t="s">
        <v>187</v>
      </c>
      <c r="C16" s="7" t="s">
        <v>188</v>
      </c>
      <c r="D16" s="4" t="s">
        <v>189</v>
      </c>
      <c r="E16" s="2">
        <v>144</v>
      </c>
      <c r="F16" s="4">
        <f t="shared" si="0"/>
        <v>144</v>
      </c>
      <c r="G16" s="4">
        <f>SUMIF(BOM!$P:$P,$Q16,BOM!$I:$I)</f>
        <v>31</v>
      </c>
      <c r="H16" s="4">
        <f t="shared" si="1"/>
        <v>4464</v>
      </c>
      <c r="I16" s="4" t="str">
        <f t="shared" si="2"/>
        <v>KZT</v>
      </c>
      <c r="J16" s="4" t="s">
        <v>41</v>
      </c>
      <c r="K16" s="4">
        <f t="shared" si="3"/>
        <v>1</v>
      </c>
      <c r="L16" s="4" t="s">
        <v>185</v>
      </c>
      <c r="M16" s="4" t="s">
        <v>170</v>
      </c>
      <c r="N16" s="4" t="s">
        <v>14</v>
      </c>
      <c r="O16" s="4" t="s">
        <v>180</v>
      </c>
      <c r="P16" s="4" t="str">
        <f>_xlfn.TEXTJOIN(", ",TRUE(),IF(COUNTIF(BOM!$P$3:$P$25,$Q16)&gt;0,"ЩР.2",""),IF(COUNTIF(BOM!$P$28:$P$42,$Q16)&gt;0,"ЩР.1",""),IF(COUNTIF(BOM!$P$45:$P$64,$Q16)&gt;0,"ЩУ.1",""),IF(COUNTIF(BOM!$P$67:$P$88,$Q16)&gt;0,"ЩУ.2",""),IF(COUNTIF(BOM!$P$91:$P$104,$Q16)&gt;0,"ЩО.1",""))</f>
        <v>ЩР.2, ЩУ.2, ЩО.1</v>
      </c>
      <c r="Q16" s="8" t="s">
        <v>190</v>
      </c>
    </row>
    <row r="17" spans="1:17" x14ac:dyDescent="0.25">
      <c r="A17" s="4">
        <v>16</v>
      </c>
      <c r="B17" s="4" t="s">
        <v>187</v>
      </c>
      <c r="C17" s="7" t="s">
        <v>191</v>
      </c>
      <c r="D17" s="4" t="s">
        <v>192</v>
      </c>
      <c r="E17" s="2">
        <v>242</v>
      </c>
      <c r="F17" s="4">
        <f t="shared" si="0"/>
        <v>242</v>
      </c>
      <c r="G17" s="4">
        <f>SUMIF(BOM!$P:$P,$Q17,BOM!$I:$I)</f>
        <v>59</v>
      </c>
      <c r="H17" s="4">
        <f t="shared" si="1"/>
        <v>14278</v>
      </c>
      <c r="I17" s="4" t="str">
        <f t="shared" si="2"/>
        <v>KZT</v>
      </c>
      <c r="J17" s="4" t="s">
        <v>41</v>
      </c>
      <c r="K17" s="4">
        <f t="shared" si="3"/>
        <v>1</v>
      </c>
      <c r="L17" s="4" t="s">
        <v>185</v>
      </c>
      <c r="M17" s="4" t="s">
        <v>170</v>
      </c>
      <c r="N17" s="4" t="s">
        <v>14</v>
      </c>
      <c r="O17" s="4" t="s">
        <v>180</v>
      </c>
      <c r="P17" s="4" t="str">
        <f>_xlfn.TEXTJOIN(", ",TRUE(),IF(COUNTIF(BOM!$P$3:$P$25,$Q17)&gt;0,"ЩР.2",""),IF(COUNTIF(BOM!$P$28:$P$42,$Q17)&gt;0,"ЩР.1",""),IF(COUNTIF(BOM!$P$45:$P$64,$Q17)&gt;0,"ЩУ.1",""),IF(COUNTIF(BOM!$P$67:$P$88,$Q17)&gt;0,"ЩУ.2",""),IF(COUNTIF(BOM!$P$91:$P$104,$Q17)&gt;0,"ЩО.1",""))</f>
        <v>ЩР.2, ЩР.1, ЩУ.2, ЩО.1</v>
      </c>
      <c r="Q17" s="8" t="s">
        <v>193</v>
      </c>
    </row>
    <row r="18" spans="1:17" x14ac:dyDescent="0.25">
      <c r="A18" s="4">
        <v>17</v>
      </c>
      <c r="B18" s="4" t="s">
        <v>187</v>
      </c>
      <c r="C18" s="7" t="s">
        <v>194</v>
      </c>
      <c r="D18" s="4" t="s">
        <v>195</v>
      </c>
      <c r="E18" s="2">
        <v>361</v>
      </c>
      <c r="F18" s="4">
        <f t="shared" si="0"/>
        <v>361</v>
      </c>
      <c r="G18" s="4">
        <f>SUMIF(BOM!$P:$P,$Q18,BOM!$I:$I)</f>
        <v>17</v>
      </c>
      <c r="H18" s="4">
        <f t="shared" si="1"/>
        <v>6137</v>
      </c>
      <c r="I18" s="4" t="str">
        <f t="shared" si="2"/>
        <v>KZT</v>
      </c>
      <c r="J18" s="4" t="s">
        <v>41</v>
      </c>
      <c r="K18" s="4">
        <f t="shared" si="3"/>
        <v>1</v>
      </c>
      <c r="L18" s="4" t="s">
        <v>185</v>
      </c>
      <c r="M18" s="4" t="s">
        <v>170</v>
      </c>
      <c r="N18" s="4" t="s">
        <v>14</v>
      </c>
      <c r="O18" s="4" t="s">
        <v>180</v>
      </c>
      <c r="P18" s="4" t="str">
        <f>_xlfn.TEXTJOIN(", ",TRUE(),IF(COUNTIF(BOM!$P$3:$P$25,$Q18)&gt;0,"ЩР.2",""),IF(COUNTIF(BOM!$P$28:$P$42,$Q18)&gt;0,"ЩР.1",""),IF(COUNTIF(BOM!$P$45:$P$64,$Q18)&gt;0,"ЩУ.1",""),IF(COUNTIF(BOM!$P$67:$P$88,$Q18)&gt;0,"ЩУ.2",""),IF(COUNTIF(BOM!$P$91:$P$104,$Q18)&gt;0,"ЩО.1",""))</f>
        <v>ЩР.2, ЩР.1, ЩУ.1</v>
      </c>
      <c r="Q18" s="8" t="s">
        <v>196</v>
      </c>
    </row>
    <row r="19" spans="1:17" x14ac:dyDescent="0.25">
      <c r="A19" s="4">
        <v>18</v>
      </c>
      <c r="B19" s="4" t="s">
        <v>187</v>
      </c>
      <c r="C19" s="7" t="s">
        <v>197</v>
      </c>
      <c r="D19" s="4" t="s">
        <v>198</v>
      </c>
      <c r="E19" s="2">
        <v>1560</v>
      </c>
      <c r="F19" s="4">
        <f t="shared" si="0"/>
        <v>1560</v>
      </c>
      <c r="G19" s="4">
        <f>SUMIF(BOM!$P:$P,$Q19,BOM!$I:$I)</f>
        <v>5</v>
      </c>
      <c r="H19" s="4">
        <f t="shared" si="1"/>
        <v>7800</v>
      </c>
      <c r="I19" s="4" t="str">
        <f t="shared" si="2"/>
        <v>KZT</v>
      </c>
      <c r="J19" s="4" t="s">
        <v>41</v>
      </c>
      <c r="K19" s="4">
        <f t="shared" si="3"/>
        <v>1</v>
      </c>
      <c r="L19" s="4" t="s">
        <v>185</v>
      </c>
      <c r="M19" s="4" t="s">
        <v>170</v>
      </c>
      <c r="N19" s="4" t="s">
        <v>14</v>
      </c>
      <c r="O19" s="4" t="s">
        <v>180</v>
      </c>
      <c r="P19" s="4" t="str">
        <f>_xlfn.TEXTJOIN(", ",TRUE(),IF(COUNTIF(BOM!$P$3:$P$25,$Q19)&gt;0,"ЩР.2",""),IF(COUNTIF(BOM!$P$28:$P$42,$Q19)&gt;0,"ЩР.1",""),IF(COUNTIF(BOM!$P$45:$P$64,$Q19)&gt;0,"ЩУ.1",""),IF(COUNTIF(BOM!$P$67:$P$88,$Q19)&gt;0,"ЩУ.2",""),IF(COUNTIF(BOM!$P$91:$P$104,$Q19)&gt;0,"ЩО.1",""))</f>
        <v>ЩР.2, ЩУ.2</v>
      </c>
      <c r="Q19" s="8" t="s">
        <v>199</v>
      </c>
    </row>
    <row r="20" spans="1:17" x14ac:dyDescent="0.25">
      <c r="A20" s="4">
        <v>19</v>
      </c>
      <c r="B20" s="4" t="s">
        <v>187</v>
      </c>
      <c r="C20" s="7" t="s">
        <v>200</v>
      </c>
      <c r="D20" s="4" t="s">
        <v>201</v>
      </c>
      <c r="E20" s="2">
        <v>2304</v>
      </c>
      <c r="F20" s="4">
        <f t="shared" si="0"/>
        <v>2304</v>
      </c>
      <c r="G20" s="4">
        <f>SUMIF(BOM!$P:$P,$Q20,BOM!$I:$I)</f>
        <v>7.5</v>
      </c>
      <c r="H20" s="4">
        <f t="shared" si="1"/>
        <v>17280</v>
      </c>
      <c r="I20" s="4" t="str">
        <f t="shared" si="2"/>
        <v>KZT</v>
      </c>
      <c r="J20" s="4" t="s">
        <v>41</v>
      </c>
      <c r="K20" s="4">
        <f t="shared" si="3"/>
        <v>1</v>
      </c>
      <c r="L20" s="4" t="s">
        <v>185</v>
      </c>
      <c r="M20" s="4" t="s">
        <v>170</v>
      </c>
      <c r="N20" s="4" t="s">
        <v>14</v>
      </c>
      <c r="O20" s="4" t="s">
        <v>180</v>
      </c>
      <c r="P20" s="4" t="str">
        <f>_xlfn.TEXTJOIN(", ",TRUE(),IF(COUNTIF(BOM!$P$3:$P$25,$Q20)&gt;0,"ЩР.2",""),IF(COUNTIF(BOM!$P$28:$P$42,$Q20)&gt;0,"ЩР.1",""),IF(COUNTIF(BOM!$P$45:$P$64,$Q20)&gt;0,"ЩУ.1",""),IF(COUNTIF(BOM!$P$67:$P$88,$Q20)&gt;0,"ЩУ.2",""),IF(COUNTIF(BOM!$P$91:$P$104,$Q20)&gt;0,"ЩО.1",""))</f>
        <v>ЩР.2, ЩУ.2</v>
      </c>
      <c r="Q20" s="8" t="s">
        <v>202</v>
      </c>
    </row>
    <row r="21" spans="1:17" x14ac:dyDescent="0.25">
      <c r="A21" s="4">
        <v>20</v>
      </c>
      <c r="B21" s="4" t="s">
        <v>203</v>
      </c>
      <c r="C21" s="7" t="s">
        <v>204</v>
      </c>
      <c r="D21" s="4" t="s">
        <v>205</v>
      </c>
      <c r="E21" s="2">
        <v>210</v>
      </c>
      <c r="F21" s="4">
        <f t="shared" si="0"/>
        <v>210</v>
      </c>
      <c r="G21" s="4">
        <f>SUMIF(BOM!$P:$P,$Q21,BOM!$I:$I)</f>
        <v>112</v>
      </c>
      <c r="H21" s="4">
        <f t="shared" si="1"/>
        <v>23520</v>
      </c>
      <c r="I21" s="4" t="str">
        <f t="shared" si="2"/>
        <v>KZT</v>
      </c>
      <c r="J21" s="4" t="s">
        <v>41</v>
      </c>
      <c r="K21" s="4">
        <f t="shared" si="3"/>
        <v>1</v>
      </c>
      <c r="L21" s="4" t="s">
        <v>119</v>
      </c>
      <c r="M21" s="4" t="s">
        <v>206</v>
      </c>
      <c r="N21" s="4" t="s">
        <v>14</v>
      </c>
      <c r="O21" s="4" t="s">
        <v>207</v>
      </c>
      <c r="P21" s="4" t="str">
        <f>_xlfn.TEXTJOIN(", ",TRUE(),IF(COUNTIF(BOM!$P$3:$P$25,$Q21)&gt;0,"ЩР.2",""),IF(COUNTIF(BOM!$P$28:$P$42,$Q21)&gt;0,"ЩР.1",""),IF(COUNTIF(BOM!$P$45:$P$64,$Q21)&gt;0,"ЩУ.1",""),IF(COUNTIF(BOM!$P$67:$P$88,$Q21)&gt;0,"ЩУ.2",""),IF(COUNTIF(BOM!$P$91:$P$104,$Q21)&gt;0,"ЩО.1",""))</f>
        <v>ЩР.2, ЩР.1, ЩУ.1, ЩУ.2, ЩО.1</v>
      </c>
      <c r="Q21" s="8" t="s">
        <v>208</v>
      </c>
    </row>
    <row r="22" spans="1:17" x14ac:dyDescent="0.25">
      <c r="A22" s="4">
        <v>21</v>
      </c>
      <c r="B22" s="4" t="s">
        <v>209</v>
      </c>
      <c r="C22" s="7" t="s">
        <v>210</v>
      </c>
      <c r="D22" s="4" t="s">
        <v>211</v>
      </c>
      <c r="E22" s="2">
        <v>387</v>
      </c>
      <c r="F22" s="4">
        <f t="shared" si="0"/>
        <v>387</v>
      </c>
      <c r="G22" s="4">
        <f>SUMIF(BOM!$P:$P,$Q22,BOM!$I:$I)</f>
        <v>12</v>
      </c>
      <c r="H22" s="4">
        <f t="shared" si="1"/>
        <v>4644</v>
      </c>
      <c r="I22" s="4" t="str">
        <f t="shared" si="2"/>
        <v>KZT</v>
      </c>
      <c r="J22" s="4" t="s">
        <v>41</v>
      </c>
      <c r="K22" s="4">
        <f t="shared" si="3"/>
        <v>1</v>
      </c>
      <c r="L22" s="4" t="s">
        <v>119</v>
      </c>
      <c r="M22" s="4" t="s">
        <v>212</v>
      </c>
      <c r="N22" s="4" t="s">
        <v>14</v>
      </c>
      <c r="O22" s="4" t="s">
        <v>213</v>
      </c>
      <c r="P22" s="4" t="str">
        <f>_xlfn.TEXTJOIN(", ",TRUE(),IF(COUNTIF(BOM!$P$3:$P$25,$Q22)&gt;0,"ЩР.2",""),IF(COUNTIF(BOM!$P$28:$P$42,$Q22)&gt;0,"ЩР.1",""),IF(COUNTIF(BOM!$P$45:$P$64,$Q22)&gt;0,"ЩУ.1",""),IF(COUNTIF(BOM!$P$67:$P$88,$Q22)&gt;0,"ЩУ.2",""),IF(COUNTIF(BOM!$P$91:$P$104,$Q22)&gt;0,"ЩО.1",""))</f>
        <v>ЩР.2, ЩУ.1, ЩУ.2</v>
      </c>
      <c r="Q22" s="8" t="s">
        <v>214</v>
      </c>
    </row>
    <row r="23" spans="1:17" x14ac:dyDescent="0.25">
      <c r="A23" s="4">
        <v>22</v>
      </c>
      <c r="B23" s="4" t="s">
        <v>215</v>
      </c>
      <c r="C23" s="7" t="s">
        <v>216</v>
      </c>
      <c r="D23" s="4" t="s">
        <v>217</v>
      </c>
      <c r="E23" s="2">
        <v>1245</v>
      </c>
      <c r="F23" s="4">
        <f t="shared" si="0"/>
        <v>1245</v>
      </c>
      <c r="G23" s="4">
        <f>SUMIF(BOM!$P:$P,$Q23,BOM!$I:$I)</f>
        <v>6</v>
      </c>
      <c r="H23" s="4">
        <f t="shared" si="1"/>
        <v>7470</v>
      </c>
      <c r="I23" s="4" t="str">
        <f t="shared" si="2"/>
        <v>KZT</v>
      </c>
      <c r="J23" s="4" t="s">
        <v>41</v>
      </c>
      <c r="K23" s="4">
        <f t="shared" si="3"/>
        <v>1</v>
      </c>
      <c r="L23" s="4" t="s">
        <v>218</v>
      </c>
      <c r="M23" s="4" t="s">
        <v>219</v>
      </c>
      <c r="N23" s="4" t="s">
        <v>14</v>
      </c>
      <c r="O23" s="4" t="s">
        <v>220</v>
      </c>
      <c r="P23" s="4" t="str">
        <f>_xlfn.TEXTJOIN(", ",TRUE(),IF(COUNTIF(BOM!$P$3:$P$25,$Q23)&gt;0,"ЩР.2",""),IF(COUNTIF(BOM!$P$28:$P$42,$Q23)&gt;0,"ЩР.1",""),IF(COUNTIF(BOM!$P$45:$P$64,$Q23)&gt;0,"ЩУ.1",""),IF(COUNTIF(BOM!$P$67:$P$88,$Q23)&gt;0,"ЩУ.2",""),IF(COUNTIF(BOM!$P$91:$P$104,$Q23)&gt;0,"ЩО.1",""))</f>
        <v>ЩР.2, ЩР.1, ЩУ.1, ЩУ.2, ЩО.1</v>
      </c>
      <c r="Q23" s="8" t="s">
        <v>221</v>
      </c>
    </row>
    <row r="24" spans="1:17" x14ac:dyDescent="0.25">
      <c r="A24" s="4">
        <v>23</v>
      </c>
      <c r="B24" s="9" t="s">
        <v>222</v>
      </c>
      <c r="C24" s="7" t="s">
        <v>223</v>
      </c>
      <c r="D24" s="9" t="s">
        <v>224</v>
      </c>
      <c r="E24" s="10"/>
      <c r="F24" s="9"/>
      <c r="G24" s="9">
        <f>SUMIF(BOM!$P:$P,$Q24,BOM!$I:$I)</f>
        <v>5</v>
      </c>
      <c r="H24" s="9" t="str">
        <f t="shared" si="1"/>
        <v/>
      </c>
      <c r="I24" s="9" t="str">
        <f t="shared" si="2"/>
        <v/>
      </c>
      <c r="J24" s="9" t="s">
        <v>225</v>
      </c>
      <c r="K24" s="9" t="str">
        <f t="shared" si="3"/>
        <v/>
      </c>
      <c r="L24" s="9" t="s">
        <v>119</v>
      </c>
      <c r="M24" s="9"/>
      <c r="N24" s="9" t="s">
        <v>3</v>
      </c>
      <c r="O24" s="4" t="s">
        <v>226</v>
      </c>
      <c r="P24" s="9" t="str">
        <f>_xlfn.TEXTJOIN(", ",TRUE(),IF(COUNTIF(BOM!$P$3:$P$25,$Q24)&gt;0,"ЩР.2",""),IF(COUNTIF(BOM!$P$28:$P$42,$Q24)&gt;0,"ЩР.1",""),IF(COUNTIF(BOM!$P$45:$P$64,$Q24)&gt;0,"ЩУ.1",""),IF(COUNTIF(BOM!$P$67:$P$88,$Q24)&gt;0,"ЩУ.2",""),IF(COUNTIF(BOM!$P$91:$P$104,$Q24)&gt;0,"ЩО.1",""))</f>
        <v>ЩР.2, ЩР.1, ЩУ.1, ЩУ.2, ЩО.1</v>
      </c>
      <c r="Q24" s="8" t="s">
        <v>223</v>
      </c>
    </row>
    <row r="25" spans="1:17" x14ac:dyDescent="0.25">
      <c r="A25" s="4">
        <v>24</v>
      </c>
      <c r="B25" s="4" t="s">
        <v>51</v>
      </c>
      <c r="C25" s="7" t="s">
        <v>227</v>
      </c>
      <c r="D25" s="4" t="s">
        <v>228</v>
      </c>
      <c r="E25" s="2">
        <f>KURALLAR!$B$29</f>
        <v>6000</v>
      </c>
      <c r="F25" s="4">
        <f>KURALLAR!$B$30</f>
        <v>100</v>
      </c>
      <c r="G25" s="4">
        <f>SUMIF(BOM!$P:$P,$Q25,BOM!$I:$I)</f>
        <v>575</v>
      </c>
      <c r="H25" s="4">
        <f t="shared" si="1"/>
        <v>57500</v>
      </c>
      <c r="I25" s="4" t="str">
        <f t="shared" si="2"/>
        <v>KZT</v>
      </c>
      <c r="J25" s="4" t="s">
        <v>51</v>
      </c>
      <c r="K25" s="4">
        <f t="shared" si="3"/>
        <v>1</v>
      </c>
      <c r="L25" s="4" t="s">
        <v>229</v>
      </c>
      <c r="M25" s="4" t="s">
        <v>230</v>
      </c>
      <c r="N25" s="4" t="s">
        <v>14</v>
      </c>
      <c r="O25" s="4" t="s">
        <v>231</v>
      </c>
      <c r="P25" s="4" t="str">
        <f>_xlfn.TEXTJOIN(", ",TRUE(),IF(COUNTIF(BOM!$P$3:$P$25,$Q25)&gt;0,"ЩР.2",""),IF(COUNTIF(BOM!$P$28:$P$42,$Q25)&gt;0,"ЩР.1",""),IF(COUNTIF(BOM!$P$45:$P$64,$Q25)&gt;0,"ЩУ.1",""),IF(COUNTIF(BOM!$P$67:$P$88,$Q25)&gt;0,"ЩУ.2",""),IF(COUNTIF(BOM!$P$91:$P$104,$Q25)&gt;0,"ЩО.1",""))</f>
        <v>ЩР.2, ЩР.1, ЩУ.1, ЩУ.2, ЩО.1</v>
      </c>
      <c r="Q25" s="8" t="s">
        <v>227</v>
      </c>
    </row>
    <row r="26" spans="1:17" x14ac:dyDescent="0.25">
      <c r="A26" s="4">
        <v>25</v>
      </c>
      <c r="B26" s="4" t="s">
        <v>116</v>
      </c>
      <c r="C26" s="7" t="s">
        <v>232</v>
      </c>
      <c r="D26" s="4" t="s">
        <v>233</v>
      </c>
      <c r="E26" s="2">
        <v>17405</v>
      </c>
      <c r="F26" s="4">
        <f t="shared" ref="F26:F43" si="4">IF($E26="","",IF(INDEX(MARKA_TIP,MATCH($J26,MARKA_AD,0))="NET",$E26,$E26*INDEX(MARKA_KAT,MATCH($J26,MARKA_AD,0))*INDEX(KUR_DEG,MATCH($I26,KUR_AD,0))))</f>
        <v>10443</v>
      </c>
      <c r="G26" s="4">
        <f>SUMIF(BOM!$P:$P,$Q26,BOM!$I:$I)</f>
        <v>1</v>
      </c>
      <c r="H26" s="4">
        <f t="shared" si="1"/>
        <v>10443</v>
      </c>
      <c r="I26" s="4" t="str">
        <f t="shared" si="2"/>
        <v>KZT</v>
      </c>
      <c r="J26" s="4" t="s">
        <v>33</v>
      </c>
      <c r="K26" s="4">
        <f t="shared" si="3"/>
        <v>0.6</v>
      </c>
      <c r="L26" s="4" t="s">
        <v>119</v>
      </c>
      <c r="M26" s="4" t="s">
        <v>234</v>
      </c>
      <c r="N26" s="4" t="s">
        <v>1</v>
      </c>
      <c r="O26" s="4" t="s">
        <v>235</v>
      </c>
      <c r="P26" s="4" t="str">
        <f>_xlfn.TEXTJOIN(", ",TRUE(),IF(COUNTIF(BOM!$P$3:$P$25,$Q26)&gt;0,"ЩР.2",""),IF(COUNTIF(BOM!$P$28:$P$42,$Q26)&gt;0,"ЩР.1",""),IF(COUNTIF(BOM!$P$45:$P$64,$Q26)&gt;0,"ЩУ.1",""),IF(COUNTIF(BOM!$P$67:$P$88,$Q26)&gt;0,"ЩУ.2",""),IF(COUNTIF(BOM!$P$91:$P$104,$Q26)&gt;0,"ЩО.1",""))</f>
        <v>ЩР.1</v>
      </c>
      <c r="Q26" s="8" t="s">
        <v>236</v>
      </c>
    </row>
    <row r="27" spans="1:17" x14ac:dyDescent="0.25">
      <c r="A27" s="4">
        <v>26</v>
      </c>
      <c r="B27" s="4" t="s">
        <v>132</v>
      </c>
      <c r="C27" s="7" t="s">
        <v>237</v>
      </c>
      <c r="D27" s="4" t="s">
        <v>238</v>
      </c>
      <c r="E27" s="2">
        <v>3641</v>
      </c>
      <c r="F27" s="4">
        <f t="shared" si="4"/>
        <v>2184.6</v>
      </c>
      <c r="G27" s="4">
        <f>SUMIF(BOM!$P:$P,$Q27,BOM!$I:$I)</f>
        <v>1</v>
      </c>
      <c r="H27" s="4">
        <f t="shared" si="1"/>
        <v>2184.6</v>
      </c>
      <c r="I27" s="4" t="str">
        <f t="shared" si="2"/>
        <v>KZT</v>
      </c>
      <c r="J27" s="4" t="s">
        <v>33</v>
      </c>
      <c r="K27" s="4">
        <f t="shared" si="3"/>
        <v>0.6</v>
      </c>
      <c r="L27" s="4" t="s">
        <v>119</v>
      </c>
      <c r="M27" s="4" t="s">
        <v>239</v>
      </c>
      <c r="N27" s="4" t="s">
        <v>1</v>
      </c>
      <c r="O27" s="4"/>
      <c r="P27" s="4" t="str">
        <f>_xlfn.TEXTJOIN(", ",TRUE(),IF(COUNTIF(BOM!$P$3:$P$25,$Q27)&gt;0,"ЩР.2",""),IF(COUNTIF(BOM!$P$28:$P$42,$Q27)&gt;0,"ЩР.1",""),IF(COUNTIF(BOM!$P$45:$P$64,$Q27)&gt;0,"ЩУ.1",""),IF(COUNTIF(BOM!$P$67:$P$88,$Q27)&gt;0,"ЩУ.2",""),IF(COUNTIF(BOM!$P$91:$P$104,$Q27)&gt;0,"ЩО.1",""))</f>
        <v>ЩУ.1</v>
      </c>
      <c r="Q27" s="8" t="s">
        <v>240</v>
      </c>
    </row>
    <row r="28" spans="1:17" x14ac:dyDescent="0.25">
      <c r="A28" s="4">
        <v>27</v>
      </c>
      <c r="B28" s="9" t="s">
        <v>127</v>
      </c>
      <c r="C28" s="7" t="s">
        <v>241</v>
      </c>
      <c r="D28" s="9" t="s">
        <v>242</v>
      </c>
      <c r="E28" s="10"/>
      <c r="F28" s="9" t="str">
        <f t="shared" si="4"/>
        <v/>
      </c>
      <c r="G28" s="9">
        <f>SUMIF(BOM!$P:$P,$Q28,BOM!$I:$I)</f>
        <v>1</v>
      </c>
      <c r="H28" s="9" t="str">
        <f t="shared" si="1"/>
        <v/>
      </c>
      <c r="I28" s="9" t="str">
        <f t="shared" si="2"/>
        <v/>
      </c>
      <c r="J28" s="9" t="s">
        <v>33</v>
      </c>
      <c r="K28" s="9" t="str">
        <f t="shared" si="3"/>
        <v/>
      </c>
      <c r="L28" s="9" t="s">
        <v>119</v>
      </c>
      <c r="M28" s="9"/>
      <c r="N28" s="9" t="s">
        <v>3</v>
      </c>
      <c r="O28" s="4" t="s">
        <v>243</v>
      </c>
      <c r="P28" s="9" t="str">
        <f>_xlfn.TEXTJOIN(", ",TRUE(),IF(COUNTIF(BOM!$P$3:$P$25,$Q28)&gt;0,"ЩР.2",""),IF(COUNTIF(BOM!$P$28:$P$42,$Q28)&gt;0,"ЩР.1",""),IF(COUNTIF(BOM!$P$45:$P$64,$Q28)&gt;0,"ЩУ.1",""),IF(COUNTIF(BOM!$P$67:$P$88,$Q28)&gt;0,"ЩУ.2",""),IF(COUNTIF(BOM!$P$91:$P$104,$Q28)&gt;0,"ЩО.1",""))</f>
        <v>ЩУ.1</v>
      </c>
      <c r="Q28" s="8" t="s">
        <v>241</v>
      </c>
    </row>
    <row r="29" spans="1:17" x14ac:dyDescent="0.25">
      <c r="A29" s="4">
        <v>28</v>
      </c>
      <c r="B29" s="4" t="s">
        <v>116</v>
      </c>
      <c r="C29" s="7" t="s">
        <v>244</v>
      </c>
      <c r="D29" s="4" t="s">
        <v>245</v>
      </c>
      <c r="E29" s="2">
        <v>19443</v>
      </c>
      <c r="F29" s="4">
        <f t="shared" si="4"/>
        <v>11665.8</v>
      </c>
      <c r="G29" s="4">
        <f>SUMIF(BOM!$P:$P,$Q29,BOM!$I:$I)</f>
        <v>1</v>
      </c>
      <c r="H29" s="4">
        <f t="shared" si="1"/>
        <v>11665.8</v>
      </c>
      <c r="I29" s="4" t="str">
        <f t="shared" si="2"/>
        <v>KZT</v>
      </c>
      <c r="J29" s="4" t="s">
        <v>33</v>
      </c>
      <c r="K29" s="4">
        <f t="shared" si="3"/>
        <v>0.6</v>
      </c>
      <c r="L29" s="4" t="s">
        <v>119</v>
      </c>
      <c r="M29" s="4" t="s">
        <v>246</v>
      </c>
      <c r="N29" s="4" t="s">
        <v>1</v>
      </c>
      <c r="O29" s="4" t="s">
        <v>247</v>
      </c>
      <c r="P29" s="4" t="str">
        <f>_xlfn.TEXTJOIN(", ",TRUE(),IF(COUNTIF(BOM!$P$3:$P$25,$Q29)&gt;0,"ЩР.2",""),IF(COUNTIF(BOM!$P$28:$P$42,$Q29)&gt;0,"ЩР.1",""),IF(COUNTIF(BOM!$P$45:$P$64,$Q29)&gt;0,"ЩУ.1",""),IF(COUNTIF(BOM!$P$67:$P$88,$Q29)&gt;0,"ЩУ.2",""),IF(COUNTIF(BOM!$P$91:$P$104,$Q29)&gt;0,"ЩО.1",""))</f>
        <v>ЩУ.2</v>
      </c>
      <c r="Q29" s="8" t="s">
        <v>248</v>
      </c>
    </row>
    <row r="30" spans="1:17" x14ac:dyDescent="0.25">
      <c r="A30" s="4">
        <v>29</v>
      </c>
      <c r="B30" s="4" t="s">
        <v>132</v>
      </c>
      <c r="C30" s="7" t="s">
        <v>249</v>
      </c>
      <c r="D30" s="4" t="s">
        <v>250</v>
      </c>
      <c r="E30" s="2">
        <v>2606</v>
      </c>
      <c r="F30" s="4">
        <f t="shared" si="4"/>
        <v>1563.6</v>
      </c>
      <c r="G30" s="4">
        <f>SUMIF(BOM!$P:$P,$Q30,BOM!$I:$I)</f>
        <v>2</v>
      </c>
      <c r="H30" s="4">
        <f t="shared" si="1"/>
        <v>3127.2</v>
      </c>
      <c r="I30" s="4" t="str">
        <f t="shared" si="2"/>
        <v>KZT</v>
      </c>
      <c r="J30" s="4" t="s">
        <v>33</v>
      </c>
      <c r="K30" s="4">
        <f t="shared" si="3"/>
        <v>0.6</v>
      </c>
      <c r="L30" s="4" t="s">
        <v>119</v>
      </c>
      <c r="M30" s="4" t="s">
        <v>251</v>
      </c>
      <c r="N30" s="4" t="s">
        <v>1</v>
      </c>
      <c r="O30" s="4"/>
      <c r="P30" s="4" t="str">
        <f>_xlfn.TEXTJOIN(", ",TRUE(),IF(COUNTIF(BOM!$P$3:$P$25,$Q30)&gt;0,"ЩР.2",""),IF(COUNTIF(BOM!$P$28:$P$42,$Q30)&gt;0,"ЩР.1",""),IF(COUNTIF(BOM!$P$45:$P$64,$Q30)&gt;0,"ЩУ.1",""),IF(COUNTIF(BOM!$P$67:$P$88,$Q30)&gt;0,"ЩУ.2",""),IF(COUNTIF(BOM!$P$91:$P$104,$Q30)&gt;0,"ЩО.1",""))</f>
        <v>ЩУ.1</v>
      </c>
      <c r="Q30" s="8" t="s">
        <v>252</v>
      </c>
    </row>
    <row r="31" spans="1:17" x14ac:dyDescent="0.25">
      <c r="A31" s="4">
        <v>30</v>
      </c>
      <c r="B31" s="4" t="s">
        <v>132</v>
      </c>
      <c r="C31" s="7" t="s">
        <v>253</v>
      </c>
      <c r="D31" s="4" t="s">
        <v>254</v>
      </c>
      <c r="E31" s="2">
        <v>2429</v>
      </c>
      <c r="F31" s="4">
        <f t="shared" si="4"/>
        <v>1457.3999999999999</v>
      </c>
      <c r="G31" s="4">
        <f>SUMIF(BOM!$P:$P,$Q31,BOM!$I:$I)</f>
        <v>2</v>
      </c>
      <c r="H31" s="4">
        <f t="shared" si="1"/>
        <v>2914.7999999999997</v>
      </c>
      <c r="I31" s="4" t="str">
        <f t="shared" si="2"/>
        <v>KZT</v>
      </c>
      <c r="J31" s="4" t="s">
        <v>33</v>
      </c>
      <c r="K31" s="4">
        <f t="shared" si="3"/>
        <v>0.6</v>
      </c>
      <c r="L31" s="4" t="s">
        <v>119</v>
      </c>
      <c r="M31" s="4" t="s">
        <v>255</v>
      </c>
      <c r="N31" s="4" t="s">
        <v>1</v>
      </c>
      <c r="O31" s="4"/>
      <c r="P31" s="4" t="str">
        <f>_xlfn.TEXTJOIN(", ",TRUE(),IF(COUNTIF(BOM!$P$3:$P$25,$Q31)&gt;0,"ЩР.2",""),IF(COUNTIF(BOM!$P$28:$P$42,$Q31)&gt;0,"ЩР.1",""),IF(COUNTIF(BOM!$P$45:$P$64,$Q31)&gt;0,"ЩУ.1",""),IF(COUNTIF(BOM!$P$67:$P$88,$Q31)&gt;0,"ЩУ.2",""),IF(COUNTIF(BOM!$P$91:$P$104,$Q31)&gt;0,"ЩО.1",""))</f>
        <v>ЩУ.2, ЩО.1</v>
      </c>
      <c r="Q31" s="8" t="s">
        <v>256</v>
      </c>
    </row>
    <row r="32" spans="1:17" x14ac:dyDescent="0.25">
      <c r="A32" s="4">
        <v>31</v>
      </c>
      <c r="B32" s="4" t="s">
        <v>132</v>
      </c>
      <c r="C32" s="7" t="s">
        <v>257</v>
      </c>
      <c r="D32" s="4" t="s">
        <v>258</v>
      </c>
      <c r="E32" s="2">
        <v>2337</v>
      </c>
      <c r="F32" s="4">
        <f t="shared" si="4"/>
        <v>1402.2</v>
      </c>
      <c r="G32" s="4">
        <f>SUMIF(BOM!$P:$P,$Q32,BOM!$I:$I)</f>
        <v>5</v>
      </c>
      <c r="H32" s="4">
        <f t="shared" si="1"/>
        <v>7011</v>
      </c>
      <c r="I32" s="4" t="str">
        <f t="shared" si="2"/>
        <v>KZT</v>
      </c>
      <c r="J32" s="4" t="s">
        <v>33</v>
      </c>
      <c r="K32" s="4">
        <f t="shared" si="3"/>
        <v>0.6</v>
      </c>
      <c r="L32" s="4" t="s">
        <v>119</v>
      </c>
      <c r="M32" s="4" t="s">
        <v>259</v>
      </c>
      <c r="N32" s="4" t="s">
        <v>1</v>
      </c>
      <c r="O32" s="4"/>
      <c r="P32" s="4" t="str">
        <f>_xlfn.TEXTJOIN(", ",TRUE(),IF(COUNTIF(BOM!$P$3:$P$25,$Q32)&gt;0,"ЩР.2",""),IF(COUNTIF(BOM!$P$28:$P$42,$Q32)&gt;0,"ЩР.1",""),IF(COUNTIF(BOM!$P$45:$P$64,$Q32)&gt;0,"ЩУ.1",""),IF(COUNTIF(BOM!$P$67:$P$88,$Q32)&gt;0,"ЩУ.2",""),IF(COUNTIF(BOM!$P$91:$P$104,$Q32)&gt;0,"ЩО.1",""))</f>
        <v>ЩУ.2</v>
      </c>
      <c r="Q32" s="8" t="s">
        <v>260</v>
      </c>
    </row>
    <row r="33" spans="1:17" x14ac:dyDescent="0.25">
      <c r="A33" s="4">
        <v>32</v>
      </c>
      <c r="B33" s="4" t="s">
        <v>132</v>
      </c>
      <c r="C33" s="7" t="s">
        <v>261</v>
      </c>
      <c r="D33" s="4" t="s">
        <v>262</v>
      </c>
      <c r="E33" s="2">
        <v>783</v>
      </c>
      <c r="F33" s="4">
        <f t="shared" si="4"/>
        <v>469.79999999999995</v>
      </c>
      <c r="G33" s="4">
        <f>SUMIF(BOM!$P:$P,$Q33,BOM!$I:$I)</f>
        <v>12</v>
      </c>
      <c r="H33" s="4">
        <f t="shared" si="1"/>
        <v>5637.5999999999995</v>
      </c>
      <c r="I33" s="4" t="str">
        <f t="shared" si="2"/>
        <v>KZT</v>
      </c>
      <c r="J33" s="4" t="s">
        <v>33</v>
      </c>
      <c r="K33" s="4">
        <f t="shared" si="3"/>
        <v>0.6</v>
      </c>
      <c r="L33" s="4" t="s">
        <v>119</v>
      </c>
      <c r="M33" s="4" t="s">
        <v>263</v>
      </c>
      <c r="N33" s="4" t="s">
        <v>1</v>
      </c>
      <c r="O33" s="4"/>
      <c r="P33" s="4" t="str">
        <f>_xlfn.TEXTJOIN(", ",TRUE(),IF(COUNTIF(BOM!$P$3:$P$25,$Q33)&gt;0,"ЩР.2",""),IF(COUNTIF(BOM!$P$28:$P$42,$Q33)&gt;0,"ЩР.1",""),IF(COUNTIF(BOM!$P$45:$P$64,$Q33)&gt;0,"ЩУ.1",""),IF(COUNTIF(BOM!$P$67:$P$88,$Q33)&gt;0,"ЩУ.2",""),IF(COUNTIF(BOM!$P$91:$P$104,$Q33)&gt;0,"ЩО.1",""))</f>
        <v>ЩО.1</v>
      </c>
      <c r="Q33" s="8" t="s">
        <v>264</v>
      </c>
    </row>
    <row r="34" spans="1:17" x14ac:dyDescent="0.25">
      <c r="A34" s="4">
        <v>33</v>
      </c>
      <c r="B34" s="4" t="s">
        <v>162</v>
      </c>
      <c r="C34" s="7" t="s">
        <v>265</v>
      </c>
      <c r="D34" s="4" t="s">
        <v>266</v>
      </c>
      <c r="E34" s="2">
        <v>22850</v>
      </c>
      <c r="F34" s="4">
        <f t="shared" si="4"/>
        <v>22850</v>
      </c>
      <c r="G34" s="4">
        <f>SUMIF(BOM!$P:$P,$Q34,BOM!$I:$I)</f>
        <v>1</v>
      </c>
      <c r="H34" s="4">
        <f t="shared" si="1"/>
        <v>22850</v>
      </c>
      <c r="I34" s="4" t="str">
        <f t="shared" si="2"/>
        <v>KZT</v>
      </c>
      <c r="J34" s="4" t="s">
        <v>41</v>
      </c>
      <c r="K34" s="4">
        <f t="shared" si="3"/>
        <v>1</v>
      </c>
      <c r="L34" s="4" t="s">
        <v>119</v>
      </c>
      <c r="M34" s="4" t="s">
        <v>267</v>
      </c>
      <c r="N34" s="4" t="s">
        <v>1</v>
      </c>
      <c r="O34" s="4" t="s">
        <v>268</v>
      </c>
      <c r="P34" s="4" t="str">
        <f>_xlfn.TEXTJOIN(", ",TRUE(),IF(COUNTIF(BOM!$P$3:$P$25,$Q34)&gt;0,"ЩР.2",""),IF(COUNTIF(BOM!$P$28:$P$42,$Q34)&gt;0,"ЩР.1",""),IF(COUNTIF(BOM!$P$45:$P$64,$Q34)&gt;0,"ЩУ.1",""),IF(COUNTIF(BOM!$P$67:$P$88,$Q34)&gt;0,"ЩУ.2",""),IF(COUNTIF(BOM!$P$91:$P$104,$Q34)&gt;0,"ЩО.1",""))</f>
        <v>ЩУ.2</v>
      </c>
      <c r="Q34" s="8" t="s">
        <v>269</v>
      </c>
    </row>
    <row r="35" spans="1:17" x14ac:dyDescent="0.25">
      <c r="A35" s="4">
        <v>34</v>
      </c>
      <c r="B35" s="4" t="s">
        <v>270</v>
      </c>
      <c r="C35" s="7" t="s">
        <v>271</v>
      </c>
      <c r="D35" s="4" t="s">
        <v>272</v>
      </c>
      <c r="E35" s="2">
        <v>6065</v>
      </c>
      <c r="F35" s="4">
        <f t="shared" si="4"/>
        <v>3639</v>
      </c>
      <c r="G35" s="4">
        <f>SUMIF(BOM!$P:$P,$Q35,BOM!$I:$I)</f>
        <v>3</v>
      </c>
      <c r="H35" s="4">
        <f t="shared" si="1"/>
        <v>10917</v>
      </c>
      <c r="I35" s="4" t="str">
        <f t="shared" si="2"/>
        <v>KZT</v>
      </c>
      <c r="J35" s="4" t="s">
        <v>33</v>
      </c>
      <c r="K35" s="4">
        <f t="shared" si="3"/>
        <v>0.6</v>
      </c>
      <c r="L35" s="4" t="s">
        <v>119</v>
      </c>
      <c r="M35" s="4" t="s">
        <v>273</v>
      </c>
      <c r="N35" s="4" t="s">
        <v>17</v>
      </c>
      <c r="O35" s="4" t="s">
        <v>274</v>
      </c>
      <c r="P35" s="4" t="str">
        <f>_xlfn.TEXTJOIN(", ",TRUE(),IF(COUNTIF(BOM!$P$3:$P$25,$Q35)&gt;0,"ЩР.2",""),IF(COUNTIF(BOM!$P$28:$P$42,$Q35)&gt;0,"ЩР.1",""),IF(COUNTIF(BOM!$P$45:$P$64,$Q35)&gt;0,"ЩУ.1",""),IF(COUNTIF(BOM!$P$67:$P$88,$Q35)&gt;0,"ЩУ.2",""),IF(COUNTIF(BOM!$P$91:$P$104,$Q35)&gt;0,"ЩО.1",""))</f>
        <v>ЩУ.2</v>
      </c>
      <c r="Q35" s="8" t="s">
        <v>275</v>
      </c>
    </row>
    <row r="36" spans="1:17" x14ac:dyDescent="0.25">
      <c r="A36" s="4">
        <v>35</v>
      </c>
      <c r="B36" s="4" t="s">
        <v>147</v>
      </c>
      <c r="C36" s="7" t="s">
        <v>276</v>
      </c>
      <c r="D36" s="4" t="s">
        <v>277</v>
      </c>
      <c r="E36" s="2">
        <v>12699</v>
      </c>
      <c r="F36" s="4">
        <f t="shared" si="4"/>
        <v>7619.4</v>
      </c>
      <c r="G36" s="4">
        <f>SUMIF(BOM!$P:$P,$Q36,BOM!$I:$I)</f>
        <v>1</v>
      </c>
      <c r="H36" s="4">
        <f t="shared" si="1"/>
        <v>7619.4</v>
      </c>
      <c r="I36" s="4" t="str">
        <f t="shared" si="2"/>
        <v>KZT</v>
      </c>
      <c r="J36" s="4" t="s">
        <v>33</v>
      </c>
      <c r="K36" s="4">
        <f t="shared" si="3"/>
        <v>0.6</v>
      </c>
      <c r="L36" s="4" t="s">
        <v>119</v>
      </c>
      <c r="M36" s="4" t="s">
        <v>278</v>
      </c>
      <c r="N36" s="4" t="s">
        <v>14</v>
      </c>
      <c r="O36" s="4" t="s">
        <v>279</v>
      </c>
      <c r="P36" s="4" t="str">
        <f>_xlfn.TEXTJOIN(", ",TRUE(),IF(COUNTIF(BOM!$P$3:$P$25,$Q36)&gt;0,"ЩР.2",""),IF(COUNTIF(BOM!$P$28:$P$42,$Q36)&gt;0,"ЩР.1",""),IF(COUNTIF(BOM!$P$45:$P$64,$Q36)&gt;0,"ЩУ.1",""),IF(COUNTIF(BOM!$P$67:$P$88,$Q36)&gt;0,"ЩУ.2",""),IF(COUNTIF(BOM!$P$91:$P$104,$Q36)&gt;0,"ЩО.1",""))</f>
        <v>ЩУ.1, ЩУ.2</v>
      </c>
      <c r="Q36" s="8" t="s">
        <v>280</v>
      </c>
    </row>
    <row r="37" spans="1:17" x14ac:dyDescent="0.25">
      <c r="A37" s="4">
        <v>36</v>
      </c>
      <c r="B37" s="4" t="s">
        <v>147</v>
      </c>
      <c r="C37" s="7" t="s">
        <v>281</v>
      </c>
      <c r="D37" s="4" t="s">
        <v>282</v>
      </c>
      <c r="E37" s="2">
        <v>507</v>
      </c>
      <c r="F37" s="4">
        <f t="shared" si="4"/>
        <v>507</v>
      </c>
      <c r="G37" s="4">
        <f>SUMIF(BOM!$P:$P,$Q37,BOM!$I:$I)</f>
        <v>1</v>
      </c>
      <c r="H37" s="4">
        <f t="shared" si="1"/>
        <v>507</v>
      </c>
      <c r="I37" s="4" t="str">
        <f t="shared" si="2"/>
        <v>KZT</v>
      </c>
      <c r="J37" s="4" t="s">
        <v>41</v>
      </c>
      <c r="K37" s="4">
        <f t="shared" si="3"/>
        <v>1</v>
      </c>
      <c r="L37" s="4" t="s">
        <v>119</v>
      </c>
      <c r="M37" s="4" t="s">
        <v>283</v>
      </c>
      <c r="N37" s="4" t="s">
        <v>14</v>
      </c>
      <c r="O37" s="4" t="s">
        <v>284</v>
      </c>
      <c r="P37" s="4" t="str">
        <f>_xlfn.TEXTJOIN(", ",TRUE(),IF(COUNTIF(BOM!$P$3:$P$25,$Q37)&gt;0,"ЩР.2",""),IF(COUNTIF(BOM!$P$28:$P$42,$Q37)&gt;0,"ЩР.1",""),IF(COUNTIF(BOM!$P$45:$P$64,$Q37)&gt;0,"ЩУ.1",""),IF(COUNTIF(BOM!$P$67:$P$88,$Q37)&gt;0,"ЩУ.2",""),IF(COUNTIF(BOM!$P$91:$P$104,$Q37)&gt;0,"ЩО.1",""))</f>
        <v>ЩО.1</v>
      </c>
      <c r="Q37" s="8" t="s">
        <v>285</v>
      </c>
    </row>
    <row r="38" spans="1:17" x14ac:dyDescent="0.25">
      <c r="A38" s="4">
        <v>37</v>
      </c>
      <c r="B38" s="4" t="s">
        <v>187</v>
      </c>
      <c r="C38" s="7" t="s">
        <v>286</v>
      </c>
      <c r="D38" s="4" t="s">
        <v>287</v>
      </c>
      <c r="E38" s="2">
        <v>591</v>
      </c>
      <c r="F38" s="4">
        <f t="shared" si="4"/>
        <v>591</v>
      </c>
      <c r="G38" s="4">
        <f>SUMIF(BOM!$P:$P,$Q38,BOM!$I:$I)</f>
        <v>2</v>
      </c>
      <c r="H38" s="4">
        <f t="shared" si="1"/>
        <v>1182</v>
      </c>
      <c r="I38" s="4" t="str">
        <f t="shared" si="2"/>
        <v>KZT</v>
      </c>
      <c r="J38" s="4" t="s">
        <v>41</v>
      </c>
      <c r="K38" s="4">
        <f t="shared" si="3"/>
        <v>1</v>
      </c>
      <c r="L38" s="4" t="s">
        <v>185</v>
      </c>
      <c r="M38" s="4" t="s">
        <v>288</v>
      </c>
      <c r="N38" s="4" t="s">
        <v>14</v>
      </c>
      <c r="O38" s="4" t="s">
        <v>180</v>
      </c>
      <c r="P38" s="4" t="str">
        <f>_xlfn.TEXTJOIN(", ",TRUE(),IF(COUNTIF(BOM!$P$3:$P$25,$Q38)&gt;0,"ЩР.2",""),IF(COUNTIF(BOM!$P$28:$P$42,$Q38)&gt;0,"ЩР.1",""),IF(COUNTIF(BOM!$P$45:$P$64,$Q38)&gt;0,"ЩУ.1",""),IF(COUNTIF(BOM!$P$67:$P$88,$Q38)&gt;0,"ЩУ.2",""),IF(COUNTIF(BOM!$P$91:$P$104,$Q38)&gt;0,"ЩО.1",""))</f>
        <v>ЩУ.1</v>
      </c>
      <c r="Q38" s="8" t="s">
        <v>289</v>
      </c>
    </row>
    <row r="39" spans="1:17" x14ac:dyDescent="0.25">
      <c r="A39" s="4">
        <v>38</v>
      </c>
      <c r="B39" s="4" t="s">
        <v>187</v>
      </c>
      <c r="C39" s="7" t="s">
        <v>290</v>
      </c>
      <c r="D39" s="4" t="s">
        <v>291</v>
      </c>
      <c r="E39" s="2">
        <v>961</v>
      </c>
      <c r="F39" s="4">
        <f t="shared" si="4"/>
        <v>961</v>
      </c>
      <c r="G39" s="4">
        <f>SUMIF(BOM!$P:$P,$Q39,BOM!$I:$I)</f>
        <v>2</v>
      </c>
      <c r="H39" s="4">
        <f t="shared" si="1"/>
        <v>1922</v>
      </c>
      <c r="I39" s="4" t="str">
        <f t="shared" si="2"/>
        <v>KZT</v>
      </c>
      <c r="J39" s="4" t="s">
        <v>41</v>
      </c>
      <c r="K39" s="4">
        <f t="shared" si="3"/>
        <v>1</v>
      </c>
      <c r="L39" s="4" t="s">
        <v>185</v>
      </c>
      <c r="M39" s="4" t="s">
        <v>292</v>
      </c>
      <c r="N39" s="4" t="s">
        <v>14</v>
      </c>
      <c r="O39" s="4" t="s">
        <v>180</v>
      </c>
      <c r="P39" s="4" t="str">
        <f>_xlfn.TEXTJOIN(", ",TRUE(),IF(COUNTIF(BOM!$P$3:$P$25,$Q39)&gt;0,"ЩР.2",""),IF(COUNTIF(BOM!$P$28:$P$42,$Q39)&gt;0,"ЩР.1",""),IF(COUNTIF(BOM!$P$45:$P$64,$Q39)&gt;0,"ЩУ.1",""),IF(COUNTIF(BOM!$P$67:$P$88,$Q39)&gt;0,"ЩУ.2",""),IF(COUNTIF(BOM!$P$91:$P$104,$Q39)&gt;0,"ЩО.1",""))</f>
        <v>ЩУ.1</v>
      </c>
      <c r="Q39" s="8" t="s">
        <v>293</v>
      </c>
    </row>
    <row r="40" spans="1:17" x14ac:dyDescent="0.25">
      <c r="A40" s="4">
        <v>39</v>
      </c>
      <c r="B40" s="4" t="s">
        <v>182</v>
      </c>
      <c r="C40" s="7" t="s">
        <v>294</v>
      </c>
      <c r="D40" s="4" t="s">
        <v>295</v>
      </c>
      <c r="E40" s="2">
        <v>122</v>
      </c>
      <c r="F40" s="4">
        <f t="shared" si="4"/>
        <v>122</v>
      </c>
      <c r="G40" s="4">
        <f>SUMIF(BOM!$P:$P,$Q40,BOM!$I:$I)</f>
        <v>0</v>
      </c>
      <c r="H40" s="4">
        <f t="shared" si="1"/>
        <v>0</v>
      </c>
      <c r="I40" s="4" t="str">
        <f t="shared" si="2"/>
        <v>KZT</v>
      </c>
      <c r="J40" s="4" t="s">
        <v>41</v>
      </c>
      <c r="K40" s="4">
        <f t="shared" si="3"/>
        <v>1</v>
      </c>
      <c r="L40" s="4" t="s">
        <v>185</v>
      </c>
      <c r="M40" s="4" t="s">
        <v>296</v>
      </c>
      <c r="N40" s="4" t="s">
        <v>14</v>
      </c>
      <c r="O40" s="4" t="s">
        <v>180</v>
      </c>
      <c r="P40" s="4" t="str">
        <f>_xlfn.TEXTJOIN(", ",TRUE(),IF(COUNTIF(BOM!$P$3:$P$25,$Q40)&gt;0,"ЩР.2",""),IF(COUNTIF(BOM!$P$28:$P$42,$Q40)&gt;0,"ЩР.1",""),IF(COUNTIF(BOM!$P$45:$P$64,$Q40)&gt;0,"ЩУ.1",""),IF(COUNTIF(BOM!$P$67:$P$88,$Q40)&gt;0,"ЩУ.2",""),IF(COUNTIF(BOM!$P$91:$P$104,$Q40)&gt;0,"ЩО.1",""))</f>
        <v>ЩУ.1, ЩУ.2, ЩО.1</v>
      </c>
      <c r="Q40" s="8" t="s">
        <v>297</v>
      </c>
    </row>
    <row r="41" spans="1:17" x14ac:dyDescent="0.25">
      <c r="A41" s="4">
        <v>40</v>
      </c>
      <c r="B41" s="4" t="s">
        <v>153</v>
      </c>
      <c r="C41" s="7" t="s">
        <v>476</v>
      </c>
      <c r="D41" s="4" t="s">
        <v>477</v>
      </c>
      <c r="E41" s="2">
        <v>20380</v>
      </c>
      <c r="F41" s="4">
        <f t="shared" si="4"/>
        <v>12228</v>
      </c>
      <c r="G41" s="4">
        <f>SUMIF(BOM!$P:$P,$Q41,BOM!$I:$I)</f>
        <v>1</v>
      </c>
      <c r="H41" s="4">
        <f t="shared" si="1"/>
        <v>12228</v>
      </c>
      <c r="I41" s="4" t="str">
        <f t="shared" si="2"/>
        <v>KZT</v>
      </c>
      <c r="J41" s="4" t="s">
        <v>44</v>
      </c>
      <c r="K41" s="4">
        <f t="shared" si="3"/>
        <v>0.6</v>
      </c>
      <c r="L41" s="4" t="s">
        <v>119</v>
      </c>
      <c r="M41" s="4" t="s">
        <v>298</v>
      </c>
      <c r="N41" s="4" t="s">
        <v>14</v>
      </c>
      <c r="O41" s="4" t="s">
        <v>299</v>
      </c>
      <c r="P41" s="4" t="str">
        <f>_xlfn.TEXTJOIN(", ",TRUE(),IF(COUNTIF(BOM!$P$3:$P$25,$Q41)&gt;0,"ЩР.2",""),IF(COUNTIF(BOM!$P$28:$P$42,$Q41)&gt;0,"ЩР.1",""),IF(COUNTIF(BOM!$P$45:$P$64,$Q41)&gt;0,"ЩУ.1",""),IF(COUNTIF(BOM!$P$67:$P$88,$Q41)&gt;0,"ЩУ.2",""),IF(COUNTIF(BOM!$P$91:$P$104,$Q41)&gt;0,"ЩО.1",""))</f>
        <v>ЩУ.1</v>
      </c>
      <c r="Q41" s="8" t="s">
        <v>300</v>
      </c>
    </row>
    <row r="42" spans="1:17" x14ac:dyDescent="0.25">
      <c r="A42" s="4">
        <v>41</v>
      </c>
      <c r="B42" s="4" t="s">
        <v>153</v>
      </c>
      <c r="C42" s="7" t="s">
        <v>478</v>
      </c>
      <c r="D42" s="4" t="s">
        <v>479</v>
      </c>
      <c r="E42" s="2">
        <v>73730</v>
      </c>
      <c r="F42" s="4">
        <f t="shared" si="4"/>
        <v>44238</v>
      </c>
      <c r="G42" s="4">
        <f>SUMIF(BOM!$P:$P,$Q42,BOM!$I:$I)</f>
        <v>1</v>
      </c>
      <c r="H42" s="4">
        <f t="shared" si="1"/>
        <v>44238</v>
      </c>
      <c r="I42" s="4" t="str">
        <f t="shared" si="2"/>
        <v>KZT</v>
      </c>
      <c r="J42" s="4" t="s">
        <v>44</v>
      </c>
      <c r="K42" s="4">
        <f t="shared" si="3"/>
        <v>0.6</v>
      </c>
      <c r="L42" s="4" t="s">
        <v>119</v>
      </c>
      <c r="M42" s="4" t="s">
        <v>301</v>
      </c>
      <c r="N42" s="4" t="s">
        <v>14</v>
      </c>
      <c r="O42" s="4" t="s">
        <v>302</v>
      </c>
      <c r="P42" s="4" t="str">
        <f>_xlfn.TEXTJOIN(", ",TRUE(),IF(COUNTIF(BOM!$P$3:$P$25,$Q42)&gt;0,"ЩР.2",""),IF(COUNTIF(BOM!$P$28:$P$42,$Q42)&gt;0,"ЩР.1",""),IF(COUNTIF(BOM!$P$45:$P$64,$Q42)&gt;0,"ЩУ.1",""),IF(COUNTIF(BOM!$P$67:$P$88,$Q42)&gt;0,"ЩУ.2",""),IF(COUNTIF(BOM!$P$91:$P$104,$Q42)&gt;0,"ЩО.1",""))</f>
        <v>ЩУ.2</v>
      </c>
      <c r="Q42" s="8" t="s">
        <v>303</v>
      </c>
    </row>
    <row r="43" spans="1:17" x14ac:dyDescent="0.25">
      <c r="A43" s="4">
        <v>42</v>
      </c>
      <c r="B43" s="4" t="s">
        <v>153</v>
      </c>
      <c r="C43" s="7" t="s">
        <v>304</v>
      </c>
      <c r="D43" s="4" t="s">
        <v>305</v>
      </c>
      <c r="E43" s="2">
        <v>10270</v>
      </c>
      <c r="F43" s="4">
        <f t="shared" si="4"/>
        <v>6162</v>
      </c>
      <c r="G43" s="4">
        <f>SUMIF(BOM!$P:$P,$Q43,BOM!$I:$I)</f>
        <v>1</v>
      </c>
      <c r="H43" s="4">
        <f t="shared" si="1"/>
        <v>6162</v>
      </c>
      <c r="I43" s="4" t="str">
        <f t="shared" si="2"/>
        <v>KZT</v>
      </c>
      <c r="J43" s="4" t="s">
        <v>44</v>
      </c>
      <c r="K43" s="4">
        <f t="shared" si="3"/>
        <v>0.6</v>
      </c>
      <c r="L43" s="4" t="s">
        <v>119</v>
      </c>
      <c r="M43" s="4" t="s">
        <v>306</v>
      </c>
      <c r="N43" s="4" t="s">
        <v>14</v>
      </c>
      <c r="O43" s="4" t="s">
        <v>307</v>
      </c>
      <c r="P43" s="4" t="str">
        <f>_xlfn.TEXTJOIN(", ",TRUE(),IF(COUNTIF(BOM!$P$3:$P$25,$Q43)&gt;0,"ЩР.2",""),IF(COUNTIF(BOM!$P$28:$P$42,$Q43)&gt;0,"ЩР.1",""),IF(COUNTIF(BOM!$P$45:$P$64,$Q43)&gt;0,"ЩУ.1",""),IF(COUNTIF(BOM!$P$67:$P$88,$Q43)&gt;0,"ЩУ.2",""),IF(COUNTIF(BOM!$P$91:$P$104,$Q43)&gt;0,"ЩО.1",""))</f>
        <v>ЩО.1</v>
      </c>
      <c r="Q43" s="8" t="s">
        <v>308</v>
      </c>
    </row>
  </sheetData>
  <autoFilter ref="A1:Q4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5"/>
  <sheetViews>
    <sheetView showGridLines="0" tabSelected="1" zoomScaleNormal="100" workbookViewId="0">
      <pane ySplit="1" topLeftCell="A2" activePane="bottomLeft" state="frozen"/>
      <selection pane="bottomLeft" activeCell="I105" sqref="I105"/>
    </sheetView>
  </sheetViews>
  <sheetFormatPr defaultColWidth="8.7109375" defaultRowHeight="15" x14ac:dyDescent="0.25"/>
  <cols>
    <col min="1" max="1" width="5" customWidth="1"/>
    <col min="2" max="2" width="24" customWidth="1"/>
    <col min="3" max="3" width="10" customWidth="1"/>
    <col min="4" max="4" width="24" customWidth="1"/>
    <col min="5" max="5" width="52" customWidth="1"/>
    <col min="6" max="7" width="10" customWidth="1"/>
    <col min="8" max="8" width="12" customWidth="1"/>
    <col min="9" max="10" width="8" customWidth="1"/>
    <col min="11" max="11" width="10" customWidth="1"/>
    <col min="12" max="12" width="13" customWidth="1"/>
    <col min="13" max="13" width="14" customWidth="1"/>
    <col min="14" max="14" width="50" customWidth="1"/>
    <col min="15" max="15" width="30" customWidth="1"/>
    <col min="16" max="16" width="44.5703125" hidden="1" customWidth="1"/>
  </cols>
  <sheetData>
    <row r="1" spans="1:16" x14ac:dyDescent="0.25">
      <c r="A1" s="6" t="s">
        <v>309</v>
      </c>
      <c r="B1" s="6" t="s">
        <v>310</v>
      </c>
      <c r="C1" s="6" t="s">
        <v>311</v>
      </c>
      <c r="D1" s="6" t="s">
        <v>312</v>
      </c>
      <c r="E1" s="6" t="s">
        <v>313</v>
      </c>
      <c r="F1" s="6" t="s">
        <v>314</v>
      </c>
      <c r="G1" s="6" t="s">
        <v>315</v>
      </c>
      <c r="H1" s="6" t="s">
        <v>316</v>
      </c>
      <c r="I1" s="6" t="s">
        <v>317</v>
      </c>
      <c r="J1" s="6" t="s">
        <v>318</v>
      </c>
      <c r="K1" s="6" t="s">
        <v>319</v>
      </c>
      <c r="L1" s="6" t="s">
        <v>320</v>
      </c>
      <c r="M1" s="6" t="s">
        <v>113</v>
      </c>
      <c r="N1" s="6" t="s">
        <v>25</v>
      </c>
      <c r="O1" s="6" t="s">
        <v>112</v>
      </c>
      <c r="P1" s="6" t="s">
        <v>321</v>
      </c>
    </row>
    <row r="2" spans="1:16" x14ac:dyDescent="0.25">
      <c r="A2" s="4">
        <v>1</v>
      </c>
      <c r="B2" s="11" t="s">
        <v>322</v>
      </c>
      <c r="C2" s="12"/>
      <c r="D2" s="12"/>
      <c r="E2" s="12"/>
      <c r="F2" s="12"/>
      <c r="G2" s="12"/>
      <c r="H2" s="12"/>
      <c r="I2" s="12">
        <v>1</v>
      </c>
      <c r="J2" s="12" t="s">
        <v>323</v>
      </c>
      <c r="K2" s="12"/>
      <c r="L2" s="12"/>
      <c r="M2" s="12"/>
      <c r="N2" s="12"/>
      <c r="O2" s="12"/>
      <c r="P2" s="12"/>
    </row>
    <row r="3" spans="1:16" x14ac:dyDescent="0.25">
      <c r="A3" s="13">
        <v>2</v>
      </c>
      <c r="B3" s="13" t="str">
        <f t="shared" ref="B3:B25" ca="1" si="0">E3</f>
        <v>Щит мет. ЩРн-7-2 PR (1320x750x300) IP54 (TS)</v>
      </c>
      <c r="C3" s="13" t="s">
        <v>324</v>
      </c>
      <c r="D3" s="13" t="str">
        <f t="shared" ref="D3:D25" ca="1" si="1">IF($P3="","",INDEX(FIYAT_KOD,MATCH($P3,FIYAT_ART,0)))</f>
        <v>714-15112</v>
      </c>
      <c r="E3" s="13" t="str">
        <f t="shared" ref="E3:E25" ca="1" si="2">IF($P3="","",INDEX(FIYAT_ACK,MATCH($P3,FIYAT_ART,0)))</f>
        <v>Щит мет. ЩРн-7-2 PR (1320x750x300) IP54 (TS)</v>
      </c>
      <c r="F3" s="13">
        <f t="shared" ref="F3:F25" ca="1" si="3">IF($P3="","",INDEX(FIYAT_LISTE,MATCH($P3,FIYAT_ART,0)))</f>
        <v>73730</v>
      </c>
      <c r="G3" s="13">
        <f t="shared" ref="G3:G25" ca="1" si="4">IF($P3="","",INDEX(FIYAT_NET,MATCH($P3,FIYAT_ART,0)))</f>
        <v>44238</v>
      </c>
      <c r="H3" s="13">
        <f t="shared" ref="H3:H25" ca="1" si="5">IF(OR($G3="",$I3=""),"",$G3*$I3)</f>
        <v>44238</v>
      </c>
      <c r="I3" s="13">
        <v>1</v>
      </c>
      <c r="J3" s="13" t="s">
        <v>119</v>
      </c>
      <c r="K3" s="13" t="str">
        <f t="shared" ref="K3:K25" ca="1" si="6">IF($P3="","",INDEX(FIYAT_MARKA,MATCH($P3,FIYAT_ART,0)))</f>
        <v>KAZTEK</v>
      </c>
      <c r="L3" s="13">
        <f t="shared" ref="L3:L25" ca="1" si="7">IF($H3="","",$H3)</f>
        <v>44238</v>
      </c>
      <c r="M3" s="4" t="s">
        <v>17</v>
      </c>
      <c r="N3" s="4" t="s">
        <v>325</v>
      </c>
      <c r="O3" s="4"/>
      <c r="P3" s="14" t="s">
        <v>156</v>
      </c>
    </row>
    <row r="4" spans="1:16" x14ac:dyDescent="0.25">
      <c r="A4" s="4">
        <v>3</v>
      </c>
      <c r="B4" s="2" t="str">
        <f t="shared" ca="1" si="0"/>
        <v>Авт. выкл. NXM-125S/3Р 125A 25кА (R)</v>
      </c>
      <c r="C4" s="4" t="s">
        <v>116</v>
      </c>
      <c r="D4" s="4" t="str">
        <f t="shared" ca="1" si="1"/>
        <v>131363</v>
      </c>
      <c r="E4" s="4" t="str">
        <f t="shared" ca="1" si="2"/>
        <v>Авт. выкл. NXM-125S/3Р 125A 25кА (R)</v>
      </c>
      <c r="F4" s="4">
        <f t="shared" ca="1" si="3"/>
        <v>19760</v>
      </c>
      <c r="G4" s="4">
        <f t="shared" ca="1" si="4"/>
        <v>11856</v>
      </c>
      <c r="H4" s="4">
        <f t="shared" ca="1" si="5"/>
        <v>11856</v>
      </c>
      <c r="I4" s="4">
        <v>1</v>
      </c>
      <c r="J4" s="4" t="s">
        <v>119</v>
      </c>
      <c r="K4" s="4" t="str">
        <f t="shared" ca="1" si="6"/>
        <v>CHINT</v>
      </c>
      <c r="L4" s="4">
        <f t="shared" ca="1" si="7"/>
        <v>11856</v>
      </c>
      <c r="M4" s="4" t="s">
        <v>1</v>
      </c>
      <c r="N4" s="4" t="s">
        <v>326</v>
      </c>
      <c r="O4" s="4"/>
      <c r="P4" s="14" t="s">
        <v>122</v>
      </c>
    </row>
    <row r="5" spans="1:16" x14ac:dyDescent="0.25">
      <c r="A5" s="13">
        <v>4</v>
      </c>
      <c r="B5" s="13" t="str">
        <f t="shared" ca="1" si="0"/>
        <v>Авт. выкл. NXM-125S/3Р 80A 25кА (R)</v>
      </c>
      <c r="C5" s="13" t="s">
        <v>116</v>
      </c>
      <c r="D5" s="13" t="str">
        <f t="shared" ca="1" si="1"/>
        <v>131361</v>
      </c>
      <c r="E5" s="13" t="str">
        <f t="shared" ca="1" si="2"/>
        <v>Авт. выкл. NXM-125S/3Р 80A 25кА (R)</v>
      </c>
      <c r="F5" s="13">
        <f t="shared" ca="1" si="3"/>
        <v>19418</v>
      </c>
      <c r="G5" s="13">
        <f t="shared" ca="1" si="4"/>
        <v>11650.8</v>
      </c>
      <c r="H5" s="13">
        <f t="shared" ca="1" si="5"/>
        <v>11650.8</v>
      </c>
      <c r="I5" s="13">
        <v>1</v>
      </c>
      <c r="J5" s="13" t="s">
        <v>119</v>
      </c>
      <c r="K5" s="13" t="str">
        <f t="shared" ca="1" si="6"/>
        <v>CHINT</v>
      </c>
      <c r="L5" s="13">
        <f t="shared" ca="1" si="7"/>
        <v>11650.8</v>
      </c>
      <c r="M5" s="4" t="s">
        <v>17</v>
      </c>
      <c r="N5" s="4" t="s">
        <v>327</v>
      </c>
      <c r="O5" s="4"/>
      <c r="P5" s="14" t="s">
        <v>126</v>
      </c>
    </row>
    <row r="6" spans="1:16" x14ac:dyDescent="0.25">
      <c r="A6" s="4">
        <v>5</v>
      </c>
      <c r="B6" s="2" t="str">
        <f t="shared" ca="1" si="0"/>
        <v>Счетчик LM СА4-Э720 Дала 3ф (10-100А) 1 тариф. Т1 (dogrudan, dahili tarifikator)</v>
      </c>
      <c r="C6" s="4" t="s">
        <v>328</v>
      </c>
      <c r="D6" s="4" t="str">
        <f t="shared" ca="1" si="1"/>
        <v>200200048</v>
      </c>
      <c r="E6" s="4" t="str">
        <f t="shared" ca="1" si="2"/>
        <v>Счетчик LM СА4-Э720 Дала 3ф (10-100А) 1 тариф. Т1 (dogrudan, dahili tarifikator)</v>
      </c>
      <c r="F6" s="4">
        <f t="shared" ca="1" si="3"/>
        <v>39360</v>
      </c>
      <c r="G6" s="4">
        <f t="shared" ca="1" si="4"/>
        <v>39360</v>
      </c>
      <c r="H6" s="4">
        <f t="shared" ca="1" si="5"/>
        <v>39360</v>
      </c>
      <c r="I6" s="4">
        <v>1</v>
      </c>
      <c r="J6" s="4" t="s">
        <v>119</v>
      </c>
      <c r="K6" s="4" t="str">
        <f t="shared" ca="1" si="6"/>
        <v>EKT</v>
      </c>
      <c r="L6" s="4">
        <f t="shared" ca="1" si="7"/>
        <v>39360</v>
      </c>
      <c r="M6" s="13" t="s">
        <v>7</v>
      </c>
      <c r="N6" s="4" t="s">
        <v>329</v>
      </c>
      <c r="O6" s="4"/>
      <c r="P6" s="14" t="s">
        <v>167</v>
      </c>
    </row>
    <row r="7" spans="1:16" x14ac:dyDescent="0.25">
      <c r="A7" s="4">
        <v>6</v>
      </c>
      <c r="B7" s="2" t="str">
        <f t="shared" ca="1" si="0"/>
        <v>Авт. выкл. NXB-63S 3P 40А 4.5kA х-ка C</v>
      </c>
      <c r="C7" s="4" t="s">
        <v>132</v>
      </c>
      <c r="D7" s="4" t="str">
        <f t="shared" ca="1" si="1"/>
        <v>296831</v>
      </c>
      <c r="E7" s="4" t="str">
        <f t="shared" ca="1" si="2"/>
        <v>Авт. выкл. NXB-63S 3P 40А 4.5kA х-ка C</v>
      </c>
      <c r="F7" s="4">
        <f t="shared" ca="1" si="3"/>
        <v>2807</v>
      </c>
      <c r="G7" s="4">
        <f t="shared" ca="1" si="4"/>
        <v>1684.2</v>
      </c>
      <c r="H7" s="4">
        <f t="shared" ca="1" si="5"/>
        <v>3368.4</v>
      </c>
      <c r="I7" s="4">
        <v>2</v>
      </c>
      <c r="J7" s="4" t="s">
        <v>119</v>
      </c>
      <c r="K7" s="4" t="str">
        <f t="shared" ca="1" si="6"/>
        <v>CHINT</v>
      </c>
      <c r="L7" s="4">
        <f t="shared" ca="1" si="7"/>
        <v>3368.4</v>
      </c>
      <c r="M7" s="4" t="s">
        <v>1</v>
      </c>
      <c r="N7" s="4" t="s">
        <v>330</v>
      </c>
      <c r="O7" s="4"/>
      <c r="P7" s="14" t="s">
        <v>136</v>
      </c>
    </row>
    <row r="8" spans="1:16" x14ac:dyDescent="0.25">
      <c r="A8" s="4">
        <v>7</v>
      </c>
      <c r="B8" s="2" t="str">
        <f t="shared" ca="1" si="0"/>
        <v>УЗО NL1-63 6kA 4P 63A 30mA тип AC</v>
      </c>
      <c r="C8" s="4" t="s">
        <v>137</v>
      </c>
      <c r="D8" s="4" t="str">
        <f t="shared" ca="1" si="1"/>
        <v>200325</v>
      </c>
      <c r="E8" s="4" t="str">
        <f t="shared" ca="1" si="2"/>
        <v>УЗО NL1-63 6kA 4P 63A 30mA тип AC</v>
      </c>
      <c r="F8" s="4">
        <f t="shared" ca="1" si="3"/>
        <v>19129</v>
      </c>
      <c r="G8" s="4">
        <f t="shared" ca="1" si="4"/>
        <v>11477.4</v>
      </c>
      <c r="H8" s="4">
        <f t="shared" ca="1" si="5"/>
        <v>22954.799999999999</v>
      </c>
      <c r="I8" s="4">
        <v>2</v>
      </c>
      <c r="J8" s="4" t="s">
        <v>119</v>
      </c>
      <c r="K8" s="4" t="str">
        <f t="shared" ca="1" si="6"/>
        <v>CHINT</v>
      </c>
      <c r="L8" s="4">
        <f t="shared" ca="1" si="7"/>
        <v>22954.799999999999</v>
      </c>
      <c r="M8" s="4" t="s">
        <v>1</v>
      </c>
      <c r="N8" s="4" t="s">
        <v>331</v>
      </c>
      <c r="O8" s="4"/>
      <c r="P8" s="14" t="s">
        <v>141</v>
      </c>
    </row>
    <row r="9" spans="1:16" x14ac:dyDescent="0.25">
      <c r="A9" s="4">
        <v>8</v>
      </c>
      <c r="B9" s="2" t="str">
        <f t="shared" ca="1" si="0"/>
        <v>Диф. авт. выкл. NXBLE-63Y 1P+N 25А 30mA электронный тип AC, х-ка С, 4.5kA</v>
      </c>
      <c r="C9" s="4" t="s">
        <v>127</v>
      </c>
      <c r="D9" s="4" t="str">
        <f t="shared" ca="1" si="1"/>
        <v>105544</v>
      </c>
      <c r="E9" s="4" t="str">
        <f t="shared" ca="1" si="2"/>
        <v>Диф. авт. выкл. NXBLE-63Y 1P+N 25А 30mA электронный тип AC, х-ка С, 4.5kA</v>
      </c>
      <c r="F9" s="4">
        <f t="shared" ca="1" si="3"/>
        <v>4939</v>
      </c>
      <c r="G9" s="4">
        <f t="shared" ca="1" si="4"/>
        <v>2963.4</v>
      </c>
      <c r="H9" s="4">
        <f t="shared" ca="1" si="5"/>
        <v>50377.8</v>
      </c>
      <c r="I9" s="4">
        <v>17</v>
      </c>
      <c r="J9" s="4" t="s">
        <v>119</v>
      </c>
      <c r="K9" s="4" t="str">
        <f t="shared" ca="1" si="6"/>
        <v>CHINT</v>
      </c>
      <c r="L9" s="4">
        <f t="shared" ca="1" si="7"/>
        <v>50377.8</v>
      </c>
      <c r="M9" s="4" t="s">
        <v>1</v>
      </c>
      <c r="N9" s="4" t="s">
        <v>332</v>
      </c>
      <c r="O9" s="4"/>
      <c r="P9" s="14" t="s">
        <v>131</v>
      </c>
    </row>
    <row r="10" spans="1:16" x14ac:dyDescent="0.25">
      <c r="A10" s="4">
        <v>9</v>
      </c>
      <c r="B10" s="2" t="str">
        <f t="shared" ca="1" si="0"/>
        <v>Авт. выкл. NXB-63 1P 6A 6кА х-ка C</v>
      </c>
      <c r="C10" s="4" t="s">
        <v>132</v>
      </c>
      <c r="D10" s="4" t="str">
        <f t="shared" ca="1" si="1"/>
        <v>814012</v>
      </c>
      <c r="E10" s="4" t="str">
        <f t="shared" ca="1" si="2"/>
        <v>Авт. выкл. NXB-63 1P 6A 6кА х-ка C</v>
      </c>
      <c r="F10" s="4">
        <f t="shared" ca="1" si="3"/>
        <v>1436</v>
      </c>
      <c r="G10" s="4">
        <f t="shared" ca="1" si="4"/>
        <v>861.6</v>
      </c>
      <c r="H10" s="4">
        <f t="shared" ca="1" si="5"/>
        <v>0</v>
      </c>
      <c r="I10" s="4">
        <v>0</v>
      </c>
      <c r="J10" s="4" t="s">
        <v>119</v>
      </c>
      <c r="K10" s="4" t="str">
        <f t="shared" ca="1" si="6"/>
        <v>CHINT</v>
      </c>
      <c r="L10" s="4">
        <f t="shared" ca="1" si="7"/>
        <v>0</v>
      </c>
      <c r="M10" s="2" t="s">
        <v>14</v>
      </c>
      <c r="N10" s="4" t="s">
        <v>333</v>
      </c>
      <c r="O10" s="4"/>
      <c r="P10" s="14" t="s">
        <v>146</v>
      </c>
    </row>
    <row r="11" spans="1:16" x14ac:dyDescent="0.25">
      <c r="A11" s="4">
        <v>10</v>
      </c>
      <c r="B11" s="2" t="str">
        <f t="shared" ca="1" si="0"/>
        <v>Шина соединительная типа PIN 1P, 100А, L=1000мм</v>
      </c>
      <c r="C11" s="4" t="s">
        <v>334</v>
      </c>
      <c r="D11" s="4" t="str">
        <f t="shared" ca="1" si="1"/>
        <v>811004</v>
      </c>
      <c r="E11" s="4" t="str">
        <f t="shared" ca="1" si="2"/>
        <v>Шина соединительная типа PIN 1P, 100А, L=1000мм</v>
      </c>
      <c r="F11" s="4">
        <f t="shared" ca="1" si="3"/>
        <v>5972</v>
      </c>
      <c r="G11" s="4">
        <f t="shared" ca="1" si="4"/>
        <v>3583.2</v>
      </c>
      <c r="H11" s="4">
        <f t="shared" ca="1" si="5"/>
        <v>7166.4</v>
      </c>
      <c r="I11" s="4">
        <v>2</v>
      </c>
      <c r="J11" s="4" t="s">
        <v>119</v>
      </c>
      <c r="K11" s="4" t="str">
        <f t="shared" ca="1" si="6"/>
        <v>CHINT</v>
      </c>
      <c r="L11" s="4">
        <f t="shared" ca="1" si="7"/>
        <v>7166.4</v>
      </c>
      <c r="M11" s="2" t="s">
        <v>14</v>
      </c>
      <c r="N11" s="4" t="s">
        <v>335</v>
      </c>
      <c r="O11" s="4"/>
      <c r="P11" s="14" t="s">
        <v>152</v>
      </c>
    </row>
    <row r="12" spans="1:16" x14ac:dyDescent="0.25">
      <c r="A12" s="4">
        <v>11</v>
      </c>
      <c r="B12" s="2" t="str">
        <f t="shared" ca="1" si="0"/>
        <v>Шина N ноль DIN-изол ШНИ-6х9-24-Д-С</v>
      </c>
      <c r="C12" s="4" t="s">
        <v>334</v>
      </c>
      <c r="D12" s="4" t="str">
        <f t="shared" ca="1" si="1"/>
        <v>YNN10-69-24D-K07</v>
      </c>
      <c r="E12" s="4" t="str">
        <f t="shared" ca="1" si="2"/>
        <v>Шина N ноль DIN-изол ШНИ-6х9-24-Д-С</v>
      </c>
      <c r="F12" s="4">
        <f t="shared" ca="1" si="3"/>
        <v>900</v>
      </c>
      <c r="G12" s="4">
        <f t="shared" ca="1" si="4"/>
        <v>900</v>
      </c>
      <c r="H12" s="4">
        <f t="shared" ca="1" si="5"/>
        <v>900</v>
      </c>
      <c r="I12" s="4">
        <v>1</v>
      </c>
      <c r="J12" s="4" t="s">
        <v>119</v>
      </c>
      <c r="K12" s="4" t="str">
        <f t="shared" ca="1" si="6"/>
        <v>EKT</v>
      </c>
      <c r="L12" s="4">
        <f t="shared" ca="1" si="7"/>
        <v>900</v>
      </c>
      <c r="M12" s="2" t="s">
        <v>14</v>
      </c>
      <c r="N12" s="4" t="s">
        <v>336</v>
      </c>
      <c r="O12" s="4"/>
      <c r="P12" s="14" t="s">
        <v>172</v>
      </c>
    </row>
    <row r="13" spans="1:16" x14ac:dyDescent="0.25">
      <c r="A13" s="4">
        <v>12</v>
      </c>
      <c r="B13" s="2" t="str">
        <f t="shared" ca="1" si="0"/>
        <v>Шина PE земля ШНИ 6х9 12-К-З</v>
      </c>
      <c r="C13" s="4" t="s">
        <v>334</v>
      </c>
      <c r="D13" s="4" t="str">
        <f t="shared" ca="1" si="1"/>
        <v>130200401</v>
      </c>
      <c r="E13" s="4" t="str">
        <f t="shared" ca="1" si="2"/>
        <v>Шина PE земля ШНИ 6х9 12-К-З</v>
      </c>
      <c r="F13" s="4">
        <f t="shared" ca="1" si="3"/>
        <v>514</v>
      </c>
      <c r="G13" s="4">
        <f t="shared" ca="1" si="4"/>
        <v>514</v>
      </c>
      <c r="H13" s="4">
        <f t="shared" ca="1" si="5"/>
        <v>514</v>
      </c>
      <c r="I13" s="4">
        <v>1</v>
      </c>
      <c r="J13" s="4" t="s">
        <v>119</v>
      </c>
      <c r="K13" s="4" t="str">
        <f t="shared" ca="1" si="6"/>
        <v>EKT</v>
      </c>
      <c r="L13" s="4">
        <f t="shared" ca="1" si="7"/>
        <v>514</v>
      </c>
      <c r="M13" s="2" t="s">
        <v>14</v>
      </c>
      <c r="N13" s="4" t="s">
        <v>337</v>
      </c>
      <c r="O13" s="4"/>
      <c r="P13" s="14" t="s">
        <v>176</v>
      </c>
    </row>
    <row r="14" spans="1:16" x14ac:dyDescent="0.25">
      <c r="A14" s="4">
        <v>13</v>
      </c>
      <c r="B14" s="2" t="str">
        <f t="shared" ca="1" si="0"/>
        <v>DIN-рейка (100см) оцинкованная</v>
      </c>
      <c r="C14" s="4" t="s">
        <v>177</v>
      </c>
      <c r="D14" s="4" t="str">
        <f t="shared" ca="1" si="1"/>
        <v>YDN10-0100</v>
      </c>
      <c r="E14" s="4" t="str">
        <f t="shared" ca="1" si="2"/>
        <v>DIN-рейка (100см) оцинкованная</v>
      </c>
      <c r="F14" s="4">
        <f t="shared" ca="1" si="3"/>
        <v>686</v>
      </c>
      <c r="G14" s="4">
        <f t="shared" ca="1" si="4"/>
        <v>686</v>
      </c>
      <c r="H14" s="4">
        <f t="shared" ca="1" si="5"/>
        <v>0</v>
      </c>
      <c r="I14" s="4">
        <v>0</v>
      </c>
      <c r="J14" s="4" t="s">
        <v>119</v>
      </c>
      <c r="K14" s="4" t="str">
        <f t="shared" ca="1" si="6"/>
        <v>EKT</v>
      </c>
      <c r="L14" s="4">
        <f t="shared" ca="1" si="7"/>
        <v>0</v>
      </c>
      <c r="M14" s="2" t="s">
        <v>14</v>
      </c>
      <c r="N14" s="4" t="s">
        <v>338</v>
      </c>
      <c r="O14" s="4"/>
      <c r="P14" s="14" t="s">
        <v>181</v>
      </c>
    </row>
    <row r="15" spans="1:16" x14ac:dyDescent="0.25">
      <c r="A15" s="4">
        <v>14</v>
      </c>
      <c r="B15" s="2" t="str">
        <f t="shared" ca="1" si="0"/>
        <v>Кабель-канал 40х40 белый</v>
      </c>
      <c r="C15" s="4" t="s">
        <v>339</v>
      </c>
      <c r="D15" s="4" t="str">
        <f t="shared" ca="1" si="1"/>
        <v>280100252</v>
      </c>
      <c r="E15" s="4" t="str">
        <f t="shared" ca="1" si="2"/>
        <v>Кабель-канал 40х40 белый</v>
      </c>
      <c r="F15" s="4">
        <f t="shared" ca="1" si="3"/>
        <v>238</v>
      </c>
      <c r="G15" s="4">
        <f t="shared" ca="1" si="4"/>
        <v>238</v>
      </c>
      <c r="H15" s="4">
        <f t="shared" ca="1" si="5"/>
        <v>714</v>
      </c>
      <c r="I15" s="4">
        <v>3</v>
      </c>
      <c r="J15" s="4" t="s">
        <v>185</v>
      </c>
      <c r="K15" s="4" t="str">
        <f t="shared" ca="1" si="6"/>
        <v>EKT</v>
      </c>
      <c r="L15" s="4">
        <f t="shared" ca="1" si="7"/>
        <v>714</v>
      </c>
      <c r="M15" s="2" t="s">
        <v>14</v>
      </c>
      <c r="N15" s="4" t="s">
        <v>340</v>
      </c>
      <c r="O15" s="4"/>
      <c r="P15" s="14" t="s">
        <v>186</v>
      </c>
    </row>
    <row r="16" spans="1:16" x14ac:dyDescent="0.25">
      <c r="A16" s="4">
        <v>15</v>
      </c>
      <c r="B16" s="2" t="str">
        <f t="shared" ca="1" si="0"/>
        <v>ПВ3-4 белый ГОСТ (pano ici kablo)</v>
      </c>
      <c r="C16" s="4" t="s">
        <v>341</v>
      </c>
      <c r="D16" s="4" t="str">
        <f t="shared" ca="1" si="1"/>
        <v>100300030</v>
      </c>
      <c r="E16" s="4" t="str">
        <f t="shared" ca="1" si="2"/>
        <v>ПВ3-4 белый ГОСТ (pano ici kablo)</v>
      </c>
      <c r="F16" s="4">
        <f t="shared" ca="1" si="3"/>
        <v>242</v>
      </c>
      <c r="G16" s="4">
        <f t="shared" ca="1" si="4"/>
        <v>242</v>
      </c>
      <c r="H16" s="4">
        <f t="shared" ca="1" si="5"/>
        <v>8954</v>
      </c>
      <c r="I16" s="4">
        <v>37</v>
      </c>
      <c r="J16" s="4" t="s">
        <v>185</v>
      </c>
      <c r="K16" s="4" t="str">
        <f t="shared" ca="1" si="6"/>
        <v>EKT</v>
      </c>
      <c r="L16" s="4">
        <f t="shared" ca="1" si="7"/>
        <v>8954</v>
      </c>
      <c r="M16" s="2" t="s">
        <v>14</v>
      </c>
      <c r="N16" s="4" t="s">
        <v>342</v>
      </c>
      <c r="O16" s="4"/>
      <c r="P16" s="14" t="s">
        <v>193</v>
      </c>
    </row>
    <row r="17" spans="1:16" x14ac:dyDescent="0.25">
      <c r="A17" s="4">
        <v>16</v>
      </c>
      <c r="B17" s="2" t="str">
        <f t="shared" ca="1" si="0"/>
        <v>ПВ3-6 белый ГОСТ (pano ici kablo)</v>
      </c>
      <c r="C17" s="4" t="s">
        <v>341</v>
      </c>
      <c r="D17" s="4" t="str">
        <f t="shared" ca="1" si="1"/>
        <v>100300031</v>
      </c>
      <c r="E17" s="4" t="str">
        <f t="shared" ca="1" si="2"/>
        <v>ПВ3-6 белый ГОСТ (pano ici kablo)</v>
      </c>
      <c r="F17" s="4">
        <f t="shared" ca="1" si="3"/>
        <v>361</v>
      </c>
      <c r="G17" s="4">
        <f t="shared" ca="1" si="4"/>
        <v>361</v>
      </c>
      <c r="H17" s="4">
        <f t="shared" ca="1" si="5"/>
        <v>2527</v>
      </c>
      <c r="I17" s="4">
        <v>7</v>
      </c>
      <c r="J17" s="4" t="s">
        <v>185</v>
      </c>
      <c r="K17" s="4" t="str">
        <f t="shared" ca="1" si="6"/>
        <v>EKT</v>
      </c>
      <c r="L17" s="4">
        <f t="shared" ca="1" si="7"/>
        <v>2527</v>
      </c>
      <c r="M17" s="2" t="s">
        <v>14</v>
      </c>
      <c r="N17" s="4" t="s">
        <v>343</v>
      </c>
      <c r="O17" s="4"/>
      <c r="P17" s="14" t="s">
        <v>196</v>
      </c>
    </row>
    <row r="18" spans="1:16" x14ac:dyDescent="0.25">
      <c r="A18" s="4">
        <v>17</v>
      </c>
      <c r="B18" s="2" t="str">
        <f t="shared" ca="1" si="0"/>
        <v>ПВ3-2,5 белый ГОСТ (pano ici kablo)</v>
      </c>
      <c r="C18" s="4" t="s">
        <v>341</v>
      </c>
      <c r="D18" s="4" t="str">
        <f t="shared" ca="1" si="1"/>
        <v>100300025</v>
      </c>
      <c r="E18" s="4" t="str">
        <f t="shared" ca="1" si="2"/>
        <v>ПВ3-2,5 белый ГОСТ (pano ici kablo)</v>
      </c>
      <c r="F18" s="4">
        <f t="shared" ca="1" si="3"/>
        <v>144</v>
      </c>
      <c r="G18" s="4">
        <f t="shared" ca="1" si="4"/>
        <v>144</v>
      </c>
      <c r="H18" s="4">
        <f t="shared" ca="1" si="5"/>
        <v>864</v>
      </c>
      <c r="I18" s="4">
        <v>6</v>
      </c>
      <c r="J18" s="4" t="s">
        <v>185</v>
      </c>
      <c r="K18" s="4" t="str">
        <f t="shared" ca="1" si="6"/>
        <v>EKT</v>
      </c>
      <c r="L18" s="4">
        <f t="shared" ca="1" si="7"/>
        <v>864</v>
      </c>
      <c r="M18" s="2" t="s">
        <v>14</v>
      </c>
      <c r="N18" s="4" t="s">
        <v>344</v>
      </c>
      <c r="O18" s="4"/>
      <c r="P18" s="14" t="s">
        <v>190</v>
      </c>
    </row>
    <row r="19" spans="1:16" x14ac:dyDescent="0.25">
      <c r="A19" s="4">
        <v>18</v>
      </c>
      <c r="B19" s="2" t="str">
        <f t="shared" ca="1" si="0"/>
        <v>ПВ3-25 белый ГОСТ (pano ici kablo)</v>
      </c>
      <c r="C19" s="4" t="s">
        <v>341</v>
      </c>
      <c r="D19" s="4" t="str">
        <f t="shared" ca="1" si="1"/>
        <v>100300016</v>
      </c>
      <c r="E19" s="4" t="str">
        <f t="shared" ca="1" si="2"/>
        <v>ПВ3-25 белый ГОСТ (pano ici kablo)</v>
      </c>
      <c r="F19" s="4">
        <f t="shared" ca="1" si="3"/>
        <v>1560</v>
      </c>
      <c r="G19" s="4">
        <f t="shared" ca="1" si="4"/>
        <v>1560</v>
      </c>
      <c r="H19" s="4">
        <f t="shared" ca="1" si="5"/>
        <v>4680</v>
      </c>
      <c r="I19" s="4">
        <v>3</v>
      </c>
      <c r="J19" s="4" t="s">
        <v>185</v>
      </c>
      <c r="K19" s="4" t="str">
        <f t="shared" ca="1" si="6"/>
        <v>EKT</v>
      </c>
      <c r="L19" s="4">
        <f t="shared" ca="1" si="7"/>
        <v>4680</v>
      </c>
      <c r="M19" s="2" t="s">
        <v>14</v>
      </c>
      <c r="N19" s="4" t="s">
        <v>345</v>
      </c>
      <c r="O19" s="4"/>
      <c r="P19" s="14" t="s">
        <v>199</v>
      </c>
    </row>
    <row r="20" spans="1:16" x14ac:dyDescent="0.25">
      <c r="A20" s="4">
        <v>19</v>
      </c>
      <c r="B20" s="2" t="str">
        <f t="shared" ca="1" si="0"/>
        <v>ПВ3-35 белый ГОСТ (pano ici kablo)</v>
      </c>
      <c r="C20" s="4" t="s">
        <v>341</v>
      </c>
      <c r="D20" s="4" t="str">
        <f t="shared" ca="1" si="1"/>
        <v>100300021</v>
      </c>
      <c r="E20" s="4" t="str">
        <f t="shared" ca="1" si="2"/>
        <v>ПВ3-35 белый ГОСТ (pano ici kablo)</v>
      </c>
      <c r="F20" s="4">
        <f t="shared" ca="1" si="3"/>
        <v>2304</v>
      </c>
      <c r="G20" s="4">
        <f t="shared" ca="1" si="4"/>
        <v>2304</v>
      </c>
      <c r="H20" s="4">
        <f t="shared" ca="1" si="5"/>
        <v>13824</v>
      </c>
      <c r="I20" s="4">
        <v>6</v>
      </c>
      <c r="J20" s="4" t="s">
        <v>185</v>
      </c>
      <c r="K20" s="4" t="str">
        <f t="shared" ca="1" si="6"/>
        <v>EKT</v>
      </c>
      <c r="L20" s="4">
        <f t="shared" ca="1" si="7"/>
        <v>13824</v>
      </c>
      <c r="M20" s="2" t="s">
        <v>14</v>
      </c>
      <c r="N20" s="4" t="s">
        <v>346</v>
      </c>
      <c r="O20" s="4"/>
      <c r="P20" s="14" t="s">
        <v>202</v>
      </c>
    </row>
    <row r="21" spans="1:16" x14ac:dyDescent="0.25">
      <c r="A21" s="4">
        <v>20</v>
      </c>
      <c r="B21" s="2" t="str">
        <f t="shared" ca="1" si="0"/>
        <v>222-412 Клемма проходная (0,08-4мм 32А)</v>
      </c>
      <c r="C21" s="4" t="s">
        <v>347</v>
      </c>
      <c r="D21" s="4" t="str">
        <f t="shared" ca="1" si="1"/>
        <v>030300442</v>
      </c>
      <c r="E21" s="4" t="str">
        <f t="shared" ca="1" si="2"/>
        <v>222-412 Клемма проходная (0,08-4мм 32А)</v>
      </c>
      <c r="F21" s="4">
        <f t="shared" ca="1" si="3"/>
        <v>210</v>
      </c>
      <c r="G21" s="4">
        <f t="shared" ca="1" si="4"/>
        <v>210</v>
      </c>
      <c r="H21" s="4">
        <f t="shared" ca="1" si="5"/>
        <v>6300</v>
      </c>
      <c r="I21" s="4">
        <v>30</v>
      </c>
      <c r="J21" s="4" t="s">
        <v>119</v>
      </c>
      <c r="K21" s="4" t="str">
        <f t="shared" ca="1" si="6"/>
        <v>EKT</v>
      </c>
      <c r="L21" s="4">
        <f t="shared" ca="1" si="7"/>
        <v>6300</v>
      </c>
      <c r="M21" s="2" t="s">
        <v>14</v>
      </c>
      <c r="N21" s="4" t="s">
        <v>348</v>
      </c>
      <c r="O21" s="4"/>
      <c r="P21" s="14" t="s">
        <v>208</v>
      </c>
    </row>
    <row r="22" spans="1:16" x14ac:dyDescent="0.25">
      <c r="A22" s="4">
        <v>21</v>
      </c>
      <c r="B22" s="2" t="str">
        <f t="shared" ca="1" si="0"/>
        <v>Наконечник медный лужёный ТМЛ 35-10-9</v>
      </c>
      <c r="C22" s="4" t="s">
        <v>349</v>
      </c>
      <c r="D22" s="4" t="str">
        <f t="shared" ca="1" si="1"/>
        <v>260100132</v>
      </c>
      <c r="E22" s="4" t="str">
        <f t="shared" ca="1" si="2"/>
        <v>Наконечник медный лужёный ТМЛ 35-10-9</v>
      </c>
      <c r="F22" s="4">
        <f t="shared" ca="1" si="3"/>
        <v>387</v>
      </c>
      <c r="G22" s="4">
        <f t="shared" ca="1" si="4"/>
        <v>387</v>
      </c>
      <c r="H22" s="4">
        <f t="shared" ca="1" si="5"/>
        <v>2322</v>
      </c>
      <c r="I22" s="4">
        <v>6</v>
      </c>
      <c r="J22" s="4" t="s">
        <v>119</v>
      </c>
      <c r="K22" s="4" t="str">
        <f t="shared" ca="1" si="6"/>
        <v>EKT</v>
      </c>
      <c r="L22" s="4">
        <f t="shared" ca="1" si="7"/>
        <v>2322</v>
      </c>
      <c r="M22" s="2" t="s">
        <v>14</v>
      </c>
      <c r="N22" s="4" t="s">
        <v>350</v>
      </c>
      <c r="O22" s="4"/>
      <c r="P22" s="14" t="s">
        <v>214</v>
      </c>
    </row>
    <row r="23" spans="1:16" x14ac:dyDescent="0.25">
      <c r="A23" s="4">
        <v>22</v>
      </c>
      <c r="B23" s="2" t="str">
        <f t="shared" ca="1" si="0"/>
        <v>Наконечник-гильза Е4009 4мм2 izole (100 ad/paket)</v>
      </c>
      <c r="C23" s="4" t="s">
        <v>351</v>
      </c>
      <c r="D23" s="4" t="str">
        <f t="shared" ca="1" si="1"/>
        <v>260200024</v>
      </c>
      <c r="E23" s="4" t="str">
        <f t="shared" ca="1" si="2"/>
        <v>Наконечник-гильза Е4009 4мм2 izole (100 ad/paket)</v>
      </c>
      <c r="F23" s="4">
        <f t="shared" ca="1" si="3"/>
        <v>1245</v>
      </c>
      <c r="G23" s="4">
        <f t="shared" ca="1" si="4"/>
        <v>1245</v>
      </c>
      <c r="H23" s="4">
        <f t="shared" ca="1" si="5"/>
        <v>1245</v>
      </c>
      <c r="I23" s="4">
        <v>1</v>
      </c>
      <c r="J23" s="4" t="s">
        <v>218</v>
      </c>
      <c r="K23" s="4" t="str">
        <f t="shared" ca="1" si="6"/>
        <v>EKT</v>
      </c>
      <c r="L23" s="4">
        <f t="shared" ca="1" si="7"/>
        <v>1245</v>
      </c>
      <c r="M23" s="2" t="s">
        <v>14</v>
      </c>
      <c r="N23" s="4" t="s">
        <v>352</v>
      </c>
      <c r="O23" s="4"/>
      <c r="P23" s="14" t="s">
        <v>221</v>
      </c>
    </row>
    <row r="24" spans="1:16" x14ac:dyDescent="0.25">
      <c r="A24" s="4">
        <v>23</v>
      </c>
      <c r="B24" s="2" t="str">
        <f t="shared" ca="1" si="0"/>
        <v>Montaj malzemesi (etiket, sema cebi, kilit-menteşe, numaralandirma, vida-dubel takimi)</v>
      </c>
      <c r="C24" s="4" t="s">
        <v>353</v>
      </c>
      <c r="D24" s="4" t="str">
        <f t="shared" ca="1" si="1"/>
        <v>MONTAJ-MALZEME-KOMPLE</v>
      </c>
      <c r="E24" s="9" t="str">
        <f t="shared" ca="1" si="2"/>
        <v>Montaj malzemesi (etiket, sema cebi, kilit-menteşe, numaralandirma, vida-dubel takimi)</v>
      </c>
      <c r="F24" s="9">
        <f t="shared" ca="1" si="3"/>
        <v>0</v>
      </c>
      <c r="G24" s="9">
        <f t="shared" ca="1" si="4"/>
        <v>0</v>
      </c>
      <c r="H24" s="9">
        <f t="shared" ca="1" si="5"/>
        <v>0</v>
      </c>
      <c r="I24" s="4">
        <v>1</v>
      </c>
      <c r="J24" s="4" t="s">
        <v>119</v>
      </c>
      <c r="K24" s="9" t="str">
        <f t="shared" ca="1" si="6"/>
        <v>YOK</v>
      </c>
      <c r="L24" s="9">
        <f t="shared" ca="1" si="7"/>
        <v>0</v>
      </c>
      <c r="M24" s="4" t="s">
        <v>3</v>
      </c>
      <c r="N24" s="4" t="s">
        <v>354</v>
      </c>
      <c r="O24" s="4"/>
      <c r="P24" s="14" t="s">
        <v>223</v>
      </c>
    </row>
    <row r="25" spans="1:16" x14ac:dyDescent="0.25">
      <c r="A25" s="4">
        <v>24</v>
      </c>
      <c r="B25" s="2" t="str">
        <f t="shared" ca="1" si="0"/>
        <v>Montaj + test + etiketleme iscilik</v>
      </c>
      <c r="C25" s="4" t="s">
        <v>355</v>
      </c>
      <c r="D25" s="4" t="str">
        <f t="shared" ca="1" si="1"/>
        <v>ISCILIK-MONTAJ</v>
      </c>
      <c r="E25" s="4" t="str">
        <f t="shared" ca="1" si="2"/>
        <v>Montaj + test + etiketleme iscilik</v>
      </c>
      <c r="F25" s="4">
        <f t="shared" ca="1" si="3"/>
        <v>6000</v>
      </c>
      <c r="G25" s="4">
        <f t="shared" ca="1" si="4"/>
        <v>100</v>
      </c>
      <c r="H25" s="4">
        <f t="shared" ca="1" si="5"/>
        <v>20000</v>
      </c>
      <c r="I25" s="4">
        <v>200</v>
      </c>
      <c r="J25" s="4" t="s">
        <v>229</v>
      </c>
      <c r="K25" s="4" t="str">
        <f t="shared" ca="1" si="6"/>
        <v>ISCILIK</v>
      </c>
      <c r="L25" s="4">
        <f t="shared" ca="1" si="7"/>
        <v>20000</v>
      </c>
      <c r="M25" s="2" t="s">
        <v>14</v>
      </c>
      <c r="N25" s="4" t="s">
        <v>356</v>
      </c>
      <c r="O25" s="4"/>
      <c r="P25" s="14" t="s">
        <v>227</v>
      </c>
    </row>
    <row r="26" spans="1:16" x14ac:dyDescent="0.25">
      <c r="B26" s="7" t="s">
        <v>357</v>
      </c>
      <c r="H26" s="7">
        <f ca="1">SUBTOTAL(9,H3:H25)</f>
        <v>253816.19999999998</v>
      </c>
      <c r="L26" s="7">
        <f ca="1">SUBTOTAL(9,L3:L25)</f>
        <v>253816.19999999998</v>
      </c>
    </row>
    <row r="27" spans="1:16" x14ac:dyDescent="0.25">
      <c r="A27" s="4">
        <v>26</v>
      </c>
      <c r="B27" s="11" t="s">
        <v>358</v>
      </c>
      <c r="C27" s="12"/>
      <c r="D27" s="12"/>
      <c r="E27" s="12"/>
      <c r="F27" s="12"/>
      <c r="G27" s="12"/>
      <c r="H27" s="12"/>
      <c r="I27" s="12">
        <v>1</v>
      </c>
      <c r="J27" s="12" t="s">
        <v>323</v>
      </c>
      <c r="K27" s="12"/>
      <c r="L27" s="12"/>
      <c r="M27" s="12"/>
      <c r="N27" s="12"/>
      <c r="O27" s="12"/>
      <c r="P27" s="12"/>
    </row>
    <row r="28" spans="1:16" x14ac:dyDescent="0.25">
      <c r="A28" s="13">
        <v>27</v>
      </c>
      <c r="B28" s="13" t="str">
        <f t="shared" ref="B28:B42" ca="1" si="8">E28</f>
        <v>Мет. Корпус ЩМП-3 (650x500x150) IP31</v>
      </c>
      <c r="C28" s="13" t="s">
        <v>324</v>
      </c>
      <c r="D28" s="13" t="str">
        <f t="shared" ref="D28:D42" ca="1" si="9">IF($P28="","",INDEX(FIYAT_KOD,MATCH($P28,FIYAT_ART,0)))</f>
        <v>719-15560</v>
      </c>
      <c r="E28" s="13" t="str">
        <f t="shared" ref="E28:E42" ca="1" si="10">IF($P28="","",INDEX(FIYAT_ACK,MATCH($P28,FIYAT_ART,0)))</f>
        <v>Мет. Корпус ЩМП-3 (650x500x150) IP31</v>
      </c>
      <c r="F28" s="13">
        <f t="shared" ref="F28:F42" ca="1" si="11">IF($P28="","",INDEX(FIYAT_LISTE,MATCH($P28,FIYAT_ART,0)))</f>
        <v>25050</v>
      </c>
      <c r="G28" s="13">
        <f t="shared" ref="G28:G42" ca="1" si="12">IF($P28="","",INDEX(FIYAT_NET,MATCH($P28,FIYAT_ART,0)))</f>
        <v>15030</v>
      </c>
      <c r="H28" s="13">
        <f t="shared" ref="H28:H42" ca="1" si="13">IF(OR($G28="",$I28=""),"",$G28*$I28)</f>
        <v>15030</v>
      </c>
      <c r="I28" s="13">
        <v>1</v>
      </c>
      <c r="J28" s="13" t="s">
        <v>119</v>
      </c>
      <c r="K28" s="13" t="str">
        <f t="shared" ref="K28:K42" ca="1" si="14">IF($P28="","",INDEX(FIYAT_MARKA,MATCH($P28,FIYAT_ART,0)))</f>
        <v>KAZTEK</v>
      </c>
      <c r="L28" s="13">
        <f t="shared" ref="L28:L42" ca="1" si="15">IF($H28="","",$H28)</f>
        <v>15030</v>
      </c>
      <c r="M28" s="4" t="s">
        <v>17</v>
      </c>
      <c r="N28" s="4" t="s">
        <v>359</v>
      </c>
      <c r="O28" s="4"/>
      <c r="P28" s="14" t="s">
        <v>161</v>
      </c>
    </row>
    <row r="29" spans="1:16" x14ac:dyDescent="0.25">
      <c r="A29" s="4">
        <v>28</v>
      </c>
      <c r="B29" s="2" t="str">
        <f t="shared" ca="1" si="8"/>
        <v>Авт. выкл. NXM-63S/3Р 32A 25кА (R)</v>
      </c>
      <c r="C29" s="4" t="s">
        <v>116</v>
      </c>
      <c r="D29" s="4" t="str">
        <f t="shared" ca="1" si="9"/>
        <v>205886</v>
      </c>
      <c r="E29" s="4" t="str">
        <f t="shared" ca="1" si="10"/>
        <v>Авт. выкл. NXM-63S/3Р 32A 25кА (R)</v>
      </c>
      <c r="F29" s="4">
        <f t="shared" ca="1" si="11"/>
        <v>17405</v>
      </c>
      <c r="G29" s="4">
        <f t="shared" ca="1" si="12"/>
        <v>10443</v>
      </c>
      <c r="H29" s="4">
        <f t="shared" ca="1" si="13"/>
        <v>10443</v>
      </c>
      <c r="I29" s="4">
        <v>1</v>
      </c>
      <c r="J29" s="4" t="s">
        <v>119</v>
      </c>
      <c r="K29" s="4" t="str">
        <f t="shared" ca="1" si="14"/>
        <v>CHINT</v>
      </c>
      <c r="L29" s="4">
        <f t="shared" ca="1" si="15"/>
        <v>10443</v>
      </c>
      <c r="M29" s="4" t="s">
        <v>1</v>
      </c>
      <c r="N29" s="4" t="s">
        <v>360</v>
      </c>
      <c r="O29" s="4"/>
      <c r="P29" s="14" t="s">
        <v>236</v>
      </c>
    </row>
    <row r="30" spans="1:16" x14ac:dyDescent="0.25">
      <c r="A30" s="4">
        <v>29</v>
      </c>
      <c r="B30" s="2" t="str">
        <f t="shared" ca="1" si="8"/>
        <v>Диф. авт. выкл. NXBLE-63Y 1P+N 25А 30mA электронный тип AC, х-ка С, 4.5kA</v>
      </c>
      <c r="C30" s="4" t="s">
        <v>127</v>
      </c>
      <c r="D30" s="4" t="str">
        <f t="shared" ca="1" si="9"/>
        <v>105544</v>
      </c>
      <c r="E30" s="4" t="str">
        <f t="shared" ca="1" si="10"/>
        <v>Диф. авт. выкл. NXBLE-63Y 1P+N 25А 30mA электронный тип AC, х-ка С, 4.5kA</v>
      </c>
      <c r="F30" s="4">
        <f t="shared" ca="1" si="11"/>
        <v>4939</v>
      </c>
      <c r="G30" s="4">
        <f t="shared" ca="1" si="12"/>
        <v>2963.4</v>
      </c>
      <c r="H30" s="4">
        <f t="shared" ca="1" si="13"/>
        <v>74085</v>
      </c>
      <c r="I30" s="4">
        <v>25</v>
      </c>
      <c r="J30" s="4" t="s">
        <v>119</v>
      </c>
      <c r="K30" s="4" t="str">
        <f t="shared" ca="1" si="14"/>
        <v>CHINT</v>
      </c>
      <c r="L30" s="4">
        <f t="shared" ca="1" si="15"/>
        <v>74085</v>
      </c>
      <c r="M30" s="4" t="s">
        <v>1</v>
      </c>
      <c r="N30" s="4" t="s">
        <v>361</v>
      </c>
      <c r="O30" s="4"/>
      <c r="P30" s="14" t="s">
        <v>131</v>
      </c>
    </row>
    <row r="31" spans="1:16" x14ac:dyDescent="0.25">
      <c r="A31" s="4">
        <v>30</v>
      </c>
      <c r="B31" s="2" t="str">
        <f t="shared" ca="1" si="8"/>
        <v>Авт. выкл. NXB-63 1P 6A 6кА х-ка C</v>
      </c>
      <c r="C31" s="4" t="s">
        <v>132</v>
      </c>
      <c r="D31" s="4" t="str">
        <f t="shared" ca="1" si="9"/>
        <v>814012</v>
      </c>
      <c r="E31" s="4" t="str">
        <f t="shared" ca="1" si="10"/>
        <v>Авт. выкл. NXB-63 1P 6A 6кА х-ка C</v>
      </c>
      <c r="F31" s="4">
        <f t="shared" ca="1" si="11"/>
        <v>1436</v>
      </c>
      <c r="G31" s="4">
        <f t="shared" ca="1" si="12"/>
        <v>861.6</v>
      </c>
      <c r="H31" s="4">
        <f t="shared" ca="1" si="13"/>
        <v>861.6</v>
      </c>
      <c r="I31" s="4">
        <v>1</v>
      </c>
      <c r="J31" s="4" t="s">
        <v>119</v>
      </c>
      <c r="K31" s="4" t="str">
        <f t="shared" ca="1" si="14"/>
        <v>CHINT</v>
      </c>
      <c r="L31" s="4">
        <f t="shared" ca="1" si="15"/>
        <v>861.6</v>
      </c>
      <c r="M31" s="2" t="s">
        <v>14</v>
      </c>
      <c r="N31" s="4" t="s">
        <v>362</v>
      </c>
      <c r="O31" s="4"/>
      <c r="P31" s="14" t="s">
        <v>146</v>
      </c>
    </row>
    <row r="32" spans="1:16" x14ac:dyDescent="0.25">
      <c r="A32" s="4">
        <v>31</v>
      </c>
      <c r="B32" s="2" t="str">
        <f t="shared" ca="1" si="8"/>
        <v>Шина соединительная типа PIN 1P, 100А, L=1000мм</v>
      </c>
      <c r="C32" s="4" t="s">
        <v>334</v>
      </c>
      <c r="D32" s="4" t="str">
        <f t="shared" ca="1" si="9"/>
        <v>811004</v>
      </c>
      <c r="E32" s="4" t="str">
        <f t="shared" ca="1" si="10"/>
        <v>Шина соединительная типа PIN 1P, 100А, L=1000мм</v>
      </c>
      <c r="F32" s="4">
        <f t="shared" ca="1" si="11"/>
        <v>5972</v>
      </c>
      <c r="G32" s="4">
        <f t="shared" ca="1" si="12"/>
        <v>3583.2</v>
      </c>
      <c r="H32" s="4">
        <f t="shared" ca="1" si="13"/>
        <v>7166.4</v>
      </c>
      <c r="I32" s="4">
        <v>2</v>
      </c>
      <c r="J32" s="4" t="s">
        <v>119</v>
      </c>
      <c r="K32" s="4" t="str">
        <f t="shared" ca="1" si="14"/>
        <v>CHINT</v>
      </c>
      <c r="L32" s="4">
        <f t="shared" ca="1" si="15"/>
        <v>7166.4</v>
      </c>
      <c r="M32" s="2" t="s">
        <v>14</v>
      </c>
      <c r="N32" s="4" t="s">
        <v>363</v>
      </c>
      <c r="O32" s="4"/>
      <c r="P32" s="14" t="s">
        <v>152</v>
      </c>
    </row>
    <row r="33" spans="1:16" x14ac:dyDescent="0.25">
      <c r="A33" s="4">
        <v>32</v>
      </c>
      <c r="B33" s="2" t="str">
        <f t="shared" ca="1" si="8"/>
        <v>Шина N ноль DIN-изол ШНИ-6х9-24-Д-С</v>
      </c>
      <c r="C33" s="4" t="s">
        <v>334</v>
      </c>
      <c r="D33" s="4" t="str">
        <f t="shared" ca="1" si="9"/>
        <v>YNN10-69-24D-K07</v>
      </c>
      <c r="E33" s="4" t="str">
        <f t="shared" ca="1" si="10"/>
        <v>Шина N ноль DIN-изол ШНИ-6х9-24-Д-С</v>
      </c>
      <c r="F33" s="4">
        <f t="shared" ca="1" si="11"/>
        <v>900</v>
      </c>
      <c r="G33" s="4">
        <f t="shared" ca="1" si="12"/>
        <v>900</v>
      </c>
      <c r="H33" s="4">
        <f t="shared" ca="1" si="13"/>
        <v>900</v>
      </c>
      <c r="I33" s="4">
        <v>1</v>
      </c>
      <c r="J33" s="4" t="s">
        <v>119</v>
      </c>
      <c r="K33" s="4" t="str">
        <f t="shared" ca="1" si="14"/>
        <v>EKT</v>
      </c>
      <c r="L33" s="4">
        <f t="shared" ca="1" si="15"/>
        <v>900</v>
      </c>
      <c r="M33" s="2" t="s">
        <v>14</v>
      </c>
      <c r="N33" s="4" t="s">
        <v>336</v>
      </c>
      <c r="O33" s="4"/>
      <c r="P33" s="14" t="s">
        <v>172</v>
      </c>
    </row>
    <row r="34" spans="1:16" x14ac:dyDescent="0.25">
      <c r="A34" s="4">
        <v>33</v>
      </c>
      <c r="B34" s="2" t="str">
        <f t="shared" ca="1" si="8"/>
        <v>Шина PE земля ШНИ 6х9 12-К-З</v>
      </c>
      <c r="C34" s="4" t="s">
        <v>334</v>
      </c>
      <c r="D34" s="4" t="str">
        <f t="shared" ca="1" si="9"/>
        <v>130200401</v>
      </c>
      <c r="E34" s="4" t="str">
        <f t="shared" ca="1" si="10"/>
        <v>Шина PE земля ШНИ 6х9 12-К-З</v>
      </c>
      <c r="F34" s="4">
        <f t="shared" ca="1" si="11"/>
        <v>514</v>
      </c>
      <c r="G34" s="4">
        <f t="shared" ca="1" si="12"/>
        <v>514</v>
      </c>
      <c r="H34" s="4">
        <f t="shared" ca="1" si="13"/>
        <v>514</v>
      </c>
      <c r="I34" s="4">
        <v>1</v>
      </c>
      <c r="J34" s="4" t="s">
        <v>119</v>
      </c>
      <c r="K34" s="4" t="str">
        <f t="shared" ca="1" si="14"/>
        <v>EKT</v>
      </c>
      <c r="L34" s="4">
        <f t="shared" ca="1" si="15"/>
        <v>514</v>
      </c>
      <c r="M34" s="2" t="s">
        <v>14</v>
      </c>
      <c r="N34" s="4" t="s">
        <v>337</v>
      </c>
      <c r="O34" s="4"/>
      <c r="P34" s="14" t="s">
        <v>176</v>
      </c>
    </row>
    <row r="35" spans="1:16" x14ac:dyDescent="0.25">
      <c r="A35" s="4">
        <v>34</v>
      </c>
      <c r="B35" s="2" t="str">
        <f t="shared" ca="1" si="8"/>
        <v>DIN-рейка (100см) оцинкованная</v>
      </c>
      <c r="C35" s="4" t="s">
        <v>177</v>
      </c>
      <c r="D35" s="4" t="str">
        <f t="shared" ca="1" si="9"/>
        <v>YDN10-0100</v>
      </c>
      <c r="E35" s="4" t="str">
        <f t="shared" ca="1" si="10"/>
        <v>DIN-рейка (100см) оцинкованная</v>
      </c>
      <c r="F35" s="4">
        <f t="shared" ca="1" si="11"/>
        <v>686</v>
      </c>
      <c r="G35" s="4">
        <f t="shared" ca="1" si="12"/>
        <v>686</v>
      </c>
      <c r="H35" s="4">
        <f t="shared" ca="1" si="13"/>
        <v>0</v>
      </c>
      <c r="I35" s="4">
        <v>0</v>
      </c>
      <c r="J35" s="4" t="s">
        <v>119</v>
      </c>
      <c r="K35" s="4" t="str">
        <f t="shared" ca="1" si="14"/>
        <v>EKT</v>
      </c>
      <c r="L35" s="4">
        <f t="shared" ca="1" si="15"/>
        <v>0</v>
      </c>
      <c r="M35" s="2" t="s">
        <v>14</v>
      </c>
      <c r="N35" s="4" t="s">
        <v>364</v>
      </c>
      <c r="O35" s="4"/>
      <c r="P35" s="14" t="s">
        <v>181</v>
      </c>
    </row>
    <row r="36" spans="1:16" x14ac:dyDescent="0.25">
      <c r="A36" s="4">
        <v>35</v>
      </c>
      <c r="B36" s="2" t="str">
        <f t="shared" ca="1" si="8"/>
        <v>Кабель-канал 40х40 белый</v>
      </c>
      <c r="C36" s="4" t="s">
        <v>339</v>
      </c>
      <c r="D36" s="4" t="str">
        <f t="shared" ca="1" si="9"/>
        <v>280100252</v>
      </c>
      <c r="E36" s="4" t="str">
        <f t="shared" ca="1" si="10"/>
        <v>Кабель-канал 40х40 белый</v>
      </c>
      <c r="F36" s="4">
        <f t="shared" ca="1" si="11"/>
        <v>238</v>
      </c>
      <c r="G36" s="4">
        <f t="shared" ca="1" si="12"/>
        <v>238</v>
      </c>
      <c r="H36" s="4">
        <f t="shared" ca="1" si="13"/>
        <v>714</v>
      </c>
      <c r="I36" s="4">
        <v>3</v>
      </c>
      <c r="J36" s="4" t="s">
        <v>185</v>
      </c>
      <c r="K36" s="4" t="str">
        <f t="shared" ca="1" si="14"/>
        <v>EKT</v>
      </c>
      <c r="L36" s="4">
        <f t="shared" ca="1" si="15"/>
        <v>714</v>
      </c>
      <c r="M36" s="2" t="s">
        <v>14</v>
      </c>
      <c r="N36" s="4" t="s">
        <v>365</v>
      </c>
      <c r="O36" s="4"/>
      <c r="P36" s="14" t="s">
        <v>186</v>
      </c>
    </row>
    <row r="37" spans="1:16" x14ac:dyDescent="0.25">
      <c r="A37" s="4">
        <v>36</v>
      </c>
      <c r="B37" s="2" t="str">
        <f t="shared" ca="1" si="8"/>
        <v>ПВ3-4 белый ГОСТ (pano ici kablo)</v>
      </c>
      <c r="C37" s="4" t="s">
        <v>341</v>
      </c>
      <c r="D37" s="4" t="str">
        <f t="shared" ca="1" si="9"/>
        <v>100300030</v>
      </c>
      <c r="E37" s="4" t="str">
        <f t="shared" ca="1" si="10"/>
        <v>ПВ3-4 белый ГОСТ (pano ici kablo)</v>
      </c>
      <c r="F37" s="4">
        <f t="shared" ca="1" si="11"/>
        <v>242</v>
      </c>
      <c r="G37" s="4">
        <f t="shared" ca="1" si="12"/>
        <v>242</v>
      </c>
      <c r="H37" s="4">
        <f t="shared" ca="1" si="13"/>
        <v>4356</v>
      </c>
      <c r="I37" s="4">
        <v>18</v>
      </c>
      <c r="J37" s="4" t="s">
        <v>185</v>
      </c>
      <c r="K37" s="4" t="str">
        <f t="shared" ca="1" si="14"/>
        <v>EKT</v>
      </c>
      <c r="L37" s="4">
        <f t="shared" ca="1" si="15"/>
        <v>4356</v>
      </c>
      <c r="M37" s="2" t="s">
        <v>14</v>
      </c>
      <c r="N37" s="4" t="s">
        <v>366</v>
      </c>
      <c r="O37" s="4"/>
      <c r="P37" s="14" t="s">
        <v>193</v>
      </c>
    </row>
    <row r="38" spans="1:16" x14ac:dyDescent="0.25">
      <c r="A38" s="4">
        <v>37</v>
      </c>
      <c r="B38" s="2" t="str">
        <f t="shared" ca="1" si="8"/>
        <v>ПВ3-6 белый ГОСТ (pano ici kablo)</v>
      </c>
      <c r="C38" s="4" t="s">
        <v>341</v>
      </c>
      <c r="D38" s="4" t="str">
        <f t="shared" ca="1" si="9"/>
        <v>100300031</v>
      </c>
      <c r="E38" s="4" t="str">
        <f t="shared" ca="1" si="10"/>
        <v>ПВ3-6 белый ГОСТ (pano ici kablo)</v>
      </c>
      <c r="F38" s="4">
        <f t="shared" ca="1" si="11"/>
        <v>361</v>
      </c>
      <c r="G38" s="4">
        <f t="shared" ca="1" si="12"/>
        <v>361</v>
      </c>
      <c r="H38" s="4">
        <f t="shared" ca="1" si="13"/>
        <v>1083</v>
      </c>
      <c r="I38" s="4">
        <v>3</v>
      </c>
      <c r="J38" s="4" t="s">
        <v>185</v>
      </c>
      <c r="K38" s="4" t="str">
        <f t="shared" ca="1" si="14"/>
        <v>EKT</v>
      </c>
      <c r="L38" s="4">
        <f t="shared" ca="1" si="15"/>
        <v>1083</v>
      </c>
      <c r="M38" s="2" t="s">
        <v>14</v>
      </c>
      <c r="N38" s="4" t="s">
        <v>367</v>
      </c>
      <c r="O38" s="4"/>
      <c r="P38" s="14" t="s">
        <v>196</v>
      </c>
    </row>
    <row r="39" spans="1:16" x14ac:dyDescent="0.25">
      <c r="A39" s="4">
        <v>38</v>
      </c>
      <c r="B39" s="2" t="str">
        <f t="shared" ca="1" si="8"/>
        <v>222-412 Клемма проходная (0,08-4мм 32А)</v>
      </c>
      <c r="C39" s="4" t="s">
        <v>347</v>
      </c>
      <c r="D39" s="4" t="str">
        <f t="shared" ca="1" si="9"/>
        <v>030300442</v>
      </c>
      <c r="E39" s="4" t="str">
        <f t="shared" ca="1" si="10"/>
        <v>222-412 Клемма проходная (0,08-4мм 32А)</v>
      </c>
      <c r="F39" s="4">
        <f t="shared" ca="1" si="11"/>
        <v>210</v>
      </c>
      <c r="G39" s="4">
        <f t="shared" ca="1" si="12"/>
        <v>210</v>
      </c>
      <c r="H39" s="4">
        <f t="shared" ca="1" si="13"/>
        <v>8400</v>
      </c>
      <c r="I39" s="4">
        <v>40</v>
      </c>
      <c r="J39" s="4" t="s">
        <v>119</v>
      </c>
      <c r="K39" s="4" t="str">
        <f t="shared" ca="1" si="14"/>
        <v>EKT</v>
      </c>
      <c r="L39" s="4">
        <f t="shared" ca="1" si="15"/>
        <v>8400</v>
      </c>
      <c r="M39" s="2" t="s">
        <v>14</v>
      </c>
      <c r="N39" s="4" t="s">
        <v>368</v>
      </c>
      <c r="O39" s="4"/>
      <c r="P39" s="14" t="s">
        <v>208</v>
      </c>
    </row>
    <row r="40" spans="1:16" x14ac:dyDescent="0.25">
      <c r="A40" s="4">
        <v>39</v>
      </c>
      <c r="B40" s="2" t="str">
        <f t="shared" ca="1" si="8"/>
        <v>Наконечник-гильза Е4009 4мм2 izole (100 ad/paket)</v>
      </c>
      <c r="C40" s="4" t="s">
        <v>351</v>
      </c>
      <c r="D40" s="4" t="str">
        <f t="shared" ca="1" si="9"/>
        <v>260200024</v>
      </c>
      <c r="E40" s="4" t="str">
        <f t="shared" ca="1" si="10"/>
        <v>Наконечник-гильза Е4009 4мм2 izole (100 ad/paket)</v>
      </c>
      <c r="F40" s="4">
        <f t="shared" ca="1" si="11"/>
        <v>1245</v>
      </c>
      <c r="G40" s="4">
        <f t="shared" ca="1" si="12"/>
        <v>1245</v>
      </c>
      <c r="H40" s="4">
        <f t="shared" ca="1" si="13"/>
        <v>2490</v>
      </c>
      <c r="I40" s="4">
        <v>2</v>
      </c>
      <c r="J40" s="4" t="s">
        <v>218</v>
      </c>
      <c r="K40" s="4" t="str">
        <f t="shared" ca="1" si="14"/>
        <v>EKT</v>
      </c>
      <c r="L40" s="4">
        <f t="shared" ca="1" si="15"/>
        <v>2490</v>
      </c>
      <c r="M40" s="2" t="s">
        <v>14</v>
      </c>
      <c r="N40" s="4" t="s">
        <v>369</v>
      </c>
      <c r="O40" s="4"/>
      <c r="P40" s="14" t="s">
        <v>221</v>
      </c>
    </row>
    <row r="41" spans="1:16" x14ac:dyDescent="0.25">
      <c r="A41" s="4">
        <v>40</v>
      </c>
      <c r="B41" s="2" t="str">
        <f t="shared" ca="1" si="8"/>
        <v>Montaj malzemesi (etiket, sema cebi, kilit-menteşe, numaralandirma, vida-dubel takimi)</v>
      </c>
      <c r="C41" s="4" t="s">
        <v>353</v>
      </c>
      <c r="D41" s="4" t="str">
        <f t="shared" ca="1" si="9"/>
        <v>MONTAJ-MALZEME-KOMPLE</v>
      </c>
      <c r="E41" s="9" t="str">
        <f t="shared" ca="1" si="10"/>
        <v>Montaj malzemesi (etiket, sema cebi, kilit-menteşe, numaralandirma, vida-dubel takimi)</v>
      </c>
      <c r="F41" s="9">
        <f t="shared" ca="1" si="11"/>
        <v>0</v>
      </c>
      <c r="G41" s="9">
        <f t="shared" ca="1" si="12"/>
        <v>0</v>
      </c>
      <c r="H41" s="9">
        <f t="shared" ca="1" si="13"/>
        <v>0</v>
      </c>
      <c r="I41" s="4">
        <v>1</v>
      </c>
      <c r="J41" s="4" t="s">
        <v>119</v>
      </c>
      <c r="K41" s="9" t="str">
        <f t="shared" ca="1" si="14"/>
        <v>YOK</v>
      </c>
      <c r="L41" s="9">
        <f t="shared" ca="1" si="15"/>
        <v>0</v>
      </c>
      <c r="M41" s="4" t="s">
        <v>3</v>
      </c>
      <c r="N41" s="4" t="s">
        <v>354</v>
      </c>
      <c r="O41" s="4"/>
      <c r="P41" s="14" t="s">
        <v>223</v>
      </c>
    </row>
    <row r="42" spans="1:16" x14ac:dyDescent="0.25">
      <c r="A42" s="4">
        <v>41</v>
      </c>
      <c r="B42" s="2" t="str">
        <f t="shared" ca="1" si="8"/>
        <v>Montaj + test + etiketleme iscilik</v>
      </c>
      <c r="C42" s="4" t="s">
        <v>355</v>
      </c>
      <c r="D42" s="4" t="str">
        <f t="shared" ca="1" si="9"/>
        <v>ISCILIK-MONTAJ</v>
      </c>
      <c r="E42" s="4" t="str">
        <f t="shared" ca="1" si="10"/>
        <v>Montaj + test + etiketleme iscilik</v>
      </c>
      <c r="F42" s="4">
        <f t="shared" ca="1" si="11"/>
        <v>6000</v>
      </c>
      <c r="G42" s="4">
        <f t="shared" ca="1" si="12"/>
        <v>100</v>
      </c>
      <c r="H42" s="4">
        <f t="shared" ca="1" si="13"/>
        <v>4500</v>
      </c>
      <c r="I42" s="4">
        <v>45</v>
      </c>
      <c r="J42" s="4" t="s">
        <v>229</v>
      </c>
      <c r="K42" s="4" t="str">
        <f t="shared" ca="1" si="14"/>
        <v>ISCILIK</v>
      </c>
      <c r="L42" s="4">
        <f t="shared" ca="1" si="15"/>
        <v>4500</v>
      </c>
      <c r="M42" s="2" t="s">
        <v>14</v>
      </c>
      <c r="N42" s="4" t="s">
        <v>370</v>
      </c>
      <c r="O42" s="4"/>
      <c r="P42" s="14" t="s">
        <v>227</v>
      </c>
    </row>
    <row r="43" spans="1:16" x14ac:dyDescent="0.25">
      <c r="B43" s="7" t="s">
        <v>371</v>
      </c>
      <c r="H43" s="7">
        <f ca="1">SUBTOTAL(9,H28:H42)</f>
        <v>130543</v>
      </c>
      <c r="L43" s="7">
        <f ca="1">SUBTOTAL(9,L28:L42)</f>
        <v>130543</v>
      </c>
    </row>
    <row r="44" spans="1:16" x14ac:dyDescent="0.25">
      <c r="A44" s="4">
        <v>43</v>
      </c>
      <c r="B44" s="11" t="s">
        <v>372</v>
      </c>
      <c r="C44" s="12"/>
      <c r="D44" s="12"/>
      <c r="E44" s="12"/>
      <c r="F44" s="12"/>
      <c r="G44" s="12"/>
      <c r="H44" s="12"/>
      <c r="I44" s="12">
        <v>1</v>
      </c>
      <c r="J44" s="12" t="s">
        <v>323</v>
      </c>
      <c r="K44" s="12"/>
      <c r="L44" s="12"/>
      <c r="M44" s="12"/>
      <c r="N44" s="12"/>
      <c r="O44" s="12"/>
      <c r="P44" s="12"/>
    </row>
    <row r="45" spans="1:16" x14ac:dyDescent="0.25">
      <c r="A45" s="4">
        <v>44</v>
      </c>
      <c r="B45" s="2" t="str">
        <f t="shared" ref="B45:B64" si="16">E45</f>
        <v>Щит ЩУРн-3/30 окошко (490х540х165) S/U36 IP31(TS)</v>
      </c>
      <c r="C45" s="4" t="s">
        <v>324</v>
      </c>
      <c r="D45" s="4" t="s">
        <v>476</v>
      </c>
      <c r="E45" s="4" t="s">
        <v>477</v>
      </c>
      <c r="F45" s="4">
        <v>20380</v>
      </c>
      <c r="G45" s="4">
        <f t="shared" ref="G45:G64" ca="1" si="17">IF($P45="","",INDEX(FIYAT_NET,MATCH($P45,FIYAT_ART,0)))</f>
        <v>12228</v>
      </c>
      <c r="H45" s="4">
        <f t="shared" ref="H45:H64" ca="1" si="18">IF(OR($G45="",$I45=""),"",$G45*$I45)</f>
        <v>12228</v>
      </c>
      <c r="I45" s="4">
        <v>1</v>
      </c>
      <c r="J45" s="4" t="s">
        <v>119</v>
      </c>
      <c r="K45" s="4" t="str">
        <f t="shared" ref="K45:K64" ca="1" si="19">IF($P45="","",INDEX(FIYAT_MARKA,MATCH($P45,FIYAT_ART,0)))</f>
        <v>KAZTEK</v>
      </c>
      <c r="L45" s="4">
        <f t="shared" ref="L45:L64" ca="1" si="20">IF($H45="","",$H45)</f>
        <v>12228</v>
      </c>
      <c r="M45" s="2" t="s">
        <v>14</v>
      </c>
      <c r="N45" s="4" t="s">
        <v>373</v>
      </c>
      <c r="O45" s="4"/>
      <c r="P45" s="14" t="s">
        <v>300</v>
      </c>
    </row>
    <row r="46" spans="1:16" x14ac:dyDescent="0.25">
      <c r="A46" s="4">
        <v>45</v>
      </c>
      <c r="B46" s="2" t="str">
        <f t="shared" ca="1" si="16"/>
        <v>Счетчик LM СА4-Э720 Дала 3ф (10-100А) 1 тариф. Т1 (dogrudan, dahili tarifikator)</v>
      </c>
      <c r="C46" s="4" t="s">
        <v>328</v>
      </c>
      <c r="D46" s="4" t="str">
        <f t="shared" ref="D45:D64" ca="1" si="21">IF($P46="","",INDEX(FIYAT_KOD,MATCH($P46,FIYAT_ART,0)))</f>
        <v>200200048</v>
      </c>
      <c r="E46" s="4" t="str">
        <f t="shared" ref="E45:E64" ca="1" si="22">IF($P46="","",INDEX(FIYAT_ACK,MATCH($P46,FIYAT_ART,0)))</f>
        <v>Счетчик LM СА4-Э720 Дала 3ф (10-100А) 1 тариф. Т1 (dogrudan, dahili tarifikator)</v>
      </c>
      <c r="F46" s="4">
        <f t="shared" ref="F45:F64" ca="1" si="23">IF($P46="","",INDEX(FIYAT_LISTE,MATCH($P46,FIYAT_ART,0)))</f>
        <v>39360</v>
      </c>
      <c r="G46" s="4">
        <f t="shared" ca="1" si="17"/>
        <v>39360</v>
      </c>
      <c r="H46" s="4">
        <f t="shared" ca="1" si="18"/>
        <v>39360</v>
      </c>
      <c r="I46" s="4">
        <v>1</v>
      </c>
      <c r="J46" s="4" t="s">
        <v>119</v>
      </c>
      <c r="K46" s="4" t="str">
        <f t="shared" ca="1" si="19"/>
        <v>EKT</v>
      </c>
      <c r="L46" s="4">
        <f t="shared" ca="1" si="20"/>
        <v>39360</v>
      </c>
      <c r="M46" s="13" t="s">
        <v>7</v>
      </c>
      <c r="N46" s="4" t="s">
        <v>374</v>
      </c>
      <c r="O46" s="4"/>
      <c r="P46" s="14" t="s">
        <v>167</v>
      </c>
    </row>
    <row r="47" spans="1:16" x14ac:dyDescent="0.25">
      <c r="A47" s="4">
        <v>46</v>
      </c>
      <c r="B47" s="2" t="str">
        <f t="shared" ca="1" si="16"/>
        <v>Авт. выкл. NXB-63S 3P 63А 4.5kA х-ка C</v>
      </c>
      <c r="C47" s="4" t="s">
        <v>132</v>
      </c>
      <c r="D47" s="4" t="str">
        <f t="shared" ca="1" si="21"/>
        <v>296833</v>
      </c>
      <c r="E47" s="4" t="str">
        <f t="shared" ca="1" si="22"/>
        <v>Авт. выкл. NXB-63S 3P 63А 4.5kA х-ка C</v>
      </c>
      <c r="F47" s="4">
        <f t="shared" ca="1" si="23"/>
        <v>3641</v>
      </c>
      <c r="G47" s="4">
        <f t="shared" ca="1" si="17"/>
        <v>2184.6</v>
      </c>
      <c r="H47" s="4">
        <f t="shared" ca="1" si="18"/>
        <v>2184.6</v>
      </c>
      <c r="I47" s="4">
        <v>1</v>
      </c>
      <c r="J47" s="4" t="s">
        <v>119</v>
      </c>
      <c r="K47" s="4" t="str">
        <f t="shared" ca="1" si="19"/>
        <v>CHINT</v>
      </c>
      <c r="L47" s="4">
        <f t="shared" ca="1" si="20"/>
        <v>2184.6</v>
      </c>
      <c r="M47" s="4" t="s">
        <v>1</v>
      </c>
      <c r="N47" s="4" t="s">
        <v>375</v>
      </c>
      <c r="O47" s="4"/>
      <c r="P47" s="14" t="s">
        <v>240</v>
      </c>
    </row>
    <row r="48" spans="1:16" x14ac:dyDescent="0.25">
      <c r="A48" s="4">
        <v>47</v>
      </c>
      <c r="B48" s="2" t="str">
        <f t="shared" ca="1" si="16"/>
        <v>Авт. выкл. NXB-63S 3P 32А 4.5kA х-ка C</v>
      </c>
      <c r="C48" s="4" t="s">
        <v>132</v>
      </c>
      <c r="D48" s="4" t="str">
        <f t="shared" ca="1" si="21"/>
        <v>296830</v>
      </c>
      <c r="E48" s="4" t="str">
        <f t="shared" ca="1" si="22"/>
        <v>Авт. выкл. NXB-63S 3P 32А 4.5kA х-ка C</v>
      </c>
      <c r="F48" s="4">
        <f t="shared" ca="1" si="23"/>
        <v>2606</v>
      </c>
      <c r="G48" s="4">
        <f t="shared" ca="1" si="17"/>
        <v>1563.6</v>
      </c>
      <c r="H48" s="4">
        <f t="shared" ca="1" si="18"/>
        <v>3127.2</v>
      </c>
      <c r="I48" s="4">
        <v>2</v>
      </c>
      <c r="J48" s="4" t="s">
        <v>119</v>
      </c>
      <c r="K48" s="4" t="str">
        <f t="shared" ca="1" si="19"/>
        <v>CHINT</v>
      </c>
      <c r="L48" s="4">
        <f t="shared" ca="1" si="20"/>
        <v>3127.2</v>
      </c>
      <c r="M48" s="4" t="s">
        <v>1</v>
      </c>
      <c r="N48" s="4" t="s">
        <v>376</v>
      </c>
      <c r="O48" s="4"/>
      <c r="P48" s="14" t="s">
        <v>252</v>
      </c>
    </row>
    <row r="49" spans="1:16" x14ac:dyDescent="0.25">
      <c r="A49" s="4">
        <v>48</v>
      </c>
      <c r="B49" s="2" t="str">
        <f t="shared" ca="1" si="16"/>
        <v>Авт. выкл. NXB-63S 3P 40А 4.5kA х-ка C</v>
      </c>
      <c r="C49" s="4" t="s">
        <v>132</v>
      </c>
      <c r="D49" s="4" t="str">
        <f t="shared" ca="1" si="21"/>
        <v>296831</v>
      </c>
      <c r="E49" s="4" t="str">
        <f t="shared" ca="1" si="22"/>
        <v>Авт. выкл. NXB-63S 3P 40А 4.5kA х-ка C</v>
      </c>
      <c r="F49" s="4">
        <f t="shared" ca="1" si="23"/>
        <v>2807</v>
      </c>
      <c r="G49" s="4">
        <f t="shared" ca="1" si="17"/>
        <v>1684.2</v>
      </c>
      <c r="H49" s="4">
        <f t="shared" ca="1" si="18"/>
        <v>3368.4</v>
      </c>
      <c r="I49" s="4">
        <v>2</v>
      </c>
      <c r="J49" s="4" t="s">
        <v>119</v>
      </c>
      <c r="K49" s="4" t="str">
        <f t="shared" ca="1" si="19"/>
        <v>CHINT</v>
      </c>
      <c r="L49" s="4">
        <f t="shared" ca="1" si="20"/>
        <v>3368.4</v>
      </c>
      <c r="M49" s="4" t="s">
        <v>1</v>
      </c>
      <c r="N49" s="4" t="s">
        <v>377</v>
      </c>
      <c r="O49" s="4"/>
      <c r="P49" s="14" t="s">
        <v>136</v>
      </c>
    </row>
    <row r="50" spans="1:16" x14ac:dyDescent="0.25">
      <c r="A50" s="4">
        <v>49</v>
      </c>
      <c r="B50" s="2" t="str">
        <f t="shared" ca="1" si="16"/>
        <v>Диф. автомат NXBLE-125 3P+N 50A х-ка C 30mA</v>
      </c>
      <c r="C50" s="4" t="s">
        <v>127</v>
      </c>
      <c r="D50" s="4" t="str">
        <f t="shared" ca="1" si="21"/>
        <v>CHINT-NXBLE125-3PN50-30</v>
      </c>
      <c r="E50" s="9" t="str">
        <f t="shared" ca="1" si="22"/>
        <v>Диф. автомат NXBLE-125 3P+N 50A х-ка C 30mA</v>
      </c>
      <c r="F50" s="9">
        <f t="shared" ca="1" si="23"/>
        <v>0</v>
      </c>
      <c r="G50" s="9" t="str">
        <f t="shared" ca="1" si="17"/>
        <v/>
      </c>
      <c r="H50" s="9" t="str">
        <f t="shared" ca="1" si="18"/>
        <v/>
      </c>
      <c r="I50" s="4">
        <v>1</v>
      </c>
      <c r="J50" s="4" t="s">
        <v>119</v>
      </c>
      <c r="K50" s="9" t="str">
        <f t="shared" ca="1" si="19"/>
        <v>CHINT</v>
      </c>
      <c r="L50" s="9" t="str">
        <f t="shared" ca="1" si="20"/>
        <v/>
      </c>
      <c r="M50" s="4" t="s">
        <v>3</v>
      </c>
      <c r="N50" s="4" t="s">
        <v>378</v>
      </c>
      <c r="O50" s="4"/>
      <c r="P50" s="14" t="s">
        <v>241</v>
      </c>
    </row>
    <row r="51" spans="1:16" x14ac:dyDescent="0.25">
      <c r="A51" s="4">
        <v>50</v>
      </c>
      <c r="B51" s="2" t="str">
        <f t="shared" ca="1" si="16"/>
        <v>Авт. выкл. NXB-63 1P 6A 6кА х-ка C</v>
      </c>
      <c r="C51" s="4" t="s">
        <v>132</v>
      </c>
      <c r="D51" s="4" t="str">
        <f t="shared" ca="1" si="21"/>
        <v>814012</v>
      </c>
      <c r="E51" s="4" t="str">
        <f t="shared" ca="1" si="22"/>
        <v>Авт. выкл. NXB-63 1P 6A 6кА х-ка C</v>
      </c>
      <c r="F51" s="4">
        <f t="shared" ca="1" si="23"/>
        <v>1436</v>
      </c>
      <c r="G51" s="4">
        <f t="shared" ca="1" si="17"/>
        <v>861.6</v>
      </c>
      <c r="H51" s="4">
        <f t="shared" ca="1" si="18"/>
        <v>0</v>
      </c>
      <c r="I51" s="4">
        <v>0</v>
      </c>
      <c r="J51" s="4" t="s">
        <v>119</v>
      </c>
      <c r="K51" s="4" t="str">
        <f t="shared" ca="1" si="19"/>
        <v>CHINT</v>
      </c>
      <c r="L51" s="4">
        <f t="shared" ca="1" si="20"/>
        <v>0</v>
      </c>
      <c r="M51" s="2" t="s">
        <v>14</v>
      </c>
      <c r="N51" s="4" t="s">
        <v>379</v>
      </c>
      <c r="O51" s="4"/>
      <c r="P51" s="14" t="s">
        <v>146</v>
      </c>
    </row>
    <row r="52" spans="1:16" x14ac:dyDescent="0.25">
      <c r="A52" s="4">
        <v>51</v>
      </c>
      <c r="B52" s="2" t="str">
        <f t="shared" ca="1" si="16"/>
        <v>Шина соединительная типа PIN 3P, 63А, L=1000мм</v>
      </c>
      <c r="C52" s="4" t="s">
        <v>334</v>
      </c>
      <c r="D52" s="4" t="str">
        <f t="shared" ca="1" si="21"/>
        <v>811002</v>
      </c>
      <c r="E52" s="4" t="str">
        <f t="shared" ca="1" si="22"/>
        <v>Шина соединительная типа PIN 3P, 63А, L=1000мм</v>
      </c>
      <c r="F52" s="4">
        <f t="shared" ca="1" si="23"/>
        <v>12699</v>
      </c>
      <c r="G52" s="4">
        <f t="shared" ca="1" si="17"/>
        <v>7619.4</v>
      </c>
      <c r="H52" s="4">
        <f t="shared" ca="1" si="18"/>
        <v>0</v>
      </c>
      <c r="I52" s="4">
        <v>0</v>
      </c>
      <c r="J52" s="4" t="s">
        <v>119</v>
      </c>
      <c r="K52" s="4" t="str">
        <f t="shared" ca="1" si="19"/>
        <v>CHINT</v>
      </c>
      <c r="L52" s="4">
        <f t="shared" ca="1" si="20"/>
        <v>0</v>
      </c>
      <c r="M52" s="2" t="s">
        <v>14</v>
      </c>
      <c r="N52" s="4" t="s">
        <v>380</v>
      </c>
      <c r="O52" s="4"/>
      <c r="P52" s="14" t="s">
        <v>280</v>
      </c>
    </row>
    <row r="53" spans="1:16" x14ac:dyDescent="0.25">
      <c r="A53" s="4">
        <v>52</v>
      </c>
      <c r="B53" s="2" t="str">
        <f t="shared" ca="1" si="16"/>
        <v>Шина N ноль DIN-изол ШНИ-6х9-24-Д-С</v>
      </c>
      <c r="C53" s="4" t="s">
        <v>334</v>
      </c>
      <c r="D53" s="4" t="str">
        <f t="shared" ca="1" si="21"/>
        <v>YNN10-69-24D-K07</v>
      </c>
      <c r="E53" s="4" t="str">
        <f t="shared" ca="1" si="22"/>
        <v>Шина N ноль DIN-изол ШНИ-6х9-24-Д-С</v>
      </c>
      <c r="F53" s="4">
        <f t="shared" ca="1" si="23"/>
        <v>900</v>
      </c>
      <c r="G53" s="4">
        <f t="shared" ca="1" si="17"/>
        <v>900</v>
      </c>
      <c r="H53" s="4">
        <f t="shared" ca="1" si="18"/>
        <v>900</v>
      </c>
      <c r="I53" s="4">
        <v>1</v>
      </c>
      <c r="J53" s="4" t="s">
        <v>119</v>
      </c>
      <c r="K53" s="4" t="str">
        <f t="shared" ca="1" si="19"/>
        <v>EKT</v>
      </c>
      <c r="L53" s="4">
        <f t="shared" ca="1" si="20"/>
        <v>900</v>
      </c>
      <c r="M53" s="2" t="s">
        <v>14</v>
      </c>
      <c r="N53" s="4" t="s">
        <v>336</v>
      </c>
      <c r="O53" s="4"/>
      <c r="P53" s="14" t="s">
        <v>172</v>
      </c>
    </row>
    <row r="54" spans="1:16" x14ac:dyDescent="0.25">
      <c r="A54" s="4">
        <v>53</v>
      </c>
      <c r="B54" s="2" t="str">
        <f t="shared" ca="1" si="16"/>
        <v>Шина PE земля ШНИ 6х9 12-К-З</v>
      </c>
      <c r="C54" s="4" t="s">
        <v>334</v>
      </c>
      <c r="D54" s="4" t="str">
        <f t="shared" ca="1" si="21"/>
        <v>130200401</v>
      </c>
      <c r="E54" s="4" t="str">
        <f t="shared" ca="1" si="22"/>
        <v>Шина PE земля ШНИ 6х9 12-К-З</v>
      </c>
      <c r="F54" s="4">
        <f t="shared" ca="1" si="23"/>
        <v>514</v>
      </c>
      <c r="G54" s="4">
        <f t="shared" ca="1" si="17"/>
        <v>514</v>
      </c>
      <c r="H54" s="4">
        <f t="shared" ca="1" si="18"/>
        <v>514</v>
      </c>
      <c r="I54" s="4">
        <v>1</v>
      </c>
      <c r="J54" s="4" t="s">
        <v>119</v>
      </c>
      <c r="K54" s="4" t="str">
        <f t="shared" ca="1" si="19"/>
        <v>EKT</v>
      </c>
      <c r="L54" s="4">
        <f t="shared" ca="1" si="20"/>
        <v>514</v>
      </c>
      <c r="M54" s="2" t="s">
        <v>14</v>
      </c>
      <c r="N54" s="4" t="s">
        <v>337</v>
      </c>
      <c r="O54" s="4"/>
      <c r="P54" s="14" t="s">
        <v>176</v>
      </c>
    </row>
    <row r="55" spans="1:16" x14ac:dyDescent="0.25">
      <c r="A55" s="4">
        <v>54</v>
      </c>
      <c r="B55" s="2" t="str">
        <f t="shared" ca="1" si="16"/>
        <v>DIN-рейка (100см) оцинкованная</v>
      </c>
      <c r="C55" s="4" t="s">
        <v>177</v>
      </c>
      <c r="D55" s="4" t="str">
        <f t="shared" ca="1" si="21"/>
        <v>YDN10-0100</v>
      </c>
      <c r="E55" s="4" t="str">
        <f t="shared" ca="1" si="22"/>
        <v>DIN-рейка (100см) оцинкованная</v>
      </c>
      <c r="F55" s="4">
        <f t="shared" ca="1" si="23"/>
        <v>686</v>
      </c>
      <c r="G55" s="4">
        <f t="shared" ca="1" si="17"/>
        <v>686</v>
      </c>
      <c r="H55" s="4">
        <f t="shared" ca="1" si="18"/>
        <v>0</v>
      </c>
      <c r="I55" s="4">
        <v>0</v>
      </c>
      <c r="J55" s="4" t="s">
        <v>119</v>
      </c>
      <c r="K55" s="4" t="str">
        <f t="shared" ca="1" si="19"/>
        <v>EKT</v>
      </c>
      <c r="L55" s="4">
        <f t="shared" ca="1" si="20"/>
        <v>0</v>
      </c>
      <c r="M55" s="2" t="s">
        <v>14</v>
      </c>
      <c r="N55" s="4" t="s">
        <v>381</v>
      </c>
      <c r="O55" s="4"/>
      <c r="P55" s="14" t="s">
        <v>181</v>
      </c>
    </row>
    <row r="56" spans="1:16" x14ac:dyDescent="0.25">
      <c r="A56" s="4">
        <v>55</v>
      </c>
      <c r="B56" s="2" t="str">
        <f t="shared" ca="1" si="16"/>
        <v>Кабель-канал 25х25 белый</v>
      </c>
      <c r="C56" s="4" t="s">
        <v>339</v>
      </c>
      <c r="D56" s="4" t="str">
        <f t="shared" ca="1" si="21"/>
        <v>280100249</v>
      </c>
      <c r="E56" s="4" t="str">
        <f t="shared" ca="1" si="22"/>
        <v>Кабель-канал 25х25 белый</v>
      </c>
      <c r="F56" s="4">
        <f t="shared" ca="1" si="23"/>
        <v>122</v>
      </c>
      <c r="G56" s="4">
        <f t="shared" ca="1" si="17"/>
        <v>122</v>
      </c>
      <c r="H56" s="4">
        <f t="shared" ca="1" si="18"/>
        <v>0</v>
      </c>
      <c r="I56" s="4">
        <v>0</v>
      </c>
      <c r="J56" s="4" t="s">
        <v>185</v>
      </c>
      <c r="K56" s="4" t="str">
        <f t="shared" ca="1" si="19"/>
        <v>EKT</v>
      </c>
      <c r="L56" s="4">
        <f t="shared" ca="1" si="20"/>
        <v>0</v>
      </c>
      <c r="M56" s="2" t="s">
        <v>14</v>
      </c>
      <c r="N56" s="4" t="s">
        <v>382</v>
      </c>
      <c r="O56" s="4"/>
      <c r="P56" s="14" t="s">
        <v>297</v>
      </c>
    </row>
    <row r="57" spans="1:16" x14ac:dyDescent="0.25">
      <c r="A57" s="4">
        <v>56</v>
      </c>
      <c r="B57" s="2" t="str">
        <f t="shared" ca="1" si="16"/>
        <v>ПВ3-16 белый ГОСТ (pano ici kablo)</v>
      </c>
      <c r="C57" s="4" t="s">
        <v>341</v>
      </c>
      <c r="D57" s="4" t="str">
        <f t="shared" ca="1" si="21"/>
        <v>100300015</v>
      </c>
      <c r="E57" s="4" t="str">
        <f t="shared" ca="1" si="22"/>
        <v>ПВ3-16 белый ГОСТ (pano ici kablo)</v>
      </c>
      <c r="F57" s="4">
        <f t="shared" ca="1" si="23"/>
        <v>961</v>
      </c>
      <c r="G57" s="4">
        <f t="shared" ca="1" si="17"/>
        <v>961</v>
      </c>
      <c r="H57" s="4">
        <f t="shared" ca="1" si="18"/>
        <v>1922</v>
      </c>
      <c r="I57" s="4">
        <v>2</v>
      </c>
      <c r="J57" s="4" t="s">
        <v>185</v>
      </c>
      <c r="K57" s="4" t="str">
        <f t="shared" ca="1" si="19"/>
        <v>EKT</v>
      </c>
      <c r="L57" s="4">
        <f t="shared" ca="1" si="20"/>
        <v>1922</v>
      </c>
      <c r="M57" s="2" t="s">
        <v>14</v>
      </c>
      <c r="N57" s="4" t="s">
        <v>383</v>
      </c>
      <c r="O57" s="4"/>
      <c r="P57" s="14" t="s">
        <v>293</v>
      </c>
    </row>
    <row r="58" spans="1:16" x14ac:dyDescent="0.25">
      <c r="A58" s="4">
        <v>57</v>
      </c>
      <c r="B58" s="2" t="str">
        <f t="shared" ca="1" si="16"/>
        <v>ПВ3-10 белый ГОСТ (pano ici kablo)</v>
      </c>
      <c r="C58" s="4" t="s">
        <v>341</v>
      </c>
      <c r="D58" s="4" t="str">
        <f t="shared" ca="1" si="21"/>
        <v>100300079</v>
      </c>
      <c r="E58" s="4" t="str">
        <f t="shared" ca="1" si="22"/>
        <v>ПВ3-10 белый ГОСТ (pano ici kablo)</v>
      </c>
      <c r="F58" s="4">
        <f t="shared" ca="1" si="23"/>
        <v>591</v>
      </c>
      <c r="G58" s="4">
        <f t="shared" ca="1" si="17"/>
        <v>591</v>
      </c>
      <c r="H58" s="4">
        <f t="shared" ca="1" si="18"/>
        <v>1182</v>
      </c>
      <c r="I58" s="4">
        <v>2</v>
      </c>
      <c r="J58" s="4" t="s">
        <v>185</v>
      </c>
      <c r="K58" s="4" t="str">
        <f t="shared" ca="1" si="19"/>
        <v>EKT</v>
      </c>
      <c r="L58" s="4">
        <f t="shared" ca="1" si="20"/>
        <v>1182</v>
      </c>
      <c r="M58" s="2" t="s">
        <v>14</v>
      </c>
      <c r="N58" s="4" t="s">
        <v>384</v>
      </c>
      <c r="O58" s="4"/>
      <c r="P58" s="14" t="s">
        <v>289</v>
      </c>
    </row>
    <row r="59" spans="1:16" x14ac:dyDescent="0.25">
      <c r="A59" s="4">
        <v>58</v>
      </c>
      <c r="B59" s="2" t="str">
        <f t="shared" ca="1" si="16"/>
        <v>ПВ3-6 белый ГОСТ (pano ici kablo)</v>
      </c>
      <c r="C59" s="4" t="s">
        <v>341</v>
      </c>
      <c r="D59" s="4" t="str">
        <f t="shared" ca="1" si="21"/>
        <v>100300031</v>
      </c>
      <c r="E59" s="4" t="str">
        <f t="shared" ca="1" si="22"/>
        <v>ПВ3-6 белый ГОСТ (pano ici kablo)</v>
      </c>
      <c r="F59" s="4">
        <f t="shared" ca="1" si="23"/>
        <v>361</v>
      </c>
      <c r="G59" s="4">
        <f t="shared" ca="1" si="17"/>
        <v>361</v>
      </c>
      <c r="H59" s="4">
        <f t="shared" ca="1" si="18"/>
        <v>2527</v>
      </c>
      <c r="I59" s="4">
        <v>7</v>
      </c>
      <c r="J59" s="4" t="s">
        <v>185</v>
      </c>
      <c r="K59" s="4" t="str">
        <f t="shared" ca="1" si="19"/>
        <v>EKT</v>
      </c>
      <c r="L59" s="4">
        <f t="shared" ca="1" si="20"/>
        <v>2527</v>
      </c>
      <c r="M59" s="2" t="s">
        <v>14</v>
      </c>
      <c r="N59" s="4" t="s">
        <v>385</v>
      </c>
      <c r="O59" s="4"/>
      <c r="P59" s="14" t="s">
        <v>196</v>
      </c>
    </row>
    <row r="60" spans="1:16" x14ac:dyDescent="0.25">
      <c r="A60" s="4">
        <v>59</v>
      </c>
      <c r="B60" s="2" t="str">
        <f t="shared" ca="1" si="16"/>
        <v>222-412 Клемма проходная (0,08-4мм 32А)</v>
      </c>
      <c r="C60" s="4" t="s">
        <v>347</v>
      </c>
      <c r="D60" s="4" t="str">
        <f t="shared" ca="1" si="21"/>
        <v>030300442</v>
      </c>
      <c r="E60" s="4" t="str">
        <f t="shared" ca="1" si="22"/>
        <v>222-412 Клемма проходная (0,08-4мм 32А)</v>
      </c>
      <c r="F60" s="4">
        <f t="shared" ca="1" si="23"/>
        <v>210</v>
      </c>
      <c r="G60" s="4">
        <f t="shared" ca="1" si="17"/>
        <v>210</v>
      </c>
      <c r="H60" s="4">
        <f t="shared" ca="1" si="18"/>
        <v>2520</v>
      </c>
      <c r="I60" s="4">
        <v>12</v>
      </c>
      <c r="J60" s="4" t="s">
        <v>119</v>
      </c>
      <c r="K60" s="4" t="str">
        <f t="shared" ca="1" si="19"/>
        <v>EKT</v>
      </c>
      <c r="L60" s="4">
        <f t="shared" ca="1" si="20"/>
        <v>2520</v>
      </c>
      <c r="M60" s="2" t="s">
        <v>14</v>
      </c>
      <c r="N60" s="4" t="s">
        <v>386</v>
      </c>
      <c r="O60" s="4"/>
      <c r="P60" s="14" t="s">
        <v>208</v>
      </c>
    </row>
    <row r="61" spans="1:16" x14ac:dyDescent="0.25">
      <c r="A61" s="4">
        <v>60</v>
      </c>
      <c r="B61" s="2" t="str">
        <f t="shared" ca="1" si="16"/>
        <v>Наконечник медный лужёный ТМЛ 35-10-9</v>
      </c>
      <c r="C61" s="4" t="s">
        <v>349</v>
      </c>
      <c r="D61" s="4" t="str">
        <f t="shared" ca="1" si="21"/>
        <v>260100132</v>
      </c>
      <c r="E61" s="4" t="str">
        <f t="shared" ca="1" si="22"/>
        <v>Наконечник медный лужёный ТМЛ 35-10-9</v>
      </c>
      <c r="F61" s="4">
        <f t="shared" ca="1" si="23"/>
        <v>387</v>
      </c>
      <c r="G61" s="4">
        <f t="shared" ca="1" si="17"/>
        <v>387</v>
      </c>
      <c r="H61" s="4">
        <f t="shared" ca="1" si="18"/>
        <v>0</v>
      </c>
      <c r="I61" s="4">
        <v>0</v>
      </c>
      <c r="J61" s="4" t="s">
        <v>119</v>
      </c>
      <c r="K61" s="4" t="str">
        <f t="shared" ca="1" si="19"/>
        <v>EKT</v>
      </c>
      <c r="L61" s="4">
        <f t="shared" ca="1" si="20"/>
        <v>0</v>
      </c>
      <c r="M61" s="2" t="s">
        <v>14</v>
      </c>
      <c r="N61" s="4" t="s">
        <v>387</v>
      </c>
      <c r="O61" s="4"/>
      <c r="P61" s="14" t="s">
        <v>214</v>
      </c>
    </row>
    <row r="62" spans="1:16" x14ac:dyDescent="0.25">
      <c r="A62" s="4">
        <v>61</v>
      </c>
      <c r="B62" s="2" t="str">
        <f t="shared" ca="1" si="16"/>
        <v>Наконечник-гильза Е4009 4мм2 izole (100 ad/paket)</v>
      </c>
      <c r="C62" s="4" t="s">
        <v>351</v>
      </c>
      <c r="D62" s="4" t="str">
        <f t="shared" ca="1" si="21"/>
        <v>260200024</v>
      </c>
      <c r="E62" s="4" t="str">
        <f t="shared" ca="1" si="22"/>
        <v>Наконечник-гильза Е4009 4мм2 izole (100 ad/paket)</v>
      </c>
      <c r="F62" s="4">
        <f t="shared" ca="1" si="23"/>
        <v>1245</v>
      </c>
      <c r="G62" s="4">
        <f t="shared" ca="1" si="17"/>
        <v>1245</v>
      </c>
      <c r="H62" s="4">
        <f t="shared" ca="1" si="18"/>
        <v>1245</v>
      </c>
      <c r="I62" s="4">
        <v>1</v>
      </c>
      <c r="J62" s="4" t="s">
        <v>218</v>
      </c>
      <c r="K62" s="4" t="str">
        <f t="shared" ca="1" si="19"/>
        <v>EKT</v>
      </c>
      <c r="L62" s="4">
        <f t="shared" ca="1" si="20"/>
        <v>1245</v>
      </c>
      <c r="M62" s="2" t="s">
        <v>14</v>
      </c>
      <c r="N62" s="4" t="s">
        <v>388</v>
      </c>
      <c r="O62" s="4"/>
      <c r="P62" s="14" t="s">
        <v>221</v>
      </c>
    </row>
    <row r="63" spans="1:16" x14ac:dyDescent="0.25">
      <c r="A63" s="4">
        <v>62</v>
      </c>
      <c r="B63" s="2" t="str">
        <f t="shared" ca="1" si="16"/>
        <v>Montaj malzemesi (etiket, sema cebi, kilit-menteşe, numaralandirma, vida-dubel takimi)</v>
      </c>
      <c r="C63" s="4" t="s">
        <v>353</v>
      </c>
      <c r="D63" s="4" t="str">
        <f t="shared" ca="1" si="21"/>
        <v>MONTAJ-MALZEME-KOMPLE</v>
      </c>
      <c r="E63" s="9" t="str">
        <f t="shared" ca="1" si="22"/>
        <v>Montaj malzemesi (etiket, sema cebi, kilit-menteşe, numaralandirma, vida-dubel takimi)</v>
      </c>
      <c r="F63" s="9">
        <f t="shared" ca="1" si="23"/>
        <v>0</v>
      </c>
      <c r="G63" s="9">
        <f t="shared" ca="1" si="17"/>
        <v>0</v>
      </c>
      <c r="H63" s="9">
        <f t="shared" ca="1" si="18"/>
        <v>0</v>
      </c>
      <c r="I63" s="4">
        <v>1</v>
      </c>
      <c r="J63" s="4" t="s">
        <v>119</v>
      </c>
      <c r="K63" s="9" t="str">
        <f t="shared" ca="1" si="19"/>
        <v>YOK</v>
      </c>
      <c r="L63" s="9">
        <f t="shared" ca="1" si="20"/>
        <v>0</v>
      </c>
      <c r="M63" s="4" t="s">
        <v>3</v>
      </c>
      <c r="N63" s="4" t="s">
        <v>354</v>
      </c>
      <c r="O63" s="4"/>
      <c r="P63" s="14" t="s">
        <v>223</v>
      </c>
    </row>
    <row r="64" spans="1:16" x14ac:dyDescent="0.25">
      <c r="A64" s="4">
        <v>63</v>
      </c>
      <c r="B64" s="2" t="str">
        <f t="shared" ca="1" si="16"/>
        <v>Montaj + test + etiketleme iscilik</v>
      </c>
      <c r="C64" s="4" t="s">
        <v>355</v>
      </c>
      <c r="D64" s="4" t="str">
        <f t="shared" ca="1" si="21"/>
        <v>ISCILIK-MONTAJ</v>
      </c>
      <c r="E64" s="4" t="str">
        <f t="shared" ca="1" si="22"/>
        <v>Montaj + test + etiketleme iscilik</v>
      </c>
      <c r="F64" s="4">
        <f t="shared" ca="1" si="23"/>
        <v>6000</v>
      </c>
      <c r="G64" s="4">
        <f t="shared" ca="1" si="17"/>
        <v>100</v>
      </c>
      <c r="H64" s="4">
        <f t="shared" ca="1" si="18"/>
        <v>18000</v>
      </c>
      <c r="I64" s="4">
        <v>180</v>
      </c>
      <c r="J64" s="4" t="s">
        <v>229</v>
      </c>
      <c r="K64" s="4" t="str">
        <f t="shared" ca="1" si="19"/>
        <v>ISCILIK</v>
      </c>
      <c r="L64" s="4">
        <f t="shared" ca="1" si="20"/>
        <v>18000</v>
      </c>
      <c r="M64" s="2" t="s">
        <v>14</v>
      </c>
      <c r="N64" s="4" t="s">
        <v>389</v>
      </c>
      <c r="O64" s="4"/>
      <c r="P64" s="14" t="s">
        <v>227</v>
      </c>
    </row>
    <row r="65" spans="1:16" x14ac:dyDescent="0.25">
      <c r="B65" s="7" t="s">
        <v>390</v>
      </c>
      <c r="H65" s="7">
        <f ca="1">SUBTOTAL(9,H45:H64)</f>
        <v>89078.2</v>
      </c>
      <c r="L65" s="7">
        <f ca="1">SUBTOTAL(9,L45:L64)</f>
        <v>89078.2</v>
      </c>
    </row>
    <row r="66" spans="1:16" x14ac:dyDescent="0.25">
      <c r="A66" s="4">
        <v>65</v>
      </c>
      <c r="B66" s="11" t="s">
        <v>391</v>
      </c>
      <c r="C66" s="12"/>
      <c r="D66" s="12"/>
      <c r="E66" s="12"/>
      <c r="F66" s="12"/>
      <c r="G66" s="12"/>
      <c r="H66" s="12"/>
      <c r="I66" s="12">
        <v>1</v>
      </c>
      <c r="J66" s="12" t="s">
        <v>323</v>
      </c>
      <c r="K66" s="12"/>
      <c r="L66" s="12"/>
      <c r="M66" s="12"/>
      <c r="N66" s="12"/>
      <c r="O66" s="12"/>
      <c r="P66" s="12"/>
    </row>
    <row r="67" spans="1:16" x14ac:dyDescent="0.25">
      <c r="A67" s="4">
        <v>66</v>
      </c>
      <c r="B67" s="2" t="str">
        <f t="shared" ref="B67:B88" ca="1" si="24">E67</f>
        <v>Щит мет. ЩРн-7-2 PR (1320x750x300) IP54 (TS)</v>
      </c>
      <c r="C67" s="4" t="s">
        <v>324</v>
      </c>
      <c r="D67" s="4" t="str">
        <f t="shared" ref="D67:D88" ca="1" si="25">IF($P67="","",INDEX(FIYAT_KOD,MATCH($P67,FIYAT_ART,0)))</f>
        <v>714-15112</v>
      </c>
      <c r="E67" s="4" t="str">
        <f t="shared" ref="E67:E88" ca="1" si="26">IF($P67="","",INDEX(FIYAT_ACK,MATCH($P67,FIYAT_ART,0)))</f>
        <v>Щит мет. ЩРн-7-2 PR (1320x750x300) IP54 (TS)</v>
      </c>
      <c r="F67" s="4">
        <f t="shared" ref="F67:F88" ca="1" si="27">IF($P67="","",INDEX(FIYAT_LISTE,MATCH($P67,FIYAT_ART,0)))</f>
        <v>73730</v>
      </c>
      <c r="G67" s="4">
        <f t="shared" ref="G67:G88" ca="1" si="28">IF($P67="","",INDEX(FIYAT_NET,MATCH($P67,FIYAT_ART,0)))</f>
        <v>44238</v>
      </c>
      <c r="H67" s="4">
        <f t="shared" ref="H67:H88" ca="1" si="29">IF(OR($G67="",$I67=""),"",$G67*$I67)</f>
        <v>44238</v>
      </c>
      <c r="I67" s="4">
        <v>1</v>
      </c>
      <c r="J67" s="4" t="s">
        <v>119</v>
      </c>
      <c r="K67" s="4" t="str">
        <f t="shared" ref="K67:K88" ca="1" si="30">IF($P67="","",INDEX(FIYAT_MARKA,MATCH($P67,FIYAT_ART,0)))</f>
        <v>KAZTEK</v>
      </c>
      <c r="L67" s="4">
        <f t="shared" ref="L67:L88" ca="1" si="31">IF($H67="","",$H67)</f>
        <v>44238</v>
      </c>
      <c r="M67" s="2" t="s">
        <v>14</v>
      </c>
      <c r="N67" s="4" t="s">
        <v>392</v>
      </c>
      <c r="O67" s="4"/>
      <c r="P67" s="14" t="s">
        <v>303</v>
      </c>
    </row>
    <row r="68" spans="1:16" x14ac:dyDescent="0.25">
      <c r="A68" s="4">
        <v>67</v>
      </c>
      <c r="B68" s="2" t="str">
        <f t="shared" ca="1" si="24"/>
        <v>Авт. выкл. NXM-125S/3Р 125A 25кА (R)</v>
      </c>
      <c r="C68" s="4" t="s">
        <v>116</v>
      </c>
      <c r="D68" s="4" t="str">
        <f t="shared" ca="1" si="25"/>
        <v>131363</v>
      </c>
      <c r="E68" s="4" t="str">
        <f t="shared" ca="1" si="26"/>
        <v>Авт. выкл. NXM-125S/3Р 125A 25кА (R)</v>
      </c>
      <c r="F68" s="4">
        <f t="shared" ca="1" si="27"/>
        <v>19760</v>
      </c>
      <c r="G68" s="4">
        <f t="shared" ca="1" si="28"/>
        <v>11856</v>
      </c>
      <c r="H68" s="4">
        <f t="shared" ca="1" si="29"/>
        <v>11856</v>
      </c>
      <c r="I68" s="4">
        <v>1</v>
      </c>
      <c r="J68" s="4" t="s">
        <v>119</v>
      </c>
      <c r="K68" s="4" t="str">
        <f t="shared" ca="1" si="30"/>
        <v>CHINT</v>
      </c>
      <c r="L68" s="4">
        <f t="shared" ca="1" si="31"/>
        <v>11856</v>
      </c>
      <c r="M68" s="4" t="s">
        <v>1</v>
      </c>
      <c r="N68" s="4" t="s">
        <v>393</v>
      </c>
      <c r="O68" s="4"/>
      <c r="P68" s="14" t="s">
        <v>122</v>
      </c>
    </row>
    <row r="69" spans="1:16" x14ac:dyDescent="0.25">
      <c r="A69" s="4">
        <v>68</v>
      </c>
      <c r="B69" s="2" t="str">
        <f t="shared" ca="1" si="24"/>
        <v>Авт. выкл. NXM-125S/3Р 100A 25кА (R)</v>
      </c>
      <c r="C69" s="4" t="s">
        <v>116</v>
      </c>
      <c r="D69" s="4" t="str">
        <f t="shared" ca="1" si="25"/>
        <v>131362</v>
      </c>
      <c r="E69" s="4" t="str">
        <f t="shared" ca="1" si="26"/>
        <v>Авт. выкл. NXM-125S/3Р 100A 25кА (R)</v>
      </c>
      <c r="F69" s="4">
        <f t="shared" ca="1" si="27"/>
        <v>19443</v>
      </c>
      <c r="G69" s="4">
        <f t="shared" ca="1" si="28"/>
        <v>11665.8</v>
      </c>
      <c r="H69" s="4">
        <f t="shared" ca="1" si="29"/>
        <v>11665.8</v>
      </c>
      <c r="I69" s="4">
        <v>1</v>
      </c>
      <c r="J69" s="4" t="s">
        <v>119</v>
      </c>
      <c r="K69" s="4" t="str">
        <f t="shared" ca="1" si="30"/>
        <v>CHINT</v>
      </c>
      <c r="L69" s="4">
        <f t="shared" ca="1" si="31"/>
        <v>11665.8</v>
      </c>
      <c r="M69" s="4" t="s">
        <v>1</v>
      </c>
      <c r="N69" s="4" t="s">
        <v>394</v>
      </c>
      <c r="O69" s="4"/>
      <c r="P69" s="14" t="s">
        <v>248</v>
      </c>
    </row>
    <row r="70" spans="1:16" x14ac:dyDescent="0.25">
      <c r="A70" s="4">
        <v>69</v>
      </c>
      <c r="B70" s="2" t="str">
        <f t="shared" ca="1" si="24"/>
        <v>Счетчик ND СА4У-Э720 Дала 3ф (5-7,5А) 1 тариф. Saiman (AT'li)</v>
      </c>
      <c r="C70" s="4" t="s">
        <v>328</v>
      </c>
      <c r="D70" s="4" t="str">
        <f t="shared" ca="1" si="25"/>
        <v>200200046</v>
      </c>
      <c r="E70" s="4" t="str">
        <f t="shared" ca="1" si="26"/>
        <v>Счетчик ND СА4У-Э720 Дала 3ф (5-7,5А) 1 тариф. Saiman (AT'li)</v>
      </c>
      <c r="F70" s="4">
        <f t="shared" ca="1" si="27"/>
        <v>22850</v>
      </c>
      <c r="G70" s="4">
        <f t="shared" ca="1" si="28"/>
        <v>22850</v>
      </c>
      <c r="H70" s="4">
        <f t="shared" ca="1" si="29"/>
        <v>22850</v>
      </c>
      <c r="I70" s="4">
        <v>1</v>
      </c>
      <c r="J70" s="4" t="s">
        <v>119</v>
      </c>
      <c r="K70" s="4" t="str">
        <f t="shared" ca="1" si="30"/>
        <v>EKT</v>
      </c>
      <c r="L70" s="4">
        <f t="shared" ca="1" si="31"/>
        <v>22850</v>
      </c>
      <c r="M70" s="4" t="s">
        <v>1</v>
      </c>
      <c r="N70" s="4" t="s">
        <v>395</v>
      </c>
      <c r="O70" s="4"/>
      <c r="P70" s="14" t="s">
        <v>269</v>
      </c>
    </row>
    <row r="71" spans="1:16" x14ac:dyDescent="0.25">
      <c r="A71" s="13">
        <v>70</v>
      </c>
      <c r="B71" s="13" t="str">
        <f t="shared" ca="1" si="24"/>
        <v>Трансформатор тока BH-0.66 60 I 400/5A класс точности 0.5</v>
      </c>
      <c r="C71" s="13" t="s">
        <v>270</v>
      </c>
      <c r="D71" s="13" t="str">
        <f t="shared" ca="1" si="25"/>
        <v>255298</v>
      </c>
      <c r="E71" s="13" t="str">
        <f t="shared" ca="1" si="26"/>
        <v>Трансформатор тока BH-0.66 60 I 400/5A класс точности 0.5</v>
      </c>
      <c r="F71" s="13">
        <f t="shared" ca="1" si="27"/>
        <v>6065</v>
      </c>
      <c r="G71" s="13">
        <f t="shared" ca="1" si="28"/>
        <v>3639</v>
      </c>
      <c r="H71" s="13">
        <f t="shared" ca="1" si="29"/>
        <v>10917</v>
      </c>
      <c r="I71" s="13">
        <v>3</v>
      </c>
      <c r="J71" s="13" t="s">
        <v>119</v>
      </c>
      <c r="K71" s="13" t="str">
        <f t="shared" ca="1" si="30"/>
        <v>CHINT</v>
      </c>
      <c r="L71" s="13">
        <f t="shared" ca="1" si="31"/>
        <v>10917</v>
      </c>
      <c r="M71" s="4" t="s">
        <v>17</v>
      </c>
      <c r="N71" s="4" t="s">
        <v>396</v>
      </c>
      <c r="O71" s="4"/>
      <c r="P71" s="14" t="s">
        <v>275</v>
      </c>
    </row>
    <row r="72" spans="1:16" x14ac:dyDescent="0.25">
      <c r="A72" s="4">
        <v>71</v>
      </c>
      <c r="B72" s="2" t="str">
        <f t="shared" ca="1" si="24"/>
        <v>Авт. выкл. NXB-63S 3P 25А 4.5kA х-ка C</v>
      </c>
      <c r="C72" s="4" t="s">
        <v>132</v>
      </c>
      <c r="D72" s="4" t="str">
        <f t="shared" ca="1" si="25"/>
        <v>296829</v>
      </c>
      <c r="E72" s="4" t="str">
        <f t="shared" ca="1" si="26"/>
        <v>Авт. выкл. NXB-63S 3P 25А 4.5kA х-ка C</v>
      </c>
      <c r="F72" s="4">
        <f t="shared" ca="1" si="27"/>
        <v>2429</v>
      </c>
      <c r="G72" s="4">
        <f t="shared" ca="1" si="28"/>
        <v>1457.3999999999999</v>
      </c>
      <c r="H72" s="4">
        <f t="shared" ca="1" si="29"/>
        <v>1457.3999999999999</v>
      </c>
      <c r="I72" s="4">
        <v>1</v>
      </c>
      <c r="J72" s="4" t="s">
        <v>119</v>
      </c>
      <c r="K72" s="4" t="str">
        <f t="shared" ca="1" si="30"/>
        <v>CHINT</v>
      </c>
      <c r="L72" s="4">
        <f t="shared" ca="1" si="31"/>
        <v>1457.3999999999999</v>
      </c>
      <c r="M72" s="4" t="s">
        <v>1</v>
      </c>
      <c r="N72" s="4" t="s">
        <v>397</v>
      </c>
      <c r="O72" s="4"/>
      <c r="P72" s="14" t="s">
        <v>256</v>
      </c>
    </row>
    <row r="73" spans="1:16" x14ac:dyDescent="0.25">
      <c r="A73" s="4">
        <v>72</v>
      </c>
      <c r="B73" s="2" t="str">
        <f t="shared" ca="1" si="24"/>
        <v>Авт. выкл. NXB-63S 3P 16А 4.5kA х-ка C</v>
      </c>
      <c r="C73" s="4" t="s">
        <v>132</v>
      </c>
      <c r="D73" s="4" t="str">
        <f t="shared" ca="1" si="25"/>
        <v>296827</v>
      </c>
      <c r="E73" s="4" t="str">
        <f t="shared" ca="1" si="26"/>
        <v>Авт. выкл. NXB-63S 3P 16А 4.5kA х-ка C</v>
      </c>
      <c r="F73" s="4">
        <f t="shared" ca="1" si="27"/>
        <v>2337</v>
      </c>
      <c r="G73" s="4">
        <f t="shared" ca="1" si="28"/>
        <v>1402.2</v>
      </c>
      <c r="H73" s="4">
        <f t="shared" ca="1" si="29"/>
        <v>7011</v>
      </c>
      <c r="I73" s="4">
        <v>5</v>
      </c>
      <c r="J73" s="4" t="s">
        <v>119</v>
      </c>
      <c r="K73" s="4" t="str">
        <f t="shared" ca="1" si="30"/>
        <v>CHINT</v>
      </c>
      <c r="L73" s="4">
        <f t="shared" ca="1" si="31"/>
        <v>7011</v>
      </c>
      <c r="M73" s="4" t="s">
        <v>1</v>
      </c>
      <c r="N73" s="4" t="s">
        <v>398</v>
      </c>
      <c r="O73" s="4"/>
      <c r="P73" s="14" t="s">
        <v>260</v>
      </c>
    </row>
    <row r="74" spans="1:16" x14ac:dyDescent="0.25">
      <c r="A74" s="4">
        <v>73</v>
      </c>
      <c r="B74" s="2" t="str">
        <f t="shared" ca="1" si="24"/>
        <v>Авт. выкл. NXB-63 1P 6A 6кА х-ка C</v>
      </c>
      <c r="C74" s="4" t="s">
        <v>132</v>
      </c>
      <c r="D74" s="4" t="str">
        <f t="shared" ca="1" si="25"/>
        <v>814012</v>
      </c>
      <c r="E74" s="4" t="str">
        <f t="shared" ca="1" si="26"/>
        <v>Авт. выкл. NXB-63 1P 6A 6кА х-ка C</v>
      </c>
      <c r="F74" s="4">
        <f t="shared" ca="1" si="27"/>
        <v>1436</v>
      </c>
      <c r="G74" s="4">
        <f t="shared" ca="1" si="28"/>
        <v>861.6</v>
      </c>
      <c r="H74" s="4">
        <f t="shared" ca="1" si="29"/>
        <v>0</v>
      </c>
      <c r="I74" s="4">
        <v>0</v>
      </c>
      <c r="J74" s="4" t="s">
        <v>119</v>
      </c>
      <c r="K74" s="4" t="str">
        <f t="shared" ca="1" si="30"/>
        <v>CHINT</v>
      </c>
      <c r="L74" s="4">
        <f t="shared" ca="1" si="31"/>
        <v>0</v>
      </c>
      <c r="M74" s="2" t="s">
        <v>14</v>
      </c>
      <c r="N74" s="4" t="s">
        <v>379</v>
      </c>
      <c r="O74" s="4"/>
      <c r="P74" s="14" t="s">
        <v>146</v>
      </c>
    </row>
    <row r="75" spans="1:16" x14ac:dyDescent="0.25">
      <c r="A75" s="4">
        <v>74</v>
      </c>
      <c r="B75" s="2" t="str">
        <f t="shared" ca="1" si="24"/>
        <v>Шина соединительная типа PIN 3P, 63А, L=1000мм</v>
      </c>
      <c r="C75" s="4" t="s">
        <v>334</v>
      </c>
      <c r="D75" s="4" t="str">
        <f t="shared" ca="1" si="25"/>
        <v>811002</v>
      </c>
      <c r="E75" s="4" t="str">
        <f t="shared" ca="1" si="26"/>
        <v>Шина соединительная типа PIN 3P, 63А, L=1000мм</v>
      </c>
      <c r="F75" s="4">
        <f t="shared" ca="1" si="27"/>
        <v>12699</v>
      </c>
      <c r="G75" s="4">
        <f t="shared" ca="1" si="28"/>
        <v>7619.4</v>
      </c>
      <c r="H75" s="4">
        <f t="shared" ca="1" si="29"/>
        <v>7619.4</v>
      </c>
      <c r="I75" s="4">
        <v>1</v>
      </c>
      <c r="J75" s="4" t="s">
        <v>119</v>
      </c>
      <c r="K75" s="4" t="str">
        <f t="shared" ca="1" si="30"/>
        <v>CHINT</v>
      </c>
      <c r="L75" s="4">
        <f t="shared" ca="1" si="31"/>
        <v>7619.4</v>
      </c>
      <c r="M75" s="2" t="s">
        <v>14</v>
      </c>
      <c r="N75" s="4" t="s">
        <v>399</v>
      </c>
      <c r="O75" s="4"/>
      <c r="P75" s="14" t="s">
        <v>280</v>
      </c>
    </row>
    <row r="76" spans="1:16" x14ac:dyDescent="0.25">
      <c r="A76" s="4">
        <v>75</v>
      </c>
      <c r="B76" s="2" t="str">
        <f t="shared" ca="1" si="24"/>
        <v>Шина N ноль DIN-изол ШНИ-6х9-24-Д-С</v>
      </c>
      <c r="C76" s="4" t="s">
        <v>334</v>
      </c>
      <c r="D76" s="4" t="str">
        <f t="shared" ca="1" si="25"/>
        <v>YNN10-69-24D-K07</v>
      </c>
      <c r="E76" s="4" t="str">
        <f t="shared" ca="1" si="26"/>
        <v>Шина N ноль DIN-изол ШНИ-6х9-24-Д-С</v>
      </c>
      <c r="F76" s="4">
        <f t="shared" ca="1" si="27"/>
        <v>900</v>
      </c>
      <c r="G76" s="4">
        <f t="shared" ca="1" si="28"/>
        <v>900</v>
      </c>
      <c r="H76" s="4">
        <f t="shared" ca="1" si="29"/>
        <v>900</v>
      </c>
      <c r="I76" s="4">
        <v>1</v>
      </c>
      <c r="J76" s="4" t="s">
        <v>119</v>
      </c>
      <c r="K76" s="4" t="str">
        <f t="shared" ca="1" si="30"/>
        <v>EKT</v>
      </c>
      <c r="L76" s="4">
        <f t="shared" ca="1" si="31"/>
        <v>900</v>
      </c>
      <c r="M76" s="2" t="s">
        <v>14</v>
      </c>
      <c r="N76" s="4" t="s">
        <v>336</v>
      </c>
      <c r="O76" s="4"/>
      <c r="P76" s="14" t="s">
        <v>172</v>
      </c>
    </row>
    <row r="77" spans="1:16" x14ac:dyDescent="0.25">
      <c r="A77" s="4">
        <v>76</v>
      </c>
      <c r="B77" s="2" t="str">
        <f t="shared" ca="1" si="24"/>
        <v>Шина PE земля ШНИ 6х9 12-К-З</v>
      </c>
      <c r="C77" s="4" t="s">
        <v>334</v>
      </c>
      <c r="D77" s="4" t="str">
        <f t="shared" ca="1" si="25"/>
        <v>130200401</v>
      </c>
      <c r="E77" s="4" t="str">
        <f t="shared" ca="1" si="26"/>
        <v>Шина PE земля ШНИ 6х9 12-К-З</v>
      </c>
      <c r="F77" s="4">
        <f t="shared" ca="1" si="27"/>
        <v>514</v>
      </c>
      <c r="G77" s="4">
        <f t="shared" ca="1" si="28"/>
        <v>514</v>
      </c>
      <c r="H77" s="4">
        <f t="shared" ca="1" si="29"/>
        <v>514</v>
      </c>
      <c r="I77" s="4">
        <v>1</v>
      </c>
      <c r="J77" s="4" t="s">
        <v>119</v>
      </c>
      <c r="K77" s="4" t="str">
        <f t="shared" ca="1" si="30"/>
        <v>EKT</v>
      </c>
      <c r="L77" s="4">
        <f t="shared" ca="1" si="31"/>
        <v>514</v>
      </c>
      <c r="M77" s="2" t="s">
        <v>14</v>
      </c>
      <c r="N77" s="4" t="s">
        <v>337</v>
      </c>
      <c r="O77" s="4"/>
      <c r="P77" s="14" t="s">
        <v>176</v>
      </c>
    </row>
    <row r="78" spans="1:16" x14ac:dyDescent="0.25">
      <c r="A78" s="4">
        <v>77</v>
      </c>
      <c r="B78" s="2" t="str">
        <f t="shared" ca="1" si="24"/>
        <v>DIN-рейка (100см) оцинкованная</v>
      </c>
      <c r="C78" s="4" t="s">
        <v>177</v>
      </c>
      <c r="D78" s="4" t="str">
        <f t="shared" ca="1" si="25"/>
        <v>YDN10-0100</v>
      </c>
      <c r="E78" s="4" t="str">
        <f t="shared" ca="1" si="26"/>
        <v>DIN-рейка (100см) оцинкованная</v>
      </c>
      <c r="F78" s="4">
        <f t="shared" ca="1" si="27"/>
        <v>686</v>
      </c>
      <c r="G78" s="4">
        <f t="shared" ca="1" si="28"/>
        <v>686</v>
      </c>
      <c r="H78" s="4">
        <f t="shared" ca="1" si="29"/>
        <v>0</v>
      </c>
      <c r="I78" s="4">
        <v>0</v>
      </c>
      <c r="J78" s="4" t="s">
        <v>119</v>
      </c>
      <c r="K78" s="4" t="str">
        <f t="shared" ca="1" si="30"/>
        <v>EKT</v>
      </c>
      <c r="L78" s="4">
        <f t="shared" ca="1" si="31"/>
        <v>0</v>
      </c>
      <c r="M78" s="2" t="s">
        <v>14</v>
      </c>
      <c r="N78" s="4" t="s">
        <v>400</v>
      </c>
      <c r="O78" s="4"/>
      <c r="P78" s="14" t="s">
        <v>181</v>
      </c>
    </row>
    <row r="79" spans="1:16" x14ac:dyDescent="0.25">
      <c r="A79" s="4">
        <v>78</v>
      </c>
      <c r="B79" s="2" t="str">
        <f t="shared" ca="1" si="24"/>
        <v>Кабель-канал 25х25 белый</v>
      </c>
      <c r="C79" s="4" t="s">
        <v>339</v>
      </c>
      <c r="D79" s="4" t="str">
        <f t="shared" ca="1" si="25"/>
        <v>280100249</v>
      </c>
      <c r="E79" s="4" t="str">
        <f t="shared" ca="1" si="26"/>
        <v>Кабель-канал 25х25 белый</v>
      </c>
      <c r="F79" s="4">
        <f t="shared" ca="1" si="27"/>
        <v>122</v>
      </c>
      <c r="G79" s="4">
        <f t="shared" ca="1" si="28"/>
        <v>122</v>
      </c>
      <c r="H79" s="4">
        <f t="shared" ca="1" si="29"/>
        <v>0</v>
      </c>
      <c r="I79" s="4">
        <v>0</v>
      </c>
      <c r="J79" s="4" t="s">
        <v>185</v>
      </c>
      <c r="K79" s="4" t="str">
        <f t="shared" ca="1" si="30"/>
        <v>EKT</v>
      </c>
      <c r="L79" s="4">
        <f t="shared" ca="1" si="31"/>
        <v>0</v>
      </c>
      <c r="M79" s="2" t="s">
        <v>14</v>
      </c>
      <c r="N79" s="4" t="s">
        <v>401</v>
      </c>
      <c r="O79" s="4"/>
      <c r="P79" s="14" t="s">
        <v>297</v>
      </c>
    </row>
    <row r="80" spans="1:16" x14ac:dyDescent="0.25">
      <c r="A80" s="4">
        <v>79</v>
      </c>
      <c r="B80" s="2" t="str">
        <f t="shared" ca="1" si="24"/>
        <v>ПВ3-35 белый ГОСТ (pano ici kablo)</v>
      </c>
      <c r="C80" s="4" t="s">
        <v>341</v>
      </c>
      <c r="D80" s="4" t="str">
        <f t="shared" ca="1" si="25"/>
        <v>100300021</v>
      </c>
      <c r="E80" s="4" t="str">
        <f t="shared" ca="1" si="26"/>
        <v>ПВ3-35 белый ГОСТ (pano ici kablo)</v>
      </c>
      <c r="F80" s="4">
        <f t="shared" ca="1" si="27"/>
        <v>2304</v>
      </c>
      <c r="G80" s="4">
        <f t="shared" ca="1" si="28"/>
        <v>2304</v>
      </c>
      <c r="H80" s="4">
        <f t="shared" ca="1" si="29"/>
        <v>3456</v>
      </c>
      <c r="I80" s="4">
        <v>1.5</v>
      </c>
      <c r="J80" s="4" t="s">
        <v>185</v>
      </c>
      <c r="K80" s="4" t="str">
        <f t="shared" ca="1" si="30"/>
        <v>EKT</v>
      </c>
      <c r="L80" s="4">
        <f t="shared" ca="1" si="31"/>
        <v>3456</v>
      </c>
      <c r="M80" s="2" t="s">
        <v>14</v>
      </c>
      <c r="N80" s="4" t="s">
        <v>402</v>
      </c>
      <c r="O80" s="4"/>
      <c r="P80" s="14" t="s">
        <v>202</v>
      </c>
    </row>
    <row r="81" spans="1:16" x14ac:dyDescent="0.25">
      <c r="A81" s="4">
        <v>80</v>
      </c>
      <c r="B81" s="2" t="str">
        <f t="shared" ca="1" si="24"/>
        <v>ПВ3-25 белый ГОСТ (pano ici kablo)</v>
      </c>
      <c r="C81" s="4" t="s">
        <v>341</v>
      </c>
      <c r="D81" s="4" t="str">
        <f t="shared" ca="1" si="25"/>
        <v>100300016</v>
      </c>
      <c r="E81" s="4" t="str">
        <f t="shared" ca="1" si="26"/>
        <v>ПВ3-25 белый ГОСТ (pano ici kablo)</v>
      </c>
      <c r="F81" s="4">
        <f t="shared" ca="1" si="27"/>
        <v>1560</v>
      </c>
      <c r="G81" s="4">
        <f t="shared" ca="1" si="28"/>
        <v>1560</v>
      </c>
      <c r="H81" s="4">
        <f t="shared" ca="1" si="29"/>
        <v>3120</v>
      </c>
      <c r="I81" s="4">
        <v>2</v>
      </c>
      <c r="J81" s="4" t="s">
        <v>185</v>
      </c>
      <c r="K81" s="4" t="str">
        <f t="shared" ca="1" si="30"/>
        <v>EKT</v>
      </c>
      <c r="L81" s="4">
        <f t="shared" ca="1" si="31"/>
        <v>3120</v>
      </c>
      <c r="M81" s="2" t="s">
        <v>14</v>
      </c>
      <c r="N81" s="4" t="s">
        <v>403</v>
      </c>
      <c r="O81" s="4"/>
      <c r="P81" s="14" t="s">
        <v>199</v>
      </c>
    </row>
    <row r="82" spans="1:16" x14ac:dyDescent="0.25">
      <c r="A82" s="4">
        <v>81</v>
      </c>
      <c r="B82" s="2" t="str">
        <f t="shared" ca="1" si="24"/>
        <v>ПВ3-4 белый ГОСТ (pano ici kablo)</v>
      </c>
      <c r="C82" s="4" t="s">
        <v>341</v>
      </c>
      <c r="D82" s="4" t="str">
        <f t="shared" ca="1" si="25"/>
        <v>100300030</v>
      </c>
      <c r="E82" s="4" t="str">
        <f t="shared" ca="1" si="26"/>
        <v>ПВ3-4 белый ГОСТ (pano ici kablo)</v>
      </c>
      <c r="F82" s="4">
        <f t="shared" ca="1" si="27"/>
        <v>242</v>
      </c>
      <c r="G82" s="4">
        <f t="shared" ca="1" si="28"/>
        <v>242</v>
      </c>
      <c r="H82" s="4">
        <f t="shared" ca="1" si="29"/>
        <v>484</v>
      </c>
      <c r="I82" s="4">
        <v>2</v>
      </c>
      <c r="J82" s="4" t="s">
        <v>185</v>
      </c>
      <c r="K82" s="4" t="str">
        <f t="shared" ca="1" si="30"/>
        <v>EKT</v>
      </c>
      <c r="L82" s="4">
        <f t="shared" ca="1" si="31"/>
        <v>484</v>
      </c>
      <c r="M82" s="2" t="s">
        <v>14</v>
      </c>
      <c r="N82" s="4" t="s">
        <v>404</v>
      </c>
      <c r="O82" s="4"/>
      <c r="P82" s="14" t="s">
        <v>193</v>
      </c>
    </row>
    <row r="83" spans="1:16" x14ac:dyDescent="0.25">
      <c r="A83" s="4">
        <v>82</v>
      </c>
      <c r="B83" s="2" t="str">
        <f t="shared" ca="1" si="24"/>
        <v>ПВ3-2,5 белый ГОСТ (pano ici kablo)</v>
      </c>
      <c r="C83" s="4" t="s">
        <v>341</v>
      </c>
      <c r="D83" s="4" t="str">
        <f t="shared" ca="1" si="25"/>
        <v>100300025</v>
      </c>
      <c r="E83" s="4" t="str">
        <f t="shared" ca="1" si="26"/>
        <v>ПВ3-2,5 белый ГОСТ (pano ici kablo)</v>
      </c>
      <c r="F83" s="4">
        <f t="shared" ca="1" si="27"/>
        <v>144</v>
      </c>
      <c r="G83" s="4">
        <f t="shared" ca="1" si="28"/>
        <v>144</v>
      </c>
      <c r="H83" s="4">
        <f t="shared" ca="1" si="29"/>
        <v>2160</v>
      </c>
      <c r="I83" s="4">
        <v>15</v>
      </c>
      <c r="J83" s="4" t="s">
        <v>185</v>
      </c>
      <c r="K83" s="4" t="str">
        <f t="shared" ca="1" si="30"/>
        <v>EKT</v>
      </c>
      <c r="L83" s="4">
        <f t="shared" ca="1" si="31"/>
        <v>2160</v>
      </c>
      <c r="M83" s="2" t="s">
        <v>14</v>
      </c>
      <c r="N83" s="4" t="s">
        <v>405</v>
      </c>
      <c r="O83" s="4"/>
      <c r="P83" s="14" t="s">
        <v>190</v>
      </c>
    </row>
    <row r="84" spans="1:16" x14ac:dyDescent="0.25">
      <c r="A84" s="4">
        <v>83</v>
      </c>
      <c r="B84" s="2" t="str">
        <f t="shared" ca="1" si="24"/>
        <v>222-412 Клемма проходная (0,08-4мм 32А)</v>
      </c>
      <c r="C84" s="4" t="s">
        <v>347</v>
      </c>
      <c r="D84" s="4" t="str">
        <f t="shared" ca="1" si="25"/>
        <v>030300442</v>
      </c>
      <c r="E84" s="4" t="str">
        <f t="shared" ca="1" si="26"/>
        <v>222-412 Клемма проходная (0,08-4мм 32А)</v>
      </c>
      <c r="F84" s="4">
        <f t="shared" ca="1" si="27"/>
        <v>210</v>
      </c>
      <c r="G84" s="4">
        <f t="shared" ca="1" si="28"/>
        <v>210</v>
      </c>
      <c r="H84" s="4">
        <f t="shared" ca="1" si="29"/>
        <v>4200</v>
      </c>
      <c r="I84" s="4">
        <v>20</v>
      </c>
      <c r="J84" s="4" t="s">
        <v>119</v>
      </c>
      <c r="K84" s="4" t="str">
        <f t="shared" ca="1" si="30"/>
        <v>EKT</v>
      </c>
      <c r="L84" s="4">
        <f t="shared" ca="1" si="31"/>
        <v>4200</v>
      </c>
      <c r="M84" s="2" t="s">
        <v>14</v>
      </c>
      <c r="N84" s="4" t="s">
        <v>406</v>
      </c>
      <c r="O84" s="4"/>
      <c r="P84" s="14" t="s">
        <v>208</v>
      </c>
    </row>
    <row r="85" spans="1:16" x14ac:dyDescent="0.25">
      <c r="A85" s="4">
        <v>84</v>
      </c>
      <c r="B85" s="2" t="str">
        <f t="shared" ca="1" si="24"/>
        <v>Наконечник медный лужёный ТМЛ 35-10-9</v>
      </c>
      <c r="C85" s="4" t="s">
        <v>349</v>
      </c>
      <c r="D85" s="4" t="str">
        <f t="shared" ca="1" si="25"/>
        <v>260100132</v>
      </c>
      <c r="E85" s="4" t="str">
        <f t="shared" ca="1" si="26"/>
        <v>Наконечник медный лужёный ТМЛ 35-10-9</v>
      </c>
      <c r="F85" s="4">
        <f t="shared" ca="1" si="27"/>
        <v>387</v>
      </c>
      <c r="G85" s="4">
        <f t="shared" ca="1" si="28"/>
        <v>387</v>
      </c>
      <c r="H85" s="4">
        <f t="shared" ca="1" si="29"/>
        <v>2322</v>
      </c>
      <c r="I85" s="4">
        <v>6</v>
      </c>
      <c r="J85" s="4" t="s">
        <v>119</v>
      </c>
      <c r="K85" s="4" t="str">
        <f t="shared" ca="1" si="30"/>
        <v>EKT</v>
      </c>
      <c r="L85" s="4">
        <f t="shared" ca="1" si="31"/>
        <v>2322</v>
      </c>
      <c r="M85" s="2" t="s">
        <v>14</v>
      </c>
      <c r="N85" s="4" t="s">
        <v>407</v>
      </c>
      <c r="O85" s="4"/>
      <c r="P85" s="14" t="s">
        <v>214</v>
      </c>
    </row>
    <row r="86" spans="1:16" x14ac:dyDescent="0.25">
      <c r="A86" s="4">
        <v>85</v>
      </c>
      <c r="B86" s="2" t="str">
        <f t="shared" ca="1" si="24"/>
        <v>Наконечник-гильза Е4009 4мм2 izole (100 ad/paket)</v>
      </c>
      <c r="C86" s="4" t="s">
        <v>351</v>
      </c>
      <c r="D86" s="4" t="str">
        <f t="shared" ca="1" si="25"/>
        <v>260200024</v>
      </c>
      <c r="E86" s="4" t="str">
        <f t="shared" ca="1" si="26"/>
        <v>Наконечник-гильза Е4009 4мм2 izole (100 ad/paket)</v>
      </c>
      <c r="F86" s="4">
        <f t="shared" ca="1" si="27"/>
        <v>1245</v>
      </c>
      <c r="G86" s="4">
        <f t="shared" ca="1" si="28"/>
        <v>1245</v>
      </c>
      <c r="H86" s="4">
        <f t="shared" ca="1" si="29"/>
        <v>1245</v>
      </c>
      <c r="I86" s="4">
        <v>1</v>
      </c>
      <c r="J86" s="4" t="s">
        <v>218</v>
      </c>
      <c r="K86" s="4" t="str">
        <f t="shared" ca="1" si="30"/>
        <v>EKT</v>
      </c>
      <c r="L86" s="4">
        <f t="shared" ca="1" si="31"/>
        <v>1245</v>
      </c>
      <c r="M86" s="2" t="s">
        <v>14</v>
      </c>
      <c r="N86" s="4" t="s">
        <v>408</v>
      </c>
      <c r="O86" s="4"/>
      <c r="P86" s="14" t="s">
        <v>221</v>
      </c>
    </row>
    <row r="87" spans="1:16" x14ac:dyDescent="0.25">
      <c r="A87" s="4">
        <v>86</v>
      </c>
      <c r="B87" s="2" t="str">
        <f t="shared" ca="1" si="24"/>
        <v>Montaj malzemesi (etiket, sema cebi, kilit-menteşe, numaralandirma, vida-dubel takimi)</v>
      </c>
      <c r="C87" s="4" t="s">
        <v>353</v>
      </c>
      <c r="D87" s="4" t="str">
        <f t="shared" ca="1" si="25"/>
        <v>MONTAJ-MALZEME-KOMPLE</v>
      </c>
      <c r="E87" s="9" t="str">
        <f t="shared" ca="1" si="26"/>
        <v>Montaj malzemesi (etiket, sema cebi, kilit-menteşe, numaralandirma, vida-dubel takimi)</v>
      </c>
      <c r="F87" s="9">
        <f t="shared" ca="1" si="27"/>
        <v>0</v>
      </c>
      <c r="G87" s="9">
        <f t="shared" ca="1" si="28"/>
        <v>0</v>
      </c>
      <c r="H87" s="9">
        <f t="shared" ca="1" si="29"/>
        <v>0</v>
      </c>
      <c r="I87" s="4">
        <v>1</v>
      </c>
      <c r="J87" s="4" t="s">
        <v>119</v>
      </c>
      <c r="K87" s="9" t="str">
        <f t="shared" ca="1" si="30"/>
        <v>YOK</v>
      </c>
      <c r="L87" s="9">
        <f t="shared" ca="1" si="31"/>
        <v>0</v>
      </c>
      <c r="M87" s="4" t="s">
        <v>3</v>
      </c>
      <c r="N87" s="4" t="s">
        <v>354</v>
      </c>
      <c r="O87" s="4"/>
      <c r="P87" s="14" t="s">
        <v>223</v>
      </c>
    </row>
    <row r="88" spans="1:16" x14ac:dyDescent="0.25">
      <c r="A88" s="4">
        <v>87</v>
      </c>
      <c r="B88" s="2" t="str">
        <f t="shared" ca="1" si="24"/>
        <v>Montaj + test + etiketleme iscilik</v>
      </c>
      <c r="C88" s="4" t="s">
        <v>355</v>
      </c>
      <c r="D88" s="4" t="str">
        <f t="shared" ca="1" si="25"/>
        <v>ISCILIK-MONTAJ</v>
      </c>
      <c r="E88" s="4" t="str">
        <f t="shared" ca="1" si="26"/>
        <v>Montaj + test + etiketleme iscilik</v>
      </c>
      <c r="F88" s="4">
        <f t="shared" ca="1" si="27"/>
        <v>6000</v>
      </c>
      <c r="G88" s="4">
        <f t="shared" ca="1" si="28"/>
        <v>100</v>
      </c>
      <c r="H88" s="4">
        <f t="shared" ca="1" si="29"/>
        <v>12000</v>
      </c>
      <c r="I88" s="4">
        <v>120</v>
      </c>
      <c r="J88" s="4" t="s">
        <v>229</v>
      </c>
      <c r="K88" s="4" t="str">
        <f t="shared" ca="1" si="30"/>
        <v>ISCILIK</v>
      </c>
      <c r="L88" s="4">
        <f t="shared" ca="1" si="31"/>
        <v>12000</v>
      </c>
      <c r="M88" s="2" t="s">
        <v>14</v>
      </c>
      <c r="N88" s="4" t="s">
        <v>409</v>
      </c>
      <c r="O88" s="4"/>
      <c r="P88" s="14" t="s">
        <v>227</v>
      </c>
    </row>
    <row r="89" spans="1:16" x14ac:dyDescent="0.25">
      <c r="B89" s="7" t="s">
        <v>410</v>
      </c>
      <c r="H89" s="7">
        <f ca="1">SUBTOTAL(9,H67:H88)</f>
        <v>148015.59999999998</v>
      </c>
      <c r="L89" s="7">
        <f ca="1">SUBTOTAL(9,L67:L88)</f>
        <v>148015.59999999998</v>
      </c>
    </row>
    <row r="90" spans="1:16" x14ac:dyDescent="0.25">
      <c r="A90" s="4">
        <v>89</v>
      </c>
      <c r="B90" s="11" t="s">
        <v>411</v>
      </c>
      <c r="C90" s="12"/>
      <c r="D90" s="12"/>
      <c r="E90" s="12"/>
      <c r="F90" s="12"/>
      <c r="G90" s="12"/>
      <c r="H90" s="12"/>
      <c r="I90" s="12">
        <v>1</v>
      </c>
      <c r="J90" s="12" t="s">
        <v>323</v>
      </c>
      <c r="K90" s="12"/>
      <c r="L90" s="12"/>
      <c r="M90" s="12"/>
      <c r="N90" s="12"/>
      <c r="O90" s="12"/>
      <c r="P90" s="12"/>
    </row>
    <row r="91" spans="1:16" x14ac:dyDescent="0.25">
      <c r="A91" s="4">
        <v>90</v>
      </c>
      <c r="B91" s="2" t="str">
        <f t="shared" ref="B91:B104" ca="1" si="32">E91</f>
        <v>Мет. Корпус ЩРН-18 (395x310x120) IP54</v>
      </c>
      <c r="C91" s="4" t="s">
        <v>324</v>
      </c>
      <c r="D91" s="4" t="str">
        <f t="shared" ref="D91:D104" ca="1" si="33">IF($P91="","",INDEX(FIYAT_KOD,MATCH($P91,FIYAT_ART,0)))</f>
        <v>714-15027</v>
      </c>
      <c r="E91" s="4" t="str">
        <f t="shared" ref="E91:E104" ca="1" si="34">IF($P91="","",INDEX(FIYAT_ACK,MATCH($P91,FIYAT_ART,0)))</f>
        <v>Мет. Корпус ЩРН-18 (395x310x120) IP54</v>
      </c>
      <c r="F91" s="4">
        <f t="shared" ref="F91:F104" ca="1" si="35">IF($P91="","",INDEX(FIYAT_LISTE,MATCH($P91,FIYAT_ART,0)))</f>
        <v>10270</v>
      </c>
      <c r="G91" s="4">
        <f t="shared" ref="G91:G104" ca="1" si="36">IF($P91="","",INDEX(FIYAT_NET,MATCH($P91,FIYAT_ART,0)))</f>
        <v>6162</v>
      </c>
      <c r="H91" s="4">
        <f t="shared" ref="H91:H104" ca="1" si="37">IF(OR($G91="",$I91=""),"",$G91*$I91)</f>
        <v>6162</v>
      </c>
      <c r="I91" s="4">
        <v>1</v>
      </c>
      <c r="J91" s="4" t="s">
        <v>119</v>
      </c>
      <c r="K91" s="4" t="str">
        <f t="shared" ref="K91:K104" ca="1" si="38">IF($P91="","",INDEX(FIYAT_MARKA,MATCH($P91,FIYAT_ART,0)))</f>
        <v>KAZTEK</v>
      </c>
      <c r="L91" s="4">
        <f t="shared" ref="L91:L104" ca="1" si="39">IF($H91="","",$H91)</f>
        <v>6162</v>
      </c>
      <c r="M91" s="2" t="s">
        <v>14</v>
      </c>
      <c r="N91" s="4" t="s">
        <v>412</v>
      </c>
      <c r="O91" s="4"/>
      <c r="P91" s="14" t="s">
        <v>308</v>
      </c>
    </row>
    <row r="92" spans="1:16" x14ac:dyDescent="0.25">
      <c r="A92" s="4">
        <v>91</v>
      </c>
      <c r="B92" s="2" t="str">
        <f t="shared" ca="1" si="32"/>
        <v>Авт. выкл. NXB-63S 3P 25А 4.5kA х-ка C</v>
      </c>
      <c r="C92" s="4" t="s">
        <v>132</v>
      </c>
      <c r="D92" s="4" t="str">
        <f t="shared" ca="1" si="33"/>
        <v>296829</v>
      </c>
      <c r="E92" s="4" t="str">
        <f t="shared" ca="1" si="34"/>
        <v>Авт. выкл. NXB-63S 3P 25А 4.5kA х-ка C</v>
      </c>
      <c r="F92" s="4">
        <f t="shared" ca="1" si="35"/>
        <v>2429</v>
      </c>
      <c r="G92" s="4">
        <f t="shared" ca="1" si="36"/>
        <v>1457.3999999999999</v>
      </c>
      <c r="H92" s="4">
        <f t="shared" ca="1" si="37"/>
        <v>1457.3999999999999</v>
      </c>
      <c r="I92" s="4">
        <v>1</v>
      </c>
      <c r="J92" s="4" t="s">
        <v>119</v>
      </c>
      <c r="K92" s="4" t="str">
        <f t="shared" ca="1" si="38"/>
        <v>CHINT</v>
      </c>
      <c r="L92" s="4">
        <f t="shared" ca="1" si="39"/>
        <v>1457.3999999999999</v>
      </c>
      <c r="M92" s="4" t="s">
        <v>1</v>
      </c>
      <c r="N92" s="4" t="s">
        <v>413</v>
      </c>
      <c r="O92" s="4"/>
      <c r="P92" s="14" t="s">
        <v>256</v>
      </c>
    </row>
    <row r="93" spans="1:16" x14ac:dyDescent="0.25">
      <c r="A93" s="4">
        <v>92</v>
      </c>
      <c r="B93" s="2" t="str">
        <f t="shared" ca="1" si="32"/>
        <v>Авт. выкл. NXB-63S 1P 16А 4.5kA х-ка C</v>
      </c>
      <c r="C93" s="4" t="s">
        <v>132</v>
      </c>
      <c r="D93" s="4" t="str">
        <f t="shared" ca="1" si="33"/>
        <v>296710</v>
      </c>
      <c r="E93" s="4" t="str">
        <f t="shared" ca="1" si="34"/>
        <v>Авт. выкл. NXB-63S 1P 16А 4.5kA х-ка C</v>
      </c>
      <c r="F93" s="4">
        <f t="shared" ca="1" si="35"/>
        <v>783</v>
      </c>
      <c r="G93" s="4">
        <f t="shared" ca="1" si="36"/>
        <v>469.79999999999995</v>
      </c>
      <c r="H93" s="4">
        <f t="shared" ca="1" si="37"/>
        <v>5637.5999999999995</v>
      </c>
      <c r="I93" s="4">
        <v>12</v>
      </c>
      <c r="J93" s="4" t="s">
        <v>119</v>
      </c>
      <c r="K93" s="4" t="str">
        <f t="shared" ca="1" si="38"/>
        <v>CHINT</v>
      </c>
      <c r="L93" s="4">
        <f t="shared" ca="1" si="39"/>
        <v>5637.5999999999995</v>
      </c>
      <c r="M93" s="4" t="s">
        <v>1</v>
      </c>
      <c r="N93" s="4" t="s">
        <v>414</v>
      </c>
      <c r="O93" s="4"/>
      <c r="P93" s="14" t="s">
        <v>264</v>
      </c>
    </row>
    <row r="94" spans="1:16" x14ac:dyDescent="0.25">
      <c r="A94" s="4">
        <v>93</v>
      </c>
      <c r="B94" s="2" t="str">
        <f t="shared" ca="1" si="32"/>
        <v>Шина соединительная PIN (штырь) 1ф 63А (22см)</v>
      </c>
      <c r="C94" s="4" t="s">
        <v>334</v>
      </c>
      <c r="D94" s="4" t="str">
        <f t="shared" ca="1" si="33"/>
        <v>130200407</v>
      </c>
      <c r="E94" s="4" t="str">
        <f t="shared" ca="1" si="34"/>
        <v>Шина соединительная PIN (штырь) 1ф 63А (22см)</v>
      </c>
      <c r="F94" s="4">
        <f t="shared" ca="1" si="35"/>
        <v>507</v>
      </c>
      <c r="G94" s="4">
        <f t="shared" ca="1" si="36"/>
        <v>507</v>
      </c>
      <c r="H94" s="4">
        <f t="shared" ca="1" si="37"/>
        <v>507</v>
      </c>
      <c r="I94" s="4">
        <v>1</v>
      </c>
      <c r="J94" s="4" t="s">
        <v>119</v>
      </c>
      <c r="K94" s="4" t="str">
        <f t="shared" ca="1" si="38"/>
        <v>EKT</v>
      </c>
      <c r="L94" s="4">
        <f t="shared" ca="1" si="39"/>
        <v>507</v>
      </c>
      <c r="M94" s="2" t="s">
        <v>14</v>
      </c>
      <c r="N94" s="4" t="s">
        <v>415</v>
      </c>
      <c r="O94" s="4"/>
      <c r="P94" s="14" t="s">
        <v>285</v>
      </c>
    </row>
    <row r="95" spans="1:16" x14ac:dyDescent="0.25">
      <c r="A95" s="4">
        <v>94</v>
      </c>
      <c r="B95" s="2" t="str">
        <f t="shared" ca="1" si="32"/>
        <v>Шина N ноль DIN-изол ШНИ-6х9-24-Д-С</v>
      </c>
      <c r="C95" s="4" t="s">
        <v>334</v>
      </c>
      <c r="D95" s="4" t="str">
        <f t="shared" ca="1" si="33"/>
        <v>YNN10-69-24D-K07</v>
      </c>
      <c r="E95" s="4" t="str">
        <f t="shared" ca="1" si="34"/>
        <v>Шина N ноль DIN-изол ШНИ-6х9-24-Д-С</v>
      </c>
      <c r="F95" s="4">
        <f t="shared" ca="1" si="35"/>
        <v>900</v>
      </c>
      <c r="G95" s="4">
        <f t="shared" ca="1" si="36"/>
        <v>900</v>
      </c>
      <c r="H95" s="4">
        <f t="shared" ca="1" si="37"/>
        <v>900</v>
      </c>
      <c r="I95" s="4">
        <v>1</v>
      </c>
      <c r="J95" s="4" t="s">
        <v>119</v>
      </c>
      <c r="K95" s="4" t="str">
        <f t="shared" ca="1" si="38"/>
        <v>EKT</v>
      </c>
      <c r="L95" s="4">
        <f t="shared" ca="1" si="39"/>
        <v>900</v>
      </c>
      <c r="M95" s="2" t="s">
        <v>14</v>
      </c>
      <c r="N95" s="4" t="s">
        <v>336</v>
      </c>
      <c r="O95" s="4"/>
      <c r="P95" s="14" t="s">
        <v>172</v>
      </c>
    </row>
    <row r="96" spans="1:16" x14ac:dyDescent="0.25">
      <c r="A96" s="4">
        <v>95</v>
      </c>
      <c r="B96" s="2" t="str">
        <f t="shared" ca="1" si="32"/>
        <v>Шина PE земля ШНИ 6х9 12-К-З</v>
      </c>
      <c r="C96" s="4" t="s">
        <v>334</v>
      </c>
      <c r="D96" s="4" t="str">
        <f t="shared" ca="1" si="33"/>
        <v>130200401</v>
      </c>
      <c r="E96" s="4" t="str">
        <f t="shared" ca="1" si="34"/>
        <v>Шина PE земля ШНИ 6х9 12-К-З</v>
      </c>
      <c r="F96" s="4">
        <f t="shared" ca="1" si="35"/>
        <v>514</v>
      </c>
      <c r="G96" s="4">
        <f t="shared" ca="1" si="36"/>
        <v>514</v>
      </c>
      <c r="H96" s="4">
        <f t="shared" ca="1" si="37"/>
        <v>514</v>
      </c>
      <c r="I96" s="4">
        <v>1</v>
      </c>
      <c r="J96" s="4" t="s">
        <v>119</v>
      </c>
      <c r="K96" s="4" t="str">
        <f t="shared" ca="1" si="38"/>
        <v>EKT</v>
      </c>
      <c r="L96" s="4">
        <f t="shared" ca="1" si="39"/>
        <v>514</v>
      </c>
      <c r="M96" s="2" t="s">
        <v>14</v>
      </c>
      <c r="N96" s="4" t="s">
        <v>337</v>
      </c>
      <c r="O96" s="4"/>
      <c r="P96" s="14" t="s">
        <v>176</v>
      </c>
    </row>
    <row r="97" spans="1:16" x14ac:dyDescent="0.25">
      <c r="A97" s="4">
        <v>96</v>
      </c>
      <c r="B97" s="2" t="str">
        <f t="shared" ca="1" si="32"/>
        <v>DIN-рейка (100см) оцинкованная</v>
      </c>
      <c r="C97" s="4" t="s">
        <v>177</v>
      </c>
      <c r="D97" s="4" t="str">
        <f t="shared" ca="1" si="33"/>
        <v>YDN10-0100</v>
      </c>
      <c r="E97" s="4" t="str">
        <f t="shared" ca="1" si="34"/>
        <v>DIN-рейка (100см) оцинкованная</v>
      </c>
      <c r="F97" s="4">
        <f t="shared" ca="1" si="35"/>
        <v>686</v>
      </c>
      <c r="G97" s="4">
        <f t="shared" ca="1" si="36"/>
        <v>686</v>
      </c>
      <c r="H97" s="4">
        <f t="shared" ca="1" si="37"/>
        <v>0</v>
      </c>
      <c r="I97" s="4">
        <v>0</v>
      </c>
      <c r="J97" s="4" t="s">
        <v>119</v>
      </c>
      <c r="K97" s="4" t="str">
        <f t="shared" ca="1" si="38"/>
        <v>EKT</v>
      </c>
      <c r="L97" s="4">
        <f t="shared" ca="1" si="39"/>
        <v>0</v>
      </c>
      <c r="M97" s="2" t="s">
        <v>14</v>
      </c>
      <c r="N97" s="4" t="s">
        <v>416</v>
      </c>
      <c r="O97" s="4"/>
      <c r="P97" s="14" t="s">
        <v>181</v>
      </c>
    </row>
    <row r="98" spans="1:16" x14ac:dyDescent="0.25">
      <c r="A98" s="4">
        <v>97</v>
      </c>
      <c r="B98" s="2" t="str">
        <f t="shared" ca="1" si="32"/>
        <v>Кабель-канал 25х25 белый</v>
      </c>
      <c r="C98" s="4" t="s">
        <v>339</v>
      </c>
      <c r="D98" s="4" t="str">
        <f t="shared" ca="1" si="33"/>
        <v>280100249</v>
      </c>
      <c r="E98" s="4" t="str">
        <f t="shared" ca="1" si="34"/>
        <v>Кабель-канал 25х25 белый</v>
      </c>
      <c r="F98" s="4">
        <f t="shared" ca="1" si="35"/>
        <v>122</v>
      </c>
      <c r="G98" s="4">
        <f t="shared" ca="1" si="36"/>
        <v>122</v>
      </c>
      <c r="H98" s="4">
        <f t="shared" ca="1" si="37"/>
        <v>0</v>
      </c>
      <c r="I98" s="4">
        <v>0</v>
      </c>
      <c r="J98" s="4" t="s">
        <v>185</v>
      </c>
      <c r="K98" s="4" t="str">
        <f t="shared" ca="1" si="38"/>
        <v>EKT</v>
      </c>
      <c r="L98" s="4">
        <f t="shared" ca="1" si="39"/>
        <v>0</v>
      </c>
      <c r="M98" s="2" t="s">
        <v>14</v>
      </c>
      <c r="N98" s="4" t="s">
        <v>417</v>
      </c>
      <c r="O98" s="4"/>
      <c r="P98" s="14" t="s">
        <v>297</v>
      </c>
    </row>
    <row r="99" spans="1:16" x14ac:dyDescent="0.25">
      <c r="A99" s="4">
        <v>98</v>
      </c>
      <c r="B99" s="2" t="str">
        <f t="shared" ca="1" si="32"/>
        <v>ПВ3-4 белый ГОСТ (pano ici kablo)</v>
      </c>
      <c r="C99" s="4" t="s">
        <v>341</v>
      </c>
      <c r="D99" s="4" t="str">
        <f t="shared" ca="1" si="33"/>
        <v>100300030</v>
      </c>
      <c r="E99" s="4" t="str">
        <f t="shared" ca="1" si="34"/>
        <v>ПВ3-4 белый ГОСТ (pano ici kablo)</v>
      </c>
      <c r="F99" s="4">
        <f t="shared" ca="1" si="35"/>
        <v>242</v>
      </c>
      <c r="G99" s="4">
        <f t="shared" ca="1" si="36"/>
        <v>242</v>
      </c>
      <c r="H99" s="4">
        <f t="shared" ca="1" si="37"/>
        <v>484</v>
      </c>
      <c r="I99" s="4">
        <v>2</v>
      </c>
      <c r="J99" s="4" t="s">
        <v>185</v>
      </c>
      <c r="K99" s="4" t="str">
        <f t="shared" ca="1" si="38"/>
        <v>EKT</v>
      </c>
      <c r="L99" s="4">
        <f t="shared" ca="1" si="39"/>
        <v>484</v>
      </c>
      <c r="M99" s="2" t="s">
        <v>14</v>
      </c>
      <c r="N99" s="4" t="s">
        <v>418</v>
      </c>
      <c r="O99" s="4"/>
      <c r="P99" s="14" t="s">
        <v>193</v>
      </c>
    </row>
    <row r="100" spans="1:16" x14ac:dyDescent="0.25">
      <c r="A100" s="4">
        <v>99</v>
      </c>
      <c r="B100" s="2" t="str">
        <f t="shared" ca="1" si="32"/>
        <v>ПВ3-2,5 белый ГОСТ (pano ici kablo)</v>
      </c>
      <c r="C100" s="4" t="s">
        <v>341</v>
      </c>
      <c r="D100" s="4" t="str">
        <f t="shared" ca="1" si="33"/>
        <v>100300025</v>
      </c>
      <c r="E100" s="4" t="str">
        <f t="shared" ca="1" si="34"/>
        <v>ПВ3-2,5 белый ГОСТ (pano ici kablo)</v>
      </c>
      <c r="F100" s="4">
        <f t="shared" ca="1" si="35"/>
        <v>144</v>
      </c>
      <c r="G100" s="4">
        <f t="shared" ca="1" si="36"/>
        <v>144</v>
      </c>
      <c r="H100" s="4">
        <f t="shared" ca="1" si="37"/>
        <v>1440</v>
      </c>
      <c r="I100" s="4">
        <v>10</v>
      </c>
      <c r="J100" s="4" t="s">
        <v>185</v>
      </c>
      <c r="K100" s="4" t="str">
        <f t="shared" ca="1" si="38"/>
        <v>EKT</v>
      </c>
      <c r="L100" s="4">
        <f t="shared" ca="1" si="39"/>
        <v>1440</v>
      </c>
      <c r="M100" s="2" t="s">
        <v>14</v>
      </c>
      <c r="N100" s="4" t="s">
        <v>419</v>
      </c>
      <c r="O100" s="4"/>
      <c r="P100" s="14" t="s">
        <v>190</v>
      </c>
    </row>
    <row r="101" spans="1:16" x14ac:dyDescent="0.25">
      <c r="A101" s="4">
        <v>100</v>
      </c>
      <c r="B101" s="2" t="str">
        <f t="shared" ca="1" si="32"/>
        <v>222-412 Клемма проходная (0,08-4мм 32А)</v>
      </c>
      <c r="C101" s="4" t="s">
        <v>347</v>
      </c>
      <c r="D101" s="4" t="str">
        <f t="shared" ca="1" si="33"/>
        <v>030300442</v>
      </c>
      <c r="E101" s="4" t="str">
        <f t="shared" ca="1" si="34"/>
        <v>222-412 Клемма проходная (0,08-4мм 32А)</v>
      </c>
      <c r="F101" s="4">
        <f t="shared" ca="1" si="35"/>
        <v>210</v>
      </c>
      <c r="G101" s="4">
        <f t="shared" ca="1" si="36"/>
        <v>210</v>
      </c>
      <c r="H101" s="4">
        <f t="shared" ca="1" si="37"/>
        <v>2100</v>
      </c>
      <c r="I101" s="4">
        <v>10</v>
      </c>
      <c r="J101" s="4" t="s">
        <v>119</v>
      </c>
      <c r="K101" s="4" t="str">
        <f t="shared" ca="1" si="38"/>
        <v>EKT</v>
      </c>
      <c r="L101" s="4">
        <f t="shared" ca="1" si="39"/>
        <v>2100</v>
      </c>
      <c r="M101" s="2" t="s">
        <v>14</v>
      </c>
      <c r="N101" s="4" t="s">
        <v>420</v>
      </c>
      <c r="O101" s="4"/>
      <c r="P101" s="14" t="s">
        <v>208</v>
      </c>
    </row>
    <row r="102" spans="1:16" x14ac:dyDescent="0.25">
      <c r="A102" s="4">
        <v>101</v>
      </c>
      <c r="B102" s="2" t="str">
        <f t="shared" ca="1" si="32"/>
        <v>Наконечник-гильза Е4009 4мм2 izole (100 ad/paket)</v>
      </c>
      <c r="C102" s="4" t="s">
        <v>351</v>
      </c>
      <c r="D102" s="4" t="str">
        <f t="shared" ca="1" si="33"/>
        <v>260200024</v>
      </c>
      <c r="E102" s="4" t="str">
        <f t="shared" ca="1" si="34"/>
        <v>Наконечник-гильза Е4009 4мм2 izole (100 ad/paket)</v>
      </c>
      <c r="F102" s="4">
        <f t="shared" ca="1" si="35"/>
        <v>1245</v>
      </c>
      <c r="G102" s="4">
        <f t="shared" ca="1" si="36"/>
        <v>1245</v>
      </c>
      <c r="H102" s="4">
        <f t="shared" ca="1" si="37"/>
        <v>1245</v>
      </c>
      <c r="I102" s="4">
        <v>1</v>
      </c>
      <c r="J102" s="4" t="s">
        <v>218</v>
      </c>
      <c r="K102" s="4" t="str">
        <f t="shared" ca="1" si="38"/>
        <v>EKT</v>
      </c>
      <c r="L102" s="4">
        <f t="shared" ca="1" si="39"/>
        <v>1245</v>
      </c>
      <c r="M102" s="2" t="s">
        <v>14</v>
      </c>
      <c r="N102" s="4" t="s">
        <v>421</v>
      </c>
      <c r="O102" s="4"/>
      <c r="P102" s="14" t="s">
        <v>221</v>
      </c>
    </row>
    <row r="103" spans="1:16" x14ac:dyDescent="0.25">
      <c r="A103" s="4">
        <v>102</v>
      </c>
      <c r="B103" s="2" t="str">
        <f t="shared" ca="1" si="32"/>
        <v>Montaj malzemesi (etiket, sema cebi, kilit-menteşe, numaralandirma, vida-dubel takimi)</v>
      </c>
      <c r="C103" s="4" t="s">
        <v>353</v>
      </c>
      <c r="D103" s="4" t="str">
        <f t="shared" ca="1" si="33"/>
        <v>MONTAJ-MALZEME-KOMPLE</v>
      </c>
      <c r="E103" s="9" t="str">
        <f t="shared" ca="1" si="34"/>
        <v>Montaj malzemesi (etiket, sema cebi, kilit-menteşe, numaralandirma, vida-dubel takimi)</v>
      </c>
      <c r="F103" s="9">
        <f t="shared" ca="1" si="35"/>
        <v>0</v>
      </c>
      <c r="G103" s="9">
        <f t="shared" ca="1" si="36"/>
        <v>0</v>
      </c>
      <c r="H103" s="9">
        <f t="shared" ca="1" si="37"/>
        <v>0</v>
      </c>
      <c r="I103" s="4">
        <v>1</v>
      </c>
      <c r="J103" s="4" t="s">
        <v>119</v>
      </c>
      <c r="K103" s="9" t="str">
        <f t="shared" ca="1" si="38"/>
        <v>YOK</v>
      </c>
      <c r="L103" s="9">
        <f t="shared" ca="1" si="39"/>
        <v>0</v>
      </c>
      <c r="M103" s="4" t="s">
        <v>3</v>
      </c>
      <c r="N103" s="4" t="s">
        <v>354</v>
      </c>
      <c r="O103" s="4"/>
      <c r="P103" s="14" t="s">
        <v>223</v>
      </c>
    </row>
    <row r="104" spans="1:16" x14ac:dyDescent="0.25">
      <c r="A104" s="4">
        <v>103</v>
      </c>
      <c r="B104" s="2" t="str">
        <f t="shared" ca="1" si="32"/>
        <v>Montaj + test + etiketleme iscilik</v>
      </c>
      <c r="C104" s="4" t="s">
        <v>355</v>
      </c>
      <c r="D104" s="4" t="str">
        <f t="shared" ca="1" si="33"/>
        <v>ISCILIK-MONTAJ</v>
      </c>
      <c r="E104" s="4" t="str">
        <f t="shared" ca="1" si="34"/>
        <v>Montaj + test + etiketleme iscilik</v>
      </c>
      <c r="F104" s="4">
        <f t="shared" ca="1" si="35"/>
        <v>6000</v>
      </c>
      <c r="G104" s="4">
        <f t="shared" ca="1" si="36"/>
        <v>100</v>
      </c>
      <c r="H104" s="4">
        <f t="shared" ca="1" si="37"/>
        <v>3000</v>
      </c>
      <c r="I104" s="4">
        <v>30</v>
      </c>
      <c r="J104" s="4" t="s">
        <v>229</v>
      </c>
      <c r="K104" s="4" t="str">
        <f t="shared" ca="1" si="38"/>
        <v>ISCILIK</v>
      </c>
      <c r="L104" s="4">
        <f t="shared" ca="1" si="39"/>
        <v>3000</v>
      </c>
      <c r="M104" s="2" t="s">
        <v>14</v>
      </c>
      <c r="N104" s="4" t="s">
        <v>422</v>
      </c>
      <c r="O104" s="4"/>
      <c r="P104" s="14" t="s">
        <v>227</v>
      </c>
    </row>
    <row r="105" spans="1:16" x14ac:dyDescent="0.25">
      <c r="B105" s="7" t="s">
        <v>423</v>
      </c>
      <c r="H105" s="7">
        <f ca="1">SUBTOTAL(9,H91:H104)</f>
        <v>23447</v>
      </c>
      <c r="L105" s="7">
        <f ca="1">SUBTOTAL(9,L91:L104)</f>
        <v>23447</v>
      </c>
    </row>
  </sheetData>
  <autoFilter ref="A1:P10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showGridLines="0" zoomScaleNormal="100" workbookViewId="0">
      <pane ySplit="1" topLeftCell="A2" activePane="bottomLeft" state="frozen"/>
      <selection pane="bottomLeft" activeCell="F2" sqref="F2"/>
    </sheetView>
  </sheetViews>
  <sheetFormatPr defaultColWidth="8.7109375" defaultRowHeight="15" x14ac:dyDescent="0.25"/>
  <cols>
    <col min="1" max="1" width="5" customWidth="1"/>
    <col min="2" max="2" width="46" customWidth="1"/>
    <col min="3" max="3" width="7" customWidth="1"/>
    <col min="4" max="4" width="13" customWidth="1"/>
    <col min="5" max="5" width="11" customWidth="1"/>
    <col min="6" max="6" width="13" customWidth="1"/>
    <col min="7" max="7" width="14" customWidth="1"/>
    <col min="8" max="8" width="8" customWidth="1"/>
    <col min="9" max="10" width="10" customWidth="1"/>
    <col min="11" max="11" width="9" customWidth="1"/>
    <col min="12" max="13" width="8" customWidth="1"/>
    <col min="14" max="14" width="12" customWidth="1"/>
    <col min="15" max="15" width="13" customWidth="1"/>
    <col min="16" max="16" width="11" customWidth="1"/>
    <col min="17" max="17" width="13" customWidth="1"/>
  </cols>
  <sheetData>
    <row r="1" spans="1:17" x14ac:dyDescent="0.25">
      <c r="A1" s="6" t="s">
        <v>102</v>
      </c>
      <c r="B1" s="6" t="s">
        <v>424</v>
      </c>
      <c r="C1" s="6" t="s">
        <v>425</v>
      </c>
      <c r="D1" s="6" t="s">
        <v>426</v>
      </c>
      <c r="E1" s="6" t="s">
        <v>51</v>
      </c>
      <c r="F1" s="6" t="s">
        <v>111</v>
      </c>
      <c r="G1" s="6" t="s">
        <v>23</v>
      </c>
      <c r="H1" s="6" t="s">
        <v>427</v>
      </c>
      <c r="I1" s="6" t="s">
        <v>428</v>
      </c>
      <c r="J1" s="6" t="s">
        <v>429</v>
      </c>
      <c r="K1" s="6" t="s">
        <v>430</v>
      </c>
      <c r="L1" s="6" t="s">
        <v>431</v>
      </c>
      <c r="M1" s="6" t="s">
        <v>432</v>
      </c>
      <c r="N1" s="6" t="s">
        <v>433</v>
      </c>
      <c r="O1" s="6" t="s">
        <v>434</v>
      </c>
      <c r="P1" s="6" t="s">
        <v>435</v>
      </c>
      <c r="Q1" s="6" t="s">
        <v>436</v>
      </c>
    </row>
    <row r="2" spans="1:17" x14ac:dyDescent="0.25">
      <c r="A2" s="4">
        <v>1</v>
      </c>
      <c r="B2" s="4" t="s">
        <v>437</v>
      </c>
      <c r="C2" s="4">
        <v>1</v>
      </c>
      <c r="D2" s="4">
        <f ca="1">SUMIF(BOM!$C$3:$C$25,"&lt;&gt;Iscilik",BOM!$H$3:$H$25)</f>
        <v>233816.19999999998</v>
      </c>
      <c r="E2" s="4">
        <f ca="1">SUMIF(BOM!$C$3:$C$25,"Iscilik",BOM!$H$3:$H$25)</f>
        <v>20000</v>
      </c>
      <c r="F2" s="4">
        <f ca="1">D2+E2</f>
        <v>253816.19999999998</v>
      </c>
      <c r="G2" s="4">
        <f ca="1">F2*C2</f>
        <v>253816.19999999998</v>
      </c>
      <c r="H2" s="4">
        <v>49</v>
      </c>
      <c r="I2" s="4">
        <v>72</v>
      </c>
      <c r="J2" s="15">
        <f>H2/I2</f>
        <v>0.68055555555555558</v>
      </c>
      <c r="K2" s="15">
        <f>1-J2</f>
        <v>0.31944444444444442</v>
      </c>
      <c r="L2" s="4">
        <v>0</v>
      </c>
      <c r="M2" s="4">
        <v>0</v>
      </c>
      <c r="N2" s="4">
        <v>0</v>
      </c>
      <c r="O2" s="4">
        <f>COUNTIF(BOM!$M$3:$M$25,"FIYAT_YOK")</f>
        <v>1</v>
      </c>
      <c r="P2" s="4">
        <f>COUNTIF(BOM!$M$3:$M$25,"MUADIL")+COUNTIF(BOM!$M$3:$M$25,"MUADIL_ONAY")</f>
        <v>1</v>
      </c>
      <c r="Q2" s="4">
        <f>COUNTIF(BOM!$M$3:$M$25,"VARSAYIM")</f>
        <v>15</v>
      </c>
    </row>
    <row r="3" spans="1:17" x14ac:dyDescent="0.25">
      <c r="A3" s="4">
        <v>2</v>
      </c>
      <c r="B3" s="4" t="s">
        <v>438</v>
      </c>
      <c r="C3" s="4">
        <v>1</v>
      </c>
      <c r="D3" s="4">
        <f ca="1">SUMIF(BOM!$C$28:$C$42,"&lt;&gt;Iscilik",BOM!$H$28:$H$42)</f>
        <v>126043</v>
      </c>
      <c r="E3" s="4">
        <f ca="1">SUMIF(BOM!$C$28:$C$42,"Iscilik",BOM!$H$28:$H$42)</f>
        <v>4500</v>
      </c>
      <c r="F3" s="4">
        <f ca="1">D3+E3</f>
        <v>130543</v>
      </c>
      <c r="G3" s="4">
        <f ca="1">F3*C3</f>
        <v>130543</v>
      </c>
      <c r="H3" s="4">
        <v>51</v>
      </c>
      <c r="I3" s="4">
        <v>72</v>
      </c>
      <c r="J3" s="15">
        <f>H3/I3</f>
        <v>0.70833333333333337</v>
      </c>
      <c r="K3" s="15">
        <f>1-J3</f>
        <v>0.29166666666666663</v>
      </c>
      <c r="L3" s="4">
        <v>0</v>
      </c>
      <c r="M3" s="4">
        <v>0</v>
      </c>
      <c r="N3" s="4">
        <v>0</v>
      </c>
      <c r="O3" s="4">
        <f>COUNTIF(BOM!$M$28:$M$42,"FIYAT_YOK")</f>
        <v>1</v>
      </c>
      <c r="P3" s="4">
        <f>COUNTIF(BOM!$M$28:$M$42,"MUADIL")+COUNTIF(BOM!$M$28:$M$42,"MUADIL_ONAY")</f>
        <v>0</v>
      </c>
      <c r="Q3" s="4">
        <f>COUNTIF(BOM!$M$28:$M$42,"VARSAYIM")</f>
        <v>11</v>
      </c>
    </row>
    <row r="4" spans="1:17" x14ac:dyDescent="0.25">
      <c r="A4" s="4">
        <v>3</v>
      </c>
      <c r="B4" s="4" t="s">
        <v>439</v>
      </c>
      <c r="C4" s="4">
        <v>1</v>
      </c>
      <c r="D4" s="4">
        <f ca="1">SUMIF(BOM!$C$45:$C$64,"&lt;&gt;Iscilik",BOM!$H$45:$H$64)</f>
        <v>71078.2</v>
      </c>
      <c r="E4" s="4">
        <f ca="1">SUMIF(BOM!$C$45:$C$64,"Iscilik",BOM!$H$45:$H$64)</f>
        <v>18000</v>
      </c>
      <c r="F4" s="4">
        <f ca="1">D4+E4</f>
        <v>89078.2</v>
      </c>
      <c r="G4" s="4">
        <f ca="1">F4*C4</f>
        <v>89078.2</v>
      </c>
      <c r="H4" s="4">
        <v>17</v>
      </c>
      <c r="I4" s="4">
        <v>24</v>
      </c>
      <c r="J4" s="15">
        <f>H4/I4</f>
        <v>0.70833333333333337</v>
      </c>
      <c r="K4" s="15">
        <f>1-J4</f>
        <v>0.29166666666666663</v>
      </c>
      <c r="L4" s="4">
        <v>0</v>
      </c>
      <c r="M4" s="4">
        <v>0</v>
      </c>
      <c r="N4" s="4">
        <v>0</v>
      </c>
      <c r="O4" s="4">
        <f>COUNTIF(BOM!$M$45:$M$64,"FIYAT_YOK")</f>
        <v>2</v>
      </c>
      <c r="P4" s="4">
        <f>COUNTIF(BOM!$M$45:$M$64,"MUADIL")+COUNTIF(BOM!$M$45:$M$64,"MUADIL_ONAY")</f>
        <v>1</v>
      </c>
      <c r="Q4" s="4">
        <f>COUNTIF(BOM!$M$45:$M$64,"VARSAYIM")</f>
        <v>14</v>
      </c>
    </row>
    <row r="5" spans="1:17" x14ac:dyDescent="0.25">
      <c r="A5" s="4">
        <v>4</v>
      </c>
      <c r="B5" s="4" t="s">
        <v>440</v>
      </c>
      <c r="C5" s="4">
        <v>1</v>
      </c>
      <c r="D5" s="4">
        <f ca="1">SUMIF(BOM!$C$67:$C$88,"&lt;&gt;Iscilik",BOM!$H$67:$H$88)</f>
        <v>136015.59999999998</v>
      </c>
      <c r="E5" s="4">
        <f ca="1">SUMIF(BOM!$C$67:$C$88,"Iscilik",BOM!$H$67:$H$88)</f>
        <v>12000</v>
      </c>
      <c r="F5" s="4">
        <f ca="1">D5+E5</f>
        <v>148015.59999999998</v>
      </c>
      <c r="G5" s="4">
        <f ca="1">F5*C5</f>
        <v>148015.59999999998</v>
      </c>
      <c r="H5" s="4">
        <v>20</v>
      </c>
      <c r="I5" s="4">
        <v>36</v>
      </c>
      <c r="J5" s="15">
        <f>H5/I5</f>
        <v>0.55555555555555558</v>
      </c>
      <c r="K5" s="15">
        <f>1-J5</f>
        <v>0.44444444444444442</v>
      </c>
      <c r="L5" s="4">
        <v>0</v>
      </c>
      <c r="M5" s="4">
        <v>0</v>
      </c>
      <c r="N5" s="4">
        <v>0</v>
      </c>
      <c r="O5" s="4">
        <f>COUNTIF(BOM!$M$67:$M$88,"FIYAT_YOK")</f>
        <v>1</v>
      </c>
      <c r="P5" s="4">
        <f>COUNTIF(BOM!$M$67:$M$88,"MUADIL")+COUNTIF(BOM!$M$67:$M$88,"MUADIL_ONAY")</f>
        <v>0</v>
      </c>
      <c r="Q5" s="4">
        <f>COUNTIF(BOM!$M$67:$M$88,"VARSAYIM")</f>
        <v>15</v>
      </c>
    </row>
    <row r="6" spans="1:17" x14ac:dyDescent="0.25">
      <c r="A6" s="4">
        <v>5</v>
      </c>
      <c r="B6" s="4" t="s">
        <v>441</v>
      </c>
      <c r="C6" s="4">
        <v>1</v>
      </c>
      <c r="D6" s="4">
        <f ca="1">SUMIF(BOM!$C$91:$C$104,"&lt;&gt;Iscilik",BOM!$H$91:$H$104)</f>
        <v>20447</v>
      </c>
      <c r="E6" s="4">
        <f ca="1">SUMIF(BOM!$C$91:$C$104,"Iscilik",BOM!$H$91:$H$104)</f>
        <v>3000</v>
      </c>
      <c r="F6" s="4">
        <f ca="1">D6+E6</f>
        <v>23447</v>
      </c>
      <c r="G6" s="4">
        <f ca="1">F6*C6</f>
        <v>23447</v>
      </c>
      <c r="H6" s="4">
        <v>12</v>
      </c>
      <c r="I6" s="4">
        <v>18</v>
      </c>
      <c r="J6" s="15">
        <f>H6/I6</f>
        <v>0.66666666666666663</v>
      </c>
      <c r="K6" s="15">
        <f>1-J6</f>
        <v>0.33333333333333337</v>
      </c>
      <c r="L6" s="4">
        <v>0</v>
      </c>
      <c r="M6" s="4">
        <v>0</v>
      </c>
      <c r="N6" s="4">
        <v>0</v>
      </c>
      <c r="O6" s="4">
        <f>COUNTIF(BOM!$M$91:$M$104,"FIYAT_YOK")</f>
        <v>1</v>
      </c>
      <c r="P6" s="4">
        <f>COUNTIF(BOM!$M$91:$M$104,"MUADIL")+COUNTIF(BOM!$M$91:$M$104,"MUADIL_ONAY")</f>
        <v>0</v>
      </c>
      <c r="Q6" s="4">
        <f>COUNTIF(BOM!$M$91:$M$104,"VARSAYIM")</f>
        <v>11</v>
      </c>
    </row>
    <row r="8" spans="1:17" x14ac:dyDescent="0.25">
      <c r="B8" s="1" t="s">
        <v>442</v>
      </c>
      <c r="G8" s="1">
        <f ca="1">SUM(G2:G6)</f>
        <v>644900</v>
      </c>
    </row>
    <row r="9" spans="1:17" x14ac:dyDescent="0.25">
      <c r="B9" t="s">
        <v>443</v>
      </c>
      <c r="C9">
        <f>SUM(O2:O6)</f>
        <v>6</v>
      </c>
    </row>
    <row r="10" spans="1:17" x14ac:dyDescent="0.25">
      <c r="B10" s="1" t="s">
        <v>444</v>
      </c>
      <c r="C10" s="1" t="str">
        <f>IF(SUM(O2:O6)&gt;0,"TEKLİFE HAZIR DEĞİL",IF(SUM(P2:P6)+SUM(Q2:Q6)&gt;0,"ŞARTLI","TEKLİFE HAZIR"))</f>
        <v>TEKLİFE HAZIR DEĞİL</v>
      </c>
    </row>
  </sheetData>
  <conditionalFormatting sqref="J2:J6">
    <cfRule type="cellIs" dxfId="2" priority="2" operator="greaterThan">
      <formula>0.8</formula>
    </cfRule>
  </conditionalFormatting>
  <conditionalFormatting sqref="K2:K6">
    <cfRule type="cellIs" dxfId="1" priority="3" operator="lessThan">
      <formula>0.2</formula>
    </cfRule>
  </conditionalFormatting>
  <conditionalFormatting sqref="O2:O6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52" customWidth="1"/>
    <col min="3" max="3" width="9" customWidth="1"/>
    <col min="4" max="4" width="10" customWidth="1"/>
    <col min="5" max="6" width="16" customWidth="1"/>
  </cols>
  <sheetData>
    <row r="1" spans="1:6" x14ac:dyDescent="0.25">
      <c r="A1" s="1" t="s">
        <v>445</v>
      </c>
      <c r="B1" t="s">
        <v>446</v>
      </c>
    </row>
    <row r="2" spans="1:6" x14ac:dyDescent="0.25">
      <c r="A2" s="1" t="s">
        <v>447</v>
      </c>
      <c r="B2" t="s">
        <v>448</v>
      </c>
    </row>
    <row r="3" spans="1:6" x14ac:dyDescent="0.25">
      <c r="A3" s="1" t="s">
        <v>449</v>
      </c>
      <c r="B3" t="str">
        <f>KURALLAR!$B$54&amp;" gün"</f>
        <v>14 gün</v>
      </c>
    </row>
    <row r="4" spans="1:6" x14ac:dyDescent="0.25">
      <c r="A4" s="1" t="s">
        <v>450</v>
      </c>
      <c r="B4" t="s">
        <v>451</v>
      </c>
    </row>
    <row r="5" spans="1:6" x14ac:dyDescent="0.25">
      <c r="A5" s="1" t="s">
        <v>452</v>
      </c>
      <c r="B5" t="s">
        <v>453</v>
      </c>
    </row>
    <row r="6" spans="1:6" x14ac:dyDescent="0.25">
      <c r="A6" s="1" t="s">
        <v>454</v>
      </c>
      <c r="B6" t="s">
        <v>455</v>
      </c>
    </row>
    <row r="7" spans="1:6" x14ac:dyDescent="0.25">
      <c r="A7" s="1" t="s">
        <v>456</v>
      </c>
      <c r="B7" t="s">
        <v>5</v>
      </c>
    </row>
    <row r="9" spans="1:6" x14ac:dyDescent="0.25">
      <c r="A9" s="17" t="str">
        <f>IF(COUNTIF(FIYAT!$N:$N,"FIYAT_YOK")&gt;0,"ТЕКЛИФ ЭКСИК — "&amp;COUNTIF(FIYAT!$N:$N,"FIYAT_YOK")&amp;" KALEM FİYATSIZ","")</f>
        <v>ТЕКЛИФ ЭКСИК — 2 KALEM FİYATSIZ</v>
      </c>
      <c r="B9" s="17"/>
      <c r="C9" s="17"/>
      <c r="D9" s="17"/>
      <c r="E9" s="17"/>
      <c r="F9" s="17"/>
    </row>
    <row r="11" spans="1:6" x14ac:dyDescent="0.25">
      <c r="A11" s="6" t="s">
        <v>457</v>
      </c>
      <c r="B11" s="6" t="s">
        <v>458</v>
      </c>
      <c r="C11" s="6" t="s">
        <v>459</v>
      </c>
      <c r="D11" s="6" t="s">
        <v>318</v>
      </c>
      <c r="E11" s="6" t="s">
        <v>460</v>
      </c>
      <c r="F11" s="6" t="s">
        <v>461</v>
      </c>
    </row>
    <row r="12" spans="1:6" x14ac:dyDescent="0.25">
      <c r="A12" s="4">
        <v>1</v>
      </c>
      <c r="B12" s="4" t="s">
        <v>462</v>
      </c>
      <c r="C12" s="4">
        <f>OZET!C2</f>
        <v>1</v>
      </c>
      <c r="D12" s="4" t="s">
        <v>463</v>
      </c>
      <c r="E12" s="4">
        <f ca="1">IF(OZET!F2="","",OZET!F2*(1+KAR_ORANI))</f>
        <v>317270.25</v>
      </c>
      <c r="F12" s="4">
        <f ca="1">$E12*$C12</f>
        <v>317270.25</v>
      </c>
    </row>
    <row r="13" spans="1:6" x14ac:dyDescent="0.25">
      <c r="A13" s="4">
        <v>2</v>
      </c>
      <c r="B13" s="4" t="s">
        <v>464</v>
      </c>
      <c r="C13" s="4">
        <f>OZET!C3</f>
        <v>1</v>
      </c>
      <c r="D13" s="4" t="s">
        <v>463</v>
      </c>
      <c r="E13" s="4">
        <f ca="1">IF(OZET!F3="","",OZET!F3*(1+KAR_ORANI))</f>
        <v>163178.75</v>
      </c>
      <c r="F13" s="4">
        <f ca="1">$E13*$C13</f>
        <v>163178.75</v>
      </c>
    </row>
    <row r="14" spans="1:6" x14ac:dyDescent="0.25">
      <c r="A14" s="4">
        <v>3</v>
      </c>
      <c r="B14" s="4" t="s">
        <v>465</v>
      </c>
      <c r="C14" s="4">
        <f>OZET!C4</f>
        <v>1</v>
      </c>
      <c r="D14" s="4" t="s">
        <v>463</v>
      </c>
      <c r="E14" s="4">
        <f ca="1">IF(OZET!F4="","",OZET!F4*(1+KAR_ORANI))</f>
        <v>111347.75</v>
      </c>
      <c r="F14" s="4">
        <f ca="1">$E14*$C14</f>
        <v>111347.75</v>
      </c>
    </row>
    <row r="15" spans="1:6" x14ac:dyDescent="0.25">
      <c r="A15" s="4">
        <v>4</v>
      </c>
      <c r="B15" s="4" t="s">
        <v>466</v>
      </c>
      <c r="C15" s="4">
        <f>OZET!C5</f>
        <v>1</v>
      </c>
      <c r="D15" s="4" t="s">
        <v>463</v>
      </c>
      <c r="E15" s="4">
        <f ca="1">IF(OZET!F5="","",OZET!F5*(1+KAR_ORANI))</f>
        <v>185019.49999999997</v>
      </c>
      <c r="F15" s="4">
        <f ca="1">$E15*$C15</f>
        <v>185019.49999999997</v>
      </c>
    </row>
    <row r="16" spans="1:6" x14ac:dyDescent="0.25">
      <c r="A16" s="4">
        <v>5</v>
      </c>
      <c r="B16" s="4" t="s">
        <v>467</v>
      </c>
      <c r="C16" s="4">
        <f>OZET!C6</f>
        <v>1</v>
      </c>
      <c r="D16" s="4" t="s">
        <v>463</v>
      </c>
      <c r="E16" s="4">
        <f ca="1">IF(OZET!F6="","",OZET!F6*(1+KAR_ORANI))</f>
        <v>29308.75</v>
      </c>
      <c r="F16" s="4">
        <f ca="1">$E16*$C16</f>
        <v>29308.75</v>
      </c>
    </row>
    <row r="18" spans="2:6" x14ac:dyDescent="0.25">
      <c r="B18" t="s">
        <v>468</v>
      </c>
      <c r="F18">
        <f ca="1">SUM(F12:F16)</f>
        <v>806125</v>
      </c>
    </row>
    <row r="19" spans="2:6" x14ac:dyDescent="0.25">
      <c r="B19" t="s">
        <v>469</v>
      </c>
      <c r="F19">
        <f ca="1">F18*ISKONTO</f>
        <v>0</v>
      </c>
    </row>
    <row r="20" spans="2:6" x14ac:dyDescent="0.25">
      <c r="B20" t="s">
        <v>470</v>
      </c>
      <c r="F20">
        <f ca="1">F18-F19</f>
        <v>806125</v>
      </c>
    </row>
    <row r="21" spans="2:6" x14ac:dyDescent="0.25">
      <c r="B21" t="s">
        <v>471</v>
      </c>
      <c r="F21">
        <f ca="1">F20*NDS_ORANI</f>
        <v>128980</v>
      </c>
    </row>
    <row r="22" spans="2:6" x14ac:dyDescent="0.25">
      <c r="B22" s="1" t="s">
        <v>472</v>
      </c>
      <c r="F22" s="1">
        <f ca="1">F20+F21</f>
        <v>935105</v>
      </c>
    </row>
    <row r="23" spans="2:6" x14ac:dyDescent="0.25">
      <c r="B23" t="s">
        <v>473</v>
      </c>
      <c r="F23" t="str">
        <f>KURALLAR!$B$55&amp;" iş günü"</f>
        <v>25 iş günü</v>
      </c>
    </row>
    <row r="24" spans="2:6" x14ac:dyDescent="0.25">
      <c r="B24" t="s">
        <v>474</v>
      </c>
      <c r="F24" t="str">
        <f>KURALLAR!$B$56</f>
        <v>%50 avans, %50 teslimde</v>
      </c>
    </row>
    <row r="25" spans="2:6" x14ac:dyDescent="0.25">
      <c r="B25" t="s">
        <v>475</v>
      </c>
      <c r="F25" t="str">
        <f>KURALLAR!$B$57</f>
        <v>12 ay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10</vt:i4>
      </vt:variant>
    </vt:vector>
  </HeadingPairs>
  <TitlesOfParts>
    <vt:vector size="15" baseType="lpstr">
      <vt:lpstr>KURALLAR</vt:lpstr>
      <vt:lpstr>FIYAT</vt:lpstr>
      <vt:lpstr>BOM</vt:lpstr>
      <vt:lpstr>OZET</vt:lpstr>
      <vt:lpstr>TEKLIF</vt:lpstr>
      <vt:lpstr>DURUM_LIST</vt:lpstr>
      <vt:lpstr>ISKONTO</vt:lpstr>
      <vt:lpstr>KAR_ORANI</vt:lpstr>
      <vt:lpstr>KUR_AD</vt:lpstr>
      <vt:lpstr>KUR_DEG</vt:lpstr>
      <vt:lpstr>MARKA_AD</vt:lpstr>
      <vt:lpstr>MARKA_KAT</vt:lpstr>
      <vt:lpstr>MARKA_PARA</vt:lpstr>
      <vt:lpstr>MARKA_TIP</vt:lpstr>
      <vt:lpstr>NDS_ORANI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2026-09-11T06:06:26Z</dcterms:created>
  <dcterms:modified xsi:type="dcterms:W3CDTF">2026-09-11T09:40:08Z</dcterms:modified>
  <dc:language>en-US</dc:language>
</cp:coreProperties>
</file>