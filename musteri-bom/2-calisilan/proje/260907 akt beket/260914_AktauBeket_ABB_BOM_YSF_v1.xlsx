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7 akt beket\"/>
    </mc:Choice>
  </mc:AlternateContent>
  <xr:revisionPtr revIDLastSave="0" documentId="13_ncr:1_{3745A857-50A1-4431-B845-34160453560B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KURALLAR" sheetId="1" r:id="rId1"/>
    <sheet name="FIYAT" sheetId="2" r:id="rId2"/>
    <sheet name="BOM" sheetId="3" r:id="rId3"/>
    <sheet name="OZET" sheetId="4" r:id="rId4"/>
    <sheet name="TEKLIF" sheetId="5" r:id="rId5"/>
  </sheets>
  <definedNames>
    <definedName name="_xlnm._FilterDatabase" localSheetId="2" hidden="1">BOM!$A$1:$Q$32</definedName>
    <definedName name="_xlnm._FilterDatabase" localSheetId="1" hidden="1">FIYAT!$A$1:$O$28</definedName>
    <definedName name="ANA_SALTER_BARA_ESIK_A">KURALLAR!$B$83</definedName>
    <definedName name="DINRAY_FIRE">KURALLAR!$B$79</definedName>
    <definedName name="DURUM_LIST">KURALLAR!$T$3:$T$12</definedName>
    <definedName name="FIYAT_ACK">FIYAT!$C$2:$C$28</definedName>
    <definedName name="FIYAT_ART">FIYAT!$B$2:$B$28</definedName>
    <definedName name="FIYAT_NET">FIYAT!$I$2:$I$28</definedName>
    <definedName name="GARANTI">KURALLAR!$B$94</definedName>
    <definedName name="ISCILIK_DK_UCRETI">KURALLAR!$B$32</definedName>
    <definedName name="ISCILIK_SAAT_UCRETI">KURALLAR!$B$31</definedName>
    <definedName name="ISKONTO">KURALLAR!$B$88</definedName>
    <definedName name="KANAL_FIRE">KURALLAR!$B$80</definedName>
    <definedName name="KAR_ORANI">KURALLAR!$B$87</definedName>
    <definedName name="KLEMENS_YEDEK">KURALLAR!$B$78</definedName>
    <definedName name="KORPUS_YEDEK_ORANI">KURALLAR!$B$82</definedName>
    <definedName name="KUR_AD">KURALLAR!$A$5:$A$8</definedName>
    <definedName name="KUR_DEG">KURALLAR!$B$5:$B$8</definedName>
    <definedName name="MARKA_AD">KURALLAR!$A$13:$A$27</definedName>
    <definedName name="MARKA_KAT">KURALLAR!$E$13:$E$27</definedName>
    <definedName name="MARKA_PARA">KURALLAR!$B$13:$B$27</definedName>
    <definedName name="MARKA_TIP">KURALLAR!$F$13:$F$27</definedName>
    <definedName name="MODUL_GENISLIK_MM">KURALLAR!$B$81</definedName>
    <definedName name="NDS_ORANI">KURALLAR!$B$89</definedName>
    <definedName name="NORM_AD">KURALLAR!$A$37:$A$47</definedName>
    <definedName name="NORM_DK">KURALLAR!$B$37:$B$47</definedName>
    <definedName name="ODEME_SARTI">KURALLAR!$B$93</definedName>
    <definedName name="TEKLIF_GECERLILIK">KURALLAR!$B$90</definedName>
    <definedName name="TEST_ETIKET_CARPANI">KURALLAR!$B$33</definedName>
    <definedName name="URETIM_SURESI">KURALLAR!$B$91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5" l="1"/>
  <c r="B22" i="5"/>
  <c r="B21" i="5"/>
  <c r="C13" i="5"/>
  <c r="A10" i="5"/>
  <c r="B5" i="5"/>
  <c r="Q2" i="4"/>
  <c r="P2" i="4"/>
  <c r="O2" i="4"/>
  <c r="B8" i="4" s="1"/>
  <c r="J2" i="4"/>
  <c r="K2" i="4" s="1"/>
  <c r="E31" i="3"/>
  <c r="B31" i="3" s="1"/>
  <c r="Q30" i="3"/>
  <c r="K30" i="3"/>
  <c r="F30" i="3"/>
  <c r="E30" i="3"/>
  <c r="B30" i="3" s="1"/>
  <c r="Q29" i="3"/>
  <c r="K29" i="3"/>
  <c r="F29" i="3"/>
  <c r="E29" i="3"/>
  <c r="B29" i="3" s="1"/>
  <c r="Q28" i="3"/>
  <c r="M28" i="3"/>
  <c r="K28" i="3"/>
  <c r="G28" i="3"/>
  <c r="H28" i="3" s="1"/>
  <c r="L28" i="3" s="1"/>
  <c r="F28" i="3"/>
  <c r="E28" i="3"/>
  <c r="B28" i="3" s="1"/>
  <c r="Q27" i="3"/>
  <c r="M27" i="3"/>
  <c r="K27" i="3"/>
  <c r="F27" i="3"/>
  <c r="E27" i="3"/>
  <c r="B27" i="3" s="1"/>
  <c r="Q26" i="3"/>
  <c r="M26" i="3"/>
  <c r="K26" i="3"/>
  <c r="F26" i="3"/>
  <c r="E26" i="3"/>
  <c r="B26" i="3" s="1"/>
  <c r="Q25" i="3"/>
  <c r="K25" i="3"/>
  <c r="G25" i="3"/>
  <c r="H25" i="3" s="1"/>
  <c r="L25" i="3" s="1"/>
  <c r="F25" i="3"/>
  <c r="E25" i="3"/>
  <c r="B25" i="3" s="1"/>
  <c r="Q24" i="3"/>
  <c r="M24" i="3"/>
  <c r="K24" i="3"/>
  <c r="G24" i="3"/>
  <c r="H24" i="3" s="1"/>
  <c r="L24" i="3" s="1"/>
  <c r="F24" i="3"/>
  <c r="E24" i="3"/>
  <c r="B24" i="3" s="1"/>
  <c r="Q23" i="3"/>
  <c r="M23" i="3"/>
  <c r="K23" i="3"/>
  <c r="F23" i="3"/>
  <c r="E23" i="3"/>
  <c r="B23" i="3"/>
  <c r="Q22" i="3"/>
  <c r="M22" i="3"/>
  <c r="K22" i="3"/>
  <c r="F22" i="3"/>
  <c r="E22" i="3"/>
  <c r="B22" i="3" s="1"/>
  <c r="Q21" i="3"/>
  <c r="K21" i="3"/>
  <c r="F21" i="3"/>
  <c r="E21" i="3"/>
  <c r="B21" i="3" s="1"/>
  <c r="Q20" i="3"/>
  <c r="K20" i="3"/>
  <c r="F20" i="3"/>
  <c r="E20" i="3"/>
  <c r="B20" i="3" s="1"/>
  <c r="Q19" i="3"/>
  <c r="M19" i="3"/>
  <c r="K19" i="3"/>
  <c r="F19" i="3"/>
  <c r="E19" i="3"/>
  <c r="B19" i="3" s="1"/>
  <c r="Q18" i="3"/>
  <c r="K18" i="3"/>
  <c r="F18" i="3"/>
  <c r="E18" i="3"/>
  <c r="B18" i="3" s="1"/>
  <c r="Q17" i="3"/>
  <c r="K17" i="3"/>
  <c r="F17" i="3"/>
  <c r="E17" i="3"/>
  <c r="B17" i="3" s="1"/>
  <c r="Q16" i="3"/>
  <c r="K16" i="3"/>
  <c r="F16" i="3"/>
  <c r="E16" i="3"/>
  <c r="B16" i="3" s="1"/>
  <c r="Q15" i="3"/>
  <c r="M15" i="3"/>
  <c r="K15" i="3"/>
  <c r="F15" i="3"/>
  <c r="E15" i="3"/>
  <c r="B15" i="3" s="1"/>
  <c r="Q14" i="3"/>
  <c r="M14" i="3"/>
  <c r="K14" i="3"/>
  <c r="F14" i="3"/>
  <c r="E14" i="3"/>
  <c r="B14" i="3"/>
  <c r="Q13" i="3"/>
  <c r="M13" i="3"/>
  <c r="K13" i="3"/>
  <c r="F13" i="3"/>
  <c r="E13" i="3"/>
  <c r="B13" i="3" s="1"/>
  <c r="Q12" i="3"/>
  <c r="M12" i="3"/>
  <c r="K12" i="3"/>
  <c r="F12" i="3"/>
  <c r="E12" i="3"/>
  <c r="B12" i="3" s="1"/>
  <c r="Q11" i="3"/>
  <c r="M11" i="3"/>
  <c r="K11" i="3"/>
  <c r="G11" i="3"/>
  <c r="H11" i="3" s="1"/>
  <c r="L11" i="3" s="1"/>
  <c r="F11" i="3"/>
  <c r="E11" i="3"/>
  <c r="B11" i="3" s="1"/>
  <c r="Q10" i="3"/>
  <c r="M10" i="3"/>
  <c r="K10" i="3"/>
  <c r="F10" i="3"/>
  <c r="E10" i="3"/>
  <c r="B10" i="3"/>
  <c r="Q9" i="3"/>
  <c r="K9" i="3"/>
  <c r="F9" i="3"/>
  <c r="E9" i="3"/>
  <c r="B9" i="3" s="1"/>
  <c r="Q8" i="3"/>
  <c r="K8" i="3"/>
  <c r="F8" i="3"/>
  <c r="E8" i="3"/>
  <c r="B8" i="3" s="1"/>
  <c r="Q7" i="3"/>
  <c r="K7" i="3"/>
  <c r="F7" i="3"/>
  <c r="E7" i="3"/>
  <c r="B7" i="3" s="1"/>
  <c r="Q6" i="3"/>
  <c r="M6" i="3"/>
  <c r="K6" i="3"/>
  <c r="F6" i="3"/>
  <c r="E6" i="3"/>
  <c r="B6" i="3" s="1"/>
  <c r="Q5" i="3"/>
  <c r="M5" i="3"/>
  <c r="K5" i="3"/>
  <c r="F5" i="3"/>
  <c r="E5" i="3"/>
  <c r="B5" i="3" s="1"/>
  <c r="Q4" i="3"/>
  <c r="M4" i="3"/>
  <c r="K4" i="3"/>
  <c r="G4" i="3"/>
  <c r="H4" i="3" s="1"/>
  <c r="L4" i="3" s="1"/>
  <c r="F4" i="3"/>
  <c r="E4" i="3"/>
  <c r="B4" i="3" s="1"/>
  <c r="Q3" i="3"/>
  <c r="M3" i="3"/>
  <c r="K3" i="3"/>
  <c r="F3" i="3"/>
  <c r="E3" i="3"/>
  <c r="B3" i="3" s="1"/>
  <c r="G28" i="2"/>
  <c r="K27" i="2"/>
  <c r="G27" i="2"/>
  <c r="K26" i="2"/>
  <c r="G26" i="2"/>
  <c r="K25" i="2"/>
  <c r="I25" i="2"/>
  <c r="L25" i="2" s="1"/>
  <c r="G25" i="2"/>
  <c r="K24" i="2"/>
  <c r="I24" i="2"/>
  <c r="L24" i="2" s="1"/>
  <c r="H24" i="2"/>
  <c r="G24" i="2"/>
  <c r="K23" i="2"/>
  <c r="I23" i="2"/>
  <c r="G26" i="3" s="1"/>
  <c r="H26" i="3" s="1"/>
  <c r="L26" i="3" s="1"/>
  <c r="G23" i="2"/>
  <c r="K22" i="2"/>
  <c r="I22" i="2"/>
  <c r="L22" i="2" s="1"/>
  <c r="G22" i="2"/>
  <c r="K21" i="2"/>
  <c r="I21" i="2"/>
  <c r="L21" i="2" s="1"/>
  <c r="G21" i="2"/>
  <c r="K20" i="2"/>
  <c r="I20" i="2"/>
  <c r="G23" i="3" s="1"/>
  <c r="H23" i="3" s="1"/>
  <c r="L23" i="3" s="1"/>
  <c r="G20" i="2"/>
  <c r="K19" i="2"/>
  <c r="I19" i="2"/>
  <c r="G22" i="3" s="1"/>
  <c r="H22" i="3" s="1"/>
  <c r="L22" i="3" s="1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I12" i="2"/>
  <c r="H12" i="2"/>
  <c r="G12" i="2"/>
  <c r="K11" i="2"/>
  <c r="G11" i="2"/>
  <c r="K10" i="2"/>
  <c r="I10" i="2"/>
  <c r="L10" i="2" s="1"/>
  <c r="G10" i="2"/>
  <c r="K9" i="2"/>
  <c r="G9" i="2"/>
  <c r="K8" i="2"/>
  <c r="H8" i="2"/>
  <c r="G8" i="2"/>
  <c r="K7" i="2"/>
  <c r="I7" i="2"/>
  <c r="G9" i="3" s="1"/>
  <c r="H9" i="3" s="1"/>
  <c r="L9" i="3" s="1"/>
  <c r="G7" i="2"/>
  <c r="K6" i="2"/>
  <c r="G6" i="2"/>
  <c r="K5" i="2"/>
  <c r="H5" i="2"/>
  <c r="G5" i="2"/>
  <c r="I5" i="2" s="1"/>
  <c r="K4" i="2"/>
  <c r="I4" i="2"/>
  <c r="L4" i="2" s="1"/>
  <c r="G4" i="2"/>
  <c r="K3" i="2"/>
  <c r="I3" i="2"/>
  <c r="L3" i="2" s="1"/>
  <c r="H3" i="2"/>
  <c r="G3" i="2"/>
  <c r="K2" i="2"/>
  <c r="G2" i="2"/>
  <c r="B32" i="1"/>
  <c r="F28" i="2" s="1"/>
  <c r="E27" i="1"/>
  <c r="H28" i="2" s="1"/>
  <c r="E26" i="1"/>
  <c r="E25" i="1"/>
  <c r="E24" i="1"/>
  <c r="E23" i="1"/>
  <c r="I2" i="2" s="1"/>
  <c r="E22" i="1"/>
  <c r="E21" i="1"/>
  <c r="I26" i="2" s="1"/>
  <c r="E20" i="1"/>
  <c r="H10" i="2" s="1"/>
  <c r="E19" i="1"/>
  <c r="E18" i="1"/>
  <c r="E17" i="1"/>
  <c r="E16" i="1"/>
  <c r="I16" i="2" s="1"/>
  <c r="E15" i="1"/>
  <c r="E14" i="1"/>
  <c r="E13" i="1"/>
  <c r="H7" i="2" s="1"/>
  <c r="I31" i="3" l="1"/>
  <c r="K28" i="2" s="1"/>
  <c r="L12" i="2"/>
  <c r="L23" i="2"/>
  <c r="L5" i="2"/>
  <c r="G6" i="3"/>
  <c r="H6" i="3" s="1"/>
  <c r="L6" i="3" s="1"/>
  <c r="L16" i="2"/>
  <c r="G20" i="3"/>
  <c r="H20" i="3" s="1"/>
  <c r="L20" i="3" s="1"/>
  <c r="I28" i="2"/>
  <c r="F31" i="3"/>
  <c r="G3" i="3"/>
  <c r="H3" i="3" s="1"/>
  <c r="L2" i="2"/>
  <c r="L26" i="2"/>
  <c r="G29" i="3"/>
  <c r="H29" i="3" s="1"/>
  <c r="L29" i="3" s="1"/>
  <c r="L7" i="2"/>
  <c r="I17" i="2"/>
  <c r="L19" i="2"/>
  <c r="H20" i="2"/>
  <c r="I8" i="2"/>
  <c r="I13" i="2"/>
  <c r="H18" i="2"/>
  <c r="H13" i="2"/>
  <c r="I18" i="2"/>
  <c r="L20" i="2"/>
  <c r="H23" i="2"/>
  <c r="G13" i="3"/>
  <c r="H13" i="3" s="1"/>
  <c r="L13" i="3" s="1"/>
  <c r="G27" i="3"/>
  <c r="H27" i="3" s="1"/>
  <c r="L27" i="3" s="1"/>
  <c r="H17" i="2"/>
  <c r="H6" i="2"/>
  <c r="H11" i="2"/>
  <c r="H4" i="2"/>
  <c r="I11" i="2"/>
  <c r="H16" i="2"/>
  <c r="H22" i="2"/>
  <c r="H27" i="2"/>
  <c r="I15" i="2"/>
  <c r="I6" i="2"/>
  <c r="H9" i="2"/>
  <c r="H21" i="2"/>
  <c r="B7" i="4"/>
  <c r="H15" i="2"/>
  <c r="H25" i="2"/>
  <c r="H2" i="2"/>
  <c r="I9" i="2"/>
  <c r="H14" i="2"/>
  <c r="H26" i="2"/>
  <c r="G5" i="3"/>
  <c r="H5" i="3" s="1"/>
  <c r="L5" i="3" s="1"/>
  <c r="I27" i="2"/>
  <c r="I14" i="2"/>
  <c r="H19" i="2"/>
  <c r="L17" i="2" l="1"/>
  <c r="G21" i="3"/>
  <c r="H21" i="3" s="1"/>
  <c r="L21" i="3" s="1"/>
  <c r="G30" i="3"/>
  <c r="H30" i="3" s="1"/>
  <c r="L30" i="3" s="1"/>
  <c r="L27" i="2"/>
  <c r="G17" i="3"/>
  <c r="H17" i="3" s="1"/>
  <c r="L17" i="3" s="1"/>
  <c r="L15" i="2"/>
  <c r="G18" i="3"/>
  <c r="H18" i="3" s="1"/>
  <c r="L18" i="3" s="1"/>
  <c r="G19" i="3"/>
  <c r="H19" i="3" s="1"/>
  <c r="L19" i="3" s="1"/>
  <c r="L18" i="2"/>
  <c r="L3" i="3"/>
  <c r="L14" i="2"/>
  <c r="G16" i="3"/>
  <c r="H16" i="3" s="1"/>
  <c r="L16" i="3" s="1"/>
  <c r="G31" i="3"/>
  <c r="H31" i="3" s="1"/>
  <c r="L31" i="3" s="1"/>
  <c r="E2" i="4" s="1"/>
  <c r="L28" i="2"/>
  <c r="G15" i="3"/>
  <c r="H15" i="3" s="1"/>
  <c r="L15" i="3" s="1"/>
  <c r="L9" i="2"/>
  <c r="G14" i="3"/>
  <c r="H14" i="3" s="1"/>
  <c r="L14" i="3" s="1"/>
  <c r="L13" i="2"/>
  <c r="G12" i="3"/>
  <c r="H12" i="3" s="1"/>
  <c r="L12" i="3" s="1"/>
  <c r="L11" i="2"/>
  <c r="L8" i="2"/>
  <c r="G10" i="3"/>
  <c r="H10" i="3" s="1"/>
  <c r="L10" i="3" s="1"/>
  <c r="L6" i="2"/>
  <c r="G7" i="3"/>
  <c r="H7" i="3" s="1"/>
  <c r="L7" i="3" s="1"/>
  <c r="G8" i="3"/>
  <c r="H8" i="3" s="1"/>
  <c r="L8" i="3" s="1"/>
  <c r="H32" i="3" l="1"/>
  <c r="D2" i="4"/>
  <c r="F2" i="4" s="1"/>
  <c r="L32" i="3"/>
  <c r="E13" i="5" l="1"/>
  <c r="F13" i="5" s="1"/>
  <c r="F15" i="5" s="1"/>
  <c r="G2" i="4"/>
  <c r="B6" i="4" s="1"/>
  <c r="F16" i="5" l="1"/>
  <c r="F17" i="5" s="1"/>
  <c r="F18" i="5" l="1"/>
  <c r="F19" i="5" s="1"/>
</calcChain>
</file>

<file path=xl/sharedStrings.xml><?xml version="1.0" encoding="utf-8"?>
<sst xmlns="http://schemas.openxmlformats.org/spreadsheetml/2006/main" count="662" uniqueCount="352">
  <si>
    <t>KURALLAR — TEK GERÇEK KAYNAK (260914 Aktau Beket)</t>
  </si>
  <si>
    <t>BLOK 1 — KUR TABLOSU</t>
  </si>
  <si>
    <t>OK</t>
  </si>
  <si>
    <t>PARA</t>
  </si>
  <si>
    <t>KZT</t>
  </si>
  <si>
    <t>TARIH</t>
  </si>
  <si>
    <t>FIYAT_YOK</t>
  </si>
  <si>
    <t>MUADIL</t>
  </si>
  <si>
    <t>USD</t>
  </si>
  <si>
    <t>VARSAYIM-son bilinen</t>
  </si>
  <si>
    <t>MUADIL_ONAY</t>
  </si>
  <si>
    <t>EUR</t>
  </si>
  <si>
    <t>CIHAZ_BELIRSIZ</t>
  </si>
  <si>
    <t>TRY</t>
  </si>
  <si>
    <t>VARSAYIM</t>
  </si>
  <si>
    <t>KAPSAM_DISI</t>
  </si>
  <si>
    <t>KONTROL</t>
  </si>
  <si>
    <t>BLOK 2 — MARKA KURAL TABLOSU</t>
  </si>
  <si>
    <t>OKUNAMADI</t>
  </si>
  <si>
    <t>MARKA</t>
  </si>
  <si>
    <t>KATSAYI1</t>
  </si>
  <si>
    <t>KATSAYI2</t>
  </si>
  <si>
    <t>TOPLAM</t>
  </si>
  <si>
    <t>GIRDI_TIPI</t>
  </si>
  <si>
    <t>NOT</t>
  </si>
  <si>
    <t>FIYAT_ESKI</t>
  </si>
  <si>
    <t>ABB</t>
  </si>
  <si>
    <t>LISTE</t>
  </si>
  <si>
    <t>standart (motorlu/modüler); açık tip değil</t>
  </si>
  <si>
    <t>ABB-ACIK</t>
  </si>
  <si>
    <t>ayar sahalı / açık tip</t>
  </si>
  <si>
    <t>SCHNEIDER</t>
  </si>
  <si>
    <t>CHINT</t>
  </si>
  <si>
    <t>birlesik.csv gerçek katsayı</t>
  </si>
  <si>
    <t>CNC</t>
  </si>
  <si>
    <t>liste 2025-02-04, güvenilmez</t>
  </si>
  <si>
    <t>LEGRAND</t>
  </si>
  <si>
    <t>teyitsiz</t>
  </si>
  <si>
    <t>IEK</t>
  </si>
  <si>
    <t>EKF</t>
  </si>
  <si>
    <t>referans, fiyat yasak</t>
  </si>
  <si>
    <t>EKT</t>
  </si>
  <si>
    <t>SAIMAN</t>
  </si>
  <si>
    <t>KAZTEK</t>
  </si>
  <si>
    <t>korpus — birlesik.csv gerçek katsayı (0.60 değil, liste zaten net)</t>
  </si>
  <si>
    <t>BAKIR-BARA</t>
  </si>
  <si>
    <t>NET</t>
  </si>
  <si>
    <t>kg fiyatından hesaplanır</t>
  </si>
  <si>
    <t>ALUM-BARA</t>
  </si>
  <si>
    <t>MUADIL-NET</t>
  </si>
  <si>
    <t>ISCILIK</t>
  </si>
  <si>
    <t>BLOK 3 — İŞÇİLİK</t>
  </si>
  <si>
    <t>ISCILIK_SAAT_UCRETI</t>
  </si>
  <si>
    <t>KZT/saat — VARSAYIM (proje bazlı teyit edilmedi)</t>
  </si>
  <si>
    <t>ISCILIK_DK_UCRETI</t>
  </si>
  <si>
    <t>TEST_ETIKET_CARPANI</t>
  </si>
  <si>
    <t>NORM TABLOSU (dk/birim, sarı=değiştirilebilir)</t>
  </si>
  <si>
    <t>NORM_ANAHTAR</t>
  </si>
  <si>
    <t>dk/birim</t>
  </si>
  <si>
    <t>KORPUS_AYAKLI</t>
  </si>
  <si>
    <t>napolnyy/ayaklı korpus montaj</t>
  </si>
  <si>
    <t>MCCB_ANA</t>
  </si>
  <si>
    <t>ana giriş MCCB/ATS ≤250A</t>
  </si>
  <si>
    <t>MCCB_BUYUK</t>
  </si>
  <si>
    <t>MCCB 80-250A</t>
  </si>
  <si>
    <t>MCCB_KUCUK</t>
  </si>
  <si>
    <t>kompakt/modüler koruma şalteri (S200/S800S serisi)</t>
  </si>
  <si>
    <t>MCB_1P</t>
  </si>
  <si>
    <t>1P mini otomat</t>
  </si>
  <si>
    <t>SAYAC_AT</t>
  </si>
  <si>
    <t>sayaç/ölçüm cihazı + AT komple</t>
  </si>
  <si>
    <t>YUMUSAK_YOLVERICI</t>
  </si>
  <si>
    <t>PSR tipi yumuşak yolverici</t>
  </si>
  <si>
    <t>KLEMENS</t>
  </si>
  <si>
    <t>adet başına</t>
  </si>
  <si>
    <t>BARA_KUCUK_N_PE</t>
  </si>
  <si>
    <t>N/PE terminal barası, adet</t>
  </si>
  <si>
    <t>DINRAY_KANAL_M</t>
  </si>
  <si>
    <t>DIN ray + kablo kanalı, dk/m</t>
  </si>
  <si>
    <t>SABIT_HAZIRLIK_TEST_AMBALAJ</t>
  </si>
  <si>
    <t>sabit — ISCILIK_G_SABIT</t>
  </si>
  <si>
    <t>BLOK 4 — FİYAT LİSTESİ YAŞ DENETİMİ</t>
  </si>
  <si>
    <t>Marka</t>
  </si>
  <si>
    <t>Dosya</t>
  </si>
  <si>
    <t>Tarih</t>
  </si>
  <si>
    <t>Yaş(ay)</t>
  </si>
  <si>
    <t>Durum</t>
  </si>
  <si>
    <t>260602 ABB Elektrifikasyon Fiyat Listesi Kasım 2025</t>
  </si>
  <si>
    <t>2025-11</t>
  </si>
  <si>
    <t>normal</t>
  </si>
  <si>
    <t>CHINT/EKT/KAZTEK</t>
  </si>
  <si>
    <t>birlesik.csv (2026-08-27 / 2025-06-12 / 2026-07-15)</t>
  </si>
  <si>
    <t>karışık</t>
  </si>
  <si>
    <t>EKT kalemleri 15 ay — GÜNCELLE sınırına yakın</t>
  </si>
  <si>
    <t>BLOK 5 — RİSK KAYDI</t>
  </si>
  <si>
    <t>Satır</t>
  </si>
  <si>
    <t>Pano</t>
  </si>
  <si>
    <t>Artikül/Kalem</t>
  </si>
  <si>
    <t>DURUM</t>
  </si>
  <si>
    <t>Not</t>
  </si>
  <si>
    <t>Aksiyon</t>
  </si>
  <si>
    <t>ЩН</t>
  </si>
  <si>
    <t>S800S 3P 100A (C)</t>
  </si>
  <si>
    <t>ABB Kasım-2025 fiyat listesinde ve birlesik.csv'de S800S serisi yok</t>
  </si>
  <si>
    <t>Tedarikçiden güncel fiyat/artikül istenmeli</t>
  </si>
  <si>
    <t>S800S 3P 80A (D) x2</t>
  </si>
  <si>
    <t>S200S 3P 16A (C)/(D) — kolon 'Кол.'=1/2 olarak yazılmış</t>
  </si>
  <si>
    <t>1×C + 2×D olarak yorumlandı (toplam 3 adet); D eğrisi ABB Kasım-2025 listesinde YOK, sadece B/C var</t>
  </si>
  <si>
    <t>Müşteriyle miktar/eğri teyidi + MÜHENDİS ONAYI GEREKLİ</t>
  </si>
  <si>
    <t>S200S→S203-C 16A muadili (2CDS253001R0164)</t>
  </si>
  <si>
    <t>D eğrisi bulunamadı, C eğrisi (S203-C, Icn=6kA) ile MUADIL yapıldı</t>
  </si>
  <si>
    <t>MÜHENDİS ONAYI GEREKLİ — D eğrisi gerekiyorsa başka marka aranmalı</t>
  </si>
  <si>
    <t>S200S 3P 32A (D)→S203-C 32A muadili (2CDS253001R0324)</t>
  </si>
  <si>
    <t>D eğrisi bulunamadı, C eğrisi ile MUADIL yapıldı</t>
  </si>
  <si>
    <t>MÜHENDİS ONAYI GEREKLİ</t>
  </si>
  <si>
    <t>Basic M 1P 10A / 6A</t>
  </si>
  <si>
    <t>ABB Kasım-2025 listesinde BMS311C10 / BMS311C06 bulundu (C eğrisi)</t>
  </si>
  <si>
    <t>yok</t>
  </si>
  <si>
    <t>Многофункц. измерит. прибор SM-E (EKF)</t>
  </si>
  <si>
    <t>EKF markası KURALLAR'da 'referans, fiyat yasak' — panel tipi çok fonksiyonlu ölçüm cihazı için CHINT/IEK/EKT/SAIMAN listelerinde muadil bulunamadı</t>
  </si>
  <si>
    <t>Tedarikçiden ayrı teklif / muadil marka araştırması gerekli</t>
  </si>
  <si>
    <t>Трансформатор тока 100/5A TTE-30-100/5A (EKF)→EKT ТТИ-А 100/5А (270300099)</t>
  </si>
  <si>
    <t>EKF fiyatı yasak; aynı oran (100/5A) ve benzer sınıf (0,5) EKT ürünü ile değiştirildi</t>
  </si>
  <si>
    <t>yok — standart muadil</t>
  </si>
  <si>
    <t>NXZM-125S/3B 125A (АВР)</t>
  </si>
  <si>
    <t>birlesik.csv'de tam eşleşme (ARTIKUL 256780)</t>
  </si>
  <si>
    <t>PSR72-600-70 / PSR12-600-70</t>
  </si>
  <si>
    <t>ABB Kasım-2025 listesinde tam eşleşme</t>
  </si>
  <si>
    <t>Корпус TEOS 2000x800x600 IP65 напольный</t>
  </si>
  <si>
    <t>TEOS markası hiçbir fiyat listesinde yok; KAZTEK 719-15923 (2000x800x600+10cm baza) ölçü olarak eşleşiyor ama IP65 teyidi YOK (KAZTEK listesinde IP derecesi belirtilmemiş)</t>
  </si>
  <si>
    <t>MÜHENDİS ONAYI GEREKLİ — IP65 conta/kilit paketi ayrıca teyit edilmeli</t>
  </si>
  <si>
    <t>Клеммник — silovye/upravlyayushiye po sheme (42 adet varsayım)</t>
  </si>
  <si>
    <t>Şemada klemens adedi verilmemiş; kumanda devreleri (4×Basic M 6A), AT sekonder (3×CT), multimetre gerilim devresi, PSR kumanda sinyalleri (4×PSR) üzerinden otomatik hesap: (4×3)+(3×2)+4+(4×3)=38, ×KLEMENS_YEDEK 1.10≈42</t>
  </si>
  <si>
    <t>Şema detay klemens listesi gelince güncellenmeli</t>
  </si>
  <si>
    <t>Шина N / Шина PE (EKT ШНИ-6х9-6-Д-С)</t>
  </si>
  <si>
    <t>Ana giriş ≤125A → BARA_TABLO büyük bakır bara yerine kompakt DIN nötr/PE terminal barası kullanıldı (ГЗШ zorunlu ekleme kuralı)</t>
  </si>
  <si>
    <t>DIN ray TH35 (≈2m) / Kablo kanalı perforeli 50x50 (≈7m)</t>
  </si>
  <si>
    <t>Modül sayısına göre otomatik hesap: ~104 modül×17.5mm×fire1.10≈2.0m ray; kanal iç yerleşim tahmini ≈6.2m×fire1.10≈7m</t>
  </si>
  <si>
    <t>Gerçek yerleşim planına göre güncellenmeli</t>
  </si>
  <si>
    <t>Провод ПуВнг(A)-LS 1x16/1x25/1x2,5, ПВ-3 1x1,5</t>
  </si>
  <si>
    <t>Bu kesitlerde tam eşleşen artikül birlesik.csv'de yok (yalnız АсВВГнг alüminyum seri var, eşdeğer değil)</t>
  </si>
  <si>
    <t>Tedarikçiden fiyat istenmeli</t>
  </si>
  <si>
    <t>ПВ-3 1x1,5 — miktar '100 ???'</t>
  </si>
  <si>
    <t>Kaynak spesifikasyonda miktar müşteri tarafından da '???' ile işaretlenmiş, belirsiz</t>
  </si>
  <si>
    <t>Müşteriden kesin metraj teyidi istenmeli</t>
  </si>
  <si>
    <t>Кабель ВВГнг(A)-FRLS-0,66 5x16 / 5x2,5 / 5x6</t>
  </si>
  <si>
    <t>FRLS (ГОСТ 31996-2012) sertifikalı kablo birlesik.csv'de yok (yalnız standart ВВГнг/АсВВГнг var, yangın sertifikası farklı)</t>
  </si>
  <si>
    <t>Sertifikalı kablo için ayrı tedarikçi teklifi gerekli</t>
  </si>
  <si>
    <t>Montaj malzemesi (naconechnik/etiket/marker)</t>
  </si>
  <si>
    <t>Kalem bazlı değil, tipik sarf paketi (pabuç 16mm² ×6, etiket bandı ×1 paket, marker seti) olarak eklendi</t>
  </si>
  <si>
    <t>BLOK 6 — OTOMATİK TAMAMLAMA PARAMETRELERİ</t>
  </si>
  <si>
    <t>KLEMENS_YEDEK</t>
  </si>
  <si>
    <t>DINRAY_FIRE</t>
  </si>
  <si>
    <t>KANAL_FIRE</t>
  </si>
  <si>
    <t>MODUL_GENISLIK_MM</t>
  </si>
  <si>
    <t>KORPUS_YEDEK_ORANI</t>
  </si>
  <si>
    <t>ANA_SALTER_BARA_ESIK_A</t>
  </si>
  <si>
    <t>BLOK 7 — TİCARİ</t>
  </si>
  <si>
    <t>KAR_ORANI</t>
  </si>
  <si>
    <t>ISKONTO</t>
  </si>
  <si>
    <t>NDS_ORANI</t>
  </si>
  <si>
    <t>TEKLIF_GECERLILIK_GUN</t>
  </si>
  <si>
    <t>URETIM_SURESI_IS_GUNU</t>
  </si>
  <si>
    <t>ODEME_SARTI</t>
  </si>
  <si>
    <t>%50 avans, %50 teslimatta</t>
  </si>
  <si>
    <t>GARANTI</t>
  </si>
  <si>
    <t>12 ay</t>
  </si>
  <si>
    <t>SIRA</t>
  </si>
  <si>
    <t>ARTIKUL</t>
  </si>
  <si>
    <t>ACIKLAMA</t>
  </si>
  <si>
    <t>TIP</t>
  </si>
  <si>
    <t>LISTE_FIYAT</t>
  </si>
  <si>
    <t>KATSAYI</t>
  </si>
  <si>
    <t>NET_KZT</t>
  </si>
  <si>
    <t>BIRIM</t>
  </si>
  <si>
    <t>TOPLAM_ADET</t>
  </si>
  <si>
    <t>TOPLAM_TUTAR</t>
  </si>
  <si>
    <t>KAYNAK</t>
  </si>
  <si>
    <t>KAZTEK-719-15923</t>
  </si>
  <si>
    <t>Мет. Щит ВРУ (2000x800x600)+10 база — TEOS 2000x800x600 IP65 muadili</t>
  </si>
  <si>
    <t>Korpus</t>
  </si>
  <si>
    <t>компл.</t>
  </si>
  <si>
    <t>KAZTEK2607 (2026-07-15)</t>
  </si>
  <si>
    <t>TEOS marka değil, IP65 teyidi gerekli</t>
  </si>
  <si>
    <t>ABB-S800S-3P-100A-C</t>
  </si>
  <si>
    <t>ОТО</t>
  </si>
  <si>
    <t>шт</t>
  </si>
  <si>
    <t>ABB Kasım2025 fiyat listesi / birlesik.csv'de S800S yok</t>
  </si>
  <si>
    <t>ABB-S800S-3P-80A-D</t>
  </si>
  <si>
    <t>Автоматический выключатель S800S 3P 80A, х-ка D</t>
  </si>
  <si>
    <t>CHINT-256780</t>
  </si>
  <si>
    <t>Устройство АВР NXZM-125S/3B 125A</t>
  </si>
  <si>
    <t>АВР</t>
  </si>
  <si>
    <t>CHINT2608 (2026-08-27)</t>
  </si>
  <si>
    <t>birlesik.csv tam eşleşme</t>
  </si>
  <si>
    <t>ABB-2CDS253001R0164</t>
  </si>
  <si>
    <t>Автоматический выключатель S203-C 3P 16A (S200S 16A muadili)</t>
  </si>
  <si>
    <t>ABB Kasım-2025</t>
  </si>
  <si>
    <t>D eğrisi ABB listesinde yok, C ile muadil</t>
  </si>
  <si>
    <t>ABB-2CDS253001R0324</t>
  </si>
  <si>
    <t>Автоматический выключатель S203-C 3P 32A (S200S 32A D muadili)</t>
  </si>
  <si>
    <t>ABB-2CDS631031R0104</t>
  </si>
  <si>
    <t>Basic M BMS311C10, 1P C10A</t>
  </si>
  <si>
    <t>ABB-2CDS631031R0064</t>
  </si>
  <si>
    <t>Basic M BMS311C06, 1P C6A</t>
  </si>
  <si>
    <t>EKF-SME-MUADIL-YOK</t>
  </si>
  <si>
    <t>Многофункциональный измерительный прибор SM-E</t>
  </si>
  <si>
    <t>Прибор</t>
  </si>
  <si>
    <t>EKF fiyatı yasak, panel tipi çok fonksiyonlu ölçüm cihazı için muadil bulunamadı</t>
  </si>
  <si>
    <t>ABB-1SFA896113R7000</t>
  </si>
  <si>
    <t>Устройство плавного пуска PSR72-600-70</t>
  </si>
  <si>
    <t>Плавный пуск</t>
  </si>
  <si>
    <t>ABB-1SFA896106R7000</t>
  </si>
  <si>
    <t>Устройство плавного пуска PSR12-600-70</t>
  </si>
  <si>
    <t>EKT-270300099</t>
  </si>
  <si>
    <t>Трансформатор тока ТТИ-А 100/5А 5ВА кл.0,5 (TTE-30-100/5A muadili)</t>
  </si>
  <si>
    <t>ТТ</t>
  </si>
  <si>
    <t>EKT2506 (2025-06-12)</t>
  </si>
  <si>
    <t>EKF fiyatı yasak — EKT eşdeğeri kullanıldı</t>
  </si>
  <si>
    <t>EKT-030300442</t>
  </si>
  <si>
    <t>Клемма проходная 32A (0,08-4мм, 2х2)</t>
  </si>
  <si>
    <t>Клеммник</t>
  </si>
  <si>
    <t>EKT-130200088</t>
  </si>
  <si>
    <t>Шина N/PE ШНИ-6х9-6-Д-С (изолированная)</t>
  </si>
  <si>
    <t>Шина</t>
  </si>
  <si>
    <t>Ana şalter ≤125A — kompakt terminal bara, bakır bara yerine</t>
  </si>
  <si>
    <t>CHINT-570003</t>
  </si>
  <si>
    <t>DIN-рейка оцинкованная TH35-7.5, 200см</t>
  </si>
  <si>
    <t>DIN</t>
  </si>
  <si>
    <t>EKT-280300704</t>
  </si>
  <si>
    <t>Лоток перфорированный 50х50х3000 (0,7мм)</t>
  </si>
  <si>
    <t>Канал</t>
  </si>
  <si>
    <t>м</t>
  </si>
  <si>
    <t>perforeli tercih kuralı uygulandı</t>
  </si>
  <si>
    <t>KAZTEK-444-03054</t>
  </si>
  <si>
    <t>Медный заземляющий провод Ø16мм2</t>
  </si>
  <si>
    <t>Заземление</t>
  </si>
  <si>
    <t>ГЗШ/kapak-gövde topraklama bağlantısı</t>
  </si>
  <si>
    <t>KABLO-PUVNG-1X16</t>
  </si>
  <si>
    <t>Провод ПуВнг(А)-LS 1х16</t>
  </si>
  <si>
    <t>Кабель</t>
  </si>
  <si>
    <t>Tam eşleşen artikül fiyat listesinde yok</t>
  </si>
  <si>
    <t>KABLO-PUVNG-1X25</t>
  </si>
  <si>
    <t>Провод ПуВнг(А)-LS 1х25</t>
  </si>
  <si>
    <t>KABLO-PUVNG-1X2.5</t>
  </si>
  <si>
    <t>Провод ПуВнг(А)-LS 1х2,5</t>
  </si>
  <si>
    <t>KABLO-PV3-1X1.5</t>
  </si>
  <si>
    <t>Провод ПВ-3 1х1,5</t>
  </si>
  <si>
    <t>Tam eşleşen artikül fiyat listesinde yok; miktar kaynakta '???' işaretli</t>
  </si>
  <si>
    <t>KABLO-VVGNGFRLS-5X16</t>
  </si>
  <si>
    <t>Кабель ВВГнг(А)-FRLS-0,66 5х16</t>
  </si>
  <si>
    <t>FRLS sertifikalı kablo fiyat listesinde yok</t>
  </si>
  <si>
    <t>KABLO-VVGNGFRLS-5X2.5</t>
  </si>
  <si>
    <t>Кабель ВВГнг(А)-FRLS-0,66 5х2,5</t>
  </si>
  <si>
    <t>KABLO-VVGNGFRLS-5X6</t>
  </si>
  <si>
    <t>Кабель ВВГнг(А)-FRLS-0,66 5х6</t>
  </si>
  <si>
    <t>EKT-260100142</t>
  </si>
  <si>
    <t>Каб. наконечник МЛ 16-6-6</t>
  </si>
  <si>
    <t>Расходные материалы</t>
  </si>
  <si>
    <t>otomatik tamamlama — pabuç</t>
  </si>
  <si>
    <t>EKT-311100743</t>
  </si>
  <si>
    <t>Бирка кабельная У-134 (100шт/упак)</t>
  </si>
  <si>
    <t>упак</t>
  </si>
  <si>
    <t>otomatik tamamlama — etiketleme</t>
  </si>
  <si>
    <t>ISCILIK-MONTAJ</t>
  </si>
  <si>
    <t>Montaj işçiliği (dakika bazlı)</t>
  </si>
  <si>
    <t>Işçilik</t>
  </si>
  <si>
    <t>dk</t>
  </si>
  <si>
    <t>F = ISCILIK_DK_UCRETI</t>
  </si>
  <si>
    <t>Наименование1</t>
  </si>
  <si>
    <t>Тип</t>
  </si>
  <si>
    <t>Артикул</t>
  </si>
  <si>
    <t>Номенклатура</t>
  </si>
  <si>
    <t>Цена</t>
  </si>
  <si>
    <t>net</t>
  </si>
  <si>
    <t>H(GxI)</t>
  </si>
  <si>
    <t>Qty</t>
  </si>
  <si>
    <t>Ед.изм</t>
  </si>
  <si>
    <t>Завод</t>
  </si>
  <si>
    <t>tutar</t>
  </si>
  <si>
    <t>DAKIKA</t>
  </si>
  <si>
    <t>ЩН — Щит насосный (напольный, IP65, IP54min), 1 компл.</t>
  </si>
  <si>
    <t>Корпус</t>
  </si>
  <si>
    <t>Ana giriş</t>
  </si>
  <si>
    <t>Motor/pompa hattı</t>
  </si>
  <si>
    <t>Orijinal: S200S 3P16A (C)</t>
  </si>
  <si>
    <t>Orijinal: S200S 3P16A (D) — D eğrisi yok, C ile MUADIL</t>
  </si>
  <si>
    <t>Orijinal: S200S 3P32A (D) — D eğrisi yok, C ile MUADIL</t>
  </si>
  <si>
    <t>İşçiliği Прибор (SAYAC_AT) satırına dahil</t>
  </si>
  <si>
    <t>Kumanda devresi koruması</t>
  </si>
  <si>
    <t>Otomatik hesap: bkz KURALLAR BLOK5</t>
  </si>
  <si>
    <t>Шина N</t>
  </si>
  <si>
    <t>Шина PE</t>
  </si>
  <si>
    <t>Kapak-gövde topraklama bağlantısı</t>
  </si>
  <si>
    <t>DIN рейка</t>
  </si>
  <si>
    <t>шт(200см)</t>
  </si>
  <si>
    <t>≈2,0 m gerekli (modül hesabı)</t>
  </si>
  <si>
    <t>Кабельный канал</t>
  </si>
  <si>
    <t>Perforeli tercih kuralı uygulandı</t>
  </si>
  <si>
    <t>силовые цепи</t>
  </si>
  <si>
    <t>силовые токовые цепи</t>
  </si>
  <si>
    <t>обвязка цепей управления</t>
  </si>
  <si>
    <t>кабели питания насосов</t>
  </si>
  <si>
    <t>Монтажные работы</t>
  </si>
  <si>
    <t>dakika = Σ satır işçilikleri + sabit hazırlık/test/ambalaj, x TEST_ETIKET_CARPANI</t>
  </si>
  <si>
    <t>Toplam ЩН</t>
  </si>
  <si>
    <t>PANO</t>
  </si>
  <si>
    <t>ADET</t>
  </si>
  <si>
    <t>MALZEME</t>
  </si>
  <si>
    <t>IŞÇİLİK</t>
  </si>
  <si>
    <t>BİRİM</t>
  </si>
  <si>
    <t>MODÜL</t>
  </si>
  <si>
    <t>KAPASİTE</t>
  </si>
  <si>
    <t>DOLULUK%</t>
  </si>
  <si>
    <t>YEDEK%</t>
  </si>
  <si>
    <t>BARA m</t>
  </si>
  <si>
    <t>BARA kg</t>
  </si>
  <si>
    <t>BARA TUTARI</t>
  </si>
  <si>
    <t>FIYAT_YOK adedi</t>
  </si>
  <si>
    <t>MUADIL adedi</t>
  </si>
  <si>
    <t>VARSAYIM adedi</t>
  </si>
  <si>
    <t>NOT: MODÜL/KAPASİTE değerleri yerleşim planı olmadan VARSAYIM'dır (bkz. KURALLAR BLOK5). Ana şalter ≤125A → BARA satırları 0 (kablo köprü + kompakt N/PE terminal barası kullanıldı).</t>
  </si>
  <si>
    <t>GENEL TOPLAM (malzeme+işçilik, KZT)</t>
  </si>
  <si>
    <t>FIYAT_YOK kalem sayısı</t>
  </si>
  <si>
    <t>DURUM DAMGASI</t>
  </si>
  <si>
    <t>TEKLİF</t>
  </si>
  <si>
    <t>Teklif No:</t>
  </si>
  <si>
    <t>260914-AKT-BEKET-01</t>
  </si>
  <si>
    <t>Tarih:</t>
  </si>
  <si>
    <t>2026-09-14</t>
  </si>
  <si>
    <t>Geçerlilik:</t>
  </si>
  <si>
    <t>Müşteri:</t>
  </si>
  <si>
    <t>Aktau — Beket (proje)</t>
  </si>
  <si>
    <t>Proje:</t>
  </si>
  <si>
    <t>260914 Aktau Beket — ЩН</t>
  </si>
  <si>
    <t>Para birimi:</t>
  </si>
  <si>
    <t>№</t>
  </si>
  <si>
    <t>Наименование</t>
  </si>
  <si>
    <t>Кол-во</t>
  </si>
  <si>
    <t>Цена за ед.</t>
  </si>
  <si>
    <t>Сумма</t>
  </si>
  <si>
    <t>ЩН — Щит насосный, напольный IP65 (в комплекте, ABB/CHINT/EKT/KAZTEK)</t>
  </si>
  <si>
    <t>Итого:</t>
  </si>
  <si>
    <t>Скидка (ISKONTO):</t>
  </si>
  <si>
    <t>Итого со скидкой:</t>
  </si>
  <si>
    <t>НДС (NDS_ORANI):</t>
  </si>
  <si>
    <t>Всего с НДС:</t>
  </si>
  <si>
    <t>Срок изготовления:</t>
  </si>
  <si>
    <t>Условия оплаты:</t>
  </si>
  <si>
    <t>Гарантия:</t>
  </si>
  <si>
    <t xml:space="preserve"> 2CDS253001R0824 </t>
  </si>
  <si>
    <t xml:space="preserve"> S 203-C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</si>
</sst>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Cambria"/>
      <family val="1"/>
      <charset val="204"/>
    </font>
    <font>
      <b/>
      <sz val="11"/>
      <name val="Cambria"/>
      <family val="1"/>
      <charset val="204"/>
    </font>
    <font>
      <sz val="11"/>
      <color rgb="FF9C0006"/>
      <name val="Cambria"/>
      <family val="1"/>
      <charset val="204"/>
    </font>
    <font>
      <b/>
      <sz val="12"/>
      <name val="Cambria"/>
      <family val="1"/>
      <charset val="204"/>
    </font>
    <font>
      <b/>
      <sz val="14"/>
      <name val="Cambria"/>
      <family val="1"/>
      <charset val="204"/>
    </font>
    <font>
      <b/>
      <sz val="11"/>
      <color rgb="FF9C0006"/>
      <name val="Cambria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CE6F1"/>
      </patternFill>
    </fill>
    <fill>
      <patternFill patternType="solid">
        <fgColor rgb="FFFFFF99"/>
        <bgColor rgb="FFFFFFCC"/>
      </patternFill>
    </fill>
    <fill>
      <patternFill patternType="solid">
        <fgColor rgb="FFFFC080"/>
        <bgColor rgb="FFFFC7CE"/>
      </patternFill>
    </fill>
    <fill>
      <patternFill patternType="solid">
        <fgColor rgb="FFDCE6F1"/>
        <bgColor rgb="FFD9D9D9"/>
      </patternFill>
    </fill>
    <fill>
      <patternFill patternType="solid">
        <fgColor rgb="FFFFC7CE"/>
        <bgColor rgb="FFD9D9D9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3" borderId="0" xfId="0" applyFill="1"/>
    <xf numFmtId="0" fontId="2" fillId="2" borderId="0" xfId="0" applyFont="1" applyFill="1"/>
    <xf numFmtId="0" fontId="0" fillId="4" borderId="0" xfId="0" applyFill="1"/>
    <xf numFmtId="4" fontId="0" fillId="4" borderId="1" xfId="0" applyNumberFormat="1" applyFill="1" applyBorder="1"/>
    <xf numFmtId="4" fontId="0" fillId="4" borderId="0" xfId="0" applyNumberFormat="1" applyFill="1"/>
    <xf numFmtId="0" fontId="3" fillId="0" borderId="0" xfId="0" applyFont="1"/>
    <xf numFmtId="4" fontId="0" fillId="3" borderId="1" xfId="0" applyNumberFormat="1" applyFill="1" applyBorder="1"/>
    <xf numFmtId="4" fontId="0" fillId="0" borderId="0" xfId="0" applyNumberFormat="1"/>
    <xf numFmtId="0" fontId="4" fillId="0" borderId="0" xfId="0" applyFont="1"/>
    <xf numFmtId="0" fontId="5" fillId="0" borderId="0" xfId="0" applyFont="1"/>
    <xf numFmtId="0" fontId="6" fillId="6" borderId="0" xfId="0" applyFont="1" applyFill="1"/>
    <xf numFmtId="4" fontId="2" fillId="0" borderId="0" xfId="0" applyNumberFormat="1" applyFont="1"/>
    <xf numFmtId="0" fontId="0" fillId="5" borderId="2" xfId="0" applyFill="1" applyBorder="1"/>
    <xf numFmtId="0" fontId="2" fillId="5" borderId="2" xfId="0" applyFont="1" applyFill="1" applyBorder="1"/>
    <xf numFmtId="4" fontId="0" fillId="5" borderId="2" xfId="0" applyNumberFormat="1" applyFill="1" applyBorder="1"/>
    <xf numFmtId="0" fontId="0" fillId="0" borderId="2" xfId="0" applyBorder="1"/>
    <xf numFmtId="4" fontId="0" fillId="0" borderId="2" xfId="0" applyNumberFormat="1" applyBorder="1"/>
    <xf numFmtId="0" fontId="2" fillId="0" borderId="2" xfId="0" applyFont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80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"/>
  <sheetViews>
    <sheetView zoomScaleNormal="100" workbookViewId="0">
      <selection activeCell="C24" sqref="C24"/>
    </sheetView>
  </sheetViews>
  <sheetFormatPr defaultColWidth="8.7109375" defaultRowHeight="15" x14ac:dyDescent="0.25"/>
  <cols>
    <col min="1" max="1" width="34" customWidth="1"/>
    <col min="2" max="2" width="12" customWidth="1"/>
    <col min="3" max="3" width="40" customWidth="1"/>
    <col min="4" max="4" width="14" customWidth="1"/>
    <col min="5" max="5" width="10" customWidth="1"/>
    <col min="6" max="6" width="34" customWidth="1"/>
    <col min="7" max="7" width="10" customWidth="1"/>
  </cols>
  <sheetData>
    <row r="1" spans="1:20" ht="15.75" customHeight="1" x14ac:dyDescent="0.25">
      <c r="A1" s="1" t="s">
        <v>0</v>
      </c>
    </row>
    <row r="3" spans="1:20" ht="15" customHeight="1" x14ac:dyDescent="0.25">
      <c r="A3" s="2" t="s">
        <v>1</v>
      </c>
      <c r="T3" t="s">
        <v>2</v>
      </c>
    </row>
    <row r="4" spans="1:20" ht="15" customHeight="1" x14ac:dyDescent="0.25">
      <c r="A4" s="3" t="s">
        <v>3</v>
      </c>
      <c r="B4" s="3" t="s">
        <v>4</v>
      </c>
      <c r="C4" s="3" t="s">
        <v>5</v>
      </c>
      <c r="T4" t="s">
        <v>6</v>
      </c>
    </row>
    <row r="5" spans="1:20" ht="15" customHeight="1" x14ac:dyDescent="0.25">
      <c r="A5" t="s">
        <v>4</v>
      </c>
      <c r="B5" s="4">
        <v>1</v>
      </c>
      <c r="T5" t="s">
        <v>7</v>
      </c>
    </row>
    <row r="6" spans="1:20" ht="15" customHeight="1" x14ac:dyDescent="0.25">
      <c r="A6" t="s">
        <v>8</v>
      </c>
      <c r="B6" s="4">
        <v>548</v>
      </c>
      <c r="C6" t="s">
        <v>9</v>
      </c>
      <c r="T6" t="s">
        <v>10</v>
      </c>
    </row>
    <row r="7" spans="1:20" ht="15" customHeight="1" x14ac:dyDescent="0.25">
      <c r="A7" t="s">
        <v>11</v>
      </c>
      <c r="B7" s="4">
        <v>595</v>
      </c>
      <c r="C7" t="s">
        <v>9</v>
      </c>
      <c r="T7" t="s">
        <v>12</v>
      </c>
    </row>
    <row r="8" spans="1:20" ht="15" customHeight="1" x14ac:dyDescent="0.25">
      <c r="A8" t="s">
        <v>13</v>
      </c>
      <c r="B8" s="4">
        <v>13.5</v>
      </c>
      <c r="C8" t="s">
        <v>9</v>
      </c>
      <c r="T8" t="s">
        <v>14</v>
      </c>
    </row>
    <row r="9" spans="1:20" ht="15" customHeight="1" x14ac:dyDescent="0.25">
      <c r="T9" t="s">
        <v>15</v>
      </c>
    </row>
    <row r="10" spans="1:20" ht="15" customHeight="1" x14ac:dyDescent="0.25">
      <c r="T10" t="s">
        <v>16</v>
      </c>
    </row>
    <row r="11" spans="1:20" ht="15" customHeight="1" x14ac:dyDescent="0.25">
      <c r="A11" s="2" t="s">
        <v>17</v>
      </c>
      <c r="T11" t="s">
        <v>18</v>
      </c>
    </row>
    <row r="12" spans="1:20" ht="15" customHeight="1" x14ac:dyDescent="0.25">
      <c r="A12" s="3" t="s">
        <v>19</v>
      </c>
      <c r="B12" s="3" t="s">
        <v>3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24</v>
      </c>
      <c r="T12" t="s">
        <v>25</v>
      </c>
    </row>
    <row r="13" spans="1:20" ht="15" customHeight="1" x14ac:dyDescent="0.25">
      <c r="A13" t="s">
        <v>26</v>
      </c>
      <c r="B13" t="s">
        <v>11</v>
      </c>
      <c r="C13" s="4">
        <v>1.35</v>
      </c>
      <c r="D13" s="4">
        <v>0.3</v>
      </c>
      <c r="E13">
        <f t="shared" ref="E13:E27" si="0">C13*D13</f>
        <v>0.40500000000000003</v>
      </c>
      <c r="F13" t="s">
        <v>27</v>
      </c>
      <c r="G13" t="s">
        <v>28</v>
      </c>
    </row>
    <row r="14" spans="1:20" ht="15" customHeight="1" x14ac:dyDescent="0.25">
      <c r="A14" t="s">
        <v>29</v>
      </c>
      <c r="B14" t="s">
        <v>11</v>
      </c>
      <c r="C14" s="4">
        <v>1.35</v>
      </c>
      <c r="D14" s="4">
        <v>0.23</v>
      </c>
      <c r="E14">
        <f t="shared" si="0"/>
        <v>0.31050000000000005</v>
      </c>
      <c r="F14" t="s">
        <v>27</v>
      </c>
      <c r="G14" t="s">
        <v>30</v>
      </c>
    </row>
    <row r="15" spans="1:20" ht="15" customHeight="1" x14ac:dyDescent="0.25">
      <c r="A15" t="s">
        <v>31</v>
      </c>
      <c r="B15" t="s">
        <v>11</v>
      </c>
      <c r="C15" s="4">
        <v>0.6</v>
      </c>
      <c r="D15" s="4">
        <v>1</v>
      </c>
      <c r="E15">
        <f t="shared" si="0"/>
        <v>0.6</v>
      </c>
      <c r="F15" t="s">
        <v>27</v>
      </c>
    </row>
    <row r="16" spans="1:20" ht="15" customHeight="1" x14ac:dyDescent="0.25">
      <c r="A16" t="s">
        <v>32</v>
      </c>
      <c r="B16" t="s">
        <v>4</v>
      </c>
      <c r="C16" s="4">
        <v>0.6</v>
      </c>
      <c r="D16" s="4">
        <v>1</v>
      </c>
      <c r="E16">
        <f t="shared" si="0"/>
        <v>0.6</v>
      </c>
      <c r="F16" t="s">
        <v>27</v>
      </c>
      <c r="G16" t="s">
        <v>33</v>
      </c>
    </row>
    <row r="17" spans="1:7" ht="15" customHeight="1" x14ac:dyDescent="0.25">
      <c r="A17" t="s">
        <v>34</v>
      </c>
      <c r="B17" t="s">
        <v>4</v>
      </c>
      <c r="C17" s="4">
        <v>0.55000000000000004</v>
      </c>
      <c r="D17" s="4">
        <v>1</v>
      </c>
      <c r="E17">
        <f t="shared" si="0"/>
        <v>0.55000000000000004</v>
      </c>
      <c r="F17" t="s">
        <v>27</v>
      </c>
      <c r="G17" t="s">
        <v>35</v>
      </c>
    </row>
    <row r="18" spans="1:7" ht="15" customHeight="1" x14ac:dyDescent="0.25">
      <c r="A18" t="s">
        <v>36</v>
      </c>
      <c r="B18" t="s">
        <v>13</v>
      </c>
      <c r="C18" s="4">
        <v>0.5</v>
      </c>
      <c r="D18" s="4">
        <v>1</v>
      </c>
      <c r="E18">
        <f t="shared" si="0"/>
        <v>0.5</v>
      </c>
      <c r="F18" t="s">
        <v>27</v>
      </c>
      <c r="G18" t="s">
        <v>37</v>
      </c>
    </row>
    <row r="19" spans="1:7" ht="15" customHeight="1" x14ac:dyDescent="0.25">
      <c r="A19" t="s">
        <v>38</v>
      </c>
      <c r="B19" t="s">
        <v>4</v>
      </c>
      <c r="C19" s="4">
        <v>1</v>
      </c>
      <c r="D19" s="4">
        <v>1</v>
      </c>
      <c r="E19">
        <f t="shared" si="0"/>
        <v>1</v>
      </c>
      <c r="F19" t="s">
        <v>27</v>
      </c>
    </row>
    <row r="20" spans="1:7" ht="15" customHeight="1" x14ac:dyDescent="0.25">
      <c r="A20" t="s">
        <v>39</v>
      </c>
      <c r="B20" t="s">
        <v>4</v>
      </c>
      <c r="C20" s="4">
        <v>1</v>
      </c>
      <c r="D20" s="4">
        <v>1</v>
      </c>
      <c r="E20">
        <f t="shared" si="0"/>
        <v>1</v>
      </c>
      <c r="F20" t="s">
        <v>27</v>
      </c>
      <c r="G20" t="s">
        <v>40</v>
      </c>
    </row>
    <row r="21" spans="1:7" ht="15" customHeight="1" x14ac:dyDescent="0.25">
      <c r="A21" t="s">
        <v>41</v>
      </c>
      <c r="B21" t="s">
        <v>4</v>
      </c>
      <c r="C21" s="4">
        <v>1</v>
      </c>
      <c r="D21" s="4">
        <v>1</v>
      </c>
      <c r="E21">
        <f t="shared" si="0"/>
        <v>1</v>
      </c>
      <c r="F21" t="s">
        <v>27</v>
      </c>
      <c r="G21" t="s">
        <v>33</v>
      </c>
    </row>
    <row r="22" spans="1:7" ht="15" customHeight="1" x14ac:dyDescent="0.25">
      <c r="A22" t="s">
        <v>42</v>
      </c>
      <c r="B22" t="s">
        <v>4</v>
      </c>
      <c r="C22" s="4">
        <v>1</v>
      </c>
      <c r="D22" s="4">
        <v>1</v>
      </c>
      <c r="E22">
        <f t="shared" si="0"/>
        <v>1</v>
      </c>
      <c r="F22" t="s">
        <v>27</v>
      </c>
    </row>
    <row r="23" spans="1:7" ht="15" customHeight="1" x14ac:dyDescent="0.25">
      <c r="A23" t="s">
        <v>43</v>
      </c>
      <c r="B23" t="s">
        <v>4</v>
      </c>
      <c r="C23" s="4">
        <v>0.6</v>
      </c>
      <c r="D23" s="4">
        <v>1</v>
      </c>
      <c r="E23">
        <f t="shared" si="0"/>
        <v>0.6</v>
      </c>
      <c r="F23" t="s">
        <v>27</v>
      </c>
      <c r="G23" t="s">
        <v>44</v>
      </c>
    </row>
    <row r="24" spans="1:7" ht="15" customHeight="1" x14ac:dyDescent="0.25">
      <c r="A24" t="s">
        <v>45</v>
      </c>
      <c r="B24" t="s">
        <v>4</v>
      </c>
      <c r="C24" s="4">
        <v>1</v>
      </c>
      <c r="D24" s="4">
        <v>1</v>
      </c>
      <c r="E24">
        <f t="shared" si="0"/>
        <v>1</v>
      </c>
      <c r="F24" t="s">
        <v>46</v>
      </c>
      <c r="G24" t="s">
        <v>47</v>
      </c>
    </row>
    <row r="25" spans="1:7" ht="15" customHeight="1" x14ac:dyDescent="0.25">
      <c r="A25" t="s">
        <v>48</v>
      </c>
      <c r="B25" t="s">
        <v>4</v>
      </c>
      <c r="C25" s="4">
        <v>1</v>
      </c>
      <c r="D25" s="4">
        <v>1</v>
      </c>
      <c r="E25">
        <f t="shared" si="0"/>
        <v>1</v>
      </c>
      <c r="F25" t="s">
        <v>46</v>
      </c>
      <c r="G25" t="s">
        <v>47</v>
      </c>
    </row>
    <row r="26" spans="1:7" ht="15" customHeight="1" x14ac:dyDescent="0.25">
      <c r="A26" t="s">
        <v>49</v>
      </c>
      <c r="B26" t="s">
        <v>4</v>
      </c>
      <c r="C26" s="4">
        <v>1</v>
      </c>
      <c r="D26" s="4">
        <v>1</v>
      </c>
      <c r="E26">
        <f t="shared" si="0"/>
        <v>1</v>
      </c>
      <c r="F26" t="s">
        <v>46</v>
      </c>
    </row>
    <row r="27" spans="1:7" ht="15" customHeight="1" x14ac:dyDescent="0.25">
      <c r="A27" t="s">
        <v>50</v>
      </c>
      <c r="B27" t="s">
        <v>4</v>
      </c>
      <c r="C27" s="4">
        <v>1</v>
      </c>
      <c r="D27" s="4">
        <v>1</v>
      </c>
      <c r="E27">
        <f t="shared" si="0"/>
        <v>1</v>
      </c>
      <c r="F27" t="s">
        <v>46</v>
      </c>
    </row>
    <row r="30" spans="1:7" ht="15" customHeight="1" x14ac:dyDescent="0.25">
      <c r="A30" s="2" t="s">
        <v>51</v>
      </c>
    </row>
    <row r="31" spans="1:7" ht="15" customHeight="1" x14ac:dyDescent="0.25">
      <c r="A31" t="s">
        <v>52</v>
      </c>
      <c r="B31" s="4">
        <v>3500</v>
      </c>
      <c r="C31" t="s">
        <v>53</v>
      </c>
    </row>
    <row r="32" spans="1:7" ht="15" customHeight="1" x14ac:dyDescent="0.25">
      <c r="A32" t="s">
        <v>54</v>
      </c>
      <c r="B32">
        <f>B31/60</f>
        <v>58.333333333333336</v>
      </c>
    </row>
    <row r="33" spans="1:3" ht="15" customHeight="1" x14ac:dyDescent="0.25">
      <c r="A33" t="s">
        <v>55</v>
      </c>
      <c r="B33" s="4">
        <v>1.1499999999999999</v>
      </c>
    </row>
    <row r="35" spans="1:3" ht="15" customHeight="1" x14ac:dyDescent="0.25">
      <c r="A35" s="2" t="s">
        <v>56</v>
      </c>
    </row>
    <row r="36" spans="1:3" ht="15" customHeight="1" x14ac:dyDescent="0.25">
      <c r="A36" s="3" t="s">
        <v>57</v>
      </c>
      <c r="B36" s="3" t="s">
        <v>58</v>
      </c>
      <c r="C36" s="3" t="s">
        <v>24</v>
      </c>
    </row>
    <row r="37" spans="1:3" ht="15" customHeight="1" x14ac:dyDescent="0.25">
      <c r="A37" t="s">
        <v>59</v>
      </c>
      <c r="B37" s="4">
        <v>90</v>
      </c>
      <c r="C37" t="s">
        <v>60</v>
      </c>
    </row>
    <row r="38" spans="1:3" ht="15" customHeight="1" x14ac:dyDescent="0.25">
      <c r="A38" t="s">
        <v>61</v>
      </c>
      <c r="B38" s="4">
        <v>60</v>
      </c>
      <c r="C38" t="s">
        <v>62</v>
      </c>
    </row>
    <row r="39" spans="1:3" ht="15" customHeight="1" x14ac:dyDescent="0.25">
      <c r="A39" t="s">
        <v>63</v>
      </c>
      <c r="B39" s="4">
        <v>60</v>
      </c>
      <c r="C39" t="s">
        <v>64</v>
      </c>
    </row>
    <row r="40" spans="1:3" ht="15" customHeight="1" x14ac:dyDescent="0.25">
      <c r="A40" t="s">
        <v>65</v>
      </c>
      <c r="B40" s="4">
        <v>45</v>
      </c>
      <c r="C40" t="s">
        <v>66</v>
      </c>
    </row>
    <row r="41" spans="1:3" ht="15" customHeight="1" x14ac:dyDescent="0.25">
      <c r="A41" t="s">
        <v>67</v>
      </c>
      <c r="B41" s="4">
        <v>10</v>
      </c>
      <c r="C41" t="s">
        <v>68</v>
      </c>
    </row>
    <row r="42" spans="1:3" ht="15" customHeight="1" x14ac:dyDescent="0.25">
      <c r="A42" t="s">
        <v>69</v>
      </c>
      <c r="B42" s="4">
        <v>90</v>
      </c>
      <c r="C42" t="s">
        <v>70</v>
      </c>
    </row>
    <row r="43" spans="1:3" ht="15" customHeight="1" x14ac:dyDescent="0.25">
      <c r="A43" t="s">
        <v>71</v>
      </c>
      <c r="B43" s="4">
        <v>45</v>
      </c>
      <c r="C43" t="s">
        <v>72</v>
      </c>
    </row>
    <row r="44" spans="1:3" ht="15" customHeight="1" x14ac:dyDescent="0.25">
      <c r="A44" t="s">
        <v>73</v>
      </c>
      <c r="B44" s="4">
        <v>4</v>
      </c>
      <c r="C44" t="s">
        <v>74</v>
      </c>
    </row>
    <row r="45" spans="1:3" ht="15" customHeight="1" x14ac:dyDescent="0.25">
      <c r="A45" t="s">
        <v>75</v>
      </c>
      <c r="B45" s="4">
        <v>10</v>
      </c>
      <c r="C45" t="s">
        <v>76</v>
      </c>
    </row>
    <row r="46" spans="1:3" ht="15" customHeight="1" x14ac:dyDescent="0.25">
      <c r="A46" t="s">
        <v>77</v>
      </c>
      <c r="B46" s="4">
        <v>5</v>
      </c>
      <c r="C46" t="s">
        <v>78</v>
      </c>
    </row>
    <row r="47" spans="1:3" ht="15" customHeight="1" x14ac:dyDescent="0.25">
      <c r="A47" t="s">
        <v>79</v>
      </c>
      <c r="B47" s="4">
        <v>100</v>
      </c>
      <c r="C47" t="s">
        <v>80</v>
      </c>
    </row>
    <row r="50" spans="1:6" ht="15" customHeight="1" x14ac:dyDescent="0.25">
      <c r="A50" s="2" t="s">
        <v>81</v>
      </c>
    </row>
    <row r="51" spans="1:6" ht="15" customHeight="1" x14ac:dyDescent="0.25">
      <c r="A51" s="3" t="s">
        <v>82</v>
      </c>
      <c r="B51" s="3" t="s">
        <v>83</v>
      </c>
      <c r="C51" s="3" t="s">
        <v>84</v>
      </c>
      <c r="D51" s="3" t="s">
        <v>85</v>
      </c>
      <c r="E51" s="3" t="s">
        <v>86</v>
      </c>
    </row>
    <row r="52" spans="1:6" ht="15" customHeight="1" x14ac:dyDescent="0.25">
      <c r="A52" t="s">
        <v>26</v>
      </c>
      <c r="B52" t="s">
        <v>87</v>
      </c>
      <c r="C52" t="s">
        <v>88</v>
      </c>
      <c r="D52">
        <v>10</v>
      </c>
      <c r="E52" t="s">
        <v>89</v>
      </c>
    </row>
    <row r="53" spans="1:6" ht="15" customHeight="1" x14ac:dyDescent="0.25">
      <c r="A53" t="s">
        <v>90</v>
      </c>
      <c r="B53" t="s">
        <v>91</v>
      </c>
      <c r="C53" t="s">
        <v>92</v>
      </c>
      <c r="D53">
        <v>2</v>
      </c>
      <c r="E53" t="s">
        <v>93</v>
      </c>
    </row>
    <row r="56" spans="1:6" ht="15" customHeight="1" x14ac:dyDescent="0.25">
      <c r="A56" s="2" t="s">
        <v>94</v>
      </c>
    </row>
    <row r="57" spans="1:6" ht="15" customHeight="1" x14ac:dyDescent="0.25">
      <c r="A57" s="3" t="s">
        <v>95</v>
      </c>
      <c r="B57" s="3" t="s">
        <v>96</v>
      </c>
      <c r="C57" s="3" t="s">
        <v>97</v>
      </c>
      <c r="D57" s="3" t="s">
        <v>98</v>
      </c>
      <c r="E57" s="3" t="s">
        <v>99</v>
      </c>
      <c r="F57" s="3" t="s">
        <v>100</v>
      </c>
    </row>
    <row r="58" spans="1:6" ht="15" customHeight="1" x14ac:dyDescent="0.25">
      <c r="A58">
        <v>1</v>
      </c>
      <c r="B58" t="s">
        <v>101</v>
      </c>
      <c r="C58" t="s">
        <v>102</v>
      </c>
      <c r="D58" t="s">
        <v>6</v>
      </c>
      <c r="E58" t="s">
        <v>103</v>
      </c>
      <c r="F58" t="s">
        <v>104</v>
      </c>
    </row>
    <row r="59" spans="1:6" ht="15" customHeight="1" x14ac:dyDescent="0.25">
      <c r="A59">
        <v>2</v>
      </c>
      <c r="B59" t="s">
        <v>101</v>
      </c>
      <c r="C59" t="s">
        <v>105</v>
      </c>
      <c r="D59" t="s">
        <v>6</v>
      </c>
      <c r="E59" t="s">
        <v>103</v>
      </c>
      <c r="F59" t="s">
        <v>104</v>
      </c>
    </row>
    <row r="60" spans="1:6" ht="15" customHeight="1" x14ac:dyDescent="0.25">
      <c r="A60">
        <v>3</v>
      </c>
      <c r="B60" t="s">
        <v>101</v>
      </c>
      <c r="C60" t="s">
        <v>106</v>
      </c>
      <c r="D60" t="s">
        <v>16</v>
      </c>
      <c r="E60" t="s">
        <v>107</v>
      </c>
      <c r="F60" t="s">
        <v>108</v>
      </c>
    </row>
    <row r="61" spans="1:6" ht="15" customHeight="1" x14ac:dyDescent="0.25">
      <c r="A61">
        <v>4</v>
      </c>
      <c r="B61" t="s">
        <v>101</v>
      </c>
      <c r="C61" t="s">
        <v>109</v>
      </c>
      <c r="D61" t="s">
        <v>10</v>
      </c>
      <c r="E61" t="s">
        <v>110</v>
      </c>
      <c r="F61" t="s">
        <v>111</v>
      </c>
    </row>
    <row r="62" spans="1:6" ht="15" customHeight="1" x14ac:dyDescent="0.25">
      <c r="A62">
        <v>5</v>
      </c>
      <c r="B62" t="s">
        <v>101</v>
      </c>
      <c r="C62" t="s">
        <v>112</v>
      </c>
      <c r="D62" t="s">
        <v>10</v>
      </c>
      <c r="E62" t="s">
        <v>113</v>
      </c>
      <c r="F62" t="s">
        <v>114</v>
      </c>
    </row>
    <row r="63" spans="1:6" ht="15" customHeight="1" x14ac:dyDescent="0.25">
      <c r="A63">
        <v>6</v>
      </c>
      <c r="B63" t="s">
        <v>101</v>
      </c>
      <c r="C63" t="s">
        <v>115</v>
      </c>
      <c r="D63" t="s">
        <v>2</v>
      </c>
      <c r="E63" t="s">
        <v>116</v>
      </c>
      <c r="F63" t="s">
        <v>117</v>
      </c>
    </row>
    <row r="64" spans="1:6" ht="15" customHeight="1" x14ac:dyDescent="0.25">
      <c r="A64">
        <v>7</v>
      </c>
      <c r="B64" t="s">
        <v>101</v>
      </c>
      <c r="C64" t="s">
        <v>118</v>
      </c>
      <c r="D64" t="s">
        <v>6</v>
      </c>
      <c r="E64" t="s">
        <v>119</v>
      </c>
      <c r="F64" t="s">
        <v>120</v>
      </c>
    </row>
    <row r="65" spans="1:6" ht="15" customHeight="1" x14ac:dyDescent="0.25">
      <c r="A65">
        <v>8</v>
      </c>
      <c r="B65" t="s">
        <v>101</v>
      </c>
      <c r="C65" t="s">
        <v>121</v>
      </c>
      <c r="D65" t="s">
        <v>7</v>
      </c>
      <c r="E65" t="s">
        <v>122</v>
      </c>
      <c r="F65" t="s">
        <v>123</v>
      </c>
    </row>
    <row r="66" spans="1:6" ht="15" customHeight="1" x14ac:dyDescent="0.25">
      <c r="A66">
        <v>9</v>
      </c>
      <c r="B66" t="s">
        <v>101</v>
      </c>
      <c r="C66" t="s">
        <v>124</v>
      </c>
      <c r="D66" t="s">
        <v>2</v>
      </c>
      <c r="E66" t="s">
        <v>125</v>
      </c>
      <c r="F66" t="s">
        <v>117</v>
      </c>
    </row>
    <row r="67" spans="1:6" ht="15" customHeight="1" x14ac:dyDescent="0.25">
      <c r="A67">
        <v>10</v>
      </c>
      <c r="B67" t="s">
        <v>101</v>
      </c>
      <c r="C67" t="s">
        <v>126</v>
      </c>
      <c r="D67" t="s">
        <v>2</v>
      </c>
      <c r="E67" t="s">
        <v>127</v>
      </c>
      <c r="F67" t="s">
        <v>117</v>
      </c>
    </row>
    <row r="68" spans="1:6" ht="15" customHeight="1" x14ac:dyDescent="0.25">
      <c r="A68">
        <v>11</v>
      </c>
      <c r="B68" t="s">
        <v>101</v>
      </c>
      <c r="C68" t="s">
        <v>128</v>
      </c>
      <c r="D68" t="s">
        <v>10</v>
      </c>
      <c r="E68" t="s">
        <v>129</v>
      </c>
      <c r="F68" t="s">
        <v>130</v>
      </c>
    </row>
    <row r="69" spans="1:6" ht="15" customHeight="1" x14ac:dyDescent="0.25">
      <c r="A69">
        <v>12</v>
      </c>
      <c r="B69" t="s">
        <v>101</v>
      </c>
      <c r="C69" t="s">
        <v>131</v>
      </c>
      <c r="D69" t="s">
        <v>14</v>
      </c>
      <c r="E69" t="s">
        <v>132</v>
      </c>
      <c r="F69" t="s">
        <v>133</v>
      </c>
    </row>
    <row r="70" spans="1:6" ht="15" customHeight="1" x14ac:dyDescent="0.25">
      <c r="A70">
        <v>13</v>
      </c>
      <c r="B70" t="s">
        <v>101</v>
      </c>
      <c r="C70" t="s">
        <v>134</v>
      </c>
      <c r="D70" t="s">
        <v>14</v>
      </c>
      <c r="E70" t="s">
        <v>135</v>
      </c>
      <c r="F70" t="s">
        <v>117</v>
      </c>
    </row>
    <row r="71" spans="1:6" ht="15" customHeight="1" x14ac:dyDescent="0.25">
      <c r="A71">
        <v>14</v>
      </c>
      <c r="B71" t="s">
        <v>101</v>
      </c>
      <c r="C71" t="s">
        <v>136</v>
      </c>
      <c r="D71" t="s">
        <v>14</v>
      </c>
      <c r="E71" t="s">
        <v>137</v>
      </c>
      <c r="F71" t="s">
        <v>138</v>
      </c>
    </row>
    <row r="72" spans="1:6" ht="15" customHeight="1" x14ac:dyDescent="0.25">
      <c r="A72">
        <v>15</v>
      </c>
      <c r="B72" t="s">
        <v>101</v>
      </c>
      <c r="C72" t="s">
        <v>139</v>
      </c>
      <c r="D72" t="s">
        <v>6</v>
      </c>
      <c r="E72" t="s">
        <v>140</v>
      </c>
      <c r="F72" t="s">
        <v>141</v>
      </c>
    </row>
    <row r="73" spans="1:6" ht="15" customHeight="1" x14ac:dyDescent="0.25">
      <c r="A73">
        <v>16</v>
      </c>
      <c r="B73" t="s">
        <v>101</v>
      </c>
      <c r="C73" t="s">
        <v>142</v>
      </c>
      <c r="D73" t="s">
        <v>16</v>
      </c>
      <c r="E73" t="s">
        <v>143</v>
      </c>
      <c r="F73" t="s">
        <v>144</v>
      </c>
    </row>
    <row r="74" spans="1:6" ht="15" customHeight="1" x14ac:dyDescent="0.25">
      <c r="A74">
        <v>17</v>
      </c>
      <c r="B74" t="s">
        <v>101</v>
      </c>
      <c r="C74" t="s">
        <v>145</v>
      </c>
      <c r="D74" t="s">
        <v>6</v>
      </c>
      <c r="E74" t="s">
        <v>146</v>
      </c>
      <c r="F74" t="s">
        <v>147</v>
      </c>
    </row>
    <row r="75" spans="1:6" ht="15" customHeight="1" x14ac:dyDescent="0.25">
      <c r="A75">
        <v>18</v>
      </c>
      <c r="B75" t="s">
        <v>101</v>
      </c>
      <c r="C75" t="s">
        <v>148</v>
      </c>
      <c r="D75" t="s">
        <v>14</v>
      </c>
      <c r="E75" t="s">
        <v>149</v>
      </c>
      <c r="F75" t="s">
        <v>117</v>
      </c>
    </row>
    <row r="78" spans="1:6" ht="15" customHeight="1" x14ac:dyDescent="0.25">
      <c r="A78" s="2" t="s">
        <v>150</v>
      </c>
    </row>
    <row r="79" spans="1:6" ht="15" customHeight="1" x14ac:dyDescent="0.25">
      <c r="A79" t="s">
        <v>151</v>
      </c>
      <c r="B79" s="4">
        <v>1.1000000000000001</v>
      </c>
    </row>
    <row r="80" spans="1:6" ht="15" customHeight="1" x14ac:dyDescent="0.25">
      <c r="A80" t="s">
        <v>152</v>
      </c>
      <c r="B80" s="4">
        <v>1.1000000000000001</v>
      </c>
    </row>
    <row r="81" spans="1:2" ht="15" customHeight="1" x14ac:dyDescent="0.25">
      <c r="A81" t="s">
        <v>153</v>
      </c>
      <c r="B81" s="4">
        <v>1.1000000000000001</v>
      </c>
    </row>
    <row r="82" spans="1:2" ht="15" customHeight="1" x14ac:dyDescent="0.25">
      <c r="A82" t="s">
        <v>154</v>
      </c>
      <c r="B82" s="4">
        <v>17.5</v>
      </c>
    </row>
    <row r="83" spans="1:2" ht="15" customHeight="1" x14ac:dyDescent="0.25">
      <c r="A83" t="s">
        <v>155</v>
      </c>
      <c r="B83" s="4">
        <v>0.2</v>
      </c>
    </row>
    <row r="84" spans="1:2" ht="15" customHeight="1" x14ac:dyDescent="0.25">
      <c r="A84" t="s">
        <v>156</v>
      </c>
      <c r="B84" s="4">
        <v>125</v>
      </c>
    </row>
    <row r="87" spans="1:2" ht="15" customHeight="1" x14ac:dyDescent="0.25">
      <c r="A87" s="2" t="s">
        <v>157</v>
      </c>
    </row>
    <row r="88" spans="1:2" ht="15" customHeight="1" x14ac:dyDescent="0.25">
      <c r="A88" t="s">
        <v>158</v>
      </c>
      <c r="B88" s="4">
        <v>0.25</v>
      </c>
    </row>
    <row r="89" spans="1:2" ht="15" customHeight="1" x14ac:dyDescent="0.25">
      <c r="A89" t="s">
        <v>159</v>
      </c>
      <c r="B89" s="4">
        <v>0</v>
      </c>
    </row>
    <row r="90" spans="1:2" ht="15" customHeight="1" x14ac:dyDescent="0.25">
      <c r="A90" t="s">
        <v>160</v>
      </c>
      <c r="B90" s="4">
        <v>0.12</v>
      </c>
    </row>
    <row r="91" spans="1:2" ht="15" customHeight="1" x14ac:dyDescent="0.25">
      <c r="A91" t="s">
        <v>161</v>
      </c>
      <c r="B91" s="4">
        <v>15</v>
      </c>
    </row>
    <row r="92" spans="1:2" ht="15" customHeight="1" x14ac:dyDescent="0.25">
      <c r="A92" t="s">
        <v>162</v>
      </c>
      <c r="B92" s="4">
        <v>20</v>
      </c>
    </row>
    <row r="93" spans="1:2" ht="15" customHeight="1" x14ac:dyDescent="0.25">
      <c r="A93" t="s">
        <v>163</v>
      </c>
      <c r="B93" s="4" t="s">
        <v>164</v>
      </c>
    </row>
    <row r="94" spans="1:2" ht="15" customHeight="1" x14ac:dyDescent="0.25">
      <c r="A94" t="s">
        <v>165</v>
      </c>
      <c r="B94" s="4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zoomScaleNormal="100" workbookViewId="0">
      <pane ySplit="1" topLeftCell="A2" activePane="bottomLeft" state="frozen"/>
      <selection pane="bottomLeft" activeCell="C4" sqref="C4"/>
    </sheetView>
  </sheetViews>
  <sheetFormatPr defaultColWidth="8.7109375" defaultRowHeight="15" x14ac:dyDescent="0.25"/>
  <cols>
    <col min="1" max="1" width="6" customWidth="1"/>
    <col min="2" max="2" width="22" customWidth="1"/>
    <col min="3" max="3" width="62.42578125" customWidth="1"/>
    <col min="4" max="4" width="14" customWidth="1"/>
    <col min="5" max="5" width="10" customWidth="1"/>
    <col min="6" max="6" width="12" customWidth="1"/>
    <col min="7" max="7" width="8" customWidth="1"/>
    <col min="8" max="8" width="9" customWidth="1"/>
    <col min="9" max="9" width="12" customWidth="1"/>
    <col min="10" max="10" width="9" customWidth="1"/>
    <col min="11" max="11" width="11" customWidth="1"/>
    <col min="12" max="12" width="12" customWidth="1"/>
    <col min="13" max="13" width="20" customWidth="1"/>
    <col min="14" max="14" width="13" customWidth="1"/>
    <col min="15" max="15" width="46" customWidth="1"/>
  </cols>
  <sheetData>
    <row r="1" spans="1:15" ht="15" customHeight="1" x14ac:dyDescent="0.25">
      <c r="A1" s="5" t="s">
        <v>167</v>
      </c>
      <c r="B1" s="5" t="s">
        <v>168</v>
      </c>
      <c r="C1" s="5" t="s">
        <v>169</v>
      </c>
      <c r="D1" s="5" t="s">
        <v>170</v>
      </c>
      <c r="E1" s="5" t="s">
        <v>19</v>
      </c>
      <c r="F1" s="5" t="s">
        <v>171</v>
      </c>
      <c r="G1" s="5" t="s">
        <v>3</v>
      </c>
      <c r="H1" s="5" t="s">
        <v>172</v>
      </c>
      <c r="I1" s="5" t="s">
        <v>173</v>
      </c>
      <c r="J1" s="5" t="s">
        <v>174</v>
      </c>
      <c r="K1" s="5" t="s">
        <v>175</v>
      </c>
      <c r="L1" s="5" t="s">
        <v>176</v>
      </c>
      <c r="M1" s="5" t="s">
        <v>177</v>
      </c>
      <c r="N1" s="5" t="s">
        <v>98</v>
      </c>
      <c r="O1" s="5" t="s">
        <v>24</v>
      </c>
    </row>
    <row r="2" spans="1:15" ht="15" customHeight="1" x14ac:dyDescent="0.25">
      <c r="A2" s="6">
        <v>1</v>
      </c>
      <c r="B2" s="6" t="s">
        <v>178</v>
      </c>
      <c r="C2" s="6" t="s">
        <v>179</v>
      </c>
      <c r="D2" s="6" t="s">
        <v>180</v>
      </c>
      <c r="E2" s="6" t="s">
        <v>43</v>
      </c>
      <c r="F2" s="7">
        <v>148675</v>
      </c>
      <c r="G2" s="6" t="str">
        <f t="shared" ref="G2:G28" si="0">IF($E2="","",INDEX(MARKA_PARA,MATCH($E2,MARKA_AD,0)))</f>
        <v>KZT</v>
      </c>
      <c r="H2" s="6">
        <f t="shared" ref="H2:H28" si="1">IF($E2="","",INDEX(MARKA_KAT,MATCH($E2,MARKA_AD,0)))</f>
        <v>0.6</v>
      </c>
      <c r="I2" s="8">
        <f t="shared" ref="I2:I28" si="2">IF($F2="","",IF(INDEX(MARKA_TIP,MATCH($E2,MARKA_AD,0))="NET",$F2,$F2*INDEX(MARKA_KAT,MATCH($E2,MARKA_AD,0))*INDEX(KUR_DEG,MATCH($G2,KUR_AD,0))))</f>
        <v>89205</v>
      </c>
      <c r="J2" s="6" t="s">
        <v>181</v>
      </c>
      <c r="K2" s="6">
        <f>SUMIF(BOM!$D:$D,$B2,BOM!$I:$I)</f>
        <v>1</v>
      </c>
      <c r="L2" s="8">
        <f t="shared" ref="L2:L28" si="3">IF($I2="","",$I2*$K2)</f>
        <v>89205</v>
      </c>
      <c r="M2" s="6" t="s">
        <v>182</v>
      </c>
      <c r="N2" s="6" t="s">
        <v>10</v>
      </c>
      <c r="O2" s="6" t="s">
        <v>183</v>
      </c>
    </row>
    <row r="3" spans="1:15" ht="15" customHeight="1" x14ac:dyDescent="0.25">
      <c r="A3">
        <v>2</v>
      </c>
      <c r="B3" t="s">
        <v>350</v>
      </c>
      <c r="C3" s="9" t="s">
        <v>351</v>
      </c>
      <c r="D3" t="s">
        <v>185</v>
      </c>
      <c r="E3" t="s">
        <v>26</v>
      </c>
      <c r="F3" s="10">
        <v>242.2</v>
      </c>
      <c r="G3" t="str">
        <f t="shared" si="0"/>
        <v>EUR</v>
      </c>
      <c r="H3">
        <f t="shared" si="1"/>
        <v>0.40500000000000003</v>
      </c>
      <c r="I3" s="11">
        <f t="shared" si="2"/>
        <v>58364.145000000004</v>
      </c>
      <c r="J3" t="s">
        <v>186</v>
      </c>
      <c r="K3">
        <f>SUMIF(BOM!$D:$D,$B3,BOM!$I:$I)</f>
        <v>0</v>
      </c>
      <c r="L3" s="11">
        <f t="shared" si="3"/>
        <v>0</v>
      </c>
      <c r="N3" s="9" t="s">
        <v>6</v>
      </c>
      <c r="O3" s="9" t="s">
        <v>187</v>
      </c>
    </row>
    <row r="4" spans="1:15" ht="15" customHeight="1" x14ac:dyDescent="0.25">
      <c r="A4">
        <v>3</v>
      </c>
      <c r="B4" t="s">
        <v>188</v>
      </c>
      <c r="C4" s="9" t="s">
        <v>189</v>
      </c>
      <c r="D4" t="s">
        <v>185</v>
      </c>
      <c r="E4" t="s">
        <v>26</v>
      </c>
      <c r="F4" s="10"/>
      <c r="G4" t="str">
        <f t="shared" si="0"/>
        <v>EUR</v>
      </c>
      <c r="H4">
        <f t="shared" si="1"/>
        <v>0.40500000000000003</v>
      </c>
      <c r="I4" s="11" t="str">
        <f t="shared" si="2"/>
        <v/>
      </c>
      <c r="J4" t="s">
        <v>186</v>
      </c>
      <c r="K4">
        <f>SUMIF(BOM!$D:$D,$B4,BOM!$I:$I)</f>
        <v>2</v>
      </c>
      <c r="L4" s="11" t="str">
        <f t="shared" si="3"/>
        <v/>
      </c>
      <c r="N4" s="9" t="s">
        <v>6</v>
      </c>
      <c r="O4" s="9" t="s">
        <v>187</v>
      </c>
    </row>
    <row r="5" spans="1:15" ht="15" customHeight="1" x14ac:dyDescent="0.25">
      <c r="A5">
        <v>4</v>
      </c>
      <c r="B5" t="s">
        <v>190</v>
      </c>
      <c r="C5" t="s">
        <v>191</v>
      </c>
      <c r="D5" t="s">
        <v>192</v>
      </c>
      <c r="E5" t="s">
        <v>32</v>
      </c>
      <c r="F5" s="10">
        <v>204604</v>
      </c>
      <c r="G5" t="str">
        <f t="shared" si="0"/>
        <v>KZT</v>
      </c>
      <c r="H5">
        <f t="shared" si="1"/>
        <v>0.6</v>
      </c>
      <c r="I5" s="11">
        <f t="shared" si="2"/>
        <v>122762.4</v>
      </c>
      <c r="J5" t="s">
        <v>186</v>
      </c>
      <c r="K5">
        <f>SUMIF(BOM!$D:$D,$B5,BOM!$I:$I)</f>
        <v>1</v>
      </c>
      <c r="L5" s="11">
        <f t="shared" si="3"/>
        <v>122762.4</v>
      </c>
      <c r="M5" t="s">
        <v>193</v>
      </c>
      <c r="N5" t="s">
        <v>2</v>
      </c>
      <c r="O5" t="s">
        <v>194</v>
      </c>
    </row>
    <row r="6" spans="1:15" ht="15" customHeight="1" x14ac:dyDescent="0.25">
      <c r="A6" s="6">
        <v>5</v>
      </c>
      <c r="B6" s="6" t="s">
        <v>195</v>
      </c>
      <c r="C6" s="6" t="s">
        <v>196</v>
      </c>
      <c r="D6" s="6" t="s">
        <v>185</v>
      </c>
      <c r="E6" s="6" t="s">
        <v>26</v>
      </c>
      <c r="F6" s="7">
        <v>48.51</v>
      </c>
      <c r="G6" s="6" t="str">
        <f t="shared" si="0"/>
        <v>EUR</v>
      </c>
      <c r="H6" s="6">
        <f t="shared" si="1"/>
        <v>0.40500000000000003</v>
      </c>
      <c r="I6" s="8">
        <f t="shared" si="2"/>
        <v>11689.697250000001</v>
      </c>
      <c r="J6" s="6" t="s">
        <v>186</v>
      </c>
      <c r="K6" s="6">
        <f>SUMIF(BOM!$D:$D,$B6,BOM!$I:$I)</f>
        <v>3</v>
      </c>
      <c r="L6" s="8">
        <f t="shared" si="3"/>
        <v>35069.091750000007</v>
      </c>
      <c r="M6" s="6" t="s">
        <v>197</v>
      </c>
      <c r="N6" s="6" t="s">
        <v>10</v>
      </c>
      <c r="O6" s="6" t="s">
        <v>198</v>
      </c>
    </row>
    <row r="7" spans="1:15" ht="15" customHeight="1" x14ac:dyDescent="0.25">
      <c r="A7" s="6">
        <v>6</v>
      </c>
      <c r="B7" s="6" t="s">
        <v>199</v>
      </c>
      <c r="C7" s="6" t="s">
        <v>200</v>
      </c>
      <c r="D7" s="6" t="s">
        <v>185</v>
      </c>
      <c r="E7" s="6" t="s">
        <v>26</v>
      </c>
      <c r="F7" s="7">
        <v>60.59</v>
      </c>
      <c r="G7" s="6" t="str">
        <f t="shared" si="0"/>
        <v>EUR</v>
      </c>
      <c r="H7" s="6">
        <f t="shared" si="1"/>
        <v>0.40500000000000003</v>
      </c>
      <c r="I7" s="8">
        <f t="shared" si="2"/>
        <v>14600.675250000002</v>
      </c>
      <c r="J7" s="6" t="s">
        <v>186</v>
      </c>
      <c r="K7" s="6">
        <f>SUMIF(BOM!$D:$D,$B7,BOM!$I:$I)</f>
        <v>1</v>
      </c>
      <c r="L7" s="8">
        <f t="shared" si="3"/>
        <v>14600.675250000002</v>
      </c>
      <c r="M7" s="6" t="s">
        <v>197</v>
      </c>
      <c r="N7" s="6" t="s">
        <v>10</v>
      </c>
      <c r="O7" s="6" t="s">
        <v>198</v>
      </c>
    </row>
    <row r="8" spans="1:15" ht="15" customHeight="1" x14ac:dyDescent="0.25">
      <c r="A8">
        <v>7</v>
      </c>
      <c r="B8" t="s">
        <v>201</v>
      </c>
      <c r="C8" t="s">
        <v>202</v>
      </c>
      <c r="D8" t="s">
        <v>185</v>
      </c>
      <c r="E8" t="s">
        <v>26</v>
      </c>
      <c r="F8" s="10">
        <v>4.95</v>
      </c>
      <c r="G8" t="str">
        <f t="shared" si="0"/>
        <v>EUR</v>
      </c>
      <c r="H8">
        <f t="shared" si="1"/>
        <v>0.40500000000000003</v>
      </c>
      <c r="I8" s="11">
        <f t="shared" si="2"/>
        <v>1192.8262500000001</v>
      </c>
      <c r="J8" t="s">
        <v>186</v>
      </c>
      <c r="K8">
        <f>SUMIF(BOM!$D:$D,$B8,BOM!$I:$I)</f>
        <v>2</v>
      </c>
      <c r="L8" s="11">
        <f t="shared" si="3"/>
        <v>2385.6525000000001</v>
      </c>
      <c r="M8" t="s">
        <v>197</v>
      </c>
      <c r="N8" t="s">
        <v>2</v>
      </c>
    </row>
    <row r="9" spans="1:15" ht="15" customHeight="1" x14ac:dyDescent="0.25">
      <c r="A9">
        <v>8</v>
      </c>
      <c r="B9" t="s">
        <v>203</v>
      </c>
      <c r="C9" t="s">
        <v>204</v>
      </c>
      <c r="D9" t="s">
        <v>185</v>
      </c>
      <c r="E9" t="s">
        <v>26</v>
      </c>
      <c r="F9" s="10">
        <v>5.94</v>
      </c>
      <c r="G9" t="str">
        <f t="shared" si="0"/>
        <v>EUR</v>
      </c>
      <c r="H9">
        <f t="shared" si="1"/>
        <v>0.40500000000000003</v>
      </c>
      <c r="I9" s="11">
        <f t="shared" si="2"/>
        <v>1431.3915000000002</v>
      </c>
      <c r="J9" t="s">
        <v>186</v>
      </c>
      <c r="K9">
        <f>SUMIF(BOM!$D:$D,$B9,BOM!$I:$I)</f>
        <v>4</v>
      </c>
      <c r="L9" s="11">
        <f t="shared" si="3"/>
        <v>5725.5660000000007</v>
      </c>
      <c r="M9" t="s">
        <v>197</v>
      </c>
      <c r="N9" t="s">
        <v>2</v>
      </c>
    </row>
    <row r="10" spans="1:15" ht="15" customHeight="1" x14ac:dyDescent="0.25">
      <c r="A10">
        <v>9</v>
      </c>
      <c r="B10" t="s">
        <v>205</v>
      </c>
      <c r="C10" s="9" t="s">
        <v>206</v>
      </c>
      <c r="D10" t="s">
        <v>207</v>
      </c>
      <c r="E10" t="s">
        <v>39</v>
      </c>
      <c r="F10" s="10"/>
      <c r="G10" t="str">
        <f t="shared" si="0"/>
        <v>KZT</v>
      </c>
      <c r="H10">
        <f t="shared" si="1"/>
        <v>1</v>
      </c>
      <c r="I10" s="11" t="str">
        <f t="shared" si="2"/>
        <v/>
      </c>
      <c r="J10" t="s">
        <v>186</v>
      </c>
      <c r="K10">
        <f>SUMIF(BOM!$D:$D,$B10,BOM!$I:$I)</f>
        <v>1</v>
      </c>
      <c r="L10" s="11" t="str">
        <f t="shared" si="3"/>
        <v/>
      </c>
      <c r="N10" s="9" t="s">
        <v>6</v>
      </c>
      <c r="O10" s="9" t="s">
        <v>208</v>
      </c>
    </row>
    <row r="11" spans="1:15" ht="15" customHeight="1" x14ac:dyDescent="0.25">
      <c r="A11">
        <v>10</v>
      </c>
      <c r="B11" t="s">
        <v>209</v>
      </c>
      <c r="C11" t="s">
        <v>210</v>
      </c>
      <c r="D11" t="s">
        <v>211</v>
      </c>
      <c r="E11" t="s">
        <v>26</v>
      </c>
      <c r="F11" s="10">
        <v>859.7</v>
      </c>
      <c r="G11" t="str">
        <f t="shared" si="0"/>
        <v>EUR</v>
      </c>
      <c r="H11">
        <f t="shared" si="1"/>
        <v>0.40500000000000003</v>
      </c>
      <c r="I11" s="11">
        <f t="shared" si="2"/>
        <v>207166.20750000002</v>
      </c>
      <c r="J11" t="s">
        <v>186</v>
      </c>
      <c r="K11">
        <f>SUMIF(BOM!$D:$D,$B11,BOM!$I:$I)</f>
        <v>2</v>
      </c>
      <c r="L11" s="11">
        <f t="shared" si="3"/>
        <v>414332.41500000004</v>
      </c>
      <c r="M11" t="s">
        <v>197</v>
      </c>
      <c r="N11" t="s">
        <v>2</v>
      </c>
    </row>
    <row r="12" spans="1:15" ht="15" customHeight="1" x14ac:dyDescent="0.25">
      <c r="A12">
        <v>11</v>
      </c>
      <c r="B12" t="s">
        <v>212</v>
      </c>
      <c r="C12" t="s">
        <v>213</v>
      </c>
      <c r="D12" t="s">
        <v>211</v>
      </c>
      <c r="E12" t="s">
        <v>26</v>
      </c>
      <c r="F12" s="10">
        <v>248</v>
      </c>
      <c r="G12" t="str">
        <f t="shared" si="0"/>
        <v>EUR</v>
      </c>
      <c r="H12">
        <f t="shared" si="1"/>
        <v>0.40500000000000003</v>
      </c>
      <c r="I12" s="11">
        <f t="shared" si="2"/>
        <v>59761.80000000001</v>
      </c>
      <c r="J12" t="s">
        <v>186</v>
      </c>
      <c r="K12">
        <f>SUMIF(BOM!$D:$D,$B12,BOM!$I:$I)</f>
        <v>2</v>
      </c>
      <c r="L12" s="11">
        <f t="shared" si="3"/>
        <v>119523.60000000002</v>
      </c>
      <c r="M12" t="s">
        <v>197</v>
      </c>
      <c r="N12" t="s">
        <v>2</v>
      </c>
    </row>
    <row r="13" spans="1:15" ht="15" customHeight="1" x14ac:dyDescent="0.25">
      <c r="A13">
        <v>12</v>
      </c>
      <c r="B13" t="s">
        <v>214</v>
      </c>
      <c r="C13" t="s">
        <v>215</v>
      </c>
      <c r="D13" t="s">
        <v>216</v>
      </c>
      <c r="E13" t="s">
        <v>41</v>
      </c>
      <c r="F13" s="10">
        <v>5047</v>
      </c>
      <c r="G13" t="str">
        <f t="shared" si="0"/>
        <v>KZT</v>
      </c>
      <c r="H13">
        <f t="shared" si="1"/>
        <v>1</v>
      </c>
      <c r="I13" s="11">
        <f t="shared" si="2"/>
        <v>5047</v>
      </c>
      <c r="J13" t="s">
        <v>186</v>
      </c>
      <c r="K13">
        <f>SUMIF(BOM!$D:$D,$B13,BOM!$I:$I)</f>
        <v>3</v>
      </c>
      <c r="L13" s="11">
        <f t="shared" si="3"/>
        <v>15141</v>
      </c>
      <c r="M13" t="s">
        <v>217</v>
      </c>
      <c r="N13" t="s">
        <v>7</v>
      </c>
      <c r="O13" t="s">
        <v>218</v>
      </c>
    </row>
    <row r="14" spans="1:15" ht="15" customHeight="1" x14ac:dyDescent="0.25">
      <c r="A14">
        <v>13</v>
      </c>
      <c r="B14" t="s">
        <v>219</v>
      </c>
      <c r="C14" t="s">
        <v>220</v>
      </c>
      <c r="D14" t="s">
        <v>221</v>
      </c>
      <c r="E14" t="s">
        <v>41</v>
      </c>
      <c r="F14" s="10">
        <v>210</v>
      </c>
      <c r="G14" t="str">
        <f t="shared" si="0"/>
        <v>KZT</v>
      </c>
      <c r="H14">
        <f t="shared" si="1"/>
        <v>1</v>
      </c>
      <c r="I14" s="11">
        <f t="shared" si="2"/>
        <v>210</v>
      </c>
      <c r="J14" t="s">
        <v>186</v>
      </c>
      <c r="K14">
        <f>SUMIF(BOM!$D:$D,$B14,BOM!$I:$I)</f>
        <v>42</v>
      </c>
      <c r="L14" s="11">
        <f t="shared" si="3"/>
        <v>8820</v>
      </c>
      <c r="M14" t="s">
        <v>217</v>
      </c>
      <c r="N14" t="s">
        <v>2</v>
      </c>
    </row>
    <row r="15" spans="1:15" ht="15" customHeight="1" x14ac:dyDescent="0.25">
      <c r="A15">
        <v>14</v>
      </c>
      <c r="B15" t="s">
        <v>222</v>
      </c>
      <c r="C15" t="s">
        <v>223</v>
      </c>
      <c r="D15" t="s">
        <v>224</v>
      </c>
      <c r="E15" t="s">
        <v>41</v>
      </c>
      <c r="F15" s="10">
        <v>307</v>
      </c>
      <c r="G15" t="str">
        <f t="shared" si="0"/>
        <v>KZT</v>
      </c>
      <c r="H15">
        <f t="shared" si="1"/>
        <v>1</v>
      </c>
      <c r="I15" s="11">
        <f t="shared" si="2"/>
        <v>307</v>
      </c>
      <c r="J15" t="s">
        <v>186</v>
      </c>
      <c r="K15">
        <f>SUMIF(BOM!$D:$D,$B15,BOM!$I:$I)</f>
        <v>2</v>
      </c>
      <c r="L15" s="11">
        <f t="shared" si="3"/>
        <v>614</v>
      </c>
      <c r="M15" t="s">
        <v>217</v>
      </c>
      <c r="N15" s="4" t="s">
        <v>14</v>
      </c>
      <c r="O15" t="s">
        <v>225</v>
      </c>
    </row>
    <row r="16" spans="1:15" ht="15" customHeight="1" x14ac:dyDescent="0.25">
      <c r="A16">
        <v>15</v>
      </c>
      <c r="B16" t="s">
        <v>226</v>
      </c>
      <c r="C16" t="s">
        <v>227</v>
      </c>
      <c r="D16" t="s">
        <v>228</v>
      </c>
      <c r="E16" t="s">
        <v>32</v>
      </c>
      <c r="F16" s="10">
        <v>2232</v>
      </c>
      <c r="G16" t="str">
        <f t="shared" si="0"/>
        <v>KZT</v>
      </c>
      <c r="H16">
        <f t="shared" si="1"/>
        <v>0.6</v>
      </c>
      <c r="I16" s="11">
        <f t="shared" si="2"/>
        <v>1339.2</v>
      </c>
      <c r="J16" t="s">
        <v>186</v>
      </c>
      <c r="K16">
        <f>SUMIF(BOM!$D:$D,$B16,BOM!$I:$I)</f>
        <v>1</v>
      </c>
      <c r="L16" s="11">
        <f t="shared" si="3"/>
        <v>1339.2</v>
      </c>
      <c r="M16" t="s">
        <v>193</v>
      </c>
      <c r="N16" t="s">
        <v>2</v>
      </c>
    </row>
    <row r="17" spans="1:15" ht="15" customHeight="1" x14ac:dyDescent="0.25">
      <c r="A17">
        <v>16</v>
      </c>
      <c r="B17" t="s">
        <v>229</v>
      </c>
      <c r="C17" t="s">
        <v>230</v>
      </c>
      <c r="D17" t="s">
        <v>231</v>
      </c>
      <c r="E17" t="s">
        <v>41</v>
      </c>
      <c r="F17" s="10">
        <v>1022</v>
      </c>
      <c r="G17" t="str">
        <f t="shared" si="0"/>
        <v>KZT</v>
      </c>
      <c r="H17">
        <f t="shared" si="1"/>
        <v>1</v>
      </c>
      <c r="I17" s="11">
        <f t="shared" si="2"/>
        <v>1022</v>
      </c>
      <c r="J17" t="s">
        <v>232</v>
      </c>
      <c r="K17">
        <f>SUMIF(BOM!$D:$D,$B17,BOM!$I:$I)</f>
        <v>7</v>
      </c>
      <c r="L17" s="11">
        <f t="shared" si="3"/>
        <v>7154</v>
      </c>
      <c r="M17" t="s">
        <v>217</v>
      </c>
      <c r="N17" t="s">
        <v>2</v>
      </c>
      <c r="O17" t="s">
        <v>233</v>
      </c>
    </row>
    <row r="18" spans="1:15" ht="15" customHeight="1" x14ac:dyDescent="0.25">
      <c r="A18">
        <v>17</v>
      </c>
      <c r="B18" t="s">
        <v>234</v>
      </c>
      <c r="C18" t="s">
        <v>235</v>
      </c>
      <c r="D18" t="s">
        <v>236</v>
      </c>
      <c r="E18" t="s">
        <v>43</v>
      </c>
      <c r="F18" s="10">
        <v>2000</v>
      </c>
      <c r="G18" t="str">
        <f t="shared" si="0"/>
        <v>KZT</v>
      </c>
      <c r="H18">
        <f t="shared" si="1"/>
        <v>0.6</v>
      </c>
      <c r="I18" s="11">
        <f t="shared" si="2"/>
        <v>1200</v>
      </c>
      <c r="J18" t="s">
        <v>232</v>
      </c>
      <c r="K18">
        <f>SUMIF(BOM!$D:$D,$B18,BOM!$I:$I)</f>
        <v>0.3</v>
      </c>
      <c r="L18" s="11">
        <f t="shared" si="3"/>
        <v>360</v>
      </c>
      <c r="M18" t="s">
        <v>182</v>
      </c>
      <c r="N18" t="s">
        <v>2</v>
      </c>
      <c r="O18" t="s">
        <v>237</v>
      </c>
    </row>
    <row r="19" spans="1:15" ht="15" customHeight="1" x14ac:dyDescent="0.25">
      <c r="A19">
        <v>18</v>
      </c>
      <c r="B19" t="s">
        <v>238</v>
      </c>
      <c r="C19" s="9" t="s">
        <v>239</v>
      </c>
      <c r="D19" t="s">
        <v>240</v>
      </c>
      <c r="E19" t="s">
        <v>41</v>
      </c>
      <c r="F19" s="10"/>
      <c r="G19" t="str">
        <f t="shared" si="0"/>
        <v>KZT</v>
      </c>
      <c r="H19">
        <f t="shared" si="1"/>
        <v>1</v>
      </c>
      <c r="I19" s="11" t="str">
        <f t="shared" si="2"/>
        <v/>
      </c>
      <c r="J19" t="s">
        <v>232</v>
      </c>
      <c r="K19">
        <f>SUMIF(BOM!$D:$D,$B19,BOM!$I:$I)</f>
        <v>10</v>
      </c>
      <c r="L19" s="11" t="str">
        <f t="shared" si="3"/>
        <v/>
      </c>
      <c r="N19" s="9" t="s">
        <v>6</v>
      </c>
      <c r="O19" s="9" t="s">
        <v>241</v>
      </c>
    </row>
    <row r="20" spans="1:15" ht="15" customHeight="1" x14ac:dyDescent="0.25">
      <c r="A20">
        <v>19</v>
      </c>
      <c r="B20" t="s">
        <v>242</v>
      </c>
      <c r="C20" s="9" t="s">
        <v>243</v>
      </c>
      <c r="D20" t="s">
        <v>240</v>
      </c>
      <c r="E20" t="s">
        <v>41</v>
      </c>
      <c r="F20" s="10"/>
      <c r="G20" t="str">
        <f t="shared" si="0"/>
        <v>KZT</v>
      </c>
      <c r="H20">
        <f t="shared" si="1"/>
        <v>1</v>
      </c>
      <c r="I20" s="11" t="str">
        <f t="shared" si="2"/>
        <v/>
      </c>
      <c r="J20" t="s">
        <v>232</v>
      </c>
      <c r="K20">
        <f>SUMIF(BOM!$D:$D,$B20,BOM!$I:$I)</f>
        <v>10</v>
      </c>
      <c r="L20" s="11" t="str">
        <f t="shared" si="3"/>
        <v/>
      </c>
      <c r="N20" s="9" t="s">
        <v>6</v>
      </c>
      <c r="O20" s="9" t="s">
        <v>241</v>
      </c>
    </row>
    <row r="21" spans="1:15" ht="15" customHeight="1" x14ac:dyDescent="0.25">
      <c r="A21">
        <v>20</v>
      </c>
      <c r="B21" t="s">
        <v>244</v>
      </c>
      <c r="C21" s="9" t="s">
        <v>245</v>
      </c>
      <c r="D21" t="s">
        <v>240</v>
      </c>
      <c r="E21" t="s">
        <v>41</v>
      </c>
      <c r="F21" s="10"/>
      <c r="G21" t="str">
        <f t="shared" si="0"/>
        <v>KZT</v>
      </c>
      <c r="H21">
        <f t="shared" si="1"/>
        <v>1</v>
      </c>
      <c r="I21" s="11" t="str">
        <f t="shared" si="2"/>
        <v/>
      </c>
      <c r="J21" t="s">
        <v>232</v>
      </c>
      <c r="K21">
        <f>SUMIF(BOM!$D:$D,$B21,BOM!$I:$I)</f>
        <v>10</v>
      </c>
      <c r="L21" s="11" t="str">
        <f t="shared" si="3"/>
        <v/>
      </c>
      <c r="N21" s="9" t="s">
        <v>6</v>
      </c>
      <c r="O21" s="9" t="s">
        <v>241</v>
      </c>
    </row>
    <row r="22" spans="1:15" ht="15" customHeight="1" x14ac:dyDescent="0.25">
      <c r="A22">
        <v>21</v>
      </c>
      <c r="B22" t="s">
        <v>246</v>
      </c>
      <c r="C22" s="9" t="s">
        <v>247</v>
      </c>
      <c r="D22" t="s">
        <v>240</v>
      </c>
      <c r="E22" t="s">
        <v>41</v>
      </c>
      <c r="F22" s="10"/>
      <c r="G22" t="str">
        <f t="shared" si="0"/>
        <v>KZT</v>
      </c>
      <c r="H22">
        <f t="shared" si="1"/>
        <v>1</v>
      </c>
      <c r="I22" s="11" t="str">
        <f t="shared" si="2"/>
        <v/>
      </c>
      <c r="J22" t="s">
        <v>232</v>
      </c>
      <c r="K22">
        <f>SUMIF(BOM!$D:$D,$B22,BOM!$I:$I)</f>
        <v>100</v>
      </c>
      <c r="L22" s="11" t="str">
        <f t="shared" si="3"/>
        <v/>
      </c>
      <c r="N22" s="9" t="s">
        <v>6</v>
      </c>
      <c r="O22" s="9" t="s">
        <v>248</v>
      </c>
    </row>
    <row r="23" spans="1:15" ht="15" customHeight="1" x14ac:dyDescent="0.25">
      <c r="A23">
        <v>22</v>
      </c>
      <c r="B23" t="s">
        <v>249</v>
      </c>
      <c r="C23" s="9" t="s">
        <v>250</v>
      </c>
      <c r="D23" t="s">
        <v>240</v>
      </c>
      <c r="E23" t="s">
        <v>41</v>
      </c>
      <c r="F23" s="10"/>
      <c r="G23" t="str">
        <f t="shared" si="0"/>
        <v>KZT</v>
      </c>
      <c r="H23">
        <f t="shared" si="1"/>
        <v>1</v>
      </c>
      <c r="I23" s="11" t="str">
        <f t="shared" si="2"/>
        <v/>
      </c>
      <c r="J23" t="s">
        <v>232</v>
      </c>
      <c r="K23">
        <f>SUMIF(BOM!$D:$D,$B23,BOM!$I:$I)</f>
        <v>10</v>
      </c>
      <c r="L23" s="11" t="str">
        <f t="shared" si="3"/>
        <v/>
      </c>
      <c r="N23" s="9" t="s">
        <v>6</v>
      </c>
      <c r="O23" s="9" t="s">
        <v>251</v>
      </c>
    </row>
    <row r="24" spans="1:15" ht="15" customHeight="1" x14ac:dyDescent="0.25">
      <c r="A24">
        <v>23</v>
      </c>
      <c r="B24" t="s">
        <v>252</v>
      </c>
      <c r="C24" s="9" t="s">
        <v>253</v>
      </c>
      <c r="D24" t="s">
        <v>240</v>
      </c>
      <c r="E24" t="s">
        <v>41</v>
      </c>
      <c r="F24" s="10"/>
      <c r="G24" t="str">
        <f t="shared" si="0"/>
        <v>KZT</v>
      </c>
      <c r="H24">
        <f t="shared" si="1"/>
        <v>1</v>
      </c>
      <c r="I24" s="11" t="str">
        <f t="shared" si="2"/>
        <v/>
      </c>
      <c r="J24" t="s">
        <v>232</v>
      </c>
      <c r="K24">
        <f>SUMIF(BOM!$D:$D,$B24,BOM!$I:$I)</f>
        <v>10</v>
      </c>
      <c r="L24" s="11" t="str">
        <f t="shared" si="3"/>
        <v/>
      </c>
      <c r="N24" s="9" t="s">
        <v>6</v>
      </c>
      <c r="O24" s="9" t="s">
        <v>251</v>
      </c>
    </row>
    <row r="25" spans="1:15" ht="15" customHeight="1" x14ac:dyDescent="0.25">
      <c r="A25">
        <v>24</v>
      </c>
      <c r="B25" t="s">
        <v>254</v>
      </c>
      <c r="C25" s="9" t="s">
        <v>255</v>
      </c>
      <c r="D25" t="s">
        <v>240</v>
      </c>
      <c r="E25" t="s">
        <v>41</v>
      </c>
      <c r="F25" s="10"/>
      <c r="G25" t="str">
        <f t="shared" si="0"/>
        <v>KZT</v>
      </c>
      <c r="H25">
        <f t="shared" si="1"/>
        <v>1</v>
      </c>
      <c r="I25" s="11" t="str">
        <f t="shared" si="2"/>
        <v/>
      </c>
      <c r="J25" t="s">
        <v>232</v>
      </c>
      <c r="K25">
        <f>SUMIF(BOM!$D:$D,$B25,BOM!$I:$I)</f>
        <v>15</v>
      </c>
      <c r="L25" s="11" t="str">
        <f t="shared" si="3"/>
        <v/>
      </c>
      <c r="N25" s="9" t="s">
        <v>6</v>
      </c>
      <c r="O25" s="9" t="s">
        <v>251</v>
      </c>
    </row>
    <row r="26" spans="1:15" ht="15" customHeight="1" x14ac:dyDescent="0.25">
      <c r="A26">
        <v>25</v>
      </c>
      <c r="B26" t="s">
        <v>256</v>
      </c>
      <c r="C26" t="s">
        <v>257</v>
      </c>
      <c r="D26" t="s">
        <v>258</v>
      </c>
      <c r="E26" t="s">
        <v>41</v>
      </c>
      <c r="F26" s="10">
        <v>180</v>
      </c>
      <c r="G26" t="str">
        <f t="shared" si="0"/>
        <v>KZT</v>
      </c>
      <c r="H26">
        <f t="shared" si="1"/>
        <v>1</v>
      </c>
      <c r="I26" s="11">
        <f t="shared" si="2"/>
        <v>180</v>
      </c>
      <c r="J26" t="s">
        <v>186</v>
      </c>
      <c r="K26">
        <f>SUMIF(BOM!$D:$D,$B26,BOM!$I:$I)</f>
        <v>6</v>
      </c>
      <c r="L26" s="11">
        <f t="shared" si="3"/>
        <v>1080</v>
      </c>
      <c r="M26" t="s">
        <v>217</v>
      </c>
      <c r="N26" s="4" t="s">
        <v>14</v>
      </c>
      <c r="O26" t="s">
        <v>259</v>
      </c>
    </row>
    <row r="27" spans="1:15" ht="15" customHeight="1" x14ac:dyDescent="0.25">
      <c r="A27">
        <v>26</v>
      </c>
      <c r="B27" t="s">
        <v>260</v>
      </c>
      <c r="C27" t="s">
        <v>261</v>
      </c>
      <c r="D27" t="s">
        <v>258</v>
      </c>
      <c r="E27" t="s">
        <v>41</v>
      </c>
      <c r="F27" s="10">
        <v>1209</v>
      </c>
      <c r="G27" t="str">
        <f t="shared" si="0"/>
        <v>KZT</v>
      </c>
      <c r="H27">
        <f t="shared" si="1"/>
        <v>1</v>
      </c>
      <c r="I27" s="11">
        <f t="shared" si="2"/>
        <v>1209</v>
      </c>
      <c r="J27" t="s">
        <v>262</v>
      </c>
      <c r="K27">
        <f>SUMIF(BOM!$D:$D,$B27,BOM!$I:$I)</f>
        <v>1</v>
      </c>
      <c r="L27" s="11">
        <f t="shared" si="3"/>
        <v>1209</v>
      </c>
      <c r="M27" t="s">
        <v>217</v>
      </c>
      <c r="N27" s="4" t="s">
        <v>14</v>
      </c>
      <c r="O27" t="s">
        <v>263</v>
      </c>
    </row>
    <row r="28" spans="1:15" ht="15" customHeight="1" x14ac:dyDescent="0.25">
      <c r="A28">
        <v>27</v>
      </c>
      <c r="B28" t="s">
        <v>264</v>
      </c>
      <c r="C28" t="s">
        <v>265</v>
      </c>
      <c r="D28" t="s">
        <v>266</v>
      </c>
      <c r="E28" t="s">
        <v>50</v>
      </c>
      <c r="F28" s="11">
        <f>ISCILIK_DK_UCRETI</f>
        <v>58.333333333333336</v>
      </c>
      <c r="G28" t="str">
        <f t="shared" si="0"/>
        <v>KZT</v>
      </c>
      <c r="H28">
        <f t="shared" si="1"/>
        <v>1</v>
      </c>
      <c r="I28" s="11">
        <f t="shared" si="2"/>
        <v>58.333333333333336</v>
      </c>
      <c r="J28" t="s">
        <v>267</v>
      </c>
      <c r="K28">
        <f>SUMIF(BOM!$D:$D,$B28,BOM!$I:$I)</f>
        <v>1349</v>
      </c>
      <c r="L28" s="11">
        <f t="shared" si="3"/>
        <v>78691.666666666672</v>
      </c>
      <c r="N28" t="s">
        <v>2</v>
      </c>
      <c r="O28" t="s">
        <v>268</v>
      </c>
    </row>
  </sheetData>
  <autoFilter ref="A1:O2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zoomScaleNormal="100" workbookViewId="0">
      <pane ySplit="1" topLeftCell="A2" activePane="bottomLeft" state="frozen"/>
      <selection pane="bottomLeft" activeCell="D4" sqref="D4"/>
    </sheetView>
  </sheetViews>
  <sheetFormatPr defaultColWidth="8.7109375" defaultRowHeight="15" x14ac:dyDescent="0.25"/>
  <cols>
    <col min="1" max="1" width="6" customWidth="1"/>
    <col min="2" max="2" width="30" customWidth="1"/>
    <col min="3" max="3" width="16" customWidth="1"/>
    <col min="4" max="4" width="22" customWidth="1"/>
    <col min="5" max="5" width="52.5703125" customWidth="1"/>
    <col min="6" max="7" width="10" customWidth="1"/>
    <col min="8" max="8" width="12" customWidth="1"/>
    <col min="9" max="9" width="8" customWidth="1"/>
    <col min="10" max="11" width="10" customWidth="1"/>
    <col min="12" max="12" width="12" customWidth="1"/>
    <col min="13" max="13" width="14" customWidth="1"/>
    <col min="14" max="14" width="34" customWidth="1"/>
    <col min="15" max="15" width="12" customWidth="1"/>
    <col min="16" max="16" width="16" customWidth="1"/>
    <col min="17" max="17" width="9" customWidth="1"/>
  </cols>
  <sheetData>
    <row r="1" spans="1:17" s="23" customFormat="1" ht="31.5" customHeight="1" x14ac:dyDescent="0.25">
      <c r="A1" s="22" t="s">
        <v>167</v>
      </c>
      <c r="B1" s="22" t="s">
        <v>269</v>
      </c>
      <c r="C1" s="22" t="s">
        <v>270</v>
      </c>
      <c r="D1" s="22" t="s">
        <v>271</v>
      </c>
      <c r="E1" s="22" t="s">
        <v>272</v>
      </c>
      <c r="F1" s="22" t="s">
        <v>273</v>
      </c>
      <c r="G1" s="22" t="s">
        <v>274</v>
      </c>
      <c r="H1" s="22" t="s">
        <v>275</v>
      </c>
      <c r="I1" s="22" t="s">
        <v>276</v>
      </c>
      <c r="J1" s="22" t="s">
        <v>277</v>
      </c>
      <c r="K1" s="22" t="s">
        <v>278</v>
      </c>
      <c r="L1" s="22" t="s">
        <v>279</v>
      </c>
      <c r="M1" s="22" t="s">
        <v>98</v>
      </c>
      <c r="N1" s="22" t="s">
        <v>24</v>
      </c>
      <c r="O1" s="22" t="s">
        <v>177</v>
      </c>
      <c r="P1" s="22" t="s">
        <v>57</v>
      </c>
      <c r="Q1" s="22" t="s">
        <v>280</v>
      </c>
    </row>
    <row r="2" spans="1:17" ht="21.75" customHeight="1" x14ac:dyDescent="0.25">
      <c r="A2" s="16">
        <v>1</v>
      </c>
      <c r="B2" s="17" t="s">
        <v>281</v>
      </c>
      <c r="C2" s="16"/>
      <c r="D2" s="16"/>
      <c r="E2" s="16"/>
      <c r="F2" s="18"/>
      <c r="G2" s="18"/>
      <c r="H2" s="18"/>
      <c r="I2" s="16">
        <v>1</v>
      </c>
      <c r="J2" s="16" t="s">
        <v>181</v>
      </c>
      <c r="K2" s="16"/>
      <c r="L2" s="18"/>
      <c r="M2" s="16"/>
      <c r="N2" s="16"/>
      <c r="O2" s="16"/>
      <c r="P2" s="16"/>
      <c r="Q2" s="16"/>
    </row>
    <row r="3" spans="1:17" ht="15" customHeight="1" x14ac:dyDescent="0.25">
      <c r="A3" s="19">
        <v>2</v>
      </c>
      <c r="B3" s="19" t="str">
        <f t="shared" ref="B3:B31" si="0">IF($D3="","",$E3)</f>
        <v>Мет. Щит ВРУ (2000x800x600)+10 база — TEOS 2000x800x600 IP65 muadili</v>
      </c>
      <c r="C3" s="19" t="s">
        <v>282</v>
      </c>
      <c r="D3" s="19" t="s">
        <v>178</v>
      </c>
      <c r="E3" s="19" t="str">
        <f t="shared" ref="E3:E31" si="1">IF($D3="","",INDEX(FIYAT_ACK,MATCH($D3,FIYAT_ART,0)))</f>
        <v>Мет. Щит ВРУ (2000x800x600)+10 база — TEOS 2000x800x600 IP65 muadili</v>
      </c>
      <c r="F3" s="20">
        <f>IF($D3="","",INDEX(FIYAT!$F$2:$F$28,MATCH($D3,FIYAT_ART,0)))</f>
        <v>148675</v>
      </c>
      <c r="G3" s="20">
        <f t="shared" ref="G3:G31" si="2">IF($D3="","",INDEX(FIYAT_NET,MATCH($D3,FIYAT_ART,0)))</f>
        <v>89205</v>
      </c>
      <c r="H3" s="20">
        <f t="shared" ref="H3:H31" si="3">IF(OR($G3="",$I3=""),"",$G3*$I3)</f>
        <v>89205</v>
      </c>
      <c r="I3" s="19">
        <v>1</v>
      </c>
      <c r="J3" s="19" t="s">
        <v>186</v>
      </c>
      <c r="K3" s="19" t="str">
        <f>IF($D3="","",INDEX(FIYAT!$E$2:$E$28,MATCH($D3,FIYAT_ART,0)))</f>
        <v>KAZTEK</v>
      </c>
      <c r="L3" s="20">
        <f t="shared" ref="L3:L31" si="4">IF($H3="","",$H3)</f>
        <v>89205</v>
      </c>
      <c r="M3" s="19" t="str">
        <f>IF($D3="","",INDEX(FIYAT!$N$2:$N$28,MATCH($D3,FIYAT_ART,0)))</f>
        <v>MUADIL_ONAY</v>
      </c>
      <c r="N3" s="19"/>
      <c r="O3" s="19"/>
      <c r="P3" s="19" t="s">
        <v>59</v>
      </c>
      <c r="Q3" s="19">
        <f>IF($P3="","",$I3*INDEX(NORM_DK,MATCH($P3,NORM_AD,0)))</f>
        <v>90</v>
      </c>
    </row>
    <row r="4" spans="1:17" ht="15" customHeight="1" x14ac:dyDescent="0.25">
      <c r="A4" s="19">
        <v>3</v>
      </c>
      <c r="B4" s="19" t="e">
        <f t="shared" si="0"/>
        <v>#N/A</v>
      </c>
      <c r="C4" s="19" t="s">
        <v>185</v>
      </c>
      <c r="D4" s="19" t="s">
        <v>184</v>
      </c>
      <c r="E4" s="19" t="e">
        <f t="shared" si="1"/>
        <v>#N/A</v>
      </c>
      <c r="F4" s="20" t="e">
        <f>IF($D4="","",INDEX(FIYAT!$F$2:$F$28,MATCH($D4,FIYAT_ART,0)))</f>
        <v>#N/A</v>
      </c>
      <c r="G4" s="20" t="e">
        <f t="shared" si="2"/>
        <v>#N/A</v>
      </c>
      <c r="H4" s="20" t="e">
        <f t="shared" si="3"/>
        <v>#N/A</v>
      </c>
      <c r="I4" s="19">
        <v>1</v>
      </c>
      <c r="J4" s="19" t="s">
        <v>186</v>
      </c>
      <c r="K4" s="19" t="e">
        <f>IF($D4="","",INDEX(FIYAT!$E$2:$E$28,MATCH($D4,FIYAT_ART,0)))</f>
        <v>#N/A</v>
      </c>
      <c r="L4" s="20" t="e">
        <f t="shared" si="4"/>
        <v>#N/A</v>
      </c>
      <c r="M4" s="19" t="e">
        <f>IF($D4="","",INDEX(FIYAT!$N$2:$N$28,MATCH($D4,FIYAT_ART,0)))</f>
        <v>#N/A</v>
      </c>
      <c r="N4" s="19" t="s">
        <v>283</v>
      </c>
      <c r="O4" s="19"/>
      <c r="P4" s="19" t="s">
        <v>61</v>
      </c>
      <c r="Q4" s="19">
        <f>IF($P4="","",$I4*INDEX(NORM_DK,MATCH($P4,NORM_AD,0)))</f>
        <v>60</v>
      </c>
    </row>
    <row r="5" spans="1:17" ht="15" customHeight="1" x14ac:dyDescent="0.25">
      <c r="A5" s="19">
        <v>4</v>
      </c>
      <c r="B5" s="19" t="str">
        <f t="shared" si="0"/>
        <v>Автоматический выключатель S800S 3P 80A, х-ка D</v>
      </c>
      <c r="C5" s="19" t="s">
        <v>185</v>
      </c>
      <c r="D5" s="19" t="s">
        <v>188</v>
      </c>
      <c r="E5" s="19" t="str">
        <f t="shared" si="1"/>
        <v>Автоматический выключатель S800S 3P 80A, х-ка D</v>
      </c>
      <c r="F5" s="20">
        <f>IF($D5="","",INDEX(FIYAT!$F$2:$F$28,MATCH($D5,FIYAT_ART,0)))</f>
        <v>0</v>
      </c>
      <c r="G5" s="20" t="str">
        <f t="shared" si="2"/>
        <v/>
      </c>
      <c r="H5" s="20" t="str">
        <f t="shared" si="3"/>
        <v/>
      </c>
      <c r="I5" s="19">
        <v>2</v>
      </c>
      <c r="J5" s="19" t="s">
        <v>186</v>
      </c>
      <c r="K5" s="19" t="str">
        <f>IF($D5="","",INDEX(FIYAT!$E$2:$E$28,MATCH($D5,FIYAT_ART,0)))</f>
        <v>ABB</v>
      </c>
      <c r="L5" s="20" t="str">
        <f t="shared" si="4"/>
        <v/>
      </c>
      <c r="M5" s="19" t="str">
        <f>IF($D5="","",INDEX(FIYAT!$N$2:$N$28,MATCH($D5,FIYAT_ART,0)))</f>
        <v>FIYAT_YOK</v>
      </c>
      <c r="N5" s="19" t="s">
        <v>284</v>
      </c>
      <c r="O5" s="19"/>
      <c r="P5" s="19" t="s">
        <v>63</v>
      </c>
      <c r="Q5" s="19">
        <f>IF($P5="","",$I5*INDEX(NORM_DK,MATCH($P5,NORM_AD,0)))</f>
        <v>120</v>
      </c>
    </row>
    <row r="6" spans="1:17" ht="15" customHeight="1" x14ac:dyDescent="0.25">
      <c r="A6" s="19">
        <v>5</v>
      </c>
      <c r="B6" s="19" t="str">
        <f t="shared" si="0"/>
        <v>Устройство АВР NXZM-125S/3B 125A</v>
      </c>
      <c r="C6" s="19" t="s">
        <v>192</v>
      </c>
      <c r="D6" s="19" t="s">
        <v>190</v>
      </c>
      <c r="E6" s="19" t="str">
        <f t="shared" si="1"/>
        <v>Устройство АВР NXZM-125S/3B 125A</v>
      </c>
      <c r="F6" s="20">
        <f>IF($D6="","",INDEX(FIYAT!$F$2:$F$28,MATCH($D6,FIYAT_ART,0)))</f>
        <v>204604</v>
      </c>
      <c r="G6" s="20">
        <f t="shared" si="2"/>
        <v>122762.4</v>
      </c>
      <c r="H6" s="20">
        <f t="shared" si="3"/>
        <v>122762.4</v>
      </c>
      <c r="I6" s="19">
        <v>1</v>
      </c>
      <c r="J6" s="19" t="s">
        <v>186</v>
      </c>
      <c r="K6" s="19" t="str">
        <f>IF($D6="","",INDEX(FIYAT!$E$2:$E$28,MATCH($D6,FIYAT_ART,0)))</f>
        <v>CHINT</v>
      </c>
      <c r="L6" s="20">
        <f t="shared" si="4"/>
        <v>122762.4</v>
      </c>
      <c r="M6" s="19" t="str">
        <f>IF($D6="","",INDEX(FIYAT!$N$2:$N$28,MATCH($D6,FIYAT_ART,0)))</f>
        <v>OK</v>
      </c>
      <c r="N6" s="19"/>
      <c r="O6" s="19"/>
      <c r="P6" s="19" t="s">
        <v>61</v>
      </c>
      <c r="Q6" s="19">
        <f>IF($P6="","",$I6*INDEX(NORM_DK,MATCH($P6,NORM_AD,0)))</f>
        <v>60</v>
      </c>
    </row>
    <row r="7" spans="1:17" ht="15" customHeight="1" x14ac:dyDescent="0.25">
      <c r="A7" s="19">
        <v>6</v>
      </c>
      <c r="B7" s="19" t="str">
        <f t="shared" si="0"/>
        <v>Автоматический выключатель S203-C 3P 16A (S200S 16A muadili)</v>
      </c>
      <c r="C7" s="19" t="s">
        <v>185</v>
      </c>
      <c r="D7" s="19" t="s">
        <v>195</v>
      </c>
      <c r="E7" s="19" t="str">
        <f t="shared" si="1"/>
        <v>Автоматический выключатель S203-C 3P 16A (S200S 16A muadili)</v>
      </c>
      <c r="F7" s="20">
        <f>IF($D7="","",INDEX(FIYAT!$F$2:$F$28,MATCH($D7,FIYAT_ART,0)))</f>
        <v>48.51</v>
      </c>
      <c r="G7" s="20">
        <f t="shared" si="2"/>
        <v>11689.697250000001</v>
      </c>
      <c r="H7" s="20">
        <f t="shared" si="3"/>
        <v>11689.697250000001</v>
      </c>
      <c r="I7" s="19">
        <v>1</v>
      </c>
      <c r="J7" s="19" t="s">
        <v>186</v>
      </c>
      <c r="K7" s="19" t="str">
        <f>IF($D7="","",INDEX(FIYAT!$E$2:$E$28,MATCH($D7,FIYAT_ART,0)))</f>
        <v>ABB</v>
      </c>
      <c r="L7" s="20">
        <f t="shared" si="4"/>
        <v>11689.697250000001</v>
      </c>
      <c r="M7" s="19" t="s">
        <v>10</v>
      </c>
      <c r="N7" s="19" t="s">
        <v>285</v>
      </c>
      <c r="O7" s="19"/>
      <c r="P7" s="19" t="s">
        <v>65</v>
      </c>
      <c r="Q7" s="19">
        <f>IF($P7="","",$I7*INDEX(NORM_DK,MATCH($P7,NORM_AD,0)))</f>
        <v>45</v>
      </c>
    </row>
    <row r="8" spans="1:17" ht="15" customHeight="1" x14ac:dyDescent="0.25">
      <c r="A8" s="19">
        <v>7</v>
      </c>
      <c r="B8" s="19" t="str">
        <f t="shared" si="0"/>
        <v>Автоматический выключатель S203-C 3P 16A (S200S 16A muadili)</v>
      </c>
      <c r="C8" s="19" t="s">
        <v>185</v>
      </c>
      <c r="D8" s="19" t="s">
        <v>195</v>
      </c>
      <c r="E8" s="19" t="str">
        <f t="shared" si="1"/>
        <v>Автоматический выключатель S203-C 3P 16A (S200S 16A muadili)</v>
      </c>
      <c r="F8" s="20">
        <f>IF($D8="","",INDEX(FIYAT!$F$2:$F$28,MATCH($D8,FIYAT_ART,0)))</f>
        <v>48.51</v>
      </c>
      <c r="G8" s="20">
        <f t="shared" si="2"/>
        <v>11689.697250000001</v>
      </c>
      <c r="H8" s="20">
        <f t="shared" si="3"/>
        <v>23379.394500000002</v>
      </c>
      <c r="I8" s="19">
        <v>2</v>
      </c>
      <c r="J8" s="19" t="s">
        <v>186</v>
      </c>
      <c r="K8" s="19" t="str">
        <f>IF($D8="","",INDEX(FIYAT!$E$2:$E$28,MATCH($D8,FIYAT_ART,0)))</f>
        <v>ABB</v>
      </c>
      <c r="L8" s="20">
        <f t="shared" si="4"/>
        <v>23379.394500000002</v>
      </c>
      <c r="M8" s="19" t="s">
        <v>10</v>
      </c>
      <c r="N8" s="19" t="s">
        <v>286</v>
      </c>
      <c r="O8" s="19"/>
      <c r="P8" s="19" t="s">
        <v>65</v>
      </c>
      <c r="Q8" s="19">
        <f>IF($P8="","",$I8*INDEX(NORM_DK,MATCH($P8,NORM_AD,0)))</f>
        <v>90</v>
      </c>
    </row>
    <row r="9" spans="1:17" ht="15" customHeight="1" x14ac:dyDescent="0.25">
      <c r="A9" s="19">
        <v>8</v>
      </c>
      <c r="B9" s="19" t="str">
        <f t="shared" si="0"/>
        <v>Автоматический выключатель S203-C 3P 32A (S200S 32A D muadili)</v>
      </c>
      <c r="C9" s="19" t="s">
        <v>185</v>
      </c>
      <c r="D9" s="19" t="s">
        <v>199</v>
      </c>
      <c r="E9" s="19" t="str">
        <f t="shared" si="1"/>
        <v>Автоматический выключатель S203-C 3P 32A (S200S 32A D muadili)</v>
      </c>
      <c r="F9" s="20">
        <f>IF($D9="","",INDEX(FIYAT!$F$2:$F$28,MATCH($D9,FIYAT_ART,0)))</f>
        <v>60.59</v>
      </c>
      <c r="G9" s="20">
        <f t="shared" si="2"/>
        <v>14600.675250000002</v>
      </c>
      <c r="H9" s="20">
        <f t="shared" si="3"/>
        <v>14600.675250000002</v>
      </c>
      <c r="I9" s="19">
        <v>1</v>
      </c>
      <c r="J9" s="19" t="s">
        <v>186</v>
      </c>
      <c r="K9" s="19" t="str">
        <f>IF($D9="","",INDEX(FIYAT!$E$2:$E$28,MATCH($D9,FIYAT_ART,0)))</f>
        <v>ABB</v>
      </c>
      <c r="L9" s="20">
        <f t="shared" si="4"/>
        <v>14600.675250000002</v>
      </c>
      <c r="M9" s="19" t="s">
        <v>10</v>
      </c>
      <c r="N9" s="19" t="s">
        <v>287</v>
      </c>
      <c r="O9" s="19"/>
      <c r="P9" s="19" t="s">
        <v>65</v>
      </c>
      <c r="Q9" s="19">
        <f>IF($P9="","",$I9*INDEX(NORM_DK,MATCH($P9,NORM_AD,0)))</f>
        <v>45</v>
      </c>
    </row>
    <row r="10" spans="1:17" ht="15" customHeight="1" x14ac:dyDescent="0.25">
      <c r="A10" s="19">
        <v>9</v>
      </c>
      <c r="B10" s="19" t="str">
        <f t="shared" si="0"/>
        <v>Basic M BMS311C10, 1P C10A</v>
      </c>
      <c r="C10" s="19" t="s">
        <v>185</v>
      </c>
      <c r="D10" s="19" t="s">
        <v>201</v>
      </c>
      <c r="E10" s="19" t="str">
        <f t="shared" si="1"/>
        <v>Basic M BMS311C10, 1P C10A</v>
      </c>
      <c r="F10" s="20">
        <f>IF($D10="","",INDEX(FIYAT!$F$2:$F$28,MATCH($D10,FIYAT_ART,0)))</f>
        <v>4.95</v>
      </c>
      <c r="G10" s="20">
        <f t="shared" si="2"/>
        <v>1192.8262500000001</v>
      </c>
      <c r="H10" s="20">
        <f t="shared" si="3"/>
        <v>2385.6525000000001</v>
      </c>
      <c r="I10" s="19">
        <v>2</v>
      </c>
      <c r="J10" s="19" t="s">
        <v>186</v>
      </c>
      <c r="K10" s="19" t="str">
        <f>IF($D10="","",INDEX(FIYAT!$E$2:$E$28,MATCH($D10,FIYAT_ART,0)))</f>
        <v>ABB</v>
      </c>
      <c r="L10" s="20">
        <f t="shared" si="4"/>
        <v>2385.6525000000001</v>
      </c>
      <c r="M10" s="19" t="str">
        <f>IF($D10="","",INDEX(FIYAT!$N$2:$N$28,MATCH($D10,FIYAT_ART,0)))</f>
        <v>OK</v>
      </c>
      <c r="N10" s="19"/>
      <c r="O10" s="19"/>
      <c r="P10" s="19" t="s">
        <v>67</v>
      </c>
      <c r="Q10" s="19">
        <f>IF($P10="","",$I10*INDEX(NORM_DK,MATCH($P10,NORM_AD,0)))</f>
        <v>20</v>
      </c>
    </row>
    <row r="11" spans="1:17" ht="15" customHeight="1" x14ac:dyDescent="0.25">
      <c r="A11" s="19">
        <v>10</v>
      </c>
      <c r="B11" s="19" t="str">
        <f t="shared" si="0"/>
        <v>Многофункциональный измерительный прибор SM-E</v>
      </c>
      <c r="C11" s="19" t="s">
        <v>207</v>
      </c>
      <c r="D11" s="19" t="s">
        <v>205</v>
      </c>
      <c r="E11" s="19" t="str">
        <f t="shared" si="1"/>
        <v>Многофункциональный измерительный прибор SM-E</v>
      </c>
      <c r="F11" s="20">
        <f>IF($D11="","",INDEX(FIYAT!$F$2:$F$28,MATCH($D11,FIYAT_ART,0)))</f>
        <v>0</v>
      </c>
      <c r="G11" s="20" t="str">
        <f t="shared" si="2"/>
        <v/>
      </c>
      <c r="H11" s="20" t="str">
        <f t="shared" si="3"/>
        <v/>
      </c>
      <c r="I11" s="19">
        <v>1</v>
      </c>
      <c r="J11" s="19" t="s">
        <v>186</v>
      </c>
      <c r="K11" s="19" t="str">
        <f>IF($D11="","",INDEX(FIYAT!$E$2:$E$28,MATCH($D11,FIYAT_ART,0)))</f>
        <v>EKF</v>
      </c>
      <c r="L11" s="20" t="str">
        <f t="shared" si="4"/>
        <v/>
      </c>
      <c r="M11" s="19" t="str">
        <f>IF($D11="","",INDEX(FIYAT!$N$2:$N$28,MATCH($D11,FIYAT_ART,0)))</f>
        <v>FIYAT_YOK</v>
      </c>
      <c r="N11" s="19"/>
      <c r="O11" s="19"/>
      <c r="P11" s="19" t="s">
        <v>69</v>
      </c>
      <c r="Q11" s="19">
        <f>IF($P11="","",$I11*INDEX(NORM_DK,MATCH($P11,NORM_AD,0)))</f>
        <v>90</v>
      </c>
    </row>
    <row r="12" spans="1:17" ht="15" customHeight="1" x14ac:dyDescent="0.25">
      <c r="A12" s="19">
        <v>11</v>
      </c>
      <c r="B12" s="19" t="str">
        <f t="shared" si="0"/>
        <v>Устройство плавного пуска PSR72-600-70</v>
      </c>
      <c r="C12" s="19" t="s">
        <v>211</v>
      </c>
      <c r="D12" s="19" t="s">
        <v>209</v>
      </c>
      <c r="E12" s="19" t="str">
        <f t="shared" si="1"/>
        <v>Устройство плавного пуска PSR72-600-70</v>
      </c>
      <c r="F12" s="20">
        <f>IF($D12="","",INDEX(FIYAT!$F$2:$F$28,MATCH($D12,FIYAT_ART,0)))</f>
        <v>859.7</v>
      </c>
      <c r="G12" s="20">
        <f t="shared" si="2"/>
        <v>207166.20750000002</v>
      </c>
      <c r="H12" s="20">
        <f t="shared" si="3"/>
        <v>414332.41500000004</v>
      </c>
      <c r="I12" s="19">
        <v>2</v>
      </c>
      <c r="J12" s="19" t="s">
        <v>186</v>
      </c>
      <c r="K12" s="19" t="str">
        <f>IF($D12="","",INDEX(FIYAT!$E$2:$E$28,MATCH($D12,FIYAT_ART,0)))</f>
        <v>ABB</v>
      </c>
      <c r="L12" s="20">
        <f t="shared" si="4"/>
        <v>414332.41500000004</v>
      </c>
      <c r="M12" s="19" t="str">
        <f>IF($D12="","",INDEX(FIYAT!$N$2:$N$28,MATCH($D12,FIYAT_ART,0)))</f>
        <v>OK</v>
      </c>
      <c r="N12" s="19"/>
      <c r="O12" s="19"/>
      <c r="P12" s="19" t="s">
        <v>71</v>
      </c>
      <c r="Q12" s="19">
        <f>IF($P12="","",$I12*INDEX(NORM_DK,MATCH($P12,NORM_AD,0)))</f>
        <v>90</v>
      </c>
    </row>
    <row r="13" spans="1:17" ht="15" customHeight="1" x14ac:dyDescent="0.25">
      <c r="A13" s="19">
        <v>12</v>
      </c>
      <c r="B13" s="19" t="str">
        <f t="shared" si="0"/>
        <v>Устройство плавного пуска PSR12-600-70</v>
      </c>
      <c r="C13" s="19" t="s">
        <v>211</v>
      </c>
      <c r="D13" s="19" t="s">
        <v>212</v>
      </c>
      <c r="E13" s="19" t="str">
        <f t="shared" si="1"/>
        <v>Устройство плавного пуска PSR12-600-70</v>
      </c>
      <c r="F13" s="20">
        <f>IF($D13="","",INDEX(FIYAT!$F$2:$F$28,MATCH($D13,FIYAT_ART,0)))</f>
        <v>248</v>
      </c>
      <c r="G13" s="20">
        <f t="shared" si="2"/>
        <v>59761.80000000001</v>
      </c>
      <c r="H13" s="20">
        <f t="shared" si="3"/>
        <v>119523.60000000002</v>
      </c>
      <c r="I13" s="19">
        <v>2</v>
      </c>
      <c r="J13" s="19" t="s">
        <v>186</v>
      </c>
      <c r="K13" s="19" t="str">
        <f>IF($D13="","",INDEX(FIYAT!$E$2:$E$28,MATCH($D13,FIYAT_ART,0)))</f>
        <v>ABB</v>
      </c>
      <c r="L13" s="20">
        <f t="shared" si="4"/>
        <v>119523.60000000002</v>
      </c>
      <c r="M13" s="19" t="str">
        <f>IF($D13="","",INDEX(FIYAT!$N$2:$N$28,MATCH($D13,FIYAT_ART,0)))</f>
        <v>OK</v>
      </c>
      <c r="N13" s="19"/>
      <c r="O13" s="19"/>
      <c r="P13" s="19" t="s">
        <v>71</v>
      </c>
      <c r="Q13" s="19">
        <f>IF($P13="","",$I13*INDEX(NORM_DK,MATCH($P13,NORM_AD,0)))</f>
        <v>90</v>
      </c>
    </row>
    <row r="14" spans="1:17" ht="15" customHeight="1" x14ac:dyDescent="0.25">
      <c r="A14" s="19">
        <v>13</v>
      </c>
      <c r="B14" s="19" t="str">
        <f t="shared" si="0"/>
        <v>Трансформатор тока ТТИ-А 100/5А 5ВА кл.0,5 (TTE-30-100/5A muadili)</v>
      </c>
      <c r="C14" s="19" t="s">
        <v>216</v>
      </c>
      <c r="D14" s="19" t="s">
        <v>214</v>
      </c>
      <c r="E14" s="19" t="str">
        <f t="shared" si="1"/>
        <v>Трансформатор тока ТТИ-А 100/5А 5ВА кл.0,5 (TTE-30-100/5A muadili)</v>
      </c>
      <c r="F14" s="20">
        <f>IF($D14="","",INDEX(FIYAT!$F$2:$F$28,MATCH($D14,FIYAT_ART,0)))</f>
        <v>5047</v>
      </c>
      <c r="G14" s="20">
        <f t="shared" si="2"/>
        <v>5047</v>
      </c>
      <c r="H14" s="20">
        <f t="shared" si="3"/>
        <v>15141</v>
      </c>
      <c r="I14" s="19">
        <v>3</v>
      </c>
      <c r="J14" s="19" t="s">
        <v>186</v>
      </c>
      <c r="K14" s="19" t="str">
        <f>IF($D14="","",INDEX(FIYAT!$E$2:$E$28,MATCH($D14,FIYAT_ART,0)))</f>
        <v>EKT</v>
      </c>
      <c r="L14" s="20">
        <f t="shared" si="4"/>
        <v>15141</v>
      </c>
      <c r="M14" s="19" t="str">
        <f>IF($D14="","",INDEX(FIYAT!$N$2:$N$28,MATCH($D14,FIYAT_ART,0)))</f>
        <v>MUADIL</v>
      </c>
      <c r="N14" s="19" t="s">
        <v>288</v>
      </c>
      <c r="O14" s="19"/>
      <c r="P14" s="19"/>
      <c r="Q14" s="19" t="str">
        <f>IF($P14="","",$I14*INDEX(NORM_DK,MATCH($P14,NORM_AD,0)))</f>
        <v/>
      </c>
    </row>
    <row r="15" spans="1:17" ht="15" customHeight="1" x14ac:dyDescent="0.25">
      <c r="A15" s="19">
        <v>14</v>
      </c>
      <c r="B15" s="19" t="str">
        <f t="shared" si="0"/>
        <v>Basic M BMS311C06, 1P C6A</v>
      </c>
      <c r="C15" s="19" t="s">
        <v>185</v>
      </c>
      <c r="D15" s="19" t="s">
        <v>203</v>
      </c>
      <c r="E15" s="19" t="str">
        <f t="shared" si="1"/>
        <v>Basic M BMS311C06, 1P C6A</v>
      </c>
      <c r="F15" s="20">
        <f>IF($D15="","",INDEX(FIYAT!$F$2:$F$28,MATCH($D15,FIYAT_ART,0)))</f>
        <v>5.94</v>
      </c>
      <c r="G15" s="20">
        <f t="shared" si="2"/>
        <v>1431.3915000000002</v>
      </c>
      <c r="H15" s="20">
        <f t="shared" si="3"/>
        <v>5725.5660000000007</v>
      </c>
      <c r="I15" s="19">
        <v>4</v>
      </c>
      <c r="J15" s="19" t="s">
        <v>186</v>
      </c>
      <c r="K15" s="19" t="str">
        <f>IF($D15="","",INDEX(FIYAT!$E$2:$E$28,MATCH($D15,FIYAT_ART,0)))</f>
        <v>ABB</v>
      </c>
      <c r="L15" s="20">
        <f t="shared" si="4"/>
        <v>5725.5660000000007</v>
      </c>
      <c r="M15" s="19" t="str">
        <f>IF($D15="","",INDEX(FIYAT!$N$2:$N$28,MATCH($D15,FIYAT_ART,0)))</f>
        <v>OK</v>
      </c>
      <c r="N15" s="19" t="s">
        <v>289</v>
      </c>
      <c r="O15" s="19"/>
      <c r="P15" s="19" t="s">
        <v>67</v>
      </c>
      <c r="Q15" s="19">
        <f>IF($P15="","",$I15*INDEX(NORM_DK,MATCH($P15,NORM_AD,0)))</f>
        <v>40</v>
      </c>
    </row>
    <row r="16" spans="1:17" ht="15" customHeight="1" x14ac:dyDescent="0.25">
      <c r="A16" s="19">
        <v>15</v>
      </c>
      <c r="B16" s="19" t="str">
        <f t="shared" si="0"/>
        <v>Клемма проходная 32A (0,08-4мм, 2х2)</v>
      </c>
      <c r="C16" s="19" t="s">
        <v>221</v>
      </c>
      <c r="D16" s="19" t="s">
        <v>219</v>
      </c>
      <c r="E16" s="19" t="str">
        <f t="shared" si="1"/>
        <v>Клемма проходная 32A (0,08-4мм, 2х2)</v>
      </c>
      <c r="F16" s="20">
        <f>IF($D16="","",INDEX(FIYAT!$F$2:$F$28,MATCH($D16,FIYAT_ART,0)))</f>
        <v>210</v>
      </c>
      <c r="G16" s="20">
        <f t="shared" si="2"/>
        <v>210</v>
      </c>
      <c r="H16" s="20">
        <f t="shared" si="3"/>
        <v>8820</v>
      </c>
      <c r="I16" s="19">
        <v>42</v>
      </c>
      <c r="J16" s="19" t="s">
        <v>186</v>
      </c>
      <c r="K16" s="19" t="str">
        <f>IF($D16="","",INDEX(FIYAT!$E$2:$E$28,MATCH($D16,FIYAT_ART,0)))</f>
        <v>EKT</v>
      </c>
      <c r="L16" s="20">
        <f t="shared" si="4"/>
        <v>8820</v>
      </c>
      <c r="M16" s="19" t="s">
        <v>14</v>
      </c>
      <c r="N16" s="19" t="s">
        <v>290</v>
      </c>
      <c r="O16" s="19"/>
      <c r="P16" s="19" t="s">
        <v>73</v>
      </c>
      <c r="Q16" s="19">
        <f>IF($P16="","",$I16*INDEX(NORM_DK,MATCH($P16,NORM_AD,0)))</f>
        <v>168</v>
      </c>
    </row>
    <row r="17" spans="1:17" ht="15" customHeight="1" x14ac:dyDescent="0.25">
      <c r="A17" s="19">
        <v>16</v>
      </c>
      <c r="B17" s="19" t="str">
        <f t="shared" si="0"/>
        <v>Шина N/PE ШНИ-6х9-6-Д-С (изолированная)</v>
      </c>
      <c r="C17" s="19" t="s">
        <v>291</v>
      </c>
      <c r="D17" s="19" t="s">
        <v>222</v>
      </c>
      <c r="E17" s="19" t="str">
        <f t="shared" si="1"/>
        <v>Шина N/PE ШНИ-6х9-6-Д-С (изолированная)</v>
      </c>
      <c r="F17" s="20">
        <f>IF($D17="","",INDEX(FIYAT!$F$2:$F$28,MATCH($D17,FIYAT_ART,0)))</f>
        <v>307</v>
      </c>
      <c r="G17" s="20">
        <f t="shared" si="2"/>
        <v>307</v>
      </c>
      <c r="H17" s="20">
        <f t="shared" si="3"/>
        <v>307</v>
      </c>
      <c r="I17" s="19">
        <v>1</v>
      </c>
      <c r="J17" s="19" t="s">
        <v>186</v>
      </c>
      <c r="K17" s="19" t="str">
        <f>IF($D17="","",INDEX(FIYAT!$E$2:$E$28,MATCH($D17,FIYAT_ART,0)))</f>
        <v>EKT</v>
      </c>
      <c r="L17" s="20">
        <f t="shared" si="4"/>
        <v>307</v>
      </c>
      <c r="M17" s="19" t="s">
        <v>14</v>
      </c>
      <c r="N17" s="19"/>
      <c r="O17" s="19"/>
      <c r="P17" s="19" t="s">
        <v>75</v>
      </c>
      <c r="Q17" s="19">
        <f>IF($P17="","",$I17*INDEX(NORM_DK,MATCH($P17,NORM_AD,0)))</f>
        <v>10</v>
      </c>
    </row>
    <row r="18" spans="1:17" ht="15" customHeight="1" x14ac:dyDescent="0.25">
      <c r="A18" s="19">
        <v>17</v>
      </c>
      <c r="B18" s="19" t="str">
        <f t="shared" si="0"/>
        <v>Шина N/PE ШНИ-6х9-6-Д-С (изолированная)</v>
      </c>
      <c r="C18" s="19" t="s">
        <v>292</v>
      </c>
      <c r="D18" s="19" t="s">
        <v>222</v>
      </c>
      <c r="E18" s="19" t="str">
        <f t="shared" si="1"/>
        <v>Шина N/PE ШНИ-6х9-6-Д-С (изолированная)</v>
      </c>
      <c r="F18" s="20">
        <f>IF($D18="","",INDEX(FIYAT!$F$2:$F$28,MATCH($D18,FIYAT_ART,0)))</f>
        <v>307</v>
      </c>
      <c r="G18" s="20">
        <f t="shared" si="2"/>
        <v>307</v>
      </c>
      <c r="H18" s="20">
        <f t="shared" si="3"/>
        <v>307</v>
      </c>
      <c r="I18" s="19">
        <v>1</v>
      </c>
      <c r="J18" s="19" t="s">
        <v>186</v>
      </c>
      <c r="K18" s="19" t="str">
        <f>IF($D18="","",INDEX(FIYAT!$E$2:$E$28,MATCH($D18,FIYAT_ART,0)))</f>
        <v>EKT</v>
      </c>
      <c r="L18" s="20">
        <f t="shared" si="4"/>
        <v>307</v>
      </c>
      <c r="M18" s="19" t="s">
        <v>14</v>
      </c>
      <c r="N18" s="19"/>
      <c r="O18" s="19"/>
      <c r="P18" s="19" t="s">
        <v>75</v>
      </c>
      <c r="Q18" s="19">
        <f>IF($P18="","",$I18*INDEX(NORM_DK,MATCH($P18,NORM_AD,0)))</f>
        <v>10</v>
      </c>
    </row>
    <row r="19" spans="1:17" ht="15" customHeight="1" x14ac:dyDescent="0.25">
      <c r="A19" s="19">
        <v>18</v>
      </c>
      <c r="B19" s="19" t="str">
        <f t="shared" si="0"/>
        <v>Медный заземляющий провод Ø16мм2</v>
      </c>
      <c r="C19" s="19" t="s">
        <v>236</v>
      </c>
      <c r="D19" s="19" t="s">
        <v>234</v>
      </c>
      <c r="E19" s="19" t="str">
        <f t="shared" si="1"/>
        <v>Медный заземляющий провод Ø16мм2</v>
      </c>
      <c r="F19" s="20">
        <f>IF($D19="","",INDEX(FIYAT!$F$2:$F$28,MATCH($D19,FIYAT_ART,0)))</f>
        <v>2000</v>
      </c>
      <c r="G19" s="20">
        <f t="shared" si="2"/>
        <v>1200</v>
      </c>
      <c r="H19" s="20">
        <f t="shared" si="3"/>
        <v>360</v>
      </c>
      <c r="I19" s="19">
        <v>0.3</v>
      </c>
      <c r="J19" s="19" t="s">
        <v>232</v>
      </c>
      <c r="K19" s="19" t="str">
        <f>IF($D19="","",INDEX(FIYAT!$E$2:$E$28,MATCH($D19,FIYAT_ART,0)))</f>
        <v>KAZTEK</v>
      </c>
      <c r="L19" s="20">
        <f t="shared" si="4"/>
        <v>360</v>
      </c>
      <c r="M19" s="19" t="str">
        <f>IF($D19="","",INDEX(FIYAT!$N$2:$N$28,MATCH($D19,FIYAT_ART,0)))</f>
        <v>OK</v>
      </c>
      <c r="N19" s="19" t="s">
        <v>293</v>
      </c>
      <c r="O19" s="19"/>
      <c r="P19" s="19"/>
      <c r="Q19" s="19" t="str">
        <f>IF($P19="","",$I19*INDEX(NORM_DK,MATCH($P19,NORM_AD,0)))</f>
        <v/>
      </c>
    </row>
    <row r="20" spans="1:17" ht="15" customHeight="1" x14ac:dyDescent="0.25">
      <c r="A20" s="19">
        <v>19</v>
      </c>
      <c r="B20" s="19" t="str">
        <f t="shared" si="0"/>
        <v>DIN-рейка оцинкованная TH35-7.5, 200см</v>
      </c>
      <c r="C20" s="19" t="s">
        <v>294</v>
      </c>
      <c r="D20" s="19" t="s">
        <v>226</v>
      </c>
      <c r="E20" s="19" t="str">
        <f t="shared" si="1"/>
        <v>DIN-рейка оцинкованная TH35-7.5, 200см</v>
      </c>
      <c r="F20" s="20">
        <f>IF($D20="","",INDEX(FIYAT!$F$2:$F$28,MATCH($D20,FIYAT_ART,0)))</f>
        <v>2232</v>
      </c>
      <c r="G20" s="20">
        <f t="shared" si="2"/>
        <v>1339.2</v>
      </c>
      <c r="H20" s="20">
        <f t="shared" si="3"/>
        <v>1339.2</v>
      </c>
      <c r="I20" s="19">
        <v>1</v>
      </c>
      <c r="J20" s="19" t="s">
        <v>295</v>
      </c>
      <c r="K20" s="19" t="str">
        <f>IF($D20="","",INDEX(FIYAT!$E$2:$E$28,MATCH($D20,FIYAT_ART,0)))</f>
        <v>CHINT</v>
      </c>
      <c r="L20" s="20">
        <f t="shared" si="4"/>
        <v>1339.2</v>
      </c>
      <c r="M20" s="19" t="s">
        <v>14</v>
      </c>
      <c r="N20" s="19" t="s">
        <v>296</v>
      </c>
      <c r="O20" s="19"/>
      <c r="P20" s="19"/>
      <c r="Q20" s="19">
        <f>2*INDEX(NORM_DK,MATCH("DINRAY_KANAL_M",NORM_AD,0))</f>
        <v>10</v>
      </c>
    </row>
    <row r="21" spans="1:17" ht="15" customHeight="1" x14ac:dyDescent="0.25">
      <c r="A21" s="19">
        <v>20</v>
      </c>
      <c r="B21" s="19" t="str">
        <f t="shared" si="0"/>
        <v>Лоток перфорированный 50х50х3000 (0,7мм)</v>
      </c>
      <c r="C21" s="19" t="s">
        <v>297</v>
      </c>
      <c r="D21" s="19" t="s">
        <v>229</v>
      </c>
      <c r="E21" s="19" t="str">
        <f t="shared" si="1"/>
        <v>Лоток перфорированный 50х50х3000 (0,7мм)</v>
      </c>
      <c r="F21" s="20">
        <f>IF($D21="","",INDEX(FIYAT!$F$2:$F$28,MATCH($D21,FIYAT_ART,0)))</f>
        <v>1022</v>
      </c>
      <c r="G21" s="20">
        <f t="shared" si="2"/>
        <v>1022</v>
      </c>
      <c r="H21" s="20">
        <f t="shared" si="3"/>
        <v>7154</v>
      </c>
      <c r="I21" s="19">
        <v>7</v>
      </c>
      <c r="J21" s="19" t="s">
        <v>232</v>
      </c>
      <c r="K21" s="19" t="str">
        <f>IF($D21="","",INDEX(FIYAT!$E$2:$E$28,MATCH($D21,FIYAT_ART,0)))</f>
        <v>EKT</v>
      </c>
      <c r="L21" s="20">
        <f t="shared" si="4"/>
        <v>7154</v>
      </c>
      <c r="M21" s="19" t="s">
        <v>14</v>
      </c>
      <c r="N21" s="19" t="s">
        <v>298</v>
      </c>
      <c r="O21" s="19"/>
      <c r="P21" s="19"/>
      <c r="Q21" s="19">
        <f>7*INDEX(NORM_DK,MATCH("DINRAY_KANAL_M",NORM_AD,0))</f>
        <v>35</v>
      </c>
    </row>
    <row r="22" spans="1:17" ht="15" customHeight="1" x14ac:dyDescent="0.25">
      <c r="A22" s="19">
        <v>21</v>
      </c>
      <c r="B22" s="19" t="str">
        <f t="shared" si="0"/>
        <v>Провод ПуВнг(А)-LS 1х16</v>
      </c>
      <c r="C22" s="19" t="s">
        <v>240</v>
      </c>
      <c r="D22" s="19" t="s">
        <v>238</v>
      </c>
      <c r="E22" s="19" t="str">
        <f t="shared" si="1"/>
        <v>Провод ПуВнг(А)-LS 1х16</v>
      </c>
      <c r="F22" s="20">
        <f>IF($D22="","",INDEX(FIYAT!$F$2:$F$28,MATCH($D22,FIYAT_ART,0)))</f>
        <v>0</v>
      </c>
      <c r="G22" s="20" t="str">
        <f t="shared" si="2"/>
        <v/>
      </c>
      <c r="H22" s="20" t="str">
        <f t="shared" si="3"/>
        <v/>
      </c>
      <c r="I22" s="19">
        <v>10</v>
      </c>
      <c r="J22" s="19" t="s">
        <v>232</v>
      </c>
      <c r="K22" s="19" t="str">
        <f>IF($D22="","",INDEX(FIYAT!$E$2:$E$28,MATCH($D22,FIYAT_ART,0)))</f>
        <v>EKT</v>
      </c>
      <c r="L22" s="20" t="str">
        <f t="shared" si="4"/>
        <v/>
      </c>
      <c r="M22" s="19" t="str">
        <f>IF($D22="","",INDEX(FIYAT!$N$2:$N$28,MATCH($D22,FIYAT_ART,0)))</f>
        <v>FIYAT_YOK</v>
      </c>
      <c r="N22" s="19" t="s">
        <v>299</v>
      </c>
      <c r="O22" s="19"/>
      <c r="P22" s="19"/>
      <c r="Q22" s="19" t="str">
        <f>IF($P22="","",$I22*INDEX(NORM_DK,MATCH($P22,NORM_AD,0)))</f>
        <v/>
      </c>
    </row>
    <row r="23" spans="1:17" ht="15" customHeight="1" x14ac:dyDescent="0.25">
      <c r="A23" s="19">
        <v>22</v>
      </c>
      <c r="B23" s="19" t="str">
        <f t="shared" si="0"/>
        <v>Провод ПуВнг(А)-LS 1х25</v>
      </c>
      <c r="C23" s="19" t="s">
        <v>240</v>
      </c>
      <c r="D23" s="19" t="s">
        <v>242</v>
      </c>
      <c r="E23" s="19" t="str">
        <f t="shared" si="1"/>
        <v>Провод ПуВнг(А)-LS 1х25</v>
      </c>
      <c r="F23" s="20">
        <f>IF($D23="","",INDEX(FIYAT!$F$2:$F$28,MATCH($D23,FIYAT_ART,0)))</f>
        <v>0</v>
      </c>
      <c r="G23" s="20" t="str">
        <f t="shared" si="2"/>
        <v/>
      </c>
      <c r="H23" s="20" t="str">
        <f t="shared" si="3"/>
        <v/>
      </c>
      <c r="I23" s="19">
        <v>10</v>
      </c>
      <c r="J23" s="19" t="s">
        <v>232</v>
      </c>
      <c r="K23" s="19" t="str">
        <f>IF($D23="","",INDEX(FIYAT!$E$2:$E$28,MATCH($D23,FIYAT_ART,0)))</f>
        <v>EKT</v>
      </c>
      <c r="L23" s="20" t="str">
        <f t="shared" si="4"/>
        <v/>
      </c>
      <c r="M23" s="19" t="str">
        <f>IF($D23="","",INDEX(FIYAT!$N$2:$N$28,MATCH($D23,FIYAT_ART,0)))</f>
        <v>FIYAT_YOK</v>
      </c>
      <c r="N23" s="19" t="s">
        <v>299</v>
      </c>
      <c r="O23" s="19"/>
      <c r="P23" s="19"/>
      <c r="Q23" s="19" t="str">
        <f>IF($P23="","",$I23*INDEX(NORM_DK,MATCH($P23,NORM_AD,0)))</f>
        <v/>
      </c>
    </row>
    <row r="24" spans="1:17" ht="15" customHeight="1" x14ac:dyDescent="0.25">
      <c r="A24" s="19">
        <v>23</v>
      </c>
      <c r="B24" s="19" t="str">
        <f t="shared" si="0"/>
        <v>Провод ПуВнг(А)-LS 1х2,5</v>
      </c>
      <c r="C24" s="19" t="s">
        <v>240</v>
      </c>
      <c r="D24" s="19" t="s">
        <v>244</v>
      </c>
      <c r="E24" s="19" t="str">
        <f t="shared" si="1"/>
        <v>Провод ПуВнг(А)-LS 1х2,5</v>
      </c>
      <c r="F24" s="20">
        <f>IF($D24="","",INDEX(FIYAT!$F$2:$F$28,MATCH($D24,FIYAT_ART,0)))</f>
        <v>0</v>
      </c>
      <c r="G24" s="20" t="str">
        <f t="shared" si="2"/>
        <v/>
      </c>
      <c r="H24" s="20" t="str">
        <f t="shared" si="3"/>
        <v/>
      </c>
      <c r="I24" s="19">
        <v>10</v>
      </c>
      <c r="J24" s="19" t="s">
        <v>232</v>
      </c>
      <c r="K24" s="19" t="str">
        <f>IF($D24="","",INDEX(FIYAT!$E$2:$E$28,MATCH($D24,FIYAT_ART,0)))</f>
        <v>EKT</v>
      </c>
      <c r="L24" s="20" t="str">
        <f t="shared" si="4"/>
        <v/>
      </c>
      <c r="M24" s="19" t="str">
        <f>IF($D24="","",INDEX(FIYAT!$N$2:$N$28,MATCH($D24,FIYAT_ART,0)))</f>
        <v>FIYAT_YOK</v>
      </c>
      <c r="N24" s="19" t="s">
        <v>300</v>
      </c>
      <c r="O24" s="19"/>
      <c r="P24" s="19"/>
      <c r="Q24" s="19" t="str">
        <f>IF($P24="","",$I24*INDEX(NORM_DK,MATCH($P24,NORM_AD,0)))</f>
        <v/>
      </c>
    </row>
    <row r="25" spans="1:17" ht="15" customHeight="1" x14ac:dyDescent="0.25">
      <c r="A25" s="19">
        <v>24</v>
      </c>
      <c r="B25" s="19" t="str">
        <f t="shared" si="0"/>
        <v>Провод ПВ-3 1х1,5</v>
      </c>
      <c r="C25" s="19" t="s">
        <v>240</v>
      </c>
      <c r="D25" s="19" t="s">
        <v>246</v>
      </c>
      <c r="E25" s="19" t="str">
        <f t="shared" si="1"/>
        <v>Провод ПВ-3 1х1,5</v>
      </c>
      <c r="F25" s="20">
        <f>IF($D25="","",INDEX(FIYAT!$F$2:$F$28,MATCH($D25,FIYAT_ART,0)))</f>
        <v>0</v>
      </c>
      <c r="G25" s="20" t="str">
        <f t="shared" si="2"/>
        <v/>
      </c>
      <c r="H25" s="20" t="str">
        <f t="shared" si="3"/>
        <v/>
      </c>
      <c r="I25" s="19">
        <v>100</v>
      </c>
      <c r="J25" s="19" t="s">
        <v>232</v>
      </c>
      <c r="K25" s="19" t="str">
        <f>IF($D25="","",INDEX(FIYAT!$E$2:$E$28,MATCH($D25,FIYAT_ART,0)))</f>
        <v>EKT</v>
      </c>
      <c r="L25" s="20" t="str">
        <f t="shared" si="4"/>
        <v/>
      </c>
      <c r="M25" s="19" t="s">
        <v>16</v>
      </c>
      <c r="N25" s="19" t="s">
        <v>301</v>
      </c>
      <c r="O25" s="19"/>
      <c r="P25" s="19"/>
      <c r="Q25" s="19" t="str">
        <f>IF($P25="","",$I25*INDEX(NORM_DK,MATCH($P25,NORM_AD,0)))</f>
        <v/>
      </c>
    </row>
    <row r="26" spans="1:17" ht="15" customHeight="1" x14ac:dyDescent="0.25">
      <c r="A26" s="19">
        <v>25</v>
      </c>
      <c r="B26" s="19" t="str">
        <f t="shared" si="0"/>
        <v>Кабель ВВГнг(А)-FRLS-0,66 5х16</v>
      </c>
      <c r="C26" s="19" t="s">
        <v>240</v>
      </c>
      <c r="D26" s="19" t="s">
        <v>249</v>
      </c>
      <c r="E26" s="19" t="str">
        <f t="shared" si="1"/>
        <v>Кабель ВВГнг(А)-FRLS-0,66 5х16</v>
      </c>
      <c r="F26" s="20">
        <f>IF($D26="","",INDEX(FIYAT!$F$2:$F$28,MATCH($D26,FIYAT_ART,0)))</f>
        <v>0</v>
      </c>
      <c r="G26" s="20" t="str">
        <f t="shared" si="2"/>
        <v/>
      </c>
      <c r="H26" s="20" t="str">
        <f t="shared" si="3"/>
        <v/>
      </c>
      <c r="I26" s="19">
        <v>10</v>
      </c>
      <c r="J26" s="19" t="s">
        <v>232</v>
      </c>
      <c r="K26" s="19" t="str">
        <f>IF($D26="","",INDEX(FIYAT!$E$2:$E$28,MATCH($D26,FIYAT_ART,0)))</f>
        <v>EKT</v>
      </c>
      <c r="L26" s="20" t="str">
        <f t="shared" si="4"/>
        <v/>
      </c>
      <c r="M26" s="19" t="str">
        <f>IF($D26="","",INDEX(FIYAT!$N$2:$N$28,MATCH($D26,FIYAT_ART,0)))</f>
        <v>FIYAT_YOK</v>
      </c>
      <c r="N26" s="19" t="s">
        <v>302</v>
      </c>
      <c r="O26" s="19"/>
      <c r="P26" s="19"/>
      <c r="Q26" s="19" t="str">
        <f>IF($P26="","",$I26*INDEX(NORM_DK,MATCH($P26,NORM_AD,0)))</f>
        <v/>
      </c>
    </row>
    <row r="27" spans="1:17" ht="15" customHeight="1" x14ac:dyDescent="0.25">
      <c r="A27" s="19">
        <v>26</v>
      </c>
      <c r="B27" s="19" t="str">
        <f t="shared" si="0"/>
        <v>Кабель ВВГнг(А)-FRLS-0,66 5х2,5</v>
      </c>
      <c r="C27" s="19" t="s">
        <v>240</v>
      </c>
      <c r="D27" s="19" t="s">
        <v>252</v>
      </c>
      <c r="E27" s="19" t="str">
        <f t="shared" si="1"/>
        <v>Кабель ВВГнг(А)-FRLS-0,66 5х2,5</v>
      </c>
      <c r="F27" s="20">
        <f>IF($D27="","",INDEX(FIYAT!$F$2:$F$28,MATCH($D27,FIYAT_ART,0)))</f>
        <v>0</v>
      </c>
      <c r="G27" s="20" t="str">
        <f t="shared" si="2"/>
        <v/>
      </c>
      <c r="H27" s="20" t="str">
        <f t="shared" si="3"/>
        <v/>
      </c>
      <c r="I27" s="19">
        <v>10</v>
      </c>
      <c r="J27" s="19" t="s">
        <v>232</v>
      </c>
      <c r="K27" s="19" t="str">
        <f>IF($D27="","",INDEX(FIYAT!$E$2:$E$28,MATCH($D27,FIYAT_ART,0)))</f>
        <v>EKT</v>
      </c>
      <c r="L27" s="20" t="str">
        <f t="shared" si="4"/>
        <v/>
      </c>
      <c r="M27" s="19" t="str">
        <f>IF($D27="","",INDEX(FIYAT!$N$2:$N$28,MATCH($D27,FIYAT_ART,0)))</f>
        <v>FIYAT_YOK</v>
      </c>
      <c r="N27" s="19"/>
      <c r="O27" s="19"/>
      <c r="P27" s="19"/>
      <c r="Q27" s="19" t="str">
        <f>IF($P27="","",$I27*INDEX(NORM_DK,MATCH($P27,NORM_AD,0)))</f>
        <v/>
      </c>
    </row>
    <row r="28" spans="1:17" ht="15" customHeight="1" x14ac:dyDescent="0.25">
      <c r="A28" s="19">
        <v>27</v>
      </c>
      <c r="B28" s="19" t="str">
        <f t="shared" si="0"/>
        <v>Кабель ВВГнг(А)-FRLS-0,66 5х6</v>
      </c>
      <c r="C28" s="19" t="s">
        <v>240</v>
      </c>
      <c r="D28" s="19" t="s">
        <v>254</v>
      </c>
      <c r="E28" s="19" t="str">
        <f t="shared" si="1"/>
        <v>Кабель ВВГнг(А)-FRLS-0,66 5х6</v>
      </c>
      <c r="F28" s="20">
        <f>IF($D28="","",INDEX(FIYAT!$F$2:$F$28,MATCH($D28,FIYAT_ART,0)))</f>
        <v>0</v>
      </c>
      <c r="G28" s="20" t="str">
        <f t="shared" si="2"/>
        <v/>
      </c>
      <c r="H28" s="20" t="str">
        <f t="shared" si="3"/>
        <v/>
      </c>
      <c r="I28" s="19">
        <v>15</v>
      </c>
      <c r="J28" s="19" t="s">
        <v>232</v>
      </c>
      <c r="K28" s="19" t="str">
        <f>IF($D28="","",INDEX(FIYAT!$E$2:$E$28,MATCH($D28,FIYAT_ART,0)))</f>
        <v>EKT</v>
      </c>
      <c r="L28" s="20" t="str">
        <f t="shared" si="4"/>
        <v/>
      </c>
      <c r="M28" s="19" t="str">
        <f>IF($D28="","",INDEX(FIYAT!$N$2:$N$28,MATCH($D28,FIYAT_ART,0)))</f>
        <v>FIYAT_YOK</v>
      </c>
      <c r="N28" s="19"/>
      <c r="O28" s="19"/>
      <c r="P28" s="19"/>
      <c r="Q28" s="19" t="str">
        <f>IF($P28="","",$I28*INDEX(NORM_DK,MATCH($P28,NORM_AD,0)))</f>
        <v/>
      </c>
    </row>
    <row r="29" spans="1:17" ht="15" customHeight="1" x14ac:dyDescent="0.25">
      <c r="A29" s="19">
        <v>28</v>
      </c>
      <c r="B29" s="19" t="str">
        <f t="shared" si="0"/>
        <v>Каб. наконечник МЛ 16-6-6</v>
      </c>
      <c r="C29" s="19" t="s">
        <v>258</v>
      </c>
      <c r="D29" s="19" t="s">
        <v>256</v>
      </c>
      <c r="E29" s="19" t="str">
        <f t="shared" si="1"/>
        <v>Каб. наконечник МЛ 16-6-6</v>
      </c>
      <c r="F29" s="20">
        <f>IF($D29="","",INDEX(FIYAT!$F$2:$F$28,MATCH($D29,FIYAT_ART,0)))</f>
        <v>180</v>
      </c>
      <c r="G29" s="20">
        <f t="shared" si="2"/>
        <v>180</v>
      </c>
      <c r="H29" s="20">
        <f t="shared" si="3"/>
        <v>1080</v>
      </c>
      <c r="I29" s="19">
        <v>6</v>
      </c>
      <c r="J29" s="19" t="s">
        <v>186</v>
      </c>
      <c r="K29" s="19" t="str">
        <f>IF($D29="","",INDEX(FIYAT!$E$2:$E$28,MATCH($D29,FIYAT_ART,0)))</f>
        <v>EKT</v>
      </c>
      <c r="L29" s="20">
        <f t="shared" si="4"/>
        <v>1080</v>
      </c>
      <c r="M29" s="19" t="s">
        <v>14</v>
      </c>
      <c r="N29" s="19" t="s">
        <v>259</v>
      </c>
      <c r="O29" s="19"/>
      <c r="P29" s="19"/>
      <c r="Q29" s="19" t="str">
        <f>IF($P29="","",$I29*INDEX(NORM_DK,MATCH($P29,NORM_AD,0)))</f>
        <v/>
      </c>
    </row>
    <row r="30" spans="1:17" ht="15" customHeight="1" x14ac:dyDescent="0.25">
      <c r="A30" s="19">
        <v>29</v>
      </c>
      <c r="B30" s="19" t="str">
        <f t="shared" si="0"/>
        <v>Бирка кабельная У-134 (100шт/упак)</v>
      </c>
      <c r="C30" s="19" t="s">
        <v>258</v>
      </c>
      <c r="D30" s="19" t="s">
        <v>260</v>
      </c>
      <c r="E30" s="19" t="str">
        <f t="shared" si="1"/>
        <v>Бирка кабельная У-134 (100шт/упак)</v>
      </c>
      <c r="F30" s="20">
        <f>IF($D30="","",INDEX(FIYAT!$F$2:$F$28,MATCH($D30,FIYAT_ART,0)))</f>
        <v>1209</v>
      </c>
      <c r="G30" s="20">
        <f t="shared" si="2"/>
        <v>1209</v>
      </c>
      <c r="H30" s="20">
        <f t="shared" si="3"/>
        <v>1209</v>
      </c>
      <c r="I30" s="19">
        <v>1</v>
      </c>
      <c r="J30" s="19" t="s">
        <v>262</v>
      </c>
      <c r="K30" s="19" t="str">
        <f>IF($D30="","",INDEX(FIYAT!$E$2:$E$28,MATCH($D30,FIYAT_ART,0)))</f>
        <v>EKT</v>
      </c>
      <c r="L30" s="20">
        <f t="shared" si="4"/>
        <v>1209</v>
      </c>
      <c r="M30" s="19" t="s">
        <v>14</v>
      </c>
      <c r="N30" s="19" t="s">
        <v>263</v>
      </c>
      <c r="O30" s="19"/>
      <c r="P30" s="19"/>
      <c r="Q30" s="19" t="str">
        <f>IF($P30="","",$I30*INDEX(NORM_DK,MATCH($P30,NORM_AD,0)))</f>
        <v/>
      </c>
    </row>
    <row r="31" spans="1:17" ht="15" customHeight="1" x14ac:dyDescent="0.25">
      <c r="A31" s="19">
        <v>30</v>
      </c>
      <c r="B31" s="19" t="str">
        <f t="shared" si="0"/>
        <v>Montaj işçiliği (dakika bazlı)</v>
      </c>
      <c r="C31" s="19" t="s">
        <v>303</v>
      </c>
      <c r="D31" s="19" t="s">
        <v>264</v>
      </c>
      <c r="E31" s="19" t="str">
        <f t="shared" si="1"/>
        <v>Montaj işçiliği (dakika bazlı)</v>
      </c>
      <c r="F31" s="20">
        <f>IF($D31="","",INDEX(FIYAT!$F$2:$F$28,MATCH($D31,FIYAT_ART,0)))</f>
        <v>58.333333333333336</v>
      </c>
      <c r="G31" s="20">
        <f t="shared" si="2"/>
        <v>58.333333333333336</v>
      </c>
      <c r="H31" s="20">
        <f t="shared" si="3"/>
        <v>78691.666666666672</v>
      </c>
      <c r="I31" s="19">
        <f>ROUND((SUM($Q2:$Q30)+INDEX(NORM_DK,MATCH("SABIT_HAZIRLIK_TEST_AMBALAJ",NORM_AD,0)))*TEST_ETIKET_CARPANI,1)</f>
        <v>1349</v>
      </c>
      <c r="J31" s="19" t="s">
        <v>267</v>
      </c>
      <c r="K31" s="19" t="s">
        <v>50</v>
      </c>
      <c r="L31" s="20">
        <f t="shared" si="4"/>
        <v>78691.666666666672</v>
      </c>
      <c r="M31" s="19" t="s">
        <v>2</v>
      </c>
      <c r="N31" s="19" t="s">
        <v>304</v>
      </c>
      <c r="O31" s="19"/>
      <c r="P31" s="19"/>
      <c r="Q31" s="19"/>
    </row>
    <row r="32" spans="1:17" ht="15" customHeight="1" x14ac:dyDescent="0.25">
      <c r="A32" s="19"/>
      <c r="B32" s="21" t="s">
        <v>305</v>
      </c>
      <c r="C32" s="19"/>
      <c r="D32" s="19"/>
      <c r="E32" s="19"/>
      <c r="F32" s="19"/>
      <c r="G32" s="19"/>
      <c r="H32" s="19" t="e">
        <f>SUBTOTAL(9,H2:H31)</f>
        <v>#N/A</v>
      </c>
      <c r="I32" s="19"/>
      <c r="J32" s="19"/>
      <c r="K32" s="19"/>
      <c r="L32" s="19" t="e">
        <f>SUBTOTAL(9,L2:L31)</f>
        <v>#N/A</v>
      </c>
      <c r="M32" s="19"/>
      <c r="N32" s="19"/>
      <c r="O32" s="19"/>
      <c r="P32" s="19"/>
      <c r="Q32" s="19"/>
    </row>
  </sheetData>
  <autoFilter ref="A1:Q3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"/>
  <sheetViews>
    <sheetView zoomScaleNormal="100" workbookViewId="0"/>
  </sheetViews>
  <sheetFormatPr defaultColWidth="8.7109375" defaultRowHeight="15" x14ac:dyDescent="0.25"/>
  <cols>
    <col min="1" max="1" width="6" customWidth="1"/>
    <col min="2" max="2" width="10" customWidth="1"/>
    <col min="3" max="3" width="7" customWidth="1"/>
    <col min="4" max="5" width="12" customWidth="1"/>
    <col min="6" max="6" width="10" customWidth="1"/>
    <col min="7" max="7" width="12" customWidth="1"/>
    <col min="8" max="8" width="8" customWidth="1"/>
    <col min="9" max="10" width="9" customWidth="1"/>
    <col min="11" max="13" width="8" customWidth="1"/>
    <col min="14" max="14" width="12" customWidth="1"/>
    <col min="15" max="15" width="13" customWidth="1"/>
    <col min="16" max="16" width="12" customWidth="1"/>
    <col min="17" max="17" width="14" customWidth="1"/>
  </cols>
  <sheetData>
    <row r="1" spans="1:17" ht="15" customHeight="1" x14ac:dyDescent="0.25">
      <c r="A1" s="5" t="s">
        <v>167</v>
      </c>
      <c r="B1" s="5" t="s">
        <v>306</v>
      </c>
      <c r="C1" s="5" t="s">
        <v>307</v>
      </c>
      <c r="D1" s="5" t="s">
        <v>308</v>
      </c>
      <c r="E1" s="5" t="s">
        <v>309</v>
      </c>
      <c r="F1" s="5" t="s">
        <v>310</v>
      </c>
      <c r="G1" s="5" t="s">
        <v>22</v>
      </c>
      <c r="H1" s="5" t="s">
        <v>311</v>
      </c>
      <c r="I1" s="5" t="s">
        <v>312</v>
      </c>
      <c r="J1" s="5" t="s">
        <v>313</v>
      </c>
      <c r="K1" s="5" t="s">
        <v>314</v>
      </c>
      <c r="L1" s="5" t="s">
        <v>315</v>
      </c>
      <c r="M1" s="5" t="s">
        <v>316</v>
      </c>
      <c r="N1" s="5" t="s">
        <v>317</v>
      </c>
      <c r="O1" s="5" t="s">
        <v>318</v>
      </c>
      <c r="P1" s="5" t="s">
        <v>319</v>
      </c>
      <c r="Q1" s="5" t="s">
        <v>320</v>
      </c>
    </row>
    <row r="2" spans="1:17" ht="15" customHeight="1" x14ac:dyDescent="0.25">
      <c r="A2">
        <v>1</v>
      </c>
      <c r="B2" t="s">
        <v>101</v>
      </c>
      <c r="C2">
        <v>1</v>
      </c>
      <c r="D2" s="11" t="e">
        <f>SUM(BOM!L2:L30)</f>
        <v>#N/A</v>
      </c>
      <c r="E2" s="11">
        <f>BOM!L31</f>
        <v>78691.666666666672</v>
      </c>
      <c r="F2" s="11" t="e">
        <f>D2+E2</f>
        <v>#N/A</v>
      </c>
      <c r="G2" s="11" t="e">
        <f>F2*C2</f>
        <v>#N/A</v>
      </c>
      <c r="H2" s="4">
        <v>104</v>
      </c>
      <c r="I2" s="4">
        <v>300</v>
      </c>
      <c r="J2">
        <f>H2/I2</f>
        <v>0.34666666666666668</v>
      </c>
      <c r="K2">
        <f>1-J2</f>
        <v>0.65333333333333332</v>
      </c>
      <c r="L2">
        <v>0</v>
      </c>
      <c r="M2">
        <v>0</v>
      </c>
      <c r="N2">
        <v>0</v>
      </c>
      <c r="O2">
        <f>COUNTIF(FIYAT!$N:$N,"FIYAT_YOK")</f>
        <v>10</v>
      </c>
      <c r="P2">
        <f>COUNTIF(FIYAT!$N:$N,"MUADIL")+COUNTIF(FIYAT!$N:$N,"MUADIL_ONAY")</f>
        <v>4</v>
      </c>
      <c r="Q2">
        <f>COUNTIF(FIYAT!$N:$N,"VARSAYIM")</f>
        <v>3</v>
      </c>
    </row>
    <row r="4" spans="1:17" ht="15" customHeight="1" x14ac:dyDescent="0.25">
      <c r="B4" t="s">
        <v>321</v>
      </c>
    </row>
    <row r="5" spans="1:17" x14ac:dyDescent="0.25">
      <c r="B5" s="11"/>
    </row>
    <row r="6" spans="1:17" ht="15" customHeight="1" x14ac:dyDescent="0.25">
      <c r="A6" t="s">
        <v>322</v>
      </c>
      <c r="B6" t="e">
        <f>SUM(G2:G2)</f>
        <v>#N/A</v>
      </c>
    </row>
    <row r="7" spans="1:17" ht="15" customHeight="1" x14ac:dyDescent="0.25">
      <c r="A7" t="s">
        <v>323</v>
      </c>
      <c r="B7">
        <f>O2</f>
        <v>10</v>
      </c>
    </row>
    <row r="8" spans="1:17" ht="15" customHeight="1" x14ac:dyDescent="0.25">
      <c r="A8" t="s">
        <v>324</v>
      </c>
      <c r="B8" s="12" t="str">
        <f>IF(SUM(O2:O2)&gt;0,"TEKLİFE HAZIR DEĞİL",IF(SUM(P2:P2)+SUM(Q2:Q2)&gt;0,"ŞARTLI","TEKLİFE HAZIR"))</f>
        <v>TEKLİFE HAZIR DEĞİL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55" customWidth="1"/>
    <col min="3" max="4" width="10" customWidth="1"/>
    <col min="5" max="6" width="16" customWidth="1"/>
  </cols>
  <sheetData>
    <row r="1" spans="1:6" ht="17.25" customHeight="1" x14ac:dyDescent="0.25">
      <c r="A1" s="13" t="s">
        <v>325</v>
      </c>
    </row>
    <row r="3" spans="1:6" ht="15" customHeight="1" x14ac:dyDescent="0.25">
      <c r="A3" t="s">
        <v>326</v>
      </c>
      <c r="B3" t="s">
        <v>327</v>
      </c>
    </row>
    <row r="4" spans="1:6" ht="15" customHeight="1" x14ac:dyDescent="0.25">
      <c r="A4" t="s">
        <v>328</v>
      </c>
      <c r="B4" t="s">
        <v>329</v>
      </c>
    </row>
    <row r="5" spans="1:6" ht="15" customHeight="1" x14ac:dyDescent="0.25">
      <c r="A5" t="s">
        <v>330</v>
      </c>
      <c r="B5" t="str">
        <f>TEKLIF_GECERLILIK&amp;" gün"</f>
        <v>0,12 gün</v>
      </c>
    </row>
    <row r="6" spans="1:6" ht="15" customHeight="1" x14ac:dyDescent="0.25">
      <c r="A6" t="s">
        <v>331</v>
      </c>
      <c r="B6" t="s">
        <v>332</v>
      </c>
    </row>
    <row r="7" spans="1:6" ht="15" customHeight="1" x14ac:dyDescent="0.25">
      <c r="A7" t="s">
        <v>333</v>
      </c>
      <c r="B7" t="s">
        <v>334</v>
      </c>
    </row>
    <row r="8" spans="1:6" ht="15" customHeight="1" x14ac:dyDescent="0.25">
      <c r="A8" t="s">
        <v>335</v>
      </c>
      <c r="B8" t="s">
        <v>4</v>
      </c>
    </row>
    <row r="10" spans="1:6" ht="15" customHeight="1" x14ac:dyDescent="0.25">
      <c r="A10" s="14" t="str">
        <f>IF(COUNTIF(FIYAT!$N:$N,"FIYAT_YOK")&gt;0,"ТЕКЛИФ ЭКСИК — "&amp;COUNTIF(FIYAT!$N:$N,"FIYAT_YOK")&amp;" KALEM FİYATSIZ","")</f>
        <v>ТЕКЛИФ ЭКСИК — 10 KALEM FİYATSIZ</v>
      </c>
    </row>
    <row r="12" spans="1:6" ht="15" customHeight="1" x14ac:dyDescent="0.25">
      <c r="A12" s="5" t="s">
        <v>336</v>
      </c>
      <c r="B12" s="5" t="s">
        <v>337</v>
      </c>
      <c r="C12" s="5" t="s">
        <v>338</v>
      </c>
      <c r="D12" s="5" t="s">
        <v>277</v>
      </c>
      <c r="E12" s="5" t="s">
        <v>339</v>
      </c>
      <c r="F12" s="5" t="s">
        <v>340</v>
      </c>
    </row>
    <row r="13" spans="1:6" ht="15" customHeight="1" x14ac:dyDescent="0.25">
      <c r="A13">
        <v>1</v>
      </c>
      <c r="B13" t="s">
        <v>341</v>
      </c>
      <c r="C13">
        <f>OZET!C2</f>
        <v>1</v>
      </c>
      <c r="D13" t="s">
        <v>181</v>
      </c>
      <c r="E13" s="11" t="e">
        <f>OZET!F2*(1+KAR_ORANI)</f>
        <v>#N/A</v>
      </c>
      <c r="F13" s="11" t="e">
        <f>E13*C13</f>
        <v>#N/A</v>
      </c>
    </row>
    <row r="15" spans="1:6" ht="15" customHeight="1" x14ac:dyDescent="0.25">
      <c r="E15" s="11" t="s">
        <v>342</v>
      </c>
      <c r="F15" s="11" t="e">
        <f>SUM(F13:F13)</f>
        <v>#N/A</v>
      </c>
    </row>
    <row r="16" spans="1:6" ht="15" customHeight="1" x14ac:dyDescent="0.25">
      <c r="E16" s="11" t="s">
        <v>343</v>
      </c>
      <c r="F16" s="11" t="e">
        <f>F15*ISKONTO</f>
        <v>#N/A</v>
      </c>
    </row>
    <row r="17" spans="1:6" ht="15" customHeight="1" x14ac:dyDescent="0.25">
      <c r="E17" s="11" t="s">
        <v>344</v>
      </c>
      <c r="F17" s="11" t="e">
        <f>F15-F16</f>
        <v>#N/A</v>
      </c>
    </row>
    <row r="18" spans="1:6" ht="15" customHeight="1" x14ac:dyDescent="0.25">
      <c r="E18" s="11" t="s">
        <v>345</v>
      </c>
      <c r="F18" s="11" t="e">
        <f>F17*NDS_ORANI</f>
        <v>#N/A</v>
      </c>
    </row>
    <row r="19" spans="1:6" ht="15" customHeight="1" x14ac:dyDescent="0.25">
      <c r="E19" s="15" t="s">
        <v>346</v>
      </c>
      <c r="F19" s="15" t="e">
        <f>F17+F18</f>
        <v>#N/A</v>
      </c>
    </row>
    <row r="21" spans="1:6" ht="15" customHeight="1" x14ac:dyDescent="0.25">
      <c r="A21" t="s">
        <v>347</v>
      </c>
      <c r="B21" t="str">
        <f>URETIM_SURESI&amp;" iş günü"</f>
        <v>15 iş günü</v>
      </c>
    </row>
    <row r="22" spans="1:6" ht="15" customHeight="1" x14ac:dyDescent="0.25">
      <c r="A22" t="s">
        <v>348</v>
      </c>
      <c r="B22" t="str">
        <f>ODEME_SARTI</f>
        <v>%50 avans, %50 teslimatta</v>
      </c>
    </row>
    <row r="23" spans="1:6" ht="15" customHeight="1" x14ac:dyDescent="0.25">
      <c r="A23" t="s">
        <v>349</v>
      </c>
      <c r="B23" t="str">
        <f>GARANTI</f>
        <v>12 ay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28</vt:i4>
      </vt:variant>
    </vt:vector>
  </HeadingPairs>
  <TitlesOfParts>
    <vt:vector size="33" baseType="lpstr">
      <vt:lpstr>KURALLAR</vt:lpstr>
      <vt:lpstr>FIYAT</vt:lpstr>
      <vt:lpstr>BOM</vt:lpstr>
      <vt:lpstr>OZET</vt:lpstr>
      <vt:lpstr>TEKLIF</vt:lpstr>
      <vt:lpstr>ANA_SALTER_BARA_ESIK_A</vt:lpstr>
      <vt:lpstr>DINRAY_FIRE</vt:lpstr>
      <vt:lpstr>DURUM_LIST</vt:lpstr>
      <vt:lpstr>FIYAT_ACK</vt:lpstr>
      <vt:lpstr>FIYAT_ART</vt:lpstr>
      <vt:lpstr>FIYAT_NET</vt:lpstr>
      <vt:lpstr>GARANTI</vt:lpstr>
      <vt:lpstr>ISCILIK_DK_UCRETI</vt:lpstr>
      <vt:lpstr>ISCILIK_SAAT_UCRETI</vt:lpstr>
      <vt:lpstr>ISKONTO</vt:lpstr>
      <vt:lpstr>KANAL_FIRE</vt:lpstr>
      <vt:lpstr>KAR_ORANI</vt:lpstr>
      <vt:lpstr>KLEMENS_YEDEK</vt:lpstr>
      <vt:lpstr>KORPUS_YEDEK_ORANI</vt:lpstr>
      <vt:lpstr>KUR_AD</vt:lpstr>
      <vt:lpstr>KUR_DEG</vt:lpstr>
      <vt:lpstr>MARKA_AD</vt:lpstr>
      <vt:lpstr>MARKA_KAT</vt:lpstr>
      <vt:lpstr>MARKA_PARA</vt:lpstr>
      <vt:lpstr>MARKA_TIP</vt:lpstr>
      <vt:lpstr>MODUL_GENISLIK_MM</vt:lpstr>
      <vt:lpstr>NDS_ORANI</vt:lpstr>
      <vt:lpstr>NORM_AD</vt:lpstr>
      <vt:lpstr>NORM_DK</vt:lpstr>
      <vt:lpstr>ODEME_SARTI</vt:lpstr>
      <vt:lpstr>TEKLIF_GECERLILIK</vt:lpstr>
      <vt:lpstr>TEST_ETIKET_CARPANI</vt:lpstr>
      <vt:lpstr>URETIM_SURESI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2026-09-14T11:48:42Z</dcterms:created>
  <dcterms:modified xsi:type="dcterms:W3CDTF">2026-09-14T14:14:04Z</dcterms:modified>
  <dc:language>en-US</dc:language>
</cp:coreProperties>
</file>