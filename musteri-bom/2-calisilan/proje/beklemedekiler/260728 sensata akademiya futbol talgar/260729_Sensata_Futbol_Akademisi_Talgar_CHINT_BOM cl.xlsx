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urallar" sheetId="1" state="visible" r:id="rId3"/>
    <sheet name="BOM" sheetId="2" state="visible" r:id="rId4"/>
    <sheet name="СВОД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<sst xmlns="http://schemas.openxmlformats.org/spreadsheetml/2006/main" count="2867" uniqueCount="571">
  <si>
    <t xml:space="preserve">TEKLED / YSF HICH — BOM KURALLARI VE PARAMETRELERİ</t>
  </si>
  <si>
    <t xml:space="preserve">Проект</t>
  </si>
  <si>
    <t xml:space="preserve">260729 Sensata — «Строительство футбольной академии в г.Талгар», SA-25ДП-192-ЭМ, Альбом 8</t>
  </si>
  <si>
    <t xml:space="preserve">BOM tarihi</t>
  </si>
  <si>
    <t xml:space="preserve">Para birimi</t>
  </si>
  <si>
    <t xml:space="preserve">KZT (₸), KDV hariç</t>
  </si>
  <si>
    <t xml:space="preserve">Marka</t>
  </si>
  <si>
    <t xml:space="preserve">CHINT (ana aparat) + EKT/IEK/UNIT (korpus, bara, klemens) + Сайман (sayaç, akım trafosu)</t>
  </si>
  <si>
    <t xml:space="preserve">1. FİYAT VE İŞÇİLİK PARAMETRELERİ  (sarı hücreler düzenlenebilir)</t>
  </si>
  <si>
    <t xml:space="preserve">Parametre</t>
  </si>
  <si>
    <t xml:space="preserve">Değer</t>
  </si>
  <si>
    <t xml:space="preserve">Birim</t>
  </si>
  <si>
    <t xml:space="preserve">Açıklama</t>
  </si>
  <si>
    <t xml:space="preserve">Montaj malzemesi oranı</t>
  </si>
  <si>
    <t xml:space="preserve">—</t>
  </si>
  <si>
    <t xml:space="preserve">Pano malzeme ara toplamının oranı</t>
  </si>
  <si>
    <t xml:space="preserve">İşçilik birim fiyat</t>
  </si>
  <si>
    <t xml:space="preserve">₸/dk</t>
  </si>
  <si>
    <t xml:space="preserve">Kol. G = bu hücre, Kol. I = dakika</t>
  </si>
  <si>
    <t xml:space="preserve">Test / etiket / kontrol çarpanı</t>
  </si>
  <si>
    <t xml:space="preserve">×</t>
  </si>
  <si>
    <t xml:space="preserve">Tüm işçilik normlarına uygulanır</t>
  </si>
  <si>
    <t xml:space="preserve">Fiyat yaşı — kullanılabilir sınır</t>
  </si>
  <si>
    <t xml:space="preserve">ay</t>
  </si>
  <si>
    <t xml:space="preserve">≤ bu değer → KULLANILABİLİR</t>
  </si>
  <si>
    <t xml:space="preserve">Fiyat yaşı — uyarı sınırı</t>
  </si>
  <si>
    <t xml:space="preserve">&gt; bu değer → YASAK</t>
  </si>
  <si>
    <t xml:space="preserve">2. MARKA KATSAYILARI VE FİYAT LİSTESİ YAŞI</t>
  </si>
  <si>
    <t xml:space="preserve">Katsayı (net = liste × kat.)</t>
  </si>
  <si>
    <t xml:space="preserve">Liste tarihi</t>
  </si>
  <si>
    <t xml:space="preserve">Yaş, ay</t>
  </si>
  <si>
    <t xml:space="preserve">YAŞ_DURUM (formül)</t>
  </si>
  <si>
    <t xml:space="preserve">Kaynak dosya</t>
  </si>
  <si>
    <t xml:space="preserve">CHINT</t>
  </si>
  <si>
    <t xml:space="preserve">260728_chint_fiyatli_stok_listesi.xlsx</t>
  </si>
  <si>
    <t xml:space="preserve">Сайман</t>
  </si>
  <si>
    <t xml:space="preserve">САЙМАН_2026_прайс_askardan.xlsx</t>
  </si>
  <si>
    <t xml:space="preserve">EKT</t>
  </si>
  <si>
    <t xml:space="preserve">19062025_EKT_PRICE.xlsx</t>
  </si>
  <si>
    <t xml:space="preserve">IEK</t>
  </si>
  <si>
    <t xml:space="preserve">UNIT</t>
  </si>
  <si>
    <t xml:space="preserve">Generica</t>
  </si>
  <si>
    <t xml:space="preserve">3. İŞÇİLİK NORMLARI  (dk — sarı hücreler düzenlenebilir)</t>
  </si>
  <si>
    <t xml:space="preserve">Norm kodu</t>
  </si>
  <si>
    <t xml:space="preserve">dk</t>
  </si>
  <si>
    <t xml:space="preserve">OTO1</t>
  </si>
  <si>
    <t xml:space="preserve">Otomatik sigorta 1P</t>
  </si>
  <si>
    <t xml:space="preserve">adet</t>
  </si>
  <si>
    <t xml:space="preserve">OTO3</t>
  </si>
  <si>
    <t xml:space="preserve">Otomatik sigorta 3P</t>
  </si>
  <si>
    <t xml:space="preserve">DIF2</t>
  </si>
  <si>
    <t xml:space="preserve">Diferansiyel otomat 1P+N (2 modül)</t>
  </si>
  <si>
    <t xml:space="preserve">DIF4</t>
  </si>
  <si>
    <t xml:space="preserve">Diferansiyel otomat 3P+N (4 modül)</t>
  </si>
  <si>
    <t xml:space="preserve">TMS</t>
  </si>
  <si>
    <t xml:space="preserve">Kompakt şalter (MCCB) ≤250A</t>
  </si>
  <si>
    <t xml:space="preserve">RUB</t>
  </si>
  <si>
    <t xml:space="preserve">Modüler yük ayırıcı (rubilnik)</t>
  </si>
  <si>
    <t xml:space="preserve">RUBP</t>
  </si>
  <si>
    <t xml:space="preserve">Perekidnoy rubilnik 400A (I-0-II)</t>
  </si>
  <si>
    <t xml:space="preserve">SAYAC</t>
  </si>
  <si>
    <t xml:space="preserve">Sayaç + akım trafosu grubu</t>
  </si>
  <si>
    <t xml:space="preserve">OLCU</t>
  </si>
  <si>
    <t xml:space="preserve">Multimetre / ölçü cihazı (pano kapağı)</t>
  </si>
  <si>
    <t xml:space="preserve">KONT</t>
  </si>
  <si>
    <t xml:space="preserve">Kontaktör</t>
  </si>
  <si>
    <t xml:space="preserve">ROLE</t>
  </si>
  <si>
    <t xml:space="preserve">Röle / termostat</t>
  </si>
  <si>
    <t xml:space="preserve">BLOK</t>
  </si>
  <si>
    <t xml:space="preserve">Yardımcı blok / açtırma bobini</t>
  </si>
  <si>
    <t xml:space="preserve">KLEMENS</t>
  </si>
  <si>
    <t xml:space="preserve">Klemens</t>
  </si>
  <si>
    <t xml:space="preserve">SHNI</t>
  </si>
  <si>
    <t xml:space="preserve">ШНИ nötr/toprak barası</t>
  </si>
  <si>
    <t xml:space="preserve">BARA_CU</t>
  </si>
  <si>
    <t xml:space="preserve">Bakır bara</t>
  </si>
  <si>
    <t xml:space="preserve">metre</t>
  </si>
  <si>
    <t xml:space="preserve">DINRAY</t>
  </si>
  <si>
    <t xml:space="preserve">DIN ray</t>
  </si>
  <si>
    <t xml:space="preserve">KANAL</t>
  </si>
  <si>
    <t xml:space="preserve">Kablo kanalı</t>
  </si>
  <si>
    <t xml:space="preserve">KORPUS_S</t>
  </si>
  <si>
    <t xml:space="preserve">Korpus hazırlığı — küçük (≤24 mod.)</t>
  </si>
  <si>
    <t xml:space="preserve">KORPUS_M</t>
  </si>
  <si>
    <t xml:space="preserve">Korpus hazırlığı — orta (36–48 mod.)</t>
  </si>
  <si>
    <t xml:space="preserve">KORPUS_F</t>
  </si>
  <si>
    <t xml:space="preserve">Korpus hazırlığı — dikili tip (ВРУ)</t>
  </si>
  <si>
    <t xml:space="preserve">4. ÇAPRAZ DOĞRULAMA — ŞEMA / SPESİFİKASYON UYUŞMAZLIKLARI  (⚠ KONTROL)</t>
  </si>
  <si>
    <t xml:space="preserve">No</t>
  </si>
  <si>
    <t xml:space="preserve">Pano</t>
  </si>
  <si>
    <t xml:space="preserve">Konu</t>
  </si>
  <si>
    <t xml:space="preserve">Şemada (лист)</t>
  </si>
  <si>
    <t xml:space="preserve">Spesifikasyonda (СО)</t>
  </si>
  <si>
    <t xml:space="preserve">Alınan karar</t>
  </si>
  <si>
    <t xml:space="preserve">1</t>
  </si>
  <si>
    <t xml:space="preserve">1-ВРУ</t>
  </si>
  <si>
    <t xml:space="preserve">Çıkış Ir=32A adedi</t>
  </si>
  <si>
    <t xml:space="preserve">4 ad. (1QF3, 1QF4, 1QF6, 2QF3) — лист 2</t>
  </si>
  <si>
    <t xml:space="preserve">3 ad.</t>
  </si>
  <si>
    <t xml:space="preserve">ŞEMA esas → 4 adet</t>
  </si>
  <si>
    <t xml:space="preserve">2</t>
  </si>
  <si>
    <t xml:space="preserve">2-ВРУ</t>
  </si>
  <si>
    <t xml:space="preserve">2QF1 ayar akımı</t>
  </si>
  <si>
    <t xml:space="preserve">In=160A, Ir=100A — лист 3</t>
  </si>
  <si>
    <t xml:space="preserve">3P 160A Ir=125A ×2</t>
  </si>
  <si>
    <t xml:space="preserve">ŞEMA esas → 125A ×1 + 100A ×1</t>
  </si>
  <si>
    <t xml:space="preserve">3</t>
  </si>
  <si>
    <t xml:space="preserve">ЩПС</t>
  </si>
  <si>
    <t xml:space="preserve">Çıkış 1P C10 adedi</t>
  </si>
  <si>
    <t xml:space="preserve">4 ad. (QF4, QF5, QF6, QF10) — лист 5</t>
  </si>
  <si>
    <t xml:space="preserve">4</t>
  </si>
  <si>
    <t xml:space="preserve">Çıkış 3P 20A karakteristiği</t>
  </si>
  <si>
    <t xml:space="preserve">QF7–QF9 3P 20A</t>
  </si>
  <si>
    <t xml:space="preserve">ВА47-60МА 3P 20A D (MVA33-3-020-D)</t>
  </si>
  <si>
    <t xml:space="preserve">CHINT NXB-63 3P 20A "D" YOK → "C" alındı ⚠ onay gerekli</t>
  </si>
  <si>
    <t xml:space="preserve">5</t>
  </si>
  <si>
    <t xml:space="preserve">1.2-ЩРв</t>
  </si>
  <si>
    <t xml:space="preserve">3P C16 / C10 dağılımı</t>
  </si>
  <si>
    <t xml:space="preserve">C16 ×3, C10 ×1 — лист 10</t>
  </si>
  <si>
    <t xml:space="preserve">C16 ×1, C10 ×3</t>
  </si>
  <si>
    <t xml:space="preserve">ŞEMA esas → C16 ×3, C10 ×1</t>
  </si>
  <si>
    <t xml:space="preserve">6</t>
  </si>
  <si>
    <t xml:space="preserve">2.1-ЩР-4(хол)</t>
  </si>
  <si>
    <t xml:space="preserve">QF3 kutup sayısı</t>
  </si>
  <si>
    <t xml:space="preserve">2P C32 30мА (yük 3х4, tek faz) — лист 21</t>
  </si>
  <si>
    <t xml:space="preserve">АВДТ 34 (4P) C32</t>
  </si>
  <si>
    <t xml:space="preserve">ŞEMA esas → 1P+N (2P) alındı</t>
  </si>
  <si>
    <t xml:space="preserve">7</t>
  </si>
  <si>
    <t xml:space="preserve">3.0-ЩРк ve 2.1-ЩР-1</t>
  </si>
  <si>
    <t xml:space="preserve">Giriş aparatı</t>
  </si>
  <si>
    <t xml:space="preserve">QF 3P C125A 15кА (otomat) — лист 13, 18</t>
  </si>
  <si>
    <t xml:space="preserve">ВН-32 3Р 125А (rubilnik)</t>
  </si>
  <si>
    <t xml:space="preserve">SPESİFİKASYON esas (kardeş panolarla tutarlılık). Otomat isteniyorsa NXM-160S/3Р 125A (art. 844326) eklenir ⚠</t>
  </si>
  <si>
    <t xml:space="preserve">8</t>
  </si>
  <si>
    <t xml:space="preserve">Çeşitli</t>
  </si>
  <si>
    <t xml:space="preserve">Korpus ЩРн / ЩРв karışıklığı</t>
  </si>
  <si>
    <t xml:space="preserve">Bazı antetlerde ЩРв</t>
  </si>
  <si>
    <t xml:space="preserve">Aynı panoda ЩРн</t>
  </si>
  <si>
    <t xml:space="preserve">SPESİFİKASYON esas. Sıva üstü/sıva altı sahada teyit edilmeli ⚠</t>
  </si>
  <si>
    <t xml:space="preserve">9</t>
  </si>
  <si>
    <t xml:space="preserve">3.3 / 3.4 grubu</t>
  </si>
  <si>
    <t xml:space="preserve">Pano isimlendirmesi</t>
  </si>
  <si>
    <t xml:space="preserve">3.3-ЩР-1/2, 3.4-ЩР-1/2</t>
  </si>
  <si>
    <t xml:space="preserve">3.3-ЩР-2/3, 3.4-ЩР-2/3</t>
  </si>
  <si>
    <t xml:space="preserve">Adet aynı (8 komplekt); yalnız isim farkı</t>
  </si>
  <si>
    <t xml:space="preserve">10</t>
  </si>
  <si>
    <t xml:space="preserve">ЩО / ЩАО (18 pano)</t>
  </si>
  <si>
    <t xml:space="preserve">Prensip şeması YOK</t>
  </si>
  <si>
    <t xml:space="preserve">Albümde bu panolara ait şema yok</t>
  </si>
  <si>
    <t xml:space="preserve">СО л.10–11</t>
  </si>
  <si>
    <t xml:space="preserve">ÇİFT KAYNAK DOĞRULAMASI YAPILAMADI — yalnız spesifikasyondan ⚠⚠</t>
  </si>
  <si>
    <t xml:space="preserve">11</t>
  </si>
  <si>
    <t xml:space="preserve">Genel</t>
  </si>
  <si>
    <t xml:space="preserve">Spesifikasyon eksik</t>
  </si>
  <si>
    <t xml:space="preserve">СО 15 sayfa, elde 10 sayfa</t>
  </si>
  <si>
    <t xml:space="preserve">Kalan 5 sayfa (kablo, armatür, priz/anahtar) BOM kapsamı dışı sayıldı ⚠</t>
  </si>
  <si>
    <t xml:space="preserve">5. MARKA / MUADİL SEÇİM NOTLARI (IEK → CHINT)</t>
  </si>
  <si>
    <t xml:space="preserve">Projede (IEK)</t>
  </si>
  <si>
    <t xml:space="preserve">CHINT karşılığı</t>
  </si>
  <si>
    <t xml:space="preserve">Not / risk</t>
  </si>
  <si>
    <t xml:space="preserve">ВН-32 3Р (мини-рубильник)</t>
  </si>
  <si>
    <t xml:space="preserve">NXHB-125 3P</t>
  </si>
  <si>
    <t xml:space="preserve">25A kademesi CHINT’te YOK → 32A alındı (ЩСоб, 1.0/2.0-ЩР-1, 2.1-ЩР-5, 3.0-ЩР-1, lift)</t>
  </si>
  <si>
    <t xml:space="preserve">ВА47-60M 1P/3P C, 6кА</t>
  </si>
  <si>
    <t xml:space="preserve">NXB-63 1P/3P C, 6кА</t>
  </si>
  <si>
    <t xml:space="preserve">Birebir karşılık</t>
  </si>
  <si>
    <t xml:space="preserve">АВДТ 32 (1P+N, тип A, 30мА, 6кА)</t>
  </si>
  <si>
    <t xml:space="preserve">NXBLE-63YH 1P+N тип A, 6кА</t>
  </si>
  <si>
    <t xml:space="preserve">Birebir karşılık, stok iyi</t>
  </si>
  <si>
    <t xml:space="preserve">АВДТ 34 (3P+N, тип A, 30мА)</t>
  </si>
  <si>
    <t xml:space="preserve">NXBLE-63YH 3P+N тип A, 6кА</t>
  </si>
  <si>
    <t xml:space="preserve">C20 için тип A YOK → тип AC alındı (1.0-ЩРк, 2 ad.) ⚠</t>
  </si>
  <si>
    <t xml:space="preserve">ВРУ giriş 3P 250A Ir=200/160, Icu&gt;50кА</t>
  </si>
  <si>
    <t xml:space="preserve">NM8N-250S TM 3P 200А / 160А, 50кА (ayarlı)</t>
  </si>
  <si>
    <t xml:space="preserve">Ekonomik alternatif: NXM-250H/3Р 200A 50кА (art. 844331, liste 54.225 ₸) — sabit akım, ayarsız</t>
  </si>
  <si>
    <t xml:space="preserve">ВРУ çıkış 3P 100A Ir=xx, Icu≥35кА</t>
  </si>
  <si>
    <t xml:space="preserve">NXM-160S/3Р (36кА), In = Ir</t>
  </si>
  <si>
    <t xml:space="preserve">Ayarlı istenirse NM8N-125C TM 3P 36кА, liste ~64–68 bin ₸/ad. (+~40 bin ₸/ad.)</t>
  </si>
  <si>
    <t xml:space="preserve">ВРУ çıkış Ir=16A (5 ad.)</t>
  </si>
  <si>
    <t xml:space="preserve">NM8N-125C TM 3P 16А 36кА</t>
  </si>
  <si>
    <t xml:space="preserve">NXM-160S’te 16A yok. 25A’e çıkılsa 5х2,5 kablo koruması sınırda kalırdı — düşürülmedi</t>
  </si>
  <si>
    <t xml:space="preserve">Выкл.-разъединитель реверсивный 3P 400A</t>
  </si>
  <si>
    <t xml:space="preserve">NH40-400/3CS перекидной (I-0-II)</t>
  </si>
  <si>
    <t xml:space="preserve">Basit ayırıcı yeterliyse NH40-400/3 (art. 393266, liste 93.336 ₸) → 6 ad. için ~730 bin ₸ tasarruf ⚠ teyit</t>
  </si>
  <si>
    <t xml:space="preserve">ТТ ТТИ-60 200/5А 15ВА 0,5S</t>
  </si>
  <si>
    <t xml:space="preserve">CHINT’te 200/5 YOK → Сайман ТОП-0,66 200/5 кл.0,5</t>
  </si>
  <si>
    <t xml:space="preserve">0,5S sınıfı gerekiyorsa ayrıca teyit edilmeli ⚠</t>
  </si>
  <si>
    <t xml:space="preserve">Счетчик 3ф 380В 5-7,5А</t>
  </si>
  <si>
    <t xml:space="preserve">Сайман Дала СА4У-Э720 (3x220/380V 5-7,5A)</t>
  </si>
  <si>
    <t xml:space="preserve">Projedeki tarif ile birebir</t>
  </si>
  <si>
    <t xml:space="preserve">MMD9-C (DKC)</t>
  </si>
  <si>
    <t xml:space="preserve">CHINT PD666-3S4 96x96 RS-485</t>
  </si>
  <si>
    <t xml:space="preserve">Stokta YOK ⚠</t>
  </si>
  <si>
    <t xml:space="preserve">Реле промежуточное OIR 3 конт. 16А</t>
  </si>
  <si>
    <t xml:space="preserve">NCH8-20/20 20A 2НО (modüler kontaktör)</t>
  </si>
  <si>
    <t xml:space="preserve">ЩСоб şemasındaki "KM 2 Н.О." ile uyumlu</t>
  </si>
  <si>
    <t xml:space="preserve">РН47-60М расцепитель независимый</t>
  </si>
  <si>
    <t xml:space="preserve">SHT-X1 AC230V/400V для NXB-63</t>
  </si>
  <si>
    <t xml:space="preserve">Birebir işlev</t>
  </si>
  <si>
    <t xml:space="preserve">РТ-300 регулятор температуры</t>
  </si>
  <si>
    <t xml:space="preserve">CHINT’te muadil YOK → EKT RTC 70.26 DIN termostat</t>
  </si>
  <si>
    <t xml:space="preserve">⚠ onay gerekli</t>
  </si>
  <si>
    <t xml:space="preserve">Корпус TITAN ЩРн/ЩРв (метал)</t>
  </si>
  <si>
    <t xml:space="preserve">EKT ЩРН/ЩРВ (metal)</t>
  </si>
  <si>
    <t xml:space="preserve">CHINT NEX plastik korpuslar pano gövdesi olarak KABUL EDİLMİYOR</t>
  </si>
  <si>
    <t xml:space="preserve">Корпус ЩРн-П IP41 (пластик)</t>
  </si>
  <si>
    <t xml:space="preserve">IEK ЩРН-П (EKT listesinden)</t>
  </si>
  <si>
    <t xml:space="preserve">Projede plastik istendiği için plastik alındı</t>
  </si>
  <si>
    <t xml:space="preserve">Корпус ВРУ 2000×800×400</t>
  </si>
  <si>
    <t xml:space="preserve">EKT ВРУ-1-22 (1700×800×440) + цоколь</t>
  </si>
  <si>
    <t xml:space="preserve">Tam ölçü listede YOK ⚠ ölçü teyidi gerekli</t>
  </si>
  <si>
    <t xml:space="preserve">Шина медная М1Т 10×30</t>
  </si>
  <si>
    <t xml:space="preserve">EKT Шина медная 4×40×4000</t>
  </si>
  <si>
    <t xml:space="preserve">10×30 profili listede yok; 160 mm² (~550–600 A) 400 A giriş için yeterli</t>
  </si>
  <si>
    <t xml:space="preserve">РУСМ5135-2874 (ЯУВ1.3/4)</t>
  </si>
  <si>
    <t xml:space="preserve">Muadil yok</t>
  </si>
  <si>
    <t xml:space="preserve">Fiyat listesinde yok → KONTROL bloğunda, fiyatsız ⚠</t>
  </si>
  <si>
    <t xml:space="preserve">6. STOK DURUMU UYARILARI  (CHINT stok listesi 28.07.2026)</t>
  </si>
  <si>
    <t xml:space="preserve">Artikül</t>
  </si>
  <si>
    <t xml:space="preserve">Ürün</t>
  </si>
  <si>
    <t xml:space="preserve">İhtiyaç</t>
  </si>
  <si>
    <t xml:space="preserve">Stok</t>
  </si>
  <si>
    <t xml:space="preserve">Durum</t>
  </si>
  <si>
    <t xml:space="preserve">146332</t>
  </si>
  <si>
    <t xml:space="preserve">NXM-160S/3Р 25A 36кА</t>
  </si>
  <si>
    <t xml:space="preserve">⚠ EKSİK — 8 ad. sipariş</t>
  </si>
  <si>
    <t xml:space="preserve">146335</t>
  </si>
  <si>
    <t xml:space="preserve">NXM-160S/3Р 50A 36кА</t>
  </si>
  <si>
    <t xml:space="preserve">⚠ EKSİK — 1 ad. sipariş</t>
  </si>
  <si>
    <t xml:space="preserve">146333</t>
  </si>
  <si>
    <t xml:space="preserve">NXM-160S/3Р 32A 36кА</t>
  </si>
  <si>
    <t xml:space="preserve">✔ yeterli</t>
  </si>
  <si>
    <t xml:space="preserve">146334</t>
  </si>
  <si>
    <t xml:space="preserve">NXM-160S/3Р 40A 36кА</t>
  </si>
  <si>
    <t xml:space="preserve">146337</t>
  </si>
  <si>
    <t xml:space="preserve">NXM-160S/3Р 80A 36кА</t>
  </si>
  <si>
    <t xml:space="preserve">146338</t>
  </si>
  <si>
    <t xml:space="preserve">NXM-160S/3Р 100A 36кА</t>
  </si>
  <si>
    <t xml:space="preserve">844326</t>
  </si>
  <si>
    <t xml:space="preserve">NXM-160S/3Р 125A 36кА</t>
  </si>
  <si>
    <t xml:space="preserve">271531</t>
  </si>
  <si>
    <t xml:space="preserve">271174</t>
  </si>
  <si>
    <t xml:space="preserve">NM8N-250S TM 3P 200А 50кА</t>
  </si>
  <si>
    <t xml:space="preserve">271172</t>
  </si>
  <si>
    <t xml:space="preserve">NM8N-250S TM 3P 160А 50кА</t>
  </si>
  <si>
    <t xml:space="preserve">393375</t>
  </si>
  <si>
    <t xml:space="preserve">NH40-400/3CS 400A перекидной</t>
  </si>
  <si>
    <t xml:space="preserve">⚠ EKSİK — alternatif NH40-400/3CSW (выносная рукоятка) stok 8</t>
  </si>
  <si>
    <t xml:space="preserve">539848</t>
  </si>
  <si>
    <t xml:space="preserve">NXBLE-63YH 3P+N C16 тип A</t>
  </si>
  <si>
    <t xml:space="preserve">⚠⚠ STOK YOK — sipariş süresi teyit edilmeli</t>
  </si>
  <si>
    <t xml:space="preserve">539860</t>
  </si>
  <si>
    <t xml:space="preserve">NXBLE-63YH 3P+N C25 тип A</t>
  </si>
  <si>
    <t xml:space="preserve">⚠⚠ STOK YOK</t>
  </si>
  <si>
    <t xml:space="preserve">539866</t>
  </si>
  <si>
    <t xml:space="preserve">NXBLE-63YH 3P+N C32 тип A</t>
  </si>
  <si>
    <t xml:space="preserve">539872</t>
  </si>
  <si>
    <t xml:space="preserve">NXBLE-63YH 3P+N C40 тип A</t>
  </si>
  <si>
    <t xml:space="preserve">539842</t>
  </si>
  <si>
    <t xml:space="preserve">NXBLE-63YH 3P+N C10 тип A</t>
  </si>
  <si>
    <t xml:space="preserve">⚠ sınırda</t>
  </si>
  <si>
    <t xml:space="preserve">539853</t>
  </si>
  <si>
    <t xml:space="preserve">NXBLE-63YH 3P+N C20 тип AC</t>
  </si>
  <si>
    <t xml:space="preserve">⚠ тип A yok, тип AC alındı</t>
  </si>
  <si>
    <t xml:space="preserve">313309</t>
  </si>
  <si>
    <t xml:space="preserve">PD666-3S4 многофунк. изм. прибор</t>
  </si>
  <si>
    <t xml:space="preserve">504550</t>
  </si>
  <si>
    <t xml:space="preserve">DB4-24G IP65 (ЩУ бассейн)</t>
  </si>
  <si>
    <t xml:space="preserve">⚠ STOK YOK — DB4-36G (stok 15) alternatif</t>
  </si>
  <si>
    <t xml:space="preserve">515381</t>
  </si>
  <si>
    <t xml:space="preserve">NXBLE-63YH 1P+N C16 тип A</t>
  </si>
  <si>
    <t xml:space="preserve">✔ bol</t>
  </si>
  <si>
    <t xml:space="preserve">836704</t>
  </si>
  <si>
    <t xml:space="preserve">NXC-09 9A 220В</t>
  </si>
  <si>
    <t xml:space="preserve">7. RİSK VE KONTROL LİSTESİ</t>
  </si>
  <si>
    <t xml:space="preserve">Fiyat listesi yaşı: EKT / IEK / UNIT = 19.06.2025 → ~13 ay. UYARI aralığında. Korpus, bara, klemens, iletken fiyatları teklif verilmeden önce güncellenmelidir.</t>
  </si>
  <si>
    <t xml:space="preserve">Klemsan (11.2022), ONKA (07.2022), EKF (02.2022) listeleri &gt;18 ay → bu BOM’da hiç kullanılmadı.</t>
  </si>
  <si>
    <t xml:space="preserve">PARAFUDR YOK: Projede hiçbir ВРУ’da ОПН/УЗИП öngörülmemiş. Bina III. kat. yıldırımdan korunmalı (СП РК 2.04-103-2013) ve TN-C-S. ВРУ girişlerine T1+T2 parafudr önerilir — bu BOM’a DAHİL EDİLMEDİ. ⚠</t>
  </si>
  <si>
    <t xml:space="preserve">Modül hesabı — 3.0-ЩРк: 5×4 + 10×2 + 3 = 43 modül / ЩРн-48. Yedek kapasite yalnız %10. %20 yedek isteniyorsa ЩРн-54 (540×440×120) alınmalı. ⚠</t>
  </si>
  <si>
    <t xml:space="preserve">Modül hesabı — 2.1-ЩР-1: 6×4 + 4×2 + 3 = 35 mod. / ЩРн-48 ✔ ; 1.1-ЩР-1: 15×2 + 2×4 + 3 = 41 mod. / ЩРв-48 ✔ ; 2.2-ЩР-1: 16×2 + 3 = 35 mod. / ЩРв-48 ✔ ; 2.1-ЩР-2: 41 mod. / ЩРв-48 ✔</t>
  </si>
  <si>
    <t xml:space="preserve">Modül hesabı — 1.0-ЩР-1 ve 2.0-ЩР-1: 8×2 + 3 = 19 modül; projede ЩРн-П-36 istenmiş (fazla büyük). ЩРн-П-24 yeterli olur — proje esas alındı, opsiyonel tasarruf. </t>
  </si>
  <si>
    <t xml:space="preserve">ВРУ iç yerleşimi: her ВРУ = 2 kabin (секция I / секция II). Her kabinde 1 перекидной 400A + 1 MCCB 250A + sayaç bölmesi + 9 çıkış MCCB. 1700×800×440 gövdeye sığar ancak açılım (компоновка) çizimi yapılmadan kesin değildir. ⚠</t>
  </si>
  <si>
    <t xml:space="preserve">ВРУ bara kesiti: 400 A için Cu 4×40 (160 mm²) seçildi — ПУЭ 1.3.31’e göre yeterli. Kısadevre dinamik dayanım hesabı yapılmadı. ⚠</t>
  </si>
  <si>
    <t xml:space="preserve">Kablo, gofre boru, lotok, aydınlatma armatürleri, priz/anahtar bu BOM’a DAHİL DEĞİLDİR (ЭМ bölümü saha montajı).</t>
  </si>
  <si>
    <t xml:space="preserve">«KONTROL / KAPSAM DIŞI» bloğundaki satırların GERÇEK ADETLERİ korunmuştur (atölye ve satınalma için); fiyatları toplama dahil edilmemiştir.</t>
  </si>
  <si>
    <t xml:space="preserve">Tüm fiyatlar KDV HARİÇ, ₸ (KZT). CHINT net = liste × 0,60; EKT/IEK/UNIT/Сайман = liste × 1,00.</t>
  </si>
  <si>
    <t xml:space="preserve">İşçilik: Kol. I = dakika (norm × adet × test çarpanı), Kol. G = ₸/dk (Kurallar B10), Kol. F = norm-saat.</t>
  </si>
  <si>
    <t xml:space="preserve">Montaj malzemesi = pano malzeme ara toplamının %3’ü (Kurallar B9).</t>
  </si>
  <si>
    <t xml:space="preserve">№</t>
  </si>
  <si>
    <t xml:space="preserve">Наименование1</t>
  </si>
  <si>
    <t xml:space="preserve">Тип</t>
  </si>
  <si>
    <t xml:space="preserve">Артикул</t>
  </si>
  <si>
    <t xml:space="preserve">Номенклатура</t>
  </si>
  <si>
    <t xml:space="preserve">Цена лист., ₸</t>
  </si>
  <si>
    <t xml:space="preserve">Цена нетто, ₸</t>
  </si>
  <si>
    <t xml:space="preserve">Сумма, ₸</t>
  </si>
  <si>
    <t xml:space="preserve">Кол-во</t>
  </si>
  <si>
    <t xml:space="preserve">Ед.изм.</t>
  </si>
  <si>
    <t xml:space="preserve">Завод</t>
  </si>
  <si>
    <t xml:space="preserve">Примечание</t>
  </si>
  <si>
    <t xml:space="preserve">пано</t>
  </si>
  <si>
    <t xml:space="preserve">1-ВРУ (Блок 1, напольное, 2 секции)</t>
  </si>
  <si>
    <t xml:space="preserve">компл.</t>
  </si>
  <si>
    <t xml:space="preserve">korpus</t>
  </si>
  <si>
    <t xml:space="preserve">250200158_</t>
  </si>
  <si>
    <t xml:space="preserve">Корпус ВРУ-1-22 (1700x800x440) пустой щит EKT</t>
  </si>
  <si>
    <t xml:space="preserve">шт</t>
  </si>
  <si>
    <t xml:space="preserve">ст-9951059</t>
  </si>
  <si>
    <t xml:space="preserve">Подставка (цоколь) под ВРУ EKT</t>
  </si>
  <si>
    <t xml:space="preserve">rubilnik</t>
  </si>
  <si>
    <t xml:space="preserve">Перекидной рубильник NH40-400/3CS, 3P, 400А, 3 положения I-0-II</t>
  </si>
  <si>
    <t xml:space="preserve">TMŞ</t>
  </si>
  <si>
    <t xml:space="preserve">Авт. выкл. NM8N-250S TM 3P 200А 50кА с рег. термомаг. расцепителем</t>
  </si>
  <si>
    <t xml:space="preserve">blok</t>
  </si>
  <si>
    <t xml:space="preserve">269604</t>
  </si>
  <si>
    <t xml:space="preserve">Независимый расцепитель SHT22-M8 AC220-240V для NM8N-250</t>
  </si>
  <si>
    <t xml:space="preserve">tt</t>
  </si>
  <si>
    <t xml:space="preserve">TJ</t>
  </si>
  <si>
    <t xml:space="preserve">Трансформатор тока ТОП-0,66 У3 кл.точ. 0,5 200/5А</t>
  </si>
  <si>
    <t xml:space="preserve">sayac</t>
  </si>
  <si>
    <t xml:space="preserve">ND</t>
  </si>
  <si>
    <t xml:space="preserve">Счетчик Дала СА4У-Э720 (3x220/380V 5-7,5A), акт.+реакт.</t>
  </si>
  <si>
    <t xml:space="preserve">olcu</t>
  </si>
  <si>
    <t xml:space="preserve">Многофунк. изм. прибор PD666-3S4 380V 5A 3ф 96x96 RS485</t>
  </si>
  <si>
    <t xml:space="preserve">Авт. выкл. NXM-160S/3Р 80A 36кА</t>
  </si>
  <si>
    <t xml:space="preserve">Авт. выкл. NXM-160S/3Р 50A 36кА</t>
  </si>
  <si>
    <t xml:space="preserve">Авт. выкл. NXM-160S/3Р 32A 36кА</t>
  </si>
  <si>
    <t xml:space="preserve">Авт. выкл. NXM-160S/3Р 25A 36кА</t>
  </si>
  <si>
    <t xml:space="preserve">Röle</t>
  </si>
  <si>
    <t xml:space="preserve">651132</t>
  </si>
  <si>
    <t xml:space="preserve">Промежуточное реле NJDC-17(D)/2Z 2 конт. с инд. LED 10А AC230В</t>
  </si>
  <si>
    <t xml:space="preserve">LOOBAR</t>
  </si>
  <si>
    <t xml:space="preserve">130300323_</t>
  </si>
  <si>
    <t xml:space="preserve">Шина медная 4х40х4000 (нулевая / заземления)</t>
  </si>
  <si>
    <t xml:space="preserve">130301157_</t>
  </si>
  <si>
    <t xml:space="preserve">ЗНИ 16мм² (100А) серый UNIT</t>
  </si>
  <si>
    <t xml:space="preserve">130301159_</t>
  </si>
  <si>
    <t xml:space="preserve">ЗНИ 35мм² (125А) серый UNIT</t>
  </si>
  <si>
    <t xml:space="preserve">montaj</t>
  </si>
  <si>
    <t xml:space="preserve">570003</t>
  </si>
  <si>
    <t xml:space="preserve">DIN-рейка оцинкованная TH35-7.5 100cm</t>
  </si>
  <si>
    <t xml:space="preserve">270300200_</t>
  </si>
  <si>
    <t xml:space="preserve">Кабель-канал перфорированный 60х40 ИМПАКТ (2 м)</t>
  </si>
  <si>
    <t xml:space="preserve">100300025_</t>
  </si>
  <si>
    <t xml:space="preserve">Провод ПВ3-2,5 (ПуГВ)</t>
  </si>
  <si>
    <t xml:space="preserve">м</t>
  </si>
  <si>
    <t xml:space="preserve">100300031_</t>
  </si>
  <si>
    <t xml:space="preserve">Провод ПВ3-6 (ПуГВ)</t>
  </si>
  <si>
    <t xml:space="preserve">100300015_</t>
  </si>
  <si>
    <t xml:space="preserve">Провод ПВ3-16 (ПуГВ)</t>
  </si>
  <si>
    <t xml:space="preserve">100300023_</t>
  </si>
  <si>
    <t xml:space="preserve">Провод ПВ3-50 (ПуГВ)</t>
  </si>
  <si>
    <t xml:space="preserve">montajный материал</t>
  </si>
  <si>
    <t xml:space="preserve">Монтажные материалы (наконечники, маркировка, крепёж, метизы)</t>
  </si>
  <si>
    <t xml:space="preserve">Kurallar!B9 = %</t>
  </si>
  <si>
    <t xml:space="preserve">montajная работа</t>
  </si>
  <si>
    <t xml:space="preserve">Сборка, монтаж, маркировка, испытание щита</t>
  </si>
  <si>
    <t xml:space="preserve">мин.</t>
  </si>
  <si>
    <t xml:space="preserve">Кол-во = минуты; F = н/час</t>
  </si>
  <si>
    <t xml:space="preserve">Toplam: 1-ВРУ (Блок 1, напольное, 2 секции)</t>
  </si>
  <si>
    <t xml:space="preserve">на 1 щит</t>
  </si>
  <si>
    <t xml:space="preserve">2-ВРУ (Блок 2, напольное, 2 секции)</t>
  </si>
  <si>
    <t xml:space="preserve">Авт. выкл. NXM-160S/3Р 125A 36кА</t>
  </si>
  <si>
    <t xml:space="preserve">Авт. выкл. NXM-160S/3Р 100A 36кА</t>
  </si>
  <si>
    <t xml:space="preserve">Авт. выкл. NXM-160S/3Р 40A 36кА</t>
  </si>
  <si>
    <t xml:space="preserve">Авт. выкл. NM8N-125C TM 3P 16А 36кА с рег. термомаг. расцепителем</t>
  </si>
  <si>
    <t xml:space="preserve">Toplam: 2-ВРУ (Блок 2, напольное, 2 секции)</t>
  </si>
  <si>
    <t xml:space="preserve">3-ВРУ (Блок 3, напольное, 2 секции)</t>
  </si>
  <si>
    <t xml:space="preserve">Авт. выкл. NM8N-250S TM 3P 160А 50кА с рег. термомаг. расцепителем</t>
  </si>
  <si>
    <t xml:space="preserve">Toplam: 3-ВРУ (Блок 3, напольное, 2 секции)</t>
  </si>
  <si>
    <t xml:space="preserve">ЩПС — щит противопожарных систем</t>
  </si>
  <si>
    <t xml:space="preserve">250200145_</t>
  </si>
  <si>
    <t xml:space="preserve">Корпус металлический ЩРН-36 (540x310x120) IP31 EKT</t>
  </si>
  <si>
    <t xml:space="preserve">OTO</t>
  </si>
  <si>
    <t xml:space="preserve">814187</t>
  </si>
  <si>
    <t xml:space="preserve">Авт. выкл. NXB-63 3P 40A 6кА х-ка D</t>
  </si>
  <si>
    <t xml:space="preserve">814171</t>
  </si>
  <si>
    <t xml:space="preserve">Авт. выкл. NXB-63 3P 20A 6кА х-ка C</t>
  </si>
  <si>
    <t xml:space="preserve">814169</t>
  </si>
  <si>
    <t xml:space="preserve">Авт. выкл. NXB-63 3P 10A 6кА х-ка C</t>
  </si>
  <si>
    <t xml:space="preserve">814013</t>
  </si>
  <si>
    <t xml:space="preserve">Авт. выкл. NXB-63 1P 10A 6кА х-ка C</t>
  </si>
  <si>
    <t xml:space="preserve">130200357_</t>
  </si>
  <si>
    <t xml:space="preserve">Шина "N" нулевая ШНИ-6х9-12 комб. с изолятором "Стойка" UNIT</t>
  </si>
  <si>
    <t xml:space="preserve">Toplam: ЩПС — щит противопожарных систем</t>
  </si>
  <si>
    <t xml:space="preserve">ЩГП — щит гарантированного питания</t>
  </si>
  <si>
    <t xml:space="preserve">814175</t>
  </si>
  <si>
    <t xml:space="preserve">Авт. выкл. NXB-63 3P 50A 6кА х-ка C</t>
  </si>
  <si>
    <t xml:space="preserve">814015</t>
  </si>
  <si>
    <t xml:space="preserve">Авт. выкл. NXB-63 1P 20A 6кА х-ка C</t>
  </si>
  <si>
    <t xml:space="preserve">814014</t>
  </si>
  <si>
    <t xml:space="preserve">Авт. выкл. NXB-63 1P 16A 6кА х-ка C</t>
  </si>
  <si>
    <t xml:space="preserve">814989</t>
  </si>
  <si>
    <t xml:space="preserve">Независимый расцепитель SHT-X1 AC230V/400V для NXB-63</t>
  </si>
  <si>
    <t xml:space="preserve">Toplam: ЩГП — щит гарантированного питания</t>
  </si>
  <si>
    <t xml:space="preserve">ЩСоб — щит силовой обогрева</t>
  </si>
  <si>
    <t xml:space="preserve">193181</t>
  </si>
  <si>
    <t xml:space="preserve">Выключатель нагрузки NXHB-125 3P 32A</t>
  </si>
  <si>
    <t xml:space="preserve">DİF</t>
  </si>
  <si>
    <t xml:space="preserve">515374</t>
  </si>
  <si>
    <t xml:space="preserve">Диф. авт. выкл. NXBLE-63YH 1P+N C10 30mA тип A, 6kA</t>
  </si>
  <si>
    <t xml:space="preserve">kontaktör</t>
  </si>
  <si>
    <t xml:space="preserve">256054</t>
  </si>
  <si>
    <t xml:space="preserve">Контактор модульный NCH8-20/20 20A 2НО AC220/230В 50Гц</t>
  </si>
  <si>
    <t xml:space="preserve">050700199_</t>
  </si>
  <si>
    <t xml:space="preserve">Терморегулятор на DIN-рейку RTC 70.26 (аналог РТ-300)</t>
  </si>
  <si>
    <t xml:space="preserve">Toplam: ЩСоб — щит силовой обогрева</t>
  </si>
  <si>
    <t xml:space="preserve">1.2-ЩРв — щит силовой вентиляции</t>
  </si>
  <si>
    <t xml:space="preserve">193183</t>
  </si>
  <si>
    <t xml:space="preserve">Выключатель нагрузки NXHB-125 3P 63A</t>
  </si>
  <si>
    <t xml:space="preserve">814172</t>
  </si>
  <si>
    <t xml:space="preserve">Авт. выкл. NXB-63 3P 25A 6кА х-ка C</t>
  </si>
  <si>
    <t xml:space="preserve">814170</t>
  </si>
  <si>
    <t xml:space="preserve">Авт. выкл. NXB-63 3P 16A 6кА х-ка C</t>
  </si>
  <si>
    <t xml:space="preserve">Toplam: 1.2-ЩРв — щит силовой вентиляции</t>
  </si>
  <si>
    <t xml:space="preserve">2.0-ЩРв — щит силовой вентиляции</t>
  </si>
  <si>
    <t xml:space="preserve">251000349_</t>
  </si>
  <si>
    <t xml:space="preserve">Корпус металлический ЩРН-48 (660x310x120) IP31 EKT</t>
  </si>
  <si>
    <t xml:space="preserve">193185</t>
  </si>
  <si>
    <t xml:space="preserve">Выключатель нагрузки NXHB-125 3P 100A</t>
  </si>
  <si>
    <t xml:space="preserve">814173</t>
  </si>
  <si>
    <t xml:space="preserve">Авт. выкл. NXB-63 3P 32A 6кА х-ка C</t>
  </si>
  <si>
    <t xml:space="preserve">100300021_</t>
  </si>
  <si>
    <t xml:space="preserve">Провод ПВ3-35 (ПуГВ)</t>
  </si>
  <si>
    <t xml:space="preserve">Toplam: 2.0-ЩРв — щит силовой вентиляции</t>
  </si>
  <si>
    <t xml:space="preserve">3.0-ЩРв — щит силовой вентиляции</t>
  </si>
  <si>
    <t xml:space="preserve">Toplam: 3.0-ЩРв — щит силовой вентиляции</t>
  </si>
  <si>
    <t xml:space="preserve">1.0-ЩРк — щит силовой кондиционеров</t>
  </si>
  <si>
    <t xml:space="preserve">193186</t>
  </si>
  <si>
    <t xml:space="preserve">Выключатель нагрузки NXHB-125 3P 125A</t>
  </si>
  <si>
    <t xml:space="preserve">Диф. авт. выкл. NXBLE-63YH 3P+N C32 30mA тип A, 6kA</t>
  </si>
  <si>
    <t xml:space="preserve">Диф. авт. выкл. NXBLE-63YH 3P+N C25 30mA тип A, 6kA</t>
  </si>
  <si>
    <t xml:space="preserve">Диф. авт. выкл. NXBLE-63YH 3P+N C20 30mA тип AC, 6kA</t>
  </si>
  <si>
    <t xml:space="preserve">Toplam: 1.0-ЩРк — щит силовой кондиционеров</t>
  </si>
  <si>
    <t xml:space="preserve">2.0-ЩРк — щит силовой кондиционеров</t>
  </si>
  <si>
    <t xml:space="preserve">Диф. авт. выкл. NXBLE-63YH 3P+N C16 30mA тип A, 6kA</t>
  </si>
  <si>
    <t xml:space="preserve">515395</t>
  </si>
  <si>
    <t xml:space="preserve">Диф. авт. выкл. NXBLE-63YH 1P+N C25 30mA тип A, 6kA</t>
  </si>
  <si>
    <t xml:space="preserve">Toplam: 2.0-ЩРк — щит силовой кондиционеров</t>
  </si>
  <si>
    <t xml:space="preserve">3.0-ЩРк — щит силовой кондиционеров</t>
  </si>
  <si>
    <t xml:space="preserve">Диф. авт. выкл. NXBLE-63YH 3P+N C40 30mA тип A, 6kA</t>
  </si>
  <si>
    <t xml:space="preserve">Toplam: 3.0-ЩРк — щит силовой кондиционеров</t>
  </si>
  <si>
    <t xml:space="preserve">1.0-ЩР-1 / 2.0-ЩР-1 — щит силовой</t>
  </si>
  <si>
    <t xml:space="preserve">Материалы указаны на 1 щит; комплектов: 2</t>
  </si>
  <si>
    <t xml:space="preserve">250600012_</t>
  </si>
  <si>
    <t xml:space="preserve">Корпус пластиковый ЩРН-П-36 IP41 навесной IEK</t>
  </si>
  <si>
    <t xml:space="preserve">Диф. авт. выкл. NXBLE-63YH 1P+N C16 30mA тип A, 6kA</t>
  </si>
  <si>
    <t xml:space="preserve">Toplam: 1.0-ЩР-1 / 2.0-ЩР-1 — щит силовой</t>
  </si>
  <si>
    <t xml:space="preserve">1.1-ЩР-1 — щит силовой</t>
  </si>
  <si>
    <t xml:space="preserve">251000347_</t>
  </si>
  <si>
    <t xml:space="preserve">Корпус металлический ЩРВ-48 (670x320x120) IP31 EKT</t>
  </si>
  <si>
    <t xml:space="preserve">Toplam: 1.1-ЩР-1 — щит силовой</t>
  </si>
  <si>
    <t xml:space="preserve">1.2-ЩР-1 — щит силовой</t>
  </si>
  <si>
    <t xml:space="preserve">Toplam: 1.2-ЩР-1 — щит силовой</t>
  </si>
  <si>
    <t xml:space="preserve">2.1-ЩР-1 — щит силовой (пищеблок)</t>
  </si>
  <si>
    <t xml:space="preserve">Toplam: 2.1-ЩР-1 — щит силовой (пищеблок)</t>
  </si>
  <si>
    <t xml:space="preserve">2.1-ЩР-2 — щит силовой</t>
  </si>
  <si>
    <t xml:space="preserve">Диф. авт. выкл. NXBLE-63YH 3P+N C10 30mA тип A, 6kA</t>
  </si>
  <si>
    <t xml:space="preserve">515388</t>
  </si>
  <si>
    <t xml:space="preserve">Диф. авт. выкл. NXBLE-63YH 1P+N C20 30mA тип A, 6kA</t>
  </si>
  <si>
    <t xml:space="preserve">Toplam: 2.1-ЩР-2 — щит силовой</t>
  </si>
  <si>
    <t xml:space="preserve">2.1-ЩР-3 — щит силовой</t>
  </si>
  <si>
    <t xml:space="preserve">Toplam: 2.1-ЩР-3 — щит силовой</t>
  </si>
  <si>
    <t xml:space="preserve">2.1-ЩР-4(хол) — щит силовой</t>
  </si>
  <si>
    <t xml:space="preserve">515402</t>
  </si>
  <si>
    <t xml:space="preserve">Диф. авт. выкл. NXBLE-63YH 1P+N C32 30mA тип A, 6kA</t>
  </si>
  <si>
    <t xml:space="preserve">Toplam: 2.1-ЩР-4(хол) — щит силовой</t>
  </si>
  <si>
    <t xml:space="preserve">2.1-ЩР-5 — щит силовой</t>
  </si>
  <si>
    <t xml:space="preserve">250600009_</t>
  </si>
  <si>
    <t xml:space="preserve">Корпус пластиковый ЩРН-П-24 IP41 навесной IEK</t>
  </si>
  <si>
    <t xml:space="preserve">Toplam: 2.1-ЩР-5 — щит силовой</t>
  </si>
  <si>
    <t xml:space="preserve">2.2-ЩР-1 — щит силовой</t>
  </si>
  <si>
    <t xml:space="preserve">Toplam: 2.2-ЩР-1 — щит силовой</t>
  </si>
  <si>
    <t xml:space="preserve">3.0-ЩР-1 — щит силовой</t>
  </si>
  <si>
    <t xml:space="preserve">Toplam: 3.0-ЩР-1 — щит силовой</t>
  </si>
  <si>
    <t xml:space="preserve">3.1-ЩР-1 — щит силовой (прачечная)</t>
  </si>
  <si>
    <t xml:space="preserve">250200150_</t>
  </si>
  <si>
    <t xml:space="preserve">Корпус металлический ЩРВ-36 (550x320x120) IP31 EKT</t>
  </si>
  <si>
    <t xml:space="preserve">Toplam: 3.1-ЩР-1 — щит силовой (прачечная)</t>
  </si>
  <si>
    <t xml:space="preserve">3.1-ЩР-2/3, 3.2-ЩР-2/3, 3.3-ЩР-1/2, 3.4-ЩР-1/2 — щит силовой</t>
  </si>
  <si>
    <t xml:space="preserve">Материалы указаны на 1 щит; комплектов: 8</t>
  </si>
  <si>
    <t xml:space="preserve">Toplam: 3.1-ЩР-2/3, 3.2-ЩР-2/3, 3.3-ЩР-1/2, 3.4-ЩР-1/2 — щит силовой</t>
  </si>
  <si>
    <t xml:space="preserve">3.2-ЩР-1 — щит силовой</t>
  </si>
  <si>
    <t xml:space="preserve">Toplam: 3.2-ЩР-1 — щит силовой</t>
  </si>
  <si>
    <t xml:space="preserve">1.0-ЩО-1, 2.0-ЩО-1, 3.0-ЩО-1 — щит освещения</t>
  </si>
  <si>
    <t xml:space="preserve">Материалы указаны на 1 щит; комплектов: 3</t>
  </si>
  <si>
    <t xml:space="preserve">280300588_</t>
  </si>
  <si>
    <t xml:space="preserve">Корпус металлический ЩРН-24 (395x310x120) IP31</t>
  </si>
  <si>
    <t xml:space="preserve">Toplam: 1.0-ЩО-1, 2.0-ЩО-1, 3.0-ЩО-1 — щит освещения</t>
  </si>
  <si>
    <t xml:space="preserve">3.1-ЩО-2, 1.2-ЩО-1, 2.2-ЩО-1, 3.2-ЩО-2, 3.3-ЩО-1/2, 3.4-ЩО-1/2 — щит освещения</t>
  </si>
  <si>
    <t xml:space="preserve">250200085_</t>
  </si>
  <si>
    <t xml:space="preserve">Корпус металлический ЩРВ-24 (405x320x120) IP31 EKT</t>
  </si>
  <si>
    <t xml:space="preserve">Toplam: 3.1-ЩО-2, 1.2-ЩО-1, 2.2-ЩО-1, 3.2-ЩО-2, 3.3-ЩО-1/2, 3.4-ЩО-1/2 — щит освещения</t>
  </si>
  <si>
    <t xml:space="preserve">3.1-ЩО-1, 3.2-ЩО-1 — щит освещения</t>
  </si>
  <si>
    <t xml:space="preserve">Toplam: 3.1-ЩО-1, 3.2-ЩО-1 — щит освещения</t>
  </si>
  <si>
    <t xml:space="preserve">1.1-ЩО-1, 2.1-ЩО-1 — щит освещения</t>
  </si>
  <si>
    <t xml:space="preserve">Toplam: 1.1-ЩО-1, 2.1-ЩО-1 — щит освещения</t>
  </si>
  <si>
    <t xml:space="preserve">1.0-ЩАО-1, 2.0-ЩАО-1 — щит аварийного освещения</t>
  </si>
  <si>
    <t xml:space="preserve">Toplam: 1.0-ЩАО-1, 2.0-ЩАО-1 — щит аварийного освещения</t>
  </si>
  <si>
    <t xml:space="preserve">3.0-ЩАО-1 — щит аварийного освещения</t>
  </si>
  <si>
    <t xml:space="preserve">Toplam: 3.0-ЩАО-1 — щит аварийного освещения</t>
  </si>
  <si>
    <t xml:space="preserve">Щиток лифта (в корпусе в лифтовой шахте)</t>
  </si>
  <si>
    <t xml:space="preserve">250600010_</t>
  </si>
  <si>
    <t xml:space="preserve">Корпус пластиковый ЩРН-П-6 IP41 навесной IEK</t>
  </si>
  <si>
    <t xml:space="preserve">Toplam: Щиток лифта (в корпусе в лифтовой шахте)</t>
  </si>
  <si>
    <t xml:space="preserve">ЩУ(бассейн) — щит управления IP65, 24 мод.</t>
  </si>
  <si>
    <t xml:space="preserve">Пылевлагозащищенный щит с замком DB4-24G IP65</t>
  </si>
  <si>
    <t xml:space="preserve">814012</t>
  </si>
  <si>
    <t xml:space="preserve">Авт. выкл. NXB-63 1P 6A 6кА х-ка C</t>
  </si>
  <si>
    <t xml:space="preserve">495079</t>
  </si>
  <si>
    <t xml:space="preserve">Пускатель (авт. защиты двигателя) NS2-25 2.5-4A</t>
  </si>
  <si>
    <t xml:space="preserve">495080</t>
  </si>
  <si>
    <t xml:space="preserve">Пускатель (авт. защиты двигателя) NS2-25 4-6.3A</t>
  </si>
  <si>
    <t xml:space="preserve">Toplam: ЩУ(бассейн) — щит управления IP65, 24 мод.</t>
  </si>
  <si>
    <t xml:space="preserve">КВ — контакторы вентиляторов (россыпью)</t>
  </si>
  <si>
    <t xml:space="preserve">Контактор NXC-09 9A 220В/АС3 1НО+1НЗ 50Гц</t>
  </si>
  <si>
    <t xml:space="preserve">Toplam: КВ — контакторы вентиляторов (россыпью)</t>
  </si>
  <si>
    <t xml:space="preserve">ЯТП — ящик с понижающим трансформатором 220/36В</t>
  </si>
  <si>
    <t xml:space="preserve">270300003_</t>
  </si>
  <si>
    <t xml:space="preserve">Ящик с понижающим трансформатором ЯТП(укп) 220/36В IEK</t>
  </si>
  <si>
    <t xml:space="preserve">lamb</t>
  </si>
  <si>
    <t xml:space="preserve">081100766_</t>
  </si>
  <si>
    <t xml:space="preserve">Светильник LED переносной ДРО 2060 IP44, шнур 10 м</t>
  </si>
  <si>
    <t xml:space="preserve">Toplam: ЯТП — ящик с понижающим трансформатором 220/36В</t>
  </si>
  <si>
    <t xml:space="preserve">KONTROL / KAPSAM DIŞI — цены не включены в итог, количества реальные</t>
  </si>
  <si>
    <t xml:space="preserve">ЯУВ1.3/4</t>
  </si>
  <si>
    <t xml:space="preserve">КОНТРОЛЬ</t>
  </si>
  <si>
    <t xml:space="preserve">NKU10-RUSM-51352874-01</t>
  </si>
  <si>
    <t xml:space="preserve">Ящик управления РУСМ5135-2874 нереверсивный 2 фидера, 6А IP54</t>
  </si>
  <si>
    <t xml:space="preserve">Прайс-листе отсутствует — цена запрашивается</t>
  </si>
  <si>
    <t xml:space="preserve">АВР</t>
  </si>
  <si>
    <t xml:space="preserve">АВР 100А на 3 ввода (в комплекте с ДГУ), см. лист 5</t>
  </si>
  <si>
    <t xml:space="preserve">Поставляется с ДГУ — вне объёма щитового производства</t>
  </si>
  <si>
    <t xml:space="preserve">ШУП1.1 / ШУП1.2</t>
  </si>
  <si>
    <t xml:space="preserve">Шкаф управления приточной машины П1.1, П1.2</t>
  </si>
  <si>
    <t xml:space="preserve">Поставляется в комплекте с оборудованием (ОВ)</t>
  </si>
  <si>
    <t xml:space="preserve">ШУП2.1 / 2.2 / 2.3</t>
  </si>
  <si>
    <t xml:space="preserve">Шкаф управления приточной машины П2.1, П2.2, П2.3</t>
  </si>
  <si>
    <t xml:space="preserve">ШУП3.1 / 3.2 / 3.3</t>
  </si>
  <si>
    <t xml:space="preserve">Шкаф управления приточной машины П3.1, П3.2, П3.3</t>
  </si>
  <si>
    <t xml:space="preserve">ШУ-ПНС</t>
  </si>
  <si>
    <t xml:space="preserve">Шкаф управления насосной станции пожаротушения</t>
  </si>
  <si>
    <t xml:space="preserve">Поставляется в комплекте с оборудованием (АПС)</t>
  </si>
  <si>
    <t xml:space="preserve">ШУЗ1 / ШУЗ2</t>
  </si>
  <si>
    <t xml:space="preserve">Шкаф управления задвижкой</t>
  </si>
  <si>
    <t xml:space="preserve">ШУДП1</t>
  </si>
  <si>
    <t xml:space="preserve">Шкаф управления подпора дыма</t>
  </si>
  <si>
    <t xml:space="preserve">ШУТП</t>
  </si>
  <si>
    <t xml:space="preserve">Шкаф управления ТП</t>
  </si>
  <si>
    <t xml:space="preserve">Поставляется в комплекте с оборудованием</t>
  </si>
  <si>
    <t xml:space="preserve">ШУЛ</t>
  </si>
  <si>
    <t xml:space="preserve">Шкаф управления лифта</t>
  </si>
  <si>
    <t xml:space="preserve">Поставляется в комплекте с лифтом</t>
  </si>
  <si>
    <t xml:space="preserve">ШУС / ШУХ / ШУ(б)</t>
  </si>
  <si>
    <t xml:space="preserve">Шкаф управления сауны, хамама, бассейна</t>
  </si>
  <si>
    <t xml:space="preserve">ШУ-НС</t>
  </si>
  <si>
    <t xml:space="preserve">Шкаф управления насосной станции</t>
  </si>
  <si>
    <t xml:space="preserve">ЩУ(бассейн) кабель</t>
  </si>
  <si>
    <t xml:space="preserve">Кабель ВВГнг(А) 3х1,5 мм² (в составе ЩУ бассейна)</t>
  </si>
  <si>
    <t xml:space="preserve">Внешний монтаж — вне щита</t>
  </si>
  <si>
    <t xml:space="preserve">ЩУ(бассейн) труба</t>
  </si>
  <si>
    <t xml:space="preserve">Труба жёсткая ПВХ Ø20 мм (в составе ЩУ бассейна)</t>
  </si>
  <si>
    <t xml:space="preserve">Щит кондиц. / Щит распред.</t>
  </si>
  <si>
    <t xml:space="preserve">Резервные ячейки ВРУ (Резерв) — аппараты учтены в составе ВРУ</t>
  </si>
  <si>
    <t xml:space="preserve">Резерв, аппараты уже включены в ВРУ</t>
  </si>
  <si>
    <t xml:space="preserve">Наименование щита</t>
  </si>
  <si>
    <t xml:space="preserve">Кол-во компл.</t>
  </si>
  <si>
    <t xml:space="preserve">Сумма за 1 компл., ₸</t>
  </si>
  <si>
    <t xml:space="preserve">Итого, ₸</t>
  </si>
  <si>
    <t xml:space="preserve">ИТОГО по щитам (без НДС)</t>
  </si>
  <si>
    <t xml:space="preserve">Примечание: позиции блока «KONTROL / KAPSAM DIŞI» в листе BOM в итог не входят — см. лист Kurallar, разделы 4–7.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</si>
</sst>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.mm\.yyyy"/>
    <numFmt numFmtId="166" formatCode="0.00"/>
    <numFmt numFmtId="167" formatCode="0"/>
    <numFmt numFmtId="168" formatCode="0.0"/>
    <numFmt numFmtId="169" formatCode="#,##0"/>
    <numFmt numFmtId="170" formatCode="#,##0.##"/>
    <numFmt numFmtId="171" formatCode="#,##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BDD7EE"/>
      </patternFill>
    </fill>
    <fill>
      <patternFill patternType="solid">
        <fgColor rgb="FFFCE4D6"/>
        <bgColor rgb="FFF2F2F2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2" t="s">
        <v>2</v>
      </c>
    </row>
    <row r="3" customFormat="false" ht="15" hidden="false" customHeight="false" outlineLevel="0" collapsed="false">
      <c r="A3" s="1" t="s">
        <v>3</v>
      </c>
      <c r="B3" s="3" t="n">
        <v>46232</v>
      </c>
    </row>
    <row r="4" customFormat="false" ht="15" hidden="false" customHeight="false" outlineLevel="0" collapsed="false">
      <c r="A4" s="1" t="s">
        <v>4</v>
      </c>
      <c r="B4" s="2" t="s">
        <v>5</v>
      </c>
    </row>
    <row r="5" customFormat="false" ht="15" hidden="false" customHeight="false" outlineLevel="0" collapsed="false">
      <c r="A5" s="1" t="s">
        <v>6</v>
      </c>
      <c r="B5" s="2" t="s">
        <v>7</v>
      </c>
    </row>
    <row r="7" customFormat="false" ht="15" hidden="false" customHeight="false" outlineLevel="0" collapsed="false">
      <c r="A7" s="4" t="s">
        <v>8</v>
      </c>
      <c r="B7" s="4"/>
      <c r="C7" s="4"/>
      <c r="D7" s="4"/>
    </row>
    <row r="8" customFormat="false" ht="15" hidden="false" customHeight="false" outlineLevel="0" collapsed="false">
      <c r="A8" s="4" t="s">
        <v>9</v>
      </c>
      <c r="B8" s="4" t="s">
        <v>10</v>
      </c>
      <c r="C8" s="4" t="s">
        <v>11</v>
      </c>
      <c r="D8" s="4" t="s">
        <v>12</v>
      </c>
    </row>
    <row r="9" customFormat="false" ht="15" hidden="false" customHeight="false" outlineLevel="0" collapsed="false">
      <c r="A9" s="2" t="s">
        <v>13</v>
      </c>
      <c r="B9" s="5" t="n">
        <v>0.03</v>
      </c>
      <c r="C9" s="2" t="s">
        <v>14</v>
      </c>
      <c r="D9" s="2" t="s">
        <v>15</v>
      </c>
    </row>
    <row r="10" customFormat="false" ht="15" hidden="false" customHeight="false" outlineLevel="0" collapsed="false">
      <c r="A10" s="2" t="s">
        <v>16</v>
      </c>
      <c r="B10" s="6" t="n">
        <v>100</v>
      </c>
      <c r="C10" s="2" t="s">
        <v>17</v>
      </c>
      <c r="D10" s="2" t="s">
        <v>18</v>
      </c>
    </row>
    <row r="11" customFormat="false" ht="15" hidden="false" customHeight="false" outlineLevel="0" collapsed="false">
      <c r="A11" s="2" t="s">
        <v>19</v>
      </c>
      <c r="B11" s="5" t="n">
        <v>1.15</v>
      </c>
      <c r="C11" s="2" t="s">
        <v>20</v>
      </c>
      <c r="D11" s="2" t="s">
        <v>21</v>
      </c>
    </row>
    <row r="12" customFormat="false" ht="15" hidden="false" customHeight="false" outlineLevel="0" collapsed="false">
      <c r="A12" s="2" t="s">
        <v>22</v>
      </c>
      <c r="B12" s="6" t="n">
        <v>12</v>
      </c>
      <c r="C12" s="2" t="s">
        <v>23</v>
      </c>
      <c r="D12" s="2" t="s">
        <v>24</v>
      </c>
    </row>
    <row r="13" customFormat="false" ht="15" hidden="false" customHeight="false" outlineLevel="0" collapsed="false">
      <c r="A13" s="2" t="s">
        <v>25</v>
      </c>
      <c r="B13" s="6" t="n">
        <v>18</v>
      </c>
      <c r="C13" s="2" t="s">
        <v>23</v>
      </c>
      <c r="D13" s="2" t="s">
        <v>26</v>
      </c>
    </row>
    <row r="15" customFormat="false" ht="15" hidden="false" customHeight="false" outlineLevel="0" collapsed="false">
      <c r="A15" s="4" t="s">
        <v>27</v>
      </c>
      <c r="B15" s="4"/>
      <c r="C15" s="4"/>
      <c r="D15" s="4"/>
      <c r="E15" s="4"/>
      <c r="F15" s="4"/>
    </row>
    <row r="16" customFormat="false" ht="15" hidden="false" customHeight="false" outlineLevel="0" collapsed="false">
      <c r="A16" s="7" t="s">
        <v>6</v>
      </c>
      <c r="B16" s="7" t="s">
        <v>28</v>
      </c>
      <c r="C16" s="7" t="s">
        <v>29</v>
      </c>
      <c r="D16" s="7" t="s">
        <v>30</v>
      </c>
      <c r="E16" s="7" t="s">
        <v>31</v>
      </c>
      <c r="F16" s="7" t="s">
        <v>32</v>
      </c>
    </row>
    <row r="17" customFormat="false" ht="15" hidden="false" customHeight="false" outlineLevel="0" collapsed="false">
      <c r="A17" s="2" t="s">
        <v>33</v>
      </c>
      <c r="B17" s="5" t="n">
        <v>0.6</v>
      </c>
      <c r="C17" s="3" t="n">
        <v>46231</v>
      </c>
      <c r="D17" s="8" t="n">
        <f aca="false">ROUND(($B$3-C17)/30.44,1)</f>
        <v>0</v>
      </c>
      <c r="E17" s="2" t="str">
        <f aca="false">IF(D17&lt;=$B$12,"KULLANILABİLİR",IF(D17&lt;=$B$13,"UYARI — teyit et","YASAK — fiyat güncellenmeli"))</f>
        <v>KULLANILABİLİR</v>
      </c>
      <c r="F17" s="2" t="s">
        <v>34</v>
      </c>
    </row>
    <row r="18" customFormat="false" ht="15" hidden="false" customHeight="false" outlineLevel="0" collapsed="false">
      <c r="A18" s="2" t="s">
        <v>35</v>
      </c>
      <c r="B18" s="5" t="n">
        <v>1</v>
      </c>
      <c r="C18" s="3" t="n">
        <v>46023</v>
      </c>
      <c r="D18" s="8" t="n">
        <f aca="false">ROUND(($B$3-C18)/30.44,1)</f>
        <v>6.9</v>
      </c>
      <c r="E18" s="2" t="str">
        <f aca="false">IF(D18&lt;=$B$12,"KULLANILABİLİR",IF(D18&lt;=$B$13,"UYARI — teyit et","YASAK — fiyat güncellenmeli"))</f>
        <v>KULLANILABİLİR</v>
      </c>
      <c r="F18" s="2" t="s">
        <v>36</v>
      </c>
    </row>
    <row r="19" customFormat="false" ht="15" hidden="false" customHeight="false" outlineLevel="0" collapsed="false">
      <c r="A19" s="2" t="s">
        <v>37</v>
      </c>
      <c r="B19" s="5" t="n">
        <v>1</v>
      </c>
      <c r="C19" s="3" t="n">
        <v>45827</v>
      </c>
      <c r="D19" s="8" t="n">
        <f aca="false">ROUND(($B$3-C19)/30.44,1)</f>
        <v>13.3</v>
      </c>
      <c r="E19" s="2" t="str">
        <f aca="false">IF(D19&lt;=$B$12,"KULLANILABİLİR",IF(D19&lt;=$B$13,"UYARI — teyit et","YASAK — fiyat güncellenmeli"))</f>
        <v>UYARI — teyit et</v>
      </c>
      <c r="F19" s="2" t="s">
        <v>38</v>
      </c>
    </row>
    <row r="20" customFormat="false" ht="15" hidden="false" customHeight="false" outlineLevel="0" collapsed="false">
      <c r="A20" s="2" t="s">
        <v>39</v>
      </c>
      <c r="B20" s="5" t="n">
        <v>1</v>
      </c>
      <c r="C20" s="3" t="n">
        <v>45827</v>
      </c>
      <c r="D20" s="8" t="n">
        <f aca="false">ROUND(($B$3-C20)/30.44,1)</f>
        <v>13.3</v>
      </c>
      <c r="E20" s="2" t="str">
        <f aca="false">IF(D20&lt;=$B$12,"KULLANILABİLİR",IF(D20&lt;=$B$13,"UYARI — teyit et","YASAK — fiyat güncellenmeli"))</f>
        <v>UYARI — teyit et</v>
      </c>
      <c r="F20" s="2" t="s">
        <v>38</v>
      </c>
    </row>
    <row r="21" customFormat="false" ht="15" hidden="false" customHeight="false" outlineLevel="0" collapsed="false">
      <c r="A21" s="2" t="s">
        <v>40</v>
      </c>
      <c r="B21" s="5" t="n">
        <v>1</v>
      </c>
      <c r="C21" s="3" t="n">
        <v>45827</v>
      </c>
      <c r="D21" s="8" t="n">
        <f aca="false">ROUND(($B$3-C21)/30.44,1)</f>
        <v>13.3</v>
      </c>
      <c r="E21" s="2" t="str">
        <f aca="false">IF(D21&lt;=$B$12,"KULLANILABİLİR",IF(D21&lt;=$B$13,"UYARI — teyit et","YASAK — fiyat güncellenmeli"))</f>
        <v>UYARI — teyit et</v>
      </c>
      <c r="F21" s="2" t="s">
        <v>38</v>
      </c>
    </row>
    <row r="22" customFormat="false" ht="15" hidden="false" customHeight="false" outlineLevel="0" collapsed="false">
      <c r="A22" s="2" t="s">
        <v>41</v>
      </c>
      <c r="B22" s="5" t="n">
        <v>1</v>
      </c>
      <c r="C22" s="3" t="n">
        <v>45827</v>
      </c>
      <c r="D22" s="8" t="n">
        <f aca="false">ROUND(($B$3-C22)/30.44,1)</f>
        <v>13.3</v>
      </c>
      <c r="E22" s="2" t="str">
        <f aca="false">IF(D22&lt;=$B$12,"KULLANILABİLİR",IF(D22&lt;=$B$13,"UYARI — teyit et","YASAK — fiyat güncellenmeli"))</f>
        <v>UYARI — teyit et</v>
      </c>
      <c r="F22" s="2" t="s">
        <v>38</v>
      </c>
    </row>
    <row r="25" customFormat="false" ht="15" hidden="false" customHeight="false" outlineLevel="0" collapsed="false">
      <c r="A25" s="4" t="s">
        <v>42</v>
      </c>
      <c r="B25" s="4"/>
      <c r="C25" s="4"/>
      <c r="D25" s="4"/>
    </row>
    <row r="26" customFormat="false" ht="15" hidden="false" customHeight="false" outlineLevel="0" collapsed="false">
      <c r="A26" s="4" t="s">
        <v>43</v>
      </c>
      <c r="B26" s="4" t="s">
        <v>12</v>
      </c>
      <c r="C26" s="4" t="s">
        <v>44</v>
      </c>
      <c r="D26" s="4" t="s">
        <v>11</v>
      </c>
    </row>
    <row r="27" customFormat="false" ht="15" hidden="false" customHeight="false" outlineLevel="0" collapsed="false">
      <c r="A27" s="2" t="s">
        <v>45</v>
      </c>
      <c r="B27" s="2" t="s">
        <v>46</v>
      </c>
      <c r="C27" s="6" t="n">
        <v>10</v>
      </c>
      <c r="D27" s="2" t="s">
        <v>47</v>
      </c>
    </row>
    <row r="28" customFormat="false" ht="15" hidden="false" customHeight="false" outlineLevel="0" collapsed="false">
      <c r="A28" s="2" t="s">
        <v>48</v>
      </c>
      <c r="B28" s="2" t="s">
        <v>49</v>
      </c>
      <c r="C28" s="6" t="n">
        <v>18</v>
      </c>
      <c r="D28" s="2" t="s">
        <v>47</v>
      </c>
    </row>
    <row r="29" customFormat="false" ht="15" hidden="false" customHeight="false" outlineLevel="0" collapsed="false">
      <c r="A29" s="2" t="s">
        <v>50</v>
      </c>
      <c r="B29" s="2" t="s">
        <v>51</v>
      </c>
      <c r="C29" s="6" t="n">
        <v>14</v>
      </c>
      <c r="D29" s="2" t="s">
        <v>47</v>
      </c>
    </row>
    <row r="30" customFormat="false" ht="15" hidden="false" customHeight="false" outlineLevel="0" collapsed="false">
      <c r="A30" s="2" t="s">
        <v>52</v>
      </c>
      <c r="B30" s="2" t="s">
        <v>53</v>
      </c>
      <c r="C30" s="6" t="n">
        <v>22</v>
      </c>
      <c r="D30" s="2" t="s">
        <v>47</v>
      </c>
    </row>
    <row r="31" customFormat="false" ht="15" hidden="false" customHeight="false" outlineLevel="0" collapsed="false">
      <c r="A31" s="2" t="s">
        <v>54</v>
      </c>
      <c r="B31" s="2" t="s">
        <v>55</v>
      </c>
      <c r="C31" s="6" t="n">
        <v>60</v>
      </c>
      <c r="D31" s="2" t="s">
        <v>47</v>
      </c>
    </row>
    <row r="32" customFormat="false" ht="15" hidden="false" customHeight="false" outlineLevel="0" collapsed="false">
      <c r="A32" s="2" t="s">
        <v>56</v>
      </c>
      <c r="B32" s="2" t="s">
        <v>57</v>
      </c>
      <c r="C32" s="6" t="n">
        <v>45</v>
      </c>
      <c r="D32" s="2" t="s">
        <v>47</v>
      </c>
    </row>
    <row r="33" customFormat="false" ht="15" hidden="false" customHeight="false" outlineLevel="0" collapsed="false">
      <c r="A33" s="2" t="s">
        <v>58</v>
      </c>
      <c r="B33" s="2" t="s">
        <v>59</v>
      </c>
      <c r="C33" s="6" t="n">
        <v>90</v>
      </c>
      <c r="D33" s="2" t="s">
        <v>47</v>
      </c>
    </row>
    <row r="34" customFormat="false" ht="15" hidden="false" customHeight="false" outlineLevel="0" collapsed="false">
      <c r="A34" s="2" t="s">
        <v>60</v>
      </c>
      <c r="B34" s="2" t="s">
        <v>61</v>
      </c>
      <c r="C34" s="6" t="n">
        <v>90</v>
      </c>
      <c r="D34" s="2" t="s">
        <v>47</v>
      </c>
    </row>
    <row r="35" customFormat="false" ht="15" hidden="false" customHeight="false" outlineLevel="0" collapsed="false">
      <c r="A35" s="2" t="s">
        <v>62</v>
      </c>
      <c r="B35" s="2" t="s">
        <v>63</v>
      </c>
      <c r="C35" s="6" t="n">
        <v>30</v>
      </c>
      <c r="D35" s="2" t="s">
        <v>47</v>
      </c>
    </row>
    <row r="36" customFormat="false" ht="15" hidden="false" customHeight="false" outlineLevel="0" collapsed="false">
      <c r="A36" s="2" t="s">
        <v>64</v>
      </c>
      <c r="B36" s="2" t="s">
        <v>65</v>
      </c>
      <c r="C36" s="6" t="n">
        <v>20</v>
      </c>
      <c r="D36" s="2" t="s">
        <v>47</v>
      </c>
    </row>
    <row r="37" customFormat="false" ht="15" hidden="false" customHeight="false" outlineLevel="0" collapsed="false">
      <c r="A37" s="2" t="s">
        <v>66</v>
      </c>
      <c r="B37" s="2" t="s">
        <v>67</v>
      </c>
      <c r="C37" s="6" t="n">
        <v>10</v>
      </c>
      <c r="D37" s="2" t="s">
        <v>47</v>
      </c>
    </row>
    <row r="38" customFormat="false" ht="15" hidden="false" customHeight="false" outlineLevel="0" collapsed="false">
      <c r="A38" s="2" t="s">
        <v>68</v>
      </c>
      <c r="B38" s="2" t="s">
        <v>69</v>
      </c>
      <c r="C38" s="6" t="n">
        <v>10</v>
      </c>
      <c r="D38" s="2" t="s">
        <v>47</v>
      </c>
    </row>
    <row r="39" customFormat="false" ht="15" hidden="false" customHeight="false" outlineLevel="0" collapsed="false">
      <c r="A39" s="2" t="s">
        <v>70</v>
      </c>
      <c r="B39" s="2" t="s">
        <v>71</v>
      </c>
      <c r="C39" s="6" t="n">
        <v>4</v>
      </c>
      <c r="D39" s="2" t="s">
        <v>47</v>
      </c>
    </row>
    <row r="40" customFormat="false" ht="15" hidden="false" customHeight="false" outlineLevel="0" collapsed="false">
      <c r="A40" s="2" t="s">
        <v>72</v>
      </c>
      <c r="B40" s="2" t="s">
        <v>73</v>
      </c>
      <c r="C40" s="6" t="n">
        <v>10</v>
      </c>
      <c r="D40" s="2" t="s">
        <v>47</v>
      </c>
    </row>
    <row r="41" customFormat="false" ht="15" hidden="false" customHeight="false" outlineLevel="0" collapsed="false">
      <c r="A41" s="2" t="s">
        <v>74</v>
      </c>
      <c r="B41" s="2" t="s">
        <v>75</v>
      </c>
      <c r="C41" s="6" t="n">
        <v>45</v>
      </c>
      <c r="D41" s="2" t="s">
        <v>76</v>
      </c>
    </row>
    <row r="42" customFormat="false" ht="15" hidden="false" customHeight="false" outlineLevel="0" collapsed="false">
      <c r="A42" s="2" t="s">
        <v>77</v>
      </c>
      <c r="B42" s="2" t="s">
        <v>78</v>
      </c>
      <c r="C42" s="6" t="n">
        <v>5</v>
      </c>
      <c r="D42" s="2" t="s">
        <v>76</v>
      </c>
    </row>
    <row r="43" customFormat="false" ht="15" hidden="false" customHeight="false" outlineLevel="0" collapsed="false">
      <c r="A43" s="2" t="s">
        <v>79</v>
      </c>
      <c r="B43" s="2" t="s">
        <v>80</v>
      </c>
      <c r="C43" s="6" t="n">
        <v>5</v>
      </c>
      <c r="D43" s="2" t="s">
        <v>76</v>
      </c>
    </row>
    <row r="44" customFormat="false" ht="15" hidden="false" customHeight="false" outlineLevel="0" collapsed="false">
      <c r="A44" s="2" t="s">
        <v>81</v>
      </c>
      <c r="B44" s="2" t="s">
        <v>82</v>
      </c>
      <c r="C44" s="6" t="n">
        <v>30</v>
      </c>
      <c r="D44" s="2" t="s">
        <v>47</v>
      </c>
    </row>
    <row r="45" customFormat="false" ht="15" hidden="false" customHeight="false" outlineLevel="0" collapsed="false">
      <c r="A45" s="2" t="s">
        <v>83</v>
      </c>
      <c r="B45" s="2" t="s">
        <v>84</v>
      </c>
      <c r="C45" s="6" t="n">
        <v>45</v>
      </c>
      <c r="D45" s="2" t="s">
        <v>47</v>
      </c>
    </row>
    <row r="46" customFormat="false" ht="15" hidden="false" customHeight="false" outlineLevel="0" collapsed="false">
      <c r="A46" s="2" t="s">
        <v>85</v>
      </c>
      <c r="B46" s="2" t="s">
        <v>86</v>
      </c>
      <c r="C46" s="6" t="n">
        <v>90</v>
      </c>
      <c r="D46" s="2" t="s">
        <v>47</v>
      </c>
    </row>
    <row r="49" customFormat="false" ht="15" hidden="false" customHeight="false" outlineLevel="0" collapsed="false">
      <c r="A49" s="9" t="s">
        <v>87</v>
      </c>
      <c r="B49" s="10"/>
      <c r="C49" s="10"/>
      <c r="D49" s="10"/>
      <c r="E49" s="10"/>
      <c r="F49" s="10"/>
    </row>
    <row r="50" customFormat="false" ht="23.85" hidden="false" customHeight="false" outlineLevel="0" collapsed="false">
      <c r="A50" s="11" t="s">
        <v>88</v>
      </c>
      <c r="B50" s="11" t="s">
        <v>89</v>
      </c>
      <c r="C50" s="11" t="s">
        <v>90</v>
      </c>
      <c r="D50" s="11" t="s">
        <v>91</v>
      </c>
      <c r="E50" s="11" t="s">
        <v>92</v>
      </c>
      <c r="F50" s="11" t="s">
        <v>93</v>
      </c>
    </row>
    <row r="51" customFormat="false" ht="46.25" hidden="false" customHeight="false" outlineLevel="0" collapsed="false">
      <c r="A51" s="12" t="s">
        <v>94</v>
      </c>
      <c r="B51" s="12" t="s">
        <v>95</v>
      </c>
      <c r="C51" s="12" t="s">
        <v>96</v>
      </c>
      <c r="D51" s="12" t="s">
        <v>97</v>
      </c>
      <c r="E51" s="12" t="s">
        <v>98</v>
      </c>
      <c r="F51" s="12" t="s">
        <v>99</v>
      </c>
    </row>
    <row r="52" customFormat="false" ht="35.05" hidden="false" customHeight="false" outlineLevel="0" collapsed="false">
      <c r="A52" s="12" t="s">
        <v>100</v>
      </c>
      <c r="B52" s="12" t="s">
        <v>101</v>
      </c>
      <c r="C52" s="12" t="s">
        <v>102</v>
      </c>
      <c r="D52" s="12" t="s">
        <v>103</v>
      </c>
      <c r="E52" s="12" t="s">
        <v>104</v>
      </c>
      <c r="F52" s="12" t="s">
        <v>105</v>
      </c>
    </row>
    <row r="53" customFormat="false" ht="46.25" hidden="false" customHeight="false" outlineLevel="0" collapsed="false">
      <c r="A53" s="12" t="s">
        <v>106</v>
      </c>
      <c r="B53" s="12" t="s">
        <v>107</v>
      </c>
      <c r="C53" s="12" t="s">
        <v>108</v>
      </c>
      <c r="D53" s="12" t="s">
        <v>109</v>
      </c>
      <c r="E53" s="12" t="s">
        <v>98</v>
      </c>
      <c r="F53" s="12" t="s">
        <v>99</v>
      </c>
    </row>
    <row r="54" customFormat="false" ht="23.85" hidden="false" customHeight="false" outlineLevel="0" collapsed="false">
      <c r="A54" s="12" t="s">
        <v>110</v>
      </c>
      <c r="B54" s="12" t="s">
        <v>107</v>
      </c>
      <c r="C54" s="12" t="s">
        <v>111</v>
      </c>
      <c r="D54" s="12" t="s">
        <v>112</v>
      </c>
      <c r="E54" s="12" t="s">
        <v>113</v>
      </c>
      <c r="F54" s="12" t="s">
        <v>114</v>
      </c>
    </row>
    <row r="55" customFormat="false" ht="23.85" hidden="false" customHeight="false" outlineLevel="0" collapsed="false">
      <c r="A55" s="12" t="s">
        <v>115</v>
      </c>
      <c r="B55" s="12" t="s">
        <v>116</v>
      </c>
      <c r="C55" s="12" t="s">
        <v>117</v>
      </c>
      <c r="D55" s="12" t="s">
        <v>118</v>
      </c>
      <c r="E55" s="12" t="s">
        <v>119</v>
      </c>
      <c r="F55" s="12" t="s">
        <v>120</v>
      </c>
    </row>
    <row r="56" customFormat="false" ht="46.25" hidden="false" customHeight="false" outlineLevel="0" collapsed="false">
      <c r="A56" s="12" t="s">
        <v>121</v>
      </c>
      <c r="B56" s="12" t="s">
        <v>122</v>
      </c>
      <c r="C56" s="12" t="s">
        <v>123</v>
      </c>
      <c r="D56" s="12" t="s">
        <v>124</v>
      </c>
      <c r="E56" s="12" t="s">
        <v>125</v>
      </c>
      <c r="F56" s="12" t="s">
        <v>126</v>
      </c>
    </row>
    <row r="57" customFormat="false" ht="46.25" hidden="false" customHeight="false" outlineLevel="0" collapsed="false">
      <c r="A57" s="12" t="s">
        <v>127</v>
      </c>
      <c r="B57" s="12" t="s">
        <v>128</v>
      </c>
      <c r="C57" s="12" t="s">
        <v>129</v>
      </c>
      <c r="D57" s="12" t="s">
        <v>130</v>
      </c>
      <c r="E57" s="12" t="s">
        <v>131</v>
      </c>
      <c r="F57" s="12" t="s">
        <v>132</v>
      </c>
    </row>
    <row r="58" customFormat="false" ht="35.05" hidden="false" customHeight="false" outlineLevel="0" collapsed="false">
      <c r="A58" s="12" t="s">
        <v>133</v>
      </c>
      <c r="B58" s="12" t="s">
        <v>134</v>
      </c>
      <c r="C58" s="12" t="s">
        <v>135</v>
      </c>
      <c r="D58" s="12" t="s">
        <v>136</v>
      </c>
      <c r="E58" s="12" t="s">
        <v>137</v>
      </c>
      <c r="F58" s="12" t="s">
        <v>138</v>
      </c>
    </row>
    <row r="59" customFormat="false" ht="23.85" hidden="false" customHeight="false" outlineLevel="0" collapsed="false">
      <c r="A59" s="13" t="s">
        <v>139</v>
      </c>
      <c r="B59" s="13" t="s">
        <v>140</v>
      </c>
      <c r="C59" s="13" t="s">
        <v>141</v>
      </c>
      <c r="D59" s="13" t="s">
        <v>142</v>
      </c>
      <c r="E59" s="13" t="s">
        <v>143</v>
      </c>
      <c r="F59" s="13" t="s">
        <v>144</v>
      </c>
    </row>
    <row r="60" customFormat="false" ht="35.05" hidden="false" customHeight="false" outlineLevel="0" collapsed="false">
      <c r="A60" s="12" t="s">
        <v>145</v>
      </c>
      <c r="B60" s="12" t="s">
        <v>146</v>
      </c>
      <c r="C60" s="12" t="s">
        <v>147</v>
      </c>
      <c r="D60" s="12" t="s">
        <v>148</v>
      </c>
      <c r="E60" s="12" t="s">
        <v>149</v>
      </c>
      <c r="F60" s="12" t="s">
        <v>150</v>
      </c>
    </row>
    <row r="61" customFormat="false" ht="23.85" hidden="false" customHeight="false" outlineLevel="0" collapsed="false">
      <c r="A61" s="12" t="s">
        <v>151</v>
      </c>
      <c r="B61" s="12" t="s">
        <v>152</v>
      </c>
      <c r="C61" s="12" t="s">
        <v>153</v>
      </c>
      <c r="D61" s="12" t="s">
        <v>14</v>
      </c>
      <c r="E61" s="12" t="s">
        <v>154</v>
      </c>
      <c r="F61" s="12" t="s">
        <v>155</v>
      </c>
    </row>
    <row r="63" customFormat="false" ht="15" hidden="false" customHeight="false" outlineLevel="0" collapsed="false">
      <c r="A63" s="9" t="s">
        <v>156</v>
      </c>
      <c r="B63" s="10"/>
      <c r="C63" s="10"/>
      <c r="D63" s="10"/>
      <c r="E63" s="10"/>
      <c r="F63" s="10"/>
    </row>
    <row r="64" customFormat="false" ht="15" hidden="false" customHeight="false" outlineLevel="0" collapsed="false">
      <c r="A64" s="11" t="s">
        <v>157</v>
      </c>
      <c r="B64" s="11" t="s">
        <v>158</v>
      </c>
      <c r="C64" s="11" t="s">
        <v>159</v>
      </c>
      <c r="D64" s="11"/>
      <c r="E64" s="11"/>
      <c r="F64" s="11"/>
    </row>
    <row r="65" customFormat="false" ht="68.65" hidden="false" customHeight="false" outlineLevel="0" collapsed="false">
      <c r="A65" s="12" t="s">
        <v>160</v>
      </c>
      <c r="B65" s="12" t="s">
        <v>161</v>
      </c>
      <c r="C65" s="12" t="s">
        <v>162</v>
      </c>
      <c r="D65" s="12"/>
      <c r="E65" s="12"/>
      <c r="F65" s="12"/>
    </row>
    <row r="66" customFormat="false" ht="15" hidden="false" customHeight="false" outlineLevel="0" collapsed="false">
      <c r="A66" s="13" t="s">
        <v>163</v>
      </c>
      <c r="B66" s="13" t="s">
        <v>164</v>
      </c>
      <c r="C66" s="13" t="s">
        <v>165</v>
      </c>
      <c r="D66" s="13"/>
      <c r="E66" s="13"/>
      <c r="F66" s="13"/>
    </row>
    <row r="67" customFormat="false" ht="23.85" hidden="false" customHeight="false" outlineLevel="0" collapsed="false">
      <c r="A67" s="13" t="s">
        <v>166</v>
      </c>
      <c r="B67" s="13" t="s">
        <v>167</v>
      </c>
      <c r="C67" s="13" t="s">
        <v>168</v>
      </c>
      <c r="D67" s="13"/>
      <c r="E67" s="13"/>
      <c r="F67" s="13"/>
    </row>
    <row r="68" customFormat="false" ht="46.25" hidden="false" customHeight="false" outlineLevel="0" collapsed="false">
      <c r="A68" s="12" t="s">
        <v>169</v>
      </c>
      <c r="B68" s="12" t="s">
        <v>170</v>
      </c>
      <c r="C68" s="12" t="s">
        <v>171</v>
      </c>
      <c r="D68" s="12"/>
      <c r="E68" s="12"/>
      <c r="F68" s="12"/>
    </row>
    <row r="69" customFormat="false" ht="68.65" hidden="false" customHeight="false" outlineLevel="0" collapsed="false">
      <c r="A69" s="13" t="s">
        <v>172</v>
      </c>
      <c r="B69" s="13" t="s">
        <v>173</v>
      </c>
      <c r="C69" s="13" t="s">
        <v>174</v>
      </c>
      <c r="D69" s="13"/>
      <c r="E69" s="13"/>
      <c r="F69" s="13"/>
    </row>
    <row r="70" customFormat="false" ht="57.45" hidden="false" customHeight="false" outlineLevel="0" collapsed="false">
      <c r="A70" s="13" t="s">
        <v>175</v>
      </c>
      <c r="B70" s="13" t="s">
        <v>176</v>
      </c>
      <c r="C70" s="13" t="s">
        <v>177</v>
      </c>
      <c r="D70" s="13"/>
      <c r="E70" s="13"/>
      <c r="F70" s="13"/>
    </row>
    <row r="71" customFormat="false" ht="68.65" hidden="false" customHeight="false" outlineLevel="0" collapsed="false">
      <c r="A71" s="12" t="s">
        <v>178</v>
      </c>
      <c r="B71" s="12" t="s">
        <v>179</v>
      </c>
      <c r="C71" s="12" t="s">
        <v>180</v>
      </c>
      <c r="D71" s="12"/>
      <c r="E71" s="12"/>
      <c r="F71" s="12"/>
    </row>
    <row r="72" customFormat="false" ht="68.65" hidden="false" customHeight="false" outlineLevel="0" collapsed="false">
      <c r="A72" s="12" t="s">
        <v>181</v>
      </c>
      <c r="B72" s="12" t="s">
        <v>182</v>
      </c>
      <c r="C72" s="12" t="s">
        <v>183</v>
      </c>
      <c r="D72" s="12"/>
      <c r="E72" s="12"/>
      <c r="F72" s="12"/>
    </row>
    <row r="73" customFormat="false" ht="35.05" hidden="false" customHeight="false" outlineLevel="0" collapsed="false">
      <c r="A73" s="12" t="s">
        <v>184</v>
      </c>
      <c r="B73" s="12" t="s">
        <v>185</v>
      </c>
      <c r="C73" s="12" t="s">
        <v>186</v>
      </c>
      <c r="D73" s="12"/>
      <c r="E73" s="12"/>
      <c r="F73" s="12"/>
    </row>
    <row r="74" customFormat="false" ht="23.85" hidden="false" customHeight="false" outlineLevel="0" collapsed="false">
      <c r="A74" s="13" t="s">
        <v>187</v>
      </c>
      <c r="B74" s="13" t="s">
        <v>188</v>
      </c>
      <c r="C74" s="13" t="s">
        <v>189</v>
      </c>
      <c r="D74" s="13"/>
      <c r="E74" s="13"/>
      <c r="F74" s="13"/>
    </row>
    <row r="75" customFormat="false" ht="15" hidden="false" customHeight="false" outlineLevel="0" collapsed="false">
      <c r="A75" s="12" t="s">
        <v>190</v>
      </c>
      <c r="B75" s="12" t="s">
        <v>191</v>
      </c>
      <c r="C75" s="12" t="s">
        <v>192</v>
      </c>
      <c r="D75" s="12"/>
      <c r="E75" s="12"/>
      <c r="F75" s="12"/>
    </row>
    <row r="76" customFormat="false" ht="35.05" hidden="false" customHeight="false" outlineLevel="0" collapsed="false">
      <c r="A76" s="13" t="s">
        <v>193</v>
      </c>
      <c r="B76" s="13" t="s">
        <v>194</v>
      </c>
      <c r="C76" s="13" t="s">
        <v>195</v>
      </c>
      <c r="D76" s="13"/>
      <c r="E76" s="13"/>
      <c r="F76" s="13"/>
    </row>
    <row r="77" customFormat="false" ht="15" hidden="false" customHeight="false" outlineLevel="0" collapsed="false">
      <c r="A77" s="13" t="s">
        <v>196</v>
      </c>
      <c r="B77" s="13" t="s">
        <v>197</v>
      </c>
      <c r="C77" s="13" t="s">
        <v>198</v>
      </c>
      <c r="D77" s="13"/>
      <c r="E77" s="13"/>
      <c r="F77" s="13"/>
    </row>
    <row r="78" customFormat="false" ht="15" hidden="false" customHeight="false" outlineLevel="0" collapsed="false">
      <c r="A78" s="12" t="s">
        <v>199</v>
      </c>
      <c r="B78" s="12" t="s">
        <v>200</v>
      </c>
      <c r="C78" s="12" t="s">
        <v>201</v>
      </c>
      <c r="D78" s="12"/>
      <c r="E78" s="12"/>
      <c r="F78" s="12"/>
    </row>
    <row r="79" customFormat="false" ht="57.45" hidden="false" customHeight="false" outlineLevel="0" collapsed="false">
      <c r="A79" s="13" t="s">
        <v>202</v>
      </c>
      <c r="B79" s="13" t="s">
        <v>203</v>
      </c>
      <c r="C79" s="13" t="s">
        <v>204</v>
      </c>
      <c r="D79" s="13"/>
      <c r="E79" s="13"/>
      <c r="F79" s="13"/>
    </row>
    <row r="80" customFormat="false" ht="35.05" hidden="false" customHeight="false" outlineLevel="0" collapsed="false">
      <c r="A80" s="13" t="s">
        <v>205</v>
      </c>
      <c r="B80" s="13" t="s">
        <v>206</v>
      </c>
      <c r="C80" s="13" t="s">
        <v>207</v>
      </c>
      <c r="D80" s="13"/>
      <c r="E80" s="13"/>
      <c r="F80" s="13"/>
    </row>
    <row r="81" customFormat="false" ht="35.05" hidden="false" customHeight="false" outlineLevel="0" collapsed="false">
      <c r="A81" s="12" t="s">
        <v>208</v>
      </c>
      <c r="B81" s="12" t="s">
        <v>209</v>
      </c>
      <c r="C81" s="12" t="s">
        <v>210</v>
      </c>
      <c r="D81" s="12"/>
      <c r="E81" s="12"/>
      <c r="F81" s="12"/>
    </row>
    <row r="82" customFormat="false" ht="57.45" hidden="false" customHeight="false" outlineLevel="0" collapsed="false">
      <c r="A82" s="13" t="s">
        <v>211</v>
      </c>
      <c r="B82" s="13" t="s">
        <v>212</v>
      </c>
      <c r="C82" s="13" t="s">
        <v>213</v>
      </c>
      <c r="D82" s="13"/>
      <c r="E82" s="13"/>
      <c r="F82" s="13"/>
    </row>
    <row r="83" customFormat="false" ht="46.25" hidden="false" customHeight="false" outlineLevel="0" collapsed="false">
      <c r="A83" s="12" t="s">
        <v>214</v>
      </c>
      <c r="B83" s="12" t="s">
        <v>215</v>
      </c>
      <c r="C83" s="12" t="s">
        <v>216</v>
      </c>
      <c r="D83" s="12"/>
      <c r="E83" s="12"/>
      <c r="F83" s="12"/>
    </row>
    <row r="85" customFormat="false" ht="15" hidden="false" customHeight="false" outlineLevel="0" collapsed="false">
      <c r="A85" s="9" t="s">
        <v>217</v>
      </c>
      <c r="B85" s="10"/>
      <c r="C85" s="10"/>
      <c r="D85" s="10"/>
      <c r="E85" s="10"/>
      <c r="F85" s="10"/>
    </row>
    <row r="86" customFormat="false" ht="15" hidden="false" customHeight="false" outlineLevel="0" collapsed="false">
      <c r="A86" s="11" t="s">
        <v>218</v>
      </c>
      <c r="B86" s="11" t="s">
        <v>219</v>
      </c>
      <c r="C86" s="11" t="s">
        <v>220</v>
      </c>
      <c r="D86" s="11" t="s">
        <v>221</v>
      </c>
      <c r="E86" s="11" t="s">
        <v>222</v>
      </c>
      <c r="F86" s="11"/>
    </row>
    <row r="87" customFormat="false" ht="15" hidden="false" customHeight="false" outlineLevel="0" collapsed="false">
      <c r="A87" s="12" t="s">
        <v>223</v>
      </c>
      <c r="B87" s="12" t="s">
        <v>224</v>
      </c>
      <c r="C87" s="12" t="n">
        <v>20</v>
      </c>
      <c r="D87" s="12" t="n">
        <v>12</v>
      </c>
      <c r="E87" s="12" t="s">
        <v>225</v>
      </c>
      <c r="F87" s="12"/>
    </row>
    <row r="88" customFormat="false" ht="15" hidden="false" customHeight="false" outlineLevel="0" collapsed="false">
      <c r="A88" s="12" t="s">
        <v>226</v>
      </c>
      <c r="B88" s="12" t="s">
        <v>227</v>
      </c>
      <c r="C88" s="12" t="n">
        <v>13</v>
      </c>
      <c r="D88" s="12" t="n">
        <v>12</v>
      </c>
      <c r="E88" s="12" t="s">
        <v>228</v>
      </c>
      <c r="F88" s="12"/>
    </row>
    <row r="89" customFormat="false" ht="15" hidden="false" customHeight="false" outlineLevel="0" collapsed="false">
      <c r="A89" s="13" t="s">
        <v>229</v>
      </c>
      <c r="B89" s="13" t="s">
        <v>230</v>
      </c>
      <c r="C89" s="13" t="n">
        <v>8</v>
      </c>
      <c r="D89" s="13" t="n">
        <v>12</v>
      </c>
      <c r="E89" s="13" t="s">
        <v>231</v>
      </c>
      <c r="F89" s="13"/>
    </row>
    <row r="90" customFormat="false" ht="15" hidden="false" customHeight="false" outlineLevel="0" collapsed="false">
      <c r="A90" s="13" t="s">
        <v>232</v>
      </c>
      <c r="B90" s="13" t="s">
        <v>233</v>
      </c>
      <c r="C90" s="13" t="n">
        <v>2</v>
      </c>
      <c r="D90" s="13" t="n">
        <v>12</v>
      </c>
      <c r="E90" s="13" t="s">
        <v>231</v>
      </c>
      <c r="F90" s="13"/>
    </row>
    <row r="91" customFormat="false" ht="15" hidden="false" customHeight="false" outlineLevel="0" collapsed="false">
      <c r="A91" s="13" t="s">
        <v>234</v>
      </c>
      <c r="B91" s="13" t="s">
        <v>235</v>
      </c>
      <c r="C91" s="13" t="n">
        <v>2</v>
      </c>
      <c r="D91" s="13" t="n">
        <v>12</v>
      </c>
      <c r="E91" s="13" t="s">
        <v>231</v>
      </c>
      <c r="F91" s="13"/>
    </row>
    <row r="92" customFormat="false" ht="15" hidden="false" customHeight="false" outlineLevel="0" collapsed="false">
      <c r="A92" s="13" t="s">
        <v>236</v>
      </c>
      <c r="B92" s="13" t="s">
        <v>237</v>
      </c>
      <c r="C92" s="13" t="n">
        <v>1</v>
      </c>
      <c r="D92" s="13" t="n">
        <v>126</v>
      </c>
      <c r="E92" s="13" t="s">
        <v>231</v>
      </c>
      <c r="F92" s="13"/>
    </row>
    <row r="93" customFormat="false" ht="15" hidden="false" customHeight="false" outlineLevel="0" collapsed="false">
      <c r="A93" s="13" t="s">
        <v>238</v>
      </c>
      <c r="B93" s="13" t="s">
        <v>239</v>
      </c>
      <c r="C93" s="13" t="n">
        <v>3</v>
      </c>
      <c r="D93" s="13" t="n">
        <v>55</v>
      </c>
      <c r="E93" s="13" t="s">
        <v>231</v>
      </c>
      <c r="F93" s="13"/>
    </row>
    <row r="94" customFormat="false" ht="15" hidden="false" customHeight="false" outlineLevel="0" collapsed="false">
      <c r="A94" s="13" t="s">
        <v>240</v>
      </c>
      <c r="B94" s="13" t="s">
        <v>179</v>
      </c>
      <c r="C94" s="13" t="n">
        <v>5</v>
      </c>
      <c r="D94" s="13" t="n">
        <v>34</v>
      </c>
      <c r="E94" s="13" t="s">
        <v>231</v>
      </c>
      <c r="F94" s="13"/>
    </row>
    <row r="95" customFormat="false" ht="15" hidden="false" customHeight="false" outlineLevel="0" collapsed="false">
      <c r="A95" s="13" t="s">
        <v>241</v>
      </c>
      <c r="B95" s="13" t="s">
        <v>242</v>
      </c>
      <c r="C95" s="13" t="n">
        <v>4</v>
      </c>
      <c r="D95" s="13" t="n">
        <v>22</v>
      </c>
      <c r="E95" s="13" t="s">
        <v>231</v>
      </c>
      <c r="F95" s="13"/>
    </row>
    <row r="96" customFormat="false" ht="15" hidden="false" customHeight="false" outlineLevel="0" collapsed="false">
      <c r="A96" s="13" t="s">
        <v>243</v>
      </c>
      <c r="B96" s="13" t="s">
        <v>244</v>
      </c>
      <c r="C96" s="13" t="n">
        <v>2</v>
      </c>
      <c r="D96" s="13" t="n">
        <v>22</v>
      </c>
      <c r="E96" s="13" t="s">
        <v>231</v>
      </c>
      <c r="F96" s="13"/>
    </row>
    <row r="97" customFormat="false" ht="23.85" hidden="false" customHeight="false" outlineLevel="0" collapsed="false">
      <c r="A97" s="12" t="s">
        <v>245</v>
      </c>
      <c r="B97" s="12" t="s">
        <v>246</v>
      </c>
      <c r="C97" s="12" t="n">
        <v>6</v>
      </c>
      <c r="D97" s="12" t="n">
        <v>3</v>
      </c>
      <c r="E97" s="12" t="s">
        <v>247</v>
      </c>
      <c r="F97" s="12"/>
    </row>
    <row r="98" customFormat="false" ht="23.85" hidden="false" customHeight="false" outlineLevel="0" collapsed="false">
      <c r="A98" s="12" t="s">
        <v>248</v>
      </c>
      <c r="B98" s="12" t="s">
        <v>249</v>
      </c>
      <c r="C98" s="12" t="n">
        <v>4</v>
      </c>
      <c r="D98" s="12" t="n">
        <v>0</v>
      </c>
      <c r="E98" s="12" t="s">
        <v>250</v>
      </c>
      <c r="F98" s="12"/>
    </row>
    <row r="99" customFormat="false" ht="15" hidden="false" customHeight="false" outlineLevel="0" collapsed="false">
      <c r="A99" s="12" t="s">
        <v>251</v>
      </c>
      <c r="B99" s="12" t="s">
        <v>252</v>
      </c>
      <c r="C99" s="12" t="n">
        <v>4</v>
      </c>
      <c r="D99" s="12" t="n">
        <v>0</v>
      </c>
      <c r="E99" s="12" t="s">
        <v>253</v>
      </c>
      <c r="F99" s="12"/>
    </row>
    <row r="100" customFormat="false" ht="15" hidden="false" customHeight="false" outlineLevel="0" collapsed="false">
      <c r="A100" s="12" t="s">
        <v>254</v>
      </c>
      <c r="B100" s="12" t="s">
        <v>255</v>
      </c>
      <c r="C100" s="12" t="n">
        <v>12</v>
      </c>
      <c r="D100" s="12" t="n">
        <v>0</v>
      </c>
      <c r="E100" s="12" t="s">
        <v>253</v>
      </c>
      <c r="F100" s="12"/>
    </row>
    <row r="101" customFormat="false" ht="15" hidden="false" customHeight="false" outlineLevel="0" collapsed="false">
      <c r="A101" s="12" t="s">
        <v>256</v>
      </c>
      <c r="B101" s="12" t="s">
        <v>257</v>
      </c>
      <c r="C101" s="12" t="n">
        <v>1</v>
      </c>
      <c r="D101" s="12" t="n">
        <v>0</v>
      </c>
      <c r="E101" s="12" t="s">
        <v>253</v>
      </c>
      <c r="F101" s="12"/>
    </row>
    <row r="102" customFormat="false" ht="15" hidden="false" customHeight="false" outlineLevel="0" collapsed="false">
      <c r="A102" s="12" t="s">
        <v>258</v>
      </c>
      <c r="B102" s="12" t="s">
        <v>259</v>
      </c>
      <c r="C102" s="12" t="n">
        <v>4</v>
      </c>
      <c r="D102" s="12" t="n">
        <v>9</v>
      </c>
      <c r="E102" s="12" t="s">
        <v>260</v>
      </c>
      <c r="F102" s="12"/>
    </row>
    <row r="103" customFormat="false" ht="15" hidden="false" customHeight="false" outlineLevel="0" collapsed="false">
      <c r="A103" s="12" t="s">
        <v>261</v>
      </c>
      <c r="B103" s="12" t="s">
        <v>262</v>
      </c>
      <c r="C103" s="12" t="n">
        <v>2</v>
      </c>
      <c r="D103" s="12" t="n">
        <v>6</v>
      </c>
      <c r="E103" s="12" t="s">
        <v>263</v>
      </c>
      <c r="F103" s="12"/>
    </row>
    <row r="104" customFormat="false" ht="15" hidden="false" customHeight="false" outlineLevel="0" collapsed="false">
      <c r="A104" s="12" t="s">
        <v>264</v>
      </c>
      <c r="B104" s="12" t="s">
        <v>265</v>
      </c>
      <c r="C104" s="12" t="n">
        <v>6</v>
      </c>
      <c r="D104" s="12" t="n">
        <v>0</v>
      </c>
      <c r="E104" s="12" t="s">
        <v>253</v>
      </c>
      <c r="F104" s="12"/>
    </row>
    <row r="105" customFormat="false" ht="23.85" hidden="false" customHeight="false" outlineLevel="0" collapsed="false">
      <c r="A105" s="12" t="s">
        <v>266</v>
      </c>
      <c r="B105" s="12" t="s">
        <v>267</v>
      </c>
      <c r="C105" s="12" t="n">
        <v>1</v>
      </c>
      <c r="D105" s="12" t="n">
        <v>0</v>
      </c>
      <c r="E105" s="12" t="s">
        <v>268</v>
      </c>
      <c r="F105" s="12"/>
    </row>
    <row r="106" customFormat="false" ht="15" hidden="false" customHeight="false" outlineLevel="0" collapsed="false">
      <c r="A106" s="13" t="s">
        <v>269</v>
      </c>
      <c r="B106" s="13" t="s">
        <v>270</v>
      </c>
      <c r="C106" s="13"/>
      <c r="D106" s="13" t="n">
        <v>2459</v>
      </c>
      <c r="E106" s="13" t="s">
        <v>271</v>
      </c>
      <c r="F106" s="13"/>
    </row>
    <row r="107" customFormat="false" ht="15" hidden="false" customHeight="false" outlineLevel="0" collapsed="false">
      <c r="A107" s="13" t="s">
        <v>272</v>
      </c>
      <c r="B107" s="13" t="s">
        <v>273</v>
      </c>
      <c r="C107" s="13" t="n">
        <v>22</v>
      </c>
      <c r="D107" s="13" t="n">
        <v>8373</v>
      </c>
      <c r="E107" s="13" t="s">
        <v>271</v>
      </c>
      <c r="F107" s="13"/>
    </row>
    <row r="109" customFormat="false" ht="15" hidden="false" customHeight="false" outlineLevel="0" collapsed="false">
      <c r="A109" s="9" t="s">
        <v>274</v>
      </c>
      <c r="B109" s="10"/>
      <c r="C109" s="10"/>
      <c r="D109" s="10"/>
      <c r="E109" s="10"/>
      <c r="F109" s="10"/>
    </row>
    <row r="110" customFormat="false" ht="27.75" hidden="false" customHeight="true" outlineLevel="0" collapsed="false">
      <c r="A110" s="12" t="s">
        <v>275</v>
      </c>
    </row>
    <row r="111" customFormat="false" ht="27.75" hidden="false" customHeight="true" outlineLevel="0" collapsed="false">
      <c r="A111" s="13" t="s">
        <v>276</v>
      </c>
    </row>
    <row r="112" customFormat="false" ht="27.75" hidden="false" customHeight="true" outlineLevel="0" collapsed="false">
      <c r="A112" s="12" t="s">
        <v>277</v>
      </c>
    </row>
    <row r="113" customFormat="false" ht="27.75" hidden="false" customHeight="true" outlineLevel="0" collapsed="false">
      <c r="A113" s="12" t="s">
        <v>278</v>
      </c>
    </row>
    <row r="114" customFormat="false" ht="27.75" hidden="false" customHeight="true" outlineLevel="0" collapsed="false">
      <c r="A114" s="13" t="s">
        <v>279</v>
      </c>
    </row>
    <row r="115" customFormat="false" ht="27.75" hidden="false" customHeight="true" outlineLevel="0" collapsed="false">
      <c r="A115" s="13" t="s">
        <v>280</v>
      </c>
    </row>
    <row r="116" customFormat="false" ht="27.75" hidden="false" customHeight="true" outlineLevel="0" collapsed="false">
      <c r="A116" s="12" t="s">
        <v>281</v>
      </c>
    </row>
    <row r="117" customFormat="false" ht="27.75" hidden="false" customHeight="true" outlineLevel="0" collapsed="false">
      <c r="A117" s="12" t="s">
        <v>282</v>
      </c>
    </row>
    <row r="118" customFormat="false" ht="27.75" hidden="false" customHeight="true" outlineLevel="0" collapsed="false">
      <c r="A118" s="13" t="s">
        <v>283</v>
      </c>
    </row>
    <row r="119" customFormat="false" ht="27.75" hidden="false" customHeight="true" outlineLevel="0" collapsed="false">
      <c r="A119" s="13" t="s">
        <v>284</v>
      </c>
    </row>
    <row r="120" customFormat="false" ht="27.75" hidden="false" customHeight="true" outlineLevel="0" collapsed="false">
      <c r="A120" s="13" t="s">
        <v>285</v>
      </c>
    </row>
    <row r="121" customFormat="false" ht="27.75" hidden="false" customHeight="true" outlineLevel="0" collapsed="false">
      <c r="A121" s="13" t="s">
        <v>286</v>
      </c>
    </row>
    <row r="122" customFormat="false" ht="27.75" hidden="false" customHeight="true" outlineLevel="0" collapsed="false">
      <c r="A122" s="13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66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10" min="9" style="0" width="9"/>
    <col collapsed="false" customWidth="true" hidden="false" outlineLevel="0" max="11" min="11" style="0" width="11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4" t="s">
        <v>288</v>
      </c>
      <c r="B1" s="14" t="s">
        <v>289</v>
      </c>
      <c r="C1" s="14" t="s">
        <v>290</v>
      </c>
      <c r="D1" s="14" t="s">
        <v>291</v>
      </c>
      <c r="E1" s="14" t="s">
        <v>292</v>
      </c>
      <c r="F1" s="14" t="s">
        <v>293</v>
      </c>
      <c r="G1" s="14" t="s">
        <v>294</v>
      </c>
      <c r="H1" s="14" t="s">
        <v>295</v>
      </c>
      <c r="I1" s="14" t="s">
        <v>296</v>
      </c>
      <c r="J1" s="14" t="s">
        <v>297</v>
      </c>
      <c r="K1" s="14" t="s">
        <v>298</v>
      </c>
      <c r="L1" s="14" t="s">
        <v>299</v>
      </c>
    </row>
    <row r="2" customFormat="false" ht="15" hidden="false" customHeight="false" outlineLevel="0" collapsed="false">
      <c r="A2" s="15" t="n">
        <v>1</v>
      </c>
      <c r="B2" s="16" t="str">
        <f aca="false">E2</f>
        <v>1-ВРУ (Блок 1, напольное, 2 секции)</v>
      </c>
      <c r="C2" s="15" t="s">
        <v>300</v>
      </c>
      <c r="D2" s="15"/>
      <c r="E2" s="17" t="s">
        <v>301</v>
      </c>
      <c r="F2" s="18"/>
      <c r="G2" s="18"/>
      <c r="H2" s="18"/>
      <c r="I2" s="19" t="n">
        <v>1</v>
      </c>
      <c r="J2" s="15" t="s">
        <v>302</v>
      </c>
      <c r="K2" s="15"/>
      <c r="L2" s="17"/>
    </row>
    <row r="3" customFormat="false" ht="15" hidden="false" customHeight="false" outlineLevel="0" collapsed="false">
      <c r="A3" s="20" t="n">
        <v>2</v>
      </c>
      <c r="B3" s="21"/>
      <c r="C3" s="20" t="s">
        <v>303</v>
      </c>
      <c r="D3" s="20" t="s">
        <v>304</v>
      </c>
      <c r="E3" s="21" t="s">
        <v>305</v>
      </c>
      <c r="F3" s="22" t="n">
        <v>96220</v>
      </c>
      <c r="G3" s="22" t="n">
        <f aca="false">F3*VLOOKUP(K3,Kurallar!$A$17:$B$22,2,0)</f>
        <v>96220</v>
      </c>
      <c r="H3" s="22" t="n">
        <f aca="false">G3*I3</f>
        <v>192440</v>
      </c>
      <c r="I3" s="23" t="n">
        <v>2</v>
      </c>
      <c r="J3" s="20" t="s">
        <v>306</v>
      </c>
      <c r="K3" s="20" t="s">
        <v>37</v>
      </c>
      <c r="L3" s="21"/>
    </row>
    <row r="4" customFormat="false" ht="15" hidden="false" customHeight="false" outlineLevel="0" collapsed="false">
      <c r="A4" s="20" t="n">
        <v>3</v>
      </c>
      <c r="B4" s="21"/>
      <c r="C4" s="20" t="s">
        <v>303</v>
      </c>
      <c r="D4" s="20" t="s">
        <v>307</v>
      </c>
      <c r="E4" s="21" t="s">
        <v>308</v>
      </c>
      <c r="F4" s="22" t="n">
        <v>24090</v>
      </c>
      <c r="G4" s="22" t="n">
        <f aca="false">F4*VLOOKUP(K4,Kurallar!$A$17:$B$22,2,0)</f>
        <v>24090</v>
      </c>
      <c r="H4" s="22" t="n">
        <f aca="false">G4*I4</f>
        <v>48180</v>
      </c>
      <c r="I4" s="23" t="n">
        <v>2</v>
      </c>
      <c r="J4" s="20" t="s">
        <v>306</v>
      </c>
      <c r="K4" s="20" t="s">
        <v>37</v>
      </c>
      <c r="L4" s="21"/>
    </row>
    <row r="5" customFormat="false" ht="15" hidden="false" customHeight="false" outlineLevel="0" collapsed="false">
      <c r="A5" s="20" t="n">
        <v>4</v>
      </c>
      <c r="B5" s="21"/>
      <c r="C5" s="20" t="s">
        <v>309</v>
      </c>
      <c r="D5" s="20" t="s">
        <v>245</v>
      </c>
      <c r="E5" s="21" t="s">
        <v>310</v>
      </c>
      <c r="F5" s="22" t="n">
        <v>215150</v>
      </c>
      <c r="G5" s="22" t="n">
        <f aca="false">F5*VLOOKUP(K5,Kurallar!$A$17:$B$22,2,0)</f>
        <v>129090</v>
      </c>
      <c r="H5" s="22" t="n">
        <f aca="false">G5*I5</f>
        <v>258180</v>
      </c>
      <c r="I5" s="23" t="n">
        <v>2</v>
      </c>
      <c r="J5" s="20" t="s">
        <v>306</v>
      </c>
      <c r="K5" s="20" t="s">
        <v>33</v>
      </c>
      <c r="L5" s="21"/>
    </row>
    <row r="6" customFormat="false" ht="15" hidden="false" customHeight="false" outlineLevel="0" collapsed="false">
      <c r="A6" s="20" t="n">
        <v>5</v>
      </c>
      <c r="B6" s="21"/>
      <c r="C6" s="20" t="s">
        <v>311</v>
      </c>
      <c r="D6" s="20" t="s">
        <v>241</v>
      </c>
      <c r="E6" s="21" t="s">
        <v>312</v>
      </c>
      <c r="F6" s="22" t="n">
        <v>95515</v>
      </c>
      <c r="G6" s="22" t="n">
        <f aca="false">F6*VLOOKUP(K6,Kurallar!$A$17:$B$22,2,0)</f>
        <v>57309</v>
      </c>
      <c r="H6" s="22" t="n">
        <f aca="false">G6*I6</f>
        <v>114618</v>
      </c>
      <c r="I6" s="23" t="n">
        <v>2</v>
      </c>
      <c r="J6" s="20" t="s">
        <v>306</v>
      </c>
      <c r="K6" s="20" t="s">
        <v>33</v>
      </c>
      <c r="L6" s="21"/>
    </row>
    <row r="7" customFormat="false" ht="15" hidden="false" customHeight="false" outlineLevel="0" collapsed="false">
      <c r="A7" s="20" t="n">
        <v>6</v>
      </c>
      <c r="B7" s="21"/>
      <c r="C7" s="20" t="s">
        <v>313</v>
      </c>
      <c r="D7" s="20" t="s">
        <v>314</v>
      </c>
      <c r="E7" s="21" t="s">
        <v>315</v>
      </c>
      <c r="F7" s="22" t="n">
        <v>18552</v>
      </c>
      <c r="G7" s="22" t="n">
        <f aca="false">F7*VLOOKUP(K7,Kurallar!$A$17:$B$22,2,0)</f>
        <v>11131.2</v>
      </c>
      <c r="H7" s="22" t="n">
        <f aca="false">G7*I7</f>
        <v>22262.4</v>
      </c>
      <c r="I7" s="23" t="n">
        <v>2</v>
      </c>
      <c r="J7" s="20" t="s">
        <v>306</v>
      </c>
      <c r="K7" s="20" t="s">
        <v>33</v>
      </c>
      <c r="L7" s="21"/>
    </row>
    <row r="8" customFormat="false" ht="15" hidden="false" customHeight="false" outlineLevel="0" collapsed="false">
      <c r="A8" s="20" t="n">
        <v>7</v>
      </c>
      <c r="B8" s="21"/>
      <c r="C8" s="20" t="s">
        <v>316</v>
      </c>
      <c r="D8" s="20" t="s">
        <v>317</v>
      </c>
      <c r="E8" s="21" t="s">
        <v>318</v>
      </c>
      <c r="F8" s="22" t="n">
        <v>5100</v>
      </c>
      <c r="G8" s="22" t="n">
        <f aca="false">F8*VLOOKUP(K8,Kurallar!$A$17:$B$22,2,0)</f>
        <v>5100</v>
      </c>
      <c r="H8" s="22" t="n">
        <f aca="false">G8*I8</f>
        <v>61200</v>
      </c>
      <c r="I8" s="23" t="n">
        <v>12</v>
      </c>
      <c r="J8" s="20" t="s">
        <v>306</v>
      </c>
      <c r="K8" s="20" t="s">
        <v>35</v>
      </c>
      <c r="L8" s="21"/>
    </row>
    <row r="9" customFormat="false" ht="15" hidden="false" customHeight="false" outlineLevel="0" collapsed="false">
      <c r="A9" s="20" t="n">
        <v>8</v>
      </c>
      <c r="B9" s="21"/>
      <c r="C9" s="20" t="s">
        <v>319</v>
      </c>
      <c r="D9" s="20" t="s">
        <v>320</v>
      </c>
      <c r="E9" s="21" t="s">
        <v>321</v>
      </c>
      <c r="F9" s="22" t="n">
        <v>19000</v>
      </c>
      <c r="G9" s="22" t="n">
        <f aca="false">F9*VLOOKUP(K9,Kurallar!$A$17:$B$22,2,0)</f>
        <v>19000</v>
      </c>
      <c r="H9" s="22" t="n">
        <f aca="false">G9*I9</f>
        <v>38000</v>
      </c>
      <c r="I9" s="23" t="n">
        <v>2</v>
      </c>
      <c r="J9" s="20" t="s">
        <v>306</v>
      </c>
      <c r="K9" s="20" t="s">
        <v>35</v>
      </c>
      <c r="L9" s="21"/>
    </row>
    <row r="10" customFormat="false" ht="15" hidden="false" customHeight="false" outlineLevel="0" collapsed="false">
      <c r="A10" s="20" t="n">
        <v>9</v>
      </c>
      <c r="B10" s="21"/>
      <c r="C10" s="20" t="s">
        <v>322</v>
      </c>
      <c r="D10" s="20" t="s">
        <v>264</v>
      </c>
      <c r="E10" s="21" t="s">
        <v>323</v>
      </c>
      <c r="F10" s="22" t="n">
        <v>70343</v>
      </c>
      <c r="G10" s="22" t="n">
        <f aca="false">F10*VLOOKUP(K10,Kurallar!$A$17:$B$22,2,0)</f>
        <v>42205.8</v>
      </c>
      <c r="H10" s="22" t="n">
        <f aca="false">G10*I10</f>
        <v>84411.6</v>
      </c>
      <c r="I10" s="23" t="n">
        <v>2</v>
      </c>
      <c r="J10" s="20" t="s">
        <v>306</v>
      </c>
      <c r="K10" s="20" t="s">
        <v>33</v>
      </c>
      <c r="L10" s="21"/>
    </row>
    <row r="11" customFormat="false" ht="15" hidden="false" customHeight="false" outlineLevel="0" collapsed="false">
      <c r="A11" s="20" t="n">
        <v>10</v>
      </c>
      <c r="B11" s="21"/>
      <c r="C11" s="20" t="s">
        <v>311</v>
      </c>
      <c r="D11" s="20" t="s">
        <v>234</v>
      </c>
      <c r="E11" s="21" t="s">
        <v>324</v>
      </c>
      <c r="F11" s="22" t="n">
        <v>24075</v>
      </c>
      <c r="G11" s="22" t="n">
        <f aca="false">F11*VLOOKUP(K11,Kurallar!$A$17:$B$22,2,0)</f>
        <v>14445</v>
      </c>
      <c r="H11" s="22" t="n">
        <f aca="false">G11*I11</f>
        <v>14445</v>
      </c>
      <c r="I11" s="23" t="n">
        <v>1</v>
      </c>
      <c r="J11" s="20" t="s">
        <v>306</v>
      </c>
      <c r="K11" s="20" t="s">
        <v>33</v>
      </c>
      <c r="L11" s="21"/>
    </row>
    <row r="12" customFormat="false" ht="15" hidden="false" customHeight="false" outlineLevel="0" collapsed="false">
      <c r="A12" s="20" t="n">
        <v>11</v>
      </c>
      <c r="B12" s="21"/>
      <c r="C12" s="20" t="s">
        <v>311</v>
      </c>
      <c r="D12" s="20" t="s">
        <v>226</v>
      </c>
      <c r="E12" s="21" t="s">
        <v>325</v>
      </c>
      <c r="F12" s="22" t="n">
        <v>24075</v>
      </c>
      <c r="G12" s="22" t="n">
        <f aca="false">F12*VLOOKUP(K12,Kurallar!$A$17:$B$22,2,0)</f>
        <v>14445</v>
      </c>
      <c r="H12" s="22" t="n">
        <f aca="false">G12*I12</f>
        <v>101115</v>
      </c>
      <c r="I12" s="23" t="n">
        <v>7</v>
      </c>
      <c r="J12" s="20" t="s">
        <v>306</v>
      </c>
      <c r="K12" s="20" t="s">
        <v>33</v>
      </c>
      <c r="L12" s="21"/>
    </row>
    <row r="13" customFormat="false" ht="15" hidden="false" customHeight="false" outlineLevel="0" collapsed="false">
      <c r="A13" s="20" t="n">
        <v>12</v>
      </c>
      <c r="B13" s="21"/>
      <c r="C13" s="20" t="s">
        <v>311</v>
      </c>
      <c r="D13" s="20" t="s">
        <v>229</v>
      </c>
      <c r="E13" s="21" t="s">
        <v>326</v>
      </c>
      <c r="F13" s="22" t="n">
        <v>24075</v>
      </c>
      <c r="G13" s="22" t="n">
        <f aca="false">F13*VLOOKUP(K13,Kurallar!$A$17:$B$22,2,0)</f>
        <v>14445</v>
      </c>
      <c r="H13" s="22" t="n">
        <f aca="false">G13*I13</f>
        <v>57780</v>
      </c>
      <c r="I13" s="23" t="n">
        <v>4</v>
      </c>
      <c r="J13" s="20" t="s">
        <v>306</v>
      </c>
      <c r="K13" s="20" t="s">
        <v>33</v>
      </c>
      <c r="L13" s="21"/>
    </row>
    <row r="14" customFormat="false" ht="15" hidden="false" customHeight="false" outlineLevel="0" collapsed="false">
      <c r="A14" s="20" t="n">
        <v>13</v>
      </c>
      <c r="B14" s="21"/>
      <c r="C14" s="20" t="s">
        <v>311</v>
      </c>
      <c r="D14" s="20" t="s">
        <v>223</v>
      </c>
      <c r="E14" s="21" t="s">
        <v>327</v>
      </c>
      <c r="F14" s="22" t="n">
        <v>24075</v>
      </c>
      <c r="G14" s="22" t="n">
        <f aca="false">F14*VLOOKUP(K14,Kurallar!$A$17:$B$22,2,0)</f>
        <v>14445</v>
      </c>
      <c r="H14" s="22" t="n">
        <f aca="false">G14*I14</f>
        <v>86670</v>
      </c>
      <c r="I14" s="23" t="n">
        <v>6</v>
      </c>
      <c r="J14" s="20" t="s">
        <v>306</v>
      </c>
      <c r="K14" s="20" t="s">
        <v>33</v>
      </c>
      <c r="L14" s="21"/>
    </row>
    <row r="15" customFormat="false" ht="15" hidden="false" customHeight="false" outlineLevel="0" collapsed="false">
      <c r="A15" s="20" t="n">
        <v>14</v>
      </c>
      <c r="B15" s="21"/>
      <c r="C15" s="20" t="s">
        <v>328</v>
      </c>
      <c r="D15" s="20" t="s">
        <v>329</v>
      </c>
      <c r="E15" s="21" t="s">
        <v>330</v>
      </c>
      <c r="F15" s="22" t="n">
        <v>2336</v>
      </c>
      <c r="G15" s="22" t="n">
        <f aca="false">F15*VLOOKUP(K15,Kurallar!$A$17:$B$22,2,0)</f>
        <v>1401.6</v>
      </c>
      <c r="H15" s="22" t="n">
        <f aca="false">G15*I15</f>
        <v>2803.2</v>
      </c>
      <c r="I15" s="23" t="n">
        <v>2</v>
      </c>
      <c r="J15" s="20" t="s">
        <v>306</v>
      </c>
      <c r="K15" s="20" t="s">
        <v>33</v>
      </c>
      <c r="L15" s="21"/>
    </row>
    <row r="16" customFormat="false" ht="15" hidden="false" customHeight="false" outlineLevel="0" collapsed="false">
      <c r="A16" s="20" t="n">
        <v>15</v>
      </c>
      <c r="B16" s="21"/>
      <c r="C16" s="20" t="s">
        <v>331</v>
      </c>
      <c r="D16" s="20" t="s">
        <v>332</v>
      </c>
      <c r="E16" s="21" t="s">
        <v>333</v>
      </c>
      <c r="F16" s="22" t="n">
        <v>11131</v>
      </c>
      <c r="G16" s="22" t="n">
        <f aca="false">F16*VLOOKUP(K16,Kurallar!$A$17:$B$22,2,0)</f>
        <v>11131</v>
      </c>
      <c r="H16" s="22" t="n">
        <f aca="false">G16*I16</f>
        <v>22262</v>
      </c>
      <c r="I16" s="23" t="n">
        <v>2</v>
      </c>
      <c r="J16" s="20" t="s">
        <v>306</v>
      </c>
      <c r="K16" s="20" t="s">
        <v>37</v>
      </c>
      <c r="L16" s="21"/>
    </row>
    <row r="17" customFormat="false" ht="15" hidden="false" customHeight="false" outlineLevel="0" collapsed="false">
      <c r="A17" s="20" t="n">
        <v>16</v>
      </c>
      <c r="B17" s="21"/>
      <c r="C17" s="20" t="s">
        <v>71</v>
      </c>
      <c r="D17" s="20" t="s">
        <v>334</v>
      </c>
      <c r="E17" s="21" t="s">
        <v>335</v>
      </c>
      <c r="F17" s="22" t="n">
        <v>235</v>
      </c>
      <c r="G17" s="22" t="n">
        <f aca="false">F17*VLOOKUP(K17,Kurallar!$A$17:$B$22,2,0)</f>
        <v>235</v>
      </c>
      <c r="H17" s="22" t="n">
        <f aca="false">G17*I17</f>
        <v>5640</v>
      </c>
      <c r="I17" s="23" t="n">
        <v>24</v>
      </c>
      <c r="J17" s="20" t="s">
        <v>306</v>
      </c>
      <c r="K17" s="20" t="s">
        <v>40</v>
      </c>
      <c r="L17" s="21"/>
    </row>
    <row r="18" customFormat="false" ht="15" hidden="false" customHeight="false" outlineLevel="0" collapsed="false">
      <c r="A18" s="20" t="n">
        <v>17</v>
      </c>
      <c r="B18" s="21"/>
      <c r="C18" s="20" t="s">
        <v>71</v>
      </c>
      <c r="D18" s="20" t="s">
        <v>336</v>
      </c>
      <c r="E18" s="21" t="s">
        <v>337</v>
      </c>
      <c r="F18" s="22" t="n">
        <v>375</v>
      </c>
      <c r="G18" s="22" t="n">
        <f aca="false">F18*VLOOKUP(K18,Kurallar!$A$17:$B$22,2,0)</f>
        <v>375</v>
      </c>
      <c r="H18" s="22" t="n">
        <f aca="false">G18*I18</f>
        <v>4500</v>
      </c>
      <c r="I18" s="23" t="n">
        <v>12</v>
      </c>
      <c r="J18" s="20" t="s">
        <v>306</v>
      </c>
      <c r="K18" s="20" t="s">
        <v>40</v>
      </c>
      <c r="L18" s="21"/>
    </row>
    <row r="19" customFormat="false" ht="15" hidden="false" customHeight="false" outlineLevel="0" collapsed="false">
      <c r="A19" s="20" t="n">
        <v>18</v>
      </c>
      <c r="B19" s="21"/>
      <c r="C19" s="20" t="s">
        <v>338</v>
      </c>
      <c r="D19" s="20" t="s">
        <v>339</v>
      </c>
      <c r="E19" s="21" t="s">
        <v>340</v>
      </c>
      <c r="F19" s="22" t="n">
        <v>869</v>
      </c>
      <c r="G19" s="22" t="n">
        <f aca="false">F19*VLOOKUP(K19,Kurallar!$A$17:$B$22,2,0)</f>
        <v>521.4</v>
      </c>
      <c r="H19" s="22" t="n">
        <f aca="false">G19*I19</f>
        <v>3128.4</v>
      </c>
      <c r="I19" s="23" t="n">
        <v>6</v>
      </c>
      <c r="J19" s="20" t="s">
        <v>306</v>
      </c>
      <c r="K19" s="20" t="s">
        <v>33</v>
      </c>
      <c r="L19" s="21"/>
    </row>
    <row r="20" customFormat="false" ht="15" hidden="false" customHeight="false" outlineLevel="0" collapsed="false">
      <c r="A20" s="20" t="n">
        <v>19</v>
      </c>
      <c r="B20" s="21"/>
      <c r="C20" s="20" t="s">
        <v>338</v>
      </c>
      <c r="D20" s="20" t="s">
        <v>341</v>
      </c>
      <c r="E20" s="21" t="s">
        <v>342</v>
      </c>
      <c r="F20" s="22" t="n">
        <v>1801</v>
      </c>
      <c r="G20" s="22" t="n">
        <f aca="false">F20*VLOOKUP(K20,Kurallar!$A$17:$B$22,2,0)</f>
        <v>1801</v>
      </c>
      <c r="H20" s="22" t="n">
        <f aca="false">G20*I20</f>
        <v>14408</v>
      </c>
      <c r="I20" s="23" t="n">
        <v>8</v>
      </c>
      <c r="J20" s="20" t="s">
        <v>306</v>
      </c>
      <c r="K20" s="20" t="s">
        <v>39</v>
      </c>
      <c r="L20" s="21"/>
    </row>
    <row r="21" customFormat="false" ht="15" hidden="false" customHeight="false" outlineLevel="0" collapsed="false">
      <c r="A21" s="20" t="n">
        <v>20</v>
      </c>
      <c r="B21" s="21"/>
      <c r="C21" s="20" t="s">
        <v>338</v>
      </c>
      <c r="D21" s="20" t="s">
        <v>343</v>
      </c>
      <c r="E21" s="21" t="s">
        <v>344</v>
      </c>
      <c r="F21" s="22" t="n">
        <v>127</v>
      </c>
      <c r="G21" s="22" t="n">
        <f aca="false">F21*VLOOKUP(K21,Kurallar!$A$17:$B$22,2,0)</f>
        <v>127</v>
      </c>
      <c r="H21" s="22" t="n">
        <f aca="false">G21*I21</f>
        <v>10160</v>
      </c>
      <c r="I21" s="23" t="n">
        <v>80</v>
      </c>
      <c r="J21" s="20" t="s">
        <v>345</v>
      </c>
      <c r="K21" s="20" t="s">
        <v>37</v>
      </c>
      <c r="L21" s="21"/>
    </row>
    <row r="22" customFormat="false" ht="15" hidden="false" customHeight="false" outlineLevel="0" collapsed="false">
      <c r="A22" s="20" t="n">
        <v>21</v>
      </c>
      <c r="B22" s="21"/>
      <c r="C22" s="20" t="s">
        <v>338</v>
      </c>
      <c r="D22" s="20" t="s">
        <v>346</v>
      </c>
      <c r="E22" s="21" t="s">
        <v>347</v>
      </c>
      <c r="F22" s="22" t="n">
        <v>319</v>
      </c>
      <c r="G22" s="22" t="n">
        <f aca="false">F22*VLOOKUP(K22,Kurallar!$A$17:$B$22,2,0)</f>
        <v>319</v>
      </c>
      <c r="H22" s="22" t="n">
        <f aca="false">G22*I22</f>
        <v>12760</v>
      </c>
      <c r="I22" s="23" t="n">
        <v>40</v>
      </c>
      <c r="J22" s="20" t="s">
        <v>345</v>
      </c>
      <c r="K22" s="20" t="s">
        <v>37</v>
      </c>
      <c r="L22" s="21"/>
    </row>
    <row r="23" customFormat="false" ht="15" hidden="false" customHeight="false" outlineLevel="0" collapsed="false">
      <c r="A23" s="20" t="n">
        <v>22</v>
      </c>
      <c r="B23" s="21"/>
      <c r="C23" s="20" t="s">
        <v>338</v>
      </c>
      <c r="D23" s="20" t="s">
        <v>348</v>
      </c>
      <c r="E23" s="21" t="s">
        <v>349</v>
      </c>
      <c r="F23" s="22" t="n">
        <v>918</v>
      </c>
      <c r="G23" s="22" t="n">
        <f aca="false">F23*VLOOKUP(K23,Kurallar!$A$17:$B$22,2,0)</f>
        <v>918</v>
      </c>
      <c r="H23" s="22" t="n">
        <f aca="false">G23*I23</f>
        <v>27540</v>
      </c>
      <c r="I23" s="23" t="n">
        <v>30</v>
      </c>
      <c r="J23" s="20" t="s">
        <v>345</v>
      </c>
      <c r="K23" s="20" t="s">
        <v>37</v>
      </c>
      <c r="L23" s="21"/>
    </row>
    <row r="24" customFormat="false" ht="15" hidden="false" customHeight="false" outlineLevel="0" collapsed="false">
      <c r="A24" s="20" t="n">
        <v>23</v>
      </c>
      <c r="B24" s="21"/>
      <c r="C24" s="20" t="s">
        <v>338</v>
      </c>
      <c r="D24" s="20" t="s">
        <v>350</v>
      </c>
      <c r="E24" s="21" t="s">
        <v>351</v>
      </c>
      <c r="F24" s="22" t="n">
        <v>2935</v>
      </c>
      <c r="G24" s="22" t="n">
        <f aca="false">F24*VLOOKUP(K24,Kurallar!$A$17:$B$22,2,0)</f>
        <v>2935</v>
      </c>
      <c r="H24" s="22" t="n">
        <f aca="false">G24*I24</f>
        <v>88050</v>
      </c>
      <c r="I24" s="23" t="n">
        <v>30</v>
      </c>
      <c r="J24" s="20" t="s">
        <v>345</v>
      </c>
      <c r="K24" s="20" t="s">
        <v>37</v>
      </c>
      <c r="L24" s="21"/>
    </row>
    <row r="25" customFormat="false" ht="15" hidden="false" customHeight="false" outlineLevel="0" collapsed="false">
      <c r="A25" s="20" t="n">
        <v>24</v>
      </c>
      <c r="B25" s="21"/>
      <c r="C25" s="20" t="s">
        <v>352</v>
      </c>
      <c r="D25" s="20" t="s">
        <v>14</v>
      </c>
      <c r="E25" s="21" t="s">
        <v>353</v>
      </c>
      <c r="F25" s="22"/>
      <c r="G25" s="22" t="n">
        <f aca="false">SUM(H3:H24)*Kurallar!$B$9</f>
        <v>38116.608</v>
      </c>
      <c r="H25" s="22" t="n">
        <f aca="false">G25*I25</f>
        <v>38116.608</v>
      </c>
      <c r="I25" s="23" t="n">
        <v>1</v>
      </c>
      <c r="J25" s="20" t="s">
        <v>302</v>
      </c>
      <c r="K25" s="20" t="s">
        <v>14</v>
      </c>
      <c r="L25" s="21" t="s">
        <v>354</v>
      </c>
    </row>
    <row r="26" customFormat="false" ht="15" hidden="false" customHeight="false" outlineLevel="0" collapsed="false">
      <c r="A26" s="20" t="n">
        <v>25</v>
      </c>
      <c r="B26" s="21"/>
      <c r="C26" s="20" t="s">
        <v>355</v>
      </c>
      <c r="D26" s="20" t="s">
        <v>14</v>
      </c>
      <c r="E26" s="21" t="s">
        <v>356</v>
      </c>
      <c r="F26" s="24" t="n">
        <f aca="false">I26/60</f>
        <v>47.0333333333333</v>
      </c>
      <c r="G26" s="22" t="n">
        <f aca="false">Kurallar!$B$10</f>
        <v>100</v>
      </c>
      <c r="H26" s="22" t="n">
        <f aca="false">G26*I26</f>
        <v>282200</v>
      </c>
      <c r="I26" s="23" t="n">
        <f aca="false">ROUND((Kurallar!$C$41*8+Kurallar!$C$38*2+Kurallar!$C$42*6+Kurallar!$C$43*16+Kurallar!$C$39*36+Kurallar!$C$46*2+Kurallar!$C$35*2+Kurallar!$C$37*2+Kurallar!$C$33*2+Kurallar!$C$34*2+Kurallar!$C$31*20)*Kurallar!$B$11,0)</f>
        <v>2822</v>
      </c>
      <c r="J26" s="20" t="s">
        <v>357</v>
      </c>
      <c r="K26" s="20" t="s">
        <v>14</v>
      </c>
      <c r="L26" s="21" t="s">
        <v>358</v>
      </c>
    </row>
    <row r="27" customFormat="false" ht="23.85" hidden="false" customHeight="false" outlineLevel="0" collapsed="false">
      <c r="A27" s="25"/>
      <c r="B27" s="26" t="s">
        <v>359</v>
      </c>
      <c r="C27" s="25"/>
      <c r="D27" s="25"/>
      <c r="E27" s="26"/>
      <c r="F27" s="27"/>
      <c r="G27" s="27"/>
      <c r="H27" s="27" t="n">
        <f aca="false">SUBTOTAL(9,H3:H26)</f>
        <v>1590870.208</v>
      </c>
      <c r="I27" s="28"/>
      <c r="J27" s="25"/>
      <c r="K27" s="25"/>
      <c r="L27" s="26" t="s">
        <v>360</v>
      </c>
    </row>
    <row r="28" customFormat="false" ht="15" hidden="false" customHeight="false" outlineLevel="0" collapsed="false">
      <c r="A28" s="15" t="n">
        <v>27</v>
      </c>
      <c r="B28" s="16" t="str">
        <f aca="false">E28</f>
        <v>2-ВРУ (Блок 2, напольное, 2 секции)</v>
      </c>
      <c r="C28" s="15" t="s">
        <v>300</v>
      </c>
      <c r="D28" s="15"/>
      <c r="E28" s="17" t="s">
        <v>361</v>
      </c>
      <c r="F28" s="18"/>
      <c r="G28" s="18"/>
      <c r="H28" s="18"/>
      <c r="I28" s="19" t="n">
        <v>1</v>
      </c>
      <c r="J28" s="15" t="s">
        <v>302</v>
      </c>
      <c r="K28" s="15"/>
      <c r="L28" s="17"/>
    </row>
    <row r="29" customFormat="false" ht="15" hidden="false" customHeight="false" outlineLevel="0" collapsed="false">
      <c r="A29" s="20" t="n">
        <v>28</v>
      </c>
      <c r="B29" s="21"/>
      <c r="C29" s="20" t="s">
        <v>303</v>
      </c>
      <c r="D29" s="20" t="s">
        <v>304</v>
      </c>
      <c r="E29" s="21" t="s">
        <v>305</v>
      </c>
      <c r="F29" s="22" t="n">
        <v>96220</v>
      </c>
      <c r="G29" s="22" t="n">
        <f aca="false">F29*VLOOKUP(K29,Kurallar!$A$17:$B$22,2,0)</f>
        <v>96220</v>
      </c>
      <c r="H29" s="22" t="n">
        <f aca="false">G29*I29</f>
        <v>192440</v>
      </c>
      <c r="I29" s="23" t="n">
        <v>2</v>
      </c>
      <c r="J29" s="20" t="s">
        <v>306</v>
      </c>
      <c r="K29" s="20" t="s">
        <v>37</v>
      </c>
      <c r="L29" s="21"/>
    </row>
    <row r="30" customFormat="false" ht="15" hidden="false" customHeight="false" outlineLevel="0" collapsed="false">
      <c r="A30" s="20" t="n">
        <v>29</v>
      </c>
      <c r="B30" s="21"/>
      <c r="C30" s="20" t="s">
        <v>303</v>
      </c>
      <c r="D30" s="20" t="s">
        <v>307</v>
      </c>
      <c r="E30" s="21" t="s">
        <v>308</v>
      </c>
      <c r="F30" s="22" t="n">
        <v>24090</v>
      </c>
      <c r="G30" s="22" t="n">
        <f aca="false">F30*VLOOKUP(K30,Kurallar!$A$17:$B$22,2,0)</f>
        <v>24090</v>
      </c>
      <c r="H30" s="22" t="n">
        <f aca="false">G30*I30</f>
        <v>48180</v>
      </c>
      <c r="I30" s="23" t="n">
        <v>2</v>
      </c>
      <c r="J30" s="20" t="s">
        <v>306</v>
      </c>
      <c r="K30" s="20" t="s">
        <v>37</v>
      </c>
      <c r="L30" s="21"/>
    </row>
    <row r="31" customFormat="false" ht="15" hidden="false" customHeight="false" outlineLevel="0" collapsed="false">
      <c r="A31" s="20" t="n">
        <v>30</v>
      </c>
      <c r="B31" s="21"/>
      <c r="C31" s="20" t="s">
        <v>309</v>
      </c>
      <c r="D31" s="20" t="s">
        <v>245</v>
      </c>
      <c r="E31" s="21" t="s">
        <v>310</v>
      </c>
      <c r="F31" s="22" t="n">
        <v>215150</v>
      </c>
      <c r="G31" s="22" t="n">
        <f aca="false">F31*VLOOKUP(K31,Kurallar!$A$17:$B$22,2,0)</f>
        <v>129090</v>
      </c>
      <c r="H31" s="22" t="n">
        <f aca="false">G31*I31</f>
        <v>258180</v>
      </c>
      <c r="I31" s="23" t="n">
        <v>2</v>
      </c>
      <c r="J31" s="20" t="s">
        <v>306</v>
      </c>
      <c r="K31" s="20" t="s">
        <v>33</v>
      </c>
      <c r="L31" s="21"/>
    </row>
    <row r="32" customFormat="false" ht="15" hidden="false" customHeight="false" outlineLevel="0" collapsed="false">
      <c r="A32" s="20" t="n">
        <v>31</v>
      </c>
      <c r="B32" s="21"/>
      <c r="C32" s="20" t="s">
        <v>311</v>
      </c>
      <c r="D32" s="20" t="s">
        <v>241</v>
      </c>
      <c r="E32" s="21" t="s">
        <v>312</v>
      </c>
      <c r="F32" s="22" t="n">
        <v>95515</v>
      </c>
      <c r="G32" s="22" t="n">
        <f aca="false">F32*VLOOKUP(K32,Kurallar!$A$17:$B$22,2,0)</f>
        <v>57309</v>
      </c>
      <c r="H32" s="22" t="n">
        <f aca="false">G32*I32</f>
        <v>114618</v>
      </c>
      <c r="I32" s="23" t="n">
        <v>2</v>
      </c>
      <c r="J32" s="20" t="s">
        <v>306</v>
      </c>
      <c r="K32" s="20" t="s">
        <v>33</v>
      </c>
      <c r="L32" s="21"/>
    </row>
    <row r="33" customFormat="false" ht="15" hidden="false" customHeight="false" outlineLevel="0" collapsed="false">
      <c r="A33" s="20" t="n">
        <v>32</v>
      </c>
      <c r="B33" s="21"/>
      <c r="C33" s="20" t="s">
        <v>313</v>
      </c>
      <c r="D33" s="20" t="s">
        <v>314</v>
      </c>
      <c r="E33" s="21" t="s">
        <v>315</v>
      </c>
      <c r="F33" s="22" t="n">
        <v>18552</v>
      </c>
      <c r="G33" s="22" t="n">
        <f aca="false">F33*VLOOKUP(K33,Kurallar!$A$17:$B$22,2,0)</f>
        <v>11131.2</v>
      </c>
      <c r="H33" s="22" t="n">
        <f aca="false">G33*I33</f>
        <v>22262.4</v>
      </c>
      <c r="I33" s="23" t="n">
        <v>2</v>
      </c>
      <c r="J33" s="20" t="s">
        <v>306</v>
      </c>
      <c r="K33" s="20" t="s">
        <v>33</v>
      </c>
      <c r="L33" s="21"/>
    </row>
    <row r="34" customFormat="false" ht="15" hidden="false" customHeight="false" outlineLevel="0" collapsed="false">
      <c r="A34" s="20" t="n">
        <v>33</v>
      </c>
      <c r="B34" s="21"/>
      <c r="C34" s="20" t="s">
        <v>316</v>
      </c>
      <c r="D34" s="20" t="s">
        <v>317</v>
      </c>
      <c r="E34" s="21" t="s">
        <v>318</v>
      </c>
      <c r="F34" s="22" t="n">
        <v>5100</v>
      </c>
      <c r="G34" s="22" t="n">
        <f aca="false">F34*VLOOKUP(K34,Kurallar!$A$17:$B$22,2,0)</f>
        <v>5100</v>
      </c>
      <c r="H34" s="22" t="n">
        <f aca="false">G34*I34</f>
        <v>61200</v>
      </c>
      <c r="I34" s="23" t="n">
        <v>12</v>
      </c>
      <c r="J34" s="20" t="s">
        <v>306</v>
      </c>
      <c r="K34" s="20" t="s">
        <v>35</v>
      </c>
      <c r="L34" s="21"/>
    </row>
    <row r="35" customFormat="false" ht="15" hidden="false" customHeight="false" outlineLevel="0" collapsed="false">
      <c r="A35" s="20" t="n">
        <v>34</v>
      </c>
      <c r="B35" s="21"/>
      <c r="C35" s="20" t="s">
        <v>319</v>
      </c>
      <c r="D35" s="20" t="s">
        <v>320</v>
      </c>
      <c r="E35" s="21" t="s">
        <v>321</v>
      </c>
      <c r="F35" s="22" t="n">
        <v>19000</v>
      </c>
      <c r="G35" s="22" t="n">
        <f aca="false">F35*VLOOKUP(K35,Kurallar!$A$17:$B$22,2,0)</f>
        <v>19000</v>
      </c>
      <c r="H35" s="22" t="n">
        <f aca="false">G35*I35</f>
        <v>38000</v>
      </c>
      <c r="I35" s="23" t="n">
        <v>2</v>
      </c>
      <c r="J35" s="20" t="s">
        <v>306</v>
      </c>
      <c r="K35" s="20" t="s">
        <v>35</v>
      </c>
      <c r="L35" s="21"/>
    </row>
    <row r="36" customFormat="false" ht="15" hidden="false" customHeight="false" outlineLevel="0" collapsed="false">
      <c r="A36" s="20" t="n">
        <v>35</v>
      </c>
      <c r="B36" s="21"/>
      <c r="C36" s="20" t="s">
        <v>322</v>
      </c>
      <c r="D36" s="20" t="s">
        <v>264</v>
      </c>
      <c r="E36" s="21" t="s">
        <v>323</v>
      </c>
      <c r="F36" s="22" t="n">
        <v>70343</v>
      </c>
      <c r="G36" s="22" t="n">
        <f aca="false">F36*VLOOKUP(K36,Kurallar!$A$17:$B$22,2,0)</f>
        <v>42205.8</v>
      </c>
      <c r="H36" s="22" t="n">
        <f aca="false">G36*I36</f>
        <v>84411.6</v>
      </c>
      <c r="I36" s="23" t="n">
        <v>2</v>
      </c>
      <c r="J36" s="20" t="s">
        <v>306</v>
      </c>
      <c r="K36" s="20" t="s">
        <v>33</v>
      </c>
      <c r="L36" s="21"/>
    </row>
    <row r="37" customFormat="false" ht="15" hidden="false" customHeight="false" outlineLevel="0" collapsed="false">
      <c r="A37" s="20" t="n">
        <v>36</v>
      </c>
      <c r="B37" s="21"/>
      <c r="C37" s="20" t="s">
        <v>311</v>
      </c>
      <c r="D37" s="20" t="s">
        <v>238</v>
      </c>
      <c r="E37" s="21" t="s">
        <v>362</v>
      </c>
      <c r="F37" s="22" t="n">
        <v>27656</v>
      </c>
      <c r="G37" s="22" t="n">
        <f aca="false">F37*VLOOKUP(K37,Kurallar!$A$17:$B$22,2,0)</f>
        <v>16593.6</v>
      </c>
      <c r="H37" s="22" t="n">
        <f aca="false">G37*I37</f>
        <v>16593.6</v>
      </c>
      <c r="I37" s="23" t="n">
        <v>1</v>
      </c>
      <c r="J37" s="20" t="s">
        <v>306</v>
      </c>
      <c r="K37" s="20" t="s">
        <v>33</v>
      </c>
      <c r="L37" s="21"/>
    </row>
    <row r="38" customFormat="false" ht="15" hidden="false" customHeight="false" outlineLevel="0" collapsed="false">
      <c r="A38" s="20" t="n">
        <v>37</v>
      </c>
      <c r="B38" s="21"/>
      <c r="C38" s="20" t="s">
        <v>311</v>
      </c>
      <c r="D38" s="20" t="s">
        <v>236</v>
      </c>
      <c r="E38" s="21" t="s">
        <v>363</v>
      </c>
      <c r="F38" s="22" t="n">
        <v>24075</v>
      </c>
      <c r="G38" s="22" t="n">
        <f aca="false">F38*VLOOKUP(K38,Kurallar!$A$17:$B$22,2,0)</f>
        <v>14445</v>
      </c>
      <c r="H38" s="22" t="n">
        <f aca="false">G38*I38</f>
        <v>14445</v>
      </c>
      <c r="I38" s="23" t="n">
        <v>1</v>
      </c>
      <c r="J38" s="20" t="s">
        <v>306</v>
      </c>
      <c r="K38" s="20" t="s">
        <v>33</v>
      </c>
      <c r="L38" s="21"/>
    </row>
    <row r="39" customFormat="false" ht="15" hidden="false" customHeight="false" outlineLevel="0" collapsed="false">
      <c r="A39" s="20" t="n">
        <v>38</v>
      </c>
      <c r="B39" s="21"/>
      <c r="C39" s="20" t="s">
        <v>311</v>
      </c>
      <c r="D39" s="20" t="s">
        <v>234</v>
      </c>
      <c r="E39" s="21" t="s">
        <v>324</v>
      </c>
      <c r="F39" s="22" t="n">
        <v>24075</v>
      </c>
      <c r="G39" s="22" t="n">
        <f aca="false">F39*VLOOKUP(K39,Kurallar!$A$17:$B$22,2,0)</f>
        <v>14445</v>
      </c>
      <c r="H39" s="22" t="n">
        <f aca="false">G39*I39</f>
        <v>14445</v>
      </c>
      <c r="I39" s="23" t="n">
        <v>1</v>
      </c>
      <c r="J39" s="20" t="s">
        <v>306</v>
      </c>
      <c r="K39" s="20" t="s">
        <v>33</v>
      </c>
      <c r="L39" s="21"/>
    </row>
    <row r="40" customFormat="false" ht="15" hidden="false" customHeight="false" outlineLevel="0" collapsed="false">
      <c r="A40" s="20" t="n">
        <v>39</v>
      </c>
      <c r="B40" s="21"/>
      <c r="C40" s="20" t="s">
        <v>311</v>
      </c>
      <c r="D40" s="20" t="s">
        <v>226</v>
      </c>
      <c r="E40" s="21" t="s">
        <v>325</v>
      </c>
      <c r="F40" s="22" t="n">
        <v>24075</v>
      </c>
      <c r="G40" s="22" t="n">
        <f aca="false">F40*VLOOKUP(K40,Kurallar!$A$17:$B$22,2,0)</f>
        <v>14445</v>
      </c>
      <c r="H40" s="22" t="n">
        <f aca="false">G40*I40</f>
        <v>43335</v>
      </c>
      <c r="I40" s="23" t="n">
        <v>3</v>
      </c>
      <c r="J40" s="20" t="s">
        <v>306</v>
      </c>
      <c r="K40" s="20" t="s">
        <v>33</v>
      </c>
      <c r="L40" s="21"/>
    </row>
    <row r="41" customFormat="false" ht="15" hidden="false" customHeight="false" outlineLevel="0" collapsed="false">
      <c r="A41" s="20" t="n">
        <v>40</v>
      </c>
      <c r="B41" s="21"/>
      <c r="C41" s="20" t="s">
        <v>311</v>
      </c>
      <c r="D41" s="20" t="s">
        <v>232</v>
      </c>
      <c r="E41" s="21" t="s">
        <v>364</v>
      </c>
      <c r="F41" s="22" t="n">
        <v>24075</v>
      </c>
      <c r="G41" s="22" t="n">
        <f aca="false">F41*VLOOKUP(K41,Kurallar!$A$17:$B$22,2,0)</f>
        <v>14445</v>
      </c>
      <c r="H41" s="22" t="n">
        <f aca="false">G41*I41</f>
        <v>28890</v>
      </c>
      <c r="I41" s="23" t="n">
        <v>2</v>
      </c>
      <c r="J41" s="20" t="s">
        <v>306</v>
      </c>
      <c r="K41" s="20" t="s">
        <v>33</v>
      </c>
      <c r="L41" s="21"/>
    </row>
    <row r="42" customFormat="false" ht="15" hidden="false" customHeight="false" outlineLevel="0" collapsed="false">
      <c r="A42" s="20" t="n">
        <v>41</v>
      </c>
      <c r="B42" s="21"/>
      <c r="C42" s="20" t="s">
        <v>311</v>
      </c>
      <c r="D42" s="20" t="s">
        <v>229</v>
      </c>
      <c r="E42" s="21" t="s">
        <v>326</v>
      </c>
      <c r="F42" s="22" t="n">
        <v>24075</v>
      </c>
      <c r="G42" s="22" t="n">
        <f aca="false">F42*VLOOKUP(K42,Kurallar!$A$17:$B$22,2,0)</f>
        <v>14445</v>
      </c>
      <c r="H42" s="22" t="n">
        <f aca="false">G42*I42</f>
        <v>14445</v>
      </c>
      <c r="I42" s="23" t="n">
        <v>1</v>
      </c>
      <c r="J42" s="20" t="s">
        <v>306</v>
      </c>
      <c r="K42" s="20" t="s">
        <v>33</v>
      </c>
      <c r="L42" s="21"/>
    </row>
    <row r="43" customFormat="false" ht="15" hidden="false" customHeight="false" outlineLevel="0" collapsed="false">
      <c r="A43" s="20" t="n">
        <v>42</v>
      </c>
      <c r="B43" s="21"/>
      <c r="C43" s="20" t="s">
        <v>311</v>
      </c>
      <c r="D43" s="20" t="s">
        <v>223</v>
      </c>
      <c r="E43" s="21" t="s">
        <v>327</v>
      </c>
      <c r="F43" s="22" t="n">
        <v>24075</v>
      </c>
      <c r="G43" s="22" t="n">
        <f aca="false">F43*VLOOKUP(K43,Kurallar!$A$17:$B$22,2,0)</f>
        <v>14445</v>
      </c>
      <c r="H43" s="22" t="n">
        <f aca="false">G43*I43</f>
        <v>115560</v>
      </c>
      <c r="I43" s="23" t="n">
        <v>8</v>
      </c>
      <c r="J43" s="20" t="s">
        <v>306</v>
      </c>
      <c r="K43" s="20" t="s">
        <v>33</v>
      </c>
      <c r="L43" s="21"/>
    </row>
    <row r="44" customFormat="false" ht="15" hidden="false" customHeight="false" outlineLevel="0" collapsed="false">
      <c r="A44" s="20" t="n">
        <v>43</v>
      </c>
      <c r="B44" s="21"/>
      <c r="C44" s="20" t="s">
        <v>311</v>
      </c>
      <c r="D44" s="20" t="s">
        <v>240</v>
      </c>
      <c r="E44" s="21" t="s">
        <v>365</v>
      </c>
      <c r="F44" s="22" t="n">
        <v>65019</v>
      </c>
      <c r="G44" s="22" t="n">
        <f aca="false">F44*VLOOKUP(K44,Kurallar!$A$17:$B$22,2,0)</f>
        <v>39011.4</v>
      </c>
      <c r="H44" s="22" t="n">
        <f aca="false">G44*I44</f>
        <v>39011.4</v>
      </c>
      <c r="I44" s="23" t="n">
        <v>1</v>
      </c>
      <c r="J44" s="20" t="s">
        <v>306</v>
      </c>
      <c r="K44" s="20" t="s">
        <v>33</v>
      </c>
      <c r="L44" s="21"/>
    </row>
    <row r="45" customFormat="false" ht="15" hidden="false" customHeight="false" outlineLevel="0" collapsed="false">
      <c r="A45" s="20" t="n">
        <v>44</v>
      </c>
      <c r="B45" s="21"/>
      <c r="C45" s="20" t="s">
        <v>328</v>
      </c>
      <c r="D45" s="20" t="s">
        <v>329</v>
      </c>
      <c r="E45" s="21" t="s">
        <v>330</v>
      </c>
      <c r="F45" s="22" t="n">
        <v>2336</v>
      </c>
      <c r="G45" s="22" t="n">
        <f aca="false">F45*VLOOKUP(K45,Kurallar!$A$17:$B$22,2,0)</f>
        <v>1401.6</v>
      </c>
      <c r="H45" s="22" t="n">
        <f aca="false">G45*I45</f>
        <v>2803.2</v>
      </c>
      <c r="I45" s="23" t="n">
        <v>2</v>
      </c>
      <c r="J45" s="20" t="s">
        <v>306</v>
      </c>
      <c r="K45" s="20" t="s">
        <v>33</v>
      </c>
      <c r="L45" s="21"/>
    </row>
    <row r="46" customFormat="false" ht="15" hidden="false" customHeight="false" outlineLevel="0" collapsed="false">
      <c r="A46" s="20" t="n">
        <v>45</v>
      </c>
      <c r="B46" s="21"/>
      <c r="C46" s="20" t="s">
        <v>331</v>
      </c>
      <c r="D46" s="20" t="s">
        <v>332</v>
      </c>
      <c r="E46" s="21" t="s">
        <v>333</v>
      </c>
      <c r="F46" s="22" t="n">
        <v>11131</v>
      </c>
      <c r="G46" s="22" t="n">
        <f aca="false">F46*VLOOKUP(K46,Kurallar!$A$17:$B$22,2,0)</f>
        <v>11131</v>
      </c>
      <c r="H46" s="22" t="n">
        <f aca="false">G46*I46</f>
        <v>22262</v>
      </c>
      <c r="I46" s="23" t="n">
        <v>2</v>
      </c>
      <c r="J46" s="20" t="s">
        <v>306</v>
      </c>
      <c r="K46" s="20" t="s">
        <v>37</v>
      </c>
      <c r="L46" s="21"/>
    </row>
    <row r="47" customFormat="false" ht="15" hidden="false" customHeight="false" outlineLevel="0" collapsed="false">
      <c r="A47" s="20" t="n">
        <v>46</v>
      </c>
      <c r="B47" s="21"/>
      <c r="C47" s="20" t="s">
        <v>71</v>
      </c>
      <c r="D47" s="20" t="s">
        <v>334</v>
      </c>
      <c r="E47" s="21" t="s">
        <v>335</v>
      </c>
      <c r="F47" s="22" t="n">
        <v>235</v>
      </c>
      <c r="G47" s="22" t="n">
        <f aca="false">F47*VLOOKUP(K47,Kurallar!$A$17:$B$22,2,0)</f>
        <v>235</v>
      </c>
      <c r="H47" s="22" t="n">
        <f aca="false">G47*I47</f>
        <v>5640</v>
      </c>
      <c r="I47" s="23" t="n">
        <v>24</v>
      </c>
      <c r="J47" s="20" t="s">
        <v>306</v>
      </c>
      <c r="K47" s="20" t="s">
        <v>40</v>
      </c>
      <c r="L47" s="21"/>
    </row>
    <row r="48" customFormat="false" ht="15" hidden="false" customHeight="false" outlineLevel="0" collapsed="false">
      <c r="A48" s="20" t="n">
        <v>47</v>
      </c>
      <c r="B48" s="21"/>
      <c r="C48" s="20" t="s">
        <v>71</v>
      </c>
      <c r="D48" s="20" t="s">
        <v>336</v>
      </c>
      <c r="E48" s="21" t="s">
        <v>337</v>
      </c>
      <c r="F48" s="22" t="n">
        <v>375</v>
      </c>
      <c r="G48" s="22" t="n">
        <f aca="false">F48*VLOOKUP(K48,Kurallar!$A$17:$B$22,2,0)</f>
        <v>375</v>
      </c>
      <c r="H48" s="22" t="n">
        <f aca="false">G48*I48</f>
        <v>4500</v>
      </c>
      <c r="I48" s="23" t="n">
        <v>12</v>
      </c>
      <c r="J48" s="20" t="s">
        <v>306</v>
      </c>
      <c r="K48" s="20" t="s">
        <v>40</v>
      </c>
      <c r="L48" s="21"/>
    </row>
    <row r="49" customFormat="false" ht="15" hidden="false" customHeight="false" outlineLevel="0" collapsed="false">
      <c r="A49" s="20" t="n">
        <v>48</v>
      </c>
      <c r="B49" s="21"/>
      <c r="C49" s="20" t="s">
        <v>338</v>
      </c>
      <c r="D49" s="20" t="s">
        <v>339</v>
      </c>
      <c r="E49" s="21" t="s">
        <v>340</v>
      </c>
      <c r="F49" s="22" t="n">
        <v>869</v>
      </c>
      <c r="G49" s="22" t="n">
        <f aca="false">F49*VLOOKUP(K49,Kurallar!$A$17:$B$22,2,0)</f>
        <v>521.4</v>
      </c>
      <c r="H49" s="22" t="n">
        <f aca="false">G49*I49</f>
        <v>3128.4</v>
      </c>
      <c r="I49" s="23" t="n">
        <v>6</v>
      </c>
      <c r="J49" s="20" t="s">
        <v>306</v>
      </c>
      <c r="K49" s="20" t="s">
        <v>33</v>
      </c>
      <c r="L49" s="21"/>
    </row>
    <row r="50" customFormat="false" ht="15" hidden="false" customHeight="false" outlineLevel="0" collapsed="false">
      <c r="A50" s="20" t="n">
        <v>49</v>
      </c>
      <c r="B50" s="21"/>
      <c r="C50" s="20" t="s">
        <v>338</v>
      </c>
      <c r="D50" s="20" t="s">
        <v>341</v>
      </c>
      <c r="E50" s="21" t="s">
        <v>342</v>
      </c>
      <c r="F50" s="22" t="n">
        <v>1801</v>
      </c>
      <c r="G50" s="22" t="n">
        <f aca="false">F50*VLOOKUP(K50,Kurallar!$A$17:$B$22,2,0)</f>
        <v>1801</v>
      </c>
      <c r="H50" s="22" t="n">
        <f aca="false">G50*I50</f>
        <v>14408</v>
      </c>
      <c r="I50" s="23" t="n">
        <v>8</v>
      </c>
      <c r="J50" s="20" t="s">
        <v>306</v>
      </c>
      <c r="K50" s="20" t="s">
        <v>39</v>
      </c>
      <c r="L50" s="21"/>
    </row>
    <row r="51" customFormat="false" ht="15" hidden="false" customHeight="false" outlineLevel="0" collapsed="false">
      <c r="A51" s="20" t="n">
        <v>50</v>
      </c>
      <c r="B51" s="21"/>
      <c r="C51" s="20" t="s">
        <v>338</v>
      </c>
      <c r="D51" s="20" t="s">
        <v>343</v>
      </c>
      <c r="E51" s="21" t="s">
        <v>344</v>
      </c>
      <c r="F51" s="22" t="n">
        <v>127</v>
      </c>
      <c r="G51" s="22" t="n">
        <f aca="false">F51*VLOOKUP(K51,Kurallar!$A$17:$B$22,2,0)</f>
        <v>127</v>
      </c>
      <c r="H51" s="22" t="n">
        <f aca="false">G51*I51</f>
        <v>10160</v>
      </c>
      <c r="I51" s="23" t="n">
        <v>80</v>
      </c>
      <c r="J51" s="20" t="s">
        <v>345</v>
      </c>
      <c r="K51" s="20" t="s">
        <v>37</v>
      </c>
      <c r="L51" s="21"/>
    </row>
    <row r="52" customFormat="false" ht="15" hidden="false" customHeight="false" outlineLevel="0" collapsed="false">
      <c r="A52" s="20" t="n">
        <v>51</v>
      </c>
      <c r="B52" s="21"/>
      <c r="C52" s="20" t="s">
        <v>338</v>
      </c>
      <c r="D52" s="20" t="s">
        <v>346</v>
      </c>
      <c r="E52" s="21" t="s">
        <v>347</v>
      </c>
      <c r="F52" s="22" t="n">
        <v>319</v>
      </c>
      <c r="G52" s="22" t="n">
        <f aca="false">F52*VLOOKUP(K52,Kurallar!$A$17:$B$22,2,0)</f>
        <v>319</v>
      </c>
      <c r="H52" s="22" t="n">
        <f aca="false">G52*I52</f>
        <v>12760</v>
      </c>
      <c r="I52" s="23" t="n">
        <v>40</v>
      </c>
      <c r="J52" s="20" t="s">
        <v>345</v>
      </c>
      <c r="K52" s="20" t="s">
        <v>37</v>
      </c>
      <c r="L52" s="21"/>
    </row>
    <row r="53" customFormat="false" ht="15" hidden="false" customHeight="false" outlineLevel="0" collapsed="false">
      <c r="A53" s="20" t="n">
        <v>52</v>
      </c>
      <c r="B53" s="21"/>
      <c r="C53" s="20" t="s">
        <v>338</v>
      </c>
      <c r="D53" s="20" t="s">
        <v>348</v>
      </c>
      <c r="E53" s="21" t="s">
        <v>349</v>
      </c>
      <c r="F53" s="22" t="n">
        <v>918</v>
      </c>
      <c r="G53" s="22" t="n">
        <f aca="false">F53*VLOOKUP(K53,Kurallar!$A$17:$B$22,2,0)</f>
        <v>918</v>
      </c>
      <c r="H53" s="22" t="n">
        <f aca="false">G53*I53</f>
        <v>27540</v>
      </c>
      <c r="I53" s="23" t="n">
        <v>30</v>
      </c>
      <c r="J53" s="20" t="s">
        <v>345</v>
      </c>
      <c r="K53" s="20" t="s">
        <v>37</v>
      </c>
      <c r="L53" s="21"/>
    </row>
    <row r="54" customFormat="false" ht="15" hidden="false" customHeight="false" outlineLevel="0" collapsed="false">
      <c r="A54" s="20" t="n">
        <v>53</v>
      </c>
      <c r="B54" s="21"/>
      <c r="C54" s="20" t="s">
        <v>338</v>
      </c>
      <c r="D54" s="20" t="s">
        <v>350</v>
      </c>
      <c r="E54" s="21" t="s">
        <v>351</v>
      </c>
      <c r="F54" s="22" t="n">
        <v>2935</v>
      </c>
      <c r="G54" s="22" t="n">
        <f aca="false">F54*VLOOKUP(K54,Kurallar!$A$17:$B$22,2,0)</f>
        <v>2935</v>
      </c>
      <c r="H54" s="22" t="n">
        <f aca="false">G54*I54</f>
        <v>88050</v>
      </c>
      <c r="I54" s="23" t="n">
        <v>30</v>
      </c>
      <c r="J54" s="20" t="s">
        <v>345</v>
      </c>
      <c r="K54" s="20" t="s">
        <v>37</v>
      </c>
      <c r="L54" s="21"/>
    </row>
    <row r="55" customFormat="false" ht="15" hidden="false" customHeight="false" outlineLevel="0" collapsed="false">
      <c r="A55" s="20" t="n">
        <v>54</v>
      </c>
      <c r="B55" s="21"/>
      <c r="C55" s="20" t="s">
        <v>352</v>
      </c>
      <c r="D55" s="20" t="s">
        <v>14</v>
      </c>
      <c r="E55" s="21" t="s">
        <v>353</v>
      </c>
      <c r="F55" s="22"/>
      <c r="G55" s="22" t="n">
        <f aca="false">SUM(H29:H54)*Kurallar!$B$9</f>
        <v>38918.058</v>
      </c>
      <c r="H55" s="22" t="n">
        <f aca="false">G55*I55</f>
        <v>38918.058</v>
      </c>
      <c r="I55" s="23" t="n">
        <v>1</v>
      </c>
      <c r="J55" s="20" t="s">
        <v>302</v>
      </c>
      <c r="K55" s="20" t="s">
        <v>14</v>
      </c>
      <c r="L55" s="21" t="s">
        <v>354</v>
      </c>
    </row>
    <row r="56" customFormat="false" ht="15" hidden="false" customHeight="false" outlineLevel="0" collapsed="false">
      <c r="A56" s="20" t="n">
        <v>55</v>
      </c>
      <c r="B56" s="21"/>
      <c r="C56" s="20" t="s">
        <v>355</v>
      </c>
      <c r="D56" s="20" t="s">
        <v>14</v>
      </c>
      <c r="E56" s="21" t="s">
        <v>356</v>
      </c>
      <c r="F56" s="24" t="n">
        <f aca="false">I56/60</f>
        <v>47.0333333333333</v>
      </c>
      <c r="G56" s="22" t="n">
        <f aca="false">Kurallar!$B$10</f>
        <v>100</v>
      </c>
      <c r="H56" s="22" t="n">
        <f aca="false">G56*I56</f>
        <v>282200</v>
      </c>
      <c r="I56" s="23" t="n">
        <f aca="false">ROUND((Kurallar!$C$41*8+Kurallar!$C$38*2+Kurallar!$C$42*6+Kurallar!$C$43*16+Kurallar!$C$39*36+Kurallar!$C$46*2+Kurallar!$C$35*2+Kurallar!$C$37*2+Kurallar!$C$33*2+Kurallar!$C$34*2+Kurallar!$C$31*20)*Kurallar!$B$11,0)</f>
        <v>2822</v>
      </c>
      <c r="J56" s="20" t="s">
        <v>357</v>
      </c>
      <c r="K56" s="20" t="s">
        <v>14</v>
      </c>
      <c r="L56" s="21" t="s">
        <v>358</v>
      </c>
    </row>
    <row r="57" customFormat="false" ht="23.85" hidden="false" customHeight="false" outlineLevel="0" collapsed="false">
      <c r="A57" s="25"/>
      <c r="B57" s="26" t="s">
        <v>366</v>
      </c>
      <c r="C57" s="25"/>
      <c r="D57" s="25"/>
      <c r="E57" s="26"/>
      <c r="F57" s="27"/>
      <c r="G57" s="27"/>
      <c r="H57" s="27" t="n">
        <f aca="false">SUBTOTAL(9,H29:H56)</f>
        <v>1618386.658</v>
      </c>
      <c r="I57" s="28"/>
      <c r="J57" s="25"/>
      <c r="K57" s="25"/>
      <c r="L57" s="26" t="s">
        <v>360</v>
      </c>
    </row>
    <row r="58" customFormat="false" ht="15" hidden="false" customHeight="false" outlineLevel="0" collapsed="false">
      <c r="A58" s="15" t="n">
        <v>57</v>
      </c>
      <c r="B58" s="16" t="str">
        <f aca="false">E58</f>
        <v>3-ВРУ (Блок 3, напольное, 2 секции)</v>
      </c>
      <c r="C58" s="15" t="s">
        <v>300</v>
      </c>
      <c r="D58" s="15"/>
      <c r="E58" s="17" t="s">
        <v>367</v>
      </c>
      <c r="F58" s="18"/>
      <c r="G58" s="18"/>
      <c r="H58" s="18"/>
      <c r="I58" s="19" t="n">
        <v>1</v>
      </c>
      <c r="J58" s="15" t="s">
        <v>302</v>
      </c>
      <c r="K58" s="15"/>
      <c r="L58" s="17"/>
    </row>
    <row r="59" customFormat="false" ht="15" hidden="false" customHeight="false" outlineLevel="0" collapsed="false">
      <c r="A59" s="20" t="n">
        <v>58</v>
      </c>
      <c r="B59" s="21"/>
      <c r="C59" s="20" t="s">
        <v>303</v>
      </c>
      <c r="D59" s="20" t="s">
        <v>304</v>
      </c>
      <c r="E59" s="21" t="s">
        <v>305</v>
      </c>
      <c r="F59" s="22" t="n">
        <v>96220</v>
      </c>
      <c r="G59" s="22" t="n">
        <f aca="false">F59*VLOOKUP(K59,Kurallar!$A$17:$B$22,2,0)</f>
        <v>96220</v>
      </c>
      <c r="H59" s="22" t="n">
        <f aca="false">G59*I59</f>
        <v>192440</v>
      </c>
      <c r="I59" s="23" t="n">
        <v>2</v>
      </c>
      <c r="J59" s="20" t="s">
        <v>306</v>
      </c>
      <c r="K59" s="20" t="s">
        <v>37</v>
      </c>
      <c r="L59" s="21"/>
    </row>
    <row r="60" customFormat="false" ht="15" hidden="false" customHeight="false" outlineLevel="0" collapsed="false">
      <c r="A60" s="20" t="n">
        <v>59</v>
      </c>
      <c r="B60" s="21"/>
      <c r="C60" s="20" t="s">
        <v>303</v>
      </c>
      <c r="D60" s="20" t="s">
        <v>307</v>
      </c>
      <c r="E60" s="21" t="s">
        <v>308</v>
      </c>
      <c r="F60" s="22" t="n">
        <v>24090</v>
      </c>
      <c r="G60" s="22" t="n">
        <f aca="false">F60*VLOOKUP(K60,Kurallar!$A$17:$B$22,2,0)</f>
        <v>24090</v>
      </c>
      <c r="H60" s="22" t="n">
        <f aca="false">G60*I60</f>
        <v>48180</v>
      </c>
      <c r="I60" s="23" t="n">
        <v>2</v>
      </c>
      <c r="J60" s="20" t="s">
        <v>306</v>
      </c>
      <c r="K60" s="20" t="s">
        <v>37</v>
      </c>
      <c r="L60" s="21"/>
    </row>
    <row r="61" customFormat="false" ht="15" hidden="false" customHeight="false" outlineLevel="0" collapsed="false">
      <c r="A61" s="20" t="n">
        <v>60</v>
      </c>
      <c r="B61" s="21"/>
      <c r="C61" s="20" t="s">
        <v>309</v>
      </c>
      <c r="D61" s="20" t="s">
        <v>245</v>
      </c>
      <c r="E61" s="21" t="s">
        <v>310</v>
      </c>
      <c r="F61" s="22" t="n">
        <v>215150</v>
      </c>
      <c r="G61" s="22" t="n">
        <f aca="false">F61*VLOOKUP(K61,Kurallar!$A$17:$B$22,2,0)</f>
        <v>129090</v>
      </c>
      <c r="H61" s="22" t="n">
        <f aca="false">G61*I61</f>
        <v>258180</v>
      </c>
      <c r="I61" s="23" t="n">
        <v>2</v>
      </c>
      <c r="J61" s="20" t="s">
        <v>306</v>
      </c>
      <c r="K61" s="20" t="s">
        <v>33</v>
      </c>
      <c r="L61" s="21"/>
    </row>
    <row r="62" customFormat="false" ht="15" hidden="false" customHeight="false" outlineLevel="0" collapsed="false">
      <c r="A62" s="20" t="n">
        <v>61</v>
      </c>
      <c r="B62" s="21"/>
      <c r="C62" s="20" t="s">
        <v>311</v>
      </c>
      <c r="D62" s="20" t="s">
        <v>243</v>
      </c>
      <c r="E62" s="21" t="s">
        <v>368</v>
      </c>
      <c r="F62" s="22" t="n">
        <v>94890</v>
      </c>
      <c r="G62" s="22" t="n">
        <f aca="false">F62*VLOOKUP(K62,Kurallar!$A$17:$B$22,2,0)</f>
        <v>56934</v>
      </c>
      <c r="H62" s="22" t="n">
        <f aca="false">G62*I62</f>
        <v>113868</v>
      </c>
      <c r="I62" s="23" t="n">
        <v>2</v>
      </c>
      <c r="J62" s="20" t="s">
        <v>306</v>
      </c>
      <c r="K62" s="20" t="s">
        <v>33</v>
      </c>
      <c r="L62" s="21"/>
    </row>
    <row r="63" customFormat="false" ht="15" hidden="false" customHeight="false" outlineLevel="0" collapsed="false">
      <c r="A63" s="20" t="n">
        <v>62</v>
      </c>
      <c r="B63" s="21"/>
      <c r="C63" s="20" t="s">
        <v>313</v>
      </c>
      <c r="D63" s="20" t="s">
        <v>314</v>
      </c>
      <c r="E63" s="21" t="s">
        <v>315</v>
      </c>
      <c r="F63" s="22" t="n">
        <v>18552</v>
      </c>
      <c r="G63" s="22" t="n">
        <f aca="false">F63*VLOOKUP(K63,Kurallar!$A$17:$B$22,2,0)</f>
        <v>11131.2</v>
      </c>
      <c r="H63" s="22" t="n">
        <f aca="false">G63*I63</f>
        <v>22262.4</v>
      </c>
      <c r="I63" s="23" t="n">
        <v>2</v>
      </c>
      <c r="J63" s="20" t="s">
        <v>306</v>
      </c>
      <c r="K63" s="20" t="s">
        <v>33</v>
      </c>
      <c r="L63" s="21"/>
    </row>
    <row r="64" customFormat="false" ht="15" hidden="false" customHeight="false" outlineLevel="0" collapsed="false">
      <c r="A64" s="20" t="n">
        <v>63</v>
      </c>
      <c r="B64" s="21"/>
      <c r="C64" s="20" t="s">
        <v>316</v>
      </c>
      <c r="D64" s="20" t="s">
        <v>317</v>
      </c>
      <c r="E64" s="21" t="s">
        <v>318</v>
      </c>
      <c r="F64" s="22" t="n">
        <v>5100</v>
      </c>
      <c r="G64" s="22" t="n">
        <f aca="false">F64*VLOOKUP(K64,Kurallar!$A$17:$B$22,2,0)</f>
        <v>5100</v>
      </c>
      <c r="H64" s="22" t="n">
        <f aca="false">G64*I64</f>
        <v>61200</v>
      </c>
      <c r="I64" s="23" t="n">
        <v>12</v>
      </c>
      <c r="J64" s="20" t="s">
        <v>306</v>
      </c>
      <c r="K64" s="20" t="s">
        <v>35</v>
      </c>
      <c r="L64" s="21"/>
    </row>
    <row r="65" customFormat="false" ht="15" hidden="false" customHeight="false" outlineLevel="0" collapsed="false">
      <c r="A65" s="20" t="n">
        <v>64</v>
      </c>
      <c r="B65" s="21"/>
      <c r="C65" s="20" t="s">
        <v>319</v>
      </c>
      <c r="D65" s="20" t="s">
        <v>320</v>
      </c>
      <c r="E65" s="21" t="s">
        <v>321</v>
      </c>
      <c r="F65" s="22" t="n">
        <v>19000</v>
      </c>
      <c r="G65" s="22" t="n">
        <f aca="false">F65*VLOOKUP(K65,Kurallar!$A$17:$B$22,2,0)</f>
        <v>19000</v>
      </c>
      <c r="H65" s="22" t="n">
        <f aca="false">G65*I65</f>
        <v>38000</v>
      </c>
      <c r="I65" s="23" t="n">
        <v>2</v>
      </c>
      <c r="J65" s="20" t="s">
        <v>306</v>
      </c>
      <c r="K65" s="20" t="s">
        <v>35</v>
      </c>
      <c r="L65" s="21"/>
    </row>
    <row r="66" customFormat="false" ht="15" hidden="false" customHeight="false" outlineLevel="0" collapsed="false">
      <c r="A66" s="20" t="n">
        <v>65</v>
      </c>
      <c r="B66" s="21"/>
      <c r="C66" s="20" t="s">
        <v>322</v>
      </c>
      <c r="D66" s="20" t="s">
        <v>264</v>
      </c>
      <c r="E66" s="21" t="s">
        <v>323</v>
      </c>
      <c r="F66" s="22" t="n">
        <v>70343</v>
      </c>
      <c r="G66" s="22" t="n">
        <f aca="false">F66*VLOOKUP(K66,Kurallar!$A$17:$B$22,2,0)</f>
        <v>42205.8</v>
      </c>
      <c r="H66" s="22" t="n">
        <f aca="false">G66*I66</f>
        <v>84411.6</v>
      </c>
      <c r="I66" s="23" t="n">
        <v>2</v>
      </c>
      <c r="J66" s="20" t="s">
        <v>306</v>
      </c>
      <c r="K66" s="20" t="s">
        <v>33</v>
      </c>
      <c r="L66" s="21"/>
    </row>
    <row r="67" customFormat="false" ht="15" hidden="false" customHeight="false" outlineLevel="0" collapsed="false">
      <c r="A67" s="20" t="n">
        <v>66</v>
      </c>
      <c r="B67" s="21"/>
      <c r="C67" s="20" t="s">
        <v>311</v>
      </c>
      <c r="D67" s="20" t="s">
        <v>238</v>
      </c>
      <c r="E67" s="21" t="s">
        <v>362</v>
      </c>
      <c r="F67" s="22" t="n">
        <v>27656</v>
      </c>
      <c r="G67" s="22" t="n">
        <f aca="false">F67*VLOOKUP(K67,Kurallar!$A$17:$B$22,2,0)</f>
        <v>16593.6</v>
      </c>
      <c r="H67" s="22" t="n">
        <f aca="false">G67*I67</f>
        <v>33187.2</v>
      </c>
      <c r="I67" s="23" t="n">
        <v>2</v>
      </c>
      <c r="J67" s="20" t="s">
        <v>306</v>
      </c>
      <c r="K67" s="20" t="s">
        <v>33</v>
      </c>
      <c r="L67" s="21"/>
    </row>
    <row r="68" customFormat="false" ht="15" hidden="false" customHeight="false" outlineLevel="0" collapsed="false">
      <c r="A68" s="20" t="n">
        <v>67</v>
      </c>
      <c r="B68" s="21"/>
      <c r="C68" s="20" t="s">
        <v>311</v>
      </c>
      <c r="D68" s="20" t="s">
        <v>226</v>
      </c>
      <c r="E68" s="21" t="s">
        <v>325</v>
      </c>
      <c r="F68" s="22" t="n">
        <v>24075</v>
      </c>
      <c r="G68" s="22" t="n">
        <f aca="false">F68*VLOOKUP(K68,Kurallar!$A$17:$B$22,2,0)</f>
        <v>14445</v>
      </c>
      <c r="H68" s="22" t="n">
        <f aca="false">G68*I68</f>
        <v>43335</v>
      </c>
      <c r="I68" s="23" t="n">
        <v>3</v>
      </c>
      <c r="J68" s="20" t="s">
        <v>306</v>
      </c>
      <c r="K68" s="20" t="s">
        <v>33</v>
      </c>
      <c r="L68" s="21"/>
    </row>
    <row r="69" customFormat="false" ht="15" hidden="false" customHeight="false" outlineLevel="0" collapsed="false">
      <c r="A69" s="20" t="n">
        <v>68</v>
      </c>
      <c r="B69" s="21"/>
      <c r="C69" s="20" t="s">
        <v>311</v>
      </c>
      <c r="D69" s="20" t="s">
        <v>229</v>
      </c>
      <c r="E69" s="21" t="s">
        <v>326</v>
      </c>
      <c r="F69" s="22" t="n">
        <v>24075</v>
      </c>
      <c r="G69" s="22" t="n">
        <f aca="false">F69*VLOOKUP(K69,Kurallar!$A$17:$B$22,2,0)</f>
        <v>14445</v>
      </c>
      <c r="H69" s="22" t="n">
        <f aca="false">G69*I69</f>
        <v>43335</v>
      </c>
      <c r="I69" s="23" t="n">
        <v>3</v>
      </c>
      <c r="J69" s="20" t="s">
        <v>306</v>
      </c>
      <c r="K69" s="20" t="s">
        <v>33</v>
      </c>
      <c r="L69" s="21"/>
    </row>
    <row r="70" customFormat="false" ht="15" hidden="false" customHeight="false" outlineLevel="0" collapsed="false">
      <c r="A70" s="20" t="n">
        <v>69</v>
      </c>
      <c r="B70" s="21"/>
      <c r="C70" s="20" t="s">
        <v>311</v>
      </c>
      <c r="D70" s="20" t="s">
        <v>223</v>
      </c>
      <c r="E70" s="21" t="s">
        <v>327</v>
      </c>
      <c r="F70" s="22" t="n">
        <v>24075</v>
      </c>
      <c r="G70" s="22" t="n">
        <f aca="false">F70*VLOOKUP(K70,Kurallar!$A$17:$B$22,2,0)</f>
        <v>14445</v>
      </c>
      <c r="H70" s="22" t="n">
        <f aca="false">G70*I70</f>
        <v>86670</v>
      </c>
      <c r="I70" s="23" t="n">
        <v>6</v>
      </c>
      <c r="J70" s="20" t="s">
        <v>306</v>
      </c>
      <c r="K70" s="20" t="s">
        <v>33</v>
      </c>
      <c r="L70" s="21"/>
    </row>
    <row r="71" customFormat="false" ht="15" hidden="false" customHeight="false" outlineLevel="0" collapsed="false">
      <c r="A71" s="20" t="n">
        <v>70</v>
      </c>
      <c r="B71" s="21"/>
      <c r="C71" s="20" t="s">
        <v>311</v>
      </c>
      <c r="D71" s="20" t="s">
        <v>240</v>
      </c>
      <c r="E71" s="21" t="s">
        <v>365</v>
      </c>
      <c r="F71" s="22" t="n">
        <v>65019</v>
      </c>
      <c r="G71" s="22" t="n">
        <f aca="false">F71*VLOOKUP(K71,Kurallar!$A$17:$B$22,2,0)</f>
        <v>39011.4</v>
      </c>
      <c r="H71" s="22" t="n">
        <f aca="false">G71*I71</f>
        <v>156045.6</v>
      </c>
      <c r="I71" s="23" t="n">
        <v>4</v>
      </c>
      <c r="J71" s="20" t="s">
        <v>306</v>
      </c>
      <c r="K71" s="20" t="s">
        <v>33</v>
      </c>
      <c r="L71" s="21"/>
    </row>
    <row r="72" customFormat="false" ht="15" hidden="false" customHeight="false" outlineLevel="0" collapsed="false">
      <c r="A72" s="20" t="n">
        <v>71</v>
      </c>
      <c r="B72" s="21"/>
      <c r="C72" s="20" t="s">
        <v>328</v>
      </c>
      <c r="D72" s="20" t="s">
        <v>329</v>
      </c>
      <c r="E72" s="21" t="s">
        <v>330</v>
      </c>
      <c r="F72" s="22" t="n">
        <v>2336</v>
      </c>
      <c r="G72" s="22" t="n">
        <f aca="false">F72*VLOOKUP(K72,Kurallar!$A$17:$B$22,2,0)</f>
        <v>1401.6</v>
      </c>
      <c r="H72" s="22" t="n">
        <f aca="false">G72*I72</f>
        <v>2803.2</v>
      </c>
      <c r="I72" s="23" t="n">
        <v>2</v>
      </c>
      <c r="J72" s="20" t="s">
        <v>306</v>
      </c>
      <c r="K72" s="20" t="s">
        <v>33</v>
      </c>
      <c r="L72" s="21"/>
    </row>
    <row r="73" customFormat="false" ht="15" hidden="false" customHeight="false" outlineLevel="0" collapsed="false">
      <c r="A73" s="20" t="n">
        <v>72</v>
      </c>
      <c r="B73" s="21"/>
      <c r="C73" s="20" t="s">
        <v>331</v>
      </c>
      <c r="D73" s="20" t="s">
        <v>332</v>
      </c>
      <c r="E73" s="21" t="s">
        <v>333</v>
      </c>
      <c r="F73" s="22" t="n">
        <v>11131</v>
      </c>
      <c r="G73" s="22" t="n">
        <f aca="false">F73*VLOOKUP(K73,Kurallar!$A$17:$B$22,2,0)</f>
        <v>11131</v>
      </c>
      <c r="H73" s="22" t="n">
        <f aca="false">G73*I73</f>
        <v>22262</v>
      </c>
      <c r="I73" s="23" t="n">
        <v>2</v>
      </c>
      <c r="J73" s="20" t="s">
        <v>306</v>
      </c>
      <c r="K73" s="20" t="s">
        <v>37</v>
      </c>
      <c r="L73" s="21"/>
    </row>
    <row r="74" customFormat="false" ht="15" hidden="false" customHeight="false" outlineLevel="0" collapsed="false">
      <c r="A74" s="20" t="n">
        <v>73</v>
      </c>
      <c r="B74" s="21"/>
      <c r="C74" s="20" t="s">
        <v>71</v>
      </c>
      <c r="D74" s="20" t="s">
        <v>334</v>
      </c>
      <c r="E74" s="21" t="s">
        <v>335</v>
      </c>
      <c r="F74" s="22" t="n">
        <v>235</v>
      </c>
      <c r="G74" s="22" t="n">
        <f aca="false">F74*VLOOKUP(K74,Kurallar!$A$17:$B$22,2,0)</f>
        <v>235</v>
      </c>
      <c r="H74" s="22" t="n">
        <f aca="false">G74*I74</f>
        <v>5640</v>
      </c>
      <c r="I74" s="23" t="n">
        <v>24</v>
      </c>
      <c r="J74" s="20" t="s">
        <v>306</v>
      </c>
      <c r="K74" s="20" t="s">
        <v>40</v>
      </c>
      <c r="L74" s="21"/>
    </row>
    <row r="75" customFormat="false" ht="15" hidden="false" customHeight="false" outlineLevel="0" collapsed="false">
      <c r="A75" s="20" t="n">
        <v>74</v>
      </c>
      <c r="B75" s="21"/>
      <c r="C75" s="20" t="s">
        <v>71</v>
      </c>
      <c r="D75" s="20" t="s">
        <v>336</v>
      </c>
      <c r="E75" s="21" t="s">
        <v>337</v>
      </c>
      <c r="F75" s="22" t="n">
        <v>375</v>
      </c>
      <c r="G75" s="22" t="n">
        <f aca="false">F75*VLOOKUP(K75,Kurallar!$A$17:$B$22,2,0)</f>
        <v>375</v>
      </c>
      <c r="H75" s="22" t="n">
        <f aca="false">G75*I75</f>
        <v>4500</v>
      </c>
      <c r="I75" s="23" t="n">
        <v>12</v>
      </c>
      <c r="J75" s="20" t="s">
        <v>306</v>
      </c>
      <c r="K75" s="20" t="s">
        <v>40</v>
      </c>
      <c r="L75" s="21"/>
    </row>
    <row r="76" customFormat="false" ht="15" hidden="false" customHeight="false" outlineLevel="0" collapsed="false">
      <c r="A76" s="20" t="n">
        <v>75</v>
      </c>
      <c r="B76" s="21"/>
      <c r="C76" s="20" t="s">
        <v>338</v>
      </c>
      <c r="D76" s="20" t="s">
        <v>339</v>
      </c>
      <c r="E76" s="21" t="s">
        <v>340</v>
      </c>
      <c r="F76" s="22" t="n">
        <v>869</v>
      </c>
      <c r="G76" s="22" t="n">
        <f aca="false">F76*VLOOKUP(K76,Kurallar!$A$17:$B$22,2,0)</f>
        <v>521.4</v>
      </c>
      <c r="H76" s="22" t="n">
        <f aca="false">G76*I76</f>
        <v>3128.4</v>
      </c>
      <c r="I76" s="23" t="n">
        <v>6</v>
      </c>
      <c r="J76" s="20" t="s">
        <v>306</v>
      </c>
      <c r="K76" s="20" t="s">
        <v>33</v>
      </c>
      <c r="L76" s="21"/>
    </row>
    <row r="77" customFormat="false" ht="15" hidden="false" customHeight="false" outlineLevel="0" collapsed="false">
      <c r="A77" s="20" t="n">
        <v>76</v>
      </c>
      <c r="B77" s="21"/>
      <c r="C77" s="20" t="s">
        <v>338</v>
      </c>
      <c r="D77" s="20" t="s">
        <v>341</v>
      </c>
      <c r="E77" s="21" t="s">
        <v>342</v>
      </c>
      <c r="F77" s="22" t="n">
        <v>1801</v>
      </c>
      <c r="G77" s="22" t="n">
        <f aca="false">F77*VLOOKUP(K77,Kurallar!$A$17:$B$22,2,0)</f>
        <v>1801</v>
      </c>
      <c r="H77" s="22" t="n">
        <f aca="false">G77*I77</f>
        <v>14408</v>
      </c>
      <c r="I77" s="23" t="n">
        <v>8</v>
      </c>
      <c r="J77" s="20" t="s">
        <v>306</v>
      </c>
      <c r="K77" s="20" t="s">
        <v>39</v>
      </c>
      <c r="L77" s="21"/>
    </row>
    <row r="78" customFormat="false" ht="15" hidden="false" customHeight="false" outlineLevel="0" collapsed="false">
      <c r="A78" s="20" t="n">
        <v>77</v>
      </c>
      <c r="B78" s="21"/>
      <c r="C78" s="20" t="s">
        <v>338</v>
      </c>
      <c r="D78" s="20" t="s">
        <v>343</v>
      </c>
      <c r="E78" s="21" t="s">
        <v>344</v>
      </c>
      <c r="F78" s="22" t="n">
        <v>127</v>
      </c>
      <c r="G78" s="22" t="n">
        <f aca="false">F78*VLOOKUP(K78,Kurallar!$A$17:$B$22,2,0)</f>
        <v>127</v>
      </c>
      <c r="H78" s="22" t="n">
        <f aca="false">G78*I78</f>
        <v>10160</v>
      </c>
      <c r="I78" s="23" t="n">
        <v>80</v>
      </c>
      <c r="J78" s="20" t="s">
        <v>345</v>
      </c>
      <c r="K78" s="20" t="s">
        <v>37</v>
      </c>
      <c r="L78" s="21"/>
    </row>
    <row r="79" customFormat="false" ht="15" hidden="false" customHeight="false" outlineLevel="0" collapsed="false">
      <c r="A79" s="20" t="n">
        <v>78</v>
      </c>
      <c r="B79" s="21"/>
      <c r="C79" s="20" t="s">
        <v>338</v>
      </c>
      <c r="D79" s="20" t="s">
        <v>346</v>
      </c>
      <c r="E79" s="21" t="s">
        <v>347</v>
      </c>
      <c r="F79" s="22" t="n">
        <v>319</v>
      </c>
      <c r="G79" s="22" t="n">
        <f aca="false">F79*VLOOKUP(K79,Kurallar!$A$17:$B$22,2,0)</f>
        <v>319</v>
      </c>
      <c r="H79" s="22" t="n">
        <f aca="false">G79*I79</f>
        <v>12760</v>
      </c>
      <c r="I79" s="23" t="n">
        <v>40</v>
      </c>
      <c r="J79" s="20" t="s">
        <v>345</v>
      </c>
      <c r="K79" s="20" t="s">
        <v>37</v>
      </c>
      <c r="L79" s="21"/>
    </row>
    <row r="80" customFormat="false" ht="15" hidden="false" customHeight="false" outlineLevel="0" collapsed="false">
      <c r="A80" s="20" t="n">
        <v>79</v>
      </c>
      <c r="B80" s="21"/>
      <c r="C80" s="20" t="s">
        <v>338</v>
      </c>
      <c r="D80" s="20" t="s">
        <v>348</v>
      </c>
      <c r="E80" s="21" t="s">
        <v>349</v>
      </c>
      <c r="F80" s="22" t="n">
        <v>918</v>
      </c>
      <c r="G80" s="22" t="n">
        <f aca="false">F80*VLOOKUP(K80,Kurallar!$A$17:$B$22,2,0)</f>
        <v>918</v>
      </c>
      <c r="H80" s="22" t="n">
        <f aca="false">G80*I80</f>
        <v>27540</v>
      </c>
      <c r="I80" s="23" t="n">
        <v>30</v>
      </c>
      <c r="J80" s="20" t="s">
        <v>345</v>
      </c>
      <c r="K80" s="20" t="s">
        <v>37</v>
      </c>
      <c r="L80" s="21"/>
    </row>
    <row r="81" customFormat="false" ht="15" hidden="false" customHeight="false" outlineLevel="0" collapsed="false">
      <c r="A81" s="20" t="n">
        <v>80</v>
      </c>
      <c r="B81" s="21"/>
      <c r="C81" s="20" t="s">
        <v>338</v>
      </c>
      <c r="D81" s="20" t="s">
        <v>350</v>
      </c>
      <c r="E81" s="21" t="s">
        <v>351</v>
      </c>
      <c r="F81" s="22" t="n">
        <v>2935</v>
      </c>
      <c r="G81" s="22" t="n">
        <f aca="false">F81*VLOOKUP(K81,Kurallar!$A$17:$B$22,2,0)</f>
        <v>2935</v>
      </c>
      <c r="H81" s="22" t="n">
        <f aca="false">G81*I81</f>
        <v>88050</v>
      </c>
      <c r="I81" s="23" t="n">
        <v>30</v>
      </c>
      <c r="J81" s="20" t="s">
        <v>345</v>
      </c>
      <c r="K81" s="20" t="s">
        <v>37</v>
      </c>
      <c r="L81" s="21"/>
    </row>
    <row r="82" customFormat="false" ht="15" hidden="false" customHeight="false" outlineLevel="0" collapsed="false">
      <c r="A82" s="20" t="n">
        <v>81</v>
      </c>
      <c r="B82" s="21"/>
      <c r="C82" s="20" t="s">
        <v>352</v>
      </c>
      <c r="D82" s="20" t="s">
        <v>14</v>
      </c>
      <c r="E82" s="21" t="s">
        <v>353</v>
      </c>
      <c r="F82" s="22"/>
      <c r="G82" s="22" t="n">
        <f aca="false">SUM(H59:H81)*Kurallar!$B$9</f>
        <v>41170.992</v>
      </c>
      <c r="H82" s="22" t="n">
        <f aca="false">G82*I82</f>
        <v>41170.992</v>
      </c>
      <c r="I82" s="23" t="n">
        <v>1</v>
      </c>
      <c r="J82" s="20" t="s">
        <v>302</v>
      </c>
      <c r="K82" s="20" t="s">
        <v>14</v>
      </c>
      <c r="L82" s="21" t="s">
        <v>354</v>
      </c>
    </row>
    <row r="83" customFormat="false" ht="15" hidden="false" customHeight="false" outlineLevel="0" collapsed="false">
      <c r="A83" s="20" t="n">
        <v>82</v>
      </c>
      <c r="B83" s="21"/>
      <c r="C83" s="20" t="s">
        <v>355</v>
      </c>
      <c r="D83" s="20" t="s">
        <v>14</v>
      </c>
      <c r="E83" s="21" t="s">
        <v>356</v>
      </c>
      <c r="F83" s="24" t="n">
        <f aca="false">I83/60</f>
        <v>47.0333333333333</v>
      </c>
      <c r="G83" s="22" t="n">
        <f aca="false">Kurallar!$B$10</f>
        <v>100</v>
      </c>
      <c r="H83" s="22" t="n">
        <f aca="false">G83*I83</f>
        <v>282200</v>
      </c>
      <c r="I83" s="23" t="n">
        <f aca="false">ROUND((Kurallar!$C$41*8+Kurallar!$C$38*2+Kurallar!$C$42*6+Kurallar!$C$43*16+Kurallar!$C$39*36+Kurallar!$C$46*2+Kurallar!$C$35*2+Kurallar!$C$37*2+Kurallar!$C$33*2+Kurallar!$C$34*2+Kurallar!$C$31*20)*Kurallar!$B$11,0)</f>
        <v>2822</v>
      </c>
      <c r="J83" s="20" t="s">
        <v>357</v>
      </c>
      <c r="K83" s="20" t="s">
        <v>14</v>
      </c>
      <c r="L83" s="21" t="s">
        <v>358</v>
      </c>
    </row>
    <row r="84" customFormat="false" ht="23.85" hidden="false" customHeight="false" outlineLevel="0" collapsed="false">
      <c r="A84" s="25"/>
      <c r="B84" s="26" t="s">
        <v>369</v>
      </c>
      <c r="C84" s="25"/>
      <c r="D84" s="25"/>
      <c r="E84" s="26"/>
      <c r="F84" s="27"/>
      <c r="G84" s="27"/>
      <c r="H84" s="27" t="n">
        <f aca="false">SUBTOTAL(9,H59:H83)</f>
        <v>1695737.392</v>
      </c>
      <c r="I84" s="28"/>
      <c r="J84" s="25"/>
      <c r="K84" s="25"/>
      <c r="L84" s="26" t="s">
        <v>360</v>
      </c>
    </row>
    <row r="85" customFormat="false" ht="23.85" hidden="false" customHeight="false" outlineLevel="0" collapsed="false">
      <c r="A85" s="15" t="n">
        <v>84</v>
      </c>
      <c r="B85" s="16" t="str">
        <f aca="false">E85</f>
        <v>ЩПС — щит противопожарных систем</v>
      </c>
      <c r="C85" s="15" t="s">
        <v>300</v>
      </c>
      <c r="D85" s="15"/>
      <c r="E85" s="17" t="s">
        <v>370</v>
      </c>
      <c r="F85" s="18"/>
      <c r="G85" s="18"/>
      <c r="H85" s="18"/>
      <c r="I85" s="19" t="n">
        <v>1</v>
      </c>
      <c r="J85" s="15" t="s">
        <v>302</v>
      </c>
      <c r="K85" s="15"/>
      <c r="L85" s="17"/>
    </row>
    <row r="86" customFormat="false" ht="15" hidden="false" customHeight="false" outlineLevel="0" collapsed="false">
      <c r="A86" s="20" t="n">
        <v>85</v>
      </c>
      <c r="B86" s="21"/>
      <c r="C86" s="20" t="s">
        <v>303</v>
      </c>
      <c r="D86" s="20" t="s">
        <v>371</v>
      </c>
      <c r="E86" s="21" t="s">
        <v>372</v>
      </c>
      <c r="F86" s="22" t="n">
        <v>7220</v>
      </c>
      <c r="G86" s="22" t="n">
        <f aca="false">F86*VLOOKUP(K86,Kurallar!$A$17:$B$22,2,0)</f>
        <v>7220</v>
      </c>
      <c r="H86" s="22" t="n">
        <f aca="false">G86*I86</f>
        <v>7220</v>
      </c>
      <c r="I86" s="23" t="n">
        <v>1</v>
      </c>
      <c r="J86" s="20" t="s">
        <v>306</v>
      </c>
      <c r="K86" s="20" t="s">
        <v>37</v>
      </c>
      <c r="L86" s="21"/>
    </row>
    <row r="87" customFormat="false" ht="15" hidden="false" customHeight="false" outlineLevel="0" collapsed="false">
      <c r="A87" s="20" t="n">
        <v>86</v>
      </c>
      <c r="B87" s="21"/>
      <c r="C87" s="20" t="s">
        <v>373</v>
      </c>
      <c r="D87" s="20" t="s">
        <v>374</v>
      </c>
      <c r="E87" s="21" t="s">
        <v>375</v>
      </c>
      <c r="F87" s="22" t="n">
        <v>6271</v>
      </c>
      <c r="G87" s="22" t="n">
        <f aca="false">F87*VLOOKUP(K87,Kurallar!$A$17:$B$22,2,0)</f>
        <v>3762.6</v>
      </c>
      <c r="H87" s="22" t="n">
        <f aca="false">G87*I87</f>
        <v>3762.6</v>
      </c>
      <c r="I87" s="23" t="n">
        <v>1</v>
      </c>
      <c r="J87" s="20" t="s">
        <v>306</v>
      </c>
      <c r="K87" s="20" t="s">
        <v>33</v>
      </c>
      <c r="L87" s="21"/>
    </row>
    <row r="88" customFormat="false" ht="15" hidden="false" customHeight="false" outlineLevel="0" collapsed="false">
      <c r="A88" s="20" t="n">
        <v>87</v>
      </c>
      <c r="B88" s="21"/>
      <c r="C88" s="20" t="s">
        <v>373</v>
      </c>
      <c r="D88" s="20" t="s">
        <v>376</v>
      </c>
      <c r="E88" s="21" t="s">
        <v>377</v>
      </c>
      <c r="F88" s="22" t="n">
        <v>5884</v>
      </c>
      <c r="G88" s="22" t="n">
        <f aca="false">F88*VLOOKUP(K88,Kurallar!$A$17:$B$22,2,0)</f>
        <v>3530.4</v>
      </c>
      <c r="H88" s="22" t="n">
        <f aca="false">G88*I88</f>
        <v>14121.6</v>
      </c>
      <c r="I88" s="23" t="n">
        <v>4</v>
      </c>
      <c r="J88" s="20" t="s">
        <v>306</v>
      </c>
      <c r="K88" s="20" t="s">
        <v>33</v>
      </c>
      <c r="L88" s="21"/>
    </row>
    <row r="89" customFormat="false" ht="15" hidden="false" customHeight="false" outlineLevel="0" collapsed="false">
      <c r="A89" s="20" t="n">
        <v>88</v>
      </c>
      <c r="B89" s="21"/>
      <c r="C89" s="20" t="s">
        <v>373</v>
      </c>
      <c r="D89" s="20" t="s">
        <v>378</v>
      </c>
      <c r="E89" s="21" t="s">
        <v>379</v>
      </c>
      <c r="F89" s="22" t="n">
        <v>5878</v>
      </c>
      <c r="G89" s="22" t="n">
        <f aca="false">F89*VLOOKUP(K89,Kurallar!$A$17:$B$22,2,0)</f>
        <v>3526.8</v>
      </c>
      <c r="H89" s="22" t="n">
        <f aca="false">G89*I89</f>
        <v>7053.6</v>
      </c>
      <c r="I89" s="23" t="n">
        <v>2</v>
      </c>
      <c r="J89" s="20" t="s">
        <v>306</v>
      </c>
      <c r="K89" s="20" t="s">
        <v>33</v>
      </c>
      <c r="L89" s="21"/>
    </row>
    <row r="90" customFormat="false" ht="15" hidden="false" customHeight="false" outlineLevel="0" collapsed="false">
      <c r="A90" s="20" t="n">
        <v>89</v>
      </c>
      <c r="B90" s="21"/>
      <c r="C90" s="20" t="s">
        <v>373</v>
      </c>
      <c r="D90" s="20" t="s">
        <v>380</v>
      </c>
      <c r="E90" s="21" t="s">
        <v>381</v>
      </c>
      <c r="F90" s="22" t="n">
        <v>1362</v>
      </c>
      <c r="G90" s="22" t="n">
        <f aca="false">F90*VLOOKUP(K90,Kurallar!$A$17:$B$22,2,0)</f>
        <v>817.2</v>
      </c>
      <c r="H90" s="22" t="n">
        <f aca="false">G90*I90</f>
        <v>3268.8</v>
      </c>
      <c r="I90" s="23" t="n">
        <v>4</v>
      </c>
      <c r="J90" s="20" t="s">
        <v>306</v>
      </c>
      <c r="K90" s="20" t="s">
        <v>33</v>
      </c>
      <c r="L90" s="21"/>
    </row>
    <row r="91" customFormat="false" ht="15" hidden="false" customHeight="false" outlineLevel="0" collapsed="false">
      <c r="A91" s="20" t="n">
        <v>90</v>
      </c>
      <c r="B91" s="21"/>
      <c r="C91" s="20" t="s">
        <v>331</v>
      </c>
      <c r="D91" s="20" t="s">
        <v>382</v>
      </c>
      <c r="E91" s="21" t="s">
        <v>383</v>
      </c>
      <c r="F91" s="22" t="n">
        <v>461</v>
      </c>
      <c r="G91" s="22" t="n">
        <f aca="false">F91*VLOOKUP(K91,Kurallar!$A$17:$B$22,2,0)</f>
        <v>461</v>
      </c>
      <c r="H91" s="22" t="n">
        <f aca="false">G91*I91</f>
        <v>922</v>
      </c>
      <c r="I91" s="23" t="n">
        <v>2</v>
      </c>
      <c r="J91" s="20" t="s">
        <v>306</v>
      </c>
      <c r="K91" s="20" t="s">
        <v>40</v>
      </c>
      <c r="L91" s="21"/>
    </row>
    <row r="92" customFormat="false" ht="15" hidden="false" customHeight="false" outlineLevel="0" collapsed="false">
      <c r="A92" s="20" t="n">
        <v>91</v>
      </c>
      <c r="B92" s="21"/>
      <c r="C92" s="20" t="s">
        <v>338</v>
      </c>
      <c r="D92" s="20" t="s">
        <v>339</v>
      </c>
      <c r="E92" s="21" t="s">
        <v>340</v>
      </c>
      <c r="F92" s="22" t="n">
        <v>869</v>
      </c>
      <c r="G92" s="22" t="n">
        <f aca="false">F92*VLOOKUP(K92,Kurallar!$A$17:$B$22,2,0)</f>
        <v>521.4</v>
      </c>
      <c r="H92" s="22" t="n">
        <f aca="false">G92*I92</f>
        <v>1042.8</v>
      </c>
      <c r="I92" s="23" t="n">
        <v>2</v>
      </c>
      <c r="J92" s="20" t="s">
        <v>306</v>
      </c>
      <c r="K92" s="20" t="s">
        <v>33</v>
      </c>
      <c r="L92" s="21"/>
    </row>
    <row r="93" customFormat="false" ht="15" hidden="false" customHeight="false" outlineLevel="0" collapsed="false">
      <c r="A93" s="20" t="n">
        <v>92</v>
      </c>
      <c r="B93" s="21"/>
      <c r="C93" s="20" t="s">
        <v>338</v>
      </c>
      <c r="D93" s="20" t="s">
        <v>341</v>
      </c>
      <c r="E93" s="21" t="s">
        <v>342</v>
      </c>
      <c r="F93" s="22" t="n">
        <v>1801</v>
      </c>
      <c r="G93" s="22" t="n">
        <f aca="false">F93*VLOOKUP(K93,Kurallar!$A$17:$B$22,2,0)</f>
        <v>1801</v>
      </c>
      <c r="H93" s="22" t="n">
        <f aca="false">G93*I93</f>
        <v>3602</v>
      </c>
      <c r="I93" s="23" t="n">
        <v>2</v>
      </c>
      <c r="J93" s="20" t="s">
        <v>306</v>
      </c>
      <c r="K93" s="20" t="s">
        <v>39</v>
      </c>
      <c r="L93" s="21"/>
    </row>
    <row r="94" customFormat="false" ht="15" hidden="false" customHeight="false" outlineLevel="0" collapsed="false">
      <c r="A94" s="20" t="n">
        <v>93</v>
      </c>
      <c r="B94" s="21"/>
      <c r="C94" s="20" t="s">
        <v>338</v>
      </c>
      <c r="D94" s="20" t="s">
        <v>343</v>
      </c>
      <c r="E94" s="21" t="s">
        <v>344</v>
      </c>
      <c r="F94" s="22" t="n">
        <v>127</v>
      </c>
      <c r="G94" s="22" t="n">
        <f aca="false">F94*VLOOKUP(K94,Kurallar!$A$17:$B$22,2,0)</f>
        <v>127</v>
      </c>
      <c r="H94" s="22" t="n">
        <f aca="false">G94*I94</f>
        <v>3175</v>
      </c>
      <c r="I94" s="23" t="n">
        <v>25</v>
      </c>
      <c r="J94" s="20" t="s">
        <v>345</v>
      </c>
      <c r="K94" s="20" t="s">
        <v>37</v>
      </c>
      <c r="L94" s="21"/>
    </row>
    <row r="95" customFormat="false" ht="15" hidden="false" customHeight="false" outlineLevel="0" collapsed="false">
      <c r="A95" s="20" t="n">
        <v>94</v>
      </c>
      <c r="B95" s="21"/>
      <c r="C95" s="20" t="s">
        <v>338</v>
      </c>
      <c r="D95" s="20" t="s">
        <v>346</v>
      </c>
      <c r="E95" s="21" t="s">
        <v>347</v>
      </c>
      <c r="F95" s="22" t="n">
        <v>319</v>
      </c>
      <c r="G95" s="22" t="n">
        <f aca="false">F95*VLOOKUP(K95,Kurallar!$A$17:$B$22,2,0)</f>
        <v>319</v>
      </c>
      <c r="H95" s="22" t="n">
        <f aca="false">G95*I95</f>
        <v>1914</v>
      </c>
      <c r="I95" s="23" t="n">
        <v>6</v>
      </c>
      <c r="J95" s="20" t="s">
        <v>345</v>
      </c>
      <c r="K95" s="20" t="s">
        <v>37</v>
      </c>
      <c r="L95" s="21"/>
    </row>
    <row r="96" customFormat="false" ht="15" hidden="false" customHeight="false" outlineLevel="0" collapsed="false">
      <c r="A96" s="20" t="n">
        <v>95</v>
      </c>
      <c r="B96" s="21"/>
      <c r="C96" s="20" t="s">
        <v>352</v>
      </c>
      <c r="D96" s="20" t="s">
        <v>14</v>
      </c>
      <c r="E96" s="21" t="s">
        <v>353</v>
      </c>
      <c r="F96" s="22"/>
      <c r="G96" s="22" t="n">
        <f aca="false">SUM(H86:H95)*Kurallar!$B$9</f>
        <v>1382.472</v>
      </c>
      <c r="H96" s="22" t="n">
        <f aca="false">G96*I96</f>
        <v>1382.472</v>
      </c>
      <c r="I96" s="23" t="n">
        <v>1</v>
      </c>
      <c r="J96" s="20" t="s">
        <v>302</v>
      </c>
      <c r="K96" s="20" t="s">
        <v>14</v>
      </c>
      <c r="L96" s="21" t="s">
        <v>354</v>
      </c>
    </row>
    <row r="97" customFormat="false" ht="15" hidden="false" customHeight="false" outlineLevel="0" collapsed="false">
      <c r="A97" s="20" t="n">
        <v>96</v>
      </c>
      <c r="B97" s="21"/>
      <c r="C97" s="20" t="s">
        <v>355</v>
      </c>
      <c r="D97" s="20" t="s">
        <v>14</v>
      </c>
      <c r="E97" s="21" t="s">
        <v>356</v>
      </c>
      <c r="F97" s="24" t="n">
        <f aca="false">I97/60</f>
        <v>5</v>
      </c>
      <c r="G97" s="22" t="n">
        <f aca="false">Kurallar!$B$10</f>
        <v>100</v>
      </c>
      <c r="H97" s="22" t="n">
        <f aca="false">G97*I97</f>
        <v>30000</v>
      </c>
      <c r="I97" s="23" t="n">
        <f aca="false">ROUND((Kurallar!$C$42*2+Kurallar!$C$43*4+Kurallar!$C$45*1+Kurallar!$C$27*4+Kurallar!$C$28*7+Kurallar!$C$40*2)*Kurallar!$B$11,0)</f>
        <v>300</v>
      </c>
      <c r="J97" s="20" t="s">
        <v>357</v>
      </c>
      <c r="K97" s="20" t="s">
        <v>14</v>
      </c>
      <c r="L97" s="21" t="s">
        <v>358</v>
      </c>
    </row>
    <row r="98" customFormat="false" ht="23.85" hidden="false" customHeight="false" outlineLevel="0" collapsed="false">
      <c r="A98" s="25"/>
      <c r="B98" s="26" t="s">
        <v>384</v>
      </c>
      <c r="C98" s="25"/>
      <c r="D98" s="25"/>
      <c r="E98" s="26"/>
      <c r="F98" s="27"/>
      <c r="G98" s="27"/>
      <c r="H98" s="27" t="n">
        <f aca="false">SUBTOTAL(9,H86:H97)</f>
        <v>77464.872</v>
      </c>
      <c r="I98" s="28"/>
      <c r="J98" s="25"/>
      <c r="K98" s="25"/>
      <c r="L98" s="26" t="s">
        <v>360</v>
      </c>
    </row>
    <row r="99" customFormat="false" ht="23.85" hidden="false" customHeight="false" outlineLevel="0" collapsed="false">
      <c r="A99" s="15" t="n">
        <v>98</v>
      </c>
      <c r="B99" s="16" t="str">
        <f aca="false">E99</f>
        <v>ЩГП — щит гарантированного питания</v>
      </c>
      <c r="C99" s="15" t="s">
        <v>300</v>
      </c>
      <c r="D99" s="15"/>
      <c r="E99" s="17" t="s">
        <v>385</v>
      </c>
      <c r="F99" s="18"/>
      <c r="G99" s="18"/>
      <c r="H99" s="18"/>
      <c r="I99" s="19" t="n">
        <v>1</v>
      </c>
      <c r="J99" s="15" t="s">
        <v>302</v>
      </c>
      <c r="K99" s="15"/>
      <c r="L99" s="17"/>
    </row>
    <row r="100" customFormat="false" ht="15" hidden="false" customHeight="false" outlineLevel="0" collapsed="false">
      <c r="A100" s="20" t="n">
        <v>99</v>
      </c>
      <c r="B100" s="21"/>
      <c r="C100" s="20" t="s">
        <v>303</v>
      </c>
      <c r="D100" s="20" t="s">
        <v>371</v>
      </c>
      <c r="E100" s="21" t="s">
        <v>372</v>
      </c>
      <c r="F100" s="22" t="n">
        <v>7220</v>
      </c>
      <c r="G100" s="22" t="n">
        <f aca="false">F100*VLOOKUP(K100,Kurallar!$A$17:$B$22,2,0)</f>
        <v>7220</v>
      </c>
      <c r="H100" s="22" t="n">
        <f aca="false">G100*I100</f>
        <v>7220</v>
      </c>
      <c r="I100" s="23" t="n">
        <v>1</v>
      </c>
      <c r="J100" s="20" t="s">
        <v>306</v>
      </c>
      <c r="K100" s="20" t="s">
        <v>37</v>
      </c>
      <c r="L100" s="21"/>
    </row>
    <row r="101" customFormat="false" ht="15" hidden="false" customHeight="false" outlineLevel="0" collapsed="false">
      <c r="A101" s="20" t="n">
        <v>100</v>
      </c>
      <c r="B101" s="21"/>
      <c r="C101" s="20" t="s">
        <v>373</v>
      </c>
      <c r="D101" s="20" t="s">
        <v>386</v>
      </c>
      <c r="E101" s="21" t="s">
        <v>387</v>
      </c>
      <c r="F101" s="22" t="n">
        <v>5719</v>
      </c>
      <c r="G101" s="22" t="n">
        <f aca="false">F101*VLOOKUP(K101,Kurallar!$A$17:$B$22,2,0)</f>
        <v>3431.4</v>
      </c>
      <c r="H101" s="22" t="n">
        <f aca="false">G101*I101</f>
        <v>3431.4</v>
      </c>
      <c r="I101" s="23" t="n">
        <v>1</v>
      </c>
      <c r="J101" s="20" t="s">
        <v>306</v>
      </c>
      <c r="K101" s="20" t="s">
        <v>33</v>
      </c>
      <c r="L101" s="21"/>
    </row>
    <row r="102" customFormat="false" ht="15" hidden="false" customHeight="false" outlineLevel="0" collapsed="false">
      <c r="A102" s="20" t="n">
        <v>101</v>
      </c>
      <c r="B102" s="21"/>
      <c r="C102" s="20" t="s">
        <v>373</v>
      </c>
      <c r="D102" s="20" t="s">
        <v>376</v>
      </c>
      <c r="E102" s="21" t="s">
        <v>377</v>
      </c>
      <c r="F102" s="22" t="n">
        <v>5884</v>
      </c>
      <c r="G102" s="22" t="n">
        <f aca="false">F102*VLOOKUP(K102,Kurallar!$A$17:$B$22,2,0)</f>
        <v>3530.4</v>
      </c>
      <c r="H102" s="22" t="n">
        <f aca="false">G102*I102</f>
        <v>3530.4</v>
      </c>
      <c r="I102" s="23" t="n">
        <v>1</v>
      </c>
      <c r="J102" s="20" t="s">
        <v>306</v>
      </c>
      <c r="K102" s="20" t="s">
        <v>33</v>
      </c>
      <c r="L102" s="21"/>
    </row>
    <row r="103" customFormat="false" ht="15" hidden="false" customHeight="false" outlineLevel="0" collapsed="false">
      <c r="A103" s="20" t="n">
        <v>102</v>
      </c>
      <c r="B103" s="21"/>
      <c r="C103" s="20" t="s">
        <v>373</v>
      </c>
      <c r="D103" s="20" t="s">
        <v>388</v>
      </c>
      <c r="E103" s="21" t="s">
        <v>389</v>
      </c>
      <c r="F103" s="22" t="n">
        <v>1434</v>
      </c>
      <c r="G103" s="22" t="n">
        <f aca="false">F103*VLOOKUP(K103,Kurallar!$A$17:$B$22,2,0)</f>
        <v>860.4</v>
      </c>
      <c r="H103" s="22" t="n">
        <f aca="false">G103*I103</f>
        <v>1720.8</v>
      </c>
      <c r="I103" s="23" t="n">
        <v>2</v>
      </c>
      <c r="J103" s="20" t="s">
        <v>306</v>
      </c>
      <c r="K103" s="20" t="s">
        <v>33</v>
      </c>
      <c r="L103" s="21"/>
    </row>
    <row r="104" customFormat="false" ht="15" hidden="false" customHeight="false" outlineLevel="0" collapsed="false">
      <c r="A104" s="20" t="n">
        <v>103</v>
      </c>
      <c r="B104" s="21"/>
      <c r="C104" s="20" t="s">
        <v>373</v>
      </c>
      <c r="D104" s="20" t="s">
        <v>390</v>
      </c>
      <c r="E104" s="21" t="s">
        <v>391</v>
      </c>
      <c r="F104" s="22" t="n">
        <v>1389</v>
      </c>
      <c r="G104" s="22" t="n">
        <f aca="false">F104*VLOOKUP(K104,Kurallar!$A$17:$B$22,2,0)</f>
        <v>833.4</v>
      </c>
      <c r="H104" s="22" t="n">
        <f aca="false">G104*I104</f>
        <v>2500.2</v>
      </c>
      <c r="I104" s="23" t="n">
        <v>3</v>
      </c>
      <c r="J104" s="20" t="s">
        <v>306</v>
      </c>
      <c r="K104" s="20" t="s">
        <v>33</v>
      </c>
      <c r="L104" s="21"/>
    </row>
    <row r="105" customFormat="false" ht="15" hidden="false" customHeight="false" outlineLevel="0" collapsed="false">
      <c r="A105" s="20" t="n">
        <v>104</v>
      </c>
      <c r="B105" s="21"/>
      <c r="C105" s="20" t="s">
        <v>373</v>
      </c>
      <c r="D105" s="20" t="s">
        <v>380</v>
      </c>
      <c r="E105" s="21" t="s">
        <v>381</v>
      </c>
      <c r="F105" s="22" t="n">
        <v>1362</v>
      </c>
      <c r="G105" s="22" t="n">
        <f aca="false">F105*VLOOKUP(K105,Kurallar!$A$17:$B$22,2,0)</f>
        <v>817.2</v>
      </c>
      <c r="H105" s="22" t="n">
        <f aca="false">G105*I105</f>
        <v>4086</v>
      </c>
      <c r="I105" s="23" t="n">
        <v>5</v>
      </c>
      <c r="J105" s="20" t="s">
        <v>306</v>
      </c>
      <c r="K105" s="20" t="s">
        <v>33</v>
      </c>
      <c r="L105" s="21"/>
    </row>
    <row r="106" customFormat="false" ht="15" hidden="false" customHeight="false" outlineLevel="0" collapsed="false">
      <c r="A106" s="20" t="n">
        <v>105</v>
      </c>
      <c r="B106" s="21"/>
      <c r="C106" s="20" t="s">
        <v>313</v>
      </c>
      <c r="D106" s="20" t="s">
        <v>392</v>
      </c>
      <c r="E106" s="21" t="s">
        <v>393</v>
      </c>
      <c r="F106" s="22" t="n">
        <v>5354</v>
      </c>
      <c r="G106" s="22" t="n">
        <f aca="false">F106*VLOOKUP(K106,Kurallar!$A$17:$B$22,2,0)</f>
        <v>3212.4</v>
      </c>
      <c r="H106" s="22" t="n">
        <f aca="false">G106*I106</f>
        <v>12849.6</v>
      </c>
      <c r="I106" s="23" t="n">
        <v>4</v>
      </c>
      <c r="J106" s="20" t="s">
        <v>306</v>
      </c>
      <c r="K106" s="20" t="s">
        <v>33</v>
      </c>
      <c r="L106" s="21"/>
    </row>
    <row r="107" customFormat="false" ht="15" hidden="false" customHeight="false" outlineLevel="0" collapsed="false">
      <c r="A107" s="20" t="n">
        <v>106</v>
      </c>
      <c r="B107" s="21"/>
      <c r="C107" s="20" t="s">
        <v>331</v>
      </c>
      <c r="D107" s="20" t="s">
        <v>382</v>
      </c>
      <c r="E107" s="21" t="s">
        <v>383</v>
      </c>
      <c r="F107" s="22" t="n">
        <v>461</v>
      </c>
      <c r="G107" s="22" t="n">
        <f aca="false">F107*VLOOKUP(K107,Kurallar!$A$17:$B$22,2,0)</f>
        <v>461</v>
      </c>
      <c r="H107" s="22" t="n">
        <f aca="false">G107*I107</f>
        <v>922</v>
      </c>
      <c r="I107" s="23" t="n">
        <v>2</v>
      </c>
      <c r="J107" s="20" t="s">
        <v>306</v>
      </c>
      <c r="K107" s="20" t="s">
        <v>40</v>
      </c>
      <c r="L107" s="21"/>
    </row>
    <row r="108" customFormat="false" ht="15" hidden="false" customHeight="false" outlineLevel="0" collapsed="false">
      <c r="A108" s="20" t="n">
        <v>107</v>
      </c>
      <c r="B108" s="21"/>
      <c r="C108" s="20" t="s">
        <v>338</v>
      </c>
      <c r="D108" s="20" t="s">
        <v>339</v>
      </c>
      <c r="E108" s="21" t="s">
        <v>340</v>
      </c>
      <c r="F108" s="22" t="n">
        <v>869</v>
      </c>
      <c r="G108" s="22" t="n">
        <f aca="false">F108*VLOOKUP(K108,Kurallar!$A$17:$B$22,2,0)</f>
        <v>521.4</v>
      </c>
      <c r="H108" s="22" t="n">
        <f aca="false">G108*I108</f>
        <v>1042.8</v>
      </c>
      <c r="I108" s="23" t="n">
        <v>2</v>
      </c>
      <c r="J108" s="20" t="s">
        <v>306</v>
      </c>
      <c r="K108" s="20" t="s">
        <v>33</v>
      </c>
      <c r="L108" s="21"/>
    </row>
    <row r="109" customFormat="false" ht="15" hidden="false" customHeight="false" outlineLevel="0" collapsed="false">
      <c r="A109" s="20" t="n">
        <v>108</v>
      </c>
      <c r="B109" s="21"/>
      <c r="C109" s="20" t="s">
        <v>338</v>
      </c>
      <c r="D109" s="20" t="s">
        <v>341</v>
      </c>
      <c r="E109" s="21" t="s">
        <v>342</v>
      </c>
      <c r="F109" s="22" t="n">
        <v>1801</v>
      </c>
      <c r="G109" s="22" t="n">
        <f aca="false">F109*VLOOKUP(K109,Kurallar!$A$17:$B$22,2,0)</f>
        <v>1801</v>
      </c>
      <c r="H109" s="22" t="n">
        <f aca="false">G109*I109</f>
        <v>3602</v>
      </c>
      <c r="I109" s="23" t="n">
        <v>2</v>
      </c>
      <c r="J109" s="20" t="s">
        <v>306</v>
      </c>
      <c r="K109" s="20" t="s">
        <v>39</v>
      </c>
      <c r="L109" s="21"/>
    </row>
    <row r="110" customFormat="false" ht="15" hidden="false" customHeight="false" outlineLevel="0" collapsed="false">
      <c r="A110" s="20" t="n">
        <v>109</v>
      </c>
      <c r="B110" s="21"/>
      <c r="C110" s="20" t="s">
        <v>338</v>
      </c>
      <c r="D110" s="20" t="s">
        <v>343</v>
      </c>
      <c r="E110" s="21" t="s">
        <v>344</v>
      </c>
      <c r="F110" s="22" t="n">
        <v>127</v>
      </c>
      <c r="G110" s="22" t="n">
        <f aca="false">F110*VLOOKUP(K110,Kurallar!$A$17:$B$22,2,0)</f>
        <v>127</v>
      </c>
      <c r="H110" s="22" t="n">
        <f aca="false">G110*I110</f>
        <v>3810</v>
      </c>
      <c r="I110" s="23" t="n">
        <v>30</v>
      </c>
      <c r="J110" s="20" t="s">
        <v>345</v>
      </c>
      <c r="K110" s="20" t="s">
        <v>37</v>
      </c>
      <c r="L110" s="21"/>
    </row>
    <row r="111" customFormat="false" ht="15" hidden="false" customHeight="false" outlineLevel="0" collapsed="false">
      <c r="A111" s="20" t="n">
        <v>110</v>
      </c>
      <c r="B111" s="21"/>
      <c r="C111" s="20" t="s">
        <v>338</v>
      </c>
      <c r="D111" s="20" t="s">
        <v>346</v>
      </c>
      <c r="E111" s="21" t="s">
        <v>347</v>
      </c>
      <c r="F111" s="22" t="n">
        <v>319</v>
      </c>
      <c r="G111" s="22" t="n">
        <f aca="false">F111*VLOOKUP(K111,Kurallar!$A$17:$B$22,2,0)</f>
        <v>319</v>
      </c>
      <c r="H111" s="22" t="n">
        <f aca="false">G111*I111</f>
        <v>1914</v>
      </c>
      <c r="I111" s="23" t="n">
        <v>6</v>
      </c>
      <c r="J111" s="20" t="s">
        <v>345</v>
      </c>
      <c r="K111" s="20" t="s">
        <v>37</v>
      </c>
      <c r="L111" s="21"/>
    </row>
    <row r="112" customFormat="false" ht="15" hidden="false" customHeight="false" outlineLevel="0" collapsed="false">
      <c r="A112" s="20" t="n">
        <v>111</v>
      </c>
      <c r="B112" s="21"/>
      <c r="C112" s="20" t="s">
        <v>352</v>
      </c>
      <c r="D112" s="20" t="s">
        <v>14</v>
      </c>
      <c r="E112" s="21" t="s">
        <v>353</v>
      </c>
      <c r="F112" s="22"/>
      <c r="G112" s="22" t="n">
        <f aca="false">SUM(H100:H111)*Kurallar!$B$9</f>
        <v>1398.876</v>
      </c>
      <c r="H112" s="22" t="n">
        <f aca="false">G112*I112</f>
        <v>1398.876</v>
      </c>
      <c r="I112" s="23" t="n">
        <v>1</v>
      </c>
      <c r="J112" s="20" t="s">
        <v>302</v>
      </c>
      <c r="K112" s="20" t="s">
        <v>14</v>
      </c>
      <c r="L112" s="21" t="s">
        <v>354</v>
      </c>
    </row>
    <row r="113" customFormat="false" ht="15" hidden="false" customHeight="false" outlineLevel="0" collapsed="false">
      <c r="A113" s="20" t="n">
        <v>112</v>
      </c>
      <c r="B113" s="21"/>
      <c r="C113" s="20" t="s">
        <v>355</v>
      </c>
      <c r="D113" s="20" t="s">
        <v>14</v>
      </c>
      <c r="E113" s="21" t="s">
        <v>356</v>
      </c>
      <c r="F113" s="24" t="n">
        <f aca="false">I113/60</f>
        <v>5.2</v>
      </c>
      <c r="G113" s="22" t="n">
        <f aca="false">Kurallar!$B$10</f>
        <v>100</v>
      </c>
      <c r="H113" s="22" t="n">
        <f aca="false">G113*I113</f>
        <v>31200</v>
      </c>
      <c r="I113" s="23" t="n">
        <f aca="false">ROUND((Kurallar!$C$38*4+Kurallar!$C$42*2+Kurallar!$C$43*4+Kurallar!$C$45*1+Kurallar!$C$27*10+Kurallar!$C$28*2+Kurallar!$C$40*2)*Kurallar!$B$11,0)</f>
        <v>312</v>
      </c>
      <c r="J113" s="20" t="s">
        <v>357</v>
      </c>
      <c r="K113" s="20" t="s">
        <v>14</v>
      </c>
      <c r="L113" s="21" t="s">
        <v>358</v>
      </c>
    </row>
    <row r="114" customFormat="false" ht="23.85" hidden="false" customHeight="false" outlineLevel="0" collapsed="false">
      <c r="A114" s="25"/>
      <c r="B114" s="26" t="s">
        <v>394</v>
      </c>
      <c r="C114" s="25"/>
      <c r="D114" s="25"/>
      <c r="E114" s="26"/>
      <c r="F114" s="27"/>
      <c r="G114" s="27"/>
      <c r="H114" s="27" t="n">
        <f aca="false">SUBTOTAL(9,H100:H113)</f>
        <v>79228.076</v>
      </c>
      <c r="I114" s="28"/>
      <c r="J114" s="25"/>
      <c r="K114" s="25"/>
      <c r="L114" s="26" t="s">
        <v>360</v>
      </c>
    </row>
    <row r="115" customFormat="false" ht="15" hidden="false" customHeight="false" outlineLevel="0" collapsed="false">
      <c r="A115" s="15" t="n">
        <v>114</v>
      </c>
      <c r="B115" s="16" t="str">
        <f aca="false">E115</f>
        <v>ЩСоб — щит силовой обогрева</v>
      </c>
      <c r="C115" s="15" t="s">
        <v>300</v>
      </c>
      <c r="D115" s="15"/>
      <c r="E115" s="17" t="s">
        <v>395</v>
      </c>
      <c r="F115" s="18"/>
      <c r="G115" s="18"/>
      <c r="H115" s="18"/>
      <c r="I115" s="19" t="n">
        <v>1</v>
      </c>
      <c r="J115" s="15" t="s">
        <v>302</v>
      </c>
      <c r="K115" s="15"/>
      <c r="L115" s="17"/>
    </row>
    <row r="116" customFormat="false" ht="15" hidden="false" customHeight="false" outlineLevel="0" collapsed="false">
      <c r="A116" s="20" t="n">
        <v>115</v>
      </c>
      <c r="B116" s="21"/>
      <c r="C116" s="20" t="s">
        <v>303</v>
      </c>
      <c r="D116" s="20" t="s">
        <v>371</v>
      </c>
      <c r="E116" s="21" t="s">
        <v>372</v>
      </c>
      <c r="F116" s="22" t="n">
        <v>7220</v>
      </c>
      <c r="G116" s="22" t="n">
        <f aca="false">F116*VLOOKUP(K116,Kurallar!$A$17:$B$22,2,0)</f>
        <v>7220</v>
      </c>
      <c r="H116" s="22" t="n">
        <f aca="false">G116*I116</f>
        <v>7220</v>
      </c>
      <c r="I116" s="23" t="n">
        <v>1</v>
      </c>
      <c r="J116" s="20" t="s">
        <v>306</v>
      </c>
      <c r="K116" s="20" t="s">
        <v>37</v>
      </c>
      <c r="L116" s="21"/>
    </row>
    <row r="117" customFormat="false" ht="15" hidden="false" customHeight="false" outlineLevel="0" collapsed="false">
      <c r="A117" s="20" t="n">
        <v>116</v>
      </c>
      <c r="B117" s="21"/>
      <c r="C117" s="20" t="s">
        <v>309</v>
      </c>
      <c r="D117" s="20" t="s">
        <v>396</v>
      </c>
      <c r="E117" s="21" t="s">
        <v>397</v>
      </c>
      <c r="F117" s="22" t="n">
        <v>3372</v>
      </c>
      <c r="G117" s="22" t="n">
        <f aca="false">F117*VLOOKUP(K117,Kurallar!$A$17:$B$22,2,0)</f>
        <v>2023.2</v>
      </c>
      <c r="H117" s="22" t="n">
        <f aca="false">G117*I117</f>
        <v>2023.2</v>
      </c>
      <c r="I117" s="23" t="n">
        <v>1</v>
      </c>
      <c r="J117" s="20" t="s">
        <v>306</v>
      </c>
      <c r="K117" s="20" t="s">
        <v>33</v>
      </c>
      <c r="L117" s="21"/>
    </row>
    <row r="118" customFormat="false" ht="15" hidden="false" customHeight="false" outlineLevel="0" collapsed="false">
      <c r="A118" s="20" t="n">
        <v>117</v>
      </c>
      <c r="B118" s="21"/>
      <c r="C118" s="20" t="s">
        <v>373</v>
      </c>
      <c r="D118" s="20" t="s">
        <v>380</v>
      </c>
      <c r="E118" s="21" t="s">
        <v>381</v>
      </c>
      <c r="F118" s="22" t="n">
        <v>1362</v>
      </c>
      <c r="G118" s="22" t="n">
        <f aca="false">F118*VLOOKUP(K118,Kurallar!$A$17:$B$22,2,0)</f>
        <v>817.2</v>
      </c>
      <c r="H118" s="22" t="n">
        <f aca="false">G118*I118</f>
        <v>817.2</v>
      </c>
      <c r="I118" s="23" t="n">
        <v>1</v>
      </c>
      <c r="J118" s="20" t="s">
        <v>306</v>
      </c>
      <c r="K118" s="20" t="s">
        <v>33</v>
      </c>
      <c r="L118" s="21"/>
    </row>
    <row r="119" customFormat="false" ht="15" hidden="false" customHeight="false" outlineLevel="0" collapsed="false">
      <c r="A119" s="20" t="n">
        <v>118</v>
      </c>
      <c r="B119" s="21"/>
      <c r="C119" s="20" t="s">
        <v>398</v>
      </c>
      <c r="D119" s="20" t="s">
        <v>399</v>
      </c>
      <c r="E119" s="21" t="s">
        <v>400</v>
      </c>
      <c r="F119" s="22" t="n">
        <v>5719</v>
      </c>
      <c r="G119" s="22" t="n">
        <f aca="false">F119*VLOOKUP(K119,Kurallar!$A$17:$B$22,2,0)</f>
        <v>3431.4</v>
      </c>
      <c r="H119" s="22" t="n">
        <f aca="false">G119*I119</f>
        <v>10294.2</v>
      </c>
      <c r="I119" s="23" t="n">
        <v>3</v>
      </c>
      <c r="J119" s="20" t="s">
        <v>306</v>
      </c>
      <c r="K119" s="20" t="s">
        <v>33</v>
      </c>
      <c r="L119" s="21"/>
    </row>
    <row r="120" customFormat="false" ht="15" hidden="false" customHeight="false" outlineLevel="0" collapsed="false">
      <c r="A120" s="20" t="n">
        <v>119</v>
      </c>
      <c r="B120" s="21"/>
      <c r="C120" s="20" t="s">
        <v>401</v>
      </c>
      <c r="D120" s="20" t="s">
        <v>402</v>
      </c>
      <c r="E120" s="21" t="s">
        <v>403</v>
      </c>
      <c r="F120" s="22" t="n">
        <v>6145</v>
      </c>
      <c r="G120" s="22" t="n">
        <f aca="false">F120*VLOOKUP(K120,Kurallar!$A$17:$B$22,2,0)</f>
        <v>3687</v>
      </c>
      <c r="H120" s="22" t="n">
        <f aca="false">G120*I120</f>
        <v>11061</v>
      </c>
      <c r="I120" s="23" t="n">
        <v>3</v>
      </c>
      <c r="J120" s="20" t="s">
        <v>306</v>
      </c>
      <c r="K120" s="20" t="s">
        <v>33</v>
      </c>
      <c r="L120" s="21"/>
    </row>
    <row r="121" customFormat="false" ht="15" hidden="false" customHeight="false" outlineLevel="0" collapsed="false">
      <c r="A121" s="20" t="n">
        <v>120</v>
      </c>
      <c r="B121" s="21"/>
      <c r="C121" s="20" t="s">
        <v>328</v>
      </c>
      <c r="D121" s="20" t="s">
        <v>404</v>
      </c>
      <c r="E121" s="21" t="s">
        <v>405</v>
      </c>
      <c r="F121" s="22" t="n">
        <v>5210</v>
      </c>
      <c r="G121" s="22" t="n">
        <f aca="false">F121*VLOOKUP(K121,Kurallar!$A$17:$B$22,2,0)</f>
        <v>5210</v>
      </c>
      <c r="H121" s="22" t="n">
        <f aca="false">G121*I121</f>
        <v>5210</v>
      </c>
      <c r="I121" s="23" t="n">
        <v>1</v>
      </c>
      <c r="J121" s="20" t="s">
        <v>306</v>
      </c>
      <c r="K121" s="20" t="s">
        <v>37</v>
      </c>
      <c r="L121" s="21"/>
    </row>
    <row r="122" customFormat="false" ht="15" hidden="false" customHeight="false" outlineLevel="0" collapsed="false">
      <c r="A122" s="20" t="n">
        <v>121</v>
      </c>
      <c r="B122" s="21"/>
      <c r="C122" s="20" t="s">
        <v>331</v>
      </c>
      <c r="D122" s="20" t="s">
        <v>382</v>
      </c>
      <c r="E122" s="21" t="s">
        <v>383</v>
      </c>
      <c r="F122" s="22" t="n">
        <v>461</v>
      </c>
      <c r="G122" s="22" t="n">
        <f aca="false">F122*VLOOKUP(K122,Kurallar!$A$17:$B$22,2,0)</f>
        <v>461</v>
      </c>
      <c r="H122" s="22" t="n">
        <f aca="false">G122*I122</f>
        <v>922</v>
      </c>
      <c r="I122" s="23" t="n">
        <v>2</v>
      </c>
      <c r="J122" s="20" t="s">
        <v>306</v>
      </c>
      <c r="K122" s="20" t="s">
        <v>40</v>
      </c>
      <c r="L122" s="21"/>
    </row>
    <row r="123" customFormat="false" ht="15" hidden="false" customHeight="false" outlineLevel="0" collapsed="false">
      <c r="A123" s="20" t="n">
        <v>122</v>
      </c>
      <c r="B123" s="21"/>
      <c r="C123" s="20" t="s">
        <v>338</v>
      </c>
      <c r="D123" s="20" t="s">
        <v>339</v>
      </c>
      <c r="E123" s="21" t="s">
        <v>340</v>
      </c>
      <c r="F123" s="22" t="n">
        <v>869</v>
      </c>
      <c r="G123" s="22" t="n">
        <f aca="false">F123*VLOOKUP(K123,Kurallar!$A$17:$B$22,2,0)</f>
        <v>521.4</v>
      </c>
      <c r="H123" s="22" t="n">
        <f aca="false">G123*I123</f>
        <v>1042.8</v>
      </c>
      <c r="I123" s="23" t="n">
        <v>2</v>
      </c>
      <c r="J123" s="20" t="s">
        <v>306</v>
      </c>
      <c r="K123" s="20" t="s">
        <v>33</v>
      </c>
      <c r="L123" s="21"/>
    </row>
    <row r="124" customFormat="false" ht="15" hidden="false" customHeight="false" outlineLevel="0" collapsed="false">
      <c r="A124" s="20" t="n">
        <v>123</v>
      </c>
      <c r="B124" s="21"/>
      <c r="C124" s="20" t="s">
        <v>338</v>
      </c>
      <c r="D124" s="20" t="s">
        <v>341</v>
      </c>
      <c r="E124" s="21" t="s">
        <v>342</v>
      </c>
      <c r="F124" s="22" t="n">
        <v>1801</v>
      </c>
      <c r="G124" s="22" t="n">
        <f aca="false">F124*VLOOKUP(K124,Kurallar!$A$17:$B$22,2,0)</f>
        <v>1801</v>
      </c>
      <c r="H124" s="22" t="n">
        <f aca="false">G124*I124</f>
        <v>3602</v>
      </c>
      <c r="I124" s="23" t="n">
        <v>2</v>
      </c>
      <c r="J124" s="20" t="s">
        <v>306</v>
      </c>
      <c r="K124" s="20" t="s">
        <v>39</v>
      </c>
      <c r="L124" s="21"/>
    </row>
    <row r="125" customFormat="false" ht="15" hidden="false" customHeight="false" outlineLevel="0" collapsed="false">
      <c r="A125" s="20" t="n">
        <v>124</v>
      </c>
      <c r="B125" s="21"/>
      <c r="C125" s="20" t="s">
        <v>338</v>
      </c>
      <c r="D125" s="20" t="s">
        <v>343</v>
      </c>
      <c r="E125" s="21" t="s">
        <v>344</v>
      </c>
      <c r="F125" s="22" t="n">
        <v>127</v>
      </c>
      <c r="G125" s="22" t="n">
        <f aca="false">F125*VLOOKUP(K125,Kurallar!$A$17:$B$22,2,0)</f>
        <v>127</v>
      </c>
      <c r="H125" s="22" t="n">
        <f aca="false">G125*I125</f>
        <v>2540</v>
      </c>
      <c r="I125" s="23" t="n">
        <v>20</v>
      </c>
      <c r="J125" s="20" t="s">
        <v>345</v>
      </c>
      <c r="K125" s="20" t="s">
        <v>37</v>
      </c>
      <c r="L125" s="21"/>
    </row>
    <row r="126" customFormat="false" ht="15" hidden="false" customHeight="false" outlineLevel="0" collapsed="false">
      <c r="A126" s="20" t="n">
        <v>125</v>
      </c>
      <c r="B126" s="21"/>
      <c r="C126" s="20" t="s">
        <v>338</v>
      </c>
      <c r="D126" s="20" t="s">
        <v>346</v>
      </c>
      <c r="E126" s="21" t="s">
        <v>347</v>
      </c>
      <c r="F126" s="22" t="n">
        <v>319</v>
      </c>
      <c r="G126" s="22" t="n">
        <f aca="false">F126*VLOOKUP(K126,Kurallar!$A$17:$B$22,2,0)</f>
        <v>319</v>
      </c>
      <c r="H126" s="22" t="n">
        <f aca="false">G126*I126</f>
        <v>1914</v>
      </c>
      <c r="I126" s="23" t="n">
        <v>6</v>
      </c>
      <c r="J126" s="20" t="s">
        <v>345</v>
      </c>
      <c r="K126" s="20" t="s">
        <v>37</v>
      </c>
      <c r="L126" s="21"/>
    </row>
    <row r="127" customFormat="false" ht="15" hidden="false" customHeight="false" outlineLevel="0" collapsed="false">
      <c r="A127" s="20" t="n">
        <v>126</v>
      </c>
      <c r="B127" s="21"/>
      <c r="C127" s="20" t="s">
        <v>352</v>
      </c>
      <c r="D127" s="20" t="s">
        <v>14</v>
      </c>
      <c r="E127" s="21" t="s">
        <v>353</v>
      </c>
      <c r="F127" s="22"/>
      <c r="G127" s="22" t="n">
        <f aca="false">SUM(H116:H126)*Kurallar!$B$9</f>
        <v>1399.392</v>
      </c>
      <c r="H127" s="22" t="n">
        <f aca="false">G127*I127</f>
        <v>1399.392</v>
      </c>
      <c r="I127" s="23" t="n">
        <v>1</v>
      </c>
      <c r="J127" s="20" t="s">
        <v>302</v>
      </c>
      <c r="K127" s="20" t="s">
        <v>14</v>
      </c>
      <c r="L127" s="21" t="s">
        <v>354</v>
      </c>
    </row>
    <row r="128" customFormat="false" ht="15" hidden="false" customHeight="false" outlineLevel="0" collapsed="false">
      <c r="A128" s="20" t="n">
        <v>127</v>
      </c>
      <c r="B128" s="21"/>
      <c r="C128" s="20" t="s">
        <v>355</v>
      </c>
      <c r="D128" s="20" t="s">
        <v>14</v>
      </c>
      <c r="E128" s="21" t="s">
        <v>356</v>
      </c>
      <c r="F128" s="24" t="n">
        <f aca="false">I128/60</f>
        <v>5.01666666666667</v>
      </c>
      <c r="G128" s="22" t="n">
        <f aca="false">Kurallar!$B$10</f>
        <v>100</v>
      </c>
      <c r="H128" s="22" t="n">
        <f aca="false">G128*I128</f>
        <v>30100</v>
      </c>
      <c r="I128" s="23" t="n">
        <f aca="false">ROUND((Kurallar!$C$29*3+Kurallar!$C$42*2+Kurallar!$C$43*4+Kurallar!$C$36*3+Kurallar!$C$45*1+Kurallar!$C$27*1+Kurallar!$C$37*1+Kurallar!$C$32*1+Kurallar!$C$40*2)*Kurallar!$B$11,0)</f>
        <v>301</v>
      </c>
      <c r="J128" s="20" t="s">
        <v>357</v>
      </c>
      <c r="K128" s="20" t="s">
        <v>14</v>
      </c>
      <c r="L128" s="21" t="s">
        <v>358</v>
      </c>
    </row>
    <row r="129" customFormat="false" ht="23.85" hidden="false" customHeight="false" outlineLevel="0" collapsed="false">
      <c r="A129" s="25"/>
      <c r="B129" s="26" t="s">
        <v>406</v>
      </c>
      <c r="C129" s="25"/>
      <c r="D129" s="25"/>
      <c r="E129" s="26"/>
      <c r="F129" s="27"/>
      <c r="G129" s="27"/>
      <c r="H129" s="27" t="n">
        <f aca="false">SUBTOTAL(9,H116:H128)</f>
        <v>78145.792</v>
      </c>
      <c r="I129" s="28"/>
      <c r="J129" s="25"/>
      <c r="K129" s="25"/>
      <c r="L129" s="26" t="s">
        <v>360</v>
      </c>
    </row>
    <row r="130" customFormat="false" ht="15" hidden="false" customHeight="false" outlineLevel="0" collapsed="false">
      <c r="A130" s="15" t="n">
        <v>129</v>
      </c>
      <c r="B130" s="16" t="str">
        <f aca="false">E130</f>
        <v>1.2-ЩРв — щит силовой вентиляции</v>
      </c>
      <c r="C130" s="15" t="s">
        <v>300</v>
      </c>
      <c r="D130" s="15"/>
      <c r="E130" s="17" t="s">
        <v>407</v>
      </c>
      <c r="F130" s="18"/>
      <c r="G130" s="18"/>
      <c r="H130" s="18"/>
      <c r="I130" s="19" t="n">
        <v>1</v>
      </c>
      <c r="J130" s="15" t="s">
        <v>302</v>
      </c>
      <c r="K130" s="15"/>
      <c r="L130" s="17"/>
    </row>
    <row r="131" customFormat="false" ht="15" hidden="false" customHeight="false" outlineLevel="0" collapsed="false">
      <c r="A131" s="20" t="n">
        <v>130</v>
      </c>
      <c r="B131" s="21"/>
      <c r="C131" s="20" t="s">
        <v>303</v>
      </c>
      <c r="D131" s="20" t="s">
        <v>371</v>
      </c>
      <c r="E131" s="21" t="s">
        <v>372</v>
      </c>
      <c r="F131" s="22" t="n">
        <v>7220</v>
      </c>
      <c r="G131" s="22" t="n">
        <f aca="false">F131*VLOOKUP(K131,Kurallar!$A$17:$B$22,2,0)</f>
        <v>7220</v>
      </c>
      <c r="H131" s="22" t="n">
        <f aca="false">G131*I131</f>
        <v>7220</v>
      </c>
      <c r="I131" s="23" t="n">
        <v>1</v>
      </c>
      <c r="J131" s="20" t="s">
        <v>306</v>
      </c>
      <c r="K131" s="20" t="s">
        <v>37</v>
      </c>
      <c r="L131" s="21"/>
    </row>
    <row r="132" customFormat="false" ht="15" hidden="false" customHeight="false" outlineLevel="0" collapsed="false">
      <c r="A132" s="20" t="n">
        <v>131</v>
      </c>
      <c r="B132" s="21"/>
      <c r="C132" s="20" t="s">
        <v>309</v>
      </c>
      <c r="D132" s="20" t="s">
        <v>408</v>
      </c>
      <c r="E132" s="21" t="s">
        <v>409</v>
      </c>
      <c r="F132" s="22" t="n">
        <v>4217</v>
      </c>
      <c r="G132" s="22" t="n">
        <f aca="false">F132*VLOOKUP(K132,Kurallar!$A$17:$B$22,2,0)</f>
        <v>2530.2</v>
      </c>
      <c r="H132" s="22" t="n">
        <f aca="false">G132*I132</f>
        <v>2530.2</v>
      </c>
      <c r="I132" s="23" t="n">
        <v>1</v>
      </c>
      <c r="J132" s="20" t="s">
        <v>306</v>
      </c>
      <c r="K132" s="20" t="s">
        <v>33</v>
      </c>
      <c r="L132" s="21"/>
    </row>
    <row r="133" customFormat="false" ht="15" hidden="false" customHeight="false" outlineLevel="0" collapsed="false">
      <c r="A133" s="20" t="n">
        <v>132</v>
      </c>
      <c r="B133" s="21"/>
      <c r="C133" s="20" t="s">
        <v>373</v>
      </c>
      <c r="D133" s="20" t="s">
        <v>410</v>
      </c>
      <c r="E133" s="21" t="s">
        <v>411</v>
      </c>
      <c r="F133" s="22" t="n">
        <v>5334</v>
      </c>
      <c r="G133" s="22" t="n">
        <f aca="false">F133*VLOOKUP(K133,Kurallar!$A$17:$B$22,2,0)</f>
        <v>3200.4</v>
      </c>
      <c r="H133" s="22" t="n">
        <f aca="false">G133*I133</f>
        <v>3200.4</v>
      </c>
      <c r="I133" s="23" t="n">
        <v>1</v>
      </c>
      <c r="J133" s="20" t="s">
        <v>306</v>
      </c>
      <c r="K133" s="20" t="s">
        <v>33</v>
      </c>
      <c r="L133" s="21"/>
    </row>
    <row r="134" customFormat="false" ht="15" hidden="false" customHeight="false" outlineLevel="0" collapsed="false">
      <c r="A134" s="20" t="n">
        <v>133</v>
      </c>
      <c r="B134" s="21"/>
      <c r="C134" s="20" t="s">
        <v>373</v>
      </c>
      <c r="D134" s="20" t="s">
        <v>412</v>
      </c>
      <c r="E134" s="21" t="s">
        <v>413</v>
      </c>
      <c r="F134" s="22" t="n">
        <v>5462</v>
      </c>
      <c r="G134" s="22" t="n">
        <f aca="false">F134*VLOOKUP(K134,Kurallar!$A$17:$B$22,2,0)</f>
        <v>3277.2</v>
      </c>
      <c r="H134" s="22" t="n">
        <f aca="false">G134*I134</f>
        <v>9831.6</v>
      </c>
      <c r="I134" s="23" t="n">
        <v>3</v>
      </c>
      <c r="J134" s="20" t="s">
        <v>306</v>
      </c>
      <c r="K134" s="20" t="s">
        <v>33</v>
      </c>
      <c r="L134" s="21"/>
    </row>
    <row r="135" customFormat="false" ht="15" hidden="false" customHeight="false" outlineLevel="0" collapsed="false">
      <c r="A135" s="20" t="n">
        <v>134</v>
      </c>
      <c r="B135" s="21"/>
      <c r="C135" s="20" t="s">
        <v>373</v>
      </c>
      <c r="D135" s="20" t="s">
        <v>378</v>
      </c>
      <c r="E135" s="21" t="s">
        <v>379</v>
      </c>
      <c r="F135" s="22" t="n">
        <v>5878</v>
      </c>
      <c r="G135" s="22" t="n">
        <f aca="false">F135*VLOOKUP(K135,Kurallar!$A$17:$B$22,2,0)</f>
        <v>3526.8</v>
      </c>
      <c r="H135" s="22" t="n">
        <f aca="false">G135*I135</f>
        <v>3526.8</v>
      </c>
      <c r="I135" s="23" t="n">
        <v>1</v>
      </c>
      <c r="J135" s="20" t="s">
        <v>306</v>
      </c>
      <c r="K135" s="20" t="s">
        <v>33</v>
      </c>
      <c r="L135" s="21"/>
    </row>
    <row r="136" customFormat="false" ht="15" hidden="false" customHeight="false" outlineLevel="0" collapsed="false">
      <c r="A136" s="20" t="n">
        <v>135</v>
      </c>
      <c r="B136" s="21"/>
      <c r="C136" s="20" t="s">
        <v>373</v>
      </c>
      <c r="D136" s="20" t="s">
        <v>380</v>
      </c>
      <c r="E136" s="21" t="s">
        <v>381</v>
      </c>
      <c r="F136" s="22" t="n">
        <v>1362</v>
      </c>
      <c r="G136" s="22" t="n">
        <f aca="false">F136*VLOOKUP(K136,Kurallar!$A$17:$B$22,2,0)</f>
        <v>817.2</v>
      </c>
      <c r="H136" s="22" t="n">
        <f aca="false">G136*I136</f>
        <v>1634.4</v>
      </c>
      <c r="I136" s="23" t="n">
        <v>2</v>
      </c>
      <c r="J136" s="20" t="s">
        <v>306</v>
      </c>
      <c r="K136" s="20" t="s">
        <v>33</v>
      </c>
      <c r="L136" s="21"/>
    </row>
    <row r="137" customFormat="false" ht="15" hidden="false" customHeight="false" outlineLevel="0" collapsed="false">
      <c r="A137" s="20" t="n">
        <v>136</v>
      </c>
      <c r="B137" s="21"/>
      <c r="C137" s="20" t="s">
        <v>331</v>
      </c>
      <c r="D137" s="20" t="s">
        <v>382</v>
      </c>
      <c r="E137" s="21" t="s">
        <v>383</v>
      </c>
      <c r="F137" s="22" t="n">
        <v>461</v>
      </c>
      <c r="G137" s="22" t="n">
        <f aca="false">F137*VLOOKUP(K137,Kurallar!$A$17:$B$22,2,0)</f>
        <v>461</v>
      </c>
      <c r="H137" s="22" t="n">
        <f aca="false">G137*I137</f>
        <v>922</v>
      </c>
      <c r="I137" s="23" t="n">
        <v>2</v>
      </c>
      <c r="J137" s="20" t="s">
        <v>306</v>
      </c>
      <c r="K137" s="20" t="s">
        <v>40</v>
      </c>
      <c r="L137" s="21"/>
    </row>
    <row r="138" customFormat="false" ht="15" hidden="false" customHeight="false" outlineLevel="0" collapsed="false">
      <c r="A138" s="20" t="n">
        <v>137</v>
      </c>
      <c r="B138" s="21"/>
      <c r="C138" s="20" t="s">
        <v>338</v>
      </c>
      <c r="D138" s="20" t="s">
        <v>339</v>
      </c>
      <c r="E138" s="21" t="s">
        <v>340</v>
      </c>
      <c r="F138" s="22" t="n">
        <v>869</v>
      </c>
      <c r="G138" s="22" t="n">
        <f aca="false">F138*VLOOKUP(K138,Kurallar!$A$17:$B$22,2,0)</f>
        <v>521.4</v>
      </c>
      <c r="H138" s="22" t="n">
        <f aca="false">G138*I138</f>
        <v>1042.8</v>
      </c>
      <c r="I138" s="23" t="n">
        <v>2</v>
      </c>
      <c r="J138" s="20" t="s">
        <v>306</v>
      </c>
      <c r="K138" s="20" t="s">
        <v>33</v>
      </c>
      <c r="L138" s="21"/>
    </row>
    <row r="139" customFormat="false" ht="15" hidden="false" customHeight="false" outlineLevel="0" collapsed="false">
      <c r="A139" s="20" t="n">
        <v>138</v>
      </c>
      <c r="B139" s="21"/>
      <c r="C139" s="20" t="s">
        <v>338</v>
      </c>
      <c r="D139" s="20" t="s">
        <v>341</v>
      </c>
      <c r="E139" s="21" t="s">
        <v>342</v>
      </c>
      <c r="F139" s="22" t="n">
        <v>1801</v>
      </c>
      <c r="G139" s="22" t="n">
        <f aca="false">F139*VLOOKUP(K139,Kurallar!$A$17:$B$22,2,0)</f>
        <v>1801</v>
      </c>
      <c r="H139" s="22" t="n">
        <f aca="false">G139*I139</f>
        <v>3602</v>
      </c>
      <c r="I139" s="23" t="n">
        <v>2</v>
      </c>
      <c r="J139" s="20" t="s">
        <v>306</v>
      </c>
      <c r="K139" s="20" t="s">
        <v>39</v>
      </c>
      <c r="L139" s="21"/>
    </row>
    <row r="140" customFormat="false" ht="15" hidden="false" customHeight="false" outlineLevel="0" collapsed="false">
      <c r="A140" s="20" t="n">
        <v>139</v>
      </c>
      <c r="B140" s="21"/>
      <c r="C140" s="20" t="s">
        <v>338</v>
      </c>
      <c r="D140" s="20" t="s">
        <v>343</v>
      </c>
      <c r="E140" s="21" t="s">
        <v>344</v>
      </c>
      <c r="F140" s="22" t="n">
        <v>127</v>
      </c>
      <c r="G140" s="22" t="n">
        <f aca="false">F140*VLOOKUP(K140,Kurallar!$A$17:$B$22,2,0)</f>
        <v>127</v>
      </c>
      <c r="H140" s="22" t="n">
        <f aca="false">G140*I140</f>
        <v>3175</v>
      </c>
      <c r="I140" s="23" t="n">
        <v>25</v>
      </c>
      <c r="J140" s="20" t="s">
        <v>345</v>
      </c>
      <c r="K140" s="20" t="s">
        <v>37</v>
      </c>
      <c r="L140" s="21"/>
    </row>
    <row r="141" customFormat="false" ht="15" hidden="false" customHeight="false" outlineLevel="0" collapsed="false">
      <c r="A141" s="20" t="n">
        <v>140</v>
      </c>
      <c r="B141" s="21"/>
      <c r="C141" s="20" t="s">
        <v>338</v>
      </c>
      <c r="D141" s="20" t="s">
        <v>348</v>
      </c>
      <c r="E141" s="21" t="s">
        <v>349</v>
      </c>
      <c r="F141" s="22" t="n">
        <v>918</v>
      </c>
      <c r="G141" s="22" t="n">
        <f aca="false">F141*VLOOKUP(K141,Kurallar!$A$17:$B$22,2,0)</f>
        <v>918</v>
      </c>
      <c r="H141" s="22" t="n">
        <f aca="false">G141*I141</f>
        <v>5508</v>
      </c>
      <c r="I141" s="23" t="n">
        <v>6</v>
      </c>
      <c r="J141" s="20" t="s">
        <v>345</v>
      </c>
      <c r="K141" s="20" t="s">
        <v>37</v>
      </c>
      <c r="L141" s="21"/>
    </row>
    <row r="142" customFormat="false" ht="15" hidden="false" customHeight="false" outlineLevel="0" collapsed="false">
      <c r="A142" s="20" t="n">
        <v>141</v>
      </c>
      <c r="B142" s="21"/>
      <c r="C142" s="20" t="s">
        <v>352</v>
      </c>
      <c r="D142" s="20" t="s">
        <v>14</v>
      </c>
      <c r="E142" s="21" t="s">
        <v>353</v>
      </c>
      <c r="F142" s="22"/>
      <c r="G142" s="22" t="n">
        <f aca="false">SUM(H131:H141)*Kurallar!$B$9</f>
        <v>1265.796</v>
      </c>
      <c r="H142" s="22" t="n">
        <f aca="false">G142*I142</f>
        <v>1265.796</v>
      </c>
      <c r="I142" s="23" t="n">
        <v>1</v>
      </c>
      <c r="J142" s="20" t="s">
        <v>302</v>
      </c>
      <c r="K142" s="20" t="s">
        <v>14</v>
      </c>
      <c r="L142" s="21" t="s">
        <v>354</v>
      </c>
    </row>
    <row r="143" customFormat="false" ht="15" hidden="false" customHeight="false" outlineLevel="0" collapsed="false">
      <c r="A143" s="20" t="n">
        <v>142</v>
      </c>
      <c r="B143" s="21"/>
      <c r="C143" s="20" t="s">
        <v>355</v>
      </c>
      <c r="D143" s="20" t="s">
        <v>14</v>
      </c>
      <c r="E143" s="21" t="s">
        <v>356</v>
      </c>
      <c r="F143" s="24" t="n">
        <f aca="false">I143/60</f>
        <v>4.8</v>
      </c>
      <c r="G143" s="22" t="n">
        <f aca="false">Kurallar!$B$10</f>
        <v>100</v>
      </c>
      <c r="H143" s="22" t="n">
        <f aca="false">G143*I143</f>
        <v>28800</v>
      </c>
      <c r="I143" s="23" t="n">
        <f aca="false">ROUND((Kurallar!$C$42*2+Kurallar!$C$43*4+Kurallar!$C$45*1+Kurallar!$C$27*2+Kurallar!$C$28*5+Kurallar!$C$32*1+Kurallar!$C$40*2)*Kurallar!$B$11,0)</f>
        <v>288</v>
      </c>
      <c r="J143" s="20" t="s">
        <v>357</v>
      </c>
      <c r="K143" s="20" t="s">
        <v>14</v>
      </c>
      <c r="L143" s="21" t="s">
        <v>358</v>
      </c>
    </row>
    <row r="144" customFormat="false" ht="23.85" hidden="false" customHeight="false" outlineLevel="0" collapsed="false">
      <c r="A144" s="25"/>
      <c r="B144" s="26" t="s">
        <v>414</v>
      </c>
      <c r="C144" s="25"/>
      <c r="D144" s="25"/>
      <c r="E144" s="26"/>
      <c r="F144" s="27"/>
      <c r="G144" s="27"/>
      <c r="H144" s="27" t="n">
        <f aca="false">SUBTOTAL(9,H131:H143)</f>
        <v>72258.996</v>
      </c>
      <c r="I144" s="28"/>
      <c r="J144" s="25"/>
      <c r="K144" s="25"/>
      <c r="L144" s="26" t="s">
        <v>360</v>
      </c>
    </row>
    <row r="145" customFormat="false" ht="15" hidden="false" customHeight="false" outlineLevel="0" collapsed="false">
      <c r="A145" s="15" t="n">
        <v>144</v>
      </c>
      <c r="B145" s="16" t="str">
        <f aca="false">E145</f>
        <v>2.0-ЩРв — щит силовой вентиляции</v>
      </c>
      <c r="C145" s="15" t="s">
        <v>300</v>
      </c>
      <c r="D145" s="15"/>
      <c r="E145" s="17" t="s">
        <v>415</v>
      </c>
      <c r="F145" s="18"/>
      <c r="G145" s="18"/>
      <c r="H145" s="18"/>
      <c r="I145" s="19" t="n">
        <v>1</v>
      </c>
      <c r="J145" s="15" t="s">
        <v>302</v>
      </c>
      <c r="K145" s="15"/>
      <c r="L145" s="17"/>
    </row>
    <row r="146" customFormat="false" ht="15" hidden="false" customHeight="false" outlineLevel="0" collapsed="false">
      <c r="A146" s="20" t="n">
        <v>145</v>
      </c>
      <c r="B146" s="21"/>
      <c r="C146" s="20" t="s">
        <v>303</v>
      </c>
      <c r="D146" s="20" t="s">
        <v>416</v>
      </c>
      <c r="E146" s="21" t="s">
        <v>417</v>
      </c>
      <c r="F146" s="22" t="n">
        <v>11520</v>
      </c>
      <c r="G146" s="22" t="n">
        <f aca="false">F146*VLOOKUP(K146,Kurallar!$A$17:$B$22,2,0)</f>
        <v>11520</v>
      </c>
      <c r="H146" s="22" t="n">
        <f aca="false">G146*I146</f>
        <v>11520</v>
      </c>
      <c r="I146" s="23" t="n">
        <v>1</v>
      </c>
      <c r="J146" s="20" t="s">
        <v>306</v>
      </c>
      <c r="K146" s="20" t="s">
        <v>37</v>
      </c>
      <c r="L146" s="21"/>
    </row>
    <row r="147" customFormat="false" ht="15" hidden="false" customHeight="false" outlineLevel="0" collapsed="false">
      <c r="A147" s="20" t="n">
        <v>146</v>
      </c>
      <c r="B147" s="21"/>
      <c r="C147" s="20" t="s">
        <v>309</v>
      </c>
      <c r="D147" s="20" t="s">
        <v>418</v>
      </c>
      <c r="E147" s="21" t="s">
        <v>419</v>
      </c>
      <c r="F147" s="22" t="n">
        <v>4334</v>
      </c>
      <c r="G147" s="22" t="n">
        <f aca="false">F147*VLOOKUP(K147,Kurallar!$A$17:$B$22,2,0)</f>
        <v>2600.4</v>
      </c>
      <c r="H147" s="22" t="n">
        <f aca="false">G147*I147</f>
        <v>2600.4</v>
      </c>
      <c r="I147" s="23" t="n">
        <v>1</v>
      </c>
      <c r="J147" s="20" t="s">
        <v>306</v>
      </c>
      <c r="K147" s="20" t="s">
        <v>33</v>
      </c>
      <c r="L147" s="21"/>
    </row>
    <row r="148" customFormat="false" ht="15" hidden="false" customHeight="false" outlineLevel="0" collapsed="false">
      <c r="A148" s="20" t="n">
        <v>147</v>
      </c>
      <c r="B148" s="21"/>
      <c r="C148" s="20" t="s">
        <v>373</v>
      </c>
      <c r="D148" s="20" t="s">
        <v>420</v>
      </c>
      <c r="E148" s="21" t="s">
        <v>421</v>
      </c>
      <c r="F148" s="22" t="n">
        <v>6060</v>
      </c>
      <c r="G148" s="22" t="n">
        <f aca="false">F148*VLOOKUP(K148,Kurallar!$A$17:$B$22,2,0)</f>
        <v>3636</v>
      </c>
      <c r="H148" s="22" t="n">
        <f aca="false">G148*I148</f>
        <v>7272</v>
      </c>
      <c r="I148" s="23" t="n">
        <v>2</v>
      </c>
      <c r="J148" s="20" t="s">
        <v>306</v>
      </c>
      <c r="K148" s="20" t="s">
        <v>33</v>
      </c>
      <c r="L148" s="21"/>
    </row>
    <row r="149" customFormat="false" ht="15" hidden="false" customHeight="false" outlineLevel="0" collapsed="false">
      <c r="A149" s="20" t="n">
        <v>148</v>
      </c>
      <c r="B149" s="21"/>
      <c r="C149" s="20" t="s">
        <v>373</v>
      </c>
      <c r="D149" s="20" t="s">
        <v>410</v>
      </c>
      <c r="E149" s="21" t="s">
        <v>411</v>
      </c>
      <c r="F149" s="22" t="n">
        <v>5334</v>
      </c>
      <c r="G149" s="22" t="n">
        <f aca="false">F149*VLOOKUP(K149,Kurallar!$A$17:$B$22,2,0)</f>
        <v>3200.4</v>
      </c>
      <c r="H149" s="22" t="n">
        <f aca="false">G149*I149</f>
        <v>3200.4</v>
      </c>
      <c r="I149" s="23" t="n">
        <v>1</v>
      </c>
      <c r="J149" s="20" t="s">
        <v>306</v>
      </c>
      <c r="K149" s="20" t="s">
        <v>33</v>
      </c>
      <c r="L149" s="21"/>
    </row>
    <row r="150" customFormat="false" ht="15" hidden="false" customHeight="false" outlineLevel="0" collapsed="false">
      <c r="A150" s="20" t="n">
        <v>149</v>
      </c>
      <c r="B150" s="21"/>
      <c r="C150" s="20" t="s">
        <v>373</v>
      </c>
      <c r="D150" s="20" t="s">
        <v>412</v>
      </c>
      <c r="E150" s="21" t="s">
        <v>413</v>
      </c>
      <c r="F150" s="22" t="n">
        <v>5462</v>
      </c>
      <c r="G150" s="22" t="n">
        <f aca="false">F150*VLOOKUP(K150,Kurallar!$A$17:$B$22,2,0)</f>
        <v>3277.2</v>
      </c>
      <c r="H150" s="22" t="n">
        <f aca="false">G150*I150</f>
        <v>3277.2</v>
      </c>
      <c r="I150" s="23" t="n">
        <v>1</v>
      </c>
      <c r="J150" s="20" t="s">
        <v>306</v>
      </c>
      <c r="K150" s="20" t="s">
        <v>33</v>
      </c>
      <c r="L150" s="21"/>
    </row>
    <row r="151" customFormat="false" ht="15" hidden="false" customHeight="false" outlineLevel="0" collapsed="false">
      <c r="A151" s="20" t="n">
        <v>150</v>
      </c>
      <c r="B151" s="21"/>
      <c r="C151" s="20" t="s">
        <v>373</v>
      </c>
      <c r="D151" s="20" t="s">
        <v>378</v>
      </c>
      <c r="E151" s="21" t="s">
        <v>379</v>
      </c>
      <c r="F151" s="22" t="n">
        <v>5878</v>
      </c>
      <c r="G151" s="22" t="n">
        <f aca="false">F151*VLOOKUP(K151,Kurallar!$A$17:$B$22,2,0)</f>
        <v>3526.8</v>
      </c>
      <c r="H151" s="22" t="n">
        <f aca="false">G151*I151</f>
        <v>14107.2</v>
      </c>
      <c r="I151" s="23" t="n">
        <v>4</v>
      </c>
      <c r="J151" s="20" t="s">
        <v>306</v>
      </c>
      <c r="K151" s="20" t="s">
        <v>33</v>
      </c>
      <c r="L151" s="21"/>
    </row>
    <row r="152" customFormat="false" ht="15" hidden="false" customHeight="false" outlineLevel="0" collapsed="false">
      <c r="A152" s="20" t="n">
        <v>151</v>
      </c>
      <c r="B152" s="21"/>
      <c r="C152" s="20" t="s">
        <v>373</v>
      </c>
      <c r="D152" s="20" t="s">
        <v>380</v>
      </c>
      <c r="E152" s="21" t="s">
        <v>381</v>
      </c>
      <c r="F152" s="22" t="n">
        <v>1362</v>
      </c>
      <c r="G152" s="22" t="n">
        <f aca="false">F152*VLOOKUP(K152,Kurallar!$A$17:$B$22,2,0)</f>
        <v>817.2</v>
      </c>
      <c r="H152" s="22" t="n">
        <f aca="false">G152*I152</f>
        <v>2451.6</v>
      </c>
      <c r="I152" s="23" t="n">
        <v>3</v>
      </c>
      <c r="J152" s="20" t="s">
        <v>306</v>
      </c>
      <c r="K152" s="20" t="s">
        <v>33</v>
      </c>
      <c r="L152" s="21"/>
    </row>
    <row r="153" customFormat="false" ht="15" hidden="false" customHeight="false" outlineLevel="0" collapsed="false">
      <c r="A153" s="20" t="n">
        <v>152</v>
      </c>
      <c r="B153" s="21"/>
      <c r="C153" s="20" t="s">
        <v>331</v>
      </c>
      <c r="D153" s="20" t="s">
        <v>382</v>
      </c>
      <c r="E153" s="21" t="s">
        <v>383</v>
      </c>
      <c r="F153" s="22" t="n">
        <v>461</v>
      </c>
      <c r="G153" s="22" t="n">
        <f aca="false">F153*VLOOKUP(K153,Kurallar!$A$17:$B$22,2,0)</f>
        <v>461</v>
      </c>
      <c r="H153" s="22" t="n">
        <f aca="false">G153*I153</f>
        <v>922</v>
      </c>
      <c r="I153" s="23" t="n">
        <v>2</v>
      </c>
      <c r="J153" s="20" t="s">
        <v>306</v>
      </c>
      <c r="K153" s="20" t="s">
        <v>40</v>
      </c>
      <c r="L153" s="21"/>
    </row>
    <row r="154" customFormat="false" ht="15" hidden="false" customHeight="false" outlineLevel="0" collapsed="false">
      <c r="A154" s="20" t="n">
        <v>153</v>
      </c>
      <c r="B154" s="21"/>
      <c r="C154" s="20" t="s">
        <v>338</v>
      </c>
      <c r="D154" s="20" t="s">
        <v>339</v>
      </c>
      <c r="E154" s="21" t="s">
        <v>340</v>
      </c>
      <c r="F154" s="22" t="n">
        <v>869</v>
      </c>
      <c r="G154" s="22" t="n">
        <f aca="false">F154*VLOOKUP(K154,Kurallar!$A$17:$B$22,2,0)</f>
        <v>521.4</v>
      </c>
      <c r="H154" s="22" t="n">
        <f aca="false">G154*I154</f>
        <v>1564.2</v>
      </c>
      <c r="I154" s="23" t="n">
        <v>3</v>
      </c>
      <c r="J154" s="20" t="s">
        <v>306</v>
      </c>
      <c r="K154" s="20" t="s">
        <v>33</v>
      </c>
      <c r="L154" s="21"/>
    </row>
    <row r="155" customFormat="false" ht="15" hidden="false" customHeight="false" outlineLevel="0" collapsed="false">
      <c r="A155" s="20" t="n">
        <v>154</v>
      </c>
      <c r="B155" s="21"/>
      <c r="C155" s="20" t="s">
        <v>338</v>
      </c>
      <c r="D155" s="20" t="s">
        <v>341</v>
      </c>
      <c r="E155" s="21" t="s">
        <v>342</v>
      </c>
      <c r="F155" s="22" t="n">
        <v>1801</v>
      </c>
      <c r="G155" s="22" t="n">
        <f aca="false">F155*VLOOKUP(K155,Kurallar!$A$17:$B$22,2,0)</f>
        <v>1801</v>
      </c>
      <c r="H155" s="22" t="n">
        <f aca="false">G155*I155</f>
        <v>5403</v>
      </c>
      <c r="I155" s="23" t="n">
        <v>3</v>
      </c>
      <c r="J155" s="20" t="s">
        <v>306</v>
      </c>
      <c r="K155" s="20" t="s">
        <v>39</v>
      </c>
      <c r="L155" s="21"/>
    </row>
    <row r="156" customFormat="false" ht="15" hidden="false" customHeight="false" outlineLevel="0" collapsed="false">
      <c r="A156" s="20" t="n">
        <v>155</v>
      </c>
      <c r="B156" s="21"/>
      <c r="C156" s="20" t="s">
        <v>338</v>
      </c>
      <c r="D156" s="20" t="s">
        <v>343</v>
      </c>
      <c r="E156" s="21" t="s">
        <v>344</v>
      </c>
      <c r="F156" s="22" t="n">
        <v>127</v>
      </c>
      <c r="G156" s="22" t="n">
        <f aca="false">F156*VLOOKUP(K156,Kurallar!$A$17:$B$22,2,0)</f>
        <v>127</v>
      </c>
      <c r="H156" s="22" t="n">
        <f aca="false">G156*I156</f>
        <v>4445</v>
      </c>
      <c r="I156" s="23" t="n">
        <v>35</v>
      </c>
      <c r="J156" s="20" t="s">
        <v>345</v>
      </c>
      <c r="K156" s="20" t="s">
        <v>37</v>
      </c>
      <c r="L156" s="21"/>
    </row>
    <row r="157" customFormat="false" ht="15" hidden="false" customHeight="false" outlineLevel="0" collapsed="false">
      <c r="A157" s="20" t="n">
        <v>156</v>
      </c>
      <c r="B157" s="21"/>
      <c r="C157" s="20" t="s">
        <v>338</v>
      </c>
      <c r="D157" s="20" t="s">
        <v>422</v>
      </c>
      <c r="E157" s="21" t="s">
        <v>423</v>
      </c>
      <c r="F157" s="22" t="n">
        <v>2136</v>
      </c>
      <c r="G157" s="22" t="n">
        <f aca="false">F157*VLOOKUP(K157,Kurallar!$A$17:$B$22,2,0)</f>
        <v>2136</v>
      </c>
      <c r="H157" s="22" t="n">
        <f aca="false">G157*I157</f>
        <v>12816</v>
      </c>
      <c r="I157" s="23" t="n">
        <v>6</v>
      </c>
      <c r="J157" s="20" t="s">
        <v>345</v>
      </c>
      <c r="K157" s="20" t="s">
        <v>37</v>
      </c>
      <c r="L157" s="21"/>
    </row>
    <row r="158" customFormat="false" ht="15" hidden="false" customHeight="false" outlineLevel="0" collapsed="false">
      <c r="A158" s="20" t="n">
        <v>157</v>
      </c>
      <c r="B158" s="21"/>
      <c r="C158" s="20" t="s">
        <v>352</v>
      </c>
      <c r="D158" s="20" t="s">
        <v>14</v>
      </c>
      <c r="E158" s="21" t="s">
        <v>353</v>
      </c>
      <c r="F158" s="22"/>
      <c r="G158" s="22" t="n">
        <f aca="false">SUM(H146:H157)*Kurallar!$B$9</f>
        <v>2087.37</v>
      </c>
      <c r="H158" s="22" t="n">
        <f aca="false">G158*I158</f>
        <v>2087.37</v>
      </c>
      <c r="I158" s="23" t="n">
        <v>1</v>
      </c>
      <c r="J158" s="20" t="s">
        <v>302</v>
      </c>
      <c r="K158" s="20" t="s">
        <v>14</v>
      </c>
      <c r="L158" s="21" t="s">
        <v>354</v>
      </c>
    </row>
    <row r="159" customFormat="false" ht="15" hidden="false" customHeight="false" outlineLevel="0" collapsed="false">
      <c r="A159" s="20" t="n">
        <v>158</v>
      </c>
      <c r="B159" s="21"/>
      <c r="C159" s="20" t="s">
        <v>355</v>
      </c>
      <c r="D159" s="20" t="s">
        <v>14</v>
      </c>
      <c r="E159" s="21" t="s">
        <v>356</v>
      </c>
      <c r="F159" s="24" t="n">
        <f aca="false">I159/60</f>
        <v>6.3</v>
      </c>
      <c r="G159" s="22" t="n">
        <f aca="false">Kurallar!$B$10</f>
        <v>100</v>
      </c>
      <c r="H159" s="22" t="n">
        <f aca="false">G159*I159</f>
        <v>37800</v>
      </c>
      <c r="I159" s="23" t="n">
        <f aca="false">ROUND((Kurallar!$C$42*3+Kurallar!$C$43*6+Kurallar!$C$45*1+Kurallar!$C$27*3+Kurallar!$C$28*8+Kurallar!$C$32*1+Kurallar!$C$40*2)*Kurallar!$B$11,0)</f>
        <v>378</v>
      </c>
      <c r="J159" s="20" t="s">
        <v>357</v>
      </c>
      <c r="K159" s="20" t="s">
        <v>14</v>
      </c>
      <c r="L159" s="21" t="s">
        <v>358</v>
      </c>
    </row>
    <row r="160" customFormat="false" ht="23.85" hidden="false" customHeight="false" outlineLevel="0" collapsed="false">
      <c r="A160" s="25"/>
      <c r="B160" s="26" t="s">
        <v>424</v>
      </c>
      <c r="C160" s="25"/>
      <c r="D160" s="25"/>
      <c r="E160" s="26"/>
      <c r="F160" s="27"/>
      <c r="G160" s="27"/>
      <c r="H160" s="27" t="n">
        <f aca="false">SUBTOTAL(9,H146:H159)</f>
        <v>109466.37</v>
      </c>
      <c r="I160" s="28"/>
      <c r="J160" s="25"/>
      <c r="K160" s="25"/>
      <c r="L160" s="26" t="s">
        <v>360</v>
      </c>
    </row>
    <row r="161" customFormat="false" ht="15" hidden="false" customHeight="false" outlineLevel="0" collapsed="false">
      <c r="A161" s="15" t="n">
        <v>160</v>
      </c>
      <c r="B161" s="16" t="str">
        <f aca="false">E161</f>
        <v>3.0-ЩРв — щит силовой вентиляции</v>
      </c>
      <c r="C161" s="15" t="s">
        <v>300</v>
      </c>
      <c r="D161" s="15"/>
      <c r="E161" s="17" t="s">
        <v>425</v>
      </c>
      <c r="F161" s="18"/>
      <c r="G161" s="18"/>
      <c r="H161" s="18"/>
      <c r="I161" s="19" t="n">
        <v>1</v>
      </c>
      <c r="J161" s="15" t="s">
        <v>302</v>
      </c>
      <c r="K161" s="15"/>
      <c r="L161" s="17"/>
    </row>
    <row r="162" customFormat="false" ht="15" hidden="false" customHeight="false" outlineLevel="0" collapsed="false">
      <c r="A162" s="20" t="n">
        <v>161</v>
      </c>
      <c r="B162" s="21"/>
      <c r="C162" s="20" t="s">
        <v>303</v>
      </c>
      <c r="D162" s="20" t="s">
        <v>371</v>
      </c>
      <c r="E162" s="21" t="s">
        <v>372</v>
      </c>
      <c r="F162" s="22" t="n">
        <v>7220</v>
      </c>
      <c r="G162" s="22" t="n">
        <f aca="false">F162*VLOOKUP(K162,Kurallar!$A$17:$B$22,2,0)</f>
        <v>7220</v>
      </c>
      <c r="H162" s="22" t="n">
        <f aca="false">G162*I162</f>
        <v>7220</v>
      </c>
      <c r="I162" s="23" t="n">
        <v>1</v>
      </c>
      <c r="J162" s="20" t="s">
        <v>306</v>
      </c>
      <c r="K162" s="20" t="s">
        <v>37</v>
      </c>
      <c r="L162" s="21"/>
    </row>
    <row r="163" customFormat="false" ht="15" hidden="false" customHeight="false" outlineLevel="0" collapsed="false">
      <c r="A163" s="20" t="n">
        <v>162</v>
      </c>
      <c r="B163" s="21"/>
      <c r="C163" s="20" t="s">
        <v>309</v>
      </c>
      <c r="D163" s="20" t="s">
        <v>408</v>
      </c>
      <c r="E163" s="21" t="s">
        <v>409</v>
      </c>
      <c r="F163" s="22" t="n">
        <v>4217</v>
      </c>
      <c r="G163" s="22" t="n">
        <f aca="false">F163*VLOOKUP(K163,Kurallar!$A$17:$B$22,2,0)</f>
        <v>2530.2</v>
      </c>
      <c r="H163" s="22" t="n">
        <f aca="false">G163*I163</f>
        <v>2530.2</v>
      </c>
      <c r="I163" s="23" t="n">
        <v>1</v>
      </c>
      <c r="J163" s="20" t="s">
        <v>306</v>
      </c>
      <c r="K163" s="20" t="s">
        <v>33</v>
      </c>
      <c r="L163" s="21"/>
    </row>
    <row r="164" customFormat="false" ht="15" hidden="false" customHeight="false" outlineLevel="0" collapsed="false">
      <c r="A164" s="20" t="n">
        <v>163</v>
      </c>
      <c r="B164" s="21"/>
      <c r="C164" s="20" t="s">
        <v>373</v>
      </c>
      <c r="D164" s="20" t="s">
        <v>378</v>
      </c>
      <c r="E164" s="21" t="s">
        <v>379</v>
      </c>
      <c r="F164" s="22" t="n">
        <v>5878</v>
      </c>
      <c r="G164" s="22" t="n">
        <f aca="false">F164*VLOOKUP(K164,Kurallar!$A$17:$B$22,2,0)</f>
        <v>3526.8</v>
      </c>
      <c r="H164" s="22" t="n">
        <f aca="false">G164*I164</f>
        <v>7053.6</v>
      </c>
      <c r="I164" s="23" t="n">
        <v>2</v>
      </c>
      <c r="J164" s="20" t="s">
        <v>306</v>
      </c>
      <c r="K164" s="20" t="s">
        <v>33</v>
      </c>
      <c r="L164" s="21"/>
    </row>
    <row r="165" customFormat="false" ht="15" hidden="false" customHeight="false" outlineLevel="0" collapsed="false">
      <c r="A165" s="20" t="n">
        <v>164</v>
      </c>
      <c r="B165" s="21"/>
      <c r="C165" s="20" t="s">
        <v>373</v>
      </c>
      <c r="D165" s="20" t="s">
        <v>380</v>
      </c>
      <c r="E165" s="21" t="s">
        <v>381</v>
      </c>
      <c r="F165" s="22" t="n">
        <v>1362</v>
      </c>
      <c r="G165" s="22" t="n">
        <f aca="false">F165*VLOOKUP(K165,Kurallar!$A$17:$B$22,2,0)</f>
        <v>817.2</v>
      </c>
      <c r="H165" s="22" t="n">
        <f aca="false">G165*I165</f>
        <v>4086</v>
      </c>
      <c r="I165" s="23" t="n">
        <v>5</v>
      </c>
      <c r="J165" s="20" t="s">
        <v>306</v>
      </c>
      <c r="K165" s="20" t="s">
        <v>33</v>
      </c>
      <c r="L165" s="21"/>
    </row>
    <row r="166" customFormat="false" ht="15" hidden="false" customHeight="false" outlineLevel="0" collapsed="false">
      <c r="A166" s="20" t="n">
        <v>165</v>
      </c>
      <c r="B166" s="21"/>
      <c r="C166" s="20" t="s">
        <v>331</v>
      </c>
      <c r="D166" s="20" t="s">
        <v>382</v>
      </c>
      <c r="E166" s="21" t="s">
        <v>383</v>
      </c>
      <c r="F166" s="22" t="n">
        <v>461</v>
      </c>
      <c r="G166" s="22" t="n">
        <f aca="false">F166*VLOOKUP(K166,Kurallar!$A$17:$B$22,2,0)</f>
        <v>461</v>
      </c>
      <c r="H166" s="22" t="n">
        <f aca="false">G166*I166</f>
        <v>922</v>
      </c>
      <c r="I166" s="23" t="n">
        <v>2</v>
      </c>
      <c r="J166" s="20" t="s">
        <v>306</v>
      </c>
      <c r="K166" s="20" t="s">
        <v>40</v>
      </c>
      <c r="L166" s="21"/>
    </row>
    <row r="167" customFormat="false" ht="15" hidden="false" customHeight="false" outlineLevel="0" collapsed="false">
      <c r="A167" s="20" t="n">
        <v>166</v>
      </c>
      <c r="B167" s="21"/>
      <c r="C167" s="20" t="s">
        <v>338</v>
      </c>
      <c r="D167" s="20" t="s">
        <v>339</v>
      </c>
      <c r="E167" s="21" t="s">
        <v>340</v>
      </c>
      <c r="F167" s="22" t="n">
        <v>869</v>
      </c>
      <c r="G167" s="22" t="n">
        <f aca="false">F167*VLOOKUP(K167,Kurallar!$A$17:$B$22,2,0)</f>
        <v>521.4</v>
      </c>
      <c r="H167" s="22" t="n">
        <f aca="false">G167*I167</f>
        <v>1042.8</v>
      </c>
      <c r="I167" s="23" t="n">
        <v>2</v>
      </c>
      <c r="J167" s="20" t="s">
        <v>306</v>
      </c>
      <c r="K167" s="20" t="s">
        <v>33</v>
      </c>
      <c r="L167" s="21"/>
    </row>
    <row r="168" customFormat="false" ht="15" hidden="false" customHeight="false" outlineLevel="0" collapsed="false">
      <c r="A168" s="20" t="n">
        <v>167</v>
      </c>
      <c r="B168" s="21"/>
      <c r="C168" s="20" t="s">
        <v>338</v>
      </c>
      <c r="D168" s="20" t="s">
        <v>341</v>
      </c>
      <c r="E168" s="21" t="s">
        <v>342</v>
      </c>
      <c r="F168" s="22" t="n">
        <v>1801</v>
      </c>
      <c r="G168" s="22" t="n">
        <f aca="false">F168*VLOOKUP(K168,Kurallar!$A$17:$B$22,2,0)</f>
        <v>1801</v>
      </c>
      <c r="H168" s="22" t="n">
        <f aca="false">G168*I168</f>
        <v>3602</v>
      </c>
      <c r="I168" s="23" t="n">
        <v>2</v>
      </c>
      <c r="J168" s="20" t="s">
        <v>306</v>
      </c>
      <c r="K168" s="20" t="s">
        <v>39</v>
      </c>
      <c r="L168" s="21"/>
    </row>
    <row r="169" customFormat="false" ht="15" hidden="false" customHeight="false" outlineLevel="0" collapsed="false">
      <c r="A169" s="20" t="n">
        <v>168</v>
      </c>
      <c r="B169" s="21"/>
      <c r="C169" s="20" t="s">
        <v>338</v>
      </c>
      <c r="D169" s="20" t="s">
        <v>343</v>
      </c>
      <c r="E169" s="21" t="s">
        <v>344</v>
      </c>
      <c r="F169" s="22" t="n">
        <v>127</v>
      </c>
      <c r="G169" s="22" t="n">
        <f aca="false">F169*VLOOKUP(K169,Kurallar!$A$17:$B$22,2,0)</f>
        <v>127</v>
      </c>
      <c r="H169" s="22" t="n">
        <f aca="false">G169*I169</f>
        <v>3175</v>
      </c>
      <c r="I169" s="23" t="n">
        <v>25</v>
      </c>
      <c r="J169" s="20" t="s">
        <v>345</v>
      </c>
      <c r="K169" s="20" t="s">
        <v>37</v>
      </c>
      <c r="L169" s="21"/>
    </row>
    <row r="170" customFormat="false" ht="15" hidden="false" customHeight="false" outlineLevel="0" collapsed="false">
      <c r="A170" s="20" t="n">
        <v>169</v>
      </c>
      <c r="B170" s="21"/>
      <c r="C170" s="20" t="s">
        <v>338</v>
      </c>
      <c r="D170" s="20" t="s">
        <v>348</v>
      </c>
      <c r="E170" s="21" t="s">
        <v>349</v>
      </c>
      <c r="F170" s="22" t="n">
        <v>918</v>
      </c>
      <c r="G170" s="22" t="n">
        <f aca="false">F170*VLOOKUP(K170,Kurallar!$A$17:$B$22,2,0)</f>
        <v>918</v>
      </c>
      <c r="H170" s="22" t="n">
        <f aca="false">G170*I170</f>
        <v>5508</v>
      </c>
      <c r="I170" s="23" t="n">
        <v>6</v>
      </c>
      <c r="J170" s="20" t="s">
        <v>345</v>
      </c>
      <c r="K170" s="20" t="s">
        <v>37</v>
      </c>
      <c r="L170" s="21"/>
    </row>
    <row r="171" customFormat="false" ht="15" hidden="false" customHeight="false" outlineLevel="0" collapsed="false">
      <c r="A171" s="20" t="n">
        <v>170</v>
      </c>
      <c r="B171" s="21"/>
      <c r="C171" s="20" t="s">
        <v>352</v>
      </c>
      <c r="D171" s="20" t="s">
        <v>14</v>
      </c>
      <c r="E171" s="21" t="s">
        <v>353</v>
      </c>
      <c r="F171" s="22"/>
      <c r="G171" s="22" t="n">
        <f aca="false">SUM(H162:H170)*Kurallar!$B$9</f>
        <v>1054.188</v>
      </c>
      <c r="H171" s="22" t="n">
        <f aca="false">G171*I171</f>
        <v>1054.188</v>
      </c>
      <c r="I171" s="23" t="n">
        <v>1</v>
      </c>
      <c r="J171" s="20" t="s">
        <v>302</v>
      </c>
      <c r="K171" s="20" t="s">
        <v>14</v>
      </c>
      <c r="L171" s="21" t="s">
        <v>354</v>
      </c>
    </row>
    <row r="172" customFormat="false" ht="15" hidden="false" customHeight="false" outlineLevel="0" collapsed="false">
      <c r="A172" s="20" t="n">
        <v>171</v>
      </c>
      <c r="B172" s="21"/>
      <c r="C172" s="20" t="s">
        <v>355</v>
      </c>
      <c r="D172" s="20" t="s">
        <v>14</v>
      </c>
      <c r="E172" s="21" t="s">
        <v>356</v>
      </c>
      <c r="F172" s="24" t="n">
        <f aca="false">I172/60</f>
        <v>4.33333333333333</v>
      </c>
      <c r="G172" s="22" t="n">
        <f aca="false">Kurallar!$B$10</f>
        <v>100</v>
      </c>
      <c r="H172" s="22" t="n">
        <f aca="false">G172*I172</f>
        <v>26000</v>
      </c>
      <c r="I172" s="23" t="n">
        <f aca="false">ROUND((Kurallar!$C$42*2+Kurallar!$C$43*4+Kurallar!$C$45*1+Kurallar!$C$27*5+Kurallar!$C$28*2+Kurallar!$C$32*1+Kurallar!$C$40*2)*Kurallar!$B$11,0)</f>
        <v>260</v>
      </c>
      <c r="J172" s="20" t="s">
        <v>357</v>
      </c>
      <c r="K172" s="20" t="s">
        <v>14</v>
      </c>
      <c r="L172" s="21" t="s">
        <v>358</v>
      </c>
    </row>
    <row r="173" customFormat="false" ht="23.85" hidden="false" customHeight="false" outlineLevel="0" collapsed="false">
      <c r="A173" s="25"/>
      <c r="B173" s="26" t="s">
        <v>426</v>
      </c>
      <c r="C173" s="25"/>
      <c r="D173" s="25"/>
      <c r="E173" s="26"/>
      <c r="F173" s="27"/>
      <c r="G173" s="27"/>
      <c r="H173" s="27" t="n">
        <f aca="false">SUBTOTAL(9,H162:H172)</f>
        <v>62193.788</v>
      </c>
      <c r="I173" s="28"/>
      <c r="J173" s="25"/>
      <c r="K173" s="25"/>
      <c r="L173" s="26" t="s">
        <v>360</v>
      </c>
    </row>
    <row r="174" customFormat="false" ht="23.85" hidden="false" customHeight="false" outlineLevel="0" collapsed="false">
      <c r="A174" s="15" t="n">
        <v>173</v>
      </c>
      <c r="B174" s="16" t="str">
        <f aca="false">E174</f>
        <v>1.0-ЩРк — щит силовой кондиционеров</v>
      </c>
      <c r="C174" s="15" t="s">
        <v>300</v>
      </c>
      <c r="D174" s="15"/>
      <c r="E174" s="17" t="s">
        <v>427</v>
      </c>
      <c r="F174" s="18"/>
      <c r="G174" s="18"/>
      <c r="H174" s="18"/>
      <c r="I174" s="19" t="n">
        <v>1</v>
      </c>
      <c r="J174" s="15" t="s">
        <v>302</v>
      </c>
      <c r="K174" s="15"/>
      <c r="L174" s="17"/>
    </row>
    <row r="175" customFormat="false" ht="15" hidden="false" customHeight="false" outlineLevel="0" collapsed="false">
      <c r="A175" s="20" t="n">
        <v>174</v>
      </c>
      <c r="B175" s="21"/>
      <c r="C175" s="20" t="s">
        <v>303</v>
      </c>
      <c r="D175" s="20" t="s">
        <v>371</v>
      </c>
      <c r="E175" s="21" t="s">
        <v>372</v>
      </c>
      <c r="F175" s="22" t="n">
        <v>7220</v>
      </c>
      <c r="G175" s="22" t="n">
        <f aca="false">F175*VLOOKUP(K175,Kurallar!$A$17:$B$22,2,0)</f>
        <v>7220</v>
      </c>
      <c r="H175" s="22" t="n">
        <f aca="false">G175*I175</f>
        <v>7220</v>
      </c>
      <c r="I175" s="23" t="n">
        <v>1</v>
      </c>
      <c r="J175" s="20" t="s">
        <v>306</v>
      </c>
      <c r="K175" s="20" t="s">
        <v>37</v>
      </c>
      <c r="L175" s="21"/>
    </row>
    <row r="176" customFormat="false" ht="15" hidden="false" customHeight="false" outlineLevel="0" collapsed="false">
      <c r="A176" s="20" t="n">
        <v>175</v>
      </c>
      <c r="B176" s="21"/>
      <c r="C176" s="20" t="s">
        <v>309</v>
      </c>
      <c r="D176" s="20" t="s">
        <v>428</v>
      </c>
      <c r="E176" s="21" t="s">
        <v>429</v>
      </c>
      <c r="F176" s="22" t="n">
        <v>4886</v>
      </c>
      <c r="G176" s="22" t="n">
        <f aca="false">F176*VLOOKUP(K176,Kurallar!$A$17:$B$22,2,0)</f>
        <v>2931.6</v>
      </c>
      <c r="H176" s="22" t="n">
        <f aca="false">G176*I176</f>
        <v>2931.6</v>
      </c>
      <c r="I176" s="23" t="n">
        <v>1</v>
      </c>
      <c r="J176" s="20" t="s">
        <v>306</v>
      </c>
      <c r="K176" s="20" t="s">
        <v>33</v>
      </c>
      <c r="L176" s="21"/>
    </row>
    <row r="177" customFormat="false" ht="15" hidden="false" customHeight="false" outlineLevel="0" collapsed="false">
      <c r="A177" s="20" t="n">
        <v>176</v>
      </c>
      <c r="B177" s="21"/>
      <c r="C177" s="20" t="s">
        <v>398</v>
      </c>
      <c r="D177" s="20" t="s">
        <v>254</v>
      </c>
      <c r="E177" s="21" t="s">
        <v>430</v>
      </c>
      <c r="F177" s="22" t="n">
        <v>8934</v>
      </c>
      <c r="G177" s="22" t="n">
        <f aca="false">F177*VLOOKUP(K177,Kurallar!$A$17:$B$22,2,0)</f>
        <v>5360.4</v>
      </c>
      <c r="H177" s="22" t="n">
        <f aca="false">G177*I177</f>
        <v>5360.4</v>
      </c>
      <c r="I177" s="23" t="n">
        <v>1</v>
      </c>
      <c r="J177" s="20" t="s">
        <v>306</v>
      </c>
      <c r="K177" s="20" t="s">
        <v>33</v>
      </c>
      <c r="L177" s="21"/>
    </row>
    <row r="178" customFormat="false" ht="15" hidden="false" customHeight="false" outlineLevel="0" collapsed="false">
      <c r="A178" s="20" t="n">
        <v>177</v>
      </c>
      <c r="B178" s="21"/>
      <c r="C178" s="20" t="s">
        <v>398</v>
      </c>
      <c r="D178" s="20" t="s">
        <v>251</v>
      </c>
      <c r="E178" s="21" t="s">
        <v>431</v>
      </c>
      <c r="F178" s="22" t="n">
        <v>8889</v>
      </c>
      <c r="G178" s="22" t="n">
        <f aca="false">F178*VLOOKUP(K178,Kurallar!$A$17:$B$22,2,0)</f>
        <v>5333.4</v>
      </c>
      <c r="H178" s="22" t="n">
        <f aca="false">G178*I178</f>
        <v>5333.4</v>
      </c>
      <c r="I178" s="23" t="n">
        <v>1</v>
      </c>
      <c r="J178" s="20" t="s">
        <v>306</v>
      </c>
      <c r="K178" s="20" t="s">
        <v>33</v>
      </c>
      <c r="L178" s="21"/>
    </row>
    <row r="179" customFormat="false" ht="15" hidden="false" customHeight="false" outlineLevel="0" collapsed="false">
      <c r="A179" s="20" t="n">
        <v>178</v>
      </c>
      <c r="B179" s="21"/>
      <c r="C179" s="20" t="s">
        <v>398</v>
      </c>
      <c r="D179" s="20" t="s">
        <v>261</v>
      </c>
      <c r="E179" s="21" t="s">
        <v>432</v>
      </c>
      <c r="F179" s="22" t="n">
        <v>8826</v>
      </c>
      <c r="G179" s="22" t="n">
        <f aca="false">F179*VLOOKUP(K179,Kurallar!$A$17:$B$22,2,0)</f>
        <v>5295.6</v>
      </c>
      <c r="H179" s="22" t="n">
        <f aca="false">G179*I179</f>
        <v>10591.2</v>
      </c>
      <c r="I179" s="23" t="n">
        <v>2</v>
      </c>
      <c r="J179" s="20" t="s">
        <v>306</v>
      </c>
      <c r="K179" s="20" t="s">
        <v>33</v>
      </c>
      <c r="L179" s="21"/>
    </row>
    <row r="180" customFormat="false" ht="15" hidden="false" customHeight="false" outlineLevel="0" collapsed="false">
      <c r="A180" s="20" t="n">
        <v>179</v>
      </c>
      <c r="B180" s="21"/>
      <c r="C180" s="20" t="s">
        <v>398</v>
      </c>
      <c r="D180" s="20" t="s">
        <v>399</v>
      </c>
      <c r="E180" s="21" t="s">
        <v>400</v>
      </c>
      <c r="F180" s="22" t="n">
        <v>5719</v>
      </c>
      <c r="G180" s="22" t="n">
        <f aca="false">F180*VLOOKUP(K180,Kurallar!$A$17:$B$22,2,0)</f>
        <v>3431.4</v>
      </c>
      <c r="H180" s="22" t="n">
        <f aca="false">G180*I180</f>
        <v>6862.8</v>
      </c>
      <c r="I180" s="23" t="n">
        <v>2</v>
      </c>
      <c r="J180" s="20" t="s">
        <v>306</v>
      </c>
      <c r="K180" s="20" t="s">
        <v>33</v>
      </c>
      <c r="L180" s="21"/>
    </row>
    <row r="181" customFormat="false" ht="15" hidden="false" customHeight="false" outlineLevel="0" collapsed="false">
      <c r="A181" s="20" t="n">
        <v>180</v>
      </c>
      <c r="B181" s="21"/>
      <c r="C181" s="20" t="s">
        <v>331</v>
      </c>
      <c r="D181" s="20" t="s">
        <v>382</v>
      </c>
      <c r="E181" s="21" t="s">
        <v>383</v>
      </c>
      <c r="F181" s="22" t="n">
        <v>461</v>
      </c>
      <c r="G181" s="22" t="n">
        <f aca="false">F181*VLOOKUP(K181,Kurallar!$A$17:$B$22,2,0)</f>
        <v>461</v>
      </c>
      <c r="H181" s="22" t="n">
        <f aca="false">G181*I181</f>
        <v>922</v>
      </c>
      <c r="I181" s="23" t="n">
        <v>2</v>
      </c>
      <c r="J181" s="20" t="s">
        <v>306</v>
      </c>
      <c r="K181" s="20" t="s">
        <v>40</v>
      </c>
      <c r="L181" s="21"/>
    </row>
    <row r="182" customFormat="false" ht="15" hidden="false" customHeight="false" outlineLevel="0" collapsed="false">
      <c r="A182" s="20" t="n">
        <v>181</v>
      </c>
      <c r="B182" s="21"/>
      <c r="C182" s="20" t="s">
        <v>338</v>
      </c>
      <c r="D182" s="20" t="s">
        <v>339</v>
      </c>
      <c r="E182" s="21" t="s">
        <v>340</v>
      </c>
      <c r="F182" s="22" t="n">
        <v>869</v>
      </c>
      <c r="G182" s="22" t="n">
        <f aca="false">F182*VLOOKUP(K182,Kurallar!$A$17:$B$22,2,0)</f>
        <v>521.4</v>
      </c>
      <c r="H182" s="22" t="n">
        <f aca="false">G182*I182</f>
        <v>1042.8</v>
      </c>
      <c r="I182" s="23" t="n">
        <v>2</v>
      </c>
      <c r="J182" s="20" t="s">
        <v>306</v>
      </c>
      <c r="K182" s="20" t="s">
        <v>33</v>
      </c>
      <c r="L182" s="21"/>
    </row>
    <row r="183" customFormat="false" ht="15" hidden="false" customHeight="false" outlineLevel="0" collapsed="false">
      <c r="A183" s="20" t="n">
        <v>182</v>
      </c>
      <c r="B183" s="21"/>
      <c r="C183" s="20" t="s">
        <v>338</v>
      </c>
      <c r="D183" s="20" t="s">
        <v>341</v>
      </c>
      <c r="E183" s="21" t="s">
        <v>342</v>
      </c>
      <c r="F183" s="22" t="n">
        <v>1801</v>
      </c>
      <c r="G183" s="22" t="n">
        <f aca="false">F183*VLOOKUP(K183,Kurallar!$A$17:$B$22,2,0)</f>
        <v>1801</v>
      </c>
      <c r="H183" s="22" t="n">
        <f aca="false">G183*I183</f>
        <v>3602</v>
      </c>
      <c r="I183" s="23" t="n">
        <v>2</v>
      </c>
      <c r="J183" s="20" t="s">
        <v>306</v>
      </c>
      <c r="K183" s="20" t="s">
        <v>39</v>
      </c>
      <c r="L183" s="21"/>
    </row>
    <row r="184" customFormat="false" ht="15" hidden="false" customHeight="false" outlineLevel="0" collapsed="false">
      <c r="A184" s="20" t="n">
        <v>183</v>
      </c>
      <c r="B184" s="21"/>
      <c r="C184" s="20" t="s">
        <v>338</v>
      </c>
      <c r="D184" s="20" t="s">
        <v>343</v>
      </c>
      <c r="E184" s="21" t="s">
        <v>344</v>
      </c>
      <c r="F184" s="22" t="n">
        <v>127</v>
      </c>
      <c r="G184" s="22" t="n">
        <f aca="false">F184*VLOOKUP(K184,Kurallar!$A$17:$B$22,2,0)</f>
        <v>127</v>
      </c>
      <c r="H184" s="22" t="n">
        <f aca="false">G184*I184</f>
        <v>3175</v>
      </c>
      <c r="I184" s="23" t="n">
        <v>25</v>
      </c>
      <c r="J184" s="20" t="s">
        <v>345</v>
      </c>
      <c r="K184" s="20" t="s">
        <v>37</v>
      </c>
      <c r="L184" s="21"/>
    </row>
    <row r="185" customFormat="false" ht="15" hidden="false" customHeight="false" outlineLevel="0" collapsed="false">
      <c r="A185" s="20" t="n">
        <v>184</v>
      </c>
      <c r="B185" s="21"/>
      <c r="C185" s="20" t="s">
        <v>338</v>
      </c>
      <c r="D185" s="20" t="s">
        <v>422</v>
      </c>
      <c r="E185" s="21" t="s">
        <v>423</v>
      </c>
      <c r="F185" s="22" t="n">
        <v>2136</v>
      </c>
      <c r="G185" s="22" t="n">
        <f aca="false">F185*VLOOKUP(K185,Kurallar!$A$17:$B$22,2,0)</f>
        <v>2136</v>
      </c>
      <c r="H185" s="22" t="n">
        <f aca="false">G185*I185</f>
        <v>12816</v>
      </c>
      <c r="I185" s="23" t="n">
        <v>6</v>
      </c>
      <c r="J185" s="20" t="s">
        <v>345</v>
      </c>
      <c r="K185" s="20" t="s">
        <v>37</v>
      </c>
      <c r="L185" s="21"/>
    </row>
    <row r="186" customFormat="false" ht="15" hidden="false" customHeight="false" outlineLevel="0" collapsed="false">
      <c r="A186" s="20" t="n">
        <v>185</v>
      </c>
      <c r="B186" s="21"/>
      <c r="C186" s="20" t="s">
        <v>352</v>
      </c>
      <c r="D186" s="20" t="s">
        <v>14</v>
      </c>
      <c r="E186" s="21" t="s">
        <v>353</v>
      </c>
      <c r="F186" s="22"/>
      <c r="G186" s="22" t="n">
        <f aca="false">SUM(H175:H185)*Kurallar!$B$9</f>
        <v>1795.716</v>
      </c>
      <c r="H186" s="22" t="n">
        <f aca="false">G186*I186</f>
        <v>1795.716</v>
      </c>
      <c r="I186" s="23" t="n">
        <v>1</v>
      </c>
      <c r="J186" s="20" t="s">
        <v>302</v>
      </c>
      <c r="K186" s="20" t="s">
        <v>14</v>
      </c>
      <c r="L186" s="21" t="s">
        <v>354</v>
      </c>
    </row>
    <row r="187" customFormat="false" ht="15" hidden="false" customHeight="false" outlineLevel="0" collapsed="false">
      <c r="A187" s="20" t="n">
        <v>186</v>
      </c>
      <c r="B187" s="21"/>
      <c r="C187" s="20" t="s">
        <v>355</v>
      </c>
      <c r="D187" s="20" t="s">
        <v>14</v>
      </c>
      <c r="E187" s="21" t="s">
        <v>356</v>
      </c>
      <c r="F187" s="24" t="n">
        <f aca="false">I187/60</f>
        <v>4.9</v>
      </c>
      <c r="G187" s="22" t="n">
        <f aca="false">Kurallar!$B$10</f>
        <v>100</v>
      </c>
      <c r="H187" s="22" t="n">
        <f aca="false">G187*I187</f>
        <v>29400</v>
      </c>
      <c r="I187" s="23" t="n">
        <f aca="false">ROUND((Kurallar!$C$29*2+Kurallar!$C$30*4+Kurallar!$C$42*2+Kurallar!$C$43*4+Kurallar!$C$45*1+Kurallar!$C$32*1+Kurallar!$C$40*2)*Kurallar!$B$11,0)</f>
        <v>294</v>
      </c>
      <c r="J187" s="20" t="s">
        <v>357</v>
      </c>
      <c r="K187" s="20" t="s">
        <v>14</v>
      </c>
      <c r="L187" s="21" t="s">
        <v>358</v>
      </c>
    </row>
    <row r="188" customFormat="false" ht="23.85" hidden="false" customHeight="false" outlineLevel="0" collapsed="false">
      <c r="A188" s="25"/>
      <c r="B188" s="26" t="s">
        <v>433</v>
      </c>
      <c r="C188" s="25"/>
      <c r="D188" s="25"/>
      <c r="E188" s="26"/>
      <c r="F188" s="27"/>
      <c r="G188" s="27"/>
      <c r="H188" s="27" t="n">
        <f aca="false">SUBTOTAL(9,H175:H187)</f>
        <v>91052.916</v>
      </c>
      <c r="I188" s="28"/>
      <c r="J188" s="25"/>
      <c r="K188" s="25"/>
      <c r="L188" s="26" t="s">
        <v>360</v>
      </c>
    </row>
    <row r="189" customFormat="false" ht="23.85" hidden="false" customHeight="false" outlineLevel="0" collapsed="false">
      <c r="A189" s="15" t="n">
        <v>188</v>
      </c>
      <c r="B189" s="16" t="str">
        <f aca="false">E189</f>
        <v>2.0-ЩРк — щит силовой кондиционеров</v>
      </c>
      <c r="C189" s="15" t="s">
        <v>300</v>
      </c>
      <c r="D189" s="15"/>
      <c r="E189" s="17" t="s">
        <v>434</v>
      </c>
      <c r="F189" s="18"/>
      <c r="G189" s="18"/>
      <c r="H189" s="18"/>
      <c r="I189" s="19" t="n">
        <v>1</v>
      </c>
      <c r="J189" s="15" t="s">
        <v>302</v>
      </c>
      <c r="K189" s="15"/>
      <c r="L189" s="17"/>
    </row>
    <row r="190" customFormat="false" ht="15" hidden="false" customHeight="false" outlineLevel="0" collapsed="false">
      <c r="A190" s="20" t="n">
        <v>189</v>
      </c>
      <c r="B190" s="21"/>
      <c r="C190" s="20" t="s">
        <v>303</v>
      </c>
      <c r="D190" s="20" t="s">
        <v>371</v>
      </c>
      <c r="E190" s="21" t="s">
        <v>372</v>
      </c>
      <c r="F190" s="22" t="n">
        <v>7220</v>
      </c>
      <c r="G190" s="22" t="n">
        <f aca="false">F190*VLOOKUP(K190,Kurallar!$A$17:$B$22,2,0)</f>
        <v>7220</v>
      </c>
      <c r="H190" s="22" t="n">
        <f aca="false">G190*I190</f>
        <v>7220</v>
      </c>
      <c r="I190" s="23" t="n">
        <v>1</v>
      </c>
      <c r="J190" s="20" t="s">
        <v>306</v>
      </c>
      <c r="K190" s="20" t="s">
        <v>37</v>
      </c>
      <c r="L190" s="21"/>
    </row>
    <row r="191" customFormat="false" ht="15" hidden="false" customHeight="false" outlineLevel="0" collapsed="false">
      <c r="A191" s="20" t="n">
        <v>190</v>
      </c>
      <c r="B191" s="21"/>
      <c r="C191" s="20" t="s">
        <v>309</v>
      </c>
      <c r="D191" s="20" t="s">
        <v>428</v>
      </c>
      <c r="E191" s="21" t="s">
        <v>429</v>
      </c>
      <c r="F191" s="22" t="n">
        <v>4886</v>
      </c>
      <c r="G191" s="22" t="n">
        <f aca="false">F191*VLOOKUP(K191,Kurallar!$A$17:$B$22,2,0)</f>
        <v>2931.6</v>
      </c>
      <c r="H191" s="22" t="n">
        <f aca="false">G191*I191</f>
        <v>2931.6</v>
      </c>
      <c r="I191" s="23" t="n">
        <v>1</v>
      </c>
      <c r="J191" s="20" t="s">
        <v>306</v>
      </c>
      <c r="K191" s="20" t="s">
        <v>33</v>
      </c>
      <c r="L191" s="21"/>
    </row>
    <row r="192" customFormat="false" ht="15" hidden="false" customHeight="false" outlineLevel="0" collapsed="false">
      <c r="A192" s="20" t="n">
        <v>191</v>
      </c>
      <c r="B192" s="21"/>
      <c r="C192" s="20" t="s">
        <v>398</v>
      </c>
      <c r="D192" s="20" t="s">
        <v>254</v>
      </c>
      <c r="E192" s="21" t="s">
        <v>430</v>
      </c>
      <c r="F192" s="22" t="n">
        <v>8934</v>
      </c>
      <c r="G192" s="22" t="n">
        <f aca="false">F192*VLOOKUP(K192,Kurallar!$A$17:$B$22,2,0)</f>
        <v>5360.4</v>
      </c>
      <c r="H192" s="22" t="n">
        <f aca="false">G192*I192</f>
        <v>10720.8</v>
      </c>
      <c r="I192" s="23" t="n">
        <v>2</v>
      </c>
      <c r="J192" s="20" t="s">
        <v>306</v>
      </c>
      <c r="K192" s="20" t="s">
        <v>33</v>
      </c>
      <c r="L192" s="21"/>
    </row>
    <row r="193" customFormat="false" ht="15" hidden="false" customHeight="false" outlineLevel="0" collapsed="false">
      <c r="A193" s="20" t="n">
        <v>192</v>
      </c>
      <c r="B193" s="21"/>
      <c r="C193" s="20" t="s">
        <v>398</v>
      </c>
      <c r="D193" s="20" t="s">
        <v>248</v>
      </c>
      <c r="E193" s="21" t="s">
        <v>435</v>
      </c>
      <c r="F193" s="22" t="n">
        <v>8352</v>
      </c>
      <c r="G193" s="22" t="n">
        <f aca="false">F193*VLOOKUP(K193,Kurallar!$A$17:$B$22,2,0)</f>
        <v>5011.2</v>
      </c>
      <c r="H193" s="22" t="n">
        <f aca="false">G193*I193</f>
        <v>5011.2</v>
      </c>
      <c r="I193" s="23" t="n">
        <v>1</v>
      </c>
      <c r="J193" s="20" t="s">
        <v>306</v>
      </c>
      <c r="K193" s="20" t="s">
        <v>33</v>
      </c>
      <c r="L193" s="21"/>
    </row>
    <row r="194" customFormat="false" ht="15" hidden="false" customHeight="false" outlineLevel="0" collapsed="false">
      <c r="A194" s="20" t="n">
        <v>193</v>
      </c>
      <c r="B194" s="21"/>
      <c r="C194" s="20" t="s">
        <v>398</v>
      </c>
      <c r="D194" s="20" t="s">
        <v>436</v>
      </c>
      <c r="E194" s="21" t="s">
        <v>437</v>
      </c>
      <c r="F194" s="22" t="n">
        <v>5069</v>
      </c>
      <c r="G194" s="22" t="n">
        <f aca="false">F194*VLOOKUP(K194,Kurallar!$A$17:$B$22,2,0)</f>
        <v>3041.4</v>
      </c>
      <c r="H194" s="22" t="n">
        <f aca="false">G194*I194</f>
        <v>9124.2</v>
      </c>
      <c r="I194" s="23" t="n">
        <v>3</v>
      </c>
      <c r="J194" s="20" t="s">
        <v>306</v>
      </c>
      <c r="K194" s="20" t="s">
        <v>33</v>
      </c>
      <c r="L194" s="21"/>
    </row>
    <row r="195" customFormat="false" ht="15" hidden="false" customHeight="false" outlineLevel="0" collapsed="false">
      <c r="A195" s="20" t="n">
        <v>194</v>
      </c>
      <c r="B195" s="21"/>
      <c r="C195" s="20" t="s">
        <v>398</v>
      </c>
      <c r="D195" s="20" t="s">
        <v>399</v>
      </c>
      <c r="E195" s="21" t="s">
        <v>400</v>
      </c>
      <c r="F195" s="22" t="n">
        <v>5719</v>
      </c>
      <c r="G195" s="22" t="n">
        <f aca="false">F195*VLOOKUP(K195,Kurallar!$A$17:$B$22,2,0)</f>
        <v>3431.4</v>
      </c>
      <c r="H195" s="22" t="n">
        <f aca="false">G195*I195</f>
        <v>6862.8</v>
      </c>
      <c r="I195" s="23" t="n">
        <v>2</v>
      </c>
      <c r="J195" s="20" t="s">
        <v>306</v>
      </c>
      <c r="K195" s="20" t="s">
        <v>33</v>
      </c>
      <c r="L195" s="21"/>
    </row>
    <row r="196" customFormat="false" ht="15" hidden="false" customHeight="false" outlineLevel="0" collapsed="false">
      <c r="A196" s="20" t="n">
        <v>195</v>
      </c>
      <c r="B196" s="21"/>
      <c r="C196" s="20" t="s">
        <v>331</v>
      </c>
      <c r="D196" s="20" t="s">
        <v>382</v>
      </c>
      <c r="E196" s="21" t="s">
        <v>383</v>
      </c>
      <c r="F196" s="22" t="n">
        <v>461</v>
      </c>
      <c r="G196" s="22" t="n">
        <f aca="false">F196*VLOOKUP(K196,Kurallar!$A$17:$B$22,2,0)</f>
        <v>461</v>
      </c>
      <c r="H196" s="22" t="n">
        <f aca="false">G196*I196</f>
        <v>922</v>
      </c>
      <c r="I196" s="23" t="n">
        <v>2</v>
      </c>
      <c r="J196" s="20" t="s">
        <v>306</v>
      </c>
      <c r="K196" s="20" t="s">
        <v>40</v>
      </c>
      <c r="L196" s="21"/>
    </row>
    <row r="197" customFormat="false" ht="15" hidden="false" customHeight="false" outlineLevel="0" collapsed="false">
      <c r="A197" s="20" t="n">
        <v>196</v>
      </c>
      <c r="B197" s="21"/>
      <c r="C197" s="20" t="s">
        <v>338</v>
      </c>
      <c r="D197" s="20" t="s">
        <v>339</v>
      </c>
      <c r="E197" s="21" t="s">
        <v>340</v>
      </c>
      <c r="F197" s="22" t="n">
        <v>869</v>
      </c>
      <c r="G197" s="22" t="n">
        <f aca="false">F197*VLOOKUP(K197,Kurallar!$A$17:$B$22,2,0)</f>
        <v>521.4</v>
      </c>
      <c r="H197" s="22" t="n">
        <f aca="false">G197*I197</f>
        <v>1042.8</v>
      </c>
      <c r="I197" s="23" t="n">
        <v>2</v>
      </c>
      <c r="J197" s="20" t="s">
        <v>306</v>
      </c>
      <c r="K197" s="20" t="s">
        <v>33</v>
      </c>
      <c r="L197" s="21"/>
    </row>
    <row r="198" customFormat="false" ht="15" hidden="false" customHeight="false" outlineLevel="0" collapsed="false">
      <c r="A198" s="20" t="n">
        <v>197</v>
      </c>
      <c r="B198" s="21"/>
      <c r="C198" s="20" t="s">
        <v>338</v>
      </c>
      <c r="D198" s="20" t="s">
        <v>341</v>
      </c>
      <c r="E198" s="21" t="s">
        <v>342</v>
      </c>
      <c r="F198" s="22" t="n">
        <v>1801</v>
      </c>
      <c r="G198" s="22" t="n">
        <f aca="false">F198*VLOOKUP(K198,Kurallar!$A$17:$B$22,2,0)</f>
        <v>1801</v>
      </c>
      <c r="H198" s="22" t="n">
        <f aca="false">G198*I198</f>
        <v>3602</v>
      </c>
      <c r="I198" s="23" t="n">
        <v>2</v>
      </c>
      <c r="J198" s="20" t="s">
        <v>306</v>
      </c>
      <c r="K198" s="20" t="s">
        <v>39</v>
      </c>
      <c r="L198" s="21"/>
    </row>
    <row r="199" customFormat="false" ht="15" hidden="false" customHeight="false" outlineLevel="0" collapsed="false">
      <c r="A199" s="20" t="n">
        <v>198</v>
      </c>
      <c r="B199" s="21"/>
      <c r="C199" s="20" t="s">
        <v>338</v>
      </c>
      <c r="D199" s="20" t="s">
        <v>343</v>
      </c>
      <c r="E199" s="21" t="s">
        <v>344</v>
      </c>
      <c r="F199" s="22" t="n">
        <v>127</v>
      </c>
      <c r="G199" s="22" t="n">
        <f aca="false">F199*VLOOKUP(K199,Kurallar!$A$17:$B$22,2,0)</f>
        <v>127</v>
      </c>
      <c r="H199" s="22" t="n">
        <f aca="false">G199*I199</f>
        <v>3810</v>
      </c>
      <c r="I199" s="23" t="n">
        <v>30</v>
      </c>
      <c r="J199" s="20" t="s">
        <v>345</v>
      </c>
      <c r="K199" s="20" t="s">
        <v>37</v>
      </c>
      <c r="L199" s="21"/>
    </row>
    <row r="200" customFormat="false" ht="15" hidden="false" customHeight="false" outlineLevel="0" collapsed="false">
      <c r="A200" s="20" t="n">
        <v>199</v>
      </c>
      <c r="B200" s="21"/>
      <c r="C200" s="20" t="s">
        <v>338</v>
      </c>
      <c r="D200" s="20" t="s">
        <v>422</v>
      </c>
      <c r="E200" s="21" t="s">
        <v>423</v>
      </c>
      <c r="F200" s="22" t="n">
        <v>2136</v>
      </c>
      <c r="G200" s="22" t="n">
        <f aca="false">F200*VLOOKUP(K200,Kurallar!$A$17:$B$22,2,0)</f>
        <v>2136</v>
      </c>
      <c r="H200" s="22" t="n">
        <f aca="false">G200*I200</f>
        <v>12816</v>
      </c>
      <c r="I200" s="23" t="n">
        <v>6</v>
      </c>
      <c r="J200" s="20" t="s">
        <v>345</v>
      </c>
      <c r="K200" s="20" t="s">
        <v>37</v>
      </c>
      <c r="L200" s="21"/>
    </row>
    <row r="201" customFormat="false" ht="15" hidden="false" customHeight="false" outlineLevel="0" collapsed="false">
      <c r="A201" s="20" t="n">
        <v>200</v>
      </c>
      <c r="B201" s="21"/>
      <c r="C201" s="20" t="s">
        <v>352</v>
      </c>
      <c r="D201" s="20" t="s">
        <v>14</v>
      </c>
      <c r="E201" s="21" t="s">
        <v>353</v>
      </c>
      <c r="F201" s="22"/>
      <c r="G201" s="22" t="n">
        <f aca="false">SUM(H190:H200)*Kurallar!$B$9</f>
        <v>1921.902</v>
      </c>
      <c r="H201" s="22" t="n">
        <f aca="false">G201*I201</f>
        <v>1921.902</v>
      </c>
      <c r="I201" s="23" t="n">
        <v>1</v>
      </c>
      <c r="J201" s="20" t="s">
        <v>302</v>
      </c>
      <c r="K201" s="20" t="s">
        <v>14</v>
      </c>
      <c r="L201" s="21" t="s">
        <v>354</v>
      </c>
    </row>
    <row r="202" customFormat="false" ht="15" hidden="false" customHeight="false" outlineLevel="0" collapsed="false">
      <c r="A202" s="20" t="n">
        <v>201</v>
      </c>
      <c r="B202" s="21"/>
      <c r="C202" s="20" t="s">
        <v>355</v>
      </c>
      <c r="D202" s="20" t="s">
        <v>14</v>
      </c>
      <c r="E202" s="21" t="s">
        <v>356</v>
      </c>
      <c r="F202" s="24" t="n">
        <f aca="false">I202/60</f>
        <v>5.28333333333333</v>
      </c>
      <c r="G202" s="22" t="n">
        <f aca="false">Kurallar!$B$10</f>
        <v>100</v>
      </c>
      <c r="H202" s="22" t="n">
        <f aca="false">G202*I202</f>
        <v>31700</v>
      </c>
      <c r="I202" s="23" t="n">
        <f aca="false">ROUND((Kurallar!$C$29*5+Kurallar!$C$30*3+Kurallar!$C$42*2+Kurallar!$C$43*4+Kurallar!$C$45*1+Kurallar!$C$32*1+Kurallar!$C$40*2)*Kurallar!$B$11,0)</f>
        <v>317</v>
      </c>
      <c r="J202" s="20" t="s">
        <v>357</v>
      </c>
      <c r="K202" s="20" t="s">
        <v>14</v>
      </c>
      <c r="L202" s="21" t="s">
        <v>358</v>
      </c>
    </row>
    <row r="203" customFormat="false" ht="23.85" hidden="false" customHeight="false" outlineLevel="0" collapsed="false">
      <c r="A203" s="25"/>
      <c r="B203" s="26" t="s">
        <v>438</v>
      </c>
      <c r="C203" s="25"/>
      <c r="D203" s="25"/>
      <c r="E203" s="26"/>
      <c r="F203" s="27"/>
      <c r="G203" s="27"/>
      <c r="H203" s="27" t="n">
        <f aca="false">SUBTOTAL(9,H190:H202)</f>
        <v>97685.302</v>
      </c>
      <c r="I203" s="28"/>
      <c r="J203" s="25"/>
      <c r="K203" s="25"/>
      <c r="L203" s="26" t="s">
        <v>360</v>
      </c>
    </row>
    <row r="204" customFormat="false" ht="23.85" hidden="false" customHeight="false" outlineLevel="0" collapsed="false">
      <c r="A204" s="15" t="n">
        <v>203</v>
      </c>
      <c r="B204" s="16" t="str">
        <f aca="false">E204</f>
        <v>3.0-ЩРк — щит силовой кондиционеров</v>
      </c>
      <c r="C204" s="15" t="s">
        <v>300</v>
      </c>
      <c r="D204" s="15"/>
      <c r="E204" s="17" t="s">
        <v>439</v>
      </c>
      <c r="F204" s="18"/>
      <c r="G204" s="18"/>
      <c r="H204" s="18"/>
      <c r="I204" s="19" t="n">
        <v>1</v>
      </c>
      <c r="J204" s="15" t="s">
        <v>302</v>
      </c>
      <c r="K204" s="15"/>
      <c r="L204" s="17"/>
    </row>
    <row r="205" customFormat="false" ht="15" hidden="false" customHeight="false" outlineLevel="0" collapsed="false">
      <c r="A205" s="20" t="n">
        <v>204</v>
      </c>
      <c r="B205" s="21"/>
      <c r="C205" s="20" t="s">
        <v>303</v>
      </c>
      <c r="D205" s="20" t="s">
        <v>416</v>
      </c>
      <c r="E205" s="21" t="s">
        <v>417</v>
      </c>
      <c r="F205" s="22" t="n">
        <v>11520</v>
      </c>
      <c r="G205" s="22" t="n">
        <f aca="false">F205*VLOOKUP(K205,Kurallar!$A$17:$B$22,2,0)</f>
        <v>11520</v>
      </c>
      <c r="H205" s="22" t="n">
        <f aca="false">G205*I205</f>
        <v>11520</v>
      </c>
      <c r="I205" s="23" t="n">
        <v>1</v>
      </c>
      <c r="J205" s="20" t="s">
        <v>306</v>
      </c>
      <c r="K205" s="20" t="s">
        <v>37</v>
      </c>
      <c r="L205" s="21"/>
    </row>
    <row r="206" customFormat="false" ht="15" hidden="false" customHeight="false" outlineLevel="0" collapsed="false">
      <c r="A206" s="20" t="n">
        <v>205</v>
      </c>
      <c r="B206" s="21"/>
      <c r="C206" s="20" t="s">
        <v>309</v>
      </c>
      <c r="D206" s="20" t="s">
        <v>428</v>
      </c>
      <c r="E206" s="21" t="s">
        <v>429</v>
      </c>
      <c r="F206" s="22" t="n">
        <v>4886</v>
      </c>
      <c r="G206" s="22" t="n">
        <f aca="false">F206*VLOOKUP(K206,Kurallar!$A$17:$B$22,2,0)</f>
        <v>2931.6</v>
      </c>
      <c r="H206" s="22" t="n">
        <f aca="false">G206*I206</f>
        <v>2931.6</v>
      </c>
      <c r="I206" s="23" t="n">
        <v>1</v>
      </c>
      <c r="J206" s="20" t="s">
        <v>306</v>
      </c>
      <c r="K206" s="20" t="s">
        <v>33</v>
      </c>
      <c r="L206" s="21"/>
    </row>
    <row r="207" customFormat="false" ht="15" hidden="false" customHeight="false" outlineLevel="0" collapsed="false">
      <c r="A207" s="20" t="n">
        <v>206</v>
      </c>
      <c r="B207" s="21"/>
      <c r="C207" s="20" t="s">
        <v>398</v>
      </c>
      <c r="D207" s="20" t="s">
        <v>256</v>
      </c>
      <c r="E207" s="21" t="s">
        <v>440</v>
      </c>
      <c r="F207" s="22" t="n">
        <v>11071</v>
      </c>
      <c r="G207" s="22" t="n">
        <f aca="false">F207*VLOOKUP(K207,Kurallar!$A$17:$B$22,2,0)</f>
        <v>6642.6</v>
      </c>
      <c r="H207" s="22" t="n">
        <f aca="false">G207*I207</f>
        <v>6642.6</v>
      </c>
      <c r="I207" s="23" t="n">
        <v>1</v>
      </c>
      <c r="J207" s="20" t="s">
        <v>306</v>
      </c>
      <c r="K207" s="20" t="s">
        <v>33</v>
      </c>
      <c r="L207" s="21"/>
    </row>
    <row r="208" customFormat="false" ht="15" hidden="false" customHeight="false" outlineLevel="0" collapsed="false">
      <c r="A208" s="20" t="n">
        <v>207</v>
      </c>
      <c r="B208" s="21"/>
      <c r="C208" s="20" t="s">
        <v>398</v>
      </c>
      <c r="D208" s="20" t="s">
        <v>254</v>
      </c>
      <c r="E208" s="21" t="s">
        <v>430</v>
      </c>
      <c r="F208" s="22" t="n">
        <v>8934</v>
      </c>
      <c r="G208" s="22" t="n">
        <f aca="false">F208*VLOOKUP(K208,Kurallar!$A$17:$B$22,2,0)</f>
        <v>5360.4</v>
      </c>
      <c r="H208" s="22" t="n">
        <f aca="false">G208*I208</f>
        <v>21441.6</v>
      </c>
      <c r="I208" s="23" t="n">
        <v>4</v>
      </c>
      <c r="J208" s="20" t="s">
        <v>306</v>
      </c>
      <c r="K208" s="20" t="s">
        <v>33</v>
      </c>
      <c r="L208" s="21"/>
    </row>
    <row r="209" customFormat="false" ht="15" hidden="false" customHeight="false" outlineLevel="0" collapsed="false">
      <c r="A209" s="20" t="n">
        <v>208</v>
      </c>
      <c r="B209" s="21"/>
      <c r="C209" s="20" t="s">
        <v>398</v>
      </c>
      <c r="D209" s="20" t="s">
        <v>436</v>
      </c>
      <c r="E209" s="21" t="s">
        <v>437</v>
      </c>
      <c r="F209" s="22" t="n">
        <v>5069</v>
      </c>
      <c r="G209" s="22" t="n">
        <f aca="false">F209*VLOOKUP(K209,Kurallar!$A$17:$B$22,2,0)</f>
        <v>3041.4</v>
      </c>
      <c r="H209" s="22" t="n">
        <f aca="false">G209*I209</f>
        <v>6082.8</v>
      </c>
      <c r="I209" s="23" t="n">
        <v>2</v>
      </c>
      <c r="J209" s="20" t="s">
        <v>306</v>
      </c>
      <c r="K209" s="20" t="s">
        <v>33</v>
      </c>
      <c r="L209" s="21"/>
    </row>
    <row r="210" customFormat="false" ht="15" hidden="false" customHeight="false" outlineLevel="0" collapsed="false">
      <c r="A210" s="20" t="n">
        <v>209</v>
      </c>
      <c r="B210" s="21"/>
      <c r="C210" s="20" t="s">
        <v>398</v>
      </c>
      <c r="D210" s="20" t="s">
        <v>399</v>
      </c>
      <c r="E210" s="21" t="s">
        <v>400</v>
      </c>
      <c r="F210" s="22" t="n">
        <v>5719</v>
      </c>
      <c r="G210" s="22" t="n">
        <f aca="false">F210*VLOOKUP(K210,Kurallar!$A$17:$B$22,2,0)</f>
        <v>3431.4</v>
      </c>
      <c r="H210" s="22" t="n">
        <f aca="false">G210*I210</f>
        <v>27451.2</v>
      </c>
      <c r="I210" s="23" t="n">
        <v>8</v>
      </c>
      <c r="J210" s="20" t="s">
        <v>306</v>
      </c>
      <c r="K210" s="20" t="s">
        <v>33</v>
      </c>
      <c r="L210" s="21"/>
    </row>
    <row r="211" customFormat="false" ht="15" hidden="false" customHeight="false" outlineLevel="0" collapsed="false">
      <c r="A211" s="20" t="n">
        <v>210</v>
      </c>
      <c r="B211" s="21"/>
      <c r="C211" s="20" t="s">
        <v>331</v>
      </c>
      <c r="D211" s="20" t="s">
        <v>382</v>
      </c>
      <c r="E211" s="21" t="s">
        <v>383</v>
      </c>
      <c r="F211" s="22" t="n">
        <v>461</v>
      </c>
      <c r="G211" s="22" t="n">
        <f aca="false">F211*VLOOKUP(K211,Kurallar!$A$17:$B$22,2,0)</f>
        <v>461</v>
      </c>
      <c r="H211" s="22" t="n">
        <f aca="false">G211*I211</f>
        <v>922</v>
      </c>
      <c r="I211" s="23" t="n">
        <v>2</v>
      </c>
      <c r="J211" s="20" t="s">
        <v>306</v>
      </c>
      <c r="K211" s="20" t="s">
        <v>40</v>
      </c>
      <c r="L211" s="21"/>
    </row>
    <row r="212" customFormat="false" ht="15" hidden="false" customHeight="false" outlineLevel="0" collapsed="false">
      <c r="A212" s="20" t="n">
        <v>211</v>
      </c>
      <c r="B212" s="21"/>
      <c r="C212" s="20" t="s">
        <v>338</v>
      </c>
      <c r="D212" s="20" t="s">
        <v>339</v>
      </c>
      <c r="E212" s="21" t="s">
        <v>340</v>
      </c>
      <c r="F212" s="22" t="n">
        <v>869</v>
      </c>
      <c r="G212" s="22" t="n">
        <f aca="false">F212*VLOOKUP(K212,Kurallar!$A$17:$B$22,2,0)</f>
        <v>521.4</v>
      </c>
      <c r="H212" s="22" t="n">
        <f aca="false">G212*I212</f>
        <v>1564.2</v>
      </c>
      <c r="I212" s="23" t="n">
        <v>3</v>
      </c>
      <c r="J212" s="20" t="s">
        <v>306</v>
      </c>
      <c r="K212" s="20" t="s">
        <v>33</v>
      </c>
      <c r="L212" s="21"/>
    </row>
    <row r="213" customFormat="false" ht="15" hidden="false" customHeight="false" outlineLevel="0" collapsed="false">
      <c r="A213" s="20" t="n">
        <v>212</v>
      </c>
      <c r="B213" s="21"/>
      <c r="C213" s="20" t="s">
        <v>338</v>
      </c>
      <c r="D213" s="20" t="s">
        <v>341</v>
      </c>
      <c r="E213" s="21" t="s">
        <v>342</v>
      </c>
      <c r="F213" s="22" t="n">
        <v>1801</v>
      </c>
      <c r="G213" s="22" t="n">
        <f aca="false">F213*VLOOKUP(K213,Kurallar!$A$17:$B$22,2,0)</f>
        <v>1801</v>
      </c>
      <c r="H213" s="22" t="n">
        <f aca="false">G213*I213</f>
        <v>5403</v>
      </c>
      <c r="I213" s="23" t="n">
        <v>3</v>
      </c>
      <c r="J213" s="20" t="s">
        <v>306</v>
      </c>
      <c r="K213" s="20" t="s">
        <v>39</v>
      </c>
      <c r="L213" s="21"/>
    </row>
    <row r="214" customFormat="false" ht="15" hidden="false" customHeight="false" outlineLevel="0" collapsed="false">
      <c r="A214" s="20" t="n">
        <v>213</v>
      </c>
      <c r="B214" s="21"/>
      <c r="C214" s="20" t="s">
        <v>338</v>
      </c>
      <c r="D214" s="20" t="s">
        <v>343</v>
      </c>
      <c r="E214" s="21" t="s">
        <v>344</v>
      </c>
      <c r="F214" s="22" t="n">
        <v>127</v>
      </c>
      <c r="G214" s="22" t="n">
        <f aca="false">F214*VLOOKUP(K214,Kurallar!$A$17:$B$22,2,0)</f>
        <v>127</v>
      </c>
      <c r="H214" s="22" t="n">
        <f aca="false">G214*I214</f>
        <v>5715</v>
      </c>
      <c r="I214" s="23" t="n">
        <v>45</v>
      </c>
      <c r="J214" s="20" t="s">
        <v>345</v>
      </c>
      <c r="K214" s="20" t="s">
        <v>37</v>
      </c>
      <c r="L214" s="21"/>
    </row>
    <row r="215" customFormat="false" ht="15" hidden="false" customHeight="false" outlineLevel="0" collapsed="false">
      <c r="A215" s="20" t="n">
        <v>214</v>
      </c>
      <c r="B215" s="21"/>
      <c r="C215" s="20" t="s">
        <v>338</v>
      </c>
      <c r="D215" s="20" t="s">
        <v>422</v>
      </c>
      <c r="E215" s="21" t="s">
        <v>423</v>
      </c>
      <c r="F215" s="22" t="n">
        <v>2136</v>
      </c>
      <c r="G215" s="22" t="n">
        <f aca="false">F215*VLOOKUP(K215,Kurallar!$A$17:$B$22,2,0)</f>
        <v>2136</v>
      </c>
      <c r="H215" s="22" t="n">
        <f aca="false">G215*I215</f>
        <v>12816</v>
      </c>
      <c r="I215" s="23" t="n">
        <v>6</v>
      </c>
      <c r="J215" s="20" t="s">
        <v>345</v>
      </c>
      <c r="K215" s="20" t="s">
        <v>37</v>
      </c>
      <c r="L215" s="21"/>
    </row>
    <row r="216" customFormat="false" ht="15" hidden="false" customHeight="false" outlineLevel="0" collapsed="false">
      <c r="A216" s="20" t="n">
        <v>215</v>
      </c>
      <c r="B216" s="21"/>
      <c r="C216" s="20" t="s">
        <v>352</v>
      </c>
      <c r="D216" s="20" t="s">
        <v>14</v>
      </c>
      <c r="E216" s="21" t="s">
        <v>353</v>
      </c>
      <c r="F216" s="22"/>
      <c r="G216" s="22" t="n">
        <f aca="false">SUM(H205:H215)*Kurallar!$B$9</f>
        <v>3074.7</v>
      </c>
      <c r="H216" s="22" t="n">
        <f aca="false">G216*I216</f>
        <v>3074.7</v>
      </c>
      <c r="I216" s="23" t="n">
        <v>1</v>
      </c>
      <c r="J216" s="20" t="s">
        <v>302</v>
      </c>
      <c r="K216" s="20" t="s">
        <v>14</v>
      </c>
      <c r="L216" s="21" t="s">
        <v>354</v>
      </c>
    </row>
    <row r="217" customFormat="false" ht="15" hidden="false" customHeight="false" outlineLevel="0" collapsed="false">
      <c r="A217" s="20" t="n">
        <v>216</v>
      </c>
      <c r="B217" s="21"/>
      <c r="C217" s="20" t="s">
        <v>355</v>
      </c>
      <c r="D217" s="20" t="s">
        <v>14</v>
      </c>
      <c r="E217" s="21" t="s">
        <v>356</v>
      </c>
      <c r="F217" s="24" t="n">
        <f aca="false">I217/60</f>
        <v>7.76666666666667</v>
      </c>
      <c r="G217" s="22" t="n">
        <f aca="false">Kurallar!$B$10</f>
        <v>100</v>
      </c>
      <c r="H217" s="22" t="n">
        <f aca="false">G217*I217</f>
        <v>46600</v>
      </c>
      <c r="I217" s="23" t="n">
        <f aca="false">ROUND((Kurallar!$C$29*10+Kurallar!$C$30*5+Kurallar!$C$42*3+Kurallar!$C$43*6+Kurallar!$C$45*1+Kurallar!$C$32*1+Kurallar!$C$40*2)*Kurallar!$B$11,0)</f>
        <v>466</v>
      </c>
      <c r="J217" s="20" t="s">
        <v>357</v>
      </c>
      <c r="K217" s="20" t="s">
        <v>14</v>
      </c>
      <c r="L217" s="21" t="s">
        <v>358</v>
      </c>
    </row>
    <row r="218" customFormat="false" ht="23.85" hidden="false" customHeight="false" outlineLevel="0" collapsed="false">
      <c r="A218" s="25"/>
      <c r="B218" s="26" t="s">
        <v>441</v>
      </c>
      <c r="C218" s="25"/>
      <c r="D218" s="25"/>
      <c r="E218" s="26"/>
      <c r="F218" s="27"/>
      <c r="G218" s="27"/>
      <c r="H218" s="27" t="n">
        <f aca="false">SUBTOTAL(9,H205:H217)</f>
        <v>152164.7</v>
      </c>
      <c r="I218" s="28"/>
      <c r="J218" s="25"/>
      <c r="K218" s="25"/>
      <c r="L218" s="26" t="s">
        <v>360</v>
      </c>
    </row>
    <row r="219" customFormat="false" ht="23.85" hidden="false" customHeight="false" outlineLevel="0" collapsed="false">
      <c r="A219" s="15" t="n">
        <v>218</v>
      </c>
      <c r="B219" s="16" t="str">
        <f aca="false">E219</f>
        <v>1.0-ЩР-1 / 2.0-ЩР-1 — щит силовой</v>
      </c>
      <c r="C219" s="15" t="s">
        <v>300</v>
      </c>
      <c r="D219" s="15"/>
      <c r="E219" s="17" t="s">
        <v>442</v>
      </c>
      <c r="F219" s="18"/>
      <c r="G219" s="18"/>
      <c r="H219" s="18"/>
      <c r="I219" s="19" t="n">
        <v>2</v>
      </c>
      <c r="J219" s="15" t="s">
        <v>302</v>
      </c>
      <c r="K219" s="15"/>
      <c r="L219" s="17" t="s">
        <v>443</v>
      </c>
    </row>
    <row r="220" customFormat="false" ht="15" hidden="false" customHeight="false" outlineLevel="0" collapsed="false">
      <c r="A220" s="20" t="n">
        <v>219</v>
      </c>
      <c r="B220" s="21"/>
      <c r="C220" s="20" t="s">
        <v>303</v>
      </c>
      <c r="D220" s="20" t="s">
        <v>444</v>
      </c>
      <c r="E220" s="21" t="s">
        <v>445</v>
      </c>
      <c r="F220" s="22" t="n">
        <v>9727</v>
      </c>
      <c r="G220" s="22" t="n">
        <f aca="false">F220*VLOOKUP(K220,Kurallar!$A$17:$B$22,2,0)</f>
        <v>9727</v>
      </c>
      <c r="H220" s="22" t="n">
        <f aca="false">G220*I220</f>
        <v>9727</v>
      </c>
      <c r="I220" s="23" t="n">
        <v>1</v>
      </c>
      <c r="J220" s="20" t="s">
        <v>306</v>
      </c>
      <c r="K220" s="20" t="s">
        <v>39</v>
      </c>
      <c r="L220" s="21"/>
    </row>
    <row r="221" customFormat="false" ht="15" hidden="false" customHeight="false" outlineLevel="0" collapsed="false">
      <c r="A221" s="20" t="n">
        <v>220</v>
      </c>
      <c r="B221" s="21"/>
      <c r="C221" s="20" t="s">
        <v>309</v>
      </c>
      <c r="D221" s="20" t="s">
        <v>396</v>
      </c>
      <c r="E221" s="21" t="s">
        <v>397</v>
      </c>
      <c r="F221" s="22" t="n">
        <v>3372</v>
      </c>
      <c r="G221" s="22" t="n">
        <f aca="false">F221*VLOOKUP(K221,Kurallar!$A$17:$B$22,2,0)</f>
        <v>2023.2</v>
      </c>
      <c r="H221" s="22" t="n">
        <f aca="false">G221*I221</f>
        <v>2023.2</v>
      </c>
      <c r="I221" s="23" t="n">
        <v>1</v>
      </c>
      <c r="J221" s="20" t="s">
        <v>306</v>
      </c>
      <c r="K221" s="20" t="s">
        <v>33</v>
      </c>
      <c r="L221" s="21"/>
    </row>
    <row r="222" customFormat="false" ht="15" hidden="false" customHeight="false" outlineLevel="0" collapsed="false">
      <c r="A222" s="20" t="n">
        <v>221</v>
      </c>
      <c r="B222" s="21"/>
      <c r="C222" s="20" t="s">
        <v>398</v>
      </c>
      <c r="D222" s="20" t="s">
        <v>269</v>
      </c>
      <c r="E222" s="21" t="s">
        <v>446</v>
      </c>
      <c r="F222" s="22" t="n">
        <v>5104</v>
      </c>
      <c r="G222" s="22" t="n">
        <f aca="false">F222*VLOOKUP(K222,Kurallar!$A$17:$B$22,2,0)</f>
        <v>3062.4</v>
      </c>
      <c r="H222" s="22" t="n">
        <f aca="false">G222*I222</f>
        <v>24499.2</v>
      </c>
      <c r="I222" s="23" t="n">
        <v>8</v>
      </c>
      <c r="J222" s="20" t="s">
        <v>306</v>
      </c>
      <c r="K222" s="20" t="s">
        <v>33</v>
      </c>
      <c r="L222" s="21"/>
    </row>
    <row r="223" customFormat="false" ht="15" hidden="false" customHeight="false" outlineLevel="0" collapsed="false">
      <c r="A223" s="20" t="n">
        <v>222</v>
      </c>
      <c r="B223" s="21"/>
      <c r="C223" s="20" t="s">
        <v>331</v>
      </c>
      <c r="D223" s="20" t="s">
        <v>382</v>
      </c>
      <c r="E223" s="21" t="s">
        <v>383</v>
      </c>
      <c r="F223" s="22" t="n">
        <v>461</v>
      </c>
      <c r="G223" s="22" t="n">
        <f aca="false">F223*VLOOKUP(K223,Kurallar!$A$17:$B$22,2,0)</f>
        <v>461</v>
      </c>
      <c r="H223" s="22" t="n">
        <f aca="false">G223*I223</f>
        <v>922</v>
      </c>
      <c r="I223" s="23" t="n">
        <v>2</v>
      </c>
      <c r="J223" s="20" t="s">
        <v>306</v>
      </c>
      <c r="K223" s="20" t="s">
        <v>40</v>
      </c>
      <c r="L223" s="21"/>
    </row>
    <row r="224" customFormat="false" ht="15" hidden="false" customHeight="false" outlineLevel="0" collapsed="false">
      <c r="A224" s="20" t="n">
        <v>223</v>
      </c>
      <c r="B224" s="21"/>
      <c r="C224" s="20" t="s">
        <v>338</v>
      </c>
      <c r="D224" s="20" t="s">
        <v>339</v>
      </c>
      <c r="E224" s="21" t="s">
        <v>340</v>
      </c>
      <c r="F224" s="22" t="n">
        <v>869</v>
      </c>
      <c r="G224" s="22" t="n">
        <f aca="false">F224*VLOOKUP(K224,Kurallar!$A$17:$B$22,2,0)</f>
        <v>521.4</v>
      </c>
      <c r="H224" s="22" t="n">
        <f aca="false">G224*I224</f>
        <v>1042.8</v>
      </c>
      <c r="I224" s="23" t="n">
        <v>2</v>
      </c>
      <c r="J224" s="20" t="s">
        <v>306</v>
      </c>
      <c r="K224" s="20" t="s">
        <v>33</v>
      </c>
      <c r="L224" s="21"/>
    </row>
    <row r="225" customFormat="false" ht="15" hidden="false" customHeight="false" outlineLevel="0" collapsed="false">
      <c r="A225" s="20" t="n">
        <v>224</v>
      </c>
      <c r="B225" s="21"/>
      <c r="C225" s="20" t="s">
        <v>338</v>
      </c>
      <c r="D225" s="20" t="s">
        <v>341</v>
      </c>
      <c r="E225" s="21" t="s">
        <v>342</v>
      </c>
      <c r="F225" s="22" t="n">
        <v>1801</v>
      </c>
      <c r="G225" s="22" t="n">
        <f aca="false">F225*VLOOKUP(K225,Kurallar!$A$17:$B$22,2,0)</f>
        <v>1801</v>
      </c>
      <c r="H225" s="22" t="n">
        <f aca="false">G225*I225</f>
        <v>3602</v>
      </c>
      <c r="I225" s="23" t="n">
        <v>2</v>
      </c>
      <c r="J225" s="20" t="s">
        <v>306</v>
      </c>
      <c r="K225" s="20" t="s">
        <v>39</v>
      </c>
      <c r="L225" s="21"/>
    </row>
    <row r="226" customFormat="false" ht="15" hidden="false" customHeight="false" outlineLevel="0" collapsed="false">
      <c r="A226" s="20" t="n">
        <v>225</v>
      </c>
      <c r="B226" s="21"/>
      <c r="C226" s="20" t="s">
        <v>338</v>
      </c>
      <c r="D226" s="20" t="s">
        <v>343</v>
      </c>
      <c r="E226" s="21" t="s">
        <v>344</v>
      </c>
      <c r="F226" s="22" t="n">
        <v>127</v>
      </c>
      <c r="G226" s="22" t="n">
        <f aca="false">F226*VLOOKUP(K226,Kurallar!$A$17:$B$22,2,0)</f>
        <v>127</v>
      </c>
      <c r="H226" s="22" t="n">
        <f aca="false">G226*I226</f>
        <v>2540</v>
      </c>
      <c r="I226" s="23" t="n">
        <v>20</v>
      </c>
      <c r="J226" s="20" t="s">
        <v>345</v>
      </c>
      <c r="K226" s="20" t="s">
        <v>37</v>
      </c>
      <c r="L226" s="21"/>
    </row>
    <row r="227" customFormat="false" ht="15" hidden="false" customHeight="false" outlineLevel="0" collapsed="false">
      <c r="A227" s="20" t="n">
        <v>226</v>
      </c>
      <c r="B227" s="21"/>
      <c r="C227" s="20" t="s">
        <v>338</v>
      </c>
      <c r="D227" s="20" t="s">
        <v>346</v>
      </c>
      <c r="E227" s="21" t="s">
        <v>347</v>
      </c>
      <c r="F227" s="22" t="n">
        <v>319</v>
      </c>
      <c r="G227" s="22" t="n">
        <f aca="false">F227*VLOOKUP(K227,Kurallar!$A$17:$B$22,2,0)</f>
        <v>319</v>
      </c>
      <c r="H227" s="22" t="n">
        <f aca="false">G227*I227</f>
        <v>1914</v>
      </c>
      <c r="I227" s="23" t="n">
        <v>6</v>
      </c>
      <c r="J227" s="20" t="s">
        <v>345</v>
      </c>
      <c r="K227" s="20" t="s">
        <v>37</v>
      </c>
      <c r="L227" s="21"/>
    </row>
    <row r="228" customFormat="false" ht="15" hidden="false" customHeight="false" outlineLevel="0" collapsed="false">
      <c r="A228" s="20" t="n">
        <v>227</v>
      </c>
      <c r="B228" s="21"/>
      <c r="C228" s="20" t="s">
        <v>352</v>
      </c>
      <c r="D228" s="20" t="s">
        <v>14</v>
      </c>
      <c r="E228" s="21" t="s">
        <v>353</v>
      </c>
      <c r="F228" s="22"/>
      <c r="G228" s="22" t="n">
        <f aca="false">SUM(H220:H227)*Kurallar!$B$9</f>
        <v>1388.106</v>
      </c>
      <c r="H228" s="22" t="n">
        <f aca="false">G228*I228</f>
        <v>1388.106</v>
      </c>
      <c r="I228" s="23" t="n">
        <v>1</v>
      </c>
      <c r="J228" s="20" t="s">
        <v>302</v>
      </c>
      <c r="K228" s="20" t="s">
        <v>14</v>
      </c>
      <c r="L228" s="21" t="s">
        <v>354</v>
      </c>
    </row>
    <row r="229" customFormat="false" ht="15" hidden="false" customHeight="false" outlineLevel="0" collapsed="false">
      <c r="A229" s="20" t="n">
        <v>228</v>
      </c>
      <c r="B229" s="21"/>
      <c r="C229" s="20" t="s">
        <v>355</v>
      </c>
      <c r="D229" s="20" t="s">
        <v>14</v>
      </c>
      <c r="E229" s="21" t="s">
        <v>356</v>
      </c>
      <c r="F229" s="24" t="n">
        <f aca="false">I229/60</f>
        <v>4.83333333333333</v>
      </c>
      <c r="G229" s="22" t="n">
        <f aca="false">Kurallar!$B$10</f>
        <v>100</v>
      </c>
      <c r="H229" s="22" t="n">
        <f aca="false">G229*I229</f>
        <v>29000</v>
      </c>
      <c r="I229" s="23" t="n">
        <f aca="false">ROUND((Kurallar!$C$29*8+Kurallar!$C$42*2+Kurallar!$C$43*4+Kurallar!$C$45*1+Kurallar!$C$32*1+Kurallar!$C$40*2)*Kurallar!$B$11,0)</f>
        <v>290</v>
      </c>
      <c r="J229" s="20" t="s">
        <v>357</v>
      </c>
      <c r="K229" s="20" t="s">
        <v>14</v>
      </c>
      <c r="L229" s="21" t="s">
        <v>358</v>
      </c>
    </row>
    <row r="230" customFormat="false" ht="23.85" hidden="false" customHeight="false" outlineLevel="0" collapsed="false">
      <c r="A230" s="25"/>
      <c r="B230" s="26" t="s">
        <v>447</v>
      </c>
      <c r="C230" s="25"/>
      <c r="D230" s="25"/>
      <c r="E230" s="26"/>
      <c r="F230" s="27"/>
      <c r="G230" s="27"/>
      <c r="H230" s="27" t="n">
        <f aca="false">SUBTOTAL(9,H220:H229)</f>
        <v>76658.306</v>
      </c>
      <c r="I230" s="28"/>
      <c r="J230" s="25"/>
      <c r="K230" s="25"/>
      <c r="L230" s="26" t="s">
        <v>360</v>
      </c>
    </row>
    <row r="231" customFormat="false" ht="15" hidden="false" customHeight="false" outlineLevel="0" collapsed="false">
      <c r="A231" s="15" t="n">
        <v>230</v>
      </c>
      <c r="B231" s="16" t="str">
        <f aca="false">E231</f>
        <v>1.1-ЩР-1 — щит силовой</v>
      </c>
      <c r="C231" s="15" t="s">
        <v>300</v>
      </c>
      <c r="D231" s="15"/>
      <c r="E231" s="17" t="s">
        <v>448</v>
      </c>
      <c r="F231" s="18"/>
      <c r="G231" s="18"/>
      <c r="H231" s="18"/>
      <c r="I231" s="19" t="n">
        <v>1</v>
      </c>
      <c r="J231" s="15" t="s">
        <v>302</v>
      </c>
      <c r="K231" s="15"/>
      <c r="L231" s="17"/>
    </row>
    <row r="232" customFormat="false" ht="15" hidden="false" customHeight="false" outlineLevel="0" collapsed="false">
      <c r="A232" s="20" t="n">
        <v>231</v>
      </c>
      <c r="B232" s="21"/>
      <c r="C232" s="20" t="s">
        <v>303</v>
      </c>
      <c r="D232" s="20" t="s">
        <v>449</v>
      </c>
      <c r="E232" s="21" t="s">
        <v>450</v>
      </c>
      <c r="F232" s="22" t="n">
        <v>11045</v>
      </c>
      <c r="G232" s="22" t="n">
        <f aca="false">F232*VLOOKUP(K232,Kurallar!$A$17:$B$22,2,0)</f>
        <v>11045</v>
      </c>
      <c r="H232" s="22" t="n">
        <f aca="false">G232*I232</f>
        <v>11045</v>
      </c>
      <c r="I232" s="23" t="n">
        <v>1</v>
      </c>
      <c r="J232" s="20" t="s">
        <v>306</v>
      </c>
      <c r="K232" s="20" t="s">
        <v>37</v>
      </c>
      <c r="L232" s="21"/>
    </row>
    <row r="233" customFormat="false" ht="15" hidden="false" customHeight="false" outlineLevel="0" collapsed="false">
      <c r="A233" s="20" t="n">
        <v>232</v>
      </c>
      <c r="B233" s="21"/>
      <c r="C233" s="20" t="s">
        <v>309</v>
      </c>
      <c r="D233" s="20" t="s">
        <v>408</v>
      </c>
      <c r="E233" s="21" t="s">
        <v>409</v>
      </c>
      <c r="F233" s="22" t="n">
        <v>4217</v>
      </c>
      <c r="G233" s="22" t="n">
        <f aca="false">F233*VLOOKUP(K233,Kurallar!$A$17:$B$22,2,0)</f>
        <v>2530.2</v>
      </c>
      <c r="H233" s="22" t="n">
        <f aca="false">G233*I233</f>
        <v>2530.2</v>
      </c>
      <c r="I233" s="23" t="n">
        <v>1</v>
      </c>
      <c r="J233" s="20" t="s">
        <v>306</v>
      </c>
      <c r="K233" s="20" t="s">
        <v>33</v>
      </c>
      <c r="L233" s="21"/>
    </row>
    <row r="234" customFormat="false" ht="15" hidden="false" customHeight="false" outlineLevel="0" collapsed="false">
      <c r="A234" s="20" t="n">
        <v>233</v>
      </c>
      <c r="B234" s="21"/>
      <c r="C234" s="20" t="s">
        <v>398</v>
      </c>
      <c r="D234" s="20" t="s">
        <v>269</v>
      </c>
      <c r="E234" s="21" t="s">
        <v>446</v>
      </c>
      <c r="F234" s="22" t="n">
        <v>5104</v>
      </c>
      <c r="G234" s="22" t="n">
        <f aca="false">F234*VLOOKUP(K234,Kurallar!$A$17:$B$22,2,0)</f>
        <v>3062.4</v>
      </c>
      <c r="H234" s="22" t="n">
        <f aca="false">G234*I234</f>
        <v>45936</v>
      </c>
      <c r="I234" s="23" t="n">
        <v>15</v>
      </c>
      <c r="J234" s="20" t="s">
        <v>306</v>
      </c>
      <c r="K234" s="20" t="s">
        <v>33</v>
      </c>
      <c r="L234" s="21"/>
    </row>
    <row r="235" customFormat="false" ht="15" hidden="false" customHeight="false" outlineLevel="0" collapsed="false">
      <c r="A235" s="20" t="n">
        <v>234</v>
      </c>
      <c r="B235" s="21"/>
      <c r="C235" s="20" t="s">
        <v>398</v>
      </c>
      <c r="D235" s="20" t="s">
        <v>248</v>
      </c>
      <c r="E235" s="21" t="s">
        <v>435</v>
      </c>
      <c r="F235" s="22" t="n">
        <v>8352</v>
      </c>
      <c r="G235" s="22" t="n">
        <f aca="false">F235*VLOOKUP(K235,Kurallar!$A$17:$B$22,2,0)</f>
        <v>5011.2</v>
      </c>
      <c r="H235" s="22" t="n">
        <f aca="false">G235*I235</f>
        <v>10022.4</v>
      </c>
      <c r="I235" s="23" t="n">
        <v>2</v>
      </c>
      <c r="J235" s="20" t="s">
        <v>306</v>
      </c>
      <c r="K235" s="20" t="s">
        <v>33</v>
      </c>
      <c r="L235" s="21"/>
    </row>
    <row r="236" customFormat="false" ht="15" hidden="false" customHeight="false" outlineLevel="0" collapsed="false">
      <c r="A236" s="20" t="n">
        <v>235</v>
      </c>
      <c r="B236" s="21"/>
      <c r="C236" s="20" t="s">
        <v>331</v>
      </c>
      <c r="D236" s="20" t="s">
        <v>382</v>
      </c>
      <c r="E236" s="21" t="s">
        <v>383</v>
      </c>
      <c r="F236" s="22" t="n">
        <v>461</v>
      </c>
      <c r="G236" s="22" t="n">
        <f aca="false">F236*VLOOKUP(K236,Kurallar!$A$17:$B$22,2,0)</f>
        <v>461</v>
      </c>
      <c r="H236" s="22" t="n">
        <f aca="false">G236*I236</f>
        <v>1844</v>
      </c>
      <c r="I236" s="23" t="n">
        <v>4</v>
      </c>
      <c r="J236" s="20" t="s">
        <v>306</v>
      </c>
      <c r="K236" s="20" t="s">
        <v>40</v>
      </c>
      <c r="L236" s="21"/>
    </row>
    <row r="237" customFormat="false" ht="15" hidden="false" customHeight="false" outlineLevel="0" collapsed="false">
      <c r="A237" s="20" t="n">
        <v>236</v>
      </c>
      <c r="B237" s="21"/>
      <c r="C237" s="20" t="s">
        <v>338</v>
      </c>
      <c r="D237" s="20" t="s">
        <v>339</v>
      </c>
      <c r="E237" s="21" t="s">
        <v>340</v>
      </c>
      <c r="F237" s="22" t="n">
        <v>869</v>
      </c>
      <c r="G237" s="22" t="n">
        <f aca="false">F237*VLOOKUP(K237,Kurallar!$A$17:$B$22,2,0)</f>
        <v>521.4</v>
      </c>
      <c r="H237" s="22" t="n">
        <f aca="false">G237*I237</f>
        <v>1564.2</v>
      </c>
      <c r="I237" s="23" t="n">
        <v>3</v>
      </c>
      <c r="J237" s="20" t="s">
        <v>306</v>
      </c>
      <c r="K237" s="20" t="s">
        <v>33</v>
      </c>
      <c r="L237" s="21"/>
    </row>
    <row r="238" customFormat="false" ht="15" hidden="false" customHeight="false" outlineLevel="0" collapsed="false">
      <c r="A238" s="20" t="n">
        <v>237</v>
      </c>
      <c r="B238" s="21"/>
      <c r="C238" s="20" t="s">
        <v>338</v>
      </c>
      <c r="D238" s="20" t="s">
        <v>341</v>
      </c>
      <c r="E238" s="21" t="s">
        <v>342</v>
      </c>
      <c r="F238" s="22" t="n">
        <v>1801</v>
      </c>
      <c r="G238" s="22" t="n">
        <f aca="false">F238*VLOOKUP(K238,Kurallar!$A$17:$B$22,2,0)</f>
        <v>1801</v>
      </c>
      <c r="H238" s="22" t="n">
        <f aca="false">G238*I238</f>
        <v>5403</v>
      </c>
      <c r="I238" s="23" t="n">
        <v>3</v>
      </c>
      <c r="J238" s="20" t="s">
        <v>306</v>
      </c>
      <c r="K238" s="20" t="s">
        <v>39</v>
      </c>
      <c r="L238" s="21"/>
    </row>
    <row r="239" customFormat="false" ht="15" hidden="false" customHeight="false" outlineLevel="0" collapsed="false">
      <c r="A239" s="20" t="n">
        <v>238</v>
      </c>
      <c r="B239" s="21"/>
      <c r="C239" s="20" t="s">
        <v>338</v>
      </c>
      <c r="D239" s="20" t="s">
        <v>343</v>
      </c>
      <c r="E239" s="21" t="s">
        <v>344</v>
      </c>
      <c r="F239" s="22" t="n">
        <v>127</v>
      </c>
      <c r="G239" s="22" t="n">
        <f aca="false">F239*VLOOKUP(K239,Kurallar!$A$17:$B$22,2,0)</f>
        <v>127</v>
      </c>
      <c r="H239" s="22" t="n">
        <f aca="false">G239*I239</f>
        <v>5715</v>
      </c>
      <c r="I239" s="23" t="n">
        <v>45</v>
      </c>
      <c r="J239" s="20" t="s">
        <v>345</v>
      </c>
      <c r="K239" s="20" t="s">
        <v>37</v>
      </c>
      <c r="L239" s="21"/>
    </row>
    <row r="240" customFormat="false" ht="15" hidden="false" customHeight="false" outlineLevel="0" collapsed="false">
      <c r="A240" s="20" t="n">
        <v>239</v>
      </c>
      <c r="B240" s="21"/>
      <c r="C240" s="20" t="s">
        <v>338</v>
      </c>
      <c r="D240" s="20" t="s">
        <v>348</v>
      </c>
      <c r="E240" s="21" t="s">
        <v>349</v>
      </c>
      <c r="F240" s="22" t="n">
        <v>918</v>
      </c>
      <c r="G240" s="22" t="n">
        <f aca="false">F240*VLOOKUP(K240,Kurallar!$A$17:$B$22,2,0)</f>
        <v>918</v>
      </c>
      <c r="H240" s="22" t="n">
        <f aca="false">G240*I240</f>
        <v>5508</v>
      </c>
      <c r="I240" s="23" t="n">
        <v>6</v>
      </c>
      <c r="J240" s="20" t="s">
        <v>345</v>
      </c>
      <c r="K240" s="20" t="s">
        <v>37</v>
      </c>
      <c r="L240" s="21"/>
    </row>
    <row r="241" customFormat="false" ht="15" hidden="false" customHeight="false" outlineLevel="0" collapsed="false">
      <c r="A241" s="20" t="n">
        <v>240</v>
      </c>
      <c r="B241" s="21"/>
      <c r="C241" s="20" t="s">
        <v>352</v>
      </c>
      <c r="D241" s="20" t="s">
        <v>14</v>
      </c>
      <c r="E241" s="21" t="s">
        <v>353</v>
      </c>
      <c r="F241" s="22"/>
      <c r="G241" s="22" t="n">
        <f aca="false">SUM(H232:H240)*Kurallar!$B$9</f>
        <v>2687.034</v>
      </c>
      <c r="H241" s="22" t="n">
        <f aca="false">G241*I241</f>
        <v>2687.034</v>
      </c>
      <c r="I241" s="23" t="n">
        <v>1</v>
      </c>
      <c r="J241" s="20" t="s">
        <v>302</v>
      </c>
      <c r="K241" s="20" t="s">
        <v>14</v>
      </c>
      <c r="L241" s="21" t="s">
        <v>354</v>
      </c>
    </row>
    <row r="242" customFormat="false" ht="15" hidden="false" customHeight="false" outlineLevel="0" collapsed="false">
      <c r="A242" s="20" t="n">
        <v>241</v>
      </c>
      <c r="B242" s="21"/>
      <c r="C242" s="20" t="s">
        <v>355</v>
      </c>
      <c r="D242" s="20" t="s">
        <v>14</v>
      </c>
      <c r="E242" s="21" t="s">
        <v>356</v>
      </c>
      <c r="F242" s="24" t="n">
        <f aca="false">I242/60</f>
        <v>8.21666666666667</v>
      </c>
      <c r="G242" s="22" t="n">
        <f aca="false">Kurallar!$B$10</f>
        <v>100</v>
      </c>
      <c r="H242" s="22" t="n">
        <f aca="false">G242*I242</f>
        <v>49300</v>
      </c>
      <c r="I242" s="23" t="n">
        <f aca="false">ROUND((Kurallar!$C$29*15+Kurallar!$C$30*2+Kurallar!$C$42*3+Kurallar!$C$43*6+Kurallar!$C$45*1+Kurallar!$C$32*1+Kurallar!$C$40*4)*Kurallar!$B$11,0)</f>
        <v>493</v>
      </c>
      <c r="J242" s="20" t="s">
        <v>357</v>
      </c>
      <c r="K242" s="20" t="s">
        <v>14</v>
      </c>
      <c r="L242" s="21" t="s">
        <v>358</v>
      </c>
    </row>
    <row r="243" customFormat="false" ht="15" hidden="false" customHeight="false" outlineLevel="0" collapsed="false">
      <c r="A243" s="25"/>
      <c r="B243" s="26" t="s">
        <v>451</v>
      </c>
      <c r="C243" s="25"/>
      <c r="D243" s="25"/>
      <c r="E243" s="26"/>
      <c r="F243" s="27"/>
      <c r="G243" s="27"/>
      <c r="H243" s="27" t="n">
        <f aca="false">SUBTOTAL(9,H232:H242)</f>
        <v>141554.834</v>
      </c>
      <c r="I243" s="28"/>
      <c r="J243" s="25"/>
      <c r="K243" s="25"/>
      <c r="L243" s="26" t="s">
        <v>360</v>
      </c>
    </row>
    <row r="244" customFormat="false" ht="15" hidden="false" customHeight="false" outlineLevel="0" collapsed="false">
      <c r="A244" s="15" t="n">
        <v>243</v>
      </c>
      <c r="B244" s="16" t="str">
        <f aca="false">E244</f>
        <v>1.2-ЩР-1 — щит силовой</v>
      </c>
      <c r="C244" s="15" t="s">
        <v>300</v>
      </c>
      <c r="D244" s="15"/>
      <c r="E244" s="17" t="s">
        <v>452</v>
      </c>
      <c r="F244" s="18"/>
      <c r="G244" s="18"/>
      <c r="H244" s="18"/>
      <c r="I244" s="19" t="n">
        <v>1</v>
      </c>
      <c r="J244" s="15" t="s">
        <v>302</v>
      </c>
      <c r="K244" s="15"/>
      <c r="L244" s="17"/>
    </row>
    <row r="245" customFormat="false" ht="15" hidden="false" customHeight="false" outlineLevel="0" collapsed="false">
      <c r="A245" s="20" t="n">
        <v>244</v>
      </c>
      <c r="B245" s="21"/>
      <c r="C245" s="20" t="s">
        <v>303</v>
      </c>
      <c r="D245" s="20" t="s">
        <v>371</v>
      </c>
      <c r="E245" s="21" t="s">
        <v>372</v>
      </c>
      <c r="F245" s="22" t="n">
        <v>7220</v>
      </c>
      <c r="G245" s="22" t="n">
        <f aca="false">F245*VLOOKUP(K245,Kurallar!$A$17:$B$22,2,0)</f>
        <v>7220</v>
      </c>
      <c r="H245" s="22" t="n">
        <f aca="false">G245*I245</f>
        <v>7220</v>
      </c>
      <c r="I245" s="23" t="n">
        <v>1</v>
      </c>
      <c r="J245" s="20" t="s">
        <v>306</v>
      </c>
      <c r="K245" s="20" t="s">
        <v>37</v>
      </c>
      <c r="L245" s="21"/>
    </row>
    <row r="246" customFormat="false" ht="15" hidden="false" customHeight="false" outlineLevel="0" collapsed="false">
      <c r="A246" s="20" t="n">
        <v>245</v>
      </c>
      <c r="B246" s="21"/>
      <c r="C246" s="20" t="s">
        <v>309</v>
      </c>
      <c r="D246" s="20" t="s">
        <v>408</v>
      </c>
      <c r="E246" s="21" t="s">
        <v>409</v>
      </c>
      <c r="F246" s="22" t="n">
        <v>4217</v>
      </c>
      <c r="G246" s="22" t="n">
        <f aca="false">F246*VLOOKUP(K246,Kurallar!$A$17:$B$22,2,0)</f>
        <v>2530.2</v>
      </c>
      <c r="H246" s="22" t="n">
        <f aca="false">G246*I246</f>
        <v>2530.2</v>
      </c>
      <c r="I246" s="23" t="n">
        <v>1</v>
      </c>
      <c r="J246" s="20" t="s">
        <v>306</v>
      </c>
      <c r="K246" s="20" t="s">
        <v>33</v>
      </c>
      <c r="L246" s="21"/>
    </row>
    <row r="247" customFormat="false" ht="15" hidden="false" customHeight="false" outlineLevel="0" collapsed="false">
      <c r="A247" s="20" t="n">
        <v>246</v>
      </c>
      <c r="B247" s="21"/>
      <c r="C247" s="20" t="s">
        <v>398</v>
      </c>
      <c r="D247" s="20" t="s">
        <v>269</v>
      </c>
      <c r="E247" s="21" t="s">
        <v>446</v>
      </c>
      <c r="F247" s="22" t="n">
        <v>5104</v>
      </c>
      <c r="G247" s="22" t="n">
        <f aca="false">F247*VLOOKUP(K247,Kurallar!$A$17:$B$22,2,0)</f>
        <v>3062.4</v>
      </c>
      <c r="H247" s="22" t="n">
        <f aca="false">G247*I247</f>
        <v>27561.6</v>
      </c>
      <c r="I247" s="23" t="n">
        <v>9</v>
      </c>
      <c r="J247" s="20" t="s">
        <v>306</v>
      </c>
      <c r="K247" s="20" t="s">
        <v>33</v>
      </c>
      <c r="L247" s="21"/>
    </row>
    <row r="248" customFormat="false" ht="15" hidden="false" customHeight="false" outlineLevel="0" collapsed="false">
      <c r="A248" s="20" t="n">
        <v>247</v>
      </c>
      <c r="B248" s="21"/>
      <c r="C248" s="20" t="s">
        <v>331</v>
      </c>
      <c r="D248" s="20" t="s">
        <v>382</v>
      </c>
      <c r="E248" s="21" t="s">
        <v>383</v>
      </c>
      <c r="F248" s="22" t="n">
        <v>461</v>
      </c>
      <c r="G248" s="22" t="n">
        <f aca="false">F248*VLOOKUP(K248,Kurallar!$A$17:$B$22,2,0)</f>
        <v>461</v>
      </c>
      <c r="H248" s="22" t="n">
        <f aca="false">G248*I248</f>
        <v>922</v>
      </c>
      <c r="I248" s="23" t="n">
        <v>2</v>
      </c>
      <c r="J248" s="20" t="s">
        <v>306</v>
      </c>
      <c r="K248" s="20" t="s">
        <v>40</v>
      </c>
      <c r="L248" s="21"/>
    </row>
    <row r="249" customFormat="false" ht="15" hidden="false" customHeight="false" outlineLevel="0" collapsed="false">
      <c r="A249" s="20" t="n">
        <v>248</v>
      </c>
      <c r="B249" s="21"/>
      <c r="C249" s="20" t="s">
        <v>338</v>
      </c>
      <c r="D249" s="20" t="s">
        <v>339</v>
      </c>
      <c r="E249" s="21" t="s">
        <v>340</v>
      </c>
      <c r="F249" s="22" t="n">
        <v>869</v>
      </c>
      <c r="G249" s="22" t="n">
        <f aca="false">F249*VLOOKUP(K249,Kurallar!$A$17:$B$22,2,0)</f>
        <v>521.4</v>
      </c>
      <c r="H249" s="22" t="n">
        <f aca="false">G249*I249</f>
        <v>1042.8</v>
      </c>
      <c r="I249" s="23" t="n">
        <v>2</v>
      </c>
      <c r="J249" s="20" t="s">
        <v>306</v>
      </c>
      <c r="K249" s="20" t="s">
        <v>33</v>
      </c>
      <c r="L249" s="21"/>
    </row>
    <row r="250" customFormat="false" ht="15" hidden="false" customHeight="false" outlineLevel="0" collapsed="false">
      <c r="A250" s="20" t="n">
        <v>249</v>
      </c>
      <c r="B250" s="21"/>
      <c r="C250" s="20" t="s">
        <v>338</v>
      </c>
      <c r="D250" s="20" t="s">
        <v>341</v>
      </c>
      <c r="E250" s="21" t="s">
        <v>342</v>
      </c>
      <c r="F250" s="22" t="n">
        <v>1801</v>
      </c>
      <c r="G250" s="22" t="n">
        <f aca="false">F250*VLOOKUP(K250,Kurallar!$A$17:$B$22,2,0)</f>
        <v>1801</v>
      </c>
      <c r="H250" s="22" t="n">
        <f aca="false">G250*I250</f>
        <v>3602</v>
      </c>
      <c r="I250" s="23" t="n">
        <v>2</v>
      </c>
      <c r="J250" s="20" t="s">
        <v>306</v>
      </c>
      <c r="K250" s="20" t="s">
        <v>39</v>
      </c>
      <c r="L250" s="21"/>
    </row>
    <row r="251" customFormat="false" ht="15" hidden="false" customHeight="false" outlineLevel="0" collapsed="false">
      <c r="A251" s="20" t="n">
        <v>250</v>
      </c>
      <c r="B251" s="21"/>
      <c r="C251" s="20" t="s">
        <v>338</v>
      </c>
      <c r="D251" s="20" t="s">
        <v>343</v>
      </c>
      <c r="E251" s="21" t="s">
        <v>344</v>
      </c>
      <c r="F251" s="22" t="n">
        <v>127</v>
      </c>
      <c r="G251" s="22" t="n">
        <f aca="false">F251*VLOOKUP(K251,Kurallar!$A$17:$B$22,2,0)</f>
        <v>127</v>
      </c>
      <c r="H251" s="22" t="n">
        <f aca="false">G251*I251</f>
        <v>3810</v>
      </c>
      <c r="I251" s="23" t="n">
        <v>30</v>
      </c>
      <c r="J251" s="20" t="s">
        <v>345</v>
      </c>
      <c r="K251" s="20" t="s">
        <v>37</v>
      </c>
      <c r="L251" s="21"/>
    </row>
    <row r="252" customFormat="false" ht="15" hidden="false" customHeight="false" outlineLevel="0" collapsed="false">
      <c r="A252" s="20" t="n">
        <v>251</v>
      </c>
      <c r="B252" s="21"/>
      <c r="C252" s="20" t="s">
        <v>338</v>
      </c>
      <c r="D252" s="20" t="s">
        <v>348</v>
      </c>
      <c r="E252" s="21" t="s">
        <v>349</v>
      </c>
      <c r="F252" s="22" t="n">
        <v>918</v>
      </c>
      <c r="G252" s="22" t="n">
        <f aca="false">F252*VLOOKUP(K252,Kurallar!$A$17:$B$22,2,0)</f>
        <v>918</v>
      </c>
      <c r="H252" s="22" t="n">
        <f aca="false">G252*I252</f>
        <v>5508</v>
      </c>
      <c r="I252" s="23" t="n">
        <v>6</v>
      </c>
      <c r="J252" s="20" t="s">
        <v>345</v>
      </c>
      <c r="K252" s="20" t="s">
        <v>37</v>
      </c>
      <c r="L252" s="21"/>
    </row>
    <row r="253" customFormat="false" ht="15" hidden="false" customHeight="false" outlineLevel="0" collapsed="false">
      <c r="A253" s="20" t="n">
        <v>252</v>
      </c>
      <c r="B253" s="21"/>
      <c r="C253" s="20" t="s">
        <v>352</v>
      </c>
      <c r="D253" s="20" t="s">
        <v>14</v>
      </c>
      <c r="E253" s="21" t="s">
        <v>353</v>
      </c>
      <c r="F253" s="22"/>
      <c r="G253" s="22" t="n">
        <f aca="false">SUM(H245:H252)*Kurallar!$B$9</f>
        <v>1565.898</v>
      </c>
      <c r="H253" s="22" t="n">
        <f aca="false">G253*I253</f>
        <v>1565.898</v>
      </c>
      <c r="I253" s="23" t="n">
        <v>1</v>
      </c>
      <c r="J253" s="20" t="s">
        <v>302</v>
      </c>
      <c r="K253" s="20" t="s">
        <v>14</v>
      </c>
      <c r="L253" s="21" t="s">
        <v>354</v>
      </c>
    </row>
    <row r="254" customFormat="false" ht="15" hidden="false" customHeight="false" outlineLevel="0" collapsed="false">
      <c r="A254" s="20" t="n">
        <v>253</v>
      </c>
      <c r="B254" s="21"/>
      <c r="C254" s="20" t="s">
        <v>355</v>
      </c>
      <c r="D254" s="20" t="s">
        <v>14</v>
      </c>
      <c r="E254" s="21" t="s">
        <v>356</v>
      </c>
      <c r="F254" s="24" t="n">
        <f aca="false">I254/60</f>
        <v>5.1</v>
      </c>
      <c r="G254" s="22" t="n">
        <f aca="false">Kurallar!$B$10</f>
        <v>100</v>
      </c>
      <c r="H254" s="22" t="n">
        <f aca="false">G254*I254</f>
        <v>30600</v>
      </c>
      <c r="I254" s="23" t="n">
        <f aca="false">ROUND((Kurallar!$C$29*9+Kurallar!$C$42*2+Kurallar!$C$43*4+Kurallar!$C$45*1+Kurallar!$C$32*1+Kurallar!$C$40*2)*Kurallar!$B$11,0)</f>
        <v>306</v>
      </c>
      <c r="J254" s="20" t="s">
        <v>357</v>
      </c>
      <c r="K254" s="20" t="s">
        <v>14</v>
      </c>
      <c r="L254" s="21" t="s">
        <v>358</v>
      </c>
    </row>
    <row r="255" customFormat="false" ht="15" hidden="false" customHeight="false" outlineLevel="0" collapsed="false">
      <c r="A255" s="25"/>
      <c r="B255" s="26" t="s">
        <v>453</v>
      </c>
      <c r="C255" s="25"/>
      <c r="D255" s="25"/>
      <c r="E255" s="26"/>
      <c r="F255" s="27"/>
      <c r="G255" s="27"/>
      <c r="H255" s="27" t="n">
        <f aca="false">SUBTOTAL(9,H245:H254)</f>
        <v>84362.498</v>
      </c>
      <c r="I255" s="28"/>
      <c r="J255" s="25"/>
      <c r="K255" s="25"/>
      <c r="L255" s="26" t="s">
        <v>360</v>
      </c>
    </row>
    <row r="256" customFormat="false" ht="15" hidden="false" customHeight="false" outlineLevel="0" collapsed="false">
      <c r="A256" s="15" t="n">
        <v>255</v>
      </c>
      <c r="B256" s="16" t="str">
        <f aca="false">E256</f>
        <v>2.1-ЩР-1 — щит силовой (пищеблок)</v>
      </c>
      <c r="C256" s="15" t="s">
        <v>300</v>
      </c>
      <c r="D256" s="15"/>
      <c r="E256" s="17" t="s">
        <v>454</v>
      </c>
      <c r="F256" s="18"/>
      <c r="G256" s="18"/>
      <c r="H256" s="18"/>
      <c r="I256" s="19" t="n">
        <v>1</v>
      </c>
      <c r="J256" s="15" t="s">
        <v>302</v>
      </c>
      <c r="K256" s="15"/>
      <c r="L256" s="17"/>
    </row>
    <row r="257" customFormat="false" ht="15" hidden="false" customHeight="false" outlineLevel="0" collapsed="false">
      <c r="A257" s="20" t="n">
        <v>256</v>
      </c>
      <c r="B257" s="21"/>
      <c r="C257" s="20" t="s">
        <v>303</v>
      </c>
      <c r="D257" s="20" t="s">
        <v>416</v>
      </c>
      <c r="E257" s="21" t="s">
        <v>417</v>
      </c>
      <c r="F257" s="22" t="n">
        <v>11520</v>
      </c>
      <c r="G257" s="22" t="n">
        <f aca="false">F257*VLOOKUP(K257,Kurallar!$A$17:$B$22,2,0)</f>
        <v>11520</v>
      </c>
      <c r="H257" s="22" t="n">
        <f aca="false">G257*I257</f>
        <v>11520</v>
      </c>
      <c r="I257" s="23" t="n">
        <v>1</v>
      </c>
      <c r="J257" s="20" t="s">
        <v>306</v>
      </c>
      <c r="K257" s="20" t="s">
        <v>37</v>
      </c>
      <c r="L257" s="21"/>
    </row>
    <row r="258" customFormat="false" ht="15" hidden="false" customHeight="false" outlineLevel="0" collapsed="false">
      <c r="A258" s="20" t="n">
        <v>257</v>
      </c>
      <c r="B258" s="21"/>
      <c r="C258" s="20" t="s">
        <v>309</v>
      </c>
      <c r="D258" s="20" t="s">
        <v>428</v>
      </c>
      <c r="E258" s="21" t="s">
        <v>429</v>
      </c>
      <c r="F258" s="22" t="n">
        <v>4886</v>
      </c>
      <c r="G258" s="22" t="n">
        <f aca="false">F258*VLOOKUP(K258,Kurallar!$A$17:$B$22,2,0)</f>
        <v>2931.6</v>
      </c>
      <c r="H258" s="22" t="n">
        <f aca="false">G258*I258</f>
        <v>2931.6</v>
      </c>
      <c r="I258" s="23" t="n">
        <v>1</v>
      </c>
      <c r="J258" s="20" t="s">
        <v>306</v>
      </c>
      <c r="K258" s="20" t="s">
        <v>33</v>
      </c>
      <c r="L258" s="21"/>
    </row>
    <row r="259" customFormat="false" ht="15" hidden="false" customHeight="false" outlineLevel="0" collapsed="false">
      <c r="A259" s="20" t="n">
        <v>258</v>
      </c>
      <c r="B259" s="21"/>
      <c r="C259" s="20" t="s">
        <v>398</v>
      </c>
      <c r="D259" s="20" t="s">
        <v>254</v>
      </c>
      <c r="E259" s="21" t="s">
        <v>430</v>
      </c>
      <c r="F259" s="22" t="n">
        <v>8934</v>
      </c>
      <c r="G259" s="22" t="n">
        <f aca="false">F259*VLOOKUP(K259,Kurallar!$A$17:$B$22,2,0)</f>
        <v>5360.4</v>
      </c>
      <c r="H259" s="22" t="n">
        <f aca="false">G259*I259</f>
        <v>16081.2</v>
      </c>
      <c r="I259" s="23" t="n">
        <v>3</v>
      </c>
      <c r="J259" s="20" t="s">
        <v>306</v>
      </c>
      <c r="K259" s="20" t="s">
        <v>33</v>
      </c>
      <c r="L259" s="21"/>
    </row>
    <row r="260" customFormat="false" ht="15" hidden="false" customHeight="false" outlineLevel="0" collapsed="false">
      <c r="A260" s="20" t="n">
        <v>259</v>
      </c>
      <c r="B260" s="21"/>
      <c r="C260" s="20" t="s">
        <v>398</v>
      </c>
      <c r="D260" s="20" t="s">
        <v>251</v>
      </c>
      <c r="E260" s="21" t="s">
        <v>431</v>
      </c>
      <c r="F260" s="22" t="n">
        <v>8889</v>
      </c>
      <c r="G260" s="22" t="n">
        <f aca="false">F260*VLOOKUP(K260,Kurallar!$A$17:$B$22,2,0)</f>
        <v>5333.4</v>
      </c>
      <c r="H260" s="22" t="n">
        <f aca="false">G260*I260</f>
        <v>16000.2</v>
      </c>
      <c r="I260" s="23" t="n">
        <v>3</v>
      </c>
      <c r="J260" s="20" t="s">
        <v>306</v>
      </c>
      <c r="K260" s="20" t="s">
        <v>33</v>
      </c>
      <c r="L260" s="21"/>
    </row>
    <row r="261" customFormat="false" ht="15" hidden="false" customHeight="false" outlineLevel="0" collapsed="false">
      <c r="A261" s="20" t="n">
        <v>260</v>
      </c>
      <c r="B261" s="21"/>
      <c r="C261" s="20" t="s">
        <v>398</v>
      </c>
      <c r="D261" s="20" t="s">
        <v>269</v>
      </c>
      <c r="E261" s="21" t="s">
        <v>446</v>
      </c>
      <c r="F261" s="22" t="n">
        <v>5104</v>
      </c>
      <c r="G261" s="22" t="n">
        <f aca="false">F261*VLOOKUP(K261,Kurallar!$A$17:$B$22,2,0)</f>
        <v>3062.4</v>
      </c>
      <c r="H261" s="22" t="n">
        <f aca="false">G261*I261</f>
        <v>12249.6</v>
      </c>
      <c r="I261" s="23" t="n">
        <v>4</v>
      </c>
      <c r="J261" s="20" t="s">
        <v>306</v>
      </c>
      <c r="K261" s="20" t="s">
        <v>33</v>
      </c>
      <c r="L261" s="21"/>
    </row>
    <row r="262" customFormat="false" ht="15" hidden="false" customHeight="false" outlineLevel="0" collapsed="false">
      <c r="A262" s="20" t="n">
        <v>261</v>
      </c>
      <c r="B262" s="21"/>
      <c r="C262" s="20" t="s">
        <v>331</v>
      </c>
      <c r="D262" s="20" t="s">
        <v>382</v>
      </c>
      <c r="E262" s="21" t="s">
        <v>383</v>
      </c>
      <c r="F262" s="22" t="n">
        <v>461</v>
      </c>
      <c r="G262" s="22" t="n">
        <f aca="false">F262*VLOOKUP(K262,Kurallar!$A$17:$B$22,2,0)</f>
        <v>461</v>
      </c>
      <c r="H262" s="22" t="n">
        <f aca="false">G262*I262</f>
        <v>922</v>
      </c>
      <c r="I262" s="23" t="n">
        <v>2</v>
      </c>
      <c r="J262" s="20" t="s">
        <v>306</v>
      </c>
      <c r="K262" s="20" t="s">
        <v>40</v>
      </c>
      <c r="L262" s="21"/>
    </row>
    <row r="263" customFormat="false" ht="15" hidden="false" customHeight="false" outlineLevel="0" collapsed="false">
      <c r="A263" s="20" t="n">
        <v>262</v>
      </c>
      <c r="B263" s="21"/>
      <c r="C263" s="20" t="s">
        <v>338</v>
      </c>
      <c r="D263" s="20" t="s">
        <v>339</v>
      </c>
      <c r="E263" s="21" t="s">
        <v>340</v>
      </c>
      <c r="F263" s="22" t="n">
        <v>869</v>
      </c>
      <c r="G263" s="22" t="n">
        <f aca="false">F263*VLOOKUP(K263,Kurallar!$A$17:$B$22,2,0)</f>
        <v>521.4</v>
      </c>
      <c r="H263" s="22" t="n">
        <f aca="false">G263*I263</f>
        <v>1564.2</v>
      </c>
      <c r="I263" s="23" t="n">
        <v>3</v>
      </c>
      <c r="J263" s="20" t="s">
        <v>306</v>
      </c>
      <c r="K263" s="20" t="s">
        <v>33</v>
      </c>
      <c r="L263" s="21"/>
    </row>
    <row r="264" customFormat="false" ht="15" hidden="false" customHeight="false" outlineLevel="0" collapsed="false">
      <c r="A264" s="20" t="n">
        <v>263</v>
      </c>
      <c r="B264" s="21"/>
      <c r="C264" s="20" t="s">
        <v>338</v>
      </c>
      <c r="D264" s="20" t="s">
        <v>341</v>
      </c>
      <c r="E264" s="21" t="s">
        <v>342</v>
      </c>
      <c r="F264" s="22" t="n">
        <v>1801</v>
      </c>
      <c r="G264" s="22" t="n">
        <f aca="false">F264*VLOOKUP(K264,Kurallar!$A$17:$B$22,2,0)</f>
        <v>1801</v>
      </c>
      <c r="H264" s="22" t="n">
        <f aca="false">G264*I264</f>
        <v>5403</v>
      </c>
      <c r="I264" s="23" t="n">
        <v>3</v>
      </c>
      <c r="J264" s="20" t="s">
        <v>306</v>
      </c>
      <c r="K264" s="20" t="s">
        <v>39</v>
      </c>
      <c r="L264" s="21"/>
    </row>
    <row r="265" customFormat="false" ht="15" hidden="false" customHeight="false" outlineLevel="0" collapsed="false">
      <c r="A265" s="20" t="n">
        <v>264</v>
      </c>
      <c r="B265" s="21"/>
      <c r="C265" s="20" t="s">
        <v>338</v>
      </c>
      <c r="D265" s="20" t="s">
        <v>343</v>
      </c>
      <c r="E265" s="21" t="s">
        <v>344</v>
      </c>
      <c r="F265" s="22" t="n">
        <v>127</v>
      </c>
      <c r="G265" s="22" t="n">
        <f aca="false">F265*VLOOKUP(K265,Kurallar!$A$17:$B$22,2,0)</f>
        <v>127</v>
      </c>
      <c r="H265" s="22" t="n">
        <f aca="false">G265*I265</f>
        <v>4445</v>
      </c>
      <c r="I265" s="23" t="n">
        <v>35</v>
      </c>
      <c r="J265" s="20" t="s">
        <v>345</v>
      </c>
      <c r="K265" s="20" t="s">
        <v>37</v>
      </c>
      <c r="L265" s="21"/>
    </row>
    <row r="266" customFormat="false" ht="15" hidden="false" customHeight="false" outlineLevel="0" collapsed="false">
      <c r="A266" s="20" t="n">
        <v>265</v>
      </c>
      <c r="B266" s="21"/>
      <c r="C266" s="20" t="s">
        <v>338</v>
      </c>
      <c r="D266" s="20" t="s">
        <v>422</v>
      </c>
      <c r="E266" s="21" t="s">
        <v>423</v>
      </c>
      <c r="F266" s="22" t="n">
        <v>2136</v>
      </c>
      <c r="G266" s="22" t="n">
        <f aca="false">F266*VLOOKUP(K266,Kurallar!$A$17:$B$22,2,0)</f>
        <v>2136</v>
      </c>
      <c r="H266" s="22" t="n">
        <f aca="false">G266*I266</f>
        <v>12816</v>
      </c>
      <c r="I266" s="23" t="n">
        <v>6</v>
      </c>
      <c r="J266" s="20" t="s">
        <v>345</v>
      </c>
      <c r="K266" s="20" t="s">
        <v>37</v>
      </c>
      <c r="L266" s="21"/>
    </row>
    <row r="267" customFormat="false" ht="15" hidden="false" customHeight="false" outlineLevel="0" collapsed="false">
      <c r="A267" s="20" t="n">
        <v>266</v>
      </c>
      <c r="B267" s="21"/>
      <c r="C267" s="20" t="s">
        <v>352</v>
      </c>
      <c r="D267" s="20" t="s">
        <v>14</v>
      </c>
      <c r="E267" s="21" t="s">
        <v>353</v>
      </c>
      <c r="F267" s="22"/>
      <c r="G267" s="22" t="n">
        <f aca="false">SUM(H257:H266)*Kurallar!$B$9</f>
        <v>2517.984</v>
      </c>
      <c r="H267" s="22" t="n">
        <f aca="false">G267*I267</f>
        <v>2517.984</v>
      </c>
      <c r="I267" s="23" t="n">
        <v>1</v>
      </c>
      <c r="J267" s="20" t="s">
        <v>302</v>
      </c>
      <c r="K267" s="20" t="s">
        <v>14</v>
      </c>
      <c r="L267" s="21" t="s">
        <v>354</v>
      </c>
    </row>
    <row r="268" customFormat="false" ht="15" hidden="false" customHeight="false" outlineLevel="0" collapsed="false">
      <c r="A268" s="20" t="n">
        <v>267</v>
      </c>
      <c r="B268" s="21"/>
      <c r="C268" s="20" t="s">
        <v>355</v>
      </c>
      <c r="D268" s="20" t="s">
        <v>14</v>
      </c>
      <c r="E268" s="21" t="s">
        <v>356</v>
      </c>
      <c r="F268" s="24" t="n">
        <f aca="false">I268/60</f>
        <v>6.56666666666667</v>
      </c>
      <c r="G268" s="22" t="n">
        <f aca="false">Kurallar!$B$10</f>
        <v>100</v>
      </c>
      <c r="H268" s="22" t="n">
        <f aca="false">G268*I268</f>
        <v>39400</v>
      </c>
      <c r="I268" s="23" t="n">
        <f aca="false">ROUND((Kurallar!$C$29*4+Kurallar!$C$30*6+Kurallar!$C$42*3+Kurallar!$C$43*6+Kurallar!$C$45*1+Kurallar!$C$32*1+Kurallar!$C$40*2)*Kurallar!$B$11,0)</f>
        <v>394</v>
      </c>
      <c r="J268" s="20" t="s">
        <v>357</v>
      </c>
      <c r="K268" s="20" t="s">
        <v>14</v>
      </c>
      <c r="L268" s="21" t="s">
        <v>358</v>
      </c>
    </row>
    <row r="269" customFormat="false" ht="23.85" hidden="false" customHeight="false" outlineLevel="0" collapsed="false">
      <c r="A269" s="25"/>
      <c r="B269" s="26" t="s">
        <v>455</v>
      </c>
      <c r="C269" s="25"/>
      <c r="D269" s="25"/>
      <c r="E269" s="26"/>
      <c r="F269" s="27"/>
      <c r="G269" s="27"/>
      <c r="H269" s="27" t="n">
        <f aca="false">SUBTOTAL(9,H257:H268)</f>
        <v>125850.784</v>
      </c>
      <c r="I269" s="28"/>
      <c r="J269" s="25"/>
      <c r="K269" s="25"/>
      <c r="L269" s="26" t="s">
        <v>360</v>
      </c>
    </row>
    <row r="270" customFormat="false" ht="15" hidden="false" customHeight="false" outlineLevel="0" collapsed="false">
      <c r="A270" s="15" t="n">
        <v>269</v>
      </c>
      <c r="B270" s="16" t="str">
        <f aca="false">E270</f>
        <v>2.1-ЩР-2 — щит силовой</v>
      </c>
      <c r="C270" s="15" t="s">
        <v>300</v>
      </c>
      <c r="D270" s="15"/>
      <c r="E270" s="17" t="s">
        <v>456</v>
      </c>
      <c r="F270" s="18"/>
      <c r="G270" s="18"/>
      <c r="H270" s="18"/>
      <c r="I270" s="19" t="n">
        <v>1</v>
      </c>
      <c r="J270" s="15" t="s">
        <v>302</v>
      </c>
      <c r="K270" s="15"/>
      <c r="L270" s="17"/>
    </row>
    <row r="271" customFormat="false" ht="15" hidden="false" customHeight="false" outlineLevel="0" collapsed="false">
      <c r="A271" s="20" t="n">
        <v>270</v>
      </c>
      <c r="B271" s="21"/>
      <c r="C271" s="20" t="s">
        <v>303</v>
      </c>
      <c r="D271" s="20" t="s">
        <v>449</v>
      </c>
      <c r="E271" s="21" t="s">
        <v>450</v>
      </c>
      <c r="F271" s="22" t="n">
        <v>11045</v>
      </c>
      <c r="G271" s="22" t="n">
        <f aca="false">F271*VLOOKUP(K271,Kurallar!$A$17:$B$22,2,0)</f>
        <v>11045</v>
      </c>
      <c r="H271" s="22" t="n">
        <f aca="false">G271*I271</f>
        <v>11045</v>
      </c>
      <c r="I271" s="23" t="n">
        <v>1</v>
      </c>
      <c r="J271" s="20" t="s">
        <v>306</v>
      </c>
      <c r="K271" s="20" t="s">
        <v>37</v>
      </c>
      <c r="L271" s="21"/>
    </row>
    <row r="272" customFormat="false" ht="15" hidden="false" customHeight="false" outlineLevel="0" collapsed="false">
      <c r="A272" s="20" t="n">
        <v>271</v>
      </c>
      <c r="B272" s="21"/>
      <c r="C272" s="20" t="s">
        <v>309</v>
      </c>
      <c r="D272" s="20" t="s">
        <v>408</v>
      </c>
      <c r="E272" s="21" t="s">
        <v>409</v>
      </c>
      <c r="F272" s="22" t="n">
        <v>4217</v>
      </c>
      <c r="G272" s="22" t="n">
        <f aca="false">F272*VLOOKUP(K272,Kurallar!$A$17:$B$22,2,0)</f>
        <v>2530.2</v>
      </c>
      <c r="H272" s="22" t="n">
        <f aca="false">G272*I272</f>
        <v>2530.2</v>
      </c>
      <c r="I272" s="23" t="n">
        <v>1</v>
      </c>
      <c r="J272" s="20" t="s">
        <v>306</v>
      </c>
      <c r="K272" s="20" t="s">
        <v>33</v>
      </c>
      <c r="L272" s="21"/>
    </row>
    <row r="273" customFormat="false" ht="15" hidden="false" customHeight="false" outlineLevel="0" collapsed="false">
      <c r="A273" s="20" t="n">
        <v>272</v>
      </c>
      <c r="B273" s="21"/>
      <c r="C273" s="20" t="s">
        <v>398</v>
      </c>
      <c r="D273" s="20" t="s">
        <v>251</v>
      </c>
      <c r="E273" s="21" t="s">
        <v>431</v>
      </c>
      <c r="F273" s="22" t="n">
        <v>8889</v>
      </c>
      <c r="G273" s="22" t="n">
        <f aca="false">F273*VLOOKUP(K273,Kurallar!$A$17:$B$22,2,0)</f>
        <v>5333.4</v>
      </c>
      <c r="H273" s="22" t="n">
        <f aca="false">G273*I273</f>
        <v>5333.4</v>
      </c>
      <c r="I273" s="23" t="n">
        <v>1</v>
      </c>
      <c r="J273" s="20" t="s">
        <v>306</v>
      </c>
      <c r="K273" s="20" t="s">
        <v>33</v>
      </c>
      <c r="L273" s="21"/>
    </row>
    <row r="274" customFormat="false" ht="15" hidden="false" customHeight="false" outlineLevel="0" collapsed="false">
      <c r="A274" s="20" t="n">
        <v>273</v>
      </c>
      <c r="B274" s="21"/>
      <c r="C274" s="20" t="s">
        <v>398</v>
      </c>
      <c r="D274" s="20" t="s">
        <v>258</v>
      </c>
      <c r="E274" s="21" t="s">
        <v>457</v>
      </c>
      <c r="F274" s="22" t="n">
        <v>8262</v>
      </c>
      <c r="G274" s="22" t="n">
        <f aca="false">F274*VLOOKUP(K274,Kurallar!$A$17:$B$22,2,0)</f>
        <v>4957.2</v>
      </c>
      <c r="H274" s="22" t="n">
        <f aca="false">G274*I274</f>
        <v>4957.2</v>
      </c>
      <c r="I274" s="23" t="n">
        <v>1</v>
      </c>
      <c r="J274" s="20" t="s">
        <v>306</v>
      </c>
      <c r="K274" s="20" t="s">
        <v>33</v>
      </c>
      <c r="L274" s="21"/>
    </row>
    <row r="275" customFormat="false" ht="15" hidden="false" customHeight="false" outlineLevel="0" collapsed="false">
      <c r="A275" s="20" t="n">
        <v>274</v>
      </c>
      <c r="B275" s="21"/>
      <c r="C275" s="20" t="s">
        <v>398</v>
      </c>
      <c r="D275" s="20" t="s">
        <v>458</v>
      </c>
      <c r="E275" s="21" t="s">
        <v>459</v>
      </c>
      <c r="F275" s="22" t="n">
        <v>5632</v>
      </c>
      <c r="G275" s="22" t="n">
        <f aca="false">F275*VLOOKUP(K275,Kurallar!$A$17:$B$22,2,0)</f>
        <v>3379.2</v>
      </c>
      <c r="H275" s="22" t="n">
        <f aca="false">G275*I275</f>
        <v>6758.4</v>
      </c>
      <c r="I275" s="23" t="n">
        <v>2</v>
      </c>
      <c r="J275" s="20" t="s">
        <v>306</v>
      </c>
      <c r="K275" s="20" t="s">
        <v>33</v>
      </c>
      <c r="L275" s="21"/>
    </row>
    <row r="276" customFormat="false" ht="15" hidden="false" customHeight="false" outlineLevel="0" collapsed="false">
      <c r="A276" s="20" t="n">
        <v>275</v>
      </c>
      <c r="B276" s="21"/>
      <c r="C276" s="20" t="s">
        <v>398</v>
      </c>
      <c r="D276" s="20" t="s">
        <v>269</v>
      </c>
      <c r="E276" s="21" t="s">
        <v>446</v>
      </c>
      <c r="F276" s="22" t="n">
        <v>5104</v>
      </c>
      <c r="G276" s="22" t="n">
        <f aca="false">F276*VLOOKUP(K276,Kurallar!$A$17:$B$22,2,0)</f>
        <v>3062.4</v>
      </c>
      <c r="H276" s="22" t="n">
        <f aca="false">G276*I276</f>
        <v>39811.2</v>
      </c>
      <c r="I276" s="23" t="n">
        <v>13</v>
      </c>
      <c r="J276" s="20" t="s">
        <v>306</v>
      </c>
      <c r="K276" s="20" t="s">
        <v>33</v>
      </c>
      <c r="L276" s="21"/>
    </row>
    <row r="277" customFormat="false" ht="15" hidden="false" customHeight="false" outlineLevel="0" collapsed="false">
      <c r="A277" s="20" t="n">
        <v>276</v>
      </c>
      <c r="B277" s="21"/>
      <c r="C277" s="20" t="s">
        <v>331</v>
      </c>
      <c r="D277" s="20" t="s">
        <v>382</v>
      </c>
      <c r="E277" s="21" t="s">
        <v>383</v>
      </c>
      <c r="F277" s="22" t="n">
        <v>461</v>
      </c>
      <c r="G277" s="22" t="n">
        <f aca="false">F277*VLOOKUP(K277,Kurallar!$A$17:$B$22,2,0)</f>
        <v>461</v>
      </c>
      <c r="H277" s="22" t="n">
        <f aca="false">G277*I277</f>
        <v>1844</v>
      </c>
      <c r="I277" s="23" t="n">
        <v>4</v>
      </c>
      <c r="J277" s="20" t="s">
        <v>306</v>
      </c>
      <c r="K277" s="20" t="s">
        <v>40</v>
      </c>
      <c r="L277" s="21"/>
    </row>
    <row r="278" customFormat="false" ht="15" hidden="false" customHeight="false" outlineLevel="0" collapsed="false">
      <c r="A278" s="20" t="n">
        <v>277</v>
      </c>
      <c r="B278" s="21"/>
      <c r="C278" s="20" t="s">
        <v>338</v>
      </c>
      <c r="D278" s="20" t="s">
        <v>339</v>
      </c>
      <c r="E278" s="21" t="s">
        <v>340</v>
      </c>
      <c r="F278" s="22" t="n">
        <v>869</v>
      </c>
      <c r="G278" s="22" t="n">
        <f aca="false">F278*VLOOKUP(K278,Kurallar!$A$17:$B$22,2,0)</f>
        <v>521.4</v>
      </c>
      <c r="H278" s="22" t="n">
        <f aca="false">G278*I278</f>
        <v>1564.2</v>
      </c>
      <c r="I278" s="23" t="n">
        <v>3</v>
      </c>
      <c r="J278" s="20" t="s">
        <v>306</v>
      </c>
      <c r="K278" s="20" t="s">
        <v>33</v>
      </c>
      <c r="L278" s="21"/>
    </row>
    <row r="279" customFormat="false" ht="15" hidden="false" customHeight="false" outlineLevel="0" collapsed="false">
      <c r="A279" s="20" t="n">
        <v>278</v>
      </c>
      <c r="B279" s="21"/>
      <c r="C279" s="20" t="s">
        <v>338</v>
      </c>
      <c r="D279" s="20" t="s">
        <v>341</v>
      </c>
      <c r="E279" s="21" t="s">
        <v>342</v>
      </c>
      <c r="F279" s="22" t="n">
        <v>1801</v>
      </c>
      <c r="G279" s="22" t="n">
        <f aca="false">F279*VLOOKUP(K279,Kurallar!$A$17:$B$22,2,0)</f>
        <v>1801</v>
      </c>
      <c r="H279" s="22" t="n">
        <f aca="false">G279*I279</f>
        <v>5403</v>
      </c>
      <c r="I279" s="23" t="n">
        <v>3</v>
      </c>
      <c r="J279" s="20" t="s">
        <v>306</v>
      </c>
      <c r="K279" s="20" t="s">
        <v>39</v>
      </c>
      <c r="L279" s="21"/>
    </row>
    <row r="280" customFormat="false" ht="15" hidden="false" customHeight="false" outlineLevel="0" collapsed="false">
      <c r="A280" s="20" t="n">
        <v>279</v>
      </c>
      <c r="B280" s="21"/>
      <c r="C280" s="20" t="s">
        <v>338</v>
      </c>
      <c r="D280" s="20" t="s">
        <v>343</v>
      </c>
      <c r="E280" s="21" t="s">
        <v>344</v>
      </c>
      <c r="F280" s="22" t="n">
        <v>127</v>
      </c>
      <c r="G280" s="22" t="n">
        <f aca="false">F280*VLOOKUP(K280,Kurallar!$A$17:$B$22,2,0)</f>
        <v>127</v>
      </c>
      <c r="H280" s="22" t="n">
        <f aca="false">G280*I280</f>
        <v>5715</v>
      </c>
      <c r="I280" s="23" t="n">
        <v>45</v>
      </c>
      <c r="J280" s="20" t="s">
        <v>345</v>
      </c>
      <c r="K280" s="20" t="s">
        <v>37</v>
      </c>
      <c r="L280" s="21"/>
    </row>
    <row r="281" customFormat="false" ht="15" hidden="false" customHeight="false" outlineLevel="0" collapsed="false">
      <c r="A281" s="20" t="n">
        <v>280</v>
      </c>
      <c r="B281" s="21"/>
      <c r="C281" s="20" t="s">
        <v>338</v>
      </c>
      <c r="D281" s="20" t="s">
        <v>348</v>
      </c>
      <c r="E281" s="21" t="s">
        <v>349</v>
      </c>
      <c r="F281" s="22" t="n">
        <v>918</v>
      </c>
      <c r="G281" s="22" t="n">
        <f aca="false">F281*VLOOKUP(K281,Kurallar!$A$17:$B$22,2,0)</f>
        <v>918</v>
      </c>
      <c r="H281" s="22" t="n">
        <f aca="false">G281*I281</f>
        <v>5508</v>
      </c>
      <c r="I281" s="23" t="n">
        <v>6</v>
      </c>
      <c r="J281" s="20" t="s">
        <v>345</v>
      </c>
      <c r="K281" s="20" t="s">
        <v>37</v>
      </c>
      <c r="L281" s="21"/>
    </row>
    <row r="282" customFormat="false" ht="15" hidden="false" customHeight="false" outlineLevel="0" collapsed="false">
      <c r="A282" s="20" t="n">
        <v>281</v>
      </c>
      <c r="B282" s="21"/>
      <c r="C282" s="20" t="s">
        <v>352</v>
      </c>
      <c r="D282" s="20" t="s">
        <v>14</v>
      </c>
      <c r="E282" s="21" t="s">
        <v>353</v>
      </c>
      <c r="F282" s="22"/>
      <c r="G282" s="22" t="n">
        <f aca="false">SUM(H271:H281)*Kurallar!$B$9</f>
        <v>2714.088</v>
      </c>
      <c r="H282" s="22" t="n">
        <f aca="false">G282*I282</f>
        <v>2714.088</v>
      </c>
      <c r="I282" s="23" t="n">
        <v>1</v>
      </c>
      <c r="J282" s="20" t="s">
        <v>302</v>
      </c>
      <c r="K282" s="20" t="s">
        <v>14</v>
      </c>
      <c r="L282" s="21" t="s">
        <v>354</v>
      </c>
    </row>
    <row r="283" customFormat="false" ht="15" hidden="false" customHeight="false" outlineLevel="0" collapsed="false">
      <c r="A283" s="20" t="n">
        <v>282</v>
      </c>
      <c r="B283" s="21"/>
      <c r="C283" s="20" t="s">
        <v>355</v>
      </c>
      <c r="D283" s="20" t="s">
        <v>14</v>
      </c>
      <c r="E283" s="21" t="s">
        <v>356</v>
      </c>
      <c r="F283" s="24" t="n">
        <f aca="false">I283/60</f>
        <v>8.21666666666667</v>
      </c>
      <c r="G283" s="22" t="n">
        <f aca="false">Kurallar!$B$10</f>
        <v>100</v>
      </c>
      <c r="H283" s="22" t="n">
        <f aca="false">G283*I283</f>
        <v>49300</v>
      </c>
      <c r="I283" s="23" t="n">
        <f aca="false">ROUND((Kurallar!$C$29*15+Kurallar!$C$30*2+Kurallar!$C$42*3+Kurallar!$C$43*6+Kurallar!$C$45*1+Kurallar!$C$32*1+Kurallar!$C$40*4)*Kurallar!$B$11,0)</f>
        <v>493</v>
      </c>
      <c r="J283" s="20" t="s">
        <v>357</v>
      </c>
      <c r="K283" s="20" t="s">
        <v>14</v>
      </c>
      <c r="L283" s="21" t="s">
        <v>358</v>
      </c>
    </row>
    <row r="284" customFormat="false" ht="15" hidden="false" customHeight="false" outlineLevel="0" collapsed="false">
      <c r="A284" s="25"/>
      <c r="B284" s="26" t="s">
        <v>460</v>
      </c>
      <c r="C284" s="25"/>
      <c r="D284" s="25"/>
      <c r="E284" s="26"/>
      <c r="F284" s="27"/>
      <c r="G284" s="27"/>
      <c r="H284" s="27" t="n">
        <f aca="false">SUBTOTAL(9,H271:H283)</f>
        <v>142483.688</v>
      </c>
      <c r="I284" s="28"/>
      <c r="J284" s="25"/>
      <c r="K284" s="25"/>
      <c r="L284" s="26" t="s">
        <v>360</v>
      </c>
    </row>
    <row r="285" customFormat="false" ht="15" hidden="false" customHeight="false" outlineLevel="0" collapsed="false">
      <c r="A285" s="15" t="n">
        <v>284</v>
      </c>
      <c r="B285" s="16" t="str">
        <f aca="false">E285</f>
        <v>2.1-ЩР-3 — щит силовой</v>
      </c>
      <c r="C285" s="15" t="s">
        <v>300</v>
      </c>
      <c r="D285" s="15"/>
      <c r="E285" s="17" t="s">
        <v>461</v>
      </c>
      <c r="F285" s="18"/>
      <c r="G285" s="18"/>
      <c r="H285" s="18"/>
      <c r="I285" s="19" t="n">
        <v>1</v>
      </c>
      <c r="J285" s="15" t="s">
        <v>302</v>
      </c>
      <c r="K285" s="15"/>
      <c r="L285" s="17"/>
    </row>
    <row r="286" customFormat="false" ht="15" hidden="false" customHeight="false" outlineLevel="0" collapsed="false">
      <c r="A286" s="20" t="n">
        <v>285</v>
      </c>
      <c r="B286" s="21"/>
      <c r="C286" s="20" t="s">
        <v>303</v>
      </c>
      <c r="D286" s="20" t="s">
        <v>416</v>
      </c>
      <c r="E286" s="21" t="s">
        <v>417</v>
      </c>
      <c r="F286" s="22" t="n">
        <v>11520</v>
      </c>
      <c r="G286" s="22" t="n">
        <f aca="false">F286*VLOOKUP(K286,Kurallar!$A$17:$B$22,2,0)</f>
        <v>11520</v>
      </c>
      <c r="H286" s="22" t="n">
        <f aca="false">G286*I286</f>
        <v>11520</v>
      </c>
      <c r="I286" s="23" t="n">
        <v>1</v>
      </c>
      <c r="J286" s="20" t="s">
        <v>306</v>
      </c>
      <c r="K286" s="20" t="s">
        <v>37</v>
      </c>
      <c r="L286" s="21"/>
    </row>
    <row r="287" customFormat="false" ht="15" hidden="false" customHeight="false" outlineLevel="0" collapsed="false">
      <c r="A287" s="20" t="n">
        <v>286</v>
      </c>
      <c r="B287" s="21"/>
      <c r="C287" s="20" t="s">
        <v>309</v>
      </c>
      <c r="D287" s="20" t="s">
        <v>408</v>
      </c>
      <c r="E287" s="21" t="s">
        <v>409</v>
      </c>
      <c r="F287" s="22" t="n">
        <v>4217</v>
      </c>
      <c r="G287" s="22" t="n">
        <f aca="false">F287*VLOOKUP(K287,Kurallar!$A$17:$B$22,2,0)</f>
        <v>2530.2</v>
      </c>
      <c r="H287" s="22" t="n">
        <f aca="false">G287*I287</f>
        <v>2530.2</v>
      </c>
      <c r="I287" s="23" t="n">
        <v>1</v>
      </c>
      <c r="J287" s="20" t="s">
        <v>306</v>
      </c>
      <c r="K287" s="20" t="s">
        <v>33</v>
      </c>
      <c r="L287" s="21"/>
    </row>
    <row r="288" customFormat="false" ht="15" hidden="false" customHeight="false" outlineLevel="0" collapsed="false">
      <c r="A288" s="20" t="n">
        <v>287</v>
      </c>
      <c r="B288" s="21"/>
      <c r="C288" s="20" t="s">
        <v>398</v>
      </c>
      <c r="D288" s="20" t="s">
        <v>254</v>
      </c>
      <c r="E288" s="21" t="s">
        <v>430</v>
      </c>
      <c r="F288" s="22" t="n">
        <v>8934</v>
      </c>
      <c r="G288" s="22" t="n">
        <f aca="false">F288*VLOOKUP(K288,Kurallar!$A$17:$B$22,2,0)</f>
        <v>5360.4</v>
      </c>
      <c r="H288" s="22" t="n">
        <f aca="false">G288*I288</f>
        <v>5360.4</v>
      </c>
      <c r="I288" s="23" t="n">
        <v>1</v>
      </c>
      <c r="J288" s="20" t="s">
        <v>306</v>
      </c>
      <c r="K288" s="20" t="s">
        <v>33</v>
      </c>
      <c r="L288" s="21"/>
    </row>
    <row r="289" customFormat="false" ht="15" hidden="false" customHeight="false" outlineLevel="0" collapsed="false">
      <c r="A289" s="20" t="n">
        <v>288</v>
      </c>
      <c r="B289" s="21"/>
      <c r="C289" s="20" t="s">
        <v>398</v>
      </c>
      <c r="D289" s="20" t="s">
        <v>248</v>
      </c>
      <c r="E289" s="21" t="s">
        <v>435</v>
      </c>
      <c r="F289" s="22" t="n">
        <v>8352</v>
      </c>
      <c r="G289" s="22" t="n">
        <f aca="false">F289*VLOOKUP(K289,Kurallar!$A$17:$B$22,2,0)</f>
        <v>5011.2</v>
      </c>
      <c r="H289" s="22" t="n">
        <f aca="false">G289*I289</f>
        <v>5011.2</v>
      </c>
      <c r="I289" s="23" t="n">
        <v>1</v>
      </c>
      <c r="J289" s="20" t="s">
        <v>306</v>
      </c>
      <c r="K289" s="20" t="s">
        <v>33</v>
      </c>
      <c r="L289" s="21"/>
    </row>
    <row r="290" customFormat="false" ht="15" hidden="false" customHeight="false" outlineLevel="0" collapsed="false">
      <c r="A290" s="20" t="n">
        <v>289</v>
      </c>
      <c r="B290" s="21"/>
      <c r="C290" s="20" t="s">
        <v>398</v>
      </c>
      <c r="D290" s="20" t="s">
        <v>258</v>
      </c>
      <c r="E290" s="21" t="s">
        <v>457</v>
      </c>
      <c r="F290" s="22" t="n">
        <v>8262</v>
      </c>
      <c r="G290" s="22" t="n">
        <f aca="false">F290*VLOOKUP(K290,Kurallar!$A$17:$B$22,2,0)</f>
        <v>4957.2</v>
      </c>
      <c r="H290" s="22" t="n">
        <f aca="false">G290*I290</f>
        <v>4957.2</v>
      </c>
      <c r="I290" s="23" t="n">
        <v>1</v>
      </c>
      <c r="J290" s="20" t="s">
        <v>306</v>
      </c>
      <c r="K290" s="20" t="s">
        <v>33</v>
      </c>
      <c r="L290" s="21"/>
    </row>
    <row r="291" customFormat="false" ht="15" hidden="false" customHeight="false" outlineLevel="0" collapsed="false">
      <c r="A291" s="20" t="n">
        <v>290</v>
      </c>
      <c r="B291" s="21"/>
      <c r="C291" s="20" t="s">
        <v>398</v>
      </c>
      <c r="D291" s="20" t="s">
        <v>458</v>
      </c>
      <c r="E291" s="21" t="s">
        <v>459</v>
      </c>
      <c r="F291" s="22" t="n">
        <v>5632</v>
      </c>
      <c r="G291" s="22" t="n">
        <f aca="false">F291*VLOOKUP(K291,Kurallar!$A$17:$B$22,2,0)</f>
        <v>3379.2</v>
      </c>
      <c r="H291" s="22" t="n">
        <f aca="false">G291*I291</f>
        <v>3379.2</v>
      </c>
      <c r="I291" s="23" t="n">
        <v>1</v>
      </c>
      <c r="J291" s="20" t="s">
        <v>306</v>
      </c>
      <c r="K291" s="20" t="s">
        <v>33</v>
      </c>
      <c r="L291" s="21"/>
    </row>
    <row r="292" customFormat="false" ht="15" hidden="false" customHeight="false" outlineLevel="0" collapsed="false">
      <c r="A292" s="20" t="n">
        <v>291</v>
      </c>
      <c r="B292" s="21"/>
      <c r="C292" s="20" t="s">
        <v>398</v>
      </c>
      <c r="D292" s="20" t="s">
        <v>269</v>
      </c>
      <c r="E292" s="21" t="s">
        <v>446</v>
      </c>
      <c r="F292" s="22" t="n">
        <v>5104</v>
      </c>
      <c r="G292" s="22" t="n">
        <f aca="false">F292*VLOOKUP(K292,Kurallar!$A$17:$B$22,2,0)</f>
        <v>3062.4</v>
      </c>
      <c r="H292" s="22" t="n">
        <f aca="false">G292*I292</f>
        <v>24499.2</v>
      </c>
      <c r="I292" s="23" t="n">
        <v>8</v>
      </c>
      <c r="J292" s="20" t="s">
        <v>306</v>
      </c>
      <c r="K292" s="20" t="s">
        <v>33</v>
      </c>
      <c r="L292" s="21"/>
    </row>
    <row r="293" customFormat="false" ht="15" hidden="false" customHeight="false" outlineLevel="0" collapsed="false">
      <c r="A293" s="20" t="n">
        <v>292</v>
      </c>
      <c r="B293" s="21"/>
      <c r="C293" s="20" t="s">
        <v>331</v>
      </c>
      <c r="D293" s="20" t="s">
        <v>382</v>
      </c>
      <c r="E293" s="21" t="s">
        <v>383</v>
      </c>
      <c r="F293" s="22" t="n">
        <v>461</v>
      </c>
      <c r="G293" s="22" t="n">
        <f aca="false">F293*VLOOKUP(K293,Kurallar!$A$17:$B$22,2,0)</f>
        <v>461</v>
      </c>
      <c r="H293" s="22" t="n">
        <f aca="false">G293*I293</f>
        <v>1844</v>
      </c>
      <c r="I293" s="23" t="n">
        <v>4</v>
      </c>
      <c r="J293" s="20" t="s">
        <v>306</v>
      </c>
      <c r="K293" s="20" t="s">
        <v>40</v>
      </c>
      <c r="L293" s="21"/>
    </row>
    <row r="294" customFormat="false" ht="15" hidden="false" customHeight="false" outlineLevel="0" collapsed="false">
      <c r="A294" s="20" t="n">
        <v>293</v>
      </c>
      <c r="B294" s="21"/>
      <c r="C294" s="20" t="s">
        <v>338</v>
      </c>
      <c r="D294" s="20" t="s">
        <v>339</v>
      </c>
      <c r="E294" s="21" t="s">
        <v>340</v>
      </c>
      <c r="F294" s="22" t="n">
        <v>869</v>
      </c>
      <c r="G294" s="22" t="n">
        <f aca="false">F294*VLOOKUP(K294,Kurallar!$A$17:$B$22,2,0)</f>
        <v>521.4</v>
      </c>
      <c r="H294" s="22" t="n">
        <f aca="false">G294*I294</f>
        <v>1564.2</v>
      </c>
      <c r="I294" s="23" t="n">
        <v>3</v>
      </c>
      <c r="J294" s="20" t="s">
        <v>306</v>
      </c>
      <c r="K294" s="20" t="s">
        <v>33</v>
      </c>
      <c r="L294" s="21"/>
    </row>
    <row r="295" customFormat="false" ht="15" hidden="false" customHeight="false" outlineLevel="0" collapsed="false">
      <c r="A295" s="20" t="n">
        <v>294</v>
      </c>
      <c r="B295" s="21"/>
      <c r="C295" s="20" t="s">
        <v>338</v>
      </c>
      <c r="D295" s="20" t="s">
        <v>341</v>
      </c>
      <c r="E295" s="21" t="s">
        <v>342</v>
      </c>
      <c r="F295" s="22" t="n">
        <v>1801</v>
      </c>
      <c r="G295" s="22" t="n">
        <f aca="false">F295*VLOOKUP(K295,Kurallar!$A$17:$B$22,2,0)</f>
        <v>1801</v>
      </c>
      <c r="H295" s="22" t="n">
        <f aca="false">G295*I295</f>
        <v>5403</v>
      </c>
      <c r="I295" s="23" t="n">
        <v>3</v>
      </c>
      <c r="J295" s="20" t="s">
        <v>306</v>
      </c>
      <c r="K295" s="20" t="s">
        <v>39</v>
      </c>
      <c r="L295" s="21"/>
    </row>
    <row r="296" customFormat="false" ht="15" hidden="false" customHeight="false" outlineLevel="0" collapsed="false">
      <c r="A296" s="20" t="n">
        <v>295</v>
      </c>
      <c r="B296" s="21"/>
      <c r="C296" s="20" t="s">
        <v>338</v>
      </c>
      <c r="D296" s="20" t="s">
        <v>343</v>
      </c>
      <c r="E296" s="21" t="s">
        <v>344</v>
      </c>
      <c r="F296" s="22" t="n">
        <v>127</v>
      </c>
      <c r="G296" s="22" t="n">
        <f aca="false">F296*VLOOKUP(K296,Kurallar!$A$17:$B$22,2,0)</f>
        <v>127</v>
      </c>
      <c r="H296" s="22" t="n">
        <f aca="false">G296*I296</f>
        <v>5080</v>
      </c>
      <c r="I296" s="23" t="n">
        <v>40</v>
      </c>
      <c r="J296" s="20" t="s">
        <v>345</v>
      </c>
      <c r="K296" s="20" t="s">
        <v>37</v>
      </c>
      <c r="L296" s="21"/>
    </row>
    <row r="297" customFormat="false" ht="15" hidden="false" customHeight="false" outlineLevel="0" collapsed="false">
      <c r="A297" s="20" t="n">
        <v>296</v>
      </c>
      <c r="B297" s="21"/>
      <c r="C297" s="20" t="s">
        <v>338</v>
      </c>
      <c r="D297" s="20" t="s">
        <v>348</v>
      </c>
      <c r="E297" s="21" t="s">
        <v>349</v>
      </c>
      <c r="F297" s="22" t="n">
        <v>918</v>
      </c>
      <c r="G297" s="22" t="n">
        <f aca="false">F297*VLOOKUP(K297,Kurallar!$A$17:$B$22,2,0)</f>
        <v>918</v>
      </c>
      <c r="H297" s="22" t="n">
        <f aca="false">G297*I297</f>
        <v>5508</v>
      </c>
      <c r="I297" s="23" t="n">
        <v>6</v>
      </c>
      <c r="J297" s="20" t="s">
        <v>345</v>
      </c>
      <c r="K297" s="20" t="s">
        <v>37</v>
      </c>
      <c r="L297" s="21"/>
    </row>
    <row r="298" customFormat="false" ht="15" hidden="false" customHeight="false" outlineLevel="0" collapsed="false">
      <c r="A298" s="20" t="n">
        <v>297</v>
      </c>
      <c r="B298" s="21"/>
      <c r="C298" s="20" t="s">
        <v>352</v>
      </c>
      <c r="D298" s="20" t="s">
        <v>14</v>
      </c>
      <c r="E298" s="21" t="s">
        <v>353</v>
      </c>
      <c r="F298" s="22"/>
      <c r="G298" s="22" t="n">
        <f aca="false">SUM(H286:H297)*Kurallar!$B$9</f>
        <v>2299.698</v>
      </c>
      <c r="H298" s="22" t="n">
        <f aca="false">G298*I298</f>
        <v>2299.698</v>
      </c>
      <c r="I298" s="23" t="n">
        <v>1</v>
      </c>
      <c r="J298" s="20" t="s">
        <v>302</v>
      </c>
      <c r="K298" s="20" t="s">
        <v>14</v>
      </c>
      <c r="L298" s="21" t="s">
        <v>354</v>
      </c>
    </row>
    <row r="299" customFormat="false" ht="15" hidden="false" customHeight="false" outlineLevel="0" collapsed="false">
      <c r="A299" s="20" t="n">
        <v>298</v>
      </c>
      <c r="B299" s="21"/>
      <c r="C299" s="20" t="s">
        <v>355</v>
      </c>
      <c r="D299" s="20" t="s">
        <v>14</v>
      </c>
      <c r="E299" s="21" t="s">
        <v>356</v>
      </c>
      <c r="F299" s="24" t="n">
        <f aca="false">I299/60</f>
        <v>7.03333333333333</v>
      </c>
      <c r="G299" s="22" t="n">
        <f aca="false">Kurallar!$B$10</f>
        <v>100</v>
      </c>
      <c r="H299" s="22" t="n">
        <f aca="false">G299*I299</f>
        <v>42200</v>
      </c>
      <c r="I299" s="23" t="n">
        <f aca="false">ROUND((Kurallar!$C$29*9+Kurallar!$C$30*3+Kurallar!$C$42*3+Kurallar!$C$43*6+Kurallar!$C$45*1+Kurallar!$C$32*1+Kurallar!$C$40*4)*Kurallar!$B$11,0)</f>
        <v>422</v>
      </c>
      <c r="J299" s="20" t="s">
        <v>357</v>
      </c>
      <c r="K299" s="20" t="s">
        <v>14</v>
      </c>
      <c r="L299" s="21" t="s">
        <v>358</v>
      </c>
    </row>
    <row r="300" customFormat="false" ht="15" hidden="false" customHeight="false" outlineLevel="0" collapsed="false">
      <c r="A300" s="25"/>
      <c r="B300" s="26" t="s">
        <v>462</v>
      </c>
      <c r="C300" s="25"/>
      <c r="D300" s="25"/>
      <c r="E300" s="26"/>
      <c r="F300" s="27"/>
      <c r="G300" s="27"/>
      <c r="H300" s="27" t="n">
        <f aca="false">SUBTOTAL(9,H286:H299)</f>
        <v>121156.298</v>
      </c>
      <c r="I300" s="28"/>
      <c r="J300" s="25"/>
      <c r="K300" s="25"/>
      <c r="L300" s="26" t="s">
        <v>360</v>
      </c>
    </row>
    <row r="301" customFormat="false" ht="15" hidden="false" customHeight="false" outlineLevel="0" collapsed="false">
      <c r="A301" s="15" t="n">
        <v>300</v>
      </c>
      <c r="B301" s="16" t="str">
        <f aca="false">E301</f>
        <v>2.1-ЩР-4(хол) — щит силовой</v>
      </c>
      <c r="C301" s="15" t="s">
        <v>300</v>
      </c>
      <c r="D301" s="15"/>
      <c r="E301" s="17" t="s">
        <v>463</v>
      </c>
      <c r="F301" s="18"/>
      <c r="G301" s="18"/>
      <c r="H301" s="18"/>
      <c r="I301" s="19" t="n">
        <v>1</v>
      </c>
      <c r="J301" s="15" t="s">
        <v>302</v>
      </c>
      <c r="K301" s="15"/>
      <c r="L301" s="17"/>
    </row>
    <row r="302" customFormat="false" ht="15" hidden="false" customHeight="false" outlineLevel="0" collapsed="false">
      <c r="A302" s="20" t="n">
        <v>301</v>
      </c>
      <c r="B302" s="21"/>
      <c r="C302" s="20" t="s">
        <v>303</v>
      </c>
      <c r="D302" s="20" t="s">
        <v>416</v>
      </c>
      <c r="E302" s="21" t="s">
        <v>417</v>
      </c>
      <c r="F302" s="22" t="n">
        <v>11520</v>
      </c>
      <c r="G302" s="22" t="n">
        <f aca="false">F302*VLOOKUP(K302,Kurallar!$A$17:$B$22,2,0)</f>
        <v>11520</v>
      </c>
      <c r="H302" s="22" t="n">
        <f aca="false">G302*I302</f>
        <v>11520</v>
      </c>
      <c r="I302" s="23" t="n">
        <v>1</v>
      </c>
      <c r="J302" s="20" t="s">
        <v>306</v>
      </c>
      <c r="K302" s="20" t="s">
        <v>37</v>
      </c>
      <c r="L302" s="21"/>
    </row>
    <row r="303" customFormat="false" ht="15" hidden="false" customHeight="false" outlineLevel="0" collapsed="false">
      <c r="A303" s="20" t="n">
        <v>302</v>
      </c>
      <c r="B303" s="21"/>
      <c r="C303" s="20" t="s">
        <v>309</v>
      </c>
      <c r="D303" s="20" t="s">
        <v>408</v>
      </c>
      <c r="E303" s="21" t="s">
        <v>409</v>
      </c>
      <c r="F303" s="22" t="n">
        <v>4217</v>
      </c>
      <c r="G303" s="22" t="n">
        <f aca="false">F303*VLOOKUP(K303,Kurallar!$A$17:$B$22,2,0)</f>
        <v>2530.2</v>
      </c>
      <c r="H303" s="22" t="n">
        <f aca="false">G303*I303</f>
        <v>2530.2</v>
      </c>
      <c r="I303" s="23" t="n">
        <v>1</v>
      </c>
      <c r="J303" s="20" t="s">
        <v>306</v>
      </c>
      <c r="K303" s="20" t="s">
        <v>33</v>
      </c>
      <c r="L303" s="21"/>
    </row>
    <row r="304" customFormat="false" ht="15" hidden="false" customHeight="false" outlineLevel="0" collapsed="false">
      <c r="A304" s="20" t="n">
        <v>303</v>
      </c>
      <c r="B304" s="21"/>
      <c r="C304" s="20" t="s">
        <v>398</v>
      </c>
      <c r="D304" s="20" t="s">
        <v>464</v>
      </c>
      <c r="E304" s="21" t="s">
        <v>465</v>
      </c>
      <c r="F304" s="22" t="n">
        <v>5552</v>
      </c>
      <c r="G304" s="22" t="n">
        <f aca="false">F304*VLOOKUP(K304,Kurallar!$A$17:$B$22,2,0)</f>
        <v>3331.2</v>
      </c>
      <c r="H304" s="22" t="n">
        <f aca="false">G304*I304</f>
        <v>3331.2</v>
      </c>
      <c r="I304" s="23" t="n">
        <v>1</v>
      </c>
      <c r="J304" s="20" t="s">
        <v>306</v>
      </c>
      <c r="K304" s="20" t="s">
        <v>33</v>
      </c>
      <c r="L304" s="21"/>
    </row>
    <row r="305" customFormat="false" ht="15" hidden="false" customHeight="false" outlineLevel="0" collapsed="false">
      <c r="A305" s="20" t="n">
        <v>304</v>
      </c>
      <c r="B305" s="21"/>
      <c r="C305" s="20" t="s">
        <v>398</v>
      </c>
      <c r="D305" s="20" t="s">
        <v>258</v>
      </c>
      <c r="E305" s="21" t="s">
        <v>457</v>
      </c>
      <c r="F305" s="22" t="n">
        <v>8262</v>
      </c>
      <c r="G305" s="22" t="n">
        <f aca="false">F305*VLOOKUP(K305,Kurallar!$A$17:$B$22,2,0)</f>
        <v>4957.2</v>
      </c>
      <c r="H305" s="22" t="n">
        <f aca="false">G305*I305</f>
        <v>9914.4</v>
      </c>
      <c r="I305" s="23" t="n">
        <v>2</v>
      </c>
      <c r="J305" s="20" t="s">
        <v>306</v>
      </c>
      <c r="K305" s="20" t="s">
        <v>33</v>
      </c>
      <c r="L305" s="21"/>
    </row>
    <row r="306" customFormat="false" ht="15" hidden="false" customHeight="false" outlineLevel="0" collapsed="false">
      <c r="A306" s="20" t="n">
        <v>305</v>
      </c>
      <c r="B306" s="21"/>
      <c r="C306" s="20" t="s">
        <v>398</v>
      </c>
      <c r="D306" s="20" t="s">
        <v>269</v>
      </c>
      <c r="E306" s="21" t="s">
        <v>446</v>
      </c>
      <c r="F306" s="22" t="n">
        <v>5104</v>
      </c>
      <c r="G306" s="22" t="n">
        <f aca="false">F306*VLOOKUP(K306,Kurallar!$A$17:$B$22,2,0)</f>
        <v>3062.4</v>
      </c>
      <c r="H306" s="22" t="n">
        <f aca="false">G306*I306</f>
        <v>15312</v>
      </c>
      <c r="I306" s="23" t="n">
        <v>5</v>
      </c>
      <c r="J306" s="20" t="s">
        <v>306</v>
      </c>
      <c r="K306" s="20" t="s">
        <v>33</v>
      </c>
      <c r="L306" s="21"/>
    </row>
    <row r="307" customFormat="false" ht="15" hidden="false" customHeight="false" outlineLevel="0" collapsed="false">
      <c r="A307" s="20" t="n">
        <v>306</v>
      </c>
      <c r="B307" s="21"/>
      <c r="C307" s="20" t="s">
        <v>331</v>
      </c>
      <c r="D307" s="20" t="s">
        <v>382</v>
      </c>
      <c r="E307" s="21" t="s">
        <v>383</v>
      </c>
      <c r="F307" s="22" t="n">
        <v>461</v>
      </c>
      <c r="G307" s="22" t="n">
        <f aca="false">F307*VLOOKUP(K307,Kurallar!$A$17:$B$22,2,0)</f>
        <v>461</v>
      </c>
      <c r="H307" s="22" t="n">
        <f aca="false">G307*I307</f>
        <v>922</v>
      </c>
      <c r="I307" s="23" t="n">
        <v>2</v>
      </c>
      <c r="J307" s="20" t="s">
        <v>306</v>
      </c>
      <c r="K307" s="20" t="s">
        <v>40</v>
      </c>
      <c r="L307" s="21"/>
    </row>
    <row r="308" customFormat="false" ht="15" hidden="false" customHeight="false" outlineLevel="0" collapsed="false">
      <c r="A308" s="20" t="n">
        <v>307</v>
      </c>
      <c r="B308" s="21"/>
      <c r="C308" s="20" t="s">
        <v>338</v>
      </c>
      <c r="D308" s="20" t="s">
        <v>339</v>
      </c>
      <c r="E308" s="21" t="s">
        <v>340</v>
      </c>
      <c r="F308" s="22" t="n">
        <v>869</v>
      </c>
      <c r="G308" s="22" t="n">
        <f aca="false">F308*VLOOKUP(K308,Kurallar!$A$17:$B$22,2,0)</f>
        <v>521.4</v>
      </c>
      <c r="H308" s="22" t="n">
        <f aca="false">G308*I308</f>
        <v>1042.8</v>
      </c>
      <c r="I308" s="23" t="n">
        <v>2</v>
      </c>
      <c r="J308" s="20" t="s">
        <v>306</v>
      </c>
      <c r="K308" s="20" t="s">
        <v>33</v>
      </c>
      <c r="L308" s="21"/>
    </row>
    <row r="309" customFormat="false" ht="15" hidden="false" customHeight="false" outlineLevel="0" collapsed="false">
      <c r="A309" s="20" t="n">
        <v>308</v>
      </c>
      <c r="B309" s="21"/>
      <c r="C309" s="20" t="s">
        <v>338</v>
      </c>
      <c r="D309" s="20" t="s">
        <v>341</v>
      </c>
      <c r="E309" s="21" t="s">
        <v>342</v>
      </c>
      <c r="F309" s="22" t="n">
        <v>1801</v>
      </c>
      <c r="G309" s="22" t="n">
        <f aca="false">F309*VLOOKUP(K309,Kurallar!$A$17:$B$22,2,0)</f>
        <v>1801</v>
      </c>
      <c r="H309" s="22" t="n">
        <f aca="false">G309*I309</f>
        <v>3602</v>
      </c>
      <c r="I309" s="23" t="n">
        <v>2</v>
      </c>
      <c r="J309" s="20" t="s">
        <v>306</v>
      </c>
      <c r="K309" s="20" t="s">
        <v>39</v>
      </c>
      <c r="L309" s="21"/>
    </row>
    <row r="310" customFormat="false" ht="15" hidden="false" customHeight="false" outlineLevel="0" collapsed="false">
      <c r="A310" s="20" t="n">
        <v>309</v>
      </c>
      <c r="B310" s="21"/>
      <c r="C310" s="20" t="s">
        <v>338</v>
      </c>
      <c r="D310" s="20" t="s">
        <v>343</v>
      </c>
      <c r="E310" s="21" t="s">
        <v>344</v>
      </c>
      <c r="F310" s="22" t="n">
        <v>127</v>
      </c>
      <c r="G310" s="22" t="n">
        <f aca="false">F310*VLOOKUP(K310,Kurallar!$A$17:$B$22,2,0)</f>
        <v>127</v>
      </c>
      <c r="H310" s="22" t="n">
        <f aca="false">G310*I310</f>
        <v>3810</v>
      </c>
      <c r="I310" s="23" t="n">
        <v>30</v>
      </c>
      <c r="J310" s="20" t="s">
        <v>345</v>
      </c>
      <c r="K310" s="20" t="s">
        <v>37</v>
      </c>
      <c r="L310" s="21"/>
    </row>
    <row r="311" customFormat="false" ht="15" hidden="false" customHeight="false" outlineLevel="0" collapsed="false">
      <c r="A311" s="20" t="n">
        <v>310</v>
      </c>
      <c r="B311" s="21"/>
      <c r="C311" s="20" t="s">
        <v>338</v>
      </c>
      <c r="D311" s="20" t="s">
        <v>348</v>
      </c>
      <c r="E311" s="21" t="s">
        <v>349</v>
      </c>
      <c r="F311" s="22" t="n">
        <v>918</v>
      </c>
      <c r="G311" s="22" t="n">
        <f aca="false">F311*VLOOKUP(K311,Kurallar!$A$17:$B$22,2,0)</f>
        <v>918</v>
      </c>
      <c r="H311" s="22" t="n">
        <f aca="false">G311*I311</f>
        <v>5508</v>
      </c>
      <c r="I311" s="23" t="n">
        <v>6</v>
      </c>
      <c r="J311" s="20" t="s">
        <v>345</v>
      </c>
      <c r="K311" s="20" t="s">
        <v>37</v>
      </c>
      <c r="L311" s="21"/>
    </row>
    <row r="312" customFormat="false" ht="15" hidden="false" customHeight="false" outlineLevel="0" collapsed="false">
      <c r="A312" s="20" t="n">
        <v>311</v>
      </c>
      <c r="B312" s="21"/>
      <c r="C312" s="20" t="s">
        <v>352</v>
      </c>
      <c r="D312" s="20" t="s">
        <v>14</v>
      </c>
      <c r="E312" s="21" t="s">
        <v>353</v>
      </c>
      <c r="F312" s="22"/>
      <c r="G312" s="22" t="n">
        <f aca="false">SUM(H302:H311)*Kurallar!$B$9</f>
        <v>1724.778</v>
      </c>
      <c r="H312" s="22" t="n">
        <f aca="false">G312*I312</f>
        <v>1724.778</v>
      </c>
      <c r="I312" s="23" t="n">
        <v>1</v>
      </c>
      <c r="J312" s="20" t="s">
        <v>302</v>
      </c>
      <c r="K312" s="20" t="s">
        <v>14</v>
      </c>
      <c r="L312" s="21" t="s">
        <v>354</v>
      </c>
    </row>
    <row r="313" customFormat="false" ht="15" hidden="false" customHeight="false" outlineLevel="0" collapsed="false">
      <c r="A313" s="20" t="n">
        <v>312</v>
      </c>
      <c r="B313" s="21"/>
      <c r="C313" s="20" t="s">
        <v>355</v>
      </c>
      <c r="D313" s="20" t="s">
        <v>14</v>
      </c>
      <c r="E313" s="21" t="s">
        <v>356</v>
      </c>
      <c r="F313" s="24" t="n">
        <f aca="false">I313/60</f>
        <v>5.13333333333333</v>
      </c>
      <c r="G313" s="22" t="n">
        <f aca="false">Kurallar!$B$10</f>
        <v>100</v>
      </c>
      <c r="H313" s="22" t="n">
        <f aca="false">G313*I313</f>
        <v>30800</v>
      </c>
      <c r="I313" s="23" t="n">
        <f aca="false">ROUND((Kurallar!$C$29*6+Kurallar!$C$30*2+Kurallar!$C$42*2+Kurallar!$C$43*4+Kurallar!$C$45*1+Kurallar!$C$32*1+Kurallar!$C$40*2)*Kurallar!$B$11,0)</f>
        <v>308</v>
      </c>
      <c r="J313" s="20" t="s">
        <v>357</v>
      </c>
      <c r="K313" s="20" t="s">
        <v>14</v>
      </c>
      <c r="L313" s="21" t="s">
        <v>358</v>
      </c>
    </row>
    <row r="314" customFormat="false" ht="23.85" hidden="false" customHeight="false" outlineLevel="0" collapsed="false">
      <c r="A314" s="25"/>
      <c r="B314" s="26" t="s">
        <v>466</v>
      </c>
      <c r="C314" s="25"/>
      <c r="D314" s="25"/>
      <c r="E314" s="26"/>
      <c r="F314" s="27"/>
      <c r="G314" s="27"/>
      <c r="H314" s="27" t="n">
        <f aca="false">SUBTOTAL(9,H302:H313)</f>
        <v>90017.378</v>
      </c>
      <c r="I314" s="28"/>
      <c r="J314" s="25"/>
      <c r="K314" s="25"/>
      <c r="L314" s="26" t="s">
        <v>360</v>
      </c>
    </row>
    <row r="315" customFormat="false" ht="15" hidden="false" customHeight="false" outlineLevel="0" collapsed="false">
      <c r="A315" s="15" t="n">
        <v>314</v>
      </c>
      <c r="B315" s="16" t="str">
        <f aca="false">E315</f>
        <v>2.1-ЩР-5 — щит силовой</v>
      </c>
      <c r="C315" s="15" t="s">
        <v>300</v>
      </c>
      <c r="D315" s="15"/>
      <c r="E315" s="17" t="s">
        <v>467</v>
      </c>
      <c r="F315" s="18"/>
      <c r="G315" s="18"/>
      <c r="H315" s="18"/>
      <c r="I315" s="19" t="n">
        <v>1</v>
      </c>
      <c r="J315" s="15" t="s">
        <v>302</v>
      </c>
      <c r="K315" s="15"/>
      <c r="L315" s="17"/>
    </row>
    <row r="316" customFormat="false" ht="15" hidden="false" customHeight="false" outlineLevel="0" collapsed="false">
      <c r="A316" s="20" t="n">
        <v>315</v>
      </c>
      <c r="B316" s="21"/>
      <c r="C316" s="20" t="s">
        <v>303</v>
      </c>
      <c r="D316" s="20" t="s">
        <v>468</v>
      </c>
      <c r="E316" s="21" t="s">
        <v>469</v>
      </c>
      <c r="F316" s="22" t="n">
        <v>7040</v>
      </c>
      <c r="G316" s="22" t="n">
        <f aca="false">F316*VLOOKUP(K316,Kurallar!$A$17:$B$22,2,0)</f>
        <v>7040</v>
      </c>
      <c r="H316" s="22" t="n">
        <f aca="false">G316*I316</f>
        <v>7040</v>
      </c>
      <c r="I316" s="23" t="n">
        <v>1</v>
      </c>
      <c r="J316" s="20" t="s">
        <v>306</v>
      </c>
      <c r="K316" s="20" t="s">
        <v>39</v>
      </c>
      <c r="L316" s="21"/>
    </row>
    <row r="317" customFormat="false" ht="15" hidden="false" customHeight="false" outlineLevel="0" collapsed="false">
      <c r="A317" s="20" t="n">
        <v>316</v>
      </c>
      <c r="B317" s="21"/>
      <c r="C317" s="20" t="s">
        <v>309</v>
      </c>
      <c r="D317" s="20" t="s">
        <v>396</v>
      </c>
      <c r="E317" s="21" t="s">
        <v>397</v>
      </c>
      <c r="F317" s="22" t="n">
        <v>3372</v>
      </c>
      <c r="G317" s="22" t="n">
        <f aca="false">F317*VLOOKUP(K317,Kurallar!$A$17:$B$22,2,0)</f>
        <v>2023.2</v>
      </c>
      <c r="H317" s="22" t="n">
        <f aca="false">G317*I317</f>
        <v>2023.2</v>
      </c>
      <c r="I317" s="23" t="n">
        <v>1</v>
      </c>
      <c r="J317" s="20" t="s">
        <v>306</v>
      </c>
      <c r="K317" s="20" t="s">
        <v>33</v>
      </c>
      <c r="L317" s="21"/>
    </row>
    <row r="318" customFormat="false" ht="15" hidden="false" customHeight="false" outlineLevel="0" collapsed="false">
      <c r="A318" s="20" t="n">
        <v>317</v>
      </c>
      <c r="B318" s="21"/>
      <c r="C318" s="20" t="s">
        <v>398</v>
      </c>
      <c r="D318" s="20" t="s">
        <v>269</v>
      </c>
      <c r="E318" s="21" t="s">
        <v>446</v>
      </c>
      <c r="F318" s="22" t="n">
        <v>5104</v>
      </c>
      <c r="G318" s="22" t="n">
        <f aca="false">F318*VLOOKUP(K318,Kurallar!$A$17:$B$22,2,0)</f>
        <v>3062.4</v>
      </c>
      <c r="H318" s="22" t="n">
        <f aca="false">G318*I318</f>
        <v>18374.4</v>
      </c>
      <c r="I318" s="23" t="n">
        <v>6</v>
      </c>
      <c r="J318" s="20" t="s">
        <v>306</v>
      </c>
      <c r="K318" s="20" t="s">
        <v>33</v>
      </c>
      <c r="L318" s="21"/>
    </row>
    <row r="319" customFormat="false" ht="15" hidden="false" customHeight="false" outlineLevel="0" collapsed="false">
      <c r="A319" s="20" t="n">
        <v>318</v>
      </c>
      <c r="B319" s="21"/>
      <c r="C319" s="20" t="s">
        <v>331</v>
      </c>
      <c r="D319" s="20" t="s">
        <v>382</v>
      </c>
      <c r="E319" s="21" t="s">
        <v>383</v>
      </c>
      <c r="F319" s="22" t="n">
        <v>461</v>
      </c>
      <c r="G319" s="22" t="n">
        <f aca="false">F319*VLOOKUP(K319,Kurallar!$A$17:$B$22,2,0)</f>
        <v>461</v>
      </c>
      <c r="H319" s="22" t="n">
        <f aca="false">G319*I319</f>
        <v>922</v>
      </c>
      <c r="I319" s="23" t="n">
        <v>2</v>
      </c>
      <c r="J319" s="20" t="s">
        <v>306</v>
      </c>
      <c r="K319" s="20" t="s">
        <v>40</v>
      </c>
      <c r="L319" s="21"/>
    </row>
    <row r="320" customFormat="false" ht="15" hidden="false" customHeight="false" outlineLevel="0" collapsed="false">
      <c r="A320" s="20" t="n">
        <v>319</v>
      </c>
      <c r="B320" s="21"/>
      <c r="C320" s="20" t="s">
        <v>338</v>
      </c>
      <c r="D320" s="20" t="s">
        <v>339</v>
      </c>
      <c r="E320" s="21" t="s">
        <v>340</v>
      </c>
      <c r="F320" s="22" t="n">
        <v>869</v>
      </c>
      <c r="G320" s="22" t="n">
        <f aca="false">F320*VLOOKUP(K320,Kurallar!$A$17:$B$22,2,0)</f>
        <v>521.4</v>
      </c>
      <c r="H320" s="22" t="n">
        <f aca="false">G320*I320</f>
        <v>1042.8</v>
      </c>
      <c r="I320" s="23" t="n">
        <v>2</v>
      </c>
      <c r="J320" s="20" t="s">
        <v>306</v>
      </c>
      <c r="K320" s="20" t="s">
        <v>33</v>
      </c>
      <c r="L320" s="21"/>
    </row>
    <row r="321" customFormat="false" ht="15" hidden="false" customHeight="false" outlineLevel="0" collapsed="false">
      <c r="A321" s="20" t="n">
        <v>320</v>
      </c>
      <c r="B321" s="21"/>
      <c r="C321" s="20" t="s">
        <v>338</v>
      </c>
      <c r="D321" s="20" t="s">
        <v>341</v>
      </c>
      <c r="E321" s="21" t="s">
        <v>342</v>
      </c>
      <c r="F321" s="22" t="n">
        <v>1801</v>
      </c>
      <c r="G321" s="22" t="n">
        <f aca="false">F321*VLOOKUP(K321,Kurallar!$A$17:$B$22,2,0)</f>
        <v>1801</v>
      </c>
      <c r="H321" s="22" t="n">
        <f aca="false">G321*I321</f>
        <v>3602</v>
      </c>
      <c r="I321" s="23" t="n">
        <v>2</v>
      </c>
      <c r="J321" s="20" t="s">
        <v>306</v>
      </c>
      <c r="K321" s="20" t="s">
        <v>39</v>
      </c>
      <c r="L321" s="21"/>
    </row>
    <row r="322" customFormat="false" ht="15" hidden="false" customHeight="false" outlineLevel="0" collapsed="false">
      <c r="A322" s="20" t="n">
        <v>321</v>
      </c>
      <c r="B322" s="21"/>
      <c r="C322" s="20" t="s">
        <v>338</v>
      </c>
      <c r="D322" s="20" t="s">
        <v>343</v>
      </c>
      <c r="E322" s="21" t="s">
        <v>344</v>
      </c>
      <c r="F322" s="22" t="n">
        <v>127</v>
      </c>
      <c r="G322" s="22" t="n">
        <f aca="false">F322*VLOOKUP(K322,Kurallar!$A$17:$B$22,2,0)</f>
        <v>127</v>
      </c>
      <c r="H322" s="22" t="n">
        <f aca="false">G322*I322</f>
        <v>2540</v>
      </c>
      <c r="I322" s="23" t="n">
        <v>20</v>
      </c>
      <c r="J322" s="20" t="s">
        <v>345</v>
      </c>
      <c r="K322" s="20" t="s">
        <v>37</v>
      </c>
      <c r="L322" s="21"/>
    </row>
    <row r="323" customFormat="false" ht="15" hidden="false" customHeight="false" outlineLevel="0" collapsed="false">
      <c r="A323" s="20" t="n">
        <v>322</v>
      </c>
      <c r="B323" s="21"/>
      <c r="C323" s="20" t="s">
        <v>338</v>
      </c>
      <c r="D323" s="20" t="s">
        <v>346</v>
      </c>
      <c r="E323" s="21" t="s">
        <v>347</v>
      </c>
      <c r="F323" s="22" t="n">
        <v>319</v>
      </c>
      <c r="G323" s="22" t="n">
        <f aca="false">F323*VLOOKUP(K323,Kurallar!$A$17:$B$22,2,0)</f>
        <v>319</v>
      </c>
      <c r="H323" s="22" t="n">
        <f aca="false">G323*I323</f>
        <v>1914</v>
      </c>
      <c r="I323" s="23" t="n">
        <v>6</v>
      </c>
      <c r="J323" s="20" t="s">
        <v>345</v>
      </c>
      <c r="K323" s="20" t="s">
        <v>37</v>
      </c>
      <c r="L323" s="21"/>
    </row>
    <row r="324" customFormat="false" ht="15" hidden="false" customHeight="false" outlineLevel="0" collapsed="false">
      <c r="A324" s="20" t="n">
        <v>323</v>
      </c>
      <c r="B324" s="21"/>
      <c r="C324" s="20" t="s">
        <v>352</v>
      </c>
      <c r="D324" s="20" t="s">
        <v>14</v>
      </c>
      <c r="E324" s="21" t="s">
        <v>353</v>
      </c>
      <c r="F324" s="22"/>
      <c r="G324" s="22" t="n">
        <f aca="false">SUM(H316:H323)*Kurallar!$B$9</f>
        <v>1123.752</v>
      </c>
      <c r="H324" s="22" t="n">
        <f aca="false">G324*I324</f>
        <v>1123.752</v>
      </c>
      <c r="I324" s="23" t="n">
        <v>1</v>
      </c>
      <c r="J324" s="20" t="s">
        <v>302</v>
      </c>
      <c r="K324" s="20" t="s">
        <v>14</v>
      </c>
      <c r="L324" s="21" t="s">
        <v>354</v>
      </c>
    </row>
    <row r="325" customFormat="false" ht="15" hidden="false" customHeight="false" outlineLevel="0" collapsed="false">
      <c r="A325" s="20" t="n">
        <v>324</v>
      </c>
      <c r="B325" s="21"/>
      <c r="C325" s="20" t="s">
        <v>355</v>
      </c>
      <c r="D325" s="20" t="s">
        <v>14</v>
      </c>
      <c r="E325" s="21" t="s">
        <v>356</v>
      </c>
      <c r="F325" s="24" t="n">
        <f aca="false">I325/60</f>
        <v>4</v>
      </c>
      <c r="G325" s="22" t="n">
        <f aca="false">Kurallar!$B$10</f>
        <v>100</v>
      </c>
      <c r="H325" s="22" t="n">
        <f aca="false">G325*I325</f>
        <v>24000</v>
      </c>
      <c r="I325" s="23" t="n">
        <f aca="false">ROUND((Kurallar!$C$29*6+Kurallar!$C$42*2+Kurallar!$C$43*4+Kurallar!$C$44*1+Kurallar!$C$32*1+Kurallar!$C$40*2)*Kurallar!$B$11,0)</f>
        <v>240</v>
      </c>
      <c r="J325" s="20" t="s">
        <v>357</v>
      </c>
      <c r="K325" s="20" t="s">
        <v>14</v>
      </c>
      <c r="L325" s="21" t="s">
        <v>358</v>
      </c>
    </row>
    <row r="326" customFormat="false" ht="15" hidden="false" customHeight="false" outlineLevel="0" collapsed="false">
      <c r="A326" s="25"/>
      <c r="B326" s="26" t="s">
        <v>470</v>
      </c>
      <c r="C326" s="25"/>
      <c r="D326" s="25"/>
      <c r="E326" s="26"/>
      <c r="F326" s="27"/>
      <c r="G326" s="27"/>
      <c r="H326" s="27" t="n">
        <f aca="false">SUBTOTAL(9,H316:H325)</f>
        <v>62582.152</v>
      </c>
      <c r="I326" s="28"/>
      <c r="J326" s="25"/>
      <c r="K326" s="25"/>
      <c r="L326" s="26" t="s">
        <v>360</v>
      </c>
    </row>
    <row r="327" customFormat="false" ht="15" hidden="false" customHeight="false" outlineLevel="0" collapsed="false">
      <c r="A327" s="15" t="n">
        <v>326</v>
      </c>
      <c r="B327" s="16" t="str">
        <f aca="false">E327</f>
        <v>2.2-ЩР-1 — щит силовой</v>
      </c>
      <c r="C327" s="15" t="s">
        <v>300</v>
      </c>
      <c r="D327" s="15"/>
      <c r="E327" s="17" t="s">
        <v>471</v>
      </c>
      <c r="F327" s="18"/>
      <c r="G327" s="18"/>
      <c r="H327" s="18"/>
      <c r="I327" s="19" t="n">
        <v>1</v>
      </c>
      <c r="J327" s="15" t="s">
        <v>302</v>
      </c>
      <c r="K327" s="15"/>
      <c r="L327" s="17"/>
    </row>
    <row r="328" customFormat="false" ht="15" hidden="false" customHeight="false" outlineLevel="0" collapsed="false">
      <c r="A328" s="20" t="n">
        <v>327</v>
      </c>
      <c r="B328" s="21"/>
      <c r="C328" s="20" t="s">
        <v>303</v>
      </c>
      <c r="D328" s="20" t="s">
        <v>449</v>
      </c>
      <c r="E328" s="21" t="s">
        <v>450</v>
      </c>
      <c r="F328" s="22" t="n">
        <v>11045</v>
      </c>
      <c r="G328" s="22" t="n">
        <f aca="false">F328*VLOOKUP(K328,Kurallar!$A$17:$B$22,2,0)</f>
        <v>11045</v>
      </c>
      <c r="H328" s="22" t="n">
        <f aca="false">G328*I328</f>
        <v>11045</v>
      </c>
      <c r="I328" s="23" t="n">
        <v>1</v>
      </c>
      <c r="J328" s="20" t="s">
        <v>306</v>
      </c>
      <c r="K328" s="20" t="s">
        <v>37</v>
      </c>
      <c r="L328" s="21"/>
    </row>
    <row r="329" customFormat="false" ht="15" hidden="false" customHeight="false" outlineLevel="0" collapsed="false">
      <c r="A329" s="20" t="n">
        <v>328</v>
      </c>
      <c r="B329" s="21"/>
      <c r="C329" s="20" t="s">
        <v>309</v>
      </c>
      <c r="D329" s="20" t="s">
        <v>408</v>
      </c>
      <c r="E329" s="21" t="s">
        <v>409</v>
      </c>
      <c r="F329" s="22" t="n">
        <v>4217</v>
      </c>
      <c r="G329" s="22" t="n">
        <f aca="false">F329*VLOOKUP(K329,Kurallar!$A$17:$B$22,2,0)</f>
        <v>2530.2</v>
      </c>
      <c r="H329" s="22" t="n">
        <f aca="false">G329*I329</f>
        <v>2530.2</v>
      </c>
      <c r="I329" s="23" t="n">
        <v>1</v>
      </c>
      <c r="J329" s="20" t="s">
        <v>306</v>
      </c>
      <c r="K329" s="20" t="s">
        <v>33</v>
      </c>
      <c r="L329" s="21"/>
    </row>
    <row r="330" customFormat="false" ht="15" hidden="false" customHeight="false" outlineLevel="0" collapsed="false">
      <c r="A330" s="20" t="n">
        <v>329</v>
      </c>
      <c r="B330" s="21"/>
      <c r="C330" s="20" t="s">
        <v>398</v>
      </c>
      <c r="D330" s="20" t="s">
        <v>269</v>
      </c>
      <c r="E330" s="21" t="s">
        <v>446</v>
      </c>
      <c r="F330" s="22" t="n">
        <v>5104</v>
      </c>
      <c r="G330" s="22" t="n">
        <f aca="false">F330*VLOOKUP(K330,Kurallar!$A$17:$B$22,2,0)</f>
        <v>3062.4</v>
      </c>
      <c r="H330" s="22" t="n">
        <f aca="false">G330*I330</f>
        <v>48998.4</v>
      </c>
      <c r="I330" s="23" t="n">
        <v>16</v>
      </c>
      <c r="J330" s="20" t="s">
        <v>306</v>
      </c>
      <c r="K330" s="20" t="s">
        <v>33</v>
      </c>
      <c r="L330" s="21"/>
    </row>
    <row r="331" customFormat="false" ht="15" hidden="false" customHeight="false" outlineLevel="0" collapsed="false">
      <c r="A331" s="20" t="n">
        <v>330</v>
      </c>
      <c r="B331" s="21"/>
      <c r="C331" s="20" t="s">
        <v>331</v>
      </c>
      <c r="D331" s="20" t="s">
        <v>382</v>
      </c>
      <c r="E331" s="21" t="s">
        <v>383</v>
      </c>
      <c r="F331" s="22" t="n">
        <v>461</v>
      </c>
      <c r="G331" s="22" t="n">
        <f aca="false">F331*VLOOKUP(K331,Kurallar!$A$17:$B$22,2,0)</f>
        <v>461</v>
      </c>
      <c r="H331" s="22" t="n">
        <f aca="false">G331*I331</f>
        <v>1844</v>
      </c>
      <c r="I331" s="23" t="n">
        <v>4</v>
      </c>
      <c r="J331" s="20" t="s">
        <v>306</v>
      </c>
      <c r="K331" s="20" t="s">
        <v>40</v>
      </c>
      <c r="L331" s="21"/>
    </row>
    <row r="332" customFormat="false" ht="15" hidden="false" customHeight="false" outlineLevel="0" collapsed="false">
      <c r="A332" s="20" t="n">
        <v>331</v>
      </c>
      <c r="B332" s="21"/>
      <c r="C332" s="20" t="s">
        <v>338</v>
      </c>
      <c r="D332" s="20" t="s">
        <v>339</v>
      </c>
      <c r="E332" s="21" t="s">
        <v>340</v>
      </c>
      <c r="F332" s="22" t="n">
        <v>869</v>
      </c>
      <c r="G332" s="22" t="n">
        <f aca="false">F332*VLOOKUP(K332,Kurallar!$A$17:$B$22,2,0)</f>
        <v>521.4</v>
      </c>
      <c r="H332" s="22" t="n">
        <f aca="false">G332*I332</f>
        <v>1564.2</v>
      </c>
      <c r="I332" s="23" t="n">
        <v>3</v>
      </c>
      <c r="J332" s="20" t="s">
        <v>306</v>
      </c>
      <c r="K332" s="20" t="s">
        <v>33</v>
      </c>
      <c r="L332" s="21"/>
    </row>
    <row r="333" customFormat="false" ht="15" hidden="false" customHeight="false" outlineLevel="0" collapsed="false">
      <c r="A333" s="20" t="n">
        <v>332</v>
      </c>
      <c r="B333" s="21"/>
      <c r="C333" s="20" t="s">
        <v>338</v>
      </c>
      <c r="D333" s="20" t="s">
        <v>341</v>
      </c>
      <c r="E333" s="21" t="s">
        <v>342</v>
      </c>
      <c r="F333" s="22" t="n">
        <v>1801</v>
      </c>
      <c r="G333" s="22" t="n">
        <f aca="false">F333*VLOOKUP(K333,Kurallar!$A$17:$B$22,2,0)</f>
        <v>1801</v>
      </c>
      <c r="H333" s="22" t="n">
        <f aca="false">G333*I333</f>
        <v>5403</v>
      </c>
      <c r="I333" s="23" t="n">
        <v>3</v>
      </c>
      <c r="J333" s="20" t="s">
        <v>306</v>
      </c>
      <c r="K333" s="20" t="s">
        <v>39</v>
      </c>
      <c r="L333" s="21"/>
    </row>
    <row r="334" customFormat="false" ht="15" hidden="false" customHeight="false" outlineLevel="0" collapsed="false">
      <c r="A334" s="20" t="n">
        <v>333</v>
      </c>
      <c r="B334" s="21"/>
      <c r="C334" s="20" t="s">
        <v>338</v>
      </c>
      <c r="D334" s="20" t="s">
        <v>343</v>
      </c>
      <c r="E334" s="21" t="s">
        <v>344</v>
      </c>
      <c r="F334" s="22" t="n">
        <v>127</v>
      </c>
      <c r="G334" s="22" t="n">
        <f aca="false">F334*VLOOKUP(K334,Kurallar!$A$17:$B$22,2,0)</f>
        <v>127</v>
      </c>
      <c r="H334" s="22" t="n">
        <f aca="false">G334*I334</f>
        <v>5715</v>
      </c>
      <c r="I334" s="23" t="n">
        <v>45</v>
      </c>
      <c r="J334" s="20" t="s">
        <v>345</v>
      </c>
      <c r="K334" s="20" t="s">
        <v>37</v>
      </c>
      <c r="L334" s="21"/>
    </row>
    <row r="335" customFormat="false" ht="15" hidden="false" customHeight="false" outlineLevel="0" collapsed="false">
      <c r="A335" s="20" t="n">
        <v>334</v>
      </c>
      <c r="B335" s="21"/>
      <c r="C335" s="20" t="s">
        <v>338</v>
      </c>
      <c r="D335" s="20" t="s">
        <v>348</v>
      </c>
      <c r="E335" s="21" t="s">
        <v>349</v>
      </c>
      <c r="F335" s="22" t="n">
        <v>918</v>
      </c>
      <c r="G335" s="22" t="n">
        <f aca="false">F335*VLOOKUP(K335,Kurallar!$A$17:$B$22,2,0)</f>
        <v>918</v>
      </c>
      <c r="H335" s="22" t="n">
        <f aca="false">G335*I335</f>
        <v>5508</v>
      </c>
      <c r="I335" s="23" t="n">
        <v>6</v>
      </c>
      <c r="J335" s="20" t="s">
        <v>345</v>
      </c>
      <c r="K335" s="20" t="s">
        <v>37</v>
      </c>
      <c r="L335" s="21"/>
    </row>
    <row r="336" customFormat="false" ht="15" hidden="false" customHeight="false" outlineLevel="0" collapsed="false">
      <c r="A336" s="20" t="n">
        <v>335</v>
      </c>
      <c r="B336" s="21"/>
      <c r="C336" s="20" t="s">
        <v>352</v>
      </c>
      <c r="D336" s="20" t="s">
        <v>14</v>
      </c>
      <c r="E336" s="21" t="s">
        <v>353</v>
      </c>
      <c r="F336" s="22"/>
      <c r="G336" s="22" t="n">
        <f aca="false">SUM(H328:H335)*Kurallar!$B$9</f>
        <v>2478.234</v>
      </c>
      <c r="H336" s="22" t="n">
        <f aca="false">G336*I336</f>
        <v>2478.234</v>
      </c>
      <c r="I336" s="23" t="n">
        <v>1</v>
      </c>
      <c r="J336" s="20" t="s">
        <v>302</v>
      </c>
      <c r="K336" s="20" t="s">
        <v>14</v>
      </c>
      <c r="L336" s="21" t="s">
        <v>354</v>
      </c>
    </row>
    <row r="337" customFormat="false" ht="15" hidden="false" customHeight="false" outlineLevel="0" collapsed="false">
      <c r="A337" s="20" t="n">
        <v>336</v>
      </c>
      <c r="B337" s="21"/>
      <c r="C337" s="20" t="s">
        <v>355</v>
      </c>
      <c r="D337" s="20" t="s">
        <v>14</v>
      </c>
      <c r="E337" s="21" t="s">
        <v>356</v>
      </c>
      <c r="F337" s="24" t="n">
        <f aca="false">I337/60</f>
        <v>7.65</v>
      </c>
      <c r="G337" s="22" t="n">
        <f aca="false">Kurallar!$B$10</f>
        <v>100</v>
      </c>
      <c r="H337" s="22" t="n">
        <f aca="false">G337*I337</f>
        <v>45900</v>
      </c>
      <c r="I337" s="23" t="n">
        <f aca="false">ROUND((Kurallar!$C$29*16+Kurallar!$C$42*3+Kurallar!$C$43*6+Kurallar!$C$45*1+Kurallar!$C$32*1+Kurallar!$C$40*4)*Kurallar!$B$11,0)</f>
        <v>459</v>
      </c>
      <c r="J337" s="20" t="s">
        <v>357</v>
      </c>
      <c r="K337" s="20" t="s">
        <v>14</v>
      </c>
      <c r="L337" s="21" t="s">
        <v>358</v>
      </c>
    </row>
    <row r="338" customFormat="false" ht="15" hidden="false" customHeight="false" outlineLevel="0" collapsed="false">
      <c r="A338" s="25"/>
      <c r="B338" s="26" t="s">
        <v>472</v>
      </c>
      <c r="C338" s="25"/>
      <c r="D338" s="25"/>
      <c r="E338" s="26"/>
      <c r="F338" s="27"/>
      <c r="G338" s="27"/>
      <c r="H338" s="27" t="n">
        <f aca="false">SUBTOTAL(9,H328:H337)</f>
        <v>130986.034</v>
      </c>
      <c r="I338" s="28"/>
      <c r="J338" s="25"/>
      <c r="K338" s="25"/>
      <c r="L338" s="26" t="s">
        <v>360</v>
      </c>
    </row>
    <row r="339" customFormat="false" ht="15" hidden="false" customHeight="false" outlineLevel="0" collapsed="false">
      <c r="A339" s="15" t="n">
        <v>338</v>
      </c>
      <c r="B339" s="16" t="str">
        <f aca="false">E339</f>
        <v>3.0-ЩР-1 — щит силовой</v>
      </c>
      <c r="C339" s="15" t="s">
        <v>300</v>
      </c>
      <c r="D339" s="15"/>
      <c r="E339" s="17" t="s">
        <v>473</v>
      </c>
      <c r="F339" s="18"/>
      <c r="G339" s="18"/>
      <c r="H339" s="18"/>
      <c r="I339" s="19" t="n">
        <v>1</v>
      </c>
      <c r="J339" s="15" t="s">
        <v>302</v>
      </c>
      <c r="K339" s="15"/>
      <c r="L339" s="17"/>
    </row>
    <row r="340" customFormat="false" ht="15" hidden="false" customHeight="false" outlineLevel="0" collapsed="false">
      <c r="A340" s="20" t="n">
        <v>339</v>
      </c>
      <c r="B340" s="21"/>
      <c r="C340" s="20" t="s">
        <v>303</v>
      </c>
      <c r="D340" s="20" t="s">
        <v>468</v>
      </c>
      <c r="E340" s="21" t="s">
        <v>469</v>
      </c>
      <c r="F340" s="22" t="n">
        <v>7040</v>
      </c>
      <c r="G340" s="22" t="n">
        <f aca="false">F340*VLOOKUP(K340,Kurallar!$A$17:$B$22,2,0)</f>
        <v>7040</v>
      </c>
      <c r="H340" s="22" t="n">
        <f aca="false">G340*I340</f>
        <v>7040</v>
      </c>
      <c r="I340" s="23" t="n">
        <v>1</v>
      </c>
      <c r="J340" s="20" t="s">
        <v>306</v>
      </c>
      <c r="K340" s="20" t="s">
        <v>39</v>
      </c>
      <c r="L340" s="21"/>
    </row>
    <row r="341" customFormat="false" ht="15" hidden="false" customHeight="false" outlineLevel="0" collapsed="false">
      <c r="A341" s="20" t="n">
        <v>340</v>
      </c>
      <c r="B341" s="21"/>
      <c r="C341" s="20" t="s">
        <v>309</v>
      </c>
      <c r="D341" s="20" t="s">
        <v>396</v>
      </c>
      <c r="E341" s="21" t="s">
        <v>397</v>
      </c>
      <c r="F341" s="22" t="n">
        <v>3372</v>
      </c>
      <c r="G341" s="22" t="n">
        <f aca="false">F341*VLOOKUP(K341,Kurallar!$A$17:$B$22,2,0)</f>
        <v>2023.2</v>
      </c>
      <c r="H341" s="22" t="n">
        <f aca="false">G341*I341</f>
        <v>2023.2</v>
      </c>
      <c r="I341" s="23" t="n">
        <v>1</v>
      </c>
      <c r="J341" s="20" t="s">
        <v>306</v>
      </c>
      <c r="K341" s="20" t="s">
        <v>33</v>
      </c>
      <c r="L341" s="21"/>
    </row>
    <row r="342" customFormat="false" ht="15" hidden="false" customHeight="false" outlineLevel="0" collapsed="false">
      <c r="A342" s="20" t="n">
        <v>341</v>
      </c>
      <c r="B342" s="21"/>
      <c r="C342" s="20" t="s">
        <v>398</v>
      </c>
      <c r="D342" s="20" t="s">
        <v>269</v>
      </c>
      <c r="E342" s="21" t="s">
        <v>446</v>
      </c>
      <c r="F342" s="22" t="n">
        <v>5104</v>
      </c>
      <c r="G342" s="22" t="n">
        <f aca="false">F342*VLOOKUP(K342,Kurallar!$A$17:$B$22,2,0)</f>
        <v>3062.4</v>
      </c>
      <c r="H342" s="22" t="n">
        <f aca="false">G342*I342</f>
        <v>18374.4</v>
      </c>
      <c r="I342" s="23" t="n">
        <v>6</v>
      </c>
      <c r="J342" s="20" t="s">
        <v>306</v>
      </c>
      <c r="K342" s="20" t="s">
        <v>33</v>
      </c>
      <c r="L342" s="21"/>
    </row>
    <row r="343" customFormat="false" ht="15" hidden="false" customHeight="false" outlineLevel="0" collapsed="false">
      <c r="A343" s="20" t="n">
        <v>342</v>
      </c>
      <c r="B343" s="21"/>
      <c r="C343" s="20" t="s">
        <v>331</v>
      </c>
      <c r="D343" s="20" t="s">
        <v>382</v>
      </c>
      <c r="E343" s="21" t="s">
        <v>383</v>
      </c>
      <c r="F343" s="22" t="n">
        <v>461</v>
      </c>
      <c r="G343" s="22" t="n">
        <f aca="false">F343*VLOOKUP(K343,Kurallar!$A$17:$B$22,2,0)</f>
        <v>461</v>
      </c>
      <c r="H343" s="22" t="n">
        <f aca="false">G343*I343</f>
        <v>922</v>
      </c>
      <c r="I343" s="23" t="n">
        <v>2</v>
      </c>
      <c r="J343" s="20" t="s">
        <v>306</v>
      </c>
      <c r="K343" s="20" t="s">
        <v>40</v>
      </c>
      <c r="L343" s="21"/>
    </row>
    <row r="344" customFormat="false" ht="15" hidden="false" customHeight="false" outlineLevel="0" collapsed="false">
      <c r="A344" s="20" t="n">
        <v>343</v>
      </c>
      <c r="B344" s="21"/>
      <c r="C344" s="20" t="s">
        <v>338</v>
      </c>
      <c r="D344" s="20" t="s">
        <v>339</v>
      </c>
      <c r="E344" s="21" t="s">
        <v>340</v>
      </c>
      <c r="F344" s="22" t="n">
        <v>869</v>
      </c>
      <c r="G344" s="22" t="n">
        <f aca="false">F344*VLOOKUP(K344,Kurallar!$A$17:$B$22,2,0)</f>
        <v>521.4</v>
      </c>
      <c r="H344" s="22" t="n">
        <f aca="false">G344*I344</f>
        <v>1042.8</v>
      </c>
      <c r="I344" s="23" t="n">
        <v>2</v>
      </c>
      <c r="J344" s="20" t="s">
        <v>306</v>
      </c>
      <c r="K344" s="20" t="s">
        <v>33</v>
      </c>
      <c r="L344" s="21"/>
    </row>
    <row r="345" customFormat="false" ht="15" hidden="false" customHeight="false" outlineLevel="0" collapsed="false">
      <c r="A345" s="20" t="n">
        <v>344</v>
      </c>
      <c r="B345" s="21"/>
      <c r="C345" s="20" t="s">
        <v>338</v>
      </c>
      <c r="D345" s="20" t="s">
        <v>341</v>
      </c>
      <c r="E345" s="21" t="s">
        <v>342</v>
      </c>
      <c r="F345" s="22" t="n">
        <v>1801</v>
      </c>
      <c r="G345" s="22" t="n">
        <f aca="false">F345*VLOOKUP(K345,Kurallar!$A$17:$B$22,2,0)</f>
        <v>1801</v>
      </c>
      <c r="H345" s="22" t="n">
        <f aca="false">G345*I345</f>
        <v>3602</v>
      </c>
      <c r="I345" s="23" t="n">
        <v>2</v>
      </c>
      <c r="J345" s="20" t="s">
        <v>306</v>
      </c>
      <c r="K345" s="20" t="s">
        <v>39</v>
      </c>
      <c r="L345" s="21"/>
    </row>
    <row r="346" customFormat="false" ht="15" hidden="false" customHeight="false" outlineLevel="0" collapsed="false">
      <c r="A346" s="20" t="n">
        <v>345</v>
      </c>
      <c r="B346" s="21"/>
      <c r="C346" s="20" t="s">
        <v>338</v>
      </c>
      <c r="D346" s="20" t="s">
        <v>343</v>
      </c>
      <c r="E346" s="21" t="s">
        <v>344</v>
      </c>
      <c r="F346" s="22" t="n">
        <v>127</v>
      </c>
      <c r="G346" s="22" t="n">
        <f aca="false">F346*VLOOKUP(K346,Kurallar!$A$17:$B$22,2,0)</f>
        <v>127</v>
      </c>
      <c r="H346" s="22" t="n">
        <f aca="false">G346*I346</f>
        <v>2540</v>
      </c>
      <c r="I346" s="23" t="n">
        <v>20</v>
      </c>
      <c r="J346" s="20" t="s">
        <v>345</v>
      </c>
      <c r="K346" s="20" t="s">
        <v>37</v>
      </c>
      <c r="L346" s="21"/>
    </row>
    <row r="347" customFormat="false" ht="15" hidden="false" customHeight="false" outlineLevel="0" collapsed="false">
      <c r="A347" s="20" t="n">
        <v>346</v>
      </c>
      <c r="B347" s="21"/>
      <c r="C347" s="20" t="s">
        <v>338</v>
      </c>
      <c r="D347" s="20" t="s">
        <v>346</v>
      </c>
      <c r="E347" s="21" t="s">
        <v>347</v>
      </c>
      <c r="F347" s="22" t="n">
        <v>319</v>
      </c>
      <c r="G347" s="22" t="n">
        <f aca="false">F347*VLOOKUP(K347,Kurallar!$A$17:$B$22,2,0)</f>
        <v>319</v>
      </c>
      <c r="H347" s="22" t="n">
        <f aca="false">G347*I347</f>
        <v>1914</v>
      </c>
      <c r="I347" s="23" t="n">
        <v>6</v>
      </c>
      <c r="J347" s="20" t="s">
        <v>345</v>
      </c>
      <c r="K347" s="20" t="s">
        <v>37</v>
      </c>
      <c r="L347" s="21"/>
    </row>
    <row r="348" customFormat="false" ht="15" hidden="false" customHeight="false" outlineLevel="0" collapsed="false">
      <c r="A348" s="20" t="n">
        <v>347</v>
      </c>
      <c r="B348" s="21"/>
      <c r="C348" s="20" t="s">
        <v>352</v>
      </c>
      <c r="D348" s="20" t="s">
        <v>14</v>
      </c>
      <c r="E348" s="21" t="s">
        <v>353</v>
      </c>
      <c r="F348" s="22"/>
      <c r="G348" s="22" t="n">
        <f aca="false">SUM(H340:H347)*Kurallar!$B$9</f>
        <v>1123.752</v>
      </c>
      <c r="H348" s="22" t="n">
        <f aca="false">G348*I348</f>
        <v>1123.752</v>
      </c>
      <c r="I348" s="23" t="n">
        <v>1</v>
      </c>
      <c r="J348" s="20" t="s">
        <v>302</v>
      </c>
      <c r="K348" s="20" t="s">
        <v>14</v>
      </c>
      <c r="L348" s="21" t="s">
        <v>354</v>
      </c>
    </row>
    <row r="349" customFormat="false" ht="15" hidden="false" customHeight="false" outlineLevel="0" collapsed="false">
      <c r="A349" s="20" t="n">
        <v>348</v>
      </c>
      <c r="B349" s="21"/>
      <c r="C349" s="20" t="s">
        <v>355</v>
      </c>
      <c r="D349" s="20" t="s">
        <v>14</v>
      </c>
      <c r="E349" s="21" t="s">
        <v>356</v>
      </c>
      <c r="F349" s="24" t="n">
        <f aca="false">I349/60</f>
        <v>4</v>
      </c>
      <c r="G349" s="22" t="n">
        <f aca="false">Kurallar!$B$10</f>
        <v>100</v>
      </c>
      <c r="H349" s="22" t="n">
        <f aca="false">G349*I349</f>
        <v>24000</v>
      </c>
      <c r="I349" s="23" t="n">
        <f aca="false">ROUND((Kurallar!$C$29*6+Kurallar!$C$42*2+Kurallar!$C$43*4+Kurallar!$C$44*1+Kurallar!$C$32*1+Kurallar!$C$40*2)*Kurallar!$B$11,0)</f>
        <v>240</v>
      </c>
      <c r="J349" s="20" t="s">
        <v>357</v>
      </c>
      <c r="K349" s="20" t="s">
        <v>14</v>
      </c>
      <c r="L349" s="21" t="s">
        <v>358</v>
      </c>
    </row>
    <row r="350" customFormat="false" ht="15" hidden="false" customHeight="false" outlineLevel="0" collapsed="false">
      <c r="A350" s="25"/>
      <c r="B350" s="26" t="s">
        <v>474</v>
      </c>
      <c r="C350" s="25"/>
      <c r="D350" s="25"/>
      <c r="E350" s="26"/>
      <c r="F350" s="27"/>
      <c r="G350" s="27"/>
      <c r="H350" s="27" t="n">
        <f aca="false">SUBTOTAL(9,H340:H349)</f>
        <v>62582.152</v>
      </c>
      <c r="I350" s="28"/>
      <c r="J350" s="25"/>
      <c r="K350" s="25"/>
      <c r="L350" s="26" t="s">
        <v>360</v>
      </c>
    </row>
    <row r="351" customFormat="false" ht="15" hidden="false" customHeight="false" outlineLevel="0" collapsed="false">
      <c r="A351" s="15" t="n">
        <v>350</v>
      </c>
      <c r="B351" s="16" t="str">
        <f aca="false">E351</f>
        <v>3.1-ЩР-1 — щит силовой (прачечная)</v>
      </c>
      <c r="C351" s="15" t="s">
        <v>300</v>
      </c>
      <c r="D351" s="15"/>
      <c r="E351" s="17" t="s">
        <v>475</v>
      </c>
      <c r="F351" s="18"/>
      <c r="G351" s="18"/>
      <c r="H351" s="18"/>
      <c r="I351" s="19" t="n">
        <v>1</v>
      </c>
      <c r="J351" s="15" t="s">
        <v>302</v>
      </c>
      <c r="K351" s="15"/>
      <c r="L351" s="17"/>
    </row>
    <row r="352" customFormat="false" ht="15" hidden="false" customHeight="false" outlineLevel="0" collapsed="false">
      <c r="A352" s="20" t="n">
        <v>351</v>
      </c>
      <c r="B352" s="21"/>
      <c r="C352" s="20" t="s">
        <v>303</v>
      </c>
      <c r="D352" s="20" t="s">
        <v>476</v>
      </c>
      <c r="E352" s="21" t="s">
        <v>477</v>
      </c>
      <c r="F352" s="22" t="n">
        <v>9265</v>
      </c>
      <c r="G352" s="22" t="n">
        <f aca="false">F352*VLOOKUP(K352,Kurallar!$A$17:$B$22,2,0)</f>
        <v>9265</v>
      </c>
      <c r="H352" s="22" t="n">
        <f aca="false">G352*I352</f>
        <v>9265</v>
      </c>
      <c r="I352" s="23" t="n">
        <v>1</v>
      </c>
      <c r="J352" s="20" t="s">
        <v>306</v>
      </c>
      <c r="K352" s="20" t="s">
        <v>37</v>
      </c>
      <c r="L352" s="21"/>
    </row>
    <row r="353" customFormat="false" ht="15" hidden="false" customHeight="false" outlineLevel="0" collapsed="false">
      <c r="A353" s="20" t="n">
        <v>352</v>
      </c>
      <c r="B353" s="21"/>
      <c r="C353" s="20" t="s">
        <v>309</v>
      </c>
      <c r="D353" s="20" t="s">
        <v>408</v>
      </c>
      <c r="E353" s="21" t="s">
        <v>409</v>
      </c>
      <c r="F353" s="22" t="n">
        <v>4217</v>
      </c>
      <c r="G353" s="22" t="n">
        <f aca="false">F353*VLOOKUP(K353,Kurallar!$A$17:$B$22,2,0)</f>
        <v>2530.2</v>
      </c>
      <c r="H353" s="22" t="n">
        <f aca="false">G353*I353</f>
        <v>2530.2</v>
      </c>
      <c r="I353" s="23" t="n">
        <v>1</v>
      </c>
      <c r="J353" s="20" t="s">
        <v>306</v>
      </c>
      <c r="K353" s="20" t="s">
        <v>33</v>
      </c>
      <c r="L353" s="21"/>
    </row>
    <row r="354" customFormat="false" ht="15" hidden="false" customHeight="false" outlineLevel="0" collapsed="false">
      <c r="A354" s="20" t="n">
        <v>353</v>
      </c>
      <c r="B354" s="21"/>
      <c r="C354" s="20" t="s">
        <v>398</v>
      </c>
      <c r="D354" s="20" t="s">
        <v>254</v>
      </c>
      <c r="E354" s="21" t="s">
        <v>430</v>
      </c>
      <c r="F354" s="22" t="n">
        <v>8934</v>
      </c>
      <c r="G354" s="22" t="n">
        <f aca="false">F354*VLOOKUP(K354,Kurallar!$A$17:$B$22,2,0)</f>
        <v>5360.4</v>
      </c>
      <c r="H354" s="22" t="n">
        <f aca="false">G354*I354</f>
        <v>5360.4</v>
      </c>
      <c r="I354" s="23" t="n">
        <v>1</v>
      </c>
      <c r="J354" s="20" t="s">
        <v>306</v>
      </c>
      <c r="K354" s="20" t="s">
        <v>33</v>
      </c>
      <c r="L354" s="21"/>
    </row>
    <row r="355" customFormat="false" ht="15" hidden="false" customHeight="false" outlineLevel="0" collapsed="false">
      <c r="A355" s="20" t="n">
        <v>354</v>
      </c>
      <c r="B355" s="21"/>
      <c r="C355" s="20" t="s">
        <v>373</v>
      </c>
      <c r="D355" s="20" t="s">
        <v>412</v>
      </c>
      <c r="E355" s="21" t="s">
        <v>413</v>
      </c>
      <c r="F355" s="22" t="n">
        <v>5462</v>
      </c>
      <c r="G355" s="22" t="n">
        <f aca="false">F355*VLOOKUP(K355,Kurallar!$A$17:$B$22,2,0)</f>
        <v>3277.2</v>
      </c>
      <c r="H355" s="22" t="n">
        <f aca="false">G355*I355</f>
        <v>3277.2</v>
      </c>
      <c r="I355" s="23" t="n">
        <v>1</v>
      </c>
      <c r="J355" s="20" t="s">
        <v>306</v>
      </c>
      <c r="K355" s="20" t="s">
        <v>33</v>
      </c>
      <c r="L355" s="21"/>
    </row>
    <row r="356" customFormat="false" ht="15" hidden="false" customHeight="false" outlineLevel="0" collapsed="false">
      <c r="A356" s="20" t="n">
        <v>355</v>
      </c>
      <c r="B356" s="21"/>
      <c r="C356" s="20" t="s">
        <v>398</v>
      </c>
      <c r="D356" s="20" t="s">
        <v>458</v>
      </c>
      <c r="E356" s="21" t="s">
        <v>459</v>
      </c>
      <c r="F356" s="22" t="n">
        <v>5632</v>
      </c>
      <c r="G356" s="22" t="n">
        <f aca="false">F356*VLOOKUP(K356,Kurallar!$A$17:$B$22,2,0)</f>
        <v>3379.2</v>
      </c>
      <c r="H356" s="22" t="n">
        <f aca="false">G356*I356</f>
        <v>3379.2</v>
      </c>
      <c r="I356" s="23" t="n">
        <v>1</v>
      </c>
      <c r="J356" s="20" t="s">
        <v>306</v>
      </c>
      <c r="K356" s="20" t="s">
        <v>33</v>
      </c>
      <c r="L356" s="21"/>
    </row>
    <row r="357" customFormat="false" ht="15" hidden="false" customHeight="false" outlineLevel="0" collapsed="false">
      <c r="A357" s="20" t="n">
        <v>356</v>
      </c>
      <c r="B357" s="21"/>
      <c r="C357" s="20" t="s">
        <v>398</v>
      </c>
      <c r="D357" s="20" t="s">
        <v>269</v>
      </c>
      <c r="E357" s="21" t="s">
        <v>446</v>
      </c>
      <c r="F357" s="22" t="n">
        <v>5104</v>
      </c>
      <c r="G357" s="22" t="n">
        <f aca="false">F357*VLOOKUP(K357,Kurallar!$A$17:$B$22,2,0)</f>
        <v>3062.4</v>
      </c>
      <c r="H357" s="22" t="n">
        <f aca="false">G357*I357</f>
        <v>18374.4</v>
      </c>
      <c r="I357" s="23" t="n">
        <v>6</v>
      </c>
      <c r="J357" s="20" t="s">
        <v>306</v>
      </c>
      <c r="K357" s="20" t="s">
        <v>33</v>
      </c>
      <c r="L357" s="21"/>
    </row>
    <row r="358" customFormat="false" ht="15" hidden="false" customHeight="false" outlineLevel="0" collapsed="false">
      <c r="A358" s="20" t="n">
        <v>357</v>
      </c>
      <c r="B358" s="21"/>
      <c r="C358" s="20" t="s">
        <v>331</v>
      </c>
      <c r="D358" s="20" t="s">
        <v>382</v>
      </c>
      <c r="E358" s="21" t="s">
        <v>383</v>
      </c>
      <c r="F358" s="22" t="n">
        <v>461</v>
      </c>
      <c r="G358" s="22" t="n">
        <f aca="false">F358*VLOOKUP(K358,Kurallar!$A$17:$B$22,2,0)</f>
        <v>461</v>
      </c>
      <c r="H358" s="22" t="n">
        <f aca="false">G358*I358</f>
        <v>922</v>
      </c>
      <c r="I358" s="23" t="n">
        <v>2</v>
      </c>
      <c r="J358" s="20" t="s">
        <v>306</v>
      </c>
      <c r="K358" s="20" t="s">
        <v>40</v>
      </c>
      <c r="L358" s="21"/>
    </row>
    <row r="359" customFormat="false" ht="15" hidden="false" customHeight="false" outlineLevel="0" collapsed="false">
      <c r="A359" s="20" t="n">
        <v>358</v>
      </c>
      <c r="B359" s="21"/>
      <c r="C359" s="20" t="s">
        <v>338</v>
      </c>
      <c r="D359" s="20" t="s">
        <v>339</v>
      </c>
      <c r="E359" s="21" t="s">
        <v>340</v>
      </c>
      <c r="F359" s="22" t="n">
        <v>869</v>
      </c>
      <c r="G359" s="22" t="n">
        <f aca="false">F359*VLOOKUP(K359,Kurallar!$A$17:$B$22,2,0)</f>
        <v>521.4</v>
      </c>
      <c r="H359" s="22" t="n">
        <f aca="false">G359*I359</f>
        <v>1042.8</v>
      </c>
      <c r="I359" s="23" t="n">
        <v>2</v>
      </c>
      <c r="J359" s="20" t="s">
        <v>306</v>
      </c>
      <c r="K359" s="20" t="s">
        <v>33</v>
      </c>
      <c r="L359" s="21"/>
    </row>
    <row r="360" customFormat="false" ht="15" hidden="false" customHeight="false" outlineLevel="0" collapsed="false">
      <c r="A360" s="20" t="n">
        <v>359</v>
      </c>
      <c r="B360" s="21"/>
      <c r="C360" s="20" t="s">
        <v>338</v>
      </c>
      <c r="D360" s="20" t="s">
        <v>341</v>
      </c>
      <c r="E360" s="21" t="s">
        <v>342</v>
      </c>
      <c r="F360" s="22" t="n">
        <v>1801</v>
      </c>
      <c r="G360" s="22" t="n">
        <f aca="false">F360*VLOOKUP(K360,Kurallar!$A$17:$B$22,2,0)</f>
        <v>1801</v>
      </c>
      <c r="H360" s="22" t="n">
        <f aca="false">G360*I360</f>
        <v>3602</v>
      </c>
      <c r="I360" s="23" t="n">
        <v>2</v>
      </c>
      <c r="J360" s="20" t="s">
        <v>306</v>
      </c>
      <c r="K360" s="20" t="s">
        <v>39</v>
      </c>
      <c r="L360" s="21"/>
    </row>
    <row r="361" customFormat="false" ht="15" hidden="false" customHeight="false" outlineLevel="0" collapsed="false">
      <c r="A361" s="20" t="n">
        <v>360</v>
      </c>
      <c r="B361" s="21"/>
      <c r="C361" s="20" t="s">
        <v>338</v>
      </c>
      <c r="D361" s="20" t="s">
        <v>343</v>
      </c>
      <c r="E361" s="21" t="s">
        <v>344</v>
      </c>
      <c r="F361" s="22" t="n">
        <v>127</v>
      </c>
      <c r="G361" s="22" t="n">
        <f aca="false">F361*VLOOKUP(K361,Kurallar!$A$17:$B$22,2,0)</f>
        <v>127</v>
      </c>
      <c r="H361" s="22" t="n">
        <f aca="false">G361*I361</f>
        <v>3810</v>
      </c>
      <c r="I361" s="23" t="n">
        <v>30</v>
      </c>
      <c r="J361" s="20" t="s">
        <v>345</v>
      </c>
      <c r="K361" s="20" t="s">
        <v>37</v>
      </c>
      <c r="L361" s="21"/>
    </row>
    <row r="362" customFormat="false" ht="15" hidden="false" customHeight="false" outlineLevel="0" collapsed="false">
      <c r="A362" s="20" t="n">
        <v>361</v>
      </c>
      <c r="B362" s="21"/>
      <c r="C362" s="20" t="s">
        <v>338</v>
      </c>
      <c r="D362" s="20" t="s">
        <v>348</v>
      </c>
      <c r="E362" s="21" t="s">
        <v>349</v>
      </c>
      <c r="F362" s="22" t="n">
        <v>918</v>
      </c>
      <c r="G362" s="22" t="n">
        <f aca="false">F362*VLOOKUP(K362,Kurallar!$A$17:$B$22,2,0)</f>
        <v>918</v>
      </c>
      <c r="H362" s="22" t="n">
        <f aca="false">G362*I362</f>
        <v>5508</v>
      </c>
      <c r="I362" s="23" t="n">
        <v>6</v>
      </c>
      <c r="J362" s="20" t="s">
        <v>345</v>
      </c>
      <c r="K362" s="20" t="s">
        <v>37</v>
      </c>
      <c r="L362" s="21"/>
    </row>
    <row r="363" customFormat="false" ht="15" hidden="false" customHeight="false" outlineLevel="0" collapsed="false">
      <c r="A363" s="20" t="n">
        <v>362</v>
      </c>
      <c r="B363" s="21"/>
      <c r="C363" s="20" t="s">
        <v>352</v>
      </c>
      <c r="D363" s="20" t="s">
        <v>14</v>
      </c>
      <c r="E363" s="21" t="s">
        <v>353</v>
      </c>
      <c r="F363" s="22"/>
      <c r="G363" s="22" t="n">
        <f aca="false">SUM(H352:H362)*Kurallar!$B$9</f>
        <v>1712.136</v>
      </c>
      <c r="H363" s="22" t="n">
        <f aca="false">G363*I363</f>
        <v>1712.136</v>
      </c>
      <c r="I363" s="23" t="n">
        <v>1</v>
      </c>
      <c r="J363" s="20" t="s">
        <v>302</v>
      </c>
      <c r="K363" s="20" t="s">
        <v>14</v>
      </c>
      <c r="L363" s="21" t="s">
        <v>354</v>
      </c>
    </row>
    <row r="364" customFormat="false" ht="15" hidden="false" customHeight="false" outlineLevel="0" collapsed="false">
      <c r="A364" s="20" t="n">
        <v>363</v>
      </c>
      <c r="B364" s="21"/>
      <c r="C364" s="20" t="s">
        <v>355</v>
      </c>
      <c r="D364" s="20" t="s">
        <v>14</v>
      </c>
      <c r="E364" s="21" t="s">
        <v>356</v>
      </c>
      <c r="F364" s="24" t="n">
        <f aca="false">I364/60</f>
        <v>5.33333333333333</v>
      </c>
      <c r="G364" s="22" t="n">
        <f aca="false">Kurallar!$B$10</f>
        <v>100</v>
      </c>
      <c r="H364" s="22" t="n">
        <f aca="false">G364*I364</f>
        <v>32000</v>
      </c>
      <c r="I364" s="23" t="n">
        <f aca="false">ROUND((Kurallar!$C$29*7+Kurallar!$C$30*1+Kurallar!$C$42*2+Kurallar!$C$43*4+Kurallar!$C$45*1+Kurallar!$C$28*1+Kurallar!$C$32*1+Kurallar!$C$40*2)*Kurallar!$B$11,0)</f>
        <v>320</v>
      </c>
      <c r="J364" s="20" t="s">
        <v>357</v>
      </c>
      <c r="K364" s="20" t="s">
        <v>14</v>
      </c>
      <c r="L364" s="21" t="s">
        <v>358</v>
      </c>
    </row>
    <row r="365" customFormat="false" ht="23.85" hidden="false" customHeight="false" outlineLevel="0" collapsed="false">
      <c r="A365" s="25"/>
      <c r="B365" s="26" t="s">
        <v>478</v>
      </c>
      <c r="C365" s="25"/>
      <c r="D365" s="25"/>
      <c r="E365" s="26"/>
      <c r="F365" s="27"/>
      <c r="G365" s="27"/>
      <c r="H365" s="27" t="n">
        <f aca="false">SUBTOTAL(9,H352:H364)</f>
        <v>90783.336</v>
      </c>
      <c r="I365" s="28"/>
      <c r="J365" s="25"/>
      <c r="K365" s="25"/>
      <c r="L365" s="26" t="s">
        <v>360</v>
      </c>
    </row>
    <row r="366" customFormat="false" ht="23.85" hidden="false" customHeight="false" outlineLevel="0" collapsed="false">
      <c r="A366" s="15" t="n">
        <v>365</v>
      </c>
      <c r="B366" s="16" t="str">
        <f aca="false">E366</f>
        <v>3.1-ЩР-2/3, 3.2-ЩР-2/3, 3.3-ЩР-1/2, 3.4-ЩР-1/2 — щит силовой</v>
      </c>
      <c r="C366" s="15" t="s">
        <v>300</v>
      </c>
      <c r="D366" s="15"/>
      <c r="E366" s="17" t="s">
        <v>479</v>
      </c>
      <c r="F366" s="18"/>
      <c r="G366" s="18"/>
      <c r="H366" s="18"/>
      <c r="I366" s="19" t="n">
        <v>8</v>
      </c>
      <c r="J366" s="15" t="s">
        <v>302</v>
      </c>
      <c r="K366" s="15"/>
      <c r="L366" s="17" t="s">
        <v>480</v>
      </c>
    </row>
    <row r="367" customFormat="false" ht="15" hidden="false" customHeight="false" outlineLevel="0" collapsed="false">
      <c r="A367" s="20" t="n">
        <v>366</v>
      </c>
      <c r="B367" s="21"/>
      <c r="C367" s="20" t="s">
        <v>303</v>
      </c>
      <c r="D367" s="20" t="s">
        <v>476</v>
      </c>
      <c r="E367" s="21" t="s">
        <v>477</v>
      </c>
      <c r="F367" s="22" t="n">
        <v>9265</v>
      </c>
      <c r="G367" s="22" t="n">
        <f aca="false">F367*VLOOKUP(K367,Kurallar!$A$17:$B$22,2,0)</f>
        <v>9265</v>
      </c>
      <c r="H367" s="22" t="n">
        <f aca="false">G367*I367</f>
        <v>9265</v>
      </c>
      <c r="I367" s="23" t="n">
        <v>1</v>
      </c>
      <c r="J367" s="20" t="s">
        <v>306</v>
      </c>
      <c r="K367" s="20" t="s">
        <v>37</v>
      </c>
      <c r="L367" s="21"/>
    </row>
    <row r="368" customFormat="false" ht="15" hidden="false" customHeight="false" outlineLevel="0" collapsed="false">
      <c r="A368" s="20" t="n">
        <v>367</v>
      </c>
      <c r="B368" s="21"/>
      <c r="C368" s="20" t="s">
        <v>373</v>
      </c>
      <c r="D368" s="20" t="s">
        <v>410</v>
      </c>
      <c r="E368" s="21" t="s">
        <v>411</v>
      </c>
      <c r="F368" s="22" t="n">
        <v>5334</v>
      </c>
      <c r="G368" s="22" t="n">
        <f aca="false">F368*VLOOKUP(K368,Kurallar!$A$17:$B$22,2,0)</f>
        <v>3200.4</v>
      </c>
      <c r="H368" s="22" t="n">
        <f aca="false">G368*I368</f>
        <v>3200.4</v>
      </c>
      <c r="I368" s="23" t="n">
        <v>1</v>
      </c>
      <c r="J368" s="20" t="s">
        <v>306</v>
      </c>
      <c r="K368" s="20" t="s">
        <v>33</v>
      </c>
      <c r="L368" s="21"/>
    </row>
    <row r="369" customFormat="false" ht="15" hidden="false" customHeight="false" outlineLevel="0" collapsed="false">
      <c r="A369" s="20" t="n">
        <v>368</v>
      </c>
      <c r="B369" s="21"/>
      <c r="C369" s="20" t="s">
        <v>398</v>
      </c>
      <c r="D369" s="20" t="s">
        <v>269</v>
      </c>
      <c r="E369" s="21" t="s">
        <v>446</v>
      </c>
      <c r="F369" s="22" t="n">
        <v>5104</v>
      </c>
      <c r="G369" s="22" t="n">
        <f aca="false">F369*VLOOKUP(K369,Kurallar!$A$17:$B$22,2,0)</f>
        <v>3062.4</v>
      </c>
      <c r="H369" s="22" t="n">
        <f aca="false">G369*I369</f>
        <v>18374.4</v>
      </c>
      <c r="I369" s="23" t="n">
        <v>6</v>
      </c>
      <c r="J369" s="20" t="s">
        <v>306</v>
      </c>
      <c r="K369" s="20" t="s">
        <v>33</v>
      </c>
      <c r="L369" s="21"/>
    </row>
    <row r="370" customFormat="false" ht="15" hidden="false" customHeight="false" outlineLevel="0" collapsed="false">
      <c r="A370" s="20" t="n">
        <v>369</v>
      </c>
      <c r="B370" s="21"/>
      <c r="C370" s="20" t="s">
        <v>331</v>
      </c>
      <c r="D370" s="20" t="s">
        <v>382</v>
      </c>
      <c r="E370" s="21" t="s">
        <v>383</v>
      </c>
      <c r="F370" s="22" t="n">
        <v>461</v>
      </c>
      <c r="G370" s="22" t="n">
        <f aca="false">F370*VLOOKUP(K370,Kurallar!$A$17:$B$22,2,0)</f>
        <v>461</v>
      </c>
      <c r="H370" s="22" t="n">
        <f aca="false">G370*I370</f>
        <v>922</v>
      </c>
      <c r="I370" s="23" t="n">
        <v>2</v>
      </c>
      <c r="J370" s="20" t="s">
        <v>306</v>
      </c>
      <c r="K370" s="20" t="s">
        <v>40</v>
      </c>
      <c r="L370" s="21"/>
    </row>
    <row r="371" customFormat="false" ht="15" hidden="false" customHeight="false" outlineLevel="0" collapsed="false">
      <c r="A371" s="20" t="n">
        <v>370</v>
      </c>
      <c r="B371" s="21"/>
      <c r="C371" s="20" t="s">
        <v>338</v>
      </c>
      <c r="D371" s="20" t="s">
        <v>339</v>
      </c>
      <c r="E371" s="21" t="s">
        <v>340</v>
      </c>
      <c r="F371" s="22" t="n">
        <v>869</v>
      </c>
      <c r="G371" s="22" t="n">
        <f aca="false">F371*VLOOKUP(K371,Kurallar!$A$17:$B$22,2,0)</f>
        <v>521.4</v>
      </c>
      <c r="H371" s="22" t="n">
        <f aca="false">G371*I371</f>
        <v>1042.8</v>
      </c>
      <c r="I371" s="23" t="n">
        <v>2</v>
      </c>
      <c r="J371" s="20" t="s">
        <v>306</v>
      </c>
      <c r="K371" s="20" t="s">
        <v>33</v>
      </c>
      <c r="L371" s="21"/>
    </row>
    <row r="372" customFormat="false" ht="15" hidden="false" customHeight="false" outlineLevel="0" collapsed="false">
      <c r="A372" s="20" t="n">
        <v>371</v>
      </c>
      <c r="B372" s="21"/>
      <c r="C372" s="20" t="s">
        <v>338</v>
      </c>
      <c r="D372" s="20" t="s">
        <v>341</v>
      </c>
      <c r="E372" s="21" t="s">
        <v>342</v>
      </c>
      <c r="F372" s="22" t="n">
        <v>1801</v>
      </c>
      <c r="G372" s="22" t="n">
        <f aca="false">F372*VLOOKUP(K372,Kurallar!$A$17:$B$22,2,0)</f>
        <v>1801</v>
      </c>
      <c r="H372" s="22" t="n">
        <f aca="false">G372*I372</f>
        <v>3602</v>
      </c>
      <c r="I372" s="23" t="n">
        <v>2</v>
      </c>
      <c r="J372" s="20" t="s">
        <v>306</v>
      </c>
      <c r="K372" s="20" t="s">
        <v>39</v>
      </c>
      <c r="L372" s="21"/>
    </row>
    <row r="373" customFormat="false" ht="15" hidden="false" customHeight="false" outlineLevel="0" collapsed="false">
      <c r="A373" s="20" t="n">
        <v>372</v>
      </c>
      <c r="B373" s="21"/>
      <c r="C373" s="20" t="s">
        <v>338</v>
      </c>
      <c r="D373" s="20" t="s">
        <v>343</v>
      </c>
      <c r="E373" s="21" t="s">
        <v>344</v>
      </c>
      <c r="F373" s="22" t="n">
        <v>127</v>
      </c>
      <c r="G373" s="22" t="n">
        <f aca="false">F373*VLOOKUP(K373,Kurallar!$A$17:$B$22,2,0)</f>
        <v>127</v>
      </c>
      <c r="H373" s="22" t="n">
        <f aca="false">G373*I373</f>
        <v>2540</v>
      </c>
      <c r="I373" s="23" t="n">
        <v>20</v>
      </c>
      <c r="J373" s="20" t="s">
        <v>345</v>
      </c>
      <c r="K373" s="20" t="s">
        <v>37</v>
      </c>
      <c r="L373" s="21"/>
    </row>
    <row r="374" customFormat="false" ht="15" hidden="false" customHeight="false" outlineLevel="0" collapsed="false">
      <c r="A374" s="20" t="n">
        <v>373</v>
      </c>
      <c r="B374" s="21"/>
      <c r="C374" s="20" t="s">
        <v>338</v>
      </c>
      <c r="D374" s="20" t="s">
        <v>346</v>
      </c>
      <c r="E374" s="21" t="s">
        <v>347</v>
      </c>
      <c r="F374" s="22" t="n">
        <v>319</v>
      </c>
      <c r="G374" s="22" t="n">
        <f aca="false">F374*VLOOKUP(K374,Kurallar!$A$17:$B$22,2,0)</f>
        <v>319</v>
      </c>
      <c r="H374" s="22" t="n">
        <f aca="false">G374*I374</f>
        <v>1914</v>
      </c>
      <c r="I374" s="23" t="n">
        <v>6</v>
      </c>
      <c r="J374" s="20" t="s">
        <v>345</v>
      </c>
      <c r="K374" s="20" t="s">
        <v>37</v>
      </c>
      <c r="L374" s="21"/>
    </row>
    <row r="375" customFormat="false" ht="15" hidden="false" customHeight="false" outlineLevel="0" collapsed="false">
      <c r="A375" s="20" t="n">
        <v>374</v>
      </c>
      <c r="B375" s="21"/>
      <c r="C375" s="20" t="s">
        <v>352</v>
      </c>
      <c r="D375" s="20" t="s">
        <v>14</v>
      </c>
      <c r="E375" s="21" t="s">
        <v>353</v>
      </c>
      <c r="F375" s="22"/>
      <c r="G375" s="22" t="n">
        <f aca="false">SUM(H367:H374)*Kurallar!$B$9</f>
        <v>1225.818</v>
      </c>
      <c r="H375" s="22" t="n">
        <f aca="false">G375*I375</f>
        <v>1225.818</v>
      </c>
      <c r="I375" s="23" t="n">
        <v>1</v>
      </c>
      <c r="J375" s="20" t="s">
        <v>302</v>
      </c>
      <c r="K375" s="20" t="s">
        <v>14</v>
      </c>
      <c r="L375" s="21" t="s">
        <v>354</v>
      </c>
    </row>
    <row r="376" customFormat="false" ht="15" hidden="false" customHeight="false" outlineLevel="0" collapsed="false">
      <c r="A376" s="20" t="n">
        <v>375</v>
      </c>
      <c r="B376" s="21"/>
      <c r="C376" s="20" t="s">
        <v>355</v>
      </c>
      <c r="D376" s="20" t="s">
        <v>14</v>
      </c>
      <c r="E376" s="21" t="s">
        <v>356</v>
      </c>
      <c r="F376" s="24" t="n">
        <f aca="false">I376/60</f>
        <v>3.78333333333333</v>
      </c>
      <c r="G376" s="22" t="n">
        <f aca="false">Kurallar!$B$10</f>
        <v>100</v>
      </c>
      <c r="H376" s="22" t="n">
        <f aca="false">G376*I376</f>
        <v>22700</v>
      </c>
      <c r="I376" s="23" t="n">
        <f aca="false">ROUND((Kurallar!$C$29*6+Kurallar!$C$42*2+Kurallar!$C$43*4+Kurallar!$C$45*1+Kurallar!$C$28*1+Kurallar!$C$40*2)*Kurallar!$B$11,0)</f>
        <v>227</v>
      </c>
      <c r="J376" s="20" t="s">
        <v>357</v>
      </c>
      <c r="K376" s="20" t="s">
        <v>14</v>
      </c>
      <c r="L376" s="21" t="s">
        <v>358</v>
      </c>
    </row>
    <row r="377" customFormat="false" ht="23.85" hidden="false" customHeight="false" outlineLevel="0" collapsed="false">
      <c r="A377" s="25"/>
      <c r="B377" s="26" t="s">
        <v>481</v>
      </c>
      <c r="C377" s="25"/>
      <c r="D377" s="25"/>
      <c r="E377" s="26"/>
      <c r="F377" s="27"/>
      <c r="G377" s="27"/>
      <c r="H377" s="27" t="n">
        <f aca="false">SUBTOTAL(9,H367:H376)</f>
        <v>64786.418</v>
      </c>
      <c r="I377" s="28"/>
      <c r="J377" s="25"/>
      <c r="K377" s="25"/>
      <c r="L377" s="26" t="s">
        <v>360</v>
      </c>
    </row>
    <row r="378" customFormat="false" ht="15" hidden="false" customHeight="false" outlineLevel="0" collapsed="false">
      <c r="A378" s="15" t="n">
        <v>377</v>
      </c>
      <c r="B378" s="16" t="str">
        <f aca="false">E378</f>
        <v>3.2-ЩР-1 — щит силовой</v>
      </c>
      <c r="C378" s="15" t="s">
        <v>300</v>
      </c>
      <c r="D378" s="15"/>
      <c r="E378" s="17" t="s">
        <v>482</v>
      </c>
      <c r="F378" s="18"/>
      <c r="G378" s="18"/>
      <c r="H378" s="18"/>
      <c r="I378" s="19" t="n">
        <v>1</v>
      </c>
      <c r="J378" s="15" t="s">
        <v>302</v>
      </c>
      <c r="K378" s="15"/>
      <c r="L378" s="17"/>
    </row>
    <row r="379" customFormat="false" ht="15" hidden="false" customHeight="false" outlineLevel="0" collapsed="false">
      <c r="A379" s="20" t="n">
        <v>378</v>
      </c>
      <c r="B379" s="21"/>
      <c r="C379" s="20" t="s">
        <v>303</v>
      </c>
      <c r="D379" s="20" t="s">
        <v>476</v>
      </c>
      <c r="E379" s="21" t="s">
        <v>477</v>
      </c>
      <c r="F379" s="22" t="n">
        <v>9265</v>
      </c>
      <c r="G379" s="22" t="n">
        <f aca="false">F379*VLOOKUP(K379,Kurallar!$A$17:$B$22,2,0)</f>
        <v>9265</v>
      </c>
      <c r="H379" s="22" t="n">
        <f aca="false">G379*I379</f>
        <v>9265</v>
      </c>
      <c r="I379" s="23" t="n">
        <v>1</v>
      </c>
      <c r="J379" s="20" t="s">
        <v>306</v>
      </c>
      <c r="K379" s="20" t="s">
        <v>37</v>
      </c>
      <c r="L379" s="21"/>
    </row>
    <row r="380" customFormat="false" ht="15" hidden="false" customHeight="false" outlineLevel="0" collapsed="false">
      <c r="A380" s="20" t="n">
        <v>379</v>
      </c>
      <c r="B380" s="21"/>
      <c r="C380" s="20" t="s">
        <v>309</v>
      </c>
      <c r="D380" s="20" t="s">
        <v>408</v>
      </c>
      <c r="E380" s="21" t="s">
        <v>409</v>
      </c>
      <c r="F380" s="22" t="n">
        <v>4217</v>
      </c>
      <c r="G380" s="22" t="n">
        <f aca="false">F380*VLOOKUP(K380,Kurallar!$A$17:$B$22,2,0)</f>
        <v>2530.2</v>
      </c>
      <c r="H380" s="22" t="n">
        <f aca="false">G380*I380</f>
        <v>2530.2</v>
      </c>
      <c r="I380" s="23" t="n">
        <v>1</v>
      </c>
      <c r="J380" s="20" t="s">
        <v>306</v>
      </c>
      <c r="K380" s="20" t="s">
        <v>33</v>
      </c>
      <c r="L380" s="21"/>
    </row>
    <row r="381" customFormat="false" ht="15" hidden="false" customHeight="false" outlineLevel="0" collapsed="false">
      <c r="A381" s="20" t="n">
        <v>380</v>
      </c>
      <c r="B381" s="21"/>
      <c r="C381" s="20" t="s">
        <v>398</v>
      </c>
      <c r="D381" s="20" t="s">
        <v>269</v>
      </c>
      <c r="E381" s="21" t="s">
        <v>446</v>
      </c>
      <c r="F381" s="22" t="n">
        <v>5104</v>
      </c>
      <c r="G381" s="22" t="n">
        <f aca="false">F381*VLOOKUP(K381,Kurallar!$A$17:$B$22,2,0)</f>
        <v>3062.4</v>
      </c>
      <c r="H381" s="22" t="n">
        <f aca="false">G381*I381</f>
        <v>27561.6</v>
      </c>
      <c r="I381" s="23" t="n">
        <v>9</v>
      </c>
      <c r="J381" s="20" t="s">
        <v>306</v>
      </c>
      <c r="K381" s="20" t="s">
        <v>33</v>
      </c>
      <c r="L381" s="21"/>
    </row>
    <row r="382" customFormat="false" ht="15" hidden="false" customHeight="false" outlineLevel="0" collapsed="false">
      <c r="A382" s="20" t="n">
        <v>381</v>
      </c>
      <c r="B382" s="21"/>
      <c r="C382" s="20" t="s">
        <v>331</v>
      </c>
      <c r="D382" s="20" t="s">
        <v>382</v>
      </c>
      <c r="E382" s="21" t="s">
        <v>383</v>
      </c>
      <c r="F382" s="22" t="n">
        <v>461</v>
      </c>
      <c r="G382" s="22" t="n">
        <f aca="false">F382*VLOOKUP(K382,Kurallar!$A$17:$B$22,2,0)</f>
        <v>461</v>
      </c>
      <c r="H382" s="22" t="n">
        <f aca="false">G382*I382</f>
        <v>922</v>
      </c>
      <c r="I382" s="23" t="n">
        <v>2</v>
      </c>
      <c r="J382" s="20" t="s">
        <v>306</v>
      </c>
      <c r="K382" s="20" t="s">
        <v>40</v>
      </c>
      <c r="L382" s="21"/>
    </row>
    <row r="383" customFormat="false" ht="15" hidden="false" customHeight="false" outlineLevel="0" collapsed="false">
      <c r="A383" s="20" t="n">
        <v>382</v>
      </c>
      <c r="B383" s="21"/>
      <c r="C383" s="20" t="s">
        <v>338</v>
      </c>
      <c r="D383" s="20" t="s">
        <v>339</v>
      </c>
      <c r="E383" s="21" t="s">
        <v>340</v>
      </c>
      <c r="F383" s="22" t="n">
        <v>869</v>
      </c>
      <c r="G383" s="22" t="n">
        <f aca="false">F383*VLOOKUP(K383,Kurallar!$A$17:$B$22,2,0)</f>
        <v>521.4</v>
      </c>
      <c r="H383" s="22" t="n">
        <f aca="false">G383*I383</f>
        <v>1042.8</v>
      </c>
      <c r="I383" s="23" t="n">
        <v>2</v>
      </c>
      <c r="J383" s="20" t="s">
        <v>306</v>
      </c>
      <c r="K383" s="20" t="s">
        <v>33</v>
      </c>
      <c r="L383" s="21"/>
    </row>
    <row r="384" customFormat="false" ht="15" hidden="false" customHeight="false" outlineLevel="0" collapsed="false">
      <c r="A384" s="20" t="n">
        <v>383</v>
      </c>
      <c r="B384" s="21"/>
      <c r="C384" s="20" t="s">
        <v>338</v>
      </c>
      <c r="D384" s="20" t="s">
        <v>341</v>
      </c>
      <c r="E384" s="21" t="s">
        <v>342</v>
      </c>
      <c r="F384" s="22" t="n">
        <v>1801</v>
      </c>
      <c r="G384" s="22" t="n">
        <f aca="false">F384*VLOOKUP(K384,Kurallar!$A$17:$B$22,2,0)</f>
        <v>1801</v>
      </c>
      <c r="H384" s="22" t="n">
        <f aca="false">G384*I384</f>
        <v>3602</v>
      </c>
      <c r="I384" s="23" t="n">
        <v>2</v>
      </c>
      <c r="J384" s="20" t="s">
        <v>306</v>
      </c>
      <c r="K384" s="20" t="s">
        <v>39</v>
      </c>
      <c r="L384" s="21"/>
    </row>
    <row r="385" customFormat="false" ht="15" hidden="false" customHeight="false" outlineLevel="0" collapsed="false">
      <c r="A385" s="20" t="n">
        <v>384</v>
      </c>
      <c r="B385" s="21"/>
      <c r="C385" s="20" t="s">
        <v>338</v>
      </c>
      <c r="D385" s="20" t="s">
        <v>343</v>
      </c>
      <c r="E385" s="21" t="s">
        <v>344</v>
      </c>
      <c r="F385" s="22" t="n">
        <v>127</v>
      </c>
      <c r="G385" s="22" t="n">
        <f aca="false">F385*VLOOKUP(K385,Kurallar!$A$17:$B$22,2,0)</f>
        <v>127</v>
      </c>
      <c r="H385" s="22" t="n">
        <f aca="false">G385*I385</f>
        <v>3810</v>
      </c>
      <c r="I385" s="23" t="n">
        <v>30</v>
      </c>
      <c r="J385" s="20" t="s">
        <v>345</v>
      </c>
      <c r="K385" s="20" t="s">
        <v>37</v>
      </c>
      <c r="L385" s="21"/>
    </row>
    <row r="386" customFormat="false" ht="15" hidden="false" customHeight="false" outlineLevel="0" collapsed="false">
      <c r="A386" s="20" t="n">
        <v>385</v>
      </c>
      <c r="B386" s="21"/>
      <c r="C386" s="20" t="s">
        <v>338</v>
      </c>
      <c r="D386" s="20" t="s">
        <v>348</v>
      </c>
      <c r="E386" s="21" t="s">
        <v>349</v>
      </c>
      <c r="F386" s="22" t="n">
        <v>918</v>
      </c>
      <c r="G386" s="22" t="n">
        <f aca="false">F386*VLOOKUP(K386,Kurallar!$A$17:$B$22,2,0)</f>
        <v>918</v>
      </c>
      <c r="H386" s="22" t="n">
        <f aca="false">G386*I386</f>
        <v>5508</v>
      </c>
      <c r="I386" s="23" t="n">
        <v>6</v>
      </c>
      <c r="J386" s="20" t="s">
        <v>345</v>
      </c>
      <c r="K386" s="20" t="s">
        <v>37</v>
      </c>
      <c r="L386" s="21"/>
    </row>
    <row r="387" customFormat="false" ht="15" hidden="false" customHeight="false" outlineLevel="0" collapsed="false">
      <c r="A387" s="20" t="n">
        <v>386</v>
      </c>
      <c r="B387" s="21"/>
      <c r="C387" s="20" t="s">
        <v>352</v>
      </c>
      <c r="D387" s="20" t="s">
        <v>14</v>
      </c>
      <c r="E387" s="21" t="s">
        <v>353</v>
      </c>
      <c r="F387" s="22"/>
      <c r="G387" s="22" t="n">
        <f aca="false">SUM(H379:H386)*Kurallar!$B$9</f>
        <v>1627.248</v>
      </c>
      <c r="H387" s="22" t="n">
        <f aca="false">G387*I387</f>
        <v>1627.248</v>
      </c>
      <c r="I387" s="23" t="n">
        <v>1</v>
      </c>
      <c r="J387" s="20" t="s">
        <v>302</v>
      </c>
      <c r="K387" s="20" t="s">
        <v>14</v>
      </c>
      <c r="L387" s="21" t="s">
        <v>354</v>
      </c>
    </row>
    <row r="388" customFormat="false" ht="15" hidden="false" customHeight="false" outlineLevel="0" collapsed="false">
      <c r="A388" s="20" t="n">
        <v>387</v>
      </c>
      <c r="B388" s="21"/>
      <c r="C388" s="20" t="s">
        <v>355</v>
      </c>
      <c r="D388" s="20" t="s">
        <v>14</v>
      </c>
      <c r="E388" s="21" t="s">
        <v>356</v>
      </c>
      <c r="F388" s="24" t="n">
        <f aca="false">I388/60</f>
        <v>5.1</v>
      </c>
      <c r="G388" s="22" t="n">
        <f aca="false">Kurallar!$B$10</f>
        <v>100</v>
      </c>
      <c r="H388" s="22" t="n">
        <f aca="false">G388*I388</f>
        <v>30600</v>
      </c>
      <c r="I388" s="23" t="n">
        <f aca="false">ROUND((Kurallar!$C$29*9+Kurallar!$C$42*2+Kurallar!$C$43*4+Kurallar!$C$45*1+Kurallar!$C$32*1+Kurallar!$C$40*2)*Kurallar!$B$11,0)</f>
        <v>306</v>
      </c>
      <c r="J388" s="20" t="s">
        <v>357</v>
      </c>
      <c r="K388" s="20" t="s">
        <v>14</v>
      </c>
      <c r="L388" s="21" t="s">
        <v>358</v>
      </c>
    </row>
    <row r="389" customFormat="false" ht="15" hidden="false" customHeight="false" outlineLevel="0" collapsed="false">
      <c r="A389" s="25"/>
      <c r="B389" s="26" t="s">
        <v>483</v>
      </c>
      <c r="C389" s="25"/>
      <c r="D389" s="25"/>
      <c r="E389" s="26"/>
      <c r="F389" s="27"/>
      <c r="G389" s="27"/>
      <c r="H389" s="27" t="n">
        <f aca="false">SUBTOTAL(9,H379:H388)</f>
        <v>86468.848</v>
      </c>
      <c r="I389" s="28"/>
      <c r="J389" s="25"/>
      <c r="K389" s="25"/>
      <c r="L389" s="26" t="s">
        <v>360</v>
      </c>
    </row>
    <row r="390" customFormat="false" ht="23.85" hidden="false" customHeight="false" outlineLevel="0" collapsed="false">
      <c r="A390" s="15" t="n">
        <v>389</v>
      </c>
      <c r="B390" s="16" t="str">
        <f aca="false">E390</f>
        <v>1.0-ЩО-1, 2.0-ЩО-1, 3.0-ЩО-1 — щит освещения</v>
      </c>
      <c r="C390" s="15" t="s">
        <v>300</v>
      </c>
      <c r="D390" s="15"/>
      <c r="E390" s="17" t="s">
        <v>484</v>
      </c>
      <c r="F390" s="18"/>
      <c r="G390" s="18"/>
      <c r="H390" s="18"/>
      <c r="I390" s="19" t="n">
        <v>3</v>
      </c>
      <c r="J390" s="15" t="s">
        <v>302</v>
      </c>
      <c r="K390" s="15"/>
      <c r="L390" s="17" t="s">
        <v>485</v>
      </c>
    </row>
    <row r="391" customFormat="false" ht="15" hidden="false" customHeight="false" outlineLevel="0" collapsed="false">
      <c r="A391" s="20" t="n">
        <v>390</v>
      </c>
      <c r="B391" s="21"/>
      <c r="C391" s="20" t="s">
        <v>303</v>
      </c>
      <c r="D391" s="20" t="s">
        <v>486</v>
      </c>
      <c r="E391" s="21" t="s">
        <v>487</v>
      </c>
      <c r="F391" s="22" t="n">
        <v>7220</v>
      </c>
      <c r="G391" s="22" t="n">
        <f aca="false">F391*VLOOKUP(K391,Kurallar!$A$17:$B$22,2,0)</f>
        <v>7220</v>
      </c>
      <c r="H391" s="22" t="n">
        <f aca="false">G391*I391</f>
        <v>7220</v>
      </c>
      <c r="I391" s="23" t="n">
        <v>1</v>
      </c>
      <c r="J391" s="20" t="s">
        <v>306</v>
      </c>
      <c r="K391" s="20" t="s">
        <v>37</v>
      </c>
      <c r="L391" s="21"/>
    </row>
    <row r="392" customFormat="false" ht="15" hidden="false" customHeight="false" outlineLevel="0" collapsed="false">
      <c r="A392" s="20" t="n">
        <v>391</v>
      </c>
      <c r="B392" s="21"/>
      <c r="C392" s="20" t="s">
        <v>373</v>
      </c>
      <c r="D392" s="20" t="s">
        <v>376</v>
      </c>
      <c r="E392" s="21" t="s">
        <v>377</v>
      </c>
      <c r="F392" s="22" t="n">
        <v>5884</v>
      </c>
      <c r="G392" s="22" t="n">
        <f aca="false">F392*VLOOKUP(K392,Kurallar!$A$17:$B$22,2,0)</f>
        <v>3530.4</v>
      </c>
      <c r="H392" s="22" t="n">
        <f aca="false">G392*I392</f>
        <v>3530.4</v>
      </c>
      <c r="I392" s="23" t="n">
        <v>1</v>
      </c>
      <c r="J392" s="20" t="s">
        <v>306</v>
      </c>
      <c r="K392" s="20" t="s">
        <v>33</v>
      </c>
      <c r="L392" s="21"/>
    </row>
    <row r="393" customFormat="false" ht="15" hidden="false" customHeight="false" outlineLevel="0" collapsed="false">
      <c r="A393" s="20" t="n">
        <v>392</v>
      </c>
      <c r="B393" s="21"/>
      <c r="C393" s="20" t="s">
        <v>373</v>
      </c>
      <c r="D393" s="20" t="s">
        <v>380</v>
      </c>
      <c r="E393" s="21" t="s">
        <v>381</v>
      </c>
      <c r="F393" s="22" t="n">
        <v>1362</v>
      </c>
      <c r="G393" s="22" t="n">
        <f aca="false">F393*VLOOKUP(K393,Kurallar!$A$17:$B$22,2,0)</f>
        <v>817.2</v>
      </c>
      <c r="H393" s="22" t="n">
        <f aca="false">G393*I393</f>
        <v>4086</v>
      </c>
      <c r="I393" s="23" t="n">
        <v>5</v>
      </c>
      <c r="J393" s="20" t="s">
        <v>306</v>
      </c>
      <c r="K393" s="20" t="s">
        <v>33</v>
      </c>
      <c r="L393" s="21"/>
    </row>
    <row r="394" customFormat="false" ht="15" hidden="false" customHeight="false" outlineLevel="0" collapsed="false">
      <c r="A394" s="20" t="n">
        <v>393</v>
      </c>
      <c r="B394" s="21"/>
      <c r="C394" s="20" t="s">
        <v>331</v>
      </c>
      <c r="D394" s="20" t="s">
        <v>382</v>
      </c>
      <c r="E394" s="21" t="s">
        <v>383</v>
      </c>
      <c r="F394" s="22" t="n">
        <v>461</v>
      </c>
      <c r="G394" s="22" t="n">
        <f aca="false">F394*VLOOKUP(K394,Kurallar!$A$17:$B$22,2,0)</f>
        <v>461</v>
      </c>
      <c r="H394" s="22" t="n">
        <f aca="false">G394*I394</f>
        <v>922</v>
      </c>
      <c r="I394" s="23" t="n">
        <v>2</v>
      </c>
      <c r="J394" s="20" t="s">
        <v>306</v>
      </c>
      <c r="K394" s="20" t="s">
        <v>40</v>
      </c>
      <c r="L394" s="21"/>
    </row>
    <row r="395" customFormat="false" ht="15" hidden="false" customHeight="false" outlineLevel="0" collapsed="false">
      <c r="A395" s="20" t="n">
        <v>394</v>
      </c>
      <c r="B395" s="21"/>
      <c r="C395" s="20" t="s">
        <v>338</v>
      </c>
      <c r="D395" s="20" t="s">
        <v>339</v>
      </c>
      <c r="E395" s="21" t="s">
        <v>340</v>
      </c>
      <c r="F395" s="22" t="n">
        <v>869</v>
      </c>
      <c r="G395" s="22" t="n">
        <f aca="false">F395*VLOOKUP(K395,Kurallar!$A$17:$B$22,2,0)</f>
        <v>521.4</v>
      </c>
      <c r="H395" s="22" t="n">
        <f aca="false">G395*I395</f>
        <v>521.4</v>
      </c>
      <c r="I395" s="23" t="n">
        <v>1</v>
      </c>
      <c r="J395" s="20" t="s">
        <v>306</v>
      </c>
      <c r="K395" s="20" t="s">
        <v>33</v>
      </c>
      <c r="L395" s="21"/>
    </row>
    <row r="396" customFormat="false" ht="15" hidden="false" customHeight="false" outlineLevel="0" collapsed="false">
      <c r="A396" s="20" t="n">
        <v>395</v>
      </c>
      <c r="B396" s="21"/>
      <c r="C396" s="20" t="s">
        <v>338</v>
      </c>
      <c r="D396" s="20" t="s">
        <v>341</v>
      </c>
      <c r="E396" s="21" t="s">
        <v>342</v>
      </c>
      <c r="F396" s="22" t="n">
        <v>1801</v>
      </c>
      <c r="G396" s="22" t="n">
        <f aca="false">F396*VLOOKUP(K396,Kurallar!$A$17:$B$22,2,0)</f>
        <v>1801</v>
      </c>
      <c r="H396" s="22" t="n">
        <f aca="false">G396*I396</f>
        <v>3602</v>
      </c>
      <c r="I396" s="23" t="n">
        <v>2</v>
      </c>
      <c r="J396" s="20" t="s">
        <v>306</v>
      </c>
      <c r="K396" s="20" t="s">
        <v>39</v>
      </c>
      <c r="L396" s="21"/>
    </row>
    <row r="397" customFormat="false" ht="15" hidden="false" customHeight="false" outlineLevel="0" collapsed="false">
      <c r="A397" s="20" t="n">
        <v>396</v>
      </c>
      <c r="B397" s="21"/>
      <c r="C397" s="20" t="s">
        <v>338</v>
      </c>
      <c r="D397" s="20" t="s">
        <v>343</v>
      </c>
      <c r="E397" s="21" t="s">
        <v>344</v>
      </c>
      <c r="F397" s="22" t="n">
        <v>127</v>
      </c>
      <c r="G397" s="22" t="n">
        <f aca="false">F397*VLOOKUP(K397,Kurallar!$A$17:$B$22,2,0)</f>
        <v>127</v>
      </c>
      <c r="H397" s="22" t="n">
        <f aca="false">G397*I397</f>
        <v>1905</v>
      </c>
      <c r="I397" s="23" t="n">
        <v>15</v>
      </c>
      <c r="J397" s="20" t="s">
        <v>345</v>
      </c>
      <c r="K397" s="20" t="s">
        <v>37</v>
      </c>
      <c r="L397" s="21"/>
    </row>
    <row r="398" customFormat="false" ht="15" hidden="false" customHeight="false" outlineLevel="0" collapsed="false">
      <c r="A398" s="20" t="n">
        <v>397</v>
      </c>
      <c r="B398" s="21"/>
      <c r="C398" s="20" t="s">
        <v>338</v>
      </c>
      <c r="D398" s="20" t="s">
        <v>346</v>
      </c>
      <c r="E398" s="21" t="s">
        <v>347</v>
      </c>
      <c r="F398" s="22" t="n">
        <v>319</v>
      </c>
      <c r="G398" s="22" t="n">
        <f aca="false">F398*VLOOKUP(K398,Kurallar!$A$17:$B$22,2,0)</f>
        <v>319</v>
      </c>
      <c r="H398" s="22" t="n">
        <f aca="false">G398*I398</f>
        <v>1595</v>
      </c>
      <c r="I398" s="23" t="n">
        <v>5</v>
      </c>
      <c r="J398" s="20" t="s">
        <v>345</v>
      </c>
      <c r="K398" s="20" t="s">
        <v>37</v>
      </c>
      <c r="L398" s="21"/>
    </row>
    <row r="399" customFormat="false" ht="15" hidden="false" customHeight="false" outlineLevel="0" collapsed="false">
      <c r="A399" s="20" t="n">
        <v>398</v>
      </c>
      <c r="B399" s="21"/>
      <c r="C399" s="20" t="s">
        <v>352</v>
      </c>
      <c r="D399" s="20" t="s">
        <v>14</v>
      </c>
      <c r="E399" s="21" t="s">
        <v>353</v>
      </c>
      <c r="F399" s="22"/>
      <c r="G399" s="22" t="n">
        <f aca="false">SUM(H391:H398)*Kurallar!$B$9</f>
        <v>701.454</v>
      </c>
      <c r="H399" s="22" t="n">
        <f aca="false">G399*I399</f>
        <v>701.454</v>
      </c>
      <c r="I399" s="23" t="n">
        <v>1</v>
      </c>
      <c r="J399" s="20" t="s">
        <v>302</v>
      </c>
      <c r="K399" s="20" t="s">
        <v>14</v>
      </c>
      <c r="L399" s="21" t="s">
        <v>354</v>
      </c>
    </row>
    <row r="400" customFormat="false" ht="15" hidden="false" customHeight="false" outlineLevel="0" collapsed="false">
      <c r="A400" s="20" t="n">
        <v>399</v>
      </c>
      <c r="B400" s="21"/>
      <c r="C400" s="20" t="s">
        <v>355</v>
      </c>
      <c r="D400" s="20" t="s">
        <v>14</v>
      </c>
      <c r="E400" s="21" t="s">
        <v>356</v>
      </c>
      <c r="F400" s="24" t="n">
        <f aca="false">I400/60</f>
        <v>2.73333333333333</v>
      </c>
      <c r="G400" s="22" t="n">
        <f aca="false">Kurallar!$B$10</f>
        <v>100</v>
      </c>
      <c r="H400" s="22" t="n">
        <f aca="false">G400*I400</f>
        <v>16400</v>
      </c>
      <c r="I400" s="23" t="n">
        <f aca="false">ROUND((Kurallar!$C$42*1+Kurallar!$C$43*4+Kurallar!$C$44*1+Kurallar!$C$27*5+Kurallar!$C$28*1+Kurallar!$C$40*2)*Kurallar!$B$11,0)</f>
        <v>164</v>
      </c>
      <c r="J400" s="20" t="s">
        <v>357</v>
      </c>
      <c r="K400" s="20" t="s">
        <v>14</v>
      </c>
      <c r="L400" s="21" t="s">
        <v>358</v>
      </c>
    </row>
    <row r="401" customFormat="false" ht="23.85" hidden="false" customHeight="false" outlineLevel="0" collapsed="false">
      <c r="A401" s="25"/>
      <c r="B401" s="26" t="s">
        <v>488</v>
      </c>
      <c r="C401" s="25"/>
      <c r="D401" s="25"/>
      <c r="E401" s="26"/>
      <c r="F401" s="27"/>
      <c r="G401" s="27"/>
      <c r="H401" s="27" t="n">
        <f aca="false">SUBTOTAL(9,H391:H400)</f>
        <v>40483.254</v>
      </c>
      <c r="I401" s="28"/>
      <c r="J401" s="25"/>
      <c r="K401" s="25"/>
      <c r="L401" s="26" t="s">
        <v>360</v>
      </c>
    </row>
    <row r="402" customFormat="false" ht="35.05" hidden="false" customHeight="false" outlineLevel="0" collapsed="false">
      <c r="A402" s="15" t="n">
        <v>401</v>
      </c>
      <c r="B402" s="16" t="str">
        <f aca="false">E402</f>
        <v>3.1-ЩО-2, 1.2-ЩО-1, 2.2-ЩО-1, 3.2-ЩО-2, 3.3-ЩО-1/2, 3.4-ЩО-1/2 — щит освещения</v>
      </c>
      <c r="C402" s="15" t="s">
        <v>300</v>
      </c>
      <c r="D402" s="15"/>
      <c r="E402" s="17" t="s">
        <v>489</v>
      </c>
      <c r="F402" s="18"/>
      <c r="G402" s="18"/>
      <c r="H402" s="18"/>
      <c r="I402" s="19" t="n">
        <v>8</v>
      </c>
      <c r="J402" s="15" t="s">
        <v>302</v>
      </c>
      <c r="K402" s="15"/>
      <c r="L402" s="17" t="s">
        <v>480</v>
      </c>
    </row>
    <row r="403" customFormat="false" ht="15" hidden="false" customHeight="false" outlineLevel="0" collapsed="false">
      <c r="A403" s="20" t="n">
        <v>402</v>
      </c>
      <c r="B403" s="21"/>
      <c r="C403" s="20" t="s">
        <v>303</v>
      </c>
      <c r="D403" s="20" t="s">
        <v>490</v>
      </c>
      <c r="E403" s="21" t="s">
        <v>491</v>
      </c>
      <c r="F403" s="22" t="n">
        <v>7220</v>
      </c>
      <c r="G403" s="22" t="n">
        <f aca="false">F403*VLOOKUP(K403,Kurallar!$A$17:$B$22,2,0)</f>
        <v>7220</v>
      </c>
      <c r="H403" s="22" t="n">
        <f aca="false">G403*I403</f>
        <v>7220</v>
      </c>
      <c r="I403" s="23" t="n">
        <v>1</v>
      </c>
      <c r="J403" s="20" t="s">
        <v>306</v>
      </c>
      <c r="K403" s="20" t="s">
        <v>37</v>
      </c>
      <c r="L403" s="21"/>
    </row>
    <row r="404" customFormat="false" ht="15" hidden="false" customHeight="false" outlineLevel="0" collapsed="false">
      <c r="A404" s="20" t="n">
        <v>403</v>
      </c>
      <c r="B404" s="21"/>
      <c r="C404" s="20" t="s">
        <v>373</v>
      </c>
      <c r="D404" s="20" t="s">
        <v>376</v>
      </c>
      <c r="E404" s="21" t="s">
        <v>377</v>
      </c>
      <c r="F404" s="22" t="n">
        <v>5884</v>
      </c>
      <c r="G404" s="22" t="n">
        <f aca="false">F404*VLOOKUP(K404,Kurallar!$A$17:$B$22,2,0)</f>
        <v>3530.4</v>
      </c>
      <c r="H404" s="22" t="n">
        <f aca="false">G404*I404</f>
        <v>3530.4</v>
      </c>
      <c r="I404" s="23" t="n">
        <v>1</v>
      </c>
      <c r="J404" s="20" t="s">
        <v>306</v>
      </c>
      <c r="K404" s="20" t="s">
        <v>33</v>
      </c>
      <c r="L404" s="21"/>
    </row>
    <row r="405" customFormat="false" ht="15" hidden="false" customHeight="false" outlineLevel="0" collapsed="false">
      <c r="A405" s="20" t="n">
        <v>404</v>
      </c>
      <c r="B405" s="21"/>
      <c r="C405" s="20" t="s">
        <v>373</v>
      </c>
      <c r="D405" s="20" t="s">
        <v>380</v>
      </c>
      <c r="E405" s="21" t="s">
        <v>381</v>
      </c>
      <c r="F405" s="22" t="n">
        <v>1362</v>
      </c>
      <c r="G405" s="22" t="n">
        <f aca="false">F405*VLOOKUP(K405,Kurallar!$A$17:$B$22,2,0)</f>
        <v>817.2</v>
      </c>
      <c r="H405" s="22" t="n">
        <f aca="false">G405*I405</f>
        <v>4086</v>
      </c>
      <c r="I405" s="23" t="n">
        <v>5</v>
      </c>
      <c r="J405" s="20" t="s">
        <v>306</v>
      </c>
      <c r="K405" s="20" t="s">
        <v>33</v>
      </c>
      <c r="L405" s="21"/>
    </row>
    <row r="406" customFormat="false" ht="15" hidden="false" customHeight="false" outlineLevel="0" collapsed="false">
      <c r="A406" s="20" t="n">
        <v>405</v>
      </c>
      <c r="B406" s="21"/>
      <c r="C406" s="20" t="s">
        <v>331</v>
      </c>
      <c r="D406" s="20" t="s">
        <v>382</v>
      </c>
      <c r="E406" s="21" t="s">
        <v>383</v>
      </c>
      <c r="F406" s="22" t="n">
        <v>461</v>
      </c>
      <c r="G406" s="22" t="n">
        <f aca="false">F406*VLOOKUP(K406,Kurallar!$A$17:$B$22,2,0)</f>
        <v>461</v>
      </c>
      <c r="H406" s="22" t="n">
        <f aca="false">G406*I406</f>
        <v>922</v>
      </c>
      <c r="I406" s="23" t="n">
        <v>2</v>
      </c>
      <c r="J406" s="20" t="s">
        <v>306</v>
      </c>
      <c r="K406" s="20" t="s">
        <v>40</v>
      </c>
      <c r="L406" s="21"/>
    </row>
    <row r="407" customFormat="false" ht="15" hidden="false" customHeight="false" outlineLevel="0" collapsed="false">
      <c r="A407" s="20" t="n">
        <v>406</v>
      </c>
      <c r="B407" s="21"/>
      <c r="C407" s="20" t="s">
        <v>338</v>
      </c>
      <c r="D407" s="20" t="s">
        <v>339</v>
      </c>
      <c r="E407" s="21" t="s">
        <v>340</v>
      </c>
      <c r="F407" s="22" t="n">
        <v>869</v>
      </c>
      <c r="G407" s="22" t="n">
        <f aca="false">F407*VLOOKUP(K407,Kurallar!$A$17:$B$22,2,0)</f>
        <v>521.4</v>
      </c>
      <c r="H407" s="22" t="n">
        <f aca="false">G407*I407</f>
        <v>521.4</v>
      </c>
      <c r="I407" s="23" t="n">
        <v>1</v>
      </c>
      <c r="J407" s="20" t="s">
        <v>306</v>
      </c>
      <c r="K407" s="20" t="s">
        <v>33</v>
      </c>
      <c r="L407" s="21"/>
    </row>
    <row r="408" customFormat="false" ht="15" hidden="false" customHeight="false" outlineLevel="0" collapsed="false">
      <c r="A408" s="20" t="n">
        <v>407</v>
      </c>
      <c r="B408" s="21"/>
      <c r="C408" s="20" t="s">
        <v>338</v>
      </c>
      <c r="D408" s="20" t="s">
        <v>341</v>
      </c>
      <c r="E408" s="21" t="s">
        <v>342</v>
      </c>
      <c r="F408" s="22" t="n">
        <v>1801</v>
      </c>
      <c r="G408" s="22" t="n">
        <f aca="false">F408*VLOOKUP(K408,Kurallar!$A$17:$B$22,2,0)</f>
        <v>1801</v>
      </c>
      <c r="H408" s="22" t="n">
        <f aca="false">G408*I408</f>
        <v>3602</v>
      </c>
      <c r="I408" s="23" t="n">
        <v>2</v>
      </c>
      <c r="J408" s="20" t="s">
        <v>306</v>
      </c>
      <c r="K408" s="20" t="s">
        <v>39</v>
      </c>
      <c r="L408" s="21"/>
    </row>
    <row r="409" customFormat="false" ht="15" hidden="false" customHeight="false" outlineLevel="0" collapsed="false">
      <c r="A409" s="20" t="n">
        <v>408</v>
      </c>
      <c r="B409" s="21"/>
      <c r="C409" s="20" t="s">
        <v>338</v>
      </c>
      <c r="D409" s="20" t="s">
        <v>343</v>
      </c>
      <c r="E409" s="21" t="s">
        <v>344</v>
      </c>
      <c r="F409" s="22" t="n">
        <v>127</v>
      </c>
      <c r="G409" s="22" t="n">
        <f aca="false">F409*VLOOKUP(K409,Kurallar!$A$17:$B$22,2,0)</f>
        <v>127</v>
      </c>
      <c r="H409" s="22" t="n">
        <f aca="false">G409*I409</f>
        <v>1905</v>
      </c>
      <c r="I409" s="23" t="n">
        <v>15</v>
      </c>
      <c r="J409" s="20" t="s">
        <v>345</v>
      </c>
      <c r="K409" s="20" t="s">
        <v>37</v>
      </c>
      <c r="L409" s="21"/>
    </row>
    <row r="410" customFormat="false" ht="15" hidden="false" customHeight="false" outlineLevel="0" collapsed="false">
      <c r="A410" s="20" t="n">
        <v>409</v>
      </c>
      <c r="B410" s="21"/>
      <c r="C410" s="20" t="s">
        <v>338</v>
      </c>
      <c r="D410" s="20" t="s">
        <v>346</v>
      </c>
      <c r="E410" s="21" t="s">
        <v>347</v>
      </c>
      <c r="F410" s="22" t="n">
        <v>319</v>
      </c>
      <c r="G410" s="22" t="n">
        <f aca="false">F410*VLOOKUP(K410,Kurallar!$A$17:$B$22,2,0)</f>
        <v>319</v>
      </c>
      <c r="H410" s="22" t="n">
        <f aca="false">G410*I410</f>
        <v>1595</v>
      </c>
      <c r="I410" s="23" t="n">
        <v>5</v>
      </c>
      <c r="J410" s="20" t="s">
        <v>345</v>
      </c>
      <c r="K410" s="20" t="s">
        <v>37</v>
      </c>
      <c r="L410" s="21"/>
    </row>
    <row r="411" customFormat="false" ht="15" hidden="false" customHeight="false" outlineLevel="0" collapsed="false">
      <c r="A411" s="20" t="n">
        <v>410</v>
      </c>
      <c r="B411" s="21"/>
      <c r="C411" s="20" t="s">
        <v>352</v>
      </c>
      <c r="D411" s="20" t="s">
        <v>14</v>
      </c>
      <c r="E411" s="21" t="s">
        <v>353</v>
      </c>
      <c r="F411" s="22"/>
      <c r="G411" s="22" t="n">
        <f aca="false">SUM(H403:H410)*Kurallar!$B$9</f>
        <v>701.454</v>
      </c>
      <c r="H411" s="22" t="n">
        <f aca="false">G411*I411</f>
        <v>701.454</v>
      </c>
      <c r="I411" s="23" t="n">
        <v>1</v>
      </c>
      <c r="J411" s="20" t="s">
        <v>302</v>
      </c>
      <c r="K411" s="20" t="s">
        <v>14</v>
      </c>
      <c r="L411" s="21" t="s">
        <v>354</v>
      </c>
    </row>
    <row r="412" customFormat="false" ht="15" hidden="false" customHeight="false" outlineLevel="0" collapsed="false">
      <c r="A412" s="20" t="n">
        <v>411</v>
      </c>
      <c r="B412" s="21"/>
      <c r="C412" s="20" t="s">
        <v>355</v>
      </c>
      <c r="D412" s="20" t="s">
        <v>14</v>
      </c>
      <c r="E412" s="21" t="s">
        <v>356</v>
      </c>
      <c r="F412" s="24" t="n">
        <f aca="false">I412/60</f>
        <v>2.73333333333333</v>
      </c>
      <c r="G412" s="22" t="n">
        <f aca="false">Kurallar!$B$10</f>
        <v>100</v>
      </c>
      <c r="H412" s="22" t="n">
        <f aca="false">G412*I412</f>
        <v>16400</v>
      </c>
      <c r="I412" s="23" t="n">
        <f aca="false">ROUND((Kurallar!$C$42*1+Kurallar!$C$43*4+Kurallar!$C$44*1+Kurallar!$C$27*5+Kurallar!$C$28*1+Kurallar!$C$40*2)*Kurallar!$B$11,0)</f>
        <v>164</v>
      </c>
      <c r="J412" s="20" t="s">
        <v>357</v>
      </c>
      <c r="K412" s="20" t="s">
        <v>14</v>
      </c>
      <c r="L412" s="21" t="s">
        <v>358</v>
      </c>
    </row>
    <row r="413" customFormat="false" ht="35.05" hidden="false" customHeight="false" outlineLevel="0" collapsed="false">
      <c r="A413" s="25"/>
      <c r="B413" s="26" t="s">
        <v>492</v>
      </c>
      <c r="C413" s="25"/>
      <c r="D413" s="25"/>
      <c r="E413" s="26"/>
      <c r="F413" s="27"/>
      <c r="G413" s="27"/>
      <c r="H413" s="27" t="n">
        <f aca="false">SUBTOTAL(9,H403:H412)</f>
        <v>40483.254</v>
      </c>
      <c r="I413" s="28"/>
      <c r="J413" s="25"/>
      <c r="K413" s="25"/>
      <c r="L413" s="26" t="s">
        <v>360</v>
      </c>
    </row>
    <row r="414" customFormat="false" ht="23.85" hidden="false" customHeight="false" outlineLevel="0" collapsed="false">
      <c r="A414" s="15" t="n">
        <v>413</v>
      </c>
      <c r="B414" s="16" t="str">
        <f aca="false">E414</f>
        <v>3.1-ЩО-1, 3.2-ЩО-1 — щит освещения</v>
      </c>
      <c r="C414" s="15" t="s">
        <v>300</v>
      </c>
      <c r="D414" s="15"/>
      <c r="E414" s="17" t="s">
        <v>493</v>
      </c>
      <c r="F414" s="18"/>
      <c r="G414" s="18"/>
      <c r="H414" s="18"/>
      <c r="I414" s="19" t="n">
        <v>2</v>
      </c>
      <c r="J414" s="15" t="s">
        <v>302</v>
      </c>
      <c r="K414" s="15"/>
      <c r="L414" s="17" t="s">
        <v>443</v>
      </c>
    </row>
    <row r="415" customFormat="false" ht="15" hidden="false" customHeight="false" outlineLevel="0" collapsed="false">
      <c r="A415" s="20" t="n">
        <v>414</v>
      </c>
      <c r="B415" s="21"/>
      <c r="C415" s="20" t="s">
        <v>303</v>
      </c>
      <c r="D415" s="20" t="s">
        <v>490</v>
      </c>
      <c r="E415" s="21" t="s">
        <v>491</v>
      </c>
      <c r="F415" s="22" t="n">
        <v>7220</v>
      </c>
      <c r="G415" s="22" t="n">
        <f aca="false">F415*VLOOKUP(K415,Kurallar!$A$17:$B$22,2,0)</f>
        <v>7220</v>
      </c>
      <c r="H415" s="22" t="n">
        <f aca="false">G415*I415</f>
        <v>7220</v>
      </c>
      <c r="I415" s="23" t="n">
        <v>1</v>
      </c>
      <c r="J415" s="20" t="s">
        <v>306</v>
      </c>
      <c r="K415" s="20" t="s">
        <v>37</v>
      </c>
      <c r="L415" s="21"/>
    </row>
    <row r="416" customFormat="false" ht="15" hidden="false" customHeight="false" outlineLevel="0" collapsed="false">
      <c r="A416" s="20" t="n">
        <v>415</v>
      </c>
      <c r="B416" s="21"/>
      <c r="C416" s="20" t="s">
        <v>373</v>
      </c>
      <c r="D416" s="20" t="s">
        <v>376</v>
      </c>
      <c r="E416" s="21" t="s">
        <v>377</v>
      </c>
      <c r="F416" s="22" t="n">
        <v>5884</v>
      </c>
      <c r="G416" s="22" t="n">
        <f aca="false">F416*VLOOKUP(K416,Kurallar!$A$17:$B$22,2,0)</f>
        <v>3530.4</v>
      </c>
      <c r="H416" s="22" t="n">
        <f aca="false">G416*I416</f>
        <v>3530.4</v>
      </c>
      <c r="I416" s="23" t="n">
        <v>1</v>
      </c>
      <c r="J416" s="20" t="s">
        <v>306</v>
      </c>
      <c r="K416" s="20" t="s">
        <v>33</v>
      </c>
      <c r="L416" s="21"/>
    </row>
    <row r="417" customFormat="false" ht="15" hidden="false" customHeight="false" outlineLevel="0" collapsed="false">
      <c r="A417" s="20" t="n">
        <v>416</v>
      </c>
      <c r="B417" s="21"/>
      <c r="C417" s="20" t="s">
        <v>373</v>
      </c>
      <c r="D417" s="20" t="s">
        <v>380</v>
      </c>
      <c r="E417" s="21" t="s">
        <v>381</v>
      </c>
      <c r="F417" s="22" t="n">
        <v>1362</v>
      </c>
      <c r="G417" s="22" t="n">
        <f aca="false">F417*VLOOKUP(K417,Kurallar!$A$17:$B$22,2,0)</f>
        <v>817.2</v>
      </c>
      <c r="H417" s="22" t="n">
        <f aca="false">G417*I417</f>
        <v>4903.2</v>
      </c>
      <c r="I417" s="23" t="n">
        <v>6</v>
      </c>
      <c r="J417" s="20" t="s">
        <v>306</v>
      </c>
      <c r="K417" s="20" t="s">
        <v>33</v>
      </c>
      <c r="L417" s="21"/>
    </row>
    <row r="418" customFormat="false" ht="15" hidden="false" customHeight="false" outlineLevel="0" collapsed="false">
      <c r="A418" s="20" t="n">
        <v>417</v>
      </c>
      <c r="B418" s="21"/>
      <c r="C418" s="20" t="s">
        <v>331</v>
      </c>
      <c r="D418" s="20" t="s">
        <v>382</v>
      </c>
      <c r="E418" s="21" t="s">
        <v>383</v>
      </c>
      <c r="F418" s="22" t="n">
        <v>461</v>
      </c>
      <c r="G418" s="22" t="n">
        <f aca="false">F418*VLOOKUP(K418,Kurallar!$A$17:$B$22,2,0)</f>
        <v>461</v>
      </c>
      <c r="H418" s="22" t="n">
        <f aca="false">G418*I418</f>
        <v>922</v>
      </c>
      <c r="I418" s="23" t="n">
        <v>2</v>
      </c>
      <c r="J418" s="20" t="s">
        <v>306</v>
      </c>
      <c r="K418" s="20" t="s">
        <v>40</v>
      </c>
      <c r="L418" s="21"/>
    </row>
    <row r="419" customFormat="false" ht="15" hidden="false" customHeight="false" outlineLevel="0" collapsed="false">
      <c r="A419" s="20" t="n">
        <v>418</v>
      </c>
      <c r="B419" s="21"/>
      <c r="C419" s="20" t="s">
        <v>338</v>
      </c>
      <c r="D419" s="20" t="s">
        <v>339</v>
      </c>
      <c r="E419" s="21" t="s">
        <v>340</v>
      </c>
      <c r="F419" s="22" t="n">
        <v>869</v>
      </c>
      <c r="G419" s="22" t="n">
        <f aca="false">F419*VLOOKUP(K419,Kurallar!$A$17:$B$22,2,0)</f>
        <v>521.4</v>
      </c>
      <c r="H419" s="22" t="n">
        <f aca="false">G419*I419</f>
        <v>521.4</v>
      </c>
      <c r="I419" s="23" t="n">
        <v>1</v>
      </c>
      <c r="J419" s="20" t="s">
        <v>306</v>
      </c>
      <c r="K419" s="20" t="s">
        <v>33</v>
      </c>
      <c r="L419" s="21"/>
    </row>
    <row r="420" customFormat="false" ht="15" hidden="false" customHeight="false" outlineLevel="0" collapsed="false">
      <c r="A420" s="20" t="n">
        <v>419</v>
      </c>
      <c r="B420" s="21"/>
      <c r="C420" s="20" t="s">
        <v>338</v>
      </c>
      <c r="D420" s="20" t="s">
        <v>341</v>
      </c>
      <c r="E420" s="21" t="s">
        <v>342</v>
      </c>
      <c r="F420" s="22" t="n">
        <v>1801</v>
      </c>
      <c r="G420" s="22" t="n">
        <f aca="false">F420*VLOOKUP(K420,Kurallar!$A$17:$B$22,2,0)</f>
        <v>1801</v>
      </c>
      <c r="H420" s="22" t="n">
        <f aca="false">G420*I420</f>
        <v>3602</v>
      </c>
      <c r="I420" s="23" t="n">
        <v>2</v>
      </c>
      <c r="J420" s="20" t="s">
        <v>306</v>
      </c>
      <c r="K420" s="20" t="s">
        <v>39</v>
      </c>
      <c r="L420" s="21"/>
    </row>
    <row r="421" customFormat="false" ht="15" hidden="false" customHeight="false" outlineLevel="0" collapsed="false">
      <c r="A421" s="20" t="n">
        <v>420</v>
      </c>
      <c r="B421" s="21"/>
      <c r="C421" s="20" t="s">
        <v>338</v>
      </c>
      <c r="D421" s="20" t="s">
        <v>343</v>
      </c>
      <c r="E421" s="21" t="s">
        <v>344</v>
      </c>
      <c r="F421" s="22" t="n">
        <v>127</v>
      </c>
      <c r="G421" s="22" t="n">
        <f aca="false">F421*VLOOKUP(K421,Kurallar!$A$17:$B$22,2,0)</f>
        <v>127</v>
      </c>
      <c r="H421" s="22" t="n">
        <f aca="false">G421*I421</f>
        <v>2286</v>
      </c>
      <c r="I421" s="23" t="n">
        <v>18</v>
      </c>
      <c r="J421" s="20" t="s">
        <v>345</v>
      </c>
      <c r="K421" s="20" t="s">
        <v>37</v>
      </c>
      <c r="L421" s="21"/>
    </row>
    <row r="422" customFormat="false" ht="15" hidden="false" customHeight="false" outlineLevel="0" collapsed="false">
      <c r="A422" s="20" t="n">
        <v>421</v>
      </c>
      <c r="B422" s="21"/>
      <c r="C422" s="20" t="s">
        <v>338</v>
      </c>
      <c r="D422" s="20" t="s">
        <v>346</v>
      </c>
      <c r="E422" s="21" t="s">
        <v>347</v>
      </c>
      <c r="F422" s="22" t="n">
        <v>319</v>
      </c>
      <c r="G422" s="22" t="n">
        <f aca="false">F422*VLOOKUP(K422,Kurallar!$A$17:$B$22,2,0)</f>
        <v>319</v>
      </c>
      <c r="H422" s="22" t="n">
        <f aca="false">G422*I422</f>
        <v>1595</v>
      </c>
      <c r="I422" s="23" t="n">
        <v>5</v>
      </c>
      <c r="J422" s="20" t="s">
        <v>345</v>
      </c>
      <c r="K422" s="20" t="s">
        <v>37</v>
      </c>
      <c r="L422" s="21"/>
    </row>
    <row r="423" customFormat="false" ht="15" hidden="false" customHeight="false" outlineLevel="0" collapsed="false">
      <c r="A423" s="20" t="n">
        <v>422</v>
      </c>
      <c r="B423" s="21"/>
      <c r="C423" s="20" t="s">
        <v>352</v>
      </c>
      <c r="D423" s="20" t="s">
        <v>14</v>
      </c>
      <c r="E423" s="21" t="s">
        <v>353</v>
      </c>
      <c r="F423" s="22"/>
      <c r="G423" s="22" t="n">
        <f aca="false">SUM(H415:H422)*Kurallar!$B$9</f>
        <v>737.4</v>
      </c>
      <c r="H423" s="22" t="n">
        <f aca="false">G423*I423</f>
        <v>737.4</v>
      </c>
      <c r="I423" s="23" t="n">
        <v>1</v>
      </c>
      <c r="J423" s="20" t="s">
        <v>302</v>
      </c>
      <c r="K423" s="20" t="s">
        <v>14</v>
      </c>
      <c r="L423" s="21" t="s">
        <v>354</v>
      </c>
    </row>
    <row r="424" customFormat="false" ht="15" hidden="false" customHeight="false" outlineLevel="0" collapsed="false">
      <c r="A424" s="20" t="n">
        <v>423</v>
      </c>
      <c r="B424" s="21"/>
      <c r="C424" s="20" t="s">
        <v>355</v>
      </c>
      <c r="D424" s="20" t="s">
        <v>14</v>
      </c>
      <c r="E424" s="21" t="s">
        <v>356</v>
      </c>
      <c r="F424" s="24" t="n">
        <f aca="false">I424/60</f>
        <v>2.93333333333333</v>
      </c>
      <c r="G424" s="22" t="n">
        <f aca="false">Kurallar!$B$10</f>
        <v>100</v>
      </c>
      <c r="H424" s="22" t="n">
        <f aca="false">G424*I424</f>
        <v>17600</v>
      </c>
      <c r="I424" s="23" t="n">
        <f aca="false">ROUND((Kurallar!$C$42*1+Kurallar!$C$43*4+Kurallar!$C$44*1+Kurallar!$C$27*6+Kurallar!$C$28*1+Kurallar!$C$40*2)*Kurallar!$B$11,0)</f>
        <v>176</v>
      </c>
      <c r="J424" s="20" t="s">
        <v>357</v>
      </c>
      <c r="K424" s="20" t="s">
        <v>14</v>
      </c>
      <c r="L424" s="21" t="s">
        <v>358</v>
      </c>
    </row>
    <row r="425" customFormat="false" ht="23.85" hidden="false" customHeight="false" outlineLevel="0" collapsed="false">
      <c r="A425" s="25"/>
      <c r="B425" s="26" t="s">
        <v>494</v>
      </c>
      <c r="C425" s="25"/>
      <c r="D425" s="25"/>
      <c r="E425" s="26"/>
      <c r="F425" s="27"/>
      <c r="G425" s="27"/>
      <c r="H425" s="27" t="n">
        <f aca="false">SUBTOTAL(9,H415:H424)</f>
        <v>42917.4</v>
      </c>
      <c r="I425" s="28"/>
      <c r="J425" s="25"/>
      <c r="K425" s="25"/>
      <c r="L425" s="26" t="s">
        <v>360</v>
      </c>
    </row>
    <row r="426" customFormat="false" ht="23.85" hidden="false" customHeight="false" outlineLevel="0" collapsed="false">
      <c r="A426" s="15" t="n">
        <v>425</v>
      </c>
      <c r="B426" s="16" t="str">
        <f aca="false">E426</f>
        <v>1.1-ЩО-1, 2.1-ЩО-1 — щит освещения</v>
      </c>
      <c r="C426" s="15" t="s">
        <v>300</v>
      </c>
      <c r="D426" s="15"/>
      <c r="E426" s="17" t="s">
        <v>495</v>
      </c>
      <c r="F426" s="18"/>
      <c r="G426" s="18"/>
      <c r="H426" s="18"/>
      <c r="I426" s="19" t="n">
        <v>2</v>
      </c>
      <c r="J426" s="15" t="s">
        <v>302</v>
      </c>
      <c r="K426" s="15"/>
      <c r="L426" s="17" t="s">
        <v>443</v>
      </c>
    </row>
    <row r="427" customFormat="false" ht="15" hidden="false" customHeight="false" outlineLevel="0" collapsed="false">
      <c r="A427" s="20" t="n">
        <v>426</v>
      </c>
      <c r="B427" s="21"/>
      <c r="C427" s="20" t="s">
        <v>303</v>
      </c>
      <c r="D427" s="20" t="s">
        <v>490</v>
      </c>
      <c r="E427" s="21" t="s">
        <v>491</v>
      </c>
      <c r="F427" s="22" t="n">
        <v>7220</v>
      </c>
      <c r="G427" s="22" t="n">
        <f aca="false">F427*VLOOKUP(K427,Kurallar!$A$17:$B$22,2,0)</f>
        <v>7220</v>
      </c>
      <c r="H427" s="22" t="n">
        <f aca="false">G427*I427</f>
        <v>7220</v>
      </c>
      <c r="I427" s="23" t="n">
        <v>1</v>
      </c>
      <c r="J427" s="20" t="s">
        <v>306</v>
      </c>
      <c r="K427" s="20" t="s">
        <v>37</v>
      </c>
      <c r="L427" s="21"/>
    </row>
    <row r="428" customFormat="false" ht="15" hidden="false" customHeight="false" outlineLevel="0" collapsed="false">
      <c r="A428" s="20" t="n">
        <v>427</v>
      </c>
      <c r="B428" s="21"/>
      <c r="C428" s="20" t="s">
        <v>373</v>
      </c>
      <c r="D428" s="20" t="s">
        <v>376</v>
      </c>
      <c r="E428" s="21" t="s">
        <v>377</v>
      </c>
      <c r="F428" s="22" t="n">
        <v>5884</v>
      </c>
      <c r="G428" s="22" t="n">
        <f aca="false">F428*VLOOKUP(K428,Kurallar!$A$17:$B$22,2,0)</f>
        <v>3530.4</v>
      </c>
      <c r="H428" s="22" t="n">
        <f aca="false">G428*I428</f>
        <v>3530.4</v>
      </c>
      <c r="I428" s="23" t="n">
        <v>1</v>
      </c>
      <c r="J428" s="20" t="s">
        <v>306</v>
      </c>
      <c r="K428" s="20" t="s">
        <v>33</v>
      </c>
      <c r="L428" s="21"/>
    </row>
    <row r="429" customFormat="false" ht="15" hidden="false" customHeight="false" outlineLevel="0" collapsed="false">
      <c r="A429" s="20" t="n">
        <v>428</v>
      </c>
      <c r="B429" s="21"/>
      <c r="C429" s="20" t="s">
        <v>373</v>
      </c>
      <c r="D429" s="20" t="s">
        <v>380</v>
      </c>
      <c r="E429" s="21" t="s">
        <v>381</v>
      </c>
      <c r="F429" s="22" t="n">
        <v>1362</v>
      </c>
      <c r="G429" s="22" t="n">
        <f aca="false">F429*VLOOKUP(K429,Kurallar!$A$17:$B$22,2,0)</f>
        <v>817.2</v>
      </c>
      <c r="H429" s="22" t="n">
        <f aca="false">G429*I429</f>
        <v>5720.4</v>
      </c>
      <c r="I429" s="23" t="n">
        <v>7</v>
      </c>
      <c r="J429" s="20" t="s">
        <v>306</v>
      </c>
      <c r="K429" s="20" t="s">
        <v>33</v>
      </c>
      <c r="L429" s="21"/>
    </row>
    <row r="430" customFormat="false" ht="15" hidden="false" customHeight="false" outlineLevel="0" collapsed="false">
      <c r="A430" s="20" t="n">
        <v>429</v>
      </c>
      <c r="B430" s="21"/>
      <c r="C430" s="20" t="s">
        <v>331</v>
      </c>
      <c r="D430" s="20" t="s">
        <v>382</v>
      </c>
      <c r="E430" s="21" t="s">
        <v>383</v>
      </c>
      <c r="F430" s="22" t="n">
        <v>461</v>
      </c>
      <c r="G430" s="22" t="n">
        <f aca="false">F430*VLOOKUP(K430,Kurallar!$A$17:$B$22,2,0)</f>
        <v>461</v>
      </c>
      <c r="H430" s="22" t="n">
        <f aca="false">G430*I430</f>
        <v>922</v>
      </c>
      <c r="I430" s="23" t="n">
        <v>2</v>
      </c>
      <c r="J430" s="20" t="s">
        <v>306</v>
      </c>
      <c r="K430" s="20" t="s">
        <v>40</v>
      </c>
      <c r="L430" s="21"/>
    </row>
    <row r="431" customFormat="false" ht="15" hidden="false" customHeight="false" outlineLevel="0" collapsed="false">
      <c r="A431" s="20" t="n">
        <v>430</v>
      </c>
      <c r="B431" s="21"/>
      <c r="C431" s="20" t="s">
        <v>338</v>
      </c>
      <c r="D431" s="20" t="s">
        <v>339</v>
      </c>
      <c r="E431" s="21" t="s">
        <v>340</v>
      </c>
      <c r="F431" s="22" t="n">
        <v>869</v>
      </c>
      <c r="G431" s="22" t="n">
        <f aca="false">F431*VLOOKUP(K431,Kurallar!$A$17:$B$22,2,0)</f>
        <v>521.4</v>
      </c>
      <c r="H431" s="22" t="n">
        <f aca="false">G431*I431</f>
        <v>521.4</v>
      </c>
      <c r="I431" s="23" t="n">
        <v>1</v>
      </c>
      <c r="J431" s="20" t="s">
        <v>306</v>
      </c>
      <c r="K431" s="20" t="s">
        <v>33</v>
      </c>
      <c r="L431" s="21"/>
    </row>
    <row r="432" customFormat="false" ht="15" hidden="false" customHeight="false" outlineLevel="0" collapsed="false">
      <c r="A432" s="20" t="n">
        <v>431</v>
      </c>
      <c r="B432" s="21"/>
      <c r="C432" s="20" t="s">
        <v>338</v>
      </c>
      <c r="D432" s="20" t="s">
        <v>341</v>
      </c>
      <c r="E432" s="21" t="s">
        <v>342</v>
      </c>
      <c r="F432" s="22" t="n">
        <v>1801</v>
      </c>
      <c r="G432" s="22" t="n">
        <f aca="false">F432*VLOOKUP(K432,Kurallar!$A$17:$B$22,2,0)</f>
        <v>1801</v>
      </c>
      <c r="H432" s="22" t="n">
        <f aca="false">G432*I432</f>
        <v>3602</v>
      </c>
      <c r="I432" s="23" t="n">
        <v>2</v>
      </c>
      <c r="J432" s="20" t="s">
        <v>306</v>
      </c>
      <c r="K432" s="20" t="s">
        <v>39</v>
      </c>
      <c r="L432" s="21"/>
    </row>
    <row r="433" customFormat="false" ht="15" hidden="false" customHeight="false" outlineLevel="0" collapsed="false">
      <c r="A433" s="20" t="n">
        <v>432</v>
      </c>
      <c r="B433" s="21"/>
      <c r="C433" s="20" t="s">
        <v>338</v>
      </c>
      <c r="D433" s="20" t="s">
        <v>343</v>
      </c>
      <c r="E433" s="21" t="s">
        <v>344</v>
      </c>
      <c r="F433" s="22" t="n">
        <v>127</v>
      </c>
      <c r="G433" s="22" t="n">
        <f aca="false">F433*VLOOKUP(K433,Kurallar!$A$17:$B$22,2,0)</f>
        <v>127</v>
      </c>
      <c r="H433" s="22" t="n">
        <f aca="false">G433*I433</f>
        <v>2540</v>
      </c>
      <c r="I433" s="23" t="n">
        <v>20</v>
      </c>
      <c r="J433" s="20" t="s">
        <v>345</v>
      </c>
      <c r="K433" s="20" t="s">
        <v>37</v>
      </c>
      <c r="L433" s="21"/>
    </row>
    <row r="434" customFormat="false" ht="15" hidden="false" customHeight="false" outlineLevel="0" collapsed="false">
      <c r="A434" s="20" t="n">
        <v>433</v>
      </c>
      <c r="B434" s="21"/>
      <c r="C434" s="20" t="s">
        <v>338</v>
      </c>
      <c r="D434" s="20" t="s">
        <v>346</v>
      </c>
      <c r="E434" s="21" t="s">
        <v>347</v>
      </c>
      <c r="F434" s="22" t="n">
        <v>319</v>
      </c>
      <c r="G434" s="22" t="n">
        <f aca="false">F434*VLOOKUP(K434,Kurallar!$A$17:$B$22,2,0)</f>
        <v>319</v>
      </c>
      <c r="H434" s="22" t="n">
        <f aca="false">G434*I434</f>
        <v>1595</v>
      </c>
      <c r="I434" s="23" t="n">
        <v>5</v>
      </c>
      <c r="J434" s="20" t="s">
        <v>345</v>
      </c>
      <c r="K434" s="20" t="s">
        <v>37</v>
      </c>
      <c r="L434" s="21"/>
    </row>
    <row r="435" customFormat="false" ht="15" hidden="false" customHeight="false" outlineLevel="0" collapsed="false">
      <c r="A435" s="20" t="n">
        <v>434</v>
      </c>
      <c r="B435" s="21"/>
      <c r="C435" s="20" t="s">
        <v>352</v>
      </c>
      <c r="D435" s="20" t="s">
        <v>14</v>
      </c>
      <c r="E435" s="21" t="s">
        <v>353</v>
      </c>
      <c r="F435" s="22"/>
      <c r="G435" s="22" t="n">
        <f aca="false">SUM(H427:H434)*Kurallar!$B$9</f>
        <v>769.536</v>
      </c>
      <c r="H435" s="22" t="n">
        <f aca="false">G435*I435</f>
        <v>769.536</v>
      </c>
      <c r="I435" s="23" t="n">
        <v>1</v>
      </c>
      <c r="J435" s="20" t="s">
        <v>302</v>
      </c>
      <c r="K435" s="20" t="s">
        <v>14</v>
      </c>
      <c r="L435" s="21" t="s">
        <v>354</v>
      </c>
    </row>
    <row r="436" customFormat="false" ht="15" hidden="false" customHeight="false" outlineLevel="0" collapsed="false">
      <c r="A436" s="20" t="n">
        <v>435</v>
      </c>
      <c r="B436" s="21"/>
      <c r="C436" s="20" t="s">
        <v>355</v>
      </c>
      <c r="D436" s="20" t="s">
        <v>14</v>
      </c>
      <c r="E436" s="21" t="s">
        <v>356</v>
      </c>
      <c r="F436" s="24" t="n">
        <f aca="false">I436/60</f>
        <v>3.11666666666667</v>
      </c>
      <c r="G436" s="22" t="n">
        <f aca="false">Kurallar!$B$10</f>
        <v>100</v>
      </c>
      <c r="H436" s="22" t="n">
        <f aca="false">G436*I436</f>
        <v>18700</v>
      </c>
      <c r="I436" s="23" t="n">
        <f aca="false">ROUND((Kurallar!$C$42*1+Kurallar!$C$43*4+Kurallar!$C$44*1+Kurallar!$C$27*7+Kurallar!$C$28*1+Kurallar!$C$40*2)*Kurallar!$B$11,0)</f>
        <v>187</v>
      </c>
      <c r="J436" s="20" t="s">
        <v>357</v>
      </c>
      <c r="K436" s="20" t="s">
        <v>14</v>
      </c>
      <c r="L436" s="21" t="s">
        <v>358</v>
      </c>
    </row>
    <row r="437" customFormat="false" ht="23.85" hidden="false" customHeight="false" outlineLevel="0" collapsed="false">
      <c r="A437" s="25"/>
      <c r="B437" s="26" t="s">
        <v>496</v>
      </c>
      <c r="C437" s="25"/>
      <c r="D437" s="25"/>
      <c r="E437" s="26"/>
      <c r="F437" s="27"/>
      <c r="G437" s="27"/>
      <c r="H437" s="27" t="n">
        <f aca="false">SUBTOTAL(9,H427:H436)</f>
        <v>45120.736</v>
      </c>
      <c r="I437" s="28"/>
      <c r="J437" s="25"/>
      <c r="K437" s="25"/>
      <c r="L437" s="26" t="s">
        <v>360</v>
      </c>
    </row>
    <row r="438" customFormat="false" ht="23.85" hidden="false" customHeight="false" outlineLevel="0" collapsed="false">
      <c r="A438" s="15" t="n">
        <v>437</v>
      </c>
      <c r="B438" s="16" t="str">
        <f aca="false">E438</f>
        <v>1.0-ЩАО-1, 2.0-ЩАО-1 — щит аварийного освещения</v>
      </c>
      <c r="C438" s="15" t="s">
        <v>300</v>
      </c>
      <c r="D438" s="15"/>
      <c r="E438" s="17" t="s">
        <v>497</v>
      </c>
      <c r="F438" s="18"/>
      <c r="G438" s="18"/>
      <c r="H438" s="18"/>
      <c r="I438" s="19" t="n">
        <v>2</v>
      </c>
      <c r="J438" s="15" t="s">
        <v>302</v>
      </c>
      <c r="K438" s="15"/>
      <c r="L438" s="17" t="s">
        <v>443</v>
      </c>
    </row>
    <row r="439" customFormat="false" ht="15" hidden="false" customHeight="false" outlineLevel="0" collapsed="false">
      <c r="A439" s="20" t="n">
        <v>438</v>
      </c>
      <c r="B439" s="21"/>
      <c r="C439" s="20" t="s">
        <v>303</v>
      </c>
      <c r="D439" s="20" t="s">
        <v>486</v>
      </c>
      <c r="E439" s="21" t="s">
        <v>487</v>
      </c>
      <c r="F439" s="22" t="n">
        <v>7220</v>
      </c>
      <c r="G439" s="22" t="n">
        <f aca="false">F439*VLOOKUP(K439,Kurallar!$A$17:$B$22,2,0)</f>
        <v>7220</v>
      </c>
      <c r="H439" s="22" t="n">
        <f aca="false">G439*I439</f>
        <v>7220</v>
      </c>
      <c r="I439" s="23" t="n">
        <v>1</v>
      </c>
      <c r="J439" s="20" t="s">
        <v>306</v>
      </c>
      <c r="K439" s="20" t="s">
        <v>37</v>
      </c>
      <c r="L439" s="21"/>
    </row>
    <row r="440" customFormat="false" ht="15" hidden="false" customHeight="false" outlineLevel="0" collapsed="false">
      <c r="A440" s="20" t="n">
        <v>439</v>
      </c>
      <c r="B440" s="21"/>
      <c r="C440" s="20" t="s">
        <v>373</v>
      </c>
      <c r="D440" s="20" t="s">
        <v>376</v>
      </c>
      <c r="E440" s="21" t="s">
        <v>377</v>
      </c>
      <c r="F440" s="22" t="n">
        <v>5884</v>
      </c>
      <c r="G440" s="22" t="n">
        <f aca="false">F440*VLOOKUP(K440,Kurallar!$A$17:$B$22,2,0)</f>
        <v>3530.4</v>
      </c>
      <c r="H440" s="22" t="n">
        <f aca="false">G440*I440</f>
        <v>3530.4</v>
      </c>
      <c r="I440" s="23" t="n">
        <v>1</v>
      </c>
      <c r="J440" s="20" t="s">
        <v>306</v>
      </c>
      <c r="K440" s="20" t="s">
        <v>33</v>
      </c>
      <c r="L440" s="21"/>
    </row>
    <row r="441" customFormat="false" ht="15" hidden="false" customHeight="false" outlineLevel="0" collapsed="false">
      <c r="A441" s="20" t="n">
        <v>440</v>
      </c>
      <c r="B441" s="21"/>
      <c r="C441" s="20" t="s">
        <v>373</v>
      </c>
      <c r="D441" s="20" t="s">
        <v>380</v>
      </c>
      <c r="E441" s="21" t="s">
        <v>381</v>
      </c>
      <c r="F441" s="22" t="n">
        <v>1362</v>
      </c>
      <c r="G441" s="22" t="n">
        <f aca="false">F441*VLOOKUP(K441,Kurallar!$A$17:$B$22,2,0)</f>
        <v>817.2</v>
      </c>
      <c r="H441" s="22" t="n">
        <f aca="false">G441*I441</f>
        <v>4903.2</v>
      </c>
      <c r="I441" s="23" t="n">
        <v>6</v>
      </c>
      <c r="J441" s="20" t="s">
        <v>306</v>
      </c>
      <c r="K441" s="20" t="s">
        <v>33</v>
      </c>
      <c r="L441" s="21"/>
    </row>
    <row r="442" customFormat="false" ht="15" hidden="false" customHeight="false" outlineLevel="0" collapsed="false">
      <c r="A442" s="20" t="n">
        <v>441</v>
      </c>
      <c r="B442" s="21"/>
      <c r="C442" s="20" t="s">
        <v>331</v>
      </c>
      <c r="D442" s="20" t="s">
        <v>382</v>
      </c>
      <c r="E442" s="21" t="s">
        <v>383</v>
      </c>
      <c r="F442" s="22" t="n">
        <v>461</v>
      </c>
      <c r="G442" s="22" t="n">
        <f aca="false">F442*VLOOKUP(K442,Kurallar!$A$17:$B$22,2,0)</f>
        <v>461</v>
      </c>
      <c r="H442" s="22" t="n">
        <f aca="false">G442*I442</f>
        <v>922</v>
      </c>
      <c r="I442" s="23" t="n">
        <v>2</v>
      </c>
      <c r="J442" s="20" t="s">
        <v>306</v>
      </c>
      <c r="K442" s="20" t="s">
        <v>40</v>
      </c>
      <c r="L442" s="21"/>
    </row>
    <row r="443" customFormat="false" ht="15" hidden="false" customHeight="false" outlineLevel="0" collapsed="false">
      <c r="A443" s="20" t="n">
        <v>442</v>
      </c>
      <c r="B443" s="21"/>
      <c r="C443" s="20" t="s">
        <v>338</v>
      </c>
      <c r="D443" s="20" t="s">
        <v>339</v>
      </c>
      <c r="E443" s="21" t="s">
        <v>340</v>
      </c>
      <c r="F443" s="22" t="n">
        <v>869</v>
      </c>
      <c r="G443" s="22" t="n">
        <f aca="false">F443*VLOOKUP(K443,Kurallar!$A$17:$B$22,2,0)</f>
        <v>521.4</v>
      </c>
      <c r="H443" s="22" t="n">
        <f aca="false">G443*I443</f>
        <v>521.4</v>
      </c>
      <c r="I443" s="23" t="n">
        <v>1</v>
      </c>
      <c r="J443" s="20" t="s">
        <v>306</v>
      </c>
      <c r="K443" s="20" t="s">
        <v>33</v>
      </c>
      <c r="L443" s="21"/>
    </row>
    <row r="444" customFormat="false" ht="15" hidden="false" customHeight="false" outlineLevel="0" collapsed="false">
      <c r="A444" s="20" t="n">
        <v>443</v>
      </c>
      <c r="B444" s="21"/>
      <c r="C444" s="20" t="s">
        <v>338</v>
      </c>
      <c r="D444" s="20" t="s">
        <v>341</v>
      </c>
      <c r="E444" s="21" t="s">
        <v>342</v>
      </c>
      <c r="F444" s="22" t="n">
        <v>1801</v>
      </c>
      <c r="G444" s="22" t="n">
        <f aca="false">F444*VLOOKUP(K444,Kurallar!$A$17:$B$22,2,0)</f>
        <v>1801</v>
      </c>
      <c r="H444" s="22" t="n">
        <f aca="false">G444*I444</f>
        <v>3602</v>
      </c>
      <c r="I444" s="23" t="n">
        <v>2</v>
      </c>
      <c r="J444" s="20" t="s">
        <v>306</v>
      </c>
      <c r="K444" s="20" t="s">
        <v>39</v>
      </c>
      <c r="L444" s="21"/>
    </row>
    <row r="445" customFormat="false" ht="15" hidden="false" customHeight="false" outlineLevel="0" collapsed="false">
      <c r="A445" s="20" t="n">
        <v>444</v>
      </c>
      <c r="B445" s="21"/>
      <c r="C445" s="20" t="s">
        <v>338</v>
      </c>
      <c r="D445" s="20" t="s">
        <v>343</v>
      </c>
      <c r="E445" s="21" t="s">
        <v>344</v>
      </c>
      <c r="F445" s="22" t="n">
        <v>127</v>
      </c>
      <c r="G445" s="22" t="n">
        <f aca="false">F445*VLOOKUP(K445,Kurallar!$A$17:$B$22,2,0)</f>
        <v>127</v>
      </c>
      <c r="H445" s="22" t="n">
        <f aca="false">G445*I445</f>
        <v>2286</v>
      </c>
      <c r="I445" s="23" t="n">
        <v>18</v>
      </c>
      <c r="J445" s="20" t="s">
        <v>345</v>
      </c>
      <c r="K445" s="20" t="s">
        <v>37</v>
      </c>
      <c r="L445" s="21"/>
    </row>
    <row r="446" customFormat="false" ht="15" hidden="false" customHeight="false" outlineLevel="0" collapsed="false">
      <c r="A446" s="20" t="n">
        <v>445</v>
      </c>
      <c r="B446" s="21"/>
      <c r="C446" s="20" t="s">
        <v>338</v>
      </c>
      <c r="D446" s="20" t="s">
        <v>346</v>
      </c>
      <c r="E446" s="21" t="s">
        <v>347</v>
      </c>
      <c r="F446" s="22" t="n">
        <v>319</v>
      </c>
      <c r="G446" s="22" t="n">
        <f aca="false">F446*VLOOKUP(K446,Kurallar!$A$17:$B$22,2,0)</f>
        <v>319</v>
      </c>
      <c r="H446" s="22" t="n">
        <f aca="false">G446*I446</f>
        <v>1595</v>
      </c>
      <c r="I446" s="23" t="n">
        <v>5</v>
      </c>
      <c r="J446" s="20" t="s">
        <v>345</v>
      </c>
      <c r="K446" s="20" t="s">
        <v>37</v>
      </c>
      <c r="L446" s="21"/>
    </row>
    <row r="447" customFormat="false" ht="15" hidden="false" customHeight="false" outlineLevel="0" collapsed="false">
      <c r="A447" s="20" t="n">
        <v>446</v>
      </c>
      <c r="B447" s="21"/>
      <c r="C447" s="20" t="s">
        <v>352</v>
      </c>
      <c r="D447" s="20" t="s">
        <v>14</v>
      </c>
      <c r="E447" s="21" t="s">
        <v>353</v>
      </c>
      <c r="F447" s="22"/>
      <c r="G447" s="22" t="n">
        <f aca="false">SUM(H439:H446)*Kurallar!$B$9</f>
        <v>737.4</v>
      </c>
      <c r="H447" s="22" t="n">
        <f aca="false">G447*I447</f>
        <v>737.4</v>
      </c>
      <c r="I447" s="23" t="n">
        <v>1</v>
      </c>
      <c r="J447" s="20" t="s">
        <v>302</v>
      </c>
      <c r="K447" s="20" t="s">
        <v>14</v>
      </c>
      <c r="L447" s="21" t="s">
        <v>354</v>
      </c>
    </row>
    <row r="448" customFormat="false" ht="15" hidden="false" customHeight="false" outlineLevel="0" collapsed="false">
      <c r="A448" s="20" t="n">
        <v>447</v>
      </c>
      <c r="B448" s="21"/>
      <c r="C448" s="20" t="s">
        <v>355</v>
      </c>
      <c r="D448" s="20" t="s">
        <v>14</v>
      </c>
      <c r="E448" s="21" t="s">
        <v>356</v>
      </c>
      <c r="F448" s="24" t="n">
        <f aca="false">I448/60</f>
        <v>2.93333333333333</v>
      </c>
      <c r="G448" s="22" t="n">
        <f aca="false">Kurallar!$B$10</f>
        <v>100</v>
      </c>
      <c r="H448" s="22" t="n">
        <f aca="false">G448*I448</f>
        <v>17600</v>
      </c>
      <c r="I448" s="23" t="n">
        <f aca="false">ROUND((Kurallar!$C$42*1+Kurallar!$C$43*4+Kurallar!$C$44*1+Kurallar!$C$27*6+Kurallar!$C$28*1+Kurallar!$C$40*2)*Kurallar!$B$11,0)</f>
        <v>176</v>
      </c>
      <c r="J448" s="20" t="s">
        <v>357</v>
      </c>
      <c r="K448" s="20" t="s">
        <v>14</v>
      </c>
      <c r="L448" s="21" t="s">
        <v>358</v>
      </c>
    </row>
    <row r="449" customFormat="false" ht="23.85" hidden="false" customHeight="false" outlineLevel="0" collapsed="false">
      <c r="A449" s="25"/>
      <c r="B449" s="26" t="s">
        <v>498</v>
      </c>
      <c r="C449" s="25"/>
      <c r="D449" s="25"/>
      <c r="E449" s="26"/>
      <c r="F449" s="27"/>
      <c r="G449" s="27"/>
      <c r="H449" s="27" t="n">
        <f aca="false">SUBTOTAL(9,H439:H448)</f>
        <v>42917.4</v>
      </c>
      <c r="I449" s="28"/>
      <c r="J449" s="25"/>
      <c r="K449" s="25"/>
      <c r="L449" s="26" t="s">
        <v>360</v>
      </c>
    </row>
    <row r="450" customFormat="false" ht="23.85" hidden="false" customHeight="false" outlineLevel="0" collapsed="false">
      <c r="A450" s="15" t="n">
        <v>449</v>
      </c>
      <c r="B450" s="16" t="str">
        <f aca="false">E450</f>
        <v>3.0-ЩАО-1 — щит аварийного освещения</v>
      </c>
      <c r="C450" s="15" t="s">
        <v>300</v>
      </c>
      <c r="D450" s="15"/>
      <c r="E450" s="17" t="s">
        <v>499</v>
      </c>
      <c r="F450" s="18"/>
      <c r="G450" s="18"/>
      <c r="H450" s="18"/>
      <c r="I450" s="19" t="n">
        <v>1</v>
      </c>
      <c r="J450" s="15" t="s">
        <v>302</v>
      </c>
      <c r="K450" s="15"/>
      <c r="L450" s="17"/>
    </row>
    <row r="451" customFormat="false" ht="15" hidden="false" customHeight="false" outlineLevel="0" collapsed="false">
      <c r="A451" s="20" t="n">
        <v>450</v>
      </c>
      <c r="B451" s="21"/>
      <c r="C451" s="20" t="s">
        <v>303</v>
      </c>
      <c r="D451" s="20" t="s">
        <v>486</v>
      </c>
      <c r="E451" s="21" t="s">
        <v>487</v>
      </c>
      <c r="F451" s="22" t="n">
        <v>7220</v>
      </c>
      <c r="G451" s="22" t="n">
        <f aca="false">F451*VLOOKUP(K451,Kurallar!$A$17:$B$22,2,0)</f>
        <v>7220</v>
      </c>
      <c r="H451" s="22" t="n">
        <f aca="false">G451*I451</f>
        <v>7220</v>
      </c>
      <c r="I451" s="23" t="n">
        <v>1</v>
      </c>
      <c r="J451" s="20" t="s">
        <v>306</v>
      </c>
      <c r="K451" s="20" t="s">
        <v>37</v>
      </c>
      <c r="L451" s="21"/>
    </row>
    <row r="452" customFormat="false" ht="15" hidden="false" customHeight="false" outlineLevel="0" collapsed="false">
      <c r="A452" s="20" t="n">
        <v>451</v>
      </c>
      <c r="B452" s="21"/>
      <c r="C452" s="20" t="s">
        <v>373</v>
      </c>
      <c r="D452" s="20" t="s">
        <v>376</v>
      </c>
      <c r="E452" s="21" t="s">
        <v>377</v>
      </c>
      <c r="F452" s="22" t="n">
        <v>5884</v>
      </c>
      <c r="G452" s="22" t="n">
        <f aca="false">F452*VLOOKUP(K452,Kurallar!$A$17:$B$22,2,0)</f>
        <v>3530.4</v>
      </c>
      <c r="H452" s="22" t="n">
        <f aca="false">G452*I452</f>
        <v>3530.4</v>
      </c>
      <c r="I452" s="23" t="n">
        <v>1</v>
      </c>
      <c r="J452" s="20" t="s">
        <v>306</v>
      </c>
      <c r="K452" s="20" t="s">
        <v>33</v>
      </c>
      <c r="L452" s="21"/>
    </row>
    <row r="453" customFormat="false" ht="15" hidden="false" customHeight="false" outlineLevel="0" collapsed="false">
      <c r="A453" s="20" t="n">
        <v>452</v>
      </c>
      <c r="B453" s="21"/>
      <c r="C453" s="20" t="s">
        <v>373</v>
      </c>
      <c r="D453" s="20" t="s">
        <v>380</v>
      </c>
      <c r="E453" s="21" t="s">
        <v>381</v>
      </c>
      <c r="F453" s="22" t="n">
        <v>1362</v>
      </c>
      <c r="G453" s="22" t="n">
        <f aca="false">F453*VLOOKUP(K453,Kurallar!$A$17:$B$22,2,0)</f>
        <v>817.2</v>
      </c>
      <c r="H453" s="22" t="n">
        <f aca="false">G453*I453</f>
        <v>7354.8</v>
      </c>
      <c r="I453" s="23" t="n">
        <v>9</v>
      </c>
      <c r="J453" s="20" t="s">
        <v>306</v>
      </c>
      <c r="K453" s="20" t="s">
        <v>33</v>
      </c>
      <c r="L453" s="21"/>
    </row>
    <row r="454" customFormat="false" ht="15" hidden="false" customHeight="false" outlineLevel="0" collapsed="false">
      <c r="A454" s="20" t="n">
        <v>453</v>
      </c>
      <c r="B454" s="21"/>
      <c r="C454" s="20" t="s">
        <v>331</v>
      </c>
      <c r="D454" s="20" t="s">
        <v>382</v>
      </c>
      <c r="E454" s="21" t="s">
        <v>383</v>
      </c>
      <c r="F454" s="22" t="n">
        <v>461</v>
      </c>
      <c r="G454" s="22" t="n">
        <f aca="false">F454*VLOOKUP(K454,Kurallar!$A$17:$B$22,2,0)</f>
        <v>461</v>
      </c>
      <c r="H454" s="22" t="n">
        <f aca="false">G454*I454</f>
        <v>922</v>
      </c>
      <c r="I454" s="23" t="n">
        <v>2</v>
      </c>
      <c r="J454" s="20" t="s">
        <v>306</v>
      </c>
      <c r="K454" s="20" t="s">
        <v>40</v>
      </c>
      <c r="L454" s="21"/>
    </row>
    <row r="455" customFormat="false" ht="15" hidden="false" customHeight="false" outlineLevel="0" collapsed="false">
      <c r="A455" s="20" t="n">
        <v>454</v>
      </c>
      <c r="B455" s="21"/>
      <c r="C455" s="20" t="s">
        <v>338</v>
      </c>
      <c r="D455" s="20" t="s">
        <v>339</v>
      </c>
      <c r="E455" s="21" t="s">
        <v>340</v>
      </c>
      <c r="F455" s="22" t="n">
        <v>869</v>
      </c>
      <c r="G455" s="22" t="n">
        <f aca="false">F455*VLOOKUP(K455,Kurallar!$A$17:$B$22,2,0)</f>
        <v>521.4</v>
      </c>
      <c r="H455" s="22" t="n">
        <f aca="false">G455*I455</f>
        <v>521.4</v>
      </c>
      <c r="I455" s="23" t="n">
        <v>1</v>
      </c>
      <c r="J455" s="20" t="s">
        <v>306</v>
      </c>
      <c r="K455" s="20" t="s">
        <v>33</v>
      </c>
      <c r="L455" s="21"/>
    </row>
    <row r="456" customFormat="false" ht="15" hidden="false" customHeight="false" outlineLevel="0" collapsed="false">
      <c r="A456" s="20" t="n">
        <v>455</v>
      </c>
      <c r="B456" s="21"/>
      <c r="C456" s="20" t="s">
        <v>338</v>
      </c>
      <c r="D456" s="20" t="s">
        <v>341</v>
      </c>
      <c r="E456" s="21" t="s">
        <v>342</v>
      </c>
      <c r="F456" s="22" t="n">
        <v>1801</v>
      </c>
      <c r="G456" s="22" t="n">
        <f aca="false">F456*VLOOKUP(K456,Kurallar!$A$17:$B$22,2,0)</f>
        <v>1801</v>
      </c>
      <c r="H456" s="22" t="n">
        <f aca="false">G456*I456</f>
        <v>3602</v>
      </c>
      <c r="I456" s="23" t="n">
        <v>2</v>
      </c>
      <c r="J456" s="20" t="s">
        <v>306</v>
      </c>
      <c r="K456" s="20" t="s">
        <v>39</v>
      </c>
      <c r="L456" s="21"/>
    </row>
    <row r="457" customFormat="false" ht="15" hidden="false" customHeight="false" outlineLevel="0" collapsed="false">
      <c r="A457" s="20" t="n">
        <v>456</v>
      </c>
      <c r="B457" s="21"/>
      <c r="C457" s="20" t="s">
        <v>338</v>
      </c>
      <c r="D457" s="20" t="s">
        <v>343</v>
      </c>
      <c r="E457" s="21" t="s">
        <v>344</v>
      </c>
      <c r="F457" s="22" t="n">
        <v>127</v>
      </c>
      <c r="G457" s="22" t="n">
        <f aca="false">F457*VLOOKUP(K457,Kurallar!$A$17:$B$22,2,0)</f>
        <v>127</v>
      </c>
      <c r="H457" s="22" t="n">
        <f aca="false">G457*I457</f>
        <v>3175</v>
      </c>
      <c r="I457" s="23" t="n">
        <v>25</v>
      </c>
      <c r="J457" s="20" t="s">
        <v>345</v>
      </c>
      <c r="K457" s="20" t="s">
        <v>37</v>
      </c>
      <c r="L457" s="21"/>
    </row>
    <row r="458" customFormat="false" ht="15" hidden="false" customHeight="false" outlineLevel="0" collapsed="false">
      <c r="A458" s="20" t="n">
        <v>457</v>
      </c>
      <c r="B458" s="21"/>
      <c r="C458" s="20" t="s">
        <v>338</v>
      </c>
      <c r="D458" s="20" t="s">
        <v>346</v>
      </c>
      <c r="E458" s="21" t="s">
        <v>347</v>
      </c>
      <c r="F458" s="22" t="n">
        <v>319</v>
      </c>
      <c r="G458" s="22" t="n">
        <f aca="false">F458*VLOOKUP(K458,Kurallar!$A$17:$B$22,2,0)</f>
        <v>319</v>
      </c>
      <c r="H458" s="22" t="n">
        <f aca="false">G458*I458</f>
        <v>1595</v>
      </c>
      <c r="I458" s="23" t="n">
        <v>5</v>
      </c>
      <c r="J458" s="20" t="s">
        <v>345</v>
      </c>
      <c r="K458" s="20" t="s">
        <v>37</v>
      </c>
      <c r="L458" s="21"/>
    </row>
    <row r="459" customFormat="false" ht="15" hidden="false" customHeight="false" outlineLevel="0" collapsed="false">
      <c r="A459" s="20" t="n">
        <v>458</v>
      </c>
      <c r="B459" s="21"/>
      <c r="C459" s="20" t="s">
        <v>352</v>
      </c>
      <c r="D459" s="20" t="s">
        <v>14</v>
      </c>
      <c r="E459" s="21" t="s">
        <v>353</v>
      </c>
      <c r="F459" s="22"/>
      <c r="G459" s="22" t="n">
        <f aca="false">SUM(H451:H458)*Kurallar!$B$9</f>
        <v>837.618</v>
      </c>
      <c r="H459" s="22" t="n">
        <f aca="false">G459*I459</f>
        <v>837.618</v>
      </c>
      <c r="I459" s="23" t="n">
        <v>1</v>
      </c>
      <c r="J459" s="20" t="s">
        <v>302</v>
      </c>
      <c r="K459" s="20" t="s">
        <v>14</v>
      </c>
      <c r="L459" s="21" t="s">
        <v>354</v>
      </c>
    </row>
    <row r="460" customFormat="false" ht="15" hidden="false" customHeight="false" outlineLevel="0" collapsed="false">
      <c r="A460" s="20" t="n">
        <v>459</v>
      </c>
      <c r="B460" s="21"/>
      <c r="C460" s="20" t="s">
        <v>355</v>
      </c>
      <c r="D460" s="20" t="s">
        <v>14</v>
      </c>
      <c r="E460" s="21" t="s">
        <v>356</v>
      </c>
      <c r="F460" s="24" t="n">
        <f aca="false">I460/60</f>
        <v>3.5</v>
      </c>
      <c r="G460" s="22" t="n">
        <f aca="false">Kurallar!$B$10</f>
        <v>100</v>
      </c>
      <c r="H460" s="22" t="n">
        <f aca="false">G460*I460</f>
        <v>21000</v>
      </c>
      <c r="I460" s="23" t="n">
        <f aca="false">ROUND((Kurallar!$C$42*1+Kurallar!$C$43*4+Kurallar!$C$44*1+Kurallar!$C$27*9+Kurallar!$C$28*1+Kurallar!$C$40*2)*Kurallar!$B$11,0)</f>
        <v>210</v>
      </c>
      <c r="J460" s="20" t="s">
        <v>357</v>
      </c>
      <c r="K460" s="20" t="s">
        <v>14</v>
      </c>
      <c r="L460" s="21" t="s">
        <v>358</v>
      </c>
    </row>
    <row r="461" customFormat="false" ht="23.85" hidden="false" customHeight="false" outlineLevel="0" collapsed="false">
      <c r="A461" s="25"/>
      <c r="B461" s="26" t="s">
        <v>500</v>
      </c>
      <c r="C461" s="25"/>
      <c r="D461" s="25"/>
      <c r="E461" s="26"/>
      <c r="F461" s="27"/>
      <c r="G461" s="27"/>
      <c r="H461" s="27" t="n">
        <f aca="false">SUBTOTAL(9,H451:H460)</f>
        <v>49758.218</v>
      </c>
      <c r="I461" s="28"/>
      <c r="J461" s="25"/>
      <c r="K461" s="25"/>
      <c r="L461" s="26" t="s">
        <v>360</v>
      </c>
    </row>
    <row r="462" customFormat="false" ht="23.85" hidden="false" customHeight="false" outlineLevel="0" collapsed="false">
      <c r="A462" s="15" t="n">
        <v>461</v>
      </c>
      <c r="B462" s="16" t="str">
        <f aca="false">E462</f>
        <v>Щиток лифта (в корпусе в лифтовой шахте)</v>
      </c>
      <c r="C462" s="15" t="s">
        <v>300</v>
      </c>
      <c r="D462" s="15"/>
      <c r="E462" s="17" t="s">
        <v>501</v>
      </c>
      <c r="F462" s="18"/>
      <c r="G462" s="18"/>
      <c r="H462" s="18"/>
      <c r="I462" s="19" t="n">
        <v>1</v>
      </c>
      <c r="J462" s="15" t="s">
        <v>302</v>
      </c>
      <c r="K462" s="15"/>
      <c r="L462" s="17"/>
    </row>
    <row r="463" customFormat="false" ht="15" hidden="false" customHeight="false" outlineLevel="0" collapsed="false">
      <c r="A463" s="20" t="n">
        <v>462</v>
      </c>
      <c r="B463" s="21"/>
      <c r="C463" s="20" t="s">
        <v>303</v>
      </c>
      <c r="D463" s="20" t="s">
        <v>502</v>
      </c>
      <c r="E463" s="21" t="s">
        <v>503</v>
      </c>
      <c r="F463" s="22" t="n">
        <v>1937</v>
      </c>
      <c r="G463" s="22" t="n">
        <f aca="false">F463*VLOOKUP(K463,Kurallar!$A$17:$B$22,2,0)</f>
        <v>1937</v>
      </c>
      <c r="H463" s="22" t="n">
        <f aca="false">G463*I463</f>
        <v>1937</v>
      </c>
      <c r="I463" s="23" t="n">
        <v>1</v>
      </c>
      <c r="J463" s="20" t="s">
        <v>306</v>
      </c>
      <c r="K463" s="20" t="s">
        <v>39</v>
      </c>
      <c r="L463" s="21"/>
    </row>
    <row r="464" customFormat="false" ht="15" hidden="false" customHeight="false" outlineLevel="0" collapsed="false">
      <c r="A464" s="20" t="n">
        <v>463</v>
      </c>
      <c r="B464" s="21"/>
      <c r="C464" s="20" t="s">
        <v>309</v>
      </c>
      <c r="D464" s="20" t="s">
        <v>396</v>
      </c>
      <c r="E464" s="21" t="s">
        <v>397</v>
      </c>
      <c r="F464" s="22" t="n">
        <v>3372</v>
      </c>
      <c r="G464" s="22" t="n">
        <f aca="false">F464*VLOOKUP(K464,Kurallar!$A$17:$B$22,2,0)</f>
        <v>2023.2</v>
      </c>
      <c r="H464" s="22" t="n">
        <f aca="false">G464*I464</f>
        <v>2023.2</v>
      </c>
      <c r="I464" s="23" t="n">
        <v>1</v>
      </c>
      <c r="J464" s="20" t="s">
        <v>306</v>
      </c>
      <c r="K464" s="20" t="s">
        <v>33</v>
      </c>
      <c r="L464" s="21"/>
    </row>
    <row r="465" customFormat="false" ht="15" hidden="false" customHeight="false" outlineLevel="0" collapsed="false">
      <c r="A465" s="20" t="n">
        <v>464</v>
      </c>
      <c r="B465" s="21"/>
      <c r="C465" s="20" t="s">
        <v>373</v>
      </c>
      <c r="D465" s="20" t="s">
        <v>380</v>
      </c>
      <c r="E465" s="21" t="s">
        <v>381</v>
      </c>
      <c r="F465" s="22" t="n">
        <v>1362</v>
      </c>
      <c r="G465" s="22" t="n">
        <f aca="false">F465*VLOOKUP(K465,Kurallar!$A$17:$B$22,2,0)</f>
        <v>817.2</v>
      </c>
      <c r="H465" s="22" t="n">
        <f aca="false">G465*I465</f>
        <v>817.2</v>
      </c>
      <c r="I465" s="23" t="n">
        <v>1</v>
      </c>
      <c r="J465" s="20" t="s">
        <v>306</v>
      </c>
      <c r="K465" s="20" t="s">
        <v>33</v>
      </c>
      <c r="L465" s="21"/>
    </row>
    <row r="466" customFormat="false" ht="15" hidden="false" customHeight="false" outlineLevel="0" collapsed="false">
      <c r="A466" s="20" t="n">
        <v>465</v>
      </c>
      <c r="B466" s="21"/>
      <c r="C466" s="20" t="s">
        <v>338</v>
      </c>
      <c r="D466" s="20" t="s">
        <v>339</v>
      </c>
      <c r="E466" s="21" t="s">
        <v>340</v>
      </c>
      <c r="F466" s="22" t="n">
        <v>869</v>
      </c>
      <c r="G466" s="22" t="n">
        <f aca="false">F466*VLOOKUP(K466,Kurallar!$A$17:$B$22,2,0)</f>
        <v>521.4</v>
      </c>
      <c r="H466" s="22" t="n">
        <f aca="false">G466*I466</f>
        <v>521.4</v>
      </c>
      <c r="I466" s="23" t="n">
        <v>1</v>
      </c>
      <c r="J466" s="20" t="s">
        <v>306</v>
      </c>
      <c r="K466" s="20" t="s">
        <v>33</v>
      </c>
      <c r="L466" s="21"/>
    </row>
    <row r="467" customFormat="false" ht="15" hidden="false" customHeight="false" outlineLevel="0" collapsed="false">
      <c r="A467" s="20" t="n">
        <v>466</v>
      </c>
      <c r="B467" s="21"/>
      <c r="C467" s="20" t="s">
        <v>338</v>
      </c>
      <c r="D467" s="20" t="s">
        <v>343</v>
      </c>
      <c r="E467" s="21" t="s">
        <v>344</v>
      </c>
      <c r="F467" s="22" t="n">
        <v>127</v>
      </c>
      <c r="G467" s="22" t="n">
        <f aca="false">F467*VLOOKUP(K467,Kurallar!$A$17:$B$22,2,0)</f>
        <v>127</v>
      </c>
      <c r="H467" s="22" t="n">
        <f aca="false">G467*I467</f>
        <v>762</v>
      </c>
      <c r="I467" s="23" t="n">
        <v>6</v>
      </c>
      <c r="J467" s="20" t="s">
        <v>345</v>
      </c>
      <c r="K467" s="20" t="s">
        <v>37</v>
      </c>
      <c r="L467" s="21"/>
    </row>
    <row r="468" customFormat="false" ht="15" hidden="false" customHeight="false" outlineLevel="0" collapsed="false">
      <c r="A468" s="20" t="n">
        <v>467</v>
      </c>
      <c r="B468" s="21"/>
      <c r="C468" s="20" t="s">
        <v>352</v>
      </c>
      <c r="D468" s="20" t="s">
        <v>14</v>
      </c>
      <c r="E468" s="21" t="s">
        <v>353</v>
      </c>
      <c r="F468" s="22"/>
      <c r="G468" s="22" t="n">
        <f aca="false">SUM(H463:H467)*Kurallar!$B$9</f>
        <v>181.824</v>
      </c>
      <c r="H468" s="22" t="n">
        <f aca="false">G468*I468</f>
        <v>181.824</v>
      </c>
      <c r="I468" s="23" t="n">
        <v>1</v>
      </c>
      <c r="J468" s="20" t="s">
        <v>302</v>
      </c>
      <c r="K468" s="20" t="s">
        <v>14</v>
      </c>
      <c r="L468" s="21" t="s">
        <v>354</v>
      </c>
    </row>
    <row r="469" customFormat="false" ht="15" hidden="false" customHeight="false" outlineLevel="0" collapsed="false">
      <c r="A469" s="20" t="n">
        <v>468</v>
      </c>
      <c r="B469" s="21"/>
      <c r="C469" s="20" t="s">
        <v>355</v>
      </c>
      <c r="D469" s="20" t="s">
        <v>14</v>
      </c>
      <c r="E469" s="21" t="s">
        <v>356</v>
      </c>
      <c r="F469" s="24" t="n">
        <f aca="false">I469/60</f>
        <v>1.71666666666667</v>
      </c>
      <c r="G469" s="22" t="n">
        <f aca="false">Kurallar!$B$10</f>
        <v>100</v>
      </c>
      <c r="H469" s="22" t="n">
        <f aca="false">G469*I469</f>
        <v>10300</v>
      </c>
      <c r="I469" s="23" t="n">
        <f aca="false">ROUND((Kurallar!$C$42*1+Kurallar!$C$44*1+Kurallar!$C$27*1+Kurallar!$C$32*1)*Kurallar!$B$11,0)</f>
        <v>103</v>
      </c>
      <c r="J469" s="20" t="s">
        <v>357</v>
      </c>
      <c r="K469" s="20" t="s">
        <v>14</v>
      </c>
      <c r="L469" s="21" t="s">
        <v>358</v>
      </c>
    </row>
    <row r="470" customFormat="false" ht="23.85" hidden="false" customHeight="false" outlineLevel="0" collapsed="false">
      <c r="A470" s="25"/>
      <c r="B470" s="26" t="s">
        <v>504</v>
      </c>
      <c r="C470" s="25"/>
      <c r="D470" s="25"/>
      <c r="E470" s="26"/>
      <c r="F470" s="27"/>
      <c r="G470" s="27"/>
      <c r="H470" s="27" t="n">
        <f aca="false">SUBTOTAL(9,H463:H469)</f>
        <v>16542.624</v>
      </c>
      <c r="I470" s="28"/>
      <c r="J470" s="25"/>
      <c r="K470" s="25"/>
      <c r="L470" s="26" t="s">
        <v>360</v>
      </c>
    </row>
    <row r="471" customFormat="false" ht="23.85" hidden="false" customHeight="false" outlineLevel="0" collapsed="false">
      <c r="A471" s="15" t="n">
        <v>470</v>
      </c>
      <c r="B471" s="16" t="str">
        <f aca="false">E471</f>
        <v>ЩУ(бассейн) — щит управления IP65, 24 мод.</v>
      </c>
      <c r="C471" s="15" t="s">
        <v>300</v>
      </c>
      <c r="D471" s="15"/>
      <c r="E471" s="17" t="s">
        <v>505</v>
      </c>
      <c r="F471" s="18"/>
      <c r="G471" s="18"/>
      <c r="H471" s="18"/>
      <c r="I471" s="19" t="n">
        <v>1</v>
      </c>
      <c r="J471" s="15" t="s">
        <v>302</v>
      </c>
      <c r="K471" s="15"/>
      <c r="L471" s="17"/>
    </row>
    <row r="472" customFormat="false" ht="15" hidden="false" customHeight="false" outlineLevel="0" collapsed="false">
      <c r="A472" s="20" t="n">
        <v>471</v>
      </c>
      <c r="B472" s="21"/>
      <c r="C472" s="20" t="s">
        <v>303</v>
      </c>
      <c r="D472" s="20" t="s">
        <v>266</v>
      </c>
      <c r="E472" s="21" t="s">
        <v>506</v>
      </c>
      <c r="F472" s="22" t="n">
        <v>30391</v>
      </c>
      <c r="G472" s="22" t="n">
        <f aca="false">F472*VLOOKUP(K472,Kurallar!$A$17:$B$22,2,0)</f>
        <v>18234.6</v>
      </c>
      <c r="H472" s="22" t="n">
        <f aca="false">G472*I472</f>
        <v>18234.6</v>
      </c>
      <c r="I472" s="23" t="n">
        <v>1</v>
      </c>
      <c r="J472" s="20" t="s">
        <v>306</v>
      </c>
      <c r="K472" s="20" t="s">
        <v>33</v>
      </c>
      <c r="L472" s="21"/>
    </row>
    <row r="473" customFormat="false" ht="15" hidden="false" customHeight="false" outlineLevel="0" collapsed="false">
      <c r="A473" s="20" t="n">
        <v>472</v>
      </c>
      <c r="B473" s="21"/>
      <c r="C473" s="20" t="s">
        <v>398</v>
      </c>
      <c r="D473" s="20" t="s">
        <v>436</v>
      </c>
      <c r="E473" s="21" t="s">
        <v>437</v>
      </c>
      <c r="F473" s="22" t="n">
        <v>5069</v>
      </c>
      <c r="G473" s="22" t="n">
        <f aca="false">F473*VLOOKUP(K473,Kurallar!$A$17:$B$22,2,0)</f>
        <v>3041.4</v>
      </c>
      <c r="H473" s="22" t="n">
        <f aca="false">G473*I473</f>
        <v>3041.4</v>
      </c>
      <c r="I473" s="23" t="n">
        <v>1</v>
      </c>
      <c r="J473" s="20" t="s">
        <v>306</v>
      </c>
      <c r="K473" s="20" t="s">
        <v>33</v>
      </c>
      <c r="L473" s="21"/>
    </row>
    <row r="474" customFormat="false" ht="15" hidden="false" customHeight="false" outlineLevel="0" collapsed="false">
      <c r="A474" s="20" t="n">
        <v>473</v>
      </c>
      <c r="B474" s="21"/>
      <c r="C474" s="20" t="s">
        <v>373</v>
      </c>
      <c r="D474" s="20" t="s">
        <v>507</v>
      </c>
      <c r="E474" s="21" t="s">
        <v>508</v>
      </c>
      <c r="F474" s="22" t="n">
        <v>1436</v>
      </c>
      <c r="G474" s="22" t="n">
        <f aca="false">F474*VLOOKUP(K474,Kurallar!$A$17:$B$22,2,0)</f>
        <v>861.6</v>
      </c>
      <c r="H474" s="22" t="n">
        <f aca="false">G474*I474</f>
        <v>7754.4</v>
      </c>
      <c r="I474" s="23" t="n">
        <v>9</v>
      </c>
      <c r="J474" s="20" t="s">
        <v>306</v>
      </c>
      <c r="K474" s="20" t="s">
        <v>33</v>
      </c>
      <c r="L474" s="21"/>
    </row>
    <row r="475" customFormat="false" ht="15" hidden="false" customHeight="false" outlineLevel="0" collapsed="false">
      <c r="A475" s="20" t="n">
        <v>474</v>
      </c>
      <c r="B475" s="21"/>
      <c r="C475" s="20" t="s">
        <v>373</v>
      </c>
      <c r="D475" s="20" t="s">
        <v>380</v>
      </c>
      <c r="E475" s="21" t="s">
        <v>381</v>
      </c>
      <c r="F475" s="22" t="n">
        <v>1362</v>
      </c>
      <c r="G475" s="22" t="n">
        <f aca="false">F475*VLOOKUP(K475,Kurallar!$A$17:$B$22,2,0)</f>
        <v>817.2</v>
      </c>
      <c r="H475" s="22" t="n">
        <f aca="false">G475*I475</f>
        <v>817.2</v>
      </c>
      <c r="I475" s="23" t="n">
        <v>1</v>
      </c>
      <c r="J475" s="20" t="s">
        <v>306</v>
      </c>
      <c r="K475" s="20" t="s">
        <v>33</v>
      </c>
      <c r="L475" s="21"/>
    </row>
    <row r="476" customFormat="false" ht="15" hidden="false" customHeight="false" outlineLevel="0" collapsed="false">
      <c r="A476" s="20" t="n">
        <v>475</v>
      </c>
      <c r="B476" s="21"/>
      <c r="C476" s="20" t="s">
        <v>401</v>
      </c>
      <c r="D476" s="20" t="s">
        <v>402</v>
      </c>
      <c r="E476" s="21" t="s">
        <v>403</v>
      </c>
      <c r="F476" s="22" t="n">
        <v>6145</v>
      </c>
      <c r="G476" s="22" t="n">
        <f aca="false">F476*VLOOKUP(K476,Kurallar!$A$17:$B$22,2,0)</f>
        <v>3687</v>
      </c>
      <c r="H476" s="22" t="n">
        <f aca="false">G476*I476</f>
        <v>11061</v>
      </c>
      <c r="I476" s="23" t="n">
        <v>3</v>
      </c>
      <c r="J476" s="20" t="s">
        <v>306</v>
      </c>
      <c r="K476" s="20" t="s">
        <v>33</v>
      </c>
      <c r="L476" s="21"/>
    </row>
    <row r="477" customFormat="false" ht="15" hidden="false" customHeight="false" outlineLevel="0" collapsed="false">
      <c r="A477" s="20" t="n">
        <v>476</v>
      </c>
      <c r="B477" s="21"/>
      <c r="C477" s="20" t="s">
        <v>311</v>
      </c>
      <c r="D477" s="20" t="s">
        <v>509</v>
      </c>
      <c r="E477" s="21" t="s">
        <v>510</v>
      </c>
      <c r="F477" s="22" t="n">
        <v>13606</v>
      </c>
      <c r="G477" s="22" t="n">
        <f aca="false">F477*VLOOKUP(K477,Kurallar!$A$17:$B$22,2,0)</f>
        <v>8163.6</v>
      </c>
      <c r="H477" s="22" t="n">
        <f aca="false">G477*I477</f>
        <v>8163.6</v>
      </c>
      <c r="I477" s="23" t="n">
        <v>1</v>
      </c>
      <c r="J477" s="20" t="s">
        <v>306</v>
      </c>
      <c r="K477" s="20" t="s">
        <v>33</v>
      </c>
      <c r="L477" s="21"/>
    </row>
    <row r="478" customFormat="false" ht="15" hidden="false" customHeight="false" outlineLevel="0" collapsed="false">
      <c r="A478" s="20" t="n">
        <v>477</v>
      </c>
      <c r="B478" s="21"/>
      <c r="C478" s="20" t="s">
        <v>311</v>
      </c>
      <c r="D478" s="20" t="s">
        <v>511</v>
      </c>
      <c r="E478" s="21" t="s">
        <v>512</v>
      </c>
      <c r="F478" s="22" t="n">
        <v>13464</v>
      </c>
      <c r="G478" s="22" t="n">
        <f aca="false">F478*VLOOKUP(K478,Kurallar!$A$17:$B$22,2,0)</f>
        <v>8078.4</v>
      </c>
      <c r="H478" s="22" t="n">
        <f aca="false">G478*I478</f>
        <v>16156.8</v>
      </c>
      <c r="I478" s="23" t="n">
        <v>2</v>
      </c>
      <c r="J478" s="20" t="s">
        <v>306</v>
      </c>
      <c r="K478" s="20" t="s">
        <v>33</v>
      </c>
      <c r="L478" s="21"/>
    </row>
    <row r="479" customFormat="false" ht="15" hidden="false" customHeight="false" outlineLevel="0" collapsed="false">
      <c r="A479" s="20" t="n">
        <v>478</v>
      </c>
      <c r="B479" s="21"/>
      <c r="C479" s="20" t="s">
        <v>338</v>
      </c>
      <c r="D479" s="20" t="s">
        <v>339</v>
      </c>
      <c r="E479" s="21" t="s">
        <v>340</v>
      </c>
      <c r="F479" s="22" t="n">
        <v>869</v>
      </c>
      <c r="G479" s="22" t="n">
        <f aca="false">F479*VLOOKUP(K479,Kurallar!$A$17:$B$22,2,0)</f>
        <v>521.4</v>
      </c>
      <c r="H479" s="22" t="n">
        <f aca="false">G479*I479</f>
        <v>1042.8</v>
      </c>
      <c r="I479" s="23" t="n">
        <v>2</v>
      </c>
      <c r="J479" s="20" t="s">
        <v>306</v>
      </c>
      <c r="K479" s="20" t="s">
        <v>33</v>
      </c>
      <c r="L479" s="21"/>
    </row>
    <row r="480" customFormat="false" ht="15" hidden="false" customHeight="false" outlineLevel="0" collapsed="false">
      <c r="A480" s="20" t="n">
        <v>479</v>
      </c>
      <c r="B480" s="21"/>
      <c r="C480" s="20" t="s">
        <v>338</v>
      </c>
      <c r="D480" s="20" t="s">
        <v>341</v>
      </c>
      <c r="E480" s="21" t="s">
        <v>342</v>
      </c>
      <c r="F480" s="22" t="n">
        <v>1801</v>
      </c>
      <c r="G480" s="22" t="n">
        <f aca="false">F480*VLOOKUP(K480,Kurallar!$A$17:$B$22,2,0)</f>
        <v>1801</v>
      </c>
      <c r="H480" s="22" t="n">
        <f aca="false">G480*I480</f>
        <v>3602</v>
      </c>
      <c r="I480" s="23" t="n">
        <v>2</v>
      </c>
      <c r="J480" s="20" t="s">
        <v>306</v>
      </c>
      <c r="K480" s="20" t="s">
        <v>39</v>
      </c>
      <c r="L480" s="21"/>
    </row>
    <row r="481" customFormat="false" ht="15" hidden="false" customHeight="false" outlineLevel="0" collapsed="false">
      <c r="A481" s="20" t="n">
        <v>480</v>
      </c>
      <c r="B481" s="21"/>
      <c r="C481" s="20" t="s">
        <v>338</v>
      </c>
      <c r="D481" s="20" t="s">
        <v>343</v>
      </c>
      <c r="E481" s="21" t="s">
        <v>344</v>
      </c>
      <c r="F481" s="22" t="n">
        <v>127</v>
      </c>
      <c r="G481" s="22" t="n">
        <f aca="false">F481*VLOOKUP(K481,Kurallar!$A$17:$B$22,2,0)</f>
        <v>127</v>
      </c>
      <c r="H481" s="22" t="n">
        <f aca="false">G481*I481</f>
        <v>3810</v>
      </c>
      <c r="I481" s="23" t="n">
        <v>30</v>
      </c>
      <c r="J481" s="20" t="s">
        <v>345</v>
      </c>
      <c r="K481" s="20" t="s">
        <v>37</v>
      </c>
      <c r="L481" s="21"/>
    </row>
    <row r="482" customFormat="false" ht="15" hidden="false" customHeight="false" outlineLevel="0" collapsed="false">
      <c r="A482" s="20" t="n">
        <v>481</v>
      </c>
      <c r="B482" s="21"/>
      <c r="C482" s="20" t="s">
        <v>338</v>
      </c>
      <c r="D482" s="20" t="s">
        <v>346</v>
      </c>
      <c r="E482" s="21" t="s">
        <v>347</v>
      </c>
      <c r="F482" s="22" t="n">
        <v>319</v>
      </c>
      <c r="G482" s="22" t="n">
        <f aca="false">F482*VLOOKUP(K482,Kurallar!$A$17:$B$22,2,0)</f>
        <v>319</v>
      </c>
      <c r="H482" s="22" t="n">
        <f aca="false">G482*I482</f>
        <v>1595</v>
      </c>
      <c r="I482" s="23" t="n">
        <v>5</v>
      </c>
      <c r="J482" s="20" t="s">
        <v>345</v>
      </c>
      <c r="K482" s="20" t="s">
        <v>37</v>
      </c>
      <c r="L482" s="21"/>
    </row>
    <row r="483" customFormat="false" ht="15" hidden="false" customHeight="false" outlineLevel="0" collapsed="false">
      <c r="A483" s="20" t="n">
        <v>482</v>
      </c>
      <c r="B483" s="21"/>
      <c r="C483" s="20" t="s">
        <v>352</v>
      </c>
      <c r="D483" s="20" t="s">
        <v>14</v>
      </c>
      <c r="E483" s="21" t="s">
        <v>353</v>
      </c>
      <c r="F483" s="22"/>
      <c r="G483" s="22" t="n">
        <f aca="false">SUM(H472:H482)*Kurallar!$B$9</f>
        <v>2258.364</v>
      </c>
      <c r="H483" s="22" t="n">
        <f aca="false">G483*I483</f>
        <v>2258.364</v>
      </c>
      <c r="I483" s="23" t="n">
        <v>1</v>
      </c>
      <c r="J483" s="20" t="s">
        <v>302</v>
      </c>
      <c r="K483" s="20" t="s">
        <v>14</v>
      </c>
      <c r="L483" s="21" t="s">
        <v>354</v>
      </c>
    </row>
    <row r="484" customFormat="false" ht="15" hidden="false" customHeight="false" outlineLevel="0" collapsed="false">
      <c r="A484" s="20" t="n">
        <v>483</v>
      </c>
      <c r="B484" s="21"/>
      <c r="C484" s="20" t="s">
        <v>355</v>
      </c>
      <c r="D484" s="20" t="s">
        <v>14</v>
      </c>
      <c r="E484" s="21" t="s">
        <v>356</v>
      </c>
      <c r="F484" s="24" t="n">
        <f aca="false">I484/60</f>
        <v>5.8</v>
      </c>
      <c r="G484" s="22" t="n">
        <f aca="false">Kurallar!$B$10</f>
        <v>100</v>
      </c>
      <c r="H484" s="22" t="n">
        <f aca="false">G484*I484</f>
        <v>34800</v>
      </c>
      <c r="I484" s="23" t="n">
        <f aca="false">ROUND((Kurallar!$C$29*1+Kurallar!$C$42*2+Kurallar!$C$43*4+Kurallar!$C$36*3+Kurallar!$C$45*1+Kurallar!$C$27*10+Kurallar!$C$28*3)*Kurallar!$B$11,0)</f>
        <v>348</v>
      </c>
      <c r="J484" s="20" t="s">
        <v>357</v>
      </c>
      <c r="K484" s="20" t="s">
        <v>14</v>
      </c>
      <c r="L484" s="21" t="s">
        <v>358</v>
      </c>
    </row>
    <row r="485" customFormat="false" ht="23.85" hidden="false" customHeight="false" outlineLevel="0" collapsed="false">
      <c r="A485" s="25"/>
      <c r="B485" s="26" t="s">
        <v>513</v>
      </c>
      <c r="C485" s="25"/>
      <c r="D485" s="25"/>
      <c r="E485" s="26"/>
      <c r="F485" s="27"/>
      <c r="G485" s="27"/>
      <c r="H485" s="27" t="n">
        <f aca="false">SUBTOTAL(9,H472:H484)</f>
        <v>112337.164</v>
      </c>
      <c r="I485" s="28"/>
      <c r="J485" s="25"/>
      <c r="K485" s="25"/>
      <c r="L485" s="26" t="s">
        <v>360</v>
      </c>
    </row>
    <row r="486" customFormat="false" ht="23.85" hidden="false" customHeight="false" outlineLevel="0" collapsed="false">
      <c r="A486" s="15" t="n">
        <v>485</v>
      </c>
      <c r="B486" s="16" t="str">
        <f aca="false">E486</f>
        <v>КВ — контакторы вентиляторов (россыпью)</v>
      </c>
      <c r="C486" s="15" t="s">
        <v>300</v>
      </c>
      <c r="D486" s="15"/>
      <c r="E486" s="17" t="s">
        <v>514</v>
      </c>
      <c r="F486" s="18"/>
      <c r="G486" s="18"/>
      <c r="H486" s="18"/>
      <c r="I486" s="19" t="n">
        <v>1</v>
      </c>
      <c r="J486" s="15" t="s">
        <v>302</v>
      </c>
      <c r="K486" s="15"/>
      <c r="L486" s="17"/>
    </row>
    <row r="487" customFormat="false" ht="15" hidden="false" customHeight="false" outlineLevel="0" collapsed="false">
      <c r="A487" s="20" t="n">
        <v>486</v>
      </c>
      <c r="B487" s="21"/>
      <c r="C487" s="20" t="s">
        <v>401</v>
      </c>
      <c r="D487" s="20" t="s">
        <v>272</v>
      </c>
      <c r="E487" s="21" t="s">
        <v>515</v>
      </c>
      <c r="F487" s="22" t="n">
        <v>5214</v>
      </c>
      <c r="G487" s="22" t="n">
        <f aca="false">F487*VLOOKUP(K487,Kurallar!$A$17:$B$22,2,0)</f>
        <v>3128.4</v>
      </c>
      <c r="H487" s="22" t="n">
        <f aca="false">G487*I487</f>
        <v>68824.8</v>
      </c>
      <c r="I487" s="23" t="n">
        <v>22</v>
      </c>
      <c r="J487" s="20" t="s">
        <v>306</v>
      </c>
      <c r="K487" s="20" t="s">
        <v>33</v>
      </c>
      <c r="L487" s="21"/>
    </row>
    <row r="488" customFormat="false" ht="15" hidden="false" customHeight="false" outlineLevel="0" collapsed="false">
      <c r="A488" s="20" t="n">
        <v>487</v>
      </c>
      <c r="B488" s="21"/>
      <c r="C488" s="20" t="s">
        <v>352</v>
      </c>
      <c r="D488" s="20" t="s">
        <v>14</v>
      </c>
      <c r="E488" s="21" t="s">
        <v>353</v>
      </c>
      <c r="F488" s="22"/>
      <c r="G488" s="22" t="n">
        <f aca="false">SUM(H487:H487)*Kurallar!$B$9</f>
        <v>2064.744</v>
      </c>
      <c r="H488" s="22" t="n">
        <f aca="false">G488*I488</f>
        <v>2064.744</v>
      </c>
      <c r="I488" s="23" t="n">
        <v>1</v>
      </c>
      <c r="J488" s="20" t="s">
        <v>302</v>
      </c>
      <c r="K488" s="20" t="s">
        <v>14</v>
      </c>
      <c r="L488" s="21" t="s">
        <v>354</v>
      </c>
    </row>
    <row r="489" customFormat="false" ht="15" hidden="false" customHeight="false" outlineLevel="0" collapsed="false">
      <c r="A489" s="20" t="n">
        <v>488</v>
      </c>
      <c r="B489" s="21"/>
      <c r="C489" s="20" t="s">
        <v>355</v>
      </c>
      <c r="D489" s="20" t="s">
        <v>14</v>
      </c>
      <c r="E489" s="21" t="s">
        <v>356</v>
      </c>
      <c r="F489" s="24" t="n">
        <f aca="false">I489/60</f>
        <v>8.43333333333333</v>
      </c>
      <c r="G489" s="22" t="n">
        <f aca="false">Kurallar!$B$10</f>
        <v>100</v>
      </c>
      <c r="H489" s="22" t="n">
        <f aca="false">G489*I489</f>
        <v>50600</v>
      </c>
      <c r="I489" s="23" t="n">
        <f aca="false">ROUND((Kurallar!$C$36*22)*Kurallar!$B$11,0)</f>
        <v>506</v>
      </c>
      <c r="J489" s="20" t="s">
        <v>357</v>
      </c>
      <c r="K489" s="20" t="s">
        <v>14</v>
      </c>
      <c r="L489" s="21" t="s">
        <v>358</v>
      </c>
    </row>
    <row r="490" customFormat="false" ht="23.85" hidden="false" customHeight="false" outlineLevel="0" collapsed="false">
      <c r="A490" s="25"/>
      <c r="B490" s="26" t="s">
        <v>516</v>
      </c>
      <c r="C490" s="25"/>
      <c r="D490" s="25"/>
      <c r="E490" s="26"/>
      <c r="F490" s="27"/>
      <c r="G490" s="27"/>
      <c r="H490" s="27" t="n">
        <f aca="false">SUBTOTAL(9,H487:H489)</f>
        <v>121489.544</v>
      </c>
      <c r="I490" s="28"/>
      <c r="J490" s="25"/>
      <c r="K490" s="25"/>
      <c r="L490" s="26" t="s">
        <v>360</v>
      </c>
    </row>
    <row r="491" customFormat="false" ht="23.85" hidden="false" customHeight="false" outlineLevel="0" collapsed="false">
      <c r="A491" s="15" t="n">
        <v>490</v>
      </c>
      <c r="B491" s="16" t="str">
        <f aca="false">E491</f>
        <v>ЯТП — ящик с понижающим трансформатором 220/36В</v>
      </c>
      <c r="C491" s="15" t="s">
        <v>300</v>
      </c>
      <c r="D491" s="15"/>
      <c r="E491" s="17" t="s">
        <v>517</v>
      </c>
      <c r="F491" s="18"/>
      <c r="G491" s="18"/>
      <c r="H491" s="18"/>
      <c r="I491" s="19" t="n">
        <v>2</v>
      </c>
      <c r="J491" s="15" t="s">
        <v>302</v>
      </c>
      <c r="K491" s="15"/>
      <c r="L491" s="17" t="s">
        <v>443</v>
      </c>
    </row>
    <row r="492" customFormat="false" ht="15" hidden="false" customHeight="false" outlineLevel="0" collapsed="false">
      <c r="A492" s="20" t="n">
        <v>491</v>
      </c>
      <c r="B492" s="21"/>
      <c r="C492" s="20" t="s">
        <v>303</v>
      </c>
      <c r="D492" s="20" t="s">
        <v>518</v>
      </c>
      <c r="E492" s="21" t="s">
        <v>519</v>
      </c>
      <c r="F492" s="22" t="n">
        <v>21863</v>
      </c>
      <c r="G492" s="22" t="n">
        <f aca="false">F492*VLOOKUP(K492,Kurallar!$A$17:$B$22,2,0)</f>
        <v>21863</v>
      </c>
      <c r="H492" s="22" t="n">
        <f aca="false">G492*I492</f>
        <v>21863</v>
      </c>
      <c r="I492" s="23" t="n">
        <v>1</v>
      </c>
      <c r="J492" s="20" t="s">
        <v>306</v>
      </c>
      <c r="K492" s="20" t="s">
        <v>39</v>
      </c>
      <c r="L492" s="21"/>
    </row>
    <row r="493" customFormat="false" ht="15" hidden="false" customHeight="false" outlineLevel="0" collapsed="false">
      <c r="A493" s="20" t="n">
        <v>492</v>
      </c>
      <c r="B493" s="21"/>
      <c r="C493" s="20" t="s">
        <v>520</v>
      </c>
      <c r="D493" s="20" t="s">
        <v>521</v>
      </c>
      <c r="E493" s="21" t="s">
        <v>522</v>
      </c>
      <c r="F493" s="22" t="n">
        <v>4215</v>
      </c>
      <c r="G493" s="22" t="n">
        <f aca="false">F493*VLOOKUP(K493,Kurallar!$A$17:$B$22,2,0)</f>
        <v>4215</v>
      </c>
      <c r="H493" s="22" t="n">
        <f aca="false">G493*I493</f>
        <v>4215</v>
      </c>
      <c r="I493" s="23" t="n">
        <v>1</v>
      </c>
      <c r="J493" s="20" t="s">
        <v>306</v>
      </c>
      <c r="K493" s="20" t="s">
        <v>39</v>
      </c>
      <c r="L493" s="21"/>
    </row>
    <row r="494" customFormat="false" ht="15" hidden="false" customHeight="false" outlineLevel="0" collapsed="false">
      <c r="A494" s="20" t="n">
        <v>493</v>
      </c>
      <c r="B494" s="21"/>
      <c r="C494" s="20" t="s">
        <v>352</v>
      </c>
      <c r="D494" s="20" t="s">
        <v>14</v>
      </c>
      <c r="E494" s="21" t="s">
        <v>353</v>
      </c>
      <c r="F494" s="22"/>
      <c r="G494" s="22" t="n">
        <f aca="false">SUM(H492:H493)*Kurallar!$B$9</f>
        <v>782.34</v>
      </c>
      <c r="H494" s="22" t="n">
        <f aca="false">G494*I494</f>
        <v>782.34</v>
      </c>
      <c r="I494" s="23" t="n">
        <v>1</v>
      </c>
      <c r="J494" s="20" t="s">
        <v>302</v>
      </c>
      <c r="K494" s="20" t="s">
        <v>14</v>
      </c>
      <c r="L494" s="21" t="s">
        <v>354</v>
      </c>
    </row>
    <row r="495" customFormat="false" ht="15" hidden="false" customHeight="false" outlineLevel="0" collapsed="false">
      <c r="A495" s="20" t="n">
        <v>494</v>
      </c>
      <c r="B495" s="21"/>
      <c r="C495" s="20" t="s">
        <v>355</v>
      </c>
      <c r="D495" s="20" t="s">
        <v>14</v>
      </c>
      <c r="E495" s="21" t="s">
        <v>356</v>
      </c>
      <c r="F495" s="24" t="n">
        <f aca="false">I495/60</f>
        <v>0.583333333333333</v>
      </c>
      <c r="G495" s="22" t="n">
        <f aca="false">Kurallar!$B$10</f>
        <v>100</v>
      </c>
      <c r="H495" s="22" t="n">
        <f aca="false">G495*I495</f>
        <v>3500</v>
      </c>
      <c r="I495" s="23" t="n">
        <f aca="false">ROUND((Kurallar!$C$44*1)*Kurallar!$B$11,0)</f>
        <v>35</v>
      </c>
      <c r="J495" s="20" t="s">
        <v>357</v>
      </c>
      <c r="K495" s="20" t="s">
        <v>14</v>
      </c>
      <c r="L495" s="21" t="s">
        <v>358</v>
      </c>
    </row>
    <row r="496" customFormat="false" ht="23.85" hidden="false" customHeight="false" outlineLevel="0" collapsed="false">
      <c r="A496" s="25"/>
      <c r="B496" s="26" t="s">
        <v>523</v>
      </c>
      <c r="C496" s="25"/>
      <c r="D496" s="25"/>
      <c r="E496" s="26"/>
      <c r="F496" s="27"/>
      <c r="G496" s="27"/>
      <c r="H496" s="27" t="n">
        <f aca="false">SUBTOTAL(9,H492:H495)</f>
        <v>30360.34</v>
      </c>
      <c r="I496" s="28"/>
      <c r="J496" s="25"/>
      <c r="K496" s="25"/>
      <c r="L496" s="26" t="s">
        <v>360</v>
      </c>
    </row>
    <row r="497" customFormat="false" ht="35.05" hidden="false" customHeight="false" outlineLevel="0" collapsed="false">
      <c r="A497" s="29"/>
      <c r="B497" s="30" t="s">
        <v>524</v>
      </c>
      <c r="C497" s="29"/>
      <c r="D497" s="29"/>
      <c r="E497" s="30"/>
      <c r="F497" s="31"/>
      <c r="G497" s="31"/>
      <c r="H497" s="31"/>
      <c r="I497" s="32"/>
      <c r="J497" s="29"/>
      <c r="K497" s="29"/>
      <c r="L497" s="30"/>
    </row>
    <row r="498" customFormat="false" ht="23.85" hidden="false" customHeight="false" outlineLevel="0" collapsed="false">
      <c r="A498" s="33"/>
      <c r="B498" s="34" t="s">
        <v>525</v>
      </c>
      <c r="C498" s="33" t="s">
        <v>526</v>
      </c>
      <c r="D498" s="33" t="s">
        <v>527</v>
      </c>
      <c r="E498" s="34" t="s">
        <v>528</v>
      </c>
      <c r="F498" s="35"/>
      <c r="G498" s="35"/>
      <c r="H498" s="35"/>
      <c r="I498" s="36" t="n">
        <v>1</v>
      </c>
      <c r="J498" s="33" t="s">
        <v>306</v>
      </c>
      <c r="K498" s="33" t="s">
        <v>39</v>
      </c>
      <c r="L498" s="34" t="s">
        <v>529</v>
      </c>
    </row>
    <row r="499" customFormat="false" ht="23.85" hidden="false" customHeight="false" outlineLevel="0" collapsed="false">
      <c r="A499" s="33"/>
      <c r="B499" s="34" t="s">
        <v>530</v>
      </c>
      <c r="C499" s="33" t="s">
        <v>526</v>
      </c>
      <c r="D499" s="33" t="s">
        <v>14</v>
      </c>
      <c r="E499" s="34" t="s">
        <v>531</v>
      </c>
      <c r="F499" s="35"/>
      <c r="G499" s="35"/>
      <c r="H499" s="35"/>
      <c r="I499" s="36" t="n">
        <v>1</v>
      </c>
      <c r="J499" s="33" t="s">
        <v>306</v>
      </c>
      <c r="K499" s="33" t="s">
        <v>14</v>
      </c>
      <c r="L499" s="34" t="s">
        <v>532</v>
      </c>
    </row>
    <row r="500" customFormat="false" ht="23.85" hidden="false" customHeight="false" outlineLevel="0" collapsed="false">
      <c r="A500" s="33"/>
      <c r="B500" s="34" t="s">
        <v>533</v>
      </c>
      <c r="C500" s="33" t="s">
        <v>526</v>
      </c>
      <c r="D500" s="33" t="s">
        <v>14</v>
      </c>
      <c r="E500" s="34" t="s">
        <v>534</v>
      </c>
      <c r="F500" s="35"/>
      <c r="G500" s="35"/>
      <c r="H500" s="35"/>
      <c r="I500" s="36" t="n">
        <v>2</v>
      </c>
      <c r="J500" s="33" t="s">
        <v>306</v>
      </c>
      <c r="K500" s="33" t="s">
        <v>14</v>
      </c>
      <c r="L500" s="34" t="s">
        <v>535</v>
      </c>
    </row>
    <row r="501" customFormat="false" ht="23.85" hidden="false" customHeight="false" outlineLevel="0" collapsed="false">
      <c r="A501" s="33"/>
      <c r="B501" s="34" t="s">
        <v>536</v>
      </c>
      <c r="C501" s="33" t="s">
        <v>526</v>
      </c>
      <c r="D501" s="33" t="s">
        <v>14</v>
      </c>
      <c r="E501" s="34" t="s">
        <v>537</v>
      </c>
      <c r="F501" s="35"/>
      <c r="G501" s="35"/>
      <c r="H501" s="35"/>
      <c r="I501" s="36" t="n">
        <v>3</v>
      </c>
      <c r="J501" s="33" t="s">
        <v>306</v>
      </c>
      <c r="K501" s="33" t="s">
        <v>14</v>
      </c>
      <c r="L501" s="34" t="s">
        <v>535</v>
      </c>
    </row>
    <row r="502" customFormat="false" ht="23.85" hidden="false" customHeight="false" outlineLevel="0" collapsed="false">
      <c r="A502" s="33"/>
      <c r="B502" s="34" t="s">
        <v>538</v>
      </c>
      <c r="C502" s="33" t="s">
        <v>526</v>
      </c>
      <c r="D502" s="33" t="s">
        <v>14</v>
      </c>
      <c r="E502" s="34" t="s">
        <v>539</v>
      </c>
      <c r="F502" s="35"/>
      <c r="G502" s="35"/>
      <c r="H502" s="35"/>
      <c r="I502" s="36" t="n">
        <v>3</v>
      </c>
      <c r="J502" s="33" t="s">
        <v>306</v>
      </c>
      <c r="K502" s="33" t="s">
        <v>14</v>
      </c>
      <c r="L502" s="34" t="s">
        <v>535</v>
      </c>
    </row>
    <row r="503" customFormat="false" ht="23.85" hidden="false" customHeight="false" outlineLevel="0" collapsed="false">
      <c r="A503" s="33"/>
      <c r="B503" s="34" t="s">
        <v>540</v>
      </c>
      <c r="C503" s="33" t="s">
        <v>526</v>
      </c>
      <c r="D503" s="33" t="s">
        <v>14</v>
      </c>
      <c r="E503" s="34" t="s">
        <v>541</v>
      </c>
      <c r="F503" s="35"/>
      <c r="G503" s="35"/>
      <c r="H503" s="35"/>
      <c r="I503" s="36" t="n">
        <v>1</v>
      </c>
      <c r="J503" s="33" t="s">
        <v>306</v>
      </c>
      <c r="K503" s="33" t="s">
        <v>14</v>
      </c>
      <c r="L503" s="34" t="s">
        <v>542</v>
      </c>
    </row>
    <row r="504" customFormat="false" ht="23.85" hidden="false" customHeight="false" outlineLevel="0" collapsed="false">
      <c r="A504" s="33"/>
      <c r="B504" s="34" t="s">
        <v>543</v>
      </c>
      <c r="C504" s="33" t="s">
        <v>526</v>
      </c>
      <c r="D504" s="33" t="s">
        <v>14</v>
      </c>
      <c r="E504" s="34" t="s">
        <v>544</v>
      </c>
      <c r="F504" s="35"/>
      <c r="G504" s="35"/>
      <c r="H504" s="35"/>
      <c r="I504" s="36" t="n">
        <v>2</v>
      </c>
      <c r="J504" s="33" t="s">
        <v>306</v>
      </c>
      <c r="K504" s="33" t="s">
        <v>14</v>
      </c>
      <c r="L504" s="34" t="s">
        <v>542</v>
      </c>
    </row>
    <row r="505" customFormat="false" ht="23.85" hidden="false" customHeight="false" outlineLevel="0" collapsed="false">
      <c r="A505" s="33"/>
      <c r="B505" s="34" t="s">
        <v>545</v>
      </c>
      <c r="C505" s="33" t="s">
        <v>526</v>
      </c>
      <c r="D505" s="33" t="s">
        <v>14</v>
      </c>
      <c r="E505" s="34" t="s">
        <v>546</v>
      </c>
      <c r="F505" s="35"/>
      <c r="G505" s="35"/>
      <c r="H505" s="35"/>
      <c r="I505" s="36" t="n">
        <v>1</v>
      </c>
      <c r="J505" s="33" t="s">
        <v>306</v>
      </c>
      <c r="K505" s="33" t="s">
        <v>14</v>
      </c>
      <c r="L505" s="34" t="s">
        <v>542</v>
      </c>
    </row>
    <row r="506" customFormat="false" ht="23.85" hidden="false" customHeight="false" outlineLevel="0" collapsed="false">
      <c r="A506" s="33"/>
      <c r="B506" s="34" t="s">
        <v>547</v>
      </c>
      <c r="C506" s="33" t="s">
        <v>526</v>
      </c>
      <c r="D506" s="33" t="s">
        <v>14</v>
      </c>
      <c r="E506" s="34" t="s">
        <v>548</v>
      </c>
      <c r="F506" s="35"/>
      <c r="G506" s="35"/>
      <c r="H506" s="35"/>
      <c r="I506" s="36" t="n">
        <v>1</v>
      </c>
      <c r="J506" s="33" t="s">
        <v>306</v>
      </c>
      <c r="K506" s="33" t="s">
        <v>14</v>
      </c>
      <c r="L506" s="34" t="s">
        <v>549</v>
      </c>
    </row>
    <row r="507" customFormat="false" ht="15" hidden="false" customHeight="false" outlineLevel="0" collapsed="false">
      <c r="A507" s="33"/>
      <c r="B507" s="34" t="s">
        <v>550</v>
      </c>
      <c r="C507" s="33" t="s">
        <v>526</v>
      </c>
      <c r="D507" s="33" t="s">
        <v>14</v>
      </c>
      <c r="E507" s="34" t="s">
        <v>551</v>
      </c>
      <c r="F507" s="35"/>
      <c r="G507" s="35"/>
      <c r="H507" s="35"/>
      <c r="I507" s="36" t="n">
        <v>1</v>
      </c>
      <c r="J507" s="33" t="s">
        <v>306</v>
      </c>
      <c r="K507" s="33" t="s">
        <v>14</v>
      </c>
      <c r="L507" s="34" t="s">
        <v>552</v>
      </c>
    </row>
    <row r="508" customFormat="false" ht="23.85" hidden="false" customHeight="false" outlineLevel="0" collapsed="false">
      <c r="A508" s="33"/>
      <c r="B508" s="34" t="s">
        <v>553</v>
      </c>
      <c r="C508" s="33" t="s">
        <v>526</v>
      </c>
      <c r="D508" s="33" t="s">
        <v>14</v>
      </c>
      <c r="E508" s="34" t="s">
        <v>554</v>
      </c>
      <c r="F508" s="35"/>
      <c r="G508" s="35"/>
      <c r="H508" s="35"/>
      <c r="I508" s="36" t="n">
        <v>3</v>
      </c>
      <c r="J508" s="33" t="s">
        <v>306</v>
      </c>
      <c r="K508" s="33" t="s">
        <v>14</v>
      </c>
      <c r="L508" s="34" t="s">
        <v>549</v>
      </c>
    </row>
    <row r="509" customFormat="false" ht="23.85" hidden="false" customHeight="false" outlineLevel="0" collapsed="false">
      <c r="A509" s="33"/>
      <c r="B509" s="34" t="s">
        <v>555</v>
      </c>
      <c r="C509" s="33" t="s">
        <v>526</v>
      </c>
      <c r="D509" s="33" t="s">
        <v>14</v>
      </c>
      <c r="E509" s="34" t="s">
        <v>556</v>
      </c>
      <c r="F509" s="35"/>
      <c r="G509" s="35"/>
      <c r="H509" s="35"/>
      <c r="I509" s="36" t="n">
        <v>1</v>
      </c>
      <c r="J509" s="33" t="s">
        <v>306</v>
      </c>
      <c r="K509" s="33" t="s">
        <v>14</v>
      </c>
      <c r="L509" s="34" t="s">
        <v>549</v>
      </c>
    </row>
    <row r="510" customFormat="false" ht="15" hidden="false" customHeight="false" outlineLevel="0" collapsed="false">
      <c r="A510" s="33"/>
      <c r="B510" s="34" t="s">
        <v>557</v>
      </c>
      <c r="C510" s="33" t="s">
        <v>526</v>
      </c>
      <c r="D510" s="33" t="s">
        <v>14</v>
      </c>
      <c r="E510" s="34" t="s">
        <v>558</v>
      </c>
      <c r="F510" s="35"/>
      <c r="G510" s="35"/>
      <c r="H510" s="35"/>
      <c r="I510" s="36" t="n">
        <v>78</v>
      </c>
      <c r="J510" s="33" t="s">
        <v>345</v>
      </c>
      <c r="K510" s="33" t="s">
        <v>14</v>
      </c>
      <c r="L510" s="34" t="s">
        <v>559</v>
      </c>
    </row>
    <row r="511" customFormat="false" ht="15" hidden="false" customHeight="false" outlineLevel="0" collapsed="false">
      <c r="A511" s="33"/>
      <c r="B511" s="34" t="s">
        <v>560</v>
      </c>
      <c r="C511" s="33" t="s">
        <v>526</v>
      </c>
      <c r="D511" s="33" t="s">
        <v>14</v>
      </c>
      <c r="E511" s="34" t="s">
        <v>561</v>
      </c>
      <c r="F511" s="35"/>
      <c r="G511" s="35"/>
      <c r="H511" s="35"/>
      <c r="I511" s="36" t="n">
        <v>30</v>
      </c>
      <c r="J511" s="33" t="s">
        <v>345</v>
      </c>
      <c r="K511" s="33" t="s">
        <v>14</v>
      </c>
      <c r="L511" s="34" t="s">
        <v>559</v>
      </c>
    </row>
    <row r="512" customFormat="false" ht="15" hidden="false" customHeight="false" outlineLevel="0" collapsed="false">
      <c r="A512" s="33"/>
      <c r="B512" s="34" t="s">
        <v>562</v>
      </c>
      <c r="C512" s="33" t="s">
        <v>526</v>
      </c>
      <c r="D512" s="33" t="s">
        <v>14</v>
      </c>
      <c r="E512" s="34" t="s">
        <v>563</v>
      </c>
      <c r="F512" s="35"/>
      <c r="G512" s="35"/>
      <c r="H512" s="35"/>
      <c r="I512" s="36" t="n">
        <v>0</v>
      </c>
      <c r="J512" s="33" t="s">
        <v>306</v>
      </c>
      <c r="K512" s="33" t="s">
        <v>14</v>
      </c>
      <c r="L512" s="34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5" min="4" style="0" width="20"/>
  </cols>
  <sheetData>
    <row r="1" customFormat="false" ht="15" hidden="false" customHeight="false" outlineLevel="0" collapsed="false">
      <c r="A1" s="14" t="s">
        <v>288</v>
      </c>
      <c r="B1" s="14" t="s">
        <v>565</v>
      </c>
      <c r="C1" s="14" t="s">
        <v>566</v>
      </c>
      <c r="D1" s="14" t="s">
        <v>567</v>
      </c>
      <c r="E1" s="14" t="s">
        <v>568</v>
      </c>
    </row>
    <row r="2" customFormat="false" ht="15" hidden="false" customHeight="false" outlineLevel="0" collapsed="false">
      <c r="A2" s="20" t="n">
        <v>1</v>
      </c>
      <c r="B2" s="21" t="s">
        <v>301</v>
      </c>
      <c r="C2" s="20" t="n">
        <v>1</v>
      </c>
      <c r="D2" s="22" t="n">
        <f aca="false">BOM!H27</f>
        <v>1590870.208</v>
      </c>
      <c r="E2" s="22" t="n">
        <f aca="false">C2*D2</f>
        <v>1590870.208</v>
      </c>
    </row>
    <row r="3" customFormat="false" ht="15" hidden="false" customHeight="false" outlineLevel="0" collapsed="false">
      <c r="A3" s="20" t="n">
        <v>2</v>
      </c>
      <c r="B3" s="21" t="s">
        <v>361</v>
      </c>
      <c r="C3" s="20" t="n">
        <v>1</v>
      </c>
      <c r="D3" s="22" t="n">
        <f aca="false">BOM!H57</f>
        <v>1618386.658</v>
      </c>
      <c r="E3" s="22" t="n">
        <f aca="false">C3*D3</f>
        <v>1618386.658</v>
      </c>
    </row>
    <row r="4" customFormat="false" ht="15" hidden="false" customHeight="false" outlineLevel="0" collapsed="false">
      <c r="A4" s="20" t="n">
        <v>3</v>
      </c>
      <c r="B4" s="21" t="s">
        <v>367</v>
      </c>
      <c r="C4" s="20" t="n">
        <v>1</v>
      </c>
      <c r="D4" s="22" t="n">
        <f aca="false">BOM!H84</f>
        <v>1695737.392</v>
      </c>
      <c r="E4" s="22" t="n">
        <f aca="false">C4*D4</f>
        <v>1695737.392</v>
      </c>
    </row>
    <row r="5" customFormat="false" ht="15" hidden="false" customHeight="false" outlineLevel="0" collapsed="false">
      <c r="A5" s="20" t="n">
        <v>4</v>
      </c>
      <c r="B5" s="21" t="s">
        <v>370</v>
      </c>
      <c r="C5" s="20" t="n">
        <v>1</v>
      </c>
      <c r="D5" s="22" t="n">
        <f aca="false">BOM!H98</f>
        <v>77464.872</v>
      </c>
      <c r="E5" s="22" t="n">
        <f aca="false">C5*D5</f>
        <v>77464.872</v>
      </c>
    </row>
    <row r="6" customFormat="false" ht="15" hidden="false" customHeight="false" outlineLevel="0" collapsed="false">
      <c r="A6" s="20" t="n">
        <v>5</v>
      </c>
      <c r="B6" s="21" t="s">
        <v>385</v>
      </c>
      <c r="C6" s="20" t="n">
        <v>1</v>
      </c>
      <c r="D6" s="22" t="n">
        <f aca="false">BOM!H114</f>
        <v>79228.076</v>
      </c>
      <c r="E6" s="22" t="n">
        <f aca="false">C6*D6</f>
        <v>79228.076</v>
      </c>
    </row>
    <row r="7" customFormat="false" ht="15" hidden="false" customHeight="false" outlineLevel="0" collapsed="false">
      <c r="A7" s="20" t="n">
        <v>6</v>
      </c>
      <c r="B7" s="21" t="s">
        <v>395</v>
      </c>
      <c r="C7" s="20" t="n">
        <v>1</v>
      </c>
      <c r="D7" s="22" t="n">
        <f aca="false">BOM!H129</f>
        <v>78145.792</v>
      </c>
      <c r="E7" s="22" t="n">
        <f aca="false">C7*D7</f>
        <v>78145.792</v>
      </c>
    </row>
    <row r="8" customFormat="false" ht="15" hidden="false" customHeight="false" outlineLevel="0" collapsed="false">
      <c r="A8" s="20" t="n">
        <v>7</v>
      </c>
      <c r="B8" s="21" t="s">
        <v>407</v>
      </c>
      <c r="C8" s="20" t="n">
        <v>1</v>
      </c>
      <c r="D8" s="22" t="n">
        <f aca="false">BOM!H144</f>
        <v>72258.996</v>
      </c>
      <c r="E8" s="22" t="n">
        <f aca="false">C8*D8</f>
        <v>72258.996</v>
      </c>
    </row>
    <row r="9" customFormat="false" ht="15" hidden="false" customHeight="false" outlineLevel="0" collapsed="false">
      <c r="A9" s="20" t="n">
        <v>8</v>
      </c>
      <c r="B9" s="21" t="s">
        <v>415</v>
      </c>
      <c r="C9" s="20" t="n">
        <v>1</v>
      </c>
      <c r="D9" s="22" t="n">
        <f aca="false">BOM!H160</f>
        <v>109466.37</v>
      </c>
      <c r="E9" s="22" t="n">
        <f aca="false">C9*D9</f>
        <v>109466.37</v>
      </c>
    </row>
    <row r="10" customFormat="false" ht="15" hidden="false" customHeight="false" outlineLevel="0" collapsed="false">
      <c r="A10" s="20" t="n">
        <v>9</v>
      </c>
      <c r="B10" s="21" t="s">
        <v>425</v>
      </c>
      <c r="C10" s="20" t="n">
        <v>1</v>
      </c>
      <c r="D10" s="22" t="n">
        <f aca="false">BOM!H173</f>
        <v>62193.788</v>
      </c>
      <c r="E10" s="22" t="n">
        <f aca="false">C10*D10</f>
        <v>62193.788</v>
      </c>
    </row>
    <row r="11" customFormat="false" ht="15" hidden="false" customHeight="false" outlineLevel="0" collapsed="false">
      <c r="A11" s="20" t="n">
        <v>10</v>
      </c>
      <c r="B11" s="21" t="s">
        <v>427</v>
      </c>
      <c r="C11" s="20" t="n">
        <v>1</v>
      </c>
      <c r="D11" s="22" t="n">
        <f aca="false">BOM!H188</f>
        <v>91052.916</v>
      </c>
      <c r="E11" s="22" t="n">
        <f aca="false">C11*D11</f>
        <v>91052.916</v>
      </c>
    </row>
    <row r="12" customFormat="false" ht="15" hidden="false" customHeight="false" outlineLevel="0" collapsed="false">
      <c r="A12" s="20" t="n">
        <v>11</v>
      </c>
      <c r="B12" s="21" t="s">
        <v>434</v>
      </c>
      <c r="C12" s="20" t="n">
        <v>1</v>
      </c>
      <c r="D12" s="22" t="n">
        <f aca="false">BOM!H203</f>
        <v>97685.302</v>
      </c>
      <c r="E12" s="22" t="n">
        <f aca="false">C12*D12</f>
        <v>97685.302</v>
      </c>
    </row>
    <row r="13" customFormat="false" ht="15" hidden="false" customHeight="false" outlineLevel="0" collapsed="false">
      <c r="A13" s="20" t="n">
        <v>12</v>
      </c>
      <c r="B13" s="21" t="s">
        <v>439</v>
      </c>
      <c r="C13" s="20" t="n">
        <v>1</v>
      </c>
      <c r="D13" s="22" t="n">
        <f aca="false">BOM!H218</f>
        <v>152164.7</v>
      </c>
      <c r="E13" s="22" t="n">
        <f aca="false">C13*D13</f>
        <v>152164.7</v>
      </c>
    </row>
    <row r="14" customFormat="false" ht="15" hidden="false" customHeight="false" outlineLevel="0" collapsed="false">
      <c r="A14" s="20" t="n">
        <v>13</v>
      </c>
      <c r="B14" s="21" t="s">
        <v>442</v>
      </c>
      <c r="C14" s="20" t="n">
        <v>2</v>
      </c>
      <c r="D14" s="22" t="n">
        <f aca="false">BOM!H230</f>
        <v>76658.306</v>
      </c>
      <c r="E14" s="22" t="n">
        <f aca="false">C14*D14</f>
        <v>153316.612</v>
      </c>
    </row>
    <row r="15" customFormat="false" ht="15" hidden="false" customHeight="false" outlineLevel="0" collapsed="false">
      <c r="A15" s="20" t="n">
        <v>14</v>
      </c>
      <c r="B15" s="21" t="s">
        <v>448</v>
      </c>
      <c r="C15" s="20" t="n">
        <v>1</v>
      </c>
      <c r="D15" s="22" t="n">
        <f aca="false">BOM!H243</f>
        <v>141554.834</v>
      </c>
      <c r="E15" s="22" t="n">
        <f aca="false">C15*D15</f>
        <v>141554.834</v>
      </c>
    </row>
    <row r="16" customFormat="false" ht="15" hidden="false" customHeight="false" outlineLevel="0" collapsed="false">
      <c r="A16" s="20" t="n">
        <v>15</v>
      </c>
      <c r="B16" s="21" t="s">
        <v>452</v>
      </c>
      <c r="C16" s="20" t="n">
        <v>1</v>
      </c>
      <c r="D16" s="22" t="n">
        <f aca="false">BOM!H255</f>
        <v>84362.498</v>
      </c>
      <c r="E16" s="22" t="n">
        <f aca="false">C16*D16</f>
        <v>84362.498</v>
      </c>
    </row>
    <row r="17" customFormat="false" ht="15" hidden="false" customHeight="false" outlineLevel="0" collapsed="false">
      <c r="A17" s="20" t="n">
        <v>16</v>
      </c>
      <c r="B17" s="21" t="s">
        <v>454</v>
      </c>
      <c r="C17" s="20" t="n">
        <v>1</v>
      </c>
      <c r="D17" s="22" t="n">
        <f aca="false">BOM!H269</f>
        <v>125850.784</v>
      </c>
      <c r="E17" s="22" t="n">
        <f aca="false">C17*D17</f>
        <v>125850.784</v>
      </c>
    </row>
    <row r="18" customFormat="false" ht="15" hidden="false" customHeight="false" outlineLevel="0" collapsed="false">
      <c r="A18" s="20" t="n">
        <v>17</v>
      </c>
      <c r="B18" s="21" t="s">
        <v>456</v>
      </c>
      <c r="C18" s="20" t="n">
        <v>1</v>
      </c>
      <c r="D18" s="22" t="n">
        <f aca="false">BOM!H284</f>
        <v>142483.688</v>
      </c>
      <c r="E18" s="22" t="n">
        <f aca="false">C18*D18</f>
        <v>142483.688</v>
      </c>
    </row>
    <row r="19" customFormat="false" ht="15" hidden="false" customHeight="false" outlineLevel="0" collapsed="false">
      <c r="A19" s="20" t="n">
        <v>18</v>
      </c>
      <c r="B19" s="21" t="s">
        <v>461</v>
      </c>
      <c r="C19" s="20" t="n">
        <v>1</v>
      </c>
      <c r="D19" s="22" t="n">
        <f aca="false">BOM!H300</f>
        <v>121156.298</v>
      </c>
      <c r="E19" s="22" t="n">
        <f aca="false">C19*D19</f>
        <v>121156.298</v>
      </c>
    </row>
    <row r="20" customFormat="false" ht="15" hidden="false" customHeight="false" outlineLevel="0" collapsed="false">
      <c r="A20" s="20" t="n">
        <v>19</v>
      </c>
      <c r="B20" s="21" t="s">
        <v>463</v>
      </c>
      <c r="C20" s="20" t="n">
        <v>1</v>
      </c>
      <c r="D20" s="22" t="n">
        <f aca="false">BOM!H314</f>
        <v>90017.378</v>
      </c>
      <c r="E20" s="22" t="n">
        <f aca="false">C20*D20</f>
        <v>90017.378</v>
      </c>
    </row>
    <row r="21" customFormat="false" ht="15" hidden="false" customHeight="false" outlineLevel="0" collapsed="false">
      <c r="A21" s="20" t="n">
        <v>20</v>
      </c>
      <c r="B21" s="21" t="s">
        <v>467</v>
      </c>
      <c r="C21" s="20" t="n">
        <v>1</v>
      </c>
      <c r="D21" s="22" t="n">
        <f aca="false">BOM!H326</f>
        <v>62582.152</v>
      </c>
      <c r="E21" s="22" t="n">
        <f aca="false">C21*D21</f>
        <v>62582.152</v>
      </c>
    </row>
    <row r="22" customFormat="false" ht="15" hidden="false" customHeight="false" outlineLevel="0" collapsed="false">
      <c r="A22" s="20" t="n">
        <v>21</v>
      </c>
      <c r="B22" s="21" t="s">
        <v>471</v>
      </c>
      <c r="C22" s="20" t="n">
        <v>1</v>
      </c>
      <c r="D22" s="22" t="n">
        <f aca="false">BOM!H338</f>
        <v>130986.034</v>
      </c>
      <c r="E22" s="22" t="n">
        <f aca="false">C22*D22</f>
        <v>130986.034</v>
      </c>
    </row>
    <row r="23" customFormat="false" ht="15" hidden="false" customHeight="false" outlineLevel="0" collapsed="false">
      <c r="A23" s="20" t="n">
        <v>22</v>
      </c>
      <c r="B23" s="21" t="s">
        <v>473</v>
      </c>
      <c r="C23" s="20" t="n">
        <v>1</v>
      </c>
      <c r="D23" s="22" t="n">
        <f aca="false">BOM!H350</f>
        <v>62582.152</v>
      </c>
      <c r="E23" s="22" t="n">
        <f aca="false">C23*D23</f>
        <v>62582.152</v>
      </c>
    </row>
    <row r="24" customFormat="false" ht="15" hidden="false" customHeight="false" outlineLevel="0" collapsed="false">
      <c r="A24" s="20" t="n">
        <v>23</v>
      </c>
      <c r="B24" s="21" t="s">
        <v>475</v>
      </c>
      <c r="C24" s="20" t="n">
        <v>1</v>
      </c>
      <c r="D24" s="22" t="n">
        <f aca="false">BOM!H365</f>
        <v>90783.336</v>
      </c>
      <c r="E24" s="22" t="n">
        <f aca="false">C24*D24</f>
        <v>90783.336</v>
      </c>
    </row>
    <row r="25" customFormat="false" ht="15" hidden="false" customHeight="false" outlineLevel="0" collapsed="false">
      <c r="A25" s="20" t="n">
        <v>24</v>
      </c>
      <c r="B25" s="21" t="s">
        <v>479</v>
      </c>
      <c r="C25" s="20" t="n">
        <v>8</v>
      </c>
      <c r="D25" s="22" t="n">
        <f aca="false">BOM!H377</f>
        <v>64786.418</v>
      </c>
      <c r="E25" s="22" t="n">
        <f aca="false">C25*D25</f>
        <v>518291.344</v>
      </c>
    </row>
    <row r="26" customFormat="false" ht="15" hidden="false" customHeight="false" outlineLevel="0" collapsed="false">
      <c r="A26" s="20" t="n">
        <v>25</v>
      </c>
      <c r="B26" s="21" t="s">
        <v>482</v>
      </c>
      <c r="C26" s="20" t="n">
        <v>1</v>
      </c>
      <c r="D26" s="22" t="n">
        <f aca="false">BOM!H389</f>
        <v>86468.848</v>
      </c>
      <c r="E26" s="22" t="n">
        <f aca="false">C26*D26</f>
        <v>86468.848</v>
      </c>
    </row>
    <row r="27" customFormat="false" ht="15" hidden="false" customHeight="false" outlineLevel="0" collapsed="false">
      <c r="A27" s="20" t="n">
        <v>26</v>
      </c>
      <c r="B27" s="21" t="s">
        <v>484</v>
      </c>
      <c r="C27" s="20" t="n">
        <v>3</v>
      </c>
      <c r="D27" s="22" t="n">
        <f aca="false">BOM!H401</f>
        <v>40483.254</v>
      </c>
      <c r="E27" s="22" t="n">
        <f aca="false">C27*D27</f>
        <v>121449.762</v>
      </c>
    </row>
    <row r="28" customFormat="false" ht="23.85" hidden="false" customHeight="false" outlineLevel="0" collapsed="false">
      <c r="A28" s="20" t="n">
        <v>27</v>
      </c>
      <c r="B28" s="21" t="s">
        <v>489</v>
      </c>
      <c r="C28" s="20" t="n">
        <v>8</v>
      </c>
      <c r="D28" s="22" t="n">
        <f aca="false">BOM!H413</f>
        <v>40483.254</v>
      </c>
      <c r="E28" s="22" t="n">
        <f aca="false">C28*D28</f>
        <v>323866.032</v>
      </c>
    </row>
    <row r="29" customFormat="false" ht="15" hidden="false" customHeight="false" outlineLevel="0" collapsed="false">
      <c r="A29" s="20" t="n">
        <v>28</v>
      </c>
      <c r="B29" s="21" t="s">
        <v>493</v>
      </c>
      <c r="C29" s="20" t="n">
        <v>2</v>
      </c>
      <c r="D29" s="22" t="n">
        <f aca="false">BOM!H425</f>
        <v>42917.4</v>
      </c>
      <c r="E29" s="22" t="n">
        <f aca="false">C29*D29</f>
        <v>85834.8</v>
      </c>
    </row>
    <row r="30" customFormat="false" ht="15" hidden="false" customHeight="false" outlineLevel="0" collapsed="false">
      <c r="A30" s="20" t="n">
        <v>29</v>
      </c>
      <c r="B30" s="21" t="s">
        <v>495</v>
      </c>
      <c r="C30" s="20" t="n">
        <v>2</v>
      </c>
      <c r="D30" s="22" t="n">
        <f aca="false">BOM!H437</f>
        <v>45120.736</v>
      </c>
      <c r="E30" s="22" t="n">
        <f aca="false">C30*D30</f>
        <v>90241.472</v>
      </c>
    </row>
    <row r="31" customFormat="false" ht="15" hidden="false" customHeight="false" outlineLevel="0" collapsed="false">
      <c r="A31" s="20" t="n">
        <v>30</v>
      </c>
      <c r="B31" s="21" t="s">
        <v>497</v>
      </c>
      <c r="C31" s="20" t="n">
        <v>2</v>
      </c>
      <c r="D31" s="22" t="n">
        <f aca="false">BOM!H449</f>
        <v>42917.4</v>
      </c>
      <c r="E31" s="22" t="n">
        <f aca="false">C31*D31</f>
        <v>85834.8</v>
      </c>
    </row>
    <row r="32" customFormat="false" ht="15" hidden="false" customHeight="false" outlineLevel="0" collapsed="false">
      <c r="A32" s="20" t="n">
        <v>31</v>
      </c>
      <c r="B32" s="21" t="s">
        <v>499</v>
      </c>
      <c r="C32" s="20" t="n">
        <v>1</v>
      </c>
      <c r="D32" s="22" t="n">
        <f aca="false">BOM!H461</f>
        <v>49758.218</v>
      </c>
      <c r="E32" s="22" t="n">
        <f aca="false">C32*D32</f>
        <v>49758.218</v>
      </c>
    </row>
    <row r="33" customFormat="false" ht="15" hidden="false" customHeight="false" outlineLevel="0" collapsed="false">
      <c r="A33" s="20" t="n">
        <v>32</v>
      </c>
      <c r="B33" s="21" t="s">
        <v>501</v>
      </c>
      <c r="C33" s="20" t="n">
        <v>1</v>
      </c>
      <c r="D33" s="22" t="n">
        <f aca="false">BOM!H470</f>
        <v>16542.624</v>
      </c>
      <c r="E33" s="22" t="n">
        <f aca="false">C33*D33</f>
        <v>16542.624</v>
      </c>
    </row>
    <row r="34" customFormat="false" ht="15" hidden="false" customHeight="false" outlineLevel="0" collapsed="false">
      <c r="A34" s="20" t="n">
        <v>33</v>
      </c>
      <c r="B34" s="21" t="s">
        <v>505</v>
      </c>
      <c r="C34" s="20" t="n">
        <v>1</v>
      </c>
      <c r="D34" s="22" t="n">
        <f aca="false">BOM!H485</f>
        <v>112337.164</v>
      </c>
      <c r="E34" s="22" t="n">
        <f aca="false">C34*D34</f>
        <v>112337.164</v>
      </c>
    </row>
    <row r="35" customFormat="false" ht="15" hidden="false" customHeight="false" outlineLevel="0" collapsed="false">
      <c r="A35" s="20" t="n">
        <v>34</v>
      </c>
      <c r="B35" s="21" t="s">
        <v>514</v>
      </c>
      <c r="C35" s="20" t="n">
        <v>1</v>
      </c>
      <c r="D35" s="22" t="n">
        <f aca="false">BOM!H490</f>
        <v>121489.544</v>
      </c>
      <c r="E35" s="22" t="n">
        <f aca="false">C35*D35</f>
        <v>121489.544</v>
      </c>
    </row>
    <row r="36" customFormat="false" ht="15" hidden="false" customHeight="false" outlineLevel="0" collapsed="false">
      <c r="A36" s="20" t="n">
        <v>35</v>
      </c>
      <c r="B36" s="21" t="s">
        <v>517</v>
      </c>
      <c r="C36" s="20" t="n">
        <v>2</v>
      </c>
      <c r="D36" s="22" t="n">
        <f aca="false">BOM!H496</f>
        <v>30360.34</v>
      </c>
      <c r="E36" s="22" t="n">
        <f aca="false">C36*D36</f>
        <v>60720.68</v>
      </c>
    </row>
    <row r="37" customFormat="false" ht="15" hidden="false" customHeight="false" outlineLevel="0" collapsed="false">
      <c r="A37" s="37"/>
      <c r="B37" s="37" t="s">
        <v>569</v>
      </c>
      <c r="C37" s="37"/>
      <c r="D37" s="37"/>
      <c r="E37" s="38" t="n">
        <f aca="false">SUM(E2:E36)</f>
        <v>8603166.124</v>
      </c>
    </row>
    <row r="39" customFormat="false" ht="15" hidden="false" customHeight="false" outlineLevel="0" collapsed="false">
      <c r="B39" s="39" t="s"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2026-07-29T11:12:31Z</dcterms:created>
  <dc:creator>openpyxl</dc:creator>
  <dc:description/>
  <dc:language>en-US</dc:language>
  <cp:lastModifiedBy/>
  <dcterms:modified xsi:type="dcterms:W3CDTF">2026-07-29T11:12:32Z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