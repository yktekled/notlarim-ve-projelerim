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8"/>
    </font>
    <font>
      <name val="Arial"/>
      <sz val="9"/>
    </font>
    <font>
      <name val="Arial"/>
      <color rgb="00888888"/>
      <sz val="9"/>
    </font>
    <font>
      <name val="Arial"/>
      <color rgb="000000FF"/>
      <sz val="9"/>
    </font>
    <font>
      <name val="Arial"/>
      <color rgb="00C00000"/>
      <sz val="8"/>
    </font>
    <font>
      <name val="Arial"/>
      <b val="1"/>
      <sz val="10"/>
    </font>
    <font>
      <name val="Arial"/>
      <b val="1"/>
      <sz val="11"/>
    </font>
    <font>
      <name val="Arial"/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9" fillId="1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4" fontId="5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4" fontId="5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4" fontId="5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4" fontId="5" fillId="7" borderId="1" applyAlignment="1" pivotButton="0" quotePrefix="0" xfId="0">
      <alignment horizontal="center" vertical="center"/>
    </xf>
    <xf numFmtId="4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4" fontId="5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4" fontId="5" fillId="10" borderId="1" applyAlignment="1" pivotButton="0" quotePrefix="0" xfId="0">
      <alignment horizontal="center" vertical="center"/>
    </xf>
    <xf numFmtId="4" fontId="3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/>
    </xf>
    <xf numFmtId="0" fontId="0" fillId="0" borderId="1" pivotButton="0" quotePrefix="0" xfId="0"/>
    <xf numFmtId="4" fontId="8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2" customWidth="1" min="4" max="4"/>
    <col width="50" customWidth="1" min="5" max="5"/>
    <col width="8" customWidth="1" min="6" max="6"/>
    <col width="8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 ht="22" customHeight="1">
      <c r="A1" s="1" t="inlineStr">
        <is>
          <t>Гараж ЭМО - Спецификация оборудования | Алматы, Турксибский р-н, ул. Закарпатская 51 | ABB Fiyat: Kasım 2025</t>
        </is>
      </c>
    </row>
    <row r="2" ht="20" customHeight="1">
      <c r="A2" s="2" t="inlineStr">
        <is>
          <t>№</t>
        </is>
      </c>
      <c r="B2" s="2" t="inlineStr">
        <is>
          <t>Панель</t>
        </is>
      </c>
      <c r="C2" s="2" t="inlineStr">
        <is>
          <t>Тип</t>
        </is>
      </c>
      <c r="D2" s="2" t="inlineStr">
        <is>
          <t>Артикул</t>
        </is>
      </c>
      <c r="E2" s="2" t="inlineStr">
        <is>
          <t>Наименование</t>
        </is>
      </c>
      <c r="F2" s="2" t="inlineStr">
        <is>
          <t>Кол-во</t>
        </is>
      </c>
      <c r="G2" s="2" t="inlineStr">
        <is>
          <t>Ед.</t>
        </is>
      </c>
      <c r="H2" s="2" t="inlineStr">
        <is>
          <t>Завод</t>
        </is>
      </c>
      <c r="I2" s="2" t="inlineStr">
        <is>
          <t>Цена EUR (ед.)</t>
        </is>
      </c>
      <c r="J2" s="2" t="inlineStr">
        <is>
          <t>Сумма EUR</t>
        </is>
      </c>
      <c r="K2" s="2" t="inlineStr">
        <is>
          <t>Примечание</t>
        </is>
      </c>
    </row>
    <row r="3" ht="18" customHeight="1">
      <c r="A3" s="3" t="n">
        <v>1</v>
      </c>
      <c r="B3" s="3" t="inlineStr">
        <is>
          <t>ВЩ-1</t>
        </is>
      </c>
      <c r="C3" s="3" t="inlineStr"/>
      <c r="D3" s="3" t="inlineStr"/>
      <c r="E3" s="4" t="inlineStr">
        <is>
          <t>ВЩ-1 (комплект)</t>
        </is>
      </c>
      <c r="F3" s="3" t="n">
        <v>1</v>
      </c>
      <c r="G3" s="3" t="inlineStr">
        <is>
          <t>компл.</t>
        </is>
      </c>
      <c r="H3" s="3" t="inlineStr">
        <is>
          <t>TEKSAN</t>
        </is>
      </c>
      <c r="I3" s="5" t="n"/>
      <c r="J3" s="5" t="n"/>
      <c r="K3" s="6" t="inlineStr"/>
    </row>
    <row r="4" ht="18" customHeight="1">
      <c r="A4" s="7" t="n">
        <v>2</v>
      </c>
      <c r="B4" s="7" t="inlineStr">
        <is>
          <t>ВЩ-1</t>
        </is>
      </c>
      <c r="C4" s="7" t="inlineStr">
        <is>
          <t>korpus</t>
        </is>
      </c>
      <c r="D4" s="7" t="inlineStr">
        <is>
          <t>719-xx</t>
        </is>
      </c>
      <c r="E4" s="8" t="inlineStr">
        <is>
          <t>Мет. Корпус 1700x800x450мм + 100мм база, IP54</t>
        </is>
      </c>
      <c r="F4" s="7" t="n">
        <v>1</v>
      </c>
      <c r="G4" s="7" t="inlineStr">
        <is>
          <t>шт.</t>
        </is>
      </c>
      <c r="H4" s="7" t="inlineStr">
        <is>
          <t>Teksan</t>
        </is>
      </c>
      <c r="I4" s="9" t="n"/>
      <c r="J4" s="10" t="n"/>
      <c r="K4" s="11" t="inlineStr"/>
    </row>
    <row r="5" ht="18" customHeight="1">
      <c r="A5" s="7" t="n">
        <v>3</v>
      </c>
      <c r="B5" s="7" t="inlineStr">
        <is>
          <t>ВЩ-1</t>
        </is>
      </c>
      <c r="C5" s="7" t="inlineStr">
        <is>
          <t>tms</t>
        </is>
      </c>
      <c r="D5" s="7" t="inlineStr">
        <is>
          <t>1SDA067413R1</t>
        </is>
      </c>
      <c r="E5" s="8" t="inlineStr">
        <is>
          <t>XT1N 160 TMD, In=50A, 3p F F</t>
        </is>
      </c>
      <c r="F5" s="7" t="n">
        <v>2</v>
      </c>
      <c r="G5" s="7" t="inlineStr">
        <is>
          <t>шт.</t>
        </is>
      </c>
      <c r="H5" s="7" t="inlineStr">
        <is>
          <t>ABB</t>
        </is>
      </c>
      <c r="I5" s="12" t="n">
        <v>246.1</v>
      </c>
      <c r="J5" s="13">
        <f>I4*F4</f>
        <v/>
      </c>
      <c r="K5" s="11" t="inlineStr"/>
    </row>
    <row r="6" ht="18" customHeight="1">
      <c r="A6" s="7" t="n">
        <v>4</v>
      </c>
      <c r="B6" s="7" t="inlineStr">
        <is>
          <t>ВЩ-1</t>
        </is>
      </c>
      <c r="C6" s="7" t="inlineStr">
        <is>
          <t>perekluchatel</t>
        </is>
      </c>
      <c r="D6" s="7" t="inlineStr">
        <is>
          <t>OT/OTM250-3P</t>
        </is>
      </c>
      <c r="E6" s="8" t="inlineStr">
        <is>
          <t>ABB OT/OTM changeover switch 1-0-2, 3P, 250A</t>
        </is>
      </c>
      <c r="F6" s="7" t="n">
        <v>2</v>
      </c>
      <c r="G6" s="7" t="inlineStr">
        <is>
          <t>шт.</t>
        </is>
      </c>
      <c r="H6" s="7" t="inlineStr">
        <is>
          <t>ABB</t>
        </is>
      </c>
      <c r="I6" s="9" t="n"/>
      <c r="J6" s="10" t="n"/>
      <c r="K6" s="14" t="inlineStr">
        <is>
          <t>⚠ Bu model listede yok - OT250 serisi kontrol edilmeli</t>
        </is>
      </c>
    </row>
    <row r="7" ht="18" customHeight="1">
      <c r="A7" s="7" t="n">
        <v>5</v>
      </c>
      <c r="B7" s="7" t="inlineStr">
        <is>
          <t>ВЩ-1</t>
        </is>
      </c>
      <c r="C7" s="7" t="inlineStr">
        <is>
          <t>oto</t>
        </is>
      </c>
      <c r="D7" s="7" t="inlineStr">
        <is>
          <t>2CDS211001R0165</t>
        </is>
      </c>
      <c r="E7" s="8" t="inlineStr">
        <is>
          <t>SH201-B16, 1P, B16A, 4.5kA</t>
        </is>
      </c>
      <c r="F7" s="7" t="n">
        <v>7</v>
      </c>
      <c r="G7" s="7" t="inlineStr">
        <is>
          <t>шт.</t>
        </is>
      </c>
      <c r="H7" s="7" t="inlineStr">
        <is>
          <t>ABB</t>
        </is>
      </c>
      <c r="I7" s="12" t="n">
        <v>7.36</v>
      </c>
      <c r="J7" s="13">
        <f>I6*F6</f>
        <v/>
      </c>
      <c r="K7" s="11" t="inlineStr"/>
    </row>
    <row r="8" ht="18" customHeight="1">
      <c r="A8" s="7" t="n">
        <v>6</v>
      </c>
      <c r="B8" s="7" t="inlineStr">
        <is>
          <t>ВЩ-1</t>
        </is>
      </c>
      <c r="C8" s="7" t="inlineStr">
        <is>
          <t>sinyal</t>
        </is>
      </c>
      <c r="D8" s="7" t="inlineStr">
        <is>
          <t>1SFA619403R5231</t>
        </is>
      </c>
      <c r="E8" s="8" t="inlineStr">
        <is>
          <t>CL2-523R LED pilot light, red, 230V AC</t>
        </is>
      </c>
      <c r="F8" s="7" t="n">
        <v>2</v>
      </c>
      <c r="G8" s="7" t="inlineStr">
        <is>
          <t>шт.</t>
        </is>
      </c>
      <c r="H8" s="7" t="inlineStr">
        <is>
          <t>ABB</t>
        </is>
      </c>
      <c r="I8" s="12" t="n">
        <v>9.619999999999999</v>
      </c>
      <c r="J8" s="13">
        <f>I7*F7</f>
        <v/>
      </c>
      <c r="K8" s="11" t="inlineStr"/>
    </row>
    <row r="9" ht="18" customHeight="1">
      <c r="A9" s="7" t="n">
        <v>7</v>
      </c>
      <c r="B9" s="7" t="inlineStr">
        <is>
          <t>ВЩ-1</t>
        </is>
      </c>
      <c r="C9" s="7" t="inlineStr">
        <is>
          <t>sinyal</t>
        </is>
      </c>
      <c r="D9" s="7" t="inlineStr">
        <is>
          <t>1SFA619403R5233</t>
        </is>
      </c>
      <c r="E9" s="8" t="inlineStr">
        <is>
          <t>CL2-523Y LED pilot light, yellow, 230V AC</t>
        </is>
      </c>
      <c r="F9" s="7" t="n">
        <v>2</v>
      </c>
      <c r="G9" s="7" t="inlineStr">
        <is>
          <t>шт.</t>
        </is>
      </c>
      <c r="H9" s="7" t="inlineStr">
        <is>
          <t>ABB</t>
        </is>
      </c>
      <c r="I9" s="12" t="n">
        <v>9.619999999999999</v>
      </c>
      <c r="J9" s="13">
        <f>I8*F8</f>
        <v/>
      </c>
      <c r="K9" s="11" t="inlineStr"/>
    </row>
    <row r="10" ht="18" customHeight="1">
      <c r="A10" s="7" t="n">
        <v>8</v>
      </c>
      <c r="B10" s="7" t="inlineStr">
        <is>
          <t>ВЩ-1</t>
        </is>
      </c>
      <c r="C10" s="7" t="inlineStr">
        <is>
          <t>sinyal</t>
        </is>
      </c>
      <c r="D10" s="7" t="inlineStr">
        <is>
          <t>1SFA619403R5232</t>
        </is>
      </c>
      <c r="E10" s="8" t="inlineStr">
        <is>
          <t>CL2-523G LED pilot light, green, 230V AC</t>
        </is>
      </c>
      <c r="F10" s="7" t="n">
        <v>2</v>
      </c>
      <c r="G10" s="7" t="inlineStr">
        <is>
          <t>шт.</t>
        </is>
      </c>
      <c r="H10" s="7" t="inlineStr">
        <is>
          <t>ABB</t>
        </is>
      </c>
      <c r="I10" s="12" t="n">
        <v>9.619999999999999</v>
      </c>
      <c r="J10" s="13">
        <f>I9*F9</f>
        <v/>
      </c>
      <c r="K10" s="11" t="inlineStr"/>
    </row>
    <row r="11" ht="18" customHeight="1">
      <c r="A11" s="7" t="n">
        <v>9</v>
      </c>
      <c r="B11" s="7" t="inlineStr">
        <is>
          <t>ВЩ-1</t>
        </is>
      </c>
      <c r="C11" s="7" t="inlineStr">
        <is>
          <t>sayac</t>
        </is>
      </c>
      <c r="D11" s="7" t="inlineStr">
        <is>
          <t>СА4-Э720 R TX P PLC IP П RS</t>
        </is>
      </c>
      <c r="E11" s="8" t="inlineStr">
        <is>
          <t>Счетчик 3ф 380В, 10/100А</t>
        </is>
      </c>
      <c r="F11" s="7" t="n">
        <v>2</v>
      </c>
      <c r="G11" s="7" t="inlineStr">
        <is>
          <t>шт.</t>
        </is>
      </c>
      <c r="H11" s="7" t="inlineStr">
        <is>
          <t>Saiman/Дала</t>
        </is>
      </c>
      <c r="I11" s="9" t="n"/>
      <c r="J11" s="10" t="n"/>
      <c r="K11" s="11" t="inlineStr"/>
    </row>
    <row r="12" ht="18" customHeight="1">
      <c r="A12" s="7" t="n">
        <v>10</v>
      </c>
      <c r="B12" s="7" t="inlineStr">
        <is>
          <t>ВЩ-1</t>
        </is>
      </c>
      <c r="C12" s="7" t="inlineStr">
        <is>
          <t>isp blok</t>
        </is>
      </c>
      <c r="D12" s="7" t="inlineStr">
        <is>
          <t>200100060_</t>
        </is>
      </c>
      <c r="E12" s="8" t="inlineStr">
        <is>
          <t>Испытательный блок 10 полюсов</t>
        </is>
      </c>
      <c r="F12" s="7" t="n">
        <v>2</v>
      </c>
      <c r="G12" s="7" t="inlineStr">
        <is>
          <t>шт.</t>
        </is>
      </c>
      <c r="H12" s="7" t="inlineStr">
        <is>
          <t>UNIT/EKT</t>
        </is>
      </c>
      <c r="I12" s="9" t="n"/>
      <c r="J12" s="10" t="n"/>
      <c r="K12" s="11" t="inlineStr"/>
    </row>
    <row r="13" ht="18" customHeight="1">
      <c r="A13" s="7" t="n">
        <v>11</v>
      </c>
      <c r="B13" s="7" t="inlineStr">
        <is>
          <t>ВЩ-1</t>
        </is>
      </c>
      <c r="C13" s="7" t="inlineStr">
        <is>
          <t>TT</t>
        </is>
      </c>
      <c r="D13" s="7" t="inlineStr">
        <is>
          <t>T-0.66 50/5A</t>
        </is>
      </c>
      <c r="E13" s="8" t="inlineStr">
        <is>
          <t>Трансформатор тока 50/5A</t>
        </is>
      </c>
      <c r="F13" s="7" t="n">
        <v>6</v>
      </c>
      <c r="G13" s="7" t="inlineStr">
        <is>
          <t>шт.</t>
        </is>
      </c>
      <c r="H13" s="7" t="inlineStr">
        <is>
          <t>Saiman/EKT</t>
        </is>
      </c>
      <c r="I13" s="9" t="n"/>
      <c r="J13" s="10" t="n"/>
      <c r="K13" s="11" t="inlineStr"/>
    </row>
    <row r="14" ht="18" customHeight="1">
      <c r="A14" s="7" t="n">
        <v>12</v>
      </c>
      <c r="B14" s="7" t="inlineStr">
        <is>
          <t>ВЩ-1</t>
        </is>
      </c>
      <c r="C14" s="7" t="inlineStr">
        <is>
          <t>shina N</t>
        </is>
      </c>
      <c r="D14" s="7" t="inlineStr">
        <is>
          <t>N-шина</t>
        </is>
      </c>
      <c r="E14" s="8" t="inlineStr">
        <is>
          <t>Шина N на DIN-изоляторе</t>
        </is>
      </c>
      <c r="F14" s="7" t="n">
        <v>1</v>
      </c>
      <c r="G14" s="7" t="inlineStr">
        <is>
          <t>шт.</t>
        </is>
      </c>
      <c r="H14" s="7" t="inlineStr">
        <is>
          <t>ABB/TEKSAN</t>
        </is>
      </c>
      <c r="I14" s="9" t="n"/>
      <c r="J14" s="10" t="n"/>
      <c r="K14" s="11" t="inlineStr"/>
    </row>
    <row r="15" ht="18" customHeight="1">
      <c r="A15" s="7" t="n">
        <v>13</v>
      </c>
      <c r="B15" s="7" t="inlineStr">
        <is>
          <t>ВЩ-1</t>
        </is>
      </c>
      <c r="C15" s="7" t="inlineStr">
        <is>
          <t>shina PE</t>
        </is>
      </c>
      <c r="D15" s="7" t="inlineStr">
        <is>
          <t>PE-шина</t>
        </is>
      </c>
      <c r="E15" s="8" t="inlineStr">
        <is>
          <t>Шина PE на DIN-изоляторе</t>
        </is>
      </c>
      <c r="F15" s="7" t="n">
        <v>1</v>
      </c>
      <c r="G15" s="7" t="inlineStr">
        <is>
          <t>шт.</t>
        </is>
      </c>
      <c r="H15" s="7" t="inlineStr">
        <is>
          <t>ABB/TEKSAN</t>
        </is>
      </c>
      <c r="I15" s="9" t="n"/>
      <c r="J15" s="10" t="n"/>
      <c r="K15" s="11" t="inlineStr"/>
    </row>
    <row r="16" ht="18" customHeight="1">
      <c r="A16" s="7" t="n">
        <v>14</v>
      </c>
      <c r="B16" s="7" t="inlineStr">
        <is>
          <t>ВЩ-1</t>
        </is>
      </c>
      <c r="C16" s="7" t="inlineStr">
        <is>
          <t>mont. matryl</t>
        </is>
      </c>
      <c r="D16" s="7" t="inlineStr">
        <is>
          <t>монтажный материал</t>
        </is>
      </c>
      <c r="E16" s="8" t="inlineStr">
        <is>
          <t>Наконечники, маркировка, DIN, канал, перемычки, крепеж</t>
        </is>
      </c>
      <c r="F16" s="7" t="n">
        <v>1</v>
      </c>
      <c r="G16" s="7" t="inlineStr">
        <is>
          <t>компл.</t>
        </is>
      </c>
      <c r="H16" s="7" t="inlineStr">
        <is>
          <t>mont. matryl</t>
        </is>
      </c>
      <c r="I16" s="9" t="n"/>
      <c r="J16" s="10" t="n"/>
      <c r="K16" s="11" t="inlineStr"/>
    </row>
    <row r="17" ht="20" customHeight="1">
      <c r="A17" s="7" t="n">
        <v>15</v>
      </c>
      <c r="B17" s="7" t="inlineStr">
        <is>
          <t>ВЩ-1</t>
        </is>
      </c>
      <c r="C17" s="7" t="inlineStr">
        <is>
          <t>mont rab.</t>
        </is>
      </c>
      <c r="D17" s="7" t="inlineStr">
        <is>
          <t>монтажная работа</t>
        </is>
      </c>
      <c r="E17" s="8" t="inlineStr">
        <is>
          <t>Сборка и монтаж щита</t>
        </is>
      </c>
      <c r="F17" s="7" t="n">
        <v>1</v>
      </c>
      <c r="G17" s="7" t="inlineStr">
        <is>
          <t>компл.</t>
        </is>
      </c>
      <c r="H17" s="7" t="inlineStr">
        <is>
          <t>mont rab.</t>
        </is>
      </c>
      <c r="I17" s="9" t="n"/>
      <c r="J17" s="10" t="n"/>
      <c r="K17" s="11" t="inlineStr"/>
    </row>
    <row r="18" ht="18" customHeight="1">
      <c r="A18" s="3" t="n">
        <v>16</v>
      </c>
      <c r="B18" s="3" t="inlineStr">
        <is>
          <t>РЩ-1</t>
        </is>
      </c>
      <c r="C18" s="3" t="inlineStr"/>
      <c r="D18" s="3" t="inlineStr"/>
      <c r="E18" s="4" t="inlineStr">
        <is>
          <t>РЩ-1 (комплект)</t>
        </is>
      </c>
      <c r="F18" s="3" t="n">
        <v>1</v>
      </c>
      <c r="G18" s="3" t="inlineStr">
        <is>
          <t>компл.</t>
        </is>
      </c>
      <c r="H18" s="3" t="inlineStr">
        <is>
          <t>TEKSAN</t>
        </is>
      </c>
      <c r="I18" s="5" t="n"/>
      <c r="J18" s="5" t="n"/>
      <c r="K18" s="6" t="inlineStr"/>
    </row>
    <row r="19" ht="18" customHeight="1">
      <c r="A19" s="15" t="n">
        <v>17</v>
      </c>
      <c r="B19" s="15" t="inlineStr">
        <is>
          <t>РЩ-1</t>
        </is>
      </c>
      <c r="C19" s="15" t="inlineStr">
        <is>
          <t>korpus</t>
        </is>
      </c>
      <c r="D19" s="15" t="inlineStr">
        <is>
          <t>719-xx</t>
        </is>
      </c>
      <c r="E19" s="16" t="inlineStr">
        <is>
          <t>Мет. Корпус 1700x800x450мм + 100мм база, IP54</t>
        </is>
      </c>
      <c r="F19" s="15" t="n">
        <v>1</v>
      </c>
      <c r="G19" s="15" t="inlineStr">
        <is>
          <t>шт.</t>
        </is>
      </c>
      <c r="H19" s="15" t="inlineStr">
        <is>
          <t>Teksan</t>
        </is>
      </c>
      <c r="I19" s="17" t="n"/>
      <c r="J19" s="18" t="n"/>
      <c r="K19" s="19" t="inlineStr"/>
    </row>
    <row r="20" ht="18" customHeight="1">
      <c r="A20" s="15" t="n">
        <v>18</v>
      </c>
      <c r="B20" s="15" t="inlineStr">
        <is>
          <t>РЩ-1</t>
        </is>
      </c>
      <c r="C20" s="15" t="inlineStr">
        <is>
          <t>tms</t>
        </is>
      </c>
      <c r="D20" s="15" t="inlineStr">
        <is>
          <t>1SDA066801R1</t>
        </is>
      </c>
      <c r="E20" s="16" t="inlineStr">
        <is>
          <t>XT1B 160 TMD, In=25A, 3p F F</t>
        </is>
      </c>
      <c r="F20" s="15" t="n">
        <v>4</v>
      </c>
      <c r="G20" s="15" t="inlineStr">
        <is>
          <t>шт.</t>
        </is>
      </c>
      <c r="H20" s="15" t="inlineStr">
        <is>
          <t>ABB</t>
        </is>
      </c>
      <c r="I20" s="17" t="n"/>
      <c r="J20" s="18" t="n"/>
      <c r="K20" s="20" t="inlineStr">
        <is>
          <t>⚠ Kasım 2025 listesinde yok - fiyat teyit edilmeli</t>
        </is>
      </c>
    </row>
    <row r="21" ht="18" customHeight="1">
      <c r="A21" s="15" t="n">
        <v>19</v>
      </c>
      <c r="B21" s="15" t="inlineStr">
        <is>
          <t>РЩ-1</t>
        </is>
      </c>
      <c r="C21" s="15" t="inlineStr">
        <is>
          <t>tms</t>
        </is>
      </c>
      <c r="D21" s="15" t="inlineStr">
        <is>
          <t>1SDA066800R1</t>
        </is>
      </c>
      <c r="E21" s="16" t="inlineStr">
        <is>
          <t>XT1B 160 TMD, In=20A, 3p F F</t>
        </is>
      </c>
      <c r="F21" s="15" t="n">
        <v>8</v>
      </c>
      <c r="G21" s="15" t="inlineStr">
        <is>
          <t>шт.</t>
        </is>
      </c>
      <c r="H21" s="15" t="inlineStr">
        <is>
          <t>ABB</t>
        </is>
      </c>
      <c r="I21" s="17" t="n"/>
      <c r="J21" s="18" t="n"/>
      <c r="K21" s="20" t="inlineStr">
        <is>
          <t>⚠ Kasım 2025 listesinde yok - fiyat teyit edilmeli</t>
        </is>
      </c>
    </row>
    <row r="22" ht="18" customHeight="1">
      <c r="A22" s="15" t="n">
        <v>20</v>
      </c>
      <c r="B22" s="15" t="inlineStr">
        <is>
          <t>РЩ-1</t>
        </is>
      </c>
      <c r="C22" s="15" t="inlineStr">
        <is>
          <t>oto</t>
        </is>
      </c>
      <c r="D22" s="15" t="inlineStr">
        <is>
          <t>2CDS211001R0165</t>
        </is>
      </c>
      <c r="E22" s="16" t="inlineStr">
        <is>
          <t>SH201-B16, 1P, B16A, 4.5kA</t>
        </is>
      </c>
      <c r="F22" s="15" t="n">
        <v>1</v>
      </c>
      <c r="G22" s="15" t="inlineStr">
        <is>
          <t>шт.</t>
        </is>
      </c>
      <c r="H22" s="15" t="inlineStr">
        <is>
          <t>ABB</t>
        </is>
      </c>
      <c r="I22" s="21" t="n">
        <v>7.36</v>
      </c>
      <c r="J22" s="22">
        <f>I21*F21</f>
        <v/>
      </c>
      <c r="K22" s="19" t="inlineStr"/>
    </row>
    <row r="23" ht="18" customHeight="1">
      <c r="A23" s="15" t="n">
        <v>21</v>
      </c>
      <c r="B23" s="15" t="inlineStr">
        <is>
          <t>РЩ-1</t>
        </is>
      </c>
      <c r="C23" s="15" t="inlineStr">
        <is>
          <t>shina N</t>
        </is>
      </c>
      <c r="D23" s="15" t="inlineStr">
        <is>
          <t>N-шина</t>
        </is>
      </c>
      <c r="E23" s="16" t="inlineStr">
        <is>
          <t>Шина N на DIN-изоляторе</t>
        </is>
      </c>
      <c r="F23" s="15" t="n">
        <v>1</v>
      </c>
      <c r="G23" s="15" t="inlineStr">
        <is>
          <t>шт.</t>
        </is>
      </c>
      <c r="H23" s="15" t="inlineStr">
        <is>
          <t>ABB/TEKSAN</t>
        </is>
      </c>
      <c r="I23" s="17" t="n"/>
      <c r="J23" s="18" t="n"/>
      <c r="K23" s="19" t="inlineStr"/>
    </row>
    <row r="24" ht="18" customHeight="1">
      <c r="A24" s="15" t="n">
        <v>22</v>
      </c>
      <c r="B24" s="15" t="inlineStr">
        <is>
          <t>РЩ-1</t>
        </is>
      </c>
      <c r="C24" s="15" t="inlineStr">
        <is>
          <t>shina PE</t>
        </is>
      </c>
      <c r="D24" s="15" t="inlineStr">
        <is>
          <t>PE-шина</t>
        </is>
      </c>
      <c r="E24" s="16" t="inlineStr">
        <is>
          <t>Шина PE на DIN-изоляторе</t>
        </is>
      </c>
      <c r="F24" s="15" t="n">
        <v>1</v>
      </c>
      <c r="G24" s="15" t="inlineStr">
        <is>
          <t>шт.</t>
        </is>
      </c>
      <c r="H24" s="15" t="inlineStr">
        <is>
          <t>ABB/TEKSAN</t>
        </is>
      </c>
      <c r="I24" s="17" t="n"/>
      <c r="J24" s="18" t="n"/>
      <c r="K24" s="19" t="inlineStr"/>
    </row>
    <row r="25" ht="18" customHeight="1">
      <c r="A25" s="15" t="n">
        <v>23</v>
      </c>
      <c r="B25" s="15" t="inlineStr">
        <is>
          <t>РЩ-1</t>
        </is>
      </c>
      <c r="C25" s="15" t="inlineStr">
        <is>
          <t>mont. matryl</t>
        </is>
      </c>
      <c r="D25" s="15" t="inlineStr">
        <is>
          <t>монтажный материал</t>
        </is>
      </c>
      <c r="E25" s="16" t="inlineStr">
        <is>
          <t>Наконечники, маркировка, DIN, канал, перемычки, крепеж</t>
        </is>
      </c>
      <c r="F25" s="15" t="n">
        <v>1</v>
      </c>
      <c r="G25" s="15" t="inlineStr">
        <is>
          <t>компл.</t>
        </is>
      </c>
      <c r="H25" s="15" t="inlineStr">
        <is>
          <t>mont. matryl</t>
        </is>
      </c>
      <c r="I25" s="17" t="n"/>
      <c r="J25" s="18" t="n"/>
      <c r="K25" s="19" t="inlineStr"/>
    </row>
    <row r="26" ht="20" customHeight="1">
      <c r="A26" s="15" t="n">
        <v>24</v>
      </c>
      <c r="B26" s="15" t="inlineStr">
        <is>
          <t>РЩ-1</t>
        </is>
      </c>
      <c r="C26" s="15" t="inlineStr">
        <is>
          <t>mont rab.</t>
        </is>
      </c>
      <c r="D26" s="15" t="inlineStr">
        <is>
          <t>монтажная работа</t>
        </is>
      </c>
      <c r="E26" s="16" t="inlineStr">
        <is>
          <t>Сборка и монтаж щита</t>
        </is>
      </c>
      <c r="F26" s="15" t="n">
        <v>1</v>
      </c>
      <c r="G26" s="15" t="inlineStr">
        <is>
          <t>компл.</t>
        </is>
      </c>
      <c r="H26" s="15" t="inlineStr">
        <is>
          <t>mont rab.</t>
        </is>
      </c>
      <c r="I26" s="17" t="n"/>
      <c r="J26" s="18" t="n"/>
      <c r="K26" s="19" t="inlineStr"/>
    </row>
    <row r="27" ht="18" customHeight="1">
      <c r="A27" s="3" t="n">
        <v>25</v>
      </c>
      <c r="B27" s="3" t="inlineStr">
        <is>
          <t>ВЩ-2 (АВР)</t>
        </is>
      </c>
      <c r="C27" s="3" t="inlineStr"/>
      <c r="D27" s="3" t="inlineStr"/>
      <c r="E27" s="4" t="inlineStr">
        <is>
          <t>ВЩ-2 (АВР) (комплект)</t>
        </is>
      </c>
      <c r="F27" s="3" t="n">
        <v>1</v>
      </c>
      <c r="G27" s="3" t="inlineStr">
        <is>
          <t>компл.</t>
        </is>
      </c>
      <c r="H27" s="3" t="inlineStr">
        <is>
          <t>TEKSAN</t>
        </is>
      </c>
      <c r="I27" s="5" t="n"/>
      <c r="J27" s="5" t="n"/>
      <c r="K27" s="6" t="inlineStr"/>
    </row>
    <row r="28" ht="18" customHeight="1">
      <c r="A28" s="23" t="n">
        <v>26</v>
      </c>
      <c r="B28" s="23" t="inlineStr">
        <is>
          <t>ВЩ-2 (АВР)</t>
        </is>
      </c>
      <c r="C28" s="23" t="inlineStr">
        <is>
          <t>korpus</t>
        </is>
      </c>
      <c r="D28" s="23" t="inlineStr">
        <is>
          <t>719-xx</t>
        </is>
      </c>
      <c r="E28" s="24" t="inlineStr">
        <is>
          <t>Мет. Корпус 1700x800x450мм + 100мм база, IP54</t>
        </is>
      </c>
      <c r="F28" s="23" t="n">
        <v>1</v>
      </c>
      <c r="G28" s="23" t="inlineStr">
        <is>
          <t>шт.</t>
        </is>
      </c>
      <c r="H28" s="23" t="inlineStr">
        <is>
          <t>Teksan</t>
        </is>
      </c>
      <c r="I28" s="25" t="n"/>
      <c r="J28" s="26" t="n"/>
      <c r="K28" s="27" t="inlineStr"/>
    </row>
    <row r="29" ht="18" customHeight="1">
      <c r="A29" s="23" t="n">
        <v>27</v>
      </c>
      <c r="B29" s="23" t="inlineStr">
        <is>
          <t>ВЩ-2 (АВР)</t>
        </is>
      </c>
      <c r="C29" s="23" t="inlineStr">
        <is>
          <t>tms</t>
        </is>
      </c>
      <c r="D29" s="23" t="inlineStr">
        <is>
          <t>1SDA067416R1</t>
        </is>
      </c>
      <c r="E29" s="24" t="inlineStr">
        <is>
          <t>XT1N 160 TMD, In=100A, 3p F F</t>
        </is>
      </c>
      <c r="F29" s="23" t="n">
        <v>2</v>
      </c>
      <c r="G29" s="23" t="inlineStr">
        <is>
          <t>шт.</t>
        </is>
      </c>
      <c r="H29" s="23" t="inlineStr">
        <is>
          <t>ABB</t>
        </is>
      </c>
      <c r="I29" s="28" t="n">
        <v>246.1</v>
      </c>
      <c r="J29" s="29">
        <f>I28*F28</f>
        <v/>
      </c>
      <c r="K29" s="27" t="inlineStr"/>
    </row>
    <row r="30" ht="18" customHeight="1">
      <c r="A30" s="23" t="n">
        <v>28</v>
      </c>
      <c r="B30" s="23" t="inlineStr">
        <is>
          <t>ВЩ-2 (АВР)</t>
        </is>
      </c>
      <c r="C30" s="23" t="inlineStr">
        <is>
          <t>kontaktor</t>
        </is>
      </c>
      <c r="D30" s="23" t="inlineStr">
        <is>
          <t>1SFL427001R1111</t>
        </is>
      </c>
      <c r="E30" s="24" t="inlineStr">
        <is>
          <t>AF116-30-11-13 contactor, 3P, 100-250V AC/DC</t>
        </is>
      </c>
      <c r="F30" s="23" t="n">
        <v>2</v>
      </c>
      <c r="G30" s="23" t="inlineStr">
        <is>
          <t>шт.</t>
        </is>
      </c>
      <c r="H30" s="23" t="inlineStr">
        <is>
          <t>ABB</t>
        </is>
      </c>
      <c r="I30" s="28" t="n">
        <v>781.8</v>
      </c>
      <c r="J30" s="29">
        <f>I29*F29</f>
        <v/>
      </c>
      <c r="K30" s="27" t="inlineStr"/>
    </row>
    <row r="31" ht="18" customHeight="1">
      <c r="A31" s="23" t="n">
        <v>29</v>
      </c>
      <c r="B31" s="23" t="inlineStr">
        <is>
          <t>ВЩ-2 (АВР)</t>
        </is>
      </c>
      <c r="C31" s="23" t="inlineStr">
        <is>
          <t>aux contact</t>
        </is>
      </c>
      <c r="D31" s="23" t="inlineStr">
        <is>
          <t>1SFN010820R1011</t>
        </is>
      </c>
      <c r="E31" s="24" t="inlineStr">
        <is>
          <t>CAL19-11 auxiliary contact block</t>
        </is>
      </c>
      <c r="F31" s="23" t="n">
        <v>2</v>
      </c>
      <c r="G31" s="23" t="inlineStr">
        <is>
          <t>шт.</t>
        </is>
      </c>
      <c r="H31" s="23" t="inlineStr">
        <is>
          <t>ABB</t>
        </is>
      </c>
      <c r="I31" s="28" t="n">
        <v>13.92</v>
      </c>
      <c r="J31" s="29">
        <f>I30*F30</f>
        <v/>
      </c>
      <c r="K31" s="27" t="inlineStr"/>
    </row>
    <row r="32" ht="18" customHeight="1">
      <c r="A32" s="23" t="n">
        <v>30</v>
      </c>
      <c r="B32" s="23" t="inlineStr">
        <is>
          <t>ВЩ-2 (АВР)</t>
        </is>
      </c>
      <c r="C32" s="23" t="inlineStr">
        <is>
          <t>mekanik kilit</t>
        </is>
      </c>
      <c r="D32" s="23" t="inlineStr">
        <is>
          <t>1SFN034403R1000</t>
        </is>
      </c>
      <c r="E32" s="24" t="inlineStr">
        <is>
          <t>VM140/190 mechanical interlock for AF116 contactors</t>
        </is>
      </c>
      <c r="F32" s="23" t="n">
        <v>1</v>
      </c>
      <c r="G32" s="23" t="inlineStr">
        <is>
          <t>шт.</t>
        </is>
      </c>
      <c r="H32" s="23" t="inlineStr">
        <is>
          <t>ABB</t>
        </is>
      </c>
      <c r="I32" s="28" t="n">
        <v>43.85</v>
      </c>
      <c r="J32" s="29">
        <f>I31*F31</f>
        <v/>
      </c>
      <c r="K32" s="27" t="inlineStr"/>
    </row>
    <row r="33" ht="18" customHeight="1">
      <c r="A33" s="23" t="n">
        <v>31</v>
      </c>
      <c r="B33" s="23" t="inlineStr">
        <is>
          <t>ВЩ-2 (АВР)</t>
        </is>
      </c>
      <c r="C33" s="23" t="inlineStr">
        <is>
          <t>taimer</t>
        </is>
      </c>
      <c r="D33" s="23" t="inlineStr">
        <is>
          <t>1SVR500020R0000</t>
        </is>
      </c>
      <c r="E33" s="24" t="inlineStr">
        <is>
          <t>CT-MFD.12 multifunction time relay</t>
        </is>
      </c>
      <c r="F33" s="23" t="n">
        <v>2</v>
      </c>
      <c r="G33" s="23" t="inlineStr">
        <is>
          <t>шт.</t>
        </is>
      </c>
      <c r="H33" s="23" t="inlineStr">
        <is>
          <t>ABB</t>
        </is>
      </c>
      <c r="I33" s="28" t="n">
        <v>107.3</v>
      </c>
      <c r="J33" s="29">
        <f>I32*F32</f>
        <v/>
      </c>
      <c r="K33" s="27" t="inlineStr"/>
    </row>
    <row r="34" ht="18" customHeight="1">
      <c r="A34" s="23" t="n">
        <v>32</v>
      </c>
      <c r="B34" s="23" t="inlineStr">
        <is>
          <t>ВЩ-2 (АВР)</t>
        </is>
      </c>
      <c r="C34" s="23" t="inlineStr">
        <is>
          <t>reley</t>
        </is>
      </c>
      <c r="D34" s="23" t="inlineStr">
        <is>
          <t>1SVR550870R9400</t>
        </is>
      </c>
      <c r="E34" s="24" t="inlineStr">
        <is>
          <t>CM-PVE three-phase monitoring relay</t>
        </is>
      </c>
      <c r="F34" s="23" t="n">
        <v>2</v>
      </c>
      <c r="G34" s="23" t="inlineStr">
        <is>
          <t>шт.</t>
        </is>
      </c>
      <c r="H34" s="23" t="inlineStr">
        <is>
          <t>ABB</t>
        </is>
      </c>
      <c r="I34" s="28" t="n">
        <v>140.2</v>
      </c>
      <c r="J34" s="29">
        <f>I33*F33</f>
        <v/>
      </c>
      <c r="K34" s="27" t="inlineStr"/>
    </row>
    <row r="35" ht="18" customHeight="1">
      <c r="A35" s="23" t="n">
        <v>33</v>
      </c>
      <c r="B35" s="23" t="inlineStr">
        <is>
          <t>ВЩ-2 (АВР)</t>
        </is>
      </c>
      <c r="C35" s="23" t="inlineStr">
        <is>
          <t>reley</t>
        </is>
      </c>
      <c r="D35" s="23" t="inlineStr">
        <is>
          <t>1SVR405601R3000</t>
        </is>
      </c>
      <c r="E35" s="24" t="inlineStr">
        <is>
          <t>CR-P230AC2 pluggable interface relay, 230V AC, 2CO</t>
        </is>
      </c>
      <c r="F35" s="23" t="n">
        <v>1</v>
      </c>
      <c r="G35" s="23" t="inlineStr">
        <is>
          <t>шт.</t>
        </is>
      </c>
      <c r="H35" s="23" t="inlineStr">
        <is>
          <t>ABB</t>
        </is>
      </c>
      <c r="I35" s="28" t="n">
        <v>11.34</v>
      </c>
      <c r="J35" s="29">
        <f>I34*F34</f>
        <v/>
      </c>
      <c r="K35" s="27" t="inlineStr"/>
    </row>
    <row r="36" ht="18" customHeight="1">
      <c r="A36" s="23" t="n">
        <v>34</v>
      </c>
      <c r="B36" s="23" t="inlineStr">
        <is>
          <t>ВЩ-2 (АВР)</t>
        </is>
      </c>
      <c r="C36" s="23" t="inlineStr">
        <is>
          <t>kolodka</t>
        </is>
      </c>
      <c r="D36" s="23" t="inlineStr">
        <is>
          <t>1SVR405650R1000</t>
        </is>
      </c>
      <c r="E36" s="24" t="inlineStr">
        <is>
          <t>CR-PSS relay socket</t>
        </is>
      </c>
      <c r="F36" s="23" t="n">
        <v>1</v>
      </c>
      <c r="G36" s="23" t="inlineStr">
        <is>
          <t>шт.</t>
        </is>
      </c>
      <c r="H36" s="23" t="inlineStr">
        <is>
          <t>ABB</t>
        </is>
      </c>
      <c r="I36" s="28" t="n">
        <v>9.15</v>
      </c>
      <c r="J36" s="29">
        <f>I35*F35</f>
        <v/>
      </c>
      <c r="K36" s="27" t="inlineStr"/>
    </row>
    <row r="37" ht="18" customHeight="1">
      <c r="A37" s="23" t="n">
        <v>35</v>
      </c>
      <c r="B37" s="23" t="inlineStr">
        <is>
          <t>ВЩ-2 (АВР)</t>
        </is>
      </c>
      <c r="C37" s="23" t="inlineStr">
        <is>
          <t>oto</t>
        </is>
      </c>
      <c r="D37" s="23" t="inlineStr">
        <is>
          <t>2CDS211001R0165</t>
        </is>
      </c>
      <c r="E37" s="24" t="inlineStr">
        <is>
          <t>SH201-B16, 1P, B16A, 4.5kA</t>
        </is>
      </c>
      <c r="F37" s="23" t="n">
        <v>7</v>
      </c>
      <c r="G37" s="23" t="inlineStr">
        <is>
          <t>шт.</t>
        </is>
      </c>
      <c r="H37" s="23" t="inlineStr">
        <is>
          <t>ABB</t>
        </is>
      </c>
      <c r="I37" s="28" t="n">
        <v>7.36</v>
      </c>
      <c r="J37" s="29">
        <f>I36*F36</f>
        <v/>
      </c>
      <c r="K37" s="27" t="inlineStr"/>
    </row>
    <row r="38" ht="18" customHeight="1">
      <c r="A38" s="23" t="n">
        <v>36</v>
      </c>
      <c r="B38" s="23" t="inlineStr">
        <is>
          <t>ВЩ-2 (АВР)</t>
        </is>
      </c>
      <c r="C38" s="23" t="inlineStr">
        <is>
          <t>sinyal</t>
        </is>
      </c>
      <c r="D38" s="23" t="inlineStr">
        <is>
          <t>1SFA619403R5231</t>
        </is>
      </c>
      <c r="E38" s="24" t="inlineStr">
        <is>
          <t>CL2-523R LED pilot light, red, 230V AC</t>
        </is>
      </c>
      <c r="F38" s="23" t="n">
        <v>2</v>
      </c>
      <c r="G38" s="23" t="inlineStr">
        <is>
          <t>шт.</t>
        </is>
      </c>
      <c r="H38" s="23" t="inlineStr">
        <is>
          <t>ABB</t>
        </is>
      </c>
      <c r="I38" s="28" t="n">
        <v>9.619999999999999</v>
      </c>
      <c r="J38" s="29">
        <f>I37*F37</f>
        <v/>
      </c>
      <c r="K38" s="27" t="inlineStr"/>
    </row>
    <row r="39" ht="18" customHeight="1">
      <c r="A39" s="23" t="n">
        <v>37</v>
      </c>
      <c r="B39" s="23" t="inlineStr">
        <is>
          <t>ВЩ-2 (АВР)</t>
        </is>
      </c>
      <c r="C39" s="23" t="inlineStr">
        <is>
          <t>sinyal</t>
        </is>
      </c>
      <c r="D39" s="23" t="inlineStr">
        <is>
          <t>1SFA619403R5233</t>
        </is>
      </c>
      <c r="E39" s="24" t="inlineStr">
        <is>
          <t>CL2-523Y LED pilot light, yellow, 230V AC</t>
        </is>
      </c>
      <c r="F39" s="23" t="n">
        <v>2</v>
      </c>
      <c r="G39" s="23" t="inlineStr">
        <is>
          <t>шт.</t>
        </is>
      </c>
      <c r="H39" s="23" t="inlineStr">
        <is>
          <t>ABB</t>
        </is>
      </c>
      <c r="I39" s="28" t="n">
        <v>9.619999999999999</v>
      </c>
      <c r="J39" s="29">
        <f>I38*F38</f>
        <v/>
      </c>
      <c r="K39" s="27" t="inlineStr"/>
    </row>
    <row r="40" ht="18" customHeight="1">
      <c r="A40" s="23" t="n">
        <v>38</v>
      </c>
      <c r="B40" s="23" t="inlineStr">
        <is>
          <t>ВЩ-2 (АВР)</t>
        </is>
      </c>
      <c r="C40" s="23" t="inlineStr">
        <is>
          <t>sinyal</t>
        </is>
      </c>
      <c r="D40" s="23" t="inlineStr">
        <is>
          <t>1SFA619403R5232</t>
        </is>
      </c>
      <c r="E40" s="24" t="inlineStr">
        <is>
          <t>CL2-523G LED pilot light, green, 230V AC</t>
        </is>
      </c>
      <c r="F40" s="23" t="n">
        <v>2</v>
      </c>
      <c r="G40" s="23" t="inlineStr">
        <is>
          <t>шт.</t>
        </is>
      </c>
      <c r="H40" s="23" t="inlineStr">
        <is>
          <t>ABB</t>
        </is>
      </c>
      <c r="I40" s="28" t="n">
        <v>9.619999999999999</v>
      </c>
      <c r="J40" s="29">
        <f>I39*F39</f>
        <v/>
      </c>
      <c r="K40" s="27" t="inlineStr"/>
    </row>
    <row r="41" ht="18" customHeight="1">
      <c r="A41" s="23" t="n">
        <v>39</v>
      </c>
      <c r="B41" s="23" t="inlineStr">
        <is>
          <t>ВЩ-2 (АВР)</t>
        </is>
      </c>
      <c r="C41" s="23" t="inlineStr">
        <is>
          <t>sayac</t>
        </is>
      </c>
      <c r="D41" s="23" t="inlineStr">
        <is>
          <t>СА4У-Э721 TX PLC IP П RS</t>
        </is>
      </c>
      <c r="E41" s="24" t="inlineStr">
        <is>
          <t>Счетчик 3ф 380В, 5-7.5A</t>
        </is>
      </c>
      <c r="F41" s="23" t="n">
        <v>2</v>
      </c>
      <c r="G41" s="23" t="inlineStr">
        <is>
          <t>шт.</t>
        </is>
      </c>
      <c r="H41" s="23" t="inlineStr">
        <is>
          <t>Saiman/Дала</t>
        </is>
      </c>
      <c r="I41" s="25" t="n"/>
      <c r="J41" s="26" t="n"/>
      <c r="K41" s="27" t="inlineStr"/>
    </row>
    <row r="42" ht="18" customHeight="1">
      <c r="A42" s="23" t="n">
        <v>40</v>
      </c>
      <c r="B42" s="23" t="inlineStr">
        <is>
          <t>ВЩ-2 (АВР)</t>
        </is>
      </c>
      <c r="C42" s="23" t="inlineStr">
        <is>
          <t>isp blok</t>
        </is>
      </c>
      <c r="D42" s="23" t="inlineStr">
        <is>
          <t>200100060_</t>
        </is>
      </c>
      <c r="E42" s="24" t="inlineStr">
        <is>
          <t>Испытательный блок 10 полюсов</t>
        </is>
      </c>
      <c r="F42" s="23" t="n">
        <v>2</v>
      </c>
      <c r="G42" s="23" t="inlineStr">
        <is>
          <t>шт.</t>
        </is>
      </c>
      <c r="H42" s="23" t="inlineStr">
        <is>
          <t>UNIT/EKT</t>
        </is>
      </c>
      <c r="I42" s="25" t="n"/>
      <c r="J42" s="26" t="n"/>
      <c r="K42" s="27" t="inlineStr"/>
    </row>
    <row r="43" ht="18" customHeight="1">
      <c r="A43" s="23" t="n">
        <v>41</v>
      </c>
      <c r="B43" s="23" t="inlineStr">
        <is>
          <t>ВЩ-2 (АВР)</t>
        </is>
      </c>
      <c r="C43" s="23" t="inlineStr">
        <is>
          <t>TT</t>
        </is>
      </c>
      <c r="D43" s="23" t="inlineStr">
        <is>
          <t>T-0.66 100/5A</t>
        </is>
      </c>
      <c r="E43" s="24" t="inlineStr">
        <is>
          <t>Трансформатор тока 100/5A</t>
        </is>
      </c>
      <c r="F43" s="23" t="n">
        <v>6</v>
      </c>
      <c r="G43" s="23" t="inlineStr">
        <is>
          <t>шт.</t>
        </is>
      </c>
      <c r="H43" s="23" t="inlineStr">
        <is>
          <t>Saiman/EKT</t>
        </is>
      </c>
      <c r="I43" s="25" t="n"/>
      <c r="J43" s="26" t="n"/>
      <c r="K43" s="27" t="inlineStr"/>
    </row>
    <row r="44" ht="18" customHeight="1">
      <c r="A44" s="23" t="n">
        <v>42</v>
      </c>
      <c r="B44" s="23" t="inlineStr">
        <is>
          <t>ВЩ-2 (АВР)</t>
        </is>
      </c>
      <c r="C44" s="23" t="inlineStr">
        <is>
          <t>shina N</t>
        </is>
      </c>
      <c r="D44" s="23" t="inlineStr">
        <is>
          <t>N-шина</t>
        </is>
      </c>
      <c r="E44" s="24" t="inlineStr">
        <is>
          <t>Шина N на DIN-изоляторе</t>
        </is>
      </c>
      <c r="F44" s="23" t="n">
        <v>1</v>
      </c>
      <c r="G44" s="23" t="inlineStr">
        <is>
          <t>шт.</t>
        </is>
      </c>
      <c r="H44" s="23" t="inlineStr">
        <is>
          <t>ABB/TEKSAN</t>
        </is>
      </c>
      <c r="I44" s="25" t="n"/>
      <c r="J44" s="26" t="n"/>
      <c r="K44" s="27" t="inlineStr"/>
    </row>
    <row r="45" ht="18" customHeight="1">
      <c r="A45" s="23" t="n">
        <v>43</v>
      </c>
      <c r="B45" s="23" t="inlineStr">
        <is>
          <t>ВЩ-2 (АВР)</t>
        </is>
      </c>
      <c r="C45" s="23" t="inlineStr">
        <is>
          <t>shina PE</t>
        </is>
      </c>
      <c r="D45" s="23" t="inlineStr">
        <is>
          <t>PE-шина</t>
        </is>
      </c>
      <c r="E45" s="24" t="inlineStr">
        <is>
          <t>Шина PE на DIN-изоляторе</t>
        </is>
      </c>
      <c r="F45" s="23" t="n">
        <v>1</v>
      </c>
      <c r="G45" s="23" t="inlineStr">
        <is>
          <t>шт.</t>
        </is>
      </c>
      <c r="H45" s="23" t="inlineStr">
        <is>
          <t>ABB/TEKSAN</t>
        </is>
      </c>
      <c r="I45" s="25" t="n"/>
      <c r="J45" s="26" t="n"/>
      <c r="K45" s="27" t="inlineStr"/>
    </row>
    <row r="46" ht="18" customHeight="1">
      <c r="A46" s="23" t="n">
        <v>44</v>
      </c>
      <c r="B46" s="23" t="inlineStr">
        <is>
          <t>ВЩ-2 (АВР)</t>
        </is>
      </c>
      <c r="C46" s="23" t="inlineStr">
        <is>
          <t>mont. matryl</t>
        </is>
      </c>
      <c r="D46" s="23" t="inlineStr">
        <is>
          <t>монтажный материал</t>
        </is>
      </c>
      <c r="E46" s="24" t="inlineStr">
        <is>
          <t>Наконечники, маркировка, DIN, канал, перемычки, крепеж</t>
        </is>
      </c>
      <c r="F46" s="23" t="n">
        <v>1</v>
      </c>
      <c r="G46" s="23" t="inlineStr">
        <is>
          <t>компл.</t>
        </is>
      </c>
      <c r="H46" s="23" t="inlineStr">
        <is>
          <t>mont. matryl</t>
        </is>
      </c>
      <c r="I46" s="25" t="n"/>
      <c r="J46" s="26" t="n"/>
      <c r="K46" s="27" t="inlineStr"/>
    </row>
    <row r="47" ht="20" customHeight="1">
      <c r="A47" s="23" t="n">
        <v>45</v>
      </c>
      <c r="B47" s="23" t="inlineStr">
        <is>
          <t>ВЩ-2 (АВР)</t>
        </is>
      </c>
      <c r="C47" s="23" t="inlineStr">
        <is>
          <t>mont rab.</t>
        </is>
      </c>
      <c r="D47" s="23" t="inlineStr">
        <is>
          <t>монтажная работа</t>
        </is>
      </c>
      <c r="E47" s="24" t="inlineStr">
        <is>
          <t>Сборка и монтаж щита</t>
        </is>
      </c>
      <c r="F47" s="23" t="n">
        <v>1</v>
      </c>
      <c r="G47" s="23" t="inlineStr">
        <is>
          <t>компл.</t>
        </is>
      </c>
      <c r="H47" s="23" t="inlineStr">
        <is>
          <t>mont rab.</t>
        </is>
      </c>
      <c r="I47" s="25" t="n"/>
      <c r="J47" s="26" t="n"/>
      <c r="K47" s="27" t="inlineStr"/>
    </row>
    <row r="48" ht="18" customHeight="1">
      <c r="A48" s="3" t="n">
        <v>46</v>
      </c>
      <c r="B48" s="3" t="inlineStr">
        <is>
          <t>ЩСБП-1</t>
        </is>
      </c>
      <c r="C48" s="3" t="inlineStr"/>
      <c r="D48" s="3" t="inlineStr"/>
      <c r="E48" s="4" t="inlineStr">
        <is>
          <t>ЩСБП-1 (комплект)</t>
        </is>
      </c>
      <c r="F48" s="3" t="n">
        <v>1</v>
      </c>
      <c r="G48" s="3" t="inlineStr">
        <is>
          <t>компл.</t>
        </is>
      </c>
      <c r="H48" s="3" t="inlineStr">
        <is>
          <t>TEKSAN</t>
        </is>
      </c>
      <c r="I48" s="5" t="n"/>
      <c r="J48" s="5" t="n"/>
      <c r="K48" s="6" t="inlineStr"/>
    </row>
    <row r="49" ht="18" customHeight="1">
      <c r="A49" s="30" t="n">
        <v>47</v>
      </c>
      <c r="B49" s="30" t="inlineStr">
        <is>
          <t>ЩСБП-1</t>
        </is>
      </c>
      <c r="C49" s="30" t="inlineStr">
        <is>
          <t>korpus</t>
        </is>
      </c>
      <c r="D49" s="30" t="inlineStr">
        <is>
          <t>719-xx</t>
        </is>
      </c>
      <c r="E49" s="31" t="inlineStr">
        <is>
          <t>Мет. Корпус 1700x500x450мм + 100мм база, IP54</t>
        </is>
      </c>
      <c r="F49" s="30" t="n">
        <v>1</v>
      </c>
      <c r="G49" s="30" t="inlineStr">
        <is>
          <t>шт.</t>
        </is>
      </c>
      <c r="H49" s="30" t="inlineStr">
        <is>
          <t>Teksan</t>
        </is>
      </c>
      <c r="I49" s="32" t="n"/>
      <c r="J49" s="33" t="n"/>
      <c r="K49" s="34" t="inlineStr"/>
    </row>
    <row r="50" ht="18" customHeight="1">
      <c r="A50" s="30" t="n">
        <v>48</v>
      </c>
      <c r="B50" s="30" t="inlineStr">
        <is>
          <t>ЩСБП-1</t>
        </is>
      </c>
      <c r="C50" s="30" t="inlineStr">
        <is>
          <t>tms</t>
        </is>
      </c>
      <c r="D50" s="30" t="inlineStr">
        <is>
          <t>1SDA067416R1</t>
        </is>
      </c>
      <c r="E50" s="31" t="inlineStr">
        <is>
          <t>XT1N 160 TMD, In=100A, 3p F F</t>
        </is>
      </c>
      <c r="F50" s="30" t="n">
        <v>1</v>
      </c>
      <c r="G50" s="30" t="inlineStr">
        <is>
          <t>шт.</t>
        </is>
      </c>
      <c r="H50" s="30" t="inlineStr">
        <is>
          <t>ABB</t>
        </is>
      </c>
      <c r="I50" s="35" t="n">
        <v>246.1</v>
      </c>
      <c r="J50" s="36">
        <f>I49*F49</f>
        <v/>
      </c>
      <c r="K50" s="34" t="inlineStr"/>
    </row>
    <row r="51" ht="18" customHeight="1">
      <c r="A51" s="30" t="n">
        <v>49</v>
      </c>
      <c r="B51" s="30" t="inlineStr">
        <is>
          <t>ЩСБП-1</t>
        </is>
      </c>
      <c r="C51" s="30" t="inlineStr">
        <is>
          <t>tms</t>
        </is>
      </c>
      <c r="D51" s="30" t="inlineStr">
        <is>
          <t>1SDA066801R1</t>
        </is>
      </c>
      <c r="E51" s="31" t="inlineStr">
        <is>
          <t>XT1B 160 TMD, In=25A, 3p F F</t>
        </is>
      </c>
      <c r="F51" s="30" t="n">
        <v>1</v>
      </c>
      <c r="G51" s="30" t="inlineStr">
        <is>
          <t>шт.</t>
        </is>
      </c>
      <c r="H51" s="30" t="inlineStr">
        <is>
          <t>ABB</t>
        </is>
      </c>
      <c r="I51" s="32" t="n"/>
      <c r="J51" s="33" t="n"/>
      <c r="K51" s="37" t="inlineStr">
        <is>
          <t>⚠ Kasım 2025 listesinde yok - fiyat teyit edilmeli</t>
        </is>
      </c>
    </row>
    <row r="52" ht="18" customHeight="1">
      <c r="A52" s="30" t="n">
        <v>50</v>
      </c>
      <c r="B52" s="30" t="inlineStr">
        <is>
          <t>ЩСБП-1</t>
        </is>
      </c>
      <c r="C52" s="30" t="inlineStr">
        <is>
          <t>tms</t>
        </is>
      </c>
      <c r="D52" s="30" t="inlineStr">
        <is>
          <t>1SDA066800R1</t>
        </is>
      </c>
      <c r="E52" s="31" t="inlineStr">
        <is>
          <t>XT1B 160 TMD, In=20A, 3p F F</t>
        </is>
      </c>
      <c r="F52" s="30" t="n">
        <v>4</v>
      </c>
      <c r="G52" s="30" t="inlineStr">
        <is>
          <t>шт.</t>
        </is>
      </c>
      <c r="H52" s="30" t="inlineStr">
        <is>
          <t>ABB</t>
        </is>
      </c>
      <c r="I52" s="32" t="n"/>
      <c r="J52" s="33" t="n"/>
      <c r="K52" s="37" t="inlineStr">
        <is>
          <t>⚠ Kasım 2025 listesinde yok - fiyat teyit edilmeli</t>
        </is>
      </c>
    </row>
    <row r="53" ht="18" customHeight="1">
      <c r="A53" s="30" t="n">
        <v>51</v>
      </c>
      <c r="B53" s="30" t="inlineStr">
        <is>
          <t>ЩСБП-1</t>
        </is>
      </c>
      <c r="C53" s="30" t="inlineStr">
        <is>
          <t>oto</t>
        </is>
      </c>
      <c r="D53" s="30" t="inlineStr">
        <is>
          <t>2CDS211001R0165</t>
        </is>
      </c>
      <c r="E53" s="31" t="inlineStr">
        <is>
          <t>SH201-B16, 1P, B16A, 4.5kA</t>
        </is>
      </c>
      <c r="F53" s="30" t="n">
        <v>1</v>
      </c>
      <c r="G53" s="30" t="inlineStr">
        <is>
          <t>шт.</t>
        </is>
      </c>
      <c r="H53" s="30" t="inlineStr">
        <is>
          <t>ABB</t>
        </is>
      </c>
      <c r="I53" s="35" t="n">
        <v>7.36</v>
      </c>
      <c r="J53" s="36">
        <f>I52*F52</f>
        <v/>
      </c>
      <c r="K53" s="34" t="inlineStr"/>
    </row>
    <row r="54" ht="18" customHeight="1">
      <c r="A54" s="30" t="n">
        <v>52</v>
      </c>
      <c r="B54" s="30" t="inlineStr">
        <is>
          <t>ЩСБП-1</t>
        </is>
      </c>
      <c r="C54" s="30" t="inlineStr">
        <is>
          <t>shina N</t>
        </is>
      </c>
      <c r="D54" s="30" t="inlineStr">
        <is>
          <t>N-шина</t>
        </is>
      </c>
      <c r="E54" s="31" t="inlineStr">
        <is>
          <t>Шина N на DIN-изоляторе</t>
        </is>
      </c>
      <c r="F54" s="30" t="n">
        <v>1</v>
      </c>
      <c r="G54" s="30" t="inlineStr">
        <is>
          <t>шт.</t>
        </is>
      </c>
      <c r="H54" s="30" t="inlineStr">
        <is>
          <t>ABB/TEKSAN</t>
        </is>
      </c>
      <c r="I54" s="32" t="n"/>
      <c r="J54" s="33" t="n"/>
      <c r="K54" s="34" t="inlineStr"/>
    </row>
    <row r="55" ht="18" customHeight="1">
      <c r="A55" s="30" t="n">
        <v>53</v>
      </c>
      <c r="B55" s="30" t="inlineStr">
        <is>
          <t>ЩСБП-1</t>
        </is>
      </c>
      <c r="C55" s="30" t="inlineStr">
        <is>
          <t>shina PE</t>
        </is>
      </c>
      <c r="D55" s="30" t="inlineStr">
        <is>
          <t>PE-шина</t>
        </is>
      </c>
      <c r="E55" s="31" t="inlineStr">
        <is>
          <t>Шина PE на DIN-изоляторе</t>
        </is>
      </c>
      <c r="F55" s="30" t="n">
        <v>1</v>
      </c>
      <c r="G55" s="30" t="inlineStr">
        <is>
          <t>шт.</t>
        </is>
      </c>
      <c r="H55" s="30" t="inlineStr">
        <is>
          <t>ABB/TEKSAN</t>
        </is>
      </c>
      <c r="I55" s="32" t="n"/>
      <c r="J55" s="33" t="n"/>
      <c r="K55" s="34" t="inlineStr"/>
    </row>
    <row r="56" ht="18" customHeight="1">
      <c r="A56" s="30" t="n">
        <v>54</v>
      </c>
      <c r="B56" s="30" t="inlineStr">
        <is>
          <t>ЩСБП-1</t>
        </is>
      </c>
      <c r="C56" s="30" t="inlineStr">
        <is>
          <t>mont. matryl</t>
        </is>
      </c>
      <c r="D56" s="30" t="inlineStr">
        <is>
          <t>монтажный материал</t>
        </is>
      </c>
      <c r="E56" s="31" t="inlineStr">
        <is>
          <t>Наконечники, маркировка, DIN, канал, перемычки, крепеж</t>
        </is>
      </c>
      <c r="F56" s="30" t="n">
        <v>1</v>
      </c>
      <c r="G56" s="30" t="inlineStr">
        <is>
          <t>компл.</t>
        </is>
      </c>
      <c r="H56" s="30" t="inlineStr">
        <is>
          <t>mont. matryl</t>
        </is>
      </c>
      <c r="I56" s="32" t="n"/>
      <c r="J56" s="33" t="n"/>
      <c r="K56" s="34" t="inlineStr"/>
    </row>
    <row r="57" ht="20" customHeight="1">
      <c r="A57" s="30" t="n">
        <v>55</v>
      </c>
      <c r="B57" s="30" t="inlineStr">
        <is>
          <t>ЩСБП-1</t>
        </is>
      </c>
      <c r="C57" s="30" t="inlineStr">
        <is>
          <t>mont rab.</t>
        </is>
      </c>
      <c r="D57" s="30" t="inlineStr">
        <is>
          <t>монтажная работа</t>
        </is>
      </c>
      <c r="E57" s="31" t="inlineStr">
        <is>
          <t>Сборка и монтаж щита</t>
        </is>
      </c>
      <c r="F57" s="30" t="n">
        <v>1</v>
      </c>
      <c r="G57" s="30" t="inlineStr">
        <is>
          <t>компл.</t>
        </is>
      </c>
      <c r="H57" s="30" t="inlineStr">
        <is>
          <t>mont rab.</t>
        </is>
      </c>
      <c r="I57" s="32" t="n"/>
      <c r="J57" s="33" t="n"/>
      <c r="K57" s="34" t="inlineStr"/>
    </row>
    <row r="58" ht="18" customHeight="1">
      <c r="A58" s="3" t="n">
        <v>56</v>
      </c>
      <c r="B58" s="3" t="inlineStr">
        <is>
          <t>УКРМ-1</t>
        </is>
      </c>
      <c r="C58" s="3" t="inlineStr"/>
      <c r="D58" s="3" t="inlineStr"/>
      <c r="E58" s="4" t="inlineStr">
        <is>
          <t>УКРМ-1 (комплект)</t>
        </is>
      </c>
      <c r="F58" s="3" t="n">
        <v>1</v>
      </c>
      <c r="G58" s="3" t="inlineStr">
        <is>
          <t>компл.</t>
        </is>
      </c>
      <c r="H58" s="3" t="inlineStr">
        <is>
          <t>TEKSAN</t>
        </is>
      </c>
      <c r="I58" s="5" t="n"/>
      <c r="J58" s="5" t="n"/>
      <c r="K58" s="6" t="inlineStr"/>
    </row>
    <row r="59" ht="20" customHeight="1">
      <c r="A59" s="38" t="n">
        <v>57</v>
      </c>
      <c r="B59" s="38" t="inlineStr">
        <is>
          <t>УКРМ-1</t>
        </is>
      </c>
      <c r="C59" s="38" t="inlineStr">
        <is>
          <t>ukrm</t>
        </is>
      </c>
      <c r="D59" s="38" t="inlineStr">
        <is>
          <t>комплектно</t>
        </is>
      </c>
      <c r="E59" s="39" t="inlineStr">
        <is>
          <t>Рег. конденсаторная установка 5кВАр, 380В, IP31, ABB</t>
        </is>
      </c>
      <c r="F59" s="38" t="n">
        <v>1</v>
      </c>
      <c r="G59" s="38" t="inlineStr">
        <is>
          <t>компл.</t>
        </is>
      </c>
      <c r="H59" s="38" t="inlineStr">
        <is>
          <t>ABB/TEKSAN</t>
        </is>
      </c>
      <c r="I59" s="40" t="n"/>
      <c r="J59" s="41" t="n"/>
      <c r="K59" s="42" t="inlineStr"/>
    </row>
    <row r="60" ht="18" customHeight="1">
      <c r="A60" s="3" t="n">
        <v>58</v>
      </c>
      <c r="B60" s="3" t="inlineStr">
        <is>
          <t>УКРМ-2</t>
        </is>
      </c>
      <c r="C60" s="3" t="inlineStr"/>
      <c r="D60" s="3" t="inlineStr"/>
      <c r="E60" s="4" t="inlineStr">
        <is>
          <t>УКРМ-2 (комплект)</t>
        </is>
      </c>
      <c r="F60" s="3" t="n">
        <v>1</v>
      </c>
      <c r="G60" s="3" t="inlineStr">
        <is>
          <t>компл.</t>
        </is>
      </c>
      <c r="H60" s="3" t="inlineStr">
        <is>
          <t>TEKSAN</t>
        </is>
      </c>
      <c r="I60" s="5" t="n"/>
      <c r="J60" s="5" t="n"/>
      <c r="K60" s="6" t="inlineStr"/>
    </row>
    <row r="61" ht="20" customHeight="1">
      <c r="A61" s="38" t="n">
        <v>59</v>
      </c>
      <c r="B61" s="38" t="inlineStr">
        <is>
          <t>УКРМ-2</t>
        </is>
      </c>
      <c r="C61" s="38" t="inlineStr">
        <is>
          <t>ukrm</t>
        </is>
      </c>
      <c r="D61" s="38" t="inlineStr">
        <is>
          <t>комплектно</t>
        </is>
      </c>
      <c r="E61" s="39" t="inlineStr">
        <is>
          <t>Рег. конденсаторная установка 5кВАр, 380В, IP31, ABB</t>
        </is>
      </c>
      <c r="F61" s="38" t="n">
        <v>1</v>
      </c>
      <c r="G61" s="38" t="inlineStr">
        <is>
          <t>компл.</t>
        </is>
      </c>
      <c r="H61" s="38" t="inlineStr">
        <is>
          <t>ABB/TEKSAN</t>
        </is>
      </c>
      <c r="I61" s="40" t="n"/>
      <c r="J61" s="41" t="n"/>
      <c r="K61" s="42" t="inlineStr"/>
    </row>
    <row r="62" ht="18" customHeight="1">
      <c r="A62" s="3" t="n">
        <v>60</v>
      </c>
      <c r="B62" s="3" t="inlineStr">
        <is>
          <t>УКРМ-3</t>
        </is>
      </c>
      <c r="C62" s="3" t="inlineStr"/>
      <c r="D62" s="3" t="inlineStr"/>
      <c r="E62" s="4" t="inlineStr">
        <is>
          <t>УКРМ-3 (комплект)</t>
        </is>
      </c>
      <c r="F62" s="3" t="n">
        <v>1</v>
      </c>
      <c r="G62" s="3" t="inlineStr">
        <is>
          <t>компл.</t>
        </is>
      </c>
      <c r="H62" s="3" t="inlineStr">
        <is>
          <t>TEKSAN</t>
        </is>
      </c>
      <c r="I62" s="5" t="n"/>
      <c r="J62" s="5" t="n"/>
      <c r="K62" s="6" t="inlineStr"/>
    </row>
    <row r="63" ht="20" customHeight="1">
      <c r="A63" s="38" t="n">
        <v>61</v>
      </c>
      <c r="B63" s="38" t="inlineStr">
        <is>
          <t>УКРМ-3</t>
        </is>
      </c>
      <c r="C63" s="38" t="inlineStr">
        <is>
          <t>ukrm</t>
        </is>
      </c>
      <c r="D63" s="38" t="inlineStr">
        <is>
          <t>комплектно</t>
        </is>
      </c>
      <c r="E63" s="39" t="inlineStr">
        <is>
          <t>Рег. конденсаторная установка 12.5кВАр, 380В, IP31, ABB</t>
        </is>
      </c>
      <c r="F63" s="38" t="n">
        <v>1</v>
      </c>
      <c r="G63" s="38" t="inlineStr">
        <is>
          <t>компл.</t>
        </is>
      </c>
      <c r="H63" s="38" t="inlineStr">
        <is>
          <t>ABB/TEKSAN</t>
        </is>
      </c>
      <c r="I63" s="40" t="n"/>
      <c r="J63" s="41" t="n"/>
      <c r="K63" s="42" t="inlineStr"/>
    </row>
    <row r="64" ht="18" customHeight="1">
      <c r="A64" s="3" t="n">
        <v>62</v>
      </c>
      <c r="B64" s="3" t="inlineStr">
        <is>
          <t>ЩО-1</t>
        </is>
      </c>
      <c r="C64" s="3" t="inlineStr"/>
      <c r="D64" s="3" t="inlineStr"/>
      <c r="E64" s="4" t="inlineStr">
        <is>
          <t>ЩО-1 (комплект)</t>
        </is>
      </c>
      <c r="F64" s="3" t="n">
        <v>1</v>
      </c>
      <c r="G64" s="3" t="inlineStr">
        <is>
          <t>компл.</t>
        </is>
      </c>
      <c r="H64" s="3" t="inlineStr">
        <is>
          <t>TEKSAN</t>
        </is>
      </c>
      <c r="I64" s="5" t="n"/>
      <c r="J64" s="5" t="n"/>
      <c r="K64" s="6" t="inlineStr"/>
    </row>
    <row r="65" ht="18" customHeight="1">
      <c r="A65" s="43" t="n">
        <v>63</v>
      </c>
      <c r="B65" s="43" t="inlineStr">
        <is>
          <t>ЩО-1</t>
        </is>
      </c>
      <c r="C65" s="43" t="inlineStr">
        <is>
          <t>korpus</t>
        </is>
      </c>
      <c r="D65" s="43" t="inlineStr">
        <is>
          <t>ABB/TEKSAN-24M</t>
        </is>
      </c>
      <c r="E65" s="44" t="inlineStr">
        <is>
          <t>Щит навесной/модульный 24 мод., IP40</t>
        </is>
      </c>
      <c r="F65" s="43" t="n">
        <v>1</v>
      </c>
      <c r="G65" s="43" t="inlineStr">
        <is>
          <t>шт.</t>
        </is>
      </c>
      <c r="H65" s="43" t="inlineStr">
        <is>
          <t>Teksan m</t>
        </is>
      </c>
      <c r="I65" s="45" t="n"/>
      <c r="J65" s="46" t="n"/>
      <c r="K65" s="47" t="inlineStr"/>
    </row>
    <row r="66" ht="18" customHeight="1">
      <c r="A66" s="43" t="n">
        <v>64</v>
      </c>
      <c r="B66" s="43" t="inlineStr">
        <is>
          <t>ЩО-1</t>
        </is>
      </c>
      <c r="C66" s="43" t="inlineStr">
        <is>
          <t>rub</t>
        </is>
      </c>
      <c r="D66" s="43" t="inlineStr">
        <is>
          <t>2CDD283101R0025</t>
        </is>
      </c>
      <c r="E66" s="44" t="inlineStr">
        <is>
          <t>SD203/25 switch-disconnector, 3P, 25A</t>
        </is>
      </c>
      <c r="F66" s="43" t="n">
        <v>1</v>
      </c>
      <c r="G66" s="43" t="inlineStr">
        <is>
          <t>шт.</t>
        </is>
      </c>
      <c r="H66" s="43" t="inlineStr">
        <is>
          <t>ABB</t>
        </is>
      </c>
      <c r="I66" s="48" t="n">
        <v>64.93000000000001</v>
      </c>
      <c r="J66" s="49">
        <f>I65*F65</f>
        <v/>
      </c>
      <c r="K66" s="47" t="inlineStr"/>
    </row>
    <row r="67" ht="18" customHeight="1">
      <c r="A67" s="43" t="n">
        <v>65</v>
      </c>
      <c r="B67" s="43" t="inlineStr">
        <is>
          <t>ЩО-1</t>
        </is>
      </c>
      <c r="C67" s="43" t="inlineStr">
        <is>
          <t>oto</t>
        </is>
      </c>
      <c r="D67" s="43" t="inlineStr">
        <is>
          <t>2CDS211001R0104</t>
        </is>
      </c>
      <c r="E67" s="44" t="inlineStr">
        <is>
          <t>SH201-C10, 1P, C10A, 4.5kA</t>
        </is>
      </c>
      <c r="F67" s="43" t="n">
        <v>7</v>
      </c>
      <c r="G67" s="43" t="inlineStr">
        <is>
          <t>шт.</t>
        </is>
      </c>
      <c r="H67" s="43" t="inlineStr">
        <is>
          <t>ABB</t>
        </is>
      </c>
      <c r="I67" s="48" t="n">
        <v>8.09</v>
      </c>
      <c r="J67" s="49">
        <f>I66*F66</f>
        <v/>
      </c>
      <c r="K67" s="47" t="inlineStr"/>
    </row>
    <row r="68" ht="18" customHeight="1">
      <c r="A68" s="43" t="n">
        <v>66</v>
      </c>
      <c r="B68" s="43" t="inlineStr">
        <is>
          <t>ЩО-1</t>
        </is>
      </c>
      <c r="C68" s="43" t="inlineStr">
        <is>
          <t>dif</t>
        </is>
      </c>
      <c r="D68" s="43" t="inlineStr">
        <is>
          <t>2CSR255080R1164</t>
        </is>
      </c>
      <c r="E68" s="44" t="inlineStr">
        <is>
          <t>DS201 C16 AC30, 1P+N/2P, C16A, 30mA</t>
        </is>
      </c>
      <c r="F68" s="43" t="n">
        <v>5</v>
      </c>
      <c r="G68" s="43" t="inlineStr">
        <is>
          <t>шт.</t>
        </is>
      </c>
      <c r="H68" s="43" t="inlineStr">
        <is>
          <t>ABB</t>
        </is>
      </c>
      <c r="I68" s="48" t="n">
        <v>87.63</v>
      </c>
      <c r="J68" s="49">
        <f>I67*F67</f>
        <v/>
      </c>
      <c r="K68" s="47" t="inlineStr"/>
    </row>
    <row r="69" ht="18" customHeight="1">
      <c r="A69" s="43" t="n">
        <v>67</v>
      </c>
      <c r="B69" s="43" t="inlineStr">
        <is>
          <t>ЩО-1</t>
        </is>
      </c>
      <c r="C69" s="43" t="inlineStr">
        <is>
          <t>PH</t>
        </is>
      </c>
      <c r="D69" s="43" t="inlineStr">
        <is>
          <t>2CDS200982R0002</t>
        </is>
      </c>
      <c r="E69" s="44" t="inlineStr">
        <is>
          <t>S3C-A2 shunt trip, AC 110–415V</t>
        </is>
      </c>
      <c r="F69" s="43" t="n">
        <v>1</v>
      </c>
      <c r="G69" s="43" t="inlineStr">
        <is>
          <t>шт.</t>
        </is>
      </c>
      <c r="H69" s="43" t="inlineStr">
        <is>
          <t>ABB</t>
        </is>
      </c>
      <c r="I69" s="48" t="n">
        <v>130.6</v>
      </c>
      <c r="J69" s="49">
        <f>I68*F68</f>
        <v/>
      </c>
      <c r="K69" s="47" t="inlineStr"/>
    </row>
    <row r="70" ht="18" customHeight="1">
      <c r="A70" s="43" t="n">
        <v>68</v>
      </c>
      <c r="B70" s="43" t="inlineStr">
        <is>
          <t>ЩО-1</t>
        </is>
      </c>
      <c r="C70" s="43" t="inlineStr">
        <is>
          <t>shina N</t>
        </is>
      </c>
      <c r="D70" s="43" t="inlineStr">
        <is>
          <t>N-шина</t>
        </is>
      </c>
      <c r="E70" s="44" t="inlineStr">
        <is>
          <t>Шина N на DIN-изоляторе</t>
        </is>
      </c>
      <c r="F70" s="43" t="n">
        <v>1</v>
      </c>
      <c r="G70" s="43" t="inlineStr">
        <is>
          <t>шт.</t>
        </is>
      </c>
      <c r="H70" s="43" t="inlineStr">
        <is>
          <t>ABB/TEKSAN</t>
        </is>
      </c>
      <c r="I70" s="45" t="n"/>
      <c r="J70" s="46" t="n"/>
      <c r="K70" s="47" t="inlineStr"/>
    </row>
    <row r="71" ht="18" customHeight="1">
      <c r="A71" s="43" t="n">
        <v>69</v>
      </c>
      <c r="B71" s="43" t="inlineStr">
        <is>
          <t>ЩО-1</t>
        </is>
      </c>
      <c r="C71" s="43" t="inlineStr">
        <is>
          <t>shina PE</t>
        </is>
      </c>
      <c r="D71" s="43" t="inlineStr">
        <is>
          <t>PE-шина</t>
        </is>
      </c>
      <c r="E71" s="44" t="inlineStr">
        <is>
          <t>Шина PE на DIN-изоляторе</t>
        </is>
      </c>
      <c r="F71" s="43" t="n">
        <v>1</v>
      </c>
      <c r="G71" s="43" t="inlineStr">
        <is>
          <t>шт.</t>
        </is>
      </c>
      <c r="H71" s="43" t="inlineStr">
        <is>
          <t>ABB/TEKSAN</t>
        </is>
      </c>
      <c r="I71" s="45" t="n"/>
      <c r="J71" s="46" t="n"/>
      <c r="K71" s="47" t="inlineStr"/>
    </row>
    <row r="72" ht="18" customHeight="1">
      <c r="A72" s="43" t="n">
        <v>70</v>
      </c>
      <c r="B72" s="43" t="inlineStr">
        <is>
          <t>ЩО-1</t>
        </is>
      </c>
      <c r="C72" s="43" t="inlineStr">
        <is>
          <t>mont. matryl</t>
        </is>
      </c>
      <c r="D72" s="43" t="inlineStr">
        <is>
          <t>монтажный материал</t>
        </is>
      </c>
      <c r="E72" s="44" t="inlineStr">
        <is>
          <t>DIN, kanal, uç, etiket, köprüleme</t>
        </is>
      </c>
      <c r="F72" s="43" t="n">
        <v>1</v>
      </c>
      <c r="G72" s="43" t="inlineStr">
        <is>
          <t>компл.</t>
        </is>
      </c>
      <c r="H72" s="43" t="inlineStr">
        <is>
          <t>mont. matryl</t>
        </is>
      </c>
      <c r="I72" s="45" t="n"/>
      <c r="J72" s="46" t="n"/>
      <c r="K72" s="47" t="inlineStr"/>
    </row>
    <row r="73" ht="20" customHeight="1">
      <c r="A73" s="43" t="n">
        <v>71</v>
      </c>
      <c r="B73" s="43" t="inlineStr">
        <is>
          <t>ЩО-1</t>
        </is>
      </c>
      <c r="C73" s="43" t="inlineStr">
        <is>
          <t>mont rab.</t>
        </is>
      </c>
      <c r="D73" s="43" t="inlineStr">
        <is>
          <t>монтажная работа</t>
        </is>
      </c>
      <c r="E73" s="44" t="inlineStr">
        <is>
          <t>Сборка и монтаж щита</t>
        </is>
      </c>
      <c r="F73" s="43" t="n">
        <v>1</v>
      </c>
      <c r="G73" s="43" t="inlineStr">
        <is>
          <t>компл.</t>
        </is>
      </c>
      <c r="H73" s="43" t="inlineStr">
        <is>
          <t>mont rab.</t>
        </is>
      </c>
      <c r="I73" s="45" t="n"/>
      <c r="J73" s="46" t="n"/>
      <c r="K73" s="47" t="inlineStr"/>
    </row>
    <row r="74" ht="18" customHeight="1">
      <c r="A74" s="3" t="n">
        <v>72</v>
      </c>
      <c r="B74" s="3" t="inlineStr">
        <is>
          <t>ЩАО-1</t>
        </is>
      </c>
      <c r="C74" s="3" t="inlineStr"/>
      <c r="D74" s="3" t="inlineStr"/>
      <c r="E74" s="4" t="inlineStr">
        <is>
          <t>ЩАО-1 (комплект)</t>
        </is>
      </c>
      <c r="F74" s="3" t="n">
        <v>1</v>
      </c>
      <c r="G74" s="3" t="inlineStr">
        <is>
          <t>компл.</t>
        </is>
      </c>
      <c r="H74" s="3" t="inlineStr">
        <is>
          <t>TEKSAN</t>
        </is>
      </c>
      <c r="I74" s="5" t="n"/>
      <c r="J74" s="5" t="n"/>
      <c r="K74" s="6" t="inlineStr"/>
    </row>
    <row r="75" ht="18" customHeight="1">
      <c r="A75" s="50" t="n">
        <v>73</v>
      </c>
      <c r="B75" s="50" t="inlineStr">
        <is>
          <t>ЩАО-1</t>
        </is>
      </c>
      <c r="C75" s="50" t="inlineStr">
        <is>
          <t>korpus</t>
        </is>
      </c>
      <c r="D75" s="50" t="inlineStr">
        <is>
          <t>ABB/TEKSAN-12M</t>
        </is>
      </c>
      <c r="E75" s="51" t="inlineStr">
        <is>
          <t>Щит навесной/модульный 12 мод., IP40</t>
        </is>
      </c>
      <c r="F75" s="50" t="n">
        <v>1</v>
      </c>
      <c r="G75" s="50" t="inlineStr">
        <is>
          <t>шт.</t>
        </is>
      </c>
      <c r="H75" s="50" t="inlineStr">
        <is>
          <t>Teksan m</t>
        </is>
      </c>
      <c r="I75" s="52" t="n"/>
      <c r="J75" s="53" t="n"/>
      <c r="K75" s="54" t="inlineStr"/>
    </row>
    <row r="76" ht="18" customHeight="1">
      <c r="A76" s="50" t="n">
        <v>74</v>
      </c>
      <c r="B76" s="50" t="inlineStr">
        <is>
          <t>ЩАО-1</t>
        </is>
      </c>
      <c r="C76" s="50" t="inlineStr">
        <is>
          <t>rub</t>
        </is>
      </c>
      <c r="D76" s="50" t="inlineStr">
        <is>
          <t>2CDD283101R0025</t>
        </is>
      </c>
      <c r="E76" s="51" t="inlineStr">
        <is>
          <t>SD203/25 switch-disconnector, 3P, 25A</t>
        </is>
      </c>
      <c r="F76" s="50" t="n">
        <v>1</v>
      </c>
      <c r="G76" s="50" t="inlineStr">
        <is>
          <t>шт.</t>
        </is>
      </c>
      <c r="H76" s="50" t="inlineStr">
        <is>
          <t>ABB</t>
        </is>
      </c>
      <c r="I76" s="55" t="n">
        <v>64.93000000000001</v>
      </c>
      <c r="J76" s="56">
        <f>I75*F75</f>
        <v/>
      </c>
      <c r="K76" s="54" t="inlineStr"/>
    </row>
    <row r="77" ht="18" customHeight="1">
      <c r="A77" s="50" t="n">
        <v>75</v>
      </c>
      <c r="B77" s="50" t="inlineStr">
        <is>
          <t>ЩАО-1</t>
        </is>
      </c>
      <c r="C77" s="50" t="inlineStr">
        <is>
          <t>oto</t>
        </is>
      </c>
      <c r="D77" s="50" t="inlineStr">
        <is>
          <t>2CDS211001R0104</t>
        </is>
      </c>
      <c r="E77" s="51" t="inlineStr">
        <is>
          <t>SH201-C10, 1P, C10A, 4.5kA</t>
        </is>
      </c>
      <c r="F77" s="50" t="n">
        <v>5</v>
      </c>
      <c r="G77" s="50" t="inlineStr">
        <is>
          <t>шт.</t>
        </is>
      </c>
      <c r="H77" s="50" t="inlineStr">
        <is>
          <t>ABB</t>
        </is>
      </c>
      <c r="I77" s="55" t="n">
        <v>8.09</v>
      </c>
      <c r="J77" s="56">
        <f>I76*F76</f>
        <v/>
      </c>
      <c r="K77" s="54" t="inlineStr"/>
    </row>
    <row r="78" ht="18" customHeight="1">
      <c r="A78" s="50" t="n">
        <v>76</v>
      </c>
      <c r="B78" s="50" t="inlineStr">
        <is>
          <t>ЩАО-1</t>
        </is>
      </c>
      <c r="C78" s="50" t="inlineStr">
        <is>
          <t>shina N</t>
        </is>
      </c>
      <c r="D78" s="50" t="inlineStr">
        <is>
          <t>N-шина</t>
        </is>
      </c>
      <c r="E78" s="51" t="inlineStr">
        <is>
          <t>Шина N на DIN-изоляторе</t>
        </is>
      </c>
      <c r="F78" s="50" t="n">
        <v>1</v>
      </c>
      <c r="G78" s="50" t="inlineStr">
        <is>
          <t>шт.</t>
        </is>
      </c>
      <c r="H78" s="50" t="inlineStr">
        <is>
          <t>ABB/TEKSAN</t>
        </is>
      </c>
      <c r="I78" s="52" t="n"/>
      <c r="J78" s="53" t="n"/>
      <c r="K78" s="54" t="inlineStr"/>
    </row>
    <row r="79" ht="18" customHeight="1">
      <c r="A79" s="50" t="n">
        <v>77</v>
      </c>
      <c r="B79" s="50" t="inlineStr">
        <is>
          <t>ЩАО-1</t>
        </is>
      </c>
      <c r="C79" s="50" t="inlineStr">
        <is>
          <t>shina PE</t>
        </is>
      </c>
      <c r="D79" s="50" t="inlineStr">
        <is>
          <t>PE-шина</t>
        </is>
      </c>
      <c r="E79" s="51" t="inlineStr">
        <is>
          <t>Шина PE на DIN-изоляторе</t>
        </is>
      </c>
      <c r="F79" s="50" t="n">
        <v>1</v>
      </c>
      <c r="G79" s="50" t="inlineStr">
        <is>
          <t>шт.</t>
        </is>
      </c>
      <c r="H79" s="50" t="inlineStr">
        <is>
          <t>ABB/TEKSAN</t>
        </is>
      </c>
      <c r="I79" s="52" t="n"/>
      <c r="J79" s="53" t="n"/>
      <c r="K79" s="54" t="inlineStr"/>
    </row>
    <row r="80" ht="18" customHeight="1">
      <c r="A80" s="50" t="n">
        <v>78</v>
      </c>
      <c r="B80" s="50" t="inlineStr">
        <is>
          <t>ЩАО-1</t>
        </is>
      </c>
      <c r="C80" s="50" t="inlineStr">
        <is>
          <t>mont. matryl</t>
        </is>
      </c>
      <c r="D80" s="50" t="inlineStr">
        <is>
          <t>монтажный материал</t>
        </is>
      </c>
      <c r="E80" s="51" t="inlineStr">
        <is>
          <t>DIN, kanal, uç, etiket, köprüleme</t>
        </is>
      </c>
      <c r="F80" s="50" t="n">
        <v>1</v>
      </c>
      <c r="G80" s="50" t="inlineStr">
        <is>
          <t>компл.</t>
        </is>
      </c>
      <c r="H80" s="50" t="inlineStr">
        <is>
          <t>mont. matryl</t>
        </is>
      </c>
      <c r="I80" s="52" t="n"/>
      <c r="J80" s="53" t="n"/>
      <c r="K80" s="54" t="inlineStr"/>
    </row>
    <row r="81" ht="20" customHeight="1">
      <c r="A81" s="50" t="n">
        <v>79</v>
      </c>
      <c r="B81" s="50" t="inlineStr">
        <is>
          <t>ЩАО-1</t>
        </is>
      </c>
      <c r="C81" s="50" t="inlineStr">
        <is>
          <t>mont rab.</t>
        </is>
      </c>
      <c r="D81" s="50" t="inlineStr">
        <is>
          <t>монтажная работа</t>
        </is>
      </c>
      <c r="E81" s="51" t="inlineStr">
        <is>
          <t>Сборка и монтаж щита</t>
        </is>
      </c>
      <c r="F81" s="50" t="n">
        <v>1</v>
      </c>
      <c r="G81" s="50" t="inlineStr">
        <is>
          <t>компл.</t>
        </is>
      </c>
      <c r="H81" s="50" t="inlineStr">
        <is>
          <t>mont rab.</t>
        </is>
      </c>
      <c r="I81" s="52" t="n"/>
      <c r="J81" s="53" t="n"/>
      <c r="K81" s="54" t="inlineStr"/>
    </row>
    <row r="82" ht="18" customHeight="1">
      <c r="A82" s="3" t="n">
        <v>80</v>
      </c>
      <c r="B82" s="3" t="inlineStr">
        <is>
          <t>ЩО-2</t>
        </is>
      </c>
      <c r="C82" s="3" t="inlineStr"/>
      <c r="D82" s="3" t="inlineStr"/>
      <c r="E82" s="4" t="inlineStr">
        <is>
          <t>ЩО-2 (комплект)</t>
        </is>
      </c>
      <c r="F82" s="3" t="n">
        <v>1</v>
      </c>
      <c r="G82" s="3" t="inlineStr">
        <is>
          <t>компл.</t>
        </is>
      </c>
      <c r="H82" s="3" t="inlineStr">
        <is>
          <t>TEKSAN</t>
        </is>
      </c>
      <c r="I82" s="5" t="n"/>
      <c r="J82" s="5" t="n"/>
      <c r="K82" s="6" t="inlineStr"/>
    </row>
    <row r="83" ht="18" customHeight="1">
      <c r="A83" s="43" t="n">
        <v>81</v>
      </c>
      <c r="B83" s="43" t="inlineStr">
        <is>
          <t>ЩО-2</t>
        </is>
      </c>
      <c r="C83" s="43" t="inlineStr">
        <is>
          <t>korpus</t>
        </is>
      </c>
      <c r="D83" s="43" t="inlineStr">
        <is>
          <t>ABB/TEKSAN-24M</t>
        </is>
      </c>
      <c r="E83" s="44" t="inlineStr">
        <is>
          <t>Щит навесной/модульный 24 мод., IP40</t>
        </is>
      </c>
      <c r="F83" s="43" t="n">
        <v>1</v>
      </c>
      <c r="G83" s="43" t="inlineStr">
        <is>
          <t>шт.</t>
        </is>
      </c>
      <c r="H83" s="43" t="inlineStr">
        <is>
          <t>Teksan m</t>
        </is>
      </c>
      <c r="I83" s="45" t="n"/>
      <c r="J83" s="46" t="n"/>
      <c r="K83" s="47" t="inlineStr"/>
    </row>
    <row r="84" ht="18" customHeight="1">
      <c r="A84" s="43" t="n">
        <v>82</v>
      </c>
      <c r="B84" s="43" t="inlineStr">
        <is>
          <t>ЩО-2</t>
        </is>
      </c>
      <c r="C84" s="43" t="inlineStr">
        <is>
          <t>rub</t>
        </is>
      </c>
      <c r="D84" s="43" t="inlineStr">
        <is>
          <t>2CDD283101R0025</t>
        </is>
      </c>
      <c r="E84" s="44" t="inlineStr">
        <is>
          <t>SD203/25 switch-disconnector, 3P, 25A</t>
        </is>
      </c>
      <c r="F84" s="43" t="n">
        <v>1</v>
      </c>
      <c r="G84" s="43" t="inlineStr">
        <is>
          <t>шт.</t>
        </is>
      </c>
      <c r="H84" s="43" t="inlineStr">
        <is>
          <t>ABB</t>
        </is>
      </c>
      <c r="I84" s="48" t="n">
        <v>64.93000000000001</v>
      </c>
      <c r="J84" s="49">
        <f>I83*F83</f>
        <v/>
      </c>
      <c r="K84" s="47" t="inlineStr"/>
    </row>
    <row r="85" ht="18" customHeight="1">
      <c r="A85" s="43" t="n">
        <v>83</v>
      </c>
      <c r="B85" s="43" t="inlineStr">
        <is>
          <t>ЩО-2</t>
        </is>
      </c>
      <c r="C85" s="43" t="inlineStr">
        <is>
          <t>oto</t>
        </is>
      </c>
      <c r="D85" s="43" t="inlineStr">
        <is>
          <t>2CDS211001R0104</t>
        </is>
      </c>
      <c r="E85" s="44" t="inlineStr">
        <is>
          <t>SH201-C10, 1P, C10A, 4.5kA</t>
        </is>
      </c>
      <c r="F85" s="43" t="n">
        <v>2</v>
      </c>
      <c r="G85" s="43" t="inlineStr">
        <is>
          <t>шт.</t>
        </is>
      </c>
      <c r="H85" s="43" t="inlineStr">
        <is>
          <t>ABB</t>
        </is>
      </c>
      <c r="I85" s="48" t="n">
        <v>8.09</v>
      </c>
      <c r="J85" s="49">
        <f>I84*F84</f>
        <v/>
      </c>
      <c r="K85" s="47" t="inlineStr"/>
    </row>
    <row r="86" ht="18" customHeight="1">
      <c r="A86" s="43" t="n">
        <v>84</v>
      </c>
      <c r="B86" s="43" t="inlineStr">
        <is>
          <t>ЩО-2</t>
        </is>
      </c>
      <c r="C86" s="43" t="inlineStr">
        <is>
          <t>dif</t>
        </is>
      </c>
      <c r="D86" s="43" t="inlineStr">
        <is>
          <t>2CSR255080R1164</t>
        </is>
      </c>
      <c r="E86" s="44" t="inlineStr">
        <is>
          <t>DS201 C16 AC30, 1P+N/2P, C16A, 30mA</t>
        </is>
      </c>
      <c r="F86" s="43" t="n">
        <v>8</v>
      </c>
      <c r="G86" s="43" t="inlineStr">
        <is>
          <t>шт.</t>
        </is>
      </c>
      <c r="H86" s="43" t="inlineStr">
        <is>
          <t>ABB</t>
        </is>
      </c>
      <c r="I86" s="48" t="n">
        <v>87.63</v>
      </c>
      <c r="J86" s="49">
        <f>I85*F85</f>
        <v/>
      </c>
      <c r="K86" s="47" t="inlineStr"/>
    </row>
    <row r="87" ht="18" customHeight="1">
      <c r="A87" s="43" t="n">
        <v>85</v>
      </c>
      <c r="B87" s="43" t="inlineStr">
        <is>
          <t>ЩО-2</t>
        </is>
      </c>
      <c r="C87" s="43" t="inlineStr">
        <is>
          <t>PH</t>
        </is>
      </c>
      <c r="D87" s="43" t="inlineStr">
        <is>
          <t>2CDS200982R0002</t>
        </is>
      </c>
      <c r="E87" s="44" t="inlineStr">
        <is>
          <t>S3C-A2 shunt trip, AC 110–415V</t>
        </is>
      </c>
      <c r="F87" s="43" t="n">
        <v>1</v>
      </c>
      <c r="G87" s="43" t="inlineStr">
        <is>
          <t>шт.</t>
        </is>
      </c>
      <c r="H87" s="43" t="inlineStr">
        <is>
          <t>ABB</t>
        </is>
      </c>
      <c r="I87" s="48" t="n">
        <v>130.6</v>
      </c>
      <c r="J87" s="49">
        <f>I86*F86</f>
        <v/>
      </c>
      <c r="K87" s="47" t="inlineStr"/>
    </row>
    <row r="88" ht="18" customHeight="1">
      <c r="A88" s="43" t="n">
        <v>86</v>
      </c>
      <c r="B88" s="43" t="inlineStr">
        <is>
          <t>ЩО-2</t>
        </is>
      </c>
      <c r="C88" s="43" t="inlineStr">
        <is>
          <t>shina N</t>
        </is>
      </c>
      <c r="D88" s="43" t="inlineStr">
        <is>
          <t>N-шина</t>
        </is>
      </c>
      <c r="E88" s="44" t="inlineStr">
        <is>
          <t>Шина N на DIN-изоляторе</t>
        </is>
      </c>
      <c r="F88" s="43" t="n">
        <v>1</v>
      </c>
      <c r="G88" s="43" t="inlineStr">
        <is>
          <t>шт.</t>
        </is>
      </c>
      <c r="H88" s="43" t="inlineStr">
        <is>
          <t>ABB/TEKSAN</t>
        </is>
      </c>
      <c r="I88" s="45" t="n"/>
      <c r="J88" s="46" t="n"/>
      <c r="K88" s="47" t="inlineStr"/>
    </row>
    <row r="89" ht="18" customHeight="1">
      <c r="A89" s="43" t="n">
        <v>87</v>
      </c>
      <c r="B89" s="43" t="inlineStr">
        <is>
          <t>ЩО-2</t>
        </is>
      </c>
      <c r="C89" s="43" t="inlineStr">
        <is>
          <t>shina PE</t>
        </is>
      </c>
      <c r="D89" s="43" t="inlineStr">
        <is>
          <t>PE-шина</t>
        </is>
      </c>
      <c r="E89" s="44" t="inlineStr">
        <is>
          <t>Шина PE на DIN-изоляторе</t>
        </is>
      </c>
      <c r="F89" s="43" t="n">
        <v>1</v>
      </c>
      <c r="G89" s="43" t="inlineStr">
        <is>
          <t>шт.</t>
        </is>
      </c>
      <c r="H89" s="43" t="inlineStr">
        <is>
          <t>ABB/TEKSAN</t>
        </is>
      </c>
      <c r="I89" s="45" t="n"/>
      <c r="J89" s="46" t="n"/>
      <c r="K89" s="47" t="inlineStr"/>
    </row>
    <row r="90" ht="18" customHeight="1">
      <c r="A90" s="43" t="n">
        <v>88</v>
      </c>
      <c r="B90" s="43" t="inlineStr">
        <is>
          <t>ЩО-2</t>
        </is>
      </c>
      <c r="C90" s="43" t="inlineStr">
        <is>
          <t>mont. matryl</t>
        </is>
      </c>
      <c r="D90" s="43" t="inlineStr">
        <is>
          <t>монтажный материал</t>
        </is>
      </c>
      <c r="E90" s="44" t="inlineStr">
        <is>
          <t>DIN, kanal, uç, etiket, köprüleme</t>
        </is>
      </c>
      <c r="F90" s="43" t="n">
        <v>1</v>
      </c>
      <c r="G90" s="43" t="inlineStr">
        <is>
          <t>компл.</t>
        </is>
      </c>
      <c r="H90" s="43" t="inlineStr">
        <is>
          <t>mont. matryl</t>
        </is>
      </c>
      <c r="I90" s="45" t="n"/>
      <c r="J90" s="46" t="n"/>
      <c r="K90" s="47" t="inlineStr"/>
    </row>
    <row r="91" ht="20" customHeight="1">
      <c r="A91" s="43" t="n">
        <v>89</v>
      </c>
      <c r="B91" s="43" t="inlineStr">
        <is>
          <t>ЩО-2</t>
        </is>
      </c>
      <c r="C91" s="43" t="inlineStr">
        <is>
          <t>mont rab.</t>
        </is>
      </c>
      <c r="D91" s="43" t="inlineStr">
        <is>
          <t>монтажная работа</t>
        </is>
      </c>
      <c r="E91" s="44" t="inlineStr">
        <is>
          <t>Сборка и монтаж щита</t>
        </is>
      </c>
      <c r="F91" s="43" t="n">
        <v>1</v>
      </c>
      <c r="G91" s="43" t="inlineStr">
        <is>
          <t>компл.</t>
        </is>
      </c>
      <c r="H91" s="43" t="inlineStr">
        <is>
          <t>mont rab.</t>
        </is>
      </c>
      <c r="I91" s="45" t="n"/>
      <c r="J91" s="46" t="n"/>
      <c r="K91" s="47" t="inlineStr"/>
    </row>
    <row r="92" ht="18" customHeight="1">
      <c r="A92" s="3" t="n">
        <v>90</v>
      </c>
      <c r="B92" s="3" t="inlineStr">
        <is>
          <t>ЩС-К1</t>
        </is>
      </c>
      <c r="C92" s="3" t="inlineStr"/>
      <c r="D92" s="3" t="inlineStr"/>
      <c r="E92" s="4" t="inlineStr">
        <is>
          <t>ЩС-К1 (комплект)</t>
        </is>
      </c>
      <c r="F92" s="3" t="n">
        <v>1</v>
      </c>
      <c r="G92" s="3" t="inlineStr">
        <is>
          <t>компл.</t>
        </is>
      </c>
      <c r="H92" s="3" t="inlineStr">
        <is>
          <t>TEKSAN</t>
        </is>
      </c>
      <c r="I92" s="5" t="n"/>
      <c r="J92" s="5" t="n"/>
      <c r="K92" s="6" t="inlineStr"/>
    </row>
    <row r="93" ht="18" customHeight="1">
      <c r="A93" s="23" t="n">
        <v>91</v>
      </c>
      <c r="B93" s="23" t="inlineStr">
        <is>
          <t>ЩС-К1</t>
        </is>
      </c>
      <c r="C93" s="23" t="inlineStr">
        <is>
          <t>korpus</t>
        </is>
      </c>
      <c r="D93" s="23" t="inlineStr">
        <is>
          <t>ABB/TEKSAN-18M</t>
        </is>
      </c>
      <c r="E93" s="24" t="inlineStr">
        <is>
          <t>Щит навесной/модульный 18 мод., IP40</t>
        </is>
      </c>
      <c r="F93" s="23" t="n">
        <v>1</v>
      </c>
      <c r="G93" s="23" t="inlineStr">
        <is>
          <t>шт.</t>
        </is>
      </c>
      <c r="H93" s="23" t="inlineStr">
        <is>
          <t>Teksan m</t>
        </is>
      </c>
      <c r="I93" s="25" t="n"/>
      <c r="J93" s="26" t="n"/>
      <c r="K93" s="27" t="inlineStr"/>
    </row>
    <row r="94" ht="18" customHeight="1">
      <c r="A94" s="23" t="n">
        <v>92</v>
      </c>
      <c r="B94" s="23" t="inlineStr">
        <is>
          <t>ЩС-К1</t>
        </is>
      </c>
      <c r="C94" s="23" t="inlineStr">
        <is>
          <t>oto</t>
        </is>
      </c>
      <c r="D94" s="23" t="inlineStr">
        <is>
          <t>2CDS213001R0324</t>
        </is>
      </c>
      <c r="E94" s="24" t="inlineStr">
        <is>
          <t>SH203-C32, 3P, C32A, 4.5kA</t>
        </is>
      </c>
      <c r="F94" s="23" t="n">
        <v>1</v>
      </c>
      <c r="G94" s="23" t="inlineStr">
        <is>
          <t>шт.</t>
        </is>
      </c>
      <c r="H94" s="23" t="inlineStr">
        <is>
          <t>ABB</t>
        </is>
      </c>
      <c r="I94" s="28" t="n">
        <v>45.54</v>
      </c>
      <c r="J94" s="29">
        <f>I93*F93</f>
        <v/>
      </c>
      <c r="K94" s="27" t="inlineStr"/>
    </row>
    <row r="95" ht="18" customHeight="1">
      <c r="A95" s="23" t="n">
        <v>93</v>
      </c>
      <c r="B95" s="23" t="inlineStr">
        <is>
          <t>ЩС-К1</t>
        </is>
      </c>
      <c r="C95" s="23" t="inlineStr">
        <is>
          <t>oto</t>
        </is>
      </c>
      <c r="D95" s="23" t="inlineStr">
        <is>
          <t>2CDS213001R0254</t>
        </is>
      </c>
      <c r="E95" s="24" t="inlineStr">
        <is>
          <t>SH203-C25, 3P, C25A, 4.5kA</t>
        </is>
      </c>
      <c r="F95" s="23" t="n">
        <v>3</v>
      </c>
      <c r="G95" s="23" t="inlineStr">
        <is>
          <t>шт.</t>
        </is>
      </c>
      <c r="H95" s="23" t="inlineStr">
        <is>
          <t>ABB</t>
        </is>
      </c>
      <c r="I95" s="28" t="n">
        <v>36.42</v>
      </c>
      <c r="J95" s="29">
        <f>I94*F94</f>
        <v/>
      </c>
      <c r="K95" s="27" t="inlineStr"/>
    </row>
    <row r="96" ht="18" customHeight="1">
      <c r="A96" s="23" t="n">
        <v>94</v>
      </c>
      <c r="B96" s="23" t="inlineStr">
        <is>
          <t>ЩС-К1</t>
        </is>
      </c>
      <c r="C96" s="23" t="inlineStr">
        <is>
          <t>oto</t>
        </is>
      </c>
      <c r="D96" s="23" t="inlineStr">
        <is>
          <t>2CDS211001R0164</t>
        </is>
      </c>
      <c r="E96" s="24" t="inlineStr">
        <is>
          <t>SH201-C16, 1P, C16A, 4.5kA</t>
        </is>
      </c>
      <c r="F96" s="23" t="n">
        <v>3</v>
      </c>
      <c r="G96" s="23" t="inlineStr">
        <is>
          <t>шт.</t>
        </is>
      </c>
      <c r="H96" s="23" t="inlineStr">
        <is>
          <t>ABB</t>
        </is>
      </c>
      <c r="I96" s="28" t="n">
        <v>8.09</v>
      </c>
      <c r="J96" s="29">
        <f>I95*F95</f>
        <v/>
      </c>
      <c r="K96" s="27" t="inlineStr"/>
    </row>
    <row r="97" ht="18" customHeight="1">
      <c r="A97" s="23" t="n">
        <v>95</v>
      </c>
      <c r="B97" s="23" t="inlineStr">
        <is>
          <t>ЩС-К1</t>
        </is>
      </c>
      <c r="C97" s="23" t="inlineStr">
        <is>
          <t>PH/shunt</t>
        </is>
      </c>
      <c r="D97" s="23" t="inlineStr">
        <is>
          <t>2CDS200982R0002</t>
        </is>
      </c>
      <c r="E97" s="24" t="inlineStr">
        <is>
          <t>S3C-A2 shunt trip, AC 110–415V</t>
        </is>
      </c>
      <c r="F97" s="23" t="n">
        <v>1</v>
      </c>
      <c r="G97" s="23" t="inlineStr">
        <is>
          <t>шт.</t>
        </is>
      </c>
      <c r="H97" s="23" t="inlineStr">
        <is>
          <t>ABB</t>
        </is>
      </c>
      <c r="I97" s="28" t="n">
        <v>130.6</v>
      </c>
      <c r="J97" s="29">
        <f>I96*F96</f>
        <v/>
      </c>
      <c r="K97" s="27" t="inlineStr"/>
    </row>
    <row r="98" ht="18" customHeight="1">
      <c r="A98" s="23" t="n">
        <v>96</v>
      </c>
      <c r="B98" s="23" t="inlineStr">
        <is>
          <t>ЩС-К1</t>
        </is>
      </c>
      <c r="C98" s="23" t="inlineStr">
        <is>
          <t>klemens</t>
        </is>
      </c>
      <c r="D98" s="23" t="inlineStr">
        <is>
          <t>ABB-SNK-XT12</t>
        </is>
      </c>
      <c r="E98" s="24" t="inlineStr">
        <is>
          <t>ABB Entrelec/SNK terminal set XT12</t>
        </is>
      </c>
      <c r="F98" s="23" t="n">
        <v>1</v>
      </c>
      <c r="G98" s="23" t="inlineStr">
        <is>
          <t>компл.</t>
        </is>
      </c>
      <c r="H98" s="23" t="inlineStr">
        <is>
          <t>ABB</t>
        </is>
      </c>
      <c r="I98" s="25" t="n"/>
      <c r="J98" s="26" t="n"/>
      <c r="K98" s="27" t="inlineStr"/>
    </row>
    <row r="99" ht="18" customHeight="1">
      <c r="A99" s="23" t="n">
        <v>97</v>
      </c>
      <c r="B99" s="23" t="inlineStr">
        <is>
          <t>ЩС-К1</t>
        </is>
      </c>
      <c r="C99" s="23" t="inlineStr">
        <is>
          <t>shina N</t>
        </is>
      </c>
      <c r="D99" s="23" t="inlineStr">
        <is>
          <t>N-шина</t>
        </is>
      </c>
      <c r="E99" s="24" t="inlineStr">
        <is>
          <t>Шина N на DIN-изоляторе</t>
        </is>
      </c>
      <c r="F99" s="23" t="n">
        <v>1</v>
      </c>
      <c r="G99" s="23" t="inlineStr">
        <is>
          <t>шт.</t>
        </is>
      </c>
      <c r="H99" s="23" t="inlineStr">
        <is>
          <t>ABB/TEKSAN</t>
        </is>
      </c>
      <c r="I99" s="25" t="n"/>
      <c r="J99" s="26" t="n"/>
      <c r="K99" s="27" t="inlineStr"/>
    </row>
    <row r="100" ht="18" customHeight="1">
      <c r="A100" s="23" t="n">
        <v>98</v>
      </c>
      <c r="B100" s="23" t="inlineStr">
        <is>
          <t>ЩС-К1</t>
        </is>
      </c>
      <c r="C100" s="23" t="inlineStr">
        <is>
          <t>shina PE</t>
        </is>
      </c>
      <c r="D100" s="23" t="inlineStr">
        <is>
          <t>PE-шина</t>
        </is>
      </c>
      <c r="E100" s="24" t="inlineStr">
        <is>
          <t>Шина PE на DIN-изоляторе</t>
        </is>
      </c>
      <c r="F100" s="23" t="n">
        <v>1</v>
      </c>
      <c r="G100" s="23" t="inlineStr">
        <is>
          <t>шт.</t>
        </is>
      </c>
      <c r="H100" s="23" t="inlineStr">
        <is>
          <t>ABB/TEKSAN</t>
        </is>
      </c>
      <c r="I100" s="25" t="n"/>
      <c r="J100" s="26" t="n"/>
      <c r="K100" s="27" t="inlineStr"/>
    </row>
    <row r="101" ht="18" customHeight="1">
      <c r="A101" s="23" t="n">
        <v>99</v>
      </c>
      <c r="B101" s="23" t="inlineStr">
        <is>
          <t>ЩС-К1</t>
        </is>
      </c>
      <c r="C101" s="23" t="inlineStr">
        <is>
          <t>mont. matryl</t>
        </is>
      </c>
      <c r="D101" s="23" t="inlineStr">
        <is>
          <t>монтажный материал</t>
        </is>
      </c>
      <c r="E101" s="24" t="inlineStr">
        <is>
          <t>DIN, kanal, uç, etiket, köprüleme</t>
        </is>
      </c>
      <c r="F101" s="23" t="n">
        <v>1</v>
      </c>
      <c r="G101" s="23" t="inlineStr">
        <is>
          <t>компл.</t>
        </is>
      </c>
      <c r="H101" s="23" t="inlineStr">
        <is>
          <t>mont. matryl</t>
        </is>
      </c>
      <c r="I101" s="25" t="n"/>
      <c r="J101" s="26" t="n"/>
      <c r="K101" s="27" t="inlineStr"/>
    </row>
    <row r="102" ht="20" customHeight="1">
      <c r="A102" s="23" t="n">
        <v>100</v>
      </c>
      <c r="B102" s="23" t="inlineStr">
        <is>
          <t>ЩС-К1</t>
        </is>
      </c>
      <c r="C102" s="23" t="inlineStr">
        <is>
          <t>mont rab.</t>
        </is>
      </c>
      <c r="D102" s="23" t="inlineStr">
        <is>
          <t>монтажная работа</t>
        </is>
      </c>
      <c r="E102" s="24" t="inlineStr">
        <is>
          <t>Сборка и монтаж щита</t>
        </is>
      </c>
      <c r="F102" s="23" t="n">
        <v>1</v>
      </c>
      <c r="G102" s="23" t="inlineStr">
        <is>
          <t>компл.</t>
        </is>
      </c>
      <c r="H102" s="23" t="inlineStr">
        <is>
          <t>mont rab.</t>
        </is>
      </c>
      <c r="I102" s="25" t="n"/>
      <c r="J102" s="26" t="n"/>
      <c r="K102" s="27" t="inlineStr"/>
    </row>
    <row r="103" ht="18" customHeight="1">
      <c r="A103" s="3" t="n">
        <v>101</v>
      </c>
      <c r="B103" s="3" t="inlineStr">
        <is>
          <t>ЩС-К2</t>
        </is>
      </c>
      <c r="C103" s="3" t="inlineStr"/>
      <c r="D103" s="3" t="inlineStr"/>
      <c r="E103" s="4" t="inlineStr">
        <is>
          <t>ЩС-К2 (комплект)</t>
        </is>
      </c>
      <c r="F103" s="3" t="n">
        <v>1</v>
      </c>
      <c r="G103" s="3" t="inlineStr">
        <is>
          <t>компл.</t>
        </is>
      </c>
      <c r="H103" s="3" t="inlineStr">
        <is>
          <t>TEKSAN</t>
        </is>
      </c>
      <c r="I103" s="5" t="n"/>
      <c r="J103" s="5" t="n"/>
      <c r="K103" s="6" t="inlineStr"/>
    </row>
    <row r="104" ht="18" customHeight="1">
      <c r="A104" s="23" t="n">
        <v>102</v>
      </c>
      <c r="B104" s="23" t="inlineStr">
        <is>
          <t>ЩС-К2</t>
        </is>
      </c>
      <c r="C104" s="23" t="inlineStr">
        <is>
          <t>korpus</t>
        </is>
      </c>
      <c r="D104" s="23" t="inlineStr">
        <is>
          <t>ABB/TEKSAN-18M</t>
        </is>
      </c>
      <c r="E104" s="24" t="inlineStr">
        <is>
          <t>Щит навесной/модульный 18 мод., IP40</t>
        </is>
      </c>
      <c r="F104" s="23" t="n">
        <v>1</v>
      </c>
      <c r="G104" s="23" t="inlineStr">
        <is>
          <t>шт.</t>
        </is>
      </c>
      <c r="H104" s="23" t="inlineStr">
        <is>
          <t>Teksan m</t>
        </is>
      </c>
      <c r="I104" s="25" t="n"/>
      <c r="J104" s="26" t="n"/>
      <c r="K104" s="27" t="inlineStr"/>
    </row>
    <row r="105" ht="18" customHeight="1">
      <c r="A105" s="23" t="n">
        <v>103</v>
      </c>
      <c r="B105" s="23" t="inlineStr">
        <is>
          <t>ЩС-К2</t>
        </is>
      </c>
      <c r="C105" s="23" t="inlineStr">
        <is>
          <t>oto</t>
        </is>
      </c>
      <c r="D105" s="23" t="inlineStr">
        <is>
          <t>2CDS213001R0324</t>
        </is>
      </c>
      <c r="E105" s="24" t="inlineStr">
        <is>
          <t>SH203-C32, 3P, C32A, 4.5kA</t>
        </is>
      </c>
      <c r="F105" s="23" t="n">
        <v>1</v>
      </c>
      <c r="G105" s="23" t="inlineStr">
        <is>
          <t>шт.</t>
        </is>
      </c>
      <c r="H105" s="23" t="inlineStr">
        <is>
          <t>ABB</t>
        </is>
      </c>
      <c r="I105" s="28" t="n">
        <v>45.54</v>
      </c>
      <c r="J105" s="29">
        <f>I104*F104</f>
        <v/>
      </c>
      <c r="K105" s="27" t="inlineStr"/>
    </row>
    <row r="106" ht="18" customHeight="1">
      <c r="A106" s="23" t="n">
        <v>104</v>
      </c>
      <c r="B106" s="23" t="inlineStr">
        <is>
          <t>ЩС-К2</t>
        </is>
      </c>
      <c r="C106" s="23" t="inlineStr">
        <is>
          <t>oto</t>
        </is>
      </c>
      <c r="D106" s="23" t="inlineStr">
        <is>
          <t>2CDS213001R0254</t>
        </is>
      </c>
      <c r="E106" s="24" t="inlineStr">
        <is>
          <t>SH203-C25, 3P, C25A, 4.5kA</t>
        </is>
      </c>
      <c r="F106" s="23" t="n">
        <v>3</v>
      </c>
      <c r="G106" s="23" t="inlineStr">
        <is>
          <t>шт.</t>
        </is>
      </c>
      <c r="H106" s="23" t="inlineStr">
        <is>
          <t>ABB</t>
        </is>
      </c>
      <c r="I106" s="28" t="n">
        <v>36.42</v>
      </c>
      <c r="J106" s="29">
        <f>I105*F105</f>
        <v/>
      </c>
      <c r="K106" s="27" t="inlineStr"/>
    </row>
    <row r="107" ht="18" customHeight="1">
      <c r="A107" s="23" t="n">
        <v>105</v>
      </c>
      <c r="B107" s="23" t="inlineStr">
        <is>
          <t>ЩС-К2</t>
        </is>
      </c>
      <c r="C107" s="23" t="inlineStr">
        <is>
          <t>oto</t>
        </is>
      </c>
      <c r="D107" s="23" t="inlineStr">
        <is>
          <t>2CDS211001R0164</t>
        </is>
      </c>
      <c r="E107" s="24" t="inlineStr">
        <is>
          <t>SH201-C16, 1P, C16A, 4.5kA</t>
        </is>
      </c>
      <c r="F107" s="23" t="n">
        <v>3</v>
      </c>
      <c r="G107" s="23" t="inlineStr">
        <is>
          <t>шт.</t>
        </is>
      </c>
      <c r="H107" s="23" t="inlineStr">
        <is>
          <t>ABB</t>
        </is>
      </c>
      <c r="I107" s="28" t="n">
        <v>8.09</v>
      </c>
      <c r="J107" s="29">
        <f>I106*F106</f>
        <v/>
      </c>
      <c r="K107" s="27" t="inlineStr"/>
    </row>
    <row r="108" ht="18" customHeight="1">
      <c r="A108" s="23" t="n">
        <v>106</v>
      </c>
      <c r="B108" s="23" t="inlineStr">
        <is>
          <t>ЩС-К2</t>
        </is>
      </c>
      <c r="C108" s="23" t="inlineStr">
        <is>
          <t>PH/shunt</t>
        </is>
      </c>
      <c r="D108" s="23" t="inlineStr">
        <is>
          <t>2CDS200982R0002</t>
        </is>
      </c>
      <c r="E108" s="24" t="inlineStr">
        <is>
          <t>S3C-A2 shunt trip, AC 110–415V</t>
        </is>
      </c>
      <c r="F108" s="23" t="n">
        <v>1</v>
      </c>
      <c r="G108" s="23" t="inlineStr">
        <is>
          <t>шт.</t>
        </is>
      </c>
      <c r="H108" s="23" t="inlineStr">
        <is>
          <t>ABB</t>
        </is>
      </c>
      <c r="I108" s="28" t="n">
        <v>130.6</v>
      </c>
      <c r="J108" s="29">
        <f>I107*F107</f>
        <v/>
      </c>
      <c r="K108" s="27" t="inlineStr"/>
    </row>
    <row r="109" ht="18" customHeight="1">
      <c r="A109" s="23" t="n">
        <v>107</v>
      </c>
      <c r="B109" s="23" t="inlineStr">
        <is>
          <t>ЩС-К2</t>
        </is>
      </c>
      <c r="C109" s="23" t="inlineStr">
        <is>
          <t>klemens</t>
        </is>
      </c>
      <c r="D109" s="23" t="inlineStr">
        <is>
          <t>ABB-SNK-XT12</t>
        </is>
      </c>
      <c r="E109" s="24" t="inlineStr">
        <is>
          <t>ABB Entrelec/SNK terminal set XT12</t>
        </is>
      </c>
      <c r="F109" s="23" t="n">
        <v>1</v>
      </c>
      <c r="G109" s="23" t="inlineStr">
        <is>
          <t>компл.</t>
        </is>
      </c>
      <c r="H109" s="23" t="inlineStr">
        <is>
          <t>ABB</t>
        </is>
      </c>
      <c r="I109" s="25" t="n"/>
      <c r="J109" s="26" t="n"/>
      <c r="K109" s="27" t="inlineStr"/>
    </row>
    <row r="110" ht="18" customHeight="1">
      <c r="A110" s="23" t="n">
        <v>108</v>
      </c>
      <c r="B110" s="23" t="inlineStr">
        <is>
          <t>ЩС-К2</t>
        </is>
      </c>
      <c r="C110" s="23" t="inlineStr">
        <is>
          <t>shina N</t>
        </is>
      </c>
      <c r="D110" s="23" t="inlineStr">
        <is>
          <t>N-шина</t>
        </is>
      </c>
      <c r="E110" s="24" t="inlineStr">
        <is>
          <t>Шина N на DIN-изоляторе</t>
        </is>
      </c>
      <c r="F110" s="23" t="n">
        <v>1</v>
      </c>
      <c r="G110" s="23" t="inlineStr">
        <is>
          <t>шт.</t>
        </is>
      </c>
      <c r="H110" s="23" t="inlineStr">
        <is>
          <t>ABB/TEKSAN</t>
        </is>
      </c>
      <c r="I110" s="25" t="n"/>
      <c r="J110" s="26" t="n"/>
      <c r="K110" s="27" t="inlineStr"/>
    </row>
    <row r="111" ht="18" customHeight="1">
      <c r="A111" s="23" t="n">
        <v>109</v>
      </c>
      <c r="B111" s="23" t="inlineStr">
        <is>
          <t>ЩС-К2</t>
        </is>
      </c>
      <c r="C111" s="23" t="inlineStr">
        <is>
          <t>shina PE</t>
        </is>
      </c>
      <c r="D111" s="23" t="inlineStr">
        <is>
          <t>PE-шина</t>
        </is>
      </c>
      <c r="E111" s="24" t="inlineStr">
        <is>
          <t>Шина PE на DIN-изоляторе</t>
        </is>
      </c>
      <c r="F111" s="23" t="n">
        <v>1</v>
      </c>
      <c r="G111" s="23" t="inlineStr">
        <is>
          <t>шт.</t>
        </is>
      </c>
      <c r="H111" s="23" t="inlineStr">
        <is>
          <t>ABB/TEKSAN</t>
        </is>
      </c>
      <c r="I111" s="25" t="n"/>
      <c r="J111" s="26" t="n"/>
      <c r="K111" s="27" t="inlineStr"/>
    </row>
    <row r="112" ht="18" customHeight="1">
      <c r="A112" s="23" t="n">
        <v>110</v>
      </c>
      <c r="B112" s="23" t="inlineStr">
        <is>
          <t>ЩС-К2</t>
        </is>
      </c>
      <c r="C112" s="23" t="inlineStr">
        <is>
          <t>mont. matryl</t>
        </is>
      </c>
      <c r="D112" s="23" t="inlineStr">
        <is>
          <t>монтажный материал</t>
        </is>
      </c>
      <c r="E112" s="24" t="inlineStr">
        <is>
          <t>DIN, kanal, uç, etiket, köprüleme</t>
        </is>
      </c>
      <c r="F112" s="23" t="n">
        <v>1</v>
      </c>
      <c r="G112" s="23" t="inlineStr">
        <is>
          <t>компл.</t>
        </is>
      </c>
      <c r="H112" s="23" t="inlineStr">
        <is>
          <t>mont. matryl</t>
        </is>
      </c>
      <c r="I112" s="25" t="n"/>
      <c r="J112" s="26" t="n"/>
      <c r="K112" s="27" t="inlineStr"/>
    </row>
    <row r="113" ht="20" customHeight="1">
      <c r="A113" s="23" t="n">
        <v>111</v>
      </c>
      <c r="B113" s="23" t="inlineStr">
        <is>
          <t>ЩС-К2</t>
        </is>
      </c>
      <c r="C113" s="23" t="inlineStr">
        <is>
          <t>mont rab.</t>
        </is>
      </c>
      <c r="D113" s="23" t="inlineStr">
        <is>
          <t>монтажная работа</t>
        </is>
      </c>
      <c r="E113" s="24" t="inlineStr">
        <is>
          <t>Сборка и монтаж щита</t>
        </is>
      </c>
      <c r="F113" s="23" t="n">
        <v>1</v>
      </c>
      <c r="G113" s="23" t="inlineStr">
        <is>
          <t>компл.</t>
        </is>
      </c>
      <c r="H113" s="23" t="inlineStr">
        <is>
          <t>mont rab.</t>
        </is>
      </c>
      <c r="I113" s="25" t="n"/>
      <c r="J113" s="26" t="n"/>
      <c r="K113" s="27" t="inlineStr"/>
    </row>
    <row r="114" ht="18" customHeight="1">
      <c r="A114" s="3" t="n">
        <v>112</v>
      </c>
      <c r="B114" s="3" t="inlineStr">
        <is>
          <t>ЩС-Пт</t>
        </is>
      </c>
      <c r="C114" s="3" t="inlineStr"/>
      <c r="D114" s="3" t="inlineStr"/>
      <c r="E114" s="4" t="inlineStr">
        <is>
          <t>ЩС-Пт (комплект)</t>
        </is>
      </c>
      <c r="F114" s="3" t="n">
        <v>1</v>
      </c>
      <c r="G114" s="3" t="inlineStr">
        <is>
          <t>компл.</t>
        </is>
      </c>
      <c r="H114" s="3" t="inlineStr">
        <is>
          <t>TEKSAN</t>
        </is>
      </c>
      <c r="I114" s="5" t="n"/>
      <c r="J114" s="5" t="n"/>
      <c r="K114" s="6" t="inlineStr"/>
    </row>
    <row r="115" ht="18" customHeight="1">
      <c r="A115" s="15" t="n">
        <v>113</v>
      </c>
      <c r="B115" s="15" t="inlineStr">
        <is>
          <t>ЩС-Пт</t>
        </is>
      </c>
      <c r="C115" s="15" t="inlineStr">
        <is>
          <t>korpus</t>
        </is>
      </c>
      <c r="D115" s="15" t="inlineStr">
        <is>
          <t>ABB/TEKSAN-24M</t>
        </is>
      </c>
      <c r="E115" s="16" t="inlineStr">
        <is>
          <t>Щит навесной/модульный 24 мод., IP40</t>
        </is>
      </c>
      <c r="F115" s="15" t="n">
        <v>1</v>
      </c>
      <c r="G115" s="15" t="inlineStr">
        <is>
          <t>шт.</t>
        </is>
      </c>
      <c r="H115" s="15" t="inlineStr">
        <is>
          <t>Teksan m</t>
        </is>
      </c>
      <c r="I115" s="17" t="n"/>
      <c r="J115" s="18" t="n"/>
      <c r="K115" s="19" t="inlineStr"/>
    </row>
    <row r="116" ht="18" customHeight="1">
      <c r="A116" s="15" t="n">
        <v>114</v>
      </c>
      <c r="B116" s="15" t="inlineStr">
        <is>
          <t>ЩС-Пт</t>
        </is>
      </c>
      <c r="C116" s="15" t="inlineStr">
        <is>
          <t>rub</t>
        </is>
      </c>
      <c r="D116" s="15" t="inlineStr">
        <is>
          <t>1SCA105004R1001</t>
        </is>
      </c>
      <c r="E116" s="16" t="inlineStr">
        <is>
          <t>OT100F3 switch-disconnector, 3P, 100A</t>
        </is>
      </c>
      <c r="F116" s="15" t="n">
        <v>1</v>
      </c>
      <c r="G116" s="15" t="inlineStr">
        <is>
          <t>шт.</t>
        </is>
      </c>
      <c r="H116" s="15" t="inlineStr">
        <is>
          <t>ABB</t>
        </is>
      </c>
      <c r="I116" s="21" t="n">
        <v>100.1</v>
      </c>
      <c r="J116" s="22">
        <f>I115*F115</f>
        <v/>
      </c>
      <c r="K116" s="19" t="inlineStr"/>
    </row>
    <row r="117" ht="18" customHeight="1">
      <c r="A117" s="15" t="n">
        <v>115</v>
      </c>
      <c r="B117" s="15" t="inlineStr">
        <is>
          <t>ЩС-Пт</t>
        </is>
      </c>
      <c r="C117" s="15" t="inlineStr">
        <is>
          <t>oto</t>
        </is>
      </c>
      <c r="D117" s="15" t="inlineStr">
        <is>
          <t>2CDS253001R0804</t>
        </is>
      </c>
      <c r="E117" s="16" t="inlineStr">
        <is>
          <t>S203-C80, 3P, C80A, 6kA</t>
        </is>
      </c>
      <c r="F117" s="15" t="n">
        <v>1</v>
      </c>
      <c r="G117" s="15" t="inlineStr">
        <is>
          <t>шт.</t>
        </is>
      </c>
      <c r="H117" s="15" t="inlineStr">
        <is>
          <t>ABB</t>
        </is>
      </c>
      <c r="I117" s="21" t="n">
        <v>193.8</v>
      </c>
      <c r="J117" s="22">
        <f>I116*F116</f>
        <v/>
      </c>
      <c r="K117" s="19" t="inlineStr"/>
    </row>
    <row r="118" ht="18" customHeight="1">
      <c r="A118" s="15" t="n">
        <v>116</v>
      </c>
      <c r="B118" s="15" t="inlineStr">
        <is>
          <t>ЩС-Пт</t>
        </is>
      </c>
      <c r="C118" s="15" t="inlineStr">
        <is>
          <t>dif</t>
        </is>
      </c>
      <c r="D118" s="15" t="inlineStr">
        <is>
          <t>2CSR255080R1164</t>
        </is>
      </c>
      <c r="E118" s="16" t="inlineStr">
        <is>
          <t>DS201 C16 AC30, 1P+N/2P, C16A, 30mA</t>
        </is>
      </c>
      <c r="F118" s="15" t="n">
        <v>1</v>
      </c>
      <c r="G118" s="15" t="inlineStr">
        <is>
          <t>шт.</t>
        </is>
      </c>
      <c r="H118" s="15" t="inlineStr">
        <is>
          <t>ABB</t>
        </is>
      </c>
      <c r="I118" s="21" t="n">
        <v>87.63</v>
      </c>
      <c r="J118" s="22">
        <f>I117*F117</f>
        <v/>
      </c>
      <c r="K118" s="19" t="inlineStr"/>
    </row>
    <row r="119" ht="18" customHeight="1">
      <c r="A119" s="15" t="n">
        <v>117</v>
      </c>
      <c r="B119" s="15" t="inlineStr">
        <is>
          <t>ЩС-Пт</t>
        </is>
      </c>
      <c r="C119" s="15" t="inlineStr">
        <is>
          <t>oto</t>
        </is>
      </c>
      <c r="D119" s="15" t="inlineStr">
        <is>
          <t>2CDS211001R0164</t>
        </is>
      </c>
      <c r="E119" s="16" t="inlineStr">
        <is>
          <t>SH201-C16, 1P, C16A, 4.5kA</t>
        </is>
      </c>
      <c r="F119" s="15" t="n">
        <v>2</v>
      </c>
      <c r="G119" s="15" t="inlineStr">
        <is>
          <t>шт.</t>
        </is>
      </c>
      <c r="H119" s="15" t="inlineStr">
        <is>
          <t>ABB</t>
        </is>
      </c>
      <c r="I119" s="21" t="n">
        <v>8.09</v>
      </c>
      <c r="J119" s="22">
        <f>I118*F118</f>
        <v/>
      </c>
      <c r="K119" s="19" t="inlineStr"/>
    </row>
    <row r="120" ht="18" customHeight="1">
      <c r="A120" s="15" t="n">
        <v>118</v>
      </c>
      <c r="B120" s="15" t="inlineStr">
        <is>
          <t>ЩС-Пт</t>
        </is>
      </c>
      <c r="C120" s="15" t="inlineStr">
        <is>
          <t>shina N</t>
        </is>
      </c>
      <c r="D120" s="15" t="inlineStr">
        <is>
          <t>N-шина</t>
        </is>
      </c>
      <c r="E120" s="16" t="inlineStr">
        <is>
          <t>Шина N на DIN-изоляторе</t>
        </is>
      </c>
      <c r="F120" s="15" t="n">
        <v>1</v>
      </c>
      <c r="G120" s="15" t="inlineStr">
        <is>
          <t>шт.</t>
        </is>
      </c>
      <c r="H120" s="15" t="inlineStr">
        <is>
          <t>ABB/TEKSAN</t>
        </is>
      </c>
      <c r="I120" s="17" t="n"/>
      <c r="J120" s="18" t="n"/>
      <c r="K120" s="19" t="inlineStr"/>
    </row>
    <row r="121" ht="18" customHeight="1">
      <c r="A121" s="15" t="n">
        <v>119</v>
      </c>
      <c r="B121" s="15" t="inlineStr">
        <is>
          <t>ЩС-Пт</t>
        </is>
      </c>
      <c r="C121" s="15" t="inlineStr">
        <is>
          <t>shina PE</t>
        </is>
      </c>
      <c r="D121" s="15" t="inlineStr">
        <is>
          <t>PE-шина</t>
        </is>
      </c>
      <c r="E121" s="16" t="inlineStr">
        <is>
          <t>Шина PE на DIN-изоляторе</t>
        </is>
      </c>
      <c r="F121" s="15" t="n">
        <v>1</v>
      </c>
      <c r="G121" s="15" t="inlineStr">
        <is>
          <t>шт.</t>
        </is>
      </c>
      <c r="H121" s="15" t="inlineStr">
        <is>
          <t>ABB/TEKSAN</t>
        </is>
      </c>
      <c r="I121" s="17" t="n"/>
      <c r="J121" s="18" t="n"/>
      <c r="K121" s="19" t="inlineStr"/>
    </row>
    <row r="122" ht="18" customHeight="1">
      <c r="A122" s="15" t="n">
        <v>120</v>
      </c>
      <c r="B122" s="15" t="inlineStr">
        <is>
          <t>ЩС-Пт</t>
        </is>
      </c>
      <c r="C122" s="15" t="inlineStr">
        <is>
          <t>mont. matryl</t>
        </is>
      </c>
      <c r="D122" s="15" t="inlineStr">
        <is>
          <t>монтажный материал</t>
        </is>
      </c>
      <c r="E122" s="16" t="inlineStr">
        <is>
          <t>DIN, kanal, uç, etiket, köprüleme</t>
        </is>
      </c>
      <c r="F122" s="15" t="n">
        <v>1</v>
      </c>
      <c r="G122" s="15" t="inlineStr">
        <is>
          <t>компл.</t>
        </is>
      </c>
      <c r="H122" s="15" t="inlineStr">
        <is>
          <t>mont. matryl</t>
        </is>
      </c>
      <c r="I122" s="17" t="n"/>
      <c r="J122" s="18" t="n"/>
      <c r="K122" s="19" t="inlineStr"/>
    </row>
    <row r="123" ht="20" customHeight="1">
      <c r="A123" s="15" t="n">
        <v>121</v>
      </c>
      <c r="B123" s="15" t="inlineStr">
        <is>
          <t>ЩС-Пт</t>
        </is>
      </c>
      <c r="C123" s="15" t="inlineStr">
        <is>
          <t>mont rab.</t>
        </is>
      </c>
      <c r="D123" s="15" t="inlineStr">
        <is>
          <t>монтажная работа</t>
        </is>
      </c>
      <c r="E123" s="16" t="inlineStr">
        <is>
          <t>Сборка и монтаж щита</t>
        </is>
      </c>
      <c r="F123" s="15" t="n">
        <v>1</v>
      </c>
      <c r="G123" s="15" t="inlineStr">
        <is>
          <t>компл.</t>
        </is>
      </c>
      <c r="H123" s="15" t="inlineStr">
        <is>
          <t>mont rab.</t>
        </is>
      </c>
      <c r="I123" s="17" t="n"/>
      <c r="J123" s="18" t="n"/>
      <c r="K123" s="19" t="inlineStr"/>
    </row>
    <row r="124" ht="18" customHeight="1">
      <c r="A124" s="3" t="n">
        <v>122</v>
      </c>
      <c r="B124" s="3" t="inlineStr">
        <is>
          <t>ЩС-Н</t>
        </is>
      </c>
      <c r="C124" s="3" t="inlineStr"/>
      <c r="D124" s="3" t="inlineStr"/>
      <c r="E124" s="4" t="inlineStr">
        <is>
          <t>ЩС-Н (комплект)</t>
        </is>
      </c>
      <c r="F124" s="3" t="n">
        <v>1</v>
      </c>
      <c r="G124" s="3" t="inlineStr">
        <is>
          <t>компл.</t>
        </is>
      </c>
      <c r="H124" s="3" t="inlineStr">
        <is>
          <t>TEKSAN</t>
        </is>
      </c>
      <c r="I124" s="5" t="n"/>
      <c r="J124" s="5" t="n"/>
      <c r="K124" s="6" t="inlineStr"/>
    </row>
    <row r="125" ht="18" customHeight="1">
      <c r="A125" s="7" t="n">
        <v>123</v>
      </c>
      <c r="B125" s="7" t="inlineStr">
        <is>
          <t>ЩС-Н</t>
        </is>
      </c>
      <c r="C125" s="7" t="inlineStr">
        <is>
          <t>korpus</t>
        </is>
      </c>
      <c r="D125" s="7" t="inlineStr">
        <is>
          <t>ABB/TEKSAN-12M</t>
        </is>
      </c>
      <c r="E125" s="8" t="inlineStr">
        <is>
          <t>Щит навесной/модульный 12 мод., IP40</t>
        </is>
      </c>
      <c r="F125" s="7" t="n">
        <v>1</v>
      </c>
      <c r="G125" s="7" t="inlineStr">
        <is>
          <t>шт.</t>
        </is>
      </c>
      <c r="H125" s="7" t="inlineStr">
        <is>
          <t>Teksan m</t>
        </is>
      </c>
      <c r="I125" s="9" t="n"/>
      <c r="J125" s="10" t="n"/>
      <c r="K125" s="11" t="inlineStr"/>
    </row>
    <row r="126" ht="18" customHeight="1">
      <c r="A126" s="7" t="n">
        <v>124</v>
      </c>
      <c r="B126" s="7" t="inlineStr">
        <is>
          <t>ЩС-Н</t>
        </is>
      </c>
      <c r="C126" s="7" t="inlineStr">
        <is>
          <t>rub</t>
        </is>
      </c>
      <c r="D126" s="7" t="inlineStr">
        <is>
          <t>2CDD283101R0025</t>
        </is>
      </c>
      <c r="E126" s="8" t="inlineStr">
        <is>
          <t>SD203/25 switch-disconnector, 3P, 25A</t>
        </is>
      </c>
      <c r="F126" s="7" t="n">
        <v>1</v>
      </c>
      <c r="G126" s="7" t="inlineStr">
        <is>
          <t>шт.</t>
        </is>
      </c>
      <c r="H126" s="7" t="inlineStr">
        <is>
          <t>ABB</t>
        </is>
      </c>
      <c r="I126" s="12" t="n">
        <v>64.93000000000001</v>
      </c>
      <c r="J126" s="13">
        <f>I125*F125</f>
        <v/>
      </c>
      <c r="K126" s="11" t="inlineStr"/>
    </row>
    <row r="127" ht="18" customHeight="1">
      <c r="A127" s="7" t="n">
        <v>125</v>
      </c>
      <c r="B127" s="7" t="inlineStr">
        <is>
          <t>ЩС-Н</t>
        </is>
      </c>
      <c r="C127" s="7" t="inlineStr">
        <is>
          <t>oto</t>
        </is>
      </c>
      <c r="D127" s="7" t="inlineStr">
        <is>
          <t>2CDS213001R0164</t>
        </is>
      </c>
      <c r="E127" s="8" t="inlineStr">
        <is>
          <t>SH203-C16, 3P, C16A, 4.5kA</t>
        </is>
      </c>
      <c r="F127" s="7" t="n">
        <v>1</v>
      </c>
      <c r="G127" s="7" t="inlineStr">
        <is>
          <t>шт.</t>
        </is>
      </c>
      <c r="H127" s="7" t="inlineStr">
        <is>
          <t>ABB</t>
        </is>
      </c>
      <c r="I127" s="12" t="n">
        <v>36.42</v>
      </c>
      <c r="J127" s="13">
        <f>I126*F126</f>
        <v/>
      </c>
      <c r="K127" s="11" t="inlineStr"/>
    </row>
    <row r="128" ht="18" customHeight="1">
      <c r="A128" s="7" t="n">
        <v>126</v>
      </c>
      <c r="B128" s="7" t="inlineStr">
        <is>
          <t>ЩС-Н</t>
        </is>
      </c>
      <c r="C128" s="7" t="inlineStr">
        <is>
          <t>oto</t>
        </is>
      </c>
      <c r="D128" s="7" t="inlineStr">
        <is>
          <t>2CDS211001R0164</t>
        </is>
      </c>
      <c r="E128" s="8" t="inlineStr">
        <is>
          <t>SH201-C16, 1P, C16A, 4.5kA</t>
        </is>
      </c>
      <c r="F128" s="7" t="n">
        <v>1</v>
      </c>
      <c r="G128" s="7" t="inlineStr">
        <is>
          <t>шт.</t>
        </is>
      </c>
      <c r="H128" s="7" t="inlineStr">
        <is>
          <t>ABB</t>
        </is>
      </c>
      <c r="I128" s="12" t="n">
        <v>8.09</v>
      </c>
      <c r="J128" s="13">
        <f>I127*F127</f>
        <v/>
      </c>
      <c r="K128" s="11" t="inlineStr"/>
    </row>
    <row r="129" ht="18" customHeight="1">
      <c r="A129" s="7" t="n">
        <v>127</v>
      </c>
      <c r="B129" s="7" t="inlineStr">
        <is>
          <t>ЩС-Н</t>
        </is>
      </c>
      <c r="C129" s="7" t="inlineStr">
        <is>
          <t>shina N</t>
        </is>
      </c>
      <c r="D129" s="7" t="inlineStr">
        <is>
          <t>N-шина</t>
        </is>
      </c>
      <c r="E129" s="8" t="inlineStr">
        <is>
          <t>Шина N на DIN-изоляторе</t>
        </is>
      </c>
      <c r="F129" s="7" t="n">
        <v>1</v>
      </c>
      <c r="G129" s="7" t="inlineStr">
        <is>
          <t>шт.</t>
        </is>
      </c>
      <c r="H129" s="7" t="inlineStr">
        <is>
          <t>ABB/TEKSAN</t>
        </is>
      </c>
      <c r="I129" s="9" t="n"/>
      <c r="J129" s="10" t="n"/>
      <c r="K129" s="11" t="inlineStr"/>
    </row>
    <row r="130" ht="18" customHeight="1">
      <c r="A130" s="7" t="n">
        <v>128</v>
      </c>
      <c r="B130" s="7" t="inlineStr">
        <is>
          <t>ЩС-Н</t>
        </is>
      </c>
      <c r="C130" s="7" t="inlineStr">
        <is>
          <t>shina PE</t>
        </is>
      </c>
      <c r="D130" s="7" t="inlineStr">
        <is>
          <t>PE-шина</t>
        </is>
      </c>
      <c r="E130" s="8" t="inlineStr">
        <is>
          <t>Шина PE на DIN-изоляторе</t>
        </is>
      </c>
      <c r="F130" s="7" t="n">
        <v>1</v>
      </c>
      <c r="G130" s="7" t="inlineStr">
        <is>
          <t>шт.</t>
        </is>
      </c>
      <c r="H130" s="7" t="inlineStr">
        <is>
          <t>ABB/TEKSAN</t>
        </is>
      </c>
      <c r="I130" s="9" t="n"/>
      <c r="J130" s="10" t="n"/>
      <c r="K130" s="11" t="inlineStr"/>
    </row>
    <row r="131" ht="18" customHeight="1">
      <c r="A131" s="7" t="n">
        <v>129</v>
      </c>
      <c r="B131" s="7" t="inlineStr">
        <is>
          <t>ЩС-Н</t>
        </is>
      </c>
      <c r="C131" s="7" t="inlineStr">
        <is>
          <t>mont. matryl</t>
        </is>
      </c>
      <c r="D131" s="7" t="inlineStr">
        <is>
          <t>монтажный материал</t>
        </is>
      </c>
      <c r="E131" s="8" t="inlineStr">
        <is>
          <t>DIN, kanal, uç, etiket, köprüleme</t>
        </is>
      </c>
      <c r="F131" s="7" t="n">
        <v>1</v>
      </c>
      <c r="G131" s="7" t="inlineStr">
        <is>
          <t>компл.</t>
        </is>
      </c>
      <c r="H131" s="7" t="inlineStr">
        <is>
          <t>mont. matryl</t>
        </is>
      </c>
      <c r="I131" s="9" t="n"/>
      <c r="J131" s="10" t="n"/>
      <c r="K131" s="11" t="inlineStr"/>
    </row>
    <row r="132" ht="20" customHeight="1">
      <c r="A132" s="7" t="n">
        <v>130</v>
      </c>
      <c r="B132" s="7" t="inlineStr">
        <is>
          <t>ЩС-Н</t>
        </is>
      </c>
      <c r="C132" s="7" t="inlineStr">
        <is>
          <t>mont rab.</t>
        </is>
      </c>
      <c r="D132" s="7" t="inlineStr">
        <is>
          <t>монтажная работа</t>
        </is>
      </c>
      <c r="E132" s="8" t="inlineStr">
        <is>
          <t>Сборка и монтаж щита</t>
        </is>
      </c>
      <c r="F132" s="7" t="n">
        <v>1</v>
      </c>
      <c r="G132" s="7" t="inlineStr">
        <is>
          <t>компл.</t>
        </is>
      </c>
      <c r="H132" s="7" t="inlineStr">
        <is>
          <t>mont rab.</t>
        </is>
      </c>
      <c r="I132" s="9" t="n"/>
      <c r="J132" s="10" t="n"/>
      <c r="K132" s="11" t="inlineStr"/>
    </row>
    <row r="133" ht="18" customHeight="1">
      <c r="A133" s="3" t="n">
        <v>131</v>
      </c>
      <c r="B133" s="3" t="inlineStr">
        <is>
          <t>ЩСн-1</t>
        </is>
      </c>
      <c r="C133" s="3" t="inlineStr"/>
      <c r="D133" s="3" t="inlineStr"/>
      <c r="E133" s="4" t="inlineStr">
        <is>
          <t>ЩСн-1 (комплект)</t>
        </is>
      </c>
      <c r="F133" s="3" t="n">
        <v>1</v>
      </c>
      <c r="G133" s="3" t="inlineStr">
        <is>
          <t>компл.</t>
        </is>
      </c>
      <c r="H133" s="3" t="inlineStr">
        <is>
          <t>TEKSAN</t>
        </is>
      </c>
      <c r="I133" s="5" t="n"/>
      <c r="J133" s="5" t="n"/>
      <c r="K133" s="6" t="inlineStr"/>
    </row>
    <row r="134" ht="18" customHeight="1">
      <c r="A134" s="30" t="n">
        <v>132</v>
      </c>
      <c r="B134" s="30" t="inlineStr">
        <is>
          <t>ЩСн-1</t>
        </is>
      </c>
      <c r="C134" s="30" t="inlineStr">
        <is>
          <t>korpus</t>
        </is>
      </c>
      <c r="D134" s="30" t="inlineStr">
        <is>
          <t>ABB/TEKSAN-12M</t>
        </is>
      </c>
      <c r="E134" s="31" t="inlineStr">
        <is>
          <t>Щит навесной/модульный 12 мод., IP40</t>
        </is>
      </c>
      <c r="F134" s="30" t="n">
        <v>1</v>
      </c>
      <c r="G134" s="30" t="inlineStr">
        <is>
          <t>шт.</t>
        </is>
      </c>
      <c r="H134" s="30" t="inlineStr">
        <is>
          <t>Teksan m</t>
        </is>
      </c>
      <c r="I134" s="32" t="n"/>
      <c r="J134" s="33" t="n"/>
      <c r="K134" s="34" t="inlineStr"/>
    </row>
    <row r="135" ht="18" customHeight="1">
      <c r="A135" s="30" t="n">
        <v>133</v>
      </c>
      <c r="B135" s="30" t="inlineStr">
        <is>
          <t>ЩСн-1</t>
        </is>
      </c>
      <c r="C135" s="30" t="inlineStr">
        <is>
          <t>rub</t>
        </is>
      </c>
      <c r="D135" s="30" t="inlineStr">
        <is>
          <t>2CDD283101R0025</t>
        </is>
      </c>
      <c r="E135" s="31" t="inlineStr">
        <is>
          <t>SD203/25 switch-disconnector, 3P, 25A</t>
        </is>
      </c>
      <c r="F135" s="30" t="n">
        <v>1</v>
      </c>
      <c r="G135" s="30" t="inlineStr">
        <is>
          <t>шт.</t>
        </is>
      </c>
      <c r="H135" s="30" t="inlineStr">
        <is>
          <t>ABB</t>
        </is>
      </c>
      <c r="I135" s="35" t="n">
        <v>64.93000000000001</v>
      </c>
      <c r="J135" s="36">
        <f>I134*F134</f>
        <v/>
      </c>
      <c r="K135" s="34" t="inlineStr"/>
    </row>
    <row r="136" ht="18" customHeight="1">
      <c r="A136" s="30" t="n">
        <v>134</v>
      </c>
      <c r="B136" s="30" t="inlineStr">
        <is>
          <t>ЩСн-1</t>
        </is>
      </c>
      <c r="C136" s="30" t="inlineStr">
        <is>
          <t>oto</t>
        </is>
      </c>
      <c r="D136" s="30" t="inlineStr">
        <is>
          <t>2CDS213001R0164</t>
        </is>
      </c>
      <c r="E136" s="31" t="inlineStr">
        <is>
          <t>SH203-C16, 3P, C16A, 4.5kA</t>
        </is>
      </c>
      <c r="F136" s="30" t="n">
        <v>2</v>
      </c>
      <c r="G136" s="30" t="inlineStr">
        <is>
          <t>шт.</t>
        </is>
      </c>
      <c r="H136" s="30" t="inlineStr">
        <is>
          <t>ABB</t>
        </is>
      </c>
      <c r="I136" s="35" t="n">
        <v>36.42</v>
      </c>
      <c r="J136" s="36">
        <f>I135*F135</f>
        <v/>
      </c>
      <c r="K136" s="34" t="inlineStr"/>
    </row>
    <row r="137" ht="18" customHeight="1">
      <c r="A137" s="30" t="n">
        <v>135</v>
      </c>
      <c r="B137" s="30" t="inlineStr">
        <is>
          <t>ЩСн-1</t>
        </is>
      </c>
      <c r="C137" s="30" t="inlineStr">
        <is>
          <t>shina N</t>
        </is>
      </c>
      <c r="D137" s="30" t="inlineStr">
        <is>
          <t>N-шина</t>
        </is>
      </c>
      <c r="E137" s="31" t="inlineStr">
        <is>
          <t>Шина N на DIN-изоляторе</t>
        </is>
      </c>
      <c r="F137" s="30" t="n">
        <v>1</v>
      </c>
      <c r="G137" s="30" t="inlineStr">
        <is>
          <t>шт.</t>
        </is>
      </c>
      <c r="H137" s="30" t="inlineStr">
        <is>
          <t>ABB/TEKSAN</t>
        </is>
      </c>
      <c r="I137" s="32" t="n"/>
      <c r="J137" s="33" t="n"/>
      <c r="K137" s="34" t="inlineStr"/>
    </row>
    <row r="138" ht="18" customHeight="1">
      <c r="A138" s="30" t="n">
        <v>136</v>
      </c>
      <c r="B138" s="30" t="inlineStr">
        <is>
          <t>ЩСн-1</t>
        </is>
      </c>
      <c r="C138" s="30" t="inlineStr">
        <is>
          <t>shina PE</t>
        </is>
      </c>
      <c r="D138" s="30" t="inlineStr">
        <is>
          <t>PE-шина</t>
        </is>
      </c>
      <c r="E138" s="31" t="inlineStr">
        <is>
          <t>Шина PE на DIN-изоляторе</t>
        </is>
      </c>
      <c r="F138" s="30" t="n">
        <v>1</v>
      </c>
      <c r="G138" s="30" t="inlineStr">
        <is>
          <t>шт.</t>
        </is>
      </c>
      <c r="H138" s="30" t="inlineStr">
        <is>
          <t>ABB/TEKSAN</t>
        </is>
      </c>
      <c r="I138" s="32" t="n"/>
      <c r="J138" s="33" t="n"/>
      <c r="K138" s="34" t="inlineStr"/>
    </row>
    <row r="139" ht="18" customHeight="1">
      <c r="A139" s="30" t="n">
        <v>137</v>
      </c>
      <c r="B139" s="30" t="inlineStr">
        <is>
          <t>ЩСн-1</t>
        </is>
      </c>
      <c r="C139" s="30" t="inlineStr">
        <is>
          <t>mont. matryl</t>
        </is>
      </c>
      <c r="D139" s="30" t="inlineStr">
        <is>
          <t>монтажный материал</t>
        </is>
      </c>
      <c r="E139" s="31" t="inlineStr">
        <is>
          <t>DIN, kanal, uç, etiket, köprüleme</t>
        </is>
      </c>
      <c r="F139" s="30" t="n">
        <v>1</v>
      </c>
      <c r="G139" s="30" t="inlineStr">
        <is>
          <t>компл.</t>
        </is>
      </c>
      <c r="H139" s="30" t="inlineStr">
        <is>
          <t>mont. matryl</t>
        </is>
      </c>
      <c r="I139" s="32" t="n"/>
      <c r="J139" s="33" t="n"/>
      <c r="K139" s="34" t="inlineStr"/>
    </row>
    <row r="140">
      <c r="A140" s="30" t="n">
        <v>138</v>
      </c>
      <c r="B140" s="30" t="inlineStr">
        <is>
          <t>ЩСн-1</t>
        </is>
      </c>
      <c r="C140" s="30" t="inlineStr">
        <is>
          <t>mont rab.</t>
        </is>
      </c>
      <c r="D140" s="30" t="inlineStr">
        <is>
          <t>монтажная работа</t>
        </is>
      </c>
      <c r="E140" s="31" t="inlineStr">
        <is>
          <t>Сборка и монтаж щита</t>
        </is>
      </c>
      <c r="F140" s="30" t="n">
        <v>1</v>
      </c>
      <c r="G140" s="30" t="inlineStr">
        <is>
          <t>компл.</t>
        </is>
      </c>
      <c r="H140" s="30" t="inlineStr">
        <is>
          <t>mont rab.</t>
        </is>
      </c>
      <c r="I140" s="32" t="n"/>
      <c r="J140" s="33" t="n"/>
      <c r="K140" s="34" t="inlineStr"/>
    </row>
    <row r="141">
      <c r="A141" s="57" t="inlineStr">
        <is>
          <t>ИТОГО ABB (EUR):</t>
        </is>
      </c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9">
        <f>SUM(J2:J139)</f>
        <v/>
      </c>
      <c r="K141" s="58" t="n"/>
    </row>
  </sheetData>
  <mergeCells count="2">
    <mergeCell ref="A1:K1"/>
    <mergeCell ref="A140:H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2026-04-30T05:38:06Z</dcterms:created>
  <dcterms:modified xmlns:dcterms="http://purl.org/dc/terms/" xmlns:xsi="http://www.w3.org/2001/XMLSchema-instance" xsi:type="dcterms:W3CDTF">2026-04-30T05:38:06Z</dcterms:modified>
</cp:coreProperties>
</file>