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a2bd61b4a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исправленный" sheetId="1" r:id="R0e9735f7f428470c"/>
    <x:sheet xmlns:r="http://schemas.openxmlformats.org/officeDocument/2006/relationships" name="Контроль рисков" sheetId="2" r:id="Rf64d34a1fa8a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4"/>
      <x:color rgb="FF222222"/>
      <x:name val="Arial"/>
    </x:font>
    <x:font>
      <x:b/>
      <x:sz val="14"/>
      <x:color rgb="FF111111"/>
      <x:name val="Arial"/>
    </x:font>
    <x:font>
      <x:b/>
      <x:sz val="14"/>
      <x:color rgb="FF1F4E21"/>
      <x:name val="Arial"/>
    </x:font>
    <x:font>
      <x:b/>
      <x:sz val="14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D966"/>
      </x:patternFill>
    </x:fill>
    <x:fill>
      <x:patternFill patternType="solid">
        <x:fgColor rgb="FFFFE69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</x:fills>
  <x:borders count="6">
    <x:border/>
    <x:border>
      <x:left style="thin">
        <x:color rgb="FF9E7D00"/>
      </x:left>
      <x:right style="thin">
        <x:color rgb="FF9E7D00"/>
      </x:right>
      <x:top style="thin">
        <x:color rgb="FF9E7D00"/>
      </x:top>
      <x:bottom style="thin">
        <x:color rgb="FF9E7D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BF9000"/>
      </x:left>
      <x:right style="medium">
        <x:color rgb="FFBF9000"/>
      </x:right>
      <x:top style="medium">
        <x:color rgb="FFBF9000"/>
      </x:top>
      <x:bottom style="medium">
        <x:color rgb="FFBF9000"/>
      </x:bottom>
    </x:border>
    <x:border>
      <x:left style="medium">
        <x:color rgb="FF70AD47"/>
      </x:left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left style="thin">
        <x:color rgb="FF7F0000"/>
      </x:left>
      <x:right style="thin">
        <x:color rgb="FF7F0000"/>
      </x:right>
      <x:top style="thin">
        <x:color rgb="FF7F0000"/>
      </x:top>
      <x:bottom style="thin">
        <x:color rgb="FF7F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 wrapText="1"/>
    </x:xf>
    <x:xf numFmtId="200" fontId="3" fillId="4" borderId="2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 wrapText="1"/>
    </x:xf>
    <x:xf numFmtId="200" fontId="3" fillId="4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5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1dbc4642547b3" /><Relationship Type="http://schemas.openxmlformats.org/officeDocument/2006/relationships/theme" Target="/xl/theme/theme1.xml" Id="R1c4027f386bd40a7" /><Relationship Type="http://schemas.openxmlformats.org/officeDocument/2006/relationships/sharedStrings" Target="/xl/sharedStrings.xml" Id="R447910ebe8854089" /><Relationship Type="http://schemas.openxmlformats.org/officeDocument/2006/relationships/worksheet" Target="/xl/worksheets/sheet1.xml" Id="R0e9735f7f428470c" /><Relationship Type="http://schemas.openxmlformats.org/officeDocument/2006/relationships/worksheet" Target="/xl/worksheets/sheet2.xml" Id="Rf64d34a1fa8a4b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72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22" hidden="0" customWidth="1"/>
    <x:col min="11" max="11" width="58" hidden="0" customWidth="1"/>
  </x:cols>
  <x:sheetData>
    <x:row r="1" ht="38" customHeight="1">
      <x:c r="A1" s="7" t="str">
        <x:v>Наименование</x:v>
      </x:c>
      <x:c r="B1" s="7" t="str">
        <x:v>Категория</x:v>
      </x:c>
      <x:c r="C1" s="7" t="str">
        <x:v>Артикул</x:v>
      </x:c>
      <x:c r="D1" s="7" t="str">
        <x:v>Номенклатура</x:v>
      </x:c>
      <x:c r="E1" s="7" t="str">
        <x:v>Цена лист, тг</x:v>
      </x:c>
      <x:c r="F1" s="7" t="str">
        <x:v>Цена закуп, тг</x:v>
      </x:c>
      <x:c r="G1" s="7" t="str">
        <x:v>СУММ., тг</x:v>
      </x:c>
      <x:c r="H1" s="7" t="str">
        <x:v>Кол-во</x:v>
      </x:c>
      <x:c r="I1" s="7" t="str">
        <x:v>Ед.изм</x:v>
      </x:c>
      <x:c r="J1" s="7" t="str">
        <x:v>Завод-изготовитель</x:v>
      </x:c>
      <x:c r="K1" s="7" t="str">
        <x:v>Источник / примечание</x:v>
      </x:c>
    </x:row>
    <x:row r="2">
      <x:c r="A2" s="17" t="str">
        <x:v>ВРУ-1 (ВРУ 1-13-20)</x:v>
      </x:c>
      <x:c r="B2" s="17" t="str">
        <x:v>Панель</x:v>
      </x:c>
      <x:c r="C2" s="17" t="str"/>
      <x:c r="D2" s="18" t="str">
        <x:v>ВРУ-1 (ВРУ 1-13-20)</x:v>
      </x:c>
      <x:c r="E2" s="19" t="n">
        <x:v>0</x:v>
      </x:c>
      <x:c r="F2" s="19" t="n">
        <x:v>0</x:v>
      </x:c>
      <x:c r="G2" s="19"/>
      <x:c r="H2" s="19" t="n">
        <x:v>1</x:v>
      </x:c>
      <x:c r="I2" s="17" t="str">
        <x:v>компл.</x:v>
      </x:c>
      <x:c r="J2" s="17" t="str">
        <x:v>TEKSAN</x:v>
      </x:c>
      <x:c r="K2" s="18" t="str">
        <x:v>Наименование по проекту; внутренние позиции для 1 панели.</x:v>
      </x:c>
    </x:row>
    <x:row r="3">
      <x:c r="A3" s="8" t="str">
        <x:v>ВРУ-1 (ВРУ 1-13-20)</x:v>
      </x:c>
      <x:c r="B3" s="8" t="str">
        <x:v>Корпус</x:v>
      </x:c>
      <x:c r="C3" s="8" t="str">
        <x:v>719-15015</x:v>
      </x:c>
      <x:c r="D3" s="9" t="str">
        <x:v>Мет. Щит ВРУ 1-13 20 УХЛ4 (1700х800х450) (TS)</x:v>
      </x:c>
      <x:c r="E3" s="10" t="n">
        <x:v>0</x:v>
      </x:c>
      <x:c r="F3" s="10" t="n">
        <x:v>0</x:v>
      </x:c>
      <x:c r="G3" s="10" t="str">
        <x:f>IF(OR(F3="",H3=""),"",F3*H3)</x:f>
      </x:c>
      <x:c r="H3" s="10" t="n">
        <x:v>1</x:v>
      </x:c>
      <x:c r="I3" s="8" t="str">
        <x:v> ШТ. </x:v>
      </x:c>
      <x:c r="J3" s="8" t="str">
        <x:v>teksan f</x:v>
      </x:c>
      <x:c r="K3" s="9" t="str">
        <x:v>PDF лист 3</x:v>
      </x:c>
    </x:row>
    <x:row r="4">
      <x:c r="A4" s="8" t="str">
        <x:v>ВРУ-1 (ВРУ 1-13-20)</x:v>
      </x:c>
      <x:c r="B4" s="8" t="str">
        <x:v>Трансформатор тока</x:v>
      </x:c>
      <x:c r="C4" s="8" t="str">
        <x:v>270300021_</x:v>
      </x:c>
      <x:c r="D4" s="9" t="str">
        <x:v> Трансформатор тока ТТИ-40  300/5А  5ВА  класс 0,5  IEK</x:v>
      </x:c>
      <x:c r="E4" s="10" t="n">
        <x:v>5523</x:v>
      </x:c>
      <x:c r="F4" s="10" t="n">
        <x:v>5523</x:v>
      </x:c>
      <x:c r="G4" s="10" t="n">
        <x:f>IF(OR(F4="",H4=""),"",F4*H4)</x:f>
        <x:v>33138</x:v>
      </x:c>
      <x:c r="H4" s="10" t="n">
        <x:v>6</x:v>
      </x:c>
      <x:c r="I4" s="8" t="str">
        <x:v> ШТ. </x:v>
      </x:c>
      <x:c r="J4" s="8" t="str">
        <x:v>pys</x:v>
      </x:c>
      <x:c r="K4" s="9" t="str">
        <x:v>PDF лист 3</x:v>
      </x:c>
    </x:row>
    <x:row r="5">
      <x:c r="A5" s="8" t="str">
        <x:v>ВРУ-1 (ВРУ 1-13-20)</x:v>
      </x:c>
      <x:c r="B5" s="8" t="str">
        <x:v>Рубильник</x:v>
      </x:c>
      <x:c r="C5" s="8" t="str">
        <x:v>270100161_</x:v>
      </x:c>
      <x:c r="D5" s="9" t="str">
        <x:v>Рубильник ВР-32-37  В71250-400А на 2 направления (+6камер) UNIT (1/6)</x:v>
      </x:c>
      <x:c r="E5" s="10" t="n">
        <x:v>21950</x:v>
      </x:c>
      <x:c r="F5" s="10" t="n">
        <x:v>21950</x:v>
      </x:c>
      <x:c r="G5" s="10" t="n">
        <x:f>IF(OR(F5="",H5=""),"",F5*H5)</x:f>
        <x:v>43900</x:v>
      </x:c>
      <x:c r="H5" s="10" t="n">
        <x:v>2</x:v>
      </x:c>
      <x:c r="I5" s="8" t="str">
        <x:v> ШТ. </x:v>
      </x:c>
      <x:c r="J5" s="8" t="str">
        <x:v>pys</x:v>
      </x:c>
      <x:c r="K5" s="9" t="str">
        <x:v>PDF лист 3</x:v>
      </x:c>
    </x:row>
    <x:row r="6">
      <x:c r="A6" s="8" t="str">
        <x:v>ВРУ-1 (ВРУ 1-13-20)</x:v>
      </x:c>
      <x:c r="B6" s="8" t="str">
        <x:v>Предохранитель</x:v>
      </x:c>
      <x:c r="C6" s="8" t="str">
        <x:v>521218</x:v>
      </x:c>
      <x:c r="D6" s="9" t="str">
        <x:v>Плавкая вставка предохранителя RT36-2-400, габарит 2, 400А</x:v>
      </x:c>
      <x:c r="E6" s="10" t="n">
        <x:v>4965</x:v>
      </x:c>
      <x:c r="F6" s="10" t="n">
        <x:v>2979</x:v>
      </x:c>
      <x:c r="G6" s="10" t="n">
        <x:f>IF(OR(F6="",H6=""),"",F6*H6)</x:f>
        <x:v>17874</x:v>
      </x:c>
      <x:c r="H6" s="10" t="n">
        <x:v>6</x:v>
      </x:c>
      <x:c r="I6" s="8" t="str">
        <x:v> ШТ. </x:v>
      </x:c>
      <x:c r="J6" s="8" t="str">
        <x:v>chint</x:v>
      </x:c>
      <x:c r="K6" s="9" t="str">
        <x:v>PDF лист 3</x:v>
      </x:c>
    </x:row>
    <x:row r="7">
      <x:c r="A7" s="8" t="str">
        <x:v>ВРУ-1 (ВРУ 1-13-20)</x:v>
      </x:c>
      <x:c r="B7" s="8" t="str">
        <x:v>Предохранитель</x:v>
      </x:c>
      <x:c r="C7" s="8" t="str">
        <x:v>521368</x:v>
      </x:c>
      <x:c r="D7" s="9" t="str">
        <x:v>Держатель плавкой вставки RT36-2-400, габарит 2, 400А</x:v>
      </x:c>
      <x:c r="E7" s="10" t="n">
        <x:v>7443</x:v>
      </x:c>
      <x:c r="F7" s="10" t="n">
        <x:v>4465.8</x:v>
      </x:c>
      <x:c r="G7" s="10" t="n">
        <x:f>IF(OR(F7="",H7=""),"",F7*H7)</x:f>
        <x:v>26794.800000000003</x:v>
      </x:c>
      <x:c r="H7" s="10" t="n">
        <x:v>6</x:v>
      </x:c>
      <x:c r="I7" s="8" t="str">
        <x:v> ШТ. </x:v>
      </x:c>
      <x:c r="J7" s="8" t="str">
        <x:v>chint</x:v>
      </x:c>
      <x:c r="K7" s="9" t="str">
        <x:v>PDF лист 3</x:v>
      </x:c>
    </x:row>
    <x:row r="8">
      <x:c r="A8" s="8" t="str">
        <x:v>ВРУ-1 (ВРУ 1-13-20)</x:v>
      </x:c>
      <x:c r="B8" s="8" t="str">
        <x:v>ОТО</x:v>
      </x:c>
      <x:c r="C8" s="8" t="str">
        <x:v>296708</x:v>
      </x:c>
      <x:c r="D8" s="9" t="str">
        <x:v>Авт. выкл. NXB-63S 1P 6А 4.5kA х-ка C (R)</x:v>
      </x:c>
      <x:c r="E8" s="10" t="n">
        <x:v>975</x:v>
      </x:c>
      <x:c r="F8" s="10" t="n">
        <x:v>585</x:v>
      </x:c>
      <x:c r="G8" s="10" t="n">
        <x:f>IF(OR(F8="",H8=""),"",F8*H8)</x:f>
        <x:v>1170</x:v>
      </x:c>
      <x:c r="H8" s="10" t="n">
        <x:v>2</x:v>
      </x:c>
      <x:c r="I8" s="8" t="str">
        <x:v> ШТ. </x:v>
      </x:c>
      <x:c r="J8" s="8" t="str">
        <x:v>chint</x:v>
      </x:c>
      <x:c r="K8" s="9" t="str">
        <x:v>PDF лист 3</x:v>
      </x:c>
    </x:row>
    <x:row r="9">
      <x:c r="A9" s="8" t="str">
        <x:v>ВРУ-1 (ВРУ 1-13-20)</x:v>
      </x:c>
      <x:c r="B9" s="8" t="str">
        <x:v>Счётчик</x:v>
      </x:c>
      <x:c r="C9" s="8" t="str">
        <x:v>LQ</x:v>
      </x:c>
      <x:c r="D9" s="9" t="str">
        <x:v>ДАЛА СА4У-Э720 R TX IP П RS1 Д W (3x220/380V 5-7,5A)</x:v>
      </x:c>
      <x:c r="E9" s="10" t="n">
        <x:v>90500</x:v>
      </x:c>
      <x:c r="F9" s="10" t="n">
        <x:v>90500</x:v>
      </x:c>
      <x:c r="G9" s="10" t="n">
        <x:f>IF(OR(F9="",H9=""),"",F9*H9)</x:f>
        <x:v>181000</x:v>
      </x:c>
      <x:c r="H9" s="10" t="n">
        <x:v>2</x:v>
      </x:c>
      <x:c r="I9" s="8" t="str">
        <x:v> ШТ. </x:v>
      </x:c>
      <x:c r="J9" s="8" t="str">
        <x:v>pys</x:v>
      </x:c>
      <x:c r="K9" s="9" t="str">
        <x:v>PDF лист 3</x:v>
      </x:c>
    </x:row>
    <x:row r="10">
      <x:c r="A10" s="8" t="str">
        <x:v>ВРУ-1 (ВРУ 1-13-20)</x:v>
      </x:c>
      <x:c r="B10" s="8" t="str">
        <x:v>Конденсатор</x:v>
      </x:c>
      <x:c r="C10" s="8"/>
      <x:c r="D10" s="9" t="str">
        <x:v>condencator К3-500мкФ</x:v>
      </x:c>
      <x:c r="E10" s="10"/>
      <x:c r="F10" s="10" t="n">
        <x:v>0</x:v>
      </x:c>
      <x:c r="G10" s="10" t="str">
        <x:f>IF(OR(F10="",H10=""),"",F10*H10)</x:f>
      </x:c>
      <x:c r="H10" s="10" t="n">
        <x:v>6</x:v>
      </x:c>
      <x:c r="I10" s="8" t="str">
        <x:v> ШТ. </x:v>
      </x:c>
      <x:c r="J10" s="8" t="str">
        <x:v>pys</x:v>
      </x:c>
      <x:c r="K10" s="9" t="str">
        <x:v>PDF лист 3</x:v>
      </x:c>
    </x:row>
    <x:row r="11">
      <x:c r="A11" s="8" t="str">
        <x:v>ВРУ-1 (ВРУ 1-13-20)</x:v>
      </x:c>
      <x:c r="B11" s="8" t="str">
        <x:v>Лампа</x:v>
      </x:c>
      <x:c r="C11" s="8"/>
      <x:c r="D11" s="9" t="str">
        <x:v>lamb</x:v>
      </x:c>
      <x:c r="E11" s="10"/>
      <x:c r="F11" s="10" t="n">
        <x:v>0</x:v>
      </x:c>
      <x:c r="G11" s="10" t="str">
        <x:f>IF(OR(F11="",H11=""),"",F11*H11)</x:f>
      </x:c>
      <x:c r="H11" s="10" t="n">
        <x:v>6</x:v>
      </x:c>
      <x:c r="I11" s="8" t="str">
        <x:v> ШТ. </x:v>
      </x:c>
      <x:c r="J11" s="8" t="str">
        <x:v>pys</x:v>
      </x:c>
      <x:c r="K11" s="9" t="str">
        <x:v>PDF лист 3</x:v>
      </x:c>
    </x:row>
    <x:row r="12">
      <x:c r="A12" s="8" t="str">
        <x:v>ВРУ-1 (ВРУ 1-13-20)</x:v>
      </x:c>
      <x:c r="B12" s="8" t="str">
        <x:v>Шина</x:v>
      </x:c>
      <x:c r="C12" s="8"/>
      <x:c r="D12" s="9" t="str">
        <x:v>shin</x:v>
      </x:c>
      <x:c r="E12" s="10"/>
      <x:c r="F12" s="10" t="n">
        <x:v>0</x:v>
      </x:c>
      <x:c r="G12" s="10" t="str">
        <x:f>IF(OR(F12="",H12=""),"",F12*H12)</x:f>
      </x:c>
      <x:c r="H12" s="10" t="n">
        <x:v>3</x:v>
      </x:c>
      <x:c r="I12" s="8" t="str">
        <x:v> ШТ. </x:v>
      </x:c>
      <x:c r="J12" s="8" t="str">
        <x:v>pys</x:v>
      </x:c>
      <x:c r="K12" s="9" t="str">
        <x:v>PDF лист 3</x:v>
      </x:c>
    </x:row>
    <x:row r="13">
      <x:c r="A13" s="29" t="str">
        <x:v>ВРУ-1 (ВРУ 1-13-20)</x:v>
      </x:c>
      <x:c r="B13" s="29" t="str">
        <x:v>Клеммник</x:v>
      </x:c>
      <x:c r="C13" s="29" t="str">
        <x:v>КОНТРОЛЬ</x:v>
      </x:c>
      <x:c r="D13" s="30" t="str">
        <x:v>Клеммники силовые/PE/N по фактическим отходящим линиям; тип и количество КОНТРОЛЬ</x:v>
      </x:c>
      <x:c r="E13" s="31" t="n">
        <x:v>0</x:v>
      </x:c>
      <x:c r="F13" s="31" t="n">
        <x:v>0</x:v>
      </x:c>
      <x:c r="G13" s="31" t="str">
        <x:f>IF(OR(F13="",H13=""),"",F13*H13)</x:f>
      </x:c>
      <x:c r="H13" s="31"/>
      <x:c r="I13" s="29" t="str">
        <x:v>компл.</x:v>
      </x:c>
      <x:c r="J13" s="29" t="str">
        <x:v>EKT / Klemsan</x:v>
      </x:c>
      <x:c r="K13" s="30" t="str">
        <x:v>Проект не содержит клеммной раскладки — не заполнять предположением.</x:v>
      </x:c>
    </x:row>
    <x:row r="14">
      <x:c r="A14" s="29" t="str">
        <x:v>ВРУ-1 (ВРУ 1-13-20)</x:v>
      </x:c>
      <x:c r="B14" s="29" t="str">
        <x:v>DIN рейка</x:v>
      </x:c>
      <x:c r="C14" s="29" t="str">
        <x:v>КОНТРОЛЬ</x:v>
      </x:c>
      <x:c r="D14" s="30" t="str">
        <x:v>DIN рейка 35 мм; длина КОНТРОЛЬ</x:v>
      </x:c>
      <x:c r="E14" s="31" t="n">
        <x:v>0</x:v>
      </x:c>
      <x:c r="F14" s="31" t="n">
        <x:v>0</x:v>
      </x:c>
      <x:c r="G14" s="31" t="str">
        <x:f>IF(OR(F14="",H14=""),"",F14*H14)</x:f>
      </x:c>
      <x:c r="H14" s="31"/>
      <x:c r="I14" s="29" t="str">
        <x:v>м</x:v>
      </x:c>
      <x:c r="J14" s="29" t="str">
        <x:v>EKT</x:v>
      </x:c>
      <x:c r="K14" s="30" t="str">
        <x:v>Определить по монтажной раскладке и 20% резерву.</x:v>
      </x:c>
    </x:row>
    <x:row r="15">
      <x:c r="A15" s="29" t="str">
        <x:v>ВРУ-1 (ВРУ 1-13-20)</x:v>
      </x:c>
      <x:c r="B15" s="29" t="str">
        <x:v>Кабельный канал</x:v>
      </x:c>
      <x:c r="C15" s="29" t="str">
        <x:v>КОНТРОЛЬ</x:v>
      </x:c>
      <x:c r="D15" s="30" t="str">
        <x:v>Кабельный канал; сечение и длина КОНТРОЛЬ</x:v>
      </x:c>
      <x:c r="E15" s="31" t="n">
        <x:v>0</x:v>
      </x:c>
      <x:c r="F15" s="31" t="n">
        <x:v>0</x:v>
      </x:c>
      <x:c r="G15" s="31" t="str">
        <x:f>IF(OR(F15="",H15=""),"",F15*H15)</x:f>
      </x:c>
      <x:c r="H15" s="31"/>
      <x:c r="I15" s="29" t="str">
        <x:v>м</x:v>
      </x:c>
      <x:c r="J15" s="29" t="str">
        <x:v>EKT / Onka</x:v>
      </x:c>
      <x:c r="K15" s="30" t="str">
        <x:v>Определить по монтажной раскладке и заполнению канала.</x:v>
      </x:c>
    </x:row>
    <x:row r="16">
      <x:c r="A16" s="29" t="str">
        <x:v>ВРУ-1 (ВРУ 1-13-20)</x:v>
      </x:c>
      <x:c r="B16" s="29" t="str">
        <x:v>Шина</x:v>
      </x:c>
      <x:c r="C16" s="29" t="str">
        <x:v>КОНТРОЛЬ</x:v>
      </x:c>
      <x:c r="D16" s="30" t="str">
        <x:v>Шины N/PE и фазные перемычки; сечение/длина КОНТРОЛЬ</x:v>
      </x:c>
      <x:c r="E16" s="31" t="n">
        <x:v>0</x:v>
      </x:c>
      <x:c r="F16" s="31" t="n">
        <x:v>0</x:v>
      </x:c>
      <x:c r="G16" s="31" t="str">
        <x:f>IF(OR(F16="",H16=""),"",F16*H16)</x:f>
      </x:c>
      <x:c r="H16" s="31"/>
      <x:c r="I16" s="29" t="str">
        <x:v>компл.</x:v>
      </x:c>
      <x:c r="J16" s="29" t="str">
        <x:v>TEKLED</x:v>
      </x:c>
      <x:c r="K16" s="30" t="str">
        <x:v>Рассчитать по току, КЗ, материалу и фактической компоновке.</x:v>
      </x:c>
    </x:row>
    <x:row r="17">
      <x:c r="A17" s="8" t="str">
        <x:v>ВРУ-1 (ВРУ 1-13-20)</x:v>
      </x:c>
      <x:c r="B17" s="8" t="str">
        <x:v>Монтажный материал</x:v>
      </x:c>
      <x:c r="C17" s="8" t="str"/>
      <x:c r="D17" s="9" t="str">
        <x:v>Монтажный материал</x:v>
      </x:c>
      <x:c r="E17" s="10" t="n">
        <x:v>0</x:v>
      </x:c>
      <x:c r="F17" s="10" t="n">
        <x:v>0</x:v>
      </x:c>
      <x:c r="G17" s="10" t="str">
        <x:f>IF(OR(F17="",H17=""),"",F17*H17)</x:f>
      </x:c>
      <x:c r="H17" s="10" t="n">
        <x:v>1</x:v>
      </x:c>
      <x:c r="I17" s="8" t="str">
        <x:v>компл.</x:v>
      </x:c>
      <x:c r="J17" s="8" t="str">
        <x:v>TEKLED</x:v>
      </x:c>
      <x:c r="K17" s="9" t="str">
        <x:v>Количество 1 компл.; состав и цена заполняются после монтажной раскладки.</x:v>
      </x:c>
    </x:row>
    <x:row r="18">
      <x:c r="A18" s="8" t="str">
        <x:v>ВРУ-1 (ВРУ 1-13-20)</x:v>
      </x:c>
      <x:c r="B18" s="8" t="str">
        <x:v>Монтажные работы</x:v>
      </x:c>
      <x:c r="C18" s="8" t="str"/>
      <x:c r="D18" s="9" t="str">
        <x:v>Монтажные работы</x:v>
      </x:c>
      <x:c r="E18" s="10"/>
      <x:c r="F18" s="10" t="n">
        <x:v>100</x:v>
      </x:c>
      <x:c r="G18" s="10" t="n">
        <x:f>IF(OR(F18="",H18=""),"",F18*H18)</x:f>
        <x:v>100</x:v>
      </x:c>
      <x:c r="H18" s="10" t="n">
        <x:v>1</x:v>
      </x:c>
      <x:c r="I18" s="8" t="str">
        <x:v>компл.</x:v>
      </x:c>
      <x:c r="J18" s="8" t="str">
        <x:v>TEKLED</x:v>
      </x:c>
      <x:c r="K18" s="9" t="str">
        <x:v>Количество 1 компл.; стоимость заполняется после нормирования.</x:v>
      </x:c>
    </x:row>
    <x:row r="19">
      <x:c r="A19" s="26" t="str">
        <x:v>ВРУ-1 (ВРУ 1-13-20)</x:v>
      </x:c>
      <x:c r="B19" s="26" t="str">
        <x:v>ИТОГО</x:v>
      </x:c>
      <x:c r="C19" s="26" t="str"/>
      <x:c r="D19" s="27" t="str">
        <x:v>ИТОГО ВРУ-1 (ВРУ 1-13-20)</x:v>
      </x:c>
      <x:c r="E19" s="28" t="n">
        <x:v>0</x:v>
      </x:c>
      <x:c r="F19" s="28" t="n">
        <x:v>0</x:v>
      </x:c>
      <x:c r="G19" s="28" t="n">
        <x:f>SUM(G3:G18)</x:f>
        <x:v>303976.8</x:v>
      </x:c>
      <x:c r="H19" s="28"/>
      <x:c r="I19" s="26" t="str"/>
      <x:c r="J19" s="26" t="str"/>
      <x:c r="K19" s="27" t="str">
        <x:v>Сумма позиций строк 3-18.</x:v>
      </x:c>
    </x:row>
    <x:row r="20">
      <x:c r="A20" s="17" t="str">
        <x:v>РУ-1 (ВРУ 1-50-00)</x:v>
      </x:c>
      <x:c r="B20" s="17" t="str">
        <x:v>Панель</x:v>
      </x:c>
      <x:c r="C20" s="17" t="str"/>
      <x:c r="D20" s="18" t="str">
        <x:v>РУ-1 (ВРУ 1-50-00)</x:v>
      </x:c>
      <x:c r="E20" s="19" t="n">
        <x:v>0</x:v>
      </x:c>
      <x:c r="F20" s="19" t="n">
        <x:v>0</x:v>
      </x:c>
      <x:c r="G20" s="19"/>
      <x:c r="H20" s="19" t="n">
        <x:v>1</x:v>
      </x:c>
      <x:c r="I20" s="17" t="str">
        <x:v>компл.</x:v>
      </x:c>
      <x:c r="J20" s="17" t="str">
        <x:v>TEKSAN</x:v>
      </x:c>
      <x:c r="K20" s="18" t="str">
        <x:v>Наименование по проекту; внутренние позиции для 1 панели.</x:v>
      </x:c>
    </x:row>
    <x:row r="21">
      <x:c r="A21" s="8" t="str">
        <x:v>РУ-1 (ВРУ 1-50-00)</x:v>
      </x:c>
      <x:c r="B21" s="8" t="str">
        <x:v>Корпус</x:v>
      </x:c>
      <x:c r="C21" s="8" t="str">
        <x:v>719-15057</x:v>
      </x:c>
      <x:c r="D21" s="9" t="str">
        <x:v>Pano Met.Shit VRU1(1800x800x400+15sm baza)</x:v>
      </x:c>
      <x:c r="E21" s="10" t="n">
        <x:v>0</x:v>
      </x:c>
      <x:c r="F21" s="10" t="n">
        <x:v>0</x:v>
      </x:c>
      <x:c r="G21" s="10" t="str">
        <x:f>IF(OR(F21="",H21=""),"",F21*H21)</x:f>
      </x:c>
      <x:c r="H21" s="10" t="n">
        <x:v>1</x:v>
      </x:c>
      <x:c r="I21" s="8" t="str">
        <x:v> ШТ. </x:v>
      </x:c>
      <x:c r="J21" s="8" t="str">
        <x:v>teksan f</x:v>
      </x:c>
      <x:c r="K21" s="9" t="str">
        <x:v>PDF лист 3</x:v>
      </x:c>
    </x:row>
    <x:row r="22">
      <x:c r="A22" s="8" t="str">
        <x:v>РУ-1 (ВРУ 1-50-00)</x:v>
      </x:c>
      <x:c r="B22" s="8" t="str">
        <x:v>Предохранитель</x:v>
      </x:c>
      <x:c r="C22" s="8" t="str">
        <x:v>521189</x:v>
      </x:c>
      <x:c r="D22" s="9" t="str">
        <x:v>Плавкая вставка предохранителя RT36-1-250, габарит 1, 250А</x:v>
      </x:c>
      <x:c r="E22" s="10" t="n">
        <x:v>3317</x:v>
      </x:c>
      <x:c r="F22" s="10" t="n">
        <x:v>3317</x:v>
      </x:c>
      <x:c r="G22" s="10" t="n">
        <x:f>IF(OR(F22="",H22=""),"",F22*H22)</x:f>
        <x:v>9951</x:v>
      </x:c>
      <x:c r="H22" s="10" t="n">
        <x:v>3</x:v>
      </x:c>
      <x:c r="I22" s="8" t="str">
        <x:v> ШТ. </x:v>
      </x:c>
      <x:c r="J22" s="8" t="str">
        <x:v>chint</x:v>
      </x:c>
      <x:c r="K22" s="9" t="str">
        <x:v>PDF лист 3</x:v>
      </x:c>
    </x:row>
    <x:row r="23">
      <x:c r="A23" s="8" t="str">
        <x:v>РУ-1 (ВРУ 1-50-00)</x:v>
      </x:c>
      <x:c r="B23" s="8" t="str">
        <x:v>Предохранитель</x:v>
      </x:c>
      <x:c r="C23" s="8" t="str">
        <x:v>521367</x:v>
      </x:c>
      <x:c r="D23" s="9" t="str">
        <x:v>Держатель плавкой вставки RT36-1-250, габарит 1, 250А</x:v>
      </x:c>
      <x:c r="E23" s="10" t="n">
        <x:v>4750</x:v>
      </x:c>
      <x:c r="F23" s="10" t="n">
        <x:v>4750</x:v>
      </x:c>
      <x:c r="G23" s="10" t="n">
        <x:f>IF(OR(F23="",H23=""),"",F23*H23)</x:f>
        <x:v>14250</x:v>
      </x:c>
      <x:c r="H23" s="10" t="n">
        <x:v>3</x:v>
      </x:c>
      <x:c r="I23" s="8" t="str">
        <x:v> ШТ. </x:v>
      </x:c>
      <x:c r="J23" s="8" t="str">
        <x:v>chint</x:v>
      </x:c>
      <x:c r="K23" s="9" t="str">
        <x:v>PDF лист 3</x:v>
      </x:c>
    </x:row>
    <x:row r="24">
      <x:c r="A24" s="8" t="str">
        <x:v>РУ-1 (ВРУ 1-50-00)</x:v>
      </x:c>
      <x:c r="B24" s="8" t="str">
        <x:v>Предохранитель</x:v>
      </x:c>
      <x:c r="C24" s="8" t="str">
        <x:v>521260</x:v>
      </x:c>
      <x:c r="D24" s="9" t="str">
        <x:v>Держатель плавкой вставки RT36-00-160, габарит 00, 160А</x:v>
      </x:c>
      <x:c r="E24" s="10" t="n">
        <x:v>2038</x:v>
      </x:c>
      <x:c r="F24" s="10" t="n">
        <x:v>1222.8</x:v>
      </x:c>
      <x:c r="G24" s="10" t="n">
        <x:f>IF(OR(F24="",H24=""),"",F24*H24)</x:f>
        <x:v>11005.199999999999</x:v>
      </x:c>
      <x:c r="H24" s="10" t="n">
        <x:v>9</x:v>
      </x:c>
      <x:c r="I24" s="8" t="str">
        <x:v> ШТ. </x:v>
      </x:c>
      <x:c r="J24" s="8" t="str">
        <x:v>chint</x:v>
      </x:c>
      <x:c r="K24" s="9" t="str">
        <x:v>PDF лист 3</x:v>
      </x:c>
    </x:row>
    <x:row r="25">
      <x:c r="A25" s="8" t="str">
        <x:v>РУ-1 (ВРУ 1-50-00)</x:v>
      </x:c>
      <x:c r="B25" s="8" t="str">
        <x:v>Предохранитель</x:v>
      </x:c>
      <x:c r="C25" s="8" t="str">
        <x:v>521340</x:v>
      </x:c>
      <x:c r="D25" s="9" t="str">
        <x:v>Плавкая вставка предохранителя RT36-00-160, габарит 00, 25А</x:v>
      </x:c>
      <x:c r="E25" s="10" t="n">
        <x:v>1510</x:v>
      </x:c>
      <x:c r="F25" s="10" t="n">
        <x:v>906</x:v>
      </x:c>
      <x:c r="G25" s="10" t="n">
        <x:f>IF(OR(F25="",H25=""),"",F25*H25)</x:f>
        <x:v>8154</x:v>
      </x:c>
      <x:c r="H25" s="10" t="n">
        <x:v>9</x:v>
      </x:c>
      <x:c r="I25" s="8" t="str">
        <x:v> ШТ. </x:v>
      </x:c>
      <x:c r="J25" s="8" t="str">
        <x:v>chint</x:v>
      </x:c>
      <x:c r="K25" s="9" t="str">
        <x:v>PDF лист 3</x:v>
      </x:c>
    </x:row>
    <x:row r="26">
      <x:c r="A26" s="29" t="str">
        <x:v>РУ-1 (ВРУ 1-50-00)</x:v>
      </x:c>
      <x:c r="B26" s="29" t="str">
        <x:v>Клеммник</x:v>
      </x:c>
      <x:c r="C26" s="29" t="str">
        <x:v>КОНТРОЛЬ</x:v>
      </x:c>
      <x:c r="D26" s="30" t="str">
        <x:v>Клеммники силовые/PE/N по фактическим отходящим линиям; тип и количество КОНТРОЛЬ</x:v>
      </x:c>
      <x:c r="E26" s="31" t="n">
        <x:v>0</x:v>
      </x:c>
      <x:c r="F26" s="31" t="n">
        <x:v>0</x:v>
      </x:c>
      <x:c r="G26" s="31" t="str">
        <x:f>IF(OR(F26="",H26=""),"",F26*H26)</x:f>
      </x:c>
      <x:c r="H26" s="31"/>
      <x:c r="I26" s="29" t="str">
        <x:v>компл.</x:v>
      </x:c>
      <x:c r="J26" s="29" t="str">
        <x:v>EKT / Klemsan</x:v>
      </x:c>
      <x:c r="K26" s="30" t="str">
        <x:v>Проект не содержит клеммной раскладки — не заполнять предположением.</x:v>
      </x:c>
    </x:row>
    <x:row r="27">
      <x:c r="A27" s="29" t="str">
        <x:v>РУ-1 (ВРУ 1-50-00)</x:v>
      </x:c>
      <x:c r="B27" s="29" t="str">
        <x:v>DIN рейка</x:v>
      </x:c>
      <x:c r="C27" s="29" t="str">
        <x:v>КОНТРОЛЬ</x:v>
      </x:c>
      <x:c r="D27" s="30" t="str">
        <x:v>DIN рейка 35 мм; длина КОНТРОЛЬ</x:v>
      </x:c>
      <x:c r="E27" s="31" t="n">
        <x:v>0</x:v>
      </x:c>
      <x:c r="F27" s="31" t="n">
        <x:v>0</x:v>
      </x:c>
      <x:c r="G27" s="31" t="str">
        <x:f>IF(OR(F27="",H27=""),"",F27*H27)</x:f>
      </x:c>
      <x:c r="H27" s="31"/>
      <x:c r="I27" s="29" t="str">
        <x:v>м</x:v>
      </x:c>
      <x:c r="J27" s="29" t="str">
        <x:v>EKT</x:v>
      </x:c>
      <x:c r="K27" s="30" t="str">
        <x:v>Определить по монтажной раскладке и 20% резерву.</x:v>
      </x:c>
    </x:row>
    <x:row r="28">
      <x:c r="A28" s="29" t="str">
        <x:v>РУ-1 (ВРУ 1-50-00)</x:v>
      </x:c>
      <x:c r="B28" s="29" t="str">
        <x:v>Кабельный канал</x:v>
      </x:c>
      <x:c r="C28" s="29" t="str">
        <x:v>КОНТРОЛЬ</x:v>
      </x:c>
      <x:c r="D28" s="30" t="str">
        <x:v>Кабельный канал; сечение и длина КОНТРОЛЬ</x:v>
      </x:c>
      <x:c r="E28" s="31" t="n">
        <x:v>0</x:v>
      </x:c>
      <x:c r="F28" s="31" t="n">
        <x:v>0</x:v>
      </x:c>
      <x:c r="G28" s="31" t="str">
        <x:f>IF(OR(F28="",H28=""),"",F28*H28)</x:f>
      </x:c>
      <x:c r="H28" s="31"/>
      <x:c r="I28" s="29" t="str">
        <x:v>м</x:v>
      </x:c>
      <x:c r="J28" s="29" t="str">
        <x:v>EKT / Onka</x:v>
      </x:c>
      <x:c r="K28" s="30" t="str">
        <x:v>Определить по монтажной раскладке и заполнению канала.</x:v>
      </x:c>
    </x:row>
    <x:row r="29">
      <x:c r="A29" s="29" t="str">
        <x:v>РУ-1 (ВРУ 1-50-00)</x:v>
      </x:c>
      <x:c r="B29" s="29" t="str">
        <x:v>Шина</x:v>
      </x:c>
      <x:c r="C29" s="29" t="str">
        <x:v>КОНТРОЛЬ</x:v>
      </x:c>
      <x:c r="D29" s="30" t="str">
        <x:v>Шины N/PE и фазные перемычки; сечение/длина КОНТРОЛЬ</x:v>
      </x:c>
      <x:c r="E29" s="31" t="n">
        <x:v>0</x:v>
      </x:c>
      <x:c r="F29" s="31" t="n">
        <x:v>0</x:v>
      </x:c>
      <x:c r="G29" s="31" t="str">
        <x:f>IF(OR(F29="",H29=""),"",F29*H29)</x:f>
      </x:c>
      <x:c r="H29" s="31"/>
      <x:c r="I29" s="29" t="str">
        <x:v>компл.</x:v>
      </x:c>
      <x:c r="J29" s="29" t="str">
        <x:v>TEKLED</x:v>
      </x:c>
      <x:c r="K29" s="30" t="str">
        <x:v>Рассчитать по току, КЗ, материалу и фактической компоновке.</x:v>
      </x:c>
    </x:row>
    <x:row r="30">
      <x:c r="A30" s="8" t="str">
        <x:v>РУ-1 (ВРУ 1-50-00)</x:v>
      </x:c>
      <x:c r="B30" s="8" t="str">
        <x:v>Монтажный материал</x:v>
      </x:c>
      <x:c r="C30" s="8" t="str"/>
      <x:c r="D30" s="9" t="str">
        <x:v>Монтажный материал</x:v>
      </x:c>
      <x:c r="E30" s="10" t="n">
        <x:v>0</x:v>
      </x:c>
      <x:c r="F30" s="10" t="n">
        <x:v>0</x:v>
      </x:c>
      <x:c r="G30" s="10" t="str">
        <x:f>IF(OR(F30="",H30=""),"",F30*H30)</x:f>
      </x:c>
      <x:c r="H30" s="10" t="n">
        <x:v>1</x:v>
      </x:c>
      <x:c r="I30" s="8" t="str">
        <x:v>компл.</x:v>
      </x:c>
      <x:c r="J30" s="8" t="str">
        <x:v>TEKLED</x:v>
      </x:c>
      <x:c r="K30" s="9" t="str">
        <x:v>Количество 1 компл.; состав и цена заполняются после монтажной раскладки.</x:v>
      </x:c>
    </x:row>
    <x:row r="31">
      <x:c r="A31" s="8" t="str">
        <x:v>РУ-1 (ВРУ 1-50-00)</x:v>
      </x:c>
      <x:c r="B31" s="8" t="str">
        <x:v>Монтажные работы</x:v>
      </x:c>
      <x:c r="C31" s="8" t="str"/>
      <x:c r="D31" s="9" t="str">
        <x:v>Монтажные работы</x:v>
      </x:c>
      <x:c r="E31" s="10"/>
      <x:c r="F31" s="10" t="n">
        <x:v>100</x:v>
      </x:c>
      <x:c r="G31" s="10" t="n">
        <x:f>IF(OR(F31="",H31=""),"",F31*H31)</x:f>
        <x:v>100</x:v>
      </x:c>
      <x:c r="H31" s="10" t="n">
        <x:v>1</x:v>
      </x:c>
      <x:c r="I31" s="8" t="str">
        <x:v>компл.</x:v>
      </x:c>
      <x:c r="J31" s="8" t="str">
        <x:v>TEKLED</x:v>
      </x:c>
      <x:c r="K31" s="9" t="str">
        <x:v>Количество 1 компл.; стоимость заполняется после нормирования.</x:v>
      </x:c>
    </x:row>
    <x:row r="32">
      <x:c r="A32" s="26" t="str">
        <x:v>РУ-1 (ВРУ 1-50-00)</x:v>
      </x:c>
      <x:c r="B32" s="26" t="str">
        <x:v>ИТОГО</x:v>
      </x:c>
      <x:c r="C32" s="26" t="str"/>
      <x:c r="D32" s="27" t="str">
        <x:v>ИТОГО РУ-1 (ВРУ 1-50-00)</x:v>
      </x:c>
      <x:c r="E32" s="28" t="n">
        <x:v>0</x:v>
      </x:c>
      <x:c r="F32" s="28" t="n">
        <x:v>0</x:v>
      </x:c>
      <x:c r="G32" s="28" t="n">
        <x:f>SUM(G21:G31)</x:f>
        <x:v>43460.2</x:v>
      </x:c>
      <x:c r="H32" s="28"/>
      <x:c r="I32" s="26" t="str"/>
      <x:c r="J32" s="26" t="str"/>
      <x:c r="K32" s="27" t="str">
        <x:v>Сумма позиций строк 21-31.</x:v>
      </x:c>
    </x:row>
    <x:row r="33">
      <x:c r="A33" s="17" t="str">
        <x:v>РУ-2 (ВРУ 1-50-00)</x:v>
      </x:c>
      <x:c r="B33" s="17" t="str">
        <x:v>Панель</x:v>
      </x:c>
      <x:c r="C33" s="17" t="str"/>
      <x:c r="D33" s="18" t="str">
        <x:v>РУ-2 (ВРУ 1-50-00)</x:v>
      </x:c>
      <x:c r="E33" s="19" t="n">
        <x:v>0</x:v>
      </x:c>
      <x:c r="F33" s="19" t="n">
        <x:v>0</x:v>
      </x:c>
      <x:c r="G33" s="19"/>
      <x:c r="H33" s="19" t="n">
        <x:v>1</x:v>
      </x:c>
      <x:c r="I33" s="17" t="str">
        <x:v>компл.</x:v>
      </x:c>
      <x:c r="J33" s="17" t="str">
        <x:v>TEKSAN</x:v>
      </x:c>
      <x:c r="K33" s="18" t="str">
        <x:v>Наименование по проекту; внутренние позиции для 1 панели.</x:v>
      </x:c>
    </x:row>
    <x:row r="34">
      <x:c r="A34" s="8" t="str">
        <x:v>РУ-2 (ВРУ 1-50-00)</x:v>
      </x:c>
      <x:c r="B34" s="8" t="str">
        <x:v>Корпус</x:v>
      </x:c>
      <x:c r="C34" s="8" t="str">
        <x:v>719-15057</x:v>
      </x:c>
      <x:c r="D34" s="9" t="str">
        <x:v>Pano Met.Shit VRU1(1800x800x400+15sm baza)</x:v>
      </x:c>
      <x:c r="E34" s="10" t="n">
        <x:v>0</x:v>
      </x:c>
      <x:c r="F34" s="10" t="n">
        <x:v>0</x:v>
      </x:c>
      <x:c r="G34" s="10" t="str">
        <x:f>IF(OR(F34="",H34=""),"",F34*H34)</x:f>
      </x:c>
      <x:c r="H34" s="10" t="n">
        <x:v>1</x:v>
      </x:c>
      <x:c r="I34" s="8" t="str">
        <x:v> ШТ. </x:v>
      </x:c>
      <x:c r="J34" s="8" t="str">
        <x:v>teksan f</x:v>
      </x:c>
      <x:c r="K34" s="9" t="str">
        <x:v>PDF лист 3</x:v>
      </x:c>
    </x:row>
    <x:row r="35">
      <x:c r="A35" s="8" t="str">
        <x:v>РУ-2 (ВРУ 1-50-00)</x:v>
      </x:c>
      <x:c r="B35" s="8" t="str">
        <x:v>Предохранитель</x:v>
      </x:c>
      <x:c r="C35" s="8" t="str">
        <x:v>521189</x:v>
      </x:c>
      <x:c r="D35" s="9" t="str">
        <x:v>Плавкая вставка предохранителя RT36-1-250, габарит 1, 250А</x:v>
      </x:c>
      <x:c r="E35" s="10" t="n">
        <x:v>3317</x:v>
      </x:c>
      <x:c r="F35" s="10" t="n">
        <x:v>3317</x:v>
      </x:c>
      <x:c r="G35" s="10" t="n">
        <x:f>IF(OR(F35="",H35=""),"",F35*H35)</x:f>
        <x:v>9951</x:v>
      </x:c>
      <x:c r="H35" s="10" t="n">
        <x:v>3</x:v>
      </x:c>
      <x:c r="I35" s="8" t="str">
        <x:v> ШТ. </x:v>
      </x:c>
      <x:c r="J35" s="8" t="str">
        <x:v>chint</x:v>
      </x:c>
      <x:c r="K35" s="9" t="str">
        <x:v>PDF лист 3</x:v>
      </x:c>
    </x:row>
    <x:row r="36">
      <x:c r="A36" s="8" t="str">
        <x:v>РУ-2 (ВРУ 1-50-00)</x:v>
      </x:c>
      <x:c r="B36" s="8" t="str">
        <x:v>Предохранитель</x:v>
      </x:c>
      <x:c r="C36" s="8" t="str">
        <x:v>521367</x:v>
      </x:c>
      <x:c r="D36" s="9" t="str">
        <x:v>Держатель плавкой вставки RT36-1-250, габарит 1, 250А</x:v>
      </x:c>
      <x:c r="E36" s="10" t="n">
        <x:v>4750</x:v>
      </x:c>
      <x:c r="F36" s="10" t="n">
        <x:v>4750</x:v>
      </x:c>
      <x:c r="G36" s="10" t="n">
        <x:f>IF(OR(F36="",H36=""),"",F36*H36)</x:f>
        <x:v>28500</x:v>
      </x:c>
      <x:c r="H36" s="10" t="n">
        <x:v>6</x:v>
      </x:c>
      <x:c r="I36" s="8" t="str">
        <x:v> ШТ. </x:v>
      </x:c>
      <x:c r="J36" s="8" t="str">
        <x:v>chint</x:v>
      </x:c>
      <x:c r="K36" s="9" t="str">
        <x:v>PDF лист 3</x:v>
      </x:c>
    </x:row>
    <x:row r="37">
      <x:c r="A37" s="8" t="str">
        <x:v>РУ-2 (ВРУ 1-50-00)</x:v>
      </x:c>
      <x:c r="B37" s="8" t="str">
        <x:v>Предохранитель</x:v>
      </x:c>
      <x:c r="C37" s="8" t="str">
        <x:v>521186</x:v>
      </x:c>
      <x:c r="D37" s="9" t="str">
        <x:v>Плавкая вставка предохранителя RT36-1-250, габарит 1, 125А</x:v>
      </x:c>
      <x:c r="E37" s="10" t="n">
        <x:v>3265</x:v>
      </x:c>
      <x:c r="F37" s="10" t="n">
        <x:v>3265</x:v>
      </x:c>
      <x:c r="G37" s="10" t="n">
        <x:f>IF(OR(F37="",H37=""),"",F37*H37)</x:f>
        <x:v>9795</x:v>
      </x:c>
      <x:c r="H37" s="10" t="n">
        <x:v>3</x:v>
      </x:c>
      <x:c r="I37" s="8" t="str">
        <x:v> ШТ. </x:v>
      </x:c>
      <x:c r="J37" s="8" t="str">
        <x:v>chint</x:v>
      </x:c>
      <x:c r="K37" s="9" t="str">
        <x:v>PDF лист 3</x:v>
      </x:c>
    </x:row>
    <x:row r="38">
      <x:c r="A38" s="8" t="str">
        <x:v>РУ-2 (ВРУ 1-50-00)</x:v>
      </x:c>
      <x:c r="B38" s="8" t="str">
        <x:v>Предохранитель</x:v>
      </x:c>
      <x:c r="C38" s="8" t="str">
        <x:v>521260</x:v>
      </x:c>
      <x:c r="D38" s="9" t="str">
        <x:v>Держатель плавкой вставки RT36-00-160, габарит 00, 160А</x:v>
      </x:c>
      <x:c r="E38" s="10" t="n">
        <x:v>2038</x:v>
      </x:c>
      <x:c r="F38" s="10" t="n">
        <x:v>1222.8</x:v>
      </x:c>
      <x:c r="G38" s="10" t="n">
        <x:f>IF(OR(F38="",H38=""),"",F38*H38)</x:f>
        <x:v>7336.799999999999</x:v>
      </x:c>
      <x:c r="H38" s="10" t="n">
        <x:v>6</x:v>
      </x:c>
      <x:c r="I38" s="8" t="str">
        <x:v> ШТ. </x:v>
      </x:c>
      <x:c r="J38" s="8" t="str">
        <x:v>chint</x:v>
      </x:c>
      <x:c r="K38" s="9" t="str">
        <x:v>PDF лист 3</x:v>
      </x:c>
    </x:row>
    <x:row r="39">
      <x:c r="A39" s="8" t="str">
        <x:v>РУ-2 (ВРУ 1-50-00)</x:v>
      </x:c>
      <x:c r="B39" s="8" t="str">
        <x:v>Предохранитель</x:v>
      </x:c>
      <x:c r="C39" s="8" t="str">
        <x:v>521340</x:v>
      </x:c>
      <x:c r="D39" s="9" t="str">
        <x:v>Плавкая вставка предохранителя RT36-00-160, габарит 00, 25А</x:v>
      </x:c>
      <x:c r="E39" s="10" t="n">
        <x:v>1510</x:v>
      </x:c>
      <x:c r="F39" s="10" t="n">
        <x:v>906</x:v>
      </x:c>
      <x:c r="G39" s="10" t="n">
        <x:f>IF(OR(F39="",H39=""),"",F39*H39)</x:f>
        <x:v>5436</x:v>
      </x:c>
      <x:c r="H39" s="10" t="n">
        <x:v>6</x:v>
      </x:c>
      <x:c r="I39" s="8" t="str">
        <x:v> ШТ. </x:v>
      </x:c>
      <x:c r="J39" s="8" t="str">
        <x:v>chint</x:v>
      </x:c>
      <x:c r="K39" s="9" t="str">
        <x:v>PDF лист 3</x:v>
      </x:c>
    </x:row>
    <x:row r="40">
      <x:c r="A40" s="29" t="str">
        <x:v>РУ-2 (ВРУ 1-50-00)</x:v>
      </x:c>
      <x:c r="B40" s="29" t="str">
        <x:v>Клеммник</x:v>
      </x:c>
      <x:c r="C40" s="29" t="str">
        <x:v>КОНТРОЛЬ</x:v>
      </x:c>
      <x:c r="D40" s="30" t="str">
        <x:v>Клеммники силовые/PE/N по фактическим отходящим линиям; тип и количество КОНТРОЛЬ</x:v>
      </x:c>
      <x:c r="E40" s="31" t="n">
        <x:v>0</x:v>
      </x:c>
      <x:c r="F40" s="31" t="n">
        <x:v>0</x:v>
      </x:c>
      <x:c r="G40" s="31" t="str">
        <x:f>IF(OR(F40="",H40=""),"",F40*H40)</x:f>
      </x:c>
      <x:c r="H40" s="31"/>
      <x:c r="I40" s="29" t="str">
        <x:v>компл.</x:v>
      </x:c>
      <x:c r="J40" s="29" t="str">
        <x:v>EKT / Klemsan</x:v>
      </x:c>
      <x:c r="K40" s="30" t="str">
        <x:v>Проект не содержит клеммной раскладки — не заполнять предположением.</x:v>
      </x:c>
    </x:row>
    <x:row r="41">
      <x:c r="A41" s="29" t="str">
        <x:v>РУ-2 (ВРУ 1-50-00)</x:v>
      </x:c>
      <x:c r="B41" s="29" t="str">
        <x:v>DIN рейка</x:v>
      </x:c>
      <x:c r="C41" s="29" t="str">
        <x:v>КОНТРОЛЬ</x:v>
      </x:c>
      <x:c r="D41" s="30" t="str">
        <x:v>DIN рейка 35 мм; длина КОНТРОЛЬ</x:v>
      </x:c>
      <x:c r="E41" s="31" t="n">
        <x:v>0</x:v>
      </x:c>
      <x:c r="F41" s="31" t="n">
        <x:v>0</x:v>
      </x:c>
      <x:c r="G41" s="31" t="str">
        <x:f>IF(OR(F41="",H41=""),"",F41*H41)</x:f>
      </x:c>
      <x:c r="H41" s="31"/>
      <x:c r="I41" s="29" t="str">
        <x:v>м</x:v>
      </x:c>
      <x:c r="J41" s="29" t="str">
        <x:v>EKT</x:v>
      </x:c>
      <x:c r="K41" s="30" t="str">
        <x:v>Определить по монтажной раскладке и 20% резерву.</x:v>
      </x:c>
    </x:row>
    <x:row r="42">
      <x:c r="A42" s="29" t="str">
        <x:v>РУ-2 (ВРУ 1-50-00)</x:v>
      </x:c>
      <x:c r="B42" s="29" t="str">
        <x:v>Кабельный канал</x:v>
      </x:c>
      <x:c r="C42" s="29" t="str">
        <x:v>КОНТРОЛЬ</x:v>
      </x:c>
      <x:c r="D42" s="30" t="str">
        <x:v>Кабельный канал; сечение и длина КОНТРОЛЬ</x:v>
      </x:c>
      <x:c r="E42" s="31" t="n">
        <x:v>0</x:v>
      </x:c>
      <x:c r="F42" s="31" t="n">
        <x:v>0</x:v>
      </x:c>
      <x:c r="G42" s="31" t="str">
        <x:f>IF(OR(F42="",H42=""),"",F42*H42)</x:f>
      </x:c>
      <x:c r="H42" s="31"/>
      <x:c r="I42" s="29" t="str">
        <x:v>м</x:v>
      </x:c>
      <x:c r="J42" s="29" t="str">
        <x:v>EKT / Onka</x:v>
      </x:c>
      <x:c r="K42" s="30" t="str">
        <x:v>Определить по монтажной раскладке и заполнению канала.</x:v>
      </x:c>
    </x:row>
    <x:row r="43">
      <x:c r="A43" s="29" t="str">
        <x:v>РУ-2 (ВРУ 1-50-00)</x:v>
      </x:c>
      <x:c r="B43" s="29" t="str">
        <x:v>Шина</x:v>
      </x:c>
      <x:c r="C43" s="29" t="str">
        <x:v>КОНТРОЛЬ</x:v>
      </x:c>
      <x:c r="D43" s="30" t="str">
        <x:v>Шины N/PE и фазные перемычки; сечение/длина КОНТРОЛЬ</x:v>
      </x:c>
      <x:c r="E43" s="31" t="n">
        <x:v>0</x:v>
      </x:c>
      <x:c r="F43" s="31" t="n">
        <x:v>0</x:v>
      </x:c>
      <x:c r="G43" s="31" t="str">
        <x:f>IF(OR(F43="",H43=""),"",F43*H43)</x:f>
      </x:c>
      <x:c r="H43" s="31"/>
      <x:c r="I43" s="29" t="str">
        <x:v>компл.</x:v>
      </x:c>
      <x:c r="J43" s="29" t="str">
        <x:v>TEKLED</x:v>
      </x:c>
      <x:c r="K43" s="30" t="str">
        <x:v>Рассчитать по току, КЗ, материалу и фактической компоновке.</x:v>
      </x:c>
    </x:row>
    <x:row r="44">
      <x:c r="A44" s="8" t="str">
        <x:v>РУ-2 (ВРУ 1-50-00)</x:v>
      </x:c>
      <x:c r="B44" s="8" t="str">
        <x:v>Монтажный материал</x:v>
      </x:c>
      <x:c r="C44" s="8" t="str"/>
      <x:c r="D44" s="9" t="str">
        <x:v>Монтажный материал</x:v>
      </x:c>
      <x:c r="E44" s="10" t="n">
        <x:v>0</x:v>
      </x:c>
      <x:c r="F44" s="10" t="n">
        <x:v>0</x:v>
      </x:c>
      <x:c r="G44" s="10" t="str">
        <x:f>IF(OR(F44="",H44=""),"",F44*H44)</x:f>
      </x:c>
      <x:c r="H44" s="10" t="n">
        <x:v>1</x:v>
      </x:c>
      <x:c r="I44" s="8" t="str">
        <x:v>компл.</x:v>
      </x:c>
      <x:c r="J44" s="8" t="str">
        <x:v>TEKLED</x:v>
      </x:c>
      <x:c r="K44" s="9" t="str">
        <x:v>Количество 1 компл.; состав и цена заполняются после монтажной раскладки.</x:v>
      </x:c>
    </x:row>
    <x:row r="45">
      <x:c r="A45" s="8" t="str">
        <x:v>РУ-2 (ВРУ 1-50-00)</x:v>
      </x:c>
      <x:c r="B45" s="8" t="str">
        <x:v>Монтажные работы</x:v>
      </x:c>
      <x:c r="C45" s="8" t="str"/>
      <x:c r="D45" s="9" t="str">
        <x:v>Монтажные работы</x:v>
      </x:c>
      <x:c r="E45" s="10"/>
      <x:c r="F45" s="10" t="n">
        <x:v>100</x:v>
      </x:c>
      <x:c r="G45" s="10" t="n">
        <x:f>IF(OR(F45="",H45=""),"",F45*H45)</x:f>
        <x:v>100</x:v>
      </x:c>
      <x:c r="H45" s="10" t="n">
        <x:v>1</x:v>
      </x:c>
      <x:c r="I45" s="8" t="str">
        <x:v>компл.</x:v>
      </x:c>
      <x:c r="J45" s="8" t="str">
        <x:v>TEKLED</x:v>
      </x:c>
      <x:c r="K45" s="9" t="str">
        <x:v>Количество 1 компл.; стоимость заполняется после нормирования.</x:v>
      </x:c>
    </x:row>
    <x:row r="46">
      <x:c r="A46" s="26" t="str">
        <x:v>РУ-2 (ВРУ 1-50-00)</x:v>
      </x:c>
      <x:c r="B46" s="26" t="str">
        <x:v>ИТОГО</x:v>
      </x:c>
      <x:c r="C46" s="26" t="str"/>
      <x:c r="D46" s="27" t="str">
        <x:v>ИТОГО РУ-2 (ВРУ 1-50-00)</x:v>
      </x:c>
      <x:c r="E46" s="28" t="n">
        <x:v>0</x:v>
      </x:c>
      <x:c r="F46" s="28" t="n">
        <x:v>0</x:v>
      </x:c>
      <x:c r="G46" s="28" t="n">
        <x:f>SUM(G34:G45)</x:f>
        <x:v>61118.8</x:v>
      </x:c>
      <x:c r="H46" s="28"/>
      <x:c r="I46" s="26" t="str"/>
      <x:c r="J46" s="26" t="str"/>
      <x:c r="K46" s="27" t="str">
        <x:v>Сумма позиций строк 34-45.</x:v>
      </x:c>
    </x:row>
    <x:row r="47">
      <x:c r="A47" s="17" t="str">
        <x:v>ЩР (ЩР11-73707-54У2)</x:v>
      </x:c>
      <x:c r="B47" s="17" t="str">
        <x:v>Панель</x:v>
      </x:c>
      <x:c r="C47" s="17" t="str"/>
      <x:c r="D47" s="18" t="str">
        <x:v>ЩР (ЩР11-73707-54У2)</x:v>
      </x:c>
      <x:c r="E47" s="19" t="n">
        <x:v>0</x:v>
      </x:c>
      <x:c r="F47" s="19" t="n">
        <x:v>0</x:v>
      </x:c>
      <x:c r="G47" s="19"/>
      <x:c r="H47" s="19" t="n">
        <x:v>1</x:v>
      </x:c>
      <x:c r="I47" s="17" t="str">
        <x:v>компл.</x:v>
      </x:c>
      <x:c r="J47" s="17" t="str">
        <x:v>TEKSAN</x:v>
      </x:c>
      <x:c r="K47" s="18" t="str">
        <x:v>Наименование по проекту; внутренние позиции для 1 панели.</x:v>
      </x:c>
    </x:row>
    <x:row r="48">
      <x:c r="A48" s="8" t="str">
        <x:v>ЩР (ЩР11-73707-54У2)</x:v>
      </x:c>
      <x:c r="B48" s="8" t="str">
        <x:v>Корпус</x:v>
      </x:c>
      <x:c r="C48" s="8" t="str">
        <x:v>719-15612</x:v>
      </x:c>
      <x:c r="D48" s="9" t="str">
        <x:v>Мет. Корпус (Пустой) (1600x500x350)+10CM База IP31</x:v>
      </x:c>
      <x:c r="E48" s="10" t="n">
        <x:v>89545</x:v>
      </x:c>
      <x:c r="F48" s="10" t="n">
        <x:v>53727</x:v>
      </x:c>
      <x:c r="G48" s="10" t="n">
        <x:f>IF(OR(F48="",H48=""),"",F48*H48)</x:f>
        <x:v>53727</x:v>
      </x:c>
      <x:c r="H48" s="10" t="n">
        <x:v>1</x:v>
      </x:c>
      <x:c r="I48" s="8" t="str">
        <x:v> ШТ. </x:v>
      </x:c>
      <x:c r="J48" s="8" t="str">
        <x:v>teksan f</x:v>
      </x:c>
      <x:c r="K48" s="9" t="str">
        <x:v>PDF лист 3</x:v>
      </x:c>
    </x:row>
    <x:row r="49">
      <x:c r="A49" s="8" t="str">
        <x:v>ЩР (ЩР11-73707-54У2)</x:v>
      </x:c>
      <x:c r="B49" s="8" t="str">
        <x:v>Предохранитель</x:v>
      </x:c>
      <x:c r="C49" s="8" t="str">
        <x:v>521367</x:v>
      </x:c>
      <x:c r="D49" s="9" t="str">
        <x:v>Держатель плавкой вставки RT36-1-250, габарит 1, 250А</x:v>
      </x:c>
      <x:c r="E49" s="10" t="n">
        <x:v>4750</x:v>
      </x:c>
      <x:c r="F49" s="10" t="n">
        <x:v>4750</x:v>
      </x:c>
      <x:c r="G49" s="10" t="n">
        <x:f>IF(OR(F49="",H49=""),"",F49*H49)</x:f>
        <x:v>28500</x:v>
      </x:c>
      <x:c r="H49" s="10" t="n">
        <x:v>6</x:v>
      </x:c>
      <x:c r="I49" s="8" t="str">
        <x:v> ШТ. </x:v>
      </x:c>
      <x:c r="J49" s="8" t="str">
        <x:v>chint</x:v>
      </x:c>
      <x:c r="K49" s="9" t="str">
        <x:v>PDF лист 3</x:v>
      </x:c>
    </x:row>
    <x:row r="50">
      <x:c r="A50" s="8" t="str">
        <x:v>ЩР (ЩР11-73707-54У2)</x:v>
      </x:c>
      <x:c r="B50" s="8" t="str">
        <x:v>Предохранитель</x:v>
      </x:c>
      <x:c r="C50" s="8" t="str">
        <x:v>521187</x:v>
      </x:c>
      <x:c r="D50" s="9" t="str">
        <x:v>Плавкая вставка предохранителя RT36-1-250, габарит 1, 160А</x:v>
      </x:c>
      <x:c r="E50" s="10" t="n">
        <x:v>3288</x:v>
      </x:c>
      <x:c r="F50" s="10" t="n">
        <x:v>3288</x:v>
      </x:c>
      <x:c r="G50" s="10" t="n">
        <x:f>IF(OR(F50="",H50=""),"",F50*H50)</x:f>
        <x:v>19728</x:v>
      </x:c>
      <x:c r="H50" s="10" t="n">
        <x:v>6</x:v>
      </x:c>
      <x:c r="I50" s="8" t="str">
        <x:v> ШТ. </x:v>
      </x:c>
      <x:c r="J50" s="8" t="str">
        <x:v>chint</x:v>
      </x:c>
      <x:c r="K50" s="9" t="str">
        <x:v>PDF лист 3</x:v>
      </x:c>
    </x:row>
    <x:row r="51">
      <x:c r="A51" s="8" t="str">
        <x:v>ЩР (ЩР11-73707-54У2)</x:v>
      </x:c>
      <x:c r="B51" s="8" t="str">
        <x:v>Предохранитель</x:v>
      </x:c>
      <x:c r="C51" s="8" t="str">
        <x:v>521260</x:v>
      </x:c>
      <x:c r="D51" s="9" t="str">
        <x:v>Держатель плавкой вставки RT36-00-160, габарит 00, 160А</x:v>
      </x:c>
      <x:c r="E51" s="10" t="n">
        <x:v>2038</x:v>
      </x:c>
      <x:c r="F51" s="10" t="n">
        <x:v>1222.8</x:v>
      </x:c>
      <x:c r="G51" s="10" t="n">
        <x:f>IF(OR(F51="",H51=""),"",F51*H51)</x:f>
        <x:v>14673.599999999999</x:v>
      </x:c>
      <x:c r="H51" s="10" t="n">
        <x:v>12</x:v>
      </x:c>
      <x:c r="I51" s="8" t="str">
        <x:v> ШТ. </x:v>
      </x:c>
      <x:c r="J51" s="8" t="str">
        <x:v>chint</x:v>
      </x:c>
      <x:c r="K51" s="9" t="str">
        <x:v>PDF лист 3</x:v>
      </x:c>
    </x:row>
    <x:row r="52">
      <x:c r="A52" s="8" t="str">
        <x:v>ЩР (ЩР11-73707-54У2)</x:v>
      </x:c>
      <x:c r="B52" s="8" t="str">
        <x:v>Предохранитель</x:v>
      </x:c>
      <x:c r="C52" s="8" t="str">
        <x:v>521340</x:v>
      </x:c>
      <x:c r="D52" s="9" t="str">
        <x:v>Плавкая вставка предохранителя RT36-00-160, габарит 00, 25А</x:v>
      </x:c>
      <x:c r="E52" s="10" t="n">
        <x:v>1510</x:v>
      </x:c>
      <x:c r="F52" s="10" t="n">
        <x:v>906</x:v>
      </x:c>
      <x:c r="G52" s="10" t="n">
        <x:f>IF(OR(F52="",H52=""),"",F52*H52)</x:f>
        <x:v>10872</x:v>
      </x:c>
      <x:c r="H52" s="10" t="n">
        <x:v>12</x:v>
      </x:c>
      <x:c r="I52" s="8" t="str">
        <x:v> ШТ. </x:v>
      </x:c>
      <x:c r="J52" s="8" t="str">
        <x:v>chint</x:v>
      </x:c>
      <x:c r="K52" s="9" t="str">
        <x:v>PDF лист 3</x:v>
      </x:c>
    </x:row>
    <x:row r="53">
      <x:c r="A53" s="29" t="str">
        <x:v>ЩР (ЩР11-73707-54У2)</x:v>
      </x:c>
      <x:c r="B53" s="29" t="str">
        <x:v>Клеммник</x:v>
      </x:c>
      <x:c r="C53" s="29" t="str">
        <x:v>КОНТРОЛЬ</x:v>
      </x:c>
      <x:c r="D53" s="30" t="str">
        <x:v>Клеммники силовые/PE/N по фактическим отходящим линиям; тип и количество КОНТРОЛЬ</x:v>
      </x:c>
      <x:c r="E53" s="31" t="n">
        <x:v>0</x:v>
      </x:c>
      <x:c r="F53" s="31" t="n">
        <x:v>0</x:v>
      </x:c>
      <x:c r="G53" s="31" t="str">
        <x:f>IF(OR(F53="",H53=""),"",F53*H53)</x:f>
      </x:c>
      <x:c r="H53" s="31"/>
      <x:c r="I53" s="29" t="str">
        <x:v>компл.</x:v>
      </x:c>
      <x:c r="J53" s="29" t="str">
        <x:v>EKT / Klemsan</x:v>
      </x:c>
      <x:c r="K53" s="30" t="str">
        <x:v>Проект не содержит клеммной раскладки — не заполнять предположением.</x:v>
      </x:c>
    </x:row>
    <x:row r="54">
      <x:c r="A54" s="29" t="str">
        <x:v>ЩР (ЩР11-73707-54У2)</x:v>
      </x:c>
      <x:c r="B54" s="29" t="str">
        <x:v>DIN рейка</x:v>
      </x:c>
      <x:c r="C54" s="29" t="str">
        <x:v>КОНТРОЛЬ</x:v>
      </x:c>
      <x:c r="D54" s="30" t="str">
        <x:v>DIN рейка 35 мм; длина КОНТРОЛЬ</x:v>
      </x:c>
      <x:c r="E54" s="31" t="n">
        <x:v>0</x:v>
      </x:c>
      <x:c r="F54" s="31" t="n">
        <x:v>0</x:v>
      </x:c>
      <x:c r="G54" s="31" t="str">
        <x:f>IF(OR(F54="",H54=""),"",F54*H54)</x:f>
      </x:c>
      <x:c r="H54" s="31"/>
      <x:c r="I54" s="29" t="str">
        <x:v>м</x:v>
      </x:c>
      <x:c r="J54" s="29" t="str">
        <x:v>EKT</x:v>
      </x:c>
      <x:c r="K54" s="30" t="str">
        <x:v>Определить по монтажной раскладке и 20% резерву.</x:v>
      </x:c>
    </x:row>
    <x:row r="55">
      <x:c r="A55" s="29" t="str">
        <x:v>ЩР (ЩР11-73707-54У2)</x:v>
      </x:c>
      <x:c r="B55" s="29" t="str">
        <x:v>Кабельный канал</x:v>
      </x:c>
      <x:c r="C55" s="29" t="str">
        <x:v>КОНТРОЛЬ</x:v>
      </x:c>
      <x:c r="D55" s="30" t="str">
        <x:v>Кабельный канал; сечение и длина КОНТРОЛЬ</x:v>
      </x:c>
      <x:c r="E55" s="31" t="n">
        <x:v>0</x:v>
      </x:c>
      <x:c r="F55" s="31" t="n">
        <x:v>0</x:v>
      </x:c>
      <x:c r="G55" s="31" t="str">
        <x:f>IF(OR(F55="",H55=""),"",F55*H55)</x:f>
      </x:c>
      <x:c r="H55" s="31"/>
      <x:c r="I55" s="29" t="str">
        <x:v>м</x:v>
      </x:c>
      <x:c r="J55" s="29" t="str">
        <x:v>EKT / Onka</x:v>
      </x:c>
      <x:c r="K55" s="30" t="str">
        <x:v>Определить по монтажной раскладке и заполнению канала.</x:v>
      </x:c>
    </x:row>
    <x:row r="56">
      <x:c r="A56" s="29" t="str">
        <x:v>ЩР (ЩР11-73707-54У2)</x:v>
      </x:c>
      <x:c r="B56" s="29" t="str">
        <x:v>Шина</x:v>
      </x:c>
      <x:c r="C56" s="29" t="str">
        <x:v>КОНТРОЛЬ</x:v>
      </x:c>
      <x:c r="D56" s="30" t="str">
        <x:v>Шины N/PE и фазные перемычки; сечение/длина КОНТРОЛЬ</x:v>
      </x:c>
      <x:c r="E56" s="31" t="n">
        <x:v>0</x:v>
      </x:c>
      <x:c r="F56" s="31" t="n">
        <x:v>0</x:v>
      </x:c>
      <x:c r="G56" s="31" t="str">
        <x:f>IF(OR(F56="",H56=""),"",F56*H56)</x:f>
      </x:c>
      <x:c r="H56" s="31"/>
      <x:c r="I56" s="29" t="str">
        <x:v>компл.</x:v>
      </x:c>
      <x:c r="J56" s="29" t="str">
        <x:v>TEKLED</x:v>
      </x:c>
      <x:c r="K56" s="30" t="str">
        <x:v>Рассчитать по току, КЗ, материалу и фактической компоновке.</x:v>
      </x:c>
    </x:row>
    <x:row r="57">
      <x:c r="A57" s="8" t="str">
        <x:v>ЩР (ЩР11-73707-54У2)</x:v>
      </x:c>
      <x:c r="B57" s="8" t="str">
        <x:v>Монтажный материал</x:v>
      </x:c>
      <x:c r="C57" s="8" t="str"/>
      <x:c r="D57" s="9" t="str">
        <x:v>Монтажный материал</x:v>
      </x:c>
      <x:c r="E57" s="10" t="n">
        <x:v>0</x:v>
      </x:c>
      <x:c r="F57" s="10" t="n">
        <x:v>0</x:v>
      </x:c>
      <x:c r="G57" s="10" t="str">
        <x:f>IF(OR(F57="",H57=""),"",F57*H57)</x:f>
      </x:c>
      <x:c r="H57" s="10" t="n">
        <x:v>1</x:v>
      </x:c>
      <x:c r="I57" s="8" t="str">
        <x:v>компл.</x:v>
      </x:c>
      <x:c r="J57" s="8" t="str">
        <x:v>TEKLED</x:v>
      </x:c>
      <x:c r="K57" s="9" t="str">
        <x:v>Количество 1 компл.; состав и цена заполняются после монтажной раскладки.</x:v>
      </x:c>
    </x:row>
    <x:row r="58">
      <x:c r="A58" s="8" t="str">
        <x:v>ЩР (ЩР11-73707-54У2)</x:v>
      </x:c>
      <x:c r="B58" s="8" t="str">
        <x:v>Монтажные работы</x:v>
      </x:c>
      <x:c r="C58" s="8" t="str"/>
      <x:c r="D58" s="9" t="str">
        <x:v>Монтажные работы</x:v>
      </x:c>
      <x:c r="E58" s="10"/>
      <x:c r="F58" s="10" t="n">
        <x:v>100</x:v>
      </x:c>
      <x:c r="G58" s="10" t="n">
        <x:f>IF(OR(F58="",H58=""),"",F58*H58)</x:f>
        <x:v>100</x:v>
      </x:c>
      <x:c r="H58" s="10" t="n">
        <x:v>1</x:v>
      </x:c>
      <x:c r="I58" s="8" t="str">
        <x:v>компл.</x:v>
      </x:c>
      <x:c r="J58" s="8" t="str">
        <x:v>TEKLED</x:v>
      </x:c>
      <x:c r="K58" s="9" t="str">
        <x:v>Количество 1 компл.; стоимость заполняется после нормирования.</x:v>
      </x:c>
    </x:row>
    <x:row r="59">
      <x:c r="A59" s="26" t="str">
        <x:v>ЩР (ЩР11-73707-54У2)</x:v>
      </x:c>
      <x:c r="B59" s="26" t="str">
        <x:v>ИТОГО</x:v>
      </x:c>
      <x:c r="C59" s="26" t="str"/>
      <x:c r="D59" s="27" t="str">
        <x:v>ИТОГО ЩР (ЩР11-73707-54У2)</x:v>
      </x:c>
      <x:c r="E59" s="28" t="n">
        <x:v>0</x:v>
      </x:c>
      <x:c r="F59" s="28" t="n">
        <x:v>0</x:v>
      </x:c>
      <x:c r="G59" s="28" t="n">
        <x:f>SUM(G48:G58)</x:f>
        <x:v>127600.6</x:v>
      </x:c>
      <x:c r="H59" s="28"/>
      <x:c r="I59" s="26" t="str"/>
      <x:c r="J59" s="26" t="str"/>
      <x:c r="K59" s="27" t="str">
        <x:v>Сумма позиций строк 48-58.</x:v>
      </x:c>
    </x:row>
    <x:row r="60">
      <x:c r="A60" s="17" t="str">
        <x:v>АВР 3.1.1.250</x:v>
      </x:c>
      <x:c r="B60" s="17" t="str">
        <x:v>Панель</x:v>
      </x:c>
      <x:c r="C60" s="17" t="str"/>
      <x:c r="D60" s="18" t="str">
        <x:v>АВР 3.1.1.250</x:v>
      </x:c>
      <x:c r="E60" s="19" t="n">
        <x:v>0</x:v>
      </x:c>
      <x:c r="F60" s="19" t="n">
        <x:v>0</x:v>
      </x:c>
      <x:c r="G60" s="19"/>
      <x:c r="H60" s="19" t="n">
        <x:v>1</x:v>
      </x:c>
      <x:c r="I60" s="17" t="str">
        <x:v>компл.</x:v>
      </x:c>
      <x:c r="J60" s="17" t="str">
        <x:v>TEKSAN</x:v>
      </x:c>
      <x:c r="K60" s="18" t="str">
        <x:v>Наименование по проекту; внутренние позиции для 1 панели.</x:v>
      </x:c>
    </x:row>
    <x:row r="61">
      <x:c r="A61" s="8" t="str">
        <x:v>АВР 3.1.1.250</x:v>
      </x:c>
      <x:c r="B61" s="8" t="str">
        <x:v>Корпус</x:v>
      </x:c>
      <x:c r="C61" s="8" t="str">
        <x:v>719-15445</x:v>
      </x:c>
      <x:c r="D61" s="9" t="str">
        <x:v>Мет.Корпус ЩМП-5 (1000x650x300) IP31</x:v>
      </x:c>
      <x:c r="E61" s="10" t="n">
        <x:v>38905</x:v>
      </x:c>
      <x:c r="F61" s="10" t="n">
        <x:v>23343</x:v>
      </x:c>
      <x:c r="G61" s="10" t="n">
        <x:f>IF(OR(F61="",H61=""),"",F61*H61)</x:f>
        <x:v>23343</x:v>
      </x:c>
      <x:c r="H61" s="10" t="n">
        <x:v>1</x:v>
      </x:c>
      <x:c r="I61" s="8" t="str">
        <x:v> ШТ. </x:v>
      </x:c>
      <x:c r="J61" s="8" t="str">
        <x:v>teksan f</x:v>
      </x:c>
      <x:c r="K61" s="9" t="str">
        <x:v>PDF лист 3</x:v>
      </x:c>
    </x:row>
    <x:row r="62">
      <x:c r="A62" s="8" t="str">
        <x:v>АВР 3.1.1.250</x:v>
      </x:c>
      <x:c r="B62" s="8" t="str">
        <x:v>АВР</x:v>
      </x:c>
      <x:c r="C62" s="8" t="str">
        <x:v>256796</x:v>
      </x:c>
      <x:c r="D62" s="9" t="str">
        <x:v>Устройство автоматического ввода резерва NXZM-250S/3B 250A (R)</x:v>
      </x:c>
      <x:c r="E62" s="10" t="n">
        <x:v>246865</x:v>
      </x:c>
      <x:c r="F62" s="10" t="n">
        <x:v>148119</x:v>
      </x:c>
      <x:c r="G62" s="10" t="n">
        <x:f>IF(OR(F62="",H62=""),"",F62*H62)</x:f>
        <x:v>148119</x:v>
      </x:c>
      <x:c r="H62" s="10" t="n">
        <x:v>1</x:v>
      </x:c>
      <x:c r="I62" s="8" t="str">
        <x:v> ШТ. </x:v>
      </x:c>
      <x:c r="J62" s="8" t="str">
        <x:v>chint</x:v>
      </x:c>
      <x:c r="K62" s="9" t="str">
        <x:v>PDF лист 3: один блок АВР на два ввода; количество исправлено.</x:v>
      </x:c>
    </x:row>
    <x:row r="63">
      <x:c r="A63" s="8" t="str">
        <x:v>АВР 3.1.1.250</x:v>
      </x:c>
      <x:c r="B63" s="8" t="str">
        <x:v>Индикатор</x:v>
      </x:c>
      <x:c r="C63" s="8" t="str">
        <x:v>593075</x:v>
      </x:c>
      <x:c r="D63" s="9" t="str">
        <x:v>Индикатор ND16-22D/2 красный AC/DC230В (R)</x:v>
      </x:c>
      <x:c r="E63" s="10" t="n">
        <x:v>571</x:v>
      </x:c>
      <x:c r="F63" s="10" t="n">
        <x:v>342.59999999999997</x:v>
      </x:c>
      <x:c r="G63" s="10" t="n">
        <x:f>IF(OR(F63="",H63=""),"",F63*H63)</x:f>
        <x:v>1027.8</x:v>
      </x:c>
      <x:c r="H63" s="10" t="n">
        <x:v>3</x:v>
      </x:c>
      <x:c r="I63" s="8" t="str">
        <x:v> ШТ. </x:v>
      </x:c>
      <x:c r="J63" s="8" t="str">
        <x:v>chint</x:v>
      </x:c>
      <x:c r="K63" s="9" t="str">
        <x:v>PDF лист 3</x:v>
      </x:c>
    </x:row>
    <x:row r="64">
      <x:c r="A64" s="8" t="str">
        <x:v>АВР 3.1.1.250</x:v>
      </x:c>
      <x:c r="B64" s="8" t="str">
        <x:v>Индикатор</x:v>
      </x:c>
      <x:c r="C64" s="8" t="str">
        <x:v>593077</x:v>
      </x:c>
      <x:c r="D64" s="9" t="str">
        <x:v>Индикатор ND16-22D/2 зеленый AC/DC230В (R)</x:v>
      </x:c>
      <x:c r="E64" s="10" t="n">
        <x:v>589</x:v>
      </x:c>
      <x:c r="F64" s="10" t="n">
        <x:v>353.4</x:v>
      </x:c>
      <x:c r="G64" s="10" t="n">
        <x:f>IF(OR(F64="",H64=""),"",F64*H64)</x:f>
        <x:v>1060.1999999999998</x:v>
      </x:c>
      <x:c r="H64" s="10" t="n">
        <x:v>3</x:v>
      </x:c>
      <x:c r="I64" s="8" t="str">
        <x:v> ШТ. </x:v>
      </x:c>
      <x:c r="J64" s="8" t="str">
        <x:v>chint</x:v>
      </x:c>
      <x:c r="K64" s="9" t="str">
        <x:v>PDF лист 3</x:v>
      </x:c>
    </x:row>
    <x:row r="65">
      <x:c r="A65" s="8" t="str">
        <x:v>АВР 3.1.1.250</x:v>
      </x:c>
      <x:c r="B65" s="8" t="str">
        <x:v>Индикатор</x:v>
      </x:c>
      <x:c r="C65" s="8" t="str">
        <x:v>593073</x:v>
      </x:c>
      <x:c r="D65" s="9" t="str">
        <x:v>Индикатор ND16-22D/2 белый AC/DC230В (R)</x:v>
      </x:c>
      <x:c r="E65" s="10" t="n">
        <x:v>1047</x:v>
      </x:c>
      <x:c r="F65" s="10" t="n">
        <x:v>628.1999999999999</x:v>
      </x:c>
      <x:c r="G65" s="10" t="n">
        <x:f>IF(OR(F65="",H65=""),"",F65*H65)</x:f>
        <x:v>1884.6</x:v>
      </x:c>
      <x:c r="H65" s="10" t="n">
        <x:v>3</x:v>
      </x:c>
      <x:c r="I65" s="8" t="str">
        <x:v> ШТ. </x:v>
      </x:c>
      <x:c r="J65" s="8" t="str">
        <x:v>chint</x:v>
      </x:c>
      <x:c r="K65" s="9" t="str">
        <x:v>PDF лист 3</x:v>
      </x:c>
    </x:row>
    <x:row r="66">
      <x:c r="A66" s="8" t="str">
        <x:v>АВР 3.1.1.250</x:v>
      </x:c>
      <x:c r="B66" s="8" t="str">
        <x:v>Шина</x:v>
      </x:c>
      <x:c r="C66" s="8"/>
      <x:c r="D66" s="9" t="str">
        <x:v>shin</x:v>
      </x:c>
      <x:c r="E66" s="10"/>
      <x:c r="F66" s="10" t="n">
        <x:v>0</x:v>
      </x:c>
      <x:c r="G66" s="10" t="str">
        <x:f>IF(OR(F66="",H66=""),"",F66*H66)</x:f>
      </x:c>
      <x:c r="H66" s="10" t="n">
        <x:v>3</x:v>
      </x:c>
      <x:c r="I66" s="8" t="str">
        <x:v> ШТ. </x:v>
      </x:c>
      <x:c r="J66" s="8" t="str">
        <x:v>pys</x:v>
      </x:c>
      <x:c r="K66" s="9" t="str">
        <x:v>PDF лист 3</x:v>
      </x:c>
    </x:row>
    <x:row r="67">
      <x:c r="A67" s="29" t="str">
        <x:v>АВР 3.1.1.250</x:v>
      </x:c>
      <x:c r="B67" s="29" t="str">
        <x:v>Клеммник</x:v>
      </x:c>
      <x:c r="C67" s="29" t="str">
        <x:v>КОНТРОЛЬ</x:v>
      </x:c>
      <x:c r="D67" s="30" t="str">
        <x:v>Клеммники силовые/PE/N по фактическим отходящим линиям; тип и количество КОНТРОЛЬ</x:v>
      </x:c>
      <x:c r="E67" s="31" t="n">
        <x:v>0</x:v>
      </x:c>
      <x:c r="F67" s="31" t="n">
        <x:v>0</x:v>
      </x:c>
      <x:c r="G67" s="31" t="str">
        <x:f>IF(OR(F67="",H67=""),"",F67*H67)</x:f>
      </x:c>
      <x:c r="H67" s="31"/>
      <x:c r="I67" s="29" t="str">
        <x:v>компл.</x:v>
      </x:c>
      <x:c r="J67" s="29" t="str">
        <x:v>EKT / Klemsan</x:v>
      </x:c>
      <x:c r="K67" s="30" t="str">
        <x:v>Проект не содержит клеммной раскладки — не заполнять предположением.</x:v>
      </x:c>
    </x:row>
    <x:row r="68">
      <x:c r="A68" s="29" t="str">
        <x:v>АВР 3.1.1.250</x:v>
      </x:c>
      <x:c r="B68" s="29" t="str">
        <x:v>DIN рейка</x:v>
      </x:c>
      <x:c r="C68" s="29" t="str">
        <x:v>КОНТРОЛЬ</x:v>
      </x:c>
      <x:c r="D68" s="30" t="str">
        <x:v>DIN рейка 35 мм; длина КОНТРОЛЬ</x:v>
      </x:c>
      <x:c r="E68" s="31" t="n">
        <x:v>0</x:v>
      </x:c>
      <x:c r="F68" s="31" t="n">
        <x:v>0</x:v>
      </x:c>
      <x:c r="G68" s="31" t="str">
        <x:f>IF(OR(F68="",H68=""),"",F68*H68)</x:f>
      </x:c>
      <x:c r="H68" s="31"/>
      <x:c r="I68" s="29" t="str">
        <x:v>м</x:v>
      </x:c>
      <x:c r="J68" s="29" t="str">
        <x:v>EKT</x:v>
      </x:c>
      <x:c r="K68" s="30" t="str">
        <x:v>Определить по монтажной раскладке и 20% резерву.</x:v>
      </x:c>
    </x:row>
    <x:row r="69">
      <x:c r="A69" s="29" t="str">
        <x:v>АВР 3.1.1.250</x:v>
      </x:c>
      <x:c r="B69" s="29" t="str">
        <x:v>Кабельный канал</x:v>
      </x:c>
      <x:c r="C69" s="29" t="str">
        <x:v>КОНТРОЛЬ</x:v>
      </x:c>
      <x:c r="D69" s="30" t="str">
        <x:v>Кабельный канал; сечение и длина КОНТРОЛЬ</x:v>
      </x:c>
      <x:c r="E69" s="31" t="n">
        <x:v>0</x:v>
      </x:c>
      <x:c r="F69" s="31" t="n">
        <x:v>0</x:v>
      </x:c>
      <x:c r="G69" s="31" t="str">
        <x:f>IF(OR(F69="",H69=""),"",F69*H69)</x:f>
      </x:c>
      <x:c r="H69" s="31"/>
      <x:c r="I69" s="29" t="str">
        <x:v>м</x:v>
      </x:c>
      <x:c r="J69" s="29" t="str">
        <x:v>EKT / Onka</x:v>
      </x:c>
      <x:c r="K69" s="30" t="str">
        <x:v>Определить по монтажной раскладке и заполнению канала.</x:v>
      </x:c>
    </x:row>
    <x:row r="70">
      <x:c r="A70" s="29" t="str">
        <x:v>АВР 3.1.1.250</x:v>
      </x:c>
      <x:c r="B70" s="29" t="str">
        <x:v>Шина</x:v>
      </x:c>
      <x:c r="C70" s="29" t="str">
        <x:v>КОНТРОЛЬ</x:v>
      </x:c>
      <x:c r="D70" s="30" t="str">
        <x:v>Шины N/PE и фазные перемычки; сечение/длина КОНТРОЛЬ</x:v>
      </x:c>
      <x:c r="E70" s="31" t="n">
        <x:v>0</x:v>
      </x:c>
      <x:c r="F70" s="31" t="n">
        <x:v>0</x:v>
      </x:c>
      <x:c r="G70" s="31" t="str">
        <x:f>IF(OR(F70="",H70=""),"",F70*H70)</x:f>
      </x:c>
      <x:c r="H70" s="31"/>
      <x:c r="I70" s="29" t="str">
        <x:v>компл.</x:v>
      </x:c>
      <x:c r="J70" s="29" t="str">
        <x:v>TEKLED</x:v>
      </x:c>
      <x:c r="K70" s="30" t="str">
        <x:v>Рассчитать по току, КЗ, материалу и фактической компоновке.</x:v>
      </x:c>
    </x:row>
    <x:row r="71">
      <x:c r="A71" s="8" t="str">
        <x:v>АВР 3.1.1.250</x:v>
      </x:c>
      <x:c r="B71" s="8" t="str">
        <x:v>Монтажный материал</x:v>
      </x:c>
      <x:c r="C71" s="8" t="str"/>
      <x:c r="D71" s="9" t="str">
        <x:v>Монтажный материал</x:v>
      </x:c>
      <x:c r="E71" s="10" t="n">
        <x:v>0</x:v>
      </x:c>
      <x:c r="F71" s="10" t="n">
        <x:v>0</x:v>
      </x:c>
      <x:c r="G71" s="10" t="str">
        <x:f>IF(OR(F71="",H71=""),"",F71*H71)</x:f>
      </x:c>
      <x:c r="H71" s="10" t="n">
        <x:v>1</x:v>
      </x:c>
      <x:c r="I71" s="8" t="str">
        <x:v>компл.</x:v>
      </x:c>
      <x:c r="J71" s="8" t="str">
        <x:v>TEKLED</x:v>
      </x:c>
      <x:c r="K71" s="9" t="str">
        <x:v>Количество 1 компл.; состав и цена заполняются после монтажной раскладки.</x:v>
      </x:c>
    </x:row>
    <x:row r="72">
      <x:c r="A72" s="8" t="str">
        <x:v>АВР 3.1.1.250</x:v>
      </x:c>
      <x:c r="B72" s="8" t="str">
        <x:v>Монтажные работы</x:v>
      </x:c>
      <x:c r="C72" s="8" t="str"/>
      <x:c r="D72" s="9" t="str">
        <x:v>Монтажные работы</x:v>
      </x:c>
      <x:c r="E72" s="10"/>
      <x:c r="F72" s="10" t="n">
        <x:v>100</x:v>
      </x:c>
      <x:c r="G72" s="10" t="n">
        <x:f>IF(OR(F72="",H72=""),"",F72*H72)</x:f>
        <x:v>100</x:v>
      </x:c>
      <x:c r="H72" s="10" t="n">
        <x:v>1</x:v>
      </x:c>
      <x:c r="I72" s="8" t="str">
        <x:v>компл.</x:v>
      </x:c>
      <x:c r="J72" s="8" t="str">
        <x:v>TEKLED</x:v>
      </x:c>
      <x:c r="K72" s="9" t="str">
        <x:v>Количество 1 компл.; стоимость заполняется после нормирования.</x:v>
      </x:c>
    </x:row>
    <x:row r="73">
      <x:c r="A73" s="26" t="str">
        <x:v>АВР 3.1.1.250</x:v>
      </x:c>
      <x:c r="B73" s="26" t="str">
        <x:v>ИТОГО</x:v>
      </x:c>
      <x:c r="C73" s="26" t="str"/>
      <x:c r="D73" s="27" t="str">
        <x:v>ИТОГО АВР 3.1.1.250</x:v>
      </x:c>
      <x:c r="E73" s="28" t="n">
        <x:v>0</x:v>
      </x:c>
      <x:c r="F73" s="28" t="n">
        <x:v>0</x:v>
      </x:c>
      <x:c r="G73" s="28" t="n">
        <x:f>SUM(G61:G72)</x:f>
        <x:v>175534.6</x:v>
      </x:c>
      <x:c r="H73" s="28"/>
      <x:c r="I73" s="26" t="str"/>
      <x:c r="J73" s="26" t="str"/>
      <x:c r="K73" s="27" t="str">
        <x:v>Сумма позиций строк 61-72.</x:v>
      </x:c>
    </x:row>
    <x:row r="74">
      <x:c r="A74" s="17" t="str">
        <x:v>ВРУ-2 (ВРУ 1-13-20)</x:v>
      </x:c>
      <x:c r="B74" s="17" t="str">
        <x:v>Панель</x:v>
      </x:c>
      <x:c r="C74" s="17" t="str"/>
      <x:c r="D74" s="18" t="str">
        <x:v>ВРУ-2 (ВРУ 1-13-20)</x:v>
      </x:c>
      <x:c r="E74" s="19" t="n">
        <x:v>0</x:v>
      </x:c>
      <x:c r="F74" s="19" t="n">
        <x:v>0</x:v>
      </x:c>
      <x:c r="G74" s="19"/>
      <x:c r="H74" s="19" t="n">
        <x:v>1</x:v>
      </x:c>
      <x:c r="I74" s="17" t="str">
        <x:v>компл.</x:v>
      </x:c>
      <x:c r="J74" s="17" t="str">
        <x:v>TEKSAN</x:v>
      </x:c>
      <x:c r="K74" s="18" t="str">
        <x:v>Наименование по проекту; внутренние позиции для 1 панели.</x:v>
      </x:c>
    </x:row>
    <x:row r="75">
      <x:c r="A75" s="8" t="str">
        <x:v>ВРУ-2 (ВРУ 1-13-20)</x:v>
      </x:c>
      <x:c r="B75" s="8" t="str">
        <x:v>Корпус</x:v>
      </x:c>
      <x:c r="C75" s="8" t="str">
        <x:v>719-15015</x:v>
      </x:c>
      <x:c r="D75" s="9" t="str">
        <x:v>Мет. Щит ВРУ 1-13 20 УХЛ4 (1700х800х450) (TS)</x:v>
      </x:c>
      <x:c r="E75" s="10" t="n">
        <x:v>0</x:v>
      </x:c>
      <x:c r="F75" s="10" t="n">
        <x:v>0</x:v>
      </x:c>
      <x:c r="G75" s="10" t="str">
        <x:f>IF(OR(F75="",H75=""),"",F75*H75)</x:f>
      </x:c>
      <x:c r="H75" s="10" t="n">
        <x:v>1</x:v>
      </x:c>
      <x:c r="I75" s="8" t="str">
        <x:v> ШТ. </x:v>
      </x:c>
      <x:c r="J75" s="8" t="str">
        <x:v>teksan f</x:v>
      </x:c>
      <x:c r="K75" s="9" t="str">
        <x:v>PDF лист 4</x:v>
      </x:c>
    </x:row>
    <x:row r="76">
      <x:c r="A76" s="8" t="str">
        <x:v>ВРУ-2 (ВРУ 1-13-20)</x:v>
      </x:c>
      <x:c r="B76" s="8" t="str">
        <x:v>Трансформатор тока</x:v>
      </x:c>
      <x:c r="C76" s="8" t="str">
        <x:v>270300025_</x:v>
      </x:c>
      <x:c r="D76" s="9" t="str">
        <x:v> Трансформатор тока ТТИ-40  400/5А  5ВА  класс 0,5  IEK</x:v>
      </x:c>
      <x:c r="E76" s="10" t="n">
        <x:v>5523</x:v>
      </x:c>
      <x:c r="F76" s="10" t="n">
        <x:v>5523</x:v>
      </x:c>
      <x:c r="G76" s="10" t="n">
        <x:f>IF(OR(F76="",H76=""),"",F76*H76)</x:f>
        <x:v>16569</x:v>
      </x:c>
      <x:c r="H76" s="10" t="n">
        <x:v>3</x:v>
      </x:c>
      <x:c r="I76" s="8" t="str">
        <x:v> ШТ. </x:v>
      </x:c>
      <x:c r="J76" s="8" t="str">
        <x:v>pys</x:v>
      </x:c>
      <x:c r="K76" s="9" t="str">
        <x:v>PDF лист 4</x:v>
      </x:c>
    </x:row>
    <x:row r="77">
      <x:c r="A77" s="8" t="str">
        <x:v>ВРУ-2 (ВРУ 1-13-20)</x:v>
      </x:c>
      <x:c r="B77" s="8" t="str">
        <x:v>Трансформатор тока</x:v>
      </x:c>
      <x:c r="C77" s="8" t="str">
        <x:v>270300234_</x:v>
      </x:c>
      <x:c r="D77" s="9" t="str">
        <x:v> Трансформатор тока ТТИ-40 500/5А 5ВА 0,5 IEK</x:v>
      </x:c>
      <x:c r="E77" s="10" t="n">
        <x:v>5523</x:v>
      </x:c>
      <x:c r="F77" s="10" t="n">
        <x:v>5523</x:v>
      </x:c>
      <x:c r="G77" s="10" t="n">
        <x:f>IF(OR(F77="",H77=""),"",F77*H77)</x:f>
        <x:v>16569</x:v>
      </x:c>
      <x:c r="H77" s="10" t="n">
        <x:v>3</x:v>
      </x:c>
      <x:c r="I77" s="8" t="str">
        <x:v> ШТ. </x:v>
      </x:c>
      <x:c r="J77" s="8" t="str">
        <x:v>pys</x:v>
      </x:c>
      <x:c r="K77" s="9" t="str">
        <x:v>PDF лист 4</x:v>
      </x:c>
    </x:row>
    <x:row r="78">
      <x:c r="A78" s="8" t="str">
        <x:v>ВРУ-2 (ВРУ 1-13-20)</x:v>
      </x:c>
      <x:c r="B78" s="8" t="str">
        <x:v>Рубильник</x:v>
      </x:c>
      <x:c r="C78" s="8" t="str">
        <x:v>270100173_</x:v>
      </x:c>
      <x:c r="D78" s="9" t="str">
        <x:v>Рубильник ВР-32-39  В71250-630А на 2 направления (+6 камер) UNIT (1/2)</x:v>
      </x:c>
      <x:c r="E78" s="10" t="n">
        <x:v>48003</x:v>
      </x:c>
      <x:c r="F78" s="10" t="n">
        <x:v>48003</x:v>
      </x:c>
      <x:c r="G78" s="10" t="n">
        <x:f>IF(OR(F78="",H78=""),"",F78*H78)</x:f>
        <x:v>96006</x:v>
      </x:c>
      <x:c r="H78" s="10" t="n">
        <x:v>2</x:v>
      </x:c>
      <x:c r="I78" s="8" t="str">
        <x:v> ШТ. </x:v>
      </x:c>
      <x:c r="J78" s="8" t="str">
        <x:v>pys</x:v>
      </x:c>
      <x:c r="K78" s="9" t="str">
        <x:v>PDF лист 4</x:v>
      </x:c>
    </x:row>
    <x:row r="79">
      <x:c r="A79" s="8" t="str">
        <x:v>ВРУ-2 (ВРУ 1-13-20)</x:v>
      </x:c>
      <x:c r="B79" s="8" t="str">
        <x:v>Предохранитель</x:v>
      </x:c>
      <x:c r="C79" s="8" t="str">
        <x:v>521218</x:v>
      </x:c>
      <x:c r="D79" s="9" t="str">
        <x:v>Плавкая вставка предохранителя RT36-2-400, габарит 2, 400А</x:v>
      </x:c>
      <x:c r="E79" s="10" t="n">
        <x:v>4965</x:v>
      </x:c>
      <x:c r="F79" s="10" t="n">
        <x:v>2979</x:v>
      </x:c>
      <x:c r="G79" s="10" t="n">
        <x:f>IF(OR(F79="",H79=""),"",F79*H79)</x:f>
        <x:v>8937</x:v>
      </x:c>
      <x:c r="H79" s="10" t="n">
        <x:v>3</x:v>
      </x:c>
      <x:c r="I79" s="8" t="str">
        <x:v> ШТ. </x:v>
      </x:c>
      <x:c r="J79" s="8" t="str">
        <x:v>chint</x:v>
      </x:c>
      <x:c r="K79" s="9" t="str">
        <x:v>PDF лист 4</x:v>
      </x:c>
    </x:row>
    <x:row r="80">
      <x:c r="A80" s="8" t="str">
        <x:v>ВРУ-2 (ВРУ 1-13-20)</x:v>
      </x:c>
      <x:c r="B80" s="8" t="str">
        <x:v>Предохранитель</x:v>
      </x:c>
      <x:c r="C80" s="8" t="str">
        <x:v>521368</x:v>
      </x:c>
      <x:c r="D80" s="9" t="str">
        <x:v>Держатель плавкой вставки RT36-2-400, габарит 2, 400А</x:v>
      </x:c>
      <x:c r="E80" s="10" t="n">
        <x:v>7443</x:v>
      </x:c>
      <x:c r="F80" s="10" t="n">
        <x:v>4465.8</x:v>
      </x:c>
      <x:c r="G80" s="10" t="n">
        <x:f>IF(OR(F80="",H80=""),"",F80*H80)</x:f>
        <x:v>13397.400000000001</x:v>
      </x:c>
      <x:c r="H80" s="10" t="n">
        <x:v>3</x:v>
      </x:c>
      <x:c r="I80" s="8" t="str">
        <x:v> ШТ. </x:v>
      </x:c>
      <x:c r="J80" s="8" t="str">
        <x:v>chint</x:v>
      </x:c>
      <x:c r="K80" s="9" t="str">
        <x:v>PDF лист 4</x:v>
      </x:c>
    </x:row>
    <x:row r="81">
      <x:c r="A81" s="8" t="str">
        <x:v>ВРУ-2 (ВРУ 1-13-20)</x:v>
      </x:c>
      <x:c r="B81" s="8" t="str">
        <x:v>Предохранитель</x:v>
      </x:c>
      <x:c r="C81" s="8" t="str">
        <x:v>521200</x:v>
      </x:c>
      <x:c r="D81" s="9" t="str">
        <x:v>Плавкая вставка предохранителя RT36-3-630, габарит 3, 500А</x:v>
      </x:c>
      <x:c r="E81" s="10" t="n">
        <x:v>12721</x:v>
      </x:c>
      <x:c r="F81" s="10" t="n">
        <x:v>7632.599999999999</x:v>
      </x:c>
      <x:c r="G81" s="10" t="n">
        <x:f>IF(OR(F81="",H81=""),"",F81*H81)</x:f>
        <x:v>22897.8</x:v>
      </x:c>
      <x:c r="H81" s="10" t="n">
        <x:v>3</x:v>
      </x:c>
      <x:c r="I81" s="8" t="str">
        <x:v> ШТ. </x:v>
      </x:c>
      <x:c r="J81" s="8" t="str">
        <x:v>chint</x:v>
      </x:c>
      <x:c r="K81" s="9" t="str">
        <x:v>PDF лист 4</x:v>
      </x:c>
    </x:row>
    <x:row r="82">
      <x:c r="A82" s="8" t="str">
        <x:v>ВРУ-2 (ВРУ 1-13-20)</x:v>
      </x:c>
      <x:c r="B82" s="8" t="str">
        <x:v>Предохранитель</x:v>
      </x:c>
      <x:c r="C82" s="8" t="str">
        <x:v>521369</x:v>
      </x:c>
      <x:c r="D82" s="9" t="str">
        <x:v>Держатель плавкой вставки RT36-3-630, габарит 3, 630А</x:v>
      </x:c>
      <x:c r="E82" s="10" t="n">
        <x:v>11728</x:v>
      </x:c>
      <x:c r="F82" s="10" t="n">
        <x:v>7036.8</x:v>
      </x:c>
      <x:c r="G82" s="10" t="n">
        <x:f>IF(OR(F82="",H82=""),"",F82*H82)</x:f>
        <x:v>21110.4</x:v>
      </x:c>
      <x:c r="H82" s="10" t="n">
        <x:v>3</x:v>
      </x:c>
      <x:c r="I82" s="8" t="str">
        <x:v> ШТ. </x:v>
      </x:c>
      <x:c r="J82" s="8" t="str">
        <x:v>chint</x:v>
      </x:c>
      <x:c r="K82" s="9" t="str">
        <x:v>PDF лист 4</x:v>
      </x:c>
    </x:row>
    <x:row r="83">
      <x:c r="A83" s="8" t="str">
        <x:v>ВРУ-2 (ВРУ 1-13-20)</x:v>
      </x:c>
      <x:c r="B83" s="8" t="str">
        <x:v>ОТО</x:v>
      </x:c>
      <x:c r="C83" s="8" t="str">
        <x:v>296708</x:v>
      </x:c>
      <x:c r="D83" s="9" t="str">
        <x:v>Авт. выкл. NXB-63S 1P 6А 4.5kA х-ка C (R)</x:v>
      </x:c>
      <x:c r="E83" s="10" t="n">
        <x:v>975</x:v>
      </x:c>
      <x:c r="F83" s="10" t="n">
        <x:v>585</x:v>
      </x:c>
      <x:c r="G83" s="10" t="n">
        <x:f>IF(OR(F83="",H83=""),"",F83*H83)</x:f>
        <x:v>1170</x:v>
      </x:c>
      <x:c r="H83" s="10" t="n">
        <x:v>2</x:v>
      </x:c>
      <x:c r="I83" s="8" t="str">
        <x:v> ШТ. </x:v>
      </x:c>
      <x:c r="J83" s="8" t="str">
        <x:v>chint</x:v>
      </x:c>
      <x:c r="K83" s="9" t="str">
        <x:v>PDF лист 4</x:v>
      </x:c>
    </x:row>
    <x:row r="84">
      <x:c r="A84" s="8" t="str">
        <x:v>ВРУ-2 (ВРУ 1-13-20)</x:v>
      </x:c>
      <x:c r="B84" s="8" t="str">
        <x:v>Счётчик</x:v>
      </x:c>
      <x:c r="C84" s="8" t="str">
        <x:v>LQ</x:v>
      </x:c>
      <x:c r="D84" s="9" t="str">
        <x:v>ДАЛА СА4У-Э720 R TX IP П RS1 Д W (3x220/380V 5-7,5A)</x:v>
      </x:c>
      <x:c r="E84" s="10" t="n">
        <x:v>90500</x:v>
      </x:c>
      <x:c r="F84" s="10" t="n">
        <x:v>90500</x:v>
      </x:c>
      <x:c r="G84" s="10" t="n">
        <x:f>IF(OR(F84="",H84=""),"",F84*H84)</x:f>
        <x:v>181000</x:v>
      </x:c>
      <x:c r="H84" s="10" t="n">
        <x:v>2</x:v>
      </x:c>
      <x:c r="I84" s="8" t="str">
        <x:v> ШТ. </x:v>
      </x:c>
      <x:c r="J84" s="8" t="str">
        <x:v>pys</x:v>
      </x:c>
      <x:c r="K84" s="9" t="str">
        <x:v>?</x:v>
      </x:c>
    </x:row>
    <x:row r="85">
      <x:c r="A85" s="8" t="str">
        <x:v>ВРУ-2 (ВРУ 1-13-20)</x:v>
      </x:c>
      <x:c r="B85" s="8" t="str">
        <x:v>Конденсатор</x:v>
      </x:c>
      <x:c r="C85" s="8"/>
      <x:c r="D85" s="9" t="str">
        <x:v>condencator К3-500мкФ</x:v>
      </x:c>
      <x:c r="E85" s="10"/>
      <x:c r="F85" s="10" t="n">
        <x:v>0</x:v>
      </x:c>
      <x:c r="G85" s="10" t="str">
        <x:f>IF(OR(F85="",H85=""),"",F85*H85)</x:f>
      </x:c>
      <x:c r="H85" s="10" t="n">
        <x:v>6</x:v>
      </x:c>
      <x:c r="I85" s="8" t="str">
        <x:v> ШТ. </x:v>
      </x:c>
      <x:c r="J85" s="8" t="str">
        <x:v>pys</x:v>
      </x:c>
      <x:c r="K85" s="9" t="str">
        <x:v>PDF лист 4</x:v>
      </x:c>
    </x:row>
    <x:row r="86">
      <x:c r="A86" s="8" t="str">
        <x:v>ВРУ-2 (ВРУ 1-13-20)</x:v>
      </x:c>
      <x:c r="B86" s="8" t="str">
        <x:v>Лампа</x:v>
      </x:c>
      <x:c r="C86" s="8"/>
      <x:c r="D86" s="9" t="str">
        <x:v>lamb</x:v>
      </x:c>
      <x:c r="E86" s="10"/>
      <x:c r="F86" s="10" t="n">
        <x:v>0</x:v>
      </x:c>
      <x:c r="G86" s="10" t="str">
        <x:f>IF(OR(F86="",H86=""),"",F86*H86)</x:f>
      </x:c>
      <x:c r="H86" s="10" t="n">
        <x:v>6</x:v>
      </x:c>
      <x:c r="I86" s="8" t="str">
        <x:v> ШТ. </x:v>
      </x:c>
      <x:c r="J86" s="8" t="str">
        <x:v>pys</x:v>
      </x:c>
      <x:c r="K86" s="9" t="str">
        <x:v>PDF лист 4</x:v>
      </x:c>
    </x:row>
    <x:row r="87">
      <x:c r="A87" s="8" t="str">
        <x:v>ВРУ-2 (ВРУ 1-13-20)</x:v>
      </x:c>
      <x:c r="B87" s="8" t="str">
        <x:v>Шина</x:v>
      </x:c>
      <x:c r="C87" s="8"/>
      <x:c r="D87" s="9" t="str">
        <x:v>shin</x:v>
      </x:c>
      <x:c r="E87" s="10"/>
      <x:c r="F87" s="10" t="n">
        <x:v>0</x:v>
      </x:c>
      <x:c r="G87" s="10" t="str">
        <x:f>IF(OR(F87="",H87=""),"",F87*H87)</x:f>
      </x:c>
      <x:c r="H87" s="10" t="n">
        <x:v>3</x:v>
      </x:c>
      <x:c r="I87" s="8" t="str">
        <x:v> ШТ. </x:v>
      </x:c>
      <x:c r="J87" s="8" t="str">
        <x:v>pys</x:v>
      </x:c>
      <x:c r="K87" s="9" t="str">
        <x:v>PDF лист 4</x:v>
      </x:c>
    </x:row>
    <x:row r="88">
      <x:c r="A88" s="29" t="str">
        <x:v>ВРУ-2 (ВРУ 1-13-20)</x:v>
      </x:c>
      <x:c r="B88" s="29" t="str">
        <x:v>Клеммник</x:v>
      </x:c>
      <x:c r="C88" s="29" t="str">
        <x:v>КОНТРОЛЬ</x:v>
      </x:c>
      <x:c r="D88" s="30" t="str">
        <x:v>Клеммники силовые/PE/N по фактическим отходящим линиям; тип и количество КОНТРОЛЬ</x:v>
      </x:c>
      <x:c r="E88" s="31" t="n">
        <x:v>0</x:v>
      </x:c>
      <x:c r="F88" s="31" t="n">
        <x:v>0</x:v>
      </x:c>
      <x:c r="G88" s="31" t="str">
        <x:f>IF(OR(F88="",H88=""),"",F88*H88)</x:f>
      </x:c>
      <x:c r="H88" s="31"/>
      <x:c r="I88" s="29" t="str">
        <x:v>компл.</x:v>
      </x:c>
      <x:c r="J88" s="29" t="str">
        <x:v>EKT / Klemsan</x:v>
      </x:c>
      <x:c r="K88" s="30" t="str">
        <x:v>Проект не содержит клеммной раскладки — не заполнять предположением.</x:v>
      </x:c>
    </x:row>
    <x:row r="89">
      <x:c r="A89" s="29" t="str">
        <x:v>ВРУ-2 (ВРУ 1-13-20)</x:v>
      </x:c>
      <x:c r="B89" s="29" t="str">
        <x:v>DIN рейка</x:v>
      </x:c>
      <x:c r="C89" s="29" t="str">
        <x:v>КОНТРОЛЬ</x:v>
      </x:c>
      <x:c r="D89" s="30" t="str">
        <x:v>DIN рейка 35 мм; длина КОНТРОЛЬ</x:v>
      </x:c>
      <x:c r="E89" s="31" t="n">
        <x:v>0</x:v>
      </x:c>
      <x:c r="F89" s="31" t="n">
        <x:v>0</x:v>
      </x:c>
      <x:c r="G89" s="31" t="str">
        <x:f>IF(OR(F89="",H89=""),"",F89*H89)</x:f>
      </x:c>
      <x:c r="H89" s="31"/>
      <x:c r="I89" s="29" t="str">
        <x:v>м</x:v>
      </x:c>
      <x:c r="J89" s="29" t="str">
        <x:v>EKT</x:v>
      </x:c>
      <x:c r="K89" s="30" t="str">
        <x:v>Определить по монтажной раскладке и 20% резерву.</x:v>
      </x:c>
    </x:row>
    <x:row r="90">
      <x:c r="A90" s="29" t="str">
        <x:v>ВРУ-2 (ВРУ 1-13-20)</x:v>
      </x:c>
      <x:c r="B90" s="29" t="str">
        <x:v>Кабельный канал</x:v>
      </x:c>
      <x:c r="C90" s="29" t="str">
        <x:v>КОНТРОЛЬ</x:v>
      </x:c>
      <x:c r="D90" s="30" t="str">
        <x:v>Кабельный канал; сечение и длина КОНТРОЛЬ</x:v>
      </x:c>
      <x:c r="E90" s="31" t="n">
        <x:v>0</x:v>
      </x:c>
      <x:c r="F90" s="31" t="n">
        <x:v>0</x:v>
      </x:c>
      <x:c r="G90" s="31" t="str">
        <x:f>IF(OR(F90="",H90=""),"",F90*H90)</x:f>
      </x:c>
      <x:c r="H90" s="31"/>
      <x:c r="I90" s="29" t="str">
        <x:v>м</x:v>
      </x:c>
      <x:c r="J90" s="29" t="str">
        <x:v>EKT / Onka</x:v>
      </x:c>
      <x:c r="K90" s="30" t="str">
        <x:v>Определить по монтажной раскладке и заполнению канала.</x:v>
      </x:c>
    </x:row>
    <x:row r="91">
      <x:c r="A91" s="29" t="str">
        <x:v>ВРУ-2 (ВРУ 1-13-20)</x:v>
      </x:c>
      <x:c r="B91" s="29" t="str">
        <x:v>Шина</x:v>
      </x:c>
      <x:c r="C91" s="29" t="str">
        <x:v>КОНТРОЛЬ</x:v>
      </x:c>
      <x:c r="D91" s="30" t="str">
        <x:v>Шины N/PE и фазные перемычки; сечение/длина КОНТРОЛЬ</x:v>
      </x:c>
      <x:c r="E91" s="31" t="n">
        <x:v>0</x:v>
      </x:c>
      <x:c r="F91" s="31" t="n">
        <x:v>0</x:v>
      </x:c>
      <x:c r="G91" s="31" t="str">
        <x:f>IF(OR(F91="",H91=""),"",F91*H91)</x:f>
      </x:c>
      <x:c r="H91" s="31"/>
      <x:c r="I91" s="29" t="str">
        <x:v>компл.</x:v>
      </x:c>
      <x:c r="J91" s="29" t="str">
        <x:v>TEKLED</x:v>
      </x:c>
      <x:c r="K91" s="30" t="str">
        <x:v>Рассчитать по току, КЗ, материалу и фактической компоновке.</x:v>
      </x:c>
    </x:row>
    <x:row r="92">
      <x:c r="A92" s="8" t="str">
        <x:v>ВРУ-2 (ВРУ 1-13-20)</x:v>
      </x:c>
      <x:c r="B92" s="8" t="str">
        <x:v>Монтажный материал</x:v>
      </x:c>
      <x:c r="C92" s="8" t="str"/>
      <x:c r="D92" s="9" t="str">
        <x:v>Монтажный материал</x:v>
      </x:c>
      <x:c r="E92" s="10" t="n">
        <x:v>0</x:v>
      </x:c>
      <x:c r="F92" s="10" t="n">
        <x:v>0</x:v>
      </x:c>
      <x:c r="G92" s="10" t="str">
        <x:f>IF(OR(F92="",H92=""),"",F92*H92)</x:f>
      </x:c>
      <x:c r="H92" s="10" t="n">
        <x:v>1</x:v>
      </x:c>
      <x:c r="I92" s="8" t="str">
        <x:v>компл.</x:v>
      </x:c>
      <x:c r="J92" s="8" t="str">
        <x:v>TEKLED</x:v>
      </x:c>
      <x:c r="K92" s="9" t="str">
        <x:v>Количество 1 компл.; состав и цена заполняются после монтажной раскладки.</x:v>
      </x:c>
    </x:row>
    <x:row r="93">
      <x:c r="A93" s="8" t="str">
        <x:v>ВРУ-2 (ВРУ 1-13-20)</x:v>
      </x:c>
      <x:c r="B93" s="8" t="str">
        <x:v>Монтажные работы</x:v>
      </x:c>
      <x:c r="C93" s="8" t="str"/>
      <x:c r="D93" s="9" t="str">
        <x:v>Монтажные работы</x:v>
      </x:c>
      <x:c r="E93" s="10"/>
      <x:c r="F93" s="10" t="n">
        <x:v>100</x:v>
      </x:c>
      <x:c r="G93" s="10" t="n">
        <x:f>IF(OR(F93="",H93=""),"",F93*H93)</x:f>
        <x:v>100</x:v>
      </x:c>
      <x:c r="H93" s="10" t="n">
        <x:v>1</x:v>
      </x:c>
      <x:c r="I93" s="8" t="str">
        <x:v>компл.</x:v>
      </x:c>
      <x:c r="J93" s="8" t="str">
        <x:v>TEKLED</x:v>
      </x:c>
      <x:c r="K93" s="9" t="str">
        <x:v>Количество 1 компл.; стоимость заполняется после нормирования.</x:v>
      </x:c>
    </x:row>
    <x:row r="94">
      <x:c r="A94" s="26" t="str">
        <x:v>ВРУ-2 (ВРУ 1-13-20)</x:v>
      </x:c>
      <x:c r="B94" s="26" t="str">
        <x:v>ИТОГО</x:v>
      </x:c>
      <x:c r="C94" s="26" t="str"/>
      <x:c r="D94" s="27" t="str">
        <x:v>ИТОГО ВРУ-2 (ВРУ 1-13-20)</x:v>
      </x:c>
      <x:c r="E94" s="28" t="n">
        <x:v>0</x:v>
      </x:c>
      <x:c r="F94" s="28" t="n">
        <x:v>0</x:v>
      </x:c>
      <x:c r="G94" s="28" t="n">
        <x:f>SUM(G75:G93)</x:f>
        <x:v>377756.6</x:v>
      </x:c>
      <x:c r="H94" s="28"/>
      <x:c r="I94" s="26" t="str"/>
      <x:c r="J94" s="26" t="str"/>
      <x:c r="K94" s="27" t="str">
        <x:v>Сумма позиций строк 75-93.</x:v>
      </x:c>
    </x:row>
    <x:row r="95">
      <x:c r="A95" s="17" t="str">
        <x:v>РУ-1-2 (ВРУ 1-50-00)</x:v>
      </x:c>
      <x:c r="B95" s="17" t="str">
        <x:v>Панель</x:v>
      </x:c>
      <x:c r="C95" s="17" t="str"/>
      <x:c r="D95" s="18" t="str">
        <x:v>РУ-1-2 (ВРУ 1-50-00)</x:v>
      </x:c>
      <x:c r="E95" s="19" t="n">
        <x:v>0</x:v>
      </x:c>
      <x:c r="F95" s="19" t="n">
        <x:v>0</x:v>
      </x:c>
      <x:c r="G95" s="19"/>
      <x:c r="H95" s="19" t="n">
        <x:v>1</x:v>
      </x:c>
      <x:c r="I95" s="17" t="str">
        <x:v>компл.</x:v>
      </x:c>
      <x:c r="J95" s="17" t="str">
        <x:v>TEKSAN</x:v>
      </x:c>
      <x:c r="K95" s="18" t="str">
        <x:v>Наименование по проекту; внутренние позиции для 1 панели.</x:v>
      </x:c>
    </x:row>
    <x:row r="96">
      <x:c r="A96" s="8" t="str">
        <x:v>РУ-1-2 (ВРУ 1-50-00)</x:v>
      </x:c>
      <x:c r="B96" s="8" t="str">
        <x:v>Корпус</x:v>
      </x:c>
      <x:c r="C96" s="8" t="str">
        <x:v>719-15057</x:v>
      </x:c>
      <x:c r="D96" s="9" t="str">
        <x:v>Pano Met.Shit VRU1(1800x800x400+15sm baza)</x:v>
      </x:c>
      <x:c r="E96" s="10" t="n">
        <x:v>0</x:v>
      </x:c>
      <x:c r="F96" s="10" t="n">
        <x:v>0</x:v>
      </x:c>
      <x:c r="G96" s="10" t="str">
        <x:f>IF(OR(F96="",H96=""),"",F96*H96)</x:f>
      </x:c>
      <x:c r="H96" s="10" t="n">
        <x:v>1</x:v>
      </x:c>
      <x:c r="I96" s="8" t="str">
        <x:v> ШТ. </x:v>
      </x:c>
      <x:c r="J96" s="8" t="str">
        <x:v>teksan f</x:v>
      </x:c>
      <x:c r="K96" s="9" t="str">
        <x:v>PDF лист 4</x:v>
      </x:c>
    </x:row>
    <x:row r="97">
      <x:c r="A97" s="8" t="str">
        <x:v>РУ-1-2 (ВРУ 1-50-00)</x:v>
      </x:c>
      <x:c r="B97" s="8" t="str">
        <x:v>Предохранитель</x:v>
      </x:c>
      <x:c r="C97" s="8" t="str">
        <x:v>521218</x:v>
      </x:c>
      <x:c r="D97" s="9" t="str">
        <x:v>Плавкая вставка предохранителя RT36-2-400, габарит 2, 400А</x:v>
      </x:c>
      <x:c r="E97" s="10" t="n">
        <x:v>4965</x:v>
      </x:c>
      <x:c r="F97" s="10" t="n">
        <x:v>2979</x:v>
      </x:c>
      <x:c r="G97" s="10" t="n">
        <x:f>IF(OR(F97="",H97=""),"",F97*H97)</x:f>
        <x:v>8937</x:v>
      </x:c>
      <x:c r="H97" s="10" t="n">
        <x:v>3</x:v>
      </x:c>
      <x:c r="I97" s="8" t="str">
        <x:v> ШТ. </x:v>
      </x:c>
      <x:c r="J97" s="8" t="str">
        <x:v>chint</x:v>
      </x:c>
      <x:c r="K97" s="9" t="str">
        <x:v>PDF лист 4</x:v>
      </x:c>
    </x:row>
    <x:row r="98">
      <x:c r="A98" s="8" t="str">
        <x:v>РУ-1-2 (ВРУ 1-50-00)</x:v>
      </x:c>
      <x:c r="B98" s="8" t="str">
        <x:v>Предохранитель</x:v>
      </x:c>
      <x:c r="C98" s="8" t="str">
        <x:v>521368</x:v>
      </x:c>
      <x:c r="D98" s="9" t="str">
        <x:v>Держатель плавкой вставки RT36-2-400, габарит 2, 400А</x:v>
      </x:c>
      <x:c r="E98" s="10" t="n">
        <x:v>7443</x:v>
      </x:c>
      <x:c r="F98" s="10" t="n">
        <x:v>4465.8</x:v>
      </x:c>
      <x:c r="G98" s="10" t="n">
        <x:f>IF(OR(F98="",H98=""),"",F98*H98)</x:f>
        <x:v>13397.400000000001</x:v>
      </x:c>
      <x:c r="H98" s="10" t="n">
        <x:v>3</x:v>
      </x:c>
      <x:c r="I98" s="8" t="str">
        <x:v> ШТ. </x:v>
      </x:c>
      <x:c r="J98" s="8" t="str">
        <x:v>chint</x:v>
      </x:c>
      <x:c r="K98" s="9" t="str">
        <x:v>PDF лист 4</x:v>
      </x:c>
    </x:row>
    <x:row r="99">
      <x:c r="A99" s="8" t="str">
        <x:v>РУ-1-2 (ВРУ 1-50-00)</x:v>
      </x:c>
      <x:c r="B99" s="8" t="str">
        <x:v>Предохранитель</x:v>
      </x:c>
      <x:c r="C99" s="8" t="str">
        <x:v>521260</x:v>
      </x:c>
      <x:c r="D99" s="9" t="str">
        <x:v>Держатель плавкой вставки RT36-00-160, габарит 00, 160А</x:v>
      </x:c>
      <x:c r="E99" s="10" t="n">
        <x:v>2038</x:v>
      </x:c>
      <x:c r="F99" s="10" t="n">
        <x:v>1222.8</x:v>
      </x:c>
      <x:c r="G99" s="10" t="n">
        <x:f>IF(OR(F99="",H99=""),"",F99*H99)</x:f>
        <x:v>11005.199999999999</x:v>
      </x:c>
      <x:c r="H99" s="10" t="n">
        <x:v>9</x:v>
      </x:c>
      <x:c r="I99" s="8" t="str">
        <x:v> ШТ. </x:v>
      </x:c>
      <x:c r="J99" s="8" t="str">
        <x:v>chint</x:v>
      </x:c>
      <x:c r="K99" s="9" t="str">
        <x:v>PDF лист 4</x:v>
      </x:c>
    </x:row>
    <x:row r="100">
      <x:c r="A100" s="8" t="str">
        <x:v>РУ-1-2 (ВРУ 1-50-00)</x:v>
      </x:c>
      <x:c r="B100" s="8" t="str">
        <x:v>Предохранитель</x:v>
      </x:c>
      <x:c r="C100" s="8" t="str">
        <x:v>521340</x:v>
      </x:c>
      <x:c r="D100" s="9" t="str">
        <x:v>Плавкая вставка предохранителя RT36-00-160, габарит 00, 25А</x:v>
      </x:c>
      <x:c r="E100" s="10" t="n">
        <x:v>1510</x:v>
      </x:c>
      <x:c r="F100" s="10" t="n">
        <x:v>906</x:v>
      </x:c>
      <x:c r="G100" s="10" t="n">
        <x:f>IF(OR(F100="",H100=""),"",F100*H100)</x:f>
        <x:v>8154</x:v>
      </x:c>
      <x:c r="H100" s="10" t="n">
        <x:v>9</x:v>
      </x:c>
      <x:c r="I100" s="8" t="str">
        <x:v> ШТ. </x:v>
      </x:c>
      <x:c r="J100" s="8" t="str">
        <x:v>chint</x:v>
      </x:c>
      <x:c r="K100" s="9" t="str">
        <x:v>PDF лист 4</x:v>
      </x:c>
    </x:row>
    <x:row r="101">
      <x:c r="A101" s="29" t="str">
        <x:v>РУ-1-2 (ВРУ 1-50-00)</x:v>
      </x:c>
      <x:c r="B101" s="29" t="str">
        <x:v>Клеммник</x:v>
      </x:c>
      <x:c r="C101" s="29" t="str">
        <x:v>КОНТРОЛЬ</x:v>
      </x:c>
      <x:c r="D101" s="30" t="str">
        <x:v>Клеммники силовые/PE/N по фактическим отходящим линиям; тип и количество КОНТРОЛЬ</x:v>
      </x:c>
      <x:c r="E101" s="31" t="n">
        <x:v>0</x:v>
      </x:c>
      <x:c r="F101" s="31" t="n">
        <x:v>0</x:v>
      </x:c>
      <x:c r="G101" s="31" t="str">
        <x:f>IF(OR(F101="",H101=""),"",F101*H101)</x:f>
      </x:c>
      <x:c r="H101" s="31"/>
      <x:c r="I101" s="29" t="str">
        <x:v>компл.</x:v>
      </x:c>
      <x:c r="J101" s="29" t="str">
        <x:v>EKT / Klemsan</x:v>
      </x:c>
      <x:c r="K101" s="30" t="str">
        <x:v>Проект не содержит клеммной раскладки — не заполнять предположением.</x:v>
      </x:c>
    </x:row>
    <x:row r="102">
      <x:c r="A102" s="29" t="str">
        <x:v>РУ-1-2 (ВРУ 1-50-00)</x:v>
      </x:c>
      <x:c r="B102" s="29" t="str">
        <x:v>DIN рейка</x:v>
      </x:c>
      <x:c r="C102" s="29" t="str">
        <x:v>КОНТРОЛЬ</x:v>
      </x:c>
      <x:c r="D102" s="30" t="str">
        <x:v>DIN рейка 35 мм; длина КОНТРОЛЬ</x:v>
      </x:c>
      <x:c r="E102" s="31" t="n">
        <x:v>0</x:v>
      </x:c>
      <x:c r="F102" s="31" t="n">
        <x:v>0</x:v>
      </x:c>
      <x:c r="G102" s="31" t="str">
        <x:f>IF(OR(F102="",H102=""),"",F102*H102)</x:f>
      </x:c>
      <x:c r="H102" s="31"/>
      <x:c r="I102" s="29" t="str">
        <x:v>м</x:v>
      </x:c>
      <x:c r="J102" s="29" t="str">
        <x:v>EKT</x:v>
      </x:c>
      <x:c r="K102" s="30" t="str">
        <x:v>Определить по монтажной раскладке и 20% резерву.</x:v>
      </x:c>
    </x:row>
    <x:row r="103">
      <x:c r="A103" s="29" t="str">
        <x:v>РУ-1-2 (ВРУ 1-50-00)</x:v>
      </x:c>
      <x:c r="B103" s="29" t="str">
        <x:v>Кабельный канал</x:v>
      </x:c>
      <x:c r="C103" s="29" t="str">
        <x:v>КОНТРОЛЬ</x:v>
      </x:c>
      <x:c r="D103" s="30" t="str">
        <x:v>Кабельный канал; сечение и длина КОНТРОЛЬ</x:v>
      </x:c>
      <x:c r="E103" s="31" t="n">
        <x:v>0</x:v>
      </x:c>
      <x:c r="F103" s="31" t="n">
        <x:v>0</x:v>
      </x:c>
      <x:c r="G103" s="31" t="str">
        <x:f>IF(OR(F103="",H103=""),"",F103*H103)</x:f>
      </x:c>
      <x:c r="H103" s="31"/>
      <x:c r="I103" s="29" t="str">
        <x:v>м</x:v>
      </x:c>
      <x:c r="J103" s="29" t="str">
        <x:v>EKT / Onka</x:v>
      </x:c>
      <x:c r="K103" s="30" t="str">
        <x:v>Определить по монтажной раскладке и заполнению канала.</x:v>
      </x:c>
    </x:row>
    <x:row r="104">
      <x:c r="A104" s="29" t="str">
        <x:v>РУ-1-2 (ВРУ 1-50-00)</x:v>
      </x:c>
      <x:c r="B104" s="29" t="str">
        <x:v>Шина</x:v>
      </x:c>
      <x:c r="C104" s="29" t="str">
        <x:v>КОНТРОЛЬ</x:v>
      </x:c>
      <x:c r="D104" s="30" t="str">
        <x:v>Шины N/PE и фазные перемычки; сечение/длина КОНТРОЛЬ</x:v>
      </x:c>
      <x:c r="E104" s="31" t="n">
        <x:v>0</x:v>
      </x:c>
      <x:c r="F104" s="31" t="n">
        <x:v>0</x:v>
      </x:c>
      <x:c r="G104" s="31" t="str">
        <x:f>IF(OR(F104="",H104=""),"",F104*H104)</x:f>
      </x:c>
      <x:c r="H104" s="31"/>
      <x:c r="I104" s="29" t="str">
        <x:v>компл.</x:v>
      </x:c>
      <x:c r="J104" s="29" t="str">
        <x:v>TEKLED</x:v>
      </x:c>
      <x:c r="K104" s="30" t="str">
        <x:v>Рассчитать по току, КЗ, материалу и фактической компоновке.</x:v>
      </x:c>
    </x:row>
    <x:row r="105">
      <x:c r="A105" s="8" t="str">
        <x:v>РУ-1-2 (ВРУ 1-50-00)</x:v>
      </x:c>
      <x:c r="B105" s="8" t="str">
        <x:v>Монтажный материал</x:v>
      </x:c>
      <x:c r="C105" s="8" t="str"/>
      <x:c r="D105" s="9" t="str">
        <x:v>Монтажный материал</x:v>
      </x:c>
      <x:c r="E105" s="10" t="n">
        <x:v>0</x:v>
      </x:c>
      <x:c r="F105" s="10" t="n">
        <x:v>0</x:v>
      </x:c>
      <x:c r="G105" s="10" t="str">
        <x:f>IF(OR(F105="",H105=""),"",F105*H105)</x:f>
      </x:c>
      <x:c r="H105" s="10" t="n">
        <x:v>1</x:v>
      </x:c>
      <x:c r="I105" s="8" t="str">
        <x:v>компл.</x:v>
      </x:c>
      <x:c r="J105" s="8" t="str">
        <x:v>TEKLED</x:v>
      </x:c>
      <x:c r="K105" s="9" t="str">
        <x:v>Количество 1 компл.; состав и цена заполняются после монтажной раскладки.</x:v>
      </x:c>
    </x:row>
    <x:row r="106">
      <x:c r="A106" s="8" t="str">
        <x:v>РУ-1-2 (ВРУ 1-50-00)</x:v>
      </x:c>
      <x:c r="B106" s="8" t="str">
        <x:v>Монтажные работы</x:v>
      </x:c>
      <x:c r="C106" s="8" t="str"/>
      <x:c r="D106" s="9" t="str">
        <x:v>Монтажные работы</x:v>
      </x:c>
      <x:c r="E106" s="10"/>
      <x:c r="F106" s="10" t="n">
        <x:v>100</x:v>
      </x:c>
      <x:c r="G106" s="10" t="n">
        <x:f>IF(OR(F106="",H106=""),"",F106*H106)</x:f>
        <x:v>100</x:v>
      </x:c>
      <x:c r="H106" s="10" t="n">
        <x:v>1</x:v>
      </x:c>
      <x:c r="I106" s="8" t="str">
        <x:v>компл.</x:v>
      </x:c>
      <x:c r="J106" s="8" t="str">
        <x:v>TEKLED</x:v>
      </x:c>
      <x:c r="K106" s="9" t="str">
        <x:v>Количество 1 компл.; стоимость заполняется после нормирования.</x:v>
      </x:c>
    </x:row>
    <x:row r="107">
      <x:c r="A107" s="26" t="str">
        <x:v>РУ-1-2 (ВРУ 1-50-00)</x:v>
      </x:c>
      <x:c r="B107" s="26" t="str">
        <x:v>ИТОГО</x:v>
      </x:c>
      <x:c r="C107" s="26" t="str"/>
      <x:c r="D107" s="27" t="str">
        <x:v>ИТОГО РУ-1-2 (ВРУ 1-50-00)</x:v>
      </x:c>
      <x:c r="E107" s="28" t="n">
        <x:v>0</x:v>
      </x:c>
      <x:c r="F107" s="28" t="n">
        <x:v>0</x:v>
      </x:c>
      <x:c r="G107" s="28" t="n">
        <x:f>SUM(G96:G106)</x:f>
        <x:v>41593.6</x:v>
      </x:c>
      <x:c r="H107" s="28"/>
      <x:c r="I107" s="26" t="str"/>
      <x:c r="J107" s="26" t="str"/>
      <x:c r="K107" s="27" t="str">
        <x:v>Сумма позиций строк 96-106.</x:v>
      </x:c>
    </x:row>
    <x:row r="108">
      <x:c r="A108" s="17" t="str">
        <x:v>РУ-2-2 (ВРУ 1-50-00)</x:v>
      </x:c>
      <x:c r="B108" s="17" t="str">
        <x:v>Панель</x:v>
      </x:c>
      <x:c r="C108" s="17" t="str"/>
      <x:c r="D108" s="18" t="str">
        <x:v>РУ-2-2 (ВРУ 1-50-00)</x:v>
      </x:c>
      <x:c r="E108" s="19" t="n">
        <x:v>0</x:v>
      </x:c>
      <x:c r="F108" s="19" t="n">
        <x:v>0</x:v>
      </x:c>
      <x:c r="G108" s="19"/>
      <x:c r="H108" s="19" t="n">
        <x:v>1</x:v>
      </x:c>
      <x:c r="I108" s="17" t="str">
        <x:v>компл.</x:v>
      </x:c>
      <x:c r="J108" s="17" t="str">
        <x:v>TEKSAN</x:v>
      </x:c>
      <x:c r="K108" s="18" t="str">
        <x:v>Наименование по проекту; внутренние позиции для 1 панели.</x:v>
      </x:c>
    </x:row>
    <x:row r="109">
      <x:c r="A109" s="8" t="str">
        <x:v>РУ-2-2 (ВРУ 1-50-00)</x:v>
      </x:c>
      <x:c r="B109" s="8" t="str">
        <x:v>Корпус</x:v>
      </x:c>
      <x:c r="C109" s="8" t="str">
        <x:v>719-15057</x:v>
      </x:c>
      <x:c r="D109" s="9" t="str">
        <x:v>Pano Met.Shit VRU1(1800x800x400+15sm baza)</x:v>
      </x:c>
      <x:c r="E109" s="10" t="n">
        <x:v>0</x:v>
      </x:c>
      <x:c r="F109" s="10" t="n">
        <x:v>0</x:v>
      </x:c>
      <x:c r="G109" s="10" t="str">
        <x:f>IF(OR(F109="",H109=""),"",F109*H109)</x:f>
      </x:c>
      <x:c r="H109" s="10" t="n">
        <x:v>1</x:v>
      </x:c>
      <x:c r="I109" s="8" t="str">
        <x:v> ШТ. </x:v>
      </x:c>
      <x:c r="J109" s="8" t="str">
        <x:v>teksan f</x:v>
      </x:c>
      <x:c r="K109" s="9" t="str">
        <x:v>PDF лист 4</x:v>
      </x:c>
    </x:row>
    <x:row r="110">
      <x:c r="A110" s="8" t="str">
        <x:v>РУ-2-2 (ВРУ 1-50-00)</x:v>
      </x:c>
      <x:c r="B110" s="8" t="str">
        <x:v>Предохранитель</x:v>
      </x:c>
      <x:c r="C110" s="8" t="str">
        <x:v>521218</x:v>
      </x:c>
      <x:c r="D110" s="9" t="str">
        <x:v>Плавкая вставка предохранителя RT36-2-400, габарит 2, 400А</x:v>
      </x:c>
      <x:c r="E110" s="10" t="n">
        <x:v>4965</x:v>
      </x:c>
      <x:c r="F110" s="10" t="n">
        <x:v>2979</x:v>
      </x:c>
      <x:c r="G110" s="10" t="n">
        <x:f>IF(OR(F110="",H110=""),"",F110*H110)</x:f>
        <x:v>8937</x:v>
      </x:c>
      <x:c r="H110" s="10" t="n">
        <x:v>3</x:v>
      </x:c>
      <x:c r="I110" s="8" t="str">
        <x:v> ШТ. </x:v>
      </x:c>
      <x:c r="J110" s="8" t="str">
        <x:v>chint</x:v>
      </x:c>
      <x:c r="K110" s="9" t="str">
        <x:v>PDF лист 4</x:v>
      </x:c>
    </x:row>
    <x:row r="111">
      <x:c r="A111" s="8" t="str">
        <x:v>РУ-2-2 (ВРУ 1-50-00)</x:v>
      </x:c>
      <x:c r="B111" s="8" t="str">
        <x:v>Предохранитель</x:v>
      </x:c>
      <x:c r="C111" s="8" t="str">
        <x:v>521368</x:v>
      </x:c>
      <x:c r="D111" s="9" t="str">
        <x:v>Держатель плавкой вставки RT36-2-400, габарит 2, 400А</x:v>
      </x:c>
      <x:c r="E111" s="10" t="n">
        <x:v>7443</x:v>
      </x:c>
      <x:c r="F111" s="10" t="n">
        <x:v>4465.8</x:v>
      </x:c>
      <x:c r="G111" s="10" t="n">
        <x:f>IF(OR(F111="",H111=""),"",F111*H111)</x:f>
        <x:v>13397.400000000001</x:v>
      </x:c>
      <x:c r="H111" s="10" t="n">
        <x:v>3</x:v>
      </x:c>
      <x:c r="I111" s="8" t="str">
        <x:v> ШТ. </x:v>
      </x:c>
      <x:c r="J111" s="8" t="str">
        <x:v>chint</x:v>
      </x:c>
      <x:c r="K111" s="9" t="str">
        <x:v>PDF лист 4</x:v>
      </x:c>
    </x:row>
    <x:row r="112">
      <x:c r="A112" s="8" t="str">
        <x:v>РУ-2-2 (ВРУ 1-50-00)</x:v>
      </x:c>
      <x:c r="B112" s="8" t="str">
        <x:v>Предохранитель</x:v>
      </x:c>
      <x:c r="C112" s="8" t="str">
        <x:v>521367</x:v>
      </x:c>
      <x:c r="D112" s="9" t="str">
        <x:v>Держатель плавкой вставки RT36-1-250, габарит 1, 250А</x:v>
      </x:c>
      <x:c r="E112" s="10" t="n">
        <x:v>4750</x:v>
      </x:c>
      <x:c r="F112" s="10" t="n">
        <x:v>4750</x:v>
      </x:c>
      <x:c r="G112" s="10" t="n">
        <x:f>IF(OR(F112="",H112=""),"",F112*H112)</x:f>
        <x:v>14250</x:v>
      </x:c>
      <x:c r="H112" s="10" t="n">
        <x:v>3</x:v>
      </x:c>
      <x:c r="I112" s="8" t="str">
        <x:v> ШТ. </x:v>
      </x:c>
      <x:c r="J112" s="8" t="str">
        <x:v>chint</x:v>
      </x:c>
      <x:c r="K112" s="9" t="str">
        <x:v>PDF лист 4</x:v>
      </x:c>
    </x:row>
    <x:row r="113">
      <x:c r="A113" s="8" t="str">
        <x:v>РУ-2-2 (ВРУ 1-50-00)</x:v>
      </x:c>
      <x:c r="B113" s="8" t="str">
        <x:v>Предохранитель</x:v>
      </x:c>
      <x:c r="C113" s="8" t="str">
        <x:v>521186</x:v>
      </x:c>
      <x:c r="D113" s="9" t="str">
        <x:v>Плавкая вставка предохранителя RT36-1-250, габарит 1, 125А</x:v>
      </x:c>
      <x:c r="E113" s="10" t="n">
        <x:v>3265</x:v>
      </x:c>
      <x:c r="F113" s="10" t="n">
        <x:v>3265</x:v>
      </x:c>
      <x:c r="G113" s="10" t="n">
        <x:f>IF(OR(F113="",H113=""),"",F113*H113)</x:f>
        <x:v>9795</x:v>
      </x:c>
      <x:c r="H113" s="10" t="n">
        <x:v>3</x:v>
      </x:c>
      <x:c r="I113" s="8" t="str">
        <x:v> ШТ. </x:v>
      </x:c>
      <x:c r="J113" s="8" t="str">
        <x:v>chint</x:v>
      </x:c>
      <x:c r="K113" s="9" t="str">
        <x:v>PDF лист 4</x:v>
      </x:c>
    </x:row>
    <x:row r="114">
      <x:c r="A114" s="8" t="str">
        <x:v>РУ-2-2 (ВРУ 1-50-00)</x:v>
      </x:c>
      <x:c r="B114" s="8" t="str">
        <x:v>Предохранитель</x:v>
      </x:c>
      <x:c r="C114" s="8" t="str">
        <x:v>521260</x:v>
      </x:c>
      <x:c r="D114" s="9" t="str">
        <x:v>Держатель плавкой вставки RT36-00-160, габарит 00, 160А</x:v>
      </x:c>
      <x:c r="E114" s="10" t="n">
        <x:v>2038</x:v>
      </x:c>
      <x:c r="F114" s="10" t="n">
        <x:v>1222.8</x:v>
      </x:c>
      <x:c r="G114" s="10" t="n">
        <x:f>IF(OR(F114="",H114=""),"",F114*H114)</x:f>
        <x:v>7336.799999999999</x:v>
      </x:c>
      <x:c r="H114" s="10" t="n">
        <x:v>6</x:v>
      </x:c>
      <x:c r="I114" s="8" t="str">
        <x:v> ШТ. </x:v>
      </x:c>
      <x:c r="J114" s="8" t="str">
        <x:v>chint</x:v>
      </x:c>
      <x:c r="K114" s="9" t="str">
        <x:v>PDF лист 4</x:v>
      </x:c>
    </x:row>
    <x:row r="115">
      <x:c r="A115" s="8" t="str">
        <x:v>РУ-2-2 (ВРУ 1-50-00)</x:v>
      </x:c>
      <x:c r="B115" s="8" t="str">
        <x:v>Предохранитель</x:v>
      </x:c>
      <x:c r="C115" s="8" t="str">
        <x:v>521340</x:v>
      </x:c>
      <x:c r="D115" s="9" t="str">
        <x:v>Плавкая вставка предохранителя RT36-00-160, габарит 00, 25А</x:v>
      </x:c>
      <x:c r="E115" s="10" t="n">
        <x:v>1510</x:v>
      </x:c>
      <x:c r="F115" s="10" t="n">
        <x:v>906</x:v>
      </x:c>
      <x:c r="G115" s="10" t="n">
        <x:f>IF(OR(F115="",H115=""),"",F115*H115)</x:f>
        <x:v>5436</x:v>
      </x:c>
      <x:c r="H115" s="10" t="n">
        <x:v>6</x:v>
      </x:c>
      <x:c r="I115" s="8" t="str">
        <x:v> ШТ. </x:v>
      </x:c>
      <x:c r="J115" s="8" t="str">
        <x:v>chint</x:v>
      </x:c>
      <x:c r="K115" s="9" t="str">
        <x:v>PDF лист 4</x:v>
      </x:c>
    </x:row>
    <x:row r="116">
      <x:c r="A116" s="29" t="str">
        <x:v>РУ-2-2 (ВРУ 1-50-00)</x:v>
      </x:c>
      <x:c r="B116" s="29" t="str">
        <x:v>Клеммник</x:v>
      </x:c>
      <x:c r="C116" s="29" t="str">
        <x:v>КОНТРОЛЬ</x:v>
      </x:c>
      <x:c r="D116" s="30" t="str">
        <x:v>Клеммники силовые/PE/N по фактическим отходящим линиям; тип и количество КОНТРОЛЬ</x:v>
      </x:c>
      <x:c r="E116" s="31" t="n">
        <x:v>0</x:v>
      </x:c>
      <x:c r="F116" s="31" t="n">
        <x:v>0</x:v>
      </x:c>
      <x:c r="G116" s="31" t="str">
        <x:f>IF(OR(F116="",H116=""),"",F116*H116)</x:f>
      </x:c>
      <x:c r="H116" s="31"/>
      <x:c r="I116" s="29" t="str">
        <x:v>компл.</x:v>
      </x:c>
      <x:c r="J116" s="29" t="str">
        <x:v>EKT / Klemsan</x:v>
      </x:c>
      <x:c r="K116" s="30" t="str">
        <x:v>Проект не содержит клеммной раскладки — не заполнять предположением.</x:v>
      </x:c>
    </x:row>
    <x:row r="117">
      <x:c r="A117" s="29" t="str">
        <x:v>РУ-2-2 (ВРУ 1-50-00)</x:v>
      </x:c>
      <x:c r="B117" s="29" t="str">
        <x:v>DIN рейка</x:v>
      </x:c>
      <x:c r="C117" s="29" t="str">
        <x:v>КОНТРОЛЬ</x:v>
      </x:c>
      <x:c r="D117" s="30" t="str">
        <x:v>DIN рейка 35 мм; длина КОНТРОЛЬ</x:v>
      </x:c>
      <x:c r="E117" s="31" t="n">
        <x:v>0</x:v>
      </x:c>
      <x:c r="F117" s="31" t="n">
        <x:v>0</x:v>
      </x:c>
      <x:c r="G117" s="31" t="str">
        <x:f>IF(OR(F117="",H117=""),"",F117*H117)</x:f>
      </x:c>
      <x:c r="H117" s="31"/>
      <x:c r="I117" s="29" t="str">
        <x:v>м</x:v>
      </x:c>
      <x:c r="J117" s="29" t="str">
        <x:v>EKT</x:v>
      </x:c>
      <x:c r="K117" s="30" t="str">
        <x:v>Определить по монтажной раскладке и 20% резерву.</x:v>
      </x:c>
    </x:row>
    <x:row r="118">
      <x:c r="A118" s="29" t="str">
        <x:v>РУ-2-2 (ВРУ 1-50-00)</x:v>
      </x:c>
      <x:c r="B118" s="29" t="str">
        <x:v>Кабельный канал</x:v>
      </x:c>
      <x:c r="C118" s="29" t="str">
        <x:v>КОНТРОЛЬ</x:v>
      </x:c>
      <x:c r="D118" s="30" t="str">
        <x:v>Кабельный канал; сечение и длина КОНТРОЛЬ</x:v>
      </x:c>
      <x:c r="E118" s="31" t="n">
        <x:v>0</x:v>
      </x:c>
      <x:c r="F118" s="31" t="n">
        <x:v>0</x:v>
      </x:c>
      <x:c r="G118" s="31" t="str">
        <x:f>IF(OR(F118="",H118=""),"",F118*H118)</x:f>
      </x:c>
      <x:c r="H118" s="31"/>
      <x:c r="I118" s="29" t="str">
        <x:v>м</x:v>
      </x:c>
      <x:c r="J118" s="29" t="str">
        <x:v>EKT / Onka</x:v>
      </x:c>
      <x:c r="K118" s="30" t="str">
        <x:v>Определить по монтажной раскладке и заполнению канала.</x:v>
      </x:c>
    </x:row>
    <x:row r="119">
      <x:c r="A119" s="29" t="str">
        <x:v>РУ-2-2 (ВРУ 1-50-00)</x:v>
      </x:c>
      <x:c r="B119" s="29" t="str">
        <x:v>Шина</x:v>
      </x:c>
      <x:c r="C119" s="29" t="str">
        <x:v>КОНТРОЛЬ</x:v>
      </x:c>
      <x:c r="D119" s="30" t="str">
        <x:v>Шины N/PE и фазные перемычки; сечение/длина КОНТРОЛЬ</x:v>
      </x:c>
      <x:c r="E119" s="31" t="n">
        <x:v>0</x:v>
      </x:c>
      <x:c r="F119" s="31" t="n">
        <x:v>0</x:v>
      </x:c>
      <x:c r="G119" s="31" t="str">
        <x:f>IF(OR(F119="",H119=""),"",F119*H119)</x:f>
      </x:c>
      <x:c r="H119" s="31"/>
      <x:c r="I119" s="29" t="str">
        <x:v>компл.</x:v>
      </x:c>
      <x:c r="J119" s="29" t="str">
        <x:v>TEKLED</x:v>
      </x:c>
      <x:c r="K119" s="30" t="str">
        <x:v>Рассчитать по току, КЗ, материалу и фактической компоновке.</x:v>
      </x:c>
    </x:row>
    <x:row r="120">
      <x:c r="A120" s="8" t="str">
        <x:v>РУ-2-2 (ВРУ 1-50-00)</x:v>
      </x:c>
      <x:c r="B120" s="8" t="str">
        <x:v>Монтажный материал</x:v>
      </x:c>
      <x:c r="C120" s="8" t="str"/>
      <x:c r="D120" s="9" t="str">
        <x:v>Монтажный материал</x:v>
      </x:c>
      <x:c r="E120" s="10" t="n">
        <x:v>0</x:v>
      </x:c>
      <x:c r="F120" s="10" t="n">
        <x:v>0</x:v>
      </x:c>
      <x:c r="G120" s="10" t="str">
        <x:f>IF(OR(F120="",H120=""),"",F120*H120)</x:f>
      </x:c>
      <x:c r="H120" s="10" t="n">
        <x:v>1</x:v>
      </x:c>
      <x:c r="I120" s="8" t="str">
        <x:v>компл.</x:v>
      </x:c>
      <x:c r="J120" s="8" t="str">
        <x:v>TEKLED</x:v>
      </x:c>
      <x:c r="K120" s="9" t="str">
        <x:v>Количество 1 компл.; состав и цена заполняются после монтажной раскладки.</x:v>
      </x:c>
    </x:row>
    <x:row r="121">
      <x:c r="A121" s="8" t="str">
        <x:v>РУ-2-2 (ВРУ 1-50-00)</x:v>
      </x:c>
      <x:c r="B121" s="8" t="str">
        <x:v>Монтажные работы</x:v>
      </x:c>
      <x:c r="C121" s="8" t="str"/>
      <x:c r="D121" s="9" t="str">
        <x:v>Монтажные работы</x:v>
      </x:c>
      <x:c r="E121" s="10"/>
      <x:c r="F121" s="10" t="n">
        <x:v>100</x:v>
      </x:c>
      <x:c r="G121" s="10" t="n">
        <x:f>IF(OR(F121="",H121=""),"",F121*H121)</x:f>
        <x:v>100</x:v>
      </x:c>
      <x:c r="H121" s="10" t="n">
        <x:v>1</x:v>
      </x:c>
      <x:c r="I121" s="8" t="str">
        <x:v>компл.</x:v>
      </x:c>
      <x:c r="J121" s="8" t="str">
        <x:v>TEKLED</x:v>
      </x:c>
      <x:c r="K121" s="9" t="str">
        <x:v>Количество 1 компл.; стоимость заполняется после нормирования.</x:v>
      </x:c>
    </x:row>
    <x:row r="122">
      <x:c r="A122" s="26" t="str">
        <x:v>РУ-2-2 (ВРУ 1-50-00)</x:v>
      </x:c>
      <x:c r="B122" s="26" t="str">
        <x:v>ИТОГО</x:v>
      </x:c>
      <x:c r="C122" s="26" t="str"/>
      <x:c r="D122" s="27" t="str">
        <x:v>ИТОГО РУ-2-2 (ВРУ 1-50-00)</x:v>
      </x:c>
      <x:c r="E122" s="28" t="n">
        <x:v>0</x:v>
      </x:c>
      <x:c r="F122" s="28" t="n">
        <x:v>0</x:v>
      </x:c>
      <x:c r="G122" s="28" t="n">
        <x:f>SUM(G109:G121)</x:f>
        <x:v>59252.2</x:v>
      </x:c>
      <x:c r="H122" s="28"/>
      <x:c r="I122" s="26" t="str"/>
      <x:c r="J122" s="26" t="str"/>
      <x:c r="K122" s="27" t="str">
        <x:v>Сумма позиций строк 109-121.</x:v>
      </x:c>
    </x:row>
    <x:row r="123">
      <x:c r="A123" s="17" t="str">
        <x:v>ЩР-2 (ЩР11-73707-54У2)</x:v>
      </x:c>
      <x:c r="B123" s="17" t="str">
        <x:v>Панель</x:v>
      </x:c>
      <x:c r="C123" s="17" t="str"/>
      <x:c r="D123" s="18" t="str">
        <x:v>ЩР-2 (ЩР11-73707-54У2)</x:v>
      </x:c>
      <x:c r="E123" s="19" t="n">
        <x:v>0</x:v>
      </x:c>
      <x:c r="F123" s="19" t="n">
        <x:v>0</x:v>
      </x:c>
      <x:c r="G123" s="19"/>
      <x:c r="H123" s="19" t="n">
        <x:v>1</x:v>
      </x:c>
      <x:c r="I123" s="17" t="str">
        <x:v>компл.</x:v>
      </x:c>
      <x:c r="J123" s="17" t="str">
        <x:v>TEKSAN</x:v>
      </x:c>
      <x:c r="K123" s="18" t="str">
        <x:v>Наименование по проекту; внутренние позиции для 1 панели.</x:v>
      </x:c>
    </x:row>
    <x:row r="124">
      <x:c r="A124" s="8" t="str">
        <x:v>ЩР-2 (ЩР11-73707-54У2)</x:v>
      </x:c>
      <x:c r="B124" s="8" t="str">
        <x:v>Корпус</x:v>
      </x:c>
      <x:c r="C124" s="8" t="str">
        <x:v>719-15612</x:v>
      </x:c>
      <x:c r="D124" s="9" t="str">
        <x:v>Мет. Корпус (Пустой) (1600x500x350)+10CM База IP31</x:v>
      </x:c>
      <x:c r="E124" s="10" t="n">
        <x:v>89545</x:v>
      </x:c>
      <x:c r="F124" s="10" t="n">
        <x:v>53727</x:v>
      </x:c>
      <x:c r="G124" s="10" t="n">
        <x:f>IF(OR(F124="",H124=""),"",F124*H124)</x:f>
        <x:v>53727</x:v>
      </x:c>
      <x:c r="H124" s="10" t="n">
        <x:v>1</x:v>
      </x:c>
      <x:c r="I124" s="8" t="str">
        <x:v> ШТ. </x:v>
      </x:c>
      <x:c r="J124" s="8" t="str">
        <x:v>teksan f</x:v>
      </x:c>
      <x:c r="K124" s="9" t="str">
        <x:v>PDF лист 4</x:v>
      </x:c>
    </x:row>
    <x:row r="125">
      <x:c r="A125" s="8" t="str">
        <x:v>ЩР-2 (ЩР11-73707-54У2)</x:v>
      </x:c>
      <x:c r="B125" s="8" t="str">
        <x:v>Предохранитель</x:v>
      </x:c>
      <x:c r="C125" s="8" t="str">
        <x:v>521367</x:v>
      </x:c>
      <x:c r="D125" s="9" t="str">
        <x:v>Держатель плавкой вставки RT36-1-250, габарит 1, 250А</x:v>
      </x:c>
      <x:c r="E125" s="10" t="n">
        <x:v>4750</x:v>
      </x:c>
      <x:c r="F125" s="10" t="n">
        <x:v>4750</x:v>
      </x:c>
      <x:c r="G125" s="10" t="n">
        <x:f>IF(OR(F125="",H125=""),"",F125*H125)</x:f>
        <x:v>28500</x:v>
      </x:c>
      <x:c r="H125" s="10" t="n">
        <x:v>6</x:v>
      </x:c>
      <x:c r="I125" s="8" t="str">
        <x:v> ШТ. </x:v>
      </x:c>
      <x:c r="J125" s="8" t="str">
        <x:v>chint</x:v>
      </x:c>
      <x:c r="K125" s="9" t="str">
        <x:v>PDF лист 4</x:v>
      </x:c>
    </x:row>
    <x:row r="126">
      <x:c r="A126" s="8" t="str">
        <x:v>ЩР-2 (ЩР11-73707-54У2)</x:v>
      </x:c>
      <x:c r="B126" s="8" t="str">
        <x:v>Предохранитель</x:v>
      </x:c>
      <x:c r="C126" s="8" t="str">
        <x:v>521187</x:v>
      </x:c>
      <x:c r="D126" s="9" t="str">
        <x:v>Плавкая вставка предохранителя RT36-1-250, габарит 1, 160А</x:v>
      </x:c>
      <x:c r="E126" s="10" t="n">
        <x:v>3288</x:v>
      </x:c>
      <x:c r="F126" s="10" t="n">
        <x:v>3288</x:v>
      </x:c>
      <x:c r="G126" s="10" t="n">
        <x:f>IF(OR(F126="",H126=""),"",F126*H126)</x:f>
        <x:v>19728</x:v>
      </x:c>
      <x:c r="H126" s="10" t="n">
        <x:v>6</x:v>
      </x:c>
      <x:c r="I126" s="8" t="str">
        <x:v> ШТ. </x:v>
      </x:c>
      <x:c r="J126" s="8" t="str">
        <x:v>chint</x:v>
      </x:c>
      <x:c r="K126" s="9" t="str">
        <x:v>PDF лист 4</x:v>
      </x:c>
    </x:row>
    <x:row r="127">
      <x:c r="A127" s="8" t="str">
        <x:v>ЩР-2 (ЩР11-73707-54У2)</x:v>
      </x:c>
      <x:c r="B127" s="8" t="str">
        <x:v>Предохранитель</x:v>
      </x:c>
      <x:c r="C127" s="8" t="str">
        <x:v>521349</x:v>
      </x:c>
      <x:c r="D127" s="9" t="str">
        <x:v>Плавкая вставка предохранителя RT36-00-160, габарит 00, 100А</x:v>
      </x:c>
      <x:c r="E127" s="10" t="n">
        <x:v>1545</x:v>
      </x:c>
      <x:c r="F127" s="10" t="n">
        <x:v>1545</x:v>
      </x:c>
      <x:c r="G127" s="10" t="n">
        <x:f>IF(OR(F127="",H127=""),"",F127*H127)</x:f>
        <x:v>4635</x:v>
      </x:c>
      <x:c r="H127" s="10" t="n">
        <x:v>3</x:v>
      </x:c>
      <x:c r="I127" s="8" t="str">
        <x:v> ШТ. </x:v>
      </x:c>
      <x:c r="J127" s="8" t="str">
        <x:v>chint</x:v>
      </x:c>
      <x:c r="K127" s="9" t="str">
        <x:v>PDF лист 4</x:v>
      </x:c>
    </x:row>
    <x:row r="128">
      <x:c r="A128" s="8" t="str">
        <x:v>ЩР-2 (ЩР11-73707-54У2)</x:v>
      </x:c>
      <x:c r="B128" s="8" t="str">
        <x:v>Предохранитель</x:v>
      </x:c>
      <x:c r="C128" s="8" t="str">
        <x:v>521260</x:v>
      </x:c>
      <x:c r="D128" s="9" t="str">
        <x:v>Держатель плавкой вставки RT36-00-160, габарит 00, 160А</x:v>
      </x:c>
      <x:c r="E128" s="10" t="n">
        <x:v>2038</x:v>
      </x:c>
      <x:c r="F128" s="10" t="n">
        <x:v>1222.8</x:v>
      </x:c>
      <x:c r="G128" s="10" t="n">
        <x:f>IF(OR(F128="",H128=""),"",F128*H128)</x:f>
        <x:v>18342</x:v>
      </x:c>
      <x:c r="H128" s="10" t="n">
        <x:v>15</x:v>
      </x:c>
      <x:c r="I128" s="8" t="str">
        <x:v> ШТ. </x:v>
      </x:c>
      <x:c r="J128" s="8" t="str">
        <x:v>chint</x:v>
      </x:c>
      <x:c r="K128" s="9" t="str">
        <x:v>PDF лист 4</x:v>
      </x:c>
    </x:row>
    <x:row r="129">
      <x:c r="A129" s="8" t="str">
        <x:v>ЩР-2 (ЩР11-73707-54У2)</x:v>
      </x:c>
      <x:c r="B129" s="8" t="str">
        <x:v>Предохранитель</x:v>
      </x:c>
      <x:c r="C129" s="8" t="str">
        <x:v>521340</x:v>
      </x:c>
      <x:c r="D129" s="9" t="str">
        <x:v>Плавкая вставка предохранителя RT36-00-160, габарит 00, 25А</x:v>
      </x:c>
      <x:c r="E129" s="10" t="n">
        <x:v>1510</x:v>
      </x:c>
      <x:c r="F129" s="10" t="n">
        <x:v>906</x:v>
      </x:c>
      <x:c r="G129" s="10" t="n">
        <x:f>IF(OR(F129="",H129=""),"",F129*H129)</x:f>
        <x:v>10872</x:v>
      </x:c>
      <x:c r="H129" s="10" t="n">
        <x:v>12</x:v>
      </x:c>
      <x:c r="I129" s="8" t="str">
        <x:v> ШТ. </x:v>
      </x:c>
      <x:c r="J129" s="8" t="str">
        <x:v>chint</x:v>
      </x:c>
      <x:c r="K129" s="9" t="str">
        <x:v>PDF лист 4</x:v>
      </x:c>
    </x:row>
    <x:row r="130">
      <x:c r="A130" s="29" t="str">
        <x:v>ЩР-2 (ЩР11-73707-54У2)</x:v>
      </x:c>
      <x:c r="B130" s="29" t="str">
        <x:v>Клеммник</x:v>
      </x:c>
      <x:c r="C130" s="29" t="str">
        <x:v>КОНТРОЛЬ</x:v>
      </x:c>
      <x:c r="D130" s="30" t="str">
        <x:v>Клеммники силовые/PE/N по фактическим отходящим линиям; тип и количество КОНТРОЛЬ</x:v>
      </x:c>
      <x:c r="E130" s="31" t="n">
        <x:v>0</x:v>
      </x:c>
      <x:c r="F130" s="31" t="n">
        <x:v>0</x:v>
      </x:c>
      <x:c r="G130" s="31" t="str">
        <x:f>IF(OR(F130="",H130=""),"",F130*H130)</x:f>
      </x:c>
      <x:c r="H130" s="31"/>
      <x:c r="I130" s="29" t="str">
        <x:v>компл.</x:v>
      </x:c>
      <x:c r="J130" s="29" t="str">
        <x:v>EKT / Klemsan</x:v>
      </x:c>
      <x:c r="K130" s="30" t="str">
        <x:v>Проект не содержит клеммной раскладки — не заполнять предположением.</x:v>
      </x:c>
    </x:row>
    <x:row r="131">
      <x:c r="A131" s="29" t="str">
        <x:v>ЩР-2 (ЩР11-73707-54У2)</x:v>
      </x:c>
      <x:c r="B131" s="29" t="str">
        <x:v>DIN рейка</x:v>
      </x:c>
      <x:c r="C131" s="29" t="str">
        <x:v>КОНТРОЛЬ</x:v>
      </x:c>
      <x:c r="D131" s="30" t="str">
        <x:v>DIN рейка 35 мм; длина КОНТРОЛЬ</x:v>
      </x:c>
      <x:c r="E131" s="31" t="n">
        <x:v>0</x:v>
      </x:c>
      <x:c r="F131" s="31" t="n">
        <x:v>0</x:v>
      </x:c>
      <x:c r="G131" s="31" t="str">
        <x:f>IF(OR(F131="",H131=""),"",F131*H131)</x:f>
      </x:c>
      <x:c r="H131" s="31"/>
      <x:c r="I131" s="29" t="str">
        <x:v>м</x:v>
      </x:c>
      <x:c r="J131" s="29" t="str">
        <x:v>EKT</x:v>
      </x:c>
      <x:c r="K131" s="30" t="str">
        <x:v>Определить по монтажной раскладке и 20% резерву.</x:v>
      </x:c>
    </x:row>
    <x:row r="132">
      <x:c r="A132" s="29" t="str">
        <x:v>ЩР-2 (ЩР11-73707-54У2)</x:v>
      </x:c>
      <x:c r="B132" s="29" t="str">
        <x:v>Кабельный канал</x:v>
      </x:c>
      <x:c r="C132" s="29" t="str">
        <x:v>КОНТРОЛЬ</x:v>
      </x:c>
      <x:c r="D132" s="30" t="str">
        <x:v>Кабельный канал; сечение и длина КОНТРОЛЬ</x:v>
      </x:c>
      <x:c r="E132" s="31" t="n">
        <x:v>0</x:v>
      </x:c>
      <x:c r="F132" s="31" t="n">
        <x:v>0</x:v>
      </x:c>
      <x:c r="G132" s="31" t="str">
        <x:f>IF(OR(F132="",H132=""),"",F132*H132)</x:f>
      </x:c>
      <x:c r="H132" s="31"/>
      <x:c r="I132" s="29" t="str">
        <x:v>м</x:v>
      </x:c>
      <x:c r="J132" s="29" t="str">
        <x:v>EKT / Onka</x:v>
      </x:c>
      <x:c r="K132" s="30" t="str">
        <x:v>Определить по монтажной раскладке и заполнению канала.</x:v>
      </x:c>
    </x:row>
    <x:row r="133">
      <x:c r="A133" s="29" t="str">
        <x:v>ЩР-2 (ЩР11-73707-54У2)</x:v>
      </x:c>
      <x:c r="B133" s="29" t="str">
        <x:v>Шина</x:v>
      </x:c>
      <x:c r="C133" s="29" t="str">
        <x:v>КОНТРОЛЬ</x:v>
      </x:c>
      <x:c r="D133" s="30" t="str">
        <x:v>Шины N/PE и фазные перемычки; сечение/длина КОНТРОЛЬ</x:v>
      </x:c>
      <x:c r="E133" s="31" t="n">
        <x:v>0</x:v>
      </x:c>
      <x:c r="F133" s="31" t="n">
        <x:v>0</x:v>
      </x:c>
      <x:c r="G133" s="31" t="str">
        <x:f>IF(OR(F133="",H133=""),"",F133*H133)</x:f>
      </x:c>
      <x:c r="H133" s="31"/>
      <x:c r="I133" s="29" t="str">
        <x:v>компл.</x:v>
      </x:c>
      <x:c r="J133" s="29" t="str">
        <x:v>TEKLED</x:v>
      </x:c>
      <x:c r="K133" s="30" t="str">
        <x:v>Рассчитать по току, КЗ, материалу и фактической компоновке.</x:v>
      </x:c>
    </x:row>
    <x:row r="134">
      <x:c r="A134" s="8" t="str">
        <x:v>ЩР-2 (ЩР11-73707-54У2)</x:v>
      </x:c>
      <x:c r="B134" s="8" t="str">
        <x:v>Монтажный материал</x:v>
      </x:c>
      <x:c r="C134" s="8" t="str"/>
      <x:c r="D134" s="9" t="str">
        <x:v>Монтажный материал</x:v>
      </x:c>
      <x:c r="E134" s="10" t="n">
        <x:v>0</x:v>
      </x:c>
      <x:c r="F134" s="10" t="n">
        <x:v>0</x:v>
      </x:c>
      <x:c r="G134" s="10" t="str">
        <x:f>IF(OR(F134="",H134=""),"",F134*H134)</x:f>
      </x:c>
      <x:c r="H134" s="10" t="n">
        <x:v>1</x:v>
      </x:c>
      <x:c r="I134" s="8" t="str">
        <x:v>компл.</x:v>
      </x:c>
      <x:c r="J134" s="8" t="str">
        <x:v>TEKLED</x:v>
      </x:c>
      <x:c r="K134" s="9" t="str">
        <x:v>Количество 1 компл.; состав и цена заполняются после монтажной раскладки.</x:v>
      </x:c>
    </x:row>
    <x:row r="135">
      <x:c r="A135" s="8" t="str">
        <x:v>ЩР-2 (ЩР11-73707-54У2)</x:v>
      </x:c>
      <x:c r="B135" s="8" t="str">
        <x:v>Монтажные работы</x:v>
      </x:c>
      <x:c r="C135" s="8" t="str"/>
      <x:c r="D135" s="9" t="str">
        <x:v>Монтажные работы</x:v>
      </x:c>
      <x:c r="E135" s="10"/>
      <x:c r="F135" s="10" t="n">
        <x:v>100</x:v>
      </x:c>
      <x:c r="G135" s="10" t="n">
        <x:f>IF(OR(F135="",H135=""),"",F135*H135)</x:f>
        <x:v>100</x:v>
      </x:c>
      <x:c r="H135" s="10" t="n">
        <x:v>1</x:v>
      </x:c>
      <x:c r="I135" s="8" t="str">
        <x:v>компл.</x:v>
      </x:c>
      <x:c r="J135" s="8" t="str">
        <x:v>TEKLED</x:v>
      </x:c>
      <x:c r="K135" s="9" t="str">
        <x:v>Количество 1 компл.; стоимость заполняется после нормирования.</x:v>
      </x:c>
    </x:row>
    <x:row r="136">
      <x:c r="A136" s="26" t="str">
        <x:v>ЩР-2 (ЩР11-73707-54У2)</x:v>
      </x:c>
      <x:c r="B136" s="26" t="str">
        <x:v>ИТОГО</x:v>
      </x:c>
      <x:c r="C136" s="26" t="str"/>
      <x:c r="D136" s="27" t="str">
        <x:v>ИТОГО ЩР-2 (ЩР11-73707-54У2)</x:v>
      </x:c>
      <x:c r="E136" s="28" t="n">
        <x:v>0</x:v>
      </x:c>
      <x:c r="F136" s="28" t="n">
        <x:v>0</x:v>
      </x:c>
      <x:c r="G136" s="28" t="n">
        <x:f>SUM(G124:G135)</x:f>
        <x:v>135904</x:v>
      </x:c>
      <x:c r="H136" s="28"/>
      <x:c r="I136" s="26" t="str"/>
      <x:c r="J136" s="26" t="str"/>
      <x:c r="K136" s="27" t="str">
        <x:v>Сумма позиций строк 124-135.</x:v>
      </x:c>
    </x:row>
    <x:row r="137">
      <x:c r="A137" s="17" t="str">
        <x:v>АВР-2 3.1.1.400</x:v>
      </x:c>
      <x:c r="B137" s="17" t="str">
        <x:v>Панель</x:v>
      </x:c>
      <x:c r="C137" s="17" t="str"/>
      <x:c r="D137" s="18" t="str">
        <x:v>АВР-2 3.1.1.400</x:v>
      </x:c>
      <x:c r="E137" s="19" t="n">
        <x:v>0</x:v>
      </x:c>
      <x:c r="F137" s="19" t="n">
        <x:v>0</x:v>
      </x:c>
      <x:c r="G137" s="19"/>
      <x:c r="H137" s="19" t="n">
        <x:v>1</x:v>
      </x:c>
      <x:c r="I137" s="17" t="str">
        <x:v>компл.</x:v>
      </x:c>
      <x:c r="J137" s="17" t="str">
        <x:v>TEKSAN</x:v>
      </x:c>
      <x:c r="K137" s="18" t="str">
        <x:v>Наименование по проекту; внутренние позиции для 1 панели.</x:v>
      </x:c>
    </x:row>
    <x:row r="138">
      <x:c r="A138" s="8" t="str">
        <x:v>АВР-2 3.1.1.400</x:v>
      </x:c>
      <x:c r="B138" s="8" t="str">
        <x:v>Корпус</x:v>
      </x:c>
      <x:c r="C138" s="8" t="str">
        <x:v>719-15445</x:v>
      </x:c>
      <x:c r="D138" s="9" t="str">
        <x:v>Мет.Корпус ЩМП-5 (1000x650x300) IP31</x:v>
      </x:c>
      <x:c r="E138" s="10" t="n">
        <x:v>38905</x:v>
      </x:c>
      <x:c r="F138" s="10" t="n">
        <x:v>23343</x:v>
      </x:c>
      <x:c r="G138" s="10" t="n">
        <x:f>IF(OR(F138="",H138=""),"",F138*H138)</x:f>
        <x:v>23343</x:v>
      </x:c>
      <x:c r="H138" s="10" t="n">
        <x:v>1</x:v>
      </x:c>
      <x:c r="I138" s="8" t="str">
        <x:v> ШТ. </x:v>
      </x:c>
      <x:c r="J138" s="8" t="str">
        <x:v>teksan f</x:v>
      </x:c>
      <x:c r="K138" s="9" t="str">
        <x:v>PDF лист 4</x:v>
      </x:c>
    </x:row>
    <x:row r="139">
      <x:c r="A139" s="8" t="str">
        <x:v>АВР-2 3.1.1.400</x:v>
      </x:c>
      <x:c r="B139" s="8" t="str">
        <x:v>АВР</x:v>
      </x:c>
      <x:c r="C139" s="8" t="str">
        <x:v>256811</x:v>
      </x:c>
      <x:c r="D139" s="9" t="str">
        <x:v>Устройство автоматического ввода резерва NXZM-400S/3B 400A (R)</x:v>
      </x:c>
      <x:c r="E139" s="10" t="n">
        <x:v>579699</x:v>
      </x:c>
      <x:c r="F139" s="10" t="n">
        <x:v>347819.39999999997</x:v>
      </x:c>
      <x:c r="G139" s="10" t="n">
        <x:f>IF(OR(F139="",H139=""),"",F139*H139)</x:f>
        <x:v>347819.39999999997</x:v>
      </x:c>
      <x:c r="H139" s="10" t="n">
        <x:v>1</x:v>
      </x:c>
      <x:c r="I139" s="8" t="str">
        <x:v> ШТ. </x:v>
      </x:c>
      <x:c r="J139" s="8" t="str">
        <x:v>chint</x:v>
      </x:c>
      <x:c r="K139" s="9" t="str">
        <x:v>PDF лист 4: один блок АВР на два ввода; количество исправлено.</x:v>
      </x:c>
    </x:row>
    <x:row r="140">
      <x:c r="A140" s="8" t="str">
        <x:v>АВР-2 3.1.1.400</x:v>
      </x:c>
      <x:c r="B140" s="8" t="str">
        <x:v>Индикатор</x:v>
      </x:c>
      <x:c r="C140" s="8" t="str">
        <x:v>593075</x:v>
      </x:c>
      <x:c r="D140" s="9" t="str">
        <x:v>Индикатор ND16-22D/2 красный AC/DC230В (R)</x:v>
      </x:c>
      <x:c r="E140" s="10" t="n">
        <x:v>571</x:v>
      </x:c>
      <x:c r="F140" s="10" t="n">
        <x:v>342.59999999999997</x:v>
      </x:c>
      <x:c r="G140" s="10" t="n">
        <x:f>IF(OR(F140="",H140=""),"",F140*H140)</x:f>
        <x:v>1027.8</x:v>
      </x:c>
      <x:c r="H140" s="10" t="n">
        <x:v>3</x:v>
      </x:c>
      <x:c r="I140" s="8" t="str">
        <x:v> ШТ. </x:v>
      </x:c>
      <x:c r="J140" s="8" t="str">
        <x:v>chint</x:v>
      </x:c>
      <x:c r="K140" s="9" t="str">
        <x:v>PDF лист 4</x:v>
      </x:c>
    </x:row>
    <x:row r="141">
      <x:c r="A141" s="8" t="str">
        <x:v>АВР-2 3.1.1.400</x:v>
      </x:c>
      <x:c r="B141" s="8" t="str">
        <x:v>Индикатор</x:v>
      </x:c>
      <x:c r="C141" s="8" t="str">
        <x:v>593077</x:v>
      </x:c>
      <x:c r="D141" s="9" t="str">
        <x:v>Индикатор ND16-22D/2 зеленый AC/DC230В (R)</x:v>
      </x:c>
      <x:c r="E141" s="10" t="n">
        <x:v>589</x:v>
      </x:c>
      <x:c r="F141" s="10" t="n">
        <x:v>353.4</x:v>
      </x:c>
      <x:c r="G141" s="10" t="n">
        <x:f>IF(OR(F141="",H141=""),"",F141*H141)</x:f>
        <x:v>1060.1999999999998</x:v>
      </x:c>
      <x:c r="H141" s="10" t="n">
        <x:v>3</x:v>
      </x:c>
      <x:c r="I141" s="8" t="str">
        <x:v> ШТ. </x:v>
      </x:c>
      <x:c r="J141" s="8" t="str">
        <x:v>chint</x:v>
      </x:c>
      <x:c r="K141" s="9" t="str">
        <x:v>PDF лист 4</x:v>
      </x:c>
    </x:row>
    <x:row r="142">
      <x:c r="A142" s="8" t="str">
        <x:v>АВР-2 3.1.1.400</x:v>
      </x:c>
      <x:c r="B142" s="8" t="str">
        <x:v>Индикатор</x:v>
      </x:c>
      <x:c r="C142" s="8" t="str">
        <x:v>593073</x:v>
      </x:c>
      <x:c r="D142" s="9" t="str">
        <x:v>Индикатор ND16-22D/2 белый AC/DC230В (R)</x:v>
      </x:c>
      <x:c r="E142" s="10" t="n">
        <x:v>1047</x:v>
      </x:c>
      <x:c r="F142" s="10" t="n">
        <x:v>628.1999999999999</x:v>
      </x:c>
      <x:c r="G142" s="10" t="n">
        <x:f>IF(OR(F142="",H142=""),"",F142*H142)</x:f>
        <x:v>1884.6</x:v>
      </x:c>
      <x:c r="H142" s="10" t="n">
        <x:v>3</x:v>
      </x:c>
      <x:c r="I142" s="8" t="str">
        <x:v> ШТ. </x:v>
      </x:c>
      <x:c r="J142" s="8" t="str">
        <x:v>chint</x:v>
      </x:c>
      <x:c r="K142" s="9" t="str">
        <x:v>PDF лист 4</x:v>
      </x:c>
    </x:row>
    <x:row r="143">
      <x:c r="A143" s="8" t="str">
        <x:v>АВР-2 3.1.1.400</x:v>
      </x:c>
      <x:c r="B143" s="8" t="str">
        <x:v>Шина</x:v>
      </x:c>
      <x:c r="C143" s="8"/>
      <x:c r="D143" s="9" t="str">
        <x:v>shin</x:v>
      </x:c>
      <x:c r="E143" s="10"/>
      <x:c r="F143" s="10" t="n">
        <x:v>0</x:v>
      </x:c>
      <x:c r="G143" s="10" t="str">
        <x:f>IF(OR(F143="",H143=""),"",F143*H143)</x:f>
      </x:c>
      <x:c r="H143" s="10" t="n">
        <x:v>3</x:v>
      </x:c>
      <x:c r="I143" s="8" t="str">
        <x:v> ШТ. </x:v>
      </x:c>
      <x:c r="J143" s="8" t="str">
        <x:v>pys</x:v>
      </x:c>
      <x:c r="K143" s="9" t="str">
        <x:v>PDF лист 4</x:v>
      </x:c>
    </x:row>
    <x:row r="144">
      <x:c r="A144" s="29" t="str">
        <x:v>АВР-2 3.1.1.400</x:v>
      </x:c>
      <x:c r="B144" s="29" t="str">
        <x:v>Клеммник</x:v>
      </x:c>
      <x:c r="C144" s="29" t="str">
        <x:v>КОНТРОЛЬ</x:v>
      </x:c>
      <x:c r="D144" s="30" t="str">
        <x:v>Клеммники силовые/PE/N по фактическим отходящим линиям; тип и количество КОНТРОЛЬ</x:v>
      </x:c>
      <x:c r="E144" s="31" t="n">
        <x:v>0</x:v>
      </x:c>
      <x:c r="F144" s="31" t="n">
        <x:v>0</x:v>
      </x:c>
      <x:c r="G144" s="31" t="str">
        <x:f>IF(OR(F144="",H144=""),"",F144*H144)</x:f>
      </x:c>
      <x:c r="H144" s="31"/>
      <x:c r="I144" s="29" t="str">
        <x:v>компл.</x:v>
      </x:c>
      <x:c r="J144" s="29" t="str">
        <x:v>EKT / Klemsan</x:v>
      </x:c>
      <x:c r="K144" s="30" t="str">
        <x:v>Проект не содержит клеммной раскладки — не заполнять предположением.</x:v>
      </x:c>
    </x:row>
    <x:row r="145">
      <x:c r="A145" s="29" t="str">
        <x:v>АВР-2 3.1.1.400</x:v>
      </x:c>
      <x:c r="B145" s="29" t="str">
        <x:v>DIN рейка</x:v>
      </x:c>
      <x:c r="C145" s="29" t="str">
        <x:v>КОНТРОЛЬ</x:v>
      </x:c>
      <x:c r="D145" s="30" t="str">
        <x:v>DIN рейка 35 мм; длина КОНТРОЛЬ</x:v>
      </x:c>
      <x:c r="E145" s="31" t="n">
        <x:v>0</x:v>
      </x:c>
      <x:c r="F145" s="31" t="n">
        <x:v>0</x:v>
      </x:c>
      <x:c r="G145" s="31" t="str">
        <x:f>IF(OR(F145="",H145=""),"",F145*H145)</x:f>
      </x:c>
      <x:c r="H145" s="31"/>
      <x:c r="I145" s="29" t="str">
        <x:v>м</x:v>
      </x:c>
      <x:c r="J145" s="29" t="str">
        <x:v>EKT</x:v>
      </x:c>
      <x:c r="K145" s="30" t="str">
        <x:v>Определить по монтажной раскладке и 20% резерву.</x:v>
      </x:c>
    </x:row>
    <x:row r="146">
      <x:c r="A146" s="29" t="str">
        <x:v>АВР-2 3.1.1.400</x:v>
      </x:c>
      <x:c r="B146" s="29" t="str">
        <x:v>Кабельный канал</x:v>
      </x:c>
      <x:c r="C146" s="29" t="str">
        <x:v>КОНТРОЛЬ</x:v>
      </x:c>
      <x:c r="D146" s="30" t="str">
        <x:v>Кабельный канал; сечение и длина КОНТРОЛЬ</x:v>
      </x:c>
      <x:c r="E146" s="31" t="n">
        <x:v>0</x:v>
      </x:c>
      <x:c r="F146" s="31" t="n">
        <x:v>0</x:v>
      </x:c>
      <x:c r="G146" s="31" t="str">
        <x:f>IF(OR(F146="",H146=""),"",F146*H146)</x:f>
      </x:c>
      <x:c r="H146" s="31"/>
      <x:c r="I146" s="29" t="str">
        <x:v>м</x:v>
      </x:c>
      <x:c r="J146" s="29" t="str">
        <x:v>EKT / Onka</x:v>
      </x:c>
      <x:c r="K146" s="30" t="str">
        <x:v>Определить по монтажной раскладке и заполнению канала.</x:v>
      </x:c>
    </x:row>
    <x:row r="147">
      <x:c r="A147" s="29" t="str">
        <x:v>АВР-2 3.1.1.400</x:v>
      </x:c>
      <x:c r="B147" s="29" t="str">
        <x:v>Шина</x:v>
      </x:c>
      <x:c r="C147" s="29" t="str">
        <x:v>КОНТРОЛЬ</x:v>
      </x:c>
      <x:c r="D147" s="30" t="str">
        <x:v>Шины N/PE и фазные перемычки; сечение/длина КОНТРОЛЬ</x:v>
      </x:c>
      <x:c r="E147" s="31" t="n">
        <x:v>0</x:v>
      </x:c>
      <x:c r="F147" s="31" t="n">
        <x:v>0</x:v>
      </x:c>
      <x:c r="G147" s="31" t="str">
        <x:f>IF(OR(F147="",H147=""),"",F147*H147)</x:f>
      </x:c>
      <x:c r="H147" s="31"/>
      <x:c r="I147" s="29" t="str">
        <x:v>компл.</x:v>
      </x:c>
      <x:c r="J147" s="29" t="str">
        <x:v>TEKLED</x:v>
      </x:c>
      <x:c r="K147" s="30" t="str">
        <x:v>Рассчитать по току, КЗ, материалу и фактической компоновке.</x:v>
      </x:c>
    </x:row>
    <x:row r="148">
      <x:c r="A148" s="8" t="str">
        <x:v>АВР-2 3.1.1.400</x:v>
      </x:c>
      <x:c r="B148" s="8" t="str">
        <x:v>Монтажный материал</x:v>
      </x:c>
      <x:c r="C148" s="8" t="str"/>
      <x:c r="D148" s="9" t="str">
        <x:v>Монтажный материал</x:v>
      </x:c>
      <x:c r="E148" s="10" t="n">
        <x:v>0</x:v>
      </x:c>
      <x:c r="F148" s="10" t="n">
        <x:v>0</x:v>
      </x:c>
      <x:c r="G148" s="10" t="str">
        <x:f>IF(OR(F148="",H148=""),"",F148*H148)</x:f>
      </x:c>
      <x:c r="H148" s="10" t="n">
        <x:v>1</x:v>
      </x:c>
      <x:c r="I148" s="8" t="str">
        <x:v>компл.</x:v>
      </x:c>
      <x:c r="J148" s="8" t="str">
        <x:v>TEKLED</x:v>
      </x:c>
      <x:c r="K148" s="9" t="str">
        <x:v>Количество 1 компл.; состав и цена заполняются после монтажной раскладки.</x:v>
      </x:c>
    </x:row>
    <x:row r="149">
      <x:c r="A149" s="8" t="str">
        <x:v>АВР-2 3.1.1.400</x:v>
      </x:c>
      <x:c r="B149" s="8" t="str">
        <x:v>Монтажные работы</x:v>
      </x:c>
      <x:c r="C149" s="8" t="str"/>
      <x:c r="D149" s="9" t="str">
        <x:v>Монтажные работы</x:v>
      </x:c>
      <x:c r="E149" s="10"/>
      <x:c r="F149" s="10" t="n">
        <x:v>100</x:v>
      </x:c>
      <x:c r="G149" s="10" t="n">
        <x:f>IF(OR(F149="",H149=""),"",F149*H149)</x:f>
        <x:v>100</x:v>
      </x:c>
      <x:c r="H149" s="10" t="n">
        <x:v>1</x:v>
      </x:c>
      <x:c r="I149" s="8" t="str">
        <x:v>компл.</x:v>
      </x:c>
      <x:c r="J149" s="8" t="str">
        <x:v>TEKLED</x:v>
      </x:c>
      <x:c r="K149" s="9" t="str">
        <x:v>Количество 1 компл.; стоимость заполняется после нормирования.</x:v>
      </x:c>
    </x:row>
    <x:row r="150">
      <x:c r="A150" s="26" t="str">
        <x:v>АВР-2 3.1.1.400</x:v>
      </x:c>
      <x:c r="B150" s="26" t="str">
        <x:v>ИТОГО</x:v>
      </x:c>
      <x:c r="C150" s="26" t="str"/>
      <x:c r="D150" s="27" t="str">
        <x:v>ИТОГО АВР-2 3.1.1.400</x:v>
      </x:c>
      <x:c r="E150" s="28" t="n">
        <x:v>0</x:v>
      </x:c>
      <x:c r="F150" s="28" t="n">
        <x:v>0</x:v>
      </x:c>
      <x:c r="G150" s="28" t="n">
        <x:f>SUM(G138:G149)</x:f>
        <x:v>375234.99999999994</x:v>
      </x:c>
      <x:c r="H150" s="28"/>
      <x:c r="I150" s="26" t="str"/>
      <x:c r="J150" s="26" t="str"/>
      <x:c r="K150" s="27" t="str">
        <x:v>Сумма позиций строк 138-149.</x:v>
      </x:c>
    </x:row>
    <x:row r="151">
      <x:c r="A151" s="17" t="str">
        <x:v>ЩО1.1</x:v>
      </x:c>
      <x:c r="B151" s="17" t="str">
        <x:v>Панель</x:v>
      </x:c>
      <x:c r="C151" s="17" t="str"/>
      <x:c r="D151" s="18" t="str">
        <x:v>ЩО1.1</x:v>
      </x:c>
      <x:c r="E151" s="19" t="n">
        <x:v>0</x:v>
      </x:c>
      <x:c r="F151" s="19" t="n">
        <x:v>0</x:v>
      </x:c>
      <x:c r="G151" s="19"/>
      <x:c r="H151" s="19" t="n">
        <x:v>1</x:v>
      </x:c>
      <x:c r="I151" s="17" t="str">
        <x:v>компл.</x:v>
      </x:c>
      <x:c r="J151" s="17" t="str">
        <x:v>TEKSAN</x:v>
      </x:c>
      <x:c r="K151" s="18" t="str">
        <x:v>Наименование по проекту; внутренние позиции для 1 панели.</x:v>
      </x:c>
    </x:row>
    <x:row r="152">
      <x:c r="A152" s="8" t="str">
        <x:v>ЩО1.1</x:v>
      </x:c>
      <x:c r="B152" s="8" t="str">
        <x:v>Корпус</x:v>
      </x:c>
      <x:c r="C152" s="8" t="str">
        <x:v>714-15055</x:v>
      </x:c>
      <x:c r="D152" s="9" t="str">
        <x:v>Мет. Корпус ЩРН-12 (265x310x120) IP54  (TS)</x:v>
      </x:c>
      <x:c r="E152" s="10" t="n">
        <x:v>7650</x:v>
      </x:c>
      <x:c r="F152" s="10" t="n">
        <x:v>4590</x:v>
      </x:c>
      <x:c r="G152" s="10" t="n">
        <x:f>IF(OR(F152="",H152=""),"",F152*H152)</x:f>
        <x:v>4590</x:v>
      </x:c>
      <x:c r="H152" s="10" t="n">
        <x:v>1</x:v>
      </x:c>
      <x:c r="I152" s="8" t="str">
        <x:v> ШТ. </x:v>
      </x:c>
      <x:c r="J152" s="8" t="str">
        <x:v>teksan f</x:v>
      </x:c>
      <x:c r="K152" s="9" t="str">
        <x:v>PDF лист 5</x:v>
      </x:c>
    </x:row>
    <x:row r="153">
      <x:c r="A153" s="8" t="str">
        <x:v>ЩО1.1</x:v>
      </x:c>
      <x:c r="B153" s="8" t="str">
        <x:v>Выключатель нагрузки</x:v>
      </x:c>
      <x:c r="C153" s="8" t="str">
        <x:v>193180</x:v>
      </x:c>
      <x:c r="D153" s="9" t="str">
        <x:v>Выключатель нагрузки NXHB-125 3P 20A (R)</x:v>
      </x:c>
      <x:c r="E153" s="10" t="n">
        <x:v>3372</x:v>
      </x:c>
      <x:c r="F153" s="10" t="n">
        <x:v>2023.1999999999998</x:v>
      </x:c>
      <x:c r="G153" s="10" t="n">
        <x:f>IF(OR(F153="",H153=""),"",F153*H153)</x:f>
        <x:v>2023.1999999999998</x:v>
      </x:c>
      <x:c r="H153" s="10" t="n">
        <x:v>1</x:v>
      </x:c>
      <x:c r="I153" s="8" t="str">
        <x:v> ШТ. </x:v>
      </x:c>
      <x:c r="J153" s="8" t="str">
        <x:v>chint</x:v>
      </x:c>
      <x:c r="K153" s="9" t="str">
        <x:v>PDF лист 5</x:v>
      </x:c>
    </x:row>
    <x:row r="154">
      <x:c r="A154" s="8" t="str">
        <x:v>ЩО1.1</x:v>
      </x:c>
      <x:c r="B154" s="8" t="str">
        <x:v>ОТО</x:v>
      </x:c>
      <x:c r="C154" s="8" t="str">
        <x:v>296710</x:v>
      </x:c>
      <x:c r="D154" s="9" t="str">
        <x:v>Авт. выкл. NXB-63S 1P 16А 4.5kA х-ка C (R)</x:v>
      </x:c>
      <x:c r="E154" s="10" t="n">
        <x:v>783</x:v>
      </x:c>
      <x:c r="F154" s="10" t="n">
        <x:v>469.79999999999995</x:v>
      </x:c>
      <x:c r="G154" s="10" t="n">
        <x:f>IF(OR(F154="",H154=""),"",F154*H154)</x:f>
        <x:v>2818.7999999999997</x:v>
      </x:c>
      <x:c r="H154" s="10" t="n">
        <x:v>6</x:v>
      </x:c>
      <x:c r="I154" s="8" t="str">
        <x:v> ШТ. </x:v>
      </x:c>
      <x:c r="J154" s="8" t="str">
        <x:v>chint</x:v>
      </x:c>
      <x:c r="K154" s="9" t="str">
        <x:v>PDF лист 5</x:v>
      </x:c>
    </x:row>
    <x:row r="155">
      <x:c r="A155" s="29" t="str">
        <x:v>ЩО1.1</x:v>
      </x:c>
      <x:c r="B155" s="29" t="str">
        <x:v>Клеммник</x:v>
      </x:c>
      <x:c r="C155" s="29" t="str">
        <x:v>КОНТРОЛЬ</x:v>
      </x:c>
      <x:c r="D155" s="30" t="str">
        <x:v>Клеммники силовые/PE/N по фактическим отходящим линиям; тип и количество КОНТРОЛЬ</x:v>
      </x:c>
      <x:c r="E155" s="31" t="n">
        <x:v>0</x:v>
      </x:c>
      <x:c r="F155" s="31" t="n">
        <x:v>0</x:v>
      </x:c>
      <x:c r="G155" s="31" t="str">
        <x:f>IF(OR(F155="",H155=""),"",F155*H155)</x:f>
      </x:c>
      <x:c r="H155" s="31"/>
      <x:c r="I155" s="29" t="str">
        <x:v>компл.</x:v>
      </x:c>
      <x:c r="J155" s="29" t="str">
        <x:v>EKT / Klemsan</x:v>
      </x:c>
      <x:c r="K155" s="30" t="str">
        <x:v>Проект не содержит клеммной раскладки — не заполнять предположением.</x:v>
      </x:c>
    </x:row>
    <x:row r="156">
      <x:c r="A156" s="29" t="str">
        <x:v>ЩО1.1</x:v>
      </x:c>
      <x:c r="B156" s="29" t="str">
        <x:v>DIN рейка</x:v>
      </x:c>
      <x:c r="C156" s="29" t="str">
        <x:v>КОНТРОЛЬ</x:v>
      </x:c>
      <x:c r="D156" s="30" t="str">
        <x:v>DIN рейка 35 мм; длина КОНТРОЛЬ</x:v>
      </x:c>
      <x:c r="E156" s="31" t="n">
        <x:v>0</x:v>
      </x:c>
      <x:c r="F156" s="31" t="n">
        <x:v>0</x:v>
      </x:c>
      <x:c r="G156" s="31" t="str">
        <x:f>IF(OR(F156="",H156=""),"",F156*H156)</x:f>
      </x:c>
      <x:c r="H156" s="31"/>
      <x:c r="I156" s="29" t="str">
        <x:v>м</x:v>
      </x:c>
      <x:c r="J156" s="29" t="str">
        <x:v>EKT</x:v>
      </x:c>
      <x:c r="K156" s="30" t="str">
        <x:v>Определить по монтажной раскладке и 20% резерву.</x:v>
      </x:c>
    </x:row>
    <x:row r="157">
      <x:c r="A157" s="29" t="str">
        <x:v>ЩО1.1</x:v>
      </x:c>
      <x:c r="B157" s="29" t="str">
        <x:v>Кабельный канал</x:v>
      </x:c>
      <x:c r="C157" s="29" t="str">
        <x:v>КОНТРОЛЬ</x:v>
      </x:c>
      <x:c r="D157" s="30" t="str">
        <x:v>Кабельный канал; сечение и длина КОНТРОЛЬ</x:v>
      </x:c>
      <x:c r="E157" s="31" t="n">
        <x:v>0</x:v>
      </x:c>
      <x:c r="F157" s="31" t="n">
        <x:v>0</x:v>
      </x:c>
      <x:c r="G157" s="31" t="str">
        <x:f>IF(OR(F157="",H157=""),"",F157*H157)</x:f>
      </x:c>
      <x:c r="H157" s="31"/>
      <x:c r="I157" s="29" t="str">
        <x:v>м</x:v>
      </x:c>
      <x:c r="J157" s="29" t="str">
        <x:v>EKT / Onka</x:v>
      </x:c>
      <x:c r="K157" s="30" t="str">
        <x:v>Определить по монтажной раскладке и заполнению канала.</x:v>
      </x:c>
    </x:row>
    <x:row r="158">
      <x:c r="A158" s="29" t="str">
        <x:v>ЩО1.1</x:v>
      </x:c>
      <x:c r="B158" s="29" t="str">
        <x:v>Шина</x:v>
      </x:c>
      <x:c r="C158" s="29" t="str">
        <x:v>КОНТРОЛЬ</x:v>
      </x:c>
      <x:c r="D158" s="30" t="str">
        <x:v>Шины N/PE и фазные перемычки; сечение/длина КОНТРОЛЬ</x:v>
      </x:c>
      <x:c r="E158" s="31" t="n">
        <x:v>0</x:v>
      </x:c>
      <x:c r="F158" s="31" t="n">
        <x:v>0</x:v>
      </x:c>
      <x:c r="G158" s="31" t="str">
        <x:f>IF(OR(F158="",H158=""),"",F158*H158)</x:f>
      </x:c>
      <x:c r="H158" s="31"/>
      <x:c r="I158" s="29" t="str">
        <x:v>компл.</x:v>
      </x:c>
      <x:c r="J158" s="29" t="str">
        <x:v>TEKLED</x:v>
      </x:c>
      <x:c r="K158" s="30" t="str">
        <x:v>Рассчитать по току, КЗ, материалу и фактической компоновке.</x:v>
      </x:c>
    </x:row>
    <x:row r="159">
      <x:c r="A159" s="8" t="str">
        <x:v>ЩО1.1</x:v>
      </x:c>
      <x:c r="B159" s="8" t="str">
        <x:v>Монтажный материал</x:v>
      </x:c>
      <x:c r="C159" s="8" t="str"/>
      <x:c r="D159" s="9" t="str">
        <x:v>Монтажный материал</x:v>
      </x:c>
      <x:c r="E159" s="10" t="n">
        <x:v>0</x:v>
      </x:c>
      <x:c r="F159" s="10" t="n">
        <x:v>0</x:v>
      </x:c>
      <x:c r="G159" s="10" t="str">
        <x:f>IF(OR(F159="",H159=""),"",F159*H159)</x:f>
      </x:c>
      <x:c r="H159" s="10" t="n">
        <x:v>1</x:v>
      </x:c>
      <x:c r="I159" s="8" t="str">
        <x:v>компл.</x:v>
      </x:c>
      <x:c r="J159" s="8" t="str">
        <x:v>TEKLED</x:v>
      </x:c>
      <x:c r="K159" s="9" t="str">
        <x:v>Количество 1 компл.; состав и цена заполняются после монтажной раскладки.</x:v>
      </x:c>
    </x:row>
    <x:row r="160">
      <x:c r="A160" s="8" t="str">
        <x:v>ЩО1.1</x:v>
      </x:c>
      <x:c r="B160" s="8" t="str">
        <x:v>Монтажные работы</x:v>
      </x:c>
      <x:c r="C160" s="8" t="str"/>
      <x:c r="D160" s="9" t="str">
        <x:v>Монтажные работы</x:v>
      </x:c>
      <x:c r="E160" s="10"/>
      <x:c r="F160" s="10" t="n">
        <x:v>100</x:v>
      </x:c>
      <x:c r="G160" s="10" t="n">
        <x:f>IF(OR(F160="",H160=""),"",F160*H160)</x:f>
        <x:v>100</x:v>
      </x:c>
      <x:c r="H160" s="10" t="n">
        <x:v>1</x:v>
      </x:c>
      <x:c r="I160" s="8" t="str">
        <x:v>компл.</x:v>
      </x:c>
      <x:c r="J160" s="8" t="str">
        <x:v>TEKLED</x:v>
      </x:c>
      <x:c r="K160" s="9" t="str">
        <x:v>Количество 1 компл.; стоимость заполняется после нормирования.</x:v>
      </x:c>
    </x:row>
    <x:row r="161">
      <x:c r="A161" s="26" t="str">
        <x:v>ЩО1.1</x:v>
      </x:c>
      <x:c r="B161" s="26" t="str">
        <x:v>ИТОГО</x:v>
      </x:c>
      <x:c r="C161" s="26" t="str"/>
      <x:c r="D161" s="27" t="str">
        <x:v>ИТОГО ЩО1.1</x:v>
      </x:c>
      <x:c r="E161" s="28" t="n">
        <x:v>0</x:v>
      </x:c>
      <x:c r="F161" s="28" t="n">
        <x:v>0</x:v>
      </x:c>
      <x:c r="G161" s="28" t="n">
        <x:f>SUM(G152:G160)</x:f>
        <x:v>9532</x:v>
      </x:c>
      <x:c r="H161" s="28"/>
      <x:c r="I161" s="26" t="str"/>
      <x:c r="J161" s="26" t="str"/>
      <x:c r="K161" s="27" t="str">
        <x:v>Сумма позиций строк 152-160.</x:v>
      </x:c>
    </x:row>
    <x:row r="162">
      <x:c r="A162" s="17" t="str">
        <x:v>ЩАО1.1</x:v>
      </x:c>
      <x:c r="B162" s="17" t="str">
        <x:v>Панель</x:v>
      </x:c>
      <x:c r="C162" s="17" t="str"/>
      <x:c r="D162" s="18" t="str">
        <x:v>ЩАО1.1</x:v>
      </x:c>
      <x:c r="E162" s="19" t="n">
        <x:v>0</x:v>
      </x:c>
      <x:c r="F162" s="19" t="n">
        <x:v>0</x:v>
      </x:c>
      <x:c r="G162" s="19"/>
      <x:c r="H162" s="19" t="n">
        <x:v>1</x:v>
      </x:c>
      <x:c r="I162" s="17" t="str">
        <x:v>компл.</x:v>
      </x:c>
      <x:c r="J162" s="17" t="str">
        <x:v>TEKSAN</x:v>
      </x:c>
      <x:c r="K162" s="18" t="str">
        <x:v>Наименование по проекту; внутренние позиции для 1 панели.</x:v>
      </x:c>
    </x:row>
    <x:row r="163">
      <x:c r="A163" s="8" t="str">
        <x:v>ЩАО1.1</x:v>
      </x:c>
      <x:c r="B163" s="8" t="str">
        <x:v>Корпус</x:v>
      </x:c>
      <x:c r="C163" s="8" t="str">
        <x:v>714-15055</x:v>
      </x:c>
      <x:c r="D163" s="9" t="str">
        <x:v>Мет. Корпус ЩРН-12 (265x310x120) IP54  (TS)</x:v>
      </x:c>
      <x:c r="E163" s="10" t="n">
        <x:v>7650</x:v>
      </x:c>
      <x:c r="F163" s="10" t="n">
        <x:v>4590</x:v>
      </x:c>
      <x:c r="G163" s="10" t="n">
        <x:f>IF(OR(F163="",H163=""),"",F163*H163)</x:f>
        <x:v>4590</x:v>
      </x:c>
      <x:c r="H163" s="10" t="n">
        <x:v>1</x:v>
      </x:c>
      <x:c r="I163" s="8" t="str">
        <x:v> ШТ. </x:v>
      </x:c>
      <x:c r="J163" s="8" t="str">
        <x:v>teksan f</x:v>
      </x:c>
      <x:c r="K163" s="9" t="str">
        <x:v>PDF лист 5</x:v>
      </x:c>
    </x:row>
    <x:row r="164">
      <x:c r="A164" s="8" t="str">
        <x:v>ЩАО1.1</x:v>
      </x:c>
      <x:c r="B164" s="8" t="str">
        <x:v>Выключатель нагрузки</x:v>
      </x:c>
      <x:c r="C164" s="8" t="str">
        <x:v>193180</x:v>
      </x:c>
      <x:c r="D164" s="9" t="str">
        <x:v>Выключатель нагрузки NXHB-125 3P 20A (R)</x:v>
      </x:c>
      <x:c r="E164" s="10" t="n">
        <x:v>3372</x:v>
      </x:c>
      <x:c r="F164" s="10" t="n">
        <x:v>2023.1999999999998</x:v>
      </x:c>
      <x:c r="G164" s="10" t="n">
        <x:f>IF(OR(F164="",H164=""),"",F164*H164)</x:f>
        <x:v>2023.1999999999998</x:v>
      </x:c>
      <x:c r="H164" s="10" t="n">
        <x:v>1</x:v>
      </x:c>
      <x:c r="I164" s="8" t="str">
        <x:v> ШТ. </x:v>
      </x:c>
      <x:c r="J164" s="8" t="str">
        <x:v>chint</x:v>
      </x:c>
      <x:c r="K164" s="9" t="str">
        <x:v>PDF лист 5</x:v>
      </x:c>
    </x:row>
    <x:row r="165">
      <x:c r="A165" s="8" t="str">
        <x:v>ЩАО1.1</x:v>
      </x:c>
      <x:c r="B165" s="8" t="str">
        <x:v>ОТО</x:v>
      </x:c>
      <x:c r="C165" s="8" t="str">
        <x:v>296710</x:v>
      </x:c>
      <x:c r="D165" s="9" t="str">
        <x:v>Авт. выкл. NXB-63S 1P 16А 4.5kA х-ка C (R)</x:v>
      </x:c>
      <x:c r="E165" s="10" t="n">
        <x:v>783</x:v>
      </x:c>
      <x:c r="F165" s="10" t="n">
        <x:v>469.79999999999995</x:v>
      </x:c>
      <x:c r="G165" s="10" t="n">
        <x:f>IF(OR(F165="",H165=""),"",F165*H165)</x:f>
        <x:v>939.5999999999999</x:v>
      </x:c>
      <x:c r="H165" s="10" t="n">
        <x:v>2</x:v>
      </x:c>
      <x:c r="I165" s="8" t="str">
        <x:v> ШТ. </x:v>
      </x:c>
      <x:c r="J165" s="8" t="str">
        <x:v>chint</x:v>
      </x:c>
      <x:c r="K165" s="9" t="str">
        <x:v>PDF лист 5</x:v>
      </x:c>
    </x:row>
    <x:row r="166">
      <x:c r="A166" s="29" t="str">
        <x:v>ЩАО1.1</x:v>
      </x:c>
      <x:c r="B166" s="29" t="str">
        <x:v>Клеммник</x:v>
      </x:c>
      <x:c r="C166" s="29" t="str">
        <x:v>КОНТРОЛЬ</x:v>
      </x:c>
      <x:c r="D166" s="30" t="str">
        <x:v>Клеммники силовые/PE/N по фактическим отходящим линиям; тип и количество КОНТРОЛЬ</x:v>
      </x:c>
      <x:c r="E166" s="31" t="n">
        <x:v>0</x:v>
      </x:c>
      <x:c r="F166" s="31" t="n">
        <x:v>0</x:v>
      </x:c>
      <x:c r="G166" s="31" t="str">
        <x:f>IF(OR(F166="",H166=""),"",F166*H166)</x:f>
      </x:c>
      <x:c r="H166" s="31"/>
      <x:c r="I166" s="29" t="str">
        <x:v>компл.</x:v>
      </x:c>
      <x:c r="J166" s="29" t="str">
        <x:v>EKT / Klemsan</x:v>
      </x:c>
      <x:c r="K166" s="30" t="str">
        <x:v>Проект не содержит клеммной раскладки — не заполнять предположением.</x:v>
      </x:c>
    </x:row>
    <x:row r="167">
      <x:c r="A167" s="29" t="str">
        <x:v>ЩАО1.1</x:v>
      </x:c>
      <x:c r="B167" s="29" t="str">
        <x:v>DIN рейка</x:v>
      </x:c>
      <x:c r="C167" s="29" t="str">
        <x:v>КОНТРОЛЬ</x:v>
      </x:c>
      <x:c r="D167" s="30" t="str">
        <x:v>DIN рейка 35 мм; длина КОНТРОЛЬ</x:v>
      </x:c>
      <x:c r="E167" s="31" t="n">
        <x:v>0</x:v>
      </x:c>
      <x:c r="F167" s="31" t="n">
        <x:v>0</x:v>
      </x:c>
      <x:c r="G167" s="31" t="str">
        <x:f>IF(OR(F167="",H167=""),"",F167*H167)</x:f>
      </x:c>
      <x:c r="H167" s="31"/>
      <x:c r="I167" s="29" t="str">
        <x:v>м</x:v>
      </x:c>
      <x:c r="J167" s="29" t="str">
        <x:v>EKT</x:v>
      </x:c>
      <x:c r="K167" s="30" t="str">
        <x:v>Определить по монтажной раскладке и 20% резерву.</x:v>
      </x:c>
    </x:row>
    <x:row r="168">
      <x:c r="A168" s="29" t="str">
        <x:v>ЩАО1.1</x:v>
      </x:c>
      <x:c r="B168" s="29" t="str">
        <x:v>Кабельный канал</x:v>
      </x:c>
      <x:c r="C168" s="29" t="str">
        <x:v>КОНТРОЛЬ</x:v>
      </x:c>
      <x:c r="D168" s="30" t="str">
        <x:v>Кабельный канал; сечение и длина КОНТРОЛЬ</x:v>
      </x:c>
      <x:c r="E168" s="31" t="n">
        <x:v>0</x:v>
      </x:c>
      <x:c r="F168" s="31" t="n">
        <x:v>0</x:v>
      </x:c>
      <x:c r="G168" s="31" t="str">
        <x:f>IF(OR(F168="",H168=""),"",F168*H168)</x:f>
      </x:c>
      <x:c r="H168" s="31"/>
      <x:c r="I168" s="29" t="str">
        <x:v>м</x:v>
      </x:c>
      <x:c r="J168" s="29" t="str">
        <x:v>EKT / Onka</x:v>
      </x:c>
      <x:c r="K168" s="30" t="str">
        <x:v>Определить по монтажной раскладке и заполнению канала.</x:v>
      </x:c>
    </x:row>
    <x:row r="169">
      <x:c r="A169" s="29" t="str">
        <x:v>ЩАО1.1</x:v>
      </x:c>
      <x:c r="B169" s="29" t="str">
        <x:v>Шина</x:v>
      </x:c>
      <x:c r="C169" s="29" t="str">
        <x:v>КОНТРОЛЬ</x:v>
      </x:c>
      <x:c r="D169" s="30" t="str">
        <x:v>Шины N/PE и фазные перемычки; сечение/длина КОНТРОЛЬ</x:v>
      </x:c>
      <x:c r="E169" s="31" t="n">
        <x:v>0</x:v>
      </x:c>
      <x:c r="F169" s="31" t="n">
        <x:v>0</x:v>
      </x:c>
      <x:c r="G169" s="31" t="str">
        <x:f>IF(OR(F169="",H169=""),"",F169*H169)</x:f>
      </x:c>
      <x:c r="H169" s="31"/>
      <x:c r="I169" s="29" t="str">
        <x:v>компл.</x:v>
      </x:c>
      <x:c r="J169" s="29" t="str">
        <x:v>TEKLED</x:v>
      </x:c>
      <x:c r="K169" s="30" t="str">
        <x:v>Рассчитать по току, КЗ, материалу и фактической компоновке.</x:v>
      </x:c>
    </x:row>
    <x:row r="170">
      <x:c r="A170" s="8" t="str">
        <x:v>ЩАО1.1</x:v>
      </x:c>
      <x:c r="B170" s="8" t="str">
        <x:v>Монтажный материал</x:v>
      </x:c>
      <x:c r="C170" s="8" t="str"/>
      <x:c r="D170" s="9" t="str">
        <x:v>Монтажный материал</x:v>
      </x:c>
      <x:c r="E170" s="10" t="n">
        <x:v>0</x:v>
      </x:c>
      <x:c r="F170" s="10" t="n">
        <x:v>0</x:v>
      </x:c>
      <x:c r="G170" s="10" t="str">
        <x:f>IF(OR(F170="",H170=""),"",F170*H170)</x:f>
      </x:c>
      <x:c r="H170" s="10" t="n">
        <x:v>1</x:v>
      </x:c>
      <x:c r="I170" s="8" t="str">
        <x:v>компл.</x:v>
      </x:c>
      <x:c r="J170" s="8" t="str">
        <x:v>TEKLED</x:v>
      </x:c>
      <x:c r="K170" s="9" t="str">
        <x:v>Количество 1 компл.; состав и цена заполняются после монтажной раскладки.</x:v>
      </x:c>
    </x:row>
    <x:row r="171">
      <x:c r="A171" s="8" t="str">
        <x:v>ЩАО1.1</x:v>
      </x:c>
      <x:c r="B171" s="8" t="str">
        <x:v>Монтажные работы</x:v>
      </x:c>
      <x:c r="C171" s="8" t="str"/>
      <x:c r="D171" s="9" t="str">
        <x:v>Монтажные работы</x:v>
      </x:c>
      <x:c r="E171" s="10"/>
      <x:c r="F171" s="10" t="n">
        <x:v>100</x:v>
      </x:c>
      <x:c r="G171" s="10" t="n">
        <x:f>IF(OR(F171="",H171=""),"",F171*H171)</x:f>
        <x:v>100</x:v>
      </x:c>
      <x:c r="H171" s="10" t="n">
        <x:v>1</x:v>
      </x:c>
      <x:c r="I171" s="8" t="str">
        <x:v>компл.</x:v>
      </x:c>
      <x:c r="J171" s="8" t="str">
        <x:v>TEKLED</x:v>
      </x:c>
      <x:c r="K171" s="9" t="str">
        <x:v>Количество 1 компл.; стоимость заполняется после нормирования.</x:v>
      </x:c>
    </x:row>
    <x:row r="172">
      <x:c r="A172" s="26" t="str">
        <x:v>ЩАО1.1</x:v>
      </x:c>
      <x:c r="B172" s="26" t="str">
        <x:v>ИТОГО</x:v>
      </x:c>
      <x:c r="C172" s="26" t="str"/>
      <x:c r="D172" s="27" t="str">
        <x:v>ИТОГО ЩАО1.1</x:v>
      </x:c>
      <x:c r="E172" s="28" t="n">
        <x:v>0</x:v>
      </x:c>
      <x:c r="F172" s="28" t="n">
        <x:v>0</x:v>
      </x:c>
      <x:c r="G172" s="28" t="n">
        <x:f>SUM(G163:G171)</x:f>
        <x:v>7652.799999999999</x:v>
      </x:c>
      <x:c r="H172" s="28"/>
      <x:c r="I172" s="26" t="str"/>
      <x:c r="J172" s="26" t="str"/>
      <x:c r="K172" s="27" t="str">
        <x:v>Сумма позиций строк 163-171.</x:v>
      </x:c>
    </x:row>
    <x:row r="173">
      <x:c r="A173" s="17" t="str">
        <x:v>ЩО2.1</x:v>
      </x:c>
      <x:c r="B173" s="17" t="str">
        <x:v>Панель</x:v>
      </x:c>
      <x:c r="C173" s="17" t="str"/>
      <x:c r="D173" s="18" t="str">
        <x:v>ЩО2.1</x:v>
      </x:c>
      <x:c r="E173" s="19" t="n">
        <x:v>0</x:v>
      </x:c>
      <x:c r="F173" s="19" t="n">
        <x:v>0</x:v>
      </x:c>
      <x:c r="G173" s="19"/>
      <x:c r="H173" s="19" t="n">
        <x:v>1</x:v>
      </x:c>
      <x:c r="I173" s="17" t="str">
        <x:v>компл.</x:v>
      </x:c>
      <x:c r="J173" s="17" t="str">
        <x:v>TEKSAN</x:v>
      </x:c>
      <x:c r="K173" s="18" t="str">
        <x:v>Наименование по проекту; внутренние позиции для 1 панели.</x:v>
      </x:c>
    </x:row>
    <x:row r="174">
      <x:c r="A174" s="8" t="str">
        <x:v>ЩО2.1</x:v>
      </x:c>
      <x:c r="B174" s="8" t="str">
        <x:v>Корпус</x:v>
      </x:c>
      <x:c r="C174" s="8" t="str">
        <x:v>714-15055</x:v>
      </x:c>
      <x:c r="D174" s="9" t="str">
        <x:v>Мет. Корпус ЩРН-12 (265x310x120) IP54  (TS)</x:v>
      </x:c>
      <x:c r="E174" s="10" t="n">
        <x:v>7650</x:v>
      </x:c>
      <x:c r="F174" s="10" t="n">
        <x:v>4590</x:v>
      </x:c>
      <x:c r="G174" s="10" t="n">
        <x:f>IF(OR(F174="",H174=""),"",F174*H174)</x:f>
        <x:v>4590</x:v>
      </x:c>
      <x:c r="H174" s="10" t="n">
        <x:v>1</x:v>
      </x:c>
      <x:c r="I174" s="8" t="str">
        <x:v> ШТ. </x:v>
      </x:c>
      <x:c r="J174" s="8" t="str">
        <x:v>teksan f</x:v>
      </x:c>
      <x:c r="K174" s="9" t="str">
        <x:v>PDF лист 6</x:v>
      </x:c>
    </x:row>
    <x:row r="175">
      <x:c r="A175" s="8" t="str">
        <x:v>ЩО2.1</x:v>
      </x:c>
      <x:c r="B175" s="8" t="str">
        <x:v>Выключатель нагрузки</x:v>
      </x:c>
      <x:c r="C175" s="8" t="str">
        <x:v>193180</x:v>
      </x:c>
      <x:c r="D175" s="9" t="str">
        <x:v>Выключатель нагрузки NXHB-125 3P 20A (R)</x:v>
      </x:c>
      <x:c r="E175" s="10" t="n">
        <x:v>3372</x:v>
      </x:c>
      <x:c r="F175" s="10" t="n">
        <x:v>2023.1999999999998</x:v>
      </x:c>
      <x:c r="G175" s="10" t="n">
        <x:f>IF(OR(F175="",H175=""),"",F175*H175)</x:f>
        <x:v>2023.1999999999998</x:v>
      </x:c>
      <x:c r="H175" s="10" t="n">
        <x:v>1</x:v>
      </x:c>
      <x:c r="I175" s="8" t="str">
        <x:v> ШТ. </x:v>
      </x:c>
      <x:c r="J175" s="8" t="str">
        <x:v>chint</x:v>
      </x:c>
      <x:c r="K175" s="9" t="str">
        <x:v>PDF лист 6</x:v>
      </x:c>
    </x:row>
    <x:row r="176">
      <x:c r="A176" s="8" t="str">
        <x:v>ЩО2.1</x:v>
      </x:c>
      <x:c r="B176" s="8" t="str">
        <x:v>ОТО</x:v>
      </x:c>
      <x:c r="C176" s="8" t="str">
        <x:v>296710</x:v>
      </x:c>
      <x:c r="D176" s="9" t="str">
        <x:v>Авт. выкл. NXB-63S 1P 16А 4.5kA х-ка C (R)</x:v>
      </x:c>
      <x:c r="E176" s="10" t="n">
        <x:v>783</x:v>
      </x:c>
      <x:c r="F176" s="10" t="n">
        <x:v>469.79999999999995</x:v>
      </x:c>
      <x:c r="G176" s="10" t="n">
        <x:f>IF(OR(F176="",H176=""),"",F176*H176)</x:f>
        <x:v>3288.5999999999995</x:v>
      </x:c>
      <x:c r="H176" s="10" t="n">
        <x:v>7</x:v>
      </x:c>
      <x:c r="I176" s="8" t="str">
        <x:v> ШТ. </x:v>
      </x:c>
      <x:c r="J176" s="8" t="str">
        <x:v>chint</x:v>
      </x:c>
      <x:c r="K176" s="9" t="str">
        <x:v>PDF лист 6</x:v>
      </x:c>
    </x:row>
    <x:row r="177">
      <x:c r="A177" s="29" t="str">
        <x:v>ЩО2.1</x:v>
      </x:c>
      <x:c r="B177" s="29" t="str">
        <x:v>Клеммник</x:v>
      </x:c>
      <x:c r="C177" s="29" t="str">
        <x:v>КОНТРОЛЬ</x:v>
      </x:c>
      <x:c r="D177" s="30" t="str">
        <x:v>Клеммники силовые/PE/N по фактическим отходящим линиям; тип и количество КОНТРОЛЬ</x:v>
      </x:c>
      <x:c r="E177" s="31" t="n">
        <x:v>0</x:v>
      </x:c>
      <x:c r="F177" s="31" t="n">
        <x:v>0</x:v>
      </x:c>
      <x:c r="G177" s="31" t="str">
        <x:f>IF(OR(F177="",H177=""),"",F177*H177)</x:f>
      </x:c>
      <x:c r="H177" s="31"/>
      <x:c r="I177" s="29" t="str">
        <x:v>компл.</x:v>
      </x:c>
      <x:c r="J177" s="29" t="str">
        <x:v>EKT / Klemsan</x:v>
      </x:c>
      <x:c r="K177" s="30" t="str">
        <x:v>Проект не содержит клеммной раскладки — не заполнять предположением.</x:v>
      </x:c>
    </x:row>
    <x:row r="178">
      <x:c r="A178" s="29" t="str">
        <x:v>ЩО2.1</x:v>
      </x:c>
      <x:c r="B178" s="29" t="str">
        <x:v>DIN рейка</x:v>
      </x:c>
      <x:c r="C178" s="29" t="str">
        <x:v>КОНТРОЛЬ</x:v>
      </x:c>
      <x:c r="D178" s="30" t="str">
        <x:v>DIN рейка 35 мм; длина КОНТРОЛЬ</x:v>
      </x:c>
      <x:c r="E178" s="31" t="n">
        <x:v>0</x:v>
      </x:c>
      <x:c r="F178" s="31" t="n">
        <x:v>0</x:v>
      </x:c>
      <x:c r="G178" s="31" t="str">
        <x:f>IF(OR(F178="",H178=""),"",F178*H178)</x:f>
      </x:c>
      <x:c r="H178" s="31"/>
      <x:c r="I178" s="29" t="str">
        <x:v>м</x:v>
      </x:c>
      <x:c r="J178" s="29" t="str">
        <x:v>EKT</x:v>
      </x:c>
      <x:c r="K178" s="30" t="str">
        <x:v>Определить по монтажной раскладке и 20% резерву.</x:v>
      </x:c>
    </x:row>
    <x:row r="179">
      <x:c r="A179" s="29" t="str">
        <x:v>ЩО2.1</x:v>
      </x:c>
      <x:c r="B179" s="29" t="str">
        <x:v>Кабельный канал</x:v>
      </x:c>
      <x:c r="C179" s="29" t="str">
        <x:v>КОНТРОЛЬ</x:v>
      </x:c>
      <x:c r="D179" s="30" t="str">
        <x:v>Кабельный канал; сечение и длина КОНТРОЛЬ</x:v>
      </x:c>
      <x:c r="E179" s="31" t="n">
        <x:v>0</x:v>
      </x:c>
      <x:c r="F179" s="31" t="n">
        <x:v>0</x:v>
      </x:c>
      <x:c r="G179" s="31" t="str">
        <x:f>IF(OR(F179="",H179=""),"",F179*H179)</x:f>
      </x:c>
      <x:c r="H179" s="31"/>
      <x:c r="I179" s="29" t="str">
        <x:v>м</x:v>
      </x:c>
      <x:c r="J179" s="29" t="str">
        <x:v>EKT / Onka</x:v>
      </x:c>
      <x:c r="K179" s="30" t="str">
        <x:v>Определить по монтажной раскладке и заполнению канала.</x:v>
      </x:c>
    </x:row>
    <x:row r="180">
      <x:c r="A180" s="29" t="str">
        <x:v>ЩО2.1</x:v>
      </x:c>
      <x:c r="B180" s="29" t="str">
        <x:v>Шина</x:v>
      </x:c>
      <x:c r="C180" s="29" t="str">
        <x:v>КОНТРОЛЬ</x:v>
      </x:c>
      <x:c r="D180" s="30" t="str">
        <x:v>Шины N/PE и фазные перемычки; сечение/длина КОНТРОЛЬ</x:v>
      </x:c>
      <x:c r="E180" s="31" t="n">
        <x:v>0</x:v>
      </x:c>
      <x:c r="F180" s="31" t="n">
        <x:v>0</x:v>
      </x:c>
      <x:c r="G180" s="31" t="str">
        <x:f>IF(OR(F180="",H180=""),"",F180*H180)</x:f>
      </x:c>
      <x:c r="H180" s="31"/>
      <x:c r="I180" s="29" t="str">
        <x:v>компл.</x:v>
      </x:c>
      <x:c r="J180" s="29" t="str">
        <x:v>TEKLED</x:v>
      </x:c>
      <x:c r="K180" s="30" t="str">
        <x:v>Рассчитать по току, КЗ, материалу и фактической компоновке.</x:v>
      </x:c>
    </x:row>
    <x:row r="181">
      <x:c r="A181" s="8" t="str">
        <x:v>ЩО2.1</x:v>
      </x:c>
      <x:c r="B181" s="8" t="str">
        <x:v>Монтажный материал</x:v>
      </x:c>
      <x:c r="C181" s="8" t="str"/>
      <x:c r="D181" s="9" t="str">
        <x:v>Монтажный материал</x:v>
      </x:c>
      <x:c r="E181" s="10" t="n">
        <x:v>0</x:v>
      </x:c>
      <x:c r="F181" s="10" t="n">
        <x:v>0</x:v>
      </x:c>
      <x:c r="G181" s="10" t="str">
        <x:f>IF(OR(F181="",H181=""),"",F181*H181)</x:f>
      </x:c>
      <x:c r="H181" s="10" t="n">
        <x:v>1</x:v>
      </x:c>
      <x:c r="I181" s="8" t="str">
        <x:v>компл.</x:v>
      </x:c>
      <x:c r="J181" s="8" t="str">
        <x:v>TEKLED</x:v>
      </x:c>
      <x:c r="K181" s="9" t="str">
        <x:v>Количество 1 компл.; состав и цена заполняются после монтажной раскладки.</x:v>
      </x:c>
    </x:row>
    <x:row r="182">
      <x:c r="A182" s="8" t="str">
        <x:v>ЩО2.1</x:v>
      </x:c>
      <x:c r="B182" s="8" t="str">
        <x:v>Монтажные работы</x:v>
      </x:c>
      <x:c r="C182" s="8" t="str"/>
      <x:c r="D182" s="9" t="str">
        <x:v>Монтажные работы</x:v>
      </x:c>
      <x:c r="E182" s="10"/>
      <x:c r="F182" s="10" t="n">
        <x:v>100</x:v>
      </x:c>
      <x:c r="G182" s="10" t="n">
        <x:f>IF(OR(F182="",H182=""),"",F182*H182)</x:f>
        <x:v>100</x:v>
      </x:c>
      <x:c r="H182" s="10" t="n">
        <x:v>1</x:v>
      </x:c>
      <x:c r="I182" s="8" t="str">
        <x:v>компл.</x:v>
      </x:c>
      <x:c r="J182" s="8" t="str">
        <x:v>TEKLED</x:v>
      </x:c>
      <x:c r="K182" s="9" t="str">
        <x:v>Количество 1 компл.; стоимость заполняется после нормирования.</x:v>
      </x:c>
    </x:row>
    <x:row r="183">
      <x:c r="A183" s="26" t="str">
        <x:v>ЩО2.1</x:v>
      </x:c>
      <x:c r="B183" s="26" t="str">
        <x:v>ИТОГО</x:v>
      </x:c>
      <x:c r="C183" s="26" t="str"/>
      <x:c r="D183" s="27" t="str">
        <x:v>ИТОГО ЩО2.1</x:v>
      </x:c>
      <x:c r="E183" s="28" t="n">
        <x:v>0</x:v>
      </x:c>
      <x:c r="F183" s="28" t="n">
        <x:v>0</x:v>
      </x:c>
      <x:c r="G183" s="28" t="n">
        <x:f>SUM(G174:G182)</x:f>
        <x:v>10001.8</x:v>
      </x:c>
      <x:c r="H183" s="28"/>
      <x:c r="I183" s="26" t="str"/>
      <x:c r="J183" s="26" t="str"/>
      <x:c r="K183" s="27" t="str">
        <x:v>Сумма позиций строк 174-182.</x:v>
      </x:c>
    </x:row>
    <x:row r="184">
      <x:c r="A184" s="17" t="str">
        <x:v>ЩАО2.1</x:v>
      </x:c>
      <x:c r="B184" s="17" t="str">
        <x:v>Панель</x:v>
      </x:c>
      <x:c r="C184" s="17" t="str"/>
      <x:c r="D184" s="18" t="str">
        <x:v>ЩАО2.1</x:v>
      </x:c>
      <x:c r="E184" s="19" t="n">
        <x:v>0</x:v>
      </x:c>
      <x:c r="F184" s="19" t="n">
        <x:v>0</x:v>
      </x:c>
      <x:c r="G184" s="19"/>
      <x:c r="H184" s="19" t="n">
        <x:v>1</x:v>
      </x:c>
      <x:c r="I184" s="17" t="str">
        <x:v>компл.</x:v>
      </x:c>
      <x:c r="J184" s="17" t="str">
        <x:v>TEKSAN</x:v>
      </x:c>
      <x:c r="K184" s="18" t="str">
        <x:v>Наименование по проекту; внутренние позиции для 1 панели.</x:v>
      </x:c>
    </x:row>
    <x:row r="185">
      <x:c r="A185" s="8" t="str">
        <x:v>ЩАО2.1</x:v>
      </x:c>
      <x:c r="B185" s="8" t="str">
        <x:v>Корпус</x:v>
      </x:c>
      <x:c r="C185" s="8" t="str">
        <x:v>714-15055</x:v>
      </x:c>
      <x:c r="D185" s="9" t="str">
        <x:v>Мет. Корпус ЩРН-12 (265x310x120) IP54  (TS)</x:v>
      </x:c>
      <x:c r="E185" s="10" t="n">
        <x:v>7650</x:v>
      </x:c>
      <x:c r="F185" s="10" t="n">
        <x:v>4590</x:v>
      </x:c>
      <x:c r="G185" s="10" t="n">
        <x:f>IF(OR(F185="",H185=""),"",F185*H185)</x:f>
        <x:v>4590</x:v>
      </x:c>
      <x:c r="H185" s="10" t="n">
        <x:v>1</x:v>
      </x:c>
      <x:c r="I185" s="8" t="str">
        <x:v> ШТ. </x:v>
      </x:c>
      <x:c r="J185" s="8" t="str">
        <x:v>teksan f</x:v>
      </x:c>
      <x:c r="K185" s="9" t="str">
        <x:v>PDF лист 6</x:v>
      </x:c>
    </x:row>
    <x:row r="186">
      <x:c r="A186" s="8" t="str">
        <x:v>ЩАО2.1</x:v>
      </x:c>
      <x:c r="B186" s="8" t="str">
        <x:v>Выключатель нагрузки</x:v>
      </x:c>
      <x:c r="C186" s="8" t="str">
        <x:v>193180</x:v>
      </x:c>
      <x:c r="D186" s="9" t="str">
        <x:v>Выключатель нагрузки NXHB-125 3P 20A (R)</x:v>
      </x:c>
      <x:c r="E186" s="10" t="n">
        <x:v>3372</x:v>
      </x:c>
      <x:c r="F186" s="10" t="n">
        <x:v>2023.1999999999998</x:v>
      </x:c>
      <x:c r="G186" s="10" t="n">
        <x:f>IF(OR(F186="",H186=""),"",F186*H186)</x:f>
        <x:v>2023.1999999999998</x:v>
      </x:c>
      <x:c r="H186" s="10" t="n">
        <x:v>1</x:v>
      </x:c>
      <x:c r="I186" s="8" t="str">
        <x:v> ШТ. </x:v>
      </x:c>
      <x:c r="J186" s="8" t="str">
        <x:v>chint</x:v>
      </x:c>
      <x:c r="K186" s="9" t="str">
        <x:v>PDF лист 6</x:v>
      </x:c>
    </x:row>
    <x:row r="187">
      <x:c r="A187" s="8" t="str">
        <x:v>ЩАО2.1</x:v>
      </x:c>
      <x:c r="B187" s="8" t="str">
        <x:v>ОТО</x:v>
      </x:c>
      <x:c r="C187" s="8" t="str">
        <x:v>296710</x:v>
      </x:c>
      <x:c r="D187" s="9" t="str">
        <x:v>Авт. выкл. NXB-63S 1P 16А 4.5kA х-ка C (R)</x:v>
      </x:c>
      <x:c r="E187" s="10" t="n">
        <x:v>783</x:v>
      </x:c>
      <x:c r="F187" s="10" t="n">
        <x:v>469.79999999999995</x:v>
      </x:c>
      <x:c r="G187" s="10" t="n">
        <x:f>IF(OR(F187="",H187=""),"",F187*H187)</x:f>
        <x:v>1409.3999999999999</x:v>
      </x:c>
      <x:c r="H187" s="10" t="n">
        <x:v>3</x:v>
      </x:c>
      <x:c r="I187" s="8" t="str">
        <x:v> ШТ. </x:v>
      </x:c>
      <x:c r="J187" s="8" t="str">
        <x:v>chint</x:v>
      </x:c>
      <x:c r="K187" s="9" t="str">
        <x:v>PDF лист 6</x:v>
      </x:c>
    </x:row>
    <x:row r="188">
      <x:c r="A188" s="29" t="str">
        <x:v>ЩАО2.1</x:v>
      </x:c>
      <x:c r="B188" s="29" t="str">
        <x:v>Клеммник</x:v>
      </x:c>
      <x:c r="C188" s="29" t="str">
        <x:v>КОНТРОЛЬ</x:v>
      </x:c>
      <x:c r="D188" s="30" t="str">
        <x:v>Клеммники силовые/PE/N по фактическим отходящим линиям; тип и количество КОНТРОЛЬ</x:v>
      </x:c>
      <x:c r="E188" s="31" t="n">
        <x:v>0</x:v>
      </x:c>
      <x:c r="F188" s="31" t="n">
        <x:v>0</x:v>
      </x:c>
      <x:c r="G188" s="31" t="str">
        <x:f>IF(OR(F188="",H188=""),"",F188*H188)</x:f>
      </x:c>
      <x:c r="H188" s="31"/>
      <x:c r="I188" s="29" t="str">
        <x:v>компл.</x:v>
      </x:c>
      <x:c r="J188" s="29" t="str">
        <x:v>EKT / Klemsan</x:v>
      </x:c>
      <x:c r="K188" s="30" t="str">
        <x:v>Проект не содержит клеммной раскладки — не заполнять предположением.</x:v>
      </x:c>
    </x:row>
    <x:row r="189">
      <x:c r="A189" s="29" t="str">
        <x:v>ЩАО2.1</x:v>
      </x:c>
      <x:c r="B189" s="29" t="str">
        <x:v>DIN рейка</x:v>
      </x:c>
      <x:c r="C189" s="29" t="str">
        <x:v>КОНТРОЛЬ</x:v>
      </x:c>
      <x:c r="D189" s="30" t="str">
        <x:v>DIN рейка 35 мм; длина КОНТРОЛЬ</x:v>
      </x:c>
      <x:c r="E189" s="31" t="n">
        <x:v>0</x:v>
      </x:c>
      <x:c r="F189" s="31" t="n">
        <x:v>0</x:v>
      </x:c>
      <x:c r="G189" s="31" t="str">
        <x:f>IF(OR(F189="",H189=""),"",F189*H189)</x:f>
      </x:c>
      <x:c r="H189" s="31"/>
      <x:c r="I189" s="29" t="str">
        <x:v>м</x:v>
      </x:c>
      <x:c r="J189" s="29" t="str">
        <x:v>EKT</x:v>
      </x:c>
      <x:c r="K189" s="30" t="str">
        <x:v>Определить по монтажной раскладке и 20% резерву.</x:v>
      </x:c>
    </x:row>
    <x:row r="190">
      <x:c r="A190" s="29" t="str">
        <x:v>ЩАО2.1</x:v>
      </x:c>
      <x:c r="B190" s="29" t="str">
        <x:v>Кабельный канал</x:v>
      </x:c>
      <x:c r="C190" s="29" t="str">
        <x:v>КОНТРОЛЬ</x:v>
      </x:c>
      <x:c r="D190" s="30" t="str">
        <x:v>Кабельный канал; сечение и длина КОНТРОЛЬ</x:v>
      </x:c>
      <x:c r="E190" s="31" t="n">
        <x:v>0</x:v>
      </x:c>
      <x:c r="F190" s="31" t="n">
        <x:v>0</x:v>
      </x:c>
      <x:c r="G190" s="31" t="str">
        <x:f>IF(OR(F190="",H190=""),"",F190*H190)</x:f>
      </x:c>
      <x:c r="H190" s="31"/>
      <x:c r="I190" s="29" t="str">
        <x:v>м</x:v>
      </x:c>
      <x:c r="J190" s="29" t="str">
        <x:v>EKT / Onka</x:v>
      </x:c>
      <x:c r="K190" s="30" t="str">
        <x:v>Определить по монтажной раскладке и заполнению канала.</x:v>
      </x:c>
    </x:row>
    <x:row r="191">
      <x:c r="A191" s="29" t="str">
        <x:v>ЩАО2.1</x:v>
      </x:c>
      <x:c r="B191" s="29" t="str">
        <x:v>Шина</x:v>
      </x:c>
      <x:c r="C191" s="29" t="str">
        <x:v>КОНТРОЛЬ</x:v>
      </x:c>
      <x:c r="D191" s="30" t="str">
        <x:v>Шины N/PE и фазные перемычки; сечение/длина КОНТРОЛЬ</x:v>
      </x:c>
      <x:c r="E191" s="31" t="n">
        <x:v>0</x:v>
      </x:c>
      <x:c r="F191" s="31" t="n">
        <x:v>0</x:v>
      </x:c>
      <x:c r="G191" s="31" t="str">
        <x:f>IF(OR(F191="",H191=""),"",F191*H191)</x:f>
      </x:c>
      <x:c r="H191" s="31"/>
      <x:c r="I191" s="29" t="str">
        <x:v>компл.</x:v>
      </x:c>
      <x:c r="J191" s="29" t="str">
        <x:v>TEKLED</x:v>
      </x:c>
      <x:c r="K191" s="30" t="str">
        <x:v>Рассчитать по току, КЗ, материалу и фактической компоновке.</x:v>
      </x:c>
    </x:row>
    <x:row r="192">
      <x:c r="A192" s="8" t="str">
        <x:v>ЩАО2.1</x:v>
      </x:c>
      <x:c r="B192" s="8" t="str">
        <x:v>Монтажный материал</x:v>
      </x:c>
      <x:c r="C192" s="8" t="str"/>
      <x:c r="D192" s="9" t="str">
        <x:v>Монтажный материал</x:v>
      </x:c>
      <x:c r="E192" s="10" t="n">
        <x:v>0</x:v>
      </x:c>
      <x:c r="F192" s="10" t="n">
        <x:v>0</x:v>
      </x:c>
      <x:c r="G192" s="10" t="str">
        <x:f>IF(OR(F192="",H192=""),"",F192*H192)</x:f>
      </x:c>
      <x:c r="H192" s="10" t="n">
        <x:v>1</x:v>
      </x:c>
      <x:c r="I192" s="8" t="str">
        <x:v>компл.</x:v>
      </x:c>
      <x:c r="J192" s="8" t="str">
        <x:v>TEKLED</x:v>
      </x:c>
      <x:c r="K192" s="9" t="str">
        <x:v>Количество 1 компл.; состав и цена заполняются после монтажной раскладки.</x:v>
      </x:c>
    </x:row>
    <x:row r="193">
      <x:c r="A193" s="8" t="str">
        <x:v>ЩАО2.1</x:v>
      </x:c>
      <x:c r="B193" s="8" t="str">
        <x:v>Монтажные работы</x:v>
      </x:c>
      <x:c r="C193" s="8" t="str"/>
      <x:c r="D193" s="9" t="str">
        <x:v>Монтажные работы</x:v>
      </x:c>
      <x:c r="E193" s="10"/>
      <x:c r="F193" s="10" t="n">
        <x:v>100</x:v>
      </x:c>
      <x:c r="G193" s="10" t="n">
        <x:f>IF(OR(F193="",H193=""),"",F193*H193)</x:f>
        <x:v>100</x:v>
      </x:c>
      <x:c r="H193" s="10" t="n">
        <x:v>1</x:v>
      </x:c>
      <x:c r="I193" s="8" t="str">
        <x:v>компл.</x:v>
      </x:c>
      <x:c r="J193" s="8" t="str">
        <x:v>TEKLED</x:v>
      </x:c>
      <x:c r="K193" s="9" t="str">
        <x:v>Количество 1 компл.; стоимость заполняется после нормирования.</x:v>
      </x:c>
    </x:row>
    <x:row r="194">
      <x:c r="A194" s="26" t="str">
        <x:v>ЩАО2.1</x:v>
      </x:c>
      <x:c r="B194" s="26" t="str">
        <x:v>ИТОГО</x:v>
      </x:c>
      <x:c r="C194" s="26" t="str"/>
      <x:c r="D194" s="27" t="str">
        <x:v>ИТОГО ЩАО2.1</x:v>
      </x:c>
      <x:c r="E194" s="28" t="n">
        <x:v>0</x:v>
      </x:c>
      <x:c r="F194" s="28" t="n">
        <x:v>0</x:v>
      </x:c>
      <x:c r="G194" s="28" t="n">
        <x:f>SUM(G185:G193)</x:f>
        <x:v>8122.599999999999</x:v>
      </x:c>
      <x:c r="H194" s="28"/>
      <x:c r="I194" s="26" t="str"/>
      <x:c r="J194" s="26" t="str"/>
      <x:c r="K194" s="27" t="str">
        <x:v>Сумма позиций строк 185-193.</x:v>
      </x:c>
    </x:row>
    <x:row r="195">
      <x:c r="A195" s="17" t="str">
        <x:v>ЩО3.1</x:v>
      </x:c>
      <x:c r="B195" s="17" t="str">
        <x:v>Панель</x:v>
      </x:c>
      <x:c r="C195" s="17" t="str"/>
      <x:c r="D195" s="18" t="str">
        <x:v>ЩО3.1</x:v>
      </x:c>
      <x:c r="E195" s="19" t="n">
        <x:v>0</x:v>
      </x:c>
      <x:c r="F195" s="19" t="n">
        <x:v>0</x:v>
      </x:c>
      <x:c r="G195" s="19"/>
      <x:c r="H195" s="19" t="n">
        <x:v>1</x:v>
      </x:c>
      <x:c r="I195" s="17" t="str">
        <x:v>компл.</x:v>
      </x:c>
      <x:c r="J195" s="17" t="str">
        <x:v>TEKSAN</x:v>
      </x:c>
      <x:c r="K195" s="18" t="str">
        <x:v>Наименование по проекту; внутренние позиции для 1 панели.</x:v>
      </x:c>
    </x:row>
    <x:row r="196">
      <x:c r="A196" s="8" t="str">
        <x:v>ЩО3.1</x:v>
      </x:c>
      <x:c r="B196" s="8" t="str">
        <x:v>Корпус</x:v>
      </x:c>
      <x:c r="C196" s="8" t="str">
        <x:v>714-15055</x:v>
      </x:c>
      <x:c r="D196" s="9" t="str">
        <x:v>Мет. Корпус ЩРН-12 (265x310x120) IP54  (TS)</x:v>
      </x:c>
      <x:c r="E196" s="10" t="n">
        <x:v>7650</x:v>
      </x:c>
      <x:c r="F196" s="10" t="n">
        <x:v>4590</x:v>
      </x:c>
      <x:c r="G196" s="10" t="n">
        <x:f>IF(OR(F196="",H196=""),"",F196*H196)</x:f>
        <x:v>4590</x:v>
      </x:c>
      <x:c r="H196" s="10" t="n">
        <x:v>1</x:v>
      </x:c>
      <x:c r="I196" s="8" t="str">
        <x:v> ШТ. </x:v>
      </x:c>
      <x:c r="J196" s="8" t="str">
        <x:v>teksan f</x:v>
      </x:c>
      <x:c r="K196" s="9" t="str">
        <x:v>PDF лист 7</x:v>
      </x:c>
    </x:row>
    <x:row r="197">
      <x:c r="A197" s="8" t="str">
        <x:v>ЩО3.1</x:v>
      </x:c>
      <x:c r="B197" s="8" t="str">
        <x:v>Выключатель нагрузки</x:v>
      </x:c>
      <x:c r="C197" s="8" t="str">
        <x:v>193180</x:v>
      </x:c>
      <x:c r="D197" s="9" t="str">
        <x:v>Выключатель нагрузки NXHB-125 3P 20A (R)</x:v>
      </x:c>
      <x:c r="E197" s="10" t="n">
        <x:v>3372</x:v>
      </x:c>
      <x:c r="F197" s="10" t="n">
        <x:v>2023.1999999999998</x:v>
      </x:c>
      <x:c r="G197" s="10" t="n">
        <x:f>IF(OR(F197="",H197=""),"",F197*H197)</x:f>
        <x:v>2023.1999999999998</x:v>
      </x:c>
      <x:c r="H197" s="10" t="n">
        <x:v>1</x:v>
      </x:c>
      <x:c r="I197" s="8" t="str">
        <x:v> ШТ. </x:v>
      </x:c>
      <x:c r="J197" s="8" t="str">
        <x:v>chint</x:v>
      </x:c>
      <x:c r="K197" s="9" t="str">
        <x:v>PDF лист 7</x:v>
      </x:c>
    </x:row>
    <x:row r="198">
      <x:c r="A198" s="8" t="str">
        <x:v>ЩО3.1</x:v>
      </x:c>
      <x:c r="B198" s="8" t="str">
        <x:v>ОТО</x:v>
      </x:c>
      <x:c r="C198" s="8" t="str">
        <x:v>296710</x:v>
      </x:c>
      <x:c r="D198" s="9" t="str">
        <x:v>Авт. выкл. NXB-63S 1P 16А 4.5kA х-ка C (R)</x:v>
      </x:c>
      <x:c r="E198" s="10" t="n">
        <x:v>783</x:v>
      </x:c>
      <x:c r="F198" s="10" t="n">
        <x:v>469.79999999999995</x:v>
      </x:c>
      <x:c r="G198" s="10" t="n">
        <x:f>IF(OR(F198="",H198=""),"",F198*H198)</x:f>
        <x:v>1879.1999999999998</x:v>
      </x:c>
      <x:c r="H198" s="10" t="n">
        <x:v>4</x:v>
      </x:c>
      <x:c r="I198" s="8" t="str">
        <x:v> ШТ. </x:v>
      </x:c>
      <x:c r="J198" s="8" t="str">
        <x:v>chint</x:v>
      </x:c>
      <x:c r="K198" s="9" t="str">
        <x:v>PDF лист 7</x:v>
      </x:c>
    </x:row>
    <x:row r="199">
      <x:c r="A199" s="29" t="str">
        <x:v>ЩО3.1</x:v>
      </x:c>
      <x:c r="B199" s="29" t="str">
        <x:v>Клеммник</x:v>
      </x:c>
      <x:c r="C199" s="29" t="str">
        <x:v>КОНТРОЛЬ</x:v>
      </x:c>
      <x:c r="D199" s="30" t="str">
        <x:v>Клеммники силовые/PE/N по фактическим отходящим линиям; тип и количество КОНТРОЛЬ</x:v>
      </x:c>
      <x:c r="E199" s="31" t="n">
        <x:v>0</x:v>
      </x:c>
      <x:c r="F199" s="31" t="n">
        <x:v>0</x:v>
      </x:c>
      <x:c r="G199" s="31" t="str">
        <x:f>IF(OR(F199="",H199=""),"",F199*H199)</x:f>
      </x:c>
      <x:c r="H199" s="31"/>
      <x:c r="I199" s="29" t="str">
        <x:v>компл.</x:v>
      </x:c>
      <x:c r="J199" s="29" t="str">
        <x:v>EKT / Klemsan</x:v>
      </x:c>
      <x:c r="K199" s="30" t="str">
        <x:v>Проект не содержит клеммной раскладки — не заполнять предположением.</x:v>
      </x:c>
    </x:row>
    <x:row r="200">
      <x:c r="A200" s="29" t="str">
        <x:v>ЩО3.1</x:v>
      </x:c>
      <x:c r="B200" s="29" t="str">
        <x:v>DIN рейка</x:v>
      </x:c>
      <x:c r="C200" s="29" t="str">
        <x:v>КОНТРОЛЬ</x:v>
      </x:c>
      <x:c r="D200" s="30" t="str">
        <x:v>DIN рейка 35 мм; длина КОНТРОЛЬ</x:v>
      </x:c>
      <x:c r="E200" s="31" t="n">
        <x:v>0</x:v>
      </x:c>
      <x:c r="F200" s="31" t="n">
        <x:v>0</x:v>
      </x:c>
      <x:c r="G200" s="31" t="str">
        <x:f>IF(OR(F200="",H200=""),"",F200*H200)</x:f>
      </x:c>
      <x:c r="H200" s="31"/>
      <x:c r="I200" s="29" t="str">
        <x:v>м</x:v>
      </x:c>
      <x:c r="J200" s="29" t="str">
        <x:v>EKT</x:v>
      </x:c>
      <x:c r="K200" s="30" t="str">
        <x:v>Определить по монтажной раскладке и 20% резерву.</x:v>
      </x:c>
    </x:row>
    <x:row r="201">
      <x:c r="A201" s="29" t="str">
        <x:v>ЩО3.1</x:v>
      </x:c>
      <x:c r="B201" s="29" t="str">
        <x:v>Кабельный канал</x:v>
      </x:c>
      <x:c r="C201" s="29" t="str">
        <x:v>КОНТРОЛЬ</x:v>
      </x:c>
      <x:c r="D201" s="30" t="str">
        <x:v>Кабельный канал; сечение и длина КОНТРОЛЬ</x:v>
      </x:c>
      <x:c r="E201" s="31" t="n">
        <x:v>0</x:v>
      </x:c>
      <x:c r="F201" s="31" t="n">
        <x:v>0</x:v>
      </x:c>
      <x:c r="G201" s="31" t="str">
        <x:f>IF(OR(F201="",H201=""),"",F201*H201)</x:f>
      </x:c>
      <x:c r="H201" s="31"/>
      <x:c r="I201" s="29" t="str">
        <x:v>м</x:v>
      </x:c>
      <x:c r="J201" s="29" t="str">
        <x:v>EKT / Onka</x:v>
      </x:c>
      <x:c r="K201" s="30" t="str">
        <x:v>Определить по монтажной раскладке и заполнению канала.</x:v>
      </x:c>
    </x:row>
    <x:row r="202">
      <x:c r="A202" s="29" t="str">
        <x:v>ЩО3.1</x:v>
      </x:c>
      <x:c r="B202" s="29" t="str">
        <x:v>Шина</x:v>
      </x:c>
      <x:c r="C202" s="29" t="str">
        <x:v>КОНТРОЛЬ</x:v>
      </x:c>
      <x:c r="D202" s="30" t="str">
        <x:v>Шины N/PE и фазные перемычки; сечение/длина КОНТРОЛЬ</x:v>
      </x:c>
      <x:c r="E202" s="31" t="n">
        <x:v>0</x:v>
      </x:c>
      <x:c r="F202" s="31" t="n">
        <x:v>0</x:v>
      </x:c>
      <x:c r="G202" s="31" t="str">
        <x:f>IF(OR(F202="",H202=""),"",F202*H202)</x:f>
      </x:c>
      <x:c r="H202" s="31"/>
      <x:c r="I202" s="29" t="str">
        <x:v>компл.</x:v>
      </x:c>
      <x:c r="J202" s="29" t="str">
        <x:v>TEKLED</x:v>
      </x:c>
      <x:c r="K202" s="30" t="str">
        <x:v>Рассчитать по току, КЗ, материалу и фактической компоновке.</x:v>
      </x:c>
    </x:row>
    <x:row r="203">
      <x:c r="A203" s="8" t="str">
        <x:v>ЩО3.1</x:v>
      </x:c>
      <x:c r="B203" s="8" t="str">
        <x:v>Монтажный материал</x:v>
      </x:c>
      <x:c r="C203" s="8" t="str"/>
      <x:c r="D203" s="9" t="str">
        <x:v>Монтажный материал</x:v>
      </x:c>
      <x:c r="E203" s="10" t="n">
        <x:v>0</x:v>
      </x:c>
      <x:c r="F203" s="10" t="n">
        <x:v>0</x:v>
      </x:c>
      <x:c r="G203" s="10" t="str">
        <x:f>IF(OR(F203="",H203=""),"",F203*H203)</x:f>
      </x:c>
      <x:c r="H203" s="10" t="n">
        <x:v>1</x:v>
      </x:c>
      <x:c r="I203" s="8" t="str">
        <x:v>компл.</x:v>
      </x:c>
      <x:c r="J203" s="8" t="str">
        <x:v>TEKLED</x:v>
      </x:c>
      <x:c r="K203" s="9" t="str">
        <x:v>Количество 1 компл.; состав и цена заполняются после монтажной раскладки.</x:v>
      </x:c>
    </x:row>
    <x:row r="204">
      <x:c r="A204" s="8" t="str">
        <x:v>ЩО3.1</x:v>
      </x:c>
      <x:c r="B204" s="8" t="str">
        <x:v>Монтажные работы</x:v>
      </x:c>
      <x:c r="C204" s="8" t="str"/>
      <x:c r="D204" s="9" t="str">
        <x:v>Монтажные работы</x:v>
      </x:c>
      <x:c r="E204" s="10"/>
      <x:c r="F204" s="10" t="n">
        <x:v>100</x:v>
      </x:c>
      <x:c r="G204" s="10" t="n">
        <x:f>IF(OR(F204="",H204=""),"",F204*H204)</x:f>
        <x:v>100</x:v>
      </x:c>
      <x:c r="H204" s="10" t="n">
        <x:v>1</x:v>
      </x:c>
      <x:c r="I204" s="8" t="str">
        <x:v>компл.</x:v>
      </x:c>
      <x:c r="J204" s="8" t="str">
        <x:v>TEKLED</x:v>
      </x:c>
      <x:c r="K204" s="9" t="str">
        <x:v>Количество 1 компл.; стоимость заполняется после нормирования.</x:v>
      </x:c>
    </x:row>
    <x:row r="205">
      <x:c r="A205" s="26" t="str">
        <x:v>ЩО3.1</x:v>
      </x:c>
      <x:c r="B205" s="26" t="str">
        <x:v>ИТОГО</x:v>
      </x:c>
      <x:c r="C205" s="26" t="str"/>
      <x:c r="D205" s="27" t="str">
        <x:v>ИТОГО ЩО3.1</x:v>
      </x:c>
      <x:c r="E205" s="28" t="n">
        <x:v>0</x:v>
      </x:c>
      <x:c r="F205" s="28" t="n">
        <x:v>0</x:v>
      </x:c>
      <x:c r="G205" s="28" t="n">
        <x:f>SUM(G196:G204)</x:f>
        <x:v>8592.4</x:v>
      </x:c>
      <x:c r="H205" s="28"/>
      <x:c r="I205" s="26" t="str"/>
      <x:c r="J205" s="26" t="str"/>
      <x:c r="K205" s="27" t="str">
        <x:v>Сумма позиций строк 196-204.</x:v>
      </x:c>
    </x:row>
    <x:row r="206">
      <x:c r="A206" s="17" t="str">
        <x:v>ЩАО3.1</x:v>
      </x:c>
      <x:c r="B206" s="17" t="str">
        <x:v>Панель</x:v>
      </x:c>
      <x:c r="C206" s="17" t="str"/>
      <x:c r="D206" s="18" t="str">
        <x:v>ЩАО3.1</x:v>
      </x:c>
      <x:c r="E206" s="19" t="n">
        <x:v>0</x:v>
      </x:c>
      <x:c r="F206" s="19" t="n">
        <x:v>0</x:v>
      </x:c>
      <x:c r="G206" s="19"/>
      <x:c r="H206" s="19" t="n">
        <x:v>1</x:v>
      </x:c>
      <x:c r="I206" s="17" t="str">
        <x:v>компл.</x:v>
      </x:c>
      <x:c r="J206" s="17" t="str">
        <x:v>TEKSAN</x:v>
      </x:c>
      <x:c r="K206" s="18" t="str">
        <x:v>Наименование по проекту; внутренние позиции для 1 панели.</x:v>
      </x:c>
    </x:row>
    <x:row r="207">
      <x:c r="A207" s="8" t="str">
        <x:v>ЩАО3.1</x:v>
      </x:c>
      <x:c r="B207" s="8" t="str">
        <x:v>Корпус</x:v>
      </x:c>
      <x:c r="C207" s="8" t="str">
        <x:v>714-15055</x:v>
      </x:c>
      <x:c r="D207" s="9" t="str">
        <x:v>Мет. Корпус ЩРН-12 (265x310x120) IP54  (TS)</x:v>
      </x:c>
      <x:c r="E207" s="10" t="n">
        <x:v>7650</x:v>
      </x:c>
      <x:c r="F207" s="10" t="n">
        <x:v>4590</x:v>
      </x:c>
      <x:c r="G207" s="10" t="n">
        <x:f>IF(OR(F207="",H207=""),"",F207*H207)</x:f>
        <x:v>4590</x:v>
      </x:c>
      <x:c r="H207" s="10" t="n">
        <x:v>1</x:v>
      </x:c>
      <x:c r="I207" s="8" t="str">
        <x:v> ШТ. </x:v>
      </x:c>
      <x:c r="J207" s="8" t="str">
        <x:v>teksan f</x:v>
      </x:c>
      <x:c r="K207" s="9" t="str">
        <x:v>PDF лист 7</x:v>
      </x:c>
    </x:row>
    <x:row r="208">
      <x:c r="A208" s="8" t="str">
        <x:v>ЩАО3.1</x:v>
      </x:c>
      <x:c r="B208" s="8" t="str">
        <x:v>Выключатель нагрузки</x:v>
      </x:c>
      <x:c r="C208" s="8" t="str">
        <x:v>193180</x:v>
      </x:c>
      <x:c r="D208" s="9" t="str">
        <x:v>Выключатель нагрузки NXHB-125 3P 20A (R)</x:v>
      </x:c>
      <x:c r="E208" s="10" t="n">
        <x:v>3372</x:v>
      </x:c>
      <x:c r="F208" s="10" t="n">
        <x:v>2023.1999999999998</x:v>
      </x:c>
      <x:c r="G208" s="10" t="n">
        <x:f>IF(OR(F208="",H208=""),"",F208*H208)</x:f>
        <x:v>2023.1999999999998</x:v>
      </x:c>
      <x:c r="H208" s="10" t="n">
        <x:v>1</x:v>
      </x:c>
      <x:c r="I208" s="8" t="str">
        <x:v> ШТ. </x:v>
      </x:c>
      <x:c r="J208" s="8" t="str">
        <x:v>chint</x:v>
      </x:c>
      <x:c r="K208" s="9" t="str">
        <x:v>PDF лист 7</x:v>
      </x:c>
    </x:row>
    <x:row r="209">
      <x:c r="A209" s="8" t="str">
        <x:v>ЩАО3.1</x:v>
      </x:c>
      <x:c r="B209" s="8" t="str">
        <x:v>ОТО</x:v>
      </x:c>
      <x:c r="C209" s="8" t="str">
        <x:v>296710</x:v>
      </x:c>
      <x:c r="D209" s="9" t="str">
        <x:v>Авт. выкл. NXB-63S 1P 16А 4.5kA х-ка C (R)</x:v>
      </x:c>
      <x:c r="E209" s="10" t="n">
        <x:v>783</x:v>
      </x:c>
      <x:c r="F209" s="10" t="n">
        <x:v>469.79999999999995</x:v>
      </x:c>
      <x:c r="G209" s="10" t="n">
        <x:f>IF(OR(F209="",H209=""),"",F209*H209)</x:f>
        <x:v>939.5999999999999</x:v>
      </x:c>
      <x:c r="H209" s="10" t="n">
        <x:v>2</x:v>
      </x:c>
      <x:c r="I209" s="8" t="str">
        <x:v> ШТ. </x:v>
      </x:c>
      <x:c r="J209" s="8" t="str">
        <x:v>chint</x:v>
      </x:c>
      <x:c r="K209" s="9" t="str">
        <x:v>PDF лист 7</x:v>
      </x:c>
    </x:row>
    <x:row r="210">
      <x:c r="A210" s="29" t="str">
        <x:v>ЩАО3.1</x:v>
      </x:c>
      <x:c r="B210" s="29" t="str">
        <x:v>Клеммник</x:v>
      </x:c>
      <x:c r="C210" s="29" t="str">
        <x:v>КОНТРОЛЬ</x:v>
      </x:c>
      <x:c r="D210" s="30" t="str">
        <x:v>Клеммники силовые/PE/N по фактическим отходящим линиям; тип и количество КОНТРОЛЬ</x:v>
      </x:c>
      <x:c r="E210" s="31" t="n">
        <x:v>0</x:v>
      </x:c>
      <x:c r="F210" s="31" t="n">
        <x:v>0</x:v>
      </x:c>
      <x:c r="G210" s="31" t="str">
        <x:f>IF(OR(F210="",H210=""),"",F210*H210)</x:f>
      </x:c>
      <x:c r="H210" s="31"/>
      <x:c r="I210" s="29" t="str">
        <x:v>компл.</x:v>
      </x:c>
      <x:c r="J210" s="29" t="str">
        <x:v>EKT / Klemsan</x:v>
      </x:c>
      <x:c r="K210" s="30" t="str">
        <x:v>Проект не содержит клеммной раскладки — не заполнять предположением.</x:v>
      </x:c>
    </x:row>
    <x:row r="211">
      <x:c r="A211" s="29" t="str">
        <x:v>ЩАО3.1</x:v>
      </x:c>
      <x:c r="B211" s="29" t="str">
        <x:v>DIN рейка</x:v>
      </x:c>
      <x:c r="C211" s="29" t="str">
        <x:v>КОНТРОЛЬ</x:v>
      </x:c>
      <x:c r="D211" s="30" t="str">
        <x:v>DIN рейка 35 мм; длина КОНТРОЛЬ</x:v>
      </x:c>
      <x:c r="E211" s="31" t="n">
        <x:v>0</x:v>
      </x:c>
      <x:c r="F211" s="31" t="n">
        <x:v>0</x:v>
      </x:c>
      <x:c r="G211" s="31" t="str">
        <x:f>IF(OR(F211="",H211=""),"",F211*H211)</x:f>
      </x:c>
      <x:c r="H211" s="31"/>
      <x:c r="I211" s="29" t="str">
        <x:v>м</x:v>
      </x:c>
      <x:c r="J211" s="29" t="str">
        <x:v>EKT</x:v>
      </x:c>
      <x:c r="K211" s="30" t="str">
        <x:v>Определить по монтажной раскладке и 20% резерву.</x:v>
      </x:c>
    </x:row>
    <x:row r="212">
      <x:c r="A212" s="29" t="str">
        <x:v>ЩАО3.1</x:v>
      </x:c>
      <x:c r="B212" s="29" t="str">
        <x:v>Кабельный канал</x:v>
      </x:c>
      <x:c r="C212" s="29" t="str">
        <x:v>КОНТРОЛЬ</x:v>
      </x:c>
      <x:c r="D212" s="30" t="str">
        <x:v>Кабельный канал; сечение и длина КОНТРОЛЬ</x:v>
      </x:c>
      <x:c r="E212" s="31" t="n">
        <x:v>0</x:v>
      </x:c>
      <x:c r="F212" s="31" t="n">
        <x:v>0</x:v>
      </x:c>
      <x:c r="G212" s="31" t="str">
        <x:f>IF(OR(F212="",H212=""),"",F212*H212)</x:f>
      </x:c>
      <x:c r="H212" s="31"/>
      <x:c r="I212" s="29" t="str">
        <x:v>м</x:v>
      </x:c>
      <x:c r="J212" s="29" t="str">
        <x:v>EKT / Onka</x:v>
      </x:c>
      <x:c r="K212" s="30" t="str">
        <x:v>Определить по монтажной раскладке и заполнению канала.</x:v>
      </x:c>
    </x:row>
    <x:row r="213">
      <x:c r="A213" s="29" t="str">
        <x:v>ЩАО3.1</x:v>
      </x:c>
      <x:c r="B213" s="29" t="str">
        <x:v>Шина</x:v>
      </x:c>
      <x:c r="C213" s="29" t="str">
        <x:v>КОНТРОЛЬ</x:v>
      </x:c>
      <x:c r="D213" s="30" t="str">
        <x:v>Шины N/PE и фазные перемычки; сечение/длина КОНТРОЛЬ</x:v>
      </x:c>
      <x:c r="E213" s="31" t="n">
        <x:v>0</x:v>
      </x:c>
      <x:c r="F213" s="31" t="n">
        <x:v>0</x:v>
      </x:c>
      <x:c r="G213" s="31" t="str">
        <x:f>IF(OR(F213="",H213=""),"",F213*H213)</x:f>
      </x:c>
      <x:c r="H213" s="31"/>
      <x:c r="I213" s="29" t="str">
        <x:v>компл.</x:v>
      </x:c>
      <x:c r="J213" s="29" t="str">
        <x:v>TEKLED</x:v>
      </x:c>
      <x:c r="K213" s="30" t="str">
        <x:v>Рассчитать по току, КЗ, материалу и фактической компоновке.</x:v>
      </x:c>
    </x:row>
    <x:row r="214">
      <x:c r="A214" s="8" t="str">
        <x:v>ЩАО3.1</x:v>
      </x:c>
      <x:c r="B214" s="8" t="str">
        <x:v>Монтажный материал</x:v>
      </x:c>
      <x:c r="C214" s="8" t="str"/>
      <x:c r="D214" s="9" t="str">
        <x:v>Монтажный материал</x:v>
      </x:c>
      <x:c r="E214" s="10" t="n">
        <x:v>0</x:v>
      </x:c>
      <x:c r="F214" s="10" t="n">
        <x:v>0</x:v>
      </x:c>
      <x:c r="G214" s="10" t="str">
        <x:f>IF(OR(F214="",H214=""),"",F214*H214)</x:f>
      </x:c>
      <x:c r="H214" s="10" t="n">
        <x:v>1</x:v>
      </x:c>
      <x:c r="I214" s="8" t="str">
        <x:v>компл.</x:v>
      </x:c>
      <x:c r="J214" s="8" t="str">
        <x:v>TEKLED</x:v>
      </x:c>
      <x:c r="K214" s="9" t="str">
        <x:v>Количество 1 компл.; состав и цена заполняются после монтажной раскладки.</x:v>
      </x:c>
    </x:row>
    <x:row r="215">
      <x:c r="A215" s="8" t="str">
        <x:v>ЩАО3.1</x:v>
      </x:c>
      <x:c r="B215" s="8" t="str">
        <x:v>Монтажные работы</x:v>
      </x:c>
      <x:c r="C215" s="8" t="str"/>
      <x:c r="D215" s="9" t="str">
        <x:v>Монтажные работы</x:v>
      </x:c>
      <x:c r="E215" s="10"/>
      <x:c r="F215" s="10" t="n">
        <x:v>100</x:v>
      </x:c>
      <x:c r="G215" s="10" t="n">
        <x:f>IF(OR(F215="",H215=""),"",F215*H215)</x:f>
        <x:v>100</x:v>
      </x:c>
      <x:c r="H215" s="10" t="n">
        <x:v>1</x:v>
      </x:c>
      <x:c r="I215" s="8" t="str">
        <x:v>компл.</x:v>
      </x:c>
      <x:c r="J215" s="8" t="str">
        <x:v>TEKLED</x:v>
      </x:c>
      <x:c r="K215" s="9" t="str">
        <x:v>Количество 1 компл.; стоимость заполняется после нормирования.</x:v>
      </x:c>
    </x:row>
    <x:row r="216">
      <x:c r="A216" s="26" t="str">
        <x:v>ЩАО3.1</x:v>
      </x:c>
      <x:c r="B216" s="26" t="str">
        <x:v>ИТОГО</x:v>
      </x:c>
      <x:c r="C216" s="26" t="str"/>
      <x:c r="D216" s="27" t="str">
        <x:v>ИТОГО ЩАО3.1</x:v>
      </x:c>
      <x:c r="E216" s="28" t="n">
        <x:v>0</x:v>
      </x:c>
      <x:c r="F216" s="28" t="n">
        <x:v>0</x:v>
      </x:c>
      <x:c r="G216" s="28" t="n">
        <x:f>SUM(G207:G215)</x:f>
        <x:v>7652.799999999999</x:v>
      </x:c>
      <x:c r="H216" s="28"/>
      <x:c r="I216" s="26" t="str"/>
      <x:c r="J216" s="26" t="str"/>
      <x:c r="K216" s="27" t="str">
        <x:v>Сумма позиций строк 207-215.</x:v>
      </x:c>
    </x:row>
    <x:row r="217">
      <x:c r="A217" s="17" t="str">
        <x:v>ЩС-ВД1.1</x:v>
      </x:c>
      <x:c r="B217" s="17" t="str">
        <x:v>Панель</x:v>
      </x:c>
      <x:c r="C217" s="17" t="str"/>
      <x:c r="D217" s="18" t="str">
        <x:v>ЩС-ВД1.1</x:v>
      </x:c>
      <x:c r="E217" s="19" t="n">
        <x:v>0</x:v>
      </x:c>
      <x:c r="F217" s="19" t="n">
        <x:v>0</x:v>
      </x:c>
      <x:c r="G217" s="19"/>
      <x:c r="H217" s="19" t="n">
        <x:v>1</x:v>
      </x:c>
      <x:c r="I217" s="17" t="str">
        <x:v>компл.</x:v>
      </x:c>
      <x:c r="J217" s="17" t="str">
        <x:v>TEKSAN</x:v>
      </x:c>
      <x:c r="K217" s="18" t="str">
        <x:v>Наименование по проекту; внутренние позиции для 1 панели.</x:v>
      </x:c>
    </x:row>
    <x:row r="218">
      <x:c r="A218" s="29" t="str">
        <x:v>ЩС-ВД1.1</x:v>
      </x:c>
      <x:c r="B218" s="29" t="str">
        <x:v>Корпус</x:v>
      </x:c>
      <x:c r="C218" s="29" t="str">
        <x:v>КОНТРОЛЬ</x:v>
      </x:c>
      <x:c r="D218" s="30" t="str">
        <x:v>Корпус по проекту ЩРВ503-1005-2УХЛ2 — габарит и внутренняя компоновка КОНТРОЛЬ</x:v>
      </x:c>
      <x:c r="E218" s="31" t="n">
        <x:v>0</x:v>
      </x:c>
      <x:c r="F218" s="31" t="n">
        <x:v>0</x:v>
      </x:c>
      <x:c r="G218" s="31" t="str">
        <x:f>IF(OR(F218="",H218=""),"",F218*H218)</x:f>
      </x:c>
      <x:c r="H218" s="31" t="n">
        <x:v>1</x:v>
      </x:c>
      <x:c r="I218" s="29" t="str">
        <x:v> ШТ. </x:v>
      </x:c>
      <x:c r="J218" s="29" t="str">
        <x:v>TEKSAN F</x:v>
      </x:c>
      <x:c r="K218" s="30" t="str">
        <x:v>PDF лист 8</x:v>
      </x:c>
    </x:row>
    <x:row r="219">
      <x:c r="A219" s="8" t="str">
        <x:v>ЩС-ВД1.1</x:v>
      </x:c>
      <x:c r="B219" s="8" t="str">
        <x:v>Рубильник</x:v>
      </x:c>
      <x:c r="C219" s="8" t="str">
        <x:v>ярп40129</x:v>
      </x:c>
      <x:c r="D219" s="9" t="str">
        <x:v>Рубильник  ВР32И-35В31250 250А IEK !!!</x:v>
      </x:c>
      <x:c r="E219" s="10"/>
      <x:c r="F219" s="10" t="n">
        <x:v>0</x:v>
      </x:c>
      <x:c r="G219" s="10" t="str">
        <x:f>IF(OR(F219="",H219=""),"",F219*H219)</x:f>
      </x:c>
      <x:c r="H219" s="10" t="n">
        <x:v>1</x:v>
      </x:c>
      <x:c r="I219" s="8" t="str">
        <x:v> ШТ. </x:v>
      </x:c>
      <x:c r="J219" s="8" t="str">
        <x:v>IEK</x:v>
      </x:c>
      <x:c r="K219" s="9" t="str">
        <x:v>По схеме: ВР32И-35В31250, 250А.</x:v>
      </x:c>
    </x:row>
    <x:row r="220">
      <x:c r="A220" s="8" t="str">
        <x:v>ЩС-ВД1.1</x:v>
      </x:c>
      <x:c r="B220" s="8" t="str">
        <x:v>ТМШ</x:v>
      </x:c>
      <x:c r="C220" s="8" t="str">
        <x:v>205883</x:v>
      </x:c>
      <x:c r="D220" s="9" t="str">
        <x:v>Авт. выкл. NXM-63S/3P 25кА 16A (R)</x:v>
      </x:c>
      <x:c r="E220" s="10" t="n">
        <x:v>17405</x:v>
      </x:c>
      <x:c r="F220" s="10" t="n">
        <x:v>10443</x:v>
      </x:c>
      <x:c r="G220" s="10" t="n">
        <x:f>IF(OR(F220="",H220=""),"",F220*H220)</x:f>
        <x:v>334176</x:v>
      </x:c>
      <x:c r="H220" s="10" t="n">
        <x:v>32</x:v>
      </x:c>
      <x:c r="I220" s="8" t="str">
        <x:v> ШТ. </x:v>
      </x:c>
      <x:c r="J220" s="8" t="str">
        <x:v>chint</x:v>
      </x:c>
      <x:c r="K220" s="9" t="str">
        <x:v>PDF листы 8-10</x:v>
      </x:c>
    </x:row>
    <x:row r="221">
      <x:c r="A221" s="29" t="str">
        <x:v>ЩС-ВД1.1</x:v>
      </x:c>
      <x:c r="B221" s="29" t="str">
        <x:v>Клеммник</x:v>
      </x:c>
      <x:c r="C221" s="29" t="str">
        <x:v>КОНТРОЛЬ</x:v>
      </x:c>
      <x:c r="D221" s="30" t="str">
        <x:v>Клеммники силовые/PE/N по фактическим отходящим линиям; тип и количество КОНТРОЛЬ</x:v>
      </x:c>
      <x:c r="E221" s="31" t="n">
        <x:v>0</x:v>
      </x:c>
      <x:c r="F221" s="31" t="n">
        <x:v>0</x:v>
      </x:c>
      <x:c r="G221" s="31" t="str">
        <x:f>IF(OR(F221="",H221=""),"",F221*H221)</x:f>
      </x:c>
      <x:c r="H221" s="31"/>
      <x:c r="I221" s="29" t="str">
        <x:v>компл.</x:v>
      </x:c>
      <x:c r="J221" s="29" t="str">
        <x:v>EKT / Klemsan</x:v>
      </x:c>
      <x:c r="K221" s="30" t="str">
        <x:v>Проект не содержит клеммной раскладки — не заполнять предположением.</x:v>
      </x:c>
    </x:row>
    <x:row r="222">
      <x:c r="A222" s="29" t="str">
        <x:v>ЩС-ВД1.1</x:v>
      </x:c>
      <x:c r="B222" s="29" t="str">
        <x:v>DIN рейка</x:v>
      </x:c>
      <x:c r="C222" s="29" t="str">
        <x:v>КОНТРОЛЬ</x:v>
      </x:c>
      <x:c r="D222" s="30" t="str">
        <x:v>DIN рейка 35 мм; длина КОНТРОЛЬ</x:v>
      </x:c>
      <x:c r="E222" s="31" t="n">
        <x:v>0</x:v>
      </x:c>
      <x:c r="F222" s="31" t="n">
        <x:v>0</x:v>
      </x:c>
      <x:c r="G222" s="31" t="str">
        <x:f>IF(OR(F222="",H222=""),"",F222*H222)</x:f>
      </x:c>
      <x:c r="H222" s="31"/>
      <x:c r="I222" s="29" t="str">
        <x:v>м</x:v>
      </x:c>
      <x:c r="J222" s="29" t="str">
        <x:v>EKT</x:v>
      </x:c>
      <x:c r="K222" s="30" t="str">
        <x:v>Определить по монтажной раскладке и 20% резерву.</x:v>
      </x:c>
    </x:row>
    <x:row r="223">
      <x:c r="A223" s="29" t="str">
        <x:v>ЩС-ВД1.1</x:v>
      </x:c>
      <x:c r="B223" s="29" t="str">
        <x:v>Кабельный канал</x:v>
      </x:c>
      <x:c r="C223" s="29" t="str">
        <x:v>КОНТРОЛЬ</x:v>
      </x:c>
      <x:c r="D223" s="30" t="str">
        <x:v>Кабельный канал; сечение и длина КОНТРОЛЬ</x:v>
      </x:c>
      <x:c r="E223" s="31" t="n">
        <x:v>0</x:v>
      </x:c>
      <x:c r="F223" s="31" t="n">
        <x:v>0</x:v>
      </x:c>
      <x:c r="G223" s="31" t="str">
        <x:f>IF(OR(F223="",H223=""),"",F223*H223)</x:f>
      </x:c>
      <x:c r="H223" s="31"/>
      <x:c r="I223" s="29" t="str">
        <x:v>м</x:v>
      </x:c>
      <x:c r="J223" s="29" t="str">
        <x:v>EKT / Onka</x:v>
      </x:c>
      <x:c r="K223" s="30" t="str">
        <x:v>Определить по монтажной раскладке и заполнению канала.</x:v>
      </x:c>
    </x:row>
    <x:row r="224">
      <x:c r="A224" s="29" t="str">
        <x:v>ЩС-ВД1.1</x:v>
      </x:c>
      <x:c r="B224" s="29" t="str">
        <x:v>Шина</x:v>
      </x:c>
      <x:c r="C224" s="29" t="str">
        <x:v>КОНТРОЛЬ</x:v>
      </x:c>
      <x:c r="D224" s="30" t="str">
        <x:v>Шины N/PE и фазные перемычки; сечение/длина КОНТРОЛЬ</x:v>
      </x:c>
      <x:c r="E224" s="31" t="n">
        <x:v>0</x:v>
      </x:c>
      <x:c r="F224" s="31" t="n">
        <x:v>0</x:v>
      </x:c>
      <x:c r="G224" s="31" t="str">
        <x:f>IF(OR(F224="",H224=""),"",F224*H224)</x:f>
      </x:c>
      <x:c r="H224" s="31"/>
      <x:c r="I224" s="29" t="str">
        <x:v>компл.</x:v>
      </x:c>
      <x:c r="J224" s="29" t="str">
        <x:v>TEKLED</x:v>
      </x:c>
      <x:c r="K224" s="30" t="str">
        <x:v>Рассчитать по току, КЗ, материалу и фактической компоновке.</x:v>
      </x:c>
    </x:row>
    <x:row r="225">
      <x:c r="A225" s="8" t="str">
        <x:v>ЩС-ВД1.1</x:v>
      </x:c>
      <x:c r="B225" s="8" t="str">
        <x:v>Монтажный материал</x:v>
      </x:c>
      <x:c r="C225" s="8" t="str"/>
      <x:c r="D225" s="9" t="str">
        <x:v>Монтажный материал</x:v>
      </x:c>
      <x:c r="E225" s="10" t="n">
        <x:v>0</x:v>
      </x:c>
      <x:c r="F225" s="10" t="n">
        <x:v>0</x:v>
      </x:c>
      <x:c r="G225" s="10" t="str">
        <x:f>IF(OR(F225="",H225=""),"",F225*H225)</x:f>
      </x:c>
      <x:c r="H225" s="10" t="n">
        <x:v>1</x:v>
      </x:c>
      <x:c r="I225" s="8" t="str">
        <x:v>компл.</x:v>
      </x:c>
      <x:c r="J225" s="8" t="str">
        <x:v>TEKLED</x:v>
      </x:c>
      <x:c r="K225" s="9" t="str">
        <x:v>Количество 1 компл.; состав и цена заполняются после монтажной раскладки.</x:v>
      </x:c>
    </x:row>
    <x:row r="226">
      <x:c r="A226" s="8" t="str">
        <x:v>ЩС-ВД1.1</x:v>
      </x:c>
      <x:c r="B226" s="8" t="str">
        <x:v>Монтажные работы</x:v>
      </x:c>
      <x:c r="C226" s="8" t="str"/>
      <x:c r="D226" s="9" t="str">
        <x:v>Монтажные работы</x:v>
      </x:c>
      <x:c r="E226" s="10"/>
      <x:c r="F226" s="10" t="n">
        <x:v>100</x:v>
      </x:c>
      <x:c r="G226" s="10" t="n">
        <x:f>IF(OR(F226="",H226=""),"",F226*H226)</x:f>
        <x:v>100</x:v>
      </x:c>
      <x:c r="H226" s="10" t="n">
        <x:v>1</x:v>
      </x:c>
      <x:c r="I226" s="8" t="str">
        <x:v>компл.</x:v>
      </x:c>
      <x:c r="J226" s="8" t="str">
        <x:v>TEKLED</x:v>
      </x:c>
      <x:c r="K226" s="9" t="str">
        <x:v>Количество 1 компл.; стоимость заполняется после нормирования.</x:v>
      </x:c>
    </x:row>
    <x:row r="227">
      <x:c r="A227" s="26" t="str">
        <x:v>ЩС-ВД1.1</x:v>
      </x:c>
      <x:c r="B227" s="26" t="str">
        <x:v>ИТОГО</x:v>
      </x:c>
      <x:c r="C227" s="26" t="str"/>
      <x:c r="D227" s="27" t="str">
        <x:v>ИТОГО ЩС-ВД1.1</x:v>
      </x:c>
      <x:c r="E227" s="28" t="n">
        <x:v>0</x:v>
      </x:c>
      <x:c r="F227" s="28" t="n">
        <x:v>0</x:v>
      </x:c>
      <x:c r="G227" s="28" t="n">
        <x:f>SUM(G218:G226)</x:f>
        <x:v>334276</x:v>
      </x:c>
      <x:c r="H227" s="28"/>
      <x:c r="I227" s="26" t="str"/>
      <x:c r="J227" s="26" t="str"/>
      <x:c r="K227" s="27" t="str">
        <x:v>Сумма позиций строк 218-226.</x:v>
      </x:c>
    </x:row>
    <x:row r="228">
      <x:c r="A228" s="17" t="str">
        <x:v>ЩС-ВД1.2</x:v>
      </x:c>
      <x:c r="B228" s="17" t="str">
        <x:v>Панель</x:v>
      </x:c>
      <x:c r="C228" s="17" t="str"/>
      <x:c r="D228" s="18" t="str">
        <x:v>ЩС-ВД1.2</x:v>
      </x:c>
      <x:c r="E228" s="19" t="n">
        <x:v>0</x:v>
      </x:c>
      <x:c r="F228" s="19" t="n">
        <x:v>0</x:v>
      </x:c>
      <x:c r="G228" s="19"/>
      <x:c r="H228" s="19" t="n">
        <x:v>1</x:v>
      </x:c>
      <x:c r="I228" s="17" t="str">
        <x:v>компл.</x:v>
      </x:c>
      <x:c r="J228" s="17" t="str">
        <x:v>TEKSAN</x:v>
      </x:c>
      <x:c r="K228" s="18" t="str">
        <x:v>Наименование по проекту; внутренние позиции для 1 панели.</x:v>
      </x:c>
    </x:row>
    <x:row r="229">
      <x:c r="A229" s="29" t="str">
        <x:v>ЩС-ВД1.2</x:v>
      </x:c>
      <x:c r="B229" s="29" t="str">
        <x:v>Корпус</x:v>
      </x:c>
      <x:c r="C229" s="29" t="str">
        <x:v>КОНТРОЛЬ</x:v>
      </x:c>
      <x:c r="D229" s="30" t="str">
        <x:v>Корпус по проекту ЩРВ503-1005-2УХЛ2 — габарит и внутренняя компоновка КОНТРОЛЬ</x:v>
      </x:c>
      <x:c r="E229" s="31" t="n">
        <x:v>0</x:v>
      </x:c>
      <x:c r="F229" s="31" t="n">
        <x:v>0</x:v>
      </x:c>
      <x:c r="G229" s="31" t="str">
        <x:f>IF(OR(F229="",H229=""),"",F229*H229)</x:f>
      </x:c>
      <x:c r="H229" s="31" t="n">
        <x:v>1</x:v>
      </x:c>
      <x:c r="I229" s="29" t="str">
        <x:v> ШТ. </x:v>
      </x:c>
      <x:c r="J229" s="29" t="str">
        <x:v>TEKSAN F</x:v>
      </x:c>
      <x:c r="K229" s="30" t="str">
        <x:v>PDF лист 11</x:v>
      </x:c>
    </x:row>
    <x:row r="230">
      <x:c r="A230" s="8" t="str">
        <x:v>ЩС-ВД1.2</x:v>
      </x:c>
      <x:c r="B230" s="8" t="str">
        <x:v>Рубильник</x:v>
      </x:c>
      <x:c r="C230" s="8" t="str">
        <x:v>ярп40129</x:v>
      </x:c>
      <x:c r="D230" s="9" t="str">
        <x:v>Рубильник  ВР32И-35В31250 250А IEK !!!</x:v>
      </x:c>
      <x:c r="E230" s="10"/>
      <x:c r="F230" s="10" t="n">
        <x:v>0</x:v>
      </x:c>
      <x:c r="G230" s="10" t="str">
        <x:f>IF(OR(F230="",H230=""),"",F230*H230)</x:f>
      </x:c>
      <x:c r="H230" s="10" t="n">
        <x:v>1</x:v>
      </x:c>
      <x:c r="I230" s="8" t="str">
        <x:v> ШТ. </x:v>
      </x:c>
      <x:c r="J230" s="8" t="str">
        <x:v>IEK</x:v>
      </x:c>
      <x:c r="K230" s="9" t="str">
        <x:v>По схеме: ВР32И-35В31250, 250А.</x:v>
      </x:c>
    </x:row>
    <x:row r="231">
      <x:c r="A231" s="29" t="str">
        <x:v>ЩС-ВД1.2</x:v>
      </x:c>
      <x:c r="B231" s="29" t="str">
        <x:v>Клеммник</x:v>
      </x:c>
      <x:c r="C231" s="29" t="str">
        <x:v>КОНТРОЛЬ</x:v>
      </x:c>
      <x:c r="D231" s="30" t="str">
        <x:v>Клеммники силовые/PE/N по фактическим отходящим линиям; тип и количество КОНТРОЛЬ</x:v>
      </x:c>
      <x:c r="E231" s="31" t="n">
        <x:v>0</x:v>
      </x:c>
      <x:c r="F231" s="31" t="n">
        <x:v>0</x:v>
      </x:c>
      <x:c r="G231" s="31" t="str">
        <x:f>IF(OR(F231="",H231=""),"",F231*H231)</x:f>
      </x:c>
      <x:c r="H231" s="31"/>
      <x:c r="I231" s="29" t="str">
        <x:v>компл.</x:v>
      </x:c>
      <x:c r="J231" s="29" t="str">
        <x:v>EKT / Klemsan</x:v>
      </x:c>
      <x:c r="K231" s="30" t="str">
        <x:v>Проект не содержит клеммной раскладки — не заполнять предположением.</x:v>
      </x:c>
    </x:row>
    <x:row r="232">
      <x:c r="A232" s="29" t="str">
        <x:v>ЩС-ВД1.2</x:v>
      </x:c>
      <x:c r="B232" s="29" t="str">
        <x:v>DIN рейка</x:v>
      </x:c>
      <x:c r="C232" s="29" t="str">
        <x:v>КОНТРОЛЬ</x:v>
      </x:c>
      <x:c r="D232" s="30" t="str">
        <x:v>DIN рейка 35 мм; длина КОНТРОЛЬ</x:v>
      </x:c>
      <x:c r="E232" s="31" t="n">
        <x:v>0</x:v>
      </x:c>
      <x:c r="F232" s="31" t="n">
        <x:v>0</x:v>
      </x:c>
      <x:c r="G232" s="31" t="str">
        <x:f>IF(OR(F232="",H232=""),"",F232*H232)</x:f>
      </x:c>
      <x:c r="H232" s="31"/>
      <x:c r="I232" s="29" t="str">
        <x:v>м</x:v>
      </x:c>
      <x:c r="J232" s="29" t="str">
        <x:v>EKT</x:v>
      </x:c>
      <x:c r="K232" s="30" t="str">
        <x:v>Определить по монтажной раскладке и 20% резерву.</x:v>
      </x:c>
    </x:row>
    <x:row r="233">
      <x:c r="A233" s="29" t="str">
        <x:v>ЩС-ВД1.2</x:v>
      </x:c>
      <x:c r="B233" s="29" t="str">
        <x:v>Кабельный канал</x:v>
      </x:c>
      <x:c r="C233" s="29" t="str">
        <x:v>КОНТРОЛЬ</x:v>
      </x:c>
      <x:c r="D233" s="30" t="str">
        <x:v>Кабельный канал; сечение и длина КОНТРОЛЬ</x:v>
      </x:c>
      <x:c r="E233" s="31" t="n">
        <x:v>0</x:v>
      </x:c>
      <x:c r="F233" s="31" t="n">
        <x:v>0</x:v>
      </x:c>
      <x:c r="G233" s="31" t="str">
        <x:f>IF(OR(F233="",H233=""),"",F233*H233)</x:f>
      </x:c>
      <x:c r="H233" s="31"/>
      <x:c r="I233" s="29" t="str">
        <x:v>м</x:v>
      </x:c>
      <x:c r="J233" s="29" t="str">
        <x:v>EKT / Onka</x:v>
      </x:c>
      <x:c r="K233" s="30" t="str">
        <x:v>Определить по монтажной раскладке и заполнению канала.</x:v>
      </x:c>
    </x:row>
    <x:row r="234">
      <x:c r="A234" s="29" t="str">
        <x:v>ЩС-ВД1.2</x:v>
      </x:c>
      <x:c r="B234" s="29" t="str">
        <x:v>Шина</x:v>
      </x:c>
      <x:c r="C234" s="29" t="str">
        <x:v>КОНТРОЛЬ</x:v>
      </x:c>
      <x:c r="D234" s="30" t="str">
        <x:v>Шины N/PE и фазные перемычки; сечение/длина КОНТРОЛЬ</x:v>
      </x:c>
      <x:c r="E234" s="31" t="n">
        <x:v>0</x:v>
      </x:c>
      <x:c r="F234" s="31" t="n">
        <x:v>0</x:v>
      </x:c>
      <x:c r="G234" s="31" t="str">
        <x:f>IF(OR(F234="",H234=""),"",F234*H234)</x:f>
      </x:c>
      <x:c r="H234" s="31"/>
      <x:c r="I234" s="29" t="str">
        <x:v>компл.</x:v>
      </x:c>
      <x:c r="J234" s="29" t="str">
        <x:v>TEKLED</x:v>
      </x:c>
      <x:c r="K234" s="30" t="str">
        <x:v>Рассчитать по току, КЗ, материалу и фактической компоновке.</x:v>
      </x:c>
    </x:row>
    <x:row r="235">
      <x:c r="A235" s="8" t="str">
        <x:v>ЩС-ВД1.2</x:v>
      </x:c>
      <x:c r="B235" s="8" t="str">
        <x:v>Монтажный материал</x:v>
      </x:c>
      <x:c r="C235" s="8" t="str"/>
      <x:c r="D235" s="9" t="str">
        <x:v>Монтажный материал</x:v>
      </x:c>
      <x:c r="E235" s="10" t="n">
        <x:v>0</x:v>
      </x:c>
      <x:c r="F235" s="10" t="n">
        <x:v>0</x:v>
      </x:c>
      <x:c r="G235" s="10" t="str">
        <x:f>IF(OR(F235="",H235=""),"",F235*H235)</x:f>
      </x:c>
      <x:c r="H235" s="10" t="n">
        <x:v>1</x:v>
      </x:c>
      <x:c r="I235" s="8" t="str">
        <x:v>компл.</x:v>
      </x:c>
      <x:c r="J235" s="8" t="str">
        <x:v>TEKLED</x:v>
      </x:c>
      <x:c r="K235" s="9" t="str">
        <x:v>Количество 1 компл.; состав и цена заполняются после монтажной раскладки.</x:v>
      </x:c>
    </x:row>
    <x:row r="236">
      <x:c r="A236" s="8" t="str">
        <x:v>ЩС-ВД1.2</x:v>
      </x:c>
      <x:c r="B236" s="8" t="str">
        <x:v>Монтажные работы</x:v>
      </x:c>
      <x:c r="C236" s="8" t="str"/>
      <x:c r="D236" s="9" t="str">
        <x:v>Монтажные работы</x:v>
      </x:c>
      <x:c r="E236" s="10"/>
      <x:c r="F236" s="10" t="n">
        <x:v>100</x:v>
      </x:c>
      <x:c r="G236" s="10" t="n">
        <x:f>IF(OR(F236="",H236=""),"",F236*H236)</x:f>
        <x:v>100</x:v>
      </x:c>
      <x:c r="H236" s="10" t="n">
        <x:v>1</x:v>
      </x:c>
      <x:c r="I236" s="8" t="str">
        <x:v>компл.</x:v>
      </x:c>
      <x:c r="J236" s="8" t="str">
        <x:v>TEKLED</x:v>
      </x:c>
      <x:c r="K236" s="9" t="str">
        <x:v>Количество 1 компл.; стоимость заполняется после нормирования.</x:v>
      </x:c>
    </x:row>
    <x:row r="237">
      <x:c r="A237" s="26" t="str">
        <x:v>ЩС-ВД1.2</x:v>
      </x:c>
      <x:c r="B237" s="26" t="str">
        <x:v>ИТОГО</x:v>
      </x:c>
      <x:c r="C237" s="26" t="str"/>
      <x:c r="D237" s="27" t="str">
        <x:v>ИТОГО ЩС-ВД1.2</x:v>
      </x:c>
      <x:c r="E237" s="28" t="n">
        <x:v>0</x:v>
      </x:c>
      <x:c r="F237" s="28" t="n">
        <x:v>0</x:v>
      </x:c>
      <x:c r="G237" s="28" t="n">
        <x:f>SUM(G229:G236)</x:f>
        <x:v>100</x:v>
      </x:c>
      <x:c r="H237" s="28"/>
      <x:c r="I237" s="26" t="str"/>
      <x:c r="J237" s="26" t="str"/>
      <x:c r="K237" s="27" t="str">
        <x:v>Сумма позиций строк 229-236.</x:v>
      </x:c>
    </x:row>
    <x:row r="238">
      <x:c r="A238" s="17" t="str">
        <x:v>ЩС-Н</x:v>
      </x:c>
      <x:c r="B238" s="17" t="str">
        <x:v>Панель</x:v>
      </x:c>
      <x:c r="C238" s="17" t="str"/>
      <x:c r="D238" s="18" t="str">
        <x:v>ЩС-Н</x:v>
      </x:c>
      <x:c r="E238" s="19" t="n">
        <x:v>0</x:v>
      </x:c>
      <x:c r="F238" s="19" t="n">
        <x:v>0</x:v>
      </x:c>
      <x:c r="G238" s="19"/>
      <x:c r="H238" s="19" t="n">
        <x:v>1</x:v>
      </x:c>
      <x:c r="I238" s="17" t="str">
        <x:v>компл.</x:v>
      </x:c>
      <x:c r="J238" s="17" t="str">
        <x:v>TEKSAN</x:v>
      </x:c>
      <x:c r="K238" s="18" t="str">
        <x:v>Наименование по проекту; внутренние позиции для 1 панели.</x:v>
      </x:c>
    </x:row>
    <x:row r="239">
      <x:c r="A239" s="8" t="str">
        <x:v>ЩС-Н</x:v>
      </x:c>
      <x:c r="B239" s="8" t="str">
        <x:v>Корпус</x:v>
      </x:c>
      <x:c r="C239" s="8" t="str">
        <x:v>714-15040</x:v>
      </x:c>
      <x:c r="D239" s="9" t="str">
        <x:v>Мет. Корпус ЩРН- 48 (660x310x120) IP31  (TS)</x:v>
      </x:c>
      <x:c r="E239" s="10" t="n">
        <x:v>15210</x:v>
      </x:c>
      <x:c r="F239" s="10" t="n">
        <x:v>9126</x:v>
      </x:c>
      <x:c r="G239" s="10" t="n">
        <x:f>IF(OR(F239="",H239=""),"",F239*H239)</x:f>
        <x:v>9126</x:v>
      </x:c>
      <x:c r="H239" s="10" t="n">
        <x:v>1</x:v>
      </x:c>
      <x:c r="I239" s="8" t="str">
        <x:v> ШТ. </x:v>
      </x:c>
      <x:c r="J239" s="8" t="str">
        <x:v>teksan f</x:v>
      </x:c>
      <x:c r="K239" s="9" t="str">
        <x:v>PDF листы 14-15</x:v>
      </x:c>
    </x:row>
    <x:row r="240">
      <x:c r="A240" s="8" t="str">
        <x:v>ЩС-Н</x:v>
      </x:c>
      <x:c r="B240" s="8" t="str">
        <x:v>Выключатель нагрузки</x:v>
      </x:c>
      <x:c r="C240" s="8" t="str">
        <x:v>193181</x:v>
      </x:c>
      <x:c r="D240" s="9" t="str">
        <x:v>Выключатель нагрузки NXHB-125 3P 32A (R)</x:v>
      </x:c>
      <x:c r="E240" s="10" t="n">
        <x:v>3372</x:v>
      </x:c>
      <x:c r="F240" s="10" t="n">
        <x:v>2023.1999999999998</x:v>
      </x:c>
      <x:c r="G240" s="10" t="n">
        <x:f>IF(OR(F240="",H240=""),"",F240*H240)</x:f>
        <x:v>2023.1999999999998</x:v>
      </x:c>
      <x:c r="H240" s="10" t="n">
        <x:v>1</x:v>
      </x:c>
      <x:c r="I240" s="8" t="str">
        <x:v> ШТ. </x:v>
      </x:c>
      <x:c r="J240" s="8" t="str">
        <x:v>chint</x:v>
      </x:c>
      <x:c r="K240" s="9" t="str">
        <x:v>PDF лист 14: по проекту ВН-32 3P 25А; выбран аппарат 32А — подтвердить как допустимую замену.</x:v>
      </x:c>
    </x:row>
    <x:row r="241">
      <x:c r="A241" s="8" t="str">
        <x:v>ЩС-Н</x:v>
      </x:c>
      <x:c r="B241" s="8" t="str">
        <x:v>Диф.</x:v>
      </x:c>
      <x:c r="C241" s="8" t="str">
        <x:v>515387</x:v>
      </x:c>
      <x:c r="D241" s="9" t="str">
        <x:v>Диф. авт. выкл. NXBLE-63YH 1P+N C20 30mA тип AC, 6kA (R)</x:v>
      </x:c>
      <x:c r="E241" s="10" t="n">
        <x:v>5632</x:v>
      </x:c>
      <x:c r="F241" s="10" t="n">
        <x:v>3379.2</x:v>
      </x:c>
      <x:c r="G241" s="10" t="n">
        <x:f>IF(OR(F241="",H241=""),"",F241*H241)</x:f>
        <x:v>57446.399999999994</x:v>
      </x:c>
      <x:c r="H241" s="10" t="n">
        <x:v>17</x:v>
      </x:c>
      <x:c r="I241" s="8" t="str">
        <x:v> ШТ. </x:v>
      </x:c>
      <x:c r="J241" s="8" t="str">
        <x:v>chint</x:v>
      </x:c>
      <x:c r="K241" s="9" t="str">
        <x:v>PDF листы 14-15</x:v>
      </x:c>
    </x:row>
    <x:row r="242">
      <x:c r="A242" s="29" t="str">
        <x:v>ЩС-Н</x:v>
      </x:c>
      <x:c r="B242" s="29" t="str">
        <x:v>Клеммник</x:v>
      </x:c>
      <x:c r="C242" s="29" t="str">
        <x:v>КОНТРОЛЬ</x:v>
      </x:c>
      <x:c r="D242" s="30" t="str">
        <x:v>Клеммники силовые/PE/N по фактическим отходящим линиям; тип и количество КОНТРОЛЬ</x:v>
      </x:c>
      <x:c r="E242" s="31" t="n">
        <x:v>0</x:v>
      </x:c>
      <x:c r="F242" s="31" t="n">
        <x:v>0</x:v>
      </x:c>
      <x:c r="G242" s="31" t="str">
        <x:f>IF(OR(F242="",H242=""),"",F242*H242)</x:f>
      </x:c>
      <x:c r="H242" s="31"/>
      <x:c r="I242" s="29" t="str">
        <x:v>компл.</x:v>
      </x:c>
      <x:c r="J242" s="29" t="str">
        <x:v>EKT / Klemsan</x:v>
      </x:c>
      <x:c r="K242" s="30" t="str">
        <x:v>Проект не содержит клеммной раскладки — не заполнять предположением.</x:v>
      </x:c>
    </x:row>
    <x:row r="243">
      <x:c r="A243" s="29" t="str">
        <x:v>ЩС-Н</x:v>
      </x:c>
      <x:c r="B243" s="29" t="str">
        <x:v>DIN рейка</x:v>
      </x:c>
      <x:c r="C243" s="29" t="str">
        <x:v>КОНТРОЛЬ</x:v>
      </x:c>
      <x:c r="D243" s="30" t="str">
        <x:v>DIN рейка 35 мм; длина КОНТРОЛЬ</x:v>
      </x:c>
      <x:c r="E243" s="31" t="n">
        <x:v>0</x:v>
      </x:c>
      <x:c r="F243" s="31" t="n">
        <x:v>0</x:v>
      </x:c>
      <x:c r="G243" s="31" t="str">
        <x:f>IF(OR(F243="",H243=""),"",F243*H243)</x:f>
      </x:c>
      <x:c r="H243" s="31"/>
      <x:c r="I243" s="29" t="str">
        <x:v>м</x:v>
      </x:c>
      <x:c r="J243" s="29" t="str">
        <x:v>EKT</x:v>
      </x:c>
      <x:c r="K243" s="30" t="str">
        <x:v>Определить по монтажной раскладке и 20% резерву.</x:v>
      </x:c>
    </x:row>
    <x:row r="244">
      <x:c r="A244" s="29" t="str">
        <x:v>ЩС-Н</x:v>
      </x:c>
      <x:c r="B244" s="29" t="str">
        <x:v>Кабельный канал</x:v>
      </x:c>
      <x:c r="C244" s="29" t="str">
        <x:v>КОНТРОЛЬ</x:v>
      </x:c>
      <x:c r="D244" s="30" t="str">
        <x:v>Кабельный канал; сечение и длина КОНТРОЛЬ</x:v>
      </x:c>
      <x:c r="E244" s="31" t="n">
        <x:v>0</x:v>
      </x:c>
      <x:c r="F244" s="31" t="n">
        <x:v>0</x:v>
      </x:c>
      <x:c r="G244" s="31" t="str">
        <x:f>IF(OR(F244="",H244=""),"",F244*H244)</x:f>
      </x:c>
      <x:c r="H244" s="31"/>
      <x:c r="I244" s="29" t="str">
        <x:v>м</x:v>
      </x:c>
      <x:c r="J244" s="29" t="str">
        <x:v>EKT / Onka</x:v>
      </x:c>
      <x:c r="K244" s="30" t="str">
        <x:v>Определить по монтажной раскладке и заполнению канала.</x:v>
      </x:c>
    </x:row>
    <x:row r="245">
      <x:c r="A245" s="29" t="str">
        <x:v>ЩС-Н</x:v>
      </x:c>
      <x:c r="B245" s="29" t="str">
        <x:v>Шина</x:v>
      </x:c>
      <x:c r="C245" s="29" t="str">
        <x:v>КОНТРОЛЬ</x:v>
      </x:c>
      <x:c r="D245" s="30" t="str">
        <x:v>Шины N/PE и фазные перемычки; сечение/длина КОНТРОЛЬ</x:v>
      </x:c>
      <x:c r="E245" s="31" t="n">
        <x:v>0</x:v>
      </x:c>
      <x:c r="F245" s="31" t="n">
        <x:v>0</x:v>
      </x:c>
      <x:c r="G245" s="31" t="str">
        <x:f>IF(OR(F245="",H245=""),"",F245*H245)</x:f>
      </x:c>
      <x:c r="H245" s="31"/>
      <x:c r="I245" s="29" t="str">
        <x:v>компл.</x:v>
      </x:c>
      <x:c r="J245" s="29" t="str">
        <x:v>TEKLED</x:v>
      </x:c>
      <x:c r="K245" s="30" t="str">
        <x:v>Рассчитать по току, КЗ, материалу и фактической компоновке.</x:v>
      </x:c>
    </x:row>
    <x:row r="246">
      <x:c r="A246" s="8" t="str">
        <x:v>ЩС-Н</x:v>
      </x:c>
      <x:c r="B246" s="8" t="str">
        <x:v>Монтажный материал</x:v>
      </x:c>
      <x:c r="C246" s="8" t="str"/>
      <x:c r="D246" s="9" t="str">
        <x:v>Монтажный материал</x:v>
      </x:c>
      <x:c r="E246" s="10" t="n">
        <x:v>0</x:v>
      </x:c>
      <x:c r="F246" s="10" t="n">
        <x:v>0</x:v>
      </x:c>
      <x:c r="G246" s="10" t="str">
        <x:f>IF(OR(F246="",H246=""),"",F246*H246)</x:f>
      </x:c>
      <x:c r="H246" s="10" t="n">
        <x:v>1</x:v>
      </x:c>
      <x:c r="I246" s="8" t="str">
        <x:v>компл.</x:v>
      </x:c>
      <x:c r="J246" s="8" t="str">
        <x:v>TEKLED</x:v>
      </x:c>
      <x:c r="K246" s="9" t="str">
        <x:v>Количество 1 компл.; состав и цена заполняются после монтажной раскладки.</x:v>
      </x:c>
    </x:row>
    <x:row r="247">
      <x:c r="A247" s="8" t="str">
        <x:v>ЩС-Н</x:v>
      </x:c>
      <x:c r="B247" s="8" t="str">
        <x:v>Монтажные работы</x:v>
      </x:c>
      <x:c r="C247" s="8" t="str"/>
      <x:c r="D247" s="9" t="str">
        <x:v>Монтажные работы</x:v>
      </x:c>
      <x:c r="E247" s="10"/>
      <x:c r="F247" s="10" t="n">
        <x:v>100</x:v>
      </x:c>
      <x:c r="G247" s="10" t="n">
        <x:f>IF(OR(F247="",H247=""),"",F247*H247)</x:f>
        <x:v>100</x:v>
      </x:c>
      <x:c r="H247" s="10" t="n">
        <x:v>1</x:v>
      </x:c>
      <x:c r="I247" s="8" t="str">
        <x:v>компл.</x:v>
      </x:c>
      <x:c r="J247" s="8" t="str">
        <x:v>TEKLED</x:v>
      </x:c>
      <x:c r="K247" s="9" t="str">
        <x:v>Количество 1 компл.; стоимость заполняется после нормирования.</x:v>
      </x:c>
    </x:row>
    <x:row r="248">
      <x:c r="A248" s="26" t="str">
        <x:v>ЩС-Н</x:v>
      </x:c>
      <x:c r="B248" s="26" t="str">
        <x:v>ИТОГО</x:v>
      </x:c>
      <x:c r="C248" s="26" t="str"/>
      <x:c r="D248" s="27" t="str">
        <x:v>ИТОГО ЩС-Н</x:v>
      </x:c>
      <x:c r="E248" s="28" t="n">
        <x:v>0</x:v>
      </x:c>
      <x:c r="F248" s="28" t="n">
        <x:v>0</x:v>
      </x:c>
      <x:c r="G248" s="28" t="n">
        <x:f>SUM(G239:G247)</x:f>
        <x:v>68695.59999999999</x:v>
      </x:c>
      <x:c r="H248" s="28"/>
      <x:c r="I248" s="26" t="str"/>
      <x:c r="J248" s="26" t="str"/>
      <x:c r="K248" s="27" t="str">
        <x:v>Сумма позиций строк 239-247.</x:v>
      </x:c>
    </x:row>
    <x:row r="249">
      <x:c r="A249" s="17" t="str">
        <x:v>ЩС-В1.1</x:v>
      </x:c>
      <x:c r="B249" s="17" t="str">
        <x:v>Панель</x:v>
      </x:c>
      <x:c r="C249" s="17" t="str"/>
      <x:c r="D249" s="18" t="str">
        <x:v>ЩС-В1.1</x:v>
      </x:c>
      <x:c r="E249" s="19" t="n">
        <x:v>0</x:v>
      </x:c>
      <x:c r="F249" s="19" t="n">
        <x:v>0</x:v>
      </x:c>
      <x:c r="G249" s="19"/>
      <x:c r="H249" s="19" t="n">
        <x:v>1</x:v>
      </x:c>
      <x:c r="I249" s="17" t="str">
        <x:v>компл.</x:v>
      </x:c>
      <x:c r="J249" s="17" t="str">
        <x:v>TEKSAN</x:v>
      </x:c>
      <x:c r="K249" s="18" t="str">
        <x:v>Наименование по проекту; внутренние позиции для 1 панели.</x:v>
      </x:c>
    </x:row>
    <x:row r="250">
      <x:c r="A250" s="8" t="str">
        <x:v>ЩС-В1.1</x:v>
      </x:c>
      <x:c r="B250" s="8" t="str">
        <x:v>Корпус</x:v>
      </x:c>
      <x:c r="C250" s="8" t="str">
        <x:v>714-15010</x:v>
      </x:c>
      <x:c r="D250" s="9" t="str">
        <x:v>Pano met.ShRn-24 b/o (398х312х120)S/U 36 IP31 (TS)</x:v>
      </x:c>
      <x:c r="E250" s="10" t="n">
        <x:v>13410</x:v>
      </x:c>
      <x:c r="F250" s="10" t="n">
        <x:v>8046</x:v>
      </x:c>
      <x:c r="G250" s="10" t="n">
        <x:f>IF(OR(F250="",H250=""),"",F250*H250)</x:f>
        <x:v>8046</x:v>
      </x:c>
      <x:c r="H250" s="10" t="n">
        <x:v>1</x:v>
      </x:c>
      <x:c r="I250" s="8" t="str">
        <x:v> ШТ. </x:v>
      </x:c>
      <x:c r="J250" s="8" t="str">
        <x:v>teksan f</x:v>
      </x:c>
      <x:c r="K250" s="9" t="str">
        <x:v>PDF лист 16</x:v>
      </x:c>
    </x:row>
    <x:row r="251">
      <x:c r="A251" s="8" t="str">
        <x:v>ЩС-В1.1</x:v>
      </x:c>
      <x:c r="B251" s="8" t="str">
        <x:v>ТМШ</x:v>
      </x:c>
      <x:c r="C251" s="8" t="str">
        <x:v>131363</x:v>
      </x:c>
      <x:c r="D251" s="9" t="str">
        <x:v>Авт. выкл. NXM-125S/3Р 125A 25кА (R)</x:v>
      </x:c>
      <x:c r="E251" s="10" t="n">
        <x:v>19760</x:v>
      </x:c>
      <x:c r="F251" s="10" t="n">
        <x:v>11856</x:v>
      </x:c>
      <x:c r="G251" s="10" t="n">
        <x:f>IF(OR(F251="",H251=""),"",F251*H251)</x:f>
        <x:v>11856</x:v>
      </x:c>
      <x:c r="H251" s="10" t="n">
        <x:v>1</x:v>
      </x:c>
      <x:c r="I251" s="8" t="str">
        <x:v> ШТ. </x:v>
      </x:c>
      <x:c r="J251" s="8" t="str">
        <x:v>chint</x:v>
      </x:c>
      <x:c r="K251" s="9" t="str">
        <x:v>PDF лист 16</x:v>
      </x:c>
    </x:row>
    <x:row r="252">
      <x:c r="A252" s="8" t="str">
        <x:v>ЩС-В1.1</x:v>
      </x:c>
      <x:c r="B252" s="8" t="str">
        <x:v>Расцепитель</x:v>
      </x:c>
      <x:c r="C252" s="8" t="str">
        <x:v>946996</x:v>
      </x:c>
      <x:c r="D252" s="9" t="str">
        <x:v>Независимый расцепитель SHT-M1 A1 L для NXM-125(63)/NXMLE-125 AC230V (левый) (R)</x:v>
      </x:c>
      <x:c r="E252" s="10" t="n">
        <x:v>6054</x:v>
      </x:c>
      <x:c r="F252" s="10" t="n">
        <x:v>3632.4</x:v>
      </x:c>
      <x:c r="G252" s="10" t="n">
        <x:f>IF(OR(F252="",H252=""),"",F252*H252)</x:f>
        <x:v>3632.4</x:v>
      </x:c>
      <x:c r="H252" s="10" t="n">
        <x:v>1</x:v>
      </x:c>
      <x:c r="I252" s="8" t="str">
        <x:v> ШТ. </x:v>
      </x:c>
      <x:c r="J252" s="8" t="str">
        <x:v>chint</x:v>
      </x:c>
      <x:c r="K252" s="9" t="str">
        <x:v>PDF лист 16</x:v>
      </x:c>
    </x:row>
    <x:row r="253">
      <x:c r="A253" s="8" t="str">
        <x:v>ЩС-В1.1</x:v>
      </x:c>
      <x:c r="B253" s="8" t="str">
        <x:v>ОТО</x:v>
      </x:c>
      <x:c r="C253" s="8" t="str">
        <x:v>296830</x:v>
      </x:c>
      <x:c r="D253" s="9" t="str">
        <x:v>Авт. выкл. NXB-63S 3P 32А 4.5kA х-ка C (R)</x:v>
      </x:c>
      <x:c r="E253" s="10" t="n">
        <x:v>2606</x:v>
      </x:c>
      <x:c r="F253" s="10" t="n">
        <x:v>1563.6</x:v>
      </x:c>
      <x:c r="G253" s="10" t="n">
        <x:f>IF(OR(F253="",H253=""),"",F253*H253)</x:f>
        <x:v>3127.2</x:v>
      </x:c>
      <x:c r="H253" s="10" t="n">
        <x:v>2</x:v>
      </x:c>
      <x:c r="I253" s="8" t="str">
        <x:v> ШТ. </x:v>
      </x:c>
      <x:c r="J253" s="8" t="str">
        <x:v>chint</x:v>
      </x:c>
      <x:c r="K253" s="9" t="str">
        <x:v>PDF лист 16</x:v>
      </x:c>
    </x:row>
    <x:row r="254">
      <x:c r="A254" s="8" t="str">
        <x:v>ЩС-В1.1</x:v>
      </x:c>
      <x:c r="B254" s="8" t="str">
        <x:v>ОТО</x:v>
      </x:c>
      <x:c r="C254" s="8" t="str">
        <x:v>296831</x:v>
      </x:c>
      <x:c r="D254" s="9" t="str">
        <x:v>Авт. выкл. NXB-63S 3P 40А 4.5kA х-ка C (R)</x:v>
      </x:c>
      <x:c r="E254" s="10" t="n">
        <x:v>2807</x:v>
      </x:c>
      <x:c r="F254" s="10" t="n">
        <x:v>1684.2</x:v>
      </x:c>
      <x:c r="G254" s="10" t="n">
        <x:f>IF(OR(F254="",H254=""),"",F254*H254)</x:f>
        <x:v>5052.6</x:v>
      </x:c>
      <x:c r="H254" s="10" t="n">
        <x:v>3</x:v>
      </x:c>
      <x:c r="I254" s="8" t="str">
        <x:v> ШТ. </x:v>
      </x:c>
      <x:c r="J254" s="8" t="str">
        <x:v>chint</x:v>
      </x:c>
      <x:c r="K254" s="9" t="str">
        <x:v>PDF лист 16</x:v>
      </x:c>
    </x:row>
    <x:row r="255">
      <x:c r="A255" s="29" t="str">
        <x:v>ЩС-В1.1</x:v>
      </x:c>
      <x:c r="B255" s="29" t="str">
        <x:v>Клеммник</x:v>
      </x:c>
      <x:c r="C255" s="29" t="str">
        <x:v>КОНТРОЛЬ</x:v>
      </x:c>
      <x:c r="D255" s="30" t="str">
        <x:v>Клеммники силовые/PE/N по фактическим отходящим линиям; тип и количество КОНТРОЛЬ</x:v>
      </x:c>
      <x:c r="E255" s="31" t="n">
        <x:v>0</x:v>
      </x:c>
      <x:c r="F255" s="31" t="n">
        <x:v>0</x:v>
      </x:c>
      <x:c r="G255" s="31" t="str">
        <x:f>IF(OR(F255="",H255=""),"",F255*H255)</x:f>
      </x:c>
      <x:c r="H255" s="31"/>
      <x:c r="I255" s="29" t="str">
        <x:v>компл.</x:v>
      </x:c>
      <x:c r="J255" s="29" t="str">
        <x:v>EKT / Klemsan</x:v>
      </x:c>
      <x:c r="K255" s="30" t="str">
        <x:v>Проект не содержит клеммной раскладки — не заполнять предположением.</x:v>
      </x:c>
    </x:row>
    <x:row r="256">
      <x:c r="A256" s="29" t="str">
        <x:v>ЩС-В1.1</x:v>
      </x:c>
      <x:c r="B256" s="29" t="str">
        <x:v>DIN рейка</x:v>
      </x:c>
      <x:c r="C256" s="29" t="str">
        <x:v>КОНТРОЛЬ</x:v>
      </x:c>
      <x:c r="D256" s="30" t="str">
        <x:v>DIN рейка 35 мм; длина КОНТРОЛЬ</x:v>
      </x:c>
      <x:c r="E256" s="31" t="n">
        <x:v>0</x:v>
      </x:c>
      <x:c r="F256" s="31" t="n">
        <x:v>0</x:v>
      </x:c>
      <x:c r="G256" s="31" t="str">
        <x:f>IF(OR(F256="",H256=""),"",F256*H256)</x:f>
      </x:c>
      <x:c r="H256" s="31"/>
      <x:c r="I256" s="29" t="str">
        <x:v>м</x:v>
      </x:c>
      <x:c r="J256" s="29" t="str">
        <x:v>EKT</x:v>
      </x:c>
      <x:c r="K256" s="30" t="str">
        <x:v>Определить по монтажной раскладке и 20% резерву.</x:v>
      </x:c>
    </x:row>
    <x:row r="257">
      <x:c r="A257" s="29" t="str">
        <x:v>ЩС-В1.1</x:v>
      </x:c>
      <x:c r="B257" s="29" t="str">
        <x:v>Кабельный канал</x:v>
      </x:c>
      <x:c r="C257" s="29" t="str">
        <x:v>КОНТРОЛЬ</x:v>
      </x:c>
      <x:c r="D257" s="30" t="str">
        <x:v>Кабельный канал; сечение и длина КОНТРОЛЬ</x:v>
      </x:c>
      <x:c r="E257" s="31" t="n">
        <x:v>0</x:v>
      </x:c>
      <x:c r="F257" s="31" t="n">
        <x:v>0</x:v>
      </x:c>
      <x:c r="G257" s="31" t="str">
        <x:f>IF(OR(F257="",H257=""),"",F257*H257)</x:f>
      </x:c>
      <x:c r="H257" s="31"/>
      <x:c r="I257" s="29" t="str">
        <x:v>м</x:v>
      </x:c>
      <x:c r="J257" s="29" t="str">
        <x:v>EKT / Onka</x:v>
      </x:c>
      <x:c r="K257" s="30" t="str">
        <x:v>Определить по монтажной раскладке и заполнению канала.</x:v>
      </x:c>
    </x:row>
    <x:row r="258">
      <x:c r="A258" s="29" t="str">
        <x:v>ЩС-В1.1</x:v>
      </x:c>
      <x:c r="B258" s="29" t="str">
        <x:v>Шина</x:v>
      </x:c>
      <x:c r="C258" s="29" t="str">
        <x:v>КОНТРОЛЬ</x:v>
      </x:c>
      <x:c r="D258" s="30" t="str">
        <x:v>Шины N/PE и фазные перемычки; сечение/длина КОНТРОЛЬ</x:v>
      </x:c>
      <x:c r="E258" s="31" t="n">
        <x:v>0</x:v>
      </x:c>
      <x:c r="F258" s="31" t="n">
        <x:v>0</x:v>
      </x:c>
      <x:c r="G258" s="31" t="str">
        <x:f>IF(OR(F258="",H258=""),"",F258*H258)</x:f>
      </x:c>
      <x:c r="H258" s="31"/>
      <x:c r="I258" s="29" t="str">
        <x:v>компл.</x:v>
      </x:c>
      <x:c r="J258" s="29" t="str">
        <x:v>TEKLED</x:v>
      </x:c>
      <x:c r="K258" s="30" t="str">
        <x:v>Рассчитать по току, КЗ, материалу и фактической компоновке.</x:v>
      </x:c>
    </x:row>
    <x:row r="259">
      <x:c r="A259" s="8" t="str">
        <x:v>ЩС-В1.1</x:v>
      </x:c>
      <x:c r="B259" s="8" t="str">
        <x:v>Монтажный материал</x:v>
      </x:c>
      <x:c r="C259" s="8" t="str"/>
      <x:c r="D259" s="9" t="str">
        <x:v>Монтажный материал</x:v>
      </x:c>
      <x:c r="E259" s="10" t="n">
        <x:v>0</x:v>
      </x:c>
      <x:c r="F259" s="10" t="n">
        <x:v>0</x:v>
      </x:c>
      <x:c r="G259" s="10" t="str">
        <x:f>IF(OR(F259="",H259=""),"",F259*H259)</x:f>
      </x:c>
      <x:c r="H259" s="10" t="n">
        <x:v>1</x:v>
      </x:c>
      <x:c r="I259" s="8" t="str">
        <x:v>компл.</x:v>
      </x:c>
      <x:c r="J259" s="8" t="str">
        <x:v>TEKLED</x:v>
      </x:c>
      <x:c r="K259" s="9" t="str">
        <x:v>Количество 1 компл.; состав и цена заполняются после монтажной раскладки.</x:v>
      </x:c>
    </x:row>
    <x:row r="260">
      <x:c r="A260" s="8" t="str">
        <x:v>ЩС-В1.1</x:v>
      </x:c>
      <x:c r="B260" s="8" t="str">
        <x:v>Монтажные работы</x:v>
      </x:c>
      <x:c r="C260" s="8" t="str"/>
      <x:c r="D260" s="9" t="str">
        <x:v>Монтажные работы</x:v>
      </x:c>
      <x:c r="E260" s="10"/>
      <x:c r="F260" s="10" t="n">
        <x:v>100</x:v>
      </x:c>
      <x:c r="G260" s="10" t="n">
        <x:f>IF(OR(F260="",H260=""),"",F260*H260)</x:f>
        <x:v>100</x:v>
      </x:c>
      <x:c r="H260" s="10" t="n">
        <x:v>1</x:v>
      </x:c>
      <x:c r="I260" s="8" t="str">
        <x:v>компл.</x:v>
      </x:c>
      <x:c r="J260" s="8" t="str">
        <x:v>TEKLED</x:v>
      </x:c>
      <x:c r="K260" s="9" t="str">
        <x:v>Количество 1 компл.; стоимость заполняется после нормирования.</x:v>
      </x:c>
    </x:row>
    <x:row r="261">
      <x:c r="A261" s="26" t="str">
        <x:v>ЩС-В1.1</x:v>
      </x:c>
      <x:c r="B261" s="26" t="str">
        <x:v>ИТОГО</x:v>
      </x:c>
      <x:c r="C261" s="26" t="str"/>
      <x:c r="D261" s="27" t="str">
        <x:v>ИТОГО ЩС-В1.1</x:v>
      </x:c>
      <x:c r="E261" s="28" t="n">
        <x:v>0</x:v>
      </x:c>
      <x:c r="F261" s="28" t="n">
        <x:v>0</x:v>
      </x:c>
      <x:c r="G261" s="28" t="n">
        <x:f>SUM(G250:G260)</x:f>
        <x:v>31814.200000000004</x:v>
      </x:c>
      <x:c r="H261" s="28"/>
      <x:c r="I261" s="26" t="str"/>
      <x:c r="J261" s="26" t="str"/>
      <x:c r="K261" s="27" t="str">
        <x:v>Сумма позиций строк 250-260.</x:v>
      </x:c>
    </x:row>
    <x:row r="262">
      <x:c r="A262" s="17" t="str">
        <x:v>ЩО1.2</x:v>
      </x:c>
      <x:c r="B262" s="17" t="str">
        <x:v>Панель</x:v>
      </x:c>
      <x:c r="C262" s="17" t="str"/>
      <x:c r="D262" s="18" t="str">
        <x:v>ЩО1.2</x:v>
      </x:c>
      <x:c r="E262" s="19" t="n">
        <x:v>0</x:v>
      </x:c>
      <x:c r="F262" s="19" t="n">
        <x:v>0</x:v>
      </x:c>
      <x:c r="G262" s="19"/>
      <x:c r="H262" s="19" t="n">
        <x:v>1</x:v>
      </x:c>
      <x:c r="I262" s="17" t="str">
        <x:v>компл.</x:v>
      </x:c>
      <x:c r="J262" s="17" t="str">
        <x:v>TEKSAN</x:v>
      </x:c>
      <x:c r="K262" s="18" t="str">
        <x:v>Наименование по проекту; внутренние позиции для 1 панели.</x:v>
      </x:c>
    </x:row>
    <x:row r="263">
      <x:c r="A263" s="8" t="str">
        <x:v>ЩО1.2</x:v>
      </x:c>
      <x:c r="B263" s="8" t="str">
        <x:v>Корпус</x:v>
      </x:c>
      <x:c r="C263" s="8" t="str">
        <x:v>714-15055</x:v>
      </x:c>
      <x:c r="D263" s="9" t="str">
        <x:v>Мет. Корпус ЩРН-12 (265x310x120) IP54  (TS)</x:v>
      </x:c>
      <x:c r="E263" s="10" t="n">
        <x:v>7650</x:v>
      </x:c>
      <x:c r="F263" s="10" t="n">
        <x:v>4590</x:v>
      </x:c>
      <x:c r="G263" s="10" t="n">
        <x:f>IF(OR(F263="",H263=""),"",F263*H263)</x:f>
        <x:v>4590</x:v>
      </x:c>
      <x:c r="H263" s="10" t="n">
        <x:v>1</x:v>
      </x:c>
      <x:c r="I263" s="8" t="str">
        <x:v> ШТ. </x:v>
      </x:c>
      <x:c r="J263" s="8" t="str">
        <x:v>teksan f</x:v>
      </x:c>
      <x:c r="K263" s="9" t="str">
        <x:v>PDF лист 17</x:v>
      </x:c>
    </x:row>
    <x:row r="264">
      <x:c r="A264" s="8" t="str">
        <x:v>ЩО1.2</x:v>
      </x:c>
      <x:c r="B264" s="8" t="str">
        <x:v>Выключатель нагрузки</x:v>
      </x:c>
      <x:c r="C264" s="8" t="str">
        <x:v>193180</x:v>
      </x:c>
      <x:c r="D264" s="9" t="str">
        <x:v>Выключатель нагрузки NXHB-125 3P 20A (R)</x:v>
      </x:c>
      <x:c r="E264" s="10" t="n">
        <x:v>3372</x:v>
      </x:c>
      <x:c r="F264" s="10" t="n">
        <x:v>2023.1999999999998</x:v>
      </x:c>
      <x:c r="G264" s="10" t="n">
        <x:f>IF(OR(F264="",H264=""),"",F264*H264)</x:f>
        <x:v>2023.1999999999998</x:v>
      </x:c>
      <x:c r="H264" s="10" t="n">
        <x:v>1</x:v>
      </x:c>
      <x:c r="I264" s="8" t="str">
        <x:v> ШТ. </x:v>
      </x:c>
      <x:c r="J264" s="8" t="str">
        <x:v>chint</x:v>
      </x:c>
      <x:c r="K264" s="9" t="str">
        <x:v>PDF лист 17</x:v>
      </x:c>
    </x:row>
    <x:row r="265">
      <x:c r="A265" s="8" t="str">
        <x:v>ЩО1.2</x:v>
      </x:c>
      <x:c r="B265" s="8" t="str">
        <x:v>ОТО</x:v>
      </x:c>
      <x:c r="C265" s="8" t="str">
        <x:v>296710</x:v>
      </x:c>
      <x:c r="D265" s="9" t="str">
        <x:v>Авт. выкл. NXB-63S 1P 16А 4.5kA х-ка C (R)</x:v>
      </x:c>
      <x:c r="E265" s="10" t="n">
        <x:v>783</x:v>
      </x:c>
      <x:c r="F265" s="10" t="n">
        <x:v>469.79999999999995</x:v>
      </x:c>
      <x:c r="G265" s="10" t="n">
        <x:f>IF(OR(F265="",H265=""),"",F265*H265)</x:f>
        <x:v>2818.7999999999997</x:v>
      </x:c>
      <x:c r="H265" s="10" t="n">
        <x:v>6</x:v>
      </x:c>
      <x:c r="I265" s="8" t="str">
        <x:v> ШТ. </x:v>
      </x:c>
      <x:c r="J265" s="8" t="str">
        <x:v>chint</x:v>
      </x:c>
      <x:c r="K265" s="9" t="str">
        <x:v>PDF лист 17</x:v>
      </x:c>
    </x:row>
    <x:row r="266">
      <x:c r="A266" s="29" t="str">
        <x:v>ЩО1.2</x:v>
      </x:c>
      <x:c r="B266" s="29" t="str">
        <x:v>Клеммник</x:v>
      </x:c>
      <x:c r="C266" s="29" t="str">
        <x:v>КОНТРОЛЬ</x:v>
      </x:c>
      <x:c r="D266" s="30" t="str">
        <x:v>Клеммники силовые/PE/N по фактическим отходящим линиям; тип и количество КОНТРОЛЬ</x:v>
      </x:c>
      <x:c r="E266" s="31" t="n">
        <x:v>0</x:v>
      </x:c>
      <x:c r="F266" s="31" t="n">
        <x:v>0</x:v>
      </x:c>
      <x:c r="G266" s="31" t="str">
        <x:f>IF(OR(F266="",H266=""),"",F266*H266)</x:f>
      </x:c>
      <x:c r="H266" s="31"/>
      <x:c r="I266" s="29" t="str">
        <x:v>компл.</x:v>
      </x:c>
      <x:c r="J266" s="29" t="str">
        <x:v>EKT / Klemsan</x:v>
      </x:c>
      <x:c r="K266" s="30" t="str">
        <x:v>Проект не содержит клеммной раскладки — не заполнять предположением.</x:v>
      </x:c>
    </x:row>
    <x:row r="267">
      <x:c r="A267" s="29" t="str">
        <x:v>ЩО1.2</x:v>
      </x:c>
      <x:c r="B267" s="29" t="str">
        <x:v>DIN рейка</x:v>
      </x:c>
      <x:c r="C267" s="29" t="str">
        <x:v>КОНТРОЛЬ</x:v>
      </x:c>
      <x:c r="D267" s="30" t="str">
        <x:v>DIN рейка 35 мм; длина КОНТРОЛЬ</x:v>
      </x:c>
      <x:c r="E267" s="31" t="n">
        <x:v>0</x:v>
      </x:c>
      <x:c r="F267" s="31" t="n">
        <x:v>0</x:v>
      </x:c>
      <x:c r="G267" s="31" t="str">
        <x:f>IF(OR(F267="",H267=""),"",F267*H267)</x:f>
      </x:c>
      <x:c r="H267" s="31"/>
      <x:c r="I267" s="29" t="str">
        <x:v>м</x:v>
      </x:c>
      <x:c r="J267" s="29" t="str">
        <x:v>EKT</x:v>
      </x:c>
      <x:c r="K267" s="30" t="str">
        <x:v>Определить по монтажной раскладке и 20% резерву.</x:v>
      </x:c>
    </x:row>
    <x:row r="268">
      <x:c r="A268" s="29" t="str">
        <x:v>ЩО1.2</x:v>
      </x:c>
      <x:c r="B268" s="29" t="str">
        <x:v>Кабельный канал</x:v>
      </x:c>
      <x:c r="C268" s="29" t="str">
        <x:v>КОНТРОЛЬ</x:v>
      </x:c>
      <x:c r="D268" s="30" t="str">
        <x:v>Кабельный канал; сечение и длина КОНТРОЛЬ</x:v>
      </x:c>
      <x:c r="E268" s="31" t="n">
        <x:v>0</x:v>
      </x:c>
      <x:c r="F268" s="31" t="n">
        <x:v>0</x:v>
      </x:c>
      <x:c r="G268" s="31" t="str">
        <x:f>IF(OR(F268="",H268=""),"",F268*H268)</x:f>
      </x:c>
      <x:c r="H268" s="31"/>
      <x:c r="I268" s="29" t="str">
        <x:v>м</x:v>
      </x:c>
      <x:c r="J268" s="29" t="str">
        <x:v>EKT / Onka</x:v>
      </x:c>
      <x:c r="K268" s="30" t="str">
        <x:v>Определить по монтажной раскладке и заполнению канала.</x:v>
      </x:c>
    </x:row>
    <x:row r="269">
      <x:c r="A269" s="29" t="str">
        <x:v>ЩО1.2</x:v>
      </x:c>
      <x:c r="B269" s="29" t="str">
        <x:v>Шина</x:v>
      </x:c>
      <x:c r="C269" s="29" t="str">
        <x:v>КОНТРОЛЬ</x:v>
      </x:c>
      <x:c r="D269" s="30" t="str">
        <x:v>Шины N/PE и фазные перемычки; сечение/длина КОНТРОЛЬ</x:v>
      </x:c>
      <x:c r="E269" s="31" t="n">
        <x:v>0</x:v>
      </x:c>
      <x:c r="F269" s="31" t="n">
        <x:v>0</x:v>
      </x:c>
      <x:c r="G269" s="31" t="str">
        <x:f>IF(OR(F269="",H269=""),"",F269*H269)</x:f>
      </x:c>
      <x:c r="H269" s="31"/>
      <x:c r="I269" s="29" t="str">
        <x:v>компл.</x:v>
      </x:c>
      <x:c r="J269" s="29" t="str">
        <x:v>TEKLED</x:v>
      </x:c>
      <x:c r="K269" s="30" t="str">
        <x:v>Рассчитать по току, КЗ, материалу и фактической компоновке.</x:v>
      </x:c>
    </x:row>
    <x:row r="270">
      <x:c r="A270" s="8" t="str">
        <x:v>ЩО1.2</x:v>
      </x:c>
      <x:c r="B270" s="8" t="str">
        <x:v>Монтажный материал</x:v>
      </x:c>
      <x:c r="C270" s="8" t="str"/>
      <x:c r="D270" s="9" t="str">
        <x:v>Монтажный материал</x:v>
      </x:c>
      <x:c r="E270" s="10" t="n">
        <x:v>0</x:v>
      </x:c>
      <x:c r="F270" s="10" t="n">
        <x:v>0</x:v>
      </x:c>
      <x:c r="G270" s="10" t="str">
        <x:f>IF(OR(F270="",H270=""),"",F270*H270)</x:f>
      </x:c>
      <x:c r="H270" s="10" t="n">
        <x:v>1</x:v>
      </x:c>
      <x:c r="I270" s="8" t="str">
        <x:v>компл.</x:v>
      </x:c>
      <x:c r="J270" s="8" t="str">
        <x:v>TEKLED</x:v>
      </x:c>
      <x:c r="K270" s="9" t="str">
        <x:v>Количество 1 компл.; состав и цена заполняются после монтажной раскладки.</x:v>
      </x:c>
    </x:row>
    <x:row r="271">
      <x:c r="A271" s="8" t="str">
        <x:v>ЩО1.2</x:v>
      </x:c>
      <x:c r="B271" s="8" t="str">
        <x:v>Монтажные работы</x:v>
      </x:c>
      <x:c r="C271" s="8" t="str"/>
      <x:c r="D271" s="9" t="str">
        <x:v>Монтажные работы</x:v>
      </x:c>
      <x:c r="E271" s="10"/>
      <x:c r="F271" s="10" t="n">
        <x:v>100</x:v>
      </x:c>
      <x:c r="G271" s="10" t="n">
        <x:f>IF(OR(F271="",H271=""),"",F271*H271)</x:f>
        <x:v>100</x:v>
      </x:c>
      <x:c r="H271" s="10" t="n">
        <x:v>1</x:v>
      </x:c>
      <x:c r="I271" s="8" t="str">
        <x:v>компл.</x:v>
      </x:c>
      <x:c r="J271" s="8" t="str">
        <x:v>TEKLED</x:v>
      </x:c>
      <x:c r="K271" s="9" t="str">
        <x:v>Количество 1 компл.; стоимость заполняется после нормирования.</x:v>
      </x:c>
    </x:row>
    <x:row r="272">
      <x:c r="A272" s="26" t="str">
        <x:v>ЩО1.2</x:v>
      </x:c>
      <x:c r="B272" s="26" t="str">
        <x:v>ИТОГО</x:v>
      </x:c>
      <x:c r="C272" s="26" t="str"/>
      <x:c r="D272" s="27" t="str">
        <x:v>ИТОГО ЩО1.2</x:v>
      </x:c>
      <x:c r="E272" s="28" t="n">
        <x:v>0</x:v>
      </x:c>
      <x:c r="F272" s="28" t="n">
        <x:v>0</x:v>
      </x:c>
      <x:c r="G272" s="28" t="n">
        <x:f>SUM(G263:G271)</x:f>
        <x:v>9532</x:v>
      </x:c>
      <x:c r="H272" s="28"/>
      <x:c r="I272" s="26" t="str"/>
      <x:c r="J272" s="26" t="str"/>
      <x:c r="K272" s="27" t="str">
        <x:v>Сумма позиций строк 263-271.</x:v>
      </x:c>
    </x:row>
    <x:row r="273">
      <x:c r="A273" s="17" t="str">
        <x:v>ЩАО1.2</x:v>
      </x:c>
      <x:c r="B273" s="17" t="str">
        <x:v>Панель</x:v>
      </x:c>
      <x:c r="C273" s="17" t="str"/>
      <x:c r="D273" s="18" t="str">
        <x:v>ЩАО1.2</x:v>
      </x:c>
      <x:c r="E273" s="19" t="n">
        <x:v>0</x:v>
      </x:c>
      <x:c r="F273" s="19" t="n">
        <x:v>0</x:v>
      </x:c>
      <x:c r="G273" s="19"/>
      <x:c r="H273" s="19" t="n">
        <x:v>1</x:v>
      </x:c>
      <x:c r="I273" s="17" t="str">
        <x:v>компл.</x:v>
      </x:c>
      <x:c r="J273" s="17" t="str">
        <x:v>TEKSAN</x:v>
      </x:c>
      <x:c r="K273" s="18" t="str">
        <x:v>Наименование по проекту; внутренние позиции для 1 панели.</x:v>
      </x:c>
    </x:row>
    <x:row r="274">
      <x:c r="A274" s="8" t="str">
        <x:v>ЩАО1.2</x:v>
      </x:c>
      <x:c r="B274" s="8" t="str">
        <x:v>Корпус</x:v>
      </x:c>
      <x:c r="C274" s="8" t="str">
        <x:v>714-15055</x:v>
      </x:c>
      <x:c r="D274" s="9" t="str">
        <x:v>Мет. Корпус ЩРН-12 (265x310x120) IP54  (TS)</x:v>
      </x:c>
      <x:c r="E274" s="10" t="n">
        <x:v>7650</x:v>
      </x:c>
      <x:c r="F274" s="10" t="n">
        <x:v>4590</x:v>
      </x:c>
      <x:c r="G274" s="10" t="n">
        <x:f>IF(OR(F274="",H274=""),"",F274*H274)</x:f>
        <x:v>4590</x:v>
      </x:c>
      <x:c r="H274" s="10" t="n">
        <x:v>1</x:v>
      </x:c>
      <x:c r="I274" s="8" t="str">
        <x:v> ШТ. </x:v>
      </x:c>
      <x:c r="J274" s="8" t="str">
        <x:v>teksan f</x:v>
      </x:c>
      <x:c r="K274" s="9" t="str">
        <x:v>PDF лист 17</x:v>
      </x:c>
    </x:row>
    <x:row r="275">
      <x:c r="A275" s="8" t="str">
        <x:v>ЩАО1.2</x:v>
      </x:c>
      <x:c r="B275" s="8" t="str">
        <x:v>Выключатель нагрузки</x:v>
      </x:c>
      <x:c r="C275" s="8" t="str">
        <x:v>193180</x:v>
      </x:c>
      <x:c r="D275" s="9" t="str">
        <x:v>Выключатель нагрузки NXHB-125 3P 20A (R)</x:v>
      </x:c>
      <x:c r="E275" s="10" t="n">
        <x:v>3372</x:v>
      </x:c>
      <x:c r="F275" s="10" t="n">
        <x:v>2023.1999999999998</x:v>
      </x:c>
      <x:c r="G275" s="10" t="n">
        <x:f>IF(OR(F275="",H275=""),"",F275*H275)</x:f>
        <x:v>2023.1999999999998</x:v>
      </x:c>
      <x:c r="H275" s="10" t="n">
        <x:v>1</x:v>
      </x:c>
      <x:c r="I275" s="8" t="str">
        <x:v> ШТ. </x:v>
      </x:c>
      <x:c r="J275" s="8" t="str">
        <x:v>chint</x:v>
      </x:c>
      <x:c r="K275" s="9" t="str">
        <x:v>PDF лист 17</x:v>
      </x:c>
    </x:row>
    <x:row r="276">
      <x:c r="A276" s="8" t="str">
        <x:v>ЩАО1.2</x:v>
      </x:c>
      <x:c r="B276" s="8" t="str">
        <x:v>ОТО</x:v>
      </x:c>
      <x:c r="C276" s="8" t="str">
        <x:v>296710</x:v>
      </x:c>
      <x:c r="D276" s="9" t="str">
        <x:v>Авт. выкл. NXB-63S 1P 16А 4.5kA х-ка C (R)</x:v>
      </x:c>
      <x:c r="E276" s="10" t="n">
        <x:v>783</x:v>
      </x:c>
      <x:c r="F276" s="10" t="n">
        <x:v>469.79999999999995</x:v>
      </x:c>
      <x:c r="G276" s="10" t="n">
        <x:f>IF(OR(F276="",H276=""),"",F276*H276)</x:f>
        <x:v>939.5999999999999</x:v>
      </x:c>
      <x:c r="H276" s="10" t="n">
        <x:v>2</x:v>
      </x:c>
      <x:c r="I276" s="8" t="str">
        <x:v> ШТ. </x:v>
      </x:c>
      <x:c r="J276" s="8" t="str">
        <x:v>chint</x:v>
      </x:c>
      <x:c r="K276" s="9" t="str">
        <x:v>PDF лист 17</x:v>
      </x:c>
    </x:row>
    <x:row r="277">
      <x:c r="A277" s="29" t="str">
        <x:v>ЩАО1.2</x:v>
      </x:c>
      <x:c r="B277" s="29" t="str">
        <x:v>Клеммник</x:v>
      </x:c>
      <x:c r="C277" s="29" t="str">
        <x:v>КОНТРОЛЬ</x:v>
      </x:c>
      <x:c r="D277" s="30" t="str">
        <x:v>Клеммники силовые/PE/N по фактическим отходящим линиям; тип и количество КОНТРОЛЬ</x:v>
      </x:c>
      <x:c r="E277" s="31" t="n">
        <x:v>0</x:v>
      </x:c>
      <x:c r="F277" s="31" t="n">
        <x:v>0</x:v>
      </x:c>
      <x:c r="G277" s="31" t="str">
        <x:f>IF(OR(F277="",H277=""),"",F277*H277)</x:f>
      </x:c>
      <x:c r="H277" s="31"/>
      <x:c r="I277" s="29" t="str">
        <x:v>компл.</x:v>
      </x:c>
      <x:c r="J277" s="29" t="str">
        <x:v>EKT / Klemsan</x:v>
      </x:c>
      <x:c r="K277" s="30" t="str">
        <x:v>Проект не содержит клеммной раскладки — не заполнять предположением.</x:v>
      </x:c>
    </x:row>
    <x:row r="278">
      <x:c r="A278" s="29" t="str">
        <x:v>ЩАО1.2</x:v>
      </x:c>
      <x:c r="B278" s="29" t="str">
        <x:v>DIN рейка</x:v>
      </x:c>
      <x:c r="C278" s="29" t="str">
        <x:v>КОНТРОЛЬ</x:v>
      </x:c>
      <x:c r="D278" s="30" t="str">
        <x:v>DIN рейка 35 мм; длина КОНТРОЛЬ</x:v>
      </x:c>
      <x:c r="E278" s="31" t="n">
        <x:v>0</x:v>
      </x:c>
      <x:c r="F278" s="31" t="n">
        <x:v>0</x:v>
      </x:c>
      <x:c r="G278" s="31" t="str">
        <x:f>IF(OR(F278="",H278=""),"",F278*H278)</x:f>
      </x:c>
      <x:c r="H278" s="31"/>
      <x:c r="I278" s="29" t="str">
        <x:v>м</x:v>
      </x:c>
      <x:c r="J278" s="29" t="str">
        <x:v>EKT</x:v>
      </x:c>
      <x:c r="K278" s="30" t="str">
        <x:v>Определить по монтажной раскладке и 20% резерву.</x:v>
      </x:c>
    </x:row>
    <x:row r="279">
      <x:c r="A279" s="29" t="str">
        <x:v>ЩАО1.2</x:v>
      </x:c>
      <x:c r="B279" s="29" t="str">
        <x:v>Кабельный канал</x:v>
      </x:c>
      <x:c r="C279" s="29" t="str">
        <x:v>КОНТРОЛЬ</x:v>
      </x:c>
      <x:c r="D279" s="30" t="str">
        <x:v>Кабельный канал; сечение и длина КОНТРОЛЬ</x:v>
      </x:c>
      <x:c r="E279" s="31" t="n">
        <x:v>0</x:v>
      </x:c>
      <x:c r="F279" s="31" t="n">
        <x:v>0</x:v>
      </x:c>
      <x:c r="G279" s="31" t="str">
        <x:f>IF(OR(F279="",H279=""),"",F279*H279)</x:f>
      </x:c>
      <x:c r="H279" s="31"/>
      <x:c r="I279" s="29" t="str">
        <x:v>м</x:v>
      </x:c>
      <x:c r="J279" s="29" t="str">
        <x:v>EKT / Onka</x:v>
      </x:c>
      <x:c r="K279" s="30" t="str">
        <x:v>Определить по монтажной раскладке и заполнению канала.</x:v>
      </x:c>
    </x:row>
    <x:row r="280">
      <x:c r="A280" s="29" t="str">
        <x:v>ЩАО1.2</x:v>
      </x:c>
      <x:c r="B280" s="29" t="str">
        <x:v>Шина</x:v>
      </x:c>
      <x:c r="C280" s="29" t="str">
        <x:v>КОНТРОЛЬ</x:v>
      </x:c>
      <x:c r="D280" s="30" t="str">
        <x:v>Шины N/PE и фазные перемычки; сечение/длина КОНТРОЛЬ</x:v>
      </x:c>
      <x:c r="E280" s="31" t="n">
        <x:v>0</x:v>
      </x:c>
      <x:c r="F280" s="31" t="n">
        <x:v>0</x:v>
      </x:c>
      <x:c r="G280" s="31" t="str">
        <x:f>IF(OR(F280="",H280=""),"",F280*H280)</x:f>
      </x:c>
      <x:c r="H280" s="31"/>
      <x:c r="I280" s="29" t="str">
        <x:v>компл.</x:v>
      </x:c>
      <x:c r="J280" s="29" t="str">
        <x:v>TEKLED</x:v>
      </x:c>
      <x:c r="K280" s="30" t="str">
        <x:v>Рассчитать по току, КЗ, материалу и фактической компоновке.</x:v>
      </x:c>
    </x:row>
    <x:row r="281">
      <x:c r="A281" s="8" t="str">
        <x:v>ЩАО1.2</x:v>
      </x:c>
      <x:c r="B281" s="8" t="str">
        <x:v>Монтажный материал</x:v>
      </x:c>
      <x:c r="C281" s="8" t="str"/>
      <x:c r="D281" s="9" t="str">
        <x:v>Монтажный материал</x:v>
      </x:c>
      <x:c r="E281" s="10" t="n">
        <x:v>0</x:v>
      </x:c>
      <x:c r="F281" s="10" t="n">
        <x:v>0</x:v>
      </x:c>
      <x:c r="G281" s="10" t="str">
        <x:f>IF(OR(F281="",H281=""),"",F281*H281)</x:f>
      </x:c>
      <x:c r="H281" s="10" t="n">
        <x:v>1</x:v>
      </x:c>
      <x:c r="I281" s="8" t="str">
        <x:v>компл.</x:v>
      </x:c>
      <x:c r="J281" s="8" t="str">
        <x:v>TEKLED</x:v>
      </x:c>
      <x:c r="K281" s="9" t="str">
        <x:v>Количество 1 компл.; состав и цена заполняются после монтажной раскладки.</x:v>
      </x:c>
    </x:row>
    <x:row r="282">
      <x:c r="A282" s="8" t="str">
        <x:v>ЩАО1.2</x:v>
      </x:c>
      <x:c r="B282" s="8" t="str">
        <x:v>Монтажные работы</x:v>
      </x:c>
      <x:c r="C282" s="8" t="str"/>
      <x:c r="D282" s="9" t="str">
        <x:v>Монтажные работы</x:v>
      </x:c>
      <x:c r="E282" s="10"/>
      <x:c r="F282" s="10" t="n">
        <x:v>100</x:v>
      </x:c>
      <x:c r="G282" s="10" t="n">
        <x:f>IF(OR(F282="",H282=""),"",F282*H282)</x:f>
        <x:v>100</x:v>
      </x:c>
      <x:c r="H282" s="10" t="n">
        <x:v>1</x:v>
      </x:c>
      <x:c r="I282" s="8" t="str">
        <x:v>компл.</x:v>
      </x:c>
      <x:c r="J282" s="8" t="str">
        <x:v>TEKLED</x:v>
      </x:c>
      <x:c r="K282" s="9" t="str">
        <x:v>Количество 1 компл.; стоимость заполняется после нормирования.</x:v>
      </x:c>
    </x:row>
    <x:row r="283">
      <x:c r="A283" s="26" t="str">
        <x:v>ЩАО1.2</x:v>
      </x:c>
      <x:c r="B283" s="26" t="str">
        <x:v>ИТОГО</x:v>
      </x:c>
      <x:c r="C283" s="26" t="str"/>
      <x:c r="D283" s="27" t="str">
        <x:v>ИТОГО ЩАО1.2</x:v>
      </x:c>
      <x:c r="E283" s="28" t="n">
        <x:v>0</x:v>
      </x:c>
      <x:c r="F283" s="28" t="n">
        <x:v>0</x:v>
      </x:c>
      <x:c r="G283" s="28" t="n">
        <x:f>SUM(G274:G282)</x:f>
        <x:v>7652.799999999999</x:v>
      </x:c>
      <x:c r="H283" s="28"/>
      <x:c r="I283" s="26" t="str"/>
      <x:c r="J283" s="26" t="str"/>
      <x:c r="K283" s="27" t="str">
        <x:v>Сумма позиций строк 274-282.</x:v>
      </x:c>
    </x:row>
    <x:row r="284">
      <x:c r="A284" s="17" t="str">
        <x:v>ЩО2.2</x:v>
      </x:c>
      <x:c r="B284" s="17" t="str">
        <x:v>Панель</x:v>
      </x:c>
      <x:c r="C284" s="17" t="str"/>
      <x:c r="D284" s="18" t="str">
        <x:v>ЩО2.2</x:v>
      </x:c>
      <x:c r="E284" s="19" t="n">
        <x:v>0</x:v>
      </x:c>
      <x:c r="F284" s="19" t="n">
        <x:v>0</x:v>
      </x:c>
      <x:c r="G284" s="19"/>
      <x:c r="H284" s="19" t="n">
        <x:v>1</x:v>
      </x:c>
      <x:c r="I284" s="17" t="str">
        <x:v>компл.</x:v>
      </x:c>
      <x:c r="J284" s="17" t="str">
        <x:v>TEKSAN</x:v>
      </x:c>
      <x:c r="K284" s="18" t="str">
        <x:v>Наименование по проекту; внутренние позиции для 1 панели.</x:v>
      </x:c>
    </x:row>
    <x:row r="285">
      <x:c r="A285" s="8" t="str">
        <x:v>ЩО2.2</x:v>
      </x:c>
      <x:c r="B285" s="8" t="str">
        <x:v>Корпус</x:v>
      </x:c>
      <x:c r="C285" s="8" t="str">
        <x:v>714-15055</x:v>
      </x:c>
      <x:c r="D285" s="9" t="str">
        <x:v>Мет. Корпус ЩРН-12 (265x310x120) IP54  (TS)</x:v>
      </x:c>
      <x:c r="E285" s="10" t="n">
        <x:v>7650</x:v>
      </x:c>
      <x:c r="F285" s="10" t="n">
        <x:v>4590</x:v>
      </x:c>
      <x:c r="G285" s="10" t="n">
        <x:f>IF(OR(F285="",H285=""),"",F285*H285)</x:f>
        <x:v>4590</x:v>
      </x:c>
      <x:c r="H285" s="10" t="n">
        <x:v>1</x:v>
      </x:c>
      <x:c r="I285" s="8" t="str">
        <x:v> ШТ. </x:v>
      </x:c>
      <x:c r="J285" s="8" t="str">
        <x:v>teksan f</x:v>
      </x:c>
      <x:c r="K285" s="9" t="str">
        <x:v>PDF лист 18</x:v>
      </x:c>
    </x:row>
    <x:row r="286">
      <x:c r="A286" s="8" t="str">
        <x:v>ЩО2.2</x:v>
      </x:c>
      <x:c r="B286" s="8" t="str">
        <x:v>Выключатель нагрузки</x:v>
      </x:c>
      <x:c r="C286" s="8" t="str">
        <x:v>193180</x:v>
      </x:c>
      <x:c r="D286" s="9" t="str">
        <x:v>Выключатель нагрузки NXHB-125 3P 20A (R)</x:v>
      </x:c>
      <x:c r="E286" s="10" t="n">
        <x:v>3372</x:v>
      </x:c>
      <x:c r="F286" s="10" t="n">
        <x:v>2023.1999999999998</x:v>
      </x:c>
      <x:c r="G286" s="10" t="n">
        <x:f>IF(OR(F286="",H286=""),"",F286*H286)</x:f>
        <x:v>2023.1999999999998</x:v>
      </x:c>
      <x:c r="H286" s="10" t="n">
        <x:v>1</x:v>
      </x:c>
      <x:c r="I286" s="8" t="str">
        <x:v> ШТ. </x:v>
      </x:c>
      <x:c r="J286" s="8" t="str">
        <x:v>chint</x:v>
      </x:c>
      <x:c r="K286" s="9" t="str">
        <x:v>PDF лист 18</x:v>
      </x:c>
    </x:row>
    <x:row r="287">
      <x:c r="A287" s="8" t="str">
        <x:v>ЩО2.2</x:v>
      </x:c>
      <x:c r="B287" s="8" t="str">
        <x:v>ОТО</x:v>
      </x:c>
      <x:c r="C287" s="8" t="str">
        <x:v>296710</x:v>
      </x:c>
      <x:c r="D287" s="9" t="str">
        <x:v>Авт. выкл. NXB-63S 1P 16А 4.5kA х-ка C (R)</x:v>
      </x:c>
      <x:c r="E287" s="10" t="n">
        <x:v>783</x:v>
      </x:c>
      <x:c r="F287" s="10" t="n">
        <x:v>469.79999999999995</x:v>
      </x:c>
      <x:c r="G287" s="10" t="n">
        <x:f>IF(OR(F287="",H287=""),"",F287*H287)</x:f>
        <x:v>3288.5999999999995</x:v>
      </x:c>
      <x:c r="H287" s="10" t="n">
        <x:v>7</x:v>
      </x:c>
      <x:c r="I287" s="8" t="str">
        <x:v> ШТ. </x:v>
      </x:c>
      <x:c r="J287" s="8" t="str">
        <x:v>chint</x:v>
      </x:c>
      <x:c r="K287" s="9" t="str">
        <x:v>PDF лист 18</x:v>
      </x:c>
    </x:row>
    <x:row r="288">
      <x:c r="A288" s="29" t="str">
        <x:v>ЩО2.2</x:v>
      </x:c>
      <x:c r="B288" s="29" t="str">
        <x:v>Клеммник</x:v>
      </x:c>
      <x:c r="C288" s="29" t="str">
        <x:v>КОНТРОЛЬ</x:v>
      </x:c>
      <x:c r="D288" s="30" t="str">
        <x:v>Клеммники силовые/PE/N по фактическим отходящим линиям; тип и количество КОНТРОЛЬ</x:v>
      </x:c>
      <x:c r="E288" s="31" t="n">
        <x:v>0</x:v>
      </x:c>
      <x:c r="F288" s="31" t="n">
        <x:v>0</x:v>
      </x:c>
      <x:c r="G288" s="31" t="str">
        <x:f>IF(OR(F288="",H288=""),"",F288*H288)</x:f>
      </x:c>
      <x:c r="H288" s="31"/>
      <x:c r="I288" s="29" t="str">
        <x:v>компл.</x:v>
      </x:c>
      <x:c r="J288" s="29" t="str">
        <x:v>EKT / Klemsan</x:v>
      </x:c>
      <x:c r="K288" s="30" t="str">
        <x:v>Проект не содержит клеммной раскладки — не заполнять предположением.</x:v>
      </x:c>
    </x:row>
    <x:row r="289">
      <x:c r="A289" s="29" t="str">
        <x:v>ЩО2.2</x:v>
      </x:c>
      <x:c r="B289" s="29" t="str">
        <x:v>DIN рейка</x:v>
      </x:c>
      <x:c r="C289" s="29" t="str">
        <x:v>КОНТРОЛЬ</x:v>
      </x:c>
      <x:c r="D289" s="30" t="str">
        <x:v>DIN рейка 35 мм; длина КОНТРОЛЬ</x:v>
      </x:c>
      <x:c r="E289" s="31" t="n">
        <x:v>0</x:v>
      </x:c>
      <x:c r="F289" s="31" t="n">
        <x:v>0</x:v>
      </x:c>
      <x:c r="G289" s="31" t="str">
        <x:f>IF(OR(F289="",H289=""),"",F289*H289)</x:f>
      </x:c>
      <x:c r="H289" s="31"/>
      <x:c r="I289" s="29" t="str">
        <x:v>м</x:v>
      </x:c>
      <x:c r="J289" s="29" t="str">
        <x:v>EKT</x:v>
      </x:c>
      <x:c r="K289" s="30" t="str">
        <x:v>Определить по монтажной раскладке и 20% резерву.</x:v>
      </x:c>
    </x:row>
    <x:row r="290">
      <x:c r="A290" s="29" t="str">
        <x:v>ЩО2.2</x:v>
      </x:c>
      <x:c r="B290" s="29" t="str">
        <x:v>Кабельный канал</x:v>
      </x:c>
      <x:c r="C290" s="29" t="str">
        <x:v>КОНТРОЛЬ</x:v>
      </x:c>
      <x:c r="D290" s="30" t="str">
        <x:v>Кабельный канал; сечение и длина КОНТРОЛЬ</x:v>
      </x:c>
      <x:c r="E290" s="31" t="n">
        <x:v>0</x:v>
      </x:c>
      <x:c r="F290" s="31" t="n">
        <x:v>0</x:v>
      </x:c>
      <x:c r="G290" s="31" t="str">
        <x:f>IF(OR(F290="",H290=""),"",F290*H290)</x:f>
      </x:c>
      <x:c r="H290" s="31"/>
      <x:c r="I290" s="29" t="str">
        <x:v>м</x:v>
      </x:c>
      <x:c r="J290" s="29" t="str">
        <x:v>EKT / Onka</x:v>
      </x:c>
      <x:c r="K290" s="30" t="str">
        <x:v>Определить по монтажной раскладке и заполнению канала.</x:v>
      </x:c>
    </x:row>
    <x:row r="291">
      <x:c r="A291" s="29" t="str">
        <x:v>ЩО2.2</x:v>
      </x:c>
      <x:c r="B291" s="29" t="str">
        <x:v>Шина</x:v>
      </x:c>
      <x:c r="C291" s="29" t="str">
        <x:v>КОНТРОЛЬ</x:v>
      </x:c>
      <x:c r="D291" s="30" t="str">
        <x:v>Шины N/PE и фазные перемычки; сечение/длина КОНТРОЛЬ</x:v>
      </x:c>
      <x:c r="E291" s="31" t="n">
        <x:v>0</x:v>
      </x:c>
      <x:c r="F291" s="31" t="n">
        <x:v>0</x:v>
      </x:c>
      <x:c r="G291" s="31" t="str">
        <x:f>IF(OR(F291="",H291=""),"",F291*H291)</x:f>
      </x:c>
      <x:c r="H291" s="31"/>
      <x:c r="I291" s="29" t="str">
        <x:v>компл.</x:v>
      </x:c>
      <x:c r="J291" s="29" t="str">
        <x:v>TEKLED</x:v>
      </x:c>
      <x:c r="K291" s="30" t="str">
        <x:v>Рассчитать по току, КЗ, материалу и фактической компоновке.</x:v>
      </x:c>
    </x:row>
    <x:row r="292">
      <x:c r="A292" s="8" t="str">
        <x:v>ЩО2.2</x:v>
      </x:c>
      <x:c r="B292" s="8" t="str">
        <x:v>Монтажный материал</x:v>
      </x:c>
      <x:c r="C292" s="8" t="str"/>
      <x:c r="D292" s="9" t="str">
        <x:v>Монтажный материал</x:v>
      </x:c>
      <x:c r="E292" s="10" t="n">
        <x:v>0</x:v>
      </x:c>
      <x:c r="F292" s="10" t="n">
        <x:v>0</x:v>
      </x:c>
      <x:c r="G292" s="10" t="str">
        <x:f>IF(OR(F292="",H292=""),"",F292*H292)</x:f>
      </x:c>
      <x:c r="H292" s="10" t="n">
        <x:v>1</x:v>
      </x:c>
      <x:c r="I292" s="8" t="str">
        <x:v>компл.</x:v>
      </x:c>
      <x:c r="J292" s="8" t="str">
        <x:v>TEKLED</x:v>
      </x:c>
      <x:c r="K292" s="9" t="str">
        <x:v>Количество 1 компл.; состав и цена заполняются после монтажной раскладки.</x:v>
      </x:c>
    </x:row>
    <x:row r="293">
      <x:c r="A293" s="8" t="str">
        <x:v>ЩО2.2</x:v>
      </x:c>
      <x:c r="B293" s="8" t="str">
        <x:v>Монтажные работы</x:v>
      </x:c>
      <x:c r="C293" s="8" t="str"/>
      <x:c r="D293" s="9" t="str">
        <x:v>Монтажные работы</x:v>
      </x:c>
      <x:c r="E293" s="10"/>
      <x:c r="F293" s="10" t="n">
        <x:v>100</x:v>
      </x:c>
      <x:c r="G293" s="10" t="n">
        <x:f>IF(OR(F293="",H293=""),"",F293*H293)</x:f>
        <x:v>100</x:v>
      </x:c>
      <x:c r="H293" s="10" t="n">
        <x:v>1</x:v>
      </x:c>
      <x:c r="I293" s="8" t="str">
        <x:v>компл.</x:v>
      </x:c>
      <x:c r="J293" s="8" t="str">
        <x:v>TEKLED</x:v>
      </x:c>
      <x:c r="K293" s="9" t="str">
        <x:v>Количество 1 компл.; стоимость заполняется после нормирования.</x:v>
      </x:c>
    </x:row>
    <x:row r="294">
      <x:c r="A294" s="26" t="str">
        <x:v>ЩО2.2</x:v>
      </x:c>
      <x:c r="B294" s="26" t="str">
        <x:v>ИТОГО</x:v>
      </x:c>
      <x:c r="C294" s="26" t="str"/>
      <x:c r="D294" s="27" t="str">
        <x:v>ИТОГО ЩО2.2</x:v>
      </x:c>
      <x:c r="E294" s="28" t="n">
        <x:v>0</x:v>
      </x:c>
      <x:c r="F294" s="28" t="n">
        <x:v>0</x:v>
      </x:c>
      <x:c r="G294" s="28" t="n">
        <x:f>SUM(G285:G293)</x:f>
        <x:v>10001.8</x:v>
      </x:c>
      <x:c r="H294" s="28"/>
      <x:c r="I294" s="26" t="str"/>
      <x:c r="J294" s="26" t="str"/>
      <x:c r="K294" s="27" t="str">
        <x:v>Сумма позиций строк 285-293.</x:v>
      </x:c>
    </x:row>
    <x:row r="295">
      <x:c r="A295" s="17" t="str">
        <x:v>ЩАО2.2</x:v>
      </x:c>
      <x:c r="B295" s="17" t="str">
        <x:v>Панель</x:v>
      </x:c>
      <x:c r="C295" s="17" t="str"/>
      <x:c r="D295" s="18" t="str">
        <x:v>ЩАО2.2</x:v>
      </x:c>
      <x:c r="E295" s="19" t="n">
        <x:v>0</x:v>
      </x:c>
      <x:c r="F295" s="19" t="n">
        <x:v>0</x:v>
      </x:c>
      <x:c r="G295" s="19"/>
      <x:c r="H295" s="19" t="n">
        <x:v>1</x:v>
      </x:c>
      <x:c r="I295" s="17" t="str">
        <x:v>компл.</x:v>
      </x:c>
      <x:c r="J295" s="17" t="str">
        <x:v>TEKSAN</x:v>
      </x:c>
      <x:c r="K295" s="18" t="str">
        <x:v>Наименование по проекту; внутренние позиции для 1 панели.</x:v>
      </x:c>
    </x:row>
    <x:row r="296">
      <x:c r="A296" s="8" t="str">
        <x:v>ЩАО2.2</x:v>
      </x:c>
      <x:c r="B296" s="8" t="str">
        <x:v>Корпус</x:v>
      </x:c>
      <x:c r="C296" s="8" t="str">
        <x:v>714-15055</x:v>
      </x:c>
      <x:c r="D296" s="9" t="str">
        <x:v>Мет. Корпус ЩРН-12 (265x310x120) IP54  (TS)</x:v>
      </x:c>
      <x:c r="E296" s="10" t="n">
        <x:v>7650</x:v>
      </x:c>
      <x:c r="F296" s="10" t="n">
        <x:v>4590</x:v>
      </x:c>
      <x:c r="G296" s="10" t="n">
        <x:f>IF(OR(F296="",H296=""),"",F296*H296)</x:f>
        <x:v>4590</x:v>
      </x:c>
      <x:c r="H296" s="10" t="n">
        <x:v>1</x:v>
      </x:c>
      <x:c r="I296" s="8" t="str">
        <x:v> ШТ. </x:v>
      </x:c>
      <x:c r="J296" s="8" t="str">
        <x:v>teksan f</x:v>
      </x:c>
      <x:c r="K296" s="9" t="str">
        <x:v>PDF лист 18</x:v>
      </x:c>
    </x:row>
    <x:row r="297">
      <x:c r="A297" s="8" t="str">
        <x:v>ЩАО2.2</x:v>
      </x:c>
      <x:c r="B297" s="8" t="str">
        <x:v>Выключатель нагрузки</x:v>
      </x:c>
      <x:c r="C297" s="8" t="str">
        <x:v>193180</x:v>
      </x:c>
      <x:c r="D297" s="9" t="str">
        <x:v>Выключатель нагрузки NXHB-125 3P 20A (R)</x:v>
      </x:c>
      <x:c r="E297" s="10" t="n">
        <x:v>3372</x:v>
      </x:c>
      <x:c r="F297" s="10" t="n">
        <x:v>2023.1999999999998</x:v>
      </x:c>
      <x:c r="G297" s="10" t="n">
        <x:f>IF(OR(F297="",H297=""),"",F297*H297)</x:f>
        <x:v>2023.1999999999998</x:v>
      </x:c>
      <x:c r="H297" s="10" t="n">
        <x:v>1</x:v>
      </x:c>
      <x:c r="I297" s="8" t="str">
        <x:v> ШТ. </x:v>
      </x:c>
      <x:c r="J297" s="8" t="str">
        <x:v>chint</x:v>
      </x:c>
      <x:c r="K297" s="9" t="str">
        <x:v>PDF лист 18</x:v>
      </x:c>
    </x:row>
    <x:row r="298">
      <x:c r="A298" s="8" t="str">
        <x:v>ЩАО2.2</x:v>
      </x:c>
      <x:c r="B298" s="8" t="str">
        <x:v>ОТО</x:v>
      </x:c>
      <x:c r="C298" s="8" t="str">
        <x:v>296710</x:v>
      </x:c>
      <x:c r="D298" s="9" t="str">
        <x:v>Авт. выкл. NXB-63S 1P 16А 4.5kA х-ка C (R)</x:v>
      </x:c>
      <x:c r="E298" s="10" t="n">
        <x:v>783</x:v>
      </x:c>
      <x:c r="F298" s="10" t="n">
        <x:v>469.79999999999995</x:v>
      </x:c>
      <x:c r="G298" s="10" t="n">
        <x:f>IF(OR(F298="",H298=""),"",F298*H298)</x:f>
        <x:v>1409.3999999999999</x:v>
      </x:c>
      <x:c r="H298" s="10" t="n">
        <x:v>3</x:v>
      </x:c>
      <x:c r="I298" s="8" t="str">
        <x:v> ШТ. </x:v>
      </x:c>
      <x:c r="J298" s="8" t="str">
        <x:v>chint</x:v>
      </x:c>
      <x:c r="K298" s="9" t="str">
        <x:v>PDF лист 18</x:v>
      </x:c>
    </x:row>
    <x:row r="299">
      <x:c r="A299" s="29" t="str">
        <x:v>ЩАО2.2</x:v>
      </x:c>
      <x:c r="B299" s="29" t="str">
        <x:v>Клеммник</x:v>
      </x:c>
      <x:c r="C299" s="29" t="str">
        <x:v>КОНТРОЛЬ</x:v>
      </x:c>
      <x:c r="D299" s="30" t="str">
        <x:v>Клеммники силовые/PE/N по фактическим отходящим линиям; тип и количество КОНТРОЛЬ</x:v>
      </x:c>
      <x:c r="E299" s="31" t="n">
        <x:v>0</x:v>
      </x:c>
      <x:c r="F299" s="31" t="n">
        <x:v>0</x:v>
      </x:c>
      <x:c r="G299" s="31" t="str">
        <x:f>IF(OR(F299="",H299=""),"",F299*H299)</x:f>
      </x:c>
      <x:c r="H299" s="31"/>
      <x:c r="I299" s="29" t="str">
        <x:v>компл.</x:v>
      </x:c>
      <x:c r="J299" s="29" t="str">
        <x:v>EKT / Klemsan</x:v>
      </x:c>
      <x:c r="K299" s="30" t="str">
        <x:v>Проект не содержит клеммной раскладки — не заполнять предположением.</x:v>
      </x:c>
    </x:row>
    <x:row r="300">
      <x:c r="A300" s="29" t="str">
        <x:v>ЩАО2.2</x:v>
      </x:c>
      <x:c r="B300" s="29" t="str">
        <x:v>DIN рейка</x:v>
      </x:c>
      <x:c r="C300" s="29" t="str">
        <x:v>КОНТРОЛЬ</x:v>
      </x:c>
      <x:c r="D300" s="30" t="str">
        <x:v>DIN рейка 35 мм; длина КОНТРОЛЬ</x:v>
      </x:c>
      <x:c r="E300" s="31" t="n">
        <x:v>0</x:v>
      </x:c>
      <x:c r="F300" s="31" t="n">
        <x:v>0</x:v>
      </x:c>
      <x:c r="G300" s="31" t="str">
        <x:f>IF(OR(F300="",H300=""),"",F300*H300)</x:f>
      </x:c>
      <x:c r="H300" s="31"/>
      <x:c r="I300" s="29" t="str">
        <x:v>м</x:v>
      </x:c>
      <x:c r="J300" s="29" t="str">
        <x:v>EKT</x:v>
      </x:c>
      <x:c r="K300" s="30" t="str">
        <x:v>Определить по монтажной раскладке и 20% резерву.</x:v>
      </x:c>
    </x:row>
    <x:row r="301">
      <x:c r="A301" s="29" t="str">
        <x:v>ЩАО2.2</x:v>
      </x:c>
      <x:c r="B301" s="29" t="str">
        <x:v>Кабельный канал</x:v>
      </x:c>
      <x:c r="C301" s="29" t="str">
        <x:v>КОНТРОЛЬ</x:v>
      </x:c>
      <x:c r="D301" s="30" t="str">
        <x:v>Кабельный канал; сечение и длина КОНТРОЛЬ</x:v>
      </x:c>
      <x:c r="E301" s="31" t="n">
        <x:v>0</x:v>
      </x:c>
      <x:c r="F301" s="31" t="n">
        <x:v>0</x:v>
      </x:c>
      <x:c r="G301" s="31" t="str">
        <x:f>IF(OR(F301="",H301=""),"",F301*H301)</x:f>
      </x:c>
      <x:c r="H301" s="31"/>
      <x:c r="I301" s="29" t="str">
        <x:v>м</x:v>
      </x:c>
      <x:c r="J301" s="29" t="str">
        <x:v>EKT / Onka</x:v>
      </x:c>
      <x:c r="K301" s="30" t="str">
        <x:v>Определить по монтажной раскладке и заполнению канала.</x:v>
      </x:c>
    </x:row>
    <x:row r="302">
      <x:c r="A302" s="29" t="str">
        <x:v>ЩАО2.2</x:v>
      </x:c>
      <x:c r="B302" s="29" t="str">
        <x:v>Шина</x:v>
      </x:c>
      <x:c r="C302" s="29" t="str">
        <x:v>КОНТРОЛЬ</x:v>
      </x:c>
      <x:c r="D302" s="30" t="str">
        <x:v>Шины N/PE и фазные перемычки; сечение/длина КОНТРОЛЬ</x:v>
      </x:c>
      <x:c r="E302" s="31" t="n">
        <x:v>0</x:v>
      </x:c>
      <x:c r="F302" s="31" t="n">
        <x:v>0</x:v>
      </x:c>
      <x:c r="G302" s="31" t="str">
        <x:f>IF(OR(F302="",H302=""),"",F302*H302)</x:f>
      </x:c>
      <x:c r="H302" s="31"/>
      <x:c r="I302" s="29" t="str">
        <x:v>компл.</x:v>
      </x:c>
      <x:c r="J302" s="29" t="str">
        <x:v>TEKLED</x:v>
      </x:c>
      <x:c r="K302" s="30" t="str">
        <x:v>Рассчитать по току, КЗ, материалу и фактической компоновке.</x:v>
      </x:c>
    </x:row>
    <x:row r="303">
      <x:c r="A303" s="8" t="str">
        <x:v>ЩАО2.2</x:v>
      </x:c>
      <x:c r="B303" s="8" t="str">
        <x:v>Монтажный материал</x:v>
      </x:c>
      <x:c r="C303" s="8" t="str"/>
      <x:c r="D303" s="9" t="str">
        <x:v>Монтажный материал</x:v>
      </x:c>
      <x:c r="E303" s="10" t="n">
        <x:v>0</x:v>
      </x:c>
      <x:c r="F303" s="10" t="n">
        <x:v>0</x:v>
      </x:c>
      <x:c r="G303" s="10" t="str">
        <x:f>IF(OR(F303="",H303=""),"",F303*H303)</x:f>
      </x:c>
      <x:c r="H303" s="10" t="n">
        <x:v>1</x:v>
      </x:c>
      <x:c r="I303" s="8" t="str">
        <x:v>компл.</x:v>
      </x:c>
      <x:c r="J303" s="8" t="str">
        <x:v>TEKLED</x:v>
      </x:c>
      <x:c r="K303" s="9" t="str">
        <x:v>Количество 1 компл.; состав и цена заполняются после монтажной раскладки.</x:v>
      </x:c>
    </x:row>
    <x:row r="304">
      <x:c r="A304" s="8" t="str">
        <x:v>ЩАО2.2</x:v>
      </x:c>
      <x:c r="B304" s="8" t="str">
        <x:v>Монтажные работы</x:v>
      </x:c>
      <x:c r="C304" s="8" t="str"/>
      <x:c r="D304" s="9" t="str">
        <x:v>Монтажные работы</x:v>
      </x:c>
      <x:c r="E304" s="10"/>
      <x:c r="F304" s="10" t="n">
        <x:v>100</x:v>
      </x:c>
      <x:c r="G304" s="10" t="n">
        <x:f>IF(OR(F304="",H304=""),"",F304*H304)</x:f>
        <x:v>100</x:v>
      </x:c>
      <x:c r="H304" s="10" t="n">
        <x:v>1</x:v>
      </x:c>
      <x:c r="I304" s="8" t="str">
        <x:v>компл.</x:v>
      </x:c>
      <x:c r="J304" s="8" t="str">
        <x:v>TEKLED</x:v>
      </x:c>
      <x:c r="K304" s="9" t="str">
        <x:v>Количество 1 компл.; стоимость заполняется после нормирования.</x:v>
      </x:c>
    </x:row>
    <x:row r="305">
      <x:c r="A305" s="26" t="str">
        <x:v>ЩАО2.2</x:v>
      </x:c>
      <x:c r="B305" s="26" t="str">
        <x:v>ИТОГО</x:v>
      </x:c>
      <x:c r="C305" s="26" t="str"/>
      <x:c r="D305" s="27" t="str">
        <x:v>ИТОГО ЩАО2.2</x:v>
      </x:c>
      <x:c r="E305" s="28" t="n">
        <x:v>0</x:v>
      </x:c>
      <x:c r="F305" s="28" t="n">
        <x:v>0</x:v>
      </x:c>
      <x:c r="G305" s="28" t="n">
        <x:f>SUM(G296:G304)</x:f>
        <x:v>8122.599999999999</x:v>
      </x:c>
      <x:c r="H305" s="28"/>
      <x:c r="I305" s="26" t="str"/>
      <x:c r="J305" s="26" t="str"/>
      <x:c r="K305" s="27" t="str">
        <x:v>Сумма позиций строк 296-304.</x:v>
      </x:c>
    </x:row>
    <x:row r="306">
      <x:c r="A306" s="17" t="str">
        <x:v>ЩО3.2</x:v>
      </x:c>
      <x:c r="B306" s="17" t="str">
        <x:v>Панель</x:v>
      </x:c>
      <x:c r="C306" s="17" t="str"/>
      <x:c r="D306" s="18" t="str">
        <x:v>ЩО3.2</x:v>
      </x:c>
      <x:c r="E306" s="19" t="n">
        <x:v>0</x:v>
      </x:c>
      <x:c r="F306" s="19" t="n">
        <x:v>0</x:v>
      </x:c>
      <x:c r="G306" s="19"/>
      <x:c r="H306" s="19" t="n">
        <x:v>1</x:v>
      </x:c>
      <x:c r="I306" s="17" t="str">
        <x:v>компл.</x:v>
      </x:c>
      <x:c r="J306" s="17" t="str">
        <x:v>TEKSAN</x:v>
      </x:c>
      <x:c r="K306" s="18" t="str">
        <x:v>Наименование по проекту; внутренние позиции для 1 панели.</x:v>
      </x:c>
    </x:row>
    <x:row r="307">
      <x:c r="A307" s="8" t="str">
        <x:v>ЩО3.2</x:v>
      </x:c>
      <x:c r="B307" s="8" t="str">
        <x:v>Корпус</x:v>
      </x:c>
      <x:c r="C307" s="8" t="str">
        <x:v>714-15055</x:v>
      </x:c>
      <x:c r="D307" s="9" t="str">
        <x:v>Мет. Корпус ЩРН-12 (265x310x120) IP54  (TS)</x:v>
      </x:c>
      <x:c r="E307" s="10" t="n">
        <x:v>7650</x:v>
      </x:c>
      <x:c r="F307" s="10" t="n">
        <x:v>4590</x:v>
      </x:c>
      <x:c r="G307" s="10" t="n">
        <x:f>IF(OR(F307="",H307=""),"",F307*H307)</x:f>
        <x:v>4590</x:v>
      </x:c>
      <x:c r="H307" s="10" t="n">
        <x:v>1</x:v>
      </x:c>
      <x:c r="I307" s="8" t="str">
        <x:v> ШТ. </x:v>
      </x:c>
      <x:c r="J307" s="8" t="str">
        <x:v>teksan f</x:v>
      </x:c>
      <x:c r="K307" s="9" t="str">
        <x:v>PDF лист 19</x:v>
      </x:c>
    </x:row>
    <x:row r="308">
      <x:c r="A308" s="8" t="str">
        <x:v>ЩО3.2</x:v>
      </x:c>
      <x:c r="B308" s="8" t="str">
        <x:v>Выключатель нагрузки</x:v>
      </x:c>
      <x:c r="C308" s="8" t="str">
        <x:v>193180</x:v>
      </x:c>
      <x:c r="D308" s="9" t="str">
        <x:v>Выключатель нагрузки NXHB-125 3P 20A (R)</x:v>
      </x:c>
      <x:c r="E308" s="10" t="n">
        <x:v>3372</x:v>
      </x:c>
      <x:c r="F308" s="10" t="n">
        <x:v>2023.1999999999998</x:v>
      </x:c>
      <x:c r="G308" s="10" t="n">
        <x:f>IF(OR(F308="",H308=""),"",F308*H308)</x:f>
        <x:v>2023.1999999999998</x:v>
      </x:c>
      <x:c r="H308" s="10" t="n">
        <x:v>1</x:v>
      </x:c>
      <x:c r="I308" s="8" t="str">
        <x:v> ШТ. </x:v>
      </x:c>
      <x:c r="J308" s="8" t="str">
        <x:v>chint</x:v>
      </x:c>
      <x:c r="K308" s="9" t="str">
        <x:v>PDF лист 19</x:v>
      </x:c>
    </x:row>
    <x:row r="309">
      <x:c r="A309" s="8" t="str">
        <x:v>ЩО3.2</x:v>
      </x:c>
      <x:c r="B309" s="8" t="str">
        <x:v>ОТО</x:v>
      </x:c>
      <x:c r="C309" s="8" t="str">
        <x:v>296710</x:v>
      </x:c>
      <x:c r="D309" s="9" t="str">
        <x:v>Авт. выкл. NXB-63S 1P 16А 4.5kA х-ка C (R)</x:v>
      </x:c>
      <x:c r="E309" s="10" t="n">
        <x:v>783</x:v>
      </x:c>
      <x:c r="F309" s="10" t="n">
        <x:v>469.79999999999995</x:v>
      </x:c>
      <x:c r="G309" s="10" t="n">
        <x:f>IF(OR(F309="",H309=""),"",F309*H309)</x:f>
        <x:v>1879.1999999999998</x:v>
      </x:c>
      <x:c r="H309" s="10" t="n">
        <x:v>4</x:v>
      </x:c>
      <x:c r="I309" s="8" t="str">
        <x:v> ШТ. </x:v>
      </x:c>
      <x:c r="J309" s="8" t="str">
        <x:v>chint</x:v>
      </x:c>
      <x:c r="K309" s="9" t="str">
        <x:v>PDF лист 19</x:v>
      </x:c>
    </x:row>
    <x:row r="310">
      <x:c r="A310" s="29" t="str">
        <x:v>ЩО3.2</x:v>
      </x:c>
      <x:c r="B310" s="29" t="str">
        <x:v>Клеммник</x:v>
      </x:c>
      <x:c r="C310" s="29" t="str">
        <x:v>КОНТРОЛЬ</x:v>
      </x:c>
      <x:c r="D310" s="30" t="str">
        <x:v>Клеммники силовые/PE/N по фактическим отходящим линиям; тип и количество КОНТРОЛЬ</x:v>
      </x:c>
      <x:c r="E310" s="31" t="n">
        <x:v>0</x:v>
      </x:c>
      <x:c r="F310" s="31" t="n">
        <x:v>0</x:v>
      </x:c>
      <x:c r="G310" s="31" t="str">
        <x:f>IF(OR(F310="",H310=""),"",F310*H310)</x:f>
      </x:c>
      <x:c r="H310" s="31"/>
      <x:c r="I310" s="29" t="str">
        <x:v>компл.</x:v>
      </x:c>
      <x:c r="J310" s="29" t="str">
        <x:v>EKT / Klemsan</x:v>
      </x:c>
      <x:c r="K310" s="30" t="str">
        <x:v>Проект не содержит клеммной раскладки — не заполнять предположением.</x:v>
      </x:c>
    </x:row>
    <x:row r="311">
      <x:c r="A311" s="29" t="str">
        <x:v>ЩО3.2</x:v>
      </x:c>
      <x:c r="B311" s="29" t="str">
        <x:v>DIN рейка</x:v>
      </x:c>
      <x:c r="C311" s="29" t="str">
        <x:v>КОНТРОЛЬ</x:v>
      </x:c>
      <x:c r="D311" s="30" t="str">
        <x:v>DIN рейка 35 мм; длина КОНТРОЛЬ</x:v>
      </x:c>
      <x:c r="E311" s="31" t="n">
        <x:v>0</x:v>
      </x:c>
      <x:c r="F311" s="31" t="n">
        <x:v>0</x:v>
      </x:c>
      <x:c r="G311" s="31" t="str">
        <x:f>IF(OR(F311="",H311=""),"",F311*H311)</x:f>
      </x:c>
      <x:c r="H311" s="31"/>
      <x:c r="I311" s="29" t="str">
        <x:v>м</x:v>
      </x:c>
      <x:c r="J311" s="29" t="str">
        <x:v>EKT</x:v>
      </x:c>
      <x:c r="K311" s="30" t="str">
        <x:v>Определить по монтажной раскладке и 20% резерву.</x:v>
      </x:c>
    </x:row>
    <x:row r="312">
      <x:c r="A312" s="29" t="str">
        <x:v>ЩО3.2</x:v>
      </x:c>
      <x:c r="B312" s="29" t="str">
        <x:v>Кабельный канал</x:v>
      </x:c>
      <x:c r="C312" s="29" t="str">
        <x:v>КОНТРОЛЬ</x:v>
      </x:c>
      <x:c r="D312" s="30" t="str">
        <x:v>Кабельный канал; сечение и длина КОНТРОЛЬ</x:v>
      </x:c>
      <x:c r="E312" s="31" t="n">
        <x:v>0</x:v>
      </x:c>
      <x:c r="F312" s="31" t="n">
        <x:v>0</x:v>
      </x:c>
      <x:c r="G312" s="31" t="str">
        <x:f>IF(OR(F312="",H312=""),"",F312*H312)</x:f>
      </x:c>
      <x:c r="H312" s="31"/>
      <x:c r="I312" s="29" t="str">
        <x:v>м</x:v>
      </x:c>
      <x:c r="J312" s="29" t="str">
        <x:v>EKT / Onka</x:v>
      </x:c>
      <x:c r="K312" s="30" t="str">
        <x:v>Определить по монтажной раскладке и заполнению канала.</x:v>
      </x:c>
    </x:row>
    <x:row r="313">
      <x:c r="A313" s="29" t="str">
        <x:v>ЩО3.2</x:v>
      </x:c>
      <x:c r="B313" s="29" t="str">
        <x:v>Шина</x:v>
      </x:c>
      <x:c r="C313" s="29" t="str">
        <x:v>КОНТРОЛЬ</x:v>
      </x:c>
      <x:c r="D313" s="30" t="str">
        <x:v>Шины N/PE и фазные перемычки; сечение/длина КОНТРОЛЬ</x:v>
      </x:c>
      <x:c r="E313" s="31" t="n">
        <x:v>0</x:v>
      </x:c>
      <x:c r="F313" s="31" t="n">
        <x:v>0</x:v>
      </x:c>
      <x:c r="G313" s="31" t="str">
        <x:f>IF(OR(F313="",H313=""),"",F313*H313)</x:f>
      </x:c>
      <x:c r="H313" s="31"/>
      <x:c r="I313" s="29" t="str">
        <x:v>компл.</x:v>
      </x:c>
      <x:c r="J313" s="29" t="str">
        <x:v>TEKLED</x:v>
      </x:c>
      <x:c r="K313" s="30" t="str">
        <x:v>Рассчитать по току, КЗ, материалу и фактической компоновке.</x:v>
      </x:c>
    </x:row>
    <x:row r="314">
      <x:c r="A314" s="8" t="str">
        <x:v>ЩО3.2</x:v>
      </x:c>
      <x:c r="B314" s="8" t="str">
        <x:v>Монтажный материал</x:v>
      </x:c>
      <x:c r="C314" s="8" t="str"/>
      <x:c r="D314" s="9" t="str">
        <x:v>Монтажный материал</x:v>
      </x:c>
      <x:c r="E314" s="10" t="n">
        <x:v>0</x:v>
      </x:c>
      <x:c r="F314" s="10" t="n">
        <x:v>0</x:v>
      </x:c>
      <x:c r="G314" s="10" t="str">
        <x:f>IF(OR(F314="",H314=""),"",F314*H314)</x:f>
      </x:c>
      <x:c r="H314" s="10" t="n">
        <x:v>1</x:v>
      </x:c>
      <x:c r="I314" s="8" t="str">
        <x:v>компл.</x:v>
      </x:c>
      <x:c r="J314" s="8" t="str">
        <x:v>TEKLED</x:v>
      </x:c>
      <x:c r="K314" s="9" t="str">
        <x:v>Количество 1 компл.; состав и цена заполняются после монтажной раскладки.</x:v>
      </x:c>
    </x:row>
    <x:row r="315">
      <x:c r="A315" s="8" t="str">
        <x:v>ЩО3.2</x:v>
      </x:c>
      <x:c r="B315" s="8" t="str">
        <x:v>Монтажные работы</x:v>
      </x:c>
      <x:c r="C315" s="8" t="str"/>
      <x:c r="D315" s="9" t="str">
        <x:v>Монтажные работы</x:v>
      </x:c>
      <x:c r="E315" s="10"/>
      <x:c r="F315" s="10" t="n">
        <x:v>100</x:v>
      </x:c>
      <x:c r="G315" s="10" t="n">
        <x:f>IF(OR(F315="",H315=""),"",F315*H315)</x:f>
        <x:v>100</x:v>
      </x:c>
      <x:c r="H315" s="10" t="n">
        <x:v>1</x:v>
      </x:c>
      <x:c r="I315" s="8" t="str">
        <x:v>компл.</x:v>
      </x:c>
      <x:c r="J315" s="8" t="str">
        <x:v>TEKLED</x:v>
      </x:c>
      <x:c r="K315" s="9" t="str">
        <x:v>Количество 1 компл.; стоимость заполняется после нормирования.</x:v>
      </x:c>
    </x:row>
    <x:row r="316">
      <x:c r="A316" s="26" t="str">
        <x:v>ЩО3.2</x:v>
      </x:c>
      <x:c r="B316" s="26" t="str">
        <x:v>ИТОГО</x:v>
      </x:c>
      <x:c r="C316" s="26" t="str"/>
      <x:c r="D316" s="27" t="str">
        <x:v>ИТОГО ЩО3.2</x:v>
      </x:c>
      <x:c r="E316" s="28" t="n">
        <x:v>0</x:v>
      </x:c>
      <x:c r="F316" s="28" t="n">
        <x:v>0</x:v>
      </x:c>
      <x:c r="G316" s="28" t="n">
        <x:f>SUM(G307:G315)</x:f>
        <x:v>8592.4</x:v>
      </x:c>
      <x:c r="H316" s="28"/>
      <x:c r="I316" s="26" t="str"/>
      <x:c r="J316" s="26" t="str"/>
      <x:c r="K316" s="27" t="str">
        <x:v>Сумма позиций строк 307-315.</x:v>
      </x:c>
    </x:row>
    <x:row r="317">
      <x:c r="A317" s="17" t="str">
        <x:v>ЩАО3.2</x:v>
      </x:c>
      <x:c r="B317" s="17" t="str">
        <x:v>Панель</x:v>
      </x:c>
      <x:c r="C317" s="17" t="str"/>
      <x:c r="D317" s="18" t="str">
        <x:v>ЩАО3.2</x:v>
      </x:c>
      <x:c r="E317" s="19" t="n">
        <x:v>0</x:v>
      </x:c>
      <x:c r="F317" s="19" t="n">
        <x:v>0</x:v>
      </x:c>
      <x:c r="G317" s="19"/>
      <x:c r="H317" s="19" t="n">
        <x:v>1</x:v>
      </x:c>
      <x:c r="I317" s="17" t="str">
        <x:v>компл.</x:v>
      </x:c>
      <x:c r="J317" s="17" t="str">
        <x:v>TEKSAN</x:v>
      </x:c>
      <x:c r="K317" s="18" t="str">
        <x:v>Наименование по проекту; внутренние позиции для 1 панели.</x:v>
      </x:c>
    </x:row>
    <x:row r="318">
      <x:c r="A318" s="8" t="str">
        <x:v>ЩАО3.2</x:v>
      </x:c>
      <x:c r="B318" s="8" t="str">
        <x:v>Корпус</x:v>
      </x:c>
      <x:c r="C318" s="8" t="str">
        <x:v>714-15055</x:v>
      </x:c>
      <x:c r="D318" s="9" t="str">
        <x:v>Мет. Корпус ЩРН-12 (265x310x120) IP54  (TS)</x:v>
      </x:c>
      <x:c r="E318" s="10" t="n">
        <x:v>7650</x:v>
      </x:c>
      <x:c r="F318" s="10" t="n">
        <x:v>4590</x:v>
      </x:c>
      <x:c r="G318" s="10" t="n">
        <x:f>IF(OR(F318="",H318=""),"",F318*H318)</x:f>
        <x:v>4590</x:v>
      </x:c>
      <x:c r="H318" s="10" t="n">
        <x:v>1</x:v>
      </x:c>
      <x:c r="I318" s="8" t="str">
        <x:v> ШТ. </x:v>
      </x:c>
      <x:c r="J318" s="8" t="str">
        <x:v>teksan f</x:v>
      </x:c>
      <x:c r="K318" s="9" t="str">
        <x:v>PDF лист 19</x:v>
      </x:c>
    </x:row>
    <x:row r="319">
      <x:c r="A319" s="8" t="str">
        <x:v>ЩАО3.2</x:v>
      </x:c>
      <x:c r="B319" s="8" t="str">
        <x:v>Выключатель нагрузки</x:v>
      </x:c>
      <x:c r="C319" s="8" t="str">
        <x:v>193180</x:v>
      </x:c>
      <x:c r="D319" s="9" t="str">
        <x:v>Выключатель нагрузки NXHB-125 3P 20A (R)</x:v>
      </x:c>
      <x:c r="E319" s="10" t="n">
        <x:v>3372</x:v>
      </x:c>
      <x:c r="F319" s="10" t="n">
        <x:v>2023.1999999999998</x:v>
      </x:c>
      <x:c r="G319" s="10" t="n">
        <x:f>IF(OR(F319="",H319=""),"",F319*H319)</x:f>
        <x:v>2023.1999999999998</x:v>
      </x:c>
      <x:c r="H319" s="10" t="n">
        <x:v>1</x:v>
      </x:c>
      <x:c r="I319" s="8" t="str">
        <x:v> ШТ. </x:v>
      </x:c>
      <x:c r="J319" s="8" t="str">
        <x:v>chint</x:v>
      </x:c>
      <x:c r="K319" s="9" t="str">
        <x:v>PDF лист 19</x:v>
      </x:c>
    </x:row>
    <x:row r="320">
      <x:c r="A320" s="8" t="str">
        <x:v>ЩАО3.2</x:v>
      </x:c>
      <x:c r="B320" s="8" t="str">
        <x:v>ОТО</x:v>
      </x:c>
      <x:c r="C320" s="8" t="str">
        <x:v>296710</x:v>
      </x:c>
      <x:c r="D320" s="9" t="str">
        <x:v>Авт. выкл. NXB-63S 1P 16А 4.5kA х-ка C (R)</x:v>
      </x:c>
      <x:c r="E320" s="10" t="n">
        <x:v>783</x:v>
      </x:c>
      <x:c r="F320" s="10" t="n">
        <x:v>469.79999999999995</x:v>
      </x:c>
      <x:c r="G320" s="10" t="n">
        <x:f>IF(OR(F320="",H320=""),"",F320*H320)</x:f>
        <x:v>939.5999999999999</x:v>
      </x:c>
      <x:c r="H320" s="10" t="n">
        <x:v>2</x:v>
      </x:c>
      <x:c r="I320" s="8" t="str">
        <x:v> ШТ. </x:v>
      </x:c>
      <x:c r="J320" s="8" t="str">
        <x:v>chint</x:v>
      </x:c>
      <x:c r="K320" s="9" t="str">
        <x:v>PDF лист 19</x:v>
      </x:c>
    </x:row>
    <x:row r="321">
      <x:c r="A321" s="29" t="str">
        <x:v>ЩАО3.2</x:v>
      </x:c>
      <x:c r="B321" s="29" t="str">
        <x:v>Клеммник</x:v>
      </x:c>
      <x:c r="C321" s="29" t="str">
        <x:v>КОНТРОЛЬ</x:v>
      </x:c>
      <x:c r="D321" s="30" t="str">
        <x:v>Клеммники силовые/PE/N по фактическим отходящим линиям; тип и количество КОНТРОЛЬ</x:v>
      </x:c>
      <x:c r="E321" s="31" t="n">
        <x:v>0</x:v>
      </x:c>
      <x:c r="F321" s="31" t="n">
        <x:v>0</x:v>
      </x:c>
      <x:c r="G321" s="31" t="str">
        <x:f>IF(OR(F321="",H321=""),"",F321*H321)</x:f>
      </x:c>
      <x:c r="H321" s="31"/>
      <x:c r="I321" s="29" t="str">
        <x:v>компл.</x:v>
      </x:c>
      <x:c r="J321" s="29" t="str">
        <x:v>EKT / Klemsan</x:v>
      </x:c>
      <x:c r="K321" s="30" t="str">
        <x:v>Проект не содержит клеммной раскладки — не заполнять предположением.</x:v>
      </x:c>
    </x:row>
    <x:row r="322">
      <x:c r="A322" s="29" t="str">
        <x:v>ЩАО3.2</x:v>
      </x:c>
      <x:c r="B322" s="29" t="str">
        <x:v>DIN рейка</x:v>
      </x:c>
      <x:c r="C322" s="29" t="str">
        <x:v>КОНТРОЛЬ</x:v>
      </x:c>
      <x:c r="D322" s="30" t="str">
        <x:v>DIN рейка 35 мм; длина КОНТРОЛЬ</x:v>
      </x:c>
      <x:c r="E322" s="31" t="n">
        <x:v>0</x:v>
      </x:c>
      <x:c r="F322" s="31" t="n">
        <x:v>0</x:v>
      </x:c>
      <x:c r="G322" s="31" t="str">
        <x:f>IF(OR(F322="",H322=""),"",F322*H322)</x:f>
      </x:c>
      <x:c r="H322" s="31"/>
      <x:c r="I322" s="29" t="str">
        <x:v>м</x:v>
      </x:c>
      <x:c r="J322" s="29" t="str">
        <x:v>EKT</x:v>
      </x:c>
      <x:c r="K322" s="30" t="str">
        <x:v>Определить по монтажной раскладке и 20% резерву.</x:v>
      </x:c>
    </x:row>
    <x:row r="323">
      <x:c r="A323" s="29" t="str">
        <x:v>ЩАО3.2</x:v>
      </x:c>
      <x:c r="B323" s="29" t="str">
        <x:v>Кабельный канал</x:v>
      </x:c>
      <x:c r="C323" s="29" t="str">
        <x:v>КОНТРОЛЬ</x:v>
      </x:c>
      <x:c r="D323" s="30" t="str">
        <x:v>Кабельный канал; сечение и длина КОНТРОЛЬ</x:v>
      </x:c>
      <x:c r="E323" s="31" t="n">
        <x:v>0</x:v>
      </x:c>
      <x:c r="F323" s="31" t="n">
        <x:v>0</x:v>
      </x:c>
      <x:c r="G323" s="31" t="str">
        <x:f>IF(OR(F323="",H323=""),"",F323*H323)</x:f>
      </x:c>
      <x:c r="H323" s="31"/>
      <x:c r="I323" s="29" t="str">
        <x:v>м</x:v>
      </x:c>
      <x:c r="J323" s="29" t="str">
        <x:v>EKT / Onka</x:v>
      </x:c>
      <x:c r="K323" s="30" t="str">
        <x:v>Определить по монтажной раскладке и заполнению канала.</x:v>
      </x:c>
    </x:row>
    <x:row r="324">
      <x:c r="A324" s="29" t="str">
        <x:v>ЩАО3.2</x:v>
      </x:c>
      <x:c r="B324" s="29" t="str">
        <x:v>Шина</x:v>
      </x:c>
      <x:c r="C324" s="29" t="str">
        <x:v>КОНТРОЛЬ</x:v>
      </x:c>
      <x:c r="D324" s="30" t="str">
        <x:v>Шины N/PE и фазные перемычки; сечение/длина КОНТРОЛЬ</x:v>
      </x:c>
      <x:c r="E324" s="31" t="n">
        <x:v>0</x:v>
      </x:c>
      <x:c r="F324" s="31" t="n">
        <x:v>0</x:v>
      </x:c>
      <x:c r="G324" s="31" t="str">
        <x:f>IF(OR(F324="",H324=""),"",F324*H324)</x:f>
      </x:c>
      <x:c r="H324" s="31"/>
      <x:c r="I324" s="29" t="str">
        <x:v>компл.</x:v>
      </x:c>
      <x:c r="J324" s="29" t="str">
        <x:v>TEKLED</x:v>
      </x:c>
      <x:c r="K324" s="30" t="str">
        <x:v>Рассчитать по току, КЗ, материалу и фактической компоновке.</x:v>
      </x:c>
    </x:row>
    <x:row r="325">
      <x:c r="A325" s="8" t="str">
        <x:v>ЩАО3.2</x:v>
      </x:c>
      <x:c r="B325" s="8" t="str">
        <x:v>Монтажный материал</x:v>
      </x:c>
      <x:c r="C325" s="8" t="str"/>
      <x:c r="D325" s="9" t="str">
        <x:v>Монтажный материал</x:v>
      </x:c>
      <x:c r="E325" s="10" t="n">
        <x:v>0</x:v>
      </x:c>
      <x:c r="F325" s="10" t="n">
        <x:v>0</x:v>
      </x:c>
      <x:c r="G325" s="10" t="str">
        <x:f>IF(OR(F325="",H325=""),"",F325*H325)</x:f>
      </x:c>
      <x:c r="H325" s="10" t="n">
        <x:v>1</x:v>
      </x:c>
      <x:c r="I325" s="8" t="str">
        <x:v>компл.</x:v>
      </x:c>
      <x:c r="J325" s="8" t="str">
        <x:v>TEKLED</x:v>
      </x:c>
      <x:c r="K325" s="9" t="str">
        <x:v>Количество 1 компл.; состав и цена заполняются после монтажной раскладки.</x:v>
      </x:c>
    </x:row>
    <x:row r="326">
      <x:c r="A326" s="8" t="str">
        <x:v>ЩАО3.2</x:v>
      </x:c>
      <x:c r="B326" s="8" t="str">
        <x:v>Монтажные работы</x:v>
      </x:c>
      <x:c r="C326" s="8" t="str"/>
      <x:c r="D326" s="9" t="str">
        <x:v>Монтажные работы</x:v>
      </x:c>
      <x:c r="E326" s="10"/>
      <x:c r="F326" s="10" t="n">
        <x:v>100</x:v>
      </x:c>
      <x:c r="G326" s="10" t="n">
        <x:f>IF(OR(F326="",H326=""),"",F326*H326)</x:f>
        <x:v>100</x:v>
      </x:c>
      <x:c r="H326" s="10" t="n">
        <x:v>1</x:v>
      </x:c>
      <x:c r="I326" s="8" t="str">
        <x:v>компл.</x:v>
      </x:c>
      <x:c r="J326" s="8" t="str">
        <x:v>TEKLED</x:v>
      </x:c>
      <x:c r="K326" s="9" t="str">
        <x:v>Количество 1 компл.; стоимость заполняется после нормирования.</x:v>
      </x:c>
    </x:row>
    <x:row r="327">
      <x:c r="A327" s="26" t="str">
        <x:v>ЩАО3.2</x:v>
      </x:c>
      <x:c r="B327" s="26" t="str">
        <x:v>ИТОГО</x:v>
      </x:c>
      <x:c r="C327" s="26" t="str"/>
      <x:c r="D327" s="27" t="str">
        <x:v>ИТОГО ЩАО3.2</x:v>
      </x:c>
      <x:c r="E327" s="28" t="n">
        <x:v>0</x:v>
      </x:c>
      <x:c r="F327" s="28" t="n">
        <x:v>0</x:v>
      </x:c>
      <x:c r="G327" s="28" t="n">
        <x:f>SUM(G318:G326)</x:f>
        <x:v>7652.799999999999</x:v>
      </x:c>
      <x:c r="H327" s="28"/>
      <x:c r="I327" s="26" t="str"/>
      <x:c r="J327" s="26" t="str"/>
      <x:c r="K327" s="27" t="str">
        <x:v>Сумма позиций строк 318-326.</x:v>
      </x:c>
    </x:row>
    <x:row r="328">
      <x:c r="A328" s="17" t="str">
        <x:v>ЩС-ВД2.1</x:v>
      </x:c>
      <x:c r="B328" s="17" t="str">
        <x:v>Панель</x:v>
      </x:c>
      <x:c r="C328" s="17" t="str"/>
      <x:c r="D328" s="18" t="str">
        <x:v>ЩС-ВД2.1</x:v>
      </x:c>
      <x:c r="E328" s="19" t="n">
        <x:v>0</x:v>
      </x:c>
      <x:c r="F328" s="19" t="n">
        <x:v>0</x:v>
      </x:c>
      <x:c r="G328" s="19"/>
      <x:c r="H328" s="19" t="n">
        <x:v>1</x:v>
      </x:c>
      <x:c r="I328" s="17" t="str">
        <x:v>компл.</x:v>
      </x:c>
      <x:c r="J328" s="17" t="str">
        <x:v>TEKSAN</x:v>
      </x:c>
      <x:c r="K328" s="18" t="str">
        <x:v>Наименование по проекту; внутренние позиции для 1 панели.</x:v>
      </x:c>
    </x:row>
    <x:row r="329">
      <x:c r="A329" s="29" t="str">
        <x:v>ЩС-ВД2.1</x:v>
      </x:c>
      <x:c r="B329" s="29" t="str">
        <x:v>Корпус</x:v>
      </x:c>
      <x:c r="C329" s="29" t="str">
        <x:v>КОНТРОЛЬ</x:v>
      </x:c>
      <x:c r="D329" s="30" t="str">
        <x:v>Корпус по проекту ЩРВ503-1005-2УХЛ2 — габарит и внутренняя компоновка КОНТРОЛЬ</x:v>
      </x:c>
      <x:c r="E329" s="31" t="n">
        <x:v>0</x:v>
      </x:c>
      <x:c r="F329" s="31" t="n">
        <x:v>0</x:v>
      </x:c>
      <x:c r="G329" s="31" t="str">
        <x:f>IF(OR(F329="",H329=""),"",F329*H329)</x:f>
      </x:c>
      <x:c r="H329" s="31" t="n">
        <x:v>1</x:v>
      </x:c>
      <x:c r="I329" s="29" t="str">
        <x:v> ШТ. </x:v>
      </x:c>
      <x:c r="J329" s="29" t="str">
        <x:v>TEKSAN F</x:v>
      </x:c>
      <x:c r="K329" s="30" t="str">
        <x:v>PDF лист 20</x:v>
      </x:c>
    </x:row>
    <x:row r="330">
      <x:c r="A330" s="8" t="str">
        <x:v>ЩС-ВД2.1</x:v>
      </x:c>
      <x:c r="B330" s="8" t="str">
        <x:v>Рубильник</x:v>
      </x:c>
      <x:c r="C330" s="8" t="str">
        <x:v>ярп40129</x:v>
      </x:c>
      <x:c r="D330" s="9" t="str">
        <x:v>Рубильник  ВР32И-35В31250 250А IEK !!!</x:v>
      </x:c>
      <x:c r="E330" s="10"/>
      <x:c r="F330" s="10" t="n">
        <x:v>0</x:v>
      </x:c>
      <x:c r="G330" s="10" t="str">
        <x:f>IF(OR(F330="",H330=""),"",F330*H330)</x:f>
      </x:c>
      <x:c r="H330" s="10" t="n">
        <x:v>1</x:v>
      </x:c>
      <x:c r="I330" s="8" t="str">
        <x:v> ШТ. </x:v>
      </x:c>
      <x:c r="J330" s="8" t="str">
        <x:v>IEK</x:v>
      </x:c>
      <x:c r="K330" s="9" t="str">
        <x:v>По схеме: ВР32И-35В31250, 250А.</x:v>
      </x:c>
    </x:row>
    <x:row r="331">
      <x:c r="A331" s="8" t="str">
        <x:v>ЩС-ВД2.1</x:v>
      </x:c>
      <x:c r="B331" s="8" t="str">
        <x:v>ТМШ</x:v>
      </x:c>
      <x:c r="C331" s="8" t="str">
        <x:v>205883</x:v>
      </x:c>
      <x:c r="D331" s="9" t="str">
        <x:v>Авт. выкл. NXM-63S/3P 25кА 16A (R)</x:v>
      </x:c>
      <x:c r="E331" s="10" t="n">
        <x:v>17405</x:v>
      </x:c>
      <x:c r="F331" s="10" t="n">
        <x:v>10443</x:v>
      </x:c>
      <x:c r="G331" s="10" t="n">
        <x:f>IF(OR(F331="",H331=""),"",F331*H331)</x:f>
        <x:v>334176</x:v>
      </x:c>
      <x:c r="H331" s="10" t="n">
        <x:v>32</x:v>
      </x:c>
      <x:c r="I331" s="8" t="str">
        <x:v> ШТ. </x:v>
      </x:c>
      <x:c r="J331" s="8" t="str">
        <x:v>chint</x:v>
      </x:c>
      <x:c r="K331" s="9" t="str">
        <x:v>PDF листы 20-22</x:v>
      </x:c>
    </x:row>
    <x:row r="332">
      <x:c r="A332" s="29" t="str">
        <x:v>ЩС-ВД2.1</x:v>
      </x:c>
      <x:c r="B332" s="29" t="str">
        <x:v>Клеммник</x:v>
      </x:c>
      <x:c r="C332" s="29" t="str">
        <x:v>КОНТРОЛЬ</x:v>
      </x:c>
      <x:c r="D332" s="30" t="str">
        <x:v>Клеммники силовые/PE/N по фактическим отходящим линиям; тип и количество КОНТРОЛЬ</x:v>
      </x:c>
      <x:c r="E332" s="31" t="n">
        <x:v>0</x:v>
      </x:c>
      <x:c r="F332" s="31" t="n">
        <x:v>0</x:v>
      </x:c>
      <x:c r="G332" s="31" t="str">
        <x:f>IF(OR(F332="",H332=""),"",F332*H332)</x:f>
      </x:c>
      <x:c r="H332" s="31"/>
      <x:c r="I332" s="29" t="str">
        <x:v>компл.</x:v>
      </x:c>
      <x:c r="J332" s="29" t="str">
        <x:v>EKT / Klemsan</x:v>
      </x:c>
      <x:c r="K332" s="30" t="str">
        <x:v>Проект не содержит клеммной раскладки — не заполнять предположением.</x:v>
      </x:c>
    </x:row>
    <x:row r="333">
      <x:c r="A333" s="29" t="str">
        <x:v>ЩС-ВД2.1</x:v>
      </x:c>
      <x:c r="B333" s="29" t="str">
        <x:v>DIN рейка</x:v>
      </x:c>
      <x:c r="C333" s="29" t="str">
        <x:v>КОНТРОЛЬ</x:v>
      </x:c>
      <x:c r="D333" s="30" t="str">
        <x:v>DIN рейка 35 мм; длина КОНТРОЛЬ</x:v>
      </x:c>
      <x:c r="E333" s="31" t="n">
        <x:v>0</x:v>
      </x:c>
      <x:c r="F333" s="31" t="n">
        <x:v>0</x:v>
      </x:c>
      <x:c r="G333" s="31" t="str">
        <x:f>IF(OR(F333="",H333=""),"",F333*H333)</x:f>
      </x:c>
      <x:c r="H333" s="31"/>
      <x:c r="I333" s="29" t="str">
        <x:v>м</x:v>
      </x:c>
      <x:c r="J333" s="29" t="str">
        <x:v>EKT</x:v>
      </x:c>
      <x:c r="K333" s="30" t="str">
        <x:v>Определить по монтажной раскладке и 20% резерву.</x:v>
      </x:c>
    </x:row>
    <x:row r="334">
      <x:c r="A334" s="29" t="str">
        <x:v>ЩС-ВД2.1</x:v>
      </x:c>
      <x:c r="B334" s="29" t="str">
        <x:v>Кабельный канал</x:v>
      </x:c>
      <x:c r="C334" s="29" t="str">
        <x:v>КОНТРОЛЬ</x:v>
      </x:c>
      <x:c r="D334" s="30" t="str">
        <x:v>Кабельный канал; сечение и длина КОНТРОЛЬ</x:v>
      </x:c>
      <x:c r="E334" s="31" t="n">
        <x:v>0</x:v>
      </x:c>
      <x:c r="F334" s="31" t="n">
        <x:v>0</x:v>
      </x:c>
      <x:c r="G334" s="31" t="str">
        <x:f>IF(OR(F334="",H334=""),"",F334*H334)</x:f>
      </x:c>
      <x:c r="H334" s="31"/>
      <x:c r="I334" s="29" t="str">
        <x:v>м</x:v>
      </x:c>
      <x:c r="J334" s="29" t="str">
        <x:v>EKT / Onka</x:v>
      </x:c>
      <x:c r="K334" s="30" t="str">
        <x:v>Определить по монтажной раскладке и заполнению канала.</x:v>
      </x:c>
    </x:row>
    <x:row r="335">
      <x:c r="A335" s="29" t="str">
        <x:v>ЩС-ВД2.1</x:v>
      </x:c>
      <x:c r="B335" s="29" t="str">
        <x:v>Шина</x:v>
      </x:c>
      <x:c r="C335" s="29" t="str">
        <x:v>КОНТРОЛЬ</x:v>
      </x:c>
      <x:c r="D335" s="30" t="str">
        <x:v>Шины N/PE и фазные перемычки; сечение/длина КОНТРОЛЬ</x:v>
      </x:c>
      <x:c r="E335" s="31" t="n">
        <x:v>0</x:v>
      </x:c>
      <x:c r="F335" s="31" t="n">
        <x:v>0</x:v>
      </x:c>
      <x:c r="G335" s="31" t="str">
        <x:f>IF(OR(F335="",H335=""),"",F335*H335)</x:f>
      </x:c>
      <x:c r="H335" s="31"/>
      <x:c r="I335" s="29" t="str">
        <x:v>компл.</x:v>
      </x:c>
      <x:c r="J335" s="29" t="str">
        <x:v>TEKLED</x:v>
      </x:c>
      <x:c r="K335" s="30" t="str">
        <x:v>Рассчитать по току, КЗ, материалу и фактической компоновке.</x:v>
      </x:c>
    </x:row>
    <x:row r="336">
      <x:c r="A336" s="8" t="str">
        <x:v>ЩС-ВД2.1</x:v>
      </x:c>
      <x:c r="B336" s="8" t="str">
        <x:v>Монтажный материал</x:v>
      </x:c>
      <x:c r="C336" s="8" t="str"/>
      <x:c r="D336" s="9" t="str">
        <x:v>Монтажный материал</x:v>
      </x:c>
      <x:c r="E336" s="10" t="n">
        <x:v>0</x:v>
      </x:c>
      <x:c r="F336" s="10" t="n">
        <x:v>0</x:v>
      </x:c>
      <x:c r="G336" s="10" t="str">
        <x:f>IF(OR(F336="",H336=""),"",F336*H336)</x:f>
      </x:c>
      <x:c r="H336" s="10" t="n">
        <x:v>1</x:v>
      </x:c>
      <x:c r="I336" s="8" t="str">
        <x:v>компл.</x:v>
      </x:c>
      <x:c r="J336" s="8" t="str">
        <x:v>TEKLED</x:v>
      </x:c>
      <x:c r="K336" s="9" t="str">
        <x:v>Количество 1 компл.; состав и цена заполняются после монтажной раскладки.</x:v>
      </x:c>
    </x:row>
    <x:row r="337">
      <x:c r="A337" s="8" t="str">
        <x:v>ЩС-ВД2.1</x:v>
      </x:c>
      <x:c r="B337" s="8" t="str">
        <x:v>Монтажные работы</x:v>
      </x:c>
      <x:c r="C337" s="8" t="str"/>
      <x:c r="D337" s="9" t="str">
        <x:v>Монтажные работы</x:v>
      </x:c>
      <x:c r="E337" s="10"/>
      <x:c r="F337" s="10" t="n">
        <x:v>100</x:v>
      </x:c>
      <x:c r="G337" s="10" t="n">
        <x:f>IF(OR(F337="",H337=""),"",F337*H337)</x:f>
        <x:v>100</x:v>
      </x:c>
      <x:c r="H337" s="10" t="n">
        <x:v>1</x:v>
      </x:c>
      <x:c r="I337" s="8" t="str">
        <x:v>компл.</x:v>
      </x:c>
      <x:c r="J337" s="8" t="str">
        <x:v>TEKLED</x:v>
      </x:c>
      <x:c r="K337" s="9" t="str">
        <x:v>Количество 1 компл.; стоимость заполняется после нормирования.</x:v>
      </x:c>
    </x:row>
    <x:row r="338">
      <x:c r="A338" s="26" t="str">
        <x:v>ЩС-ВД2.1</x:v>
      </x:c>
      <x:c r="B338" s="26" t="str">
        <x:v>ИТОГО</x:v>
      </x:c>
      <x:c r="C338" s="26" t="str"/>
      <x:c r="D338" s="27" t="str">
        <x:v>ИТОГО ЩС-ВД2.1</x:v>
      </x:c>
      <x:c r="E338" s="28" t="n">
        <x:v>0</x:v>
      </x:c>
      <x:c r="F338" s="28" t="n">
        <x:v>0</x:v>
      </x:c>
      <x:c r="G338" s="28" t="n">
        <x:f>SUM(G329:G337)</x:f>
        <x:v>334276</x:v>
      </x:c>
      <x:c r="H338" s="28"/>
      <x:c r="I338" s="26" t="str"/>
      <x:c r="J338" s="26" t="str"/>
      <x:c r="K338" s="27" t="str">
        <x:v>Сумма позиций строк 329-337.</x:v>
      </x:c>
    </x:row>
    <x:row r="339">
      <x:c r="A339" s="17" t="str">
        <x:v>ЩС-ВД2.2</x:v>
      </x:c>
      <x:c r="B339" s="17" t="str">
        <x:v>Панель</x:v>
      </x:c>
      <x:c r="C339" s="17" t="str"/>
      <x:c r="D339" s="18" t="str">
        <x:v>ЩС-ВД2.2</x:v>
      </x:c>
      <x:c r="E339" s="19" t="n">
        <x:v>0</x:v>
      </x:c>
      <x:c r="F339" s="19" t="n">
        <x:v>0</x:v>
      </x:c>
      <x:c r="G339" s="19"/>
      <x:c r="H339" s="19" t="n">
        <x:v>1</x:v>
      </x:c>
      <x:c r="I339" s="17" t="str">
        <x:v>компл.</x:v>
      </x:c>
      <x:c r="J339" s="17" t="str">
        <x:v>TEKSAN</x:v>
      </x:c>
      <x:c r="K339" s="18" t="str">
        <x:v>Наименование по проекту; внутренние позиции для 1 панели.</x:v>
      </x:c>
    </x:row>
    <x:row r="340">
      <x:c r="A340" s="29" t="str">
        <x:v>ЩС-ВД2.2</x:v>
      </x:c>
      <x:c r="B340" s="29" t="str">
        <x:v>Корпус</x:v>
      </x:c>
      <x:c r="C340" s="29" t="str">
        <x:v>КОНТРОЛЬ</x:v>
      </x:c>
      <x:c r="D340" s="30" t="str">
        <x:v>Корпус по проекту ЩРВ503-1005-2УХЛ2 — габарит и внутренняя компоновка КОНТРОЛЬ</x:v>
      </x:c>
      <x:c r="E340" s="31" t="n">
        <x:v>0</x:v>
      </x:c>
      <x:c r="F340" s="31" t="n">
        <x:v>0</x:v>
      </x:c>
      <x:c r="G340" s="31" t="str">
        <x:f>IF(OR(F340="",H340=""),"",F340*H340)</x:f>
      </x:c>
      <x:c r="H340" s="31" t="n">
        <x:v>1</x:v>
      </x:c>
      <x:c r="I340" s="29" t="str">
        <x:v> ШТ. </x:v>
      </x:c>
      <x:c r="J340" s="29" t="str">
        <x:v>TEKSAN F</x:v>
      </x:c>
      <x:c r="K340" s="30" t="str">
        <x:v>PDF лист 23</x:v>
      </x:c>
    </x:row>
    <x:row r="341">
      <x:c r="A341" s="8" t="str">
        <x:v>ЩС-ВД2.2</x:v>
      </x:c>
      <x:c r="B341" s="8" t="str">
        <x:v>Рубильник</x:v>
      </x:c>
      <x:c r="C341" s="8" t="str">
        <x:v>ярп40129</x:v>
      </x:c>
      <x:c r="D341" s="9" t="str">
        <x:v>Рубильник  ВР32И-35В31250 250А IEK !!!</x:v>
      </x:c>
      <x:c r="E341" s="10"/>
      <x:c r="F341" s="10" t="n">
        <x:v>0</x:v>
      </x:c>
      <x:c r="G341" s="10" t="str">
        <x:f>IF(OR(F341="",H341=""),"",F341*H341)</x:f>
      </x:c>
      <x:c r="H341" s="10" t="n">
        <x:v>1</x:v>
      </x:c>
      <x:c r="I341" s="8" t="str">
        <x:v> ШТ. </x:v>
      </x:c>
      <x:c r="J341" s="8" t="str">
        <x:v>IEK</x:v>
      </x:c>
      <x:c r="K341" s="9" t="str">
        <x:v>По схеме: ВР32И-35В31250, 250А.</x:v>
      </x:c>
    </x:row>
    <x:row r="342">
      <x:c r="A342" s="29" t="str">
        <x:v>ЩС-ВД2.2</x:v>
      </x:c>
      <x:c r="B342" s="29" t="str">
        <x:v>Клеммник</x:v>
      </x:c>
      <x:c r="C342" s="29" t="str">
        <x:v>КОНТРОЛЬ</x:v>
      </x:c>
      <x:c r="D342" s="30" t="str">
        <x:v>Клеммники силовые/PE/N по фактическим отходящим линиям; тип и количество КОНТРОЛЬ</x:v>
      </x:c>
      <x:c r="E342" s="31" t="n">
        <x:v>0</x:v>
      </x:c>
      <x:c r="F342" s="31" t="n">
        <x:v>0</x:v>
      </x:c>
      <x:c r="G342" s="31" t="str">
        <x:f>IF(OR(F342="",H342=""),"",F342*H342)</x:f>
      </x:c>
      <x:c r="H342" s="31"/>
      <x:c r="I342" s="29" t="str">
        <x:v>компл.</x:v>
      </x:c>
      <x:c r="J342" s="29" t="str">
        <x:v>EKT / Klemsan</x:v>
      </x:c>
      <x:c r="K342" s="30" t="str">
        <x:v>Проект не содержит клеммной раскладки — не заполнять предположением.</x:v>
      </x:c>
    </x:row>
    <x:row r="343">
      <x:c r="A343" s="29" t="str">
        <x:v>ЩС-ВД2.2</x:v>
      </x:c>
      <x:c r="B343" s="29" t="str">
        <x:v>DIN рейка</x:v>
      </x:c>
      <x:c r="C343" s="29" t="str">
        <x:v>КОНТРОЛЬ</x:v>
      </x:c>
      <x:c r="D343" s="30" t="str">
        <x:v>DIN рейка 35 мм; длина КОНТРОЛЬ</x:v>
      </x:c>
      <x:c r="E343" s="31" t="n">
        <x:v>0</x:v>
      </x:c>
      <x:c r="F343" s="31" t="n">
        <x:v>0</x:v>
      </x:c>
      <x:c r="G343" s="31" t="str">
        <x:f>IF(OR(F343="",H343=""),"",F343*H343)</x:f>
      </x:c>
      <x:c r="H343" s="31"/>
      <x:c r="I343" s="29" t="str">
        <x:v>м</x:v>
      </x:c>
      <x:c r="J343" s="29" t="str">
        <x:v>EKT</x:v>
      </x:c>
      <x:c r="K343" s="30" t="str">
        <x:v>Определить по монтажной раскладке и 20% резерву.</x:v>
      </x:c>
    </x:row>
    <x:row r="344">
      <x:c r="A344" s="29" t="str">
        <x:v>ЩС-ВД2.2</x:v>
      </x:c>
      <x:c r="B344" s="29" t="str">
        <x:v>Кабельный канал</x:v>
      </x:c>
      <x:c r="C344" s="29" t="str">
        <x:v>КОНТРОЛЬ</x:v>
      </x:c>
      <x:c r="D344" s="30" t="str">
        <x:v>Кабельный канал; сечение и длина КОНТРОЛЬ</x:v>
      </x:c>
      <x:c r="E344" s="31" t="n">
        <x:v>0</x:v>
      </x:c>
      <x:c r="F344" s="31" t="n">
        <x:v>0</x:v>
      </x:c>
      <x:c r="G344" s="31" t="str">
        <x:f>IF(OR(F344="",H344=""),"",F344*H344)</x:f>
      </x:c>
      <x:c r="H344" s="31"/>
      <x:c r="I344" s="29" t="str">
        <x:v>м</x:v>
      </x:c>
      <x:c r="J344" s="29" t="str">
        <x:v>EKT / Onka</x:v>
      </x:c>
      <x:c r="K344" s="30" t="str">
        <x:v>Определить по монтажной раскладке и заполнению канала.</x:v>
      </x:c>
    </x:row>
    <x:row r="345">
      <x:c r="A345" s="29" t="str">
        <x:v>ЩС-ВД2.2</x:v>
      </x:c>
      <x:c r="B345" s="29" t="str">
        <x:v>Шина</x:v>
      </x:c>
      <x:c r="C345" s="29" t="str">
        <x:v>КОНТРОЛЬ</x:v>
      </x:c>
      <x:c r="D345" s="30" t="str">
        <x:v>Шины N/PE и фазные перемычки; сечение/длина КОНТРОЛЬ</x:v>
      </x:c>
      <x:c r="E345" s="31" t="n">
        <x:v>0</x:v>
      </x:c>
      <x:c r="F345" s="31" t="n">
        <x:v>0</x:v>
      </x:c>
      <x:c r="G345" s="31" t="str">
        <x:f>IF(OR(F345="",H345=""),"",F345*H345)</x:f>
      </x:c>
      <x:c r="H345" s="31"/>
      <x:c r="I345" s="29" t="str">
        <x:v>компл.</x:v>
      </x:c>
      <x:c r="J345" s="29" t="str">
        <x:v>TEKLED</x:v>
      </x:c>
      <x:c r="K345" s="30" t="str">
        <x:v>Рассчитать по току, КЗ, материалу и фактической компоновке.</x:v>
      </x:c>
    </x:row>
    <x:row r="346">
      <x:c r="A346" s="8" t="str">
        <x:v>ЩС-ВД2.2</x:v>
      </x:c>
      <x:c r="B346" s="8" t="str">
        <x:v>Монтажный материал</x:v>
      </x:c>
      <x:c r="C346" s="8" t="str"/>
      <x:c r="D346" s="9" t="str">
        <x:v>Монтажный материал</x:v>
      </x:c>
      <x:c r="E346" s="10" t="n">
        <x:v>0</x:v>
      </x:c>
      <x:c r="F346" s="10" t="n">
        <x:v>0</x:v>
      </x:c>
      <x:c r="G346" s="10" t="str">
        <x:f>IF(OR(F346="",H346=""),"",F346*H346)</x:f>
      </x:c>
      <x:c r="H346" s="10" t="n">
        <x:v>1</x:v>
      </x:c>
      <x:c r="I346" s="8" t="str">
        <x:v>компл.</x:v>
      </x:c>
      <x:c r="J346" s="8" t="str">
        <x:v>TEKLED</x:v>
      </x:c>
      <x:c r="K346" s="9" t="str">
        <x:v>Количество 1 компл.; состав и цена заполняются после монтажной раскладки.</x:v>
      </x:c>
    </x:row>
    <x:row r="347">
      <x:c r="A347" s="8" t="str">
        <x:v>ЩС-ВД2.2</x:v>
      </x:c>
      <x:c r="B347" s="8" t="str">
        <x:v>Монтажные работы</x:v>
      </x:c>
      <x:c r="C347" s="8" t="str"/>
      <x:c r="D347" s="9" t="str">
        <x:v>Монтажные работы</x:v>
      </x:c>
      <x:c r="E347" s="10"/>
      <x:c r="F347" s="10" t="n">
        <x:v>100</x:v>
      </x:c>
      <x:c r="G347" s="10" t="n">
        <x:f>IF(OR(F347="",H347=""),"",F347*H347)</x:f>
        <x:v>100</x:v>
      </x:c>
      <x:c r="H347" s="10" t="n">
        <x:v>1</x:v>
      </x:c>
      <x:c r="I347" s="8" t="str">
        <x:v>компл.</x:v>
      </x:c>
      <x:c r="J347" s="8" t="str">
        <x:v>TEKLED</x:v>
      </x:c>
      <x:c r="K347" s="9" t="str">
        <x:v>Количество 1 компл.; стоимость заполняется после нормирования.</x:v>
      </x:c>
    </x:row>
    <x:row r="348">
      <x:c r="A348" s="26" t="str">
        <x:v>ЩС-ВД2.2</x:v>
      </x:c>
      <x:c r="B348" s="26" t="str">
        <x:v>ИТОГО</x:v>
      </x:c>
      <x:c r="C348" s="26" t="str"/>
      <x:c r="D348" s="27" t="str">
        <x:v>ИТОГО ЩС-ВД2.2</x:v>
      </x:c>
      <x:c r="E348" s="28" t="n">
        <x:v>0</x:v>
      </x:c>
      <x:c r="F348" s="28" t="n">
        <x:v>0</x:v>
      </x:c>
      <x:c r="G348" s="28" t="n">
        <x:f>SUM(G340:G347)</x:f>
        <x:v>100</x:v>
      </x:c>
      <x:c r="H348" s="28"/>
      <x:c r="I348" s="26" t="str"/>
      <x:c r="J348" s="26" t="str"/>
      <x:c r="K348" s="27" t="str">
        <x:v>Сумма позиций строк 340-347.</x:v>
      </x:c>
    </x:row>
    <x:row r="349">
      <x:c r="A349" s="17" t="str">
        <x:v>ЩС-В2.1</x:v>
      </x:c>
      <x:c r="B349" s="17" t="str">
        <x:v>Панель</x:v>
      </x:c>
      <x:c r="C349" s="17" t="str"/>
      <x:c r="D349" s="18" t="str">
        <x:v>ЩС-В2.1</x:v>
      </x:c>
      <x:c r="E349" s="19" t="n">
        <x:v>0</x:v>
      </x:c>
      <x:c r="F349" s="19" t="n">
        <x:v>0</x:v>
      </x:c>
      <x:c r="G349" s="19"/>
      <x:c r="H349" s="19" t="n">
        <x:v>1</x:v>
      </x:c>
      <x:c r="I349" s="17" t="str">
        <x:v>компл.</x:v>
      </x:c>
      <x:c r="J349" s="17" t="str">
        <x:v>TEKSAN</x:v>
      </x:c>
      <x:c r="K349" s="18" t="str">
        <x:v>Наименование по проекту; внутренние позиции для 1 панели.</x:v>
      </x:c>
    </x:row>
    <x:row r="350">
      <x:c r="A350" s="8" t="str">
        <x:v>ЩС-В2.1</x:v>
      </x:c>
      <x:c r="B350" s="8" t="str">
        <x:v>Корпус</x:v>
      </x:c>
      <x:c r="C350" s="8" t="str">
        <x:v>714-15010</x:v>
      </x:c>
      <x:c r="D350" s="9" t="str">
        <x:v>Pano met.ShRn-24 b/o (398х312х120)S/U 36 IP31 (TS)</x:v>
      </x:c>
      <x:c r="E350" s="10" t="n">
        <x:v>13410</x:v>
      </x:c>
      <x:c r="F350" s="10" t="n">
        <x:v>8046</x:v>
      </x:c>
      <x:c r="G350" s="10" t="n">
        <x:f>IF(OR(F350="",H350=""),"",F350*H350)</x:f>
        <x:v>8046</x:v>
      </x:c>
      <x:c r="H350" s="10" t="n">
        <x:v>1</x:v>
      </x:c>
      <x:c r="I350" s="8" t="str">
        <x:v> ШТ. </x:v>
      </x:c>
      <x:c r="J350" s="8" t="str">
        <x:v>teksan f</x:v>
      </x:c>
      <x:c r="K350" s="9" t="str">
        <x:v>PDF лист 26</x:v>
      </x:c>
    </x:row>
    <x:row r="351">
      <x:c r="A351" s="8" t="str">
        <x:v>ЩС-В2.1</x:v>
      </x:c>
      <x:c r="B351" s="8" t="str">
        <x:v>ТМШ</x:v>
      </x:c>
      <x:c r="C351" s="8" t="str">
        <x:v>131363</x:v>
      </x:c>
      <x:c r="D351" s="9" t="str">
        <x:v>Авт. выкл. NXM-125S/3Р 125A 25кА (R)</x:v>
      </x:c>
      <x:c r="E351" s="10" t="n">
        <x:v>19760</x:v>
      </x:c>
      <x:c r="F351" s="10" t="n">
        <x:v>11856</x:v>
      </x:c>
      <x:c r="G351" s="10" t="n">
        <x:f>IF(OR(F351="",H351=""),"",F351*H351)</x:f>
        <x:v>11856</x:v>
      </x:c>
      <x:c r="H351" s="10" t="n">
        <x:v>1</x:v>
      </x:c>
      <x:c r="I351" s="8" t="str">
        <x:v> ШТ. </x:v>
      </x:c>
      <x:c r="J351" s="8" t="str">
        <x:v>chint</x:v>
      </x:c>
      <x:c r="K351" s="9" t="str">
        <x:v>PDF лист 26</x:v>
      </x:c>
    </x:row>
    <x:row r="352">
      <x:c r="A352" s="8" t="str">
        <x:v>ЩС-В2.1</x:v>
      </x:c>
      <x:c r="B352" s="8" t="str">
        <x:v>Расцепитель</x:v>
      </x:c>
      <x:c r="C352" s="8" t="str">
        <x:v>946996</x:v>
      </x:c>
      <x:c r="D352" s="9" t="str">
        <x:v>Независимый расцепитель SHT-M1 A1 L для NXM-125(63)/NXMLE-125 AC230V (левый) (R)</x:v>
      </x:c>
      <x:c r="E352" s="10" t="n">
        <x:v>6054</x:v>
      </x:c>
      <x:c r="F352" s="10" t="n">
        <x:v>3632.4</x:v>
      </x:c>
      <x:c r="G352" s="10" t="n">
        <x:f>IF(OR(F352="",H352=""),"",F352*H352)</x:f>
        <x:v>3632.4</x:v>
      </x:c>
      <x:c r="H352" s="10" t="n">
        <x:v>1</x:v>
      </x:c>
      <x:c r="I352" s="8" t="str">
        <x:v> ШТ. </x:v>
      </x:c>
      <x:c r="J352" s="8" t="str">
        <x:v>chint</x:v>
      </x:c>
      <x:c r="K352" s="9" t="str">
        <x:v>PDF лист 26</x:v>
      </x:c>
    </x:row>
    <x:row r="353">
      <x:c r="A353" s="8" t="str">
        <x:v>ЩС-В2.1</x:v>
      </x:c>
      <x:c r="B353" s="8" t="str">
        <x:v>ОТО</x:v>
      </x:c>
      <x:c r="C353" s="8" t="str">
        <x:v>296830</x:v>
      </x:c>
      <x:c r="D353" s="9" t="str">
        <x:v>Авт. выкл. NXB-63S 3P 32А 4.5kA х-ка C (R)</x:v>
      </x:c>
      <x:c r="E353" s="10" t="n">
        <x:v>2606</x:v>
      </x:c>
      <x:c r="F353" s="10" t="n">
        <x:v>1563.6</x:v>
      </x:c>
      <x:c r="G353" s="10" t="n">
        <x:f>IF(OR(F353="",H353=""),"",F353*H353)</x:f>
        <x:v>3127.2</x:v>
      </x:c>
      <x:c r="H353" s="10" t="n">
        <x:v>2</x:v>
      </x:c>
      <x:c r="I353" s="8" t="str">
        <x:v> ШТ. </x:v>
      </x:c>
      <x:c r="J353" s="8" t="str">
        <x:v>chint</x:v>
      </x:c>
      <x:c r="K353" s="9" t="str">
        <x:v>PDF лист 26</x:v>
      </x:c>
    </x:row>
    <x:row r="354">
      <x:c r="A354" s="8" t="str">
        <x:v>ЩС-В2.1</x:v>
      </x:c>
      <x:c r="B354" s="8" t="str">
        <x:v>ОТО</x:v>
      </x:c>
      <x:c r="C354" s="8" t="str">
        <x:v>296831</x:v>
      </x:c>
      <x:c r="D354" s="9" t="str">
        <x:v>Авт. выкл. NXB-63S 3P 40А 4.5kA х-ка C (R)</x:v>
      </x:c>
      <x:c r="E354" s="10" t="n">
        <x:v>2807</x:v>
      </x:c>
      <x:c r="F354" s="10" t="n">
        <x:v>1684.2</x:v>
      </x:c>
      <x:c r="G354" s="10" t="n">
        <x:f>IF(OR(F354="",H354=""),"",F354*H354)</x:f>
        <x:v>5052.6</x:v>
      </x:c>
      <x:c r="H354" s="10" t="n">
        <x:v>3</x:v>
      </x:c>
      <x:c r="I354" s="8" t="str">
        <x:v> ШТ. </x:v>
      </x:c>
      <x:c r="J354" s="8" t="str">
        <x:v>chint</x:v>
      </x:c>
      <x:c r="K354" s="9" t="str">
        <x:v>PDF лист 26</x:v>
      </x:c>
    </x:row>
    <x:row r="355">
      <x:c r="A355" s="29" t="str">
        <x:v>ЩС-В2.1</x:v>
      </x:c>
      <x:c r="B355" s="29" t="str">
        <x:v>Клеммник</x:v>
      </x:c>
      <x:c r="C355" s="29" t="str">
        <x:v>КОНТРОЛЬ</x:v>
      </x:c>
      <x:c r="D355" s="30" t="str">
        <x:v>Клеммники силовые/PE/N по фактическим отходящим линиям; тип и количество КОНТРОЛЬ</x:v>
      </x:c>
      <x:c r="E355" s="31" t="n">
        <x:v>0</x:v>
      </x:c>
      <x:c r="F355" s="31" t="n">
        <x:v>0</x:v>
      </x:c>
      <x:c r="G355" s="31" t="str">
        <x:f>IF(OR(F355="",H355=""),"",F355*H355)</x:f>
      </x:c>
      <x:c r="H355" s="31"/>
      <x:c r="I355" s="29" t="str">
        <x:v>компл.</x:v>
      </x:c>
      <x:c r="J355" s="29" t="str">
        <x:v>EKT / Klemsan</x:v>
      </x:c>
      <x:c r="K355" s="30" t="str">
        <x:v>Проект не содержит клеммной раскладки — не заполнять предположением.</x:v>
      </x:c>
    </x:row>
    <x:row r="356">
      <x:c r="A356" s="29" t="str">
        <x:v>ЩС-В2.1</x:v>
      </x:c>
      <x:c r="B356" s="29" t="str">
        <x:v>DIN рейка</x:v>
      </x:c>
      <x:c r="C356" s="29" t="str">
        <x:v>КОНТРОЛЬ</x:v>
      </x:c>
      <x:c r="D356" s="30" t="str">
        <x:v>DIN рейка 35 мм; длина КОНТРОЛЬ</x:v>
      </x:c>
      <x:c r="E356" s="31" t="n">
        <x:v>0</x:v>
      </x:c>
      <x:c r="F356" s="31" t="n">
        <x:v>0</x:v>
      </x:c>
      <x:c r="G356" s="31" t="str">
        <x:f>IF(OR(F356="",H356=""),"",F356*H356)</x:f>
      </x:c>
      <x:c r="H356" s="31"/>
      <x:c r="I356" s="29" t="str">
        <x:v>м</x:v>
      </x:c>
      <x:c r="J356" s="29" t="str">
        <x:v>EKT</x:v>
      </x:c>
      <x:c r="K356" s="30" t="str">
        <x:v>Определить по монтажной раскладке и 20% резерву.</x:v>
      </x:c>
    </x:row>
    <x:row r="357">
      <x:c r="A357" s="29" t="str">
        <x:v>ЩС-В2.1</x:v>
      </x:c>
      <x:c r="B357" s="29" t="str">
        <x:v>Кабельный канал</x:v>
      </x:c>
      <x:c r="C357" s="29" t="str">
        <x:v>КОНТРОЛЬ</x:v>
      </x:c>
      <x:c r="D357" s="30" t="str">
        <x:v>Кабельный канал; сечение и длина КОНТРОЛЬ</x:v>
      </x:c>
      <x:c r="E357" s="31" t="n">
        <x:v>0</x:v>
      </x:c>
      <x:c r="F357" s="31" t="n">
        <x:v>0</x:v>
      </x:c>
      <x:c r="G357" s="31" t="str">
        <x:f>IF(OR(F357="",H357=""),"",F357*H357)</x:f>
      </x:c>
      <x:c r="H357" s="31"/>
      <x:c r="I357" s="29" t="str">
        <x:v>м</x:v>
      </x:c>
      <x:c r="J357" s="29" t="str">
        <x:v>EKT / Onka</x:v>
      </x:c>
      <x:c r="K357" s="30" t="str">
        <x:v>Определить по монтажной раскладке и заполнению канала.</x:v>
      </x:c>
    </x:row>
    <x:row r="358">
      <x:c r="A358" s="29" t="str">
        <x:v>ЩС-В2.1</x:v>
      </x:c>
      <x:c r="B358" s="29" t="str">
        <x:v>Шина</x:v>
      </x:c>
      <x:c r="C358" s="29" t="str">
        <x:v>КОНТРОЛЬ</x:v>
      </x:c>
      <x:c r="D358" s="30" t="str">
        <x:v>Шины N/PE и фазные перемычки; сечение/длина КОНТРОЛЬ</x:v>
      </x:c>
      <x:c r="E358" s="31" t="n">
        <x:v>0</x:v>
      </x:c>
      <x:c r="F358" s="31" t="n">
        <x:v>0</x:v>
      </x:c>
      <x:c r="G358" s="31" t="str">
        <x:f>IF(OR(F358="",H358=""),"",F358*H358)</x:f>
      </x:c>
      <x:c r="H358" s="31"/>
      <x:c r="I358" s="29" t="str">
        <x:v>компл.</x:v>
      </x:c>
      <x:c r="J358" s="29" t="str">
        <x:v>TEKLED</x:v>
      </x:c>
      <x:c r="K358" s="30" t="str">
        <x:v>Рассчитать по току, КЗ, материалу и фактической компоновке.</x:v>
      </x:c>
    </x:row>
    <x:row r="359">
      <x:c r="A359" s="8" t="str">
        <x:v>ЩС-В2.1</x:v>
      </x:c>
      <x:c r="B359" s="8" t="str">
        <x:v>Монтажный материал</x:v>
      </x:c>
      <x:c r="C359" s="8" t="str"/>
      <x:c r="D359" s="9" t="str">
        <x:v>Монтажный материал</x:v>
      </x:c>
      <x:c r="E359" s="10" t="n">
        <x:v>0</x:v>
      </x:c>
      <x:c r="F359" s="10" t="n">
        <x:v>0</x:v>
      </x:c>
      <x:c r="G359" s="10" t="str">
        <x:f>IF(OR(F359="",H359=""),"",F359*H359)</x:f>
      </x:c>
      <x:c r="H359" s="10" t="n">
        <x:v>1</x:v>
      </x:c>
      <x:c r="I359" s="8" t="str">
        <x:v>компл.</x:v>
      </x:c>
      <x:c r="J359" s="8" t="str">
        <x:v>TEKLED</x:v>
      </x:c>
      <x:c r="K359" s="9" t="str">
        <x:v>Количество 1 компл.; состав и цена заполняются после монтажной раскладки.</x:v>
      </x:c>
    </x:row>
    <x:row r="360">
      <x:c r="A360" s="8" t="str">
        <x:v>ЩС-В2.1</x:v>
      </x:c>
      <x:c r="B360" s="8" t="str">
        <x:v>Монтажные работы</x:v>
      </x:c>
      <x:c r="C360" s="8" t="str"/>
      <x:c r="D360" s="9" t="str">
        <x:v>Монтажные работы</x:v>
      </x:c>
      <x:c r="E360" s="10"/>
      <x:c r="F360" s="10" t="n">
        <x:v>100</x:v>
      </x:c>
      <x:c r="G360" s="10" t="n">
        <x:f>IF(OR(F360="",H360=""),"",F360*H360)</x:f>
        <x:v>100</x:v>
      </x:c>
      <x:c r="H360" s="10" t="n">
        <x:v>1</x:v>
      </x:c>
      <x:c r="I360" s="8" t="str">
        <x:v>компл.</x:v>
      </x:c>
      <x:c r="J360" s="8" t="str">
        <x:v>TEKLED</x:v>
      </x:c>
      <x:c r="K360" s="9" t="str">
        <x:v>Количество 1 компл.; стоимость заполняется после нормирования.</x:v>
      </x:c>
    </x:row>
    <x:row r="361">
      <x:c r="A361" s="26" t="str">
        <x:v>ЩС-В2.1</x:v>
      </x:c>
      <x:c r="B361" s="26" t="str">
        <x:v>ИТОГО</x:v>
      </x:c>
      <x:c r="C361" s="26" t="str"/>
      <x:c r="D361" s="27" t="str">
        <x:v>ИТОГО ЩС-В2.1</x:v>
      </x:c>
      <x:c r="E361" s="28" t="n">
        <x:v>0</x:v>
      </x:c>
      <x:c r="F361" s="28" t="n">
        <x:v>0</x:v>
      </x:c>
      <x:c r="G361" s="28" t="n">
        <x:f>SUM(G350:G360)</x:f>
        <x:v>31814.200000000004</x:v>
      </x:c>
      <x:c r="H361" s="28"/>
      <x:c r="I361" s="26" t="str"/>
      <x:c r="J361" s="26" t="str"/>
      <x:c r="K361" s="27" t="str">
        <x:v>Сумма позиций строк 350-360.</x:v>
      </x:c>
    </x:row>
    <x:row r="362">
      <x:c r="A362" s="17" t="str">
        <x:v>ЩС-П</x:v>
      </x:c>
      <x:c r="B362" s="17" t="str">
        <x:v>Панель</x:v>
      </x:c>
      <x:c r="C362" s="17" t="str"/>
      <x:c r="D362" s="18" t="str">
        <x:v>ЩС-П</x:v>
      </x:c>
      <x:c r="E362" s="19" t="n">
        <x:v>0</x:v>
      </x:c>
      <x:c r="F362" s="19" t="n">
        <x:v>0</x:v>
      </x:c>
      <x:c r="G362" s="19"/>
      <x:c r="H362" s="19" t="n">
        <x:v>1</x:v>
      </x:c>
      <x:c r="I362" s="17" t="str">
        <x:v>компл.</x:v>
      </x:c>
      <x:c r="J362" s="17" t="str">
        <x:v>TEKSAN</x:v>
      </x:c>
      <x:c r="K362" s="18" t="str">
        <x:v>Наименование по проекту; внутренние позиции для 1 панели.</x:v>
      </x:c>
    </x:row>
    <x:row r="363">
      <x:c r="A363" s="8" t="str">
        <x:v>ЩС-П</x:v>
      </x:c>
      <x:c r="B363" s="8" t="str">
        <x:v>Корпус</x:v>
      </x:c>
      <x:c r="C363" s="8" t="str">
        <x:v>714-15015</x:v>
      </x:c>
      <x:c r="D363" s="9" t="str">
        <x:v>Pano met.ShRn-36 b/o (312х540х120)S/U 36 IP31 (TS)</x:v>
      </x:c>
      <x:c r="E363" s="10" t="n">
        <x:v>15140</x:v>
      </x:c>
      <x:c r="F363" s="10" t="n">
        <x:v>9084</x:v>
      </x:c>
      <x:c r="G363" s="10" t="n">
        <x:f>IF(OR(F363="",H363=""),"",F363*H363)</x:f>
        <x:v>9084</x:v>
      </x:c>
      <x:c r="H363" s="10" t="n">
        <x:v>1</x:v>
      </x:c>
      <x:c r="I363" s="8" t="str">
        <x:v> ШТ. </x:v>
      </x:c>
      <x:c r="J363" s="8" t="str">
        <x:v>teksan f</x:v>
      </x:c>
      <x:c r="K363" s="9" t="str">
        <x:v>PDF листы 27-28</x:v>
      </x:c>
    </x:row>
    <x:row r="364">
      <x:c r="A364" s="8" t="str">
        <x:v>ЩС-П</x:v>
      </x:c>
      <x:c r="B364" s="8" t="str">
        <x:v>Выключатель нагрузки</x:v>
      </x:c>
      <x:c r="C364" s="8" t="str">
        <x:v>193184</x:v>
      </x:c>
      <x:c r="D364" s="9" t="str">
        <x:v>Выключатель нагрузки NXHB-125 3P 80A (R)</x:v>
      </x:c>
      <x:c r="E364" s="10" t="n">
        <x:v>4439</x:v>
      </x:c>
      <x:c r="F364" s="10" t="n">
        <x:v>2663.4</x:v>
      </x:c>
      <x:c r="G364" s="10" t="n">
        <x:f>IF(OR(F364="",H364=""),"",F364*H364)</x:f>
        <x:v>2663.4</x:v>
      </x:c>
      <x:c r="H364" s="10" t="n">
        <x:v>1</x:v>
      </x:c>
      <x:c r="I364" s="8" t="str">
        <x:v> ШТ. </x:v>
      </x:c>
      <x:c r="J364" s="8" t="str">
        <x:v>chint</x:v>
      </x:c>
      <x:c r="K364" s="9" t="str">
        <x:v>PDF листы 27-28</x:v>
      </x:c>
    </x:row>
    <x:row r="365">
      <x:c r="A365" s="8" t="str">
        <x:v>ЩС-П</x:v>
      </x:c>
      <x:c r="B365" s="8" t="str">
        <x:v>Выключатель нагрузки</x:v>
      </x:c>
      <x:c r="C365" s="8" t="str">
        <x:v>193181</x:v>
      </x:c>
      <x:c r="D365" s="9" t="str">
        <x:v>Выключатель нагрузки NXHB-125 3P 32A (R)</x:v>
      </x:c>
      <x:c r="E365" s="10" t="n">
        <x:v>3372</x:v>
      </x:c>
      <x:c r="F365" s="10" t="n">
        <x:v>2023.1999999999998</x:v>
      </x:c>
      <x:c r="G365" s="10" t="n">
        <x:f>IF(OR(F365="",H365=""),"",F365*H365)</x:f>
        <x:v>2023.1999999999998</x:v>
      </x:c>
      <x:c r="H365" s="10" t="n">
        <x:v>1</x:v>
      </x:c>
      <x:c r="I365" s="8" t="str">
        <x:v> ШТ. </x:v>
      </x:c>
      <x:c r="J365" s="8" t="str">
        <x:v>chint</x:v>
      </x:c>
      <x:c r="K365" s="9" t="str">
        <x:v>PDF лист 28: по проекту секционный/вводной аппарат 3P 25А; выбран 32А — подтвердить.</x:v>
      </x:c>
    </x:row>
    <x:row r="366">
      <x:c r="A366" s="8" t="str">
        <x:v>ЩС-П</x:v>
      </x:c>
      <x:c r="B366" s="8" t="str">
        <x:v>ОТО</x:v>
      </x:c>
      <x:c r="C366" s="8" t="str">
        <x:v>296832</x:v>
      </x:c>
      <x:c r="D366" s="9" t="str">
        <x:v>Авт. выкл. NXB-63S 3P 50А 4.5kA х-ка C (R)</x:v>
      </x:c>
      <x:c r="E366" s="10" t="n">
        <x:v>3172</x:v>
      </x:c>
      <x:c r="F366" s="10" t="n">
        <x:v>1903.1999999999998</x:v>
      </x:c>
      <x:c r="G366" s="10" t="n">
        <x:f>IF(OR(F366="",H366=""),"",F366*H366)</x:f>
        <x:v>1903.1999999999998</x:v>
      </x:c>
      <x:c r="H366" s="10" t="n">
        <x:v>1</x:v>
      </x:c>
      <x:c r="I366" s="8" t="str">
        <x:v> ШТ. </x:v>
      </x:c>
      <x:c r="J366" s="8" t="str">
        <x:v>chint</x:v>
      </x:c>
      <x:c r="K366" s="9" t="str">
        <x:v>PDF листы 27-28</x:v>
      </x:c>
    </x:row>
    <x:row r="367">
      <x:c r="A367" s="8" t="str">
        <x:v>ЩС-П</x:v>
      </x:c>
      <x:c r="B367" s="8" t="str">
        <x:v>ОТО</x:v>
      </x:c>
      <x:c r="C367" s="8" t="str">
        <x:v>296708</x:v>
      </x:c>
      <x:c r="D367" s="9" t="str">
        <x:v>Авт. выкл. NXB-63S 1P 6А 4.5kA х-ка C (R)</x:v>
      </x:c>
      <x:c r="E367" s="10" t="n">
        <x:v>975</x:v>
      </x:c>
      <x:c r="F367" s="10" t="n">
        <x:v>585</x:v>
      </x:c>
      <x:c r="G367" s="10" t="n">
        <x:f>IF(OR(F367="",H367=""),"",F367*H367)</x:f>
        <x:v>5265</x:v>
      </x:c>
      <x:c r="H367" s="10" t="n">
        <x:v>9</x:v>
      </x:c>
      <x:c r="I367" s="8" t="str">
        <x:v> ШТ. </x:v>
      </x:c>
      <x:c r="J367" s="8" t="str">
        <x:v>chint</x:v>
      </x:c>
      <x:c r="K367" s="9" t="str">
        <x:v>PDF листы 27-28</x:v>
      </x:c>
    </x:row>
    <x:row r="368">
      <x:c r="A368" s="8" t="str">
        <x:v>ЩС-П</x:v>
      </x:c>
      <x:c r="B368" s="8" t="str">
        <x:v>Диф.</x:v>
      </x:c>
      <x:c r="C368" s="8" t="str">
        <x:v>539847</x:v>
      </x:c>
      <x:c r="D368" s="9" t="str">
        <x:v>Диф. авт. выкл. NXBLE-63YH 3P+N C16 30mA тип AC, 6kA (R)</x:v>
      </x:c>
      <x:c r="E368" s="10" t="n">
        <x:v>8352</x:v>
      </x:c>
      <x:c r="F368" s="10" t="n">
        <x:v>5011.2</x:v>
      </x:c>
      <x:c r="G368" s="10" t="n">
        <x:f>IF(OR(F368="",H368=""),"",F368*H368)</x:f>
        <x:v>15033.599999999999</x:v>
      </x:c>
      <x:c r="H368" s="10" t="n">
        <x:v>3</x:v>
      </x:c>
      <x:c r="I368" s="8" t="str">
        <x:v> ШТ. </x:v>
      </x:c>
      <x:c r="J368" s="8" t="str">
        <x:v>chint</x:v>
      </x:c>
      <x:c r="K368" s="9" t="str">
        <x:v>PDF листы 27-28</x:v>
      </x:c>
    </x:row>
    <x:row r="369">
      <x:c r="A369" s="29" t="str">
        <x:v>ЩС-П</x:v>
      </x:c>
      <x:c r="B369" s="29" t="str">
        <x:v>Клеммник</x:v>
      </x:c>
      <x:c r="C369" s="29" t="str">
        <x:v>КОНТРОЛЬ</x:v>
      </x:c>
      <x:c r="D369" s="30" t="str">
        <x:v>Клеммники силовые/PE/N по фактическим отходящим линиям; тип и количество КОНТРОЛЬ</x:v>
      </x:c>
      <x:c r="E369" s="31" t="n">
        <x:v>0</x:v>
      </x:c>
      <x:c r="F369" s="31" t="n">
        <x:v>0</x:v>
      </x:c>
      <x:c r="G369" s="31" t="str">
        <x:f>IF(OR(F369="",H369=""),"",F369*H369)</x:f>
      </x:c>
      <x:c r="H369" s="31"/>
      <x:c r="I369" s="29" t="str">
        <x:v>компл.</x:v>
      </x:c>
      <x:c r="J369" s="29" t="str">
        <x:v>EKT / Klemsan</x:v>
      </x:c>
      <x:c r="K369" s="30" t="str">
        <x:v>Проект не содержит клеммной раскладки — не заполнять предположением.</x:v>
      </x:c>
    </x:row>
    <x:row r="370">
      <x:c r="A370" s="29" t="str">
        <x:v>ЩС-П</x:v>
      </x:c>
      <x:c r="B370" s="29" t="str">
        <x:v>DIN рейка</x:v>
      </x:c>
      <x:c r="C370" s="29" t="str">
        <x:v>КОНТРОЛЬ</x:v>
      </x:c>
      <x:c r="D370" s="30" t="str">
        <x:v>DIN рейка 35 мм; длина КОНТРОЛЬ</x:v>
      </x:c>
      <x:c r="E370" s="31" t="n">
        <x:v>0</x:v>
      </x:c>
      <x:c r="F370" s="31" t="n">
        <x:v>0</x:v>
      </x:c>
      <x:c r="G370" s="31" t="str">
        <x:f>IF(OR(F370="",H370=""),"",F370*H370)</x:f>
      </x:c>
      <x:c r="H370" s="31"/>
      <x:c r="I370" s="29" t="str">
        <x:v>м</x:v>
      </x:c>
      <x:c r="J370" s="29" t="str">
        <x:v>EKT</x:v>
      </x:c>
      <x:c r="K370" s="30" t="str">
        <x:v>Определить по монтажной раскладке и 20% резерву.</x:v>
      </x:c>
    </x:row>
    <x:row r="371">
      <x:c r="A371" s="29" t="str">
        <x:v>ЩС-П</x:v>
      </x:c>
      <x:c r="B371" s="29" t="str">
        <x:v>Кабельный канал</x:v>
      </x:c>
      <x:c r="C371" s="29" t="str">
        <x:v>КОНТРОЛЬ</x:v>
      </x:c>
      <x:c r="D371" s="30" t="str">
        <x:v>Кабельный канал; сечение и длина КОНТРОЛЬ</x:v>
      </x:c>
      <x:c r="E371" s="31" t="n">
        <x:v>0</x:v>
      </x:c>
      <x:c r="F371" s="31" t="n">
        <x:v>0</x:v>
      </x:c>
      <x:c r="G371" s="31" t="str">
        <x:f>IF(OR(F371="",H371=""),"",F371*H371)</x:f>
      </x:c>
      <x:c r="H371" s="31"/>
      <x:c r="I371" s="29" t="str">
        <x:v>м</x:v>
      </x:c>
      <x:c r="J371" s="29" t="str">
        <x:v>EKT / Onka</x:v>
      </x:c>
      <x:c r="K371" s="30" t="str">
        <x:v>Определить по монтажной раскладке и заполнению канала.</x:v>
      </x:c>
    </x:row>
    <x:row r="372">
      <x:c r="A372" s="29" t="str">
        <x:v>ЩС-П</x:v>
      </x:c>
      <x:c r="B372" s="29" t="str">
        <x:v>Шина</x:v>
      </x:c>
      <x:c r="C372" s="29" t="str">
        <x:v>КОНТРОЛЬ</x:v>
      </x:c>
      <x:c r="D372" s="30" t="str">
        <x:v>Шины N/PE и фазные перемычки; сечение/длина КОНТРОЛЬ</x:v>
      </x:c>
      <x:c r="E372" s="31" t="n">
        <x:v>0</x:v>
      </x:c>
      <x:c r="F372" s="31" t="n">
        <x:v>0</x:v>
      </x:c>
      <x:c r="G372" s="31" t="str">
        <x:f>IF(OR(F372="",H372=""),"",F372*H372)</x:f>
      </x:c>
      <x:c r="H372" s="31"/>
      <x:c r="I372" s="29" t="str">
        <x:v>компл.</x:v>
      </x:c>
      <x:c r="J372" s="29" t="str">
        <x:v>TEKLED</x:v>
      </x:c>
      <x:c r="K372" s="30" t="str">
        <x:v>Рассчитать по току, КЗ, материалу и фактической компоновке.</x:v>
      </x:c>
    </x:row>
    <x:row r="373">
      <x:c r="A373" s="8" t="str">
        <x:v>ЩС-П</x:v>
      </x:c>
      <x:c r="B373" s="8" t="str">
        <x:v>Монтажный материал</x:v>
      </x:c>
      <x:c r="C373" s="8" t="str"/>
      <x:c r="D373" s="9" t="str">
        <x:v>Монтажный материал</x:v>
      </x:c>
      <x:c r="E373" s="10" t="n">
        <x:v>0</x:v>
      </x:c>
      <x:c r="F373" s="10" t="n">
        <x:v>0</x:v>
      </x:c>
      <x:c r="G373" s="10" t="str">
        <x:f>IF(OR(F373="",H373=""),"",F373*H373)</x:f>
      </x:c>
      <x:c r="H373" s="10" t="n">
        <x:v>1</x:v>
      </x:c>
      <x:c r="I373" s="8" t="str">
        <x:v>компл.</x:v>
      </x:c>
      <x:c r="J373" s="8" t="str">
        <x:v>TEKLED</x:v>
      </x:c>
      <x:c r="K373" s="9" t="str">
        <x:v>Количество 1 компл.; состав и цена заполняются после монтажной раскладки.</x:v>
      </x:c>
    </x:row>
    <x:row r="374">
      <x:c r="A374" s="8" t="str">
        <x:v>ЩС-П</x:v>
      </x:c>
      <x:c r="B374" s="8" t="str">
        <x:v>Монтажные работы</x:v>
      </x:c>
      <x:c r="C374" s="8" t="str"/>
      <x:c r="D374" s="9" t="str">
        <x:v>Монтажные работы</x:v>
      </x:c>
      <x:c r="E374" s="10"/>
      <x:c r="F374" s="10" t="n">
        <x:v>100</x:v>
      </x:c>
      <x:c r="G374" s="10" t="n">
        <x:f>IF(OR(F374="",H374=""),"",F374*H374)</x:f>
        <x:v>100</x:v>
      </x:c>
      <x:c r="H374" s="10" t="n">
        <x:v>1</x:v>
      </x:c>
      <x:c r="I374" s="8" t="str">
        <x:v>компл.</x:v>
      </x:c>
      <x:c r="J374" s="8" t="str">
        <x:v>TEKLED</x:v>
      </x:c>
      <x:c r="K374" s="9" t="str">
        <x:v>Количество 1 компл.; стоимость заполняется после нормирования.</x:v>
      </x:c>
    </x:row>
    <x:row r="375">
      <x:c r="A375" s="26" t="str">
        <x:v>ЩС-П</x:v>
      </x:c>
      <x:c r="B375" s="26" t="str">
        <x:v>ИТОГО</x:v>
      </x:c>
      <x:c r="C375" s="26" t="str"/>
      <x:c r="D375" s="27" t="str">
        <x:v>ИТОГО ЩС-П</x:v>
      </x:c>
      <x:c r="E375" s="28" t="n">
        <x:v>0</x:v>
      </x:c>
      <x:c r="F375" s="28" t="n">
        <x:v>0</x:v>
      </x:c>
      <x:c r="G375" s="28" t="n">
        <x:f>SUM(G363:G374)</x:f>
        <x:v>36072.399999999994</x:v>
      </x:c>
      <x:c r="H375" s="28"/>
      <x:c r="I375" s="26" t="str"/>
      <x:c r="J375" s="26" t="str"/>
      <x:c r="K375" s="27" t="str">
        <x:v>Сумма позиций строк 363-374.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0" hidden="0" customWidth="1"/>
    <x:col min="4" max="4" width="36" hidden="0" customWidth="1"/>
    <x:col min="5" max="5" width="48" hidden="0" customWidth="1"/>
    <x:col min="6" max="6" width="22" hidden="0" customWidth="1"/>
    <x:col min="7" max="7" width="62" hidden="0" customWidth="1"/>
  </x:cols>
  <x:sheetData>
    <x:row r="1">
      <x:c r="A1" s="36" t="str">
        <x:v>Панель</x:v>
      </x:c>
      <x:c r="B1" s="36" t="str">
        <x:v>Статус</x:v>
      </x:c>
      <x:c r="C1" s="36" t="str">
        <x:v>Калем</x:v>
      </x:c>
      <x:c r="D1" s="36" t="str">
        <x:v>Было</x:v>
      </x:c>
      <x:c r="E1" s="36" t="str">
        <x:v>Стало / требуется</x:v>
      </x:c>
      <x:c r="F1" s="36" t="str">
        <x:v>Источник</x:v>
      </x:c>
      <x:c r="G1" s="36" t="str">
        <x:v>Обоснование</x:v>
      </x:c>
    </x:row>
    <x:row r="2">
      <x:c r="A2" s="38" t="str">
        <x:v>АВР 3.1.1.250</x:v>
      </x:c>
      <x:c r="B2" s="38" t="str">
        <x:v>Исправлено</x:v>
      </x:c>
      <x:c r="C2" s="38" t="str">
        <x:v>АВР NXZM</x:v>
      </x:c>
      <x:c r="D2" s="38" t="n">
        <x:v>2</x:v>
      </x:c>
      <x:c r="E2" s="38" t="n">
        <x:v>1</x:v>
      </x:c>
      <x:c r="F2" s="38" t="str">
        <x:v>PDF лист 3</x:v>
      </x:c>
      <x:c r="G2" s="38" t="str">
        <x:v>Комплектное устройство АВР учтено одной сборкой.</x:v>
      </x:c>
    </x:row>
    <x:row r="3">
      <x:c r="A3" s="38" t="str">
        <x:v>АВР-2 3.1.1.400</x:v>
      </x:c>
      <x:c r="B3" s="38" t="str">
        <x:v>Исправлено</x:v>
      </x:c>
      <x:c r="C3" s="38" t="str">
        <x:v>АВР NXZM</x:v>
      </x:c>
      <x:c r="D3" s="38" t="n">
        <x:v>2</x:v>
      </x:c>
      <x:c r="E3" s="38" t="n">
        <x:v>1</x:v>
      </x:c>
      <x:c r="F3" s="38" t="str">
        <x:v>PDF лист 4</x:v>
      </x:c>
      <x:c r="G3" s="38" t="str">
        <x:v>Комплектное устройство АВР учтено одной сборкой.</x:v>
      </x:c>
    </x:row>
    <x:row r="4">
      <x:c r="A4" s="38" t="str">
        <x:v>ЩС-ВД1.1</x:v>
      </x:c>
      <x:c r="B4" s="38" t="str">
        <x:v>Контроль</x:v>
      </x:c>
      <x:c r="C4" s="38" t="str">
        <x:v>Корпус</x:v>
      </x:c>
      <x:c r="D4" s="38" t="str">
        <x:v>Мет.Корпус ЩМП-5 (1000x650x300) IP31</x:v>
      </x:c>
      <x:c r="E4" s="38" t="str">
        <x:v>Корпус по проекту ЩРВ503-1005-2УХЛ2 — габарит и внутренняя компоновка КОНТРОЛЬ</x:v>
      </x:c>
      <x:c r="F4" s="38" t="str">
        <x:v>PDF лист 8</x:v>
      </x:c>
      <x:c r="G4" s="38" t="str">
        <x:v>1000×650×300 не подтвержден компоновкой; не принимать в производство без раскладки.</x:v>
      </x:c>
    </x:row>
    <x:row r="5">
      <x:c r="A5" s="38" t="str">
        <x:v>ЩС-ВД1.2</x:v>
      </x:c>
      <x:c r="B5" s="38" t="str">
        <x:v>Удалено</x:v>
      </x:c>
      <x:c r="C5" s="38" t="str">
        <x:v>ТМШ NXM-160S 160A</x:v>
      </x:c>
      <x:c r="D5" s="38" t="n">
        <x:v>1</x:v>
      </x:c>
      <x:c r="E5" s="38" t="n">
        <x:v>0</x:v>
      </x:c>
      <x:c r="F5" s="38" t="str">
        <x:v>PDF листы 11-13</x:v>
      </x:c>
      <x:c r="G5" s="38" t="str">
        <x:v>В расчетной схеме указан вводной ВР32И 250А; отдельный NXM-160 отсутствует.</x:v>
      </x:c>
    </x:row>
    <x:row r="6">
      <x:c r="A6" s="38" t="str">
        <x:v>ЩС-ВД1.2</x:v>
      </x:c>
      <x:c r="B6" s="38" t="str">
        <x:v>Контроль</x:v>
      </x:c>
      <x:c r="C6" s="38" t="str">
        <x:v>Корпус</x:v>
      </x:c>
      <x:c r="D6" s="38" t="str">
        <x:v>Мет.Корпус ЩМП-5 (1000x650x300) IP31</x:v>
      </x:c>
      <x:c r="E6" s="38" t="str">
        <x:v>Корпус по проекту ЩРВ503-1005-2УХЛ2 — габарит и внутренняя компоновка КОНТРОЛЬ</x:v>
      </x:c>
      <x:c r="F6" s="38" t="str">
        <x:v>PDF лист 11</x:v>
      </x:c>
      <x:c r="G6" s="38" t="str">
        <x:v>1000×650×300 не подтвержден компоновкой; не принимать в производство без раскладки.</x:v>
      </x:c>
    </x:row>
    <x:row r="7">
      <x:c r="A7" s="38" t="str">
        <x:v>ЩС-Н</x:v>
      </x:c>
      <x:c r="B7" s="38" t="str">
        <x:v>Контроль</x:v>
      </x:c>
      <x:c r="C7" s="38" t="str">
        <x:v>Вводной выключатель</x:v>
      </x:c>
      <x:c r="D7" s="38" t="str">
        <x:v>25А по проекту</x:v>
      </x:c>
      <x:c r="E7" s="38" t="str">
        <x:v>NXHB 32А</x:v>
      </x:c>
      <x:c r="F7" s="38" t="str">
        <x:v>PDF лист 14</x:v>
      </x:c>
      <x:c r="G7" s="38" t="str">
        <x:v>Номинал выбранного аппарата выше проектного; согласовать.</x:v>
      </x:c>
    </x:row>
    <x:row r="8">
      <x:c r="A8" s="38" t="str">
        <x:v>ЩС-ВД2.1</x:v>
      </x:c>
      <x:c r="B8" s="38" t="str">
        <x:v>Исправлено</x:v>
      </x:c>
      <x:c r="C8" s="38" t="str">
        <x:v>Наименование панели</x:v>
      </x:c>
      <x:c r="D8" s="38" t="str">
        <x:v>ЩС-ВД1.2 (дубликат)</x:v>
      </x:c>
      <x:c r="E8" s="38" t="str">
        <x:v>ЩС-ВД2.1</x:v>
      </x:c>
      <x:c r="F8" s="38" t="str">
        <x:v>PDF листы 20-22</x:v>
      </x:c>
      <x:c r="G8" s="38" t="str">
        <x:v>Панель второго ввода ошибочно повторяла имя первой группы.</x:v>
      </x:c>
    </x:row>
    <x:row r="9">
      <x:c r="A9" s="38" t="str">
        <x:v>ЩС-ВД2.1</x:v>
      </x:c>
      <x:c r="B9" s="38" t="str">
        <x:v>Контроль</x:v>
      </x:c>
      <x:c r="C9" s="38" t="str">
        <x:v>Корпус</x:v>
      </x:c>
      <x:c r="D9" s="38" t="str">
        <x:v>Мет.Корпус ЩМП-5 (1000x650x300) IP31</x:v>
      </x:c>
      <x:c r="E9" s="38" t="str">
        <x:v>Корпус по проекту ЩРВ503-1005-2УХЛ2 — габарит и внутренняя компоновка КОНТРОЛЬ</x:v>
      </x:c>
      <x:c r="F9" s="38" t="str">
        <x:v>PDF лист 20</x:v>
      </x:c>
      <x:c r="G9" s="38" t="str">
        <x:v>1000×650×300 не подтвержден компоновкой; не принимать в производство без раскладки.</x:v>
      </x:c>
    </x:row>
    <x:row r="10">
      <x:c r="A10" s="38" t="str">
        <x:v>ЩС-ВД2.2</x:v>
      </x:c>
      <x:c r="B10" s="38" t="str">
        <x:v>Удалено</x:v>
      </x:c>
      <x:c r="C10" s="38" t="str">
        <x:v>ТМШ NXM-160S 160A</x:v>
      </x:c>
      <x:c r="D10" s="38" t="n">
        <x:v>1</x:v>
      </x:c>
      <x:c r="E10" s="38" t="n">
        <x:v>0</x:v>
      </x:c>
      <x:c r="F10" s="38" t="str">
        <x:v>PDF листы 23-25</x:v>
      </x:c>
      <x:c r="G10" s="38" t="str">
        <x:v>В расчетной схеме указан вводной ВР32И 250А; отдельный NXM-160 отсутствует.</x:v>
      </x:c>
    </x:row>
    <x:row r="11">
      <x:c r="A11" s="38" t="str">
        <x:v>ЩС-ВД2.2</x:v>
      </x:c>
      <x:c r="B11" s="38" t="str">
        <x:v>Контроль</x:v>
      </x:c>
      <x:c r="C11" s="38" t="str">
        <x:v>Корпус</x:v>
      </x:c>
      <x:c r="D11" s="38" t="str">
        <x:v>Мет.Корпус ЩМП-5 (1000x650x300) IP31</x:v>
      </x:c>
      <x:c r="E11" s="38" t="str">
        <x:v>Корпус по проекту ЩРВ503-1005-2УХЛ2 — габарит и внутренняя компоновка КОНТРОЛЬ</x:v>
      </x:c>
      <x:c r="F11" s="38" t="str">
        <x:v>PDF лист 23</x:v>
      </x:c>
      <x:c r="G11" s="38" t="str">
        <x:v>1000×650×300 не подтвержден компоновкой; не принимать в производство без раскладки.</x:v>
      </x:c>
    </x:row>
    <x:row r="12">
      <x:c r="A12" s="38" t="str">
        <x:v>ЩС-П</x:v>
      </x:c>
      <x:c r="B12" s="38" t="str">
        <x:v>Контроль</x:v>
      </x:c>
      <x:c r="C12" s="38" t="str">
        <x:v>Выключатель нагрузки</x:v>
      </x:c>
      <x:c r="D12" s="38" t="str">
        <x:v>25А по проекту</x:v>
      </x:c>
      <x:c r="E12" s="38" t="str">
        <x:v>NXHB 32А</x:v>
      </x:c>
      <x:c r="F12" s="38" t="str">
        <x:v>PDF лист 28</x:v>
      </x:c>
      <x:c r="G12" s="38" t="str">
        <x:v>Подтвердить замену номинала.</x:v>
      </x:c>
    </x:row>
  </x:sheetData>
  <x:pageMargins left="0.7" right="0.7" top="0.75" bottom="0.75" header="0.3" footer="0.3"/>
</x:worksheet>
</file>