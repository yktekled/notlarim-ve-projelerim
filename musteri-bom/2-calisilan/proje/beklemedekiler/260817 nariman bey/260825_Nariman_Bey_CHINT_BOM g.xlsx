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c2c321f91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8415b4718476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#,##0.0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9"/>
      <x:color rgb="FF404040"/>
      <x:name val="Carlito"/>
    </x:font>
    <x:font>
      <x:b/>
      <x:sz val="9"/>
      <x:color rgb="FF7F6000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b/>
      <x:sz val="10"/>
      <x:color rgb="FF17365D"/>
      <x:name val="Carlito"/>
    </x:font>
    <x:font>
      <x:b/>
      <x:sz val="10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medium">
        <x:color rgb="FF8EA9C1"/>
      </x:left>
      <x:right style="medium">
        <x:color rgb="FF8EA9C1"/>
      </x:right>
      <x:top style="medium">
        <x:color rgb="FF8EA9C1"/>
      </x:top>
      <x:bottom style="medium">
        <x:color rgb="FF8EA9C1"/>
      </x:bottom>
    </x:border>
    <x:border>
      <x:left style="medium">
        <x:color rgb="FFA9D18E"/>
      </x:left>
      <x:right style="medium">
        <x:color rgb="FFA9D18E"/>
      </x:right>
      <x:top style="medium">
        <x:color rgb="FFA9D18E"/>
      </x:top>
      <x:bottom style="medium">
        <x:color rgb="FFA9D18E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200" fontId="6" fillId="0" borderId="2" xfId="0" applyNumberFormat="1" applyFont="1" applyFill="1" applyBorder="1" applyAlignment="1">
      <x:alignment horizontal="center" vertical="center" wrapText="1"/>
    </x:xf>
    <x:xf numFmtId="201" fontId="6" fillId="0" borderId="2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left"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200" fontId="6" fillId="7" borderId="2" xfId="0" applyNumberFormat="1" applyFont="1" applyFill="1" applyBorder="1" applyAlignment="1">
      <x:alignment horizontal="center" vertical="center" wrapText="1"/>
    </x:xf>
    <x:xf numFmtId="201" fontId="6" fillId="7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left"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200" fontId="7" fillId="7" borderId="2" xfId="0" applyNumberFormat="1" applyFont="1" applyFill="1" applyBorder="1" applyAlignment="1">
      <x:alignment horizontal="center" vertical="center" wrapText="1"/>
    </x:xf>
    <x:xf numFmtId="201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left"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200" fontId="7" fillId="7" borderId="3" xfId="0" applyNumberFormat="1" applyFont="1" applyFill="1" applyBorder="1" applyAlignment="1">
      <x:alignment horizontal="center" vertical="center" wrapText="1"/>
    </x:xf>
    <x:xf numFmtId="201" fontId="7" fillId="7" borderId="3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left"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200" fontId="6" fillId="5" borderId="2" xfId="0" applyNumberFormat="1" applyFont="1" applyFill="1" applyBorder="1" applyAlignment="1">
      <x:alignment horizontal="center" vertical="center" wrapText="1"/>
    </x:xf>
    <x:xf numFmtId="201" fontId="6" fillId="5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left"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200" fontId="6" fillId="8" borderId="2" xfId="0" applyNumberFormat="1" applyFont="1" applyFill="1" applyBorder="1" applyAlignment="1">
      <x:alignment horizontal="center" vertical="center" wrapText="1"/>
    </x:xf>
    <x:xf numFmtId="201" fontId="6" fillId="8" borderId="2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left"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200" fontId="8" fillId="8" borderId="2" xfId="0" applyNumberFormat="1" applyFont="1" applyFill="1" applyBorder="1" applyAlignment="1">
      <x:alignment horizontal="center" vertical="center" wrapText="1"/>
    </x:xf>
    <x:xf numFmtId="201" fontId="8" fillId="8" borderId="2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horizontal="left"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200" fontId="8" fillId="8" borderId="4" xfId="0" applyNumberFormat="1" applyFont="1" applyFill="1" applyBorder="1" applyAlignment="1">
      <x:alignment horizontal="center" vertical="center" wrapText="1"/>
    </x:xf>
    <x:xf numFmtId="201" fontId="8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e5422ffb448cf" /><Relationship Type="http://schemas.openxmlformats.org/officeDocument/2006/relationships/theme" Target="/xl/theme/theme1.xml" Id="R040dd64e756344b1" /><Relationship Type="http://schemas.openxmlformats.org/officeDocument/2006/relationships/sharedStrings" Target="/xl/sharedStrings.xml" Id="R92510bc1b35d4e5b" /><Relationship Type="http://schemas.openxmlformats.org/officeDocument/2006/relationships/worksheet" Target="/xl/worksheets/sheet1.xml" Id="R8415b4718476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" hidden="0" customWidth="1"/>
    <x:col min="3" max="3" width="29" hidden="0" customWidth="1"/>
    <x:col min="4" max="4" width="46" hidden="0" customWidth="1"/>
    <x:col min="5" max="5" width="23" hidden="0" customWidth="1"/>
    <x:col min="6" max="6" width="9" hidden="0" customWidth="1"/>
    <x:col min="7" max="7" width="10" hidden="0" customWidth="1"/>
    <x:col min="8" max="8" width="15" hidden="0" customWidth="1"/>
    <x:col min="9" max="9" width="15" hidden="0" customWidth="1"/>
    <x:col min="10" max="10" width="58" hidden="0" customWidth="1"/>
  </x:cols>
  <x:sheetData>
    <x:row r="1" ht="30" customHeight="1">
      <x:c r="A1" s="4" t="str">
        <x:v>260825 NARİMAN BEY - ЩЭ / CHINT BOM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7" t="str">
        <x:v>Pano</x:v>
      </x:c>
      <x:c r="B2" s="7" t="str">
        <x:v>ЩЭ</x:v>
      </x:c>
      <x:c r="C2" s="7" t="str">
        <x:v>Besleme-1</x:v>
      </x:c>
      <x:c r="D2" s="7" t="str">
        <x:v>QF1 - ИБП, 1Ф, 32A</x:v>
      </x:c>
      <x:c r="E2" s="7" t="str">
        <x:v>Besleme-2</x:v>
      </x:c>
      <x:c r="F2" s="7" t="str">
        <x:v>QF2 - ШУ, 3Ф, 200A</x:v>
      </x:c>
      <x:c r="G2" s="7" t="str">
        <x:v>Çıkış devresi</x:v>
      </x:c>
      <x:c r="H2" s="7" t="n">
        <x:v>117</x:v>
      </x:c>
      <x:c r="I2" s="7" t="str">
        <x:v>Pano adedi</x:v>
      </x:c>
      <x:c r="J2" s="7" t="n">
        <x:v>1</x:v>
      </x:c>
    </x:row>
    <x:row r="3" ht="56" customHeight="1">
      <x:c r="A3" s="11" t="str">
        <x:v>Kaynak: 17.08.2026- Назарбаева Rev.02 — копия-Model.pdf | 13 devam paftası birlikte sayıldı. QF2.49 şemada yoktur ve BOM'a eklenmemiştir. Projedeki 4,5kA MCB'ler CHINT 6kA olarak yükseltilmiştir.</x:v>
      </x:c>
      <x:c r="B3" s="11" t="str">
        <x:v>Kaynak: 17.08.2026- Назарбаева Rev.02 — копия-Model.pdf | 13 devam paftası birlikte sayıldı. QF2.49 şemada yoktur ve BOM'a eklenmemiştir. Projedeki 4,5kA MCB'ler CHINT 6kA olarak yükseltilmiştir.</x:v>
      </x:c>
      <x:c r="C3" s="11" t="str">
        <x:v>Kaynak: 17.08.2026- Назарбаева Rev.02 — копия-Model.pdf | 13 devam paftası birlikte sayıldı. QF2.49 şemada yoktur ve BOM'a eklenmemiştir. Projedeki 4,5kA MCB'ler CHINT 6kA olarak yükseltilmiştir.</x:v>
      </x:c>
      <x:c r="D3" s="11" t="str">
        <x:v>Kaynak: 17.08.2026- Назарбаева Rev.02 — копия-Model.pdf | 13 devam paftası birlikte sayıldı. QF2.49 şemada yoktur ve BOM'a eklenmemiştir. Projedeki 4,5kA MCB'ler CHINT 6kA olarak yükseltilmiştir.</x:v>
      </x:c>
      <x:c r="E3" s="11" t="str">
        <x:v>Kaynak: 17.08.2026- Назарбаева Rev.02 — копия-Model.pdf | 13 devam paftası birlikte sayıldı. QF2.49 şemada yoktur ve BOM'a eklenmemiştir. Projedeki 4,5kA MCB'ler CHINT 6kA olarak yükseltilmiştir.</x:v>
      </x:c>
      <x:c r="F3" s="11" t="str">
        <x:v>Kaynak: 17.08.2026- Назарбаева Rev.02 — копия-Model.pdf | 13 devam paftası birlikte sayıldı. QF2.49 şemada yoktur ve BOM'a eklenmemiştir. Projedeki 4,5kA MCB'ler CHINT 6kA olarak yükseltilmiştir.</x:v>
      </x:c>
      <x:c r="G3" s="11" t="str">
        <x:v>Kaynak: 17.08.2026- Назарбаева Rev.02 — копия-Model.pdf | 13 devam paftası birlikte sayıldı. QF2.49 şemada yoktur ve BOM'a eklenmemiştir. Projedeki 4,5kA MCB'ler CHINT 6kA olarak yükseltilmiştir.</x:v>
      </x:c>
      <x:c r="H3" s="14" t="str">
        <x:v>Genel toplam, ₸</x:v>
      </x:c>
      <x:c r="I3" s="29" t="n">
        <x:f>SUM(I5:I52)</x:f>
        <x:v>0</x:v>
      </x:c>
      <x:c r="J3" s="11" t="str">
        <x:v>CHINT kontrol: https://www.chintglobal.com/global/en/products/low-voltage/iec/final-power-distribution/nxb-63.html | https://www.chintglobal.com/global/en/products/low-voltage/iec/final-power-distribution/nxble-63.html | https://www.chintglobal.com/global/en/products/low-voltage/iec/secondary-power-distribution/nxm.html</x:v>
      </x:c>
    </x:row>
    <x:row r="4" ht="34" customHeight="1">
      <x:c r="A4" s="20" t="str">
        <x:v>№</x:v>
      </x:c>
      <x:c r="B4" s="20" t="str">
        <x:v>Pano Adı</x:v>
      </x:c>
      <x:c r="C4" s="20" t="str">
        <x:v>Malzeme Kodu</x:v>
      </x:c>
      <x:c r="D4" s="20" t="str">
        <x:v>Malzeme Adı / Açıklama</x:v>
      </x:c>
      <x:c r="E4" s="20" t="str">
        <x:v>Marka / Model</x:v>
      </x:c>
      <x:c r="F4" s="20" t="str">
        <x:v>Birim</x:v>
      </x:c>
      <x:c r="G4" s="20" t="str">
        <x:v>Miktar</x:v>
      </x:c>
      <x:c r="H4" s="20" t="str">
        <x:v>Birim Fiyat, ₸</x:v>
      </x:c>
      <x:c r="I4" s="20" t="str">
        <x:v>Toplam, ₸</x:v>
      </x:c>
      <x:c r="J4" s="20" t="str">
        <x:v>Not / Devre No</x:v>
      </x:c>
    </x:row>
    <x:row r="5" ht="32" customHeight="1">
      <x:c r="A5" s="40" t="n">
        <x:v>1</x:v>
      </x:c>
      <x:c r="B5" s="41" t="str">
        <x:v>ЩЭ</x:v>
      </x:c>
      <x:c r="C5" s="41" t="str">
        <x:v>PANEL-ЩЭ</x:v>
      </x:c>
      <x:c r="D5" s="42" t="str">
        <x:v>Щит этажный ЩЭ - комплект</x:v>
      </x:c>
      <x:c r="E5" s="42" t="str">
        <x:v>TEKLED / CHINT</x:v>
      </x:c>
      <x:c r="F5" s="40" t="str">
        <x:v>компл.</x:v>
      </x:c>
      <x:c r="G5" s="43" t="n">
        <x:v>1</x:v>
      </x:c>
      <x:c r="H5" s="44"/>
      <x:c r="I5" s="44" t="str">
        <x:f>IF(H5="","",G5*H5)</x:f>
      </x:c>
      <x:c r="J5" s="42" t="str">
        <x:v>Tek pano; iki bağımsız besleme bölümü. QF1 ve QF2 arasında ATS/kuplaj şemada yoktur.</x:v>
      </x:c>
    </x:row>
    <x:row r="6" ht="32" customHeight="1">
      <x:c r="A6" s="45" t="n">
        <x:v>2</x:v>
      </x:c>
      <x:c r="B6" s="46" t="str">
        <x:v>ЩЭ</x:v>
      </x:c>
      <x:c r="C6" s="46" t="str">
        <x:v>TEKSAN-F-CUSTOM</x:v>
      </x:c>
      <x:c r="D6" s="47" t="str">
        <x:v>Корпус металлический напольный 2000x1200x500 мм, IP31, 2 двери, монтажная панель и цоколь 100 мм</x:v>
      </x:c>
      <x:c r="E6" s="47" t="str">
        <x:v>TEKSAN F</x:v>
      </x:c>
      <x:c r="F6" s="45" t="str">
        <x:v>шт.</x:v>
      </x:c>
      <x:c r="G6" s="48" t="n">
        <x:v>1</x:v>
      </x:c>
      <x:c r="H6" s="49"/>
      <x:c r="I6" s="49" t="str">
        <x:f>IF(H6="","",G6*H6)</x:f>
      </x:c>
      <x:c r="J6" s="47" t="str">
        <x:v>5 cihaz rayı x 54 modül = 270 modül; kullanılan 197 modül, yedek 73 modül (%37). 2 ek ray klemensler için.</x:v>
      </x:c>
    </x:row>
    <x:row r="7" ht="32" customHeight="1">
      <x:c r="A7" s="45" t="n">
        <x:v>3</x:v>
      </x:c>
      <x:c r="B7" s="46" t="str">
        <x:v>ЩЭ</x:v>
      </x:c>
      <x:c r="C7" s="46" t="str">
        <x:v>PARTITION-ЩЭ</x:v>
      </x:c>
      <x:c r="D7" s="47" t="str">
        <x:v>Перегородка изоляционная между секциями ИБП и ШУ</x:v>
      </x:c>
      <x:c r="E7" s="47" t="str">
        <x:v>TEKSAN / EKT</x:v>
      </x:c>
      <x:c r="F7" s="45" t="str">
        <x:v>шт.</x:v>
      </x:c>
      <x:c r="G7" s="48" t="n">
        <x:v>1</x:v>
      </x:c>
      <x:c r="H7" s="49"/>
      <x:c r="I7" s="49" t="str">
        <x:f>IF(H7="","",G7*H7)</x:f>
      </x:c>
      <x:c r="J7" s="47" t="str">
        <x:v>QF1 ve QF2 faz/nötr devreleri ayrı tutulacaktır.</x:v>
      </x:c>
    </x:row>
    <x:row r="8" ht="32" customHeight="1">
      <x:c r="A8" s="25" t="n">
        <x:v>4</x:v>
      </x:c>
      <x:c r="B8" s="26" t="str">
        <x:v>ЩЭ</x:v>
      </x:c>
      <x:c r="C8" s="26" t="str">
        <x:v>NXB-63-1P-C32-6kA</x:v>
      </x:c>
      <x:c r="D8" s="24" t="str">
        <x:v>ОТО 1P C32A, 6kA</x:v>
      </x:c>
      <x:c r="E8" s="24" t="str">
        <x:v>CHINT NXB-63</x:v>
      </x:c>
      <x:c r="F8" s="25" t="str">
        <x:v>шт.</x:v>
      </x:c>
      <x:c r="G8" s="27" t="n">
        <x:v>1</x:v>
      </x:c>
      <x:c r="H8" s="28"/>
      <x:c r="I8" s="28" t="str">
        <x:f>IF(H8="","",G8*H8)</x:f>
      </x:c>
      <x:c r="J8" s="24" t="str">
        <x:v>QF1 - ввод от ИБП. Projede 1P 32A; C eğrisi kabul edildi.</x:v>
      </x:c>
    </x:row>
    <x:row r="9" ht="32" customHeight="1">
      <x:c r="A9" s="25" t="n">
        <x:v>5</x:v>
      </x:c>
      <x:c r="B9" s="26" t="str">
        <x:v>ЩЭ</x:v>
      </x:c>
      <x:c r="C9" s="26" t="str">
        <x:v>NXM-250S-3P-200A</x:v>
      </x:c>
      <x:c r="D9" s="24" t="str">
        <x:v>ТМШ 3P 200A, Icu 36kA, стационарный</x:v>
      </x:c>
      <x:c r="E9" s="24" t="str">
        <x:v>CHINT NXM-250S</x:v>
      </x:c>
      <x:c r="F9" s="25" t="str">
        <x:v>шт.</x:v>
      </x:c>
      <x:c r="G9" s="27" t="n">
        <x:v>1</x:v>
      </x:c>
      <x:c r="H9" s="28"/>
      <x:c r="I9" s="28" t="str">
        <x:f>IF(H9="","",G9*H9)</x:f>
      </x:c>
      <x:c r="J9" s="24" t="str">
        <x:v>QF2 - ввод от ШУ.</x:v>
      </x:c>
    </x:row>
    <x:row r="10" ht="32" customHeight="1">
      <x:c r="A10" s="25" t="n">
        <x:v>6</x:v>
      </x:c>
      <x:c r="B10" s="26" t="str">
        <x:v>ЩЭ</x:v>
      </x:c>
      <x:c r="C10" s="26" t="str">
        <x:v>NXB-63-1P-C16-6kA</x:v>
      </x:c>
      <x:c r="D10" s="24" t="str">
        <x:v>ОТО 1P C16A, 6kA</x:v>
      </x:c>
      <x:c r="E10" s="24" t="str">
        <x:v>CHINT NXB-63</x:v>
      </x:c>
      <x:c r="F10" s="25" t="str">
        <x:v>шт.</x:v>
      </x:c>
      <x:c r="G10" s="27" t="n">
        <x:v>44</x:v>
      </x:c>
      <x:c r="H10" s="28"/>
      <x:c r="I10" s="28" t="str">
        <x:f>IF(H10="","",G10*H10)</x:f>
      </x:c>
      <x:c r="J10" s="24" t="str">
        <x:v>QF1.1-QF1.15; QF2.1-QF2.21; QF2.82; QF2.93-QF2.97; QF2.99; QF2.103</x:v>
      </x:c>
    </x:row>
    <x:row r="11" ht="32" customHeight="1">
      <x:c r="A11" s="25" t="n">
        <x:v>7</x:v>
      </x:c>
      <x:c r="B11" s="26" t="str">
        <x:v>ЩЭ</x:v>
      </x:c>
      <x:c r="C11" s="26" t="str">
        <x:v>NXBLE-63-1P+N-C25-30mA-A</x:v>
      </x:c>
      <x:c r="D11" s="24" t="str">
        <x:v>Диф. 1P+N C25A, 30mA, тип A, 6kA</x:v>
      </x:c>
      <x:c r="E11" s="24" t="str">
        <x:v>CHINT NXBLE-63</x:v>
      </x:c>
      <x:c r="F11" s="25" t="str">
        <x:v>шт.</x:v>
      </x:c>
      <x:c r="G11" s="27" t="n">
        <x:v>49</x:v>
      </x:c>
      <x:c r="H11" s="28"/>
      <x:c r="I11" s="28" t="str">
        <x:f>IF(H11="","",G11*H11)</x:f>
      </x:c>
      <x:c r="J11" s="24" t="str">
        <x:v>Projede 2P 25A 30mA: QF2.22-QF2.30; QF2.37-QF2.48; QF2.50-QF2.60; QF2.63-QF2.66; QF2.68-QF2.80</x:v>
      </x:c>
    </x:row>
    <x:row r="12" ht="32" customHeight="1">
      <x:c r="A12" s="25" t="n">
        <x:v>8</x:v>
      </x:c>
      <x:c r="B12" s="26" t="str">
        <x:v>ЩЭ</x:v>
      </x:c>
      <x:c r="C12" s="26" t="str">
        <x:v>NXBLE-63-1P+N-C32-30mA-A</x:v>
      </x:c>
      <x:c r="D12" s="24" t="str">
        <x:v>Диф. 1P+N C32A, 30mA, тип A, 6kA</x:v>
      </x:c>
      <x:c r="E12" s="24" t="str">
        <x:v>CHINT NXBLE-63</x:v>
      </x:c>
      <x:c r="F12" s="25" t="str">
        <x:v>шт.</x:v>
      </x:c>
      <x:c r="G12" s="27" t="n">
        <x:v>8</x:v>
      </x:c>
      <x:c r="H12" s="28"/>
      <x:c r="I12" s="28" t="str">
        <x:f>IF(H12="","",G12*H12)</x:f>
      </x:c>
      <x:c r="J12" s="24" t="str">
        <x:v>Projede 2P 32A 30mA: QF2.31-QF2.36; QF2.61-QF2.62</x:v>
      </x:c>
    </x:row>
    <x:row r="13" ht="32" customHeight="1">
      <x:c r="A13" s="25" t="n">
        <x:v>9</x:v>
      </x:c>
      <x:c r="B13" s="26" t="str">
        <x:v>ЩЭ</x:v>
      </x:c>
      <x:c r="C13" s="26" t="str">
        <x:v>NXB-63-1P-C25-6kA</x:v>
      </x:c>
      <x:c r="D13" s="24" t="str">
        <x:v>ОТО 1P C25A, 6kA</x:v>
      </x:c>
      <x:c r="E13" s="24" t="str">
        <x:v>CHINT NXB-63</x:v>
      </x:c>
      <x:c r="F13" s="25" t="str">
        <x:v>шт.</x:v>
      </x:c>
      <x:c r="G13" s="27" t="n">
        <x:v>4</x:v>
      </x:c>
      <x:c r="H13" s="28"/>
      <x:c r="I13" s="28" t="str">
        <x:f>IF(H13="","",G13*H13)</x:f>
      </x:c>
      <x:c r="J13" s="24" t="str">
        <x:v>QF2.67; QF2.83-QF2.85</x:v>
      </x:c>
    </x:row>
    <x:row r="14" ht="32" customHeight="1">
      <x:c r="A14" s="25" t="n">
        <x:v>10</x:v>
      </x:c>
      <x:c r="B14" s="26" t="str">
        <x:v>ЩЭ</x:v>
      </x:c>
      <x:c r="C14" s="26" t="str">
        <x:v>NXB-63-1P-C40-6kA</x:v>
      </x:c>
      <x:c r="D14" s="24" t="str">
        <x:v>ОТО 1P C40A, 6kA</x:v>
      </x:c>
      <x:c r="E14" s="24" t="str">
        <x:v>CHINT NXB-63</x:v>
      </x:c>
      <x:c r="F14" s="25" t="str">
        <x:v>шт.</x:v>
      </x:c>
      <x:c r="G14" s="27" t="n">
        <x:v>1</x:v>
      </x:c>
      <x:c r="H14" s="28"/>
      <x:c r="I14" s="28" t="str">
        <x:f>IF(H14="","",G14*H14)</x:f>
      </x:c>
      <x:c r="J14" s="24" t="str">
        <x:v>QF2.81</x:v>
      </x:c>
    </x:row>
    <x:row r="15" ht="32" customHeight="1">
      <x:c r="A15" s="25" t="n">
        <x:v>11</x:v>
      </x:c>
      <x:c r="B15" s="26" t="str">
        <x:v>ЩЭ</x:v>
      </x:c>
      <x:c r="C15" s="26" t="str">
        <x:v>NXB-63-3P-C16-6kA</x:v>
      </x:c>
      <x:c r="D15" s="24" t="str">
        <x:v>ОТО 3P C16A, 6kA</x:v>
      </x:c>
      <x:c r="E15" s="24" t="str">
        <x:v>CHINT NXB-63</x:v>
      </x:c>
      <x:c r="F15" s="25" t="str">
        <x:v>шт.</x:v>
      </x:c>
      <x:c r="G15" s="27" t="n">
        <x:v>2</x:v>
      </x:c>
      <x:c r="H15" s="28"/>
      <x:c r="I15" s="28" t="str">
        <x:f>IF(H15="","",G15*H15)</x:f>
      </x:c>
      <x:c r="J15" s="24" t="str">
        <x:v>QF2.89-QF2.90</x:v>
      </x:c>
    </x:row>
    <x:row r="16" ht="32" customHeight="1">
      <x:c r="A16" s="25" t="n">
        <x:v>12</x:v>
      </x:c>
      <x:c r="B16" s="26" t="str">
        <x:v>ЩЭ</x:v>
      </x:c>
      <x:c r="C16" s="26" t="str">
        <x:v>NXB-63-3P-C20-6kA</x:v>
      </x:c>
      <x:c r="D16" s="24" t="str">
        <x:v>ОТО 3P C20A, 6kA</x:v>
      </x:c>
      <x:c r="E16" s="24" t="str">
        <x:v>CHINT NXB-63</x:v>
      </x:c>
      <x:c r="F16" s="25" t="str">
        <x:v>шт.</x:v>
      </x:c>
      <x:c r="G16" s="27" t="n">
        <x:v>2</x:v>
      </x:c>
      <x:c r="H16" s="28"/>
      <x:c r="I16" s="28" t="str">
        <x:f>IF(H16="","",G16*H16)</x:f>
      </x:c>
      <x:c r="J16" s="24" t="str">
        <x:v>QF2.91-QF2.92</x:v>
      </x:c>
    </x:row>
    <x:row r="17" ht="32" customHeight="1">
      <x:c r="A17" s="25" t="n">
        <x:v>13</x:v>
      </x:c>
      <x:c r="B17" s="26" t="str">
        <x:v>ЩЭ</x:v>
      </x:c>
      <x:c r="C17" s="26" t="str">
        <x:v>NXB-63-3P-C25-6kA</x:v>
      </x:c>
      <x:c r="D17" s="24" t="str">
        <x:v>ОТО 3P C25A, 6kA</x:v>
      </x:c>
      <x:c r="E17" s="24" t="str">
        <x:v>CHINT NXB-63</x:v>
      </x:c>
      <x:c r="F17" s="25" t="str">
        <x:v>шт.</x:v>
      </x:c>
      <x:c r="G17" s="27" t="n">
        <x:v>2</x:v>
      </x:c>
      <x:c r="H17" s="28"/>
      <x:c r="I17" s="28" t="str">
        <x:f>IF(H17="","",G17*H17)</x:f>
      </x:c>
      <x:c r="J17" s="24" t="str">
        <x:v>QF2.100-QF2.101</x:v>
      </x:c>
    </x:row>
    <x:row r="18" ht="32" customHeight="1">
      <x:c r="A18" s="25" t="n">
        <x:v>14</x:v>
      </x:c>
      <x:c r="B18" s="26" t="str">
        <x:v>ЩЭ</x:v>
      </x:c>
      <x:c r="C18" s="26" t="str">
        <x:v>NXB-63-3P-C32-6kA</x:v>
      </x:c>
      <x:c r="D18" s="24" t="str">
        <x:v>ОТО 3P C32A, 6kA</x:v>
      </x:c>
      <x:c r="E18" s="24" t="str">
        <x:v>CHINT NXB-63</x:v>
      </x:c>
      <x:c r="F18" s="25" t="str">
        <x:v>шт.</x:v>
      </x:c>
      <x:c r="G18" s="27" t="n">
        <x:v>2</x:v>
      </x:c>
      <x:c r="H18" s="28"/>
      <x:c r="I18" s="28" t="str">
        <x:f>IF(H18="","",G18*H18)</x:f>
      </x:c>
      <x:c r="J18" s="24" t="str">
        <x:v>QF2.98; QF2.102</x:v>
      </x:c>
    </x:row>
    <x:row r="19" ht="32" customHeight="1">
      <x:c r="A19" s="25" t="n">
        <x:v>15</x:v>
      </x:c>
      <x:c r="B19" s="26" t="str">
        <x:v>ЩЭ</x:v>
      </x:c>
      <x:c r="C19" s="26" t="str">
        <x:v>NXB-63-3P-C40-6kA</x:v>
      </x:c>
      <x:c r="D19" s="24" t="str">
        <x:v>ОТО 3P C40A, 6kA</x:v>
      </x:c>
      <x:c r="E19" s="24" t="str">
        <x:v>CHINT NXB-63</x:v>
      </x:c>
      <x:c r="F19" s="25" t="str">
        <x:v>шт.</x:v>
      </x:c>
      <x:c r="G19" s="27" t="n">
        <x:v>1</x:v>
      </x:c>
      <x:c r="H19" s="28"/>
      <x:c r="I19" s="28" t="str">
        <x:f>IF(H19="","",G19*H19)</x:f>
      </x:c>
      <x:c r="J19" s="24" t="str">
        <x:v>QF2.87</x:v>
      </x:c>
    </x:row>
    <x:row r="20" ht="32" customHeight="1">
      <x:c r="A20" s="25" t="n">
        <x:v>16</x:v>
      </x:c>
      <x:c r="B20" s="26" t="str">
        <x:v>ЩЭ</x:v>
      </x:c>
      <x:c r="C20" s="26" t="str">
        <x:v>NXB-63-3P-C63-6kA</x:v>
      </x:c>
      <x:c r="D20" s="24" t="str">
        <x:v>ОТО 3P C63A, 6kA</x:v>
      </x:c>
      <x:c r="E20" s="24" t="str">
        <x:v>CHINT NXB-63</x:v>
      </x:c>
      <x:c r="F20" s="25" t="str">
        <x:v>шт.</x:v>
      </x:c>
      <x:c r="G20" s="27" t="n">
        <x:v>2</x:v>
      </x:c>
      <x:c r="H20" s="28"/>
      <x:c r="I20" s="28" t="str">
        <x:f>IF(H20="","",G20*H20)</x:f>
      </x:c>
      <x:c r="J20" s="24" t="str">
        <x:v>QF2.86; QF2.88</x:v>
      </x:c>
    </x:row>
    <x:row r="21" ht="32" customHeight="1">
      <x:c r="A21" s="25" t="n">
        <x:v>17</x:v>
      </x:c>
      <x:c r="B21" s="26" t="str">
        <x:v>ЩЭ</x:v>
      </x:c>
      <x:c r="C21" s="26" t="str">
        <x:v>AL-BUSBAR-30x5</x:v>
      </x:c>
      <x:c r="D21" s="24" t="str">
        <x:v>Шина алюминиевая АД31Т 30x5 мм (L1/L2/L3/N, секция ШУ)</x:v>
      </x:c>
      <x:c r="E21" s="24" t="str">
        <x:v>EKT / экв.</x:v>
      </x:c>
      <x:c r="F21" s="25" t="str">
        <x:v>м</x:v>
      </x:c>
      <x:c r="G21" s="27" t="n">
        <x:v>4</x:v>
      </x:c>
      <x:c r="H21" s="28"/>
      <x:c r="I21" s="28" t="str">
        <x:f>IF(H21="","",G21*H21)</x:f>
      </x:c>
      <x:c r="J21" s="24" t="str">
        <x:v>Расчет на 200A; окончательная длина после компоновки.</x:v>
      </x:c>
    </x:row>
    <x:row r="22" ht="32" customHeight="1">
      <x:c r="A22" s="25" t="n">
        <x:v>18</x:v>
      </x:c>
      <x:c r="B22" s="26" t="str">
        <x:v>ЩЭ</x:v>
      </x:c>
      <x:c r="C22" s="26" t="str">
        <x:v>AL-BUSBAR-25x4-PE</x:v>
      </x:c>
      <x:c r="D22" s="24" t="str">
        <x:v>Шина алюминиевая АД31Т 25x4 мм, PE</x:v>
      </x:c>
      <x:c r="E22" s="24" t="str">
        <x:v>EKT / экв.</x:v>
      </x:c>
      <x:c r="F22" s="25" t="str">
        <x:v>м</x:v>
      </x:c>
      <x:c r="G22" s="27" t="n">
        <x:v>1.2</x:v>
      </x:c>
      <x:c r="H22" s="28"/>
      <x:c r="I22" s="28" t="str">
        <x:f>IF(H22="","",G22*H22)</x:f>
      </x:c>
      <x:c r="J22" s="24" t="str">
        <x:v>Общая PE шина.</x:v>
      </x:c>
    </x:row>
    <x:row r="23" ht="32" customHeight="1">
      <x:c r="A23" s="25" t="n">
        <x:v>19</x:v>
      </x:c>
      <x:c r="B23" s="26" t="str">
        <x:v>ЩЭ</x:v>
      </x:c>
      <x:c r="C23" s="26" t="str">
        <x:v>N-BAR-18-INS</x:v>
      </x:c>
      <x:c r="D23" s="24" t="str">
        <x:v>Шина N изолированная, не менее 18 присоединений (секция ИБП)</x:v>
      </x:c>
      <x:c r="E23" s="24" t="str">
        <x:v>EKT / экв.</x:v>
      </x:c>
      <x:c r="F23" s="25" t="str">
        <x:v>шт.</x:v>
      </x:c>
      <x:c r="G23" s="27" t="n">
        <x:v>1</x:v>
      </x:c>
      <x:c r="H23" s="28"/>
      <x:c r="I23" s="28" t="str">
        <x:f>IF(H23="","",G23*H23)</x:f>
      </x:c>
      <x:c r="J23" s="24" t="str">
        <x:v>N секции ИБП не объединять с N секции ШУ.</x:v>
      </x:c>
    </x:row>
    <x:row r="24" ht="32" customHeight="1">
      <x:c r="A24" s="25" t="n">
        <x:v>20</x:v>
      </x:c>
      <x:c r="B24" s="26" t="str">
        <x:v>ЩЭ</x:v>
      </x:c>
      <x:c r="C24" s="26" t="str">
        <x:v>COMB-1P-63A-18M</x:v>
      </x:c>
      <x:c r="D24" s="24" t="str">
        <x:v>Шина соединительная гребенчатая 1P, 63A, 18 модулей</x:v>
      </x:c>
      <x:c r="E24" s="24" t="str">
        <x:v>CHINT</x:v>
      </x:c>
      <x:c r="F24" s="25" t="str">
        <x:v>шт.</x:v>
      </x:c>
      <x:c r="G24" s="27" t="n">
        <x:v>1</x:v>
      </x:c>
      <x:c r="H24" s="28"/>
      <x:c r="I24" s="28" t="str">
        <x:f>IF(H24="","",G24*H24)</x:f>
      </x:c>
      <x:c r="J24" s="24" t="str">
        <x:v>Распределение QF1 на QF1.1-QF1.15.</x:v>
      </x:c>
    </x:row>
    <x:row r="25" ht="32" customHeight="1">
      <x:c r="A25" s="25" t="n">
        <x:v>21</x:v>
      </x:c>
      <x:c r="B25" s="26" t="str">
        <x:v>ЩЭ</x:v>
      </x:c>
      <x:c r="C25" s="26" t="str">
        <x:v>BUSBAR-SUPPORT</x:v>
      </x:c>
      <x:c r="D25" s="24" t="str">
        <x:v>Изолятор / держатель шин до 250A</x:v>
      </x:c>
      <x:c r="E25" s="24" t="str">
        <x:v>EKT / экв.</x:v>
      </x:c>
      <x:c r="F25" s="25" t="str">
        <x:v>шт.</x:v>
      </x:c>
      <x:c r="G25" s="27" t="n">
        <x:v>16</x:v>
      </x:c>
      <x:c r="H25" s="28"/>
      <x:c r="I25" s="28" t="str">
        <x:f>IF(H25="","",G25*H25)</x:f>
      </x:c>
      <x:c r="J25" s="24" t="str">
        <x:v>Для L1/L2/L3/N и PE.</x:v>
      </x:c>
    </x:row>
    <x:row r="26" ht="32" customHeight="1">
      <x:c r="A26" s="25" t="n">
        <x:v>22</x:v>
      </x:c>
      <x:c r="B26" s="26" t="str">
        <x:v>ЩЭ</x:v>
      </x:c>
      <x:c r="C26" s="26" t="str">
        <x:v>DIN-35x15-1000</x:v>
      </x:c>
      <x:c r="D26" s="24" t="str">
        <x:v>DIN рейка 35x15, L=1000 мм</x:v>
      </x:c>
      <x:c r="E26" s="24" t="str">
        <x:v>EKT / экв.</x:v>
      </x:c>
      <x:c r="F26" s="25" t="str">
        <x:v>шт.</x:v>
      </x:c>
      <x:c r="G26" s="27" t="n">
        <x:v>7</x:v>
      </x:c>
      <x:c r="H26" s="28"/>
      <x:c r="I26" s="28" t="str">
        <x:f>IF(H26="","",G26*H26)</x:f>
      </x:c>
      <x:c r="J26" s="24" t="str">
        <x:v>5 ray cihazlar, 2 ray çıkış klemensleri için.</x:v>
      </x:c>
    </x:row>
    <x:row r="27" ht="32" customHeight="1">
      <x:c r="A27" s="25" t="n">
        <x:v>23</x:v>
      </x:c>
      <x:c r="B27" s="26" t="str">
        <x:v>ЩЭ</x:v>
      </x:c>
      <x:c r="C27" s="26" t="str">
        <x:v>DUCT-100x60</x:v>
      </x:c>
      <x:c r="D27" s="24" t="str">
        <x:v>Кабельный канал 100x60 мм с крышкой</x:v>
      </x:c>
      <x:c r="E27" s="24" t="str">
        <x:v>ONKA / EKT</x:v>
      </x:c>
      <x:c r="F27" s="25" t="str">
        <x:v>м</x:v>
      </x:c>
      <x:c r="G27" s="27" t="n">
        <x:v>4</x:v>
      </x:c>
      <x:c r="H27" s="28"/>
      <x:c r="I27" s="28" t="str">
        <x:f>IF(H27="","",G27*H27)</x:f>
      </x:c>
      <x:c r="J27" s="24" t="str">
        <x:v>Ana düşey kanallar.</x:v>
      </x:c>
    </x:row>
    <x:row r="28" ht="32" customHeight="1">
      <x:c r="A28" s="25" t="n">
        <x:v>24</x:v>
      </x:c>
      <x:c r="B28" s="26" t="str">
        <x:v>ЩЭ</x:v>
      </x:c>
      <x:c r="C28" s="26" t="str">
        <x:v>DUCT-60x60</x:v>
      </x:c>
      <x:c r="D28" s="24" t="str">
        <x:v>Кабельный канал 60x60 мм с крышкой</x:v>
      </x:c>
      <x:c r="E28" s="24" t="str">
        <x:v>ONKA / EKT</x:v>
      </x:c>
      <x:c r="F28" s="25" t="str">
        <x:v>м</x:v>
      </x:c>
      <x:c r="G28" s="27" t="n">
        <x:v>12</x:v>
      </x:c>
      <x:c r="H28" s="28"/>
      <x:c r="I28" s="28" t="str">
        <x:f>IF(H28="","",G28*H28)</x:f>
      </x:c>
      <x:c r="J28" s="24" t="str">
        <x:v>Yatay ve yardımcı düşey kanallar.</x:v>
      </x:c>
    </x:row>
    <x:row r="29" ht="32" customHeight="1">
      <x:c r="A29" s="25" t="n">
        <x:v>25</x:v>
      </x:c>
      <x:c r="B29" s="26" t="str">
        <x:v>ЩЭ</x:v>
      </x:c>
      <x:c r="C29" s="26" t="str">
        <x:v>DIST-BLOCK-4P-125A</x:v>
      </x:c>
      <x:c r="D29" s="24" t="str">
        <x:v>Распределительный блок 4P, 125A</x:v>
      </x:c>
      <x:c r="E29" s="24" t="str">
        <x:v>KLEMSAN / EKT</x:v>
      </x:c>
      <x:c r="F29" s="25" t="str">
        <x:v>шт.</x:v>
      </x:c>
      <x:c r="G29" s="27" t="n">
        <x:v>5</x:v>
      </x:c>
      <x:c r="H29" s="28"/>
      <x:c r="I29" s="28" t="str">
        <x:f>IF(H29="","",G29*H29)</x:f>
      </x:c>
      <x:c r="J29" s="24" t="str">
        <x:v>QF2 bara çıkışlarının 5 cihaz sırasına dağıtımı.</x:v>
      </x:c>
    </x:row>
    <x:row r="30" ht="32" customHeight="1">
      <x:c r="A30" s="25" t="n">
        <x:v>26</x:v>
      </x:c>
      <x:c r="B30" s="26" t="str">
        <x:v>ЩЭ</x:v>
      </x:c>
      <x:c r="C30" s="26" t="str">
        <x:v>TERM-3L-LNPE-4</x:v>
      </x:c>
      <x:c r="D30" s="24" t="str">
        <x:v>Клемма 3-уровневая L/N/PE, 4 мм²</x:v>
      </x:c>
      <x:c r="E30" s="24" t="str">
        <x:v>KLEMSAN / экв.</x:v>
      </x:c>
      <x:c r="F30" s="25" t="str">
        <x:v>шт.</x:v>
      </x:c>
      <x:c r="G30" s="27" t="n">
        <x:v>106</x:v>
      </x:c>
      <x:c r="H30" s="28"/>
      <x:c r="I30" s="28" t="str">
        <x:f>IF(H30="","",G30*H30)</x:f>
      </x:c>
      <x:c r="J30" s="24" t="str">
        <x:v>106 tek fazlı çıkış devresi için.</x:v>
      </x:c>
    </x:row>
    <x:row r="31" ht="32" customHeight="1">
      <x:c r="A31" s="25" t="n">
        <x:v>27</x:v>
      </x:c>
      <x:c r="B31" s="26" t="str">
        <x:v>ЩЭ</x:v>
      </x:c>
      <x:c r="C31" s="26" t="str">
        <x:v>TERM-THROUGH-6</x:v>
      </x:c>
      <x:c r="D31" s="24" t="str">
        <x:v>Клемма проходная 6 мм²</x:v>
      </x:c>
      <x:c r="E31" s="24" t="str">
        <x:v>KLEMSAN / экв.</x:v>
      </x:c>
      <x:c r="F31" s="25" t="str">
        <x:v>шт.</x:v>
      </x:c>
      <x:c r="G31" s="27" t="n">
        <x:v>24</x:v>
      </x:c>
      <x:c r="H31" s="28"/>
      <x:c r="I31" s="28" t="str">
        <x:f>IF(H31="","",G31*H31)</x:f>
      </x:c>
      <x:c r="J31" s="24" t="str">
        <x:v>8 adet 3P 16-32A çıkış x 3 faz.</x:v>
      </x:c>
    </x:row>
    <x:row r="32" ht="32" customHeight="1">
      <x:c r="A32" s="25" t="n">
        <x:v>28</x:v>
      </x:c>
      <x:c r="B32" s="26" t="str">
        <x:v>ЩЭ</x:v>
      </x:c>
      <x:c r="C32" s="26" t="str">
        <x:v>TERM-PE-6</x:v>
      </x:c>
      <x:c r="D32" s="24" t="str">
        <x:v>Клемма PE 6 мм²</x:v>
      </x:c>
      <x:c r="E32" s="24" t="str">
        <x:v>KLEMSAN / экв.</x:v>
      </x:c>
      <x:c r="F32" s="25" t="str">
        <x:v>шт.</x:v>
      </x:c>
      <x:c r="G32" s="27" t="n">
        <x:v>8</x:v>
      </x:c>
      <x:c r="H32" s="28"/>
      <x:c r="I32" s="28" t="str">
        <x:f>IF(H32="","",G32*H32)</x:f>
      </x:c>
      <x:c r="J32" s="24" t="str">
        <x:v>3P 16-32A çıkışlar.</x:v>
      </x:c>
    </x:row>
    <x:row r="33" ht="32" customHeight="1">
      <x:c r="A33" s="25" t="n">
        <x:v>29</x:v>
      </x:c>
      <x:c r="B33" s="26" t="str">
        <x:v>ЩЭ</x:v>
      </x:c>
      <x:c r="C33" s="26" t="str">
        <x:v>TERM-THROUGH-10</x:v>
      </x:c>
      <x:c r="D33" s="24" t="str">
        <x:v>Клемма проходная 10 мм²</x:v>
      </x:c>
      <x:c r="E33" s="24" t="str">
        <x:v>KLEMSAN / экв.</x:v>
      </x:c>
      <x:c r="F33" s="25" t="str">
        <x:v>шт.</x:v>
      </x:c>
      <x:c r="G33" s="27" t="n">
        <x:v>3</x:v>
      </x:c>
      <x:c r="H33" s="28"/>
      <x:c r="I33" s="28" t="str">
        <x:f>IF(H33="","",G33*H33)</x:f>
      </x:c>
      <x:c r="J33" s="24" t="str">
        <x:v>QF2.87 - 3P 40A.</x:v>
      </x:c>
    </x:row>
    <x:row r="34" ht="32" customHeight="1">
      <x:c r="A34" s="25" t="n">
        <x:v>30</x:v>
      </x:c>
      <x:c r="B34" s="26" t="str">
        <x:v>ЩЭ</x:v>
      </x:c>
      <x:c r="C34" s="26" t="str">
        <x:v>TERM-PE-10</x:v>
      </x:c>
      <x:c r="D34" s="24" t="str">
        <x:v>Клемма PE 10 мм²</x:v>
      </x:c>
      <x:c r="E34" s="24" t="str">
        <x:v>KLEMSAN / экв.</x:v>
      </x:c>
      <x:c r="F34" s="25" t="str">
        <x:v>шт.</x:v>
      </x:c>
      <x:c r="G34" s="27" t="n">
        <x:v>1</x:v>
      </x:c>
      <x:c r="H34" s="28"/>
      <x:c r="I34" s="28" t="str">
        <x:f>IF(H34="","",G34*H34)</x:f>
      </x:c>
      <x:c r="J34" s="24" t="str">
        <x:v>QF2.87 - 3P 40A.</x:v>
      </x:c>
    </x:row>
    <x:row r="35" ht="32" customHeight="1">
      <x:c r="A35" s="25" t="n">
        <x:v>31</x:v>
      </x:c>
      <x:c r="B35" s="26" t="str">
        <x:v>ЩЭ</x:v>
      </x:c>
      <x:c r="C35" s="26" t="str">
        <x:v>TERM-THROUGH-16</x:v>
      </x:c>
      <x:c r="D35" s="24" t="str">
        <x:v>Клемма проходная 16 мм²</x:v>
      </x:c>
      <x:c r="E35" s="24" t="str">
        <x:v>KLEMSAN / экв.</x:v>
      </x:c>
      <x:c r="F35" s="25" t="str">
        <x:v>шт.</x:v>
      </x:c>
      <x:c r="G35" s="27" t="n">
        <x:v>6</x:v>
      </x:c>
      <x:c r="H35" s="28"/>
      <x:c r="I35" s="28" t="str">
        <x:f>IF(H35="","",G35*H35)</x:f>
      </x:c>
      <x:c r="J35" s="24" t="str">
        <x:v>QF2.86 ve QF2.88 - 2 adet 3P 63A.</x:v>
      </x:c>
    </x:row>
    <x:row r="36" ht="32" customHeight="1">
      <x:c r="A36" s="25" t="n">
        <x:v>32</x:v>
      </x:c>
      <x:c r="B36" s="26" t="str">
        <x:v>ЩЭ</x:v>
      </x:c>
      <x:c r="C36" s="26" t="str">
        <x:v>TERM-PE-16</x:v>
      </x:c>
      <x:c r="D36" s="24" t="str">
        <x:v>Клемма PE 16 мм²</x:v>
      </x:c>
      <x:c r="E36" s="24" t="str">
        <x:v>KLEMSAN / экв.</x:v>
      </x:c>
      <x:c r="F36" s="25" t="str">
        <x:v>шт.</x:v>
      </x:c>
      <x:c r="G36" s="27" t="n">
        <x:v>2</x:v>
      </x:c>
      <x:c r="H36" s="28"/>
      <x:c r="I36" s="28" t="str">
        <x:f>IF(H36="","",G36*H36)</x:f>
      </x:c>
      <x:c r="J36" s="24" t="str">
        <x:v>QF2.86 ve QF2.88.</x:v>
      </x:c>
    </x:row>
    <x:row r="37" ht="32" customHeight="1">
      <x:c r="A37" s="25" t="n">
        <x:v>33</x:v>
      </x:c>
      <x:c r="B37" s="26" t="str">
        <x:v>ЩЭ</x:v>
      </x:c>
      <x:c r="C37" s="26" t="str">
        <x:v>TERM-END-STOP</x:v>
      </x:c>
      <x:c r="D37" s="24" t="str">
        <x:v>Концевой стопор для клемм</x:v>
      </x:c>
      <x:c r="E37" s="24" t="str">
        <x:v>KLEMSAN / экв.</x:v>
      </x:c>
      <x:c r="F37" s="25" t="str">
        <x:v>шт.</x:v>
      </x:c>
      <x:c r="G37" s="27" t="n">
        <x:v>20</x:v>
      </x:c>
      <x:c r="H37" s="28"/>
      <x:c r="I37" s="28" t="str">
        <x:f>IF(H37="","",G37*H37)</x:f>
      </x:c>
      <x:c r="J37" s="24" t="str">
        <x:v>Klemens grupları için.</x:v>
      </x:c>
    </x:row>
    <x:row r="38" ht="32" customHeight="1">
      <x:c r="A38" s="25" t="n">
        <x:v>34</x:v>
      </x:c>
      <x:c r="B38" s="26" t="str">
        <x:v>ЩЭ</x:v>
      </x:c>
      <x:c r="C38" s="26" t="str">
        <x:v>TERM-MARKER-SET</x:v>
      </x:c>
      <x:c r="D38" s="24" t="str">
        <x:v>Маркировка клемм и групп</x:v>
      </x:c>
      <x:c r="E38" s="24" t="str">
        <x:v>KLEMSAN / TEKLED</x:v>
      </x:c>
      <x:c r="F38" s="25" t="str">
        <x:v>компл.</x:v>
      </x:c>
      <x:c r="G38" s="27" t="n">
        <x:v>1</x:v>
      </x:c>
      <x:c r="H38" s="28"/>
      <x:c r="I38" s="28" t="str">
        <x:f>IF(H38="","",G38*H38)</x:f>
      </x:c>
      <x:c r="J38" s="24" t="str">
        <x:v>QF ve devre numaraları şemaya göre.</x:v>
      </x:c>
    </x:row>
    <x:row r="39" ht="32" customHeight="1">
      <x:c r="A39" s="25" t="n">
        <x:v>35</x:v>
      </x:c>
      <x:c r="B39" s="26" t="str">
        <x:v>ЩЭ</x:v>
      </x:c>
      <x:c r="C39" s="26" t="str">
        <x:v>GLAND-OUT-SET</x:v>
      </x:c>
      <x:c r="D39" s="24" t="str">
        <x:v>Кабельный ввод IP54 для отходящих линий, M20-M32</x:v>
      </x:c>
      <x:c r="E39" s="24" t="str">
        <x:v>EKT / экв.</x:v>
      </x:c>
      <x:c r="F39" s="25" t="str">
        <x:v>шт.</x:v>
      </x:c>
      <x:c r="G39" s="27" t="n">
        <x:v>117</x:v>
      </x:c>
      <x:c r="H39" s="28"/>
      <x:c r="I39" s="28" t="str">
        <x:f>IF(H39="","",G39*H39)</x:f>
      </x:c>
      <x:c r="J39" s="24" t="str">
        <x:v>Kesin ölçüler kablo dış çapı ve üretim giriş planına göre dağıtılacaktır.</x:v>
      </x:c>
    </x:row>
    <x:row r="40" ht="32" customHeight="1">
      <x:c r="A40" s="25" t="n">
        <x:v>36</x:v>
      </x:c>
      <x:c r="B40" s="26" t="str">
        <x:v>ЩЭ</x:v>
      </x:c>
      <x:c r="C40" s="26" t="str">
        <x:v>GLAND-M25</x:v>
      </x:c>
      <x:c r="D40" s="24" t="str">
        <x:v>Кабельный ввод IP54, M25</x:v>
      </x:c>
      <x:c r="E40" s="24" t="str">
        <x:v>EKT / экв.</x:v>
      </x:c>
      <x:c r="F40" s="25" t="str">
        <x:v>шт.</x:v>
      </x:c>
      <x:c r="G40" s="27" t="n">
        <x:v>1</x:v>
      </x:c>
      <x:c r="H40" s="28"/>
      <x:c r="I40" s="28" t="str">
        <x:f>IF(H40="","",G40*H40)</x:f>
      </x:c>
      <x:c r="J40" s="24" t="str">
        <x:v>Ввод QF1: ВВГнг-LS 3x4 мм².</x:v>
      </x:c>
    </x:row>
    <x:row r="41" ht="32" customHeight="1">
      <x:c r="A41" s="25" t="n">
        <x:v>37</x:v>
      </x:c>
      <x:c r="B41" s="26" t="str">
        <x:v>ЩЭ</x:v>
      </x:c>
      <x:c r="C41" s="26" t="str">
        <x:v>GLAND-M63</x:v>
      </x:c>
      <x:c r="D41" s="24" t="str">
        <x:v>Кабельный ввод IP54, M63</x:v>
      </x:c>
      <x:c r="E41" s="24" t="str">
        <x:v>EKT / экв.</x:v>
      </x:c>
      <x:c r="F41" s="25" t="str">
        <x:v>шт.</x:v>
      </x:c>
      <x:c r="G41" s="27" t="n">
        <x:v>1</x:v>
      </x:c>
      <x:c r="H41" s="28"/>
      <x:c r="I41" s="28" t="str">
        <x:f>IF(H41="","",G41*H41)</x:f>
      </x:c>
      <x:c r="J41" s="24" t="str">
        <x:v>Ввод QF2: АВВГнг 5x120 мм²; dış çap sahada doğrulanmalı.</x:v>
      </x:c>
    </x:row>
    <x:row r="42" ht="32" customHeight="1">
      <x:c r="A42" s="25" t="n">
        <x:v>38</x:v>
      </x:c>
      <x:c r="B42" s="26" t="str">
        <x:v>ЩЭ</x:v>
      </x:c>
      <x:c r="C42" s="26" t="str">
        <x:v>TAM-120</x:v>
      </x:c>
      <x:c r="D42" s="24" t="str">
        <x:v>Наконечник алюмомедный ТАМ 120 мм²</x:v>
      </x:c>
      <x:c r="E42" s="24" t="str">
        <x:v>EKT / экв.</x:v>
      </x:c>
      <x:c r="F42" s="25" t="str">
        <x:v>шт.</x:v>
      </x:c>
      <x:c r="G42" s="27" t="n">
        <x:v>5</x:v>
      </x:c>
      <x:c r="H42" s="28"/>
      <x:c r="I42" s="28" t="str">
        <x:f>IF(H42="","",G42*H42)</x:f>
      </x:c>
      <x:c r="J42" s="24" t="str">
        <x:v>QF2 giriş kablosu L1/L2/L3/N/PE.</x:v>
      </x:c>
    </x:row>
    <x:row r="43" ht="32" customHeight="1">
      <x:c r="A43" s="25" t="n">
        <x:v>39</x:v>
      </x:c>
      <x:c r="B43" s="26" t="str">
        <x:v>ЩЭ</x:v>
      </x:c>
      <x:c r="C43" s="26" t="str">
        <x:v>LUG-CU-4</x:v>
      </x:c>
      <x:c r="D43" s="24" t="str">
        <x:v>Наконечник медный 4 мм²</x:v>
      </x:c>
      <x:c r="E43" s="24" t="str">
        <x:v>EKT / экв.</x:v>
      </x:c>
      <x:c r="F43" s="25" t="str">
        <x:v>шт.</x:v>
      </x:c>
      <x:c r="G43" s="27" t="n">
        <x:v>3</x:v>
      </x:c>
      <x:c r="H43" s="28"/>
      <x:c r="I43" s="28" t="str">
        <x:f>IF(H43="","",G43*H43)</x:f>
      </x:c>
      <x:c r="J43" s="24" t="str">
        <x:v>QF1 giriş kablosu L/N/PE.</x:v>
      </x:c>
    </x:row>
    <x:row r="44" ht="32" customHeight="1">
      <x:c r="A44" s="25" t="n">
        <x:v>40</x:v>
      </x:c>
      <x:c r="B44" s="26" t="str">
        <x:v>ЩЭ</x:v>
      </x:c>
      <x:c r="C44" s="26" t="str">
        <x:v>H07V-K-2.5</x:v>
      </x:c>
      <x:c r="D44" s="24" t="str">
        <x:v>Провод монтажный H07V-K 2,5 мм², комплект цветов</x:v>
      </x:c>
      <x:c r="E44" s="24" t="str">
        <x:v>HARMONY</x:v>
      </x:c>
      <x:c r="F44" s="25" t="str">
        <x:v>м</x:v>
      </x:c>
      <x:c r="G44" s="27" t="n">
        <x:v>50</x:v>
      </x:c>
      <x:c r="H44" s="28"/>
      <x:c r="I44" s="28" t="str">
        <x:f>IF(H44="","",G44*H44)</x:f>
      </x:c>
      <x:c r="J44" s="24" t="str">
        <x:v>İç bağlantı ön hesabı; nihai boy yerleşimden.</x:v>
      </x:c>
    </x:row>
    <x:row r="45" ht="32" customHeight="1">
      <x:c r="A45" s="25" t="n">
        <x:v>41</x:v>
      </x:c>
      <x:c r="B45" s="26" t="str">
        <x:v>ЩЭ</x:v>
      </x:c>
      <x:c r="C45" s="26" t="str">
        <x:v>H07V-K-4</x:v>
      </x:c>
      <x:c r="D45" s="24" t="str">
        <x:v>Провод монтажный H07V-K 4 мм², комплект цветов</x:v>
      </x:c>
      <x:c r="E45" s="24" t="str">
        <x:v>HARMONY</x:v>
      </x:c>
      <x:c r="F45" s="25" t="str">
        <x:v>м</x:v>
      </x:c>
      <x:c r="G45" s="27" t="n">
        <x:v>120</x:v>
      </x:c>
      <x:c r="H45" s="28"/>
      <x:c r="I45" s="28" t="str">
        <x:f>IF(H45="","",G45*H45)</x:f>
      </x:c>
      <x:c r="J45" s="24" t="str">
        <x:v>İç bağlantı ön hesabı; nihai boy yerleşimden.</x:v>
      </x:c>
    </x:row>
    <x:row r="46" ht="32" customHeight="1">
      <x:c r="A46" s="25" t="n">
        <x:v>42</x:v>
      </x:c>
      <x:c r="B46" s="26" t="str">
        <x:v>ЩЭ</x:v>
      </x:c>
      <x:c r="C46" s="26" t="str">
        <x:v>H07V-K-6</x:v>
      </x:c>
      <x:c r="D46" s="24" t="str">
        <x:v>Провод монтажный H07V-K 6 мм², комплект цветов</x:v>
      </x:c>
      <x:c r="E46" s="24" t="str">
        <x:v>HARMONY</x:v>
      </x:c>
      <x:c r="F46" s="25" t="str">
        <x:v>м</x:v>
      </x:c>
      <x:c r="G46" s="27" t="n">
        <x:v>40</x:v>
      </x:c>
      <x:c r="H46" s="28"/>
      <x:c r="I46" s="28" t="str">
        <x:f>IF(H46="","",G46*H46)</x:f>
      </x:c>
      <x:c r="J46" s="24" t="str">
        <x:v>İç bağlantı ön hesabı; nihai boy yerleşimden.</x:v>
      </x:c>
    </x:row>
    <x:row r="47" ht="32" customHeight="1">
      <x:c r="A47" s="25" t="n">
        <x:v>43</x:v>
      </x:c>
      <x:c r="B47" s="26" t="str">
        <x:v>ЩЭ</x:v>
      </x:c>
      <x:c r="C47" s="26" t="str">
        <x:v>H07V-K-10</x:v>
      </x:c>
      <x:c r="D47" s="24" t="str">
        <x:v>Провод монтажный H07V-K 10 мм², комплект цветов</x:v>
      </x:c>
      <x:c r="E47" s="24" t="str">
        <x:v>HARMONY</x:v>
      </x:c>
      <x:c r="F47" s="25" t="str">
        <x:v>м</x:v>
      </x:c>
      <x:c r="G47" s="27" t="n">
        <x:v>15</x:v>
      </x:c>
      <x:c r="H47" s="28"/>
      <x:c r="I47" s="28" t="str">
        <x:f>IF(H47="","",G47*H47)</x:f>
      </x:c>
      <x:c r="J47" s="24" t="str">
        <x:v>İç bağlantı ön hesabı; nihai boy yerleşimden.</x:v>
      </x:c>
    </x:row>
    <x:row r="48" ht="32" customHeight="1">
      <x:c r="A48" s="25" t="n">
        <x:v>44</x:v>
      </x:c>
      <x:c r="B48" s="26" t="str">
        <x:v>ЩЭ</x:v>
      </x:c>
      <x:c r="C48" s="26" t="str">
        <x:v>H07V-K-16</x:v>
      </x:c>
      <x:c r="D48" s="24" t="str">
        <x:v>Провод монтажный H07V-K 16 мм², комплект цветов</x:v>
      </x:c>
      <x:c r="E48" s="24" t="str">
        <x:v>HARMONY</x:v>
      </x:c>
      <x:c r="F48" s="25" t="str">
        <x:v>м</x:v>
      </x:c>
      <x:c r="G48" s="27" t="n">
        <x:v>12</x:v>
      </x:c>
      <x:c r="H48" s="28"/>
      <x:c r="I48" s="28" t="str">
        <x:f>IF(H48="","",G48*H48)</x:f>
      </x:c>
      <x:c r="J48" s="24" t="str">
        <x:v>İç bağlantı ön hesabı; nihai boy yerleşimden.</x:v>
      </x:c>
    </x:row>
    <x:row r="49" ht="32" customHeight="1">
      <x:c r="A49" s="25" t="n">
        <x:v>45</x:v>
      </x:c>
      <x:c r="B49" s="26" t="str">
        <x:v>ЩЭ</x:v>
      </x:c>
      <x:c r="C49" s="26" t="str">
        <x:v>H07V-K-70</x:v>
      </x:c>
      <x:c r="D49" s="24" t="str">
        <x:v>Провод монтажный H07V-K 70 мм², комплект цветов</x:v>
      </x:c>
      <x:c r="E49" s="24" t="str">
        <x:v>HARMONY</x:v>
      </x:c>
      <x:c r="F49" s="25" t="str">
        <x:v>м</x:v>
      </x:c>
      <x:c r="G49" s="27" t="n">
        <x:v>8</x:v>
      </x:c>
      <x:c r="H49" s="28"/>
      <x:c r="I49" s="28" t="str">
        <x:f>IF(H49="","",G49*H49)</x:f>
      </x:c>
      <x:c r="J49" s="24" t="str">
        <x:v>QF2-MCCB ile 200A bara arası ön hesap.</x:v>
      </x:c>
    </x:row>
    <x:row r="50" ht="32" customHeight="1">
      <x:c r="A50" s="25" t="n">
        <x:v>46</x:v>
      </x:c>
      <x:c r="B50" s="26" t="str">
        <x:v>ЩЭ</x:v>
      </x:c>
      <x:c r="C50" s="26" t="str">
        <x:v>LABEL-SET</x:v>
      </x:c>
      <x:c r="D50" s="24" t="str">
        <x:v>Комплект маркировки аппаратов, кабелей и предупреждающих табличек</x:v>
      </x:c>
      <x:c r="E50" s="24" t="str">
        <x:v>TEKLED</x:v>
      </x:c>
      <x:c r="F50" s="25" t="str">
        <x:v>компл.</x:v>
      </x:c>
      <x:c r="G50" s="27" t="n">
        <x:v>1</x:v>
      </x:c>
      <x:c r="H50" s="28"/>
      <x:c r="I50" s="28" t="str">
        <x:f>IF(H50="","",G50*H50)</x:f>
      </x:c>
      <x:c r="J50" s="24" t="str">
        <x:v>Kapak ve iç yerleşim etiketleri dahil.</x:v>
      </x:c>
    </x:row>
    <x:row r="51" ht="32" customHeight="1">
      <x:c r="A51" s="60" t="n">
        <x:v>47</x:v>
      </x:c>
      <x:c r="B51" s="61" t="str">
        <x:v>ЩЭ</x:v>
      </x:c>
      <x:c r="C51" s="61" t="str">
        <x:v>MOUNT-MAT</x:v>
      </x:c>
      <x:c r="D51" s="62" t="str">
        <x:v>Монтажный материал</x:v>
      </x:c>
      <x:c r="E51" s="62" t="str">
        <x:v>EKT / ONKA / KLEMSAN</x:v>
      </x:c>
      <x:c r="F51" s="60" t="str">
        <x:v>компл.</x:v>
      </x:c>
      <x:c r="G51" s="63" t="n">
        <x:v>1</x:v>
      </x:c>
      <x:c r="H51" s="64"/>
      <x:c r="I51" s="64" t="str">
        <x:f>IF(H51="","",G51*H51)</x:f>
      </x:c>
      <x:c r="J51" s="62" t="str">
        <x:v>Kablo pabuçları, yüksükler, ısıyla daralan makaron, bağ, vida ve küçük sarflar.</x:v>
      </x:c>
    </x:row>
    <x:row r="52" ht="32" customHeight="1">
      <x:c r="A52" s="60" t="n">
        <x:v>48</x:v>
      </x:c>
      <x:c r="B52" s="61" t="str">
        <x:v>ЩЭ</x:v>
      </x:c>
      <x:c r="C52" s="61" t="str">
        <x:v>MOUNT-WORK</x:v>
      </x:c>
      <x:c r="D52" s="62" t="str">
        <x:v>Монтажные работы</x:v>
      </x:c>
      <x:c r="E52" s="62" t="str">
        <x:v>TEKLED</x:v>
      </x:c>
      <x:c r="F52" s="60" t="str">
        <x:v>работа</x:v>
      </x:c>
      <x:c r="G52" s="63" t="n">
        <x:v>1</x:v>
      </x:c>
      <x:c r="H52" s="64"/>
      <x:c r="I52" s="64" t="str">
        <x:f>IF(H52="","",G52*H52)</x:f>
      </x:c>
      <x:c r="J52" s="62" t="str">
        <x:v>Toplama, kablaj, etiketleme, tork kontrolü ve fonksiyon testi.</x:v>
      </x:c>
    </x:row>
  </x:sheetData>
  <x:mergeCells>
    <x:mergeCell ref="A1:J1"/>
    <x:mergeCell ref="A3:G3"/>
  </x:mergeCells>
  <x:pageMargins left="0.7" right="0.7" top="0.75" bottom="0.75" header="0.3" footer="0.3"/>
</x:worksheet>
</file>