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817 nariman bey\"/>
    </mc:Choice>
  </mc:AlternateContent>
  <xr:revisionPtr revIDLastSave="0" documentId="13_ncr:1_{0E14E3DC-E741-4AB3-9DA2-86EDD647D70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1" sheetId="2" r:id="rId1"/>
  </sheets>
  <definedNames>
    <definedName name="_xlnm._FilterDatabase" localSheetId="0" hidden="1">Sayfa1!$A$1:$J$19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2" l="1"/>
  <c r="G8" i="2" s="1"/>
  <c r="F9" i="2"/>
  <c r="F10" i="2"/>
  <c r="F11" i="2"/>
  <c r="F12" i="2"/>
  <c r="F13" i="2"/>
  <c r="F14" i="2"/>
  <c r="F15" i="2"/>
  <c r="F16" i="2"/>
  <c r="F4" i="2"/>
  <c r="F5" i="2"/>
  <c r="F6" i="2"/>
  <c r="G16" i="2"/>
  <c r="G15" i="2"/>
  <c r="G14" i="2"/>
  <c r="G13" i="2"/>
  <c r="G4" i="2"/>
  <c r="G18" i="2"/>
  <c r="H18" i="2"/>
  <c r="G10" i="2"/>
  <c r="F3" i="2"/>
  <c r="F7" i="2"/>
  <c r="G7" i="2" s="1"/>
  <c r="G11" i="2"/>
  <c r="G9" i="2"/>
  <c r="G5" i="2"/>
  <c r="A2" i="2"/>
  <c r="A3" i="2" l="1"/>
  <c r="A4" i="2"/>
  <c r="E17" i="2"/>
  <c r="F17" i="2" s="1"/>
  <c r="G6" i="2"/>
  <c r="G3" i="2"/>
  <c r="A5" i="2"/>
  <c r="A6" i="2" s="1"/>
  <c r="G12" i="2"/>
  <c r="A7" i="2" l="1"/>
  <c r="A8" i="2" s="1"/>
  <c r="A9" i="2" s="1"/>
  <c r="A10" i="2" s="1"/>
  <c r="A11" i="2" s="1"/>
  <c r="A12" i="2" s="1"/>
  <c r="A17" i="2" l="1"/>
  <c r="A18" i="2" s="1"/>
  <c r="A19" i="2" s="1"/>
  <c r="A13" i="2"/>
  <c r="A14" i="2" s="1"/>
  <c r="A15" i="2" s="1"/>
  <c r="A16" i="2" s="1"/>
  <c r="G17" i="2" l="1"/>
  <c r="G19" i="2" l="1"/>
  <c r="E2" i="2" s="1"/>
</calcChain>
</file>

<file path=xl/sharedStrings.xml><?xml version="1.0" encoding="utf-8"?>
<sst xmlns="http://schemas.openxmlformats.org/spreadsheetml/2006/main" count="94" uniqueCount="50">
  <si>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</si>
  <si>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</si>
  <si>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</si>
  <si>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</si>
  <si>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</si>
  <si>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</si>
  <si>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</si>
  <si>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</si>
  <si>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</si>
  <si>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</si>
  <si>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</si>
  <si>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</si>
  <si>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</si>
  <si>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</si>
  <si>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</si>
  <si>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</si>
  <si>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chint</t>
  </si>
  <si>
    <t>296829</t>
  </si>
  <si>
    <t>Авт. выкл. NXB-63S 3P 25А 4.5kA х-ка C (R)</t>
  </si>
  <si>
    <t>296833</t>
  </si>
  <si>
    <t>Авт. выкл. NXB-63S 3P 63А 4.5kA х-ка C (R)</t>
  </si>
  <si>
    <t>dif</t>
  </si>
  <si>
    <t>Авт. выкл. NXB-63S 3P 32А 4.5kA х-ка C (R)</t>
  </si>
  <si>
    <t>296830</t>
  </si>
  <si>
    <t>mccb</t>
  </si>
  <si>
    <t>296828</t>
  </si>
  <si>
    <t>Авт. выкл. NXB-63S 3P 20А 4.5kA х-ка C (R)</t>
  </si>
  <si>
    <t>131367</t>
  </si>
  <si>
    <t>Авт. выкл. NXM-250S/3Р 200A 36кА (R)</t>
  </si>
  <si>
    <t>296712</t>
  </si>
  <si>
    <t>Авт. выкл. NXB-63S 1P 25А 4.5kA х-ка C (R)</t>
  </si>
  <si>
    <t>296827</t>
  </si>
  <si>
    <t>Авт. выкл. NXB-63S 3P 16А 4.5kA х-ка C (R)</t>
  </si>
  <si>
    <t>296710</t>
  </si>
  <si>
    <t>Авт. выкл. NXB-63S 1P 16А 4.5kA х-ка C (R)</t>
  </si>
  <si>
    <t>?</t>
  </si>
  <si>
    <t>296713</t>
  </si>
  <si>
    <t>Авт. выкл. NXB-63S 1P 32А 4.5kA х-ка C (R)</t>
  </si>
  <si>
    <t>296714</t>
  </si>
  <si>
    <t>Авт. выкл. NXB-63S 1P 40А 4.5kA х-ка C (R)</t>
  </si>
  <si>
    <t>296831</t>
  </si>
  <si>
    <t>Авт. выкл. NXB-63S 3P 40А 4.5kA х-ка C (R)</t>
  </si>
  <si>
    <t>kaztek</t>
  </si>
  <si>
    <t>ЩЭ (260825 nrmn)</t>
  </si>
  <si>
    <t>719-15043</t>
  </si>
  <si>
    <t>Мет. Щит ВРУ 1700х800х450+10CM База</t>
  </si>
  <si>
    <t>515395</t>
  </si>
  <si>
    <t>Диф. авт. выкл. NXBLE-63YH 1P+N C25 30mA тип A, 6kA (R)</t>
  </si>
  <si>
    <t>515402</t>
  </si>
  <si>
    <t>Диф. авт. выкл. NXBLE-63YH 1P+N C32 30mA тип A, 6kA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</si>
</sst>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K19"/>
  <sheetViews>
    <sheetView tabSelected="1" zoomScale="115" zoomScaleNormal="115" workbookViewId="0">
      <pane ySplit="1" topLeftCell="A2" activePane="bottomLeft" state="frozen"/>
      <selection pane="bottomLeft" activeCell="D12" sqref="D12"/>
    </sheetView>
  </sheetViews>
  <sheetFormatPr defaultRowHeight="21" customHeight="1" x14ac:dyDescent="0.25"/>
  <cols>
    <col min="1" max="1" width="36.42578125" customWidth="1"/>
    <col min="3" max="3" width="9.28515625" bestFit="1" customWidth="1"/>
    <col min="4" max="4" width="72.42578125" customWidth="1"/>
    <col min="5" max="6" width="10" bestFit="1" customWidth="1"/>
    <col min="7" max="7" width="15.7109375" bestFit="1" customWidth="1"/>
    <col min="8" max="8" width="9.28515625" bestFit="1" customWidth="1"/>
  </cols>
  <sheetData>
    <row r="1" spans="1:11" ht="39.7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1" t="s">
        <v>3</v>
      </c>
      <c r="F1" s="1" t="s">
        <v>3</v>
      </c>
      <c r="G1" s="3" t="s">
        <v>6</v>
      </c>
      <c r="H1" s="4" t="s">
        <v>15</v>
      </c>
      <c r="I1" s="4" t="s">
        <v>4</v>
      </c>
      <c r="J1" s="4" t="s">
        <v>5</v>
      </c>
    </row>
    <row r="2" spans="1:11" ht="39.75" customHeight="1" x14ac:dyDescent="0.25">
      <c r="A2" s="5" t="str">
        <f>D2</f>
        <v>ЩЭ (260825 nrmn)</v>
      </c>
      <c r="B2" s="6"/>
      <c r="C2" s="7"/>
      <c r="D2" s="6" t="s">
        <v>43</v>
      </c>
      <c r="E2" s="8">
        <f ca="1">2.3*G19</f>
        <v>1037580.6</v>
      </c>
      <c r="F2" s="8"/>
      <c r="G2" s="9"/>
      <c r="H2" s="10">
        <v>1</v>
      </c>
      <c r="I2" s="11" t="s">
        <v>7</v>
      </c>
      <c r="J2" s="6" t="s">
        <v>9</v>
      </c>
    </row>
    <row r="3" spans="1:11" ht="21" customHeight="1" x14ac:dyDescent="0.25">
      <c r="A3" s="12" t="str">
        <f>A2</f>
        <v>ЩЭ (260825 nrmn)</v>
      </c>
      <c r="B3" s="13" t="s">
        <v>8</v>
      </c>
      <c r="C3" s="14" t="s">
        <v>44</v>
      </c>
      <c r="D3" s="12" t="s">
        <v>45</v>
      </c>
      <c r="E3" s="13">
        <v>155000</v>
      </c>
      <c r="F3" s="15">
        <f>E3*0.6</f>
        <v>93000</v>
      </c>
      <c r="G3" s="15">
        <f>H3*F3</f>
        <v>93000</v>
      </c>
      <c r="H3" s="16">
        <v>1</v>
      </c>
      <c r="I3" s="17" t="s">
        <v>13</v>
      </c>
      <c r="J3" s="13" t="s">
        <v>42</v>
      </c>
    </row>
    <row r="4" spans="1:11" ht="21" customHeight="1" x14ac:dyDescent="0.25">
      <c r="A4" s="12" t="str">
        <f>A2</f>
        <v>ЩЭ (260825 nrmn)</v>
      </c>
      <c r="B4" s="13" t="s">
        <v>24</v>
      </c>
      <c r="C4" s="14" t="s">
        <v>27</v>
      </c>
      <c r="D4" s="12" t="s">
        <v>28</v>
      </c>
      <c r="E4" s="13">
        <v>34800</v>
      </c>
      <c r="F4" s="15">
        <f t="shared" ref="F4:F16" si="0">E4*0.6</f>
        <v>20880</v>
      </c>
      <c r="G4" s="15">
        <f>F4*H4</f>
        <v>20880</v>
      </c>
      <c r="H4" s="16">
        <v>1</v>
      </c>
      <c r="I4" s="17" t="s">
        <v>13</v>
      </c>
      <c r="J4" s="13" t="s">
        <v>16</v>
      </c>
    </row>
    <row r="5" spans="1:11" ht="21" customHeight="1" x14ac:dyDescent="0.25">
      <c r="A5" s="12" t="str">
        <f>A3</f>
        <v>ЩЭ (260825 nrmn)</v>
      </c>
      <c r="B5" s="13" t="s">
        <v>12</v>
      </c>
      <c r="C5" s="14" t="s">
        <v>36</v>
      </c>
      <c r="D5" s="12" t="s">
        <v>37</v>
      </c>
      <c r="E5" s="13">
        <v>902</v>
      </c>
      <c r="F5" s="15">
        <f t="shared" si="0"/>
        <v>541.19999999999993</v>
      </c>
      <c r="G5" s="15">
        <f>F5*H5</f>
        <v>541.19999999999993</v>
      </c>
      <c r="H5" s="16">
        <v>1</v>
      </c>
      <c r="I5" s="17" t="s">
        <v>13</v>
      </c>
      <c r="J5" s="13" t="s">
        <v>16</v>
      </c>
    </row>
    <row r="6" spans="1:11" ht="21" customHeight="1" x14ac:dyDescent="0.25">
      <c r="A6" s="12" t="str">
        <f t="shared" ref="A6:A19" si="1">A5</f>
        <v>ЩЭ (260825 nrmn)</v>
      </c>
      <c r="B6" s="13" t="s">
        <v>12</v>
      </c>
      <c r="C6" s="14" t="s">
        <v>33</v>
      </c>
      <c r="D6" s="12" t="s">
        <v>34</v>
      </c>
      <c r="E6" s="13">
        <v>783</v>
      </c>
      <c r="F6" s="15">
        <f t="shared" si="0"/>
        <v>469.79999999999995</v>
      </c>
      <c r="G6" s="15">
        <f t="shared" ref="G6:G7" si="2">F6*H6</f>
        <v>20671.199999999997</v>
      </c>
      <c r="H6" s="16">
        <v>44</v>
      </c>
      <c r="I6" s="17" t="s">
        <v>13</v>
      </c>
      <c r="J6" s="13" t="s">
        <v>16</v>
      </c>
    </row>
    <row r="7" spans="1:11" ht="21" customHeight="1" x14ac:dyDescent="0.25">
      <c r="A7" s="12" t="str">
        <f t="shared" si="1"/>
        <v>ЩЭ (260825 nrmn)</v>
      </c>
      <c r="B7" s="13" t="s">
        <v>21</v>
      </c>
      <c r="C7" s="14" t="s">
        <v>46</v>
      </c>
      <c r="D7" s="12" t="s">
        <v>47</v>
      </c>
      <c r="E7" s="13">
        <v>5069</v>
      </c>
      <c r="F7" s="15">
        <f t="shared" ref="F7" si="3">E7*0.6</f>
        <v>3041.4</v>
      </c>
      <c r="G7" s="15">
        <f t="shared" si="2"/>
        <v>149028.6</v>
      </c>
      <c r="H7" s="16">
        <v>49</v>
      </c>
      <c r="I7" s="17" t="s">
        <v>13</v>
      </c>
      <c r="J7" s="13" t="s">
        <v>16</v>
      </c>
    </row>
    <row r="8" spans="1:11" ht="21" customHeight="1" x14ac:dyDescent="0.25">
      <c r="A8" s="12" t="str">
        <f t="shared" si="1"/>
        <v>ЩЭ (260825 nrmn)</v>
      </c>
      <c r="B8" s="13" t="s">
        <v>21</v>
      </c>
      <c r="C8" s="14" t="s">
        <v>48</v>
      </c>
      <c r="D8" s="12" t="s">
        <v>49</v>
      </c>
      <c r="E8" s="13">
        <v>5552</v>
      </c>
      <c r="F8" s="15">
        <f t="shared" si="0"/>
        <v>3331.2</v>
      </c>
      <c r="G8" s="15">
        <f t="shared" ref="G8" si="4">F8*H8</f>
        <v>26649.599999999999</v>
      </c>
      <c r="H8" s="16">
        <v>8</v>
      </c>
      <c r="I8" s="17" t="s">
        <v>13</v>
      </c>
      <c r="J8" s="13" t="s">
        <v>16</v>
      </c>
    </row>
    <row r="9" spans="1:11" ht="21" customHeight="1" x14ac:dyDescent="0.25">
      <c r="A9" s="12" t="str">
        <f t="shared" si="1"/>
        <v>ЩЭ (260825 nrmn)</v>
      </c>
      <c r="B9" s="13" t="s">
        <v>12</v>
      </c>
      <c r="C9" s="14" t="s">
        <v>29</v>
      </c>
      <c r="D9" s="12" t="s">
        <v>30</v>
      </c>
      <c r="E9" s="13">
        <v>800</v>
      </c>
      <c r="F9" s="15">
        <f t="shared" si="0"/>
        <v>480</v>
      </c>
      <c r="G9" s="15">
        <f>F9*H9</f>
        <v>1920</v>
      </c>
      <c r="H9" s="16">
        <v>4</v>
      </c>
      <c r="I9" s="17" t="s">
        <v>13</v>
      </c>
      <c r="J9" s="13" t="s">
        <v>16</v>
      </c>
    </row>
    <row r="10" spans="1:11" ht="22.5" customHeight="1" x14ac:dyDescent="0.25">
      <c r="A10" s="12" t="str">
        <f t="shared" si="1"/>
        <v>ЩЭ (260825 nrmn)</v>
      </c>
      <c r="B10" s="13" t="s">
        <v>12</v>
      </c>
      <c r="C10" s="14" t="s">
        <v>38</v>
      </c>
      <c r="D10" s="12" t="s">
        <v>39</v>
      </c>
      <c r="E10" s="13">
        <v>888</v>
      </c>
      <c r="F10" s="15">
        <f t="shared" si="0"/>
        <v>532.79999999999995</v>
      </c>
      <c r="G10" s="15">
        <f t="shared" ref="G10:G17" si="5">F10*H10</f>
        <v>532.79999999999995</v>
      </c>
      <c r="H10" s="16">
        <v>1</v>
      </c>
      <c r="I10" s="17" t="s">
        <v>13</v>
      </c>
      <c r="J10" s="13" t="s">
        <v>16</v>
      </c>
      <c r="K10" t="s">
        <v>35</v>
      </c>
    </row>
    <row r="11" spans="1:11" ht="21" customHeight="1" x14ac:dyDescent="0.25">
      <c r="A11" s="12" t="str">
        <f t="shared" si="1"/>
        <v>ЩЭ (260825 nrmn)</v>
      </c>
      <c r="B11" s="13" t="s">
        <v>12</v>
      </c>
      <c r="C11" s="14" t="s">
        <v>19</v>
      </c>
      <c r="D11" s="12" t="s">
        <v>20</v>
      </c>
      <c r="E11" s="13">
        <v>3641</v>
      </c>
      <c r="F11" s="15">
        <f t="shared" si="0"/>
        <v>2184.6</v>
      </c>
      <c r="G11" s="15">
        <f t="shared" si="5"/>
        <v>4369.2</v>
      </c>
      <c r="H11" s="16">
        <v>2</v>
      </c>
      <c r="I11" s="17" t="s">
        <v>13</v>
      </c>
      <c r="J11" s="13" t="s">
        <v>16</v>
      </c>
    </row>
    <row r="12" spans="1:11" ht="21" customHeight="1" x14ac:dyDescent="0.25">
      <c r="A12" s="12" t="str">
        <f t="shared" si="1"/>
        <v>ЩЭ (260825 nrmn)</v>
      </c>
      <c r="B12" s="13" t="s">
        <v>12</v>
      </c>
      <c r="C12" s="14" t="s">
        <v>40</v>
      </c>
      <c r="D12" s="12" t="s">
        <v>41</v>
      </c>
      <c r="E12" s="13">
        <v>2807</v>
      </c>
      <c r="F12" s="15">
        <f t="shared" si="0"/>
        <v>1684.2</v>
      </c>
      <c r="G12" s="15">
        <f t="shared" ref="G12:G13" si="6">F12*H12</f>
        <v>1684.2</v>
      </c>
      <c r="H12" s="16">
        <v>1</v>
      </c>
      <c r="I12" s="17" t="s">
        <v>13</v>
      </c>
      <c r="J12" s="13" t="s">
        <v>16</v>
      </c>
    </row>
    <row r="13" spans="1:11" ht="21" customHeight="1" x14ac:dyDescent="0.25">
      <c r="A13" s="12" t="str">
        <f t="shared" si="1"/>
        <v>ЩЭ (260825 nrmn)</v>
      </c>
      <c r="B13" s="13" t="s">
        <v>12</v>
      </c>
      <c r="C13" s="14" t="s">
        <v>25</v>
      </c>
      <c r="D13" s="12" t="s">
        <v>26</v>
      </c>
      <c r="E13" s="13">
        <v>2499</v>
      </c>
      <c r="F13" s="15">
        <f t="shared" si="0"/>
        <v>1499.3999999999999</v>
      </c>
      <c r="G13" s="15">
        <f t="shared" si="6"/>
        <v>2998.7999999999997</v>
      </c>
      <c r="H13" s="16">
        <v>2</v>
      </c>
      <c r="I13" s="17" t="s">
        <v>13</v>
      </c>
      <c r="J13" s="13" t="s">
        <v>16</v>
      </c>
    </row>
    <row r="14" spans="1:11" ht="21" customHeight="1" x14ac:dyDescent="0.25">
      <c r="A14" s="12" t="str">
        <f t="shared" si="1"/>
        <v>ЩЭ (260825 nrmn)</v>
      </c>
      <c r="B14" s="13" t="s">
        <v>12</v>
      </c>
      <c r="C14" s="14" t="s">
        <v>31</v>
      </c>
      <c r="D14" s="12" t="s">
        <v>32</v>
      </c>
      <c r="E14" s="13">
        <v>2337</v>
      </c>
      <c r="F14" s="15">
        <f t="shared" si="0"/>
        <v>1402.2</v>
      </c>
      <c r="G14" s="15">
        <f t="shared" ref="G14:G15" si="7">F14*H14</f>
        <v>2804.4</v>
      </c>
      <c r="H14" s="16">
        <v>2</v>
      </c>
      <c r="I14" s="17" t="s">
        <v>13</v>
      </c>
      <c r="J14" s="13" t="s">
        <v>16</v>
      </c>
    </row>
    <row r="15" spans="1:11" ht="21" customHeight="1" x14ac:dyDescent="0.25">
      <c r="A15" s="12" t="str">
        <f t="shared" si="1"/>
        <v>ЩЭ (260825 nrmn)</v>
      </c>
      <c r="B15" s="13" t="s">
        <v>12</v>
      </c>
      <c r="C15" s="14" t="s">
        <v>23</v>
      </c>
      <c r="D15" s="12" t="s">
        <v>22</v>
      </c>
      <c r="E15" s="13">
        <v>2606</v>
      </c>
      <c r="F15" s="15">
        <f t="shared" si="0"/>
        <v>1563.6</v>
      </c>
      <c r="G15" s="15">
        <f t="shared" si="7"/>
        <v>3127.2</v>
      </c>
      <c r="H15" s="16">
        <v>2</v>
      </c>
      <c r="I15" s="17" t="s">
        <v>13</v>
      </c>
      <c r="J15" s="13" t="s">
        <v>16</v>
      </c>
    </row>
    <row r="16" spans="1:11" ht="21" customHeight="1" x14ac:dyDescent="0.25">
      <c r="A16" s="12" t="str">
        <f t="shared" si="1"/>
        <v>ЩЭ (260825 nrmn)</v>
      </c>
      <c r="B16" s="13" t="s">
        <v>12</v>
      </c>
      <c r="C16" s="14" t="s">
        <v>17</v>
      </c>
      <c r="D16" s="12" t="s">
        <v>18</v>
      </c>
      <c r="E16" s="13">
        <v>2429</v>
      </c>
      <c r="F16" s="15">
        <f t="shared" si="0"/>
        <v>1457.3999999999999</v>
      </c>
      <c r="G16" s="15">
        <f t="shared" ref="G16" si="8">F16*H16</f>
        <v>2914.7999999999997</v>
      </c>
      <c r="H16" s="16">
        <v>2</v>
      </c>
      <c r="I16" s="17" t="s">
        <v>13</v>
      </c>
      <c r="J16" s="13" t="s">
        <v>16</v>
      </c>
    </row>
    <row r="17" spans="1:10" ht="24" customHeight="1" x14ac:dyDescent="0.25">
      <c r="A17" s="12" t="str">
        <f>A12</f>
        <v>ЩЭ (260825 nrmn)</v>
      </c>
      <c r="B17" s="12" t="s">
        <v>10</v>
      </c>
      <c r="C17" s="18" t="s">
        <v>10</v>
      </c>
      <c r="D17" s="12" t="s">
        <v>10</v>
      </c>
      <c r="E17" s="12">
        <f ca="1">OFFSET(E17,1,2)</f>
        <v>60000</v>
      </c>
      <c r="F17" s="15">
        <f ca="1">E17</f>
        <v>60000</v>
      </c>
      <c r="G17" s="15">
        <f t="shared" ca="1" si="5"/>
        <v>60000</v>
      </c>
      <c r="H17" s="12">
        <v>1</v>
      </c>
      <c r="I17" s="12" t="s">
        <v>13</v>
      </c>
      <c r="J17" s="12" t="s">
        <v>10</v>
      </c>
    </row>
    <row r="18" spans="1:10" ht="21" customHeight="1" x14ac:dyDescent="0.25">
      <c r="A18" s="12" t="str">
        <f t="shared" si="1"/>
        <v>ЩЭ (260825 nrmn)</v>
      </c>
      <c r="B18" s="12" t="s">
        <v>11</v>
      </c>
      <c r="C18" s="18" t="s">
        <v>11</v>
      </c>
      <c r="D18" s="12" t="s">
        <v>11</v>
      </c>
      <c r="E18" s="12">
        <v>10</v>
      </c>
      <c r="F18" s="15">
        <v>100</v>
      </c>
      <c r="G18" s="15">
        <f>60*E18*F18</f>
        <v>60000</v>
      </c>
      <c r="H18" s="12">
        <f>60*E18</f>
        <v>600</v>
      </c>
      <c r="I18" s="12" t="s">
        <v>13</v>
      </c>
      <c r="J18" s="12" t="s">
        <v>11</v>
      </c>
    </row>
    <row r="19" spans="1:10" ht="30" customHeight="1" x14ac:dyDescent="0.25">
      <c r="A19" s="12" t="str">
        <f t="shared" si="1"/>
        <v>ЩЭ (260825 nrmn)</v>
      </c>
      <c r="B19" s="19"/>
      <c r="C19" s="20"/>
      <c r="D19" s="21"/>
      <c r="E19" s="23"/>
      <c r="F19" s="25"/>
      <c r="G19" s="24">
        <f ca="1">SUM(G3:G18)</f>
        <v>451122</v>
      </c>
      <c r="H19" s="20"/>
      <c r="I19" s="22"/>
      <c r="J19" s="20"/>
    </row>
  </sheetData>
  <autoFilter ref="A1:J19" xr:uid="{0E2C231C-0991-4FBE-BD8E-9CD4D9BF51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2026-08-27T07:46:01Z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