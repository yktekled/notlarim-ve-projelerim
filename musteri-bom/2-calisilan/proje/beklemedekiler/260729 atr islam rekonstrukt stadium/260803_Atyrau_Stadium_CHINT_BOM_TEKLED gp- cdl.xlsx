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9 atr islam rekonstrukt stadium\"/>
    </mc:Choice>
  </mc:AlternateContent>
  <xr:revisionPtr revIDLastSave="0" documentId="13_ncr:1_{115DFEE6-B626-4FDF-97DA-00AFBEF6555D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  <sheet name="СВОД" sheetId="2" r:id="rId2"/>
    <sheet name="Kurallar" sheetId="3" r:id="rId3"/>
  </sheets>
  <definedNames>
    <definedName name="_xlnm._FilterDatabase" localSheetId="0" hidden="1">BOM!$A$4:$K$153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8" i="3" l="1"/>
  <c r="D48" i="3" s="1"/>
  <c r="C47" i="3"/>
  <c r="D47" i="3" s="1"/>
  <c r="C46" i="3"/>
  <c r="D46" i="3" s="1"/>
  <c r="C45" i="3"/>
  <c r="D45" i="3" s="1"/>
  <c r="C44" i="3"/>
  <c r="D44" i="3" s="1"/>
  <c r="C43" i="3"/>
  <c r="D43" i="3" s="1"/>
  <c r="C42" i="3"/>
  <c r="D42" i="3" s="1"/>
  <c r="C41" i="3"/>
  <c r="D41" i="3" s="1"/>
  <c r="C40" i="3"/>
  <c r="D40" i="3" s="1"/>
  <c r="C39" i="3"/>
  <c r="D39" i="3" s="1"/>
  <c r="C38" i="3"/>
  <c r="D38" i="3" s="1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C19" i="2"/>
  <c r="C18" i="2"/>
  <c r="C17" i="2"/>
  <c r="F16" i="2"/>
  <c r="G16" i="2" s="1"/>
  <c r="C16" i="2"/>
  <c r="C15" i="2"/>
  <c r="C14" i="2"/>
  <c r="C13" i="2"/>
  <c r="F12" i="2"/>
  <c r="G12" i="2" s="1"/>
  <c r="C12" i="2"/>
  <c r="C11" i="2"/>
  <c r="F10" i="2"/>
  <c r="G10" i="2" s="1"/>
  <c r="C10" i="2"/>
  <c r="C9" i="2"/>
  <c r="F8" i="2"/>
  <c r="G8" i="2" s="1"/>
  <c r="C8" i="2"/>
  <c r="C7" i="2"/>
  <c r="F6" i="2"/>
  <c r="G6" i="2" s="1"/>
  <c r="C6" i="2"/>
  <c r="C5" i="2"/>
  <c r="C4" i="2"/>
  <c r="B149" i="1"/>
  <c r="H148" i="1"/>
  <c r="E19" i="2" s="1"/>
  <c r="G148" i="1"/>
  <c r="F148" i="1"/>
  <c r="B148" i="1"/>
  <c r="B147" i="1"/>
  <c r="G146" i="1"/>
  <c r="H146" i="1" s="1"/>
  <c r="B146" i="1"/>
  <c r="F19" i="2" s="1"/>
  <c r="G19" i="2" s="1"/>
  <c r="B144" i="1"/>
  <c r="H143" i="1"/>
  <c r="E18" i="2" s="1"/>
  <c r="G143" i="1"/>
  <c r="F143" i="1"/>
  <c r="B143" i="1"/>
  <c r="B142" i="1"/>
  <c r="G141" i="1"/>
  <c r="H141" i="1" s="1"/>
  <c r="B141" i="1"/>
  <c r="H140" i="1"/>
  <c r="G140" i="1"/>
  <c r="B140" i="1"/>
  <c r="G139" i="1"/>
  <c r="H139" i="1" s="1"/>
  <c r="B139" i="1"/>
  <c r="H138" i="1"/>
  <c r="G138" i="1"/>
  <c r="B138" i="1"/>
  <c r="F18" i="2" s="1"/>
  <c r="G18" i="2" s="1"/>
  <c r="B136" i="1"/>
  <c r="G135" i="1"/>
  <c r="H135" i="1" s="1"/>
  <c r="E17" i="2" s="1"/>
  <c r="F135" i="1"/>
  <c r="B135" i="1"/>
  <c r="B134" i="1"/>
  <c r="H133" i="1"/>
  <c r="G133" i="1"/>
  <c r="B133" i="1"/>
  <c r="G132" i="1"/>
  <c r="H132" i="1" s="1"/>
  <c r="B132" i="1"/>
  <c r="H131" i="1"/>
  <c r="G131" i="1"/>
  <c r="B131" i="1"/>
  <c r="G130" i="1"/>
  <c r="H130" i="1" s="1"/>
  <c r="B130" i="1"/>
  <c r="H129" i="1"/>
  <c r="G129" i="1"/>
  <c r="B129" i="1"/>
  <c r="G128" i="1"/>
  <c r="H128" i="1" s="1"/>
  <c r="B128" i="1"/>
  <c r="H127" i="1"/>
  <c r="G127" i="1"/>
  <c r="B127" i="1"/>
  <c r="G126" i="1"/>
  <c r="H126" i="1" s="1"/>
  <c r="B126" i="1"/>
  <c r="H125" i="1"/>
  <c r="G125" i="1"/>
  <c r="B125" i="1"/>
  <c r="G124" i="1"/>
  <c r="H124" i="1" s="1"/>
  <c r="B124" i="1"/>
  <c r="H123" i="1"/>
  <c r="G123" i="1"/>
  <c r="B123" i="1"/>
  <c r="G122" i="1"/>
  <c r="H122" i="1" s="1"/>
  <c r="B122" i="1"/>
  <c r="H121" i="1"/>
  <c r="G121" i="1"/>
  <c r="B121" i="1"/>
  <c r="G120" i="1"/>
  <c r="H120" i="1" s="1"/>
  <c r="B120" i="1"/>
  <c r="F17" i="2" s="1"/>
  <c r="G17" i="2" s="1"/>
  <c r="B118" i="1"/>
  <c r="H117" i="1"/>
  <c r="E16" i="2" s="1"/>
  <c r="G117" i="1"/>
  <c r="F117" i="1"/>
  <c r="B117" i="1"/>
  <c r="B116" i="1"/>
  <c r="G115" i="1"/>
  <c r="H115" i="1" s="1"/>
  <c r="B115" i="1"/>
  <c r="H114" i="1"/>
  <c r="G114" i="1"/>
  <c r="B114" i="1"/>
  <c r="G113" i="1"/>
  <c r="H113" i="1" s="1"/>
  <c r="B113" i="1"/>
  <c r="B111" i="1"/>
  <c r="H110" i="1"/>
  <c r="E15" i="2" s="1"/>
  <c r="G110" i="1"/>
  <c r="F110" i="1"/>
  <c r="B110" i="1"/>
  <c r="B109" i="1"/>
  <c r="G108" i="1"/>
  <c r="H108" i="1" s="1"/>
  <c r="B108" i="1"/>
  <c r="H107" i="1"/>
  <c r="G107" i="1"/>
  <c r="B107" i="1"/>
  <c r="G106" i="1"/>
  <c r="H106" i="1" s="1"/>
  <c r="B106" i="1"/>
  <c r="F15" i="2" s="1"/>
  <c r="G15" i="2" s="1"/>
  <c r="B104" i="1"/>
  <c r="H103" i="1"/>
  <c r="E14" i="2" s="1"/>
  <c r="G103" i="1"/>
  <c r="F103" i="1"/>
  <c r="B103" i="1"/>
  <c r="B102" i="1"/>
  <c r="G101" i="1"/>
  <c r="H101" i="1" s="1"/>
  <c r="B101" i="1"/>
  <c r="H100" i="1"/>
  <c r="G100" i="1"/>
  <c r="B100" i="1"/>
  <c r="G99" i="1"/>
  <c r="H99" i="1" s="1"/>
  <c r="B99" i="1"/>
  <c r="H98" i="1"/>
  <c r="G98" i="1"/>
  <c r="B98" i="1"/>
  <c r="G97" i="1"/>
  <c r="H97" i="1" s="1"/>
  <c r="B97" i="1"/>
  <c r="H96" i="1"/>
  <c r="G96" i="1"/>
  <c r="B96" i="1"/>
  <c r="F14" i="2" s="1"/>
  <c r="G14" i="2" s="1"/>
  <c r="B94" i="1"/>
  <c r="G93" i="1"/>
  <c r="H93" i="1" s="1"/>
  <c r="E13" i="2" s="1"/>
  <c r="F93" i="1"/>
  <c r="B93" i="1"/>
  <c r="B92" i="1"/>
  <c r="H91" i="1"/>
  <c r="G91" i="1"/>
  <c r="B91" i="1"/>
  <c r="G90" i="1"/>
  <c r="H90" i="1" s="1"/>
  <c r="B90" i="1"/>
  <c r="H89" i="1"/>
  <c r="G89" i="1"/>
  <c r="B89" i="1"/>
  <c r="G88" i="1"/>
  <c r="H88" i="1" s="1"/>
  <c r="B88" i="1"/>
  <c r="F13" i="2" s="1"/>
  <c r="G13" i="2" s="1"/>
  <c r="B86" i="1"/>
  <c r="H85" i="1"/>
  <c r="E12" i="2" s="1"/>
  <c r="G85" i="1"/>
  <c r="F85" i="1"/>
  <c r="B85" i="1"/>
  <c r="B84" i="1"/>
  <c r="G83" i="1"/>
  <c r="H83" i="1" s="1"/>
  <c r="B83" i="1"/>
  <c r="H82" i="1"/>
  <c r="G82" i="1"/>
  <c r="B82" i="1"/>
  <c r="G81" i="1"/>
  <c r="H81" i="1" s="1"/>
  <c r="B81" i="1"/>
  <c r="B79" i="1"/>
  <c r="H78" i="1"/>
  <c r="E11" i="2" s="1"/>
  <c r="G78" i="1"/>
  <c r="F78" i="1"/>
  <c r="B78" i="1"/>
  <c r="B77" i="1"/>
  <c r="G76" i="1"/>
  <c r="H76" i="1" s="1"/>
  <c r="B76" i="1"/>
  <c r="H75" i="1"/>
  <c r="G75" i="1"/>
  <c r="B75" i="1"/>
  <c r="G74" i="1"/>
  <c r="H74" i="1" s="1"/>
  <c r="B74" i="1"/>
  <c r="F11" i="2" s="1"/>
  <c r="G11" i="2" s="1"/>
  <c r="B72" i="1"/>
  <c r="H71" i="1"/>
  <c r="E10" i="2" s="1"/>
  <c r="G71" i="1"/>
  <c r="F71" i="1"/>
  <c r="B71" i="1"/>
  <c r="B70" i="1"/>
  <c r="G69" i="1"/>
  <c r="H69" i="1" s="1"/>
  <c r="B69" i="1"/>
  <c r="H68" i="1"/>
  <c r="G68" i="1"/>
  <c r="B68" i="1"/>
  <c r="G67" i="1"/>
  <c r="H67" i="1" s="1"/>
  <c r="B67" i="1"/>
  <c r="B65" i="1"/>
  <c r="H64" i="1"/>
  <c r="E9" i="2" s="1"/>
  <c r="G64" i="1"/>
  <c r="F64" i="1"/>
  <c r="B64" i="1"/>
  <c r="B63" i="1"/>
  <c r="G62" i="1"/>
  <c r="H62" i="1" s="1"/>
  <c r="B62" i="1"/>
  <c r="H61" i="1"/>
  <c r="G61" i="1"/>
  <c r="B61" i="1"/>
  <c r="G60" i="1"/>
  <c r="H60" i="1" s="1"/>
  <c r="B60" i="1"/>
  <c r="F9" i="2" s="1"/>
  <c r="G9" i="2" s="1"/>
  <c r="B58" i="1"/>
  <c r="H57" i="1"/>
  <c r="E8" i="2" s="1"/>
  <c r="G57" i="1"/>
  <c r="F57" i="1"/>
  <c r="B57" i="1"/>
  <c r="B56" i="1"/>
  <c r="G55" i="1"/>
  <c r="H55" i="1" s="1"/>
  <c r="B55" i="1"/>
  <c r="H54" i="1"/>
  <c r="G54" i="1"/>
  <c r="B54" i="1"/>
  <c r="G53" i="1"/>
  <c r="H53" i="1" s="1"/>
  <c r="B53" i="1"/>
  <c r="B51" i="1"/>
  <c r="H50" i="1"/>
  <c r="E7" i="2" s="1"/>
  <c r="G50" i="1"/>
  <c r="F50" i="1"/>
  <c r="B50" i="1"/>
  <c r="B49" i="1"/>
  <c r="G48" i="1"/>
  <c r="H48" i="1" s="1"/>
  <c r="B48" i="1"/>
  <c r="H47" i="1"/>
  <c r="G47" i="1"/>
  <c r="B47" i="1"/>
  <c r="G46" i="1"/>
  <c r="H46" i="1" s="1"/>
  <c r="B46" i="1"/>
  <c r="F7" i="2" s="1"/>
  <c r="G7" i="2" s="1"/>
  <c r="B44" i="1"/>
  <c r="H43" i="1"/>
  <c r="E6" i="2" s="1"/>
  <c r="G43" i="1"/>
  <c r="F43" i="1"/>
  <c r="B43" i="1"/>
  <c r="B42" i="1"/>
  <c r="G41" i="1"/>
  <c r="H41" i="1" s="1"/>
  <c r="B41" i="1"/>
  <c r="H40" i="1"/>
  <c r="G40" i="1"/>
  <c r="B40" i="1"/>
  <c r="G39" i="1"/>
  <c r="H39" i="1" s="1"/>
  <c r="B39" i="1"/>
  <c r="B37" i="1"/>
  <c r="H36" i="1"/>
  <c r="E5" i="2" s="1"/>
  <c r="G36" i="1"/>
  <c r="F36" i="1"/>
  <c r="B36" i="1"/>
  <c r="B35" i="1"/>
  <c r="G34" i="1"/>
  <c r="H34" i="1" s="1"/>
  <c r="B34" i="1"/>
  <c r="H33" i="1"/>
  <c r="G33" i="1"/>
  <c r="B33" i="1"/>
  <c r="G32" i="1"/>
  <c r="H32" i="1" s="1"/>
  <c r="B32" i="1"/>
  <c r="F5" i="2" s="1"/>
  <c r="G5" i="2" s="1"/>
  <c r="B30" i="1"/>
  <c r="H29" i="1"/>
  <c r="E4" i="2" s="1"/>
  <c r="E20" i="2" s="1"/>
  <c r="G29" i="1"/>
  <c r="F29" i="1"/>
  <c r="B29" i="1"/>
  <c r="B28" i="1"/>
  <c r="G27" i="1"/>
  <c r="H27" i="1" s="1"/>
  <c r="B27" i="1"/>
  <c r="H26" i="1"/>
  <c r="G26" i="1"/>
  <c r="B26" i="1"/>
  <c r="G25" i="1"/>
  <c r="H25" i="1" s="1"/>
  <c r="B25" i="1"/>
  <c r="H24" i="1"/>
  <c r="G24" i="1"/>
  <c r="B24" i="1"/>
  <c r="G23" i="1"/>
  <c r="H23" i="1" s="1"/>
  <c r="B23" i="1"/>
  <c r="H22" i="1"/>
  <c r="G22" i="1"/>
  <c r="B22" i="1"/>
  <c r="G21" i="1"/>
  <c r="H21" i="1" s="1"/>
  <c r="B21" i="1"/>
  <c r="H20" i="1"/>
  <c r="G20" i="1"/>
  <c r="B20" i="1"/>
  <c r="G19" i="1"/>
  <c r="H19" i="1" s="1"/>
  <c r="B19" i="1"/>
  <c r="H18" i="1"/>
  <c r="G18" i="1"/>
  <c r="B18" i="1"/>
  <c r="G17" i="1"/>
  <c r="H17" i="1" s="1"/>
  <c r="B17" i="1"/>
  <c r="H16" i="1"/>
  <c r="G16" i="1"/>
  <c r="B16" i="1"/>
  <c r="G15" i="1"/>
  <c r="H15" i="1" s="1"/>
  <c r="B15" i="1"/>
  <c r="H14" i="1"/>
  <c r="G14" i="1"/>
  <c r="B14" i="1"/>
  <c r="G13" i="1"/>
  <c r="H13" i="1" s="1"/>
  <c r="B13" i="1"/>
  <c r="H12" i="1"/>
  <c r="G12" i="1"/>
  <c r="B12" i="1"/>
  <c r="G11" i="1"/>
  <c r="H11" i="1" s="1"/>
  <c r="B11" i="1"/>
  <c r="H10" i="1"/>
  <c r="G10" i="1"/>
  <c r="B10" i="1"/>
  <c r="G9" i="1"/>
  <c r="H9" i="1" s="1"/>
  <c r="B9" i="1"/>
  <c r="H8" i="1"/>
  <c r="G8" i="1"/>
  <c r="B8" i="1"/>
  <c r="G7" i="1"/>
  <c r="H7" i="1" s="1"/>
  <c r="B7" i="1"/>
  <c r="H6" i="1"/>
  <c r="G6" i="1"/>
  <c r="B6" i="1"/>
  <c r="F4" i="2" s="1"/>
  <c r="G134" i="1" l="1"/>
  <c r="H134" i="1" s="1"/>
  <c r="H136" i="1" s="1"/>
  <c r="D17" i="2" s="1"/>
  <c r="F20" i="2"/>
  <c r="G4" i="2"/>
  <c r="G28" i="1"/>
  <c r="H28" i="1" s="1"/>
  <c r="G35" i="1"/>
  <c r="H35" i="1" s="1"/>
  <c r="H37" i="1"/>
  <c r="D5" i="2" s="1"/>
  <c r="G102" i="1"/>
  <c r="H102" i="1" s="1"/>
  <c r="H104" i="1" s="1"/>
  <c r="D14" i="2" s="1"/>
  <c r="G42" i="1"/>
  <c r="H42" i="1" s="1"/>
  <c r="H44" i="1" s="1"/>
  <c r="D6" i="2" s="1"/>
  <c r="G49" i="1"/>
  <c r="H49" i="1" s="1"/>
  <c r="H51" i="1" s="1"/>
  <c r="D7" i="2" s="1"/>
  <c r="G142" i="1"/>
  <c r="H142" i="1" s="1"/>
  <c r="G56" i="1"/>
  <c r="H56" i="1" s="1"/>
  <c r="H58" i="1" s="1"/>
  <c r="D8" i="2" s="1"/>
  <c r="G63" i="1"/>
  <c r="H63" i="1" s="1"/>
  <c r="H65" i="1"/>
  <c r="D9" i="2" s="1"/>
  <c r="G70" i="1"/>
  <c r="H70" i="1" s="1"/>
  <c r="H72" i="1"/>
  <c r="D10" i="2" s="1"/>
  <c r="G77" i="1"/>
  <c r="H77" i="1" s="1"/>
  <c r="H79" i="1"/>
  <c r="D11" i="2" s="1"/>
  <c r="G147" i="1"/>
  <c r="H147" i="1" s="1"/>
  <c r="H149" i="1"/>
  <c r="D19" i="2" s="1"/>
  <c r="G84" i="1"/>
  <c r="H84" i="1" s="1"/>
  <c r="H86" i="1" s="1"/>
  <c r="D12" i="2" s="1"/>
  <c r="H94" i="1"/>
  <c r="D13" i="2" s="1"/>
  <c r="G92" i="1"/>
  <c r="H92" i="1" s="1"/>
  <c r="G109" i="1"/>
  <c r="H109" i="1" s="1"/>
  <c r="H111" i="1" s="1"/>
  <c r="D15" i="2" s="1"/>
  <c r="G116" i="1"/>
  <c r="H116" i="1" s="1"/>
  <c r="H118" i="1" s="1"/>
  <c r="D16" i="2" s="1"/>
  <c r="H30" i="1"/>
  <c r="D4" i="2" s="1"/>
  <c r="H144" i="1"/>
  <c r="D18" i="2" s="1"/>
  <c r="D20" i="2" l="1"/>
</calcChain>
</file>

<file path=xl/sharedStrings.xml><?xml version="1.0" encoding="utf-8"?>
<sst xmlns="http://schemas.openxmlformats.org/spreadsheetml/2006/main" count="762" uniqueCount="269">
  <si>
    <t>260803 — Атырау, стадион «Мунайшы». Реконструкция ФОК. BOM щитового оборудования 0,4 кВ — CHINT</t>
  </si>
  <si>
    <t>Основание: Альбом 8 «Электроосвещение и силовое электрооборудование» 2023-227/2-ЭОМ (схемы + спецификация ЭОМ.СО + ЭОМ.ОЛ). Все замечания — на листе Kurallar.</t>
  </si>
  <si>
    <t>ROW</t>
  </si>
  <si>
    <t>Наименование1</t>
  </si>
  <si>
    <t>Тип матер.</t>
  </si>
  <si>
    <t>Артикул</t>
  </si>
  <si>
    <t>Номенклатура</t>
  </si>
  <si>
    <t>Цена списка, KZT</t>
  </si>
  <si>
    <t>Цена нетто, KZT</t>
  </si>
  <si>
    <t>Сумма, KZT</t>
  </si>
  <si>
    <t>Кол.</t>
  </si>
  <si>
    <t>Ед.изм.</t>
  </si>
  <si>
    <t>Завод</t>
  </si>
  <si>
    <t>ВРУ</t>
  </si>
  <si>
    <t>комплект</t>
  </si>
  <si>
    <t>korpus</t>
  </si>
  <si>
    <t>250200231_</t>
  </si>
  <si>
    <t>шт.</t>
  </si>
  <si>
    <t>EKT</t>
  </si>
  <si>
    <t>rubilnik</t>
  </si>
  <si>
    <t>270100163_</t>
  </si>
  <si>
    <t>Рубильник ВР-32-35 А71220-250А на 2 направления (+6 камер) UNIT</t>
  </si>
  <si>
    <t>UNIT</t>
  </si>
  <si>
    <t>fu</t>
  </si>
  <si>
    <t>270200150_</t>
  </si>
  <si>
    <t>Основание контактное ППН-35, габарит 1 UNIT (F1-F3)</t>
  </si>
  <si>
    <t>270200162_</t>
  </si>
  <si>
    <t>Плавкая вставка ППН-35 (125А), габарит 1 UNIT (F1-F3)</t>
  </si>
  <si>
    <t>tt</t>
  </si>
  <si>
    <t>ITT20-3-05-0100</t>
  </si>
  <si>
    <t>Трансформатор тока ТТИ-30 100/5А 5ВА класс 0,5S IEK (Т1-Т3)</t>
  </si>
  <si>
    <t>IEK</t>
  </si>
  <si>
    <t>sayac</t>
  </si>
  <si>
    <t>Счётчик Меркурий 234 ART-03 P, 3х230/400В, 5(10)А, 0,5S/1,0 — поставка заказчика</t>
  </si>
  <si>
    <t>ЗАКАЗЧИК</t>
  </si>
  <si>
    <t>opn</t>
  </si>
  <si>
    <t>252494</t>
  </si>
  <si>
    <t>Ограничитель имп. перенапр. NU6-IIG 1Р In=15kA Uc=440В Im=40kA (разрядник 1ф)</t>
  </si>
  <si>
    <t>CHINT</t>
  </si>
  <si>
    <t>OTO</t>
  </si>
  <si>
    <t>814012</t>
  </si>
  <si>
    <t>Авт. выкл. NXB-63 1P 6A 6кА х-ка C (цепи управления, ВА47-63 1п 6А)</t>
  </si>
  <si>
    <t>lamb</t>
  </si>
  <si>
    <t>593071</t>
  </si>
  <si>
    <t>Индикатор ND16-22DS/4 зелёный АС230В (светодиодная матрица 220В)</t>
  </si>
  <si>
    <t>270200149_</t>
  </si>
  <si>
    <t>Основание контактное ППН-33, габарит 00 UNIT (F4-F21, 6 групп х 3 фазы)</t>
  </si>
  <si>
    <t>270200155_</t>
  </si>
  <si>
    <t>Плавкая вставка ППН-33 (40А), габарит 00 UNIT (F4-F6, F10-F12)</t>
  </si>
  <si>
    <t>270200181_</t>
  </si>
  <si>
    <t>Плавкая вставка ППН-33 (20А), габарит 00 UNIT (F7-F9, F16-F18)</t>
  </si>
  <si>
    <t>270200157_</t>
  </si>
  <si>
    <t>Плавкая вставка ППН-33 (63А), габарит 00 UNIT (F13-F15)</t>
  </si>
  <si>
    <t>270200180_</t>
  </si>
  <si>
    <t>Плавкая вставка ППН-33 (10А), габарит 00 UNIT (F19-F21)</t>
  </si>
  <si>
    <t>LOOBAR</t>
  </si>
  <si>
    <t>130200153_</t>
  </si>
  <si>
    <t>Шина алюминиевая АД31Т 4х40х4000 (L1/L2/L3/N + PE, раскрой по компоновке)</t>
  </si>
  <si>
    <t>130500104_</t>
  </si>
  <si>
    <t>Изолятор SM30 с болтом (М8) 380А UNIT (шинодержатель)</t>
  </si>
  <si>
    <t>Klemens</t>
  </si>
  <si>
    <t>130301155_</t>
  </si>
  <si>
    <t>Зажим наборный ЗНИ 10мм² (70А) серый UNIT</t>
  </si>
  <si>
    <t>130301156_</t>
  </si>
  <si>
    <t>Зажим наборный ЗНИ 10мм² (70А) синий UNIT</t>
  </si>
  <si>
    <t>130200351_</t>
  </si>
  <si>
    <t>DIN-рейка (100 см) UNIT</t>
  </si>
  <si>
    <t>270300079_</t>
  </si>
  <si>
    <t>Кабель-канал перф. 25х40 ИМПАКТ IEK (штанга 2 м)</t>
  </si>
  <si>
    <t>montaj</t>
  </si>
  <si>
    <t>100300031_</t>
  </si>
  <si>
    <t>Провод ПВ3-6 белый ГОСТ (внутренний монтаж)</t>
  </si>
  <si>
    <t>м</t>
  </si>
  <si>
    <t>100300074_</t>
  </si>
  <si>
    <t>Провод ПВ3-6 жёлто-зелёный ГОСТ (PE)</t>
  </si>
  <si>
    <t>montajный материал</t>
  </si>
  <si>
    <t>Монтажный материал (наконечники, маркировка, стяжки, крепёж) — % от материала панели</t>
  </si>
  <si>
    <t>компл.</t>
  </si>
  <si>
    <t>TEKLED</t>
  </si>
  <si>
    <t>montajная работа</t>
  </si>
  <si>
    <t>Монтажные работы (сборка, маркировка, испытание, контроль) — норма времени</t>
  </si>
  <si>
    <t>мин</t>
  </si>
  <si>
    <t>— ИТОГО ПО ПАНЕЛИ —</t>
  </si>
  <si>
    <t>ЩО1</t>
  </si>
  <si>
    <t>ЩО1 — щит освещения, ЩРН-П 18 мод. IP41 (Альбом 8 ЭОМ, лист 4)</t>
  </si>
  <si>
    <t>250600008_</t>
  </si>
  <si>
    <t>Щит распределительный пластиковый навесной ЩРН-П 18 мод. IP41, с шинами N и PE, IEK</t>
  </si>
  <si>
    <t>193180</t>
  </si>
  <si>
    <t>Выключатель нагрузки NXHB-125 3P 20A</t>
  </si>
  <si>
    <t>814040</t>
  </si>
  <si>
    <t>Авт. выкл. NXB-63 1P 16A 6кА х-ка B</t>
  </si>
  <si>
    <t>ЩО2</t>
  </si>
  <si>
    <t>ЩО2 — щит освещения, ЩРН-П 24 мод. IP41 (Альбом 8 ЭОМ, лист 5)</t>
  </si>
  <si>
    <t>250600009_</t>
  </si>
  <si>
    <t>Щит распределительный пластиковый навесной ЩРН-П 24 мод. IP41, с шинами N и PE, IEK</t>
  </si>
  <si>
    <t>ЩО3</t>
  </si>
  <si>
    <t>ЩО3 — щит освещения, ЩРН-П 18 мод. IP41 (Альбом 8 ЭОМ, лист 6)</t>
  </si>
  <si>
    <t>ЩО4</t>
  </si>
  <si>
    <t>ЩО4 — щит освещения, ЩРН-П 18 мод. IP41 (Альбом 8 ЭОМ, лист 7)</t>
  </si>
  <si>
    <t>ЩАО1</t>
  </si>
  <si>
    <t>ЩАО1 — щит аварийного и эвакуационного освещения, ЩРН-П 12 мод. IP41 (Альбом 8 ЭОМ, лист 8)</t>
  </si>
  <si>
    <t>250600007_</t>
  </si>
  <si>
    <t>Щит распределительный пластиковый навесной ЩРН-П 12 мод. IP41, с шинами N и PE, IEK</t>
  </si>
  <si>
    <t>814039</t>
  </si>
  <si>
    <t>Авт. выкл. NXB-63 1P 10A 6кА х-ка B</t>
  </si>
  <si>
    <t>ЩАО2</t>
  </si>
  <si>
    <t>ЩАО2 — щит аварийного и эвакуационного освещения, ЩРН-П 12 мод. IP41 (Альбом 8 ЭОМ, лист 9)</t>
  </si>
  <si>
    <t>ЩАО3</t>
  </si>
  <si>
    <t>ЩАО3 — щит аварийного и эвакуационного освещения, ЩРН-П 12 мод. IP41 (Альбом 8 ЭОМ, лист 10)</t>
  </si>
  <si>
    <t>ЩАО4</t>
  </si>
  <si>
    <t>ЩАО4 — щит аварийного и эвакуационного освещения, ЩРН-П 12 мод. IP41 (Альбом 8 ЭОМ, лист 11)</t>
  </si>
  <si>
    <t>ЩС1</t>
  </si>
  <si>
    <t>ЩС1 — щит силовой, ЩРН-П 18 мод. IP41 (Альбом 8 ЭОМ, лист 12)</t>
  </si>
  <si>
    <t>193182</t>
  </si>
  <si>
    <t>Выключатель нагрузки NXHB-125 3P 40A</t>
  </si>
  <si>
    <t>DİF</t>
  </si>
  <si>
    <t>819978</t>
  </si>
  <si>
    <t>Диф. авт. выкл. NXBLE-63 2P C20 30mA тип AC 6kA</t>
  </si>
  <si>
    <t>ЩС2</t>
  </si>
  <si>
    <t>ЩС2 — щит силовой, ЩРН-П 24 мод. IP41 (Альбом 8 ЭОМ, лист 13)</t>
  </si>
  <si>
    <t>814194</t>
  </si>
  <si>
    <t>Авт. выкл. NXB-63 3P 6A 6кА х-ка B</t>
  </si>
  <si>
    <t>819977</t>
  </si>
  <si>
    <t>Диф. авт. выкл. NXBLE-63 2P C16 30mA тип AC 6kA</t>
  </si>
  <si>
    <t>ЩС3</t>
  </si>
  <si>
    <t>ЩС3 — щит силовой, ЩРН-П 18 мод. IP41 (Альбом 8 ЭОМ, лист 14)</t>
  </si>
  <si>
    <t>ЩС4</t>
  </si>
  <si>
    <t>ЩС4 — щит силовой, ЩРН-П 18 мод. IP41 (Альбом 8 ЭОМ, лист 15)</t>
  </si>
  <si>
    <t>ЩВ</t>
  </si>
  <si>
    <t>ЩВ — щит вентиляции, ЩМП-7 У2 IP54 (1320х750х300) (Альбом 8 ЭОМ, листы 16-17)</t>
  </si>
  <si>
    <t>250200074_</t>
  </si>
  <si>
    <t>Щит с монтажной панелью ЩМП-7 IP54 (1320х750х300) EKT</t>
  </si>
  <si>
    <t>814202</t>
  </si>
  <si>
    <t>Авт. выкл. NXB-63 3P 63A 6кА х-ка B</t>
  </si>
  <si>
    <t>blok</t>
  </si>
  <si>
    <t>814989</t>
  </si>
  <si>
    <t>Независимый расцепитель SHT-X1 AC230V/400V для NXB-63 (РН47 — отключение при пожаре)</t>
  </si>
  <si>
    <t>814196</t>
  </si>
  <si>
    <t>Авт. выкл. NXB-63 3P 16A 6кА х-ка B</t>
  </si>
  <si>
    <t>814038</t>
  </si>
  <si>
    <t>Авт. выкл. NXB-63 1P 6A 6кА х-ка B</t>
  </si>
  <si>
    <t>130301152_</t>
  </si>
  <si>
    <t>Зажим наборный ЗНИ 2,5мм² (24А) серый UNIT (PE)</t>
  </si>
  <si>
    <t>Зажим наборный ЗНИ 2,5мм² (24А) серый UNIT (N)</t>
  </si>
  <si>
    <t>270300105_</t>
  </si>
  <si>
    <t>Кабель-канал перф. 40х60 ИМПАКТ IEK (штанга 2 м)</t>
  </si>
  <si>
    <t>130200122_</t>
  </si>
  <si>
    <t>Шина N нулевая 8х12мм комб. с изол. «Стойка» ШНИ 10 КС IEK</t>
  </si>
  <si>
    <t>100300024_</t>
  </si>
  <si>
    <t>Провод ПВ3-1,5 белый ГОСТ (внутренний монтаж)</t>
  </si>
  <si>
    <t>100300076_</t>
  </si>
  <si>
    <t>Провод ПВ3-1,5 жёлто-зелёный ГОСТ (PE)</t>
  </si>
  <si>
    <t>КМ блоки</t>
  </si>
  <si>
    <t>КМ.Н1, КМ.Н2, КМ.В2-КМ.В5, КМ.В9, КМ.В11, КМ.В12 — контакторы в оболочке IP54, установка «по месту» (9 компл.)</t>
  </si>
  <si>
    <t>kontaktör</t>
  </si>
  <si>
    <t>120100055_</t>
  </si>
  <si>
    <t>Контактор КМИ-10960 9А 220В IP54 (1 вел., в корпусе) IEK</t>
  </si>
  <si>
    <t>Röle</t>
  </si>
  <si>
    <t>130600078_</t>
  </si>
  <si>
    <t>Тепловое реле РТИ-1304 (0,4-0,63А) IEK — КМ.В2, В4, В5, В12 (Iн=0,45А)</t>
  </si>
  <si>
    <t>130600079_</t>
  </si>
  <si>
    <t>Тепловое реле РТИ-1305 (0,63-1,0А) IEK — КМ.В3, В9, В11 (Iн=0,73А)</t>
  </si>
  <si>
    <t>130600052_</t>
  </si>
  <si>
    <t>Тепловое реле РТИ-1308 (2,5-4,0А) IEK — КМ.Н1, КМ.Н2 (Iн=2,73А)</t>
  </si>
  <si>
    <t>ЯТП</t>
  </si>
  <si>
    <t>ЯТП — ящик с понижающим трансформатором 0,25 кВА 220/36 В, УХЛ4 IP30, «по месту» (4 шт.)</t>
  </si>
  <si>
    <t>270300003_</t>
  </si>
  <si>
    <t>Ящик ЯТП(укп) 0,25 220/36 В IEK</t>
  </si>
  <si>
    <t>КОНТРОЛЬ / ВНЕ ОБЪЁМА ЩИТОВОГО ПРОИЗВОДСТВА — количества реальные, цены не определены, в итог НЕ входят</t>
  </si>
  <si>
    <t>ИБП 3-фазный, тип KEOR T Evo 10 кВА, 24 мин (Legrand) — вне объёма щитового производства</t>
  </si>
  <si>
    <t>КРН-IV-10, 630А, 6 кВ — Альбом 14 ЭС1, опросные листы ОЛ1/ОЛ2 — вне объёма</t>
  </si>
  <si>
    <t>ТМГ 1000-6/0,4 У1, Я5111С-2874, ОЩВ 3-63-12 — Альбом 17 ЭП1.2 — вне объёма</t>
  </si>
  <si>
    <t>СВОД по щитам — 260803 Атырау, стадион «Мунайшы» (ЭОМ), CHINT</t>
  </si>
  <si>
    <t>№</t>
  </si>
  <si>
    <t>Щит</t>
  </si>
  <si>
    <t>Кол. компл.</t>
  </si>
  <si>
    <t>Материал + монтаж, KZT</t>
  </si>
  <si>
    <t>в т.ч. работы, KZT</t>
  </si>
  <si>
    <t>Позиций без цены</t>
  </si>
  <si>
    <t>Примечание</t>
  </si>
  <si>
    <t>ИТОГО ПО ПРОЕКТУ</t>
  </si>
  <si>
    <t>Проверка модулей корпусов (занято / установлено / резерв)</t>
  </si>
  <si>
    <t>Занято мод.</t>
  </si>
  <si>
    <t>Корпус, мод.</t>
  </si>
  <si>
    <t>Резерв %</t>
  </si>
  <si>
    <t>Статус</t>
  </si>
  <si>
    <t>KURALLAR / ПАРАМЕТРЫ — 260803 Атырау, стадион «Мунайшы» (ЭОМ) — CHINT BOM</t>
  </si>
  <si>
    <t>1. КОЭФФИЦИЕНТЫ ПО ЗАВОДАМ (жёлтые ячейки — редактируемые)</t>
  </si>
  <si>
    <t>Коэффициент нетто</t>
  </si>
  <si>
    <t>список x 0,60 (скидка 40%)</t>
  </si>
  <si>
    <t>прайс EKT, нетто</t>
  </si>
  <si>
    <t>поставка заказчика — цена не считается</t>
  </si>
  <si>
    <t>2. ОБЩИЕ ПАРАМЕТРЫ</t>
  </si>
  <si>
    <t>Монтажный материал, % от материала панели</t>
  </si>
  <si>
    <t>Ставка монтажных работ, KZT/мин</t>
  </si>
  <si>
    <t>Резерв корпуса (модули), мин. %</t>
  </si>
  <si>
    <t>Множитель на испытание/маркировку/контроль</t>
  </si>
  <si>
    <t>3. НОРМЫ ВРЕМЕНИ, мин (жёлтые — редактируемые)</t>
  </si>
  <si>
    <t>Корпус навесной малый (до 24 мод.), подготовка</t>
  </si>
  <si>
    <t>Корпус навесной средний (ЩМП), подготовка</t>
  </si>
  <si>
    <t>Корпус напольный / ВРУ, подготовка</t>
  </si>
  <si>
    <t>Автомат 1P</t>
  </si>
  <si>
    <t>Автомат 3P</t>
  </si>
  <si>
    <t>АВДТ / диф.автомат 1P+N (2 мод.)</t>
  </si>
  <si>
    <t>Рубильник модульный (ВН/NXHB)</t>
  </si>
  <si>
    <t>Рубильник 250А (ВР-32-35)</t>
  </si>
  <si>
    <t>ОПН / разрядник 1P</t>
  </si>
  <si>
    <t>Независимый расцепитель</t>
  </si>
  <si>
    <t>Индикатор / сигнальная лампа</t>
  </si>
  <si>
    <t>Предохранитель ППН (основание+вставка), за фазу</t>
  </si>
  <si>
    <t>Счётчик + ТТ (комплект)</t>
  </si>
  <si>
    <t>Клемма наборная, за шт.</t>
  </si>
  <si>
    <t>Шина Al/Cu, за метр</t>
  </si>
  <si>
    <t>DIN-рейка и кабель-канал, за метр</t>
  </si>
  <si>
    <t>4. ВОЗРАСТ ПРАЙС-ЛИСТОВ</t>
  </si>
  <si>
    <t>Дата BOM</t>
  </si>
  <si>
    <t>2026-08-03</t>
  </si>
  <si>
    <t>Источник</t>
  </si>
  <si>
    <t>Дата прайса</t>
  </si>
  <si>
    <t>Возраст, мес.</t>
  </si>
  <si>
    <t>YAS_DURUM (формула)</t>
  </si>
  <si>
    <t>Используется в этом BOM</t>
  </si>
  <si>
    <t>CHINT — 260728 stok+fiyat</t>
  </si>
  <si>
    <t>2026-07-28</t>
  </si>
  <si>
    <t>ДА</t>
  </si>
  <si>
    <t>EKT / IEK / UNIT — 19062025 EKT PRICE</t>
  </si>
  <si>
    <t>2025-06-19</t>
  </si>
  <si>
    <t>САЙМАН 2026</t>
  </si>
  <si>
    <t>2026-01-01</t>
  </si>
  <si>
    <t>нет</t>
  </si>
  <si>
    <t>CNC — 04.02.2025</t>
  </si>
  <si>
    <t>2025-02-04</t>
  </si>
  <si>
    <t>Legrand — 10.2025</t>
  </si>
  <si>
    <t>2025-10-01</t>
  </si>
  <si>
    <t>ABB — 11.2025</t>
  </si>
  <si>
    <t>2025-11-01</t>
  </si>
  <si>
    <t>Schneider — 07.2025</t>
  </si>
  <si>
    <t>2025-07-01</t>
  </si>
  <si>
    <t>KLEMSAN — 11.2022</t>
  </si>
  <si>
    <t>2022-11-01</t>
  </si>
  <si>
    <t>ONKA — 07.2022</t>
  </si>
  <si>
    <t>2022-07-01</t>
  </si>
  <si>
    <t>EKF — 22.02.2022</t>
  </si>
  <si>
    <t>2022-02-22</t>
  </si>
  <si>
    <t>TEKSAN — 04.2025 (только освещение, НЕ корпуса)</t>
  </si>
  <si>
    <t>2025-04-01</t>
  </si>
  <si>
    <t>5. ФЛАГИ / ЗАМЕЧАНИЯ (обязательно к прочтению)</t>
  </si>
  <si>
    <t>01. CHINT NXB-63'te 8А ve 13А anma akımı YOK. Proje 13А -&gt; NXB-63 16А, proje 8А -&gt; NXB-63 10А olarak yükseltildi. Kablo kesitleri (3х1,5 ВВГнг) ile koruma uyumu proje müellifince onaylanmalı.</t>
  </si>
  <si>
    <t>02. ЩВ: şema (ЭОМ лист 17, таблица ЩВ) 24 çıkış gösteriyor; spesifikasyon (ЭОМ.СО лист 3) 23 çıkış veriyor. ŞEMA esas alındı. Fark: 3Р16А şemada 2 ad. / spec'te 3 ad.; şemadaki 1Р16А (щв.14) ve 1Р13А (щв.15) spec'te yok.</t>
  </si>
  <si>
    <t>03. ЩВ щв.8 satırında şemada 'ВА47-100 1Р 8А' yazılı. Spesifikasyonda ВА47-100 yok. ВА47-29 1Р 8А (-&gt; NXB-63 1P 10A) kabul edildi. KONTROL.</t>
  </si>
  <si>
    <t>04. ЩО1 şemasında QF1.3 etiketi iki kez kullanılmış (çizim hatası). Çıkış sayısı що1.1...що1.9 = 9 adet, spesifikasyonla uyumlu.</t>
  </si>
  <si>
    <t>05. KORPUS MODÜL HESABI — %20 yedek kuralı uygulandı ve proje modül sayıları yükseltildi:</t>
  </si>
  <si>
    <t xml:space="preserve">      ЩО1: dolu 12 mod / proje 12 mod (%0 yedek) -&gt; 18 mod</t>
  </si>
  <si>
    <t xml:space="preserve">      ЩО2: dolu 15 mod / proje 18 mod (%17 yedek) -&gt; 24 mod</t>
  </si>
  <si>
    <t xml:space="preserve">      ЩО3: dolu 10 mod / proje 12 mod -&gt; 18 mod ; ЩО4: dolu 11 mod / proje 12 mod -&gt; 18 mod</t>
  </si>
  <si>
    <t xml:space="preserve">      ЩС1: dolu 10 mod -&gt; 18 mod ; ЩС2: dolu 15 mod -&gt; 24 mod ; ЩС3/ЩС4: dolu 11 mod -&gt; 18 mod</t>
  </si>
  <si>
    <t xml:space="preserve">      ЩАО1-ЩАО4: dolu 8/7/7/4 mod — proje 12 mod korundu.</t>
  </si>
  <si>
    <t>06. STOK UYARISI (CHINT 28.07.2026 listesi): NXB-63 1P B karakteristik stoğu yetersiz. 16А B: stokta 12 ad., ihtiyaç 38 ad.; 10А B: stokta 12 ad., ihtiyaç 25 ad.; 3P 63А B: stokta 2 ad. Tedarik süresi teyit edilmeli VEYA C karakteristiğine geçiş onaylanmalı (C stoğu bol, fiyat farkı ~0). Alternatif art.: 1P16A C=814014, 1P10A C=814013, 3P63A C=814176.</t>
  </si>
  <si>
    <t>07. ВРУ korpusu: proje ВРУ1-21-10 УХЛ4 1700х700х400. TEKSAN korpus fiyat listesi mevcut değil (elimizdeki TEKSAN dosyası sadece aydınlatma). İkame olarak EKT ЩМП-16 IP54 (1600х800х400) fiyatlandı. Ölçü farkı ve gövde tipi teyit edilmeli. KONTROL.</t>
  </si>
  <si>
    <t>08. Akım trafosu: опросный лист ВРУ 'Т1-Т3 125/5' diyor, спецификация '100/5А - 250/5А' aralığı veriyor, Iр=83,96А. 100/5А kl.0,5S seçildi (sayaç 5(10)А ile uyumlu). KONTROL.</t>
  </si>
  <si>
    <t>09. АВДТ tipi: projede tип A/AC belirtilmemiş. Seçilen CHINT NXBLE-63 тип AC'dir. Priz gruplarında тип A isteniyorsa madde değişecek.</t>
  </si>
  <si>
    <t>10. КМ blokları (КМ.Н1, КМ.Н2, КМ.В2-В5, КМ.В9, КМ.В11, КМ.В12 = 9 ad.) pano İÇİ değildir — 'по месту' ayrı IP54 kutularıdır. Ayrı bölüm olarak listelendi. Termik röleler motor akımına göre seçildi (0,45А/0,73А/2,73А).</t>
  </si>
  <si>
    <t>11. ЯТП 220/36 (4 ad.) ayrı kutu; ИБП KEOR T Evo 10 кВА ve счетчик Меркурий 234 KAPSAM DIŞI (adet korundu, fiyat boş).</t>
  </si>
  <si>
    <t>12. EKT/IEK/UNIT prayskurantı 19.06.2025 tarihli — 13 ay. YAS_DURUM = ПРЕДУПРЕЖДЕНИЕ. Teklif öncesi güncel liste alınmalı.</t>
  </si>
  <si>
    <t>13. ЩРН-П korpuslar 'в комплекте с шинами N и PE' alınır; bu panolarda ayrı DIN ray / kablo kanalı / klemens hesaplanmadı. ЩВ (ЩМП boş gövde) ve ВРУ için ayrıca hesaplandı.</t>
  </si>
  <si>
    <t>14. Альбом 14 (ЭС1 — КРН-IV 6 кВ hücreleri) ve Альбом 17 (ЭП1.2 — ТП 6/0,4 кВ) bu alçak gerilim BOM'una DAHİL DEĞİL. Ayrı fabrika / опросный лист çalışması gerekir.</t>
  </si>
  <si>
    <t>15. Boş fiyat hücresi = veri yok demektir; sıfır ile doldurulmadı. Her pano için 'Позиций без цены' sayacı СВОД sayfasındadır.</t>
  </si>
  <si>
    <t>ВРУ — вводно-распределительное устройство, тип ВРУ1-21-10-УХЛ4, 1700х700х400 (Альбом 8 ЭОМ, лист 3 / ЭОМ.ОЛ) без счетчик</t>
  </si>
  <si>
    <t>1700*700*450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</si>
</sst>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3"/>
      <name val="Arial"/>
      <family val="2"/>
      <charset val="204"/>
    </font>
    <font>
      <i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2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D9D9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3" fontId="5" fillId="3" borderId="1" xfId="0" applyNumberFormat="1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3" fontId="5" fillId="0" borderId="1" xfId="0" applyNumberFormat="1" applyFont="1" applyBorder="1"/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5" fillId="5" borderId="1" xfId="0" applyFont="1" applyFill="1" applyBorder="1"/>
    <xf numFmtId="0" fontId="4" fillId="5" borderId="1" xfId="0" applyFont="1" applyFill="1" applyBorder="1" applyAlignment="1">
      <alignment vertical="center" wrapText="1"/>
    </xf>
    <xf numFmtId="3" fontId="5" fillId="5" borderId="1" xfId="0" applyNumberFormat="1" applyFont="1" applyFill="1" applyBorder="1"/>
    <xf numFmtId="3" fontId="4" fillId="5" borderId="1" xfId="0" applyNumberFormat="1" applyFont="1" applyFill="1" applyBorder="1"/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0" fontId="4" fillId="6" borderId="1" xfId="0" applyFont="1" applyFill="1" applyBorder="1" applyAlignment="1">
      <alignment vertical="center" wrapText="1"/>
    </xf>
    <xf numFmtId="3" fontId="5" fillId="6" borderId="1" xfId="0" applyNumberFormat="1" applyFont="1" applyFill="1" applyBorder="1"/>
    <xf numFmtId="0" fontId="5" fillId="6" borderId="1" xfId="0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/>
    <xf numFmtId="3" fontId="6" fillId="5" borderId="1" xfId="0" applyNumberFormat="1" applyFont="1" applyFill="1" applyBorder="1"/>
    <xf numFmtId="0" fontId="4" fillId="0" borderId="0" xfId="0" applyFont="1"/>
    <xf numFmtId="0" fontId="4" fillId="2" borderId="1" xfId="0" applyFont="1" applyFill="1" applyBorder="1"/>
    <xf numFmtId="9" fontId="5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5" fillId="4" borderId="0" xfId="0" applyFont="1" applyFill="1"/>
    <xf numFmtId="9" fontId="5" fillId="4" borderId="0" xfId="0" applyNumberFormat="1" applyFont="1" applyFill="1"/>
    <xf numFmtId="164" fontId="5" fillId="4" borderId="0" xfId="0" applyNumberFormat="1" applyFont="1" applyFill="1"/>
    <xf numFmtId="0" fontId="7" fillId="0" borderId="0" xfId="0" applyFont="1"/>
    <xf numFmtId="0" fontId="5" fillId="0" borderId="0" xfId="0" applyFont="1" applyAlignment="1">
      <alignment vertical="top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"/>
  <sheetViews>
    <sheetView tabSelected="1" zoomScaleNormal="100" workbookViewId="0">
      <pane ySplit="4" topLeftCell="A40" activePane="bottomLeft" state="frozen"/>
      <selection pane="bottomLeft" activeCell="E46" sqref="E46"/>
    </sheetView>
  </sheetViews>
  <sheetFormatPr defaultColWidth="8.7109375" defaultRowHeight="15" x14ac:dyDescent="0.25"/>
  <cols>
    <col min="1" max="1" width="6" customWidth="1"/>
    <col min="2" max="2" width="26" customWidth="1"/>
    <col min="3" max="3" width="20" customWidth="1"/>
    <col min="4" max="4" width="18" customWidth="1"/>
    <col min="5" max="5" width="82" customWidth="1"/>
    <col min="6" max="7" width="15" customWidth="1"/>
    <col min="8" max="8" width="16" customWidth="1"/>
    <col min="9" max="9" width="8" customWidth="1"/>
    <col min="10" max="10" width="10" customWidth="1"/>
    <col min="11" max="11" width="12" customWidth="1"/>
  </cols>
  <sheetData>
    <row r="1" spans="1:11" ht="16.5" x14ac:dyDescent="0.25">
      <c r="A1" s="1" t="s">
        <v>0</v>
      </c>
    </row>
    <row r="2" spans="1:11" x14ac:dyDescent="0.25">
      <c r="A2" s="2" t="s">
        <v>1</v>
      </c>
    </row>
    <row r="4" spans="1:11" ht="25.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25.5" x14ac:dyDescent="0.25">
      <c r="A5" s="4">
        <v>1</v>
      </c>
      <c r="B5" s="5" t="s">
        <v>13</v>
      </c>
      <c r="C5" s="6"/>
      <c r="D5" s="6"/>
      <c r="E5" s="7" t="s">
        <v>267</v>
      </c>
      <c r="F5" s="8"/>
      <c r="G5" s="8"/>
      <c r="H5" s="8"/>
      <c r="I5" s="4">
        <v>1</v>
      </c>
      <c r="J5" s="4" t="s">
        <v>14</v>
      </c>
      <c r="K5" s="4"/>
    </row>
    <row r="6" spans="1:11" x14ac:dyDescent="0.25">
      <c r="A6" s="9">
        <v>2</v>
      </c>
      <c r="B6" s="10" t="str">
        <f t="shared" ref="B6:B29" si="0">$B$5</f>
        <v>ВРУ</v>
      </c>
      <c r="C6" s="10" t="s">
        <v>15</v>
      </c>
      <c r="D6" s="10" t="s">
        <v>16</v>
      </c>
      <c r="E6" s="37" t="s">
        <v>268</v>
      </c>
      <c r="F6" s="12">
        <v>111090</v>
      </c>
      <c r="G6" s="12">
        <f>IF(F6="","",F6*INDEX(Kurallar!$B$5:$B$9,MATCH(K6,Kurallar!$A$5:$A$9,0)))</f>
        <v>111090</v>
      </c>
      <c r="H6" s="12">
        <f t="shared" ref="H6:H27" si="1">IF(G6="","",G6*I6)</f>
        <v>111090</v>
      </c>
      <c r="I6" s="9">
        <v>1</v>
      </c>
      <c r="J6" s="9" t="s">
        <v>17</v>
      </c>
      <c r="K6" s="9" t="s">
        <v>18</v>
      </c>
    </row>
    <row r="7" spans="1:11" x14ac:dyDescent="0.25">
      <c r="A7" s="9">
        <v>3</v>
      </c>
      <c r="B7" s="10" t="str">
        <f t="shared" si="0"/>
        <v>ВРУ</v>
      </c>
      <c r="C7" s="10" t="s">
        <v>19</v>
      </c>
      <c r="D7" s="10" t="s">
        <v>20</v>
      </c>
      <c r="E7" s="11" t="s">
        <v>21</v>
      </c>
      <c r="F7" s="12">
        <v>19726</v>
      </c>
      <c r="G7" s="12">
        <f>IF(F7="","",F7*INDEX(Kurallar!$B$5:$B$9,MATCH(K7,Kurallar!$A$5:$A$9,0)))</f>
        <v>19726</v>
      </c>
      <c r="H7" s="12">
        <f t="shared" si="1"/>
        <v>19726</v>
      </c>
      <c r="I7" s="9">
        <v>1</v>
      </c>
      <c r="J7" s="9" t="s">
        <v>17</v>
      </c>
      <c r="K7" s="9" t="s">
        <v>22</v>
      </c>
    </row>
    <row r="8" spans="1:11" x14ac:dyDescent="0.25">
      <c r="A8" s="9">
        <v>4</v>
      </c>
      <c r="B8" s="10" t="str">
        <f t="shared" si="0"/>
        <v>ВРУ</v>
      </c>
      <c r="C8" s="10" t="s">
        <v>23</v>
      </c>
      <c r="D8" s="10" t="s">
        <v>24</v>
      </c>
      <c r="E8" s="11" t="s">
        <v>25</v>
      </c>
      <c r="F8" s="12">
        <v>3650</v>
      </c>
      <c r="G8" s="12">
        <f>IF(F8="","",F8*INDEX(Kurallar!$B$5:$B$9,MATCH(K8,Kurallar!$A$5:$A$9,0)))</f>
        <v>3650</v>
      </c>
      <c r="H8" s="12">
        <f t="shared" si="1"/>
        <v>10950</v>
      </c>
      <c r="I8" s="9">
        <v>3</v>
      </c>
      <c r="J8" s="9" t="s">
        <v>17</v>
      </c>
      <c r="K8" s="9" t="s">
        <v>22</v>
      </c>
    </row>
    <row r="9" spans="1:11" x14ac:dyDescent="0.25">
      <c r="A9" s="9">
        <v>5</v>
      </c>
      <c r="B9" s="10" t="str">
        <f t="shared" si="0"/>
        <v>ВРУ</v>
      </c>
      <c r="C9" s="10" t="s">
        <v>23</v>
      </c>
      <c r="D9" s="10" t="s">
        <v>26</v>
      </c>
      <c r="E9" s="11" t="s">
        <v>27</v>
      </c>
      <c r="F9" s="12">
        <v>2007</v>
      </c>
      <c r="G9" s="12">
        <f>IF(F9="","",F9*INDEX(Kurallar!$B$5:$B$9,MATCH(K9,Kurallar!$A$5:$A$9,0)))</f>
        <v>2007</v>
      </c>
      <c r="H9" s="12">
        <f t="shared" si="1"/>
        <v>6021</v>
      </c>
      <c r="I9" s="9">
        <v>3</v>
      </c>
      <c r="J9" s="9" t="s">
        <v>17</v>
      </c>
      <c r="K9" s="9" t="s">
        <v>22</v>
      </c>
    </row>
    <row r="10" spans="1:11" x14ac:dyDescent="0.25">
      <c r="A10" s="9">
        <v>6</v>
      </c>
      <c r="B10" s="10" t="str">
        <f t="shared" si="0"/>
        <v>ВРУ</v>
      </c>
      <c r="C10" s="10" t="s">
        <v>28</v>
      </c>
      <c r="D10" s="10" t="s">
        <v>29</v>
      </c>
      <c r="E10" s="11" t="s">
        <v>30</v>
      </c>
      <c r="F10" s="12">
        <v>5047</v>
      </c>
      <c r="G10" s="12">
        <f>IF(F10="","",F10*INDEX(Kurallar!$B$5:$B$9,MATCH(K10,Kurallar!$A$5:$A$9,0)))</f>
        <v>5047</v>
      </c>
      <c r="H10" s="12">
        <f t="shared" si="1"/>
        <v>15141</v>
      </c>
      <c r="I10" s="9">
        <v>3</v>
      </c>
      <c r="J10" s="9" t="s">
        <v>17</v>
      </c>
      <c r="K10" s="9" t="s">
        <v>31</v>
      </c>
    </row>
    <row r="11" spans="1:11" x14ac:dyDescent="0.25">
      <c r="A11" s="9">
        <v>7</v>
      </c>
      <c r="B11" s="10" t="str">
        <f t="shared" si="0"/>
        <v>ВРУ</v>
      </c>
      <c r="C11" s="10" t="s">
        <v>32</v>
      </c>
      <c r="D11" s="10"/>
      <c r="E11" s="11" t="s">
        <v>33</v>
      </c>
      <c r="F11" s="12"/>
      <c r="G11" s="12" t="str">
        <f>IF(F11="","",F11*INDEX(Kurallar!$B$5:$B$9,MATCH(K11,Kurallar!$A$5:$A$9,0)))</f>
        <v/>
      </c>
      <c r="H11" s="12" t="str">
        <f t="shared" si="1"/>
        <v/>
      </c>
      <c r="I11" s="9">
        <v>1</v>
      </c>
      <c r="J11" s="9" t="s">
        <v>17</v>
      </c>
      <c r="K11" s="9" t="s">
        <v>34</v>
      </c>
    </row>
    <row r="12" spans="1:11" x14ac:dyDescent="0.25">
      <c r="A12" s="9">
        <v>8</v>
      </c>
      <c r="B12" s="10" t="str">
        <f t="shared" si="0"/>
        <v>ВРУ</v>
      </c>
      <c r="C12" s="10" t="s">
        <v>35</v>
      </c>
      <c r="D12" s="10" t="s">
        <v>36</v>
      </c>
      <c r="E12" s="11" t="s">
        <v>37</v>
      </c>
      <c r="F12" s="12">
        <v>5275</v>
      </c>
      <c r="G12" s="12">
        <f>IF(F12="","",F12*INDEX(Kurallar!$B$5:$B$9,MATCH(K12,Kurallar!$A$5:$A$9,0)))</f>
        <v>3165</v>
      </c>
      <c r="H12" s="12">
        <f t="shared" si="1"/>
        <v>9495</v>
      </c>
      <c r="I12" s="9">
        <v>3</v>
      </c>
      <c r="J12" s="9" t="s">
        <v>17</v>
      </c>
      <c r="K12" s="9" t="s">
        <v>38</v>
      </c>
    </row>
    <row r="13" spans="1:11" x14ac:dyDescent="0.25">
      <c r="A13" s="9">
        <v>9</v>
      </c>
      <c r="B13" s="10" t="str">
        <f t="shared" si="0"/>
        <v>ВРУ</v>
      </c>
      <c r="C13" s="10" t="s">
        <v>39</v>
      </c>
      <c r="D13" s="10" t="s">
        <v>40</v>
      </c>
      <c r="E13" s="11" t="s">
        <v>41</v>
      </c>
      <c r="F13" s="12">
        <v>1436</v>
      </c>
      <c r="G13" s="12">
        <f>IF(F13="","",F13*INDEX(Kurallar!$B$5:$B$9,MATCH(K13,Kurallar!$A$5:$A$9,0)))</f>
        <v>861.6</v>
      </c>
      <c r="H13" s="12">
        <f t="shared" si="1"/>
        <v>1723.2</v>
      </c>
      <c r="I13" s="9">
        <v>2</v>
      </c>
      <c r="J13" s="9" t="s">
        <v>17</v>
      </c>
      <c r="K13" s="9" t="s">
        <v>38</v>
      </c>
    </row>
    <row r="14" spans="1:11" x14ac:dyDescent="0.25">
      <c r="A14" s="9">
        <v>10</v>
      </c>
      <c r="B14" s="10" t="str">
        <f t="shared" si="0"/>
        <v>ВРУ</v>
      </c>
      <c r="C14" s="10" t="s">
        <v>42</v>
      </c>
      <c r="D14" s="10" t="s">
        <v>43</v>
      </c>
      <c r="E14" s="11" t="s">
        <v>44</v>
      </c>
      <c r="F14" s="12">
        <v>836</v>
      </c>
      <c r="G14" s="12">
        <f>IF(F14="","",F14*INDEX(Kurallar!$B$5:$B$9,MATCH(K14,Kurallar!$A$5:$A$9,0)))</f>
        <v>501.59999999999997</v>
      </c>
      <c r="H14" s="12">
        <f t="shared" si="1"/>
        <v>1003.1999999999999</v>
      </c>
      <c r="I14" s="9">
        <v>2</v>
      </c>
      <c r="J14" s="9" t="s">
        <v>17</v>
      </c>
      <c r="K14" s="9" t="s">
        <v>38</v>
      </c>
    </row>
    <row r="15" spans="1:11" x14ac:dyDescent="0.25">
      <c r="A15" s="9">
        <v>11</v>
      </c>
      <c r="B15" s="10" t="str">
        <f t="shared" si="0"/>
        <v>ВРУ</v>
      </c>
      <c r="C15" s="10" t="s">
        <v>23</v>
      </c>
      <c r="D15" s="10" t="s">
        <v>45</v>
      </c>
      <c r="E15" s="11" t="s">
        <v>46</v>
      </c>
      <c r="F15" s="12">
        <v>1990</v>
      </c>
      <c r="G15" s="12">
        <f>IF(F15="","",F15*INDEX(Kurallar!$B$5:$B$9,MATCH(K15,Kurallar!$A$5:$A$9,0)))</f>
        <v>1990</v>
      </c>
      <c r="H15" s="12">
        <f t="shared" si="1"/>
        <v>35820</v>
      </c>
      <c r="I15" s="9">
        <v>18</v>
      </c>
      <c r="J15" s="9" t="s">
        <v>17</v>
      </c>
      <c r="K15" s="9" t="s">
        <v>22</v>
      </c>
    </row>
    <row r="16" spans="1:11" x14ac:dyDescent="0.25">
      <c r="A16" s="9">
        <v>12</v>
      </c>
      <c r="B16" s="10" t="str">
        <f t="shared" si="0"/>
        <v>ВРУ</v>
      </c>
      <c r="C16" s="10" t="s">
        <v>23</v>
      </c>
      <c r="D16" s="10" t="s">
        <v>47</v>
      </c>
      <c r="E16" s="11" t="s">
        <v>48</v>
      </c>
      <c r="F16" s="12">
        <v>775</v>
      </c>
      <c r="G16" s="12">
        <f>IF(F16="","",F16*INDEX(Kurallar!$B$5:$B$9,MATCH(K16,Kurallar!$A$5:$A$9,0)))</f>
        <v>775</v>
      </c>
      <c r="H16" s="12">
        <f t="shared" si="1"/>
        <v>4650</v>
      </c>
      <c r="I16" s="9">
        <v>6</v>
      </c>
      <c r="J16" s="9" t="s">
        <v>17</v>
      </c>
      <c r="K16" s="9" t="s">
        <v>22</v>
      </c>
    </row>
    <row r="17" spans="1:11" x14ac:dyDescent="0.25">
      <c r="A17" s="9">
        <v>13</v>
      </c>
      <c r="B17" s="10" t="str">
        <f t="shared" si="0"/>
        <v>ВРУ</v>
      </c>
      <c r="C17" s="10" t="s">
        <v>23</v>
      </c>
      <c r="D17" s="10" t="s">
        <v>49</v>
      </c>
      <c r="E17" s="11" t="s">
        <v>50</v>
      </c>
      <c r="F17" s="12">
        <v>775</v>
      </c>
      <c r="G17" s="12">
        <f>IF(F17="","",F17*INDEX(Kurallar!$B$5:$B$9,MATCH(K17,Kurallar!$A$5:$A$9,0)))</f>
        <v>775</v>
      </c>
      <c r="H17" s="12">
        <f t="shared" si="1"/>
        <v>4650</v>
      </c>
      <c r="I17" s="9">
        <v>6</v>
      </c>
      <c r="J17" s="9" t="s">
        <v>17</v>
      </c>
      <c r="K17" s="9" t="s">
        <v>22</v>
      </c>
    </row>
    <row r="18" spans="1:11" x14ac:dyDescent="0.25">
      <c r="A18" s="9">
        <v>14</v>
      </c>
      <c r="B18" s="10" t="str">
        <f t="shared" si="0"/>
        <v>ВРУ</v>
      </c>
      <c r="C18" s="10" t="s">
        <v>23</v>
      </c>
      <c r="D18" s="10" t="s">
        <v>51</v>
      </c>
      <c r="E18" s="11" t="s">
        <v>52</v>
      </c>
      <c r="F18" s="12">
        <v>920</v>
      </c>
      <c r="G18" s="12">
        <f>IF(F18="","",F18*INDEX(Kurallar!$B$5:$B$9,MATCH(K18,Kurallar!$A$5:$A$9,0)))</f>
        <v>920</v>
      </c>
      <c r="H18" s="12">
        <f t="shared" si="1"/>
        <v>2760</v>
      </c>
      <c r="I18" s="9">
        <v>3</v>
      </c>
      <c r="J18" s="9" t="s">
        <v>17</v>
      </c>
      <c r="K18" s="9" t="s">
        <v>22</v>
      </c>
    </row>
    <row r="19" spans="1:11" x14ac:dyDescent="0.25">
      <c r="A19" s="9">
        <v>15</v>
      </c>
      <c r="B19" s="10" t="str">
        <f t="shared" si="0"/>
        <v>ВРУ</v>
      </c>
      <c r="C19" s="10" t="s">
        <v>23</v>
      </c>
      <c r="D19" s="10" t="s">
        <v>53</v>
      </c>
      <c r="E19" s="11" t="s">
        <v>54</v>
      </c>
      <c r="F19" s="12">
        <v>775</v>
      </c>
      <c r="G19" s="12">
        <f>IF(F19="","",F19*INDEX(Kurallar!$B$5:$B$9,MATCH(K19,Kurallar!$A$5:$A$9,0)))</f>
        <v>775</v>
      </c>
      <c r="H19" s="12">
        <f t="shared" si="1"/>
        <v>2325</v>
      </c>
      <c r="I19" s="9">
        <v>3</v>
      </c>
      <c r="J19" s="9" t="s">
        <v>17</v>
      </c>
      <c r="K19" s="9" t="s">
        <v>22</v>
      </c>
    </row>
    <row r="20" spans="1:11" x14ac:dyDescent="0.25">
      <c r="A20" s="9">
        <v>16</v>
      </c>
      <c r="B20" s="10" t="str">
        <f t="shared" si="0"/>
        <v>ВРУ</v>
      </c>
      <c r="C20" s="10" t="s">
        <v>55</v>
      </c>
      <c r="D20" s="10" t="s">
        <v>56</v>
      </c>
      <c r="E20" s="11" t="s">
        <v>57</v>
      </c>
      <c r="F20" s="12">
        <v>1281</v>
      </c>
      <c r="G20" s="12">
        <f>IF(F20="","",F20*INDEX(Kurallar!$B$5:$B$9,MATCH(K20,Kurallar!$A$5:$A$9,0)))</f>
        <v>1281</v>
      </c>
      <c r="H20" s="12">
        <f t="shared" si="1"/>
        <v>3843</v>
      </c>
      <c r="I20" s="9">
        <v>3</v>
      </c>
      <c r="J20" s="9" t="s">
        <v>17</v>
      </c>
      <c r="K20" s="9" t="s">
        <v>18</v>
      </c>
    </row>
    <row r="21" spans="1:11" x14ac:dyDescent="0.25">
      <c r="A21" s="9">
        <v>17</v>
      </c>
      <c r="B21" s="10" t="str">
        <f t="shared" si="0"/>
        <v>ВРУ</v>
      </c>
      <c r="C21" s="10" t="s">
        <v>55</v>
      </c>
      <c r="D21" s="10" t="s">
        <v>58</v>
      </c>
      <c r="E21" s="11" t="s">
        <v>59</v>
      </c>
      <c r="F21" s="12">
        <v>234</v>
      </c>
      <c r="G21" s="12">
        <f>IF(F21="","",F21*INDEX(Kurallar!$B$5:$B$9,MATCH(K21,Kurallar!$A$5:$A$9,0)))</f>
        <v>234</v>
      </c>
      <c r="H21" s="12">
        <f t="shared" si="1"/>
        <v>4680</v>
      </c>
      <c r="I21" s="9">
        <v>20</v>
      </c>
      <c r="J21" s="9" t="s">
        <v>17</v>
      </c>
      <c r="K21" s="9" t="s">
        <v>22</v>
      </c>
    </row>
    <row r="22" spans="1:11" x14ac:dyDescent="0.25">
      <c r="A22" s="9">
        <v>18</v>
      </c>
      <c r="B22" s="10" t="str">
        <f t="shared" si="0"/>
        <v>ВРУ</v>
      </c>
      <c r="C22" s="10" t="s">
        <v>60</v>
      </c>
      <c r="D22" s="10" t="s">
        <v>61</v>
      </c>
      <c r="E22" s="11" t="s">
        <v>62</v>
      </c>
      <c r="F22" s="12">
        <v>151</v>
      </c>
      <c r="G22" s="12">
        <f>IF(F22="","",F22*INDEX(Kurallar!$B$5:$B$9,MATCH(K22,Kurallar!$A$5:$A$9,0)))</f>
        <v>151</v>
      </c>
      <c r="H22" s="12">
        <f t="shared" si="1"/>
        <v>1510</v>
      </c>
      <c r="I22" s="9">
        <v>10</v>
      </c>
      <c r="J22" s="9" t="s">
        <v>17</v>
      </c>
      <c r="K22" s="9" t="s">
        <v>22</v>
      </c>
    </row>
    <row r="23" spans="1:11" x14ac:dyDescent="0.25">
      <c r="A23" s="9">
        <v>19</v>
      </c>
      <c r="B23" s="10" t="str">
        <f t="shared" si="0"/>
        <v>ВРУ</v>
      </c>
      <c r="C23" s="10" t="s">
        <v>60</v>
      </c>
      <c r="D23" s="10" t="s">
        <v>63</v>
      </c>
      <c r="E23" s="11" t="s">
        <v>64</v>
      </c>
      <c r="F23" s="12">
        <v>144</v>
      </c>
      <c r="G23" s="12">
        <f>IF(F23="","",F23*INDEX(Kurallar!$B$5:$B$9,MATCH(K23,Kurallar!$A$5:$A$9,0)))</f>
        <v>144</v>
      </c>
      <c r="H23" s="12">
        <f t="shared" si="1"/>
        <v>1440</v>
      </c>
      <c r="I23" s="9">
        <v>10</v>
      </c>
      <c r="J23" s="9" t="s">
        <v>17</v>
      </c>
      <c r="K23" s="9" t="s">
        <v>22</v>
      </c>
    </row>
    <row r="24" spans="1:11" x14ac:dyDescent="0.25">
      <c r="A24" s="9">
        <v>20</v>
      </c>
      <c r="B24" s="10" t="str">
        <f t="shared" si="0"/>
        <v>ВРУ</v>
      </c>
      <c r="C24" s="10" t="s">
        <v>60</v>
      </c>
      <c r="D24" s="10" t="s">
        <v>65</v>
      </c>
      <c r="E24" s="11" t="s">
        <v>66</v>
      </c>
      <c r="F24" s="12">
        <v>549</v>
      </c>
      <c r="G24" s="12">
        <f>IF(F24="","",F24*INDEX(Kurallar!$B$5:$B$9,MATCH(K24,Kurallar!$A$5:$A$9,0)))</f>
        <v>549</v>
      </c>
      <c r="H24" s="12">
        <f t="shared" si="1"/>
        <v>1098</v>
      </c>
      <c r="I24" s="9">
        <v>2</v>
      </c>
      <c r="J24" s="9" t="s">
        <v>17</v>
      </c>
      <c r="K24" s="9" t="s">
        <v>22</v>
      </c>
    </row>
    <row r="25" spans="1:11" x14ac:dyDescent="0.25">
      <c r="A25" s="9">
        <v>21</v>
      </c>
      <c r="B25" s="10" t="str">
        <f t="shared" si="0"/>
        <v>ВРУ</v>
      </c>
      <c r="C25" s="10" t="s">
        <v>60</v>
      </c>
      <c r="D25" s="10" t="s">
        <v>67</v>
      </c>
      <c r="E25" s="11" t="s">
        <v>68</v>
      </c>
      <c r="F25" s="12">
        <v>1094</v>
      </c>
      <c r="G25" s="12">
        <f>IF(F25="","",F25*INDEX(Kurallar!$B$5:$B$9,MATCH(K25,Kurallar!$A$5:$A$9,0)))</f>
        <v>1094</v>
      </c>
      <c r="H25" s="12">
        <f t="shared" si="1"/>
        <v>4376</v>
      </c>
      <c r="I25" s="9">
        <v>4</v>
      </c>
      <c r="J25" s="9" t="s">
        <v>17</v>
      </c>
      <c r="K25" s="9" t="s">
        <v>31</v>
      </c>
    </row>
    <row r="26" spans="1:11" x14ac:dyDescent="0.25">
      <c r="A26" s="9">
        <v>22</v>
      </c>
      <c r="B26" s="10" t="str">
        <f t="shared" si="0"/>
        <v>ВРУ</v>
      </c>
      <c r="C26" s="10" t="s">
        <v>69</v>
      </c>
      <c r="D26" s="10" t="s">
        <v>70</v>
      </c>
      <c r="E26" s="11" t="s">
        <v>71</v>
      </c>
      <c r="F26" s="12">
        <v>319</v>
      </c>
      <c r="G26" s="12">
        <f>IF(F26="","",F26*INDEX(Kurallar!$B$5:$B$9,MATCH(K26,Kurallar!$A$5:$A$9,0)))</f>
        <v>319</v>
      </c>
      <c r="H26" s="12">
        <f t="shared" si="1"/>
        <v>19140</v>
      </c>
      <c r="I26" s="9">
        <v>60</v>
      </c>
      <c r="J26" s="9" t="s">
        <v>72</v>
      </c>
      <c r="K26" s="9" t="s">
        <v>18</v>
      </c>
    </row>
    <row r="27" spans="1:11" x14ac:dyDescent="0.25">
      <c r="A27" s="9">
        <v>23</v>
      </c>
      <c r="B27" s="10" t="str">
        <f t="shared" si="0"/>
        <v>ВРУ</v>
      </c>
      <c r="C27" s="10" t="s">
        <v>69</v>
      </c>
      <c r="D27" s="10" t="s">
        <v>73</v>
      </c>
      <c r="E27" s="11" t="s">
        <v>74</v>
      </c>
      <c r="F27" s="12">
        <v>319</v>
      </c>
      <c r="G27" s="12">
        <f>IF(F27="","",F27*INDEX(Kurallar!$B$5:$B$9,MATCH(K27,Kurallar!$A$5:$A$9,0)))</f>
        <v>319</v>
      </c>
      <c r="H27" s="12">
        <f t="shared" si="1"/>
        <v>4785</v>
      </c>
      <c r="I27" s="9">
        <v>15</v>
      </c>
      <c r="J27" s="9" t="s">
        <v>72</v>
      </c>
      <c r="K27" s="9" t="s">
        <v>18</v>
      </c>
    </row>
    <row r="28" spans="1:11" ht="25.5" x14ac:dyDescent="0.25">
      <c r="A28" s="9">
        <v>24</v>
      </c>
      <c r="B28" s="10" t="str">
        <f t="shared" si="0"/>
        <v>ВРУ</v>
      </c>
      <c r="C28" s="10" t="s">
        <v>75</v>
      </c>
      <c r="D28" s="10"/>
      <c r="E28" s="11" t="s">
        <v>76</v>
      </c>
      <c r="F28" s="12"/>
      <c r="G28" s="12">
        <f>ROUND(Kurallar!$B$12*SUBTOTAL(9,H6:H27),0)</f>
        <v>7987</v>
      </c>
      <c r="H28" s="12">
        <f>G28*I28</f>
        <v>7987</v>
      </c>
      <c r="I28" s="9">
        <v>1</v>
      </c>
      <c r="J28" s="9" t="s">
        <v>77</v>
      </c>
      <c r="K28" s="9" t="s">
        <v>78</v>
      </c>
    </row>
    <row r="29" spans="1:11" x14ac:dyDescent="0.25">
      <c r="A29" s="9">
        <v>25</v>
      </c>
      <c r="B29" s="10" t="str">
        <f t="shared" si="0"/>
        <v>ВРУ</v>
      </c>
      <c r="C29" s="10" t="s">
        <v>79</v>
      </c>
      <c r="D29" s="10"/>
      <c r="E29" s="11" t="s">
        <v>80</v>
      </c>
      <c r="F29" s="12">
        <f>I29/60</f>
        <v>19.416666666666668</v>
      </c>
      <c r="G29" s="12">
        <f>Kurallar!$B$13</f>
        <v>100</v>
      </c>
      <c r="H29" s="12">
        <f>G29*I29</f>
        <v>116500</v>
      </c>
      <c r="I29" s="9">
        <v>1165</v>
      </c>
      <c r="J29" s="9" t="s">
        <v>81</v>
      </c>
      <c r="K29" s="9" t="s">
        <v>78</v>
      </c>
    </row>
    <row r="30" spans="1:11" x14ac:dyDescent="0.25">
      <c r="A30" s="13"/>
      <c r="B30" s="14" t="str">
        <f>"Итого "&amp;$B$5</f>
        <v>Итого ВРУ</v>
      </c>
      <c r="C30" s="15"/>
      <c r="D30" s="15"/>
      <c r="E30" s="16" t="s">
        <v>82</v>
      </c>
      <c r="F30" s="17"/>
      <c r="G30" s="17"/>
      <c r="H30" s="18">
        <f>SUBTOTAL(9,H6:H29)</f>
        <v>390713.4</v>
      </c>
      <c r="I30" s="13"/>
      <c r="J30" s="13"/>
      <c r="K30" s="13"/>
    </row>
    <row r="31" spans="1:11" x14ac:dyDescent="0.25">
      <c r="A31" s="4">
        <v>26</v>
      </c>
      <c r="B31" s="5" t="s">
        <v>83</v>
      </c>
      <c r="C31" s="6"/>
      <c r="D31" s="6"/>
      <c r="E31" s="7" t="s">
        <v>84</v>
      </c>
      <c r="F31" s="8"/>
      <c r="G31" s="8"/>
      <c r="H31" s="8"/>
      <c r="I31" s="4">
        <v>1</v>
      </c>
      <c r="J31" s="4" t="s">
        <v>14</v>
      </c>
      <c r="K31" s="4"/>
    </row>
    <row r="32" spans="1:11" ht="25.5" x14ac:dyDescent="0.25">
      <c r="A32" s="9">
        <v>27</v>
      </c>
      <c r="B32" s="10" t="str">
        <f>$B$31</f>
        <v>ЩО1</v>
      </c>
      <c r="C32" s="10" t="s">
        <v>15</v>
      </c>
      <c r="D32" s="10" t="s">
        <v>85</v>
      </c>
      <c r="E32" s="11" t="s">
        <v>86</v>
      </c>
      <c r="F32" s="12">
        <v>3480</v>
      </c>
      <c r="G32" s="12">
        <f>IF(F32="","",F32*INDEX(Kurallar!$B$5:$B$9,MATCH(K32,Kurallar!$A$5:$A$9,0)))</f>
        <v>3480</v>
      </c>
      <c r="H32" s="12">
        <f>IF(G32="","",G32*I32)</f>
        <v>3480</v>
      </c>
      <c r="I32" s="9">
        <v>1</v>
      </c>
      <c r="J32" s="9" t="s">
        <v>17</v>
      </c>
      <c r="K32" s="9" t="s">
        <v>31</v>
      </c>
    </row>
    <row r="33" spans="1:11" x14ac:dyDescent="0.25">
      <c r="A33" s="9">
        <v>28</v>
      </c>
      <c r="B33" s="10" t="str">
        <f>$B$31</f>
        <v>ЩО1</v>
      </c>
      <c r="C33" s="10" t="s">
        <v>19</v>
      </c>
      <c r="D33" s="10" t="s">
        <v>87</v>
      </c>
      <c r="E33" s="11" t="s">
        <v>88</v>
      </c>
      <c r="F33" s="12">
        <v>3372</v>
      </c>
      <c r="G33" s="12">
        <f>IF(F33="","",F33*INDEX(Kurallar!$B$5:$B$9,MATCH(K33,Kurallar!$A$5:$A$9,0)))</f>
        <v>2023.1999999999998</v>
      </c>
      <c r="H33" s="12">
        <f>IF(G33="","",G33*I33)</f>
        <v>2023.1999999999998</v>
      </c>
      <c r="I33" s="9">
        <v>1</v>
      </c>
      <c r="J33" s="9" t="s">
        <v>17</v>
      </c>
      <c r="K33" s="9" t="s">
        <v>38</v>
      </c>
    </row>
    <row r="34" spans="1:11" x14ac:dyDescent="0.25">
      <c r="A34" s="9">
        <v>29</v>
      </c>
      <c r="B34" s="10" t="str">
        <f>$B$31</f>
        <v>ЩО1</v>
      </c>
      <c r="C34" s="10" t="s">
        <v>39</v>
      </c>
      <c r="D34" s="10" t="s">
        <v>89</v>
      </c>
      <c r="E34" s="11" t="s">
        <v>90</v>
      </c>
      <c r="F34" s="12">
        <v>1419</v>
      </c>
      <c r="G34" s="12">
        <f>IF(F34="","",F34*INDEX(Kurallar!$B$5:$B$9,MATCH(K34,Kurallar!$A$5:$A$9,0)))</f>
        <v>851.4</v>
      </c>
      <c r="H34" s="12">
        <f>IF(G34="","",G34*I34)</f>
        <v>7662.5999999999995</v>
      </c>
      <c r="I34" s="9">
        <v>9</v>
      </c>
      <c r="J34" s="9" t="s">
        <v>17</v>
      </c>
      <c r="K34" s="9" t="s">
        <v>38</v>
      </c>
    </row>
    <row r="35" spans="1:11" ht="25.5" x14ac:dyDescent="0.25">
      <c r="A35" s="9">
        <v>30</v>
      </c>
      <c r="B35" s="10" t="str">
        <f>$B$31</f>
        <v>ЩО1</v>
      </c>
      <c r="C35" s="10" t="s">
        <v>75</v>
      </c>
      <c r="D35" s="10"/>
      <c r="E35" s="11" t="s">
        <v>76</v>
      </c>
      <c r="F35" s="12"/>
      <c r="G35" s="12">
        <f>ROUND(Kurallar!$B$12*SUBTOTAL(9,H32:H34),0)</f>
        <v>395</v>
      </c>
      <c r="H35" s="12">
        <f>G35*I35</f>
        <v>395</v>
      </c>
      <c r="I35" s="9">
        <v>1</v>
      </c>
      <c r="J35" s="9" t="s">
        <v>77</v>
      </c>
      <c r="K35" s="9" t="s">
        <v>78</v>
      </c>
    </row>
    <row r="36" spans="1:11" x14ac:dyDescent="0.25">
      <c r="A36" s="9">
        <v>31</v>
      </c>
      <c r="B36" s="10" t="str">
        <f>$B$31</f>
        <v>ЩО1</v>
      </c>
      <c r="C36" s="10" t="s">
        <v>79</v>
      </c>
      <c r="D36" s="10"/>
      <c r="E36" s="11" t="s">
        <v>80</v>
      </c>
      <c r="F36" s="12">
        <f>I36/60</f>
        <v>3.1666666666666665</v>
      </c>
      <c r="G36" s="12">
        <f>Kurallar!$B$13</f>
        <v>100</v>
      </c>
      <c r="H36" s="12">
        <f>G36*I36</f>
        <v>19000</v>
      </c>
      <c r="I36" s="9">
        <v>190</v>
      </c>
      <c r="J36" s="9" t="s">
        <v>81</v>
      </c>
      <c r="K36" s="9" t="s">
        <v>78</v>
      </c>
    </row>
    <row r="37" spans="1:11" x14ac:dyDescent="0.25">
      <c r="A37" s="13"/>
      <c r="B37" s="14" t="str">
        <f>"Итого "&amp;$B$31</f>
        <v>Итого ЩО1</v>
      </c>
      <c r="C37" s="15"/>
      <c r="D37" s="15"/>
      <c r="E37" s="16" t="s">
        <v>82</v>
      </c>
      <c r="F37" s="17"/>
      <c r="G37" s="17"/>
      <c r="H37" s="18">
        <f>SUBTOTAL(9,H32:H36)</f>
        <v>32560.799999999999</v>
      </c>
      <c r="I37" s="13"/>
      <c r="J37" s="13"/>
      <c r="K37" s="13"/>
    </row>
    <row r="38" spans="1:11" x14ac:dyDescent="0.25">
      <c r="A38" s="4">
        <v>32</v>
      </c>
      <c r="B38" s="5" t="s">
        <v>91</v>
      </c>
      <c r="C38" s="6"/>
      <c r="D38" s="6"/>
      <c r="E38" s="7" t="s">
        <v>92</v>
      </c>
      <c r="F38" s="8"/>
      <c r="G38" s="8"/>
      <c r="H38" s="8"/>
      <c r="I38" s="4">
        <v>1</v>
      </c>
      <c r="J38" s="4" t="s">
        <v>14</v>
      </c>
      <c r="K38" s="4"/>
    </row>
    <row r="39" spans="1:11" ht="25.5" x14ac:dyDescent="0.25">
      <c r="A39" s="9">
        <v>33</v>
      </c>
      <c r="B39" s="10" t="str">
        <f>$B$38</f>
        <v>ЩО2</v>
      </c>
      <c r="C39" s="10" t="s">
        <v>15</v>
      </c>
      <c r="D39" s="10" t="s">
        <v>93</v>
      </c>
      <c r="E39" s="11" t="s">
        <v>94</v>
      </c>
      <c r="F39" s="12">
        <v>7040</v>
      </c>
      <c r="G39" s="12">
        <f>IF(F39="","",F39*INDEX(Kurallar!$B$5:$B$9,MATCH(K39,Kurallar!$A$5:$A$9,0)))</f>
        <v>7040</v>
      </c>
      <c r="H39" s="12">
        <f>IF(G39="","",G39*I39)</f>
        <v>7040</v>
      </c>
      <c r="I39" s="9">
        <v>1</v>
      </c>
      <c r="J39" s="9" t="s">
        <v>17</v>
      </c>
      <c r="K39" s="9" t="s">
        <v>31</v>
      </c>
    </row>
    <row r="40" spans="1:11" x14ac:dyDescent="0.25">
      <c r="A40" s="9">
        <v>34</v>
      </c>
      <c r="B40" s="10" t="str">
        <f>$B$38</f>
        <v>ЩО2</v>
      </c>
      <c r="C40" s="10" t="s">
        <v>19</v>
      </c>
      <c r="D40" s="10" t="s">
        <v>87</v>
      </c>
      <c r="E40" s="11" t="s">
        <v>88</v>
      </c>
      <c r="F40" s="12">
        <v>3372</v>
      </c>
      <c r="G40" s="12">
        <f>IF(F40="","",F40*INDEX(Kurallar!$B$5:$B$9,MATCH(K40,Kurallar!$A$5:$A$9,0)))</f>
        <v>2023.1999999999998</v>
      </c>
      <c r="H40" s="12">
        <f>IF(G40="","",G40*I40)</f>
        <v>2023.1999999999998</v>
      </c>
      <c r="I40" s="9">
        <v>1</v>
      </c>
      <c r="J40" s="9" t="s">
        <v>17</v>
      </c>
      <c r="K40" s="9" t="s">
        <v>38</v>
      </c>
    </row>
    <row r="41" spans="1:11" x14ac:dyDescent="0.25">
      <c r="A41" s="9">
        <v>35</v>
      </c>
      <c r="B41" s="10" t="str">
        <f>$B$38</f>
        <v>ЩО2</v>
      </c>
      <c r="C41" s="10" t="s">
        <v>39</v>
      </c>
      <c r="D41" s="10" t="s">
        <v>89</v>
      </c>
      <c r="E41" s="11" t="s">
        <v>90</v>
      </c>
      <c r="F41" s="12">
        <v>1419</v>
      </c>
      <c r="G41" s="12">
        <f>IF(F41="","",F41*INDEX(Kurallar!$B$5:$B$9,MATCH(K41,Kurallar!$A$5:$A$9,0)))</f>
        <v>851.4</v>
      </c>
      <c r="H41" s="12">
        <f>IF(G41="","",G41*I41)</f>
        <v>10216.799999999999</v>
      </c>
      <c r="I41" s="9">
        <v>12</v>
      </c>
      <c r="J41" s="9" t="s">
        <v>17</v>
      </c>
      <c r="K41" s="9" t="s">
        <v>38</v>
      </c>
    </row>
    <row r="42" spans="1:11" ht="25.5" x14ac:dyDescent="0.25">
      <c r="A42" s="9">
        <v>36</v>
      </c>
      <c r="B42" s="10" t="str">
        <f>$B$38</f>
        <v>ЩО2</v>
      </c>
      <c r="C42" s="10" t="s">
        <v>75</v>
      </c>
      <c r="D42" s="10"/>
      <c r="E42" s="11" t="s">
        <v>76</v>
      </c>
      <c r="F42" s="12"/>
      <c r="G42" s="12">
        <f>ROUND(Kurallar!$B$12*SUBTOTAL(9,H39:H41),0)</f>
        <v>578</v>
      </c>
      <c r="H42" s="12">
        <f>G42*I42</f>
        <v>578</v>
      </c>
      <c r="I42" s="9">
        <v>1</v>
      </c>
      <c r="J42" s="9" t="s">
        <v>77</v>
      </c>
      <c r="K42" s="9" t="s">
        <v>78</v>
      </c>
    </row>
    <row r="43" spans="1:11" x14ac:dyDescent="0.25">
      <c r="A43" s="9">
        <v>37</v>
      </c>
      <c r="B43" s="10" t="str">
        <f>$B$38</f>
        <v>ЩО2</v>
      </c>
      <c r="C43" s="10" t="s">
        <v>79</v>
      </c>
      <c r="D43" s="10"/>
      <c r="E43" s="11" t="s">
        <v>80</v>
      </c>
      <c r="F43" s="12">
        <f>I43/60</f>
        <v>3.7333333333333334</v>
      </c>
      <c r="G43" s="12">
        <f>Kurallar!$B$13</f>
        <v>100</v>
      </c>
      <c r="H43" s="12">
        <f>G43*I43</f>
        <v>22400</v>
      </c>
      <c r="I43" s="9">
        <v>224</v>
      </c>
      <c r="J43" s="9" t="s">
        <v>81</v>
      </c>
      <c r="K43" s="9" t="s">
        <v>78</v>
      </c>
    </row>
    <row r="44" spans="1:11" x14ac:dyDescent="0.25">
      <c r="A44" s="13"/>
      <c r="B44" s="14" t="str">
        <f>"Итого "&amp;$B$38</f>
        <v>Итого ЩО2</v>
      </c>
      <c r="C44" s="15"/>
      <c r="D44" s="15"/>
      <c r="E44" s="16" t="s">
        <v>82</v>
      </c>
      <c r="F44" s="17"/>
      <c r="G44" s="17"/>
      <c r="H44" s="18">
        <f>SUBTOTAL(9,H39:H43)</f>
        <v>42258</v>
      </c>
      <c r="I44" s="13"/>
      <c r="J44" s="13"/>
      <c r="K44" s="13"/>
    </row>
    <row r="45" spans="1:11" x14ac:dyDescent="0.25">
      <c r="A45" s="4">
        <v>38</v>
      </c>
      <c r="B45" s="5" t="s">
        <v>95</v>
      </c>
      <c r="C45" s="6"/>
      <c r="D45" s="6"/>
      <c r="E45" s="7" t="s">
        <v>96</v>
      </c>
      <c r="F45" s="8"/>
      <c r="G45" s="8"/>
      <c r="H45" s="8"/>
      <c r="I45" s="4">
        <v>1</v>
      </c>
      <c r="J45" s="4" t="s">
        <v>14</v>
      </c>
      <c r="K45" s="4"/>
    </row>
    <row r="46" spans="1:11" ht="25.5" x14ac:dyDescent="0.25">
      <c r="A46" s="9">
        <v>39</v>
      </c>
      <c r="B46" s="10" t="str">
        <f>$B$45</f>
        <v>ЩО3</v>
      </c>
      <c r="C46" s="10" t="s">
        <v>15</v>
      </c>
      <c r="D46" s="10" t="s">
        <v>85</v>
      </c>
      <c r="E46" s="11" t="s">
        <v>86</v>
      </c>
      <c r="F46" s="12">
        <v>3480</v>
      </c>
      <c r="G46" s="12">
        <f>IF(F46="","",F46*INDEX(Kurallar!$B$5:$B$9,MATCH(K46,Kurallar!$A$5:$A$9,0)))</f>
        <v>3480</v>
      </c>
      <c r="H46" s="12">
        <f>IF(G46="","",G46*I46)</f>
        <v>3480</v>
      </c>
      <c r="I46" s="9">
        <v>1</v>
      </c>
      <c r="J46" s="9" t="s">
        <v>17</v>
      </c>
      <c r="K46" s="9" t="s">
        <v>31</v>
      </c>
    </row>
    <row r="47" spans="1:11" x14ac:dyDescent="0.25">
      <c r="A47" s="9">
        <v>40</v>
      </c>
      <c r="B47" s="10" t="str">
        <f>$B$45</f>
        <v>ЩО3</v>
      </c>
      <c r="C47" s="10" t="s">
        <v>19</v>
      </c>
      <c r="D47" s="10" t="s">
        <v>87</v>
      </c>
      <c r="E47" s="11" t="s">
        <v>88</v>
      </c>
      <c r="F47" s="12">
        <v>3372</v>
      </c>
      <c r="G47" s="12">
        <f>IF(F47="","",F47*INDEX(Kurallar!$B$5:$B$9,MATCH(K47,Kurallar!$A$5:$A$9,0)))</f>
        <v>2023.1999999999998</v>
      </c>
      <c r="H47" s="12">
        <f>IF(G47="","",G47*I47)</f>
        <v>2023.1999999999998</v>
      </c>
      <c r="I47" s="9">
        <v>1</v>
      </c>
      <c r="J47" s="9" t="s">
        <v>17</v>
      </c>
      <c r="K47" s="9" t="s">
        <v>38</v>
      </c>
    </row>
    <row r="48" spans="1:11" x14ac:dyDescent="0.25">
      <c r="A48" s="9">
        <v>41</v>
      </c>
      <c r="B48" s="10" t="str">
        <f>$B$45</f>
        <v>ЩО3</v>
      </c>
      <c r="C48" s="10" t="s">
        <v>39</v>
      </c>
      <c r="D48" s="10" t="s">
        <v>89</v>
      </c>
      <c r="E48" s="11" t="s">
        <v>90</v>
      </c>
      <c r="F48" s="12">
        <v>1419</v>
      </c>
      <c r="G48" s="12">
        <f>IF(F48="","",F48*INDEX(Kurallar!$B$5:$B$9,MATCH(K48,Kurallar!$A$5:$A$9,0)))</f>
        <v>851.4</v>
      </c>
      <c r="H48" s="12">
        <f>IF(G48="","",G48*I48)</f>
        <v>5959.8</v>
      </c>
      <c r="I48" s="9">
        <v>7</v>
      </c>
      <c r="J48" s="9" t="s">
        <v>17</v>
      </c>
      <c r="K48" s="9" t="s">
        <v>38</v>
      </c>
    </row>
    <row r="49" spans="1:11" ht="25.5" x14ac:dyDescent="0.25">
      <c r="A49" s="9">
        <v>42</v>
      </c>
      <c r="B49" s="10" t="str">
        <f>$B$45</f>
        <v>ЩО3</v>
      </c>
      <c r="C49" s="10" t="s">
        <v>75</v>
      </c>
      <c r="D49" s="10"/>
      <c r="E49" s="11" t="s">
        <v>76</v>
      </c>
      <c r="F49" s="12"/>
      <c r="G49" s="12">
        <f>ROUND(Kurallar!$B$12*SUBTOTAL(9,H46:H48),0)</f>
        <v>344</v>
      </c>
      <c r="H49" s="12">
        <f>G49*I49</f>
        <v>344</v>
      </c>
      <c r="I49" s="9">
        <v>1</v>
      </c>
      <c r="J49" s="9" t="s">
        <v>77</v>
      </c>
      <c r="K49" s="9" t="s">
        <v>78</v>
      </c>
    </row>
    <row r="50" spans="1:11" x14ac:dyDescent="0.25">
      <c r="A50" s="9">
        <v>43</v>
      </c>
      <c r="B50" s="10" t="str">
        <f>$B$45</f>
        <v>ЩО3</v>
      </c>
      <c r="C50" s="10" t="s">
        <v>79</v>
      </c>
      <c r="D50" s="10"/>
      <c r="E50" s="11" t="s">
        <v>80</v>
      </c>
      <c r="F50" s="12">
        <f>I50/60</f>
        <v>2.7833333333333332</v>
      </c>
      <c r="G50" s="12">
        <f>Kurallar!$B$13</f>
        <v>100</v>
      </c>
      <c r="H50" s="12">
        <f>G50*I50</f>
        <v>16700</v>
      </c>
      <c r="I50" s="9">
        <v>167</v>
      </c>
      <c r="J50" s="9" t="s">
        <v>81</v>
      </c>
      <c r="K50" s="9" t="s">
        <v>78</v>
      </c>
    </row>
    <row r="51" spans="1:11" x14ac:dyDescent="0.25">
      <c r="A51" s="13"/>
      <c r="B51" s="14" t="str">
        <f>"Итого "&amp;$B$45</f>
        <v>Итого ЩО3</v>
      </c>
      <c r="C51" s="15"/>
      <c r="D51" s="15"/>
      <c r="E51" s="16" t="s">
        <v>82</v>
      </c>
      <c r="F51" s="17"/>
      <c r="G51" s="17"/>
      <c r="H51" s="18">
        <f>SUBTOTAL(9,H46:H50)</f>
        <v>28507</v>
      </c>
      <c r="I51" s="13"/>
      <c r="J51" s="13"/>
      <c r="K51" s="13"/>
    </row>
    <row r="52" spans="1:11" x14ac:dyDescent="0.25">
      <c r="A52" s="4">
        <v>44</v>
      </c>
      <c r="B52" s="5" t="s">
        <v>97</v>
      </c>
      <c r="C52" s="6"/>
      <c r="D52" s="6"/>
      <c r="E52" s="7" t="s">
        <v>98</v>
      </c>
      <c r="F52" s="8"/>
      <c r="G52" s="8"/>
      <c r="H52" s="8"/>
      <c r="I52" s="4">
        <v>1</v>
      </c>
      <c r="J52" s="4" t="s">
        <v>14</v>
      </c>
      <c r="K52" s="4"/>
    </row>
    <row r="53" spans="1:11" ht="25.5" x14ac:dyDescent="0.25">
      <c r="A53" s="9">
        <v>45</v>
      </c>
      <c r="B53" s="10" t="str">
        <f>$B$52</f>
        <v>ЩО4</v>
      </c>
      <c r="C53" s="10" t="s">
        <v>15</v>
      </c>
      <c r="D53" s="10" t="s">
        <v>85</v>
      </c>
      <c r="E53" s="11" t="s">
        <v>86</v>
      </c>
      <c r="F53" s="12">
        <v>3480</v>
      </c>
      <c r="G53" s="12">
        <f>IF(F53="","",F53*INDEX(Kurallar!$B$5:$B$9,MATCH(K53,Kurallar!$A$5:$A$9,0)))</f>
        <v>3480</v>
      </c>
      <c r="H53" s="12">
        <f>IF(G53="","",G53*I53)</f>
        <v>3480</v>
      </c>
      <c r="I53" s="9">
        <v>1</v>
      </c>
      <c r="J53" s="9" t="s">
        <v>17</v>
      </c>
      <c r="K53" s="9" t="s">
        <v>31</v>
      </c>
    </row>
    <row r="54" spans="1:11" x14ac:dyDescent="0.25">
      <c r="A54" s="9">
        <v>46</v>
      </c>
      <c r="B54" s="10" t="str">
        <f>$B$52</f>
        <v>ЩО4</v>
      </c>
      <c r="C54" s="10" t="s">
        <v>19</v>
      </c>
      <c r="D54" s="10" t="s">
        <v>87</v>
      </c>
      <c r="E54" s="11" t="s">
        <v>88</v>
      </c>
      <c r="F54" s="12">
        <v>3372</v>
      </c>
      <c r="G54" s="12">
        <f>IF(F54="","",F54*INDEX(Kurallar!$B$5:$B$9,MATCH(K54,Kurallar!$A$5:$A$9,0)))</f>
        <v>2023.1999999999998</v>
      </c>
      <c r="H54" s="12">
        <f>IF(G54="","",G54*I54)</f>
        <v>2023.1999999999998</v>
      </c>
      <c r="I54" s="9">
        <v>1</v>
      </c>
      <c r="J54" s="9" t="s">
        <v>17</v>
      </c>
      <c r="K54" s="9" t="s">
        <v>38</v>
      </c>
    </row>
    <row r="55" spans="1:11" x14ac:dyDescent="0.25">
      <c r="A55" s="9">
        <v>47</v>
      </c>
      <c r="B55" s="10" t="str">
        <f>$B$52</f>
        <v>ЩО4</v>
      </c>
      <c r="C55" s="10" t="s">
        <v>39</v>
      </c>
      <c r="D55" s="10" t="s">
        <v>89</v>
      </c>
      <c r="E55" s="11" t="s">
        <v>90</v>
      </c>
      <c r="F55" s="12">
        <v>1419</v>
      </c>
      <c r="G55" s="12">
        <f>IF(F55="","",F55*INDEX(Kurallar!$B$5:$B$9,MATCH(K55,Kurallar!$A$5:$A$9,0)))</f>
        <v>851.4</v>
      </c>
      <c r="H55" s="12">
        <f>IF(G55="","",G55*I55)</f>
        <v>6811.2</v>
      </c>
      <c r="I55" s="9">
        <v>8</v>
      </c>
      <c r="J55" s="9" t="s">
        <v>17</v>
      </c>
      <c r="K55" s="9" t="s">
        <v>38</v>
      </c>
    </row>
    <row r="56" spans="1:11" ht="25.5" x14ac:dyDescent="0.25">
      <c r="A56" s="9">
        <v>48</v>
      </c>
      <c r="B56" s="10" t="str">
        <f>$B$52</f>
        <v>ЩО4</v>
      </c>
      <c r="C56" s="10" t="s">
        <v>75</v>
      </c>
      <c r="D56" s="10"/>
      <c r="E56" s="11" t="s">
        <v>76</v>
      </c>
      <c r="F56" s="12"/>
      <c r="G56" s="12">
        <f>ROUND(Kurallar!$B$12*SUBTOTAL(9,H53:H55),0)</f>
        <v>369</v>
      </c>
      <c r="H56" s="12">
        <f>G56*I56</f>
        <v>369</v>
      </c>
      <c r="I56" s="9">
        <v>1</v>
      </c>
      <c r="J56" s="9" t="s">
        <v>77</v>
      </c>
      <c r="K56" s="9" t="s">
        <v>78</v>
      </c>
    </row>
    <row r="57" spans="1:11" x14ac:dyDescent="0.25">
      <c r="A57" s="9">
        <v>49</v>
      </c>
      <c r="B57" s="10" t="str">
        <f>$B$52</f>
        <v>ЩО4</v>
      </c>
      <c r="C57" s="10" t="s">
        <v>79</v>
      </c>
      <c r="D57" s="10"/>
      <c r="E57" s="11" t="s">
        <v>80</v>
      </c>
      <c r="F57" s="12">
        <f>I57/60</f>
        <v>2.9666666666666668</v>
      </c>
      <c r="G57" s="12">
        <f>Kurallar!$B$13</f>
        <v>100</v>
      </c>
      <c r="H57" s="12">
        <f>G57*I57</f>
        <v>17800</v>
      </c>
      <c r="I57" s="9">
        <v>178</v>
      </c>
      <c r="J57" s="9" t="s">
        <v>81</v>
      </c>
      <c r="K57" s="9" t="s">
        <v>78</v>
      </c>
    </row>
    <row r="58" spans="1:11" x14ac:dyDescent="0.25">
      <c r="A58" s="13"/>
      <c r="B58" s="14" t="str">
        <f>"Итого "&amp;$B$52</f>
        <v>Итого ЩО4</v>
      </c>
      <c r="C58" s="15"/>
      <c r="D58" s="15"/>
      <c r="E58" s="16" t="s">
        <v>82</v>
      </c>
      <c r="F58" s="17"/>
      <c r="G58" s="17"/>
      <c r="H58" s="18">
        <f>SUBTOTAL(9,H53:H57)</f>
        <v>30483.4</v>
      </c>
      <c r="I58" s="13"/>
      <c r="J58" s="13"/>
      <c r="K58" s="13"/>
    </row>
    <row r="59" spans="1:11" ht="25.5" x14ac:dyDescent="0.25">
      <c r="A59" s="4">
        <v>50</v>
      </c>
      <c r="B59" s="5" t="s">
        <v>99</v>
      </c>
      <c r="C59" s="6"/>
      <c r="D59" s="6"/>
      <c r="E59" s="7" t="s">
        <v>100</v>
      </c>
      <c r="F59" s="8"/>
      <c r="G59" s="8"/>
      <c r="H59" s="8"/>
      <c r="I59" s="4">
        <v>1</v>
      </c>
      <c r="J59" s="4" t="s">
        <v>14</v>
      </c>
      <c r="K59" s="4"/>
    </row>
    <row r="60" spans="1:11" ht="25.5" x14ac:dyDescent="0.25">
      <c r="A60" s="9">
        <v>51</v>
      </c>
      <c r="B60" s="10" t="str">
        <f>$B$59</f>
        <v>ЩАО1</v>
      </c>
      <c r="C60" s="10" t="s">
        <v>15</v>
      </c>
      <c r="D60" s="10" t="s">
        <v>101</v>
      </c>
      <c r="E60" s="11" t="s">
        <v>102</v>
      </c>
      <c r="F60" s="12">
        <v>3998</v>
      </c>
      <c r="G60" s="12">
        <f>IF(F60="","",F60*INDEX(Kurallar!$B$5:$B$9,MATCH(K60,Kurallar!$A$5:$A$9,0)))</f>
        <v>3998</v>
      </c>
      <c r="H60" s="12">
        <f>IF(G60="","",G60*I60)</f>
        <v>3998</v>
      </c>
      <c r="I60" s="9">
        <v>1</v>
      </c>
      <c r="J60" s="9" t="s">
        <v>17</v>
      </c>
      <c r="K60" s="9" t="s">
        <v>31</v>
      </c>
    </row>
    <row r="61" spans="1:11" x14ac:dyDescent="0.25">
      <c r="A61" s="9">
        <v>52</v>
      </c>
      <c r="B61" s="10" t="str">
        <f>$B$59</f>
        <v>ЩАО1</v>
      </c>
      <c r="C61" s="10" t="s">
        <v>19</v>
      </c>
      <c r="D61" s="10" t="s">
        <v>87</v>
      </c>
      <c r="E61" s="11" t="s">
        <v>88</v>
      </c>
      <c r="F61" s="12">
        <v>3372</v>
      </c>
      <c r="G61" s="12">
        <f>IF(F61="","",F61*INDEX(Kurallar!$B$5:$B$9,MATCH(K61,Kurallar!$A$5:$A$9,0)))</f>
        <v>2023.1999999999998</v>
      </c>
      <c r="H61" s="12">
        <f>IF(G61="","",G61*I61)</f>
        <v>2023.1999999999998</v>
      </c>
      <c r="I61" s="9">
        <v>1</v>
      </c>
      <c r="J61" s="9" t="s">
        <v>17</v>
      </c>
      <c r="K61" s="9" t="s">
        <v>38</v>
      </c>
    </row>
    <row r="62" spans="1:11" x14ac:dyDescent="0.25">
      <c r="A62" s="9">
        <v>53</v>
      </c>
      <c r="B62" s="10" t="str">
        <f>$B$59</f>
        <v>ЩАО1</v>
      </c>
      <c r="C62" s="10" t="s">
        <v>39</v>
      </c>
      <c r="D62" s="10" t="s">
        <v>103</v>
      </c>
      <c r="E62" s="11" t="s">
        <v>104</v>
      </c>
      <c r="F62" s="12">
        <v>1419</v>
      </c>
      <c r="G62" s="12">
        <f>IF(F62="","",F62*INDEX(Kurallar!$B$5:$B$9,MATCH(K62,Kurallar!$A$5:$A$9,0)))</f>
        <v>851.4</v>
      </c>
      <c r="H62" s="12">
        <f>IF(G62="","",G62*I62)</f>
        <v>4257</v>
      </c>
      <c r="I62" s="9">
        <v>5</v>
      </c>
      <c r="J62" s="9" t="s">
        <v>17</v>
      </c>
      <c r="K62" s="9" t="s">
        <v>38</v>
      </c>
    </row>
    <row r="63" spans="1:11" ht="25.5" x14ac:dyDescent="0.25">
      <c r="A63" s="9">
        <v>54</v>
      </c>
      <c r="B63" s="10" t="str">
        <f>$B$59</f>
        <v>ЩАО1</v>
      </c>
      <c r="C63" s="10" t="s">
        <v>75</v>
      </c>
      <c r="D63" s="10"/>
      <c r="E63" s="11" t="s">
        <v>76</v>
      </c>
      <c r="F63" s="12"/>
      <c r="G63" s="12">
        <f>ROUND(Kurallar!$B$12*SUBTOTAL(9,H60:H62),0)</f>
        <v>308</v>
      </c>
      <c r="H63" s="12">
        <f>G63*I63</f>
        <v>308</v>
      </c>
      <c r="I63" s="9">
        <v>1</v>
      </c>
      <c r="J63" s="9" t="s">
        <v>77</v>
      </c>
      <c r="K63" s="9" t="s">
        <v>78</v>
      </c>
    </row>
    <row r="64" spans="1:11" x14ac:dyDescent="0.25">
      <c r="A64" s="9">
        <v>55</v>
      </c>
      <c r="B64" s="10" t="str">
        <f>$B$59</f>
        <v>ЩАО1</v>
      </c>
      <c r="C64" s="10" t="s">
        <v>79</v>
      </c>
      <c r="D64" s="10"/>
      <c r="E64" s="11" t="s">
        <v>80</v>
      </c>
      <c r="F64" s="12">
        <f>I64/60</f>
        <v>2.4</v>
      </c>
      <c r="G64" s="12">
        <f>Kurallar!$B$13</f>
        <v>100</v>
      </c>
      <c r="H64" s="12">
        <f>G64*I64</f>
        <v>14400</v>
      </c>
      <c r="I64" s="9">
        <v>144</v>
      </c>
      <c r="J64" s="9" t="s">
        <v>81</v>
      </c>
      <c r="K64" s="9" t="s">
        <v>78</v>
      </c>
    </row>
    <row r="65" spans="1:11" x14ac:dyDescent="0.25">
      <c r="A65" s="13"/>
      <c r="B65" s="14" t="str">
        <f>"Итого "&amp;$B$59</f>
        <v>Итого ЩАО1</v>
      </c>
      <c r="C65" s="15"/>
      <c r="D65" s="15"/>
      <c r="E65" s="16" t="s">
        <v>82</v>
      </c>
      <c r="F65" s="17"/>
      <c r="G65" s="17"/>
      <c r="H65" s="18">
        <f>SUBTOTAL(9,H60:H64)</f>
        <v>24986.2</v>
      </c>
      <c r="I65" s="13"/>
      <c r="J65" s="13"/>
      <c r="K65" s="13"/>
    </row>
    <row r="66" spans="1:11" ht="25.5" x14ac:dyDescent="0.25">
      <c r="A66" s="4">
        <v>56</v>
      </c>
      <c r="B66" s="5" t="s">
        <v>105</v>
      </c>
      <c r="C66" s="6"/>
      <c r="D66" s="6"/>
      <c r="E66" s="7" t="s">
        <v>106</v>
      </c>
      <c r="F66" s="8"/>
      <c r="G66" s="8"/>
      <c r="H66" s="8"/>
      <c r="I66" s="4">
        <v>1</v>
      </c>
      <c r="J66" s="4" t="s">
        <v>14</v>
      </c>
      <c r="K66" s="4"/>
    </row>
    <row r="67" spans="1:11" ht="25.5" x14ac:dyDescent="0.25">
      <c r="A67" s="9">
        <v>57</v>
      </c>
      <c r="B67" s="10" t="str">
        <f>$B$66</f>
        <v>ЩАО2</v>
      </c>
      <c r="C67" s="10" t="s">
        <v>15</v>
      </c>
      <c r="D67" s="10" t="s">
        <v>101</v>
      </c>
      <c r="E67" s="11" t="s">
        <v>102</v>
      </c>
      <c r="F67" s="12">
        <v>3998</v>
      </c>
      <c r="G67" s="12">
        <f>IF(F67="","",F67*INDEX(Kurallar!$B$5:$B$9,MATCH(K67,Kurallar!$A$5:$A$9,0)))</f>
        <v>3998</v>
      </c>
      <c r="H67" s="12">
        <f>IF(G67="","",G67*I67)</f>
        <v>3998</v>
      </c>
      <c r="I67" s="9">
        <v>1</v>
      </c>
      <c r="J67" s="9" t="s">
        <v>17</v>
      </c>
      <c r="K67" s="9" t="s">
        <v>31</v>
      </c>
    </row>
    <row r="68" spans="1:11" x14ac:dyDescent="0.25">
      <c r="A68" s="9">
        <v>58</v>
      </c>
      <c r="B68" s="10" t="str">
        <f>$B$66</f>
        <v>ЩАО2</v>
      </c>
      <c r="C68" s="10" t="s">
        <v>19</v>
      </c>
      <c r="D68" s="10" t="s">
        <v>87</v>
      </c>
      <c r="E68" s="11" t="s">
        <v>88</v>
      </c>
      <c r="F68" s="12">
        <v>3372</v>
      </c>
      <c r="G68" s="12">
        <f>IF(F68="","",F68*INDEX(Kurallar!$B$5:$B$9,MATCH(K68,Kurallar!$A$5:$A$9,0)))</f>
        <v>2023.1999999999998</v>
      </c>
      <c r="H68" s="12">
        <f>IF(G68="","",G68*I68)</f>
        <v>2023.1999999999998</v>
      </c>
      <c r="I68" s="9">
        <v>1</v>
      </c>
      <c r="J68" s="9" t="s">
        <v>17</v>
      </c>
      <c r="K68" s="9" t="s">
        <v>38</v>
      </c>
    </row>
    <row r="69" spans="1:11" x14ac:dyDescent="0.25">
      <c r="A69" s="9">
        <v>59</v>
      </c>
      <c r="B69" s="10" t="str">
        <f>$B$66</f>
        <v>ЩАО2</v>
      </c>
      <c r="C69" s="10" t="s">
        <v>39</v>
      </c>
      <c r="D69" s="10" t="s">
        <v>103</v>
      </c>
      <c r="E69" s="11" t="s">
        <v>104</v>
      </c>
      <c r="F69" s="12">
        <v>1419</v>
      </c>
      <c r="G69" s="12">
        <f>IF(F69="","",F69*INDEX(Kurallar!$B$5:$B$9,MATCH(K69,Kurallar!$A$5:$A$9,0)))</f>
        <v>851.4</v>
      </c>
      <c r="H69" s="12">
        <f>IF(G69="","",G69*I69)</f>
        <v>3405.6</v>
      </c>
      <c r="I69" s="9">
        <v>4</v>
      </c>
      <c r="J69" s="9" t="s">
        <v>17</v>
      </c>
      <c r="K69" s="9" t="s">
        <v>38</v>
      </c>
    </row>
    <row r="70" spans="1:11" ht="25.5" x14ac:dyDescent="0.25">
      <c r="A70" s="9">
        <v>60</v>
      </c>
      <c r="B70" s="10" t="str">
        <f>$B$66</f>
        <v>ЩАО2</v>
      </c>
      <c r="C70" s="10" t="s">
        <v>75</v>
      </c>
      <c r="D70" s="10"/>
      <c r="E70" s="11" t="s">
        <v>76</v>
      </c>
      <c r="F70" s="12"/>
      <c r="G70" s="12">
        <f>ROUND(Kurallar!$B$12*SUBTOTAL(9,H67:H69),0)</f>
        <v>283</v>
      </c>
      <c r="H70" s="12">
        <f>G70*I70</f>
        <v>283</v>
      </c>
      <c r="I70" s="9">
        <v>1</v>
      </c>
      <c r="J70" s="9" t="s">
        <v>77</v>
      </c>
      <c r="K70" s="9" t="s">
        <v>78</v>
      </c>
    </row>
    <row r="71" spans="1:11" x14ac:dyDescent="0.25">
      <c r="A71" s="9">
        <v>61</v>
      </c>
      <c r="B71" s="10" t="str">
        <f>$B$66</f>
        <v>ЩАО2</v>
      </c>
      <c r="C71" s="10" t="s">
        <v>79</v>
      </c>
      <c r="D71" s="10"/>
      <c r="E71" s="11" t="s">
        <v>80</v>
      </c>
      <c r="F71" s="12">
        <f>I71/60</f>
        <v>2.2000000000000002</v>
      </c>
      <c r="G71" s="12">
        <f>Kurallar!$B$13</f>
        <v>100</v>
      </c>
      <c r="H71" s="12">
        <f>G71*I71</f>
        <v>13200</v>
      </c>
      <c r="I71" s="9">
        <v>132</v>
      </c>
      <c r="J71" s="9" t="s">
        <v>81</v>
      </c>
      <c r="K71" s="9" t="s">
        <v>78</v>
      </c>
    </row>
    <row r="72" spans="1:11" x14ac:dyDescent="0.25">
      <c r="A72" s="13"/>
      <c r="B72" s="14" t="str">
        <f>"Итого "&amp;$B$66</f>
        <v>Итого ЩАО2</v>
      </c>
      <c r="C72" s="15"/>
      <c r="D72" s="15"/>
      <c r="E72" s="16" t="s">
        <v>82</v>
      </c>
      <c r="F72" s="17"/>
      <c r="G72" s="17"/>
      <c r="H72" s="18">
        <f>SUBTOTAL(9,H67:H71)</f>
        <v>22909.8</v>
      </c>
      <c r="I72" s="13"/>
      <c r="J72" s="13"/>
      <c r="K72" s="13"/>
    </row>
    <row r="73" spans="1:11" ht="25.5" x14ac:dyDescent="0.25">
      <c r="A73" s="4">
        <v>62</v>
      </c>
      <c r="B73" s="5" t="s">
        <v>107</v>
      </c>
      <c r="C73" s="6"/>
      <c r="D73" s="6"/>
      <c r="E73" s="7" t="s">
        <v>108</v>
      </c>
      <c r="F73" s="8"/>
      <c r="G73" s="8"/>
      <c r="H73" s="8"/>
      <c r="I73" s="4">
        <v>1</v>
      </c>
      <c r="J73" s="4" t="s">
        <v>14</v>
      </c>
      <c r="K73" s="4"/>
    </row>
    <row r="74" spans="1:11" ht="25.5" x14ac:dyDescent="0.25">
      <c r="A74" s="9">
        <v>63</v>
      </c>
      <c r="B74" s="10" t="str">
        <f>$B$73</f>
        <v>ЩАО3</v>
      </c>
      <c r="C74" s="10" t="s">
        <v>15</v>
      </c>
      <c r="D74" s="10" t="s">
        <v>101</v>
      </c>
      <c r="E74" s="11" t="s">
        <v>102</v>
      </c>
      <c r="F74" s="12">
        <v>3998</v>
      </c>
      <c r="G74" s="12">
        <f>IF(F74="","",F74*INDEX(Kurallar!$B$5:$B$9,MATCH(K74,Kurallar!$A$5:$A$9,0)))</f>
        <v>3998</v>
      </c>
      <c r="H74" s="12">
        <f>IF(G74="","",G74*I74)</f>
        <v>3998</v>
      </c>
      <c r="I74" s="9">
        <v>1</v>
      </c>
      <c r="J74" s="9" t="s">
        <v>17</v>
      </c>
      <c r="K74" s="9" t="s">
        <v>31</v>
      </c>
    </row>
    <row r="75" spans="1:11" x14ac:dyDescent="0.25">
      <c r="A75" s="9">
        <v>64</v>
      </c>
      <c r="B75" s="10" t="str">
        <f>$B$73</f>
        <v>ЩАО3</v>
      </c>
      <c r="C75" s="10" t="s">
        <v>19</v>
      </c>
      <c r="D75" s="10" t="s">
        <v>87</v>
      </c>
      <c r="E75" s="11" t="s">
        <v>88</v>
      </c>
      <c r="F75" s="12">
        <v>3372</v>
      </c>
      <c r="G75" s="12">
        <f>IF(F75="","",F75*INDEX(Kurallar!$B$5:$B$9,MATCH(K75,Kurallar!$A$5:$A$9,0)))</f>
        <v>2023.1999999999998</v>
      </c>
      <c r="H75" s="12">
        <f>IF(G75="","",G75*I75)</f>
        <v>2023.1999999999998</v>
      </c>
      <c r="I75" s="9">
        <v>1</v>
      </c>
      <c r="J75" s="9" t="s">
        <v>17</v>
      </c>
      <c r="K75" s="9" t="s">
        <v>38</v>
      </c>
    </row>
    <row r="76" spans="1:11" x14ac:dyDescent="0.25">
      <c r="A76" s="9">
        <v>65</v>
      </c>
      <c r="B76" s="10" t="str">
        <f>$B$73</f>
        <v>ЩАО3</v>
      </c>
      <c r="C76" s="10" t="s">
        <v>39</v>
      </c>
      <c r="D76" s="10" t="s">
        <v>103</v>
      </c>
      <c r="E76" s="11" t="s">
        <v>104</v>
      </c>
      <c r="F76" s="12">
        <v>1419</v>
      </c>
      <c r="G76" s="12">
        <f>IF(F76="","",F76*INDEX(Kurallar!$B$5:$B$9,MATCH(K76,Kurallar!$A$5:$A$9,0)))</f>
        <v>851.4</v>
      </c>
      <c r="H76" s="12">
        <f>IF(G76="","",G76*I76)</f>
        <v>3405.6</v>
      </c>
      <c r="I76" s="9">
        <v>4</v>
      </c>
      <c r="J76" s="9" t="s">
        <v>17</v>
      </c>
      <c r="K76" s="9" t="s">
        <v>38</v>
      </c>
    </row>
    <row r="77" spans="1:11" ht="25.5" x14ac:dyDescent="0.25">
      <c r="A77" s="9">
        <v>66</v>
      </c>
      <c r="B77" s="10" t="str">
        <f>$B$73</f>
        <v>ЩАО3</v>
      </c>
      <c r="C77" s="10" t="s">
        <v>75</v>
      </c>
      <c r="D77" s="10"/>
      <c r="E77" s="11" t="s">
        <v>76</v>
      </c>
      <c r="F77" s="12"/>
      <c r="G77" s="12">
        <f>ROUND(Kurallar!$B$12*SUBTOTAL(9,H74:H76),0)</f>
        <v>283</v>
      </c>
      <c r="H77" s="12">
        <f>G77*I77</f>
        <v>283</v>
      </c>
      <c r="I77" s="9">
        <v>1</v>
      </c>
      <c r="J77" s="9" t="s">
        <v>77</v>
      </c>
      <c r="K77" s="9" t="s">
        <v>78</v>
      </c>
    </row>
    <row r="78" spans="1:11" x14ac:dyDescent="0.25">
      <c r="A78" s="9">
        <v>67</v>
      </c>
      <c r="B78" s="10" t="str">
        <f>$B$73</f>
        <v>ЩАО3</v>
      </c>
      <c r="C78" s="10" t="s">
        <v>79</v>
      </c>
      <c r="D78" s="10"/>
      <c r="E78" s="11" t="s">
        <v>80</v>
      </c>
      <c r="F78" s="12">
        <f>I78/60</f>
        <v>2.2000000000000002</v>
      </c>
      <c r="G78" s="12">
        <f>Kurallar!$B$13</f>
        <v>100</v>
      </c>
      <c r="H78" s="12">
        <f>G78*I78</f>
        <v>13200</v>
      </c>
      <c r="I78" s="9">
        <v>132</v>
      </c>
      <c r="J78" s="9" t="s">
        <v>81</v>
      </c>
      <c r="K78" s="9" t="s">
        <v>78</v>
      </c>
    </row>
    <row r="79" spans="1:11" x14ac:dyDescent="0.25">
      <c r="A79" s="13"/>
      <c r="B79" s="14" t="str">
        <f>"Итого "&amp;$B$73</f>
        <v>Итого ЩАО3</v>
      </c>
      <c r="C79" s="15"/>
      <c r="D79" s="15"/>
      <c r="E79" s="16" t="s">
        <v>82</v>
      </c>
      <c r="F79" s="17"/>
      <c r="G79" s="17"/>
      <c r="H79" s="18">
        <f>SUBTOTAL(9,H74:H78)</f>
        <v>22909.8</v>
      </c>
      <c r="I79" s="13"/>
      <c r="J79" s="13"/>
      <c r="K79" s="13"/>
    </row>
    <row r="80" spans="1:11" ht="25.5" x14ac:dyDescent="0.25">
      <c r="A80" s="4">
        <v>68</v>
      </c>
      <c r="B80" s="5" t="s">
        <v>109</v>
      </c>
      <c r="C80" s="6"/>
      <c r="D80" s="6"/>
      <c r="E80" s="7" t="s">
        <v>110</v>
      </c>
      <c r="F80" s="8"/>
      <c r="G80" s="8"/>
      <c r="H80" s="8"/>
      <c r="I80" s="4">
        <v>1</v>
      </c>
      <c r="J80" s="4" t="s">
        <v>14</v>
      </c>
      <c r="K80" s="4"/>
    </row>
    <row r="81" spans="1:11" ht="25.5" x14ac:dyDescent="0.25">
      <c r="A81" s="9">
        <v>69</v>
      </c>
      <c r="B81" s="10" t="str">
        <f>$B$80</f>
        <v>ЩАО4</v>
      </c>
      <c r="C81" s="10" t="s">
        <v>15</v>
      </c>
      <c r="D81" s="10" t="s">
        <v>101</v>
      </c>
      <c r="E81" s="11" t="s">
        <v>102</v>
      </c>
      <c r="F81" s="12">
        <v>3998</v>
      </c>
      <c r="G81" s="12">
        <f>IF(F81="","",F81*INDEX(Kurallar!$B$5:$B$9,MATCH(K81,Kurallar!$A$5:$A$9,0)))</f>
        <v>3998</v>
      </c>
      <c r="H81" s="12">
        <f>IF(G81="","",G81*I81)</f>
        <v>3998</v>
      </c>
      <c r="I81" s="9">
        <v>1</v>
      </c>
      <c r="J81" s="9" t="s">
        <v>17</v>
      </c>
      <c r="K81" s="9" t="s">
        <v>31</v>
      </c>
    </row>
    <row r="82" spans="1:11" x14ac:dyDescent="0.25">
      <c r="A82" s="9">
        <v>70</v>
      </c>
      <c r="B82" s="10" t="str">
        <f>$B$80</f>
        <v>ЩАО4</v>
      </c>
      <c r="C82" s="10" t="s">
        <v>19</v>
      </c>
      <c r="D82" s="10" t="s">
        <v>87</v>
      </c>
      <c r="E82" s="11" t="s">
        <v>88</v>
      </c>
      <c r="F82" s="12">
        <v>3372</v>
      </c>
      <c r="G82" s="12">
        <f>IF(F82="","",F82*INDEX(Kurallar!$B$5:$B$9,MATCH(K82,Kurallar!$A$5:$A$9,0)))</f>
        <v>2023.1999999999998</v>
      </c>
      <c r="H82" s="12">
        <f>IF(G82="","",G82*I82)</f>
        <v>2023.1999999999998</v>
      </c>
      <c r="I82" s="9">
        <v>1</v>
      </c>
      <c r="J82" s="9" t="s">
        <v>17</v>
      </c>
      <c r="K82" s="9" t="s">
        <v>38</v>
      </c>
    </row>
    <row r="83" spans="1:11" x14ac:dyDescent="0.25">
      <c r="A83" s="9">
        <v>71</v>
      </c>
      <c r="B83" s="10" t="str">
        <f>$B$80</f>
        <v>ЩАО4</v>
      </c>
      <c r="C83" s="10" t="s">
        <v>39</v>
      </c>
      <c r="D83" s="10" t="s">
        <v>103</v>
      </c>
      <c r="E83" s="11" t="s">
        <v>104</v>
      </c>
      <c r="F83" s="12">
        <v>1419</v>
      </c>
      <c r="G83" s="12">
        <f>IF(F83="","",F83*INDEX(Kurallar!$B$5:$B$9,MATCH(K83,Kurallar!$A$5:$A$9,0)))</f>
        <v>851.4</v>
      </c>
      <c r="H83" s="12">
        <f>IF(G83="","",G83*I83)</f>
        <v>851.4</v>
      </c>
      <c r="I83" s="9">
        <v>1</v>
      </c>
      <c r="J83" s="9" t="s">
        <v>17</v>
      </c>
      <c r="K83" s="9" t="s">
        <v>38</v>
      </c>
    </row>
    <row r="84" spans="1:11" ht="25.5" x14ac:dyDescent="0.25">
      <c r="A84" s="9">
        <v>72</v>
      </c>
      <c r="B84" s="10" t="str">
        <f>$B$80</f>
        <v>ЩАО4</v>
      </c>
      <c r="C84" s="10" t="s">
        <v>75</v>
      </c>
      <c r="D84" s="10"/>
      <c r="E84" s="11" t="s">
        <v>76</v>
      </c>
      <c r="F84" s="12"/>
      <c r="G84" s="12">
        <f>ROUND(Kurallar!$B$12*SUBTOTAL(9,H81:H83),0)</f>
        <v>206</v>
      </c>
      <c r="H84" s="12">
        <f>G84*I84</f>
        <v>206</v>
      </c>
      <c r="I84" s="9">
        <v>1</v>
      </c>
      <c r="J84" s="9" t="s">
        <v>77</v>
      </c>
      <c r="K84" s="9" t="s">
        <v>78</v>
      </c>
    </row>
    <row r="85" spans="1:11" x14ac:dyDescent="0.25">
      <c r="A85" s="9">
        <v>73</v>
      </c>
      <c r="B85" s="10" t="str">
        <f>$B$80</f>
        <v>ЩАО4</v>
      </c>
      <c r="C85" s="10" t="s">
        <v>79</v>
      </c>
      <c r="D85" s="10"/>
      <c r="E85" s="11" t="s">
        <v>80</v>
      </c>
      <c r="F85" s="12">
        <f>I85/60</f>
        <v>1.6333333333333333</v>
      </c>
      <c r="G85" s="12">
        <f>Kurallar!$B$13</f>
        <v>100</v>
      </c>
      <c r="H85" s="12">
        <f>G85*I85</f>
        <v>9800</v>
      </c>
      <c r="I85" s="9">
        <v>98</v>
      </c>
      <c r="J85" s="9" t="s">
        <v>81</v>
      </c>
      <c r="K85" s="9" t="s">
        <v>78</v>
      </c>
    </row>
    <row r="86" spans="1:11" x14ac:dyDescent="0.25">
      <c r="A86" s="13"/>
      <c r="B86" s="14" t="str">
        <f>"Итого "&amp;$B$80</f>
        <v>Итого ЩАО4</v>
      </c>
      <c r="C86" s="15"/>
      <c r="D86" s="15"/>
      <c r="E86" s="16" t="s">
        <v>82</v>
      </c>
      <c r="F86" s="17"/>
      <c r="G86" s="17"/>
      <c r="H86" s="18">
        <f>SUBTOTAL(9,H81:H85)</f>
        <v>16878.599999999999</v>
      </c>
      <c r="I86" s="13"/>
      <c r="J86" s="13"/>
      <c r="K86" s="13"/>
    </row>
    <row r="87" spans="1:11" x14ac:dyDescent="0.25">
      <c r="A87" s="4">
        <v>74</v>
      </c>
      <c r="B87" s="5" t="s">
        <v>111</v>
      </c>
      <c r="C87" s="6"/>
      <c r="D87" s="6"/>
      <c r="E87" s="7" t="s">
        <v>112</v>
      </c>
      <c r="F87" s="8"/>
      <c r="G87" s="8"/>
      <c r="H87" s="8"/>
      <c r="I87" s="4">
        <v>1</v>
      </c>
      <c r="J87" s="4" t="s">
        <v>14</v>
      </c>
      <c r="K87" s="4"/>
    </row>
    <row r="88" spans="1:11" ht="25.5" x14ac:dyDescent="0.25">
      <c r="A88" s="9">
        <v>75</v>
      </c>
      <c r="B88" s="10" t="str">
        <f t="shared" ref="B88:B93" si="2">$B$87</f>
        <v>ЩС1</v>
      </c>
      <c r="C88" s="10" t="s">
        <v>15</v>
      </c>
      <c r="D88" s="10" t="s">
        <v>85</v>
      </c>
      <c r="E88" s="11" t="s">
        <v>86</v>
      </c>
      <c r="F88" s="12">
        <v>3480</v>
      </c>
      <c r="G88" s="12">
        <f>IF(F88="","",F88*INDEX(Kurallar!$B$5:$B$9,MATCH(K88,Kurallar!$A$5:$A$9,0)))</f>
        <v>3480</v>
      </c>
      <c r="H88" s="12">
        <f>IF(G88="","",G88*I88)</f>
        <v>3480</v>
      </c>
      <c r="I88" s="9">
        <v>1</v>
      </c>
      <c r="J88" s="9" t="s">
        <v>17</v>
      </c>
      <c r="K88" s="9" t="s">
        <v>31</v>
      </c>
    </row>
    <row r="89" spans="1:11" x14ac:dyDescent="0.25">
      <c r="A89" s="9">
        <v>76</v>
      </c>
      <c r="B89" s="10" t="str">
        <f t="shared" si="2"/>
        <v>ЩС1</v>
      </c>
      <c r="C89" s="10" t="s">
        <v>19</v>
      </c>
      <c r="D89" s="10" t="s">
        <v>113</v>
      </c>
      <c r="E89" s="11" t="s">
        <v>114</v>
      </c>
      <c r="F89" s="12">
        <v>3372</v>
      </c>
      <c r="G89" s="12">
        <f>IF(F89="","",F89*INDEX(Kurallar!$B$5:$B$9,MATCH(K89,Kurallar!$A$5:$A$9,0)))</f>
        <v>2023.1999999999998</v>
      </c>
      <c r="H89" s="12">
        <f>IF(G89="","",G89*I89)</f>
        <v>2023.1999999999998</v>
      </c>
      <c r="I89" s="9">
        <v>1</v>
      </c>
      <c r="J89" s="9" t="s">
        <v>17</v>
      </c>
      <c r="K89" s="9" t="s">
        <v>38</v>
      </c>
    </row>
    <row r="90" spans="1:11" x14ac:dyDescent="0.25">
      <c r="A90" s="9">
        <v>77</v>
      </c>
      <c r="B90" s="10" t="str">
        <f t="shared" si="2"/>
        <v>ЩС1</v>
      </c>
      <c r="C90" s="10" t="s">
        <v>39</v>
      </c>
      <c r="D90" s="10" t="s">
        <v>103</v>
      </c>
      <c r="E90" s="11" t="s">
        <v>104</v>
      </c>
      <c r="F90" s="12">
        <v>1419</v>
      </c>
      <c r="G90" s="12">
        <f>IF(F90="","",F90*INDEX(Kurallar!$B$5:$B$9,MATCH(K90,Kurallar!$A$5:$A$9,0)))</f>
        <v>851.4</v>
      </c>
      <c r="H90" s="12">
        <f>IF(G90="","",G90*I90)</f>
        <v>851.4</v>
      </c>
      <c r="I90" s="9">
        <v>1</v>
      </c>
      <c r="J90" s="9" t="s">
        <v>17</v>
      </c>
      <c r="K90" s="9" t="s">
        <v>38</v>
      </c>
    </row>
    <row r="91" spans="1:11" x14ac:dyDescent="0.25">
      <c r="A91" s="9">
        <v>78</v>
      </c>
      <c r="B91" s="10" t="str">
        <f t="shared" si="2"/>
        <v>ЩС1</v>
      </c>
      <c r="C91" s="10" t="s">
        <v>115</v>
      </c>
      <c r="D91" s="10" t="s">
        <v>116</v>
      </c>
      <c r="E91" s="11" t="s">
        <v>117</v>
      </c>
      <c r="F91" s="12">
        <v>5934</v>
      </c>
      <c r="G91" s="12">
        <f>IF(F91="","",F91*INDEX(Kurallar!$B$5:$B$9,MATCH(K91,Kurallar!$A$5:$A$9,0)))</f>
        <v>3560.4</v>
      </c>
      <c r="H91" s="12">
        <f>IF(G91="","",G91*I91)</f>
        <v>10681.2</v>
      </c>
      <c r="I91" s="9">
        <v>3</v>
      </c>
      <c r="J91" s="9" t="s">
        <v>17</v>
      </c>
      <c r="K91" s="9" t="s">
        <v>38</v>
      </c>
    </row>
    <row r="92" spans="1:11" ht="25.5" x14ac:dyDescent="0.25">
      <c r="A92" s="9">
        <v>79</v>
      </c>
      <c r="B92" s="10" t="str">
        <f t="shared" si="2"/>
        <v>ЩС1</v>
      </c>
      <c r="C92" s="10" t="s">
        <v>75</v>
      </c>
      <c r="D92" s="10"/>
      <c r="E92" s="11" t="s">
        <v>76</v>
      </c>
      <c r="F92" s="12"/>
      <c r="G92" s="12">
        <f>ROUND(Kurallar!$B$12*SUBTOTAL(9,H88:H91),0)</f>
        <v>511</v>
      </c>
      <c r="H92" s="12">
        <f>G92*I92</f>
        <v>511</v>
      </c>
      <c r="I92" s="9">
        <v>1</v>
      </c>
      <c r="J92" s="9" t="s">
        <v>77</v>
      </c>
      <c r="K92" s="9" t="s">
        <v>78</v>
      </c>
    </row>
    <row r="93" spans="1:11" x14ac:dyDescent="0.25">
      <c r="A93" s="9">
        <v>80</v>
      </c>
      <c r="B93" s="10" t="str">
        <f t="shared" si="2"/>
        <v>ЩС1</v>
      </c>
      <c r="C93" s="10" t="s">
        <v>79</v>
      </c>
      <c r="D93" s="10"/>
      <c r="E93" s="11" t="s">
        <v>80</v>
      </c>
      <c r="F93" s="12">
        <f>I93/60</f>
        <v>2.4333333333333331</v>
      </c>
      <c r="G93" s="12">
        <f>Kurallar!$B$13</f>
        <v>100</v>
      </c>
      <c r="H93" s="12">
        <f>G93*I93</f>
        <v>14600</v>
      </c>
      <c r="I93" s="9">
        <v>146</v>
      </c>
      <c r="J93" s="9" t="s">
        <v>81</v>
      </c>
      <c r="K93" s="9" t="s">
        <v>78</v>
      </c>
    </row>
    <row r="94" spans="1:11" x14ac:dyDescent="0.25">
      <c r="A94" s="13"/>
      <c r="B94" s="14" t="str">
        <f>"Итого "&amp;$B$87</f>
        <v>Итого ЩС1</v>
      </c>
      <c r="C94" s="15"/>
      <c r="D94" s="15"/>
      <c r="E94" s="16" t="s">
        <v>82</v>
      </c>
      <c r="F94" s="17"/>
      <c r="G94" s="17"/>
      <c r="H94" s="18">
        <f>SUBTOTAL(9,H88:H93)</f>
        <v>32146.799999999999</v>
      </c>
      <c r="I94" s="13"/>
      <c r="J94" s="13"/>
      <c r="K94" s="13"/>
    </row>
    <row r="95" spans="1:11" x14ac:dyDescent="0.25">
      <c r="A95" s="4">
        <v>81</v>
      </c>
      <c r="B95" s="5" t="s">
        <v>118</v>
      </c>
      <c r="C95" s="6"/>
      <c r="D95" s="6"/>
      <c r="E95" s="7" t="s">
        <v>119</v>
      </c>
      <c r="F95" s="8"/>
      <c r="G95" s="8"/>
      <c r="H95" s="8"/>
      <c r="I95" s="4">
        <v>1</v>
      </c>
      <c r="J95" s="4" t="s">
        <v>14</v>
      </c>
      <c r="K95" s="4"/>
    </row>
    <row r="96" spans="1:11" ht="25.5" x14ac:dyDescent="0.25">
      <c r="A96" s="9">
        <v>82</v>
      </c>
      <c r="B96" s="10" t="str">
        <f t="shared" ref="B96:B103" si="3">$B$95</f>
        <v>ЩС2</v>
      </c>
      <c r="C96" s="10" t="s">
        <v>15</v>
      </c>
      <c r="D96" s="10" t="s">
        <v>93</v>
      </c>
      <c r="E96" s="11" t="s">
        <v>94</v>
      </c>
      <c r="F96" s="12">
        <v>7040</v>
      </c>
      <c r="G96" s="12">
        <f>IF(F96="","",F96*INDEX(Kurallar!$B$5:$B$9,MATCH(K96,Kurallar!$A$5:$A$9,0)))</f>
        <v>7040</v>
      </c>
      <c r="H96" s="12">
        <f t="shared" ref="H96:H101" si="4">IF(G96="","",G96*I96)</f>
        <v>7040</v>
      </c>
      <c r="I96" s="9">
        <v>1</v>
      </c>
      <c r="J96" s="9" t="s">
        <v>17</v>
      </c>
      <c r="K96" s="9" t="s">
        <v>31</v>
      </c>
    </row>
    <row r="97" spans="1:11" x14ac:dyDescent="0.25">
      <c r="A97" s="9">
        <v>83</v>
      </c>
      <c r="B97" s="10" t="str">
        <f t="shared" si="3"/>
        <v>ЩС2</v>
      </c>
      <c r="C97" s="10" t="s">
        <v>19</v>
      </c>
      <c r="D97" s="10" t="s">
        <v>113</v>
      </c>
      <c r="E97" s="11" t="s">
        <v>114</v>
      </c>
      <c r="F97" s="12">
        <v>3372</v>
      </c>
      <c r="G97" s="12">
        <f>IF(F97="","",F97*INDEX(Kurallar!$B$5:$B$9,MATCH(K97,Kurallar!$A$5:$A$9,0)))</f>
        <v>2023.1999999999998</v>
      </c>
      <c r="H97" s="12">
        <f t="shared" si="4"/>
        <v>2023.1999999999998</v>
      </c>
      <c r="I97" s="9">
        <v>1</v>
      </c>
      <c r="J97" s="9" t="s">
        <v>17</v>
      </c>
      <c r="K97" s="9" t="s">
        <v>38</v>
      </c>
    </row>
    <row r="98" spans="1:11" x14ac:dyDescent="0.25">
      <c r="A98" s="9">
        <v>84</v>
      </c>
      <c r="B98" s="10" t="str">
        <f t="shared" si="3"/>
        <v>ЩС2</v>
      </c>
      <c r="C98" s="10" t="s">
        <v>39</v>
      </c>
      <c r="D98" s="10" t="s">
        <v>120</v>
      </c>
      <c r="E98" s="11" t="s">
        <v>121</v>
      </c>
      <c r="F98" s="12">
        <v>5882</v>
      </c>
      <c r="G98" s="12">
        <f>IF(F98="","",F98*INDEX(Kurallar!$B$5:$B$9,MATCH(K98,Kurallar!$A$5:$A$9,0)))</f>
        <v>3529.2</v>
      </c>
      <c r="H98" s="12">
        <f t="shared" si="4"/>
        <v>3529.2</v>
      </c>
      <c r="I98" s="9">
        <v>1</v>
      </c>
      <c r="J98" s="9" t="s">
        <v>17</v>
      </c>
      <c r="K98" s="9" t="s">
        <v>38</v>
      </c>
    </row>
    <row r="99" spans="1:11" x14ac:dyDescent="0.25">
      <c r="A99" s="9">
        <v>85</v>
      </c>
      <c r="B99" s="10" t="str">
        <f t="shared" si="3"/>
        <v>ЩС2</v>
      </c>
      <c r="C99" s="10" t="s">
        <v>39</v>
      </c>
      <c r="D99" s="10" t="s">
        <v>103</v>
      </c>
      <c r="E99" s="11" t="s">
        <v>104</v>
      </c>
      <c r="F99" s="12">
        <v>1419</v>
      </c>
      <c r="G99" s="12">
        <f>IF(F99="","",F99*INDEX(Kurallar!$B$5:$B$9,MATCH(K99,Kurallar!$A$5:$A$9,0)))</f>
        <v>851.4</v>
      </c>
      <c r="H99" s="12">
        <f t="shared" si="4"/>
        <v>851.4</v>
      </c>
      <c r="I99" s="9">
        <v>1</v>
      </c>
      <c r="J99" s="9" t="s">
        <v>17</v>
      </c>
      <c r="K99" s="9" t="s">
        <v>38</v>
      </c>
    </row>
    <row r="100" spans="1:11" x14ac:dyDescent="0.25">
      <c r="A100" s="9">
        <v>86</v>
      </c>
      <c r="B100" s="10" t="str">
        <f t="shared" si="3"/>
        <v>ЩС2</v>
      </c>
      <c r="C100" s="10" t="s">
        <v>115</v>
      </c>
      <c r="D100" s="10" t="s">
        <v>116</v>
      </c>
      <c r="E100" s="11" t="s">
        <v>117</v>
      </c>
      <c r="F100" s="12">
        <v>5934</v>
      </c>
      <c r="G100" s="12">
        <f>IF(F100="","",F100*INDEX(Kurallar!$B$5:$B$9,MATCH(K100,Kurallar!$A$5:$A$9,0)))</f>
        <v>3560.4</v>
      </c>
      <c r="H100" s="12">
        <f t="shared" si="4"/>
        <v>10681.2</v>
      </c>
      <c r="I100" s="9">
        <v>3</v>
      </c>
      <c r="J100" s="9" t="s">
        <v>17</v>
      </c>
      <c r="K100" s="9" t="s">
        <v>38</v>
      </c>
    </row>
    <row r="101" spans="1:11" x14ac:dyDescent="0.25">
      <c r="A101" s="9">
        <v>87</v>
      </c>
      <c r="B101" s="10" t="str">
        <f t="shared" si="3"/>
        <v>ЩС2</v>
      </c>
      <c r="C101" s="10" t="s">
        <v>115</v>
      </c>
      <c r="D101" s="10" t="s">
        <v>122</v>
      </c>
      <c r="E101" s="11" t="s">
        <v>123</v>
      </c>
      <c r="F101" s="12">
        <v>5934</v>
      </c>
      <c r="G101" s="12">
        <f>IF(F101="","",F101*INDEX(Kurallar!$B$5:$B$9,MATCH(K101,Kurallar!$A$5:$A$9,0)))</f>
        <v>3560.4</v>
      </c>
      <c r="H101" s="12">
        <f t="shared" si="4"/>
        <v>3560.4</v>
      </c>
      <c r="I101" s="9">
        <v>1</v>
      </c>
      <c r="J101" s="9" t="s">
        <v>17</v>
      </c>
      <c r="K101" s="9" t="s">
        <v>38</v>
      </c>
    </row>
    <row r="102" spans="1:11" ht="25.5" x14ac:dyDescent="0.25">
      <c r="A102" s="9">
        <v>88</v>
      </c>
      <c r="B102" s="10" t="str">
        <f t="shared" si="3"/>
        <v>ЩС2</v>
      </c>
      <c r="C102" s="10" t="s">
        <v>75</v>
      </c>
      <c r="D102" s="10"/>
      <c r="E102" s="11" t="s">
        <v>76</v>
      </c>
      <c r="F102" s="12"/>
      <c r="G102" s="12">
        <f>ROUND(Kurallar!$B$12*SUBTOTAL(9,H96:H101),0)</f>
        <v>831</v>
      </c>
      <c r="H102" s="12">
        <f>G102*I102</f>
        <v>831</v>
      </c>
      <c r="I102" s="9">
        <v>1</v>
      </c>
      <c r="J102" s="9" t="s">
        <v>77</v>
      </c>
      <c r="K102" s="9" t="s">
        <v>78</v>
      </c>
    </row>
    <row r="103" spans="1:11" x14ac:dyDescent="0.25">
      <c r="A103" s="9">
        <v>89</v>
      </c>
      <c r="B103" s="10" t="str">
        <f t="shared" si="3"/>
        <v>ЩС2</v>
      </c>
      <c r="C103" s="10" t="s">
        <v>79</v>
      </c>
      <c r="D103" s="10"/>
      <c r="E103" s="11" t="s">
        <v>80</v>
      </c>
      <c r="F103" s="12">
        <f>I103/60</f>
        <v>3.05</v>
      </c>
      <c r="G103" s="12">
        <f>Kurallar!$B$13</f>
        <v>100</v>
      </c>
      <c r="H103" s="12">
        <f>G103*I103</f>
        <v>18300</v>
      </c>
      <c r="I103" s="9">
        <v>183</v>
      </c>
      <c r="J103" s="9" t="s">
        <v>81</v>
      </c>
      <c r="K103" s="9" t="s">
        <v>78</v>
      </c>
    </row>
    <row r="104" spans="1:11" x14ac:dyDescent="0.25">
      <c r="A104" s="13"/>
      <c r="B104" s="14" t="str">
        <f>"Итого "&amp;$B$95</f>
        <v>Итого ЩС2</v>
      </c>
      <c r="C104" s="15"/>
      <c r="D104" s="15"/>
      <c r="E104" s="16" t="s">
        <v>82</v>
      </c>
      <c r="F104" s="17"/>
      <c r="G104" s="17"/>
      <c r="H104" s="18">
        <f>SUBTOTAL(9,H96:H103)</f>
        <v>46816.4</v>
      </c>
      <c r="I104" s="13"/>
      <c r="J104" s="13"/>
      <c r="K104" s="13"/>
    </row>
    <row r="105" spans="1:11" x14ac:dyDescent="0.25">
      <c r="A105" s="4">
        <v>90</v>
      </c>
      <c r="B105" s="5" t="s">
        <v>124</v>
      </c>
      <c r="C105" s="6"/>
      <c r="D105" s="6"/>
      <c r="E105" s="7" t="s">
        <v>125</v>
      </c>
      <c r="F105" s="8"/>
      <c r="G105" s="8"/>
      <c r="H105" s="8"/>
      <c r="I105" s="4">
        <v>1</v>
      </c>
      <c r="J105" s="4" t="s">
        <v>14</v>
      </c>
      <c r="K105" s="4"/>
    </row>
    <row r="106" spans="1:11" ht="25.5" x14ac:dyDescent="0.25">
      <c r="A106" s="9">
        <v>91</v>
      </c>
      <c r="B106" s="10" t="str">
        <f>$B$105</f>
        <v>ЩС3</v>
      </c>
      <c r="C106" s="10" t="s">
        <v>15</v>
      </c>
      <c r="D106" s="10" t="s">
        <v>85</v>
      </c>
      <c r="E106" s="11" t="s">
        <v>86</v>
      </c>
      <c r="F106" s="12">
        <v>3480</v>
      </c>
      <c r="G106" s="12">
        <f>IF(F106="","",F106*INDEX(Kurallar!$B$5:$B$9,MATCH(K106,Kurallar!$A$5:$A$9,0)))</f>
        <v>3480</v>
      </c>
      <c r="H106" s="12">
        <f>IF(G106="","",G106*I106)</f>
        <v>3480</v>
      </c>
      <c r="I106" s="9">
        <v>1</v>
      </c>
      <c r="J106" s="9" t="s">
        <v>17</v>
      </c>
      <c r="K106" s="9" t="s">
        <v>31</v>
      </c>
    </row>
    <row r="107" spans="1:11" x14ac:dyDescent="0.25">
      <c r="A107" s="9">
        <v>92</v>
      </c>
      <c r="B107" s="10" t="str">
        <f>$B$105</f>
        <v>ЩС3</v>
      </c>
      <c r="C107" s="10" t="s">
        <v>19</v>
      </c>
      <c r="D107" s="10" t="s">
        <v>113</v>
      </c>
      <c r="E107" s="11" t="s">
        <v>114</v>
      </c>
      <c r="F107" s="12">
        <v>3372</v>
      </c>
      <c r="G107" s="12">
        <f>IF(F107="","",F107*INDEX(Kurallar!$B$5:$B$9,MATCH(K107,Kurallar!$A$5:$A$9,0)))</f>
        <v>2023.1999999999998</v>
      </c>
      <c r="H107" s="12">
        <f>IF(G107="","",G107*I107)</f>
        <v>2023.1999999999998</v>
      </c>
      <c r="I107" s="9">
        <v>1</v>
      </c>
      <c r="J107" s="9" t="s">
        <v>17</v>
      </c>
      <c r="K107" s="9" t="s">
        <v>38</v>
      </c>
    </row>
    <row r="108" spans="1:11" x14ac:dyDescent="0.25">
      <c r="A108" s="9">
        <v>93</v>
      </c>
      <c r="B108" s="10" t="str">
        <f>$B$105</f>
        <v>ЩС3</v>
      </c>
      <c r="C108" s="10" t="s">
        <v>115</v>
      </c>
      <c r="D108" s="10" t="s">
        <v>116</v>
      </c>
      <c r="E108" s="11" t="s">
        <v>117</v>
      </c>
      <c r="F108" s="12">
        <v>5934</v>
      </c>
      <c r="G108" s="12">
        <f>IF(F108="","",F108*INDEX(Kurallar!$B$5:$B$9,MATCH(K108,Kurallar!$A$5:$A$9,0)))</f>
        <v>3560.4</v>
      </c>
      <c r="H108" s="12">
        <f>IF(G108="","",G108*I108)</f>
        <v>14241.6</v>
      </c>
      <c r="I108" s="9">
        <v>4</v>
      </c>
      <c r="J108" s="9" t="s">
        <v>17</v>
      </c>
      <c r="K108" s="9" t="s">
        <v>38</v>
      </c>
    </row>
    <row r="109" spans="1:11" ht="25.5" x14ac:dyDescent="0.25">
      <c r="A109" s="9">
        <v>94</v>
      </c>
      <c r="B109" s="10" t="str">
        <f>$B$105</f>
        <v>ЩС3</v>
      </c>
      <c r="C109" s="10" t="s">
        <v>75</v>
      </c>
      <c r="D109" s="10"/>
      <c r="E109" s="11" t="s">
        <v>76</v>
      </c>
      <c r="F109" s="12"/>
      <c r="G109" s="12">
        <f>ROUND(Kurallar!$B$12*SUBTOTAL(9,H106:H108),0)</f>
        <v>592</v>
      </c>
      <c r="H109" s="12">
        <f>G109*I109</f>
        <v>592</v>
      </c>
      <c r="I109" s="9">
        <v>1</v>
      </c>
      <c r="J109" s="9" t="s">
        <v>77</v>
      </c>
      <c r="K109" s="9" t="s">
        <v>78</v>
      </c>
    </row>
    <row r="110" spans="1:11" x14ac:dyDescent="0.25">
      <c r="A110" s="9">
        <v>95</v>
      </c>
      <c r="B110" s="10" t="str">
        <f>$B$105</f>
        <v>ЩС3</v>
      </c>
      <c r="C110" s="10" t="s">
        <v>79</v>
      </c>
      <c r="D110" s="10"/>
      <c r="E110" s="11" t="s">
        <v>80</v>
      </c>
      <c r="F110" s="12">
        <f>I110/60</f>
        <v>2.5166666666666666</v>
      </c>
      <c r="G110" s="12">
        <f>Kurallar!$B$13</f>
        <v>100</v>
      </c>
      <c r="H110" s="12">
        <f>G110*I110</f>
        <v>15100</v>
      </c>
      <c r="I110" s="9">
        <v>151</v>
      </c>
      <c r="J110" s="9" t="s">
        <v>81</v>
      </c>
      <c r="K110" s="9" t="s">
        <v>78</v>
      </c>
    </row>
    <row r="111" spans="1:11" x14ac:dyDescent="0.25">
      <c r="A111" s="13"/>
      <c r="B111" s="14" t="str">
        <f>"Итого "&amp;$B$105</f>
        <v>Итого ЩС3</v>
      </c>
      <c r="C111" s="15"/>
      <c r="D111" s="15"/>
      <c r="E111" s="16" t="s">
        <v>82</v>
      </c>
      <c r="F111" s="17"/>
      <c r="G111" s="17"/>
      <c r="H111" s="18">
        <f>SUBTOTAL(9,H106:H110)</f>
        <v>35436.800000000003</v>
      </c>
      <c r="I111" s="13"/>
      <c r="J111" s="13"/>
      <c r="K111" s="13"/>
    </row>
    <row r="112" spans="1:11" x14ac:dyDescent="0.25">
      <c r="A112" s="4">
        <v>96</v>
      </c>
      <c r="B112" s="5" t="s">
        <v>126</v>
      </c>
      <c r="C112" s="6"/>
      <c r="D112" s="6"/>
      <c r="E112" s="7" t="s">
        <v>127</v>
      </c>
      <c r="F112" s="8"/>
      <c r="G112" s="8"/>
      <c r="H112" s="8"/>
      <c r="I112" s="4">
        <v>1</v>
      </c>
      <c r="J112" s="4" t="s">
        <v>14</v>
      </c>
      <c r="K112" s="4"/>
    </row>
    <row r="113" spans="1:11" ht="25.5" x14ac:dyDescent="0.25">
      <c r="A113" s="9">
        <v>97</v>
      </c>
      <c r="B113" s="10" t="str">
        <f>$B$112</f>
        <v>ЩС4</v>
      </c>
      <c r="C113" s="10" t="s">
        <v>15</v>
      </c>
      <c r="D113" s="10" t="s">
        <v>85</v>
      </c>
      <c r="E113" s="11" t="s">
        <v>86</v>
      </c>
      <c r="F113" s="12">
        <v>3480</v>
      </c>
      <c r="G113" s="12">
        <f>IF(F113="","",F113*INDEX(Kurallar!$B$5:$B$9,MATCH(K113,Kurallar!$A$5:$A$9,0)))</f>
        <v>3480</v>
      </c>
      <c r="H113" s="12">
        <f>IF(G113="","",G113*I113)</f>
        <v>3480</v>
      </c>
      <c r="I113" s="9">
        <v>1</v>
      </c>
      <c r="J113" s="9" t="s">
        <v>17</v>
      </c>
      <c r="K113" s="9" t="s">
        <v>31</v>
      </c>
    </row>
    <row r="114" spans="1:11" x14ac:dyDescent="0.25">
      <c r="A114" s="9">
        <v>98</v>
      </c>
      <c r="B114" s="10" t="str">
        <f>$B$112</f>
        <v>ЩС4</v>
      </c>
      <c r="C114" s="10" t="s">
        <v>19</v>
      </c>
      <c r="D114" s="10" t="s">
        <v>113</v>
      </c>
      <c r="E114" s="11" t="s">
        <v>114</v>
      </c>
      <c r="F114" s="12">
        <v>3372</v>
      </c>
      <c r="G114" s="12">
        <f>IF(F114="","",F114*INDEX(Kurallar!$B$5:$B$9,MATCH(K114,Kurallar!$A$5:$A$9,0)))</f>
        <v>2023.1999999999998</v>
      </c>
      <c r="H114" s="12">
        <f>IF(G114="","",G114*I114)</f>
        <v>2023.1999999999998</v>
      </c>
      <c r="I114" s="9">
        <v>1</v>
      </c>
      <c r="J114" s="9" t="s">
        <v>17</v>
      </c>
      <c r="K114" s="9" t="s">
        <v>38</v>
      </c>
    </row>
    <row r="115" spans="1:11" x14ac:dyDescent="0.25">
      <c r="A115" s="9">
        <v>99</v>
      </c>
      <c r="B115" s="10" t="str">
        <f>$B$112</f>
        <v>ЩС4</v>
      </c>
      <c r="C115" s="10" t="s">
        <v>115</v>
      </c>
      <c r="D115" s="10" t="s">
        <v>116</v>
      </c>
      <c r="E115" s="11" t="s">
        <v>117</v>
      </c>
      <c r="F115" s="12">
        <v>5934</v>
      </c>
      <c r="G115" s="12">
        <f>IF(F115="","",F115*INDEX(Kurallar!$B$5:$B$9,MATCH(K115,Kurallar!$A$5:$A$9,0)))</f>
        <v>3560.4</v>
      </c>
      <c r="H115" s="12">
        <f>IF(G115="","",G115*I115)</f>
        <v>14241.6</v>
      </c>
      <c r="I115" s="9">
        <v>4</v>
      </c>
      <c r="J115" s="9" t="s">
        <v>17</v>
      </c>
      <c r="K115" s="9" t="s">
        <v>38</v>
      </c>
    </row>
    <row r="116" spans="1:11" ht="25.5" x14ac:dyDescent="0.25">
      <c r="A116" s="9">
        <v>100</v>
      </c>
      <c r="B116" s="10" t="str">
        <f>$B$112</f>
        <v>ЩС4</v>
      </c>
      <c r="C116" s="10" t="s">
        <v>75</v>
      </c>
      <c r="D116" s="10"/>
      <c r="E116" s="11" t="s">
        <v>76</v>
      </c>
      <c r="F116" s="12"/>
      <c r="G116" s="12">
        <f>ROUND(Kurallar!$B$12*SUBTOTAL(9,H113:H115),0)</f>
        <v>592</v>
      </c>
      <c r="H116" s="12">
        <f>G116*I116</f>
        <v>592</v>
      </c>
      <c r="I116" s="9">
        <v>1</v>
      </c>
      <c r="J116" s="9" t="s">
        <v>77</v>
      </c>
      <c r="K116" s="9" t="s">
        <v>78</v>
      </c>
    </row>
    <row r="117" spans="1:11" x14ac:dyDescent="0.25">
      <c r="A117" s="9">
        <v>101</v>
      </c>
      <c r="B117" s="10" t="str">
        <f>$B$112</f>
        <v>ЩС4</v>
      </c>
      <c r="C117" s="10" t="s">
        <v>79</v>
      </c>
      <c r="D117" s="10"/>
      <c r="E117" s="11" t="s">
        <v>80</v>
      </c>
      <c r="F117" s="12">
        <f>I117/60</f>
        <v>2.5166666666666666</v>
      </c>
      <c r="G117" s="12">
        <f>Kurallar!$B$13</f>
        <v>100</v>
      </c>
      <c r="H117" s="12">
        <f>G117*I117</f>
        <v>15100</v>
      </c>
      <c r="I117" s="9">
        <v>151</v>
      </c>
      <c r="J117" s="9" t="s">
        <v>81</v>
      </c>
      <c r="K117" s="9" t="s">
        <v>78</v>
      </c>
    </row>
    <row r="118" spans="1:11" x14ac:dyDescent="0.25">
      <c r="A118" s="13"/>
      <c r="B118" s="14" t="str">
        <f>"Итого "&amp;$B$112</f>
        <v>Итого ЩС4</v>
      </c>
      <c r="C118" s="15"/>
      <c r="D118" s="15"/>
      <c r="E118" s="16" t="s">
        <v>82</v>
      </c>
      <c r="F118" s="17"/>
      <c r="G118" s="17"/>
      <c r="H118" s="18">
        <f>SUBTOTAL(9,H113:H117)</f>
        <v>35436.800000000003</v>
      </c>
      <c r="I118" s="13"/>
      <c r="J118" s="13"/>
      <c r="K118" s="13"/>
    </row>
    <row r="119" spans="1:11" x14ac:dyDescent="0.25">
      <c r="A119" s="4">
        <v>102</v>
      </c>
      <c r="B119" s="5" t="s">
        <v>128</v>
      </c>
      <c r="C119" s="6"/>
      <c r="D119" s="6"/>
      <c r="E119" s="7" t="s">
        <v>129</v>
      </c>
      <c r="F119" s="8"/>
      <c r="G119" s="8"/>
      <c r="H119" s="8"/>
      <c r="I119" s="4">
        <v>1</v>
      </c>
      <c r="J119" s="4" t="s">
        <v>14</v>
      </c>
      <c r="K119" s="4"/>
    </row>
    <row r="120" spans="1:11" x14ac:dyDescent="0.25">
      <c r="A120" s="9">
        <v>103</v>
      </c>
      <c r="B120" s="10" t="str">
        <f t="shared" ref="B120:B135" si="5">$B$119</f>
        <v>ЩВ</v>
      </c>
      <c r="C120" s="10" t="s">
        <v>15</v>
      </c>
      <c r="D120" s="10" t="s">
        <v>130</v>
      </c>
      <c r="E120" s="11" t="s">
        <v>131</v>
      </c>
      <c r="F120" s="12">
        <v>65590</v>
      </c>
      <c r="G120" s="12">
        <f>IF(F120="","",F120*INDEX(Kurallar!$B$5:$B$9,MATCH(K120,Kurallar!$A$5:$A$9,0)))</f>
        <v>65590</v>
      </c>
      <c r="H120" s="12">
        <f t="shared" ref="H120:H133" si="6">IF(G120="","",G120*I120)</f>
        <v>65590</v>
      </c>
      <c r="I120" s="9">
        <v>1</v>
      </c>
      <c r="J120" s="9" t="s">
        <v>17</v>
      </c>
      <c r="K120" s="9" t="s">
        <v>18</v>
      </c>
    </row>
    <row r="121" spans="1:11" x14ac:dyDescent="0.25">
      <c r="A121" s="9">
        <v>104</v>
      </c>
      <c r="B121" s="10" t="str">
        <f t="shared" si="5"/>
        <v>ЩВ</v>
      </c>
      <c r="C121" s="10" t="s">
        <v>39</v>
      </c>
      <c r="D121" s="10" t="s">
        <v>132</v>
      </c>
      <c r="E121" s="11" t="s">
        <v>133</v>
      </c>
      <c r="F121" s="12">
        <v>6252</v>
      </c>
      <c r="G121" s="12">
        <f>IF(F121="","",F121*INDEX(Kurallar!$B$5:$B$9,MATCH(K121,Kurallar!$A$5:$A$9,0)))</f>
        <v>3751.2</v>
      </c>
      <c r="H121" s="12">
        <f t="shared" si="6"/>
        <v>3751.2</v>
      </c>
      <c r="I121" s="9">
        <v>1</v>
      </c>
      <c r="J121" s="9" t="s">
        <v>17</v>
      </c>
      <c r="K121" s="9" t="s">
        <v>38</v>
      </c>
    </row>
    <row r="122" spans="1:11" ht="25.5" x14ac:dyDescent="0.25">
      <c r="A122" s="9">
        <v>105</v>
      </c>
      <c r="B122" s="10" t="str">
        <f t="shared" si="5"/>
        <v>ЩВ</v>
      </c>
      <c r="C122" s="10" t="s">
        <v>134</v>
      </c>
      <c r="D122" s="10" t="s">
        <v>135</v>
      </c>
      <c r="E122" s="11" t="s">
        <v>136</v>
      </c>
      <c r="F122" s="12">
        <v>5354</v>
      </c>
      <c r="G122" s="12">
        <f>IF(F122="","",F122*INDEX(Kurallar!$B$5:$B$9,MATCH(K122,Kurallar!$A$5:$A$9,0)))</f>
        <v>3212.4</v>
      </c>
      <c r="H122" s="12">
        <f t="shared" si="6"/>
        <v>3212.4</v>
      </c>
      <c r="I122" s="9">
        <v>1</v>
      </c>
      <c r="J122" s="9" t="s">
        <v>17</v>
      </c>
      <c r="K122" s="9" t="s">
        <v>38</v>
      </c>
    </row>
    <row r="123" spans="1:11" x14ac:dyDescent="0.25">
      <c r="A123" s="9">
        <v>106</v>
      </c>
      <c r="B123" s="10" t="str">
        <f t="shared" si="5"/>
        <v>ЩВ</v>
      </c>
      <c r="C123" s="10" t="s">
        <v>39</v>
      </c>
      <c r="D123" s="10" t="s">
        <v>137</v>
      </c>
      <c r="E123" s="11" t="s">
        <v>138</v>
      </c>
      <c r="F123" s="12">
        <v>5743</v>
      </c>
      <c r="G123" s="12">
        <f>IF(F123="","",F123*INDEX(Kurallar!$B$5:$B$9,MATCH(K123,Kurallar!$A$5:$A$9,0)))</f>
        <v>3445.7999999999997</v>
      </c>
      <c r="H123" s="12">
        <f t="shared" si="6"/>
        <v>20674.8</v>
      </c>
      <c r="I123" s="9">
        <v>6</v>
      </c>
      <c r="J123" s="9" t="s">
        <v>17</v>
      </c>
      <c r="K123" s="9" t="s">
        <v>38</v>
      </c>
    </row>
    <row r="124" spans="1:11" x14ac:dyDescent="0.25">
      <c r="A124" s="9">
        <v>107</v>
      </c>
      <c r="B124" s="10" t="str">
        <f t="shared" si="5"/>
        <v>ЩВ</v>
      </c>
      <c r="C124" s="10" t="s">
        <v>39</v>
      </c>
      <c r="D124" s="10" t="s">
        <v>89</v>
      </c>
      <c r="E124" s="11" t="s">
        <v>90</v>
      </c>
      <c r="F124" s="12">
        <v>1419</v>
      </c>
      <c r="G124" s="12">
        <f>IF(F124="","",F124*INDEX(Kurallar!$B$5:$B$9,MATCH(K124,Kurallar!$A$5:$A$9,0)))</f>
        <v>851.4</v>
      </c>
      <c r="H124" s="12">
        <f t="shared" si="6"/>
        <v>1702.8</v>
      </c>
      <c r="I124" s="9">
        <v>2</v>
      </c>
      <c r="J124" s="9" t="s">
        <v>17</v>
      </c>
      <c r="K124" s="9" t="s">
        <v>38</v>
      </c>
    </row>
    <row r="125" spans="1:11" x14ac:dyDescent="0.25">
      <c r="A125" s="9">
        <v>108</v>
      </c>
      <c r="B125" s="10" t="str">
        <f t="shared" si="5"/>
        <v>ЩВ</v>
      </c>
      <c r="C125" s="10" t="s">
        <v>39</v>
      </c>
      <c r="D125" s="10" t="s">
        <v>103</v>
      </c>
      <c r="E125" s="11" t="s">
        <v>104</v>
      </c>
      <c r="F125" s="12">
        <v>1419</v>
      </c>
      <c r="G125" s="12">
        <f>IF(F125="","",F125*INDEX(Kurallar!$B$5:$B$9,MATCH(K125,Kurallar!$A$5:$A$9,0)))</f>
        <v>851.4</v>
      </c>
      <c r="H125" s="12">
        <f t="shared" si="6"/>
        <v>7662.5999999999995</v>
      </c>
      <c r="I125" s="9">
        <v>9</v>
      </c>
      <c r="J125" s="9" t="s">
        <v>17</v>
      </c>
      <c r="K125" s="9" t="s">
        <v>38</v>
      </c>
    </row>
    <row r="126" spans="1:11" x14ac:dyDescent="0.25">
      <c r="A126" s="9">
        <v>109</v>
      </c>
      <c r="B126" s="10" t="str">
        <f t="shared" si="5"/>
        <v>ЩВ</v>
      </c>
      <c r="C126" s="10" t="s">
        <v>39</v>
      </c>
      <c r="D126" s="10" t="s">
        <v>139</v>
      </c>
      <c r="E126" s="11" t="s">
        <v>140</v>
      </c>
      <c r="F126" s="12">
        <v>1419</v>
      </c>
      <c r="G126" s="12">
        <f>IF(F126="","",F126*INDEX(Kurallar!$B$5:$B$9,MATCH(K126,Kurallar!$A$5:$A$9,0)))</f>
        <v>851.4</v>
      </c>
      <c r="H126" s="12">
        <f t="shared" si="6"/>
        <v>5959.8</v>
      </c>
      <c r="I126" s="9">
        <v>7</v>
      </c>
      <c r="J126" s="9" t="s">
        <v>17</v>
      </c>
      <c r="K126" s="9" t="s">
        <v>38</v>
      </c>
    </row>
    <row r="127" spans="1:11" x14ac:dyDescent="0.25">
      <c r="A127" s="9">
        <v>110</v>
      </c>
      <c r="B127" s="10" t="str">
        <f t="shared" si="5"/>
        <v>ЩВ</v>
      </c>
      <c r="C127" s="10" t="s">
        <v>60</v>
      </c>
      <c r="D127" s="10" t="s">
        <v>141</v>
      </c>
      <c r="E127" s="11" t="s">
        <v>142</v>
      </c>
      <c r="F127" s="12">
        <v>90</v>
      </c>
      <c r="G127" s="12">
        <f>IF(F127="","",F127*INDEX(Kurallar!$B$5:$B$9,MATCH(K127,Kurallar!$A$5:$A$9,0)))</f>
        <v>90</v>
      </c>
      <c r="H127" s="12">
        <f t="shared" si="6"/>
        <v>2700</v>
      </c>
      <c r="I127" s="9">
        <v>30</v>
      </c>
      <c r="J127" s="9" t="s">
        <v>17</v>
      </c>
      <c r="K127" s="9" t="s">
        <v>22</v>
      </c>
    </row>
    <row r="128" spans="1:11" x14ac:dyDescent="0.25">
      <c r="A128" s="9">
        <v>111</v>
      </c>
      <c r="B128" s="10" t="str">
        <f t="shared" si="5"/>
        <v>ЩВ</v>
      </c>
      <c r="C128" s="10" t="s">
        <v>60</v>
      </c>
      <c r="D128" s="10" t="s">
        <v>141</v>
      </c>
      <c r="E128" s="11" t="s">
        <v>143</v>
      </c>
      <c r="F128" s="12">
        <v>90</v>
      </c>
      <c r="G128" s="12">
        <f>IF(F128="","",F128*INDEX(Kurallar!$B$5:$B$9,MATCH(K128,Kurallar!$A$5:$A$9,0)))</f>
        <v>90</v>
      </c>
      <c r="H128" s="12">
        <f t="shared" si="6"/>
        <v>2700</v>
      </c>
      <c r="I128" s="9">
        <v>30</v>
      </c>
      <c r="J128" s="9" t="s">
        <v>17</v>
      </c>
      <c r="K128" s="9" t="s">
        <v>22</v>
      </c>
    </row>
    <row r="129" spans="1:11" x14ac:dyDescent="0.25">
      <c r="A129" s="9">
        <v>112</v>
      </c>
      <c r="B129" s="10" t="str">
        <f t="shared" si="5"/>
        <v>ЩВ</v>
      </c>
      <c r="C129" s="10" t="s">
        <v>60</v>
      </c>
      <c r="D129" s="10" t="s">
        <v>65</v>
      </c>
      <c r="E129" s="11" t="s">
        <v>66</v>
      </c>
      <c r="F129" s="12">
        <v>549</v>
      </c>
      <c r="G129" s="12">
        <f>IF(F129="","",F129*INDEX(Kurallar!$B$5:$B$9,MATCH(K129,Kurallar!$A$5:$A$9,0)))</f>
        <v>549</v>
      </c>
      <c r="H129" s="12">
        <f t="shared" si="6"/>
        <v>2196</v>
      </c>
      <c r="I129" s="9">
        <v>4</v>
      </c>
      <c r="J129" s="9" t="s">
        <v>17</v>
      </c>
      <c r="K129" s="9" t="s">
        <v>22</v>
      </c>
    </row>
    <row r="130" spans="1:11" x14ac:dyDescent="0.25">
      <c r="A130" s="9">
        <v>113</v>
      </c>
      <c r="B130" s="10" t="str">
        <f t="shared" si="5"/>
        <v>ЩВ</v>
      </c>
      <c r="C130" s="10" t="s">
        <v>60</v>
      </c>
      <c r="D130" s="10" t="s">
        <v>144</v>
      </c>
      <c r="E130" s="11" t="s">
        <v>145</v>
      </c>
      <c r="F130" s="12">
        <v>1808</v>
      </c>
      <c r="G130" s="12">
        <f>IF(F130="","",F130*INDEX(Kurallar!$B$5:$B$9,MATCH(K130,Kurallar!$A$5:$A$9,0)))</f>
        <v>1808</v>
      </c>
      <c r="H130" s="12">
        <f t="shared" si="6"/>
        <v>5424</v>
      </c>
      <c r="I130" s="9">
        <v>3</v>
      </c>
      <c r="J130" s="9" t="s">
        <v>17</v>
      </c>
      <c r="K130" s="9" t="s">
        <v>31</v>
      </c>
    </row>
    <row r="131" spans="1:11" x14ac:dyDescent="0.25">
      <c r="A131" s="9">
        <v>114</v>
      </c>
      <c r="B131" s="10" t="str">
        <f t="shared" si="5"/>
        <v>ЩВ</v>
      </c>
      <c r="C131" s="10" t="s">
        <v>55</v>
      </c>
      <c r="D131" s="10" t="s">
        <v>146</v>
      </c>
      <c r="E131" s="11" t="s">
        <v>147</v>
      </c>
      <c r="F131" s="12">
        <v>649</v>
      </c>
      <c r="G131" s="12">
        <f>IF(F131="","",F131*INDEX(Kurallar!$B$5:$B$9,MATCH(K131,Kurallar!$A$5:$A$9,0)))</f>
        <v>649</v>
      </c>
      <c r="H131" s="12">
        <f t="shared" si="6"/>
        <v>1298</v>
      </c>
      <c r="I131" s="9">
        <v>2</v>
      </c>
      <c r="J131" s="9" t="s">
        <v>17</v>
      </c>
      <c r="K131" s="9" t="s">
        <v>31</v>
      </c>
    </row>
    <row r="132" spans="1:11" x14ac:dyDescent="0.25">
      <c r="A132" s="9">
        <v>115</v>
      </c>
      <c r="B132" s="10" t="str">
        <f t="shared" si="5"/>
        <v>ЩВ</v>
      </c>
      <c r="C132" s="10" t="s">
        <v>69</v>
      </c>
      <c r="D132" s="10" t="s">
        <v>148</v>
      </c>
      <c r="E132" s="11" t="s">
        <v>149</v>
      </c>
      <c r="F132" s="12">
        <v>79</v>
      </c>
      <c r="G132" s="12">
        <f>IF(F132="","",F132*INDEX(Kurallar!$B$5:$B$9,MATCH(K132,Kurallar!$A$5:$A$9,0)))</f>
        <v>79</v>
      </c>
      <c r="H132" s="12">
        <f t="shared" si="6"/>
        <v>9480</v>
      </c>
      <c r="I132" s="9">
        <v>120</v>
      </c>
      <c r="J132" s="9" t="s">
        <v>72</v>
      </c>
      <c r="K132" s="9" t="s">
        <v>18</v>
      </c>
    </row>
    <row r="133" spans="1:11" x14ac:dyDescent="0.25">
      <c r="A133" s="9">
        <v>116</v>
      </c>
      <c r="B133" s="10" t="str">
        <f t="shared" si="5"/>
        <v>ЩВ</v>
      </c>
      <c r="C133" s="10" t="s">
        <v>69</v>
      </c>
      <c r="D133" s="10" t="s">
        <v>150</v>
      </c>
      <c r="E133" s="11" t="s">
        <v>151</v>
      </c>
      <c r="F133" s="12">
        <v>79</v>
      </c>
      <c r="G133" s="12">
        <f>IF(F133="","",F133*INDEX(Kurallar!$B$5:$B$9,MATCH(K133,Kurallar!$A$5:$A$9,0)))</f>
        <v>79</v>
      </c>
      <c r="H133" s="12">
        <f t="shared" si="6"/>
        <v>2370</v>
      </c>
      <c r="I133" s="9">
        <v>30</v>
      </c>
      <c r="J133" s="9" t="s">
        <v>72</v>
      </c>
      <c r="K133" s="9" t="s">
        <v>18</v>
      </c>
    </row>
    <row r="134" spans="1:11" ht="25.5" x14ac:dyDescent="0.25">
      <c r="A134" s="9">
        <v>117</v>
      </c>
      <c r="B134" s="10" t="str">
        <f t="shared" si="5"/>
        <v>ЩВ</v>
      </c>
      <c r="C134" s="10" t="s">
        <v>75</v>
      </c>
      <c r="D134" s="10"/>
      <c r="E134" s="11" t="s">
        <v>76</v>
      </c>
      <c r="F134" s="12"/>
      <c r="G134" s="12">
        <f>ROUND(Kurallar!$B$12*SUBTOTAL(9,H120:H133),0)</f>
        <v>4042</v>
      </c>
      <c r="H134" s="12">
        <f>G134*I134</f>
        <v>4042</v>
      </c>
      <c r="I134" s="9">
        <v>1</v>
      </c>
      <c r="J134" s="9" t="s">
        <v>77</v>
      </c>
      <c r="K134" s="9" t="s">
        <v>78</v>
      </c>
    </row>
    <row r="135" spans="1:11" x14ac:dyDescent="0.25">
      <c r="A135" s="9">
        <v>118</v>
      </c>
      <c r="B135" s="10" t="str">
        <f t="shared" si="5"/>
        <v>ЩВ</v>
      </c>
      <c r="C135" s="10" t="s">
        <v>79</v>
      </c>
      <c r="D135" s="10"/>
      <c r="E135" s="11" t="s">
        <v>80</v>
      </c>
      <c r="F135" s="12">
        <f>I135/60</f>
        <v>12.533333333333333</v>
      </c>
      <c r="G135" s="12">
        <f>Kurallar!$B$13</f>
        <v>100</v>
      </c>
      <c r="H135" s="12">
        <f>G135*I135</f>
        <v>75200</v>
      </c>
      <c r="I135" s="9">
        <v>752</v>
      </c>
      <c r="J135" s="9" t="s">
        <v>81</v>
      </c>
      <c r="K135" s="9" t="s">
        <v>78</v>
      </c>
    </row>
    <row r="136" spans="1:11" x14ac:dyDescent="0.25">
      <c r="A136" s="13"/>
      <c r="B136" s="14" t="str">
        <f>"Итого "&amp;$B$119</f>
        <v>Итого ЩВ</v>
      </c>
      <c r="C136" s="15"/>
      <c r="D136" s="15"/>
      <c r="E136" s="16" t="s">
        <v>82</v>
      </c>
      <c r="F136" s="17"/>
      <c r="G136" s="17"/>
      <c r="H136" s="18">
        <f>SUBTOTAL(9,H120:H135)</f>
        <v>213963.6</v>
      </c>
      <c r="I136" s="13"/>
      <c r="J136" s="13"/>
      <c r="K136" s="13"/>
    </row>
    <row r="137" spans="1:11" ht="25.5" x14ac:dyDescent="0.25">
      <c r="A137" s="4">
        <v>119</v>
      </c>
      <c r="B137" s="5" t="s">
        <v>152</v>
      </c>
      <c r="C137" s="6"/>
      <c r="D137" s="6"/>
      <c r="E137" s="7" t="s">
        <v>153</v>
      </c>
      <c r="F137" s="8"/>
      <c r="G137" s="8"/>
      <c r="H137" s="8"/>
      <c r="I137" s="4">
        <v>1</v>
      </c>
      <c r="J137" s="4" t="s">
        <v>14</v>
      </c>
      <c r="K137" s="4"/>
    </row>
    <row r="138" spans="1:11" x14ac:dyDescent="0.25">
      <c r="A138" s="9">
        <v>120</v>
      </c>
      <c r="B138" s="10" t="str">
        <f t="shared" ref="B138:B143" si="7">$B$137</f>
        <v>КМ блоки</v>
      </c>
      <c r="C138" s="10" t="s">
        <v>154</v>
      </c>
      <c r="D138" s="10" t="s">
        <v>155</v>
      </c>
      <c r="E138" s="11" t="s">
        <v>156</v>
      </c>
      <c r="F138" s="12">
        <v>10243</v>
      </c>
      <c r="G138" s="12">
        <f>IF(F138="","",F138*INDEX(Kurallar!$B$5:$B$9,MATCH(K138,Kurallar!$A$5:$A$9,0)))</f>
        <v>10243</v>
      </c>
      <c r="H138" s="12">
        <f>IF(G138="","",G138*I138)</f>
        <v>92187</v>
      </c>
      <c r="I138" s="9">
        <v>9</v>
      </c>
      <c r="J138" s="9" t="s">
        <v>17</v>
      </c>
      <c r="K138" s="9" t="s">
        <v>31</v>
      </c>
    </row>
    <row r="139" spans="1:11" x14ac:dyDescent="0.25">
      <c r="A139" s="9">
        <v>121</v>
      </c>
      <c r="B139" s="10" t="str">
        <f t="shared" si="7"/>
        <v>КМ блоки</v>
      </c>
      <c r="C139" s="10" t="s">
        <v>157</v>
      </c>
      <c r="D139" s="10" t="s">
        <v>158</v>
      </c>
      <c r="E139" s="11" t="s">
        <v>159</v>
      </c>
      <c r="F139" s="12">
        <v>2738</v>
      </c>
      <c r="G139" s="12">
        <f>IF(F139="","",F139*INDEX(Kurallar!$B$5:$B$9,MATCH(K139,Kurallar!$A$5:$A$9,0)))</f>
        <v>2738</v>
      </c>
      <c r="H139" s="12">
        <f>IF(G139="","",G139*I139)</f>
        <v>10952</v>
      </c>
      <c r="I139" s="9">
        <v>4</v>
      </c>
      <c r="J139" s="9" t="s">
        <v>17</v>
      </c>
      <c r="K139" s="9" t="s">
        <v>31</v>
      </c>
    </row>
    <row r="140" spans="1:11" x14ac:dyDescent="0.25">
      <c r="A140" s="9">
        <v>122</v>
      </c>
      <c r="B140" s="10" t="str">
        <f t="shared" si="7"/>
        <v>КМ блоки</v>
      </c>
      <c r="C140" s="10" t="s">
        <v>157</v>
      </c>
      <c r="D140" s="10" t="s">
        <v>160</v>
      </c>
      <c r="E140" s="11" t="s">
        <v>161</v>
      </c>
      <c r="F140" s="12">
        <v>2739</v>
      </c>
      <c r="G140" s="12">
        <f>IF(F140="","",F140*INDEX(Kurallar!$B$5:$B$9,MATCH(K140,Kurallar!$A$5:$A$9,0)))</f>
        <v>2739</v>
      </c>
      <c r="H140" s="12">
        <f>IF(G140="","",G140*I140)</f>
        <v>8217</v>
      </c>
      <c r="I140" s="9">
        <v>3</v>
      </c>
      <c r="J140" s="9" t="s">
        <v>17</v>
      </c>
      <c r="K140" s="9" t="s">
        <v>31</v>
      </c>
    </row>
    <row r="141" spans="1:11" x14ac:dyDescent="0.25">
      <c r="A141" s="9">
        <v>123</v>
      </c>
      <c r="B141" s="10" t="str">
        <f t="shared" si="7"/>
        <v>КМ блоки</v>
      </c>
      <c r="C141" s="10" t="s">
        <v>157</v>
      </c>
      <c r="D141" s="10" t="s">
        <v>162</v>
      </c>
      <c r="E141" s="11" t="s">
        <v>163</v>
      </c>
      <c r="F141" s="12">
        <v>2739</v>
      </c>
      <c r="G141" s="12">
        <f>IF(F141="","",F141*INDEX(Kurallar!$B$5:$B$9,MATCH(K141,Kurallar!$A$5:$A$9,0)))</f>
        <v>2739</v>
      </c>
      <c r="H141" s="12">
        <f>IF(G141="","",G141*I141)</f>
        <v>5478</v>
      </c>
      <c r="I141" s="9">
        <v>2</v>
      </c>
      <c r="J141" s="9" t="s">
        <v>17</v>
      </c>
      <c r="K141" s="9" t="s">
        <v>31</v>
      </c>
    </row>
    <row r="142" spans="1:11" ht="25.5" x14ac:dyDescent="0.25">
      <c r="A142" s="9">
        <v>124</v>
      </c>
      <c r="B142" s="10" t="str">
        <f t="shared" si="7"/>
        <v>КМ блоки</v>
      </c>
      <c r="C142" s="10" t="s">
        <v>75</v>
      </c>
      <c r="D142" s="10"/>
      <c r="E142" s="11" t="s">
        <v>76</v>
      </c>
      <c r="F142" s="12"/>
      <c r="G142" s="12">
        <f>ROUND(Kurallar!$B$12*SUBTOTAL(9,H138:H141),0)</f>
        <v>3505</v>
      </c>
      <c r="H142" s="12">
        <f>G142*I142</f>
        <v>3505</v>
      </c>
      <c r="I142" s="9">
        <v>1</v>
      </c>
      <c r="J142" s="9" t="s">
        <v>77</v>
      </c>
      <c r="K142" s="9" t="s">
        <v>78</v>
      </c>
    </row>
    <row r="143" spans="1:11" x14ac:dyDescent="0.25">
      <c r="A143" s="9">
        <v>125</v>
      </c>
      <c r="B143" s="10" t="str">
        <f t="shared" si="7"/>
        <v>КМ блоки</v>
      </c>
      <c r="C143" s="10" t="s">
        <v>79</v>
      </c>
      <c r="D143" s="10"/>
      <c r="E143" s="11" t="s">
        <v>80</v>
      </c>
      <c r="F143" s="12">
        <f>I143/60</f>
        <v>6.75</v>
      </c>
      <c r="G143" s="12">
        <f>Kurallar!$B$13</f>
        <v>100</v>
      </c>
      <c r="H143" s="12">
        <f>G143*I143</f>
        <v>40500</v>
      </c>
      <c r="I143" s="9">
        <v>405</v>
      </c>
      <c r="J143" s="9" t="s">
        <v>81</v>
      </c>
      <c r="K143" s="9" t="s">
        <v>78</v>
      </c>
    </row>
    <row r="144" spans="1:11" x14ac:dyDescent="0.25">
      <c r="A144" s="13"/>
      <c r="B144" s="14" t="str">
        <f>"Итого "&amp;$B$137</f>
        <v>Итого КМ блоки</v>
      </c>
      <c r="C144" s="15"/>
      <c r="D144" s="15"/>
      <c r="E144" s="16" t="s">
        <v>82</v>
      </c>
      <c r="F144" s="17"/>
      <c r="G144" s="17"/>
      <c r="H144" s="18">
        <f>SUBTOTAL(9,H138:H143)</f>
        <v>160839</v>
      </c>
      <c r="I144" s="13"/>
      <c r="J144" s="13"/>
      <c r="K144" s="13"/>
    </row>
    <row r="145" spans="1:11" ht="25.5" x14ac:dyDescent="0.25">
      <c r="A145" s="4">
        <v>126</v>
      </c>
      <c r="B145" s="5" t="s">
        <v>164</v>
      </c>
      <c r="C145" s="6"/>
      <c r="D145" s="6"/>
      <c r="E145" s="7" t="s">
        <v>165</v>
      </c>
      <c r="F145" s="8"/>
      <c r="G145" s="8"/>
      <c r="H145" s="8"/>
      <c r="I145" s="4">
        <v>1</v>
      </c>
      <c r="J145" s="4" t="s">
        <v>14</v>
      </c>
      <c r="K145" s="4"/>
    </row>
    <row r="146" spans="1:11" x14ac:dyDescent="0.25">
      <c r="A146" s="9">
        <v>127</v>
      </c>
      <c r="B146" s="10" t="str">
        <f>$B$145</f>
        <v>ЯТП</v>
      </c>
      <c r="C146" s="10" t="s">
        <v>15</v>
      </c>
      <c r="D146" s="10" t="s">
        <v>166</v>
      </c>
      <c r="E146" s="11" t="s">
        <v>167</v>
      </c>
      <c r="F146" s="12">
        <v>21863</v>
      </c>
      <c r="G146" s="12">
        <f>IF(F146="","",F146*INDEX(Kurallar!$B$5:$B$9,MATCH(K146,Kurallar!$A$5:$A$9,0)))</f>
        <v>21863</v>
      </c>
      <c r="H146" s="12">
        <f>IF(G146="","",G146*I146)</f>
        <v>87452</v>
      </c>
      <c r="I146" s="9">
        <v>4</v>
      </c>
      <c r="J146" s="9" t="s">
        <v>17</v>
      </c>
      <c r="K146" s="9" t="s">
        <v>31</v>
      </c>
    </row>
    <row r="147" spans="1:11" ht="25.5" x14ac:dyDescent="0.25">
      <c r="A147" s="9">
        <v>128</v>
      </c>
      <c r="B147" s="10" t="str">
        <f>$B$145</f>
        <v>ЯТП</v>
      </c>
      <c r="C147" s="10" t="s">
        <v>75</v>
      </c>
      <c r="D147" s="10"/>
      <c r="E147" s="11" t="s">
        <v>76</v>
      </c>
      <c r="F147" s="12"/>
      <c r="G147" s="12">
        <f>ROUND(Kurallar!$B$12*SUBTOTAL(9,H146:H146),0)</f>
        <v>2624</v>
      </c>
      <c r="H147" s="12">
        <f>G147*I147</f>
        <v>2624</v>
      </c>
      <c r="I147" s="9">
        <v>1</v>
      </c>
      <c r="J147" s="9" t="s">
        <v>77</v>
      </c>
      <c r="K147" s="9" t="s">
        <v>78</v>
      </c>
    </row>
    <row r="148" spans="1:11" x14ac:dyDescent="0.25">
      <c r="A148" s="9">
        <v>129</v>
      </c>
      <c r="B148" s="10" t="str">
        <f>$B$145</f>
        <v>ЯТП</v>
      </c>
      <c r="C148" s="10" t="s">
        <v>79</v>
      </c>
      <c r="D148" s="10"/>
      <c r="E148" s="11" t="s">
        <v>80</v>
      </c>
      <c r="F148" s="12">
        <f>I148/60</f>
        <v>2</v>
      </c>
      <c r="G148" s="12">
        <f>Kurallar!$B$13</f>
        <v>100</v>
      </c>
      <c r="H148" s="12">
        <f>G148*I148</f>
        <v>12000</v>
      </c>
      <c r="I148" s="9">
        <v>120</v>
      </c>
      <c r="J148" s="9" t="s">
        <v>81</v>
      </c>
      <c r="K148" s="9" t="s">
        <v>78</v>
      </c>
    </row>
    <row r="149" spans="1:11" x14ac:dyDescent="0.25">
      <c r="A149" s="13"/>
      <c r="B149" s="14" t="str">
        <f>"Итого "&amp;$B$145</f>
        <v>Итого ЯТП</v>
      </c>
      <c r="C149" s="15"/>
      <c r="D149" s="15"/>
      <c r="E149" s="16" t="s">
        <v>82</v>
      </c>
      <c r="F149" s="17"/>
      <c r="G149" s="17"/>
      <c r="H149" s="18">
        <f>SUBTOTAL(9,H146:H148)</f>
        <v>102076</v>
      </c>
      <c r="I149" s="13"/>
      <c r="J149" s="13"/>
      <c r="K149" s="13"/>
    </row>
    <row r="150" spans="1:11" ht="25.5" x14ac:dyDescent="0.25">
      <c r="A150" s="19"/>
      <c r="B150" s="20"/>
      <c r="C150" s="20"/>
      <c r="D150" s="20"/>
      <c r="E150" s="21" t="s">
        <v>168</v>
      </c>
      <c r="F150" s="22"/>
      <c r="G150" s="22"/>
      <c r="H150" s="22"/>
      <c r="I150" s="19"/>
      <c r="J150" s="19"/>
      <c r="K150" s="19"/>
    </row>
    <row r="151" spans="1:11" ht="25.5" x14ac:dyDescent="0.25">
      <c r="A151" s="19">
        <v>130</v>
      </c>
      <c r="B151" s="20"/>
      <c r="C151" s="20"/>
      <c r="D151" s="20"/>
      <c r="E151" s="23" t="s">
        <v>169</v>
      </c>
      <c r="F151" s="22"/>
      <c r="G151" s="22"/>
      <c r="H151" s="22"/>
      <c r="I151" s="19">
        <v>1</v>
      </c>
      <c r="J151" s="19" t="s">
        <v>17</v>
      </c>
      <c r="K151" s="19" t="s">
        <v>34</v>
      </c>
    </row>
    <row r="152" spans="1:11" x14ac:dyDescent="0.25">
      <c r="A152" s="19">
        <v>131</v>
      </c>
      <c r="B152" s="20"/>
      <c r="C152" s="20"/>
      <c r="D152" s="20"/>
      <c r="E152" s="23" t="s">
        <v>170</v>
      </c>
      <c r="F152" s="22"/>
      <c r="G152" s="22"/>
      <c r="H152" s="22"/>
      <c r="I152" s="19">
        <v>3</v>
      </c>
      <c r="J152" s="19" t="s">
        <v>17</v>
      </c>
      <c r="K152" s="19" t="s">
        <v>34</v>
      </c>
    </row>
    <row r="153" spans="1:11" x14ac:dyDescent="0.25">
      <c r="A153" s="19">
        <v>132</v>
      </c>
      <c r="B153" s="20"/>
      <c r="C153" s="20"/>
      <c r="D153" s="20"/>
      <c r="E153" s="23" t="s">
        <v>171</v>
      </c>
      <c r="F153" s="22"/>
      <c r="G153" s="22"/>
      <c r="H153" s="22"/>
      <c r="I153" s="19">
        <v>1</v>
      </c>
      <c r="J153" s="19" t="s">
        <v>77</v>
      </c>
      <c r="K153" s="19" t="s">
        <v>34</v>
      </c>
    </row>
  </sheetData>
  <autoFilter ref="A4:K15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zoomScaleNormal="100" workbookViewId="0"/>
  </sheetViews>
  <sheetFormatPr defaultColWidth="8.7109375" defaultRowHeight="15" x14ac:dyDescent="0.25"/>
  <cols>
    <col min="1" max="1" width="6" customWidth="1"/>
    <col min="2" max="2" width="16" customWidth="1"/>
    <col min="3" max="3" width="14" customWidth="1"/>
    <col min="4" max="4" width="24" customWidth="1"/>
    <col min="5" max="5" width="22" customWidth="1"/>
    <col min="6" max="6" width="18" customWidth="1"/>
    <col min="7" max="7" width="52" customWidth="1"/>
  </cols>
  <sheetData>
    <row r="1" spans="1:7" ht="16.5" x14ac:dyDescent="0.25">
      <c r="A1" s="1" t="s">
        <v>172</v>
      </c>
    </row>
    <row r="3" spans="1:7" ht="25.5" x14ac:dyDescent="0.25">
      <c r="A3" s="3" t="s">
        <v>173</v>
      </c>
      <c r="B3" s="3" t="s">
        <v>174</v>
      </c>
      <c r="C3" s="3" t="s">
        <v>175</v>
      </c>
      <c r="D3" s="24" t="s">
        <v>176</v>
      </c>
      <c r="E3" s="24" t="s">
        <v>177</v>
      </c>
      <c r="F3" s="3" t="s">
        <v>178</v>
      </c>
      <c r="G3" s="3" t="s">
        <v>179</v>
      </c>
    </row>
    <row r="4" spans="1:7" x14ac:dyDescent="0.25">
      <c r="A4" s="10">
        <v>1</v>
      </c>
      <c r="B4" s="10" t="s">
        <v>13</v>
      </c>
      <c r="C4" s="10">
        <f>BOM!I5</f>
        <v>1</v>
      </c>
      <c r="D4" s="12">
        <f>BOM!H30</f>
        <v>390713.4</v>
      </c>
      <c r="E4" s="12">
        <f>BOM!H29</f>
        <v>116500</v>
      </c>
      <c r="F4" s="10">
        <f>COUNTIFS(BOM!$B$6:$B$27,BOM!$B$6,BOM!$F$6:$F$27,"")</f>
        <v>1</v>
      </c>
      <c r="G4" s="10" t="str">
        <f t="shared" ref="G4:G19" si="0">IF(F4&gt;0,"ВНИМАНИЕ: есть позиции без цены — см. Kurallar","")</f>
        <v>ВНИМАНИЕ: есть позиции без цены — см. Kurallar</v>
      </c>
    </row>
    <row r="5" spans="1:7" x14ac:dyDescent="0.25">
      <c r="A5" s="10">
        <v>2</v>
      </c>
      <c r="B5" s="10" t="s">
        <v>83</v>
      </c>
      <c r="C5" s="10">
        <f>BOM!I31</f>
        <v>1</v>
      </c>
      <c r="D5" s="12">
        <f>BOM!H37</f>
        <v>32560.799999999999</v>
      </c>
      <c r="E5" s="12">
        <f>BOM!H36</f>
        <v>19000</v>
      </c>
      <c r="F5" s="10">
        <f>COUNTIFS(BOM!$B$32:$B$34,BOM!$B$32,BOM!$F$32:$F$34,"")</f>
        <v>0</v>
      </c>
      <c r="G5" s="10" t="str">
        <f t="shared" si="0"/>
        <v/>
      </c>
    </row>
    <row r="6" spans="1:7" x14ac:dyDescent="0.25">
      <c r="A6" s="10">
        <v>3</v>
      </c>
      <c r="B6" s="10" t="s">
        <v>91</v>
      </c>
      <c r="C6" s="10">
        <f>BOM!I38</f>
        <v>1</v>
      </c>
      <c r="D6" s="12">
        <f>BOM!H44</f>
        <v>42258</v>
      </c>
      <c r="E6" s="12">
        <f>BOM!H43</f>
        <v>22400</v>
      </c>
      <c r="F6" s="10">
        <f>COUNTIFS(BOM!$B$39:$B$41,BOM!$B$39,BOM!$F$39:$F$41,"")</f>
        <v>0</v>
      </c>
      <c r="G6" s="10" t="str">
        <f t="shared" si="0"/>
        <v/>
      </c>
    </row>
    <row r="7" spans="1:7" x14ac:dyDescent="0.25">
      <c r="A7" s="10">
        <v>4</v>
      </c>
      <c r="B7" s="10" t="s">
        <v>95</v>
      </c>
      <c r="C7" s="10">
        <f>BOM!I45</f>
        <v>1</v>
      </c>
      <c r="D7" s="12">
        <f>BOM!H51</f>
        <v>28507</v>
      </c>
      <c r="E7" s="12">
        <f>BOM!H50</f>
        <v>16700</v>
      </c>
      <c r="F7" s="10">
        <f>COUNTIFS(BOM!$B$46:$B$48,BOM!$B$46,BOM!$F$46:$F$48,"")</f>
        <v>0</v>
      </c>
      <c r="G7" s="10" t="str">
        <f t="shared" si="0"/>
        <v/>
      </c>
    </row>
    <row r="8" spans="1:7" x14ac:dyDescent="0.25">
      <c r="A8" s="10">
        <v>5</v>
      </c>
      <c r="B8" s="10" t="s">
        <v>97</v>
      </c>
      <c r="C8" s="10">
        <f>BOM!I52</f>
        <v>1</v>
      </c>
      <c r="D8" s="12">
        <f>BOM!H58</f>
        <v>30483.4</v>
      </c>
      <c r="E8" s="12">
        <f>BOM!H57</f>
        <v>17800</v>
      </c>
      <c r="F8" s="10">
        <f>COUNTIFS(BOM!$B$53:$B$55,BOM!$B$53,BOM!$F$53:$F$55,"")</f>
        <v>0</v>
      </c>
      <c r="G8" s="10" t="str">
        <f t="shared" si="0"/>
        <v/>
      </c>
    </row>
    <row r="9" spans="1:7" x14ac:dyDescent="0.25">
      <c r="A9" s="10">
        <v>6</v>
      </c>
      <c r="B9" s="10" t="s">
        <v>99</v>
      </c>
      <c r="C9" s="10">
        <f>BOM!I59</f>
        <v>1</v>
      </c>
      <c r="D9" s="12">
        <f>BOM!H65</f>
        <v>24986.2</v>
      </c>
      <c r="E9" s="12">
        <f>BOM!H64</f>
        <v>14400</v>
      </c>
      <c r="F9" s="10">
        <f>COUNTIFS(BOM!$B$60:$B$62,BOM!$B$60,BOM!$F$60:$F$62,"")</f>
        <v>0</v>
      </c>
      <c r="G9" s="10" t="str">
        <f t="shared" si="0"/>
        <v/>
      </c>
    </row>
    <row r="10" spans="1:7" x14ac:dyDescent="0.25">
      <c r="A10" s="10">
        <v>7</v>
      </c>
      <c r="B10" s="10" t="s">
        <v>105</v>
      </c>
      <c r="C10" s="10">
        <f>BOM!I66</f>
        <v>1</v>
      </c>
      <c r="D10" s="12">
        <f>BOM!H72</f>
        <v>22909.8</v>
      </c>
      <c r="E10" s="12">
        <f>BOM!H71</f>
        <v>13200</v>
      </c>
      <c r="F10" s="10">
        <f>COUNTIFS(BOM!$B$67:$B$69,BOM!$B$67,BOM!$F$67:$F$69,"")</f>
        <v>0</v>
      </c>
      <c r="G10" s="10" t="str">
        <f t="shared" si="0"/>
        <v/>
      </c>
    </row>
    <row r="11" spans="1:7" x14ac:dyDescent="0.25">
      <c r="A11" s="10">
        <v>8</v>
      </c>
      <c r="B11" s="10" t="s">
        <v>107</v>
      </c>
      <c r="C11" s="10">
        <f>BOM!I73</f>
        <v>1</v>
      </c>
      <c r="D11" s="12">
        <f>BOM!H79</f>
        <v>22909.8</v>
      </c>
      <c r="E11" s="12">
        <f>BOM!H78</f>
        <v>13200</v>
      </c>
      <c r="F11" s="10">
        <f>COUNTIFS(BOM!$B$74:$B$76,BOM!$B$74,BOM!$F$74:$F$76,"")</f>
        <v>0</v>
      </c>
      <c r="G11" s="10" t="str">
        <f t="shared" si="0"/>
        <v/>
      </c>
    </row>
    <row r="12" spans="1:7" x14ac:dyDescent="0.25">
      <c r="A12" s="10">
        <v>9</v>
      </c>
      <c r="B12" s="10" t="s">
        <v>109</v>
      </c>
      <c r="C12" s="10">
        <f>BOM!I80</f>
        <v>1</v>
      </c>
      <c r="D12" s="12">
        <f>BOM!H86</f>
        <v>16878.599999999999</v>
      </c>
      <c r="E12" s="12">
        <f>BOM!H85</f>
        <v>9800</v>
      </c>
      <c r="F12" s="10">
        <f>COUNTIFS(BOM!$B$81:$B$83,BOM!$B$81,BOM!$F$81:$F$83,"")</f>
        <v>0</v>
      </c>
      <c r="G12" s="10" t="str">
        <f t="shared" si="0"/>
        <v/>
      </c>
    </row>
    <row r="13" spans="1:7" x14ac:dyDescent="0.25">
      <c r="A13" s="10">
        <v>10</v>
      </c>
      <c r="B13" s="10" t="s">
        <v>111</v>
      </c>
      <c r="C13" s="10">
        <f>BOM!I87</f>
        <v>1</v>
      </c>
      <c r="D13" s="12">
        <f>BOM!H94</f>
        <v>32146.799999999999</v>
      </c>
      <c r="E13" s="12">
        <f>BOM!H93</f>
        <v>14600</v>
      </c>
      <c r="F13" s="10">
        <f>COUNTIFS(BOM!$B$88:$B$91,BOM!$B$88,BOM!$F$88:$F$91,"")</f>
        <v>0</v>
      </c>
      <c r="G13" s="10" t="str">
        <f t="shared" si="0"/>
        <v/>
      </c>
    </row>
    <row r="14" spans="1:7" x14ac:dyDescent="0.25">
      <c r="A14" s="10">
        <v>11</v>
      </c>
      <c r="B14" s="10" t="s">
        <v>118</v>
      </c>
      <c r="C14" s="10">
        <f>BOM!I95</f>
        <v>1</v>
      </c>
      <c r="D14" s="12">
        <f>BOM!H104</f>
        <v>46816.4</v>
      </c>
      <c r="E14" s="12">
        <f>BOM!H103</f>
        <v>18300</v>
      </c>
      <c r="F14" s="10">
        <f>COUNTIFS(BOM!$B$96:$B$101,BOM!$B$96,BOM!$F$96:$F$101,"")</f>
        <v>0</v>
      </c>
      <c r="G14" s="10" t="str">
        <f t="shared" si="0"/>
        <v/>
      </c>
    </row>
    <row r="15" spans="1:7" x14ac:dyDescent="0.25">
      <c r="A15" s="10">
        <v>12</v>
      </c>
      <c r="B15" s="10" t="s">
        <v>124</v>
      </c>
      <c r="C15" s="10">
        <f>BOM!I105</f>
        <v>1</v>
      </c>
      <c r="D15" s="12">
        <f>BOM!H111</f>
        <v>35436.800000000003</v>
      </c>
      <c r="E15" s="12">
        <f>BOM!H110</f>
        <v>15100</v>
      </c>
      <c r="F15" s="10">
        <f>COUNTIFS(BOM!$B$106:$B$108,BOM!$B$106,BOM!$F$106:$F$108,"")</f>
        <v>0</v>
      </c>
      <c r="G15" s="10" t="str">
        <f t="shared" si="0"/>
        <v/>
      </c>
    </row>
    <row r="16" spans="1:7" x14ac:dyDescent="0.25">
      <c r="A16" s="10">
        <v>13</v>
      </c>
      <c r="B16" s="10" t="s">
        <v>126</v>
      </c>
      <c r="C16" s="10">
        <f>BOM!I112</f>
        <v>1</v>
      </c>
      <c r="D16" s="12">
        <f>BOM!H118</f>
        <v>35436.800000000003</v>
      </c>
      <c r="E16" s="12">
        <f>BOM!H117</f>
        <v>15100</v>
      </c>
      <c r="F16" s="10">
        <f>COUNTIFS(BOM!$B$113:$B$115,BOM!$B$113,BOM!$F$113:$F$115,"")</f>
        <v>0</v>
      </c>
      <c r="G16" s="10" t="str">
        <f t="shared" si="0"/>
        <v/>
      </c>
    </row>
    <row r="17" spans="1:7" x14ac:dyDescent="0.25">
      <c r="A17" s="10">
        <v>14</v>
      </c>
      <c r="B17" s="10" t="s">
        <v>128</v>
      </c>
      <c r="C17" s="10">
        <f>BOM!I119</f>
        <v>1</v>
      </c>
      <c r="D17" s="12">
        <f>BOM!H136</f>
        <v>213963.6</v>
      </c>
      <c r="E17" s="12">
        <f>BOM!H135</f>
        <v>75200</v>
      </c>
      <c r="F17" s="10">
        <f>COUNTIFS(BOM!$B$120:$B$133,BOM!$B$120,BOM!$F$120:$F$133,"")</f>
        <v>0</v>
      </c>
      <c r="G17" s="10" t="str">
        <f t="shared" si="0"/>
        <v/>
      </c>
    </row>
    <row r="18" spans="1:7" x14ac:dyDescent="0.25">
      <c r="A18" s="10">
        <v>15</v>
      </c>
      <c r="B18" s="10" t="s">
        <v>152</v>
      </c>
      <c r="C18" s="10">
        <f>BOM!I137</f>
        <v>1</v>
      </c>
      <c r="D18" s="12">
        <f>BOM!H144</f>
        <v>160839</v>
      </c>
      <c r="E18" s="12">
        <f>BOM!H143</f>
        <v>40500</v>
      </c>
      <c r="F18" s="10">
        <f>COUNTIFS(BOM!$B$138:$B$141,BOM!$B$138,BOM!$F$138:$F$141,"")</f>
        <v>0</v>
      </c>
      <c r="G18" s="10" t="str">
        <f t="shared" si="0"/>
        <v/>
      </c>
    </row>
    <row r="19" spans="1:7" x14ac:dyDescent="0.25">
      <c r="A19" s="10">
        <v>16</v>
      </c>
      <c r="B19" s="10" t="s">
        <v>164</v>
      </c>
      <c r="C19" s="10">
        <f>BOM!I145</f>
        <v>1</v>
      </c>
      <c r="D19" s="12">
        <f>BOM!H149</f>
        <v>102076</v>
      </c>
      <c r="E19" s="12">
        <f>BOM!H148</f>
        <v>12000</v>
      </c>
      <c r="F19" s="10">
        <f>COUNTIFS(BOM!$B$146:$B$146,BOM!$B$146,BOM!$F$146:$F$146,"")</f>
        <v>0</v>
      </c>
      <c r="G19" s="10" t="str">
        <f t="shared" si="0"/>
        <v/>
      </c>
    </row>
    <row r="20" spans="1:7" x14ac:dyDescent="0.25">
      <c r="A20" s="15"/>
      <c r="B20" s="25" t="s">
        <v>180</v>
      </c>
      <c r="C20" s="15"/>
      <c r="D20" s="26">
        <f>SUM(D4:D19)</f>
        <v>1238922.4000000001</v>
      </c>
      <c r="E20" s="26">
        <f>SUM(E4:E19)</f>
        <v>433800</v>
      </c>
      <c r="F20" s="25">
        <f>SUM(F4:F19)</f>
        <v>1</v>
      </c>
      <c r="G20" s="15"/>
    </row>
    <row r="22" spans="1:7" x14ac:dyDescent="0.25">
      <c r="B22" s="27" t="s">
        <v>181</v>
      </c>
    </row>
    <row r="23" spans="1:7" x14ac:dyDescent="0.25">
      <c r="B23" s="28" t="s">
        <v>174</v>
      </c>
      <c r="C23" s="28" t="s">
        <v>182</v>
      </c>
      <c r="D23" s="28" t="s">
        <v>183</v>
      </c>
      <c r="E23" s="28" t="s">
        <v>184</v>
      </c>
      <c r="F23" s="28" t="s">
        <v>185</v>
      </c>
    </row>
    <row r="24" spans="1:7" x14ac:dyDescent="0.25">
      <c r="B24" s="10" t="s">
        <v>83</v>
      </c>
      <c r="C24" s="10">
        <v>12</v>
      </c>
      <c r="D24" s="10">
        <v>18</v>
      </c>
      <c r="E24" s="29">
        <f t="shared" ref="E24:E36" si="1">1-C24/D24</f>
        <v>0.33333333333333337</v>
      </c>
      <c r="F24" s="10" t="str">
        <f>IF(E24&gt;=Kurallar!$B$14,"ОК","МАЛО — увеличить корпус")</f>
        <v>ОК</v>
      </c>
    </row>
    <row r="25" spans="1:7" x14ac:dyDescent="0.25">
      <c r="B25" s="10" t="s">
        <v>91</v>
      </c>
      <c r="C25" s="10">
        <v>15</v>
      </c>
      <c r="D25" s="10">
        <v>24</v>
      </c>
      <c r="E25" s="29">
        <f t="shared" si="1"/>
        <v>0.375</v>
      </c>
      <c r="F25" s="10" t="str">
        <f>IF(E25&gt;=Kurallar!$B$14,"ОК","МАЛО — увеличить корпус")</f>
        <v>ОК</v>
      </c>
    </row>
    <row r="26" spans="1:7" x14ac:dyDescent="0.25">
      <c r="B26" s="10" t="s">
        <v>95</v>
      </c>
      <c r="C26" s="10">
        <v>10</v>
      </c>
      <c r="D26" s="10">
        <v>18</v>
      </c>
      <c r="E26" s="29">
        <f t="shared" si="1"/>
        <v>0.44444444444444442</v>
      </c>
      <c r="F26" s="10" t="str">
        <f>IF(E26&gt;=Kurallar!$B$14,"ОК","МАЛО — увеличить корпус")</f>
        <v>ОК</v>
      </c>
    </row>
    <row r="27" spans="1:7" x14ac:dyDescent="0.25">
      <c r="B27" s="10" t="s">
        <v>97</v>
      </c>
      <c r="C27" s="10">
        <v>11</v>
      </c>
      <c r="D27" s="10">
        <v>18</v>
      </c>
      <c r="E27" s="29">
        <f t="shared" si="1"/>
        <v>0.38888888888888884</v>
      </c>
      <c r="F27" s="10" t="str">
        <f>IF(E27&gt;=Kurallar!$B$14,"ОК","МАЛО — увеличить корпус")</f>
        <v>ОК</v>
      </c>
    </row>
    <row r="28" spans="1:7" x14ac:dyDescent="0.25">
      <c r="B28" s="10" t="s">
        <v>99</v>
      </c>
      <c r="C28" s="10">
        <v>8</v>
      </c>
      <c r="D28" s="10">
        <v>12</v>
      </c>
      <c r="E28" s="29">
        <f t="shared" si="1"/>
        <v>0.33333333333333337</v>
      </c>
      <c r="F28" s="10" t="str">
        <f>IF(E28&gt;=Kurallar!$B$14,"ОК","МАЛО — увеличить корпус")</f>
        <v>ОК</v>
      </c>
    </row>
    <row r="29" spans="1:7" x14ac:dyDescent="0.25">
      <c r="B29" s="10" t="s">
        <v>105</v>
      </c>
      <c r="C29" s="10">
        <v>7</v>
      </c>
      <c r="D29" s="10">
        <v>12</v>
      </c>
      <c r="E29" s="29">
        <f t="shared" si="1"/>
        <v>0.41666666666666663</v>
      </c>
      <c r="F29" s="10" t="str">
        <f>IF(E29&gt;=Kurallar!$B$14,"ОК","МАЛО — увеличить корпус")</f>
        <v>ОК</v>
      </c>
    </row>
    <row r="30" spans="1:7" x14ac:dyDescent="0.25">
      <c r="B30" s="10" t="s">
        <v>107</v>
      </c>
      <c r="C30" s="10">
        <v>7</v>
      </c>
      <c r="D30" s="10">
        <v>12</v>
      </c>
      <c r="E30" s="29">
        <f t="shared" si="1"/>
        <v>0.41666666666666663</v>
      </c>
      <c r="F30" s="10" t="str">
        <f>IF(E30&gt;=Kurallar!$B$14,"ОК","МАЛО — увеличить корпус")</f>
        <v>ОК</v>
      </c>
    </row>
    <row r="31" spans="1:7" x14ac:dyDescent="0.25">
      <c r="B31" s="10" t="s">
        <v>109</v>
      </c>
      <c r="C31" s="10">
        <v>4</v>
      </c>
      <c r="D31" s="10">
        <v>12</v>
      </c>
      <c r="E31" s="29">
        <f t="shared" si="1"/>
        <v>0.66666666666666674</v>
      </c>
      <c r="F31" s="10" t="str">
        <f>IF(E31&gt;=Kurallar!$B$14,"ОК","МАЛО — увеличить корпус")</f>
        <v>ОК</v>
      </c>
    </row>
    <row r="32" spans="1:7" x14ac:dyDescent="0.25">
      <c r="B32" s="10" t="s">
        <v>111</v>
      </c>
      <c r="C32" s="10">
        <v>10</v>
      </c>
      <c r="D32" s="10">
        <v>18</v>
      </c>
      <c r="E32" s="29">
        <f t="shared" si="1"/>
        <v>0.44444444444444442</v>
      </c>
      <c r="F32" s="10" t="str">
        <f>IF(E32&gt;=Kurallar!$B$14,"ОК","МАЛО — увеличить корпус")</f>
        <v>ОК</v>
      </c>
    </row>
    <row r="33" spans="2:6" x14ac:dyDescent="0.25">
      <c r="B33" s="10" t="s">
        <v>118</v>
      </c>
      <c r="C33" s="10">
        <v>15</v>
      </c>
      <c r="D33" s="10">
        <v>24</v>
      </c>
      <c r="E33" s="29">
        <f t="shared" si="1"/>
        <v>0.375</v>
      </c>
      <c r="F33" s="10" t="str">
        <f>IF(E33&gt;=Kurallar!$B$14,"ОК","МАЛО — увеличить корпус")</f>
        <v>ОК</v>
      </c>
    </row>
    <row r="34" spans="2:6" x14ac:dyDescent="0.25">
      <c r="B34" s="10" t="s">
        <v>124</v>
      </c>
      <c r="C34" s="10">
        <v>11</v>
      </c>
      <c r="D34" s="10">
        <v>18</v>
      </c>
      <c r="E34" s="29">
        <f t="shared" si="1"/>
        <v>0.38888888888888884</v>
      </c>
      <c r="F34" s="10" t="str">
        <f>IF(E34&gt;=Kurallar!$B$14,"ОК","МАЛО — увеличить корпус")</f>
        <v>ОК</v>
      </c>
    </row>
    <row r="35" spans="2:6" x14ac:dyDescent="0.25">
      <c r="B35" s="10" t="s">
        <v>126</v>
      </c>
      <c r="C35" s="10">
        <v>11</v>
      </c>
      <c r="D35" s="10">
        <v>18</v>
      </c>
      <c r="E35" s="29">
        <f t="shared" si="1"/>
        <v>0.38888888888888884</v>
      </c>
      <c r="F35" s="10" t="str">
        <f>IF(E35&gt;=Kurallar!$B$14,"ОК","МАЛО — увеличить корпус")</f>
        <v>ОК</v>
      </c>
    </row>
    <row r="36" spans="2:6" x14ac:dyDescent="0.25">
      <c r="B36" s="10" t="s">
        <v>128</v>
      </c>
      <c r="C36" s="10">
        <v>40</v>
      </c>
      <c r="D36" s="10">
        <v>72</v>
      </c>
      <c r="E36" s="29">
        <f t="shared" si="1"/>
        <v>0.44444444444444442</v>
      </c>
      <c r="F36" s="10" t="str">
        <f>IF(E36&gt;=Kurallar!$B$14,"ОК","МАЛО — увеличить корпус")</f>
        <v>ОК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"/>
  <sheetViews>
    <sheetView zoomScaleNormal="100" workbookViewId="0"/>
  </sheetViews>
  <sheetFormatPr defaultColWidth="8.7109375" defaultRowHeight="15" x14ac:dyDescent="0.25"/>
  <cols>
    <col min="1" max="1" width="118" customWidth="1"/>
    <col min="2" max="2" width="16" customWidth="1"/>
    <col min="3" max="3" width="14" customWidth="1"/>
    <col min="4" max="4" width="22" customWidth="1"/>
    <col min="5" max="5" width="24" customWidth="1"/>
  </cols>
  <sheetData>
    <row r="1" spans="1:5" ht="16.5" x14ac:dyDescent="0.25">
      <c r="A1" s="1" t="s">
        <v>186</v>
      </c>
      <c r="B1" s="30"/>
      <c r="C1" s="30"/>
      <c r="D1" s="30"/>
      <c r="E1" s="30"/>
    </row>
    <row r="2" spans="1:5" x14ac:dyDescent="0.25">
      <c r="A2" s="30"/>
      <c r="B2" s="30"/>
      <c r="C2" s="30"/>
      <c r="D2" s="30"/>
      <c r="E2" s="30"/>
    </row>
    <row r="3" spans="1:5" x14ac:dyDescent="0.25">
      <c r="A3" s="31" t="s">
        <v>187</v>
      </c>
      <c r="B3" s="30"/>
      <c r="C3" s="30"/>
      <c r="D3" s="30"/>
      <c r="E3" s="30"/>
    </row>
    <row r="4" spans="1:5" x14ac:dyDescent="0.25">
      <c r="A4" s="31" t="s">
        <v>12</v>
      </c>
      <c r="B4" s="31" t="s">
        <v>188</v>
      </c>
      <c r="C4" s="31" t="s">
        <v>179</v>
      </c>
      <c r="D4" s="30"/>
      <c r="E4" s="30"/>
    </row>
    <row r="5" spans="1:5" x14ac:dyDescent="0.25">
      <c r="A5" s="30" t="s">
        <v>38</v>
      </c>
      <c r="B5" s="32">
        <v>0.6</v>
      </c>
      <c r="C5" s="30" t="s">
        <v>189</v>
      </c>
      <c r="D5" s="30"/>
      <c r="E5" s="30"/>
    </row>
    <row r="6" spans="1:5" x14ac:dyDescent="0.25">
      <c r="A6" s="30" t="s">
        <v>31</v>
      </c>
      <c r="B6" s="32">
        <v>1</v>
      </c>
      <c r="C6" s="30" t="s">
        <v>190</v>
      </c>
      <c r="D6" s="30"/>
      <c r="E6" s="30"/>
    </row>
    <row r="7" spans="1:5" x14ac:dyDescent="0.25">
      <c r="A7" s="30" t="s">
        <v>22</v>
      </c>
      <c r="B7" s="32">
        <v>1</v>
      </c>
      <c r="C7" s="30" t="s">
        <v>190</v>
      </c>
      <c r="D7" s="30"/>
      <c r="E7" s="30"/>
    </row>
    <row r="8" spans="1:5" x14ac:dyDescent="0.25">
      <c r="A8" s="30" t="s">
        <v>18</v>
      </c>
      <c r="B8" s="32">
        <v>1</v>
      </c>
      <c r="C8" s="30" t="s">
        <v>190</v>
      </c>
      <c r="D8" s="30"/>
      <c r="E8" s="30"/>
    </row>
    <row r="9" spans="1:5" x14ac:dyDescent="0.25">
      <c r="A9" s="30" t="s">
        <v>34</v>
      </c>
      <c r="B9" s="32">
        <v>0</v>
      </c>
      <c r="C9" s="30" t="s">
        <v>191</v>
      </c>
      <c r="D9" s="30"/>
      <c r="E9" s="30"/>
    </row>
    <row r="10" spans="1:5" x14ac:dyDescent="0.25">
      <c r="A10" s="30"/>
      <c r="B10" s="30"/>
      <c r="C10" s="30"/>
      <c r="D10" s="30"/>
      <c r="E10" s="30"/>
    </row>
    <row r="11" spans="1:5" x14ac:dyDescent="0.25">
      <c r="A11" s="31" t="s">
        <v>192</v>
      </c>
      <c r="B11" s="30"/>
      <c r="C11" s="30"/>
      <c r="D11" s="30"/>
      <c r="E11" s="30"/>
    </row>
    <row r="12" spans="1:5" x14ac:dyDescent="0.25">
      <c r="A12" s="30" t="s">
        <v>193</v>
      </c>
      <c r="B12" s="33">
        <v>0.03</v>
      </c>
      <c r="C12" s="30"/>
      <c r="D12" s="30"/>
      <c r="E12" s="30"/>
    </row>
    <row r="13" spans="1:5" x14ac:dyDescent="0.25">
      <c r="A13" s="30" t="s">
        <v>194</v>
      </c>
      <c r="B13" s="32">
        <v>100</v>
      </c>
      <c r="C13" s="30"/>
      <c r="D13" s="30"/>
      <c r="E13" s="30"/>
    </row>
    <row r="14" spans="1:5" x14ac:dyDescent="0.25">
      <c r="A14" s="30" t="s">
        <v>195</v>
      </c>
      <c r="B14" s="33">
        <v>0.2</v>
      </c>
      <c r="C14" s="30"/>
      <c r="D14" s="30"/>
      <c r="E14" s="30"/>
    </row>
    <row r="15" spans="1:5" x14ac:dyDescent="0.25">
      <c r="A15" s="30" t="s">
        <v>196</v>
      </c>
      <c r="B15" s="32">
        <v>1.1499999999999999</v>
      </c>
      <c r="C15" s="30"/>
      <c r="D15" s="30"/>
      <c r="E15" s="30"/>
    </row>
    <row r="16" spans="1:5" x14ac:dyDescent="0.25">
      <c r="A16" s="30"/>
      <c r="B16" s="30"/>
      <c r="C16" s="30"/>
      <c r="D16" s="30"/>
      <c r="E16" s="30"/>
    </row>
    <row r="17" spans="1:5" x14ac:dyDescent="0.25">
      <c r="A17" s="31" t="s">
        <v>197</v>
      </c>
      <c r="B17" s="30"/>
      <c r="C17" s="30"/>
      <c r="D17" s="30"/>
      <c r="E17" s="30"/>
    </row>
    <row r="18" spans="1:5" x14ac:dyDescent="0.25">
      <c r="A18" s="30" t="s">
        <v>198</v>
      </c>
      <c r="B18" s="32">
        <v>30</v>
      </c>
      <c r="C18" s="30"/>
      <c r="D18" s="30"/>
      <c r="E18" s="30"/>
    </row>
    <row r="19" spans="1:5" x14ac:dyDescent="0.25">
      <c r="A19" s="30" t="s">
        <v>199</v>
      </c>
      <c r="B19" s="32">
        <v>45</v>
      </c>
      <c r="C19" s="30"/>
      <c r="D19" s="30"/>
      <c r="E19" s="30"/>
    </row>
    <row r="20" spans="1:5" x14ac:dyDescent="0.25">
      <c r="A20" s="30" t="s">
        <v>200</v>
      </c>
      <c r="B20" s="32">
        <v>90</v>
      </c>
      <c r="C20" s="30"/>
      <c r="D20" s="30"/>
      <c r="E20" s="30"/>
    </row>
    <row r="21" spans="1:5" x14ac:dyDescent="0.25">
      <c r="A21" s="30" t="s">
        <v>201</v>
      </c>
      <c r="B21" s="32">
        <v>10</v>
      </c>
      <c r="C21" s="30"/>
      <c r="D21" s="30"/>
      <c r="E21" s="30"/>
    </row>
    <row r="22" spans="1:5" x14ac:dyDescent="0.25">
      <c r="A22" s="30" t="s">
        <v>202</v>
      </c>
      <c r="B22" s="32">
        <v>18</v>
      </c>
      <c r="C22" s="30"/>
      <c r="D22" s="30"/>
      <c r="E22" s="30"/>
    </row>
    <row r="23" spans="1:5" x14ac:dyDescent="0.25">
      <c r="A23" s="30" t="s">
        <v>203</v>
      </c>
      <c r="B23" s="32">
        <v>14</v>
      </c>
      <c r="C23" s="30"/>
      <c r="D23" s="30"/>
      <c r="E23" s="30"/>
    </row>
    <row r="24" spans="1:5" x14ac:dyDescent="0.25">
      <c r="A24" s="30" t="s">
        <v>204</v>
      </c>
      <c r="B24" s="32">
        <v>45</v>
      </c>
      <c r="C24" s="30"/>
      <c r="D24" s="30"/>
      <c r="E24" s="30"/>
    </row>
    <row r="25" spans="1:5" x14ac:dyDescent="0.25">
      <c r="A25" s="30" t="s">
        <v>205</v>
      </c>
      <c r="B25" s="32">
        <v>60</v>
      </c>
      <c r="C25" s="30"/>
      <c r="D25" s="30"/>
      <c r="E25" s="30"/>
    </row>
    <row r="26" spans="1:5" x14ac:dyDescent="0.25">
      <c r="A26" s="30" t="s">
        <v>206</v>
      </c>
      <c r="B26" s="32">
        <v>15</v>
      </c>
      <c r="C26" s="30"/>
      <c r="D26" s="30"/>
      <c r="E26" s="30"/>
    </row>
    <row r="27" spans="1:5" x14ac:dyDescent="0.25">
      <c r="A27" s="30" t="s">
        <v>207</v>
      </c>
      <c r="B27" s="32">
        <v>15</v>
      </c>
      <c r="C27" s="30"/>
      <c r="D27" s="30"/>
      <c r="E27" s="30"/>
    </row>
    <row r="28" spans="1:5" x14ac:dyDescent="0.25">
      <c r="A28" s="30" t="s">
        <v>208</v>
      </c>
      <c r="B28" s="32">
        <v>10</v>
      </c>
      <c r="C28" s="30"/>
      <c r="D28" s="30"/>
      <c r="E28" s="30"/>
    </row>
    <row r="29" spans="1:5" x14ac:dyDescent="0.25">
      <c r="A29" s="30" t="s">
        <v>209</v>
      </c>
      <c r="B29" s="32">
        <v>12</v>
      </c>
      <c r="C29" s="30"/>
      <c r="D29" s="30"/>
      <c r="E29" s="30"/>
    </row>
    <row r="30" spans="1:5" x14ac:dyDescent="0.25">
      <c r="A30" s="30" t="s">
        <v>210</v>
      </c>
      <c r="B30" s="32">
        <v>90</v>
      </c>
      <c r="C30" s="30"/>
      <c r="D30" s="30"/>
      <c r="E30" s="30"/>
    </row>
    <row r="31" spans="1:5" x14ac:dyDescent="0.25">
      <c r="A31" s="30" t="s">
        <v>211</v>
      </c>
      <c r="B31" s="32">
        <v>4</v>
      </c>
      <c r="C31" s="30"/>
      <c r="D31" s="30"/>
      <c r="E31" s="30"/>
    </row>
    <row r="32" spans="1:5" x14ac:dyDescent="0.25">
      <c r="A32" s="30" t="s">
        <v>212</v>
      </c>
      <c r="B32" s="32">
        <v>45</v>
      </c>
      <c r="C32" s="30"/>
      <c r="D32" s="30"/>
      <c r="E32" s="30"/>
    </row>
    <row r="33" spans="1:5" x14ac:dyDescent="0.25">
      <c r="A33" s="30" t="s">
        <v>213</v>
      </c>
      <c r="B33" s="32">
        <v>5</v>
      </c>
      <c r="C33" s="30"/>
      <c r="D33" s="30"/>
      <c r="E33" s="30"/>
    </row>
    <row r="34" spans="1:5" x14ac:dyDescent="0.25">
      <c r="A34" s="30"/>
      <c r="B34" s="30"/>
      <c r="C34" s="30"/>
      <c r="D34" s="30"/>
      <c r="E34" s="30"/>
    </row>
    <row r="35" spans="1:5" x14ac:dyDescent="0.25">
      <c r="A35" s="31" t="s">
        <v>214</v>
      </c>
      <c r="B35" s="30"/>
      <c r="C35" s="30"/>
      <c r="D35" s="30"/>
      <c r="E35" s="30"/>
    </row>
    <row r="36" spans="1:5" x14ac:dyDescent="0.25">
      <c r="A36" s="30" t="s">
        <v>215</v>
      </c>
      <c r="B36" s="34" t="s">
        <v>216</v>
      </c>
      <c r="C36" s="30"/>
      <c r="D36" s="30"/>
      <c r="E36" s="30"/>
    </row>
    <row r="37" spans="1:5" x14ac:dyDescent="0.25">
      <c r="A37" s="31" t="s">
        <v>217</v>
      </c>
      <c r="B37" s="31" t="s">
        <v>218</v>
      </c>
      <c r="C37" s="31" t="s">
        <v>219</v>
      </c>
      <c r="D37" s="31" t="s">
        <v>220</v>
      </c>
      <c r="E37" s="31" t="s">
        <v>221</v>
      </c>
    </row>
    <row r="38" spans="1:5" x14ac:dyDescent="0.25">
      <c r="A38" s="30" t="s">
        <v>222</v>
      </c>
      <c r="B38" s="34" t="s">
        <v>223</v>
      </c>
      <c r="C38" s="30">
        <f>DATEDIF(B38,Kurallar!$B$36,"m")</f>
        <v>0</v>
      </c>
      <c r="D38" s="30" t="str">
        <f t="shared" ref="D38:D48" si="0">IF(C38&gt;18,"ЗАПРЕЩЕНО",IF(C38&gt;12,"ПРЕДУПРЕЖДЕНИЕ","ОК"))</f>
        <v>ОК</v>
      </c>
      <c r="E38" s="30" t="s">
        <v>224</v>
      </c>
    </row>
    <row r="39" spans="1:5" x14ac:dyDescent="0.25">
      <c r="A39" s="30" t="s">
        <v>225</v>
      </c>
      <c r="B39" s="34" t="s">
        <v>226</v>
      </c>
      <c r="C39" s="30">
        <f>DATEDIF(B39,Kurallar!$B$36,"m")</f>
        <v>13</v>
      </c>
      <c r="D39" s="30" t="str">
        <f t="shared" si="0"/>
        <v>ПРЕДУПРЕЖДЕНИЕ</v>
      </c>
      <c r="E39" s="30" t="s">
        <v>224</v>
      </c>
    </row>
    <row r="40" spans="1:5" x14ac:dyDescent="0.25">
      <c r="A40" s="30" t="s">
        <v>227</v>
      </c>
      <c r="B40" s="34" t="s">
        <v>228</v>
      </c>
      <c r="C40" s="30">
        <f>DATEDIF(B40,Kurallar!$B$36,"m")</f>
        <v>7</v>
      </c>
      <c r="D40" s="30" t="str">
        <f t="shared" si="0"/>
        <v>ОК</v>
      </c>
      <c r="E40" s="30" t="s">
        <v>229</v>
      </c>
    </row>
    <row r="41" spans="1:5" x14ac:dyDescent="0.25">
      <c r="A41" s="30" t="s">
        <v>230</v>
      </c>
      <c r="B41" s="34" t="s">
        <v>231</v>
      </c>
      <c r="C41" s="30">
        <f>DATEDIF(B41,Kurallar!$B$36,"m")</f>
        <v>17</v>
      </c>
      <c r="D41" s="30" t="str">
        <f t="shared" si="0"/>
        <v>ПРЕДУПРЕЖДЕНИЕ</v>
      </c>
      <c r="E41" s="30" t="s">
        <v>229</v>
      </c>
    </row>
    <row r="42" spans="1:5" x14ac:dyDescent="0.25">
      <c r="A42" s="30" t="s">
        <v>232</v>
      </c>
      <c r="B42" s="34" t="s">
        <v>233</v>
      </c>
      <c r="C42" s="30">
        <f>DATEDIF(B42,Kurallar!$B$36,"m")</f>
        <v>10</v>
      </c>
      <c r="D42" s="30" t="str">
        <f t="shared" si="0"/>
        <v>ОК</v>
      </c>
      <c r="E42" s="30" t="s">
        <v>229</v>
      </c>
    </row>
    <row r="43" spans="1:5" x14ac:dyDescent="0.25">
      <c r="A43" s="30" t="s">
        <v>234</v>
      </c>
      <c r="B43" s="34" t="s">
        <v>235</v>
      </c>
      <c r="C43" s="30">
        <f>DATEDIF(B43,Kurallar!$B$36,"m")</f>
        <v>9</v>
      </c>
      <c r="D43" s="30" t="str">
        <f t="shared" si="0"/>
        <v>ОК</v>
      </c>
      <c r="E43" s="30" t="s">
        <v>229</v>
      </c>
    </row>
    <row r="44" spans="1:5" x14ac:dyDescent="0.25">
      <c r="A44" s="30" t="s">
        <v>236</v>
      </c>
      <c r="B44" s="34" t="s">
        <v>237</v>
      </c>
      <c r="C44" s="30">
        <f>DATEDIF(B44,Kurallar!$B$36,"m")</f>
        <v>13</v>
      </c>
      <c r="D44" s="30" t="str">
        <f t="shared" si="0"/>
        <v>ПРЕДУПРЕЖДЕНИЕ</v>
      </c>
      <c r="E44" s="30" t="s">
        <v>229</v>
      </c>
    </row>
    <row r="45" spans="1:5" x14ac:dyDescent="0.25">
      <c r="A45" s="30" t="s">
        <v>238</v>
      </c>
      <c r="B45" s="34" t="s">
        <v>239</v>
      </c>
      <c r="C45" s="30">
        <f>DATEDIF(B45,Kurallar!$B$36,"m")</f>
        <v>45</v>
      </c>
      <c r="D45" s="30" t="str">
        <f t="shared" si="0"/>
        <v>ЗАПРЕЩЕНО</v>
      </c>
      <c r="E45" s="30" t="s">
        <v>229</v>
      </c>
    </row>
    <row r="46" spans="1:5" x14ac:dyDescent="0.25">
      <c r="A46" s="30" t="s">
        <v>240</v>
      </c>
      <c r="B46" s="34" t="s">
        <v>241</v>
      </c>
      <c r="C46" s="30">
        <f>DATEDIF(B46,Kurallar!$B$36,"m")</f>
        <v>49</v>
      </c>
      <c r="D46" s="30" t="str">
        <f t="shared" si="0"/>
        <v>ЗАПРЕЩЕНО</v>
      </c>
      <c r="E46" s="30" t="s">
        <v>229</v>
      </c>
    </row>
    <row r="47" spans="1:5" x14ac:dyDescent="0.25">
      <c r="A47" s="30" t="s">
        <v>242</v>
      </c>
      <c r="B47" s="34" t="s">
        <v>243</v>
      </c>
      <c r="C47" s="30">
        <f>DATEDIF(B47,Kurallar!$B$36,"m")</f>
        <v>53</v>
      </c>
      <c r="D47" s="30" t="str">
        <f t="shared" si="0"/>
        <v>ЗАПРЕЩЕНО</v>
      </c>
      <c r="E47" s="30" t="s">
        <v>229</v>
      </c>
    </row>
    <row r="48" spans="1:5" x14ac:dyDescent="0.25">
      <c r="A48" s="30" t="s">
        <v>244</v>
      </c>
      <c r="B48" s="34" t="s">
        <v>245</v>
      </c>
      <c r="C48" s="30">
        <f>DATEDIF(B48,Kurallar!$B$36,"m")</f>
        <v>16</v>
      </c>
      <c r="D48" s="30" t="str">
        <f t="shared" si="0"/>
        <v>ПРЕДУПРЕЖДЕНИЕ</v>
      </c>
      <c r="E48" s="30" t="s">
        <v>229</v>
      </c>
    </row>
    <row r="49" spans="1:5" x14ac:dyDescent="0.25">
      <c r="A49" s="30"/>
      <c r="B49" s="30"/>
      <c r="C49" s="30"/>
      <c r="D49" s="30"/>
      <c r="E49" s="30"/>
    </row>
    <row r="50" spans="1:5" x14ac:dyDescent="0.25">
      <c r="A50" s="30"/>
      <c r="B50" s="30"/>
      <c r="C50" s="30"/>
      <c r="D50" s="30"/>
      <c r="E50" s="30"/>
    </row>
    <row r="51" spans="1:5" ht="15.75" x14ac:dyDescent="0.25">
      <c r="A51" s="35" t="s">
        <v>246</v>
      </c>
      <c r="B51" s="30"/>
      <c r="C51" s="30"/>
      <c r="D51" s="30"/>
      <c r="E51" s="30"/>
    </row>
    <row r="52" spans="1:5" ht="25.5" x14ac:dyDescent="0.25">
      <c r="A52" s="36" t="s">
        <v>247</v>
      </c>
      <c r="B52" s="30"/>
      <c r="C52" s="30"/>
      <c r="D52" s="30"/>
      <c r="E52" s="30"/>
    </row>
    <row r="53" spans="1:5" ht="25.5" x14ac:dyDescent="0.25">
      <c r="A53" s="36" t="s">
        <v>248</v>
      </c>
      <c r="B53" s="30"/>
      <c r="C53" s="30"/>
      <c r="D53" s="30"/>
      <c r="E53" s="30"/>
    </row>
    <row r="54" spans="1:5" ht="25.5" x14ac:dyDescent="0.25">
      <c r="A54" s="36" t="s">
        <v>249</v>
      </c>
      <c r="B54" s="30"/>
      <c r="C54" s="30"/>
      <c r="D54" s="30"/>
      <c r="E54" s="30"/>
    </row>
    <row r="55" spans="1:5" x14ac:dyDescent="0.25">
      <c r="A55" s="36" t="s">
        <v>250</v>
      </c>
      <c r="B55" s="30"/>
      <c r="C55" s="30"/>
      <c r="D55" s="30"/>
      <c r="E55" s="30"/>
    </row>
    <row r="56" spans="1:5" x14ac:dyDescent="0.25">
      <c r="A56" s="36" t="s">
        <v>251</v>
      </c>
      <c r="B56" s="30"/>
      <c r="C56" s="30"/>
      <c r="D56" s="30"/>
      <c r="E56" s="30"/>
    </row>
    <row r="57" spans="1:5" x14ac:dyDescent="0.25">
      <c r="A57" s="36" t="s">
        <v>252</v>
      </c>
      <c r="B57" s="30"/>
      <c r="C57" s="30"/>
      <c r="D57" s="30"/>
      <c r="E57" s="30"/>
    </row>
    <row r="58" spans="1:5" x14ac:dyDescent="0.25">
      <c r="A58" s="36" t="s">
        <v>253</v>
      </c>
      <c r="B58" s="30"/>
      <c r="C58" s="30"/>
      <c r="D58" s="30"/>
      <c r="E58" s="30"/>
    </row>
    <row r="59" spans="1:5" x14ac:dyDescent="0.25">
      <c r="A59" s="36" t="s">
        <v>254</v>
      </c>
      <c r="B59" s="30"/>
      <c r="C59" s="30"/>
      <c r="D59" s="30"/>
      <c r="E59" s="30"/>
    </row>
    <row r="60" spans="1:5" x14ac:dyDescent="0.25">
      <c r="A60" s="36" t="s">
        <v>255</v>
      </c>
      <c r="B60" s="30"/>
      <c r="C60" s="30"/>
      <c r="D60" s="30"/>
      <c r="E60" s="30"/>
    </row>
    <row r="61" spans="1:5" x14ac:dyDescent="0.25">
      <c r="A61" s="36" t="s">
        <v>256</v>
      </c>
      <c r="B61" s="30"/>
      <c r="C61" s="30"/>
      <c r="D61" s="30"/>
      <c r="E61" s="30"/>
    </row>
    <row r="62" spans="1:5" ht="38.25" x14ac:dyDescent="0.25">
      <c r="A62" s="36" t="s">
        <v>257</v>
      </c>
      <c r="B62" s="30"/>
      <c r="C62" s="30"/>
      <c r="D62" s="30"/>
      <c r="E62" s="30"/>
    </row>
    <row r="63" spans="1:5" ht="25.5" x14ac:dyDescent="0.25">
      <c r="A63" s="36" t="s">
        <v>258</v>
      </c>
      <c r="B63" s="30"/>
      <c r="C63" s="30"/>
      <c r="D63" s="30"/>
      <c r="E63" s="30"/>
    </row>
    <row r="64" spans="1:5" ht="25.5" x14ac:dyDescent="0.25">
      <c r="A64" s="36" t="s">
        <v>259</v>
      </c>
      <c r="B64" s="30"/>
      <c r="C64" s="30"/>
      <c r="D64" s="30"/>
      <c r="E64" s="30"/>
    </row>
    <row r="65" spans="1:5" x14ac:dyDescent="0.25">
      <c r="A65" s="36" t="s">
        <v>260</v>
      </c>
      <c r="B65" s="30"/>
      <c r="C65" s="30"/>
      <c r="D65" s="30"/>
      <c r="E65" s="30"/>
    </row>
    <row r="66" spans="1:5" ht="25.5" x14ac:dyDescent="0.25">
      <c r="A66" s="36" t="s">
        <v>261</v>
      </c>
      <c r="B66" s="30"/>
      <c r="C66" s="30"/>
      <c r="D66" s="30"/>
      <c r="E66" s="30"/>
    </row>
    <row r="67" spans="1:5" x14ac:dyDescent="0.25">
      <c r="A67" s="36" t="s">
        <v>262</v>
      </c>
      <c r="B67" s="30"/>
      <c r="C67" s="30"/>
      <c r="D67" s="30"/>
      <c r="E67" s="30"/>
    </row>
    <row r="68" spans="1:5" x14ac:dyDescent="0.25">
      <c r="A68" s="36" t="s">
        <v>263</v>
      </c>
      <c r="B68" s="30"/>
      <c r="C68" s="30"/>
      <c r="D68" s="30"/>
      <c r="E68" s="30"/>
    </row>
    <row r="69" spans="1:5" ht="25.5" x14ac:dyDescent="0.25">
      <c r="A69" s="36" t="s">
        <v>264</v>
      </c>
      <c r="B69" s="30"/>
      <c r="C69" s="30"/>
      <c r="D69" s="30"/>
      <c r="E69" s="30"/>
    </row>
    <row r="70" spans="1:5" ht="25.5" x14ac:dyDescent="0.25">
      <c r="A70" s="36" t="s">
        <v>265</v>
      </c>
      <c r="B70" s="30"/>
      <c r="C70" s="30"/>
      <c r="D70" s="30"/>
      <c r="E70" s="30"/>
    </row>
    <row r="71" spans="1:5" x14ac:dyDescent="0.25">
      <c r="A71" s="36" t="s">
        <v>266</v>
      </c>
      <c r="B71" s="30"/>
      <c r="C71" s="30"/>
      <c r="D71" s="30"/>
      <c r="E71" s="30"/>
    </row>
    <row r="72" spans="1:5" x14ac:dyDescent="0.25">
      <c r="A72" s="30"/>
      <c r="B72" s="30"/>
      <c r="C72" s="30"/>
      <c r="D72" s="30"/>
      <c r="E72" s="3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2026-08-03T10:37:48Z</dcterms:created>
  <dcterms:modified xsi:type="dcterms:W3CDTF">2026-08-03T13:20:51Z</dcterms:modified>
  <dc:language>en-US</dc:language>
</cp:coreProperties>
</file>