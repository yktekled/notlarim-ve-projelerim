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624 aktilek saha guc dagitim panosu\"/>
    </mc:Choice>
  </mc:AlternateContent>
  <xr:revisionPtr revIDLastSave="0" documentId="13_ncr:1_{DBF0737D-2288-4370-B2F5-CA4C63757DF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1" sheetId="3" r:id="rId1"/>
  </sheets>
  <definedNames>
    <definedName name="_xlnm._FilterDatabase" localSheetId="0" hidden="1">'1'!$A$1:$K$15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3" l="1"/>
  <c r="G10" i="3"/>
  <c r="H10" i="3" s="1"/>
  <c r="G11" i="3"/>
  <c r="H11" i="3" s="1"/>
  <c r="G9" i="3"/>
  <c r="H9" i="3" s="1"/>
  <c r="G3" i="3"/>
  <c r="H3" i="3" s="1"/>
  <c r="B2" i="3"/>
  <c r="B3" i="3" s="1"/>
  <c r="B4" i="3" s="1"/>
  <c r="B5" i="3" s="1"/>
  <c r="B6" i="3" s="1"/>
  <c r="B7" i="3" s="1"/>
  <c r="B8" i="3" s="1"/>
  <c r="B12" i="3" s="1"/>
  <c r="B13" i="3" s="1"/>
  <c r="B14" i="3" s="1"/>
  <c r="H14" i="3"/>
  <c r="G13" i="3"/>
  <c r="H13" i="3" s="1"/>
  <c r="H15" i="3" s="1"/>
  <c r="F2" i="3" s="1"/>
  <c r="G5" i="3"/>
  <c r="H5" i="3" s="1"/>
  <c r="G6" i="3"/>
  <c r="H6" i="3" s="1"/>
  <c r="G7" i="3"/>
  <c r="H7" i="3" s="1"/>
  <c r="G8" i="3"/>
  <c r="H8" i="3" s="1"/>
  <c r="H12" i="3"/>
  <c r="G4" i="3"/>
  <c r="H4" i="3" s="1"/>
  <c r="B9" i="3" l="1"/>
  <c r="B10" i="3" s="1"/>
  <c r="B11" i="3" s="1"/>
</calcChain>
</file>

<file path=xl/sharedStrings.xml><?xml version="1.0" encoding="utf-8"?>
<sst xmlns="http://schemas.openxmlformats.org/spreadsheetml/2006/main" count="73" uniqueCount="44">
  <si>
    <t>malzeme</t>
  </si>
  <si>
    <t>Артикул</t>
  </si>
  <si>
    <t>Наименование</t>
  </si>
  <si>
    <t>Цена,тг</t>
  </si>
  <si>
    <t>Ед.изм</t>
  </si>
  <si>
    <t>СУММ.</t>
  </si>
  <si>
    <t>комплект</t>
  </si>
  <si>
    <t>korpus</t>
  </si>
  <si>
    <t>монтажный материал</t>
  </si>
  <si>
    <t>монтажная работа</t>
  </si>
  <si>
    <t>oto</t>
  </si>
  <si>
    <t>шт.</t>
  </si>
  <si>
    <t>lamb</t>
  </si>
  <si>
    <t>количество</t>
  </si>
  <si>
    <t>Наименование1</t>
  </si>
  <si>
    <t>завод  из готовитель</t>
  </si>
  <si>
    <t>chint</t>
  </si>
  <si>
    <t>TEKSAN</t>
  </si>
  <si>
    <t>teksan f</t>
  </si>
  <si>
    <t>pys</t>
  </si>
  <si>
    <t>sira no</t>
  </si>
  <si>
    <t>844363</t>
  </si>
  <si>
    <t>Авт. выкл. NXM-400S/3Р 320A 50кА (R)</t>
  </si>
  <si>
    <t>mccb</t>
  </si>
  <si>
    <t>Toplam ВРУ 2</t>
  </si>
  <si>
    <t>1600*400+800*700+40cm ayak</t>
  </si>
  <si>
    <t>615-36315</t>
  </si>
  <si>
    <t>Авт. Выкл. VME6  1600А 3Р  70кA SN2 (VIKO)</t>
  </si>
  <si>
    <t>viko</t>
  </si>
  <si>
    <t>615-36235</t>
  </si>
  <si>
    <t>Avt. vykl. VMF3  250А 3Р 35кA (VIKO)8sht</t>
  </si>
  <si>
    <t>613-36334</t>
  </si>
  <si>
    <t>6VTB-3C32  Автомат 3P 32A (VIKO)</t>
  </si>
  <si>
    <t>613-36328</t>
  </si>
  <si>
    <t>6VTB-3C25  Автомат 3P 25A  6KA VIKO</t>
  </si>
  <si>
    <t>bara</t>
  </si>
  <si>
    <t>Шина медн 10*80*4000</t>
  </si>
  <si>
    <t>M.</t>
  </si>
  <si>
    <t>m1,10,80</t>
  </si>
  <si>
    <t>Шина медн 3*30*4000</t>
  </si>
  <si>
    <t>m1,3,30</t>
  </si>
  <si>
    <t>Шина медн 3*20*4000</t>
  </si>
  <si>
    <t>m1,3,20</t>
  </si>
  <si>
    <t>ВРУ 2 (260702 ADP AKTB)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</si>
</sst>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_-* #,##0_-;\-* #,##0_-;_-* \-??_-;_-@_-"/>
  </numFmts>
  <fonts count="14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charset val="204"/>
      <scheme val="minor"/>
    </font>
    <font>
      <sz val="9"/>
      <name val="Tahoma"/>
      <family val="2"/>
      <charset val="204"/>
    </font>
    <font>
      <b/>
      <sz val="9"/>
      <name val="Calibri"/>
      <family val="2"/>
      <charset val="204"/>
    </font>
    <font>
      <sz val="8"/>
      <name val="Calibri"/>
      <family val="2"/>
      <charset val="1"/>
    </font>
    <font>
      <b/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8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6" fillId="0" borderId="0"/>
  </cellStyleXfs>
  <cellXfs count="20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7" fillId="2" borderId="1" xfId="1" applyNumberFormat="1" applyFont="1" applyFill="1" applyBorder="1" applyAlignment="1" applyProtection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65" fontId="7" fillId="6" borderId="1" xfId="1" applyNumberFormat="1" applyFont="1" applyFill="1" applyBorder="1" applyAlignment="1" applyProtection="1">
      <alignment horizontal="center" vertical="center" wrapText="1"/>
    </xf>
    <xf numFmtId="0" fontId="7" fillId="6" borderId="1" xfId="1" applyNumberFormat="1" applyFont="1" applyFill="1" applyBorder="1" applyAlignment="1" applyProtection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1" fontId="9" fillId="0" borderId="1" xfId="0" quotePrefix="1" applyNumberFormat="1" applyFont="1" applyBorder="1" applyAlignment="1">
      <alignment horizontal="center" vertical="center"/>
    </xf>
    <xf numFmtId="165" fontId="11" fillId="4" borderId="1" xfId="1" applyNumberFormat="1" applyFont="1" applyFill="1" applyBorder="1" applyAlignment="1" applyProtection="1">
      <alignment horizontal="center" vertical="center" wrapText="1"/>
    </xf>
    <xf numFmtId="0" fontId="9" fillId="0" borderId="1" xfId="0" quotePrefix="1" applyFont="1" applyBorder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3" fontId="7" fillId="6" borderId="1" xfId="1" applyNumberFormat="1" applyFont="1" applyFill="1" applyBorder="1" applyAlignment="1" applyProtection="1">
      <alignment horizontal="center" vertical="center"/>
    </xf>
    <xf numFmtId="0" fontId="7" fillId="6" borderId="1" xfId="1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wrapText="1"/>
    </xf>
    <xf numFmtId="3" fontId="10" fillId="0" borderId="3" xfId="0" applyNumberFormat="1" applyFont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165" fontId="13" fillId="4" borderId="1" xfId="1" applyNumberFormat="1" applyFont="1" applyFill="1" applyBorder="1" applyAlignment="1" applyProtection="1">
      <alignment horizontal="center" vertical="center"/>
    </xf>
  </cellXfs>
  <cellStyles count="8">
    <cellStyle name="Normal" xfId="0" builtinId="0"/>
    <cellStyle name="Normal 10 2" xfId="7" xr:uid="{216CBB1D-21B2-4D7D-873C-FB1CE12D25A2}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3" xfId="5" xr:uid="{CD09FCFD-EFD6-4824-A0CB-AF049C27D85C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0C445-D28C-4E55-8149-96BA8DFBC99C}">
  <dimension ref="A1:K17"/>
  <sheetViews>
    <sheetView tabSelected="1" zoomScaleNormal="100" workbookViewId="0">
      <pane ySplit="1" topLeftCell="A2" activePane="bottomLeft" state="frozen"/>
      <selection pane="bottomLeft" activeCell="E8" sqref="E8"/>
    </sheetView>
  </sheetViews>
  <sheetFormatPr defaultRowHeight="30" customHeight="1" x14ac:dyDescent="0.25"/>
  <cols>
    <col min="2" max="2" width="42" customWidth="1"/>
    <col min="5" max="5" width="77.28515625" customWidth="1"/>
    <col min="8" max="8" width="14.42578125" customWidth="1"/>
    <col min="11" max="11" width="14.42578125" customWidth="1"/>
  </cols>
  <sheetData>
    <row r="1" spans="1:11" s="16" customFormat="1" ht="72" customHeight="1" x14ac:dyDescent="0.25">
      <c r="A1" s="1" t="s">
        <v>20</v>
      </c>
      <c r="B1" s="1" t="s">
        <v>14</v>
      </c>
      <c r="C1" s="1" t="s">
        <v>0</v>
      </c>
      <c r="D1" s="1" t="s">
        <v>1</v>
      </c>
      <c r="E1" s="1" t="s">
        <v>2</v>
      </c>
      <c r="F1" s="13" t="s">
        <v>3</v>
      </c>
      <c r="G1" s="13" t="s">
        <v>3</v>
      </c>
      <c r="H1" s="13" t="s">
        <v>5</v>
      </c>
      <c r="I1" s="2" t="s">
        <v>13</v>
      </c>
      <c r="J1" s="2" t="s">
        <v>4</v>
      </c>
      <c r="K1" s="2" t="s">
        <v>15</v>
      </c>
    </row>
    <row r="2" spans="1:11" ht="30" customHeight="1" x14ac:dyDescent="0.25">
      <c r="A2" s="3">
        <v>1</v>
      </c>
      <c r="B2" s="4" t="str">
        <f>E2</f>
        <v>ВРУ 2 (260702 ADP AKTB)</v>
      </c>
      <c r="C2" s="3"/>
      <c r="D2" s="15"/>
      <c r="E2" s="3" t="s">
        <v>43</v>
      </c>
      <c r="F2" s="14">
        <f>2.3*H15</f>
        <v>3921500.4599999995</v>
      </c>
      <c r="G2" s="14"/>
      <c r="H2" s="14"/>
      <c r="I2" s="6">
        <v>1</v>
      </c>
      <c r="J2" s="5" t="s">
        <v>6</v>
      </c>
      <c r="K2" s="5" t="s">
        <v>17</v>
      </c>
    </row>
    <row r="3" spans="1:11" ht="30" customHeight="1" x14ac:dyDescent="0.25">
      <c r="A3" s="7">
        <v>2</v>
      </c>
      <c r="B3" s="7" t="str">
        <f>B2</f>
        <v>ВРУ 2 (260702 ADP AKTB)</v>
      </c>
      <c r="C3" s="8" t="s">
        <v>7</v>
      </c>
      <c r="D3" s="8"/>
      <c r="E3" s="9" t="s">
        <v>25</v>
      </c>
      <c r="F3" s="12">
        <v>340000</v>
      </c>
      <c r="G3" s="12">
        <f>0.6*F3</f>
        <v>204000</v>
      </c>
      <c r="H3" s="12">
        <f>G3*I3</f>
        <v>204000</v>
      </c>
      <c r="I3" s="8">
        <v>1</v>
      </c>
      <c r="J3" s="10" t="s">
        <v>11</v>
      </c>
      <c r="K3" s="10" t="s">
        <v>18</v>
      </c>
    </row>
    <row r="4" spans="1:11" ht="30" customHeight="1" x14ac:dyDescent="0.25">
      <c r="A4" s="7">
        <v>3</v>
      </c>
      <c r="B4" s="7" t="str">
        <f t="shared" ref="B4:B14" si="0">B3</f>
        <v>ВРУ 2 (260702 ADP AKTB)</v>
      </c>
      <c r="C4" s="8" t="s">
        <v>23</v>
      </c>
      <c r="D4" s="8" t="s">
        <v>26</v>
      </c>
      <c r="E4" s="9" t="s">
        <v>27</v>
      </c>
      <c r="F4" s="12">
        <v>381030</v>
      </c>
      <c r="G4" s="12">
        <f>F4*0.6</f>
        <v>228618</v>
      </c>
      <c r="H4" s="12">
        <f>G4*I4</f>
        <v>228618</v>
      </c>
      <c r="I4" s="8">
        <v>1</v>
      </c>
      <c r="J4" s="10" t="s">
        <v>11</v>
      </c>
      <c r="K4" s="10" t="s">
        <v>28</v>
      </c>
    </row>
    <row r="5" spans="1:11" ht="30" customHeight="1" x14ac:dyDescent="0.25">
      <c r="A5" s="7">
        <v>4</v>
      </c>
      <c r="B5" s="7" t="str">
        <f t="shared" si="0"/>
        <v>ВРУ 2 (260702 ADP AKTB)</v>
      </c>
      <c r="C5" s="8" t="s">
        <v>23</v>
      </c>
      <c r="D5" s="8" t="s">
        <v>21</v>
      </c>
      <c r="E5" s="9" t="s">
        <v>22</v>
      </c>
      <c r="F5" s="12">
        <v>73736</v>
      </c>
      <c r="G5" s="12">
        <f t="shared" ref="G5:G12" si="1">F5*0.6</f>
        <v>44241.599999999999</v>
      </c>
      <c r="H5" s="12">
        <f t="shared" ref="H5:H13" si="2">G5*I5</f>
        <v>88483.199999999997</v>
      </c>
      <c r="I5" s="8">
        <v>2</v>
      </c>
      <c r="J5" s="10" t="s">
        <v>11</v>
      </c>
      <c r="K5" s="10" t="s">
        <v>16</v>
      </c>
    </row>
    <row r="6" spans="1:11" ht="30" customHeight="1" x14ac:dyDescent="0.25">
      <c r="A6" s="7">
        <v>5</v>
      </c>
      <c r="B6" s="7" t="str">
        <f t="shared" si="0"/>
        <v>ВРУ 2 (260702 ADP AKTB)</v>
      </c>
      <c r="C6" s="8" t="s">
        <v>23</v>
      </c>
      <c r="D6" s="8" t="s">
        <v>29</v>
      </c>
      <c r="E6" s="11" t="s">
        <v>30</v>
      </c>
      <c r="F6" s="12">
        <v>31535</v>
      </c>
      <c r="G6" s="12">
        <f t="shared" si="1"/>
        <v>18921</v>
      </c>
      <c r="H6" s="12">
        <f t="shared" si="2"/>
        <v>75684</v>
      </c>
      <c r="I6" s="8">
        <v>4</v>
      </c>
      <c r="J6" s="10" t="s">
        <v>11</v>
      </c>
      <c r="K6" s="10" t="s">
        <v>28</v>
      </c>
    </row>
    <row r="7" spans="1:11" ht="30" customHeight="1" x14ac:dyDescent="0.25">
      <c r="A7" s="7">
        <v>6</v>
      </c>
      <c r="B7" s="7" t="str">
        <f t="shared" si="0"/>
        <v>ВРУ 2 (260702 ADP AKTB)</v>
      </c>
      <c r="C7" s="8" t="s">
        <v>10</v>
      </c>
      <c r="D7" s="8" t="s">
        <v>31</v>
      </c>
      <c r="E7" s="9" t="s">
        <v>32</v>
      </c>
      <c r="F7" s="12">
        <v>6410</v>
      </c>
      <c r="G7" s="12">
        <f t="shared" si="1"/>
        <v>3846</v>
      </c>
      <c r="H7" s="12">
        <f t="shared" si="2"/>
        <v>7692</v>
      </c>
      <c r="I7" s="8">
        <v>2</v>
      </c>
      <c r="J7" s="10" t="s">
        <v>11</v>
      </c>
      <c r="K7" s="10" t="s">
        <v>28</v>
      </c>
    </row>
    <row r="8" spans="1:11" ht="30" customHeight="1" x14ac:dyDescent="0.25">
      <c r="A8" s="7">
        <v>7</v>
      </c>
      <c r="B8" s="7" t="str">
        <f t="shared" si="0"/>
        <v>ВРУ 2 (260702 ADP AKTB)</v>
      </c>
      <c r="C8" s="8" t="s">
        <v>10</v>
      </c>
      <c r="D8" s="8" t="s">
        <v>33</v>
      </c>
      <c r="E8" s="9" t="s">
        <v>34</v>
      </c>
      <c r="F8" s="12">
        <v>6815</v>
      </c>
      <c r="G8" s="12">
        <f t="shared" si="1"/>
        <v>4089</v>
      </c>
      <c r="H8" s="12">
        <f t="shared" si="2"/>
        <v>8178</v>
      </c>
      <c r="I8" s="8">
        <v>2</v>
      </c>
      <c r="J8" s="10" t="s">
        <v>11</v>
      </c>
      <c r="K8" s="10" t="s">
        <v>28</v>
      </c>
    </row>
    <row r="9" spans="1:11" ht="30" customHeight="1" x14ac:dyDescent="0.25">
      <c r="A9" s="7">
        <v>7</v>
      </c>
      <c r="B9" s="7" t="str">
        <f t="shared" si="0"/>
        <v>ВРУ 2 (260702 ADP AKTB)</v>
      </c>
      <c r="C9" s="8" t="s">
        <v>35</v>
      </c>
      <c r="D9" s="8" t="s">
        <v>38</v>
      </c>
      <c r="E9" s="9" t="s">
        <v>36</v>
      </c>
      <c r="F9" s="12">
        <v>74550</v>
      </c>
      <c r="G9" s="12">
        <f>F9</f>
        <v>74550</v>
      </c>
      <c r="H9" s="12">
        <f t="shared" ref="H9:H11" si="3">G9*I9</f>
        <v>820050</v>
      </c>
      <c r="I9" s="8">
        <v>11</v>
      </c>
      <c r="J9" s="10" t="s">
        <v>37</v>
      </c>
      <c r="K9" s="10" t="s">
        <v>19</v>
      </c>
    </row>
    <row r="10" spans="1:11" ht="30" customHeight="1" x14ac:dyDescent="0.25">
      <c r="A10" s="7">
        <v>7</v>
      </c>
      <c r="B10" s="7" t="str">
        <f t="shared" si="0"/>
        <v>ВРУ 2 (260702 ADP AKTB)</v>
      </c>
      <c r="C10" s="8" t="s">
        <v>35</v>
      </c>
      <c r="D10" s="8" t="s">
        <v>40</v>
      </c>
      <c r="E10" s="9" t="s">
        <v>39</v>
      </c>
      <c r="F10" s="12">
        <v>8400</v>
      </c>
      <c r="G10" s="12">
        <f t="shared" ref="G10:G11" si="4">F10</f>
        <v>8400</v>
      </c>
      <c r="H10" s="12">
        <f t="shared" si="3"/>
        <v>12600</v>
      </c>
      <c r="I10" s="8">
        <v>1.5</v>
      </c>
      <c r="J10" s="10" t="s">
        <v>37</v>
      </c>
      <c r="K10" s="10" t="s">
        <v>19</v>
      </c>
    </row>
    <row r="11" spans="1:11" ht="30" customHeight="1" x14ac:dyDescent="0.25">
      <c r="A11" s="7">
        <v>7</v>
      </c>
      <c r="B11" s="7" t="str">
        <f t="shared" si="0"/>
        <v>ВРУ 2 (260702 ADP AKTB)</v>
      </c>
      <c r="C11" s="8" t="s">
        <v>35</v>
      </c>
      <c r="D11" s="8" t="s">
        <v>42</v>
      </c>
      <c r="E11" s="9" t="s">
        <v>41</v>
      </c>
      <c r="F11" s="12">
        <v>5565</v>
      </c>
      <c r="G11" s="12">
        <f t="shared" si="4"/>
        <v>5565</v>
      </c>
      <c r="H11" s="12">
        <f t="shared" si="3"/>
        <v>16695</v>
      </c>
      <c r="I11" s="8">
        <v>3</v>
      </c>
      <c r="J11" s="10" t="s">
        <v>37</v>
      </c>
      <c r="K11" s="10" t="s">
        <v>19</v>
      </c>
    </row>
    <row r="12" spans="1:11" ht="30" customHeight="1" x14ac:dyDescent="0.25">
      <c r="A12" s="7">
        <v>8</v>
      </c>
      <c r="B12" s="7" t="str">
        <f>B8</f>
        <v>ВРУ 2 (260702 ADP AKTB)</v>
      </c>
      <c r="C12" s="9" t="s">
        <v>12</v>
      </c>
      <c r="D12" s="8"/>
      <c r="E12" s="9" t="s">
        <v>12</v>
      </c>
      <c r="F12" s="12">
        <v>1000</v>
      </c>
      <c r="G12" s="12">
        <f>F12</f>
        <v>1000</v>
      </c>
      <c r="H12" s="12">
        <f t="shared" si="2"/>
        <v>1000</v>
      </c>
      <c r="I12" s="8">
        <v>1</v>
      </c>
      <c r="J12" s="10" t="s">
        <v>11</v>
      </c>
      <c r="K12" s="10" t="s">
        <v>19</v>
      </c>
    </row>
    <row r="13" spans="1:11" ht="24" customHeight="1" x14ac:dyDescent="0.25">
      <c r="A13" s="7">
        <v>9</v>
      </c>
      <c r="B13" s="7" t="str">
        <f>B12</f>
        <v>ВРУ 2 (260702 ADP AKTB)</v>
      </c>
      <c r="C13" s="8" t="s">
        <v>8</v>
      </c>
      <c r="D13" s="8" t="s">
        <v>8</v>
      </c>
      <c r="E13" s="9" t="s">
        <v>8</v>
      </c>
      <c r="F13" s="18">
        <v>50000</v>
      </c>
      <c r="G13" s="19">
        <f>F13</f>
        <v>50000</v>
      </c>
      <c r="H13" s="19">
        <f t="shared" si="2"/>
        <v>50000</v>
      </c>
      <c r="I13" s="8">
        <v>1</v>
      </c>
      <c r="J13" s="10" t="s">
        <v>11</v>
      </c>
      <c r="K13" s="8" t="s">
        <v>8</v>
      </c>
    </row>
    <row r="14" spans="1:11" ht="21" customHeight="1" x14ac:dyDescent="0.25">
      <c r="A14" s="7">
        <v>10</v>
      </c>
      <c r="B14" s="7" t="str">
        <f t="shared" si="0"/>
        <v>ВРУ 2 (260702 ADP AKTB)</v>
      </c>
      <c r="C14" s="8" t="s">
        <v>9</v>
      </c>
      <c r="D14" s="8" t="s">
        <v>9</v>
      </c>
      <c r="E14" s="9" t="s">
        <v>9</v>
      </c>
      <c r="F14" s="18">
        <v>32</v>
      </c>
      <c r="G14" s="19">
        <v>100</v>
      </c>
      <c r="H14" s="19">
        <f>60*F14*G14</f>
        <v>192000</v>
      </c>
      <c r="I14" s="8">
        <v>1</v>
      </c>
      <c r="J14" s="10" t="s">
        <v>11</v>
      </c>
      <c r="K14" s="8" t="s">
        <v>9</v>
      </c>
    </row>
    <row r="15" spans="1:11" ht="30" customHeight="1" x14ac:dyDescent="0.25">
      <c r="A15" s="7">
        <v>11</v>
      </c>
      <c r="B15" s="7" t="s">
        <v>24</v>
      </c>
      <c r="C15" s="8"/>
      <c r="D15" s="8"/>
      <c r="E15" s="9"/>
      <c r="F15" s="17"/>
      <c r="G15" s="12"/>
      <c r="H15" s="12">
        <f>SUM(H3:H14)</f>
        <v>1705000.2</v>
      </c>
      <c r="I15" s="8"/>
      <c r="J15" s="10"/>
      <c r="K15" s="8"/>
    </row>
    <row r="16" spans="1:11" ht="24" customHeight="1" x14ac:dyDescent="0.25"/>
    <row r="17" ht="21" customHeight="1" x14ac:dyDescent="0.25"/>
  </sheetData>
  <autoFilter ref="A1:K15" xr:uid="{6390C445-D28C-4E55-8149-96BA8DFBC99C}"/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2026-07-02T14:57:16Z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