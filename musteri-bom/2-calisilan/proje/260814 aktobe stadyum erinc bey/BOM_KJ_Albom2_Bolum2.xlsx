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Özet" sheetId="1" state="visible" r:id="rId3"/>
    <sheet name="Kesim Listesi" sheetId="2" state="visible" r:id="rId4"/>
    <sheet name="Eleman Bazında" sheetId="3" state="visible" r:id="rId5"/>
    <sheet name="Detay-Poz Listesi" sheetId="4" state="visible" r:id="rId6"/>
    <sheet name="Kontrol Notları" sheetId="5" state="visible" r:id="rId7"/>
  </sheets>
  <definedNames>
    <definedName function="false" hidden="true" localSheetId="3" name="_xlnm._FilterDatabase" vbProcedure="false">'Detay-Poz Listesi'!$A$4:$N$487</definedName>
    <definedName function="false" hidden="true" localSheetId="2" name="_xlnm._FilterDatabase" vbProcedure="false">'Eleman Bazında'!$A$4:$L$103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<sst xmlns="http://schemas.openxmlformats.org/spreadsheetml/2006/main" count="2880" uniqueCount="242">
  <si>
    <t xml:space="preserve">MALZEME İCMALİ (BOM) — Futbol Stadyumu Aktobe, I. Etap</t>
  </si>
  <si>
    <t xml:space="preserve">KJ Albüm 2 / Bölüm 2 — Monolitik diyaframlar (LŞM) ve asansör kuyuları (ŞLM), pafta 93–190</t>
  </si>
  <si>
    <t xml:space="preserve">DİKKAT: Miktarlar her çizimdeki BİR eleman içindir. Bina genelindeki toplam için KJ-62 yerleşim planındaki eleman adetleriyle çarpılmalıdır.</t>
  </si>
  <si>
    <t xml:space="preserve">1) DONATI — Çap ve sınıf bazında</t>
  </si>
  <si>
    <t xml:space="preserve">Çap (mm)</t>
  </si>
  <si>
    <t xml:space="preserve">Sınıf</t>
  </si>
  <si>
    <t xml:space="preserve">Standart</t>
  </si>
  <si>
    <t xml:space="preserve">Birim kütle (kg/m)</t>
  </si>
  <si>
    <t xml:space="preserve">Toplam boy (m)</t>
  </si>
  <si>
    <t xml:space="preserve">Kütle-hesap (kg)</t>
  </si>
  <si>
    <t xml:space="preserve">Kütle-proje (kg)</t>
  </si>
  <si>
    <t xml:space="preserve">Kütle-proje (ton)</t>
  </si>
  <si>
    <t xml:space="preserve">A240</t>
  </si>
  <si>
    <t xml:space="preserve">ГОСТ 34028-2016</t>
  </si>
  <si>
    <t xml:space="preserve">A400</t>
  </si>
  <si>
    <t xml:space="preserve">A500</t>
  </si>
  <si>
    <t xml:space="preserve">TOPLAM DONATI</t>
  </si>
  <si>
    <t xml:space="preserve">2) BETON ve YALITIM</t>
  </si>
  <si>
    <t xml:space="preserve">Kalem</t>
  </si>
  <si>
    <t xml:space="preserve">Şartname</t>
  </si>
  <si>
    <t xml:space="preserve">Birim</t>
  </si>
  <si>
    <t xml:space="preserve">Miktar</t>
  </si>
  <si>
    <t xml:space="preserve">Beton</t>
  </si>
  <si>
    <t xml:space="preserve">C25/30 W10 F150</t>
  </si>
  <si>
    <t xml:space="preserve">m³</t>
  </si>
  <si>
    <t xml:space="preserve">Su yalıtımı</t>
  </si>
  <si>
    <t xml:space="preserve">BN 70/30 (ГОСТ 6617-2021)</t>
  </si>
  <si>
    <t xml:space="preserve">m²</t>
  </si>
  <si>
    <t xml:space="preserve">Not: Bitüm miktarı '1 kat için m²' olarak verilmiştir; şartname 2 kat ister → satın almada 2× alın.</t>
  </si>
  <si>
    <t xml:space="preserve">Beton: 0.000 kotu altındaki tüm elemanlarda sülfata dayanıklı çimento ile, C25/30 W10 F150 (genel notlar, pafta 92). Yalıtım: toprakla temas eden yüzeylerde sıcak bitümle 2 kat.</t>
  </si>
  <si>
    <t xml:space="preserve">KESİM &amp; BÜKÜM LİSTESİ (üretim için) — çap × sınıf × boy bazında konsolide</t>
  </si>
  <si>
    <t xml:space="preserve">Adetler BİR eleman içindir. 'mtül' satırları çizimde boy verilmeden metretül olarak tanımlanmıştır — kesim boyu şantiyede bindirmeye göre belirlenir.</t>
  </si>
  <si>
    <t xml:space="preserve">Boy (mm)</t>
  </si>
  <si>
    <t xml:space="preserve">Şekil / Büküm</t>
  </si>
  <si>
    <t xml:space="preserve">Toplam adet</t>
  </si>
  <si>
    <t xml:space="preserve">Kütle (kg)</t>
  </si>
  <si>
    <t xml:space="preserve">Geçtiği pafta sayısı</t>
  </si>
  <si>
    <t xml:space="preserve">Etriye/fikstur: 460 duz + 2x80 kanca (L=630)</t>
  </si>
  <si>
    <t xml:space="preserve">Etriye/fikstur: 220 duz + 2x80 kanca (L=390)</t>
  </si>
  <si>
    <t xml:space="preserve">mtül</t>
  </si>
  <si>
    <t xml:space="preserve">Yatay dağıtma donatısı</t>
  </si>
  <si>
    <t xml:space="preserve">Düz çubuk</t>
  </si>
  <si>
    <t xml:space="preserve">L-cubuk: 950 x 950 (L=1970)</t>
  </si>
  <si>
    <t xml:space="preserve">L-cubuk: 650 x 650 (L=1370)</t>
  </si>
  <si>
    <t xml:space="preserve">L-cubuk: 600 x 600 (L=1150)</t>
  </si>
  <si>
    <t xml:space="preserve">TOPLAM</t>
  </si>
  <si>
    <t xml:space="preserve">ELEMAN / GÖRÜNÜŞ BAZINDA İCMAL</t>
  </si>
  <si>
    <t xml:space="preserve">Sarı sütun: KJ-62 yerleşim planından eleman adedini girin — toplam metraj otomatik hesaplanır.</t>
  </si>
  <si>
    <t xml:space="preserve">Pafta</t>
  </si>
  <si>
    <t xml:space="preserve">Eleman</t>
  </si>
  <si>
    <t xml:space="preserve">Görünüş</t>
  </si>
  <si>
    <t xml:space="preserve">Ø8 A240 (kg)</t>
  </si>
  <si>
    <t xml:space="preserve">Ø14 (kg)</t>
  </si>
  <si>
    <t xml:space="preserve">Ø16 A500 (kg)</t>
  </si>
  <si>
    <t xml:space="preserve">Donatı toplam (kg)</t>
  </si>
  <si>
    <t xml:space="preserve">Beton C25/30 (m³)</t>
  </si>
  <si>
    <t xml:space="preserve">Bitüm BN70/30 (m²)</t>
  </si>
  <si>
    <t xml:space="preserve">Eleman adedi</t>
  </si>
  <si>
    <t xml:space="preserve">Toplam donatı (kg)</t>
  </si>
  <si>
    <t xml:space="preserve">Toplam beton (m³)</t>
  </si>
  <si>
    <t xml:space="preserve">93</t>
  </si>
  <si>
    <t xml:space="preserve">ЛШМ-1</t>
  </si>
  <si>
    <t xml:space="preserve">Вид А</t>
  </si>
  <si>
    <t xml:space="preserve">94</t>
  </si>
  <si>
    <t xml:space="preserve">Вид Б</t>
  </si>
  <si>
    <t xml:space="preserve">95</t>
  </si>
  <si>
    <t xml:space="preserve">Вид В</t>
  </si>
  <si>
    <t xml:space="preserve">96</t>
  </si>
  <si>
    <t xml:space="preserve">Вид Г</t>
  </si>
  <si>
    <t xml:space="preserve">97</t>
  </si>
  <si>
    <t xml:space="preserve">ЛШМ-2</t>
  </si>
  <si>
    <t xml:space="preserve">98</t>
  </si>
  <si>
    <t xml:space="preserve">99</t>
  </si>
  <si>
    <t xml:space="preserve">100</t>
  </si>
  <si>
    <t xml:space="preserve">101</t>
  </si>
  <si>
    <t xml:space="preserve">ЛШМ-2*</t>
  </si>
  <si>
    <t xml:space="preserve">102</t>
  </si>
  <si>
    <t xml:space="preserve">103</t>
  </si>
  <si>
    <t xml:space="preserve">104</t>
  </si>
  <si>
    <t xml:space="preserve">105</t>
  </si>
  <si>
    <t xml:space="preserve">ЛШМ-2-1</t>
  </si>
  <si>
    <t xml:space="preserve">106</t>
  </si>
  <si>
    <t xml:space="preserve">107</t>
  </si>
  <si>
    <t xml:space="preserve">108</t>
  </si>
  <si>
    <t xml:space="preserve">109</t>
  </si>
  <si>
    <t xml:space="preserve">ЛШМ-2*-1</t>
  </si>
  <si>
    <t xml:space="preserve">110</t>
  </si>
  <si>
    <t xml:space="preserve">111</t>
  </si>
  <si>
    <t xml:space="preserve">112</t>
  </si>
  <si>
    <t xml:space="preserve">113</t>
  </si>
  <si>
    <t xml:space="preserve">ЛШМ-3</t>
  </si>
  <si>
    <t xml:space="preserve">114</t>
  </si>
  <si>
    <t xml:space="preserve">115</t>
  </si>
  <si>
    <t xml:space="preserve">116</t>
  </si>
  <si>
    <t xml:space="preserve">117</t>
  </si>
  <si>
    <t xml:space="preserve">ЛШМ-3*</t>
  </si>
  <si>
    <t xml:space="preserve">118</t>
  </si>
  <si>
    <t xml:space="preserve">119</t>
  </si>
  <si>
    <t xml:space="preserve">120</t>
  </si>
  <si>
    <t xml:space="preserve">121</t>
  </si>
  <si>
    <t xml:space="preserve">ЛШМ-3-1</t>
  </si>
  <si>
    <t xml:space="preserve">122</t>
  </si>
  <si>
    <t xml:space="preserve">123</t>
  </si>
  <si>
    <t xml:space="preserve">124</t>
  </si>
  <si>
    <t xml:space="preserve">125</t>
  </si>
  <si>
    <t xml:space="preserve">ЛШМ-4</t>
  </si>
  <si>
    <t xml:space="preserve">126</t>
  </si>
  <si>
    <t xml:space="preserve">127</t>
  </si>
  <si>
    <t xml:space="preserve">128</t>
  </si>
  <si>
    <t xml:space="preserve">Вид Д</t>
  </si>
  <si>
    <t xml:space="preserve">128.1</t>
  </si>
  <si>
    <t xml:space="preserve">129</t>
  </si>
  <si>
    <t xml:space="preserve">ЛШМ-5</t>
  </si>
  <si>
    <t xml:space="preserve">130</t>
  </si>
  <si>
    <t xml:space="preserve">131</t>
  </si>
  <si>
    <t xml:space="preserve">132</t>
  </si>
  <si>
    <t xml:space="preserve">133</t>
  </si>
  <si>
    <t xml:space="preserve">ЛШМ-5*</t>
  </si>
  <si>
    <t xml:space="preserve">134</t>
  </si>
  <si>
    <t xml:space="preserve">135</t>
  </si>
  <si>
    <t xml:space="preserve">136</t>
  </si>
  <si>
    <t xml:space="preserve">137</t>
  </si>
  <si>
    <t xml:space="preserve">ЛШМ-6</t>
  </si>
  <si>
    <t xml:space="preserve">138</t>
  </si>
  <si>
    <t xml:space="preserve">139</t>
  </si>
  <si>
    <t xml:space="preserve">140</t>
  </si>
  <si>
    <t xml:space="preserve">141</t>
  </si>
  <si>
    <t xml:space="preserve">ЛШМ-1*</t>
  </si>
  <si>
    <t xml:space="preserve">142</t>
  </si>
  <si>
    <t xml:space="preserve">143</t>
  </si>
  <si>
    <t xml:space="preserve">144</t>
  </si>
  <si>
    <t xml:space="preserve">145</t>
  </si>
  <si>
    <t xml:space="preserve">ШЛМ-1</t>
  </si>
  <si>
    <t xml:space="preserve">146</t>
  </si>
  <si>
    <t xml:space="preserve">147</t>
  </si>
  <si>
    <t xml:space="preserve">148</t>
  </si>
  <si>
    <t xml:space="preserve">ШЛМ-1*</t>
  </si>
  <si>
    <t xml:space="preserve">149</t>
  </si>
  <si>
    <t xml:space="preserve">150</t>
  </si>
  <si>
    <t xml:space="preserve">151</t>
  </si>
  <si>
    <t xml:space="preserve">ШЛМ-2</t>
  </si>
  <si>
    <t xml:space="preserve">152</t>
  </si>
  <si>
    <t xml:space="preserve">153</t>
  </si>
  <si>
    <t xml:space="preserve">154</t>
  </si>
  <si>
    <t xml:space="preserve">155</t>
  </si>
  <si>
    <t xml:space="preserve">ШЛМ-2*</t>
  </si>
  <si>
    <t xml:space="preserve">156</t>
  </si>
  <si>
    <t xml:space="preserve">157</t>
  </si>
  <si>
    <t xml:space="preserve">158</t>
  </si>
  <si>
    <t xml:space="preserve">159</t>
  </si>
  <si>
    <t xml:space="preserve">ШЛМ-2-1</t>
  </si>
  <si>
    <t xml:space="preserve">160</t>
  </si>
  <si>
    <t xml:space="preserve">161</t>
  </si>
  <si>
    <t xml:space="preserve">162</t>
  </si>
  <si>
    <t xml:space="preserve">163</t>
  </si>
  <si>
    <t xml:space="preserve">ШЛМ-2*-1</t>
  </si>
  <si>
    <t xml:space="preserve">164</t>
  </si>
  <si>
    <t xml:space="preserve">165</t>
  </si>
  <si>
    <t xml:space="preserve">166</t>
  </si>
  <si>
    <t xml:space="preserve">167</t>
  </si>
  <si>
    <t xml:space="preserve">ШЛМ-3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</si>
  <si>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</si>
  <si>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</si>
  <si>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</si>
  <si>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</si>
  <si>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</si>
  <si>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ШЛМ-3*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</si>
  <si>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</si>
  <si>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</si>
  <si>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</si>
  <si>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</si>
  <si>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</si>
  <si>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ШЛМ-4</t>
  </si>
  <si>
    <t xml:space="preserve">178</t>
  </si>
  <si>
    <t xml:space="preserve">179</t>
  </si>
  <si>
    <t xml:space="preserve">180</t>
  </si>
  <si>
    <t xml:space="preserve">181</t>
  </si>
  <si>
    <t xml:space="preserve">ШЛМ-6</t>
  </si>
  <si>
    <t xml:space="preserve">182</t>
  </si>
  <si>
    <t xml:space="preserve">183</t>
  </si>
  <si>
    <t xml:space="preserve">184</t>
  </si>
  <si>
    <t xml:space="preserve">ШЛМ-7</t>
  </si>
  <si>
    <t xml:space="preserve">185</t>
  </si>
  <si>
    <t xml:space="preserve">186</t>
  </si>
  <si>
    <t xml:space="preserve">187</t>
  </si>
  <si>
    <t xml:space="preserve">188</t>
  </si>
  <si>
    <t xml:space="preserve">ШЛМ-8</t>
  </si>
  <si>
    <t xml:space="preserve">189</t>
  </si>
  <si>
    <t xml:space="preserve">190</t>
  </si>
  <si>
    <t xml:space="preserve">POZ LİSTESİ — Betonarme Donatı (kaynak: KJ Albüm 2 / Bölüm 2, pafta 93–190)</t>
  </si>
  <si>
    <t xml:space="preserve">Mavi hücreler = çizimden okunan girdi. Siyah hücreler = formül. Adetler BİR eleman içindir.</t>
  </si>
  <si>
    <t xml:space="preserve">Adet</t>
  </si>
  <si>
    <t xml:space="preserve">Uzunluk (mtül)</t>
  </si>
  <si>
    <t xml:space="preserve">Fark (kg)</t>
  </si>
  <si>
    <t xml:space="preserve">Yatay dağıtma (mtül)</t>
  </si>
  <si>
    <t xml:space="preserve">PROJE İLE TESPİT EDİLEN TUTARSIZLIKLAR — üretim öncesi proje müellifine sorulmalı</t>
  </si>
  <si>
    <t xml:space="preserve">Konum</t>
  </si>
  <si>
    <t xml:space="preserve">Tespit</t>
  </si>
  <si>
    <t xml:space="preserve">Yapılacak</t>
  </si>
  <si>
    <t xml:space="preserve">Genel</t>
  </si>
  <si>
    <t xml:space="preserve">Bu albümde haddelenmiş çelik profil (kanal/köşebent/IPE/kutu) YOKTUR. GOST 8240/8509/26020/30245 yalnızca referans doküman listesindedir; profil çizimleri KM albümündedir.</t>
  </si>
  <si>
    <t xml:space="preserve">Profil üretimi için KM albümü talep edilmeli.</t>
  </si>
  <si>
    <t xml:space="preserve">Adetler bir eleman içindir; her markanın binada kaç kez tekrarlandığı bu albümde yok.</t>
  </si>
  <si>
    <t xml:space="preserve">KJ-62 'monolitik şaft yerleşim planı' alınmalı.</t>
  </si>
  <si>
    <t xml:space="preserve">Yatay dağıtma donatısı metretül (м.п.) olarak verilmiş, kesim boyu yok.</t>
  </si>
  <si>
    <t xml:space="preserve">Bindirme boyları ile kesim planı yapılmalı.</t>
  </si>
  <si>
    <t xml:space="preserve">Pafta 113, 114</t>
  </si>
  <si>
    <t xml:space="preserve">Spesifikasyonda Ø8 = 28.12 / 23.39 kg, çelik sarfiyat tablosunda 21.40 kg.</t>
  </si>
  <si>
    <t xml:space="preserve">Ø8 miktarı doğrulanmalı.</t>
  </si>
  <si>
    <t xml:space="preserve">Pafta 103</t>
  </si>
  <si>
    <t xml:space="preserve">Poz 4 (Ø14, 194.92 mtül): 194.92 × 1.208 = 235.46 kg, tabloda 281.44 kg.</t>
  </si>
  <si>
    <t xml:space="preserve">Kütle doğrulanmalı.</t>
  </si>
  <si>
    <t xml:space="preserve">Pafta 123</t>
  </si>
  <si>
    <t xml:space="preserve">Spesifikasyonda Ø8 = 37.83 kg, sarfiyat tablosunda 62.22 kg.</t>
  </si>
  <si>
    <t xml:space="preserve">Pafta 125</t>
  </si>
  <si>
    <t xml:space="preserve">Poz toplamı Ø14 = 358.85 kg, tabloda 302.19 kg; Ø16 poz 74.61 kg, tabloda 201.67 kg.</t>
  </si>
  <si>
    <t xml:space="preserve">Ciddi sapma — tablo yeniden hesaplanmalı.</t>
  </si>
  <si>
    <t xml:space="preserve">Pafta 128</t>
  </si>
  <si>
    <t xml:space="preserve">Spesifikasyon ara toplamı 571.96 kg, sarfiyat tablosu 579.55 kg.</t>
  </si>
  <si>
    <t xml:space="preserve">Doğrulanmalı.</t>
  </si>
  <si>
    <t xml:space="preserve">Pafta 128.1</t>
  </si>
  <si>
    <t xml:space="preserve">Ø8: poz 41.06 kg, tablo 43.80 kg.</t>
  </si>
  <si>
    <t xml:space="preserve">Pafta 130</t>
  </si>
  <si>
    <t xml:space="preserve">Poz toplamı Ø14 = 476.82 kg, tabloda 545.58 kg.</t>
  </si>
  <si>
    <t xml:space="preserve">Pafta 133</t>
  </si>
  <si>
    <t xml:space="preserve">Ø16 poz 74.61 kg, tabloda 158.11 kg; Ø8 poz 20.95 kg, tabloda 42.06 kg.</t>
  </si>
  <si>
    <t xml:space="preserve">Ciddi sapma.</t>
  </si>
  <si>
    <t xml:space="preserve">Pafta 143</t>
  </si>
  <si>
    <t xml:space="preserve">Poz 7 (Ø14 A400, 145.18 mtül) → 175.4 kg olmalı, tabloda 696.92 kg. Ayrıca bu tek pozda A400 sınıfı geçiyor (diğer her yerde A500).</t>
  </si>
  <si>
    <t xml:space="preserve">Hem kütle hem çelik sınıfı doğrulanmalı.</t>
  </si>
  <si>
    <t xml:space="preserve">Pafta 168, 173</t>
  </si>
  <si>
    <t xml:space="preserve">Ø8 poz 18.18 kg, sarfiyat tablosunda 118.00 kg (yazım hatası olası).</t>
  </si>
  <si>
    <t xml:space="preserve">Pafta 182</t>
  </si>
  <si>
    <t xml:space="preserve">Poz toplamı ≈137 kg, sarfiyat tablosu 466.42 kg (Ø14 438.30).</t>
  </si>
  <si>
    <t xml:space="preserve">Pafta 187</t>
  </si>
  <si>
    <t xml:space="preserve">Ø16 poz toplamı 63.24 kg, tabloda 63.54 kg.</t>
  </si>
  <si>
    <t xml:space="preserve">Küçük sapma.</t>
  </si>
  <si>
    <t xml:space="preserve">Pafta 99, 114, 117, 118, 121, 122, 138, 178</t>
  </si>
  <si>
    <t xml:space="preserve">Spesifikasyon başlığındaki eleman/görünüş adı pafta adıyla uyuşmuyor (kopyala-yapıştır hatası).</t>
  </si>
  <si>
    <t xml:space="preserve">İsim düzeltilmeli, miktarlar etkilenmiyor.</t>
  </si>
  <si>
    <t xml:space="preserve">Bazı paftalarda beton 'C25/30' (212-101-1101), bazılarında 'C25/30 W10 F150' (212-101-1104) yazılmış. Genel notlar 0.000 kotu altı için W10 C25/30 F150 + sülfata dayanıklı çimento şartı koyuyor.</t>
  </si>
  <si>
    <t xml:space="preserve">Tüm elemanlar için W10 F150 kabul edilmeli.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</si>
</sst>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17"/>
    <col collapsed="false" customWidth="true" hidden="false" outlineLevel="0" max="5" min="5" style="1" width="15"/>
    <col collapsed="false" customWidth="true" hidden="false" outlineLevel="0" max="8" min="6" style="1" width="1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</row>
    <row r="6" customFormat="false" ht="30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</row>
    <row r="7" customFormat="false" ht="15" hidden="false" customHeight="true" outlineLevel="0" collapsed="false">
      <c r="A7" s="7" t="n">
        <v>8</v>
      </c>
      <c r="B7" s="7" t="s">
        <v>12</v>
      </c>
      <c r="C7" s="7" t="s">
        <v>13</v>
      </c>
      <c r="D7" s="7" t="n">
        <v>0.395</v>
      </c>
      <c r="E7" s="8" t="n">
        <f aca="false">ROUND(SUMIFS('Detay-Poz Listesi'!$J$5:$J$487,'Detay-Poz Listesi'!$D$5:$D$487,A7,'Detay-Poz Listesi'!$E$5:$E$487,B7),2)</f>
        <v>5549.61</v>
      </c>
      <c r="F7" s="8" t="n">
        <f aca="false">ROUND(SUMIFS('Detay-Poz Listesi'!$K$5:$K$487,'Detay-Poz Listesi'!$D$5:$D$487,A7,'Detay-Poz Listesi'!$E$5:$E$487,B7),2)</f>
        <v>2192.05</v>
      </c>
      <c r="G7" s="8" t="n">
        <f aca="false">ROUND(SUMIFS('Detay-Poz Listesi'!$L$5:$L$487,'Detay-Poz Listesi'!$D$5:$D$487,A7,'Detay-Poz Listesi'!$E$5:$E$487,B7),2)</f>
        <v>2192.05</v>
      </c>
      <c r="H7" s="9" t="n">
        <f aca="false">ROUND(G7/1000,3)</f>
        <v>2.192</v>
      </c>
    </row>
    <row r="8" customFormat="false" ht="15" hidden="false" customHeight="true" outlineLevel="0" collapsed="false">
      <c r="A8" s="7" t="n">
        <v>14</v>
      </c>
      <c r="B8" s="7" t="s">
        <v>14</v>
      </c>
      <c r="C8" s="7" t="s">
        <v>13</v>
      </c>
      <c r="D8" s="7" t="n">
        <v>1.208</v>
      </c>
      <c r="E8" s="8" t="n">
        <f aca="false">ROUND(SUMIFS('Detay-Poz Listesi'!$J$5:$J$487,'Detay-Poz Listesi'!$D$5:$D$487,A8,'Detay-Poz Listesi'!$E$5:$E$487,B8),2)</f>
        <v>277.34</v>
      </c>
      <c r="F8" s="8" t="n">
        <f aca="false">ROUND(SUMIFS('Detay-Poz Listesi'!$K$5:$K$487,'Detay-Poz Listesi'!$D$5:$D$487,A8,'Detay-Poz Listesi'!$E$5:$E$487,B8),2)</f>
        <v>335.03</v>
      </c>
      <c r="G8" s="8" t="n">
        <f aca="false">ROUND(SUMIFS('Detay-Poz Listesi'!$L$5:$L$487,'Detay-Poz Listesi'!$D$5:$D$487,A8,'Detay-Poz Listesi'!$E$5:$E$487,B8),2)</f>
        <v>856.57</v>
      </c>
      <c r="H8" s="9" t="n">
        <f aca="false">ROUND(G8/1000,3)</f>
        <v>0.857</v>
      </c>
    </row>
    <row r="9" customFormat="false" ht="15" hidden="false" customHeight="true" outlineLevel="0" collapsed="false">
      <c r="A9" s="7" t="n">
        <v>14</v>
      </c>
      <c r="B9" s="7" t="s">
        <v>15</v>
      </c>
      <c r="C9" s="7" t="s">
        <v>13</v>
      </c>
      <c r="D9" s="7" t="n">
        <v>1.208</v>
      </c>
      <c r="E9" s="8" t="n">
        <f aca="false">ROUND(SUMIFS('Detay-Poz Listesi'!$J$5:$J$487,'Detay-Poz Listesi'!$D$5:$D$487,A9,'Detay-Poz Listesi'!$E$5:$E$487,B9),2)</f>
        <v>26787.69</v>
      </c>
      <c r="F9" s="8" t="n">
        <f aca="false">ROUND(SUMIFS('Detay-Poz Listesi'!$K$5:$K$487,'Detay-Poz Listesi'!$D$5:$D$487,A9,'Detay-Poz Listesi'!$E$5:$E$487,B9),2)</f>
        <v>32359.32</v>
      </c>
      <c r="G9" s="8" t="n">
        <f aca="false">ROUND(SUMIFS('Detay-Poz Listesi'!$L$5:$L$487,'Detay-Poz Listesi'!$D$5:$D$487,A9,'Detay-Poz Listesi'!$E$5:$E$487,B9),2)</f>
        <v>32395.64</v>
      </c>
      <c r="H9" s="9" t="n">
        <f aca="false">ROUND(G9/1000,3)</f>
        <v>32.396</v>
      </c>
    </row>
    <row r="10" customFormat="false" ht="15" hidden="false" customHeight="true" outlineLevel="0" collapsed="false">
      <c r="A10" s="7" t="n">
        <v>16</v>
      </c>
      <c r="B10" s="7" t="s">
        <v>15</v>
      </c>
      <c r="C10" s="7" t="s">
        <v>13</v>
      </c>
      <c r="D10" s="7" t="n">
        <v>1.578</v>
      </c>
      <c r="E10" s="8" t="n">
        <f aca="false">ROUND(SUMIFS('Detay-Poz Listesi'!$J$5:$J$487,'Detay-Poz Listesi'!$D$5:$D$487,A10,'Detay-Poz Listesi'!$E$5:$E$487,B10),2)</f>
        <v>2068.39</v>
      </c>
      <c r="F10" s="8" t="n">
        <f aca="false">ROUND(SUMIFS('Detay-Poz Listesi'!$K$5:$K$487,'Detay-Poz Listesi'!$D$5:$D$487,A10,'Detay-Poz Listesi'!$E$5:$E$487,B10),2)</f>
        <v>3263.9</v>
      </c>
      <c r="G10" s="8" t="n">
        <f aca="false">ROUND(SUMIFS('Detay-Poz Listesi'!$L$5:$L$487,'Detay-Poz Listesi'!$D$5:$D$487,A10,'Detay-Poz Listesi'!$E$5:$E$487,B10),2)</f>
        <v>3263.9</v>
      </c>
      <c r="H10" s="9" t="n">
        <f aca="false">ROUND(G10/1000,3)</f>
        <v>3.264</v>
      </c>
    </row>
    <row r="11" customFormat="false" ht="15" hidden="false" customHeight="true" outlineLevel="0" collapsed="false">
      <c r="A11" s="10" t="s">
        <v>16</v>
      </c>
      <c r="B11" s="11"/>
      <c r="C11" s="11"/>
      <c r="D11" s="11"/>
      <c r="E11" s="12" t="n">
        <f aca="false">ROUND(SUM(E7:E10),3)</f>
        <v>34683.03</v>
      </c>
      <c r="F11" s="12" t="n">
        <f aca="false">ROUND(SUM(F7:F10),3)</f>
        <v>38150.3</v>
      </c>
      <c r="G11" s="12" t="n">
        <f aca="false">ROUND(SUM(G7:G10),3)</f>
        <v>38708.16</v>
      </c>
      <c r="H11" s="13" t="n">
        <f aca="false">ROUND(SUM(H7:H10),3)</f>
        <v>38.709</v>
      </c>
    </row>
    <row r="13" customFormat="false" ht="15" hidden="false" customHeight="true" outlineLevel="0" collapsed="false">
      <c r="A13" s="5" t="s">
        <v>17</v>
      </c>
    </row>
    <row r="14" customFormat="false" ht="15" hidden="false" customHeight="true" outlineLevel="0" collapsed="false">
      <c r="A14" s="14" t="s">
        <v>18</v>
      </c>
      <c r="B14" s="14" t="s">
        <v>19</v>
      </c>
      <c r="C14" s="14" t="s">
        <v>20</v>
      </c>
      <c r="D14" s="14" t="s">
        <v>21</v>
      </c>
    </row>
    <row r="15" customFormat="false" ht="15" hidden="false" customHeight="true" outlineLevel="0" collapsed="false">
      <c r="A15" s="7" t="s">
        <v>22</v>
      </c>
      <c r="B15" s="7" t="s">
        <v>23</v>
      </c>
      <c r="C15" s="7" t="s">
        <v>24</v>
      </c>
      <c r="D15" s="8" t="n">
        <f aca="false">'Eleman Bazında'!H104</f>
        <v>652.44</v>
      </c>
    </row>
    <row r="16" customFormat="false" ht="15" hidden="false" customHeight="true" outlineLevel="0" collapsed="false">
      <c r="A16" s="7" t="s">
        <v>25</v>
      </c>
      <c r="B16" s="7" t="s">
        <v>26</v>
      </c>
      <c r="C16" s="7" t="s">
        <v>27</v>
      </c>
      <c r="D16" s="8" t="n">
        <f aca="false">'Eleman Bazında'!I104</f>
        <v>329.57</v>
      </c>
    </row>
    <row r="17" customFormat="false" ht="15" hidden="false" customHeight="true" outlineLevel="0" collapsed="false">
      <c r="A17" s="3" t="s">
        <v>28</v>
      </c>
    </row>
    <row r="18" customFormat="false" ht="15" hidden="false" customHeight="false" outlineLevel="0" collapsed="false">
      <c r="A18" s="1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9"/>
    <col collapsed="false" customWidth="true" hidden="false" outlineLevel="0" max="3" min="3" style="1" width="11"/>
    <col collapsed="false" customWidth="true" hidden="false" outlineLevel="0" max="4" min="4" style="1" width="40"/>
    <col collapsed="false" customWidth="true" hidden="false" outlineLevel="0" max="5" min="5" style="1" width="13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8"/>
  </cols>
  <sheetData>
    <row r="1" customFormat="false" ht="15.75" hidden="false" customHeight="true" outlineLevel="0" collapsed="false">
      <c r="A1" s="16" t="s">
        <v>30</v>
      </c>
    </row>
    <row r="2" customFormat="false" ht="15" hidden="false" customHeight="true" outlineLevel="0" collapsed="false">
      <c r="A2" s="3" t="s">
        <v>31</v>
      </c>
    </row>
    <row r="4" customFormat="false" ht="30" hidden="false" customHeight="true" outlineLevel="0" collapsed="false">
      <c r="A4" s="6" t="s">
        <v>4</v>
      </c>
      <c r="B4" s="6" t="s">
        <v>5</v>
      </c>
      <c r="C4" s="6" t="s">
        <v>32</v>
      </c>
      <c r="D4" s="6" t="s">
        <v>33</v>
      </c>
      <c r="E4" s="6" t="s">
        <v>34</v>
      </c>
      <c r="F4" s="6" t="s">
        <v>8</v>
      </c>
      <c r="G4" s="6" t="s">
        <v>35</v>
      </c>
      <c r="H4" s="6" t="s">
        <v>36</v>
      </c>
    </row>
    <row r="5" customFormat="false" ht="15" hidden="false" customHeight="true" outlineLevel="0" collapsed="false">
      <c r="A5" s="7" t="n">
        <v>8</v>
      </c>
      <c r="B5" s="7" t="s">
        <v>12</v>
      </c>
      <c r="C5" s="7" t="n">
        <v>630</v>
      </c>
      <c r="D5" s="7" t="s">
        <v>37</v>
      </c>
      <c r="E5" s="7" t="n">
        <f aca="false">SUMIFS('Detay-Poz Listesi'!$G$5:$G$487,'Detay-Poz Listesi'!$D$5:$D$487,A5,'Detay-Poz Listesi'!$E$5:$E$487,B5,'Detay-Poz Listesi'!$F$5:$F$487,C5)</f>
        <v>7083</v>
      </c>
      <c r="F5" s="8" t="n">
        <f aca="false">ROUND(SUMIFS('Detay-Poz Listesi'!$J$5:$J$487,'Detay-Poz Listesi'!$D$5:$D$487,A5,'Detay-Poz Listesi'!$E$5:$E$487,B5,'Detay-Poz Listesi'!$F$5:$F$487,C5),2)</f>
        <v>4462.29</v>
      </c>
      <c r="G5" s="8" t="n">
        <f aca="false">ROUND(SUMIFS('Detay-Poz Listesi'!$L$5:$L$487,'Detay-Poz Listesi'!$D$5:$D$487,A5,'Detay-Poz Listesi'!$E$5:$E$487,B5,'Detay-Poz Listesi'!$F$5:$F$487,C5),2)</f>
        <v>1762.61</v>
      </c>
      <c r="H5" s="7" t="n">
        <v>56</v>
      </c>
    </row>
    <row r="6" customFormat="false" ht="15" hidden="false" customHeight="true" outlineLevel="0" collapsed="false">
      <c r="A6" s="7" t="n">
        <v>8</v>
      </c>
      <c r="B6" s="7" t="s">
        <v>12</v>
      </c>
      <c r="C6" s="7" t="n">
        <v>390</v>
      </c>
      <c r="D6" s="7" t="s">
        <v>38</v>
      </c>
      <c r="E6" s="7" t="n">
        <f aca="false">SUMIFS('Detay-Poz Listesi'!$G$5:$G$487,'Detay-Poz Listesi'!$D$5:$D$487,A6,'Detay-Poz Listesi'!$E$5:$E$487,B6,'Detay-Poz Listesi'!$F$5:$F$487,C6)</f>
        <v>2788</v>
      </c>
      <c r="F6" s="8" t="n">
        <f aca="false">ROUND(SUMIFS('Detay-Poz Listesi'!$J$5:$J$487,'Detay-Poz Listesi'!$D$5:$D$487,A6,'Detay-Poz Listesi'!$E$5:$E$487,B6,'Detay-Poz Listesi'!$F$5:$F$487,C6),2)</f>
        <v>1087.32</v>
      </c>
      <c r="G6" s="8" t="n">
        <f aca="false">ROUND(SUMIFS('Detay-Poz Listesi'!$L$5:$L$487,'Detay-Poz Listesi'!$D$5:$D$487,A6,'Detay-Poz Listesi'!$E$5:$E$487,B6,'Detay-Poz Listesi'!$F$5:$F$487,C6),2)</f>
        <v>429.44</v>
      </c>
      <c r="H6" s="7" t="n">
        <v>43</v>
      </c>
    </row>
    <row r="7" customFormat="false" ht="15" hidden="false" customHeight="true" outlineLevel="0" collapsed="false">
      <c r="A7" s="7" t="n">
        <v>14</v>
      </c>
      <c r="B7" s="7" t="s">
        <v>14</v>
      </c>
      <c r="C7" s="17" t="s">
        <v>39</v>
      </c>
      <c r="D7" s="18" t="s">
        <v>40</v>
      </c>
      <c r="E7" s="19"/>
      <c r="F7" s="8" t="n">
        <f aca="false">ROUND(SUMIFS('Detay-Poz Listesi'!$H$5:$H$487,'Detay-Poz Listesi'!$D$5:$D$487,A7,'Detay-Poz Listesi'!$E$5:$E$487,B7,'Detay-Poz Listesi'!$F$5:$F$487,""),2)</f>
        <v>277.34</v>
      </c>
      <c r="G7" s="8" t="n">
        <f aca="false">ROUND(SUMIFS('Detay-Poz Listesi'!$L$5:$L$487,'Detay-Poz Listesi'!$D$5:$D$487,A7,'Detay-Poz Listesi'!$E$5:$E$487,B7,'Detay-Poz Listesi'!$F$5:$F$487,""),2)</f>
        <v>856.57</v>
      </c>
      <c r="H7" s="7" t="n">
        <v>2</v>
      </c>
    </row>
    <row r="8" customFormat="false" ht="15" hidden="false" customHeight="true" outlineLevel="0" collapsed="false">
      <c r="A8" s="7" t="n">
        <v>14</v>
      </c>
      <c r="B8" s="7" t="s">
        <v>15</v>
      </c>
      <c r="C8" s="7" t="n">
        <v>3350</v>
      </c>
      <c r="D8" s="7" t="s">
        <v>41</v>
      </c>
      <c r="E8" s="7" t="n">
        <f aca="false">SUMIFS('Detay-Poz Listesi'!$G$5:$G$487,'Detay-Poz Listesi'!$D$5:$D$487,A8,'Detay-Poz Listesi'!$E$5:$E$487,B8,'Detay-Poz Listesi'!$F$5:$F$487,C8)</f>
        <v>1949</v>
      </c>
      <c r="F8" s="8" t="n">
        <f aca="false">ROUND(SUMIFS('Detay-Poz Listesi'!$J$5:$J$487,'Detay-Poz Listesi'!$D$5:$D$487,A8,'Detay-Poz Listesi'!$E$5:$E$487,B8,'Detay-Poz Listesi'!$F$5:$F$487,C8),2)</f>
        <v>6529.15</v>
      </c>
      <c r="G8" s="8" t="n">
        <f aca="false">ROUND(SUMIFS('Detay-Poz Listesi'!$L$5:$L$487,'Detay-Poz Listesi'!$D$5:$D$487,A8,'Detay-Poz Listesi'!$E$5:$E$487,B8,'Detay-Poz Listesi'!$F$5:$F$487,C8),2)</f>
        <v>7887.16</v>
      </c>
      <c r="H8" s="7" t="n">
        <v>96</v>
      </c>
    </row>
    <row r="9" customFormat="false" ht="15" hidden="false" customHeight="true" outlineLevel="0" collapsed="false">
      <c r="A9" s="7" t="n">
        <v>14</v>
      </c>
      <c r="B9" s="7" t="s">
        <v>15</v>
      </c>
      <c r="C9" s="7" t="n">
        <v>3280</v>
      </c>
      <c r="D9" s="7" t="s">
        <v>41</v>
      </c>
      <c r="E9" s="7" t="n">
        <f aca="false">SUMIFS('Detay-Poz Listesi'!$G$5:$G$487,'Detay-Poz Listesi'!$D$5:$D$487,A9,'Detay-Poz Listesi'!$E$5:$E$487,B9,'Detay-Poz Listesi'!$F$5:$F$487,C9)</f>
        <v>40</v>
      </c>
      <c r="F9" s="8" t="n">
        <f aca="false">ROUND(SUMIFS('Detay-Poz Listesi'!$J$5:$J$487,'Detay-Poz Listesi'!$D$5:$D$487,A9,'Detay-Poz Listesi'!$E$5:$E$487,B9,'Detay-Poz Listesi'!$F$5:$F$487,C9),2)</f>
        <v>131.2</v>
      </c>
      <c r="G9" s="8" t="n">
        <f aca="false">ROUND(SUMIFS('Detay-Poz Listesi'!$L$5:$L$487,'Detay-Poz Listesi'!$D$5:$D$487,A9,'Detay-Poz Listesi'!$E$5:$E$487,B9,'Detay-Poz Listesi'!$F$5:$F$487,C9),2)</f>
        <v>158.49</v>
      </c>
      <c r="H9" s="7" t="n">
        <v>1</v>
      </c>
    </row>
    <row r="10" customFormat="false" ht="15" hidden="false" customHeight="true" outlineLevel="0" collapsed="false">
      <c r="A10" s="7" t="n">
        <v>14</v>
      </c>
      <c r="B10" s="7" t="s">
        <v>15</v>
      </c>
      <c r="C10" s="7" t="n">
        <v>3260</v>
      </c>
      <c r="D10" s="7" t="s">
        <v>41</v>
      </c>
      <c r="E10" s="7" t="n">
        <f aca="false">SUMIFS('Detay-Poz Listesi'!$G$5:$G$487,'Detay-Poz Listesi'!$D$5:$D$487,A10,'Detay-Poz Listesi'!$E$5:$E$487,B10,'Detay-Poz Listesi'!$F$5:$F$487,C10)</f>
        <v>38</v>
      </c>
      <c r="F10" s="8" t="n">
        <f aca="false">ROUND(SUMIFS('Detay-Poz Listesi'!$J$5:$J$487,'Detay-Poz Listesi'!$D$5:$D$487,A10,'Detay-Poz Listesi'!$E$5:$E$487,B10,'Detay-Poz Listesi'!$F$5:$F$487,C10),2)</f>
        <v>123.88</v>
      </c>
      <c r="G10" s="8" t="n">
        <f aca="false">ROUND(SUMIFS('Detay-Poz Listesi'!$L$5:$L$487,'Detay-Poz Listesi'!$D$5:$D$487,A10,'Detay-Poz Listesi'!$E$5:$E$487,B10,'Detay-Poz Listesi'!$F$5:$F$487,C10),2)</f>
        <v>149.65</v>
      </c>
      <c r="H10" s="7" t="n">
        <v>1</v>
      </c>
    </row>
    <row r="11" customFormat="false" ht="15" hidden="false" customHeight="true" outlineLevel="0" collapsed="false">
      <c r="A11" s="7" t="n">
        <v>14</v>
      </c>
      <c r="B11" s="7" t="s">
        <v>15</v>
      </c>
      <c r="C11" s="7" t="n">
        <v>2930</v>
      </c>
      <c r="D11" s="7" t="s">
        <v>41</v>
      </c>
      <c r="E11" s="7" t="n">
        <f aca="false">SUMIFS('Detay-Poz Listesi'!$G$5:$G$487,'Detay-Poz Listesi'!$D$5:$D$487,A11,'Detay-Poz Listesi'!$E$5:$E$487,B11,'Detay-Poz Listesi'!$F$5:$F$487,C11)</f>
        <v>1955</v>
      </c>
      <c r="F11" s="8" t="n">
        <f aca="false">ROUND(SUMIFS('Detay-Poz Listesi'!$J$5:$J$487,'Detay-Poz Listesi'!$D$5:$D$487,A11,'Detay-Poz Listesi'!$E$5:$E$487,B11,'Detay-Poz Listesi'!$F$5:$F$487,C11),2)</f>
        <v>5728.15</v>
      </c>
      <c r="G11" s="8" t="n">
        <f aca="false">ROUND(SUMIFS('Detay-Poz Listesi'!$L$5:$L$487,'Detay-Poz Listesi'!$D$5:$D$487,A11,'Detay-Poz Listesi'!$E$5:$E$487,B11,'Detay-Poz Listesi'!$F$5:$F$487,C11),2)</f>
        <v>6919.5</v>
      </c>
      <c r="H11" s="7" t="n">
        <v>96</v>
      </c>
    </row>
    <row r="12" customFormat="false" ht="15" hidden="false" customHeight="true" outlineLevel="0" collapsed="false">
      <c r="A12" s="7" t="n">
        <v>14</v>
      </c>
      <c r="B12" s="7" t="s">
        <v>15</v>
      </c>
      <c r="C12" s="7" t="n">
        <v>2780</v>
      </c>
      <c r="D12" s="7" t="s">
        <v>41</v>
      </c>
      <c r="E12" s="7" t="n">
        <f aca="false">SUMIFS('Detay-Poz Listesi'!$G$5:$G$487,'Detay-Poz Listesi'!$D$5:$D$487,A12,'Detay-Poz Listesi'!$E$5:$E$487,B12,'Detay-Poz Listesi'!$F$5:$F$487,C12)</f>
        <v>36</v>
      </c>
      <c r="F12" s="8" t="n">
        <f aca="false">ROUND(SUMIFS('Detay-Poz Listesi'!$J$5:$J$487,'Detay-Poz Listesi'!$D$5:$D$487,A12,'Detay-Poz Listesi'!$E$5:$E$487,B12,'Detay-Poz Listesi'!$F$5:$F$487,C12),2)</f>
        <v>100.08</v>
      </c>
      <c r="G12" s="8" t="n">
        <f aca="false">ROUND(SUMIFS('Detay-Poz Listesi'!$L$5:$L$487,'Detay-Poz Listesi'!$D$5:$D$487,A12,'Detay-Poz Listesi'!$E$5:$E$487,B12,'Detay-Poz Listesi'!$F$5:$F$487,C12),2)</f>
        <v>120.9</v>
      </c>
      <c r="H12" s="7" t="n">
        <v>1</v>
      </c>
    </row>
    <row r="13" customFormat="false" ht="15" hidden="false" customHeight="true" outlineLevel="0" collapsed="false">
      <c r="A13" s="7" t="n">
        <v>14</v>
      </c>
      <c r="B13" s="7" t="s">
        <v>15</v>
      </c>
      <c r="C13" s="7" t="n">
        <v>2600</v>
      </c>
      <c r="D13" s="7" t="s">
        <v>41</v>
      </c>
      <c r="E13" s="7" t="n">
        <f aca="false">SUMIFS('Detay-Poz Listesi'!$G$5:$G$487,'Detay-Poz Listesi'!$D$5:$D$487,A13,'Detay-Poz Listesi'!$E$5:$E$487,B13,'Detay-Poz Listesi'!$F$5:$F$487,C13)</f>
        <v>62</v>
      </c>
      <c r="F13" s="8" t="n">
        <f aca="false">ROUND(SUMIFS('Detay-Poz Listesi'!$J$5:$J$487,'Detay-Poz Listesi'!$D$5:$D$487,A13,'Detay-Poz Listesi'!$E$5:$E$487,B13,'Detay-Poz Listesi'!$F$5:$F$487,C13),2)</f>
        <v>161.2</v>
      </c>
      <c r="G13" s="8" t="n">
        <f aca="false">ROUND(SUMIFS('Detay-Poz Listesi'!$L$5:$L$487,'Detay-Poz Listesi'!$D$5:$D$487,A13,'Detay-Poz Listesi'!$E$5:$E$487,B13,'Detay-Poz Listesi'!$F$5:$F$487,C13),2)</f>
        <v>194.73</v>
      </c>
      <c r="H13" s="7" t="n">
        <v>4</v>
      </c>
    </row>
    <row r="14" customFormat="false" ht="15" hidden="false" customHeight="true" outlineLevel="0" collapsed="false">
      <c r="A14" s="7" t="n">
        <v>14</v>
      </c>
      <c r="B14" s="7" t="s">
        <v>15</v>
      </c>
      <c r="C14" s="7" t="n">
        <v>2480</v>
      </c>
      <c r="D14" s="7" t="s">
        <v>41</v>
      </c>
      <c r="E14" s="7" t="n">
        <f aca="false">SUMIFS('Detay-Poz Listesi'!$G$5:$G$487,'Detay-Poz Listesi'!$D$5:$D$487,A14,'Detay-Poz Listesi'!$E$5:$E$487,B14,'Detay-Poz Listesi'!$F$5:$F$487,C14)</f>
        <v>618</v>
      </c>
      <c r="F14" s="8" t="n">
        <f aca="false">ROUND(SUMIFS('Detay-Poz Listesi'!$J$5:$J$487,'Detay-Poz Listesi'!$D$5:$D$487,A14,'Detay-Poz Listesi'!$E$5:$E$487,B14,'Detay-Poz Listesi'!$F$5:$F$487,C14),2)</f>
        <v>1532.64</v>
      </c>
      <c r="G14" s="8" t="n">
        <f aca="false">ROUND(SUMIFS('Detay-Poz Listesi'!$L$5:$L$487,'Detay-Poz Listesi'!$D$5:$D$487,A14,'Detay-Poz Listesi'!$E$5:$E$487,B14,'Detay-Poz Listesi'!$F$5:$F$487,C14),2)</f>
        <v>1851.41</v>
      </c>
      <c r="H14" s="7" t="n">
        <v>26</v>
      </c>
    </row>
    <row r="15" customFormat="false" ht="15" hidden="false" customHeight="true" outlineLevel="0" collapsed="false">
      <c r="A15" s="7" t="n">
        <v>14</v>
      </c>
      <c r="B15" s="7" t="s">
        <v>15</v>
      </c>
      <c r="C15" s="7" t="n">
        <v>2180</v>
      </c>
      <c r="D15" s="7" t="s">
        <v>41</v>
      </c>
      <c r="E15" s="7" t="n">
        <f aca="false">SUMIFS('Detay-Poz Listesi'!$G$5:$G$487,'Detay-Poz Listesi'!$D$5:$D$487,A15,'Detay-Poz Listesi'!$E$5:$E$487,B15,'Detay-Poz Listesi'!$F$5:$F$487,C15)</f>
        <v>62</v>
      </c>
      <c r="F15" s="8" t="n">
        <f aca="false">ROUND(SUMIFS('Detay-Poz Listesi'!$J$5:$J$487,'Detay-Poz Listesi'!$D$5:$D$487,A15,'Detay-Poz Listesi'!$E$5:$E$487,B15,'Detay-Poz Listesi'!$F$5:$F$487,C15),2)</f>
        <v>135.16</v>
      </c>
      <c r="G15" s="8" t="n">
        <f aca="false">ROUND(SUMIFS('Detay-Poz Listesi'!$L$5:$L$487,'Detay-Poz Listesi'!$D$5:$D$487,A15,'Detay-Poz Listesi'!$E$5:$E$487,B15,'Detay-Poz Listesi'!$F$5:$F$487,C15),2)</f>
        <v>163.27</v>
      </c>
      <c r="H15" s="7" t="n">
        <v>4</v>
      </c>
    </row>
    <row r="16" customFormat="false" ht="15" hidden="false" customHeight="true" outlineLevel="0" collapsed="false">
      <c r="A16" s="7" t="n">
        <v>14</v>
      </c>
      <c r="B16" s="7" t="s">
        <v>15</v>
      </c>
      <c r="C16" s="7" t="n">
        <v>1730</v>
      </c>
      <c r="D16" s="7" t="s">
        <v>41</v>
      </c>
      <c r="E16" s="7" t="n">
        <f aca="false">SUMIFS('Detay-Poz Listesi'!$G$5:$G$487,'Detay-Poz Listesi'!$D$5:$D$487,A16,'Detay-Poz Listesi'!$E$5:$E$487,B16,'Detay-Poz Listesi'!$F$5:$F$487,C16)</f>
        <v>54</v>
      </c>
      <c r="F16" s="8" t="n">
        <f aca="false">ROUND(SUMIFS('Detay-Poz Listesi'!$J$5:$J$487,'Detay-Poz Listesi'!$D$5:$D$487,A16,'Detay-Poz Listesi'!$E$5:$E$487,B16,'Detay-Poz Listesi'!$F$5:$F$487,C16),2)</f>
        <v>93.42</v>
      </c>
      <c r="G16" s="8" t="n">
        <f aca="false">ROUND(SUMIFS('Detay-Poz Listesi'!$L$5:$L$487,'Detay-Poz Listesi'!$D$5:$D$487,A16,'Detay-Poz Listesi'!$E$5:$E$487,B16,'Detay-Poz Listesi'!$F$5:$F$487,C16),2)</f>
        <v>112.85</v>
      </c>
      <c r="H16" s="7" t="n">
        <v>1</v>
      </c>
    </row>
    <row r="17" customFormat="false" ht="15" hidden="false" customHeight="true" outlineLevel="0" collapsed="false">
      <c r="A17" s="7" t="n">
        <v>14</v>
      </c>
      <c r="B17" s="7" t="s">
        <v>15</v>
      </c>
      <c r="C17" s="7" t="n">
        <v>560</v>
      </c>
      <c r="D17" s="7" t="s">
        <v>41</v>
      </c>
      <c r="E17" s="7" t="n">
        <f aca="false">SUMIFS('Detay-Poz Listesi'!$G$5:$G$487,'Detay-Poz Listesi'!$D$5:$D$487,A17,'Detay-Poz Listesi'!$E$5:$E$487,B17,'Detay-Poz Listesi'!$F$5:$F$487,C17)</f>
        <v>104</v>
      </c>
      <c r="F17" s="8" t="n">
        <f aca="false">ROUND(SUMIFS('Detay-Poz Listesi'!$J$5:$J$487,'Detay-Poz Listesi'!$D$5:$D$487,A17,'Detay-Poz Listesi'!$E$5:$E$487,B17,'Detay-Poz Listesi'!$F$5:$F$487,C17),2)</f>
        <v>58.24</v>
      </c>
      <c r="G17" s="8" t="n">
        <f aca="false">ROUND(SUMIFS('Detay-Poz Listesi'!$L$5:$L$487,'Detay-Poz Listesi'!$D$5:$D$487,A17,'Detay-Poz Listesi'!$E$5:$E$487,B17,'Detay-Poz Listesi'!$F$5:$F$487,C17),2)</f>
        <v>70.35</v>
      </c>
      <c r="H17" s="7" t="n">
        <v>6</v>
      </c>
    </row>
    <row r="18" customFormat="false" ht="15" hidden="false" customHeight="true" outlineLevel="0" collapsed="false">
      <c r="A18" s="7" t="n">
        <v>14</v>
      </c>
      <c r="B18" s="7" t="s">
        <v>15</v>
      </c>
      <c r="C18" s="17" t="s">
        <v>39</v>
      </c>
      <c r="D18" s="18" t="s">
        <v>40</v>
      </c>
      <c r="E18" s="19"/>
      <c r="F18" s="8" t="n">
        <f aca="false">ROUND(SUMIFS('Detay-Poz Listesi'!$H$5:$H$487,'Detay-Poz Listesi'!$D$5:$D$487,A18,'Detay-Poz Listesi'!$E$5:$E$487,B18,'Detay-Poz Listesi'!$F$5:$F$487,""),2)</f>
        <v>12194.57</v>
      </c>
      <c r="G18" s="8" t="n">
        <f aca="false">ROUND(SUMIFS('Detay-Poz Listesi'!$L$5:$L$487,'Detay-Poz Listesi'!$D$5:$D$487,A18,'Detay-Poz Listesi'!$E$5:$E$487,B18,'Detay-Poz Listesi'!$F$5:$F$487,""),2)</f>
        <v>14767.33</v>
      </c>
      <c r="H18" s="7" t="n">
        <v>97</v>
      </c>
    </row>
    <row r="19" customFormat="false" ht="15" hidden="false" customHeight="true" outlineLevel="0" collapsed="false">
      <c r="A19" s="7" t="n">
        <v>16</v>
      </c>
      <c r="B19" s="7" t="s">
        <v>15</v>
      </c>
      <c r="C19" s="7" t="n">
        <v>1970</v>
      </c>
      <c r="D19" s="7" t="s">
        <v>42</v>
      </c>
      <c r="E19" s="7" t="n">
        <f aca="false">SUMIFS('Detay-Poz Listesi'!$G$5:$G$487,'Detay-Poz Listesi'!$D$5:$D$487,A19,'Detay-Poz Listesi'!$E$5:$E$487,B19,'Detay-Poz Listesi'!$F$5:$F$487,C19)</f>
        <v>830</v>
      </c>
      <c r="F19" s="8" t="n">
        <f aca="false">ROUND(SUMIFS('Detay-Poz Listesi'!$J$5:$J$487,'Detay-Poz Listesi'!$D$5:$D$487,A19,'Detay-Poz Listesi'!$E$5:$E$487,B19,'Detay-Poz Listesi'!$F$5:$F$487,C19),2)</f>
        <v>1635.1</v>
      </c>
      <c r="G19" s="8" t="n">
        <f aca="false">ROUND(SUMIFS('Detay-Poz Listesi'!$L$5:$L$487,'Detay-Poz Listesi'!$D$5:$D$487,A19,'Detay-Poz Listesi'!$E$5:$E$487,B19,'Detay-Poz Listesi'!$F$5:$F$487,C19),2)</f>
        <v>2580.2</v>
      </c>
      <c r="H19" s="7" t="n">
        <v>34</v>
      </c>
    </row>
    <row r="20" customFormat="false" ht="15" hidden="false" customHeight="true" outlineLevel="0" collapsed="false">
      <c r="A20" s="7" t="n">
        <v>16</v>
      </c>
      <c r="B20" s="7" t="s">
        <v>15</v>
      </c>
      <c r="C20" s="7" t="n">
        <v>1370</v>
      </c>
      <c r="D20" s="7" t="s">
        <v>43</v>
      </c>
      <c r="E20" s="7" t="n">
        <f aca="false">SUMIFS('Detay-Poz Listesi'!$G$5:$G$487,'Detay-Poz Listesi'!$D$5:$D$487,A20,'Detay-Poz Listesi'!$E$5:$E$487,B20,'Detay-Poz Listesi'!$F$5:$F$487,C20)</f>
        <v>187</v>
      </c>
      <c r="F20" s="8" t="n">
        <f aca="false">ROUND(SUMIFS('Detay-Poz Listesi'!$J$5:$J$487,'Detay-Poz Listesi'!$D$5:$D$487,A20,'Detay-Poz Listesi'!$E$5:$E$487,B20,'Detay-Poz Listesi'!$F$5:$F$487,C20),2)</f>
        <v>256.19</v>
      </c>
      <c r="G20" s="8" t="n">
        <f aca="false">ROUND(SUMIFS('Detay-Poz Listesi'!$L$5:$L$487,'Detay-Poz Listesi'!$D$5:$D$487,A20,'Detay-Poz Listesi'!$E$5:$E$487,B20,'Detay-Poz Listesi'!$F$5:$F$487,C20),2)</f>
        <v>404.26</v>
      </c>
      <c r="H20" s="7" t="n">
        <v>8</v>
      </c>
    </row>
    <row r="21" customFormat="false" ht="15" hidden="false" customHeight="true" outlineLevel="0" collapsed="false">
      <c r="A21" s="7" t="n">
        <v>16</v>
      </c>
      <c r="B21" s="7" t="s">
        <v>15</v>
      </c>
      <c r="C21" s="7" t="n">
        <v>1150</v>
      </c>
      <c r="D21" s="7" t="s">
        <v>44</v>
      </c>
      <c r="E21" s="7" t="n">
        <f aca="false">SUMIFS('Detay-Poz Listesi'!$G$5:$G$487,'Detay-Poz Listesi'!$D$5:$D$487,A21,'Detay-Poz Listesi'!$E$5:$E$487,B21,'Detay-Poz Listesi'!$F$5:$F$487,C21)</f>
        <v>154</v>
      </c>
      <c r="F21" s="8" t="n">
        <f aca="false">ROUND(SUMIFS('Detay-Poz Listesi'!$J$5:$J$487,'Detay-Poz Listesi'!$D$5:$D$487,A21,'Detay-Poz Listesi'!$E$5:$E$487,B21,'Detay-Poz Listesi'!$F$5:$F$487,C21),2)</f>
        <v>177.1</v>
      </c>
      <c r="G21" s="8" t="n">
        <f aca="false">ROUND(SUMIFS('Detay-Poz Listesi'!$L$5:$L$487,'Detay-Poz Listesi'!$D$5:$D$487,A21,'Detay-Poz Listesi'!$E$5:$E$487,B21,'Detay-Poz Listesi'!$F$5:$F$487,C21),2)</f>
        <v>279.44</v>
      </c>
      <c r="H21" s="7" t="n">
        <v>7</v>
      </c>
    </row>
    <row r="22" customFormat="false" ht="15" hidden="false" customHeight="true" outlineLevel="0" collapsed="false">
      <c r="A22" s="10" t="s">
        <v>45</v>
      </c>
      <c r="B22" s="11"/>
      <c r="C22" s="11"/>
      <c r="D22" s="11"/>
      <c r="E22" s="12" t="n">
        <f aca="false">ROUND(SUM(E5:E21),2)</f>
        <v>15960</v>
      </c>
      <c r="F22" s="12" t="n">
        <f aca="false">ROUND(SUM(F5:F21),2)</f>
        <v>34683.03</v>
      </c>
      <c r="G22" s="12" t="n">
        <f aca="false">ROUND(SUM(G5:G21),2)</f>
        <v>38708.16</v>
      </c>
      <c r="H22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15"/>
    <col collapsed="false" customWidth="true" hidden="false" outlineLevel="0" max="9" min="8" style="1" width="14"/>
    <col collapsed="false" customWidth="true" hidden="false" outlineLevel="0" max="10" min="10" style="1" width="12"/>
    <col collapsed="false" customWidth="true" hidden="false" outlineLevel="0" max="12" min="11" style="1" width="15"/>
  </cols>
  <sheetData>
    <row r="1" customFormat="false" ht="15.75" hidden="false" customHeight="true" outlineLevel="0" collapsed="false">
      <c r="A1" s="16" t="s">
        <v>46</v>
      </c>
    </row>
    <row r="2" customFormat="false" ht="15" hidden="false" customHeight="true" outlineLevel="0" collapsed="false">
      <c r="A2" s="3" t="s">
        <v>47</v>
      </c>
    </row>
    <row r="4" customFormat="false" ht="39.75" hidden="false" customHeight="true" outlineLevel="0" collapsed="false">
      <c r="A4" s="6" t="s">
        <v>48</v>
      </c>
      <c r="B4" s="6" t="s">
        <v>49</v>
      </c>
      <c r="C4" s="6" t="s">
        <v>50</v>
      </c>
      <c r="D4" s="6" t="s">
        <v>51</v>
      </c>
      <c r="E4" s="6" t="s">
        <v>52</v>
      </c>
      <c r="F4" s="6" t="s">
        <v>53</v>
      </c>
      <c r="G4" s="6" t="s">
        <v>54</v>
      </c>
      <c r="H4" s="6" t="s">
        <v>55</v>
      </c>
      <c r="I4" s="6" t="s">
        <v>56</v>
      </c>
      <c r="J4" s="6" t="s">
        <v>57</v>
      </c>
      <c r="K4" s="6" t="s">
        <v>58</v>
      </c>
      <c r="L4" s="6" t="s">
        <v>59</v>
      </c>
    </row>
    <row r="5" customFormat="false" ht="15" hidden="false" customHeight="true" outlineLevel="0" collapsed="false">
      <c r="A5" s="7" t="s">
        <v>60</v>
      </c>
      <c r="B5" s="7" t="s">
        <v>61</v>
      </c>
      <c r="C5" s="7" t="s">
        <v>62</v>
      </c>
      <c r="D5" s="8" t="n">
        <f aca="false">ROUND(SUMIFS('Detay-Poz Listesi'!$L$5:$L$487,'Detay-Poz Listesi'!$A$5:$A$487,A5,'Detay-Poz Listesi'!$C$5:$C$487,C5,'Detay-Poz Listesi'!$D$5:$D$487,8),2)</f>
        <v>23.39</v>
      </c>
      <c r="E5" s="8" t="n">
        <f aca="false">ROUND(SUMIFS('Detay-Poz Listesi'!$L$5:$L$487,'Detay-Poz Listesi'!$A$5:$A$487,A5,'Detay-Poz Listesi'!$C$5:$C$487,C5,'Detay-Poz Listesi'!$D$5:$D$487,14),2)</f>
        <v>318.45</v>
      </c>
      <c r="F5" s="8" t="n">
        <f aca="false">ROUND(SUMIFS('Detay-Poz Listesi'!$L$5:$L$487,'Detay-Poz Listesi'!$A$5:$A$487,A5,'Detay-Poz Listesi'!$C$5:$C$487,C5,'Detay-Poz Listesi'!$D$5:$D$487,16),2)</f>
        <v>0</v>
      </c>
      <c r="G5" s="8" t="n">
        <f aca="false">ROUND(SUM(D5:F5),2)</f>
        <v>341.84</v>
      </c>
      <c r="H5" s="20" t="n">
        <v>7.01</v>
      </c>
      <c r="I5" s="20"/>
      <c r="J5" s="21" t="n">
        <v>1</v>
      </c>
      <c r="K5" s="8" t="n">
        <f aca="false">ROUND(G5*J5,2)</f>
        <v>341.84</v>
      </c>
      <c r="L5" s="8" t="n">
        <f aca="false">ROUND(H5*J5,2)</f>
        <v>7.01</v>
      </c>
    </row>
    <row r="6" customFormat="false" ht="15" hidden="false" customHeight="true" outlineLevel="0" collapsed="false">
      <c r="A6" s="7" t="s">
        <v>63</v>
      </c>
      <c r="B6" s="7" t="s">
        <v>61</v>
      </c>
      <c r="C6" s="7" t="s">
        <v>64</v>
      </c>
      <c r="D6" s="8" t="n">
        <f aca="false">ROUND(SUMIFS('Detay-Poz Listesi'!$L$5:$L$487,'Detay-Poz Listesi'!$A$5:$A$487,A6,'Detay-Poz Listesi'!$C$5:$C$487,C6,'Detay-Poz Listesi'!$D$5:$D$487,8),2)</f>
        <v>23.39</v>
      </c>
      <c r="E6" s="8" t="n">
        <f aca="false">ROUND(SUMIFS('Detay-Poz Listesi'!$L$5:$L$487,'Detay-Poz Listesi'!$A$5:$A$487,A6,'Detay-Poz Listesi'!$C$5:$C$487,C6,'Detay-Poz Listesi'!$D$5:$D$487,14),2)</f>
        <v>332.36</v>
      </c>
      <c r="F6" s="8" t="n">
        <f aca="false">ROUND(SUMIFS('Detay-Poz Listesi'!$L$5:$L$487,'Detay-Poz Listesi'!$A$5:$A$487,A6,'Detay-Poz Listesi'!$C$5:$C$487,C6,'Detay-Poz Listesi'!$D$5:$D$487,16),2)</f>
        <v>0</v>
      </c>
      <c r="G6" s="8" t="n">
        <f aca="false">ROUND(SUM(D6:F6),2)</f>
        <v>355.75</v>
      </c>
      <c r="H6" s="20" t="n">
        <v>7.01</v>
      </c>
      <c r="I6" s="20"/>
      <c r="J6" s="21" t="n">
        <v>1</v>
      </c>
      <c r="K6" s="8" t="n">
        <f aca="false">ROUND(G6*J6,2)</f>
        <v>355.75</v>
      </c>
      <c r="L6" s="8" t="n">
        <f aca="false">ROUND(H6*J6,2)</f>
        <v>7.01</v>
      </c>
    </row>
    <row r="7" customFormat="false" ht="15" hidden="false" customHeight="true" outlineLevel="0" collapsed="false">
      <c r="A7" s="7" t="s">
        <v>65</v>
      </c>
      <c r="B7" s="7" t="s">
        <v>61</v>
      </c>
      <c r="C7" s="7" t="s">
        <v>66</v>
      </c>
      <c r="D7" s="8" t="n">
        <f aca="false">ROUND(SUMIFS('Detay-Poz Listesi'!$L$5:$L$487,'Detay-Poz Listesi'!$A$5:$A$487,A7,'Detay-Poz Listesi'!$C$5:$C$487,C7,'Detay-Poz Listesi'!$D$5:$D$487,8),2)</f>
        <v>36.08</v>
      </c>
      <c r="E7" s="8" t="n">
        <f aca="false">ROUND(SUMIFS('Detay-Poz Listesi'!$L$5:$L$487,'Detay-Poz Listesi'!$A$5:$A$487,A7,'Detay-Poz Listesi'!$C$5:$C$487,C7,'Detay-Poz Listesi'!$D$5:$D$487,14),2)</f>
        <v>500.14</v>
      </c>
      <c r="F7" s="8" t="n">
        <f aca="false">ROUND(SUMIFS('Detay-Poz Listesi'!$L$5:$L$487,'Detay-Poz Listesi'!$A$5:$A$487,A7,'Detay-Poz Listesi'!$C$5:$C$487,C7,'Detay-Poz Listesi'!$D$5:$D$487,16),2)</f>
        <v>0</v>
      </c>
      <c r="G7" s="8" t="n">
        <f aca="false">ROUND(SUM(D7:F7),2)</f>
        <v>536.22</v>
      </c>
      <c r="H7" s="20" t="n">
        <v>10.88</v>
      </c>
      <c r="I7" s="20" t="n">
        <v>22.75</v>
      </c>
      <c r="J7" s="21" t="n">
        <v>1</v>
      </c>
      <c r="K7" s="8" t="n">
        <f aca="false">ROUND(G7*J7,2)</f>
        <v>536.22</v>
      </c>
      <c r="L7" s="8" t="n">
        <f aca="false">ROUND(H7*J7,2)</f>
        <v>10.88</v>
      </c>
    </row>
    <row r="8" customFormat="false" ht="15" hidden="false" customHeight="true" outlineLevel="0" collapsed="false">
      <c r="A8" s="7" t="s">
        <v>67</v>
      </c>
      <c r="B8" s="7" t="s">
        <v>61</v>
      </c>
      <c r="C8" s="7" t="s">
        <v>68</v>
      </c>
      <c r="D8" s="8" t="n">
        <f aca="false">ROUND(SUMIFS('Detay-Poz Listesi'!$L$5:$L$487,'Detay-Poz Listesi'!$A$5:$A$487,A8,'Detay-Poz Listesi'!$C$5:$C$487,C8,'Detay-Poz Listesi'!$D$5:$D$487,8),2)</f>
        <v>37.83</v>
      </c>
      <c r="E8" s="8" t="n">
        <f aca="false">ROUND(SUMIFS('Detay-Poz Listesi'!$L$5:$L$487,'Detay-Poz Listesi'!$A$5:$A$487,A8,'Detay-Poz Listesi'!$C$5:$C$487,C8,'Detay-Poz Listesi'!$D$5:$D$487,14),2)</f>
        <v>529.75</v>
      </c>
      <c r="F8" s="8" t="n">
        <f aca="false">ROUND(SUMIFS('Detay-Poz Listesi'!$L$5:$L$487,'Detay-Poz Listesi'!$A$5:$A$487,A8,'Detay-Poz Listesi'!$C$5:$C$487,C8,'Detay-Poz Listesi'!$D$5:$D$487,16),2)</f>
        <v>68.39</v>
      </c>
      <c r="G8" s="8" t="n">
        <f aca="false">ROUND(SUM(D8:F8),2)</f>
        <v>635.97</v>
      </c>
      <c r="H8" s="20" t="n">
        <v>13.13</v>
      </c>
      <c r="I8" s="20"/>
      <c r="J8" s="21" t="n">
        <v>1</v>
      </c>
      <c r="K8" s="8" t="n">
        <f aca="false">ROUND(G8*J8,2)</f>
        <v>635.97</v>
      </c>
      <c r="L8" s="8" t="n">
        <f aca="false">ROUND(H8*J8,2)</f>
        <v>13.13</v>
      </c>
    </row>
    <row r="9" customFormat="false" ht="15" hidden="false" customHeight="true" outlineLevel="0" collapsed="false">
      <c r="A9" s="7" t="s">
        <v>69</v>
      </c>
      <c r="B9" s="7" t="s">
        <v>70</v>
      </c>
      <c r="C9" s="7" t="s">
        <v>62</v>
      </c>
      <c r="D9" s="8" t="n">
        <f aca="false">ROUND(SUMIFS('Detay-Poz Listesi'!$L$5:$L$487,'Detay-Poz Listesi'!$A$5:$A$487,A9,'Detay-Poz Listesi'!$C$5:$C$487,C9,'Detay-Poz Listesi'!$D$5:$D$487,8),2)</f>
        <v>22.65</v>
      </c>
      <c r="E9" s="8" t="n">
        <f aca="false">ROUND(SUMIFS('Detay-Poz Listesi'!$L$5:$L$487,'Detay-Poz Listesi'!$A$5:$A$487,A9,'Detay-Poz Listesi'!$C$5:$C$487,C9,'Detay-Poz Listesi'!$D$5:$D$487,14),2)</f>
        <v>317.98</v>
      </c>
      <c r="F9" s="8" t="n">
        <f aca="false">ROUND(SUMIFS('Detay-Poz Listesi'!$L$5:$L$487,'Detay-Poz Listesi'!$A$5:$A$487,A9,'Detay-Poz Listesi'!$C$5:$C$487,C9,'Detay-Poz Listesi'!$D$5:$D$487,16),2)</f>
        <v>0</v>
      </c>
      <c r="G9" s="8" t="n">
        <f aca="false">ROUND(SUM(D9:F9),2)</f>
        <v>340.63</v>
      </c>
      <c r="H9" s="20" t="n">
        <v>6.73</v>
      </c>
      <c r="I9" s="20"/>
      <c r="J9" s="21" t="n">
        <v>1</v>
      </c>
      <c r="K9" s="8" t="n">
        <f aca="false">ROUND(G9*J9,2)</f>
        <v>340.63</v>
      </c>
      <c r="L9" s="8" t="n">
        <f aca="false">ROUND(H9*J9,2)</f>
        <v>6.73</v>
      </c>
    </row>
    <row r="10" customFormat="false" ht="15" hidden="false" customHeight="true" outlineLevel="0" collapsed="false">
      <c r="A10" s="7" t="s">
        <v>71</v>
      </c>
      <c r="B10" s="7" t="s">
        <v>70</v>
      </c>
      <c r="C10" s="7" t="s">
        <v>64</v>
      </c>
      <c r="D10" s="8" t="n">
        <f aca="false">ROUND(SUMIFS('Detay-Poz Listesi'!$L$5:$L$487,'Detay-Poz Listesi'!$A$5:$A$487,A10,'Detay-Poz Listesi'!$C$5:$C$487,C10,'Detay-Poz Listesi'!$D$5:$D$487,8),2)</f>
        <v>27.87</v>
      </c>
      <c r="E10" s="8" t="n">
        <f aca="false">ROUND(SUMIFS('Detay-Poz Listesi'!$L$5:$L$487,'Detay-Poz Listesi'!$A$5:$A$487,A10,'Detay-Poz Listesi'!$C$5:$C$487,C10,'Detay-Poz Listesi'!$D$5:$D$487,14),2)</f>
        <v>392.51</v>
      </c>
      <c r="F10" s="8" t="n">
        <f aca="false">ROUND(SUMIFS('Detay-Poz Listesi'!$L$5:$L$487,'Detay-Poz Listesi'!$A$5:$A$487,A10,'Detay-Poz Listesi'!$C$5:$C$487,C10,'Detay-Poz Listesi'!$D$5:$D$487,16),2)</f>
        <v>0</v>
      </c>
      <c r="G10" s="8" t="n">
        <f aca="false">ROUND(SUM(D10:F10),2)</f>
        <v>420.38</v>
      </c>
      <c r="H10" s="20" t="n">
        <v>8.38</v>
      </c>
      <c r="I10" s="20"/>
      <c r="J10" s="21" t="n">
        <v>1</v>
      </c>
      <c r="K10" s="8" t="n">
        <f aca="false">ROUND(G10*J10,2)</f>
        <v>420.38</v>
      </c>
      <c r="L10" s="8" t="n">
        <f aca="false">ROUND(H10*J10,2)</f>
        <v>8.38</v>
      </c>
    </row>
    <row r="11" customFormat="false" ht="15" hidden="false" customHeight="true" outlineLevel="0" collapsed="false">
      <c r="A11" s="7" t="s">
        <v>72</v>
      </c>
      <c r="B11" s="7" t="s">
        <v>70</v>
      </c>
      <c r="C11" s="7" t="s">
        <v>66</v>
      </c>
      <c r="D11" s="8" t="n">
        <f aca="false">ROUND(SUMIFS('Detay-Poz Listesi'!$L$5:$L$487,'Detay-Poz Listesi'!$A$5:$A$487,A11,'Detay-Poz Listesi'!$C$5:$C$487,C11,'Detay-Poz Listesi'!$D$5:$D$487,8),2)</f>
        <v>37.83</v>
      </c>
      <c r="E11" s="8" t="n">
        <f aca="false">ROUND(SUMIFS('Detay-Poz Listesi'!$L$5:$L$487,'Detay-Poz Listesi'!$A$5:$A$487,A11,'Detay-Poz Listesi'!$C$5:$C$487,C11,'Detay-Poz Listesi'!$D$5:$D$487,14),2)</f>
        <v>533.73</v>
      </c>
      <c r="F11" s="8" t="n">
        <f aca="false">ROUND(SUMIFS('Detay-Poz Listesi'!$L$5:$L$487,'Detay-Poz Listesi'!$A$5:$A$487,A11,'Detay-Poz Listesi'!$C$5:$C$487,C11,'Detay-Poz Listesi'!$D$5:$D$487,16),2)</f>
        <v>68.39</v>
      </c>
      <c r="G11" s="8" t="n">
        <f aca="false">ROUND(SUM(D11:F11),2)</f>
        <v>639.95</v>
      </c>
      <c r="H11" s="20" t="n">
        <v>13.13</v>
      </c>
      <c r="I11" s="20"/>
      <c r="J11" s="21" t="n">
        <v>1</v>
      </c>
      <c r="K11" s="8" t="n">
        <f aca="false">ROUND(G11*J11,2)</f>
        <v>639.95</v>
      </c>
      <c r="L11" s="8" t="n">
        <f aca="false">ROUND(H11*J11,2)</f>
        <v>13.13</v>
      </c>
    </row>
    <row r="12" customFormat="false" ht="15" hidden="false" customHeight="true" outlineLevel="0" collapsed="false">
      <c r="A12" s="7" t="s">
        <v>73</v>
      </c>
      <c r="B12" s="7" t="s">
        <v>70</v>
      </c>
      <c r="C12" s="7" t="s">
        <v>68</v>
      </c>
      <c r="D12" s="8" t="n">
        <f aca="false">ROUND(SUMIFS('Detay-Poz Listesi'!$L$5:$L$487,'Detay-Poz Listesi'!$A$5:$A$487,A12,'Detay-Poz Listesi'!$C$5:$C$487,C12,'Detay-Poz Listesi'!$D$5:$D$487,8),2)</f>
        <v>54</v>
      </c>
      <c r="E12" s="8" t="n">
        <f aca="false">ROUND(SUMIFS('Detay-Poz Listesi'!$L$5:$L$487,'Detay-Poz Listesi'!$A$5:$A$487,A12,'Detay-Poz Listesi'!$C$5:$C$487,C12,'Detay-Poz Listesi'!$D$5:$D$487,14),2)</f>
        <v>689.96</v>
      </c>
      <c r="F12" s="8" t="n">
        <f aca="false">ROUND(SUMIFS('Detay-Poz Listesi'!$L$5:$L$487,'Detay-Poz Listesi'!$A$5:$A$487,A12,'Detay-Poz Listesi'!$C$5:$C$487,C12,'Detay-Poz Listesi'!$D$5:$D$487,16),2)</f>
        <v>136.78</v>
      </c>
      <c r="G12" s="8" t="n">
        <f aca="false">ROUND(SUM(D12:F12),2)</f>
        <v>880.74</v>
      </c>
      <c r="H12" s="20" t="n">
        <v>16.05</v>
      </c>
      <c r="I12" s="20" t="n">
        <v>28.03</v>
      </c>
      <c r="J12" s="21" t="n">
        <v>1</v>
      </c>
      <c r="K12" s="8" t="n">
        <f aca="false">ROUND(G12*J12,2)</f>
        <v>880.74</v>
      </c>
      <c r="L12" s="8" t="n">
        <f aca="false">ROUND(H12*J12,2)</f>
        <v>16.05</v>
      </c>
    </row>
    <row r="13" customFormat="false" ht="15" hidden="false" customHeight="true" outlineLevel="0" collapsed="false">
      <c r="A13" s="7" t="s">
        <v>74</v>
      </c>
      <c r="B13" s="7" t="s">
        <v>75</v>
      </c>
      <c r="C13" s="7" t="s">
        <v>62</v>
      </c>
      <c r="D13" s="8" t="n">
        <f aca="false">ROUND(SUMIFS('Detay-Poz Listesi'!$L$5:$L$487,'Detay-Poz Listesi'!$A$5:$A$487,A13,'Detay-Poz Listesi'!$C$5:$C$487,C13,'Detay-Poz Listesi'!$D$5:$D$487,8),2)</f>
        <v>22.65</v>
      </c>
      <c r="E13" s="8" t="n">
        <f aca="false">ROUND(SUMIFS('Detay-Poz Listesi'!$L$5:$L$487,'Detay-Poz Listesi'!$A$5:$A$487,A13,'Detay-Poz Listesi'!$C$5:$C$487,C13,'Detay-Poz Listesi'!$D$5:$D$487,14),2)</f>
        <v>316.5</v>
      </c>
      <c r="F13" s="8" t="n">
        <f aca="false">ROUND(SUMIFS('Detay-Poz Listesi'!$L$5:$L$487,'Detay-Poz Listesi'!$A$5:$A$487,A13,'Detay-Poz Listesi'!$C$5:$C$487,C13,'Detay-Poz Listesi'!$D$5:$D$487,16),2)</f>
        <v>0</v>
      </c>
      <c r="G13" s="8" t="n">
        <f aca="false">ROUND(SUM(D13:F13),2)</f>
        <v>339.15</v>
      </c>
      <c r="H13" s="20" t="n">
        <v>6.76</v>
      </c>
      <c r="I13" s="20"/>
      <c r="J13" s="21" t="n">
        <v>1</v>
      </c>
      <c r="K13" s="8" t="n">
        <f aca="false">ROUND(G13*J13,2)</f>
        <v>339.15</v>
      </c>
      <c r="L13" s="8" t="n">
        <f aca="false">ROUND(H13*J13,2)</f>
        <v>6.76</v>
      </c>
    </row>
    <row r="14" customFormat="false" ht="15" hidden="false" customHeight="true" outlineLevel="0" collapsed="false">
      <c r="A14" s="7" t="s">
        <v>76</v>
      </c>
      <c r="B14" s="7" t="s">
        <v>75</v>
      </c>
      <c r="C14" s="7" t="s">
        <v>64</v>
      </c>
      <c r="D14" s="8" t="n">
        <f aca="false">ROUND(SUMIFS('Detay-Poz Listesi'!$L$5:$L$487,'Detay-Poz Listesi'!$A$5:$A$487,A14,'Detay-Poz Listesi'!$C$5:$C$487,C14,'Detay-Poz Listesi'!$D$5:$D$487,8),2)</f>
        <v>28.12</v>
      </c>
      <c r="E14" s="8" t="n">
        <f aca="false">ROUND(SUMIFS('Detay-Poz Listesi'!$L$5:$L$487,'Detay-Poz Listesi'!$A$5:$A$487,A14,'Detay-Poz Listesi'!$C$5:$C$487,C14,'Detay-Poz Listesi'!$D$5:$D$487,14),2)</f>
        <v>391</v>
      </c>
      <c r="F14" s="8" t="n">
        <f aca="false">ROUND(SUMIFS('Detay-Poz Listesi'!$L$5:$L$487,'Detay-Poz Listesi'!$A$5:$A$487,A14,'Detay-Poz Listesi'!$C$5:$C$487,C14,'Detay-Poz Listesi'!$D$5:$D$487,16),2)</f>
        <v>0</v>
      </c>
      <c r="G14" s="8" t="n">
        <f aca="false">ROUND(SUM(D14:F14),2)</f>
        <v>419.12</v>
      </c>
      <c r="H14" s="20" t="n">
        <v>8.4</v>
      </c>
      <c r="I14" s="20"/>
      <c r="J14" s="21" t="n">
        <v>1</v>
      </c>
      <c r="K14" s="8" t="n">
        <f aca="false">ROUND(G14*J14,2)</f>
        <v>419.12</v>
      </c>
      <c r="L14" s="8" t="n">
        <f aca="false">ROUND(H14*J14,2)</f>
        <v>8.4</v>
      </c>
    </row>
    <row r="15" customFormat="false" ht="15" hidden="false" customHeight="true" outlineLevel="0" collapsed="false">
      <c r="A15" s="7" t="s">
        <v>77</v>
      </c>
      <c r="B15" s="7" t="s">
        <v>75</v>
      </c>
      <c r="C15" s="7" t="s">
        <v>66</v>
      </c>
      <c r="D15" s="8" t="n">
        <f aca="false">ROUND(SUMIFS('Detay-Poz Listesi'!$L$5:$L$487,'Detay-Poz Listesi'!$A$5:$A$487,A15,'Detay-Poz Listesi'!$C$5:$C$487,C15,'Detay-Poz Listesi'!$D$5:$D$487,8),2)</f>
        <v>37.83</v>
      </c>
      <c r="E15" s="8" t="n">
        <f aca="false">ROUND(SUMIFS('Detay-Poz Listesi'!$L$5:$L$487,'Detay-Poz Listesi'!$A$5:$A$487,A15,'Detay-Poz Listesi'!$C$5:$C$487,C15,'Detay-Poz Listesi'!$D$5:$D$487,14),2)</f>
        <v>587.3</v>
      </c>
      <c r="F15" s="8" t="n">
        <f aca="false">ROUND(SUMIFS('Detay-Poz Listesi'!$L$5:$L$487,'Detay-Poz Listesi'!$A$5:$A$487,A15,'Detay-Poz Listesi'!$C$5:$C$487,C15,'Detay-Poz Listesi'!$D$5:$D$487,16),2)</f>
        <v>68.39</v>
      </c>
      <c r="G15" s="8" t="n">
        <f aca="false">ROUND(SUM(D15:F15),2)</f>
        <v>693.52</v>
      </c>
      <c r="H15" s="20" t="n">
        <v>13.35</v>
      </c>
      <c r="I15" s="20"/>
      <c r="J15" s="21" t="n">
        <v>1</v>
      </c>
      <c r="K15" s="8" t="n">
        <f aca="false">ROUND(G15*J15,2)</f>
        <v>693.52</v>
      </c>
      <c r="L15" s="8" t="n">
        <f aca="false">ROUND(H15*J15,2)</f>
        <v>13.35</v>
      </c>
    </row>
    <row r="16" customFormat="false" ht="15" hidden="false" customHeight="true" outlineLevel="0" collapsed="false">
      <c r="A16" s="7" t="s">
        <v>78</v>
      </c>
      <c r="B16" s="7" t="s">
        <v>75</v>
      </c>
      <c r="C16" s="7" t="s">
        <v>68</v>
      </c>
      <c r="D16" s="8" t="n">
        <f aca="false">ROUND(SUMIFS('Detay-Poz Listesi'!$L$5:$L$487,'Detay-Poz Listesi'!$A$5:$A$487,A16,'Detay-Poz Listesi'!$C$5:$C$487,C16,'Detay-Poz Listesi'!$D$5:$D$487,8),2)</f>
        <v>53.75</v>
      </c>
      <c r="E16" s="8" t="n">
        <f aca="false">ROUND(SUMIFS('Detay-Poz Listesi'!$L$5:$L$487,'Detay-Poz Listesi'!$A$5:$A$487,A16,'Detay-Poz Listesi'!$C$5:$C$487,C16,'Detay-Poz Listesi'!$D$5:$D$487,14),2)</f>
        <v>684.11</v>
      </c>
      <c r="F16" s="8" t="n">
        <f aca="false">ROUND(SUMIFS('Detay-Poz Listesi'!$L$5:$L$487,'Detay-Poz Listesi'!$A$5:$A$487,A16,'Detay-Poz Listesi'!$C$5:$C$487,C16,'Detay-Poz Listesi'!$D$5:$D$487,16),2)</f>
        <v>136.78</v>
      </c>
      <c r="G16" s="8" t="n">
        <f aca="false">ROUND(SUM(D16:F16),2)</f>
        <v>874.64</v>
      </c>
      <c r="H16" s="20" t="n">
        <v>16.1</v>
      </c>
      <c r="I16" s="20" t="n">
        <v>28.1</v>
      </c>
      <c r="J16" s="21" t="n">
        <v>1</v>
      </c>
      <c r="K16" s="8" t="n">
        <f aca="false">ROUND(G16*J16,2)</f>
        <v>874.64</v>
      </c>
      <c r="L16" s="8" t="n">
        <f aca="false">ROUND(H16*J16,2)</f>
        <v>16.1</v>
      </c>
    </row>
    <row r="17" customFormat="false" ht="15" hidden="false" customHeight="true" outlineLevel="0" collapsed="false">
      <c r="A17" s="7" t="s">
        <v>79</v>
      </c>
      <c r="B17" s="7" t="s">
        <v>80</v>
      </c>
      <c r="C17" s="7" t="s">
        <v>62</v>
      </c>
      <c r="D17" s="8" t="n">
        <f aca="false">ROUND(SUMIFS('Detay-Poz Listesi'!$L$5:$L$487,'Detay-Poz Listesi'!$A$5:$A$487,A17,'Detay-Poz Listesi'!$C$5:$C$487,C17,'Detay-Poz Listesi'!$D$5:$D$487,8),2)</f>
        <v>23.39</v>
      </c>
      <c r="E17" s="8" t="n">
        <f aca="false">ROUND(SUMIFS('Detay-Poz Listesi'!$L$5:$L$487,'Detay-Poz Listesi'!$A$5:$A$487,A17,'Detay-Poz Listesi'!$C$5:$C$487,C17,'Detay-Poz Listesi'!$D$5:$D$487,14),2)</f>
        <v>330.27</v>
      </c>
      <c r="F17" s="8" t="n">
        <f aca="false">ROUND(SUMIFS('Detay-Poz Listesi'!$L$5:$L$487,'Detay-Poz Listesi'!$A$5:$A$487,A17,'Detay-Poz Listesi'!$C$5:$C$487,C17,'Detay-Poz Listesi'!$D$5:$D$487,16),2)</f>
        <v>0</v>
      </c>
      <c r="G17" s="8" t="n">
        <f aca="false">ROUND(SUM(D17:F17),2)</f>
        <v>353.66</v>
      </c>
      <c r="H17" s="20" t="n">
        <v>6.99</v>
      </c>
      <c r="I17" s="20"/>
      <c r="J17" s="21" t="n">
        <v>1</v>
      </c>
      <c r="K17" s="8" t="n">
        <f aca="false">ROUND(G17*J17,2)</f>
        <v>353.66</v>
      </c>
      <c r="L17" s="8" t="n">
        <f aca="false">ROUND(H17*J17,2)</f>
        <v>6.99</v>
      </c>
    </row>
    <row r="18" customFormat="false" ht="15" hidden="false" customHeight="true" outlineLevel="0" collapsed="false">
      <c r="A18" s="7" t="s">
        <v>81</v>
      </c>
      <c r="B18" s="7" t="s">
        <v>80</v>
      </c>
      <c r="C18" s="7" t="s">
        <v>64</v>
      </c>
      <c r="D18" s="8" t="n">
        <f aca="false">ROUND(SUMIFS('Detay-Poz Listesi'!$L$5:$L$487,'Detay-Poz Listesi'!$A$5:$A$487,A18,'Detay-Poz Listesi'!$C$5:$C$487,C18,'Detay-Poz Listesi'!$D$5:$D$487,8),2)</f>
        <v>28.12</v>
      </c>
      <c r="E18" s="8" t="n">
        <f aca="false">ROUND(SUMIFS('Detay-Poz Listesi'!$L$5:$L$487,'Detay-Poz Listesi'!$A$5:$A$487,A18,'Detay-Poz Listesi'!$C$5:$C$487,C18,'Detay-Poz Listesi'!$D$5:$D$487,14),2)</f>
        <v>388.08</v>
      </c>
      <c r="F18" s="8" t="n">
        <f aca="false">ROUND(SUMIFS('Detay-Poz Listesi'!$L$5:$L$487,'Detay-Poz Listesi'!$A$5:$A$487,A18,'Detay-Poz Listesi'!$C$5:$C$487,C18,'Detay-Poz Listesi'!$D$5:$D$487,16),2)</f>
        <v>0</v>
      </c>
      <c r="G18" s="8" t="n">
        <f aca="false">ROUND(SUM(D18:F18),2)</f>
        <v>416.2</v>
      </c>
      <c r="H18" s="20" t="n">
        <v>8.44</v>
      </c>
      <c r="I18" s="20"/>
      <c r="J18" s="21" t="n">
        <v>1</v>
      </c>
      <c r="K18" s="8" t="n">
        <f aca="false">ROUND(G18*J18,2)</f>
        <v>416.2</v>
      </c>
      <c r="L18" s="8" t="n">
        <f aca="false">ROUND(H18*J18,2)</f>
        <v>8.44</v>
      </c>
    </row>
    <row r="19" customFormat="false" ht="15" hidden="false" customHeight="true" outlineLevel="0" collapsed="false">
      <c r="A19" s="7" t="s">
        <v>82</v>
      </c>
      <c r="B19" s="7" t="s">
        <v>80</v>
      </c>
      <c r="C19" s="7" t="s">
        <v>66</v>
      </c>
      <c r="D19" s="8" t="n">
        <f aca="false">ROUND(SUMIFS('Detay-Poz Listesi'!$L$5:$L$487,'Detay-Poz Listesi'!$A$5:$A$487,A19,'Detay-Poz Listesi'!$C$5:$C$487,C19,'Detay-Poz Listesi'!$D$5:$D$487,8),2)</f>
        <v>37.83</v>
      </c>
      <c r="E19" s="8" t="n">
        <f aca="false">ROUND(SUMIFS('Detay-Poz Listesi'!$L$5:$L$487,'Detay-Poz Listesi'!$A$5:$A$487,A19,'Detay-Poz Listesi'!$C$5:$C$487,C19,'Detay-Poz Listesi'!$D$5:$D$487,14),2)</f>
        <v>541.32</v>
      </c>
      <c r="F19" s="8" t="n">
        <f aca="false">ROUND(SUMIFS('Detay-Poz Listesi'!$L$5:$L$487,'Detay-Poz Listesi'!$A$5:$A$487,A19,'Detay-Poz Listesi'!$C$5:$C$487,C19,'Detay-Poz Listesi'!$D$5:$D$487,16),2)</f>
        <v>68.39</v>
      </c>
      <c r="G19" s="8" t="n">
        <f aca="false">ROUND(SUM(D19:F19),2)</f>
        <v>647.54</v>
      </c>
      <c r="H19" s="20" t="n">
        <v>13.35</v>
      </c>
      <c r="I19" s="20"/>
      <c r="J19" s="21" t="n">
        <v>1</v>
      </c>
      <c r="K19" s="8" t="n">
        <f aca="false">ROUND(G19*J19,2)</f>
        <v>647.54</v>
      </c>
      <c r="L19" s="8" t="n">
        <f aca="false">ROUND(H19*J19,2)</f>
        <v>13.35</v>
      </c>
    </row>
    <row r="20" customFormat="false" ht="15" hidden="false" customHeight="true" outlineLevel="0" collapsed="false">
      <c r="A20" s="7" t="s">
        <v>83</v>
      </c>
      <c r="B20" s="7" t="s">
        <v>80</v>
      </c>
      <c r="C20" s="7" t="s">
        <v>68</v>
      </c>
      <c r="D20" s="8" t="n">
        <f aca="false">ROUND(SUMIFS('Detay-Poz Listesi'!$L$5:$L$487,'Detay-Poz Listesi'!$A$5:$A$487,A20,'Detay-Poz Listesi'!$C$5:$C$487,C20,'Detay-Poz Listesi'!$D$5:$D$487,8),2)</f>
        <v>53.75</v>
      </c>
      <c r="E20" s="8" t="n">
        <f aca="false">ROUND(SUMIFS('Detay-Poz Listesi'!$L$5:$L$487,'Detay-Poz Listesi'!$A$5:$A$487,A20,'Detay-Poz Listesi'!$C$5:$C$487,C20,'Detay-Poz Listesi'!$D$5:$D$487,14),2)</f>
        <v>669.88</v>
      </c>
      <c r="F20" s="8" t="n">
        <f aca="false">ROUND(SUMIFS('Detay-Poz Listesi'!$L$5:$L$487,'Detay-Poz Listesi'!$A$5:$A$487,A20,'Detay-Poz Listesi'!$C$5:$C$487,C20,'Detay-Poz Listesi'!$D$5:$D$487,16),2)</f>
        <v>68.39</v>
      </c>
      <c r="G20" s="8" t="n">
        <f aca="false">ROUND(SUM(D20:F20),2)</f>
        <v>792.02</v>
      </c>
      <c r="H20" s="20" t="n">
        <v>16.17</v>
      </c>
      <c r="I20" s="20" t="n">
        <v>28.05</v>
      </c>
      <c r="J20" s="21" t="n">
        <v>1</v>
      </c>
      <c r="K20" s="8" t="n">
        <f aca="false">ROUND(G20*J20,2)</f>
        <v>792.02</v>
      </c>
      <c r="L20" s="8" t="n">
        <f aca="false">ROUND(H20*J20,2)</f>
        <v>16.17</v>
      </c>
    </row>
    <row r="21" customFormat="false" ht="15" hidden="false" customHeight="true" outlineLevel="0" collapsed="false">
      <c r="A21" s="7" t="s">
        <v>84</v>
      </c>
      <c r="B21" s="7" t="s">
        <v>85</v>
      </c>
      <c r="C21" s="7" t="s">
        <v>62</v>
      </c>
      <c r="D21" s="8" t="n">
        <f aca="false">ROUND(SUMIFS('Detay-Poz Listesi'!$L$5:$L$487,'Detay-Poz Listesi'!$A$5:$A$487,A21,'Detay-Poz Listesi'!$C$5:$C$487,C21,'Detay-Poz Listesi'!$D$5:$D$487,8),2)</f>
        <v>23.39</v>
      </c>
      <c r="E21" s="8" t="n">
        <f aca="false">ROUND(SUMIFS('Detay-Poz Listesi'!$L$5:$L$487,'Detay-Poz Listesi'!$A$5:$A$487,A21,'Detay-Poz Listesi'!$C$5:$C$487,C21,'Detay-Poz Listesi'!$D$5:$D$487,14),2)</f>
        <v>330.27</v>
      </c>
      <c r="F21" s="8" t="n">
        <f aca="false">ROUND(SUMIFS('Detay-Poz Listesi'!$L$5:$L$487,'Detay-Poz Listesi'!$A$5:$A$487,A21,'Detay-Poz Listesi'!$C$5:$C$487,C21,'Detay-Poz Listesi'!$D$5:$D$487,16),2)</f>
        <v>0</v>
      </c>
      <c r="G21" s="8" t="n">
        <f aca="false">ROUND(SUM(D21:F21),2)</f>
        <v>353.66</v>
      </c>
      <c r="H21" s="20" t="n">
        <v>6.99</v>
      </c>
      <c r="I21" s="20"/>
      <c r="J21" s="21" t="n">
        <v>1</v>
      </c>
      <c r="K21" s="8" t="n">
        <f aca="false">ROUND(G21*J21,2)</f>
        <v>353.66</v>
      </c>
      <c r="L21" s="8" t="n">
        <f aca="false">ROUND(H21*J21,2)</f>
        <v>6.99</v>
      </c>
    </row>
    <row r="22" customFormat="false" ht="15" hidden="false" customHeight="true" outlineLevel="0" collapsed="false">
      <c r="A22" s="7" t="s">
        <v>86</v>
      </c>
      <c r="B22" s="7" t="s">
        <v>85</v>
      </c>
      <c r="C22" s="7" t="s">
        <v>64</v>
      </c>
      <c r="D22" s="8" t="n">
        <f aca="false">ROUND(SUMIFS('Detay-Poz Listesi'!$L$5:$L$487,'Detay-Poz Listesi'!$A$5:$A$487,A22,'Detay-Poz Listesi'!$C$5:$C$487,C22,'Detay-Poz Listesi'!$D$5:$D$487,8),2)</f>
        <v>28.12</v>
      </c>
      <c r="E22" s="8" t="n">
        <f aca="false">ROUND(SUMIFS('Detay-Poz Listesi'!$L$5:$L$487,'Detay-Poz Listesi'!$A$5:$A$487,A22,'Detay-Poz Listesi'!$C$5:$C$487,C22,'Detay-Poz Listesi'!$D$5:$D$487,14),2)</f>
        <v>388.08</v>
      </c>
      <c r="F22" s="8" t="n">
        <f aca="false">ROUND(SUMIFS('Detay-Poz Listesi'!$L$5:$L$487,'Detay-Poz Listesi'!$A$5:$A$487,A22,'Detay-Poz Listesi'!$C$5:$C$487,C22,'Detay-Poz Listesi'!$D$5:$D$487,16),2)</f>
        <v>0</v>
      </c>
      <c r="G22" s="8" t="n">
        <f aca="false">ROUND(SUM(D22:F22),2)</f>
        <v>416.2</v>
      </c>
      <c r="H22" s="20" t="n">
        <v>8.44</v>
      </c>
      <c r="I22" s="20"/>
      <c r="J22" s="21" t="n">
        <v>1</v>
      </c>
      <c r="K22" s="8" t="n">
        <f aca="false">ROUND(G22*J22,2)</f>
        <v>416.2</v>
      </c>
      <c r="L22" s="8" t="n">
        <f aca="false">ROUND(H22*J22,2)</f>
        <v>8.44</v>
      </c>
    </row>
    <row r="23" customFormat="false" ht="15" hidden="false" customHeight="true" outlineLevel="0" collapsed="false">
      <c r="A23" s="7" t="s">
        <v>87</v>
      </c>
      <c r="B23" s="7" t="s">
        <v>85</v>
      </c>
      <c r="C23" s="7" t="s">
        <v>66</v>
      </c>
      <c r="D23" s="8" t="n">
        <f aca="false">ROUND(SUMIFS('Detay-Poz Listesi'!$L$5:$L$487,'Detay-Poz Listesi'!$A$5:$A$487,A23,'Detay-Poz Listesi'!$C$5:$C$487,C23,'Detay-Poz Listesi'!$D$5:$D$487,8),2)</f>
        <v>37.83</v>
      </c>
      <c r="E23" s="8" t="n">
        <f aca="false">ROUND(SUMIFS('Detay-Poz Listesi'!$L$5:$L$487,'Detay-Poz Listesi'!$A$5:$A$487,A23,'Detay-Poz Listesi'!$C$5:$C$487,C23,'Detay-Poz Listesi'!$D$5:$D$487,14),2)</f>
        <v>541.32</v>
      </c>
      <c r="F23" s="8" t="n">
        <f aca="false">ROUND(SUMIFS('Detay-Poz Listesi'!$L$5:$L$487,'Detay-Poz Listesi'!$A$5:$A$487,A23,'Detay-Poz Listesi'!$C$5:$C$487,C23,'Detay-Poz Listesi'!$D$5:$D$487,16),2)</f>
        <v>68.39</v>
      </c>
      <c r="G23" s="8" t="n">
        <f aca="false">ROUND(SUM(D23:F23),2)</f>
        <v>647.54</v>
      </c>
      <c r="H23" s="20" t="n">
        <v>13.35</v>
      </c>
      <c r="I23" s="20"/>
      <c r="J23" s="21" t="n">
        <v>1</v>
      </c>
      <c r="K23" s="8" t="n">
        <f aca="false">ROUND(G23*J23,2)</f>
        <v>647.54</v>
      </c>
      <c r="L23" s="8" t="n">
        <f aca="false">ROUND(H23*J23,2)</f>
        <v>13.35</v>
      </c>
    </row>
    <row r="24" customFormat="false" ht="15" hidden="false" customHeight="true" outlineLevel="0" collapsed="false">
      <c r="A24" s="7" t="s">
        <v>88</v>
      </c>
      <c r="B24" s="7" t="s">
        <v>85</v>
      </c>
      <c r="C24" s="7" t="s">
        <v>68</v>
      </c>
      <c r="D24" s="8" t="n">
        <f aca="false">ROUND(SUMIFS('Detay-Poz Listesi'!$L$5:$L$487,'Detay-Poz Listesi'!$A$5:$A$487,A24,'Detay-Poz Listesi'!$C$5:$C$487,C24,'Detay-Poz Listesi'!$D$5:$D$487,8),2)</f>
        <v>53.75</v>
      </c>
      <c r="E24" s="8" t="n">
        <f aca="false">ROUND(SUMIFS('Detay-Poz Listesi'!$L$5:$L$487,'Detay-Poz Listesi'!$A$5:$A$487,A24,'Detay-Poz Listesi'!$C$5:$C$487,C24,'Detay-Poz Listesi'!$D$5:$D$487,14),2)</f>
        <v>669.88</v>
      </c>
      <c r="F24" s="8" t="n">
        <f aca="false">ROUND(SUMIFS('Detay-Poz Listesi'!$L$5:$L$487,'Detay-Poz Listesi'!$A$5:$A$487,A24,'Detay-Poz Listesi'!$C$5:$C$487,C24,'Detay-Poz Listesi'!$D$5:$D$487,16),2)</f>
        <v>68.39</v>
      </c>
      <c r="G24" s="8" t="n">
        <f aca="false">ROUND(SUM(D24:F24),2)</f>
        <v>792.02</v>
      </c>
      <c r="H24" s="20" t="n">
        <v>16.17</v>
      </c>
      <c r="I24" s="20" t="n">
        <v>28.05</v>
      </c>
      <c r="J24" s="21" t="n">
        <v>1</v>
      </c>
      <c r="K24" s="8" t="n">
        <f aca="false">ROUND(G24*J24,2)</f>
        <v>792.02</v>
      </c>
      <c r="L24" s="8" t="n">
        <f aca="false">ROUND(H24*J24,2)</f>
        <v>16.17</v>
      </c>
    </row>
    <row r="25" customFormat="false" ht="15" hidden="false" customHeight="true" outlineLevel="0" collapsed="false">
      <c r="A25" s="7" t="s">
        <v>89</v>
      </c>
      <c r="B25" s="7" t="s">
        <v>90</v>
      </c>
      <c r="C25" s="7" t="s">
        <v>62</v>
      </c>
      <c r="D25" s="8" t="n">
        <f aca="false">ROUND(SUMIFS('Detay-Poz Listesi'!$L$5:$L$487,'Detay-Poz Listesi'!$A$5:$A$487,A25,'Detay-Poz Listesi'!$C$5:$C$487,C25,'Detay-Poz Listesi'!$D$5:$D$487,8),2)</f>
        <v>28.12</v>
      </c>
      <c r="E25" s="8" t="n">
        <f aca="false">ROUND(SUMIFS('Detay-Poz Listesi'!$L$5:$L$487,'Detay-Poz Listesi'!$A$5:$A$487,A25,'Detay-Poz Listesi'!$C$5:$C$487,C25,'Detay-Poz Listesi'!$D$5:$D$487,14),2)</f>
        <v>389.03</v>
      </c>
      <c r="F25" s="8" t="n">
        <f aca="false">ROUND(SUMIFS('Detay-Poz Listesi'!$L$5:$L$487,'Detay-Poz Listesi'!$A$5:$A$487,A25,'Detay-Poz Listesi'!$C$5:$C$487,C25,'Detay-Poz Listesi'!$D$5:$D$487,16),2)</f>
        <v>0</v>
      </c>
      <c r="G25" s="8" t="n">
        <f aca="false">ROUND(SUM(D25:F25),2)</f>
        <v>417.15</v>
      </c>
      <c r="H25" s="20" t="n">
        <v>8.49</v>
      </c>
      <c r="I25" s="20"/>
      <c r="J25" s="21" t="n">
        <v>1</v>
      </c>
      <c r="K25" s="8" t="n">
        <f aca="false">ROUND(G25*J25,2)</f>
        <v>417.15</v>
      </c>
      <c r="L25" s="8" t="n">
        <f aca="false">ROUND(H25*J25,2)</f>
        <v>8.49</v>
      </c>
    </row>
    <row r="26" customFormat="false" ht="15" hidden="false" customHeight="true" outlineLevel="0" collapsed="false">
      <c r="A26" s="7" t="s">
        <v>91</v>
      </c>
      <c r="B26" s="7" t="s">
        <v>90</v>
      </c>
      <c r="C26" s="7" t="s">
        <v>64</v>
      </c>
      <c r="D26" s="8" t="n">
        <f aca="false">ROUND(SUMIFS('Detay-Poz Listesi'!$L$5:$L$487,'Detay-Poz Listesi'!$A$5:$A$487,A26,'Detay-Poz Listesi'!$C$5:$C$487,C26,'Detay-Poz Listesi'!$D$5:$D$487,8),2)</f>
        <v>23.39</v>
      </c>
      <c r="E26" s="8" t="n">
        <f aca="false">ROUND(SUMIFS('Detay-Poz Listesi'!$L$5:$L$487,'Detay-Poz Listesi'!$A$5:$A$487,A26,'Detay-Poz Listesi'!$C$5:$C$487,C26,'Detay-Poz Listesi'!$D$5:$D$487,14),2)</f>
        <v>331.2</v>
      </c>
      <c r="F26" s="8" t="n">
        <f aca="false">ROUND(SUMIFS('Detay-Poz Listesi'!$L$5:$L$487,'Detay-Poz Listesi'!$A$5:$A$487,A26,'Detay-Poz Listesi'!$C$5:$C$487,C26,'Detay-Poz Listesi'!$D$5:$D$487,16),2)</f>
        <v>0</v>
      </c>
      <c r="G26" s="8" t="n">
        <f aca="false">ROUND(SUM(D26:F26),2)</f>
        <v>354.59</v>
      </c>
      <c r="H26" s="20" t="n">
        <v>7.05</v>
      </c>
      <c r="I26" s="20"/>
      <c r="J26" s="21" t="n">
        <v>1</v>
      </c>
      <c r="K26" s="8" t="n">
        <f aca="false">ROUND(G26*J26,2)</f>
        <v>354.59</v>
      </c>
      <c r="L26" s="8" t="n">
        <f aca="false">ROUND(H26*J26,2)</f>
        <v>7.05</v>
      </c>
    </row>
    <row r="27" customFormat="false" ht="15" hidden="false" customHeight="true" outlineLevel="0" collapsed="false">
      <c r="A27" s="7" t="s">
        <v>92</v>
      </c>
      <c r="B27" s="7" t="s">
        <v>90</v>
      </c>
      <c r="C27" s="7" t="s">
        <v>66</v>
      </c>
      <c r="D27" s="8" t="n">
        <f aca="false">ROUND(SUMIFS('Detay-Poz Listesi'!$L$5:$L$487,'Detay-Poz Listesi'!$A$5:$A$487,A27,'Detay-Poz Listesi'!$C$5:$C$487,C27,'Detay-Poz Listesi'!$D$5:$D$487,8),2)</f>
        <v>37.83</v>
      </c>
      <c r="E27" s="8" t="n">
        <f aca="false">ROUND(SUMIFS('Detay-Poz Listesi'!$L$5:$L$487,'Detay-Poz Listesi'!$A$5:$A$487,A27,'Detay-Poz Listesi'!$C$5:$C$487,C27,'Detay-Poz Listesi'!$D$5:$D$487,14),2)</f>
        <v>504.21</v>
      </c>
      <c r="F27" s="8" t="n">
        <f aca="false">ROUND(SUMIFS('Detay-Poz Listesi'!$L$5:$L$487,'Detay-Poz Listesi'!$A$5:$A$487,A27,'Detay-Poz Listesi'!$C$5:$C$487,C27,'Detay-Poz Listesi'!$D$5:$D$487,16),2)</f>
        <v>74.61</v>
      </c>
      <c r="G27" s="8" t="n">
        <f aca="false">ROUND(SUM(D27:F27),2)</f>
        <v>616.65</v>
      </c>
      <c r="H27" s="20" t="n">
        <v>13.35</v>
      </c>
      <c r="I27" s="20"/>
      <c r="J27" s="21" t="n">
        <v>1</v>
      </c>
      <c r="K27" s="8" t="n">
        <f aca="false">ROUND(G27*J27,2)</f>
        <v>616.65</v>
      </c>
      <c r="L27" s="8" t="n">
        <f aca="false">ROUND(H27*J27,2)</f>
        <v>13.35</v>
      </c>
    </row>
    <row r="28" customFormat="false" ht="15" hidden="false" customHeight="true" outlineLevel="0" collapsed="false">
      <c r="A28" s="7" t="s">
        <v>93</v>
      </c>
      <c r="B28" s="7" t="s">
        <v>90</v>
      </c>
      <c r="C28" s="7" t="s">
        <v>68</v>
      </c>
      <c r="D28" s="8" t="n">
        <f aca="false">ROUND(SUMIFS('Detay-Poz Listesi'!$L$5:$L$487,'Detay-Poz Listesi'!$A$5:$A$487,A28,'Detay-Poz Listesi'!$C$5:$C$487,C28,'Detay-Poz Listesi'!$D$5:$D$487,8),2)</f>
        <v>53.75</v>
      </c>
      <c r="E28" s="8" t="n">
        <f aca="false">ROUND(SUMIFS('Detay-Poz Listesi'!$L$5:$L$487,'Detay-Poz Listesi'!$A$5:$A$487,A28,'Detay-Poz Listesi'!$C$5:$C$487,C28,'Detay-Poz Listesi'!$D$5:$D$487,14),2)</f>
        <v>669.92</v>
      </c>
      <c r="F28" s="8" t="n">
        <f aca="false">ROUND(SUMIFS('Detay-Poz Listesi'!$L$5:$L$487,'Detay-Poz Listesi'!$A$5:$A$487,A28,'Detay-Poz Listesi'!$C$5:$C$487,C28,'Detay-Poz Listesi'!$D$5:$D$487,16),2)</f>
        <v>68.39</v>
      </c>
      <c r="G28" s="8" t="n">
        <f aca="false">ROUND(SUM(D28:F28),2)</f>
        <v>792.06</v>
      </c>
      <c r="H28" s="20" t="n">
        <v>16.17</v>
      </c>
      <c r="I28" s="20" t="n">
        <v>28.03</v>
      </c>
      <c r="J28" s="21" t="n">
        <v>1</v>
      </c>
      <c r="K28" s="8" t="n">
        <f aca="false">ROUND(G28*J28,2)</f>
        <v>792.06</v>
      </c>
      <c r="L28" s="8" t="n">
        <f aca="false">ROUND(H28*J28,2)</f>
        <v>16.17</v>
      </c>
    </row>
    <row r="29" customFormat="false" ht="15" hidden="false" customHeight="true" outlineLevel="0" collapsed="false">
      <c r="A29" s="7" t="s">
        <v>94</v>
      </c>
      <c r="B29" s="7" t="s">
        <v>95</v>
      </c>
      <c r="C29" s="7" t="s">
        <v>62</v>
      </c>
      <c r="D29" s="8" t="n">
        <f aca="false">ROUND(SUMIFS('Detay-Poz Listesi'!$L$5:$L$487,'Detay-Poz Listesi'!$A$5:$A$487,A29,'Detay-Poz Listesi'!$C$5:$C$487,C29,'Detay-Poz Listesi'!$D$5:$D$487,8),2)</f>
        <v>28.12</v>
      </c>
      <c r="E29" s="8" t="n">
        <f aca="false">ROUND(SUMIFS('Detay-Poz Listesi'!$L$5:$L$487,'Detay-Poz Listesi'!$A$5:$A$487,A29,'Detay-Poz Listesi'!$C$5:$C$487,C29,'Detay-Poz Listesi'!$D$5:$D$487,14),2)</f>
        <v>393.97</v>
      </c>
      <c r="F29" s="8" t="n">
        <f aca="false">ROUND(SUMIFS('Detay-Poz Listesi'!$L$5:$L$487,'Detay-Poz Listesi'!$A$5:$A$487,A29,'Detay-Poz Listesi'!$C$5:$C$487,C29,'Detay-Poz Listesi'!$D$5:$D$487,16),2)</f>
        <v>0</v>
      </c>
      <c r="G29" s="8" t="n">
        <f aca="false">ROUND(SUM(D29:F29),2)</f>
        <v>422.09</v>
      </c>
      <c r="H29" s="20" t="n">
        <v>8.45</v>
      </c>
      <c r="I29" s="20"/>
      <c r="J29" s="21" t="n">
        <v>1</v>
      </c>
      <c r="K29" s="8" t="n">
        <f aca="false">ROUND(G29*J29,2)</f>
        <v>422.09</v>
      </c>
      <c r="L29" s="8" t="n">
        <f aca="false">ROUND(H29*J29,2)</f>
        <v>8.45</v>
      </c>
    </row>
    <row r="30" customFormat="false" ht="15" hidden="false" customHeight="true" outlineLevel="0" collapsed="false">
      <c r="A30" s="7" t="s">
        <v>96</v>
      </c>
      <c r="B30" s="7" t="s">
        <v>95</v>
      </c>
      <c r="C30" s="7" t="s">
        <v>64</v>
      </c>
      <c r="D30" s="8" t="n">
        <f aca="false">ROUND(SUMIFS('Detay-Poz Listesi'!$L$5:$L$487,'Detay-Poz Listesi'!$A$5:$A$487,A30,'Detay-Poz Listesi'!$C$5:$C$487,C30,'Detay-Poz Listesi'!$D$5:$D$487,8),2)</f>
        <v>22.65</v>
      </c>
      <c r="E30" s="8" t="n">
        <f aca="false">ROUND(SUMIFS('Detay-Poz Listesi'!$L$5:$L$487,'Detay-Poz Listesi'!$A$5:$A$487,A30,'Detay-Poz Listesi'!$C$5:$C$487,C30,'Detay-Poz Listesi'!$D$5:$D$487,14),2)</f>
        <v>327.01</v>
      </c>
      <c r="F30" s="8" t="n">
        <f aca="false">ROUND(SUMIFS('Detay-Poz Listesi'!$L$5:$L$487,'Detay-Poz Listesi'!$A$5:$A$487,A30,'Detay-Poz Listesi'!$C$5:$C$487,C30,'Detay-Poz Listesi'!$D$5:$D$487,16),2)</f>
        <v>0</v>
      </c>
      <c r="G30" s="8" t="n">
        <f aca="false">ROUND(SUM(D30:F30),2)</f>
        <v>349.66</v>
      </c>
      <c r="H30" s="20" t="n">
        <v>6.81</v>
      </c>
      <c r="I30" s="20"/>
      <c r="J30" s="21" t="n">
        <v>1</v>
      </c>
      <c r="K30" s="8" t="n">
        <f aca="false">ROUND(G30*J30,2)</f>
        <v>349.66</v>
      </c>
      <c r="L30" s="8" t="n">
        <f aca="false">ROUND(H30*J30,2)</f>
        <v>6.81</v>
      </c>
    </row>
    <row r="31" customFormat="false" ht="15" hidden="false" customHeight="true" outlineLevel="0" collapsed="false">
      <c r="A31" s="7" t="s">
        <v>97</v>
      </c>
      <c r="B31" s="7" t="s">
        <v>95</v>
      </c>
      <c r="C31" s="7" t="s">
        <v>66</v>
      </c>
      <c r="D31" s="8" t="n">
        <f aca="false">ROUND(SUMIFS('Detay-Poz Listesi'!$L$5:$L$487,'Detay-Poz Listesi'!$A$5:$A$487,A31,'Detay-Poz Listesi'!$C$5:$C$487,C31,'Detay-Poz Listesi'!$D$5:$D$487,8),2)</f>
        <v>37.83</v>
      </c>
      <c r="E31" s="8" t="n">
        <f aca="false">ROUND(SUMIFS('Detay-Poz Listesi'!$L$5:$L$487,'Detay-Poz Listesi'!$A$5:$A$487,A31,'Detay-Poz Listesi'!$C$5:$C$487,C31,'Detay-Poz Listesi'!$D$5:$D$487,14),2)</f>
        <v>504.21</v>
      </c>
      <c r="F31" s="8" t="n">
        <f aca="false">ROUND(SUMIFS('Detay-Poz Listesi'!$L$5:$L$487,'Detay-Poz Listesi'!$A$5:$A$487,A31,'Detay-Poz Listesi'!$C$5:$C$487,C31,'Detay-Poz Listesi'!$D$5:$D$487,16),2)</f>
        <v>74.61</v>
      </c>
      <c r="G31" s="8" t="n">
        <f aca="false">ROUND(SUM(D31:F31),2)</f>
        <v>616.65</v>
      </c>
      <c r="H31" s="20" t="n">
        <v>13.35</v>
      </c>
      <c r="I31" s="20"/>
      <c r="J31" s="21" t="n">
        <v>1</v>
      </c>
      <c r="K31" s="8" t="n">
        <f aca="false">ROUND(G31*J31,2)</f>
        <v>616.65</v>
      </c>
      <c r="L31" s="8" t="n">
        <f aca="false">ROUND(H31*J31,2)</f>
        <v>13.35</v>
      </c>
    </row>
    <row r="32" customFormat="false" ht="15" hidden="false" customHeight="true" outlineLevel="0" collapsed="false">
      <c r="A32" s="7" t="s">
        <v>98</v>
      </c>
      <c r="B32" s="7" t="s">
        <v>95</v>
      </c>
      <c r="C32" s="7" t="s">
        <v>68</v>
      </c>
      <c r="D32" s="8" t="n">
        <f aca="false">ROUND(SUMIFS('Detay-Poz Listesi'!$L$5:$L$487,'Detay-Poz Listesi'!$A$5:$A$487,A32,'Detay-Poz Listesi'!$C$5:$C$487,C32,'Detay-Poz Listesi'!$D$5:$D$487,8),2)</f>
        <v>53.75</v>
      </c>
      <c r="E32" s="8" t="n">
        <f aca="false">ROUND(SUMIFS('Detay-Poz Listesi'!$L$5:$L$487,'Detay-Poz Listesi'!$A$5:$A$487,A32,'Detay-Poz Listesi'!$C$5:$C$487,C32,'Detay-Poz Listesi'!$D$5:$D$487,14),2)</f>
        <v>689.61</v>
      </c>
      <c r="F32" s="8" t="n">
        <f aca="false">ROUND(SUMIFS('Detay-Poz Listesi'!$L$5:$L$487,'Detay-Poz Listesi'!$A$5:$A$487,A32,'Detay-Poz Listesi'!$C$5:$C$487,C32,'Detay-Poz Listesi'!$D$5:$D$487,16),2)</f>
        <v>136.78</v>
      </c>
      <c r="G32" s="8" t="n">
        <f aca="false">ROUND(SUM(D32:F32),2)</f>
        <v>880.14</v>
      </c>
      <c r="H32" s="20" t="n">
        <v>16.17</v>
      </c>
      <c r="I32" s="20" t="n">
        <v>28.03</v>
      </c>
      <c r="J32" s="21" t="n">
        <v>1</v>
      </c>
      <c r="K32" s="8" t="n">
        <f aca="false">ROUND(G32*J32,2)</f>
        <v>880.14</v>
      </c>
      <c r="L32" s="8" t="n">
        <f aca="false">ROUND(H32*J32,2)</f>
        <v>16.17</v>
      </c>
    </row>
    <row r="33" customFormat="false" ht="15" hidden="false" customHeight="true" outlineLevel="0" collapsed="false">
      <c r="A33" s="7" t="s">
        <v>99</v>
      </c>
      <c r="B33" s="7" t="s">
        <v>100</v>
      </c>
      <c r="C33" s="7" t="s">
        <v>62</v>
      </c>
      <c r="D33" s="8" t="n">
        <f aca="false">ROUND(SUMIFS('Detay-Poz Listesi'!$L$5:$L$487,'Detay-Poz Listesi'!$A$5:$A$487,A33,'Detay-Poz Listesi'!$C$5:$C$487,C33,'Detay-Poz Listesi'!$D$5:$D$487,8),2)</f>
        <v>22.65</v>
      </c>
      <c r="E33" s="8" t="n">
        <f aca="false">ROUND(SUMIFS('Detay-Poz Listesi'!$L$5:$L$487,'Detay-Poz Listesi'!$A$5:$A$487,A33,'Detay-Poz Listesi'!$C$5:$C$487,C33,'Detay-Poz Listesi'!$D$5:$D$487,14),2)</f>
        <v>327.39</v>
      </c>
      <c r="F33" s="8" t="n">
        <f aca="false">ROUND(SUMIFS('Detay-Poz Listesi'!$L$5:$L$487,'Detay-Poz Listesi'!$A$5:$A$487,A33,'Detay-Poz Listesi'!$C$5:$C$487,C33,'Detay-Poz Listesi'!$D$5:$D$487,16),2)</f>
        <v>0</v>
      </c>
      <c r="G33" s="8" t="n">
        <f aca="false">ROUND(SUM(D33:F33),2)</f>
        <v>350.04</v>
      </c>
      <c r="H33" s="20" t="n">
        <v>6.83</v>
      </c>
      <c r="I33" s="20"/>
      <c r="J33" s="21" t="n">
        <v>1</v>
      </c>
      <c r="K33" s="8" t="n">
        <f aca="false">ROUND(G33*J33,2)</f>
        <v>350.04</v>
      </c>
      <c r="L33" s="8" t="n">
        <f aca="false">ROUND(H33*J33,2)</f>
        <v>6.83</v>
      </c>
    </row>
    <row r="34" customFormat="false" ht="15" hidden="false" customHeight="true" outlineLevel="0" collapsed="false">
      <c r="A34" s="7" t="s">
        <v>101</v>
      </c>
      <c r="B34" s="7" t="s">
        <v>100</v>
      </c>
      <c r="C34" s="7" t="s">
        <v>64</v>
      </c>
      <c r="D34" s="8" t="n">
        <f aca="false">ROUND(SUMIFS('Detay-Poz Listesi'!$L$5:$L$487,'Detay-Poz Listesi'!$A$5:$A$487,A34,'Detay-Poz Listesi'!$C$5:$C$487,C34,'Detay-Poz Listesi'!$D$5:$D$487,8),2)</f>
        <v>28.12</v>
      </c>
      <c r="E34" s="8" t="n">
        <f aca="false">ROUND(SUMIFS('Detay-Poz Listesi'!$L$5:$L$487,'Detay-Poz Listesi'!$A$5:$A$487,A34,'Detay-Poz Listesi'!$C$5:$C$487,C34,'Detay-Poz Listesi'!$D$5:$D$487,14),2)</f>
        <v>393.28</v>
      </c>
      <c r="F34" s="8" t="n">
        <f aca="false">ROUND(SUMIFS('Detay-Poz Listesi'!$L$5:$L$487,'Detay-Poz Listesi'!$A$5:$A$487,A34,'Detay-Poz Listesi'!$C$5:$C$487,C34,'Detay-Poz Listesi'!$D$5:$D$487,16),2)</f>
        <v>0</v>
      </c>
      <c r="G34" s="8" t="n">
        <f aca="false">ROUND(SUM(D34:F34),2)</f>
        <v>421.4</v>
      </c>
      <c r="H34" s="20" t="n">
        <v>8.47</v>
      </c>
      <c r="I34" s="20"/>
      <c r="J34" s="21" t="n">
        <v>1</v>
      </c>
      <c r="K34" s="8" t="n">
        <f aca="false">ROUND(G34*J34,2)</f>
        <v>421.4</v>
      </c>
      <c r="L34" s="8" t="n">
        <f aca="false">ROUND(H34*J34,2)</f>
        <v>8.47</v>
      </c>
    </row>
    <row r="35" customFormat="false" ht="15" hidden="false" customHeight="true" outlineLevel="0" collapsed="false">
      <c r="A35" s="7" t="s">
        <v>102</v>
      </c>
      <c r="B35" s="7" t="s">
        <v>100</v>
      </c>
      <c r="C35" s="7" t="s">
        <v>66</v>
      </c>
      <c r="D35" s="8" t="n">
        <f aca="false">ROUND(SUMIFS('Detay-Poz Listesi'!$L$5:$L$487,'Detay-Poz Listesi'!$A$5:$A$487,A35,'Detay-Poz Listesi'!$C$5:$C$487,C35,'Detay-Poz Listesi'!$D$5:$D$487,8),2)</f>
        <v>37.83</v>
      </c>
      <c r="E35" s="8" t="n">
        <f aca="false">ROUND(SUMIFS('Detay-Poz Listesi'!$L$5:$L$487,'Detay-Poz Listesi'!$A$5:$A$487,A35,'Detay-Poz Listesi'!$C$5:$C$487,C35,'Detay-Poz Listesi'!$D$5:$D$487,14),2)</f>
        <v>488.17</v>
      </c>
      <c r="F35" s="8" t="n">
        <f aca="false">ROUND(SUMIFS('Detay-Poz Listesi'!$L$5:$L$487,'Detay-Poz Listesi'!$A$5:$A$487,A35,'Detay-Poz Listesi'!$C$5:$C$487,C35,'Detay-Poz Listesi'!$D$5:$D$487,16),2)</f>
        <v>74.61</v>
      </c>
      <c r="G35" s="8" t="n">
        <f aca="false">ROUND(SUM(D35:F35),2)</f>
        <v>600.61</v>
      </c>
      <c r="H35" s="20" t="n">
        <v>13.35</v>
      </c>
      <c r="I35" s="20"/>
      <c r="J35" s="21" t="n">
        <v>1</v>
      </c>
      <c r="K35" s="8" t="n">
        <f aca="false">ROUND(G35*J35,2)</f>
        <v>600.61</v>
      </c>
      <c r="L35" s="8" t="n">
        <f aca="false">ROUND(H35*J35,2)</f>
        <v>13.35</v>
      </c>
    </row>
    <row r="36" customFormat="false" ht="15" hidden="false" customHeight="true" outlineLevel="0" collapsed="false">
      <c r="A36" s="7" t="s">
        <v>103</v>
      </c>
      <c r="B36" s="7" t="s">
        <v>100</v>
      </c>
      <c r="C36" s="7" t="s">
        <v>68</v>
      </c>
      <c r="D36" s="8" t="n">
        <f aca="false">ROUND(SUMIFS('Detay-Poz Listesi'!$L$5:$L$487,'Detay-Poz Listesi'!$A$5:$A$487,A36,'Detay-Poz Listesi'!$C$5:$C$487,C36,'Detay-Poz Listesi'!$D$5:$D$487,8),2)</f>
        <v>53.75</v>
      </c>
      <c r="E36" s="8" t="n">
        <f aca="false">ROUND(SUMIFS('Detay-Poz Listesi'!$L$5:$L$487,'Detay-Poz Listesi'!$A$5:$A$487,A36,'Detay-Poz Listesi'!$C$5:$C$487,C36,'Detay-Poz Listesi'!$D$5:$D$487,14),2)</f>
        <v>689.61</v>
      </c>
      <c r="F36" s="8" t="n">
        <f aca="false">ROUND(SUMIFS('Detay-Poz Listesi'!$L$5:$L$487,'Detay-Poz Listesi'!$A$5:$A$487,A36,'Detay-Poz Listesi'!$C$5:$C$487,C36,'Detay-Poz Listesi'!$D$5:$D$487,16),2)</f>
        <v>136.78</v>
      </c>
      <c r="G36" s="8" t="n">
        <f aca="false">ROUND(SUM(D36:F36),2)</f>
        <v>880.14</v>
      </c>
      <c r="H36" s="20" t="n">
        <v>16.17</v>
      </c>
      <c r="I36" s="20" t="n">
        <v>28.03</v>
      </c>
      <c r="J36" s="21" t="n">
        <v>1</v>
      </c>
      <c r="K36" s="8" t="n">
        <f aca="false">ROUND(G36*J36,2)</f>
        <v>880.14</v>
      </c>
      <c r="L36" s="8" t="n">
        <f aca="false">ROUND(H36*J36,2)</f>
        <v>16.17</v>
      </c>
    </row>
    <row r="37" customFormat="false" ht="15" hidden="false" customHeight="true" outlineLevel="0" collapsed="false">
      <c r="A37" s="7" t="s">
        <v>104</v>
      </c>
      <c r="B37" s="7" t="s">
        <v>105</v>
      </c>
      <c r="C37" s="7" t="s">
        <v>62</v>
      </c>
      <c r="D37" s="8" t="n">
        <f aca="false">ROUND(SUMIFS('Detay-Poz Listesi'!$L$5:$L$487,'Detay-Poz Listesi'!$A$5:$A$487,A37,'Detay-Poz Listesi'!$C$5:$C$487,C37,'Detay-Poz Listesi'!$D$5:$D$487,8),2)</f>
        <v>31.85</v>
      </c>
      <c r="E37" s="8" t="n">
        <f aca="false">ROUND(SUMIFS('Detay-Poz Listesi'!$L$5:$L$487,'Detay-Poz Listesi'!$A$5:$A$487,A37,'Detay-Poz Listesi'!$C$5:$C$487,C37,'Detay-Poz Listesi'!$D$5:$D$487,14),2)</f>
        <v>358.85</v>
      </c>
      <c r="F37" s="8" t="n">
        <f aca="false">ROUND(SUMIFS('Detay-Poz Listesi'!$L$5:$L$487,'Detay-Poz Listesi'!$A$5:$A$487,A37,'Detay-Poz Listesi'!$C$5:$C$487,C37,'Detay-Poz Listesi'!$D$5:$D$487,16),2)</f>
        <v>74.61</v>
      </c>
      <c r="G37" s="8" t="n">
        <f aca="false">ROUND(SUM(D37:F37),2)</f>
        <v>465.31</v>
      </c>
      <c r="H37" s="20" t="n">
        <v>10.13</v>
      </c>
      <c r="I37" s="20"/>
      <c r="J37" s="21" t="n">
        <v>1</v>
      </c>
      <c r="K37" s="8" t="n">
        <f aca="false">ROUND(G37*J37,2)</f>
        <v>465.31</v>
      </c>
      <c r="L37" s="8" t="n">
        <f aca="false">ROUND(H37*J37,2)</f>
        <v>10.13</v>
      </c>
    </row>
    <row r="38" customFormat="false" ht="15" hidden="false" customHeight="true" outlineLevel="0" collapsed="false">
      <c r="A38" s="7" t="s">
        <v>106</v>
      </c>
      <c r="B38" s="7" t="s">
        <v>105</v>
      </c>
      <c r="C38" s="7" t="s">
        <v>64</v>
      </c>
      <c r="D38" s="8" t="n">
        <f aca="false">ROUND(SUMIFS('Detay-Poz Listesi'!$L$5:$L$487,'Detay-Poz Listesi'!$A$5:$A$487,A38,'Detay-Poz Listesi'!$C$5:$C$487,C38,'Detay-Poz Listesi'!$D$5:$D$487,8),2)</f>
        <v>31.85</v>
      </c>
      <c r="E38" s="8" t="n">
        <f aca="false">ROUND(SUMIFS('Detay-Poz Listesi'!$L$5:$L$487,'Detay-Poz Listesi'!$A$5:$A$487,A38,'Detay-Poz Listesi'!$C$5:$C$487,C38,'Detay-Poz Listesi'!$D$5:$D$487,14),2)</f>
        <v>461.17</v>
      </c>
      <c r="F38" s="8" t="n">
        <f aca="false">ROUND(SUMIFS('Detay-Poz Listesi'!$L$5:$L$487,'Detay-Poz Listesi'!$A$5:$A$487,A38,'Detay-Poz Listesi'!$C$5:$C$487,C38,'Detay-Poz Listesi'!$D$5:$D$487,16),2)</f>
        <v>74.61</v>
      </c>
      <c r="G38" s="8" t="n">
        <f aca="false">ROUND(SUM(D38:F38),2)</f>
        <v>567.63</v>
      </c>
      <c r="H38" s="20" t="n">
        <v>10.13</v>
      </c>
      <c r="I38" s="20" t="n">
        <v>17.55</v>
      </c>
      <c r="J38" s="21" t="n">
        <v>1</v>
      </c>
      <c r="K38" s="8" t="n">
        <f aca="false">ROUND(G38*J38,2)</f>
        <v>567.63</v>
      </c>
      <c r="L38" s="8" t="n">
        <f aca="false">ROUND(H38*J38,2)</f>
        <v>10.13</v>
      </c>
    </row>
    <row r="39" customFormat="false" ht="15" hidden="false" customHeight="true" outlineLevel="0" collapsed="false">
      <c r="A39" s="7" t="s">
        <v>107</v>
      </c>
      <c r="B39" s="7" t="s">
        <v>105</v>
      </c>
      <c r="C39" s="7" t="s">
        <v>66</v>
      </c>
      <c r="D39" s="8" t="n">
        <f aca="false">ROUND(SUMIFS('Detay-Poz Listesi'!$L$5:$L$487,'Detay-Poz Listesi'!$A$5:$A$487,A39,'Detay-Poz Listesi'!$C$5:$C$487,C39,'Detay-Poz Listesi'!$D$5:$D$487,8),2)</f>
        <v>43.8</v>
      </c>
      <c r="E39" s="8" t="n">
        <f aca="false">ROUND(SUMIFS('Detay-Poz Listesi'!$L$5:$L$487,'Detay-Poz Listesi'!$A$5:$A$487,A39,'Detay-Poz Listesi'!$C$5:$C$487,C39,'Detay-Poz Listesi'!$D$5:$D$487,14),2)</f>
        <v>579.56</v>
      </c>
      <c r="F39" s="8" t="n">
        <f aca="false">ROUND(SUMIFS('Detay-Poz Listesi'!$L$5:$L$487,'Detay-Poz Listesi'!$A$5:$A$487,A39,'Detay-Poz Listesi'!$C$5:$C$487,C39,'Detay-Poz Listesi'!$D$5:$D$487,16),2)</f>
        <v>0</v>
      </c>
      <c r="G39" s="8" t="n">
        <f aca="false">ROUND(SUM(D39:F39),2)</f>
        <v>623.36</v>
      </c>
      <c r="H39" s="20" t="n">
        <v>12.38</v>
      </c>
      <c r="I39" s="20"/>
      <c r="J39" s="21" t="n">
        <v>1</v>
      </c>
      <c r="K39" s="8" t="n">
        <f aca="false">ROUND(G39*J39,2)</f>
        <v>623.36</v>
      </c>
      <c r="L39" s="8" t="n">
        <f aca="false">ROUND(H39*J39,2)</f>
        <v>12.38</v>
      </c>
    </row>
    <row r="40" customFormat="false" ht="15" hidden="false" customHeight="true" outlineLevel="0" collapsed="false">
      <c r="A40" s="7" t="s">
        <v>108</v>
      </c>
      <c r="B40" s="7" t="s">
        <v>105</v>
      </c>
      <c r="C40" s="7" t="s">
        <v>109</v>
      </c>
      <c r="D40" s="8" t="n">
        <f aca="false">ROUND(SUMIFS('Detay-Poz Listesi'!$L$5:$L$487,'Detay-Poz Listesi'!$A$5:$A$487,A40,'Detay-Poz Listesi'!$C$5:$C$487,C40,'Detay-Poz Listesi'!$D$5:$D$487,8),2)</f>
        <v>43.8</v>
      </c>
      <c r="E40" s="8" t="n">
        <f aca="false">ROUND(SUMIFS('Detay-Poz Listesi'!$L$5:$L$487,'Detay-Poz Listesi'!$A$5:$A$487,A40,'Detay-Poz Listesi'!$C$5:$C$487,C40,'Detay-Poz Listesi'!$D$5:$D$487,14),2)</f>
        <v>571.97</v>
      </c>
      <c r="F40" s="8" t="n">
        <f aca="false">ROUND(SUMIFS('Detay-Poz Listesi'!$L$5:$L$487,'Detay-Poz Listesi'!$A$5:$A$487,A40,'Detay-Poz Listesi'!$C$5:$C$487,C40,'Detay-Poz Listesi'!$D$5:$D$487,16),2)</f>
        <v>0</v>
      </c>
      <c r="G40" s="8" t="n">
        <f aca="false">ROUND(SUM(D40:F40),2)</f>
        <v>615.77</v>
      </c>
      <c r="H40" s="20" t="n">
        <v>12.38</v>
      </c>
      <c r="I40" s="20"/>
      <c r="J40" s="21" t="n">
        <v>1</v>
      </c>
      <c r="K40" s="8" t="n">
        <f aca="false">ROUND(G40*J40,2)</f>
        <v>615.77</v>
      </c>
      <c r="L40" s="8" t="n">
        <f aca="false">ROUND(H40*J40,2)</f>
        <v>12.38</v>
      </c>
    </row>
    <row r="41" customFormat="false" ht="15" hidden="false" customHeight="true" outlineLevel="0" collapsed="false">
      <c r="A41" s="7" t="s">
        <v>110</v>
      </c>
      <c r="B41" s="7" t="s">
        <v>105</v>
      </c>
      <c r="C41" s="7" t="s">
        <v>68</v>
      </c>
      <c r="D41" s="8" t="n">
        <f aca="false">ROUND(SUMIFS('Detay-Poz Listesi'!$L$5:$L$487,'Detay-Poz Listesi'!$A$5:$A$487,A41,'Detay-Poz Listesi'!$C$5:$C$487,C41,'Detay-Poz Listesi'!$D$5:$D$487,8),2)</f>
        <v>41.06</v>
      </c>
      <c r="E41" s="8" t="n">
        <f aca="false">ROUND(SUMIFS('Detay-Poz Listesi'!$L$5:$L$487,'Detay-Poz Listesi'!$A$5:$A$487,A41,'Detay-Poz Listesi'!$C$5:$C$487,C41,'Detay-Poz Listesi'!$D$5:$D$487,14),2)</f>
        <v>571.97</v>
      </c>
      <c r="F41" s="8" t="n">
        <f aca="false">ROUND(SUMIFS('Detay-Poz Listesi'!$L$5:$L$487,'Detay-Poz Listesi'!$A$5:$A$487,A41,'Detay-Poz Listesi'!$C$5:$C$487,C41,'Detay-Poz Listesi'!$D$5:$D$487,16),2)</f>
        <v>0</v>
      </c>
      <c r="G41" s="8" t="n">
        <f aca="false">ROUND(SUM(D41:F41),2)</f>
        <v>613.03</v>
      </c>
      <c r="H41" s="20" t="n">
        <v>12.38</v>
      </c>
      <c r="I41" s="20"/>
      <c r="J41" s="21" t="n">
        <v>1</v>
      </c>
      <c r="K41" s="8" t="n">
        <f aca="false">ROUND(G41*J41,2)</f>
        <v>613.03</v>
      </c>
      <c r="L41" s="8" t="n">
        <f aca="false">ROUND(H41*J41,2)</f>
        <v>12.38</v>
      </c>
    </row>
    <row r="42" customFormat="false" ht="15" hidden="false" customHeight="true" outlineLevel="0" collapsed="false">
      <c r="A42" s="7" t="s">
        <v>111</v>
      </c>
      <c r="B42" s="7" t="s">
        <v>112</v>
      </c>
      <c r="C42" s="7" t="s">
        <v>62</v>
      </c>
      <c r="D42" s="8" t="n">
        <f aca="false">ROUND(SUMIFS('Detay-Poz Listesi'!$L$5:$L$487,'Detay-Poz Listesi'!$A$5:$A$487,A42,'Detay-Poz Listesi'!$C$5:$C$487,C42,'Detay-Poz Listesi'!$D$5:$D$487,8),2)</f>
        <v>20.95</v>
      </c>
      <c r="E42" s="8" t="n">
        <f aca="false">ROUND(SUMIFS('Detay-Poz Listesi'!$L$5:$L$487,'Detay-Poz Listesi'!$A$5:$A$487,A42,'Detay-Poz Listesi'!$C$5:$C$487,C42,'Detay-Poz Listesi'!$D$5:$D$487,14),2)</f>
        <v>496.48</v>
      </c>
      <c r="F42" s="8" t="n">
        <f aca="false">ROUND(SUMIFS('Detay-Poz Listesi'!$L$5:$L$487,'Detay-Poz Listesi'!$A$5:$A$487,A42,'Detay-Poz Listesi'!$C$5:$C$487,C42,'Detay-Poz Listesi'!$D$5:$D$487,16),2)</f>
        <v>74.61</v>
      </c>
      <c r="G42" s="8" t="n">
        <f aca="false">ROUND(SUM(D42:F42),2)</f>
        <v>592.04</v>
      </c>
      <c r="H42" s="20" t="n">
        <v>6.19</v>
      </c>
      <c r="I42" s="20"/>
      <c r="J42" s="21" t="n">
        <v>1</v>
      </c>
      <c r="K42" s="8" t="n">
        <f aca="false">ROUND(G42*J42,2)</f>
        <v>592.04</v>
      </c>
      <c r="L42" s="8" t="n">
        <f aca="false">ROUND(H42*J42,2)</f>
        <v>6.19</v>
      </c>
    </row>
    <row r="43" customFormat="false" ht="15" hidden="false" customHeight="true" outlineLevel="0" collapsed="false">
      <c r="A43" s="7" t="s">
        <v>113</v>
      </c>
      <c r="B43" s="7" t="s">
        <v>112</v>
      </c>
      <c r="C43" s="7" t="s">
        <v>64</v>
      </c>
      <c r="D43" s="8" t="n">
        <f aca="false">ROUND(SUMIFS('Detay-Poz Listesi'!$L$5:$L$487,'Detay-Poz Listesi'!$A$5:$A$487,A43,'Detay-Poz Listesi'!$C$5:$C$487,C43,'Detay-Poz Listesi'!$D$5:$D$487,8),2)</f>
        <v>31.85</v>
      </c>
      <c r="E43" s="8" t="n">
        <f aca="false">ROUND(SUMIFS('Detay-Poz Listesi'!$L$5:$L$487,'Detay-Poz Listesi'!$A$5:$A$487,A43,'Detay-Poz Listesi'!$C$5:$C$487,C43,'Detay-Poz Listesi'!$D$5:$D$487,14),2)</f>
        <v>476.82</v>
      </c>
      <c r="F43" s="8" t="n">
        <f aca="false">ROUND(SUMIFS('Detay-Poz Listesi'!$L$5:$L$487,'Detay-Poz Listesi'!$A$5:$A$487,A43,'Detay-Poz Listesi'!$C$5:$C$487,C43,'Detay-Poz Listesi'!$D$5:$D$487,16),2)</f>
        <v>0</v>
      </c>
      <c r="G43" s="8" t="n">
        <f aca="false">ROUND(SUM(D43:F43),2)</f>
        <v>508.67</v>
      </c>
      <c r="H43" s="20" t="n">
        <v>10.13</v>
      </c>
      <c r="I43" s="20"/>
      <c r="J43" s="21" t="n">
        <v>1</v>
      </c>
      <c r="K43" s="8" t="n">
        <f aca="false">ROUND(G43*J43,2)</f>
        <v>508.67</v>
      </c>
      <c r="L43" s="8" t="n">
        <f aca="false">ROUND(H43*J43,2)</f>
        <v>10.13</v>
      </c>
    </row>
    <row r="44" customFormat="false" ht="15" hidden="false" customHeight="true" outlineLevel="0" collapsed="false">
      <c r="A44" s="7" t="s">
        <v>114</v>
      </c>
      <c r="B44" s="7" t="s">
        <v>112</v>
      </c>
      <c r="C44" s="7" t="s">
        <v>66</v>
      </c>
      <c r="D44" s="8" t="n">
        <f aca="false">ROUND(SUMIFS('Detay-Poz Listesi'!$L$5:$L$487,'Detay-Poz Listesi'!$A$5:$A$487,A44,'Detay-Poz Listesi'!$C$5:$C$487,C44,'Detay-Poz Listesi'!$D$5:$D$487,8),2)</f>
        <v>18.17</v>
      </c>
      <c r="E44" s="8" t="n">
        <f aca="false">ROUND(SUMIFS('Detay-Poz Listesi'!$L$5:$L$487,'Detay-Poz Listesi'!$A$5:$A$487,A44,'Detay-Poz Listesi'!$C$5:$C$487,C44,'Detay-Poz Listesi'!$D$5:$D$487,14),2)</f>
        <v>269.68</v>
      </c>
      <c r="F44" s="8" t="n">
        <f aca="false">ROUND(SUMIFS('Detay-Poz Listesi'!$L$5:$L$487,'Detay-Poz Listesi'!$A$5:$A$487,A44,'Detay-Poz Listesi'!$C$5:$C$487,C44,'Detay-Poz Listesi'!$D$5:$D$487,16),2)</f>
        <v>0</v>
      </c>
      <c r="G44" s="8" t="n">
        <f aca="false">ROUND(SUM(D44:F44),2)</f>
        <v>287.85</v>
      </c>
      <c r="H44" s="20" t="n">
        <v>5.48</v>
      </c>
      <c r="I44" s="20"/>
      <c r="J44" s="21" t="n">
        <v>1</v>
      </c>
      <c r="K44" s="8" t="n">
        <f aca="false">ROUND(G44*J44,2)</f>
        <v>287.85</v>
      </c>
      <c r="L44" s="8" t="n">
        <f aca="false">ROUND(H44*J44,2)</f>
        <v>5.48</v>
      </c>
    </row>
    <row r="45" customFormat="false" ht="15" hidden="false" customHeight="true" outlineLevel="0" collapsed="false">
      <c r="A45" s="7" t="s">
        <v>115</v>
      </c>
      <c r="B45" s="7" t="s">
        <v>112</v>
      </c>
      <c r="C45" s="7" t="s">
        <v>68</v>
      </c>
      <c r="D45" s="8" t="n">
        <f aca="false">ROUND(SUMIFS('Detay-Poz Listesi'!$L$5:$L$487,'Detay-Poz Listesi'!$A$5:$A$487,A45,'Detay-Poz Listesi'!$C$5:$C$487,C45,'Detay-Poz Listesi'!$D$5:$D$487,8),2)</f>
        <v>18.17</v>
      </c>
      <c r="E45" s="8" t="n">
        <f aca="false">ROUND(SUMIFS('Detay-Poz Listesi'!$L$5:$L$487,'Detay-Poz Listesi'!$A$5:$A$487,A45,'Detay-Poz Listesi'!$C$5:$C$487,C45,'Detay-Poz Listesi'!$D$5:$D$487,14),2)</f>
        <v>269.68</v>
      </c>
      <c r="F45" s="8" t="n">
        <f aca="false">ROUND(SUMIFS('Detay-Poz Listesi'!$L$5:$L$487,'Detay-Poz Listesi'!$A$5:$A$487,A45,'Detay-Poz Listesi'!$C$5:$C$487,C45,'Detay-Poz Listesi'!$D$5:$D$487,16),2)</f>
        <v>0</v>
      </c>
      <c r="G45" s="8" t="n">
        <f aca="false">ROUND(SUM(D45:F45),2)</f>
        <v>287.85</v>
      </c>
      <c r="H45" s="20" t="n">
        <v>5.48</v>
      </c>
      <c r="I45" s="20"/>
      <c r="J45" s="21" t="n">
        <v>1</v>
      </c>
      <c r="K45" s="8" t="n">
        <f aca="false">ROUND(G45*J45,2)</f>
        <v>287.85</v>
      </c>
      <c r="L45" s="8" t="n">
        <f aca="false">ROUND(H45*J45,2)</f>
        <v>5.48</v>
      </c>
    </row>
    <row r="46" customFormat="false" ht="15" hidden="false" customHeight="true" outlineLevel="0" collapsed="false">
      <c r="A46" s="7" t="s">
        <v>116</v>
      </c>
      <c r="B46" s="7" t="s">
        <v>117</v>
      </c>
      <c r="C46" s="7" t="s">
        <v>62</v>
      </c>
      <c r="D46" s="8" t="n">
        <f aca="false">ROUND(SUMIFS('Detay-Poz Listesi'!$L$5:$L$487,'Detay-Poz Listesi'!$A$5:$A$487,A46,'Detay-Poz Listesi'!$C$5:$C$487,C46,'Detay-Poz Listesi'!$D$5:$D$487,8),2)</f>
        <v>20.95</v>
      </c>
      <c r="E46" s="8" t="n">
        <f aca="false">ROUND(SUMIFS('Detay-Poz Listesi'!$L$5:$L$487,'Detay-Poz Listesi'!$A$5:$A$487,A46,'Detay-Poz Listesi'!$C$5:$C$487,C46,'Detay-Poz Listesi'!$D$5:$D$487,14),2)</f>
        <v>497.31</v>
      </c>
      <c r="F46" s="8" t="n">
        <f aca="false">ROUND(SUMIFS('Detay-Poz Listesi'!$L$5:$L$487,'Detay-Poz Listesi'!$A$5:$A$487,A46,'Detay-Poz Listesi'!$C$5:$C$487,C46,'Detay-Poz Listesi'!$D$5:$D$487,16),2)</f>
        <v>74.61</v>
      </c>
      <c r="G46" s="8" t="n">
        <f aca="false">ROUND(SUM(D46:F46),2)</f>
        <v>592.87</v>
      </c>
      <c r="H46" s="20" t="n">
        <v>6.19</v>
      </c>
      <c r="I46" s="20"/>
      <c r="J46" s="21" t="n">
        <v>1</v>
      </c>
      <c r="K46" s="8" t="n">
        <f aca="false">ROUND(G46*J46,2)</f>
        <v>592.87</v>
      </c>
      <c r="L46" s="8" t="n">
        <f aca="false">ROUND(H46*J46,2)</f>
        <v>6.19</v>
      </c>
    </row>
    <row r="47" customFormat="false" ht="15" hidden="false" customHeight="true" outlineLevel="0" collapsed="false">
      <c r="A47" s="7" t="s">
        <v>118</v>
      </c>
      <c r="B47" s="7" t="s">
        <v>117</v>
      </c>
      <c r="C47" s="7" t="s">
        <v>64</v>
      </c>
      <c r="D47" s="8" t="n">
        <f aca="false">ROUND(SUMIFS('Detay-Poz Listesi'!$L$5:$L$487,'Detay-Poz Listesi'!$A$5:$A$487,A47,'Detay-Poz Listesi'!$C$5:$C$487,C47,'Detay-Poz Listesi'!$D$5:$D$487,8),2)</f>
        <v>33.59</v>
      </c>
      <c r="E47" s="8" t="n">
        <f aca="false">ROUND(SUMIFS('Detay-Poz Listesi'!$L$5:$L$487,'Detay-Poz Listesi'!$A$5:$A$487,A47,'Detay-Poz Listesi'!$C$5:$C$487,C47,'Detay-Poz Listesi'!$D$5:$D$487,14),2)</f>
        <v>505.57</v>
      </c>
      <c r="F47" s="8" t="n">
        <f aca="false">ROUND(SUMIFS('Detay-Poz Listesi'!$L$5:$L$487,'Detay-Poz Listesi'!$A$5:$A$487,A47,'Detay-Poz Listesi'!$C$5:$C$487,C47,'Detay-Poz Listesi'!$D$5:$D$487,16),2)</f>
        <v>0</v>
      </c>
      <c r="G47" s="8" t="n">
        <f aca="false">ROUND(SUM(D47:F47),2)</f>
        <v>539.16</v>
      </c>
      <c r="H47" s="20" t="n">
        <v>10.13</v>
      </c>
      <c r="I47" s="20"/>
      <c r="J47" s="21" t="n">
        <v>1</v>
      </c>
      <c r="K47" s="8" t="n">
        <f aca="false">ROUND(G47*J47,2)</f>
        <v>539.16</v>
      </c>
      <c r="L47" s="8" t="n">
        <f aca="false">ROUND(H47*J47,2)</f>
        <v>10.13</v>
      </c>
    </row>
    <row r="48" customFormat="false" ht="15" hidden="false" customHeight="true" outlineLevel="0" collapsed="false">
      <c r="A48" s="7" t="s">
        <v>119</v>
      </c>
      <c r="B48" s="7" t="s">
        <v>117</v>
      </c>
      <c r="C48" s="7" t="s">
        <v>66</v>
      </c>
      <c r="D48" s="8" t="n">
        <f aca="false">ROUND(SUMIFS('Detay-Poz Listesi'!$L$5:$L$487,'Detay-Poz Listesi'!$A$5:$A$487,A48,'Detay-Poz Listesi'!$C$5:$C$487,C48,'Detay-Poz Listesi'!$D$5:$D$487,8),2)</f>
        <v>17.92</v>
      </c>
      <c r="E48" s="8" t="n">
        <f aca="false">ROUND(SUMIFS('Detay-Poz Listesi'!$L$5:$L$487,'Detay-Poz Listesi'!$A$5:$A$487,A48,'Detay-Poz Listesi'!$C$5:$C$487,C48,'Detay-Poz Listesi'!$D$5:$D$487,14),2)</f>
        <v>269.68</v>
      </c>
      <c r="F48" s="8" t="n">
        <f aca="false">ROUND(SUMIFS('Detay-Poz Listesi'!$L$5:$L$487,'Detay-Poz Listesi'!$A$5:$A$487,A48,'Detay-Poz Listesi'!$C$5:$C$487,C48,'Detay-Poz Listesi'!$D$5:$D$487,16),2)</f>
        <v>0</v>
      </c>
      <c r="G48" s="8" t="n">
        <f aca="false">ROUND(SUM(D48:F48),2)</f>
        <v>287.6</v>
      </c>
      <c r="H48" s="20" t="n">
        <v>5.48</v>
      </c>
      <c r="I48" s="20"/>
      <c r="J48" s="21" t="n">
        <v>1</v>
      </c>
      <c r="K48" s="8" t="n">
        <f aca="false">ROUND(G48*J48,2)</f>
        <v>287.6</v>
      </c>
      <c r="L48" s="8" t="n">
        <f aca="false">ROUND(H48*J48,2)</f>
        <v>5.48</v>
      </c>
    </row>
    <row r="49" customFormat="false" ht="15" hidden="false" customHeight="true" outlineLevel="0" collapsed="false">
      <c r="A49" s="7" t="s">
        <v>120</v>
      </c>
      <c r="B49" s="7" t="s">
        <v>117</v>
      </c>
      <c r="C49" s="7" t="s">
        <v>68</v>
      </c>
      <c r="D49" s="8" t="n">
        <f aca="false">ROUND(SUMIFS('Detay-Poz Listesi'!$L$5:$L$487,'Detay-Poz Listesi'!$A$5:$A$487,A49,'Detay-Poz Listesi'!$C$5:$C$487,C49,'Detay-Poz Listesi'!$D$5:$D$487,8),2)</f>
        <v>18.17</v>
      </c>
      <c r="E49" s="8" t="n">
        <f aca="false">ROUND(SUMIFS('Detay-Poz Listesi'!$L$5:$L$487,'Detay-Poz Listesi'!$A$5:$A$487,A49,'Detay-Poz Listesi'!$C$5:$C$487,C49,'Detay-Poz Listesi'!$D$5:$D$487,14),2)</f>
        <v>269.68</v>
      </c>
      <c r="F49" s="8" t="n">
        <f aca="false">ROUND(SUMIFS('Detay-Poz Listesi'!$L$5:$L$487,'Detay-Poz Listesi'!$A$5:$A$487,A49,'Detay-Poz Listesi'!$C$5:$C$487,C49,'Detay-Poz Listesi'!$D$5:$D$487,16),2)</f>
        <v>0</v>
      </c>
      <c r="G49" s="8" t="n">
        <f aca="false">ROUND(SUM(D49:F49),2)</f>
        <v>287.85</v>
      </c>
      <c r="H49" s="20" t="n">
        <v>5.48</v>
      </c>
      <c r="I49" s="20"/>
      <c r="J49" s="21" t="n">
        <v>1</v>
      </c>
      <c r="K49" s="8" t="n">
        <f aca="false">ROUND(G49*J49,2)</f>
        <v>287.85</v>
      </c>
      <c r="L49" s="8" t="n">
        <f aca="false">ROUND(H49*J49,2)</f>
        <v>5.48</v>
      </c>
    </row>
    <row r="50" customFormat="false" ht="15" hidden="false" customHeight="true" outlineLevel="0" collapsed="false">
      <c r="A50" s="7" t="s">
        <v>121</v>
      </c>
      <c r="B50" s="7" t="s">
        <v>122</v>
      </c>
      <c r="C50" s="7" t="s">
        <v>62</v>
      </c>
      <c r="D50" s="8" t="n">
        <f aca="false">ROUND(SUMIFS('Detay-Poz Listesi'!$L$5:$L$487,'Detay-Poz Listesi'!$A$5:$A$487,A50,'Detay-Poz Listesi'!$C$5:$C$487,C50,'Detay-Poz Listesi'!$D$5:$D$487,8),2)</f>
        <v>29.86</v>
      </c>
      <c r="E50" s="8" t="n">
        <f aca="false">ROUND(SUMIFS('Detay-Poz Listesi'!$L$5:$L$487,'Detay-Poz Listesi'!$A$5:$A$487,A50,'Detay-Poz Listesi'!$C$5:$C$487,C50,'Detay-Poz Listesi'!$D$5:$D$487,14),2)</f>
        <v>428.4</v>
      </c>
      <c r="F50" s="8" t="n">
        <f aca="false">ROUND(SUMIFS('Detay-Poz Listesi'!$L$5:$L$487,'Detay-Poz Listesi'!$A$5:$A$487,A50,'Detay-Poz Listesi'!$C$5:$C$487,C50,'Detay-Poz Listesi'!$D$5:$D$487,16),2)</f>
        <v>0</v>
      </c>
      <c r="G50" s="8" t="n">
        <f aca="false">ROUND(SUM(D50:F50),2)</f>
        <v>458.26</v>
      </c>
      <c r="H50" s="20" t="n">
        <v>9.26</v>
      </c>
      <c r="I50" s="20"/>
      <c r="J50" s="21" t="n">
        <v>1</v>
      </c>
      <c r="K50" s="8" t="n">
        <f aca="false">ROUND(G50*J50,2)</f>
        <v>458.26</v>
      </c>
      <c r="L50" s="8" t="n">
        <f aca="false">ROUND(H50*J50,2)</f>
        <v>9.26</v>
      </c>
    </row>
    <row r="51" customFormat="false" ht="15" hidden="false" customHeight="true" outlineLevel="0" collapsed="false">
      <c r="A51" s="7" t="s">
        <v>123</v>
      </c>
      <c r="B51" s="7" t="s">
        <v>122</v>
      </c>
      <c r="C51" s="7" t="s">
        <v>64</v>
      </c>
      <c r="D51" s="8" t="n">
        <f aca="false">ROUND(SUMIFS('Detay-Poz Listesi'!$L$5:$L$487,'Detay-Poz Listesi'!$A$5:$A$487,A51,'Detay-Poz Listesi'!$C$5:$C$487,C51,'Detay-Poz Listesi'!$D$5:$D$487,8),2)</f>
        <v>31.85</v>
      </c>
      <c r="E51" s="8" t="n">
        <f aca="false">ROUND(SUMIFS('Detay-Poz Listesi'!$L$5:$L$487,'Detay-Poz Listesi'!$A$5:$A$487,A51,'Detay-Poz Listesi'!$C$5:$C$487,C51,'Detay-Poz Listesi'!$D$5:$D$487,14),2)</f>
        <v>533.84</v>
      </c>
      <c r="F51" s="8" t="n">
        <f aca="false">ROUND(SUMIFS('Detay-Poz Listesi'!$L$5:$L$487,'Detay-Poz Listesi'!$A$5:$A$487,A51,'Detay-Poz Listesi'!$C$5:$C$487,C51,'Detay-Poz Listesi'!$D$5:$D$487,16),2)</f>
        <v>80.83</v>
      </c>
      <c r="G51" s="8" t="n">
        <f aca="false">ROUND(SUM(D51:F51),2)</f>
        <v>646.52</v>
      </c>
      <c r="H51" s="20" t="n">
        <v>11.62</v>
      </c>
      <c r="I51" s="20"/>
      <c r="J51" s="21" t="n">
        <v>1</v>
      </c>
      <c r="K51" s="8" t="n">
        <f aca="false">ROUND(G51*J51,2)</f>
        <v>646.52</v>
      </c>
      <c r="L51" s="8" t="n">
        <f aca="false">ROUND(H51*J51,2)</f>
        <v>11.62</v>
      </c>
    </row>
    <row r="52" customFormat="false" ht="15" hidden="false" customHeight="true" outlineLevel="0" collapsed="false">
      <c r="A52" s="7" t="s">
        <v>124</v>
      </c>
      <c r="B52" s="7" t="s">
        <v>122</v>
      </c>
      <c r="C52" s="7" t="s">
        <v>66</v>
      </c>
      <c r="D52" s="8" t="n">
        <f aca="false">ROUND(SUMIFS('Detay-Poz Listesi'!$L$5:$L$487,'Detay-Poz Listesi'!$A$5:$A$487,A52,'Detay-Poz Listesi'!$C$5:$C$487,C52,'Detay-Poz Listesi'!$D$5:$D$487,8),2)</f>
        <v>18.91</v>
      </c>
      <c r="E52" s="8" t="n">
        <f aca="false">ROUND(SUMIFS('Detay-Poz Listesi'!$L$5:$L$487,'Detay-Poz Listesi'!$A$5:$A$487,A52,'Detay-Poz Listesi'!$C$5:$C$487,C52,'Detay-Poz Listesi'!$D$5:$D$487,14),2)</f>
        <v>241.12</v>
      </c>
      <c r="F52" s="8" t="n">
        <f aca="false">ROUND(SUMIFS('Detay-Poz Listesi'!$L$5:$L$487,'Detay-Poz Listesi'!$A$5:$A$487,A52,'Detay-Poz Listesi'!$C$5:$C$487,C52,'Detay-Poz Listesi'!$D$5:$D$487,16),2)</f>
        <v>0</v>
      </c>
      <c r="G52" s="8" t="n">
        <f aca="false">ROUND(SUM(D52:F52),2)</f>
        <v>260.03</v>
      </c>
      <c r="H52" s="20" t="n">
        <v>5.64</v>
      </c>
      <c r="I52" s="20"/>
      <c r="J52" s="21" t="n">
        <v>1</v>
      </c>
      <c r="K52" s="8" t="n">
        <f aca="false">ROUND(G52*J52,2)</f>
        <v>260.03</v>
      </c>
      <c r="L52" s="8" t="n">
        <f aca="false">ROUND(H52*J52,2)</f>
        <v>5.64</v>
      </c>
    </row>
    <row r="53" customFormat="false" ht="15" hidden="false" customHeight="true" outlineLevel="0" collapsed="false">
      <c r="A53" s="7" t="s">
        <v>125</v>
      </c>
      <c r="B53" s="7" t="s">
        <v>122</v>
      </c>
      <c r="C53" s="7" t="s">
        <v>68</v>
      </c>
      <c r="D53" s="8" t="n">
        <f aca="false">ROUND(SUMIFS('Detay-Poz Listesi'!$L$5:$L$487,'Detay-Poz Listesi'!$A$5:$A$487,A53,'Detay-Poz Listesi'!$C$5:$C$487,C53,'Detay-Poz Listesi'!$D$5:$D$487,8),2)</f>
        <v>18.41</v>
      </c>
      <c r="E53" s="8" t="n">
        <f aca="false">ROUND(SUMIFS('Detay-Poz Listesi'!$L$5:$L$487,'Detay-Poz Listesi'!$A$5:$A$487,A53,'Detay-Poz Listesi'!$C$5:$C$487,C53,'Detay-Poz Listesi'!$D$5:$D$487,14),2)</f>
        <v>238.94</v>
      </c>
      <c r="F53" s="8" t="n">
        <f aca="false">ROUND(SUMIFS('Detay-Poz Listesi'!$L$5:$L$487,'Detay-Poz Listesi'!$A$5:$A$487,A53,'Detay-Poz Listesi'!$C$5:$C$487,C53,'Detay-Poz Listesi'!$D$5:$D$487,16),2)</f>
        <v>0</v>
      </c>
      <c r="G53" s="8" t="n">
        <f aca="false">ROUND(SUM(D53:F53),2)</f>
        <v>257.35</v>
      </c>
      <c r="H53" s="20" t="n">
        <v>5.52</v>
      </c>
      <c r="I53" s="20"/>
      <c r="J53" s="21" t="n">
        <v>1</v>
      </c>
      <c r="K53" s="8" t="n">
        <f aca="false">ROUND(G53*J53,2)</f>
        <v>257.35</v>
      </c>
      <c r="L53" s="8" t="n">
        <f aca="false">ROUND(H53*J53,2)</f>
        <v>5.52</v>
      </c>
    </row>
    <row r="54" customFormat="false" ht="15" hidden="false" customHeight="true" outlineLevel="0" collapsed="false">
      <c r="A54" s="7" t="s">
        <v>126</v>
      </c>
      <c r="B54" s="7" t="s">
        <v>127</v>
      </c>
      <c r="C54" s="7" t="s">
        <v>62</v>
      </c>
      <c r="D54" s="8" t="n">
        <f aca="false">ROUND(SUMIFS('Detay-Poz Listesi'!$L$5:$L$487,'Detay-Poz Listesi'!$A$5:$A$487,A54,'Detay-Poz Listesi'!$C$5:$C$487,C54,'Detay-Poz Listesi'!$D$5:$D$487,8),2)</f>
        <v>7.7</v>
      </c>
      <c r="E54" s="8" t="n">
        <f aca="false">ROUND(SUMIFS('Detay-Poz Listesi'!$L$5:$L$487,'Detay-Poz Listesi'!$A$5:$A$487,A54,'Detay-Poz Listesi'!$C$5:$C$487,C54,'Detay-Poz Listesi'!$D$5:$D$487,14),2)</f>
        <v>217.32</v>
      </c>
      <c r="F54" s="8" t="n">
        <f aca="false">ROUND(SUMIFS('Detay-Poz Listesi'!$L$5:$L$487,'Detay-Poz Listesi'!$A$5:$A$487,A54,'Detay-Poz Listesi'!$C$5:$C$487,C54,'Detay-Poz Listesi'!$D$5:$D$487,16),2)</f>
        <v>0</v>
      </c>
      <c r="G54" s="8" t="n">
        <f aca="false">ROUND(SUM(D54:F54),2)</f>
        <v>225.02</v>
      </c>
      <c r="H54" s="20" t="n">
        <v>1.87</v>
      </c>
      <c r="I54" s="20"/>
      <c r="J54" s="21" t="n">
        <v>1</v>
      </c>
      <c r="K54" s="8" t="n">
        <f aca="false">ROUND(G54*J54,2)</f>
        <v>225.02</v>
      </c>
      <c r="L54" s="8" t="n">
        <f aca="false">ROUND(H54*J54,2)</f>
        <v>1.87</v>
      </c>
    </row>
    <row r="55" customFormat="false" ht="15" hidden="false" customHeight="true" outlineLevel="0" collapsed="false">
      <c r="A55" s="7" t="s">
        <v>128</v>
      </c>
      <c r="B55" s="7" t="s">
        <v>127</v>
      </c>
      <c r="C55" s="7" t="s">
        <v>64</v>
      </c>
      <c r="D55" s="8" t="n">
        <f aca="false">ROUND(SUMIFS('Detay-Poz Listesi'!$L$5:$L$487,'Detay-Poz Listesi'!$A$5:$A$487,A55,'Detay-Poz Listesi'!$C$5:$C$487,C55,'Detay-Poz Listesi'!$D$5:$D$487,8),2)</f>
        <v>7.7</v>
      </c>
      <c r="E55" s="8" t="n">
        <f aca="false">ROUND(SUMIFS('Detay-Poz Listesi'!$L$5:$L$487,'Detay-Poz Listesi'!$A$5:$A$487,A55,'Detay-Poz Listesi'!$C$5:$C$487,C55,'Detay-Poz Listesi'!$D$5:$D$487,14),2)</f>
        <v>217.32</v>
      </c>
      <c r="F55" s="8" t="n">
        <f aca="false">ROUND(SUMIFS('Detay-Poz Listesi'!$L$5:$L$487,'Detay-Poz Listesi'!$A$5:$A$487,A55,'Detay-Poz Listesi'!$C$5:$C$487,C55,'Detay-Poz Listesi'!$D$5:$D$487,16),2)</f>
        <v>0</v>
      </c>
      <c r="G55" s="8" t="n">
        <f aca="false">ROUND(SUM(D55:F55),2)</f>
        <v>225.02</v>
      </c>
      <c r="H55" s="20" t="n">
        <v>1.87</v>
      </c>
      <c r="I55" s="20"/>
      <c r="J55" s="21" t="n">
        <v>1</v>
      </c>
      <c r="K55" s="8" t="n">
        <f aca="false">ROUND(G55*J55,2)</f>
        <v>225.02</v>
      </c>
      <c r="L55" s="8" t="n">
        <f aca="false">ROUND(H55*J55,2)</f>
        <v>1.87</v>
      </c>
    </row>
    <row r="56" customFormat="false" ht="15" hidden="false" customHeight="true" outlineLevel="0" collapsed="false">
      <c r="A56" s="7" t="s">
        <v>129</v>
      </c>
      <c r="B56" s="7" t="s">
        <v>127</v>
      </c>
      <c r="C56" s="7" t="s">
        <v>66</v>
      </c>
      <c r="D56" s="8" t="n">
        <f aca="false">ROUND(SUMIFS('Detay-Poz Listesi'!$L$5:$L$487,'Detay-Poz Listesi'!$A$5:$A$487,A56,'Detay-Poz Listesi'!$C$5:$C$487,C56,'Detay-Poz Listesi'!$D$5:$D$487,8),2)</f>
        <v>41.31</v>
      </c>
      <c r="E56" s="8" t="n">
        <f aca="false">ROUND(SUMIFS('Detay-Poz Listesi'!$L$5:$L$487,'Detay-Poz Listesi'!$A$5:$A$487,A56,'Detay-Poz Listesi'!$C$5:$C$487,C56,'Detay-Poz Listesi'!$D$5:$D$487,14),2)</f>
        <v>962.56</v>
      </c>
      <c r="F56" s="8" t="n">
        <f aca="false">ROUND(SUMIFS('Detay-Poz Listesi'!$L$5:$L$487,'Detay-Poz Listesi'!$A$5:$A$487,A56,'Detay-Poz Listesi'!$C$5:$C$487,C56,'Detay-Poz Listesi'!$D$5:$D$487,16),2)</f>
        <v>0</v>
      </c>
      <c r="G56" s="8" t="n">
        <f aca="false">ROUND(SUM(D56:F56),2)</f>
        <v>1003.87</v>
      </c>
      <c r="H56" s="20" t="n">
        <v>12.45</v>
      </c>
      <c r="I56" s="20"/>
      <c r="J56" s="21" t="n">
        <v>1</v>
      </c>
      <c r="K56" s="8" t="n">
        <f aca="false">ROUND(G56*J56,2)</f>
        <v>1003.87</v>
      </c>
      <c r="L56" s="8" t="n">
        <f aca="false">ROUND(H56*J56,2)</f>
        <v>12.45</v>
      </c>
    </row>
    <row r="57" customFormat="false" ht="15" hidden="false" customHeight="true" outlineLevel="0" collapsed="false">
      <c r="A57" s="7" t="s">
        <v>130</v>
      </c>
      <c r="B57" s="7" t="s">
        <v>127</v>
      </c>
      <c r="C57" s="7" t="s">
        <v>68</v>
      </c>
      <c r="D57" s="8" t="n">
        <f aca="false">ROUND(SUMIFS('Detay-Poz Listesi'!$L$5:$L$487,'Detay-Poz Listesi'!$A$5:$A$487,A57,'Detay-Poz Listesi'!$C$5:$C$487,C57,'Detay-Poz Listesi'!$D$5:$D$487,8),2)</f>
        <v>14.79</v>
      </c>
      <c r="E57" s="8" t="n">
        <f aca="false">ROUND(SUMIFS('Detay-Poz Listesi'!$L$5:$L$487,'Detay-Poz Listesi'!$A$5:$A$487,A57,'Detay-Poz Listesi'!$C$5:$C$487,C57,'Detay-Poz Listesi'!$D$5:$D$487,14),2)</f>
        <v>359.11</v>
      </c>
      <c r="F57" s="8" t="n">
        <f aca="false">ROUND(SUMIFS('Detay-Poz Listesi'!$L$5:$L$487,'Detay-Poz Listesi'!$A$5:$A$487,A57,'Detay-Poz Listesi'!$C$5:$C$487,C57,'Detay-Poz Listesi'!$D$5:$D$487,16),2)</f>
        <v>49.74</v>
      </c>
      <c r="G57" s="8" t="n">
        <f aca="false">ROUND(SUM(D57:F57),2)</f>
        <v>423.64</v>
      </c>
      <c r="H57" s="20" t="n">
        <v>3.61</v>
      </c>
      <c r="I57" s="20" t="n">
        <v>18.85</v>
      </c>
      <c r="J57" s="21" t="n">
        <v>1</v>
      </c>
      <c r="K57" s="8" t="n">
        <f aca="false">ROUND(G57*J57,2)</f>
        <v>423.64</v>
      </c>
      <c r="L57" s="8" t="n">
        <f aca="false">ROUND(H57*J57,2)</f>
        <v>3.61</v>
      </c>
    </row>
    <row r="58" customFormat="false" ht="15" hidden="false" customHeight="true" outlineLevel="0" collapsed="false">
      <c r="A58" s="7" t="s">
        <v>131</v>
      </c>
      <c r="B58" s="7" t="s">
        <v>132</v>
      </c>
      <c r="C58" s="7" t="s">
        <v>62</v>
      </c>
      <c r="D58" s="8" t="n">
        <f aca="false">ROUND(SUMIFS('Detay-Poz Listesi'!$L$5:$L$487,'Detay-Poz Listesi'!$A$5:$A$487,A58,'Detay-Poz Listesi'!$C$5:$C$487,C58,'Detay-Poz Listesi'!$D$5:$D$487,8),2)</f>
        <v>8.63</v>
      </c>
      <c r="E58" s="8" t="n">
        <f aca="false">ROUND(SUMIFS('Detay-Poz Listesi'!$L$5:$L$487,'Detay-Poz Listesi'!$A$5:$A$487,A58,'Detay-Poz Listesi'!$C$5:$C$487,C58,'Detay-Poz Listesi'!$D$5:$D$487,14),2)</f>
        <v>169.99</v>
      </c>
      <c r="F58" s="8" t="n">
        <f aca="false">ROUND(SUMIFS('Detay-Poz Listesi'!$L$5:$L$487,'Detay-Poz Listesi'!$A$5:$A$487,A58,'Detay-Poz Listesi'!$C$5:$C$487,C58,'Detay-Poz Listesi'!$D$5:$D$487,16),2)</f>
        <v>39.92</v>
      </c>
      <c r="G58" s="8" t="n">
        <f aca="false">ROUND(SUM(D58:F58),2)</f>
        <v>218.54</v>
      </c>
      <c r="H58" s="20" t="n">
        <v>2.1</v>
      </c>
      <c r="I58" s="20"/>
      <c r="J58" s="21" t="n">
        <v>1</v>
      </c>
      <c r="K58" s="8" t="n">
        <f aca="false">ROUND(G58*J58,2)</f>
        <v>218.54</v>
      </c>
      <c r="L58" s="8" t="n">
        <f aca="false">ROUND(H58*J58,2)</f>
        <v>2.1</v>
      </c>
    </row>
    <row r="59" customFormat="false" ht="15" hidden="false" customHeight="true" outlineLevel="0" collapsed="false">
      <c r="A59" s="7" t="s">
        <v>133</v>
      </c>
      <c r="B59" s="7" t="s">
        <v>132</v>
      </c>
      <c r="C59" s="7" t="s">
        <v>64</v>
      </c>
      <c r="D59" s="8" t="n">
        <f aca="false">ROUND(SUMIFS('Detay-Poz Listesi'!$L$5:$L$487,'Detay-Poz Listesi'!$A$5:$A$487,A59,'Detay-Poz Listesi'!$C$5:$C$487,C59,'Detay-Poz Listesi'!$D$5:$D$487,8),2)</f>
        <v>8.63</v>
      </c>
      <c r="E59" s="8" t="n">
        <f aca="false">ROUND(SUMIFS('Detay-Poz Listesi'!$L$5:$L$487,'Detay-Poz Listesi'!$A$5:$A$487,A59,'Detay-Poz Listesi'!$C$5:$C$487,C59,'Detay-Poz Listesi'!$D$5:$D$487,14),2)</f>
        <v>175.54</v>
      </c>
      <c r="F59" s="8" t="n">
        <f aca="false">ROUND(SUMIFS('Detay-Poz Listesi'!$L$5:$L$487,'Detay-Poz Listesi'!$A$5:$A$487,A59,'Detay-Poz Listesi'!$C$5:$C$487,C59,'Detay-Poz Listesi'!$D$5:$D$487,16),2)</f>
        <v>0</v>
      </c>
      <c r="G59" s="8" t="n">
        <f aca="false">ROUND(SUM(D59:F59),2)</f>
        <v>184.17</v>
      </c>
      <c r="H59" s="20" t="n">
        <v>2.1</v>
      </c>
      <c r="I59" s="20"/>
      <c r="J59" s="21" t="n">
        <v>1</v>
      </c>
      <c r="K59" s="8" t="n">
        <f aca="false">ROUND(G59*J59,2)</f>
        <v>184.17</v>
      </c>
      <c r="L59" s="8" t="n">
        <f aca="false">ROUND(H59*J59,2)</f>
        <v>2.1</v>
      </c>
    </row>
    <row r="60" customFormat="false" ht="15" hidden="false" customHeight="true" outlineLevel="0" collapsed="false">
      <c r="A60" s="7" t="s">
        <v>134</v>
      </c>
      <c r="B60" s="7" t="s">
        <v>132</v>
      </c>
      <c r="C60" s="7" t="s">
        <v>66</v>
      </c>
      <c r="D60" s="8" t="n">
        <f aca="false">ROUND(SUMIFS('Detay-Poz Listesi'!$L$5:$L$487,'Detay-Poz Listesi'!$A$5:$A$487,A60,'Detay-Poz Listesi'!$C$5:$C$487,C60,'Detay-Poz Listesi'!$D$5:$D$487,8),2)</f>
        <v>8.63</v>
      </c>
      <c r="E60" s="8" t="n">
        <f aca="false">ROUND(SUMIFS('Detay-Poz Listesi'!$L$5:$L$487,'Detay-Poz Listesi'!$A$5:$A$487,A60,'Detay-Poz Listesi'!$C$5:$C$487,C60,'Detay-Poz Listesi'!$D$5:$D$487,14),2)</f>
        <v>175.54</v>
      </c>
      <c r="F60" s="8" t="n">
        <f aca="false">ROUND(SUMIFS('Detay-Poz Listesi'!$L$5:$L$487,'Detay-Poz Listesi'!$A$5:$A$487,A60,'Detay-Poz Listesi'!$C$5:$C$487,C60,'Detay-Poz Listesi'!$D$5:$D$487,16),2)</f>
        <v>0</v>
      </c>
      <c r="G60" s="8" t="n">
        <f aca="false">ROUND(SUM(D60:F60),2)</f>
        <v>184.17</v>
      </c>
      <c r="H60" s="20" t="n">
        <v>2.1</v>
      </c>
      <c r="I60" s="20"/>
      <c r="J60" s="21" t="n">
        <v>1</v>
      </c>
      <c r="K60" s="8" t="n">
        <f aca="false">ROUND(G60*J60,2)</f>
        <v>184.17</v>
      </c>
      <c r="L60" s="8" t="n">
        <f aca="false">ROUND(H60*J60,2)</f>
        <v>2.1</v>
      </c>
    </row>
    <row r="61" customFormat="false" ht="15" hidden="false" customHeight="true" outlineLevel="0" collapsed="false">
      <c r="A61" s="7" t="s">
        <v>135</v>
      </c>
      <c r="B61" s="7" t="s">
        <v>136</v>
      </c>
      <c r="C61" s="7" t="s">
        <v>62</v>
      </c>
      <c r="D61" s="8" t="n">
        <f aca="false">ROUND(SUMIFS('Detay-Poz Listesi'!$L$5:$L$487,'Detay-Poz Listesi'!$A$5:$A$487,A61,'Detay-Poz Listesi'!$C$5:$C$487,C61,'Detay-Poz Listesi'!$D$5:$D$487,8),2)</f>
        <v>8.63</v>
      </c>
      <c r="E61" s="8" t="n">
        <f aca="false">ROUND(SUMIFS('Detay-Poz Listesi'!$L$5:$L$487,'Detay-Poz Listesi'!$A$5:$A$487,A61,'Detay-Poz Listesi'!$C$5:$C$487,C61,'Detay-Poz Listesi'!$D$5:$D$487,14),2)</f>
        <v>169.99</v>
      </c>
      <c r="F61" s="8" t="n">
        <f aca="false">ROUND(SUMIFS('Detay-Poz Listesi'!$L$5:$L$487,'Detay-Poz Listesi'!$A$5:$A$487,A61,'Detay-Poz Listesi'!$C$5:$C$487,C61,'Detay-Poz Listesi'!$D$5:$D$487,16),2)</f>
        <v>39.92</v>
      </c>
      <c r="G61" s="8" t="n">
        <f aca="false">ROUND(SUM(D61:F61),2)</f>
        <v>218.54</v>
      </c>
      <c r="H61" s="20" t="n">
        <v>2.18</v>
      </c>
      <c r="I61" s="20"/>
      <c r="J61" s="21" t="n">
        <v>1</v>
      </c>
      <c r="K61" s="8" t="n">
        <f aca="false">ROUND(G61*J61,2)</f>
        <v>218.54</v>
      </c>
      <c r="L61" s="8" t="n">
        <f aca="false">ROUND(H61*J61,2)</f>
        <v>2.18</v>
      </c>
    </row>
    <row r="62" customFormat="false" ht="15" hidden="false" customHeight="true" outlineLevel="0" collapsed="false">
      <c r="A62" s="7" t="s">
        <v>137</v>
      </c>
      <c r="B62" s="7" t="s">
        <v>136</v>
      </c>
      <c r="C62" s="7" t="s">
        <v>64</v>
      </c>
      <c r="D62" s="8" t="n">
        <f aca="false">ROUND(SUMIFS('Detay-Poz Listesi'!$L$5:$L$487,'Detay-Poz Listesi'!$A$5:$A$487,A62,'Detay-Poz Listesi'!$C$5:$C$487,C62,'Detay-Poz Listesi'!$D$5:$D$487,8),2)</f>
        <v>10.78</v>
      </c>
      <c r="E62" s="8" t="n">
        <f aca="false">ROUND(SUMIFS('Detay-Poz Listesi'!$L$5:$L$487,'Detay-Poz Listesi'!$A$5:$A$487,A62,'Detay-Poz Listesi'!$C$5:$C$487,C62,'Detay-Poz Listesi'!$D$5:$D$487,14),2)</f>
        <v>196.57</v>
      </c>
      <c r="F62" s="8" t="n">
        <f aca="false">ROUND(SUMIFS('Detay-Poz Listesi'!$L$5:$L$487,'Detay-Poz Listesi'!$A$5:$A$487,A62,'Detay-Poz Listesi'!$C$5:$C$487,C62,'Detay-Poz Listesi'!$D$5:$D$487,16),2)</f>
        <v>0</v>
      </c>
      <c r="G62" s="8" t="n">
        <f aca="false">ROUND(SUM(D62:F62),2)</f>
        <v>207.35</v>
      </c>
      <c r="H62" s="20" t="n">
        <v>2.24</v>
      </c>
      <c r="I62" s="20"/>
      <c r="J62" s="21" t="n">
        <v>1</v>
      </c>
      <c r="K62" s="8" t="n">
        <f aca="false">ROUND(G62*J62,2)</f>
        <v>207.35</v>
      </c>
      <c r="L62" s="8" t="n">
        <f aca="false">ROUND(H62*J62,2)</f>
        <v>2.24</v>
      </c>
    </row>
    <row r="63" customFormat="false" ht="15" hidden="false" customHeight="true" outlineLevel="0" collapsed="false">
      <c r="A63" s="7" t="s">
        <v>138</v>
      </c>
      <c r="B63" s="7" t="s">
        <v>136</v>
      </c>
      <c r="C63" s="7" t="s">
        <v>66</v>
      </c>
      <c r="D63" s="8" t="n">
        <f aca="false">ROUND(SUMIFS('Detay-Poz Listesi'!$L$5:$L$487,'Detay-Poz Listesi'!$A$5:$A$487,A63,'Detay-Poz Listesi'!$C$5:$C$487,C63,'Detay-Poz Listesi'!$D$5:$D$487,8),2)</f>
        <v>10.78</v>
      </c>
      <c r="E63" s="8" t="n">
        <f aca="false">ROUND(SUMIFS('Detay-Poz Listesi'!$L$5:$L$487,'Detay-Poz Listesi'!$A$5:$A$487,A63,'Detay-Poz Listesi'!$C$5:$C$487,C63,'Detay-Poz Listesi'!$D$5:$D$487,14),2)</f>
        <v>196.57</v>
      </c>
      <c r="F63" s="8" t="n">
        <f aca="false">ROUND(SUMIFS('Detay-Poz Listesi'!$L$5:$L$487,'Detay-Poz Listesi'!$A$5:$A$487,A63,'Detay-Poz Listesi'!$C$5:$C$487,C63,'Detay-Poz Listesi'!$D$5:$D$487,16),2)</f>
        <v>0</v>
      </c>
      <c r="G63" s="8" t="n">
        <f aca="false">ROUND(SUM(D63:F63),2)</f>
        <v>207.35</v>
      </c>
      <c r="H63" s="20" t="n">
        <v>2.24</v>
      </c>
      <c r="I63" s="20"/>
      <c r="J63" s="21" t="n">
        <v>1</v>
      </c>
      <c r="K63" s="8" t="n">
        <f aca="false">ROUND(G63*J63,2)</f>
        <v>207.35</v>
      </c>
      <c r="L63" s="8" t="n">
        <f aca="false">ROUND(H63*J63,2)</f>
        <v>2.24</v>
      </c>
    </row>
    <row r="64" customFormat="false" ht="15" hidden="false" customHeight="true" outlineLevel="0" collapsed="false">
      <c r="A64" s="7" t="s">
        <v>139</v>
      </c>
      <c r="B64" s="7" t="s">
        <v>140</v>
      </c>
      <c r="C64" s="7" t="s">
        <v>62</v>
      </c>
      <c r="D64" s="8" t="n">
        <f aca="false">ROUND(SUMIFS('Detay-Poz Listesi'!$L$5:$L$487,'Detay-Poz Listesi'!$A$5:$A$487,A64,'Detay-Poz Listesi'!$C$5:$C$487,C64,'Detay-Poz Listesi'!$D$5:$D$487,8),2)</f>
        <v>9.24</v>
      </c>
      <c r="E64" s="8" t="n">
        <f aca="false">ROUND(SUMIFS('Detay-Poz Listesi'!$L$5:$L$487,'Detay-Poz Listesi'!$A$5:$A$487,A64,'Detay-Poz Listesi'!$C$5:$C$487,C64,'Detay-Poz Listesi'!$D$5:$D$487,14),2)</f>
        <v>184.48</v>
      </c>
      <c r="F64" s="8" t="n">
        <f aca="false">ROUND(SUMIFS('Detay-Poz Listesi'!$L$5:$L$487,'Detay-Poz Listesi'!$A$5:$A$487,A64,'Detay-Poz Listesi'!$C$5:$C$487,C64,'Detay-Poz Listesi'!$D$5:$D$487,16),2)</f>
        <v>39.92</v>
      </c>
      <c r="G64" s="8" t="n">
        <f aca="false">ROUND(SUM(D64:F64),2)</f>
        <v>233.64</v>
      </c>
      <c r="H64" s="20" t="n">
        <v>2.34</v>
      </c>
      <c r="I64" s="20" t="n">
        <v>9.75</v>
      </c>
      <c r="J64" s="21" t="n">
        <v>1</v>
      </c>
      <c r="K64" s="8" t="n">
        <f aca="false">ROUND(G64*J64,2)</f>
        <v>233.64</v>
      </c>
      <c r="L64" s="8" t="n">
        <f aca="false">ROUND(H64*J64,2)</f>
        <v>2.34</v>
      </c>
    </row>
    <row r="65" customFormat="false" ht="15" hidden="false" customHeight="true" outlineLevel="0" collapsed="false">
      <c r="A65" s="7" t="s">
        <v>141</v>
      </c>
      <c r="B65" s="7" t="s">
        <v>140</v>
      </c>
      <c r="C65" s="7" t="s">
        <v>64</v>
      </c>
      <c r="D65" s="8" t="n">
        <f aca="false">ROUND(SUMIFS('Detay-Poz Listesi'!$L$5:$L$487,'Detay-Poz Listesi'!$A$5:$A$487,A65,'Detay-Poz Listesi'!$C$5:$C$487,C65,'Detay-Poz Listesi'!$D$5:$D$487,8),2)</f>
        <v>9.55</v>
      </c>
      <c r="E65" s="8" t="n">
        <f aca="false">ROUND(SUMIFS('Detay-Poz Listesi'!$L$5:$L$487,'Detay-Poz Listesi'!$A$5:$A$487,A65,'Detay-Poz Listesi'!$C$5:$C$487,C65,'Detay-Poz Listesi'!$D$5:$D$487,14),2)</f>
        <v>164.76</v>
      </c>
      <c r="F65" s="8" t="n">
        <f aca="false">ROUND(SUMIFS('Detay-Poz Listesi'!$L$5:$L$487,'Detay-Poz Listesi'!$A$5:$A$487,A65,'Detay-Poz Listesi'!$C$5:$C$487,C65,'Detay-Poz Listesi'!$D$5:$D$487,16),2)</f>
        <v>0</v>
      </c>
      <c r="G65" s="8" t="n">
        <f aca="false">ROUND(SUM(D65:F65),2)</f>
        <v>174.31</v>
      </c>
      <c r="H65" s="20" t="n">
        <v>2.33</v>
      </c>
      <c r="I65" s="20"/>
      <c r="J65" s="21" t="n">
        <v>1</v>
      </c>
      <c r="K65" s="8" t="n">
        <f aca="false">ROUND(G65*J65,2)</f>
        <v>174.31</v>
      </c>
      <c r="L65" s="8" t="n">
        <f aca="false">ROUND(H65*J65,2)</f>
        <v>2.33</v>
      </c>
    </row>
    <row r="66" customFormat="false" ht="15" hidden="false" customHeight="true" outlineLevel="0" collapsed="false">
      <c r="A66" s="7" t="s">
        <v>142</v>
      </c>
      <c r="B66" s="7" t="s">
        <v>140</v>
      </c>
      <c r="C66" s="7" t="s">
        <v>66</v>
      </c>
      <c r="D66" s="8" t="n">
        <f aca="false">ROUND(SUMIFS('Detay-Poz Listesi'!$L$5:$L$487,'Detay-Poz Listesi'!$A$5:$A$487,A66,'Detay-Poz Listesi'!$C$5:$C$487,C66,'Detay-Poz Listesi'!$D$5:$D$487,8),2)</f>
        <v>7.7</v>
      </c>
      <c r="E66" s="8" t="n">
        <f aca="false">ROUND(SUMIFS('Detay-Poz Listesi'!$L$5:$L$487,'Detay-Poz Listesi'!$A$5:$A$487,A66,'Detay-Poz Listesi'!$C$5:$C$487,C66,'Detay-Poz Listesi'!$D$5:$D$487,14),2)</f>
        <v>159.98</v>
      </c>
      <c r="F66" s="8" t="n">
        <f aca="false">ROUND(SUMIFS('Detay-Poz Listesi'!$L$5:$L$487,'Detay-Poz Listesi'!$A$5:$A$487,A66,'Detay-Poz Listesi'!$C$5:$C$487,C66,'Detay-Poz Listesi'!$D$5:$D$487,16),2)</f>
        <v>0</v>
      </c>
      <c r="G66" s="8" t="n">
        <f aca="false">ROUND(SUM(D66:F66),2)</f>
        <v>167.68</v>
      </c>
      <c r="H66" s="20" t="n">
        <v>1.88</v>
      </c>
      <c r="I66" s="20"/>
      <c r="J66" s="21" t="n">
        <v>1</v>
      </c>
      <c r="K66" s="8" t="n">
        <f aca="false">ROUND(G66*J66,2)</f>
        <v>167.68</v>
      </c>
      <c r="L66" s="8" t="n">
        <f aca="false">ROUND(H66*J66,2)</f>
        <v>1.88</v>
      </c>
    </row>
    <row r="67" customFormat="false" ht="15" hidden="false" customHeight="true" outlineLevel="0" collapsed="false">
      <c r="A67" s="7" t="s">
        <v>143</v>
      </c>
      <c r="B67" s="7" t="s">
        <v>140</v>
      </c>
      <c r="C67" s="7" t="s">
        <v>68</v>
      </c>
      <c r="D67" s="8" t="n">
        <f aca="false">ROUND(SUMIFS('Detay-Poz Listesi'!$L$5:$L$487,'Detay-Poz Listesi'!$A$5:$A$487,A67,'Detay-Poz Listesi'!$C$5:$C$487,C67,'Detay-Poz Listesi'!$D$5:$D$487,8),2)</f>
        <v>18.91</v>
      </c>
      <c r="E67" s="8" t="n">
        <f aca="false">ROUND(SUMIFS('Detay-Poz Listesi'!$L$5:$L$487,'Detay-Poz Listesi'!$A$5:$A$487,A67,'Detay-Poz Listesi'!$C$5:$C$487,C67,'Detay-Poz Listesi'!$D$5:$D$487,14),2)</f>
        <v>265.06</v>
      </c>
      <c r="F67" s="8" t="n">
        <f aca="false">ROUND(SUMIFS('Detay-Poz Listesi'!$L$5:$L$487,'Detay-Poz Listesi'!$A$5:$A$487,A67,'Detay-Poz Listesi'!$C$5:$C$487,C67,'Detay-Poz Listesi'!$D$5:$D$487,16),2)</f>
        <v>68.39</v>
      </c>
      <c r="G67" s="8" t="n">
        <f aca="false">ROUND(SUM(D67:F67),2)</f>
        <v>352.36</v>
      </c>
      <c r="H67" s="20" t="n">
        <v>5.64</v>
      </c>
      <c r="I67" s="20"/>
      <c r="J67" s="21" t="n">
        <v>1</v>
      </c>
      <c r="K67" s="8" t="n">
        <f aca="false">ROUND(G67*J67,2)</f>
        <v>352.36</v>
      </c>
      <c r="L67" s="8" t="n">
        <f aca="false">ROUND(H67*J67,2)</f>
        <v>5.64</v>
      </c>
    </row>
    <row r="68" customFormat="false" ht="15" hidden="false" customHeight="true" outlineLevel="0" collapsed="false">
      <c r="A68" s="7" t="s">
        <v>144</v>
      </c>
      <c r="B68" s="7" t="s">
        <v>145</v>
      </c>
      <c r="C68" s="7" t="s">
        <v>62</v>
      </c>
      <c r="D68" s="8" t="n">
        <f aca="false">ROUND(SUMIFS('Detay-Poz Listesi'!$L$5:$L$487,'Detay-Poz Listesi'!$A$5:$A$487,A68,'Detay-Poz Listesi'!$C$5:$C$487,C68,'Detay-Poz Listesi'!$D$5:$D$487,8),2)</f>
        <v>9.24</v>
      </c>
      <c r="E68" s="8" t="n">
        <f aca="false">ROUND(SUMIFS('Detay-Poz Listesi'!$L$5:$L$487,'Detay-Poz Listesi'!$A$5:$A$487,A68,'Detay-Poz Listesi'!$C$5:$C$487,C68,'Detay-Poz Listesi'!$D$5:$D$487,14),2)</f>
        <v>184.48</v>
      </c>
      <c r="F68" s="8" t="n">
        <f aca="false">ROUND(SUMIFS('Detay-Poz Listesi'!$L$5:$L$487,'Detay-Poz Listesi'!$A$5:$A$487,A68,'Detay-Poz Listesi'!$C$5:$C$487,C68,'Detay-Poz Listesi'!$D$5:$D$487,16),2)</f>
        <v>39.92</v>
      </c>
      <c r="G68" s="8" t="n">
        <f aca="false">ROUND(SUM(D68:F68),2)</f>
        <v>233.64</v>
      </c>
      <c r="H68" s="20" t="n">
        <v>2.34</v>
      </c>
      <c r="I68" s="20" t="n">
        <v>9.75</v>
      </c>
      <c r="J68" s="21" t="n">
        <v>1</v>
      </c>
      <c r="K68" s="8" t="n">
        <f aca="false">ROUND(G68*J68,2)</f>
        <v>233.64</v>
      </c>
      <c r="L68" s="8" t="n">
        <f aca="false">ROUND(H68*J68,2)</f>
        <v>2.34</v>
      </c>
    </row>
    <row r="69" customFormat="false" ht="15" hidden="false" customHeight="true" outlineLevel="0" collapsed="false">
      <c r="A69" s="7" t="s">
        <v>146</v>
      </c>
      <c r="B69" s="7" t="s">
        <v>145</v>
      </c>
      <c r="C69" s="7" t="s">
        <v>64</v>
      </c>
      <c r="D69" s="8" t="n">
        <f aca="false">ROUND(SUMIFS('Detay-Poz Listesi'!$L$5:$L$487,'Detay-Poz Listesi'!$A$5:$A$487,A69,'Detay-Poz Listesi'!$C$5:$C$487,C69,'Detay-Poz Listesi'!$D$5:$D$487,8),2)</f>
        <v>9.55</v>
      </c>
      <c r="E69" s="8" t="n">
        <f aca="false">ROUND(SUMIFS('Detay-Poz Listesi'!$L$5:$L$487,'Detay-Poz Listesi'!$A$5:$A$487,A69,'Detay-Poz Listesi'!$C$5:$C$487,C69,'Detay-Poz Listesi'!$D$5:$D$487,14),2)</f>
        <v>164.76</v>
      </c>
      <c r="F69" s="8" t="n">
        <f aca="false">ROUND(SUMIFS('Detay-Poz Listesi'!$L$5:$L$487,'Detay-Poz Listesi'!$A$5:$A$487,A69,'Detay-Poz Listesi'!$C$5:$C$487,C69,'Detay-Poz Listesi'!$D$5:$D$487,16),2)</f>
        <v>0</v>
      </c>
      <c r="G69" s="8" t="n">
        <f aca="false">ROUND(SUM(D69:F69),2)</f>
        <v>174.31</v>
      </c>
      <c r="H69" s="20" t="n">
        <v>2.33</v>
      </c>
      <c r="I69" s="20"/>
      <c r="J69" s="21" t="n">
        <v>1</v>
      </c>
      <c r="K69" s="8" t="n">
        <f aca="false">ROUND(G69*J69,2)</f>
        <v>174.31</v>
      </c>
      <c r="L69" s="8" t="n">
        <f aca="false">ROUND(H69*J69,2)</f>
        <v>2.33</v>
      </c>
    </row>
    <row r="70" customFormat="false" ht="15" hidden="false" customHeight="true" outlineLevel="0" collapsed="false">
      <c r="A70" s="7" t="s">
        <v>147</v>
      </c>
      <c r="B70" s="7" t="s">
        <v>145</v>
      </c>
      <c r="C70" s="7" t="s">
        <v>66</v>
      </c>
      <c r="D70" s="8" t="n">
        <f aca="false">ROUND(SUMIFS('Detay-Poz Listesi'!$L$5:$L$487,'Detay-Poz Listesi'!$A$5:$A$487,A70,'Detay-Poz Listesi'!$C$5:$C$487,C70,'Detay-Poz Listesi'!$D$5:$D$487,8),2)</f>
        <v>7.7</v>
      </c>
      <c r="E70" s="8" t="n">
        <f aca="false">ROUND(SUMIFS('Detay-Poz Listesi'!$L$5:$L$487,'Detay-Poz Listesi'!$A$5:$A$487,A70,'Detay-Poz Listesi'!$C$5:$C$487,C70,'Detay-Poz Listesi'!$D$5:$D$487,14),2)</f>
        <v>159.98</v>
      </c>
      <c r="F70" s="8" t="n">
        <f aca="false">ROUND(SUMIFS('Detay-Poz Listesi'!$L$5:$L$487,'Detay-Poz Listesi'!$A$5:$A$487,A70,'Detay-Poz Listesi'!$C$5:$C$487,C70,'Detay-Poz Listesi'!$D$5:$D$487,16),2)</f>
        <v>0</v>
      </c>
      <c r="G70" s="8" t="n">
        <f aca="false">ROUND(SUM(D70:F70),2)</f>
        <v>167.68</v>
      </c>
      <c r="H70" s="20" t="n">
        <v>1.88</v>
      </c>
      <c r="I70" s="20"/>
      <c r="J70" s="21" t="n">
        <v>1</v>
      </c>
      <c r="K70" s="8" t="n">
        <f aca="false">ROUND(G70*J70,2)</f>
        <v>167.68</v>
      </c>
      <c r="L70" s="8" t="n">
        <f aca="false">ROUND(H70*J70,2)</f>
        <v>1.88</v>
      </c>
    </row>
    <row r="71" customFormat="false" ht="15" hidden="false" customHeight="true" outlineLevel="0" collapsed="false">
      <c r="A71" s="7" t="s">
        <v>148</v>
      </c>
      <c r="B71" s="7" t="s">
        <v>145</v>
      </c>
      <c r="C71" s="7" t="s">
        <v>68</v>
      </c>
      <c r="D71" s="8" t="n">
        <f aca="false">ROUND(SUMIFS('Detay-Poz Listesi'!$L$5:$L$487,'Detay-Poz Listesi'!$A$5:$A$487,A71,'Detay-Poz Listesi'!$C$5:$C$487,C71,'Detay-Poz Listesi'!$D$5:$D$487,8),2)</f>
        <v>18.91</v>
      </c>
      <c r="E71" s="8" t="n">
        <f aca="false">ROUND(SUMIFS('Detay-Poz Listesi'!$L$5:$L$487,'Detay-Poz Listesi'!$A$5:$A$487,A71,'Detay-Poz Listesi'!$C$5:$C$487,C71,'Detay-Poz Listesi'!$D$5:$D$487,14),2)</f>
        <v>265.06</v>
      </c>
      <c r="F71" s="8" t="n">
        <f aca="false">ROUND(SUMIFS('Detay-Poz Listesi'!$L$5:$L$487,'Detay-Poz Listesi'!$A$5:$A$487,A71,'Detay-Poz Listesi'!$C$5:$C$487,C71,'Detay-Poz Listesi'!$D$5:$D$487,16),2)</f>
        <v>68.39</v>
      </c>
      <c r="G71" s="8" t="n">
        <f aca="false">ROUND(SUM(D71:F71),2)</f>
        <v>352.36</v>
      </c>
      <c r="H71" s="20" t="n">
        <v>5.64</v>
      </c>
      <c r="I71" s="20"/>
      <c r="J71" s="21" t="n">
        <v>1</v>
      </c>
      <c r="K71" s="8" t="n">
        <f aca="false">ROUND(G71*J71,2)</f>
        <v>352.36</v>
      </c>
      <c r="L71" s="8" t="n">
        <f aca="false">ROUND(H71*J71,2)</f>
        <v>5.64</v>
      </c>
    </row>
    <row r="72" customFormat="false" ht="15" hidden="false" customHeight="true" outlineLevel="0" collapsed="false">
      <c r="A72" s="7" t="s">
        <v>149</v>
      </c>
      <c r="B72" s="7" t="s">
        <v>150</v>
      </c>
      <c r="C72" s="7" t="s">
        <v>62</v>
      </c>
      <c r="D72" s="8" t="n">
        <f aca="false">ROUND(SUMIFS('Detay-Poz Listesi'!$L$5:$L$487,'Detay-Poz Listesi'!$A$5:$A$487,A72,'Detay-Poz Listesi'!$C$5:$C$487,C72,'Detay-Poz Listesi'!$D$5:$D$487,8),2)</f>
        <v>9.24</v>
      </c>
      <c r="E72" s="8" t="n">
        <f aca="false">ROUND(SUMIFS('Detay-Poz Listesi'!$L$5:$L$487,'Detay-Poz Listesi'!$A$5:$A$487,A72,'Detay-Poz Listesi'!$C$5:$C$487,C72,'Detay-Poz Listesi'!$D$5:$D$487,14),2)</f>
        <v>184.48</v>
      </c>
      <c r="F72" s="8" t="n">
        <f aca="false">ROUND(SUMIFS('Detay-Poz Listesi'!$L$5:$L$487,'Detay-Poz Listesi'!$A$5:$A$487,A72,'Detay-Poz Listesi'!$C$5:$C$487,C72,'Detay-Poz Listesi'!$D$5:$D$487,16),2)</f>
        <v>39.92</v>
      </c>
      <c r="G72" s="8" t="n">
        <f aca="false">ROUND(SUM(D72:F72),2)</f>
        <v>233.64</v>
      </c>
      <c r="H72" s="20" t="n">
        <v>2.34</v>
      </c>
      <c r="I72" s="20" t="n">
        <v>9.75</v>
      </c>
      <c r="J72" s="21" t="n">
        <v>1</v>
      </c>
      <c r="K72" s="8" t="n">
        <f aca="false">ROUND(G72*J72,2)</f>
        <v>233.64</v>
      </c>
      <c r="L72" s="8" t="n">
        <f aca="false">ROUND(H72*J72,2)</f>
        <v>2.34</v>
      </c>
    </row>
    <row r="73" customFormat="false" ht="15" hidden="false" customHeight="true" outlineLevel="0" collapsed="false">
      <c r="A73" s="7" t="s">
        <v>151</v>
      </c>
      <c r="B73" s="7" t="s">
        <v>150</v>
      </c>
      <c r="C73" s="7" t="s">
        <v>64</v>
      </c>
      <c r="D73" s="8" t="n">
        <f aca="false">ROUND(SUMIFS('Detay-Poz Listesi'!$L$5:$L$487,'Detay-Poz Listesi'!$A$5:$A$487,A73,'Detay-Poz Listesi'!$C$5:$C$487,C73,'Detay-Poz Listesi'!$D$5:$D$487,8),2)</f>
        <v>9.55</v>
      </c>
      <c r="E73" s="8" t="n">
        <f aca="false">ROUND(SUMIFS('Detay-Poz Listesi'!$L$5:$L$487,'Detay-Poz Listesi'!$A$5:$A$487,A73,'Detay-Poz Listesi'!$C$5:$C$487,C73,'Detay-Poz Listesi'!$D$5:$D$487,14),2)</f>
        <v>164.76</v>
      </c>
      <c r="F73" s="8" t="n">
        <f aca="false">ROUND(SUMIFS('Detay-Poz Listesi'!$L$5:$L$487,'Detay-Poz Listesi'!$A$5:$A$487,A73,'Detay-Poz Listesi'!$C$5:$C$487,C73,'Detay-Poz Listesi'!$D$5:$D$487,16),2)</f>
        <v>0</v>
      </c>
      <c r="G73" s="8" t="n">
        <f aca="false">ROUND(SUM(D73:F73),2)</f>
        <v>174.31</v>
      </c>
      <c r="H73" s="20" t="n">
        <v>1.56</v>
      </c>
      <c r="I73" s="20"/>
      <c r="J73" s="21" t="n">
        <v>1</v>
      </c>
      <c r="K73" s="8" t="n">
        <f aca="false">ROUND(G73*J73,2)</f>
        <v>174.31</v>
      </c>
      <c r="L73" s="8" t="n">
        <f aca="false">ROUND(H73*J73,2)</f>
        <v>1.56</v>
      </c>
    </row>
    <row r="74" customFormat="false" ht="15" hidden="false" customHeight="true" outlineLevel="0" collapsed="false">
      <c r="A74" s="7" t="s">
        <v>152</v>
      </c>
      <c r="B74" s="7" t="s">
        <v>150</v>
      </c>
      <c r="C74" s="7" t="s">
        <v>66</v>
      </c>
      <c r="D74" s="8" t="n">
        <f aca="false">ROUND(SUMIFS('Detay-Poz Listesi'!$L$5:$L$487,'Detay-Poz Listesi'!$A$5:$A$487,A74,'Detay-Poz Listesi'!$C$5:$C$487,C74,'Detay-Poz Listesi'!$D$5:$D$487,8),2)</f>
        <v>7.7</v>
      </c>
      <c r="E74" s="8" t="n">
        <f aca="false">ROUND(SUMIFS('Detay-Poz Listesi'!$L$5:$L$487,'Detay-Poz Listesi'!$A$5:$A$487,A74,'Detay-Poz Listesi'!$C$5:$C$487,C74,'Detay-Poz Listesi'!$D$5:$D$487,14),2)</f>
        <v>159.98</v>
      </c>
      <c r="F74" s="8" t="n">
        <f aca="false">ROUND(SUMIFS('Detay-Poz Listesi'!$L$5:$L$487,'Detay-Poz Listesi'!$A$5:$A$487,A74,'Detay-Poz Listesi'!$C$5:$C$487,C74,'Detay-Poz Listesi'!$D$5:$D$487,16),2)</f>
        <v>0</v>
      </c>
      <c r="G74" s="8" t="n">
        <f aca="false">ROUND(SUM(D74:F74),2)</f>
        <v>167.68</v>
      </c>
      <c r="H74" s="20" t="n">
        <v>1.56</v>
      </c>
      <c r="I74" s="20"/>
      <c r="J74" s="21" t="n">
        <v>1</v>
      </c>
      <c r="K74" s="8" t="n">
        <f aca="false">ROUND(G74*J74,2)</f>
        <v>167.68</v>
      </c>
      <c r="L74" s="8" t="n">
        <f aca="false">ROUND(H74*J74,2)</f>
        <v>1.56</v>
      </c>
    </row>
    <row r="75" customFormat="false" ht="15" hidden="false" customHeight="true" outlineLevel="0" collapsed="false">
      <c r="A75" s="7" t="s">
        <v>153</v>
      </c>
      <c r="B75" s="7" t="s">
        <v>150</v>
      </c>
      <c r="C75" s="7" t="s">
        <v>68</v>
      </c>
      <c r="D75" s="8" t="n">
        <f aca="false">ROUND(SUMIFS('Detay-Poz Listesi'!$L$5:$L$487,'Detay-Poz Listesi'!$A$5:$A$487,A75,'Detay-Poz Listesi'!$C$5:$C$487,C75,'Detay-Poz Listesi'!$D$5:$D$487,8),2)</f>
        <v>18.91</v>
      </c>
      <c r="E75" s="8" t="n">
        <f aca="false">ROUND(SUMIFS('Detay-Poz Listesi'!$L$5:$L$487,'Detay-Poz Listesi'!$A$5:$A$487,A75,'Detay-Poz Listesi'!$C$5:$C$487,C75,'Detay-Poz Listesi'!$D$5:$D$487,14),2)</f>
        <v>265.06</v>
      </c>
      <c r="F75" s="8" t="n">
        <f aca="false">ROUND(SUMIFS('Detay-Poz Listesi'!$L$5:$L$487,'Detay-Poz Listesi'!$A$5:$A$487,A75,'Detay-Poz Listesi'!$C$5:$C$487,C75,'Detay-Poz Listesi'!$D$5:$D$487,16),2)</f>
        <v>68.39</v>
      </c>
      <c r="G75" s="8" t="n">
        <f aca="false">ROUND(SUM(D75:F75),2)</f>
        <v>352.36</v>
      </c>
      <c r="H75" s="20" t="n">
        <v>5.85</v>
      </c>
      <c r="I75" s="20" t="n">
        <v>9.75</v>
      </c>
      <c r="J75" s="21" t="n">
        <v>1</v>
      </c>
      <c r="K75" s="8" t="n">
        <f aca="false">ROUND(G75*J75,2)</f>
        <v>352.36</v>
      </c>
      <c r="L75" s="8" t="n">
        <f aca="false">ROUND(H75*J75,2)</f>
        <v>5.85</v>
      </c>
    </row>
    <row r="76" customFormat="false" ht="15" hidden="false" customHeight="true" outlineLevel="0" collapsed="false">
      <c r="A76" s="7" t="s">
        <v>154</v>
      </c>
      <c r="B76" s="7" t="s">
        <v>155</v>
      </c>
      <c r="C76" s="7" t="s">
        <v>62</v>
      </c>
      <c r="D76" s="8" t="n">
        <f aca="false">ROUND(SUMIFS('Detay-Poz Listesi'!$L$5:$L$487,'Detay-Poz Listesi'!$A$5:$A$487,A76,'Detay-Poz Listesi'!$C$5:$C$487,C76,'Detay-Poz Listesi'!$D$5:$D$487,8),2)</f>
        <v>9.24</v>
      </c>
      <c r="E76" s="8" t="n">
        <f aca="false">ROUND(SUMIFS('Detay-Poz Listesi'!$L$5:$L$487,'Detay-Poz Listesi'!$A$5:$A$487,A76,'Detay-Poz Listesi'!$C$5:$C$487,C76,'Detay-Poz Listesi'!$D$5:$D$487,14),2)</f>
        <v>184.48</v>
      </c>
      <c r="F76" s="8" t="n">
        <f aca="false">ROUND(SUMIFS('Detay-Poz Listesi'!$L$5:$L$487,'Detay-Poz Listesi'!$A$5:$A$487,A76,'Detay-Poz Listesi'!$C$5:$C$487,C76,'Detay-Poz Listesi'!$D$5:$D$487,16),2)</f>
        <v>39.92</v>
      </c>
      <c r="G76" s="8" t="n">
        <f aca="false">ROUND(SUM(D76:F76),2)</f>
        <v>233.64</v>
      </c>
      <c r="H76" s="20" t="n">
        <v>2.34</v>
      </c>
      <c r="I76" s="20"/>
      <c r="J76" s="21" t="n">
        <v>1</v>
      </c>
      <c r="K76" s="8" t="n">
        <f aca="false">ROUND(G76*J76,2)</f>
        <v>233.64</v>
      </c>
      <c r="L76" s="8" t="n">
        <f aca="false">ROUND(H76*J76,2)</f>
        <v>2.34</v>
      </c>
    </row>
    <row r="77" customFormat="false" ht="15" hidden="false" customHeight="true" outlineLevel="0" collapsed="false">
      <c r="A77" s="7" t="s">
        <v>156</v>
      </c>
      <c r="B77" s="7" t="s">
        <v>155</v>
      </c>
      <c r="C77" s="7" t="s">
        <v>64</v>
      </c>
      <c r="D77" s="8" t="n">
        <f aca="false">ROUND(SUMIFS('Detay-Poz Listesi'!$L$5:$L$487,'Detay-Poz Listesi'!$A$5:$A$487,A77,'Detay-Poz Listesi'!$C$5:$C$487,C77,'Detay-Poz Listesi'!$D$5:$D$487,8),2)</f>
        <v>9.55</v>
      </c>
      <c r="E77" s="8" t="n">
        <f aca="false">ROUND(SUMIFS('Detay-Poz Listesi'!$L$5:$L$487,'Detay-Poz Listesi'!$A$5:$A$487,A77,'Detay-Poz Listesi'!$C$5:$C$487,C77,'Detay-Poz Listesi'!$D$5:$D$487,14),2)</f>
        <v>164.76</v>
      </c>
      <c r="F77" s="8" t="n">
        <f aca="false">ROUND(SUMIFS('Detay-Poz Listesi'!$L$5:$L$487,'Detay-Poz Listesi'!$A$5:$A$487,A77,'Detay-Poz Listesi'!$C$5:$C$487,C77,'Detay-Poz Listesi'!$D$5:$D$487,16),2)</f>
        <v>0</v>
      </c>
      <c r="G77" s="8" t="n">
        <f aca="false">ROUND(SUM(D77:F77),2)</f>
        <v>174.31</v>
      </c>
      <c r="H77" s="20" t="n">
        <v>2.33</v>
      </c>
      <c r="I77" s="20"/>
      <c r="J77" s="21" t="n">
        <v>1</v>
      </c>
      <c r="K77" s="8" t="n">
        <f aca="false">ROUND(G77*J77,2)</f>
        <v>174.31</v>
      </c>
      <c r="L77" s="8" t="n">
        <f aca="false">ROUND(H77*J77,2)</f>
        <v>2.33</v>
      </c>
    </row>
    <row r="78" customFormat="false" ht="15" hidden="false" customHeight="true" outlineLevel="0" collapsed="false">
      <c r="A78" s="7" t="s">
        <v>157</v>
      </c>
      <c r="B78" s="7" t="s">
        <v>155</v>
      </c>
      <c r="C78" s="7" t="s">
        <v>66</v>
      </c>
      <c r="D78" s="8" t="n">
        <f aca="false">ROUND(SUMIFS('Detay-Poz Listesi'!$L$5:$L$487,'Detay-Poz Listesi'!$A$5:$A$487,A78,'Detay-Poz Listesi'!$C$5:$C$487,C78,'Detay-Poz Listesi'!$D$5:$D$487,8),2)</f>
        <v>7.7</v>
      </c>
      <c r="E78" s="8" t="n">
        <f aca="false">ROUND(SUMIFS('Detay-Poz Listesi'!$L$5:$L$487,'Detay-Poz Listesi'!$A$5:$A$487,A78,'Detay-Poz Listesi'!$C$5:$C$487,C78,'Detay-Poz Listesi'!$D$5:$D$487,14),2)</f>
        <v>159.98</v>
      </c>
      <c r="F78" s="8" t="n">
        <f aca="false">ROUND(SUMIFS('Detay-Poz Listesi'!$L$5:$L$487,'Detay-Poz Listesi'!$A$5:$A$487,A78,'Detay-Poz Listesi'!$C$5:$C$487,C78,'Detay-Poz Listesi'!$D$5:$D$487,16),2)</f>
        <v>0</v>
      </c>
      <c r="G78" s="8" t="n">
        <f aca="false">ROUND(SUM(D78:F78),2)</f>
        <v>167.68</v>
      </c>
      <c r="H78" s="20" t="n">
        <v>1.88</v>
      </c>
      <c r="I78" s="20"/>
      <c r="J78" s="21" t="n">
        <v>1</v>
      </c>
      <c r="K78" s="8" t="n">
        <f aca="false">ROUND(G78*J78,2)</f>
        <v>167.68</v>
      </c>
      <c r="L78" s="8" t="n">
        <f aca="false">ROUND(H78*J78,2)</f>
        <v>1.88</v>
      </c>
    </row>
    <row r="79" customFormat="false" ht="15" hidden="false" customHeight="true" outlineLevel="0" collapsed="false">
      <c r="A79" s="7" t="s">
        <v>158</v>
      </c>
      <c r="B79" s="7" t="s">
        <v>155</v>
      </c>
      <c r="C79" s="7" t="s">
        <v>68</v>
      </c>
      <c r="D79" s="8" t="n">
        <f aca="false">ROUND(SUMIFS('Detay-Poz Listesi'!$L$5:$L$487,'Detay-Poz Listesi'!$A$5:$A$487,A79,'Detay-Poz Listesi'!$C$5:$C$487,C79,'Detay-Poz Listesi'!$D$5:$D$487,8),2)</f>
        <v>18.91</v>
      </c>
      <c r="E79" s="8" t="n">
        <f aca="false">ROUND(SUMIFS('Detay-Poz Listesi'!$L$5:$L$487,'Detay-Poz Listesi'!$A$5:$A$487,A79,'Detay-Poz Listesi'!$C$5:$C$487,C79,'Detay-Poz Listesi'!$D$5:$D$487,14),2)</f>
        <v>265.06</v>
      </c>
      <c r="F79" s="8" t="n">
        <f aca="false">ROUND(SUMIFS('Detay-Poz Listesi'!$L$5:$L$487,'Detay-Poz Listesi'!$A$5:$A$487,A79,'Detay-Poz Listesi'!$C$5:$C$487,C79,'Detay-Poz Listesi'!$D$5:$D$487,16),2)</f>
        <v>68.39</v>
      </c>
      <c r="G79" s="8" t="n">
        <f aca="false">ROUND(SUM(D79:F79),2)</f>
        <v>352.36</v>
      </c>
      <c r="H79" s="20" t="n">
        <v>5.64</v>
      </c>
      <c r="I79" s="20"/>
      <c r="J79" s="21" t="n">
        <v>1</v>
      </c>
      <c r="K79" s="8" t="n">
        <f aca="false">ROUND(G79*J79,2)</f>
        <v>352.36</v>
      </c>
      <c r="L79" s="8" t="n">
        <f aca="false">ROUND(H79*J79,2)</f>
        <v>5.64</v>
      </c>
    </row>
    <row r="80" customFormat="false" ht="15" hidden="false" customHeight="true" outlineLevel="0" collapsed="false">
      <c r="A80" s="7" t="s">
        <v>159</v>
      </c>
      <c r="B80" s="7" t="s">
        <v>160</v>
      </c>
      <c r="C80" s="7" t="s">
        <v>62</v>
      </c>
      <c r="D80" s="8" t="n">
        <f aca="false">ROUND(SUMIFS('Detay-Poz Listesi'!$L$5:$L$487,'Detay-Poz Listesi'!$A$5:$A$487,A80,'Detay-Poz Listesi'!$C$5:$C$487,C80,'Detay-Poz Listesi'!$D$5:$D$487,8),2)</f>
        <v>33.59</v>
      </c>
      <c r="E80" s="8" t="n">
        <f aca="false">ROUND(SUMIFS('Detay-Poz Listesi'!$L$5:$L$487,'Detay-Poz Listesi'!$A$5:$A$487,A80,'Detay-Poz Listesi'!$C$5:$C$487,C80,'Detay-Poz Listesi'!$D$5:$D$487,14),2)</f>
        <v>460.88</v>
      </c>
      <c r="F80" s="8" t="n">
        <f aca="false">ROUND(SUMIFS('Detay-Poz Listesi'!$L$5:$L$487,'Detay-Poz Listesi'!$A$5:$A$487,A80,'Detay-Poz Listesi'!$C$5:$C$487,C80,'Detay-Poz Listesi'!$D$5:$D$487,16),2)</f>
        <v>0</v>
      </c>
      <c r="G80" s="8" t="n">
        <f aca="false">ROUND(SUM(D80:F80),2)</f>
        <v>494.47</v>
      </c>
      <c r="H80" s="20" t="n">
        <v>10.13</v>
      </c>
      <c r="I80" s="20" t="n">
        <v>17.55</v>
      </c>
      <c r="J80" s="21" t="n">
        <v>1</v>
      </c>
      <c r="K80" s="8" t="n">
        <f aca="false">ROUND(G80*J80,2)</f>
        <v>494.47</v>
      </c>
      <c r="L80" s="8" t="n">
        <f aca="false">ROUND(H80*J80,2)</f>
        <v>10.13</v>
      </c>
    </row>
    <row r="81" customFormat="false" ht="15" hidden="false" customHeight="true" outlineLevel="0" collapsed="false">
      <c r="A81" s="7" t="s">
        <v>161</v>
      </c>
      <c r="B81" s="7" t="s">
        <v>160</v>
      </c>
      <c r="C81" s="7" t="s">
        <v>64</v>
      </c>
      <c r="D81" s="8" t="n">
        <f aca="false">ROUND(SUMIFS('Detay-Poz Listesi'!$L$5:$L$487,'Detay-Poz Listesi'!$A$5:$A$487,A81,'Detay-Poz Listesi'!$C$5:$C$487,C81,'Detay-Poz Listesi'!$D$5:$D$487,8),2)</f>
        <v>18.18</v>
      </c>
      <c r="E81" s="8" t="n">
        <f aca="false">ROUND(SUMIFS('Detay-Poz Listesi'!$L$5:$L$487,'Detay-Poz Listesi'!$A$5:$A$487,A81,'Detay-Poz Listesi'!$C$5:$C$487,C81,'Detay-Poz Listesi'!$D$5:$D$487,14),2)</f>
        <v>376.92</v>
      </c>
      <c r="F81" s="8" t="n">
        <f aca="false">ROUND(SUMIFS('Detay-Poz Listesi'!$L$5:$L$487,'Detay-Poz Listesi'!$A$5:$A$487,A81,'Detay-Poz Listesi'!$C$5:$C$487,C81,'Detay-Poz Listesi'!$D$5:$D$487,16),2)</f>
        <v>103.77</v>
      </c>
      <c r="G81" s="8" t="n">
        <f aca="false">ROUND(SUM(D81:F81),2)</f>
        <v>498.87</v>
      </c>
      <c r="H81" s="20" t="n">
        <v>4.28</v>
      </c>
      <c r="I81" s="20"/>
      <c r="J81" s="21" t="n">
        <v>1</v>
      </c>
      <c r="K81" s="8" t="n">
        <f aca="false">ROUND(G81*J81,2)</f>
        <v>498.87</v>
      </c>
      <c r="L81" s="8" t="n">
        <f aca="false">ROUND(H81*J81,2)</f>
        <v>4.28</v>
      </c>
    </row>
    <row r="82" customFormat="false" ht="15" hidden="false" customHeight="true" outlineLevel="0" collapsed="false">
      <c r="A82" s="7" t="s">
        <v>162</v>
      </c>
      <c r="B82" s="7" t="s">
        <v>160</v>
      </c>
      <c r="C82" s="7" t="s">
        <v>66</v>
      </c>
      <c r="D82" s="8" t="n">
        <f aca="false">ROUND(SUMIFS('Detay-Poz Listesi'!$L$5:$L$487,'Detay-Poz Listesi'!$A$5:$A$487,A82,'Detay-Poz Listesi'!$C$5:$C$487,C82,'Detay-Poz Listesi'!$D$5:$D$487,8),2)</f>
        <v>8.93</v>
      </c>
      <c r="E82" s="8" t="n">
        <f aca="false">ROUND(SUMIFS('Detay-Poz Listesi'!$L$5:$L$487,'Detay-Poz Listesi'!$A$5:$A$487,A82,'Detay-Poz Listesi'!$C$5:$C$487,C82,'Detay-Poz Listesi'!$D$5:$D$487,14),2)</f>
        <v>153.95</v>
      </c>
      <c r="F82" s="8" t="n">
        <f aca="false">ROUND(SUMIFS('Detay-Poz Listesi'!$L$5:$L$487,'Detay-Poz Listesi'!$A$5:$A$487,A82,'Detay-Poz Listesi'!$C$5:$C$487,C82,'Detay-Poz Listesi'!$D$5:$D$487,16),2)</f>
        <v>74.61</v>
      </c>
      <c r="G82" s="8" t="n">
        <f aca="false">ROUND(SUM(D82:F82),2)</f>
        <v>237.49</v>
      </c>
      <c r="H82" s="20" t="n">
        <v>2.18</v>
      </c>
      <c r="I82" s="20"/>
      <c r="J82" s="21" t="n">
        <v>1</v>
      </c>
      <c r="K82" s="8" t="n">
        <f aca="false">ROUND(G82*J82,2)</f>
        <v>237.49</v>
      </c>
      <c r="L82" s="8" t="n">
        <f aca="false">ROUND(H82*J82,2)</f>
        <v>2.18</v>
      </c>
    </row>
    <row r="83" customFormat="false" ht="15" hidden="false" customHeight="true" outlineLevel="0" collapsed="false">
      <c r="A83" s="7" t="s">
        <v>163</v>
      </c>
      <c r="B83" s="7" t="s">
        <v>160</v>
      </c>
      <c r="C83" s="7" t="s">
        <v>68</v>
      </c>
      <c r="D83" s="8" t="n">
        <f aca="false">ROUND(SUMIFS('Detay-Poz Listesi'!$L$5:$L$487,'Detay-Poz Listesi'!$A$5:$A$487,A83,'Detay-Poz Listesi'!$C$5:$C$487,C83,'Detay-Poz Listesi'!$D$5:$D$487,8),2)</f>
        <v>8.93</v>
      </c>
      <c r="E83" s="8" t="n">
        <f aca="false">ROUND(SUMIFS('Detay-Poz Listesi'!$L$5:$L$487,'Detay-Poz Listesi'!$A$5:$A$487,A83,'Detay-Poz Listesi'!$C$5:$C$487,C83,'Detay-Poz Listesi'!$D$5:$D$487,14),2)</f>
        <v>158.78</v>
      </c>
      <c r="F83" s="8" t="n">
        <f aca="false">ROUND(SUMIFS('Detay-Poz Listesi'!$L$5:$L$487,'Detay-Poz Listesi'!$A$5:$A$487,A83,'Detay-Poz Listesi'!$C$5:$C$487,C83,'Detay-Poz Listesi'!$D$5:$D$487,16),2)</f>
        <v>74.61</v>
      </c>
      <c r="G83" s="8" t="n">
        <f aca="false">ROUND(SUM(D83:F83),2)</f>
        <v>242.32</v>
      </c>
      <c r="H83" s="20" t="n">
        <v>2.18</v>
      </c>
      <c r="I83" s="20"/>
      <c r="J83" s="21" t="n">
        <v>1</v>
      </c>
      <c r="K83" s="8" t="n">
        <f aca="false">ROUND(G83*J83,2)</f>
        <v>242.32</v>
      </c>
      <c r="L83" s="8" t="n">
        <f aca="false">ROUND(H83*J83,2)</f>
        <v>2.18</v>
      </c>
    </row>
    <row r="84" customFormat="false" ht="15" hidden="false" customHeight="true" outlineLevel="0" collapsed="false">
      <c r="A84" s="7" t="s">
        <v>164</v>
      </c>
      <c r="B84" s="7" t="s">
        <v>160</v>
      </c>
      <c r="C84" s="7" t="s">
        <v>109</v>
      </c>
      <c r="D84" s="8" t="n">
        <f aca="false">ROUND(SUMIFS('Detay-Poz Listesi'!$L$5:$L$487,'Detay-Poz Listesi'!$A$5:$A$487,A84,'Detay-Poz Listesi'!$C$5:$C$487,C84,'Detay-Poz Listesi'!$D$5:$D$487,8),2)</f>
        <v>8.93</v>
      </c>
      <c r="E84" s="8" t="n">
        <f aca="false">ROUND(SUMIFS('Detay-Poz Listesi'!$L$5:$L$487,'Detay-Poz Listesi'!$A$5:$A$487,A84,'Detay-Poz Listesi'!$C$5:$C$487,C84,'Detay-Poz Listesi'!$D$5:$D$487,14),2)</f>
        <v>158.78</v>
      </c>
      <c r="F84" s="8" t="n">
        <f aca="false">ROUND(SUMIFS('Detay-Poz Listesi'!$L$5:$L$487,'Detay-Poz Listesi'!$A$5:$A$487,A84,'Detay-Poz Listesi'!$C$5:$C$487,C84,'Detay-Poz Listesi'!$D$5:$D$487,16),2)</f>
        <v>74.61</v>
      </c>
      <c r="G84" s="8" t="n">
        <f aca="false">ROUND(SUM(D84:F84),2)</f>
        <v>242.32</v>
      </c>
      <c r="H84" s="20" t="n">
        <v>2.18</v>
      </c>
      <c r="I84" s="20"/>
      <c r="J84" s="21" t="n">
        <v>1</v>
      </c>
      <c r="K84" s="8" t="n">
        <f aca="false">ROUND(G84*J84,2)</f>
        <v>242.32</v>
      </c>
      <c r="L84" s="8" t="n">
        <f aca="false">ROUND(H84*J84,2)</f>
        <v>2.18</v>
      </c>
    </row>
    <row r="85" customFormat="false" ht="15" hidden="false" customHeight="true" outlineLevel="0" collapsed="false">
      <c r="A85" s="7" t="s">
        <v>165</v>
      </c>
      <c r="B85" s="7" t="s">
        <v>166</v>
      </c>
      <c r="C85" s="7" t="s">
        <v>62</v>
      </c>
      <c r="D85" s="8" t="n">
        <f aca="false">ROUND(SUMIFS('Detay-Poz Listesi'!$L$5:$L$487,'Detay-Poz Listesi'!$A$5:$A$487,A85,'Detay-Poz Listesi'!$C$5:$C$487,C85,'Detay-Poz Listesi'!$D$5:$D$487,8),2)</f>
        <v>33.59</v>
      </c>
      <c r="E85" s="8" t="n">
        <f aca="false">ROUND(SUMIFS('Detay-Poz Listesi'!$L$5:$L$487,'Detay-Poz Listesi'!$A$5:$A$487,A85,'Detay-Poz Listesi'!$C$5:$C$487,C85,'Detay-Poz Listesi'!$D$5:$D$487,14),2)</f>
        <v>460.88</v>
      </c>
      <c r="F85" s="8" t="n">
        <f aca="false">ROUND(SUMIFS('Detay-Poz Listesi'!$L$5:$L$487,'Detay-Poz Listesi'!$A$5:$A$487,A85,'Detay-Poz Listesi'!$C$5:$C$487,C85,'Detay-Poz Listesi'!$D$5:$D$487,16),2)</f>
        <v>0</v>
      </c>
      <c r="G85" s="8" t="n">
        <f aca="false">ROUND(SUM(D85:F85),2)</f>
        <v>494.47</v>
      </c>
      <c r="H85" s="20" t="n">
        <v>10.12</v>
      </c>
      <c r="I85" s="20" t="n">
        <v>17.55</v>
      </c>
      <c r="J85" s="21" t="n">
        <v>1</v>
      </c>
      <c r="K85" s="8" t="n">
        <f aca="false">ROUND(G85*J85,2)</f>
        <v>494.47</v>
      </c>
      <c r="L85" s="8" t="n">
        <f aca="false">ROUND(H85*J85,2)</f>
        <v>10.12</v>
      </c>
    </row>
    <row r="86" customFormat="false" ht="15" hidden="false" customHeight="true" outlineLevel="0" collapsed="false">
      <c r="A86" s="7" t="s">
        <v>167</v>
      </c>
      <c r="B86" s="7" t="s">
        <v>166</v>
      </c>
      <c r="C86" s="7" t="s">
        <v>64</v>
      </c>
      <c r="D86" s="8" t="n">
        <f aca="false">ROUND(SUMIFS('Detay-Poz Listesi'!$L$5:$L$487,'Detay-Poz Listesi'!$A$5:$A$487,A86,'Detay-Poz Listesi'!$C$5:$C$487,C86,'Detay-Poz Listesi'!$D$5:$D$487,8),2)</f>
        <v>18.18</v>
      </c>
      <c r="E86" s="8" t="n">
        <f aca="false">ROUND(SUMIFS('Detay-Poz Listesi'!$L$5:$L$487,'Detay-Poz Listesi'!$A$5:$A$487,A86,'Detay-Poz Listesi'!$C$5:$C$487,C86,'Detay-Poz Listesi'!$D$5:$D$487,14),2)</f>
        <v>376.92</v>
      </c>
      <c r="F86" s="8" t="n">
        <f aca="false">ROUND(SUMIFS('Detay-Poz Listesi'!$L$5:$L$487,'Detay-Poz Listesi'!$A$5:$A$487,A86,'Detay-Poz Listesi'!$C$5:$C$487,C86,'Detay-Poz Listesi'!$D$5:$D$487,16),2)</f>
        <v>103.77</v>
      </c>
      <c r="G86" s="8" t="n">
        <f aca="false">ROUND(SUM(D86:F86),2)</f>
        <v>498.87</v>
      </c>
      <c r="H86" s="20" t="n">
        <v>4.28</v>
      </c>
      <c r="I86" s="20"/>
      <c r="J86" s="21" t="n">
        <v>1</v>
      </c>
      <c r="K86" s="8" t="n">
        <f aca="false">ROUND(G86*J86,2)</f>
        <v>498.87</v>
      </c>
      <c r="L86" s="8" t="n">
        <f aca="false">ROUND(H86*J86,2)</f>
        <v>4.28</v>
      </c>
    </row>
    <row r="87" customFormat="false" ht="15" hidden="false" customHeight="true" outlineLevel="0" collapsed="false">
      <c r="A87" s="7" t="s">
        <v>168</v>
      </c>
      <c r="B87" s="7" t="s">
        <v>166</v>
      </c>
      <c r="C87" s="7" t="s">
        <v>66</v>
      </c>
      <c r="D87" s="8" t="n">
        <f aca="false">ROUND(SUMIFS('Detay-Poz Listesi'!$L$5:$L$487,'Detay-Poz Listesi'!$A$5:$A$487,A87,'Detay-Poz Listesi'!$C$5:$C$487,C87,'Detay-Poz Listesi'!$D$5:$D$487,8),2)</f>
        <v>8.93</v>
      </c>
      <c r="E87" s="8" t="n">
        <f aca="false">ROUND(SUMIFS('Detay-Poz Listesi'!$L$5:$L$487,'Detay-Poz Listesi'!$A$5:$A$487,A87,'Detay-Poz Listesi'!$C$5:$C$487,C87,'Detay-Poz Listesi'!$D$5:$D$487,14),2)</f>
        <v>153.95</v>
      </c>
      <c r="F87" s="8" t="n">
        <f aca="false">ROUND(SUMIFS('Detay-Poz Listesi'!$L$5:$L$487,'Detay-Poz Listesi'!$A$5:$A$487,A87,'Detay-Poz Listesi'!$C$5:$C$487,C87,'Detay-Poz Listesi'!$D$5:$D$487,16),2)</f>
        <v>74.61</v>
      </c>
      <c r="G87" s="8" t="n">
        <f aca="false">ROUND(SUM(D87:F87),2)</f>
        <v>237.49</v>
      </c>
      <c r="H87" s="20" t="n">
        <v>2.18</v>
      </c>
      <c r="I87" s="20"/>
      <c r="J87" s="21" t="n">
        <v>1</v>
      </c>
      <c r="K87" s="8" t="n">
        <f aca="false">ROUND(G87*J87,2)</f>
        <v>237.49</v>
      </c>
      <c r="L87" s="8" t="n">
        <f aca="false">ROUND(H87*J87,2)</f>
        <v>2.18</v>
      </c>
    </row>
    <row r="88" customFormat="false" ht="15" hidden="false" customHeight="true" outlineLevel="0" collapsed="false">
      <c r="A88" s="7" t="s">
        <v>169</v>
      </c>
      <c r="B88" s="7" t="s">
        <v>166</v>
      </c>
      <c r="C88" s="7" t="s">
        <v>68</v>
      </c>
      <c r="D88" s="8" t="n">
        <f aca="false">ROUND(SUMIFS('Detay-Poz Listesi'!$L$5:$L$487,'Detay-Poz Listesi'!$A$5:$A$487,A88,'Detay-Poz Listesi'!$C$5:$C$487,C88,'Detay-Poz Listesi'!$D$5:$D$487,8),2)</f>
        <v>8.93</v>
      </c>
      <c r="E88" s="8" t="n">
        <f aca="false">ROUND(SUMIFS('Detay-Poz Listesi'!$L$5:$L$487,'Detay-Poz Listesi'!$A$5:$A$487,A88,'Detay-Poz Listesi'!$C$5:$C$487,C88,'Detay-Poz Listesi'!$D$5:$D$487,14),2)</f>
        <v>158.78</v>
      </c>
      <c r="F88" s="8" t="n">
        <f aca="false">ROUND(SUMIFS('Detay-Poz Listesi'!$L$5:$L$487,'Detay-Poz Listesi'!$A$5:$A$487,A88,'Detay-Poz Listesi'!$C$5:$C$487,C88,'Detay-Poz Listesi'!$D$5:$D$487,16),2)</f>
        <v>74.61</v>
      </c>
      <c r="G88" s="8" t="n">
        <f aca="false">ROUND(SUM(D88:F88),2)</f>
        <v>242.32</v>
      </c>
      <c r="H88" s="20" t="n">
        <v>2.18</v>
      </c>
      <c r="I88" s="20"/>
      <c r="J88" s="21" t="n">
        <v>1</v>
      </c>
      <c r="K88" s="8" t="n">
        <f aca="false">ROUND(G88*J88,2)</f>
        <v>242.32</v>
      </c>
      <c r="L88" s="8" t="n">
        <f aca="false">ROUND(H88*J88,2)</f>
        <v>2.18</v>
      </c>
    </row>
    <row r="89" customFormat="false" ht="15" hidden="false" customHeight="true" outlineLevel="0" collapsed="false">
      <c r="A89" s="7" t="s">
        <v>170</v>
      </c>
      <c r="B89" s="7" t="s">
        <v>166</v>
      </c>
      <c r="C89" s="7" t="s">
        <v>109</v>
      </c>
      <c r="D89" s="8" t="n">
        <f aca="false">ROUND(SUMIFS('Detay-Poz Listesi'!$L$5:$L$487,'Detay-Poz Listesi'!$A$5:$A$487,A89,'Detay-Poz Listesi'!$C$5:$C$487,C89,'Detay-Poz Listesi'!$D$5:$D$487,8),2)</f>
        <v>8.93</v>
      </c>
      <c r="E89" s="8" t="n">
        <f aca="false">ROUND(SUMIFS('Detay-Poz Listesi'!$L$5:$L$487,'Detay-Poz Listesi'!$A$5:$A$487,A89,'Detay-Poz Listesi'!$C$5:$C$487,C89,'Detay-Poz Listesi'!$D$5:$D$487,14),2)</f>
        <v>158.78</v>
      </c>
      <c r="F89" s="8" t="n">
        <f aca="false">ROUND(SUMIFS('Detay-Poz Listesi'!$L$5:$L$487,'Detay-Poz Listesi'!$A$5:$A$487,A89,'Detay-Poz Listesi'!$C$5:$C$487,C89,'Detay-Poz Listesi'!$D$5:$D$487,16),2)</f>
        <v>74.61</v>
      </c>
      <c r="G89" s="8" t="n">
        <f aca="false">ROUND(SUM(D89:F89),2)</f>
        <v>242.32</v>
      </c>
      <c r="H89" s="20" t="n">
        <v>2.18</v>
      </c>
      <c r="I89" s="20"/>
      <c r="J89" s="21" t="n">
        <v>1</v>
      </c>
      <c r="K89" s="8" t="n">
        <f aca="false">ROUND(G89*J89,2)</f>
        <v>242.32</v>
      </c>
      <c r="L89" s="8" t="n">
        <f aca="false">ROUND(H89*J89,2)</f>
        <v>2.18</v>
      </c>
    </row>
    <row r="90" customFormat="false" ht="15" hidden="false" customHeight="true" outlineLevel="0" collapsed="false">
      <c r="A90" s="7" t="s">
        <v>171</v>
      </c>
      <c r="B90" s="7" t="s">
        <v>172</v>
      </c>
      <c r="C90" s="7" t="s">
        <v>62</v>
      </c>
      <c r="D90" s="8" t="n">
        <f aca="false">ROUND(SUMIFS('Detay-Poz Listesi'!$L$5:$L$487,'Detay-Poz Listesi'!$A$5:$A$487,A90,'Detay-Poz Listesi'!$C$5:$C$487,C90,'Detay-Poz Listesi'!$D$5:$D$487,8),2)</f>
        <v>9.24</v>
      </c>
      <c r="E90" s="8" t="n">
        <f aca="false">ROUND(SUMIFS('Detay-Poz Listesi'!$L$5:$L$487,'Detay-Poz Listesi'!$A$5:$A$487,A90,'Detay-Poz Listesi'!$C$5:$C$487,C90,'Detay-Poz Listesi'!$D$5:$D$487,14),2)</f>
        <v>184.48</v>
      </c>
      <c r="F90" s="8" t="n">
        <f aca="false">ROUND(SUMIFS('Detay-Poz Listesi'!$L$5:$L$487,'Detay-Poz Listesi'!$A$5:$A$487,A90,'Detay-Poz Listesi'!$C$5:$C$487,C90,'Detay-Poz Listesi'!$D$5:$D$487,16),2)</f>
        <v>39.92</v>
      </c>
      <c r="G90" s="8" t="n">
        <f aca="false">ROUND(SUM(D90:F90),2)</f>
        <v>233.64</v>
      </c>
      <c r="H90" s="20" t="n">
        <v>2.25</v>
      </c>
      <c r="I90" s="20"/>
      <c r="J90" s="21" t="n">
        <v>1</v>
      </c>
      <c r="K90" s="8" t="n">
        <f aca="false">ROUND(G90*J90,2)</f>
        <v>233.64</v>
      </c>
      <c r="L90" s="8" t="n">
        <f aca="false">ROUND(H90*J90,2)</f>
        <v>2.25</v>
      </c>
    </row>
    <row r="91" customFormat="false" ht="15" hidden="false" customHeight="true" outlineLevel="0" collapsed="false">
      <c r="A91" s="7" t="s">
        <v>173</v>
      </c>
      <c r="B91" s="7" t="s">
        <v>172</v>
      </c>
      <c r="C91" s="7" t="s">
        <v>64</v>
      </c>
      <c r="D91" s="8" t="n">
        <f aca="false">ROUND(SUMIFS('Detay-Poz Listesi'!$L$5:$L$487,'Detay-Poz Listesi'!$A$5:$A$487,A91,'Detay-Poz Listesi'!$C$5:$C$487,C91,'Detay-Poz Listesi'!$D$5:$D$487,8),2)</f>
        <v>8.63</v>
      </c>
      <c r="E91" s="8" t="n">
        <f aca="false">ROUND(SUMIFS('Detay-Poz Listesi'!$L$5:$L$487,'Detay-Poz Listesi'!$A$5:$A$487,A91,'Detay-Poz Listesi'!$C$5:$C$487,C91,'Detay-Poz Listesi'!$D$5:$D$487,14),2)</f>
        <v>156.79</v>
      </c>
      <c r="F91" s="8" t="n">
        <f aca="false">ROUND(SUMIFS('Detay-Poz Listesi'!$L$5:$L$487,'Detay-Poz Listesi'!$A$5:$A$487,A91,'Detay-Poz Listesi'!$C$5:$C$487,C91,'Detay-Poz Listesi'!$D$5:$D$487,16),2)</f>
        <v>0</v>
      </c>
      <c r="G91" s="8" t="n">
        <f aca="false">ROUND(SUM(D91:F91),2)</f>
        <v>165.42</v>
      </c>
      <c r="H91" s="20" t="n">
        <v>2.1</v>
      </c>
      <c r="I91" s="20"/>
      <c r="J91" s="21" t="n">
        <v>1</v>
      </c>
      <c r="K91" s="8" t="n">
        <f aca="false">ROUND(G91*J91,2)</f>
        <v>165.42</v>
      </c>
      <c r="L91" s="8" t="n">
        <f aca="false">ROUND(H91*J91,2)</f>
        <v>2.1</v>
      </c>
    </row>
    <row r="92" customFormat="false" ht="15" hidden="false" customHeight="true" outlineLevel="0" collapsed="false">
      <c r="A92" s="7" t="s">
        <v>174</v>
      </c>
      <c r="B92" s="7" t="s">
        <v>172</v>
      </c>
      <c r="C92" s="7" t="s">
        <v>66</v>
      </c>
      <c r="D92" s="8" t="n">
        <f aca="false">ROUND(SUMIFS('Detay-Poz Listesi'!$L$5:$L$487,'Detay-Poz Listesi'!$A$5:$A$487,A92,'Detay-Poz Listesi'!$C$5:$C$487,C92,'Detay-Poz Listesi'!$D$5:$D$487,8),2)</f>
        <v>8.63</v>
      </c>
      <c r="E92" s="8" t="n">
        <f aca="false">ROUND(SUMIFS('Detay-Poz Listesi'!$L$5:$L$487,'Detay-Poz Listesi'!$A$5:$A$487,A92,'Detay-Poz Listesi'!$C$5:$C$487,C92,'Detay-Poz Listesi'!$D$5:$D$487,14),2)</f>
        <v>156.79</v>
      </c>
      <c r="F92" s="8" t="n">
        <f aca="false">ROUND(SUMIFS('Detay-Poz Listesi'!$L$5:$L$487,'Detay-Poz Listesi'!$A$5:$A$487,A92,'Detay-Poz Listesi'!$C$5:$C$487,C92,'Detay-Poz Listesi'!$D$5:$D$487,16),2)</f>
        <v>0</v>
      </c>
      <c r="G92" s="8" t="n">
        <f aca="false">ROUND(SUM(D92:F92),2)</f>
        <v>165.42</v>
      </c>
      <c r="H92" s="20" t="n">
        <v>2.1</v>
      </c>
      <c r="I92" s="20"/>
      <c r="J92" s="21" t="n">
        <v>1</v>
      </c>
      <c r="K92" s="8" t="n">
        <f aca="false">ROUND(G92*J92,2)</f>
        <v>165.42</v>
      </c>
      <c r="L92" s="8" t="n">
        <f aca="false">ROUND(H92*J92,2)</f>
        <v>2.1</v>
      </c>
    </row>
    <row r="93" customFormat="false" ht="15" hidden="false" customHeight="true" outlineLevel="0" collapsed="false">
      <c r="A93" s="7" t="s">
        <v>175</v>
      </c>
      <c r="B93" s="7" t="s">
        <v>172</v>
      </c>
      <c r="C93" s="7" t="s">
        <v>68</v>
      </c>
      <c r="D93" s="8" t="n">
        <f aca="false">ROUND(SUMIFS('Detay-Poz Listesi'!$L$5:$L$487,'Detay-Poz Listesi'!$A$5:$A$487,A93,'Detay-Poz Listesi'!$C$5:$C$487,C93,'Detay-Poz Listesi'!$D$5:$D$487,8),2)</f>
        <v>9.24</v>
      </c>
      <c r="E93" s="8" t="n">
        <f aca="false">ROUND(SUMIFS('Detay-Poz Listesi'!$L$5:$L$487,'Detay-Poz Listesi'!$A$5:$A$487,A93,'Detay-Poz Listesi'!$C$5:$C$487,C93,'Detay-Poz Listesi'!$D$5:$D$487,14),2)</f>
        <v>192.45</v>
      </c>
      <c r="F93" s="8" t="n">
        <f aca="false">ROUND(SUMIFS('Detay-Poz Listesi'!$L$5:$L$487,'Detay-Poz Listesi'!$A$5:$A$487,A93,'Detay-Poz Listesi'!$C$5:$C$487,C93,'Detay-Poz Listesi'!$D$5:$D$487,16),2)</f>
        <v>47.56</v>
      </c>
      <c r="G93" s="8" t="n">
        <f aca="false">ROUND(SUM(D93:F93),2)</f>
        <v>249.25</v>
      </c>
      <c r="H93" s="20" t="n">
        <v>2.25</v>
      </c>
      <c r="I93" s="20"/>
      <c r="J93" s="21" t="n">
        <v>1</v>
      </c>
      <c r="K93" s="8" t="n">
        <f aca="false">ROUND(G93*J93,2)</f>
        <v>249.25</v>
      </c>
      <c r="L93" s="8" t="n">
        <f aca="false">ROUND(H93*J93,2)</f>
        <v>2.25</v>
      </c>
    </row>
    <row r="94" customFormat="false" ht="15" hidden="false" customHeight="true" outlineLevel="0" collapsed="false">
      <c r="A94" s="7" t="s">
        <v>176</v>
      </c>
      <c r="B94" s="7" t="s">
        <v>177</v>
      </c>
      <c r="C94" s="7" t="s">
        <v>62</v>
      </c>
      <c r="D94" s="8" t="n">
        <f aca="false">ROUND(SUMIFS('Detay-Poz Listesi'!$L$5:$L$487,'Detay-Poz Listesi'!$A$5:$A$487,A94,'Detay-Poz Listesi'!$C$5:$C$487,C94,'Detay-Poz Listesi'!$D$5:$D$487,8),2)</f>
        <v>6.16</v>
      </c>
      <c r="E94" s="8" t="n">
        <f aca="false">ROUND(SUMIFS('Detay-Poz Listesi'!$L$5:$L$487,'Detay-Poz Listesi'!$A$5:$A$487,A94,'Detay-Poz Listesi'!$C$5:$C$487,C94,'Detay-Poz Listesi'!$D$5:$D$487,14),2)</f>
        <v>130.9</v>
      </c>
      <c r="F94" s="8" t="n">
        <f aca="false">ROUND(SUMIFS('Detay-Poz Listesi'!$L$5:$L$487,'Detay-Poz Listesi'!$A$5:$A$487,A94,'Detay-Poz Listesi'!$C$5:$C$487,C94,'Detay-Poz Listesi'!$D$5:$D$487,16),2)</f>
        <v>0</v>
      </c>
      <c r="G94" s="8" t="n">
        <f aca="false">ROUND(SUM(D94:F94),2)</f>
        <v>137.06</v>
      </c>
      <c r="H94" s="20" t="n">
        <v>1.5</v>
      </c>
      <c r="I94" s="20"/>
      <c r="J94" s="21" t="n">
        <v>1</v>
      </c>
      <c r="K94" s="8" t="n">
        <f aca="false">ROUND(G94*J94,2)</f>
        <v>137.06</v>
      </c>
      <c r="L94" s="8" t="n">
        <f aca="false">ROUND(H94*J94,2)</f>
        <v>1.5</v>
      </c>
    </row>
    <row r="95" customFormat="false" ht="15" hidden="false" customHeight="true" outlineLevel="0" collapsed="false">
      <c r="A95" s="7" t="s">
        <v>178</v>
      </c>
      <c r="B95" s="7" t="s">
        <v>177</v>
      </c>
      <c r="C95" s="7" t="s">
        <v>64</v>
      </c>
      <c r="D95" s="8" t="n">
        <f aca="false">ROUND(SUMIFS('Detay-Poz Listesi'!$L$5:$L$487,'Detay-Poz Listesi'!$A$5:$A$487,A95,'Detay-Poz Listesi'!$C$5:$C$487,C95,'Detay-Poz Listesi'!$D$5:$D$487,8),2)</f>
        <v>9.95</v>
      </c>
      <c r="E95" s="8" t="n">
        <f aca="false">ROUND(SUMIFS('Detay-Poz Listesi'!$L$5:$L$487,'Detay-Poz Listesi'!$A$5:$A$487,A95,'Detay-Poz Listesi'!$C$5:$C$487,C95,'Detay-Poz Listesi'!$D$5:$D$487,14),2)</f>
        <v>137.27</v>
      </c>
      <c r="F95" s="8" t="n">
        <f aca="false">ROUND(SUMIFS('Detay-Poz Listesi'!$L$5:$L$487,'Detay-Poz Listesi'!$A$5:$A$487,A95,'Detay-Poz Listesi'!$C$5:$C$487,C95,'Detay-Poz Listesi'!$D$5:$D$487,16),2)</f>
        <v>0</v>
      </c>
      <c r="G95" s="8" t="n">
        <f aca="false">ROUND(SUM(D95:F95),2)</f>
        <v>147.22</v>
      </c>
      <c r="H95" s="20" t="n">
        <v>3</v>
      </c>
      <c r="I95" s="20"/>
      <c r="J95" s="21" t="n">
        <v>1</v>
      </c>
      <c r="K95" s="8" t="n">
        <f aca="false">ROUND(G95*J95,2)</f>
        <v>147.22</v>
      </c>
      <c r="L95" s="8" t="n">
        <f aca="false">ROUND(H95*J95,2)</f>
        <v>3</v>
      </c>
    </row>
    <row r="96" customFormat="false" ht="15" hidden="false" customHeight="true" outlineLevel="0" collapsed="false">
      <c r="A96" s="7" t="s">
        <v>179</v>
      </c>
      <c r="B96" s="7" t="s">
        <v>177</v>
      </c>
      <c r="C96" s="7" t="s">
        <v>66</v>
      </c>
      <c r="D96" s="8" t="n">
        <f aca="false">ROUND(SUMIFS('Detay-Poz Listesi'!$L$5:$L$487,'Detay-Poz Listesi'!$A$5:$A$487,A96,'Detay-Poz Listesi'!$C$5:$C$487,C96,'Detay-Poz Listesi'!$D$5:$D$487,8),2)</f>
        <v>8.63</v>
      </c>
      <c r="E96" s="8" t="n">
        <f aca="false">ROUND(SUMIFS('Detay-Poz Listesi'!$L$5:$L$487,'Detay-Poz Listesi'!$A$5:$A$487,A96,'Detay-Poz Listesi'!$C$5:$C$487,C96,'Detay-Poz Listesi'!$D$5:$D$487,14),2)</f>
        <v>178.64</v>
      </c>
      <c r="F96" s="8" t="n">
        <f aca="false">ROUND(SUMIFS('Detay-Poz Listesi'!$L$5:$L$487,'Detay-Poz Listesi'!$A$5:$A$487,A96,'Detay-Poz Listesi'!$C$5:$C$487,C96,'Detay-Poz Listesi'!$D$5:$D$487,16),2)</f>
        <v>63.24</v>
      </c>
      <c r="G96" s="8" t="n">
        <f aca="false">ROUND(SUM(D96:F96),2)</f>
        <v>250.51</v>
      </c>
      <c r="H96" s="20" t="n">
        <v>2.1</v>
      </c>
      <c r="I96" s="20"/>
      <c r="J96" s="21" t="n">
        <v>1</v>
      </c>
      <c r="K96" s="8" t="n">
        <f aca="false">ROUND(G96*J96,2)</f>
        <v>250.51</v>
      </c>
      <c r="L96" s="8" t="n">
        <f aca="false">ROUND(H96*J96,2)</f>
        <v>2.1</v>
      </c>
    </row>
    <row r="97" customFormat="false" ht="15" hidden="false" customHeight="true" outlineLevel="0" collapsed="false">
      <c r="A97" s="7" t="s">
        <v>180</v>
      </c>
      <c r="B97" s="7" t="s">
        <v>181</v>
      </c>
      <c r="C97" s="7" t="s">
        <v>62</v>
      </c>
      <c r="D97" s="8" t="n">
        <f aca="false">ROUND(SUMIFS('Detay-Poz Listesi'!$L$5:$L$487,'Detay-Poz Listesi'!$A$5:$A$487,A97,'Detay-Poz Listesi'!$C$5:$C$487,C97,'Detay-Poz Listesi'!$D$5:$D$487,8),2)</f>
        <v>12.32</v>
      </c>
      <c r="E97" s="8" t="n">
        <f aca="false">ROUND(SUMIFS('Detay-Poz Listesi'!$L$5:$L$487,'Detay-Poz Listesi'!$A$5:$A$487,A97,'Detay-Poz Listesi'!$C$5:$C$487,C97,'Detay-Poz Listesi'!$D$5:$D$487,14),2)</f>
        <v>273.53</v>
      </c>
      <c r="F97" s="8" t="n">
        <f aca="false">ROUND(SUMIFS('Detay-Poz Listesi'!$L$5:$L$487,'Detay-Poz Listesi'!$A$5:$A$487,A97,'Detay-Poz Listesi'!$C$5:$C$487,C97,'Detay-Poz Listesi'!$D$5:$D$487,16),2)</f>
        <v>0</v>
      </c>
      <c r="G97" s="8" t="n">
        <f aca="false">ROUND(SUM(D97:F97),2)</f>
        <v>285.85</v>
      </c>
      <c r="H97" s="20" t="n">
        <v>3</v>
      </c>
      <c r="I97" s="20"/>
      <c r="J97" s="21" t="n">
        <v>1</v>
      </c>
      <c r="K97" s="8" t="n">
        <f aca="false">ROUND(G97*J97,2)</f>
        <v>285.85</v>
      </c>
      <c r="L97" s="8" t="n">
        <f aca="false">ROUND(H97*J97,2)</f>
        <v>3</v>
      </c>
    </row>
    <row r="98" customFormat="false" ht="15" hidden="false" customHeight="true" outlineLevel="0" collapsed="false">
      <c r="A98" s="7" t="s">
        <v>182</v>
      </c>
      <c r="B98" s="7" t="s">
        <v>181</v>
      </c>
      <c r="C98" s="7" t="s">
        <v>64</v>
      </c>
      <c r="D98" s="8" t="n">
        <f aca="false">ROUND(SUMIFS('Detay-Poz Listesi'!$L$5:$L$487,'Detay-Poz Listesi'!$A$5:$A$487,A98,'Detay-Poz Listesi'!$C$5:$C$487,C98,'Detay-Poz Listesi'!$D$5:$D$487,8),2)</f>
        <v>19.91</v>
      </c>
      <c r="E98" s="8" t="n">
        <f aca="false">ROUND(SUMIFS('Detay-Poz Listesi'!$L$5:$L$487,'Detay-Poz Listesi'!$A$5:$A$487,A98,'Detay-Poz Listesi'!$C$5:$C$487,C98,'Detay-Poz Listesi'!$D$5:$D$487,14),2)</f>
        <v>286.29</v>
      </c>
      <c r="F98" s="8" t="n">
        <f aca="false">ROUND(SUMIFS('Detay-Poz Listesi'!$L$5:$L$487,'Detay-Poz Listesi'!$A$5:$A$487,A98,'Detay-Poz Listesi'!$C$5:$C$487,C98,'Detay-Poz Listesi'!$D$5:$D$487,16),2)</f>
        <v>0</v>
      </c>
      <c r="G98" s="8" t="n">
        <f aca="false">ROUND(SUM(D98:F98),2)</f>
        <v>306.2</v>
      </c>
      <c r="H98" s="20" t="n">
        <v>6</v>
      </c>
      <c r="I98" s="20"/>
      <c r="J98" s="21" t="n">
        <v>1</v>
      </c>
      <c r="K98" s="8" t="n">
        <f aca="false">ROUND(G98*J98,2)</f>
        <v>306.2</v>
      </c>
      <c r="L98" s="8" t="n">
        <f aca="false">ROUND(H98*J98,2)</f>
        <v>6</v>
      </c>
    </row>
    <row r="99" customFormat="false" ht="15" hidden="false" customHeight="true" outlineLevel="0" collapsed="false">
      <c r="A99" s="7" t="s">
        <v>183</v>
      </c>
      <c r="B99" s="7" t="s">
        <v>181</v>
      </c>
      <c r="C99" s="7" t="s">
        <v>66</v>
      </c>
      <c r="D99" s="8" t="n">
        <f aca="false">ROUND(SUMIFS('Detay-Poz Listesi'!$L$5:$L$487,'Detay-Poz Listesi'!$A$5:$A$487,A99,'Detay-Poz Listesi'!$C$5:$C$487,C99,'Detay-Poz Listesi'!$D$5:$D$487,8),2)</f>
        <v>8.63</v>
      </c>
      <c r="E99" s="8" t="n">
        <f aca="false">ROUND(SUMIFS('Detay-Poz Listesi'!$L$5:$L$487,'Detay-Poz Listesi'!$A$5:$A$487,A99,'Detay-Poz Listesi'!$C$5:$C$487,C99,'Detay-Poz Listesi'!$D$5:$D$487,14),2)</f>
        <v>148.29</v>
      </c>
      <c r="F99" s="8" t="n">
        <f aca="false">ROUND(SUMIFS('Detay-Poz Listesi'!$L$5:$L$487,'Detay-Poz Listesi'!$A$5:$A$487,A99,'Detay-Poz Listesi'!$C$5:$C$487,C99,'Detay-Poz Listesi'!$D$5:$D$487,16),2)</f>
        <v>63.24</v>
      </c>
      <c r="G99" s="8" t="n">
        <f aca="false">ROUND(SUM(D99:F99),2)</f>
        <v>220.16</v>
      </c>
      <c r="H99" s="20" t="n">
        <v>2.1</v>
      </c>
      <c r="I99" s="20"/>
      <c r="J99" s="21" t="n">
        <v>1</v>
      </c>
      <c r="K99" s="8" t="n">
        <f aca="false">ROUND(G99*J99,2)</f>
        <v>220.16</v>
      </c>
      <c r="L99" s="8" t="n">
        <f aca="false">ROUND(H99*J99,2)</f>
        <v>2.1</v>
      </c>
    </row>
    <row r="100" customFormat="false" ht="15" hidden="false" customHeight="true" outlineLevel="0" collapsed="false">
      <c r="A100" s="7" t="s">
        <v>184</v>
      </c>
      <c r="B100" s="7" t="s">
        <v>181</v>
      </c>
      <c r="C100" s="7" t="s">
        <v>68</v>
      </c>
      <c r="D100" s="8" t="n">
        <f aca="false">ROUND(SUMIFS('Detay-Poz Listesi'!$L$5:$L$487,'Detay-Poz Listesi'!$A$5:$A$487,A100,'Detay-Poz Listesi'!$C$5:$C$487,C100,'Detay-Poz Listesi'!$D$5:$D$487,8),2)</f>
        <v>8.63</v>
      </c>
      <c r="E100" s="8" t="n">
        <f aca="false">ROUND(SUMIFS('Detay-Poz Listesi'!$L$5:$L$487,'Detay-Poz Listesi'!$A$5:$A$487,A100,'Detay-Poz Listesi'!$C$5:$C$487,C100,'Detay-Poz Listesi'!$D$5:$D$487,14),2)</f>
        <v>148.29</v>
      </c>
      <c r="F100" s="8" t="n">
        <f aca="false">ROUND(SUMIFS('Detay-Poz Listesi'!$L$5:$L$487,'Detay-Poz Listesi'!$A$5:$A$487,A100,'Detay-Poz Listesi'!$C$5:$C$487,C100,'Detay-Poz Listesi'!$D$5:$D$487,16),2)</f>
        <v>63.24</v>
      </c>
      <c r="G100" s="8" t="n">
        <f aca="false">ROUND(SUM(D100:F100),2)</f>
        <v>220.16</v>
      </c>
      <c r="H100" s="20" t="n">
        <v>2.1</v>
      </c>
      <c r="I100" s="20"/>
      <c r="J100" s="21" t="n">
        <v>1</v>
      </c>
      <c r="K100" s="8" t="n">
        <f aca="false">ROUND(G100*J100,2)</f>
        <v>220.16</v>
      </c>
      <c r="L100" s="8" t="n">
        <f aca="false">ROUND(H100*J100,2)</f>
        <v>2.1</v>
      </c>
    </row>
    <row r="101" customFormat="false" ht="15" hidden="false" customHeight="true" outlineLevel="0" collapsed="false">
      <c r="A101" s="7" t="s">
        <v>185</v>
      </c>
      <c r="B101" s="7" t="s">
        <v>186</v>
      </c>
      <c r="C101" s="7" t="s">
        <v>62</v>
      </c>
      <c r="D101" s="8" t="n">
        <f aca="false">ROUND(SUMIFS('Detay-Poz Listesi'!$L$5:$L$487,'Detay-Poz Listesi'!$A$5:$A$487,A101,'Detay-Poz Listesi'!$C$5:$C$487,C101,'Detay-Poz Listesi'!$D$5:$D$487,8),2)</f>
        <v>8.01</v>
      </c>
      <c r="E101" s="8" t="n">
        <f aca="false">ROUND(SUMIFS('Detay-Poz Listesi'!$L$5:$L$487,'Detay-Poz Listesi'!$A$5:$A$487,A101,'Detay-Poz Listesi'!$C$5:$C$487,C101,'Detay-Poz Listesi'!$D$5:$D$487,14),2)</f>
        <v>174.24</v>
      </c>
      <c r="F101" s="8" t="n">
        <f aca="false">ROUND(SUMIFS('Detay-Poz Listesi'!$L$5:$L$487,'Detay-Poz Listesi'!$A$5:$A$487,A101,'Detay-Poz Listesi'!$C$5:$C$487,C101,'Detay-Poz Listesi'!$D$5:$D$487,16),2)</f>
        <v>23.78</v>
      </c>
      <c r="G101" s="8" t="n">
        <f aca="false">ROUND(SUM(D101:F101),2)</f>
        <v>206.03</v>
      </c>
      <c r="H101" s="20" t="n">
        <v>1.79</v>
      </c>
      <c r="I101" s="20"/>
      <c r="J101" s="21" t="n">
        <v>1</v>
      </c>
      <c r="K101" s="8" t="n">
        <f aca="false">ROUND(G101*J101,2)</f>
        <v>206.03</v>
      </c>
      <c r="L101" s="8" t="n">
        <f aca="false">ROUND(H101*J101,2)</f>
        <v>1.79</v>
      </c>
    </row>
    <row r="102" customFormat="false" ht="15" hidden="false" customHeight="true" outlineLevel="0" collapsed="false">
      <c r="A102" s="7" t="s">
        <v>187</v>
      </c>
      <c r="B102" s="7" t="s">
        <v>186</v>
      </c>
      <c r="C102" s="7" t="s">
        <v>64</v>
      </c>
      <c r="D102" s="8" t="n">
        <f aca="false">ROUND(SUMIFS('Detay-Poz Listesi'!$L$5:$L$487,'Detay-Poz Listesi'!$A$5:$A$487,A102,'Detay-Poz Listesi'!$C$5:$C$487,C102,'Detay-Poz Listesi'!$D$5:$D$487,8),2)</f>
        <v>8.01</v>
      </c>
      <c r="E102" s="8" t="n">
        <f aca="false">ROUND(SUMIFS('Detay-Poz Listesi'!$L$5:$L$487,'Detay-Poz Listesi'!$A$5:$A$487,A102,'Detay-Poz Listesi'!$C$5:$C$487,C102,'Detay-Poz Listesi'!$D$5:$D$487,14),2)</f>
        <v>174.24</v>
      </c>
      <c r="F102" s="8" t="n">
        <f aca="false">ROUND(SUMIFS('Detay-Poz Listesi'!$L$5:$L$487,'Detay-Poz Listesi'!$A$5:$A$487,A102,'Detay-Poz Listesi'!$C$5:$C$487,C102,'Detay-Poz Listesi'!$D$5:$D$487,16),2)</f>
        <v>47.56</v>
      </c>
      <c r="G102" s="8" t="n">
        <f aca="false">ROUND(SUM(D102:F102),2)</f>
        <v>229.81</v>
      </c>
      <c r="H102" s="20" t="n">
        <v>1.79</v>
      </c>
      <c r="I102" s="20"/>
      <c r="J102" s="21" t="n">
        <v>1</v>
      </c>
      <c r="K102" s="8" t="n">
        <f aca="false">ROUND(G102*J102,2)</f>
        <v>229.81</v>
      </c>
      <c r="L102" s="8" t="n">
        <f aca="false">ROUND(H102*J102,2)</f>
        <v>1.79</v>
      </c>
    </row>
    <row r="103" customFormat="false" ht="15" hidden="false" customHeight="true" outlineLevel="0" collapsed="false">
      <c r="A103" s="7" t="s">
        <v>188</v>
      </c>
      <c r="B103" s="7" t="s">
        <v>186</v>
      </c>
      <c r="C103" s="7" t="s">
        <v>66</v>
      </c>
      <c r="D103" s="8" t="n">
        <f aca="false">ROUND(SUMIFS('Detay-Poz Listesi'!$L$5:$L$487,'Detay-Poz Listesi'!$A$5:$A$487,A103,'Detay-Poz Listesi'!$C$5:$C$487,C103,'Detay-Poz Listesi'!$D$5:$D$487,8),2)</f>
        <v>9.24</v>
      </c>
      <c r="E103" s="8" t="n">
        <f aca="false">ROUND(SUMIFS('Detay-Poz Listesi'!$L$5:$L$487,'Detay-Poz Listesi'!$A$5:$A$487,A103,'Detay-Poz Listesi'!$C$5:$C$487,C103,'Detay-Poz Listesi'!$D$5:$D$487,14),2)</f>
        <v>152.54</v>
      </c>
      <c r="F103" s="8" t="n">
        <f aca="false">ROUND(SUMIFS('Detay-Poz Listesi'!$L$5:$L$487,'Detay-Poz Listesi'!$A$5:$A$487,A103,'Detay-Poz Listesi'!$C$5:$C$487,C103,'Detay-Poz Listesi'!$D$5:$D$487,16),2)</f>
        <v>0</v>
      </c>
      <c r="G103" s="8" t="n">
        <f aca="false">ROUND(SUM(D103:F103),2)</f>
        <v>161.78</v>
      </c>
      <c r="H103" s="20" t="n">
        <v>2.34</v>
      </c>
      <c r="I103" s="20"/>
      <c r="J103" s="21" t="n">
        <v>1</v>
      </c>
      <c r="K103" s="8" t="n">
        <f aca="false">ROUND(G103*J103,2)</f>
        <v>161.78</v>
      </c>
      <c r="L103" s="8" t="n">
        <f aca="false">ROUND(H103*J103,2)</f>
        <v>2.34</v>
      </c>
    </row>
    <row r="104" customFormat="false" ht="15" hidden="false" customHeight="true" outlineLevel="0" collapsed="false">
      <c r="A104" s="10" t="s">
        <v>45</v>
      </c>
      <c r="B104" s="11"/>
      <c r="C104" s="11"/>
      <c r="D104" s="12" t="n">
        <f aca="false">ROUND(SUM(D5:D103),2)</f>
        <v>2192.05</v>
      </c>
      <c r="E104" s="12" t="n">
        <f aca="false">ROUND(SUM(E5:E103),2)</f>
        <v>33252.21</v>
      </c>
      <c r="F104" s="12" t="n">
        <f aca="false">ROUND(SUM(F5:F103),2)</f>
        <v>3263.9</v>
      </c>
      <c r="G104" s="12" t="n">
        <f aca="false">ROUND(SUM(G5:G103),2)</f>
        <v>38708.16</v>
      </c>
      <c r="H104" s="12" t="n">
        <f aca="false">ROUND(SUM(H5:H103),2)</f>
        <v>652.44</v>
      </c>
      <c r="I104" s="12" t="n">
        <f aca="false">ROUND(SUM(I5:I103),2)</f>
        <v>329.57</v>
      </c>
      <c r="J104" s="11"/>
      <c r="K104" s="12" t="n">
        <f aca="false">ROUND(SUM(K5:K103),2)</f>
        <v>38708.16</v>
      </c>
      <c r="L104" s="12" t="n">
        <f aca="false">ROUND(SUM(L5:L103),2)</f>
        <v>652.44</v>
      </c>
    </row>
  </sheetData>
  <autoFilter ref="A4:L1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5" min="4" style="1" width="9"/>
    <col collapsed="false" customWidth="true" hidden="false" outlineLevel="0" max="6" min="6" style="1" width="10"/>
    <col collapsed="false" customWidth="true" hidden="false" outlineLevel="0" max="7" min="7" style="1" width="8"/>
    <col collapsed="false" customWidth="true" hidden="false" outlineLevel="0" max="8" min="8" style="1" width="12"/>
    <col collapsed="false" customWidth="true" hidden="false" outlineLevel="0" max="12" min="9" style="1" width="13"/>
    <col collapsed="false" customWidth="true" hidden="false" outlineLevel="0" max="13" min="13" style="1" width="11"/>
    <col collapsed="false" customWidth="true" hidden="false" outlineLevel="0" max="14" min="14" style="1" width="34"/>
  </cols>
  <sheetData>
    <row r="1" customFormat="false" ht="15.75" hidden="false" customHeight="true" outlineLevel="0" collapsed="false">
      <c r="A1" s="16" t="s">
        <v>189</v>
      </c>
    </row>
    <row r="2" customFormat="false" ht="15" hidden="false" customHeight="true" outlineLevel="0" collapsed="false">
      <c r="A2" s="3" t="s">
        <v>190</v>
      </c>
    </row>
    <row r="4" customFormat="false" ht="31.5" hidden="false" customHeight="true" outlineLevel="0" collapsed="false">
      <c r="A4" s="6" t="s">
        <v>48</v>
      </c>
      <c r="B4" s="6" t="s">
        <v>49</v>
      </c>
      <c r="C4" s="6" t="s">
        <v>50</v>
      </c>
      <c r="D4" s="6" t="s">
        <v>4</v>
      </c>
      <c r="E4" s="6" t="s">
        <v>5</v>
      </c>
      <c r="F4" s="6" t="s">
        <v>32</v>
      </c>
      <c r="G4" s="6" t="s">
        <v>191</v>
      </c>
      <c r="H4" s="6" t="s">
        <v>192</v>
      </c>
      <c r="I4" s="6" t="s">
        <v>7</v>
      </c>
      <c r="J4" s="6" t="s">
        <v>8</v>
      </c>
      <c r="K4" s="6" t="s">
        <v>9</v>
      </c>
      <c r="L4" s="6" t="s">
        <v>10</v>
      </c>
      <c r="M4" s="6" t="s">
        <v>193</v>
      </c>
      <c r="N4" s="6" t="s">
        <v>33</v>
      </c>
    </row>
    <row r="5" customFormat="false" ht="15" hidden="false" customHeight="true" outlineLevel="0" collapsed="false">
      <c r="A5" s="22" t="s">
        <v>60</v>
      </c>
      <c r="B5" s="22" t="s">
        <v>61</v>
      </c>
      <c r="C5" s="22" t="s">
        <v>62</v>
      </c>
      <c r="D5" s="22" t="n">
        <v>14</v>
      </c>
      <c r="E5" s="22" t="s">
        <v>15</v>
      </c>
      <c r="F5" s="22" t="n">
        <v>2930</v>
      </c>
      <c r="G5" s="22" t="n">
        <v>24</v>
      </c>
      <c r="H5" s="19"/>
      <c r="I5" s="22" t="n">
        <v>1.208</v>
      </c>
      <c r="J5" s="8" t="n">
        <f aca="false">IF(F5="",H5,F5/1000*G5)</f>
        <v>70.32</v>
      </c>
      <c r="K5" s="8" t="n">
        <f aca="false">ROUND(J5*I5,2)</f>
        <v>84.95</v>
      </c>
      <c r="L5" s="20" t="n">
        <v>84.95</v>
      </c>
      <c r="M5" s="8" t="n">
        <f aca="false">ROUND(K5-L5,2)</f>
        <v>0</v>
      </c>
      <c r="N5" s="7" t="s">
        <v>41</v>
      </c>
    </row>
    <row r="6" customFormat="false" ht="15" hidden="false" customHeight="true" outlineLevel="0" collapsed="false">
      <c r="A6" s="22" t="s">
        <v>60</v>
      </c>
      <c r="B6" s="22" t="s">
        <v>61</v>
      </c>
      <c r="C6" s="22" t="s">
        <v>62</v>
      </c>
      <c r="D6" s="22" t="n">
        <v>14</v>
      </c>
      <c r="E6" s="22" t="s">
        <v>15</v>
      </c>
      <c r="F6" s="22" t="n">
        <v>3350</v>
      </c>
      <c r="G6" s="22" t="n">
        <v>24</v>
      </c>
      <c r="H6" s="19"/>
      <c r="I6" s="22" t="n">
        <v>1.208</v>
      </c>
      <c r="J6" s="8" t="n">
        <f aca="false">IF(F6="",H6,F6/1000*G6)</f>
        <v>80.4</v>
      </c>
      <c r="K6" s="8" t="n">
        <f aca="false">ROUND(J6*I6,2)</f>
        <v>97.12</v>
      </c>
      <c r="L6" s="20" t="n">
        <v>97.12</v>
      </c>
      <c r="M6" s="8" t="n">
        <f aca="false">ROUND(K6-L6,2)</f>
        <v>0</v>
      </c>
      <c r="N6" s="7" t="s">
        <v>41</v>
      </c>
    </row>
    <row r="7" customFormat="false" ht="15" hidden="false" customHeight="true" outlineLevel="0" collapsed="false">
      <c r="A7" s="22" t="s">
        <v>60</v>
      </c>
      <c r="B7" s="22" t="s">
        <v>61</v>
      </c>
      <c r="C7" s="22" t="s">
        <v>62</v>
      </c>
      <c r="D7" s="22" t="n">
        <v>14</v>
      </c>
      <c r="E7" s="22" t="s">
        <v>15</v>
      </c>
      <c r="F7" s="19"/>
      <c r="G7" s="19"/>
      <c r="H7" s="22" t="n">
        <v>112.9</v>
      </c>
      <c r="I7" s="22" t="n">
        <v>1.208</v>
      </c>
      <c r="J7" s="8" t="n">
        <f aca="false">IF(F7="",H7,F7/1000*G7)</f>
        <v>112.9</v>
      </c>
      <c r="K7" s="8" t="n">
        <f aca="false">ROUND(J7*I7,2)</f>
        <v>136.38</v>
      </c>
      <c r="L7" s="20" t="n">
        <v>136.38</v>
      </c>
      <c r="M7" s="8" t="n">
        <f aca="false">ROUND(K7-L7,2)</f>
        <v>0</v>
      </c>
      <c r="N7" s="7" t="s">
        <v>194</v>
      </c>
    </row>
    <row r="8" customFormat="false" ht="15" hidden="false" customHeight="true" outlineLevel="0" collapsed="false">
      <c r="A8" s="22" t="s">
        <v>60</v>
      </c>
      <c r="B8" s="22" t="s">
        <v>61</v>
      </c>
      <c r="C8" s="22" t="s">
        <v>62</v>
      </c>
      <c r="D8" s="22" t="n">
        <v>8</v>
      </c>
      <c r="E8" s="22" t="s">
        <v>12</v>
      </c>
      <c r="F8" s="22" t="n">
        <v>630</v>
      </c>
      <c r="G8" s="22" t="n">
        <v>94</v>
      </c>
      <c r="H8" s="19"/>
      <c r="I8" s="22" t="n">
        <v>0.395</v>
      </c>
      <c r="J8" s="8" t="n">
        <f aca="false">IF(F8="",H8,F8/1000*G8)</f>
        <v>59.22</v>
      </c>
      <c r="K8" s="8" t="n">
        <f aca="false">ROUND(J8*I8,2)</f>
        <v>23.39</v>
      </c>
      <c r="L8" s="20" t="n">
        <v>23.39</v>
      </c>
      <c r="M8" s="8" t="n">
        <f aca="false">ROUND(K8-L8,2)</f>
        <v>0</v>
      </c>
      <c r="N8" s="7" t="s">
        <v>37</v>
      </c>
    </row>
    <row r="9" customFormat="false" ht="15" hidden="false" customHeight="true" outlineLevel="0" collapsed="false">
      <c r="A9" s="22" t="s">
        <v>63</v>
      </c>
      <c r="B9" s="22" t="s">
        <v>61</v>
      </c>
      <c r="C9" s="22" t="s">
        <v>64</v>
      </c>
      <c r="D9" s="22" t="n">
        <v>14</v>
      </c>
      <c r="E9" s="22" t="s">
        <v>15</v>
      </c>
      <c r="F9" s="22" t="n">
        <v>3350</v>
      </c>
      <c r="G9" s="22" t="n">
        <v>24</v>
      </c>
      <c r="H9" s="19"/>
      <c r="I9" s="22" t="n">
        <v>1.208</v>
      </c>
      <c r="J9" s="8" t="n">
        <f aca="false">IF(F9="",H9,F9/1000*G9)</f>
        <v>80.4</v>
      </c>
      <c r="K9" s="8" t="n">
        <f aca="false">ROUND(J9*I9,2)</f>
        <v>97.12</v>
      </c>
      <c r="L9" s="20" t="n">
        <v>97.12</v>
      </c>
      <c r="M9" s="8" t="n">
        <f aca="false">ROUND(K9-L9,2)</f>
        <v>0</v>
      </c>
      <c r="N9" s="7" t="s">
        <v>41</v>
      </c>
    </row>
    <row r="10" customFormat="false" ht="15" hidden="false" customHeight="true" outlineLevel="0" collapsed="false">
      <c r="A10" s="22" t="s">
        <v>63</v>
      </c>
      <c r="B10" s="22" t="s">
        <v>61</v>
      </c>
      <c r="C10" s="22" t="s">
        <v>64</v>
      </c>
      <c r="D10" s="22" t="n">
        <v>14</v>
      </c>
      <c r="E10" s="22" t="s">
        <v>15</v>
      </c>
      <c r="F10" s="22" t="n">
        <v>2930</v>
      </c>
      <c r="G10" s="22" t="n">
        <v>24</v>
      </c>
      <c r="H10" s="19"/>
      <c r="I10" s="22" t="n">
        <v>1.208</v>
      </c>
      <c r="J10" s="8" t="n">
        <f aca="false">IF(F10="",H10,F10/1000*G10)</f>
        <v>70.32</v>
      </c>
      <c r="K10" s="8" t="n">
        <f aca="false">ROUND(J10*I10,2)</f>
        <v>84.95</v>
      </c>
      <c r="L10" s="20" t="n">
        <v>84.95</v>
      </c>
      <c r="M10" s="8" t="n">
        <f aca="false">ROUND(K10-L10,2)</f>
        <v>0</v>
      </c>
      <c r="N10" s="7" t="s">
        <v>41</v>
      </c>
    </row>
    <row r="11" customFormat="false" ht="15" hidden="false" customHeight="true" outlineLevel="0" collapsed="false">
      <c r="A11" s="22" t="s">
        <v>63</v>
      </c>
      <c r="B11" s="22" t="s">
        <v>61</v>
      </c>
      <c r="C11" s="22" t="s">
        <v>64</v>
      </c>
      <c r="D11" s="22" t="n">
        <v>14</v>
      </c>
      <c r="E11" s="22" t="s">
        <v>15</v>
      </c>
      <c r="F11" s="19"/>
      <c r="G11" s="19"/>
      <c r="H11" s="22" t="n">
        <v>124.41</v>
      </c>
      <c r="I11" s="22" t="n">
        <v>1.208</v>
      </c>
      <c r="J11" s="8" t="n">
        <f aca="false">IF(F11="",H11,F11/1000*G11)</f>
        <v>124.41</v>
      </c>
      <c r="K11" s="8" t="n">
        <f aca="false">ROUND(J11*I11,2)</f>
        <v>150.29</v>
      </c>
      <c r="L11" s="20" t="n">
        <v>150.29</v>
      </c>
      <c r="M11" s="8" t="n">
        <f aca="false">ROUND(K11-L11,2)</f>
        <v>0</v>
      </c>
      <c r="N11" s="7" t="s">
        <v>194</v>
      </c>
    </row>
    <row r="12" customFormat="false" ht="15" hidden="false" customHeight="true" outlineLevel="0" collapsed="false">
      <c r="A12" s="22" t="s">
        <v>63</v>
      </c>
      <c r="B12" s="22" t="s">
        <v>61</v>
      </c>
      <c r="C12" s="22" t="s">
        <v>64</v>
      </c>
      <c r="D12" s="22" t="n">
        <v>8</v>
      </c>
      <c r="E12" s="22" t="s">
        <v>12</v>
      </c>
      <c r="F12" s="22" t="n">
        <v>630</v>
      </c>
      <c r="G12" s="22" t="n">
        <v>94</v>
      </c>
      <c r="H12" s="19"/>
      <c r="I12" s="22" t="n">
        <v>0.395</v>
      </c>
      <c r="J12" s="8" t="n">
        <f aca="false">IF(F12="",H12,F12/1000*G12)</f>
        <v>59.22</v>
      </c>
      <c r="K12" s="8" t="n">
        <f aca="false">ROUND(J12*I12,2)</f>
        <v>23.39</v>
      </c>
      <c r="L12" s="20" t="n">
        <v>23.39</v>
      </c>
      <c r="M12" s="8" t="n">
        <f aca="false">ROUND(K12-L12,2)</f>
        <v>0</v>
      </c>
      <c r="N12" s="7" t="s">
        <v>37</v>
      </c>
    </row>
    <row r="13" customFormat="false" ht="15" hidden="false" customHeight="true" outlineLevel="0" collapsed="false">
      <c r="A13" s="22" t="s">
        <v>65</v>
      </c>
      <c r="B13" s="22" t="s">
        <v>61</v>
      </c>
      <c r="C13" s="22" t="s">
        <v>66</v>
      </c>
      <c r="D13" s="22" t="n">
        <v>14</v>
      </c>
      <c r="E13" s="22" t="s">
        <v>15</v>
      </c>
      <c r="F13" s="22" t="n">
        <v>3350</v>
      </c>
      <c r="G13" s="22" t="n">
        <v>18</v>
      </c>
      <c r="H13" s="19"/>
      <c r="I13" s="22" t="n">
        <v>1.208</v>
      </c>
      <c r="J13" s="8" t="n">
        <f aca="false">IF(F13="",H13,F13/1000*G13)</f>
        <v>60.3</v>
      </c>
      <c r="K13" s="8" t="n">
        <f aca="false">ROUND(J13*I13,2)</f>
        <v>72.84</v>
      </c>
      <c r="L13" s="20" t="n">
        <v>72.84</v>
      </c>
      <c r="M13" s="8" t="n">
        <f aca="false">ROUND(K13-L13,2)</f>
        <v>0</v>
      </c>
      <c r="N13" s="7" t="s">
        <v>41</v>
      </c>
    </row>
    <row r="14" customFormat="false" ht="15" hidden="false" customHeight="true" outlineLevel="0" collapsed="false">
      <c r="A14" s="22" t="s">
        <v>65</v>
      </c>
      <c r="B14" s="22" t="s">
        <v>61</v>
      </c>
      <c r="C14" s="22" t="s">
        <v>66</v>
      </c>
      <c r="D14" s="22" t="n">
        <v>14</v>
      </c>
      <c r="E14" s="22" t="s">
        <v>15</v>
      </c>
      <c r="F14" s="22" t="n">
        <v>2930</v>
      </c>
      <c r="G14" s="22" t="n">
        <v>18</v>
      </c>
      <c r="H14" s="19"/>
      <c r="I14" s="22" t="n">
        <v>1.208</v>
      </c>
      <c r="J14" s="8" t="n">
        <f aca="false">IF(F14="",H14,F14/1000*G14)</f>
        <v>52.74</v>
      </c>
      <c r="K14" s="8" t="n">
        <f aca="false">ROUND(J14*I14,2)</f>
        <v>63.71</v>
      </c>
      <c r="L14" s="20" t="n">
        <v>63.71</v>
      </c>
      <c r="M14" s="8" t="n">
        <f aca="false">ROUND(K14-L14,2)</f>
        <v>0</v>
      </c>
      <c r="N14" s="7" t="s">
        <v>41</v>
      </c>
    </row>
    <row r="15" customFormat="false" ht="15" hidden="false" customHeight="true" outlineLevel="0" collapsed="false">
      <c r="A15" s="22" t="s">
        <v>65</v>
      </c>
      <c r="B15" s="22" t="s">
        <v>61</v>
      </c>
      <c r="C15" s="22" t="s">
        <v>66</v>
      </c>
      <c r="D15" s="22" t="n">
        <v>14</v>
      </c>
      <c r="E15" s="22" t="s">
        <v>15</v>
      </c>
      <c r="F15" s="22" t="n">
        <v>3260</v>
      </c>
      <c r="G15" s="22" t="n">
        <v>38</v>
      </c>
      <c r="H15" s="19"/>
      <c r="I15" s="22" t="n">
        <v>1.208</v>
      </c>
      <c r="J15" s="8" t="n">
        <f aca="false">IF(F15="",H15,F15/1000*G15)</f>
        <v>123.88</v>
      </c>
      <c r="K15" s="8" t="n">
        <f aca="false">ROUND(J15*I15,2)</f>
        <v>149.65</v>
      </c>
      <c r="L15" s="20" t="n">
        <v>149.65</v>
      </c>
      <c r="M15" s="8" t="n">
        <f aca="false">ROUND(K15-L15,2)</f>
        <v>0</v>
      </c>
      <c r="N15" s="7" t="s">
        <v>41</v>
      </c>
    </row>
    <row r="16" customFormat="false" ht="15" hidden="false" customHeight="true" outlineLevel="0" collapsed="false">
      <c r="A16" s="22" t="s">
        <v>65</v>
      </c>
      <c r="B16" s="22" t="s">
        <v>61</v>
      </c>
      <c r="C16" s="22" t="s">
        <v>66</v>
      </c>
      <c r="D16" s="22" t="n">
        <v>14</v>
      </c>
      <c r="E16" s="22" t="s">
        <v>15</v>
      </c>
      <c r="F16" s="19"/>
      <c r="G16" s="19"/>
      <c r="H16" s="22" t="n">
        <v>177.1</v>
      </c>
      <c r="I16" s="22" t="n">
        <v>1.208</v>
      </c>
      <c r="J16" s="8" t="n">
        <f aca="false">IF(F16="",H16,F16/1000*G16)</f>
        <v>177.1</v>
      </c>
      <c r="K16" s="8" t="n">
        <f aca="false">ROUND(J16*I16,2)</f>
        <v>213.94</v>
      </c>
      <c r="L16" s="20" t="n">
        <v>213.94</v>
      </c>
      <c r="M16" s="8" t="n">
        <f aca="false">ROUND(K16-L16,2)</f>
        <v>0</v>
      </c>
      <c r="N16" s="7" t="s">
        <v>194</v>
      </c>
    </row>
    <row r="17" customFormat="false" ht="15" hidden="false" customHeight="true" outlineLevel="0" collapsed="false">
      <c r="A17" s="22" t="s">
        <v>65</v>
      </c>
      <c r="B17" s="22" t="s">
        <v>61</v>
      </c>
      <c r="C17" s="22" t="s">
        <v>66</v>
      </c>
      <c r="D17" s="22" t="n">
        <v>8</v>
      </c>
      <c r="E17" s="22" t="s">
        <v>12</v>
      </c>
      <c r="F17" s="22" t="n">
        <v>630</v>
      </c>
      <c r="G17" s="22" t="n">
        <v>145</v>
      </c>
      <c r="H17" s="19"/>
      <c r="I17" s="22" t="n">
        <v>0.395</v>
      </c>
      <c r="J17" s="8" t="n">
        <f aca="false">IF(F17="",H17,F17/1000*G17)</f>
        <v>91.35</v>
      </c>
      <c r="K17" s="8" t="n">
        <f aca="false">ROUND(J17*I17,2)</f>
        <v>36.08</v>
      </c>
      <c r="L17" s="20" t="n">
        <v>36.08</v>
      </c>
      <c r="M17" s="8" t="n">
        <f aca="false">ROUND(K17-L17,2)</f>
        <v>0</v>
      </c>
      <c r="N17" s="7" t="s">
        <v>37</v>
      </c>
    </row>
    <row r="18" customFormat="false" ht="15" hidden="false" customHeight="true" outlineLevel="0" collapsed="false">
      <c r="A18" s="22" t="s">
        <v>67</v>
      </c>
      <c r="B18" s="22" t="s">
        <v>61</v>
      </c>
      <c r="C18" s="22" t="s">
        <v>68</v>
      </c>
      <c r="D18" s="22" t="n">
        <v>14</v>
      </c>
      <c r="E18" s="22" t="s">
        <v>15</v>
      </c>
      <c r="F18" s="22" t="n">
        <v>3350</v>
      </c>
      <c r="G18" s="22" t="n">
        <v>33</v>
      </c>
      <c r="H18" s="19"/>
      <c r="I18" s="22" t="n">
        <v>1.208</v>
      </c>
      <c r="J18" s="8" t="n">
        <f aca="false">IF(F18="",H18,F18/1000*G18)</f>
        <v>110.55</v>
      </c>
      <c r="K18" s="8" t="n">
        <f aca="false">ROUND(J18*I18,2)</f>
        <v>133.54</v>
      </c>
      <c r="L18" s="20" t="n">
        <v>133.54</v>
      </c>
      <c r="M18" s="8" t="n">
        <f aca="false">ROUND(K18-L18,2)</f>
        <v>0</v>
      </c>
      <c r="N18" s="7" t="s">
        <v>41</v>
      </c>
    </row>
    <row r="19" customFormat="false" ht="15" hidden="false" customHeight="true" outlineLevel="0" collapsed="false">
      <c r="A19" s="22" t="s">
        <v>67</v>
      </c>
      <c r="B19" s="22" t="s">
        <v>61</v>
      </c>
      <c r="C19" s="22" t="s">
        <v>68</v>
      </c>
      <c r="D19" s="22" t="n">
        <v>14</v>
      </c>
      <c r="E19" s="22" t="s">
        <v>15</v>
      </c>
      <c r="F19" s="22" t="n">
        <v>2930</v>
      </c>
      <c r="G19" s="22" t="n">
        <v>33</v>
      </c>
      <c r="H19" s="19"/>
      <c r="I19" s="22" t="n">
        <v>1.208</v>
      </c>
      <c r="J19" s="8" t="n">
        <f aca="false">IF(F19="",H19,F19/1000*G19)</f>
        <v>96.69</v>
      </c>
      <c r="K19" s="8" t="n">
        <f aca="false">ROUND(J19*I19,2)</f>
        <v>116.8</v>
      </c>
      <c r="L19" s="20" t="n">
        <v>116.8</v>
      </c>
      <c r="M19" s="8" t="n">
        <f aca="false">ROUND(K19-L19,2)</f>
        <v>0</v>
      </c>
      <c r="N19" s="7" t="s">
        <v>41</v>
      </c>
    </row>
    <row r="20" customFormat="false" ht="15" hidden="false" customHeight="true" outlineLevel="0" collapsed="false">
      <c r="A20" s="22" t="s">
        <v>67</v>
      </c>
      <c r="B20" s="22" t="s">
        <v>61</v>
      </c>
      <c r="C20" s="22" t="s">
        <v>68</v>
      </c>
      <c r="D20" s="22" t="n">
        <v>14</v>
      </c>
      <c r="E20" s="22" t="s">
        <v>15</v>
      </c>
      <c r="F20" s="22" t="n">
        <v>2480</v>
      </c>
      <c r="G20" s="22" t="n">
        <v>16</v>
      </c>
      <c r="H20" s="19"/>
      <c r="I20" s="22" t="n">
        <v>1.208</v>
      </c>
      <c r="J20" s="8" t="n">
        <f aca="false">IF(F20="",H20,F20/1000*G20)</f>
        <v>39.68</v>
      </c>
      <c r="K20" s="8" t="n">
        <f aca="false">ROUND(J20*I20,2)</f>
        <v>47.93</v>
      </c>
      <c r="L20" s="20" t="n">
        <v>47.93</v>
      </c>
      <c r="M20" s="8" t="n">
        <f aca="false">ROUND(K20-L20,2)</f>
        <v>0</v>
      </c>
      <c r="N20" s="7" t="s">
        <v>41</v>
      </c>
    </row>
    <row r="21" customFormat="false" ht="15" hidden="false" customHeight="true" outlineLevel="0" collapsed="false">
      <c r="A21" s="22" t="s">
        <v>67</v>
      </c>
      <c r="B21" s="22" t="s">
        <v>61</v>
      </c>
      <c r="C21" s="22" t="s">
        <v>68</v>
      </c>
      <c r="D21" s="22" t="n">
        <v>14</v>
      </c>
      <c r="E21" s="22" t="s">
        <v>15</v>
      </c>
      <c r="F21" s="19"/>
      <c r="G21" s="19"/>
      <c r="H21" s="22" t="n">
        <v>191.62</v>
      </c>
      <c r="I21" s="22" t="n">
        <v>1.208</v>
      </c>
      <c r="J21" s="8" t="n">
        <f aca="false">IF(F21="",H21,F21/1000*G21)</f>
        <v>191.62</v>
      </c>
      <c r="K21" s="8" t="n">
        <f aca="false">ROUND(J21*I21,2)</f>
        <v>231.48</v>
      </c>
      <c r="L21" s="20" t="n">
        <v>231.48</v>
      </c>
      <c r="M21" s="8" t="n">
        <f aca="false">ROUND(K21-L21,2)</f>
        <v>0</v>
      </c>
      <c r="N21" s="7" t="s">
        <v>194</v>
      </c>
    </row>
    <row r="22" customFormat="false" ht="15" hidden="false" customHeight="true" outlineLevel="0" collapsed="false">
      <c r="A22" s="22" t="s">
        <v>67</v>
      </c>
      <c r="B22" s="22" t="s">
        <v>61</v>
      </c>
      <c r="C22" s="22" t="s">
        <v>68</v>
      </c>
      <c r="D22" s="22" t="n">
        <v>8</v>
      </c>
      <c r="E22" s="22" t="s">
        <v>12</v>
      </c>
      <c r="F22" s="22" t="n">
        <v>630</v>
      </c>
      <c r="G22" s="22" t="n">
        <v>152</v>
      </c>
      <c r="H22" s="19"/>
      <c r="I22" s="22" t="n">
        <v>0.395</v>
      </c>
      <c r="J22" s="8" t="n">
        <f aca="false">IF(F22="",H22,F22/1000*G22)</f>
        <v>95.76</v>
      </c>
      <c r="K22" s="8" t="n">
        <f aca="false">ROUND(J22*I22,2)</f>
        <v>37.83</v>
      </c>
      <c r="L22" s="20" t="n">
        <v>37.83</v>
      </c>
      <c r="M22" s="8" t="n">
        <f aca="false">ROUND(K22-L22,2)</f>
        <v>0</v>
      </c>
      <c r="N22" s="7" t="s">
        <v>37</v>
      </c>
    </row>
    <row r="23" customFormat="false" ht="15" hidden="false" customHeight="true" outlineLevel="0" collapsed="false">
      <c r="A23" s="22" t="s">
        <v>67</v>
      </c>
      <c r="B23" s="22" t="s">
        <v>61</v>
      </c>
      <c r="C23" s="22" t="s">
        <v>68</v>
      </c>
      <c r="D23" s="22" t="n">
        <v>16</v>
      </c>
      <c r="E23" s="22" t="s">
        <v>15</v>
      </c>
      <c r="F23" s="22" t="n">
        <v>1970</v>
      </c>
      <c r="G23" s="22" t="n">
        <v>22</v>
      </c>
      <c r="H23" s="19"/>
      <c r="I23" s="22" t="n">
        <v>1.578</v>
      </c>
      <c r="J23" s="8" t="n">
        <f aca="false">IF(F23="",H23,F23/1000*G23)</f>
        <v>43.34</v>
      </c>
      <c r="K23" s="8" t="n">
        <f aca="false">ROUND(J23*I23,2)</f>
        <v>68.39</v>
      </c>
      <c r="L23" s="20" t="n">
        <v>68.39</v>
      </c>
      <c r="M23" s="8" t="n">
        <f aca="false">ROUND(K23-L23,2)</f>
        <v>0</v>
      </c>
      <c r="N23" s="7" t="s">
        <v>42</v>
      </c>
    </row>
    <row r="24" customFormat="false" ht="15" hidden="false" customHeight="true" outlineLevel="0" collapsed="false">
      <c r="A24" s="22" t="s">
        <v>69</v>
      </c>
      <c r="B24" s="22" t="s">
        <v>70</v>
      </c>
      <c r="C24" s="22" t="s">
        <v>62</v>
      </c>
      <c r="D24" s="22" t="n">
        <v>14</v>
      </c>
      <c r="E24" s="22" t="s">
        <v>15</v>
      </c>
      <c r="F24" s="22" t="n">
        <v>3350</v>
      </c>
      <c r="G24" s="22" t="n">
        <v>22</v>
      </c>
      <c r="H24" s="19"/>
      <c r="I24" s="22" t="n">
        <v>1.208</v>
      </c>
      <c r="J24" s="8" t="n">
        <f aca="false">IF(F24="",H24,F24/1000*G24)</f>
        <v>73.7</v>
      </c>
      <c r="K24" s="8" t="n">
        <f aca="false">ROUND(J24*I24,2)</f>
        <v>89.03</v>
      </c>
      <c r="L24" s="20" t="n">
        <v>89.03</v>
      </c>
      <c r="M24" s="8" t="n">
        <f aca="false">ROUND(K24-L24,2)</f>
        <v>0</v>
      </c>
      <c r="N24" s="7" t="s">
        <v>41</v>
      </c>
    </row>
    <row r="25" customFormat="false" ht="15" hidden="false" customHeight="true" outlineLevel="0" collapsed="false">
      <c r="A25" s="22" t="s">
        <v>69</v>
      </c>
      <c r="B25" s="22" t="s">
        <v>70</v>
      </c>
      <c r="C25" s="22" t="s">
        <v>62</v>
      </c>
      <c r="D25" s="22" t="n">
        <v>14</v>
      </c>
      <c r="E25" s="22" t="s">
        <v>15</v>
      </c>
      <c r="F25" s="22" t="n">
        <v>2930</v>
      </c>
      <c r="G25" s="22" t="n">
        <v>22</v>
      </c>
      <c r="H25" s="19"/>
      <c r="I25" s="22" t="n">
        <v>1.208</v>
      </c>
      <c r="J25" s="8" t="n">
        <f aca="false">IF(F25="",H25,F25/1000*G25)</f>
        <v>64.46</v>
      </c>
      <c r="K25" s="8" t="n">
        <f aca="false">ROUND(J25*I25,2)</f>
        <v>77.87</v>
      </c>
      <c r="L25" s="20" t="n">
        <v>77.87</v>
      </c>
      <c r="M25" s="8" t="n">
        <f aca="false">ROUND(K25-L25,2)</f>
        <v>0</v>
      </c>
      <c r="N25" s="7" t="s">
        <v>41</v>
      </c>
    </row>
    <row r="26" customFormat="false" ht="15" hidden="false" customHeight="true" outlineLevel="0" collapsed="false">
      <c r="A26" s="22" t="s">
        <v>69</v>
      </c>
      <c r="B26" s="22" t="s">
        <v>70</v>
      </c>
      <c r="C26" s="22" t="s">
        <v>62</v>
      </c>
      <c r="D26" s="22" t="n">
        <v>14</v>
      </c>
      <c r="E26" s="22" t="s">
        <v>15</v>
      </c>
      <c r="F26" s="19"/>
      <c r="G26" s="19"/>
      <c r="H26" s="22" t="n">
        <v>125.07</v>
      </c>
      <c r="I26" s="22" t="n">
        <v>1.208</v>
      </c>
      <c r="J26" s="8" t="n">
        <f aca="false">IF(F26="",H26,F26/1000*G26)</f>
        <v>125.07</v>
      </c>
      <c r="K26" s="8" t="n">
        <f aca="false">ROUND(J26*I26,2)</f>
        <v>151.08</v>
      </c>
      <c r="L26" s="20" t="n">
        <v>151.08</v>
      </c>
      <c r="M26" s="8" t="n">
        <f aca="false">ROUND(K26-L26,2)</f>
        <v>0</v>
      </c>
      <c r="N26" s="7" t="s">
        <v>194</v>
      </c>
    </row>
    <row r="27" customFormat="false" ht="15" hidden="false" customHeight="true" outlineLevel="0" collapsed="false">
      <c r="A27" s="22" t="s">
        <v>69</v>
      </c>
      <c r="B27" s="22" t="s">
        <v>70</v>
      </c>
      <c r="C27" s="22" t="s">
        <v>62</v>
      </c>
      <c r="D27" s="22" t="n">
        <v>8</v>
      </c>
      <c r="E27" s="22" t="s">
        <v>12</v>
      </c>
      <c r="F27" s="22" t="n">
        <v>630</v>
      </c>
      <c r="G27" s="22" t="n">
        <v>91</v>
      </c>
      <c r="H27" s="19"/>
      <c r="I27" s="22" t="n">
        <v>0.395</v>
      </c>
      <c r="J27" s="8" t="n">
        <f aca="false">IF(F27="",H27,F27/1000*G27)</f>
        <v>57.33</v>
      </c>
      <c r="K27" s="8" t="n">
        <f aca="false">ROUND(J27*I27,2)</f>
        <v>22.65</v>
      </c>
      <c r="L27" s="20" t="n">
        <v>22.65</v>
      </c>
      <c r="M27" s="8" t="n">
        <f aca="false">ROUND(K27-L27,2)</f>
        <v>0</v>
      </c>
      <c r="N27" s="7" t="s">
        <v>37</v>
      </c>
    </row>
    <row r="28" customFormat="false" ht="15" hidden="false" customHeight="true" outlineLevel="0" collapsed="false">
      <c r="A28" s="22" t="s">
        <v>71</v>
      </c>
      <c r="B28" s="22" t="s">
        <v>70</v>
      </c>
      <c r="C28" s="22" t="s">
        <v>64</v>
      </c>
      <c r="D28" s="22" t="n">
        <v>14</v>
      </c>
      <c r="E28" s="22" t="s">
        <v>15</v>
      </c>
      <c r="F28" s="22" t="n">
        <v>3350</v>
      </c>
      <c r="G28" s="22" t="n">
        <v>28</v>
      </c>
      <c r="H28" s="19"/>
      <c r="I28" s="22" t="n">
        <v>1.208</v>
      </c>
      <c r="J28" s="8" t="n">
        <f aca="false">IF(F28="",H28,F28/1000*G28)</f>
        <v>93.8</v>
      </c>
      <c r="K28" s="8" t="n">
        <f aca="false">ROUND(J28*I28,2)</f>
        <v>113.31</v>
      </c>
      <c r="L28" s="20" t="n">
        <v>113.31</v>
      </c>
      <c r="M28" s="8" t="n">
        <f aca="false">ROUND(K28-L28,2)</f>
        <v>0</v>
      </c>
      <c r="N28" s="7" t="s">
        <v>41</v>
      </c>
    </row>
    <row r="29" customFormat="false" ht="15" hidden="false" customHeight="true" outlineLevel="0" collapsed="false">
      <c r="A29" s="22" t="s">
        <v>71</v>
      </c>
      <c r="B29" s="22" t="s">
        <v>70</v>
      </c>
      <c r="C29" s="22" t="s">
        <v>64</v>
      </c>
      <c r="D29" s="22" t="n">
        <v>14</v>
      </c>
      <c r="E29" s="22" t="s">
        <v>15</v>
      </c>
      <c r="F29" s="22" t="n">
        <v>2930</v>
      </c>
      <c r="G29" s="22" t="n">
        <v>28</v>
      </c>
      <c r="H29" s="19"/>
      <c r="I29" s="22" t="n">
        <v>1.208</v>
      </c>
      <c r="J29" s="8" t="n">
        <f aca="false">IF(F29="",H29,F29/1000*G29)</f>
        <v>82.04</v>
      </c>
      <c r="K29" s="8" t="n">
        <f aca="false">ROUND(J29*I29,2)</f>
        <v>99.1</v>
      </c>
      <c r="L29" s="20" t="n">
        <v>99.1</v>
      </c>
      <c r="M29" s="8" t="n">
        <f aca="false">ROUND(K29-L29,2)</f>
        <v>0</v>
      </c>
      <c r="N29" s="7" t="s">
        <v>41</v>
      </c>
    </row>
    <row r="30" customFormat="false" ht="15" hidden="false" customHeight="true" outlineLevel="0" collapsed="false">
      <c r="A30" s="22" t="s">
        <v>71</v>
      </c>
      <c r="B30" s="22" t="s">
        <v>70</v>
      </c>
      <c r="C30" s="22" t="s">
        <v>64</v>
      </c>
      <c r="D30" s="22" t="n">
        <v>14</v>
      </c>
      <c r="E30" s="22" t="s">
        <v>15</v>
      </c>
      <c r="F30" s="19"/>
      <c r="G30" s="19"/>
      <c r="H30" s="22" t="n">
        <v>149.09</v>
      </c>
      <c r="I30" s="22" t="n">
        <v>1.208</v>
      </c>
      <c r="J30" s="8" t="n">
        <f aca="false">IF(F30="",H30,F30/1000*G30)</f>
        <v>149.09</v>
      </c>
      <c r="K30" s="8" t="n">
        <f aca="false">ROUND(J30*I30,2)</f>
        <v>180.1</v>
      </c>
      <c r="L30" s="20" t="n">
        <v>180.1</v>
      </c>
      <c r="M30" s="8" t="n">
        <f aca="false">ROUND(K30-L30,2)</f>
        <v>0</v>
      </c>
      <c r="N30" s="7" t="s">
        <v>194</v>
      </c>
    </row>
    <row r="31" customFormat="false" ht="15" hidden="false" customHeight="true" outlineLevel="0" collapsed="false">
      <c r="A31" s="22" t="s">
        <v>71</v>
      </c>
      <c r="B31" s="22" t="s">
        <v>70</v>
      </c>
      <c r="C31" s="22" t="s">
        <v>64</v>
      </c>
      <c r="D31" s="22" t="n">
        <v>8</v>
      </c>
      <c r="E31" s="22" t="s">
        <v>12</v>
      </c>
      <c r="F31" s="22" t="n">
        <v>630</v>
      </c>
      <c r="G31" s="22" t="n">
        <v>112</v>
      </c>
      <c r="H31" s="19"/>
      <c r="I31" s="22" t="n">
        <v>0.395</v>
      </c>
      <c r="J31" s="8" t="n">
        <f aca="false">IF(F31="",H31,F31/1000*G31)</f>
        <v>70.56</v>
      </c>
      <c r="K31" s="8" t="n">
        <f aca="false">ROUND(J31*I31,2)</f>
        <v>27.87</v>
      </c>
      <c r="L31" s="20" t="n">
        <v>27.87</v>
      </c>
      <c r="M31" s="8" t="n">
        <f aca="false">ROUND(K31-L31,2)</f>
        <v>0</v>
      </c>
      <c r="N31" s="7" t="s">
        <v>37</v>
      </c>
    </row>
    <row r="32" customFormat="false" ht="15" hidden="false" customHeight="true" outlineLevel="0" collapsed="false">
      <c r="A32" s="22" t="s">
        <v>72</v>
      </c>
      <c r="B32" s="22" t="s">
        <v>70</v>
      </c>
      <c r="C32" s="22" t="s">
        <v>66</v>
      </c>
      <c r="D32" s="22" t="n">
        <v>14</v>
      </c>
      <c r="E32" s="22" t="s">
        <v>15</v>
      </c>
      <c r="F32" s="22" t="n">
        <v>3350</v>
      </c>
      <c r="G32" s="22" t="n">
        <v>33</v>
      </c>
      <c r="H32" s="19"/>
      <c r="I32" s="22" t="n">
        <v>1.208</v>
      </c>
      <c r="J32" s="8" t="n">
        <f aca="false">IF(F32="",H32,F32/1000*G32)</f>
        <v>110.55</v>
      </c>
      <c r="K32" s="8" t="n">
        <f aca="false">ROUND(J32*I32,2)</f>
        <v>133.54</v>
      </c>
      <c r="L32" s="20" t="n">
        <v>133.54</v>
      </c>
      <c r="M32" s="8" t="n">
        <f aca="false">ROUND(K32-L32,2)</f>
        <v>0</v>
      </c>
      <c r="N32" s="7" t="s">
        <v>41</v>
      </c>
    </row>
    <row r="33" customFormat="false" ht="15" hidden="false" customHeight="true" outlineLevel="0" collapsed="false">
      <c r="A33" s="22" t="s">
        <v>72</v>
      </c>
      <c r="B33" s="22" t="s">
        <v>70</v>
      </c>
      <c r="C33" s="22" t="s">
        <v>66</v>
      </c>
      <c r="D33" s="22" t="n">
        <v>14</v>
      </c>
      <c r="E33" s="22" t="s">
        <v>15</v>
      </c>
      <c r="F33" s="22" t="n">
        <v>2930</v>
      </c>
      <c r="G33" s="22" t="n">
        <v>33</v>
      </c>
      <c r="H33" s="19"/>
      <c r="I33" s="22" t="n">
        <v>1.208</v>
      </c>
      <c r="J33" s="8" t="n">
        <f aca="false">IF(F33="",H33,F33/1000*G33)</f>
        <v>96.69</v>
      </c>
      <c r="K33" s="8" t="n">
        <f aca="false">ROUND(J33*I33,2)</f>
        <v>116.8</v>
      </c>
      <c r="L33" s="20" t="n">
        <v>116.8</v>
      </c>
      <c r="M33" s="8" t="n">
        <f aca="false">ROUND(K33-L33,2)</f>
        <v>0</v>
      </c>
      <c r="N33" s="7" t="s">
        <v>41</v>
      </c>
    </row>
    <row r="34" customFormat="false" ht="15" hidden="false" customHeight="true" outlineLevel="0" collapsed="false">
      <c r="A34" s="22" t="s">
        <v>72</v>
      </c>
      <c r="B34" s="22" t="s">
        <v>70</v>
      </c>
      <c r="C34" s="22" t="s">
        <v>66</v>
      </c>
      <c r="D34" s="22" t="n">
        <v>14</v>
      </c>
      <c r="E34" s="22" t="s">
        <v>15</v>
      </c>
      <c r="F34" s="22" t="n">
        <v>2480</v>
      </c>
      <c r="G34" s="22" t="n">
        <v>16</v>
      </c>
      <c r="H34" s="19"/>
      <c r="I34" s="22" t="n">
        <v>1.208</v>
      </c>
      <c r="J34" s="8" t="n">
        <f aca="false">IF(F34="",H34,F34/1000*G34)</f>
        <v>39.68</v>
      </c>
      <c r="K34" s="8" t="n">
        <f aca="false">ROUND(J34*I34,2)</f>
        <v>47.93</v>
      </c>
      <c r="L34" s="20" t="n">
        <v>47.93</v>
      </c>
      <c r="M34" s="8" t="n">
        <f aca="false">ROUND(K34-L34,2)</f>
        <v>0</v>
      </c>
      <c r="N34" s="7" t="s">
        <v>41</v>
      </c>
    </row>
    <row r="35" customFormat="false" ht="15" hidden="false" customHeight="true" outlineLevel="0" collapsed="false">
      <c r="A35" s="22" t="s">
        <v>72</v>
      </c>
      <c r="B35" s="22" t="s">
        <v>70</v>
      </c>
      <c r="C35" s="22" t="s">
        <v>66</v>
      </c>
      <c r="D35" s="22" t="n">
        <v>14</v>
      </c>
      <c r="E35" s="22" t="s">
        <v>15</v>
      </c>
      <c r="F35" s="19"/>
      <c r="G35" s="19"/>
      <c r="H35" s="22" t="n">
        <v>194.92</v>
      </c>
      <c r="I35" s="22" t="n">
        <v>1.208</v>
      </c>
      <c r="J35" s="8" t="n">
        <f aca="false">IF(F35="",H35,F35/1000*G35)</f>
        <v>194.92</v>
      </c>
      <c r="K35" s="8" t="n">
        <f aca="false">ROUND(J35*I35,2)</f>
        <v>235.46</v>
      </c>
      <c r="L35" s="20" t="n">
        <v>235.46</v>
      </c>
      <c r="M35" s="8" t="n">
        <f aca="false">ROUND(K35-L35,2)</f>
        <v>0</v>
      </c>
      <c r="N35" s="7" t="s">
        <v>194</v>
      </c>
    </row>
    <row r="36" customFormat="false" ht="15" hidden="false" customHeight="true" outlineLevel="0" collapsed="false">
      <c r="A36" s="22" t="s">
        <v>72</v>
      </c>
      <c r="B36" s="22" t="s">
        <v>70</v>
      </c>
      <c r="C36" s="22" t="s">
        <v>66</v>
      </c>
      <c r="D36" s="22" t="n">
        <v>8</v>
      </c>
      <c r="E36" s="22" t="s">
        <v>12</v>
      </c>
      <c r="F36" s="22" t="n">
        <v>630</v>
      </c>
      <c r="G36" s="22" t="n">
        <v>152</v>
      </c>
      <c r="H36" s="19"/>
      <c r="I36" s="22" t="n">
        <v>0.395</v>
      </c>
      <c r="J36" s="8" t="n">
        <f aca="false">IF(F36="",H36,F36/1000*G36)</f>
        <v>95.76</v>
      </c>
      <c r="K36" s="8" t="n">
        <f aca="false">ROUND(J36*I36,2)</f>
        <v>37.83</v>
      </c>
      <c r="L36" s="20" t="n">
        <v>37.83</v>
      </c>
      <c r="M36" s="8" t="n">
        <f aca="false">ROUND(K36-L36,2)</f>
        <v>0</v>
      </c>
      <c r="N36" s="7" t="s">
        <v>37</v>
      </c>
    </row>
    <row r="37" customFormat="false" ht="15" hidden="false" customHeight="true" outlineLevel="0" collapsed="false">
      <c r="A37" s="22" t="s">
        <v>72</v>
      </c>
      <c r="B37" s="22" t="s">
        <v>70</v>
      </c>
      <c r="C37" s="22" t="s">
        <v>66</v>
      </c>
      <c r="D37" s="22" t="n">
        <v>16</v>
      </c>
      <c r="E37" s="22" t="s">
        <v>15</v>
      </c>
      <c r="F37" s="22" t="n">
        <v>1970</v>
      </c>
      <c r="G37" s="22" t="n">
        <v>22</v>
      </c>
      <c r="H37" s="19"/>
      <c r="I37" s="22" t="n">
        <v>1.578</v>
      </c>
      <c r="J37" s="8" t="n">
        <f aca="false">IF(F37="",H37,F37/1000*G37)</f>
        <v>43.34</v>
      </c>
      <c r="K37" s="8" t="n">
        <f aca="false">ROUND(J37*I37,2)</f>
        <v>68.39</v>
      </c>
      <c r="L37" s="20" t="n">
        <v>68.39</v>
      </c>
      <c r="M37" s="8" t="n">
        <f aca="false">ROUND(K37-L37,2)</f>
        <v>0</v>
      </c>
      <c r="N37" s="7" t="s">
        <v>42</v>
      </c>
    </row>
    <row r="38" customFormat="false" ht="15" hidden="false" customHeight="true" outlineLevel="0" collapsed="false">
      <c r="A38" s="22" t="s">
        <v>73</v>
      </c>
      <c r="B38" s="22" t="s">
        <v>70</v>
      </c>
      <c r="C38" s="22" t="s">
        <v>68</v>
      </c>
      <c r="D38" s="22" t="n">
        <v>14</v>
      </c>
      <c r="E38" s="22" t="s">
        <v>15</v>
      </c>
      <c r="F38" s="22" t="n">
        <v>3350</v>
      </c>
      <c r="G38" s="22" t="n">
        <v>33</v>
      </c>
      <c r="H38" s="19"/>
      <c r="I38" s="22" t="n">
        <v>1.208</v>
      </c>
      <c r="J38" s="8" t="n">
        <f aca="false">IF(F38="",H38,F38/1000*G38)</f>
        <v>110.55</v>
      </c>
      <c r="K38" s="8" t="n">
        <f aca="false">ROUND(J38*I38,2)</f>
        <v>133.54</v>
      </c>
      <c r="L38" s="20" t="n">
        <v>133.54</v>
      </c>
      <c r="M38" s="8" t="n">
        <f aca="false">ROUND(K38-L38,2)</f>
        <v>0</v>
      </c>
      <c r="N38" s="7" t="s">
        <v>41</v>
      </c>
    </row>
    <row r="39" customFormat="false" ht="15" hidden="false" customHeight="true" outlineLevel="0" collapsed="false">
      <c r="A39" s="22" t="s">
        <v>73</v>
      </c>
      <c r="B39" s="22" t="s">
        <v>70</v>
      </c>
      <c r="C39" s="22" t="s">
        <v>68</v>
      </c>
      <c r="D39" s="22" t="n">
        <v>14</v>
      </c>
      <c r="E39" s="22" t="s">
        <v>15</v>
      </c>
      <c r="F39" s="22" t="n">
        <v>2930</v>
      </c>
      <c r="G39" s="22" t="n">
        <v>33</v>
      </c>
      <c r="H39" s="19"/>
      <c r="I39" s="22" t="n">
        <v>1.208</v>
      </c>
      <c r="J39" s="8" t="n">
        <f aca="false">IF(F39="",H39,F39/1000*G39)</f>
        <v>96.69</v>
      </c>
      <c r="K39" s="8" t="n">
        <f aca="false">ROUND(J39*I39,2)</f>
        <v>116.8</v>
      </c>
      <c r="L39" s="20" t="n">
        <v>116.8</v>
      </c>
      <c r="M39" s="8" t="n">
        <f aca="false">ROUND(K39-L39,2)</f>
        <v>0</v>
      </c>
      <c r="N39" s="7" t="s">
        <v>41</v>
      </c>
    </row>
    <row r="40" customFormat="false" ht="15" hidden="false" customHeight="true" outlineLevel="0" collapsed="false">
      <c r="A40" s="22" t="s">
        <v>73</v>
      </c>
      <c r="B40" s="22" t="s">
        <v>70</v>
      </c>
      <c r="C40" s="22" t="s">
        <v>68</v>
      </c>
      <c r="D40" s="22" t="n">
        <v>14</v>
      </c>
      <c r="E40" s="22" t="s">
        <v>15</v>
      </c>
      <c r="F40" s="22" t="n">
        <v>2480</v>
      </c>
      <c r="G40" s="22" t="n">
        <v>44</v>
      </c>
      <c r="H40" s="19"/>
      <c r="I40" s="22" t="n">
        <v>1.208</v>
      </c>
      <c r="J40" s="8" t="n">
        <f aca="false">IF(F40="",H40,F40/1000*G40)</f>
        <v>109.12</v>
      </c>
      <c r="K40" s="8" t="n">
        <f aca="false">ROUND(J40*I40,2)</f>
        <v>131.82</v>
      </c>
      <c r="L40" s="20" t="n">
        <v>131.82</v>
      </c>
      <c r="M40" s="8" t="n">
        <f aca="false">ROUND(K40-L40,2)</f>
        <v>0</v>
      </c>
      <c r="N40" s="7" t="s">
        <v>41</v>
      </c>
    </row>
    <row r="41" customFormat="false" ht="15" hidden="false" customHeight="true" outlineLevel="0" collapsed="false">
      <c r="A41" s="22" t="s">
        <v>73</v>
      </c>
      <c r="B41" s="22" t="s">
        <v>70</v>
      </c>
      <c r="C41" s="22" t="s">
        <v>68</v>
      </c>
      <c r="D41" s="22" t="n">
        <v>14</v>
      </c>
      <c r="E41" s="22" t="s">
        <v>15</v>
      </c>
      <c r="F41" s="19"/>
      <c r="G41" s="19"/>
      <c r="H41" s="22" t="n">
        <v>254.8</v>
      </c>
      <c r="I41" s="22" t="n">
        <v>1.208</v>
      </c>
      <c r="J41" s="8" t="n">
        <f aca="false">IF(F41="",H41,F41/1000*G41)</f>
        <v>254.8</v>
      </c>
      <c r="K41" s="8" t="n">
        <f aca="false">ROUND(J41*I41,2)</f>
        <v>307.8</v>
      </c>
      <c r="L41" s="20" t="n">
        <v>307.8</v>
      </c>
      <c r="M41" s="8" t="n">
        <f aca="false">ROUND(K41-L41,2)</f>
        <v>0</v>
      </c>
      <c r="N41" s="7" t="s">
        <v>194</v>
      </c>
    </row>
    <row r="42" customFormat="false" ht="15" hidden="false" customHeight="true" outlineLevel="0" collapsed="false">
      <c r="A42" s="22" t="s">
        <v>73</v>
      </c>
      <c r="B42" s="22" t="s">
        <v>70</v>
      </c>
      <c r="C42" s="22" t="s">
        <v>68</v>
      </c>
      <c r="D42" s="22" t="n">
        <v>8</v>
      </c>
      <c r="E42" s="22" t="s">
        <v>12</v>
      </c>
      <c r="F42" s="22" t="n">
        <v>630</v>
      </c>
      <c r="G42" s="22" t="n">
        <v>217</v>
      </c>
      <c r="H42" s="19"/>
      <c r="I42" s="22" t="n">
        <v>0.395</v>
      </c>
      <c r="J42" s="8" t="n">
        <f aca="false">IF(F42="",H42,F42/1000*G42)</f>
        <v>136.71</v>
      </c>
      <c r="K42" s="8" t="n">
        <f aca="false">ROUND(J42*I42,2)</f>
        <v>54</v>
      </c>
      <c r="L42" s="20" t="n">
        <v>54</v>
      </c>
      <c r="M42" s="8" t="n">
        <f aca="false">ROUND(K42-L42,2)</f>
        <v>0</v>
      </c>
      <c r="N42" s="7" t="s">
        <v>37</v>
      </c>
    </row>
    <row r="43" customFormat="false" ht="15" hidden="false" customHeight="true" outlineLevel="0" collapsed="false">
      <c r="A43" s="22" t="s">
        <v>73</v>
      </c>
      <c r="B43" s="22" t="s">
        <v>70</v>
      </c>
      <c r="C43" s="22" t="s">
        <v>68</v>
      </c>
      <c r="D43" s="22" t="n">
        <v>16</v>
      </c>
      <c r="E43" s="22" t="s">
        <v>15</v>
      </c>
      <c r="F43" s="22" t="n">
        <v>1970</v>
      </c>
      <c r="G43" s="22" t="n">
        <v>44</v>
      </c>
      <c r="H43" s="19"/>
      <c r="I43" s="22" t="n">
        <v>1.578</v>
      </c>
      <c r="J43" s="8" t="n">
        <f aca="false">IF(F43="",H43,F43/1000*G43)</f>
        <v>86.68</v>
      </c>
      <c r="K43" s="8" t="n">
        <f aca="false">ROUND(J43*I43,2)</f>
        <v>136.78</v>
      </c>
      <c r="L43" s="20" t="n">
        <v>136.78</v>
      </c>
      <c r="M43" s="8" t="n">
        <f aca="false">ROUND(K43-L43,2)</f>
        <v>0</v>
      </c>
      <c r="N43" s="7" t="s">
        <v>42</v>
      </c>
    </row>
    <row r="44" customFormat="false" ht="15" hidden="false" customHeight="true" outlineLevel="0" collapsed="false">
      <c r="A44" s="22" t="s">
        <v>74</v>
      </c>
      <c r="B44" s="22" t="s">
        <v>75</v>
      </c>
      <c r="C44" s="22" t="s">
        <v>62</v>
      </c>
      <c r="D44" s="22" t="n">
        <v>14</v>
      </c>
      <c r="E44" s="22" t="s">
        <v>15</v>
      </c>
      <c r="F44" s="22" t="n">
        <v>3350</v>
      </c>
      <c r="G44" s="22" t="n">
        <v>22</v>
      </c>
      <c r="H44" s="19"/>
      <c r="I44" s="22" t="n">
        <v>1.208</v>
      </c>
      <c r="J44" s="8" t="n">
        <f aca="false">IF(F44="",H44,F44/1000*G44)</f>
        <v>73.7</v>
      </c>
      <c r="K44" s="8" t="n">
        <f aca="false">ROUND(J44*I44,2)</f>
        <v>89.03</v>
      </c>
      <c r="L44" s="20" t="n">
        <v>89.03</v>
      </c>
      <c r="M44" s="8" t="n">
        <f aca="false">ROUND(K44-L44,2)</f>
        <v>0</v>
      </c>
      <c r="N44" s="7" t="s">
        <v>41</v>
      </c>
    </row>
    <row r="45" customFormat="false" ht="15" hidden="false" customHeight="true" outlineLevel="0" collapsed="false">
      <c r="A45" s="22" t="s">
        <v>74</v>
      </c>
      <c r="B45" s="22" t="s">
        <v>75</v>
      </c>
      <c r="C45" s="22" t="s">
        <v>62</v>
      </c>
      <c r="D45" s="22" t="n">
        <v>14</v>
      </c>
      <c r="E45" s="22" t="s">
        <v>15</v>
      </c>
      <c r="F45" s="22" t="n">
        <v>2930</v>
      </c>
      <c r="G45" s="22" t="n">
        <v>22</v>
      </c>
      <c r="H45" s="19"/>
      <c r="I45" s="22" t="n">
        <v>1.208</v>
      </c>
      <c r="J45" s="8" t="n">
        <f aca="false">IF(F45="",H45,F45/1000*G45)</f>
        <v>64.46</v>
      </c>
      <c r="K45" s="8" t="n">
        <f aca="false">ROUND(J45*I45,2)</f>
        <v>77.87</v>
      </c>
      <c r="L45" s="20" t="n">
        <v>77.87</v>
      </c>
      <c r="M45" s="8" t="n">
        <f aca="false">ROUND(K45-L45,2)</f>
        <v>0</v>
      </c>
      <c r="N45" s="7" t="s">
        <v>41</v>
      </c>
    </row>
    <row r="46" customFormat="false" ht="15" hidden="false" customHeight="true" outlineLevel="0" collapsed="false">
      <c r="A46" s="22" t="s">
        <v>74</v>
      </c>
      <c r="B46" s="22" t="s">
        <v>75</v>
      </c>
      <c r="C46" s="22" t="s">
        <v>62</v>
      </c>
      <c r="D46" s="22" t="n">
        <v>14</v>
      </c>
      <c r="E46" s="22" t="s">
        <v>15</v>
      </c>
      <c r="F46" s="19"/>
      <c r="G46" s="19"/>
      <c r="H46" s="22" t="n">
        <v>123.84</v>
      </c>
      <c r="I46" s="22" t="n">
        <v>1.208</v>
      </c>
      <c r="J46" s="8" t="n">
        <f aca="false">IF(F46="",H46,F46/1000*G46)</f>
        <v>123.84</v>
      </c>
      <c r="K46" s="8" t="n">
        <f aca="false">ROUND(J46*I46,2)</f>
        <v>149.6</v>
      </c>
      <c r="L46" s="20" t="n">
        <v>149.6</v>
      </c>
      <c r="M46" s="8" t="n">
        <f aca="false">ROUND(K46-L46,2)</f>
        <v>0</v>
      </c>
      <c r="N46" s="7" t="s">
        <v>194</v>
      </c>
    </row>
    <row r="47" customFormat="false" ht="15" hidden="false" customHeight="true" outlineLevel="0" collapsed="false">
      <c r="A47" s="22" t="s">
        <v>74</v>
      </c>
      <c r="B47" s="22" t="s">
        <v>75</v>
      </c>
      <c r="C47" s="22" t="s">
        <v>62</v>
      </c>
      <c r="D47" s="22" t="n">
        <v>8</v>
      </c>
      <c r="E47" s="22" t="s">
        <v>12</v>
      </c>
      <c r="F47" s="22" t="n">
        <v>630</v>
      </c>
      <c r="G47" s="22" t="n">
        <v>91</v>
      </c>
      <c r="H47" s="19"/>
      <c r="I47" s="22" t="n">
        <v>0.395</v>
      </c>
      <c r="J47" s="8" t="n">
        <f aca="false">IF(F47="",H47,F47/1000*G47)</f>
        <v>57.33</v>
      </c>
      <c r="K47" s="8" t="n">
        <f aca="false">ROUND(J47*I47,2)</f>
        <v>22.65</v>
      </c>
      <c r="L47" s="20" t="n">
        <v>22.65</v>
      </c>
      <c r="M47" s="8" t="n">
        <f aca="false">ROUND(K47-L47,2)</f>
        <v>0</v>
      </c>
      <c r="N47" s="7" t="s">
        <v>37</v>
      </c>
    </row>
    <row r="48" customFormat="false" ht="15" hidden="false" customHeight="true" outlineLevel="0" collapsed="false">
      <c r="A48" s="22" t="s">
        <v>76</v>
      </c>
      <c r="B48" s="22" t="s">
        <v>75</v>
      </c>
      <c r="C48" s="22" t="s">
        <v>64</v>
      </c>
      <c r="D48" s="22" t="n">
        <v>14</v>
      </c>
      <c r="E48" s="22" t="s">
        <v>15</v>
      </c>
      <c r="F48" s="22" t="n">
        <v>3350</v>
      </c>
      <c r="G48" s="22" t="n">
        <v>28</v>
      </c>
      <c r="H48" s="19"/>
      <c r="I48" s="22" t="n">
        <v>1.208</v>
      </c>
      <c r="J48" s="8" t="n">
        <f aca="false">IF(F48="",H48,F48/1000*G48)</f>
        <v>93.8</v>
      </c>
      <c r="K48" s="8" t="n">
        <f aca="false">ROUND(J48*I48,2)</f>
        <v>113.31</v>
      </c>
      <c r="L48" s="20" t="n">
        <v>113.31</v>
      </c>
      <c r="M48" s="8" t="n">
        <f aca="false">ROUND(K48-L48,2)</f>
        <v>0</v>
      </c>
      <c r="N48" s="7" t="s">
        <v>41</v>
      </c>
    </row>
    <row r="49" customFormat="false" ht="15" hidden="false" customHeight="true" outlineLevel="0" collapsed="false">
      <c r="A49" s="22" t="s">
        <v>76</v>
      </c>
      <c r="B49" s="22" t="s">
        <v>75</v>
      </c>
      <c r="C49" s="22" t="s">
        <v>64</v>
      </c>
      <c r="D49" s="22" t="n">
        <v>14</v>
      </c>
      <c r="E49" s="22" t="s">
        <v>15</v>
      </c>
      <c r="F49" s="22" t="n">
        <v>2930</v>
      </c>
      <c r="G49" s="22" t="n">
        <v>28</v>
      </c>
      <c r="H49" s="19"/>
      <c r="I49" s="22" t="n">
        <v>1.208</v>
      </c>
      <c r="J49" s="8" t="n">
        <f aca="false">IF(F49="",H49,F49/1000*G49)</f>
        <v>82.04</v>
      </c>
      <c r="K49" s="8" t="n">
        <f aca="false">ROUND(J49*I49,2)</f>
        <v>99.1</v>
      </c>
      <c r="L49" s="20" t="n">
        <v>99.1</v>
      </c>
      <c r="M49" s="8" t="n">
        <f aca="false">ROUND(K49-L49,2)</f>
        <v>0</v>
      </c>
      <c r="N49" s="7" t="s">
        <v>41</v>
      </c>
    </row>
    <row r="50" customFormat="false" ht="15" hidden="false" customHeight="true" outlineLevel="0" collapsed="false">
      <c r="A50" s="22" t="s">
        <v>76</v>
      </c>
      <c r="B50" s="22" t="s">
        <v>75</v>
      </c>
      <c r="C50" s="22" t="s">
        <v>64</v>
      </c>
      <c r="D50" s="22" t="n">
        <v>14</v>
      </c>
      <c r="E50" s="22" t="s">
        <v>15</v>
      </c>
      <c r="F50" s="19"/>
      <c r="G50" s="19"/>
      <c r="H50" s="22" t="n">
        <v>147.84</v>
      </c>
      <c r="I50" s="22" t="n">
        <v>1.208</v>
      </c>
      <c r="J50" s="8" t="n">
        <f aca="false">IF(F50="",H50,F50/1000*G50)</f>
        <v>147.84</v>
      </c>
      <c r="K50" s="8" t="n">
        <f aca="false">ROUND(J50*I50,2)</f>
        <v>178.59</v>
      </c>
      <c r="L50" s="20" t="n">
        <v>178.59</v>
      </c>
      <c r="M50" s="8" t="n">
        <f aca="false">ROUND(K50-L50,2)</f>
        <v>0</v>
      </c>
      <c r="N50" s="7" t="s">
        <v>194</v>
      </c>
    </row>
    <row r="51" customFormat="false" ht="15" hidden="false" customHeight="true" outlineLevel="0" collapsed="false">
      <c r="A51" s="22" t="s">
        <v>76</v>
      </c>
      <c r="B51" s="22" t="s">
        <v>75</v>
      </c>
      <c r="C51" s="22" t="s">
        <v>64</v>
      </c>
      <c r="D51" s="22" t="n">
        <v>8</v>
      </c>
      <c r="E51" s="22" t="s">
        <v>12</v>
      </c>
      <c r="F51" s="22" t="n">
        <v>630</v>
      </c>
      <c r="G51" s="22" t="n">
        <v>113</v>
      </c>
      <c r="H51" s="19"/>
      <c r="I51" s="22" t="n">
        <v>0.395</v>
      </c>
      <c r="J51" s="8" t="n">
        <f aca="false">IF(F51="",H51,F51/1000*G51)</f>
        <v>71.19</v>
      </c>
      <c r="K51" s="8" t="n">
        <f aca="false">ROUND(J51*I51,2)</f>
        <v>28.12</v>
      </c>
      <c r="L51" s="20" t="n">
        <v>28.12</v>
      </c>
      <c r="M51" s="8" t="n">
        <f aca="false">ROUND(K51-L51,2)</f>
        <v>0</v>
      </c>
      <c r="N51" s="7" t="s">
        <v>37</v>
      </c>
    </row>
    <row r="52" customFormat="false" ht="15" hidden="false" customHeight="true" outlineLevel="0" collapsed="false">
      <c r="A52" s="22" t="s">
        <v>77</v>
      </c>
      <c r="B52" s="22" t="s">
        <v>75</v>
      </c>
      <c r="C52" s="22" t="s">
        <v>66</v>
      </c>
      <c r="D52" s="22" t="n">
        <v>14</v>
      </c>
      <c r="E52" s="22" t="s">
        <v>15</v>
      </c>
      <c r="F52" s="22" t="n">
        <v>3350</v>
      </c>
      <c r="G52" s="22" t="n">
        <v>34</v>
      </c>
      <c r="H52" s="19"/>
      <c r="I52" s="22" t="n">
        <v>1.208</v>
      </c>
      <c r="J52" s="8" t="n">
        <f aca="false">IF(F52="",H52,F52/1000*G52)</f>
        <v>113.9</v>
      </c>
      <c r="K52" s="8" t="n">
        <f aca="false">ROUND(J52*I52,2)</f>
        <v>137.59</v>
      </c>
      <c r="L52" s="20" t="n">
        <v>137.59</v>
      </c>
      <c r="M52" s="8" t="n">
        <f aca="false">ROUND(K52-L52,2)</f>
        <v>0</v>
      </c>
      <c r="N52" s="7" t="s">
        <v>41</v>
      </c>
    </row>
    <row r="53" customFormat="false" ht="15" hidden="false" customHeight="true" outlineLevel="0" collapsed="false">
      <c r="A53" s="22" t="s">
        <v>77</v>
      </c>
      <c r="B53" s="22" t="s">
        <v>75</v>
      </c>
      <c r="C53" s="22" t="s">
        <v>66</v>
      </c>
      <c r="D53" s="22" t="n">
        <v>14</v>
      </c>
      <c r="E53" s="22" t="s">
        <v>15</v>
      </c>
      <c r="F53" s="22" t="n">
        <v>2930</v>
      </c>
      <c r="G53" s="22" t="n">
        <v>34</v>
      </c>
      <c r="H53" s="19"/>
      <c r="I53" s="22" t="n">
        <v>1.208</v>
      </c>
      <c r="J53" s="8" t="n">
        <f aca="false">IF(F53="",H53,F53/1000*G53)</f>
        <v>99.62</v>
      </c>
      <c r="K53" s="8" t="n">
        <f aca="false">ROUND(J53*I53,2)</f>
        <v>120.34</v>
      </c>
      <c r="L53" s="20" t="n">
        <v>120.34</v>
      </c>
      <c r="M53" s="8" t="n">
        <f aca="false">ROUND(K53-L53,2)</f>
        <v>0</v>
      </c>
      <c r="N53" s="7" t="s">
        <v>41</v>
      </c>
    </row>
    <row r="54" customFormat="false" ht="15" hidden="false" customHeight="true" outlineLevel="0" collapsed="false">
      <c r="A54" s="22" t="s">
        <v>77</v>
      </c>
      <c r="B54" s="22" t="s">
        <v>75</v>
      </c>
      <c r="C54" s="22" t="s">
        <v>66</v>
      </c>
      <c r="D54" s="22" t="n">
        <v>14</v>
      </c>
      <c r="E54" s="22" t="s">
        <v>15</v>
      </c>
      <c r="F54" s="22" t="n">
        <v>2480</v>
      </c>
      <c r="G54" s="22" t="n">
        <v>16</v>
      </c>
      <c r="H54" s="19"/>
      <c r="I54" s="22" t="n">
        <v>1.208</v>
      </c>
      <c r="J54" s="8" t="n">
        <f aca="false">IF(F54="",H54,F54/1000*G54)</f>
        <v>39.68</v>
      </c>
      <c r="K54" s="8" t="n">
        <f aca="false">ROUND(J54*I54,2)</f>
        <v>47.93</v>
      </c>
      <c r="L54" s="20" t="n">
        <v>47.93</v>
      </c>
      <c r="M54" s="8" t="n">
        <f aca="false">ROUND(K54-L54,2)</f>
        <v>0</v>
      </c>
      <c r="N54" s="7" t="s">
        <v>41</v>
      </c>
    </row>
    <row r="55" customFormat="false" ht="15" hidden="false" customHeight="true" outlineLevel="0" collapsed="false">
      <c r="A55" s="22" t="s">
        <v>77</v>
      </c>
      <c r="B55" s="22" t="s">
        <v>75</v>
      </c>
      <c r="C55" s="22" t="s">
        <v>66</v>
      </c>
      <c r="D55" s="22" t="n">
        <v>14</v>
      </c>
      <c r="E55" s="22" t="s">
        <v>15</v>
      </c>
      <c r="F55" s="19"/>
      <c r="G55" s="19"/>
      <c r="H55" s="22" t="n">
        <v>194.92</v>
      </c>
      <c r="I55" s="22" t="n">
        <v>1.208</v>
      </c>
      <c r="J55" s="8" t="n">
        <f aca="false">IF(F55="",H55,F55/1000*G55)</f>
        <v>194.92</v>
      </c>
      <c r="K55" s="8" t="n">
        <f aca="false">ROUND(J55*I55,2)</f>
        <v>235.46</v>
      </c>
      <c r="L55" s="20" t="n">
        <v>281.44</v>
      </c>
      <c r="M55" s="8" t="n">
        <f aca="false">ROUND(K55-L55,2)</f>
        <v>-45.98</v>
      </c>
      <c r="N55" s="7" t="s">
        <v>194</v>
      </c>
    </row>
    <row r="56" customFormat="false" ht="15" hidden="false" customHeight="true" outlineLevel="0" collapsed="false">
      <c r="A56" s="22" t="s">
        <v>77</v>
      </c>
      <c r="B56" s="22" t="s">
        <v>75</v>
      </c>
      <c r="C56" s="22" t="s">
        <v>66</v>
      </c>
      <c r="D56" s="22" t="n">
        <v>8</v>
      </c>
      <c r="E56" s="22" t="s">
        <v>12</v>
      </c>
      <c r="F56" s="22" t="n">
        <v>630</v>
      </c>
      <c r="G56" s="22" t="n">
        <v>152</v>
      </c>
      <c r="H56" s="19"/>
      <c r="I56" s="22" t="n">
        <v>0.395</v>
      </c>
      <c r="J56" s="8" t="n">
        <f aca="false">IF(F56="",H56,F56/1000*G56)</f>
        <v>95.76</v>
      </c>
      <c r="K56" s="8" t="n">
        <f aca="false">ROUND(J56*I56,2)</f>
        <v>37.83</v>
      </c>
      <c r="L56" s="20" t="n">
        <v>37.83</v>
      </c>
      <c r="M56" s="8" t="n">
        <f aca="false">ROUND(K56-L56,2)</f>
        <v>0</v>
      </c>
      <c r="N56" s="7" t="s">
        <v>37</v>
      </c>
    </row>
    <row r="57" customFormat="false" ht="15" hidden="false" customHeight="true" outlineLevel="0" collapsed="false">
      <c r="A57" s="22" t="s">
        <v>77</v>
      </c>
      <c r="B57" s="22" t="s">
        <v>75</v>
      </c>
      <c r="C57" s="22" t="s">
        <v>66</v>
      </c>
      <c r="D57" s="22" t="n">
        <v>16</v>
      </c>
      <c r="E57" s="22" t="s">
        <v>15</v>
      </c>
      <c r="F57" s="22" t="n">
        <v>1970</v>
      </c>
      <c r="G57" s="22" t="n">
        <v>22</v>
      </c>
      <c r="H57" s="19"/>
      <c r="I57" s="22" t="n">
        <v>1.578</v>
      </c>
      <c r="J57" s="8" t="n">
        <f aca="false">IF(F57="",H57,F57/1000*G57)</f>
        <v>43.34</v>
      </c>
      <c r="K57" s="8" t="n">
        <f aca="false">ROUND(J57*I57,2)</f>
        <v>68.39</v>
      </c>
      <c r="L57" s="20" t="n">
        <v>68.39</v>
      </c>
      <c r="M57" s="8" t="n">
        <f aca="false">ROUND(K57-L57,2)</f>
        <v>0</v>
      </c>
      <c r="N57" s="7" t="s">
        <v>42</v>
      </c>
    </row>
    <row r="58" customFormat="false" ht="15" hidden="false" customHeight="true" outlineLevel="0" collapsed="false">
      <c r="A58" s="22" t="s">
        <v>78</v>
      </c>
      <c r="B58" s="22" t="s">
        <v>75</v>
      </c>
      <c r="C58" s="22" t="s">
        <v>68</v>
      </c>
      <c r="D58" s="22" t="n">
        <v>14</v>
      </c>
      <c r="E58" s="22" t="s">
        <v>15</v>
      </c>
      <c r="F58" s="22" t="n">
        <v>3350</v>
      </c>
      <c r="G58" s="22" t="n">
        <v>32</v>
      </c>
      <c r="H58" s="19"/>
      <c r="I58" s="22" t="n">
        <v>1.208</v>
      </c>
      <c r="J58" s="8" t="n">
        <f aca="false">IF(F58="",H58,F58/1000*G58)</f>
        <v>107.2</v>
      </c>
      <c r="K58" s="8" t="n">
        <f aca="false">ROUND(J58*I58,2)</f>
        <v>129.5</v>
      </c>
      <c r="L58" s="20" t="n">
        <v>129.5</v>
      </c>
      <c r="M58" s="8" t="n">
        <f aca="false">ROUND(K58-L58,2)</f>
        <v>0</v>
      </c>
      <c r="N58" s="7" t="s">
        <v>41</v>
      </c>
    </row>
    <row r="59" customFormat="false" ht="15" hidden="false" customHeight="true" outlineLevel="0" collapsed="false">
      <c r="A59" s="22" t="s">
        <v>78</v>
      </c>
      <c r="B59" s="22" t="s">
        <v>75</v>
      </c>
      <c r="C59" s="22" t="s">
        <v>68</v>
      </c>
      <c r="D59" s="22" t="n">
        <v>14</v>
      </c>
      <c r="E59" s="22" t="s">
        <v>15</v>
      </c>
      <c r="F59" s="22" t="n">
        <v>2930</v>
      </c>
      <c r="G59" s="22" t="n">
        <v>34</v>
      </c>
      <c r="H59" s="19"/>
      <c r="I59" s="22" t="n">
        <v>1.208</v>
      </c>
      <c r="J59" s="8" t="n">
        <f aca="false">IF(F59="",H59,F59/1000*G59)</f>
        <v>99.62</v>
      </c>
      <c r="K59" s="8" t="n">
        <f aca="false">ROUND(J59*I59,2)</f>
        <v>120.34</v>
      </c>
      <c r="L59" s="20" t="n">
        <v>120.34</v>
      </c>
      <c r="M59" s="8" t="n">
        <f aca="false">ROUND(K59-L59,2)</f>
        <v>0</v>
      </c>
      <c r="N59" s="7" t="s">
        <v>41</v>
      </c>
    </row>
    <row r="60" customFormat="false" ht="15" hidden="false" customHeight="true" outlineLevel="0" collapsed="false">
      <c r="A60" s="22" t="s">
        <v>78</v>
      </c>
      <c r="B60" s="22" t="s">
        <v>75</v>
      </c>
      <c r="C60" s="22" t="s">
        <v>68</v>
      </c>
      <c r="D60" s="22" t="n">
        <v>14</v>
      </c>
      <c r="E60" s="22" t="s">
        <v>15</v>
      </c>
      <c r="F60" s="22" t="n">
        <v>2480</v>
      </c>
      <c r="G60" s="22" t="n">
        <v>42</v>
      </c>
      <c r="H60" s="19"/>
      <c r="I60" s="22" t="n">
        <v>1.208</v>
      </c>
      <c r="J60" s="8" t="n">
        <f aca="false">IF(F60="",H60,F60/1000*G60)</f>
        <v>104.16</v>
      </c>
      <c r="K60" s="8" t="n">
        <f aca="false">ROUND(J60*I60,2)</f>
        <v>125.83</v>
      </c>
      <c r="L60" s="20" t="n">
        <v>125.83</v>
      </c>
      <c r="M60" s="8" t="n">
        <f aca="false">ROUND(K60-L60,2)</f>
        <v>0</v>
      </c>
      <c r="N60" s="7" t="s">
        <v>41</v>
      </c>
    </row>
    <row r="61" customFormat="false" ht="15" hidden="false" customHeight="true" outlineLevel="0" collapsed="false">
      <c r="A61" s="22" t="s">
        <v>78</v>
      </c>
      <c r="B61" s="22" t="s">
        <v>75</v>
      </c>
      <c r="C61" s="22" t="s">
        <v>68</v>
      </c>
      <c r="D61" s="22" t="n">
        <v>14</v>
      </c>
      <c r="E61" s="22" t="s">
        <v>15</v>
      </c>
      <c r="F61" s="19"/>
      <c r="G61" s="19"/>
      <c r="H61" s="22" t="n">
        <v>255.33</v>
      </c>
      <c r="I61" s="22" t="n">
        <v>1.208</v>
      </c>
      <c r="J61" s="8" t="n">
        <f aca="false">IF(F61="",H61,F61/1000*G61)</f>
        <v>255.33</v>
      </c>
      <c r="K61" s="8" t="n">
        <f aca="false">ROUND(J61*I61,2)</f>
        <v>308.44</v>
      </c>
      <c r="L61" s="20" t="n">
        <v>308.44</v>
      </c>
      <c r="M61" s="8" t="n">
        <f aca="false">ROUND(K61-L61,2)</f>
        <v>0</v>
      </c>
      <c r="N61" s="7" t="s">
        <v>194</v>
      </c>
    </row>
    <row r="62" customFormat="false" ht="15" hidden="false" customHeight="true" outlineLevel="0" collapsed="false">
      <c r="A62" s="22" t="s">
        <v>78</v>
      </c>
      <c r="B62" s="22" t="s">
        <v>75</v>
      </c>
      <c r="C62" s="22" t="s">
        <v>68</v>
      </c>
      <c r="D62" s="22" t="n">
        <v>8</v>
      </c>
      <c r="E62" s="22" t="s">
        <v>12</v>
      </c>
      <c r="F62" s="22" t="n">
        <v>630</v>
      </c>
      <c r="G62" s="22" t="n">
        <v>216</v>
      </c>
      <c r="H62" s="19"/>
      <c r="I62" s="22" t="n">
        <v>0.395</v>
      </c>
      <c r="J62" s="8" t="n">
        <f aca="false">IF(F62="",H62,F62/1000*G62)</f>
        <v>136.08</v>
      </c>
      <c r="K62" s="8" t="n">
        <f aca="false">ROUND(J62*I62,2)</f>
        <v>53.75</v>
      </c>
      <c r="L62" s="20" t="n">
        <v>53.75</v>
      </c>
      <c r="M62" s="8" t="n">
        <f aca="false">ROUND(K62-L62,2)</f>
        <v>0</v>
      </c>
      <c r="N62" s="7" t="s">
        <v>37</v>
      </c>
    </row>
    <row r="63" customFormat="false" ht="15" hidden="false" customHeight="true" outlineLevel="0" collapsed="false">
      <c r="A63" s="22" t="s">
        <v>78</v>
      </c>
      <c r="B63" s="22" t="s">
        <v>75</v>
      </c>
      <c r="C63" s="22" t="s">
        <v>68</v>
      </c>
      <c r="D63" s="22" t="n">
        <v>16</v>
      </c>
      <c r="E63" s="22" t="s">
        <v>15</v>
      </c>
      <c r="F63" s="22" t="n">
        <v>1970</v>
      </c>
      <c r="G63" s="22" t="n">
        <v>44</v>
      </c>
      <c r="H63" s="19"/>
      <c r="I63" s="22" t="n">
        <v>1.578</v>
      </c>
      <c r="J63" s="8" t="n">
        <f aca="false">IF(F63="",H63,F63/1000*G63)</f>
        <v>86.68</v>
      </c>
      <c r="K63" s="8" t="n">
        <f aca="false">ROUND(J63*I63,2)</f>
        <v>136.78</v>
      </c>
      <c r="L63" s="20" t="n">
        <v>136.78</v>
      </c>
      <c r="M63" s="8" t="n">
        <f aca="false">ROUND(K63-L63,2)</f>
        <v>0</v>
      </c>
      <c r="N63" s="7" t="s">
        <v>42</v>
      </c>
    </row>
    <row r="64" customFormat="false" ht="15" hidden="false" customHeight="true" outlineLevel="0" collapsed="false">
      <c r="A64" s="22" t="s">
        <v>79</v>
      </c>
      <c r="B64" s="22" t="s">
        <v>80</v>
      </c>
      <c r="C64" s="22" t="s">
        <v>62</v>
      </c>
      <c r="D64" s="22" t="n">
        <v>14</v>
      </c>
      <c r="E64" s="22" t="s">
        <v>15</v>
      </c>
      <c r="F64" s="22" t="n">
        <v>3350</v>
      </c>
      <c r="G64" s="22" t="n">
        <v>23</v>
      </c>
      <c r="H64" s="19"/>
      <c r="I64" s="22" t="n">
        <v>1.208</v>
      </c>
      <c r="J64" s="8" t="n">
        <f aca="false">IF(F64="",H64,F64/1000*G64)</f>
        <v>77.05</v>
      </c>
      <c r="K64" s="8" t="n">
        <f aca="false">ROUND(J64*I64,2)</f>
        <v>93.08</v>
      </c>
      <c r="L64" s="20" t="n">
        <v>93.08</v>
      </c>
      <c r="M64" s="8" t="n">
        <f aca="false">ROUND(K64-L64,2)</f>
        <v>0</v>
      </c>
      <c r="N64" s="7" t="s">
        <v>41</v>
      </c>
    </row>
    <row r="65" customFormat="false" ht="15" hidden="false" customHeight="true" outlineLevel="0" collapsed="false">
      <c r="A65" s="22" t="s">
        <v>79</v>
      </c>
      <c r="B65" s="22" t="s">
        <v>80</v>
      </c>
      <c r="C65" s="22" t="s">
        <v>62</v>
      </c>
      <c r="D65" s="22" t="n">
        <v>14</v>
      </c>
      <c r="E65" s="22" t="s">
        <v>15</v>
      </c>
      <c r="F65" s="22" t="n">
        <v>2930</v>
      </c>
      <c r="G65" s="22" t="n">
        <v>23</v>
      </c>
      <c r="H65" s="19"/>
      <c r="I65" s="22" t="n">
        <v>1.208</v>
      </c>
      <c r="J65" s="8" t="n">
        <f aca="false">IF(F65="",H65,F65/1000*G65)</f>
        <v>67.39</v>
      </c>
      <c r="K65" s="8" t="n">
        <f aca="false">ROUND(J65*I65,2)</f>
        <v>81.41</v>
      </c>
      <c r="L65" s="20" t="n">
        <v>81.41</v>
      </c>
      <c r="M65" s="8" t="n">
        <f aca="false">ROUND(K65-L65,2)</f>
        <v>0</v>
      </c>
      <c r="N65" s="7" t="s">
        <v>41</v>
      </c>
    </row>
    <row r="66" customFormat="false" ht="15" hidden="false" customHeight="true" outlineLevel="0" collapsed="false">
      <c r="A66" s="22" t="s">
        <v>79</v>
      </c>
      <c r="B66" s="22" t="s">
        <v>80</v>
      </c>
      <c r="C66" s="22" t="s">
        <v>62</v>
      </c>
      <c r="D66" s="22" t="n">
        <v>14</v>
      </c>
      <c r="E66" s="22" t="s">
        <v>15</v>
      </c>
      <c r="F66" s="19"/>
      <c r="G66" s="19"/>
      <c r="H66" s="22" t="n">
        <v>128.96</v>
      </c>
      <c r="I66" s="22" t="n">
        <v>1.208</v>
      </c>
      <c r="J66" s="8" t="n">
        <f aca="false">IF(F66="",H66,F66/1000*G66)</f>
        <v>128.96</v>
      </c>
      <c r="K66" s="8" t="n">
        <f aca="false">ROUND(J66*I66,2)</f>
        <v>155.78</v>
      </c>
      <c r="L66" s="20" t="n">
        <v>155.78</v>
      </c>
      <c r="M66" s="8" t="n">
        <f aca="false">ROUND(K66-L66,2)</f>
        <v>0</v>
      </c>
      <c r="N66" s="7" t="s">
        <v>194</v>
      </c>
    </row>
    <row r="67" customFormat="false" ht="15" hidden="false" customHeight="true" outlineLevel="0" collapsed="false">
      <c r="A67" s="22" t="s">
        <v>79</v>
      </c>
      <c r="B67" s="22" t="s">
        <v>80</v>
      </c>
      <c r="C67" s="22" t="s">
        <v>62</v>
      </c>
      <c r="D67" s="22" t="n">
        <v>8</v>
      </c>
      <c r="E67" s="22" t="s">
        <v>12</v>
      </c>
      <c r="F67" s="22" t="n">
        <v>630</v>
      </c>
      <c r="G67" s="22" t="n">
        <v>94</v>
      </c>
      <c r="H67" s="19"/>
      <c r="I67" s="22" t="n">
        <v>0.395</v>
      </c>
      <c r="J67" s="8" t="n">
        <f aca="false">IF(F67="",H67,F67/1000*G67)</f>
        <v>59.22</v>
      </c>
      <c r="K67" s="8" t="n">
        <f aca="false">ROUND(J67*I67,2)</f>
        <v>23.39</v>
      </c>
      <c r="L67" s="20" t="n">
        <v>23.39</v>
      </c>
      <c r="M67" s="8" t="n">
        <f aca="false">ROUND(K67-L67,2)</f>
        <v>0</v>
      </c>
      <c r="N67" s="7" t="s">
        <v>37</v>
      </c>
    </row>
    <row r="68" customFormat="false" ht="15" hidden="false" customHeight="true" outlineLevel="0" collapsed="false">
      <c r="A68" s="22" t="s">
        <v>81</v>
      </c>
      <c r="B68" s="22" t="s">
        <v>80</v>
      </c>
      <c r="C68" s="22" t="s">
        <v>64</v>
      </c>
      <c r="D68" s="22" t="n">
        <v>14</v>
      </c>
      <c r="E68" s="22" t="s">
        <v>15</v>
      </c>
      <c r="F68" s="22" t="n">
        <v>3350</v>
      </c>
      <c r="G68" s="22" t="n">
        <v>28</v>
      </c>
      <c r="H68" s="19"/>
      <c r="I68" s="22" t="n">
        <v>1.208</v>
      </c>
      <c r="J68" s="8" t="n">
        <f aca="false">IF(F68="",H68,F68/1000*G68)</f>
        <v>93.8</v>
      </c>
      <c r="K68" s="8" t="n">
        <f aca="false">ROUND(J68*I68,2)</f>
        <v>113.31</v>
      </c>
      <c r="L68" s="20" t="n">
        <v>113.31</v>
      </c>
      <c r="M68" s="8" t="n">
        <f aca="false">ROUND(K68-L68,2)</f>
        <v>0</v>
      </c>
      <c r="N68" s="7" t="s">
        <v>41</v>
      </c>
    </row>
    <row r="69" customFormat="false" ht="15" hidden="false" customHeight="true" outlineLevel="0" collapsed="false">
      <c r="A69" s="22" t="s">
        <v>81</v>
      </c>
      <c r="B69" s="22" t="s">
        <v>80</v>
      </c>
      <c r="C69" s="22" t="s">
        <v>64</v>
      </c>
      <c r="D69" s="22" t="n">
        <v>14</v>
      </c>
      <c r="E69" s="22" t="s">
        <v>15</v>
      </c>
      <c r="F69" s="22" t="n">
        <v>2930</v>
      </c>
      <c r="G69" s="22" t="n">
        <v>28</v>
      </c>
      <c r="H69" s="19"/>
      <c r="I69" s="22" t="n">
        <v>1.208</v>
      </c>
      <c r="J69" s="8" t="n">
        <f aca="false">IF(F69="",H69,F69/1000*G69)</f>
        <v>82.04</v>
      </c>
      <c r="K69" s="8" t="n">
        <f aca="false">ROUND(J69*I69,2)</f>
        <v>99.1</v>
      </c>
      <c r="L69" s="20" t="n">
        <v>99.1</v>
      </c>
      <c r="M69" s="8" t="n">
        <f aca="false">ROUND(K69-L69,2)</f>
        <v>0</v>
      </c>
      <c r="N69" s="7" t="s">
        <v>41</v>
      </c>
    </row>
    <row r="70" customFormat="false" ht="15" hidden="false" customHeight="true" outlineLevel="0" collapsed="false">
      <c r="A70" s="22" t="s">
        <v>81</v>
      </c>
      <c r="B70" s="22" t="s">
        <v>80</v>
      </c>
      <c r="C70" s="22" t="s">
        <v>64</v>
      </c>
      <c r="D70" s="22" t="n">
        <v>14</v>
      </c>
      <c r="E70" s="22" t="s">
        <v>15</v>
      </c>
      <c r="F70" s="19"/>
      <c r="G70" s="19"/>
      <c r="H70" s="22" t="n">
        <v>145.42</v>
      </c>
      <c r="I70" s="22" t="n">
        <v>1.208</v>
      </c>
      <c r="J70" s="8" t="n">
        <f aca="false">IF(F70="",H70,F70/1000*G70)</f>
        <v>145.42</v>
      </c>
      <c r="K70" s="8" t="n">
        <f aca="false">ROUND(J70*I70,2)</f>
        <v>175.67</v>
      </c>
      <c r="L70" s="20" t="n">
        <v>175.67</v>
      </c>
      <c r="M70" s="8" t="n">
        <f aca="false">ROUND(K70-L70,2)</f>
        <v>0</v>
      </c>
      <c r="N70" s="7" t="s">
        <v>194</v>
      </c>
    </row>
    <row r="71" customFormat="false" ht="15" hidden="false" customHeight="true" outlineLevel="0" collapsed="false">
      <c r="A71" s="22" t="s">
        <v>81</v>
      </c>
      <c r="B71" s="22" t="s">
        <v>80</v>
      </c>
      <c r="C71" s="22" t="s">
        <v>64</v>
      </c>
      <c r="D71" s="22" t="n">
        <v>8</v>
      </c>
      <c r="E71" s="22" t="s">
        <v>12</v>
      </c>
      <c r="F71" s="22" t="n">
        <v>630</v>
      </c>
      <c r="G71" s="22" t="n">
        <v>113</v>
      </c>
      <c r="H71" s="19"/>
      <c r="I71" s="22" t="n">
        <v>0.395</v>
      </c>
      <c r="J71" s="8" t="n">
        <f aca="false">IF(F71="",H71,F71/1000*G71)</f>
        <v>71.19</v>
      </c>
      <c r="K71" s="8" t="n">
        <f aca="false">ROUND(J71*I71,2)</f>
        <v>28.12</v>
      </c>
      <c r="L71" s="20" t="n">
        <v>28.12</v>
      </c>
      <c r="M71" s="8" t="n">
        <f aca="false">ROUND(K71-L71,2)</f>
        <v>0</v>
      </c>
      <c r="N71" s="7" t="s">
        <v>37</v>
      </c>
    </row>
    <row r="72" customFormat="false" ht="15" hidden="false" customHeight="true" outlineLevel="0" collapsed="false">
      <c r="A72" s="22" t="s">
        <v>82</v>
      </c>
      <c r="B72" s="22" t="s">
        <v>80</v>
      </c>
      <c r="C72" s="22" t="s">
        <v>66</v>
      </c>
      <c r="D72" s="22" t="n">
        <v>14</v>
      </c>
      <c r="E72" s="22" t="s">
        <v>15</v>
      </c>
      <c r="F72" s="22" t="n">
        <v>3350</v>
      </c>
      <c r="G72" s="22" t="n">
        <v>34</v>
      </c>
      <c r="H72" s="19"/>
      <c r="I72" s="22" t="n">
        <v>1.208</v>
      </c>
      <c r="J72" s="8" t="n">
        <f aca="false">IF(F72="",H72,F72/1000*G72)</f>
        <v>113.9</v>
      </c>
      <c r="K72" s="8" t="n">
        <f aca="false">ROUND(J72*I72,2)</f>
        <v>137.59</v>
      </c>
      <c r="L72" s="20" t="n">
        <v>137.59</v>
      </c>
      <c r="M72" s="8" t="n">
        <f aca="false">ROUND(K72-L72,2)</f>
        <v>0</v>
      </c>
      <c r="N72" s="7" t="s">
        <v>41</v>
      </c>
    </row>
    <row r="73" customFormat="false" ht="15" hidden="false" customHeight="true" outlineLevel="0" collapsed="false">
      <c r="A73" s="22" t="s">
        <v>82</v>
      </c>
      <c r="B73" s="22" t="s">
        <v>80</v>
      </c>
      <c r="C73" s="22" t="s">
        <v>66</v>
      </c>
      <c r="D73" s="22" t="n">
        <v>14</v>
      </c>
      <c r="E73" s="22" t="s">
        <v>15</v>
      </c>
      <c r="F73" s="22" t="n">
        <v>2930</v>
      </c>
      <c r="G73" s="22" t="n">
        <v>34</v>
      </c>
      <c r="H73" s="19"/>
      <c r="I73" s="22" t="n">
        <v>1.208</v>
      </c>
      <c r="J73" s="8" t="n">
        <f aca="false">IF(F73="",H73,F73/1000*G73)</f>
        <v>99.62</v>
      </c>
      <c r="K73" s="8" t="n">
        <f aca="false">ROUND(J73*I73,2)</f>
        <v>120.34</v>
      </c>
      <c r="L73" s="20" t="n">
        <v>120.34</v>
      </c>
      <c r="M73" s="8" t="n">
        <f aca="false">ROUND(K73-L73,2)</f>
        <v>0</v>
      </c>
      <c r="N73" s="7" t="s">
        <v>41</v>
      </c>
    </row>
    <row r="74" customFormat="false" ht="15" hidden="false" customHeight="true" outlineLevel="0" collapsed="false">
      <c r="A74" s="22" t="s">
        <v>82</v>
      </c>
      <c r="B74" s="22" t="s">
        <v>80</v>
      </c>
      <c r="C74" s="22" t="s">
        <v>66</v>
      </c>
      <c r="D74" s="22" t="n">
        <v>14</v>
      </c>
      <c r="E74" s="22" t="s">
        <v>15</v>
      </c>
      <c r="F74" s="22" t="n">
        <v>2480</v>
      </c>
      <c r="G74" s="22" t="n">
        <v>16</v>
      </c>
      <c r="H74" s="19"/>
      <c r="I74" s="22" t="n">
        <v>1.208</v>
      </c>
      <c r="J74" s="8" t="n">
        <f aca="false">IF(F74="",H74,F74/1000*G74)</f>
        <v>39.68</v>
      </c>
      <c r="K74" s="8" t="n">
        <f aca="false">ROUND(J74*I74,2)</f>
        <v>47.93</v>
      </c>
      <c r="L74" s="20" t="n">
        <v>47.93</v>
      </c>
      <c r="M74" s="8" t="n">
        <f aca="false">ROUND(K74-L74,2)</f>
        <v>0</v>
      </c>
      <c r="N74" s="7" t="s">
        <v>41</v>
      </c>
    </row>
    <row r="75" customFormat="false" ht="15" hidden="false" customHeight="true" outlineLevel="0" collapsed="false">
      <c r="A75" s="22" t="s">
        <v>82</v>
      </c>
      <c r="B75" s="22" t="s">
        <v>80</v>
      </c>
      <c r="C75" s="22" t="s">
        <v>66</v>
      </c>
      <c r="D75" s="22" t="n">
        <v>14</v>
      </c>
      <c r="E75" s="22" t="s">
        <v>15</v>
      </c>
      <c r="F75" s="19"/>
      <c r="G75" s="19"/>
      <c r="H75" s="22" t="n">
        <v>194.92</v>
      </c>
      <c r="I75" s="22" t="n">
        <v>1.208</v>
      </c>
      <c r="J75" s="8" t="n">
        <f aca="false">IF(F75="",H75,F75/1000*G75)</f>
        <v>194.92</v>
      </c>
      <c r="K75" s="8" t="n">
        <f aca="false">ROUND(J75*I75,2)</f>
        <v>235.46</v>
      </c>
      <c r="L75" s="20" t="n">
        <v>235.46</v>
      </c>
      <c r="M75" s="8" t="n">
        <f aca="false">ROUND(K75-L75,2)</f>
        <v>0</v>
      </c>
      <c r="N75" s="7" t="s">
        <v>194</v>
      </c>
    </row>
    <row r="76" customFormat="false" ht="15" hidden="false" customHeight="true" outlineLevel="0" collapsed="false">
      <c r="A76" s="22" t="s">
        <v>82</v>
      </c>
      <c r="B76" s="22" t="s">
        <v>80</v>
      </c>
      <c r="C76" s="22" t="s">
        <v>66</v>
      </c>
      <c r="D76" s="22" t="n">
        <v>8</v>
      </c>
      <c r="E76" s="22" t="s">
        <v>12</v>
      </c>
      <c r="F76" s="22" t="n">
        <v>630</v>
      </c>
      <c r="G76" s="22" t="n">
        <v>152</v>
      </c>
      <c r="H76" s="19"/>
      <c r="I76" s="22" t="n">
        <v>0.395</v>
      </c>
      <c r="J76" s="8" t="n">
        <f aca="false">IF(F76="",H76,F76/1000*G76)</f>
        <v>95.76</v>
      </c>
      <c r="K76" s="8" t="n">
        <f aca="false">ROUND(J76*I76,2)</f>
        <v>37.83</v>
      </c>
      <c r="L76" s="20" t="n">
        <v>37.83</v>
      </c>
      <c r="M76" s="8" t="n">
        <f aca="false">ROUND(K76-L76,2)</f>
        <v>0</v>
      </c>
      <c r="N76" s="7" t="s">
        <v>37</v>
      </c>
    </row>
    <row r="77" customFormat="false" ht="15" hidden="false" customHeight="true" outlineLevel="0" collapsed="false">
      <c r="A77" s="22" t="s">
        <v>82</v>
      </c>
      <c r="B77" s="22" t="s">
        <v>80</v>
      </c>
      <c r="C77" s="22" t="s">
        <v>66</v>
      </c>
      <c r="D77" s="22" t="n">
        <v>16</v>
      </c>
      <c r="E77" s="22" t="s">
        <v>15</v>
      </c>
      <c r="F77" s="22" t="n">
        <v>1970</v>
      </c>
      <c r="G77" s="22" t="n">
        <v>22</v>
      </c>
      <c r="H77" s="19"/>
      <c r="I77" s="22" t="n">
        <v>1.578</v>
      </c>
      <c r="J77" s="8" t="n">
        <f aca="false">IF(F77="",H77,F77/1000*G77)</f>
        <v>43.34</v>
      </c>
      <c r="K77" s="8" t="n">
        <f aca="false">ROUND(J77*I77,2)</f>
        <v>68.39</v>
      </c>
      <c r="L77" s="20" t="n">
        <v>68.39</v>
      </c>
      <c r="M77" s="8" t="n">
        <f aca="false">ROUND(K77-L77,2)</f>
        <v>0</v>
      </c>
      <c r="N77" s="7" t="s">
        <v>42</v>
      </c>
    </row>
    <row r="78" customFormat="false" ht="15" hidden="false" customHeight="true" outlineLevel="0" collapsed="false">
      <c r="A78" s="22" t="s">
        <v>83</v>
      </c>
      <c r="B78" s="22" t="s">
        <v>80</v>
      </c>
      <c r="C78" s="22" t="s">
        <v>68</v>
      </c>
      <c r="D78" s="22" t="n">
        <v>14</v>
      </c>
      <c r="E78" s="22" t="s">
        <v>15</v>
      </c>
      <c r="F78" s="22" t="n">
        <v>3350</v>
      </c>
      <c r="G78" s="22" t="n">
        <v>21</v>
      </c>
      <c r="H78" s="19"/>
      <c r="I78" s="22" t="n">
        <v>1.208</v>
      </c>
      <c r="J78" s="8" t="n">
        <f aca="false">IF(F78="",H78,F78/1000*G78)</f>
        <v>70.35</v>
      </c>
      <c r="K78" s="8" t="n">
        <f aca="false">ROUND(J78*I78,2)</f>
        <v>84.98</v>
      </c>
      <c r="L78" s="20" t="n">
        <v>84.98</v>
      </c>
      <c r="M78" s="8" t="n">
        <f aca="false">ROUND(K78-L78,2)</f>
        <v>0</v>
      </c>
      <c r="N78" s="7" t="s">
        <v>41</v>
      </c>
    </row>
    <row r="79" customFormat="false" ht="15" hidden="false" customHeight="true" outlineLevel="0" collapsed="false">
      <c r="A79" s="22" t="s">
        <v>83</v>
      </c>
      <c r="B79" s="22" t="s">
        <v>80</v>
      </c>
      <c r="C79" s="22" t="s">
        <v>68</v>
      </c>
      <c r="D79" s="22" t="n">
        <v>14</v>
      </c>
      <c r="E79" s="22" t="s">
        <v>15</v>
      </c>
      <c r="F79" s="22" t="n">
        <v>2930</v>
      </c>
      <c r="G79" s="22" t="n">
        <v>23</v>
      </c>
      <c r="H79" s="19"/>
      <c r="I79" s="22" t="n">
        <v>1.208</v>
      </c>
      <c r="J79" s="8" t="n">
        <f aca="false">IF(F79="",H79,F79/1000*G79)</f>
        <v>67.39</v>
      </c>
      <c r="K79" s="8" t="n">
        <f aca="false">ROUND(J79*I79,2)</f>
        <v>81.41</v>
      </c>
      <c r="L79" s="20" t="n">
        <v>81.41</v>
      </c>
      <c r="M79" s="8" t="n">
        <f aca="false">ROUND(K79-L79,2)</f>
        <v>0</v>
      </c>
      <c r="N79" s="7" t="s">
        <v>41</v>
      </c>
    </row>
    <row r="80" customFormat="false" ht="15" hidden="false" customHeight="true" outlineLevel="0" collapsed="false">
      <c r="A80" s="22" t="s">
        <v>83</v>
      </c>
      <c r="B80" s="22" t="s">
        <v>80</v>
      </c>
      <c r="C80" s="22" t="s">
        <v>68</v>
      </c>
      <c r="D80" s="22" t="n">
        <v>14</v>
      </c>
      <c r="E80" s="22" t="s">
        <v>15</v>
      </c>
      <c r="F80" s="22" t="n">
        <v>2480</v>
      </c>
      <c r="G80" s="22" t="n">
        <v>64</v>
      </c>
      <c r="H80" s="19"/>
      <c r="I80" s="22" t="n">
        <v>1.208</v>
      </c>
      <c r="J80" s="8" t="n">
        <f aca="false">IF(F80="",H80,F80/1000*G80)</f>
        <v>158.72</v>
      </c>
      <c r="K80" s="8" t="n">
        <f aca="false">ROUND(J80*I80,2)</f>
        <v>191.73</v>
      </c>
      <c r="L80" s="20" t="n">
        <v>191.73</v>
      </c>
      <c r="M80" s="8" t="n">
        <f aca="false">ROUND(K80-L80,2)</f>
        <v>0</v>
      </c>
      <c r="N80" s="7" t="s">
        <v>41</v>
      </c>
    </row>
    <row r="81" customFormat="false" ht="15" hidden="false" customHeight="true" outlineLevel="0" collapsed="false">
      <c r="A81" s="22" t="s">
        <v>83</v>
      </c>
      <c r="B81" s="22" t="s">
        <v>80</v>
      </c>
      <c r="C81" s="22" t="s">
        <v>68</v>
      </c>
      <c r="D81" s="22" t="n">
        <v>14</v>
      </c>
      <c r="E81" s="22" t="s">
        <v>15</v>
      </c>
      <c r="F81" s="19"/>
      <c r="G81" s="19"/>
      <c r="H81" s="22" t="n">
        <v>258.08</v>
      </c>
      <c r="I81" s="22" t="n">
        <v>1.208</v>
      </c>
      <c r="J81" s="8" t="n">
        <f aca="false">IF(F81="",H81,F81/1000*G81)</f>
        <v>258.08</v>
      </c>
      <c r="K81" s="8" t="n">
        <f aca="false">ROUND(J81*I81,2)</f>
        <v>311.76</v>
      </c>
      <c r="L81" s="20" t="n">
        <v>311.76</v>
      </c>
      <c r="M81" s="8" t="n">
        <f aca="false">ROUND(K81-L81,2)</f>
        <v>0</v>
      </c>
      <c r="N81" s="7" t="s">
        <v>194</v>
      </c>
    </row>
    <row r="82" customFormat="false" ht="15" hidden="false" customHeight="true" outlineLevel="0" collapsed="false">
      <c r="A82" s="22" t="s">
        <v>83</v>
      </c>
      <c r="B82" s="22" t="s">
        <v>80</v>
      </c>
      <c r="C82" s="22" t="s">
        <v>68</v>
      </c>
      <c r="D82" s="22" t="n">
        <v>8</v>
      </c>
      <c r="E82" s="22" t="s">
        <v>12</v>
      </c>
      <c r="F82" s="22" t="n">
        <v>630</v>
      </c>
      <c r="G82" s="22" t="n">
        <v>216</v>
      </c>
      <c r="H82" s="19"/>
      <c r="I82" s="22" t="n">
        <v>0.395</v>
      </c>
      <c r="J82" s="8" t="n">
        <f aca="false">IF(F82="",H82,F82/1000*G82)</f>
        <v>136.08</v>
      </c>
      <c r="K82" s="8" t="n">
        <f aca="false">ROUND(J82*I82,2)</f>
        <v>53.75</v>
      </c>
      <c r="L82" s="20" t="n">
        <v>53.75</v>
      </c>
      <c r="M82" s="8" t="n">
        <f aca="false">ROUND(K82-L82,2)</f>
        <v>0</v>
      </c>
      <c r="N82" s="7" t="s">
        <v>37</v>
      </c>
    </row>
    <row r="83" customFormat="false" ht="15" hidden="false" customHeight="true" outlineLevel="0" collapsed="false">
      <c r="A83" s="22" t="s">
        <v>83</v>
      </c>
      <c r="B83" s="22" t="s">
        <v>80</v>
      </c>
      <c r="C83" s="22" t="s">
        <v>68</v>
      </c>
      <c r="D83" s="22" t="n">
        <v>16</v>
      </c>
      <c r="E83" s="22" t="s">
        <v>15</v>
      </c>
      <c r="F83" s="22" t="n">
        <v>1970</v>
      </c>
      <c r="G83" s="22" t="n">
        <v>22</v>
      </c>
      <c r="H83" s="19"/>
      <c r="I83" s="22" t="n">
        <v>1.578</v>
      </c>
      <c r="J83" s="8" t="n">
        <f aca="false">IF(F83="",H83,F83/1000*G83)</f>
        <v>43.34</v>
      </c>
      <c r="K83" s="8" t="n">
        <f aca="false">ROUND(J83*I83,2)</f>
        <v>68.39</v>
      </c>
      <c r="L83" s="20" t="n">
        <v>68.39</v>
      </c>
      <c r="M83" s="8" t="n">
        <f aca="false">ROUND(K83-L83,2)</f>
        <v>0</v>
      </c>
      <c r="N83" s="7" t="s">
        <v>42</v>
      </c>
    </row>
    <row r="84" customFormat="false" ht="15" hidden="false" customHeight="true" outlineLevel="0" collapsed="false">
      <c r="A84" s="22" t="s">
        <v>84</v>
      </c>
      <c r="B84" s="22" t="s">
        <v>85</v>
      </c>
      <c r="C84" s="22" t="s">
        <v>62</v>
      </c>
      <c r="D84" s="22" t="n">
        <v>14</v>
      </c>
      <c r="E84" s="22" t="s">
        <v>15</v>
      </c>
      <c r="F84" s="22" t="n">
        <v>3350</v>
      </c>
      <c r="G84" s="22" t="n">
        <v>23</v>
      </c>
      <c r="H84" s="19"/>
      <c r="I84" s="22" t="n">
        <v>1.208</v>
      </c>
      <c r="J84" s="8" t="n">
        <f aca="false">IF(F84="",H84,F84/1000*G84)</f>
        <v>77.05</v>
      </c>
      <c r="K84" s="8" t="n">
        <f aca="false">ROUND(J84*I84,2)</f>
        <v>93.08</v>
      </c>
      <c r="L84" s="20" t="n">
        <v>93.08</v>
      </c>
      <c r="M84" s="8" t="n">
        <f aca="false">ROUND(K84-L84,2)</f>
        <v>0</v>
      </c>
      <c r="N84" s="7" t="s">
        <v>41</v>
      </c>
    </row>
    <row r="85" customFormat="false" ht="15" hidden="false" customHeight="true" outlineLevel="0" collapsed="false">
      <c r="A85" s="22" t="s">
        <v>84</v>
      </c>
      <c r="B85" s="22" t="s">
        <v>85</v>
      </c>
      <c r="C85" s="22" t="s">
        <v>62</v>
      </c>
      <c r="D85" s="22" t="n">
        <v>14</v>
      </c>
      <c r="E85" s="22" t="s">
        <v>15</v>
      </c>
      <c r="F85" s="22" t="n">
        <v>2930</v>
      </c>
      <c r="G85" s="22" t="n">
        <v>23</v>
      </c>
      <c r="H85" s="19"/>
      <c r="I85" s="22" t="n">
        <v>1.208</v>
      </c>
      <c r="J85" s="8" t="n">
        <f aca="false">IF(F85="",H85,F85/1000*G85)</f>
        <v>67.39</v>
      </c>
      <c r="K85" s="8" t="n">
        <f aca="false">ROUND(J85*I85,2)</f>
        <v>81.41</v>
      </c>
      <c r="L85" s="20" t="n">
        <v>81.41</v>
      </c>
      <c r="M85" s="8" t="n">
        <f aca="false">ROUND(K85-L85,2)</f>
        <v>0</v>
      </c>
      <c r="N85" s="7" t="s">
        <v>41</v>
      </c>
    </row>
    <row r="86" customFormat="false" ht="15" hidden="false" customHeight="true" outlineLevel="0" collapsed="false">
      <c r="A86" s="22" t="s">
        <v>84</v>
      </c>
      <c r="B86" s="22" t="s">
        <v>85</v>
      </c>
      <c r="C86" s="22" t="s">
        <v>62</v>
      </c>
      <c r="D86" s="22" t="n">
        <v>14</v>
      </c>
      <c r="E86" s="22" t="s">
        <v>15</v>
      </c>
      <c r="F86" s="19"/>
      <c r="G86" s="19"/>
      <c r="H86" s="22" t="n">
        <v>128.96</v>
      </c>
      <c r="I86" s="22" t="n">
        <v>1.208</v>
      </c>
      <c r="J86" s="8" t="n">
        <f aca="false">IF(F86="",H86,F86/1000*G86)</f>
        <v>128.96</v>
      </c>
      <c r="K86" s="8" t="n">
        <f aca="false">ROUND(J86*I86,2)</f>
        <v>155.78</v>
      </c>
      <c r="L86" s="20" t="n">
        <v>155.78</v>
      </c>
      <c r="M86" s="8" t="n">
        <f aca="false">ROUND(K86-L86,2)</f>
        <v>0</v>
      </c>
      <c r="N86" s="7" t="s">
        <v>194</v>
      </c>
    </row>
    <row r="87" customFormat="false" ht="15" hidden="false" customHeight="true" outlineLevel="0" collapsed="false">
      <c r="A87" s="22" t="s">
        <v>84</v>
      </c>
      <c r="B87" s="22" t="s">
        <v>85</v>
      </c>
      <c r="C87" s="22" t="s">
        <v>62</v>
      </c>
      <c r="D87" s="22" t="n">
        <v>8</v>
      </c>
      <c r="E87" s="22" t="s">
        <v>12</v>
      </c>
      <c r="F87" s="22" t="n">
        <v>630</v>
      </c>
      <c r="G87" s="22" t="n">
        <v>94</v>
      </c>
      <c r="H87" s="19"/>
      <c r="I87" s="22" t="n">
        <v>0.395</v>
      </c>
      <c r="J87" s="8" t="n">
        <f aca="false">IF(F87="",H87,F87/1000*G87)</f>
        <v>59.22</v>
      </c>
      <c r="K87" s="8" t="n">
        <f aca="false">ROUND(J87*I87,2)</f>
        <v>23.39</v>
      </c>
      <c r="L87" s="20" t="n">
        <v>23.39</v>
      </c>
      <c r="M87" s="8" t="n">
        <f aca="false">ROUND(K87-L87,2)</f>
        <v>0</v>
      </c>
      <c r="N87" s="7" t="s">
        <v>37</v>
      </c>
    </row>
    <row r="88" customFormat="false" ht="15" hidden="false" customHeight="true" outlineLevel="0" collapsed="false">
      <c r="A88" s="22" t="s">
        <v>86</v>
      </c>
      <c r="B88" s="22" t="s">
        <v>85</v>
      </c>
      <c r="C88" s="22" t="s">
        <v>64</v>
      </c>
      <c r="D88" s="22" t="n">
        <v>14</v>
      </c>
      <c r="E88" s="22" t="s">
        <v>15</v>
      </c>
      <c r="F88" s="22" t="n">
        <v>3350</v>
      </c>
      <c r="G88" s="22" t="n">
        <v>28</v>
      </c>
      <c r="H88" s="19"/>
      <c r="I88" s="22" t="n">
        <v>1.208</v>
      </c>
      <c r="J88" s="8" t="n">
        <f aca="false">IF(F88="",H88,F88/1000*G88)</f>
        <v>93.8</v>
      </c>
      <c r="K88" s="8" t="n">
        <f aca="false">ROUND(J88*I88,2)</f>
        <v>113.31</v>
      </c>
      <c r="L88" s="20" t="n">
        <v>113.31</v>
      </c>
      <c r="M88" s="8" t="n">
        <f aca="false">ROUND(K88-L88,2)</f>
        <v>0</v>
      </c>
      <c r="N88" s="7" t="s">
        <v>41</v>
      </c>
    </row>
    <row r="89" customFormat="false" ht="15" hidden="false" customHeight="true" outlineLevel="0" collapsed="false">
      <c r="A89" s="22" t="s">
        <v>86</v>
      </c>
      <c r="B89" s="22" t="s">
        <v>85</v>
      </c>
      <c r="C89" s="22" t="s">
        <v>64</v>
      </c>
      <c r="D89" s="22" t="n">
        <v>14</v>
      </c>
      <c r="E89" s="22" t="s">
        <v>15</v>
      </c>
      <c r="F89" s="22" t="n">
        <v>2930</v>
      </c>
      <c r="G89" s="22" t="n">
        <v>28</v>
      </c>
      <c r="H89" s="19"/>
      <c r="I89" s="22" t="n">
        <v>1.208</v>
      </c>
      <c r="J89" s="8" t="n">
        <f aca="false">IF(F89="",H89,F89/1000*G89)</f>
        <v>82.04</v>
      </c>
      <c r="K89" s="8" t="n">
        <f aca="false">ROUND(J89*I89,2)</f>
        <v>99.1</v>
      </c>
      <c r="L89" s="20" t="n">
        <v>99.1</v>
      </c>
      <c r="M89" s="8" t="n">
        <f aca="false">ROUND(K89-L89,2)</f>
        <v>0</v>
      </c>
      <c r="N89" s="7" t="s">
        <v>41</v>
      </c>
    </row>
    <row r="90" customFormat="false" ht="15" hidden="false" customHeight="true" outlineLevel="0" collapsed="false">
      <c r="A90" s="22" t="s">
        <v>86</v>
      </c>
      <c r="B90" s="22" t="s">
        <v>85</v>
      </c>
      <c r="C90" s="22" t="s">
        <v>64</v>
      </c>
      <c r="D90" s="22" t="n">
        <v>14</v>
      </c>
      <c r="E90" s="22" t="s">
        <v>15</v>
      </c>
      <c r="F90" s="19"/>
      <c r="G90" s="19"/>
      <c r="H90" s="22" t="n">
        <v>145.42</v>
      </c>
      <c r="I90" s="22" t="n">
        <v>1.208</v>
      </c>
      <c r="J90" s="8" t="n">
        <f aca="false">IF(F90="",H90,F90/1000*G90)</f>
        <v>145.42</v>
      </c>
      <c r="K90" s="8" t="n">
        <f aca="false">ROUND(J90*I90,2)</f>
        <v>175.67</v>
      </c>
      <c r="L90" s="20" t="n">
        <v>175.67</v>
      </c>
      <c r="M90" s="8" t="n">
        <f aca="false">ROUND(K90-L90,2)</f>
        <v>0</v>
      </c>
      <c r="N90" s="7" t="s">
        <v>194</v>
      </c>
    </row>
    <row r="91" customFormat="false" ht="15" hidden="false" customHeight="true" outlineLevel="0" collapsed="false">
      <c r="A91" s="22" t="s">
        <v>86</v>
      </c>
      <c r="B91" s="22" t="s">
        <v>85</v>
      </c>
      <c r="C91" s="22" t="s">
        <v>64</v>
      </c>
      <c r="D91" s="22" t="n">
        <v>8</v>
      </c>
      <c r="E91" s="22" t="s">
        <v>12</v>
      </c>
      <c r="F91" s="22" t="n">
        <v>630</v>
      </c>
      <c r="G91" s="22" t="n">
        <v>113</v>
      </c>
      <c r="H91" s="19"/>
      <c r="I91" s="22" t="n">
        <v>0.395</v>
      </c>
      <c r="J91" s="8" t="n">
        <f aca="false">IF(F91="",H91,F91/1000*G91)</f>
        <v>71.19</v>
      </c>
      <c r="K91" s="8" t="n">
        <f aca="false">ROUND(J91*I91,2)</f>
        <v>28.12</v>
      </c>
      <c r="L91" s="20" t="n">
        <v>28.12</v>
      </c>
      <c r="M91" s="8" t="n">
        <f aca="false">ROUND(K91-L91,2)</f>
        <v>0</v>
      </c>
      <c r="N91" s="7" t="s">
        <v>37</v>
      </c>
    </row>
    <row r="92" customFormat="false" ht="15" hidden="false" customHeight="true" outlineLevel="0" collapsed="false">
      <c r="A92" s="22" t="s">
        <v>87</v>
      </c>
      <c r="B92" s="22" t="s">
        <v>85</v>
      </c>
      <c r="C92" s="22" t="s">
        <v>66</v>
      </c>
      <c r="D92" s="22" t="n">
        <v>14</v>
      </c>
      <c r="E92" s="22" t="s">
        <v>15</v>
      </c>
      <c r="F92" s="22" t="n">
        <v>3350</v>
      </c>
      <c r="G92" s="22" t="n">
        <v>34</v>
      </c>
      <c r="H92" s="19"/>
      <c r="I92" s="22" t="n">
        <v>1.208</v>
      </c>
      <c r="J92" s="8" t="n">
        <f aca="false">IF(F92="",H92,F92/1000*G92)</f>
        <v>113.9</v>
      </c>
      <c r="K92" s="8" t="n">
        <f aca="false">ROUND(J92*I92,2)</f>
        <v>137.59</v>
      </c>
      <c r="L92" s="20" t="n">
        <v>137.59</v>
      </c>
      <c r="M92" s="8" t="n">
        <f aca="false">ROUND(K92-L92,2)</f>
        <v>0</v>
      </c>
      <c r="N92" s="7" t="s">
        <v>41</v>
      </c>
    </row>
    <row r="93" customFormat="false" ht="15" hidden="false" customHeight="true" outlineLevel="0" collapsed="false">
      <c r="A93" s="22" t="s">
        <v>87</v>
      </c>
      <c r="B93" s="22" t="s">
        <v>85</v>
      </c>
      <c r="C93" s="22" t="s">
        <v>66</v>
      </c>
      <c r="D93" s="22" t="n">
        <v>14</v>
      </c>
      <c r="E93" s="22" t="s">
        <v>15</v>
      </c>
      <c r="F93" s="22" t="n">
        <v>2930</v>
      </c>
      <c r="G93" s="22" t="n">
        <v>34</v>
      </c>
      <c r="H93" s="19"/>
      <c r="I93" s="22" t="n">
        <v>1.208</v>
      </c>
      <c r="J93" s="8" t="n">
        <f aca="false">IF(F93="",H93,F93/1000*G93)</f>
        <v>99.62</v>
      </c>
      <c r="K93" s="8" t="n">
        <f aca="false">ROUND(J93*I93,2)</f>
        <v>120.34</v>
      </c>
      <c r="L93" s="20" t="n">
        <v>120.34</v>
      </c>
      <c r="M93" s="8" t="n">
        <f aca="false">ROUND(K93-L93,2)</f>
        <v>0</v>
      </c>
      <c r="N93" s="7" t="s">
        <v>41</v>
      </c>
    </row>
    <row r="94" customFormat="false" ht="15" hidden="false" customHeight="true" outlineLevel="0" collapsed="false">
      <c r="A94" s="22" t="s">
        <v>87</v>
      </c>
      <c r="B94" s="22" t="s">
        <v>85</v>
      </c>
      <c r="C94" s="22" t="s">
        <v>66</v>
      </c>
      <c r="D94" s="22" t="n">
        <v>14</v>
      </c>
      <c r="E94" s="22" t="s">
        <v>15</v>
      </c>
      <c r="F94" s="22" t="n">
        <v>2480</v>
      </c>
      <c r="G94" s="22" t="n">
        <v>16</v>
      </c>
      <c r="H94" s="19"/>
      <c r="I94" s="22" t="n">
        <v>1.208</v>
      </c>
      <c r="J94" s="8" t="n">
        <f aca="false">IF(F94="",H94,F94/1000*G94)</f>
        <v>39.68</v>
      </c>
      <c r="K94" s="8" t="n">
        <f aca="false">ROUND(J94*I94,2)</f>
        <v>47.93</v>
      </c>
      <c r="L94" s="20" t="n">
        <v>47.93</v>
      </c>
      <c r="M94" s="8" t="n">
        <f aca="false">ROUND(K94-L94,2)</f>
        <v>0</v>
      </c>
      <c r="N94" s="7" t="s">
        <v>41</v>
      </c>
    </row>
    <row r="95" customFormat="false" ht="15" hidden="false" customHeight="true" outlineLevel="0" collapsed="false">
      <c r="A95" s="22" t="s">
        <v>87</v>
      </c>
      <c r="B95" s="22" t="s">
        <v>85</v>
      </c>
      <c r="C95" s="22" t="s">
        <v>66</v>
      </c>
      <c r="D95" s="22" t="n">
        <v>14</v>
      </c>
      <c r="E95" s="22" t="s">
        <v>15</v>
      </c>
      <c r="F95" s="19"/>
      <c r="G95" s="19"/>
      <c r="H95" s="22" t="n">
        <v>194.92</v>
      </c>
      <c r="I95" s="22" t="n">
        <v>1.208</v>
      </c>
      <c r="J95" s="8" t="n">
        <f aca="false">IF(F95="",H95,F95/1000*G95)</f>
        <v>194.92</v>
      </c>
      <c r="K95" s="8" t="n">
        <f aca="false">ROUND(J95*I95,2)</f>
        <v>235.46</v>
      </c>
      <c r="L95" s="20" t="n">
        <v>235.46</v>
      </c>
      <c r="M95" s="8" t="n">
        <f aca="false">ROUND(K95-L95,2)</f>
        <v>0</v>
      </c>
      <c r="N95" s="7" t="s">
        <v>194</v>
      </c>
    </row>
    <row r="96" customFormat="false" ht="15" hidden="false" customHeight="true" outlineLevel="0" collapsed="false">
      <c r="A96" s="22" t="s">
        <v>87</v>
      </c>
      <c r="B96" s="22" t="s">
        <v>85</v>
      </c>
      <c r="C96" s="22" t="s">
        <v>66</v>
      </c>
      <c r="D96" s="22" t="n">
        <v>8</v>
      </c>
      <c r="E96" s="22" t="s">
        <v>12</v>
      </c>
      <c r="F96" s="22" t="n">
        <v>630</v>
      </c>
      <c r="G96" s="22" t="n">
        <v>152</v>
      </c>
      <c r="H96" s="19"/>
      <c r="I96" s="22" t="n">
        <v>0.395</v>
      </c>
      <c r="J96" s="8" t="n">
        <f aca="false">IF(F96="",H96,F96/1000*G96)</f>
        <v>95.76</v>
      </c>
      <c r="K96" s="8" t="n">
        <f aca="false">ROUND(J96*I96,2)</f>
        <v>37.83</v>
      </c>
      <c r="L96" s="20" t="n">
        <v>37.83</v>
      </c>
      <c r="M96" s="8" t="n">
        <f aca="false">ROUND(K96-L96,2)</f>
        <v>0</v>
      </c>
      <c r="N96" s="7" t="s">
        <v>37</v>
      </c>
    </row>
    <row r="97" customFormat="false" ht="15" hidden="false" customHeight="true" outlineLevel="0" collapsed="false">
      <c r="A97" s="22" t="s">
        <v>87</v>
      </c>
      <c r="B97" s="22" t="s">
        <v>85</v>
      </c>
      <c r="C97" s="22" t="s">
        <v>66</v>
      </c>
      <c r="D97" s="22" t="n">
        <v>16</v>
      </c>
      <c r="E97" s="22" t="s">
        <v>15</v>
      </c>
      <c r="F97" s="22" t="n">
        <v>1970</v>
      </c>
      <c r="G97" s="22" t="n">
        <v>22</v>
      </c>
      <c r="H97" s="19"/>
      <c r="I97" s="22" t="n">
        <v>1.578</v>
      </c>
      <c r="J97" s="8" t="n">
        <f aca="false">IF(F97="",H97,F97/1000*G97)</f>
        <v>43.34</v>
      </c>
      <c r="K97" s="8" t="n">
        <f aca="false">ROUND(J97*I97,2)</f>
        <v>68.39</v>
      </c>
      <c r="L97" s="20" t="n">
        <v>68.39</v>
      </c>
      <c r="M97" s="8" t="n">
        <f aca="false">ROUND(K97-L97,2)</f>
        <v>0</v>
      </c>
      <c r="N97" s="7" t="s">
        <v>42</v>
      </c>
    </row>
    <row r="98" customFormat="false" ht="15" hidden="false" customHeight="true" outlineLevel="0" collapsed="false">
      <c r="A98" s="22" t="s">
        <v>88</v>
      </c>
      <c r="B98" s="22" t="s">
        <v>85</v>
      </c>
      <c r="C98" s="22" t="s">
        <v>68</v>
      </c>
      <c r="D98" s="22" t="n">
        <v>14</v>
      </c>
      <c r="E98" s="22" t="s">
        <v>15</v>
      </c>
      <c r="F98" s="22" t="n">
        <v>3350</v>
      </c>
      <c r="G98" s="22" t="n">
        <v>21</v>
      </c>
      <c r="H98" s="19"/>
      <c r="I98" s="22" t="n">
        <v>1.208</v>
      </c>
      <c r="J98" s="8" t="n">
        <f aca="false">IF(F98="",H98,F98/1000*G98)</f>
        <v>70.35</v>
      </c>
      <c r="K98" s="8" t="n">
        <f aca="false">ROUND(J98*I98,2)</f>
        <v>84.98</v>
      </c>
      <c r="L98" s="20" t="n">
        <v>84.98</v>
      </c>
      <c r="M98" s="8" t="n">
        <f aca="false">ROUND(K98-L98,2)</f>
        <v>0</v>
      </c>
      <c r="N98" s="7" t="s">
        <v>41</v>
      </c>
    </row>
    <row r="99" customFormat="false" ht="15" hidden="false" customHeight="true" outlineLevel="0" collapsed="false">
      <c r="A99" s="22" t="s">
        <v>88</v>
      </c>
      <c r="B99" s="22" t="s">
        <v>85</v>
      </c>
      <c r="C99" s="22" t="s">
        <v>68</v>
      </c>
      <c r="D99" s="22" t="n">
        <v>14</v>
      </c>
      <c r="E99" s="22" t="s">
        <v>15</v>
      </c>
      <c r="F99" s="22" t="n">
        <v>2930</v>
      </c>
      <c r="G99" s="22" t="n">
        <v>23</v>
      </c>
      <c r="H99" s="19"/>
      <c r="I99" s="22" t="n">
        <v>1.208</v>
      </c>
      <c r="J99" s="8" t="n">
        <f aca="false">IF(F99="",H99,F99/1000*G99)</f>
        <v>67.39</v>
      </c>
      <c r="K99" s="8" t="n">
        <f aca="false">ROUND(J99*I99,2)</f>
        <v>81.41</v>
      </c>
      <c r="L99" s="20" t="n">
        <v>81.41</v>
      </c>
      <c r="M99" s="8" t="n">
        <f aca="false">ROUND(K99-L99,2)</f>
        <v>0</v>
      </c>
      <c r="N99" s="7" t="s">
        <v>41</v>
      </c>
    </row>
    <row r="100" customFormat="false" ht="15" hidden="false" customHeight="true" outlineLevel="0" collapsed="false">
      <c r="A100" s="22" t="s">
        <v>88</v>
      </c>
      <c r="B100" s="22" t="s">
        <v>85</v>
      </c>
      <c r="C100" s="22" t="s">
        <v>68</v>
      </c>
      <c r="D100" s="22" t="n">
        <v>14</v>
      </c>
      <c r="E100" s="22" t="s">
        <v>15</v>
      </c>
      <c r="F100" s="22" t="n">
        <v>2480</v>
      </c>
      <c r="G100" s="22" t="n">
        <v>64</v>
      </c>
      <c r="H100" s="19"/>
      <c r="I100" s="22" t="n">
        <v>1.208</v>
      </c>
      <c r="J100" s="8" t="n">
        <f aca="false">IF(F100="",H100,F100/1000*G100)</f>
        <v>158.72</v>
      </c>
      <c r="K100" s="8" t="n">
        <f aca="false">ROUND(J100*I100,2)</f>
        <v>191.73</v>
      </c>
      <c r="L100" s="20" t="n">
        <v>191.73</v>
      </c>
      <c r="M100" s="8" t="n">
        <f aca="false">ROUND(K100-L100,2)</f>
        <v>0</v>
      </c>
      <c r="N100" s="7" t="s">
        <v>41</v>
      </c>
    </row>
    <row r="101" customFormat="false" ht="15" hidden="false" customHeight="true" outlineLevel="0" collapsed="false">
      <c r="A101" s="22" t="s">
        <v>88</v>
      </c>
      <c r="B101" s="22" t="s">
        <v>85</v>
      </c>
      <c r="C101" s="22" t="s">
        <v>68</v>
      </c>
      <c r="D101" s="22" t="n">
        <v>14</v>
      </c>
      <c r="E101" s="22" t="s">
        <v>15</v>
      </c>
      <c r="F101" s="19"/>
      <c r="G101" s="19"/>
      <c r="H101" s="22" t="n">
        <v>258.08</v>
      </c>
      <c r="I101" s="22" t="n">
        <v>1.208</v>
      </c>
      <c r="J101" s="8" t="n">
        <f aca="false">IF(F101="",H101,F101/1000*G101)</f>
        <v>258.08</v>
      </c>
      <c r="K101" s="8" t="n">
        <f aca="false">ROUND(J101*I101,2)</f>
        <v>311.76</v>
      </c>
      <c r="L101" s="20" t="n">
        <v>311.76</v>
      </c>
      <c r="M101" s="8" t="n">
        <f aca="false">ROUND(K101-L101,2)</f>
        <v>0</v>
      </c>
      <c r="N101" s="7" t="s">
        <v>194</v>
      </c>
    </row>
    <row r="102" customFormat="false" ht="15" hidden="false" customHeight="true" outlineLevel="0" collapsed="false">
      <c r="A102" s="22" t="s">
        <v>88</v>
      </c>
      <c r="B102" s="22" t="s">
        <v>85</v>
      </c>
      <c r="C102" s="22" t="s">
        <v>68</v>
      </c>
      <c r="D102" s="22" t="n">
        <v>8</v>
      </c>
      <c r="E102" s="22" t="s">
        <v>12</v>
      </c>
      <c r="F102" s="22" t="n">
        <v>630</v>
      </c>
      <c r="G102" s="22" t="n">
        <v>216</v>
      </c>
      <c r="H102" s="19"/>
      <c r="I102" s="22" t="n">
        <v>0.395</v>
      </c>
      <c r="J102" s="8" t="n">
        <f aca="false">IF(F102="",H102,F102/1000*G102)</f>
        <v>136.08</v>
      </c>
      <c r="K102" s="8" t="n">
        <f aca="false">ROUND(J102*I102,2)</f>
        <v>53.75</v>
      </c>
      <c r="L102" s="20" t="n">
        <v>53.75</v>
      </c>
      <c r="M102" s="8" t="n">
        <f aca="false">ROUND(K102-L102,2)</f>
        <v>0</v>
      </c>
      <c r="N102" s="7" t="s">
        <v>37</v>
      </c>
    </row>
    <row r="103" customFormat="false" ht="15" hidden="false" customHeight="true" outlineLevel="0" collapsed="false">
      <c r="A103" s="22" t="s">
        <v>88</v>
      </c>
      <c r="B103" s="22" t="s">
        <v>85</v>
      </c>
      <c r="C103" s="22" t="s">
        <v>68</v>
      </c>
      <c r="D103" s="22" t="n">
        <v>16</v>
      </c>
      <c r="E103" s="22" t="s">
        <v>15</v>
      </c>
      <c r="F103" s="22" t="n">
        <v>1970</v>
      </c>
      <c r="G103" s="22" t="n">
        <v>22</v>
      </c>
      <c r="H103" s="19"/>
      <c r="I103" s="22" t="n">
        <v>1.578</v>
      </c>
      <c r="J103" s="8" t="n">
        <f aca="false">IF(F103="",H103,F103/1000*G103)</f>
        <v>43.34</v>
      </c>
      <c r="K103" s="8" t="n">
        <f aca="false">ROUND(J103*I103,2)</f>
        <v>68.39</v>
      </c>
      <c r="L103" s="20" t="n">
        <v>68.39</v>
      </c>
      <c r="M103" s="8" t="n">
        <f aca="false">ROUND(K103-L103,2)</f>
        <v>0</v>
      </c>
      <c r="N103" s="7" t="s">
        <v>42</v>
      </c>
    </row>
    <row r="104" customFormat="false" ht="15" hidden="false" customHeight="true" outlineLevel="0" collapsed="false">
      <c r="A104" s="22" t="s">
        <v>89</v>
      </c>
      <c r="B104" s="22" t="s">
        <v>90</v>
      </c>
      <c r="C104" s="22" t="s">
        <v>62</v>
      </c>
      <c r="D104" s="22" t="n">
        <v>14</v>
      </c>
      <c r="E104" s="22" t="s">
        <v>15</v>
      </c>
      <c r="F104" s="22" t="n">
        <v>3350</v>
      </c>
      <c r="G104" s="22" t="n">
        <v>28</v>
      </c>
      <c r="H104" s="19"/>
      <c r="I104" s="22" t="n">
        <v>1.208</v>
      </c>
      <c r="J104" s="8" t="n">
        <f aca="false">IF(F104="",H104,F104/1000*G104)</f>
        <v>93.8</v>
      </c>
      <c r="K104" s="8" t="n">
        <f aca="false">ROUND(J104*I104,2)</f>
        <v>113.31</v>
      </c>
      <c r="L104" s="20" t="n">
        <v>113.31</v>
      </c>
      <c r="M104" s="8" t="n">
        <f aca="false">ROUND(K104-L104,2)</f>
        <v>0</v>
      </c>
      <c r="N104" s="7" t="s">
        <v>41</v>
      </c>
    </row>
    <row r="105" customFormat="false" ht="15" hidden="false" customHeight="true" outlineLevel="0" collapsed="false">
      <c r="A105" s="22" t="s">
        <v>89</v>
      </c>
      <c r="B105" s="22" t="s">
        <v>90</v>
      </c>
      <c r="C105" s="22" t="s">
        <v>62</v>
      </c>
      <c r="D105" s="22" t="n">
        <v>14</v>
      </c>
      <c r="E105" s="22" t="s">
        <v>15</v>
      </c>
      <c r="F105" s="22" t="n">
        <v>2930</v>
      </c>
      <c r="G105" s="22" t="n">
        <v>28</v>
      </c>
      <c r="H105" s="19"/>
      <c r="I105" s="22" t="n">
        <v>1.208</v>
      </c>
      <c r="J105" s="8" t="n">
        <f aca="false">IF(F105="",H105,F105/1000*G105)</f>
        <v>82.04</v>
      </c>
      <c r="K105" s="8" t="n">
        <f aca="false">ROUND(J105*I105,2)</f>
        <v>99.1</v>
      </c>
      <c r="L105" s="20" t="n">
        <v>99.1</v>
      </c>
      <c r="M105" s="8" t="n">
        <f aca="false">ROUND(K105-L105,2)</f>
        <v>0</v>
      </c>
      <c r="N105" s="7" t="s">
        <v>41</v>
      </c>
    </row>
    <row r="106" customFormat="false" ht="15" hidden="false" customHeight="true" outlineLevel="0" collapsed="false">
      <c r="A106" s="22" t="s">
        <v>89</v>
      </c>
      <c r="B106" s="22" t="s">
        <v>90</v>
      </c>
      <c r="C106" s="22" t="s">
        <v>62</v>
      </c>
      <c r="D106" s="22" t="n">
        <v>14</v>
      </c>
      <c r="E106" s="22" t="s">
        <v>15</v>
      </c>
      <c r="F106" s="19"/>
      <c r="G106" s="19"/>
      <c r="H106" s="22" t="n">
        <v>146.21</v>
      </c>
      <c r="I106" s="22" t="n">
        <v>1.208</v>
      </c>
      <c r="J106" s="8" t="n">
        <f aca="false">IF(F106="",H106,F106/1000*G106)</f>
        <v>146.21</v>
      </c>
      <c r="K106" s="8" t="n">
        <f aca="false">ROUND(J106*I106,2)</f>
        <v>176.62</v>
      </c>
      <c r="L106" s="20" t="n">
        <v>176.62</v>
      </c>
      <c r="M106" s="8" t="n">
        <f aca="false">ROUND(K106-L106,2)</f>
        <v>0</v>
      </c>
      <c r="N106" s="7" t="s">
        <v>194</v>
      </c>
    </row>
    <row r="107" customFormat="false" ht="15" hidden="false" customHeight="true" outlineLevel="0" collapsed="false">
      <c r="A107" s="22" t="s">
        <v>89</v>
      </c>
      <c r="B107" s="22" t="s">
        <v>90</v>
      </c>
      <c r="C107" s="22" t="s">
        <v>62</v>
      </c>
      <c r="D107" s="22" t="n">
        <v>8</v>
      </c>
      <c r="E107" s="22" t="s">
        <v>12</v>
      </c>
      <c r="F107" s="22" t="n">
        <v>630</v>
      </c>
      <c r="G107" s="22" t="n">
        <v>113</v>
      </c>
      <c r="H107" s="19"/>
      <c r="I107" s="22" t="n">
        <v>0.395</v>
      </c>
      <c r="J107" s="8" t="n">
        <f aca="false">IF(F107="",H107,F107/1000*G107)</f>
        <v>71.19</v>
      </c>
      <c r="K107" s="8" t="n">
        <f aca="false">ROUND(J107*I107,2)</f>
        <v>28.12</v>
      </c>
      <c r="L107" s="20" t="n">
        <v>28.12</v>
      </c>
      <c r="M107" s="8" t="n">
        <f aca="false">ROUND(K107-L107,2)</f>
        <v>0</v>
      </c>
      <c r="N107" s="7" t="s">
        <v>37</v>
      </c>
    </row>
    <row r="108" customFormat="false" ht="15" hidden="false" customHeight="true" outlineLevel="0" collapsed="false">
      <c r="A108" s="22" t="s">
        <v>91</v>
      </c>
      <c r="B108" s="22" t="s">
        <v>90</v>
      </c>
      <c r="C108" s="22" t="s">
        <v>64</v>
      </c>
      <c r="D108" s="22" t="n">
        <v>14</v>
      </c>
      <c r="E108" s="22" t="s">
        <v>15</v>
      </c>
      <c r="F108" s="22" t="n">
        <v>3350</v>
      </c>
      <c r="G108" s="22" t="n">
        <v>23</v>
      </c>
      <c r="H108" s="19"/>
      <c r="I108" s="22" t="n">
        <v>1.208</v>
      </c>
      <c r="J108" s="8" t="n">
        <f aca="false">IF(F108="",H108,F108/1000*G108)</f>
        <v>77.05</v>
      </c>
      <c r="K108" s="8" t="n">
        <f aca="false">ROUND(J108*I108,2)</f>
        <v>93.08</v>
      </c>
      <c r="L108" s="20" t="n">
        <v>93.08</v>
      </c>
      <c r="M108" s="8" t="n">
        <f aca="false">ROUND(K108-L108,2)</f>
        <v>0</v>
      </c>
      <c r="N108" s="7" t="s">
        <v>41</v>
      </c>
    </row>
    <row r="109" customFormat="false" ht="15" hidden="false" customHeight="true" outlineLevel="0" collapsed="false">
      <c r="A109" s="22" t="s">
        <v>91</v>
      </c>
      <c r="B109" s="22" t="s">
        <v>90</v>
      </c>
      <c r="C109" s="22" t="s">
        <v>64</v>
      </c>
      <c r="D109" s="22" t="n">
        <v>14</v>
      </c>
      <c r="E109" s="22" t="s">
        <v>15</v>
      </c>
      <c r="F109" s="22" t="n">
        <v>2930</v>
      </c>
      <c r="G109" s="22" t="n">
        <v>23</v>
      </c>
      <c r="H109" s="19"/>
      <c r="I109" s="22" t="n">
        <v>1.208</v>
      </c>
      <c r="J109" s="8" t="n">
        <f aca="false">IF(F109="",H109,F109/1000*G109)</f>
        <v>67.39</v>
      </c>
      <c r="K109" s="8" t="n">
        <f aca="false">ROUND(J109*I109,2)</f>
        <v>81.41</v>
      </c>
      <c r="L109" s="20" t="n">
        <v>81.41</v>
      </c>
      <c r="M109" s="8" t="n">
        <f aca="false">ROUND(K109-L109,2)</f>
        <v>0</v>
      </c>
      <c r="N109" s="7" t="s">
        <v>41</v>
      </c>
    </row>
    <row r="110" customFormat="false" ht="15" hidden="false" customHeight="true" outlineLevel="0" collapsed="false">
      <c r="A110" s="22" t="s">
        <v>91</v>
      </c>
      <c r="B110" s="22" t="s">
        <v>90</v>
      </c>
      <c r="C110" s="22" t="s">
        <v>64</v>
      </c>
      <c r="D110" s="22" t="n">
        <v>14</v>
      </c>
      <c r="E110" s="22" t="s">
        <v>15</v>
      </c>
      <c r="F110" s="19"/>
      <c r="G110" s="19"/>
      <c r="H110" s="22" t="n">
        <v>129.73</v>
      </c>
      <c r="I110" s="22" t="n">
        <v>1.208</v>
      </c>
      <c r="J110" s="8" t="n">
        <f aca="false">IF(F110="",H110,F110/1000*G110)</f>
        <v>129.73</v>
      </c>
      <c r="K110" s="8" t="n">
        <f aca="false">ROUND(J110*I110,2)</f>
        <v>156.71</v>
      </c>
      <c r="L110" s="20" t="n">
        <v>156.71</v>
      </c>
      <c r="M110" s="8" t="n">
        <f aca="false">ROUND(K110-L110,2)</f>
        <v>0</v>
      </c>
      <c r="N110" s="7" t="s">
        <v>194</v>
      </c>
    </row>
    <row r="111" customFormat="false" ht="15" hidden="false" customHeight="true" outlineLevel="0" collapsed="false">
      <c r="A111" s="22" t="s">
        <v>91</v>
      </c>
      <c r="B111" s="22" t="s">
        <v>90</v>
      </c>
      <c r="C111" s="22" t="s">
        <v>64</v>
      </c>
      <c r="D111" s="22" t="n">
        <v>8</v>
      </c>
      <c r="E111" s="22" t="s">
        <v>12</v>
      </c>
      <c r="F111" s="22" t="n">
        <v>630</v>
      </c>
      <c r="G111" s="22" t="n">
        <v>94</v>
      </c>
      <c r="H111" s="19"/>
      <c r="I111" s="22" t="n">
        <v>0.395</v>
      </c>
      <c r="J111" s="8" t="n">
        <f aca="false">IF(F111="",H111,F111/1000*G111)</f>
        <v>59.22</v>
      </c>
      <c r="K111" s="8" t="n">
        <f aca="false">ROUND(J111*I111,2)</f>
        <v>23.39</v>
      </c>
      <c r="L111" s="20" t="n">
        <v>23.39</v>
      </c>
      <c r="M111" s="8" t="n">
        <f aca="false">ROUND(K111-L111,2)</f>
        <v>0</v>
      </c>
      <c r="N111" s="7" t="s">
        <v>37</v>
      </c>
    </row>
    <row r="112" customFormat="false" ht="15" hidden="false" customHeight="true" outlineLevel="0" collapsed="false">
      <c r="A112" s="22" t="s">
        <v>92</v>
      </c>
      <c r="B112" s="22" t="s">
        <v>90</v>
      </c>
      <c r="C112" s="22" t="s">
        <v>66</v>
      </c>
      <c r="D112" s="22" t="n">
        <v>14</v>
      </c>
      <c r="E112" s="22" t="s">
        <v>15</v>
      </c>
      <c r="F112" s="22" t="n">
        <v>2930</v>
      </c>
      <c r="G112" s="22" t="n">
        <v>34</v>
      </c>
      <c r="H112" s="19"/>
      <c r="I112" s="22" t="n">
        <v>1.208</v>
      </c>
      <c r="J112" s="8" t="n">
        <f aca="false">IF(F112="",H112,F112/1000*G112)</f>
        <v>99.62</v>
      </c>
      <c r="K112" s="8" t="n">
        <f aca="false">ROUND(J112*I112,2)</f>
        <v>120.34</v>
      </c>
      <c r="L112" s="20" t="n">
        <v>120.34</v>
      </c>
      <c r="M112" s="8" t="n">
        <f aca="false">ROUND(K112-L112,2)</f>
        <v>0</v>
      </c>
      <c r="N112" s="7" t="s">
        <v>41</v>
      </c>
    </row>
    <row r="113" customFormat="false" ht="15" hidden="false" customHeight="true" outlineLevel="0" collapsed="false">
      <c r="A113" s="22" t="s">
        <v>92</v>
      </c>
      <c r="B113" s="22" t="s">
        <v>90</v>
      </c>
      <c r="C113" s="22" t="s">
        <v>66</v>
      </c>
      <c r="D113" s="22" t="n">
        <v>14</v>
      </c>
      <c r="E113" s="22" t="s">
        <v>15</v>
      </c>
      <c r="F113" s="22" t="n">
        <v>3350</v>
      </c>
      <c r="G113" s="22" t="n">
        <v>34</v>
      </c>
      <c r="H113" s="19"/>
      <c r="I113" s="22" t="n">
        <v>1.208</v>
      </c>
      <c r="J113" s="8" t="n">
        <f aca="false">IF(F113="",H113,F113/1000*G113)</f>
        <v>113.9</v>
      </c>
      <c r="K113" s="8" t="n">
        <f aca="false">ROUND(J113*I113,2)</f>
        <v>137.59</v>
      </c>
      <c r="L113" s="20" t="n">
        <v>137.59</v>
      </c>
      <c r="M113" s="8" t="n">
        <f aca="false">ROUND(K113-L113,2)</f>
        <v>0</v>
      </c>
      <c r="N113" s="7" t="s">
        <v>41</v>
      </c>
    </row>
    <row r="114" customFormat="false" ht="15" hidden="false" customHeight="true" outlineLevel="0" collapsed="false">
      <c r="A114" s="22" t="s">
        <v>92</v>
      </c>
      <c r="B114" s="22" t="s">
        <v>90</v>
      </c>
      <c r="C114" s="22" t="s">
        <v>66</v>
      </c>
      <c r="D114" s="22" t="n">
        <v>14</v>
      </c>
      <c r="E114" s="22" t="s">
        <v>15</v>
      </c>
      <c r="F114" s="22" t="n">
        <v>560</v>
      </c>
      <c r="G114" s="22" t="n">
        <v>16</v>
      </c>
      <c r="H114" s="19"/>
      <c r="I114" s="22" t="n">
        <v>1.208</v>
      </c>
      <c r="J114" s="8" t="n">
        <f aca="false">IF(F114="",H114,F114/1000*G114)</f>
        <v>8.96</v>
      </c>
      <c r="K114" s="8" t="n">
        <f aca="false">ROUND(J114*I114,2)</f>
        <v>10.82</v>
      </c>
      <c r="L114" s="20" t="n">
        <v>10.82</v>
      </c>
      <c r="M114" s="8" t="n">
        <f aca="false">ROUND(K114-L114,2)</f>
        <v>0</v>
      </c>
      <c r="N114" s="7" t="s">
        <v>41</v>
      </c>
    </row>
    <row r="115" customFormat="false" ht="15" hidden="false" customHeight="true" outlineLevel="0" collapsed="false">
      <c r="A115" s="22" t="s">
        <v>92</v>
      </c>
      <c r="B115" s="22" t="s">
        <v>90</v>
      </c>
      <c r="C115" s="22" t="s">
        <v>66</v>
      </c>
      <c r="D115" s="22" t="n">
        <v>14</v>
      </c>
      <c r="E115" s="22" t="s">
        <v>15</v>
      </c>
      <c r="F115" s="19"/>
      <c r="G115" s="19"/>
      <c r="H115" s="22" t="n">
        <v>194.92</v>
      </c>
      <c r="I115" s="22" t="n">
        <v>1.208</v>
      </c>
      <c r="J115" s="8" t="n">
        <f aca="false">IF(F115="",H115,F115/1000*G115)</f>
        <v>194.92</v>
      </c>
      <c r="K115" s="8" t="n">
        <f aca="false">ROUND(J115*I115,2)</f>
        <v>235.46</v>
      </c>
      <c r="L115" s="20" t="n">
        <v>235.46</v>
      </c>
      <c r="M115" s="8" t="n">
        <f aca="false">ROUND(K115-L115,2)</f>
        <v>0</v>
      </c>
      <c r="N115" s="7" t="s">
        <v>194</v>
      </c>
    </row>
    <row r="116" customFormat="false" ht="15" hidden="false" customHeight="true" outlineLevel="0" collapsed="false">
      <c r="A116" s="22" t="s">
        <v>92</v>
      </c>
      <c r="B116" s="22" t="s">
        <v>90</v>
      </c>
      <c r="C116" s="22" t="s">
        <v>66</v>
      </c>
      <c r="D116" s="22" t="n">
        <v>8</v>
      </c>
      <c r="E116" s="22" t="s">
        <v>12</v>
      </c>
      <c r="F116" s="22" t="n">
        <v>630</v>
      </c>
      <c r="G116" s="22" t="n">
        <v>152</v>
      </c>
      <c r="H116" s="19"/>
      <c r="I116" s="22" t="n">
        <v>0.395</v>
      </c>
      <c r="J116" s="8" t="n">
        <f aca="false">IF(F116="",H116,F116/1000*G116)</f>
        <v>95.76</v>
      </c>
      <c r="K116" s="8" t="n">
        <f aca="false">ROUND(J116*I116,2)</f>
        <v>37.83</v>
      </c>
      <c r="L116" s="20" t="n">
        <v>37.83</v>
      </c>
      <c r="M116" s="8" t="n">
        <f aca="false">ROUND(K116-L116,2)</f>
        <v>0</v>
      </c>
      <c r="N116" s="7" t="s">
        <v>37</v>
      </c>
    </row>
    <row r="117" customFormat="false" ht="15" hidden="false" customHeight="true" outlineLevel="0" collapsed="false">
      <c r="A117" s="22" t="s">
        <v>92</v>
      </c>
      <c r="B117" s="22" t="s">
        <v>90</v>
      </c>
      <c r="C117" s="22" t="s">
        <v>66</v>
      </c>
      <c r="D117" s="22" t="n">
        <v>16</v>
      </c>
      <c r="E117" s="22" t="s">
        <v>15</v>
      </c>
      <c r="F117" s="22" t="n">
        <v>1970</v>
      </c>
      <c r="G117" s="22" t="n">
        <v>24</v>
      </c>
      <c r="H117" s="19"/>
      <c r="I117" s="22" t="n">
        <v>1.578</v>
      </c>
      <c r="J117" s="8" t="n">
        <f aca="false">IF(F117="",H117,F117/1000*G117)</f>
        <v>47.28</v>
      </c>
      <c r="K117" s="8" t="n">
        <f aca="false">ROUND(J117*I117,2)</f>
        <v>74.61</v>
      </c>
      <c r="L117" s="20" t="n">
        <v>74.61</v>
      </c>
      <c r="M117" s="8" t="n">
        <f aca="false">ROUND(K117-L117,2)</f>
        <v>0</v>
      </c>
      <c r="N117" s="7" t="s">
        <v>42</v>
      </c>
    </row>
    <row r="118" customFormat="false" ht="15" hidden="false" customHeight="true" outlineLevel="0" collapsed="false">
      <c r="A118" s="22" t="s">
        <v>93</v>
      </c>
      <c r="B118" s="22" t="s">
        <v>90</v>
      </c>
      <c r="C118" s="22" t="s">
        <v>68</v>
      </c>
      <c r="D118" s="22" t="n">
        <v>14</v>
      </c>
      <c r="E118" s="22" t="s">
        <v>15</v>
      </c>
      <c r="F118" s="22" t="n">
        <v>3350</v>
      </c>
      <c r="G118" s="22" t="n">
        <v>21</v>
      </c>
      <c r="H118" s="19"/>
      <c r="I118" s="22" t="n">
        <v>1.208</v>
      </c>
      <c r="J118" s="8" t="n">
        <f aca="false">IF(F118="",H118,F118/1000*G118)</f>
        <v>70.35</v>
      </c>
      <c r="K118" s="8" t="n">
        <f aca="false">ROUND(J118*I118,2)</f>
        <v>84.98</v>
      </c>
      <c r="L118" s="20" t="n">
        <v>84.98</v>
      </c>
      <c r="M118" s="8" t="n">
        <f aca="false">ROUND(K118-L118,2)</f>
        <v>0</v>
      </c>
      <c r="N118" s="7" t="s">
        <v>41</v>
      </c>
    </row>
    <row r="119" customFormat="false" ht="15" hidden="false" customHeight="true" outlineLevel="0" collapsed="false">
      <c r="A119" s="22" t="s">
        <v>93</v>
      </c>
      <c r="B119" s="22" t="s">
        <v>90</v>
      </c>
      <c r="C119" s="22" t="s">
        <v>68</v>
      </c>
      <c r="D119" s="22" t="n">
        <v>14</v>
      </c>
      <c r="E119" s="22" t="s">
        <v>15</v>
      </c>
      <c r="F119" s="22" t="n">
        <v>2930</v>
      </c>
      <c r="G119" s="22" t="n">
        <v>23</v>
      </c>
      <c r="H119" s="19"/>
      <c r="I119" s="22" t="n">
        <v>1.208</v>
      </c>
      <c r="J119" s="8" t="n">
        <f aca="false">IF(F119="",H119,F119/1000*G119)</f>
        <v>67.39</v>
      </c>
      <c r="K119" s="8" t="n">
        <f aca="false">ROUND(J119*I119,2)</f>
        <v>81.41</v>
      </c>
      <c r="L119" s="20" t="n">
        <v>81.41</v>
      </c>
      <c r="M119" s="8" t="n">
        <f aca="false">ROUND(K119-L119,2)</f>
        <v>0</v>
      </c>
      <c r="N119" s="7" t="s">
        <v>41</v>
      </c>
    </row>
    <row r="120" customFormat="false" ht="15" hidden="false" customHeight="true" outlineLevel="0" collapsed="false">
      <c r="A120" s="22" t="s">
        <v>93</v>
      </c>
      <c r="B120" s="22" t="s">
        <v>90</v>
      </c>
      <c r="C120" s="22" t="s">
        <v>68</v>
      </c>
      <c r="D120" s="22" t="n">
        <v>14</v>
      </c>
      <c r="E120" s="22" t="s">
        <v>15</v>
      </c>
      <c r="F120" s="22" t="n">
        <v>2480</v>
      </c>
      <c r="G120" s="22" t="n">
        <v>64</v>
      </c>
      <c r="H120" s="19"/>
      <c r="I120" s="22" t="n">
        <v>1.208</v>
      </c>
      <c r="J120" s="8" t="n">
        <f aca="false">IF(F120="",H120,F120/1000*G120)</f>
        <v>158.72</v>
      </c>
      <c r="K120" s="8" t="n">
        <f aca="false">ROUND(J120*I120,2)</f>
        <v>191.73</v>
      </c>
      <c r="L120" s="20" t="n">
        <v>191.73</v>
      </c>
      <c r="M120" s="8" t="n">
        <f aca="false">ROUND(K120-L120,2)</f>
        <v>0</v>
      </c>
      <c r="N120" s="7" t="s">
        <v>41</v>
      </c>
    </row>
    <row r="121" customFormat="false" ht="15" hidden="false" customHeight="true" outlineLevel="0" collapsed="false">
      <c r="A121" s="22" t="s">
        <v>93</v>
      </c>
      <c r="B121" s="22" t="s">
        <v>90</v>
      </c>
      <c r="C121" s="22" t="s">
        <v>68</v>
      </c>
      <c r="D121" s="22" t="n">
        <v>14</v>
      </c>
      <c r="E121" s="22" t="s">
        <v>15</v>
      </c>
      <c r="F121" s="19"/>
      <c r="G121" s="19"/>
      <c r="H121" s="22" t="n">
        <v>258.11</v>
      </c>
      <c r="I121" s="22" t="n">
        <v>1.208</v>
      </c>
      <c r="J121" s="8" t="n">
        <f aca="false">IF(F121="",H121,F121/1000*G121)</f>
        <v>258.11</v>
      </c>
      <c r="K121" s="8" t="n">
        <f aca="false">ROUND(J121*I121,2)</f>
        <v>311.8</v>
      </c>
      <c r="L121" s="20" t="n">
        <v>311.8</v>
      </c>
      <c r="M121" s="8" t="n">
        <f aca="false">ROUND(K121-L121,2)</f>
        <v>0</v>
      </c>
      <c r="N121" s="7" t="s">
        <v>194</v>
      </c>
    </row>
    <row r="122" customFormat="false" ht="15" hidden="false" customHeight="true" outlineLevel="0" collapsed="false">
      <c r="A122" s="22" t="s">
        <v>93</v>
      </c>
      <c r="B122" s="22" t="s">
        <v>90</v>
      </c>
      <c r="C122" s="22" t="s">
        <v>68</v>
      </c>
      <c r="D122" s="22" t="n">
        <v>8</v>
      </c>
      <c r="E122" s="22" t="s">
        <v>12</v>
      </c>
      <c r="F122" s="22" t="n">
        <v>630</v>
      </c>
      <c r="G122" s="22" t="n">
        <v>216</v>
      </c>
      <c r="H122" s="19"/>
      <c r="I122" s="22" t="n">
        <v>0.395</v>
      </c>
      <c r="J122" s="8" t="n">
        <f aca="false">IF(F122="",H122,F122/1000*G122)</f>
        <v>136.08</v>
      </c>
      <c r="K122" s="8" t="n">
        <f aca="false">ROUND(J122*I122,2)</f>
        <v>53.75</v>
      </c>
      <c r="L122" s="20" t="n">
        <v>53.75</v>
      </c>
      <c r="M122" s="8" t="n">
        <f aca="false">ROUND(K122-L122,2)</f>
        <v>0</v>
      </c>
      <c r="N122" s="7" t="s">
        <v>37</v>
      </c>
    </row>
    <row r="123" customFormat="false" ht="15" hidden="false" customHeight="true" outlineLevel="0" collapsed="false">
      <c r="A123" s="22" t="s">
        <v>93</v>
      </c>
      <c r="B123" s="22" t="s">
        <v>90</v>
      </c>
      <c r="C123" s="22" t="s">
        <v>68</v>
      </c>
      <c r="D123" s="22" t="n">
        <v>16</v>
      </c>
      <c r="E123" s="22" t="s">
        <v>15</v>
      </c>
      <c r="F123" s="22" t="n">
        <v>1970</v>
      </c>
      <c r="G123" s="22" t="n">
        <v>22</v>
      </c>
      <c r="H123" s="19"/>
      <c r="I123" s="22" t="n">
        <v>1.578</v>
      </c>
      <c r="J123" s="8" t="n">
        <f aca="false">IF(F123="",H123,F123/1000*G123)</f>
        <v>43.34</v>
      </c>
      <c r="K123" s="8" t="n">
        <f aca="false">ROUND(J123*I123,2)</f>
        <v>68.39</v>
      </c>
      <c r="L123" s="20" t="n">
        <v>68.39</v>
      </c>
      <c r="M123" s="8" t="n">
        <f aca="false">ROUND(K123-L123,2)</f>
        <v>0</v>
      </c>
      <c r="N123" s="7" t="s">
        <v>42</v>
      </c>
    </row>
    <row r="124" customFormat="false" ht="15" hidden="false" customHeight="true" outlineLevel="0" collapsed="false">
      <c r="A124" s="22" t="s">
        <v>94</v>
      </c>
      <c r="B124" s="22" t="s">
        <v>95</v>
      </c>
      <c r="C124" s="22" t="s">
        <v>62</v>
      </c>
      <c r="D124" s="22" t="n">
        <v>14</v>
      </c>
      <c r="E124" s="22" t="s">
        <v>15</v>
      </c>
      <c r="F124" s="22" t="n">
        <v>3350</v>
      </c>
      <c r="G124" s="22" t="n">
        <v>28</v>
      </c>
      <c r="H124" s="19"/>
      <c r="I124" s="22" t="n">
        <v>1.208</v>
      </c>
      <c r="J124" s="8" t="n">
        <f aca="false">IF(F124="",H124,F124/1000*G124)</f>
        <v>93.8</v>
      </c>
      <c r="K124" s="8" t="n">
        <f aca="false">ROUND(J124*I124,2)</f>
        <v>113.31</v>
      </c>
      <c r="L124" s="20" t="n">
        <v>113.31</v>
      </c>
      <c r="M124" s="8" t="n">
        <f aca="false">ROUND(K124-L124,2)</f>
        <v>0</v>
      </c>
      <c r="N124" s="7" t="s">
        <v>41</v>
      </c>
    </row>
    <row r="125" customFormat="false" ht="15" hidden="false" customHeight="true" outlineLevel="0" collapsed="false">
      <c r="A125" s="22" t="s">
        <v>94</v>
      </c>
      <c r="B125" s="22" t="s">
        <v>95</v>
      </c>
      <c r="C125" s="22" t="s">
        <v>62</v>
      </c>
      <c r="D125" s="22" t="n">
        <v>14</v>
      </c>
      <c r="E125" s="22" t="s">
        <v>15</v>
      </c>
      <c r="F125" s="22" t="n">
        <v>2930</v>
      </c>
      <c r="G125" s="22" t="n">
        <v>28</v>
      </c>
      <c r="H125" s="19"/>
      <c r="I125" s="22" t="n">
        <v>1.208</v>
      </c>
      <c r="J125" s="8" t="n">
        <f aca="false">IF(F125="",H125,F125/1000*G125)</f>
        <v>82.04</v>
      </c>
      <c r="K125" s="8" t="n">
        <f aca="false">ROUND(J125*I125,2)</f>
        <v>99.1</v>
      </c>
      <c r="L125" s="20" t="n">
        <v>99.1</v>
      </c>
      <c r="M125" s="8" t="n">
        <f aca="false">ROUND(K125-L125,2)</f>
        <v>0</v>
      </c>
      <c r="N125" s="7" t="s">
        <v>41</v>
      </c>
    </row>
    <row r="126" customFormat="false" ht="15" hidden="false" customHeight="true" outlineLevel="0" collapsed="false">
      <c r="A126" s="22" t="s">
        <v>94</v>
      </c>
      <c r="B126" s="22" t="s">
        <v>95</v>
      </c>
      <c r="C126" s="22" t="s">
        <v>62</v>
      </c>
      <c r="D126" s="22" t="n">
        <v>14</v>
      </c>
      <c r="E126" s="22" t="s">
        <v>15</v>
      </c>
      <c r="F126" s="19"/>
      <c r="G126" s="19"/>
      <c r="H126" s="22" t="n">
        <v>150.3</v>
      </c>
      <c r="I126" s="22" t="n">
        <v>1.208</v>
      </c>
      <c r="J126" s="8" t="n">
        <f aca="false">IF(F126="",H126,F126/1000*G126)</f>
        <v>150.3</v>
      </c>
      <c r="K126" s="8" t="n">
        <f aca="false">ROUND(J126*I126,2)</f>
        <v>181.56</v>
      </c>
      <c r="L126" s="20" t="n">
        <v>181.56</v>
      </c>
      <c r="M126" s="8" t="n">
        <f aca="false">ROUND(K126-L126,2)</f>
        <v>0</v>
      </c>
      <c r="N126" s="7" t="s">
        <v>194</v>
      </c>
    </row>
    <row r="127" customFormat="false" ht="15" hidden="false" customHeight="true" outlineLevel="0" collapsed="false">
      <c r="A127" s="22" t="s">
        <v>94</v>
      </c>
      <c r="B127" s="22" t="s">
        <v>95</v>
      </c>
      <c r="C127" s="22" t="s">
        <v>62</v>
      </c>
      <c r="D127" s="22" t="n">
        <v>8</v>
      </c>
      <c r="E127" s="22" t="s">
        <v>12</v>
      </c>
      <c r="F127" s="22" t="n">
        <v>630</v>
      </c>
      <c r="G127" s="22" t="n">
        <v>113</v>
      </c>
      <c r="H127" s="19"/>
      <c r="I127" s="22" t="n">
        <v>0.395</v>
      </c>
      <c r="J127" s="8" t="n">
        <f aca="false">IF(F127="",H127,F127/1000*G127)</f>
        <v>71.19</v>
      </c>
      <c r="K127" s="8" t="n">
        <f aca="false">ROUND(J127*I127,2)</f>
        <v>28.12</v>
      </c>
      <c r="L127" s="20" t="n">
        <v>28.12</v>
      </c>
      <c r="M127" s="8" t="n">
        <f aca="false">ROUND(K127-L127,2)</f>
        <v>0</v>
      </c>
      <c r="N127" s="7" t="s">
        <v>37</v>
      </c>
    </row>
    <row r="128" customFormat="false" ht="15" hidden="false" customHeight="true" outlineLevel="0" collapsed="false">
      <c r="A128" s="22" t="s">
        <v>96</v>
      </c>
      <c r="B128" s="22" t="s">
        <v>95</v>
      </c>
      <c r="C128" s="22" t="s">
        <v>64</v>
      </c>
      <c r="D128" s="22" t="n">
        <v>14</v>
      </c>
      <c r="E128" s="22" t="s">
        <v>15</v>
      </c>
      <c r="F128" s="22" t="n">
        <v>2930</v>
      </c>
      <c r="G128" s="22" t="n">
        <v>23</v>
      </c>
      <c r="H128" s="19"/>
      <c r="I128" s="22" t="n">
        <v>1.208</v>
      </c>
      <c r="J128" s="8" t="n">
        <f aca="false">IF(F128="",H128,F128/1000*G128)</f>
        <v>67.39</v>
      </c>
      <c r="K128" s="8" t="n">
        <f aca="false">ROUND(J128*I128,2)</f>
        <v>81.41</v>
      </c>
      <c r="L128" s="20" t="n">
        <v>81.41</v>
      </c>
      <c r="M128" s="8" t="n">
        <f aca="false">ROUND(K128-L128,2)</f>
        <v>0</v>
      </c>
      <c r="N128" s="7" t="s">
        <v>41</v>
      </c>
    </row>
    <row r="129" customFormat="false" ht="15" hidden="false" customHeight="true" outlineLevel="0" collapsed="false">
      <c r="A129" s="22" t="s">
        <v>96</v>
      </c>
      <c r="B129" s="22" t="s">
        <v>95</v>
      </c>
      <c r="C129" s="22" t="s">
        <v>64</v>
      </c>
      <c r="D129" s="22" t="n">
        <v>14</v>
      </c>
      <c r="E129" s="22" t="s">
        <v>15</v>
      </c>
      <c r="F129" s="22" t="n">
        <v>3350</v>
      </c>
      <c r="G129" s="22" t="n">
        <v>23</v>
      </c>
      <c r="H129" s="19"/>
      <c r="I129" s="22" t="n">
        <v>1.208</v>
      </c>
      <c r="J129" s="8" t="n">
        <f aca="false">IF(F129="",H129,F129/1000*G129)</f>
        <v>77.05</v>
      </c>
      <c r="K129" s="8" t="n">
        <f aca="false">ROUND(J129*I129,2)</f>
        <v>93.08</v>
      </c>
      <c r="L129" s="20" t="n">
        <v>93.08</v>
      </c>
      <c r="M129" s="8" t="n">
        <f aca="false">ROUND(K129-L129,2)</f>
        <v>0</v>
      </c>
      <c r="N129" s="7" t="s">
        <v>41</v>
      </c>
    </row>
    <row r="130" customFormat="false" ht="15" hidden="false" customHeight="true" outlineLevel="0" collapsed="false">
      <c r="A130" s="22" t="s">
        <v>96</v>
      </c>
      <c r="B130" s="22" t="s">
        <v>95</v>
      </c>
      <c r="C130" s="22" t="s">
        <v>64</v>
      </c>
      <c r="D130" s="22" t="n">
        <v>14</v>
      </c>
      <c r="E130" s="22" t="s">
        <v>15</v>
      </c>
      <c r="F130" s="19"/>
      <c r="G130" s="19"/>
      <c r="H130" s="22" t="n">
        <v>126.26</v>
      </c>
      <c r="I130" s="22" t="n">
        <v>1.208</v>
      </c>
      <c r="J130" s="8" t="n">
        <f aca="false">IF(F130="",H130,F130/1000*G130)</f>
        <v>126.26</v>
      </c>
      <c r="K130" s="8" t="n">
        <f aca="false">ROUND(J130*I130,2)</f>
        <v>152.52</v>
      </c>
      <c r="L130" s="20" t="n">
        <v>152.52</v>
      </c>
      <c r="M130" s="8" t="n">
        <f aca="false">ROUND(K130-L130,2)</f>
        <v>0</v>
      </c>
      <c r="N130" s="7" t="s">
        <v>194</v>
      </c>
    </row>
    <row r="131" customFormat="false" ht="15" hidden="false" customHeight="true" outlineLevel="0" collapsed="false">
      <c r="A131" s="22" t="s">
        <v>96</v>
      </c>
      <c r="B131" s="22" t="s">
        <v>95</v>
      </c>
      <c r="C131" s="22" t="s">
        <v>64</v>
      </c>
      <c r="D131" s="22" t="n">
        <v>8</v>
      </c>
      <c r="E131" s="22" t="s">
        <v>12</v>
      </c>
      <c r="F131" s="22" t="n">
        <v>630</v>
      </c>
      <c r="G131" s="22" t="n">
        <v>91</v>
      </c>
      <c r="H131" s="19"/>
      <c r="I131" s="22" t="n">
        <v>0.395</v>
      </c>
      <c r="J131" s="8" t="n">
        <f aca="false">IF(F131="",H131,F131/1000*G131)</f>
        <v>57.33</v>
      </c>
      <c r="K131" s="8" t="n">
        <f aca="false">ROUND(J131*I131,2)</f>
        <v>22.65</v>
      </c>
      <c r="L131" s="20" t="n">
        <v>22.65</v>
      </c>
      <c r="M131" s="8" t="n">
        <f aca="false">ROUND(K131-L131,2)</f>
        <v>0</v>
      </c>
      <c r="N131" s="7" t="s">
        <v>37</v>
      </c>
    </row>
    <row r="132" customFormat="false" ht="15" hidden="false" customHeight="true" outlineLevel="0" collapsed="false">
      <c r="A132" s="22" t="s">
        <v>97</v>
      </c>
      <c r="B132" s="22" t="s">
        <v>95</v>
      </c>
      <c r="C132" s="22" t="s">
        <v>66</v>
      </c>
      <c r="D132" s="22" t="n">
        <v>14</v>
      </c>
      <c r="E132" s="22" t="s">
        <v>15</v>
      </c>
      <c r="F132" s="22" t="n">
        <v>2930</v>
      </c>
      <c r="G132" s="22" t="n">
        <v>34</v>
      </c>
      <c r="H132" s="19"/>
      <c r="I132" s="22" t="n">
        <v>1.208</v>
      </c>
      <c r="J132" s="8" t="n">
        <f aca="false">IF(F132="",H132,F132/1000*G132)</f>
        <v>99.62</v>
      </c>
      <c r="K132" s="8" t="n">
        <f aca="false">ROUND(J132*I132,2)</f>
        <v>120.34</v>
      </c>
      <c r="L132" s="20" t="n">
        <v>120.34</v>
      </c>
      <c r="M132" s="8" t="n">
        <f aca="false">ROUND(K132-L132,2)</f>
        <v>0</v>
      </c>
      <c r="N132" s="7" t="s">
        <v>41</v>
      </c>
    </row>
    <row r="133" customFormat="false" ht="15" hidden="false" customHeight="true" outlineLevel="0" collapsed="false">
      <c r="A133" s="22" t="s">
        <v>97</v>
      </c>
      <c r="B133" s="22" t="s">
        <v>95</v>
      </c>
      <c r="C133" s="22" t="s">
        <v>66</v>
      </c>
      <c r="D133" s="22" t="n">
        <v>14</v>
      </c>
      <c r="E133" s="22" t="s">
        <v>15</v>
      </c>
      <c r="F133" s="22" t="n">
        <v>3350</v>
      </c>
      <c r="G133" s="22" t="n">
        <v>34</v>
      </c>
      <c r="H133" s="19"/>
      <c r="I133" s="22" t="n">
        <v>1.208</v>
      </c>
      <c r="J133" s="8" t="n">
        <f aca="false">IF(F133="",H133,F133/1000*G133)</f>
        <v>113.9</v>
      </c>
      <c r="K133" s="8" t="n">
        <f aca="false">ROUND(J133*I133,2)</f>
        <v>137.59</v>
      </c>
      <c r="L133" s="20" t="n">
        <v>137.59</v>
      </c>
      <c r="M133" s="8" t="n">
        <f aca="false">ROUND(K133-L133,2)</f>
        <v>0</v>
      </c>
      <c r="N133" s="7" t="s">
        <v>41</v>
      </c>
    </row>
    <row r="134" customFormat="false" ht="15" hidden="false" customHeight="true" outlineLevel="0" collapsed="false">
      <c r="A134" s="22" t="s">
        <v>97</v>
      </c>
      <c r="B134" s="22" t="s">
        <v>95</v>
      </c>
      <c r="C134" s="22" t="s">
        <v>66</v>
      </c>
      <c r="D134" s="22" t="n">
        <v>14</v>
      </c>
      <c r="E134" s="22" t="s">
        <v>15</v>
      </c>
      <c r="F134" s="22" t="n">
        <v>560</v>
      </c>
      <c r="G134" s="22" t="n">
        <v>16</v>
      </c>
      <c r="H134" s="19"/>
      <c r="I134" s="22" t="n">
        <v>1.208</v>
      </c>
      <c r="J134" s="8" t="n">
        <f aca="false">IF(F134="",H134,F134/1000*G134)</f>
        <v>8.96</v>
      </c>
      <c r="K134" s="8" t="n">
        <f aca="false">ROUND(J134*I134,2)</f>
        <v>10.82</v>
      </c>
      <c r="L134" s="20" t="n">
        <v>10.82</v>
      </c>
      <c r="M134" s="8" t="n">
        <f aca="false">ROUND(K134-L134,2)</f>
        <v>0</v>
      </c>
      <c r="N134" s="7" t="s">
        <v>41</v>
      </c>
    </row>
    <row r="135" customFormat="false" ht="15" hidden="false" customHeight="true" outlineLevel="0" collapsed="false">
      <c r="A135" s="22" t="s">
        <v>97</v>
      </c>
      <c r="B135" s="22" t="s">
        <v>95</v>
      </c>
      <c r="C135" s="22" t="s">
        <v>66</v>
      </c>
      <c r="D135" s="22" t="n">
        <v>14</v>
      </c>
      <c r="E135" s="22" t="s">
        <v>15</v>
      </c>
      <c r="F135" s="19"/>
      <c r="G135" s="19"/>
      <c r="H135" s="22" t="n">
        <v>194.92</v>
      </c>
      <c r="I135" s="22" t="n">
        <v>1.208</v>
      </c>
      <c r="J135" s="8" t="n">
        <f aca="false">IF(F135="",H135,F135/1000*G135)</f>
        <v>194.92</v>
      </c>
      <c r="K135" s="8" t="n">
        <f aca="false">ROUND(J135*I135,2)</f>
        <v>235.46</v>
      </c>
      <c r="L135" s="20" t="n">
        <v>235.46</v>
      </c>
      <c r="M135" s="8" t="n">
        <f aca="false">ROUND(K135-L135,2)</f>
        <v>0</v>
      </c>
      <c r="N135" s="7" t="s">
        <v>194</v>
      </c>
    </row>
    <row r="136" customFormat="false" ht="15" hidden="false" customHeight="true" outlineLevel="0" collapsed="false">
      <c r="A136" s="22" t="s">
        <v>97</v>
      </c>
      <c r="B136" s="22" t="s">
        <v>95</v>
      </c>
      <c r="C136" s="22" t="s">
        <v>66</v>
      </c>
      <c r="D136" s="22" t="n">
        <v>8</v>
      </c>
      <c r="E136" s="22" t="s">
        <v>12</v>
      </c>
      <c r="F136" s="22" t="n">
        <v>630</v>
      </c>
      <c r="G136" s="22" t="n">
        <v>152</v>
      </c>
      <c r="H136" s="19"/>
      <c r="I136" s="22" t="n">
        <v>0.395</v>
      </c>
      <c r="J136" s="8" t="n">
        <f aca="false">IF(F136="",H136,F136/1000*G136)</f>
        <v>95.76</v>
      </c>
      <c r="K136" s="8" t="n">
        <f aca="false">ROUND(J136*I136,2)</f>
        <v>37.83</v>
      </c>
      <c r="L136" s="20" t="n">
        <v>37.83</v>
      </c>
      <c r="M136" s="8" t="n">
        <f aca="false">ROUND(K136-L136,2)</f>
        <v>0</v>
      </c>
      <c r="N136" s="7" t="s">
        <v>37</v>
      </c>
    </row>
    <row r="137" customFormat="false" ht="15" hidden="false" customHeight="true" outlineLevel="0" collapsed="false">
      <c r="A137" s="22" t="s">
        <v>97</v>
      </c>
      <c r="B137" s="22" t="s">
        <v>95</v>
      </c>
      <c r="C137" s="22" t="s">
        <v>66</v>
      </c>
      <c r="D137" s="22" t="n">
        <v>16</v>
      </c>
      <c r="E137" s="22" t="s">
        <v>15</v>
      </c>
      <c r="F137" s="22" t="n">
        <v>1970</v>
      </c>
      <c r="G137" s="22" t="n">
        <v>24</v>
      </c>
      <c r="H137" s="19"/>
      <c r="I137" s="22" t="n">
        <v>1.578</v>
      </c>
      <c r="J137" s="8" t="n">
        <f aca="false">IF(F137="",H137,F137/1000*G137)</f>
        <v>47.28</v>
      </c>
      <c r="K137" s="8" t="n">
        <f aca="false">ROUND(J137*I137,2)</f>
        <v>74.61</v>
      </c>
      <c r="L137" s="20" t="n">
        <v>74.61</v>
      </c>
      <c r="M137" s="8" t="n">
        <f aca="false">ROUND(K137-L137,2)</f>
        <v>0</v>
      </c>
      <c r="N137" s="7" t="s">
        <v>42</v>
      </c>
    </row>
    <row r="138" customFormat="false" ht="15" hidden="false" customHeight="true" outlineLevel="0" collapsed="false">
      <c r="A138" s="22" t="s">
        <v>98</v>
      </c>
      <c r="B138" s="22" t="s">
        <v>95</v>
      </c>
      <c r="C138" s="22" t="s">
        <v>68</v>
      </c>
      <c r="D138" s="22" t="n">
        <v>14</v>
      </c>
      <c r="E138" s="22" t="s">
        <v>15</v>
      </c>
      <c r="F138" s="22" t="n">
        <v>3350</v>
      </c>
      <c r="G138" s="22" t="n">
        <v>35</v>
      </c>
      <c r="H138" s="19"/>
      <c r="I138" s="22" t="n">
        <v>1.208</v>
      </c>
      <c r="J138" s="8" t="n">
        <f aca="false">IF(F138="",H138,F138/1000*G138)</f>
        <v>117.25</v>
      </c>
      <c r="K138" s="8" t="n">
        <f aca="false">ROUND(J138*I138,2)</f>
        <v>141.64</v>
      </c>
      <c r="L138" s="20" t="n">
        <v>141.64</v>
      </c>
      <c r="M138" s="8" t="n">
        <f aca="false">ROUND(K138-L138,2)</f>
        <v>0</v>
      </c>
      <c r="N138" s="7" t="s">
        <v>41</v>
      </c>
    </row>
    <row r="139" customFormat="false" ht="15" hidden="false" customHeight="true" outlineLevel="0" collapsed="false">
      <c r="A139" s="22" t="s">
        <v>98</v>
      </c>
      <c r="B139" s="22" t="s">
        <v>95</v>
      </c>
      <c r="C139" s="22" t="s">
        <v>68</v>
      </c>
      <c r="D139" s="22" t="n">
        <v>14</v>
      </c>
      <c r="E139" s="22" t="s">
        <v>15</v>
      </c>
      <c r="F139" s="22" t="n">
        <v>2930</v>
      </c>
      <c r="G139" s="22" t="n">
        <v>34</v>
      </c>
      <c r="H139" s="19"/>
      <c r="I139" s="22" t="n">
        <v>1.208</v>
      </c>
      <c r="J139" s="8" t="n">
        <f aca="false">IF(F139="",H139,F139/1000*G139)</f>
        <v>99.62</v>
      </c>
      <c r="K139" s="8" t="n">
        <f aca="false">ROUND(J139*I139,2)</f>
        <v>120.34</v>
      </c>
      <c r="L139" s="20" t="n">
        <v>120.34</v>
      </c>
      <c r="M139" s="8" t="n">
        <f aca="false">ROUND(K139-L139,2)</f>
        <v>0</v>
      </c>
      <c r="N139" s="7" t="s">
        <v>41</v>
      </c>
    </row>
    <row r="140" customFormat="false" ht="15" hidden="false" customHeight="true" outlineLevel="0" collapsed="false">
      <c r="A140" s="22" t="s">
        <v>98</v>
      </c>
      <c r="B140" s="22" t="s">
        <v>95</v>
      </c>
      <c r="C140" s="22" t="s">
        <v>68</v>
      </c>
      <c r="D140" s="22" t="n">
        <v>14</v>
      </c>
      <c r="E140" s="22" t="s">
        <v>15</v>
      </c>
      <c r="F140" s="22" t="n">
        <v>2480</v>
      </c>
      <c r="G140" s="22" t="n">
        <v>40</v>
      </c>
      <c r="H140" s="19"/>
      <c r="I140" s="22" t="n">
        <v>1.208</v>
      </c>
      <c r="J140" s="8" t="n">
        <f aca="false">IF(F140="",H140,F140/1000*G140)</f>
        <v>99.2</v>
      </c>
      <c r="K140" s="8" t="n">
        <f aca="false">ROUND(J140*I140,2)</f>
        <v>119.83</v>
      </c>
      <c r="L140" s="20" t="n">
        <v>119.83</v>
      </c>
      <c r="M140" s="8" t="n">
        <f aca="false">ROUND(K140-L140,2)</f>
        <v>0</v>
      </c>
      <c r="N140" s="7" t="s">
        <v>41</v>
      </c>
    </row>
    <row r="141" customFormat="false" ht="15" hidden="false" customHeight="true" outlineLevel="0" collapsed="false">
      <c r="A141" s="22" t="s">
        <v>98</v>
      </c>
      <c r="B141" s="22" t="s">
        <v>95</v>
      </c>
      <c r="C141" s="22" t="s">
        <v>68</v>
      </c>
      <c r="D141" s="22" t="n">
        <v>14</v>
      </c>
      <c r="E141" s="22" t="s">
        <v>15</v>
      </c>
      <c r="F141" s="19"/>
      <c r="G141" s="19"/>
      <c r="H141" s="22" t="n">
        <v>254.8</v>
      </c>
      <c r="I141" s="22" t="n">
        <v>1.208</v>
      </c>
      <c r="J141" s="8" t="n">
        <f aca="false">IF(F141="",H141,F141/1000*G141)</f>
        <v>254.8</v>
      </c>
      <c r="K141" s="8" t="n">
        <f aca="false">ROUND(J141*I141,2)</f>
        <v>307.8</v>
      </c>
      <c r="L141" s="20" t="n">
        <v>307.8</v>
      </c>
      <c r="M141" s="8" t="n">
        <f aca="false">ROUND(K141-L141,2)</f>
        <v>0</v>
      </c>
      <c r="N141" s="7" t="s">
        <v>194</v>
      </c>
    </row>
    <row r="142" customFormat="false" ht="15" hidden="false" customHeight="true" outlineLevel="0" collapsed="false">
      <c r="A142" s="22" t="s">
        <v>98</v>
      </c>
      <c r="B142" s="22" t="s">
        <v>95</v>
      </c>
      <c r="C142" s="22" t="s">
        <v>68</v>
      </c>
      <c r="D142" s="22" t="n">
        <v>8</v>
      </c>
      <c r="E142" s="22" t="s">
        <v>12</v>
      </c>
      <c r="F142" s="22" t="n">
        <v>630</v>
      </c>
      <c r="G142" s="22" t="n">
        <v>216</v>
      </c>
      <c r="H142" s="19"/>
      <c r="I142" s="22" t="n">
        <v>0.395</v>
      </c>
      <c r="J142" s="8" t="n">
        <f aca="false">IF(F142="",H142,F142/1000*G142)</f>
        <v>136.08</v>
      </c>
      <c r="K142" s="8" t="n">
        <f aca="false">ROUND(J142*I142,2)</f>
        <v>53.75</v>
      </c>
      <c r="L142" s="20" t="n">
        <v>53.75</v>
      </c>
      <c r="M142" s="8" t="n">
        <f aca="false">ROUND(K142-L142,2)</f>
        <v>0</v>
      </c>
      <c r="N142" s="7" t="s">
        <v>37</v>
      </c>
    </row>
    <row r="143" customFormat="false" ht="15" hidden="false" customHeight="true" outlineLevel="0" collapsed="false">
      <c r="A143" s="22" t="s">
        <v>98</v>
      </c>
      <c r="B143" s="22" t="s">
        <v>95</v>
      </c>
      <c r="C143" s="22" t="s">
        <v>68</v>
      </c>
      <c r="D143" s="22" t="n">
        <v>16</v>
      </c>
      <c r="E143" s="22" t="s">
        <v>15</v>
      </c>
      <c r="F143" s="22" t="n">
        <v>1970</v>
      </c>
      <c r="G143" s="22" t="n">
        <v>44</v>
      </c>
      <c r="H143" s="19"/>
      <c r="I143" s="22" t="n">
        <v>1.578</v>
      </c>
      <c r="J143" s="8" t="n">
        <f aca="false">IF(F143="",H143,F143/1000*G143)</f>
        <v>86.68</v>
      </c>
      <c r="K143" s="8" t="n">
        <f aca="false">ROUND(J143*I143,2)</f>
        <v>136.78</v>
      </c>
      <c r="L143" s="20" t="n">
        <v>136.78</v>
      </c>
      <c r="M143" s="8" t="n">
        <f aca="false">ROUND(K143-L143,2)</f>
        <v>0</v>
      </c>
      <c r="N143" s="7" t="s">
        <v>42</v>
      </c>
    </row>
    <row r="144" customFormat="false" ht="15" hidden="false" customHeight="true" outlineLevel="0" collapsed="false">
      <c r="A144" s="22" t="s">
        <v>99</v>
      </c>
      <c r="B144" s="22" t="s">
        <v>100</v>
      </c>
      <c r="C144" s="22" t="s">
        <v>62</v>
      </c>
      <c r="D144" s="22" t="n">
        <v>14</v>
      </c>
      <c r="E144" s="22" t="s">
        <v>15</v>
      </c>
      <c r="F144" s="22" t="n">
        <v>2930</v>
      </c>
      <c r="G144" s="22" t="n">
        <v>23</v>
      </c>
      <c r="H144" s="19"/>
      <c r="I144" s="22" t="n">
        <v>1.208</v>
      </c>
      <c r="J144" s="8" t="n">
        <f aca="false">IF(F144="",H144,F144/1000*G144)</f>
        <v>67.39</v>
      </c>
      <c r="K144" s="8" t="n">
        <f aca="false">ROUND(J144*I144,2)</f>
        <v>81.41</v>
      </c>
      <c r="L144" s="20" t="n">
        <v>81.41</v>
      </c>
      <c r="M144" s="8" t="n">
        <f aca="false">ROUND(K144-L144,2)</f>
        <v>0</v>
      </c>
      <c r="N144" s="7" t="s">
        <v>41</v>
      </c>
    </row>
    <row r="145" customFormat="false" ht="15" hidden="false" customHeight="true" outlineLevel="0" collapsed="false">
      <c r="A145" s="22" t="s">
        <v>99</v>
      </c>
      <c r="B145" s="22" t="s">
        <v>100</v>
      </c>
      <c r="C145" s="22" t="s">
        <v>62</v>
      </c>
      <c r="D145" s="22" t="n">
        <v>14</v>
      </c>
      <c r="E145" s="22" t="s">
        <v>15</v>
      </c>
      <c r="F145" s="22" t="n">
        <v>3350</v>
      </c>
      <c r="G145" s="22" t="n">
        <v>23</v>
      </c>
      <c r="H145" s="19"/>
      <c r="I145" s="22" t="n">
        <v>1.208</v>
      </c>
      <c r="J145" s="8" t="n">
        <f aca="false">IF(F145="",H145,F145/1000*G145)</f>
        <v>77.05</v>
      </c>
      <c r="K145" s="8" t="n">
        <f aca="false">ROUND(J145*I145,2)</f>
        <v>93.08</v>
      </c>
      <c r="L145" s="20" t="n">
        <v>93.08</v>
      </c>
      <c r="M145" s="8" t="n">
        <f aca="false">ROUND(K145-L145,2)</f>
        <v>0</v>
      </c>
      <c r="N145" s="7" t="s">
        <v>41</v>
      </c>
    </row>
    <row r="146" customFormat="false" ht="15" hidden="false" customHeight="true" outlineLevel="0" collapsed="false">
      <c r="A146" s="22" t="s">
        <v>99</v>
      </c>
      <c r="B146" s="22" t="s">
        <v>100</v>
      </c>
      <c r="C146" s="22" t="s">
        <v>62</v>
      </c>
      <c r="D146" s="22" t="n">
        <v>14</v>
      </c>
      <c r="E146" s="22" t="s">
        <v>15</v>
      </c>
      <c r="F146" s="19"/>
      <c r="G146" s="19"/>
      <c r="H146" s="22" t="n">
        <v>126.57</v>
      </c>
      <c r="I146" s="22" t="n">
        <v>1.208</v>
      </c>
      <c r="J146" s="8" t="n">
        <f aca="false">IF(F146="",H146,F146/1000*G146)</f>
        <v>126.57</v>
      </c>
      <c r="K146" s="8" t="n">
        <f aca="false">ROUND(J146*I146,2)</f>
        <v>152.9</v>
      </c>
      <c r="L146" s="20" t="n">
        <v>152.9</v>
      </c>
      <c r="M146" s="8" t="n">
        <f aca="false">ROUND(K146-L146,2)</f>
        <v>0</v>
      </c>
      <c r="N146" s="7" t="s">
        <v>194</v>
      </c>
    </row>
    <row r="147" customFormat="false" ht="15" hidden="false" customHeight="true" outlineLevel="0" collapsed="false">
      <c r="A147" s="22" t="s">
        <v>99</v>
      </c>
      <c r="B147" s="22" t="s">
        <v>100</v>
      </c>
      <c r="C147" s="22" t="s">
        <v>62</v>
      </c>
      <c r="D147" s="22" t="n">
        <v>8</v>
      </c>
      <c r="E147" s="22" t="s">
        <v>12</v>
      </c>
      <c r="F147" s="22" t="n">
        <v>630</v>
      </c>
      <c r="G147" s="22" t="n">
        <v>91</v>
      </c>
      <c r="H147" s="19"/>
      <c r="I147" s="22" t="n">
        <v>0.395</v>
      </c>
      <c r="J147" s="8" t="n">
        <f aca="false">IF(F147="",H147,F147/1000*G147)</f>
        <v>57.33</v>
      </c>
      <c r="K147" s="8" t="n">
        <f aca="false">ROUND(J147*I147,2)</f>
        <v>22.65</v>
      </c>
      <c r="L147" s="20" t="n">
        <v>22.65</v>
      </c>
      <c r="M147" s="8" t="n">
        <f aca="false">ROUND(K147-L147,2)</f>
        <v>0</v>
      </c>
      <c r="N147" s="7" t="s">
        <v>37</v>
      </c>
    </row>
    <row r="148" customFormat="false" ht="15" hidden="false" customHeight="true" outlineLevel="0" collapsed="false">
      <c r="A148" s="22" t="s">
        <v>101</v>
      </c>
      <c r="B148" s="22" t="s">
        <v>100</v>
      </c>
      <c r="C148" s="22" t="s">
        <v>64</v>
      </c>
      <c r="D148" s="22" t="n">
        <v>14</v>
      </c>
      <c r="E148" s="22" t="s">
        <v>15</v>
      </c>
      <c r="F148" s="22" t="n">
        <v>2930</v>
      </c>
      <c r="G148" s="22" t="n">
        <v>28</v>
      </c>
      <c r="H148" s="19"/>
      <c r="I148" s="22" t="n">
        <v>1.208</v>
      </c>
      <c r="J148" s="8" t="n">
        <f aca="false">IF(F148="",H148,F148/1000*G148)</f>
        <v>82.04</v>
      </c>
      <c r="K148" s="8" t="n">
        <f aca="false">ROUND(J148*I148,2)</f>
        <v>99.1</v>
      </c>
      <c r="L148" s="20" t="n">
        <v>99.1</v>
      </c>
      <c r="M148" s="8" t="n">
        <f aca="false">ROUND(K148-L148,2)</f>
        <v>0</v>
      </c>
      <c r="N148" s="7" t="s">
        <v>41</v>
      </c>
    </row>
    <row r="149" customFormat="false" ht="15" hidden="false" customHeight="true" outlineLevel="0" collapsed="false">
      <c r="A149" s="22" t="s">
        <v>101</v>
      </c>
      <c r="B149" s="22" t="s">
        <v>100</v>
      </c>
      <c r="C149" s="22" t="s">
        <v>64</v>
      </c>
      <c r="D149" s="22" t="n">
        <v>14</v>
      </c>
      <c r="E149" s="22" t="s">
        <v>15</v>
      </c>
      <c r="F149" s="22" t="n">
        <v>3350</v>
      </c>
      <c r="G149" s="22" t="n">
        <v>28</v>
      </c>
      <c r="H149" s="19"/>
      <c r="I149" s="22" t="n">
        <v>1.208</v>
      </c>
      <c r="J149" s="8" t="n">
        <f aca="false">IF(F149="",H149,F149/1000*G149)</f>
        <v>93.8</v>
      </c>
      <c r="K149" s="8" t="n">
        <f aca="false">ROUND(J149*I149,2)</f>
        <v>113.31</v>
      </c>
      <c r="L149" s="20" t="n">
        <v>113.31</v>
      </c>
      <c r="M149" s="8" t="n">
        <f aca="false">ROUND(K149-L149,2)</f>
        <v>0</v>
      </c>
      <c r="N149" s="7" t="s">
        <v>41</v>
      </c>
    </row>
    <row r="150" customFormat="false" ht="15" hidden="false" customHeight="true" outlineLevel="0" collapsed="false">
      <c r="A150" s="22" t="s">
        <v>101</v>
      </c>
      <c r="B150" s="22" t="s">
        <v>100</v>
      </c>
      <c r="C150" s="22" t="s">
        <v>64</v>
      </c>
      <c r="D150" s="22" t="n">
        <v>14</v>
      </c>
      <c r="E150" s="22" t="s">
        <v>15</v>
      </c>
      <c r="F150" s="19"/>
      <c r="G150" s="19"/>
      <c r="H150" s="22" t="n">
        <v>149.73</v>
      </c>
      <c r="I150" s="22" t="n">
        <v>1.208</v>
      </c>
      <c r="J150" s="8" t="n">
        <f aca="false">IF(F150="",H150,F150/1000*G150)</f>
        <v>149.73</v>
      </c>
      <c r="K150" s="8" t="n">
        <f aca="false">ROUND(J150*I150,2)</f>
        <v>180.87</v>
      </c>
      <c r="L150" s="20" t="n">
        <v>180.87</v>
      </c>
      <c r="M150" s="8" t="n">
        <f aca="false">ROUND(K150-L150,2)</f>
        <v>0</v>
      </c>
      <c r="N150" s="7" t="s">
        <v>194</v>
      </c>
    </row>
    <row r="151" customFormat="false" ht="15" hidden="false" customHeight="true" outlineLevel="0" collapsed="false">
      <c r="A151" s="22" t="s">
        <v>101</v>
      </c>
      <c r="B151" s="22" t="s">
        <v>100</v>
      </c>
      <c r="C151" s="22" t="s">
        <v>64</v>
      </c>
      <c r="D151" s="22" t="n">
        <v>8</v>
      </c>
      <c r="E151" s="22" t="s">
        <v>12</v>
      </c>
      <c r="F151" s="22" t="n">
        <v>630</v>
      </c>
      <c r="G151" s="22" t="n">
        <v>113</v>
      </c>
      <c r="H151" s="19"/>
      <c r="I151" s="22" t="n">
        <v>0.395</v>
      </c>
      <c r="J151" s="8" t="n">
        <f aca="false">IF(F151="",H151,F151/1000*G151)</f>
        <v>71.19</v>
      </c>
      <c r="K151" s="8" t="n">
        <f aca="false">ROUND(J151*I151,2)</f>
        <v>28.12</v>
      </c>
      <c r="L151" s="20" t="n">
        <v>28.12</v>
      </c>
      <c r="M151" s="8" t="n">
        <f aca="false">ROUND(K151-L151,2)</f>
        <v>0</v>
      </c>
      <c r="N151" s="7" t="s">
        <v>37</v>
      </c>
    </row>
    <row r="152" customFormat="false" ht="15" hidden="false" customHeight="true" outlineLevel="0" collapsed="false">
      <c r="A152" s="22" t="s">
        <v>102</v>
      </c>
      <c r="B152" s="22" t="s">
        <v>100</v>
      </c>
      <c r="C152" s="22" t="s">
        <v>66</v>
      </c>
      <c r="D152" s="22" t="n">
        <v>14</v>
      </c>
      <c r="E152" s="22" t="s">
        <v>15</v>
      </c>
      <c r="F152" s="22" t="n">
        <v>2930</v>
      </c>
      <c r="G152" s="22" t="n">
        <v>34</v>
      </c>
      <c r="H152" s="19"/>
      <c r="I152" s="22" t="n">
        <v>1.208</v>
      </c>
      <c r="J152" s="8" t="n">
        <f aca="false">IF(F152="",H152,F152/1000*G152)</f>
        <v>99.62</v>
      </c>
      <c r="K152" s="8" t="n">
        <f aca="false">ROUND(J152*I152,2)</f>
        <v>120.34</v>
      </c>
      <c r="L152" s="20" t="n">
        <v>120.34</v>
      </c>
      <c r="M152" s="8" t="n">
        <f aca="false">ROUND(K152-L152,2)</f>
        <v>0</v>
      </c>
      <c r="N152" s="7" t="s">
        <v>41</v>
      </c>
    </row>
    <row r="153" customFormat="false" ht="15" hidden="false" customHeight="true" outlineLevel="0" collapsed="false">
      <c r="A153" s="22" t="s">
        <v>102</v>
      </c>
      <c r="B153" s="22" t="s">
        <v>100</v>
      </c>
      <c r="C153" s="22" t="s">
        <v>66</v>
      </c>
      <c r="D153" s="22" t="n">
        <v>14</v>
      </c>
      <c r="E153" s="22" t="s">
        <v>15</v>
      </c>
      <c r="F153" s="22" t="n">
        <v>3350</v>
      </c>
      <c r="G153" s="22" t="n">
        <v>34</v>
      </c>
      <c r="H153" s="19"/>
      <c r="I153" s="22" t="n">
        <v>1.208</v>
      </c>
      <c r="J153" s="8" t="n">
        <f aca="false">IF(F153="",H153,F153/1000*G153)</f>
        <v>113.9</v>
      </c>
      <c r="K153" s="8" t="n">
        <f aca="false">ROUND(J153*I153,2)</f>
        <v>137.59</v>
      </c>
      <c r="L153" s="20" t="n">
        <v>137.59</v>
      </c>
      <c r="M153" s="8" t="n">
        <f aca="false">ROUND(K153-L153,2)</f>
        <v>0</v>
      </c>
      <c r="N153" s="7" t="s">
        <v>41</v>
      </c>
    </row>
    <row r="154" customFormat="false" ht="15" hidden="false" customHeight="true" outlineLevel="0" collapsed="false">
      <c r="A154" s="22" t="s">
        <v>102</v>
      </c>
      <c r="B154" s="22" t="s">
        <v>100</v>
      </c>
      <c r="C154" s="22" t="s">
        <v>66</v>
      </c>
      <c r="D154" s="22" t="n">
        <v>14</v>
      </c>
      <c r="E154" s="22" t="s">
        <v>15</v>
      </c>
      <c r="F154" s="22" t="n">
        <v>560</v>
      </c>
      <c r="G154" s="22" t="n">
        <v>16</v>
      </c>
      <c r="H154" s="19"/>
      <c r="I154" s="22" t="n">
        <v>1.208</v>
      </c>
      <c r="J154" s="8" t="n">
        <f aca="false">IF(F154="",H154,F154/1000*G154)</f>
        <v>8.96</v>
      </c>
      <c r="K154" s="8" t="n">
        <f aca="false">ROUND(J154*I154,2)</f>
        <v>10.82</v>
      </c>
      <c r="L154" s="20" t="n">
        <v>10.82</v>
      </c>
      <c r="M154" s="8" t="n">
        <f aca="false">ROUND(K154-L154,2)</f>
        <v>0</v>
      </c>
      <c r="N154" s="7" t="s">
        <v>41</v>
      </c>
    </row>
    <row r="155" customFormat="false" ht="15" hidden="false" customHeight="true" outlineLevel="0" collapsed="false">
      <c r="A155" s="22" t="s">
        <v>102</v>
      </c>
      <c r="B155" s="22" t="s">
        <v>100</v>
      </c>
      <c r="C155" s="22" t="s">
        <v>66</v>
      </c>
      <c r="D155" s="22" t="n">
        <v>14</v>
      </c>
      <c r="E155" s="22" t="s">
        <v>15</v>
      </c>
      <c r="F155" s="19"/>
      <c r="G155" s="19"/>
      <c r="H155" s="22" t="n">
        <v>181.64</v>
      </c>
      <c r="I155" s="22" t="n">
        <v>1.208</v>
      </c>
      <c r="J155" s="8" t="n">
        <f aca="false">IF(F155="",H155,F155/1000*G155)</f>
        <v>181.64</v>
      </c>
      <c r="K155" s="8" t="n">
        <f aca="false">ROUND(J155*I155,2)</f>
        <v>219.42</v>
      </c>
      <c r="L155" s="20" t="n">
        <v>219.42</v>
      </c>
      <c r="M155" s="8" t="n">
        <f aca="false">ROUND(K155-L155,2)</f>
        <v>0</v>
      </c>
      <c r="N155" s="7" t="s">
        <v>194</v>
      </c>
    </row>
    <row r="156" customFormat="false" ht="15" hidden="false" customHeight="true" outlineLevel="0" collapsed="false">
      <c r="A156" s="22" t="s">
        <v>102</v>
      </c>
      <c r="B156" s="22" t="s">
        <v>100</v>
      </c>
      <c r="C156" s="22" t="s">
        <v>66</v>
      </c>
      <c r="D156" s="22" t="n">
        <v>8</v>
      </c>
      <c r="E156" s="22" t="s">
        <v>12</v>
      </c>
      <c r="F156" s="22" t="n">
        <v>630</v>
      </c>
      <c r="G156" s="22" t="n">
        <v>152</v>
      </c>
      <c r="H156" s="19"/>
      <c r="I156" s="22" t="n">
        <v>0.395</v>
      </c>
      <c r="J156" s="8" t="n">
        <f aca="false">IF(F156="",H156,F156/1000*G156)</f>
        <v>95.76</v>
      </c>
      <c r="K156" s="8" t="n">
        <f aca="false">ROUND(J156*I156,2)</f>
        <v>37.83</v>
      </c>
      <c r="L156" s="20" t="n">
        <v>37.83</v>
      </c>
      <c r="M156" s="8" t="n">
        <f aca="false">ROUND(K156-L156,2)</f>
        <v>0</v>
      </c>
      <c r="N156" s="7" t="s">
        <v>37</v>
      </c>
    </row>
    <row r="157" customFormat="false" ht="15" hidden="false" customHeight="true" outlineLevel="0" collapsed="false">
      <c r="A157" s="22" t="s">
        <v>102</v>
      </c>
      <c r="B157" s="22" t="s">
        <v>100</v>
      </c>
      <c r="C157" s="22" t="s">
        <v>66</v>
      </c>
      <c r="D157" s="22" t="n">
        <v>16</v>
      </c>
      <c r="E157" s="22" t="s">
        <v>15</v>
      </c>
      <c r="F157" s="22" t="n">
        <v>1970</v>
      </c>
      <c r="G157" s="22" t="n">
        <v>24</v>
      </c>
      <c r="H157" s="19"/>
      <c r="I157" s="22" t="n">
        <v>1.578</v>
      </c>
      <c r="J157" s="8" t="n">
        <f aca="false">IF(F157="",H157,F157/1000*G157)</f>
        <v>47.28</v>
      </c>
      <c r="K157" s="8" t="n">
        <f aca="false">ROUND(J157*I157,2)</f>
        <v>74.61</v>
      </c>
      <c r="L157" s="20" t="n">
        <v>74.61</v>
      </c>
      <c r="M157" s="8" t="n">
        <f aca="false">ROUND(K157-L157,2)</f>
        <v>0</v>
      </c>
      <c r="N157" s="7" t="s">
        <v>42</v>
      </c>
    </row>
    <row r="158" customFormat="false" ht="15" hidden="false" customHeight="true" outlineLevel="0" collapsed="false">
      <c r="A158" s="22" t="s">
        <v>103</v>
      </c>
      <c r="B158" s="22" t="s">
        <v>100</v>
      </c>
      <c r="C158" s="22" t="s">
        <v>68</v>
      </c>
      <c r="D158" s="22" t="n">
        <v>14</v>
      </c>
      <c r="E158" s="22" t="s">
        <v>15</v>
      </c>
      <c r="F158" s="22" t="n">
        <v>3350</v>
      </c>
      <c r="G158" s="22" t="n">
        <v>35</v>
      </c>
      <c r="H158" s="19"/>
      <c r="I158" s="22" t="n">
        <v>1.208</v>
      </c>
      <c r="J158" s="8" t="n">
        <f aca="false">IF(F158="",H158,F158/1000*G158)</f>
        <v>117.25</v>
      </c>
      <c r="K158" s="8" t="n">
        <f aca="false">ROUND(J158*I158,2)</f>
        <v>141.64</v>
      </c>
      <c r="L158" s="20" t="n">
        <v>141.64</v>
      </c>
      <c r="M158" s="8" t="n">
        <f aca="false">ROUND(K158-L158,2)</f>
        <v>0</v>
      </c>
      <c r="N158" s="7" t="s">
        <v>41</v>
      </c>
    </row>
    <row r="159" customFormat="false" ht="15" hidden="false" customHeight="true" outlineLevel="0" collapsed="false">
      <c r="A159" s="22" t="s">
        <v>103</v>
      </c>
      <c r="B159" s="22" t="s">
        <v>100</v>
      </c>
      <c r="C159" s="22" t="s">
        <v>68</v>
      </c>
      <c r="D159" s="22" t="n">
        <v>14</v>
      </c>
      <c r="E159" s="22" t="s">
        <v>15</v>
      </c>
      <c r="F159" s="22" t="n">
        <v>2930</v>
      </c>
      <c r="G159" s="22" t="n">
        <v>34</v>
      </c>
      <c r="H159" s="19"/>
      <c r="I159" s="22" t="n">
        <v>1.208</v>
      </c>
      <c r="J159" s="8" t="n">
        <f aca="false">IF(F159="",H159,F159/1000*G159)</f>
        <v>99.62</v>
      </c>
      <c r="K159" s="8" t="n">
        <f aca="false">ROUND(J159*I159,2)</f>
        <v>120.34</v>
      </c>
      <c r="L159" s="20" t="n">
        <v>120.34</v>
      </c>
      <c r="M159" s="8" t="n">
        <f aca="false">ROUND(K159-L159,2)</f>
        <v>0</v>
      </c>
      <c r="N159" s="7" t="s">
        <v>41</v>
      </c>
    </row>
    <row r="160" customFormat="false" ht="15" hidden="false" customHeight="true" outlineLevel="0" collapsed="false">
      <c r="A160" s="22" t="s">
        <v>103</v>
      </c>
      <c r="B160" s="22" t="s">
        <v>100</v>
      </c>
      <c r="C160" s="22" t="s">
        <v>68</v>
      </c>
      <c r="D160" s="22" t="n">
        <v>14</v>
      </c>
      <c r="E160" s="22" t="s">
        <v>15</v>
      </c>
      <c r="F160" s="22" t="n">
        <v>2480</v>
      </c>
      <c r="G160" s="22" t="n">
        <v>40</v>
      </c>
      <c r="H160" s="19"/>
      <c r="I160" s="22" t="n">
        <v>1.208</v>
      </c>
      <c r="J160" s="8" t="n">
        <f aca="false">IF(F160="",H160,F160/1000*G160)</f>
        <v>99.2</v>
      </c>
      <c r="K160" s="8" t="n">
        <f aca="false">ROUND(J160*I160,2)</f>
        <v>119.83</v>
      </c>
      <c r="L160" s="20" t="n">
        <v>119.83</v>
      </c>
      <c r="M160" s="8" t="n">
        <f aca="false">ROUND(K160-L160,2)</f>
        <v>0</v>
      </c>
      <c r="N160" s="7" t="s">
        <v>41</v>
      </c>
    </row>
    <row r="161" customFormat="false" ht="15" hidden="false" customHeight="true" outlineLevel="0" collapsed="false">
      <c r="A161" s="22" t="s">
        <v>103</v>
      </c>
      <c r="B161" s="22" t="s">
        <v>100</v>
      </c>
      <c r="C161" s="22" t="s">
        <v>68</v>
      </c>
      <c r="D161" s="22" t="n">
        <v>14</v>
      </c>
      <c r="E161" s="22" t="s">
        <v>15</v>
      </c>
      <c r="F161" s="19"/>
      <c r="G161" s="19"/>
      <c r="H161" s="22" t="n">
        <v>254.8</v>
      </c>
      <c r="I161" s="22" t="n">
        <v>1.208</v>
      </c>
      <c r="J161" s="8" t="n">
        <f aca="false">IF(F161="",H161,F161/1000*G161)</f>
        <v>254.8</v>
      </c>
      <c r="K161" s="8" t="n">
        <f aca="false">ROUND(J161*I161,2)</f>
        <v>307.8</v>
      </c>
      <c r="L161" s="20" t="n">
        <v>307.8</v>
      </c>
      <c r="M161" s="8" t="n">
        <f aca="false">ROUND(K161-L161,2)</f>
        <v>0</v>
      </c>
      <c r="N161" s="7" t="s">
        <v>194</v>
      </c>
    </row>
    <row r="162" customFormat="false" ht="15" hidden="false" customHeight="true" outlineLevel="0" collapsed="false">
      <c r="A162" s="22" t="s">
        <v>103</v>
      </c>
      <c r="B162" s="22" t="s">
        <v>100</v>
      </c>
      <c r="C162" s="22" t="s">
        <v>68</v>
      </c>
      <c r="D162" s="22" t="n">
        <v>8</v>
      </c>
      <c r="E162" s="22" t="s">
        <v>12</v>
      </c>
      <c r="F162" s="22" t="n">
        <v>630</v>
      </c>
      <c r="G162" s="22" t="n">
        <v>216</v>
      </c>
      <c r="H162" s="19"/>
      <c r="I162" s="22" t="n">
        <v>0.395</v>
      </c>
      <c r="J162" s="8" t="n">
        <f aca="false">IF(F162="",H162,F162/1000*G162)</f>
        <v>136.08</v>
      </c>
      <c r="K162" s="8" t="n">
        <f aca="false">ROUND(J162*I162,2)</f>
        <v>53.75</v>
      </c>
      <c r="L162" s="20" t="n">
        <v>53.75</v>
      </c>
      <c r="M162" s="8" t="n">
        <f aca="false">ROUND(K162-L162,2)</f>
        <v>0</v>
      </c>
      <c r="N162" s="7" t="s">
        <v>37</v>
      </c>
    </row>
    <row r="163" customFormat="false" ht="15" hidden="false" customHeight="true" outlineLevel="0" collapsed="false">
      <c r="A163" s="22" t="s">
        <v>103</v>
      </c>
      <c r="B163" s="22" t="s">
        <v>100</v>
      </c>
      <c r="C163" s="22" t="s">
        <v>68</v>
      </c>
      <c r="D163" s="22" t="n">
        <v>16</v>
      </c>
      <c r="E163" s="22" t="s">
        <v>15</v>
      </c>
      <c r="F163" s="22" t="n">
        <v>1970</v>
      </c>
      <c r="G163" s="22" t="n">
        <v>44</v>
      </c>
      <c r="H163" s="19"/>
      <c r="I163" s="22" t="n">
        <v>1.578</v>
      </c>
      <c r="J163" s="8" t="n">
        <f aca="false">IF(F163="",H163,F163/1000*G163)</f>
        <v>86.68</v>
      </c>
      <c r="K163" s="8" t="n">
        <f aca="false">ROUND(J163*I163,2)</f>
        <v>136.78</v>
      </c>
      <c r="L163" s="20" t="n">
        <v>136.78</v>
      </c>
      <c r="M163" s="8" t="n">
        <f aca="false">ROUND(K163-L163,2)</f>
        <v>0</v>
      </c>
      <c r="N163" s="7" t="s">
        <v>42</v>
      </c>
    </row>
    <row r="164" customFormat="false" ht="15" hidden="false" customHeight="true" outlineLevel="0" collapsed="false">
      <c r="A164" s="22" t="s">
        <v>104</v>
      </c>
      <c r="B164" s="22" t="s">
        <v>105</v>
      </c>
      <c r="C164" s="22" t="s">
        <v>62</v>
      </c>
      <c r="D164" s="22" t="n">
        <v>14</v>
      </c>
      <c r="E164" s="22" t="s">
        <v>15</v>
      </c>
      <c r="F164" s="22" t="n">
        <v>2930</v>
      </c>
      <c r="G164" s="22" t="n">
        <v>18</v>
      </c>
      <c r="H164" s="19"/>
      <c r="I164" s="22" t="n">
        <v>1.208</v>
      </c>
      <c r="J164" s="8" t="n">
        <f aca="false">IF(F164="",H164,F164/1000*G164)</f>
        <v>52.74</v>
      </c>
      <c r="K164" s="8" t="n">
        <f aca="false">ROUND(J164*I164,2)</f>
        <v>63.71</v>
      </c>
      <c r="L164" s="20" t="n">
        <v>63.71</v>
      </c>
      <c r="M164" s="8" t="n">
        <f aca="false">ROUND(K164-L164,2)</f>
        <v>0</v>
      </c>
      <c r="N164" s="7" t="s">
        <v>41</v>
      </c>
    </row>
    <row r="165" customFormat="false" ht="15" hidden="false" customHeight="true" outlineLevel="0" collapsed="false">
      <c r="A165" s="22" t="s">
        <v>104</v>
      </c>
      <c r="B165" s="22" t="s">
        <v>105</v>
      </c>
      <c r="C165" s="22" t="s">
        <v>62</v>
      </c>
      <c r="D165" s="22" t="n">
        <v>14</v>
      </c>
      <c r="E165" s="22" t="s">
        <v>15</v>
      </c>
      <c r="F165" s="22" t="n">
        <v>3350</v>
      </c>
      <c r="G165" s="22" t="n">
        <v>18</v>
      </c>
      <c r="H165" s="19"/>
      <c r="I165" s="22" t="n">
        <v>1.208</v>
      </c>
      <c r="J165" s="8" t="n">
        <f aca="false">IF(F165="",H165,F165/1000*G165)</f>
        <v>60.3</v>
      </c>
      <c r="K165" s="8" t="n">
        <f aca="false">ROUND(J165*I165,2)</f>
        <v>72.84</v>
      </c>
      <c r="L165" s="20" t="n">
        <v>72.84</v>
      </c>
      <c r="M165" s="8" t="n">
        <f aca="false">ROUND(K165-L165,2)</f>
        <v>0</v>
      </c>
      <c r="N165" s="7" t="s">
        <v>41</v>
      </c>
    </row>
    <row r="166" customFormat="false" ht="15" hidden="false" customHeight="true" outlineLevel="0" collapsed="false">
      <c r="A166" s="22" t="s">
        <v>104</v>
      </c>
      <c r="B166" s="22" t="s">
        <v>105</v>
      </c>
      <c r="C166" s="22" t="s">
        <v>62</v>
      </c>
      <c r="D166" s="22" t="n">
        <v>14</v>
      </c>
      <c r="E166" s="22" t="s">
        <v>15</v>
      </c>
      <c r="F166" s="22" t="n">
        <v>560</v>
      </c>
      <c r="G166" s="22" t="n">
        <v>32</v>
      </c>
      <c r="H166" s="19"/>
      <c r="I166" s="22" t="n">
        <v>1.208</v>
      </c>
      <c r="J166" s="8" t="n">
        <f aca="false">IF(F166="",H166,F166/1000*G166)</f>
        <v>17.92</v>
      </c>
      <c r="K166" s="8" t="n">
        <f aca="false">ROUND(J166*I166,2)</f>
        <v>21.65</v>
      </c>
      <c r="L166" s="20" t="n">
        <v>21.65</v>
      </c>
      <c r="M166" s="8" t="n">
        <f aca="false">ROUND(K166-L166,2)</f>
        <v>0</v>
      </c>
      <c r="N166" s="7" t="s">
        <v>41</v>
      </c>
    </row>
    <row r="167" customFormat="false" ht="15" hidden="false" customHeight="true" outlineLevel="0" collapsed="false">
      <c r="A167" s="22" t="s">
        <v>104</v>
      </c>
      <c r="B167" s="22" t="s">
        <v>105</v>
      </c>
      <c r="C167" s="22" t="s">
        <v>62</v>
      </c>
      <c r="D167" s="22" t="n">
        <v>14</v>
      </c>
      <c r="E167" s="22" t="s">
        <v>15</v>
      </c>
      <c r="F167" s="19"/>
      <c r="G167" s="19"/>
      <c r="H167" s="22" t="n">
        <v>166.1</v>
      </c>
      <c r="I167" s="22" t="n">
        <v>1.208</v>
      </c>
      <c r="J167" s="8" t="n">
        <f aca="false">IF(F167="",H167,F167/1000*G167)</f>
        <v>166.1</v>
      </c>
      <c r="K167" s="8" t="n">
        <f aca="false">ROUND(J167*I167,2)</f>
        <v>200.65</v>
      </c>
      <c r="L167" s="20" t="n">
        <v>200.65</v>
      </c>
      <c r="M167" s="8" t="n">
        <f aca="false">ROUND(K167-L167,2)</f>
        <v>0</v>
      </c>
      <c r="N167" s="7" t="s">
        <v>194</v>
      </c>
    </row>
    <row r="168" customFormat="false" ht="15" hidden="false" customHeight="true" outlineLevel="0" collapsed="false">
      <c r="A168" s="22" t="s">
        <v>104</v>
      </c>
      <c r="B168" s="22" t="s">
        <v>105</v>
      </c>
      <c r="C168" s="22" t="s">
        <v>62</v>
      </c>
      <c r="D168" s="22" t="n">
        <v>8</v>
      </c>
      <c r="E168" s="22" t="s">
        <v>12</v>
      </c>
      <c r="F168" s="22" t="n">
        <v>630</v>
      </c>
      <c r="G168" s="22" t="n">
        <v>128</v>
      </c>
      <c r="H168" s="19"/>
      <c r="I168" s="22" t="n">
        <v>0.395</v>
      </c>
      <c r="J168" s="8" t="n">
        <f aca="false">IF(F168="",H168,F168/1000*G168)</f>
        <v>80.64</v>
      </c>
      <c r="K168" s="8" t="n">
        <f aca="false">ROUND(J168*I168,2)</f>
        <v>31.85</v>
      </c>
      <c r="L168" s="20" t="n">
        <v>31.85</v>
      </c>
      <c r="M168" s="8" t="n">
        <f aca="false">ROUND(K168-L168,2)</f>
        <v>0</v>
      </c>
      <c r="N168" s="7" t="s">
        <v>37</v>
      </c>
    </row>
    <row r="169" customFormat="false" ht="15" hidden="false" customHeight="true" outlineLevel="0" collapsed="false">
      <c r="A169" s="22" t="s">
        <v>104</v>
      </c>
      <c r="B169" s="22" t="s">
        <v>105</v>
      </c>
      <c r="C169" s="22" t="s">
        <v>62</v>
      </c>
      <c r="D169" s="22" t="n">
        <v>16</v>
      </c>
      <c r="E169" s="22" t="s">
        <v>15</v>
      </c>
      <c r="F169" s="22" t="n">
        <v>1970</v>
      </c>
      <c r="G169" s="22" t="n">
        <v>24</v>
      </c>
      <c r="H169" s="19"/>
      <c r="I169" s="22" t="n">
        <v>1.578</v>
      </c>
      <c r="J169" s="8" t="n">
        <f aca="false">IF(F169="",H169,F169/1000*G169)</f>
        <v>47.28</v>
      </c>
      <c r="K169" s="8" t="n">
        <f aca="false">ROUND(J169*I169,2)</f>
        <v>74.61</v>
      </c>
      <c r="L169" s="20" t="n">
        <v>74.61</v>
      </c>
      <c r="M169" s="8" t="n">
        <f aca="false">ROUND(K169-L169,2)</f>
        <v>0</v>
      </c>
      <c r="N169" s="7" t="s">
        <v>42</v>
      </c>
    </row>
    <row r="170" customFormat="false" ht="15" hidden="false" customHeight="true" outlineLevel="0" collapsed="false">
      <c r="A170" s="22" t="s">
        <v>106</v>
      </c>
      <c r="B170" s="22" t="s">
        <v>105</v>
      </c>
      <c r="C170" s="22" t="s">
        <v>64</v>
      </c>
      <c r="D170" s="22" t="n">
        <v>14</v>
      </c>
      <c r="E170" s="22" t="s">
        <v>15</v>
      </c>
      <c r="F170" s="22" t="n">
        <v>2930</v>
      </c>
      <c r="G170" s="22" t="n">
        <v>16</v>
      </c>
      <c r="H170" s="19"/>
      <c r="I170" s="22" t="n">
        <v>1.208</v>
      </c>
      <c r="J170" s="8" t="n">
        <f aca="false">IF(F170="",H170,F170/1000*G170)</f>
        <v>46.88</v>
      </c>
      <c r="K170" s="8" t="n">
        <f aca="false">ROUND(J170*I170,2)</f>
        <v>56.63</v>
      </c>
      <c r="L170" s="20" t="n">
        <v>56.63</v>
      </c>
      <c r="M170" s="8" t="n">
        <f aca="false">ROUND(K170-L170,2)</f>
        <v>0</v>
      </c>
      <c r="N170" s="7" t="s">
        <v>41</v>
      </c>
    </row>
    <row r="171" customFormat="false" ht="15" hidden="false" customHeight="true" outlineLevel="0" collapsed="false">
      <c r="A171" s="22" t="s">
        <v>106</v>
      </c>
      <c r="B171" s="22" t="s">
        <v>105</v>
      </c>
      <c r="C171" s="22" t="s">
        <v>64</v>
      </c>
      <c r="D171" s="22" t="n">
        <v>14</v>
      </c>
      <c r="E171" s="22" t="s">
        <v>15</v>
      </c>
      <c r="F171" s="22" t="n">
        <v>3350</v>
      </c>
      <c r="G171" s="22" t="n">
        <v>16</v>
      </c>
      <c r="H171" s="19"/>
      <c r="I171" s="22" t="n">
        <v>1.208</v>
      </c>
      <c r="J171" s="8" t="n">
        <f aca="false">IF(F171="",H171,F171/1000*G171)</f>
        <v>53.6</v>
      </c>
      <c r="K171" s="8" t="n">
        <f aca="false">ROUND(J171*I171,2)</f>
        <v>64.75</v>
      </c>
      <c r="L171" s="20" t="n">
        <v>64.75</v>
      </c>
      <c r="M171" s="8" t="n">
        <f aca="false">ROUND(K171-L171,2)</f>
        <v>0</v>
      </c>
      <c r="N171" s="7" t="s">
        <v>41</v>
      </c>
    </row>
    <row r="172" customFormat="false" ht="15" hidden="false" customHeight="true" outlineLevel="0" collapsed="false">
      <c r="A172" s="22" t="s">
        <v>106</v>
      </c>
      <c r="B172" s="22" t="s">
        <v>105</v>
      </c>
      <c r="C172" s="22" t="s">
        <v>64</v>
      </c>
      <c r="D172" s="22" t="n">
        <v>14</v>
      </c>
      <c r="E172" s="22" t="s">
        <v>15</v>
      </c>
      <c r="F172" s="22" t="n">
        <v>2780</v>
      </c>
      <c r="G172" s="22" t="n">
        <v>36</v>
      </c>
      <c r="H172" s="19"/>
      <c r="I172" s="22" t="n">
        <v>1.208</v>
      </c>
      <c r="J172" s="8" t="n">
        <f aca="false">IF(F172="",H172,F172/1000*G172)</f>
        <v>100.08</v>
      </c>
      <c r="K172" s="8" t="n">
        <f aca="false">ROUND(J172*I172,2)</f>
        <v>120.9</v>
      </c>
      <c r="L172" s="20" t="n">
        <v>120.9</v>
      </c>
      <c r="M172" s="8" t="n">
        <f aca="false">ROUND(K172-L172,2)</f>
        <v>0</v>
      </c>
      <c r="N172" s="7" t="s">
        <v>41</v>
      </c>
    </row>
    <row r="173" customFormat="false" ht="15" hidden="false" customHeight="true" outlineLevel="0" collapsed="false">
      <c r="A173" s="22" t="s">
        <v>106</v>
      </c>
      <c r="B173" s="22" t="s">
        <v>105</v>
      </c>
      <c r="C173" s="22" t="s">
        <v>64</v>
      </c>
      <c r="D173" s="22" t="n">
        <v>14</v>
      </c>
      <c r="E173" s="22" t="s">
        <v>15</v>
      </c>
      <c r="F173" s="19"/>
      <c r="G173" s="19"/>
      <c r="H173" s="22" t="n">
        <v>181.2</v>
      </c>
      <c r="I173" s="22" t="n">
        <v>1.208</v>
      </c>
      <c r="J173" s="8" t="n">
        <f aca="false">IF(F173="",H173,F173/1000*G173)</f>
        <v>181.2</v>
      </c>
      <c r="K173" s="8" t="n">
        <f aca="false">ROUND(J173*I173,2)</f>
        <v>218.89</v>
      </c>
      <c r="L173" s="20" t="n">
        <v>218.89</v>
      </c>
      <c r="M173" s="8" t="n">
        <f aca="false">ROUND(K173-L173,2)</f>
        <v>0</v>
      </c>
      <c r="N173" s="7" t="s">
        <v>194</v>
      </c>
    </row>
    <row r="174" customFormat="false" ht="15" hidden="false" customHeight="true" outlineLevel="0" collapsed="false">
      <c r="A174" s="22" t="s">
        <v>106</v>
      </c>
      <c r="B174" s="22" t="s">
        <v>105</v>
      </c>
      <c r="C174" s="22" t="s">
        <v>64</v>
      </c>
      <c r="D174" s="22" t="n">
        <v>8</v>
      </c>
      <c r="E174" s="22" t="s">
        <v>12</v>
      </c>
      <c r="F174" s="22" t="n">
        <v>630</v>
      </c>
      <c r="G174" s="22" t="n">
        <v>128</v>
      </c>
      <c r="H174" s="19"/>
      <c r="I174" s="22" t="n">
        <v>0.395</v>
      </c>
      <c r="J174" s="8" t="n">
        <f aca="false">IF(F174="",H174,F174/1000*G174)</f>
        <v>80.64</v>
      </c>
      <c r="K174" s="8" t="n">
        <f aca="false">ROUND(J174*I174,2)</f>
        <v>31.85</v>
      </c>
      <c r="L174" s="20" t="n">
        <v>31.85</v>
      </c>
      <c r="M174" s="8" t="n">
        <f aca="false">ROUND(K174-L174,2)</f>
        <v>0</v>
      </c>
      <c r="N174" s="7" t="s">
        <v>37</v>
      </c>
    </row>
    <row r="175" customFormat="false" ht="15" hidden="false" customHeight="true" outlineLevel="0" collapsed="false">
      <c r="A175" s="22" t="s">
        <v>106</v>
      </c>
      <c r="B175" s="22" t="s">
        <v>105</v>
      </c>
      <c r="C175" s="22" t="s">
        <v>64</v>
      </c>
      <c r="D175" s="22" t="n">
        <v>16</v>
      </c>
      <c r="E175" s="22" t="s">
        <v>15</v>
      </c>
      <c r="F175" s="22" t="n">
        <v>1970</v>
      </c>
      <c r="G175" s="22" t="n">
        <v>24</v>
      </c>
      <c r="H175" s="19"/>
      <c r="I175" s="22" t="n">
        <v>1.578</v>
      </c>
      <c r="J175" s="8" t="n">
        <f aca="false">IF(F175="",H175,F175/1000*G175)</f>
        <v>47.28</v>
      </c>
      <c r="K175" s="8" t="n">
        <f aca="false">ROUND(J175*I175,2)</f>
        <v>74.61</v>
      </c>
      <c r="L175" s="20" t="n">
        <v>74.61</v>
      </c>
      <c r="M175" s="8" t="n">
        <f aca="false">ROUND(K175-L175,2)</f>
        <v>0</v>
      </c>
      <c r="N175" s="7" t="s">
        <v>42</v>
      </c>
    </row>
    <row r="176" customFormat="false" ht="15" hidden="false" customHeight="true" outlineLevel="0" collapsed="false">
      <c r="A176" s="22" t="s">
        <v>107</v>
      </c>
      <c r="B176" s="22" t="s">
        <v>105</v>
      </c>
      <c r="C176" s="22" t="s">
        <v>66</v>
      </c>
      <c r="D176" s="22" t="n">
        <v>14</v>
      </c>
      <c r="E176" s="22" t="s">
        <v>15</v>
      </c>
      <c r="F176" s="22" t="n">
        <v>2930</v>
      </c>
      <c r="G176" s="22" t="n">
        <v>42</v>
      </c>
      <c r="H176" s="19"/>
      <c r="I176" s="22" t="n">
        <v>1.208</v>
      </c>
      <c r="J176" s="8" t="n">
        <f aca="false">IF(F176="",H176,F176/1000*G176)</f>
        <v>123.06</v>
      </c>
      <c r="K176" s="8" t="n">
        <f aca="false">ROUND(J176*I176,2)</f>
        <v>148.66</v>
      </c>
      <c r="L176" s="20" t="n">
        <v>148.66</v>
      </c>
      <c r="M176" s="8" t="n">
        <f aca="false">ROUND(K176-L176,2)</f>
        <v>0</v>
      </c>
      <c r="N176" s="7" t="s">
        <v>41</v>
      </c>
    </row>
    <row r="177" customFormat="false" ht="15" hidden="false" customHeight="true" outlineLevel="0" collapsed="false">
      <c r="A177" s="22" t="s">
        <v>107</v>
      </c>
      <c r="B177" s="22" t="s">
        <v>105</v>
      </c>
      <c r="C177" s="22" t="s">
        <v>66</v>
      </c>
      <c r="D177" s="22" t="n">
        <v>14</v>
      </c>
      <c r="E177" s="22" t="s">
        <v>15</v>
      </c>
      <c r="F177" s="22" t="n">
        <v>3350</v>
      </c>
      <c r="G177" s="22" t="n">
        <v>42</v>
      </c>
      <c r="H177" s="19"/>
      <c r="I177" s="22" t="n">
        <v>1.208</v>
      </c>
      <c r="J177" s="8" t="n">
        <f aca="false">IF(F177="",H177,F177/1000*G177)</f>
        <v>140.7</v>
      </c>
      <c r="K177" s="8" t="n">
        <f aca="false">ROUND(J177*I177,2)</f>
        <v>169.97</v>
      </c>
      <c r="L177" s="20" t="n">
        <v>169.97</v>
      </c>
      <c r="M177" s="8" t="n">
        <f aca="false">ROUND(K177-L177,2)</f>
        <v>0</v>
      </c>
      <c r="N177" s="7" t="s">
        <v>41</v>
      </c>
    </row>
    <row r="178" customFormat="false" ht="15" hidden="false" customHeight="true" outlineLevel="0" collapsed="false">
      <c r="A178" s="22" t="s">
        <v>107</v>
      </c>
      <c r="B178" s="22" t="s">
        <v>105</v>
      </c>
      <c r="C178" s="22" t="s">
        <v>66</v>
      </c>
      <c r="D178" s="22" t="n">
        <v>14</v>
      </c>
      <c r="E178" s="22" t="s">
        <v>15</v>
      </c>
      <c r="F178" s="19"/>
      <c r="G178" s="19"/>
      <c r="H178" s="22" t="n">
        <v>216</v>
      </c>
      <c r="I178" s="22" t="n">
        <v>1.208</v>
      </c>
      <c r="J178" s="8" t="n">
        <f aca="false">IF(F178="",H178,F178/1000*G178)</f>
        <v>216</v>
      </c>
      <c r="K178" s="8" t="n">
        <f aca="false">ROUND(J178*I178,2)</f>
        <v>260.93</v>
      </c>
      <c r="L178" s="20" t="n">
        <v>260.93</v>
      </c>
      <c r="M178" s="8" t="n">
        <f aca="false">ROUND(K178-L178,2)</f>
        <v>0</v>
      </c>
      <c r="N178" s="7" t="s">
        <v>194</v>
      </c>
    </row>
    <row r="179" customFormat="false" ht="15" hidden="false" customHeight="true" outlineLevel="0" collapsed="false">
      <c r="A179" s="22" t="s">
        <v>107</v>
      </c>
      <c r="B179" s="22" t="s">
        <v>105</v>
      </c>
      <c r="C179" s="22" t="s">
        <v>66</v>
      </c>
      <c r="D179" s="22" t="n">
        <v>8</v>
      </c>
      <c r="E179" s="22" t="s">
        <v>12</v>
      </c>
      <c r="F179" s="22" t="n">
        <v>630</v>
      </c>
      <c r="G179" s="22" t="n">
        <v>176</v>
      </c>
      <c r="H179" s="19"/>
      <c r="I179" s="22" t="n">
        <v>0.395</v>
      </c>
      <c r="J179" s="8" t="n">
        <f aca="false">IF(F179="",H179,F179/1000*G179)</f>
        <v>110.88</v>
      </c>
      <c r="K179" s="8" t="n">
        <f aca="false">ROUND(J179*I179,2)</f>
        <v>43.8</v>
      </c>
      <c r="L179" s="20" t="n">
        <v>43.8</v>
      </c>
      <c r="M179" s="8" t="n">
        <f aca="false">ROUND(K179-L179,2)</f>
        <v>0</v>
      </c>
      <c r="N179" s="7" t="s">
        <v>37</v>
      </c>
    </row>
    <row r="180" customFormat="false" ht="15" hidden="false" customHeight="true" outlineLevel="0" collapsed="false">
      <c r="A180" s="22" t="s">
        <v>108</v>
      </c>
      <c r="B180" s="22" t="s">
        <v>105</v>
      </c>
      <c r="C180" s="22" t="s">
        <v>109</v>
      </c>
      <c r="D180" s="22" t="n">
        <v>14</v>
      </c>
      <c r="E180" s="22" t="s">
        <v>15</v>
      </c>
      <c r="F180" s="22" t="n">
        <v>2930</v>
      </c>
      <c r="G180" s="22" t="n">
        <v>41</v>
      </c>
      <c r="H180" s="19"/>
      <c r="I180" s="22" t="n">
        <v>1.208</v>
      </c>
      <c r="J180" s="8" t="n">
        <f aca="false">IF(F180="",H180,F180/1000*G180)</f>
        <v>120.13</v>
      </c>
      <c r="K180" s="8" t="n">
        <f aca="false">ROUND(J180*I180,2)</f>
        <v>145.12</v>
      </c>
      <c r="L180" s="20" t="n">
        <v>145.12</v>
      </c>
      <c r="M180" s="8" t="n">
        <f aca="false">ROUND(K180-L180,2)</f>
        <v>0</v>
      </c>
      <c r="N180" s="7" t="s">
        <v>41</v>
      </c>
    </row>
    <row r="181" customFormat="false" ht="15" hidden="false" customHeight="true" outlineLevel="0" collapsed="false">
      <c r="A181" s="22" t="s">
        <v>108</v>
      </c>
      <c r="B181" s="22" t="s">
        <v>105</v>
      </c>
      <c r="C181" s="22" t="s">
        <v>109</v>
      </c>
      <c r="D181" s="22" t="n">
        <v>14</v>
      </c>
      <c r="E181" s="22" t="s">
        <v>15</v>
      </c>
      <c r="F181" s="22" t="n">
        <v>3350</v>
      </c>
      <c r="G181" s="22" t="n">
        <v>41</v>
      </c>
      <c r="H181" s="19"/>
      <c r="I181" s="22" t="n">
        <v>1.208</v>
      </c>
      <c r="J181" s="8" t="n">
        <f aca="false">IF(F181="",H181,F181/1000*G181)</f>
        <v>137.35</v>
      </c>
      <c r="K181" s="8" t="n">
        <f aca="false">ROUND(J181*I181,2)</f>
        <v>165.92</v>
      </c>
      <c r="L181" s="20" t="n">
        <v>165.92</v>
      </c>
      <c r="M181" s="8" t="n">
        <f aca="false">ROUND(K181-L181,2)</f>
        <v>0</v>
      </c>
      <c r="N181" s="7" t="s">
        <v>41</v>
      </c>
    </row>
    <row r="182" customFormat="false" ht="15" hidden="false" customHeight="true" outlineLevel="0" collapsed="false">
      <c r="A182" s="22" t="s">
        <v>108</v>
      </c>
      <c r="B182" s="22" t="s">
        <v>105</v>
      </c>
      <c r="C182" s="22" t="s">
        <v>109</v>
      </c>
      <c r="D182" s="22" t="n">
        <v>14</v>
      </c>
      <c r="E182" s="22" t="s">
        <v>15</v>
      </c>
      <c r="F182" s="19"/>
      <c r="G182" s="19"/>
      <c r="H182" s="22" t="n">
        <v>216</v>
      </c>
      <c r="I182" s="22" t="n">
        <v>1.208</v>
      </c>
      <c r="J182" s="8" t="n">
        <f aca="false">IF(F182="",H182,F182/1000*G182)</f>
        <v>216</v>
      </c>
      <c r="K182" s="8" t="n">
        <f aca="false">ROUND(J182*I182,2)</f>
        <v>260.93</v>
      </c>
      <c r="L182" s="20" t="n">
        <v>260.93</v>
      </c>
      <c r="M182" s="8" t="n">
        <f aca="false">ROUND(K182-L182,2)</f>
        <v>0</v>
      </c>
      <c r="N182" s="7" t="s">
        <v>194</v>
      </c>
    </row>
    <row r="183" customFormat="false" ht="15" hidden="false" customHeight="true" outlineLevel="0" collapsed="false">
      <c r="A183" s="22" t="s">
        <v>108</v>
      </c>
      <c r="B183" s="22" t="s">
        <v>105</v>
      </c>
      <c r="C183" s="22" t="s">
        <v>109</v>
      </c>
      <c r="D183" s="22" t="n">
        <v>8</v>
      </c>
      <c r="E183" s="22" t="s">
        <v>12</v>
      </c>
      <c r="F183" s="22" t="n">
        <v>630</v>
      </c>
      <c r="G183" s="22" t="n">
        <v>176</v>
      </c>
      <c r="H183" s="19"/>
      <c r="I183" s="22" t="n">
        <v>0.395</v>
      </c>
      <c r="J183" s="8" t="n">
        <f aca="false">IF(F183="",H183,F183/1000*G183)</f>
        <v>110.88</v>
      </c>
      <c r="K183" s="8" t="n">
        <f aca="false">ROUND(J183*I183,2)</f>
        <v>43.8</v>
      </c>
      <c r="L183" s="20" t="n">
        <v>43.8</v>
      </c>
      <c r="M183" s="8" t="n">
        <f aca="false">ROUND(K183-L183,2)</f>
        <v>0</v>
      </c>
      <c r="N183" s="7" t="s">
        <v>37</v>
      </c>
    </row>
    <row r="184" customFormat="false" ht="15" hidden="false" customHeight="true" outlineLevel="0" collapsed="false">
      <c r="A184" s="22" t="s">
        <v>110</v>
      </c>
      <c r="B184" s="22" t="s">
        <v>105</v>
      </c>
      <c r="C184" s="22" t="s">
        <v>68</v>
      </c>
      <c r="D184" s="22" t="n">
        <v>14</v>
      </c>
      <c r="E184" s="22" t="s">
        <v>15</v>
      </c>
      <c r="F184" s="22" t="n">
        <v>2930</v>
      </c>
      <c r="G184" s="22" t="n">
        <v>41</v>
      </c>
      <c r="H184" s="19"/>
      <c r="I184" s="22" t="n">
        <v>1.208</v>
      </c>
      <c r="J184" s="8" t="n">
        <f aca="false">IF(F184="",H184,F184/1000*G184)</f>
        <v>120.13</v>
      </c>
      <c r="K184" s="8" t="n">
        <f aca="false">ROUND(J184*I184,2)</f>
        <v>145.12</v>
      </c>
      <c r="L184" s="20" t="n">
        <v>145.12</v>
      </c>
      <c r="M184" s="8" t="n">
        <f aca="false">ROUND(K184-L184,2)</f>
        <v>0</v>
      </c>
      <c r="N184" s="7" t="s">
        <v>41</v>
      </c>
    </row>
    <row r="185" customFormat="false" ht="15" hidden="false" customHeight="true" outlineLevel="0" collapsed="false">
      <c r="A185" s="22" t="s">
        <v>110</v>
      </c>
      <c r="B185" s="22" t="s">
        <v>105</v>
      </c>
      <c r="C185" s="22" t="s">
        <v>68</v>
      </c>
      <c r="D185" s="22" t="n">
        <v>14</v>
      </c>
      <c r="E185" s="22" t="s">
        <v>15</v>
      </c>
      <c r="F185" s="22" t="n">
        <v>3350</v>
      </c>
      <c r="G185" s="22" t="n">
        <v>41</v>
      </c>
      <c r="H185" s="19"/>
      <c r="I185" s="22" t="n">
        <v>1.208</v>
      </c>
      <c r="J185" s="8" t="n">
        <f aca="false">IF(F185="",H185,F185/1000*G185)</f>
        <v>137.35</v>
      </c>
      <c r="K185" s="8" t="n">
        <f aca="false">ROUND(J185*I185,2)</f>
        <v>165.92</v>
      </c>
      <c r="L185" s="20" t="n">
        <v>165.92</v>
      </c>
      <c r="M185" s="8" t="n">
        <f aca="false">ROUND(K185-L185,2)</f>
        <v>0</v>
      </c>
      <c r="N185" s="7" t="s">
        <v>41</v>
      </c>
    </row>
    <row r="186" customFormat="false" ht="15" hidden="false" customHeight="true" outlineLevel="0" collapsed="false">
      <c r="A186" s="22" t="s">
        <v>110</v>
      </c>
      <c r="B186" s="22" t="s">
        <v>105</v>
      </c>
      <c r="C186" s="22" t="s">
        <v>68</v>
      </c>
      <c r="D186" s="22" t="n">
        <v>14</v>
      </c>
      <c r="E186" s="22" t="s">
        <v>15</v>
      </c>
      <c r="F186" s="19"/>
      <c r="G186" s="19"/>
      <c r="H186" s="22" t="n">
        <v>216</v>
      </c>
      <c r="I186" s="22" t="n">
        <v>1.208</v>
      </c>
      <c r="J186" s="8" t="n">
        <f aca="false">IF(F186="",H186,F186/1000*G186)</f>
        <v>216</v>
      </c>
      <c r="K186" s="8" t="n">
        <f aca="false">ROUND(J186*I186,2)</f>
        <v>260.93</v>
      </c>
      <c r="L186" s="20" t="n">
        <v>260.93</v>
      </c>
      <c r="M186" s="8" t="n">
        <f aca="false">ROUND(K186-L186,2)</f>
        <v>0</v>
      </c>
      <c r="N186" s="7" t="s">
        <v>194</v>
      </c>
    </row>
    <row r="187" customFormat="false" ht="15" hidden="false" customHeight="true" outlineLevel="0" collapsed="false">
      <c r="A187" s="22" t="s">
        <v>110</v>
      </c>
      <c r="B187" s="22" t="s">
        <v>105</v>
      </c>
      <c r="C187" s="22" t="s">
        <v>68</v>
      </c>
      <c r="D187" s="22" t="n">
        <v>8</v>
      </c>
      <c r="E187" s="22" t="s">
        <v>12</v>
      </c>
      <c r="F187" s="22" t="n">
        <v>630</v>
      </c>
      <c r="G187" s="22" t="n">
        <v>165</v>
      </c>
      <c r="H187" s="19"/>
      <c r="I187" s="22" t="n">
        <v>0.395</v>
      </c>
      <c r="J187" s="8" t="n">
        <f aca="false">IF(F187="",H187,F187/1000*G187)</f>
        <v>103.95</v>
      </c>
      <c r="K187" s="8" t="n">
        <f aca="false">ROUND(J187*I187,2)</f>
        <v>41.06</v>
      </c>
      <c r="L187" s="20" t="n">
        <v>41.06</v>
      </c>
      <c r="M187" s="8" t="n">
        <f aca="false">ROUND(K187-L187,2)</f>
        <v>0</v>
      </c>
      <c r="N187" s="7" t="s">
        <v>37</v>
      </c>
    </row>
    <row r="188" customFormat="false" ht="15" hidden="false" customHeight="true" outlineLevel="0" collapsed="false">
      <c r="A188" s="22" t="s">
        <v>111</v>
      </c>
      <c r="B188" s="22" t="s">
        <v>112</v>
      </c>
      <c r="C188" s="22" t="s">
        <v>62</v>
      </c>
      <c r="D188" s="22" t="n">
        <v>14</v>
      </c>
      <c r="E188" s="22" t="s">
        <v>15</v>
      </c>
      <c r="F188" s="22" t="n">
        <v>2930</v>
      </c>
      <c r="G188" s="22" t="n">
        <v>33</v>
      </c>
      <c r="H188" s="19"/>
      <c r="I188" s="22" t="n">
        <v>1.208</v>
      </c>
      <c r="J188" s="8" t="n">
        <f aca="false">IF(F188="",H188,F188/1000*G188)</f>
        <v>96.69</v>
      </c>
      <c r="K188" s="8" t="n">
        <f aca="false">ROUND(J188*I188,2)</f>
        <v>116.8</v>
      </c>
      <c r="L188" s="20" t="n">
        <v>116.8</v>
      </c>
      <c r="M188" s="8" t="n">
        <f aca="false">ROUND(K188-L188,2)</f>
        <v>0</v>
      </c>
      <c r="N188" s="7" t="s">
        <v>41</v>
      </c>
    </row>
    <row r="189" customFormat="false" ht="15" hidden="false" customHeight="true" outlineLevel="0" collapsed="false">
      <c r="A189" s="22" t="s">
        <v>111</v>
      </c>
      <c r="B189" s="22" t="s">
        <v>112</v>
      </c>
      <c r="C189" s="22" t="s">
        <v>62</v>
      </c>
      <c r="D189" s="22" t="n">
        <v>14</v>
      </c>
      <c r="E189" s="22" t="s">
        <v>15</v>
      </c>
      <c r="F189" s="22" t="n">
        <v>3350</v>
      </c>
      <c r="G189" s="22" t="n">
        <v>33</v>
      </c>
      <c r="H189" s="19"/>
      <c r="I189" s="22" t="n">
        <v>1.208</v>
      </c>
      <c r="J189" s="8" t="n">
        <f aca="false">IF(F189="",H189,F189/1000*G189)</f>
        <v>110.55</v>
      </c>
      <c r="K189" s="8" t="n">
        <f aca="false">ROUND(J189*I189,2)</f>
        <v>133.54</v>
      </c>
      <c r="L189" s="20" t="n">
        <v>133.54</v>
      </c>
      <c r="M189" s="8" t="n">
        <f aca="false">ROUND(K189-L189,2)</f>
        <v>0</v>
      </c>
      <c r="N189" s="7" t="s">
        <v>41</v>
      </c>
    </row>
    <row r="190" customFormat="false" ht="15" hidden="false" customHeight="true" outlineLevel="0" collapsed="false">
      <c r="A190" s="22" t="s">
        <v>111</v>
      </c>
      <c r="B190" s="22" t="s">
        <v>112</v>
      </c>
      <c r="C190" s="22" t="s">
        <v>62</v>
      </c>
      <c r="D190" s="22" t="n">
        <v>14</v>
      </c>
      <c r="E190" s="22" t="s">
        <v>15</v>
      </c>
      <c r="F190" s="22" t="n">
        <v>560</v>
      </c>
      <c r="G190" s="22" t="n">
        <v>12</v>
      </c>
      <c r="H190" s="19"/>
      <c r="I190" s="22" t="n">
        <v>1.208</v>
      </c>
      <c r="J190" s="8" t="n">
        <f aca="false">IF(F190="",H190,F190/1000*G190)</f>
        <v>6.72</v>
      </c>
      <c r="K190" s="8" t="n">
        <f aca="false">ROUND(J190*I190,2)</f>
        <v>8.12</v>
      </c>
      <c r="L190" s="20" t="n">
        <v>8.12</v>
      </c>
      <c r="M190" s="8" t="n">
        <f aca="false">ROUND(K190-L190,2)</f>
        <v>0</v>
      </c>
      <c r="N190" s="7" t="s">
        <v>41</v>
      </c>
    </row>
    <row r="191" customFormat="false" ht="15" hidden="false" customHeight="true" outlineLevel="0" collapsed="false">
      <c r="A191" s="22" t="s">
        <v>111</v>
      </c>
      <c r="B191" s="22" t="s">
        <v>112</v>
      </c>
      <c r="C191" s="22" t="s">
        <v>62</v>
      </c>
      <c r="D191" s="22" t="n">
        <v>14</v>
      </c>
      <c r="E191" s="22" t="s">
        <v>15</v>
      </c>
      <c r="F191" s="19"/>
      <c r="G191" s="19"/>
      <c r="H191" s="22" t="n">
        <v>197.04</v>
      </c>
      <c r="I191" s="22" t="n">
        <v>1.208</v>
      </c>
      <c r="J191" s="8" t="n">
        <f aca="false">IF(F191="",H191,F191/1000*G191)</f>
        <v>197.04</v>
      </c>
      <c r="K191" s="8" t="n">
        <f aca="false">ROUND(J191*I191,2)</f>
        <v>238.02</v>
      </c>
      <c r="L191" s="20" t="n">
        <v>238.02</v>
      </c>
      <c r="M191" s="8" t="n">
        <f aca="false">ROUND(K191-L191,2)</f>
        <v>0</v>
      </c>
      <c r="N191" s="7" t="s">
        <v>194</v>
      </c>
    </row>
    <row r="192" customFormat="false" ht="15" hidden="false" customHeight="true" outlineLevel="0" collapsed="false">
      <c r="A192" s="22" t="s">
        <v>111</v>
      </c>
      <c r="B192" s="22" t="s">
        <v>112</v>
      </c>
      <c r="C192" s="22" t="s">
        <v>62</v>
      </c>
      <c r="D192" s="22" t="n">
        <v>8</v>
      </c>
      <c r="E192" s="22" t="s">
        <v>12</v>
      </c>
      <c r="F192" s="22" t="n">
        <v>390</v>
      </c>
      <c r="G192" s="22" t="n">
        <v>136</v>
      </c>
      <c r="H192" s="19"/>
      <c r="I192" s="22" t="n">
        <v>0.395</v>
      </c>
      <c r="J192" s="8" t="n">
        <f aca="false">IF(F192="",H192,F192/1000*G192)</f>
        <v>53.04</v>
      </c>
      <c r="K192" s="8" t="n">
        <f aca="false">ROUND(J192*I192,2)</f>
        <v>20.95</v>
      </c>
      <c r="L192" s="20" t="n">
        <v>20.95</v>
      </c>
      <c r="M192" s="8" t="n">
        <f aca="false">ROUND(K192-L192,2)</f>
        <v>0</v>
      </c>
      <c r="N192" s="7" t="s">
        <v>38</v>
      </c>
    </row>
    <row r="193" customFormat="false" ht="15" hidden="false" customHeight="true" outlineLevel="0" collapsed="false">
      <c r="A193" s="22" t="s">
        <v>111</v>
      </c>
      <c r="B193" s="22" t="s">
        <v>112</v>
      </c>
      <c r="C193" s="22" t="s">
        <v>62</v>
      </c>
      <c r="D193" s="22" t="n">
        <v>16</v>
      </c>
      <c r="E193" s="22" t="s">
        <v>15</v>
      </c>
      <c r="F193" s="22" t="n">
        <v>1970</v>
      </c>
      <c r="G193" s="22" t="n">
        <v>24</v>
      </c>
      <c r="H193" s="19"/>
      <c r="I193" s="22" t="n">
        <v>1.578</v>
      </c>
      <c r="J193" s="8" t="n">
        <f aca="false">IF(F193="",H193,F193/1000*G193)</f>
        <v>47.28</v>
      </c>
      <c r="K193" s="8" t="n">
        <f aca="false">ROUND(J193*I193,2)</f>
        <v>74.61</v>
      </c>
      <c r="L193" s="20" t="n">
        <v>74.61</v>
      </c>
      <c r="M193" s="8" t="n">
        <f aca="false">ROUND(K193-L193,2)</f>
        <v>0</v>
      </c>
      <c r="N193" s="7" t="s">
        <v>42</v>
      </c>
    </row>
    <row r="194" customFormat="false" ht="15" hidden="false" customHeight="true" outlineLevel="0" collapsed="false">
      <c r="A194" s="22" t="s">
        <v>113</v>
      </c>
      <c r="B194" s="22" t="s">
        <v>112</v>
      </c>
      <c r="C194" s="22" t="s">
        <v>64</v>
      </c>
      <c r="D194" s="22" t="n">
        <v>14</v>
      </c>
      <c r="E194" s="22" t="s">
        <v>15</v>
      </c>
      <c r="F194" s="22" t="n">
        <v>2930</v>
      </c>
      <c r="G194" s="22" t="n">
        <v>34</v>
      </c>
      <c r="H194" s="19"/>
      <c r="I194" s="22" t="n">
        <v>1.208</v>
      </c>
      <c r="J194" s="8" t="n">
        <f aca="false">IF(F194="",H194,F194/1000*G194)</f>
        <v>99.62</v>
      </c>
      <c r="K194" s="8" t="n">
        <f aca="false">ROUND(J194*I194,2)</f>
        <v>120.34</v>
      </c>
      <c r="L194" s="20" t="n">
        <v>120.34</v>
      </c>
      <c r="M194" s="8" t="n">
        <f aca="false">ROUND(K194-L194,2)</f>
        <v>0</v>
      </c>
      <c r="N194" s="7" t="s">
        <v>41</v>
      </c>
    </row>
    <row r="195" customFormat="false" ht="15" hidden="false" customHeight="true" outlineLevel="0" collapsed="false">
      <c r="A195" s="22" t="s">
        <v>113</v>
      </c>
      <c r="B195" s="22" t="s">
        <v>112</v>
      </c>
      <c r="C195" s="22" t="s">
        <v>64</v>
      </c>
      <c r="D195" s="22" t="n">
        <v>14</v>
      </c>
      <c r="E195" s="22" t="s">
        <v>15</v>
      </c>
      <c r="F195" s="22" t="n">
        <v>3350</v>
      </c>
      <c r="G195" s="22" t="n">
        <v>34</v>
      </c>
      <c r="H195" s="19"/>
      <c r="I195" s="22" t="n">
        <v>1.208</v>
      </c>
      <c r="J195" s="8" t="n">
        <f aca="false">IF(F195="",H195,F195/1000*G195)</f>
        <v>113.9</v>
      </c>
      <c r="K195" s="8" t="n">
        <f aca="false">ROUND(J195*I195,2)</f>
        <v>137.59</v>
      </c>
      <c r="L195" s="20" t="n">
        <v>137.59</v>
      </c>
      <c r="M195" s="8" t="n">
        <f aca="false">ROUND(K195-L195,2)</f>
        <v>0</v>
      </c>
      <c r="N195" s="7" t="s">
        <v>41</v>
      </c>
    </row>
    <row r="196" customFormat="false" ht="15" hidden="false" customHeight="true" outlineLevel="0" collapsed="false">
      <c r="A196" s="22" t="s">
        <v>113</v>
      </c>
      <c r="B196" s="22" t="s">
        <v>112</v>
      </c>
      <c r="C196" s="22" t="s">
        <v>64</v>
      </c>
      <c r="D196" s="22" t="n">
        <v>14</v>
      </c>
      <c r="E196" s="22" t="s">
        <v>15</v>
      </c>
      <c r="F196" s="19"/>
      <c r="G196" s="19"/>
      <c r="H196" s="22" t="n">
        <v>181.2</v>
      </c>
      <c r="I196" s="22" t="n">
        <v>1.208</v>
      </c>
      <c r="J196" s="8" t="n">
        <f aca="false">IF(F196="",H196,F196/1000*G196)</f>
        <v>181.2</v>
      </c>
      <c r="K196" s="8" t="n">
        <f aca="false">ROUND(J196*I196,2)</f>
        <v>218.89</v>
      </c>
      <c r="L196" s="20" t="n">
        <v>218.89</v>
      </c>
      <c r="M196" s="8" t="n">
        <f aca="false">ROUND(K196-L196,2)</f>
        <v>0</v>
      </c>
      <c r="N196" s="7" t="s">
        <v>194</v>
      </c>
    </row>
    <row r="197" customFormat="false" ht="15" hidden="false" customHeight="true" outlineLevel="0" collapsed="false">
      <c r="A197" s="22" t="s">
        <v>113</v>
      </c>
      <c r="B197" s="22" t="s">
        <v>112</v>
      </c>
      <c r="C197" s="22" t="s">
        <v>64</v>
      </c>
      <c r="D197" s="22" t="n">
        <v>8</v>
      </c>
      <c r="E197" s="22" t="s">
        <v>12</v>
      </c>
      <c r="F197" s="22" t="n">
        <v>630</v>
      </c>
      <c r="G197" s="22" t="n">
        <v>128</v>
      </c>
      <c r="H197" s="19"/>
      <c r="I197" s="22" t="n">
        <v>0.395</v>
      </c>
      <c r="J197" s="8" t="n">
        <f aca="false">IF(F197="",H197,F197/1000*G197)</f>
        <v>80.64</v>
      </c>
      <c r="K197" s="8" t="n">
        <f aca="false">ROUND(J197*I197,2)</f>
        <v>31.85</v>
      </c>
      <c r="L197" s="20" t="n">
        <v>31.85</v>
      </c>
      <c r="M197" s="8" t="n">
        <f aca="false">ROUND(K197-L197,2)</f>
        <v>0</v>
      </c>
      <c r="N197" s="7" t="s">
        <v>37</v>
      </c>
    </row>
    <row r="198" customFormat="false" ht="15" hidden="false" customHeight="true" outlineLevel="0" collapsed="false">
      <c r="A198" s="22" t="s">
        <v>114</v>
      </c>
      <c r="B198" s="22" t="s">
        <v>112</v>
      </c>
      <c r="C198" s="22" t="s">
        <v>66</v>
      </c>
      <c r="D198" s="22" t="n">
        <v>14</v>
      </c>
      <c r="E198" s="22" t="s">
        <v>15</v>
      </c>
      <c r="F198" s="22" t="n">
        <v>2930</v>
      </c>
      <c r="G198" s="22" t="n">
        <v>19</v>
      </c>
      <c r="H198" s="19"/>
      <c r="I198" s="22" t="n">
        <v>1.208</v>
      </c>
      <c r="J198" s="8" t="n">
        <f aca="false">IF(F198="",H198,F198/1000*G198)</f>
        <v>55.67</v>
      </c>
      <c r="K198" s="8" t="n">
        <f aca="false">ROUND(J198*I198,2)</f>
        <v>67.25</v>
      </c>
      <c r="L198" s="20" t="n">
        <v>67.25</v>
      </c>
      <c r="M198" s="8" t="n">
        <f aca="false">ROUND(K198-L198,2)</f>
        <v>0</v>
      </c>
      <c r="N198" s="7" t="s">
        <v>41</v>
      </c>
    </row>
    <row r="199" customFormat="false" ht="15" hidden="false" customHeight="true" outlineLevel="0" collapsed="false">
      <c r="A199" s="22" t="s">
        <v>114</v>
      </c>
      <c r="B199" s="22" t="s">
        <v>112</v>
      </c>
      <c r="C199" s="22" t="s">
        <v>66</v>
      </c>
      <c r="D199" s="22" t="n">
        <v>14</v>
      </c>
      <c r="E199" s="22" t="s">
        <v>15</v>
      </c>
      <c r="F199" s="22" t="n">
        <v>3350</v>
      </c>
      <c r="G199" s="22" t="n">
        <v>19</v>
      </c>
      <c r="H199" s="19"/>
      <c r="I199" s="22" t="n">
        <v>1.208</v>
      </c>
      <c r="J199" s="8" t="n">
        <f aca="false">IF(F199="",H199,F199/1000*G199)</f>
        <v>63.65</v>
      </c>
      <c r="K199" s="8" t="n">
        <f aca="false">ROUND(J199*I199,2)</f>
        <v>76.89</v>
      </c>
      <c r="L199" s="20" t="n">
        <v>76.89</v>
      </c>
      <c r="M199" s="8" t="n">
        <f aca="false">ROUND(K199-L199,2)</f>
        <v>0</v>
      </c>
      <c r="N199" s="7" t="s">
        <v>41</v>
      </c>
    </row>
    <row r="200" customFormat="false" ht="15" hidden="false" customHeight="true" outlineLevel="0" collapsed="false">
      <c r="A200" s="22" t="s">
        <v>114</v>
      </c>
      <c r="B200" s="22" t="s">
        <v>112</v>
      </c>
      <c r="C200" s="22" t="s">
        <v>66</v>
      </c>
      <c r="D200" s="22" t="n">
        <v>14</v>
      </c>
      <c r="E200" s="22" t="s">
        <v>15</v>
      </c>
      <c r="F200" s="19"/>
      <c r="G200" s="19"/>
      <c r="H200" s="22" t="n">
        <v>103.92</v>
      </c>
      <c r="I200" s="22" t="n">
        <v>1.208</v>
      </c>
      <c r="J200" s="8" t="n">
        <f aca="false">IF(F200="",H200,F200/1000*G200)</f>
        <v>103.92</v>
      </c>
      <c r="K200" s="8" t="n">
        <f aca="false">ROUND(J200*I200,2)</f>
        <v>125.54</v>
      </c>
      <c r="L200" s="20" t="n">
        <v>125.54</v>
      </c>
      <c r="M200" s="8" t="n">
        <f aca="false">ROUND(K200-L200,2)</f>
        <v>0</v>
      </c>
      <c r="N200" s="7" t="s">
        <v>194</v>
      </c>
    </row>
    <row r="201" customFormat="false" ht="15" hidden="false" customHeight="true" outlineLevel="0" collapsed="false">
      <c r="A201" s="22" t="s">
        <v>114</v>
      </c>
      <c r="B201" s="22" t="s">
        <v>112</v>
      </c>
      <c r="C201" s="22" t="s">
        <v>66</v>
      </c>
      <c r="D201" s="22" t="n">
        <v>8</v>
      </c>
      <c r="E201" s="22" t="s">
        <v>12</v>
      </c>
      <c r="F201" s="22" t="n">
        <v>630</v>
      </c>
      <c r="G201" s="22" t="n">
        <v>73</v>
      </c>
      <c r="H201" s="19"/>
      <c r="I201" s="22" t="n">
        <v>0.395</v>
      </c>
      <c r="J201" s="8" t="n">
        <f aca="false">IF(F201="",H201,F201/1000*G201)</f>
        <v>45.99</v>
      </c>
      <c r="K201" s="8" t="n">
        <f aca="false">ROUND(J201*I201,2)</f>
        <v>18.17</v>
      </c>
      <c r="L201" s="20" t="n">
        <v>18.17</v>
      </c>
      <c r="M201" s="8" t="n">
        <f aca="false">ROUND(K201-L201,2)</f>
        <v>0</v>
      </c>
      <c r="N201" s="7" t="s">
        <v>37</v>
      </c>
    </row>
    <row r="202" customFormat="false" ht="15" hidden="false" customHeight="true" outlineLevel="0" collapsed="false">
      <c r="A202" s="22" t="s">
        <v>115</v>
      </c>
      <c r="B202" s="22" t="s">
        <v>112</v>
      </c>
      <c r="C202" s="22" t="s">
        <v>68</v>
      </c>
      <c r="D202" s="22" t="n">
        <v>14</v>
      </c>
      <c r="E202" s="22" t="s">
        <v>15</v>
      </c>
      <c r="F202" s="22" t="n">
        <v>2930</v>
      </c>
      <c r="G202" s="22" t="n">
        <v>19</v>
      </c>
      <c r="H202" s="19"/>
      <c r="I202" s="22" t="n">
        <v>1.208</v>
      </c>
      <c r="J202" s="8" t="n">
        <f aca="false">IF(F202="",H202,F202/1000*G202)</f>
        <v>55.67</v>
      </c>
      <c r="K202" s="8" t="n">
        <f aca="false">ROUND(J202*I202,2)</f>
        <v>67.25</v>
      </c>
      <c r="L202" s="20" t="n">
        <v>67.25</v>
      </c>
      <c r="M202" s="8" t="n">
        <f aca="false">ROUND(K202-L202,2)</f>
        <v>0</v>
      </c>
      <c r="N202" s="7" t="s">
        <v>41</v>
      </c>
    </row>
    <row r="203" customFormat="false" ht="15" hidden="false" customHeight="true" outlineLevel="0" collapsed="false">
      <c r="A203" s="22" t="s">
        <v>115</v>
      </c>
      <c r="B203" s="22" t="s">
        <v>112</v>
      </c>
      <c r="C203" s="22" t="s">
        <v>68</v>
      </c>
      <c r="D203" s="22" t="n">
        <v>14</v>
      </c>
      <c r="E203" s="22" t="s">
        <v>15</v>
      </c>
      <c r="F203" s="22" t="n">
        <v>3350</v>
      </c>
      <c r="G203" s="22" t="n">
        <v>19</v>
      </c>
      <c r="H203" s="19"/>
      <c r="I203" s="22" t="n">
        <v>1.208</v>
      </c>
      <c r="J203" s="8" t="n">
        <f aca="false">IF(F203="",H203,F203/1000*G203)</f>
        <v>63.65</v>
      </c>
      <c r="K203" s="8" t="n">
        <f aca="false">ROUND(J203*I203,2)</f>
        <v>76.89</v>
      </c>
      <c r="L203" s="20" t="n">
        <v>76.89</v>
      </c>
      <c r="M203" s="8" t="n">
        <f aca="false">ROUND(K203-L203,2)</f>
        <v>0</v>
      </c>
      <c r="N203" s="7" t="s">
        <v>41</v>
      </c>
    </row>
    <row r="204" customFormat="false" ht="15" hidden="false" customHeight="true" outlineLevel="0" collapsed="false">
      <c r="A204" s="22" t="s">
        <v>115</v>
      </c>
      <c r="B204" s="22" t="s">
        <v>112</v>
      </c>
      <c r="C204" s="22" t="s">
        <v>68</v>
      </c>
      <c r="D204" s="22" t="n">
        <v>14</v>
      </c>
      <c r="E204" s="22" t="s">
        <v>15</v>
      </c>
      <c r="F204" s="19"/>
      <c r="G204" s="19"/>
      <c r="H204" s="22" t="n">
        <v>103.92</v>
      </c>
      <c r="I204" s="22" t="n">
        <v>1.208</v>
      </c>
      <c r="J204" s="8" t="n">
        <f aca="false">IF(F204="",H204,F204/1000*G204)</f>
        <v>103.92</v>
      </c>
      <c r="K204" s="8" t="n">
        <f aca="false">ROUND(J204*I204,2)</f>
        <v>125.54</v>
      </c>
      <c r="L204" s="20" t="n">
        <v>125.54</v>
      </c>
      <c r="M204" s="8" t="n">
        <f aca="false">ROUND(K204-L204,2)</f>
        <v>0</v>
      </c>
      <c r="N204" s="7" t="s">
        <v>194</v>
      </c>
    </row>
    <row r="205" customFormat="false" ht="15" hidden="false" customHeight="true" outlineLevel="0" collapsed="false">
      <c r="A205" s="22" t="s">
        <v>115</v>
      </c>
      <c r="B205" s="22" t="s">
        <v>112</v>
      </c>
      <c r="C205" s="22" t="s">
        <v>68</v>
      </c>
      <c r="D205" s="22" t="n">
        <v>8</v>
      </c>
      <c r="E205" s="22" t="s">
        <v>12</v>
      </c>
      <c r="F205" s="22" t="n">
        <v>630</v>
      </c>
      <c r="G205" s="22" t="n">
        <v>73</v>
      </c>
      <c r="H205" s="19"/>
      <c r="I205" s="22" t="n">
        <v>0.395</v>
      </c>
      <c r="J205" s="8" t="n">
        <f aca="false">IF(F205="",H205,F205/1000*G205)</f>
        <v>45.99</v>
      </c>
      <c r="K205" s="8" t="n">
        <f aca="false">ROUND(J205*I205,2)</f>
        <v>18.17</v>
      </c>
      <c r="L205" s="20" t="n">
        <v>18.17</v>
      </c>
      <c r="M205" s="8" t="n">
        <f aca="false">ROUND(K205-L205,2)</f>
        <v>0</v>
      </c>
      <c r="N205" s="7" t="s">
        <v>37</v>
      </c>
    </row>
    <row r="206" customFormat="false" ht="15" hidden="false" customHeight="true" outlineLevel="0" collapsed="false">
      <c r="A206" s="22" t="s">
        <v>116</v>
      </c>
      <c r="B206" s="22" t="s">
        <v>117</v>
      </c>
      <c r="C206" s="22" t="s">
        <v>62</v>
      </c>
      <c r="D206" s="22" t="n">
        <v>14</v>
      </c>
      <c r="E206" s="22" t="s">
        <v>15</v>
      </c>
      <c r="F206" s="22" t="n">
        <v>2930</v>
      </c>
      <c r="G206" s="22" t="n">
        <v>33</v>
      </c>
      <c r="H206" s="19"/>
      <c r="I206" s="22" t="n">
        <v>1.208</v>
      </c>
      <c r="J206" s="8" t="n">
        <f aca="false">IF(F206="",H206,F206/1000*G206)</f>
        <v>96.69</v>
      </c>
      <c r="K206" s="8" t="n">
        <f aca="false">ROUND(J206*I206,2)</f>
        <v>116.8</v>
      </c>
      <c r="L206" s="20" t="n">
        <v>116.8</v>
      </c>
      <c r="M206" s="8" t="n">
        <f aca="false">ROUND(K206-L206,2)</f>
        <v>0</v>
      </c>
      <c r="N206" s="7" t="s">
        <v>41</v>
      </c>
    </row>
    <row r="207" customFormat="false" ht="15" hidden="false" customHeight="true" outlineLevel="0" collapsed="false">
      <c r="A207" s="22" t="s">
        <v>116</v>
      </c>
      <c r="B207" s="22" t="s">
        <v>117</v>
      </c>
      <c r="C207" s="22" t="s">
        <v>62</v>
      </c>
      <c r="D207" s="22" t="n">
        <v>14</v>
      </c>
      <c r="E207" s="22" t="s">
        <v>15</v>
      </c>
      <c r="F207" s="22" t="n">
        <v>3350</v>
      </c>
      <c r="G207" s="22" t="n">
        <v>33</v>
      </c>
      <c r="H207" s="19"/>
      <c r="I207" s="22" t="n">
        <v>1.208</v>
      </c>
      <c r="J207" s="8" t="n">
        <f aca="false">IF(F207="",H207,F207/1000*G207)</f>
        <v>110.55</v>
      </c>
      <c r="K207" s="8" t="n">
        <f aca="false">ROUND(J207*I207,2)</f>
        <v>133.54</v>
      </c>
      <c r="L207" s="20" t="n">
        <v>133.54</v>
      </c>
      <c r="M207" s="8" t="n">
        <f aca="false">ROUND(K207-L207,2)</f>
        <v>0</v>
      </c>
      <c r="N207" s="7" t="s">
        <v>41</v>
      </c>
    </row>
    <row r="208" customFormat="false" ht="15" hidden="false" customHeight="true" outlineLevel="0" collapsed="false">
      <c r="A208" s="22" t="s">
        <v>116</v>
      </c>
      <c r="B208" s="22" t="s">
        <v>117</v>
      </c>
      <c r="C208" s="22" t="s">
        <v>62</v>
      </c>
      <c r="D208" s="22" t="n">
        <v>14</v>
      </c>
      <c r="E208" s="22" t="s">
        <v>15</v>
      </c>
      <c r="F208" s="22" t="n">
        <v>560</v>
      </c>
      <c r="G208" s="22" t="n">
        <v>12</v>
      </c>
      <c r="H208" s="19"/>
      <c r="I208" s="22" t="n">
        <v>1.208</v>
      </c>
      <c r="J208" s="8" t="n">
        <f aca="false">IF(F208="",H208,F208/1000*G208)</f>
        <v>6.72</v>
      </c>
      <c r="K208" s="8" t="n">
        <f aca="false">ROUND(J208*I208,2)</f>
        <v>8.12</v>
      </c>
      <c r="L208" s="20" t="n">
        <v>8.12</v>
      </c>
      <c r="M208" s="8" t="n">
        <f aca="false">ROUND(K208-L208,2)</f>
        <v>0</v>
      </c>
      <c r="N208" s="7" t="s">
        <v>41</v>
      </c>
    </row>
    <row r="209" customFormat="false" ht="15" hidden="false" customHeight="true" outlineLevel="0" collapsed="false">
      <c r="A209" s="22" t="s">
        <v>116</v>
      </c>
      <c r="B209" s="22" t="s">
        <v>117</v>
      </c>
      <c r="C209" s="22" t="s">
        <v>62</v>
      </c>
      <c r="D209" s="22" t="n">
        <v>14</v>
      </c>
      <c r="E209" s="22" t="s">
        <v>15</v>
      </c>
      <c r="F209" s="19"/>
      <c r="G209" s="19"/>
      <c r="H209" s="22" t="n">
        <v>197.72</v>
      </c>
      <c r="I209" s="22" t="n">
        <v>1.208</v>
      </c>
      <c r="J209" s="8" t="n">
        <f aca="false">IF(F209="",H209,F209/1000*G209)</f>
        <v>197.72</v>
      </c>
      <c r="K209" s="8" t="n">
        <f aca="false">ROUND(J209*I209,2)</f>
        <v>238.85</v>
      </c>
      <c r="L209" s="20" t="n">
        <v>238.85</v>
      </c>
      <c r="M209" s="8" t="n">
        <f aca="false">ROUND(K209-L209,2)</f>
        <v>0</v>
      </c>
      <c r="N209" s="7" t="s">
        <v>194</v>
      </c>
    </row>
    <row r="210" customFormat="false" ht="15" hidden="false" customHeight="true" outlineLevel="0" collapsed="false">
      <c r="A210" s="22" t="s">
        <v>116</v>
      </c>
      <c r="B210" s="22" t="s">
        <v>117</v>
      </c>
      <c r="C210" s="22" t="s">
        <v>62</v>
      </c>
      <c r="D210" s="22" t="n">
        <v>8</v>
      </c>
      <c r="E210" s="22" t="s">
        <v>12</v>
      </c>
      <c r="F210" s="22" t="n">
        <v>390</v>
      </c>
      <c r="G210" s="22" t="n">
        <v>136</v>
      </c>
      <c r="H210" s="19"/>
      <c r="I210" s="22" t="n">
        <v>0.395</v>
      </c>
      <c r="J210" s="8" t="n">
        <f aca="false">IF(F210="",H210,F210/1000*G210)</f>
        <v>53.04</v>
      </c>
      <c r="K210" s="8" t="n">
        <f aca="false">ROUND(J210*I210,2)</f>
        <v>20.95</v>
      </c>
      <c r="L210" s="20" t="n">
        <v>20.95</v>
      </c>
      <c r="M210" s="8" t="n">
        <f aca="false">ROUND(K210-L210,2)</f>
        <v>0</v>
      </c>
      <c r="N210" s="7" t="s">
        <v>38</v>
      </c>
    </row>
    <row r="211" customFormat="false" ht="15" hidden="false" customHeight="true" outlineLevel="0" collapsed="false">
      <c r="A211" s="22" t="s">
        <v>116</v>
      </c>
      <c r="B211" s="22" t="s">
        <v>117</v>
      </c>
      <c r="C211" s="22" t="s">
        <v>62</v>
      </c>
      <c r="D211" s="22" t="n">
        <v>16</v>
      </c>
      <c r="E211" s="22" t="s">
        <v>15</v>
      </c>
      <c r="F211" s="22" t="n">
        <v>1970</v>
      </c>
      <c r="G211" s="22" t="n">
        <v>24</v>
      </c>
      <c r="H211" s="19"/>
      <c r="I211" s="22" t="n">
        <v>1.578</v>
      </c>
      <c r="J211" s="8" t="n">
        <f aca="false">IF(F211="",H211,F211/1000*G211)</f>
        <v>47.28</v>
      </c>
      <c r="K211" s="8" t="n">
        <f aca="false">ROUND(J211*I211,2)</f>
        <v>74.61</v>
      </c>
      <c r="L211" s="20" t="n">
        <v>74.61</v>
      </c>
      <c r="M211" s="8" t="n">
        <f aca="false">ROUND(K211-L211,2)</f>
        <v>0</v>
      </c>
      <c r="N211" s="7" t="s">
        <v>42</v>
      </c>
    </row>
    <row r="212" customFormat="false" ht="15" hidden="false" customHeight="true" outlineLevel="0" collapsed="false">
      <c r="A212" s="22" t="s">
        <v>118</v>
      </c>
      <c r="B212" s="22" t="s">
        <v>117</v>
      </c>
      <c r="C212" s="22" t="s">
        <v>64</v>
      </c>
      <c r="D212" s="22" t="n">
        <v>14</v>
      </c>
      <c r="E212" s="22" t="s">
        <v>15</v>
      </c>
      <c r="F212" s="22" t="n">
        <v>2930</v>
      </c>
      <c r="G212" s="22" t="n">
        <v>34</v>
      </c>
      <c r="H212" s="19"/>
      <c r="I212" s="22" t="n">
        <v>1.208</v>
      </c>
      <c r="J212" s="8" t="n">
        <f aca="false">IF(F212="",H212,F212/1000*G212)</f>
        <v>99.62</v>
      </c>
      <c r="K212" s="8" t="n">
        <f aca="false">ROUND(J212*I212,2)</f>
        <v>120.34</v>
      </c>
      <c r="L212" s="20" t="n">
        <v>120.34</v>
      </c>
      <c r="M212" s="8" t="n">
        <f aca="false">ROUND(K212-L212,2)</f>
        <v>0</v>
      </c>
      <c r="N212" s="7" t="s">
        <v>41</v>
      </c>
    </row>
    <row r="213" customFormat="false" ht="15" hidden="false" customHeight="true" outlineLevel="0" collapsed="false">
      <c r="A213" s="22" t="s">
        <v>118</v>
      </c>
      <c r="B213" s="22" t="s">
        <v>117</v>
      </c>
      <c r="C213" s="22" t="s">
        <v>64</v>
      </c>
      <c r="D213" s="22" t="n">
        <v>14</v>
      </c>
      <c r="E213" s="22" t="s">
        <v>15</v>
      </c>
      <c r="F213" s="22" t="n">
        <v>3350</v>
      </c>
      <c r="G213" s="22" t="n">
        <v>34</v>
      </c>
      <c r="H213" s="19"/>
      <c r="I213" s="22" t="n">
        <v>1.208</v>
      </c>
      <c r="J213" s="8" t="n">
        <f aca="false">IF(F213="",H213,F213/1000*G213)</f>
        <v>113.9</v>
      </c>
      <c r="K213" s="8" t="n">
        <f aca="false">ROUND(J213*I213,2)</f>
        <v>137.59</v>
      </c>
      <c r="L213" s="20" t="n">
        <v>137.59</v>
      </c>
      <c r="M213" s="8" t="n">
        <f aca="false">ROUND(K213-L213,2)</f>
        <v>0</v>
      </c>
      <c r="N213" s="7" t="s">
        <v>41</v>
      </c>
    </row>
    <row r="214" customFormat="false" ht="15" hidden="false" customHeight="true" outlineLevel="0" collapsed="false">
      <c r="A214" s="22" t="s">
        <v>118</v>
      </c>
      <c r="B214" s="22" t="s">
        <v>117</v>
      </c>
      <c r="C214" s="22" t="s">
        <v>64</v>
      </c>
      <c r="D214" s="22" t="n">
        <v>14</v>
      </c>
      <c r="E214" s="22" t="s">
        <v>15</v>
      </c>
      <c r="F214" s="19"/>
      <c r="G214" s="19"/>
      <c r="H214" s="22" t="n">
        <v>205</v>
      </c>
      <c r="I214" s="22" t="n">
        <v>1.208</v>
      </c>
      <c r="J214" s="8" t="n">
        <f aca="false">IF(F214="",H214,F214/1000*G214)</f>
        <v>205</v>
      </c>
      <c r="K214" s="8" t="n">
        <f aca="false">ROUND(J214*I214,2)</f>
        <v>247.64</v>
      </c>
      <c r="L214" s="20" t="n">
        <v>247.64</v>
      </c>
      <c r="M214" s="8" t="n">
        <f aca="false">ROUND(K214-L214,2)</f>
        <v>0</v>
      </c>
      <c r="N214" s="7" t="s">
        <v>194</v>
      </c>
    </row>
    <row r="215" customFormat="false" ht="15" hidden="false" customHeight="true" outlineLevel="0" collapsed="false">
      <c r="A215" s="22" t="s">
        <v>118</v>
      </c>
      <c r="B215" s="22" t="s">
        <v>117</v>
      </c>
      <c r="C215" s="22" t="s">
        <v>64</v>
      </c>
      <c r="D215" s="22" t="n">
        <v>8</v>
      </c>
      <c r="E215" s="22" t="s">
        <v>12</v>
      </c>
      <c r="F215" s="22" t="n">
        <v>630</v>
      </c>
      <c r="G215" s="22" t="n">
        <v>135</v>
      </c>
      <c r="H215" s="19"/>
      <c r="I215" s="22" t="n">
        <v>0.395</v>
      </c>
      <c r="J215" s="8" t="n">
        <f aca="false">IF(F215="",H215,F215/1000*G215)</f>
        <v>85.05</v>
      </c>
      <c r="K215" s="8" t="n">
        <f aca="false">ROUND(J215*I215,2)</f>
        <v>33.59</v>
      </c>
      <c r="L215" s="20" t="n">
        <v>33.59</v>
      </c>
      <c r="M215" s="8" t="n">
        <f aca="false">ROUND(K215-L215,2)</f>
        <v>0</v>
      </c>
      <c r="N215" s="7" t="s">
        <v>37</v>
      </c>
    </row>
    <row r="216" customFormat="false" ht="15" hidden="false" customHeight="true" outlineLevel="0" collapsed="false">
      <c r="A216" s="22" t="s">
        <v>119</v>
      </c>
      <c r="B216" s="22" t="s">
        <v>117</v>
      </c>
      <c r="C216" s="22" t="s">
        <v>66</v>
      </c>
      <c r="D216" s="22" t="n">
        <v>14</v>
      </c>
      <c r="E216" s="22" t="s">
        <v>15</v>
      </c>
      <c r="F216" s="22" t="n">
        <v>2930</v>
      </c>
      <c r="G216" s="22" t="n">
        <v>19</v>
      </c>
      <c r="H216" s="19"/>
      <c r="I216" s="22" t="n">
        <v>1.208</v>
      </c>
      <c r="J216" s="8" t="n">
        <f aca="false">IF(F216="",H216,F216/1000*G216)</f>
        <v>55.67</v>
      </c>
      <c r="K216" s="8" t="n">
        <f aca="false">ROUND(J216*I216,2)</f>
        <v>67.25</v>
      </c>
      <c r="L216" s="20" t="n">
        <v>67.25</v>
      </c>
      <c r="M216" s="8" t="n">
        <f aca="false">ROUND(K216-L216,2)</f>
        <v>0</v>
      </c>
      <c r="N216" s="7" t="s">
        <v>41</v>
      </c>
    </row>
    <row r="217" customFormat="false" ht="15" hidden="false" customHeight="true" outlineLevel="0" collapsed="false">
      <c r="A217" s="22" t="s">
        <v>119</v>
      </c>
      <c r="B217" s="22" t="s">
        <v>117</v>
      </c>
      <c r="C217" s="22" t="s">
        <v>66</v>
      </c>
      <c r="D217" s="22" t="n">
        <v>14</v>
      </c>
      <c r="E217" s="22" t="s">
        <v>15</v>
      </c>
      <c r="F217" s="22" t="n">
        <v>3350</v>
      </c>
      <c r="G217" s="22" t="n">
        <v>19</v>
      </c>
      <c r="H217" s="19"/>
      <c r="I217" s="22" t="n">
        <v>1.208</v>
      </c>
      <c r="J217" s="8" t="n">
        <f aca="false">IF(F217="",H217,F217/1000*G217)</f>
        <v>63.65</v>
      </c>
      <c r="K217" s="8" t="n">
        <f aca="false">ROUND(J217*I217,2)</f>
        <v>76.89</v>
      </c>
      <c r="L217" s="20" t="n">
        <v>76.89</v>
      </c>
      <c r="M217" s="8" t="n">
        <f aca="false">ROUND(K217-L217,2)</f>
        <v>0</v>
      </c>
      <c r="N217" s="7" t="s">
        <v>41</v>
      </c>
    </row>
    <row r="218" customFormat="false" ht="15" hidden="false" customHeight="true" outlineLevel="0" collapsed="false">
      <c r="A218" s="22" t="s">
        <v>119</v>
      </c>
      <c r="B218" s="22" t="s">
        <v>117</v>
      </c>
      <c r="C218" s="22" t="s">
        <v>66</v>
      </c>
      <c r="D218" s="22" t="n">
        <v>14</v>
      </c>
      <c r="E218" s="22" t="s">
        <v>15</v>
      </c>
      <c r="F218" s="19"/>
      <c r="G218" s="19"/>
      <c r="H218" s="22" t="n">
        <v>103.92</v>
      </c>
      <c r="I218" s="22" t="n">
        <v>1.208</v>
      </c>
      <c r="J218" s="8" t="n">
        <f aca="false">IF(F218="",H218,F218/1000*G218)</f>
        <v>103.92</v>
      </c>
      <c r="K218" s="8" t="n">
        <f aca="false">ROUND(J218*I218,2)</f>
        <v>125.54</v>
      </c>
      <c r="L218" s="20" t="n">
        <v>125.54</v>
      </c>
      <c r="M218" s="8" t="n">
        <f aca="false">ROUND(K218-L218,2)</f>
        <v>0</v>
      </c>
      <c r="N218" s="7" t="s">
        <v>194</v>
      </c>
    </row>
    <row r="219" customFormat="false" ht="15" hidden="false" customHeight="true" outlineLevel="0" collapsed="false">
      <c r="A219" s="22" t="s">
        <v>119</v>
      </c>
      <c r="B219" s="22" t="s">
        <v>117</v>
      </c>
      <c r="C219" s="22" t="s">
        <v>66</v>
      </c>
      <c r="D219" s="22" t="n">
        <v>8</v>
      </c>
      <c r="E219" s="22" t="s">
        <v>12</v>
      </c>
      <c r="F219" s="22" t="n">
        <v>630</v>
      </c>
      <c r="G219" s="22" t="n">
        <v>72</v>
      </c>
      <c r="H219" s="19"/>
      <c r="I219" s="22" t="n">
        <v>0.395</v>
      </c>
      <c r="J219" s="8" t="n">
        <f aca="false">IF(F219="",H219,F219/1000*G219)</f>
        <v>45.36</v>
      </c>
      <c r="K219" s="8" t="n">
        <f aca="false">ROUND(J219*I219,2)</f>
        <v>17.92</v>
      </c>
      <c r="L219" s="20" t="n">
        <v>17.92</v>
      </c>
      <c r="M219" s="8" t="n">
        <f aca="false">ROUND(K219-L219,2)</f>
        <v>0</v>
      </c>
      <c r="N219" s="7" t="s">
        <v>37</v>
      </c>
    </row>
    <row r="220" customFormat="false" ht="15" hidden="false" customHeight="true" outlineLevel="0" collapsed="false">
      <c r="A220" s="22" t="s">
        <v>120</v>
      </c>
      <c r="B220" s="22" t="s">
        <v>117</v>
      </c>
      <c r="C220" s="22" t="s">
        <v>68</v>
      </c>
      <c r="D220" s="22" t="n">
        <v>14</v>
      </c>
      <c r="E220" s="22" t="s">
        <v>15</v>
      </c>
      <c r="F220" s="22" t="n">
        <v>2930</v>
      </c>
      <c r="G220" s="22" t="n">
        <v>19</v>
      </c>
      <c r="H220" s="19"/>
      <c r="I220" s="22" t="n">
        <v>1.208</v>
      </c>
      <c r="J220" s="8" t="n">
        <f aca="false">IF(F220="",H220,F220/1000*G220)</f>
        <v>55.67</v>
      </c>
      <c r="K220" s="8" t="n">
        <f aca="false">ROUND(J220*I220,2)</f>
        <v>67.25</v>
      </c>
      <c r="L220" s="20" t="n">
        <v>67.25</v>
      </c>
      <c r="M220" s="8" t="n">
        <f aca="false">ROUND(K220-L220,2)</f>
        <v>0</v>
      </c>
      <c r="N220" s="7" t="s">
        <v>41</v>
      </c>
    </row>
    <row r="221" customFormat="false" ht="15" hidden="false" customHeight="true" outlineLevel="0" collapsed="false">
      <c r="A221" s="22" t="s">
        <v>120</v>
      </c>
      <c r="B221" s="22" t="s">
        <v>117</v>
      </c>
      <c r="C221" s="22" t="s">
        <v>68</v>
      </c>
      <c r="D221" s="22" t="n">
        <v>14</v>
      </c>
      <c r="E221" s="22" t="s">
        <v>15</v>
      </c>
      <c r="F221" s="22" t="n">
        <v>3350</v>
      </c>
      <c r="G221" s="22" t="n">
        <v>19</v>
      </c>
      <c r="H221" s="19"/>
      <c r="I221" s="22" t="n">
        <v>1.208</v>
      </c>
      <c r="J221" s="8" t="n">
        <f aca="false">IF(F221="",H221,F221/1000*G221)</f>
        <v>63.65</v>
      </c>
      <c r="K221" s="8" t="n">
        <f aca="false">ROUND(J221*I221,2)</f>
        <v>76.89</v>
      </c>
      <c r="L221" s="20" t="n">
        <v>76.89</v>
      </c>
      <c r="M221" s="8" t="n">
        <f aca="false">ROUND(K221-L221,2)</f>
        <v>0</v>
      </c>
      <c r="N221" s="7" t="s">
        <v>41</v>
      </c>
    </row>
    <row r="222" customFormat="false" ht="15" hidden="false" customHeight="true" outlineLevel="0" collapsed="false">
      <c r="A222" s="22" t="s">
        <v>120</v>
      </c>
      <c r="B222" s="22" t="s">
        <v>117</v>
      </c>
      <c r="C222" s="22" t="s">
        <v>68</v>
      </c>
      <c r="D222" s="22" t="n">
        <v>14</v>
      </c>
      <c r="E222" s="22" t="s">
        <v>15</v>
      </c>
      <c r="F222" s="19"/>
      <c r="G222" s="19"/>
      <c r="H222" s="22" t="n">
        <v>103.92</v>
      </c>
      <c r="I222" s="22" t="n">
        <v>1.208</v>
      </c>
      <c r="J222" s="8" t="n">
        <f aca="false">IF(F222="",H222,F222/1000*G222)</f>
        <v>103.92</v>
      </c>
      <c r="K222" s="8" t="n">
        <f aca="false">ROUND(J222*I222,2)</f>
        <v>125.54</v>
      </c>
      <c r="L222" s="20" t="n">
        <v>125.54</v>
      </c>
      <c r="M222" s="8" t="n">
        <f aca="false">ROUND(K222-L222,2)</f>
        <v>0</v>
      </c>
      <c r="N222" s="7" t="s">
        <v>194</v>
      </c>
    </row>
    <row r="223" customFormat="false" ht="15" hidden="false" customHeight="true" outlineLevel="0" collapsed="false">
      <c r="A223" s="22" t="s">
        <v>120</v>
      </c>
      <c r="B223" s="22" t="s">
        <v>117</v>
      </c>
      <c r="C223" s="22" t="s">
        <v>68</v>
      </c>
      <c r="D223" s="22" t="n">
        <v>8</v>
      </c>
      <c r="E223" s="22" t="s">
        <v>12</v>
      </c>
      <c r="F223" s="22" t="n">
        <v>630</v>
      </c>
      <c r="G223" s="22" t="n">
        <v>73</v>
      </c>
      <c r="H223" s="19"/>
      <c r="I223" s="22" t="n">
        <v>0.395</v>
      </c>
      <c r="J223" s="8" t="n">
        <f aca="false">IF(F223="",H223,F223/1000*G223)</f>
        <v>45.99</v>
      </c>
      <c r="K223" s="8" t="n">
        <f aca="false">ROUND(J223*I223,2)</f>
        <v>18.17</v>
      </c>
      <c r="L223" s="20" t="n">
        <v>18.17</v>
      </c>
      <c r="M223" s="8" t="n">
        <f aca="false">ROUND(K223-L223,2)</f>
        <v>0</v>
      </c>
      <c r="N223" s="7" t="s">
        <v>37</v>
      </c>
    </row>
    <row r="224" customFormat="false" ht="15" hidden="false" customHeight="true" outlineLevel="0" collapsed="false">
      <c r="A224" s="22" t="s">
        <v>121</v>
      </c>
      <c r="B224" s="22" t="s">
        <v>122</v>
      </c>
      <c r="C224" s="22" t="s">
        <v>62</v>
      </c>
      <c r="D224" s="22" t="n">
        <v>14</v>
      </c>
      <c r="E224" s="22" t="s">
        <v>15</v>
      </c>
      <c r="F224" s="22" t="n">
        <v>2930</v>
      </c>
      <c r="G224" s="22" t="n">
        <v>24</v>
      </c>
      <c r="H224" s="19"/>
      <c r="I224" s="22" t="n">
        <v>1.208</v>
      </c>
      <c r="J224" s="8" t="n">
        <f aca="false">IF(F224="",H224,F224/1000*G224)</f>
        <v>70.32</v>
      </c>
      <c r="K224" s="8" t="n">
        <f aca="false">ROUND(J224*I224,2)</f>
        <v>84.95</v>
      </c>
      <c r="L224" s="20" t="n">
        <v>84.95</v>
      </c>
      <c r="M224" s="8" t="n">
        <f aca="false">ROUND(K224-L224,2)</f>
        <v>0</v>
      </c>
      <c r="N224" s="7" t="s">
        <v>41</v>
      </c>
    </row>
    <row r="225" customFormat="false" ht="15" hidden="false" customHeight="true" outlineLevel="0" collapsed="false">
      <c r="A225" s="22" t="s">
        <v>121</v>
      </c>
      <c r="B225" s="22" t="s">
        <v>122</v>
      </c>
      <c r="C225" s="22" t="s">
        <v>62</v>
      </c>
      <c r="D225" s="22" t="n">
        <v>14</v>
      </c>
      <c r="E225" s="22" t="s">
        <v>15</v>
      </c>
      <c r="F225" s="22" t="n">
        <v>3350</v>
      </c>
      <c r="G225" s="22" t="n">
        <v>24</v>
      </c>
      <c r="H225" s="19"/>
      <c r="I225" s="22" t="n">
        <v>1.208</v>
      </c>
      <c r="J225" s="8" t="n">
        <f aca="false">IF(F225="",H225,F225/1000*G225)</f>
        <v>80.4</v>
      </c>
      <c r="K225" s="8" t="n">
        <f aca="false">ROUND(J225*I225,2)</f>
        <v>97.12</v>
      </c>
      <c r="L225" s="20" t="n">
        <v>97.12</v>
      </c>
      <c r="M225" s="8" t="n">
        <f aca="false">ROUND(K225-L225,2)</f>
        <v>0</v>
      </c>
      <c r="N225" s="7" t="s">
        <v>41</v>
      </c>
    </row>
    <row r="226" customFormat="false" ht="15" hidden="false" customHeight="true" outlineLevel="0" collapsed="false">
      <c r="A226" s="22" t="s">
        <v>121</v>
      </c>
      <c r="B226" s="22" t="s">
        <v>122</v>
      </c>
      <c r="C226" s="22" t="s">
        <v>62</v>
      </c>
      <c r="D226" s="22" t="n">
        <v>14</v>
      </c>
      <c r="E226" s="22" t="s">
        <v>15</v>
      </c>
      <c r="F226" s="22" t="n">
        <v>2480</v>
      </c>
      <c r="G226" s="22" t="n">
        <v>14</v>
      </c>
      <c r="H226" s="19"/>
      <c r="I226" s="22" t="n">
        <v>1.208</v>
      </c>
      <c r="J226" s="8" t="n">
        <f aca="false">IF(F226="",H226,F226/1000*G226)</f>
        <v>34.72</v>
      </c>
      <c r="K226" s="8" t="n">
        <f aca="false">ROUND(J226*I226,2)</f>
        <v>41.94</v>
      </c>
      <c r="L226" s="20" t="n">
        <v>41.94</v>
      </c>
      <c r="M226" s="8" t="n">
        <f aca="false">ROUND(K226-L226,2)</f>
        <v>0</v>
      </c>
      <c r="N226" s="7" t="s">
        <v>41</v>
      </c>
    </row>
    <row r="227" customFormat="false" ht="15" hidden="false" customHeight="true" outlineLevel="0" collapsed="false">
      <c r="A227" s="22" t="s">
        <v>121</v>
      </c>
      <c r="B227" s="22" t="s">
        <v>122</v>
      </c>
      <c r="C227" s="22" t="s">
        <v>62</v>
      </c>
      <c r="D227" s="22" t="n">
        <v>14</v>
      </c>
      <c r="E227" s="22" t="s">
        <v>15</v>
      </c>
      <c r="F227" s="19"/>
      <c r="G227" s="19"/>
      <c r="H227" s="22" t="n">
        <v>169.2</v>
      </c>
      <c r="I227" s="22" t="n">
        <v>1.208</v>
      </c>
      <c r="J227" s="8" t="n">
        <f aca="false">IF(F227="",H227,F227/1000*G227)</f>
        <v>169.2</v>
      </c>
      <c r="K227" s="8" t="n">
        <f aca="false">ROUND(J227*I227,2)</f>
        <v>204.39</v>
      </c>
      <c r="L227" s="20" t="n">
        <v>204.39</v>
      </c>
      <c r="M227" s="8" t="n">
        <f aca="false">ROUND(K227-L227,2)</f>
        <v>0</v>
      </c>
      <c r="N227" s="7" t="s">
        <v>194</v>
      </c>
    </row>
    <row r="228" customFormat="false" ht="15" hidden="false" customHeight="true" outlineLevel="0" collapsed="false">
      <c r="A228" s="22" t="s">
        <v>121</v>
      </c>
      <c r="B228" s="22" t="s">
        <v>122</v>
      </c>
      <c r="C228" s="22" t="s">
        <v>62</v>
      </c>
      <c r="D228" s="22" t="n">
        <v>8</v>
      </c>
      <c r="E228" s="22" t="s">
        <v>12</v>
      </c>
      <c r="F228" s="22" t="n">
        <v>630</v>
      </c>
      <c r="G228" s="22" t="n">
        <v>120</v>
      </c>
      <c r="H228" s="19"/>
      <c r="I228" s="22" t="n">
        <v>0.395</v>
      </c>
      <c r="J228" s="8" t="n">
        <f aca="false">IF(F228="",H228,F228/1000*G228)</f>
        <v>75.6</v>
      </c>
      <c r="K228" s="8" t="n">
        <f aca="false">ROUND(J228*I228,2)</f>
        <v>29.86</v>
      </c>
      <c r="L228" s="20" t="n">
        <v>29.86</v>
      </c>
      <c r="M228" s="8" t="n">
        <f aca="false">ROUND(K228-L228,2)</f>
        <v>0</v>
      </c>
      <c r="N228" s="7" t="s">
        <v>37</v>
      </c>
    </row>
    <row r="229" customFormat="false" ht="15" hidden="false" customHeight="true" outlineLevel="0" collapsed="false">
      <c r="A229" s="22" t="s">
        <v>123</v>
      </c>
      <c r="B229" s="22" t="s">
        <v>122</v>
      </c>
      <c r="C229" s="22" t="s">
        <v>64</v>
      </c>
      <c r="D229" s="22" t="n">
        <v>14</v>
      </c>
      <c r="E229" s="22" t="s">
        <v>15</v>
      </c>
      <c r="F229" s="22" t="n">
        <v>2930</v>
      </c>
      <c r="G229" s="22" t="n">
        <v>37</v>
      </c>
      <c r="H229" s="19"/>
      <c r="I229" s="22" t="n">
        <v>1.208</v>
      </c>
      <c r="J229" s="8" t="n">
        <f aca="false">IF(F229="",H229,F229/1000*G229)</f>
        <v>108.41</v>
      </c>
      <c r="K229" s="8" t="n">
        <f aca="false">ROUND(J229*I229,2)</f>
        <v>130.96</v>
      </c>
      <c r="L229" s="20" t="n">
        <v>130.96</v>
      </c>
      <c r="M229" s="8" t="n">
        <f aca="false">ROUND(K229-L229,2)</f>
        <v>0</v>
      </c>
      <c r="N229" s="7" t="s">
        <v>41</v>
      </c>
    </row>
    <row r="230" customFormat="false" ht="15" hidden="false" customHeight="true" outlineLevel="0" collapsed="false">
      <c r="A230" s="22" t="s">
        <v>123</v>
      </c>
      <c r="B230" s="22" t="s">
        <v>122</v>
      </c>
      <c r="C230" s="22" t="s">
        <v>64</v>
      </c>
      <c r="D230" s="22" t="n">
        <v>14</v>
      </c>
      <c r="E230" s="22" t="s">
        <v>15</v>
      </c>
      <c r="F230" s="22" t="n">
        <v>3350</v>
      </c>
      <c r="G230" s="22" t="n">
        <v>37</v>
      </c>
      <c r="H230" s="19"/>
      <c r="I230" s="22" t="n">
        <v>1.208</v>
      </c>
      <c r="J230" s="8" t="n">
        <f aca="false">IF(F230="",H230,F230/1000*G230)</f>
        <v>123.95</v>
      </c>
      <c r="K230" s="8" t="n">
        <f aca="false">ROUND(J230*I230,2)</f>
        <v>149.73</v>
      </c>
      <c r="L230" s="20" t="n">
        <v>149.73</v>
      </c>
      <c r="M230" s="8" t="n">
        <f aca="false">ROUND(K230-L230,2)</f>
        <v>0</v>
      </c>
      <c r="N230" s="7" t="s">
        <v>41</v>
      </c>
    </row>
    <row r="231" customFormat="false" ht="15" hidden="false" customHeight="true" outlineLevel="0" collapsed="false">
      <c r="A231" s="22" t="s">
        <v>123</v>
      </c>
      <c r="B231" s="22" t="s">
        <v>122</v>
      </c>
      <c r="C231" s="22" t="s">
        <v>64</v>
      </c>
      <c r="D231" s="22" t="n">
        <v>14</v>
      </c>
      <c r="E231" s="22" t="s">
        <v>15</v>
      </c>
      <c r="F231" s="19"/>
      <c r="G231" s="19"/>
      <c r="H231" s="22" t="n">
        <v>209.56</v>
      </c>
      <c r="I231" s="22" t="n">
        <v>1.208</v>
      </c>
      <c r="J231" s="8" t="n">
        <f aca="false">IF(F231="",H231,F231/1000*G231)</f>
        <v>209.56</v>
      </c>
      <c r="K231" s="8" t="n">
        <f aca="false">ROUND(J231*I231,2)</f>
        <v>253.15</v>
      </c>
      <c r="L231" s="20" t="n">
        <v>253.15</v>
      </c>
      <c r="M231" s="8" t="n">
        <f aca="false">ROUND(K231-L231,2)</f>
        <v>0</v>
      </c>
      <c r="N231" s="7" t="s">
        <v>194</v>
      </c>
    </row>
    <row r="232" customFormat="false" ht="15" hidden="false" customHeight="true" outlineLevel="0" collapsed="false">
      <c r="A232" s="22" t="s">
        <v>123</v>
      </c>
      <c r="B232" s="22" t="s">
        <v>122</v>
      </c>
      <c r="C232" s="22" t="s">
        <v>64</v>
      </c>
      <c r="D232" s="22" t="n">
        <v>8</v>
      </c>
      <c r="E232" s="22" t="s">
        <v>12</v>
      </c>
      <c r="F232" s="22" t="n">
        <v>630</v>
      </c>
      <c r="G232" s="22" t="n">
        <v>128</v>
      </c>
      <c r="H232" s="19"/>
      <c r="I232" s="22" t="n">
        <v>0.395</v>
      </c>
      <c r="J232" s="8" t="n">
        <f aca="false">IF(F232="",H232,F232/1000*G232)</f>
        <v>80.64</v>
      </c>
      <c r="K232" s="8" t="n">
        <f aca="false">ROUND(J232*I232,2)</f>
        <v>31.85</v>
      </c>
      <c r="L232" s="20" t="n">
        <v>31.85</v>
      </c>
      <c r="M232" s="8" t="n">
        <f aca="false">ROUND(K232-L232,2)</f>
        <v>0</v>
      </c>
      <c r="N232" s="7" t="s">
        <v>37</v>
      </c>
    </row>
    <row r="233" customFormat="false" ht="15" hidden="false" customHeight="true" outlineLevel="0" collapsed="false">
      <c r="A233" s="22" t="s">
        <v>123</v>
      </c>
      <c r="B233" s="22" t="s">
        <v>122</v>
      </c>
      <c r="C233" s="22" t="s">
        <v>64</v>
      </c>
      <c r="D233" s="22" t="n">
        <v>16</v>
      </c>
      <c r="E233" s="22" t="s">
        <v>15</v>
      </c>
      <c r="F233" s="22" t="n">
        <v>1970</v>
      </c>
      <c r="G233" s="22" t="n">
        <v>26</v>
      </c>
      <c r="H233" s="19"/>
      <c r="I233" s="22" t="n">
        <v>1.578</v>
      </c>
      <c r="J233" s="8" t="n">
        <f aca="false">IF(F233="",H233,F233/1000*G233)</f>
        <v>51.22</v>
      </c>
      <c r="K233" s="8" t="n">
        <f aca="false">ROUND(J233*I233,2)</f>
        <v>80.83</v>
      </c>
      <c r="L233" s="20" t="n">
        <v>80.83</v>
      </c>
      <c r="M233" s="8" t="n">
        <f aca="false">ROUND(K233-L233,2)</f>
        <v>0</v>
      </c>
      <c r="N233" s="7" t="s">
        <v>42</v>
      </c>
    </row>
    <row r="234" customFormat="false" ht="15" hidden="false" customHeight="true" outlineLevel="0" collapsed="false">
      <c r="A234" s="22" t="s">
        <v>124</v>
      </c>
      <c r="B234" s="22" t="s">
        <v>122</v>
      </c>
      <c r="C234" s="22" t="s">
        <v>66</v>
      </c>
      <c r="D234" s="22" t="n">
        <v>14</v>
      </c>
      <c r="E234" s="22" t="s">
        <v>15</v>
      </c>
      <c r="F234" s="22" t="n">
        <v>2930</v>
      </c>
      <c r="G234" s="22" t="n">
        <v>16</v>
      </c>
      <c r="H234" s="19"/>
      <c r="I234" s="22" t="n">
        <v>1.208</v>
      </c>
      <c r="J234" s="8" t="n">
        <f aca="false">IF(F234="",H234,F234/1000*G234)</f>
        <v>46.88</v>
      </c>
      <c r="K234" s="8" t="n">
        <f aca="false">ROUND(J234*I234,2)</f>
        <v>56.63</v>
      </c>
      <c r="L234" s="20" t="n">
        <v>56.63</v>
      </c>
      <c r="M234" s="8" t="n">
        <f aca="false">ROUND(K234-L234,2)</f>
        <v>0</v>
      </c>
      <c r="N234" s="7" t="s">
        <v>41</v>
      </c>
    </row>
    <row r="235" customFormat="false" ht="15" hidden="false" customHeight="true" outlineLevel="0" collapsed="false">
      <c r="A235" s="22" t="s">
        <v>124</v>
      </c>
      <c r="B235" s="22" t="s">
        <v>122</v>
      </c>
      <c r="C235" s="22" t="s">
        <v>66</v>
      </c>
      <c r="D235" s="22" t="n">
        <v>14</v>
      </c>
      <c r="E235" s="22" t="s">
        <v>15</v>
      </c>
      <c r="F235" s="22" t="n">
        <v>3350</v>
      </c>
      <c r="G235" s="22" t="n">
        <v>16</v>
      </c>
      <c r="H235" s="19"/>
      <c r="I235" s="22" t="n">
        <v>1.208</v>
      </c>
      <c r="J235" s="8" t="n">
        <f aca="false">IF(F235="",H235,F235/1000*G235)</f>
        <v>53.6</v>
      </c>
      <c r="K235" s="8" t="n">
        <f aca="false">ROUND(J235*I235,2)</f>
        <v>64.75</v>
      </c>
      <c r="L235" s="20" t="n">
        <v>64.75</v>
      </c>
      <c r="M235" s="8" t="n">
        <f aca="false">ROUND(K235-L235,2)</f>
        <v>0</v>
      </c>
      <c r="N235" s="7" t="s">
        <v>41</v>
      </c>
    </row>
    <row r="236" customFormat="false" ht="15" hidden="false" customHeight="true" outlineLevel="0" collapsed="false">
      <c r="A236" s="22" t="s">
        <v>124</v>
      </c>
      <c r="B236" s="22" t="s">
        <v>122</v>
      </c>
      <c r="C236" s="22" t="s">
        <v>66</v>
      </c>
      <c r="D236" s="22" t="n">
        <v>14</v>
      </c>
      <c r="E236" s="22" t="s">
        <v>15</v>
      </c>
      <c r="F236" s="19"/>
      <c r="G236" s="19"/>
      <c r="H236" s="22" t="n">
        <v>99.12</v>
      </c>
      <c r="I236" s="22" t="n">
        <v>1.208</v>
      </c>
      <c r="J236" s="8" t="n">
        <f aca="false">IF(F236="",H236,F236/1000*G236)</f>
        <v>99.12</v>
      </c>
      <c r="K236" s="8" t="n">
        <f aca="false">ROUND(J236*I236,2)</f>
        <v>119.74</v>
      </c>
      <c r="L236" s="20" t="n">
        <v>119.74</v>
      </c>
      <c r="M236" s="8" t="n">
        <f aca="false">ROUND(K236-L236,2)</f>
        <v>0</v>
      </c>
      <c r="N236" s="7" t="s">
        <v>194</v>
      </c>
    </row>
    <row r="237" customFormat="false" ht="15" hidden="false" customHeight="true" outlineLevel="0" collapsed="false">
      <c r="A237" s="22" t="s">
        <v>124</v>
      </c>
      <c r="B237" s="22" t="s">
        <v>122</v>
      </c>
      <c r="C237" s="22" t="s">
        <v>66</v>
      </c>
      <c r="D237" s="22" t="n">
        <v>8</v>
      </c>
      <c r="E237" s="22" t="s">
        <v>12</v>
      </c>
      <c r="F237" s="22" t="n">
        <v>630</v>
      </c>
      <c r="G237" s="22" t="n">
        <v>76</v>
      </c>
      <c r="H237" s="19"/>
      <c r="I237" s="22" t="n">
        <v>0.395</v>
      </c>
      <c r="J237" s="8" t="n">
        <f aca="false">IF(F237="",H237,F237/1000*G237)</f>
        <v>47.88</v>
      </c>
      <c r="K237" s="8" t="n">
        <f aca="false">ROUND(J237*I237,2)</f>
        <v>18.91</v>
      </c>
      <c r="L237" s="20" t="n">
        <v>18.91</v>
      </c>
      <c r="M237" s="8" t="n">
        <f aca="false">ROUND(K237-L237,2)</f>
        <v>0</v>
      </c>
      <c r="N237" s="7" t="s">
        <v>37</v>
      </c>
    </row>
    <row r="238" customFormat="false" ht="15" hidden="false" customHeight="true" outlineLevel="0" collapsed="false">
      <c r="A238" s="22" t="s">
        <v>125</v>
      </c>
      <c r="B238" s="22" t="s">
        <v>122</v>
      </c>
      <c r="C238" s="22" t="s">
        <v>68</v>
      </c>
      <c r="D238" s="22" t="n">
        <v>14</v>
      </c>
      <c r="E238" s="22" t="s">
        <v>15</v>
      </c>
      <c r="F238" s="22" t="n">
        <v>2930</v>
      </c>
      <c r="G238" s="22" t="n">
        <v>16</v>
      </c>
      <c r="H238" s="19"/>
      <c r="I238" s="22" t="n">
        <v>1.208</v>
      </c>
      <c r="J238" s="8" t="n">
        <f aca="false">IF(F238="",H238,F238/1000*G238)</f>
        <v>46.88</v>
      </c>
      <c r="K238" s="8" t="n">
        <f aca="false">ROUND(J238*I238,2)</f>
        <v>56.63</v>
      </c>
      <c r="L238" s="20" t="n">
        <v>56.63</v>
      </c>
      <c r="M238" s="8" t="n">
        <f aca="false">ROUND(K238-L238,2)</f>
        <v>0</v>
      </c>
      <c r="N238" s="7" t="s">
        <v>41</v>
      </c>
    </row>
    <row r="239" customFormat="false" ht="15" hidden="false" customHeight="true" outlineLevel="0" collapsed="false">
      <c r="A239" s="22" t="s">
        <v>125</v>
      </c>
      <c r="B239" s="22" t="s">
        <v>122</v>
      </c>
      <c r="C239" s="22" t="s">
        <v>68</v>
      </c>
      <c r="D239" s="22" t="n">
        <v>14</v>
      </c>
      <c r="E239" s="22" t="s">
        <v>15</v>
      </c>
      <c r="F239" s="22" t="n">
        <v>3350</v>
      </c>
      <c r="G239" s="22" t="n">
        <v>16</v>
      </c>
      <c r="H239" s="19"/>
      <c r="I239" s="22" t="n">
        <v>1.208</v>
      </c>
      <c r="J239" s="8" t="n">
        <f aca="false">IF(F239="",H239,F239/1000*G239)</f>
        <v>53.6</v>
      </c>
      <c r="K239" s="8" t="n">
        <f aca="false">ROUND(J239*I239,2)</f>
        <v>64.75</v>
      </c>
      <c r="L239" s="20" t="n">
        <v>64.75</v>
      </c>
      <c r="M239" s="8" t="n">
        <f aca="false">ROUND(K239-L239,2)</f>
        <v>0</v>
      </c>
      <c r="N239" s="7" t="s">
        <v>41</v>
      </c>
    </row>
    <row r="240" customFormat="false" ht="15" hidden="false" customHeight="true" outlineLevel="0" collapsed="false">
      <c r="A240" s="22" t="s">
        <v>125</v>
      </c>
      <c r="B240" s="22" t="s">
        <v>122</v>
      </c>
      <c r="C240" s="22" t="s">
        <v>68</v>
      </c>
      <c r="D240" s="22" t="n">
        <v>14</v>
      </c>
      <c r="E240" s="22" t="s">
        <v>15</v>
      </c>
      <c r="F240" s="19"/>
      <c r="G240" s="19"/>
      <c r="H240" s="22" t="n">
        <v>97.32</v>
      </c>
      <c r="I240" s="22" t="n">
        <v>1.208</v>
      </c>
      <c r="J240" s="8" t="n">
        <f aca="false">IF(F240="",H240,F240/1000*G240)</f>
        <v>97.32</v>
      </c>
      <c r="K240" s="8" t="n">
        <f aca="false">ROUND(J240*I240,2)</f>
        <v>117.56</v>
      </c>
      <c r="L240" s="20" t="n">
        <v>117.56</v>
      </c>
      <c r="M240" s="8" t="n">
        <f aca="false">ROUND(K240-L240,2)</f>
        <v>0</v>
      </c>
      <c r="N240" s="7" t="s">
        <v>194</v>
      </c>
    </row>
    <row r="241" customFormat="false" ht="15" hidden="false" customHeight="true" outlineLevel="0" collapsed="false">
      <c r="A241" s="22" t="s">
        <v>125</v>
      </c>
      <c r="B241" s="22" t="s">
        <v>122</v>
      </c>
      <c r="C241" s="22" t="s">
        <v>68</v>
      </c>
      <c r="D241" s="22" t="n">
        <v>8</v>
      </c>
      <c r="E241" s="22" t="s">
        <v>12</v>
      </c>
      <c r="F241" s="22" t="n">
        <v>630</v>
      </c>
      <c r="G241" s="22" t="n">
        <v>74</v>
      </c>
      <c r="H241" s="19"/>
      <c r="I241" s="22" t="n">
        <v>0.395</v>
      </c>
      <c r="J241" s="8" t="n">
        <f aca="false">IF(F241="",H241,F241/1000*G241)</f>
        <v>46.62</v>
      </c>
      <c r="K241" s="8" t="n">
        <f aca="false">ROUND(J241*I241,2)</f>
        <v>18.41</v>
      </c>
      <c r="L241" s="20" t="n">
        <v>18.41</v>
      </c>
      <c r="M241" s="8" t="n">
        <f aca="false">ROUND(K241-L241,2)</f>
        <v>0</v>
      </c>
      <c r="N241" s="7" t="s">
        <v>37</v>
      </c>
    </row>
    <row r="242" customFormat="false" ht="15" hidden="false" customHeight="true" outlineLevel="0" collapsed="false">
      <c r="A242" s="22" t="s">
        <v>126</v>
      </c>
      <c r="B242" s="22" t="s">
        <v>127</v>
      </c>
      <c r="C242" s="22" t="s">
        <v>62</v>
      </c>
      <c r="D242" s="22" t="n">
        <v>14</v>
      </c>
      <c r="E242" s="22" t="s">
        <v>15</v>
      </c>
      <c r="F242" s="22" t="n">
        <v>2600</v>
      </c>
      <c r="G242" s="22" t="n">
        <v>21</v>
      </c>
      <c r="H242" s="19"/>
      <c r="I242" s="22" t="n">
        <v>1.208</v>
      </c>
      <c r="J242" s="8" t="n">
        <f aca="false">IF(F242="",H242,F242/1000*G242)</f>
        <v>54.6</v>
      </c>
      <c r="K242" s="8" t="n">
        <f aca="false">ROUND(J242*I242,2)</f>
        <v>65.96</v>
      </c>
      <c r="L242" s="20" t="n">
        <v>65.96</v>
      </c>
      <c r="M242" s="8" t="n">
        <f aca="false">ROUND(K242-L242,2)</f>
        <v>0</v>
      </c>
      <c r="N242" s="7" t="s">
        <v>41</v>
      </c>
    </row>
    <row r="243" customFormat="false" ht="15" hidden="false" customHeight="true" outlineLevel="0" collapsed="false">
      <c r="A243" s="22" t="s">
        <v>126</v>
      </c>
      <c r="B243" s="22" t="s">
        <v>127</v>
      </c>
      <c r="C243" s="22" t="s">
        <v>62</v>
      </c>
      <c r="D243" s="22" t="n">
        <v>14</v>
      </c>
      <c r="E243" s="22" t="s">
        <v>15</v>
      </c>
      <c r="F243" s="22" t="n">
        <v>2180</v>
      </c>
      <c r="G243" s="22" t="n">
        <v>21</v>
      </c>
      <c r="H243" s="19"/>
      <c r="I243" s="22" t="n">
        <v>1.208</v>
      </c>
      <c r="J243" s="8" t="n">
        <f aca="false">IF(F243="",H243,F243/1000*G243)</f>
        <v>45.78</v>
      </c>
      <c r="K243" s="8" t="n">
        <f aca="false">ROUND(J243*I243,2)</f>
        <v>55.3</v>
      </c>
      <c r="L243" s="20" t="n">
        <v>55.3</v>
      </c>
      <c r="M243" s="8" t="n">
        <f aca="false">ROUND(K243-L243,2)</f>
        <v>0</v>
      </c>
      <c r="N243" s="7" t="s">
        <v>41</v>
      </c>
    </row>
    <row r="244" customFormat="false" ht="15" hidden="false" customHeight="true" outlineLevel="0" collapsed="false">
      <c r="A244" s="22" t="s">
        <v>126</v>
      </c>
      <c r="B244" s="22" t="s">
        <v>127</v>
      </c>
      <c r="C244" s="22" t="s">
        <v>62</v>
      </c>
      <c r="D244" s="22" t="n">
        <v>14</v>
      </c>
      <c r="E244" s="22" t="s">
        <v>15</v>
      </c>
      <c r="F244" s="19"/>
      <c r="G244" s="19"/>
      <c r="H244" s="22" t="n">
        <v>79.52</v>
      </c>
      <c r="I244" s="22" t="n">
        <v>1.208</v>
      </c>
      <c r="J244" s="8" t="n">
        <f aca="false">IF(F244="",H244,F244/1000*G244)</f>
        <v>79.52</v>
      </c>
      <c r="K244" s="8" t="n">
        <f aca="false">ROUND(J244*I244,2)</f>
        <v>96.06</v>
      </c>
      <c r="L244" s="20" t="n">
        <v>96.06</v>
      </c>
      <c r="M244" s="8" t="n">
        <f aca="false">ROUND(K244-L244,2)</f>
        <v>0</v>
      </c>
      <c r="N244" s="7" t="s">
        <v>194</v>
      </c>
    </row>
    <row r="245" customFormat="false" ht="15" hidden="false" customHeight="true" outlineLevel="0" collapsed="false">
      <c r="A245" s="22" t="s">
        <v>126</v>
      </c>
      <c r="B245" s="22" t="s">
        <v>127</v>
      </c>
      <c r="C245" s="22" t="s">
        <v>62</v>
      </c>
      <c r="D245" s="22" t="n">
        <v>8</v>
      </c>
      <c r="E245" s="22" t="s">
        <v>12</v>
      </c>
      <c r="F245" s="22" t="n">
        <v>390</v>
      </c>
      <c r="G245" s="22" t="n">
        <v>50</v>
      </c>
      <c r="H245" s="19"/>
      <c r="I245" s="22" t="n">
        <v>0.395</v>
      </c>
      <c r="J245" s="8" t="n">
        <f aca="false">IF(F245="",H245,F245/1000*G245)</f>
        <v>19.5</v>
      </c>
      <c r="K245" s="8" t="n">
        <f aca="false">ROUND(J245*I245,2)</f>
        <v>7.7</v>
      </c>
      <c r="L245" s="20" t="n">
        <v>7.7</v>
      </c>
      <c r="M245" s="8" t="n">
        <f aca="false">ROUND(K245-L245,2)</f>
        <v>0</v>
      </c>
      <c r="N245" s="7" t="s">
        <v>38</v>
      </c>
    </row>
    <row r="246" customFormat="false" ht="15" hidden="false" customHeight="true" outlineLevel="0" collapsed="false">
      <c r="A246" s="22" t="s">
        <v>128</v>
      </c>
      <c r="B246" s="22" t="s">
        <v>127</v>
      </c>
      <c r="C246" s="22" t="s">
        <v>64</v>
      </c>
      <c r="D246" s="22" t="n">
        <v>14</v>
      </c>
      <c r="E246" s="22" t="s">
        <v>15</v>
      </c>
      <c r="F246" s="22" t="n">
        <v>2600</v>
      </c>
      <c r="G246" s="22" t="n">
        <v>21</v>
      </c>
      <c r="H246" s="19"/>
      <c r="I246" s="22" t="n">
        <v>1.208</v>
      </c>
      <c r="J246" s="8" t="n">
        <f aca="false">IF(F246="",H246,F246/1000*G246)</f>
        <v>54.6</v>
      </c>
      <c r="K246" s="8" t="n">
        <f aca="false">ROUND(J246*I246,2)</f>
        <v>65.96</v>
      </c>
      <c r="L246" s="20" t="n">
        <v>65.96</v>
      </c>
      <c r="M246" s="8" t="n">
        <f aca="false">ROUND(K246-L246,2)</f>
        <v>0</v>
      </c>
      <c r="N246" s="7" t="s">
        <v>41</v>
      </c>
    </row>
    <row r="247" customFormat="false" ht="15" hidden="false" customHeight="true" outlineLevel="0" collapsed="false">
      <c r="A247" s="22" t="s">
        <v>128</v>
      </c>
      <c r="B247" s="22" t="s">
        <v>127</v>
      </c>
      <c r="C247" s="22" t="s">
        <v>64</v>
      </c>
      <c r="D247" s="22" t="n">
        <v>14</v>
      </c>
      <c r="E247" s="22" t="s">
        <v>15</v>
      </c>
      <c r="F247" s="22" t="n">
        <v>2180</v>
      </c>
      <c r="G247" s="22" t="n">
        <v>21</v>
      </c>
      <c r="H247" s="19"/>
      <c r="I247" s="22" t="n">
        <v>1.208</v>
      </c>
      <c r="J247" s="8" t="n">
        <f aca="false">IF(F247="",H247,F247/1000*G247)</f>
        <v>45.78</v>
      </c>
      <c r="K247" s="8" t="n">
        <f aca="false">ROUND(J247*I247,2)</f>
        <v>55.3</v>
      </c>
      <c r="L247" s="20" t="n">
        <v>55.3</v>
      </c>
      <c r="M247" s="8" t="n">
        <f aca="false">ROUND(K247-L247,2)</f>
        <v>0</v>
      </c>
      <c r="N247" s="7" t="s">
        <v>41</v>
      </c>
    </row>
    <row r="248" customFormat="false" ht="15" hidden="false" customHeight="true" outlineLevel="0" collapsed="false">
      <c r="A248" s="22" t="s">
        <v>128</v>
      </c>
      <c r="B248" s="22" t="s">
        <v>127</v>
      </c>
      <c r="C248" s="22" t="s">
        <v>64</v>
      </c>
      <c r="D248" s="22" t="n">
        <v>14</v>
      </c>
      <c r="E248" s="22" t="s">
        <v>15</v>
      </c>
      <c r="F248" s="19"/>
      <c r="G248" s="19"/>
      <c r="H248" s="22" t="n">
        <v>79.52</v>
      </c>
      <c r="I248" s="22" t="n">
        <v>1.208</v>
      </c>
      <c r="J248" s="8" t="n">
        <f aca="false">IF(F248="",H248,F248/1000*G248)</f>
        <v>79.52</v>
      </c>
      <c r="K248" s="8" t="n">
        <f aca="false">ROUND(J248*I248,2)</f>
        <v>96.06</v>
      </c>
      <c r="L248" s="20" t="n">
        <v>96.06</v>
      </c>
      <c r="M248" s="8" t="n">
        <f aca="false">ROUND(K248-L248,2)</f>
        <v>0</v>
      </c>
      <c r="N248" s="7" t="s">
        <v>194</v>
      </c>
    </row>
    <row r="249" customFormat="false" ht="15" hidden="false" customHeight="true" outlineLevel="0" collapsed="false">
      <c r="A249" s="22" t="s">
        <v>128</v>
      </c>
      <c r="B249" s="22" t="s">
        <v>127</v>
      </c>
      <c r="C249" s="22" t="s">
        <v>64</v>
      </c>
      <c r="D249" s="22" t="n">
        <v>8</v>
      </c>
      <c r="E249" s="22" t="s">
        <v>12</v>
      </c>
      <c r="F249" s="22" t="n">
        <v>390</v>
      </c>
      <c r="G249" s="22" t="n">
        <v>50</v>
      </c>
      <c r="H249" s="19"/>
      <c r="I249" s="22" t="n">
        <v>0.395</v>
      </c>
      <c r="J249" s="8" t="n">
        <f aca="false">IF(F249="",H249,F249/1000*G249)</f>
        <v>19.5</v>
      </c>
      <c r="K249" s="8" t="n">
        <f aca="false">ROUND(J249*I249,2)</f>
        <v>7.7</v>
      </c>
      <c r="L249" s="20" t="n">
        <v>7.7</v>
      </c>
      <c r="M249" s="8" t="n">
        <f aca="false">ROUND(K249-L249,2)</f>
        <v>0</v>
      </c>
      <c r="N249" s="7" t="s">
        <v>38</v>
      </c>
    </row>
    <row r="250" customFormat="false" ht="15" hidden="false" customHeight="true" outlineLevel="0" collapsed="false">
      <c r="A250" s="22" t="s">
        <v>129</v>
      </c>
      <c r="B250" s="22" t="s">
        <v>127</v>
      </c>
      <c r="C250" s="22" t="s">
        <v>66</v>
      </c>
      <c r="D250" s="22" t="n">
        <v>14</v>
      </c>
      <c r="E250" s="22" t="s">
        <v>15</v>
      </c>
      <c r="F250" s="22" t="n">
        <v>2600</v>
      </c>
      <c r="G250" s="22" t="n">
        <v>5</v>
      </c>
      <c r="H250" s="19"/>
      <c r="I250" s="22" t="n">
        <v>1.208</v>
      </c>
      <c r="J250" s="8" t="n">
        <f aca="false">IF(F250="",H250,F250/1000*G250)</f>
        <v>13</v>
      </c>
      <c r="K250" s="8" t="n">
        <f aca="false">ROUND(J250*I250,2)</f>
        <v>15.7</v>
      </c>
      <c r="L250" s="20" t="n">
        <v>15.7</v>
      </c>
      <c r="M250" s="8" t="n">
        <f aca="false">ROUND(K250-L250,2)</f>
        <v>0</v>
      </c>
      <c r="N250" s="7" t="s">
        <v>41</v>
      </c>
    </row>
    <row r="251" customFormat="false" ht="15" hidden="false" customHeight="true" outlineLevel="0" collapsed="false">
      <c r="A251" s="22" t="s">
        <v>129</v>
      </c>
      <c r="B251" s="22" t="s">
        <v>127</v>
      </c>
      <c r="C251" s="22" t="s">
        <v>66</v>
      </c>
      <c r="D251" s="22" t="n">
        <v>14</v>
      </c>
      <c r="E251" s="22" t="s">
        <v>15</v>
      </c>
      <c r="F251" s="22" t="n">
        <v>2180</v>
      </c>
      <c r="G251" s="22" t="n">
        <v>5</v>
      </c>
      <c r="H251" s="19"/>
      <c r="I251" s="22" t="n">
        <v>1.208</v>
      </c>
      <c r="J251" s="8" t="n">
        <f aca="false">IF(F251="",H251,F251/1000*G251)</f>
        <v>10.9</v>
      </c>
      <c r="K251" s="8" t="n">
        <f aca="false">ROUND(J251*I251,2)</f>
        <v>13.17</v>
      </c>
      <c r="L251" s="20" t="n">
        <v>13.17</v>
      </c>
      <c r="M251" s="8" t="n">
        <f aca="false">ROUND(K251-L251,2)</f>
        <v>0</v>
      </c>
      <c r="N251" s="7" t="s">
        <v>41</v>
      </c>
    </row>
    <row r="252" customFormat="false" ht="15" hidden="false" customHeight="true" outlineLevel="0" collapsed="false">
      <c r="A252" s="22" t="s">
        <v>129</v>
      </c>
      <c r="B252" s="22" t="s">
        <v>127</v>
      </c>
      <c r="C252" s="22" t="s">
        <v>66</v>
      </c>
      <c r="D252" s="22" t="n">
        <v>14</v>
      </c>
      <c r="E252" s="22" t="s">
        <v>15</v>
      </c>
      <c r="F252" s="22" t="n">
        <v>2480</v>
      </c>
      <c r="G252" s="22" t="n">
        <v>16</v>
      </c>
      <c r="H252" s="19"/>
      <c r="I252" s="22" t="n">
        <v>1.208</v>
      </c>
      <c r="J252" s="8" t="n">
        <f aca="false">IF(F252="",H252,F252/1000*G252)</f>
        <v>39.68</v>
      </c>
      <c r="K252" s="8" t="n">
        <f aca="false">ROUND(J252*I252,2)</f>
        <v>47.93</v>
      </c>
      <c r="L252" s="20" t="n">
        <v>47.93</v>
      </c>
      <c r="M252" s="8" t="n">
        <f aca="false">ROUND(K252-L252,2)</f>
        <v>0</v>
      </c>
      <c r="N252" s="7" t="s">
        <v>41</v>
      </c>
    </row>
    <row r="253" customFormat="false" ht="15" hidden="false" customHeight="true" outlineLevel="0" collapsed="false">
      <c r="A253" s="22" t="s">
        <v>129</v>
      </c>
      <c r="B253" s="22" t="s">
        <v>127</v>
      </c>
      <c r="C253" s="22" t="s">
        <v>66</v>
      </c>
      <c r="D253" s="22" t="n">
        <v>14</v>
      </c>
      <c r="E253" s="22" t="s">
        <v>15</v>
      </c>
      <c r="F253" s="22" t="n">
        <v>3350</v>
      </c>
      <c r="G253" s="22" t="n">
        <v>4</v>
      </c>
      <c r="H253" s="19"/>
      <c r="I253" s="22" t="n">
        <v>1.208</v>
      </c>
      <c r="J253" s="8" t="n">
        <f aca="false">IF(F253="",H253,F253/1000*G253)</f>
        <v>13.4</v>
      </c>
      <c r="K253" s="8" t="n">
        <f aca="false">ROUND(J253*I253,2)</f>
        <v>16.19</v>
      </c>
      <c r="L253" s="20" t="n">
        <v>16.19</v>
      </c>
      <c r="M253" s="8" t="n">
        <f aca="false">ROUND(K253-L253,2)</f>
        <v>0</v>
      </c>
      <c r="N253" s="7" t="s">
        <v>41</v>
      </c>
    </row>
    <row r="254" customFormat="false" ht="15" hidden="false" customHeight="true" outlineLevel="0" collapsed="false">
      <c r="A254" s="22" t="s">
        <v>129</v>
      </c>
      <c r="B254" s="22" t="s">
        <v>127</v>
      </c>
      <c r="C254" s="22" t="s">
        <v>66</v>
      </c>
      <c r="D254" s="22" t="n">
        <v>14</v>
      </c>
      <c r="E254" s="22" t="s">
        <v>15</v>
      </c>
      <c r="F254" s="22" t="n">
        <v>2930</v>
      </c>
      <c r="G254" s="22" t="n">
        <v>4</v>
      </c>
      <c r="H254" s="19"/>
      <c r="I254" s="22" t="n">
        <v>1.208</v>
      </c>
      <c r="J254" s="8" t="n">
        <f aca="false">IF(F254="",H254,F254/1000*G254)</f>
        <v>11.72</v>
      </c>
      <c r="K254" s="8" t="n">
        <f aca="false">ROUND(J254*I254,2)</f>
        <v>14.16</v>
      </c>
      <c r="L254" s="20" t="n">
        <v>14.16</v>
      </c>
      <c r="M254" s="8" t="n">
        <f aca="false">ROUND(K254-L254,2)</f>
        <v>0</v>
      </c>
      <c r="N254" s="7" t="s">
        <v>41</v>
      </c>
    </row>
    <row r="255" customFormat="false" ht="15" hidden="false" customHeight="true" outlineLevel="0" collapsed="false">
      <c r="A255" s="22" t="s">
        <v>129</v>
      </c>
      <c r="B255" s="22" t="s">
        <v>127</v>
      </c>
      <c r="C255" s="22" t="s">
        <v>66</v>
      </c>
      <c r="D255" s="22" t="n">
        <v>14</v>
      </c>
      <c r="E255" s="22" t="s">
        <v>15</v>
      </c>
      <c r="F255" s="22" t="n">
        <v>3280</v>
      </c>
      <c r="G255" s="22" t="n">
        <v>40</v>
      </c>
      <c r="H255" s="19"/>
      <c r="I255" s="22" t="n">
        <v>1.208</v>
      </c>
      <c r="J255" s="8" t="n">
        <f aca="false">IF(F255="",H255,F255/1000*G255)</f>
        <v>131.2</v>
      </c>
      <c r="K255" s="8" t="n">
        <f aca="false">ROUND(J255*I255,2)</f>
        <v>158.49</v>
      </c>
      <c r="L255" s="20" t="n">
        <v>158.49</v>
      </c>
      <c r="M255" s="8" t="n">
        <f aca="false">ROUND(K255-L255,2)</f>
        <v>0</v>
      </c>
      <c r="N255" s="7" t="s">
        <v>41</v>
      </c>
    </row>
    <row r="256" customFormat="false" ht="15" hidden="false" customHeight="true" outlineLevel="0" collapsed="false">
      <c r="A256" s="22" t="s">
        <v>129</v>
      </c>
      <c r="B256" s="22" t="s">
        <v>127</v>
      </c>
      <c r="C256" s="22" t="s">
        <v>66</v>
      </c>
      <c r="D256" s="22" t="n">
        <v>14</v>
      </c>
      <c r="E256" s="22" t="s">
        <v>14</v>
      </c>
      <c r="F256" s="19"/>
      <c r="G256" s="19"/>
      <c r="H256" s="22" t="n">
        <v>145.18</v>
      </c>
      <c r="I256" s="22" t="n">
        <v>1.208</v>
      </c>
      <c r="J256" s="8" t="n">
        <f aca="false">IF(F256="",H256,F256/1000*G256)</f>
        <v>145.18</v>
      </c>
      <c r="K256" s="8" t="n">
        <f aca="false">ROUND(J256*I256,2)</f>
        <v>175.38</v>
      </c>
      <c r="L256" s="20" t="n">
        <v>696.92</v>
      </c>
      <c r="M256" s="8" t="n">
        <f aca="false">ROUND(K256-L256,2)</f>
        <v>-521.54</v>
      </c>
      <c r="N256" s="7" t="s">
        <v>194</v>
      </c>
    </row>
    <row r="257" customFormat="false" ht="15" hidden="false" customHeight="true" outlineLevel="0" collapsed="false">
      <c r="A257" s="22" t="s">
        <v>129</v>
      </c>
      <c r="B257" s="22" t="s">
        <v>127</v>
      </c>
      <c r="C257" s="22" t="s">
        <v>66</v>
      </c>
      <c r="D257" s="22" t="n">
        <v>8</v>
      </c>
      <c r="E257" s="22" t="s">
        <v>12</v>
      </c>
      <c r="F257" s="22" t="n">
        <v>630</v>
      </c>
      <c r="G257" s="22" t="n">
        <v>166</v>
      </c>
      <c r="H257" s="19"/>
      <c r="I257" s="22" t="n">
        <v>0.395</v>
      </c>
      <c r="J257" s="8" t="n">
        <f aca="false">IF(F257="",H257,F257/1000*G257)</f>
        <v>104.58</v>
      </c>
      <c r="K257" s="8" t="n">
        <f aca="false">ROUND(J257*I257,2)</f>
        <v>41.31</v>
      </c>
      <c r="L257" s="20" t="n">
        <v>41.31</v>
      </c>
      <c r="M257" s="8" t="n">
        <f aca="false">ROUND(K257-L257,2)</f>
        <v>0</v>
      </c>
      <c r="N257" s="7" t="s">
        <v>37</v>
      </c>
    </row>
    <row r="258" customFormat="false" ht="15" hidden="false" customHeight="true" outlineLevel="0" collapsed="false">
      <c r="A258" s="22" t="s">
        <v>130</v>
      </c>
      <c r="B258" s="22" t="s">
        <v>127</v>
      </c>
      <c r="C258" s="22" t="s">
        <v>68</v>
      </c>
      <c r="D258" s="22" t="n">
        <v>14</v>
      </c>
      <c r="E258" s="22" t="s">
        <v>15</v>
      </c>
      <c r="F258" s="22" t="n">
        <v>2600</v>
      </c>
      <c r="G258" s="22" t="n">
        <v>15</v>
      </c>
      <c r="H258" s="19"/>
      <c r="I258" s="22" t="n">
        <v>1.208</v>
      </c>
      <c r="J258" s="8" t="n">
        <f aca="false">IF(F258="",H258,F258/1000*G258)</f>
        <v>39</v>
      </c>
      <c r="K258" s="8" t="n">
        <f aca="false">ROUND(J258*I258,2)</f>
        <v>47.11</v>
      </c>
      <c r="L258" s="20" t="n">
        <v>47.11</v>
      </c>
      <c r="M258" s="8" t="n">
        <f aca="false">ROUND(K258-L258,2)</f>
        <v>0</v>
      </c>
      <c r="N258" s="7" t="s">
        <v>41</v>
      </c>
    </row>
    <row r="259" customFormat="false" ht="15" hidden="false" customHeight="true" outlineLevel="0" collapsed="false">
      <c r="A259" s="22" t="s">
        <v>130</v>
      </c>
      <c r="B259" s="22" t="s">
        <v>127</v>
      </c>
      <c r="C259" s="22" t="s">
        <v>68</v>
      </c>
      <c r="D259" s="22" t="n">
        <v>14</v>
      </c>
      <c r="E259" s="22" t="s">
        <v>15</v>
      </c>
      <c r="F259" s="22" t="n">
        <v>2180</v>
      </c>
      <c r="G259" s="22" t="n">
        <v>15</v>
      </c>
      <c r="H259" s="19"/>
      <c r="I259" s="22" t="n">
        <v>1.208</v>
      </c>
      <c r="J259" s="8" t="n">
        <f aca="false">IF(F259="",H259,F259/1000*G259)</f>
        <v>32.7</v>
      </c>
      <c r="K259" s="8" t="n">
        <f aca="false">ROUND(J259*I259,2)</f>
        <v>39.5</v>
      </c>
      <c r="L259" s="20" t="n">
        <v>39.5</v>
      </c>
      <c r="M259" s="8" t="n">
        <f aca="false">ROUND(K259-L259,2)</f>
        <v>0</v>
      </c>
      <c r="N259" s="7" t="s">
        <v>41</v>
      </c>
    </row>
    <row r="260" customFormat="false" ht="15" hidden="false" customHeight="true" outlineLevel="0" collapsed="false">
      <c r="A260" s="22" t="s">
        <v>130</v>
      </c>
      <c r="B260" s="22" t="s">
        <v>127</v>
      </c>
      <c r="C260" s="22" t="s">
        <v>68</v>
      </c>
      <c r="D260" s="22" t="n">
        <v>14</v>
      </c>
      <c r="E260" s="22" t="s">
        <v>15</v>
      </c>
      <c r="F260" s="22" t="n">
        <v>1730</v>
      </c>
      <c r="G260" s="22" t="n">
        <v>54</v>
      </c>
      <c r="H260" s="19"/>
      <c r="I260" s="22" t="n">
        <v>1.208</v>
      </c>
      <c r="J260" s="8" t="n">
        <f aca="false">IF(F260="",H260,F260/1000*G260)</f>
        <v>93.42</v>
      </c>
      <c r="K260" s="8" t="n">
        <f aca="false">ROUND(J260*I260,2)</f>
        <v>112.85</v>
      </c>
      <c r="L260" s="20" t="n">
        <v>112.85</v>
      </c>
      <c r="M260" s="8" t="n">
        <f aca="false">ROUND(K260-L260,2)</f>
        <v>0</v>
      </c>
      <c r="N260" s="7" t="s">
        <v>41</v>
      </c>
    </row>
    <row r="261" customFormat="false" ht="15" hidden="false" customHeight="true" outlineLevel="0" collapsed="false">
      <c r="A261" s="22" t="s">
        <v>130</v>
      </c>
      <c r="B261" s="22" t="s">
        <v>127</v>
      </c>
      <c r="C261" s="22" t="s">
        <v>68</v>
      </c>
      <c r="D261" s="22" t="n">
        <v>14</v>
      </c>
      <c r="E261" s="22" t="s">
        <v>14</v>
      </c>
      <c r="F261" s="19"/>
      <c r="G261" s="19"/>
      <c r="H261" s="22" t="n">
        <v>132.16</v>
      </c>
      <c r="I261" s="22" t="n">
        <v>1.208</v>
      </c>
      <c r="J261" s="8" t="n">
        <f aca="false">IF(F261="",H261,F261/1000*G261)</f>
        <v>132.16</v>
      </c>
      <c r="K261" s="8" t="n">
        <f aca="false">ROUND(J261*I261,2)</f>
        <v>159.65</v>
      </c>
      <c r="L261" s="20" t="n">
        <v>159.65</v>
      </c>
      <c r="M261" s="8" t="n">
        <f aca="false">ROUND(K261-L261,2)</f>
        <v>0</v>
      </c>
      <c r="N261" s="7" t="s">
        <v>194</v>
      </c>
    </row>
    <row r="262" customFormat="false" ht="15" hidden="false" customHeight="true" outlineLevel="0" collapsed="false">
      <c r="A262" s="22" t="s">
        <v>130</v>
      </c>
      <c r="B262" s="22" t="s">
        <v>127</v>
      </c>
      <c r="C262" s="22" t="s">
        <v>68</v>
      </c>
      <c r="D262" s="22" t="n">
        <v>8</v>
      </c>
      <c r="E262" s="22" t="s">
        <v>12</v>
      </c>
      <c r="F262" s="22" t="n">
        <v>390</v>
      </c>
      <c r="G262" s="22" t="n">
        <v>96</v>
      </c>
      <c r="H262" s="19"/>
      <c r="I262" s="22" t="n">
        <v>0.395</v>
      </c>
      <c r="J262" s="8" t="n">
        <f aca="false">IF(F262="",H262,F262/1000*G262)</f>
        <v>37.44</v>
      </c>
      <c r="K262" s="8" t="n">
        <f aca="false">ROUND(J262*I262,2)</f>
        <v>14.79</v>
      </c>
      <c r="L262" s="20" t="n">
        <v>14.79</v>
      </c>
      <c r="M262" s="8" t="n">
        <f aca="false">ROUND(K262-L262,2)</f>
        <v>0</v>
      </c>
      <c r="N262" s="7" t="s">
        <v>38</v>
      </c>
    </row>
    <row r="263" customFormat="false" ht="15" hidden="false" customHeight="true" outlineLevel="0" collapsed="false">
      <c r="A263" s="22" t="s">
        <v>130</v>
      </c>
      <c r="B263" s="22" t="s">
        <v>127</v>
      </c>
      <c r="C263" s="22" t="s">
        <v>68</v>
      </c>
      <c r="D263" s="22" t="n">
        <v>16</v>
      </c>
      <c r="E263" s="22" t="s">
        <v>15</v>
      </c>
      <c r="F263" s="22" t="n">
        <v>1970</v>
      </c>
      <c r="G263" s="22" t="n">
        <v>16</v>
      </c>
      <c r="H263" s="19"/>
      <c r="I263" s="22" t="n">
        <v>1.578</v>
      </c>
      <c r="J263" s="8" t="n">
        <f aca="false">IF(F263="",H263,F263/1000*G263)</f>
        <v>31.52</v>
      </c>
      <c r="K263" s="8" t="n">
        <f aca="false">ROUND(J263*I263,2)</f>
        <v>49.74</v>
      </c>
      <c r="L263" s="20" t="n">
        <v>49.74</v>
      </c>
      <c r="M263" s="8" t="n">
        <f aca="false">ROUND(K263-L263,2)</f>
        <v>0</v>
      </c>
      <c r="N263" s="7" t="s">
        <v>42</v>
      </c>
    </row>
    <row r="264" customFormat="false" ht="15" hidden="false" customHeight="true" outlineLevel="0" collapsed="false">
      <c r="A264" s="22" t="s">
        <v>131</v>
      </c>
      <c r="B264" s="22" t="s">
        <v>132</v>
      </c>
      <c r="C264" s="22" t="s">
        <v>62</v>
      </c>
      <c r="D264" s="22" t="n">
        <v>14</v>
      </c>
      <c r="E264" s="22" t="s">
        <v>15</v>
      </c>
      <c r="F264" s="22" t="n">
        <v>3350</v>
      </c>
      <c r="G264" s="22" t="n">
        <v>8</v>
      </c>
      <c r="H264" s="19"/>
      <c r="I264" s="22" t="n">
        <v>1.208</v>
      </c>
      <c r="J264" s="8" t="n">
        <f aca="false">IF(F264="",H264,F264/1000*G264)</f>
        <v>26.8</v>
      </c>
      <c r="K264" s="8" t="n">
        <f aca="false">ROUND(J264*I264,2)</f>
        <v>32.37</v>
      </c>
      <c r="L264" s="20" t="n">
        <v>32.37</v>
      </c>
      <c r="M264" s="8" t="n">
        <f aca="false">ROUND(K264-L264,2)</f>
        <v>0</v>
      </c>
      <c r="N264" s="7" t="s">
        <v>41</v>
      </c>
    </row>
    <row r="265" customFormat="false" ht="15" hidden="false" customHeight="true" outlineLevel="0" collapsed="false">
      <c r="A265" s="22" t="s">
        <v>131</v>
      </c>
      <c r="B265" s="22" t="s">
        <v>132</v>
      </c>
      <c r="C265" s="22" t="s">
        <v>62</v>
      </c>
      <c r="D265" s="22" t="n">
        <v>14</v>
      </c>
      <c r="E265" s="22" t="s">
        <v>15</v>
      </c>
      <c r="F265" s="22" t="n">
        <v>2930</v>
      </c>
      <c r="G265" s="22" t="n">
        <v>8</v>
      </c>
      <c r="H265" s="19"/>
      <c r="I265" s="22" t="n">
        <v>1.208</v>
      </c>
      <c r="J265" s="8" t="n">
        <f aca="false">IF(F265="",H265,F265/1000*G265)</f>
        <v>23.44</v>
      </c>
      <c r="K265" s="8" t="n">
        <f aca="false">ROUND(J265*I265,2)</f>
        <v>28.32</v>
      </c>
      <c r="L265" s="20" t="n">
        <v>28.32</v>
      </c>
      <c r="M265" s="8" t="n">
        <f aca="false">ROUND(K265-L265,2)</f>
        <v>0</v>
      </c>
      <c r="N265" s="7" t="s">
        <v>41</v>
      </c>
    </row>
    <row r="266" customFormat="false" ht="15" hidden="false" customHeight="true" outlineLevel="0" collapsed="false">
      <c r="A266" s="22" t="s">
        <v>131</v>
      </c>
      <c r="B266" s="22" t="s">
        <v>132</v>
      </c>
      <c r="C266" s="22" t="s">
        <v>62</v>
      </c>
      <c r="D266" s="22" t="n">
        <v>14</v>
      </c>
      <c r="E266" s="22" t="s">
        <v>15</v>
      </c>
      <c r="F266" s="22" t="n">
        <v>2480</v>
      </c>
      <c r="G266" s="22" t="n">
        <v>12</v>
      </c>
      <c r="H266" s="19"/>
      <c r="I266" s="22" t="n">
        <v>1.208</v>
      </c>
      <c r="J266" s="8" t="n">
        <f aca="false">IF(F266="",H266,F266/1000*G266)</f>
        <v>29.76</v>
      </c>
      <c r="K266" s="8" t="n">
        <f aca="false">ROUND(J266*I266,2)</f>
        <v>35.95</v>
      </c>
      <c r="L266" s="20" t="n">
        <v>35.95</v>
      </c>
      <c r="M266" s="8" t="n">
        <f aca="false">ROUND(K266-L266,2)</f>
        <v>0</v>
      </c>
      <c r="N266" s="7" t="s">
        <v>41</v>
      </c>
    </row>
    <row r="267" customFormat="false" ht="15" hidden="false" customHeight="true" outlineLevel="0" collapsed="false">
      <c r="A267" s="22" t="s">
        <v>131</v>
      </c>
      <c r="B267" s="22" t="s">
        <v>132</v>
      </c>
      <c r="C267" s="22" t="s">
        <v>62</v>
      </c>
      <c r="D267" s="22" t="n">
        <v>14</v>
      </c>
      <c r="E267" s="22" t="s">
        <v>15</v>
      </c>
      <c r="F267" s="19"/>
      <c r="G267" s="19"/>
      <c r="H267" s="22" t="n">
        <v>60.72</v>
      </c>
      <c r="I267" s="22" t="n">
        <v>1.208</v>
      </c>
      <c r="J267" s="8" t="n">
        <f aca="false">IF(F267="",H267,F267/1000*G267)</f>
        <v>60.72</v>
      </c>
      <c r="K267" s="8" t="n">
        <f aca="false">ROUND(J267*I267,2)</f>
        <v>73.35</v>
      </c>
      <c r="L267" s="20" t="n">
        <v>73.35</v>
      </c>
      <c r="M267" s="8" t="n">
        <f aca="false">ROUND(K267-L267,2)</f>
        <v>0</v>
      </c>
      <c r="N267" s="7" t="s">
        <v>194</v>
      </c>
    </row>
    <row r="268" customFormat="false" ht="15" hidden="false" customHeight="true" outlineLevel="0" collapsed="false">
      <c r="A268" s="22" t="s">
        <v>131</v>
      </c>
      <c r="B268" s="22" t="s">
        <v>132</v>
      </c>
      <c r="C268" s="22" t="s">
        <v>62</v>
      </c>
      <c r="D268" s="22" t="n">
        <v>8</v>
      </c>
      <c r="E268" s="22" t="s">
        <v>12</v>
      </c>
      <c r="F268" s="22" t="n">
        <v>390</v>
      </c>
      <c r="G268" s="22" t="n">
        <v>56</v>
      </c>
      <c r="H268" s="19"/>
      <c r="I268" s="22" t="n">
        <v>0.395</v>
      </c>
      <c r="J268" s="8" t="n">
        <f aca="false">IF(F268="",H268,F268/1000*G268)</f>
        <v>21.84</v>
      </c>
      <c r="K268" s="8" t="n">
        <f aca="false">ROUND(J268*I268,2)</f>
        <v>8.63</v>
      </c>
      <c r="L268" s="20" t="n">
        <v>8.63</v>
      </c>
      <c r="M268" s="8" t="n">
        <f aca="false">ROUND(K268-L268,2)</f>
        <v>0</v>
      </c>
      <c r="N268" s="7" t="s">
        <v>38</v>
      </c>
    </row>
    <row r="269" customFormat="false" ht="15" hidden="false" customHeight="true" outlineLevel="0" collapsed="false">
      <c r="A269" s="22" t="s">
        <v>131</v>
      </c>
      <c r="B269" s="22" t="s">
        <v>132</v>
      </c>
      <c r="C269" s="22" t="s">
        <v>62</v>
      </c>
      <c r="D269" s="22" t="n">
        <v>16</v>
      </c>
      <c r="E269" s="22" t="s">
        <v>15</v>
      </c>
      <c r="F269" s="22" t="n">
        <v>1150</v>
      </c>
      <c r="G269" s="22" t="n">
        <v>22</v>
      </c>
      <c r="H269" s="19"/>
      <c r="I269" s="22" t="n">
        <v>1.578</v>
      </c>
      <c r="J269" s="8" t="n">
        <f aca="false">IF(F269="",H269,F269/1000*G269)</f>
        <v>25.3</v>
      </c>
      <c r="K269" s="8" t="n">
        <f aca="false">ROUND(J269*I269,2)</f>
        <v>39.92</v>
      </c>
      <c r="L269" s="20" t="n">
        <v>39.92</v>
      </c>
      <c r="M269" s="8" t="n">
        <f aca="false">ROUND(K269-L269,2)</f>
        <v>0</v>
      </c>
      <c r="N269" s="7" t="s">
        <v>44</v>
      </c>
    </row>
    <row r="270" customFormat="false" ht="15" hidden="false" customHeight="true" outlineLevel="0" collapsed="false">
      <c r="A270" s="22" t="s">
        <v>133</v>
      </c>
      <c r="B270" s="22" t="s">
        <v>132</v>
      </c>
      <c r="C270" s="22" t="s">
        <v>64</v>
      </c>
      <c r="D270" s="22" t="n">
        <v>14</v>
      </c>
      <c r="E270" s="22" t="s">
        <v>15</v>
      </c>
      <c r="F270" s="22" t="n">
        <v>3350</v>
      </c>
      <c r="G270" s="22" t="n">
        <v>12</v>
      </c>
      <c r="H270" s="19"/>
      <c r="I270" s="22" t="n">
        <v>1.208</v>
      </c>
      <c r="J270" s="8" t="n">
        <f aca="false">IF(F270="",H270,F270/1000*G270)</f>
        <v>40.2</v>
      </c>
      <c r="K270" s="8" t="n">
        <f aca="false">ROUND(J270*I270,2)</f>
        <v>48.56</v>
      </c>
      <c r="L270" s="20" t="n">
        <v>48.56</v>
      </c>
      <c r="M270" s="8" t="n">
        <f aca="false">ROUND(K270-L270,2)</f>
        <v>0</v>
      </c>
      <c r="N270" s="7" t="s">
        <v>41</v>
      </c>
    </row>
    <row r="271" customFormat="false" ht="15" hidden="false" customHeight="true" outlineLevel="0" collapsed="false">
      <c r="A271" s="22" t="s">
        <v>133</v>
      </c>
      <c r="B271" s="22" t="s">
        <v>132</v>
      </c>
      <c r="C271" s="22" t="s">
        <v>64</v>
      </c>
      <c r="D271" s="22" t="n">
        <v>14</v>
      </c>
      <c r="E271" s="22" t="s">
        <v>15</v>
      </c>
      <c r="F271" s="22" t="n">
        <v>2930</v>
      </c>
      <c r="G271" s="22" t="n">
        <v>12</v>
      </c>
      <c r="H271" s="19"/>
      <c r="I271" s="22" t="n">
        <v>1.208</v>
      </c>
      <c r="J271" s="8" t="n">
        <f aca="false">IF(F271="",H271,F271/1000*G271)</f>
        <v>35.16</v>
      </c>
      <c r="K271" s="8" t="n">
        <f aca="false">ROUND(J271*I271,2)</f>
        <v>42.47</v>
      </c>
      <c r="L271" s="20" t="n">
        <v>42.47</v>
      </c>
      <c r="M271" s="8" t="n">
        <f aca="false">ROUND(K271-L271,2)</f>
        <v>0</v>
      </c>
      <c r="N271" s="7" t="s">
        <v>41</v>
      </c>
    </row>
    <row r="272" customFormat="false" ht="15" hidden="false" customHeight="true" outlineLevel="0" collapsed="false">
      <c r="A272" s="22" t="s">
        <v>133</v>
      </c>
      <c r="B272" s="22" t="s">
        <v>132</v>
      </c>
      <c r="C272" s="22" t="s">
        <v>64</v>
      </c>
      <c r="D272" s="22" t="n">
        <v>14</v>
      </c>
      <c r="E272" s="22" t="s">
        <v>15</v>
      </c>
      <c r="F272" s="19"/>
      <c r="G272" s="19"/>
      <c r="H272" s="22" t="n">
        <v>69.96</v>
      </c>
      <c r="I272" s="22" t="n">
        <v>1.208</v>
      </c>
      <c r="J272" s="8" t="n">
        <f aca="false">IF(F272="",H272,F272/1000*G272)</f>
        <v>69.96</v>
      </c>
      <c r="K272" s="8" t="n">
        <f aca="false">ROUND(J272*I272,2)</f>
        <v>84.51</v>
      </c>
      <c r="L272" s="20" t="n">
        <v>84.51</v>
      </c>
      <c r="M272" s="8" t="n">
        <f aca="false">ROUND(K272-L272,2)</f>
        <v>0</v>
      </c>
      <c r="N272" s="7" t="s">
        <v>194</v>
      </c>
    </row>
    <row r="273" customFormat="false" ht="15" hidden="false" customHeight="true" outlineLevel="0" collapsed="false">
      <c r="A273" s="22" t="s">
        <v>133</v>
      </c>
      <c r="B273" s="22" t="s">
        <v>132</v>
      </c>
      <c r="C273" s="22" t="s">
        <v>64</v>
      </c>
      <c r="D273" s="22" t="n">
        <v>8</v>
      </c>
      <c r="E273" s="22" t="s">
        <v>12</v>
      </c>
      <c r="F273" s="22" t="n">
        <v>390</v>
      </c>
      <c r="G273" s="22" t="n">
        <v>56</v>
      </c>
      <c r="H273" s="19"/>
      <c r="I273" s="22" t="n">
        <v>0.395</v>
      </c>
      <c r="J273" s="8" t="n">
        <f aca="false">IF(F273="",H273,F273/1000*G273)</f>
        <v>21.84</v>
      </c>
      <c r="K273" s="8" t="n">
        <f aca="false">ROUND(J273*I273,2)</f>
        <v>8.63</v>
      </c>
      <c r="L273" s="20" t="n">
        <v>8.63</v>
      </c>
      <c r="M273" s="8" t="n">
        <f aca="false">ROUND(K273-L273,2)</f>
        <v>0</v>
      </c>
      <c r="N273" s="7" t="s">
        <v>38</v>
      </c>
    </row>
    <row r="274" customFormat="false" ht="15" hidden="false" customHeight="true" outlineLevel="0" collapsed="false">
      <c r="A274" s="22" t="s">
        <v>134</v>
      </c>
      <c r="B274" s="22" t="s">
        <v>132</v>
      </c>
      <c r="C274" s="22" t="s">
        <v>66</v>
      </c>
      <c r="D274" s="22" t="n">
        <v>14</v>
      </c>
      <c r="E274" s="22" t="s">
        <v>15</v>
      </c>
      <c r="F274" s="22" t="n">
        <v>3350</v>
      </c>
      <c r="G274" s="22" t="n">
        <v>12</v>
      </c>
      <c r="H274" s="19"/>
      <c r="I274" s="22" t="n">
        <v>1.208</v>
      </c>
      <c r="J274" s="8" t="n">
        <f aca="false">IF(F274="",H274,F274/1000*G274)</f>
        <v>40.2</v>
      </c>
      <c r="K274" s="8" t="n">
        <f aca="false">ROUND(J274*I274,2)</f>
        <v>48.56</v>
      </c>
      <c r="L274" s="20" t="n">
        <v>48.56</v>
      </c>
      <c r="M274" s="8" t="n">
        <f aca="false">ROUND(K274-L274,2)</f>
        <v>0</v>
      </c>
      <c r="N274" s="7" t="s">
        <v>41</v>
      </c>
    </row>
    <row r="275" customFormat="false" ht="15" hidden="false" customHeight="true" outlineLevel="0" collapsed="false">
      <c r="A275" s="22" t="s">
        <v>134</v>
      </c>
      <c r="B275" s="22" t="s">
        <v>132</v>
      </c>
      <c r="C275" s="22" t="s">
        <v>66</v>
      </c>
      <c r="D275" s="22" t="n">
        <v>14</v>
      </c>
      <c r="E275" s="22" t="s">
        <v>15</v>
      </c>
      <c r="F275" s="22" t="n">
        <v>2930</v>
      </c>
      <c r="G275" s="22" t="n">
        <v>12</v>
      </c>
      <c r="H275" s="19"/>
      <c r="I275" s="22" t="n">
        <v>1.208</v>
      </c>
      <c r="J275" s="8" t="n">
        <f aca="false">IF(F275="",H275,F275/1000*G275)</f>
        <v>35.16</v>
      </c>
      <c r="K275" s="8" t="n">
        <f aca="false">ROUND(J275*I275,2)</f>
        <v>42.47</v>
      </c>
      <c r="L275" s="20" t="n">
        <v>42.47</v>
      </c>
      <c r="M275" s="8" t="n">
        <f aca="false">ROUND(K275-L275,2)</f>
        <v>0</v>
      </c>
      <c r="N275" s="7" t="s">
        <v>41</v>
      </c>
    </row>
    <row r="276" customFormat="false" ht="15" hidden="false" customHeight="true" outlineLevel="0" collapsed="false">
      <c r="A276" s="22" t="s">
        <v>134</v>
      </c>
      <c r="B276" s="22" t="s">
        <v>132</v>
      </c>
      <c r="C276" s="22" t="s">
        <v>66</v>
      </c>
      <c r="D276" s="22" t="n">
        <v>14</v>
      </c>
      <c r="E276" s="22" t="s">
        <v>15</v>
      </c>
      <c r="F276" s="19"/>
      <c r="G276" s="19"/>
      <c r="H276" s="22" t="n">
        <v>69.96</v>
      </c>
      <c r="I276" s="22" t="n">
        <v>1.208</v>
      </c>
      <c r="J276" s="8" t="n">
        <f aca="false">IF(F276="",H276,F276/1000*G276)</f>
        <v>69.96</v>
      </c>
      <c r="K276" s="8" t="n">
        <f aca="false">ROUND(J276*I276,2)</f>
        <v>84.51</v>
      </c>
      <c r="L276" s="20" t="n">
        <v>84.51</v>
      </c>
      <c r="M276" s="8" t="n">
        <f aca="false">ROUND(K276-L276,2)</f>
        <v>0</v>
      </c>
      <c r="N276" s="7" t="s">
        <v>194</v>
      </c>
    </row>
    <row r="277" customFormat="false" ht="15" hidden="false" customHeight="true" outlineLevel="0" collapsed="false">
      <c r="A277" s="22" t="s">
        <v>134</v>
      </c>
      <c r="B277" s="22" t="s">
        <v>132</v>
      </c>
      <c r="C277" s="22" t="s">
        <v>66</v>
      </c>
      <c r="D277" s="22" t="n">
        <v>8</v>
      </c>
      <c r="E277" s="22" t="s">
        <v>12</v>
      </c>
      <c r="F277" s="22" t="n">
        <v>390</v>
      </c>
      <c r="G277" s="22" t="n">
        <v>56</v>
      </c>
      <c r="H277" s="19"/>
      <c r="I277" s="22" t="n">
        <v>0.395</v>
      </c>
      <c r="J277" s="8" t="n">
        <f aca="false">IF(F277="",H277,F277/1000*G277)</f>
        <v>21.84</v>
      </c>
      <c r="K277" s="8" t="n">
        <f aca="false">ROUND(J277*I277,2)</f>
        <v>8.63</v>
      </c>
      <c r="L277" s="20" t="n">
        <v>8.63</v>
      </c>
      <c r="M277" s="8" t="n">
        <f aca="false">ROUND(K277-L277,2)</f>
        <v>0</v>
      </c>
      <c r="N277" s="7" t="s">
        <v>38</v>
      </c>
    </row>
    <row r="278" customFormat="false" ht="15" hidden="false" customHeight="true" outlineLevel="0" collapsed="false">
      <c r="A278" s="22" t="s">
        <v>135</v>
      </c>
      <c r="B278" s="22" t="s">
        <v>136</v>
      </c>
      <c r="C278" s="22" t="s">
        <v>62</v>
      </c>
      <c r="D278" s="22" t="n">
        <v>14</v>
      </c>
      <c r="E278" s="22" t="s">
        <v>15</v>
      </c>
      <c r="F278" s="22" t="n">
        <v>3350</v>
      </c>
      <c r="G278" s="22" t="n">
        <v>8</v>
      </c>
      <c r="H278" s="19"/>
      <c r="I278" s="22" t="n">
        <v>1.208</v>
      </c>
      <c r="J278" s="8" t="n">
        <f aca="false">IF(F278="",H278,F278/1000*G278)</f>
        <v>26.8</v>
      </c>
      <c r="K278" s="8" t="n">
        <f aca="false">ROUND(J278*I278,2)</f>
        <v>32.37</v>
      </c>
      <c r="L278" s="20" t="n">
        <v>32.37</v>
      </c>
      <c r="M278" s="8" t="n">
        <f aca="false">ROUND(K278-L278,2)</f>
        <v>0</v>
      </c>
      <c r="N278" s="7" t="s">
        <v>41</v>
      </c>
    </row>
    <row r="279" customFormat="false" ht="15" hidden="false" customHeight="true" outlineLevel="0" collapsed="false">
      <c r="A279" s="22" t="s">
        <v>135</v>
      </c>
      <c r="B279" s="22" t="s">
        <v>136</v>
      </c>
      <c r="C279" s="22" t="s">
        <v>62</v>
      </c>
      <c r="D279" s="22" t="n">
        <v>14</v>
      </c>
      <c r="E279" s="22" t="s">
        <v>15</v>
      </c>
      <c r="F279" s="22" t="n">
        <v>2930</v>
      </c>
      <c r="G279" s="22" t="n">
        <v>8</v>
      </c>
      <c r="H279" s="19"/>
      <c r="I279" s="22" t="n">
        <v>1.208</v>
      </c>
      <c r="J279" s="8" t="n">
        <f aca="false">IF(F279="",H279,F279/1000*G279)</f>
        <v>23.44</v>
      </c>
      <c r="K279" s="8" t="n">
        <f aca="false">ROUND(J279*I279,2)</f>
        <v>28.32</v>
      </c>
      <c r="L279" s="20" t="n">
        <v>28.32</v>
      </c>
      <c r="M279" s="8" t="n">
        <f aca="false">ROUND(K279-L279,2)</f>
        <v>0</v>
      </c>
      <c r="N279" s="7" t="s">
        <v>41</v>
      </c>
    </row>
    <row r="280" customFormat="false" ht="15" hidden="false" customHeight="true" outlineLevel="0" collapsed="false">
      <c r="A280" s="22" t="s">
        <v>135</v>
      </c>
      <c r="B280" s="22" t="s">
        <v>136</v>
      </c>
      <c r="C280" s="22" t="s">
        <v>62</v>
      </c>
      <c r="D280" s="22" t="n">
        <v>14</v>
      </c>
      <c r="E280" s="22" t="s">
        <v>15</v>
      </c>
      <c r="F280" s="22" t="n">
        <v>2480</v>
      </c>
      <c r="G280" s="22" t="n">
        <v>12</v>
      </c>
      <c r="H280" s="19"/>
      <c r="I280" s="22" t="n">
        <v>1.208</v>
      </c>
      <c r="J280" s="8" t="n">
        <f aca="false">IF(F280="",H280,F280/1000*G280)</f>
        <v>29.76</v>
      </c>
      <c r="K280" s="8" t="n">
        <f aca="false">ROUND(J280*I280,2)</f>
        <v>35.95</v>
      </c>
      <c r="L280" s="20" t="n">
        <v>35.95</v>
      </c>
      <c r="M280" s="8" t="n">
        <f aca="false">ROUND(K280-L280,2)</f>
        <v>0</v>
      </c>
      <c r="N280" s="7" t="s">
        <v>41</v>
      </c>
    </row>
    <row r="281" customFormat="false" ht="15" hidden="false" customHeight="true" outlineLevel="0" collapsed="false">
      <c r="A281" s="22" t="s">
        <v>135</v>
      </c>
      <c r="B281" s="22" t="s">
        <v>136</v>
      </c>
      <c r="C281" s="22" t="s">
        <v>62</v>
      </c>
      <c r="D281" s="22" t="n">
        <v>14</v>
      </c>
      <c r="E281" s="22" t="s">
        <v>15</v>
      </c>
      <c r="F281" s="19"/>
      <c r="G281" s="19"/>
      <c r="H281" s="22" t="n">
        <v>60.72</v>
      </c>
      <c r="I281" s="22" t="n">
        <v>1.208</v>
      </c>
      <c r="J281" s="8" t="n">
        <f aca="false">IF(F281="",H281,F281/1000*G281)</f>
        <v>60.72</v>
      </c>
      <c r="K281" s="8" t="n">
        <f aca="false">ROUND(J281*I281,2)</f>
        <v>73.35</v>
      </c>
      <c r="L281" s="20" t="n">
        <v>73.35</v>
      </c>
      <c r="M281" s="8" t="n">
        <f aca="false">ROUND(K281-L281,2)</f>
        <v>0</v>
      </c>
      <c r="N281" s="7" t="s">
        <v>194</v>
      </c>
    </row>
    <row r="282" customFormat="false" ht="15" hidden="false" customHeight="true" outlineLevel="0" collapsed="false">
      <c r="A282" s="22" t="s">
        <v>135</v>
      </c>
      <c r="B282" s="22" t="s">
        <v>136</v>
      </c>
      <c r="C282" s="22" t="s">
        <v>62</v>
      </c>
      <c r="D282" s="22" t="n">
        <v>8</v>
      </c>
      <c r="E282" s="22" t="s">
        <v>12</v>
      </c>
      <c r="F282" s="22" t="n">
        <v>390</v>
      </c>
      <c r="G282" s="22" t="n">
        <v>56</v>
      </c>
      <c r="H282" s="19"/>
      <c r="I282" s="22" t="n">
        <v>0.395</v>
      </c>
      <c r="J282" s="8" t="n">
        <f aca="false">IF(F282="",H282,F282/1000*G282)</f>
        <v>21.84</v>
      </c>
      <c r="K282" s="8" t="n">
        <f aca="false">ROUND(J282*I282,2)</f>
        <v>8.63</v>
      </c>
      <c r="L282" s="20" t="n">
        <v>8.63</v>
      </c>
      <c r="M282" s="8" t="n">
        <f aca="false">ROUND(K282-L282,2)</f>
        <v>0</v>
      </c>
      <c r="N282" s="7" t="s">
        <v>38</v>
      </c>
    </row>
    <row r="283" customFormat="false" ht="15" hidden="false" customHeight="true" outlineLevel="0" collapsed="false">
      <c r="A283" s="22" t="s">
        <v>135</v>
      </c>
      <c r="B283" s="22" t="s">
        <v>136</v>
      </c>
      <c r="C283" s="22" t="s">
        <v>62</v>
      </c>
      <c r="D283" s="22" t="n">
        <v>16</v>
      </c>
      <c r="E283" s="22" t="s">
        <v>15</v>
      </c>
      <c r="F283" s="22" t="n">
        <v>1150</v>
      </c>
      <c r="G283" s="22" t="n">
        <v>22</v>
      </c>
      <c r="H283" s="19"/>
      <c r="I283" s="22" t="n">
        <v>1.578</v>
      </c>
      <c r="J283" s="8" t="n">
        <f aca="false">IF(F283="",H283,F283/1000*G283)</f>
        <v>25.3</v>
      </c>
      <c r="K283" s="8" t="n">
        <f aca="false">ROUND(J283*I283,2)</f>
        <v>39.92</v>
      </c>
      <c r="L283" s="20" t="n">
        <v>39.92</v>
      </c>
      <c r="M283" s="8" t="n">
        <f aca="false">ROUND(K283-L283,2)</f>
        <v>0</v>
      </c>
      <c r="N283" s="7" t="s">
        <v>44</v>
      </c>
    </row>
    <row r="284" customFormat="false" ht="15" hidden="false" customHeight="true" outlineLevel="0" collapsed="false">
      <c r="A284" s="22" t="s">
        <v>137</v>
      </c>
      <c r="B284" s="22" t="s">
        <v>136</v>
      </c>
      <c r="C284" s="22" t="s">
        <v>64</v>
      </c>
      <c r="D284" s="22" t="n">
        <v>14</v>
      </c>
      <c r="E284" s="22" t="s">
        <v>15</v>
      </c>
      <c r="F284" s="22" t="n">
        <v>3350</v>
      </c>
      <c r="G284" s="22" t="n">
        <v>14</v>
      </c>
      <c r="H284" s="19"/>
      <c r="I284" s="22" t="n">
        <v>1.208</v>
      </c>
      <c r="J284" s="8" t="n">
        <f aca="false">IF(F284="",H284,F284/1000*G284)</f>
        <v>46.9</v>
      </c>
      <c r="K284" s="8" t="n">
        <f aca="false">ROUND(J284*I284,2)</f>
        <v>56.66</v>
      </c>
      <c r="L284" s="20" t="n">
        <v>56.66</v>
      </c>
      <c r="M284" s="8" t="n">
        <f aca="false">ROUND(K284-L284,2)</f>
        <v>0</v>
      </c>
      <c r="N284" s="7" t="s">
        <v>41</v>
      </c>
    </row>
    <row r="285" customFormat="false" ht="15" hidden="false" customHeight="true" outlineLevel="0" collapsed="false">
      <c r="A285" s="22" t="s">
        <v>137</v>
      </c>
      <c r="B285" s="22" t="s">
        <v>136</v>
      </c>
      <c r="C285" s="22" t="s">
        <v>64</v>
      </c>
      <c r="D285" s="22" t="n">
        <v>14</v>
      </c>
      <c r="E285" s="22" t="s">
        <v>15</v>
      </c>
      <c r="F285" s="22" t="n">
        <v>2930</v>
      </c>
      <c r="G285" s="22" t="n">
        <v>14</v>
      </c>
      <c r="H285" s="19"/>
      <c r="I285" s="22" t="n">
        <v>1.208</v>
      </c>
      <c r="J285" s="8" t="n">
        <f aca="false">IF(F285="",H285,F285/1000*G285)</f>
        <v>41.02</v>
      </c>
      <c r="K285" s="8" t="n">
        <f aca="false">ROUND(J285*I285,2)</f>
        <v>49.55</v>
      </c>
      <c r="L285" s="20" t="n">
        <v>49.55</v>
      </c>
      <c r="M285" s="8" t="n">
        <f aca="false">ROUND(K285-L285,2)</f>
        <v>0</v>
      </c>
      <c r="N285" s="7" t="s">
        <v>41</v>
      </c>
    </row>
    <row r="286" customFormat="false" ht="15" hidden="false" customHeight="true" outlineLevel="0" collapsed="false">
      <c r="A286" s="22" t="s">
        <v>137</v>
      </c>
      <c r="B286" s="22" t="s">
        <v>136</v>
      </c>
      <c r="C286" s="22" t="s">
        <v>64</v>
      </c>
      <c r="D286" s="22" t="n">
        <v>14</v>
      </c>
      <c r="E286" s="22" t="s">
        <v>15</v>
      </c>
      <c r="F286" s="19"/>
      <c r="G286" s="19"/>
      <c r="H286" s="22" t="n">
        <v>74.8</v>
      </c>
      <c r="I286" s="22" t="n">
        <v>1.208</v>
      </c>
      <c r="J286" s="8" t="n">
        <f aca="false">IF(F286="",H286,F286/1000*G286)</f>
        <v>74.8</v>
      </c>
      <c r="K286" s="8" t="n">
        <f aca="false">ROUND(J286*I286,2)</f>
        <v>90.36</v>
      </c>
      <c r="L286" s="20" t="n">
        <v>90.36</v>
      </c>
      <c r="M286" s="8" t="n">
        <f aca="false">ROUND(K286-L286,2)</f>
        <v>0</v>
      </c>
      <c r="N286" s="7" t="s">
        <v>194</v>
      </c>
    </row>
    <row r="287" customFormat="false" ht="15" hidden="false" customHeight="true" outlineLevel="0" collapsed="false">
      <c r="A287" s="22" t="s">
        <v>137</v>
      </c>
      <c r="B287" s="22" t="s">
        <v>136</v>
      </c>
      <c r="C287" s="22" t="s">
        <v>64</v>
      </c>
      <c r="D287" s="22" t="n">
        <v>8</v>
      </c>
      <c r="E287" s="22" t="s">
        <v>12</v>
      </c>
      <c r="F287" s="22" t="n">
        <v>390</v>
      </c>
      <c r="G287" s="22" t="n">
        <v>70</v>
      </c>
      <c r="H287" s="19"/>
      <c r="I287" s="22" t="n">
        <v>0.395</v>
      </c>
      <c r="J287" s="8" t="n">
        <f aca="false">IF(F287="",H287,F287/1000*G287)</f>
        <v>27.3</v>
      </c>
      <c r="K287" s="8" t="n">
        <f aca="false">ROUND(J287*I287,2)</f>
        <v>10.78</v>
      </c>
      <c r="L287" s="20" t="n">
        <v>10.78</v>
      </c>
      <c r="M287" s="8" t="n">
        <f aca="false">ROUND(K287-L287,2)</f>
        <v>0</v>
      </c>
      <c r="N287" s="7" t="s">
        <v>38</v>
      </c>
    </row>
    <row r="288" customFormat="false" ht="15" hidden="false" customHeight="true" outlineLevel="0" collapsed="false">
      <c r="A288" s="22" t="s">
        <v>138</v>
      </c>
      <c r="B288" s="22" t="s">
        <v>136</v>
      </c>
      <c r="C288" s="22" t="s">
        <v>66</v>
      </c>
      <c r="D288" s="22" t="n">
        <v>14</v>
      </c>
      <c r="E288" s="22" t="s">
        <v>15</v>
      </c>
      <c r="F288" s="22" t="n">
        <v>3350</v>
      </c>
      <c r="G288" s="22" t="n">
        <v>14</v>
      </c>
      <c r="H288" s="19"/>
      <c r="I288" s="22" t="n">
        <v>1.208</v>
      </c>
      <c r="J288" s="8" t="n">
        <f aca="false">IF(F288="",H288,F288/1000*G288)</f>
        <v>46.9</v>
      </c>
      <c r="K288" s="8" t="n">
        <f aca="false">ROUND(J288*I288,2)</f>
        <v>56.66</v>
      </c>
      <c r="L288" s="20" t="n">
        <v>56.66</v>
      </c>
      <c r="M288" s="8" t="n">
        <f aca="false">ROUND(K288-L288,2)</f>
        <v>0</v>
      </c>
      <c r="N288" s="7" t="s">
        <v>41</v>
      </c>
    </row>
    <row r="289" customFormat="false" ht="15" hidden="false" customHeight="true" outlineLevel="0" collapsed="false">
      <c r="A289" s="22" t="s">
        <v>138</v>
      </c>
      <c r="B289" s="22" t="s">
        <v>136</v>
      </c>
      <c r="C289" s="22" t="s">
        <v>66</v>
      </c>
      <c r="D289" s="22" t="n">
        <v>14</v>
      </c>
      <c r="E289" s="22" t="s">
        <v>15</v>
      </c>
      <c r="F289" s="22" t="n">
        <v>2930</v>
      </c>
      <c r="G289" s="22" t="n">
        <v>14</v>
      </c>
      <c r="H289" s="19"/>
      <c r="I289" s="22" t="n">
        <v>1.208</v>
      </c>
      <c r="J289" s="8" t="n">
        <f aca="false">IF(F289="",H289,F289/1000*G289)</f>
        <v>41.02</v>
      </c>
      <c r="K289" s="8" t="n">
        <f aca="false">ROUND(J289*I289,2)</f>
        <v>49.55</v>
      </c>
      <c r="L289" s="20" t="n">
        <v>49.55</v>
      </c>
      <c r="M289" s="8" t="n">
        <f aca="false">ROUND(K289-L289,2)</f>
        <v>0</v>
      </c>
      <c r="N289" s="7" t="s">
        <v>41</v>
      </c>
    </row>
    <row r="290" customFormat="false" ht="15" hidden="false" customHeight="true" outlineLevel="0" collapsed="false">
      <c r="A290" s="22" t="s">
        <v>138</v>
      </c>
      <c r="B290" s="22" t="s">
        <v>136</v>
      </c>
      <c r="C290" s="22" t="s">
        <v>66</v>
      </c>
      <c r="D290" s="22" t="n">
        <v>14</v>
      </c>
      <c r="E290" s="22" t="s">
        <v>15</v>
      </c>
      <c r="F290" s="19"/>
      <c r="G290" s="19"/>
      <c r="H290" s="22" t="n">
        <v>74.8</v>
      </c>
      <c r="I290" s="22" t="n">
        <v>1.208</v>
      </c>
      <c r="J290" s="8" t="n">
        <f aca="false">IF(F290="",H290,F290/1000*G290)</f>
        <v>74.8</v>
      </c>
      <c r="K290" s="8" t="n">
        <f aca="false">ROUND(J290*I290,2)</f>
        <v>90.36</v>
      </c>
      <c r="L290" s="20" t="n">
        <v>90.36</v>
      </c>
      <c r="M290" s="8" t="n">
        <f aca="false">ROUND(K290-L290,2)</f>
        <v>0</v>
      </c>
      <c r="N290" s="7" t="s">
        <v>194</v>
      </c>
    </row>
    <row r="291" customFormat="false" ht="15" hidden="false" customHeight="true" outlineLevel="0" collapsed="false">
      <c r="A291" s="22" t="s">
        <v>138</v>
      </c>
      <c r="B291" s="22" t="s">
        <v>136</v>
      </c>
      <c r="C291" s="22" t="s">
        <v>66</v>
      </c>
      <c r="D291" s="22" t="n">
        <v>8</v>
      </c>
      <c r="E291" s="22" t="s">
        <v>12</v>
      </c>
      <c r="F291" s="22" t="n">
        <v>390</v>
      </c>
      <c r="G291" s="22" t="n">
        <v>70</v>
      </c>
      <c r="H291" s="19"/>
      <c r="I291" s="22" t="n">
        <v>0.395</v>
      </c>
      <c r="J291" s="8" t="n">
        <f aca="false">IF(F291="",H291,F291/1000*G291)</f>
        <v>27.3</v>
      </c>
      <c r="K291" s="8" t="n">
        <f aca="false">ROUND(J291*I291,2)</f>
        <v>10.78</v>
      </c>
      <c r="L291" s="20" t="n">
        <v>10.78</v>
      </c>
      <c r="M291" s="8" t="n">
        <f aca="false">ROUND(K291-L291,2)</f>
        <v>0</v>
      </c>
      <c r="N291" s="7" t="s">
        <v>38</v>
      </c>
    </row>
    <row r="292" customFormat="false" ht="15" hidden="false" customHeight="true" outlineLevel="0" collapsed="false">
      <c r="A292" s="22" t="s">
        <v>139</v>
      </c>
      <c r="B292" s="22" t="s">
        <v>140</v>
      </c>
      <c r="C292" s="22" t="s">
        <v>62</v>
      </c>
      <c r="D292" s="22" t="n">
        <v>14</v>
      </c>
      <c r="E292" s="22" t="s">
        <v>15</v>
      </c>
      <c r="F292" s="22" t="n">
        <v>3350</v>
      </c>
      <c r="G292" s="22" t="n">
        <v>10</v>
      </c>
      <c r="H292" s="19"/>
      <c r="I292" s="22" t="n">
        <v>1.208</v>
      </c>
      <c r="J292" s="8" t="n">
        <f aca="false">IF(F292="",H292,F292/1000*G292)</f>
        <v>33.5</v>
      </c>
      <c r="K292" s="8" t="n">
        <f aca="false">ROUND(J292*I292,2)</f>
        <v>40.47</v>
      </c>
      <c r="L292" s="20" t="n">
        <v>40.47</v>
      </c>
      <c r="M292" s="8" t="n">
        <f aca="false">ROUND(K292-L292,2)</f>
        <v>0</v>
      </c>
      <c r="N292" s="7" t="s">
        <v>41</v>
      </c>
    </row>
    <row r="293" customFormat="false" ht="15" hidden="false" customHeight="true" outlineLevel="0" collapsed="false">
      <c r="A293" s="22" t="s">
        <v>139</v>
      </c>
      <c r="B293" s="22" t="s">
        <v>140</v>
      </c>
      <c r="C293" s="22" t="s">
        <v>62</v>
      </c>
      <c r="D293" s="22" t="n">
        <v>14</v>
      </c>
      <c r="E293" s="22" t="s">
        <v>15</v>
      </c>
      <c r="F293" s="22" t="n">
        <v>2930</v>
      </c>
      <c r="G293" s="22" t="n">
        <v>10</v>
      </c>
      <c r="H293" s="19"/>
      <c r="I293" s="22" t="n">
        <v>1.208</v>
      </c>
      <c r="J293" s="8" t="n">
        <f aca="false">IF(F293="",H293,F293/1000*G293)</f>
        <v>29.3</v>
      </c>
      <c r="K293" s="8" t="n">
        <f aca="false">ROUND(J293*I293,2)</f>
        <v>35.39</v>
      </c>
      <c r="L293" s="20" t="n">
        <v>35.39</v>
      </c>
      <c r="M293" s="8" t="n">
        <f aca="false">ROUND(K293-L293,2)</f>
        <v>0</v>
      </c>
      <c r="N293" s="7" t="s">
        <v>41</v>
      </c>
    </row>
    <row r="294" customFormat="false" ht="15" hidden="false" customHeight="true" outlineLevel="0" collapsed="false">
      <c r="A294" s="22" t="s">
        <v>139</v>
      </c>
      <c r="B294" s="22" t="s">
        <v>140</v>
      </c>
      <c r="C294" s="22" t="s">
        <v>62</v>
      </c>
      <c r="D294" s="22" t="n">
        <v>14</v>
      </c>
      <c r="E294" s="22" t="s">
        <v>15</v>
      </c>
      <c r="F294" s="22" t="n">
        <v>2480</v>
      </c>
      <c r="G294" s="22" t="n">
        <v>10</v>
      </c>
      <c r="H294" s="19"/>
      <c r="I294" s="22" t="n">
        <v>1.208</v>
      </c>
      <c r="J294" s="8" t="n">
        <f aca="false">IF(F294="",H294,F294/1000*G294)</f>
        <v>24.8</v>
      </c>
      <c r="K294" s="8" t="n">
        <f aca="false">ROUND(J294*I294,2)</f>
        <v>29.96</v>
      </c>
      <c r="L294" s="20" t="n">
        <v>29.96</v>
      </c>
      <c r="M294" s="8" t="n">
        <f aca="false">ROUND(K294-L294,2)</f>
        <v>0</v>
      </c>
      <c r="N294" s="7" t="s">
        <v>41</v>
      </c>
    </row>
    <row r="295" customFormat="false" ht="15" hidden="false" customHeight="true" outlineLevel="0" collapsed="false">
      <c r="A295" s="22" t="s">
        <v>139</v>
      </c>
      <c r="B295" s="22" t="s">
        <v>140</v>
      </c>
      <c r="C295" s="22" t="s">
        <v>62</v>
      </c>
      <c r="D295" s="22" t="n">
        <v>14</v>
      </c>
      <c r="E295" s="22" t="s">
        <v>15</v>
      </c>
      <c r="F295" s="19"/>
      <c r="G295" s="19"/>
      <c r="H295" s="22" t="n">
        <v>65.12</v>
      </c>
      <c r="I295" s="22" t="n">
        <v>1.208</v>
      </c>
      <c r="J295" s="8" t="n">
        <f aca="false">IF(F295="",H295,F295/1000*G295)</f>
        <v>65.12</v>
      </c>
      <c r="K295" s="8" t="n">
        <f aca="false">ROUND(J295*I295,2)</f>
        <v>78.66</v>
      </c>
      <c r="L295" s="20" t="n">
        <v>78.66</v>
      </c>
      <c r="M295" s="8" t="n">
        <f aca="false">ROUND(K295-L295,2)</f>
        <v>0</v>
      </c>
      <c r="N295" s="7" t="s">
        <v>194</v>
      </c>
    </row>
    <row r="296" customFormat="false" ht="15" hidden="false" customHeight="true" outlineLevel="0" collapsed="false">
      <c r="A296" s="22" t="s">
        <v>139</v>
      </c>
      <c r="B296" s="22" t="s">
        <v>140</v>
      </c>
      <c r="C296" s="22" t="s">
        <v>62</v>
      </c>
      <c r="D296" s="22" t="n">
        <v>8</v>
      </c>
      <c r="E296" s="22" t="s">
        <v>12</v>
      </c>
      <c r="F296" s="22" t="n">
        <v>390</v>
      </c>
      <c r="G296" s="22" t="n">
        <v>60</v>
      </c>
      <c r="H296" s="19"/>
      <c r="I296" s="22" t="n">
        <v>0.395</v>
      </c>
      <c r="J296" s="8" t="n">
        <f aca="false">IF(F296="",H296,F296/1000*G296)</f>
        <v>23.4</v>
      </c>
      <c r="K296" s="8" t="n">
        <f aca="false">ROUND(J296*I296,2)</f>
        <v>9.24</v>
      </c>
      <c r="L296" s="20" t="n">
        <v>9.24</v>
      </c>
      <c r="M296" s="8" t="n">
        <f aca="false">ROUND(K296-L296,2)</f>
        <v>0</v>
      </c>
      <c r="N296" s="7" t="s">
        <v>38</v>
      </c>
    </row>
    <row r="297" customFormat="false" ht="15" hidden="false" customHeight="true" outlineLevel="0" collapsed="false">
      <c r="A297" s="22" t="s">
        <v>139</v>
      </c>
      <c r="B297" s="22" t="s">
        <v>140</v>
      </c>
      <c r="C297" s="22" t="s">
        <v>62</v>
      </c>
      <c r="D297" s="22" t="n">
        <v>16</v>
      </c>
      <c r="E297" s="22" t="s">
        <v>15</v>
      </c>
      <c r="F297" s="22" t="n">
        <v>1150</v>
      </c>
      <c r="G297" s="22" t="n">
        <v>22</v>
      </c>
      <c r="H297" s="19"/>
      <c r="I297" s="22" t="n">
        <v>1.578</v>
      </c>
      <c r="J297" s="8" t="n">
        <f aca="false">IF(F297="",H297,F297/1000*G297)</f>
        <v>25.3</v>
      </c>
      <c r="K297" s="8" t="n">
        <f aca="false">ROUND(J297*I297,2)</f>
        <v>39.92</v>
      </c>
      <c r="L297" s="20" t="n">
        <v>39.92</v>
      </c>
      <c r="M297" s="8" t="n">
        <f aca="false">ROUND(K297-L297,2)</f>
        <v>0</v>
      </c>
      <c r="N297" s="7" t="s">
        <v>44</v>
      </c>
    </row>
    <row r="298" customFormat="false" ht="15" hidden="false" customHeight="true" outlineLevel="0" collapsed="false">
      <c r="A298" s="22" t="s">
        <v>141</v>
      </c>
      <c r="B298" s="22" t="s">
        <v>140</v>
      </c>
      <c r="C298" s="22" t="s">
        <v>64</v>
      </c>
      <c r="D298" s="22" t="n">
        <v>14</v>
      </c>
      <c r="E298" s="22" t="s">
        <v>15</v>
      </c>
      <c r="F298" s="22" t="n">
        <v>3350</v>
      </c>
      <c r="G298" s="22" t="n">
        <v>11</v>
      </c>
      <c r="H298" s="19"/>
      <c r="I298" s="22" t="n">
        <v>1.208</v>
      </c>
      <c r="J298" s="8" t="n">
        <f aca="false">IF(F298="",H298,F298/1000*G298)</f>
        <v>36.85</v>
      </c>
      <c r="K298" s="8" t="n">
        <f aca="false">ROUND(J298*I298,2)</f>
        <v>44.51</v>
      </c>
      <c r="L298" s="20" t="n">
        <v>44.51</v>
      </c>
      <c r="M298" s="8" t="n">
        <f aca="false">ROUND(K298-L298,2)</f>
        <v>0</v>
      </c>
      <c r="N298" s="7" t="s">
        <v>41</v>
      </c>
    </row>
    <row r="299" customFormat="false" ht="15" hidden="false" customHeight="true" outlineLevel="0" collapsed="false">
      <c r="A299" s="22" t="s">
        <v>141</v>
      </c>
      <c r="B299" s="22" t="s">
        <v>140</v>
      </c>
      <c r="C299" s="22" t="s">
        <v>64</v>
      </c>
      <c r="D299" s="22" t="n">
        <v>14</v>
      </c>
      <c r="E299" s="22" t="s">
        <v>15</v>
      </c>
      <c r="F299" s="22" t="n">
        <v>2930</v>
      </c>
      <c r="G299" s="22" t="n">
        <v>11</v>
      </c>
      <c r="H299" s="19"/>
      <c r="I299" s="22" t="n">
        <v>1.208</v>
      </c>
      <c r="J299" s="8" t="n">
        <f aca="false">IF(F299="",H299,F299/1000*G299)</f>
        <v>32.23</v>
      </c>
      <c r="K299" s="8" t="n">
        <f aca="false">ROUND(J299*I299,2)</f>
        <v>38.93</v>
      </c>
      <c r="L299" s="20" t="n">
        <v>38.93</v>
      </c>
      <c r="M299" s="8" t="n">
        <f aca="false">ROUND(K299-L299,2)</f>
        <v>0</v>
      </c>
      <c r="N299" s="7" t="s">
        <v>41</v>
      </c>
    </row>
    <row r="300" customFormat="false" ht="15" hidden="false" customHeight="true" outlineLevel="0" collapsed="false">
      <c r="A300" s="22" t="s">
        <v>141</v>
      </c>
      <c r="B300" s="22" t="s">
        <v>140</v>
      </c>
      <c r="C300" s="22" t="s">
        <v>64</v>
      </c>
      <c r="D300" s="22" t="n">
        <v>14</v>
      </c>
      <c r="E300" s="22" t="s">
        <v>15</v>
      </c>
      <c r="F300" s="19"/>
      <c r="G300" s="19"/>
      <c r="H300" s="22" t="n">
        <v>67.32</v>
      </c>
      <c r="I300" s="22" t="n">
        <v>1.208</v>
      </c>
      <c r="J300" s="8" t="n">
        <f aca="false">IF(F300="",H300,F300/1000*G300)</f>
        <v>67.32</v>
      </c>
      <c r="K300" s="8" t="n">
        <f aca="false">ROUND(J300*I300,2)</f>
        <v>81.32</v>
      </c>
      <c r="L300" s="20" t="n">
        <v>81.32</v>
      </c>
      <c r="M300" s="8" t="n">
        <f aca="false">ROUND(K300-L300,2)</f>
        <v>0</v>
      </c>
      <c r="N300" s="7" t="s">
        <v>194</v>
      </c>
    </row>
    <row r="301" customFormat="false" ht="15" hidden="false" customHeight="true" outlineLevel="0" collapsed="false">
      <c r="A301" s="22" t="s">
        <v>141</v>
      </c>
      <c r="B301" s="22" t="s">
        <v>140</v>
      </c>
      <c r="C301" s="22" t="s">
        <v>64</v>
      </c>
      <c r="D301" s="22" t="n">
        <v>8</v>
      </c>
      <c r="E301" s="22" t="s">
        <v>12</v>
      </c>
      <c r="F301" s="22" t="n">
        <v>390</v>
      </c>
      <c r="G301" s="22" t="n">
        <v>62</v>
      </c>
      <c r="H301" s="19"/>
      <c r="I301" s="22" t="n">
        <v>0.395</v>
      </c>
      <c r="J301" s="8" t="n">
        <f aca="false">IF(F301="",H301,F301/1000*G301)</f>
        <v>24.18</v>
      </c>
      <c r="K301" s="8" t="n">
        <f aca="false">ROUND(J301*I301,2)</f>
        <v>9.55</v>
      </c>
      <c r="L301" s="20" t="n">
        <v>9.55</v>
      </c>
      <c r="M301" s="8" t="n">
        <f aca="false">ROUND(K301-L301,2)</f>
        <v>0</v>
      </c>
      <c r="N301" s="7" t="s">
        <v>38</v>
      </c>
    </row>
    <row r="302" customFormat="false" ht="15" hidden="false" customHeight="true" outlineLevel="0" collapsed="false">
      <c r="A302" s="22" t="s">
        <v>142</v>
      </c>
      <c r="B302" s="22" t="s">
        <v>140</v>
      </c>
      <c r="C302" s="22" t="s">
        <v>66</v>
      </c>
      <c r="D302" s="22" t="n">
        <v>14</v>
      </c>
      <c r="E302" s="22" t="s">
        <v>15</v>
      </c>
      <c r="F302" s="22" t="n">
        <v>3350</v>
      </c>
      <c r="G302" s="22" t="n">
        <v>11</v>
      </c>
      <c r="H302" s="19"/>
      <c r="I302" s="22" t="n">
        <v>1.208</v>
      </c>
      <c r="J302" s="8" t="n">
        <f aca="false">IF(F302="",H302,F302/1000*G302)</f>
        <v>36.85</v>
      </c>
      <c r="K302" s="8" t="n">
        <f aca="false">ROUND(J302*I302,2)</f>
        <v>44.51</v>
      </c>
      <c r="L302" s="20" t="n">
        <v>44.51</v>
      </c>
      <c r="M302" s="8" t="n">
        <f aca="false">ROUND(K302-L302,2)</f>
        <v>0</v>
      </c>
      <c r="N302" s="7" t="s">
        <v>41</v>
      </c>
    </row>
    <row r="303" customFormat="false" ht="15" hidden="false" customHeight="true" outlineLevel="0" collapsed="false">
      <c r="A303" s="22" t="s">
        <v>142</v>
      </c>
      <c r="B303" s="22" t="s">
        <v>140</v>
      </c>
      <c r="C303" s="22" t="s">
        <v>66</v>
      </c>
      <c r="D303" s="22" t="n">
        <v>14</v>
      </c>
      <c r="E303" s="22" t="s">
        <v>15</v>
      </c>
      <c r="F303" s="22" t="n">
        <v>2930</v>
      </c>
      <c r="G303" s="22" t="n">
        <v>11</v>
      </c>
      <c r="H303" s="19"/>
      <c r="I303" s="22" t="n">
        <v>1.208</v>
      </c>
      <c r="J303" s="8" t="n">
        <f aca="false">IF(F303="",H303,F303/1000*G303)</f>
        <v>32.23</v>
      </c>
      <c r="K303" s="8" t="n">
        <f aca="false">ROUND(J303*I303,2)</f>
        <v>38.93</v>
      </c>
      <c r="L303" s="20" t="n">
        <v>38.93</v>
      </c>
      <c r="M303" s="8" t="n">
        <f aca="false">ROUND(K303-L303,2)</f>
        <v>0</v>
      </c>
      <c r="N303" s="7" t="s">
        <v>41</v>
      </c>
    </row>
    <row r="304" customFormat="false" ht="15" hidden="false" customHeight="true" outlineLevel="0" collapsed="false">
      <c r="A304" s="22" t="s">
        <v>142</v>
      </c>
      <c r="B304" s="22" t="s">
        <v>140</v>
      </c>
      <c r="C304" s="22" t="s">
        <v>66</v>
      </c>
      <c r="D304" s="22" t="n">
        <v>14</v>
      </c>
      <c r="E304" s="22" t="s">
        <v>15</v>
      </c>
      <c r="F304" s="19"/>
      <c r="G304" s="19"/>
      <c r="H304" s="22" t="n">
        <v>63.36</v>
      </c>
      <c r="I304" s="22" t="n">
        <v>1.208</v>
      </c>
      <c r="J304" s="8" t="n">
        <f aca="false">IF(F304="",H304,F304/1000*G304)</f>
        <v>63.36</v>
      </c>
      <c r="K304" s="8" t="n">
        <f aca="false">ROUND(J304*I304,2)</f>
        <v>76.54</v>
      </c>
      <c r="L304" s="20" t="n">
        <v>76.54</v>
      </c>
      <c r="M304" s="8" t="n">
        <f aca="false">ROUND(K304-L304,2)</f>
        <v>0</v>
      </c>
      <c r="N304" s="7" t="s">
        <v>194</v>
      </c>
    </row>
    <row r="305" customFormat="false" ht="15" hidden="false" customHeight="true" outlineLevel="0" collapsed="false">
      <c r="A305" s="22" t="s">
        <v>142</v>
      </c>
      <c r="B305" s="22" t="s">
        <v>140</v>
      </c>
      <c r="C305" s="22" t="s">
        <v>66</v>
      </c>
      <c r="D305" s="22" t="n">
        <v>8</v>
      </c>
      <c r="E305" s="22" t="s">
        <v>12</v>
      </c>
      <c r="F305" s="22" t="n">
        <v>390</v>
      </c>
      <c r="G305" s="22" t="n">
        <v>50</v>
      </c>
      <c r="H305" s="19"/>
      <c r="I305" s="22" t="n">
        <v>0.395</v>
      </c>
      <c r="J305" s="8" t="n">
        <f aca="false">IF(F305="",H305,F305/1000*G305)</f>
        <v>19.5</v>
      </c>
      <c r="K305" s="8" t="n">
        <f aca="false">ROUND(J305*I305,2)</f>
        <v>7.7</v>
      </c>
      <c r="L305" s="20" t="n">
        <v>7.7</v>
      </c>
      <c r="M305" s="8" t="n">
        <f aca="false">ROUND(K305-L305,2)</f>
        <v>0</v>
      </c>
      <c r="N305" s="7" t="s">
        <v>38</v>
      </c>
    </row>
    <row r="306" customFormat="false" ht="15" hidden="false" customHeight="true" outlineLevel="0" collapsed="false">
      <c r="A306" s="22" t="s">
        <v>143</v>
      </c>
      <c r="B306" s="22" t="s">
        <v>140</v>
      </c>
      <c r="C306" s="22" t="s">
        <v>68</v>
      </c>
      <c r="D306" s="22" t="n">
        <v>14</v>
      </c>
      <c r="E306" s="22" t="s">
        <v>15</v>
      </c>
      <c r="F306" s="22" t="n">
        <v>3350</v>
      </c>
      <c r="G306" s="22" t="n">
        <v>19</v>
      </c>
      <c r="H306" s="19"/>
      <c r="I306" s="22" t="n">
        <v>1.208</v>
      </c>
      <c r="J306" s="8" t="n">
        <f aca="false">IF(F306="",H306,F306/1000*G306)</f>
        <v>63.65</v>
      </c>
      <c r="K306" s="8" t="n">
        <f aca="false">ROUND(J306*I306,2)</f>
        <v>76.89</v>
      </c>
      <c r="L306" s="20" t="n">
        <v>76.89</v>
      </c>
      <c r="M306" s="8" t="n">
        <f aca="false">ROUND(K306-L306,2)</f>
        <v>0</v>
      </c>
      <c r="N306" s="7" t="s">
        <v>41</v>
      </c>
    </row>
    <row r="307" customFormat="false" ht="15" hidden="false" customHeight="true" outlineLevel="0" collapsed="false">
      <c r="A307" s="22" t="s">
        <v>143</v>
      </c>
      <c r="B307" s="22" t="s">
        <v>140</v>
      </c>
      <c r="C307" s="22" t="s">
        <v>68</v>
      </c>
      <c r="D307" s="22" t="n">
        <v>14</v>
      </c>
      <c r="E307" s="22" t="s">
        <v>15</v>
      </c>
      <c r="F307" s="22" t="n">
        <v>2930</v>
      </c>
      <c r="G307" s="22" t="n">
        <v>19</v>
      </c>
      <c r="H307" s="19"/>
      <c r="I307" s="22" t="n">
        <v>1.208</v>
      </c>
      <c r="J307" s="8" t="n">
        <f aca="false">IF(F307="",H307,F307/1000*G307)</f>
        <v>55.67</v>
      </c>
      <c r="K307" s="8" t="n">
        <f aca="false">ROUND(J307*I307,2)</f>
        <v>67.25</v>
      </c>
      <c r="L307" s="20" t="n">
        <v>67.25</v>
      </c>
      <c r="M307" s="8" t="n">
        <f aca="false">ROUND(K307-L307,2)</f>
        <v>0</v>
      </c>
      <c r="N307" s="7" t="s">
        <v>41</v>
      </c>
    </row>
    <row r="308" customFormat="false" ht="15" hidden="false" customHeight="true" outlineLevel="0" collapsed="false">
      <c r="A308" s="22" t="s">
        <v>143</v>
      </c>
      <c r="B308" s="22" t="s">
        <v>140</v>
      </c>
      <c r="C308" s="22" t="s">
        <v>68</v>
      </c>
      <c r="D308" s="22" t="n">
        <v>14</v>
      </c>
      <c r="E308" s="22" t="s">
        <v>15</v>
      </c>
      <c r="F308" s="19"/>
      <c r="G308" s="19"/>
      <c r="H308" s="22" t="n">
        <v>100.1</v>
      </c>
      <c r="I308" s="22" t="n">
        <v>1.208</v>
      </c>
      <c r="J308" s="8" t="n">
        <f aca="false">IF(F308="",H308,F308/1000*G308)</f>
        <v>100.1</v>
      </c>
      <c r="K308" s="8" t="n">
        <f aca="false">ROUND(J308*I308,2)</f>
        <v>120.92</v>
      </c>
      <c r="L308" s="20" t="n">
        <v>120.92</v>
      </c>
      <c r="M308" s="8" t="n">
        <f aca="false">ROUND(K308-L308,2)</f>
        <v>0</v>
      </c>
      <c r="N308" s="7" t="s">
        <v>194</v>
      </c>
    </row>
    <row r="309" customFormat="false" ht="15" hidden="false" customHeight="true" outlineLevel="0" collapsed="false">
      <c r="A309" s="22" t="s">
        <v>143</v>
      </c>
      <c r="B309" s="22" t="s">
        <v>140</v>
      </c>
      <c r="C309" s="22" t="s">
        <v>68</v>
      </c>
      <c r="D309" s="22" t="n">
        <v>8</v>
      </c>
      <c r="E309" s="22" t="s">
        <v>12</v>
      </c>
      <c r="F309" s="22" t="n">
        <v>630</v>
      </c>
      <c r="G309" s="22" t="n">
        <v>76</v>
      </c>
      <c r="H309" s="19"/>
      <c r="I309" s="22" t="n">
        <v>0.395</v>
      </c>
      <c r="J309" s="8" t="n">
        <f aca="false">IF(F309="",H309,F309/1000*G309)</f>
        <v>47.88</v>
      </c>
      <c r="K309" s="8" t="n">
        <f aca="false">ROUND(J309*I309,2)</f>
        <v>18.91</v>
      </c>
      <c r="L309" s="20" t="n">
        <v>18.91</v>
      </c>
      <c r="M309" s="8" t="n">
        <f aca="false">ROUND(K309-L309,2)</f>
        <v>0</v>
      </c>
      <c r="N309" s="7" t="s">
        <v>37</v>
      </c>
    </row>
    <row r="310" customFormat="false" ht="15" hidden="false" customHeight="true" outlineLevel="0" collapsed="false">
      <c r="A310" s="22" t="s">
        <v>143</v>
      </c>
      <c r="B310" s="22" t="s">
        <v>140</v>
      </c>
      <c r="C310" s="22" t="s">
        <v>68</v>
      </c>
      <c r="D310" s="22" t="n">
        <v>16</v>
      </c>
      <c r="E310" s="22" t="s">
        <v>15</v>
      </c>
      <c r="F310" s="22" t="n">
        <v>1970</v>
      </c>
      <c r="G310" s="22" t="n">
        <v>22</v>
      </c>
      <c r="H310" s="19"/>
      <c r="I310" s="22" t="n">
        <v>1.578</v>
      </c>
      <c r="J310" s="8" t="n">
        <f aca="false">IF(F310="",H310,F310/1000*G310)</f>
        <v>43.34</v>
      </c>
      <c r="K310" s="8" t="n">
        <f aca="false">ROUND(J310*I310,2)</f>
        <v>68.39</v>
      </c>
      <c r="L310" s="20" t="n">
        <v>68.39</v>
      </c>
      <c r="M310" s="8" t="n">
        <f aca="false">ROUND(K310-L310,2)</f>
        <v>0</v>
      </c>
      <c r="N310" s="7" t="s">
        <v>42</v>
      </c>
    </row>
    <row r="311" customFormat="false" ht="15" hidden="false" customHeight="true" outlineLevel="0" collapsed="false">
      <c r="A311" s="22" t="s">
        <v>144</v>
      </c>
      <c r="B311" s="22" t="s">
        <v>145</v>
      </c>
      <c r="C311" s="22" t="s">
        <v>62</v>
      </c>
      <c r="D311" s="22" t="n">
        <v>14</v>
      </c>
      <c r="E311" s="22" t="s">
        <v>15</v>
      </c>
      <c r="F311" s="22" t="n">
        <v>3350</v>
      </c>
      <c r="G311" s="22" t="n">
        <v>10</v>
      </c>
      <c r="H311" s="19"/>
      <c r="I311" s="22" t="n">
        <v>1.208</v>
      </c>
      <c r="J311" s="8" t="n">
        <f aca="false">IF(F311="",H311,F311/1000*G311)</f>
        <v>33.5</v>
      </c>
      <c r="K311" s="8" t="n">
        <f aca="false">ROUND(J311*I311,2)</f>
        <v>40.47</v>
      </c>
      <c r="L311" s="20" t="n">
        <v>40.47</v>
      </c>
      <c r="M311" s="8" t="n">
        <f aca="false">ROUND(K311-L311,2)</f>
        <v>0</v>
      </c>
      <c r="N311" s="7" t="s">
        <v>41</v>
      </c>
    </row>
    <row r="312" customFormat="false" ht="15" hidden="false" customHeight="true" outlineLevel="0" collapsed="false">
      <c r="A312" s="22" t="s">
        <v>144</v>
      </c>
      <c r="B312" s="22" t="s">
        <v>145</v>
      </c>
      <c r="C312" s="22" t="s">
        <v>62</v>
      </c>
      <c r="D312" s="22" t="n">
        <v>14</v>
      </c>
      <c r="E312" s="22" t="s">
        <v>15</v>
      </c>
      <c r="F312" s="22" t="n">
        <v>2930</v>
      </c>
      <c r="G312" s="22" t="n">
        <v>10</v>
      </c>
      <c r="H312" s="19"/>
      <c r="I312" s="22" t="n">
        <v>1.208</v>
      </c>
      <c r="J312" s="8" t="n">
        <f aca="false">IF(F312="",H312,F312/1000*G312)</f>
        <v>29.3</v>
      </c>
      <c r="K312" s="8" t="n">
        <f aca="false">ROUND(J312*I312,2)</f>
        <v>35.39</v>
      </c>
      <c r="L312" s="20" t="n">
        <v>35.39</v>
      </c>
      <c r="M312" s="8" t="n">
        <f aca="false">ROUND(K312-L312,2)</f>
        <v>0</v>
      </c>
      <c r="N312" s="7" t="s">
        <v>41</v>
      </c>
    </row>
    <row r="313" customFormat="false" ht="15" hidden="false" customHeight="true" outlineLevel="0" collapsed="false">
      <c r="A313" s="22" t="s">
        <v>144</v>
      </c>
      <c r="B313" s="22" t="s">
        <v>145</v>
      </c>
      <c r="C313" s="22" t="s">
        <v>62</v>
      </c>
      <c r="D313" s="22" t="n">
        <v>14</v>
      </c>
      <c r="E313" s="22" t="s">
        <v>15</v>
      </c>
      <c r="F313" s="22" t="n">
        <v>2480</v>
      </c>
      <c r="G313" s="22" t="n">
        <v>10</v>
      </c>
      <c r="H313" s="19"/>
      <c r="I313" s="22" t="n">
        <v>1.208</v>
      </c>
      <c r="J313" s="8" t="n">
        <f aca="false">IF(F313="",H313,F313/1000*G313)</f>
        <v>24.8</v>
      </c>
      <c r="K313" s="8" t="n">
        <f aca="false">ROUND(J313*I313,2)</f>
        <v>29.96</v>
      </c>
      <c r="L313" s="20" t="n">
        <v>29.96</v>
      </c>
      <c r="M313" s="8" t="n">
        <f aca="false">ROUND(K313-L313,2)</f>
        <v>0</v>
      </c>
      <c r="N313" s="7" t="s">
        <v>41</v>
      </c>
    </row>
    <row r="314" customFormat="false" ht="15" hidden="false" customHeight="true" outlineLevel="0" collapsed="false">
      <c r="A314" s="22" t="s">
        <v>144</v>
      </c>
      <c r="B314" s="22" t="s">
        <v>145</v>
      </c>
      <c r="C314" s="22" t="s">
        <v>62</v>
      </c>
      <c r="D314" s="22" t="n">
        <v>14</v>
      </c>
      <c r="E314" s="22" t="s">
        <v>15</v>
      </c>
      <c r="F314" s="19"/>
      <c r="G314" s="19"/>
      <c r="H314" s="22" t="n">
        <v>65.12</v>
      </c>
      <c r="I314" s="22" t="n">
        <v>1.208</v>
      </c>
      <c r="J314" s="8" t="n">
        <f aca="false">IF(F314="",H314,F314/1000*G314)</f>
        <v>65.12</v>
      </c>
      <c r="K314" s="8" t="n">
        <f aca="false">ROUND(J314*I314,2)</f>
        <v>78.66</v>
      </c>
      <c r="L314" s="20" t="n">
        <v>78.66</v>
      </c>
      <c r="M314" s="8" t="n">
        <f aca="false">ROUND(K314-L314,2)</f>
        <v>0</v>
      </c>
      <c r="N314" s="7" t="s">
        <v>194</v>
      </c>
    </row>
    <row r="315" customFormat="false" ht="15" hidden="false" customHeight="true" outlineLevel="0" collapsed="false">
      <c r="A315" s="22" t="s">
        <v>144</v>
      </c>
      <c r="B315" s="22" t="s">
        <v>145</v>
      </c>
      <c r="C315" s="22" t="s">
        <v>62</v>
      </c>
      <c r="D315" s="22" t="n">
        <v>8</v>
      </c>
      <c r="E315" s="22" t="s">
        <v>12</v>
      </c>
      <c r="F315" s="22" t="n">
        <v>390</v>
      </c>
      <c r="G315" s="22" t="n">
        <v>60</v>
      </c>
      <c r="H315" s="19"/>
      <c r="I315" s="22" t="n">
        <v>0.395</v>
      </c>
      <c r="J315" s="8" t="n">
        <f aca="false">IF(F315="",H315,F315/1000*G315)</f>
        <v>23.4</v>
      </c>
      <c r="K315" s="8" t="n">
        <f aca="false">ROUND(J315*I315,2)</f>
        <v>9.24</v>
      </c>
      <c r="L315" s="20" t="n">
        <v>9.24</v>
      </c>
      <c r="M315" s="8" t="n">
        <f aca="false">ROUND(K315-L315,2)</f>
        <v>0</v>
      </c>
      <c r="N315" s="7" t="s">
        <v>38</v>
      </c>
    </row>
    <row r="316" customFormat="false" ht="15" hidden="false" customHeight="true" outlineLevel="0" collapsed="false">
      <c r="A316" s="22" t="s">
        <v>144</v>
      </c>
      <c r="B316" s="22" t="s">
        <v>145</v>
      </c>
      <c r="C316" s="22" t="s">
        <v>62</v>
      </c>
      <c r="D316" s="22" t="n">
        <v>16</v>
      </c>
      <c r="E316" s="22" t="s">
        <v>15</v>
      </c>
      <c r="F316" s="22" t="n">
        <v>1150</v>
      </c>
      <c r="G316" s="22" t="n">
        <v>22</v>
      </c>
      <c r="H316" s="19"/>
      <c r="I316" s="22" t="n">
        <v>1.578</v>
      </c>
      <c r="J316" s="8" t="n">
        <f aca="false">IF(F316="",H316,F316/1000*G316)</f>
        <v>25.3</v>
      </c>
      <c r="K316" s="8" t="n">
        <f aca="false">ROUND(J316*I316,2)</f>
        <v>39.92</v>
      </c>
      <c r="L316" s="20" t="n">
        <v>39.92</v>
      </c>
      <c r="M316" s="8" t="n">
        <f aca="false">ROUND(K316-L316,2)</f>
        <v>0</v>
      </c>
      <c r="N316" s="7" t="s">
        <v>44</v>
      </c>
    </row>
    <row r="317" customFormat="false" ht="15" hidden="false" customHeight="true" outlineLevel="0" collapsed="false">
      <c r="A317" s="22" t="s">
        <v>146</v>
      </c>
      <c r="B317" s="22" t="s">
        <v>145</v>
      </c>
      <c r="C317" s="22" t="s">
        <v>64</v>
      </c>
      <c r="D317" s="22" t="n">
        <v>14</v>
      </c>
      <c r="E317" s="22" t="s">
        <v>15</v>
      </c>
      <c r="F317" s="22" t="n">
        <v>3350</v>
      </c>
      <c r="G317" s="22" t="n">
        <v>11</v>
      </c>
      <c r="H317" s="19"/>
      <c r="I317" s="22" t="n">
        <v>1.208</v>
      </c>
      <c r="J317" s="8" t="n">
        <f aca="false">IF(F317="",H317,F317/1000*G317)</f>
        <v>36.85</v>
      </c>
      <c r="K317" s="8" t="n">
        <f aca="false">ROUND(J317*I317,2)</f>
        <v>44.51</v>
      </c>
      <c r="L317" s="20" t="n">
        <v>44.51</v>
      </c>
      <c r="M317" s="8" t="n">
        <f aca="false">ROUND(K317-L317,2)</f>
        <v>0</v>
      </c>
      <c r="N317" s="7" t="s">
        <v>41</v>
      </c>
    </row>
    <row r="318" customFormat="false" ht="15" hidden="false" customHeight="true" outlineLevel="0" collapsed="false">
      <c r="A318" s="22" t="s">
        <v>146</v>
      </c>
      <c r="B318" s="22" t="s">
        <v>145</v>
      </c>
      <c r="C318" s="22" t="s">
        <v>64</v>
      </c>
      <c r="D318" s="22" t="n">
        <v>14</v>
      </c>
      <c r="E318" s="22" t="s">
        <v>15</v>
      </c>
      <c r="F318" s="22" t="n">
        <v>2930</v>
      </c>
      <c r="G318" s="22" t="n">
        <v>11</v>
      </c>
      <c r="H318" s="19"/>
      <c r="I318" s="22" t="n">
        <v>1.208</v>
      </c>
      <c r="J318" s="8" t="n">
        <f aca="false">IF(F318="",H318,F318/1000*G318)</f>
        <v>32.23</v>
      </c>
      <c r="K318" s="8" t="n">
        <f aca="false">ROUND(J318*I318,2)</f>
        <v>38.93</v>
      </c>
      <c r="L318" s="20" t="n">
        <v>38.93</v>
      </c>
      <c r="M318" s="8" t="n">
        <f aca="false">ROUND(K318-L318,2)</f>
        <v>0</v>
      </c>
      <c r="N318" s="7" t="s">
        <v>41</v>
      </c>
    </row>
    <row r="319" customFormat="false" ht="15" hidden="false" customHeight="true" outlineLevel="0" collapsed="false">
      <c r="A319" s="22" t="s">
        <v>146</v>
      </c>
      <c r="B319" s="22" t="s">
        <v>145</v>
      </c>
      <c r="C319" s="22" t="s">
        <v>64</v>
      </c>
      <c r="D319" s="22" t="n">
        <v>14</v>
      </c>
      <c r="E319" s="22" t="s">
        <v>15</v>
      </c>
      <c r="F319" s="19"/>
      <c r="G319" s="19"/>
      <c r="H319" s="22" t="n">
        <v>67.32</v>
      </c>
      <c r="I319" s="22" t="n">
        <v>1.208</v>
      </c>
      <c r="J319" s="8" t="n">
        <f aca="false">IF(F319="",H319,F319/1000*G319)</f>
        <v>67.32</v>
      </c>
      <c r="K319" s="8" t="n">
        <f aca="false">ROUND(J319*I319,2)</f>
        <v>81.32</v>
      </c>
      <c r="L319" s="20" t="n">
        <v>81.32</v>
      </c>
      <c r="M319" s="8" t="n">
        <f aca="false">ROUND(K319-L319,2)</f>
        <v>0</v>
      </c>
      <c r="N319" s="7" t="s">
        <v>194</v>
      </c>
    </row>
    <row r="320" customFormat="false" ht="15" hidden="false" customHeight="true" outlineLevel="0" collapsed="false">
      <c r="A320" s="22" t="s">
        <v>146</v>
      </c>
      <c r="B320" s="22" t="s">
        <v>145</v>
      </c>
      <c r="C320" s="22" t="s">
        <v>64</v>
      </c>
      <c r="D320" s="22" t="n">
        <v>8</v>
      </c>
      <c r="E320" s="22" t="s">
        <v>12</v>
      </c>
      <c r="F320" s="22" t="n">
        <v>390</v>
      </c>
      <c r="G320" s="22" t="n">
        <v>62</v>
      </c>
      <c r="H320" s="19"/>
      <c r="I320" s="22" t="n">
        <v>0.395</v>
      </c>
      <c r="J320" s="8" t="n">
        <f aca="false">IF(F320="",H320,F320/1000*G320)</f>
        <v>24.18</v>
      </c>
      <c r="K320" s="8" t="n">
        <f aca="false">ROUND(J320*I320,2)</f>
        <v>9.55</v>
      </c>
      <c r="L320" s="20" t="n">
        <v>9.55</v>
      </c>
      <c r="M320" s="8" t="n">
        <f aca="false">ROUND(K320-L320,2)</f>
        <v>0</v>
      </c>
      <c r="N320" s="7" t="s">
        <v>38</v>
      </c>
    </row>
    <row r="321" customFormat="false" ht="15" hidden="false" customHeight="true" outlineLevel="0" collapsed="false">
      <c r="A321" s="22" t="s">
        <v>147</v>
      </c>
      <c r="B321" s="22" t="s">
        <v>145</v>
      </c>
      <c r="C321" s="22" t="s">
        <v>66</v>
      </c>
      <c r="D321" s="22" t="n">
        <v>14</v>
      </c>
      <c r="E321" s="22" t="s">
        <v>15</v>
      </c>
      <c r="F321" s="22" t="n">
        <v>3350</v>
      </c>
      <c r="G321" s="22" t="n">
        <v>11</v>
      </c>
      <c r="H321" s="19"/>
      <c r="I321" s="22" t="n">
        <v>1.208</v>
      </c>
      <c r="J321" s="8" t="n">
        <f aca="false">IF(F321="",H321,F321/1000*G321)</f>
        <v>36.85</v>
      </c>
      <c r="K321" s="8" t="n">
        <f aca="false">ROUND(J321*I321,2)</f>
        <v>44.51</v>
      </c>
      <c r="L321" s="20" t="n">
        <v>44.51</v>
      </c>
      <c r="M321" s="8" t="n">
        <f aca="false">ROUND(K321-L321,2)</f>
        <v>0</v>
      </c>
      <c r="N321" s="7" t="s">
        <v>41</v>
      </c>
    </row>
    <row r="322" customFormat="false" ht="15" hidden="false" customHeight="true" outlineLevel="0" collapsed="false">
      <c r="A322" s="22" t="s">
        <v>147</v>
      </c>
      <c r="B322" s="22" t="s">
        <v>145</v>
      </c>
      <c r="C322" s="22" t="s">
        <v>66</v>
      </c>
      <c r="D322" s="22" t="n">
        <v>14</v>
      </c>
      <c r="E322" s="22" t="s">
        <v>15</v>
      </c>
      <c r="F322" s="22" t="n">
        <v>2930</v>
      </c>
      <c r="G322" s="22" t="n">
        <v>11</v>
      </c>
      <c r="H322" s="19"/>
      <c r="I322" s="22" t="n">
        <v>1.208</v>
      </c>
      <c r="J322" s="8" t="n">
        <f aca="false">IF(F322="",H322,F322/1000*G322)</f>
        <v>32.23</v>
      </c>
      <c r="K322" s="8" t="n">
        <f aca="false">ROUND(J322*I322,2)</f>
        <v>38.93</v>
      </c>
      <c r="L322" s="20" t="n">
        <v>38.93</v>
      </c>
      <c r="M322" s="8" t="n">
        <f aca="false">ROUND(K322-L322,2)</f>
        <v>0</v>
      </c>
      <c r="N322" s="7" t="s">
        <v>41</v>
      </c>
    </row>
    <row r="323" customFormat="false" ht="15" hidden="false" customHeight="true" outlineLevel="0" collapsed="false">
      <c r="A323" s="22" t="s">
        <v>147</v>
      </c>
      <c r="B323" s="22" t="s">
        <v>145</v>
      </c>
      <c r="C323" s="22" t="s">
        <v>66</v>
      </c>
      <c r="D323" s="22" t="n">
        <v>14</v>
      </c>
      <c r="E323" s="22" t="s">
        <v>15</v>
      </c>
      <c r="F323" s="19"/>
      <c r="G323" s="19"/>
      <c r="H323" s="22" t="n">
        <v>63.36</v>
      </c>
      <c r="I323" s="22" t="n">
        <v>1.208</v>
      </c>
      <c r="J323" s="8" t="n">
        <f aca="false">IF(F323="",H323,F323/1000*G323)</f>
        <v>63.36</v>
      </c>
      <c r="K323" s="8" t="n">
        <f aca="false">ROUND(J323*I323,2)</f>
        <v>76.54</v>
      </c>
      <c r="L323" s="20" t="n">
        <v>76.54</v>
      </c>
      <c r="M323" s="8" t="n">
        <f aca="false">ROUND(K323-L323,2)</f>
        <v>0</v>
      </c>
      <c r="N323" s="7" t="s">
        <v>194</v>
      </c>
    </row>
    <row r="324" customFormat="false" ht="15" hidden="false" customHeight="true" outlineLevel="0" collapsed="false">
      <c r="A324" s="22" t="s">
        <v>147</v>
      </c>
      <c r="B324" s="22" t="s">
        <v>145</v>
      </c>
      <c r="C324" s="22" t="s">
        <v>66</v>
      </c>
      <c r="D324" s="22" t="n">
        <v>8</v>
      </c>
      <c r="E324" s="22" t="s">
        <v>12</v>
      </c>
      <c r="F324" s="22" t="n">
        <v>390</v>
      </c>
      <c r="G324" s="22" t="n">
        <v>50</v>
      </c>
      <c r="H324" s="19"/>
      <c r="I324" s="22" t="n">
        <v>0.395</v>
      </c>
      <c r="J324" s="8" t="n">
        <f aca="false">IF(F324="",H324,F324/1000*G324)</f>
        <v>19.5</v>
      </c>
      <c r="K324" s="8" t="n">
        <f aca="false">ROUND(J324*I324,2)</f>
        <v>7.7</v>
      </c>
      <c r="L324" s="20" t="n">
        <v>7.7</v>
      </c>
      <c r="M324" s="8" t="n">
        <f aca="false">ROUND(K324-L324,2)</f>
        <v>0</v>
      </c>
      <c r="N324" s="7" t="s">
        <v>38</v>
      </c>
    </row>
    <row r="325" customFormat="false" ht="15" hidden="false" customHeight="true" outlineLevel="0" collapsed="false">
      <c r="A325" s="22" t="s">
        <v>148</v>
      </c>
      <c r="B325" s="22" t="s">
        <v>145</v>
      </c>
      <c r="C325" s="22" t="s">
        <v>68</v>
      </c>
      <c r="D325" s="22" t="n">
        <v>14</v>
      </c>
      <c r="E325" s="22" t="s">
        <v>15</v>
      </c>
      <c r="F325" s="22" t="n">
        <v>3350</v>
      </c>
      <c r="G325" s="22" t="n">
        <v>19</v>
      </c>
      <c r="H325" s="19"/>
      <c r="I325" s="22" t="n">
        <v>1.208</v>
      </c>
      <c r="J325" s="8" t="n">
        <f aca="false">IF(F325="",H325,F325/1000*G325)</f>
        <v>63.65</v>
      </c>
      <c r="K325" s="8" t="n">
        <f aca="false">ROUND(J325*I325,2)</f>
        <v>76.89</v>
      </c>
      <c r="L325" s="20" t="n">
        <v>76.89</v>
      </c>
      <c r="M325" s="8" t="n">
        <f aca="false">ROUND(K325-L325,2)</f>
        <v>0</v>
      </c>
      <c r="N325" s="7" t="s">
        <v>41</v>
      </c>
    </row>
    <row r="326" customFormat="false" ht="15" hidden="false" customHeight="true" outlineLevel="0" collapsed="false">
      <c r="A326" s="22" t="s">
        <v>148</v>
      </c>
      <c r="B326" s="22" t="s">
        <v>145</v>
      </c>
      <c r="C326" s="22" t="s">
        <v>68</v>
      </c>
      <c r="D326" s="22" t="n">
        <v>14</v>
      </c>
      <c r="E326" s="22" t="s">
        <v>15</v>
      </c>
      <c r="F326" s="22" t="n">
        <v>2930</v>
      </c>
      <c r="G326" s="22" t="n">
        <v>19</v>
      </c>
      <c r="H326" s="19"/>
      <c r="I326" s="22" t="n">
        <v>1.208</v>
      </c>
      <c r="J326" s="8" t="n">
        <f aca="false">IF(F326="",H326,F326/1000*G326)</f>
        <v>55.67</v>
      </c>
      <c r="K326" s="8" t="n">
        <f aca="false">ROUND(J326*I326,2)</f>
        <v>67.25</v>
      </c>
      <c r="L326" s="20" t="n">
        <v>67.25</v>
      </c>
      <c r="M326" s="8" t="n">
        <f aca="false">ROUND(K326-L326,2)</f>
        <v>0</v>
      </c>
      <c r="N326" s="7" t="s">
        <v>41</v>
      </c>
    </row>
    <row r="327" customFormat="false" ht="15" hidden="false" customHeight="true" outlineLevel="0" collapsed="false">
      <c r="A327" s="22" t="s">
        <v>148</v>
      </c>
      <c r="B327" s="22" t="s">
        <v>145</v>
      </c>
      <c r="C327" s="22" t="s">
        <v>68</v>
      </c>
      <c r="D327" s="22" t="n">
        <v>14</v>
      </c>
      <c r="E327" s="22" t="s">
        <v>15</v>
      </c>
      <c r="F327" s="19"/>
      <c r="G327" s="19"/>
      <c r="H327" s="22" t="n">
        <v>100.1</v>
      </c>
      <c r="I327" s="22" t="n">
        <v>1.208</v>
      </c>
      <c r="J327" s="8" t="n">
        <f aca="false">IF(F327="",H327,F327/1000*G327)</f>
        <v>100.1</v>
      </c>
      <c r="K327" s="8" t="n">
        <f aca="false">ROUND(J327*I327,2)</f>
        <v>120.92</v>
      </c>
      <c r="L327" s="20" t="n">
        <v>120.92</v>
      </c>
      <c r="M327" s="8" t="n">
        <f aca="false">ROUND(K327-L327,2)</f>
        <v>0</v>
      </c>
      <c r="N327" s="7" t="s">
        <v>194</v>
      </c>
    </row>
    <row r="328" customFormat="false" ht="15" hidden="false" customHeight="true" outlineLevel="0" collapsed="false">
      <c r="A328" s="22" t="s">
        <v>148</v>
      </c>
      <c r="B328" s="22" t="s">
        <v>145</v>
      </c>
      <c r="C328" s="22" t="s">
        <v>68</v>
      </c>
      <c r="D328" s="22" t="n">
        <v>8</v>
      </c>
      <c r="E328" s="22" t="s">
        <v>12</v>
      </c>
      <c r="F328" s="22" t="n">
        <v>630</v>
      </c>
      <c r="G328" s="22" t="n">
        <v>76</v>
      </c>
      <c r="H328" s="19"/>
      <c r="I328" s="22" t="n">
        <v>0.395</v>
      </c>
      <c r="J328" s="8" t="n">
        <f aca="false">IF(F328="",H328,F328/1000*G328)</f>
        <v>47.88</v>
      </c>
      <c r="K328" s="8" t="n">
        <f aca="false">ROUND(J328*I328,2)</f>
        <v>18.91</v>
      </c>
      <c r="L328" s="20" t="n">
        <v>18.91</v>
      </c>
      <c r="M328" s="8" t="n">
        <f aca="false">ROUND(K328-L328,2)</f>
        <v>0</v>
      </c>
      <c r="N328" s="7" t="s">
        <v>37</v>
      </c>
    </row>
    <row r="329" customFormat="false" ht="15" hidden="false" customHeight="true" outlineLevel="0" collapsed="false">
      <c r="A329" s="22" t="s">
        <v>148</v>
      </c>
      <c r="B329" s="22" t="s">
        <v>145</v>
      </c>
      <c r="C329" s="22" t="s">
        <v>68</v>
      </c>
      <c r="D329" s="22" t="n">
        <v>16</v>
      </c>
      <c r="E329" s="22" t="s">
        <v>15</v>
      </c>
      <c r="F329" s="22" t="n">
        <v>1970</v>
      </c>
      <c r="G329" s="22" t="n">
        <v>22</v>
      </c>
      <c r="H329" s="19"/>
      <c r="I329" s="22" t="n">
        <v>1.578</v>
      </c>
      <c r="J329" s="8" t="n">
        <f aca="false">IF(F329="",H329,F329/1000*G329)</f>
        <v>43.34</v>
      </c>
      <c r="K329" s="8" t="n">
        <f aca="false">ROUND(J329*I329,2)</f>
        <v>68.39</v>
      </c>
      <c r="L329" s="20" t="n">
        <v>68.39</v>
      </c>
      <c r="M329" s="8" t="n">
        <f aca="false">ROUND(K329-L329,2)</f>
        <v>0</v>
      </c>
      <c r="N329" s="7" t="s">
        <v>42</v>
      </c>
    </row>
    <row r="330" customFormat="false" ht="15" hidden="false" customHeight="true" outlineLevel="0" collapsed="false">
      <c r="A330" s="22" t="s">
        <v>149</v>
      </c>
      <c r="B330" s="22" t="s">
        <v>150</v>
      </c>
      <c r="C330" s="22" t="s">
        <v>62</v>
      </c>
      <c r="D330" s="22" t="n">
        <v>14</v>
      </c>
      <c r="E330" s="22" t="s">
        <v>15</v>
      </c>
      <c r="F330" s="22" t="n">
        <v>3350</v>
      </c>
      <c r="G330" s="22" t="n">
        <v>10</v>
      </c>
      <c r="H330" s="19"/>
      <c r="I330" s="22" t="n">
        <v>1.208</v>
      </c>
      <c r="J330" s="8" t="n">
        <f aca="false">IF(F330="",H330,F330/1000*G330)</f>
        <v>33.5</v>
      </c>
      <c r="K330" s="8" t="n">
        <f aca="false">ROUND(J330*I330,2)</f>
        <v>40.47</v>
      </c>
      <c r="L330" s="20" t="n">
        <v>40.47</v>
      </c>
      <c r="M330" s="8" t="n">
        <f aca="false">ROUND(K330-L330,2)</f>
        <v>0</v>
      </c>
      <c r="N330" s="7" t="s">
        <v>41</v>
      </c>
    </row>
    <row r="331" customFormat="false" ht="15" hidden="false" customHeight="true" outlineLevel="0" collapsed="false">
      <c r="A331" s="22" t="s">
        <v>149</v>
      </c>
      <c r="B331" s="22" t="s">
        <v>150</v>
      </c>
      <c r="C331" s="22" t="s">
        <v>62</v>
      </c>
      <c r="D331" s="22" t="n">
        <v>14</v>
      </c>
      <c r="E331" s="22" t="s">
        <v>15</v>
      </c>
      <c r="F331" s="22" t="n">
        <v>2930</v>
      </c>
      <c r="G331" s="22" t="n">
        <v>10</v>
      </c>
      <c r="H331" s="19"/>
      <c r="I331" s="22" t="n">
        <v>1.208</v>
      </c>
      <c r="J331" s="8" t="n">
        <f aca="false">IF(F331="",H331,F331/1000*G331)</f>
        <v>29.3</v>
      </c>
      <c r="K331" s="8" t="n">
        <f aca="false">ROUND(J331*I331,2)</f>
        <v>35.39</v>
      </c>
      <c r="L331" s="20" t="n">
        <v>35.39</v>
      </c>
      <c r="M331" s="8" t="n">
        <f aca="false">ROUND(K331-L331,2)</f>
        <v>0</v>
      </c>
      <c r="N331" s="7" t="s">
        <v>41</v>
      </c>
    </row>
    <row r="332" customFormat="false" ht="15" hidden="false" customHeight="true" outlineLevel="0" collapsed="false">
      <c r="A332" s="22" t="s">
        <v>149</v>
      </c>
      <c r="B332" s="22" t="s">
        <v>150</v>
      </c>
      <c r="C332" s="22" t="s">
        <v>62</v>
      </c>
      <c r="D332" s="22" t="n">
        <v>14</v>
      </c>
      <c r="E332" s="22" t="s">
        <v>15</v>
      </c>
      <c r="F332" s="22" t="n">
        <v>2480</v>
      </c>
      <c r="G332" s="22" t="n">
        <v>10</v>
      </c>
      <c r="H332" s="19"/>
      <c r="I332" s="22" t="n">
        <v>1.208</v>
      </c>
      <c r="J332" s="8" t="n">
        <f aca="false">IF(F332="",H332,F332/1000*G332)</f>
        <v>24.8</v>
      </c>
      <c r="K332" s="8" t="n">
        <f aca="false">ROUND(J332*I332,2)</f>
        <v>29.96</v>
      </c>
      <c r="L332" s="20" t="n">
        <v>29.96</v>
      </c>
      <c r="M332" s="8" t="n">
        <f aca="false">ROUND(K332-L332,2)</f>
        <v>0</v>
      </c>
      <c r="N332" s="7" t="s">
        <v>41</v>
      </c>
    </row>
    <row r="333" customFormat="false" ht="15" hidden="false" customHeight="true" outlineLevel="0" collapsed="false">
      <c r="A333" s="22" t="s">
        <v>149</v>
      </c>
      <c r="B333" s="22" t="s">
        <v>150</v>
      </c>
      <c r="C333" s="22" t="s">
        <v>62</v>
      </c>
      <c r="D333" s="22" t="n">
        <v>14</v>
      </c>
      <c r="E333" s="22" t="s">
        <v>15</v>
      </c>
      <c r="F333" s="19"/>
      <c r="G333" s="19"/>
      <c r="H333" s="22" t="n">
        <v>65.12</v>
      </c>
      <c r="I333" s="22" t="n">
        <v>1.208</v>
      </c>
      <c r="J333" s="8" t="n">
        <f aca="false">IF(F333="",H333,F333/1000*G333)</f>
        <v>65.12</v>
      </c>
      <c r="K333" s="8" t="n">
        <f aca="false">ROUND(J333*I333,2)</f>
        <v>78.66</v>
      </c>
      <c r="L333" s="20" t="n">
        <v>78.66</v>
      </c>
      <c r="M333" s="8" t="n">
        <f aca="false">ROUND(K333-L333,2)</f>
        <v>0</v>
      </c>
      <c r="N333" s="7" t="s">
        <v>194</v>
      </c>
    </row>
    <row r="334" customFormat="false" ht="15" hidden="false" customHeight="true" outlineLevel="0" collapsed="false">
      <c r="A334" s="22" t="s">
        <v>149</v>
      </c>
      <c r="B334" s="22" t="s">
        <v>150</v>
      </c>
      <c r="C334" s="22" t="s">
        <v>62</v>
      </c>
      <c r="D334" s="22" t="n">
        <v>8</v>
      </c>
      <c r="E334" s="22" t="s">
        <v>12</v>
      </c>
      <c r="F334" s="22" t="n">
        <v>390</v>
      </c>
      <c r="G334" s="22" t="n">
        <v>60</v>
      </c>
      <c r="H334" s="19"/>
      <c r="I334" s="22" t="n">
        <v>0.395</v>
      </c>
      <c r="J334" s="8" t="n">
        <f aca="false">IF(F334="",H334,F334/1000*G334)</f>
        <v>23.4</v>
      </c>
      <c r="K334" s="8" t="n">
        <f aca="false">ROUND(J334*I334,2)</f>
        <v>9.24</v>
      </c>
      <c r="L334" s="20" t="n">
        <v>9.24</v>
      </c>
      <c r="M334" s="8" t="n">
        <f aca="false">ROUND(K334-L334,2)</f>
        <v>0</v>
      </c>
      <c r="N334" s="7" t="s">
        <v>38</v>
      </c>
    </row>
    <row r="335" customFormat="false" ht="15" hidden="false" customHeight="true" outlineLevel="0" collapsed="false">
      <c r="A335" s="22" t="s">
        <v>149</v>
      </c>
      <c r="B335" s="22" t="s">
        <v>150</v>
      </c>
      <c r="C335" s="22" t="s">
        <v>62</v>
      </c>
      <c r="D335" s="22" t="n">
        <v>16</v>
      </c>
      <c r="E335" s="22" t="s">
        <v>15</v>
      </c>
      <c r="F335" s="22" t="n">
        <v>1150</v>
      </c>
      <c r="G335" s="22" t="n">
        <v>22</v>
      </c>
      <c r="H335" s="19"/>
      <c r="I335" s="22" t="n">
        <v>1.578</v>
      </c>
      <c r="J335" s="8" t="n">
        <f aca="false">IF(F335="",H335,F335/1000*G335)</f>
        <v>25.3</v>
      </c>
      <c r="K335" s="8" t="n">
        <f aca="false">ROUND(J335*I335,2)</f>
        <v>39.92</v>
      </c>
      <c r="L335" s="20" t="n">
        <v>39.92</v>
      </c>
      <c r="M335" s="8" t="n">
        <f aca="false">ROUND(K335-L335,2)</f>
        <v>0</v>
      </c>
      <c r="N335" s="7" t="s">
        <v>44</v>
      </c>
    </row>
    <row r="336" customFormat="false" ht="15" hidden="false" customHeight="true" outlineLevel="0" collapsed="false">
      <c r="A336" s="22" t="s">
        <v>151</v>
      </c>
      <c r="B336" s="22" t="s">
        <v>150</v>
      </c>
      <c r="C336" s="22" t="s">
        <v>64</v>
      </c>
      <c r="D336" s="22" t="n">
        <v>14</v>
      </c>
      <c r="E336" s="22" t="s">
        <v>15</v>
      </c>
      <c r="F336" s="22" t="n">
        <v>3350</v>
      </c>
      <c r="G336" s="22" t="n">
        <v>11</v>
      </c>
      <c r="H336" s="19"/>
      <c r="I336" s="22" t="n">
        <v>1.208</v>
      </c>
      <c r="J336" s="8" t="n">
        <f aca="false">IF(F336="",H336,F336/1000*G336)</f>
        <v>36.85</v>
      </c>
      <c r="K336" s="8" t="n">
        <f aca="false">ROUND(J336*I336,2)</f>
        <v>44.51</v>
      </c>
      <c r="L336" s="20" t="n">
        <v>44.51</v>
      </c>
      <c r="M336" s="8" t="n">
        <f aca="false">ROUND(K336-L336,2)</f>
        <v>0</v>
      </c>
      <c r="N336" s="7" t="s">
        <v>41</v>
      </c>
    </row>
    <row r="337" customFormat="false" ht="15" hidden="false" customHeight="true" outlineLevel="0" collapsed="false">
      <c r="A337" s="22" t="s">
        <v>151</v>
      </c>
      <c r="B337" s="22" t="s">
        <v>150</v>
      </c>
      <c r="C337" s="22" t="s">
        <v>64</v>
      </c>
      <c r="D337" s="22" t="n">
        <v>14</v>
      </c>
      <c r="E337" s="22" t="s">
        <v>15</v>
      </c>
      <c r="F337" s="22" t="n">
        <v>2930</v>
      </c>
      <c r="G337" s="22" t="n">
        <v>11</v>
      </c>
      <c r="H337" s="19"/>
      <c r="I337" s="22" t="n">
        <v>1.208</v>
      </c>
      <c r="J337" s="8" t="n">
        <f aca="false">IF(F337="",H337,F337/1000*G337)</f>
        <v>32.23</v>
      </c>
      <c r="K337" s="8" t="n">
        <f aca="false">ROUND(J337*I337,2)</f>
        <v>38.93</v>
      </c>
      <c r="L337" s="20" t="n">
        <v>38.93</v>
      </c>
      <c r="M337" s="8" t="n">
        <f aca="false">ROUND(K337-L337,2)</f>
        <v>0</v>
      </c>
      <c r="N337" s="7" t="s">
        <v>41</v>
      </c>
    </row>
    <row r="338" customFormat="false" ht="15" hidden="false" customHeight="true" outlineLevel="0" collapsed="false">
      <c r="A338" s="22" t="s">
        <v>151</v>
      </c>
      <c r="B338" s="22" t="s">
        <v>150</v>
      </c>
      <c r="C338" s="22" t="s">
        <v>64</v>
      </c>
      <c r="D338" s="22" t="n">
        <v>14</v>
      </c>
      <c r="E338" s="22" t="s">
        <v>15</v>
      </c>
      <c r="F338" s="19"/>
      <c r="G338" s="19"/>
      <c r="H338" s="22" t="n">
        <v>67.32</v>
      </c>
      <c r="I338" s="22" t="n">
        <v>1.208</v>
      </c>
      <c r="J338" s="8" t="n">
        <f aca="false">IF(F338="",H338,F338/1000*G338)</f>
        <v>67.32</v>
      </c>
      <c r="K338" s="8" t="n">
        <f aca="false">ROUND(J338*I338,2)</f>
        <v>81.32</v>
      </c>
      <c r="L338" s="20" t="n">
        <v>81.32</v>
      </c>
      <c r="M338" s="8" t="n">
        <f aca="false">ROUND(K338-L338,2)</f>
        <v>0</v>
      </c>
      <c r="N338" s="7" t="s">
        <v>194</v>
      </c>
    </row>
    <row r="339" customFormat="false" ht="15" hidden="false" customHeight="true" outlineLevel="0" collapsed="false">
      <c r="A339" s="22" t="s">
        <v>151</v>
      </c>
      <c r="B339" s="22" t="s">
        <v>150</v>
      </c>
      <c r="C339" s="22" t="s">
        <v>64</v>
      </c>
      <c r="D339" s="22" t="n">
        <v>8</v>
      </c>
      <c r="E339" s="22" t="s">
        <v>12</v>
      </c>
      <c r="F339" s="22" t="n">
        <v>390</v>
      </c>
      <c r="G339" s="22" t="n">
        <v>62</v>
      </c>
      <c r="H339" s="19"/>
      <c r="I339" s="22" t="n">
        <v>0.395</v>
      </c>
      <c r="J339" s="8" t="n">
        <f aca="false">IF(F339="",H339,F339/1000*G339)</f>
        <v>24.18</v>
      </c>
      <c r="K339" s="8" t="n">
        <f aca="false">ROUND(J339*I339,2)</f>
        <v>9.55</v>
      </c>
      <c r="L339" s="20" t="n">
        <v>9.55</v>
      </c>
      <c r="M339" s="8" t="n">
        <f aca="false">ROUND(K339-L339,2)</f>
        <v>0</v>
      </c>
      <c r="N339" s="7" t="s">
        <v>38</v>
      </c>
    </row>
    <row r="340" customFormat="false" ht="15" hidden="false" customHeight="true" outlineLevel="0" collapsed="false">
      <c r="A340" s="22" t="s">
        <v>152</v>
      </c>
      <c r="B340" s="22" t="s">
        <v>150</v>
      </c>
      <c r="C340" s="22" t="s">
        <v>66</v>
      </c>
      <c r="D340" s="22" t="n">
        <v>14</v>
      </c>
      <c r="E340" s="22" t="s">
        <v>15</v>
      </c>
      <c r="F340" s="22" t="n">
        <v>3350</v>
      </c>
      <c r="G340" s="22" t="n">
        <v>11</v>
      </c>
      <c r="H340" s="19"/>
      <c r="I340" s="22" t="n">
        <v>1.208</v>
      </c>
      <c r="J340" s="8" t="n">
        <f aca="false">IF(F340="",H340,F340/1000*G340)</f>
        <v>36.85</v>
      </c>
      <c r="K340" s="8" t="n">
        <f aca="false">ROUND(J340*I340,2)</f>
        <v>44.51</v>
      </c>
      <c r="L340" s="20" t="n">
        <v>44.51</v>
      </c>
      <c r="M340" s="8" t="n">
        <f aca="false">ROUND(K340-L340,2)</f>
        <v>0</v>
      </c>
      <c r="N340" s="7" t="s">
        <v>41</v>
      </c>
    </row>
    <row r="341" customFormat="false" ht="15" hidden="false" customHeight="true" outlineLevel="0" collapsed="false">
      <c r="A341" s="22" t="s">
        <v>152</v>
      </c>
      <c r="B341" s="22" t="s">
        <v>150</v>
      </c>
      <c r="C341" s="22" t="s">
        <v>66</v>
      </c>
      <c r="D341" s="22" t="n">
        <v>14</v>
      </c>
      <c r="E341" s="22" t="s">
        <v>15</v>
      </c>
      <c r="F341" s="22" t="n">
        <v>2930</v>
      </c>
      <c r="G341" s="22" t="n">
        <v>11</v>
      </c>
      <c r="H341" s="19"/>
      <c r="I341" s="22" t="n">
        <v>1.208</v>
      </c>
      <c r="J341" s="8" t="n">
        <f aca="false">IF(F341="",H341,F341/1000*G341)</f>
        <v>32.23</v>
      </c>
      <c r="K341" s="8" t="n">
        <f aca="false">ROUND(J341*I341,2)</f>
        <v>38.93</v>
      </c>
      <c r="L341" s="20" t="n">
        <v>38.93</v>
      </c>
      <c r="M341" s="8" t="n">
        <f aca="false">ROUND(K341-L341,2)</f>
        <v>0</v>
      </c>
      <c r="N341" s="7" t="s">
        <v>41</v>
      </c>
    </row>
    <row r="342" customFormat="false" ht="15" hidden="false" customHeight="true" outlineLevel="0" collapsed="false">
      <c r="A342" s="22" t="s">
        <v>152</v>
      </c>
      <c r="B342" s="22" t="s">
        <v>150</v>
      </c>
      <c r="C342" s="22" t="s">
        <v>66</v>
      </c>
      <c r="D342" s="22" t="n">
        <v>14</v>
      </c>
      <c r="E342" s="22" t="s">
        <v>15</v>
      </c>
      <c r="F342" s="19"/>
      <c r="G342" s="19"/>
      <c r="H342" s="22" t="n">
        <v>63.36</v>
      </c>
      <c r="I342" s="22" t="n">
        <v>1.208</v>
      </c>
      <c r="J342" s="8" t="n">
        <f aca="false">IF(F342="",H342,F342/1000*G342)</f>
        <v>63.36</v>
      </c>
      <c r="K342" s="8" t="n">
        <f aca="false">ROUND(J342*I342,2)</f>
        <v>76.54</v>
      </c>
      <c r="L342" s="20" t="n">
        <v>76.54</v>
      </c>
      <c r="M342" s="8" t="n">
        <f aca="false">ROUND(K342-L342,2)</f>
        <v>0</v>
      </c>
      <c r="N342" s="7" t="s">
        <v>194</v>
      </c>
    </row>
    <row r="343" customFormat="false" ht="15" hidden="false" customHeight="true" outlineLevel="0" collapsed="false">
      <c r="A343" s="22" t="s">
        <v>152</v>
      </c>
      <c r="B343" s="22" t="s">
        <v>150</v>
      </c>
      <c r="C343" s="22" t="s">
        <v>66</v>
      </c>
      <c r="D343" s="22" t="n">
        <v>8</v>
      </c>
      <c r="E343" s="22" t="s">
        <v>12</v>
      </c>
      <c r="F343" s="22" t="n">
        <v>390</v>
      </c>
      <c r="G343" s="22" t="n">
        <v>50</v>
      </c>
      <c r="H343" s="19"/>
      <c r="I343" s="22" t="n">
        <v>0.395</v>
      </c>
      <c r="J343" s="8" t="n">
        <f aca="false">IF(F343="",H343,F343/1000*G343)</f>
        <v>19.5</v>
      </c>
      <c r="K343" s="8" t="n">
        <f aca="false">ROUND(J343*I343,2)</f>
        <v>7.7</v>
      </c>
      <c r="L343" s="20" t="n">
        <v>7.7</v>
      </c>
      <c r="M343" s="8" t="n">
        <f aca="false">ROUND(K343-L343,2)</f>
        <v>0</v>
      </c>
      <c r="N343" s="7" t="s">
        <v>38</v>
      </c>
    </row>
    <row r="344" customFormat="false" ht="15" hidden="false" customHeight="true" outlineLevel="0" collapsed="false">
      <c r="A344" s="22" t="s">
        <v>153</v>
      </c>
      <c r="B344" s="22" t="s">
        <v>150</v>
      </c>
      <c r="C344" s="22" t="s">
        <v>68</v>
      </c>
      <c r="D344" s="22" t="n">
        <v>14</v>
      </c>
      <c r="E344" s="22" t="s">
        <v>15</v>
      </c>
      <c r="F344" s="22" t="n">
        <v>3350</v>
      </c>
      <c r="G344" s="22" t="n">
        <v>19</v>
      </c>
      <c r="H344" s="19"/>
      <c r="I344" s="22" t="n">
        <v>1.208</v>
      </c>
      <c r="J344" s="8" t="n">
        <f aca="false">IF(F344="",H344,F344/1000*G344)</f>
        <v>63.65</v>
      </c>
      <c r="K344" s="8" t="n">
        <f aca="false">ROUND(J344*I344,2)</f>
        <v>76.89</v>
      </c>
      <c r="L344" s="20" t="n">
        <v>76.89</v>
      </c>
      <c r="M344" s="8" t="n">
        <f aca="false">ROUND(K344-L344,2)</f>
        <v>0</v>
      </c>
      <c r="N344" s="7" t="s">
        <v>41</v>
      </c>
    </row>
    <row r="345" customFormat="false" ht="15" hidden="false" customHeight="true" outlineLevel="0" collapsed="false">
      <c r="A345" s="22" t="s">
        <v>153</v>
      </c>
      <c r="B345" s="22" t="s">
        <v>150</v>
      </c>
      <c r="C345" s="22" t="s">
        <v>68</v>
      </c>
      <c r="D345" s="22" t="n">
        <v>14</v>
      </c>
      <c r="E345" s="22" t="s">
        <v>15</v>
      </c>
      <c r="F345" s="22" t="n">
        <v>2930</v>
      </c>
      <c r="G345" s="22" t="n">
        <v>19</v>
      </c>
      <c r="H345" s="19"/>
      <c r="I345" s="22" t="n">
        <v>1.208</v>
      </c>
      <c r="J345" s="8" t="n">
        <f aca="false">IF(F345="",H345,F345/1000*G345)</f>
        <v>55.67</v>
      </c>
      <c r="K345" s="8" t="n">
        <f aca="false">ROUND(J345*I345,2)</f>
        <v>67.25</v>
      </c>
      <c r="L345" s="20" t="n">
        <v>67.25</v>
      </c>
      <c r="M345" s="8" t="n">
        <f aca="false">ROUND(K345-L345,2)</f>
        <v>0</v>
      </c>
      <c r="N345" s="7" t="s">
        <v>41</v>
      </c>
    </row>
    <row r="346" customFormat="false" ht="15" hidden="false" customHeight="true" outlineLevel="0" collapsed="false">
      <c r="A346" s="22" t="s">
        <v>153</v>
      </c>
      <c r="B346" s="22" t="s">
        <v>150</v>
      </c>
      <c r="C346" s="22" t="s">
        <v>68</v>
      </c>
      <c r="D346" s="22" t="n">
        <v>14</v>
      </c>
      <c r="E346" s="22" t="s">
        <v>15</v>
      </c>
      <c r="F346" s="19"/>
      <c r="G346" s="19"/>
      <c r="H346" s="22" t="n">
        <v>100.1</v>
      </c>
      <c r="I346" s="22" t="n">
        <v>1.208</v>
      </c>
      <c r="J346" s="8" t="n">
        <f aca="false">IF(F346="",H346,F346/1000*G346)</f>
        <v>100.1</v>
      </c>
      <c r="K346" s="8" t="n">
        <f aca="false">ROUND(J346*I346,2)</f>
        <v>120.92</v>
      </c>
      <c r="L346" s="20" t="n">
        <v>120.92</v>
      </c>
      <c r="M346" s="8" t="n">
        <f aca="false">ROUND(K346-L346,2)</f>
        <v>0</v>
      </c>
      <c r="N346" s="7" t="s">
        <v>194</v>
      </c>
    </row>
    <row r="347" customFormat="false" ht="15" hidden="false" customHeight="true" outlineLevel="0" collapsed="false">
      <c r="A347" s="22" t="s">
        <v>153</v>
      </c>
      <c r="B347" s="22" t="s">
        <v>150</v>
      </c>
      <c r="C347" s="22" t="s">
        <v>68</v>
      </c>
      <c r="D347" s="22" t="n">
        <v>8</v>
      </c>
      <c r="E347" s="22" t="s">
        <v>12</v>
      </c>
      <c r="F347" s="22" t="n">
        <v>630</v>
      </c>
      <c r="G347" s="22" t="n">
        <v>76</v>
      </c>
      <c r="H347" s="19"/>
      <c r="I347" s="22" t="n">
        <v>0.395</v>
      </c>
      <c r="J347" s="8" t="n">
        <f aca="false">IF(F347="",H347,F347/1000*G347)</f>
        <v>47.88</v>
      </c>
      <c r="K347" s="8" t="n">
        <f aca="false">ROUND(J347*I347,2)</f>
        <v>18.91</v>
      </c>
      <c r="L347" s="20" t="n">
        <v>18.91</v>
      </c>
      <c r="M347" s="8" t="n">
        <f aca="false">ROUND(K347-L347,2)</f>
        <v>0</v>
      </c>
      <c r="N347" s="7" t="s">
        <v>37</v>
      </c>
    </row>
    <row r="348" customFormat="false" ht="15" hidden="false" customHeight="true" outlineLevel="0" collapsed="false">
      <c r="A348" s="22" t="s">
        <v>153</v>
      </c>
      <c r="B348" s="22" t="s">
        <v>150</v>
      </c>
      <c r="C348" s="22" t="s">
        <v>68</v>
      </c>
      <c r="D348" s="22" t="n">
        <v>16</v>
      </c>
      <c r="E348" s="22" t="s">
        <v>15</v>
      </c>
      <c r="F348" s="22" t="n">
        <v>1970</v>
      </c>
      <c r="G348" s="22" t="n">
        <v>22</v>
      </c>
      <c r="H348" s="19"/>
      <c r="I348" s="22" t="n">
        <v>1.578</v>
      </c>
      <c r="J348" s="8" t="n">
        <f aca="false">IF(F348="",H348,F348/1000*G348)</f>
        <v>43.34</v>
      </c>
      <c r="K348" s="8" t="n">
        <f aca="false">ROUND(J348*I348,2)</f>
        <v>68.39</v>
      </c>
      <c r="L348" s="20" t="n">
        <v>68.39</v>
      </c>
      <c r="M348" s="8" t="n">
        <f aca="false">ROUND(K348-L348,2)</f>
        <v>0</v>
      </c>
      <c r="N348" s="7" t="s">
        <v>42</v>
      </c>
    </row>
    <row r="349" customFormat="false" ht="15" hidden="false" customHeight="true" outlineLevel="0" collapsed="false">
      <c r="A349" s="22" t="s">
        <v>154</v>
      </c>
      <c r="B349" s="22" t="s">
        <v>155</v>
      </c>
      <c r="C349" s="22" t="s">
        <v>62</v>
      </c>
      <c r="D349" s="22" t="n">
        <v>14</v>
      </c>
      <c r="E349" s="22" t="s">
        <v>15</v>
      </c>
      <c r="F349" s="22" t="n">
        <v>3350</v>
      </c>
      <c r="G349" s="22" t="n">
        <v>10</v>
      </c>
      <c r="H349" s="19"/>
      <c r="I349" s="22" t="n">
        <v>1.208</v>
      </c>
      <c r="J349" s="8" t="n">
        <f aca="false">IF(F349="",H349,F349/1000*G349)</f>
        <v>33.5</v>
      </c>
      <c r="K349" s="8" t="n">
        <f aca="false">ROUND(J349*I349,2)</f>
        <v>40.47</v>
      </c>
      <c r="L349" s="20" t="n">
        <v>40.47</v>
      </c>
      <c r="M349" s="8" t="n">
        <f aca="false">ROUND(K349-L349,2)</f>
        <v>0</v>
      </c>
      <c r="N349" s="7" t="s">
        <v>41</v>
      </c>
    </row>
    <row r="350" customFormat="false" ht="15" hidden="false" customHeight="true" outlineLevel="0" collapsed="false">
      <c r="A350" s="22" t="s">
        <v>154</v>
      </c>
      <c r="B350" s="22" t="s">
        <v>155</v>
      </c>
      <c r="C350" s="22" t="s">
        <v>62</v>
      </c>
      <c r="D350" s="22" t="n">
        <v>14</v>
      </c>
      <c r="E350" s="22" t="s">
        <v>15</v>
      </c>
      <c r="F350" s="22" t="n">
        <v>2930</v>
      </c>
      <c r="G350" s="22" t="n">
        <v>10</v>
      </c>
      <c r="H350" s="19"/>
      <c r="I350" s="22" t="n">
        <v>1.208</v>
      </c>
      <c r="J350" s="8" t="n">
        <f aca="false">IF(F350="",H350,F350/1000*G350)</f>
        <v>29.3</v>
      </c>
      <c r="K350" s="8" t="n">
        <f aca="false">ROUND(J350*I350,2)</f>
        <v>35.39</v>
      </c>
      <c r="L350" s="20" t="n">
        <v>35.39</v>
      </c>
      <c r="M350" s="8" t="n">
        <f aca="false">ROUND(K350-L350,2)</f>
        <v>0</v>
      </c>
      <c r="N350" s="7" t="s">
        <v>41</v>
      </c>
    </row>
    <row r="351" customFormat="false" ht="15" hidden="false" customHeight="true" outlineLevel="0" collapsed="false">
      <c r="A351" s="22" t="s">
        <v>154</v>
      </c>
      <c r="B351" s="22" t="s">
        <v>155</v>
      </c>
      <c r="C351" s="22" t="s">
        <v>62</v>
      </c>
      <c r="D351" s="22" t="n">
        <v>14</v>
      </c>
      <c r="E351" s="22" t="s">
        <v>15</v>
      </c>
      <c r="F351" s="22" t="n">
        <v>2480</v>
      </c>
      <c r="G351" s="22" t="n">
        <v>10</v>
      </c>
      <c r="H351" s="19"/>
      <c r="I351" s="22" t="n">
        <v>1.208</v>
      </c>
      <c r="J351" s="8" t="n">
        <f aca="false">IF(F351="",H351,F351/1000*G351)</f>
        <v>24.8</v>
      </c>
      <c r="K351" s="8" t="n">
        <f aca="false">ROUND(J351*I351,2)</f>
        <v>29.96</v>
      </c>
      <c r="L351" s="20" t="n">
        <v>29.96</v>
      </c>
      <c r="M351" s="8" t="n">
        <f aca="false">ROUND(K351-L351,2)</f>
        <v>0</v>
      </c>
      <c r="N351" s="7" t="s">
        <v>41</v>
      </c>
    </row>
    <row r="352" customFormat="false" ht="15" hidden="false" customHeight="true" outlineLevel="0" collapsed="false">
      <c r="A352" s="22" t="s">
        <v>154</v>
      </c>
      <c r="B352" s="22" t="s">
        <v>155</v>
      </c>
      <c r="C352" s="22" t="s">
        <v>62</v>
      </c>
      <c r="D352" s="22" t="n">
        <v>14</v>
      </c>
      <c r="E352" s="22" t="s">
        <v>15</v>
      </c>
      <c r="F352" s="19"/>
      <c r="G352" s="19"/>
      <c r="H352" s="22" t="n">
        <v>65.12</v>
      </c>
      <c r="I352" s="22" t="n">
        <v>1.208</v>
      </c>
      <c r="J352" s="8" t="n">
        <f aca="false">IF(F352="",H352,F352/1000*G352)</f>
        <v>65.12</v>
      </c>
      <c r="K352" s="8" t="n">
        <f aca="false">ROUND(J352*I352,2)</f>
        <v>78.66</v>
      </c>
      <c r="L352" s="20" t="n">
        <v>78.66</v>
      </c>
      <c r="M352" s="8" t="n">
        <f aca="false">ROUND(K352-L352,2)</f>
        <v>0</v>
      </c>
      <c r="N352" s="7" t="s">
        <v>194</v>
      </c>
    </row>
    <row r="353" customFormat="false" ht="15" hidden="false" customHeight="true" outlineLevel="0" collapsed="false">
      <c r="A353" s="22" t="s">
        <v>154</v>
      </c>
      <c r="B353" s="22" t="s">
        <v>155</v>
      </c>
      <c r="C353" s="22" t="s">
        <v>62</v>
      </c>
      <c r="D353" s="22" t="n">
        <v>8</v>
      </c>
      <c r="E353" s="22" t="s">
        <v>12</v>
      </c>
      <c r="F353" s="22" t="n">
        <v>390</v>
      </c>
      <c r="G353" s="22" t="n">
        <v>60</v>
      </c>
      <c r="H353" s="19"/>
      <c r="I353" s="22" t="n">
        <v>0.395</v>
      </c>
      <c r="J353" s="8" t="n">
        <f aca="false">IF(F353="",H353,F353/1000*G353)</f>
        <v>23.4</v>
      </c>
      <c r="K353" s="8" t="n">
        <f aca="false">ROUND(J353*I353,2)</f>
        <v>9.24</v>
      </c>
      <c r="L353" s="20" t="n">
        <v>9.24</v>
      </c>
      <c r="M353" s="8" t="n">
        <f aca="false">ROUND(K353-L353,2)</f>
        <v>0</v>
      </c>
      <c r="N353" s="7" t="s">
        <v>38</v>
      </c>
    </row>
    <row r="354" customFormat="false" ht="15" hidden="false" customHeight="true" outlineLevel="0" collapsed="false">
      <c r="A354" s="22" t="s">
        <v>154</v>
      </c>
      <c r="B354" s="22" t="s">
        <v>155</v>
      </c>
      <c r="C354" s="22" t="s">
        <v>62</v>
      </c>
      <c r="D354" s="22" t="n">
        <v>16</v>
      </c>
      <c r="E354" s="22" t="s">
        <v>15</v>
      </c>
      <c r="F354" s="22" t="n">
        <v>1150</v>
      </c>
      <c r="G354" s="22" t="n">
        <v>22</v>
      </c>
      <c r="H354" s="19"/>
      <c r="I354" s="22" t="n">
        <v>1.578</v>
      </c>
      <c r="J354" s="8" t="n">
        <f aca="false">IF(F354="",H354,F354/1000*G354)</f>
        <v>25.3</v>
      </c>
      <c r="K354" s="8" t="n">
        <f aca="false">ROUND(J354*I354,2)</f>
        <v>39.92</v>
      </c>
      <c r="L354" s="20" t="n">
        <v>39.92</v>
      </c>
      <c r="M354" s="8" t="n">
        <f aca="false">ROUND(K354-L354,2)</f>
        <v>0</v>
      </c>
      <c r="N354" s="7" t="s">
        <v>44</v>
      </c>
    </row>
    <row r="355" customFormat="false" ht="15" hidden="false" customHeight="true" outlineLevel="0" collapsed="false">
      <c r="A355" s="22" t="s">
        <v>156</v>
      </c>
      <c r="B355" s="22" t="s">
        <v>155</v>
      </c>
      <c r="C355" s="22" t="s">
        <v>64</v>
      </c>
      <c r="D355" s="22" t="n">
        <v>14</v>
      </c>
      <c r="E355" s="22" t="s">
        <v>15</v>
      </c>
      <c r="F355" s="22" t="n">
        <v>3350</v>
      </c>
      <c r="G355" s="22" t="n">
        <v>11</v>
      </c>
      <c r="H355" s="19"/>
      <c r="I355" s="22" t="n">
        <v>1.208</v>
      </c>
      <c r="J355" s="8" t="n">
        <f aca="false">IF(F355="",H355,F355/1000*G355)</f>
        <v>36.85</v>
      </c>
      <c r="K355" s="8" t="n">
        <f aca="false">ROUND(J355*I355,2)</f>
        <v>44.51</v>
      </c>
      <c r="L355" s="20" t="n">
        <v>44.51</v>
      </c>
      <c r="M355" s="8" t="n">
        <f aca="false">ROUND(K355-L355,2)</f>
        <v>0</v>
      </c>
      <c r="N355" s="7" t="s">
        <v>41</v>
      </c>
    </row>
    <row r="356" customFormat="false" ht="15" hidden="false" customHeight="true" outlineLevel="0" collapsed="false">
      <c r="A356" s="22" t="s">
        <v>156</v>
      </c>
      <c r="B356" s="22" t="s">
        <v>155</v>
      </c>
      <c r="C356" s="22" t="s">
        <v>64</v>
      </c>
      <c r="D356" s="22" t="n">
        <v>14</v>
      </c>
      <c r="E356" s="22" t="s">
        <v>15</v>
      </c>
      <c r="F356" s="22" t="n">
        <v>2930</v>
      </c>
      <c r="G356" s="22" t="n">
        <v>11</v>
      </c>
      <c r="H356" s="19"/>
      <c r="I356" s="22" t="n">
        <v>1.208</v>
      </c>
      <c r="J356" s="8" t="n">
        <f aca="false">IF(F356="",H356,F356/1000*G356)</f>
        <v>32.23</v>
      </c>
      <c r="K356" s="8" t="n">
        <f aca="false">ROUND(J356*I356,2)</f>
        <v>38.93</v>
      </c>
      <c r="L356" s="20" t="n">
        <v>38.93</v>
      </c>
      <c r="M356" s="8" t="n">
        <f aca="false">ROUND(K356-L356,2)</f>
        <v>0</v>
      </c>
      <c r="N356" s="7" t="s">
        <v>41</v>
      </c>
    </row>
    <row r="357" customFormat="false" ht="15" hidden="false" customHeight="true" outlineLevel="0" collapsed="false">
      <c r="A357" s="22" t="s">
        <v>156</v>
      </c>
      <c r="B357" s="22" t="s">
        <v>155</v>
      </c>
      <c r="C357" s="22" t="s">
        <v>64</v>
      </c>
      <c r="D357" s="22" t="n">
        <v>14</v>
      </c>
      <c r="E357" s="22" t="s">
        <v>15</v>
      </c>
      <c r="F357" s="19"/>
      <c r="G357" s="19"/>
      <c r="H357" s="22" t="n">
        <v>67.32</v>
      </c>
      <c r="I357" s="22" t="n">
        <v>1.208</v>
      </c>
      <c r="J357" s="8" t="n">
        <f aca="false">IF(F357="",H357,F357/1000*G357)</f>
        <v>67.32</v>
      </c>
      <c r="K357" s="8" t="n">
        <f aca="false">ROUND(J357*I357,2)</f>
        <v>81.32</v>
      </c>
      <c r="L357" s="20" t="n">
        <v>81.32</v>
      </c>
      <c r="M357" s="8" t="n">
        <f aca="false">ROUND(K357-L357,2)</f>
        <v>0</v>
      </c>
      <c r="N357" s="7" t="s">
        <v>194</v>
      </c>
    </row>
    <row r="358" customFormat="false" ht="15" hidden="false" customHeight="true" outlineLevel="0" collapsed="false">
      <c r="A358" s="22" t="s">
        <v>156</v>
      </c>
      <c r="B358" s="22" t="s">
        <v>155</v>
      </c>
      <c r="C358" s="22" t="s">
        <v>64</v>
      </c>
      <c r="D358" s="22" t="n">
        <v>8</v>
      </c>
      <c r="E358" s="22" t="s">
        <v>12</v>
      </c>
      <c r="F358" s="22" t="n">
        <v>390</v>
      </c>
      <c r="G358" s="22" t="n">
        <v>62</v>
      </c>
      <c r="H358" s="19"/>
      <c r="I358" s="22" t="n">
        <v>0.395</v>
      </c>
      <c r="J358" s="8" t="n">
        <f aca="false">IF(F358="",H358,F358/1000*G358)</f>
        <v>24.18</v>
      </c>
      <c r="K358" s="8" t="n">
        <f aca="false">ROUND(J358*I358,2)</f>
        <v>9.55</v>
      </c>
      <c r="L358" s="20" t="n">
        <v>9.55</v>
      </c>
      <c r="M358" s="8" t="n">
        <f aca="false">ROUND(K358-L358,2)</f>
        <v>0</v>
      </c>
      <c r="N358" s="7" t="s">
        <v>38</v>
      </c>
    </row>
    <row r="359" customFormat="false" ht="15" hidden="false" customHeight="true" outlineLevel="0" collapsed="false">
      <c r="A359" s="22" t="s">
        <v>157</v>
      </c>
      <c r="B359" s="22" t="s">
        <v>155</v>
      </c>
      <c r="C359" s="22" t="s">
        <v>66</v>
      </c>
      <c r="D359" s="22" t="n">
        <v>14</v>
      </c>
      <c r="E359" s="22" t="s">
        <v>15</v>
      </c>
      <c r="F359" s="22" t="n">
        <v>3350</v>
      </c>
      <c r="G359" s="22" t="n">
        <v>11</v>
      </c>
      <c r="H359" s="19"/>
      <c r="I359" s="22" t="n">
        <v>1.208</v>
      </c>
      <c r="J359" s="8" t="n">
        <f aca="false">IF(F359="",H359,F359/1000*G359)</f>
        <v>36.85</v>
      </c>
      <c r="K359" s="8" t="n">
        <f aca="false">ROUND(J359*I359,2)</f>
        <v>44.51</v>
      </c>
      <c r="L359" s="20" t="n">
        <v>44.51</v>
      </c>
      <c r="M359" s="8" t="n">
        <f aca="false">ROUND(K359-L359,2)</f>
        <v>0</v>
      </c>
      <c r="N359" s="7" t="s">
        <v>41</v>
      </c>
    </row>
    <row r="360" customFormat="false" ht="15" hidden="false" customHeight="true" outlineLevel="0" collapsed="false">
      <c r="A360" s="22" t="s">
        <v>157</v>
      </c>
      <c r="B360" s="22" t="s">
        <v>155</v>
      </c>
      <c r="C360" s="22" t="s">
        <v>66</v>
      </c>
      <c r="D360" s="22" t="n">
        <v>14</v>
      </c>
      <c r="E360" s="22" t="s">
        <v>15</v>
      </c>
      <c r="F360" s="22" t="n">
        <v>2930</v>
      </c>
      <c r="G360" s="22" t="n">
        <v>11</v>
      </c>
      <c r="H360" s="19"/>
      <c r="I360" s="22" t="n">
        <v>1.208</v>
      </c>
      <c r="J360" s="8" t="n">
        <f aca="false">IF(F360="",H360,F360/1000*G360)</f>
        <v>32.23</v>
      </c>
      <c r="K360" s="8" t="n">
        <f aca="false">ROUND(J360*I360,2)</f>
        <v>38.93</v>
      </c>
      <c r="L360" s="20" t="n">
        <v>38.93</v>
      </c>
      <c r="M360" s="8" t="n">
        <f aca="false">ROUND(K360-L360,2)</f>
        <v>0</v>
      </c>
      <c r="N360" s="7" t="s">
        <v>41</v>
      </c>
    </row>
    <row r="361" customFormat="false" ht="15" hidden="false" customHeight="true" outlineLevel="0" collapsed="false">
      <c r="A361" s="22" t="s">
        <v>157</v>
      </c>
      <c r="B361" s="22" t="s">
        <v>155</v>
      </c>
      <c r="C361" s="22" t="s">
        <v>66</v>
      </c>
      <c r="D361" s="22" t="n">
        <v>14</v>
      </c>
      <c r="E361" s="22" t="s">
        <v>15</v>
      </c>
      <c r="F361" s="19"/>
      <c r="G361" s="19"/>
      <c r="H361" s="22" t="n">
        <v>63.36</v>
      </c>
      <c r="I361" s="22" t="n">
        <v>1.208</v>
      </c>
      <c r="J361" s="8" t="n">
        <f aca="false">IF(F361="",H361,F361/1000*G361)</f>
        <v>63.36</v>
      </c>
      <c r="K361" s="8" t="n">
        <f aca="false">ROUND(J361*I361,2)</f>
        <v>76.54</v>
      </c>
      <c r="L361" s="20" t="n">
        <v>76.54</v>
      </c>
      <c r="M361" s="8" t="n">
        <f aca="false">ROUND(K361-L361,2)</f>
        <v>0</v>
      </c>
      <c r="N361" s="7" t="s">
        <v>194</v>
      </c>
    </row>
    <row r="362" customFormat="false" ht="15" hidden="false" customHeight="true" outlineLevel="0" collapsed="false">
      <c r="A362" s="22" t="s">
        <v>157</v>
      </c>
      <c r="B362" s="22" t="s">
        <v>155</v>
      </c>
      <c r="C362" s="22" t="s">
        <v>66</v>
      </c>
      <c r="D362" s="22" t="n">
        <v>8</v>
      </c>
      <c r="E362" s="22" t="s">
        <v>12</v>
      </c>
      <c r="F362" s="22" t="n">
        <v>390</v>
      </c>
      <c r="G362" s="22" t="n">
        <v>50</v>
      </c>
      <c r="H362" s="19"/>
      <c r="I362" s="22" t="n">
        <v>0.395</v>
      </c>
      <c r="J362" s="8" t="n">
        <f aca="false">IF(F362="",H362,F362/1000*G362)</f>
        <v>19.5</v>
      </c>
      <c r="K362" s="8" t="n">
        <f aca="false">ROUND(J362*I362,2)</f>
        <v>7.7</v>
      </c>
      <c r="L362" s="20" t="n">
        <v>7.7</v>
      </c>
      <c r="M362" s="8" t="n">
        <f aca="false">ROUND(K362-L362,2)</f>
        <v>0</v>
      </c>
      <c r="N362" s="7" t="s">
        <v>38</v>
      </c>
    </row>
    <row r="363" customFormat="false" ht="15" hidden="false" customHeight="true" outlineLevel="0" collapsed="false">
      <c r="A363" s="22" t="s">
        <v>158</v>
      </c>
      <c r="B363" s="22" t="s">
        <v>155</v>
      </c>
      <c r="C363" s="22" t="s">
        <v>68</v>
      </c>
      <c r="D363" s="22" t="n">
        <v>14</v>
      </c>
      <c r="E363" s="22" t="s">
        <v>15</v>
      </c>
      <c r="F363" s="22" t="n">
        <v>3350</v>
      </c>
      <c r="G363" s="22" t="n">
        <v>19</v>
      </c>
      <c r="H363" s="19"/>
      <c r="I363" s="22" t="n">
        <v>1.208</v>
      </c>
      <c r="J363" s="8" t="n">
        <f aca="false">IF(F363="",H363,F363/1000*G363)</f>
        <v>63.65</v>
      </c>
      <c r="K363" s="8" t="n">
        <f aca="false">ROUND(J363*I363,2)</f>
        <v>76.89</v>
      </c>
      <c r="L363" s="20" t="n">
        <v>76.89</v>
      </c>
      <c r="M363" s="8" t="n">
        <f aca="false">ROUND(K363-L363,2)</f>
        <v>0</v>
      </c>
      <c r="N363" s="7" t="s">
        <v>41</v>
      </c>
    </row>
    <row r="364" customFormat="false" ht="15" hidden="false" customHeight="true" outlineLevel="0" collapsed="false">
      <c r="A364" s="22" t="s">
        <v>158</v>
      </c>
      <c r="B364" s="22" t="s">
        <v>155</v>
      </c>
      <c r="C364" s="22" t="s">
        <v>68</v>
      </c>
      <c r="D364" s="22" t="n">
        <v>14</v>
      </c>
      <c r="E364" s="22" t="s">
        <v>15</v>
      </c>
      <c r="F364" s="22" t="n">
        <v>2930</v>
      </c>
      <c r="G364" s="22" t="n">
        <v>19</v>
      </c>
      <c r="H364" s="19"/>
      <c r="I364" s="22" t="n">
        <v>1.208</v>
      </c>
      <c r="J364" s="8" t="n">
        <f aca="false">IF(F364="",H364,F364/1000*G364)</f>
        <v>55.67</v>
      </c>
      <c r="K364" s="8" t="n">
        <f aca="false">ROUND(J364*I364,2)</f>
        <v>67.25</v>
      </c>
      <c r="L364" s="20" t="n">
        <v>67.25</v>
      </c>
      <c r="M364" s="8" t="n">
        <f aca="false">ROUND(K364-L364,2)</f>
        <v>0</v>
      </c>
      <c r="N364" s="7" t="s">
        <v>41</v>
      </c>
    </row>
    <row r="365" customFormat="false" ht="15" hidden="false" customHeight="true" outlineLevel="0" collapsed="false">
      <c r="A365" s="22" t="s">
        <v>158</v>
      </c>
      <c r="B365" s="22" t="s">
        <v>155</v>
      </c>
      <c r="C365" s="22" t="s">
        <v>68</v>
      </c>
      <c r="D365" s="22" t="n">
        <v>14</v>
      </c>
      <c r="E365" s="22" t="s">
        <v>15</v>
      </c>
      <c r="F365" s="19"/>
      <c r="G365" s="19"/>
      <c r="H365" s="22" t="n">
        <v>100.1</v>
      </c>
      <c r="I365" s="22" t="n">
        <v>1.208</v>
      </c>
      <c r="J365" s="8" t="n">
        <f aca="false">IF(F365="",H365,F365/1000*G365)</f>
        <v>100.1</v>
      </c>
      <c r="K365" s="8" t="n">
        <f aca="false">ROUND(J365*I365,2)</f>
        <v>120.92</v>
      </c>
      <c r="L365" s="20" t="n">
        <v>120.92</v>
      </c>
      <c r="M365" s="8" t="n">
        <f aca="false">ROUND(K365-L365,2)</f>
        <v>0</v>
      </c>
      <c r="N365" s="7" t="s">
        <v>194</v>
      </c>
    </row>
    <row r="366" customFormat="false" ht="15" hidden="false" customHeight="true" outlineLevel="0" collapsed="false">
      <c r="A366" s="22" t="s">
        <v>158</v>
      </c>
      <c r="B366" s="22" t="s">
        <v>155</v>
      </c>
      <c r="C366" s="22" t="s">
        <v>68</v>
      </c>
      <c r="D366" s="22" t="n">
        <v>8</v>
      </c>
      <c r="E366" s="22" t="s">
        <v>12</v>
      </c>
      <c r="F366" s="22" t="n">
        <v>630</v>
      </c>
      <c r="G366" s="22" t="n">
        <v>76</v>
      </c>
      <c r="H366" s="19"/>
      <c r="I366" s="22" t="n">
        <v>0.395</v>
      </c>
      <c r="J366" s="8" t="n">
        <f aca="false">IF(F366="",H366,F366/1000*G366)</f>
        <v>47.88</v>
      </c>
      <c r="K366" s="8" t="n">
        <f aca="false">ROUND(J366*I366,2)</f>
        <v>18.91</v>
      </c>
      <c r="L366" s="20" t="n">
        <v>18.91</v>
      </c>
      <c r="M366" s="8" t="n">
        <f aca="false">ROUND(K366-L366,2)</f>
        <v>0</v>
      </c>
      <c r="N366" s="7" t="s">
        <v>37</v>
      </c>
    </row>
    <row r="367" customFormat="false" ht="15" hidden="false" customHeight="true" outlineLevel="0" collapsed="false">
      <c r="A367" s="22" t="s">
        <v>158</v>
      </c>
      <c r="B367" s="22" t="s">
        <v>155</v>
      </c>
      <c r="C367" s="22" t="s">
        <v>68</v>
      </c>
      <c r="D367" s="22" t="n">
        <v>16</v>
      </c>
      <c r="E367" s="22" t="s">
        <v>15</v>
      </c>
      <c r="F367" s="22" t="n">
        <v>1970</v>
      </c>
      <c r="G367" s="22" t="n">
        <v>22</v>
      </c>
      <c r="H367" s="19"/>
      <c r="I367" s="22" t="n">
        <v>1.578</v>
      </c>
      <c r="J367" s="8" t="n">
        <f aca="false">IF(F367="",H367,F367/1000*G367)</f>
        <v>43.34</v>
      </c>
      <c r="K367" s="8" t="n">
        <f aca="false">ROUND(J367*I367,2)</f>
        <v>68.39</v>
      </c>
      <c r="L367" s="20" t="n">
        <v>68.39</v>
      </c>
      <c r="M367" s="8" t="n">
        <f aca="false">ROUND(K367-L367,2)</f>
        <v>0</v>
      </c>
      <c r="N367" s="7" t="s">
        <v>42</v>
      </c>
    </row>
    <row r="368" customFormat="false" ht="15" hidden="false" customHeight="true" outlineLevel="0" collapsed="false">
      <c r="A368" s="22" t="s">
        <v>159</v>
      </c>
      <c r="B368" s="22" t="s">
        <v>160</v>
      </c>
      <c r="C368" s="22" t="s">
        <v>62</v>
      </c>
      <c r="D368" s="22" t="n">
        <v>14</v>
      </c>
      <c r="E368" s="22" t="s">
        <v>15</v>
      </c>
      <c r="F368" s="22" t="n">
        <v>3350</v>
      </c>
      <c r="G368" s="22" t="n">
        <v>24</v>
      </c>
      <c r="H368" s="19"/>
      <c r="I368" s="22" t="n">
        <v>1.208</v>
      </c>
      <c r="J368" s="8" t="n">
        <f aca="false">IF(F368="",H368,F368/1000*G368)</f>
        <v>80.4</v>
      </c>
      <c r="K368" s="8" t="n">
        <f aca="false">ROUND(J368*I368,2)</f>
        <v>97.12</v>
      </c>
      <c r="L368" s="20" t="n">
        <v>97.12</v>
      </c>
      <c r="M368" s="8" t="n">
        <f aca="false">ROUND(K368-L368,2)</f>
        <v>0</v>
      </c>
      <c r="N368" s="7" t="s">
        <v>41</v>
      </c>
    </row>
    <row r="369" customFormat="false" ht="15" hidden="false" customHeight="true" outlineLevel="0" collapsed="false">
      <c r="A369" s="22" t="s">
        <v>159</v>
      </c>
      <c r="B369" s="22" t="s">
        <v>160</v>
      </c>
      <c r="C369" s="22" t="s">
        <v>62</v>
      </c>
      <c r="D369" s="22" t="n">
        <v>14</v>
      </c>
      <c r="E369" s="22" t="s">
        <v>15</v>
      </c>
      <c r="F369" s="22" t="n">
        <v>2930</v>
      </c>
      <c r="G369" s="22" t="n">
        <v>24</v>
      </c>
      <c r="H369" s="19"/>
      <c r="I369" s="22" t="n">
        <v>1.208</v>
      </c>
      <c r="J369" s="8" t="n">
        <f aca="false">IF(F369="",H369,F369/1000*G369)</f>
        <v>70.32</v>
      </c>
      <c r="K369" s="8" t="n">
        <f aca="false">ROUND(J369*I369,2)</f>
        <v>84.95</v>
      </c>
      <c r="L369" s="20" t="n">
        <v>84.95</v>
      </c>
      <c r="M369" s="8" t="n">
        <f aca="false">ROUND(K369-L369,2)</f>
        <v>0</v>
      </c>
      <c r="N369" s="7" t="s">
        <v>41</v>
      </c>
    </row>
    <row r="370" customFormat="false" ht="15" hidden="false" customHeight="true" outlineLevel="0" collapsed="false">
      <c r="A370" s="22" t="s">
        <v>159</v>
      </c>
      <c r="B370" s="22" t="s">
        <v>160</v>
      </c>
      <c r="C370" s="22" t="s">
        <v>62</v>
      </c>
      <c r="D370" s="22" t="n">
        <v>14</v>
      </c>
      <c r="E370" s="22" t="s">
        <v>15</v>
      </c>
      <c r="F370" s="22" t="n">
        <v>2480</v>
      </c>
      <c r="G370" s="22" t="n">
        <v>20</v>
      </c>
      <c r="H370" s="19"/>
      <c r="I370" s="22" t="n">
        <v>1.208</v>
      </c>
      <c r="J370" s="8" t="n">
        <f aca="false">IF(F370="",H370,F370/1000*G370)</f>
        <v>49.6</v>
      </c>
      <c r="K370" s="8" t="n">
        <f aca="false">ROUND(J370*I370,2)</f>
        <v>59.92</v>
      </c>
      <c r="L370" s="20" t="n">
        <v>59.92</v>
      </c>
      <c r="M370" s="8" t="n">
        <f aca="false">ROUND(K370-L370,2)</f>
        <v>0</v>
      </c>
      <c r="N370" s="7" t="s">
        <v>41</v>
      </c>
    </row>
    <row r="371" customFormat="false" ht="15" hidden="false" customHeight="true" outlineLevel="0" collapsed="false">
      <c r="A371" s="22" t="s">
        <v>159</v>
      </c>
      <c r="B371" s="22" t="s">
        <v>160</v>
      </c>
      <c r="C371" s="22" t="s">
        <v>62</v>
      </c>
      <c r="D371" s="22" t="n">
        <v>14</v>
      </c>
      <c r="E371" s="22" t="s">
        <v>15</v>
      </c>
      <c r="F371" s="19"/>
      <c r="G371" s="19"/>
      <c r="H371" s="22" t="n">
        <v>181.2</v>
      </c>
      <c r="I371" s="22" t="n">
        <v>1.208</v>
      </c>
      <c r="J371" s="8" t="n">
        <f aca="false">IF(F371="",H371,F371/1000*G371)</f>
        <v>181.2</v>
      </c>
      <c r="K371" s="8" t="n">
        <f aca="false">ROUND(J371*I371,2)</f>
        <v>218.89</v>
      </c>
      <c r="L371" s="20" t="n">
        <v>218.89</v>
      </c>
      <c r="M371" s="8" t="n">
        <f aca="false">ROUND(K371-L371,2)</f>
        <v>0</v>
      </c>
      <c r="N371" s="7" t="s">
        <v>194</v>
      </c>
    </row>
    <row r="372" customFormat="false" ht="15" hidden="false" customHeight="true" outlineLevel="0" collapsed="false">
      <c r="A372" s="22" t="s">
        <v>159</v>
      </c>
      <c r="B372" s="22" t="s">
        <v>160</v>
      </c>
      <c r="C372" s="22" t="s">
        <v>62</v>
      </c>
      <c r="D372" s="22" t="n">
        <v>8</v>
      </c>
      <c r="E372" s="22" t="s">
        <v>12</v>
      </c>
      <c r="F372" s="22" t="n">
        <v>630</v>
      </c>
      <c r="G372" s="22" t="n">
        <v>135</v>
      </c>
      <c r="H372" s="19"/>
      <c r="I372" s="22" t="n">
        <v>0.395</v>
      </c>
      <c r="J372" s="8" t="n">
        <f aca="false">IF(F372="",H372,F372/1000*G372)</f>
        <v>85.05</v>
      </c>
      <c r="K372" s="8" t="n">
        <f aca="false">ROUND(J372*I372,2)</f>
        <v>33.59</v>
      </c>
      <c r="L372" s="20" t="n">
        <v>33.59</v>
      </c>
      <c r="M372" s="8" t="n">
        <f aca="false">ROUND(K372-L372,2)</f>
        <v>0</v>
      </c>
      <c r="N372" s="7" t="s">
        <v>37</v>
      </c>
    </row>
    <row r="373" customFormat="false" ht="15" hidden="false" customHeight="true" outlineLevel="0" collapsed="false">
      <c r="A373" s="22" t="s">
        <v>161</v>
      </c>
      <c r="B373" s="22" t="s">
        <v>160</v>
      </c>
      <c r="C373" s="22" t="s">
        <v>64</v>
      </c>
      <c r="D373" s="22" t="n">
        <v>14</v>
      </c>
      <c r="E373" s="22" t="s">
        <v>15</v>
      </c>
      <c r="F373" s="22" t="n">
        <v>3350</v>
      </c>
      <c r="G373" s="22" t="n">
        <v>28</v>
      </c>
      <c r="H373" s="19"/>
      <c r="I373" s="22" t="n">
        <v>1.208</v>
      </c>
      <c r="J373" s="8" t="n">
        <f aca="false">IF(F373="",H373,F373/1000*G373)</f>
        <v>93.8</v>
      </c>
      <c r="K373" s="8" t="n">
        <f aca="false">ROUND(J373*I373,2)</f>
        <v>113.31</v>
      </c>
      <c r="L373" s="20" t="n">
        <v>113.31</v>
      </c>
      <c r="M373" s="8" t="n">
        <f aca="false">ROUND(K373-L373,2)</f>
        <v>0</v>
      </c>
      <c r="N373" s="7" t="s">
        <v>41</v>
      </c>
    </row>
    <row r="374" customFormat="false" ht="15" hidden="false" customHeight="true" outlineLevel="0" collapsed="false">
      <c r="A374" s="22" t="s">
        <v>161</v>
      </c>
      <c r="B374" s="22" t="s">
        <v>160</v>
      </c>
      <c r="C374" s="22" t="s">
        <v>64</v>
      </c>
      <c r="D374" s="22" t="n">
        <v>14</v>
      </c>
      <c r="E374" s="22" t="s">
        <v>15</v>
      </c>
      <c r="F374" s="22" t="n">
        <v>2930</v>
      </c>
      <c r="G374" s="22" t="n">
        <v>28</v>
      </c>
      <c r="H374" s="19"/>
      <c r="I374" s="22" t="n">
        <v>1.208</v>
      </c>
      <c r="J374" s="8" t="n">
        <f aca="false">IF(F374="",H374,F374/1000*G374)</f>
        <v>82.04</v>
      </c>
      <c r="K374" s="8" t="n">
        <f aca="false">ROUND(J374*I374,2)</f>
        <v>99.1</v>
      </c>
      <c r="L374" s="20" t="n">
        <v>99.1</v>
      </c>
      <c r="M374" s="8" t="n">
        <f aca="false">ROUND(K374-L374,2)</f>
        <v>0</v>
      </c>
      <c r="N374" s="7" t="s">
        <v>41</v>
      </c>
    </row>
    <row r="375" customFormat="false" ht="15" hidden="false" customHeight="true" outlineLevel="0" collapsed="false">
      <c r="A375" s="22" t="s">
        <v>161</v>
      </c>
      <c r="B375" s="22" t="s">
        <v>160</v>
      </c>
      <c r="C375" s="22" t="s">
        <v>64</v>
      </c>
      <c r="D375" s="22" t="n">
        <v>14</v>
      </c>
      <c r="E375" s="22" t="s">
        <v>15</v>
      </c>
      <c r="F375" s="19"/>
      <c r="G375" s="19"/>
      <c r="H375" s="22" t="n">
        <v>136.18</v>
      </c>
      <c r="I375" s="22" t="n">
        <v>1.208</v>
      </c>
      <c r="J375" s="8" t="n">
        <f aca="false">IF(F375="",H375,F375/1000*G375)</f>
        <v>136.18</v>
      </c>
      <c r="K375" s="8" t="n">
        <f aca="false">ROUND(J375*I375,2)</f>
        <v>164.51</v>
      </c>
      <c r="L375" s="20" t="n">
        <v>164.51</v>
      </c>
      <c r="M375" s="8" t="n">
        <f aca="false">ROUND(K375-L375,2)</f>
        <v>0</v>
      </c>
      <c r="N375" s="7" t="s">
        <v>194</v>
      </c>
    </row>
    <row r="376" customFormat="false" ht="15" hidden="false" customHeight="true" outlineLevel="0" collapsed="false">
      <c r="A376" s="22" t="s">
        <v>161</v>
      </c>
      <c r="B376" s="22" t="s">
        <v>160</v>
      </c>
      <c r="C376" s="22" t="s">
        <v>64</v>
      </c>
      <c r="D376" s="22" t="n">
        <v>8</v>
      </c>
      <c r="E376" s="22" t="s">
        <v>12</v>
      </c>
      <c r="F376" s="22" t="n">
        <v>390</v>
      </c>
      <c r="G376" s="22" t="n">
        <v>118</v>
      </c>
      <c r="H376" s="19"/>
      <c r="I376" s="22" t="n">
        <v>0.395</v>
      </c>
      <c r="J376" s="8" t="n">
        <f aca="false">IF(F376="",H376,F376/1000*G376)</f>
        <v>46.02</v>
      </c>
      <c r="K376" s="8" t="n">
        <f aca="false">ROUND(J376*I376,2)</f>
        <v>18.18</v>
      </c>
      <c r="L376" s="20" t="n">
        <v>18.18</v>
      </c>
      <c r="M376" s="8" t="n">
        <f aca="false">ROUND(K376-L376,2)</f>
        <v>0</v>
      </c>
      <c r="N376" s="7" t="s">
        <v>38</v>
      </c>
    </row>
    <row r="377" customFormat="false" ht="15" hidden="false" customHeight="true" outlineLevel="0" collapsed="false">
      <c r="A377" s="22" t="s">
        <v>161</v>
      </c>
      <c r="B377" s="22" t="s">
        <v>160</v>
      </c>
      <c r="C377" s="22" t="s">
        <v>64</v>
      </c>
      <c r="D377" s="22" t="n">
        <v>16</v>
      </c>
      <c r="E377" s="22" t="s">
        <v>15</v>
      </c>
      <c r="F377" s="22" t="n">
        <v>1370</v>
      </c>
      <c r="G377" s="22" t="n">
        <v>48</v>
      </c>
      <c r="H377" s="19"/>
      <c r="I377" s="22" t="n">
        <v>1.578</v>
      </c>
      <c r="J377" s="8" t="n">
        <f aca="false">IF(F377="",H377,F377/1000*G377)</f>
        <v>65.76</v>
      </c>
      <c r="K377" s="8" t="n">
        <f aca="false">ROUND(J377*I377,2)</f>
        <v>103.77</v>
      </c>
      <c r="L377" s="20" t="n">
        <v>103.77</v>
      </c>
      <c r="M377" s="8" t="n">
        <f aca="false">ROUND(K377-L377,2)</f>
        <v>0</v>
      </c>
      <c r="N377" s="7" t="s">
        <v>43</v>
      </c>
    </row>
    <row r="378" customFormat="false" ht="15" hidden="false" customHeight="true" outlineLevel="0" collapsed="false">
      <c r="A378" s="22" t="s">
        <v>162</v>
      </c>
      <c r="B378" s="22" t="s">
        <v>160</v>
      </c>
      <c r="C378" s="22" t="s">
        <v>66</v>
      </c>
      <c r="D378" s="22" t="n">
        <v>14</v>
      </c>
      <c r="E378" s="22" t="s">
        <v>15</v>
      </c>
      <c r="F378" s="22" t="n">
        <v>3350</v>
      </c>
      <c r="G378" s="22" t="n">
        <v>10</v>
      </c>
      <c r="H378" s="19"/>
      <c r="I378" s="22" t="n">
        <v>1.208</v>
      </c>
      <c r="J378" s="8" t="n">
        <f aca="false">IF(F378="",H378,F378/1000*G378)</f>
        <v>33.5</v>
      </c>
      <c r="K378" s="8" t="n">
        <f aca="false">ROUND(J378*I378,2)</f>
        <v>40.47</v>
      </c>
      <c r="L378" s="20" t="n">
        <v>40.47</v>
      </c>
      <c r="M378" s="8" t="n">
        <f aca="false">ROUND(K378-L378,2)</f>
        <v>0</v>
      </c>
      <c r="N378" s="7" t="s">
        <v>41</v>
      </c>
    </row>
    <row r="379" customFormat="false" ht="15" hidden="false" customHeight="true" outlineLevel="0" collapsed="false">
      <c r="A379" s="22" t="s">
        <v>162</v>
      </c>
      <c r="B379" s="22" t="s">
        <v>160</v>
      </c>
      <c r="C379" s="22" t="s">
        <v>66</v>
      </c>
      <c r="D379" s="22" t="n">
        <v>14</v>
      </c>
      <c r="E379" s="22" t="s">
        <v>15</v>
      </c>
      <c r="F379" s="22" t="n">
        <v>2930</v>
      </c>
      <c r="G379" s="22" t="n">
        <v>10</v>
      </c>
      <c r="H379" s="19"/>
      <c r="I379" s="22" t="n">
        <v>1.208</v>
      </c>
      <c r="J379" s="8" t="n">
        <f aca="false">IF(F379="",H379,F379/1000*G379)</f>
        <v>29.3</v>
      </c>
      <c r="K379" s="8" t="n">
        <f aca="false">ROUND(J379*I379,2)</f>
        <v>35.39</v>
      </c>
      <c r="L379" s="20" t="n">
        <v>35.39</v>
      </c>
      <c r="M379" s="8" t="n">
        <f aca="false">ROUND(K379-L379,2)</f>
        <v>0</v>
      </c>
      <c r="N379" s="7" t="s">
        <v>41</v>
      </c>
    </row>
    <row r="380" customFormat="false" ht="15" hidden="false" customHeight="true" outlineLevel="0" collapsed="false">
      <c r="A380" s="22" t="s">
        <v>162</v>
      </c>
      <c r="B380" s="22" t="s">
        <v>160</v>
      </c>
      <c r="C380" s="22" t="s">
        <v>66</v>
      </c>
      <c r="D380" s="22" t="n">
        <v>14</v>
      </c>
      <c r="E380" s="22" t="s">
        <v>15</v>
      </c>
      <c r="F380" s="19"/>
      <c r="G380" s="19"/>
      <c r="H380" s="22" t="n">
        <v>68.64</v>
      </c>
      <c r="I380" s="22" t="n">
        <v>1.208</v>
      </c>
      <c r="J380" s="8" t="n">
        <f aca="false">IF(F380="",H380,F380/1000*G380)</f>
        <v>68.64</v>
      </c>
      <c r="K380" s="8" t="n">
        <f aca="false">ROUND(J380*I380,2)</f>
        <v>82.92</v>
      </c>
      <c r="L380" s="20" t="n">
        <v>78.09</v>
      </c>
      <c r="M380" s="8" t="n">
        <f aca="false">ROUND(K380-L380,2)</f>
        <v>4.83</v>
      </c>
      <c r="N380" s="7" t="s">
        <v>194</v>
      </c>
    </row>
    <row r="381" customFormat="false" ht="15" hidden="false" customHeight="true" outlineLevel="0" collapsed="false">
      <c r="A381" s="22" t="s">
        <v>162</v>
      </c>
      <c r="B381" s="22" t="s">
        <v>160</v>
      </c>
      <c r="C381" s="22" t="s">
        <v>66</v>
      </c>
      <c r="D381" s="22" t="n">
        <v>8</v>
      </c>
      <c r="E381" s="22" t="s">
        <v>12</v>
      </c>
      <c r="F381" s="22" t="n">
        <v>390</v>
      </c>
      <c r="G381" s="22" t="n">
        <v>58</v>
      </c>
      <c r="H381" s="19"/>
      <c r="I381" s="22" t="n">
        <v>0.395</v>
      </c>
      <c r="J381" s="8" t="n">
        <f aca="false">IF(F381="",H381,F381/1000*G381)</f>
        <v>22.62</v>
      </c>
      <c r="K381" s="8" t="n">
        <f aca="false">ROUND(J381*I381,2)</f>
        <v>8.93</v>
      </c>
      <c r="L381" s="20" t="n">
        <v>8.93</v>
      </c>
      <c r="M381" s="8" t="n">
        <f aca="false">ROUND(K381-L381,2)</f>
        <v>0</v>
      </c>
      <c r="N381" s="7" t="s">
        <v>38</v>
      </c>
    </row>
    <row r="382" customFormat="false" ht="15" hidden="false" customHeight="true" outlineLevel="0" collapsed="false">
      <c r="A382" s="22" t="s">
        <v>162</v>
      </c>
      <c r="B382" s="22" t="s">
        <v>160</v>
      </c>
      <c r="C382" s="22" t="s">
        <v>66</v>
      </c>
      <c r="D382" s="22" t="n">
        <v>16</v>
      </c>
      <c r="E382" s="22" t="s">
        <v>15</v>
      </c>
      <c r="F382" s="22" t="n">
        <v>1970</v>
      </c>
      <c r="G382" s="22" t="n">
        <v>24</v>
      </c>
      <c r="H382" s="19"/>
      <c r="I382" s="22" t="n">
        <v>1.578</v>
      </c>
      <c r="J382" s="8" t="n">
        <f aca="false">IF(F382="",H382,F382/1000*G382)</f>
        <v>47.28</v>
      </c>
      <c r="K382" s="8" t="n">
        <f aca="false">ROUND(J382*I382,2)</f>
        <v>74.61</v>
      </c>
      <c r="L382" s="20" t="n">
        <v>74.61</v>
      </c>
      <c r="M382" s="8" t="n">
        <f aca="false">ROUND(K382-L382,2)</f>
        <v>0</v>
      </c>
      <c r="N382" s="7" t="s">
        <v>42</v>
      </c>
    </row>
    <row r="383" customFormat="false" ht="15" hidden="false" customHeight="true" outlineLevel="0" collapsed="false">
      <c r="A383" s="22" t="s">
        <v>163</v>
      </c>
      <c r="B383" s="22" t="s">
        <v>160</v>
      </c>
      <c r="C383" s="22" t="s">
        <v>68</v>
      </c>
      <c r="D383" s="22" t="n">
        <v>14</v>
      </c>
      <c r="E383" s="22" t="s">
        <v>15</v>
      </c>
      <c r="F383" s="22" t="n">
        <v>3350</v>
      </c>
      <c r="G383" s="22" t="n">
        <v>10</v>
      </c>
      <c r="H383" s="19"/>
      <c r="I383" s="22" t="n">
        <v>1.208</v>
      </c>
      <c r="J383" s="8" t="n">
        <f aca="false">IF(F383="",H383,F383/1000*G383)</f>
        <v>33.5</v>
      </c>
      <c r="K383" s="8" t="n">
        <f aca="false">ROUND(J383*I383,2)</f>
        <v>40.47</v>
      </c>
      <c r="L383" s="20" t="n">
        <v>40.47</v>
      </c>
      <c r="M383" s="8" t="n">
        <f aca="false">ROUND(K383-L383,2)</f>
        <v>0</v>
      </c>
      <c r="N383" s="7" t="s">
        <v>41</v>
      </c>
    </row>
    <row r="384" customFormat="false" ht="15" hidden="false" customHeight="true" outlineLevel="0" collapsed="false">
      <c r="A384" s="22" t="s">
        <v>163</v>
      </c>
      <c r="B384" s="22" t="s">
        <v>160</v>
      </c>
      <c r="C384" s="22" t="s">
        <v>68</v>
      </c>
      <c r="D384" s="22" t="n">
        <v>14</v>
      </c>
      <c r="E384" s="22" t="s">
        <v>15</v>
      </c>
      <c r="F384" s="22" t="n">
        <v>2930</v>
      </c>
      <c r="G384" s="22" t="n">
        <v>10</v>
      </c>
      <c r="H384" s="19"/>
      <c r="I384" s="22" t="n">
        <v>1.208</v>
      </c>
      <c r="J384" s="8" t="n">
        <f aca="false">IF(F384="",H384,F384/1000*G384)</f>
        <v>29.3</v>
      </c>
      <c r="K384" s="8" t="n">
        <f aca="false">ROUND(J384*I384,2)</f>
        <v>35.39</v>
      </c>
      <c r="L384" s="20" t="n">
        <v>35.39</v>
      </c>
      <c r="M384" s="8" t="n">
        <f aca="false">ROUND(K384-L384,2)</f>
        <v>0</v>
      </c>
      <c r="N384" s="7" t="s">
        <v>41</v>
      </c>
    </row>
    <row r="385" customFormat="false" ht="15" hidden="false" customHeight="true" outlineLevel="0" collapsed="false">
      <c r="A385" s="22" t="s">
        <v>163</v>
      </c>
      <c r="B385" s="22" t="s">
        <v>160</v>
      </c>
      <c r="C385" s="22" t="s">
        <v>68</v>
      </c>
      <c r="D385" s="22" t="n">
        <v>14</v>
      </c>
      <c r="E385" s="22" t="s">
        <v>15</v>
      </c>
      <c r="F385" s="19"/>
      <c r="G385" s="19"/>
      <c r="H385" s="22" t="n">
        <v>68.64</v>
      </c>
      <c r="I385" s="22" t="n">
        <v>1.208</v>
      </c>
      <c r="J385" s="8" t="n">
        <f aca="false">IF(F385="",H385,F385/1000*G385)</f>
        <v>68.64</v>
      </c>
      <c r="K385" s="8" t="n">
        <f aca="false">ROUND(J385*I385,2)</f>
        <v>82.92</v>
      </c>
      <c r="L385" s="20" t="n">
        <v>82.92</v>
      </c>
      <c r="M385" s="8" t="n">
        <f aca="false">ROUND(K385-L385,2)</f>
        <v>0</v>
      </c>
      <c r="N385" s="7" t="s">
        <v>194</v>
      </c>
    </row>
    <row r="386" customFormat="false" ht="15" hidden="false" customHeight="true" outlineLevel="0" collapsed="false">
      <c r="A386" s="22" t="s">
        <v>163</v>
      </c>
      <c r="B386" s="22" t="s">
        <v>160</v>
      </c>
      <c r="C386" s="22" t="s">
        <v>68</v>
      </c>
      <c r="D386" s="22" t="n">
        <v>8</v>
      </c>
      <c r="E386" s="22" t="s">
        <v>12</v>
      </c>
      <c r="F386" s="22" t="n">
        <v>390</v>
      </c>
      <c r="G386" s="22" t="n">
        <v>58</v>
      </c>
      <c r="H386" s="19"/>
      <c r="I386" s="22" t="n">
        <v>0.395</v>
      </c>
      <c r="J386" s="8" t="n">
        <f aca="false">IF(F386="",H386,F386/1000*G386)</f>
        <v>22.62</v>
      </c>
      <c r="K386" s="8" t="n">
        <f aca="false">ROUND(J386*I386,2)</f>
        <v>8.93</v>
      </c>
      <c r="L386" s="20" t="n">
        <v>8.93</v>
      </c>
      <c r="M386" s="8" t="n">
        <f aca="false">ROUND(K386-L386,2)</f>
        <v>0</v>
      </c>
      <c r="N386" s="7" t="s">
        <v>38</v>
      </c>
    </row>
    <row r="387" customFormat="false" ht="15" hidden="false" customHeight="true" outlineLevel="0" collapsed="false">
      <c r="A387" s="22" t="s">
        <v>163</v>
      </c>
      <c r="B387" s="22" t="s">
        <v>160</v>
      </c>
      <c r="C387" s="22" t="s">
        <v>68</v>
      </c>
      <c r="D387" s="22" t="n">
        <v>16</v>
      </c>
      <c r="E387" s="22" t="s">
        <v>15</v>
      </c>
      <c r="F387" s="22" t="n">
        <v>1970</v>
      </c>
      <c r="G387" s="22" t="n">
        <v>24</v>
      </c>
      <c r="H387" s="19"/>
      <c r="I387" s="22" t="n">
        <v>1.578</v>
      </c>
      <c r="J387" s="8" t="n">
        <f aca="false">IF(F387="",H387,F387/1000*G387)</f>
        <v>47.28</v>
      </c>
      <c r="K387" s="8" t="n">
        <f aca="false">ROUND(J387*I387,2)</f>
        <v>74.61</v>
      </c>
      <c r="L387" s="20" t="n">
        <v>74.61</v>
      </c>
      <c r="M387" s="8" t="n">
        <f aca="false">ROUND(K387-L387,2)</f>
        <v>0</v>
      </c>
      <c r="N387" s="7" t="s">
        <v>42</v>
      </c>
    </row>
    <row r="388" customFormat="false" ht="15" hidden="false" customHeight="true" outlineLevel="0" collapsed="false">
      <c r="A388" s="22" t="s">
        <v>164</v>
      </c>
      <c r="B388" s="22" t="s">
        <v>160</v>
      </c>
      <c r="C388" s="22" t="s">
        <v>109</v>
      </c>
      <c r="D388" s="22" t="n">
        <v>14</v>
      </c>
      <c r="E388" s="22" t="s">
        <v>15</v>
      </c>
      <c r="F388" s="22" t="n">
        <v>3350</v>
      </c>
      <c r="G388" s="22" t="n">
        <v>10</v>
      </c>
      <c r="H388" s="19"/>
      <c r="I388" s="22" t="n">
        <v>1.208</v>
      </c>
      <c r="J388" s="8" t="n">
        <f aca="false">IF(F388="",H388,F388/1000*G388)</f>
        <v>33.5</v>
      </c>
      <c r="K388" s="8" t="n">
        <f aca="false">ROUND(J388*I388,2)</f>
        <v>40.47</v>
      </c>
      <c r="L388" s="20" t="n">
        <v>40.47</v>
      </c>
      <c r="M388" s="8" t="n">
        <f aca="false">ROUND(K388-L388,2)</f>
        <v>0</v>
      </c>
      <c r="N388" s="7" t="s">
        <v>41</v>
      </c>
    </row>
    <row r="389" customFormat="false" ht="15" hidden="false" customHeight="true" outlineLevel="0" collapsed="false">
      <c r="A389" s="22" t="s">
        <v>164</v>
      </c>
      <c r="B389" s="22" t="s">
        <v>160</v>
      </c>
      <c r="C389" s="22" t="s">
        <v>109</v>
      </c>
      <c r="D389" s="22" t="n">
        <v>14</v>
      </c>
      <c r="E389" s="22" t="s">
        <v>15</v>
      </c>
      <c r="F389" s="22" t="n">
        <v>2930</v>
      </c>
      <c r="G389" s="22" t="n">
        <v>10</v>
      </c>
      <c r="H389" s="19"/>
      <c r="I389" s="22" t="n">
        <v>1.208</v>
      </c>
      <c r="J389" s="8" t="n">
        <f aca="false">IF(F389="",H389,F389/1000*G389)</f>
        <v>29.3</v>
      </c>
      <c r="K389" s="8" t="n">
        <f aca="false">ROUND(J389*I389,2)</f>
        <v>35.39</v>
      </c>
      <c r="L389" s="20" t="n">
        <v>35.39</v>
      </c>
      <c r="M389" s="8" t="n">
        <f aca="false">ROUND(K389-L389,2)</f>
        <v>0</v>
      </c>
      <c r="N389" s="7" t="s">
        <v>41</v>
      </c>
    </row>
    <row r="390" customFormat="false" ht="15" hidden="false" customHeight="true" outlineLevel="0" collapsed="false">
      <c r="A390" s="22" t="s">
        <v>164</v>
      </c>
      <c r="B390" s="22" t="s">
        <v>160</v>
      </c>
      <c r="C390" s="22" t="s">
        <v>109</v>
      </c>
      <c r="D390" s="22" t="n">
        <v>14</v>
      </c>
      <c r="E390" s="22" t="s">
        <v>15</v>
      </c>
      <c r="F390" s="19"/>
      <c r="G390" s="19"/>
      <c r="H390" s="22" t="n">
        <v>68.64</v>
      </c>
      <c r="I390" s="22" t="n">
        <v>1.208</v>
      </c>
      <c r="J390" s="8" t="n">
        <f aca="false">IF(F390="",H390,F390/1000*G390)</f>
        <v>68.64</v>
      </c>
      <c r="K390" s="8" t="n">
        <f aca="false">ROUND(J390*I390,2)</f>
        <v>82.92</v>
      </c>
      <c r="L390" s="20" t="n">
        <v>82.92</v>
      </c>
      <c r="M390" s="8" t="n">
        <f aca="false">ROUND(K390-L390,2)</f>
        <v>0</v>
      </c>
      <c r="N390" s="7" t="s">
        <v>194</v>
      </c>
    </row>
    <row r="391" customFormat="false" ht="15" hidden="false" customHeight="true" outlineLevel="0" collapsed="false">
      <c r="A391" s="22" t="s">
        <v>164</v>
      </c>
      <c r="B391" s="22" t="s">
        <v>160</v>
      </c>
      <c r="C391" s="22" t="s">
        <v>109</v>
      </c>
      <c r="D391" s="22" t="n">
        <v>8</v>
      </c>
      <c r="E391" s="22" t="s">
        <v>12</v>
      </c>
      <c r="F391" s="22" t="n">
        <v>390</v>
      </c>
      <c r="G391" s="22" t="n">
        <v>58</v>
      </c>
      <c r="H391" s="19"/>
      <c r="I391" s="22" t="n">
        <v>0.395</v>
      </c>
      <c r="J391" s="8" t="n">
        <f aca="false">IF(F391="",H391,F391/1000*G391)</f>
        <v>22.62</v>
      </c>
      <c r="K391" s="8" t="n">
        <f aca="false">ROUND(J391*I391,2)</f>
        <v>8.93</v>
      </c>
      <c r="L391" s="20" t="n">
        <v>8.93</v>
      </c>
      <c r="M391" s="8" t="n">
        <f aca="false">ROUND(K391-L391,2)</f>
        <v>0</v>
      </c>
      <c r="N391" s="7" t="s">
        <v>38</v>
      </c>
    </row>
    <row r="392" customFormat="false" ht="15" hidden="false" customHeight="true" outlineLevel="0" collapsed="false">
      <c r="A392" s="22" t="s">
        <v>164</v>
      </c>
      <c r="B392" s="22" t="s">
        <v>160</v>
      </c>
      <c r="C392" s="22" t="s">
        <v>109</v>
      </c>
      <c r="D392" s="22" t="n">
        <v>16</v>
      </c>
      <c r="E392" s="22" t="s">
        <v>15</v>
      </c>
      <c r="F392" s="22" t="n">
        <v>1970</v>
      </c>
      <c r="G392" s="22" t="n">
        <v>24</v>
      </c>
      <c r="H392" s="19"/>
      <c r="I392" s="22" t="n">
        <v>1.578</v>
      </c>
      <c r="J392" s="8" t="n">
        <f aca="false">IF(F392="",H392,F392/1000*G392)</f>
        <v>47.28</v>
      </c>
      <c r="K392" s="8" t="n">
        <f aca="false">ROUND(J392*I392,2)</f>
        <v>74.61</v>
      </c>
      <c r="L392" s="20" t="n">
        <v>74.61</v>
      </c>
      <c r="M392" s="8" t="n">
        <f aca="false">ROUND(K392-L392,2)</f>
        <v>0</v>
      </c>
      <c r="N392" s="7" t="s">
        <v>42</v>
      </c>
    </row>
    <row r="393" customFormat="false" ht="15" hidden="false" customHeight="true" outlineLevel="0" collapsed="false">
      <c r="A393" s="22" t="s">
        <v>165</v>
      </c>
      <c r="B393" s="22" t="s">
        <v>166</v>
      </c>
      <c r="C393" s="22" t="s">
        <v>62</v>
      </c>
      <c r="D393" s="22" t="n">
        <v>14</v>
      </c>
      <c r="E393" s="22" t="s">
        <v>15</v>
      </c>
      <c r="F393" s="22" t="n">
        <v>3350</v>
      </c>
      <c r="G393" s="22" t="n">
        <v>24</v>
      </c>
      <c r="H393" s="19"/>
      <c r="I393" s="22" t="n">
        <v>1.208</v>
      </c>
      <c r="J393" s="8" t="n">
        <f aca="false">IF(F393="",H393,F393/1000*G393)</f>
        <v>80.4</v>
      </c>
      <c r="K393" s="8" t="n">
        <f aca="false">ROUND(J393*I393,2)</f>
        <v>97.12</v>
      </c>
      <c r="L393" s="20" t="n">
        <v>97.12</v>
      </c>
      <c r="M393" s="8" t="n">
        <f aca="false">ROUND(K393-L393,2)</f>
        <v>0</v>
      </c>
      <c r="N393" s="7" t="s">
        <v>41</v>
      </c>
    </row>
    <row r="394" customFormat="false" ht="15" hidden="false" customHeight="true" outlineLevel="0" collapsed="false">
      <c r="A394" s="22" t="s">
        <v>165</v>
      </c>
      <c r="B394" s="22" t="s">
        <v>166</v>
      </c>
      <c r="C394" s="22" t="s">
        <v>62</v>
      </c>
      <c r="D394" s="22" t="n">
        <v>14</v>
      </c>
      <c r="E394" s="22" t="s">
        <v>15</v>
      </c>
      <c r="F394" s="22" t="n">
        <v>2930</v>
      </c>
      <c r="G394" s="22" t="n">
        <v>24</v>
      </c>
      <c r="H394" s="19"/>
      <c r="I394" s="22" t="n">
        <v>1.208</v>
      </c>
      <c r="J394" s="8" t="n">
        <f aca="false">IF(F394="",H394,F394/1000*G394)</f>
        <v>70.32</v>
      </c>
      <c r="K394" s="8" t="n">
        <f aca="false">ROUND(J394*I394,2)</f>
        <v>84.95</v>
      </c>
      <c r="L394" s="20" t="n">
        <v>84.95</v>
      </c>
      <c r="M394" s="8" t="n">
        <f aca="false">ROUND(K394-L394,2)</f>
        <v>0</v>
      </c>
      <c r="N394" s="7" t="s">
        <v>41</v>
      </c>
    </row>
    <row r="395" customFormat="false" ht="15" hidden="false" customHeight="true" outlineLevel="0" collapsed="false">
      <c r="A395" s="22" t="s">
        <v>165</v>
      </c>
      <c r="B395" s="22" t="s">
        <v>166</v>
      </c>
      <c r="C395" s="22" t="s">
        <v>62</v>
      </c>
      <c r="D395" s="22" t="n">
        <v>14</v>
      </c>
      <c r="E395" s="22" t="s">
        <v>15</v>
      </c>
      <c r="F395" s="22" t="n">
        <v>2480</v>
      </c>
      <c r="G395" s="22" t="n">
        <v>20</v>
      </c>
      <c r="H395" s="19"/>
      <c r="I395" s="22" t="n">
        <v>1.208</v>
      </c>
      <c r="J395" s="8" t="n">
        <f aca="false">IF(F395="",H395,F395/1000*G395)</f>
        <v>49.6</v>
      </c>
      <c r="K395" s="8" t="n">
        <f aca="false">ROUND(J395*I395,2)</f>
        <v>59.92</v>
      </c>
      <c r="L395" s="20" t="n">
        <v>59.92</v>
      </c>
      <c r="M395" s="8" t="n">
        <f aca="false">ROUND(K395-L395,2)</f>
        <v>0</v>
      </c>
      <c r="N395" s="7" t="s">
        <v>41</v>
      </c>
    </row>
    <row r="396" customFormat="false" ht="15" hidden="false" customHeight="true" outlineLevel="0" collapsed="false">
      <c r="A396" s="22" t="s">
        <v>165</v>
      </c>
      <c r="B396" s="22" t="s">
        <v>166</v>
      </c>
      <c r="C396" s="22" t="s">
        <v>62</v>
      </c>
      <c r="D396" s="22" t="n">
        <v>14</v>
      </c>
      <c r="E396" s="22" t="s">
        <v>15</v>
      </c>
      <c r="F396" s="19"/>
      <c r="G396" s="19"/>
      <c r="H396" s="22" t="n">
        <v>181.2</v>
      </c>
      <c r="I396" s="22" t="n">
        <v>1.208</v>
      </c>
      <c r="J396" s="8" t="n">
        <f aca="false">IF(F396="",H396,F396/1000*G396)</f>
        <v>181.2</v>
      </c>
      <c r="K396" s="8" t="n">
        <f aca="false">ROUND(J396*I396,2)</f>
        <v>218.89</v>
      </c>
      <c r="L396" s="20" t="n">
        <v>218.89</v>
      </c>
      <c r="M396" s="8" t="n">
        <f aca="false">ROUND(K396-L396,2)</f>
        <v>0</v>
      </c>
      <c r="N396" s="7" t="s">
        <v>194</v>
      </c>
    </row>
    <row r="397" customFormat="false" ht="15" hidden="false" customHeight="true" outlineLevel="0" collapsed="false">
      <c r="A397" s="22" t="s">
        <v>165</v>
      </c>
      <c r="B397" s="22" t="s">
        <v>166</v>
      </c>
      <c r="C397" s="22" t="s">
        <v>62</v>
      </c>
      <c r="D397" s="22" t="n">
        <v>8</v>
      </c>
      <c r="E397" s="22" t="s">
        <v>12</v>
      </c>
      <c r="F397" s="22" t="n">
        <v>630</v>
      </c>
      <c r="G397" s="22" t="n">
        <v>135</v>
      </c>
      <c r="H397" s="19"/>
      <c r="I397" s="22" t="n">
        <v>0.395</v>
      </c>
      <c r="J397" s="8" t="n">
        <f aca="false">IF(F397="",H397,F397/1000*G397)</f>
        <v>85.05</v>
      </c>
      <c r="K397" s="8" t="n">
        <f aca="false">ROUND(J397*I397,2)</f>
        <v>33.59</v>
      </c>
      <c r="L397" s="20" t="n">
        <v>33.59</v>
      </c>
      <c r="M397" s="8" t="n">
        <f aca="false">ROUND(K397-L397,2)</f>
        <v>0</v>
      </c>
      <c r="N397" s="7" t="s">
        <v>37</v>
      </c>
    </row>
    <row r="398" customFormat="false" ht="15" hidden="false" customHeight="true" outlineLevel="0" collapsed="false">
      <c r="A398" s="22" t="s">
        <v>167</v>
      </c>
      <c r="B398" s="22" t="s">
        <v>166</v>
      </c>
      <c r="C398" s="22" t="s">
        <v>64</v>
      </c>
      <c r="D398" s="22" t="n">
        <v>14</v>
      </c>
      <c r="E398" s="22" t="s">
        <v>15</v>
      </c>
      <c r="F398" s="22" t="n">
        <v>3350</v>
      </c>
      <c r="G398" s="22" t="n">
        <v>28</v>
      </c>
      <c r="H398" s="19"/>
      <c r="I398" s="22" t="n">
        <v>1.208</v>
      </c>
      <c r="J398" s="8" t="n">
        <f aca="false">IF(F398="",H398,F398/1000*G398)</f>
        <v>93.8</v>
      </c>
      <c r="K398" s="8" t="n">
        <f aca="false">ROUND(J398*I398,2)</f>
        <v>113.31</v>
      </c>
      <c r="L398" s="20" t="n">
        <v>113.31</v>
      </c>
      <c r="M398" s="8" t="n">
        <f aca="false">ROUND(K398-L398,2)</f>
        <v>0</v>
      </c>
      <c r="N398" s="7" t="s">
        <v>41</v>
      </c>
    </row>
    <row r="399" customFormat="false" ht="15" hidden="false" customHeight="true" outlineLevel="0" collapsed="false">
      <c r="A399" s="22" t="s">
        <v>167</v>
      </c>
      <c r="B399" s="22" t="s">
        <v>166</v>
      </c>
      <c r="C399" s="22" t="s">
        <v>64</v>
      </c>
      <c r="D399" s="22" t="n">
        <v>14</v>
      </c>
      <c r="E399" s="22" t="s">
        <v>15</v>
      </c>
      <c r="F399" s="22" t="n">
        <v>2930</v>
      </c>
      <c r="G399" s="22" t="n">
        <v>28</v>
      </c>
      <c r="H399" s="19"/>
      <c r="I399" s="22" t="n">
        <v>1.208</v>
      </c>
      <c r="J399" s="8" t="n">
        <f aca="false">IF(F399="",H399,F399/1000*G399)</f>
        <v>82.04</v>
      </c>
      <c r="K399" s="8" t="n">
        <f aca="false">ROUND(J399*I399,2)</f>
        <v>99.1</v>
      </c>
      <c r="L399" s="20" t="n">
        <v>99.1</v>
      </c>
      <c r="M399" s="8" t="n">
        <f aca="false">ROUND(K399-L399,2)</f>
        <v>0</v>
      </c>
      <c r="N399" s="7" t="s">
        <v>41</v>
      </c>
    </row>
    <row r="400" customFormat="false" ht="15" hidden="false" customHeight="true" outlineLevel="0" collapsed="false">
      <c r="A400" s="22" t="s">
        <v>167</v>
      </c>
      <c r="B400" s="22" t="s">
        <v>166</v>
      </c>
      <c r="C400" s="22" t="s">
        <v>64</v>
      </c>
      <c r="D400" s="22" t="n">
        <v>14</v>
      </c>
      <c r="E400" s="22" t="s">
        <v>15</v>
      </c>
      <c r="F400" s="19"/>
      <c r="G400" s="19"/>
      <c r="H400" s="22" t="n">
        <v>136.18</v>
      </c>
      <c r="I400" s="22" t="n">
        <v>1.208</v>
      </c>
      <c r="J400" s="8" t="n">
        <f aca="false">IF(F400="",H400,F400/1000*G400)</f>
        <v>136.18</v>
      </c>
      <c r="K400" s="8" t="n">
        <f aca="false">ROUND(J400*I400,2)</f>
        <v>164.51</v>
      </c>
      <c r="L400" s="20" t="n">
        <v>164.51</v>
      </c>
      <c r="M400" s="8" t="n">
        <f aca="false">ROUND(K400-L400,2)</f>
        <v>0</v>
      </c>
      <c r="N400" s="7" t="s">
        <v>194</v>
      </c>
    </row>
    <row r="401" customFormat="false" ht="15" hidden="false" customHeight="true" outlineLevel="0" collapsed="false">
      <c r="A401" s="22" t="s">
        <v>167</v>
      </c>
      <c r="B401" s="22" t="s">
        <v>166</v>
      </c>
      <c r="C401" s="22" t="s">
        <v>64</v>
      </c>
      <c r="D401" s="22" t="n">
        <v>8</v>
      </c>
      <c r="E401" s="22" t="s">
        <v>12</v>
      </c>
      <c r="F401" s="22" t="n">
        <v>390</v>
      </c>
      <c r="G401" s="22" t="n">
        <v>118</v>
      </c>
      <c r="H401" s="19"/>
      <c r="I401" s="22" t="n">
        <v>0.395</v>
      </c>
      <c r="J401" s="8" t="n">
        <f aca="false">IF(F401="",H401,F401/1000*G401)</f>
        <v>46.02</v>
      </c>
      <c r="K401" s="8" t="n">
        <f aca="false">ROUND(J401*I401,2)</f>
        <v>18.18</v>
      </c>
      <c r="L401" s="20" t="n">
        <v>18.18</v>
      </c>
      <c r="M401" s="8" t="n">
        <f aca="false">ROUND(K401-L401,2)</f>
        <v>0</v>
      </c>
      <c r="N401" s="7" t="s">
        <v>38</v>
      </c>
    </row>
    <row r="402" customFormat="false" ht="15" hidden="false" customHeight="true" outlineLevel="0" collapsed="false">
      <c r="A402" s="22" t="s">
        <v>167</v>
      </c>
      <c r="B402" s="22" t="s">
        <v>166</v>
      </c>
      <c r="C402" s="22" t="s">
        <v>64</v>
      </c>
      <c r="D402" s="22" t="n">
        <v>16</v>
      </c>
      <c r="E402" s="22" t="s">
        <v>15</v>
      </c>
      <c r="F402" s="22" t="n">
        <v>1370</v>
      </c>
      <c r="G402" s="22" t="n">
        <v>48</v>
      </c>
      <c r="H402" s="19"/>
      <c r="I402" s="22" t="n">
        <v>1.578</v>
      </c>
      <c r="J402" s="8" t="n">
        <f aca="false">IF(F402="",H402,F402/1000*G402)</f>
        <v>65.76</v>
      </c>
      <c r="K402" s="8" t="n">
        <f aca="false">ROUND(J402*I402,2)</f>
        <v>103.77</v>
      </c>
      <c r="L402" s="20" t="n">
        <v>103.77</v>
      </c>
      <c r="M402" s="8" t="n">
        <f aca="false">ROUND(K402-L402,2)</f>
        <v>0</v>
      </c>
      <c r="N402" s="7" t="s">
        <v>43</v>
      </c>
    </row>
    <row r="403" customFormat="false" ht="15" hidden="false" customHeight="true" outlineLevel="0" collapsed="false">
      <c r="A403" s="22" t="s">
        <v>168</v>
      </c>
      <c r="B403" s="22" t="s">
        <v>166</v>
      </c>
      <c r="C403" s="22" t="s">
        <v>66</v>
      </c>
      <c r="D403" s="22" t="n">
        <v>14</v>
      </c>
      <c r="E403" s="22" t="s">
        <v>15</v>
      </c>
      <c r="F403" s="22" t="n">
        <v>3350</v>
      </c>
      <c r="G403" s="22" t="n">
        <v>10</v>
      </c>
      <c r="H403" s="19"/>
      <c r="I403" s="22" t="n">
        <v>1.208</v>
      </c>
      <c r="J403" s="8" t="n">
        <f aca="false">IF(F403="",H403,F403/1000*G403)</f>
        <v>33.5</v>
      </c>
      <c r="K403" s="8" t="n">
        <f aca="false">ROUND(J403*I403,2)</f>
        <v>40.47</v>
      </c>
      <c r="L403" s="20" t="n">
        <v>40.47</v>
      </c>
      <c r="M403" s="8" t="n">
        <f aca="false">ROUND(K403-L403,2)</f>
        <v>0</v>
      </c>
      <c r="N403" s="7" t="s">
        <v>41</v>
      </c>
    </row>
    <row r="404" customFormat="false" ht="15" hidden="false" customHeight="true" outlineLevel="0" collapsed="false">
      <c r="A404" s="22" t="s">
        <v>168</v>
      </c>
      <c r="B404" s="22" t="s">
        <v>166</v>
      </c>
      <c r="C404" s="22" t="s">
        <v>66</v>
      </c>
      <c r="D404" s="22" t="n">
        <v>14</v>
      </c>
      <c r="E404" s="22" t="s">
        <v>15</v>
      </c>
      <c r="F404" s="22" t="n">
        <v>2930</v>
      </c>
      <c r="G404" s="22" t="n">
        <v>10</v>
      </c>
      <c r="H404" s="19"/>
      <c r="I404" s="22" t="n">
        <v>1.208</v>
      </c>
      <c r="J404" s="8" t="n">
        <f aca="false">IF(F404="",H404,F404/1000*G404)</f>
        <v>29.3</v>
      </c>
      <c r="K404" s="8" t="n">
        <f aca="false">ROUND(J404*I404,2)</f>
        <v>35.39</v>
      </c>
      <c r="L404" s="20" t="n">
        <v>35.39</v>
      </c>
      <c r="M404" s="8" t="n">
        <f aca="false">ROUND(K404-L404,2)</f>
        <v>0</v>
      </c>
      <c r="N404" s="7" t="s">
        <v>41</v>
      </c>
    </row>
    <row r="405" customFormat="false" ht="15" hidden="false" customHeight="true" outlineLevel="0" collapsed="false">
      <c r="A405" s="22" t="s">
        <v>168</v>
      </c>
      <c r="B405" s="22" t="s">
        <v>166</v>
      </c>
      <c r="C405" s="22" t="s">
        <v>66</v>
      </c>
      <c r="D405" s="22" t="n">
        <v>14</v>
      </c>
      <c r="E405" s="22" t="s">
        <v>15</v>
      </c>
      <c r="F405" s="19"/>
      <c r="G405" s="19"/>
      <c r="H405" s="22" t="n">
        <v>68.64</v>
      </c>
      <c r="I405" s="22" t="n">
        <v>1.208</v>
      </c>
      <c r="J405" s="8" t="n">
        <f aca="false">IF(F405="",H405,F405/1000*G405)</f>
        <v>68.64</v>
      </c>
      <c r="K405" s="8" t="n">
        <f aca="false">ROUND(J405*I405,2)</f>
        <v>82.92</v>
      </c>
      <c r="L405" s="20" t="n">
        <v>78.09</v>
      </c>
      <c r="M405" s="8" t="n">
        <f aca="false">ROUND(K405-L405,2)</f>
        <v>4.83</v>
      </c>
      <c r="N405" s="7" t="s">
        <v>194</v>
      </c>
    </row>
    <row r="406" customFormat="false" ht="15" hidden="false" customHeight="true" outlineLevel="0" collapsed="false">
      <c r="A406" s="22" t="s">
        <v>168</v>
      </c>
      <c r="B406" s="22" t="s">
        <v>166</v>
      </c>
      <c r="C406" s="22" t="s">
        <v>66</v>
      </c>
      <c r="D406" s="22" t="n">
        <v>8</v>
      </c>
      <c r="E406" s="22" t="s">
        <v>12</v>
      </c>
      <c r="F406" s="22" t="n">
        <v>390</v>
      </c>
      <c r="G406" s="22" t="n">
        <v>58</v>
      </c>
      <c r="H406" s="19"/>
      <c r="I406" s="22" t="n">
        <v>0.395</v>
      </c>
      <c r="J406" s="8" t="n">
        <f aca="false">IF(F406="",H406,F406/1000*G406)</f>
        <v>22.62</v>
      </c>
      <c r="K406" s="8" t="n">
        <f aca="false">ROUND(J406*I406,2)</f>
        <v>8.93</v>
      </c>
      <c r="L406" s="20" t="n">
        <v>8.93</v>
      </c>
      <c r="M406" s="8" t="n">
        <f aca="false">ROUND(K406-L406,2)</f>
        <v>0</v>
      </c>
      <c r="N406" s="7" t="s">
        <v>38</v>
      </c>
    </row>
    <row r="407" customFormat="false" ht="15" hidden="false" customHeight="true" outlineLevel="0" collapsed="false">
      <c r="A407" s="22" t="s">
        <v>168</v>
      </c>
      <c r="B407" s="22" t="s">
        <v>166</v>
      </c>
      <c r="C407" s="22" t="s">
        <v>66</v>
      </c>
      <c r="D407" s="22" t="n">
        <v>16</v>
      </c>
      <c r="E407" s="22" t="s">
        <v>15</v>
      </c>
      <c r="F407" s="22" t="n">
        <v>1970</v>
      </c>
      <c r="G407" s="22" t="n">
        <v>24</v>
      </c>
      <c r="H407" s="19"/>
      <c r="I407" s="22" t="n">
        <v>1.578</v>
      </c>
      <c r="J407" s="8" t="n">
        <f aca="false">IF(F407="",H407,F407/1000*G407)</f>
        <v>47.28</v>
      </c>
      <c r="K407" s="8" t="n">
        <f aca="false">ROUND(J407*I407,2)</f>
        <v>74.61</v>
      </c>
      <c r="L407" s="20" t="n">
        <v>74.61</v>
      </c>
      <c r="M407" s="8" t="n">
        <f aca="false">ROUND(K407-L407,2)</f>
        <v>0</v>
      </c>
      <c r="N407" s="7" t="s">
        <v>42</v>
      </c>
    </row>
    <row r="408" customFormat="false" ht="15" hidden="false" customHeight="true" outlineLevel="0" collapsed="false">
      <c r="A408" s="22" t="s">
        <v>169</v>
      </c>
      <c r="B408" s="22" t="s">
        <v>166</v>
      </c>
      <c r="C408" s="22" t="s">
        <v>68</v>
      </c>
      <c r="D408" s="22" t="n">
        <v>14</v>
      </c>
      <c r="E408" s="22" t="s">
        <v>15</v>
      </c>
      <c r="F408" s="22" t="n">
        <v>3350</v>
      </c>
      <c r="G408" s="22" t="n">
        <v>10</v>
      </c>
      <c r="H408" s="19"/>
      <c r="I408" s="22" t="n">
        <v>1.208</v>
      </c>
      <c r="J408" s="8" t="n">
        <f aca="false">IF(F408="",H408,F408/1000*G408)</f>
        <v>33.5</v>
      </c>
      <c r="K408" s="8" t="n">
        <f aca="false">ROUND(J408*I408,2)</f>
        <v>40.47</v>
      </c>
      <c r="L408" s="20" t="n">
        <v>40.47</v>
      </c>
      <c r="M408" s="8" t="n">
        <f aca="false">ROUND(K408-L408,2)</f>
        <v>0</v>
      </c>
      <c r="N408" s="7" t="s">
        <v>41</v>
      </c>
    </row>
    <row r="409" customFormat="false" ht="15" hidden="false" customHeight="true" outlineLevel="0" collapsed="false">
      <c r="A409" s="22" t="s">
        <v>169</v>
      </c>
      <c r="B409" s="22" t="s">
        <v>166</v>
      </c>
      <c r="C409" s="22" t="s">
        <v>68</v>
      </c>
      <c r="D409" s="22" t="n">
        <v>14</v>
      </c>
      <c r="E409" s="22" t="s">
        <v>15</v>
      </c>
      <c r="F409" s="22" t="n">
        <v>2930</v>
      </c>
      <c r="G409" s="22" t="n">
        <v>10</v>
      </c>
      <c r="H409" s="19"/>
      <c r="I409" s="22" t="n">
        <v>1.208</v>
      </c>
      <c r="J409" s="8" t="n">
        <f aca="false">IF(F409="",H409,F409/1000*G409)</f>
        <v>29.3</v>
      </c>
      <c r="K409" s="8" t="n">
        <f aca="false">ROUND(J409*I409,2)</f>
        <v>35.39</v>
      </c>
      <c r="L409" s="20" t="n">
        <v>35.39</v>
      </c>
      <c r="M409" s="8" t="n">
        <f aca="false">ROUND(K409-L409,2)</f>
        <v>0</v>
      </c>
      <c r="N409" s="7" t="s">
        <v>41</v>
      </c>
    </row>
    <row r="410" customFormat="false" ht="15" hidden="false" customHeight="true" outlineLevel="0" collapsed="false">
      <c r="A410" s="22" t="s">
        <v>169</v>
      </c>
      <c r="B410" s="22" t="s">
        <v>166</v>
      </c>
      <c r="C410" s="22" t="s">
        <v>68</v>
      </c>
      <c r="D410" s="22" t="n">
        <v>14</v>
      </c>
      <c r="E410" s="22" t="s">
        <v>15</v>
      </c>
      <c r="F410" s="19"/>
      <c r="G410" s="19"/>
      <c r="H410" s="22" t="n">
        <v>68.64</v>
      </c>
      <c r="I410" s="22" t="n">
        <v>1.208</v>
      </c>
      <c r="J410" s="8" t="n">
        <f aca="false">IF(F410="",H410,F410/1000*G410)</f>
        <v>68.64</v>
      </c>
      <c r="K410" s="8" t="n">
        <f aca="false">ROUND(J410*I410,2)</f>
        <v>82.92</v>
      </c>
      <c r="L410" s="20" t="n">
        <v>82.92</v>
      </c>
      <c r="M410" s="8" t="n">
        <f aca="false">ROUND(K410-L410,2)</f>
        <v>0</v>
      </c>
      <c r="N410" s="7" t="s">
        <v>194</v>
      </c>
    </row>
    <row r="411" customFormat="false" ht="15" hidden="false" customHeight="true" outlineLevel="0" collapsed="false">
      <c r="A411" s="22" t="s">
        <v>169</v>
      </c>
      <c r="B411" s="22" t="s">
        <v>166</v>
      </c>
      <c r="C411" s="22" t="s">
        <v>68</v>
      </c>
      <c r="D411" s="22" t="n">
        <v>8</v>
      </c>
      <c r="E411" s="22" t="s">
        <v>12</v>
      </c>
      <c r="F411" s="22" t="n">
        <v>390</v>
      </c>
      <c r="G411" s="22" t="n">
        <v>58</v>
      </c>
      <c r="H411" s="19"/>
      <c r="I411" s="22" t="n">
        <v>0.395</v>
      </c>
      <c r="J411" s="8" t="n">
        <f aca="false">IF(F411="",H411,F411/1000*G411)</f>
        <v>22.62</v>
      </c>
      <c r="K411" s="8" t="n">
        <f aca="false">ROUND(J411*I411,2)</f>
        <v>8.93</v>
      </c>
      <c r="L411" s="20" t="n">
        <v>8.93</v>
      </c>
      <c r="M411" s="8" t="n">
        <f aca="false">ROUND(K411-L411,2)</f>
        <v>0</v>
      </c>
      <c r="N411" s="7" t="s">
        <v>38</v>
      </c>
    </row>
    <row r="412" customFormat="false" ht="15" hidden="false" customHeight="true" outlineLevel="0" collapsed="false">
      <c r="A412" s="22" t="s">
        <v>169</v>
      </c>
      <c r="B412" s="22" t="s">
        <v>166</v>
      </c>
      <c r="C412" s="22" t="s">
        <v>68</v>
      </c>
      <c r="D412" s="22" t="n">
        <v>16</v>
      </c>
      <c r="E412" s="22" t="s">
        <v>15</v>
      </c>
      <c r="F412" s="22" t="n">
        <v>1970</v>
      </c>
      <c r="G412" s="22" t="n">
        <v>24</v>
      </c>
      <c r="H412" s="19"/>
      <c r="I412" s="22" t="n">
        <v>1.578</v>
      </c>
      <c r="J412" s="8" t="n">
        <f aca="false">IF(F412="",H412,F412/1000*G412)</f>
        <v>47.28</v>
      </c>
      <c r="K412" s="8" t="n">
        <f aca="false">ROUND(J412*I412,2)</f>
        <v>74.61</v>
      </c>
      <c r="L412" s="20" t="n">
        <v>74.61</v>
      </c>
      <c r="M412" s="8" t="n">
        <f aca="false">ROUND(K412-L412,2)</f>
        <v>0</v>
      </c>
      <c r="N412" s="7" t="s">
        <v>42</v>
      </c>
    </row>
    <row r="413" customFormat="false" ht="15" hidden="false" customHeight="true" outlineLevel="0" collapsed="false">
      <c r="A413" s="22" t="s">
        <v>170</v>
      </c>
      <c r="B413" s="22" t="s">
        <v>166</v>
      </c>
      <c r="C413" s="22" t="s">
        <v>109</v>
      </c>
      <c r="D413" s="22" t="n">
        <v>14</v>
      </c>
      <c r="E413" s="22" t="s">
        <v>15</v>
      </c>
      <c r="F413" s="22" t="n">
        <v>3350</v>
      </c>
      <c r="G413" s="22" t="n">
        <v>10</v>
      </c>
      <c r="H413" s="19"/>
      <c r="I413" s="22" t="n">
        <v>1.208</v>
      </c>
      <c r="J413" s="8" t="n">
        <f aca="false">IF(F413="",H413,F413/1000*G413)</f>
        <v>33.5</v>
      </c>
      <c r="K413" s="8" t="n">
        <f aca="false">ROUND(J413*I413,2)</f>
        <v>40.47</v>
      </c>
      <c r="L413" s="20" t="n">
        <v>40.47</v>
      </c>
      <c r="M413" s="8" t="n">
        <f aca="false">ROUND(K413-L413,2)</f>
        <v>0</v>
      </c>
      <c r="N413" s="7" t="s">
        <v>41</v>
      </c>
    </row>
    <row r="414" customFormat="false" ht="15" hidden="false" customHeight="true" outlineLevel="0" collapsed="false">
      <c r="A414" s="22" t="s">
        <v>170</v>
      </c>
      <c r="B414" s="22" t="s">
        <v>166</v>
      </c>
      <c r="C414" s="22" t="s">
        <v>109</v>
      </c>
      <c r="D414" s="22" t="n">
        <v>14</v>
      </c>
      <c r="E414" s="22" t="s">
        <v>15</v>
      </c>
      <c r="F414" s="22" t="n">
        <v>2930</v>
      </c>
      <c r="G414" s="22" t="n">
        <v>10</v>
      </c>
      <c r="H414" s="19"/>
      <c r="I414" s="22" t="n">
        <v>1.208</v>
      </c>
      <c r="J414" s="8" t="n">
        <f aca="false">IF(F414="",H414,F414/1000*G414)</f>
        <v>29.3</v>
      </c>
      <c r="K414" s="8" t="n">
        <f aca="false">ROUND(J414*I414,2)</f>
        <v>35.39</v>
      </c>
      <c r="L414" s="20" t="n">
        <v>35.39</v>
      </c>
      <c r="M414" s="8" t="n">
        <f aca="false">ROUND(K414-L414,2)</f>
        <v>0</v>
      </c>
      <c r="N414" s="7" t="s">
        <v>41</v>
      </c>
    </row>
    <row r="415" customFormat="false" ht="15" hidden="false" customHeight="true" outlineLevel="0" collapsed="false">
      <c r="A415" s="22" t="s">
        <v>170</v>
      </c>
      <c r="B415" s="22" t="s">
        <v>166</v>
      </c>
      <c r="C415" s="22" t="s">
        <v>109</v>
      </c>
      <c r="D415" s="22" t="n">
        <v>14</v>
      </c>
      <c r="E415" s="22" t="s">
        <v>15</v>
      </c>
      <c r="F415" s="19"/>
      <c r="G415" s="19"/>
      <c r="H415" s="22" t="n">
        <v>68.64</v>
      </c>
      <c r="I415" s="22" t="n">
        <v>1.208</v>
      </c>
      <c r="J415" s="8" t="n">
        <f aca="false">IF(F415="",H415,F415/1000*G415)</f>
        <v>68.64</v>
      </c>
      <c r="K415" s="8" t="n">
        <f aca="false">ROUND(J415*I415,2)</f>
        <v>82.92</v>
      </c>
      <c r="L415" s="20" t="n">
        <v>82.92</v>
      </c>
      <c r="M415" s="8" t="n">
        <f aca="false">ROUND(K415-L415,2)</f>
        <v>0</v>
      </c>
      <c r="N415" s="7" t="s">
        <v>194</v>
      </c>
    </row>
    <row r="416" customFormat="false" ht="15" hidden="false" customHeight="true" outlineLevel="0" collapsed="false">
      <c r="A416" s="22" t="s">
        <v>170</v>
      </c>
      <c r="B416" s="22" t="s">
        <v>166</v>
      </c>
      <c r="C416" s="22" t="s">
        <v>109</v>
      </c>
      <c r="D416" s="22" t="n">
        <v>8</v>
      </c>
      <c r="E416" s="22" t="s">
        <v>12</v>
      </c>
      <c r="F416" s="22" t="n">
        <v>390</v>
      </c>
      <c r="G416" s="22" t="n">
        <v>58</v>
      </c>
      <c r="H416" s="19"/>
      <c r="I416" s="22" t="n">
        <v>0.395</v>
      </c>
      <c r="J416" s="8" t="n">
        <f aca="false">IF(F416="",H416,F416/1000*G416)</f>
        <v>22.62</v>
      </c>
      <c r="K416" s="8" t="n">
        <f aca="false">ROUND(J416*I416,2)</f>
        <v>8.93</v>
      </c>
      <c r="L416" s="20" t="n">
        <v>8.93</v>
      </c>
      <c r="M416" s="8" t="n">
        <f aca="false">ROUND(K416-L416,2)</f>
        <v>0</v>
      </c>
      <c r="N416" s="7" t="s">
        <v>38</v>
      </c>
    </row>
    <row r="417" customFormat="false" ht="15" hidden="false" customHeight="true" outlineLevel="0" collapsed="false">
      <c r="A417" s="22" t="s">
        <v>170</v>
      </c>
      <c r="B417" s="22" t="s">
        <v>166</v>
      </c>
      <c r="C417" s="22" t="s">
        <v>109</v>
      </c>
      <c r="D417" s="22" t="n">
        <v>16</v>
      </c>
      <c r="E417" s="22" t="s">
        <v>15</v>
      </c>
      <c r="F417" s="22" t="n">
        <v>1970</v>
      </c>
      <c r="G417" s="22" t="n">
        <v>24</v>
      </c>
      <c r="H417" s="19"/>
      <c r="I417" s="22" t="n">
        <v>1.578</v>
      </c>
      <c r="J417" s="8" t="n">
        <f aca="false">IF(F417="",H417,F417/1000*G417)</f>
        <v>47.28</v>
      </c>
      <c r="K417" s="8" t="n">
        <f aca="false">ROUND(J417*I417,2)</f>
        <v>74.61</v>
      </c>
      <c r="L417" s="20" t="n">
        <v>74.61</v>
      </c>
      <c r="M417" s="8" t="n">
        <f aca="false">ROUND(K417-L417,2)</f>
        <v>0</v>
      </c>
      <c r="N417" s="7" t="s">
        <v>42</v>
      </c>
    </row>
    <row r="418" customFormat="false" ht="15" hidden="false" customHeight="true" outlineLevel="0" collapsed="false">
      <c r="A418" s="22" t="s">
        <v>171</v>
      </c>
      <c r="B418" s="22" t="s">
        <v>172</v>
      </c>
      <c r="C418" s="22" t="s">
        <v>62</v>
      </c>
      <c r="D418" s="22" t="n">
        <v>14</v>
      </c>
      <c r="E418" s="22" t="s">
        <v>15</v>
      </c>
      <c r="F418" s="22" t="n">
        <v>3350</v>
      </c>
      <c r="G418" s="22" t="n">
        <v>10</v>
      </c>
      <c r="H418" s="19"/>
      <c r="I418" s="22" t="n">
        <v>1.208</v>
      </c>
      <c r="J418" s="8" t="n">
        <f aca="false">IF(F418="",H418,F418/1000*G418)</f>
        <v>33.5</v>
      </c>
      <c r="K418" s="8" t="n">
        <f aca="false">ROUND(J418*I418,2)</f>
        <v>40.47</v>
      </c>
      <c r="L418" s="20" t="n">
        <v>40.47</v>
      </c>
      <c r="M418" s="8" t="n">
        <f aca="false">ROUND(K418-L418,2)</f>
        <v>0</v>
      </c>
      <c r="N418" s="7" t="s">
        <v>41</v>
      </c>
    </row>
    <row r="419" customFormat="false" ht="15" hidden="false" customHeight="true" outlineLevel="0" collapsed="false">
      <c r="A419" s="22" t="s">
        <v>171</v>
      </c>
      <c r="B419" s="22" t="s">
        <v>172</v>
      </c>
      <c r="C419" s="22" t="s">
        <v>62</v>
      </c>
      <c r="D419" s="22" t="n">
        <v>14</v>
      </c>
      <c r="E419" s="22" t="s">
        <v>15</v>
      </c>
      <c r="F419" s="22" t="n">
        <v>2930</v>
      </c>
      <c r="G419" s="22" t="n">
        <v>10</v>
      </c>
      <c r="H419" s="19"/>
      <c r="I419" s="22" t="n">
        <v>1.208</v>
      </c>
      <c r="J419" s="8" t="n">
        <f aca="false">IF(F419="",H419,F419/1000*G419)</f>
        <v>29.3</v>
      </c>
      <c r="K419" s="8" t="n">
        <f aca="false">ROUND(J419*I419,2)</f>
        <v>35.39</v>
      </c>
      <c r="L419" s="20" t="n">
        <v>35.39</v>
      </c>
      <c r="M419" s="8" t="n">
        <f aca="false">ROUND(K419-L419,2)</f>
        <v>0</v>
      </c>
      <c r="N419" s="7" t="s">
        <v>41</v>
      </c>
    </row>
    <row r="420" customFormat="false" ht="15" hidden="false" customHeight="true" outlineLevel="0" collapsed="false">
      <c r="A420" s="22" t="s">
        <v>171</v>
      </c>
      <c r="B420" s="22" t="s">
        <v>172</v>
      </c>
      <c r="C420" s="22" t="s">
        <v>62</v>
      </c>
      <c r="D420" s="22" t="n">
        <v>14</v>
      </c>
      <c r="E420" s="22" t="s">
        <v>15</v>
      </c>
      <c r="F420" s="22" t="n">
        <v>2480</v>
      </c>
      <c r="G420" s="22" t="n">
        <v>10</v>
      </c>
      <c r="H420" s="19"/>
      <c r="I420" s="22" t="n">
        <v>1.208</v>
      </c>
      <c r="J420" s="8" t="n">
        <f aca="false">IF(F420="",H420,F420/1000*G420)</f>
        <v>24.8</v>
      </c>
      <c r="K420" s="8" t="n">
        <f aca="false">ROUND(J420*I420,2)</f>
        <v>29.96</v>
      </c>
      <c r="L420" s="20" t="n">
        <v>29.96</v>
      </c>
      <c r="M420" s="8" t="n">
        <f aca="false">ROUND(K420-L420,2)</f>
        <v>0</v>
      </c>
      <c r="N420" s="7" t="s">
        <v>41</v>
      </c>
    </row>
    <row r="421" customFormat="false" ht="15" hidden="false" customHeight="true" outlineLevel="0" collapsed="false">
      <c r="A421" s="22" t="s">
        <v>171</v>
      </c>
      <c r="B421" s="22" t="s">
        <v>172</v>
      </c>
      <c r="C421" s="22" t="s">
        <v>62</v>
      </c>
      <c r="D421" s="22" t="n">
        <v>14</v>
      </c>
      <c r="E421" s="22" t="s">
        <v>15</v>
      </c>
      <c r="F421" s="19"/>
      <c r="G421" s="19"/>
      <c r="H421" s="22" t="n">
        <v>65.12</v>
      </c>
      <c r="I421" s="22" t="n">
        <v>1.208</v>
      </c>
      <c r="J421" s="8" t="n">
        <f aca="false">IF(F421="",H421,F421/1000*G421)</f>
        <v>65.12</v>
      </c>
      <c r="K421" s="8" t="n">
        <f aca="false">ROUND(J421*I421,2)</f>
        <v>78.66</v>
      </c>
      <c r="L421" s="20" t="n">
        <v>78.66</v>
      </c>
      <c r="M421" s="8" t="n">
        <f aca="false">ROUND(K421-L421,2)</f>
        <v>0</v>
      </c>
      <c r="N421" s="7" t="s">
        <v>194</v>
      </c>
    </row>
    <row r="422" customFormat="false" ht="15" hidden="false" customHeight="true" outlineLevel="0" collapsed="false">
      <c r="A422" s="22" t="s">
        <v>171</v>
      </c>
      <c r="B422" s="22" t="s">
        <v>172</v>
      </c>
      <c r="C422" s="22" t="s">
        <v>62</v>
      </c>
      <c r="D422" s="22" t="n">
        <v>8</v>
      </c>
      <c r="E422" s="22" t="s">
        <v>12</v>
      </c>
      <c r="F422" s="22" t="n">
        <v>390</v>
      </c>
      <c r="G422" s="22" t="n">
        <v>60</v>
      </c>
      <c r="H422" s="19"/>
      <c r="I422" s="22" t="n">
        <v>0.395</v>
      </c>
      <c r="J422" s="8" t="n">
        <f aca="false">IF(F422="",H422,F422/1000*G422)</f>
        <v>23.4</v>
      </c>
      <c r="K422" s="8" t="n">
        <f aca="false">ROUND(J422*I422,2)</f>
        <v>9.24</v>
      </c>
      <c r="L422" s="20" t="n">
        <v>9.24</v>
      </c>
      <c r="M422" s="8" t="n">
        <f aca="false">ROUND(K422-L422,2)</f>
        <v>0</v>
      </c>
      <c r="N422" s="7" t="s">
        <v>38</v>
      </c>
    </row>
    <row r="423" customFormat="false" ht="15" hidden="false" customHeight="true" outlineLevel="0" collapsed="false">
      <c r="A423" s="22" t="s">
        <v>171</v>
      </c>
      <c r="B423" s="22" t="s">
        <v>172</v>
      </c>
      <c r="C423" s="22" t="s">
        <v>62</v>
      </c>
      <c r="D423" s="22" t="n">
        <v>16</v>
      </c>
      <c r="E423" s="22" t="s">
        <v>15</v>
      </c>
      <c r="F423" s="22" t="n">
        <v>1150</v>
      </c>
      <c r="G423" s="22" t="n">
        <v>22</v>
      </c>
      <c r="H423" s="19"/>
      <c r="I423" s="22" t="n">
        <v>1.578</v>
      </c>
      <c r="J423" s="8" t="n">
        <f aca="false">IF(F423="",H423,F423/1000*G423)</f>
        <v>25.3</v>
      </c>
      <c r="K423" s="8" t="n">
        <f aca="false">ROUND(J423*I423,2)</f>
        <v>39.92</v>
      </c>
      <c r="L423" s="20" t="n">
        <v>39.92</v>
      </c>
      <c r="M423" s="8" t="n">
        <f aca="false">ROUND(K423-L423,2)</f>
        <v>0</v>
      </c>
      <c r="N423" s="7" t="s">
        <v>44</v>
      </c>
    </row>
    <row r="424" customFormat="false" ht="15" hidden="false" customHeight="true" outlineLevel="0" collapsed="false">
      <c r="A424" s="22" t="s">
        <v>173</v>
      </c>
      <c r="B424" s="22" t="s">
        <v>172</v>
      </c>
      <c r="C424" s="22" t="s">
        <v>64</v>
      </c>
      <c r="D424" s="22" t="n">
        <v>14</v>
      </c>
      <c r="E424" s="22" t="s">
        <v>15</v>
      </c>
      <c r="F424" s="22" t="n">
        <v>3350</v>
      </c>
      <c r="G424" s="22" t="n">
        <v>11</v>
      </c>
      <c r="H424" s="19"/>
      <c r="I424" s="22" t="n">
        <v>1.208</v>
      </c>
      <c r="J424" s="8" t="n">
        <f aca="false">IF(F424="",H424,F424/1000*G424)</f>
        <v>36.85</v>
      </c>
      <c r="K424" s="8" t="n">
        <f aca="false">ROUND(J424*I424,2)</f>
        <v>44.51</v>
      </c>
      <c r="L424" s="20" t="n">
        <v>44.51</v>
      </c>
      <c r="M424" s="8" t="n">
        <f aca="false">ROUND(K424-L424,2)</f>
        <v>0</v>
      </c>
      <c r="N424" s="7" t="s">
        <v>41</v>
      </c>
    </row>
    <row r="425" customFormat="false" ht="15" hidden="false" customHeight="true" outlineLevel="0" collapsed="false">
      <c r="A425" s="22" t="s">
        <v>173</v>
      </c>
      <c r="B425" s="22" t="s">
        <v>172</v>
      </c>
      <c r="C425" s="22" t="s">
        <v>64</v>
      </c>
      <c r="D425" s="22" t="n">
        <v>14</v>
      </c>
      <c r="E425" s="22" t="s">
        <v>15</v>
      </c>
      <c r="F425" s="22" t="n">
        <v>2930</v>
      </c>
      <c r="G425" s="22" t="n">
        <v>11</v>
      </c>
      <c r="H425" s="19"/>
      <c r="I425" s="22" t="n">
        <v>1.208</v>
      </c>
      <c r="J425" s="8" t="n">
        <f aca="false">IF(F425="",H425,F425/1000*G425)</f>
        <v>32.23</v>
      </c>
      <c r="K425" s="8" t="n">
        <f aca="false">ROUND(J425*I425,2)</f>
        <v>38.93</v>
      </c>
      <c r="L425" s="20" t="n">
        <v>38.93</v>
      </c>
      <c r="M425" s="8" t="n">
        <f aca="false">ROUND(K425-L425,2)</f>
        <v>0</v>
      </c>
      <c r="N425" s="7" t="s">
        <v>41</v>
      </c>
    </row>
    <row r="426" customFormat="false" ht="15" hidden="false" customHeight="true" outlineLevel="0" collapsed="false">
      <c r="A426" s="22" t="s">
        <v>173</v>
      </c>
      <c r="B426" s="22" t="s">
        <v>172</v>
      </c>
      <c r="C426" s="22" t="s">
        <v>64</v>
      </c>
      <c r="D426" s="22" t="n">
        <v>14</v>
      </c>
      <c r="E426" s="22" t="s">
        <v>15</v>
      </c>
      <c r="F426" s="19"/>
      <c r="G426" s="19"/>
      <c r="H426" s="22" t="n">
        <v>60.72</v>
      </c>
      <c r="I426" s="22" t="n">
        <v>1.208</v>
      </c>
      <c r="J426" s="8" t="n">
        <f aca="false">IF(F426="",H426,F426/1000*G426)</f>
        <v>60.72</v>
      </c>
      <c r="K426" s="8" t="n">
        <f aca="false">ROUND(J426*I426,2)</f>
        <v>73.35</v>
      </c>
      <c r="L426" s="20" t="n">
        <v>73.35</v>
      </c>
      <c r="M426" s="8" t="n">
        <f aca="false">ROUND(K426-L426,2)</f>
        <v>0</v>
      </c>
      <c r="N426" s="7" t="s">
        <v>194</v>
      </c>
    </row>
    <row r="427" customFormat="false" ht="15" hidden="false" customHeight="true" outlineLevel="0" collapsed="false">
      <c r="A427" s="22" t="s">
        <v>173</v>
      </c>
      <c r="B427" s="22" t="s">
        <v>172</v>
      </c>
      <c r="C427" s="22" t="s">
        <v>64</v>
      </c>
      <c r="D427" s="22" t="n">
        <v>8</v>
      </c>
      <c r="E427" s="22" t="s">
        <v>12</v>
      </c>
      <c r="F427" s="22" t="n">
        <v>390</v>
      </c>
      <c r="G427" s="22" t="n">
        <v>56</v>
      </c>
      <c r="H427" s="19"/>
      <c r="I427" s="22" t="n">
        <v>0.395</v>
      </c>
      <c r="J427" s="8" t="n">
        <f aca="false">IF(F427="",H427,F427/1000*G427)</f>
        <v>21.84</v>
      </c>
      <c r="K427" s="8" t="n">
        <f aca="false">ROUND(J427*I427,2)</f>
        <v>8.63</v>
      </c>
      <c r="L427" s="20" t="n">
        <v>8.63</v>
      </c>
      <c r="M427" s="8" t="n">
        <f aca="false">ROUND(K427-L427,2)</f>
        <v>0</v>
      </c>
      <c r="N427" s="7" t="s">
        <v>38</v>
      </c>
    </row>
    <row r="428" customFormat="false" ht="15" hidden="false" customHeight="true" outlineLevel="0" collapsed="false">
      <c r="A428" s="22" t="s">
        <v>174</v>
      </c>
      <c r="B428" s="22" t="s">
        <v>172</v>
      </c>
      <c r="C428" s="22" t="s">
        <v>66</v>
      </c>
      <c r="D428" s="22" t="n">
        <v>14</v>
      </c>
      <c r="E428" s="22" t="s">
        <v>15</v>
      </c>
      <c r="F428" s="22" t="n">
        <v>3350</v>
      </c>
      <c r="G428" s="22" t="n">
        <v>11</v>
      </c>
      <c r="H428" s="19"/>
      <c r="I428" s="22" t="n">
        <v>1.208</v>
      </c>
      <c r="J428" s="8" t="n">
        <f aca="false">IF(F428="",H428,F428/1000*G428)</f>
        <v>36.85</v>
      </c>
      <c r="K428" s="8" t="n">
        <f aca="false">ROUND(J428*I428,2)</f>
        <v>44.51</v>
      </c>
      <c r="L428" s="20" t="n">
        <v>44.51</v>
      </c>
      <c r="M428" s="8" t="n">
        <f aca="false">ROUND(K428-L428,2)</f>
        <v>0</v>
      </c>
      <c r="N428" s="7" t="s">
        <v>41</v>
      </c>
    </row>
    <row r="429" customFormat="false" ht="15" hidden="false" customHeight="true" outlineLevel="0" collapsed="false">
      <c r="A429" s="22" t="s">
        <v>174</v>
      </c>
      <c r="B429" s="22" t="s">
        <v>172</v>
      </c>
      <c r="C429" s="22" t="s">
        <v>66</v>
      </c>
      <c r="D429" s="22" t="n">
        <v>14</v>
      </c>
      <c r="E429" s="22" t="s">
        <v>15</v>
      </c>
      <c r="F429" s="22" t="n">
        <v>2930</v>
      </c>
      <c r="G429" s="22" t="n">
        <v>11</v>
      </c>
      <c r="H429" s="19"/>
      <c r="I429" s="22" t="n">
        <v>1.208</v>
      </c>
      <c r="J429" s="8" t="n">
        <f aca="false">IF(F429="",H429,F429/1000*G429)</f>
        <v>32.23</v>
      </c>
      <c r="K429" s="8" t="n">
        <f aca="false">ROUND(J429*I429,2)</f>
        <v>38.93</v>
      </c>
      <c r="L429" s="20" t="n">
        <v>38.93</v>
      </c>
      <c r="M429" s="8" t="n">
        <f aca="false">ROUND(K429-L429,2)</f>
        <v>0</v>
      </c>
      <c r="N429" s="7" t="s">
        <v>41</v>
      </c>
    </row>
    <row r="430" customFormat="false" ht="15" hidden="false" customHeight="true" outlineLevel="0" collapsed="false">
      <c r="A430" s="22" t="s">
        <v>174</v>
      </c>
      <c r="B430" s="22" t="s">
        <v>172</v>
      </c>
      <c r="C430" s="22" t="s">
        <v>66</v>
      </c>
      <c r="D430" s="22" t="n">
        <v>14</v>
      </c>
      <c r="E430" s="22" t="s">
        <v>15</v>
      </c>
      <c r="F430" s="19"/>
      <c r="G430" s="19"/>
      <c r="H430" s="22" t="n">
        <v>60.72</v>
      </c>
      <c r="I430" s="22" t="n">
        <v>1.208</v>
      </c>
      <c r="J430" s="8" t="n">
        <f aca="false">IF(F430="",H430,F430/1000*G430)</f>
        <v>60.72</v>
      </c>
      <c r="K430" s="8" t="n">
        <f aca="false">ROUND(J430*I430,2)</f>
        <v>73.35</v>
      </c>
      <c r="L430" s="20" t="n">
        <v>73.35</v>
      </c>
      <c r="M430" s="8" t="n">
        <f aca="false">ROUND(K430-L430,2)</f>
        <v>0</v>
      </c>
      <c r="N430" s="7" t="s">
        <v>194</v>
      </c>
    </row>
    <row r="431" customFormat="false" ht="15" hidden="false" customHeight="true" outlineLevel="0" collapsed="false">
      <c r="A431" s="22" t="s">
        <v>174</v>
      </c>
      <c r="B431" s="22" t="s">
        <v>172</v>
      </c>
      <c r="C431" s="22" t="s">
        <v>66</v>
      </c>
      <c r="D431" s="22" t="n">
        <v>8</v>
      </c>
      <c r="E431" s="22" t="s">
        <v>12</v>
      </c>
      <c r="F431" s="22" t="n">
        <v>390</v>
      </c>
      <c r="G431" s="22" t="n">
        <v>56</v>
      </c>
      <c r="H431" s="19"/>
      <c r="I431" s="22" t="n">
        <v>0.395</v>
      </c>
      <c r="J431" s="8" t="n">
        <f aca="false">IF(F431="",H431,F431/1000*G431)</f>
        <v>21.84</v>
      </c>
      <c r="K431" s="8" t="n">
        <f aca="false">ROUND(J431*I431,2)</f>
        <v>8.63</v>
      </c>
      <c r="L431" s="20" t="n">
        <v>8.63</v>
      </c>
      <c r="M431" s="8" t="n">
        <f aca="false">ROUND(K431-L431,2)</f>
        <v>0</v>
      </c>
      <c r="N431" s="7" t="s">
        <v>38</v>
      </c>
    </row>
    <row r="432" customFormat="false" ht="15" hidden="false" customHeight="true" outlineLevel="0" collapsed="false">
      <c r="A432" s="22" t="s">
        <v>175</v>
      </c>
      <c r="B432" s="22" t="s">
        <v>172</v>
      </c>
      <c r="C432" s="22" t="s">
        <v>68</v>
      </c>
      <c r="D432" s="22" t="n">
        <v>14</v>
      </c>
      <c r="E432" s="22" t="s">
        <v>15</v>
      </c>
      <c r="F432" s="22" t="n">
        <v>3350</v>
      </c>
      <c r="G432" s="22" t="n">
        <v>15</v>
      </c>
      <c r="H432" s="19"/>
      <c r="I432" s="22" t="n">
        <v>1.208</v>
      </c>
      <c r="J432" s="8" t="n">
        <f aca="false">IF(F432="",H432,F432/1000*G432)</f>
        <v>50.25</v>
      </c>
      <c r="K432" s="8" t="n">
        <f aca="false">ROUND(J432*I432,2)</f>
        <v>60.7</v>
      </c>
      <c r="L432" s="20" t="n">
        <v>60.7</v>
      </c>
      <c r="M432" s="8" t="n">
        <f aca="false">ROUND(K432-L432,2)</f>
        <v>0</v>
      </c>
      <c r="N432" s="7" t="s">
        <v>41</v>
      </c>
    </row>
    <row r="433" customFormat="false" ht="15" hidden="false" customHeight="true" outlineLevel="0" collapsed="false">
      <c r="A433" s="22" t="s">
        <v>175</v>
      </c>
      <c r="B433" s="22" t="s">
        <v>172</v>
      </c>
      <c r="C433" s="22" t="s">
        <v>68</v>
      </c>
      <c r="D433" s="22" t="n">
        <v>14</v>
      </c>
      <c r="E433" s="22" t="s">
        <v>15</v>
      </c>
      <c r="F433" s="22" t="n">
        <v>2930</v>
      </c>
      <c r="G433" s="22" t="n">
        <v>15</v>
      </c>
      <c r="H433" s="19"/>
      <c r="I433" s="22" t="n">
        <v>1.208</v>
      </c>
      <c r="J433" s="8" t="n">
        <f aca="false">IF(F433="",H433,F433/1000*G433)</f>
        <v>43.95</v>
      </c>
      <c r="K433" s="8" t="n">
        <f aca="false">ROUND(J433*I433,2)</f>
        <v>53.09</v>
      </c>
      <c r="L433" s="20" t="n">
        <v>53.09</v>
      </c>
      <c r="M433" s="8" t="n">
        <f aca="false">ROUND(K433-L433,2)</f>
        <v>0</v>
      </c>
      <c r="N433" s="7" t="s">
        <v>41</v>
      </c>
    </row>
    <row r="434" customFormat="false" ht="15" hidden="false" customHeight="true" outlineLevel="0" collapsed="false">
      <c r="A434" s="22" t="s">
        <v>175</v>
      </c>
      <c r="B434" s="22" t="s">
        <v>172</v>
      </c>
      <c r="C434" s="22" t="s">
        <v>68</v>
      </c>
      <c r="D434" s="22" t="n">
        <v>14</v>
      </c>
      <c r="E434" s="22" t="s">
        <v>15</v>
      </c>
      <c r="F434" s="19"/>
      <c r="G434" s="19"/>
      <c r="H434" s="22" t="n">
        <v>65.12</v>
      </c>
      <c r="I434" s="22" t="n">
        <v>1.208</v>
      </c>
      <c r="J434" s="8" t="n">
        <f aca="false">IF(F434="",H434,F434/1000*G434)</f>
        <v>65.12</v>
      </c>
      <c r="K434" s="8" t="n">
        <f aca="false">ROUND(J434*I434,2)</f>
        <v>78.66</v>
      </c>
      <c r="L434" s="20" t="n">
        <v>78.66</v>
      </c>
      <c r="M434" s="8" t="n">
        <f aca="false">ROUND(K434-L434,2)</f>
        <v>0</v>
      </c>
      <c r="N434" s="7" t="s">
        <v>194</v>
      </c>
    </row>
    <row r="435" customFormat="false" ht="15" hidden="false" customHeight="true" outlineLevel="0" collapsed="false">
      <c r="A435" s="22" t="s">
        <v>175</v>
      </c>
      <c r="B435" s="22" t="s">
        <v>172</v>
      </c>
      <c r="C435" s="22" t="s">
        <v>68</v>
      </c>
      <c r="D435" s="22" t="n">
        <v>8</v>
      </c>
      <c r="E435" s="22" t="s">
        <v>12</v>
      </c>
      <c r="F435" s="22" t="n">
        <v>390</v>
      </c>
      <c r="G435" s="22" t="n">
        <v>60</v>
      </c>
      <c r="H435" s="19"/>
      <c r="I435" s="22" t="n">
        <v>0.395</v>
      </c>
      <c r="J435" s="8" t="n">
        <f aca="false">IF(F435="",H435,F435/1000*G435)</f>
        <v>23.4</v>
      </c>
      <c r="K435" s="8" t="n">
        <f aca="false">ROUND(J435*I435,2)</f>
        <v>9.24</v>
      </c>
      <c r="L435" s="20" t="n">
        <v>9.24</v>
      </c>
      <c r="M435" s="8" t="n">
        <f aca="false">ROUND(K435-L435,2)</f>
        <v>0</v>
      </c>
      <c r="N435" s="7" t="s">
        <v>38</v>
      </c>
    </row>
    <row r="436" customFormat="false" ht="15" hidden="false" customHeight="true" outlineLevel="0" collapsed="false">
      <c r="A436" s="22" t="s">
        <v>175</v>
      </c>
      <c r="B436" s="22" t="s">
        <v>172</v>
      </c>
      <c r="C436" s="22" t="s">
        <v>68</v>
      </c>
      <c r="D436" s="22" t="n">
        <v>16</v>
      </c>
      <c r="E436" s="22" t="s">
        <v>15</v>
      </c>
      <c r="F436" s="22" t="n">
        <v>1370</v>
      </c>
      <c r="G436" s="22" t="n">
        <v>22</v>
      </c>
      <c r="H436" s="19"/>
      <c r="I436" s="22" t="n">
        <v>1.578</v>
      </c>
      <c r="J436" s="8" t="n">
        <f aca="false">IF(F436="",H436,F436/1000*G436)</f>
        <v>30.14</v>
      </c>
      <c r="K436" s="8" t="n">
        <f aca="false">ROUND(J436*I436,2)</f>
        <v>47.56</v>
      </c>
      <c r="L436" s="20" t="n">
        <v>47.56</v>
      </c>
      <c r="M436" s="8" t="n">
        <f aca="false">ROUND(K436-L436,2)</f>
        <v>0</v>
      </c>
      <c r="N436" s="7" t="s">
        <v>43</v>
      </c>
    </row>
    <row r="437" customFormat="false" ht="15" hidden="false" customHeight="true" outlineLevel="0" collapsed="false">
      <c r="A437" s="22" t="s">
        <v>176</v>
      </c>
      <c r="B437" s="22" t="s">
        <v>177</v>
      </c>
      <c r="C437" s="22" t="s">
        <v>62</v>
      </c>
      <c r="D437" s="22" t="n">
        <v>14</v>
      </c>
      <c r="E437" s="22" t="s">
        <v>15</v>
      </c>
      <c r="F437" s="22" t="n">
        <v>3350</v>
      </c>
      <c r="G437" s="22" t="n">
        <v>5</v>
      </c>
      <c r="H437" s="19"/>
      <c r="I437" s="22" t="n">
        <v>1.208</v>
      </c>
      <c r="J437" s="8" t="n">
        <f aca="false">IF(F437="",H437,F437/1000*G437)</f>
        <v>16.75</v>
      </c>
      <c r="K437" s="8" t="n">
        <f aca="false">ROUND(J437*I437,2)</f>
        <v>20.23</v>
      </c>
      <c r="L437" s="20" t="n">
        <v>20.23</v>
      </c>
      <c r="M437" s="8" t="n">
        <f aca="false">ROUND(K437-L437,2)</f>
        <v>0</v>
      </c>
      <c r="N437" s="7" t="s">
        <v>41</v>
      </c>
    </row>
    <row r="438" customFormat="false" ht="15" hidden="false" customHeight="true" outlineLevel="0" collapsed="false">
      <c r="A438" s="22" t="s">
        <v>176</v>
      </c>
      <c r="B438" s="22" t="s">
        <v>177</v>
      </c>
      <c r="C438" s="22" t="s">
        <v>62</v>
      </c>
      <c r="D438" s="22" t="n">
        <v>14</v>
      </c>
      <c r="E438" s="22" t="s">
        <v>15</v>
      </c>
      <c r="F438" s="22" t="n">
        <v>2930</v>
      </c>
      <c r="G438" s="22" t="n">
        <v>5</v>
      </c>
      <c r="H438" s="19"/>
      <c r="I438" s="22" t="n">
        <v>1.208</v>
      </c>
      <c r="J438" s="8" t="n">
        <f aca="false">IF(F438="",H438,F438/1000*G438)</f>
        <v>14.65</v>
      </c>
      <c r="K438" s="8" t="n">
        <f aca="false">ROUND(J438*I438,2)</f>
        <v>17.7</v>
      </c>
      <c r="L438" s="20" t="n">
        <v>17.7</v>
      </c>
      <c r="M438" s="8" t="n">
        <f aca="false">ROUND(K438-L438,2)</f>
        <v>0</v>
      </c>
      <c r="N438" s="7" t="s">
        <v>41</v>
      </c>
    </row>
    <row r="439" customFormat="false" ht="15" hidden="false" customHeight="true" outlineLevel="0" collapsed="false">
      <c r="A439" s="22" t="s">
        <v>176</v>
      </c>
      <c r="B439" s="22" t="s">
        <v>177</v>
      </c>
      <c r="C439" s="22" t="s">
        <v>62</v>
      </c>
      <c r="D439" s="22" t="n">
        <v>14</v>
      </c>
      <c r="E439" s="22" t="s">
        <v>15</v>
      </c>
      <c r="F439" s="22" t="n">
        <v>2480</v>
      </c>
      <c r="G439" s="22" t="n">
        <v>8</v>
      </c>
      <c r="H439" s="19"/>
      <c r="I439" s="22" t="n">
        <v>1.208</v>
      </c>
      <c r="J439" s="8" t="n">
        <f aca="false">IF(F439="",H439,F439/1000*G439)</f>
        <v>19.84</v>
      </c>
      <c r="K439" s="8" t="n">
        <f aca="false">ROUND(J439*I439,2)</f>
        <v>23.97</v>
      </c>
      <c r="L439" s="20" t="n">
        <v>23.97</v>
      </c>
      <c r="M439" s="8" t="n">
        <f aca="false">ROUND(K439-L439,2)</f>
        <v>0</v>
      </c>
      <c r="N439" s="7" t="s">
        <v>41</v>
      </c>
    </row>
    <row r="440" customFormat="false" ht="15" hidden="false" customHeight="true" outlineLevel="0" collapsed="false">
      <c r="A440" s="22" t="s">
        <v>176</v>
      </c>
      <c r="B440" s="22" t="s">
        <v>177</v>
      </c>
      <c r="C440" s="22" t="s">
        <v>62</v>
      </c>
      <c r="D440" s="22" t="n">
        <v>14</v>
      </c>
      <c r="E440" s="22" t="s">
        <v>15</v>
      </c>
      <c r="F440" s="19"/>
      <c r="G440" s="19"/>
      <c r="H440" s="22" t="n">
        <v>57.12</v>
      </c>
      <c r="I440" s="22" t="n">
        <v>1.208</v>
      </c>
      <c r="J440" s="8" t="n">
        <f aca="false">IF(F440="",H440,F440/1000*G440)</f>
        <v>57.12</v>
      </c>
      <c r="K440" s="8" t="n">
        <f aca="false">ROUND(J440*I440,2)</f>
        <v>69</v>
      </c>
      <c r="L440" s="20" t="n">
        <v>69</v>
      </c>
      <c r="M440" s="8" t="n">
        <f aca="false">ROUND(K440-L440,2)</f>
        <v>0</v>
      </c>
      <c r="N440" s="7" t="s">
        <v>194</v>
      </c>
    </row>
    <row r="441" customFormat="false" ht="15" hidden="false" customHeight="true" outlineLevel="0" collapsed="false">
      <c r="A441" s="22" t="s">
        <v>176</v>
      </c>
      <c r="B441" s="22" t="s">
        <v>177</v>
      </c>
      <c r="C441" s="22" t="s">
        <v>62</v>
      </c>
      <c r="D441" s="22" t="n">
        <v>8</v>
      </c>
      <c r="E441" s="22" t="s">
        <v>12</v>
      </c>
      <c r="F441" s="22" t="n">
        <v>390</v>
      </c>
      <c r="G441" s="22" t="n">
        <v>40</v>
      </c>
      <c r="H441" s="19"/>
      <c r="I441" s="22" t="n">
        <v>0.395</v>
      </c>
      <c r="J441" s="8" t="n">
        <f aca="false">IF(F441="",H441,F441/1000*G441)</f>
        <v>15.6</v>
      </c>
      <c r="K441" s="8" t="n">
        <f aca="false">ROUND(J441*I441,2)</f>
        <v>6.16</v>
      </c>
      <c r="L441" s="20" t="n">
        <v>6.16</v>
      </c>
      <c r="M441" s="8" t="n">
        <f aca="false">ROUND(K441-L441,2)</f>
        <v>0</v>
      </c>
      <c r="N441" s="7" t="s">
        <v>38</v>
      </c>
    </row>
    <row r="442" customFormat="false" ht="15" hidden="false" customHeight="true" outlineLevel="0" collapsed="false">
      <c r="A442" s="22" t="s">
        <v>178</v>
      </c>
      <c r="B442" s="22" t="s">
        <v>177</v>
      </c>
      <c r="C442" s="22" t="s">
        <v>64</v>
      </c>
      <c r="D442" s="22" t="n">
        <v>14</v>
      </c>
      <c r="E442" s="22" t="s">
        <v>15</v>
      </c>
      <c r="F442" s="22" t="n">
        <v>3350</v>
      </c>
      <c r="G442" s="22" t="n">
        <v>9</v>
      </c>
      <c r="H442" s="19"/>
      <c r="I442" s="22" t="n">
        <v>1.208</v>
      </c>
      <c r="J442" s="8" t="n">
        <f aca="false">IF(F442="",H442,F442/1000*G442)</f>
        <v>30.15</v>
      </c>
      <c r="K442" s="8" t="n">
        <f aca="false">ROUND(J442*I442,2)</f>
        <v>36.42</v>
      </c>
      <c r="L442" s="20" t="n">
        <v>36.42</v>
      </c>
      <c r="M442" s="8" t="n">
        <f aca="false">ROUND(K442-L442,2)</f>
        <v>0</v>
      </c>
      <c r="N442" s="7" t="s">
        <v>41</v>
      </c>
    </row>
    <row r="443" customFormat="false" ht="15" hidden="false" customHeight="true" outlineLevel="0" collapsed="false">
      <c r="A443" s="22" t="s">
        <v>178</v>
      </c>
      <c r="B443" s="22" t="s">
        <v>177</v>
      </c>
      <c r="C443" s="22" t="s">
        <v>64</v>
      </c>
      <c r="D443" s="22" t="n">
        <v>14</v>
      </c>
      <c r="E443" s="22" t="s">
        <v>15</v>
      </c>
      <c r="F443" s="22" t="n">
        <v>2930</v>
      </c>
      <c r="G443" s="22" t="n">
        <v>9</v>
      </c>
      <c r="H443" s="19"/>
      <c r="I443" s="22" t="n">
        <v>1.208</v>
      </c>
      <c r="J443" s="8" t="n">
        <f aca="false">IF(F443="",H443,F443/1000*G443)</f>
        <v>26.37</v>
      </c>
      <c r="K443" s="8" t="n">
        <f aca="false">ROUND(J443*I443,2)</f>
        <v>31.85</v>
      </c>
      <c r="L443" s="20" t="n">
        <v>31.85</v>
      </c>
      <c r="M443" s="8" t="n">
        <f aca="false">ROUND(K443-L443,2)</f>
        <v>0</v>
      </c>
      <c r="N443" s="7" t="s">
        <v>41</v>
      </c>
    </row>
    <row r="444" customFormat="false" ht="15" hidden="false" customHeight="true" outlineLevel="0" collapsed="false">
      <c r="A444" s="22" t="s">
        <v>178</v>
      </c>
      <c r="B444" s="22" t="s">
        <v>177</v>
      </c>
      <c r="C444" s="22" t="s">
        <v>64</v>
      </c>
      <c r="D444" s="22" t="n">
        <v>14</v>
      </c>
      <c r="E444" s="22" t="s">
        <v>15</v>
      </c>
      <c r="F444" s="19"/>
      <c r="G444" s="19"/>
      <c r="H444" s="22" t="n">
        <v>57.12</v>
      </c>
      <c r="I444" s="22" t="n">
        <v>1.208</v>
      </c>
      <c r="J444" s="8" t="n">
        <f aca="false">IF(F444="",H444,F444/1000*G444)</f>
        <v>57.12</v>
      </c>
      <c r="K444" s="8" t="n">
        <f aca="false">ROUND(J444*I444,2)</f>
        <v>69</v>
      </c>
      <c r="L444" s="20" t="n">
        <v>69</v>
      </c>
      <c r="M444" s="8" t="n">
        <f aca="false">ROUND(K444-L444,2)</f>
        <v>0</v>
      </c>
      <c r="N444" s="7" t="s">
        <v>194</v>
      </c>
    </row>
    <row r="445" customFormat="false" ht="15" hidden="false" customHeight="true" outlineLevel="0" collapsed="false">
      <c r="A445" s="22" t="s">
        <v>178</v>
      </c>
      <c r="B445" s="22" t="s">
        <v>177</v>
      </c>
      <c r="C445" s="22" t="s">
        <v>64</v>
      </c>
      <c r="D445" s="22" t="n">
        <v>8</v>
      </c>
      <c r="E445" s="22" t="s">
        <v>12</v>
      </c>
      <c r="F445" s="22" t="n">
        <v>630</v>
      </c>
      <c r="G445" s="22" t="n">
        <v>40</v>
      </c>
      <c r="H445" s="19"/>
      <c r="I445" s="22" t="n">
        <v>0.395</v>
      </c>
      <c r="J445" s="8" t="n">
        <f aca="false">IF(F445="",H445,F445/1000*G445)</f>
        <v>25.2</v>
      </c>
      <c r="K445" s="8" t="n">
        <f aca="false">ROUND(J445*I445,2)</f>
        <v>9.95</v>
      </c>
      <c r="L445" s="20" t="n">
        <v>9.95</v>
      </c>
      <c r="M445" s="8" t="n">
        <f aca="false">ROUND(K445-L445,2)</f>
        <v>0</v>
      </c>
      <c r="N445" s="7" t="s">
        <v>37</v>
      </c>
    </row>
    <row r="446" customFormat="false" ht="15" hidden="false" customHeight="true" outlineLevel="0" collapsed="false">
      <c r="A446" s="22" t="s">
        <v>179</v>
      </c>
      <c r="B446" s="22" t="s">
        <v>177</v>
      </c>
      <c r="C446" s="22" t="s">
        <v>66</v>
      </c>
      <c r="D446" s="22" t="n">
        <v>14</v>
      </c>
      <c r="E446" s="22" t="s">
        <v>15</v>
      </c>
      <c r="F446" s="22" t="n">
        <v>3350</v>
      </c>
      <c r="G446" s="22" t="n">
        <v>13</v>
      </c>
      <c r="H446" s="19"/>
      <c r="I446" s="22" t="n">
        <v>1.208</v>
      </c>
      <c r="J446" s="8" t="n">
        <f aca="false">IF(F446="",H446,F446/1000*G446)</f>
        <v>43.55</v>
      </c>
      <c r="K446" s="8" t="n">
        <f aca="false">ROUND(J446*I446,2)</f>
        <v>52.61</v>
      </c>
      <c r="L446" s="20" t="n">
        <v>52.61</v>
      </c>
      <c r="M446" s="8" t="n">
        <f aca="false">ROUND(K446-L446,2)</f>
        <v>0</v>
      </c>
      <c r="N446" s="7" t="s">
        <v>41</v>
      </c>
    </row>
    <row r="447" customFormat="false" ht="15" hidden="false" customHeight="true" outlineLevel="0" collapsed="false">
      <c r="A447" s="22" t="s">
        <v>179</v>
      </c>
      <c r="B447" s="22" t="s">
        <v>177</v>
      </c>
      <c r="C447" s="22" t="s">
        <v>66</v>
      </c>
      <c r="D447" s="22" t="n">
        <v>14</v>
      </c>
      <c r="E447" s="22" t="s">
        <v>15</v>
      </c>
      <c r="F447" s="22" t="n">
        <v>2930</v>
      </c>
      <c r="G447" s="22" t="n">
        <v>13</v>
      </c>
      <c r="H447" s="19"/>
      <c r="I447" s="22" t="n">
        <v>1.208</v>
      </c>
      <c r="J447" s="8" t="n">
        <f aca="false">IF(F447="",H447,F447/1000*G447)</f>
        <v>38.09</v>
      </c>
      <c r="K447" s="8" t="n">
        <f aca="false">ROUND(J447*I447,2)</f>
        <v>46.01</v>
      </c>
      <c r="L447" s="20" t="n">
        <v>46.01</v>
      </c>
      <c r="M447" s="8" t="n">
        <f aca="false">ROUND(K447-L447,2)</f>
        <v>0</v>
      </c>
      <c r="N447" s="7" t="s">
        <v>41</v>
      </c>
    </row>
    <row r="448" customFormat="false" ht="15" hidden="false" customHeight="true" outlineLevel="0" collapsed="false">
      <c r="A448" s="22" t="s">
        <v>179</v>
      </c>
      <c r="B448" s="22" t="s">
        <v>177</v>
      </c>
      <c r="C448" s="22" t="s">
        <v>66</v>
      </c>
      <c r="D448" s="22" t="n">
        <v>14</v>
      </c>
      <c r="E448" s="22" t="s">
        <v>15</v>
      </c>
      <c r="F448" s="19"/>
      <c r="G448" s="19"/>
      <c r="H448" s="22" t="n">
        <v>66.24</v>
      </c>
      <c r="I448" s="22" t="n">
        <v>1.208</v>
      </c>
      <c r="J448" s="8" t="n">
        <f aca="false">IF(F448="",H448,F448/1000*G448)</f>
        <v>66.24</v>
      </c>
      <c r="K448" s="8" t="n">
        <f aca="false">ROUND(J448*I448,2)</f>
        <v>80.02</v>
      </c>
      <c r="L448" s="20" t="n">
        <v>80.02</v>
      </c>
      <c r="M448" s="8" t="n">
        <f aca="false">ROUND(K448-L448,2)</f>
        <v>0</v>
      </c>
      <c r="N448" s="7" t="s">
        <v>194</v>
      </c>
    </row>
    <row r="449" customFormat="false" ht="15" hidden="false" customHeight="true" outlineLevel="0" collapsed="false">
      <c r="A449" s="22" t="s">
        <v>179</v>
      </c>
      <c r="B449" s="22" t="s">
        <v>177</v>
      </c>
      <c r="C449" s="22" t="s">
        <v>66</v>
      </c>
      <c r="D449" s="22" t="n">
        <v>8</v>
      </c>
      <c r="E449" s="22" t="s">
        <v>12</v>
      </c>
      <c r="F449" s="22" t="n">
        <v>390</v>
      </c>
      <c r="G449" s="22" t="n">
        <v>56</v>
      </c>
      <c r="H449" s="19"/>
      <c r="I449" s="22" t="n">
        <v>0.395</v>
      </c>
      <c r="J449" s="8" t="n">
        <f aca="false">IF(F449="",H449,F449/1000*G449)</f>
        <v>21.84</v>
      </c>
      <c r="K449" s="8" t="n">
        <f aca="false">ROUND(J449*I449,2)</f>
        <v>8.63</v>
      </c>
      <c r="L449" s="20" t="n">
        <v>8.63</v>
      </c>
      <c r="M449" s="8" t="n">
        <f aca="false">ROUND(K449-L449,2)</f>
        <v>0</v>
      </c>
      <c r="N449" s="7" t="s">
        <v>38</v>
      </c>
    </row>
    <row r="450" customFormat="false" ht="15" hidden="false" customHeight="true" outlineLevel="0" collapsed="false">
      <c r="A450" s="22" t="s">
        <v>179</v>
      </c>
      <c r="B450" s="22" t="s">
        <v>177</v>
      </c>
      <c r="C450" s="22" t="s">
        <v>66</v>
      </c>
      <c r="D450" s="22" t="n">
        <v>16</v>
      </c>
      <c r="E450" s="22" t="s">
        <v>15</v>
      </c>
      <c r="F450" s="22" t="n">
        <v>1970</v>
      </c>
      <c r="G450" s="22" t="n">
        <v>12</v>
      </c>
      <c r="H450" s="19"/>
      <c r="I450" s="22" t="n">
        <v>1.578</v>
      </c>
      <c r="J450" s="8" t="n">
        <f aca="false">IF(F450="",H450,F450/1000*G450)</f>
        <v>23.64</v>
      </c>
      <c r="K450" s="8" t="n">
        <f aca="false">ROUND(J450*I450,2)</f>
        <v>37.3</v>
      </c>
      <c r="L450" s="20" t="n">
        <v>37.3</v>
      </c>
      <c r="M450" s="8" t="n">
        <f aca="false">ROUND(K450-L450,2)</f>
        <v>0</v>
      </c>
      <c r="N450" s="7" t="s">
        <v>42</v>
      </c>
    </row>
    <row r="451" customFormat="false" ht="15" hidden="false" customHeight="true" outlineLevel="0" collapsed="false">
      <c r="A451" s="22" t="s">
        <v>179</v>
      </c>
      <c r="B451" s="22" t="s">
        <v>177</v>
      </c>
      <c r="C451" s="22" t="s">
        <v>66</v>
      </c>
      <c r="D451" s="22" t="n">
        <v>16</v>
      </c>
      <c r="E451" s="22" t="s">
        <v>15</v>
      </c>
      <c r="F451" s="22" t="n">
        <v>1370</v>
      </c>
      <c r="G451" s="22" t="n">
        <v>12</v>
      </c>
      <c r="H451" s="19"/>
      <c r="I451" s="22" t="n">
        <v>1.578</v>
      </c>
      <c r="J451" s="8" t="n">
        <f aca="false">IF(F451="",H451,F451/1000*G451)</f>
        <v>16.44</v>
      </c>
      <c r="K451" s="8" t="n">
        <f aca="false">ROUND(J451*I451,2)</f>
        <v>25.94</v>
      </c>
      <c r="L451" s="20" t="n">
        <v>25.94</v>
      </c>
      <c r="M451" s="8" t="n">
        <f aca="false">ROUND(K451-L451,2)</f>
        <v>0</v>
      </c>
      <c r="N451" s="7" t="s">
        <v>43</v>
      </c>
    </row>
    <row r="452" customFormat="false" ht="15" hidden="false" customHeight="true" outlineLevel="0" collapsed="false">
      <c r="A452" s="22" t="s">
        <v>180</v>
      </c>
      <c r="B452" s="22" t="s">
        <v>181</v>
      </c>
      <c r="C452" s="22" t="s">
        <v>62</v>
      </c>
      <c r="D452" s="22" t="n">
        <v>14</v>
      </c>
      <c r="E452" s="22" t="s">
        <v>15</v>
      </c>
      <c r="F452" s="22" t="n">
        <v>3350</v>
      </c>
      <c r="G452" s="22" t="n">
        <v>13</v>
      </c>
      <c r="H452" s="19"/>
      <c r="I452" s="22" t="n">
        <v>1.208</v>
      </c>
      <c r="J452" s="8" t="n">
        <f aca="false">IF(F452="",H452,F452/1000*G452)</f>
        <v>43.55</v>
      </c>
      <c r="K452" s="8" t="n">
        <f aca="false">ROUND(J452*I452,2)</f>
        <v>52.61</v>
      </c>
      <c r="L452" s="20" t="n">
        <v>52.61</v>
      </c>
      <c r="M452" s="8" t="n">
        <f aca="false">ROUND(K452-L452,2)</f>
        <v>0</v>
      </c>
      <c r="N452" s="7" t="s">
        <v>41</v>
      </c>
    </row>
    <row r="453" customFormat="false" ht="15" hidden="false" customHeight="true" outlineLevel="0" collapsed="false">
      <c r="A453" s="22" t="s">
        <v>180</v>
      </c>
      <c r="B453" s="22" t="s">
        <v>181</v>
      </c>
      <c r="C453" s="22" t="s">
        <v>62</v>
      </c>
      <c r="D453" s="22" t="n">
        <v>14</v>
      </c>
      <c r="E453" s="22" t="s">
        <v>15</v>
      </c>
      <c r="F453" s="22" t="n">
        <v>2930</v>
      </c>
      <c r="G453" s="22" t="n">
        <v>13</v>
      </c>
      <c r="H453" s="19"/>
      <c r="I453" s="22" t="n">
        <v>1.208</v>
      </c>
      <c r="J453" s="8" t="n">
        <f aca="false">IF(F453="",H453,F453/1000*G453)</f>
        <v>38.09</v>
      </c>
      <c r="K453" s="8" t="n">
        <f aca="false">ROUND(J453*I453,2)</f>
        <v>46.01</v>
      </c>
      <c r="L453" s="20" t="n">
        <v>46.01</v>
      </c>
      <c r="M453" s="8" t="n">
        <f aca="false">ROUND(K453-L453,2)</f>
        <v>0</v>
      </c>
      <c r="N453" s="7" t="s">
        <v>41</v>
      </c>
    </row>
    <row r="454" customFormat="false" ht="15" hidden="false" customHeight="true" outlineLevel="0" collapsed="false">
      <c r="A454" s="22" t="s">
        <v>180</v>
      </c>
      <c r="B454" s="22" t="s">
        <v>181</v>
      </c>
      <c r="C454" s="22" t="s">
        <v>62</v>
      </c>
      <c r="D454" s="22" t="n">
        <v>14</v>
      </c>
      <c r="E454" s="22" t="s">
        <v>15</v>
      </c>
      <c r="F454" s="22" t="n">
        <v>2480</v>
      </c>
      <c r="G454" s="22" t="n">
        <v>16</v>
      </c>
      <c r="H454" s="19"/>
      <c r="I454" s="22" t="n">
        <v>1.208</v>
      </c>
      <c r="J454" s="8" t="n">
        <f aca="false">IF(F454="",H454,F454/1000*G454)</f>
        <v>39.68</v>
      </c>
      <c r="K454" s="8" t="n">
        <f aca="false">ROUND(J454*I454,2)</f>
        <v>47.93</v>
      </c>
      <c r="L454" s="20" t="n">
        <v>47.93</v>
      </c>
      <c r="M454" s="8" t="n">
        <f aca="false">ROUND(K454-L454,2)</f>
        <v>0</v>
      </c>
      <c r="N454" s="7" t="s">
        <v>41</v>
      </c>
    </row>
    <row r="455" customFormat="false" ht="15" hidden="false" customHeight="true" outlineLevel="0" collapsed="false">
      <c r="A455" s="22" t="s">
        <v>180</v>
      </c>
      <c r="B455" s="22" t="s">
        <v>181</v>
      </c>
      <c r="C455" s="22" t="s">
        <v>62</v>
      </c>
      <c r="D455" s="22" t="n">
        <v>14</v>
      </c>
      <c r="E455" s="22" t="s">
        <v>15</v>
      </c>
      <c r="F455" s="19"/>
      <c r="G455" s="19"/>
      <c r="H455" s="22" t="n">
        <v>105.12</v>
      </c>
      <c r="I455" s="22" t="n">
        <v>1.208</v>
      </c>
      <c r="J455" s="8" t="n">
        <f aca="false">IF(F455="",H455,F455/1000*G455)</f>
        <v>105.12</v>
      </c>
      <c r="K455" s="8" t="n">
        <f aca="false">ROUND(J455*I455,2)</f>
        <v>126.98</v>
      </c>
      <c r="L455" s="20" t="n">
        <v>126.98</v>
      </c>
      <c r="M455" s="8" t="n">
        <f aca="false">ROUND(K455-L455,2)</f>
        <v>0</v>
      </c>
      <c r="N455" s="7" t="s">
        <v>194</v>
      </c>
    </row>
    <row r="456" customFormat="false" ht="15" hidden="false" customHeight="true" outlineLevel="0" collapsed="false">
      <c r="A456" s="22" t="s">
        <v>180</v>
      </c>
      <c r="B456" s="22" t="s">
        <v>181</v>
      </c>
      <c r="C456" s="22" t="s">
        <v>62</v>
      </c>
      <c r="D456" s="22" t="n">
        <v>8</v>
      </c>
      <c r="E456" s="22" t="s">
        <v>12</v>
      </c>
      <c r="F456" s="22" t="n">
        <v>390</v>
      </c>
      <c r="G456" s="22" t="n">
        <v>80</v>
      </c>
      <c r="H456" s="19"/>
      <c r="I456" s="22" t="n">
        <v>0.395</v>
      </c>
      <c r="J456" s="8" t="n">
        <f aca="false">IF(F456="",H456,F456/1000*G456)</f>
        <v>31.2</v>
      </c>
      <c r="K456" s="8" t="n">
        <f aca="false">ROUND(J456*I456,2)</f>
        <v>12.32</v>
      </c>
      <c r="L456" s="20" t="n">
        <v>12.32</v>
      </c>
      <c r="M456" s="8" t="n">
        <f aca="false">ROUND(K456-L456,2)</f>
        <v>0</v>
      </c>
      <c r="N456" s="7" t="s">
        <v>38</v>
      </c>
    </row>
    <row r="457" customFormat="false" ht="15" hidden="false" customHeight="true" outlineLevel="0" collapsed="false">
      <c r="A457" s="22" t="s">
        <v>182</v>
      </c>
      <c r="B457" s="22" t="s">
        <v>181</v>
      </c>
      <c r="C457" s="22" t="s">
        <v>64</v>
      </c>
      <c r="D457" s="22" t="n">
        <v>14</v>
      </c>
      <c r="E457" s="22" t="s">
        <v>15</v>
      </c>
      <c r="F457" s="22" t="n">
        <v>3350</v>
      </c>
      <c r="G457" s="22" t="n">
        <v>21</v>
      </c>
      <c r="H457" s="19"/>
      <c r="I457" s="22" t="n">
        <v>1.208</v>
      </c>
      <c r="J457" s="8" t="n">
        <f aca="false">IF(F457="",H457,F457/1000*G457)</f>
        <v>70.35</v>
      </c>
      <c r="K457" s="8" t="n">
        <f aca="false">ROUND(J457*I457,2)</f>
        <v>84.98</v>
      </c>
      <c r="L457" s="20" t="n">
        <v>84.98</v>
      </c>
      <c r="M457" s="8" t="n">
        <f aca="false">ROUND(K457-L457,2)</f>
        <v>0</v>
      </c>
      <c r="N457" s="7" t="s">
        <v>41</v>
      </c>
    </row>
    <row r="458" customFormat="false" ht="15" hidden="false" customHeight="true" outlineLevel="0" collapsed="false">
      <c r="A458" s="22" t="s">
        <v>182</v>
      </c>
      <c r="B458" s="22" t="s">
        <v>181</v>
      </c>
      <c r="C458" s="22" t="s">
        <v>64</v>
      </c>
      <c r="D458" s="22" t="n">
        <v>14</v>
      </c>
      <c r="E458" s="22" t="s">
        <v>15</v>
      </c>
      <c r="F458" s="22" t="n">
        <v>2930</v>
      </c>
      <c r="G458" s="22" t="n">
        <v>21</v>
      </c>
      <c r="H458" s="19"/>
      <c r="I458" s="22" t="n">
        <v>1.208</v>
      </c>
      <c r="J458" s="8" t="n">
        <f aca="false">IF(F458="",H458,F458/1000*G458)</f>
        <v>61.53</v>
      </c>
      <c r="K458" s="8" t="n">
        <f aca="false">ROUND(J458*I458,2)</f>
        <v>74.33</v>
      </c>
      <c r="L458" s="20" t="n">
        <v>74.33</v>
      </c>
      <c r="M458" s="8" t="n">
        <f aca="false">ROUND(K458-L458,2)</f>
        <v>0</v>
      </c>
      <c r="N458" s="7" t="s">
        <v>41</v>
      </c>
    </row>
    <row r="459" customFormat="false" ht="15" hidden="false" customHeight="true" outlineLevel="0" collapsed="false">
      <c r="A459" s="22" t="s">
        <v>182</v>
      </c>
      <c r="B459" s="22" t="s">
        <v>181</v>
      </c>
      <c r="C459" s="22" t="s">
        <v>64</v>
      </c>
      <c r="D459" s="22" t="n">
        <v>14</v>
      </c>
      <c r="E459" s="22" t="s">
        <v>15</v>
      </c>
      <c r="F459" s="19"/>
      <c r="G459" s="19"/>
      <c r="H459" s="22" t="n">
        <v>105.12</v>
      </c>
      <c r="I459" s="22" t="n">
        <v>1.208</v>
      </c>
      <c r="J459" s="8" t="n">
        <f aca="false">IF(F459="",H459,F459/1000*G459)</f>
        <v>105.12</v>
      </c>
      <c r="K459" s="8" t="n">
        <f aca="false">ROUND(J459*I459,2)</f>
        <v>126.98</v>
      </c>
      <c r="L459" s="20" t="n">
        <v>126.98</v>
      </c>
      <c r="M459" s="8" t="n">
        <f aca="false">ROUND(K459-L459,2)</f>
        <v>0</v>
      </c>
      <c r="N459" s="7" t="s">
        <v>194</v>
      </c>
    </row>
    <row r="460" customFormat="false" ht="15" hidden="false" customHeight="true" outlineLevel="0" collapsed="false">
      <c r="A460" s="22" t="s">
        <v>182</v>
      </c>
      <c r="B460" s="22" t="s">
        <v>181</v>
      </c>
      <c r="C460" s="22" t="s">
        <v>64</v>
      </c>
      <c r="D460" s="22" t="n">
        <v>8</v>
      </c>
      <c r="E460" s="22" t="s">
        <v>12</v>
      </c>
      <c r="F460" s="22" t="n">
        <v>630</v>
      </c>
      <c r="G460" s="22" t="n">
        <v>80</v>
      </c>
      <c r="H460" s="19"/>
      <c r="I460" s="22" t="n">
        <v>0.395</v>
      </c>
      <c r="J460" s="8" t="n">
        <f aca="false">IF(F460="",H460,F460/1000*G460)</f>
        <v>50.4</v>
      </c>
      <c r="K460" s="8" t="n">
        <f aca="false">ROUND(J460*I460,2)</f>
        <v>19.91</v>
      </c>
      <c r="L460" s="20" t="n">
        <v>19.91</v>
      </c>
      <c r="M460" s="8" t="n">
        <f aca="false">ROUND(K460-L460,2)</f>
        <v>0</v>
      </c>
      <c r="N460" s="7" t="s">
        <v>37</v>
      </c>
    </row>
    <row r="461" customFormat="false" ht="15" hidden="false" customHeight="true" outlineLevel="0" collapsed="false">
      <c r="A461" s="22" t="s">
        <v>183</v>
      </c>
      <c r="B461" s="22" t="s">
        <v>181</v>
      </c>
      <c r="C461" s="22" t="s">
        <v>66</v>
      </c>
      <c r="D461" s="22" t="n">
        <v>14</v>
      </c>
      <c r="E461" s="22" t="s">
        <v>15</v>
      </c>
      <c r="F461" s="22" t="n">
        <v>3350</v>
      </c>
      <c r="G461" s="22" t="n">
        <v>9</v>
      </c>
      <c r="H461" s="19"/>
      <c r="I461" s="22" t="n">
        <v>1.208</v>
      </c>
      <c r="J461" s="8" t="n">
        <f aca="false">IF(F461="",H461,F461/1000*G461)</f>
        <v>30.15</v>
      </c>
      <c r="K461" s="8" t="n">
        <f aca="false">ROUND(J461*I461,2)</f>
        <v>36.42</v>
      </c>
      <c r="L461" s="20" t="n">
        <v>36.42</v>
      </c>
      <c r="M461" s="8" t="n">
        <f aca="false">ROUND(K461-L461,2)</f>
        <v>0</v>
      </c>
      <c r="N461" s="7" t="s">
        <v>41</v>
      </c>
    </row>
    <row r="462" customFormat="false" ht="15" hidden="false" customHeight="true" outlineLevel="0" collapsed="false">
      <c r="A462" s="22" t="s">
        <v>183</v>
      </c>
      <c r="B462" s="22" t="s">
        <v>181</v>
      </c>
      <c r="C462" s="22" t="s">
        <v>66</v>
      </c>
      <c r="D462" s="22" t="n">
        <v>14</v>
      </c>
      <c r="E462" s="22" t="s">
        <v>15</v>
      </c>
      <c r="F462" s="22" t="n">
        <v>2930</v>
      </c>
      <c r="G462" s="22" t="n">
        <v>9</v>
      </c>
      <c r="H462" s="19"/>
      <c r="I462" s="22" t="n">
        <v>1.208</v>
      </c>
      <c r="J462" s="8" t="n">
        <f aca="false">IF(F462="",H462,F462/1000*G462)</f>
        <v>26.37</v>
      </c>
      <c r="K462" s="8" t="n">
        <f aca="false">ROUND(J462*I462,2)</f>
        <v>31.85</v>
      </c>
      <c r="L462" s="20" t="n">
        <v>31.85</v>
      </c>
      <c r="M462" s="8" t="n">
        <f aca="false">ROUND(K462-L462,2)</f>
        <v>0</v>
      </c>
      <c r="N462" s="7" t="s">
        <v>41</v>
      </c>
    </row>
    <row r="463" customFormat="false" ht="15" hidden="false" customHeight="true" outlineLevel="0" collapsed="false">
      <c r="A463" s="22" t="s">
        <v>183</v>
      </c>
      <c r="B463" s="22" t="s">
        <v>181</v>
      </c>
      <c r="C463" s="22" t="s">
        <v>66</v>
      </c>
      <c r="D463" s="22" t="n">
        <v>14</v>
      </c>
      <c r="E463" s="22" t="s">
        <v>15</v>
      </c>
      <c r="F463" s="19"/>
      <c r="G463" s="19"/>
      <c r="H463" s="22" t="n">
        <v>66.24</v>
      </c>
      <c r="I463" s="22" t="n">
        <v>1.208</v>
      </c>
      <c r="J463" s="8" t="n">
        <f aca="false">IF(F463="",H463,F463/1000*G463)</f>
        <v>66.24</v>
      </c>
      <c r="K463" s="8" t="n">
        <f aca="false">ROUND(J463*I463,2)</f>
        <v>80.02</v>
      </c>
      <c r="L463" s="20" t="n">
        <v>80.02</v>
      </c>
      <c r="M463" s="8" t="n">
        <f aca="false">ROUND(K463-L463,2)</f>
        <v>0</v>
      </c>
      <c r="N463" s="7" t="s">
        <v>194</v>
      </c>
    </row>
    <row r="464" customFormat="false" ht="15" hidden="false" customHeight="true" outlineLevel="0" collapsed="false">
      <c r="A464" s="22" t="s">
        <v>183</v>
      </c>
      <c r="B464" s="22" t="s">
        <v>181</v>
      </c>
      <c r="C464" s="22" t="s">
        <v>66</v>
      </c>
      <c r="D464" s="22" t="n">
        <v>8</v>
      </c>
      <c r="E464" s="22" t="s">
        <v>12</v>
      </c>
      <c r="F464" s="22" t="n">
        <v>390</v>
      </c>
      <c r="G464" s="22" t="n">
        <v>56</v>
      </c>
      <c r="H464" s="19"/>
      <c r="I464" s="22" t="n">
        <v>0.395</v>
      </c>
      <c r="J464" s="8" t="n">
        <f aca="false">IF(F464="",H464,F464/1000*G464)</f>
        <v>21.84</v>
      </c>
      <c r="K464" s="8" t="n">
        <f aca="false">ROUND(J464*I464,2)</f>
        <v>8.63</v>
      </c>
      <c r="L464" s="20" t="n">
        <v>8.63</v>
      </c>
      <c r="M464" s="8" t="n">
        <f aca="false">ROUND(K464-L464,2)</f>
        <v>0</v>
      </c>
      <c r="N464" s="7" t="s">
        <v>38</v>
      </c>
    </row>
    <row r="465" customFormat="false" ht="15" hidden="false" customHeight="true" outlineLevel="0" collapsed="false">
      <c r="A465" s="22" t="s">
        <v>183</v>
      </c>
      <c r="B465" s="22" t="s">
        <v>181</v>
      </c>
      <c r="C465" s="22" t="s">
        <v>66</v>
      </c>
      <c r="D465" s="22" t="n">
        <v>16</v>
      </c>
      <c r="E465" s="22" t="s">
        <v>15</v>
      </c>
      <c r="F465" s="22" t="n">
        <v>1970</v>
      </c>
      <c r="G465" s="22" t="n">
        <v>12</v>
      </c>
      <c r="H465" s="19"/>
      <c r="I465" s="22" t="n">
        <v>1.578</v>
      </c>
      <c r="J465" s="8" t="n">
        <f aca="false">IF(F465="",H465,F465/1000*G465)</f>
        <v>23.64</v>
      </c>
      <c r="K465" s="8" t="n">
        <f aca="false">ROUND(J465*I465,2)</f>
        <v>37.3</v>
      </c>
      <c r="L465" s="20" t="n">
        <v>37.3</v>
      </c>
      <c r="M465" s="8" t="n">
        <f aca="false">ROUND(K465-L465,2)</f>
        <v>0</v>
      </c>
      <c r="N465" s="7" t="s">
        <v>42</v>
      </c>
    </row>
    <row r="466" customFormat="false" ht="15" hidden="false" customHeight="true" outlineLevel="0" collapsed="false">
      <c r="A466" s="22" t="s">
        <v>183</v>
      </c>
      <c r="B466" s="22" t="s">
        <v>181</v>
      </c>
      <c r="C466" s="22" t="s">
        <v>66</v>
      </c>
      <c r="D466" s="22" t="n">
        <v>16</v>
      </c>
      <c r="E466" s="22" t="s">
        <v>15</v>
      </c>
      <c r="F466" s="22" t="n">
        <v>1370</v>
      </c>
      <c r="G466" s="22" t="n">
        <v>12</v>
      </c>
      <c r="H466" s="19"/>
      <c r="I466" s="22" t="n">
        <v>1.578</v>
      </c>
      <c r="J466" s="8" t="n">
        <f aca="false">IF(F466="",H466,F466/1000*G466)</f>
        <v>16.44</v>
      </c>
      <c r="K466" s="8" t="n">
        <f aca="false">ROUND(J466*I466,2)</f>
        <v>25.94</v>
      </c>
      <c r="L466" s="20" t="n">
        <v>25.94</v>
      </c>
      <c r="M466" s="8" t="n">
        <f aca="false">ROUND(K466-L466,2)</f>
        <v>0</v>
      </c>
      <c r="N466" s="7" t="s">
        <v>43</v>
      </c>
    </row>
    <row r="467" customFormat="false" ht="15" hidden="false" customHeight="true" outlineLevel="0" collapsed="false">
      <c r="A467" s="22" t="s">
        <v>184</v>
      </c>
      <c r="B467" s="22" t="s">
        <v>181</v>
      </c>
      <c r="C467" s="22" t="s">
        <v>68</v>
      </c>
      <c r="D467" s="22" t="n">
        <v>14</v>
      </c>
      <c r="E467" s="22" t="s">
        <v>15</v>
      </c>
      <c r="F467" s="22" t="n">
        <v>3350</v>
      </c>
      <c r="G467" s="22" t="n">
        <v>9</v>
      </c>
      <c r="H467" s="19"/>
      <c r="I467" s="22" t="n">
        <v>1.208</v>
      </c>
      <c r="J467" s="8" t="n">
        <f aca="false">IF(F467="",H467,F467/1000*G467)</f>
        <v>30.15</v>
      </c>
      <c r="K467" s="8" t="n">
        <f aca="false">ROUND(J467*I467,2)</f>
        <v>36.42</v>
      </c>
      <c r="L467" s="20" t="n">
        <v>36.42</v>
      </c>
      <c r="M467" s="8" t="n">
        <f aca="false">ROUND(K467-L467,2)</f>
        <v>0</v>
      </c>
      <c r="N467" s="7" t="s">
        <v>41</v>
      </c>
    </row>
    <row r="468" customFormat="false" ht="15" hidden="false" customHeight="true" outlineLevel="0" collapsed="false">
      <c r="A468" s="22" t="s">
        <v>184</v>
      </c>
      <c r="B468" s="22" t="s">
        <v>181</v>
      </c>
      <c r="C468" s="22" t="s">
        <v>68</v>
      </c>
      <c r="D468" s="22" t="n">
        <v>14</v>
      </c>
      <c r="E468" s="22" t="s">
        <v>15</v>
      </c>
      <c r="F468" s="22" t="n">
        <v>2930</v>
      </c>
      <c r="G468" s="22" t="n">
        <v>9</v>
      </c>
      <c r="H468" s="19"/>
      <c r="I468" s="22" t="n">
        <v>1.208</v>
      </c>
      <c r="J468" s="8" t="n">
        <f aca="false">IF(F468="",H468,F468/1000*G468)</f>
        <v>26.37</v>
      </c>
      <c r="K468" s="8" t="n">
        <f aca="false">ROUND(J468*I468,2)</f>
        <v>31.85</v>
      </c>
      <c r="L468" s="20" t="n">
        <v>31.85</v>
      </c>
      <c r="M468" s="8" t="n">
        <f aca="false">ROUND(K468-L468,2)</f>
        <v>0</v>
      </c>
      <c r="N468" s="7" t="s">
        <v>41</v>
      </c>
    </row>
    <row r="469" customFormat="false" ht="15" hidden="false" customHeight="true" outlineLevel="0" collapsed="false">
      <c r="A469" s="22" t="s">
        <v>184</v>
      </c>
      <c r="B469" s="22" t="s">
        <v>181</v>
      </c>
      <c r="C469" s="22" t="s">
        <v>68</v>
      </c>
      <c r="D469" s="22" t="n">
        <v>14</v>
      </c>
      <c r="E469" s="22" t="s">
        <v>15</v>
      </c>
      <c r="F469" s="19"/>
      <c r="G469" s="19"/>
      <c r="H469" s="22" t="n">
        <v>66.24</v>
      </c>
      <c r="I469" s="22" t="n">
        <v>1.208</v>
      </c>
      <c r="J469" s="8" t="n">
        <f aca="false">IF(F469="",H469,F469/1000*G469)</f>
        <v>66.24</v>
      </c>
      <c r="K469" s="8" t="n">
        <f aca="false">ROUND(J469*I469,2)</f>
        <v>80.02</v>
      </c>
      <c r="L469" s="20" t="n">
        <v>80.02</v>
      </c>
      <c r="M469" s="8" t="n">
        <f aca="false">ROUND(K469-L469,2)</f>
        <v>0</v>
      </c>
      <c r="N469" s="7" t="s">
        <v>194</v>
      </c>
    </row>
    <row r="470" customFormat="false" ht="15" hidden="false" customHeight="true" outlineLevel="0" collapsed="false">
      <c r="A470" s="22" t="s">
        <v>184</v>
      </c>
      <c r="B470" s="22" t="s">
        <v>181</v>
      </c>
      <c r="C470" s="22" t="s">
        <v>68</v>
      </c>
      <c r="D470" s="22" t="n">
        <v>8</v>
      </c>
      <c r="E470" s="22" t="s">
        <v>12</v>
      </c>
      <c r="F470" s="22" t="n">
        <v>390</v>
      </c>
      <c r="G470" s="22" t="n">
        <v>56</v>
      </c>
      <c r="H470" s="19"/>
      <c r="I470" s="22" t="n">
        <v>0.395</v>
      </c>
      <c r="J470" s="8" t="n">
        <f aca="false">IF(F470="",H470,F470/1000*G470)</f>
        <v>21.84</v>
      </c>
      <c r="K470" s="8" t="n">
        <f aca="false">ROUND(J470*I470,2)</f>
        <v>8.63</v>
      </c>
      <c r="L470" s="20" t="n">
        <v>8.63</v>
      </c>
      <c r="M470" s="8" t="n">
        <f aca="false">ROUND(K470-L470,2)</f>
        <v>0</v>
      </c>
      <c r="N470" s="7" t="s">
        <v>38</v>
      </c>
    </row>
    <row r="471" customFormat="false" ht="15" hidden="false" customHeight="true" outlineLevel="0" collapsed="false">
      <c r="A471" s="22" t="s">
        <v>184</v>
      </c>
      <c r="B471" s="22" t="s">
        <v>181</v>
      </c>
      <c r="C471" s="22" t="s">
        <v>68</v>
      </c>
      <c r="D471" s="22" t="n">
        <v>16</v>
      </c>
      <c r="E471" s="22" t="s">
        <v>15</v>
      </c>
      <c r="F471" s="22" t="n">
        <v>1970</v>
      </c>
      <c r="G471" s="22" t="n">
        <v>12</v>
      </c>
      <c r="H471" s="19"/>
      <c r="I471" s="22" t="n">
        <v>1.578</v>
      </c>
      <c r="J471" s="8" t="n">
        <f aca="false">IF(F471="",H471,F471/1000*G471)</f>
        <v>23.64</v>
      </c>
      <c r="K471" s="8" t="n">
        <f aca="false">ROUND(J471*I471,2)</f>
        <v>37.3</v>
      </c>
      <c r="L471" s="20" t="n">
        <v>37.3</v>
      </c>
      <c r="M471" s="8" t="n">
        <f aca="false">ROUND(K471-L471,2)</f>
        <v>0</v>
      </c>
      <c r="N471" s="7" t="s">
        <v>42</v>
      </c>
    </row>
    <row r="472" customFormat="false" ht="15" hidden="false" customHeight="true" outlineLevel="0" collapsed="false">
      <c r="A472" s="22" t="s">
        <v>184</v>
      </c>
      <c r="B472" s="22" t="s">
        <v>181</v>
      </c>
      <c r="C472" s="22" t="s">
        <v>68</v>
      </c>
      <c r="D472" s="22" t="n">
        <v>16</v>
      </c>
      <c r="E472" s="22" t="s">
        <v>15</v>
      </c>
      <c r="F472" s="22" t="n">
        <v>1370</v>
      </c>
      <c r="G472" s="22" t="n">
        <v>12</v>
      </c>
      <c r="H472" s="19"/>
      <c r="I472" s="22" t="n">
        <v>1.578</v>
      </c>
      <c r="J472" s="8" t="n">
        <f aca="false">IF(F472="",H472,F472/1000*G472)</f>
        <v>16.44</v>
      </c>
      <c r="K472" s="8" t="n">
        <f aca="false">ROUND(J472*I472,2)</f>
        <v>25.94</v>
      </c>
      <c r="L472" s="20" t="n">
        <v>25.94</v>
      </c>
      <c r="M472" s="8" t="n">
        <f aca="false">ROUND(K472-L472,2)</f>
        <v>0</v>
      </c>
      <c r="N472" s="7" t="s">
        <v>43</v>
      </c>
    </row>
    <row r="473" customFormat="false" ht="15" hidden="false" customHeight="true" outlineLevel="0" collapsed="false">
      <c r="A473" s="22" t="s">
        <v>185</v>
      </c>
      <c r="B473" s="22" t="s">
        <v>186</v>
      </c>
      <c r="C473" s="22" t="s">
        <v>62</v>
      </c>
      <c r="D473" s="22" t="n">
        <v>14</v>
      </c>
      <c r="E473" s="22" t="s">
        <v>15</v>
      </c>
      <c r="F473" s="22" t="n">
        <v>3350</v>
      </c>
      <c r="G473" s="22" t="n">
        <v>14</v>
      </c>
      <c r="H473" s="19"/>
      <c r="I473" s="22" t="n">
        <v>1.208</v>
      </c>
      <c r="J473" s="8" t="n">
        <f aca="false">IF(F473="",H473,F473/1000*G473)</f>
        <v>46.9</v>
      </c>
      <c r="K473" s="8" t="n">
        <f aca="false">ROUND(J473*I473,2)</f>
        <v>56.66</v>
      </c>
      <c r="L473" s="20" t="n">
        <v>56.66</v>
      </c>
      <c r="M473" s="8" t="n">
        <f aca="false">ROUND(K473-L473,2)</f>
        <v>0</v>
      </c>
      <c r="N473" s="7" t="s">
        <v>41</v>
      </c>
    </row>
    <row r="474" customFormat="false" ht="15" hidden="false" customHeight="true" outlineLevel="0" collapsed="false">
      <c r="A474" s="22" t="s">
        <v>185</v>
      </c>
      <c r="B474" s="22" t="s">
        <v>186</v>
      </c>
      <c r="C474" s="22" t="s">
        <v>62</v>
      </c>
      <c r="D474" s="22" t="n">
        <v>14</v>
      </c>
      <c r="E474" s="22" t="s">
        <v>15</v>
      </c>
      <c r="F474" s="22" t="n">
        <v>2930</v>
      </c>
      <c r="G474" s="22" t="n">
        <v>14</v>
      </c>
      <c r="H474" s="19"/>
      <c r="I474" s="22" t="n">
        <v>1.208</v>
      </c>
      <c r="J474" s="8" t="n">
        <f aca="false">IF(F474="",H474,F474/1000*G474)</f>
        <v>41.02</v>
      </c>
      <c r="K474" s="8" t="n">
        <f aca="false">ROUND(J474*I474,2)</f>
        <v>49.55</v>
      </c>
      <c r="L474" s="20" t="n">
        <v>49.55</v>
      </c>
      <c r="M474" s="8" t="n">
        <f aca="false">ROUND(K474-L474,2)</f>
        <v>0</v>
      </c>
      <c r="N474" s="7" t="s">
        <v>41</v>
      </c>
    </row>
    <row r="475" customFormat="false" ht="15" hidden="false" customHeight="true" outlineLevel="0" collapsed="false">
      <c r="A475" s="22" t="s">
        <v>185</v>
      </c>
      <c r="B475" s="22" t="s">
        <v>186</v>
      </c>
      <c r="C475" s="22" t="s">
        <v>62</v>
      </c>
      <c r="D475" s="22" t="n">
        <v>14</v>
      </c>
      <c r="E475" s="22" t="s">
        <v>15</v>
      </c>
      <c r="F475" s="19"/>
      <c r="G475" s="19"/>
      <c r="H475" s="22" t="n">
        <v>56.32</v>
      </c>
      <c r="I475" s="22" t="n">
        <v>1.208</v>
      </c>
      <c r="J475" s="8" t="n">
        <f aca="false">IF(F475="",H475,F475/1000*G475)</f>
        <v>56.32</v>
      </c>
      <c r="K475" s="8" t="n">
        <f aca="false">ROUND(J475*I475,2)</f>
        <v>68.03</v>
      </c>
      <c r="L475" s="20" t="n">
        <v>68.03</v>
      </c>
      <c r="M475" s="8" t="n">
        <f aca="false">ROUND(K475-L475,2)</f>
        <v>0</v>
      </c>
      <c r="N475" s="7" t="s">
        <v>194</v>
      </c>
    </row>
    <row r="476" customFormat="false" ht="15" hidden="false" customHeight="true" outlineLevel="0" collapsed="false">
      <c r="A476" s="22" t="s">
        <v>185</v>
      </c>
      <c r="B476" s="22" t="s">
        <v>186</v>
      </c>
      <c r="C476" s="22" t="s">
        <v>62</v>
      </c>
      <c r="D476" s="22" t="n">
        <v>8</v>
      </c>
      <c r="E476" s="22" t="s">
        <v>12</v>
      </c>
      <c r="F476" s="22" t="n">
        <v>390</v>
      </c>
      <c r="G476" s="22" t="n">
        <v>52</v>
      </c>
      <c r="H476" s="19"/>
      <c r="I476" s="22" t="n">
        <v>0.395</v>
      </c>
      <c r="J476" s="8" t="n">
        <f aca="false">IF(F476="",H476,F476/1000*G476)</f>
        <v>20.28</v>
      </c>
      <c r="K476" s="8" t="n">
        <f aca="false">ROUND(J476*I476,2)</f>
        <v>8.01</v>
      </c>
      <c r="L476" s="20" t="n">
        <v>8.01</v>
      </c>
      <c r="M476" s="8" t="n">
        <f aca="false">ROUND(K476-L476,2)</f>
        <v>0</v>
      </c>
      <c r="N476" s="7" t="s">
        <v>38</v>
      </c>
    </row>
    <row r="477" customFormat="false" ht="15" hidden="false" customHeight="true" outlineLevel="0" collapsed="false">
      <c r="A477" s="22" t="s">
        <v>185</v>
      </c>
      <c r="B477" s="22" t="s">
        <v>186</v>
      </c>
      <c r="C477" s="22" t="s">
        <v>62</v>
      </c>
      <c r="D477" s="22" t="n">
        <v>16</v>
      </c>
      <c r="E477" s="22" t="s">
        <v>15</v>
      </c>
      <c r="F477" s="22" t="n">
        <v>1370</v>
      </c>
      <c r="G477" s="22" t="n">
        <v>11</v>
      </c>
      <c r="H477" s="19"/>
      <c r="I477" s="22" t="n">
        <v>1.578</v>
      </c>
      <c r="J477" s="8" t="n">
        <f aca="false">IF(F477="",H477,F477/1000*G477)</f>
        <v>15.07</v>
      </c>
      <c r="K477" s="8" t="n">
        <f aca="false">ROUND(J477*I477,2)</f>
        <v>23.78</v>
      </c>
      <c r="L477" s="20" t="n">
        <v>23.78</v>
      </c>
      <c r="M477" s="8" t="n">
        <f aca="false">ROUND(K477-L477,2)</f>
        <v>0</v>
      </c>
      <c r="N477" s="7" t="s">
        <v>43</v>
      </c>
    </row>
    <row r="478" customFormat="false" ht="15" hidden="false" customHeight="true" outlineLevel="0" collapsed="false">
      <c r="A478" s="22" t="s">
        <v>187</v>
      </c>
      <c r="B478" s="22" t="s">
        <v>186</v>
      </c>
      <c r="C478" s="22" t="s">
        <v>64</v>
      </c>
      <c r="D478" s="22" t="n">
        <v>14</v>
      </c>
      <c r="E478" s="22" t="s">
        <v>15</v>
      </c>
      <c r="F478" s="22" t="n">
        <v>3350</v>
      </c>
      <c r="G478" s="22" t="n">
        <v>14</v>
      </c>
      <c r="H478" s="19"/>
      <c r="I478" s="22" t="n">
        <v>1.208</v>
      </c>
      <c r="J478" s="8" t="n">
        <f aca="false">IF(F478="",H478,F478/1000*G478)</f>
        <v>46.9</v>
      </c>
      <c r="K478" s="8" t="n">
        <f aca="false">ROUND(J478*I478,2)</f>
        <v>56.66</v>
      </c>
      <c r="L478" s="20" t="n">
        <v>56.66</v>
      </c>
      <c r="M478" s="8" t="n">
        <f aca="false">ROUND(K478-L478,2)</f>
        <v>0</v>
      </c>
      <c r="N478" s="7" t="s">
        <v>41</v>
      </c>
    </row>
    <row r="479" customFormat="false" ht="15" hidden="false" customHeight="true" outlineLevel="0" collapsed="false">
      <c r="A479" s="22" t="s">
        <v>187</v>
      </c>
      <c r="B479" s="22" t="s">
        <v>186</v>
      </c>
      <c r="C479" s="22" t="s">
        <v>64</v>
      </c>
      <c r="D479" s="22" t="n">
        <v>14</v>
      </c>
      <c r="E479" s="22" t="s">
        <v>15</v>
      </c>
      <c r="F479" s="22" t="n">
        <v>2930</v>
      </c>
      <c r="G479" s="22" t="n">
        <v>14</v>
      </c>
      <c r="H479" s="19"/>
      <c r="I479" s="22" t="n">
        <v>1.208</v>
      </c>
      <c r="J479" s="8" t="n">
        <f aca="false">IF(F479="",H479,F479/1000*G479)</f>
        <v>41.02</v>
      </c>
      <c r="K479" s="8" t="n">
        <f aca="false">ROUND(J479*I479,2)</f>
        <v>49.55</v>
      </c>
      <c r="L479" s="20" t="n">
        <v>49.55</v>
      </c>
      <c r="M479" s="8" t="n">
        <f aca="false">ROUND(K479-L479,2)</f>
        <v>0</v>
      </c>
      <c r="N479" s="7" t="s">
        <v>41</v>
      </c>
    </row>
    <row r="480" customFormat="false" ht="15" hidden="false" customHeight="true" outlineLevel="0" collapsed="false">
      <c r="A480" s="22" t="s">
        <v>187</v>
      </c>
      <c r="B480" s="22" t="s">
        <v>186</v>
      </c>
      <c r="C480" s="22" t="s">
        <v>64</v>
      </c>
      <c r="D480" s="22" t="n">
        <v>14</v>
      </c>
      <c r="E480" s="22" t="s">
        <v>15</v>
      </c>
      <c r="F480" s="19"/>
      <c r="G480" s="19"/>
      <c r="H480" s="22" t="n">
        <v>56.32</v>
      </c>
      <c r="I480" s="22" t="n">
        <v>1.208</v>
      </c>
      <c r="J480" s="8" t="n">
        <f aca="false">IF(F480="",H480,F480/1000*G480)</f>
        <v>56.32</v>
      </c>
      <c r="K480" s="8" t="n">
        <f aca="false">ROUND(J480*I480,2)</f>
        <v>68.03</v>
      </c>
      <c r="L480" s="20" t="n">
        <v>68.03</v>
      </c>
      <c r="M480" s="8" t="n">
        <f aca="false">ROUND(K480-L480,2)</f>
        <v>0</v>
      </c>
      <c r="N480" s="7" t="s">
        <v>194</v>
      </c>
    </row>
    <row r="481" customFormat="false" ht="15" hidden="false" customHeight="true" outlineLevel="0" collapsed="false">
      <c r="A481" s="22" t="s">
        <v>187</v>
      </c>
      <c r="B481" s="22" t="s">
        <v>186</v>
      </c>
      <c r="C481" s="22" t="s">
        <v>64</v>
      </c>
      <c r="D481" s="22" t="n">
        <v>8</v>
      </c>
      <c r="E481" s="22" t="s">
        <v>12</v>
      </c>
      <c r="F481" s="22" t="n">
        <v>390</v>
      </c>
      <c r="G481" s="22" t="n">
        <v>52</v>
      </c>
      <c r="H481" s="19"/>
      <c r="I481" s="22" t="n">
        <v>0.395</v>
      </c>
      <c r="J481" s="8" t="n">
        <f aca="false">IF(F481="",H481,F481/1000*G481)</f>
        <v>20.28</v>
      </c>
      <c r="K481" s="8" t="n">
        <f aca="false">ROUND(J481*I481,2)</f>
        <v>8.01</v>
      </c>
      <c r="L481" s="20" t="n">
        <v>8.01</v>
      </c>
      <c r="M481" s="8" t="n">
        <f aca="false">ROUND(K481-L481,2)</f>
        <v>0</v>
      </c>
      <c r="N481" s="7" t="s">
        <v>38</v>
      </c>
    </row>
    <row r="482" customFormat="false" ht="15" hidden="false" customHeight="true" outlineLevel="0" collapsed="false">
      <c r="A482" s="22" t="s">
        <v>187</v>
      </c>
      <c r="B482" s="22" t="s">
        <v>186</v>
      </c>
      <c r="C482" s="22" t="s">
        <v>64</v>
      </c>
      <c r="D482" s="22" t="n">
        <v>16</v>
      </c>
      <c r="E482" s="22" t="s">
        <v>15</v>
      </c>
      <c r="F482" s="22" t="n">
        <v>1370</v>
      </c>
      <c r="G482" s="22" t="n">
        <v>22</v>
      </c>
      <c r="H482" s="19"/>
      <c r="I482" s="22" t="n">
        <v>1.578</v>
      </c>
      <c r="J482" s="8" t="n">
        <f aca="false">IF(F482="",H482,F482/1000*G482)</f>
        <v>30.14</v>
      </c>
      <c r="K482" s="8" t="n">
        <f aca="false">ROUND(J482*I482,2)</f>
        <v>47.56</v>
      </c>
      <c r="L482" s="20" t="n">
        <v>47.56</v>
      </c>
      <c r="M482" s="8" t="n">
        <f aca="false">ROUND(K482-L482,2)</f>
        <v>0</v>
      </c>
      <c r="N482" s="7" t="s">
        <v>43</v>
      </c>
    </row>
    <row r="483" customFormat="false" ht="15" hidden="false" customHeight="true" outlineLevel="0" collapsed="false">
      <c r="A483" s="22" t="s">
        <v>188</v>
      </c>
      <c r="B483" s="22" t="s">
        <v>186</v>
      </c>
      <c r="C483" s="22" t="s">
        <v>66</v>
      </c>
      <c r="D483" s="22" t="n">
        <v>14</v>
      </c>
      <c r="E483" s="22" t="s">
        <v>15</v>
      </c>
      <c r="F483" s="22" t="n">
        <v>3350</v>
      </c>
      <c r="G483" s="22" t="n">
        <v>5</v>
      </c>
      <c r="H483" s="19"/>
      <c r="I483" s="22" t="n">
        <v>1.208</v>
      </c>
      <c r="J483" s="8" t="n">
        <f aca="false">IF(F483="",H483,F483/1000*G483)</f>
        <v>16.75</v>
      </c>
      <c r="K483" s="8" t="n">
        <f aca="false">ROUND(J483*I483,2)</f>
        <v>20.23</v>
      </c>
      <c r="L483" s="20" t="n">
        <v>20.23</v>
      </c>
      <c r="M483" s="8" t="n">
        <f aca="false">ROUND(K483-L483,2)</f>
        <v>0</v>
      </c>
      <c r="N483" s="7" t="s">
        <v>41</v>
      </c>
    </row>
    <row r="484" customFormat="false" ht="15" hidden="false" customHeight="true" outlineLevel="0" collapsed="false">
      <c r="A484" s="22" t="s">
        <v>188</v>
      </c>
      <c r="B484" s="22" t="s">
        <v>186</v>
      </c>
      <c r="C484" s="22" t="s">
        <v>66</v>
      </c>
      <c r="D484" s="22" t="n">
        <v>14</v>
      </c>
      <c r="E484" s="22" t="s">
        <v>15</v>
      </c>
      <c r="F484" s="22" t="n">
        <v>2930</v>
      </c>
      <c r="G484" s="22" t="n">
        <v>5</v>
      </c>
      <c r="H484" s="19"/>
      <c r="I484" s="22" t="n">
        <v>1.208</v>
      </c>
      <c r="J484" s="8" t="n">
        <f aca="false">IF(F484="",H484,F484/1000*G484)</f>
        <v>14.65</v>
      </c>
      <c r="K484" s="8" t="n">
        <f aca="false">ROUND(J484*I484,2)</f>
        <v>17.7</v>
      </c>
      <c r="L484" s="20" t="n">
        <v>17.7</v>
      </c>
      <c r="M484" s="8" t="n">
        <f aca="false">ROUND(K484-L484,2)</f>
        <v>0</v>
      </c>
      <c r="N484" s="7" t="s">
        <v>41</v>
      </c>
    </row>
    <row r="485" customFormat="false" ht="15" hidden="false" customHeight="true" outlineLevel="0" collapsed="false">
      <c r="A485" s="22" t="s">
        <v>188</v>
      </c>
      <c r="B485" s="22" t="s">
        <v>186</v>
      </c>
      <c r="C485" s="22" t="s">
        <v>66</v>
      </c>
      <c r="D485" s="22" t="n">
        <v>14</v>
      </c>
      <c r="E485" s="22" t="s">
        <v>15</v>
      </c>
      <c r="F485" s="22" t="n">
        <v>2480</v>
      </c>
      <c r="G485" s="22" t="n">
        <v>12</v>
      </c>
      <c r="H485" s="19"/>
      <c r="I485" s="22" t="n">
        <v>1.208</v>
      </c>
      <c r="J485" s="8" t="n">
        <f aca="false">IF(F485="",H485,F485/1000*G485)</f>
        <v>29.76</v>
      </c>
      <c r="K485" s="8" t="n">
        <f aca="false">ROUND(J485*I485,2)</f>
        <v>35.95</v>
      </c>
      <c r="L485" s="20" t="n">
        <v>35.95</v>
      </c>
      <c r="M485" s="8" t="n">
        <f aca="false">ROUND(K485-L485,2)</f>
        <v>0</v>
      </c>
      <c r="N485" s="7" t="s">
        <v>41</v>
      </c>
    </row>
    <row r="486" customFormat="false" ht="15" hidden="false" customHeight="true" outlineLevel="0" collapsed="false">
      <c r="A486" s="22" t="s">
        <v>188</v>
      </c>
      <c r="B486" s="22" t="s">
        <v>186</v>
      </c>
      <c r="C486" s="22" t="s">
        <v>66</v>
      </c>
      <c r="D486" s="22" t="n">
        <v>14</v>
      </c>
      <c r="E486" s="22" t="s">
        <v>15</v>
      </c>
      <c r="F486" s="19"/>
      <c r="G486" s="19"/>
      <c r="H486" s="22" t="n">
        <v>65.12</v>
      </c>
      <c r="I486" s="22" t="n">
        <v>1.208</v>
      </c>
      <c r="J486" s="8" t="n">
        <f aca="false">IF(F486="",H486,F486/1000*G486)</f>
        <v>65.12</v>
      </c>
      <c r="K486" s="8" t="n">
        <f aca="false">ROUND(J486*I486,2)</f>
        <v>78.66</v>
      </c>
      <c r="L486" s="20" t="n">
        <v>78.66</v>
      </c>
      <c r="M486" s="8" t="n">
        <f aca="false">ROUND(K486-L486,2)</f>
        <v>0</v>
      </c>
      <c r="N486" s="7" t="s">
        <v>194</v>
      </c>
    </row>
    <row r="487" customFormat="false" ht="15" hidden="false" customHeight="true" outlineLevel="0" collapsed="false">
      <c r="A487" s="22" t="s">
        <v>188</v>
      </c>
      <c r="B487" s="22" t="s">
        <v>186</v>
      </c>
      <c r="C487" s="22" t="s">
        <v>66</v>
      </c>
      <c r="D487" s="22" t="n">
        <v>8</v>
      </c>
      <c r="E487" s="22" t="s">
        <v>12</v>
      </c>
      <c r="F487" s="22" t="n">
        <v>390</v>
      </c>
      <c r="G487" s="22" t="n">
        <v>60</v>
      </c>
      <c r="H487" s="19"/>
      <c r="I487" s="22" t="n">
        <v>0.395</v>
      </c>
      <c r="J487" s="8" t="n">
        <f aca="false">IF(F487="",H487,F487/1000*G487)</f>
        <v>23.4</v>
      </c>
      <c r="K487" s="8" t="n">
        <f aca="false">ROUND(J487*I487,2)</f>
        <v>9.24</v>
      </c>
      <c r="L487" s="20" t="n">
        <v>9.24</v>
      </c>
      <c r="M487" s="8" t="n">
        <f aca="false">ROUND(K487-L487,2)</f>
        <v>0</v>
      </c>
      <c r="N487" s="7" t="s">
        <v>38</v>
      </c>
    </row>
    <row r="488" customFormat="false" ht="15" hidden="false" customHeight="true" outlineLevel="0" collapsed="false">
      <c r="A488" s="10" t="s">
        <v>45</v>
      </c>
      <c r="B488" s="11"/>
      <c r="C488" s="11"/>
      <c r="D488" s="11"/>
      <c r="E488" s="11"/>
      <c r="F488" s="11"/>
      <c r="G488" s="11"/>
      <c r="H488" s="11"/>
      <c r="I488" s="11"/>
      <c r="J488" s="12" t="n">
        <f aca="false">ROUND(SUM(J5:J487),2)</f>
        <v>34683.03</v>
      </c>
      <c r="K488" s="12" t="n">
        <f aca="false">ROUND(SUM(K5:K487),2)</f>
        <v>38150.3</v>
      </c>
      <c r="L488" s="12" t="n">
        <f aca="false">ROUND(SUM(L5:L487),2)</f>
        <v>38708.16</v>
      </c>
      <c r="M488" s="12" t="n">
        <f aca="false">ROUND(SUM(M5:M487),2)</f>
        <v>-557.86</v>
      </c>
      <c r="N488" s="11"/>
    </row>
  </sheetData>
  <autoFilter ref="A4:N4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85"/>
    <col collapsed="false" customWidth="true" hidden="false" outlineLevel="0" max="3" min="3" style="1" width="42"/>
  </cols>
  <sheetData>
    <row r="1" customFormat="false" ht="15.75" hidden="false" customHeight="true" outlineLevel="0" collapsed="false">
      <c r="A1" s="16" t="s">
        <v>195</v>
      </c>
    </row>
    <row r="3" customFormat="false" ht="15" hidden="false" customHeight="true" outlineLevel="0" collapsed="false">
      <c r="A3" s="14" t="s">
        <v>196</v>
      </c>
      <c r="B3" s="14" t="s">
        <v>197</v>
      </c>
      <c r="C3" s="14" t="s">
        <v>198</v>
      </c>
    </row>
    <row r="4" customFormat="false" ht="23.25" hidden="false" customHeight="true" outlineLevel="0" collapsed="false">
      <c r="A4" s="23" t="s">
        <v>199</v>
      </c>
      <c r="B4" s="23" t="s">
        <v>200</v>
      </c>
      <c r="C4" s="23" t="s">
        <v>201</v>
      </c>
    </row>
    <row r="5" customFormat="false" ht="15" hidden="false" customHeight="true" outlineLevel="0" collapsed="false">
      <c r="A5" s="23" t="s">
        <v>199</v>
      </c>
      <c r="B5" s="23" t="s">
        <v>202</v>
      </c>
      <c r="C5" s="23" t="s">
        <v>203</v>
      </c>
    </row>
    <row r="6" customFormat="false" ht="15" hidden="false" customHeight="true" outlineLevel="0" collapsed="false">
      <c r="A6" s="23" t="s">
        <v>199</v>
      </c>
      <c r="B6" s="23" t="s">
        <v>204</v>
      </c>
      <c r="C6" s="23" t="s">
        <v>205</v>
      </c>
    </row>
    <row r="7" customFormat="false" ht="15" hidden="false" customHeight="true" outlineLevel="0" collapsed="false">
      <c r="A7" s="23" t="s">
        <v>206</v>
      </c>
      <c r="B7" s="23" t="s">
        <v>207</v>
      </c>
      <c r="C7" s="23" t="s">
        <v>208</v>
      </c>
    </row>
    <row r="8" customFormat="false" ht="15" hidden="false" customHeight="true" outlineLevel="0" collapsed="false">
      <c r="A8" s="23" t="s">
        <v>209</v>
      </c>
      <c r="B8" s="23" t="s">
        <v>210</v>
      </c>
      <c r="C8" s="23" t="s">
        <v>211</v>
      </c>
    </row>
    <row r="9" customFormat="false" ht="15" hidden="false" customHeight="true" outlineLevel="0" collapsed="false">
      <c r="A9" s="23" t="s">
        <v>212</v>
      </c>
      <c r="B9" s="23" t="s">
        <v>213</v>
      </c>
      <c r="C9" s="23" t="s">
        <v>208</v>
      </c>
    </row>
    <row r="10" customFormat="false" ht="15" hidden="false" customHeight="true" outlineLevel="0" collapsed="false">
      <c r="A10" s="23" t="s">
        <v>214</v>
      </c>
      <c r="B10" s="23" t="s">
        <v>215</v>
      </c>
      <c r="C10" s="23" t="s">
        <v>216</v>
      </c>
    </row>
    <row r="11" customFormat="false" ht="15" hidden="false" customHeight="true" outlineLevel="0" collapsed="false">
      <c r="A11" s="23" t="s">
        <v>217</v>
      </c>
      <c r="B11" s="23" t="s">
        <v>218</v>
      </c>
      <c r="C11" s="23" t="s">
        <v>219</v>
      </c>
    </row>
    <row r="12" customFormat="false" ht="15" hidden="false" customHeight="true" outlineLevel="0" collapsed="false">
      <c r="A12" s="23" t="s">
        <v>220</v>
      </c>
      <c r="B12" s="23" t="s">
        <v>221</v>
      </c>
      <c r="C12" s="23" t="s">
        <v>219</v>
      </c>
    </row>
    <row r="13" customFormat="false" ht="15" hidden="false" customHeight="true" outlineLevel="0" collapsed="false">
      <c r="A13" s="23" t="s">
        <v>222</v>
      </c>
      <c r="B13" s="23" t="s">
        <v>223</v>
      </c>
      <c r="C13" s="23" t="s">
        <v>219</v>
      </c>
    </row>
    <row r="14" customFormat="false" ht="15" hidden="false" customHeight="true" outlineLevel="0" collapsed="false">
      <c r="A14" s="23" t="s">
        <v>224</v>
      </c>
      <c r="B14" s="23" t="s">
        <v>225</v>
      </c>
      <c r="C14" s="23" t="s">
        <v>226</v>
      </c>
    </row>
    <row r="15" customFormat="false" ht="23.25" hidden="false" customHeight="true" outlineLevel="0" collapsed="false">
      <c r="A15" s="23" t="s">
        <v>227</v>
      </c>
      <c r="B15" s="23" t="s">
        <v>228</v>
      </c>
      <c r="C15" s="23" t="s">
        <v>229</v>
      </c>
    </row>
    <row r="16" customFormat="false" ht="15" hidden="false" customHeight="true" outlineLevel="0" collapsed="false">
      <c r="A16" s="23" t="s">
        <v>230</v>
      </c>
      <c r="B16" s="23" t="s">
        <v>231</v>
      </c>
      <c r="C16" s="23" t="s">
        <v>219</v>
      </c>
    </row>
    <row r="17" customFormat="false" ht="15" hidden="false" customHeight="true" outlineLevel="0" collapsed="false">
      <c r="A17" s="23" t="s">
        <v>232</v>
      </c>
      <c r="B17" s="23" t="s">
        <v>233</v>
      </c>
      <c r="C17" s="23" t="s">
        <v>226</v>
      </c>
    </row>
    <row r="18" customFormat="false" ht="15" hidden="false" customHeight="true" outlineLevel="0" collapsed="false">
      <c r="A18" s="23" t="s">
        <v>234</v>
      </c>
      <c r="B18" s="23" t="s">
        <v>235</v>
      </c>
      <c r="C18" s="23" t="s">
        <v>236</v>
      </c>
    </row>
    <row r="19" customFormat="false" ht="23.25" hidden="false" customHeight="true" outlineLevel="0" collapsed="false">
      <c r="A19" s="23" t="s">
        <v>237</v>
      </c>
      <c r="B19" s="23" t="s">
        <v>238</v>
      </c>
      <c r="C19" s="23" t="s">
        <v>239</v>
      </c>
    </row>
    <row r="20" customFormat="false" ht="23.25" hidden="false" customHeight="true" outlineLevel="0" collapsed="false">
      <c r="A20" s="23" t="s">
        <v>22</v>
      </c>
      <c r="B20" s="23" t="s">
        <v>240</v>
      </c>
      <c r="C20" s="23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2026-08-19T04:12:24Z</dcterms:created>
  <dc:creator>openpyxl</dc:creator>
  <dc:description/>
  <dc:language>en-US</dc:language>
  <cp:lastModifiedBy/>
  <dcterms:modified xsi:type="dcterms:W3CDTF">2026-08-19T04:12:58Z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