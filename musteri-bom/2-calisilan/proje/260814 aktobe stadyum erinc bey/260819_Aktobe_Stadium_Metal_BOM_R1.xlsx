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814 aktobe stadyum erinc bey\"/>
    </mc:Choice>
  </mc:AlternateContent>
  <xr:revisionPtr revIDLastSave="0" documentId="13_ncr:1_{397F9C99-C5DE-47F7-BA0F-0C29448EF859}" xr6:coauthVersionLast="47" xr6:coauthVersionMax="47" xr10:uidLastSave="{00000000-0000-0000-0000-000000000000}"/>
  <bookViews>
    <workbookView xWindow="-110" yWindow="-110" windowWidth="25820" windowHeight="13900" activeTab="1" xr2:uid="{00000000-000D-0000-FFFF-FFFF00000000}"/>
  </bookViews>
  <sheets>
    <sheet name="ÖZET" sheetId="1" r:id="rId1"/>
    <sheet name="BOM" sheetId="2" r:id="rId2"/>
    <sheet name="KAPSAM_KAYNAK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1" i="2" l="1"/>
  <c r="L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B14" i="1"/>
  <c r="E13" i="1" s="1"/>
  <c r="B13" i="1"/>
  <c r="B12" i="1"/>
  <c r="E11" i="1"/>
  <c r="B11" i="1"/>
  <c r="B10" i="1"/>
  <c r="B9" i="1"/>
  <c r="E15" i="1" l="1"/>
</calcChain>
</file>

<file path=xl/sharedStrings.xml><?xml version="1.0" encoding="utf-8"?>
<sst xmlns="http://schemas.openxmlformats.org/spreadsheetml/2006/main" count="282" uniqueCount="149">
  <si>
    <t>AKTÖBE FUTBOL STADI - METAL KONSTRÜKSİYON BOM</t>
  </si>
  <si>
    <t>Proje</t>
  </si>
  <si>
    <t>Aktöbe Futbol Stadı (II. etap)</t>
  </si>
  <si>
    <t>Ana kaynak</t>
  </si>
  <si>
    <t>№73-ПД-1-КМ, pafta 2 - Спецификация металлопроката</t>
  </si>
  <si>
    <t>BOM seviyesi</t>
  </si>
  <si>
    <t>KM tasarım metrajı; KMD kesim/adet listesi değildir</t>
  </si>
  <si>
    <t>ÖZET</t>
  </si>
  <si>
    <t>Tasarım miktarı (t)</t>
  </si>
  <si>
    <t>PLANLAMA PARAMETRESİ</t>
  </si>
  <si>
    <t>Değer</t>
  </si>
  <si>
    <t>I profiller</t>
  </si>
  <si>
    <t>Kaynak dikişi payı</t>
  </si>
  <si>
    <t>Bükme kanallar</t>
  </si>
  <si>
    <t>KMD netleştirme payı</t>
  </si>
  <si>
    <t>Kutu profiller</t>
  </si>
  <si>
    <t>Toplam planlama katsayısı</t>
  </si>
  <si>
    <t>Yuvarlak çelik Ø20</t>
  </si>
  <si>
    <t>Levhalar</t>
  </si>
  <si>
    <t>Planlama miktarı (t)</t>
  </si>
  <si>
    <t>TOPLAM</t>
  </si>
  <si>
    <t>Kontrol</t>
  </si>
  <si>
    <t>Beklenen kontrol</t>
  </si>
  <si>
    <t>0,0 t</t>
  </si>
  <si>
    <t>ÖNEMLİ: KM albümü toplam tonaj verir. Adet, tekil parça boyu, kesim optimizasyonu ve kaynaklı imalat pozları için KMD çizimleri gereklidir. Bu nedenle BOM’daki “Adet/Boy” alanları bilinçli olarak boş bırakılmıştır; tahmin yapılmamıştır.</t>
  </si>
  <si>
    <t>METAL PROFİL VE LEVHA BOM - №73-ПД-1-КМ</t>
  </si>
  <si>
    <t>Parametre</t>
  </si>
  <si>
    <t>Açıklama</t>
  </si>
  <si>
    <t>Planlama katsayısı</t>
  </si>
  <si>
    <t>%1,5 kaynak + %3 KMD netleştirme</t>
  </si>
  <si>
    <t>Poz</t>
  </si>
  <si>
    <t>Malzeme grubu</t>
  </si>
  <si>
    <t>Profil / kalınlık</t>
  </si>
  <si>
    <t>Çelik sınıfı</t>
  </si>
  <si>
    <t>Standart</t>
  </si>
  <si>
    <t>Ramalar ve kirişler (t)</t>
  </si>
  <si>
    <t>Aşıklar ve bağlar (t)</t>
  </si>
  <si>
    <t>Çelik karkas (t)</t>
  </si>
  <si>
    <t>Adet</t>
  </si>
  <si>
    <t>Tekil boy (mm)</t>
  </si>
  <si>
    <t>Toplam boy (m)</t>
  </si>
  <si>
    <t>Durum</t>
  </si>
  <si>
    <t>Kaynak</t>
  </si>
  <si>
    <t>I-01</t>
  </si>
  <si>
    <t>I25Б1</t>
  </si>
  <si>
    <t>C245</t>
  </si>
  <si>
    <t>GOST 35087-2024</t>
  </si>
  <si>
    <t>KM metrajı</t>
  </si>
  <si>
    <t>KM p.2</t>
  </si>
  <si>
    <t>I-02</t>
  </si>
  <si>
    <t>I35Б1</t>
  </si>
  <si>
    <t>I-03</t>
  </si>
  <si>
    <t>I40Б1</t>
  </si>
  <si>
    <t>I-04</t>
  </si>
  <si>
    <t>I25Ш1</t>
  </si>
  <si>
    <t>K-01</t>
  </si>
  <si>
    <t>Гн[160x80x5</t>
  </si>
  <si>
    <t>GOST 8278-83</t>
  </si>
  <si>
    <t>K-02</t>
  </si>
  <si>
    <t>Гн[220x100x6</t>
  </si>
  <si>
    <t>K-03</t>
  </si>
  <si>
    <t>Гн[250x80x5</t>
  </si>
  <si>
    <t>P-01</t>
  </si>
  <si>
    <t>Гн□80x80x4</t>
  </si>
  <si>
    <t>GOST 30245-2012</t>
  </si>
  <si>
    <t>P-02</t>
  </si>
  <si>
    <t>Гн□100x100x4</t>
  </si>
  <si>
    <t>P-03</t>
  </si>
  <si>
    <t>Гн□120x120x4</t>
  </si>
  <si>
    <t>P-04</t>
  </si>
  <si>
    <t>Гн□120x120x6</t>
  </si>
  <si>
    <t>Y-01</t>
  </si>
  <si>
    <t>Ø20</t>
  </si>
  <si>
    <t>GOST 2590-2006</t>
  </si>
  <si>
    <t>L-01</t>
  </si>
  <si>
    <t>t 5</t>
  </si>
  <si>
    <t>C255</t>
  </si>
  <si>
    <t>GOST 19903-2015</t>
  </si>
  <si>
    <t>L-02</t>
  </si>
  <si>
    <t>t 6</t>
  </si>
  <si>
    <t>L-03</t>
  </si>
  <si>
    <t>t 8</t>
  </si>
  <si>
    <t>L-04</t>
  </si>
  <si>
    <t>t 12</t>
  </si>
  <si>
    <t>L-05</t>
  </si>
  <si>
    <t>t 10</t>
  </si>
  <si>
    <t>C345</t>
  </si>
  <si>
    <t>L-06</t>
  </si>
  <si>
    <t>L-07</t>
  </si>
  <si>
    <t>t 14</t>
  </si>
  <si>
    <t>L-08</t>
  </si>
  <si>
    <t>t 16</t>
  </si>
  <si>
    <t>L-09</t>
  </si>
  <si>
    <t>t 20</t>
  </si>
  <si>
    <t>L-10</t>
  </si>
  <si>
    <t>t 25</t>
  </si>
  <si>
    <t>L-11</t>
  </si>
  <si>
    <t>t 30</t>
  </si>
  <si>
    <t>L-12</t>
  </si>
  <si>
    <t>t 40</t>
  </si>
  <si>
    <t>KAPSAM, KAYNAK VE KONTROL NOTLARI</t>
  </si>
  <si>
    <t>Dosya / Pafta</t>
  </si>
  <si>
    <t>Rol</t>
  </si>
  <si>
    <t>Kullanılan bilgi</t>
  </si>
  <si>
    <t>Dahil</t>
  </si>
  <si>
    <t>Hariç / Not</t>
  </si>
  <si>
    <t>6-ПД-КМ - Kopya.pdf / p.2</t>
  </si>
  <si>
    <t>Metal hadde ürünleri tonaj spesifikasyonu</t>
  </si>
  <si>
    <t>I profil, bükme kanal, kutu profil, Ø20, levha</t>
  </si>
  <si>
    <t>Adet ve kesim boyları yok</t>
  </si>
  <si>
    <t>Kullanıldı</t>
  </si>
  <si>
    <t>6-ПД-КМ - Kopya.pdf / p.3-11</t>
  </si>
  <si>
    <t>Geometri kontrolü</t>
  </si>
  <si>
    <t>Kolon, çatı, kiriş, aşık, kesit, çelik karkas şemaları</t>
  </si>
  <si>
    <t>BOM kapsamının yapı bölümleri</t>
  </si>
  <si>
    <t>KMD tekil parça listesi değildir</t>
  </si>
  <si>
    <t>Kontrol edildi</t>
  </si>
  <si>
    <t>КЖ Альбом 2 Часть 1 - 03.06.26 - Kopya.pdf</t>
  </si>
  <si>
    <t>Çapraz referans</t>
  </si>
  <si>
    <t>Betonarme ve çelik temas detayları</t>
  </si>
  <si>
    <t>Bu BOM’a doğrudan eklenmedi</t>
  </si>
  <si>
    <t>Donatı, beton ve gömülü parçalar ayrı disiplin</t>
  </si>
  <si>
    <t>Referans</t>
  </si>
  <si>
    <t>КЖ Альбом 2 Часть 2 - 29.05.2026 - Kopya.pdf</t>
  </si>
  <si>
    <t>Betonarme detayları</t>
  </si>
  <si>
    <t>КЖ Альбом 2 Часть 3 - 29.05.2026 - Kopya.pdf</t>
  </si>
  <si>
    <t>Kritik konu</t>
  </si>
  <si>
    <t>Gerekli belge</t>
  </si>
  <si>
    <t>Neden</t>
  </si>
  <si>
    <t>Sonraki çıktı</t>
  </si>
  <si>
    <t>Sorumlu</t>
  </si>
  <si>
    <t>Adet ve tekil boy</t>
  </si>
  <si>
    <t>KMD</t>
  </si>
  <si>
    <t>Kesim listesi ve üretim pozları için</t>
  </si>
  <si>
    <t>Parça/adet BOM</t>
  </si>
  <si>
    <t>Proje/KMD</t>
  </si>
  <si>
    <t>BEKLENİYOR</t>
  </si>
  <si>
    <t>Plaka ebatları</t>
  </si>
  <si>
    <t>Levha nesting ve fire hesabı için</t>
  </si>
  <si>
    <t>Sac kesim listesi</t>
  </si>
  <si>
    <t>Bağlantı elemanları</t>
  </si>
  <si>
    <t>KMD + düğüm detayları</t>
  </si>
  <si>
    <t>Cıvata, somun, rondela sınıf/adet için</t>
  </si>
  <si>
    <t>Bağlantı BOM</t>
  </si>
  <si>
    <t>Gömülü/ankraj parçaları</t>
  </si>
  <si>
    <t>KЖ + KMD koordinasyonu</t>
  </si>
  <si>
    <t>Betonarme kapsam sınırı için</t>
  </si>
  <si>
    <t>Ankraj/gömülü parça BOM</t>
  </si>
  <si>
    <t>AYRI KAPSAM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</si>
</sst>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"/>
    <numFmt numFmtId="166" formatCode="#,##0.0"/>
  </numFmts>
  <fonts count="7">
    <font>
      <sz val="11"/>
      <name val="Carlito"/>
    </font>
    <font>
      <b/>
      <sz val="10"/>
      <color rgb="FF1D2939"/>
      <name val="Arial"/>
    </font>
    <font>
      <sz val="10"/>
      <color rgb="FF1D2939"/>
      <name val="Arial"/>
    </font>
    <font>
      <b/>
      <sz val="18"/>
      <color rgb="FFFFFFFF"/>
      <name val="Arial"/>
    </font>
    <font>
      <b/>
      <sz val="16"/>
      <color rgb="FFFFFFFF"/>
      <name val="Arial"/>
    </font>
    <font>
      <b/>
      <sz val="10"/>
      <color theme="0"/>
      <name val="Arial"/>
      <family val="2"/>
      <charset val="162"/>
    </font>
    <font>
      <sz val="11"/>
      <color theme="0"/>
      <name val="Carlito"/>
      <charset val="162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CE4D6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D9EAF7"/>
      </patternFill>
    </fill>
  </fills>
  <borders count="19">
    <border>
      <left/>
      <right/>
      <top/>
      <bottom/>
      <diagonal/>
    </border>
    <border>
      <left/>
      <right style="thin">
        <color rgb="FFD0D5DD"/>
      </right>
      <top/>
      <bottom style="thin">
        <color rgb="FFD0D5DD"/>
      </bottom>
      <diagonal/>
    </border>
    <border>
      <left style="thin">
        <color rgb="FFD0D5DD"/>
      </left>
      <right/>
      <top/>
      <bottom style="thin">
        <color rgb="FFD0D5DD"/>
      </bottom>
      <diagonal/>
    </border>
    <border>
      <left/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rgb="FFD0D5DD"/>
      </left>
      <right/>
      <top style="thin">
        <color rgb="FFD0D5DD"/>
      </top>
      <bottom style="thin">
        <color rgb="FFD0D5DD"/>
      </bottom>
      <diagonal/>
    </border>
    <border>
      <left/>
      <right style="thin">
        <color rgb="FFD0D5DD"/>
      </right>
      <top style="thin">
        <color rgb="FFD0D5DD"/>
      </top>
      <bottom/>
      <diagonal/>
    </border>
    <border>
      <left style="thin">
        <color rgb="FFD0D5DD"/>
      </left>
      <right/>
      <top style="thin">
        <color rgb="FFD0D5DD"/>
      </top>
      <bottom/>
      <diagonal/>
    </border>
    <border>
      <left/>
      <right style="thin">
        <color rgb="FFD0D5DD"/>
      </right>
      <top style="thin">
        <color rgb="FFD0D5DD"/>
      </top>
      <bottom style="double">
        <color rgb="FF17365D"/>
      </bottom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double">
        <color rgb="FF17365D"/>
      </bottom>
      <diagonal/>
    </border>
    <border>
      <left/>
      <right style="thin">
        <color rgb="FFE4E7EC"/>
      </right>
      <top/>
      <bottom style="thin">
        <color rgb="FFE4E7EC"/>
      </bottom>
      <diagonal/>
    </border>
    <border>
      <left style="thin">
        <color rgb="FFE4E7EC"/>
      </left>
      <right style="thin">
        <color rgb="FFE4E7EC"/>
      </right>
      <top/>
      <bottom style="thin">
        <color rgb="FFE4E7EC"/>
      </bottom>
      <diagonal/>
    </border>
    <border>
      <left style="thin">
        <color rgb="FFE4E7EC"/>
      </left>
      <right/>
      <top/>
      <bottom style="thin">
        <color rgb="FFE4E7EC"/>
      </bottom>
      <diagonal/>
    </border>
    <border>
      <left/>
      <right style="thin">
        <color rgb="FFE4E7EC"/>
      </right>
      <top style="thin">
        <color rgb="FFE4E7EC"/>
      </top>
      <bottom style="thin">
        <color rgb="FFE4E7EC"/>
      </bottom>
      <diagonal/>
    </border>
    <border>
      <left style="thin">
        <color rgb="FFE4E7EC"/>
      </left>
      <right style="thin">
        <color rgb="FFE4E7EC"/>
      </right>
      <top style="thin">
        <color rgb="FFE4E7EC"/>
      </top>
      <bottom style="thin">
        <color rgb="FFE4E7EC"/>
      </bottom>
      <diagonal/>
    </border>
    <border>
      <left style="thin">
        <color rgb="FFE4E7EC"/>
      </left>
      <right/>
      <top style="thin">
        <color rgb="FFE4E7EC"/>
      </top>
      <bottom style="thin">
        <color rgb="FFE4E7EC"/>
      </bottom>
      <diagonal/>
    </border>
    <border>
      <left/>
      <right style="thin">
        <color rgb="FFE4E7EC"/>
      </right>
      <top style="thin">
        <color rgb="FFE4E7EC"/>
      </top>
      <bottom/>
      <diagonal/>
    </border>
    <border>
      <left style="thin">
        <color rgb="FFE4E7EC"/>
      </left>
      <right style="thin">
        <color rgb="FFE4E7EC"/>
      </right>
      <top style="thin">
        <color rgb="FFE4E7EC"/>
      </top>
      <bottom/>
      <diagonal/>
    </border>
    <border>
      <left style="thin">
        <color rgb="FFE4E7EC"/>
      </left>
      <right/>
      <top style="thin">
        <color rgb="FFE4E7EC"/>
      </top>
      <bottom/>
      <diagonal/>
    </border>
    <border>
      <left/>
      <right/>
      <top/>
      <bottom style="double">
        <color rgb="FF17365D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2" fillId="0" borderId="3" xfId="0" applyFont="1" applyBorder="1" applyAlignment="1">
      <alignment wrapText="1"/>
    </xf>
    <xf numFmtId="166" fontId="2" fillId="0" borderId="4" xfId="0" applyNumberFormat="1" applyFont="1" applyBorder="1" applyAlignment="1">
      <alignment wrapText="1"/>
    </xf>
    <xf numFmtId="0" fontId="2" fillId="0" borderId="1" xfId="0" applyFont="1" applyBorder="1" applyAlignment="1">
      <alignment wrapText="1"/>
    </xf>
    <xf numFmtId="164" fontId="2" fillId="5" borderId="2" xfId="0" applyNumberFormat="1" applyFont="1" applyFill="1" applyBorder="1" applyAlignment="1">
      <alignment wrapText="1"/>
    </xf>
    <xf numFmtId="164" fontId="2" fillId="5" borderId="4" xfId="0" applyNumberFormat="1" applyFont="1" applyFill="1" applyBorder="1" applyAlignment="1">
      <alignment wrapText="1"/>
    </xf>
    <xf numFmtId="165" fontId="2" fillId="0" borderId="4" xfId="0" applyNumberFormat="1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1" fillId="4" borderId="7" xfId="0" applyFont="1" applyFill="1" applyBorder="1" applyAlignment="1">
      <alignment wrapText="1"/>
    </xf>
    <xf numFmtId="166" fontId="1" fillId="4" borderId="8" xfId="0" applyNumberFormat="1" applyFont="1" applyFill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  <xf numFmtId="165" fontId="2" fillId="5" borderId="0" xfId="0" applyNumberFormat="1" applyFont="1" applyFill="1" applyAlignment="1">
      <alignment wrapText="1"/>
    </xf>
    <xf numFmtId="0" fontId="2" fillId="0" borderId="9" xfId="0" applyFont="1" applyBorder="1" applyAlignment="1">
      <alignment wrapText="1"/>
    </xf>
    <xf numFmtId="0" fontId="2" fillId="0" borderId="10" xfId="0" applyFont="1" applyBorder="1" applyAlignment="1">
      <alignment wrapText="1"/>
    </xf>
    <xf numFmtId="166" fontId="2" fillId="0" borderId="10" xfId="0" applyNumberFormat="1" applyFont="1" applyBorder="1" applyAlignment="1">
      <alignment wrapText="1"/>
    </xf>
    <xf numFmtId="0" fontId="2" fillId="6" borderId="10" xfId="0" applyFont="1" applyFill="1" applyBorder="1" applyAlignment="1">
      <alignment wrapText="1"/>
    </xf>
    <xf numFmtId="0" fontId="2" fillId="0" borderId="11" xfId="0" applyFont="1" applyBorder="1" applyAlignment="1">
      <alignment wrapText="1"/>
    </xf>
    <xf numFmtId="0" fontId="2" fillId="0" borderId="12" xfId="0" applyFont="1" applyBorder="1" applyAlignment="1">
      <alignment wrapText="1"/>
    </xf>
    <xf numFmtId="0" fontId="2" fillId="0" borderId="13" xfId="0" applyFont="1" applyBorder="1" applyAlignment="1">
      <alignment wrapText="1"/>
    </xf>
    <xf numFmtId="166" fontId="2" fillId="0" borderId="13" xfId="0" applyNumberFormat="1" applyFont="1" applyBorder="1" applyAlignment="1">
      <alignment wrapText="1"/>
    </xf>
    <xf numFmtId="0" fontId="2" fillId="6" borderId="13" xfId="0" applyFont="1" applyFill="1" applyBorder="1" applyAlignment="1">
      <alignment wrapText="1"/>
    </xf>
    <xf numFmtId="0" fontId="2" fillId="0" borderId="14" xfId="0" applyFont="1" applyBorder="1" applyAlignment="1">
      <alignment wrapText="1"/>
    </xf>
    <xf numFmtId="0" fontId="2" fillId="0" borderId="15" xfId="0" applyFont="1" applyBorder="1" applyAlignment="1">
      <alignment wrapText="1"/>
    </xf>
    <xf numFmtId="0" fontId="2" fillId="0" borderId="16" xfId="0" applyFont="1" applyBorder="1" applyAlignment="1">
      <alignment wrapText="1"/>
    </xf>
    <xf numFmtId="166" fontId="2" fillId="0" borderId="16" xfId="0" applyNumberFormat="1" applyFont="1" applyBorder="1" applyAlignment="1">
      <alignment wrapText="1"/>
    </xf>
    <xf numFmtId="0" fontId="2" fillId="6" borderId="16" xfId="0" applyFont="1" applyFill="1" applyBorder="1" applyAlignment="1">
      <alignment wrapText="1"/>
    </xf>
    <xf numFmtId="0" fontId="2" fillId="0" borderId="17" xfId="0" applyFont="1" applyBorder="1" applyAlignment="1">
      <alignment wrapText="1"/>
    </xf>
    <xf numFmtId="166" fontId="1" fillId="4" borderId="18" xfId="0" applyNumberFormat="1" applyFont="1" applyFill="1" applyBorder="1" applyAlignment="1">
      <alignment wrapText="1"/>
    </xf>
    <xf numFmtId="0" fontId="1" fillId="3" borderId="11" xfId="0" applyFont="1" applyFill="1" applyBorder="1" applyAlignment="1">
      <alignment wrapText="1"/>
    </xf>
    <xf numFmtId="0" fontId="1" fillId="3" borderId="14" xfId="0" applyFont="1" applyFill="1" applyBorder="1" applyAlignment="1">
      <alignment wrapText="1"/>
    </xf>
    <xf numFmtId="0" fontId="1" fillId="3" borderId="17" xfId="0" applyFont="1" applyFill="1" applyBorder="1" applyAlignment="1">
      <alignment wrapText="1"/>
    </xf>
    <xf numFmtId="0" fontId="3" fillId="2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1" fillId="4" borderId="18" xfId="0" applyFont="1" applyFill="1" applyBorder="1" applyAlignment="1">
      <alignment wrapText="1"/>
    </xf>
    <xf numFmtId="166" fontId="1" fillId="4" borderId="18" xfId="0" applyNumberFormat="1" applyFont="1" applyFill="1" applyBorder="1" applyAlignment="1">
      <alignment wrapText="1"/>
    </xf>
    <xf numFmtId="0" fontId="5" fillId="2" borderId="0" xfId="0" applyFont="1" applyFill="1" applyAlignment="1">
      <alignment vertical="center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showGridLines="0" workbookViewId="0">
      <selection sqref="A1:H2"/>
    </sheetView>
  </sheetViews>
  <sheetFormatPr defaultRowHeight="14"/>
  <cols>
    <col min="1" max="1" width="26" customWidth="1"/>
    <col min="2" max="2" width="52" customWidth="1"/>
    <col min="3" max="3" width="3" customWidth="1"/>
    <col min="4" max="4" width="30" customWidth="1"/>
    <col min="5" max="5" width="18" customWidth="1"/>
    <col min="6" max="8" width="12" customWidth="1"/>
  </cols>
  <sheetData>
    <row r="1" spans="1:8">
      <c r="A1" s="37" t="s">
        <v>0</v>
      </c>
      <c r="B1" s="37"/>
      <c r="C1" s="37"/>
      <c r="D1" s="37"/>
      <c r="E1" s="37"/>
      <c r="F1" s="37"/>
      <c r="G1" s="37"/>
      <c r="H1" s="37"/>
    </row>
    <row r="2" spans="1:8">
      <c r="A2" s="37"/>
      <c r="B2" s="37"/>
      <c r="C2" s="37"/>
      <c r="D2" s="37"/>
      <c r="E2" s="37"/>
      <c r="F2" s="37"/>
      <c r="G2" s="37"/>
      <c r="H2" s="37"/>
    </row>
    <row r="3" spans="1:8" ht="15" customHeight="1">
      <c r="A3" s="4"/>
      <c r="B3" s="4"/>
      <c r="C3" s="4"/>
      <c r="D3" s="4"/>
      <c r="E3" s="4"/>
      <c r="F3" s="4"/>
      <c r="G3" s="4"/>
      <c r="H3" s="4"/>
    </row>
    <row r="4" spans="1:8" ht="15" customHeight="1">
      <c r="A4" s="5" t="s">
        <v>1</v>
      </c>
      <c r="B4" s="4" t="s">
        <v>2</v>
      </c>
      <c r="C4" s="4"/>
      <c r="D4" s="4"/>
      <c r="E4" s="4"/>
      <c r="F4" s="4"/>
      <c r="G4" s="4"/>
      <c r="H4" s="4"/>
    </row>
    <row r="5" spans="1:8" ht="15" customHeight="1">
      <c r="A5" s="5" t="s">
        <v>3</v>
      </c>
      <c r="B5" s="4" t="s">
        <v>4</v>
      </c>
      <c r="C5" s="4"/>
      <c r="D5" s="4"/>
      <c r="E5" s="4"/>
      <c r="F5" s="4"/>
      <c r="G5" s="4"/>
      <c r="H5" s="4"/>
    </row>
    <row r="6" spans="1:8" ht="15" customHeight="1">
      <c r="A6" s="5" t="s">
        <v>5</v>
      </c>
      <c r="B6" s="4" t="s">
        <v>6</v>
      </c>
      <c r="C6" s="4"/>
      <c r="D6" s="4"/>
      <c r="E6" s="4"/>
      <c r="F6" s="4"/>
      <c r="G6" s="4"/>
      <c r="H6" s="4"/>
    </row>
    <row r="7" spans="1:8" ht="15" customHeight="1">
      <c r="A7" s="4"/>
      <c r="B7" s="4"/>
      <c r="C7" s="4"/>
      <c r="D7" s="4"/>
      <c r="E7" s="4"/>
      <c r="F7" s="4"/>
      <c r="G7" s="4"/>
      <c r="H7" s="4"/>
    </row>
    <row r="8" spans="1:8" ht="15" customHeight="1">
      <c r="A8" s="1" t="s">
        <v>7</v>
      </c>
      <c r="B8" s="2" t="s">
        <v>8</v>
      </c>
      <c r="C8" s="4"/>
      <c r="D8" s="3" t="s">
        <v>9</v>
      </c>
      <c r="E8" s="3" t="s">
        <v>10</v>
      </c>
      <c r="F8" s="4"/>
      <c r="G8" s="4"/>
      <c r="H8" s="4"/>
    </row>
    <row r="9" spans="1:8" ht="15" customHeight="1">
      <c r="A9" s="6" t="s">
        <v>11</v>
      </c>
      <c r="B9" s="7">
        <f>SUMIF(BOM!$B$7:$B$30,A9,BOM!$L$7:$L$30)</f>
        <v>530</v>
      </c>
      <c r="C9" s="4"/>
      <c r="D9" s="8" t="s">
        <v>12</v>
      </c>
      <c r="E9" s="9">
        <v>1.4999999999999999E-2</v>
      </c>
      <c r="F9" s="4"/>
      <c r="G9" s="4"/>
      <c r="H9" s="4"/>
    </row>
    <row r="10" spans="1:8" ht="15" customHeight="1">
      <c r="A10" s="6" t="s">
        <v>13</v>
      </c>
      <c r="B10" s="7">
        <f>SUMIF(BOM!$B$7:$B$30,A10,BOM!$L$7:$L$30)</f>
        <v>116</v>
      </c>
      <c r="C10" s="4"/>
      <c r="D10" s="6" t="s">
        <v>14</v>
      </c>
      <c r="E10" s="10">
        <v>0.03</v>
      </c>
      <c r="F10" s="4"/>
      <c r="G10" s="4"/>
      <c r="H10" s="4"/>
    </row>
    <row r="11" spans="1:8" ht="15" customHeight="1">
      <c r="A11" s="6" t="s">
        <v>15</v>
      </c>
      <c r="B11" s="7">
        <f>SUMIF(BOM!$B$7:$B$30,A11,BOM!$L$7:$L$30)</f>
        <v>34.5</v>
      </c>
      <c r="C11" s="4"/>
      <c r="D11" s="6" t="s">
        <v>16</v>
      </c>
      <c r="E11" s="11">
        <f>1+E9+E10</f>
        <v>1.0449999999999999</v>
      </c>
      <c r="F11" s="4"/>
      <c r="G11" s="4"/>
      <c r="H11" s="4"/>
    </row>
    <row r="12" spans="1:8" ht="15" customHeight="1">
      <c r="A12" s="6" t="s">
        <v>17</v>
      </c>
      <c r="B12" s="7">
        <f>SUMIF(BOM!$B$7:$B$30,A12,BOM!$L$7:$L$30)</f>
        <v>6</v>
      </c>
      <c r="C12" s="4"/>
      <c r="D12" s="6"/>
      <c r="E12" s="12"/>
      <c r="F12" s="4"/>
      <c r="G12" s="4"/>
      <c r="H12" s="4"/>
    </row>
    <row r="13" spans="1:8" ht="15" customHeight="1">
      <c r="A13" s="6" t="s">
        <v>18</v>
      </c>
      <c r="B13" s="7">
        <f>SUMIF(BOM!$B$7:$B$30,A13,BOM!$L$7:$L$30)</f>
        <v>1546</v>
      </c>
      <c r="C13" s="4"/>
      <c r="D13" s="6" t="s">
        <v>19</v>
      </c>
      <c r="E13" s="7">
        <f>B14*E11</f>
        <v>2332.9624999999996</v>
      </c>
      <c r="F13" s="4"/>
      <c r="G13" s="4"/>
      <c r="H13" s="4"/>
    </row>
    <row r="14" spans="1:8" ht="15" customHeight="1">
      <c r="A14" s="13" t="s">
        <v>20</v>
      </c>
      <c r="B14" s="14">
        <f>SUM(BOM!$L$7:$L$30)</f>
        <v>2232.5</v>
      </c>
      <c r="C14" s="4"/>
      <c r="D14" s="6"/>
      <c r="E14" s="7"/>
      <c r="F14" s="4"/>
      <c r="G14" s="4"/>
      <c r="H14" s="4"/>
    </row>
    <row r="15" spans="1:8" ht="15" customHeight="1">
      <c r="A15" s="4"/>
      <c r="B15" s="4"/>
      <c r="C15" s="4"/>
      <c r="D15" s="6" t="s">
        <v>21</v>
      </c>
      <c r="E15" s="7">
        <f>B14-2232.5</f>
        <v>0</v>
      </c>
      <c r="F15" s="4"/>
      <c r="G15" s="4"/>
      <c r="H15" s="4"/>
    </row>
    <row r="16" spans="1:8" ht="15" customHeight="1">
      <c r="A16" s="4"/>
      <c r="B16" s="4"/>
      <c r="C16" s="4"/>
      <c r="D16" s="15" t="s">
        <v>22</v>
      </c>
      <c r="E16" s="16" t="s">
        <v>23</v>
      </c>
      <c r="F16" s="4"/>
      <c r="G16" s="4"/>
      <c r="H16" s="4"/>
    </row>
    <row r="17" spans="1:8" ht="15" customHeight="1">
      <c r="A17" s="4"/>
      <c r="B17" s="4"/>
      <c r="C17" s="4"/>
      <c r="D17" s="4"/>
      <c r="E17" s="4"/>
      <c r="F17" s="4"/>
      <c r="G17" s="4"/>
      <c r="H17" s="4"/>
    </row>
    <row r="18" spans="1:8">
      <c r="A18" s="38" t="s">
        <v>24</v>
      </c>
      <c r="B18" s="38"/>
      <c r="C18" s="38"/>
      <c r="D18" s="38"/>
      <c r="E18" s="38"/>
      <c r="F18" s="38"/>
      <c r="G18" s="38"/>
      <c r="H18" s="38"/>
    </row>
    <row r="19" spans="1:8">
      <c r="A19" s="38"/>
      <c r="B19" s="38"/>
      <c r="C19" s="38"/>
      <c r="D19" s="38"/>
      <c r="E19" s="38"/>
      <c r="F19" s="38"/>
      <c r="G19" s="38"/>
      <c r="H19" s="38"/>
    </row>
    <row r="20" spans="1:8">
      <c r="A20" s="38"/>
      <c r="B20" s="38"/>
      <c r="C20" s="38"/>
      <c r="D20" s="38"/>
      <c r="E20" s="38"/>
      <c r="F20" s="38"/>
      <c r="G20" s="38"/>
      <c r="H20" s="38"/>
    </row>
  </sheetData>
  <mergeCells count="2">
    <mergeCell ref="A1:H2"/>
    <mergeCell ref="A18:H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1"/>
  <sheetViews>
    <sheetView showGridLines="0" tabSelected="1" workbookViewId="0">
      <selection activeCell="K32" sqref="K32"/>
    </sheetView>
  </sheetViews>
  <sheetFormatPr defaultRowHeight="14"/>
  <cols>
    <col min="1" max="1" width="10" customWidth="1"/>
    <col min="2" max="2" width="22" customWidth="1"/>
    <col min="3" max="3" width="20" customWidth="1"/>
    <col min="4" max="5" width="18" customWidth="1"/>
    <col min="6" max="8" width="16" customWidth="1"/>
    <col min="9" max="11" width="13" customWidth="1"/>
    <col min="12" max="13" width="17" customWidth="1"/>
    <col min="14" max="14" width="16" customWidth="1"/>
    <col min="15" max="15" width="12" customWidth="1"/>
  </cols>
  <sheetData>
    <row r="1" spans="1:15">
      <c r="A1" s="39" t="s">
        <v>25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</row>
    <row r="2" spans="1:15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</row>
    <row r="3" spans="1:15" ht="1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5" customHeight="1">
      <c r="A4" s="4" t="s">
        <v>26</v>
      </c>
      <c r="B4" s="4" t="s">
        <v>10</v>
      </c>
      <c r="C4" s="4" t="s">
        <v>27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24" customHeight="1">
      <c r="A5" s="4" t="s">
        <v>28</v>
      </c>
      <c r="B5" s="17">
        <v>1.0449999999999999</v>
      </c>
      <c r="C5" s="4" t="s">
        <v>29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5" s="43" customFormat="1" ht="15" customHeight="1">
      <c r="A6" s="42" t="s">
        <v>30</v>
      </c>
      <c r="B6" s="42" t="s">
        <v>31</v>
      </c>
      <c r="C6" s="42" t="s">
        <v>32</v>
      </c>
      <c r="D6" s="42" t="s">
        <v>33</v>
      </c>
      <c r="E6" s="42" t="s">
        <v>34</v>
      </c>
      <c r="F6" s="42" t="s">
        <v>35</v>
      </c>
      <c r="G6" s="42" t="s">
        <v>36</v>
      </c>
      <c r="H6" s="42" t="s">
        <v>37</v>
      </c>
      <c r="I6" s="42" t="s">
        <v>38</v>
      </c>
      <c r="J6" s="42" t="s">
        <v>39</v>
      </c>
      <c r="K6" s="42" t="s">
        <v>40</v>
      </c>
      <c r="L6" s="42" t="s">
        <v>8</v>
      </c>
      <c r="M6" s="42" t="s">
        <v>19</v>
      </c>
      <c r="N6" s="42" t="s">
        <v>41</v>
      </c>
      <c r="O6" s="42" t="s">
        <v>42</v>
      </c>
    </row>
    <row r="7" spans="1:15" ht="15" customHeight="1">
      <c r="A7" s="18" t="s">
        <v>43</v>
      </c>
      <c r="B7" s="19" t="s">
        <v>11</v>
      </c>
      <c r="C7" s="19" t="s">
        <v>44</v>
      </c>
      <c r="D7" s="19" t="s">
        <v>45</v>
      </c>
      <c r="E7" s="19" t="s">
        <v>46</v>
      </c>
      <c r="F7" s="20">
        <v>0</v>
      </c>
      <c r="G7" s="20">
        <v>360</v>
      </c>
      <c r="H7" s="20">
        <v>0</v>
      </c>
      <c r="I7" s="20"/>
      <c r="J7" s="20"/>
      <c r="K7" s="20"/>
      <c r="L7" s="20">
        <v>360</v>
      </c>
      <c r="M7" s="20">
        <f t="shared" ref="M7:M30" si="0">L7*$B$5</f>
        <v>376.2</v>
      </c>
      <c r="N7" s="21" t="s">
        <v>47</v>
      </c>
      <c r="O7" s="22" t="s">
        <v>48</v>
      </c>
    </row>
    <row r="8" spans="1:15" ht="15" customHeight="1">
      <c r="A8" s="23" t="s">
        <v>49</v>
      </c>
      <c r="B8" s="24" t="s">
        <v>11</v>
      </c>
      <c r="C8" s="24" t="s">
        <v>50</v>
      </c>
      <c r="D8" s="24" t="s">
        <v>45</v>
      </c>
      <c r="E8" s="24" t="s">
        <v>46</v>
      </c>
      <c r="F8" s="25">
        <v>0</v>
      </c>
      <c r="G8" s="25">
        <v>95</v>
      </c>
      <c r="H8" s="25">
        <v>0</v>
      </c>
      <c r="I8" s="25"/>
      <c r="J8" s="25"/>
      <c r="K8" s="25"/>
      <c r="L8" s="25">
        <v>95</v>
      </c>
      <c r="M8" s="25">
        <f t="shared" si="0"/>
        <v>99.274999999999991</v>
      </c>
      <c r="N8" s="26" t="s">
        <v>47</v>
      </c>
      <c r="O8" s="27" t="s">
        <v>48</v>
      </c>
    </row>
    <row r="9" spans="1:15" ht="15" customHeight="1">
      <c r="A9" s="23" t="s">
        <v>51</v>
      </c>
      <c r="B9" s="24" t="s">
        <v>11</v>
      </c>
      <c r="C9" s="24" t="s">
        <v>52</v>
      </c>
      <c r="D9" s="24" t="s">
        <v>45</v>
      </c>
      <c r="E9" s="24" t="s">
        <v>46</v>
      </c>
      <c r="F9" s="25">
        <v>0</v>
      </c>
      <c r="G9" s="25">
        <v>30</v>
      </c>
      <c r="H9" s="25">
        <v>0</v>
      </c>
      <c r="I9" s="25"/>
      <c r="J9" s="25"/>
      <c r="K9" s="25"/>
      <c r="L9" s="25">
        <v>30</v>
      </c>
      <c r="M9" s="25">
        <f t="shared" si="0"/>
        <v>31.349999999999998</v>
      </c>
      <c r="N9" s="26" t="s">
        <v>47</v>
      </c>
      <c r="O9" s="27" t="s">
        <v>48</v>
      </c>
    </row>
    <row r="10" spans="1:15" ht="15" customHeight="1">
      <c r="A10" s="23" t="s">
        <v>53</v>
      </c>
      <c r="B10" s="24" t="s">
        <v>11</v>
      </c>
      <c r="C10" s="24" t="s">
        <v>54</v>
      </c>
      <c r="D10" s="24" t="s">
        <v>45</v>
      </c>
      <c r="E10" s="24" t="s">
        <v>46</v>
      </c>
      <c r="F10" s="25">
        <v>0</v>
      </c>
      <c r="G10" s="25">
        <v>45</v>
      </c>
      <c r="H10" s="25">
        <v>0</v>
      </c>
      <c r="I10" s="25"/>
      <c r="J10" s="25"/>
      <c r="K10" s="25"/>
      <c r="L10" s="25">
        <v>45</v>
      </c>
      <c r="M10" s="25">
        <f t="shared" si="0"/>
        <v>47.024999999999999</v>
      </c>
      <c r="N10" s="26" t="s">
        <v>47</v>
      </c>
      <c r="O10" s="27" t="s">
        <v>48</v>
      </c>
    </row>
    <row r="11" spans="1:15" ht="15" customHeight="1">
      <c r="A11" s="23" t="s">
        <v>55</v>
      </c>
      <c r="B11" s="24" t="s">
        <v>13</v>
      </c>
      <c r="C11" s="24" t="s">
        <v>56</v>
      </c>
      <c r="D11" s="24" t="s">
        <v>45</v>
      </c>
      <c r="E11" s="24" t="s">
        <v>57</v>
      </c>
      <c r="F11" s="25">
        <v>0</v>
      </c>
      <c r="G11" s="25">
        <v>0</v>
      </c>
      <c r="H11" s="25">
        <v>80</v>
      </c>
      <c r="I11" s="25"/>
      <c r="J11" s="25"/>
      <c r="K11" s="25"/>
      <c r="L11" s="25">
        <v>80</v>
      </c>
      <c r="M11" s="25">
        <f t="shared" si="0"/>
        <v>83.6</v>
      </c>
      <c r="N11" s="26" t="s">
        <v>47</v>
      </c>
      <c r="O11" s="27" t="s">
        <v>48</v>
      </c>
    </row>
    <row r="12" spans="1:15" ht="15" customHeight="1">
      <c r="A12" s="23" t="s">
        <v>58</v>
      </c>
      <c r="B12" s="24" t="s">
        <v>13</v>
      </c>
      <c r="C12" s="24" t="s">
        <v>59</v>
      </c>
      <c r="D12" s="24" t="s">
        <v>45</v>
      </c>
      <c r="E12" s="24" t="s">
        <v>57</v>
      </c>
      <c r="F12" s="25">
        <v>0</v>
      </c>
      <c r="G12" s="25">
        <v>0</v>
      </c>
      <c r="H12" s="25">
        <v>26</v>
      </c>
      <c r="I12" s="25"/>
      <c r="J12" s="25"/>
      <c r="K12" s="25"/>
      <c r="L12" s="25">
        <v>26</v>
      </c>
      <c r="M12" s="25">
        <f t="shared" si="0"/>
        <v>27.169999999999998</v>
      </c>
      <c r="N12" s="26" t="s">
        <v>47</v>
      </c>
      <c r="O12" s="27" t="s">
        <v>48</v>
      </c>
    </row>
    <row r="13" spans="1:15" ht="15" customHeight="1">
      <c r="A13" s="23" t="s">
        <v>60</v>
      </c>
      <c r="B13" s="24" t="s">
        <v>13</v>
      </c>
      <c r="C13" s="24" t="s">
        <v>61</v>
      </c>
      <c r="D13" s="24" t="s">
        <v>45</v>
      </c>
      <c r="E13" s="24" t="s">
        <v>57</v>
      </c>
      <c r="F13" s="25">
        <v>0</v>
      </c>
      <c r="G13" s="25">
        <v>10</v>
      </c>
      <c r="H13" s="25">
        <v>0</v>
      </c>
      <c r="I13" s="25"/>
      <c r="J13" s="25"/>
      <c r="K13" s="25"/>
      <c r="L13" s="25">
        <v>10</v>
      </c>
      <c r="M13" s="25">
        <f t="shared" si="0"/>
        <v>10.45</v>
      </c>
      <c r="N13" s="26" t="s">
        <v>47</v>
      </c>
      <c r="O13" s="27" t="s">
        <v>48</v>
      </c>
    </row>
    <row r="14" spans="1:15" ht="15" customHeight="1">
      <c r="A14" s="23" t="s">
        <v>62</v>
      </c>
      <c r="B14" s="24" t="s">
        <v>15</v>
      </c>
      <c r="C14" s="24" t="s">
        <v>63</v>
      </c>
      <c r="D14" s="24" t="s">
        <v>45</v>
      </c>
      <c r="E14" s="24" t="s">
        <v>64</v>
      </c>
      <c r="F14" s="25">
        <v>0</v>
      </c>
      <c r="G14" s="25">
        <v>8</v>
      </c>
      <c r="H14" s="25">
        <v>3</v>
      </c>
      <c r="I14" s="25"/>
      <c r="J14" s="25"/>
      <c r="K14" s="25"/>
      <c r="L14" s="25">
        <v>11</v>
      </c>
      <c r="M14" s="25">
        <f t="shared" si="0"/>
        <v>11.494999999999999</v>
      </c>
      <c r="N14" s="26" t="s">
        <v>47</v>
      </c>
      <c r="O14" s="27" t="s">
        <v>48</v>
      </c>
    </row>
    <row r="15" spans="1:15" ht="15" customHeight="1">
      <c r="A15" s="23" t="s">
        <v>65</v>
      </c>
      <c r="B15" s="24" t="s">
        <v>15</v>
      </c>
      <c r="C15" s="24" t="s">
        <v>66</v>
      </c>
      <c r="D15" s="24" t="s">
        <v>45</v>
      </c>
      <c r="E15" s="24" t="s">
        <v>64</v>
      </c>
      <c r="F15" s="25">
        <v>0</v>
      </c>
      <c r="G15" s="25">
        <v>13</v>
      </c>
      <c r="H15" s="25">
        <v>0</v>
      </c>
      <c r="I15" s="25"/>
      <c r="J15" s="25"/>
      <c r="K15" s="25"/>
      <c r="L15" s="25">
        <v>13</v>
      </c>
      <c r="M15" s="25">
        <f t="shared" si="0"/>
        <v>13.584999999999999</v>
      </c>
      <c r="N15" s="26" t="s">
        <v>47</v>
      </c>
      <c r="O15" s="27" t="s">
        <v>48</v>
      </c>
    </row>
    <row r="16" spans="1:15" ht="15" customHeight="1">
      <c r="A16" s="23" t="s">
        <v>67</v>
      </c>
      <c r="B16" s="24" t="s">
        <v>15</v>
      </c>
      <c r="C16" s="24" t="s">
        <v>68</v>
      </c>
      <c r="D16" s="24" t="s">
        <v>45</v>
      </c>
      <c r="E16" s="24" t="s">
        <v>64</v>
      </c>
      <c r="F16" s="25">
        <v>0</v>
      </c>
      <c r="G16" s="25">
        <v>2</v>
      </c>
      <c r="H16" s="25">
        <v>0</v>
      </c>
      <c r="I16" s="25"/>
      <c r="J16" s="25"/>
      <c r="K16" s="25"/>
      <c r="L16" s="25">
        <v>2</v>
      </c>
      <c r="M16" s="25">
        <f t="shared" si="0"/>
        <v>2.09</v>
      </c>
      <c r="N16" s="26" t="s">
        <v>47</v>
      </c>
      <c r="O16" s="27" t="s">
        <v>48</v>
      </c>
    </row>
    <row r="17" spans="1:15" ht="15" customHeight="1">
      <c r="A17" s="23" t="s">
        <v>69</v>
      </c>
      <c r="B17" s="24" t="s">
        <v>15</v>
      </c>
      <c r="C17" s="24" t="s">
        <v>70</v>
      </c>
      <c r="D17" s="24" t="s">
        <v>45</v>
      </c>
      <c r="E17" s="24" t="s">
        <v>64</v>
      </c>
      <c r="F17" s="25">
        <v>0</v>
      </c>
      <c r="G17" s="25">
        <v>8.5</v>
      </c>
      <c r="H17" s="25">
        <v>0</v>
      </c>
      <c r="I17" s="25"/>
      <c r="J17" s="25"/>
      <c r="K17" s="25"/>
      <c r="L17" s="25">
        <v>8.5</v>
      </c>
      <c r="M17" s="25">
        <f t="shared" si="0"/>
        <v>8.8825000000000003</v>
      </c>
      <c r="N17" s="26" t="s">
        <v>47</v>
      </c>
      <c r="O17" s="27" t="s">
        <v>48</v>
      </c>
    </row>
    <row r="18" spans="1:15" ht="15" customHeight="1">
      <c r="A18" s="23" t="s">
        <v>71</v>
      </c>
      <c r="B18" s="24" t="s">
        <v>17</v>
      </c>
      <c r="C18" s="24" t="s">
        <v>72</v>
      </c>
      <c r="D18" s="24" t="s">
        <v>45</v>
      </c>
      <c r="E18" s="24" t="s">
        <v>73</v>
      </c>
      <c r="F18" s="25">
        <v>0</v>
      </c>
      <c r="G18" s="25">
        <v>0</v>
      </c>
      <c r="H18" s="25">
        <v>6</v>
      </c>
      <c r="I18" s="25"/>
      <c r="J18" s="25"/>
      <c r="K18" s="25"/>
      <c r="L18" s="25">
        <v>6</v>
      </c>
      <c r="M18" s="25">
        <f t="shared" si="0"/>
        <v>6.27</v>
      </c>
      <c r="N18" s="26" t="s">
        <v>47</v>
      </c>
      <c r="O18" s="27" t="s">
        <v>48</v>
      </c>
    </row>
    <row r="19" spans="1:15" ht="15" customHeight="1">
      <c r="A19" s="23" t="s">
        <v>74</v>
      </c>
      <c r="B19" s="24" t="s">
        <v>18</v>
      </c>
      <c r="C19" s="24" t="s">
        <v>75</v>
      </c>
      <c r="D19" s="24" t="s">
        <v>76</v>
      </c>
      <c r="E19" s="24" t="s">
        <v>77</v>
      </c>
      <c r="F19" s="25">
        <v>0</v>
      </c>
      <c r="G19" s="25">
        <v>4</v>
      </c>
      <c r="H19" s="25">
        <v>2</v>
      </c>
      <c r="I19" s="25"/>
      <c r="J19" s="25"/>
      <c r="K19" s="25"/>
      <c r="L19" s="25">
        <v>6</v>
      </c>
      <c r="M19" s="25">
        <f t="shared" si="0"/>
        <v>6.27</v>
      </c>
      <c r="N19" s="26" t="s">
        <v>47</v>
      </c>
      <c r="O19" s="27" t="s">
        <v>48</v>
      </c>
    </row>
    <row r="20" spans="1:15" ht="15" customHeight="1">
      <c r="A20" s="23" t="s">
        <v>78</v>
      </c>
      <c r="B20" s="24" t="s">
        <v>18</v>
      </c>
      <c r="C20" s="24" t="s">
        <v>79</v>
      </c>
      <c r="D20" s="24" t="s">
        <v>76</v>
      </c>
      <c r="E20" s="24" t="s">
        <v>77</v>
      </c>
      <c r="F20" s="25">
        <v>0</v>
      </c>
      <c r="G20" s="25">
        <v>20</v>
      </c>
      <c r="H20" s="25">
        <v>3</v>
      </c>
      <c r="I20" s="25"/>
      <c r="J20" s="25"/>
      <c r="K20" s="25"/>
      <c r="L20" s="25">
        <v>23</v>
      </c>
      <c r="M20" s="25">
        <f t="shared" si="0"/>
        <v>24.034999999999997</v>
      </c>
      <c r="N20" s="26" t="s">
        <v>47</v>
      </c>
      <c r="O20" s="27" t="s">
        <v>48</v>
      </c>
    </row>
    <row r="21" spans="1:15" ht="15" customHeight="1">
      <c r="A21" s="23" t="s">
        <v>80</v>
      </c>
      <c r="B21" s="24" t="s">
        <v>18</v>
      </c>
      <c r="C21" s="24" t="s">
        <v>81</v>
      </c>
      <c r="D21" s="24" t="s">
        <v>76</v>
      </c>
      <c r="E21" s="24" t="s">
        <v>77</v>
      </c>
      <c r="F21" s="25">
        <v>0</v>
      </c>
      <c r="G21" s="25">
        <v>8</v>
      </c>
      <c r="H21" s="25">
        <v>12</v>
      </c>
      <c r="I21" s="25"/>
      <c r="J21" s="25"/>
      <c r="K21" s="25"/>
      <c r="L21" s="25">
        <v>20</v>
      </c>
      <c r="M21" s="25">
        <f t="shared" si="0"/>
        <v>20.9</v>
      </c>
      <c r="N21" s="26" t="s">
        <v>47</v>
      </c>
      <c r="O21" s="27" t="s">
        <v>48</v>
      </c>
    </row>
    <row r="22" spans="1:15" ht="15" customHeight="1">
      <c r="A22" s="23" t="s">
        <v>82</v>
      </c>
      <c r="B22" s="24" t="s">
        <v>18</v>
      </c>
      <c r="C22" s="24" t="s">
        <v>83</v>
      </c>
      <c r="D22" s="24" t="s">
        <v>76</v>
      </c>
      <c r="E22" s="24" t="s">
        <v>77</v>
      </c>
      <c r="F22" s="25">
        <v>0</v>
      </c>
      <c r="G22" s="25">
        <v>0</v>
      </c>
      <c r="H22" s="25">
        <v>14</v>
      </c>
      <c r="I22" s="25"/>
      <c r="J22" s="25"/>
      <c r="K22" s="25"/>
      <c r="L22" s="25">
        <v>14</v>
      </c>
      <c r="M22" s="25">
        <f t="shared" si="0"/>
        <v>14.629999999999999</v>
      </c>
      <c r="N22" s="26" t="s">
        <v>47</v>
      </c>
      <c r="O22" s="27" t="s">
        <v>48</v>
      </c>
    </row>
    <row r="23" spans="1:15" ht="15" customHeight="1">
      <c r="A23" s="23" t="s">
        <v>84</v>
      </c>
      <c r="B23" s="24" t="s">
        <v>18</v>
      </c>
      <c r="C23" s="24" t="s">
        <v>85</v>
      </c>
      <c r="D23" s="24" t="s">
        <v>86</v>
      </c>
      <c r="E23" s="24" t="s">
        <v>77</v>
      </c>
      <c r="F23" s="25">
        <v>155</v>
      </c>
      <c r="G23" s="25">
        <v>0</v>
      </c>
      <c r="H23" s="25">
        <v>0</v>
      </c>
      <c r="I23" s="25"/>
      <c r="J23" s="25"/>
      <c r="K23" s="25"/>
      <c r="L23" s="25">
        <v>155</v>
      </c>
      <c r="M23" s="25">
        <f t="shared" si="0"/>
        <v>161.97499999999999</v>
      </c>
      <c r="N23" s="26" t="s">
        <v>47</v>
      </c>
      <c r="O23" s="27" t="s">
        <v>48</v>
      </c>
    </row>
    <row r="24" spans="1:15" ht="15" customHeight="1">
      <c r="A24" s="23" t="s">
        <v>87</v>
      </c>
      <c r="B24" s="24" t="s">
        <v>18</v>
      </c>
      <c r="C24" s="24" t="s">
        <v>83</v>
      </c>
      <c r="D24" s="24" t="s">
        <v>86</v>
      </c>
      <c r="E24" s="24" t="s">
        <v>77</v>
      </c>
      <c r="F24" s="25">
        <v>90</v>
      </c>
      <c r="G24" s="25">
        <v>0</v>
      </c>
      <c r="H24" s="25">
        <v>0</v>
      </c>
      <c r="I24" s="25"/>
      <c r="J24" s="25"/>
      <c r="K24" s="25"/>
      <c r="L24" s="25">
        <v>90</v>
      </c>
      <c r="M24" s="25">
        <f t="shared" si="0"/>
        <v>94.05</v>
      </c>
      <c r="N24" s="26" t="s">
        <v>47</v>
      </c>
      <c r="O24" s="27" t="s">
        <v>48</v>
      </c>
    </row>
    <row r="25" spans="1:15" ht="15" customHeight="1">
      <c r="A25" s="23" t="s">
        <v>88</v>
      </c>
      <c r="B25" s="24" t="s">
        <v>18</v>
      </c>
      <c r="C25" s="24" t="s">
        <v>89</v>
      </c>
      <c r="D25" s="24" t="s">
        <v>86</v>
      </c>
      <c r="E25" s="24" t="s">
        <v>77</v>
      </c>
      <c r="F25" s="25">
        <v>145</v>
      </c>
      <c r="G25" s="25">
        <v>10</v>
      </c>
      <c r="H25" s="25">
        <v>0</v>
      </c>
      <c r="I25" s="25"/>
      <c r="J25" s="25"/>
      <c r="K25" s="25"/>
      <c r="L25" s="25">
        <v>155</v>
      </c>
      <c r="M25" s="25">
        <f t="shared" si="0"/>
        <v>161.97499999999999</v>
      </c>
      <c r="N25" s="26" t="s">
        <v>47</v>
      </c>
      <c r="O25" s="27" t="s">
        <v>48</v>
      </c>
    </row>
    <row r="26" spans="1:15" ht="15" customHeight="1">
      <c r="A26" s="23" t="s">
        <v>90</v>
      </c>
      <c r="B26" s="24" t="s">
        <v>18</v>
      </c>
      <c r="C26" s="24" t="s">
        <v>91</v>
      </c>
      <c r="D26" s="24" t="s">
        <v>86</v>
      </c>
      <c r="E26" s="24" t="s">
        <v>77</v>
      </c>
      <c r="F26" s="25">
        <v>435</v>
      </c>
      <c r="G26" s="25">
        <v>0</v>
      </c>
      <c r="H26" s="25">
        <v>0</v>
      </c>
      <c r="I26" s="25"/>
      <c r="J26" s="25"/>
      <c r="K26" s="25"/>
      <c r="L26" s="25">
        <v>435</v>
      </c>
      <c r="M26" s="25">
        <f t="shared" si="0"/>
        <v>454.57499999999999</v>
      </c>
      <c r="N26" s="26" t="s">
        <v>47</v>
      </c>
      <c r="O26" s="27" t="s">
        <v>48</v>
      </c>
    </row>
    <row r="27" spans="1:15" ht="15" customHeight="1">
      <c r="A27" s="23" t="s">
        <v>92</v>
      </c>
      <c r="B27" s="24" t="s">
        <v>18</v>
      </c>
      <c r="C27" s="24" t="s">
        <v>93</v>
      </c>
      <c r="D27" s="24" t="s">
        <v>86</v>
      </c>
      <c r="E27" s="24" t="s">
        <v>77</v>
      </c>
      <c r="F27" s="25">
        <v>80</v>
      </c>
      <c r="G27" s="25">
        <v>0</v>
      </c>
      <c r="H27" s="25">
        <v>0</v>
      </c>
      <c r="I27" s="25"/>
      <c r="J27" s="25"/>
      <c r="K27" s="25"/>
      <c r="L27" s="25">
        <v>80</v>
      </c>
      <c r="M27" s="25">
        <f t="shared" si="0"/>
        <v>83.6</v>
      </c>
      <c r="N27" s="26" t="s">
        <v>47</v>
      </c>
      <c r="O27" s="27" t="s">
        <v>48</v>
      </c>
    </row>
    <row r="28" spans="1:15" ht="15" customHeight="1">
      <c r="A28" s="23" t="s">
        <v>94</v>
      </c>
      <c r="B28" s="24" t="s">
        <v>18</v>
      </c>
      <c r="C28" s="24" t="s">
        <v>95</v>
      </c>
      <c r="D28" s="24" t="s">
        <v>86</v>
      </c>
      <c r="E28" s="24" t="s">
        <v>77</v>
      </c>
      <c r="F28" s="25">
        <v>143</v>
      </c>
      <c r="G28" s="25">
        <v>0</v>
      </c>
      <c r="H28" s="25">
        <v>0</v>
      </c>
      <c r="I28" s="25"/>
      <c r="J28" s="25"/>
      <c r="K28" s="25"/>
      <c r="L28" s="25">
        <v>143</v>
      </c>
      <c r="M28" s="25">
        <f t="shared" si="0"/>
        <v>149.435</v>
      </c>
      <c r="N28" s="26" t="s">
        <v>47</v>
      </c>
      <c r="O28" s="27" t="s">
        <v>48</v>
      </c>
    </row>
    <row r="29" spans="1:15" ht="15" customHeight="1">
      <c r="A29" s="23" t="s">
        <v>96</v>
      </c>
      <c r="B29" s="24" t="s">
        <v>18</v>
      </c>
      <c r="C29" s="24" t="s">
        <v>97</v>
      </c>
      <c r="D29" s="24" t="s">
        <v>86</v>
      </c>
      <c r="E29" s="24" t="s">
        <v>77</v>
      </c>
      <c r="F29" s="25">
        <v>145</v>
      </c>
      <c r="G29" s="25">
        <v>0</v>
      </c>
      <c r="H29" s="25">
        <v>0</v>
      </c>
      <c r="I29" s="25"/>
      <c r="J29" s="25"/>
      <c r="K29" s="25"/>
      <c r="L29" s="25">
        <v>145</v>
      </c>
      <c r="M29" s="25">
        <f t="shared" si="0"/>
        <v>151.52499999999998</v>
      </c>
      <c r="N29" s="26" t="s">
        <v>47</v>
      </c>
      <c r="O29" s="27" t="s">
        <v>48</v>
      </c>
    </row>
    <row r="30" spans="1:15" ht="15" customHeight="1">
      <c r="A30" s="28" t="s">
        <v>98</v>
      </c>
      <c r="B30" s="29" t="s">
        <v>18</v>
      </c>
      <c r="C30" s="29" t="s">
        <v>99</v>
      </c>
      <c r="D30" s="29" t="s">
        <v>86</v>
      </c>
      <c r="E30" s="29" t="s">
        <v>77</v>
      </c>
      <c r="F30" s="30">
        <v>280</v>
      </c>
      <c r="G30" s="30">
        <v>0</v>
      </c>
      <c r="H30" s="30">
        <v>0</v>
      </c>
      <c r="I30" s="30"/>
      <c r="J30" s="30"/>
      <c r="K30" s="30"/>
      <c r="L30" s="30">
        <v>280</v>
      </c>
      <c r="M30" s="30">
        <f t="shared" si="0"/>
        <v>292.59999999999997</v>
      </c>
      <c r="N30" s="31" t="s">
        <v>47</v>
      </c>
      <c r="O30" s="32" t="s">
        <v>48</v>
      </c>
    </row>
    <row r="31" spans="1:15" ht="15" customHeight="1">
      <c r="A31" s="40" t="s">
        <v>20</v>
      </c>
      <c r="B31" s="40"/>
      <c r="C31" s="40"/>
      <c r="D31" s="40"/>
      <c r="E31" s="40"/>
      <c r="F31" s="41"/>
      <c r="G31" s="41"/>
      <c r="H31" s="41"/>
      <c r="I31" s="41"/>
      <c r="J31" s="41"/>
      <c r="K31" s="41"/>
      <c r="L31" s="33">
        <f>SUM(L7:L30)</f>
        <v>2232.5</v>
      </c>
      <c r="M31" s="33">
        <f>SUM(M7:M30)</f>
        <v>2332.9624999999996</v>
      </c>
      <c r="N31" s="4"/>
      <c r="O31" s="4"/>
    </row>
  </sheetData>
  <mergeCells count="2">
    <mergeCell ref="A1:O2"/>
    <mergeCell ref="A31:K3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"/>
  <sheetViews>
    <sheetView showGridLines="0" workbookViewId="0"/>
  </sheetViews>
  <sheetFormatPr defaultRowHeight="14"/>
  <cols>
    <col min="1" max="1" width="42" customWidth="1"/>
    <col min="2" max="2" width="22" customWidth="1"/>
    <col min="3" max="5" width="36" customWidth="1"/>
    <col min="6" max="6" width="17" customWidth="1"/>
  </cols>
  <sheetData>
    <row r="1" spans="1:6">
      <c r="A1" s="39" t="s">
        <v>100</v>
      </c>
      <c r="B1" s="39"/>
      <c r="C1" s="39"/>
      <c r="D1" s="39"/>
      <c r="E1" s="39"/>
      <c r="F1" s="39"/>
    </row>
    <row r="2" spans="1:6">
      <c r="A2" s="39"/>
      <c r="B2" s="39"/>
      <c r="C2" s="39"/>
      <c r="D2" s="39"/>
      <c r="E2" s="39"/>
      <c r="F2" s="39"/>
    </row>
    <row r="3" spans="1:6" ht="15" customHeight="1">
      <c r="A3" s="4"/>
      <c r="B3" s="4"/>
      <c r="C3" s="4"/>
      <c r="D3" s="4"/>
      <c r="E3" s="4"/>
      <c r="F3" s="4"/>
    </row>
    <row r="4" spans="1:6" ht="15" customHeight="1">
      <c r="A4" s="3" t="s">
        <v>101</v>
      </c>
      <c r="B4" s="3" t="s">
        <v>102</v>
      </c>
      <c r="C4" s="3" t="s">
        <v>103</v>
      </c>
      <c r="D4" s="3" t="s">
        <v>104</v>
      </c>
      <c r="E4" s="3" t="s">
        <v>105</v>
      </c>
      <c r="F4" s="3" t="s">
        <v>41</v>
      </c>
    </row>
    <row r="5" spans="1:6" ht="15" customHeight="1">
      <c r="A5" s="18" t="s">
        <v>106</v>
      </c>
      <c r="B5" s="19" t="s">
        <v>3</v>
      </c>
      <c r="C5" s="19" t="s">
        <v>107</v>
      </c>
      <c r="D5" s="19" t="s">
        <v>108</v>
      </c>
      <c r="E5" s="19" t="s">
        <v>109</v>
      </c>
      <c r="F5" s="22" t="s">
        <v>110</v>
      </c>
    </row>
    <row r="6" spans="1:6" ht="15" customHeight="1">
      <c r="A6" s="23" t="s">
        <v>111</v>
      </c>
      <c r="B6" s="24" t="s">
        <v>112</v>
      </c>
      <c r="C6" s="24" t="s">
        <v>113</v>
      </c>
      <c r="D6" s="24" t="s">
        <v>114</v>
      </c>
      <c r="E6" s="24" t="s">
        <v>115</v>
      </c>
      <c r="F6" s="27" t="s">
        <v>116</v>
      </c>
    </row>
    <row r="7" spans="1:6" ht="15" customHeight="1">
      <c r="A7" s="23" t="s">
        <v>117</v>
      </c>
      <c r="B7" s="24" t="s">
        <v>118</v>
      </c>
      <c r="C7" s="24" t="s">
        <v>119</v>
      </c>
      <c r="D7" s="24" t="s">
        <v>120</v>
      </c>
      <c r="E7" s="24" t="s">
        <v>121</v>
      </c>
      <c r="F7" s="27" t="s">
        <v>122</v>
      </c>
    </row>
    <row r="8" spans="1:6" ht="15" customHeight="1">
      <c r="A8" s="23" t="s">
        <v>123</v>
      </c>
      <c r="B8" s="24" t="s">
        <v>118</v>
      </c>
      <c r="C8" s="24" t="s">
        <v>124</v>
      </c>
      <c r="D8" s="24" t="s">
        <v>120</v>
      </c>
      <c r="E8" s="24" t="s">
        <v>121</v>
      </c>
      <c r="F8" s="27" t="s">
        <v>122</v>
      </c>
    </row>
    <row r="9" spans="1:6" ht="15" customHeight="1">
      <c r="A9" s="28" t="s">
        <v>125</v>
      </c>
      <c r="B9" s="29" t="s">
        <v>118</v>
      </c>
      <c r="C9" s="29" t="s">
        <v>124</v>
      </c>
      <c r="D9" s="29" t="s">
        <v>120</v>
      </c>
      <c r="E9" s="29" t="s">
        <v>121</v>
      </c>
      <c r="F9" s="32" t="s">
        <v>122</v>
      </c>
    </row>
    <row r="10" spans="1:6" ht="15" customHeight="1">
      <c r="A10" s="4"/>
      <c r="B10" s="4"/>
      <c r="C10" s="4"/>
      <c r="D10" s="4"/>
      <c r="E10" s="4"/>
      <c r="F10" s="4"/>
    </row>
    <row r="11" spans="1:6" ht="15" customHeight="1">
      <c r="A11" s="4"/>
      <c r="B11" s="4"/>
      <c r="C11" s="4"/>
      <c r="D11" s="4"/>
      <c r="E11" s="4"/>
      <c r="F11" s="4"/>
    </row>
    <row r="12" spans="1:6" ht="15" customHeight="1">
      <c r="A12" s="3" t="s">
        <v>126</v>
      </c>
      <c r="B12" s="3" t="s">
        <v>127</v>
      </c>
      <c r="C12" s="3" t="s">
        <v>128</v>
      </c>
      <c r="D12" s="3" t="s">
        <v>129</v>
      </c>
      <c r="E12" s="3" t="s">
        <v>130</v>
      </c>
      <c r="F12" s="3" t="s">
        <v>41</v>
      </c>
    </row>
    <row r="13" spans="1:6" ht="15" customHeight="1">
      <c r="A13" s="18" t="s">
        <v>131</v>
      </c>
      <c r="B13" s="19" t="s">
        <v>132</v>
      </c>
      <c r="C13" s="19" t="s">
        <v>133</v>
      </c>
      <c r="D13" s="19" t="s">
        <v>134</v>
      </c>
      <c r="E13" s="19" t="s">
        <v>135</v>
      </c>
      <c r="F13" s="34" t="s">
        <v>136</v>
      </c>
    </row>
    <row r="14" spans="1:6" ht="15" customHeight="1">
      <c r="A14" s="23" t="s">
        <v>137</v>
      </c>
      <c r="B14" s="24" t="s">
        <v>132</v>
      </c>
      <c r="C14" s="24" t="s">
        <v>138</v>
      </c>
      <c r="D14" s="24" t="s">
        <v>139</v>
      </c>
      <c r="E14" s="24" t="s">
        <v>135</v>
      </c>
      <c r="F14" s="35" t="s">
        <v>136</v>
      </c>
    </row>
    <row r="15" spans="1:6" ht="15" customHeight="1">
      <c r="A15" s="23" t="s">
        <v>140</v>
      </c>
      <c r="B15" s="24" t="s">
        <v>141</v>
      </c>
      <c r="C15" s="24" t="s">
        <v>142</v>
      </c>
      <c r="D15" s="24" t="s">
        <v>143</v>
      </c>
      <c r="E15" s="24" t="s">
        <v>135</v>
      </c>
      <c r="F15" s="35" t="s">
        <v>136</v>
      </c>
    </row>
    <row r="16" spans="1:6" ht="15" customHeight="1">
      <c r="A16" s="28" t="s">
        <v>144</v>
      </c>
      <c r="B16" s="29" t="s">
        <v>145</v>
      </c>
      <c r="C16" s="29" t="s">
        <v>146</v>
      </c>
      <c r="D16" s="29" t="s">
        <v>147</v>
      </c>
      <c r="E16" s="29" t="s">
        <v>135</v>
      </c>
      <c r="F16" s="36" t="s">
        <v>148</v>
      </c>
    </row>
  </sheetData>
  <mergeCells count="1">
    <mergeCell ref="A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ÖZET</vt:lpstr>
      <vt:lpstr>BOM</vt:lpstr>
      <vt:lpstr>KAPSAM_KAYNAK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yusuf kaplan</cp:lastModifiedBy>
  <dcterms:modified xsi:type="dcterms:W3CDTF">2026-08-22T08:57:58Z</dcterms:modified>
</cp:coreProperties>
</file>