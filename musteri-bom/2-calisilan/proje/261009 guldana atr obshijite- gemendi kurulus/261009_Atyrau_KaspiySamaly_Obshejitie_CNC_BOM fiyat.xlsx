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1009 guldana atr obshijite- gemendi kurulus\"/>
    </mc:Choice>
  </mc:AlternateContent>
  <xr:revisionPtr revIDLastSave="0" documentId="13_ncr:1_{8372D4EE-7B9B-4C9E-AA42-14C66C16C90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LIF" sheetId="4" r:id="rId1"/>
  </sheets>
  <definedNames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_xlnm.Print_Area" localSheetId="0">TEKLIF!$A$1:$H$50</definedName>
    <definedName name="YUKSUK_FIR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5" i="4" l="1"/>
  <c r="J35" i="4" s="1"/>
  <c r="I34" i="4"/>
  <c r="I33" i="4"/>
  <c r="I32" i="4"/>
  <c r="I31" i="4"/>
  <c r="J31" i="4" s="1"/>
  <c r="I30" i="4"/>
  <c r="J30" i="4" s="1"/>
  <c r="I29" i="4"/>
  <c r="J29" i="4" s="1"/>
  <c r="I28" i="4"/>
  <c r="J28" i="4" s="1"/>
  <c r="I26" i="4"/>
  <c r="J34" i="4" l="1"/>
  <c r="J32" i="4"/>
  <c r="J33" i="4"/>
  <c r="I22" i="4" l="1"/>
  <c r="I19" i="4"/>
  <c r="I17" i="4"/>
  <c r="I24" i="4"/>
  <c r="I21" i="4"/>
  <c r="I23" i="4" l="1"/>
  <c r="I18" i="4"/>
  <c r="I20" i="4"/>
  <c r="I25" i="4"/>
  <c r="J19" i="4" l="1"/>
  <c r="J24" i="4"/>
  <c r="J22" i="4"/>
  <c r="J21" i="4"/>
  <c r="J17" i="4"/>
  <c r="I16" i="4"/>
  <c r="K19" i="4" l="1"/>
  <c r="G19" i="4"/>
  <c r="K24" i="4"/>
  <c r="G24" i="4"/>
  <c r="K22" i="4"/>
  <c r="G22" i="4"/>
  <c r="K21" i="4"/>
  <c r="G21" i="4"/>
  <c r="K17" i="4"/>
  <c r="G17" i="4"/>
  <c r="J16" i="4"/>
  <c r="J23" i="4"/>
  <c r="J25" i="4"/>
  <c r="J20" i="4"/>
  <c r="K16" i="4" l="1"/>
  <c r="G16" i="4"/>
  <c r="K23" i="4"/>
  <c r="G23" i="4"/>
  <c r="K25" i="4"/>
  <c r="G25" i="4"/>
  <c r="K20" i="4"/>
  <c r="G20" i="4"/>
  <c r="J18" i="4"/>
  <c r="K18" i="4" l="1"/>
  <c r="G18" i="4"/>
  <c r="G26" i="4" s="1"/>
  <c r="K26" i="4" l="1"/>
</calcChain>
</file>

<file path=xl/sharedStrings.xml><?xml version="1.0" encoding="utf-8"?>
<sst xmlns="http://schemas.openxmlformats.org/spreadsheetml/2006/main" count="76" uniqueCount="52">
  <si>
    <t>ВРУ (261009 ksam obsh)</t>
  </si>
  <si>
    <t>TEKLED electric</t>
  </si>
  <si>
    <t>ЩС (261009 ksam obsh)</t>
  </si>
  <si>
    <t>ЩО1.1 (261009 ksam obsh)</t>
  </si>
  <si>
    <t>ЩО1.2 (261009 ksam obsh)</t>
  </si>
  <si>
    <t>ЩО2.1 (261009 ksam obsh)</t>
  </si>
  <si>
    <t>ЩО2.2 (261009 ksam obsh)</t>
  </si>
  <si>
    <t>ЩВ1.1 (261009 ksam obsh)</t>
  </si>
  <si>
    <t>ЩВ1.2 (261009 ksam obsh)</t>
  </si>
  <si>
    <t>ЩВ2.1 (261009 ksam obsh)</t>
  </si>
  <si>
    <t>ЩВ2.2 (261009 ksam obsh)</t>
  </si>
  <si>
    <t>Общежитие на 100 мест, вахтовый поселок «Каспий Самалы», Жылыойский р-н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</si>
  <si>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</si>
  <si>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</si>
  <si>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</si>
  <si>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</si>
  <si>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</si>
  <si>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</si>
  <si>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</si>
  <si>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</si>
  <si>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</si>
  <si>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</si>
  <si>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</si>
  <si>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</si>
  <si>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</si>
  <si>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</si>
  <si>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</si>
  <si>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</si>
  <si>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</si>
  <si>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</si>
  <si>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</si>
  <si>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</si>
  <si>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</si>
  <si>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</si>
  <si>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</si>
  <si>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</si>
  <si>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</si>
  <si>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</si>
  <si>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</si>
  <si>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</si>
  <si>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</si>
  <si>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</si>
  <si>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</si>
  <si>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>EGEMEDI KURULUS</t>
  </si>
  <si>
    <t/>
  </si>
  <si>
    <t>1) Срок действия ценового предложения 5 рабочих дней.</t>
  </si>
  <si>
    <t>2) Условия оплаты: 1.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</si>
  <si>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</si>
  <si>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CNC.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</si>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</sst>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7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5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7" fontId="5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4" fillId="0" borderId="0" xfId="0" applyFont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48</xdr:row>
      <xdr:rowOff>19080</xdr:rowOff>
    </xdr:from>
    <xdr:to>
      <xdr:col>2</xdr:col>
      <xdr:colOff>2666580</xdr:colOff>
      <xdr:row>48</xdr:row>
      <xdr:rowOff>399600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148208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49"/>
  <sheetViews>
    <sheetView showGridLines="0" tabSelected="1" topLeftCell="A15" zoomScaleNormal="100" workbookViewId="0">
      <selection activeCell="A34" sqref="A34:H35"/>
    </sheetView>
  </sheetViews>
  <sheetFormatPr defaultColWidth="8.7109375" defaultRowHeight="15" outlineLevelCol="1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17" customWidth="1"/>
    <col min="8" max="8" width="15" customWidth="1"/>
    <col min="9" max="11" width="40" hidden="1" customWidth="1" outlineLevel="1"/>
    <col min="12" max="12" width="8.7109375" collapsed="1"/>
  </cols>
  <sheetData>
    <row r="1" spans="1:11" ht="30" customHeight="1" x14ac:dyDescent="0.25">
      <c r="G1" s="23" t="s">
        <v>1</v>
      </c>
      <c r="H1" s="23"/>
    </row>
    <row r="2" spans="1:11" ht="30" customHeight="1" x14ac:dyDescent="0.25">
      <c r="G2" s="23"/>
      <c r="H2" s="23"/>
    </row>
    <row r="3" spans="1:11" ht="13.5" customHeight="1" x14ac:dyDescent="0.25">
      <c r="G3" s="23"/>
      <c r="H3" s="23"/>
    </row>
    <row r="5" spans="1:11" ht="27.75" customHeight="1" x14ac:dyDescent="0.25">
      <c r="A5" s="24" t="s">
        <v>15</v>
      </c>
      <c r="B5" s="24"/>
      <c r="C5" s="24"/>
      <c r="D5" s="24"/>
      <c r="E5" s="24"/>
      <c r="F5" s="24"/>
      <c r="G5" s="24"/>
      <c r="H5" s="24"/>
    </row>
    <row r="7" spans="1:11" ht="15.75" customHeight="1" x14ac:dyDescent="0.25">
      <c r="A7" s="22" t="s">
        <v>16</v>
      </c>
      <c r="B7" s="22"/>
      <c r="C7" s="2">
        <v>9890900000</v>
      </c>
      <c r="D7" s="20" t="s">
        <v>17</v>
      </c>
      <c r="E7" s="20"/>
      <c r="F7" s="21" t="s">
        <v>43</v>
      </c>
      <c r="G7" s="21"/>
      <c r="H7" s="21"/>
    </row>
    <row r="8" spans="1:11" ht="27.75" customHeight="1" x14ac:dyDescent="0.25">
      <c r="A8" s="22" t="s">
        <v>18</v>
      </c>
      <c r="B8" s="22"/>
      <c r="C8" s="4">
        <v>46304</v>
      </c>
      <c r="D8" s="20" t="s">
        <v>19</v>
      </c>
      <c r="E8" s="20"/>
      <c r="F8" s="21" t="s">
        <v>44</v>
      </c>
      <c r="G8" s="21"/>
      <c r="H8" s="21"/>
    </row>
    <row r="9" spans="1:11" ht="27.75" customHeight="1" x14ac:dyDescent="0.25">
      <c r="D9" s="20" t="s">
        <v>20</v>
      </c>
      <c r="E9" s="20"/>
      <c r="F9" s="21" t="s">
        <v>11</v>
      </c>
      <c r="G9" s="21"/>
      <c r="H9" s="21"/>
    </row>
    <row r="10" spans="1:11" ht="15" customHeight="1" x14ac:dyDescent="0.25">
      <c r="D10" s="20" t="s">
        <v>21</v>
      </c>
      <c r="E10" s="20"/>
      <c r="F10" s="21" t="s">
        <v>44</v>
      </c>
      <c r="G10" s="21"/>
      <c r="H10" s="21"/>
    </row>
    <row r="11" spans="1:11" ht="15" customHeight="1" x14ac:dyDescent="0.25">
      <c r="D11" s="20" t="s">
        <v>22</v>
      </c>
      <c r="E11" s="20"/>
      <c r="F11" s="21" t="s">
        <v>44</v>
      </c>
      <c r="G11" s="21"/>
      <c r="H11" s="21"/>
    </row>
    <row r="12" spans="1:11" ht="15" customHeight="1" x14ac:dyDescent="0.25">
      <c r="D12" s="20" t="s">
        <v>23</v>
      </c>
      <c r="E12" s="20"/>
      <c r="F12" s="21" t="s">
        <v>44</v>
      </c>
      <c r="G12" s="21"/>
      <c r="H12" s="21"/>
    </row>
    <row r="13" spans="1:11" ht="15" customHeight="1" x14ac:dyDescent="0.25">
      <c r="D13" s="20" t="s">
        <v>24</v>
      </c>
      <c r="E13" s="20"/>
      <c r="F13" s="21" t="s">
        <v>44</v>
      </c>
      <c r="G13" s="21"/>
      <c r="H13" s="21"/>
    </row>
    <row r="15" spans="1:11" ht="39.75" customHeight="1" x14ac:dyDescent="0.25">
      <c r="A15" s="5" t="s">
        <v>25</v>
      </c>
      <c r="B15" s="5" t="s">
        <v>26</v>
      </c>
      <c r="C15" s="5" t="s">
        <v>27</v>
      </c>
      <c r="D15" s="5" t="s">
        <v>28</v>
      </c>
      <c r="E15" s="5" t="s">
        <v>29</v>
      </c>
      <c r="F15" s="5" t="s">
        <v>30</v>
      </c>
      <c r="G15" s="5" t="s">
        <v>31</v>
      </c>
      <c r="H15" s="5" t="s">
        <v>32</v>
      </c>
      <c r="I15" s="3" t="s">
        <v>33</v>
      </c>
      <c r="J15" s="3" t="s">
        <v>34</v>
      </c>
      <c r="K15" s="3" t="s">
        <v>35</v>
      </c>
    </row>
    <row r="16" spans="1:11" ht="42" customHeight="1" x14ac:dyDescent="0.25">
      <c r="A16" s="6">
        <v>1</v>
      </c>
      <c r="B16" s="7"/>
      <c r="C16" s="8" t="s">
        <v>0</v>
      </c>
      <c r="D16" s="9">
        <v>1</v>
      </c>
      <c r="E16" s="6" t="s">
        <v>36</v>
      </c>
      <c r="F16" s="10">
        <v>380212</v>
      </c>
      <c r="G16" s="10">
        <f t="shared" ref="G16:G25" si="0">IF(F16="","",D16*F16)</f>
        <v>380212</v>
      </c>
      <c r="H16" s="6">
        <v>25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25" si="1">IF(J16="","",D16*J16)</f>
        <v>#REF!</v>
      </c>
    </row>
    <row r="17" spans="1:11" ht="42" customHeight="1" x14ac:dyDescent="0.25">
      <c r="A17" s="6">
        <v>2</v>
      </c>
      <c r="B17" s="7"/>
      <c r="C17" s="8" t="s">
        <v>2</v>
      </c>
      <c r="D17" s="9">
        <v>1</v>
      </c>
      <c r="E17" s="6" t="s">
        <v>36</v>
      </c>
      <c r="F17" s="10">
        <v>50563</v>
      </c>
      <c r="G17" s="10">
        <f t="shared" si="0"/>
        <v>50563</v>
      </c>
      <c r="H17" s="6">
        <v>25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25">
      <c r="A18" s="6">
        <v>3</v>
      </c>
      <c r="B18" s="7"/>
      <c r="C18" s="8" t="s">
        <v>3</v>
      </c>
      <c r="D18" s="9">
        <v>1</v>
      </c>
      <c r="E18" s="6" t="s">
        <v>36</v>
      </c>
      <c r="F18" s="10">
        <v>59960</v>
      </c>
      <c r="G18" s="10">
        <f t="shared" si="0"/>
        <v>59960</v>
      </c>
      <c r="H18" s="6">
        <v>25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25">
      <c r="A19" s="6">
        <v>4</v>
      </c>
      <c r="B19" s="7"/>
      <c r="C19" s="8" t="s">
        <v>4</v>
      </c>
      <c r="D19" s="9">
        <v>1</v>
      </c>
      <c r="E19" s="6" t="s">
        <v>36</v>
      </c>
      <c r="F19" s="10">
        <v>47553</v>
      </c>
      <c r="G19" s="10">
        <f t="shared" si="0"/>
        <v>47553</v>
      </c>
      <c r="H19" s="6">
        <v>25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25">
      <c r="A20" s="6">
        <v>5</v>
      </c>
      <c r="B20" s="7"/>
      <c r="C20" s="8" t="s">
        <v>5</v>
      </c>
      <c r="D20" s="9">
        <v>1</v>
      </c>
      <c r="E20" s="6" t="s">
        <v>36</v>
      </c>
      <c r="F20" s="10">
        <v>61205</v>
      </c>
      <c r="G20" s="10">
        <f t="shared" si="0"/>
        <v>61205</v>
      </c>
      <c r="H20" s="6">
        <v>25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25">
      <c r="A21" s="6">
        <v>6</v>
      </c>
      <c r="B21" s="7"/>
      <c r="C21" s="8" t="s">
        <v>6</v>
      </c>
      <c r="D21" s="9">
        <v>1</v>
      </c>
      <c r="E21" s="6" t="s">
        <v>36</v>
      </c>
      <c r="F21" s="10">
        <v>59960</v>
      </c>
      <c r="G21" s="10">
        <f t="shared" si="0"/>
        <v>59960</v>
      </c>
      <c r="H21" s="6">
        <v>25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25">
      <c r="A22" s="6">
        <v>7</v>
      </c>
      <c r="B22" s="7"/>
      <c r="C22" s="8" t="s">
        <v>7</v>
      </c>
      <c r="D22" s="9">
        <v>1</v>
      </c>
      <c r="E22" s="6" t="s">
        <v>36</v>
      </c>
      <c r="F22" s="10">
        <v>50634</v>
      </c>
      <c r="G22" s="10">
        <f t="shared" si="0"/>
        <v>50634</v>
      </c>
      <c r="H22" s="6">
        <v>25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25">
      <c r="A23" s="6">
        <v>8</v>
      </c>
      <c r="B23" s="7"/>
      <c r="C23" s="8" t="s">
        <v>8</v>
      </c>
      <c r="D23" s="9">
        <v>1</v>
      </c>
      <c r="E23" s="6" t="s">
        <v>36</v>
      </c>
      <c r="F23" s="10">
        <v>50634</v>
      </c>
      <c r="G23" s="10">
        <f t="shared" si="0"/>
        <v>50634</v>
      </c>
      <c r="H23" s="6">
        <v>25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25">
      <c r="A24" s="6">
        <v>9</v>
      </c>
      <c r="B24" s="7"/>
      <c r="C24" s="8" t="s">
        <v>9</v>
      </c>
      <c r="D24" s="9">
        <v>1</v>
      </c>
      <c r="E24" s="6" t="s">
        <v>36</v>
      </c>
      <c r="F24" s="10">
        <v>65612</v>
      </c>
      <c r="G24" s="10">
        <f t="shared" si="0"/>
        <v>65612</v>
      </c>
      <c r="H24" s="6">
        <v>25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42" customHeight="1" x14ac:dyDescent="0.25">
      <c r="A25" s="6">
        <v>10</v>
      </c>
      <c r="B25" s="7"/>
      <c r="C25" s="8" t="s">
        <v>10</v>
      </c>
      <c r="D25" s="9">
        <v>1</v>
      </c>
      <c r="E25" s="6" t="s">
        <v>36</v>
      </c>
      <c r="F25" s="10">
        <v>65612</v>
      </c>
      <c r="G25" s="10">
        <f t="shared" si="0"/>
        <v>65612</v>
      </c>
      <c r="H25" s="6">
        <v>25</v>
      </c>
      <c r="I25" s="3" t="e">
        <f>TRIM(#REF!&amp;" "&amp;#REF!)</f>
        <v>#REF!</v>
      </c>
      <c r="J25" s="11" t="e">
        <f>IF(KAR_ORANI="","",ROUND(#REF!*(1+KAR_ORANI)*(1-ISKONTO),0))</f>
        <v>#REF!</v>
      </c>
      <c r="K25" s="11" t="e">
        <f t="shared" si="1"/>
        <v>#REF!</v>
      </c>
    </row>
    <row r="26" spans="1:11" ht="21.75" customHeight="1" x14ac:dyDescent="0.25">
      <c r="A26" s="12"/>
      <c r="B26" s="5" t="s">
        <v>37</v>
      </c>
      <c r="C26" s="12"/>
      <c r="D26" s="12"/>
      <c r="E26" s="12"/>
      <c r="F26" s="12"/>
      <c r="G26" s="13">
        <f>SUM(G16:G25)</f>
        <v>891945</v>
      </c>
      <c r="H26" s="12"/>
      <c r="I26" s="3" t="e">
        <f>IF(KAR_ORANI="","KÂR ORANI GİRİLMEDİ","")</f>
        <v>#REF!</v>
      </c>
      <c r="K26" s="11" t="e">
        <f>SUM(K16:K25)</f>
        <v>#REF!</v>
      </c>
    </row>
    <row r="28" spans="1:11" ht="24" customHeight="1" x14ac:dyDescent="0.25">
      <c r="A28" s="19" t="s">
        <v>45</v>
      </c>
      <c r="B28" s="19"/>
      <c r="C28" s="19"/>
      <c r="D28" s="19"/>
      <c r="E28" s="19"/>
      <c r="F28" s="19"/>
      <c r="G28" s="19"/>
      <c r="H28" s="19"/>
      <c r="I28" s="3" t="e">
        <f>IF(GECERLILIK&lt;&gt;"","Срок действия ценового предложения "&amp;GECERLILIK&amp;" рабочих дней.","")</f>
        <v>#REF!</v>
      </c>
      <c r="J28" s="3" t="e">
        <f>IF(I28="","",COUNTIF(I$28:I28,"?*"))</f>
        <v>#REF!</v>
      </c>
    </row>
    <row r="29" spans="1:11" ht="24" customHeight="1" x14ac:dyDescent="0.25">
      <c r="A29" s="19" t="s">
        <v>46</v>
      </c>
      <c r="B29" s="19"/>
      <c r="C29" s="19"/>
      <c r="D29" s="19"/>
      <c r="E29" s="19"/>
      <c r="F29" s="19"/>
      <c r="G29" s="19"/>
      <c r="H29" s="19"/>
      <c r="I29" s="3" t="e">
        <f>IF(TESLIM_YERI&lt;&gt;"","Место поставки: "&amp;TESLIM_YERI&amp;".","")</f>
        <v>#REF!</v>
      </c>
      <c r="J29" s="3" t="e">
        <f>IF(I29="","",COUNTIF(I$28:I29,"?*"))</f>
        <v>#REF!</v>
      </c>
    </row>
    <row r="30" spans="1:11" ht="24" customHeight="1" x14ac:dyDescent="0.25">
      <c r="A30" s="19" t="s">
        <v>47</v>
      </c>
      <c r="B30" s="19"/>
      <c r="C30" s="19"/>
      <c r="D30" s="19"/>
      <c r="E30" s="19"/>
      <c r="F30" s="19"/>
      <c r="G30" s="19"/>
      <c r="H30" s="19"/>
      <c r="I30" s="3" t="e">
        <f>IF(ODEME&lt;&gt;"","Условия оплаты: "&amp;ODEME&amp;".","")</f>
        <v>#REF!</v>
      </c>
      <c r="J30" s="3" t="e">
        <f>IF(I30="","",COUNTIF(I$28:I30,"?*"))</f>
        <v>#REF!</v>
      </c>
    </row>
    <row r="31" spans="1:11" ht="24" customHeight="1" x14ac:dyDescent="0.25">
      <c r="A31" s="19" t="s">
        <v>48</v>
      </c>
      <c r="B31" s="19"/>
      <c r="C31" s="19"/>
      <c r="D31" s="19"/>
      <c r="E31" s="19"/>
      <c r="F31" s="19"/>
      <c r="G31" s="19"/>
      <c r="H31" s="19"/>
      <c r="I31" s="3" t="e">
        <f>IF(GARANTI&lt;&gt;"","Гарантия: "&amp;GARANTI&amp;".","")</f>
        <v>#REF!</v>
      </c>
      <c r="J31" s="3" t="e">
        <f>IF(I31="","",COUNTIF(I$28:I31,"?*"))</f>
        <v>#REF!</v>
      </c>
    </row>
    <row r="32" spans="1:11" ht="24" customHeight="1" x14ac:dyDescent="0.25">
      <c r="A32" s="19" t="s">
        <v>49</v>
      </c>
      <c r="B32" s="19"/>
      <c r="C32" s="19"/>
      <c r="D32" s="19"/>
      <c r="E32" s="19"/>
      <c r="F32" s="19"/>
      <c r="G32" s="19"/>
      <c r="H32" s="19"/>
      <c r="I32" s="3" t="e">
        <f>IF(1=1,"В щитах с системой сборных шин применяются "&amp;IF(BARA_MALZEME="AL","алюминиевые (Al)","медные (Cu)")&amp;" шины.","")</f>
        <v>#REF!</v>
      </c>
      <c r="J32" s="3" t="e">
        <f>IF(I32="","",COUNTIF(I$28:I32,"?*"))</f>
        <v>#REF!</v>
      </c>
    </row>
    <row r="33" spans="1:10" ht="24" customHeight="1" x14ac:dyDescent="0.25">
      <c r="A33" s="19" t="s">
        <v>44</v>
      </c>
      <c r="B33" s="19"/>
      <c r="C33" s="19"/>
      <c r="D33" s="19"/>
      <c r="E33" s="19"/>
      <c r="F33" s="19"/>
      <c r="G33" s="19"/>
      <c r="H33" s="19"/>
      <c r="I33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33" s="3" t="e">
        <f>IF(I33="","",COUNTIF(I$28:I33,"?*"))</f>
        <v>#REF!</v>
      </c>
    </row>
    <row r="34" spans="1:10" ht="24" customHeight="1" x14ac:dyDescent="0.25">
      <c r="A34" s="19" t="s">
        <v>44</v>
      </c>
      <c r="B34" s="19"/>
      <c r="C34" s="19"/>
      <c r="D34" s="19"/>
      <c r="E34" s="19"/>
      <c r="F34" s="19"/>
      <c r="G34" s="19"/>
      <c r="H34" s="19"/>
      <c r="I34" s="3" t="e">
        <f>IF(SERTIFIKAT&lt;&gt;"",SERTIFIKAT,"")</f>
        <v>#REF!</v>
      </c>
      <c r="J34" s="3" t="e">
        <f>IF(I34="","",COUNTIF(I$28:I34,"?*"))</f>
        <v>#REF!</v>
      </c>
    </row>
    <row r="35" spans="1:10" ht="24" customHeight="1" x14ac:dyDescent="0.25">
      <c r="A35" s="19" t="s">
        <v>44</v>
      </c>
      <c r="B35" s="19"/>
      <c r="C35" s="19"/>
      <c r="D35" s="19"/>
      <c r="E35" s="19"/>
      <c r="F35" s="19"/>
      <c r="G35" s="19"/>
      <c r="H35" s="19"/>
      <c r="I35" s="3" t="e">
        <f>IF(PROJE_NOT&lt;&gt;"",PROJE_NOT,"")</f>
        <v>#REF!</v>
      </c>
      <c r="J35" s="3" t="e">
        <f>IF(I35="","",COUNTIF(I$28:I35,"?*"))</f>
        <v>#REF!</v>
      </c>
    </row>
    <row r="37" spans="1:10" ht="19.5" customHeight="1" x14ac:dyDescent="0.25">
      <c r="A37" s="15" t="s">
        <v>44</v>
      </c>
      <c r="B37" s="15"/>
      <c r="C37" s="15"/>
      <c r="D37" s="15"/>
      <c r="E37" s="15"/>
      <c r="F37" s="15"/>
      <c r="G37" s="15"/>
      <c r="H37" s="15"/>
    </row>
    <row r="39" spans="1:10" ht="15" customHeight="1" x14ac:dyDescent="0.25">
      <c r="A39" s="16" t="s">
        <v>38</v>
      </c>
      <c r="B39" s="16"/>
      <c r="C39" s="16"/>
    </row>
    <row r="40" spans="1:10" x14ac:dyDescent="0.25">
      <c r="A40" s="16" t="s">
        <v>44</v>
      </c>
      <c r="B40" s="16"/>
      <c r="C40" s="16"/>
      <c r="F40" s="16" t="s">
        <v>44</v>
      </c>
      <c r="G40" s="16"/>
      <c r="H40" s="16"/>
    </row>
    <row r="43" spans="1:10" x14ac:dyDescent="0.25">
      <c r="A43" s="14" t="s">
        <v>39</v>
      </c>
      <c r="B43" s="14"/>
      <c r="C43" s="1" t="s">
        <v>50</v>
      </c>
      <c r="E43" s="17" t="s">
        <v>40</v>
      </c>
      <c r="F43" s="17"/>
      <c r="G43" s="18" t="s">
        <v>44</v>
      </c>
      <c r="H43" s="18"/>
    </row>
    <row r="44" spans="1:10" x14ac:dyDescent="0.25">
      <c r="A44" s="14" t="s">
        <v>41</v>
      </c>
      <c r="B44" s="14"/>
      <c r="C44" s="1" t="s">
        <v>50</v>
      </c>
    </row>
    <row r="45" spans="1:10" x14ac:dyDescent="0.25">
      <c r="A45" s="14" t="s">
        <v>42</v>
      </c>
      <c r="B45" s="14"/>
      <c r="C45" s="1" t="s">
        <v>51</v>
      </c>
    </row>
    <row r="46" spans="1:10" x14ac:dyDescent="0.25">
      <c r="A46" s="14" t="s">
        <v>12</v>
      </c>
      <c r="B46" s="14"/>
      <c r="C46" s="1" t="s">
        <v>50</v>
      </c>
    </row>
    <row r="47" spans="1:10" x14ac:dyDescent="0.25">
      <c r="A47" s="14" t="s">
        <v>13</v>
      </c>
      <c r="B47" s="14"/>
      <c r="C47" s="1" t="s">
        <v>50</v>
      </c>
    </row>
    <row r="48" spans="1:10" x14ac:dyDescent="0.25">
      <c r="A48" s="14" t="s">
        <v>14</v>
      </c>
      <c r="B48" s="14"/>
      <c r="C48" s="1" t="s">
        <v>50</v>
      </c>
    </row>
    <row r="49" ht="33.75" customHeight="1" x14ac:dyDescent="0.25"/>
  </sheetData>
  <mergeCells count="38">
    <mergeCell ref="G1:H3"/>
    <mergeCell ref="A5:H5"/>
    <mergeCell ref="A7:B7"/>
    <mergeCell ref="D7:E7"/>
    <mergeCell ref="F7:H7"/>
    <mergeCell ref="A8:B8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A28:H28"/>
    <mergeCell ref="A29:H29"/>
    <mergeCell ref="A30:H30"/>
    <mergeCell ref="A31:H31"/>
    <mergeCell ref="A32:H32"/>
    <mergeCell ref="A33:H33"/>
    <mergeCell ref="A34:H34"/>
    <mergeCell ref="A35:H35"/>
    <mergeCell ref="A37:H37"/>
    <mergeCell ref="A39:C39"/>
    <mergeCell ref="A40:C40"/>
    <mergeCell ref="F40:H40"/>
    <mergeCell ref="A43:B43"/>
    <mergeCell ref="E43:F43"/>
    <mergeCell ref="G43:H43"/>
    <mergeCell ref="A44:B44"/>
    <mergeCell ref="A45:B45"/>
    <mergeCell ref="A46:B46"/>
    <mergeCell ref="A47:B47"/>
    <mergeCell ref="A48:B48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TEKLIF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2026-10-09T05:29:05Z</dcterms:created>
  <dcterms:modified xsi:type="dcterms:W3CDTF">2026-10-09T08:12:45Z</dcterms:modified>
  <dc:language>en-US</dc:language>
</cp:coreProperties>
</file>