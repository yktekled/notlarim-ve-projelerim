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925 rahmi bey kaz batys tehno\"/>
    </mc:Choice>
  </mc:AlternateContent>
  <xr:revisionPtr revIDLastSave="0" documentId="13_ncr:1_{C082E55F-7773-48A7-AE07-A3BD37969289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BOM" sheetId="1" r:id="rId1"/>
  </sheets>
  <definedNames>
    <definedName name="AL_A">#REF!</definedName>
    <definedName name="AL_KOD">#REF!</definedName>
    <definedName name="AL_MM2">#REF!</definedName>
    <definedName name="BAG_ADET_M">#REF!</definedName>
    <definedName name="BAKIM_PAY_MM">#REF!</definedName>
    <definedName name="BANKA">#REF!</definedName>
    <definedName name="BARA_DERATING">#REF!</definedName>
    <definedName name="BARA_ESIK_A">#REF!</definedName>
    <definedName name="BARA_FIRE">#REF!</definedName>
    <definedName name="BARA_MALZEME">#REF!</definedName>
    <definedName name="BIK">#REF!</definedName>
    <definedName name="BUK_ALAN">#REF!</definedName>
    <definedName name="BUK_CAP">#REF!</definedName>
    <definedName name="BUK_KESIT">#REF!</definedName>
    <definedName name="CU_A">#REF!</definedName>
    <definedName name="CU_KOD">#REF!</definedName>
    <definedName name="CU_MM2">#REF!</definedName>
    <definedName name="DK_UCRET">#REF!</definedName>
    <definedName name="EK_KURAL">#REF!</definedName>
    <definedName name="F_BK">#REF!</definedName>
    <definedName name="F_D">#REF!</definedName>
    <definedName name="F_G">#REF!</definedName>
    <definedName name="F_IN">#REF!</definedName>
    <definedName name="F_INKOR">#REF!</definedName>
    <definedName name="F_KAP">#REF!</definedName>
    <definedName name="F_KK">#REF!</definedName>
    <definedName name="F_KLN">#REF!</definedName>
    <definedName name="F_KPE">#REF!</definedName>
    <definedName name="F_KUTUP">#REF!</definedName>
    <definedName name="F_MODUL">#REF!</definedName>
    <definedName name="F_PAKET">#REF!</definedName>
    <definedName name="F_TEL">#REF!</definedName>
    <definedName name="F_TELM">#REF!</definedName>
    <definedName name="F_UC">#REF!</definedName>
    <definedName name="F_Y">#REF!</definedName>
    <definedName name="FA">#REF!</definedName>
    <definedName name="FA_ANA">#REF!</definedName>
    <definedName name="FIRMA">#REF!</definedName>
    <definedName name="FIRMA_ADRES">#REF!</definedName>
    <definedName name="FIRMA_BIN">#REF!</definedName>
    <definedName name="FIRMA_EMAIL">#REF!</definedName>
    <definedName name="FIRMA_TAM">#REF!</definedName>
    <definedName name="FIRMA_TEL">#REF!</definedName>
    <definedName name="FIYAT_AD">#REF!</definedName>
    <definedName name="FIYAT_BIRIM">#REF!</definedName>
    <definedName name="FIYAT_DURUM">#REF!</definedName>
    <definedName name="FIYAT_ID">#REF!</definedName>
    <definedName name="FIYAT_LISTE">#REF!</definedName>
    <definedName name="FIYAT_MARKA">#REF!</definedName>
    <definedName name="FIYAT_NET">#REF!</definedName>
    <definedName name="GARANTI">#REF!</definedName>
    <definedName name="GECERLILIK">#REF!</definedName>
    <definedName name="GUN_SAAT">#REF!</definedName>
    <definedName name="HAZIRLAYAN">#REF!</definedName>
    <definedName name="ICERIK_AD">#REF!</definedName>
    <definedName name="ICERIK_IZIN">#REF!</definedName>
    <definedName name="IIK">#REF!</definedName>
    <definedName name="IMZA_UNVAN">#REF!</definedName>
    <definedName name="IMZALAYAN">#REF!</definedName>
    <definedName name="ISCILIK_KAT">#REF!</definedName>
    <definedName name="ISKONTO">#REF!</definedName>
    <definedName name="IZOLATOR_ARALIK_M">#REF!</definedName>
    <definedName name="KABLO_FIRE">#REF!</definedName>
    <definedName name="KABLO_IN_ALT">#REF!</definedName>
    <definedName name="KABLO_KESIT">#REF!</definedName>
    <definedName name="KABLO_MAX_IN">#REF!</definedName>
    <definedName name="KANAL_DOLULUK_MAX">#REF!</definedName>
    <definedName name="KANAL_FIRE">#REF!</definedName>
    <definedName name="KAPANIS">#REF!</definedName>
    <definedName name="KAPI_ARKA_PAY_MM">#REF!</definedName>
    <definedName name="KAPI_TOPRAK_M">#REF!</definedName>
    <definedName name="KAR_ORANI">#REF!</definedName>
    <definedName name="KAYNAK_DOSYA">#REF!</definedName>
    <definedName name="KAYNAK_KOD">#REF!</definedName>
    <definedName name="KAYNAK_TARIH">#REF!</definedName>
    <definedName name="KLEMENS_ALT">#REF!</definedName>
    <definedName name="KLEMENS_GEN">#REF!</definedName>
    <definedName name="KLEMENS_KES">#REF!</definedName>
    <definedName name="KLEMENS_MAX_KESIT">#REF!</definedName>
    <definedName name="KLEMENS_YEDEK">#REF!</definedName>
    <definedName name="KOD">#REF!</definedName>
    <definedName name="KORPUS_IC_PAY_MM">#REF!</definedName>
    <definedName name="KORPUS_YEDEK">#REF!</definedName>
    <definedName name="KT_DURUM">#REF!</definedName>
    <definedName name="KUMANDA_KESIT">#REF!</definedName>
    <definedName name="KUR_AD">#REF!</definedName>
    <definedName name="KUR_DEG">#REF!</definedName>
    <definedName name="L_AD">#REF!</definedName>
    <definedName name="L_ART">#REF!</definedName>
    <definedName name="L_BIRIM">#REF!</definedName>
    <definedName name="L_D">#REF!</definedName>
    <definedName name="L_G">#REF!</definedName>
    <definedName name="L_IN">#REF!</definedName>
    <definedName name="L_KAP">#REF!</definedName>
    <definedName name="L_KAYNAK">#REF!</definedName>
    <definedName name="L_KESIT">#REF!</definedName>
    <definedName name="L_KUTUP">#REF!</definedName>
    <definedName name="L_LISTE">#REF!</definedName>
    <definedName name="L_MARKA">#REF!</definedName>
    <definedName name="L_MODUL">#REF!</definedName>
    <definedName name="L_PAKET">#REF!</definedName>
    <definedName name="L_SINIF">#REF!</definedName>
    <definedName name="L_TIP">#REF!</definedName>
    <definedName name="L_Y">#REF!</definedName>
    <definedName name="MARKA_AD">#REF!</definedName>
    <definedName name="MARKA_IZIN">#REF!</definedName>
    <definedName name="MARKA_KAT">#REF!</definedName>
    <definedName name="MARKA_NOT">#REF!</definedName>
    <definedName name="MARKA_PARA">#REF!</definedName>
    <definedName name="MODUL_MM">#REF!</definedName>
    <definedName name="MONTAJ_MALZ_KAT">#REF!</definedName>
    <definedName name="MONTAJ_PLAKA_PAY_MM">#REF!</definedName>
    <definedName name="MUSTERI">#REF!</definedName>
    <definedName name="MUSTERI_ADRES">#REF!</definedName>
    <definedName name="MUSTERI_EMAIL">#REF!</definedName>
    <definedName name="MUSTERI_KISI">#REF!</definedName>
    <definedName name="MUSTERI_MOBIL">#REF!</definedName>
    <definedName name="MUSTERI_TEL">#REF!</definedName>
    <definedName name="NDS_ORANI">#REF!</definedName>
    <definedName name="NORM_DK">#REF!</definedName>
    <definedName name="ODEME">#REF!</definedName>
    <definedName name="OK_FIYATSIZ">#REF!</definedName>
    <definedName name="OK_OTO">#REF!</definedName>
    <definedName name="OK_PANO">#REF!</definedName>
    <definedName name="OK_YERLESIM">#REF!</definedName>
    <definedName name="OLCU_KESIT">#REF!</definedName>
    <definedName name="OZ_KONTROL">#REF!</definedName>
    <definedName name="OZ_MALIYET">#REF!</definedName>
    <definedName name="OZ_TEKLIF">#REF!</definedName>
    <definedName name="PABUC_FIRE">#REF!</definedName>
    <definedName name="PANO_EK">#REF!</definedName>
    <definedName name="PROJE">#REF!</definedName>
    <definedName name="PROJE_NOT">#REF!</definedName>
    <definedName name="SALT_MARKA">#REF!</definedName>
    <definedName name="SARF_BAG">#REF!</definedName>
    <definedName name="SARF_IZOLATOR">#REF!</definedName>
    <definedName name="SARF_KABLO">#REF!</definedName>
    <definedName name="SARF_KESIT">#REF!</definedName>
    <definedName name="SARF_KLN">#REF!</definedName>
    <definedName name="SARF_KPE">#REF!</definedName>
    <definedName name="SARF_PABUC">#REF!</definedName>
    <definedName name="SARF_STOPOR">#REF!</definedName>
    <definedName name="SARF_YUKSUK">#REF!</definedName>
    <definedName name="SARF_ZAGL">#REF!</definedName>
    <definedName name="SEHIR">#REF!</definedName>
    <definedName name="SERTIFIKAT">#REF!</definedName>
    <definedName name="SNI_DELIK">#REF!</definedName>
    <definedName name="SNI_KOD">#REF!</definedName>
    <definedName name="TARIH">#REF!</definedName>
    <definedName name="TEKLIF_NO">#REF!</definedName>
    <definedName name="TESLIM">#REF!</definedName>
    <definedName name="TESLIM_YERI">#REF!</definedName>
    <definedName name="TIP_AD">#REF!</definedName>
    <definedName name="TIP_BOSLUK">#REF!</definedName>
    <definedName name="TIP_GRUP">#REF!</definedName>
    <definedName name="TIP_KAT">#REF!</definedName>
    <definedName name="TIP_PABUC">#REF!</definedName>
    <definedName name="TIP_SIRA">#REF!</definedName>
    <definedName name="TIP_TEL">#REF!</definedName>
    <definedName name="TIP_TELM">#REF!</definedName>
    <definedName name="URETICI">#REF!</definedName>
    <definedName name="USER_ACK">#REF!</definedName>
    <definedName name="USER_DEG">#REF!</definedName>
    <definedName name="USER_KOD">#REF!</definedName>
    <definedName name="UST_ALT_PAY_MM">#REF!</definedName>
    <definedName name="YAS_ESKI_AY">#REF!</definedName>
    <definedName name="YAS_YASAK_AY">#REF!</definedName>
    <definedName name="YUKSUK_FIR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H125" i="1" l="1"/>
  <c r="AH124" i="1"/>
  <c r="AH123" i="1"/>
  <c r="AH122" i="1"/>
  <c r="AH121" i="1"/>
  <c r="AH120" i="1"/>
  <c r="AH119" i="1"/>
  <c r="AH118" i="1"/>
  <c r="AH117" i="1"/>
  <c r="AH116" i="1"/>
  <c r="AH115" i="1"/>
  <c r="AH114" i="1"/>
  <c r="T114" i="1"/>
  <c r="AH113" i="1"/>
  <c r="T113" i="1"/>
  <c r="AH112" i="1"/>
  <c r="T112" i="1"/>
  <c r="AH111" i="1"/>
  <c r="T111" i="1"/>
  <c r="AH110" i="1"/>
  <c r="AH105" i="1"/>
  <c r="AH104" i="1"/>
  <c r="AH103" i="1"/>
  <c r="AH102" i="1"/>
  <c r="AH101" i="1"/>
  <c r="AH100" i="1"/>
  <c r="AH99" i="1"/>
  <c r="AH98" i="1"/>
  <c r="AH97" i="1"/>
  <c r="AH96" i="1"/>
  <c r="AH95" i="1"/>
  <c r="AH94" i="1"/>
  <c r="AH93" i="1"/>
  <c r="AH92" i="1"/>
  <c r="AH91" i="1"/>
  <c r="AH90" i="1"/>
  <c r="AH89" i="1"/>
  <c r="AH88" i="1"/>
  <c r="AH87" i="1"/>
  <c r="AH86" i="1"/>
  <c r="T86" i="1"/>
  <c r="AH85" i="1"/>
  <c r="T85" i="1"/>
  <c r="AH84" i="1"/>
  <c r="T84" i="1"/>
  <c r="AH83" i="1"/>
  <c r="T83" i="1"/>
  <c r="AH82" i="1"/>
  <c r="T82" i="1"/>
  <c r="AH81" i="1"/>
  <c r="T81" i="1"/>
  <c r="AH80" i="1"/>
  <c r="T80" i="1"/>
  <c r="AH79" i="1"/>
  <c r="T79" i="1"/>
  <c r="AH78" i="1"/>
  <c r="AH73" i="1"/>
  <c r="AH72" i="1"/>
  <c r="AH71" i="1"/>
  <c r="AH70" i="1"/>
  <c r="AH69" i="1"/>
  <c r="AH68" i="1"/>
  <c r="AH67" i="1"/>
  <c r="AH66" i="1"/>
  <c r="AH65" i="1"/>
  <c r="AH64" i="1"/>
  <c r="AH63" i="1"/>
  <c r="AH62" i="1"/>
  <c r="U62" i="1"/>
  <c r="T62" i="1"/>
  <c r="AH61" i="1"/>
  <c r="U61" i="1"/>
  <c r="T61" i="1"/>
  <c r="AH60" i="1"/>
  <c r="U60" i="1"/>
  <c r="T60" i="1"/>
  <c r="AH59" i="1"/>
  <c r="T59" i="1"/>
  <c r="AH58" i="1"/>
  <c r="T58" i="1"/>
  <c r="AH57" i="1"/>
  <c r="T57" i="1"/>
  <c r="AH56" i="1"/>
  <c r="T56" i="1"/>
  <c r="AH55" i="1"/>
  <c r="T55" i="1"/>
  <c r="AH54" i="1"/>
  <c r="AH49" i="1"/>
  <c r="AH48" i="1"/>
  <c r="AH47" i="1"/>
  <c r="AH46" i="1"/>
  <c r="AH45" i="1"/>
  <c r="AH44" i="1"/>
  <c r="AH43" i="1"/>
  <c r="AH42" i="1"/>
  <c r="AH41" i="1"/>
  <c r="AH40" i="1"/>
  <c r="AH39" i="1"/>
  <c r="AH38" i="1"/>
  <c r="U38" i="1"/>
  <c r="T38" i="1"/>
  <c r="AH37" i="1"/>
  <c r="U37" i="1"/>
  <c r="T37" i="1"/>
  <c r="AH36" i="1"/>
  <c r="U36" i="1"/>
  <c r="T36" i="1"/>
  <c r="AH35" i="1"/>
  <c r="T35" i="1"/>
  <c r="AH34" i="1"/>
  <c r="T34" i="1"/>
  <c r="AH33" i="1"/>
  <c r="T33" i="1"/>
  <c r="AH32" i="1"/>
  <c r="T32" i="1"/>
  <c r="AH31" i="1"/>
  <c r="AH26" i="1"/>
  <c r="AH25" i="1"/>
  <c r="AH24" i="1"/>
  <c r="AH23" i="1"/>
  <c r="AH22" i="1"/>
  <c r="AH21" i="1"/>
  <c r="AH20" i="1"/>
  <c r="AH19" i="1"/>
  <c r="AH18" i="1"/>
  <c r="AH17" i="1"/>
  <c r="AH16" i="1"/>
  <c r="AH15" i="1"/>
  <c r="AH14" i="1"/>
  <c r="AI14" i="1" s="1"/>
  <c r="U14" i="1"/>
  <c r="T14" i="1"/>
  <c r="AH13" i="1"/>
  <c r="AI13" i="1" s="1"/>
  <c r="U13" i="1"/>
  <c r="T13" i="1"/>
  <c r="AH12" i="1"/>
  <c r="U12" i="1"/>
  <c r="T12" i="1"/>
  <c r="AH11" i="1"/>
  <c r="U11" i="1"/>
  <c r="T11" i="1"/>
  <c r="AH10" i="1"/>
  <c r="U10" i="1"/>
  <c r="T10" i="1"/>
  <c r="AH9" i="1"/>
  <c r="U9" i="1"/>
  <c r="T9" i="1"/>
  <c r="AH8" i="1"/>
  <c r="U8" i="1"/>
  <c r="T8" i="1"/>
  <c r="AH7" i="1"/>
  <c r="U7" i="1"/>
  <c r="T7" i="1"/>
  <c r="AH6" i="1"/>
  <c r="AI6" i="1" s="1"/>
  <c r="T6" i="1"/>
  <c r="AH5" i="1"/>
  <c r="T5" i="1"/>
  <c r="AH4" i="1"/>
  <c r="T4" i="1"/>
  <c r="AH3" i="1"/>
  <c r="N124" i="1" l="1"/>
  <c r="X124" i="1"/>
  <c r="AI124" i="1" s="1"/>
  <c r="N38" i="1"/>
  <c r="N125" i="1"/>
  <c r="N123" i="1"/>
  <c r="N122" i="1"/>
  <c r="N121" i="1"/>
  <c r="X120" i="1"/>
  <c r="AI120" i="1" s="1"/>
  <c r="N120" i="1"/>
  <c r="N119" i="1"/>
  <c r="N118" i="1"/>
  <c r="N117" i="1"/>
  <c r="N116" i="1"/>
  <c r="X116" i="1"/>
  <c r="AI116" i="1" s="1"/>
  <c r="X115" i="1"/>
  <c r="AI115" i="1" s="1"/>
  <c r="X114" i="1"/>
  <c r="AI114" i="1" s="1"/>
  <c r="N113" i="1"/>
  <c r="X113" i="1"/>
  <c r="AI113" i="1" s="1"/>
  <c r="X112" i="1"/>
  <c r="AI112" i="1" s="1"/>
  <c r="X111" i="1"/>
  <c r="AI111" i="1" s="1"/>
  <c r="X110" i="1"/>
  <c r="AI110" i="1" s="1"/>
  <c r="AG110" i="1"/>
  <c r="N105" i="1"/>
  <c r="X104" i="1"/>
  <c r="AI104" i="1" s="1"/>
  <c r="N104" i="1"/>
  <c r="N101" i="1"/>
  <c r="N100" i="1"/>
  <c r="N98" i="1"/>
  <c r="X97" i="1"/>
  <c r="AI97" i="1" s="1"/>
  <c r="N97" i="1"/>
  <c r="N94" i="1"/>
  <c r="N93" i="1"/>
  <c r="N91" i="1"/>
  <c r="N90" i="1"/>
  <c r="X90" i="1"/>
  <c r="AI90" i="1" s="1"/>
  <c r="X86" i="1"/>
  <c r="AI86" i="1" s="1"/>
  <c r="X85" i="1"/>
  <c r="AI85" i="1" s="1"/>
  <c r="X84" i="1"/>
  <c r="AI84" i="1" s="1"/>
  <c r="X83" i="1"/>
  <c r="AI83" i="1" s="1"/>
  <c r="X82" i="1"/>
  <c r="AI82" i="1" s="1"/>
  <c r="N81" i="1"/>
  <c r="X81" i="1"/>
  <c r="AI81" i="1" s="1"/>
  <c r="X80" i="1"/>
  <c r="AI80" i="1" s="1"/>
  <c r="X79" i="1"/>
  <c r="AI79" i="1" s="1"/>
  <c r="X78" i="1"/>
  <c r="AI78" i="1" s="1"/>
  <c r="AG78" i="1"/>
  <c r="N73" i="1"/>
  <c r="N72" i="1"/>
  <c r="X72" i="1"/>
  <c r="AI72" i="1" s="1"/>
  <c r="N71" i="1"/>
  <c r="N69" i="1"/>
  <c r="X68" i="1"/>
  <c r="AI68" i="1" s="1"/>
  <c r="N68" i="1"/>
  <c r="N67" i="1"/>
  <c r="N65" i="1"/>
  <c r="N64" i="1"/>
  <c r="X64" i="1"/>
  <c r="AI64" i="1" s="1"/>
  <c r="X63" i="1"/>
  <c r="AI63" i="1" s="1"/>
  <c r="N63" i="1"/>
  <c r="X62" i="1"/>
  <c r="AI62" i="1" s="1"/>
  <c r="N62" i="1"/>
  <c r="N61" i="1"/>
  <c r="X61" i="1"/>
  <c r="AI61" i="1" s="1"/>
  <c r="X60" i="1"/>
  <c r="AI60" i="1" s="1"/>
  <c r="N60" i="1"/>
  <c r="X59" i="1"/>
  <c r="AI59" i="1" s="1"/>
  <c r="X58" i="1"/>
  <c r="AI58" i="1" s="1"/>
  <c r="N57" i="1"/>
  <c r="X57" i="1"/>
  <c r="AI57" i="1" s="1"/>
  <c r="X56" i="1"/>
  <c r="AI56" i="1" s="1"/>
  <c r="X55" i="1"/>
  <c r="AI55" i="1" s="1"/>
  <c r="X54" i="1"/>
  <c r="AI54" i="1" s="1"/>
  <c r="AG54" i="1"/>
  <c r="N49" i="1"/>
  <c r="N48" i="1"/>
  <c r="X48" i="1"/>
  <c r="AI48" i="1" s="1"/>
  <c r="N45" i="1"/>
  <c r="X44" i="1"/>
  <c r="AI44" i="1" s="1"/>
  <c r="N44" i="1"/>
  <c r="N42" i="1"/>
  <c r="N41" i="1"/>
  <c r="X40" i="1"/>
  <c r="AI40" i="1" s="1"/>
  <c r="X39" i="1"/>
  <c r="AI39" i="1" s="1"/>
  <c r="X38" i="1"/>
  <c r="AI38" i="1" s="1"/>
  <c r="X37" i="1"/>
  <c r="AI37" i="1" s="1"/>
  <c r="N37" i="1"/>
  <c r="X36" i="1"/>
  <c r="AI36" i="1" s="1"/>
  <c r="N36" i="1"/>
  <c r="X35" i="1"/>
  <c r="AI35" i="1" s="1"/>
  <c r="X34" i="1"/>
  <c r="AI34" i="1" s="1"/>
  <c r="N33" i="1"/>
  <c r="X33" i="1"/>
  <c r="AI33" i="1" s="1"/>
  <c r="X32" i="1"/>
  <c r="AI32" i="1" s="1"/>
  <c r="X31" i="1"/>
  <c r="AI31" i="1" s="1"/>
  <c r="AG31" i="1"/>
  <c r="X25" i="1"/>
  <c r="AI25" i="1" s="1"/>
  <c r="X22" i="1"/>
  <c r="AI22" i="1" s="1"/>
  <c r="X19" i="1"/>
  <c r="AI19" i="1" s="1"/>
  <c r="X18" i="1"/>
  <c r="AI18" i="1" s="1"/>
  <c r="X14" i="1"/>
  <c r="X13" i="1"/>
  <c r="X12" i="1"/>
  <c r="AI12" i="1" s="1"/>
  <c r="X11" i="1"/>
  <c r="AI11" i="1" s="1"/>
  <c r="X10" i="1"/>
  <c r="AI10" i="1" s="1"/>
  <c r="X9" i="1"/>
  <c r="AI9" i="1" s="1"/>
  <c r="X8" i="1"/>
  <c r="AI8" i="1" s="1"/>
  <c r="X7" i="1"/>
  <c r="AI7" i="1" s="1"/>
  <c r="X6" i="1"/>
  <c r="X5" i="1"/>
  <c r="AI5" i="1" s="1"/>
  <c r="X4" i="1"/>
  <c r="AI4" i="1" s="1"/>
  <c r="N3" i="1"/>
  <c r="X3" i="1"/>
  <c r="AI3" i="1" s="1"/>
  <c r="AG3" i="1"/>
  <c r="N4" i="1" l="1"/>
  <c r="N5" i="1" s="1"/>
  <c r="N6" i="1" s="1"/>
  <c r="AG111" i="1"/>
  <c r="AG79" i="1"/>
  <c r="AG55" i="1"/>
  <c r="AG32" i="1"/>
  <c r="AG4" i="1"/>
  <c r="N7" i="1" l="1"/>
  <c r="AG112" i="1"/>
  <c r="X103" i="1"/>
  <c r="AI103" i="1" s="1"/>
  <c r="AG80" i="1"/>
  <c r="AG56" i="1"/>
  <c r="AG33" i="1"/>
  <c r="AG5" i="1"/>
  <c r="N8" i="1" l="1"/>
  <c r="X91" i="1"/>
  <c r="AI91" i="1" s="1"/>
  <c r="X119" i="1"/>
  <c r="AI119" i="1" s="1"/>
  <c r="X123" i="1"/>
  <c r="AI123" i="1" s="1"/>
  <c r="X92" i="1"/>
  <c r="AI92" i="1" s="1"/>
  <c r="X95" i="1"/>
  <c r="AI95" i="1" s="1"/>
  <c r="X102" i="1"/>
  <c r="AI102" i="1" s="1"/>
  <c r="X96" i="1"/>
  <c r="AI96" i="1" s="1"/>
  <c r="X46" i="1"/>
  <c r="AI46" i="1" s="1"/>
  <c r="AG113" i="1"/>
  <c r="AG81" i="1"/>
  <c r="AG57" i="1"/>
  <c r="AG34" i="1"/>
  <c r="AG6" i="1"/>
  <c r="X89" i="1"/>
  <c r="AI89" i="1" s="1"/>
  <c r="N89" i="1"/>
  <c r="X88" i="1"/>
  <c r="AI88" i="1" s="1"/>
  <c r="N88" i="1"/>
  <c r="X87" i="1"/>
  <c r="AI87" i="1" s="1"/>
  <c r="N87" i="1"/>
  <c r="X17" i="1"/>
  <c r="AI17" i="1" s="1"/>
  <c r="N17" i="1"/>
  <c r="X16" i="1"/>
  <c r="AI16" i="1" s="1"/>
  <c r="N16" i="1"/>
  <c r="X15" i="1"/>
  <c r="AI15" i="1" s="1"/>
  <c r="X67" i="1"/>
  <c r="AI67" i="1" s="1"/>
  <c r="X66" i="1"/>
  <c r="AI66" i="1" s="1"/>
  <c r="X70" i="1"/>
  <c r="AI70" i="1" s="1"/>
  <c r="X71" i="1"/>
  <c r="AI71" i="1" s="1"/>
  <c r="X69" i="1"/>
  <c r="AI69" i="1" s="1"/>
  <c r="X117" i="1"/>
  <c r="AI117" i="1" s="1"/>
  <c r="X122" i="1"/>
  <c r="AI122" i="1" s="1"/>
  <c r="X121" i="1"/>
  <c r="AI121" i="1" s="1"/>
  <c r="X94" i="1"/>
  <c r="AI94" i="1" s="1"/>
  <c r="X98" i="1"/>
  <c r="AI98" i="1" s="1"/>
  <c r="X99" i="1"/>
  <c r="AI99" i="1" s="1"/>
  <c r="X47" i="1"/>
  <c r="AI47" i="1" s="1"/>
  <c r="X42" i="1"/>
  <c r="AI42" i="1" s="1"/>
  <c r="X21" i="1"/>
  <c r="AI21" i="1" s="1"/>
  <c r="X24" i="1"/>
  <c r="AI24" i="1" s="1"/>
  <c r="N9" i="1" l="1"/>
  <c r="X43" i="1"/>
  <c r="AI43" i="1" s="1"/>
  <c r="X45" i="1"/>
  <c r="AI45" i="1" s="1"/>
  <c r="X93" i="1"/>
  <c r="AI93" i="1" s="1"/>
  <c r="X100" i="1"/>
  <c r="AI100" i="1" s="1"/>
  <c r="AG114" i="1"/>
  <c r="AG82" i="1"/>
  <c r="AG58" i="1"/>
  <c r="AG35" i="1"/>
  <c r="AG7" i="1"/>
  <c r="X23" i="1"/>
  <c r="AI23" i="1" s="1"/>
  <c r="X118" i="1"/>
  <c r="AI118" i="1" s="1"/>
  <c r="X125" i="1"/>
  <c r="AI125" i="1" s="1"/>
  <c r="X101" i="1"/>
  <c r="AI101" i="1" s="1"/>
  <c r="N10" i="1" l="1"/>
  <c r="N11" i="1" s="1"/>
  <c r="AC60" i="1"/>
  <c r="S7" i="1"/>
  <c r="S8" i="1"/>
  <c r="S62" i="1"/>
  <c r="AC62" i="1"/>
  <c r="AC61" i="1"/>
  <c r="S61" i="1"/>
  <c r="S60" i="1"/>
  <c r="AC57" i="1"/>
  <c r="AC37" i="1"/>
  <c r="AC9" i="1"/>
  <c r="AC8" i="1"/>
  <c r="S36" i="1"/>
  <c r="AC36" i="1"/>
  <c r="AC33" i="1"/>
  <c r="S33" i="1"/>
  <c r="S11" i="1"/>
  <c r="AC11" i="1"/>
  <c r="S9" i="1"/>
  <c r="S6" i="1"/>
  <c r="AC5" i="1"/>
  <c r="S5" i="1"/>
  <c r="AC4" i="1"/>
  <c r="AC3" i="1"/>
  <c r="S3" i="1"/>
  <c r="S38" i="1"/>
  <c r="AC38" i="1"/>
  <c r="AC10" i="1"/>
  <c r="S10" i="1"/>
  <c r="S57" i="1"/>
  <c r="AC7" i="1"/>
  <c r="X105" i="1"/>
  <c r="AI105" i="1" s="1"/>
  <c r="X20" i="1"/>
  <c r="AI20" i="1" s="1"/>
  <c r="X41" i="1"/>
  <c r="AI41" i="1" s="1"/>
  <c r="X65" i="1"/>
  <c r="AI65" i="1" s="1"/>
  <c r="X26" i="1"/>
  <c r="AI26" i="1" s="1"/>
  <c r="AG115" i="1"/>
  <c r="AG83" i="1"/>
  <c r="AG59" i="1"/>
  <c r="AG36" i="1"/>
  <c r="AG8" i="1"/>
  <c r="N12" i="1" l="1"/>
  <c r="N13" i="1" s="1"/>
  <c r="AE60" i="1"/>
  <c r="AD60" i="1"/>
  <c r="AE62" i="1"/>
  <c r="AD62" i="1"/>
  <c r="AE61" i="1"/>
  <c r="AD61" i="1"/>
  <c r="AE57" i="1"/>
  <c r="AD57" i="1"/>
  <c r="AE37" i="1"/>
  <c r="AD37" i="1"/>
  <c r="AE9" i="1"/>
  <c r="AD9" i="1"/>
  <c r="AE8" i="1"/>
  <c r="AD8" i="1"/>
  <c r="AE36" i="1"/>
  <c r="AD36" i="1"/>
  <c r="AE33" i="1"/>
  <c r="AD33" i="1"/>
  <c r="AE11" i="1"/>
  <c r="AD11" i="1"/>
  <c r="AE5" i="1"/>
  <c r="AD5" i="1"/>
  <c r="AE4" i="1"/>
  <c r="AD4" i="1"/>
  <c r="AE3" i="1"/>
  <c r="AD3" i="1"/>
  <c r="AD38" i="1"/>
  <c r="AE38" i="1"/>
  <c r="AE10" i="1"/>
  <c r="AD10" i="1"/>
  <c r="AE7" i="1"/>
  <c r="AD7" i="1"/>
  <c r="S37" i="1"/>
  <c r="X49" i="1"/>
  <c r="AI49" i="1" s="1"/>
  <c r="X73" i="1"/>
  <c r="AI73" i="1" s="1"/>
  <c r="AG116" i="1"/>
  <c r="AG84" i="1"/>
  <c r="AG60" i="1"/>
  <c r="AG37" i="1"/>
  <c r="AG9" i="1"/>
  <c r="P60" i="1" l="1"/>
  <c r="V60" i="1" s="1"/>
  <c r="P7" i="1"/>
  <c r="V7" i="1" s="1"/>
  <c r="Q60" i="1"/>
  <c r="Q7" i="1"/>
  <c r="R7" i="1"/>
  <c r="W7" i="1" s="1"/>
  <c r="R60" i="1"/>
  <c r="W60" i="1" s="1"/>
  <c r="AF7" i="1"/>
  <c r="AF60" i="1"/>
  <c r="P33" i="1"/>
  <c r="P57" i="1"/>
  <c r="P5" i="1"/>
  <c r="Q33" i="1"/>
  <c r="Q5" i="1"/>
  <c r="Q57" i="1"/>
  <c r="R5" i="1"/>
  <c r="R33" i="1"/>
  <c r="R57" i="1"/>
  <c r="AF33" i="1"/>
  <c r="AF5" i="1"/>
  <c r="AF57" i="1"/>
  <c r="N14" i="1"/>
  <c r="N15" i="1" s="1"/>
  <c r="R8" i="1"/>
  <c r="W8" i="1" s="1"/>
  <c r="R61" i="1"/>
  <c r="W61" i="1" s="1"/>
  <c r="R36" i="1"/>
  <c r="W36" i="1" s="1"/>
  <c r="Q61" i="1"/>
  <c r="Q36" i="1"/>
  <c r="Q8" i="1"/>
  <c r="P8" i="1"/>
  <c r="V8" i="1" s="1"/>
  <c r="P61" i="1"/>
  <c r="V61" i="1" s="1"/>
  <c r="P36" i="1"/>
  <c r="V36" i="1" s="1"/>
  <c r="AF61" i="1"/>
  <c r="AF36" i="1"/>
  <c r="AF8" i="1"/>
  <c r="AG117" i="1"/>
  <c r="AG85" i="1"/>
  <c r="AG61" i="1"/>
  <c r="AG38" i="1"/>
  <c r="AG10" i="1"/>
  <c r="S72" i="1" l="1"/>
  <c r="Z68" i="1"/>
  <c r="S73" i="1"/>
  <c r="Z73" i="1"/>
  <c r="S35" i="1"/>
  <c r="AC67" i="1"/>
  <c r="S67" i="1"/>
  <c r="Z72" i="1"/>
  <c r="AA72" i="1"/>
  <c r="AA73" i="1"/>
  <c r="Z65" i="1"/>
  <c r="AC72" i="1"/>
  <c r="AC65" i="1"/>
  <c r="Z69" i="1"/>
  <c r="AC35" i="1"/>
  <c r="AC73" i="1"/>
  <c r="S68" i="1"/>
  <c r="AC41" i="1"/>
  <c r="S42" i="1"/>
  <c r="AC42" i="1"/>
  <c r="S44" i="1"/>
  <c r="AC45" i="1"/>
  <c r="AC88" i="1"/>
  <c r="AA88" i="1"/>
  <c r="S88" i="1"/>
  <c r="AC89" i="1"/>
  <c r="Z89" i="1"/>
  <c r="AC15" i="1"/>
  <c r="AA15" i="1"/>
  <c r="Z15" i="1"/>
  <c r="S15" i="1"/>
  <c r="AC16" i="1"/>
  <c r="AA16" i="1"/>
  <c r="Z16" i="1"/>
  <c r="S16" i="1"/>
  <c r="AC17" i="1"/>
  <c r="AA17" i="1"/>
  <c r="Z17" i="1"/>
  <c r="S17" i="1"/>
  <c r="AC87" i="1"/>
  <c r="AA87" i="1"/>
  <c r="Z87" i="1"/>
  <c r="S87" i="1"/>
  <c r="Z88" i="1"/>
  <c r="AA89" i="1"/>
  <c r="S89" i="1"/>
  <c r="AA22" i="1"/>
  <c r="S22" i="1"/>
  <c r="Z67" i="1"/>
  <c r="AA67" i="1"/>
  <c r="Z100" i="1"/>
  <c r="AC124" i="1"/>
  <c r="Z124" i="1"/>
  <c r="AA124" i="1"/>
  <c r="S124" i="1"/>
  <c r="AA21" i="1"/>
  <c r="S12" i="1"/>
  <c r="AC12" i="1"/>
  <c r="AC13" i="1"/>
  <c r="S13" i="1"/>
  <c r="AC14" i="1"/>
  <c r="S14" i="1"/>
  <c r="S18" i="1"/>
  <c r="AC18" i="1"/>
  <c r="AA18" i="1"/>
  <c r="Z18" i="1"/>
  <c r="AC19" i="1"/>
  <c r="Z19" i="1"/>
  <c r="S19" i="1"/>
  <c r="AA19" i="1"/>
  <c r="AC20" i="1"/>
  <c r="AA20" i="1"/>
  <c r="S20" i="1"/>
  <c r="Z20" i="1"/>
  <c r="AC21" i="1"/>
  <c r="S23" i="1"/>
  <c r="Z23" i="1"/>
  <c r="AA24" i="1"/>
  <c r="Z24" i="1"/>
  <c r="S24" i="1"/>
  <c r="AC24" i="1"/>
  <c r="Z25" i="1"/>
  <c r="AA25" i="1"/>
  <c r="AC25" i="1"/>
  <c r="S25" i="1"/>
  <c r="AA26" i="1"/>
  <c r="AC26" i="1"/>
  <c r="S26" i="1"/>
  <c r="Z26" i="1"/>
  <c r="S31" i="1"/>
  <c r="AC31" i="1"/>
  <c r="AC32" i="1"/>
  <c r="S34" i="1"/>
  <c r="AA23" i="1"/>
  <c r="Z41" i="1"/>
  <c r="Z44" i="1"/>
  <c r="S48" i="1"/>
  <c r="AA48" i="1"/>
  <c r="Z49" i="1"/>
  <c r="AC49" i="1"/>
  <c r="S39" i="1"/>
  <c r="AC63" i="1"/>
  <c r="AA63" i="1"/>
  <c r="Z63" i="1"/>
  <c r="S63" i="1"/>
  <c r="AC22" i="1"/>
  <c r="S21" i="1"/>
  <c r="AA41" i="1"/>
  <c r="Z42" i="1"/>
  <c r="AC44" i="1"/>
  <c r="Z45" i="1"/>
  <c r="Z48" i="1"/>
  <c r="AC48" i="1"/>
  <c r="S49" i="1"/>
  <c r="S81" i="1"/>
  <c r="AC23" i="1"/>
  <c r="Z39" i="1"/>
  <c r="AC69" i="1"/>
  <c r="AA69" i="1"/>
  <c r="AC90" i="1"/>
  <c r="AA90" i="1"/>
  <c r="Z90" i="1"/>
  <c r="S90" i="1"/>
  <c r="Z91" i="1"/>
  <c r="AA91" i="1"/>
  <c r="AC91" i="1"/>
  <c r="S91" i="1"/>
  <c r="AC93" i="1"/>
  <c r="S93" i="1"/>
  <c r="Z93" i="1"/>
  <c r="AA93" i="1"/>
  <c r="S97" i="1"/>
  <c r="Z97" i="1"/>
  <c r="AA97" i="1"/>
  <c r="AC97" i="1"/>
  <c r="S98" i="1"/>
  <c r="Z98" i="1"/>
  <c r="AA98" i="1"/>
  <c r="AC98" i="1"/>
  <c r="Z22" i="1"/>
  <c r="AC39" i="1"/>
  <c r="S65" i="1"/>
  <c r="AC68" i="1"/>
  <c r="AC100" i="1"/>
  <c r="AA104" i="1"/>
  <c r="Z105" i="1"/>
  <c r="S105" i="1"/>
  <c r="S41" i="1"/>
  <c r="AA42" i="1"/>
  <c r="AA44" i="1"/>
  <c r="AA45" i="1"/>
  <c r="S45" i="1"/>
  <c r="AA49" i="1"/>
  <c r="S69" i="1"/>
  <c r="AA100" i="1"/>
  <c r="S100" i="1"/>
  <c r="S104" i="1"/>
  <c r="AA105" i="1"/>
  <c r="S120" i="1"/>
  <c r="AC120" i="1"/>
  <c r="S121" i="1"/>
  <c r="AA121" i="1"/>
  <c r="S125" i="1"/>
  <c r="AA125" i="1"/>
  <c r="AC125" i="1"/>
  <c r="Z21" i="1"/>
  <c r="AA39" i="1"/>
  <c r="AA65" i="1"/>
  <c r="AA68" i="1"/>
  <c r="Z104" i="1"/>
  <c r="AC104" i="1"/>
  <c r="AC105" i="1"/>
  <c r="AA117" i="1"/>
  <c r="Z117" i="1"/>
  <c r="S117" i="1"/>
  <c r="AC117" i="1"/>
  <c r="AA120" i="1"/>
  <c r="Z120" i="1"/>
  <c r="Z121" i="1"/>
  <c r="AC121" i="1"/>
  <c r="Z125" i="1"/>
  <c r="AB7" i="1"/>
  <c r="AB60" i="1"/>
  <c r="V33" i="1"/>
  <c r="V57" i="1"/>
  <c r="V5" i="1"/>
  <c r="R11" i="1"/>
  <c r="R38" i="1"/>
  <c r="W38" i="1" s="1"/>
  <c r="P11" i="1"/>
  <c r="V11" i="1" s="1"/>
  <c r="P38" i="1"/>
  <c r="V38" i="1" s="1"/>
  <c r="Q11" i="1"/>
  <c r="Q38" i="1"/>
  <c r="AF11" i="1"/>
  <c r="AF38" i="1"/>
  <c r="P9" i="1"/>
  <c r="V9" i="1" s="1"/>
  <c r="P62" i="1"/>
  <c r="V62" i="1" s="1"/>
  <c r="P37" i="1"/>
  <c r="V37" i="1" s="1"/>
  <c r="AF62" i="1"/>
  <c r="AF37" i="1"/>
  <c r="AF9" i="1"/>
  <c r="R37" i="1"/>
  <c r="W37" i="1" s="1"/>
  <c r="R9" i="1"/>
  <c r="W9" i="1" s="1"/>
  <c r="R62" i="1"/>
  <c r="W62" i="1" s="1"/>
  <c r="Q9" i="1"/>
  <c r="Q62" i="1"/>
  <c r="Q37" i="1"/>
  <c r="AB33" i="1"/>
  <c r="AB57" i="1"/>
  <c r="AB5" i="1"/>
  <c r="AB36" i="1"/>
  <c r="AB8" i="1"/>
  <c r="AB61" i="1"/>
  <c r="N18" i="1"/>
  <c r="AG118" i="1"/>
  <c r="AG86" i="1"/>
  <c r="AG62" i="1"/>
  <c r="AG39" i="1"/>
  <c r="AG11" i="1"/>
  <c r="N19" i="1" l="1"/>
  <c r="N20" i="1" s="1"/>
  <c r="N21" i="1" s="1"/>
  <c r="AD67" i="1"/>
  <c r="AE67" i="1"/>
  <c r="AE72" i="1"/>
  <c r="AD72" i="1"/>
  <c r="AE65" i="1"/>
  <c r="AD65" i="1"/>
  <c r="AE35" i="1"/>
  <c r="AD35" i="1"/>
  <c r="AE73" i="1"/>
  <c r="AD73" i="1"/>
  <c r="AD41" i="1"/>
  <c r="AE41" i="1"/>
  <c r="AD42" i="1"/>
  <c r="AE42" i="1"/>
  <c r="AD45" i="1"/>
  <c r="AE45" i="1"/>
  <c r="AD88" i="1"/>
  <c r="AE88" i="1"/>
  <c r="AD89" i="1"/>
  <c r="AE89" i="1"/>
  <c r="AD15" i="1"/>
  <c r="AE15" i="1"/>
  <c r="AD16" i="1"/>
  <c r="AE16" i="1"/>
  <c r="AD17" i="1"/>
  <c r="AE17" i="1"/>
  <c r="AD87" i="1"/>
  <c r="AE87" i="1"/>
  <c r="AE124" i="1"/>
  <c r="AD124" i="1"/>
  <c r="AD12" i="1"/>
  <c r="AE12" i="1"/>
  <c r="AD13" i="1"/>
  <c r="AE13" i="1"/>
  <c r="AD14" i="1"/>
  <c r="AE14" i="1"/>
  <c r="AD18" i="1"/>
  <c r="AE18" i="1"/>
  <c r="AD19" i="1"/>
  <c r="AE19" i="1"/>
  <c r="AD20" i="1"/>
  <c r="AE20" i="1"/>
  <c r="AD21" i="1"/>
  <c r="AE21" i="1"/>
  <c r="AD24" i="1"/>
  <c r="AE24" i="1"/>
  <c r="AD25" i="1"/>
  <c r="AE25" i="1"/>
  <c r="AD26" i="1"/>
  <c r="AE26" i="1"/>
  <c r="AD31" i="1"/>
  <c r="AE31" i="1"/>
  <c r="AD32" i="1"/>
  <c r="AE32" i="1"/>
  <c r="AD49" i="1"/>
  <c r="AE49" i="1"/>
  <c r="AD63" i="1"/>
  <c r="AE63" i="1"/>
  <c r="AD22" i="1"/>
  <c r="AE22" i="1"/>
  <c r="AD44" i="1"/>
  <c r="AE44" i="1"/>
  <c r="AD48" i="1"/>
  <c r="AE48" i="1"/>
  <c r="AD23" i="1"/>
  <c r="AE23" i="1"/>
  <c r="AD69" i="1"/>
  <c r="AE69" i="1"/>
  <c r="AD90" i="1"/>
  <c r="AE90" i="1"/>
  <c r="AD91" i="1"/>
  <c r="AE91" i="1"/>
  <c r="AD93" i="1"/>
  <c r="AE93" i="1"/>
  <c r="AD97" i="1"/>
  <c r="AE97" i="1"/>
  <c r="AD98" i="1"/>
  <c r="AE98" i="1"/>
  <c r="AD39" i="1"/>
  <c r="AE39" i="1"/>
  <c r="AD68" i="1"/>
  <c r="AE68" i="1"/>
  <c r="AD100" i="1"/>
  <c r="AE100" i="1"/>
  <c r="AD120" i="1"/>
  <c r="AE120" i="1"/>
  <c r="AD125" i="1"/>
  <c r="AE125" i="1"/>
  <c r="AD104" i="1"/>
  <c r="AE104" i="1"/>
  <c r="AD105" i="1"/>
  <c r="AE105" i="1"/>
  <c r="AD117" i="1"/>
  <c r="AE117" i="1"/>
  <c r="AD121" i="1"/>
  <c r="AE121" i="1"/>
  <c r="Y3" i="1"/>
  <c r="Y7" i="1"/>
  <c r="Y60" i="1"/>
  <c r="Y6" i="1"/>
  <c r="U6" i="1" s="1"/>
  <c r="AC6" i="1"/>
  <c r="AB11" i="1"/>
  <c r="AB38" i="1"/>
  <c r="AB62" i="1"/>
  <c r="AB9" i="1"/>
  <c r="AB37" i="1"/>
  <c r="Y5" i="1"/>
  <c r="U5" i="1" s="1"/>
  <c r="W5" i="1" s="1"/>
  <c r="Y33" i="1"/>
  <c r="U33" i="1" s="1"/>
  <c r="W33" i="1" s="1"/>
  <c r="Y57" i="1"/>
  <c r="U57" i="1" s="1"/>
  <c r="W57" i="1" s="1"/>
  <c r="Y8" i="1"/>
  <c r="Y36" i="1"/>
  <c r="Y61" i="1"/>
  <c r="Y4" i="1"/>
  <c r="U4" i="1" s="1"/>
  <c r="W11" i="1"/>
  <c r="AG119" i="1"/>
  <c r="AG87" i="1"/>
  <c r="AG63" i="1"/>
  <c r="AG40" i="1"/>
  <c r="AG12" i="1"/>
  <c r="N22" i="1" l="1"/>
  <c r="N23" i="1" s="1"/>
  <c r="N24" i="1" s="1"/>
  <c r="Z3" i="1"/>
  <c r="Z7" i="1"/>
  <c r="Z60" i="1"/>
  <c r="Z6" i="1"/>
  <c r="AE6" i="1"/>
  <c r="AD6" i="1"/>
  <c r="Y11" i="1"/>
  <c r="Y38" i="1"/>
  <c r="Y10" i="1"/>
  <c r="Y62" i="1"/>
  <c r="Y9" i="1"/>
  <c r="Y37" i="1"/>
  <c r="Z5" i="1"/>
  <c r="Z33" i="1"/>
  <c r="Z57" i="1"/>
  <c r="Z8" i="1"/>
  <c r="Z36" i="1"/>
  <c r="Z61" i="1"/>
  <c r="Z4" i="1"/>
  <c r="AB120" i="1"/>
  <c r="AB97" i="1"/>
  <c r="AB93" i="1"/>
  <c r="AB44" i="1"/>
  <c r="AB42" i="1"/>
  <c r="AB67" i="1"/>
  <c r="AB22" i="1"/>
  <c r="AB68" i="1"/>
  <c r="AF68" i="1"/>
  <c r="AF120" i="1"/>
  <c r="AF97" i="1"/>
  <c r="AF44" i="1"/>
  <c r="AF22" i="1"/>
  <c r="AF67" i="1"/>
  <c r="AF42" i="1"/>
  <c r="AF93" i="1"/>
  <c r="AC123" i="1"/>
  <c r="AA123" i="1"/>
  <c r="S123" i="1"/>
  <c r="AC122" i="1"/>
  <c r="AA122" i="1"/>
  <c r="Z122" i="1"/>
  <c r="S122" i="1"/>
  <c r="AA119" i="1"/>
  <c r="Y119" i="1"/>
  <c r="Z118" i="1"/>
  <c r="S118" i="1"/>
  <c r="Y116" i="1"/>
  <c r="S112" i="1"/>
  <c r="AF111" i="1"/>
  <c r="R111" i="1"/>
  <c r="AC102" i="1"/>
  <c r="S102" i="1"/>
  <c r="AC101" i="1"/>
  <c r="Y99" i="1"/>
  <c r="AC99" i="1"/>
  <c r="P86" i="1"/>
  <c r="AF85" i="1"/>
  <c r="S85" i="1"/>
  <c r="P84" i="1"/>
  <c r="Z84" i="1"/>
  <c r="R83" i="1"/>
  <c r="R82" i="1"/>
  <c r="Z66" i="1"/>
  <c r="S56" i="1"/>
  <c r="AC82" i="1"/>
  <c r="AB123" i="1"/>
  <c r="Z123" i="1"/>
  <c r="Y123" i="1"/>
  <c r="AC119" i="1"/>
  <c r="AB119" i="1"/>
  <c r="Z119" i="1"/>
  <c r="S119" i="1"/>
  <c r="AC118" i="1"/>
  <c r="AA118" i="1"/>
  <c r="Q112" i="1"/>
  <c r="AC111" i="1"/>
  <c r="Q111" i="1"/>
  <c r="S110" i="1"/>
  <c r="Y103" i="1"/>
  <c r="Y102" i="1"/>
  <c r="S101" i="1"/>
  <c r="Z99" i="1"/>
  <c r="AB86" i="1"/>
  <c r="AB85" i="1"/>
  <c r="AB84" i="1"/>
  <c r="S84" i="1"/>
  <c r="AA70" i="1"/>
  <c r="AF82" i="1"/>
  <c r="S82" i="1"/>
  <c r="Y80" i="1"/>
  <c r="U80" i="1" s="1"/>
  <c r="AA80" i="1"/>
  <c r="R80" i="1"/>
  <c r="Q80" i="1"/>
  <c r="S54" i="1"/>
  <c r="S46" i="1"/>
  <c r="Z43" i="1"/>
  <c r="P114" i="1"/>
  <c r="Q114" i="1"/>
  <c r="R114" i="1"/>
  <c r="S114" i="1"/>
  <c r="Y114" i="1"/>
  <c r="U114" i="1" s="1"/>
  <c r="AF114" i="1"/>
  <c r="AB114" i="1"/>
  <c r="AF113" i="1"/>
  <c r="AB113" i="1"/>
  <c r="S113" i="1"/>
  <c r="R113" i="1"/>
  <c r="Q113" i="1"/>
  <c r="P113" i="1"/>
  <c r="V113" i="1" s="1"/>
  <c r="AB112" i="1"/>
  <c r="AF112" i="1"/>
  <c r="S111" i="1"/>
  <c r="S103" i="1"/>
  <c r="AC103" i="1"/>
  <c r="AB102" i="1"/>
  <c r="S99" i="1"/>
  <c r="S86" i="1"/>
  <c r="Q86" i="1"/>
  <c r="P85" i="1"/>
  <c r="Y85" i="1"/>
  <c r="U85" i="1" s="1"/>
  <c r="P82" i="1"/>
  <c r="V82" i="1" s="1"/>
  <c r="S70" i="1"/>
  <c r="AC66" i="1"/>
  <c r="S96" i="1"/>
  <c r="Y96" i="1"/>
  <c r="Z96" i="1"/>
  <c r="AA96" i="1"/>
  <c r="AC96" i="1"/>
  <c r="AB96" i="1"/>
  <c r="Z95" i="1"/>
  <c r="Y95" i="1"/>
  <c r="S95" i="1"/>
  <c r="AA95" i="1"/>
  <c r="AB95" i="1"/>
  <c r="AC95" i="1"/>
  <c r="AC94" i="1"/>
  <c r="AA94" i="1"/>
  <c r="Z94" i="1"/>
  <c r="S94" i="1"/>
  <c r="AC92" i="1"/>
  <c r="AB92" i="1"/>
  <c r="AA92" i="1"/>
  <c r="Z92" i="1"/>
  <c r="Y92" i="1"/>
  <c r="S92" i="1"/>
  <c r="AF86" i="1"/>
  <c r="R86" i="1"/>
  <c r="AF84" i="1"/>
  <c r="R84" i="1"/>
  <c r="Q83" i="1"/>
  <c r="AF83" i="1"/>
  <c r="S80" i="1"/>
  <c r="Z80" i="1"/>
  <c r="AB80" i="1"/>
  <c r="AF80" i="1"/>
  <c r="P80" i="1"/>
  <c r="AC54" i="1"/>
  <c r="AC47" i="1"/>
  <c r="Z47" i="1"/>
  <c r="S47" i="1"/>
  <c r="AC43" i="1"/>
  <c r="AC40" i="1"/>
  <c r="AC55" i="1"/>
  <c r="Z40" i="1"/>
  <c r="AC64" i="1"/>
  <c r="AA64" i="1"/>
  <c r="Z64" i="1"/>
  <c r="AC56" i="1"/>
  <c r="AA47" i="1"/>
  <c r="AC46" i="1"/>
  <c r="AA46" i="1"/>
  <c r="S40" i="1"/>
  <c r="S64" i="1"/>
  <c r="AC110" i="1"/>
  <c r="AA103" i="1"/>
  <c r="Z102" i="1"/>
  <c r="AA101" i="1"/>
  <c r="AA99" i="1"/>
  <c r="Y86" i="1"/>
  <c r="U86" i="1" s="1"/>
  <c r="R85" i="1"/>
  <c r="Y84" i="1"/>
  <c r="U84" i="1" s="1"/>
  <c r="P83" i="1"/>
  <c r="AB83" i="1"/>
  <c r="S66" i="1"/>
  <c r="S58" i="1"/>
  <c r="Y111" i="1"/>
  <c r="U111" i="1" s="1"/>
  <c r="Y112" i="1"/>
  <c r="U112" i="1" s="1"/>
  <c r="Y113" i="1"/>
  <c r="U113" i="1" s="1"/>
  <c r="AC84" i="1"/>
  <c r="Y82" i="1"/>
  <c r="U82" i="1" s="1"/>
  <c r="AC80" i="1"/>
  <c r="AC112" i="1"/>
  <c r="Z112" i="1"/>
  <c r="AC85" i="1"/>
  <c r="AF123" i="1"/>
  <c r="AF92" i="1"/>
  <c r="AF95" i="1"/>
  <c r="AF96" i="1"/>
  <c r="AA113" i="1"/>
  <c r="AA112" i="1"/>
  <c r="AF99" i="1"/>
  <c r="Z46" i="1"/>
  <c r="S43" i="1"/>
  <c r="AA43" i="1"/>
  <c r="Y83" i="1"/>
  <c r="U83" i="1" s="1"/>
  <c r="AA86" i="1"/>
  <c r="AC114" i="1"/>
  <c r="AA115" i="1"/>
  <c r="AF102" i="1"/>
  <c r="AA111" i="1"/>
  <c r="AC113" i="1"/>
  <c r="Y115" i="1"/>
  <c r="S78" i="1"/>
  <c r="S116" i="1"/>
  <c r="R112" i="1"/>
  <c r="P112" i="1"/>
  <c r="V112" i="1" s="1"/>
  <c r="AB111" i="1"/>
  <c r="P111" i="1"/>
  <c r="Z103" i="1"/>
  <c r="AB103" i="1"/>
  <c r="AA102" i="1"/>
  <c r="AA84" i="1"/>
  <c r="AA83" i="1"/>
  <c r="AA114" i="1"/>
  <c r="AC79" i="1"/>
  <c r="Z113" i="1"/>
  <c r="Z111" i="1"/>
  <c r="S59" i="1"/>
  <c r="AC86" i="1"/>
  <c r="Z82" i="1"/>
  <c r="AF119" i="1"/>
  <c r="AC116" i="1"/>
  <c r="AA116" i="1"/>
  <c r="AB115" i="1"/>
  <c r="Z71" i="1"/>
  <c r="S71" i="1"/>
  <c r="AC70" i="1"/>
  <c r="AF103" i="1"/>
  <c r="Z115" i="1"/>
  <c r="Z70" i="1"/>
  <c r="Z83" i="1"/>
  <c r="Q82" i="1"/>
  <c r="AA66" i="1"/>
  <c r="Z85" i="1"/>
  <c r="Q84" i="1"/>
  <c r="AA85" i="1"/>
  <c r="Z101" i="1"/>
  <c r="S83" i="1"/>
  <c r="Z86" i="1"/>
  <c r="Z114" i="1"/>
  <c r="S115" i="1"/>
  <c r="AB82" i="1"/>
  <c r="AA82" i="1"/>
  <c r="AC83" i="1"/>
  <c r="AC59" i="1"/>
  <c r="AA40" i="1"/>
  <c r="AF116" i="1"/>
  <c r="AB116" i="1"/>
  <c r="Z116" i="1"/>
  <c r="AC78" i="1"/>
  <c r="AC71" i="1"/>
  <c r="AA71" i="1"/>
  <c r="AB99" i="1"/>
  <c r="Q85" i="1"/>
  <c r="AC115" i="1"/>
  <c r="AF115" i="1"/>
  <c r="AG120" i="1"/>
  <c r="AG88" i="1"/>
  <c r="AG64" i="1"/>
  <c r="AG41" i="1"/>
  <c r="AG13" i="1"/>
  <c r="N25" i="1" l="1"/>
  <c r="W112" i="1"/>
  <c r="W113" i="1"/>
  <c r="AA60" i="1"/>
  <c r="AA7" i="1"/>
  <c r="Z11" i="1"/>
  <c r="Z38" i="1"/>
  <c r="Z10" i="1"/>
  <c r="Z62" i="1"/>
  <c r="Z9" i="1"/>
  <c r="Z37" i="1"/>
  <c r="AA5" i="1"/>
  <c r="AA57" i="1"/>
  <c r="AA33" i="1"/>
  <c r="AA36" i="1"/>
  <c r="AA61" i="1"/>
  <c r="AA8" i="1"/>
  <c r="AE123" i="1"/>
  <c r="AD123" i="1"/>
  <c r="AE122" i="1"/>
  <c r="AD122" i="1"/>
  <c r="AE102" i="1"/>
  <c r="AD102" i="1"/>
  <c r="AE101" i="1"/>
  <c r="AD101" i="1"/>
  <c r="AE99" i="1"/>
  <c r="AD99" i="1"/>
  <c r="W86" i="1"/>
  <c r="V86" i="1"/>
  <c r="W84" i="1"/>
  <c r="V84" i="1"/>
  <c r="AE82" i="1"/>
  <c r="AD82" i="1"/>
  <c r="AE119" i="1"/>
  <c r="AD119" i="1"/>
  <c r="AE118" i="1"/>
  <c r="AD118" i="1"/>
  <c r="AE111" i="1"/>
  <c r="AD111" i="1"/>
  <c r="W114" i="1"/>
  <c r="V114" i="1"/>
  <c r="AE103" i="1"/>
  <c r="AD103" i="1"/>
  <c r="W85" i="1"/>
  <c r="V85" i="1"/>
  <c r="AE66" i="1"/>
  <c r="AD66" i="1"/>
  <c r="AE96" i="1"/>
  <c r="AD96" i="1"/>
  <c r="AE95" i="1"/>
  <c r="AD95" i="1"/>
  <c r="AE94" i="1"/>
  <c r="AD94" i="1"/>
  <c r="AE92" i="1"/>
  <c r="AD92" i="1"/>
  <c r="W80" i="1"/>
  <c r="V80" i="1"/>
  <c r="AE54" i="1"/>
  <c r="AD54" i="1"/>
  <c r="AE47" i="1"/>
  <c r="AD47" i="1"/>
  <c r="AE43" i="1"/>
  <c r="AD43" i="1"/>
  <c r="AE40" i="1"/>
  <c r="AD40" i="1"/>
  <c r="AE55" i="1"/>
  <c r="AD55" i="1"/>
  <c r="AE64" i="1"/>
  <c r="AD64" i="1"/>
  <c r="AD56" i="1"/>
  <c r="AE56" i="1"/>
  <c r="AE46" i="1"/>
  <c r="AD46" i="1"/>
  <c r="AE110" i="1"/>
  <c r="AD110" i="1"/>
  <c r="W83" i="1"/>
  <c r="V83" i="1"/>
  <c r="AE84" i="1"/>
  <c r="AD84" i="1"/>
  <c r="AE80" i="1"/>
  <c r="AD80" i="1"/>
  <c r="AD112" i="1"/>
  <c r="AE112" i="1"/>
  <c r="AD85" i="1"/>
  <c r="AE85" i="1"/>
  <c r="AE114" i="1"/>
  <c r="AD114" i="1"/>
  <c r="AE113" i="1"/>
  <c r="AD113" i="1"/>
  <c r="V111" i="1"/>
  <c r="W111" i="1"/>
  <c r="AD79" i="1"/>
  <c r="AE79" i="1"/>
  <c r="AD86" i="1"/>
  <c r="AE86" i="1"/>
  <c r="AD116" i="1"/>
  <c r="AE116" i="1"/>
  <c r="AD70" i="1"/>
  <c r="AE70" i="1"/>
  <c r="AD83" i="1"/>
  <c r="AE83" i="1"/>
  <c r="AE59" i="1"/>
  <c r="AD59" i="1"/>
  <c r="AD78" i="1"/>
  <c r="AE78" i="1"/>
  <c r="AD71" i="1"/>
  <c r="AE71" i="1"/>
  <c r="AD115" i="1"/>
  <c r="AE115" i="1"/>
  <c r="AF18" i="1"/>
  <c r="AF90" i="1"/>
  <c r="AF23" i="1"/>
  <c r="AF45" i="1"/>
  <c r="AF98" i="1"/>
  <c r="AF121" i="1"/>
  <c r="AF69" i="1"/>
  <c r="AF100" i="1"/>
  <c r="AF25" i="1"/>
  <c r="AF48" i="1"/>
  <c r="AF104" i="1"/>
  <c r="AF124" i="1"/>
  <c r="AF72" i="1"/>
  <c r="AF89" i="1"/>
  <c r="AF88" i="1"/>
  <c r="AF15" i="1"/>
  <c r="AF16" i="1"/>
  <c r="AF17" i="1"/>
  <c r="AF87" i="1"/>
  <c r="AF20" i="1"/>
  <c r="AF91" i="1"/>
  <c r="AF117" i="1"/>
  <c r="AF65" i="1"/>
  <c r="AF41" i="1"/>
  <c r="Y67" i="1"/>
  <c r="Y22" i="1"/>
  <c r="Y97" i="1"/>
  <c r="Y44" i="1"/>
  <c r="Y42" i="1"/>
  <c r="Y120" i="1"/>
  <c r="Y68" i="1"/>
  <c r="Y93" i="1"/>
  <c r="AF26" i="1"/>
  <c r="AF105" i="1"/>
  <c r="AF73" i="1"/>
  <c r="AF49" i="1"/>
  <c r="AF125" i="1"/>
  <c r="R32" i="1"/>
  <c r="R81" i="1"/>
  <c r="Q81" i="1"/>
  <c r="Q32" i="1"/>
  <c r="AF81" i="1"/>
  <c r="AF32" i="1"/>
  <c r="P32" i="1"/>
  <c r="P81" i="1"/>
  <c r="AF39" i="1"/>
  <c r="AF63" i="1"/>
  <c r="W82" i="1"/>
  <c r="AG121" i="1"/>
  <c r="AG89" i="1"/>
  <c r="AG65" i="1"/>
  <c r="AG42" i="1"/>
  <c r="AG14" i="1"/>
  <c r="N26" i="1" l="1"/>
  <c r="AA11" i="1"/>
  <c r="AA38" i="1"/>
  <c r="AA62" i="1"/>
  <c r="AA9" i="1"/>
  <c r="AA37" i="1"/>
  <c r="Y12" i="1"/>
  <c r="Y14" i="1"/>
  <c r="Y13" i="1"/>
  <c r="AB18" i="1"/>
  <c r="AB90" i="1"/>
  <c r="AB45" i="1"/>
  <c r="AB98" i="1"/>
  <c r="AB23" i="1"/>
  <c r="AB121" i="1"/>
  <c r="AB69" i="1"/>
  <c r="AB72" i="1"/>
  <c r="AB104" i="1"/>
  <c r="AB124" i="1"/>
  <c r="AB48" i="1"/>
  <c r="AB100" i="1"/>
  <c r="AB25" i="1"/>
  <c r="AB15" i="1"/>
  <c r="AB16" i="1"/>
  <c r="AB17" i="1"/>
  <c r="AB87" i="1"/>
  <c r="AB89" i="1"/>
  <c r="AB88" i="1"/>
  <c r="AB65" i="1"/>
  <c r="AB20" i="1"/>
  <c r="AB91" i="1"/>
  <c r="AB41" i="1"/>
  <c r="AB117" i="1"/>
  <c r="AB26" i="1"/>
  <c r="AB49" i="1"/>
  <c r="AB105" i="1"/>
  <c r="AB125" i="1"/>
  <c r="AB73" i="1"/>
  <c r="AB32" i="1"/>
  <c r="AB81" i="1"/>
  <c r="V32" i="1"/>
  <c r="V81" i="1"/>
  <c r="AB39" i="1"/>
  <c r="AB63" i="1"/>
  <c r="Q79" i="1"/>
  <c r="Q55" i="1"/>
  <c r="R79" i="1"/>
  <c r="AF78" i="1"/>
  <c r="AF79" i="1"/>
  <c r="P35" i="1"/>
  <c r="AF66" i="1"/>
  <c r="AF118" i="1"/>
  <c r="AF122" i="1"/>
  <c r="AF70" i="1"/>
  <c r="AF64" i="1"/>
  <c r="AF40" i="1"/>
  <c r="AF43" i="1"/>
  <c r="AF94" i="1"/>
  <c r="AF71" i="1"/>
  <c r="AF46" i="1"/>
  <c r="AF101" i="1"/>
  <c r="AF47" i="1"/>
  <c r="P79" i="1"/>
  <c r="AG122" i="1"/>
  <c r="AG90" i="1"/>
  <c r="AG66" i="1"/>
  <c r="AG43" i="1"/>
  <c r="AG15" i="1"/>
  <c r="N31" i="1" l="1"/>
  <c r="Z12" i="1"/>
  <c r="Z14" i="1"/>
  <c r="Z13" i="1"/>
  <c r="Y18" i="1"/>
  <c r="Y90" i="1"/>
  <c r="Y45" i="1"/>
  <c r="Y23" i="1"/>
  <c r="Y98" i="1"/>
  <c r="Y69" i="1"/>
  <c r="Y121" i="1"/>
  <c r="Y19" i="1"/>
  <c r="Y21" i="1"/>
  <c r="Y72" i="1"/>
  <c r="Y124" i="1"/>
  <c r="Y104" i="1"/>
  <c r="Y25" i="1"/>
  <c r="Y48" i="1"/>
  <c r="Y100" i="1"/>
  <c r="Y88" i="1"/>
  <c r="Y15" i="1"/>
  <c r="Y16" i="1"/>
  <c r="Y17" i="1"/>
  <c r="Y87" i="1"/>
  <c r="Y89" i="1"/>
  <c r="Y41" i="1"/>
  <c r="Y20" i="1"/>
  <c r="Y65" i="1"/>
  <c r="Y91" i="1"/>
  <c r="Y117" i="1"/>
  <c r="Y24" i="1"/>
  <c r="Y26" i="1"/>
  <c r="Y73" i="1"/>
  <c r="Y49" i="1"/>
  <c r="Y125" i="1"/>
  <c r="Y105" i="1"/>
  <c r="Y31" i="1"/>
  <c r="Y32" i="1"/>
  <c r="U32" i="1" s="1"/>
  <c r="Y81" i="1"/>
  <c r="U81" i="1" s="1"/>
  <c r="W81" i="1" s="1"/>
  <c r="AC81" i="1"/>
  <c r="Y34" i="1"/>
  <c r="U34" i="1" s="1"/>
  <c r="AC34" i="1"/>
  <c r="Y35" i="1"/>
  <c r="U35" i="1" s="1"/>
  <c r="Y39" i="1"/>
  <c r="Y63" i="1"/>
  <c r="V35" i="1"/>
  <c r="AB66" i="1"/>
  <c r="AB78" i="1"/>
  <c r="AB70" i="1"/>
  <c r="AB71" i="1"/>
  <c r="AB110" i="1"/>
  <c r="AB79" i="1"/>
  <c r="AB40" i="1"/>
  <c r="AB64" i="1"/>
  <c r="AB43" i="1"/>
  <c r="AB94" i="1"/>
  <c r="AB47" i="1"/>
  <c r="AB101" i="1"/>
  <c r="V79" i="1"/>
  <c r="AG123" i="1"/>
  <c r="AG91" i="1"/>
  <c r="AG67" i="1"/>
  <c r="AG44" i="1"/>
  <c r="AG16" i="1"/>
  <c r="N32" i="1" l="1"/>
  <c r="Z31" i="1"/>
  <c r="W32" i="1"/>
  <c r="Z32" i="1"/>
  <c r="Z81" i="1"/>
  <c r="AD81" i="1"/>
  <c r="AE81" i="1"/>
  <c r="Z34" i="1"/>
  <c r="AE34" i="1"/>
  <c r="AD34" i="1"/>
  <c r="Z35" i="1"/>
  <c r="Y78" i="1"/>
  <c r="Y110" i="1"/>
  <c r="Y71" i="1"/>
  <c r="Y56" i="1"/>
  <c r="U56" i="1" s="1"/>
  <c r="Y79" i="1"/>
  <c r="U79" i="1" s="1"/>
  <c r="AC58" i="1"/>
  <c r="Y58" i="1"/>
  <c r="U58" i="1" s="1"/>
  <c r="Y59" i="1"/>
  <c r="U59" i="1" s="1"/>
  <c r="Y66" i="1"/>
  <c r="Y118" i="1"/>
  <c r="Y122" i="1"/>
  <c r="Y70" i="1"/>
  <c r="Y64" i="1"/>
  <c r="Y40" i="1"/>
  <c r="Y94" i="1"/>
  <c r="Y43" i="1"/>
  <c r="Y46" i="1"/>
  <c r="Y101" i="1"/>
  <c r="Y47" i="1"/>
  <c r="Y54" i="1"/>
  <c r="Y55" i="1"/>
  <c r="U55" i="1" s="1"/>
  <c r="AG124" i="1"/>
  <c r="AG92" i="1"/>
  <c r="AG68" i="1"/>
  <c r="AG45" i="1"/>
  <c r="AG17" i="1"/>
  <c r="N34" i="1" l="1"/>
  <c r="AA32" i="1"/>
  <c r="AA81" i="1"/>
  <c r="Z78" i="1"/>
  <c r="Z110" i="1"/>
  <c r="Z54" i="1"/>
  <c r="Z79" i="1"/>
  <c r="W79" i="1"/>
  <c r="AE58" i="1"/>
  <c r="AD58" i="1"/>
  <c r="Z58" i="1"/>
  <c r="Z59" i="1"/>
  <c r="Z55" i="1"/>
  <c r="Z56" i="1"/>
  <c r="AG125" i="1"/>
  <c r="AG93" i="1"/>
  <c r="AG69" i="1"/>
  <c r="AG46" i="1"/>
  <c r="AG18" i="1"/>
  <c r="N35" i="1" l="1"/>
  <c r="N39" i="1" s="1"/>
  <c r="AA110" i="1"/>
  <c r="AA78" i="1"/>
  <c r="AA79" i="1"/>
  <c r="AA54" i="1"/>
  <c r="AG94" i="1"/>
  <c r="AG70" i="1"/>
  <c r="AG47" i="1"/>
  <c r="AG19" i="1"/>
  <c r="N40" i="1" l="1"/>
  <c r="N46" i="1" s="1"/>
  <c r="N43" i="1"/>
  <c r="AG95" i="1"/>
  <c r="AG71" i="1"/>
  <c r="AG48" i="1"/>
  <c r="AG20" i="1"/>
  <c r="N47" i="1" l="1"/>
  <c r="N54" i="1" s="1"/>
  <c r="AG96" i="1"/>
  <c r="AG72" i="1"/>
  <c r="AG49" i="1"/>
  <c r="AG21" i="1"/>
  <c r="N55" i="1" l="1"/>
  <c r="AG97" i="1"/>
  <c r="AG73" i="1"/>
  <c r="AG22" i="1"/>
  <c r="N56" i="1" l="1"/>
  <c r="AG98" i="1"/>
  <c r="AG23" i="1"/>
  <c r="N58" i="1" l="1"/>
  <c r="AG99" i="1"/>
  <c r="AG24" i="1"/>
  <c r="N59" i="1" l="1"/>
  <c r="AB54" i="1"/>
  <c r="AB46" i="1"/>
  <c r="AB59" i="1"/>
  <c r="AA59" i="1"/>
  <c r="AB58" i="1"/>
  <c r="AA58" i="1"/>
  <c r="S55" i="1"/>
  <c r="AB55" i="1"/>
  <c r="AA55" i="1"/>
  <c r="S32" i="1"/>
  <c r="S79" i="1"/>
  <c r="AF110" i="1"/>
  <c r="AA12" i="1"/>
  <c r="AB12" i="1"/>
  <c r="AF12" i="1"/>
  <c r="P12" i="1"/>
  <c r="V12" i="1" s="1"/>
  <c r="AA14" i="1"/>
  <c r="AB14" i="1"/>
  <c r="AA13" i="1"/>
  <c r="AB13" i="1"/>
  <c r="Q13" i="1"/>
  <c r="P13" i="1"/>
  <c r="V13" i="1" s="1"/>
  <c r="AF13" i="1"/>
  <c r="R13" i="1"/>
  <c r="W13" i="1" s="1"/>
  <c r="AB56" i="1"/>
  <c r="AA56" i="1"/>
  <c r="AA4" i="1"/>
  <c r="AB4" i="1"/>
  <c r="S4" i="1"/>
  <c r="Q4" i="1"/>
  <c r="R4" i="1"/>
  <c r="AF4" i="1"/>
  <c r="AA10" i="1"/>
  <c r="AB10" i="1"/>
  <c r="AA6" i="1"/>
  <c r="AB6" i="1"/>
  <c r="AB19" i="1"/>
  <c r="AB21" i="1"/>
  <c r="AA3" i="1"/>
  <c r="AB3" i="1"/>
  <c r="AF3" i="1"/>
  <c r="AB118" i="1"/>
  <c r="AB24" i="1"/>
  <c r="AB35" i="1"/>
  <c r="AA35" i="1"/>
  <c r="AB122" i="1"/>
  <c r="AB34" i="1"/>
  <c r="AA34" i="1"/>
  <c r="AB31" i="1"/>
  <c r="AA31" i="1"/>
  <c r="AF54" i="1"/>
  <c r="R59" i="1"/>
  <c r="Q58" i="1"/>
  <c r="P58" i="1"/>
  <c r="AF58" i="1"/>
  <c r="R58" i="1"/>
  <c r="R55" i="1"/>
  <c r="AG100" i="1"/>
  <c r="AG25" i="1"/>
  <c r="N66" i="1" l="1"/>
  <c r="Q59" i="1"/>
  <c r="AF59" i="1"/>
  <c r="P59" i="1"/>
  <c r="AF55" i="1"/>
  <c r="P55" i="1"/>
  <c r="Q12" i="1"/>
  <c r="R12" i="1"/>
  <c r="W12" i="1" s="1"/>
  <c r="Q14" i="1"/>
  <c r="AF14" i="1"/>
  <c r="P14" i="1"/>
  <c r="V14" i="1" s="1"/>
  <c r="R14" i="1"/>
  <c r="W14" i="1" s="1"/>
  <c r="Q56" i="1"/>
  <c r="AF56" i="1"/>
  <c r="P56" i="1"/>
  <c r="R56" i="1"/>
  <c r="P4" i="1"/>
  <c r="R10" i="1"/>
  <c r="W10" i="1" s="1"/>
  <c r="P10" i="1"/>
  <c r="V10" i="1" s="1"/>
  <c r="AF10" i="1"/>
  <c r="Q10" i="1"/>
  <c r="P6" i="1"/>
  <c r="AF6" i="1"/>
  <c r="R6" i="1"/>
  <c r="Q6" i="1"/>
  <c r="AF19" i="1"/>
  <c r="AF21" i="1"/>
  <c r="AF24" i="1"/>
  <c r="AF35" i="1"/>
  <c r="R35" i="1"/>
  <c r="Q35" i="1"/>
  <c r="W35" i="1" s="1"/>
  <c r="R34" i="1"/>
  <c r="Q34" i="1"/>
  <c r="P34" i="1"/>
  <c r="AF34" i="1"/>
  <c r="AF31" i="1"/>
  <c r="W58" i="1"/>
  <c r="V58" i="1"/>
  <c r="AG101" i="1"/>
  <c r="AG26" i="1"/>
  <c r="N70" i="1" l="1"/>
  <c r="N78" i="1" s="1"/>
  <c r="N79" i="1" s="1"/>
  <c r="V59" i="1"/>
  <c r="W59" i="1"/>
  <c r="W55" i="1"/>
  <c r="V55" i="1"/>
  <c r="V56" i="1"/>
  <c r="W56" i="1"/>
  <c r="V4" i="1"/>
  <c r="W4" i="1"/>
  <c r="V6" i="1"/>
  <c r="W6" i="1"/>
  <c r="W34" i="1"/>
  <c r="V34" i="1"/>
  <c r="AG102" i="1"/>
  <c r="N80" i="1" l="1"/>
  <c r="N82" i="1"/>
  <c r="AG103" i="1"/>
  <c r="N83" i="1" l="1"/>
  <c r="AG104" i="1"/>
  <c r="N84" i="1" l="1"/>
  <c r="N85" i="1" s="1"/>
  <c r="N86" i="1" s="1"/>
  <c r="N92" i="1" s="1"/>
  <c r="N95" i="1" s="1"/>
  <c r="N96" i="1" s="1"/>
  <c r="N99" i="1" s="1"/>
  <c r="N102" i="1" s="1"/>
  <c r="N103" i="1" s="1"/>
  <c r="N110" i="1"/>
  <c r="N111" i="1" s="1"/>
  <c r="N112" i="1" s="1"/>
  <c r="N114" i="1" s="1"/>
  <c r="N115" i="1" s="1"/>
  <c r="AG105" i="1"/>
</calcChain>
</file>

<file path=xl/sharedStrings.xml><?xml version="1.0" encoding="utf-8"?>
<sst xmlns="http://schemas.openxmlformats.org/spreadsheetml/2006/main" count="1384" uniqueCount="305">
  <si>
    <t>Наименование</t>
  </si>
  <si>
    <t>malzeme</t>
  </si>
  <si>
    <t>Артикул</t>
  </si>
  <si>
    <t>Номенклатура</t>
  </si>
  <si>
    <t>Кол- во</t>
  </si>
  <si>
    <t>Ед.изм</t>
  </si>
  <si>
    <t>завод из готовитель</t>
  </si>
  <si>
    <t>Источник</t>
  </si>
  <si>
    <t>ROL</t>
  </si>
  <si>
    <t>NORM</t>
  </si>
  <si>
    <t>DURUM</t>
  </si>
  <si>
    <t>NOT</t>
  </si>
  <si>
    <t>FID</t>
  </si>
  <si>
    <t>YENİ</t>
  </si>
  <si>
    <t>SIRA</t>
  </si>
  <si>
    <t>G mm/adet</t>
  </si>
  <si>
    <t>Y mm</t>
  </si>
  <si>
    <t>D mm</t>
  </si>
  <si>
    <t>KORUMA IN</t>
  </si>
  <si>
    <t>KATEGORİ</t>
  </si>
  <si>
    <t>KABLO ALANI mm</t>
  </si>
  <si>
    <t>SIRA GENİŞLİĞİ mm</t>
  </si>
  <si>
    <t>VERİ EKSİK</t>
  </si>
  <si>
    <t>İŞ ADEDİ</t>
  </si>
  <si>
    <t>KESİT</t>
  </si>
  <si>
    <t>TEL adet</t>
  </si>
  <si>
    <t>TEL m</t>
  </si>
  <si>
    <t>UÇ</t>
  </si>
  <si>
    <t>KLEMENS KESİT</t>
  </si>
  <si>
    <t>L+N KLEMENS</t>
  </si>
  <si>
    <t>PE KLEMENS</t>
  </si>
  <si>
    <t>MODÜL</t>
  </si>
  <si>
    <t>TOPLAM ADET</t>
  </si>
  <si>
    <t>NORM dk</t>
  </si>
  <si>
    <t>İŞ dk</t>
  </si>
  <si>
    <t>комплект</t>
  </si>
  <si>
    <t>TEKLED electric</t>
  </si>
  <si>
    <t>260925</t>
  </si>
  <si>
    <t>aksesuar</t>
  </si>
  <si>
    <t>CIKIS</t>
  </si>
  <si>
    <t>монтажный материал</t>
  </si>
  <si>
    <t>шт</t>
  </si>
  <si>
    <t>монтажная работа</t>
  </si>
  <si>
    <t>мин</t>
  </si>
  <si>
    <t>ШУ-ПЧ-75-1 (ПЧ 75 кВт, IP31, У3) (260925 aktau rahmi)</t>
  </si>
  <si>
    <t>korpus</t>
  </si>
  <si>
    <t>KORPUS</t>
  </si>
  <si>
    <t>KORPUS_AYAKLI</t>
  </si>
  <si>
    <t>projede korpus ölçüsü yok — ПЧ 75 kW için dikili 1800x600x450; IP31 uygun boy listede fiyatsız/pahalı → IP54 + fan/filtre</t>
  </si>
  <si>
    <t>F029</t>
  </si>
  <si>
    <t>mccb</t>
  </si>
  <si>
    <t>GIRIS</t>
  </si>
  <si>
    <t>ПЧ 75 kW giriş koruması NXM-250S 200A 36kA — üretici tablosu ile teyit</t>
  </si>
  <si>
    <t>F002</t>
  </si>
  <si>
    <t>oto</t>
  </si>
  <si>
    <t>KUMANDA</t>
  </si>
  <si>
    <t>projede yok — kumanda devresi ve fan beslemesi koruması için eklendi</t>
  </si>
  <si>
    <t>F011</t>
  </si>
  <si>
    <t>ШУ-ПЧ-75-1-CHINT: ПЧ NVF2G-75/TS4 75 kW</t>
  </si>
  <si>
    <t>F026</t>
  </si>
  <si>
    <t>perekluchatel</t>
  </si>
  <si>
    <t>projede yok — Ручн/0/Авт seçici için eklendi</t>
  </si>
  <si>
    <t>F020</t>
  </si>
  <si>
    <t>K</t>
  </si>
  <si>
    <t>button</t>
  </si>
  <si>
    <t>projede yok — Пуск butonu için eklendi</t>
  </si>
  <si>
    <t>F022</t>
  </si>
  <si>
    <t>projede yok — Стоп butonu için eklendi</t>
  </si>
  <si>
    <t>F021</t>
  </si>
  <si>
    <t>lamb</t>
  </si>
  <si>
    <t>projede yok — «Сеть» sinyali için eklendi</t>
  </si>
  <si>
    <t>F023</t>
  </si>
  <si>
    <t>projede yok — «Работа» sinyali için eklendi</t>
  </si>
  <si>
    <t>F024</t>
  </si>
  <si>
    <t>projede yok — «Авария» (ПЧ hata rölesi) sinyali için eklendi</t>
  </si>
  <si>
    <t>F025</t>
  </si>
  <si>
    <t>projede yok — ПЧ ısı kaybı (~2 kW) için kapı fanı ВФИ 550 m3/h eklendi — ısı hesabı teyit</t>
  </si>
  <si>
    <t>F027</t>
  </si>
  <si>
    <t>projede yok — çıkış filtre/ızgarası eklendi</t>
  </si>
  <si>
    <t>F028</t>
  </si>
  <si>
    <t>bara</t>
  </si>
  <si>
    <t>SARF</t>
  </si>
  <si>
    <t>faz barası L1-L2-L3 · malzeme KURALLAR › PANO</t>
  </si>
  <si>
    <t>N barası · malzeme KURALLAR › PANO</t>
  </si>
  <si>
    <t>PE barası (faz kesitinin yarısı) · malzeme KURALLAR › PANO</t>
  </si>
  <si>
    <t>izolator</t>
  </si>
  <si>
    <t>bara izolatörü (5 bara)</t>
  </si>
  <si>
    <t>kanal</t>
  </si>
  <si>
    <t>plastik perforeli kanal · artikül ve yatay adet KURALLAR › PANO</t>
  </si>
  <si>
    <t>kablo</t>
  </si>
  <si>
    <t>ПВ3 1.5 mm² pano içi</t>
  </si>
  <si>
    <t>ПВ3 70 mm² pano içi</t>
  </si>
  <si>
    <t>kapak topraklama iletkeni 6 mm²</t>
  </si>
  <si>
    <t>yuksuk</t>
  </si>
  <si>
    <t>yüksük 1.5 mm² · UÇ TİPİ YÜKSÜK teller × 2 uç</t>
  </si>
  <si>
    <t>pabuc</t>
  </si>
  <si>
    <t>kablo pabucu 70 mm² · UÇ TİPİ PABUÇ teller (+ НШВИ yoksa kafes) × 2 uç</t>
  </si>
  <si>
    <t>kapak topraklama pabucu</t>
  </si>
  <si>
    <t>bag</t>
  </si>
  <si>
    <t>kablo bağı</t>
  </si>
  <si>
    <t>Я5111-3674 УХЛ4 (1 фидер, 50 А, тепловое реле 40 А) (260925 aktau rahmi)</t>
  </si>
  <si>
    <t>KORPUS_KUCUK</t>
  </si>
  <si>
    <t>projede ölçü yok — MCCB + kontaktör ayrı sıra, ЩМП-3 650x500x220 IP54</t>
  </si>
  <si>
    <t>F030</t>
  </si>
  <si>
    <t>автомат 50А → NXM-125S 50A 25kA</t>
  </si>
  <si>
    <t>F004</t>
  </si>
  <si>
    <t>projede yok — kumanda devresi koruması için eklendi</t>
  </si>
  <si>
    <t>contactor</t>
  </si>
  <si>
    <t>kontaktör projede In yok — termik 40A için NXC-40 220V</t>
  </si>
  <si>
    <t>F015</t>
  </si>
  <si>
    <t>rele</t>
  </si>
  <si>
    <t>тепловое реле 40А → NXR-100 30-40A (NXC-40'a uygun)</t>
  </si>
  <si>
    <t>F017</t>
  </si>
  <si>
    <t>projede yok — Пуск için eklendi</t>
  </si>
  <si>
    <t>projede yok — Стоп için eklendi</t>
  </si>
  <si>
    <t>nbara</t>
  </si>
  <si>
    <t>N barası (otomatik)</t>
  </si>
  <si>
    <t>PE barası (otomatik)</t>
  </si>
  <si>
    <t>ПВ3 6 mm² pano içi</t>
  </si>
  <si>
    <t>ПВ3 10 mm² pano içi</t>
  </si>
  <si>
    <t>yüksük 6 mm² · UÇ TİPİ YÜKSÜK teller × 2 uç</t>
  </si>
  <si>
    <t>kablo pabucu 10 mm² · UÇ TİPİ PABUÇ teller (+ НШВИ yoksa kafes) × 2 uç</t>
  </si>
  <si>
    <t>ЯУО9601-3474 (управление освещением) (260925 aktau rahmi)</t>
  </si>
  <si>
    <t>projede 400х300х200 — 10,5 modül + %20 yedek sığmıyor, büyütüldü (ЩМП-2 500x400x220 IP54)</t>
  </si>
  <si>
    <t>F031</t>
  </si>
  <si>
    <t>ВА47-63 3п 32А → NXB-63S 3P C32</t>
  </si>
  <si>
    <t>F012</t>
  </si>
  <si>
    <t>fotorele</t>
  </si>
  <si>
    <t>фотореле DIN-1 (ФР) → ФР-7Е + выносной фотоэлемент (CHINT listede yok)</t>
  </si>
  <si>
    <t>F019</t>
  </si>
  <si>
    <t>КМЭ 25А → NXC-25 220V</t>
  </si>
  <si>
    <t>F016</t>
  </si>
  <si>
    <t>timer</t>
  </si>
  <si>
    <t>таймер ТЭ15 → NKG3</t>
  </si>
  <si>
    <t>F018</t>
  </si>
  <si>
    <t>кулачковый переключатель (Ручн/0/Авт) → NP8 3 konum</t>
  </si>
  <si>
    <t>кнопка «Пуск»</t>
  </si>
  <si>
    <t>кнопка «Стоп»</t>
  </si>
  <si>
    <t>ПВ3 4 mm² pano içi</t>
  </si>
  <si>
    <t>yüksük 4 mm² · UÇ TİPİ YÜKSÜK teller × 2 uç</t>
  </si>
  <si>
    <t>ЩР (ЩМП 800х800х205 IP65 УХЛ1) (260925 aktau rahmi)</t>
  </si>
  <si>
    <t>KORPUS_ORTA</t>
  </si>
  <si>
    <t>ЛСР: ЩМП 800х800х205 IP65 навесной → IEK TITAN 5 800х800х200 IP66 (KAZTEK'te bu ölçü yok)</t>
  </si>
  <si>
    <t>F032</t>
  </si>
  <si>
    <t>ВА88-35 3Р 160А 35кА → NXM-250S 160A 36kA</t>
  </si>
  <si>
    <t>F001</t>
  </si>
  <si>
    <t>ВА88-32 3Р 100А 25кА</t>
  </si>
  <si>
    <t>F003</t>
  </si>
  <si>
    <t>ВА88-32 3Р 50А 25кА</t>
  </si>
  <si>
    <t>ВА88-32 3Р 40А 25кА</t>
  </si>
  <si>
    <t>F005</t>
  </si>
  <si>
    <t>ВА88-32 3Р 32А 25кА</t>
  </si>
  <si>
    <t>F006</t>
  </si>
  <si>
    <t>ВА47-29 3P C4 4,5кА</t>
  </si>
  <si>
    <t>F007</t>
  </si>
  <si>
    <t>ВА47-29 3P C16 4,5кА</t>
  </si>
  <si>
    <t>F008</t>
  </si>
  <si>
    <t>ВА47-29 1P C16 4,5кА</t>
  </si>
  <si>
    <t>F009</t>
  </si>
  <si>
    <t>ПВ3 2.5 mm² pano içi</t>
  </si>
  <si>
    <t>ПВ3 25 mm² pano içi</t>
  </si>
  <si>
    <t>ПВ3 50 mm² pano içi</t>
  </si>
  <si>
    <t>yüksük 2.5 mm² · UÇ TİPİ YÜKSÜK teller × 2 uç</t>
  </si>
  <si>
    <t>kablo pabucu 6 mm² · UÇ TİPİ PABUÇ teller (+ НШВИ yoksa kafes) × 2 uç</t>
  </si>
  <si>
    <t>kablo pabucu 25 mm² · UÇ TİPİ PABUÇ teller (+ НШВИ yoksa kafes) × 2 uç</t>
  </si>
  <si>
    <t>kablo pabucu 50 mm² · UÇ TİPİ PABUÇ teller (+ НШВИ yoksa kafes) × 2 uç</t>
  </si>
  <si>
    <t>ЩЭО обогрев (ЩМП-100.60.25 IP66 УХЛ1) (260925 aktau rahmi)</t>
  </si>
  <si>
    <t>ЛСР: ЩМП-100.60.25 УХЛ1 IP66 1000x600x250 → IEK TITAN 5 (KAZTEK'te bu ölçü yok)</t>
  </si>
  <si>
    <t>F033</t>
  </si>
  <si>
    <t>ВА47-29 1P C2 — termostat ETS-05 / kontaktör bobini kumandası varsayıldı</t>
  </si>
  <si>
    <t>F010</t>
  </si>
  <si>
    <t>dif</t>
  </si>
  <si>
    <t>АВДТ 32 C25 30мА → NXBLE-63YH 1P+N C25 30mA tip A (греющий кабель)</t>
  </si>
  <si>
    <t>F013</t>
  </si>
  <si>
    <t>АВДТ 32 C25 30мА (2. sıra)</t>
  </si>
  <si>
    <t>КМИ 49512 95А 1НО+1НЗ → NXC-100 220V (NXC-95 yok, bir üst kademe); bobin 230V varsayıldı</t>
  </si>
  <si>
    <t>F014</t>
  </si>
  <si>
    <t>131365</t>
  </si>
  <si>
    <t>Авт. выкл. NXM-250S/3Р 160A 36кА (R)</t>
  </si>
  <si>
    <t>chint</t>
  </si>
  <si>
    <t>131367</t>
  </si>
  <si>
    <t>Авт. выкл. NXM-250S/3Р 200A 36кА (R)</t>
  </si>
  <si>
    <t>131362</t>
  </si>
  <si>
    <t>Авт. выкл. NXM-125S/3Р 100A 25кА (R)</t>
  </si>
  <si>
    <t>844302</t>
  </si>
  <si>
    <t>Авт. выкл. NXM-125S/3Р 50A 25кА (R)</t>
  </si>
  <si>
    <t>844301</t>
  </si>
  <si>
    <t>Авт. выкл. NXM-125S/3Р 40A 25кА (R)</t>
  </si>
  <si>
    <t>844300</t>
  </si>
  <si>
    <t>Авт. выкл. NXM-125S/3Р 32A 25кА (R)</t>
  </si>
  <si>
    <t>296824</t>
  </si>
  <si>
    <t>Авт. выкл. NXB-63S 3P 4А 4.5kA х-ка C (R)</t>
  </si>
  <si>
    <t>296827</t>
  </si>
  <si>
    <t>Авт. выкл. NXB-63S 3P 16А 4.5kA х-ка C (R)</t>
  </si>
  <si>
    <t>296710</t>
  </si>
  <si>
    <t>Авт. выкл. NXB-63S 1P 16А 4.5kA х-ка C (R)</t>
  </si>
  <si>
    <t>296705</t>
  </si>
  <si>
    <t>Авт. выкл. NXB-63S 1P 2А 4.5kA х-ка C (R)</t>
  </si>
  <si>
    <t>296708</t>
  </si>
  <si>
    <t>Авт. выкл. NXB-63S 1P 6А 4.5kA х-ка C (R)</t>
  </si>
  <si>
    <t>296830</t>
  </si>
  <si>
    <t>Авт. выкл. NXB-63S 3P 32А 4.5kA х-ка C (R)</t>
  </si>
  <si>
    <t>515395</t>
  </si>
  <si>
    <t>Диф. авт. выкл. NXBLE-63YH 1P+N C25 30mA тип A, 6kA (R)</t>
  </si>
  <si>
    <t>836824</t>
  </si>
  <si>
    <t>Контактор NXC-100 100A 220В/АС3 1НО+1НЗ 50Гц (R)</t>
  </si>
  <si>
    <t>836780</t>
  </si>
  <si>
    <t>Контактор NXC-40 40A 220В/АС3 1НО+1НЗ 50Гц (R)</t>
  </si>
  <si>
    <t>836851</t>
  </si>
  <si>
    <t>Контактор NXC-25 25A 220В/АС3 1НО+1НЗ 50Гц (R)</t>
  </si>
  <si>
    <t>837123</t>
  </si>
  <si>
    <t>Тепловое реле NXR-100 30A-40A (R)</t>
  </si>
  <si>
    <t>310024</t>
  </si>
  <si>
    <t>Таймер электронный NKG3 AC230В (R)</t>
  </si>
  <si>
    <t>130300434</t>
  </si>
  <si>
    <t>Фотореле ФР-7Е с выносн. фотоэлементом 220В 50Гц (8..20лк.,1.5м/кабель,8А,2НО)</t>
  </si>
  <si>
    <t>ekt</t>
  </si>
  <si>
    <t>667137</t>
  </si>
  <si>
    <t>Переключатель без подсветки NP8-11X/312, 3 положения с фиксацией, чёрная 1НО+1НЗ IP65 (R)</t>
  </si>
  <si>
    <t>667231</t>
  </si>
  <si>
    <t>Кнопка управления NP8-01BN/4 без подсветки красная 1НЗ IP65 (R)</t>
  </si>
  <si>
    <t>667232</t>
  </si>
  <si>
    <t>Кнопка управления NP8-10BN/3 без подсветки зеленая 1НО IP65 (R)</t>
  </si>
  <si>
    <t>593073</t>
  </si>
  <si>
    <t>Индикатор ND16-22D/2 белый AC/DC230В (R)</t>
  </si>
  <si>
    <t>593077</t>
  </si>
  <si>
    <t>Индикатор ND16-22D/2 зеленый AC/DC230В (R)</t>
  </si>
  <si>
    <t>593075</t>
  </si>
  <si>
    <t>Индикатор ND16-22D/2 красный AC/DC230В (R)</t>
  </si>
  <si>
    <t>639057</t>
  </si>
  <si>
    <t>Преобразователь частоты NVF2G-75/TS4, 75кВт, 380В 3Ф, перегрузка 150%</t>
  </si>
  <si>
    <t>270300292</t>
  </si>
  <si>
    <t>Вентилятор с фильтром ВФИ 550 м3/час IP55 IEK (5) NEW</t>
  </si>
  <si>
    <t>270300298</t>
  </si>
  <si>
    <t>Фильтр c решеткой для вентилятора ВФИ 480-700 м3/час IEK (19) NEW</t>
  </si>
  <si>
    <t>719-15602</t>
  </si>
  <si>
    <t>Щит ВРУ (1800x600x450x2)+10см база IP54</t>
  </si>
  <si>
    <t>teksan f</t>
  </si>
  <si>
    <t>719-15425</t>
  </si>
  <si>
    <t>Мет.Корпус ЩМП-2 (500x400x220) IP54</t>
  </si>
  <si>
    <t>280100020</t>
  </si>
  <si>
    <t>Кабель.канал перф. 40х40 ИМПАКТ IEK (36)</t>
  </si>
  <si>
    <t>м</t>
  </si>
  <si>
    <t>harmony</t>
  </si>
  <si>
    <t>упак</t>
  </si>
  <si>
    <t>151.01.PV3.01,5</t>
  </si>
  <si>
    <t>HARMONY ПВ3 1*1,5</t>
  </si>
  <si>
    <t>311100817</t>
  </si>
  <si>
    <t>Наконечник НШВИ 1,5-8 изолированный 79440 (100шт) КВТ NEW</t>
  </si>
  <si>
    <t>151.01.PV3.02,5</t>
  </si>
  <si>
    <t>HARMONY ПВ3 1*2,5</t>
  </si>
  <si>
    <t>311100820</t>
  </si>
  <si>
    <t>Наконечник НШВИ 2,5-8 изолированный 79443 (100шт) КВТ NEW</t>
  </si>
  <si>
    <t>151.01.PV3.04</t>
  </si>
  <si>
    <t>HARMONY ПВ3 1*4</t>
  </si>
  <si>
    <t>311100823</t>
  </si>
  <si>
    <t>Наконечник НШВИ 4,0-9 изолированный 79446 (100шт) КВТ NEW</t>
  </si>
  <si>
    <t>151.01.PV3.06</t>
  </si>
  <si>
    <t>HARMONY ПВ3 1*6</t>
  </si>
  <si>
    <t>311100826</t>
  </si>
  <si>
    <t>Наконечник НШВИ 6,0-12 изолированный 79449 (100шт) КВТ NEW</t>
  </si>
  <si>
    <t>260100138</t>
  </si>
  <si>
    <t>Наконечник медно-луженный JG - 6 IEK (600)</t>
  </si>
  <si>
    <t>151.01.PV3.10</t>
  </si>
  <si>
    <t>HARMONY ПВ3 1*10</t>
  </si>
  <si>
    <t>260100153</t>
  </si>
  <si>
    <t>Наконечник медно-луженный JG - 10 IEK (400)</t>
  </si>
  <si>
    <t>151.01.PV3.25</t>
  </si>
  <si>
    <t>HARMONY ПВ3 1*25</t>
  </si>
  <si>
    <t>260100167</t>
  </si>
  <si>
    <t>Наконечник медно-луженный JG - 25 IEK (200)</t>
  </si>
  <si>
    <t>151.01.PV3.50</t>
  </si>
  <si>
    <t>HARMONY ПВ3 1*50</t>
  </si>
  <si>
    <t>260100168</t>
  </si>
  <si>
    <t>Наконечник медно-луженный JG - 50 IEK (100)</t>
  </si>
  <si>
    <t>151.01.PV3.70</t>
  </si>
  <si>
    <t>HARMONY ПВ3 1*70</t>
  </si>
  <si>
    <t>260100169</t>
  </si>
  <si>
    <t>Наконечник медно-луженный JG - 70 IEK (50)</t>
  </si>
  <si>
    <t>240100162</t>
  </si>
  <si>
    <t>Хомут 2,5х100 черный UNIT (100/500)</t>
  </si>
  <si>
    <t>32101DEK</t>
  </si>
  <si>
    <t>32101 Изолятор шинный опорный ИО101-30 Кв8 Макс.роб.ток 380А Dekraft</t>
  </si>
  <si>
    <t>130200364</t>
  </si>
  <si>
    <t>Шина "N" нулевая 8х12мм комб с изол "Стойка" ШНИ 6-КС-С UNIT (20/300)</t>
  </si>
  <si>
    <t>130200365</t>
  </si>
  <si>
    <t>Шина "N" нулевая 8х12мм комб с изол "Стойка" ШНИ 8-КС-С UNIT (20/300)</t>
  </si>
  <si>
    <t>130200363</t>
  </si>
  <si>
    <t>Шина "N" нулевая 8х12мм комб с изол "Стойка" ШНИ 14-КС-С UNIT (20/200)</t>
  </si>
  <si>
    <t>130300473</t>
  </si>
  <si>
    <t>Шина медн.3х20х4000</t>
  </si>
  <si>
    <t>714-15112</t>
  </si>
  <si>
    <t>Щит мет. ЩРн-7-2 PR (1320x750x300) IP54 (TS)</t>
  </si>
  <si>
    <t>719-15445</t>
  </si>
  <si>
    <t>Мет.Корпус ЩМП-5 (1000x650x300) IP31</t>
  </si>
  <si>
    <t>OK</t>
  </si>
  <si>
    <t>ESKİ</t>
  </si>
  <si>
    <t>TARİH YOK</t>
  </si>
  <si>
    <t/>
  </si>
  <si>
    <t>YERLEŞİM: SIRA KONTROLÜ: 3</t>
  </si>
  <si>
    <t>YERLEŞİM: SIRA KONTROLÜ: 2</t>
  </si>
  <si>
    <t>YERLEŞİM: SIRA KONTROLÜ: 1</t>
  </si>
  <si>
    <t>PANO: SIRA YÜKSEKLİĞİ AŞIYOR YERLEŞİM: YÜKSEKLİK AŞIYOR</t>
  </si>
  <si>
    <t>Мет. ЩМП-3 (650х500х220) IP54</t>
  </si>
  <si>
    <t>719-15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</si>
</sst>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0"/>
      <name val="Calibri"/>
      <family val="2"/>
      <charset val="204"/>
    </font>
    <font>
      <sz val="10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C0C0C0"/>
      </patternFill>
    </fill>
    <fill>
      <patternFill patternType="solid">
        <fgColor rgb="FFFFD966"/>
        <bgColor rgb="FFFFFF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4" borderId="1" xfId="0" applyFont="1" applyFill="1" applyBorder="1"/>
    <xf numFmtId="0" fontId="0" fillId="4" borderId="1" xfId="0" applyFill="1" applyBorder="1"/>
    <xf numFmtId="0" fontId="1" fillId="0" borderId="1" xfId="0" applyFont="1" applyBorder="1"/>
    <xf numFmtId="0" fontId="1" fillId="0" borderId="0" xfId="0" applyFont="1"/>
    <xf numFmtId="0" fontId="2" fillId="0" borderId="0" xfId="0" applyFont="1"/>
    <xf numFmtId="0" fontId="0" fillId="0" borderId="1" xfId="0" applyBorder="1"/>
    <xf numFmtId="0" fontId="2" fillId="2" borderId="0" xfId="0" applyFont="1" applyFill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1E8449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28"/>
  <sheetViews>
    <sheetView tabSelected="1" topLeftCell="A25" zoomScaleNormal="100" workbookViewId="0">
      <selection activeCell="C32" sqref="C32"/>
    </sheetView>
  </sheetViews>
  <sheetFormatPr defaultColWidth="8.7109375" defaultRowHeight="15" outlineLevelCol="1" x14ac:dyDescent="0.25"/>
  <cols>
    <col min="1" max="1" width="36.42578125" customWidth="1"/>
    <col min="2" max="2" width="11" customWidth="1"/>
    <col min="3" max="3" width="14" customWidth="1"/>
    <col min="4" max="4" width="72.5703125" customWidth="1"/>
    <col min="5" max="5" width="9.28515625" style="10" customWidth="1"/>
    <col min="6" max="6" width="7" style="10" customWidth="1"/>
    <col min="7" max="7" width="12" style="10" customWidth="1"/>
    <col min="8" max="8" width="22" customWidth="1"/>
    <col min="9" max="11" width="9" hidden="1" customWidth="1" outlineLevel="1"/>
    <col min="12" max="12" width="73.7109375" customWidth="1" collapsed="1"/>
    <col min="13" max="13" width="4.85546875" bestFit="1" customWidth="1" outlineLevel="1"/>
    <col min="14" max="14" width="4.5703125" bestFit="1" customWidth="1" outlineLevel="1"/>
    <col min="15" max="15" width="6" customWidth="1"/>
    <col min="16" max="35" width="9" hidden="1" customWidth="1" outlineLevel="1"/>
    <col min="36" max="36" width="8.7109375" collapsed="1"/>
  </cols>
  <sheetData>
    <row r="1" spans="1:35" s="10" customFormat="1" ht="48" customHeigh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</row>
    <row r="2" spans="1:35" x14ac:dyDescent="0.25">
      <c r="A2" s="1" t="s">
        <v>44</v>
      </c>
      <c r="B2" s="2"/>
      <c r="C2" s="2"/>
      <c r="D2" s="1" t="s">
        <v>44</v>
      </c>
      <c r="E2" s="11">
        <v>4</v>
      </c>
      <c r="F2" s="11" t="s">
        <v>35</v>
      </c>
      <c r="G2" s="11" t="s">
        <v>36</v>
      </c>
      <c r="H2" s="1" t="s">
        <v>37</v>
      </c>
    </row>
    <row r="3" spans="1:35" x14ac:dyDescent="0.25">
      <c r="A3" s="3" t="s">
        <v>44</v>
      </c>
      <c r="B3" s="3" t="s">
        <v>45</v>
      </c>
      <c r="C3" s="3" t="s">
        <v>235</v>
      </c>
      <c r="D3" s="3" t="s">
        <v>236</v>
      </c>
      <c r="E3" s="12">
        <v>1</v>
      </c>
      <c r="F3" s="12" t="s">
        <v>41</v>
      </c>
      <c r="G3" s="12" t="s">
        <v>237</v>
      </c>
      <c r="H3" s="3" t="s">
        <v>37</v>
      </c>
      <c r="I3" s="4" t="s">
        <v>46</v>
      </c>
      <c r="J3" s="4" t="s">
        <v>47</v>
      </c>
      <c r="K3" s="5" t="s">
        <v>295</v>
      </c>
      <c r="L3" s="5" t="s">
        <v>48</v>
      </c>
      <c r="M3" s="5" t="s">
        <v>49</v>
      </c>
      <c r="N3" s="5">
        <f>IF(OR($C3="",$C3="FID YOK"),"",IF(ISNUMBER(MATCH($C3,FA_ANA,0)),"",IF(COUNTIF($C$1:$C2,$C3)&gt;0,"",MAX($N$1:$N2)+1)))</f>
        <v>1</v>
      </c>
      <c r="P3" s="5"/>
      <c r="Q3" s="5"/>
      <c r="R3" s="5"/>
      <c r="S3" s="5">
        <f t="shared" ref="S3:S26" si="0">IF(ISNA(MATCH($C3,FA,0)),0,IF($I3="GIRIS",N(INDEX(F_INKOR,MATCH($C3,FA,0))),0))</f>
        <v>0</v>
      </c>
      <c r="T3" s="5"/>
      <c r="U3" s="5"/>
      <c r="V3" s="5"/>
      <c r="W3" s="5"/>
      <c r="X3" s="5">
        <f t="shared" ref="X3:X26" si="1">N($E3)*IF($F3="упак",MAX(1,IF(ISNA(MATCH($C3,FA,0)),1,N(INDEX(F_PAKET,MATCH($C3,FA,0))))),1)</f>
        <v>1</v>
      </c>
      <c r="Y3" s="5" t="e">
        <f t="shared" ref="Y3:Y26" si="2">IF(ISNA(MATCH($C3,FA,0)),0,N(INDEX(F_BK,MATCH($C3,FA,0))))</f>
        <v>#REF!</v>
      </c>
      <c r="Z3" s="5" t="e">
        <f t="shared" ref="Z3:Z26" si="3">IF(OR(ISNA(MATCH($C3,FA,0)),$I3="YEDEK",$I3="SARF"),0,N($E3)*N(INDEX(F_TEL,MATCH($C3,FA,0))))</f>
        <v>#REF!</v>
      </c>
      <c r="AA3" s="5" t="e">
        <f t="shared" ref="AA3:AA26" si="4">IF(OR(ISNA(MATCH($C3,FA,0)),$I3="YEDEK",$I3="SARF"),0,N($E3)*N(INDEX(F_TELM,MATCH($C3,FA,0))))</f>
        <v>#REF!</v>
      </c>
      <c r="AB3" s="5" t="e">
        <f t="shared" ref="AB3:AB26" si="5">IF(ISNA(MATCH($C3,FA,0)),"",INDEX(F_UC,MATCH($C3,FA,0))&amp;"")</f>
        <v>#REF!</v>
      </c>
      <c r="AC3" s="5">
        <f t="shared" ref="AC3:AC26" si="6">IF(OR(ISNA(MATCH($C3,FA,0)),$I3&lt;&gt;"CIKIS"),0,N(INDEX(F_KK,MATCH($C3,FA,0))))</f>
        <v>0</v>
      </c>
      <c r="AD3" s="5">
        <f t="shared" ref="AD3:AD26" si="7">IF($AC3=0,0,N($E3)*N(INDEX(F_KLN,MATCH($C3,FA,0))))</f>
        <v>0</v>
      </c>
      <c r="AE3" s="5">
        <f t="shared" ref="AE3:AE26" si="8">IF($AC3=0,0,N($E3)*N(INDEX(F_KPE,MATCH($C3,FA,0))))</f>
        <v>0</v>
      </c>
      <c r="AF3" s="5" t="e">
        <f t="shared" ref="AF3:AF26" si="9">IF(ISNA(MATCH($C3,FA,0)),0,N($E3)*N(INDEX(F_MODUL,MATCH($C3,FA,0))))</f>
        <v>#REF!</v>
      </c>
      <c r="AG3" s="5" t="e">
        <f>N($E3)*N(#REF!)</f>
        <v>#REF!</v>
      </c>
      <c r="AH3" s="5" t="e">
        <f t="shared" ref="AH3:AH26" si="10">IF(ISNA(MATCH($J3,TIP_AD,0)),"YOK",IF(INDEX(NORM_DK,MATCH($J3,TIP_AD,0))="","BOŞ",INDEX(NORM_DK,MATCH($J3,TIP_AD,0))))</f>
        <v>#REF!</v>
      </c>
      <c r="AI3" s="5">
        <f t="shared" ref="AI3:AI26" si="11">IF(ISNUMBER($AH3),$X3*$AH3,0)</f>
        <v>0</v>
      </c>
    </row>
    <row r="4" spans="1:35" x14ac:dyDescent="0.25">
      <c r="A4" s="3" t="s">
        <v>44</v>
      </c>
      <c r="B4" s="3" t="s">
        <v>50</v>
      </c>
      <c r="C4" s="3" t="s">
        <v>180</v>
      </c>
      <c r="D4" s="3" t="s">
        <v>181</v>
      </c>
      <c r="E4" s="12">
        <v>1</v>
      </c>
      <c r="F4" s="12" t="s">
        <v>41</v>
      </c>
      <c r="G4" s="12" t="s">
        <v>179</v>
      </c>
      <c r="H4" s="3" t="s">
        <v>37</v>
      </c>
      <c r="I4" s="4" t="s">
        <v>51</v>
      </c>
      <c r="J4" s="4" t="s">
        <v>50</v>
      </c>
      <c r="K4" s="5" t="s">
        <v>295</v>
      </c>
      <c r="L4" s="5" t="s">
        <v>52</v>
      </c>
      <c r="M4" s="5" t="s">
        <v>53</v>
      </c>
      <c r="N4" s="5">
        <f>IF(OR($C4="",$C4="FID YOK"),"",IF(ISNUMBER(MATCH($C4,FA_ANA,0)),"",IF(COUNTIF($C$1:$C3,$C4)&gt;0,"",MAX($N$1:$N3)+1)))</f>
        <v>2</v>
      </c>
      <c r="O4" s="7">
        <v>1</v>
      </c>
      <c r="P4" s="5" t="e">
        <f t="shared" ref="P4:P14" si="12">IF(OR($O4="",$O4="G",ISNA(MATCH($C4,FA,0))),"",IF(N(INDEX(F_G,MATCH($C4,FA,0)))&gt;0,INDEX(F_G,MATCH($C4,FA,0)),IF(N(INDEX(F_MODUL,MATCH($C4,FA,0)))&gt;0,INDEX(F_MODUL,MATCH($C4,FA,0))*MODUL_MM,"")))</f>
        <v>#REF!</v>
      </c>
      <c r="Q4" s="5" t="e">
        <f t="shared" ref="Q4:Q14" si="13">IF(OR($O4="",$O4="G",ISNA(MATCH($C4,FA,0))),"",IF(N(INDEX(F_Y,MATCH($C4,FA,0)))&gt;0,INDEX(F_Y,MATCH($C4,FA,0)),""))</f>
        <v>#REF!</v>
      </c>
      <c r="R4" s="5" t="e">
        <f t="shared" ref="R4:R14" si="14">IF(OR($O4="",$O4="G",ISNA(MATCH($C4,FA,0))),"",IF(N(INDEX(F_D,MATCH($C4,FA,0)))&gt;0,INDEX(F_D,MATCH($C4,FA,0)),""))</f>
        <v>#REF!</v>
      </c>
      <c r="S4" s="5" t="e">
        <f t="shared" si="0"/>
        <v>#REF!</v>
      </c>
      <c r="T4" s="5" t="e">
        <f t="shared" ref="T4:T14" si="15">IF(ISNA(MATCH($B4,TIP_AD,0)),"",INDEX(TIP_KAT,MATCH($B4,TIP_AD,0))&amp;"")</f>
        <v>#REF!</v>
      </c>
      <c r="U4" s="5" t="e">
        <f t="shared" ref="U4:U14" si="16">IF(NOT(ISNUMBER($O4)),"",IF($Y4=0,0,IF(ISNA(MATCH($Y4,BUK_KESIT,0)),"",IF(INDEX(BUK_ALAN,MATCH($Y4,BUK_KESIT,0))&amp;""="","",INDEX(BUK_ALAN,MATCH($Y4,BUK_KESIT,0))))))</f>
        <v>#REF!</v>
      </c>
      <c r="V4" s="5" t="e">
        <f t="shared" ref="V4:V14" si="17">IF(OR(NOT(ISNUMBER($O4)),$P4=""),"",N($E4)*($P4+IF(ISNA(MATCH($B4,TIP_AD,0)),0,N(INDEX(TIP_BOSLUK,MATCH($B4,TIP_AD,0))))))</f>
        <v>#REF!</v>
      </c>
      <c r="W4" s="5" t="e">
        <f t="shared" ref="W4:W14" si="18">IF(ISNUMBER($O4),($P4="")+($Q4="")+($U4="")+IF(AND($T4="KONTAKTOR",NOT(ISNA(MATCH($B4,TIP_AD,0)))),IF(INDEX(TIP_BOSLUK,MATCH($B4,TIP_AD,0))&amp;""="",1,0),0),IF($O4="K",IF($R4="",1,0),0))</f>
        <v>#REF!</v>
      </c>
      <c r="X4" s="5">
        <f t="shared" si="1"/>
        <v>1</v>
      </c>
      <c r="Y4" s="5" t="e">
        <f t="shared" si="2"/>
        <v>#REF!</v>
      </c>
      <c r="Z4" s="5" t="e">
        <f t="shared" si="3"/>
        <v>#REF!</v>
      </c>
      <c r="AA4" s="5" t="e">
        <f t="shared" si="4"/>
        <v>#REF!</v>
      </c>
      <c r="AB4" s="5" t="e">
        <f t="shared" si="5"/>
        <v>#REF!</v>
      </c>
      <c r="AC4" s="5">
        <f t="shared" si="6"/>
        <v>0</v>
      </c>
      <c r="AD4" s="5">
        <f t="shared" si="7"/>
        <v>0</v>
      </c>
      <c r="AE4" s="5">
        <f t="shared" si="8"/>
        <v>0</v>
      </c>
      <c r="AF4" s="5" t="e">
        <f t="shared" si="9"/>
        <v>#REF!</v>
      </c>
      <c r="AG4" s="5" t="e">
        <f>N($E4)*N(#REF!)</f>
        <v>#REF!</v>
      </c>
      <c r="AH4" s="5" t="e">
        <f t="shared" si="10"/>
        <v>#REF!</v>
      </c>
      <c r="AI4" s="5">
        <f t="shared" si="11"/>
        <v>0</v>
      </c>
    </row>
    <row r="5" spans="1:35" x14ac:dyDescent="0.25">
      <c r="A5" s="3" t="s">
        <v>44</v>
      </c>
      <c r="B5" s="3" t="s">
        <v>54</v>
      </c>
      <c r="C5" s="3" t="s">
        <v>198</v>
      </c>
      <c r="D5" s="3" t="s">
        <v>199</v>
      </c>
      <c r="E5" s="12">
        <v>2</v>
      </c>
      <c r="F5" s="12" t="s">
        <v>41</v>
      </c>
      <c r="G5" s="12" t="s">
        <v>179</v>
      </c>
      <c r="H5" s="3" t="s">
        <v>37</v>
      </c>
      <c r="I5" s="4" t="s">
        <v>55</v>
      </c>
      <c r="J5" s="4" t="s">
        <v>54</v>
      </c>
      <c r="K5" s="5" t="s">
        <v>295</v>
      </c>
      <c r="L5" s="5" t="s">
        <v>56</v>
      </c>
      <c r="M5" s="5" t="s">
        <v>57</v>
      </c>
      <c r="N5" s="5">
        <f>IF(OR($C5="",$C5="FID YOK"),"",IF(ISNUMBER(MATCH($C5,FA_ANA,0)),"",IF(COUNTIF($C$1:$C4,$C5)&gt;0,"",MAX($N$1:$N4)+1)))</f>
        <v>3</v>
      </c>
      <c r="O5" s="7">
        <v>3</v>
      </c>
      <c r="P5" s="5" t="e">
        <f t="shared" si="12"/>
        <v>#REF!</v>
      </c>
      <c r="Q5" s="5" t="e">
        <f t="shared" si="13"/>
        <v>#REF!</v>
      </c>
      <c r="R5" s="5" t="e">
        <f t="shared" si="14"/>
        <v>#REF!</v>
      </c>
      <c r="S5" s="5">
        <f t="shared" si="0"/>
        <v>0</v>
      </c>
      <c r="T5" s="5" t="e">
        <f t="shared" si="15"/>
        <v>#REF!</v>
      </c>
      <c r="U5" s="5" t="e">
        <f t="shared" si="16"/>
        <v>#REF!</v>
      </c>
      <c r="V5" s="5" t="e">
        <f t="shared" si="17"/>
        <v>#REF!</v>
      </c>
      <c r="W5" s="5" t="e">
        <f t="shared" si="18"/>
        <v>#REF!</v>
      </c>
      <c r="X5" s="5">
        <f t="shared" si="1"/>
        <v>2</v>
      </c>
      <c r="Y5" s="5" t="e">
        <f t="shared" si="2"/>
        <v>#REF!</v>
      </c>
      <c r="Z5" s="5" t="e">
        <f t="shared" si="3"/>
        <v>#REF!</v>
      </c>
      <c r="AA5" s="5" t="e">
        <f t="shared" si="4"/>
        <v>#REF!</v>
      </c>
      <c r="AB5" s="5" t="e">
        <f t="shared" si="5"/>
        <v>#REF!</v>
      </c>
      <c r="AC5" s="5">
        <f t="shared" si="6"/>
        <v>0</v>
      </c>
      <c r="AD5" s="5">
        <f t="shared" si="7"/>
        <v>0</v>
      </c>
      <c r="AE5" s="5">
        <f t="shared" si="8"/>
        <v>0</v>
      </c>
      <c r="AF5" s="5" t="e">
        <f t="shared" si="9"/>
        <v>#REF!</v>
      </c>
      <c r="AG5" s="5" t="e">
        <f>N($E5)*N(#REF!)</f>
        <v>#REF!</v>
      </c>
      <c r="AH5" s="5" t="e">
        <f t="shared" si="10"/>
        <v>#REF!</v>
      </c>
      <c r="AI5" s="5">
        <f t="shared" si="11"/>
        <v>0</v>
      </c>
    </row>
    <row r="6" spans="1:35" x14ac:dyDescent="0.25">
      <c r="A6" s="3" t="s">
        <v>44</v>
      </c>
      <c r="B6" s="3" t="s">
        <v>38</v>
      </c>
      <c r="C6" s="3" t="s">
        <v>229</v>
      </c>
      <c r="D6" s="3" t="s">
        <v>230</v>
      </c>
      <c r="E6" s="12">
        <v>1</v>
      </c>
      <c r="F6" s="12" t="s">
        <v>41</v>
      </c>
      <c r="G6" s="12" t="s">
        <v>179</v>
      </c>
      <c r="H6" s="3" t="s">
        <v>37</v>
      </c>
      <c r="I6" s="4" t="s">
        <v>39</v>
      </c>
      <c r="J6" s="4" t="s">
        <v>38</v>
      </c>
      <c r="K6" s="5" t="s">
        <v>295</v>
      </c>
      <c r="L6" s="5" t="s">
        <v>58</v>
      </c>
      <c r="M6" s="5" t="s">
        <v>59</v>
      </c>
      <c r="N6" s="5">
        <f>IF(OR($C6="",$C6="FID YOK"),"",IF(ISNUMBER(MATCH($C6,FA_ANA,0)),"",IF(COUNTIF($C$1:$C5,$C6)&gt;0,"",MAX($N$1:$N5)+1)))</f>
        <v>4</v>
      </c>
      <c r="O6" s="7">
        <v>2</v>
      </c>
      <c r="P6" s="5" t="e">
        <f t="shared" si="12"/>
        <v>#REF!</v>
      </c>
      <c r="Q6" s="5" t="e">
        <f t="shared" si="13"/>
        <v>#REF!</v>
      </c>
      <c r="R6" s="5" t="e">
        <f t="shared" si="14"/>
        <v>#REF!</v>
      </c>
      <c r="S6" s="5">
        <f t="shared" si="0"/>
        <v>0</v>
      </c>
      <c r="T6" s="5" t="e">
        <f t="shared" si="15"/>
        <v>#REF!</v>
      </c>
      <c r="U6" s="5" t="e">
        <f t="shared" si="16"/>
        <v>#REF!</v>
      </c>
      <c r="V6" s="5" t="e">
        <f t="shared" si="17"/>
        <v>#REF!</v>
      </c>
      <c r="W6" s="5" t="e">
        <f t="shared" si="18"/>
        <v>#REF!</v>
      </c>
      <c r="X6" s="5">
        <f t="shared" si="1"/>
        <v>1</v>
      </c>
      <c r="Y6" s="5" t="e">
        <f t="shared" si="2"/>
        <v>#REF!</v>
      </c>
      <c r="Z6" s="5" t="e">
        <f t="shared" si="3"/>
        <v>#REF!</v>
      </c>
      <c r="AA6" s="5" t="e">
        <f t="shared" si="4"/>
        <v>#REF!</v>
      </c>
      <c r="AB6" s="5" t="e">
        <f t="shared" si="5"/>
        <v>#REF!</v>
      </c>
      <c r="AC6" s="5" t="e">
        <f t="shared" si="6"/>
        <v>#REF!</v>
      </c>
      <c r="AD6" s="5" t="e">
        <f t="shared" si="7"/>
        <v>#REF!</v>
      </c>
      <c r="AE6" s="5" t="e">
        <f t="shared" si="8"/>
        <v>#REF!</v>
      </c>
      <c r="AF6" s="5" t="e">
        <f t="shared" si="9"/>
        <v>#REF!</v>
      </c>
      <c r="AG6" s="5" t="e">
        <f>N($E6)*N(#REF!)</f>
        <v>#REF!</v>
      </c>
      <c r="AH6" s="5" t="e">
        <f t="shared" si="10"/>
        <v>#REF!</v>
      </c>
      <c r="AI6" s="5">
        <f t="shared" si="11"/>
        <v>0</v>
      </c>
    </row>
    <row r="7" spans="1:35" x14ac:dyDescent="0.25">
      <c r="A7" s="3" t="s">
        <v>44</v>
      </c>
      <c r="B7" s="3" t="s">
        <v>60</v>
      </c>
      <c r="C7" s="3" t="s">
        <v>217</v>
      </c>
      <c r="D7" s="3" t="s">
        <v>218</v>
      </c>
      <c r="E7" s="12">
        <v>1</v>
      </c>
      <c r="F7" s="12" t="s">
        <v>41</v>
      </c>
      <c r="G7" s="12" t="s">
        <v>179</v>
      </c>
      <c r="H7" s="3" t="s">
        <v>37</v>
      </c>
      <c r="I7" s="4" t="s">
        <v>55</v>
      </c>
      <c r="J7" s="4" t="s">
        <v>60</v>
      </c>
      <c r="K7" s="5" t="s">
        <v>295</v>
      </c>
      <c r="L7" s="5" t="s">
        <v>61</v>
      </c>
      <c r="M7" s="5" t="s">
        <v>62</v>
      </c>
      <c r="N7" s="5">
        <f>IF(OR($C7="",$C7="FID YOK"),"",IF(ISNUMBER(MATCH($C7,FA_ANA,0)),"",IF(COUNTIF($C$1:$C6,$C7)&gt;0,"",MAX($N$1:$N6)+1)))</f>
        <v>5</v>
      </c>
      <c r="O7" s="7" t="s">
        <v>63</v>
      </c>
      <c r="P7" s="5" t="e">
        <f t="shared" si="12"/>
        <v>#REF!</v>
      </c>
      <c r="Q7" s="5" t="e">
        <f t="shared" si="13"/>
        <v>#REF!</v>
      </c>
      <c r="R7" s="5" t="e">
        <f t="shared" si="14"/>
        <v>#REF!</v>
      </c>
      <c r="S7" s="5">
        <f t="shared" si="0"/>
        <v>0</v>
      </c>
      <c r="T7" s="5" t="e">
        <f t="shared" si="15"/>
        <v>#REF!</v>
      </c>
      <c r="U7" s="5" t="str">
        <f t="shared" si="16"/>
        <v/>
      </c>
      <c r="V7" s="5" t="e">
        <f t="shared" si="17"/>
        <v>#REF!</v>
      </c>
      <c r="W7" s="5" t="e">
        <f t="shared" si="18"/>
        <v>#REF!</v>
      </c>
      <c r="X7" s="5">
        <f t="shared" si="1"/>
        <v>1</v>
      </c>
      <c r="Y7" s="5" t="e">
        <f t="shared" si="2"/>
        <v>#REF!</v>
      </c>
      <c r="Z7" s="5" t="e">
        <f t="shared" si="3"/>
        <v>#REF!</v>
      </c>
      <c r="AA7" s="5" t="e">
        <f t="shared" si="4"/>
        <v>#REF!</v>
      </c>
      <c r="AB7" s="5" t="e">
        <f t="shared" si="5"/>
        <v>#REF!</v>
      </c>
      <c r="AC7" s="5">
        <f t="shared" si="6"/>
        <v>0</v>
      </c>
      <c r="AD7" s="5">
        <f t="shared" si="7"/>
        <v>0</v>
      </c>
      <c r="AE7" s="5">
        <f t="shared" si="8"/>
        <v>0</v>
      </c>
      <c r="AF7" s="5" t="e">
        <f t="shared" si="9"/>
        <v>#REF!</v>
      </c>
      <c r="AG7" s="5" t="e">
        <f>N($E7)*N(#REF!)</f>
        <v>#REF!</v>
      </c>
      <c r="AH7" s="5" t="e">
        <f t="shared" si="10"/>
        <v>#REF!</v>
      </c>
      <c r="AI7" s="5">
        <f t="shared" si="11"/>
        <v>0</v>
      </c>
    </row>
    <row r="8" spans="1:35" x14ac:dyDescent="0.25">
      <c r="A8" s="3" t="s">
        <v>44</v>
      </c>
      <c r="B8" s="3" t="s">
        <v>64</v>
      </c>
      <c r="C8" s="3" t="s">
        <v>221</v>
      </c>
      <c r="D8" s="3" t="s">
        <v>222</v>
      </c>
      <c r="E8" s="12">
        <v>1</v>
      </c>
      <c r="F8" s="12" t="s">
        <v>41</v>
      </c>
      <c r="G8" s="12" t="s">
        <v>179</v>
      </c>
      <c r="H8" s="3" t="s">
        <v>37</v>
      </c>
      <c r="I8" s="4" t="s">
        <v>55</v>
      </c>
      <c r="J8" s="4" t="s">
        <v>64</v>
      </c>
      <c r="K8" s="5" t="s">
        <v>295</v>
      </c>
      <c r="L8" s="5" t="s">
        <v>65</v>
      </c>
      <c r="M8" s="5" t="s">
        <v>66</v>
      </c>
      <c r="N8" s="5">
        <f>IF(OR($C8="",$C8="FID YOK"),"",IF(ISNUMBER(MATCH($C8,FA_ANA,0)),"",IF(COUNTIF($C$1:$C7,$C8)&gt;0,"",MAX($N$1:$N7)+1)))</f>
        <v>6</v>
      </c>
      <c r="O8" s="7" t="s">
        <v>63</v>
      </c>
      <c r="P8" s="5" t="e">
        <f t="shared" si="12"/>
        <v>#REF!</v>
      </c>
      <c r="Q8" s="5" t="e">
        <f t="shared" si="13"/>
        <v>#REF!</v>
      </c>
      <c r="R8" s="5" t="e">
        <f t="shared" si="14"/>
        <v>#REF!</v>
      </c>
      <c r="S8" s="5">
        <f t="shared" si="0"/>
        <v>0</v>
      </c>
      <c r="T8" s="5" t="e">
        <f t="shared" si="15"/>
        <v>#REF!</v>
      </c>
      <c r="U8" s="5" t="str">
        <f t="shared" si="16"/>
        <v/>
      </c>
      <c r="V8" s="5" t="e">
        <f t="shared" si="17"/>
        <v>#REF!</v>
      </c>
      <c r="W8" s="5" t="e">
        <f t="shared" si="18"/>
        <v>#REF!</v>
      </c>
      <c r="X8" s="5">
        <f t="shared" si="1"/>
        <v>1</v>
      </c>
      <c r="Y8" s="5" t="e">
        <f t="shared" si="2"/>
        <v>#REF!</v>
      </c>
      <c r="Z8" s="5" t="e">
        <f t="shared" si="3"/>
        <v>#REF!</v>
      </c>
      <c r="AA8" s="5" t="e">
        <f t="shared" si="4"/>
        <v>#REF!</v>
      </c>
      <c r="AB8" s="5" t="e">
        <f t="shared" si="5"/>
        <v>#REF!</v>
      </c>
      <c r="AC8" s="5">
        <f t="shared" si="6"/>
        <v>0</v>
      </c>
      <c r="AD8" s="5">
        <f t="shared" si="7"/>
        <v>0</v>
      </c>
      <c r="AE8" s="5">
        <f t="shared" si="8"/>
        <v>0</v>
      </c>
      <c r="AF8" s="5" t="e">
        <f t="shared" si="9"/>
        <v>#REF!</v>
      </c>
      <c r="AG8" s="5" t="e">
        <f>N($E8)*N(#REF!)</f>
        <v>#REF!</v>
      </c>
      <c r="AH8" s="5" t="e">
        <f t="shared" si="10"/>
        <v>#REF!</v>
      </c>
      <c r="AI8" s="5">
        <f t="shared" si="11"/>
        <v>0</v>
      </c>
    </row>
    <row r="9" spans="1:35" x14ac:dyDescent="0.25">
      <c r="A9" s="3" t="s">
        <v>44</v>
      </c>
      <c r="B9" s="3" t="s">
        <v>64</v>
      </c>
      <c r="C9" s="3" t="s">
        <v>219</v>
      </c>
      <c r="D9" s="3" t="s">
        <v>220</v>
      </c>
      <c r="E9" s="12">
        <v>1</v>
      </c>
      <c r="F9" s="12" t="s">
        <v>41</v>
      </c>
      <c r="G9" s="12" t="s">
        <v>179</v>
      </c>
      <c r="H9" s="3" t="s">
        <v>37</v>
      </c>
      <c r="I9" s="4" t="s">
        <v>55</v>
      </c>
      <c r="J9" s="4" t="s">
        <v>64</v>
      </c>
      <c r="K9" s="5" t="s">
        <v>295</v>
      </c>
      <c r="L9" s="5" t="s">
        <v>67</v>
      </c>
      <c r="M9" s="5" t="s">
        <v>68</v>
      </c>
      <c r="N9" s="5">
        <f>IF(OR($C9="",$C9="FID YOK"),"",IF(ISNUMBER(MATCH($C9,FA_ANA,0)),"",IF(COUNTIF($C$1:$C8,$C9)&gt;0,"",MAX($N$1:$N8)+1)))</f>
        <v>7</v>
      </c>
      <c r="O9" s="7" t="s">
        <v>63</v>
      </c>
      <c r="P9" s="5" t="e">
        <f t="shared" si="12"/>
        <v>#REF!</v>
      </c>
      <c r="Q9" s="5" t="e">
        <f t="shared" si="13"/>
        <v>#REF!</v>
      </c>
      <c r="R9" s="5" t="e">
        <f t="shared" si="14"/>
        <v>#REF!</v>
      </c>
      <c r="S9" s="5">
        <f t="shared" si="0"/>
        <v>0</v>
      </c>
      <c r="T9" s="5" t="e">
        <f t="shared" si="15"/>
        <v>#REF!</v>
      </c>
      <c r="U9" s="5" t="str">
        <f t="shared" si="16"/>
        <v/>
      </c>
      <c r="V9" s="5" t="e">
        <f t="shared" si="17"/>
        <v>#REF!</v>
      </c>
      <c r="W9" s="5" t="e">
        <f t="shared" si="18"/>
        <v>#REF!</v>
      </c>
      <c r="X9" s="5">
        <f t="shared" si="1"/>
        <v>1</v>
      </c>
      <c r="Y9" s="5" t="e">
        <f t="shared" si="2"/>
        <v>#REF!</v>
      </c>
      <c r="Z9" s="5" t="e">
        <f t="shared" si="3"/>
        <v>#REF!</v>
      </c>
      <c r="AA9" s="5" t="e">
        <f t="shared" si="4"/>
        <v>#REF!</v>
      </c>
      <c r="AB9" s="5" t="e">
        <f t="shared" si="5"/>
        <v>#REF!</v>
      </c>
      <c r="AC9" s="5">
        <f t="shared" si="6"/>
        <v>0</v>
      </c>
      <c r="AD9" s="5">
        <f t="shared" si="7"/>
        <v>0</v>
      </c>
      <c r="AE9" s="5">
        <f t="shared" si="8"/>
        <v>0</v>
      </c>
      <c r="AF9" s="5" t="e">
        <f t="shared" si="9"/>
        <v>#REF!</v>
      </c>
      <c r="AG9" s="5" t="e">
        <f>N($E9)*N(#REF!)</f>
        <v>#REF!</v>
      </c>
      <c r="AH9" s="5" t="e">
        <f t="shared" si="10"/>
        <v>#REF!</v>
      </c>
      <c r="AI9" s="5">
        <f t="shared" si="11"/>
        <v>0</v>
      </c>
    </row>
    <row r="10" spans="1:35" x14ac:dyDescent="0.25">
      <c r="A10" s="3" t="s">
        <v>44</v>
      </c>
      <c r="B10" s="3" t="s">
        <v>69</v>
      </c>
      <c r="C10" s="3" t="s">
        <v>223</v>
      </c>
      <c r="D10" s="3" t="s">
        <v>224</v>
      </c>
      <c r="E10" s="12">
        <v>1</v>
      </c>
      <c r="F10" s="12" t="s">
        <v>41</v>
      </c>
      <c r="G10" s="12" t="s">
        <v>179</v>
      </c>
      <c r="H10" s="3" t="s">
        <v>37</v>
      </c>
      <c r="I10" s="4" t="s">
        <v>55</v>
      </c>
      <c r="J10" s="4" t="s">
        <v>69</v>
      </c>
      <c r="K10" s="5" t="s">
        <v>295</v>
      </c>
      <c r="L10" s="5" t="s">
        <v>70</v>
      </c>
      <c r="M10" s="5" t="s">
        <v>71</v>
      </c>
      <c r="N10" s="5">
        <f>IF(OR($C10="",$C10="FID YOK"),"",IF(ISNUMBER(MATCH($C10,FA_ANA,0)),"",IF(COUNTIF($C$1:$C9,$C10)&gt;0,"",MAX($N$1:$N9)+1)))</f>
        <v>8</v>
      </c>
      <c r="O10" s="7" t="s">
        <v>63</v>
      </c>
      <c r="P10" s="5" t="e">
        <f t="shared" si="12"/>
        <v>#REF!</v>
      </c>
      <c r="Q10" s="5" t="e">
        <f t="shared" si="13"/>
        <v>#REF!</v>
      </c>
      <c r="R10" s="5" t="e">
        <f t="shared" si="14"/>
        <v>#REF!</v>
      </c>
      <c r="S10" s="5">
        <f t="shared" si="0"/>
        <v>0</v>
      </c>
      <c r="T10" s="5" t="e">
        <f t="shared" si="15"/>
        <v>#REF!</v>
      </c>
      <c r="U10" s="5" t="str">
        <f t="shared" si="16"/>
        <v/>
      </c>
      <c r="V10" s="5" t="e">
        <f t="shared" si="17"/>
        <v>#REF!</v>
      </c>
      <c r="W10" s="5" t="e">
        <f t="shared" si="18"/>
        <v>#REF!</v>
      </c>
      <c r="X10" s="5">
        <f t="shared" si="1"/>
        <v>1</v>
      </c>
      <c r="Y10" s="5" t="e">
        <f t="shared" si="2"/>
        <v>#REF!</v>
      </c>
      <c r="Z10" s="5" t="e">
        <f t="shared" si="3"/>
        <v>#REF!</v>
      </c>
      <c r="AA10" s="5" t="e">
        <f t="shared" si="4"/>
        <v>#REF!</v>
      </c>
      <c r="AB10" s="5" t="e">
        <f t="shared" si="5"/>
        <v>#REF!</v>
      </c>
      <c r="AC10" s="5">
        <f t="shared" si="6"/>
        <v>0</v>
      </c>
      <c r="AD10" s="5">
        <f t="shared" si="7"/>
        <v>0</v>
      </c>
      <c r="AE10" s="5">
        <f t="shared" si="8"/>
        <v>0</v>
      </c>
      <c r="AF10" s="5" t="e">
        <f t="shared" si="9"/>
        <v>#REF!</v>
      </c>
      <c r="AG10" s="5" t="e">
        <f>N($E10)*N(#REF!)</f>
        <v>#REF!</v>
      </c>
      <c r="AH10" s="5" t="e">
        <f t="shared" si="10"/>
        <v>#REF!</v>
      </c>
      <c r="AI10" s="5">
        <f t="shared" si="11"/>
        <v>0</v>
      </c>
    </row>
    <row r="11" spans="1:35" x14ac:dyDescent="0.25">
      <c r="A11" s="3" t="s">
        <v>44</v>
      </c>
      <c r="B11" s="3" t="s">
        <v>69</v>
      </c>
      <c r="C11" s="3" t="s">
        <v>225</v>
      </c>
      <c r="D11" s="3" t="s">
        <v>226</v>
      </c>
      <c r="E11" s="12">
        <v>1</v>
      </c>
      <c r="F11" s="12" t="s">
        <v>41</v>
      </c>
      <c r="G11" s="12" t="s">
        <v>179</v>
      </c>
      <c r="H11" s="3" t="s">
        <v>37</v>
      </c>
      <c r="I11" s="4" t="s">
        <v>55</v>
      </c>
      <c r="J11" s="4" t="s">
        <v>69</v>
      </c>
      <c r="K11" s="5" t="s">
        <v>295</v>
      </c>
      <c r="L11" s="5" t="s">
        <v>72</v>
      </c>
      <c r="M11" s="5" t="s">
        <v>73</v>
      </c>
      <c r="N11" s="5">
        <f>IF(OR($C11="",$C11="FID YOK"),"",IF(ISNUMBER(MATCH($C11,FA_ANA,0)),"",IF(COUNTIF($C$1:$C10,$C11)&gt;0,"",MAX($N$1:$N10)+1)))</f>
        <v>9</v>
      </c>
      <c r="O11" s="7" t="s">
        <v>63</v>
      </c>
      <c r="P11" s="5" t="e">
        <f t="shared" si="12"/>
        <v>#REF!</v>
      </c>
      <c r="Q11" s="5" t="e">
        <f t="shared" si="13"/>
        <v>#REF!</v>
      </c>
      <c r="R11" s="5" t="e">
        <f t="shared" si="14"/>
        <v>#REF!</v>
      </c>
      <c r="S11" s="5">
        <f t="shared" si="0"/>
        <v>0</v>
      </c>
      <c r="T11" s="5" t="e">
        <f t="shared" si="15"/>
        <v>#REF!</v>
      </c>
      <c r="U11" s="5" t="str">
        <f t="shared" si="16"/>
        <v/>
      </c>
      <c r="V11" s="5" t="e">
        <f t="shared" si="17"/>
        <v>#REF!</v>
      </c>
      <c r="W11" s="5" t="e">
        <f t="shared" si="18"/>
        <v>#REF!</v>
      </c>
      <c r="X11" s="5">
        <f t="shared" si="1"/>
        <v>1</v>
      </c>
      <c r="Y11" s="5" t="e">
        <f t="shared" si="2"/>
        <v>#REF!</v>
      </c>
      <c r="Z11" s="5" t="e">
        <f t="shared" si="3"/>
        <v>#REF!</v>
      </c>
      <c r="AA11" s="5" t="e">
        <f t="shared" si="4"/>
        <v>#REF!</v>
      </c>
      <c r="AB11" s="5" t="e">
        <f t="shared" si="5"/>
        <v>#REF!</v>
      </c>
      <c r="AC11" s="5">
        <f t="shared" si="6"/>
        <v>0</v>
      </c>
      <c r="AD11" s="5">
        <f t="shared" si="7"/>
        <v>0</v>
      </c>
      <c r="AE11" s="5">
        <f t="shared" si="8"/>
        <v>0</v>
      </c>
      <c r="AF11" s="5" t="e">
        <f t="shared" si="9"/>
        <v>#REF!</v>
      </c>
      <c r="AG11" s="5" t="e">
        <f>N($E11)*N(#REF!)</f>
        <v>#REF!</v>
      </c>
      <c r="AH11" s="5" t="e">
        <f t="shared" si="10"/>
        <v>#REF!</v>
      </c>
      <c r="AI11" s="5">
        <f t="shared" si="11"/>
        <v>0</v>
      </c>
    </row>
    <row r="12" spans="1:35" x14ac:dyDescent="0.25">
      <c r="A12" s="3" t="s">
        <v>44</v>
      </c>
      <c r="B12" s="3" t="s">
        <v>69</v>
      </c>
      <c r="C12" s="3" t="s">
        <v>227</v>
      </c>
      <c r="D12" s="3" t="s">
        <v>228</v>
      </c>
      <c r="E12" s="12">
        <v>1</v>
      </c>
      <c r="F12" s="12" t="s">
        <v>41</v>
      </c>
      <c r="G12" s="12" t="s">
        <v>179</v>
      </c>
      <c r="H12" s="3" t="s">
        <v>37</v>
      </c>
      <c r="I12" s="4" t="s">
        <v>55</v>
      </c>
      <c r="J12" s="4" t="s">
        <v>69</v>
      </c>
      <c r="K12" s="5" t="s">
        <v>295</v>
      </c>
      <c r="L12" s="5" t="s">
        <v>74</v>
      </c>
      <c r="M12" s="5" t="s">
        <v>75</v>
      </c>
      <c r="N12" s="5">
        <f>IF(OR($C12="",$C12="FID YOK"),"",IF(ISNUMBER(MATCH($C12,FA_ANA,0)),"",IF(COUNTIF($C$1:$C11,$C12)&gt;0,"",MAX($N$1:$N11)+1)))</f>
        <v>10</v>
      </c>
      <c r="O12" s="7" t="s">
        <v>63</v>
      </c>
      <c r="P12" s="5" t="e">
        <f t="shared" si="12"/>
        <v>#REF!</v>
      </c>
      <c r="Q12" s="5" t="e">
        <f t="shared" si="13"/>
        <v>#REF!</v>
      </c>
      <c r="R12" s="5" t="e">
        <f t="shared" si="14"/>
        <v>#REF!</v>
      </c>
      <c r="S12" s="5">
        <f t="shared" si="0"/>
        <v>0</v>
      </c>
      <c r="T12" s="5" t="e">
        <f t="shared" si="15"/>
        <v>#REF!</v>
      </c>
      <c r="U12" s="5" t="str">
        <f t="shared" si="16"/>
        <v/>
      </c>
      <c r="V12" s="5" t="e">
        <f t="shared" si="17"/>
        <v>#REF!</v>
      </c>
      <c r="W12" s="5" t="e">
        <f t="shared" si="18"/>
        <v>#REF!</v>
      </c>
      <c r="X12" s="5">
        <f t="shared" si="1"/>
        <v>1</v>
      </c>
      <c r="Y12" s="5" t="e">
        <f t="shared" si="2"/>
        <v>#REF!</v>
      </c>
      <c r="Z12" s="5" t="e">
        <f t="shared" si="3"/>
        <v>#REF!</v>
      </c>
      <c r="AA12" s="5" t="e">
        <f t="shared" si="4"/>
        <v>#REF!</v>
      </c>
      <c r="AB12" s="5" t="e">
        <f t="shared" si="5"/>
        <v>#REF!</v>
      </c>
      <c r="AC12" s="5">
        <f t="shared" si="6"/>
        <v>0</v>
      </c>
      <c r="AD12" s="5">
        <f t="shared" si="7"/>
        <v>0</v>
      </c>
      <c r="AE12" s="5">
        <f t="shared" si="8"/>
        <v>0</v>
      </c>
      <c r="AF12" s="5" t="e">
        <f t="shared" si="9"/>
        <v>#REF!</v>
      </c>
      <c r="AG12" s="5" t="e">
        <f>N($E12)*N(#REF!)</f>
        <v>#REF!</v>
      </c>
      <c r="AH12" s="5" t="e">
        <f t="shared" si="10"/>
        <v>#REF!</v>
      </c>
      <c r="AI12" s="5">
        <f t="shared" si="11"/>
        <v>0</v>
      </c>
    </row>
    <row r="13" spans="1:35" x14ac:dyDescent="0.25">
      <c r="A13" s="3" t="s">
        <v>44</v>
      </c>
      <c r="B13" s="3" t="s">
        <v>38</v>
      </c>
      <c r="C13" s="3" t="s">
        <v>231</v>
      </c>
      <c r="D13" s="3" t="s">
        <v>232</v>
      </c>
      <c r="E13" s="12">
        <v>1</v>
      </c>
      <c r="F13" s="12" t="s">
        <v>41</v>
      </c>
      <c r="G13" s="12" t="s">
        <v>216</v>
      </c>
      <c r="H13" s="3" t="s">
        <v>37</v>
      </c>
      <c r="I13" s="4" t="s">
        <v>55</v>
      </c>
      <c r="J13" s="4" t="s">
        <v>38</v>
      </c>
      <c r="K13" s="5" t="s">
        <v>296</v>
      </c>
      <c r="L13" s="5" t="s">
        <v>76</v>
      </c>
      <c r="M13" s="5" t="s">
        <v>77</v>
      </c>
      <c r="N13" s="5">
        <f>IF(OR($C13="",$C13="FID YOK"),"",IF(ISNUMBER(MATCH($C13,FA_ANA,0)),"",IF(COUNTIF($C$1:$C12,$C13)&gt;0,"",MAX($N$1:$N12)+1)))</f>
        <v>11</v>
      </c>
      <c r="O13" s="7" t="s">
        <v>63</v>
      </c>
      <c r="P13" s="5" t="e">
        <f t="shared" si="12"/>
        <v>#REF!</v>
      </c>
      <c r="Q13" s="5" t="e">
        <f t="shared" si="13"/>
        <v>#REF!</v>
      </c>
      <c r="R13" s="5" t="e">
        <f t="shared" si="14"/>
        <v>#REF!</v>
      </c>
      <c r="S13" s="5">
        <f t="shared" si="0"/>
        <v>0</v>
      </c>
      <c r="T13" s="5" t="e">
        <f t="shared" si="15"/>
        <v>#REF!</v>
      </c>
      <c r="U13" s="5" t="str">
        <f t="shared" si="16"/>
        <v/>
      </c>
      <c r="V13" s="5" t="e">
        <f t="shared" si="17"/>
        <v>#REF!</v>
      </c>
      <c r="W13" s="5" t="e">
        <f t="shared" si="18"/>
        <v>#REF!</v>
      </c>
      <c r="X13" s="5">
        <f t="shared" si="1"/>
        <v>1</v>
      </c>
      <c r="Y13" s="5" t="e">
        <f t="shared" si="2"/>
        <v>#REF!</v>
      </c>
      <c r="Z13" s="5" t="e">
        <f t="shared" si="3"/>
        <v>#REF!</v>
      </c>
      <c r="AA13" s="5" t="e">
        <f t="shared" si="4"/>
        <v>#REF!</v>
      </c>
      <c r="AB13" s="5" t="e">
        <f t="shared" si="5"/>
        <v>#REF!</v>
      </c>
      <c r="AC13" s="5">
        <f t="shared" si="6"/>
        <v>0</v>
      </c>
      <c r="AD13" s="5">
        <f t="shared" si="7"/>
        <v>0</v>
      </c>
      <c r="AE13" s="5">
        <f t="shared" si="8"/>
        <v>0</v>
      </c>
      <c r="AF13" s="5" t="e">
        <f t="shared" si="9"/>
        <v>#REF!</v>
      </c>
      <c r="AG13" s="5" t="e">
        <f>N($E13)*N(#REF!)</f>
        <v>#REF!</v>
      </c>
      <c r="AH13" s="5" t="e">
        <f t="shared" si="10"/>
        <v>#REF!</v>
      </c>
      <c r="AI13" s="5">
        <f t="shared" si="11"/>
        <v>0</v>
      </c>
    </row>
    <row r="14" spans="1:35" x14ac:dyDescent="0.25">
      <c r="A14" s="3" t="s">
        <v>44</v>
      </c>
      <c r="B14" s="3" t="s">
        <v>38</v>
      </c>
      <c r="C14" s="3" t="s">
        <v>233</v>
      </c>
      <c r="D14" s="3" t="s">
        <v>234</v>
      </c>
      <c r="E14" s="12">
        <v>1</v>
      </c>
      <c r="F14" s="12" t="s">
        <v>41</v>
      </c>
      <c r="G14" s="12" t="s">
        <v>216</v>
      </c>
      <c r="H14" s="3" t="s">
        <v>37</v>
      </c>
      <c r="I14" s="4" t="s">
        <v>55</v>
      </c>
      <c r="J14" s="4" t="s">
        <v>38</v>
      </c>
      <c r="K14" s="5" t="s">
        <v>296</v>
      </c>
      <c r="L14" s="5" t="s">
        <v>78</v>
      </c>
      <c r="M14" s="5" t="s">
        <v>79</v>
      </c>
      <c r="N14" s="5">
        <f>IF(OR($C14="",$C14="FID YOK"),"",IF(ISNUMBER(MATCH($C14,FA_ANA,0)),"",IF(COUNTIF($C$1:$C13,$C14)&gt;0,"",MAX($N$1:$N13)+1)))</f>
        <v>12</v>
      </c>
      <c r="O14" s="7" t="s">
        <v>63</v>
      </c>
      <c r="P14" s="5" t="e">
        <f t="shared" si="12"/>
        <v>#REF!</v>
      </c>
      <c r="Q14" s="5" t="e">
        <f t="shared" si="13"/>
        <v>#REF!</v>
      </c>
      <c r="R14" s="5" t="e">
        <f t="shared" si="14"/>
        <v>#REF!</v>
      </c>
      <c r="S14" s="5">
        <f t="shared" si="0"/>
        <v>0</v>
      </c>
      <c r="T14" s="5" t="e">
        <f t="shared" si="15"/>
        <v>#REF!</v>
      </c>
      <c r="U14" s="5" t="str">
        <f t="shared" si="16"/>
        <v/>
      </c>
      <c r="V14" s="5" t="e">
        <f t="shared" si="17"/>
        <v>#REF!</v>
      </c>
      <c r="W14" s="5" t="e">
        <f t="shared" si="18"/>
        <v>#REF!</v>
      </c>
      <c r="X14" s="5">
        <f t="shared" si="1"/>
        <v>1</v>
      </c>
      <c r="Y14" s="5" t="e">
        <f t="shared" si="2"/>
        <v>#REF!</v>
      </c>
      <c r="Z14" s="5" t="e">
        <f t="shared" si="3"/>
        <v>#REF!</v>
      </c>
      <c r="AA14" s="5" t="e">
        <f t="shared" si="4"/>
        <v>#REF!</v>
      </c>
      <c r="AB14" s="5" t="e">
        <f t="shared" si="5"/>
        <v>#REF!</v>
      </c>
      <c r="AC14" s="5">
        <f t="shared" si="6"/>
        <v>0</v>
      </c>
      <c r="AD14" s="5">
        <f t="shared" si="7"/>
        <v>0</v>
      </c>
      <c r="AE14" s="5">
        <f t="shared" si="8"/>
        <v>0</v>
      </c>
      <c r="AF14" s="5" t="e">
        <f t="shared" si="9"/>
        <v>#REF!</v>
      </c>
      <c r="AG14" s="5" t="e">
        <f>N($E14)*N(#REF!)</f>
        <v>#REF!</v>
      </c>
      <c r="AH14" s="5" t="e">
        <f t="shared" si="10"/>
        <v>#REF!</v>
      </c>
      <c r="AI14" s="5">
        <f t="shared" si="11"/>
        <v>0</v>
      </c>
    </row>
    <row r="15" spans="1:35" x14ac:dyDescent="0.25">
      <c r="A15" s="3" t="s">
        <v>44</v>
      </c>
      <c r="B15" s="3" t="s">
        <v>80</v>
      </c>
      <c r="C15" s="3" t="s">
        <v>289</v>
      </c>
      <c r="D15" s="3" t="s">
        <v>290</v>
      </c>
      <c r="E15" s="12">
        <v>1.65</v>
      </c>
      <c r="F15" s="12" t="s">
        <v>242</v>
      </c>
      <c r="G15" s="12" t="s">
        <v>216</v>
      </c>
      <c r="H15" s="3" t="s">
        <v>37</v>
      </c>
      <c r="I15" s="4" t="s">
        <v>81</v>
      </c>
      <c r="J15" s="4" t="s">
        <v>80</v>
      </c>
      <c r="K15" s="5" t="s">
        <v>296</v>
      </c>
      <c r="L15" s="5" t="s">
        <v>82</v>
      </c>
      <c r="N15" s="5">
        <f>IF(OR($C15="",$C15="FID YOK"),"",IF(ISNUMBER(MATCH($C15,FA_ANA,0)),"",IF(COUNTIF($C$1:$C14,$C15)&gt;0,"",MAX($N$1:$N14)+1)))</f>
        <v>13</v>
      </c>
      <c r="S15" s="5">
        <f t="shared" si="0"/>
        <v>0</v>
      </c>
      <c r="X15" s="5">
        <f t="shared" si="1"/>
        <v>1.65</v>
      </c>
      <c r="Y15" s="5" t="e">
        <f t="shared" si="2"/>
        <v>#REF!</v>
      </c>
      <c r="Z15" s="5">
        <f t="shared" si="3"/>
        <v>0</v>
      </c>
      <c r="AA15" s="5">
        <f t="shared" si="4"/>
        <v>0</v>
      </c>
      <c r="AB15" s="5" t="e">
        <f t="shared" si="5"/>
        <v>#REF!</v>
      </c>
      <c r="AC15" s="5">
        <f t="shared" si="6"/>
        <v>0</v>
      </c>
      <c r="AD15" s="5">
        <f t="shared" si="7"/>
        <v>0</v>
      </c>
      <c r="AE15" s="5">
        <f t="shared" si="8"/>
        <v>0</v>
      </c>
      <c r="AF15" s="5" t="e">
        <f t="shared" si="9"/>
        <v>#REF!</v>
      </c>
      <c r="AG15" s="5" t="e">
        <f>N($E15)*N(#REF!)</f>
        <v>#REF!</v>
      </c>
      <c r="AH15" s="5" t="e">
        <f t="shared" si="10"/>
        <v>#REF!</v>
      </c>
      <c r="AI15" s="5">
        <f t="shared" si="11"/>
        <v>0</v>
      </c>
    </row>
    <row r="16" spans="1:35" x14ac:dyDescent="0.25">
      <c r="A16" s="3" t="s">
        <v>44</v>
      </c>
      <c r="B16" s="3" t="s">
        <v>80</v>
      </c>
      <c r="C16" s="3" t="s">
        <v>289</v>
      </c>
      <c r="D16" s="3" t="s">
        <v>290</v>
      </c>
      <c r="E16" s="12">
        <v>0.55000000000000004</v>
      </c>
      <c r="F16" s="12" t="s">
        <v>242</v>
      </c>
      <c r="G16" s="12" t="s">
        <v>216</v>
      </c>
      <c r="H16" s="3" t="s">
        <v>37</v>
      </c>
      <c r="I16" s="4" t="s">
        <v>81</v>
      </c>
      <c r="J16" s="4" t="s">
        <v>80</v>
      </c>
      <c r="K16" s="5" t="s">
        <v>296</v>
      </c>
      <c r="L16" s="5" t="s">
        <v>83</v>
      </c>
      <c r="N16" s="5" t="str">
        <f>IF(OR($C16="",$C16="FID YOK"),"",IF(ISNUMBER(MATCH($C16,FA_ANA,0)),"",IF(COUNTIF($C$1:$C15,$C16)&gt;0,"",MAX($N$1:$N15)+1)))</f>
        <v/>
      </c>
      <c r="S16" s="5">
        <f t="shared" si="0"/>
        <v>0</v>
      </c>
      <c r="X16" s="5">
        <f t="shared" si="1"/>
        <v>0.55000000000000004</v>
      </c>
      <c r="Y16" s="5" t="e">
        <f t="shared" si="2"/>
        <v>#REF!</v>
      </c>
      <c r="Z16" s="5">
        <f t="shared" si="3"/>
        <v>0</v>
      </c>
      <c r="AA16" s="5">
        <f t="shared" si="4"/>
        <v>0</v>
      </c>
      <c r="AB16" s="5" t="e">
        <f t="shared" si="5"/>
        <v>#REF!</v>
      </c>
      <c r="AC16" s="5">
        <f t="shared" si="6"/>
        <v>0</v>
      </c>
      <c r="AD16" s="5">
        <f t="shared" si="7"/>
        <v>0</v>
      </c>
      <c r="AE16" s="5">
        <f t="shared" si="8"/>
        <v>0</v>
      </c>
      <c r="AF16" s="5" t="e">
        <f t="shared" si="9"/>
        <v>#REF!</v>
      </c>
      <c r="AG16" s="5" t="e">
        <f>N($E16)*N(#REF!)</f>
        <v>#REF!</v>
      </c>
      <c r="AH16" s="5" t="e">
        <f t="shared" si="10"/>
        <v>#REF!</v>
      </c>
      <c r="AI16" s="5">
        <f t="shared" si="11"/>
        <v>0</v>
      </c>
    </row>
    <row r="17" spans="1:35" x14ac:dyDescent="0.25">
      <c r="A17" s="3" t="s">
        <v>44</v>
      </c>
      <c r="B17" s="3" t="s">
        <v>80</v>
      </c>
      <c r="C17" s="3" t="s">
        <v>289</v>
      </c>
      <c r="D17" s="3" t="s">
        <v>290</v>
      </c>
      <c r="E17" s="12">
        <v>0.55000000000000004</v>
      </c>
      <c r="F17" s="12" t="s">
        <v>242</v>
      </c>
      <c r="G17" s="12" t="s">
        <v>216</v>
      </c>
      <c r="H17" s="3" t="s">
        <v>37</v>
      </c>
      <c r="I17" s="4" t="s">
        <v>81</v>
      </c>
      <c r="J17" s="4" t="s">
        <v>80</v>
      </c>
      <c r="K17" s="5" t="s">
        <v>296</v>
      </c>
      <c r="L17" s="5" t="s">
        <v>84</v>
      </c>
      <c r="N17" s="5" t="str">
        <f>IF(OR($C17="",$C17="FID YOK"),"",IF(ISNUMBER(MATCH($C17,FA_ANA,0)),"",IF(COUNTIF($C$1:$C16,$C17)&gt;0,"",MAX($N$1:$N16)+1)))</f>
        <v/>
      </c>
      <c r="S17" s="5">
        <f t="shared" si="0"/>
        <v>0</v>
      </c>
      <c r="X17" s="5">
        <f t="shared" si="1"/>
        <v>0.55000000000000004</v>
      </c>
      <c r="Y17" s="5" t="e">
        <f t="shared" si="2"/>
        <v>#REF!</v>
      </c>
      <c r="Z17" s="5">
        <f t="shared" si="3"/>
        <v>0</v>
      </c>
      <c r="AA17" s="5">
        <f t="shared" si="4"/>
        <v>0</v>
      </c>
      <c r="AB17" s="5" t="e">
        <f t="shared" si="5"/>
        <v>#REF!</v>
      </c>
      <c r="AC17" s="5">
        <f t="shared" si="6"/>
        <v>0</v>
      </c>
      <c r="AD17" s="5">
        <f t="shared" si="7"/>
        <v>0</v>
      </c>
      <c r="AE17" s="5">
        <f t="shared" si="8"/>
        <v>0</v>
      </c>
      <c r="AF17" s="5" t="e">
        <f t="shared" si="9"/>
        <v>#REF!</v>
      </c>
      <c r="AG17" s="5" t="e">
        <f>N($E17)*N(#REF!)</f>
        <v>#REF!</v>
      </c>
      <c r="AH17" s="5" t="e">
        <f t="shared" si="10"/>
        <v>#REF!</v>
      </c>
      <c r="AI17" s="5">
        <f t="shared" si="11"/>
        <v>0</v>
      </c>
    </row>
    <row r="18" spans="1:35" x14ac:dyDescent="0.25">
      <c r="A18" s="3" t="s">
        <v>44</v>
      </c>
      <c r="B18" s="3" t="s">
        <v>85</v>
      </c>
      <c r="C18" s="3" t="s">
        <v>281</v>
      </c>
      <c r="D18" s="3" t="s">
        <v>282</v>
      </c>
      <c r="E18" s="12">
        <v>10</v>
      </c>
      <c r="F18" s="12" t="s">
        <v>41</v>
      </c>
      <c r="G18" s="12" t="s">
        <v>216</v>
      </c>
      <c r="H18" s="3" t="s">
        <v>37</v>
      </c>
      <c r="I18" s="4" t="s">
        <v>81</v>
      </c>
      <c r="J18" s="4" t="s">
        <v>85</v>
      </c>
      <c r="K18" s="5" t="s">
        <v>296</v>
      </c>
      <c r="L18" s="5" t="s">
        <v>86</v>
      </c>
      <c r="N18" s="5">
        <f>IF(OR($C18="",$C18="FID YOK"),"",IF(ISNUMBER(MATCH($C18,FA_ANA,0)),"",IF(COUNTIF($C$1:$C17,$C18)&gt;0,"",MAX($N$1:$N17)+1)))</f>
        <v>14</v>
      </c>
      <c r="S18" s="5">
        <f t="shared" si="0"/>
        <v>0</v>
      </c>
      <c r="X18" s="5">
        <f t="shared" si="1"/>
        <v>10</v>
      </c>
      <c r="Y18" s="5" t="e">
        <f t="shared" si="2"/>
        <v>#REF!</v>
      </c>
      <c r="Z18" s="5">
        <f t="shared" si="3"/>
        <v>0</v>
      </c>
      <c r="AA18" s="5">
        <f t="shared" si="4"/>
        <v>0</v>
      </c>
      <c r="AB18" s="5" t="e">
        <f t="shared" si="5"/>
        <v>#REF!</v>
      </c>
      <c r="AC18" s="5">
        <f t="shared" si="6"/>
        <v>0</v>
      </c>
      <c r="AD18" s="5">
        <f t="shared" si="7"/>
        <v>0</v>
      </c>
      <c r="AE18" s="5">
        <f t="shared" si="8"/>
        <v>0</v>
      </c>
      <c r="AF18" s="5" t="e">
        <f t="shared" si="9"/>
        <v>#REF!</v>
      </c>
      <c r="AG18" s="5" t="e">
        <f>N($E18)*N(#REF!)</f>
        <v>#REF!</v>
      </c>
      <c r="AH18" s="5" t="e">
        <f t="shared" si="10"/>
        <v>#REF!</v>
      </c>
      <c r="AI18" s="5">
        <f t="shared" si="11"/>
        <v>0</v>
      </c>
    </row>
    <row r="19" spans="1:35" x14ac:dyDescent="0.25">
      <c r="A19" s="3" t="s">
        <v>44</v>
      </c>
      <c r="B19" s="3" t="s">
        <v>87</v>
      </c>
      <c r="C19" s="3" t="s">
        <v>240</v>
      </c>
      <c r="D19" s="3" t="s">
        <v>241</v>
      </c>
      <c r="E19" s="12">
        <v>6.5</v>
      </c>
      <c r="F19" s="12" t="s">
        <v>242</v>
      </c>
      <c r="G19" s="12" t="s">
        <v>216</v>
      </c>
      <c r="H19" s="3" t="s">
        <v>37</v>
      </c>
      <c r="I19" s="4" t="s">
        <v>81</v>
      </c>
      <c r="J19" s="4" t="s">
        <v>87</v>
      </c>
      <c r="K19" s="5" t="s">
        <v>296</v>
      </c>
      <c r="L19" s="5" t="s">
        <v>88</v>
      </c>
      <c r="N19" s="5">
        <f>IF(OR($C19="",$C19="FID YOK"),"",IF(ISNUMBER(MATCH($C19,FA_ANA,0)),"",IF(COUNTIF($C$1:$C18,$C19)&gt;0,"",MAX($N$1:$N18)+1)))</f>
        <v>15</v>
      </c>
      <c r="S19" s="5">
        <f t="shared" si="0"/>
        <v>0</v>
      </c>
      <c r="X19" s="5">
        <f t="shared" si="1"/>
        <v>6.5</v>
      </c>
      <c r="Y19" s="5" t="e">
        <f t="shared" si="2"/>
        <v>#REF!</v>
      </c>
      <c r="Z19" s="5">
        <f t="shared" si="3"/>
        <v>0</v>
      </c>
      <c r="AA19" s="5">
        <f t="shared" si="4"/>
        <v>0</v>
      </c>
      <c r="AB19" s="5" t="e">
        <f t="shared" si="5"/>
        <v>#REF!</v>
      </c>
      <c r="AC19" s="5">
        <f t="shared" si="6"/>
        <v>0</v>
      </c>
      <c r="AD19" s="5">
        <f t="shared" si="7"/>
        <v>0</v>
      </c>
      <c r="AE19" s="5">
        <f t="shared" si="8"/>
        <v>0</v>
      </c>
      <c r="AF19" s="5" t="e">
        <f t="shared" si="9"/>
        <v>#REF!</v>
      </c>
      <c r="AG19" s="5" t="e">
        <f>N($E19)*N(#REF!)</f>
        <v>#REF!</v>
      </c>
      <c r="AH19" s="5" t="e">
        <f t="shared" si="10"/>
        <v>#REF!</v>
      </c>
      <c r="AI19" s="5">
        <f t="shared" si="11"/>
        <v>0</v>
      </c>
    </row>
    <row r="20" spans="1:35" x14ac:dyDescent="0.25">
      <c r="A20" s="3" t="s">
        <v>44</v>
      </c>
      <c r="B20" s="3" t="s">
        <v>89</v>
      </c>
      <c r="C20" s="3" t="s">
        <v>245</v>
      </c>
      <c r="D20" s="3" t="s">
        <v>246</v>
      </c>
      <c r="E20" s="12">
        <v>13</v>
      </c>
      <c r="F20" s="12" t="s">
        <v>242</v>
      </c>
      <c r="G20" s="12" t="s">
        <v>243</v>
      </c>
      <c r="H20" s="3" t="s">
        <v>37</v>
      </c>
      <c r="I20" s="4" t="s">
        <v>81</v>
      </c>
      <c r="J20" s="4" t="s">
        <v>89</v>
      </c>
      <c r="K20" s="5" t="s">
        <v>297</v>
      </c>
      <c r="L20" s="5" t="s">
        <v>90</v>
      </c>
      <c r="N20" s="5">
        <f>IF(OR($C20="",$C20="FID YOK"),"",IF(ISNUMBER(MATCH($C20,FA_ANA,0)),"",IF(COUNTIF($C$1:$C19,$C20)&gt;0,"",MAX($N$1:$N19)+1)))</f>
        <v>16</v>
      </c>
      <c r="S20" s="5">
        <f t="shared" si="0"/>
        <v>0</v>
      </c>
      <c r="X20" s="5">
        <f t="shared" si="1"/>
        <v>13</v>
      </c>
      <c r="Y20" s="5" t="e">
        <f t="shared" si="2"/>
        <v>#REF!</v>
      </c>
      <c r="Z20" s="5">
        <f t="shared" si="3"/>
        <v>0</v>
      </c>
      <c r="AA20" s="5">
        <f t="shared" si="4"/>
        <v>0</v>
      </c>
      <c r="AB20" s="5" t="e">
        <f t="shared" si="5"/>
        <v>#REF!</v>
      </c>
      <c r="AC20" s="5">
        <f t="shared" si="6"/>
        <v>0</v>
      </c>
      <c r="AD20" s="5">
        <f t="shared" si="7"/>
        <v>0</v>
      </c>
      <c r="AE20" s="5">
        <f t="shared" si="8"/>
        <v>0</v>
      </c>
      <c r="AF20" s="5" t="e">
        <f t="shared" si="9"/>
        <v>#REF!</v>
      </c>
      <c r="AG20" s="5" t="e">
        <f>N($E20)*N(#REF!)</f>
        <v>#REF!</v>
      </c>
      <c r="AH20" s="5" t="e">
        <f t="shared" si="10"/>
        <v>#REF!</v>
      </c>
      <c r="AI20" s="5">
        <f t="shared" si="11"/>
        <v>0</v>
      </c>
    </row>
    <row r="21" spans="1:35" x14ac:dyDescent="0.25">
      <c r="A21" s="3" t="s">
        <v>44</v>
      </c>
      <c r="B21" s="3" t="s">
        <v>89</v>
      </c>
      <c r="C21" s="3" t="s">
        <v>275</v>
      </c>
      <c r="D21" s="3" t="s">
        <v>276</v>
      </c>
      <c r="E21" s="12">
        <v>1.7</v>
      </c>
      <c r="F21" s="12" t="s">
        <v>242</v>
      </c>
      <c r="G21" s="12" t="s">
        <v>243</v>
      </c>
      <c r="H21" s="3" t="s">
        <v>37</v>
      </c>
      <c r="I21" s="4" t="s">
        <v>81</v>
      </c>
      <c r="J21" s="4" t="s">
        <v>89</v>
      </c>
      <c r="K21" s="5" t="s">
        <v>297</v>
      </c>
      <c r="L21" s="5" t="s">
        <v>91</v>
      </c>
      <c r="N21" s="5">
        <f>IF(OR($C21="",$C21="FID YOK"),"",IF(ISNUMBER(MATCH($C21,FA_ANA,0)),"",IF(COUNTIF($C$1:$C20,$C21)&gt;0,"",MAX($N$1:$N20)+1)))</f>
        <v>17</v>
      </c>
      <c r="S21" s="5">
        <f t="shared" si="0"/>
        <v>0</v>
      </c>
      <c r="X21" s="5">
        <f t="shared" si="1"/>
        <v>1.7</v>
      </c>
      <c r="Y21" s="5" t="e">
        <f t="shared" si="2"/>
        <v>#REF!</v>
      </c>
      <c r="Z21" s="5">
        <f t="shared" si="3"/>
        <v>0</v>
      </c>
      <c r="AA21" s="5">
        <f t="shared" si="4"/>
        <v>0</v>
      </c>
      <c r="AB21" s="5" t="e">
        <f t="shared" si="5"/>
        <v>#REF!</v>
      </c>
      <c r="AC21" s="5">
        <f t="shared" si="6"/>
        <v>0</v>
      </c>
      <c r="AD21" s="5">
        <f t="shared" si="7"/>
        <v>0</v>
      </c>
      <c r="AE21" s="5">
        <f t="shared" si="8"/>
        <v>0</v>
      </c>
      <c r="AF21" s="5" t="e">
        <f t="shared" si="9"/>
        <v>#REF!</v>
      </c>
      <c r="AG21" s="5" t="e">
        <f>N($E21)*N(#REF!)</f>
        <v>#REF!</v>
      </c>
      <c r="AH21" s="5" t="e">
        <f t="shared" si="10"/>
        <v>#REF!</v>
      </c>
      <c r="AI21" s="5">
        <f t="shared" si="11"/>
        <v>0</v>
      </c>
    </row>
    <row r="22" spans="1:35" x14ac:dyDescent="0.25">
      <c r="A22" s="3" t="s">
        <v>44</v>
      </c>
      <c r="B22" s="3" t="s">
        <v>89</v>
      </c>
      <c r="C22" s="3" t="s">
        <v>257</v>
      </c>
      <c r="D22" s="3" t="s">
        <v>258</v>
      </c>
      <c r="E22" s="12">
        <v>0.5</v>
      </c>
      <c r="F22" s="12" t="s">
        <v>242</v>
      </c>
      <c r="G22" s="12" t="s">
        <v>243</v>
      </c>
      <c r="H22" s="3" t="s">
        <v>37</v>
      </c>
      <c r="I22" s="4" t="s">
        <v>81</v>
      </c>
      <c r="J22" s="4" t="s">
        <v>89</v>
      </c>
      <c r="K22" s="5" t="s">
        <v>297</v>
      </c>
      <c r="L22" s="5" t="s">
        <v>92</v>
      </c>
      <c r="N22" s="5">
        <f>IF(OR($C22="",$C22="FID YOK"),"",IF(ISNUMBER(MATCH($C22,FA_ANA,0)),"",IF(COUNTIF($C$1:$C21,$C22)&gt;0,"",MAX($N$1:$N21)+1)))</f>
        <v>18</v>
      </c>
      <c r="S22" s="5">
        <f t="shared" si="0"/>
        <v>0</v>
      </c>
      <c r="X22" s="5">
        <f t="shared" si="1"/>
        <v>0.5</v>
      </c>
      <c r="Y22" s="5" t="e">
        <f t="shared" si="2"/>
        <v>#REF!</v>
      </c>
      <c r="Z22" s="5">
        <f t="shared" si="3"/>
        <v>0</v>
      </c>
      <c r="AA22" s="5">
        <f t="shared" si="4"/>
        <v>0</v>
      </c>
      <c r="AB22" s="5" t="e">
        <f t="shared" si="5"/>
        <v>#REF!</v>
      </c>
      <c r="AC22" s="5">
        <f t="shared" si="6"/>
        <v>0</v>
      </c>
      <c r="AD22" s="5">
        <f t="shared" si="7"/>
        <v>0</v>
      </c>
      <c r="AE22" s="5">
        <f t="shared" si="8"/>
        <v>0</v>
      </c>
      <c r="AF22" s="5" t="e">
        <f t="shared" si="9"/>
        <v>#REF!</v>
      </c>
      <c r="AG22" s="5" t="e">
        <f>N($E22)*N(#REF!)</f>
        <v>#REF!</v>
      </c>
      <c r="AH22" s="5" t="e">
        <f t="shared" si="10"/>
        <v>#REF!</v>
      </c>
      <c r="AI22" s="5">
        <f t="shared" si="11"/>
        <v>0</v>
      </c>
    </row>
    <row r="23" spans="1:35" x14ac:dyDescent="0.25">
      <c r="A23" s="3" t="s">
        <v>44</v>
      </c>
      <c r="B23" s="3" t="s">
        <v>93</v>
      </c>
      <c r="C23" s="3" t="s">
        <v>247</v>
      </c>
      <c r="D23" s="3" t="s">
        <v>248</v>
      </c>
      <c r="E23" s="12">
        <v>1</v>
      </c>
      <c r="F23" s="12" t="s">
        <v>244</v>
      </c>
      <c r="G23" s="12" t="s">
        <v>216</v>
      </c>
      <c r="H23" s="3" t="s">
        <v>37</v>
      </c>
      <c r="I23" s="4" t="s">
        <v>81</v>
      </c>
      <c r="J23" s="4" t="s">
        <v>93</v>
      </c>
      <c r="K23" s="5" t="s">
        <v>296</v>
      </c>
      <c r="L23" s="5" t="s">
        <v>94</v>
      </c>
      <c r="N23" s="5">
        <f>IF(OR($C23="",$C23="FID YOK"),"",IF(ISNUMBER(MATCH($C23,FA_ANA,0)),"",IF(COUNTIF($C$1:$C22,$C23)&gt;0,"",MAX($N$1:$N22)+1)))</f>
        <v>19</v>
      </c>
      <c r="S23" s="5">
        <f t="shared" si="0"/>
        <v>0</v>
      </c>
      <c r="X23" s="5" t="e">
        <f t="shared" si="1"/>
        <v>#REF!</v>
      </c>
      <c r="Y23" s="5" t="e">
        <f t="shared" si="2"/>
        <v>#REF!</v>
      </c>
      <c r="Z23" s="5">
        <f t="shared" si="3"/>
        <v>0</v>
      </c>
      <c r="AA23" s="5">
        <f t="shared" si="4"/>
        <v>0</v>
      </c>
      <c r="AB23" s="5" t="e">
        <f t="shared" si="5"/>
        <v>#REF!</v>
      </c>
      <c r="AC23" s="5">
        <f t="shared" si="6"/>
        <v>0</v>
      </c>
      <c r="AD23" s="5">
        <f t="shared" si="7"/>
        <v>0</v>
      </c>
      <c r="AE23" s="5">
        <f t="shared" si="8"/>
        <v>0</v>
      </c>
      <c r="AF23" s="5" t="e">
        <f t="shared" si="9"/>
        <v>#REF!</v>
      </c>
      <c r="AG23" s="5" t="e">
        <f>N($E23)*N(#REF!)</f>
        <v>#REF!</v>
      </c>
      <c r="AH23" s="5" t="e">
        <f t="shared" si="10"/>
        <v>#REF!</v>
      </c>
      <c r="AI23" s="5">
        <f t="shared" si="11"/>
        <v>0</v>
      </c>
    </row>
    <row r="24" spans="1:35" x14ac:dyDescent="0.25">
      <c r="A24" s="3" t="s">
        <v>44</v>
      </c>
      <c r="B24" s="3" t="s">
        <v>95</v>
      </c>
      <c r="C24" s="3" t="s">
        <v>277</v>
      </c>
      <c r="D24" s="3" t="s">
        <v>278</v>
      </c>
      <c r="E24" s="12">
        <v>6</v>
      </c>
      <c r="F24" s="12" t="s">
        <v>41</v>
      </c>
      <c r="G24" s="12" t="s">
        <v>216</v>
      </c>
      <c r="H24" s="3" t="s">
        <v>37</v>
      </c>
      <c r="I24" s="4" t="s">
        <v>81</v>
      </c>
      <c r="J24" s="4" t="s">
        <v>95</v>
      </c>
      <c r="K24" s="5" t="s">
        <v>296</v>
      </c>
      <c r="L24" s="5" t="s">
        <v>96</v>
      </c>
      <c r="N24" s="5">
        <f>IF(OR($C24="",$C24="FID YOK"),"",IF(ISNUMBER(MATCH($C24,FA_ANA,0)),"",IF(COUNTIF($C$1:$C23,$C24)&gt;0,"",MAX($N$1:$N23)+1)))</f>
        <v>20</v>
      </c>
      <c r="S24" s="5">
        <f t="shared" si="0"/>
        <v>0</v>
      </c>
      <c r="X24" s="5">
        <f t="shared" si="1"/>
        <v>6</v>
      </c>
      <c r="Y24" s="5" t="e">
        <f t="shared" si="2"/>
        <v>#REF!</v>
      </c>
      <c r="Z24" s="5">
        <f t="shared" si="3"/>
        <v>0</v>
      </c>
      <c r="AA24" s="5">
        <f t="shared" si="4"/>
        <v>0</v>
      </c>
      <c r="AB24" s="5" t="e">
        <f t="shared" si="5"/>
        <v>#REF!</v>
      </c>
      <c r="AC24" s="5">
        <f t="shared" si="6"/>
        <v>0</v>
      </c>
      <c r="AD24" s="5">
        <f t="shared" si="7"/>
        <v>0</v>
      </c>
      <c r="AE24" s="5">
        <f t="shared" si="8"/>
        <v>0</v>
      </c>
      <c r="AF24" s="5" t="e">
        <f t="shared" si="9"/>
        <v>#REF!</v>
      </c>
      <c r="AG24" s="5" t="e">
        <f>N($E24)*N(#REF!)</f>
        <v>#REF!</v>
      </c>
      <c r="AH24" s="5" t="e">
        <f t="shared" si="10"/>
        <v>#REF!</v>
      </c>
      <c r="AI24" s="5">
        <f t="shared" si="11"/>
        <v>0</v>
      </c>
    </row>
    <row r="25" spans="1:35" x14ac:dyDescent="0.25">
      <c r="A25" s="3" t="s">
        <v>44</v>
      </c>
      <c r="B25" s="3" t="s">
        <v>95</v>
      </c>
      <c r="C25" s="3" t="s">
        <v>261</v>
      </c>
      <c r="D25" s="3" t="s">
        <v>262</v>
      </c>
      <c r="E25" s="12">
        <v>2</v>
      </c>
      <c r="F25" s="12" t="s">
        <v>41</v>
      </c>
      <c r="G25" s="12" t="s">
        <v>216</v>
      </c>
      <c r="H25" s="3" t="s">
        <v>37</v>
      </c>
      <c r="I25" s="4" t="s">
        <v>81</v>
      </c>
      <c r="J25" s="4" t="s">
        <v>95</v>
      </c>
      <c r="K25" s="5" t="s">
        <v>296</v>
      </c>
      <c r="L25" s="5" t="s">
        <v>97</v>
      </c>
      <c r="N25" s="5">
        <f>IF(OR($C25="",$C25="FID YOK"),"",IF(ISNUMBER(MATCH($C25,FA_ANA,0)),"",IF(COUNTIF($C$1:$C24,$C25)&gt;0,"",MAX($N$1:$N24)+1)))</f>
        <v>21</v>
      </c>
      <c r="S25" s="5">
        <f t="shared" si="0"/>
        <v>0</v>
      </c>
      <c r="X25" s="5">
        <f t="shared" si="1"/>
        <v>2</v>
      </c>
      <c r="Y25" s="5" t="e">
        <f t="shared" si="2"/>
        <v>#REF!</v>
      </c>
      <c r="Z25" s="5">
        <f t="shared" si="3"/>
        <v>0</v>
      </c>
      <c r="AA25" s="5">
        <f t="shared" si="4"/>
        <v>0</v>
      </c>
      <c r="AB25" s="5" t="e">
        <f t="shared" si="5"/>
        <v>#REF!</v>
      </c>
      <c r="AC25" s="5">
        <f t="shared" si="6"/>
        <v>0</v>
      </c>
      <c r="AD25" s="5">
        <f t="shared" si="7"/>
        <v>0</v>
      </c>
      <c r="AE25" s="5">
        <f t="shared" si="8"/>
        <v>0</v>
      </c>
      <c r="AF25" s="5" t="e">
        <f t="shared" si="9"/>
        <v>#REF!</v>
      </c>
      <c r="AG25" s="5" t="e">
        <f>N($E25)*N(#REF!)</f>
        <v>#REF!</v>
      </c>
      <c r="AH25" s="5" t="e">
        <f t="shared" si="10"/>
        <v>#REF!</v>
      </c>
      <c r="AI25" s="5">
        <f t="shared" si="11"/>
        <v>0</v>
      </c>
    </row>
    <row r="26" spans="1:35" x14ac:dyDescent="0.25">
      <c r="A26" s="3" t="s">
        <v>44</v>
      </c>
      <c r="B26" s="3" t="s">
        <v>98</v>
      </c>
      <c r="C26" s="3" t="s">
        <v>279</v>
      </c>
      <c r="D26" s="3" t="s">
        <v>280</v>
      </c>
      <c r="E26" s="12">
        <v>1</v>
      </c>
      <c r="F26" s="12" t="s">
        <v>244</v>
      </c>
      <c r="G26" s="12" t="s">
        <v>216</v>
      </c>
      <c r="H26" s="3" t="s">
        <v>37</v>
      </c>
      <c r="I26" s="4" t="s">
        <v>81</v>
      </c>
      <c r="J26" s="4" t="s">
        <v>98</v>
      </c>
      <c r="K26" s="5" t="s">
        <v>296</v>
      </c>
      <c r="L26" s="5" t="s">
        <v>99</v>
      </c>
      <c r="N26" s="5">
        <f>IF(OR($C26="",$C26="FID YOK"),"",IF(ISNUMBER(MATCH($C26,FA_ANA,0)),"",IF(COUNTIF($C$1:$C25,$C26)&gt;0,"",MAX($N$1:$N25)+1)))</f>
        <v>22</v>
      </c>
      <c r="S26" s="5">
        <f t="shared" si="0"/>
        <v>0</v>
      </c>
      <c r="X26" s="5" t="e">
        <f t="shared" si="1"/>
        <v>#REF!</v>
      </c>
      <c r="Y26" s="5" t="e">
        <f t="shared" si="2"/>
        <v>#REF!</v>
      </c>
      <c r="Z26" s="5">
        <f t="shared" si="3"/>
        <v>0</v>
      </c>
      <c r="AA26" s="5">
        <f t="shared" si="4"/>
        <v>0</v>
      </c>
      <c r="AB26" s="5" t="e">
        <f t="shared" si="5"/>
        <v>#REF!</v>
      </c>
      <c r="AC26" s="5">
        <f t="shared" si="6"/>
        <v>0</v>
      </c>
      <c r="AD26" s="5">
        <f t="shared" si="7"/>
        <v>0</v>
      </c>
      <c r="AE26" s="5">
        <f t="shared" si="8"/>
        <v>0</v>
      </c>
      <c r="AF26" s="5" t="e">
        <f t="shared" si="9"/>
        <v>#REF!</v>
      </c>
      <c r="AG26" s="5" t="e">
        <f>N($E26)*N(#REF!)</f>
        <v>#REF!</v>
      </c>
      <c r="AH26" s="5" t="e">
        <f t="shared" si="10"/>
        <v>#REF!</v>
      </c>
      <c r="AI26" s="5">
        <f t="shared" si="11"/>
        <v>0</v>
      </c>
    </row>
    <row r="27" spans="1:35" x14ac:dyDescent="0.25">
      <c r="A27" s="3" t="s">
        <v>44</v>
      </c>
      <c r="B27" s="3" t="s">
        <v>40</v>
      </c>
      <c r="C27" s="3" t="s">
        <v>40</v>
      </c>
      <c r="D27" s="3" t="s">
        <v>40</v>
      </c>
      <c r="E27" s="12">
        <v>1</v>
      </c>
      <c r="F27" s="12" t="s">
        <v>41</v>
      </c>
      <c r="G27" s="12" t="s">
        <v>40</v>
      </c>
      <c r="H27" s="3" t="s">
        <v>37</v>
      </c>
    </row>
    <row r="28" spans="1:35" x14ac:dyDescent="0.25">
      <c r="A28" s="3" t="s">
        <v>44</v>
      </c>
      <c r="B28" s="3" t="s">
        <v>42</v>
      </c>
      <c r="C28" s="3" t="s">
        <v>42</v>
      </c>
      <c r="D28" s="3" t="s">
        <v>42</v>
      </c>
      <c r="E28" s="12">
        <v>565.20000000000005</v>
      </c>
      <c r="F28" s="12" t="s">
        <v>43</v>
      </c>
      <c r="G28" s="12" t="s">
        <v>42</v>
      </c>
      <c r="H28" s="3" t="s">
        <v>37</v>
      </c>
    </row>
    <row r="29" spans="1:35" x14ac:dyDescent="0.25">
      <c r="A29" s="3" t="s">
        <v>44</v>
      </c>
      <c r="B29" s="6"/>
      <c r="C29" s="6"/>
      <c r="D29" s="6"/>
      <c r="E29" s="13"/>
      <c r="F29" s="13"/>
      <c r="G29" s="13"/>
      <c r="H29" s="3" t="s">
        <v>37</v>
      </c>
      <c r="K29" s="4" t="s">
        <v>298</v>
      </c>
      <c r="L29" s="4" t="s">
        <v>299</v>
      </c>
    </row>
    <row r="30" spans="1:35" x14ac:dyDescent="0.25">
      <c r="A30" s="1" t="s">
        <v>100</v>
      </c>
      <c r="B30" s="2"/>
      <c r="C30" s="2"/>
      <c r="D30" s="1" t="s">
        <v>100</v>
      </c>
      <c r="E30" s="11">
        <v>1</v>
      </c>
      <c r="F30" s="11" t="s">
        <v>35</v>
      </c>
      <c r="G30" s="11" t="s">
        <v>36</v>
      </c>
      <c r="H30" s="1" t="s">
        <v>37</v>
      </c>
    </row>
    <row r="31" spans="1:35" x14ac:dyDescent="0.25">
      <c r="A31" s="3" t="s">
        <v>100</v>
      </c>
      <c r="B31" s="3" t="s">
        <v>45</v>
      </c>
      <c r="C31" s="3" t="s">
        <v>304</v>
      </c>
      <c r="D31" s="3" t="s">
        <v>303</v>
      </c>
      <c r="E31" s="12">
        <v>1</v>
      </c>
      <c r="F31" s="12" t="s">
        <v>41</v>
      </c>
      <c r="G31" s="12" t="s">
        <v>237</v>
      </c>
      <c r="H31" s="3" t="s">
        <v>37</v>
      </c>
      <c r="I31" s="4" t="s">
        <v>46</v>
      </c>
      <c r="J31" s="4" t="s">
        <v>101</v>
      </c>
      <c r="K31" s="5" t="s">
        <v>295</v>
      </c>
      <c r="L31" s="5" t="s">
        <v>102</v>
      </c>
      <c r="M31" s="5" t="s">
        <v>103</v>
      </c>
      <c r="N31" s="5">
        <f>IF(OR($C31="",$C31="FID YOK"),"",IF(ISNUMBER(MATCH($C31,FA_ANA,0)),"",IF(COUNTIF($C$1:$C30,$C31)&gt;0,"",MAX($N$1:$N30)+1)))</f>
        <v>23</v>
      </c>
      <c r="P31" s="5"/>
      <c r="Q31" s="5"/>
      <c r="R31" s="5"/>
      <c r="S31" s="5">
        <f t="shared" ref="S31:S49" si="19">IF(ISNA(MATCH($C31,FA,0)),0,IF($I31="GIRIS",N(INDEX(F_INKOR,MATCH($C31,FA,0))),0))</f>
        <v>0</v>
      </c>
      <c r="T31" s="5"/>
      <c r="U31" s="5"/>
      <c r="V31" s="5"/>
      <c r="W31" s="5"/>
      <c r="X31" s="5">
        <f t="shared" ref="X31:X49" si="20">N($E31)*IF($F31="упак",MAX(1,IF(ISNA(MATCH($C31,FA,0)),1,N(INDEX(F_PAKET,MATCH($C31,FA,0))))),1)</f>
        <v>1</v>
      </c>
      <c r="Y31" s="5" t="e">
        <f t="shared" ref="Y31:Y49" si="21">IF(ISNA(MATCH($C31,FA,0)),0,N(INDEX(F_BK,MATCH($C31,FA,0))))</f>
        <v>#REF!</v>
      </c>
      <c r="Z31" s="5" t="e">
        <f t="shared" ref="Z31:Z49" si="22">IF(OR(ISNA(MATCH($C31,FA,0)),$I31="YEDEK",$I31="SARF"),0,N($E31)*N(INDEX(F_TEL,MATCH($C31,FA,0))))</f>
        <v>#REF!</v>
      </c>
      <c r="AA31" s="5" t="e">
        <f t="shared" ref="AA31:AA49" si="23">IF(OR(ISNA(MATCH($C31,FA,0)),$I31="YEDEK",$I31="SARF"),0,N($E31)*N(INDEX(F_TELM,MATCH($C31,FA,0))))</f>
        <v>#REF!</v>
      </c>
      <c r="AB31" s="5" t="e">
        <f t="shared" ref="AB31:AB49" si="24">IF(ISNA(MATCH($C31,FA,0)),"",INDEX(F_UC,MATCH($C31,FA,0))&amp;"")</f>
        <v>#REF!</v>
      </c>
      <c r="AC31" s="5">
        <f t="shared" ref="AC31:AC49" si="25">IF(OR(ISNA(MATCH($C31,FA,0)),$I31&lt;&gt;"CIKIS"),0,N(INDEX(F_KK,MATCH($C31,FA,0))))</f>
        <v>0</v>
      </c>
      <c r="AD31" s="5">
        <f t="shared" ref="AD31:AD49" si="26">IF($AC31=0,0,N($E31)*N(INDEX(F_KLN,MATCH($C31,FA,0))))</f>
        <v>0</v>
      </c>
      <c r="AE31" s="5">
        <f t="shared" ref="AE31:AE49" si="27">IF($AC31=0,0,N($E31)*N(INDEX(F_KPE,MATCH($C31,FA,0))))</f>
        <v>0</v>
      </c>
      <c r="AF31" s="5" t="e">
        <f t="shared" ref="AF31:AF49" si="28">IF(ISNA(MATCH($C31,FA,0)),0,N($E31)*N(INDEX(F_MODUL,MATCH($C31,FA,0))))</f>
        <v>#REF!</v>
      </c>
      <c r="AG31" s="5" t="e">
        <f>N($E31)*N(#REF!)</f>
        <v>#REF!</v>
      </c>
      <c r="AH31" s="5" t="e">
        <f t="shared" ref="AH31:AH49" si="29">IF(ISNA(MATCH($J31,TIP_AD,0)),"YOK",IF(INDEX(NORM_DK,MATCH($J31,TIP_AD,0))="","BOŞ",INDEX(NORM_DK,MATCH($J31,TIP_AD,0))))</f>
        <v>#REF!</v>
      </c>
      <c r="AI31" s="5">
        <f t="shared" ref="AI31:AI49" si="30">IF(ISNUMBER($AH31),$X31*$AH31,0)</f>
        <v>0</v>
      </c>
    </row>
    <row r="32" spans="1:35" x14ac:dyDescent="0.25">
      <c r="A32" s="3" t="s">
        <v>100</v>
      </c>
      <c r="B32" s="3" t="s">
        <v>50</v>
      </c>
      <c r="C32" s="3" t="s">
        <v>184</v>
      </c>
      <c r="D32" s="3" t="s">
        <v>185</v>
      </c>
      <c r="E32" s="12">
        <v>1</v>
      </c>
      <c r="F32" s="12" t="s">
        <v>41</v>
      </c>
      <c r="G32" s="12" t="s">
        <v>179</v>
      </c>
      <c r="H32" s="3" t="s">
        <v>37</v>
      </c>
      <c r="I32" s="4" t="s">
        <v>51</v>
      </c>
      <c r="J32" s="4" t="s">
        <v>50</v>
      </c>
      <c r="K32" s="5" t="s">
        <v>295</v>
      </c>
      <c r="L32" s="5" t="s">
        <v>104</v>
      </c>
      <c r="M32" s="5" t="s">
        <v>105</v>
      </c>
      <c r="N32" s="5">
        <f>IF(OR($C32="",$C32="FID YOK"),"",IF(ISNUMBER(MATCH($C32,FA_ANA,0)),"",IF(COUNTIF($C$1:$C31,$C32)&gt;0,"",MAX($N$1:$N31)+1)))</f>
        <v>24</v>
      </c>
      <c r="O32" s="7">
        <v>1</v>
      </c>
      <c r="P32" s="5" t="e">
        <f t="shared" ref="P32:P38" si="31">IF(OR($O32="",$O32="G",ISNA(MATCH($C32,FA,0))),"",IF(N(INDEX(F_G,MATCH($C32,FA,0)))&gt;0,INDEX(F_G,MATCH($C32,FA,0)),IF(N(INDEX(F_MODUL,MATCH($C32,FA,0)))&gt;0,INDEX(F_MODUL,MATCH($C32,FA,0))*MODUL_MM,"")))</f>
        <v>#REF!</v>
      </c>
      <c r="Q32" s="5" t="e">
        <f t="shared" ref="Q32:Q38" si="32">IF(OR($O32="",$O32="G",ISNA(MATCH($C32,FA,0))),"",IF(N(INDEX(F_Y,MATCH($C32,FA,0)))&gt;0,INDEX(F_Y,MATCH($C32,FA,0)),""))</f>
        <v>#REF!</v>
      </c>
      <c r="R32" s="5" t="e">
        <f t="shared" ref="R32:R38" si="33">IF(OR($O32="",$O32="G",ISNA(MATCH($C32,FA,0))),"",IF(N(INDEX(F_D,MATCH($C32,FA,0)))&gt;0,INDEX(F_D,MATCH($C32,FA,0)),""))</f>
        <v>#REF!</v>
      </c>
      <c r="S32" s="5" t="e">
        <f t="shared" si="19"/>
        <v>#REF!</v>
      </c>
      <c r="T32" s="5" t="e">
        <f t="shared" ref="T32:T38" si="34">IF(ISNA(MATCH($B32,TIP_AD,0)),"",INDEX(TIP_KAT,MATCH($B32,TIP_AD,0))&amp;"")</f>
        <v>#REF!</v>
      </c>
      <c r="U32" s="5" t="e">
        <f t="shared" ref="U32:U38" si="35">IF(NOT(ISNUMBER($O32)),"",IF($Y32=0,0,IF(ISNA(MATCH($Y32,BUK_KESIT,0)),"",IF(INDEX(BUK_ALAN,MATCH($Y32,BUK_KESIT,0))&amp;""="","",INDEX(BUK_ALAN,MATCH($Y32,BUK_KESIT,0))))))</f>
        <v>#REF!</v>
      </c>
      <c r="V32" s="5" t="e">
        <f t="shared" ref="V32:V38" si="36">IF(OR(NOT(ISNUMBER($O32)),$P32=""),"",N($E32)*($P32+IF(ISNA(MATCH($B32,TIP_AD,0)),0,N(INDEX(TIP_BOSLUK,MATCH($B32,TIP_AD,0))))))</f>
        <v>#REF!</v>
      </c>
      <c r="W32" s="5" t="e">
        <f t="shared" ref="W32:W38" si="37">IF(ISNUMBER($O32),($P32="")+($Q32="")+($U32="")+IF(AND($T32="KONTAKTOR",NOT(ISNA(MATCH($B32,TIP_AD,0)))),IF(INDEX(TIP_BOSLUK,MATCH($B32,TIP_AD,0))&amp;""="",1,0),0),IF($O32="K",IF($R32="",1,0),0))</f>
        <v>#REF!</v>
      </c>
      <c r="X32" s="5">
        <f t="shared" si="20"/>
        <v>1</v>
      </c>
      <c r="Y32" s="5" t="e">
        <f t="shared" si="21"/>
        <v>#REF!</v>
      </c>
      <c r="Z32" s="5" t="e">
        <f t="shared" si="22"/>
        <v>#REF!</v>
      </c>
      <c r="AA32" s="5" t="e">
        <f t="shared" si="23"/>
        <v>#REF!</v>
      </c>
      <c r="AB32" s="5" t="e">
        <f t="shared" si="24"/>
        <v>#REF!</v>
      </c>
      <c r="AC32" s="5">
        <f t="shared" si="25"/>
        <v>0</v>
      </c>
      <c r="AD32" s="5">
        <f t="shared" si="26"/>
        <v>0</v>
      </c>
      <c r="AE32" s="5">
        <f t="shared" si="27"/>
        <v>0</v>
      </c>
      <c r="AF32" s="5" t="e">
        <f t="shared" si="28"/>
        <v>#REF!</v>
      </c>
      <c r="AG32" s="5" t="e">
        <f>N($E32)*N(#REF!)</f>
        <v>#REF!</v>
      </c>
      <c r="AH32" s="5" t="e">
        <f t="shared" si="29"/>
        <v>#REF!</v>
      </c>
      <c r="AI32" s="5">
        <f t="shared" si="30"/>
        <v>0</v>
      </c>
    </row>
    <row r="33" spans="1:35" x14ac:dyDescent="0.25">
      <c r="A33" s="3" t="s">
        <v>100</v>
      </c>
      <c r="B33" s="3" t="s">
        <v>54</v>
      </c>
      <c r="C33" s="3" t="s">
        <v>198</v>
      </c>
      <c r="D33" s="3" t="s">
        <v>199</v>
      </c>
      <c r="E33" s="12">
        <v>1</v>
      </c>
      <c r="F33" s="12" t="s">
        <v>41</v>
      </c>
      <c r="G33" s="12" t="s">
        <v>179</v>
      </c>
      <c r="H33" s="3" t="s">
        <v>37</v>
      </c>
      <c r="I33" s="4" t="s">
        <v>55</v>
      </c>
      <c r="J33" s="4" t="s">
        <v>54</v>
      </c>
      <c r="K33" s="5" t="s">
        <v>295</v>
      </c>
      <c r="L33" s="5" t="s">
        <v>106</v>
      </c>
      <c r="M33" s="5" t="s">
        <v>57</v>
      </c>
      <c r="N33" s="5" t="str">
        <f>IF(OR($C33="",$C33="FID YOK"),"",IF(ISNUMBER(MATCH($C33,FA_ANA,0)),"",IF(COUNTIF($C$1:$C32,$C33)&gt;0,"",MAX($N$1:$N32)+1)))</f>
        <v/>
      </c>
      <c r="O33" s="7">
        <v>2</v>
      </c>
      <c r="P33" s="5" t="e">
        <f t="shared" si="31"/>
        <v>#REF!</v>
      </c>
      <c r="Q33" s="5" t="e">
        <f t="shared" si="32"/>
        <v>#REF!</v>
      </c>
      <c r="R33" s="5" t="e">
        <f t="shared" si="33"/>
        <v>#REF!</v>
      </c>
      <c r="S33" s="5">
        <f t="shared" si="19"/>
        <v>0</v>
      </c>
      <c r="T33" s="5" t="e">
        <f t="shared" si="34"/>
        <v>#REF!</v>
      </c>
      <c r="U33" s="5" t="e">
        <f t="shared" si="35"/>
        <v>#REF!</v>
      </c>
      <c r="V33" s="5" t="e">
        <f t="shared" si="36"/>
        <v>#REF!</v>
      </c>
      <c r="W33" s="5" t="e">
        <f t="shared" si="37"/>
        <v>#REF!</v>
      </c>
      <c r="X33" s="5">
        <f t="shared" si="20"/>
        <v>1</v>
      </c>
      <c r="Y33" s="5" t="e">
        <f t="shared" si="21"/>
        <v>#REF!</v>
      </c>
      <c r="Z33" s="5" t="e">
        <f t="shared" si="22"/>
        <v>#REF!</v>
      </c>
      <c r="AA33" s="5" t="e">
        <f t="shared" si="23"/>
        <v>#REF!</v>
      </c>
      <c r="AB33" s="5" t="e">
        <f t="shared" si="24"/>
        <v>#REF!</v>
      </c>
      <c r="AC33" s="5">
        <f t="shared" si="25"/>
        <v>0</v>
      </c>
      <c r="AD33" s="5">
        <f t="shared" si="26"/>
        <v>0</v>
      </c>
      <c r="AE33" s="5">
        <f t="shared" si="27"/>
        <v>0</v>
      </c>
      <c r="AF33" s="5" t="e">
        <f t="shared" si="28"/>
        <v>#REF!</v>
      </c>
      <c r="AG33" s="5" t="e">
        <f>N($E33)*N(#REF!)</f>
        <v>#REF!</v>
      </c>
      <c r="AH33" s="5" t="e">
        <f t="shared" si="29"/>
        <v>#REF!</v>
      </c>
      <c r="AI33" s="5">
        <f t="shared" si="30"/>
        <v>0</v>
      </c>
    </row>
    <row r="34" spans="1:35" x14ac:dyDescent="0.25">
      <c r="A34" s="3" t="s">
        <v>100</v>
      </c>
      <c r="B34" s="3" t="s">
        <v>107</v>
      </c>
      <c r="C34" s="3" t="s">
        <v>206</v>
      </c>
      <c r="D34" s="3" t="s">
        <v>207</v>
      </c>
      <c r="E34" s="12">
        <v>1</v>
      </c>
      <c r="F34" s="12" t="s">
        <v>41</v>
      </c>
      <c r="G34" s="12" t="s">
        <v>179</v>
      </c>
      <c r="H34" s="3" t="s">
        <v>37</v>
      </c>
      <c r="I34" s="4" t="s">
        <v>39</v>
      </c>
      <c r="J34" s="4" t="s">
        <v>107</v>
      </c>
      <c r="K34" s="5" t="s">
        <v>295</v>
      </c>
      <c r="L34" s="5" t="s">
        <v>108</v>
      </c>
      <c r="M34" s="5" t="s">
        <v>109</v>
      </c>
      <c r="N34" s="5">
        <f>IF(OR($C34="",$C34="FID YOK"),"",IF(ISNUMBER(MATCH($C34,FA_ANA,0)),"",IF(COUNTIF($C$1:$C33,$C34)&gt;0,"",MAX($N$1:$N33)+1)))</f>
        <v>25</v>
      </c>
      <c r="O34" s="7">
        <v>2</v>
      </c>
      <c r="P34" s="5" t="e">
        <f t="shared" si="31"/>
        <v>#REF!</v>
      </c>
      <c r="Q34" s="5" t="e">
        <f t="shared" si="32"/>
        <v>#REF!</v>
      </c>
      <c r="R34" s="5" t="e">
        <f t="shared" si="33"/>
        <v>#REF!</v>
      </c>
      <c r="S34" s="5">
        <f t="shared" si="19"/>
        <v>0</v>
      </c>
      <c r="T34" s="5" t="e">
        <f t="shared" si="34"/>
        <v>#REF!</v>
      </c>
      <c r="U34" s="5" t="e">
        <f t="shared" si="35"/>
        <v>#REF!</v>
      </c>
      <c r="V34" s="5" t="e">
        <f t="shared" si="36"/>
        <v>#REF!</v>
      </c>
      <c r="W34" s="5" t="e">
        <f t="shared" si="37"/>
        <v>#REF!</v>
      </c>
      <c r="X34" s="5">
        <f t="shared" si="20"/>
        <v>1</v>
      </c>
      <c r="Y34" s="5" t="e">
        <f t="shared" si="21"/>
        <v>#REF!</v>
      </c>
      <c r="Z34" s="5" t="e">
        <f t="shared" si="22"/>
        <v>#REF!</v>
      </c>
      <c r="AA34" s="5" t="e">
        <f t="shared" si="23"/>
        <v>#REF!</v>
      </c>
      <c r="AB34" s="5" t="e">
        <f t="shared" si="24"/>
        <v>#REF!</v>
      </c>
      <c r="AC34" s="5" t="e">
        <f t="shared" si="25"/>
        <v>#REF!</v>
      </c>
      <c r="AD34" s="5" t="e">
        <f t="shared" si="26"/>
        <v>#REF!</v>
      </c>
      <c r="AE34" s="5" t="e">
        <f t="shared" si="27"/>
        <v>#REF!</v>
      </c>
      <c r="AF34" s="5" t="e">
        <f t="shared" si="28"/>
        <v>#REF!</v>
      </c>
      <c r="AG34" s="5" t="e">
        <f>N($E34)*N(#REF!)</f>
        <v>#REF!</v>
      </c>
      <c r="AH34" s="5" t="e">
        <f t="shared" si="29"/>
        <v>#REF!</v>
      </c>
      <c r="AI34" s="5">
        <f t="shared" si="30"/>
        <v>0</v>
      </c>
    </row>
    <row r="35" spans="1:35" x14ac:dyDescent="0.25">
      <c r="A35" s="3" t="s">
        <v>100</v>
      </c>
      <c r="B35" s="3" t="s">
        <v>110</v>
      </c>
      <c r="C35" s="3" t="s">
        <v>210</v>
      </c>
      <c r="D35" s="3" t="s">
        <v>211</v>
      </c>
      <c r="E35" s="12">
        <v>1</v>
      </c>
      <c r="F35" s="12" t="s">
        <v>41</v>
      </c>
      <c r="G35" s="12" t="s">
        <v>179</v>
      </c>
      <c r="H35" s="3" t="s">
        <v>37</v>
      </c>
      <c r="I35" s="4" t="s">
        <v>55</v>
      </c>
      <c r="J35" s="4" t="s">
        <v>110</v>
      </c>
      <c r="K35" s="5" t="s">
        <v>295</v>
      </c>
      <c r="L35" s="5" t="s">
        <v>111</v>
      </c>
      <c r="M35" s="5" t="s">
        <v>112</v>
      </c>
      <c r="N35" s="5">
        <f>IF(OR($C35="",$C35="FID YOK"),"",IF(ISNUMBER(MATCH($C35,FA_ANA,0)),"",IF(COUNTIF($C$1:$C34,$C35)&gt;0,"",MAX($N$1:$N34)+1)))</f>
        <v>26</v>
      </c>
      <c r="O35" s="7">
        <v>2</v>
      </c>
      <c r="P35" s="5" t="e">
        <f t="shared" si="31"/>
        <v>#REF!</v>
      </c>
      <c r="Q35" s="5" t="e">
        <f t="shared" si="32"/>
        <v>#REF!</v>
      </c>
      <c r="R35" s="5" t="e">
        <f t="shared" si="33"/>
        <v>#REF!</v>
      </c>
      <c r="S35" s="5">
        <f t="shared" si="19"/>
        <v>0</v>
      </c>
      <c r="T35" s="5" t="e">
        <f t="shared" si="34"/>
        <v>#REF!</v>
      </c>
      <c r="U35" s="5" t="e">
        <f t="shared" si="35"/>
        <v>#REF!</v>
      </c>
      <c r="V35" s="5" t="e">
        <f t="shared" si="36"/>
        <v>#REF!</v>
      </c>
      <c r="W35" s="5" t="e">
        <f t="shared" si="37"/>
        <v>#REF!</v>
      </c>
      <c r="X35" s="5">
        <f t="shared" si="20"/>
        <v>1</v>
      </c>
      <c r="Y35" s="5" t="e">
        <f t="shared" si="21"/>
        <v>#REF!</v>
      </c>
      <c r="Z35" s="5" t="e">
        <f t="shared" si="22"/>
        <v>#REF!</v>
      </c>
      <c r="AA35" s="5" t="e">
        <f t="shared" si="23"/>
        <v>#REF!</v>
      </c>
      <c r="AB35" s="5" t="e">
        <f t="shared" si="24"/>
        <v>#REF!</v>
      </c>
      <c r="AC35" s="5">
        <f t="shared" si="25"/>
        <v>0</v>
      </c>
      <c r="AD35" s="5">
        <f t="shared" si="26"/>
        <v>0</v>
      </c>
      <c r="AE35" s="5">
        <f t="shared" si="27"/>
        <v>0</v>
      </c>
      <c r="AF35" s="5" t="e">
        <f t="shared" si="28"/>
        <v>#REF!</v>
      </c>
      <c r="AG35" s="5" t="e">
        <f>N($E35)*N(#REF!)</f>
        <v>#REF!</v>
      </c>
      <c r="AH35" s="5" t="e">
        <f t="shared" si="29"/>
        <v>#REF!</v>
      </c>
      <c r="AI35" s="5">
        <f t="shared" si="30"/>
        <v>0</v>
      </c>
    </row>
    <row r="36" spans="1:35" x14ac:dyDescent="0.25">
      <c r="A36" s="3" t="s">
        <v>100</v>
      </c>
      <c r="B36" s="3" t="s">
        <v>64</v>
      </c>
      <c r="C36" s="3" t="s">
        <v>221</v>
      </c>
      <c r="D36" s="3" t="s">
        <v>222</v>
      </c>
      <c r="E36" s="12">
        <v>1</v>
      </c>
      <c r="F36" s="12" t="s">
        <v>41</v>
      </c>
      <c r="G36" s="12" t="s">
        <v>179</v>
      </c>
      <c r="H36" s="3" t="s">
        <v>37</v>
      </c>
      <c r="I36" s="4" t="s">
        <v>55</v>
      </c>
      <c r="J36" s="4" t="s">
        <v>64</v>
      </c>
      <c r="K36" s="5" t="s">
        <v>295</v>
      </c>
      <c r="L36" s="5" t="s">
        <v>113</v>
      </c>
      <c r="M36" s="5" t="s">
        <v>66</v>
      </c>
      <c r="N36" s="5" t="str">
        <f>IF(OR($C36="",$C36="FID YOK"),"",IF(ISNUMBER(MATCH($C36,FA_ANA,0)),"",IF(COUNTIF($C$1:$C35,$C36)&gt;0,"",MAX($N$1:$N35)+1)))</f>
        <v/>
      </c>
      <c r="O36" s="7" t="s">
        <v>63</v>
      </c>
      <c r="P36" s="5" t="e">
        <f t="shared" si="31"/>
        <v>#REF!</v>
      </c>
      <c r="Q36" s="5" t="e">
        <f t="shared" si="32"/>
        <v>#REF!</v>
      </c>
      <c r="R36" s="5" t="e">
        <f t="shared" si="33"/>
        <v>#REF!</v>
      </c>
      <c r="S36" s="5">
        <f t="shared" si="19"/>
        <v>0</v>
      </c>
      <c r="T36" s="5" t="e">
        <f t="shared" si="34"/>
        <v>#REF!</v>
      </c>
      <c r="U36" s="5" t="str">
        <f t="shared" si="35"/>
        <v/>
      </c>
      <c r="V36" s="5" t="e">
        <f t="shared" si="36"/>
        <v>#REF!</v>
      </c>
      <c r="W36" s="5" t="e">
        <f t="shared" si="37"/>
        <v>#REF!</v>
      </c>
      <c r="X36" s="5">
        <f t="shared" si="20"/>
        <v>1</v>
      </c>
      <c r="Y36" s="5" t="e">
        <f t="shared" si="21"/>
        <v>#REF!</v>
      </c>
      <c r="Z36" s="5" t="e">
        <f t="shared" si="22"/>
        <v>#REF!</v>
      </c>
      <c r="AA36" s="5" t="e">
        <f t="shared" si="23"/>
        <v>#REF!</v>
      </c>
      <c r="AB36" s="5" t="e">
        <f t="shared" si="24"/>
        <v>#REF!</v>
      </c>
      <c r="AC36" s="5">
        <f t="shared" si="25"/>
        <v>0</v>
      </c>
      <c r="AD36" s="5">
        <f t="shared" si="26"/>
        <v>0</v>
      </c>
      <c r="AE36" s="5">
        <f t="shared" si="27"/>
        <v>0</v>
      </c>
      <c r="AF36" s="5" t="e">
        <f t="shared" si="28"/>
        <v>#REF!</v>
      </c>
      <c r="AG36" s="5" t="e">
        <f>N($E36)*N(#REF!)</f>
        <v>#REF!</v>
      </c>
      <c r="AH36" s="5" t="e">
        <f t="shared" si="29"/>
        <v>#REF!</v>
      </c>
      <c r="AI36" s="5">
        <f t="shared" si="30"/>
        <v>0</v>
      </c>
    </row>
    <row r="37" spans="1:35" x14ac:dyDescent="0.25">
      <c r="A37" s="3" t="s">
        <v>100</v>
      </c>
      <c r="B37" s="3" t="s">
        <v>64</v>
      </c>
      <c r="C37" s="3" t="s">
        <v>219</v>
      </c>
      <c r="D37" s="3" t="s">
        <v>220</v>
      </c>
      <c r="E37" s="12">
        <v>1</v>
      </c>
      <c r="F37" s="12" t="s">
        <v>41</v>
      </c>
      <c r="G37" s="12" t="s">
        <v>179</v>
      </c>
      <c r="H37" s="3" t="s">
        <v>37</v>
      </c>
      <c r="I37" s="4" t="s">
        <v>55</v>
      </c>
      <c r="J37" s="4" t="s">
        <v>64</v>
      </c>
      <c r="K37" s="5" t="s">
        <v>295</v>
      </c>
      <c r="L37" s="5" t="s">
        <v>114</v>
      </c>
      <c r="M37" s="5" t="s">
        <v>68</v>
      </c>
      <c r="N37" s="5" t="str">
        <f>IF(OR($C37="",$C37="FID YOK"),"",IF(ISNUMBER(MATCH($C37,FA_ANA,0)),"",IF(COUNTIF($C$1:$C36,$C37)&gt;0,"",MAX($N$1:$N36)+1)))</f>
        <v/>
      </c>
      <c r="O37" s="7" t="s">
        <v>63</v>
      </c>
      <c r="P37" s="5" t="e">
        <f t="shared" si="31"/>
        <v>#REF!</v>
      </c>
      <c r="Q37" s="5" t="e">
        <f t="shared" si="32"/>
        <v>#REF!</v>
      </c>
      <c r="R37" s="5" t="e">
        <f t="shared" si="33"/>
        <v>#REF!</v>
      </c>
      <c r="S37" s="5">
        <f t="shared" si="19"/>
        <v>0</v>
      </c>
      <c r="T37" s="5" t="e">
        <f t="shared" si="34"/>
        <v>#REF!</v>
      </c>
      <c r="U37" s="5" t="str">
        <f t="shared" si="35"/>
        <v/>
      </c>
      <c r="V37" s="5" t="e">
        <f t="shared" si="36"/>
        <v>#REF!</v>
      </c>
      <c r="W37" s="5" t="e">
        <f t="shared" si="37"/>
        <v>#REF!</v>
      </c>
      <c r="X37" s="5">
        <f t="shared" si="20"/>
        <v>1</v>
      </c>
      <c r="Y37" s="5" t="e">
        <f t="shared" si="21"/>
        <v>#REF!</v>
      </c>
      <c r="Z37" s="5" t="e">
        <f t="shared" si="22"/>
        <v>#REF!</v>
      </c>
      <c r="AA37" s="5" t="e">
        <f t="shared" si="23"/>
        <v>#REF!</v>
      </c>
      <c r="AB37" s="5" t="e">
        <f t="shared" si="24"/>
        <v>#REF!</v>
      </c>
      <c r="AC37" s="5">
        <f t="shared" si="25"/>
        <v>0</v>
      </c>
      <c r="AD37" s="5">
        <f t="shared" si="26"/>
        <v>0</v>
      </c>
      <c r="AE37" s="5">
        <f t="shared" si="27"/>
        <v>0</v>
      </c>
      <c r="AF37" s="5" t="e">
        <f t="shared" si="28"/>
        <v>#REF!</v>
      </c>
      <c r="AG37" s="5" t="e">
        <f>N($E37)*N(#REF!)</f>
        <v>#REF!</v>
      </c>
      <c r="AH37" s="5" t="e">
        <f t="shared" si="29"/>
        <v>#REF!</v>
      </c>
      <c r="AI37" s="5">
        <f t="shared" si="30"/>
        <v>0</v>
      </c>
    </row>
    <row r="38" spans="1:35" x14ac:dyDescent="0.25">
      <c r="A38" s="3" t="s">
        <v>100</v>
      </c>
      <c r="B38" s="3" t="s">
        <v>69</v>
      </c>
      <c r="C38" s="3" t="s">
        <v>225</v>
      </c>
      <c r="D38" s="3" t="s">
        <v>226</v>
      </c>
      <c r="E38" s="12">
        <v>1</v>
      </c>
      <c r="F38" s="12" t="s">
        <v>41</v>
      </c>
      <c r="G38" s="12" t="s">
        <v>179</v>
      </c>
      <c r="H38" s="3" t="s">
        <v>37</v>
      </c>
      <c r="I38" s="4" t="s">
        <v>55</v>
      </c>
      <c r="J38" s="4" t="s">
        <v>69</v>
      </c>
      <c r="K38" s="5" t="s">
        <v>295</v>
      </c>
      <c r="L38" s="5" t="s">
        <v>72</v>
      </c>
      <c r="M38" s="5" t="s">
        <v>73</v>
      </c>
      <c r="N38" s="5" t="str">
        <f>IF(OR($C38="",$C38="FID YOK"),"",IF(ISNUMBER(MATCH($C38,FA_ANA,0)),"",IF(COUNTIF($C$1:$C37,$C38)&gt;0,"",MAX($N$1:$N37)+1)))</f>
        <v/>
      </c>
      <c r="O38" s="7" t="s">
        <v>63</v>
      </c>
      <c r="P38" s="5" t="e">
        <f t="shared" si="31"/>
        <v>#REF!</v>
      </c>
      <c r="Q38" s="5" t="e">
        <f t="shared" si="32"/>
        <v>#REF!</v>
      </c>
      <c r="R38" s="5" t="e">
        <f t="shared" si="33"/>
        <v>#REF!</v>
      </c>
      <c r="S38" s="5">
        <f t="shared" si="19"/>
        <v>0</v>
      </c>
      <c r="T38" s="5" t="e">
        <f t="shared" si="34"/>
        <v>#REF!</v>
      </c>
      <c r="U38" s="5" t="str">
        <f t="shared" si="35"/>
        <v/>
      </c>
      <c r="V38" s="5" t="e">
        <f t="shared" si="36"/>
        <v>#REF!</v>
      </c>
      <c r="W38" s="5" t="e">
        <f t="shared" si="37"/>
        <v>#REF!</v>
      </c>
      <c r="X38" s="5">
        <f t="shared" si="20"/>
        <v>1</v>
      </c>
      <c r="Y38" s="5" t="e">
        <f t="shared" si="21"/>
        <v>#REF!</v>
      </c>
      <c r="Z38" s="5" t="e">
        <f t="shared" si="22"/>
        <v>#REF!</v>
      </c>
      <c r="AA38" s="5" t="e">
        <f t="shared" si="23"/>
        <v>#REF!</v>
      </c>
      <c r="AB38" s="5" t="e">
        <f t="shared" si="24"/>
        <v>#REF!</v>
      </c>
      <c r="AC38" s="5">
        <f t="shared" si="25"/>
        <v>0</v>
      </c>
      <c r="AD38" s="5">
        <f t="shared" si="26"/>
        <v>0</v>
      </c>
      <c r="AE38" s="5">
        <f t="shared" si="27"/>
        <v>0</v>
      </c>
      <c r="AF38" s="5" t="e">
        <f t="shared" si="28"/>
        <v>#REF!</v>
      </c>
      <c r="AG38" s="5" t="e">
        <f>N($E38)*N(#REF!)</f>
        <v>#REF!</v>
      </c>
      <c r="AH38" s="5" t="e">
        <f t="shared" si="29"/>
        <v>#REF!</v>
      </c>
      <c r="AI38" s="5">
        <f t="shared" si="30"/>
        <v>0</v>
      </c>
    </row>
    <row r="39" spans="1:35" x14ac:dyDescent="0.25">
      <c r="A39" s="3" t="s">
        <v>100</v>
      </c>
      <c r="B39" s="3" t="s">
        <v>115</v>
      </c>
      <c r="C39" s="3" t="s">
        <v>285</v>
      </c>
      <c r="D39" s="3" t="s">
        <v>286</v>
      </c>
      <c r="E39" s="12">
        <v>1</v>
      </c>
      <c r="F39" s="12" t="s">
        <v>41</v>
      </c>
      <c r="G39" s="12" t="s">
        <v>216</v>
      </c>
      <c r="H39" s="3" t="s">
        <v>37</v>
      </c>
      <c r="I39" s="4" t="s">
        <v>81</v>
      </c>
      <c r="J39" s="4" t="s">
        <v>115</v>
      </c>
      <c r="K39" s="5" t="s">
        <v>296</v>
      </c>
      <c r="L39" s="5" t="s">
        <v>116</v>
      </c>
      <c r="N39" s="5">
        <f>IF(OR($C39="",$C39="FID YOK"),"",IF(ISNUMBER(MATCH($C39,FA_ANA,0)),"",IF(COUNTIF($C$1:$C38,$C39)&gt;0,"",MAX($N$1:$N38)+1)))</f>
        <v>27</v>
      </c>
      <c r="S39" s="5">
        <f t="shared" si="19"/>
        <v>0</v>
      </c>
      <c r="X39" s="5">
        <f t="shared" si="20"/>
        <v>1</v>
      </c>
      <c r="Y39" s="5" t="e">
        <f t="shared" si="21"/>
        <v>#REF!</v>
      </c>
      <c r="Z39" s="5">
        <f t="shared" si="22"/>
        <v>0</v>
      </c>
      <c r="AA39" s="5">
        <f t="shared" si="23"/>
        <v>0</v>
      </c>
      <c r="AB39" s="5" t="e">
        <f t="shared" si="24"/>
        <v>#REF!</v>
      </c>
      <c r="AC39" s="5">
        <f t="shared" si="25"/>
        <v>0</v>
      </c>
      <c r="AD39" s="5">
        <f t="shared" si="26"/>
        <v>0</v>
      </c>
      <c r="AE39" s="5">
        <f t="shared" si="27"/>
        <v>0</v>
      </c>
      <c r="AF39" s="5" t="e">
        <f t="shared" si="28"/>
        <v>#REF!</v>
      </c>
      <c r="AG39" s="5" t="e">
        <f>N($E39)*N(#REF!)</f>
        <v>#REF!</v>
      </c>
      <c r="AH39" s="5" t="e">
        <f t="shared" si="29"/>
        <v>#REF!</v>
      </c>
      <c r="AI39" s="5">
        <f t="shared" si="30"/>
        <v>0</v>
      </c>
    </row>
    <row r="40" spans="1:35" x14ac:dyDescent="0.25">
      <c r="A40" s="3" t="s">
        <v>100</v>
      </c>
      <c r="B40" s="3" t="s">
        <v>115</v>
      </c>
      <c r="C40" s="3" t="s">
        <v>283</v>
      </c>
      <c r="D40" s="3" t="s">
        <v>284</v>
      </c>
      <c r="E40" s="12">
        <v>1</v>
      </c>
      <c r="F40" s="12" t="s">
        <v>41</v>
      </c>
      <c r="G40" s="12" t="s">
        <v>216</v>
      </c>
      <c r="H40" s="3" t="s">
        <v>37</v>
      </c>
      <c r="I40" s="4" t="s">
        <v>81</v>
      </c>
      <c r="J40" s="4" t="s">
        <v>115</v>
      </c>
      <c r="K40" s="5" t="s">
        <v>296</v>
      </c>
      <c r="L40" s="5" t="s">
        <v>117</v>
      </c>
      <c r="N40" s="5">
        <f>IF(OR($C40="",$C40="FID YOK"),"",IF(ISNUMBER(MATCH($C40,FA_ANA,0)),"",IF(COUNTIF($C$1:$C39,$C40)&gt;0,"",MAX($N$1:$N39)+1)))</f>
        <v>28</v>
      </c>
      <c r="S40" s="5">
        <f t="shared" si="19"/>
        <v>0</v>
      </c>
      <c r="X40" s="5">
        <f t="shared" si="20"/>
        <v>1</v>
      </c>
      <c r="Y40" s="5" t="e">
        <f t="shared" si="21"/>
        <v>#REF!</v>
      </c>
      <c r="Z40" s="5">
        <f t="shared" si="22"/>
        <v>0</v>
      </c>
      <c r="AA40" s="5">
        <f t="shared" si="23"/>
        <v>0</v>
      </c>
      <c r="AB40" s="5" t="e">
        <f t="shared" si="24"/>
        <v>#REF!</v>
      </c>
      <c r="AC40" s="5">
        <f t="shared" si="25"/>
        <v>0</v>
      </c>
      <c r="AD40" s="5">
        <f t="shared" si="26"/>
        <v>0</v>
      </c>
      <c r="AE40" s="5">
        <f t="shared" si="27"/>
        <v>0</v>
      </c>
      <c r="AF40" s="5" t="e">
        <f t="shared" si="28"/>
        <v>#REF!</v>
      </c>
      <c r="AG40" s="5" t="e">
        <f>N($E40)*N(#REF!)</f>
        <v>#REF!</v>
      </c>
      <c r="AH40" s="5" t="e">
        <f t="shared" si="29"/>
        <v>#REF!</v>
      </c>
      <c r="AI40" s="5">
        <f t="shared" si="30"/>
        <v>0</v>
      </c>
    </row>
    <row r="41" spans="1:35" x14ac:dyDescent="0.25">
      <c r="A41" s="3" t="s">
        <v>100</v>
      </c>
      <c r="B41" s="3" t="s">
        <v>89</v>
      </c>
      <c r="C41" s="3" t="s">
        <v>245</v>
      </c>
      <c r="D41" s="3" t="s">
        <v>246</v>
      </c>
      <c r="E41" s="12">
        <v>9.1</v>
      </c>
      <c r="F41" s="12" t="s">
        <v>242</v>
      </c>
      <c r="G41" s="12" t="s">
        <v>243</v>
      </c>
      <c r="H41" s="3" t="s">
        <v>37</v>
      </c>
      <c r="I41" s="4" t="s">
        <v>81</v>
      </c>
      <c r="J41" s="4" t="s">
        <v>89</v>
      </c>
      <c r="K41" s="5" t="s">
        <v>297</v>
      </c>
      <c r="L41" s="5" t="s">
        <v>90</v>
      </c>
      <c r="N41" s="5" t="str">
        <f>IF(OR($C41="",$C41="FID YOK"),"",IF(ISNUMBER(MATCH($C41,FA_ANA,0)),"",IF(COUNTIF($C$1:$C40,$C41)&gt;0,"",MAX($N$1:$N40)+1)))</f>
        <v/>
      </c>
      <c r="S41" s="5">
        <f t="shared" si="19"/>
        <v>0</v>
      </c>
      <c r="X41" s="5">
        <f t="shared" si="20"/>
        <v>9.1</v>
      </c>
      <c r="Y41" s="5" t="e">
        <f t="shared" si="21"/>
        <v>#REF!</v>
      </c>
      <c r="Z41" s="5">
        <f t="shared" si="22"/>
        <v>0</v>
      </c>
      <c r="AA41" s="5">
        <f t="shared" si="23"/>
        <v>0</v>
      </c>
      <c r="AB41" s="5" t="e">
        <f t="shared" si="24"/>
        <v>#REF!</v>
      </c>
      <c r="AC41" s="5">
        <f t="shared" si="25"/>
        <v>0</v>
      </c>
      <c r="AD41" s="5">
        <f t="shared" si="26"/>
        <v>0</v>
      </c>
      <c r="AE41" s="5">
        <f t="shared" si="27"/>
        <v>0</v>
      </c>
      <c r="AF41" s="5" t="e">
        <f t="shared" si="28"/>
        <v>#REF!</v>
      </c>
      <c r="AG41" s="5" t="e">
        <f>N($E41)*N(#REF!)</f>
        <v>#REF!</v>
      </c>
      <c r="AH41" s="5" t="e">
        <f t="shared" si="29"/>
        <v>#REF!</v>
      </c>
      <c r="AI41" s="5">
        <f t="shared" si="30"/>
        <v>0</v>
      </c>
    </row>
    <row r="42" spans="1:35" x14ac:dyDescent="0.25">
      <c r="A42" s="3" t="s">
        <v>100</v>
      </c>
      <c r="B42" s="3" t="s">
        <v>89</v>
      </c>
      <c r="C42" s="3" t="s">
        <v>257</v>
      </c>
      <c r="D42" s="3" t="s">
        <v>258</v>
      </c>
      <c r="E42" s="12">
        <v>2</v>
      </c>
      <c r="F42" s="12" t="s">
        <v>242</v>
      </c>
      <c r="G42" s="12" t="s">
        <v>243</v>
      </c>
      <c r="H42" s="3" t="s">
        <v>37</v>
      </c>
      <c r="I42" s="4" t="s">
        <v>81</v>
      </c>
      <c r="J42" s="4" t="s">
        <v>89</v>
      </c>
      <c r="K42" s="5" t="s">
        <v>297</v>
      </c>
      <c r="L42" s="5" t="s">
        <v>118</v>
      </c>
      <c r="N42" s="5" t="str">
        <f>IF(OR($C42="",$C42="FID YOK"),"",IF(ISNUMBER(MATCH($C42,FA_ANA,0)),"",IF(COUNTIF($C$1:$C41,$C42)&gt;0,"",MAX($N$1:$N41)+1)))</f>
        <v/>
      </c>
      <c r="S42" s="5">
        <f t="shared" si="19"/>
        <v>0</v>
      </c>
      <c r="X42" s="5">
        <f t="shared" si="20"/>
        <v>2</v>
      </c>
      <c r="Y42" s="5" t="e">
        <f t="shared" si="21"/>
        <v>#REF!</v>
      </c>
      <c r="Z42" s="5">
        <f t="shared" si="22"/>
        <v>0</v>
      </c>
      <c r="AA42" s="5">
        <f t="shared" si="23"/>
        <v>0</v>
      </c>
      <c r="AB42" s="5" t="e">
        <f t="shared" si="24"/>
        <v>#REF!</v>
      </c>
      <c r="AC42" s="5">
        <f t="shared" si="25"/>
        <v>0</v>
      </c>
      <c r="AD42" s="5">
        <f t="shared" si="26"/>
        <v>0</v>
      </c>
      <c r="AE42" s="5">
        <f t="shared" si="27"/>
        <v>0</v>
      </c>
      <c r="AF42" s="5" t="e">
        <f t="shared" si="28"/>
        <v>#REF!</v>
      </c>
      <c r="AG42" s="5" t="e">
        <f>N($E42)*N(#REF!)</f>
        <v>#REF!</v>
      </c>
      <c r="AH42" s="5" t="e">
        <f t="shared" si="29"/>
        <v>#REF!</v>
      </c>
      <c r="AI42" s="5">
        <f t="shared" si="30"/>
        <v>0</v>
      </c>
    </row>
    <row r="43" spans="1:35" x14ac:dyDescent="0.25">
      <c r="A43" s="3" t="s">
        <v>100</v>
      </c>
      <c r="B43" s="3" t="s">
        <v>89</v>
      </c>
      <c r="C43" s="3" t="s">
        <v>263</v>
      </c>
      <c r="D43" s="3" t="s">
        <v>264</v>
      </c>
      <c r="E43" s="12">
        <v>1.7</v>
      </c>
      <c r="F43" s="12" t="s">
        <v>242</v>
      </c>
      <c r="G43" s="12" t="s">
        <v>243</v>
      </c>
      <c r="H43" s="3" t="s">
        <v>37</v>
      </c>
      <c r="I43" s="4" t="s">
        <v>81</v>
      </c>
      <c r="J43" s="4" t="s">
        <v>89</v>
      </c>
      <c r="K43" s="5" t="s">
        <v>297</v>
      </c>
      <c r="L43" s="5" t="s">
        <v>119</v>
      </c>
      <c r="N43" s="5">
        <f>IF(OR($C43="",$C43="FID YOK"),"",IF(ISNUMBER(MATCH($C43,FA_ANA,0)),"",IF(COUNTIF($C$1:$C42,$C43)&gt;0,"",MAX($N$1:$N42)+1)))</f>
        <v>29</v>
      </c>
      <c r="S43" s="5">
        <f t="shared" si="19"/>
        <v>0</v>
      </c>
      <c r="X43" s="5">
        <f t="shared" si="20"/>
        <v>1.7</v>
      </c>
      <c r="Y43" s="5" t="e">
        <f t="shared" si="21"/>
        <v>#REF!</v>
      </c>
      <c r="Z43" s="5">
        <f t="shared" si="22"/>
        <v>0</v>
      </c>
      <c r="AA43" s="5">
        <f t="shared" si="23"/>
        <v>0</v>
      </c>
      <c r="AB43" s="5" t="e">
        <f t="shared" si="24"/>
        <v>#REF!</v>
      </c>
      <c r="AC43" s="5">
        <f t="shared" si="25"/>
        <v>0</v>
      </c>
      <c r="AD43" s="5">
        <f t="shared" si="26"/>
        <v>0</v>
      </c>
      <c r="AE43" s="5">
        <f t="shared" si="27"/>
        <v>0</v>
      </c>
      <c r="AF43" s="5" t="e">
        <f t="shared" si="28"/>
        <v>#REF!</v>
      </c>
      <c r="AG43" s="5" t="e">
        <f>N($E43)*N(#REF!)</f>
        <v>#REF!</v>
      </c>
      <c r="AH43" s="5" t="e">
        <f t="shared" si="29"/>
        <v>#REF!</v>
      </c>
      <c r="AI43" s="5">
        <f t="shared" si="30"/>
        <v>0</v>
      </c>
    </row>
    <row r="44" spans="1:35" x14ac:dyDescent="0.25">
      <c r="A44" s="3" t="s">
        <v>100</v>
      </c>
      <c r="B44" s="3" t="s">
        <v>89</v>
      </c>
      <c r="C44" s="3" t="s">
        <v>257</v>
      </c>
      <c r="D44" s="3" t="s">
        <v>258</v>
      </c>
      <c r="E44" s="12">
        <v>0.5</v>
      </c>
      <c r="F44" s="12" t="s">
        <v>242</v>
      </c>
      <c r="G44" s="12" t="s">
        <v>243</v>
      </c>
      <c r="H44" s="3" t="s">
        <v>37</v>
      </c>
      <c r="I44" s="4" t="s">
        <v>81</v>
      </c>
      <c r="J44" s="4" t="s">
        <v>89</v>
      </c>
      <c r="K44" s="5" t="s">
        <v>297</v>
      </c>
      <c r="L44" s="5" t="s">
        <v>92</v>
      </c>
      <c r="N44" s="5" t="str">
        <f>IF(OR($C44="",$C44="FID YOK"),"",IF(ISNUMBER(MATCH($C44,FA_ANA,0)),"",IF(COUNTIF($C$1:$C43,$C44)&gt;0,"",MAX($N$1:$N43)+1)))</f>
        <v/>
      </c>
      <c r="S44" s="5">
        <f t="shared" si="19"/>
        <v>0</v>
      </c>
      <c r="X44" s="5">
        <f t="shared" si="20"/>
        <v>0.5</v>
      </c>
      <c r="Y44" s="5" t="e">
        <f t="shared" si="21"/>
        <v>#REF!</v>
      </c>
      <c r="Z44" s="5">
        <f t="shared" si="22"/>
        <v>0</v>
      </c>
      <c r="AA44" s="5">
        <f t="shared" si="23"/>
        <v>0</v>
      </c>
      <c r="AB44" s="5" t="e">
        <f t="shared" si="24"/>
        <v>#REF!</v>
      </c>
      <c r="AC44" s="5">
        <f t="shared" si="25"/>
        <v>0</v>
      </c>
      <c r="AD44" s="5">
        <f t="shared" si="26"/>
        <v>0</v>
      </c>
      <c r="AE44" s="5">
        <f t="shared" si="27"/>
        <v>0</v>
      </c>
      <c r="AF44" s="5" t="e">
        <f t="shared" si="28"/>
        <v>#REF!</v>
      </c>
      <c r="AG44" s="5" t="e">
        <f>N($E44)*N(#REF!)</f>
        <v>#REF!</v>
      </c>
      <c r="AH44" s="5" t="e">
        <f t="shared" si="29"/>
        <v>#REF!</v>
      </c>
      <c r="AI44" s="5">
        <f t="shared" si="30"/>
        <v>0</v>
      </c>
    </row>
    <row r="45" spans="1:35" x14ac:dyDescent="0.25">
      <c r="A45" s="3" t="s">
        <v>100</v>
      </c>
      <c r="B45" s="3" t="s">
        <v>93</v>
      </c>
      <c r="C45" s="3" t="s">
        <v>247</v>
      </c>
      <c r="D45" s="3" t="s">
        <v>248</v>
      </c>
      <c r="E45" s="12">
        <v>1</v>
      </c>
      <c r="F45" s="12" t="s">
        <v>244</v>
      </c>
      <c r="G45" s="12" t="s">
        <v>216</v>
      </c>
      <c r="H45" s="3" t="s">
        <v>37</v>
      </c>
      <c r="I45" s="4" t="s">
        <v>81</v>
      </c>
      <c r="J45" s="4" t="s">
        <v>93</v>
      </c>
      <c r="K45" s="5" t="s">
        <v>296</v>
      </c>
      <c r="L45" s="5" t="s">
        <v>94</v>
      </c>
      <c r="N45" s="5" t="str">
        <f>IF(OR($C45="",$C45="FID YOK"),"",IF(ISNUMBER(MATCH($C45,FA_ANA,0)),"",IF(COUNTIF($C$1:$C44,$C45)&gt;0,"",MAX($N$1:$N44)+1)))</f>
        <v/>
      </c>
      <c r="S45" s="5">
        <f t="shared" si="19"/>
        <v>0</v>
      </c>
      <c r="X45" s="5" t="e">
        <f t="shared" si="20"/>
        <v>#REF!</v>
      </c>
      <c r="Y45" s="5" t="e">
        <f t="shared" si="21"/>
        <v>#REF!</v>
      </c>
      <c r="Z45" s="5">
        <f t="shared" si="22"/>
        <v>0</v>
      </c>
      <c r="AA45" s="5">
        <f t="shared" si="23"/>
        <v>0</v>
      </c>
      <c r="AB45" s="5" t="e">
        <f t="shared" si="24"/>
        <v>#REF!</v>
      </c>
      <c r="AC45" s="5">
        <f t="shared" si="25"/>
        <v>0</v>
      </c>
      <c r="AD45" s="5">
        <f t="shared" si="26"/>
        <v>0</v>
      </c>
      <c r="AE45" s="5">
        <f t="shared" si="27"/>
        <v>0</v>
      </c>
      <c r="AF45" s="5" t="e">
        <f t="shared" si="28"/>
        <v>#REF!</v>
      </c>
      <c r="AG45" s="5" t="e">
        <f>N($E45)*N(#REF!)</f>
        <v>#REF!</v>
      </c>
      <c r="AH45" s="5" t="e">
        <f t="shared" si="29"/>
        <v>#REF!</v>
      </c>
      <c r="AI45" s="5">
        <f t="shared" si="30"/>
        <v>0</v>
      </c>
    </row>
    <row r="46" spans="1:35" x14ac:dyDescent="0.25">
      <c r="A46" s="3" t="s">
        <v>100</v>
      </c>
      <c r="B46" s="3" t="s">
        <v>93</v>
      </c>
      <c r="C46" s="3" t="s">
        <v>259</v>
      </c>
      <c r="D46" s="3" t="s">
        <v>260</v>
      </c>
      <c r="E46" s="12">
        <v>1</v>
      </c>
      <c r="F46" s="12" t="s">
        <v>244</v>
      </c>
      <c r="G46" s="12" t="s">
        <v>216</v>
      </c>
      <c r="H46" s="3" t="s">
        <v>37</v>
      </c>
      <c r="I46" s="4" t="s">
        <v>81</v>
      </c>
      <c r="J46" s="4" t="s">
        <v>93</v>
      </c>
      <c r="K46" s="5" t="s">
        <v>296</v>
      </c>
      <c r="L46" s="5" t="s">
        <v>120</v>
      </c>
      <c r="N46" s="5">
        <f>IF(OR($C46="",$C46="FID YOK"),"",IF(ISNUMBER(MATCH($C46,FA_ANA,0)),"",IF(COUNTIF($C$1:$C45,$C46)&gt;0,"",MAX($N$1:$N45)+1)))</f>
        <v>30</v>
      </c>
      <c r="S46" s="5">
        <f t="shared" si="19"/>
        <v>0</v>
      </c>
      <c r="X46" s="5" t="e">
        <f t="shared" si="20"/>
        <v>#REF!</v>
      </c>
      <c r="Y46" s="5" t="e">
        <f t="shared" si="21"/>
        <v>#REF!</v>
      </c>
      <c r="Z46" s="5">
        <f t="shared" si="22"/>
        <v>0</v>
      </c>
      <c r="AA46" s="5">
        <f t="shared" si="23"/>
        <v>0</v>
      </c>
      <c r="AB46" s="5" t="e">
        <f t="shared" si="24"/>
        <v>#REF!</v>
      </c>
      <c r="AC46" s="5">
        <f t="shared" si="25"/>
        <v>0</v>
      </c>
      <c r="AD46" s="5">
        <f t="shared" si="26"/>
        <v>0</v>
      </c>
      <c r="AE46" s="5">
        <f t="shared" si="27"/>
        <v>0</v>
      </c>
      <c r="AF46" s="5" t="e">
        <f t="shared" si="28"/>
        <v>#REF!</v>
      </c>
      <c r="AG46" s="5" t="e">
        <f>N($E46)*N(#REF!)</f>
        <v>#REF!</v>
      </c>
      <c r="AH46" s="5" t="e">
        <f t="shared" si="29"/>
        <v>#REF!</v>
      </c>
      <c r="AI46" s="5">
        <f t="shared" si="30"/>
        <v>0</v>
      </c>
    </row>
    <row r="47" spans="1:35" x14ac:dyDescent="0.25">
      <c r="A47" s="3" t="s">
        <v>100</v>
      </c>
      <c r="B47" s="3" t="s">
        <v>95</v>
      </c>
      <c r="C47" s="3" t="s">
        <v>265</v>
      </c>
      <c r="D47" s="3" t="s">
        <v>266</v>
      </c>
      <c r="E47" s="12">
        <v>6</v>
      </c>
      <c r="F47" s="12" t="s">
        <v>41</v>
      </c>
      <c r="G47" s="12" t="s">
        <v>216</v>
      </c>
      <c r="H47" s="3" t="s">
        <v>37</v>
      </c>
      <c r="I47" s="4" t="s">
        <v>81</v>
      </c>
      <c r="J47" s="4" t="s">
        <v>95</v>
      </c>
      <c r="K47" s="5" t="s">
        <v>296</v>
      </c>
      <c r="L47" s="5" t="s">
        <v>121</v>
      </c>
      <c r="N47" s="5">
        <f>IF(OR($C47="",$C47="FID YOK"),"",IF(ISNUMBER(MATCH($C47,FA_ANA,0)),"",IF(COUNTIF($C$1:$C46,$C47)&gt;0,"",MAX($N$1:$N46)+1)))</f>
        <v>31</v>
      </c>
      <c r="S47" s="5">
        <f t="shared" si="19"/>
        <v>0</v>
      </c>
      <c r="X47" s="5">
        <f t="shared" si="20"/>
        <v>6</v>
      </c>
      <c r="Y47" s="5" t="e">
        <f t="shared" si="21"/>
        <v>#REF!</v>
      </c>
      <c r="Z47" s="5">
        <f t="shared" si="22"/>
        <v>0</v>
      </c>
      <c r="AA47" s="5">
        <f t="shared" si="23"/>
        <v>0</v>
      </c>
      <c r="AB47" s="5" t="e">
        <f t="shared" si="24"/>
        <v>#REF!</v>
      </c>
      <c r="AC47" s="5">
        <f t="shared" si="25"/>
        <v>0</v>
      </c>
      <c r="AD47" s="5">
        <f t="shared" si="26"/>
        <v>0</v>
      </c>
      <c r="AE47" s="5">
        <f t="shared" si="27"/>
        <v>0</v>
      </c>
      <c r="AF47" s="5" t="e">
        <f t="shared" si="28"/>
        <v>#REF!</v>
      </c>
      <c r="AG47" s="5" t="e">
        <f>N($E47)*N(#REF!)</f>
        <v>#REF!</v>
      </c>
      <c r="AH47" s="5" t="e">
        <f t="shared" si="29"/>
        <v>#REF!</v>
      </c>
      <c r="AI47" s="5">
        <f t="shared" si="30"/>
        <v>0</v>
      </c>
    </row>
    <row r="48" spans="1:35" x14ac:dyDescent="0.25">
      <c r="A48" s="3" t="s">
        <v>100</v>
      </c>
      <c r="B48" s="3" t="s">
        <v>95</v>
      </c>
      <c r="C48" s="3" t="s">
        <v>261</v>
      </c>
      <c r="D48" s="3" t="s">
        <v>262</v>
      </c>
      <c r="E48" s="12">
        <v>2</v>
      </c>
      <c r="F48" s="12" t="s">
        <v>41</v>
      </c>
      <c r="G48" s="12" t="s">
        <v>216</v>
      </c>
      <c r="H48" s="3" t="s">
        <v>37</v>
      </c>
      <c r="I48" s="4" t="s">
        <v>81</v>
      </c>
      <c r="J48" s="4" t="s">
        <v>95</v>
      </c>
      <c r="K48" s="5" t="s">
        <v>296</v>
      </c>
      <c r="L48" s="5" t="s">
        <v>97</v>
      </c>
      <c r="N48" s="5" t="str">
        <f>IF(OR($C48="",$C48="FID YOK"),"",IF(ISNUMBER(MATCH($C48,FA_ANA,0)),"",IF(COUNTIF($C$1:$C47,$C48)&gt;0,"",MAX($N$1:$N47)+1)))</f>
        <v/>
      </c>
      <c r="S48" s="5">
        <f t="shared" si="19"/>
        <v>0</v>
      </c>
      <c r="X48" s="5">
        <f t="shared" si="20"/>
        <v>2</v>
      </c>
      <c r="Y48" s="5" t="e">
        <f t="shared" si="21"/>
        <v>#REF!</v>
      </c>
      <c r="Z48" s="5">
        <f t="shared" si="22"/>
        <v>0</v>
      </c>
      <c r="AA48" s="5">
        <f t="shared" si="23"/>
        <v>0</v>
      </c>
      <c r="AB48" s="5" t="e">
        <f t="shared" si="24"/>
        <v>#REF!</v>
      </c>
      <c r="AC48" s="5">
        <f t="shared" si="25"/>
        <v>0</v>
      </c>
      <c r="AD48" s="5">
        <f t="shared" si="26"/>
        <v>0</v>
      </c>
      <c r="AE48" s="5">
        <f t="shared" si="27"/>
        <v>0</v>
      </c>
      <c r="AF48" s="5" t="e">
        <f t="shared" si="28"/>
        <v>#REF!</v>
      </c>
      <c r="AG48" s="5" t="e">
        <f>N($E48)*N(#REF!)</f>
        <v>#REF!</v>
      </c>
      <c r="AH48" s="5" t="e">
        <f t="shared" si="29"/>
        <v>#REF!</v>
      </c>
      <c r="AI48" s="5">
        <f t="shared" si="30"/>
        <v>0</v>
      </c>
    </row>
    <row r="49" spans="1:35" x14ac:dyDescent="0.25">
      <c r="A49" s="3" t="s">
        <v>100</v>
      </c>
      <c r="B49" s="3" t="s">
        <v>98</v>
      </c>
      <c r="C49" s="3" t="s">
        <v>279</v>
      </c>
      <c r="D49" s="3" t="s">
        <v>280</v>
      </c>
      <c r="E49" s="12">
        <v>1</v>
      </c>
      <c r="F49" s="12" t="s">
        <v>244</v>
      </c>
      <c r="G49" s="12" t="s">
        <v>216</v>
      </c>
      <c r="H49" s="3" t="s">
        <v>37</v>
      </c>
      <c r="I49" s="4" t="s">
        <v>81</v>
      </c>
      <c r="J49" s="4" t="s">
        <v>98</v>
      </c>
      <c r="K49" s="5" t="s">
        <v>296</v>
      </c>
      <c r="L49" s="5" t="s">
        <v>99</v>
      </c>
      <c r="N49" s="5" t="str">
        <f>IF(OR($C49="",$C49="FID YOK"),"",IF(ISNUMBER(MATCH($C49,FA_ANA,0)),"",IF(COUNTIF($C$1:$C48,$C49)&gt;0,"",MAX($N$1:$N48)+1)))</f>
        <v/>
      </c>
      <c r="S49" s="5">
        <f t="shared" si="19"/>
        <v>0</v>
      </c>
      <c r="X49" s="5" t="e">
        <f t="shared" si="20"/>
        <v>#REF!</v>
      </c>
      <c r="Y49" s="5" t="e">
        <f t="shared" si="21"/>
        <v>#REF!</v>
      </c>
      <c r="Z49" s="5">
        <f t="shared" si="22"/>
        <v>0</v>
      </c>
      <c r="AA49" s="5">
        <f t="shared" si="23"/>
        <v>0</v>
      </c>
      <c r="AB49" s="5" t="e">
        <f t="shared" si="24"/>
        <v>#REF!</v>
      </c>
      <c r="AC49" s="5">
        <f t="shared" si="25"/>
        <v>0</v>
      </c>
      <c r="AD49" s="5">
        <f t="shared" si="26"/>
        <v>0</v>
      </c>
      <c r="AE49" s="5">
        <f t="shared" si="27"/>
        <v>0</v>
      </c>
      <c r="AF49" s="5" t="e">
        <f t="shared" si="28"/>
        <v>#REF!</v>
      </c>
      <c r="AG49" s="5" t="e">
        <f>N($E49)*N(#REF!)</f>
        <v>#REF!</v>
      </c>
      <c r="AH49" s="5" t="e">
        <f t="shared" si="29"/>
        <v>#REF!</v>
      </c>
      <c r="AI49" s="5">
        <f t="shared" si="30"/>
        <v>0</v>
      </c>
    </row>
    <row r="50" spans="1:35" x14ac:dyDescent="0.25">
      <c r="A50" s="3" t="s">
        <v>100</v>
      </c>
      <c r="B50" s="3" t="s">
        <v>40</v>
      </c>
      <c r="C50" s="3" t="s">
        <v>40</v>
      </c>
      <c r="D50" s="3" t="s">
        <v>40</v>
      </c>
      <c r="E50" s="12">
        <v>1</v>
      </c>
      <c r="F50" s="12" t="s">
        <v>41</v>
      </c>
      <c r="G50" s="12" t="s">
        <v>40</v>
      </c>
      <c r="H50" s="3" t="s">
        <v>37</v>
      </c>
    </row>
    <row r="51" spans="1:35" x14ac:dyDescent="0.25">
      <c r="A51" s="3" t="s">
        <v>100</v>
      </c>
      <c r="B51" s="3" t="s">
        <v>42</v>
      </c>
      <c r="C51" s="3" t="s">
        <v>42</v>
      </c>
      <c r="D51" s="3" t="s">
        <v>42</v>
      </c>
      <c r="E51" s="12">
        <v>187.20000000000002</v>
      </c>
      <c r="F51" s="12" t="s">
        <v>43</v>
      </c>
      <c r="G51" s="12" t="s">
        <v>42</v>
      </c>
      <c r="H51" s="3" t="s">
        <v>37</v>
      </c>
    </row>
    <row r="52" spans="1:35" x14ac:dyDescent="0.25">
      <c r="A52" s="3" t="s">
        <v>100</v>
      </c>
      <c r="B52" s="6"/>
      <c r="C52" s="6"/>
      <c r="D52" s="6"/>
      <c r="E52" s="13"/>
      <c r="F52" s="13"/>
      <c r="G52" s="13"/>
      <c r="H52" s="3" t="s">
        <v>37</v>
      </c>
      <c r="K52" s="4" t="s">
        <v>298</v>
      </c>
      <c r="L52" s="4" t="s">
        <v>300</v>
      </c>
    </row>
    <row r="53" spans="1:35" x14ac:dyDescent="0.25">
      <c r="A53" s="1" t="s">
        <v>122</v>
      </c>
      <c r="B53" s="2"/>
      <c r="C53" s="2"/>
      <c r="D53" s="1" t="s">
        <v>122</v>
      </c>
      <c r="E53" s="11">
        <v>1</v>
      </c>
      <c r="F53" s="11" t="s">
        <v>35</v>
      </c>
      <c r="G53" s="11" t="s">
        <v>36</v>
      </c>
      <c r="H53" s="1" t="s">
        <v>37</v>
      </c>
    </row>
    <row r="54" spans="1:35" x14ac:dyDescent="0.25">
      <c r="A54" s="3" t="s">
        <v>122</v>
      </c>
      <c r="B54" s="3" t="s">
        <v>45</v>
      </c>
      <c r="C54" s="3" t="s">
        <v>238</v>
      </c>
      <c r="D54" s="3" t="s">
        <v>239</v>
      </c>
      <c r="E54" s="12">
        <v>1</v>
      </c>
      <c r="F54" s="12" t="s">
        <v>41</v>
      </c>
      <c r="G54" s="12" t="s">
        <v>237</v>
      </c>
      <c r="H54" s="3" t="s">
        <v>37</v>
      </c>
      <c r="I54" s="4" t="s">
        <v>46</v>
      </c>
      <c r="J54" s="4" t="s">
        <v>101</v>
      </c>
      <c r="K54" s="5" t="s">
        <v>295</v>
      </c>
      <c r="L54" s="5" t="s">
        <v>123</v>
      </c>
      <c r="M54" s="5" t="s">
        <v>124</v>
      </c>
      <c r="N54" s="5">
        <f>IF(OR($C54="",$C54="FID YOK"),"",IF(ISNUMBER(MATCH($C54,FA_ANA,0)),"",IF(COUNTIF($C$1:$C53,$C54)&gt;0,"",MAX($N$1:$N53)+1)))</f>
        <v>32</v>
      </c>
      <c r="P54" s="5"/>
      <c r="Q54" s="5"/>
      <c r="R54" s="5"/>
      <c r="S54" s="5">
        <f t="shared" ref="S54:S73" si="38">IF(ISNA(MATCH($C54,FA,0)),0,IF($I54="GIRIS",N(INDEX(F_INKOR,MATCH($C54,FA,0))),0))</f>
        <v>0</v>
      </c>
      <c r="T54" s="5"/>
      <c r="U54" s="5"/>
      <c r="V54" s="5"/>
      <c r="W54" s="5"/>
      <c r="X54" s="5">
        <f t="shared" ref="X54:X73" si="39">N($E54)*IF($F54="упак",MAX(1,IF(ISNA(MATCH($C54,FA,0)),1,N(INDEX(F_PAKET,MATCH($C54,FA,0))))),1)</f>
        <v>1</v>
      </c>
      <c r="Y54" s="5" t="e">
        <f t="shared" ref="Y54:Y73" si="40">IF(ISNA(MATCH($C54,FA,0)),0,N(INDEX(F_BK,MATCH($C54,FA,0))))</f>
        <v>#REF!</v>
      </c>
      <c r="Z54" s="5" t="e">
        <f t="shared" ref="Z54:Z73" si="41">IF(OR(ISNA(MATCH($C54,FA,0)),$I54="YEDEK",$I54="SARF"),0,N($E54)*N(INDEX(F_TEL,MATCH($C54,FA,0))))</f>
        <v>#REF!</v>
      </c>
      <c r="AA54" s="5" t="e">
        <f t="shared" ref="AA54:AA73" si="42">IF(OR(ISNA(MATCH($C54,FA,0)),$I54="YEDEK",$I54="SARF"),0,N($E54)*N(INDEX(F_TELM,MATCH($C54,FA,0))))</f>
        <v>#REF!</v>
      </c>
      <c r="AB54" s="5" t="e">
        <f t="shared" ref="AB54:AB73" si="43">IF(ISNA(MATCH($C54,FA,0)),"",INDEX(F_UC,MATCH($C54,FA,0))&amp;"")</f>
        <v>#REF!</v>
      </c>
      <c r="AC54" s="5">
        <f t="shared" ref="AC54:AC73" si="44">IF(OR(ISNA(MATCH($C54,FA,0)),$I54&lt;&gt;"CIKIS"),0,N(INDEX(F_KK,MATCH($C54,FA,0))))</f>
        <v>0</v>
      </c>
      <c r="AD54" s="5">
        <f t="shared" ref="AD54:AD73" si="45">IF($AC54=0,0,N($E54)*N(INDEX(F_KLN,MATCH($C54,FA,0))))</f>
        <v>0</v>
      </c>
      <c r="AE54" s="5">
        <f t="shared" ref="AE54:AE73" si="46">IF($AC54=0,0,N($E54)*N(INDEX(F_KPE,MATCH($C54,FA,0))))</f>
        <v>0</v>
      </c>
      <c r="AF54" s="5" t="e">
        <f t="shared" ref="AF54:AF73" si="47">IF(ISNA(MATCH($C54,FA,0)),0,N($E54)*N(INDEX(F_MODUL,MATCH($C54,FA,0))))</f>
        <v>#REF!</v>
      </c>
      <c r="AG54" s="5" t="e">
        <f>N($E54)*N(#REF!)</f>
        <v>#REF!</v>
      </c>
      <c r="AH54" s="5" t="e">
        <f t="shared" ref="AH54:AH73" si="48">IF(ISNA(MATCH($J54,TIP_AD,0)),"YOK",IF(INDEX(NORM_DK,MATCH($J54,TIP_AD,0))="","BOŞ",INDEX(NORM_DK,MATCH($J54,TIP_AD,0))))</f>
        <v>#REF!</v>
      </c>
      <c r="AI54" s="5">
        <f t="shared" ref="AI54:AI73" si="49">IF(ISNUMBER($AH54),$X54*$AH54,0)</f>
        <v>0</v>
      </c>
    </row>
    <row r="55" spans="1:35" x14ac:dyDescent="0.25">
      <c r="A55" s="3" t="s">
        <v>122</v>
      </c>
      <c r="B55" s="3" t="s">
        <v>54</v>
      </c>
      <c r="C55" s="3" t="s">
        <v>200</v>
      </c>
      <c r="D55" s="3" t="s">
        <v>201</v>
      </c>
      <c r="E55" s="12">
        <v>1</v>
      </c>
      <c r="F55" s="12" t="s">
        <v>41</v>
      </c>
      <c r="G55" s="12" t="s">
        <v>179</v>
      </c>
      <c r="H55" s="3" t="s">
        <v>37</v>
      </c>
      <c r="I55" s="4" t="s">
        <v>51</v>
      </c>
      <c r="J55" s="4" t="s">
        <v>54</v>
      </c>
      <c r="K55" s="5" t="s">
        <v>295</v>
      </c>
      <c r="L55" s="5" t="s">
        <v>125</v>
      </c>
      <c r="M55" s="5" t="s">
        <v>126</v>
      </c>
      <c r="N55" s="5">
        <f>IF(OR($C55="",$C55="FID YOK"),"",IF(ISNUMBER(MATCH($C55,FA_ANA,0)),"",IF(COUNTIF($C$1:$C54,$C55)&gt;0,"",MAX($N$1:$N54)+1)))</f>
        <v>33</v>
      </c>
      <c r="O55" s="7">
        <v>1</v>
      </c>
      <c r="P55" s="5" t="e">
        <f t="shared" ref="P55:P62" si="50">IF(OR($O55="",$O55="G",ISNA(MATCH($C55,FA,0))),"",IF(N(INDEX(F_G,MATCH($C55,FA,0)))&gt;0,INDEX(F_G,MATCH($C55,FA,0)),IF(N(INDEX(F_MODUL,MATCH($C55,FA,0)))&gt;0,INDEX(F_MODUL,MATCH($C55,FA,0))*MODUL_MM,"")))</f>
        <v>#REF!</v>
      </c>
      <c r="Q55" s="5" t="e">
        <f t="shared" ref="Q55:Q62" si="51">IF(OR($O55="",$O55="G",ISNA(MATCH($C55,FA,0))),"",IF(N(INDEX(F_Y,MATCH($C55,FA,0)))&gt;0,INDEX(F_Y,MATCH($C55,FA,0)),""))</f>
        <v>#REF!</v>
      </c>
      <c r="R55" s="5" t="e">
        <f t="shared" ref="R55:R62" si="52">IF(OR($O55="",$O55="G",ISNA(MATCH($C55,FA,0))),"",IF(N(INDEX(F_D,MATCH($C55,FA,0)))&gt;0,INDEX(F_D,MATCH($C55,FA,0)),""))</f>
        <v>#REF!</v>
      </c>
      <c r="S55" s="5" t="e">
        <f t="shared" si="38"/>
        <v>#REF!</v>
      </c>
      <c r="T55" s="5" t="e">
        <f t="shared" ref="T55:T62" si="53">IF(ISNA(MATCH($B55,TIP_AD,0)),"",INDEX(TIP_KAT,MATCH($B55,TIP_AD,0))&amp;"")</f>
        <v>#REF!</v>
      </c>
      <c r="U55" s="5" t="e">
        <f t="shared" ref="U55:U62" si="54">IF(NOT(ISNUMBER($O55)),"",IF($Y55=0,0,IF(ISNA(MATCH($Y55,BUK_KESIT,0)),"",IF(INDEX(BUK_ALAN,MATCH($Y55,BUK_KESIT,0))&amp;""="","",INDEX(BUK_ALAN,MATCH($Y55,BUK_KESIT,0))))))</f>
        <v>#REF!</v>
      </c>
      <c r="V55" s="5" t="e">
        <f t="shared" ref="V55:V62" si="55">IF(OR(NOT(ISNUMBER($O55)),$P55=""),"",N($E55)*($P55+IF(ISNA(MATCH($B55,TIP_AD,0)),0,N(INDEX(TIP_BOSLUK,MATCH($B55,TIP_AD,0))))))</f>
        <v>#REF!</v>
      </c>
      <c r="W55" s="5" t="e">
        <f t="shared" ref="W55:W62" si="56">IF(ISNUMBER($O55),($P55="")+($Q55="")+($U55="")+IF(AND($T55="KONTAKTOR",NOT(ISNA(MATCH($B55,TIP_AD,0)))),IF(INDEX(TIP_BOSLUK,MATCH($B55,TIP_AD,0))&amp;""="",1,0),0),IF($O55="K",IF($R55="",1,0),0))</f>
        <v>#REF!</v>
      </c>
      <c r="X55" s="5">
        <f t="shared" si="39"/>
        <v>1</v>
      </c>
      <c r="Y55" s="5" t="e">
        <f t="shared" si="40"/>
        <v>#REF!</v>
      </c>
      <c r="Z55" s="5" t="e">
        <f t="shared" si="41"/>
        <v>#REF!</v>
      </c>
      <c r="AA55" s="5" t="e">
        <f t="shared" si="42"/>
        <v>#REF!</v>
      </c>
      <c r="AB55" s="5" t="e">
        <f t="shared" si="43"/>
        <v>#REF!</v>
      </c>
      <c r="AC55" s="5">
        <f t="shared" si="44"/>
        <v>0</v>
      </c>
      <c r="AD55" s="5">
        <f t="shared" si="45"/>
        <v>0</v>
      </c>
      <c r="AE55" s="5">
        <f t="shared" si="46"/>
        <v>0</v>
      </c>
      <c r="AF55" s="5" t="e">
        <f t="shared" si="47"/>
        <v>#REF!</v>
      </c>
      <c r="AG55" s="5" t="e">
        <f>N($E55)*N(#REF!)</f>
        <v>#REF!</v>
      </c>
      <c r="AH55" s="5" t="e">
        <f t="shared" si="48"/>
        <v>#REF!</v>
      </c>
      <c r="AI55" s="5">
        <f t="shared" si="49"/>
        <v>0</v>
      </c>
    </row>
    <row r="56" spans="1:35" x14ac:dyDescent="0.25">
      <c r="A56" s="3" t="s">
        <v>122</v>
      </c>
      <c r="B56" s="3" t="s">
        <v>127</v>
      </c>
      <c r="C56" s="3" t="s">
        <v>214</v>
      </c>
      <c r="D56" s="3" t="s">
        <v>215</v>
      </c>
      <c r="E56" s="12">
        <v>1</v>
      </c>
      <c r="F56" s="12" t="s">
        <v>41</v>
      </c>
      <c r="G56" s="12" t="s">
        <v>216</v>
      </c>
      <c r="H56" s="3" t="s">
        <v>37</v>
      </c>
      <c r="I56" s="4" t="s">
        <v>55</v>
      </c>
      <c r="J56" s="4" t="s">
        <v>127</v>
      </c>
      <c r="K56" s="5" t="s">
        <v>296</v>
      </c>
      <c r="L56" s="5" t="s">
        <v>128</v>
      </c>
      <c r="M56" s="5" t="s">
        <v>129</v>
      </c>
      <c r="N56" s="5">
        <f>IF(OR($C56="",$C56="FID YOK"),"",IF(ISNUMBER(MATCH($C56,FA_ANA,0)),"",IF(COUNTIF($C$1:$C55,$C56)&gt;0,"",MAX($N$1:$N55)+1)))</f>
        <v>34</v>
      </c>
      <c r="O56" s="7">
        <v>1</v>
      </c>
      <c r="P56" s="5" t="e">
        <f t="shared" si="50"/>
        <v>#REF!</v>
      </c>
      <c r="Q56" s="5" t="e">
        <f t="shared" si="51"/>
        <v>#REF!</v>
      </c>
      <c r="R56" s="5" t="e">
        <f t="shared" si="52"/>
        <v>#REF!</v>
      </c>
      <c r="S56" s="5">
        <f t="shared" si="38"/>
        <v>0</v>
      </c>
      <c r="T56" s="5" t="e">
        <f t="shared" si="53"/>
        <v>#REF!</v>
      </c>
      <c r="U56" s="5" t="e">
        <f t="shared" si="54"/>
        <v>#REF!</v>
      </c>
      <c r="V56" s="5" t="e">
        <f t="shared" si="55"/>
        <v>#REF!</v>
      </c>
      <c r="W56" s="5" t="e">
        <f t="shared" si="56"/>
        <v>#REF!</v>
      </c>
      <c r="X56" s="5">
        <f t="shared" si="39"/>
        <v>1</v>
      </c>
      <c r="Y56" s="5" t="e">
        <f t="shared" si="40"/>
        <v>#REF!</v>
      </c>
      <c r="Z56" s="5" t="e">
        <f t="shared" si="41"/>
        <v>#REF!</v>
      </c>
      <c r="AA56" s="5" t="e">
        <f t="shared" si="42"/>
        <v>#REF!</v>
      </c>
      <c r="AB56" s="5" t="e">
        <f t="shared" si="43"/>
        <v>#REF!</v>
      </c>
      <c r="AC56" s="5">
        <f t="shared" si="44"/>
        <v>0</v>
      </c>
      <c r="AD56" s="5">
        <f t="shared" si="45"/>
        <v>0</v>
      </c>
      <c r="AE56" s="5">
        <f t="shared" si="46"/>
        <v>0</v>
      </c>
      <c r="AF56" s="5" t="e">
        <f t="shared" si="47"/>
        <v>#REF!</v>
      </c>
      <c r="AG56" s="5" t="e">
        <f>N($E56)*N(#REF!)</f>
        <v>#REF!</v>
      </c>
      <c r="AH56" s="5" t="e">
        <f t="shared" si="48"/>
        <v>#REF!</v>
      </c>
      <c r="AI56" s="5">
        <f t="shared" si="49"/>
        <v>0</v>
      </c>
    </row>
    <row r="57" spans="1:35" x14ac:dyDescent="0.25">
      <c r="A57" s="3" t="s">
        <v>122</v>
      </c>
      <c r="B57" s="3" t="s">
        <v>54</v>
      </c>
      <c r="C57" s="3" t="s">
        <v>198</v>
      </c>
      <c r="D57" s="3" t="s">
        <v>199</v>
      </c>
      <c r="E57" s="12">
        <v>1</v>
      </c>
      <c r="F57" s="12" t="s">
        <v>41</v>
      </c>
      <c r="G57" s="12" t="s">
        <v>179</v>
      </c>
      <c r="H57" s="3" t="s">
        <v>37</v>
      </c>
      <c r="I57" s="4" t="s">
        <v>55</v>
      </c>
      <c r="J57" s="4" t="s">
        <v>54</v>
      </c>
      <c r="K57" s="5" t="s">
        <v>295</v>
      </c>
      <c r="L57" s="5" t="s">
        <v>106</v>
      </c>
      <c r="M57" s="5" t="s">
        <v>57</v>
      </c>
      <c r="N57" s="5" t="str">
        <f>IF(OR($C57="",$C57="FID YOK"),"",IF(ISNUMBER(MATCH($C57,FA_ANA,0)),"",IF(COUNTIF($C$1:$C56,$C57)&gt;0,"",MAX($N$1:$N56)+1)))</f>
        <v/>
      </c>
      <c r="O57" s="7">
        <v>1</v>
      </c>
      <c r="P57" s="5" t="e">
        <f t="shared" si="50"/>
        <v>#REF!</v>
      </c>
      <c r="Q57" s="5" t="e">
        <f t="shared" si="51"/>
        <v>#REF!</v>
      </c>
      <c r="R57" s="5" t="e">
        <f t="shared" si="52"/>
        <v>#REF!</v>
      </c>
      <c r="S57" s="5">
        <f t="shared" si="38"/>
        <v>0</v>
      </c>
      <c r="T57" s="5" t="e">
        <f t="shared" si="53"/>
        <v>#REF!</v>
      </c>
      <c r="U57" s="5" t="e">
        <f t="shared" si="54"/>
        <v>#REF!</v>
      </c>
      <c r="V57" s="5" t="e">
        <f t="shared" si="55"/>
        <v>#REF!</v>
      </c>
      <c r="W57" s="5" t="e">
        <f t="shared" si="56"/>
        <v>#REF!</v>
      </c>
      <c r="X57" s="5">
        <f t="shared" si="39"/>
        <v>1</v>
      </c>
      <c r="Y57" s="5" t="e">
        <f t="shared" si="40"/>
        <v>#REF!</v>
      </c>
      <c r="Z57" s="5" t="e">
        <f t="shared" si="41"/>
        <v>#REF!</v>
      </c>
      <c r="AA57" s="5" t="e">
        <f t="shared" si="42"/>
        <v>#REF!</v>
      </c>
      <c r="AB57" s="5" t="e">
        <f t="shared" si="43"/>
        <v>#REF!</v>
      </c>
      <c r="AC57" s="5">
        <f t="shared" si="44"/>
        <v>0</v>
      </c>
      <c r="AD57" s="5">
        <f t="shared" si="45"/>
        <v>0</v>
      </c>
      <c r="AE57" s="5">
        <f t="shared" si="46"/>
        <v>0</v>
      </c>
      <c r="AF57" s="5" t="e">
        <f t="shared" si="47"/>
        <v>#REF!</v>
      </c>
      <c r="AG57" s="5" t="e">
        <f>N($E57)*N(#REF!)</f>
        <v>#REF!</v>
      </c>
      <c r="AH57" s="5" t="e">
        <f t="shared" si="48"/>
        <v>#REF!</v>
      </c>
      <c r="AI57" s="5">
        <f t="shared" si="49"/>
        <v>0</v>
      </c>
    </row>
    <row r="58" spans="1:35" x14ac:dyDescent="0.25">
      <c r="A58" s="3" t="s">
        <v>122</v>
      </c>
      <c r="B58" s="3" t="s">
        <v>107</v>
      </c>
      <c r="C58" s="3" t="s">
        <v>208</v>
      </c>
      <c r="D58" s="3" t="s">
        <v>209</v>
      </c>
      <c r="E58" s="12">
        <v>1</v>
      </c>
      <c r="F58" s="12" t="s">
        <v>41</v>
      </c>
      <c r="G58" s="12" t="s">
        <v>179</v>
      </c>
      <c r="H58" s="3" t="s">
        <v>37</v>
      </c>
      <c r="I58" s="4" t="s">
        <v>39</v>
      </c>
      <c r="J58" s="4" t="s">
        <v>107</v>
      </c>
      <c r="K58" s="5" t="s">
        <v>295</v>
      </c>
      <c r="L58" s="5" t="s">
        <v>130</v>
      </c>
      <c r="M58" s="5" t="s">
        <v>131</v>
      </c>
      <c r="N58" s="5">
        <f>IF(OR($C58="",$C58="FID YOK"),"",IF(ISNUMBER(MATCH($C58,FA_ANA,0)),"",IF(COUNTIF($C$1:$C57,$C58)&gt;0,"",MAX($N$1:$N57)+1)))</f>
        <v>35</v>
      </c>
      <c r="O58" s="7">
        <v>1</v>
      </c>
      <c r="P58" s="5" t="e">
        <f t="shared" si="50"/>
        <v>#REF!</v>
      </c>
      <c r="Q58" s="5" t="e">
        <f t="shared" si="51"/>
        <v>#REF!</v>
      </c>
      <c r="R58" s="5" t="e">
        <f t="shared" si="52"/>
        <v>#REF!</v>
      </c>
      <c r="S58" s="5">
        <f t="shared" si="38"/>
        <v>0</v>
      </c>
      <c r="T58" s="5" t="e">
        <f t="shared" si="53"/>
        <v>#REF!</v>
      </c>
      <c r="U58" s="5" t="e">
        <f t="shared" si="54"/>
        <v>#REF!</v>
      </c>
      <c r="V58" s="5" t="e">
        <f t="shared" si="55"/>
        <v>#REF!</v>
      </c>
      <c r="W58" s="5" t="e">
        <f t="shared" si="56"/>
        <v>#REF!</v>
      </c>
      <c r="X58" s="5">
        <f t="shared" si="39"/>
        <v>1</v>
      </c>
      <c r="Y58" s="5" t="e">
        <f t="shared" si="40"/>
        <v>#REF!</v>
      </c>
      <c r="Z58" s="5" t="e">
        <f t="shared" si="41"/>
        <v>#REF!</v>
      </c>
      <c r="AA58" s="5" t="e">
        <f t="shared" si="42"/>
        <v>#REF!</v>
      </c>
      <c r="AB58" s="5" t="e">
        <f t="shared" si="43"/>
        <v>#REF!</v>
      </c>
      <c r="AC58" s="5" t="e">
        <f t="shared" si="44"/>
        <v>#REF!</v>
      </c>
      <c r="AD58" s="5" t="e">
        <f t="shared" si="45"/>
        <v>#REF!</v>
      </c>
      <c r="AE58" s="5" t="e">
        <f t="shared" si="46"/>
        <v>#REF!</v>
      </c>
      <c r="AF58" s="5" t="e">
        <f t="shared" si="47"/>
        <v>#REF!</v>
      </c>
      <c r="AG58" s="5" t="e">
        <f>N($E58)*N(#REF!)</f>
        <v>#REF!</v>
      </c>
      <c r="AH58" s="5" t="e">
        <f t="shared" si="48"/>
        <v>#REF!</v>
      </c>
      <c r="AI58" s="5">
        <f t="shared" si="49"/>
        <v>0</v>
      </c>
    </row>
    <row r="59" spans="1:35" x14ac:dyDescent="0.25">
      <c r="A59" s="3" t="s">
        <v>122</v>
      </c>
      <c r="B59" s="3" t="s">
        <v>132</v>
      </c>
      <c r="C59" s="3" t="s">
        <v>212</v>
      </c>
      <c r="D59" s="3" t="s">
        <v>213</v>
      </c>
      <c r="E59" s="12">
        <v>1</v>
      </c>
      <c r="F59" s="12" t="s">
        <v>41</v>
      </c>
      <c r="G59" s="12" t="s">
        <v>179</v>
      </c>
      <c r="H59" s="3" t="s">
        <v>37</v>
      </c>
      <c r="I59" s="4" t="s">
        <v>55</v>
      </c>
      <c r="J59" s="4" t="s">
        <v>132</v>
      </c>
      <c r="K59" s="5" t="s">
        <v>295</v>
      </c>
      <c r="L59" s="5" t="s">
        <v>133</v>
      </c>
      <c r="M59" s="5" t="s">
        <v>134</v>
      </c>
      <c r="N59" s="5">
        <f>IF(OR($C59="",$C59="FID YOK"),"",IF(ISNUMBER(MATCH($C59,FA_ANA,0)),"",IF(COUNTIF($C$1:$C58,$C59)&gt;0,"",MAX($N$1:$N58)+1)))</f>
        <v>36</v>
      </c>
      <c r="O59" s="7">
        <v>1</v>
      </c>
      <c r="P59" s="5" t="e">
        <f t="shared" si="50"/>
        <v>#REF!</v>
      </c>
      <c r="Q59" s="5" t="e">
        <f t="shared" si="51"/>
        <v>#REF!</v>
      </c>
      <c r="R59" s="5" t="e">
        <f t="shared" si="52"/>
        <v>#REF!</v>
      </c>
      <c r="S59" s="5">
        <f t="shared" si="38"/>
        <v>0</v>
      </c>
      <c r="T59" s="5" t="e">
        <f t="shared" si="53"/>
        <v>#REF!</v>
      </c>
      <c r="U59" s="5" t="e">
        <f t="shared" si="54"/>
        <v>#REF!</v>
      </c>
      <c r="V59" s="5" t="e">
        <f t="shared" si="55"/>
        <v>#REF!</v>
      </c>
      <c r="W59" s="5" t="e">
        <f t="shared" si="56"/>
        <v>#REF!</v>
      </c>
      <c r="X59" s="5">
        <f t="shared" si="39"/>
        <v>1</v>
      </c>
      <c r="Y59" s="5" t="e">
        <f t="shared" si="40"/>
        <v>#REF!</v>
      </c>
      <c r="Z59" s="5" t="e">
        <f t="shared" si="41"/>
        <v>#REF!</v>
      </c>
      <c r="AA59" s="5" t="e">
        <f t="shared" si="42"/>
        <v>#REF!</v>
      </c>
      <c r="AB59" s="5" t="e">
        <f t="shared" si="43"/>
        <v>#REF!</v>
      </c>
      <c r="AC59" s="5">
        <f t="shared" si="44"/>
        <v>0</v>
      </c>
      <c r="AD59" s="5">
        <f t="shared" si="45"/>
        <v>0</v>
      </c>
      <c r="AE59" s="5">
        <f t="shared" si="46"/>
        <v>0</v>
      </c>
      <c r="AF59" s="5" t="e">
        <f t="shared" si="47"/>
        <v>#REF!</v>
      </c>
      <c r="AG59" s="5" t="e">
        <f>N($E59)*N(#REF!)</f>
        <v>#REF!</v>
      </c>
      <c r="AH59" s="5" t="e">
        <f t="shared" si="48"/>
        <v>#REF!</v>
      </c>
      <c r="AI59" s="5">
        <f t="shared" si="49"/>
        <v>0</v>
      </c>
    </row>
    <row r="60" spans="1:35" x14ac:dyDescent="0.25">
      <c r="A60" s="3" t="s">
        <v>122</v>
      </c>
      <c r="B60" s="3" t="s">
        <v>60</v>
      </c>
      <c r="C60" s="3" t="s">
        <v>217</v>
      </c>
      <c r="D60" s="3" t="s">
        <v>218</v>
      </c>
      <c r="E60" s="12">
        <v>1</v>
      </c>
      <c r="F60" s="12" t="s">
        <v>41</v>
      </c>
      <c r="G60" s="12" t="s">
        <v>179</v>
      </c>
      <c r="H60" s="3" t="s">
        <v>37</v>
      </c>
      <c r="I60" s="4" t="s">
        <v>55</v>
      </c>
      <c r="J60" s="4" t="s">
        <v>60</v>
      </c>
      <c r="K60" s="5" t="s">
        <v>295</v>
      </c>
      <c r="L60" s="5" t="s">
        <v>135</v>
      </c>
      <c r="M60" s="5" t="s">
        <v>62</v>
      </c>
      <c r="N60" s="5" t="str">
        <f>IF(OR($C60="",$C60="FID YOK"),"",IF(ISNUMBER(MATCH($C60,FA_ANA,0)),"",IF(COUNTIF($C$1:$C59,$C60)&gt;0,"",MAX($N$1:$N59)+1)))</f>
        <v/>
      </c>
      <c r="O60" s="7" t="s">
        <v>63</v>
      </c>
      <c r="P60" s="5" t="e">
        <f t="shared" si="50"/>
        <v>#REF!</v>
      </c>
      <c r="Q60" s="5" t="e">
        <f t="shared" si="51"/>
        <v>#REF!</v>
      </c>
      <c r="R60" s="5" t="e">
        <f t="shared" si="52"/>
        <v>#REF!</v>
      </c>
      <c r="S60" s="5">
        <f t="shared" si="38"/>
        <v>0</v>
      </c>
      <c r="T60" s="5" t="e">
        <f t="shared" si="53"/>
        <v>#REF!</v>
      </c>
      <c r="U60" s="5" t="str">
        <f t="shared" si="54"/>
        <v/>
      </c>
      <c r="V60" s="5" t="e">
        <f t="shared" si="55"/>
        <v>#REF!</v>
      </c>
      <c r="W60" s="5" t="e">
        <f t="shared" si="56"/>
        <v>#REF!</v>
      </c>
      <c r="X60" s="5">
        <f t="shared" si="39"/>
        <v>1</v>
      </c>
      <c r="Y60" s="5" t="e">
        <f t="shared" si="40"/>
        <v>#REF!</v>
      </c>
      <c r="Z60" s="5" t="e">
        <f t="shared" si="41"/>
        <v>#REF!</v>
      </c>
      <c r="AA60" s="5" t="e">
        <f t="shared" si="42"/>
        <v>#REF!</v>
      </c>
      <c r="AB60" s="5" t="e">
        <f t="shared" si="43"/>
        <v>#REF!</v>
      </c>
      <c r="AC60" s="5">
        <f t="shared" si="44"/>
        <v>0</v>
      </c>
      <c r="AD60" s="5">
        <f t="shared" si="45"/>
        <v>0</v>
      </c>
      <c r="AE60" s="5">
        <f t="shared" si="46"/>
        <v>0</v>
      </c>
      <c r="AF60" s="5" t="e">
        <f t="shared" si="47"/>
        <v>#REF!</v>
      </c>
      <c r="AG60" s="5" t="e">
        <f>N($E60)*N(#REF!)</f>
        <v>#REF!</v>
      </c>
      <c r="AH60" s="5" t="e">
        <f t="shared" si="48"/>
        <v>#REF!</v>
      </c>
      <c r="AI60" s="5">
        <f t="shared" si="49"/>
        <v>0</v>
      </c>
    </row>
    <row r="61" spans="1:35" x14ac:dyDescent="0.25">
      <c r="A61" s="3" t="s">
        <v>122</v>
      </c>
      <c r="B61" s="3" t="s">
        <v>64</v>
      </c>
      <c r="C61" s="3" t="s">
        <v>221</v>
      </c>
      <c r="D61" s="3" t="s">
        <v>222</v>
      </c>
      <c r="E61" s="12">
        <v>1</v>
      </c>
      <c r="F61" s="12" t="s">
        <v>41</v>
      </c>
      <c r="G61" s="12" t="s">
        <v>179</v>
      </c>
      <c r="H61" s="3" t="s">
        <v>37</v>
      </c>
      <c r="I61" s="4" t="s">
        <v>55</v>
      </c>
      <c r="J61" s="4" t="s">
        <v>64</v>
      </c>
      <c r="K61" s="5" t="s">
        <v>295</v>
      </c>
      <c r="L61" s="5" t="s">
        <v>136</v>
      </c>
      <c r="M61" s="5" t="s">
        <v>66</v>
      </c>
      <c r="N61" s="5" t="str">
        <f>IF(OR($C61="",$C61="FID YOK"),"",IF(ISNUMBER(MATCH($C61,FA_ANA,0)),"",IF(COUNTIF($C$1:$C60,$C61)&gt;0,"",MAX($N$1:$N60)+1)))</f>
        <v/>
      </c>
      <c r="O61" s="7" t="s">
        <v>63</v>
      </c>
      <c r="P61" s="5" t="e">
        <f t="shared" si="50"/>
        <v>#REF!</v>
      </c>
      <c r="Q61" s="5" t="e">
        <f t="shared" si="51"/>
        <v>#REF!</v>
      </c>
      <c r="R61" s="5" t="e">
        <f t="shared" si="52"/>
        <v>#REF!</v>
      </c>
      <c r="S61" s="5">
        <f t="shared" si="38"/>
        <v>0</v>
      </c>
      <c r="T61" s="5" t="e">
        <f t="shared" si="53"/>
        <v>#REF!</v>
      </c>
      <c r="U61" s="5" t="str">
        <f t="shared" si="54"/>
        <v/>
      </c>
      <c r="V61" s="5" t="e">
        <f t="shared" si="55"/>
        <v>#REF!</v>
      </c>
      <c r="W61" s="5" t="e">
        <f t="shared" si="56"/>
        <v>#REF!</v>
      </c>
      <c r="X61" s="5">
        <f t="shared" si="39"/>
        <v>1</v>
      </c>
      <c r="Y61" s="5" t="e">
        <f t="shared" si="40"/>
        <v>#REF!</v>
      </c>
      <c r="Z61" s="5" t="e">
        <f t="shared" si="41"/>
        <v>#REF!</v>
      </c>
      <c r="AA61" s="5" t="e">
        <f t="shared" si="42"/>
        <v>#REF!</v>
      </c>
      <c r="AB61" s="5" t="e">
        <f t="shared" si="43"/>
        <v>#REF!</v>
      </c>
      <c r="AC61" s="5">
        <f t="shared" si="44"/>
        <v>0</v>
      </c>
      <c r="AD61" s="5">
        <f t="shared" si="45"/>
        <v>0</v>
      </c>
      <c r="AE61" s="5">
        <f t="shared" si="46"/>
        <v>0</v>
      </c>
      <c r="AF61" s="5" t="e">
        <f t="shared" si="47"/>
        <v>#REF!</v>
      </c>
      <c r="AG61" s="5" t="e">
        <f>N($E61)*N(#REF!)</f>
        <v>#REF!</v>
      </c>
      <c r="AH61" s="5" t="e">
        <f t="shared" si="48"/>
        <v>#REF!</v>
      </c>
      <c r="AI61" s="5">
        <f t="shared" si="49"/>
        <v>0</v>
      </c>
    </row>
    <row r="62" spans="1:35" x14ac:dyDescent="0.25">
      <c r="A62" s="3" t="s">
        <v>122</v>
      </c>
      <c r="B62" s="3" t="s">
        <v>64</v>
      </c>
      <c r="C62" s="3" t="s">
        <v>219</v>
      </c>
      <c r="D62" s="3" t="s">
        <v>220</v>
      </c>
      <c r="E62" s="12">
        <v>1</v>
      </c>
      <c r="F62" s="12" t="s">
        <v>41</v>
      </c>
      <c r="G62" s="12" t="s">
        <v>179</v>
      </c>
      <c r="H62" s="3" t="s">
        <v>37</v>
      </c>
      <c r="I62" s="4" t="s">
        <v>55</v>
      </c>
      <c r="J62" s="4" t="s">
        <v>64</v>
      </c>
      <c r="K62" s="5" t="s">
        <v>295</v>
      </c>
      <c r="L62" s="5" t="s">
        <v>137</v>
      </c>
      <c r="M62" s="5" t="s">
        <v>68</v>
      </c>
      <c r="N62" s="5" t="str">
        <f>IF(OR($C62="",$C62="FID YOK"),"",IF(ISNUMBER(MATCH($C62,FA_ANA,0)),"",IF(COUNTIF($C$1:$C61,$C62)&gt;0,"",MAX($N$1:$N61)+1)))</f>
        <v/>
      </c>
      <c r="O62" s="7" t="s">
        <v>63</v>
      </c>
      <c r="P62" s="5" t="e">
        <f t="shared" si="50"/>
        <v>#REF!</v>
      </c>
      <c r="Q62" s="5" t="e">
        <f t="shared" si="51"/>
        <v>#REF!</v>
      </c>
      <c r="R62" s="5" t="e">
        <f t="shared" si="52"/>
        <v>#REF!</v>
      </c>
      <c r="S62" s="5">
        <f t="shared" si="38"/>
        <v>0</v>
      </c>
      <c r="T62" s="5" t="e">
        <f t="shared" si="53"/>
        <v>#REF!</v>
      </c>
      <c r="U62" s="5" t="str">
        <f t="shared" si="54"/>
        <v/>
      </c>
      <c r="V62" s="5" t="e">
        <f t="shared" si="55"/>
        <v>#REF!</v>
      </c>
      <c r="W62" s="5" t="e">
        <f t="shared" si="56"/>
        <v>#REF!</v>
      </c>
      <c r="X62" s="5">
        <f t="shared" si="39"/>
        <v>1</v>
      </c>
      <c r="Y62" s="5" t="e">
        <f t="shared" si="40"/>
        <v>#REF!</v>
      </c>
      <c r="Z62" s="5" t="e">
        <f t="shared" si="41"/>
        <v>#REF!</v>
      </c>
      <c r="AA62" s="5" t="e">
        <f t="shared" si="42"/>
        <v>#REF!</v>
      </c>
      <c r="AB62" s="5" t="e">
        <f t="shared" si="43"/>
        <v>#REF!</v>
      </c>
      <c r="AC62" s="5">
        <f t="shared" si="44"/>
        <v>0</v>
      </c>
      <c r="AD62" s="5">
        <f t="shared" si="45"/>
        <v>0</v>
      </c>
      <c r="AE62" s="5">
        <f t="shared" si="46"/>
        <v>0</v>
      </c>
      <c r="AF62" s="5" t="e">
        <f t="shared" si="47"/>
        <v>#REF!</v>
      </c>
      <c r="AG62" s="5" t="e">
        <f>N($E62)*N(#REF!)</f>
        <v>#REF!</v>
      </c>
      <c r="AH62" s="5" t="e">
        <f t="shared" si="48"/>
        <v>#REF!</v>
      </c>
      <c r="AI62" s="5">
        <f t="shared" si="49"/>
        <v>0</v>
      </c>
    </row>
    <row r="63" spans="1:35" x14ac:dyDescent="0.25">
      <c r="A63" s="3" t="s">
        <v>122</v>
      </c>
      <c r="B63" s="3" t="s">
        <v>115</v>
      </c>
      <c r="C63" s="3" t="s">
        <v>285</v>
      </c>
      <c r="D63" s="3" t="s">
        <v>286</v>
      </c>
      <c r="E63" s="12">
        <v>1</v>
      </c>
      <c r="F63" s="12" t="s">
        <v>41</v>
      </c>
      <c r="G63" s="12" t="s">
        <v>216</v>
      </c>
      <c r="H63" s="3" t="s">
        <v>37</v>
      </c>
      <c r="I63" s="4" t="s">
        <v>81</v>
      </c>
      <c r="J63" s="4" t="s">
        <v>115</v>
      </c>
      <c r="K63" s="5" t="s">
        <v>296</v>
      </c>
      <c r="L63" s="5" t="s">
        <v>116</v>
      </c>
      <c r="N63" s="5" t="str">
        <f>IF(OR($C63="",$C63="FID YOK"),"",IF(ISNUMBER(MATCH($C63,FA_ANA,0)),"",IF(COUNTIF($C$1:$C62,$C63)&gt;0,"",MAX($N$1:$N62)+1)))</f>
        <v/>
      </c>
      <c r="S63" s="5">
        <f t="shared" si="38"/>
        <v>0</v>
      </c>
      <c r="X63" s="5">
        <f t="shared" si="39"/>
        <v>1</v>
      </c>
      <c r="Y63" s="5" t="e">
        <f t="shared" si="40"/>
        <v>#REF!</v>
      </c>
      <c r="Z63" s="5">
        <f t="shared" si="41"/>
        <v>0</v>
      </c>
      <c r="AA63" s="5">
        <f t="shared" si="42"/>
        <v>0</v>
      </c>
      <c r="AB63" s="5" t="e">
        <f t="shared" si="43"/>
        <v>#REF!</v>
      </c>
      <c r="AC63" s="5">
        <f t="shared" si="44"/>
        <v>0</v>
      </c>
      <c r="AD63" s="5">
        <f t="shared" si="45"/>
        <v>0</v>
      </c>
      <c r="AE63" s="5">
        <f t="shared" si="46"/>
        <v>0</v>
      </c>
      <c r="AF63" s="5" t="e">
        <f t="shared" si="47"/>
        <v>#REF!</v>
      </c>
      <c r="AG63" s="5" t="e">
        <f>N($E63)*N(#REF!)</f>
        <v>#REF!</v>
      </c>
      <c r="AH63" s="5" t="e">
        <f t="shared" si="48"/>
        <v>#REF!</v>
      </c>
      <c r="AI63" s="5">
        <f t="shared" si="49"/>
        <v>0</v>
      </c>
    </row>
    <row r="64" spans="1:35" x14ac:dyDescent="0.25">
      <c r="A64" s="3" t="s">
        <v>122</v>
      </c>
      <c r="B64" s="3" t="s">
        <v>115</v>
      </c>
      <c r="C64" s="3" t="s">
        <v>283</v>
      </c>
      <c r="D64" s="3" t="s">
        <v>284</v>
      </c>
      <c r="E64" s="12">
        <v>1</v>
      </c>
      <c r="F64" s="12" t="s">
        <v>41</v>
      </c>
      <c r="G64" s="12" t="s">
        <v>216</v>
      </c>
      <c r="H64" s="3" t="s">
        <v>37</v>
      </c>
      <c r="I64" s="4" t="s">
        <v>81</v>
      </c>
      <c r="J64" s="4" t="s">
        <v>115</v>
      </c>
      <c r="K64" s="5" t="s">
        <v>296</v>
      </c>
      <c r="L64" s="5" t="s">
        <v>117</v>
      </c>
      <c r="N64" s="5" t="str">
        <f>IF(OR($C64="",$C64="FID YOK"),"",IF(ISNUMBER(MATCH($C64,FA_ANA,0)),"",IF(COUNTIF($C$1:$C63,$C64)&gt;0,"",MAX($N$1:$N63)+1)))</f>
        <v/>
      </c>
      <c r="S64" s="5">
        <f t="shared" si="38"/>
        <v>0</v>
      </c>
      <c r="X64" s="5">
        <f t="shared" si="39"/>
        <v>1</v>
      </c>
      <c r="Y64" s="5" t="e">
        <f t="shared" si="40"/>
        <v>#REF!</v>
      </c>
      <c r="Z64" s="5">
        <f t="shared" si="41"/>
        <v>0</v>
      </c>
      <c r="AA64" s="5">
        <f t="shared" si="42"/>
        <v>0</v>
      </c>
      <c r="AB64" s="5" t="e">
        <f t="shared" si="43"/>
        <v>#REF!</v>
      </c>
      <c r="AC64" s="5">
        <f t="shared" si="44"/>
        <v>0</v>
      </c>
      <c r="AD64" s="5">
        <f t="shared" si="45"/>
        <v>0</v>
      </c>
      <c r="AE64" s="5">
        <f t="shared" si="46"/>
        <v>0</v>
      </c>
      <c r="AF64" s="5" t="e">
        <f t="shared" si="47"/>
        <v>#REF!</v>
      </c>
      <c r="AG64" s="5" t="e">
        <f>N($E64)*N(#REF!)</f>
        <v>#REF!</v>
      </c>
      <c r="AH64" s="5" t="e">
        <f t="shared" si="48"/>
        <v>#REF!</v>
      </c>
      <c r="AI64" s="5">
        <f t="shared" si="49"/>
        <v>0</v>
      </c>
    </row>
    <row r="65" spans="1:35" x14ac:dyDescent="0.25">
      <c r="A65" s="3" t="s">
        <v>122</v>
      </c>
      <c r="B65" s="3" t="s">
        <v>89</v>
      </c>
      <c r="C65" s="3" t="s">
        <v>245</v>
      </c>
      <c r="D65" s="3" t="s">
        <v>246</v>
      </c>
      <c r="E65" s="12">
        <v>14.4</v>
      </c>
      <c r="F65" s="12" t="s">
        <v>242</v>
      </c>
      <c r="G65" s="12" t="s">
        <v>243</v>
      </c>
      <c r="H65" s="3" t="s">
        <v>37</v>
      </c>
      <c r="I65" s="4" t="s">
        <v>81</v>
      </c>
      <c r="J65" s="4" t="s">
        <v>89</v>
      </c>
      <c r="K65" s="5" t="s">
        <v>297</v>
      </c>
      <c r="L65" s="5" t="s">
        <v>90</v>
      </c>
      <c r="N65" s="5" t="str">
        <f>IF(OR($C65="",$C65="FID YOK"),"",IF(ISNUMBER(MATCH($C65,FA_ANA,0)),"",IF(COUNTIF($C$1:$C64,$C65)&gt;0,"",MAX($N$1:$N64)+1)))</f>
        <v/>
      </c>
      <c r="S65" s="5">
        <f t="shared" si="38"/>
        <v>0</v>
      </c>
      <c r="X65" s="5">
        <f t="shared" si="39"/>
        <v>14.4</v>
      </c>
      <c r="Y65" s="5" t="e">
        <f t="shared" si="40"/>
        <v>#REF!</v>
      </c>
      <c r="Z65" s="5">
        <f t="shared" si="41"/>
        <v>0</v>
      </c>
      <c r="AA65" s="5">
        <f t="shared" si="42"/>
        <v>0</v>
      </c>
      <c r="AB65" s="5" t="e">
        <f t="shared" si="43"/>
        <v>#REF!</v>
      </c>
      <c r="AC65" s="5">
        <f t="shared" si="44"/>
        <v>0</v>
      </c>
      <c r="AD65" s="5">
        <f t="shared" si="45"/>
        <v>0</v>
      </c>
      <c r="AE65" s="5">
        <f t="shared" si="46"/>
        <v>0</v>
      </c>
      <c r="AF65" s="5" t="e">
        <f t="shared" si="47"/>
        <v>#REF!</v>
      </c>
      <c r="AG65" s="5" t="e">
        <f>N($E65)*N(#REF!)</f>
        <v>#REF!</v>
      </c>
      <c r="AH65" s="5" t="e">
        <f t="shared" si="48"/>
        <v>#REF!</v>
      </c>
      <c r="AI65" s="5">
        <f t="shared" si="49"/>
        <v>0</v>
      </c>
    </row>
    <row r="66" spans="1:35" x14ac:dyDescent="0.25">
      <c r="A66" s="3" t="s">
        <v>122</v>
      </c>
      <c r="B66" s="3" t="s">
        <v>89</v>
      </c>
      <c r="C66" s="3" t="s">
        <v>253</v>
      </c>
      <c r="D66" s="3" t="s">
        <v>254</v>
      </c>
      <c r="E66" s="12">
        <v>2</v>
      </c>
      <c r="F66" s="12" t="s">
        <v>242</v>
      </c>
      <c r="G66" s="12" t="s">
        <v>243</v>
      </c>
      <c r="H66" s="3" t="s">
        <v>37</v>
      </c>
      <c r="I66" s="4" t="s">
        <v>81</v>
      </c>
      <c r="J66" s="4" t="s">
        <v>89</v>
      </c>
      <c r="K66" s="5" t="s">
        <v>297</v>
      </c>
      <c r="L66" s="5" t="s">
        <v>138</v>
      </c>
      <c r="N66" s="5">
        <f>IF(OR($C66="",$C66="FID YOK"),"",IF(ISNUMBER(MATCH($C66,FA_ANA,0)),"",IF(COUNTIF($C$1:$C65,$C66)&gt;0,"",MAX($N$1:$N65)+1)))</f>
        <v>37</v>
      </c>
      <c r="S66" s="5">
        <f t="shared" si="38"/>
        <v>0</v>
      </c>
      <c r="X66" s="5">
        <f t="shared" si="39"/>
        <v>2</v>
      </c>
      <c r="Y66" s="5" t="e">
        <f t="shared" si="40"/>
        <v>#REF!</v>
      </c>
      <c r="Z66" s="5">
        <f t="shared" si="41"/>
        <v>0</v>
      </c>
      <c r="AA66" s="5">
        <f t="shared" si="42"/>
        <v>0</v>
      </c>
      <c r="AB66" s="5" t="e">
        <f t="shared" si="43"/>
        <v>#REF!</v>
      </c>
      <c r="AC66" s="5">
        <f t="shared" si="44"/>
        <v>0</v>
      </c>
      <c r="AD66" s="5">
        <f t="shared" si="45"/>
        <v>0</v>
      </c>
      <c r="AE66" s="5">
        <f t="shared" si="46"/>
        <v>0</v>
      </c>
      <c r="AF66" s="5" t="e">
        <f t="shared" si="47"/>
        <v>#REF!</v>
      </c>
      <c r="AG66" s="5" t="e">
        <f>N($E66)*N(#REF!)</f>
        <v>#REF!</v>
      </c>
      <c r="AH66" s="5" t="e">
        <f t="shared" si="48"/>
        <v>#REF!</v>
      </c>
      <c r="AI66" s="5">
        <f t="shared" si="49"/>
        <v>0</v>
      </c>
    </row>
    <row r="67" spans="1:35" x14ac:dyDescent="0.25">
      <c r="A67" s="3" t="s">
        <v>122</v>
      </c>
      <c r="B67" s="3" t="s">
        <v>89</v>
      </c>
      <c r="C67" s="3" t="s">
        <v>257</v>
      </c>
      <c r="D67" s="3" t="s">
        <v>258</v>
      </c>
      <c r="E67" s="12">
        <v>0.8</v>
      </c>
      <c r="F67" s="12" t="s">
        <v>242</v>
      </c>
      <c r="G67" s="12" t="s">
        <v>243</v>
      </c>
      <c r="H67" s="3" t="s">
        <v>37</v>
      </c>
      <c r="I67" s="4" t="s">
        <v>81</v>
      </c>
      <c r="J67" s="4" t="s">
        <v>89</v>
      </c>
      <c r="K67" s="5" t="s">
        <v>297</v>
      </c>
      <c r="L67" s="5" t="s">
        <v>118</v>
      </c>
      <c r="N67" s="5" t="str">
        <f>IF(OR($C67="",$C67="FID YOK"),"",IF(ISNUMBER(MATCH($C67,FA_ANA,0)),"",IF(COUNTIF($C$1:$C66,$C67)&gt;0,"",MAX($N$1:$N66)+1)))</f>
        <v/>
      </c>
      <c r="S67" s="5">
        <f t="shared" si="38"/>
        <v>0</v>
      </c>
      <c r="X67" s="5">
        <f t="shared" si="39"/>
        <v>0.8</v>
      </c>
      <c r="Y67" s="5" t="e">
        <f t="shared" si="40"/>
        <v>#REF!</v>
      </c>
      <c r="Z67" s="5">
        <f t="shared" si="41"/>
        <v>0</v>
      </c>
      <c r="AA67" s="5">
        <f t="shared" si="42"/>
        <v>0</v>
      </c>
      <c r="AB67" s="5" t="e">
        <f t="shared" si="43"/>
        <v>#REF!</v>
      </c>
      <c r="AC67" s="5">
        <f t="shared" si="44"/>
        <v>0</v>
      </c>
      <c r="AD67" s="5">
        <f t="shared" si="45"/>
        <v>0</v>
      </c>
      <c r="AE67" s="5">
        <f t="shared" si="46"/>
        <v>0</v>
      </c>
      <c r="AF67" s="5" t="e">
        <f t="shared" si="47"/>
        <v>#REF!</v>
      </c>
      <c r="AG67" s="5" t="e">
        <f>N($E67)*N(#REF!)</f>
        <v>#REF!</v>
      </c>
      <c r="AH67" s="5" t="e">
        <f t="shared" si="48"/>
        <v>#REF!</v>
      </c>
      <c r="AI67" s="5">
        <f t="shared" si="49"/>
        <v>0</v>
      </c>
    </row>
    <row r="68" spans="1:35" x14ac:dyDescent="0.25">
      <c r="A68" s="3" t="s">
        <v>122</v>
      </c>
      <c r="B68" s="3" t="s">
        <v>89</v>
      </c>
      <c r="C68" s="3" t="s">
        <v>257</v>
      </c>
      <c r="D68" s="3" t="s">
        <v>258</v>
      </c>
      <c r="E68" s="12">
        <v>0.5</v>
      </c>
      <c r="F68" s="12" t="s">
        <v>242</v>
      </c>
      <c r="G68" s="12" t="s">
        <v>243</v>
      </c>
      <c r="H68" s="3" t="s">
        <v>37</v>
      </c>
      <c r="I68" s="4" t="s">
        <v>81</v>
      </c>
      <c r="J68" s="4" t="s">
        <v>89</v>
      </c>
      <c r="K68" s="5" t="s">
        <v>297</v>
      </c>
      <c r="L68" s="5" t="s">
        <v>92</v>
      </c>
      <c r="N68" s="5" t="str">
        <f>IF(OR($C68="",$C68="FID YOK"),"",IF(ISNUMBER(MATCH($C68,FA_ANA,0)),"",IF(COUNTIF($C$1:$C67,$C68)&gt;0,"",MAX($N$1:$N67)+1)))</f>
        <v/>
      </c>
      <c r="S68" s="5">
        <f t="shared" si="38"/>
        <v>0</v>
      </c>
      <c r="X68" s="5">
        <f t="shared" si="39"/>
        <v>0.5</v>
      </c>
      <c r="Y68" s="5" t="e">
        <f t="shared" si="40"/>
        <v>#REF!</v>
      </c>
      <c r="Z68" s="5">
        <f t="shared" si="41"/>
        <v>0</v>
      </c>
      <c r="AA68" s="5">
        <f t="shared" si="42"/>
        <v>0</v>
      </c>
      <c r="AB68" s="5" t="e">
        <f t="shared" si="43"/>
        <v>#REF!</v>
      </c>
      <c r="AC68" s="5">
        <f t="shared" si="44"/>
        <v>0</v>
      </c>
      <c r="AD68" s="5">
        <f t="shared" si="45"/>
        <v>0</v>
      </c>
      <c r="AE68" s="5">
        <f t="shared" si="46"/>
        <v>0</v>
      </c>
      <c r="AF68" s="5" t="e">
        <f t="shared" si="47"/>
        <v>#REF!</v>
      </c>
      <c r="AG68" s="5" t="e">
        <f>N($E68)*N(#REF!)</f>
        <v>#REF!</v>
      </c>
      <c r="AH68" s="5" t="e">
        <f t="shared" si="48"/>
        <v>#REF!</v>
      </c>
      <c r="AI68" s="5">
        <f t="shared" si="49"/>
        <v>0</v>
      </c>
    </row>
    <row r="69" spans="1:35" x14ac:dyDescent="0.25">
      <c r="A69" s="3" t="s">
        <v>122</v>
      </c>
      <c r="B69" s="3" t="s">
        <v>93</v>
      </c>
      <c r="C69" s="3" t="s">
        <v>247</v>
      </c>
      <c r="D69" s="3" t="s">
        <v>248</v>
      </c>
      <c r="E69" s="12">
        <v>1</v>
      </c>
      <c r="F69" s="12" t="s">
        <v>244</v>
      </c>
      <c r="G69" s="12" t="s">
        <v>216</v>
      </c>
      <c r="H69" s="3" t="s">
        <v>37</v>
      </c>
      <c r="I69" s="4" t="s">
        <v>81</v>
      </c>
      <c r="J69" s="4" t="s">
        <v>93</v>
      </c>
      <c r="K69" s="5" t="s">
        <v>296</v>
      </c>
      <c r="L69" s="5" t="s">
        <v>94</v>
      </c>
      <c r="N69" s="5" t="str">
        <f>IF(OR($C69="",$C69="FID YOK"),"",IF(ISNUMBER(MATCH($C69,FA_ANA,0)),"",IF(COUNTIF($C$1:$C68,$C69)&gt;0,"",MAX($N$1:$N68)+1)))</f>
        <v/>
      </c>
      <c r="S69" s="5">
        <f t="shared" si="38"/>
        <v>0</v>
      </c>
      <c r="X69" s="5" t="e">
        <f t="shared" si="39"/>
        <v>#REF!</v>
      </c>
      <c r="Y69" s="5" t="e">
        <f t="shared" si="40"/>
        <v>#REF!</v>
      </c>
      <c r="Z69" s="5">
        <f t="shared" si="41"/>
        <v>0</v>
      </c>
      <c r="AA69" s="5">
        <f t="shared" si="42"/>
        <v>0</v>
      </c>
      <c r="AB69" s="5" t="e">
        <f t="shared" si="43"/>
        <v>#REF!</v>
      </c>
      <c r="AC69" s="5">
        <f t="shared" si="44"/>
        <v>0</v>
      </c>
      <c r="AD69" s="5">
        <f t="shared" si="45"/>
        <v>0</v>
      </c>
      <c r="AE69" s="5">
        <f t="shared" si="46"/>
        <v>0</v>
      </c>
      <c r="AF69" s="5" t="e">
        <f t="shared" si="47"/>
        <v>#REF!</v>
      </c>
      <c r="AG69" s="5" t="e">
        <f>N($E69)*N(#REF!)</f>
        <v>#REF!</v>
      </c>
      <c r="AH69" s="5" t="e">
        <f t="shared" si="48"/>
        <v>#REF!</v>
      </c>
      <c r="AI69" s="5">
        <f t="shared" si="49"/>
        <v>0</v>
      </c>
    </row>
    <row r="70" spans="1:35" x14ac:dyDescent="0.25">
      <c r="A70" s="3" t="s">
        <v>122</v>
      </c>
      <c r="B70" s="3" t="s">
        <v>93</v>
      </c>
      <c r="C70" s="3" t="s">
        <v>255</v>
      </c>
      <c r="D70" s="3" t="s">
        <v>256</v>
      </c>
      <c r="E70" s="12">
        <v>1</v>
      </c>
      <c r="F70" s="12" t="s">
        <v>244</v>
      </c>
      <c r="G70" s="12" t="s">
        <v>216</v>
      </c>
      <c r="H70" s="3" t="s">
        <v>37</v>
      </c>
      <c r="I70" s="4" t="s">
        <v>81</v>
      </c>
      <c r="J70" s="4" t="s">
        <v>93</v>
      </c>
      <c r="K70" s="5" t="s">
        <v>296</v>
      </c>
      <c r="L70" s="5" t="s">
        <v>139</v>
      </c>
      <c r="N70" s="5">
        <f>IF(OR($C70="",$C70="FID YOK"),"",IF(ISNUMBER(MATCH($C70,FA_ANA,0)),"",IF(COUNTIF($C$1:$C69,$C70)&gt;0,"",MAX($N$1:$N69)+1)))</f>
        <v>38</v>
      </c>
      <c r="S70" s="5">
        <f t="shared" si="38"/>
        <v>0</v>
      </c>
      <c r="X70" s="5" t="e">
        <f t="shared" si="39"/>
        <v>#REF!</v>
      </c>
      <c r="Y70" s="5" t="e">
        <f t="shared" si="40"/>
        <v>#REF!</v>
      </c>
      <c r="Z70" s="5">
        <f t="shared" si="41"/>
        <v>0</v>
      </c>
      <c r="AA70" s="5">
        <f t="shared" si="42"/>
        <v>0</v>
      </c>
      <c r="AB70" s="5" t="e">
        <f t="shared" si="43"/>
        <v>#REF!</v>
      </c>
      <c r="AC70" s="5">
        <f t="shared" si="44"/>
        <v>0</v>
      </c>
      <c r="AD70" s="5">
        <f t="shared" si="45"/>
        <v>0</v>
      </c>
      <c r="AE70" s="5">
        <f t="shared" si="46"/>
        <v>0</v>
      </c>
      <c r="AF70" s="5" t="e">
        <f t="shared" si="47"/>
        <v>#REF!</v>
      </c>
      <c r="AG70" s="5" t="e">
        <f>N($E70)*N(#REF!)</f>
        <v>#REF!</v>
      </c>
      <c r="AH70" s="5" t="e">
        <f t="shared" si="48"/>
        <v>#REF!</v>
      </c>
      <c r="AI70" s="5">
        <f t="shared" si="49"/>
        <v>0</v>
      </c>
    </row>
    <row r="71" spans="1:35" x14ac:dyDescent="0.25">
      <c r="A71" s="3" t="s">
        <v>122</v>
      </c>
      <c r="B71" s="3" t="s">
        <v>93</v>
      </c>
      <c r="C71" s="3" t="s">
        <v>259</v>
      </c>
      <c r="D71" s="3" t="s">
        <v>260</v>
      </c>
      <c r="E71" s="12">
        <v>1</v>
      </c>
      <c r="F71" s="12" t="s">
        <v>244</v>
      </c>
      <c r="G71" s="12" t="s">
        <v>216</v>
      </c>
      <c r="H71" s="3" t="s">
        <v>37</v>
      </c>
      <c r="I71" s="4" t="s">
        <v>81</v>
      </c>
      <c r="J71" s="4" t="s">
        <v>93</v>
      </c>
      <c r="K71" s="5" t="s">
        <v>296</v>
      </c>
      <c r="L71" s="5" t="s">
        <v>120</v>
      </c>
      <c r="N71" s="5" t="str">
        <f>IF(OR($C71="",$C71="FID YOK"),"",IF(ISNUMBER(MATCH($C71,FA_ANA,0)),"",IF(COUNTIF($C$1:$C70,$C71)&gt;0,"",MAX($N$1:$N70)+1)))</f>
        <v/>
      </c>
      <c r="S71" s="5">
        <f t="shared" si="38"/>
        <v>0</v>
      </c>
      <c r="X71" s="5" t="e">
        <f t="shared" si="39"/>
        <v>#REF!</v>
      </c>
      <c r="Y71" s="5" t="e">
        <f t="shared" si="40"/>
        <v>#REF!</v>
      </c>
      <c r="Z71" s="5">
        <f t="shared" si="41"/>
        <v>0</v>
      </c>
      <c r="AA71" s="5">
        <f t="shared" si="42"/>
        <v>0</v>
      </c>
      <c r="AB71" s="5" t="e">
        <f t="shared" si="43"/>
        <v>#REF!</v>
      </c>
      <c r="AC71" s="5">
        <f t="shared" si="44"/>
        <v>0</v>
      </c>
      <c r="AD71" s="5">
        <f t="shared" si="45"/>
        <v>0</v>
      </c>
      <c r="AE71" s="5">
        <f t="shared" si="46"/>
        <v>0</v>
      </c>
      <c r="AF71" s="5" t="e">
        <f t="shared" si="47"/>
        <v>#REF!</v>
      </c>
      <c r="AG71" s="5" t="e">
        <f>N($E71)*N(#REF!)</f>
        <v>#REF!</v>
      </c>
      <c r="AH71" s="5" t="e">
        <f t="shared" si="48"/>
        <v>#REF!</v>
      </c>
      <c r="AI71" s="5">
        <f t="shared" si="49"/>
        <v>0</v>
      </c>
    </row>
    <row r="72" spans="1:35" x14ac:dyDescent="0.25">
      <c r="A72" s="3" t="s">
        <v>122</v>
      </c>
      <c r="B72" s="3" t="s">
        <v>95</v>
      </c>
      <c r="C72" s="3" t="s">
        <v>261</v>
      </c>
      <c r="D72" s="3" t="s">
        <v>262</v>
      </c>
      <c r="E72" s="12">
        <v>2</v>
      </c>
      <c r="F72" s="12" t="s">
        <v>41</v>
      </c>
      <c r="G72" s="12" t="s">
        <v>216</v>
      </c>
      <c r="H72" s="3" t="s">
        <v>37</v>
      </c>
      <c r="I72" s="4" t="s">
        <v>81</v>
      </c>
      <c r="J72" s="4" t="s">
        <v>95</v>
      </c>
      <c r="K72" s="5" t="s">
        <v>296</v>
      </c>
      <c r="L72" s="5" t="s">
        <v>97</v>
      </c>
      <c r="N72" s="5" t="str">
        <f>IF(OR($C72="",$C72="FID YOK"),"",IF(ISNUMBER(MATCH($C72,FA_ANA,0)),"",IF(COUNTIF($C$1:$C71,$C72)&gt;0,"",MAX($N$1:$N71)+1)))</f>
        <v/>
      </c>
      <c r="S72" s="5">
        <f t="shared" si="38"/>
        <v>0</v>
      </c>
      <c r="X72" s="5">
        <f t="shared" si="39"/>
        <v>2</v>
      </c>
      <c r="Y72" s="5" t="e">
        <f t="shared" si="40"/>
        <v>#REF!</v>
      </c>
      <c r="Z72" s="5">
        <f t="shared" si="41"/>
        <v>0</v>
      </c>
      <c r="AA72" s="5">
        <f t="shared" si="42"/>
        <v>0</v>
      </c>
      <c r="AB72" s="5" t="e">
        <f t="shared" si="43"/>
        <v>#REF!</v>
      </c>
      <c r="AC72" s="5">
        <f t="shared" si="44"/>
        <v>0</v>
      </c>
      <c r="AD72" s="5">
        <f t="shared" si="45"/>
        <v>0</v>
      </c>
      <c r="AE72" s="5">
        <f t="shared" si="46"/>
        <v>0</v>
      </c>
      <c r="AF72" s="5" t="e">
        <f t="shared" si="47"/>
        <v>#REF!</v>
      </c>
      <c r="AG72" s="5" t="e">
        <f>N($E72)*N(#REF!)</f>
        <v>#REF!</v>
      </c>
      <c r="AH72" s="5" t="e">
        <f t="shared" si="48"/>
        <v>#REF!</v>
      </c>
      <c r="AI72" s="5">
        <f t="shared" si="49"/>
        <v>0</v>
      </c>
    </row>
    <row r="73" spans="1:35" x14ac:dyDescent="0.25">
      <c r="A73" s="3" t="s">
        <v>122</v>
      </c>
      <c r="B73" s="3" t="s">
        <v>98</v>
      </c>
      <c r="C73" s="3" t="s">
        <v>279</v>
      </c>
      <c r="D73" s="3" t="s">
        <v>280</v>
      </c>
      <c r="E73" s="12">
        <v>1</v>
      </c>
      <c r="F73" s="12" t="s">
        <v>244</v>
      </c>
      <c r="G73" s="12" t="s">
        <v>216</v>
      </c>
      <c r="H73" s="3" t="s">
        <v>37</v>
      </c>
      <c r="I73" s="4" t="s">
        <v>81</v>
      </c>
      <c r="J73" s="4" t="s">
        <v>98</v>
      </c>
      <c r="K73" s="5" t="s">
        <v>296</v>
      </c>
      <c r="L73" s="5" t="s">
        <v>99</v>
      </c>
      <c r="N73" s="5" t="str">
        <f>IF(OR($C73="",$C73="FID YOK"),"",IF(ISNUMBER(MATCH($C73,FA_ANA,0)),"",IF(COUNTIF($C$1:$C72,$C73)&gt;0,"",MAX($N$1:$N72)+1)))</f>
        <v/>
      </c>
      <c r="S73" s="5">
        <f t="shared" si="38"/>
        <v>0</v>
      </c>
      <c r="X73" s="5" t="e">
        <f t="shared" si="39"/>
        <v>#REF!</v>
      </c>
      <c r="Y73" s="5" t="e">
        <f t="shared" si="40"/>
        <v>#REF!</v>
      </c>
      <c r="Z73" s="5">
        <f t="shared" si="41"/>
        <v>0</v>
      </c>
      <c r="AA73" s="5">
        <f t="shared" si="42"/>
        <v>0</v>
      </c>
      <c r="AB73" s="5" t="e">
        <f t="shared" si="43"/>
        <v>#REF!</v>
      </c>
      <c r="AC73" s="5">
        <f t="shared" si="44"/>
        <v>0</v>
      </c>
      <c r="AD73" s="5">
        <f t="shared" si="45"/>
        <v>0</v>
      </c>
      <c r="AE73" s="5">
        <f t="shared" si="46"/>
        <v>0</v>
      </c>
      <c r="AF73" s="5" t="e">
        <f t="shared" si="47"/>
        <v>#REF!</v>
      </c>
      <c r="AG73" s="5" t="e">
        <f>N($E73)*N(#REF!)</f>
        <v>#REF!</v>
      </c>
      <c r="AH73" s="5" t="e">
        <f t="shared" si="48"/>
        <v>#REF!</v>
      </c>
      <c r="AI73" s="5">
        <f t="shared" si="49"/>
        <v>0</v>
      </c>
    </row>
    <row r="74" spans="1:35" x14ac:dyDescent="0.25">
      <c r="A74" s="3" t="s">
        <v>122</v>
      </c>
      <c r="B74" s="3" t="s">
        <v>40</v>
      </c>
      <c r="C74" s="3" t="s">
        <v>40</v>
      </c>
      <c r="D74" s="3" t="s">
        <v>40</v>
      </c>
      <c r="E74" s="12">
        <v>1</v>
      </c>
      <c r="F74" s="12" t="s">
        <v>41</v>
      </c>
      <c r="G74" s="12" t="s">
        <v>40</v>
      </c>
      <c r="H74" s="3" t="s">
        <v>37</v>
      </c>
    </row>
    <row r="75" spans="1:35" x14ac:dyDescent="0.25">
      <c r="A75" s="3" t="s">
        <v>122</v>
      </c>
      <c r="B75" s="3" t="s">
        <v>42</v>
      </c>
      <c r="C75" s="3" t="s">
        <v>42</v>
      </c>
      <c r="D75" s="3" t="s">
        <v>42</v>
      </c>
      <c r="E75" s="12">
        <v>178.8</v>
      </c>
      <c r="F75" s="12" t="s">
        <v>43</v>
      </c>
      <c r="G75" s="12" t="s">
        <v>42</v>
      </c>
      <c r="H75" s="3" t="s">
        <v>37</v>
      </c>
    </row>
    <row r="76" spans="1:35" x14ac:dyDescent="0.25">
      <c r="A76" s="3" t="s">
        <v>122</v>
      </c>
      <c r="B76" s="6"/>
      <c r="C76" s="6"/>
      <c r="D76" s="6"/>
      <c r="E76" s="13"/>
      <c r="F76" s="13"/>
      <c r="G76" s="13"/>
      <c r="H76" s="3" t="s">
        <v>37</v>
      </c>
      <c r="K76" s="4" t="s">
        <v>298</v>
      </c>
      <c r="L76" s="4" t="s">
        <v>301</v>
      </c>
    </row>
    <row r="77" spans="1:35" x14ac:dyDescent="0.25">
      <c r="A77" s="1" t="s">
        <v>140</v>
      </c>
      <c r="B77" s="2"/>
      <c r="C77" s="2"/>
      <c r="D77" s="1" t="s">
        <v>140</v>
      </c>
      <c r="E77" s="11">
        <v>1</v>
      </c>
      <c r="F77" s="11" t="s">
        <v>35</v>
      </c>
      <c r="G77" s="11" t="s">
        <v>36</v>
      </c>
      <c r="H77" s="1" t="s">
        <v>37</v>
      </c>
    </row>
    <row r="78" spans="1:35" x14ac:dyDescent="0.25">
      <c r="A78" s="3" t="s">
        <v>140</v>
      </c>
      <c r="B78" s="3" t="s">
        <v>45</v>
      </c>
      <c r="C78" s="3" t="s">
        <v>291</v>
      </c>
      <c r="D78" s="3" t="s">
        <v>292</v>
      </c>
      <c r="E78" s="12">
        <v>1</v>
      </c>
      <c r="F78" s="12" t="s">
        <v>41</v>
      </c>
      <c r="G78" s="12" t="s">
        <v>216</v>
      </c>
      <c r="H78" s="3" t="s">
        <v>37</v>
      </c>
      <c r="I78" s="4" t="s">
        <v>46</v>
      </c>
      <c r="J78" s="4" t="s">
        <v>141</v>
      </c>
      <c r="K78" s="5" t="s">
        <v>296</v>
      </c>
      <c r="L78" s="5" t="s">
        <v>142</v>
      </c>
      <c r="M78" s="5" t="s">
        <v>143</v>
      </c>
      <c r="N78" s="5">
        <f>IF(OR($C78="",$C78="FID YOK"),"",IF(ISNUMBER(MATCH($C78,FA_ANA,0)),"",IF(COUNTIF($C$1:$C77,$C78)&gt;0,"",MAX($N$1:$N77)+1)))</f>
        <v>39</v>
      </c>
      <c r="P78" s="5"/>
      <c r="Q78" s="5"/>
      <c r="R78" s="5"/>
      <c r="S78" s="5">
        <f t="shared" ref="S78:S105" si="57">IF(ISNA(MATCH($C78,FA,0)),0,IF($I78="GIRIS",N(INDEX(F_INKOR,MATCH($C78,FA,0))),0))</f>
        <v>0</v>
      </c>
      <c r="T78" s="5"/>
      <c r="U78" s="5"/>
      <c r="V78" s="5"/>
      <c r="W78" s="5"/>
      <c r="X78" s="5">
        <f t="shared" ref="X78:X105" si="58">N($E78)*IF($F78="упак",MAX(1,IF(ISNA(MATCH($C78,FA,0)),1,N(INDEX(F_PAKET,MATCH($C78,FA,0))))),1)</f>
        <v>1</v>
      </c>
      <c r="Y78" s="5" t="e">
        <f t="shared" ref="Y78:Y105" si="59">IF(ISNA(MATCH($C78,FA,0)),0,N(INDEX(F_BK,MATCH($C78,FA,0))))</f>
        <v>#REF!</v>
      </c>
      <c r="Z78" s="5" t="e">
        <f t="shared" ref="Z78:Z105" si="60">IF(OR(ISNA(MATCH($C78,FA,0)),$I78="YEDEK",$I78="SARF"),0,N($E78)*N(INDEX(F_TEL,MATCH($C78,FA,0))))</f>
        <v>#REF!</v>
      </c>
      <c r="AA78" s="5" t="e">
        <f t="shared" ref="AA78:AA105" si="61">IF(OR(ISNA(MATCH($C78,FA,0)),$I78="YEDEK",$I78="SARF"),0,N($E78)*N(INDEX(F_TELM,MATCH($C78,FA,0))))</f>
        <v>#REF!</v>
      </c>
      <c r="AB78" s="5" t="e">
        <f t="shared" ref="AB78:AB105" si="62">IF(ISNA(MATCH($C78,FA,0)),"",INDEX(F_UC,MATCH($C78,FA,0))&amp;"")</f>
        <v>#REF!</v>
      </c>
      <c r="AC78" s="5">
        <f t="shared" ref="AC78:AC105" si="63">IF(OR(ISNA(MATCH($C78,FA,0)),$I78&lt;&gt;"CIKIS"),0,N(INDEX(F_KK,MATCH($C78,FA,0))))</f>
        <v>0</v>
      </c>
      <c r="AD78" s="5">
        <f t="shared" ref="AD78:AD105" si="64">IF($AC78=0,0,N($E78)*N(INDEX(F_KLN,MATCH($C78,FA,0))))</f>
        <v>0</v>
      </c>
      <c r="AE78" s="5">
        <f t="shared" ref="AE78:AE105" si="65">IF($AC78=0,0,N($E78)*N(INDEX(F_KPE,MATCH($C78,FA,0))))</f>
        <v>0</v>
      </c>
      <c r="AF78" s="5" t="e">
        <f t="shared" ref="AF78:AF105" si="66">IF(ISNA(MATCH($C78,FA,0)),0,N($E78)*N(INDEX(F_MODUL,MATCH($C78,FA,0))))</f>
        <v>#REF!</v>
      </c>
      <c r="AG78" s="5" t="e">
        <f>N($E78)*N(#REF!)</f>
        <v>#REF!</v>
      </c>
      <c r="AH78" s="5" t="e">
        <f t="shared" ref="AH78:AH105" si="67">IF(ISNA(MATCH($J78,TIP_AD,0)),"YOK",IF(INDEX(NORM_DK,MATCH($J78,TIP_AD,0))="","BOŞ",INDEX(NORM_DK,MATCH($J78,TIP_AD,0))))</f>
        <v>#REF!</v>
      </c>
      <c r="AI78" s="5">
        <f t="shared" ref="AI78:AI105" si="68">IF(ISNUMBER($AH78),$X78*$AH78,0)</f>
        <v>0</v>
      </c>
    </row>
    <row r="79" spans="1:35" x14ac:dyDescent="0.25">
      <c r="A79" s="3" t="s">
        <v>140</v>
      </c>
      <c r="B79" s="3" t="s">
        <v>50</v>
      </c>
      <c r="C79" s="3" t="s">
        <v>177</v>
      </c>
      <c r="D79" s="3" t="s">
        <v>178</v>
      </c>
      <c r="E79" s="12">
        <v>1</v>
      </c>
      <c r="F79" s="12" t="s">
        <v>41</v>
      </c>
      <c r="G79" s="12" t="s">
        <v>179</v>
      </c>
      <c r="H79" s="3" t="s">
        <v>37</v>
      </c>
      <c r="I79" s="4" t="s">
        <v>51</v>
      </c>
      <c r="J79" s="4" t="s">
        <v>50</v>
      </c>
      <c r="K79" s="5" t="s">
        <v>295</v>
      </c>
      <c r="L79" s="5" t="s">
        <v>144</v>
      </c>
      <c r="M79" s="5" t="s">
        <v>145</v>
      </c>
      <c r="N79" s="5">
        <f>IF(OR($C79="",$C79="FID YOK"),"",IF(ISNUMBER(MATCH($C79,FA_ANA,0)),"",IF(COUNTIF($C$1:$C78,$C79)&gt;0,"",MAX($N$1:$N78)+1)))</f>
        <v>40</v>
      </c>
      <c r="O79" s="7">
        <v>1</v>
      </c>
      <c r="P79" s="5" t="e">
        <f t="shared" ref="P79:P86" si="69">IF(OR($O79="",$O79="G",ISNA(MATCH($C79,FA,0))),"",IF(N(INDEX(F_G,MATCH($C79,FA,0)))&gt;0,INDEX(F_G,MATCH($C79,FA,0)),IF(N(INDEX(F_MODUL,MATCH($C79,FA,0)))&gt;0,INDEX(F_MODUL,MATCH($C79,FA,0))*MODUL_MM,"")))</f>
        <v>#REF!</v>
      </c>
      <c r="Q79" s="5" t="e">
        <f t="shared" ref="Q79:Q86" si="70">IF(OR($O79="",$O79="G",ISNA(MATCH($C79,FA,0))),"",IF(N(INDEX(F_Y,MATCH($C79,FA,0)))&gt;0,INDEX(F_Y,MATCH($C79,FA,0)),""))</f>
        <v>#REF!</v>
      </c>
      <c r="R79" s="5" t="e">
        <f t="shared" ref="R79:R86" si="71">IF(OR($O79="",$O79="G",ISNA(MATCH($C79,FA,0))),"",IF(N(INDEX(F_D,MATCH($C79,FA,0)))&gt;0,INDEX(F_D,MATCH($C79,FA,0)),""))</f>
        <v>#REF!</v>
      </c>
      <c r="S79" s="5" t="e">
        <f t="shared" si="57"/>
        <v>#REF!</v>
      </c>
      <c r="T79" s="5" t="e">
        <f t="shared" ref="T79:T86" si="72">IF(ISNA(MATCH($B79,TIP_AD,0)),"",INDEX(TIP_KAT,MATCH($B79,TIP_AD,0))&amp;"")</f>
        <v>#REF!</v>
      </c>
      <c r="U79" s="5" t="e">
        <f t="shared" ref="U79:U86" si="73">IF(NOT(ISNUMBER($O79)),"",IF($Y79=0,0,IF(ISNA(MATCH($Y79,BUK_KESIT,0)),"",IF(INDEX(BUK_ALAN,MATCH($Y79,BUK_KESIT,0))&amp;""="","",INDEX(BUK_ALAN,MATCH($Y79,BUK_KESIT,0))))))</f>
        <v>#REF!</v>
      </c>
      <c r="V79" s="5" t="e">
        <f t="shared" ref="V79:V86" si="74">IF(OR(NOT(ISNUMBER($O79)),$P79=""),"",N($E79)*($P79+IF(ISNA(MATCH($B79,TIP_AD,0)),0,N(INDEX(TIP_BOSLUK,MATCH($B79,TIP_AD,0))))))</f>
        <v>#REF!</v>
      </c>
      <c r="W79" s="5" t="e">
        <f t="shared" ref="W79:W86" si="75">IF(ISNUMBER($O79),($P79="")+($Q79="")+($U79="")+IF(AND($T79="KONTAKTOR",NOT(ISNA(MATCH($B79,TIP_AD,0)))),IF(INDEX(TIP_BOSLUK,MATCH($B79,TIP_AD,0))&amp;""="",1,0),0),IF($O79="K",IF($R79="",1,0),0))</f>
        <v>#REF!</v>
      </c>
      <c r="X79" s="5">
        <f t="shared" si="58"/>
        <v>1</v>
      </c>
      <c r="Y79" s="5" t="e">
        <f t="shared" si="59"/>
        <v>#REF!</v>
      </c>
      <c r="Z79" s="5" t="e">
        <f t="shared" si="60"/>
        <v>#REF!</v>
      </c>
      <c r="AA79" s="5" t="e">
        <f t="shared" si="61"/>
        <v>#REF!</v>
      </c>
      <c r="AB79" s="5" t="e">
        <f t="shared" si="62"/>
        <v>#REF!</v>
      </c>
      <c r="AC79" s="5">
        <f t="shared" si="63"/>
        <v>0</v>
      </c>
      <c r="AD79" s="5">
        <f t="shared" si="64"/>
        <v>0</v>
      </c>
      <c r="AE79" s="5">
        <f t="shared" si="65"/>
        <v>0</v>
      </c>
      <c r="AF79" s="5" t="e">
        <f t="shared" si="66"/>
        <v>#REF!</v>
      </c>
      <c r="AG79" s="5" t="e">
        <f>N($E79)*N(#REF!)</f>
        <v>#REF!</v>
      </c>
      <c r="AH79" s="5" t="e">
        <f t="shared" si="67"/>
        <v>#REF!</v>
      </c>
      <c r="AI79" s="5">
        <f t="shared" si="68"/>
        <v>0</v>
      </c>
    </row>
    <row r="80" spans="1:35" x14ac:dyDescent="0.25">
      <c r="A80" s="3" t="s">
        <v>140</v>
      </c>
      <c r="B80" s="3" t="s">
        <v>50</v>
      </c>
      <c r="C80" s="3" t="s">
        <v>182</v>
      </c>
      <c r="D80" s="3" t="s">
        <v>183</v>
      </c>
      <c r="E80" s="12">
        <v>1</v>
      </c>
      <c r="F80" s="12" t="s">
        <v>41</v>
      </c>
      <c r="G80" s="12" t="s">
        <v>179</v>
      </c>
      <c r="H80" s="3" t="s">
        <v>37</v>
      </c>
      <c r="I80" s="4" t="s">
        <v>39</v>
      </c>
      <c r="J80" s="4" t="s">
        <v>50</v>
      </c>
      <c r="K80" s="5" t="s">
        <v>295</v>
      </c>
      <c r="L80" s="5" t="s">
        <v>146</v>
      </c>
      <c r="M80" s="5" t="s">
        <v>147</v>
      </c>
      <c r="N80" s="5">
        <f>IF(OR($C80="",$C80="FID YOK"),"",IF(ISNUMBER(MATCH($C80,FA_ANA,0)),"",IF(COUNTIF($C$1:$C79,$C80)&gt;0,"",MAX($N$1:$N79)+1)))</f>
        <v>41</v>
      </c>
      <c r="O80" s="7">
        <v>1</v>
      </c>
      <c r="P80" s="5" t="e">
        <f t="shared" si="69"/>
        <v>#REF!</v>
      </c>
      <c r="Q80" s="5" t="e">
        <f t="shared" si="70"/>
        <v>#REF!</v>
      </c>
      <c r="R80" s="5" t="e">
        <f t="shared" si="71"/>
        <v>#REF!</v>
      </c>
      <c r="S80" s="5">
        <f t="shared" si="57"/>
        <v>0</v>
      </c>
      <c r="T80" s="5" t="e">
        <f t="shared" si="72"/>
        <v>#REF!</v>
      </c>
      <c r="U80" s="5" t="e">
        <f t="shared" si="73"/>
        <v>#REF!</v>
      </c>
      <c r="V80" s="5" t="e">
        <f t="shared" si="74"/>
        <v>#REF!</v>
      </c>
      <c r="W80" s="5" t="e">
        <f t="shared" si="75"/>
        <v>#REF!</v>
      </c>
      <c r="X80" s="5">
        <f t="shared" si="58"/>
        <v>1</v>
      </c>
      <c r="Y80" s="5" t="e">
        <f t="shared" si="59"/>
        <v>#REF!</v>
      </c>
      <c r="Z80" s="5" t="e">
        <f t="shared" si="60"/>
        <v>#REF!</v>
      </c>
      <c r="AA80" s="5" t="e">
        <f t="shared" si="61"/>
        <v>#REF!</v>
      </c>
      <c r="AB80" s="5" t="e">
        <f t="shared" si="62"/>
        <v>#REF!</v>
      </c>
      <c r="AC80" s="5" t="e">
        <f t="shared" si="63"/>
        <v>#REF!</v>
      </c>
      <c r="AD80" s="5" t="e">
        <f t="shared" si="64"/>
        <v>#REF!</v>
      </c>
      <c r="AE80" s="5" t="e">
        <f t="shared" si="65"/>
        <v>#REF!</v>
      </c>
      <c r="AF80" s="5" t="e">
        <f t="shared" si="66"/>
        <v>#REF!</v>
      </c>
      <c r="AG80" s="5" t="e">
        <f>N($E80)*N(#REF!)</f>
        <v>#REF!</v>
      </c>
      <c r="AH80" s="5" t="e">
        <f t="shared" si="67"/>
        <v>#REF!</v>
      </c>
      <c r="AI80" s="5">
        <f t="shared" si="68"/>
        <v>0</v>
      </c>
    </row>
    <row r="81" spans="1:35" x14ac:dyDescent="0.25">
      <c r="A81" s="3" t="s">
        <v>140</v>
      </c>
      <c r="B81" s="3" t="s">
        <v>50</v>
      </c>
      <c r="C81" s="3" t="s">
        <v>184</v>
      </c>
      <c r="D81" s="3" t="s">
        <v>185</v>
      </c>
      <c r="E81" s="12">
        <v>1</v>
      </c>
      <c r="F81" s="12" t="s">
        <v>41</v>
      </c>
      <c r="G81" s="12" t="s">
        <v>179</v>
      </c>
      <c r="H81" s="3" t="s">
        <v>37</v>
      </c>
      <c r="I81" s="4" t="s">
        <v>39</v>
      </c>
      <c r="J81" s="4" t="s">
        <v>50</v>
      </c>
      <c r="K81" s="5" t="s">
        <v>295</v>
      </c>
      <c r="L81" s="5" t="s">
        <v>148</v>
      </c>
      <c r="M81" s="5" t="s">
        <v>105</v>
      </c>
      <c r="N81" s="5" t="str">
        <f>IF(OR($C81="",$C81="FID YOK"),"",IF(ISNUMBER(MATCH($C81,FA_ANA,0)),"",IF(COUNTIF($C$1:$C80,$C81)&gt;0,"",MAX($N$1:$N80)+1)))</f>
        <v/>
      </c>
      <c r="O81" s="7">
        <v>1</v>
      </c>
      <c r="P81" s="5" t="e">
        <f t="shared" si="69"/>
        <v>#REF!</v>
      </c>
      <c r="Q81" s="5" t="e">
        <f t="shared" si="70"/>
        <v>#REF!</v>
      </c>
      <c r="R81" s="5" t="e">
        <f t="shared" si="71"/>
        <v>#REF!</v>
      </c>
      <c r="S81" s="5">
        <f t="shared" si="57"/>
        <v>0</v>
      </c>
      <c r="T81" s="5" t="e">
        <f t="shared" si="72"/>
        <v>#REF!</v>
      </c>
      <c r="U81" s="5" t="e">
        <f t="shared" si="73"/>
        <v>#REF!</v>
      </c>
      <c r="V81" s="5" t="e">
        <f t="shared" si="74"/>
        <v>#REF!</v>
      </c>
      <c r="W81" s="5" t="e">
        <f t="shared" si="75"/>
        <v>#REF!</v>
      </c>
      <c r="X81" s="5">
        <f t="shared" si="58"/>
        <v>1</v>
      </c>
      <c r="Y81" s="5" t="e">
        <f t="shared" si="59"/>
        <v>#REF!</v>
      </c>
      <c r="Z81" s="5" t="e">
        <f t="shared" si="60"/>
        <v>#REF!</v>
      </c>
      <c r="AA81" s="5" t="e">
        <f t="shared" si="61"/>
        <v>#REF!</v>
      </c>
      <c r="AB81" s="5" t="e">
        <f t="shared" si="62"/>
        <v>#REF!</v>
      </c>
      <c r="AC81" s="5" t="e">
        <f t="shared" si="63"/>
        <v>#REF!</v>
      </c>
      <c r="AD81" s="5" t="e">
        <f t="shared" si="64"/>
        <v>#REF!</v>
      </c>
      <c r="AE81" s="5" t="e">
        <f t="shared" si="65"/>
        <v>#REF!</v>
      </c>
      <c r="AF81" s="5" t="e">
        <f t="shared" si="66"/>
        <v>#REF!</v>
      </c>
      <c r="AG81" s="5" t="e">
        <f>N($E81)*N(#REF!)</f>
        <v>#REF!</v>
      </c>
      <c r="AH81" s="5" t="e">
        <f t="shared" si="67"/>
        <v>#REF!</v>
      </c>
      <c r="AI81" s="5">
        <f t="shared" si="68"/>
        <v>0</v>
      </c>
    </row>
    <row r="82" spans="1:35" x14ac:dyDescent="0.25">
      <c r="A82" s="3" t="s">
        <v>140</v>
      </c>
      <c r="B82" s="3" t="s">
        <v>50</v>
      </c>
      <c r="C82" s="3" t="s">
        <v>186</v>
      </c>
      <c r="D82" s="3" t="s">
        <v>187</v>
      </c>
      <c r="E82" s="12">
        <v>2</v>
      </c>
      <c r="F82" s="12" t="s">
        <v>41</v>
      </c>
      <c r="G82" s="12" t="s">
        <v>179</v>
      </c>
      <c r="H82" s="3" t="s">
        <v>37</v>
      </c>
      <c r="I82" s="4" t="s">
        <v>39</v>
      </c>
      <c r="J82" s="4" t="s">
        <v>50</v>
      </c>
      <c r="K82" s="5" t="s">
        <v>295</v>
      </c>
      <c r="L82" s="5" t="s">
        <v>149</v>
      </c>
      <c r="M82" s="5" t="s">
        <v>150</v>
      </c>
      <c r="N82" s="5">
        <f>IF(OR($C82="",$C82="FID YOK"),"",IF(ISNUMBER(MATCH($C82,FA_ANA,0)),"",IF(COUNTIF($C$1:$C81,$C82)&gt;0,"",MAX($N$1:$N81)+1)))</f>
        <v>42</v>
      </c>
      <c r="O82" s="7">
        <v>1</v>
      </c>
      <c r="P82" s="5" t="e">
        <f t="shared" si="69"/>
        <v>#REF!</v>
      </c>
      <c r="Q82" s="5" t="e">
        <f t="shared" si="70"/>
        <v>#REF!</v>
      </c>
      <c r="R82" s="5" t="e">
        <f t="shared" si="71"/>
        <v>#REF!</v>
      </c>
      <c r="S82" s="5">
        <f t="shared" si="57"/>
        <v>0</v>
      </c>
      <c r="T82" s="5" t="e">
        <f t="shared" si="72"/>
        <v>#REF!</v>
      </c>
      <c r="U82" s="5" t="e">
        <f t="shared" si="73"/>
        <v>#REF!</v>
      </c>
      <c r="V82" s="5" t="e">
        <f t="shared" si="74"/>
        <v>#REF!</v>
      </c>
      <c r="W82" s="5" t="e">
        <f t="shared" si="75"/>
        <v>#REF!</v>
      </c>
      <c r="X82" s="5">
        <f t="shared" si="58"/>
        <v>2</v>
      </c>
      <c r="Y82" s="5" t="e">
        <f t="shared" si="59"/>
        <v>#REF!</v>
      </c>
      <c r="Z82" s="5" t="e">
        <f t="shared" si="60"/>
        <v>#REF!</v>
      </c>
      <c r="AA82" s="5" t="e">
        <f t="shared" si="61"/>
        <v>#REF!</v>
      </c>
      <c r="AB82" s="5" t="e">
        <f t="shared" si="62"/>
        <v>#REF!</v>
      </c>
      <c r="AC82" s="5" t="e">
        <f t="shared" si="63"/>
        <v>#REF!</v>
      </c>
      <c r="AD82" s="5" t="e">
        <f t="shared" si="64"/>
        <v>#REF!</v>
      </c>
      <c r="AE82" s="5" t="e">
        <f t="shared" si="65"/>
        <v>#REF!</v>
      </c>
      <c r="AF82" s="5" t="e">
        <f t="shared" si="66"/>
        <v>#REF!</v>
      </c>
      <c r="AG82" s="5" t="e">
        <f>N($E82)*N(#REF!)</f>
        <v>#REF!</v>
      </c>
      <c r="AH82" s="5" t="e">
        <f t="shared" si="67"/>
        <v>#REF!</v>
      </c>
      <c r="AI82" s="5">
        <f t="shared" si="68"/>
        <v>0</v>
      </c>
    </row>
    <row r="83" spans="1:35" x14ac:dyDescent="0.25">
      <c r="A83" s="3" t="s">
        <v>140</v>
      </c>
      <c r="B83" s="3" t="s">
        <v>50</v>
      </c>
      <c r="C83" s="3" t="s">
        <v>188</v>
      </c>
      <c r="D83" s="3" t="s">
        <v>189</v>
      </c>
      <c r="E83" s="12">
        <v>2</v>
      </c>
      <c r="F83" s="12" t="s">
        <v>41</v>
      </c>
      <c r="G83" s="12" t="s">
        <v>179</v>
      </c>
      <c r="H83" s="3" t="s">
        <v>37</v>
      </c>
      <c r="I83" s="4" t="s">
        <v>39</v>
      </c>
      <c r="J83" s="4" t="s">
        <v>50</v>
      </c>
      <c r="K83" s="5" t="s">
        <v>295</v>
      </c>
      <c r="L83" s="5" t="s">
        <v>151</v>
      </c>
      <c r="M83" s="5" t="s">
        <v>152</v>
      </c>
      <c r="N83" s="5">
        <f>IF(OR($C83="",$C83="FID YOK"),"",IF(ISNUMBER(MATCH($C83,FA_ANA,0)),"",IF(COUNTIF($C$1:$C82,$C83)&gt;0,"",MAX($N$1:$N82)+1)))</f>
        <v>43</v>
      </c>
      <c r="O83" s="7">
        <v>1</v>
      </c>
      <c r="P83" s="5" t="e">
        <f t="shared" si="69"/>
        <v>#REF!</v>
      </c>
      <c r="Q83" s="5" t="e">
        <f t="shared" si="70"/>
        <v>#REF!</v>
      </c>
      <c r="R83" s="5" t="e">
        <f t="shared" si="71"/>
        <v>#REF!</v>
      </c>
      <c r="S83" s="5">
        <f t="shared" si="57"/>
        <v>0</v>
      </c>
      <c r="T83" s="5" t="e">
        <f t="shared" si="72"/>
        <v>#REF!</v>
      </c>
      <c r="U83" s="5" t="e">
        <f t="shared" si="73"/>
        <v>#REF!</v>
      </c>
      <c r="V83" s="5" t="e">
        <f t="shared" si="74"/>
        <v>#REF!</v>
      </c>
      <c r="W83" s="5" t="e">
        <f t="shared" si="75"/>
        <v>#REF!</v>
      </c>
      <c r="X83" s="5">
        <f t="shared" si="58"/>
        <v>2</v>
      </c>
      <c r="Y83" s="5" t="e">
        <f t="shared" si="59"/>
        <v>#REF!</v>
      </c>
      <c r="Z83" s="5" t="e">
        <f t="shared" si="60"/>
        <v>#REF!</v>
      </c>
      <c r="AA83" s="5" t="e">
        <f t="shared" si="61"/>
        <v>#REF!</v>
      </c>
      <c r="AB83" s="5" t="e">
        <f t="shared" si="62"/>
        <v>#REF!</v>
      </c>
      <c r="AC83" s="5" t="e">
        <f t="shared" si="63"/>
        <v>#REF!</v>
      </c>
      <c r="AD83" s="5" t="e">
        <f t="shared" si="64"/>
        <v>#REF!</v>
      </c>
      <c r="AE83" s="5" t="e">
        <f t="shared" si="65"/>
        <v>#REF!</v>
      </c>
      <c r="AF83" s="5" t="e">
        <f t="shared" si="66"/>
        <v>#REF!</v>
      </c>
      <c r="AG83" s="5" t="e">
        <f>N($E83)*N(#REF!)</f>
        <v>#REF!</v>
      </c>
      <c r="AH83" s="5" t="e">
        <f t="shared" si="67"/>
        <v>#REF!</v>
      </c>
      <c r="AI83" s="5">
        <f t="shared" si="68"/>
        <v>0</v>
      </c>
    </row>
    <row r="84" spans="1:35" x14ac:dyDescent="0.25">
      <c r="A84" s="3" t="s">
        <v>140</v>
      </c>
      <c r="B84" s="3" t="s">
        <v>54</v>
      </c>
      <c r="C84" s="3" t="s">
        <v>190</v>
      </c>
      <c r="D84" s="3" t="s">
        <v>191</v>
      </c>
      <c r="E84" s="12">
        <v>5</v>
      </c>
      <c r="F84" s="12" t="s">
        <v>41</v>
      </c>
      <c r="G84" s="12" t="s">
        <v>179</v>
      </c>
      <c r="H84" s="3" t="s">
        <v>37</v>
      </c>
      <c r="I84" s="4" t="s">
        <v>39</v>
      </c>
      <c r="J84" s="4" t="s">
        <v>54</v>
      </c>
      <c r="K84" s="5" t="s">
        <v>295</v>
      </c>
      <c r="L84" s="5" t="s">
        <v>153</v>
      </c>
      <c r="M84" s="5" t="s">
        <v>154</v>
      </c>
      <c r="N84" s="5">
        <f>IF(OR($C84="",$C84="FID YOK"),"",IF(ISNUMBER(MATCH($C84,FA_ANA,0)),"",IF(COUNTIF($C$1:$C83,$C84)&gt;0,"",MAX($N$1:$N83)+1)))</f>
        <v>44</v>
      </c>
      <c r="O84" s="7">
        <v>2</v>
      </c>
      <c r="P84" s="5" t="e">
        <f t="shared" si="69"/>
        <v>#REF!</v>
      </c>
      <c r="Q84" s="5" t="e">
        <f t="shared" si="70"/>
        <v>#REF!</v>
      </c>
      <c r="R84" s="5" t="e">
        <f t="shared" si="71"/>
        <v>#REF!</v>
      </c>
      <c r="S84" s="5">
        <f t="shared" si="57"/>
        <v>0</v>
      </c>
      <c r="T84" s="5" t="e">
        <f t="shared" si="72"/>
        <v>#REF!</v>
      </c>
      <c r="U84" s="5" t="e">
        <f t="shared" si="73"/>
        <v>#REF!</v>
      </c>
      <c r="V84" s="5" t="e">
        <f t="shared" si="74"/>
        <v>#REF!</v>
      </c>
      <c r="W84" s="5" t="e">
        <f t="shared" si="75"/>
        <v>#REF!</v>
      </c>
      <c r="X84" s="5">
        <f t="shared" si="58"/>
        <v>5</v>
      </c>
      <c r="Y84" s="5" t="e">
        <f t="shared" si="59"/>
        <v>#REF!</v>
      </c>
      <c r="Z84" s="5" t="e">
        <f t="shared" si="60"/>
        <v>#REF!</v>
      </c>
      <c r="AA84" s="5" t="e">
        <f t="shared" si="61"/>
        <v>#REF!</v>
      </c>
      <c r="AB84" s="5" t="e">
        <f t="shared" si="62"/>
        <v>#REF!</v>
      </c>
      <c r="AC84" s="5" t="e">
        <f t="shared" si="63"/>
        <v>#REF!</v>
      </c>
      <c r="AD84" s="5" t="e">
        <f t="shared" si="64"/>
        <v>#REF!</v>
      </c>
      <c r="AE84" s="5" t="e">
        <f t="shared" si="65"/>
        <v>#REF!</v>
      </c>
      <c r="AF84" s="5" t="e">
        <f t="shared" si="66"/>
        <v>#REF!</v>
      </c>
      <c r="AG84" s="5" t="e">
        <f>N($E84)*N(#REF!)</f>
        <v>#REF!</v>
      </c>
      <c r="AH84" s="5" t="e">
        <f t="shared" si="67"/>
        <v>#REF!</v>
      </c>
      <c r="AI84" s="5">
        <f t="shared" si="68"/>
        <v>0</v>
      </c>
    </row>
    <row r="85" spans="1:35" x14ac:dyDescent="0.25">
      <c r="A85" s="3" t="s">
        <v>140</v>
      </c>
      <c r="B85" s="3" t="s">
        <v>54</v>
      </c>
      <c r="C85" s="3" t="s">
        <v>192</v>
      </c>
      <c r="D85" s="3" t="s">
        <v>193</v>
      </c>
      <c r="E85" s="12">
        <v>1</v>
      </c>
      <c r="F85" s="12" t="s">
        <v>41</v>
      </c>
      <c r="G85" s="12" t="s">
        <v>179</v>
      </c>
      <c r="H85" s="3" t="s">
        <v>37</v>
      </c>
      <c r="I85" s="4" t="s">
        <v>39</v>
      </c>
      <c r="J85" s="4" t="s">
        <v>54</v>
      </c>
      <c r="K85" s="5" t="s">
        <v>295</v>
      </c>
      <c r="L85" s="5" t="s">
        <v>155</v>
      </c>
      <c r="M85" s="5" t="s">
        <v>156</v>
      </c>
      <c r="N85" s="5">
        <f>IF(OR($C85="",$C85="FID YOK"),"",IF(ISNUMBER(MATCH($C85,FA_ANA,0)),"",IF(COUNTIF($C$1:$C84,$C85)&gt;0,"",MAX($N$1:$N84)+1)))</f>
        <v>45</v>
      </c>
      <c r="O85" s="7">
        <v>2</v>
      </c>
      <c r="P85" s="5" t="e">
        <f t="shared" si="69"/>
        <v>#REF!</v>
      </c>
      <c r="Q85" s="5" t="e">
        <f t="shared" si="70"/>
        <v>#REF!</v>
      </c>
      <c r="R85" s="5" t="e">
        <f t="shared" si="71"/>
        <v>#REF!</v>
      </c>
      <c r="S85" s="5">
        <f t="shared" si="57"/>
        <v>0</v>
      </c>
      <c r="T85" s="5" t="e">
        <f t="shared" si="72"/>
        <v>#REF!</v>
      </c>
      <c r="U85" s="5" t="e">
        <f t="shared" si="73"/>
        <v>#REF!</v>
      </c>
      <c r="V85" s="5" t="e">
        <f t="shared" si="74"/>
        <v>#REF!</v>
      </c>
      <c r="W85" s="5" t="e">
        <f t="shared" si="75"/>
        <v>#REF!</v>
      </c>
      <c r="X85" s="5">
        <f t="shared" si="58"/>
        <v>1</v>
      </c>
      <c r="Y85" s="5" t="e">
        <f t="shared" si="59"/>
        <v>#REF!</v>
      </c>
      <c r="Z85" s="5" t="e">
        <f t="shared" si="60"/>
        <v>#REF!</v>
      </c>
      <c r="AA85" s="5" t="e">
        <f t="shared" si="61"/>
        <v>#REF!</v>
      </c>
      <c r="AB85" s="5" t="e">
        <f t="shared" si="62"/>
        <v>#REF!</v>
      </c>
      <c r="AC85" s="5" t="e">
        <f t="shared" si="63"/>
        <v>#REF!</v>
      </c>
      <c r="AD85" s="5" t="e">
        <f t="shared" si="64"/>
        <v>#REF!</v>
      </c>
      <c r="AE85" s="5" t="e">
        <f t="shared" si="65"/>
        <v>#REF!</v>
      </c>
      <c r="AF85" s="5" t="e">
        <f t="shared" si="66"/>
        <v>#REF!</v>
      </c>
      <c r="AG85" s="5" t="e">
        <f>N($E85)*N(#REF!)</f>
        <v>#REF!</v>
      </c>
      <c r="AH85" s="5" t="e">
        <f t="shared" si="67"/>
        <v>#REF!</v>
      </c>
      <c r="AI85" s="5">
        <f t="shared" si="68"/>
        <v>0</v>
      </c>
    </row>
    <row r="86" spans="1:35" x14ac:dyDescent="0.25">
      <c r="A86" s="3" t="s">
        <v>140</v>
      </c>
      <c r="B86" s="3" t="s">
        <v>54</v>
      </c>
      <c r="C86" s="3" t="s">
        <v>194</v>
      </c>
      <c r="D86" s="3" t="s">
        <v>195</v>
      </c>
      <c r="E86" s="12">
        <v>2</v>
      </c>
      <c r="F86" s="12" t="s">
        <v>41</v>
      </c>
      <c r="G86" s="12" t="s">
        <v>179</v>
      </c>
      <c r="H86" s="3" t="s">
        <v>37</v>
      </c>
      <c r="I86" s="4" t="s">
        <v>39</v>
      </c>
      <c r="J86" s="4" t="s">
        <v>54</v>
      </c>
      <c r="K86" s="5" t="s">
        <v>295</v>
      </c>
      <c r="L86" s="5" t="s">
        <v>157</v>
      </c>
      <c r="M86" s="5" t="s">
        <v>158</v>
      </c>
      <c r="N86" s="5">
        <f>IF(OR($C86="",$C86="FID YOK"),"",IF(ISNUMBER(MATCH($C86,FA_ANA,0)),"",IF(COUNTIF($C$1:$C85,$C86)&gt;0,"",MAX($N$1:$N85)+1)))</f>
        <v>46</v>
      </c>
      <c r="O86" s="7">
        <v>2</v>
      </c>
      <c r="P86" s="5" t="e">
        <f t="shared" si="69"/>
        <v>#REF!</v>
      </c>
      <c r="Q86" s="5" t="e">
        <f t="shared" si="70"/>
        <v>#REF!</v>
      </c>
      <c r="R86" s="5" t="e">
        <f t="shared" si="71"/>
        <v>#REF!</v>
      </c>
      <c r="S86" s="5">
        <f t="shared" si="57"/>
        <v>0</v>
      </c>
      <c r="T86" s="5" t="e">
        <f t="shared" si="72"/>
        <v>#REF!</v>
      </c>
      <c r="U86" s="5" t="e">
        <f t="shared" si="73"/>
        <v>#REF!</v>
      </c>
      <c r="V86" s="5" t="e">
        <f t="shared" si="74"/>
        <v>#REF!</v>
      </c>
      <c r="W86" s="5" t="e">
        <f t="shared" si="75"/>
        <v>#REF!</v>
      </c>
      <c r="X86" s="5">
        <f t="shared" si="58"/>
        <v>2</v>
      </c>
      <c r="Y86" s="5" t="e">
        <f t="shared" si="59"/>
        <v>#REF!</v>
      </c>
      <c r="Z86" s="5" t="e">
        <f t="shared" si="60"/>
        <v>#REF!</v>
      </c>
      <c r="AA86" s="5" t="e">
        <f t="shared" si="61"/>
        <v>#REF!</v>
      </c>
      <c r="AB86" s="5" t="e">
        <f t="shared" si="62"/>
        <v>#REF!</v>
      </c>
      <c r="AC86" s="5" t="e">
        <f t="shared" si="63"/>
        <v>#REF!</v>
      </c>
      <c r="AD86" s="5" t="e">
        <f t="shared" si="64"/>
        <v>#REF!</v>
      </c>
      <c r="AE86" s="5" t="e">
        <f t="shared" si="65"/>
        <v>#REF!</v>
      </c>
      <c r="AF86" s="5" t="e">
        <f t="shared" si="66"/>
        <v>#REF!</v>
      </c>
      <c r="AG86" s="5" t="e">
        <f>N($E86)*N(#REF!)</f>
        <v>#REF!</v>
      </c>
      <c r="AH86" s="5" t="e">
        <f t="shared" si="67"/>
        <v>#REF!</v>
      </c>
      <c r="AI86" s="5">
        <f t="shared" si="68"/>
        <v>0</v>
      </c>
    </row>
    <row r="87" spans="1:35" x14ac:dyDescent="0.25">
      <c r="A87" s="3" t="s">
        <v>140</v>
      </c>
      <c r="B87" s="3" t="s">
        <v>80</v>
      </c>
      <c r="C87" s="3" t="s">
        <v>289</v>
      </c>
      <c r="D87" s="3" t="s">
        <v>290</v>
      </c>
      <c r="E87" s="12">
        <v>2.31</v>
      </c>
      <c r="F87" s="12" t="s">
        <v>242</v>
      </c>
      <c r="G87" s="12" t="s">
        <v>216</v>
      </c>
      <c r="H87" s="3" t="s">
        <v>37</v>
      </c>
      <c r="I87" s="4" t="s">
        <v>81</v>
      </c>
      <c r="J87" s="4" t="s">
        <v>80</v>
      </c>
      <c r="K87" s="5" t="s">
        <v>296</v>
      </c>
      <c r="L87" s="5" t="s">
        <v>82</v>
      </c>
      <c r="N87" s="5" t="str">
        <f>IF(OR($C87="",$C87="FID YOK"),"",IF(ISNUMBER(MATCH($C87,FA_ANA,0)),"",IF(COUNTIF($C$1:$C86,$C87)&gt;0,"",MAX($N$1:$N86)+1)))</f>
        <v/>
      </c>
      <c r="S87" s="5">
        <f t="shared" si="57"/>
        <v>0</v>
      </c>
      <c r="X87" s="5">
        <f t="shared" si="58"/>
        <v>2.31</v>
      </c>
      <c r="Y87" s="5" t="e">
        <f t="shared" si="59"/>
        <v>#REF!</v>
      </c>
      <c r="Z87" s="5">
        <f t="shared" si="60"/>
        <v>0</v>
      </c>
      <c r="AA87" s="5">
        <f t="shared" si="61"/>
        <v>0</v>
      </c>
      <c r="AB87" s="5" t="e">
        <f t="shared" si="62"/>
        <v>#REF!</v>
      </c>
      <c r="AC87" s="5">
        <f t="shared" si="63"/>
        <v>0</v>
      </c>
      <c r="AD87" s="5">
        <f t="shared" si="64"/>
        <v>0</v>
      </c>
      <c r="AE87" s="5">
        <f t="shared" si="65"/>
        <v>0</v>
      </c>
      <c r="AF87" s="5" t="e">
        <f t="shared" si="66"/>
        <v>#REF!</v>
      </c>
      <c r="AG87" s="5" t="e">
        <f>N($E87)*N(#REF!)</f>
        <v>#REF!</v>
      </c>
      <c r="AH87" s="5" t="e">
        <f t="shared" si="67"/>
        <v>#REF!</v>
      </c>
      <c r="AI87" s="5">
        <f t="shared" si="68"/>
        <v>0</v>
      </c>
    </row>
    <row r="88" spans="1:35" x14ac:dyDescent="0.25">
      <c r="A88" s="3" t="s">
        <v>140</v>
      </c>
      <c r="B88" s="3" t="s">
        <v>80</v>
      </c>
      <c r="C88" s="3" t="s">
        <v>289</v>
      </c>
      <c r="D88" s="3" t="s">
        <v>290</v>
      </c>
      <c r="E88" s="12">
        <v>0.77</v>
      </c>
      <c r="F88" s="12" t="s">
        <v>242</v>
      </c>
      <c r="G88" s="12" t="s">
        <v>216</v>
      </c>
      <c r="H88" s="3" t="s">
        <v>37</v>
      </c>
      <c r="I88" s="4" t="s">
        <v>81</v>
      </c>
      <c r="J88" s="4" t="s">
        <v>80</v>
      </c>
      <c r="K88" s="5" t="s">
        <v>296</v>
      </c>
      <c r="L88" s="5" t="s">
        <v>83</v>
      </c>
      <c r="N88" s="5" t="str">
        <f>IF(OR($C88="",$C88="FID YOK"),"",IF(ISNUMBER(MATCH($C88,FA_ANA,0)),"",IF(COUNTIF($C$1:$C87,$C88)&gt;0,"",MAX($N$1:$N87)+1)))</f>
        <v/>
      </c>
      <c r="S88" s="5">
        <f t="shared" si="57"/>
        <v>0</v>
      </c>
      <c r="X88" s="5">
        <f t="shared" si="58"/>
        <v>0.77</v>
      </c>
      <c r="Y88" s="5" t="e">
        <f t="shared" si="59"/>
        <v>#REF!</v>
      </c>
      <c r="Z88" s="5">
        <f t="shared" si="60"/>
        <v>0</v>
      </c>
      <c r="AA88" s="5">
        <f t="shared" si="61"/>
        <v>0</v>
      </c>
      <c r="AB88" s="5" t="e">
        <f t="shared" si="62"/>
        <v>#REF!</v>
      </c>
      <c r="AC88" s="5">
        <f t="shared" si="63"/>
        <v>0</v>
      </c>
      <c r="AD88" s="5">
        <f t="shared" si="64"/>
        <v>0</v>
      </c>
      <c r="AE88" s="5">
        <f t="shared" si="65"/>
        <v>0</v>
      </c>
      <c r="AF88" s="5" t="e">
        <f t="shared" si="66"/>
        <v>#REF!</v>
      </c>
      <c r="AG88" s="5" t="e">
        <f>N($E88)*N(#REF!)</f>
        <v>#REF!</v>
      </c>
      <c r="AH88" s="5" t="e">
        <f t="shared" si="67"/>
        <v>#REF!</v>
      </c>
      <c r="AI88" s="5">
        <f t="shared" si="68"/>
        <v>0</v>
      </c>
    </row>
    <row r="89" spans="1:35" x14ac:dyDescent="0.25">
      <c r="A89" s="3" t="s">
        <v>140</v>
      </c>
      <c r="B89" s="3" t="s">
        <v>80</v>
      </c>
      <c r="C89" s="3" t="s">
        <v>289</v>
      </c>
      <c r="D89" s="3" t="s">
        <v>290</v>
      </c>
      <c r="E89" s="12">
        <v>0.77</v>
      </c>
      <c r="F89" s="12" t="s">
        <v>242</v>
      </c>
      <c r="G89" s="12" t="s">
        <v>216</v>
      </c>
      <c r="H89" s="3" t="s">
        <v>37</v>
      </c>
      <c r="I89" s="4" t="s">
        <v>81</v>
      </c>
      <c r="J89" s="4" t="s">
        <v>80</v>
      </c>
      <c r="K89" s="5" t="s">
        <v>296</v>
      </c>
      <c r="L89" s="5" t="s">
        <v>84</v>
      </c>
      <c r="N89" s="5" t="str">
        <f>IF(OR($C89="",$C89="FID YOK"),"",IF(ISNUMBER(MATCH($C89,FA_ANA,0)),"",IF(COUNTIF($C$1:$C88,$C89)&gt;0,"",MAX($N$1:$N88)+1)))</f>
        <v/>
      </c>
      <c r="S89" s="5">
        <f t="shared" si="57"/>
        <v>0</v>
      </c>
      <c r="X89" s="5">
        <f t="shared" si="58"/>
        <v>0.77</v>
      </c>
      <c r="Y89" s="5" t="e">
        <f t="shared" si="59"/>
        <v>#REF!</v>
      </c>
      <c r="Z89" s="5">
        <f t="shared" si="60"/>
        <v>0</v>
      </c>
      <c r="AA89" s="5">
        <f t="shared" si="61"/>
        <v>0</v>
      </c>
      <c r="AB89" s="5" t="e">
        <f t="shared" si="62"/>
        <v>#REF!</v>
      </c>
      <c r="AC89" s="5">
        <f t="shared" si="63"/>
        <v>0</v>
      </c>
      <c r="AD89" s="5">
        <f t="shared" si="64"/>
        <v>0</v>
      </c>
      <c r="AE89" s="5">
        <f t="shared" si="65"/>
        <v>0</v>
      </c>
      <c r="AF89" s="5" t="e">
        <f t="shared" si="66"/>
        <v>#REF!</v>
      </c>
      <c r="AG89" s="5" t="e">
        <f>N($E89)*N(#REF!)</f>
        <v>#REF!</v>
      </c>
      <c r="AH89" s="5" t="e">
        <f t="shared" si="67"/>
        <v>#REF!</v>
      </c>
      <c r="AI89" s="5">
        <f t="shared" si="68"/>
        <v>0</v>
      </c>
    </row>
    <row r="90" spans="1:35" x14ac:dyDescent="0.25">
      <c r="A90" s="3" t="s">
        <v>140</v>
      </c>
      <c r="B90" s="3" t="s">
        <v>85</v>
      </c>
      <c r="C90" s="3" t="s">
        <v>281</v>
      </c>
      <c r="D90" s="3" t="s">
        <v>282</v>
      </c>
      <c r="E90" s="12">
        <v>15</v>
      </c>
      <c r="F90" s="12" t="s">
        <v>41</v>
      </c>
      <c r="G90" s="12" t="s">
        <v>216</v>
      </c>
      <c r="H90" s="3" t="s">
        <v>37</v>
      </c>
      <c r="I90" s="4" t="s">
        <v>81</v>
      </c>
      <c r="J90" s="4" t="s">
        <v>85</v>
      </c>
      <c r="K90" s="5" t="s">
        <v>296</v>
      </c>
      <c r="L90" s="5" t="s">
        <v>86</v>
      </c>
      <c r="N90" s="5" t="str">
        <f>IF(OR($C90="",$C90="FID YOK"),"",IF(ISNUMBER(MATCH($C90,FA_ANA,0)),"",IF(COUNTIF($C$1:$C89,$C90)&gt;0,"",MAX($N$1:$N89)+1)))</f>
        <v/>
      </c>
      <c r="S90" s="5">
        <f t="shared" si="57"/>
        <v>0</v>
      </c>
      <c r="X90" s="5">
        <f t="shared" si="58"/>
        <v>15</v>
      </c>
      <c r="Y90" s="5" t="e">
        <f t="shared" si="59"/>
        <v>#REF!</v>
      </c>
      <c r="Z90" s="5">
        <f t="shared" si="60"/>
        <v>0</v>
      </c>
      <c r="AA90" s="5">
        <f t="shared" si="61"/>
        <v>0</v>
      </c>
      <c r="AB90" s="5" t="e">
        <f t="shared" si="62"/>
        <v>#REF!</v>
      </c>
      <c r="AC90" s="5">
        <f t="shared" si="63"/>
        <v>0</v>
      </c>
      <c r="AD90" s="5">
        <f t="shared" si="64"/>
        <v>0</v>
      </c>
      <c r="AE90" s="5">
        <f t="shared" si="65"/>
        <v>0</v>
      </c>
      <c r="AF90" s="5" t="e">
        <f t="shared" si="66"/>
        <v>#REF!</v>
      </c>
      <c r="AG90" s="5" t="e">
        <f>N($E90)*N(#REF!)</f>
        <v>#REF!</v>
      </c>
      <c r="AH90" s="5" t="e">
        <f t="shared" si="67"/>
        <v>#REF!</v>
      </c>
      <c r="AI90" s="5">
        <f t="shared" si="68"/>
        <v>0</v>
      </c>
    </row>
    <row r="91" spans="1:35" x14ac:dyDescent="0.25">
      <c r="A91" s="3" t="s">
        <v>140</v>
      </c>
      <c r="B91" s="3" t="s">
        <v>89</v>
      </c>
      <c r="C91" s="3" t="s">
        <v>245</v>
      </c>
      <c r="D91" s="3" t="s">
        <v>246</v>
      </c>
      <c r="E91" s="12">
        <v>3.9</v>
      </c>
      <c r="F91" s="12" t="s">
        <v>242</v>
      </c>
      <c r="G91" s="12" t="s">
        <v>243</v>
      </c>
      <c r="H91" s="3" t="s">
        <v>37</v>
      </c>
      <c r="I91" s="4" t="s">
        <v>81</v>
      </c>
      <c r="J91" s="4" t="s">
        <v>89</v>
      </c>
      <c r="K91" s="5" t="s">
        <v>297</v>
      </c>
      <c r="L91" s="5" t="s">
        <v>90</v>
      </c>
      <c r="N91" s="5" t="str">
        <f>IF(OR($C91="",$C91="FID YOK"),"",IF(ISNUMBER(MATCH($C91,FA_ANA,0)),"",IF(COUNTIF($C$1:$C90,$C91)&gt;0,"",MAX($N$1:$N90)+1)))</f>
        <v/>
      </c>
      <c r="S91" s="5">
        <f t="shared" si="57"/>
        <v>0</v>
      </c>
      <c r="X91" s="5">
        <f t="shared" si="58"/>
        <v>3.9</v>
      </c>
      <c r="Y91" s="5" t="e">
        <f t="shared" si="59"/>
        <v>#REF!</v>
      </c>
      <c r="Z91" s="5">
        <f t="shared" si="60"/>
        <v>0</v>
      </c>
      <c r="AA91" s="5">
        <f t="shared" si="61"/>
        <v>0</v>
      </c>
      <c r="AB91" s="5" t="e">
        <f t="shared" si="62"/>
        <v>#REF!</v>
      </c>
      <c r="AC91" s="5">
        <f t="shared" si="63"/>
        <v>0</v>
      </c>
      <c r="AD91" s="5">
        <f t="shared" si="64"/>
        <v>0</v>
      </c>
      <c r="AE91" s="5">
        <f t="shared" si="65"/>
        <v>0</v>
      </c>
      <c r="AF91" s="5" t="e">
        <f t="shared" si="66"/>
        <v>#REF!</v>
      </c>
      <c r="AG91" s="5" t="e">
        <f>N($E91)*N(#REF!)</f>
        <v>#REF!</v>
      </c>
      <c r="AH91" s="5" t="e">
        <f t="shared" si="67"/>
        <v>#REF!</v>
      </c>
      <c r="AI91" s="5">
        <f t="shared" si="68"/>
        <v>0</v>
      </c>
    </row>
    <row r="92" spans="1:35" x14ac:dyDescent="0.25">
      <c r="A92" s="3" t="s">
        <v>140</v>
      </c>
      <c r="B92" s="3" t="s">
        <v>89</v>
      </c>
      <c r="C92" s="3" t="s">
        <v>249</v>
      </c>
      <c r="D92" s="3" t="s">
        <v>250</v>
      </c>
      <c r="E92" s="12">
        <v>1.4</v>
      </c>
      <c r="F92" s="12" t="s">
        <v>242</v>
      </c>
      <c r="G92" s="12" t="s">
        <v>243</v>
      </c>
      <c r="H92" s="3" t="s">
        <v>37</v>
      </c>
      <c r="I92" s="4" t="s">
        <v>81</v>
      </c>
      <c r="J92" s="4" t="s">
        <v>89</v>
      </c>
      <c r="K92" s="5" t="s">
        <v>297</v>
      </c>
      <c r="L92" s="5" t="s">
        <v>159</v>
      </c>
      <c r="N92" s="5">
        <f>IF(OR($C92="",$C92="FID YOK"),"",IF(ISNUMBER(MATCH($C92,FA_ANA,0)),"",IF(COUNTIF($C$1:$C91,$C92)&gt;0,"",MAX($N$1:$N91)+1)))</f>
        <v>47</v>
      </c>
      <c r="S92" s="5">
        <f t="shared" si="57"/>
        <v>0</v>
      </c>
      <c r="X92" s="5">
        <f t="shared" si="58"/>
        <v>1.4</v>
      </c>
      <c r="Y92" s="5" t="e">
        <f t="shared" si="59"/>
        <v>#REF!</v>
      </c>
      <c r="Z92" s="5">
        <f t="shared" si="60"/>
        <v>0</v>
      </c>
      <c r="AA92" s="5">
        <f t="shared" si="61"/>
        <v>0</v>
      </c>
      <c r="AB92" s="5" t="e">
        <f t="shared" si="62"/>
        <v>#REF!</v>
      </c>
      <c r="AC92" s="5">
        <f t="shared" si="63"/>
        <v>0</v>
      </c>
      <c r="AD92" s="5">
        <f t="shared" si="64"/>
        <v>0</v>
      </c>
      <c r="AE92" s="5">
        <f t="shared" si="65"/>
        <v>0</v>
      </c>
      <c r="AF92" s="5" t="e">
        <f t="shared" si="66"/>
        <v>#REF!</v>
      </c>
      <c r="AG92" s="5" t="e">
        <f>N($E92)*N(#REF!)</f>
        <v>#REF!</v>
      </c>
      <c r="AH92" s="5" t="e">
        <f t="shared" si="67"/>
        <v>#REF!</v>
      </c>
      <c r="AI92" s="5">
        <f t="shared" si="68"/>
        <v>0</v>
      </c>
    </row>
    <row r="93" spans="1:35" x14ac:dyDescent="0.25">
      <c r="A93" s="3" t="s">
        <v>140</v>
      </c>
      <c r="B93" s="3" t="s">
        <v>89</v>
      </c>
      <c r="C93" s="3" t="s">
        <v>257</v>
      </c>
      <c r="D93" s="3" t="s">
        <v>258</v>
      </c>
      <c r="E93" s="12">
        <v>6.6</v>
      </c>
      <c r="F93" s="12" t="s">
        <v>242</v>
      </c>
      <c r="G93" s="12" t="s">
        <v>243</v>
      </c>
      <c r="H93" s="3" t="s">
        <v>37</v>
      </c>
      <c r="I93" s="4" t="s">
        <v>81</v>
      </c>
      <c r="J93" s="4" t="s">
        <v>89</v>
      </c>
      <c r="K93" s="5" t="s">
        <v>297</v>
      </c>
      <c r="L93" s="5" t="s">
        <v>118</v>
      </c>
      <c r="N93" s="5" t="str">
        <f>IF(OR($C93="",$C93="FID YOK"),"",IF(ISNUMBER(MATCH($C93,FA_ANA,0)),"",IF(COUNTIF($C$1:$C92,$C93)&gt;0,"",MAX($N$1:$N92)+1)))</f>
        <v/>
      </c>
      <c r="S93" s="5">
        <f t="shared" si="57"/>
        <v>0</v>
      </c>
      <c r="X93" s="5">
        <f t="shared" si="58"/>
        <v>6.6</v>
      </c>
      <c r="Y93" s="5" t="e">
        <f t="shared" si="59"/>
        <v>#REF!</v>
      </c>
      <c r="Z93" s="5">
        <f t="shared" si="60"/>
        <v>0</v>
      </c>
      <c r="AA93" s="5">
        <f t="shared" si="61"/>
        <v>0</v>
      </c>
      <c r="AB93" s="5" t="e">
        <f t="shared" si="62"/>
        <v>#REF!</v>
      </c>
      <c r="AC93" s="5">
        <f t="shared" si="63"/>
        <v>0</v>
      </c>
      <c r="AD93" s="5">
        <f t="shared" si="64"/>
        <v>0</v>
      </c>
      <c r="AE93" s="5">
        <f t="shared" si="65"/>
        <v>0</v>
      </c>
      <c r="AF93" s="5" t="e">
        <f t="shared" si="66"/>
        <v>#REF!</v>
      </c>
      <c r="AG93" s="5" t="e">
        <f>N($E93)*N(#REF!)</f>
        <v>#REF!</v>
      </c>
      <c r="AH93" s="5" t="e">
        <f t="shared" si="67"/>
        <v>#REF!</v>
      </c>
      <c r="AI93" s="5">
        <f t="shared" si="68"/>
        <v>0</v>
      </c>
    </row>
    <row r="94" spans="1:35" x14ac:dyDescent="0.25">
      <c r="A94" s="3" t="s">
        <v>140</v>
      </c>
      <c r="B94" s="3" t="s">
        <v>89</v>
      </c>
      <c r="C94" s="3" t="s">
        <v>263</v>
      </c>
      <c r="D94" s="3" t="s">
        <v>264</v>
      </c>
      <c r="E94" s="12">
        <v>1.7</v>
      </c>
      <c r="F94" s="12" t="s">
        <v>242</v>
      </c>
      <c r="G94" s="12" t="s">
        <v>243</v>
      </c>
      <c r="H94" s="3" t="s">
        <v>37</v>
      </c>
      <c r="I94" s="4" t="s">
        <v>81</v>
      </c>
      <c r="J94" s="4" t="s">
        <v>89</v>
      </c>
      <c r="K94" s="5" t="s">
        <v>297</v>
      </c>
      <c r="L94" s="5" t="s">
        <v>119</v>
      </c>
      <c r="N94" s="5" t="str">
        <f>IF(OR($C94="",$C94="FID YOK"),"",IF(ISNUMBER(MATCH($C94,FA_ANA,0)),"",IF(COUNTIF($C$1:$C93,$C94)&gt;0,"",MAX($N$1:$N93)+1)))</f>
        <v/>
      </c>
      <c r="S94" s="5">
        <f t="shared" si="57"/>
        <v>0</v>
      </c>
      <c r="X94" s="5">
        <f t="shared" si="58"/>
        <v>1.7</v>
      </c>
      <c r="Y94" s="5" t="e">
        <f t="shared" si="59"/>
        <v>#REF!</v>
      </c>
      <c r="Z94" s="5">
        <f t="shared" si="60"/>
        <v>0</v>
      </c>
      <c r="AA94" s="5">
        <f t="shared" si="61"/>
        <v>0</v>
      </c>
      <c r="AB94" s="5" t="e">
        <f t="shared" si="62"/>
        <v>#REF!</v>
      </c>
      <c r="AC94" s="5">
        <f t="shared" si="63"/>
        <v>0</v>
      </c>
      <c r="AD94" s="5">
        <f t="shared" si="64"/>
        <v>0</v>
      </c>
      <c r="AE94" s="5">
        <f t="shared" si="65"/>
        <v>0</v>
      </c>
      <c r="AF94" s="5" t="e">
        <f t="shared" si="66"/>
        <v>#REF!</v>
      </c>
      <c r="AG94" s="5" t="e">
        <f>N($E94)*N(#REF!)</f>
        <v>#REF!</v>
      </c>
      <c r="AH94" s="5" t="e">
        <f t="shared" si="67"/>
        <v>#REF!</v>
      </c>
      <c r="AI94" s="5">
        <f t="shared" si="68"/>
        <v>0</v>
      </c>
    </row>
    <row r="95" spans="1:35" x14ac:dyDescent="0.25">
      <c r="A95" s="3" t="s">
        <v>140</v>
      </c>
      <c r="B95" s="3" t="s">
        <v>89</v>
      </c>
      <c r="C95" s="3" t="s">
        <v>267</v>
      </c>
      <c r="D95" s="3" t="s">
        <v>268</v>
      </c>
      <c r="E95" s="12">
        <v>1.7</v>
      </c>
      <c r="F95" s="12" t="s">
        <v>242</v>
      </c>
      <c r="G95" s="12" t="s">
        <v>243</v>
      </c>
      <c r="H95" s="3" t="s">
        <v>37</v>
      </c>
      <c r="I95" s="4" t="s">
        <v>81</v>
      </c>
      <c r="J95" s="4" t="s">
        <v>89</v>
      </c>
      <c r="K95" s="5" t="s">
        <v>297</v>
      </c>
      <c r="L95" s="5" t="s">
        <v>160</v>
      </c>
      <c r="N95" s="5">
        <f>IF(OR($C95="",$C95="FID YOK"),"",IF(ISNUMBER(MATCH($C95,FA_ANA,0)),"",IF(COUNTIF($C$1:$C94,$C95)&gt;0,"",MAX($N$1:$N94)+1)))</f>
        <v>48</v>
      </c>
      <c r="S95" s="5">
        <f t="shared" si="57"/>
        <v>0</v>
      </c>
      <c r="X95" s="5">
        <f t="shared" si="58"/>
        <v>1.7</v>
      </c>
      <c r="Y95" s="5" t="e">
        <f t="shared" si="59"/>
        <v>#REF!</v>
      </c>
      <c r="Z95" s="5">
        <f t="shared" si="60"/>
        <v>0</v>
      </c>
      <c r="AA95" s="5">
        <f t="shared" si="61"/>
        <v>0</v>
      </c>
      <c r="AB95" s="5" t="e">
        <f t="shared" si="62"/>
        <v>#REF!</v>
      </c>
      <c r="AC95" s="5">
        <f t="shared" si="63"/>
        <v>0</v>
      </c>
      <c r="AD95" s="5">
        <f t="shared" si="64"/>
        <v>0</v>
      </c>
      <c r="AE95" s="5">
        <f t="shared" si="65"/>
        <v>0</v>
      </c>
      <c r="AF95" s="5" t="e">
        <f t="shared" si="66"/>
        <v>#REF!</v>
      </c>
      <c r="AG95" s="5" t="e">
        <f>N($E95)*N(#REF!)</f>
        <v>#REF!</v>
      </c>
      <c r="AH95" s="5" t="e">
        <f t="shared" si="67"/>
        <v>#REF!</v>
      </c>
      <c r="AI95" s="5">
        <f t="shared" si="68"/>
        <v>0</v>
      </c>
    </row>
    <row r="96" spans="1:35" x14ac:dyDescent="0.25">
      <c r="A96" s="3" t="s">
        <v>140</v>
      </c>
      <c r="B96" s="3" t="s">
        <v>89</v>
      </c>
      <c r="C96" s="3" t="s">
        <v>271</v>
      </c>
      <c r="D96" s="3" t="s">
        <v>272</v>
      </c>
      <c r="E96" s="12">
        <v>1.7</v>
      </c>
      <c r="F96" s="12" t="s">
        <v>242</v>
      </c>
      <c r="G96" s="12" t="s">
        <v>243</v>
      </c>
      <c r="H96" s="3" t="s">
        <v>37</v>
      </c>
      <c r="I96" s="4" t="s">
        <v>81</v>
      </c>
      <c r="J96" s="4" t="s">
        <v>89</v>
      </c>
      <c r="K96" s="5" t="s">
        <v>297</v>
      </c>
      <c r="L96" s="5" t="s">
        <v>161</v>
      </c>
      <c r="N96" s="5">
        <f>IF(OR($C96="",$C96="FID YOK"),"",IF(ISNUMBER(MATCH($C96,FA_ANA,0)),"",IF(COUNTIF($C$1:$C95,$C96)&gt;0,"",MAX($N$1:$N95)+1)))</f>
        <v>49</v>
      </c>
      <c r="S96" s="5">
        <f t="shared" si="57"/>
        <v>0</v>
      </c>
      <c r="X96" s="5">
        <f t="shared" si="58"/>
        <v>1.7</v>
      </c>
      <c r="Y96" s="5" t="e">
        <f t="shared" si="59"/>
        <v>#REF!</v>
      </c>
      <c r="Z96" s="5">
        <f t="shared" si="60"/>
        <v>0</v>
      </c>
      <c r="AA96" s="5">
        <f t="shared" si="61"/>
        <v>0</v>
      </c>
      <c r="AB96" s="5" t="e">
        <f t="shared" si="62"/>
        <v>#REF!</v>
      </c>
      <c r="AC96" s="5">
        <f t="shared" si="63"/>
        <v>0</v>
      </c>
      <c r="AD96" s="5">
        <f t="shared" si="64"/>
        <v>0</v>
      </c>
      <c r="AE96" s="5">
        <f t="shared" si="65"/>
        <v>0</v>
      </c>
      <c r="AF96" s="5" t="e">
        <f t="shared" si="66"/>
        <v>#REF!</v>
      </c>
      <c r="AG96" s="5" t="e">
        <f>N($E96)*N(#REF!)</f>
        <v>#REF!</v>
      </c>
      <c r="AH96" s="5" t="e">
        <f t="shared" si="67"/>
        <v>#REF!</v>
      </c>
      <c r="AI96" s="5">
        <f t="shared" si="68"/>
        <v>0</v>
      </c>
    </row>
    <row r="97" spans="1:35" x14ac:dyDescent="0.25">
      <c r="A97" s="3" t="s">
        <v>140</v>
      </c>
      <c r="B97" s="3" t="s">
        <v>89</v>
      </c>
      <c r="C97" s="3" t="s">
        <v>257</v>
      </c>
      <c r="D97" s="3" t="s">
        <v>258</v>
      </c>
      <c r="E97" s="12">
        <v>0.5</v>
      </c>
      <c r="F97" s="12" t="s">
        <v>242</v>
      </c>
      <c r="G97" s="12" t="s">
        <v>243</v>
      </c>
      <c r="H97" s="3" t="s">
        <v>37</v>
      </c>
      <c r="I97" s="4" t="s">
        <v>81</v>
      </c>
      <c r="J97" s="4" t="s">
        <v>89</v>
      </c>
      <c r="K97" s="5" t="s">
        <v>297</v>
      </c>
      <c r="L97" s="5" t="s">
        <v>92</v>
      </c>
      <c r="N97" s="5" t="str">
        <f>IF(OR($C97="",$C97="FID YOK"),"",IF(ISNUMBER(MATCH($C97,FA_ANA,0)),"",IF(COUNTIF($C$1:$C96,$C97)&gt;0,"",MAX($N$1:$N96)+1)))</f>
        <v/>
      </c>
      <c r="S97" s="5">
        <f t="shared" si="57"/>
        <v>0</v>
      </c>
      <c r="X97" s="5">
        <f t="shared" si="58"/>
        <v>0.5</v>
      </c>
      <c r="Y97" s="5" t="e">
        <f t="shared" si="59"/>
        <v>#REF!</v>
      </c>
      <c r="Z97" s="5">
        <f t="shared" si="60"/>
        <v>0</v>
      </c>
      <c r="AA97" s="5">
        <f t="shared" si="61"/>
        <v>0</v>
      </c>
      <c r="AB97" s="5" t="e">
        <f t="shared" si="62"/>
        <v>#REF!</v>
      </c>
      <c r="AC97" s="5">
        <f t="shared" si="63"/>
        <v>0</v>
      </c>
      <c r="AD97" s="5">
        <f t="shared" si="64"/>
        <v>0</v>
      </c>
      <c r="AE97" s="5">
        <f t="shared" si="65"/>
        <v>0</v>
      </c>
      <c r="AF97" s="5" t="e">
        <f t="shared" si="66"/>
        <v>#REF!</v>
      </c>
      <c r="AG97" s="5" t="e">
        <f>N($E97)*N(#REF!)</f>
        <v>#REF!</v>
      </c>
      <c r="AH97" s="5" t="e">
        <f t="shared" si="67"/>
        <v>#REF!</v>
      </c>
      <c r="AI97" s="5">
        <f t="shared" si="68"/>
        <v>0</v>
      </c>
    </row>
    <row r="98" spans="1:35" x14ac:dyDescent="0.25">
      <c r="A98" s="3" t="s">
        <v>140</v>
      </c>
      <c r="B98" s="3" t="s">
        <v>93</v>
      </c>
      <c r="C98" s="3" t="s">
        <v>247</v>
      </c>
      <c r="D98" s="3" t="s">
        <v>248</v>
      </c>
      <c r="E98" s="12">
        <v>1</v>
      </c>
      <c r="F98" s="12" t="s">
        <v>244</v>
      </c>
      <c r="G98" s="12" t="s">
        <v>216</v>
      </c>
      <c r="H98" s="3" t="s">
        <v>37</v>
      </c>
      <c r="I98" s="4" t="s">
        <v>81</v>
      </c>
      <c r="J98" s="4" t="s">
        <v>93</v>
      </c>
      <c r="K98" s="5" t="s">
        <v>296</v>
      </c>
      <c r="L98" s="5" t="s">
        <v>94</v>
      </c>
      <c r="N98" s="5" t="str">
        <f>IF(OR($C98="",$C98="FID YOK"),"",IF(ISNUMBER(MATCH($C98,FA_ANA,0)),"",IF(COUNTIF($C$1:$C97,$C98)&gt;0,"",MAX($N$1:$N97)+1)))</f>
        <v/>
      </c>
      <c r="S98" s="5">
        <f t="shared" si="57"/>
        <v>0</v>
      </c>
      <c r="X98" s="5" t="e">
        <f t="shared" si="58"/>
        <v>#REF!</v>
      </c>
      <c r="Y98" s="5" t="e">
        <f t="shared" si="59"/>
        <v>#REF!</v>
      </c>
      <c r="Z98" s="5">
        <f t="shared" si="60"/>
        <v>0</v>
      </c>
      <c r="AA98" s="5">
        <f t="shared" si="61"/>
        <v>0</v>
      </c>
      <c r="AB98" s="5" t="e">
        <f t="shared" si="62"/>
        <v>#REF!</v>
      </c>
      <c r="AC98" s="5">
        <f t="shared" si="63"/>
        <v>0</v>
      </c>
      <c r="AD98" s="5">
        <f t="shared" si="64"/>
        <v>0</v>
      </c>
      <c r="AE98" s="5">
        <f t="shared" si="65"/>
        <v>0</v>
      </c>
      <c r="AF98" s="5" t="e">
        <f t="shared" si="66"/>
        <v>#REF!</v>
      </c>
      <c r="AG98" s="5" t="e">
        <f>N($E98)*N(#REF!)</f>
        <v>#REF!</v>
      </c>
      <c r="AH98" s="5" t="e">
        <f t="shared" si="67"/>
        <v>#REF!</v>
      </c>
      <c r="AI98" s="5">
        <f t="shared" si="68"/>
        <v>0</v>
      </c>
    </row>
    <row r="99" spans="1:35" x14ac:dyDescent="0.25">
      <c r="A99" s="3" t="s">
        <v>140</v>
      </c>
      <c r="B99" s="3" t="s">
        <v>93</v>
      </c>
      <c r="C99" s="3" t="s">
        <v>251</v>
      </c>
      <c r="D99" s="3" t="s">
        <v>252</v>
      </c>
      <c r="E99" s="12">
        <v>1</v>
      </c>
      <c r="F99" s="12" t="s">
        <v>244</v>
      </c>
      <c r="G99" s="12" t="s">
        <v>216</v>
      </c>
      <c r="H99" s="3" t="s">
        <v>37</v>
      </c>
      <c r="I99" s="4" t="s">
        <v>81</v>
      </c>
      <c r="J99" s="4" t="s">
        <v>93</v>
      </c>
      <c r="K99" s="5" t="s">
        <v>296</v>
      </c>
      <c r="L99" s="5" t="s">
        <v>162</v>
      </c>
      <c r="N99" s="5">
        <f>IF(OR($C99="",$C99="FID YOK"),"",IF(ISNUMBER(MATCH($C99,FA_ANA,0)),"",IF(COUNTIF($C$1:$C98,$C99)&gt;0,"",MAX($N$1:$N98)+1)))</f>
        <v>50</v>
      </c>
      <c r="S99" s="5">
        <f t="shared" si="57"/>
        <v>0</v>
      </c>
      <c r="X99" s="5" t="e">
        <f t="shared" si="58"/>
        <v>#REF!</v>
      </c>
      <c r="Y99" s="5" t="e">
        <f t="shared" si="59"/>
        <v>#REF!</v>
      </c>
      <c r="Z99" s="5">
        <f t="shared" si="60"/>
        <v>0</v>
      </c>
      <c r="AA99" s="5">
        <f t="shared" si="61"/>
        <v>0</v>
      </c>
      <c r="AB99" s="5" t="e">
        <f t="shared" si="62"/>
        <v>#REF!</v>
      </c>
      <c r="AC99" s="5">
        <f t="shared" si="63"/>
        <v>0</v>
      </c>
      <c r="AD99" s="5">
        <f t="shared" si="64"/>
        <v>0</v>
      </c>
      <c r="AE99" s="5">
        <f t="shared" si="65"/>
        <v>0</v>
      </c>
      <c r="AF99" s="5" t="e">
        <f t="shared" si="66"/>
        <v>#REF!</v>
      </c>
      <c r="AG99" s="5" t="e">
        <f>N($E99)*N(#REF!)</f>
        <v>#REF!</v>
      </c>
      <c r="AH99" s="5" t="e">
        <f t="shared" si="67"/>
        <v>#REF!</v>
      </c>
      <c r="AI99" s="5">
        <f t="shared" si="68"/>
        <v>0</v>
      </c>
    </row>
    <row r="100" spans="1:35" x14ac:dyDescent="0.25">
      <c r="A100" s="3" t="s">
        <v>140</v>
      </c>
      <c r="B100" s="3" t="s">
        <v>95</v>
      </c>
      <c r="C100" s="3" t="s">
        <v>261</v>
      </c>
      <c r="D100" s="3" t="s">
        <v>262</v>
      </c>
      <c r="E100" s="12">
        <v>24</v>
      </c>
      <c r="F100" s="12" t="s">
        <v>41</v>
      </c>
      <c r="G100" s="12" t="s">
        <v>216</v>
      </c>
      <c r="H100" s="3" t="s">
        <v>37</v>
      </c>
      <c r="I100" s="4" t="s">
        <v>81</v>
      </c>
      <c r="J100" s="4" t="s">
        <v>95</v>
      </c>
      <c r="K100" s="5" t="s">
        <v>296</v>
      </c>
      <c r="L100" s="5" t="s">
        <v>163</v>
      </c>
      <c r="N100" s="5" t="str">
        <f>IF(OR($C100="",$C100="FID YOK"),"",IF(ISNUMBER(MATCH($C100,FA_ANA,0)),"",IF(COUNTIF($C$1:$C99,$C100)&gt;0,"",MAX($N$1:$N99)+1)))</f>
        <v/>
      </c>
      <c r="S100" s="5">
        <f t="shared" si="57"/>
        <v>0</v>
      </c>
      <c r="X100" s="5">
        <f t="shared" si="58"/>
        <v>24</v>
      </c>
      <c r="Y100" s="5" t="e">
        <f t="shared" si="59"/>
        <v>#REF!</v>
      </c>
      <c r="Z100" s="5">
        <f t="shared" si="60"/>
        <v>0</v>
      </c>
      <c r="AA100" s="5">
        <f t="shared" si="61"/>
        <v>0</v>
      </c>
      <c r="AB100" s="5" t="e">
        <f t="shared" si="62"/>
        <v>#REF!</v>
      </c>
      <c r="AC100" s="5">
        <f t="shared" si="63"/>
        <v>0</v>
      </c>
      <c r="AD100" s="5">
        <f t="shared" si="64"/>
        <v>0</v>
      </c>
      <c r="AE100" s="5">
        <f t="shared" si="65"/>
        <v>0</v>
      </c>
      <c r="AF100" s="5" t="e">
        <f t="shared" si="66"/>
        <v>#REF!</v>
      </c>
      <c r="AG100" s="5" t="e">
        <f>N($E100)*N(#REF!)</f>
        <v>#REF!</v>
      </c>
      <c r="AH100" s="5" t="e">
        <f t="shared" si="67"/>
        <v>#REF!</v>
      </c>
      <c r="AI100" s="5">
        <f t="shared" si="68"/>
        <v>0</v>
      </c>
    </row>
    <row r="101" spans="1:35" x14ac:dyDescent="0.25">
      <c r="A101" s="3" t="s">
        <v>140</v>
      </c>
      <c r="B101" s="3" t="s">
        <v>95</v>
      </c>
      <c r="C101" s="3" t="s">
        <v>265</v>
      </c>
      <c r="D101" s="3" t="s">
        <v>266</v>
      </c>
      <c r="E101" s="12">
        <v>6</v>
      </c>
      <c r="F101" s="12" t="s">
        <v>41</v>
      </c>
      <c r="G101" s="12" t="s">
        <v>216</v>
      </c>
      <c r="H101" s="3" t="s">
        <v>37</v>
      </c>
      <c r="I101" s="4" t="s">
        <v>81</v>
      </c>
      <c r="J101" s="4" t="s">
        <v>95</v>
      </c>
      <c r="K101" s="5" t="s">
        <v>296</v>
      </c>
      <c r="L101" s="5" t="s">
        <v>121</v>
      </c>
      <c r="N101" s="5" t="str">
        <f>IF(OR($C101="",$C101="FID YOK"),"",IF(ISNUMBER(MATCH($C101,FA_ANA,0)),"",IF(COUNTIF($C$1:$C100,$C101)&gt;0,"",MAX($N$1:$N100)+1)))</f>
        <v/>
      </c>
      <c r="S101" s="5">
        <f t="shared" si="57"/>
        <v>0</v>
      </c>
      <c r="X101" s="5">
        <f t="shared" si="58"/>
        <v>6</v>
      </c>
      <c r="Y101" s="5" t="e">
        <f t="shared" si="59"/>
        <v>#REF!</v>
      </c>
      <c r="Z101" s="5">
        <f t="shared" si="60"/>
        <v>0</v>
      </c>
      <c r="AA101" s="5">
        <f t="shared" si="61"/>
        <v>0</v>
      </c>
      <c r="AB101" s="5" t="e">
        <f t="shared" si="62"/>
        <v>#REF!</v>
      </c>
      <c r="AC101" s="5">
        <f t="shared" si="63"/>
        <v>0</v>
      </c>
      <c r="AD101" s="5">
        <f t="shared" si="64"/>
        <v>0</v>
      </c>
      <c r="AE101" s="5">
        <f t="shared" si="65"/>
        <v>0</v>
      </c>
      <c r="AF101" s="5" t="e">
        <f t="shared" si="66"/>
        <v>#REF!</v>
      </c>
      <c r="AG101" s="5" t="e">
        <f>N($E101)*N(#REF!)</f>
        <v>#REF!</v>
      </c>
      <c r="AH101" s="5" t="e">
        <f t="shared" si="67"/>
        <v>#REF!</v>
      </c>
      <c r="AI101" s="5">
        <f t="shared" si="68"/>
        <v>0</v>
      </c>
    </row>
    <row r="102" spans="1:35" x14ac:dyDescent="0.25">
      <c r="A102" s="3" t="s">
        <v>140</v>
      </c>
      <c r="B102" s="3" t="s">
        <v>95</v>
      </c>
      <c r="C102" s="3" t="s">
        <v>269</v>
      </c>
      <c r="D102" s="3" t="s">
        <v>270</v>
      </c>
      <c r="E102" s="12">
        <v>6</v>
      </c>
      <c r="F102" s="12" t="s">
        <v>41</v>
      </c>
      <c r="G102" s="12" t="s">
        <v>216</v>
      </c>
      <c r="H102" s="3" t="s">
        <v>37</v>
      </c>
      <c r="I102" s="4" t="s">
        <v>81</v>
      </c>
      <c r="J102" s="4" t="s">
        <v>95</v>
      </c>
      <c r="K102" s="5" t="s">
        <v>296</v>
      </c>
      <c r="L102" s="5" t="s">
        <v>164</v>
      </c>
      <c r="N102" s="5">
        <f>IF(OR($C102="",$C102="FID YOK"),"",IF(ISNUMBER(MATCH($C102,FA_ANA,0)),"",IF(COUNTIF($C$1:$C101,$C102)&gt;0,"",MAX($N$1:$N101)+1)))</f>
        <v>51</v>
      </c>
      <c r="S102" s="5">
        <f t="shared" si="57"/>
        <v>0</v>
      </c>
      <c r="X102" s="5">
        <f t="shared" si="58"/>
        <v>6</v>
      </c>
      <c r="Y102" s="5" t="e">
        <f t="shared" si="59"/>
        <v>#REF!</v>
      </c>
      <c r="Z102" s="5">
        <f t="shared" si="60"/>
        <v>0</v>
      </c>
      <c r="AA102" s="5">
        <f t="shared" si="61"/>
        <v>0</v>
      </c>
      <c r="AB102" s="5" t="e">
        <f t="shared" si="62"/>
        <v>#REF!</v>
      </c>
      <c r="AC102" s="5">
        <f t="shared" si="63"/>
        <v>0</v>
      </c>
      <c r="AD102" s="5">
        <f t="shared" si="64"/>
        <v>0</v>
      </c>
      <c r="AE102" s="5">
        <f t="shared" si="65"/>
        <v>0</v>
      </c>
      <c r="AF102" s="5" t="e">
        <f t="shared" si="66"/>
        <v>#REF!</v>
      </c>
      <c r="AG102" s="5" t="e">
        <f>N($E102)*N(#REF!)</f>
        <v>#REF!</v>
      </c>
      <c r="AH102" s="5" t="e">
        <f t="shared" si="67"/>
        <v>#REF!</v>
      </c>
      <c r="AI102" s="5">
        <f t="shared" si="68"/>
        <v>0</v>
      </c>
    </row>
    <row r="103" spans="1:35" x14ac:dyDescent="0.25">
      <c r="A103" s="3" t="s">
        <v>140</v>
      </c>
      <c r="B103" s="3" t="s">
        <v>95</v>
      </c>
      <c r="C103" s="3" t="s">
        <v>273</v>
      </c>
      <c r="D103" s="3" t="s">
        <v>274</v>
      </c>
      <c r="E103" s="12">
        <v>6</v>
      </c>
      <c r="F103" s="12" t="s">
        <v>41</v>
      </c>
      <c r="G103" s="12" t="s">
        <v>216</v>
      </c>
      <c r="H103" s="3" t="s">
        <v>37</v>
      </c>
      <c r="I103" s="4" t="s">
        <v>81</v>
      </c>
      <c r="J103" s="4" t="s">
        <v>95</v>
      </c>
      <c r="K103" s="5" t="s">
        <v>296</v>
      </c>
      <c r="L103" s="5" t="s">
        <v>165</v>
      </c>
      <c r="N103" s="5">
        <f>IF(OR($C103="",$C103="FID YOK"),"",IF(ISNUMBER(MATCH($C103,FA_ANA,0)),"",IF(COUNTIF($C$1:$C102,$C103)&gt;0,"",MAX($N$1:$N102)+1)))</f>
        <v>52</v>
      </c>
      <c r="S103" s="5">
        <f t="shared" si="57"/>
        <v>0</v>
      </c>
      <c r="X103" s="5">
        <f t="shared" si="58"/>
        <v>6</v>
      </c>
      <c r="Y103" s="5" t="e">
        <f t="shared" si="59"/>
        <v>#REF!</v>
      </c>
      <c r="Z103" s="5">
        <f t="shared" si="60"/>
        <v>0</v>
      </c>
      <c r="AA103" s="5">
        <f t="shared" si="61"/>
        <v>0</v>
      </c>
      <c r="AB103" s="5" t="e">
        <f t="shared" si="62"/>
        <v>#REF!</v>
      </c>
      <c r="AC103" s="5">
        <f t="shared" si="63"/>
        <v>0</v>
      </c>
      <c r="AD103" s="5">
        <f t="shared" si="64"/>
        <v>0</v>
      </c>
      <c r="AE103" s="5">
        <f t="shared" si="65"/>
        <v>0</v>
      </c>
      <c r="AF103" s="5" t="e">
        <f t="shared" si="66"/>
        <v>#REF!</v>
      </c>
      <c r="AG103" s="5" t="e">
        <f>N($E103)*N(#REF!)</f>
        <v>#REF!</v>
      </c>
      <c r="AH103" s="5" t="e">
        <f t="shared" si="67"/>
        <v>#REF!</v>
      </c>
      <c r="AI103" s="5">
        <f t="shared" si="68"/>
        <v>0</v>
      </c>
    </row>
    <row r="104" spans="1:35" x14ac:dyDescent="0.25">
      <c r="A104" s="3" t="s">
        <v>140</v>
      </c>
      <c r="B104" s="3" t="s">
        <v>95</v>
      </c>
      <c r="C104" s="3" t="s">
        <v>261</v>
      </c>
      <c r="D104" s="3" t="s">
        <v>262</v>
      </c>
      <c r="E104" s="12">
        <v>2</v>
      </c>
      <c r="F104" s="12" t="s">
        <v>41</v>
      </c>
      <c r="G104" s="12" t="s">
        <v>216</v>
      </c>
      <c r="H104" s="3" t="s">
        <v>37</v>
      </c>
      <c r="I104" s="4" t="s">
        <v>81</v>
      </c>
      <c r="J104" s="4" t="s">
        <v>95</v>
      </c>
      <c r="K104" s="5" t="s">
        <v>296</v>
      </c>
      <c r="L104" s="5" t="s">
        <v>97</v>
      </c>
      <c r="N104" s="5" t="str">
        <f>IF(OR($C104="",$C104="FID YOK"),"",IF(ISNUMBER(MATCH($C104,FA_ANA,0)),"",IF(COUNTIF($C$1:$C103,$C104)&gt;0,"",MAX($N$1:$N103)+1)))</f>
        <v/>
      </c>
      <c r="S104" s="5">
        <f t="shared" si="57"/>
        <v>0</v>
      </c>
      <c r="X104" s="5">
        <f t="shared" si="58"/>
        <v>2</v>
      </c>
      <c r="Y104" s="5" t="e">
        <f t="shared" si="59"/>
        <v>#REF!</v>
      </c>
      <c r="Z104" s="5">
        <f t="shared" si="60"/>
        <v>0</v>
      </c>
      <c r="AA104" s="5">
        <f t="shared" si="61"/>
        <v>0</v>
      </c>
      <c r="AB104" s="5" t="e">
        <f t="shared" si="62"/>
        <v>#REF!</v>
      </c>
      <c r="AC104" s="5">
        <f t="shared" si="63"/>
        <v>0</v>
      </c>
      <c r="AD104" s="5">
        <f t="shared" si="64"/>
        <v>0</v>
      </c>
      <c r="AE104" s="5">
        <f t="shared" si="65"/>
        <v>0</v>
      </c>
      <c r="AF104" s="5" t="e">
        <f t="shared" si="66"/>
        <v>#REF!</v>
      </c>
      <c r="AG104" s="5" t="e">
        <f>N($E104)*N(#REF!)</f>
        <v>#REF!</v>
      </c>
      <c r="AH104" s="5" t="e">
        <f t="shared" si="67"/>
        <v>#REF!</v>
      </c>
      <c r="AI104" s="5">
        <f t="shared" si="68"/>
        <v>0</v>
      </c>
    </row>
    <row r="105" spans="1:35" x14ac:dyDescent="0.25">
      <c r="A105" s="3" t="s">
        <v>140</v>
      </c>
      <c r="B105" s="3" t="s">
        <v>98</v>
      </c>
      <c r="C105" s="3" t="s">
        <v>279</v>
      </c>
      <c r="D105" s="3" t="s">
        <v>280</v>
      </c>
      <c r="E105" s="12">
        <v>1</v>
      </c>
      <c r="F105" s="12" t="s">
        <v>244</v>
      </c>
      <c r="G105" s="12" t="s">
        <v>216</v>
      </c>
      <c r="H105" s="3" t="s">
        <v>37</v>
      </c>
      <c r="I105" s="4" t="s">
        <v>81</v>
      </c>
      <c r="J105" s="4" t="s">
        <v>98</v>
      </c>
      <c r="K105" s="5" t="s">
        <v>296</v>
      </c>
      <c r="L105" s="5" t="s">
        <v>99</v>
      </c>
      <c r="N105" s="5" t="str">
        <f>IF(OR($C105="",$C105="FID YOK"),"",IF(ISNUMBER(MATCH($C105,FA_ANA,0)),"",IF(COUNTIF($C$1:$C104,$C105)&gt;0,"",MAX($N$1:$N104)+1)))</f>
        <v/>
      </c>
      <c r="S105" s="5">
        <f t="shared" si="57"/>
        <v>0</v>
      </c>
      <c r="X105" s="5" t="e">
        <f t="shared" si="58"/>
        <v>#REF!</v>
      </c>
      <c r="Y105" s="5" t="e">
        <f t="shared" si="59"/>
        <v>#REF!</v>
      </c>
      <c r="Z105" s="5">
        <f t="shared" si="60"/>
        <v>0</v>
      </c>
      <c r="AA105" s="5">
        <f t="shared" si="61"/>
        <v>0</v>
      </c>
      <c r="AB105" s="5" t="e">
        <f t="shared" si="62"/>
        <v>#REF!</v>
      </c>
      <c r="AC105" s="5">
        <f t="shared" si="63"/>
        <v>0</v>
      </c>
      <c r="AD105" s="5">
        <f t="shared" si="64"/>
        <v>0</v>
      </c>
      <c r="AE105" s="5">
        <f t="shared" si="65"/>
        <v>0</v>
      </c>
      <c r="AF105" s="5" t="e">
        <f t="shared" si="66"/>
        <v>#REF!</v>
      </c>
      <c r="AG105" s="5" t="e">
        <f>N($E105)*N(#REF!)</f>
        <v>#REF!</v>
      </c>
      <c r="AH105" s="5" t="e">
        <f t="shared" si="67"/>
        <v>#REF!</v>
      </c>
      <c r="AI105" s="5">
        <f t="shared" si="68"/>
        <v>0</v>
      </c>
    </row>
    <row r="106" spans="1:35" x14ac:dyDescent="0.25">
      <c r="A106" s="3" t="s">
        <v>140</v>
      </c>
      <c r="B106" s="3" t="s">
        <v>40</v>
      </c>
      <c r="C106" s="3" t="s">
        <v>40</v>
      </c>
      <c r="D106" s="3" t="s">
        <v>40</v>
      </c>
      <c r="E106" s="12">
        <v>1</v>
      </c>
      <c r="F106" s="12" t="s">
        <v>41</v>
      </c>
      <c r="G106" s="12" t="s">
        <v>40</v>
      </c>
      <c r="H106" s="3" t="s">
        <v>37</v>
      </c>
    </row>
    <row r="107" spans="1:35" x14ac:dyDescent="0.25">
      <c r="A107" s="3" t="s">
        <v>140</v>
      </c>
      <c r="B107" s="3" t="s">
        <v>42</v>
      </c>
      <c r="C107" s="3" t="s">
        <v>42</v>
      </c>
      <c r="D107" s="3" t="s">
        <v>42</v>
      </c>
      <c r="E107" s="12">
        <v>640.20000000000005</v>
      </c>
      <c r="F107" s="12" t="s">
        <v>43</v>
      </c>
      <c r="G107" s="12" t="s">
        <v>42</v>
      </c>
      <c r="H107" s="3" t="s">
        <v>37</v>
      </c>
    </row>
    <row r="108" spans="1:35" x14ac:dyDescent="0.25">
      <c r="A108" s="3" t="s">
        <v>140</v>
      </c>
      <c r="B108" s="6"/>
      <c r="C108" s="6"/>
      <c r="D108" s="6"/>
      <c r="E108" s="13"/>
      <c r="F108" s="13"/>
      <c r="G108" s="13"/>
      <c r="H108" s="3" t="s">
        <v>37</v>
      </c>
      <c r="K108" s="4" t="s">
        <v>298</v>
      </c>
      <c r="L108" s="4" t="s">
        <v>300</v>
      </c>
    </row>
    <row r="109" spans="1:35" x14ac:dyDescent="0.25">
      <c r="A109" s="1" t="s">
        <v>166</v>
      </c>
      <c r="B109" s="2"/>
      <c r="C109" s="2"/>
      <c r="D109" s="1" t="s">
        <v>166</v>
      </c>
      <c r="E109" s="11">
        <v>1</v>
      </c>
      <c r="F109" s="11" t="s">
        <v>35</v>
      </c>
      <c r="G109" s="11" t="s">
        <v>36</v>
      </c>
      <c r="H109" s="1" t="s">
        <v>37</v>
      </c>
    </row>
    <row r="110" spans="1:35" x14ac:dyDescent="0.25">
      <c r="A110" s="3" t="s">
        <v>166</v>
      </c>
      <c r="B110" s="3" t="s">
        <v>45</v>
      </c>
      <c r="C110" s="3" t="s">
        <v>293</v>
      </c>
      <c r="D110" s="3" t="s">
        <v>294</v>
      </c>
      <c r="E110" s="12">
        <v>1</v>
      </c>
      <c r="F110" s="12" t="s">
        <v>41</v>
      </c>
      <c r="G110" s="12" t="s">
        <v>216</v>
      </c>
      <c r="H110" s="3" t="s">
        <v>37</v>
      </c>
      <c r="I110" s="4" t="s">
        <v>46</v>
      </c>
      <c r="J110" s="4" t="s">
        <v>141</v>
      </c>
      <c r="K110" s="5" t="s">
        <v>296</v>
      </c>
      <c r="L110" s="5" t="s">
        <v>167</v>
      </c>
      <c r="M110" s="5" t="s">
        <v>168</v>
      </c>
      <c r="N110" s="5">
        <f>IF(OR($C110="",$C110="FID YOK"),"",IF(ISNUMBER(MATCH($C110,FA_ANA,0)),"",IF(COUNTIF($C$1:$C109,$C110)&gt;0,"",MAX($N$1:$N109)+1)))</f>
        <v>53</v>
      </c>
      <c r="P110" s="5"/>
      <c r="Q110" s="5"/>
      <c r="R110" s="5"/>
      <c r="S110" s="5">
        <f t="shared" ref="S110:S125" si="76">IF(ISNA(MATCH($C110,FA,0)),0,IF($I110="GIRIS",N(INDEX(F_INKOR,MATCH($C110,FA,0))),0))</f>
        <v>0</v>
      </c>
      <c r="T110" s="5"/>
      <c r="U110" s="5"/>
      <c r="V110" s="5"/>
      <c r="W110" s="5"/>
      <c r="X110" s="5">
        <f t="shared" ref="X110:X125" si="77">N($E110)*IF($F110="упак",MAX(1,IF(ISNA(MATCH($C110,FA,0)),1,N(INDEX(F_PAKET,MATCH($C110,FA,0))))),1)</f>
        <v>1</v>
      </c>
      <c r="Y110" s="5" t="e">
        <f t="shared" ref="Y110:Y125" si="78">IF(ISNA(MATCH($C110,FA,0)),0,N(INDEX(F_BK,MATCH($C110,FA,0))))</f>
        <v>#REF!</v>
      </c>
      <c r="Z110" s="5" t="e">
        <f t="shared" ref="Z110:Z125" si="79">IF(OR(ISNA(MATCH($C110,FA,0)),$I110="YEDEK",$I110="SARF"),0,N($E110)*N(INDEX(F_TEL,MATCH($C110,FA,0))))</f>
        <v>#REF!</v>
      </c>
      <c r="AA110" s="5" t="e">
        <f t="shared" ref="AA110:AA125" si="80">IF(OR(ISNA(MATCH($C110,FA,0)),$I110="YEDEK",$I110="SARF"),0,N($E110)*N(INDEX(F_TELM,MATCH($C110,FA,0))))</f>
        <v>#REF!</v>
      </c>
      <c r="AB110" s="5" t="e">
        <f t="shared" ref="AB110:AB125" si="81">IF(ISNA(MATCH($C110,FA,0)),"",INDEX(F_UC,MATCH($C110,FA,0))&amp;"")</f>
        <v>#REF!</v>
      </c>
      <c r="AC110" s="5">
        <f t="shared" ref="AC110:AC125" si="82">IF(OR(ISNA(MATCH($C110,FA,0)),$I110&lt;&gt;"CIKIS"),0,N(INDEX(F_KK,MATCH($C110,FA,0))))</f>
        <v>0</v>
      </c>
      <c r="AD110" s="5">
        <f t="shared" ref="AD110:AD125" si="83">IF($AC110=0,0,N($E110)*N(INDEX(F_KLN,MATCH($C110,FA,0))))</f>
        <v>0</v>
      </c>
      <c r="AE110" s="5">
        <f t="shared" ref="AE110:AE125" si="84">IF($AC110=0,0,N($E110)*N(INDEX(F_KPE,MATCH($C110,FA,0))))</f>
        <v>0</v>
      </c>
      <c r="AF110" s="5" t="e">
        <f t="shared" ref="AF110:AF125" si="85">IF(ISNA(MATCH($C110,FA,0)),0,N($E110)*N(INDEX(F_MODUL,MATCH($C110,FA,0))))</f>
        <v>#REF!</v>
      </c>
      <c r="AG110" s="5" t="e">
        <f>N($E110)*N(#REF!)</f>
        <v>#REF!</v>
      </c>
      <c r="AH110" s="5" t="e">
        <f t="shared" ref="AH110:AH125" si="86">IF(ISNA(MATCH($J110,TIP_AD,0)),"YOK",IF(INDEX(NORM_DK,MATCH($J110,TIP_AD,0))="","BOŞ",INDEX(NORM_DK,MATCH($J110,TIP_AD,0))))</f>
        <v>#REF!</v>
      </c>
      <c r="AI110" s="5">
        <f t="shared" ref="AI110:AI125" si="87">IF(ISNUMBER($AH110),$X110*$AH110,0)</f>
        <v>0</v>
      </c>
    </row>
    <row r="111" spans="1:35" x14ac:dyDescent="0.25">
      <c r="A111" s="3" t="s">
        <v>166</v>
      </c>
      <c r="B111" s="3" t="s">
        <v>54</v>
      </c>
      <c r="C111" s="3" t="s">
        <v>196</v>
      </c>
      <c r="D111" s="3" t="s">
        <v>197</v>
      </c>
      <c r="E111" s="12">
        <v>1</v>
      </c>
      <c r="F111" s="12" t="s">
        <v>41</v>
      </c>
      <c r="G111" s="12" t="s">
        <v>179</v>
      </c>
      <c r="H111" s="3" t="s">
        <v>37</v>
      </c>
      <c r="I111" s="4" t="s">
        <v>55</v>
      </c>
      <c r="J111" s="4" t="s">
        <v>54</v>
      </c>
      <c r="K111" s="5" t="s">
        <v>295</v>
      </c>
      <c r="L111" s="5" t="s">
        <v>169</v>
      </c>
      <c r="M111" s="5" t="s">
        <v>170</v>
      </c>
      <c r="N111" s="5">
        <f>IF(OR($C111="",$C111="FID YOK"),"",IF(ISNUMBER(MATCH($C111,FA_ANA,0)),"",IF(COUNTIF($C$1:$C110,$C111)&gt;0,"",MAX($N$1:$N110)+1)))</f>
        <v>54</v>
      </c>
      <c r="O111" s="7">
        <v>4</v>
      </c>
      <c r="P111" s="5" t="e">
        <f>IF(OR($O111="",$O111="G",ISNA(MATCH($C111,FA,0))),"",IF(N(INDEX(F_G,MATCH($C111,FA,0)))&gt;0,INDEX(F_G,MATCH($C111,FA,0)),IF(N(INDEX(F_MODUL,MATCH($C111,FA,0)))&gt;0,INDEX(F_MODUL,MATCH($C111,FA,0))*MODUL_MM,"")))</f>
        <v>#REF!</v>
      </c>
      <c r="Q111" s="5" t="e">
        <f>IF(OR($O111="",$O111="G",ISNA(MATCH($C111,FA,0))),"",IF(N(INDEX(F_Y,MATCH($C111,FA,0)))&gt;0,INDEX(F_Y,MATCH($C111,FA,0)),""))</f>
        <v>#REF!</v>
      </c>
      <c r="R111" s="5" t="e">
        <f>IF(OR($O111="",$O111="G",ISNA(MATCH($C111,FA,0))),"",IF(N(INDEX(F_D,MATCH($C111,FA,0)))&gt;0,INDEX(F_D,MATCH($C111,FA,0)),""))</f>
        <v>#REF!</v>
      </c>
      <c r="S111" s="5">
        <f t="shared" si="76"/>
        <v>0</v>
      </c>
      <c r="T111" s="5" t="e">
        <f>IF(ISNA(MATCH($B111,TIP_AD,0)),"",INDEX(TIP_KAT,MATCH($B111,TIP_AD,0))&amp;"")</f>
        <v>#REF!</v>
      </c>
      <c r="U111" s="5" t="e">
        <f>IF(NOT(ISNUMBER($O111)),"",IF($Y111=0,0,IF(ISNA(MATCH($Y111,BUK_KESIT,0)),"",IF(INDEX(BUK_ALAN,MATCH($Y111,BUK_KESIT,0))&amp;""="","",INDEX(BUK_ALAN,MATCH($Y111,BUK_KESIT,0))))))</f>
        <v>#REF!</v>
      </c>
      <c r="V111" s="5" t="e">
        <f>IF(OR(NOT(ISNUMBER($O111)),$P111=""),"",N($E111)*($P111+IF(ISNA(MATCH($B111,TIP_AD,0)),0,N(INDEX(TIP_BOSLUK,MATCH($B111,TIP_AD,0))))))</f>
        <v>#REF!</v>
      </c>
      <c r="W111" s="5" t="e">
        <f>IF(ISNUMBER($O111),($P111="")+($Q111="")+($U111="")+IF(AND($T111="KONTAKTOR",NOT(ISNA(MATCH($B111,TIP_AD,0)))),IF(INDEX(TIP_BOSLUK,MATCH($B111,TIP_AD,0))&amp;""="",1,0),0),IF($O111="K",IF($R111="",1,0),0))</f>
        <v>#REF!</v>
      </c>
      <c r="X111" s="5">
        <f t="shared" si="77"/>
        <v>1</v>
      </c>
      <c r="Y111" s="5" t="e">
        <f t="shared" si="78"/>
        <v>#REF!</v>
      </c>
      <c r="Z111" s="5" t="e">
        <f t="shared" si="79"/>
        <v>#REF!</v>
      </c>
      <c r="AA111" s="5" t="e">
        <f t="shared" si="80"/>
        <v>#REF!</v>
      </c>
      <c r="AB111" s="5" t="e">
        <f t="shared" si="81"/>
        <v>#REF!</v>
      </c>
      <c r="AC111" s="5">
        <f t="shared" si="82"/>
        <v>0</v>
      </c>
      <c r="AD111" s="5">
        <f t="shared" si="83"/>
        <v>0</v>
      </c>
      <c r="AE111" s="5">
        <f t="shared" si="84"/>
        <v>0</v>
      </c>
      <c r="AF111" s="5" t="e">
        <f t="shared" si="85"/>
        <v>#REF!</v>
      </c>
      <c r="AG111" s="5" t="e">
        <f>N($E111)*N(#REF!)</f>
        <v>#REF!</v>
      </c>
      <c r="AH111" s="5" t="e">
        <f t="shared" si="86"/>
        <v>#REF!</v>
      </c>
      <c r="AI111" s="5">
        <f t="shared" si="87"/>
        <v>0</v>
      </c>
    </row>
    <row r="112" spans="1:35" x14ac:dyDescent="0.25">
      <c r="A112" s="3" t="s">
        <v>166</v>
      </c>
      <c r="B112" s="3" t="s">
        <v>171</v>
      </c>
      <c r="C112" s="3" t="s">
        <v>202</v>
      </c>
      <c r="D112" s="3" t="s">
        <v>203</v>
      </c>
      <c r="E112" s="12">
        <v>12</v>
      </c>
      <c r="F112" s="12" t="s">
        <v>41</v>
      </c>
      <c r="G112" s="12" t="s">
        <v>179</v>
      </c>
      <c r="H112" s="3" t="s">
        <v>37</v>
      </c>
      <c r="I112" s="4" t="s">
        <v>39</v>
      </c>
      <c r="J112" s="4" t="s">
        <v>171</v>
      </c>
      <c r="K112" s="5" t="s">
        <v>295</v>
      </c>
      <c r="L112" s="5" t="s">
        <v>172</v>
      </c>
      <c r="M112" s="5" t="s">
        <v>173</v>
      </c>
      <c r="N112" s="5">
        <f>IF(OR($C112="",$C112="FID YOK"),"",IF(ISNUMBER(MATCH($C112,FA_ANA,0)),"",IF(COUNTIF($C$1:$C111,$C112)&gt;0,"",MAX($N$1:$N111)+1)))</f>
        <v>55</v>
      </c>
      <c r="O112" s="7">
        <v>2</v>
      </c>
      <c r="P112" s="5" t="e">
        <f>IF(OR($O112="",$O112="G",ISNA(MATCH($C112,FA,0))),"",IF(N(INDEX(F_G,MATCH($C112,FA,0)))&gt;0,INDEX(F_G,MATCH($C112,FA,0)),IF(N(INDEX(F_MODUL,MATCH($C112,FA,0)))&gt;0,INDEX(F_MODUL,MATCH($C112,FA,0))*MODUL_MM,"")))</f>
        <v>#REF!</v>
      </c>
      <c r="Q112" s="5" t="e">
        <f>IF(OR($O112="",$O112="G",ISNA(MATCH($C112,FA,0))),"",IF(N(INDEX(F_Y,MATCH($C112,FA,0)))&gt;0,INDEX(F_Y,MATCH($C112,FA,0)),""))</f>
        <v>#REF!</v>
      </c>
      <c r="R112" s="5" t="e">
        <f>IF(OR($O112="",$O112="G",ISNA(MATCH($C112,FA,0))),"",IF(N(INDEX(F_D,MATCH($C112,FA,0)))&gt;0,INDEX(F_D,MATCH($C112,FA,0)),""))</f>
        <v>#REF!</v>
      </c>
      <c r="S112" s="5">
        <f t="shared" si="76"/>
        <v>0</v>
      </c>
      <c r="T112" s="5" t="e">
        <f>IF(ISNA(MATCH($B112,TIP_AD,0)),"",INDEX(TIP_KAT,MATCH($B112,TIP_AD,0))&amp;"")</f>
        <v>#REF!</v>
      </c>
      <c r="U112" s="5" t="e">
        <f>IF(NOT(ISNUMBER($O112)),"",IF($Y112=0,0,IF(ISNA(MATCH($Y112,BUK_KESIT,0)),"",IF(INDEX(BUK_ALAN,MATCH($Y112,BUK_KESIT,0))&amp;""="","",INDEX(BUK_ALAN,MATCH($Y112,BUK_KESIT,0))))))</f>
        <v>#REF!</v>
      </c>
      <c r="V112" s="5" t="e">
        <f>IF(OR(NOT(ISNUMBER($O112)),$P112=""),"",N($E112)*($P112+IF(ISNA(MATCH($B112,TIP_AD,0)),0,N(INDEX(TIP_BOSLUK,MATCH($B112,TIP_AD,0))))))</f>
        <v>#REF!</v>
      </c>
      <c r="W112" s="5" t="e">
        <f>IF(ISNUMBER($O112),($P112="")+($Q112="")+($U112="")+IF(AND($T112="KONTAKTOR",NOT(ISNA(MATCH($B112,TIP_AD,0)))),IF(INDEX(TIP_BOSLUK,MATCH($B112,TIP_AD,0))&amp;""="",1,0),0),IF($O112="K",IF($R112="",1,0),0))</f>
        <v>#REF!</v>
      </c>
      <c r="X112" s="5">
        <f t="shared" si="77"/>
        <v>12</v>
      </c>
      <c r="Y112" s="5" t="e">
        <f t="shared" si="78"/>
        <v>#REF!</v>
      </c>
      <c r="Z112" s="5" t="e">
        <f t="shared" si="79"/>
        <v>#REF!</v>
      </c>
      <c r="AA112" s="5" t="e">
        <f t="shared" si="80"/>
        <v>#REF!</v>
      </c>
      <c r="AB112" s="5" t="e">
        <f t="shared" si="81"/>
        <v>#REF!</v>
      </c>
      <c r="AC112" s="5" t="e">
        <f t="shared" si="82"/>
        <v>#REF!</v>
      </c>
      <c r="AD112" s="5" t="e">
        <f t="shared" si="83"/>
        <v>#REF!</v>
      </c>
      <c r="AE112" s="5" t="e">
        <f t="shared" si="84"/>
        <v>#REF!</v>
      </c>
      <c r="AF112" s="5" t="e">
        <f t="shared" si="85"/>
        <v>#REF!</v>
      </c>
      <c r="AG112" s="5" t="e">
        <f>N($E112)*N(#REF!)</f>
        <v>#REF!</v>
      </c>
      <c r="AH112" s="5" t="e">
        <f t="shared" si="86"/>
        <v>#REF!</v>
      </c>
      <c r="AI112" s="5">
        <f t="shared" si="87"/>
        <v>0</v>
      </c>
    </row>
    <row r="113" spans="1:35" x14ac:dyDescent="0.25">
      <c r="A113" s="3" t="s">
        <v>166</v>
      </c>
      <c r="B113" s="3" t="s">
        <v>171</v>
      </c>
      <c r="C113" s="3" t="s">
        <v>202</v>
      </c>
      <c r="D113" s="3" t="s">
        <v>203</v>
      </c>
      <c r="E113" s="12">
        <v>12</v>
      </c>
      <c r="F113" s="12" t="s">
        <v>41</v>
      </c>
      <c r="G113" s="12" t="s">
        <v>179</v>
      </c>
      <c r="H113" s="3" t="s">
        <v>37</v>
      </c>
      <c r="I113" s="4" t="s">
        <v>39</v>
      </c>
      <c r="J113" s="4" t="s">
        <v>171</v>
      </c>
      <c r="K113" s="5" t="s">
        <v>295</v>
      </c>
      <c r="L113" s="5" t="s">
        <v>174</v>
      </c>
      <c r="M113" s="5" t="s">
        <v>173</v>
      </c>
      <c r="N113" s="5" t="str">
        <f>IF(OR($C113="",$C113="FID YOK"),"",IF(ISNUMBER(MATCH($C113,FA_ANA,0)),"",IF(COUNTIF($C$1:$C112,$C113)&gt;0,"",MAX($N$1:$N112)+1)))</f>
        <v/>
      </c>
      <c r="O113" s="7">
        <v>3</v>
      </c>
      <c r="P113" s="5" t="e">
        <f>IF(OR($O113="",$O113="G",ISNA(MATCH($C113,FA,0))),"",IF(N(INDEX(F_G,MATCH($C113,FA,0)))&gt;0,INDEX(F_G,MATCH($C113,FA,0)),IF(N(INDEX(F_MODUL,MATCH($C113,FA,0)))&gt;0,INDEX(F_MODUL,MATCH($C113,FA,0))*MODUL_MM,"")))</f>
        <v>#REF!</v>
      </c>
      <c r="Q113" s="5" t="e">
        <f>IF(OR($O113="",$O113="G",ISNA(MATCH($C113,FA,0))),"",IF(N(INDEX(F_Y,MATCH($C113,FA,0)))&gt;0,INDEX(F_Y,MATCH($C113,FA,0)),""))</f>
        <v>#REF!</v>
      </c>
      <c r="R113" s="5" t="e">
        <f>IF(OR($O113="",$O113="G",ISNA(MATCH($C113,FA,0))),"",IF(N(INDEX(F_D,MATCH($C113,FA,0)))&gt;0,INDEX(F_D,MATCH($C113,FA,0)),""))</f>
        <v>#REF!</v>
      </c>
      <c r="S113" s="5">
        <f t="shared" si="76"/>
        <v>0</v>
      </c>
      <c r="T113" s="5" t="e">
        <f>IF(ISNA(MATCH($B113,TIP_AD,0)),"",INDEX(TIP_KAT,MATCH($B113,TIP_AD,0))&amp;"")</f>
        <v>#REF!</v>
      </c>
      <c r="U113" s="5" t="e">
        <f>IF(NOT(ISNUMBER($O113)),"",IF($Y113=0,0,IF(ISNA(MATCH($Y113,BUK_KESIT,0)),"",IF(INDEX(BUK_ALAN,MATCH($Y113,BUK_KESIT,0))&amp;""="","",INDEX(BUK_ALAN,MATCH($Y113,BUK_KESIT,0))))))</f>
        <v>#REF!</v>
      </c>
      <c r="V113" s="5" t="e">
        <f>IF(OR(NOT(ISNUMBER($O113)),$P113=""),"",N($E113)*($P113+IF(ISNA(MATCH($B113,TIP_AD,0)),0,N(INDEX(TIP_BOSLUK,MATCH($B113,TIP_AD,0))))))</f>
        <v>#REF!</v>
      </c>
      <c r="W113" s="5" t="e">
        <f>IF(ISNUMBER($O113),($P113="")+($Q113="")+($U113="")+IF(AND($T113="KONTAKTOR",NOT(ISNA(MATCH($B113,TIP_AD,0)))),IF(INDEX(TIP_BOSLUK,MATCH($B113,TIP_AD,0))&amp;""="",1,0),0),IF($O113="K",IF($R113="",1,0),0))</f>
        <v>#REF!</v>
      </c>
      <c r="X113" s="5">
        <f t="shared" si="77"/>
        <v>12</v>
      </c>
      <c r="Y113" s="5" t="e">
        <f t="shared" si="78"/>
        <v>#REF!</v>
      </c>
      <c r="Z113" s="5" t="e">
        <f t="shared" si="79"/>
        <v>#REF!</v>
      </c>
      <c r="AA113" s="5" t="e">
        <f t="shared" si="80"/>
        <v>#REF!</v>
      </c>
      <c r="AB113" s="5" t="e">
        <f t="shared" si="81"/>
        <v>#REF!</v>
      </c>
      <c r="AC113" s="5" t="e">
        <f t="shared" si="82"/>
        <v>#REF!</v>
      </c>
      <c r="AD113" s="5" t="e">
        <f t="shared" si="83"/>
        <v>#REF!</v>
      </c>
      <c r="AE113" s="5" t="e">
        <f t="shared" si="84"/>
        <v>#REF!</v>
      </c>
      <c r="AF113" s="5" t="e">
        <f t="shared" si="85"/>
        <v>#REF!</v>
      </c>
      <c r="AG113" s="5" t="e">
        <f>N($E113)*N(#REF!)</f>
        <v>#REF!</v>
      </c>
      <c r="AH113" s="5" t="e">
        <f t="shared" si="86"/>
        <v>#REF!</v>
      </c>
      <c r="AI113" s="5">
        <f t="shared" si="87"/>
        <v>0</v>
      </c>
    </row>
    <row r="114" spans="1:35" x14ac:dyDescent="0.25">
      <c r="A114" s="3" t="s">
        <v>166</v>
      </c>
      <c r="B114" s="3" t="s">
        <v>107</v>
      </c>
      <c r="C114" s="3" t="s">
        <v>204</v>
      </c>
      <c r="D114" s="3" t="s">
        <v>205</v>
      </c>
      <c r="E114" s="12">
        <v>1</v>
      </c>
      <c r="F114" s="12" t="s">
        <v>41</v>
      </c>
      <c r="G114" s="12" t="s">
        <v>179</v>
      </c>
      <c r="H114" s="3" t="s">
        <v>37</v>
      </c>
      <c r="I114" s="4" t="s">
        <v>39</v>
      </c>
      <c r="J114" s="4" t="s">
        <v>107</v>
      </c>
      <c r="K114" s="5" t="s">
        <v>295</v>
      </c>
      <c r="L114" s="5" t="s">
        <v>175</v>
      </c>
      <c r="M114" s="5" t="s">
        <v>176</v>
      </c>
      <c r="N114" s="5">
        <f>IF(OR($C114="",$C114="FID YOK"),"",IF(ISNUMBER(MATCH($C114,FA_ANA,0)),"",IF(COUNTIF($C$1:$C113,$C114)&gt;0,"",MAX($N$1:$N113)+1)))</f>
        <v>56</v>
      </c>
      <c r="O114" s="7">
        <v>1</v>
      </c>
      <c r="P114" s="5" t="e">
        <f>IF(OR($O114="",$O114="G",ISNA(MATCH($C114,FA,0))),"",IF(N(INDEX(F_G,MATCH($C114,FA,0)))&gt;0,INDEX(F_G,MATCH($C114,FA,0)),IF(N(INDEX(F_MODUL,MATCH($C114,FA,0)))&gt;0,INDEX(F_MODUL,MATCH($C114,FA,0))*MODUL_MM,"")))</f>
        <v>#REF!</v>
      </c>
      <c r="Q114" s="5" t="e">
        <f>IF(OR($O114="",$O114="G",ISNA(MATCH($C114,FA,0))),"",IF(N(INDEX(F_Y,MATCH($C114,FA,0)))&gt;0,INDEX(F_Y,MATCH($C114,FA,0)),""))</f>
        <v>#REF!</v>
      </c>
      <c r="R114" s="5" t="e">
        <f>IF(OR($O114="",$O114="G",ISNA(MATCH($C114,FA,0))),"",IF(N(INDEX(F_D,MATCH($C114,FA,0)))&gt;0,INDEX(F_D,MATCH($C114,FA,0)),""))</f>
        <v>#REF!</v>
      </c>
      <c r="S114" s="5">
        <f t="shared" si="76"/>
        <v>0</v>
      </c>
      <c r="T114" s="5" t="e">
        <f>IF(ISNA(MATCH($B114,TIP_AD,0)),"",INDEX(TIP_KAT,MATCH($B114,TIP_AD,0))&amp;"")</f>
        <v>#REF!</v>
      </c>
      <c r="U114" s="5" t="e">
        <f>IF(NOT(ISNUMBER($O114)),"",IF($Y114=0,0,IF(ISNA(MATCH($Y114,BUK_KESIT,0)),"",IF(INDEX(BUK_ALAN,MATCH($Y114,BUK_KESIT,0))&amp;""="","",INDEX(BUK_ALAN,MATCH($Y114,BUK_KESIT,0))))))</f>
        <v>#REF!</v>
      </c>
      <c r="V114" s="5" t="e">
        <f>IF(OR(NOT(ISNUMBER($O114)),$P114=""),"",N($E114)*($P114+IF(ISNA(MATCH($B114,TIP_AD,0)),0,N(INDEX(TIP_BOSLUK,MATCH($B114,TIP_AD,0))))))</f>
        <v>#REF!</v>
      </c>
      <c r="W114" s="5" t="e">
        <f>IF(ISNUMBER($O114),($P114="")+($Q114="")+($U114="")+IF(AND($T114="KONTAKTOR",NOT(ISNA(MATCH($B114,TIP_AD,0)))),IF(INDEX(TIP_BOSLUK,MATCH($B114,TIP_AD,0))&amp;""="",1,0),0),IF($O114="K",IF($R114="",1,0),0))</f>
        <v>#REF!</v>
      </c>
      <c r="X114" s="5">
        <f t="shared" si="77"/>
        <v>1</v>
      </c>
      <c r="Y114" s="5" t="e">
        <f t="shared" si="78"/>
        <v>#REF!</v>
      </c>
      <c r="Z114" s="5" t="e">
        <f t="shared" si="79"/>
        <v>#REF!</v>
      </c>
      <c r="AA114" s="5" t="e">
        <f t="shared" si="80"/>
        <v>#REF!</v>
      </c>
      <c r="AB114" s="5" t="e">
        <f t="shared" si="81"/>
        <v>#REF!</v>
      </c>
      <c r="AC114" s="5" t="e">
        <f t="shared" si="82"/>
        <v>#REF!</v>
      </c>
      <c r="AD114" s="5" t="e">
        <f t="shared" si="83"/>
        <v>#REF!</v>
      </c>
      <c r="AE114" s="5" t="e">
        <f t="shared" si="84"/>
        <v>#REF!</v>
      </c>
      <c r="AF114" s="5" t="e">
        <f t="shared" si="85"/>
        <v>#REF!</v>
      </c>
      <c r="AG114" s="5" t="e">
        <f>N($E114)*N(#REF!)</f>
        <v>#REF!</v>
      </c>
      <c r="AH114" s="5" t="e">
        <f t="shared" si="86"/>
        <v>#REF!</v>
      </c>
      <c r="AI114" s="5">
        <f t="shared" si="87"/>
        <v>0</v>
      </c>
    </row>
    <row r="115" spans="1:35" x14ac:dyDescent="0.25">
      <c r="A115" s="3" t="s">
        <v>166</v>
      </c>
      <c r="B115" s="3" t="s">
        <v>115</v>
      </c>
      <c r="C115" s="3" t="s">
        <v>287</v>
      </c>
      <c r="D115" s="3" t="s">
        <v>288</v>
      </c>
      <c r="E115" s="12">
        <v>2</v>
      </c>
      <c r="F115" s="12" t="s">
        <v>41</v>
      </c>
      <c r="G115" s="12" t="s">
        <v>216</v>
      </c>
      <c r="H115" s="3" t="s">
        <v>37</v>
      </c>
      <c r="I115" s="4" t="s">
        <v>81</v>
      </c>
      <c r="J115" s="4" t="s">
        <v>115</v>
      </c>
      <c r="K115" s="5" t="s">
        <v>296</v>
      </c>
      <c r="L115" s="5" t="s">
        <v>116</v>
      </c>
      <c r="N115" s="5">
        <f>IF(OR($C115="",$C115="FID YOK"),"",IF(ISNUMBER(MATCH($C115,FA_ANA,0)),"",IF(COUNTIF($C$1:$C114,$C115)&gt;0,"",MAX($N$1:$N114)+1)))</f>
        <v>57</v>
      </c>
      <c r="S115" s="5">
        <f t="shared" si="76"/>
        <v>0</v>
      </c>
      <c r="X115" s="5">
        <f t="shared" si="77"/>
        <v>2</v>
      </c>
      <c r="Y115" s="5" t="e">
        <f t="shared" si="78"/>
        <v>#REF!</v>
      </c>
      <c r="Z115" s="5">
        <f t="shared" si="79"/>
        <v>0</v>
      </c>
      <c r="AA115" s="5">
        <f t="shared" si="80"/>
        <v>0</v>
      </c>
      <c r="AB115" s="5" t="e">
        <f t="shared" si="81"/>
        <v>#REF!</v>
      </c>
      <c r="AC115" s="5">
        <f t="shared" si="82"/>
        <v>0</v>
      </c>
      <c r="AD115" s="5">
        <f t="shared" si="83"/>
        <v>0</v>
      </c>
      <c r="AE115" s="5">
        <f t="shared" si="84"/>
        <v>0</v>
      </c>
      <c r="AF115" s="5" t="e">
        <f t="shared" si="85"/>
        <v>#REF!</v>
      </c>
      <c r="AG115" s="5" t="e">
        <f>N($E115)*N(#REF!)</f>
        <v>#REF!</v>
      </c>
      <c r="AH115" s="5" t="e">
        <f t="shared" si="86"/>
        <v>#REF!</v>
      </c>
      <c r="AI115" s="5">
        <f t="shared" si="87"/>
        <v>0</v>
      </c>
    </row>
    <row r="116" spans="1:35" x14ac:dyDescent="0.25">
      <c r="A116" s="3" t="s">
        <v>166</v>
      </c>
      <c r="B116" s="3" t="s">
        <v>115</v>
      </c>
      <c r="C116" s="3" t="s">
        <v>287</v>
      </c>
      <c r="D116" s="3" t="s">
        <v>288</v>
      </c>
      <c r="E116" s="12">
        <v>2</v>
      </c>
      <c r="F116" s="12" t="s">
        <v>41</v>
      </c>
      <c r="G116" s="12" t="s">
        <v>216</v>
      </c>
      <c r="H116" s="3" t="s">
        <v>37</v>
      </c>
      <c r="I116" s="4" t="s">
        <v>81</v>
      </c>
      <c r="J116" s="4" t="s">
        <v>115</v>
      </c>
      <c r="K116" s="5" t="s">
        <v>296</v>
      </c>
      <c r="L116" s="5" t="s">
        <v>117</v>
      </c>
      <c r="N116" s="5" t="str">
        <f>IF(OR($C116="",$C116="FID YOK"),"",IF(ISNUMBER(MATCH($C116,FA_ANA,0)),"",IF(COUNTIF($C$1:$C115,$C116)&gt;0,"",MAX($N$1:$N115)+1)))</f>
        <v/>
      </c>
      <c r="S116" s="5">
        <f t="shared" si="76"/>
        <v>0</v>
      </c>
      <c r="X116" s="5">
        <f t="shared" si="77"/>
        <v>2</v>
      </c>
      <c r="Y116" s="5" t="e">
        <f t="shared" si="78"/>
        <v>#REF!</v>
      </c>
      <c r="Z116" s="5">
        <f t="shared" si="79"/>
        <v>0</v>
      </c>
      <c r="AA116" s="5">
        <f t="shared" si="80"/>
        <v>0</v>
      </c>
      <c r="AB116" s="5" t="e">
        <f t="shared" si="81"/>
        <v>#REF!</v>
      </c>
      <c r="AC116" s="5">
        <f t="shared" si="82"/>
        <v>0</v>
      </c>
      <c r="AD116" s="5">
        <f t="shared" si="83"/>
        <v>0</v>
      </c>
      <c r="AE116" s="5">
        <f t="shared" si="84"/>
        <v>0</v>
      </c>
      <c r="AF116" s="5" t="e">
        <f t="shared" si="85"/>
        <v>#REF!</v>
      </c>
      <c r="AG116" s="5" t="e">
        <f>N($E116)*N(#REF!)</f>
        <v>#REF!</v>
      </c>
      <c r="AH116" s="5" t="e">
        <f t="shared" si="86"/>
        <v>#REF!</v>
      </c>
      <c r="AI116" s="5">
        <f t="shared" si="87"/>
        <v>0</v>
      </c>
    </row>
    <row r="117" spans="1:35" x14ac:dyDescent="0.25">
      <c r="A117" s="3" t="s">
        <v>166</v>
      </c>
      <c r="B117" s="3" t="s">
        <v>89</v>
      </c>
      <c r="C117" s="3" t="s">
        <v>245</v>
      </c>
      <c r="D117" s="3" t="s">
        <v>246</v>
      </c>
      <c r="E117" s="12">
        <v>0.3</v>
      </c>
      <c r="F117" s="12" t="s">
        <v>242</v>
      </c>
      <c r="G117" s="12" t="s">
        <v>243</v>
      </c>
      <c r="H117" s="3" t="s">
        <v>37</v>
      </c>
      <c r="I117" s="4" t="s">
        <v>81</v>
      </c>
      <c r="J117" s="4" t="s">
        <v>89</v>
      </c>
      <c r="K117" s="5" t="s">
        <v>297</v>
      </c>
      <c r="L117" s="5" t="s">
        <v>90</v>
      </c>
      <c r="N117" s="5" t="str">
        <f>IF(OR($C117="",$C117="FID YOK"),"",IF(ISNUMBER(MATCH($C117,FA_ANA,0)),"",IF(COUNTIF($C$1:$C116,$C117)&gt;0,"",MAX($N$1:$N116)+1)))</f>
        <v/>
      </c>
      <c r="S117" s="5">
        <f t="shared" si="76"/>
        <v>0</v>
      </c>
      <c r="X117" s="5">
        <f t="shared" si="77"/>
        <v>0.3</v>
      </c>
      <c r="Y117" s="5" t="e">
        <f t="shared" si="78"/>
        <v>#REF!</v>
      </c>
      <c r="Z117" s="5">
        <f t="shared" si="79"/>
        <v>0</v>
      </c>
      <c r="AA117" s="5">
        <f t="shared" si="80"/>
        <v>0</v>
      </c>
      <c r="AB117" s="5" t="e">
        <f t="shared" si="81"/>
        <v>#REF!</v>
      </c>
      <c r="AC117" s="5">
        <f t="shared" si="82"/>
        <v>0</v>
      </c>
      <c r="AD117" s="5">
        <f t="shared" si="83"/>
        <v>0</v>
      </c>
      <c r="AE117" s="5">
        <f t="shared" si="84"/>
        <v>0</v>
      </c>
      <c r="AF117" s="5" t="e">
        <f t="shared" si="85"/>
        <v>#REF!</v>
      </c>
      <c r="AG117" s="5" t="e">
        <f>N($E117)*N(#REF!)</f>
        <v>#REF!</v>
      </c>
      <c r="AH117" s="5" t="e">
        <f t="shared" si="86"/>
        <v>#REF!</v>
      </c>
      <c r="AI117" s="5">
        <f t="shared" si="87"/>
        <v>0</v>
      </c>
    </row>
    <row r="118" spans="1:35" x14ac:dyDescent="0.25">
      <c r="A118" s="3" t="s">
        <v>166</v>
      </c>
      <c r="B118" s="3" t="s">
        <v>89</v>
      </c>
      <c r="C118" s="3" t="s">
        <v>253</v>
      </c>
      <c r="D118" s="3" t="s">
        <v>254</v>
      </c>
      <c r="E118" s="12">
        <v>11.9</v>
      </c>
      <c r="F118" s="12" t="s">
        <v>242</v>
      </c>
      <c r="G118" s="12" t="s">
        <v>243</v>
      </c>
      <c r="H118" s="3" t="s">
        <v>37</v>
      </c>
      <c r="I118" s="4" t="s">
        <v>81</v>
      </c>
      <c r="J118" s="4" t="s">
        <v>89</v>
      </c>
      <c r="K118" s="5" t="s">
        <v>297</v>
      </c>
      <c r="L118" s="5" t="s">
        <v>138</v>
      </c>
      <c r="N118" s="5" t="str">
        <f>IF(OR($C118="",$C118="FID YOK"),"",IF(ISNUMBER(MATCH($C118,FA_ANA,0)),"",IF(COUNTIF($C$1:$C117,$C118)&gt;0,"",MAX($N$1:$N117)+1)))</f>
        <v/>
      </c>
      <c r="S118" s="5">
        <f t="shared" si="76"/>
        <v>0</v>
      </c>
      <c r="X118" s="5">
        <f t="shared" si="77"/>
        <v>11.9</v>
      </c>
      <c r="Y118" s="5" t="e">
        <f t="shared" si="78"/>
        <v>#REF!</v>
      </c>
      <c r="Z118" s="5">
        <f t="shared" si="79"/>
        <v>0</v>
      </c>
      <c r="AA118" s="5">
        <f t="shared" si="80"/>
        <v>0</v>
      </c>
      <c r="AB118" s="5" t="e">
        <f t="shared" si="81"/>
        <v>#REF!</v>
      </c>
      <c r="AC118" s="5">
        <f t="shared" si="82"/>
        <v>0</v>
      </c>
      <c r="AD118" s="5">
        <f t="shared" si="83"/>
        <v>0</v>
      </c>
      <c r="AE118" s="5">
        <f t="shared" si="84"/>
        <v>0</v>
      </c>
      <c r="AF118" s="5" t="e">
        <f t="shared" si="85"/>
        <v>#REF!</v>
      </c>
      <c r="AG118" s="5" t="e">
        <f>N($E118)*N(#REF!)</f>
        <v>#REF!</v>
      </c>
      <c r="AH118" s="5" t="e">
        <f t="shared" si="86"/>
        <v>#REF!</v>
      </c>
      <c r="AI118" s="5">
        <f t="shared" si="87"/>
        <v>0</v>
      </c>
    </row>
    <row r="119" spans="1:35" x14ac:dyDescent="0.25">
      <c r="A119" s="3" t="s">
        <v>166</v>
      </c>
      <c r="B119" s="3" t="s">
        <v>89</v>
      </c>
      <c r="C119" s="3" t="s">
        <v>267</v>
      </c>
      <c r="D119" s="3" t="s">
        <v>268</v>
      </c>
      <c r="E119" s="12">
        <v>2</v>
      </c>
      <c r="F119" s="12" t="s">
        <v>242</v>
      </c>
      <c r="G119" s="12" t="s">
        <v>243</v>
      </c>
      <c r="H119" s="3" t="s">
        <v>37</v>
      </c>
      <c r="I119" s="4" t="s">
        <v>81</v>
      </c>
      <c r="J119" s="4" t="s">
        <v>89</v>
      </c>
      <c r="K119" s="5" t="s">
        <v>297</v>
      </c>
      <c r="L119" s="5" t="s">
        <v>160</v>
      </c>
      <c r="N119" s="5" t="str">
        <f>IF(OR($C119="",$C119="FID YOK"),"",IF(ISNUMBER(MATCH($C119,FA_ANA,0)),"",IF(COUNTIF($C$1:$C118,$C119)&gt;0,"",MAX($N$1:$N118)+1)))</f>
        <v/>
      </c>
      <c r="S119" s="5">
        <f t="shared" si="76"/>
        <v>0</v>
      </c>
      <c r="X119" s="5">
        <f t="shared" si="77"/>
        <v>2</v>
      </c>
      <c r="Y119" s="5" t="e">
        <f t="shared" si="78"/>
        <v>#REF!</v>
      </c>
      <c r="Z119" s="5">
        <f t="shared" si="79"/>
        <v>0</v>
      </c>
      <c r="AA119" s="5">
        <f t="shared" si="80"/>
        <v>0</v>
      </c>
      <c r="AB119" s="5" t="e">
        <f t="shared" si="81"/>
        <v>#REF!</v>
      </c>
      <c r="AC119" s="5">
        <f t="shared" si="82"/>
        <v>0</v>
      </c>
      <c r="AD119" s="5">
        <f t="shared" si="83"/>
        <v>0</v>
      </c>
      <c r="AE119" s="5">
        <f t="shared" si="84"/>
        <v>0</v>
      </c>
      <c r="AF119" s="5" t="e">
        <f t="shared" si="85"/>
        <v>#REF!</v>
      </c>
      <c r="AG119" s="5" t="e">
        <f>N($E119)*N(#REF!)</f>
        <v>#REF!</v>
      </c>
      <c r="AH119" s="5" t="e">
        <f t="shared" si="86"/>
        <v>#REF!</v>
      </c>
      <c r="AI119" s="5">
        <f t="shared" si="87"/>
        <v>0</v>
      </c>
    </row>
    <row r="120" spans="1:35" x14ac:dyDescent="0.25">
      <c r="A120" s="3" t="s">
        <v>166</v>
      </c>
      <c r="B120" s="3" t="s">
        <v>89</v>
      </c>
      <c r="C120" s="3" t="s">
        <v>257</v>
      </c>
      <c r="D120" s="3" t="s">
        <v>258</v>
      </c>
      <c r="E120" s="12">
        <v>0.5</v>
      </c>
      <c r="F120" s="12" t="s">
        <v>242</v>
      </c>
      <c r="G120" s="12" t="s">
        <v>243</v>
      </c>
      <c r="H120" s="3" t="s">
        <v>37</v>
      </c>
      <c r="I120" s="4" t="s">
        <v>81</v>
      </c>
      <c r="J120" s="4" t="s">
        <v>89</v>
      </c>
      <c r="K120" s="5" t="s">
        <v>297</v>
      </c>
      <c r="L120" s="5" t="s">
        <v>92</v>
      </c>
      <c r="N120" s="5" t="str">
        <f>IF(OR($C120="",$C120="FID YOK"),"",IF(ISNUMBER(MATCH($C120,FA_ANA,0)),"",IF(COUNTIF($C$1:$C119,$C120)&gt;0,"",MAX($N$1:$N119)+1)))</f>
        <v/>
      </c>
      <c r="S120" s="5">
        <f t="shared" si="76"/>
        <v>0</v>
      </c>
      <c r="X120" s="5">
        <f t="shared" si="77"/>
        <v>0.5</v>
      </c>
      <c r="Y120" s="5" t="e">
        <f t="shared" si="78"/>
        <v>#REF!</v>
      </c>
      <c r="Z120" s="5">
        <f t="shared" si="79"/>
        <v>0</v>
      </c>
      <c r="AA120" s="5">
        <f t="shared" si="80"/>
        <v>0</v>
      </c>
      <c r="AB120" s="5" t="e">
        <f t="shared" si="81"/>
        <v>#REF!</v>
      </c>
      <c r="AC120" s="5">
        <f t="shared" si="82"/>
        <v>0</v>
      </c>
      <c r="AD120" s="5">
        <f t="shared" si="83"/>
        <v>0</v>
      </c>
      <c r="AE120" s="5">
        <f t="shared" si="84"/>
        <v>0</v>
      </c>
      <c r="AF120" s="5" t="e">
        <f t="shared" si="85"/>
        <v>#REF!</v>
      </c>
      <c r="AG120" s="5" t="e">
        <f>N($E120)*N(#REF!)</f>
        <v>#REF!</v>
      </c>
      <c r="AH120" s="5" t="e">
        <f t="shared" si="86"/>
        <v>#REF!</v>
      </c>
      <c r="AI120" s="5">
        <f t="shared" si="87"/>
        <v>0</v>
      </c>
    </row>
    <row r="121" spans="1:35" x14ac:dyDescent="0.25">
      <c r="A121" s="3" t="s">
        <v>166</v>
      </c>
      <c r="B121" s="3" t="s">
        <v>93</v>
      </c>
      <c r="C121" s="3" t="s">
        <v>247</v>
      </c>
      <c r="D121" s="3" t="s">
        <v>248</v>
      </c>
      <c r="E121" s="12">
        <v>1</v>
      </c>
      <c r="F121" s="12" t="s">
        <v>244</v>
      </c>
      <c r="G121" s="12" t="s">
        <v>216</v>
      </c>
      <c r="H121" s="3" t="s">
        <v>37</v>
      </c>
      <c r="I121" s="4" t="s">
        <v>81</v>
      </c>
      <c r="J121" s="4" t="s">
        <v>93</v>
      </c>
      <c r="K121" s="5" t="s">
        <v>296</v>
      </c>
      <c r="L121" s="5" t="s">
        <v>94</v>
      </c>
      <c r="N121" s="5" t="str">
        <f>IF(OR($C121="",$C121="FID YOK"),"",IF(ISNUMBER(MATCH($C121,FA_ANA,0)),"",IF(COUNTIF($C$1:$C120,$C121)&gt;0,"",MAX($N$1:$N120)+1)))</f>
        <v/>
      </c>
      <c r="S121" s="5">
        <f t="shared" si="76"/>
        <v>0</v>
      </c>
      <c r="X121" s="5" t="e">
        <f t="shared" si="77"/>
        <v>#REF!</v>
      </c>
      <c r="Y121" s="5" t="e">
        <f t="shared" si="78"/>
        <v>#REF!</v>
      </c>
      <c r="Z121" s="5">
        <f t="shared" si="79"/>
        <v>0</v>
      </c>
      <c r="AA121" s="5">
        <f t="shared" si="80"/>
        <v>0</v>
      </c>
      <c r="AB121" s="5" t="e">
        <f t="shared" si="81"/>
        <v>#REF!</v>
      </c>
      <c r="AC121" s="5">
        <f t="shared" si="82"/>
        <v>0</v>
      </c>
      <c r="AD121" s="5">
        <f t="shared" si="83"/>
        <v>0</v>
      </c>
      <c r="AE121" s="5">
        <f t="shared" si="84"/>
        <v>0</v>
      </c>
      <c r="AF121" s="5" t="e">
        <f t="shared" si="85"/>
        <v>#REF!</v>
      </c>
      <c r="AG121" s="5" t="e">
        <f>N($E121)*N(#REF!)</f>
        <v>#REF!</v>
      </c>
      <c r="AH121" s="5" t="e">
        <f t="shared" si="86"/>
        <v>#REF!</v>
      </c>
      <c r="AI121" s="5">
        <f t="shared" si="87"/>
        <v>0</v>
      </c>
    </row>
    <row r="122" spans="1:35" x14ac:dyDescent="0.25">
      <c r="A122" s="3" t="s">
        <v>166</v>
      </c>
      <c r="B122" s="3" t="s">
        <v>93</v>
      </c>
      <c r="C122" s="3" t="s">
        <v>255</v>
      </c>
      <c r="D122" s="3" t="s">
        <v>256</v>
      </c>
      <c r="E122" s="12">
        <v>2</v>
      </c>
      <c r="F122" s="12" t="s">
        <v>244</v>
      </c>
      <c r="G122" s="12" t="s">
        <v>216</v>
      </c>
      <c r="H122" s="3" t="s">
        <v>37</v>
      </c>
      <c r="I122" s="4" t="s">
        <v>81</v>
      </c>
      <c r="J122" s="4" t="s">
        <v>93</v>
      </c>
      <c r="K122" s="5" t="s">
        <v>296</v>
      </c>
      <c r="L122" s="5" t="s">
        <v>139</v>
      </c>
      <c r="N122" s="5" t="str">
        <f>IF(OR($C122="",$C122="FID YOK"),"",IF(ISNUMBER(MATCH($C122,FA_ANA,0)),"",IF(COUNTIF($C$1:$C121,$C122)&gt;0,"",MAX($N$1:$N121)+1)))</f>
        <v/>
      </c>
      <c r="S122" s="5">
        <f t="shared" si="76"/>
        <v>0</v>
      </c>
      <c r="X122" s="5" t="e">
        <f t="shared" si="77"/>
        <v>#REF!</v>
      </c>
      <c r="Y122" s="5" t="e">
        <f t="shared" si="78"/>
        <v>#REF!</v>
      </c>
      <c r="Z122" s="5">
        <f t="shared" si="79"/>
        <v>0</v>
      </c>
      <c r="AA122" s="5">
        <f t="shared" si="80"/>
        <v>0</v>
      </c>
      <c r="AB122" s="5" t="e">
        <f t="shared" si="81"/>
        <v>#REF!</v>
      </c>
      <c r="AC122" s="5">
        <f t="shared" si="82"/>
        <v>0</v>
      </c>
      <c r="AD122" s="5">
        <f t="shared" si="83"/>
        <v>0</v>
      </c>
      <c r="AE122" s="5">
        <f t="shared" si="84"/>
        <v>0</v>
      </c>
      <c r="AF122" s="5" t="e">
        <f t="shared" si="85"/>
        <v>#REF!</v>
      </c>
      <c r="AG122" s="5" t="e">
        <f>N($E122)*N(#REF!)</f>
        <v>#REF!</v>
      </c>
      <c r="AH122" s="5" t="e">
        <f t="shared" si="86"/>
        <v>#REF!</v>
      </c>
      <c r="AI122" s="5">
        <f t="shared" si="87"/>
        <v>0</v>
      </c>
    </row>
    <row r="123" spans="1:35" x14ac:dyDescent="0.25">
      <c r="A123" s="3" t="s">
        <v>166</v>
      </c>
      <c r="B123" s="3" t="s">
        <v>95</v>
      </c>
      <c r="C123" s="3" t="s">
        <v>269</v>
      </c>
      <c r="D123" s="3" t="s">
        <v>270</v>
      </c>
      <c r="E123" s="12">
        <v>6</v>
      </c>
      <c r="F123" s="12" t="s">
        <v>41</v>
      </c>
      <c r="G123" s="12" t="s">
        <v>216</v>
      </c>
      <c r="H123" s="3" t="s">
        <v>37</v>
      </c>
      <c r="I123" s="4" t="s">
        <v>81</v>
      </c>
      <c r="J123" s="4" t="s">
        <v>95</v>
      </c>
      <c r="K123" s="5" t="s">
        <v>296</v>
      </c>
      <c r="L123" s="5" t="s">
        <v>164</v>
      </c>
      <c r="N123" s="5" t="str">
        <f>IF(OR($C123="",$C123="FID YOK"),"",IF(ISNUMBER(MATCH($C123,FA_ANA,0)),"",IF(COUNTIF($C$1:$C122,$C123)&gt;0,"",MAX($N$1:$N122)+1)))</f>
        <v/>
      </c>
      <c r="S123" s="5">
        <f t="shared" si="76"/>
        <v>0</v>
      </c>
      <c r="X123" s="5">
        <f t="shared" si="77"/>
        <v>6</v>
      </c>
      <c r="Y123" s="5" t="e">
        <f t="shared" si="78"/>
        <v>#REF!</v>
      </c>
      <c r="Z123" s="5">
        <f t="shared" si="79"/>
        <v>0</v>
      </c>
      <c r="AA123" s="5">
        <f t="shared" si="80"/>
        <v>0</v>
      </c>
      <c r="AB123" s="5" t="e">
        <f t="shared" si="81"/>
        <v>#REF!</v>
      </c>
      <c r="AC123" s="5">
        <f t="shared" si="82"/>
        <v>0</v>
      </c>
      <c r="AD123" s="5">
        <f t="shared" si="83"/>
        <v>0</v>
      </c>
      <c r="AE123" s="5">
        <f t="shared" si="84"/>
        <v>0</v>
      </c>
      <c r="AF123" s="5" t="e">
        <f t="shared" si="85"/>
        <v>#REF!</v>
      </c>
      <c r="AG123" s="5" t="e">
        <f>N($E123)*N(#REF!)</f>
        <v>#REF!</v>
      </c>
      <c r="AH123" s="5" t="e">
        <f t="shared" si="86"/>
        <v>#REF!</v>
      </c>
      <c r="AI123" s="5">
        <f t="shared" si="87"/>
        <v>0</v>
      </c>
    </row>
    <row r="124" spans="1:35" x14ac:dyDescent="0.25">
      <c r="A124" s="3" t="s">
        <v>166</v>
      </c>
      <c r="B124" s="3" t="s">
        <v>95</v>
      </c>
      <c r="C124" s="3" t="s">
        <v>261</v>
      </c>
      <c r="D124" s="3" t="s">
        <v>262</v>
      </c>
      <c r="E124" s="12">
        <v>2</v>
      </c>
      <c r="F124" s="12" t="s">
        <v>41</v>
      </c>
      <c r="G124" s="12" t="s">
        <v>216</v>
      </c>
      <c r="H124" s="3" t="s">
        <v>37</v>
      </c>
      <c r="I124" s="4" t="s">
        <v>81</v>
      </c>
      <c r="J124" s="4" t="s">
        <v>95</v>
      </c>
      <c r="K124" s="5" t="s">
        <v>296</v>
      </c>
      <c r="L124" s="5" t="s">
        <v>97</v>
      </c>
      <c r="N124" s="5" t="str">
        <f>IF(OR($C124="",$C124="FID YOK"),"",IF(ISNUMBER(MATCH($C124,FA_ANA,0)),"",IF(COUNTIF($C$1:$C123,$C124)&gt;0,"",MAX($N$1:$N123)+1)))</f>
        <v/>
      </c>
      <c r="S124" s="5">
        <f t="shared" si="76"/>
        <v>0</v>
      </c>
      <c r="X124" s="5">
        <f t="shared" si="77"/>
        <v>2</v>
      </c>
      <c r="Y124" s="5" t="e">
        <f t="shared" si="78"/>
        <v>#REF!</v>
      </c>
      <c r="Z124" s="5">
        <f t="shared" si="79"/>
        <v>0</v>
      </c>
      <c r="AA124" s="5">
        <f t="shared" si="80"/>
        <v>0</v>
      </c>
      <c r="AB124" s="5" t="e">
        <f t="shared" si="81"/>
        <v>#REF!</v>
      </c>
      <c r="AC124" s="5">
        <f t="shared" si="82"/>
        <v>0</v>
      </c>
      <c r="AD124" s="5">
        <f t="shared" si="83"/>
        <v>0</v>
      </c>
      <c r="AE124" s="5">
        <f t="shared" si="84"/>
        <v>0</v>
      </c>
      <c r="AF124" s="5" t="e">
        <f t="shared" si="85"/>
        <v>#REF!</v>
      </c>
      <c r="AG124" s="5" t="e">
        <f>N($E124)*N(#REF!)</f>
        <v>#REF!</v>
      </c>
      <c r="AH124" s="5" t="e">
        <f t="shared" si="86"/>
        <v>#REF!</v>
      </c>
      <c r="AI124" s="5">
        <f t="shared" si="87"/>
        <v>0</v>
      </c>
    </row>
    <row r="125" spans="1:35" x14ac:dyDescent="0.25">
      <c r="A125" s="3" t="s">
        <v>166</v>
      </c>
      <c r="B125" s="3" t="s">
        <v>98</v>
      </c>
      <c r="C125" s="3" t="s">
        <v>279</v>
      </c>
      <c r="D125" s="3" t="s">
        <v>280</v>
      </c>
      <c r="E125" s="12">
        <v>1</v>
      </c>
      <c r="F125" s="12" t="s">
        <v>244</v>
      </c>
      <c r="G125" s="12" t="s">
        <v>216</v>
      </c>
      <c r="H125" s="3" t="s">
        <v>37</v>
      </c>
      <c r="I125" s="4" t="s">
        <v>81</v>
      </c>
      <c r="J125" s="4" t="s">
        <v>98</v>
      </c>
      <c r="K125" s="5" t="s">
        <v>296</v>
      </c>
      <c r="L125" s="5" t="s">
        <v>99</v>
      </c>
      <c r="N125" s="5" t="str">
        <f>IF(OR($C125="",$C125="FID YOK"),"",IF(ISNUMBER(MATCH($C125,FA_ANA,0)),"",IF(COUNTIF($C$1:$C124,$C125)&gt;0,"",MAX($N$1:$N124)+1)))</f>
        <v/>
      </c>
      <c r="S125" s="5">
        <f t="shared" si="76"/>
        <v>0</v>
      </c>
      <c r="X125" s="5" t="e">
        <f t="shared" si="77"/>
        <v>#REF!</v>
      </c>
      <c r="Y125" s="5" t="e">
        <f t="shared" si="78"/>
        <v>#REF!</v>
      </c>
      <c r="Z125" s="5">
        <f t="shared" si="79"/>
        <v>0</v>
      </c>
      <c r="AA125" s="5">
        <f t="shared" si="80"/>
        <v>0</v>
      </c>
      <c r="AB125" s="5" t="e">
        <f t="shared" si="81"/>
        <v>#REF!</v>
      </c>
      <c r="AC125" s="5">
        <f t="shared" si="82"/>
        <v>0</v>
      </c>
      <c r="AD125" s="5">
        <f t="shared" si="83"/>
        <v>0</v>
      </c>
      <c r="AE125" s="5">
        <f t="shared" si="84"/>
        <v>0</v>
      </c>
      <c r="AF125" s="5" t="e">
        <f t="shared" si="85"/>
        <v>#REF!</v>
      </c>
      <c r="AG125" s="5" t="e">
        <f>N($E125)*N(#REF!)</f>
        <v>#REF!</v>
      </c>
      <c r="AH125" s="5" t="e">
        <f t="shared" si="86"/>
        <v>#REF!</v>
      </c>
      <c r="AI125" s="5">
        <f t="shared" si="87"/>
        <v>0</v>
      </c>
    </row>
    <row r="126" spans="1:35" x14ac:dyDescent="0.25">
      <c r="A126" s="3" t="s">
        <v>166</v>
      </c>
      <c r="B126" s="3" t="s">
        <v>40</v>
      </c>
      <c r="C126" s="3" t="s">
        <v>40</v>
      </c>
      <c r="D126" s="3" t="s">
        <v>40</v>
      </c>
      <c r="E126" s="12">
        <v>1</v>
      </c>
      <c r="F126" s="12" t="s">
        <v>41</v>
      </c>
      <c r="G126" s="12" t="s">
        <v>40</v>
      </c>
      <c r="H126" s="3" t="s">
        <v>37</v>
      </c>
    </row>
    <row r="127" spans="1:35" x14ac:dyDescent="0.25">
      <c r="A127" s="3" t="s">
        <v>166</v>
      </c>
      <c r="B127" s="3" t="s">
        <v>42</v>
      </c>
      <c r="C127" s="3" t="s">
        <v>42</v>
      </c>
      <c r="D127" s="3" t="s">
        <v>42</v>
      </c>
      <c r="E127" s="12">
        <v>420</v>
      </c>
      <c r="F127" s="12" t="s">
        <v>43</v>
      </c>
      <c r="G127" s="12" t="s">
        <v>42</v>
      </c>
      <c r="H127" s="3" t="s">
        <v>37</v>
      </c>
    </row>
    <row r="128" spans="1:35" x14ac:dyDescent="0.25">
      <c r="A128" s="3" t="s">
        <v>166</v>
      </c>
      <c r="B128" s="6"/>
      <c r="C128" s="6"/>
      <c r="D128" s="6"/>
      <c r="E128" s="13"/>
      <c r="F128" s="13"/>
      <c r="G128" s="13"/>
      <c r="H128" s="3" t="s">
        <v>37</v>
      </c>
      <c r="K128" s="4" t="s">
        <v>298</v>
      </c>
      <c r="L128" s="4" t="s">
        <v>302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2026-09-25T10:59:36Z</dcterms:created>
  <dcterms:modified xsi:type="dcterms:W3CDTF">2026-09-25T14:05:55Z</dcterms:modified>
  <dc:language>en-US</dc:language>
</cp:coreProperties>
</file>