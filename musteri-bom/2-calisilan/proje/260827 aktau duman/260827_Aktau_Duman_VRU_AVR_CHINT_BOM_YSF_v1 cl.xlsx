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7 aktau duman\"/>
    </mc:Choice>
  </mc:AlternateContent>
  <xr:revisionPtr revIDLastSave="0" documentId="13_ncr:1_{2DF3A2B2-0D76-48DF-8953-5B527866C86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СВОД" sheetId="2" r:id="rId2"/>
    <sheet name="Kurallar" sheetId="3" r:id="rId3"/>
  </sheets>
  <definedNames>
    <definedName name="_xlnm._FilterDatabase" localSheetId="0" hidden="1">BOM!$A$4:$O$64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2" l="1"/>
  <c r="G6" i="2"/>
  <c r="G7" i="2"/>
  <c r="G6" i="1"/>
  <c r="L21" i="1"/>
  <c r="L25" i="1"/>
  <c r="L26" i="1"/>
  <c r="L27" i="1"/>
  <c r="L28" i="1"/>
  <c r="L29" i="1"/>
  <c r="L30" i="1"/>
  <c r="L31" i="1"/>
  <c r="L32" i="1"/>
  <c r="L12" i="1"/>
  <c r="F41" i="1"/>
  <c r="G23" i="1"/>
  <c r="H23" i="1" s="1"/>
  <c r="L23" i="1" s="1"/>
  <c r="G8" i="1"/>
  <c r="H8" i="1" s="1"/>
  <c r="L8" i="1" s="1"/>
  <c r="G12" i="1"/>
  <c r="E7" i="2" l="1"/>
  <c r="G21" i="1"/>
  <c r="H21" i="1" s="1"/>
  <c r="H12" i="1"/>
  <c r="G32" i="1"/>
  <c r="H32" i="1" s="1"/>
  <c r="G31" i="1"/>
  <c r="H31" i="1" s="1"/>
  <c r="F8" i="2"/>
  <c r="G63" i="1"/>
  <c r="H63" i="1" s="1"/>
  <c r="L63" i="1" s="1"/>
  <c r="F63" i="1"/>
  <c r="G61" i="1"/>
  <c r="H61" i="1" s="1"/>
  <c r="G18" i="1"/>
  <c r="H18" i="1" s="1"/>
  <c r="L18" i="1" s="1"/>
  <c r="F18" i="1"/>
  <c r="G16" i="1"/>
  <c r="H16" i="1" s="1"/>
  <c r="L16" i="1" s="1"/>
  <c r="G15" i="1"/>
  <c r="H15" i="1" s="1"/>
  <c r="L15" i="1" s="1"/>
  <c r="G14" i="1"/>
  <c r="H14" i="1" s="1"/>
  <c r="L14" i="1" s="1"/>
  <c r="G13" i="1"/>
  <c r="H13" i="1" s="1"/>
  <c r="L13" i="1" s="1"/>
  <c r="G11" i="1"/>
  <c r="H11" i="1" s="1"/>
  <c r="L11" i="1" s="1"/>
  <c r="G10" i="1"/>
  <c r="H10" i="1" s="1"/>
  <c r="L10" i="1" s="1"/>
  <c r="G9" i="1"/>
  <c r="H9" i="1" s="1"/>
  <c r="L9" i="1" s="1"/>
  <c r="G7" i="1"/>
  <c r="H7" i="1" s="1"/>
  <c r="L7" i="1" s="1"/>
  <c r="H6" i="1"/>
  <c r="G58" i="1"/>
  <c r="H58" i="1" s="1"/>
  <c r="L58" i="1" s="1"/>
  <c r="F58" i="1"/>
  <c r="G56" i="1"/>
  <c r="H56" i="1" s="1"/>
  <c r="L56" i="1" s="1"/>
  <c r="G55" i="1"/>
  <c r="H55" i="1" s="1"/>
  <c r="L55" i="1" s="1"/>
  <c r="G54" i="1"/>
  <c r="H54" i="1" s="1"/>
  <c r="L54" i="1" s="1"/>
  <c r="G53" i="1"/>
  <c r="H53" i="1" s="1"/>
  <c r="L53" i="1" s="1"/>
  <c r="G52" i="1"/>
  <c r="H52" i="1" s="1"/>
  <c r="L52" i="1" s="1"/>
  <c r="G51" i="1"/>
  <c r="H51" i="1" s="1"/>
  <c r="L51" i="1" s="1"/>
  <c r="G50" i="1"/>
  <c r="H50" i="1" s="1"/>
  <c r="L50" i="1" s="1"/>
  <c r="G49" i="1"/>
  <c r="H49" i="1" s="1"/>
  <c r="L49" i="1" s="1"/>
  <c r="G48" i="1"/>
  <c r="H48" i="1" s="1"/>
  <c r="L48" i="1" s="1"/>
  <c r="G47" i="1"/>
  <c r="H47" i="1" s="1"/>
  <c r="L47" i="1" s="1"/>
  <c r="G46" i="1"/>
  <c r="H46" i="1" s="1"/>
  <c r="L46" i="1" s="1"/>
  <c r="G45" i="1"/>
  <c r="H45" i="1" s="1"/>
  <c r="L45" i="1" s="1"/>
  <c r="G44" i="1"/>
  <c r="H44" i="1" s="1"/>
  <c r="G27" i="1"/>
  <c r="H27" i="1" s="1"/>
  <c r="G26" i="1"/>
  <c r="H26" i="1" s="1"/>
  <c r="G25" i="1"/>
  <c r="H25" i="1" s="1"/>
  <c r="G41" i="1"/>
  <c r="G39" i="1"/>
  <c r="H39" i="1" s="1"/>
  <c r="L39" i="1" s="1"/>
  <c r="G38" i="1"/>
  <c r="H38" i="1" s="1"/>
  <c r="L38" i="1" s="1"/>
  <c r="G37" i="1"/>
  <c r="H37" i="1" s="1"/>
  <c r="L37" i="1" s="1"/>
  <c r="G36" i="1"/>
  <c r="H36" i="1" s="1"/>
  <c r="L36" i="1" s="1"/>
  <c r="G35" i="1"/>
  <c r="H35" i="1" s="1"/>
  <c r="L35" i="1" s="1"/>
  <c r="G34" i="1"/>
  <c r="H34" i="1" s="1"/>
  <c r="L34" i="1" s="1"/>
  <c r="G33" i="1"/>
  <c r="H33" i="1" s="1"/>
  <c r="L33" i="1" s="1"/>
  <c r="G30" i="1"/>
  <c r="H30" i="1" s="1"/>
  <c r="G29" i="1"/>
  <c r="H29" i="1" s="1"/>
  <c r="G28" i="1"/>
  <c r="H28" i="1" s="1"/>
  <c r="G24" i="1"/>
  <c r="H24" i="1" s="1"/>
  <c r="L24" i="1" s="1"/>
  <c r="G22" i="1"/>
  <c r="H22" i="1" s="1"/>
  <c r="H41" i="1" l="1"/>
  <c r="L41" i="1" s="1"/>
  <c r="G57" i="1"/>
  <c r="H57" i="1" s="1"/>
  <c r="L57" i="1" s="1"/>
  <c r="L44" i="1"/>
  <c r="L6" i="1"/>
  <c r="G17" i="1"/>
  <c r="H17" i="1" s="1"/>
  <c r="L17" i="1" s="1"/>
  <c r="G40" i="1"/>
  <c r="H40" i="1" s="1"/>
  <c r="L40" i="1" s="1"/>
  <c r="L22" i="1"/>
  <c r="G62" i="1"/>
  <c r="H62" i="1" s="1"/>
  <c r="L62" i="1" s="1"/>
  <c r="L61" i="1"/>
  <c r="L19" i="1" l="1"/>
  <c r="E6" i="2" s="1"/>
  <c r="L64" i="1"/>
  <c r="H19" i="1"/>
  <c r="D6" i="2" s="1"/>
  <c r="H59" i="1"/>
  <c r="D5" i="2" s="1"/>
  <c r="L59" i="1"/>
  <c r="E5" i="2" s="1"/>
  <c r="H64" i="1"/>
  <c r="H42" i="1"/>
  <c r="D4" i="2" s="1"/>
  <c r="G4" i="2" s="1"/>
  <c r="L42" i="1"/>
  <c r="E4" i="2" s="1"/>
  <c r="E8" i="2" l="1"/>
  <c r="L65" i="1"/>
</calcChain>
</file>

<file path=xl/sharedStrings.xml><?xml version="1.0" encoding="utf-8"?>
<sst xmlns="http://schemas.openxmlformats.org/spreadsheetml/2006/main" count="409" uniqueCount="195">
  <si>
    <t>YSF HICH — 260827 AKTAU DUMAN — ВРУ-0,4кВ / АВР — CHINT PANO BOM v1</t>
  </si>
  <si>
    <t>Fiyat: CHINT ×0.60 | KAZTEK ×1.00 | EKT/UNIT/IEK ×1.00 | SAIMAN ×1.00 | Katsayilar: Kurallar sayfasi (sari hucreler)</t>
  </si>
  <si>
    <t>ROW</t>
  </si>
  <si>
    <t>Наименование1</t>
  </si>
  <si>
    <t>Тип</t>
  </si>
  <si>
    <t>Артикул</t>
  </si>
  <si>
    <t>Номенклатура</t>
  </si>
  <si>
    <t>Цена</t>
  </si>
  <si>
    <t>Нетто KZT</t>
  </si>
  <si>
    <t>Сумма KZT (1 щит)</t>
  </si>
  <si>
    <t>Кол-во</t>
  </si>
  <si>
    <t>Ед.изм.</t>
  </si>
  <si>
    <t>Завод</t>
  </si>
  <si>
    <t>Сумма KZT (проект)</t>
  </si>
  <si>
    <t>Группа</t>
  </si>
  <si>
    <t>—</t>
  </si>
  <si>
    <t>щит</t>
  </si>
  <si>
    <t>компл.</t>
  </si>
  <si>
    <t>шт.</t>
  </si>
  <si>
    <t>KAZTEK</t>
  </si>
  <si>
    <t>korpus</t>
  </si>
  <si>
    <t>TMŞ</t>
  </si>
  <si>
    <t>CHINT</t>
  </si>
  <si>
    <t>sayac</t>
  </si>
  <si>
    <t>SAIMAN</t>
  </si>
  <si>
    <t>tt</t>
  </si>
  <si>
    <t>VJ</t>
  </si>
  <si>
    <t>Трансформатор тока ТШП-0,66 У3 кл.точн. 0,5, 250/5А (1ТАа...1ТАс)</t>
  </si>
  <si>
    <t>opn</t>
  </si>
  <si>
    <t>252559</t>
  </si>
  <si>
    <t>Ограничитель имп. перенапр. NU6-IIG 3Р+N In=25kA Uc=275В Im=65kA (FV1)</t>
  </si>
  <si>
    <t>Конденсатор связи КЗ 0,5 мкФ 0,66кВ (1Са...1Сс)</t>
  </si>
  <si>
    <t>fu</t>
  </si>
  <si>
    <t>bara</t>
  </si>
  <si>
    <t>718-42016</t>
  </si>
  <si>
    <t>Шина нулевая 8х12мм, 1м (N и PE)</t>
  </si>
  <si>
    <t>din</t>
  </si>
  <si>
    <t>570003</t>
  </si>
  <si>
    <t>DIN-рейка оцинкованная TH35-7.5 100см</t>
  </si>
  <si>
    <t>Klemens</t>
  </si>
  <si>
    <t>130301157</t>
  </si>
  <si>
    <t>Зажим наборный ЗНИ 16мм² (100А) серый UNIT</t>
  </si>
  <si>
    <t>EKT</t>
  </si>
  <si>
    <t>130301153</t>
  </si>
  <si>
    <t>Зажим наборный ЗНИ 4мм² (35А) серый UNIT — цепи учёта</t>
  </si>
  <si>
    <t>kablo</t>
  </si>
  <si>
    <t>100300016</t>
  </si>
  <si>
    <t>Провод ПВ3-25 белый ГОСТ</t>
  </si>
  <si>
    <t>м</t>
  </si>
  <si>
    <t>100300031</t>
  </si>
  <si>
    <t>Провод ПВ3-6 белый ГОСТ</t>
  </si>
  <si>
    <t>100300025</t>
  </si>
  <si>
    <t>Провод ПВ3-2,5 белый ГОСТ — вторичные цепи</t>
  </si>
  <si>
    <t>pabuc</t>
  </si>
  <si>
    <t>UNP41-025-08-08</t>
  </si>
  <si>
    <t>Наконечник медный луженый ТМЛ 25–8–8</t>
  </si>
  <si>
    <t>монтажный материал</t>
  </si>
  <si>
    <t>Монтажный материал / montaj sarf malzemesi (%3)</t>
  </si>
  <si>
    <t>TEKLED</t>
  </si>
  <si>
    <t>монтажная работа</t>
  </si>
  <si>
    <t>Монтажные работы / pano montaj-kablaj iscilligi (1330 dk)</t>
  </si>
  <si>
    <t>мин</t>
  </si>
  <si>
    <t>Toplam — 1 щит / проект 1 шт</t>
  </si>
  <si>
    <t>Зажим наборный ЗНИ 4мм² (35А) серый UNIT</t>
  </si>
  <si>
    <t>UNP41-035-10-10</t>
  </si>
  <si>
    <t>Наконечник медный луженый ТМЛ 35–10–10</t>
  </si>
  <si>
    <t>БУО — блок автоматического управления освещением 14х16А с фотореле</t>
  </si>
  <si>
    <t>719-15445</t>
  </si>
  <si>
    <t>Мет.Корпус ЩМП-5 (1000x650x300) IP31</t>
  </si>
  <si>
    <t>rubilnik</t>
  </si>
  <si>
    <t>193183</t>
  </si>
  <si>
    <t>Выключатель нагрузки NXHB-125 3P 63A — ввод БУО</t>
  </si>
  <si>
    <t>OTO</t>
  </si>
  <si>
    <t>814014</t>
  </si>
  <si>
    <t>Авт. выкл. NXB-63 1P 16A 6кА х-ка C — 14 групп освещения</t>
  </si>
  <si>
    <t>kontaktör</t>
  </si>
  <si>
    <t>256235</t>
  </si>
  <si>
    <t>Контактор модульный NCH8-25/20 25A 2НО AC220/230В 50Гц</t>
  </si>
  <si>
    <t>Röle</t>
  </si>
  <si>
    <t>130300221</t>
  </si>
  <si>
    <t>Фотореле ФР 602 серый, 5500 Вт IP44 (с выносным фотоэлементом)</t>
  </si>
  <si>
    <t>blok</t>
  </si>
  <si>
    <t>574849</t>
  </si>
  <si>
    <t>Переключатель NP2-BD33, 3 положения с фиксацией (Р-0-А), 2НО IP40</t>
  </si>
  <si>
    <t>lamb</t>
  </si>
  <si>
    <t>593077</t>
  </si>
  <si>
    <t>Индикатор ND16-22D/2 зеленый AC/DC230В</t>
  </si>
  <si>
    <t>593075</t>
  </si>
  <si>
    <t>Индикатор ND16-22D/2 красный AC/DC230В</t>
  </si>
  <si>
    <t>718-84006</t>
  </si>
  <si>
    <t>Шина "N" нулевая 8х12мм комб. с изол. "Стойка" ШНИ 6 КС</t>
  </si>
  <si>
    <t>130301152</t>
  </si>
  <si>
    <t>Зажим наборный ЗНИ 2,5мм² (24А) серый UNIT</t>
  </si>
  <si>
    <t>Провод ПВ3-2,5 белый ГОСТ</t>
  </si>
  <si>
    <t>100300030</t>
  </si>
  <si>
    <t>Провод ПВ3-4 белый ГОСТ</t>
  </si>
  <si>
    <t>Монтажные работы / pano montaj-kablaj iscilligi (480 dk)</t>
  </si>
  <si>
    <t>Toplam БУО — блок автоматического управления ос</t>
  </si>
  <si>
    <t>ШАВР-3-400-2(У) IP54 УХЛ3 — шкаф АВР 400А</t>
  </si>
  <si>
    <t>Авт. выкл. NXB-63 1P 16A 6кА х-ка C, 220В — доп. автомат цепей управления</t>
  </si>
  <si>
    <t>Индикатор ND16-22D/2 зеленый AC/DC230В — EL1 / EL2</t>
  </si>
  <si>
    <t>592865</t>
  </si>
  <si>
    <t>Индикатор ND16-22D/2 зеленый AC/DC380В — контроль фаз ввод 1/2</t>
  </si>
  <si>
    <t>Провод ПВ3-2,5 белый ГОСТ — цепи управления</t>
  </si>
  <si>
    <t>Монтажные работы / pano montaj-kablaj iscilligi (690 dk)</t>
  </si>
  <si>
    <t>Toplam ШАВР-3-400-2(У) IP54 УХЛ3 — шкаф АВР 400</t>
  </si>
  <si>
    <t>Ящик с понижающим трансформатором 220/36В, 250Вт</t>
  </si>
  <si>
    <t>270300003</t>
  </si>
  <si>
    <t>Ящик с понижающим трансформатором ЯТП(укп) 0,25кВА 220/36В IEK</t>
  </si>
  <si>
    <t>Монтажные работы / pano montaj-kablaj iscilligi (30 dk)</t>
  </si>
  <si>
    <t>Toplam Ящик с понижающим трансформатором 220/36</t>
  </si>
  <si>
    <t>GENEL TOPLAM (ekonomik, KZT)</t>
  </si>
  <si>
    <t>СВОД — 260827 Aktau Duman — ВРУ-0,4кВ / АВР</t>
  </si>
  <si>
    <t>№</t>
  </si>
  <si>
    <t>Щит</t>
  </si>
  <si>
    <t>Кол-во, шт</t>
  </si>
  <si>
    <t>Цена за 1 щит, ₸</t>
  </si>
  <si>
    <t>Сумма, ₸</t>
  </si>
  <si>
    <t>Монтаж, мин</t>
  </si>
  <si>
    <t>ИТОГО</t>
  </si>
  <si>
    <t>KURALLAR / KATSAYILAR — sari hucreler duzenlenebilir</t>
  </si>
  <si>
    <t>CHINT net katsayi (liste ×)</t>
  </si>
  <si>
    <t>KAZTEK / TEKSAN net katsayi</t>
  </si>
  <si>
    <t>EKT / UNIT / IEK net katsayi</t>
  </si>
  <si>
    <t>SAIMAN net katsayi</t>
  </si>
  <si>
    <t>Montaj malzemesi (malzeme ×)</t>
  </si>
  <si>
    <t>Iscilik birim, KZT/dk</t>
  </si>
  <si>
    <t>Iscilik test/etiket carpani</t>
  </si>
  <si>
    <t>Genel gider %</t>
  </si>
  <si>
    <t>Kar %</t>
  </si>
  <si>
    <t>KDV %</t>
  </si>
  <si>
    <t>1) FIYAT YOK — satir BOM'da kaldi, F/G/H/L bos, C sutunu "FIYAT YOK"</t>
  </si>
  <si>
    <t>Мет. Щит ВРУ 1-11-10 УХЛ4 (1700х800х450) | KAZTEK 719-15010 | artikul var, fiyat listesinde BOS. Fiyatli en yakin: 719-15085 Мет.Корпус ВРУ (1700x700x450+10 baza) IP31 = 154.595 KZT (genislik 700 vs 800).</t>
  </si>
  <si>
    <t>Мет. Щит ВРУ 1-50-03 АУХЛ4 (1700х800х450) IP31 | KAZTEK | ВРУ1-50-03 tipi fiyat listesinde YOK. Fiyatli en yakin: 719-15085 = 154.595 KZT.</t>
  </si>
  <si>
    <t>Конденсатор связи КЗ 0,5 мкФ 0,66кВ (1Са...1Сс), 9 adet | hicbir fiyat listesinde YOK. PLC sayac baglanti kondansatoru — tedarikciden teklif alinmali.</t>
  </si>
  <si>
    <t>Медная сборная шина A/B/C/N/PE 40х5мм + izolator, 3 panoda 3 komplekt | fiyat listelerinde bakir bara YOK. Kesit kisa devre ve termik hesapla netlesecek.</t>
  </si>
  <si>
    <t>2) CIHAZ BELIRSIZ</t>
  </si>
  <si>
    <t>Semada "ВА 88-32 320 А" ve "ВА 88-33 400/320 А" yazilmis. ВА88-32 gercekte 125А govdedir; 320А bu govdede YOKTUR. Amper esas alindi: 320А -&gt; NM8N-400C TM 3P 400А (ayar 0,8x400=320А), 250А -&gt; NM8N-250C TM 3P 250А. Alternatif NM8N-400S (50kA) secilirse fark +8.843 KZT/adet.</t>
  </si>
  <si>
    <t>1QF secmeli kesme kapasitesi semada belirtilmemis. 36kA (C serisi) varsayildi. Trafo gucu/Ik hesabi 36kA'yi asarsa S (50kA) veya Q (70kA) serisine gecilmeli — 400А icin fark: C=208.671, S=223.410, Q=253.271 (liste).</t>
  </si>
  <si>
    <t>БУО ic yapisi semada detaylandirilmamis; 14x16А grup + 4 modüler kontaktor + fotorole + Р-0-А secici varsayildi.</t>
  </si>
  <si>
    <t>Sayac tipi: siparis "САР 4 У-Э720 TX P PLC IP П RS". SAIMAN listesinde PLC varyanti YOK. Kullanilan: LE / Дала СА4У-Э720 R TX IP П RS Д = 39.100 KZT. PLC haberlesme sart ise SaiCom P1 3-faz PLC modem (YJ, 14.500 KZT) x3 EKLENMELI. MUHENDIS ONAYI GEREKLI.</t>
  </si>
  <si>
    <t>3) MUADIL KULLANILDI</t>
  </si>
  <si>
    <t>ВА88-32 / ВА88-33 (IEK) -&gt; CHINT NM8N serisi | onayli | musteri CHINT istedi, amper/kutup birebir.</t>
  </si>
  <si>
    <t>Т-0,66 250/5А -&gt; SAIMAN ТШП-0,66 У3 kl.0,5 250А (VJ) | teyit_gerekli | CHINT'te 250/5 orani YOK (60 I 400/5А var). ТШП sargili degil SINALI (busbar) tiptir — montaj sekli farkli. MUHENDIS ONAYI GEREKLI.</t>
  </si>
  <si>
    <t>Fotorole: CHINT'te fotorole YOK -&gt; EKT/IEK ФР 602 (130300221) | onayli.</t>
  </si>
  <si>
    <t>Ящик с понижающим трансформатором 220/36В 250Вт -&gt; EKT/IEK ЯТП(укп) 0,25кВА 220/36 (270300003) | kesin | birebir.</t>
  </si>
  <si>
    <t>АВР 400А: CHINT hazir reversif AVR rubilnigi (NH40-/3SZ II) sadece 250А'e kadar var. 400А icin 2x NM8N-400C + 2x MOD23-M8 motor tahrik + NZQ7C AVR kontroloru kuruldu | teyit_gerekli. MUHENDIS ONAYI GEREKLI.</t>
  </si>
  <si>
    <t>4) VARSAYIM</t>
  </si>
  <si>
    <t>Sema 3 seksiyon gosteriyor (2x320А + 1x250А), siparis metni "2 x 400 А (1x250+1x250)" diyor. Buyuk olan alindi: 2x400А govde + 1x250А, 3 sayac, 9 akim trafosu.</t>
  </si>
  <si>
    <t>Otomat sayilari semadan sayildi: 320А x3, 250А x3, 80А x3, 32А x3, 25А x4 = 16 cikis. Siparis metnindeki "6x100+4x80+1x50+1x32+1x25" ile UYUSMUYOR — sema esas alindi.</t>
  </si>
  <si>
    <t>ОПН (FV1) semada tek sembol; 3P+N tip secildi (TN-S 380/220В icin dogru konfigurasyon).</t>
  </si>
  <si>
    <t>Pano ici kablo metrajlari, klemens ve nakonecnik adetleri deneyim katsayisi ile atandi — imalat oncesi yerlesimle teyit edilecek.</t>
  </si>
  <si>
    <t>ШАВР panosuna faz kontrol lambalari (6 adet 380В) eklendi — semada yok, standart AVR pratigi.</t>
  </si>
  <si>
    <t>Iscilik: MCCB&lt;=250А 60dk, MCCB 315-630А 90dk, sayac+TT 90dk, OPN 15dk, klemens 4dk, bakir bara 45dk/m, DIN ray 5dk/m, korpus hazirlik 90dk; hepsi x1,15 test/etiket.</t>
  </si>
  <si>
    <t>5) KAPSAM DISI</t>
  </si>
  <si>
    <t>ЩЭ (kat panolari), ЩС, ШУНО, ШОб panolari — bu BOM'da YOK, sadece ВРУ + АВР kapsanmistir.</t>
  </si>
  <si>
    <t>Dis besleme kablolari (АВВГнг-LS 5х185 / 5х150 / 5х35 vb.) ve kablo tavasi — "см. проект по внешним сетям".</t>
  </si>
  <si>
    <t>Pano ici isitici/termostat/fan/filtre — ic mekan IP31/IP54, semada yok.</t>
  </si>
  <si>
    <t>Nakliye, saha montaji, devreye alma, sertifikasyon.</t>
  </si>
  <si>
    <t>6) VERI NOTU</t>
  </si>
  <si>
    <t>CHINT: 260827_chint_price ... XLSX | tarih 2026-08-27 | 0 gunluk | ok. UYARI: dosya adindan yymmdd cikarildi, gercek liste tarihi TEYIT EDILMELI.</t>
  </si>
  <si>
    <t>KAZTEK: 2607_15_Kaztek_pano_fiyat_listesi | 2026-07-15 | 43 gunluk | ok.</t>
  </si>
  <si>
    <t>SAIMAN: 2026-01-01 | ~239 gunluk | FIYAT LISTESI 239 GUNLUK — GUNCELLE.</t>
  </si>
  <si>
    <t>EKT (UNIT/IEK): 2025-06-12 | ~441 gun (~14,5 ay) | 12-18 ay araligi -&gt; fiyatlandi ama FIYAT LISTESI 441 GUNLUK — GUNCELLE.</t>
  </si>
  <si>
    <t>Sema: ВРУ.pdf, 2025/04.10-2-ЭОМ, "Коктобе, ул. Азербаева, дом №138, Медеуский район", Блок 2, лист 4. DIKKAT: sema basligi ALMATI projesine ait; is emri "Aktau Duman" olarak verildi — proje/adres UYUSMAZLIGI TEYIT EDILMELI.</t>
  </si>
  <si>
    <t>Numaralandirma cakismasi: QF6 hem 25А hem 32А olarak, QF8/QF9/QF11/QF12 birden fazla seksiyonda tekrar ediyor. Ayri ayri sayildi.</t>
  </si>
  <si>
    <t>Sema uzerinde "Секция шин №1" basligi iki kez kullanilmis (2. seksiyon icin de). 3. seksiyon "Секция шин №3". Seksiyon 2 basligi hatali.</t>
  </si>
  <si>
    <t>Toplam EKSIKTIR — 4 kalem fiyatsiz (2 korpus, kondansator, bakir bara).</t>
  </si>
  <si>
    <t>ekt</t>
  </si>
  <si>
    <t>kondensator</t>
  </si>
  <si>
    <t>130300324_</t>
  </si>
  <si>
    <t>Шина медн.4х50х4000</t>
  </si>
  <si>
    <t>busbar</t>
  </si>
  <si>
    <t>IA</t>
  </si>
  <si>
    <t>ДАЛА СА4У-Э720 R TX OP П RS1 Д W  (3x220/380V 5-7,5A)</t>
  </si>
  <si>
    <t>844299</t>
  </si>
  <si>
    <t>Авт. выкл. NXM-125S/3Р 25A 25кА (R)</t>
  </si>
  <si>
    <t>844300</t>
  </si>
  <si>
    <t>Авт. выкл. NXM-125S/3Р 32A 25кА (R)</t>
  </si>
  <si>
    <t>131361</t>
  </si>
  <si>
    <t>Авт. выкл. NXM-125S/3Р 80A 25кА (R)</t>
  </si>
  <si>
    <t>131369</t>
  </si>
  <si>
    <t>Авт. выкл. NXM-250S/3Р 250A 36кА (R)</t>
  </si>
  <si>
    <t>131373</t>
  </si>
  <si>
    <t>Авт. выкл. NXM-400S/3Р 400A 50кА (R)</t>
  </si>
  <si>
    <t>256811</t>
  </si>
  <si>
    <t>Устройство автоматического ввода резерва NXZM-400S/3B 400A (R)</t>
  </si>
  <si>
    <t>blok ats</t>
  </si>
  <si>
    <t>719-15085</t>
  </si>
  <si>
    <t>Мет.Корпус ВРУ (1700X700X450+10X700 База) IP31</t>
  </si>
  <si>
    <t xml:space="preserve">ВРУ1-11-10 УХЛ4 IP31 — вводная — распределительная панель </t>
  </si>
  <si>
    <t>ВРУ1-11-10 УХЛ4 IP31 — вводная панель</t>
  </si>
  <si>
    <t xml:space="preserve">Toplam ВРУ1-11-10 УХЛ4 IP31 — вводная — распределительная панель </t>
  </si>
  <si>
    <t>844363</t>
  </si>
  <si>
    <t>Авт. выкл. NXM-400S/3Р 320A 50кА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</si>
</sst>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i/>
      <sz val="9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FFFF99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E2EFDA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4" fontId="5" fillId="0" borderId="0" xfId="0" applyNumberFormat="1" applyFont="1"/>
    <xf numFmtId="0" fontId="4" fillId="2" borderId="0" xfId="0" applyFont="1" applyFill="1"/>
    <xf numFmtId="4" fontId="4" fillId="2" borderId="0" xfId="0" applyNumberFormat="1" applyFont="1" applyFill="1"/>
    <xf numFmtId="0" fontId="4" fillId="0" borderId="0" xfId="0" applyFont="1"/>
    <xf numFmtId="4" fontId="4" fillId="0" borderId="0" xfId="0" applyNumberFormat="1" applyFont="1"/>
    <xf numFmtId="0" fontId="6" fillId="4" borderId="0" xfId="0" applyFont="1" applyFill="1"/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4" fillId="4" borderId="1" xfId="0" applyFont="1" applyFill="1" applyBorder="1"/>
    <xf numFmtId="0" fontId="4" fillId="3" borderId="1" xfId="0" applyFont="1" applyFill="1" applyBorder="1" applyAlignment="1">
      <alignment vertical="center" wrapText="1"/>
    </xf>
    <xf numFmtId="4" fontId="4" fillId="3" borderId="1" xfId="0" applyNumberFormat="1" applyFont="1" applyFill="1" applyBorder="1"/>
    <xf numFmtId="0" fontId="5" fillId="0" borderId="1" xfId="0" applyFont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vertical="center" wrapText="1"/>
    </xf>
    <xf numFmtId="4" fontId="5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4" fillId="6" borderId="1" xfId="0" applyFont="1" applyFill="1" applyBorder="1"/>
    <xf numFmtId="0" fontId="4" fillId="6" borderId="1" xfId="0" applyFont="1" applyFill="1" applyBorder="1" applyAlignment="1">
      <alignment vertical="center" wrapText="1"/>
    </xf>
    <xf numFmtId="4" fontId="4" fillId="6" borderId="1" xfId="0" applyNumberFormat="1" applyFont="1" applyFill="1" applyBorder="1"/>
    <xf numFmtId="0" fontId="5" fillId="6" borderId="1" xfId="0" applyFont="1" applyFill="1" applyBorder="1"/>
    <xf numFmtId="0" fontId="5" fillId="6" borderId="1" xfId="0" applyFont="1" applyFill="1" applyBorder="1" applyAlignment="1">
      <alignment vertical="center" wrapText="1"/>
    </xf>
    <xf numFmtId="4" fontId="5" fillId="6" borderId="1" xfId="0" applyNumberFormat="1" applyFont="1" applyFill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5" borderId="1" xfId="0" applyFont="1" applyFill="1" applyBorder="1"/>
    <xf numFmtId="0" fontId="4" fillId="4" borderId="1" xfId="0" applyFont="1" applyFill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zoomScaleNormal="100" workbookViewId="0">
      <pane ySplit="4" topLeftCell="A5" activePane="bottomLeft" state="frozen"/>
      <selection pane="bottomLeft" activeCell="B20" sqref="B20"/>
    </sheetView>
  </sheetViews>
  <sheetFormatPr defaultColWidth="8.7109375" defaultRowHeight="15" x14ac:dyDescent="0.25"/>
  <cols>
    <col min="1" max="1" width="5" customWidth="1"/>
    <col min="2" max="2" width="34" customWidth="1"/>
    <col min="3" max="3" width="17" customWidth="1"/>
    <col min="4" max="4" width="15" customWidth="1"/>
    <col min="5" max="5" width="68" customWidth="1"/>
    <col min="6" max="6" width="13" customWidth="1"/>
    <col min="7" max="7" width="14" customWidth="1"/>
    <col min="8" max="8" width="15" customWidth="1"/>
    <col min="9" max="9" width="9" customWidth="1"/>
    <col min="10" max="10" width="10" customWidth="1"/>
    <col min="11" max="11" width="11" customWidth="1"/>
    <col min="12" max="13" width="16" customWidth="1"/>
    <col min="14" max="15" width="5" customWidth="1"/>
  </cols>
  <sheetData>
    <row r="1" spans="1:15" ht="15.75" x14ac:dyDescent="0.25">
      <c r="A1" s="1" t="s">
        <v>0</v>
      </c>
    </row>
    <row r="2" spans="1:15" x14ac:dyDescent="0.25">
      <c r="A2" s="2" t="s">
        <v>1</v>
      </c>
    </row>
    <row r="4" spans="1:15" ht="30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15</v>
      </c>
    </row>
    <row r="5" spans="1:15" x14ac:dyDescent="0.25">
      <c r="A5" s="11">
        <v>4</v>
      </c>
      <c r="B5" s="12" t="s">
        <v>98</v>
      </c>
      <c r="C5" s="11" t="s">
        <v>16</v>
      </c>
      <c r="D5" s="11"/>
      <c r="E5" s="13" t="s">
        <v>98</v>
      </c>
      <c r="F5" s="14"/>
      <c r="G5" s="14"/>
      <c r="H5" s="14"/>
      <c r="I5" s="11">
        <v>1</v>
      </c>
      <c r="J5" s="11" t="s">
        <v>17</v>
      </c>
      <c r="K5" s="11"/>
      <c r="L5" s="14"/>
      <c r="M5" s="11"/>
      <c r="N5" s="11"/>
      <c r="O5" s="11"/>
    </row>
    <row r="6" spans="1:15" x14ac:dyDescent="0.25">
      <c r="A6" s="15">
        <v>4</v>
      </c>
      <c r="B6" s="15"/>
      <c r="C6" s="15" t="s">
        <v>20</v>
      </c>
      <c r="D6" s="15" t="s">
        <v>188</v>
      </c>
      <c r="E6" s="19" t="s">
        <v>189</v>
      </c>
      <c r="F6" s="18">
        <v>154595</v>
      </c>
      <c r="G6" s="18">
        <f>0.6*F6</f>
        <v>92757</v>
      </c>
      <c r="H6" s="18">
        <f t="shared" ref="H6:H12" si="0">G6*I6</f>
        <v>92757</v>
      </c>
      <c r="I6" s="15">
        <v>1</v>
      </c>
      <c r="J6" s="15" t="s">
        <v>18</v>
      </c>
      <c r="K6" s="15" t="s">
        <v>19</v>
      </c>
      <c r="L6" s="18">
        <f t="shared" ref="L6:L18" si="1">H6*$I$5</f>
        <v>92757</v>
      </c>
      <c r="M6" s="15" t="s">
        <v>20</v>
      </c>
      <c r="N6" s="15"/>
      <c r="O6" s="15"/>
    </row>
    <row r="7" spans="1:15" x14ac:dyDescent="0.25">
      <c r="A7" s="15">
        <v>4</v>
      </c>
      <c r="B7" s="15"/>
      <c r="C7" s="15" t="s">
        <v>21</v>
      </c>
      <c r="D7" s="15" t="s">
        <v>183</v>
      </c>
      <c r="E7" s="19" t="s">
        <v>184</v>
      </c>
      <c r="F7" s="18">
        <v>74241</v>
      </c>
      <c r="G7" s="18">
        <f>F7*Kurallar!$B$2</f>
        <v>44544.6</v>
      </c>
      <c r="H7" s="18">
        <f t="shared" si="0"/>
        <v>89089.2</v>
      </c>
      <c r="I7" s="15">
        <v>2</v>
      </c>
      <c r="J7" s="15" t="s">
        <v>18</v>
      </c>
      <c r="K7" s="15" t="s">
        <v>22</v>
      </c>
      <c r="L7" s="18">
        <f t="shared" si="1"/>
        <v>89089.2</v>
      </c>
      <c r="M7" s="15" t="s">
        <v>21</v>
      </c>
      <c r="N7" s="15"/>
      <c r="O7" s="15"/>
    </row>
    <row r="8" spans="1:15" x14ac:dyDescent="0.25">
      <c r="A8" s="15">
        <v>4</v>
      </c>
      <c r="B8" s="15"/>
      <c r="C8" s="27" t="s">
        <v>187</v>
      </c>
      <c r="D8" s="15" t="s">
        <v>185</v>
      </c>
      <c r="E8" s="19" t="s">
        <v>186</v>
      </c>
      <c r="F8" s="18">
        <v>579699</v>
      </c>
      <c r="G8" s="18">
        <f>F8*Kurallar!$B$2</f>
        <v>347819.39999999997</v>
      </c>
      <c r="H8" s="18">
        <f t="shared" si="0"/>
        <v>347819.39999999997</v>
      </c>
      <c r="I8" s="15">
        <v>1</v>
      </c>
      <c r="J8" s="15" t="s">
        <v>18</v>
      </c>
      <c r="K8" s="15" t="s">
        <v>22</v>
      </c>
      <c r="L8" s="18">
        <f t="shared" si="1"/>
        <v>347819.39999999997</v>
      </c>
      <c r="M8" s="15" t="s">
        <v>81</v>
      </c>
      <c r="N8" s="15"/>
      <c r="O8" s="15"/>
    </row>
    <row r="9" spans="1:15" ht="25.5" x14ac:dyDescent="0.25">
      <c r="A9" s="15">
        <v>4</v>
      </c>
      <c r="B9" s="15"/>
      <c r="C9" s="15" t="s">
        <v>72</v>
      </c>
      <c r="D9" s="15" t="s">
        <v>73</v>
      </c>
      <c r="E9" s="19" t="s">
        <v>99</v>
      </c>
      <c r="F9" s="18">
        <v>1389</v>
      </c>
      <c r="G9" s="18">
        <f>F9*Kurallar!$B$2</f>
        <v>833.4</v>
      </c>
      <c r="H9" s="18">
        <f t="shared" si="0"/>
        <v>833.4</v>
      </c>
      <c r="I9" s="15">
        <v>1</v>
      </c>
      <c r="J9" s="15" t="s">
        <v>18</v>
      </c>
      <c r="K9" s="15" t="s">
        <v>22</v>
      </c>
      <c r="L9" s="18">
        <f t="shared" si="1"/>
        <v>833.4</v>
      </c>
      <c r="M9" s="15" t="s">
        <v>72</v>
      </c>
      <c r="N9" s="15"/>
      <c r="O9" s="15"/>
    </row>
    <row r="10" spans="1:15" x14ac:dyDescent="0.25">
      <c r="A10" s="15">
        <v>4</v>
      </c>
      <c r="B10" s="15"/>
      <c r="C10" s="15" t="s">
        <v>84</v>
      </c>
      <c r="D10" s="15" t="s">
        <v>85</v>
      </c>
      <c r="E10" s="19" t="s">
        <v>100</v>
      </c>
      <c r="F10" s="18">
        <v>589</v>
      </c>
      <c r="G10" s="18">
        <f>F10*Kurallar!$B$2</f>
        <v>353.4</v>
      </c>
      <c r="H10" s="18">
        <f t="shared" si="0"/>
        <v>706.8</v>
      </c>
      <c r="I10" s="15">
        <v>2</v>
      </c>
      <c r="J10" s="15" t="s">
        <v>18</v>
      </c>
      <c r="K10" s="15" t="s">
        <v>22</v>
      </c>
      <c r="L10" s="18">
        <f t="shared" si="1"/>
        <v>706.8</v>
      </c>
      <c r="M10" s="15" t="s">
        <v>84</v>
      </c>
      <c r="N10" s="15"/>
      <c r="O10" s="15"/>
    </row>
    <row r="11" spans="1:15" x14ac:dyDescent="0.25">
      <c r="A11" s="15">
        <v>4</v>
      </c>
      <c r="B11" s="15"/>
      <c r="C11" s="15" t="s">
        <v>84</v>
      </c>
      <c r="D11" s="15" t="s">
        <v>101</v>
      </c>
      <c r="E11" s="19" t="s">
        <v>102</v>
      </c>
      <c r="F11" s="18">
        <v>836</v>
      </c>
      <c r="G11" s="18">
        <f>F11*Kurallar!$B$2</f>
        <v>501.59999999999997</v>
      </c>
      <c r="H11" s="18">
        <f t="shared" si="0"/>
        <v>3009.6</v>
      </c>
      <c r="I11" s="15">
        <v>6</v>
      </c>
      <c r="J11" s="15" t="s">
        <v>18</v>
      </c>
      <c r="K11" s="15" t="s">
        <v>22</v>
      </c>
      <c r="L11" s="18">
        <f t="shared" si="1"/>
        <v>3009.6</v>
      </c>
      <c r="M11" s="15" t="s">
        <v>84</v>
      </c>
      <c r="N11" s="15"/>
      <c r="O11" s="15"/>
    </row>
    <row r="12" spans="1:15" x14ac:dyDescent="0.25">
      <c r="A12" s="15">
        <v>4</v>
      </c>
      <c r="B12" s="15"/>
      <c r="C12" s="28" t="s">
        <v>172</v>
      </c>
      <c r="D12" s="16" t="s">
        <v>170</v>
      </c>
      <c r="E12" s="17" t="s">
        <v>171</v>
      </c>
      <c r="F12" s="18">
        <v>18357</v>
      </c>
      <c r="G12" s="18">
        <f>F12*Kurallar!$B$4</f>
        <v>18357</v>
      </c>
      <c r="H12" s="18">
        <f t="shared" si="0"/>
        <v>183570</v>
      </c>
      <c r="I12" s="15">
        <v>10</v>
      </c>
      <c r="J12" s="15" t="s">
        <v>48</v>
      </c>
      <c r="K12" s="27" t="s">
        <v>168</v>
      </c>
      <c r="L12" s="18">
        <f t="shared" si="1"/>
        <v>183570</v>
      </c>
      <c r="M12" s="15" t="s">
        <v>33</v>
      </c>
      <c r="N12" s="15"/>
      <c r="O12" s="15"/>
    </row>
    <row r="13" spans="1:15" x14ac:dyDescent="0.25">
      <c r="A13" s="15">
        <v>4</v>
      </c>
      <c r="B13" s="15"/>
      <c r="C13" s="15" t="s">
        <v>36</v>
      </c>
      <c r="D13" s="15" t="s">
        <v>37</v>
      </c>
      <c r="E13" s="19" t="s">
        <v>38</v>
      </c>
      <c r="F13" s="18">
        <v>869</v>
      </c>
      <c r="G13" s="18">
        <f>F13*Kurallar!$B$2</f>
        <v>521.4</v>
      </c>
      <c r="H13" s="18">
        <f t="shared" ref="H13:H18" si="2">G13*I13</f>
        <v>1042.8</v>
      </c>
      <c r="I13" s="15">
        <v>2</v>
      </c>
      <c r="J13" s="15" t="s">
        <v>18</v>
      </c>
      <c r="K13" s="15" t="s">
        <v>22</v>
      </c>
      <c r="L13" s="18">
        <f t="shared" si="1"/>
        <v>1042.8</v>
      </c>
      <c r="M13" s="15" t="s">
        <v>36</v>
      </c>
      <c r="N13" s="15"/>
      <c r="O13" s="15"/>
    </row>
    <row r="14" spans="1:15" x14ac:dyDescent="0.25">
      <c r="A14" s="15">
        <v>4</v>
      </c>
      <c r="B14" s="15"/>
      <c r="C14" s="15" t="s">
        <v>39</v>
      </c>
      <c r="D14" s="15" t="s">
        <v>43</v>
      </c>
      <c r="E14" s="19" t="s">
        <v>63</v>
      </c>
      <c r="F14" s="18">
        <v>90</v>
      </c>
      <c r="G14" s="18">
        <f>F14*Kurallar!$B$4</f>
        <v>90</v>
      </c>
      <c r="H14" s="18">
        <f t="shared" si="2"/>
        <v>1800</v>
      </c>
      <c r="I14" s="15">
        <v>20</v>
      </c>
      <c r="J14" s="15" t="s">
        <v>18</v>
      </c>
      <c r="K14" s="15" t="s">
        <v>42</v>
      </c>
      <c r="L14" s="18">
        <f t="shared" si="1"/>
        <v>1800</v>
      </c>
      <c r="M14" s="15" t="s">
        <v>39</v>
      </c>
      <c r="N14" s="15"/>
      <c r="O14" s="15"/>
    </row>
    <row r="15" spans="1:15" x14ac:dyDescent="0.25">
      <c r="A15" s="15">
        <v>4</v>
      </c>
      <c r="B15" s="15"/>
      <c r="C15" s="15" t="s">
        <v>45</v>
      </c>
      <c r="D15" s="15" t="s">
        <v>51</v>
      </c>
      <c r="E15" s="19" t="s">
        <v>103</v>
      </c>
      <c r="F15" s="18">
        <v>144</v>
      </c>
      <c r="G15" s="18">
        <f>F15*Kurallar!$B$4</f>
        <v>144</v>
      </c>
      <c r="H15" s="18">
        <f t="shared" si="2"/>
        <v>8640</v>
      </c>
      <c r="I15" s="15">
        <v>60</v>
      </c>
      <c r="J15" s="15" t="s">
        <v>48</v>
      </c>
      <c r="K15" s="15" t="s">
        <v>42</v>
      </c>
      <c r="L15" s="18">
        <f t="shared" si="1"/>
        <v>8640</v>
      </c>
      <c r="M15" s="15" t="s">
        <v>45</v>
      </c>
      <c r="N15" s="15"/>
      <c r="O15" s="15"/>
    </row>
    <row r="16" spans="1:15" x14ac:dyDescent="0.25">
      <c r="A16" s="15">
        <v>4</v>
      </c>
      <c r="B16" s="15"/>
      <c r="C16" s="15" t="s">
        <v>53</v>
      </c>
      <c r="D16" s="15" t="s">
        <v>64</v>
      </c>
      <c r="E16" s="19" t="s">
        <v>65</v>
      </c>
      <c r="F16" s="18">
        <v>398</v>
      </c>
      <c r="G16" s="18">
        <f>F16*Kurallar!$B$4</f>
        <v>398</v>
      </c>
      <c r="H16" s="18">
        <f t="shared" si="2"/>
        <v>4776</v>
      </c>
      <c r="I16" s="15">
        <v>12</v>
      </c>
      <c r="J16" s="15" t="s">
        <v>18</v>
      </c>
      <c r="K16" s="15" t="s">
        <v>42</v>
      </c>
      <c r="L16" s="18">
        <f t="shared" si="1"/>
        <v>4776</v>
      </c>
      <c r="M16" s="15" t="s">
        <v>53</v>
      </c>
      <c r="N16" s="15"/>
      <c r="O16" s="15"/>
    </row>
    <row r="17" spans="1:15" x14ac:dyDescent="0.25">
      <c r="A17" s="15">
        <v>4</v>
      </c>
      <c r="B17" s="15"/>
      <c r="C17" s="15" t="s">
        <v>56</v>
      </c>
      <c r="D17" s="15"/>
      <c r="E17" s="19" t="s">
        <v>57</v>
      </c>
      <c r="F17" s="18"/>
      <c r="G17" s="18">
        <f>SUM(H6:H16)*Kurallar!$B$6</f>
        <v>22021.326000000001</v>
      </c>
      <c r="H17" s="18">
        <f t="shared" si="2"/>
        <v>22021.326000000001</v>
      </c>
      <c r="I17" s="15">
        <v>1</v>
      </c>
      <c r="J17" s="15" t="s">
        <v>17</v>
      </c>
      <c r="K17" s="15" t="s">
        <v>58</v>
      </c>
      <c r="L17" s="18">
        <f t="shared" si="1"/>
        <v>22021.326000000001</v>
      </c>
      <c r="M17" s="15" t="s">
        <v>56</v>
      </c>
      <c r="N17" s="15"/>
      <c r="O17" s="15"/>
    </row>
    <row r="18" spans="1:15" x14ac:dyDescent="0.25">
      <c r="A18" s="15">
        <v>4</v>
      </c>
      <c r="B18" s="15"/>
      <c r="C18" s="15" t="s">
        <v>59</v>
      </c>
      <c r="D18" s="15"/>
      <c r="E18" s="19" t="s">
        <v>104</v>
      </c>
      <c r="F18" s="18">
        <f>I18/60</f>
        <v>11.5</v>
      </c>
      <c r="G18" s="18">
        <f>Kurallar!$B$7</f>
        <v>100</v>
      </c>
      <c r="H18" s="18">
        <f t="shared" si="2"/>
        <v>69000</v>
      </c>
      <c r="I18" s="15">
        <v>690</v>
      </c>
      <c r="J18" s="15" t="s">
        <v>61</v>
      </c>
      <c r="K18" s="15" t="s">
        <v>58</v>
      </c>
      <c r="L18" s="18">
        <f t="shared" si="1"/>
        <v>69000</v>
      </c>
      <c r="M18" s="15" t="s">
        <v>59</v>
      </c>
      <c r="N18" s="15"/>
      <c r="O18" s="15"/>
    </row>
    <row r="19" spans="1:15" x14ac:dyDescent="0.25">
      <c r="A19" s="20"/>
      <c r="B19" s="20" t="s">
        <v>105</v>
      </c>
      <c r="C19" s="20"/>
      <c r="D19" s="20"/>
      <c r="E19" s="21" t="s">
        <v>62</v>
      </c>
      <c r="F19" s="22"/>
      <c r="G19" s="22"/>
      <c r="H19" s="22">
        <f>SUBTOTAL(9,H6:H18)</f>
        <v>825065.52600000007</v>
      </c>
      <c r="I19" s="20">
        <v>1</v>
      </c>
      <c r="J19" s="20" t="s">
        <v>17</v>
      </c>
      <c r="K19" s="20"/>
      <c r="L19" s="22">
        <f>SUBTOTAL(9,L6:L18)</f>
        <v>825065.52600000007</v>
      </c>
      <c r="M19" s="20"/>
      <c r="N19" s="20"/>
      <c r="O19" s="20"/>
    </row>
    <row r="20" spans="1:15" ht="45" x14ac:dyDescent="0.25">
      <c r="A20" s="11">
        <v>1</v>
      </c>
      <c r="B20" s="29" t="s">
        <v>190</v>
      </c>
      <c r="C20" s="11" t="s">
        <v>16</v>
      </c>
      <c r="D20" s="11"/>
      <c r="E20" s="13" t="s">
        <v>190</v>
      </c>
      <c r="F20" s="14"/>
      <c r="G20" s="14"/>
      <c r="H20" s="14"/>
      <c r="I20" s="11">
        <v>1</v>
      </c>
      <c r="J20" s="11" t="s">
        <v>17</v>
      </c>
      <c r="K20" s="11"/>
      <c r="L20" s="14"/>
      <c r="M20" s="11"/>
      <c r="N20" s="11"/>
      <c r="O20" s="11"/>
    </row>
    <row r="21" spans="1:15" x14ac:dyDescent="0.25">
      <c r="A21" s="15">
        <v>1</v>
      </c>
      <c r="B21" s="15"/>
      <c r="C21" s="28" t="s">
        <v>20</v>
      </c>
      <c r="D21" s="16" t="s">
        <v>188</v>
      </c>
      <c r="E21" s="17" t="s">
        <v>189</v>
      </c>
      <c r="F21" s="18">
        <v>154595</v>
      </c>
      <c r="G21" s="18">
        <f>0.6*F21</f>
        <v>92757</v>
      </c>
      <c r="H21" s="18">
        <f t="shared" ref="H21:H30" si="3">G21*I21</f>
        <v>278271</v>
      </c>
      <c r="I21" s="15">
        <v>3</v>
      </c>
      <c r="J21" s="15" t="s">
        <v>18</v>
      </c>
      <c r="K21" s="15" t="s">
        <v>19</v>
      </c>
      <c r="L21" s="18">
        <f>H21*$I$20</f>
        <v>278271</v>
      </c>
      <c r="M21" s="15" t="s">
        <v>20</v>
      </c>
      <c r="N21" s="15"/>
      <c r="O21" s="15"/>
    </row>
    <row r="22" spans="1:15" x14ac:dyDescent="0.25">
      <c r="A22" s="15">
        <v>1</v>
      </c>
      <c r="B22" s="15"/>
      <c r="C22" s="15" t="s">
        <v>21</v>
      </c>
      <c r="D22" s="15" t="s">
        <v>183</v>
      </c>
      <c r="E22" s="19" t="s">
        <v>184</v>
      </c>
      <c r="F22" s="18">
        <v>74241</v>
      </c>
      <c r="G22" s="18">
        <f>F22*Kurallar!$B$2</f>
        <v>44544.6</v>
      </c>
      <c r="H22" s="18">
        <f t="shared" si="3"/>
        <v>133633.79999999999</v>
      </c>
      <c r="I22" s="15">
        <v>3</v>
      </c>
      <c r="J22" s="15" t="s">
        <v>18</v>
      </c>
      <c r="K22" s="15" t="s">
        <v>22</v>
      </c>
      <c r="L22" s="18">
        <f>H22*$I$20</f>
        <v>133633.79999999999</v>
      </c>
      <c r="M22" s="15" t="s">
        <v>21</v>
      </c>
      <c r="N22" s="15"/>
      <c r="O22" s="15"/>
    </row>
    <row r="23" spans="1:15" x14ac:dyDescent="0.25">
      <c r="A23" s="15">
        <v>1</v>
      </c>
      <c r="B23" s="15"/>
      <c r="C23" s="15" t="s">
        <v>21</v>
      </c>
      <c r="D23" s="15" t="s">
        <v>193</v>
      </c>
      <c r="E23" s="26" t="s">
        <v>194</v>
      </c>
      <c r="F23" s="18">
        <v>73736</v>
      </c>
      <c r="G23" s="18">
        <f>F23*Kurallar!$B$2</f>
        <v>44241.599999999999</v>
      </c>
      <c r="H23" s="18">
        <f t="shared" ref="H23" si="4">G23*I23</f>
        <v>132724.79999999999</v>
      </c>
      <c r="I23" s="15">
        <v>3</v>
      </c>
      <c r="J23" s="15" t="s">
        <v>18</v>
      </c>
      <c r="K23" s="15" t="s">
        <v>22</v>
      </c>
      <c r="L23" s="18">
        <f>H23*$I$20</f>
        <v>132724.79999999999</v>
      </c>
      <c r="M23" s="15" t="s">
        <v>21</v>
      </c>
      <c r="N23" s="15"/>
      <c r="O23" s="15"/>
    </row>
    <row r="24" spans="1:15" x14ac:dyDescent="0.25">
      <c r="A24" s="15">
        <v>1</v>
      </c>
      <c r="B24" s="15"/>
      <c r="C24" s="15" t="s">
        <v>21</v>
      </c>
      <c r="D24" s="15" t="s">
        <v>181</v>
      </c>
      <c r="E24" s="19" t="s">
        <v>182</v>
      </c>
      <c r="F24" s="18">
        <v>36869</v>
      </c>
      <c r="G24" s="18">
        <f>F24*Kurallar!$B$2</f>
        <v>22121.399999999998</v>
      </c>
      <c r="H24" s="18">
        <f t="shared" si="3"/>
        <v>66364.2</v>
      </c>
      <c r="I24" s="15">
        <v>3</v>
      </c>
      <c r="J24" s="15" t="s">
        <v>18</v>
      </c>
      <c r="K24" s="15" t="s">
        <v>22</v>
      </c>
      <c r="L24" s="18">
        <f>H24*$I$20</f>
        <v>66364.2</v>
      </c>
      <c r="M24" s="15" t="s">
        <v>21</v>
      </c>
      <c r="N24" s="15"/>
      <c r="O24" s="15"/>
    </row>
    <row r="25" spans="1:15" x14ac:dyDescent="0.25">
      <c r="A25" s="15">
        <v>2</v>
      </c>
      <c r="B25" s="15"/>
      <c r="C25" s="15" t="s">
        <v>21</v>
      </c>
      <c r="D25" s="15" t="s">
        <v>179</v>
      </c>
      <c r="E25" s="19" t="s">
        <v>180</v>
      </c>
      <c r="F25" s="18">
        <v>19418</v>
      </c>
      <c r="G25" s="18">
        <f>F25*Kurallar!$B$2</f>
        <v>11650.8</v>
      </c>
      <c r="H25" s="18">
        <f>G25*I25</f>
        <v>34952.399999999994</v>
      </c>
      <c r="I25" s="15">
        <v>3</v>
      </c>
      <c r="J25" s="15" t="s">
        <v>18</v>
      </c>
      <c r="K25" s="15" t="s">
        <v>22</v>
      </c>
      <c r="L25" s="18">
        <f t="shared" ref="L25:L32" si="5">H25*$I$20</f>
        <v>34952.399999999994</v>
      </c>
      <c r="M25" s="15" t="s">
        <v>21</v>
      </c>
      <c r="N25" s="15"/>
      <c r="O25" s="15"/>
    </row>
    <row r="26" spans="1:15" x14ac:dyDescent="0.25">
      <c r="A26" s="15">
        <v>2</v>
      </c>
      <c r="B26" s="15"/>
      <c r="C26" s="15" t="s">
        <v>21</v>
      </c>
      <c r="D26" s="15" t="s">
        <v>177</v>
      </c>
      <c r="E26" s="19" t="s">
        <v>178</v>
      </c>
      <c r="F26" s="18">
        <v>19700</v>
      </c>
      <c r="G26" s="18">
        <f>F26*Kurallar!$B$2</f>
        <v>11820</v>
      </c>
      <c r="H26" s="18">
        <f>G26*I26</f>
        <v>35460</v>
      </c>
      <c r="I26" s="15">
        <v>3</v>
      </c>
      <c r="J26" s="15" t="s">
        <v>18</v>
      </c>
      <c r="K26" s="15" t="s">
        <v>22</v>
      </c>
      <c r="L26" s="18">
        <f t="shared" si="5"/>
        <v>35460</v>
      </c>
      <c r="M26" s="15" t="s">
        <v>21</v>
      </c>
      <c r="N26" s="15"/>
      <c r="O26" s="15"/>
    </row>
    <row r="27" spans="1:15" x14ac:dyDescent="0.25">
      <c r="A27" s="15">
        <v>2</v>
      </c>
      <c r="B27" s="15"/>
      <c r="C27" s="15" t="s">
        <v>21</v>
      </c>
      <c r="D27" s="15" t="s">
        <v>175</v>
      </c>
      <c r="E27" s="19" t="s">
        <v>176</v>
      </c>
      <c r="F27" s="18">
        <v>18139</v>
      </c>
      <c r="G27" s="18">
        <f>F27*Kurallar!$B$2</f>
        <v>10883.4</v>
      </c>
      <c r="H27" s="18">
        <f>G27*I27</f>
        <v>43533.599999999999</v>
      </c>
      <c r="I27" s="15">
        <v>4</v>
      </c>
      <c r="J27" s="15" t="s">
        <v>18</v>
      </c>
      <c r="K27" s="15" t="s">
        <v>22</v>
      </c>
      <c r="L27" s="18">
        <f t="shared" si="5"/>
        <v>43533.599999999999</v>
      </c>
      <c r="M27" s="15" t="s">
        <v>21</v>
      </c>
      <c r="N27" s="15"/>
      <c r="O27" s="15"/>
    </row>
    <row r="28" spans="1:15" x14ac:dyDescent="0.25">
      <c r="A28" s="15">
        <v>1</v>
      </c>
      <c r="B28" s="15"/>
      <c r="C28" s="15" t="s">
        <v>23</v>
      </c>
      <c r="D28" s="15" t="s">
        <v>173</v>
      </c>
      <c r="E28" s="26" t="s">
        <v>174</v>
      </c>
      <c r="F28" s="18">
        <v>88000</v>
      </c>
      <c r="G28" s="18">
        <f>F28*Kurallar!$B$5</f>
        <v>88000</v>
      </c>
      <c r="H28" s="18">
        <f t="shared" si="3"/>
        <v>264000</v>
      </c>
      <c r="I28" s="15">
        <v>3</v>
      </c>
      <c r="J28" s="15" t="s">
        <v>18</v>
      </c>
      <c r="K28" s="15" t="s">
        <v>24</v>
      </c>
      <c r="L28" s="18">
        <f t="shared" si="5"/>
        <v>264000</v>
      </c>
      <c r="M28" s="15" t="s">
        <v>23</v>
      </c>
      <c r="N28" s="15"/>
      <c r="O28" s="15"/>
    </row>
    <row r="29" spans="1:15" x14ac:dyDescent="0.25">
      <c r="A29" s="15">
        <v>1</v>
      </c>
      <c r="B29" s="15"/>
      <c r="C29" s="15" t="s">
        <v>25</v>
      </c>
      <c r="D29" s="15" t="s">
        <v>26</v>
      </c>
      <c r="E29" s="19" t="s">
        <v>27</v>
      </c>
      <c r="F29" s="18">
        <v>5350</v>
      </c>
      <c r="G29" s="18">
        <f>F29*Kurallar!$B$5</f>
        <v>5350</v>
      </c>
      <c r="H29" s="18">
        <f t="shared" si="3"/>
        <v>48150</v>
      </c>
      <c r="I29" s="15">
        <v>9</v>
      </c>
      <c r="J29" s="15" t="s">
        <v>18</v>
      </c>
      <c r="K29" s="27" t="s">
        <v>168</v>
      </c>
      <c r="L29" s="18">
        <f t="shared" si="5"/>
        <v>48150</v>
      </c>
      <c r="M29" s="15" t="s">
        <v>25</v>
      </c>
      <c r="N29" s="15"/>
      <c r="O29" s="15"/>
    </row>
    <row r="30" spans="1:15" ht="25.5" x14ac:dyDescent="0.25">
      <c r="A30" s="15">
        <v>1</v>
      </c>
      <c r="B30" s="15"/>
      <c r="C30" s="15" t="s">
        <v>28</v>
      </c>
      <c r="D30" s="15" t="s">
        <v>29</v>
      </c>
      <c r="E30" s="19" t="s">
        <v>30</v>
      </c>
      <c r="F30" s="18">
        <v>36941</v>
      </c>
      <c r="G30" s="18">
        <f>F30*Kurallar!$B$2</f>
        <v>22164.6</v>
      </c>
      <c r="H30" s="18">
        <f t="shared" si="3"/>
        <v>66493.799999999988</v>
      </c>
      <c r="I30" s="15">
        <v>3</v>
      </c>
      <c r="J30" s="15" t="s">
        <v>18</v>
      </c>
      <c r="K30" s="15" t="s">
        <v>22</v>
      </c>
      <c r="L30" s="18">
        <f t="shared" si="5"/>
        <v>66493.799999999988</v>
      </c>
      <c r="M30" s="15" t="s">
        <v>28</v>
      </c>
      <c r="N30" s="15"/>
      <c r="O30" s="15"/>
    </row>
    <row r="31" spans="1:15" x14ac:dyDescent="0.25">
      <c r="A31" s="15">
        <v>1</v>
      </c>
      <c r="B31" s="15"/>
      <c r="C31" s="28" t="s">
        <v>169</v>
      </c>
      <c r="D31" s="16"/>
      <c r="E31" s="17" t="s">
        <v>31</v>
      </c>
      <c r="F31" s="18">
        <v>4500</v>
      </c>
      <c r="G31" s="18">
        <f>F31*Kurallar!$B$4</f>
        <v>4500</v>
      </c>
      <c r="H31" s="18">
        <f t="shared" ref="H31:H40" si="6">G31*I31</f>
        <v>40500</v>
      </c>
      <c r="I31" s="15">
        <v>9</v>
      </c>
      <c r="J31" s="15" t="s">
        <v>18</v>
      </c>
      <c r="K31" s="27" t="s">
        <v>168</v>
      </c>
      <c r="L31" s="18">
        <f t="shared" si="5"/>
        <v>40500</v>
      </c>
      <c r="M31" s="15" t="s">
        <v>32</v>
      </c>
      <c r="N31" s="15"/>
      <c r="O31" s="15"/>
    </row>
    <row r="32" spans="1:15" x14ac:dyDescent="0.25">
      <c r="A32" s="15">
        <v>1</v>
      </c>
      <c r="B32" s="15"/>
      <c r="C32" s="28" t="s">
        <v>172</v>
      </c>
      <c r="D32" s="16" t="s">
        <v>170</v>
      </c>
      <c r="E32" s="17" t="s">
        <v>171</v>
      </c>
      <c r="F32" s="18">
        <v>18357</v>
      </c>
      <c r="G32" s="18">
        <f>F32*Kurallar!$B$4</f>
        <v>18357</v>
      </c>
      <c r="H32" s="18">
        <f t="shared" si="6"/>
        <v>770994</v>
      </c>
      <c r="I32" s="15">
        <v>42</v>
      </c>
      <c r="J32" s="15" t="s">
        <v>48</v>
      </c>
      <c r="K32" s="27" t="s">
        <v>168</v>
      </c>
      <c r="L32" s="18">
        <f t="shared" si="5"/>
        <v>770994</v>
      </c>
      <c r="M32" s="15" t="s">
        <v>33</v>
      </c>
      <c r="N32" s="15"/>
      <c r="O32" s="15"/>
    </row>
    <row r="33" spans="1:15" x14ac:dyDescent="0.25">
      <c r="A33" s="15">
        <v>1</v>
      </c>
      <c r="B33" s="15"/>
      <c r="C33" s="15" t="s">
        <v>33</v>
      </c>
      <c r="D33" s="15" t="s">
        <v>34</v>
      </c>
      <c r="E33" s="19" t="s">
        <v>35</v>
      </c>
      <c r="F33" s="18">
        <v>1000</v>
      </c>
      <c r="G33" s="18">
        <f>F33*Kurallar!$B$3</f>
        <v>1000</v>
      </c>
      <c r="H33" s="18">
        <f t="shared" si="6"/>
        <v>4000</v>
      </c>
      <c r="I33" s="15">
        <v>4</v>
      </c>
      <c r="J33" s="15" t="s">
        <v>18</v>
      </c>
      <c r="K33" s="15" t="s">
        <v>19</v>
      </c>
      <c r="L33" s="18">
        <f t="shared" ref="L33:L41" si="7">H33*$I$20</f>
        <v>4000</v>
      </c>
      <c r="M33" s="15" t="s">
        <v>33</v>
      </c>
      <c r="N33" s="15"/>
      <c r="O33" s="15"/>
    </row>
    <row r="34" spans="1:15" x14ac:dyDescent="0.25">
      <c r="A34" s="15">
        <v>1</v>
      </c>
      <c r="B34" s="15"/>
      <c r="C34" s="15" t="s">
        <v>39</v>
      </c>
      <c r="D34" s="15" t="s">
        <v>40</v>
      </c>
      <c r="E34" s="19" t="s">
        <v>41</v>
      </c>
      <c r="F34" s="18">
        <v>261</v>
      </c>
      <c r="G34" s="18">
        <f>F34*Kurallar!$B$4</f>
        <v>261</v>
      </c>
      <c r="H34" s="18">
        <f t="shared" si="6"/>
        <v>3915</v>
      </c>
      <c r="I34" s="15">
        <v>15</v>
      </c>
      <c r="J34" s="15" t="s">
        <v>18</v>
      </c>
      <c r="K34" s="15" t="s">
        <v>42</v>
      </c>
      <c r="L34" s="18">
        <f t="shared" si="7"/>
        <v>3915</v>
      </c>
      <c r="M34" s="15" t="s">
        <v>39</v>
      </c>
      <c r="N34" s="15"/>
      <c r="O34" s="15"/>
    </row>
    <row r="35" spans="1:15" x14ac:dyDescent="0.25">
      <c r="A35" s="15">
        <v>1</v>
      </c>
      <c r="B35" s="15"/>
      <c r="C35" s="15" t="s">
        <v>39</v>
      </c>
      <c r="D35" s="15" t="s">
        <v>43</v>
      </c>
      <c r="E35" s="19" t="s">
        <v>44</v>
      </c>
      <c r="F35" s="18">
        <v>90</v>
      </c>
      <c r="G35" s="18">
        <f>F35*Kurallar!$B$4</f>
        <v>90</v>
      </c>
      <c r="H35" s="18">
        <f t="shared" si="6"/>
        <v>3600</v>
      </c>
      <c r="I35" s="15">
        <v>40</v>
      </c>
      <c r="J35" s="15" t="s">
        <v>18</v>
      </c>
      <c r="K35" s="15" t="s">
        <v>42</v>
      </c>
      <c r="L35" s="18">
        <f t="shared" si="7"/>
        <v>3600</v>
      </c>
      <c r="M35" s="15" t="s">
        <v>39</v>
      </c>
      <c r="N35" s="15"/>
      <c r="O35" s="15"/>
    </row>
    <row r="36" spans="1:15" x14ac:dyDescent="0.25">
      <c r="A36" s="15">
        <v>1</v>
      </c>
      <c r="B36" s="15"/>
      <c r="C36" s="15" t="s">
        <v>45</v>
      </c>
      <c r="D36" s="15" t="s">
        <v>46</v>
      </c>
      <c r="E36" s="19" t="s">
        <v>47</v>
      </c>
      <c r="F36" s="18">
        <v>1560</v>
      </c>
      <c r="G36" s="18">
        <f>F36*Kurallar!$B$4</f>
        <v>1560</v>
      </c>
      <c r="H36" s="18">
        <f t="shared" si="6"/>
        <v>46800</v>
      </c>
      <c r="I36" s="15">
        <v>30</v>
      </c>
      <c r="J36" s="15" t="s">
        <v>48</v>
      </c>
      <c r="K36" s="15" t="s">
        <v>42</v>
      </c>
      <c r="L36" s="18">
        <f t="shared" si="7"/>
        <v>46800</v>
      </c>
      <c r="M36" s="15" t="s">
        <v>45</v>
      </c>
      <c r="N36" s="15"/>
      <c r="O36" s="15"/>
    </row>
    <row r="37" spans="1:15" x14ac:dyDescent="0.25">
      <c r="A37" s="15">
        <v>1</v>
      </c>
      <c r="B37" s="15"/>
      <c r="C37" s="15" t="s">
        <v>45</v>
      </c>
      <c r="D37" s="15" t="s">
        <v>49</v>
      </c>
      <c r="E37" s="19" t="s">
        <v>50</v>
      </c>
      <c r="F37" s="18">
        <v>361</v>
      </c>
      <c r="G37" s="18">
        <f>F37*Kurallar!$B$4</f>
        <v>361</v>
      </c>
      <c r="H37" s="18">
        <f t="shared" si="6"/>
        <v>21660</v>
      </c>
      <c r="I37" s="15">
        <v>60</v>
      </c>
      <c r="J37" s="15" t="s">
        <v>48</v>
      </c>
      <c r="K37" s="15" t="s">
        <v>42</v>
      </c>
      <c r="L37" s="18">
        <f t="shared" si="7"/>
        <v>21660</v>
      </c>
      <c r="M37" s="15" t="s">
        <v>45</v>
      </c>
      <c r="N37" s="15"/>
      <c r="O37" s="15"/>
    </row>
    <row r="38" spans="1:15" x14ac:dyDescent="0.25">
      <c r="A38" s="15">
        <v>1</v>
      </c>
      <c r="B38" s="15"/>
      <c r="C38" s="15" t="s">
        <v>45</v>
      </c>
      <c r="D38" s="15" t="s">
        <v>51</v>
      </c>
      <c r="E38" s="19" t="s">
        <v>52</v>
      </c>
      <c r="F38" s="18">
        <v>144</v>
      </c>
      <c r="G38" s="18">
        <f>F38*Kurallar!$B$4</f>
        <v>144</v>
      </c>
      <c r="H38" s="18">
        <f t="shared" si="6"/>
        <v>11520</v>
      </c>
      <c r="I38" s="15">
        <v>80</v>
      </c>
      <c r="J38" s="15" t="s">
        <v>48</v>
      </c>
      <c r="K38" s="15" t="s">
        <v>42</v>
      </c>
      <c r="L38" s="18">
        <f t="shared" si="7"/>
        <v>11520</v>
      </c>
      <c r="M38" s="15" t="s">
        <v>45</v>
      </c>
      <c r="N38" s="15"/>
      <c r="O38" s="15"/>
    </row>
    <row r="39" spans="1:15" x14ac:dyDescent="0.25">
      <c r="A39" s="15">
        <v>1</v>
      </c>
      <c r="B39" s="15"/>
      <c r="C39" s="15" t="s">
        <v>53</v>
      </c>
      <c r="D39" s="15" t="s">
        <v>54</v>
      </c>
      <c r="E39" s="19" t="s">
        <v>55</v>
      </c>
      <c r="F39" s="18">
        <v>264</v>
      </c>
      <c r="G39" s="18">
        <f>F39*Kurallar!$B$4</f>
        <v>264</v>
      </c>
      <c r="H39" s="18">
        <f t="shared" si="6"/>
        <v>10560</v>
      </c>
      <c r="I39" s="15">
        <v>40</v>
      </c>
      <c r="J39" s="15" t="s">
        <v>18</v>
      </c>
      <c r="K39" s="15" t="s">
        <v>42</v>
      </c>
      <c r="L39" s="18">
        <f t="shared" si="7"/>
        <v>10560</v>
      </c>
      <c r="M39" s="15" t="s">
        <v>53</v>
      </c>
      <c r="N39" s="15"/>
      <c r="O39" s="15"/>
    </row>
    <row r="40" spans="1:15" x14ac:dyDescent="0.25">
      <c r="A40" s="15">
        <v>1</v>
      </c>
      <c r="B40" s="15"/>
      <c r="C40" s="15" t="s">
        <v>56</v>
      </c>
      <c r="D40" s="15"/>
      <c r="E40" s="19" t="s">
        <v>57</v>
      </c>
      <c r="F40" s="18"/>
      <c r="G40" s="18">
        <f>SUM(H21:H39)*Kurallar!$B$6</f>
        <v>60513.977999999996</v>
      </c>
      <c r="H40" s="18">
        <f t="shared" si="6"/>
        <v>60513.977999999996</v>
      </c>
      <c r="I40" s="15">
        <v>1</v>
      </c>
      <c r="J40" s="15" t="s">
        <v>17</v>
      </c>
      <c r="K40" s="15" t="s">
        <v>58</v>
      </c>
      <c r="L40" s="18">
        <f t="shared" si="7"/>
        <v>60513.977999999996</v>
      </c>
      <c r="M40" s="15" t="s">
        <v>56</v>
      </c>
      <c r="N40" s="15"/>
      <c r="O40" s="15"/>
    </row>
    <row r="41" spans="1:15" x14ac:dyDescent="0.25">
      <c r="A41" s="15">
        <v>1</v>
      </c>
      <c r="B41" s="15"/>
      <c r="C41" s="15" t="s">
        <v>59</v>
      </c>
      <c r="D41" s="15"/>
      <c r="E41" s="19" t="s">
        <v>60</v>
      </c>
      <c r="F41" s="18">
        <f>I41/60*2.5</f>
        <v>55.416666666666671</v>
      </c>
      <c r="G41" s="18">
        <f>Kurallar!$B$7</f>
        <v>100</v>
      </c>
      <c r="H41" s="18">
        <f>G41*I41*2</f>
        <v>266000</v>
      </c>
      <c r="I41" s="15">
        <v>1330</v>
      </c>
      <c r="J41" s="15" t="s">
        <v>61</v>
      </c>
      <c r="K41" s="15" t="s">
        <v>58</v>
      </c>
      <c r="L41" s="18">
        <f t="shared" si="7"/>
        <v>266000</v>
      </c>
      <c r="M41" s="15" t="s">
        <v>59</v>
      </c>
      <c r="N41" s="15"/>
      <c r="O41" s="15"/>
    </row>
    <row r="42" spans="1:15" x14ac:dyDescent="0.25">
      <c r="A42" s="20"/>
      <c r="B42" s="20" t="s">
        <v>192</v>
      </c>
      <c r="C42" s="20"/>
      <c r="D42" s="20"/>
      <c r="E42" s="21" t="s">
        <v>62</v>
      </c>
      <c r="F42" s="22"/>
      <c r="G42" s="22"/>
      <c r="H42" s="22">
        <f>SUBTOTAL(9,H21:H41)</f>
        <v>2343646.5779999997</v>
      </c>
      <c r="I42" s="20">
        <v>1</v>
      </c>
      <c r="J42" s="20" t="s">
        <v>17</v>
      </c>
      <c r="K42" s="20"/>
      <c r="L42" s="22">
        <f>SUBTOTAL(9,L21:L41)</f>
        <v>2343646.5779999997</v>
      </c>
      <c r="M42" s="20"/>
      <c r="N42" s="20"/>
      <c r="O42" s="20"/>
    </row>
    <row r="43" spans="1:15" ht="30" x14ac:dyDescent="0.25">
      <c r="A43" s="11">
        <v>3</v>
      </c>
      <c r="B43" s="12" t="s">
        <v>66</v>
      </c>
      <c r="C43" s="11" t="s">
        <v>16</v>
      </c>
      <c r="D43" s="11"/>
      <c r="E43" s="13" t="s">
        <v>66</v>
      </c>
      <c r="F43" s="14"/>
      <c r="G43" s="14"/>
      <c r="H43" s="14"/>
      <c r="I43" s="11">
        <v>1</v>
      </c>
      <c r="J43" s="11" t="s">
        <v>17</v>
      </c>
      <c r="K43" s="11"/>
      <c r="L43" s="14"/>
      <c r="M43" s="11"/>
      <c r="N43" s="11"/>
      <c r="O43" s="11"/>
    </row>
    <row r="44" spans="1:15" x14ac:dyDescent="0.25">
      <c r="A44" s="15">
        <v>3</v>
      </c>
      <c r="B44" s="15"/>
      <c r="C44" s="15" t="s">
        <v>20</v>
      </c>
      <c r="D44" s="15" t="s">
        <v>67</v>
      </c>
      <c r="E44" s="19" t="s">
        <v>68</v>
      </c>
      <c r="F44" s="18">
        <v>38905</v>
      </c>
      <c r="G44" s="18">
        <f>F44*Kurallar!$B$3</f>
        <v>38905</v>
      </c>
      <c r="H44" s="18">
        <f t="shared" ref="H44:H58" si="8">G44*I44</f>
        <v>38905</v>
      </c>
      <c r="I44" s="15">
        <v>1</v>
      </c>
      <c r="J44" s="15" t="s">
        <v>18</v>
      </c>
      <c r="K44" s="15" t="s">
        <v>19</v>
      </c>
      <c r="L44" s="18">
        <f t="shared" ref="L44:L58" si="9">H44*$I$43</f>
        <v>38905</v>
      </c>
      <c r="M44" s="15" t="s">
        <v>20</v>
      </c>
      <c r="N44" s="15"/>
      <c r="O44" s="15"/>
    </row>
    <row r="45" spans="1:15" x14ac:dyDescent="0.25">
      <c r="A45" s="15">
        <v>3</v>
      </c>
      <c r="B45" s="15"/>
      <c r="C45" s="15" t="s">
        <v>69</v>
      </c>
      <c r="D45" s="15" t="s">
        <v>70</v>
      </c>
      <c r="E45" s="19" t="s">
        <v>71</v>
      </c>
      <c r="F45" s="18">
        <v>4217</v>
      </c>
      <c r="G45" s="18">
        <f>F45*Kurallar!$B$2</f>
        <v>2530.1999999999998</v>
      </c>
      <c r="H45" s="18">
        <f t="shared" si="8"/>
        <v>2530.1999999999998</v>
      </c>
      <c r="I45" s="15">
        <v>1</v>
      </c>
      <c r="J45" s="15" t="s">
        <v>18</v>
      </c>
      <c r="K45" s="15" t="s">
        <v>22</v>
      </c>
      <c r="L45" s="18">
        <f t="shared" si="9"/>
        <v>2530.1999999999998</v>
      </c>
      <c r="M45" s="15" t="s">
        <v>69</v>
      </c>
      <c r="N45" s="15"/>
      <c r="O45" s="15"/>
    </row>
    <row r="46" spans="1:15" x14ac:dyDescent="0.25">
      <c r="A46" s="15">
        <v>3</v>
      </c>
      <c r="B46" s="15"/>
      <c r="C46" s="15" t="s">
        <v>72</v>
      </c>
      <c r="D46" s="15" t="s">
        <v>73</v>
      </c>
      <c r="E46" s="19" t="s">
        <v>74</v>
      </c>
      <c r="F46" s="18">
        <v>1389</v>
      </c>
      <c r="G46" s="18">
        <f>F46*Kurallar!$B$2</f>
        <v>833.4</v>
      </c>
      <c r="H46" s="18">
        <f t="shared" si="8"/>
        <v>11667.6</v>
      </c>
      <c r="I46" s="15">
        <v>14</v>
      </c>
      <c r="J46" s="15" t="s">
        <v>18</v>
      </c>
      <c r="K46" s="15" t="s">
        <v>22</v>
      </c>
      <c r="L46" s="18">
        <f t="shared" si="9"/>
        <v>11667.6</v>
      </c>
      <c r="M46" s="15" t="s">
        <v>72</v>
      </c>
      <c r="N46" s="15"/>
      <c r="O46" s="15"/>
    </row>
    <row r="47" spans="1:15" x14ac:dyDescent="0.25">
      <c r="A47" s="15">
        <v>3</v>
      </c>
      <c r="B47" s="15"/>
      <c r="C47" s="15" t="s">
        <v>75</v>
      </c>
      <c r="D47" s="15" t="s">
        <v>76</v>
      </c>
      <c r="E47" s="19" t="s">
        <v>77</v>
      </c>
      <c r="F47" s="18">
        <v>6032</v>
      </c>
      <c r="G47" s="18">
        <f>F47*Kurallar!$B$2</f>
        <v>3619.2</v>
      </c>
      <c r="H47" s="18">
        <f t="shared" si="8"/>
        <v>14476.8</v>
      </c>
      <c r="I47" s="15">
        <v>4</v>
      </c>
      <c r="J47" s="15" t="s">
        <v>18</v>
      </c>
      <c r="K47" s="15" t="s">
        <v>22</v>
      </c>
      <c r="L47" s="18">
        <f t="shared" si="9"/>
        <v>14476.8</v>
      </c>
      <c r="M47" s="15" t="s">
        <v>75</v>
      </c>
      <c r="N47" s="15"/>
      <c r="O47" s="15"/>
    </row>
    <row r="48" spans="1:15" x14ac:dyDescent="0.25">
      <c r="A48" s="15">
        <v>3</v>
      </c>
      <c r="B48" s="15"/>
      <c r="C48" s="15" t="s">
        <v>78</v>
      </c>
      <c r="D48" s="15" t="s">
        <v>79</v>
      </c>
      <c r="E48" s="19" t="s">
        <v>80</v>
      </c>
      <c r="F48" s="18">
        <v>2004</v>
      </c>
      <c r="G48" s="18">
        <f>F48*Kurallar!$B$4</f>
        <v>2004</v>
      </c>
      <c r="H48" s="18">
        <f t="shared" si="8"/>
        <v>2004</v>
      </c>
      <c r="I48" s="15">
        <v>1</v>
      </c>
      <c r="J48" s="15" t="s">
        <v>18</v>
      </c>
      <c r="K48" s="15" t="s">
        <v>42</v>
      </c>
      <c r="L48" s="18">
        <f t="shared" si="9"/>
        <v>2004</v>
      </c>
      <c r="M48" s="15" t="s">
        <v>78</v>
      </c>
      <c r="N48" s="15"/>
      <c r="O48" s="15"/>
    </row>
    <row r="49" spans="1:15" x14ac:dyDescent="0.25">
      <c r="A49" s="15">
        <v>3</v>
      </c>
      <c r="B49" s="15"/>
      <c r="C49" s="15" t="s">
        <v>81</v>
      </c>
      <c r="D49" s="15" t="s">
        <v>82</v>
      </c>
      <c r="E49" s="19" t="s">
        <v>83</v>
      </c>
      <c r="F49" s="18">
        <v>1836</v>
      </c>
      <c r="G49" s="18">
        <f>F49*Kurallar!$B$2</f>
        <v>1101.5999999999999</v>
      </c>
      <c r="H49" s="18">
        <f t="shared" si="8"/>
        <v>1101.5999999999999</v>
      </c>
      <c r="I49" s="15">
        <v>1</v>
      </c>
      <c r="J49" s="15" t="s">
        <v>18</v>
      </c>
      <c r="K49" s="15" t="s">
        <v>22</v>
      </c>
      <c r="L49" s="18">
        <f t="shared" si="9"/>
        <v>1101.5999999999999</v>
      </c>
      <c r="M49" s="15" t="s">
        <v>81</v>
      </c>
      <c r="N49" s="15"/>
      <c r="O49" s="15"/>
    </row>
    <row r="50" spans="1:15" x14ac:dyDescent="0.25">
      <c r="A50" s="15">
        <v>3</v>
      </c>
      <c r="B50" s="15"/>
      <c r="C50" s="15" t="s">
        <v>84</v>
      </c>
      <c r="D50" s="15" t="s">
        <v>85</v>
      </c>
      <c r="E50" s="19" t="s">
        <v>86</v>
      </c>
      <c r="F50" s="18">
        <v>589</v>
      </c>
      <c r="G50" s="18">
        <f>F50*Kurallar!$B$2</f>
        <v>353.4</v>
      </c>
      <c r="H50" s="18">
        <f t="shared" si="8"/>
        <v>353.4</v>
      </c>
      <c r="I50" s="15">
        <v>1</v>
      </c>
      <c r="J50" s="15" t="s">
        <v>18</v>
      </c>
      <c r="K50" s="15" t="s">
        <v>22</v>
      </c>
      <c r="L50" s="18">
        <f t="shared" si="9"/>
        <v>353.4</v>
      </c>
      <c r="M50" s="15" t="s">
        <v>84</v>
      </c>
      <c r="N50" s="15"/>
      <c r="O50" s="15"/>
    </row>
    <row r="51" spans="1:15" x14ac:dyDescent="0.25">
      <c r="A51" s="15">
        <v>3</v>
      </c>
      <c r="B51" s="15"/>
      <c r="C51" s="15" t="s">
        <v>84</v>
      </c>
      <c r="D51" s="15" t="s">
        <v>87</v>
      </c>
      <c r="E51" s="19" t="s">
        <v>88</v>
      </c>
      <c r="F51" s="18">
        <v>571</v>
      </c>
      <c r="G51" s="18">
        <f>F51*Kurallar!$B$2</f>
        <v>342.59999999999997</v>
      </c>
      <c r="H51" s="18">
        <f t="shared" si="8"/>
        <v>342.59999999999997</v>
      </c>
      <c r="I51" s="15">
        <v>1</v>
      </c>
      <c r="J51" s="15" t="s">
        <v>18</v>
      </c>
      <c r="K51" s="15" t="s">
        <v>22</v>
      </c>
      <c r="L51" s="18">
        <f t="shared" si="9"/>
        <v>342.59999999999997</v>
      </c>
      <c r="M51" s="15" t="s">
        <v>84</v>
      </c>
      <c r="N51" s="15"/>
      <c r="O51" s="15"/>
    </row>
    <row r="52" spans="1:15" x14ac:dyDescent="0.25">
      <c r="A52" s="15">
        <v>3</v>
      </c>
      <c r="B52" s="15"/>
      <c r="C52" s="15" t="s">
        <v>33</v>
      </c>
      <c r="D52" s="15" t="s">
        <v>89</v>
      </c>
      <c r="E52" s="19" t="s">
        <v>90</v>
      </c>
      <c r="F52" s="18">
        <v>1000</v>
      </c>
      <c r="G52" s="18">
        <f>F52*Kurallar!$B$3</f>
        <v>1000</v>
      </c>
      <c r="H52" s="18">
        <f t="shared" si="8"/>
        <v>2000</v>
      </c>
      <c r="I52" s="15">
        <v>2</v>
      </c>
      <c r="J52" s="15" t="s">
        <v>18</v>
      </c>
      <c r="K52" s="15" t="s">
        <v>19</v>
      </c>
      <c r="L52" s="18">
        <f t="shared" si="9"/>
        <v>2000</v>
      </c>
      <c r="M52" s="15" t="s">
        <v>33</v>
      </c>
      <c r="N52" s="15"/>
      <c r="O52" s="15"/>
    </row>
    <row r="53" spans="1:15" x14ac:dyDescent="0.25">
      <c r="A53" s="15">
        <v>3</v>
      </c>
      <c r="B53" s="15"/>
      <c r="C53" s="15" t="s">
        <v>36</v>
      </c>
      <c r="D53" s="15" t="s">
        <v>37</v>
      </c>
      <c r="E53" s="19" t="s">
        <v>38</v>
      </c>
      <c r="F53" s="18">
        <v>869</v>
      </c>
      <c r="G53" s="18">
        <f>F53*Kurallar!$B$2</f>
        <v>521.4</v>
      </c>
      <c r="H53" s="18">
        <f t="shared" si="8"/>
        <v>1564.1999999999998</v>
      </c>
      <c r="I53" s="15">
        <v>3</v>
      </c>
      <c r="J53" s="15" t="s">
        <v>18</v>
      </c>
      <c r="K53" s="15" t="s">
        <v>22</v>
      </c>
      <c r="L53" s="18">
        <f t="shared" si="9"/>
        <v>1564.1999999999998</v>
      </c>
      <c r="M53" s="15" t="s">
        <v>36</v>
      </c>
      <c r="N53" s="15"/>
      <c r="O53" s="15"/>
    </row>
    <row r="54" spans="1:15" x14ac:dyDescent="0.25">
      <c r="A54" s="15">
        <v>3</v>
      </c>
      <c r="B54" s="15"/>
      <c r="C54" s="15" t="s">
        <v>39</v>
      </c>
      <c r="D54" s="15" t="s">
        <v>91</v>
      </c>
      <c r="E54" s="19" t="s">
        <v>92</v>
      </c>
      <c r="F54" s="18">
        <v>90</v>
      </c>
      <c r="G54" s="18">
        <f>F54*Kurallar!$B$4</f>
        <v>90</v>
      </c>
      <c r="H54" s="18">
        <f t="shared" si="8"/>
        <v>2700</v>
      </c>
      <c r="I54" s="15">
        <v>30</v>
      </c>
      <c r="J54" s="15" t="s">
        <v>18</v>
      </c>
      <c r="K54" s="15" t="s">
        <v>42</v>
      </c>
      <c r="L54" s="18">
        <f t="shared" si="9"/>
        <v>2700</v>
      </c>
      <c r="M54" s="15" t="s">
        <v>39</v>
      </c>
      <c r="N54" s="15"/>
      <c r="O54" s="15"/>
    </row>
    <row r="55" spans="1:15" x14ac:dyDescent="0.25">
      <c r="A55" s="15">
        <v>3</v>
      </c>
      <c r="B55" s="15"/>
      <c r="C55" s="15" t="s">
        <v>45</v>
      </c>
      <c r="D55" s="15" t="s">
        <v>51</v>
      </c>
      <c r="E55" s="19" t="s">
        <v>93</v>
      </c>
      <c r="F55" s="18">
        <v>144</v>
      </c>
      <c r="G55" s="18">
        <f>F55*Kurallar!$B$4</f>
        <v>144</v>
      </c>
      <c r="H55" s="18">
        <f t="shared" si="8"/>
        <v>8640</v>
      </c>
      <c r="I55" s="15">
        <v>60</v>
      </c>
      <c r="J55" s="15" t="s">
        <v>48</v>
      </c>
      <c r="K55" s="15" t="s">
        <v>42</v>
      </c>
      <c r="L55" s="18">
        <f t="shared" si="9"/>
        <v>8640</v>
      </c>
      <c r="M55" s="15" t="s">
        <v>45</v>
      </c>
      <c r="N55" s="15"/>
      <c r="O55" s="15"/>
    </row>
    <row r="56" spans="1:15" x14ac:dyDescent="0.25">
      <c r="A56" s="15">
        <v>3</v>
      </c>
      <c r="B56" s="15"/>
      <c r="C56" s="15" t="s">
        <v>45</v>
      </c>
      <c r="D56" s="15" t="s">
        <v>94</v>
      </c>
      <c r="E56" s="19" t="s">
        <v>95</v>
      </c>
      <c r="F56" s="18">
        <v>242</v>
      </c>
      <c r="G56" s="18">
        <f>F56*Kurallar!$B$4</f>
        <v>242</v>
      </c>
      <c r="H56" s="18">
        <f t="shared" si="8"/>
        <v>9680</v>
      </c>
      <c r="I56" s="15">
        <v>40</v>
      </c>
      <c r="J56" s="15" t="s">
        <v>48</v>
      </c>
      <c r="K56" s="15" t="s">
        <v>42</v>
      </c>
      <c r="L56" s="18">
        <f t="shared" si="9"/>
        <v>9680</v>
      </c>
      <c r="M56" s="15" t="s">
        <v>45</v>
      </c>
      <c r="N56" s="15"/>
      <c r="O56" s="15"/>
    </row>
    <row r="57" spans="1:15" x14ac:dyDescent="0.25">
      <c r="A57" s="15">
        <v>3</v>
      </c>
      <c r="B57" s="15"/>
      <c r="C57" s="15" t="s">
        <v>56</v>
      </c>
      <c r="D57" s="15"/>
      <c r="E57" s="19" t="s">
        <v>57</v>
      </c>
      <c r="F57" s="18"/>
      <c r="G57" s="18">
        <f>SUM(H44:H56)*Kurallar!$B$6</f>
        <v>2878.9619999999995</v>
      </c>
      <c r="H57" s="18">
        <f t="shared" si="8"/>
        <v>2878.9619999999995</v>
      </c>
      <c r="I57" s="15">
        <v>1</v>
      </c>
      <c r="J57" s="15" t="s">
        <v>17</v>
      </c>
      <c r="K57" s="15" t="s">
        <v>58</v>
      </c>
      <c r="L57" s="18">
        <f t="shared" si="9"/>
        <v>2878.9619999999995</v>
      </c>
      <c r="M57" s="15" t="s">
        <v>56</v>
      </c>
      <c r="N57" s="15"/>
      <c r="O57" s="15"/>
    </row>
    <row r="58" spans="1:15" x14ac:dyDescent="0.25">
      <c r="A58" s="15">
        <v>3</v>
      </c>
      <c r="B58" s="15"/>
      <c r="C58" s="15" t="s">
        <v>59</v>
      </c>
      <c r="D58" s="15"/>
      <c r="E58" s="19" t="s">
        <v>96</v>
      </c>
      <c r="F58" s="18">
        <f>I58/60</f>
        <v>8</v>
      </c>
      <c r="G58" s="18">
        <f>Kurallar!$B$7</f>
        <v>100</v>
      </c>
      <c r="H58" s="18">
        <f t="shared" si="8"/>
        <v>48000</v>
      </c>
      <c r="I58" s="15">
        <v>480</v>
      </c>
      <c r="J58" s="15" t="s">
        <v>61</v>
      </c>
      <c r="K58" s="15" t="s">
        <v>58</v>
      </c>
      <c r="L58" s="18">
        <f t="shared" si="9"/>
        <v>48000</v>
      </c>
      <c r="M58" s="15" t="s">
        <v>59</v>
      </c>
      <c r="N58" s="15"/>
      <c r="O58" s="15"/>
    </row>
    <row r="59" spans="1:15" x14ac:dyDescent="0.25">
      <c r="A59" s="20"/>
      <c r="B59" s="20" t="s">
        <v>97</v>
      </c>
      <c r="C59" s="20"/>
      <c r="D59" s="20"/>
      <c r="E59" s="21" t="s">
        <v>62</v>
      </c>
      <c r="F59" s="22"/>
      <c r="G59" s="22"/>
      <c r="H59" s="22">
        <f>SUBTOTAL(9,H44:H58)</f>
        <v>146844.36199999999</v>
      </c>
      <c r="I59" s="20">
        <v>1</v>
      </c>
      <c r="J59" s="20" t="s">
        <v>17</v>
      </c>
      <c r="K59" s="20"/>
      <c r="L59" s="22">
        <f>SUBTOTAL(9,L44:L58)</f>
        <v>146844.36199999999</v>
      </c>
      <c r="M59" s="20"/>
      <c r="N59" s="20"/>
      <c r="O59" s="20"/>
    </row>
    <row r="60" spans="1:15" x14ac:dyDescent="0.25">
      <c r="A60" s="11">
        <v>5</v>
      </c>
      <c r="B60" s="12" t="s">
        <v>106</v>
      </c>
      <c r="C60" s="11" t="s">
        <v>16</v>
      </c>
      <c r="D60" s="11"/>
      <c r="E60" s="13" t="s">
        <v>106</v>
      </c>
      <c r="F60" s="14"/>
      <c r="G60" s="14"/>
      <c r="H60" s="14"/>
      <c r="I60" s="11">
        <v>1</v>
      </c>
      <c r="J60" s="11" t="s">
        <v>17</v>
      </c>
      <c r="K60" s="11"/>
      <c r="L60" s="14"/>
      <c r="M60" s="11"/>
      <c r="N60" s="11"/>
      <c r="O60" s="11"/>
    </row>
    <row r="61" spans="1:15" x14ac:dyDescent="0.25">
      <c r="A61" s="15">
        <v>5</v>
      </c>
      <c r="B61" s="15"/>
      <c r="C61" s="15" t="s">
        <v>20</v>
      </c>
      <c r="D61" s="15" t="s">
        <v>107</v>
      </c>
      <c r="E61" s="19" t="s">
        <v>108</v>
      </c>
      <c r="F61" s="18">
        <v>21863</v>
      </c>
      <c r="G61" s="18">
        <f>F61*Kurallar!$B$4</f>
        <v>21863</v>
      </c>
      <c r="H61" s="18">
        <f>G61*I61</f>
        <v>21863</v>
      </c>
      <c r="I61" s="15">
        <v>1</v>
      </c>
      <c r="J61" s="15" t="s">
        <v>18</v>
      </c>
      <c r="K61" s="15" t="s">
        <v>42</v>
      </c>
      <c r="L61" s="18">
        <f>H61*$I$60</f>
        <v>21863</v>
      </c>
      <c r="M61" s="15" t="s">
        <v>20</v>
      </c>
      <c r="N61" s="15"/>
      <c r="O61" s="15"/>
    </row>
    <row r="62" spans="1:15" x14ac:dyDescent="0.25">
      <c r="A62" s="15">
        <v>5</v>
      </c>
      <c r="B62" s="15"/>
      <c r="C62" s="15" t="s">
        <v>56</v>
      </c>
      <c r="D62" s="15"/>
      <c r="E62" s="19" t="s">
        <v>57</v>
      </c>
      <c r="F62" s="18"/>
      <c r="G62" s="18">
        <f>SUM(H61:H61)*Kurallar!$B$6</f>
        <v>655.89</v>
      </c>
      <c r="H62" s="18">
        <f>G62*I62</f>
        <v>655.89</v>
      </c>
      <c r="I62" s="15">
        <v>1</v>
      </c>
      <c r="J62" s="15" t="s">
        <v>17</v>
      </c>
      <c r="K62" s="15" t="s">
        <v>58</v>
      </c>
      <c r="L62" s="18">
        <f>H62*$I$60</f>
        <v>655.89</v>
      </c>
      <c r="M62" s="15" t="s">
        <v>56</v>
      </c>
      <c r="N62" s="15"/>
      <c r="O62" s="15"/>
    </row>
    <row r="63" spans="1:15" x14ac:dyDescent="0.25">
      <c r="A63" s="15">
        <v>5</v>
      </c>
      <c r="B63" s="15"/>
      <c r="C63" s="15" t="s">
        <v>59</v>
      </c>
      <c r="D63" s="15"/>
      <c r="E63" s="19" t="s">
        <v>109</v>
      </c>
      <c r="F63" s="18">
        <f>I63/60</f>
        <v>0.5</v>
      </c>
      <c r="G63" s="18">
        <f>Kurallar!$B$7</f>
        <v>100</v>
      </c>
      <c r="H63" s="18">
        <f>G63*I63</f>
        <v>3000</v>
      </c>
      <c r="I63" s="15">
        <v>30</v>
      </c>
      <c r="J63" s="15" t="s">
        <v>61</v>
      </c>
      <c r="K63" s="15" t="s">
        <v>58</v>
      </c>
      <c r="L63" s="18">
        <f>H63*$I$60</f>
        <v>3000</v>
      </c>
      <c r="M63" s="15" t="s">
        <v>59</v>
      </c>
      <c r="N63" s="15"/>
      <c r="O63" s="15"/>
    </row>
    <row r="64" spans="1:15" x14ac:dyDescent="0.25">
      <c r="A64" s="20"/>
      <c r="B64" s="20" t="s">
        <v>110</v>
      </c>
      <c r="C64" s="20"/>
      <c r="D64" s="20"/>
      <c r="E64" s="21" t="s">
        <v>62</v>
      </c>
      <c r="F64" s="22"/>
      <c r="G64" s="22"/>
      <c r="H64" s="22">
        <f>SUBTOTAL(9,H61:H63)</f>
        <v>25518.89</v>
      </c>
      <c r="I64" s="20">
        <v>1</v>
      </c>
      <c r="J64" s="20" t="s">
        <v>17</v>
      </c>
      <c r="K64" s="20"/>
      <c r="L64" s="22">
        <f>SUBTOTAL(9,L61:L63)</f>
        <v>25518.89</v>
      </c>
      <c r="M64" s="20"/>
      <c r="N64" s="20"/>
      <c r="O64" s="20"/>
    </row>
    <row r="65" spans="1:15" x14ac:dyDescent="0.25">
      <c r="A65" s="23"/>
      <c r="B65" s="20" t="s">
        <v>111</v>
      </c>
      <c r="C65" s="23"/>
      <c r="D65" s="23"/>
      <c r="E65" s="24"/>
      <c r="F65" s="25"/>
      <c r="G65" s="25"/>
      <c r="H65" s="25"/>
      <c r="I65" s="23"/>
      <c r="J65" s="23"/>
      <c r="K65" s="23"/>
      <c r="L65" s="22">
        <f>SUBTOTAL(9,L20:L64)</f>
        <v>2516009.83</v>
      </c>
      <c r="M65" s="23"/>
      <c r="N65" s="23"/>
      <c r="O65" s="23"/>
    </row>
  </sheetData>
  <autoFilter ref="A4:O64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Normal="100" workbookViewId="0">
      <selection activeCell="G4" sqref="G4:G7"/>
    </sheetView>
  </sheetViews>
  <sheetFormatPr defaultColWidth="8.7109375" defaultRowHeight="15" x14ac:dyDescent="0.25"/>
  <cols>
    <col min="1" max="1" width="6" customWidth="1"/>
    <col min="2" max="2" width="58" customWidth="1"/>
    <col min="3" max="3" width="12" customWidth="1"/>
    <col min="4" max="5" width="20" customWidth="1"/>
    <col min="6" max="6" width="14" customWidth="1"/>
  </cols>
  <sheetData>
    <row r="1" spans="1:7" ht="15.75" x14ac:dyDescent="0.25">
      <c r="A1" s="1" t="s">
        <v>112</v>
      </c>
    </row>
    <row r="3" spans="1:7" x14ac:dyDescent="0.25">
      <c r="A3" s="5" t="s">
        <v>113</v>
      </c>
      <c r="B3" s="5" t="s">
        <v>114</v>
      </c>
      <c r="C3" s="5" t="s">
        <v>115</v>
      </c>
      <c r="D3" s="6" t="s">
        <v>116</v>
      </c>
      <c r="E3" s="6" t="s">
        <v>117</v>
      </c>
      <c r="F3" s="5" t="s">
        <v>118</v>
      </c>
    </row>
    <row r="4" spans="1:7" x14ac:dyDescent="0.25">
      <c r="A4" s="3">
        <v>1</v>
      </c>
      <c r="B4" s="30" t="s">
        <v>191</v>
      </c>
      <c r="C4" s="3">
        <v>1</v>
      </c>
      <c r="D4" s="4">
        <f>BOM!H42</f>
        <v>2343646.5779999997</v>
      </c>
      <c r="E4" s="4">
        <f>BOM!L42</f>
        <v>2343646.5779999997</v>
      </c>
      <c r="F4" s="3">
        <v>1330</v>
      </c>
      <c r="G4">
        <f>2.3*D4</f>
        <v>5390387.129399999</v>
      </c>
    </row>
    <row r="5" spans="1:7" x14ac:dyDescent="0.25">
      <c r="A5" s="3">
        <v>3</v>
      </c>
      <c r="B5" s="3" t="s">
        <v>66</v>
      </c>
      <c r="C5" s="3">
        <v>1</v>
      </c>
      <c r="D5" s="4">
        <f>BOM!H59</f>
        <v>146844.36199999999</v>
      </c>
      <c r="E5" s="4">
        <f>BOM!L59</f>
        <v>146844.36199999999</v>
      </c>
      <c r="F5" s="3">
        <v>480</v>
      </c>
      <c r="G5">
        <f t="shared" ref="G5:G7" si="0">2.3*D5</f>
        <v>337742.03259999998</v>
      </c>
    </row>
    <row r="6" spans="1:7" x14ac:dyDescent="0.25">
      <c r="A6" s="3">
        <v>4</v>
      </c>
      <c r="B6" s="3" t="s">
        <v>98</v>
      </c>
      <c r="C6" s="3">
        <v>1</v>
      </c>
      <c r="D6" s="4">
        <f>BOM!H19</f>
        <v>825065.52600000007</v>
      </c>
      <c r="E6" s="4">
        <f>BOM!L19</f>
        <v>825065.52600000007</v>
      </c>
      <c r="F6" s="3">
        <v>690</v>
      </c>
      <c r="G6">
        <f t="shared" si="0"/>
        <v>1897650.7098000001</v>
      </c>
    </row>
    <row r="7" spans="1:7" x14ac:dyDescent="0.25">
      <c r="A7" s="3">
        <v>5</v>
      </c>
      <c r="B7" s="3" t="s">
        <v>106</v>
      </c>
      <c r="C7" s="3">
        <v>1</v>
      </c>
      <c r="D7" s="4">
        <v>25000</v>
      </c>
      <c r="E7" s="4">
        <f>D7*C7</f>
        <v>25000</v>
      </c>
      <c r="F7" s="3">
        <v>30</v>
      </c>
      <c r="G7">
        <f t="shared" si="0"/>
        <v>57499.999999999993</v>
      </c>
    </row>
    <row r="8" spans="1:7" x14ac:dyDescent="0.25">
      <c r="A8" s="3"/>
      <c r="B8" s="7" t="s">
        <v>119</v>
      </c>
      <c r="C8" s="3"/>
      <c r="D8" s="4"/>
      <c r="E8" s="8">
        <f>SUM(E4:E7)</f>
        <v>3340556.466</v>
      </c>
      <c r="F8" s="7">
        <f>SUM(F4:F7)</f>
        <v>2530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4"/>
  <sheetViews>
    <sheetView zoomScaleNormal="100" workbookViewId="0"/>
  </sheetViews>
  <sheetFormatPr defaultColWidth="8.7109375" defaultRowHeight="15" x14ac:dyDescent="0.25"/>
  <cols>
    <col min="1" max="1" width="190" customWidth="1"/>
    <col min="2" max="2" width="14" customWidth="1"/>
  </cols>
  <sheetData>
    <row r="1" spans="1:2" ht="15.75" x14ac:dyDescent="0.25">
      <c r="A1" s="1" t="s">
        <v>120</v>
      </c>
    </row>
    <row r="2" spans="1:2" x14ac:dyDescent="0.25">
      <c r="A2" s="3" t="s">
        <v>121</v>
      </c>
      <c r="B2" s="9">
        <v>0.6</v>
      </c>
    </row>
    <row r="3" spans="1:2" x14ac:dyDescent="0.25">
      <c r="A3" s="3" t="s">
        <v>122</v>
      </c>
      <c r="B3" s="9">
        <v>1</v>
      </c>
    </row>
    <row r="4" spans="1:2" x14ac:dyDescent="0.25">
      <c r="A4" s="3" t="s">
        <v>123</v>
      </c>
      <c r="B4" s="9">
        <v>1</v>
      </c>
    </row>
    <row r="5" spans="1:2" x14ac:dyDescent="0.25">
      <c r="A5" s="3" t="s">
        <v>124</v>
      </c>
      <c r="B5" s="9">
        <v>1</v>
      </c>
    </row>
    <row r="6" spans="1:2" x14ac:dyDescent="0.25">
      <c r="A6" s="3" t="s">
        <v>125</v>
      </c>
      <c r="B6" s="9">
        <v>0.03</v>
      </c>
    </row>
    <row r="7" spans="1:2" x14ac:dyDescent="0.25">
      <c r="A7" s="3" t="s">
        <v>126</v>
      </c>
      <c r="B7" s="9">
        <v>100</v>
      </c>
    </row>
    <row r="8" spans="1:2" x14ac:dyDescent="0.25">
      <c r="A8" s="3" t="s">
        <v>127</v>
      </c>
      <c r="B8" s="9">
        <v>1.1499999999999999</v>
      </c>
    </row>
    <row r="9" spans="1:2" x14ac:dyDescent="0.25">
      <c r="A9" s="3" t="s">
        <v>128</v>
      </c>
      <c r="B9" s="9">
        <v>0.08</v>
      </c>
    </row>
    <row r="10" spans="1:2" x14ac:dyDescent="0.25">
      <c r="A10" s="3" t="s">
        <v>129</v>
      </c>
      <c r="B10" s="9">
        <v>0.15</v>
      </c>
    </row>
    <row r="11" spans="1:2" x14ac:dyDescent="0.25">
      <c r="A11" s="3" t="s">
        <v>130</v>
      </c>
      <c r="B11" s="9">
        <v>0.12</v>
      </c>
    </row>
    <row r="13" spans="1:2" x14ac:dyDescent="0.25">
      <c r="A13" s="7" t="s">
        <v>131</v>
      </c>
    </row>
    <row r="14" spans="1:2" x14ac:dyDescent="0.25">
      <c r="A14" s="3" t="s">
        <v>132</v>
      </c>
    </row>
    <row r="15" spans="1:2" x14ac:dyDescent="0.25">
      <c r="A15" s="3" t="s">
        <v>133</v>
      </c>
    </row>
    <row r="16" spans="1:2" x14ac:dyDescent="0.25">
      <c r="A16" s="3" t="s">
        <v>134</v>
      </c>
    </row>
    <row r="17" spans="1:1" x14ac:dyDescent="0.25">
      <c r="A17" s="3" t="s">
        <v>135</v>
      </c>
    </row>
    <row r="19" spans="1:1" x14ac:dyDescent="0.25">
      <c r="A19" s="7" t="s">
        <v>136</v>
      </c>
    </row>
    <row r="20" spans="1:1" x14ac:dyDescent="0.25">
      <c r="A20" s="3" t="s">
        <v>137</v>
      </c>
    </row>
    <row r="21" spans="1:1" x14ac:dyDescent="0.25">
      <c r="A21" s="3" t="s">
        <v>138</v>
      </c>
    </row>
    <row r="22" spans="1:1" x14ac:dyDescent="0.25">
      <c r="A22" s="3" t="s">
        <v>139</v>
      </c>
    </row>
    <row r="23" spans="1:1" x14ac:dyDescent="0.25">
      <c r="A23" s="3" t="s">
        <v>140</v>
      </c>
    </row>
    <row r="25" spans="1:1" x14ac:dyDescent="0.25">
      <c r="A25" s="7" t="s">
        <v>141</v>
      </c>
    </row>
    <row r="26" spans="1:1" x14ac:dyDescent="0.25">
      <c r="A26" s="3" t="s">
        <v>142</v>
      </c>
    </row>
    <row r="27" spans="1:1" x14ac:dyDescent="0.25">
      <c r="A27" s="3" t="s">
        <v>143</v>
      </c>
    </row>
    <row r="28" spans="1:1" x14ac:dyDescent="0.25">
      <c r="A28" s="3" t="s">
        <v>144</v>
      </c>
    </row>
    <row r="29" spans="1:1" x14ac:dyDescent="0.25">
      <c r="A29" s="3" t="s">
        <v>145</v>
      </c>
    </row>
    <row r="30" spans="1:1" x14ac:dyDescent="0.25">
      <c r="A30" s="3" t="s">
        <v>146</v>
      </c>
    </row>
    <row r="32" spans="1:1" x14ac:dyDescent="0.25">
      <c r="A32" s="7" t="s">
        <v>147</v>
      </c>
    </row>
    <row r="33" spans="1:1" x14ac:dyDescent="0.25">
      <c r="A33" s="3" t="s">
        <v>148</v>
      </c>
    </row>
    <row r="34" spans="1:1" x14ac:dyDescent="0.25">
      <c r="A34" s="3" t="s">
        <v>149</v>
      </c>
    </row>
    <row r="35" spans="1:1" x14ac:dyDescent="0.25">
      <c r="A35" s="3" t="s">
        <v>150</v>
      </c>
    </row>
    <row r="36" spans="1:1" x14ac:dyDescent="0.25">
      <c r="A36" s="3" t="s">
        <v>151</v>
      </c>
    </row>
    <row r="37" spans="1:1" x14ac:dyDescent="0.25">
      <c r="A37" s="3" t="s">
        <v>152</v>
      </c>
    </row>
    <row r="38" spans="1:1" x14ac:dyDescent="0.25">
      <c r="A38" s="3" t="s">
        <v>153</v>
      </c>
    </row>
    <row r="40" spans="1:1" x14ac:dyDescent="0.25">
      <c r="A40" s="7" t="s">
        <v>154</v>
      </c>
    </row>
    <row r="41" spans="1:1" x14ac:dyDescent="0.25">
      <c r="A41" s="3" t="s">
        <v>155</v>
      </c>
    </row>
    <row r="42" spans="1:1" x14ac:dyDescent="0.25">
      <c r="A42" s="3" t="s">
        <v>156</v>
      </c>
    </row>
    <row r="43" spans="1:1" x14ac:dyDescent="0.25">
      <c r="A43" s="3" t="s">
        <v>157</v>
      </c>
    </row>
    <row r="44" spans="1:1" x14ac:dyDescent="0.25">
      <c r="A44" s="3" t="s">
        <v>158</v>
      </c>
    </row>
    <row r="46" spans="1:1" x14ac:dyDescent="0.25">
      <c r="A46" s="7" t="s">
        <v>159</v>
      </c>
    </row>
    <row r="47" spans="1:1" x14ac:dyDescent="0.25">
      <c r="A47" s="3" t="s">
        <v>160</v>
      </c>
    </row>
    <row r="48" spans="1:1" x14ac:dyDescent="0.25">
      <c r="A48" s="3" t="s">
        <v>161</v>
      </c>
    </row>
    <row r="49" spans="1:1" x14ac:dyDescent="0.25">
      <c r="A49" s="3" t="s">
        <v>162</v>
      </c>
    </row>
    <row r="50" spans="1:1" x14ac:dyDescent="0.25">
      <c r="A50" s="3" t="s">
        <v>163</v>
      </c>
    </row>
    <row r="51" spans="1:1" x14ac:dyDescent="0.25">
      <c r="A51" s="3" t="s">
        <v>164</v>
      </c>
    </row>
    <row r="52" spans="1:1" x14ac:dyDescent="0.25">
      <c r="A52" s="3" t="s">
        <v>165</v>
      </c>
    </row>
    <row r="53" spans="1:1" x14ac:dyDescent="0.25">
      <c r="A53" s="3" t="s">
        <v>166</v>
      </c>
    </row>
    <row r="54" spans="1:1" x14ac:dyDescent="0.25">
      <c r="A54" s="3" t="s">
        <v>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2026-08-27T11:17:06Z</dcterms:created>
  <dcterms:modified xsi:type="dcterms:W3CDTF">2026-08-28T13:54:30Z</dcterms:modified>
  <dc:language>en-US</dc:language>
</cp:coreProperties>
</file>