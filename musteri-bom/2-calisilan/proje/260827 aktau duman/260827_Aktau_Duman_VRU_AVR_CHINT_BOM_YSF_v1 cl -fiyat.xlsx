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7 aktau duman\"/>
    </mc:Choice>
  </mc:AlternateContent>
  <xr:revisionPtr revIDLastSave="0" documentId="13_ncr:1_{D6BC408B-84AD-44C5-B0DC-3344728947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СВО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2" l="1"/>
  <c r="E9" i="2"/>
  <c r="E5" i="2" l="1"/>
  <c r="E6" i="2"/>
  <c r="E4" i="2"/>
  <c r="E7" i="2"/>
  <c r="E8" i="2" l="1"/>
</calcChain>
</file>

<file path=xl/sharedStrings.xml><?xml version="1.0" encoding="utf-8"?>
<sst xmlns="http://schemas.openxmlformats.org/spreadsheetml/2006/main" count="13" uniqueCount="12">
  <si>
    <t>БУО — блок автоматического управления освещением 14х16А с фотореле</t>
  </si>
  <si>
    <t>ШАВР-3-400-2(У) IP54 УХЛ3 — шкаф АВР 400А</t>
  </si>
  <si>
    <t>Ящик с понижающим трансформатором 220/36В, 250Вт</t>
  </si>
  <si>
    <t>СВОД — 260827 Aktau Duman — ВРУ-0,4кВ / АВР</t>
  </si>
  <si>
    <t>№</t>
  </si>
  <si>
    <t>Щит</t>
  </si>
  <si>
    <t>Кол-во, шт</t>
  </si>
  <si>
    <t>Сумма, ₸</t>
  </si>
  <si>
    <t>ИТОГО</t>
  </si>
  <si>
    <t>ВРУ1-11-10 УХЛ4 IP31 — вводная — распределительная панель</t>
  </si>
  <si>
    <t>Цена за ₸</t>
  </si>
  <si>
    <t>indirim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</si>
</sst>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162"/>
    </font>
    <font>
      <b/>
      <sz val="11"/>
      <color theme="1"/>
      <name val="Calibri"/>
      <family val="2"/>
      <charset val="162"/>
    </font>
    <font>
      <b/>
      <sz val="18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3" fontId="2" fillId="2" borderId="1" xfId="0" applyNumberFormat="1" applyFont="1" applyFill="1" applyBorder="1"/>
    <xf numFmtId="3" fontId="3" fillId="0" borderId="1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/>
    <xf numFmtId="3" fontId="4" fillId="0" borderId="1" xfId="0" applyNumberFormat="1" applyFont="1" applyFill="1" applyBorder="1"/>
    <xf numFmtId="3" fontId="4" fillId="3" borderId="1" xfId="0" applyNumberFormat="1" applyFont="1" applyFill="1" applyBorder="1"/>
    <xf numFmtId="3" fontId="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zoomScaleNormal="100" workbookViewId="0">
      <selection activeCell="J13" sqref="J13"/>
    </sheetView>
  </sheetViews>
  <sheetFormatPr defaultColWidth="8.7109375" defaultRowHeight="15" x14ac:dyDescent="0.25"/>
  <cols>
    <col min="1" max="1" width="6" customWidth="1"/>
    <col min="2" max="2" width="69.28515625" customWidth="1"/>
    <col min="3" max="3" width="12" customWidth="1"/>
    <col min="4" max="4" width="20" style="2" customWidth="1"/>
    <col min="5" max="5" width="30" style="2" customWidth="1"/>
  </cols>
  <sheetData>
    <row r="1" spans="1:5" ht="15.75" x14ac:dyDescent="0.25">
      <c r="A1" s="1" t="s">
        <v>3</v>
      </c>
    </row>
    <row r="3" spans="1:5" x14ac:dyDescent="0.25">
      <c r="A3" s="3" t="s">
        <v>4</v>
      </c>
      <c r="B3" s="3" t="s">
        <v>5</v>
      </c>
      <c r="C3" s="3" t="s">
        <v>6</v>
      </c>
      <c r="D3" s="7" t="s">
        <v>10</v>
      </c>
      <c r="E3" s="7" t="s">
        <v>7</v>
      </c>
    </row>
    <row r="4" spans="1:5" x14ac:dyDescent="0.25">
      <c r="A4" s="4">
        <v>1</v>
      </c>
      <c r="B4" s="4" t="s">
        <v>9</v>
      </c>
      <c r="C4" s="4">
        <v>1</v>
      </c>
      <c r="D4" s="8">
        <v>5392540.5503999991</v>
      </c>
      <c r="E4" s="8">
        <f>D4*C4</f>
        <v>5392540.5503999991</v>
      </c>
    </row>
    <row r="5" spans="1:5" x14ac:dyDescent="0.25">
      <c r="A5" s="4">
        <v>3</v>
      </c>
      <c r="B5" s="4" t="s">
        <v>0</v>
      </c>
      <c r="C5" s="4">
        <v>1</v>
      </c>
      <c r="D5" s="8">
        <v>337742.03259999998</v>
      </c>
      <c r="E5" s="8">
        <f>D5*C5</f>
        <v>337742.03259999998</v>
      </c>
    </row>
    <row r="6" spans="1:5" x14ac:dyDescent="0.25">
      <c r="A6" s="4">
        <v>4</v>
      </c>
      <c r="B6" s="4" t="s">
        <v>1</v>
      </c>
      <c r="C6" s="4">
        <v>1</v>
      </c>
      <c r="D6" s="8">
        <v>1897650.7098000001</v>
      </c>
      <c r="E6" s="8">
        <f>D6*C6</f>
        <v>1897650.7098000001</v>
      </c>
    </row>
    <row r="7" spans="1:5" x14ac:dyDescent="0.25">
      <c r="A7" s="4">
        <v>5</v>
      </c>
      <c r="B7" s="4" t="s">
        <v>2</v>
      </c>
      <c r="C7" s="4">
        <v>1</v>
      </c>
      <c r="D7" s="8">
        <v>57499.999999999993</v>
      </c>
      <c r="E7" s="8">
        <f>D7*C7</f>
        <v>57499.999999999993</v>
      </c>
    </row>
    <row r="8" spans="1:5" ht="22.5" customHeight="1" x14ac:dyDescent="0.25">
      <c r="A8" s="4"/>
      <c r="B8" s="5" t="s">
        <v>8</v>
      </c>
      <c r="C8" s="6"/>
      <c r="D8" s="9"/>
      <c r="E8" s="9">
        <f>SUM(E4:E7)</f>
        <v>7685433.292799999</v>
      </c>
    </row>
    <row r="9" spans="1:5" ht="22.5" customHeight="1" x14ac:dyDescent="0.25">
      <c r="D9" s="10" t="s">
        <v>11</v>
      </c>
      <c r="E9" s="11">
        <f>E8*0.3</f>
        <v>2305629.9878399996</v>
      </c>
    </row>
    <row r="10" spans="1:5" ht="55.5" customHeight="1" x14ac:dyDescent="0.35">
      <c r="D10" s="12" t="s">
        <v>8</v>
      </c>
      <c r="E10" s="13">
        <f>E8-E9</f>
        <v>5379803.3049599994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2026-08-27T11:17:06Z</dcterms:created>
  <dcterms:modified xsi:type="dcterms:W3CDTF">2026-08-28T13:04:56Z</dcterms:modified>
  <dc:language>en-US</dc:language>
</cp:coreProperties>
</file>