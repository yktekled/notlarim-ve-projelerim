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G:\Drive'ım\2-calisilan\proje\260910 guldana berkhayır toplayacak\"/>
    </mc:Choice>
  </mc:AlternateContent>
  <xr:revisionPtr revIDLastSave="0" documentId="13_ncr:1_{A9F10A1C-DC8C-4A33-8CC1-C3132F2FB4B8}" xr6:coauthVersionLast="47" xr6:coauthVersionMax="47" xr10:uidLastSave="{00000000-0000-0000-0000-000000000000}"/>
  <bookViews>
    <workbookView xWindow="28680" yWindow="-120" windowWidth="29040" windowHeight="15720" tabRatio="500" xr2:uid="{00000000-000D-0000-FFFF-FFFF00000000}"/>
  </bookViews>
  <sheets>
    <sheet name="TEKLIF" sheetId="4" r:id="rId1"/>
  </sheets>
  <definedNames>
    <definedName name="AL_A">#REF!</definedName>
    <definedName name="AL_KOD">#REF!</definedName>
    <definedName name="AL_MM2">#REF!</definedName>
    <definedName name="BAG_ADET_M">#REF!</definedName>
    <definedName name="BAKIM_PAY_MM">#REF!</definedName>
    <definedName name="BANKA">#REF!</definedName>
    <definedName name="BARA_DERATING">#REF!</definedName>
    <definedName name="BARA_ESIK_A">#REF!</definedName>
    <definedName name="BARA_FIRE">#REF!</definedName>
    <definedName name="BARA_MALZEME">#REF!</definedName>
    <definedName name="BIK">#REF!</definedName>
    <definedName name="BUK_ALAN">#REF!</definedName>
    <definedName name="BUK_CAP">#REF!</definedName>
    <definedName name="BUK_KESIT">#REF!</definedName>
    <definedName name="CU_A">#REF!</definedName>
    <definedName name="CU_KOD">#REF!</definedName>
    <definedName name="CU_MM2">#REF!</definedName>
    <definedName name="DK_UCRET">#REF!</definedName>
    <definedName name="EK_KURAL">#REF!</definedName>
    <definedName name="F_BK">#REF!</definedName>
    <definedName name="F_D">#REF!</definedName>
    <definedName name="F_G">#REF!</definedName>
    <definedName name="F_IN">#REF!</definedName>
    <definedName name="F_INKOR">#REF!</definedName>
    <definedName name="F_KAP">#REF!</definedName>
    <definedName name="F_KK">#REF!</definedName>
    <definedName name="F_KLN">#REF!</definedName>
    <definedName name="F_KPE">#REF!</definedName>
    <definedName name="F_KUTUP">#REF!</definedName>
    <definedName name="F_MODUL">#REF!</definedName>
    <definedName name="F_PAKET">#REF!</definedName>
    <definedName name="F_TEL">#REF!</definedName>
    <definedName name="F_TELM">#REF!</definedName>
    <definedName name="F_UC">#REF!</definedName>
    <definedName name="F_Y">#REF!</definedName>
    <definedName name="FA">#REF!</definedName>
    <definedName name="FA_ANA">#REF!</definedName>
    <definedName name="FIRMA">#REF!</definedName>
    <definedName name="FIRMA_ADRES">#REF!</definedName>
    <definedName name="FIRMA_BIN">#REF!</definedName>
    <definedName name="FIRMA_EMAIL">#REF!</definedName>
    <definedName name="FIRMA_TAM">#REF!</definedName>
    <definedName name="FIRMA_TEL">#REF!</definedName>
    <definedName name="FIYAT_AD">#REF!</definedName>
    <definedName name="FIYAT_BIRIM">#REF!</definedName>
    <definedName name="FIYAT_DURUM">#REF!</definedName>
    <definedName name="FIYAT_ID">#REF!</definedName>
    <definedName name="FIYAT_LISTE">#REF!</definedName>
    <definedName name="FIYAT_MARKA">#REF!</definedName>
    <definedName name="FIYAT_NET">#REF!</definedName>
    <definedName name="GARANTI">#REF!</definedName>
    <definedName name="GECERLILIK">#REF!</definedName>
    <definedName name="GUN_SAAT">#REF!</definedName>
    <definedName name="HAZIRLAYAN">#REF!</definedName>
    <definedName name="ICERIK_AD">#REF!</definedName>
    <definedName name="ICERIK_IZIN">#REF!</definedName>
    <definedName name="IIK">#REF!</definedName>
    <definedName name="IMZA_UNVAN">#REF!</definedName>
    <definedName name="IMZALAYAN">#REF!</definedName>
    <definedName name="ISCILIK_KAT">#REF!</definedName>
    <definedName name="ISKONTO">#REF!</definedName>
    <definedName name="IZOLATOR_ARALIK_M">#REF!</definedName>
    <definedName name="KABLO_FIRE">#REF!</definedName>
    <definedName name="KABLO_IN_ALT">#REF!</definedName>
    <definedName name="KABLO_KESIT">#REF!</definedName>
    <definedName name="KABLO_MAX_IN">#REF!</definedName>
    <definedName name="KANAL_DOLULUK_MAX">#REF!</definedName>
    <definedName name="KANAL_FIRE">#REF!</definedName>
    <definedName name="KAPANIS">#REF!</definedName>
    <definedName name="KAPI_ARKA_PAY_MM">#REF!</definedName>
    <definedName name="KAPI_TOPRAK_M">#REF!</definedName>
    <definedName name="KAR_ORANI">#REF!</definedName>
    <definedName name="KAYNAK_DOSYA">#REF!</definedName>
    <definedName name="KAYNAK_KOD">#REF!</definedName>
    <definedName name="KAYNAK_TARIH">#REF!</definedName>
    <definedName name="KLEMENS_ALT">#REF!</definedName>
    <definedName name="KLEMENS_GEN">#REF!</definedName>
    <definedName name="KLEMENS_KES">#REF!</definedName>
    <definedName name="KLEMENS_MAX_KESIT">#REF!</definedName>
    <definedName name="KLEMENS_YEDEK">#REF!</definedName>
    <definedName name="KOD">#REF!</definedName>
    <definedName name="KORPUS_IC_PAY_MM">#REF!</definedName>
    <definedName name="KORPUS_YEDEK">#REF!</definedName>
    <definedName name="KT_DURUM">#REF!</definedName>
    <definedName name="KUMANDA_KESIT">#REF!</definedName>
    <definedName name="KUR_AD">#REF!</definedName>
    <definedName name="KUR_DEG">#REF!</definedName>
    <definedName name="L_AD">#REF!</definedName>
    <definedName name="L_ART">#REF!</definedName>
    <definedName name="L_BIRIM">#REF!</definedName>
    <definedName name="L_D">#REF!</definedName>
    <definedName name="L_G">#REF!</definedName>
    <definedName name="L_IN">#REF!</definedName>
    <definedName name="L_KAP">#REF!</definedName>
    <definedName name="L_KAYNAK">#REF!</definedName>
    <definedName name="L_KESIT">#REF!</definedName>
    <definedName name="L_KUTUP">#REF!</definedName>
    <definedName name="L_LISTE">#REF!</definedName>
    <definedName name="L_MARKA">#REF!</definedName>
    <definedName name="L_MODUL">#REF!</definedName>
    <definedName name="L_PAKET">#REF!</definedName>
    <definedName name="L_SINIF">#REF!</definedName>
    <definedName name="L_TIP">#REF!</definedName>
    <definedName name="L_Y">#REF!</definedName>
    <definedName name="MARKA_AD">#REF!</definedName>
    <definedName name="MARKA_IZIN">#REF!</definedName>
    <definedName name="MARKA_KAT">#REF!</definedName>
    <definedName name="MARKA_NOT">#REF!</definedName>
    <definedName name="MARKA_PARA">#REF!</definedName>
    <definedName name="MODUL_MM">#REF!</definedName>
    <definedName name="MONTAJ_MALZ_KAT">#REF!</definedName>
    <definedName name="MONTAJ_PLAKA_PAY_MM">#REF!</definedName>
    <definedName name="MUSTERI">#REF!</definedName>
    <definedName name="MUSTERI_ADRES">#REF!</definedName>
    <definedName name="MUSTERI_EMAIL">#REF!</definedName>
    <definedName name="MUSTERI_KISI">#REF!</definedName>
    <definedName name="MUSTERI_MOBIL">#REF!</definedName>
    <definedName name="MUSTERI_TEL">#REF!</definedName>
    <definedName name="NDS_ORANI">#REF!</definedName>
    <definedName name="NORM_DK">#REF!</definedName>
    <definedName name="ODEME">#REF!</definedName>
    <definedName name="OK_FIYATSIZ">#REF!</definedName>
    <definedName name="OK_OTO">#REF!</definedName>
    <definedName name="OK_PANO">#REF!</definedName>
    <definedName name="OK_YERLESIM">#REF!</definedName>
    <definedName name="OLCU_KESIT">#REF!</definedName>
    <definedName name="OZ_KONTROL">#REF!</definedName>
    <definedName name="OZ_MALIYET">#REF!</definedName>
    <definedName name="OZ_TEKLIF">#REF!</definedName>
    <definedName name="PABUC_FIRE">#REF!</definedName>
    <definedName name="PANO_EK">#REF!</definedName>
    <definedName name="PROJE">#REF!</definedName>
    <definedName name="PROJE_NOT">#REF!</definedName>
    <definedName name="SALT_MARKA">#REF!</definedName>
    <definedName name="SARF_BAG">#REF!</definedName>
    <definedName name="SARF_IZOLATOR">#REF!</definedName>
    <definedName name="SARF_KABLO">#REF!</definedName>
    <definedName name="SARF_KESIT">#REF!</definedName>
    <definedName name="SARF_KLN">#REF!</definedName>
    <definedName name="SARF_KPE">#REF!</definedName>
    <definedName name="SARF_PABUC">#REF!</definedName>
    <definedName name="SARF_STOPOR">#REF!</definedName>
    <definedName name="SARF_YUKSUK">#REF!</definedName>
    <definedName name="SARF_ZAGL">#REF!</definedName>
    <definedName name="SEHIR">#REF!</definedName>
    <definedName name="SERTIFIKAT">#REF!</definedName>
    <definedName name="SNI_DELIK">#REF!</definedName>
    <definedName name="SNI_KOD">#REF!</definedName>
    <definedName name="TARIH">#REF!</definedName>
    <definedName name="TEKLIF_NO">#REF!</definedName>
    <definedName name="TESLIM">#REF!</definedName>
    <definedName name="TESLIM_YERI">#REF!</definedName>
    <definedName name="TIP_AD">#REF!</definedName>
    <definedName name="TIP_BOSLUK">#REF!</definedName>
    <definedName name="TIP_GRUP">#REF!</definedName>
    <definedName name="TIP_KAT">#REF!</definedName>
    <definedName name="TIP_PABUC">#REF!</definedName>
    <definedName name="TIP_SIRA">#REF!</definedName>
    <definedName name="TIP_TEL">#REF!</definedName>
    <definedName name="TIP_TELM">#REF!</definedName>
    <definedName name="URETICI">#REF!</definedName>
    <definedName name="USER_ACK">#REF!</definedName>
    <definedName name="USER_DEG">#REF!</definedName>
    <definedName name="USER_KOD">#REF!</definedName>
    <definedName name="UST_ALT_PAY_MM">#REF!</definedName>
    <definedName name="YAS_ESKI_AY">#REF!</definedName>
    <definedName name="YAS_YASAK_AY">#REF!</definedName>
    <definedName name="_xlnm.Print_Area" localSheetId="0">TEKLIF!$A$1:$H$49</definedName>
    <definedName name="YUKSUK_FIR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34" i="4" l="1"/>
  <c r="J34" i="4" s="1"/>
  <c r="I33" i="4"/>
  <c r="I32" i="4"/>
  <c r="I31" i="4"/>
  <c r="I30" i="4"/>
  <c r="J30" i="4" s="1"/>
  <c r="I29" i="4"/>
  <c r="J29" i="4" s="1"/>
  <c r="I28" i="4"/>
  <c r="J28" i="4" s="1"/>
  <c r="I27" i="4"/>
  <c r="J27" i="4" s="1"/>
  <c r="I25" i="4"/>
  <c r="J31" i="4" l="1"/>
  <c r="J32" i="4"/>
  <c r="J33" i="4"/>
  <c r="I24" i="4" l="1"/>
  <c r="I18" i="4"/>
  <c r="I20" i="4" l="1"/>
  <c r="I23" i="4"/>
  <c r="I21" i="4"/>
  <c r="I19" i="4"/>
  <c r="I22" i="4"/>
  <c r="I17" i="4" l="1"/>
  <c r="J18" i="4"/>
  <c r="J24" i="4"/>
  <c r="J20" i="4"/>
  <c r="I16" i="4" l="1"/>
  <c r="K24" i="4"/>
  <c r="G24" i="4"/>
  <c r="K18" i="4"/>
  <c r="G18" i="4"/>
  <c r="K20" i="4"/>
  <c r="G20" i="4"/>
  <c r="J19" i="4"/>
  <c r="J23" i="4"/>
  <c r="J21" i="4"/>
  <c r="J22" i="4"/>
  <c r="G19" i="4" l="1"/>
  <c r="K19" i="4"/>
  <c r="K21" i="4"/>
  <c r="G21" i="4"/>
  <c r="K23" i="4"/>
  <c r="G23" i="4"/>
  <c r="K22" i="4"/>
  <c r="G22" i="4"/>
  <c r="J17" i="4"/>
  <c r="J16" i="4" l="1"/>
  <c r="K16" i="4" s="1"/>
  <c r="G17" i="4"/>
  <c r="K17" i="4"/>
  <c r="K25" i="4" l="1"/>
  <c r="G16" i="4" l="1"/>
  <c r="G25" i="4" s="1"/>
</calcChain>
</file>

<file path=xl/sharedStrings.xml><?xml version="1.0" encoding="utf-8"?>
<sst xmlns="http://schemas.openxmlformats.org/spreadsheetml/2006/main" count="74" uniqueCount="53">
  <si>
    <t>1ЩУ (260923 guldana)</t>
  </si>
  <si>
    <t>БАУО (260923 guldana)</t>
  </si>
  <si>
    <t>ЩЭ (ЩЭ-2.1…ЩЭ-5.1) (260923 guldana)</t>
  </si>
  <si>
    <t>ЩК (ЩК-2.1…ЩК-5.4) (260923 guldana)</t>
  </si>
  <si>
    <t>ЩС-АОС (260923 guldana)</t>
  </si>
  <si>
    <t>1ЩО (260923 guldana)</t>
  </si>
  <si>
    <t>1ЩАО (260923 guldana)</t>
  </si>
  <si>
    <t>BATIS ALYANS</t>
  </si>
  <si>
    <t>ЖК по пр. Махамбет №66, Жилой дом Блок №1</t>
  </si>
  <si>
    <t>ТОО "TEK LED"</t>
  </si>
  <si>
    <t>Директор</t>
  </si>
  <si>
    <t>Berkhayr</t>
  </si>
  <si>
    <t>Название банка</t>
  </si>
  <si>
    <t>ИИК</t>
  </si>
  <si>
    <t>БИК</t>
  </si>
  <si>
    <t>КОММЕРЧЕСКОЕ ПРЕДЛОЖЕНИЕ</t>
  </si>
  <si>
    <t>Исх.№</t>
  </si>
  <si>
    <t>Кому :</t>
  </si>
  <si>
    <t>Дата:</t>
  </si>
  <si>
    <t>Адрес :</t>
  </si>
  <si>
    <t>Объект :</t>
  </si>
  <si>
    <t>Контактное лицо :</t>
  </si>
  <si>
    <t>Рабочий :</t>
  </si>
  <si>
    <t>Мобильный :</t>
  </si>
  <si>
    <t>Эл. почта :</t>
  </si>
  <si>
    <t>№</t>
  </si>
  <si>
    <t>Изображение</t>
  </si>
  <si>
    <t>Наименование товара</t>
  </si>
  <si>
    <t>Кол-во</t>
  </si>
  <si>
    <t>Ед.</t>
  </si>
  <si>
    <t>Цена с НДС</t>
  </si>
  <si>
    <t>Сумма</t>
  </si>
  <si>
    <t>Срок поставки товара</t>
  </si>
  <si>
    <t>iç kontrol (yazdırılmaz)</t>
  </si>
  <si>
    <t>birim без НДС</t>
  </si>
  <si>
    <t>tutar без НДС</t>
  </si>
  <si>
    <t>компл.</t>
  </si>
  <si>
    <t>Сумма:</t>
  </si>
  <si>
    <t>С уважением</t>
  </si>
  <si>
    <t>Адрес</t>
  </si>
  <si>
    <t>Исполнитель:</t>
  </si>
  <si>
    <t>Телефон</t>
  </si>
  <si>
    <t>Эл. почта</t>
  </si>
  <si>
    <t>1ВРУ (ВРУ1-28-63УХЛ4) (260923 guldana)</t>
  </si>
  <si>
    <t>2ВРУ (ВРУ1М-21-10УХЛ4)(260923 guldana)</t>
  </si>
  <si>
    <t/>
  </si>
  <si>
    <t>1) Срок действия ценового предложения 5 рабочих дней.</t>
  </si>
  <si>
    <t>2) Условия оплаты: 70+30%.</t>
  </si>
  <si>
    <t>3) В щитах с системой сборных шин применяются алюминиевые (Al) шины.</t>
  </si>
  <si>
    <t>4) Коммутационная аппаратура (автоматические выключатели, рубильники, контакторы и др.): CHINT.</t>
  </si>
  <si>
    <t>5) У компании есть сертификат отечественного производителя «Сертификат CT-KZ», международные сертификаты и сертификат ISO 9001-2015.</t>
  </si>
  <si>
    <t xml:space="preserve">:   </t>
  </si>
  <si>
    <t>:   yusuf.kaplan@tekled.com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</si>
</sst>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dd\.mm\.yyyy"/>
    <numFmt numFmtId="167" formatCode="#,##0.00&quot; KZT&quot;"/>
  </numFmts>
  <fonts count="11" x14ac:knownFonts="1">
    <font>
      <sz val="11"/>
      <color theme="1"/>
      <name val="Calibri"/>
      <family val="2"/>
      <charset val="1"/>
    </font>
    <font>
      <sz val="10"/>
      <name val="Calibri"/>
      <family val="2"/>
      <charset val="204"/>
    </font>
    <font>
      <sz val="9"/>
      <color rgb="FF1E8449"/>
      <name val="Cambria"/>
      <family val="1"/>
      <charset val="204"/>
    </font>
    <font>
      <b/>
      <sz val="16"/>
      <color rgb="FF1E8449"/>
      <name val="Cambria"/>
      <family val="1"/>
      <charset val="204"/>
    </font>
    <font>
      <sz val="10"/>
      <color rgb="FF1E8449"/>
      <name val="Cambria"/>
      <family val="1"/>
      <charset val="204"/>
    </font>
    <font>
      <b/>
      <sz val="10"/>
      <color rgb="FF000000"/>
      <name val="Cambria"/>
      <family val="1"/>
      <charset val="204"/>
    </font>
    <font>
      <sz val="10"/>
      <color rgb="FF000000"/>
      <name val="Cambria"/>
      <family val="1"/>
      <charset val="204"/>
    </font>
    <font>
      <i/>
      <sz val="10"/>
      <color rgb="FF000000"/>
      <name val="Cambria"/>
      <family val="1"/>
      <charset val="204"/>
    </font>
    <font>
      <b/>
      <sz val="12"/>
      <color rgb="FF1E8449"/>
      <name val="Cambria"/>
      <family val="1"/>
      <charset val="204"/>
    </font>
    <font>
      <sz val="8"/>
      <color rgb="FF000000"/>
      <name val="Cambria"/>
      <family val="1"/>
      <charset val="204"/>
    </font>
    <font>
      <i/>
      <sz val="10"/>
      <color rgb="FF1E8449"/>
      <name val="Cambria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C000"/>
        <bgColor rgb="FFFF99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9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1" fillId="0" borderId="0" xfId="0" applyFont="1"/>
    <xf numFmtId="165" fontId="4" fillId="0" borderId="0" xfId="0" applyNumberFormat="1" applyFont="1" applyAlignment="1">
      <alignment horizontal="left" vertical="center"/>
    </xf>
    <xf numFmtId="0" fontId="5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3" fontId="4" fillId="0" borderId="1" xfId="0" applyNumberFormat="1" applyFont="1" applyBorder="1" applyAlignment="1">
      <alignment horizontal="center" vertical="center" wrapText="1"/>
    </xf>
    <xf numFmtId="4" fontId="4" fillId="0" borderId="1" xfId="0" applyNumberFormat="1" applyFont="1" applyBorder="1" applyAlignment="1">
      <alignment horizontal="center" vertical="center" wrapText="1"/>
    </xf>
    <xf numFmtId="3" fontId="1" fillId="0" borderId="0" xfId="0" applyNumberFormat="1" applyFont="1"/>
    <xf numFmtId="0" fontId="5" fillId="2" borderId="1" xfId="0" applyFont="1" applyFill="1" applyBorder="1"/>
    <xf numFmtId="167" fontId="5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/>
    <xf numFmtId="0" fontId="5" fillId="0" borderId="0" xfId="0" applyFont="1" applyAlignment="1">
      <alignment horizontal="left" vertical="top"/>
    </xf>
    <xf numFmtId="0" fontId="6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center" wrapText="1"/>
    </xf>
    <xf numFmtId="0" fontId="8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9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966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1E8449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38160</xdr:colOff>
      <xdr:row>0</xdr:row>
      <xdr:rowOff>57240</xdr:rowOff>
    </xdr:from>
    <xdr:to>
      <xdr:col>2</xdr:col>
      <xdr:colOff>885600</xdr:colOff>
      <xdr:row>1</xdr:row>
      <xdr:rowOff>266400</xdr:rowOff>
    </xdr:to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38160" y="57240"/>
          <a:ext cx="2514315" cy="590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190440</xdr:colOff>
      <xdr:row>0</xdr:row>
      <xdr:rowOff>19080</xdr:rowOff>
    </xdr:from>
    <xdr:to>
      <xdr:col>4</xdr:col>
      <xdr:colOff>456840</xdr:colOff>
      <xdr:row>1</xdr:row>
      <xdr:rowOff>304560</xdr:rowOff>
    </xdr:to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4771800" y="19080"/>
          <a:ext cx="971280" cy="6663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15</xdr:row>
      <xdr:rowOff>142920</xdr:rowOff>
    </xdr:from>
    <xdr:to>
      <xdr:col>1</xdr:col>
      <xdr:colOff>1228320</xdr:colOff>
      <xdr:row>15</xdr:row>
      <xdr:rowOff>390240</xdr:rowOff>
    </xdr:to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417204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16</xdr:row>
      <xdr:rowOff>142920</xdr:rowOff>
    </xdr:from>
    <xdr:to>
      <xdr:col>1</xdr:col>
      <xdr:colOff>1228320</xdr:colOff>
      <xdr:row>16</xdr:row>
      <xdr:rowOff>390240</xdr:rowOff>
    </xdr:to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470556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17</xdr:row>
      <xdr:rowOff>142920</xdr:rowOff>
    </xdr:from>
    <xdr:to>
      <xdr:col>1</xdr:col>
      <xdr:colOff>1228320</xdr:colOff>
      <xdr:row>17</xdr:row>
      <xdr:rowOff>390240</xdr:rowOff>
    </xdr:to>
    <xdr:pic>
      <xdr:nvPicPr>
        <xdr:cNvPr id="6" name="Image 5" descr="Picture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523872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18</xdr:row>
      <xdr:rowOff>142920</xdr:rowOff>
    </xdr:from>
    <xdr:to>
      <xdr:col>1</xdr:col>
      <xdr:colOff>1228320</xdr:colOff>
      <xdr:row>18</xdr:row>
      <xdr:rowOff>390240</xdr:rowOff>
    </xdr:to>
    <xdr:pic>
      <xdr:nvPicPr>
        <xdr:cNvPr id="7" name="Image 6" descr="Picture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577224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19</xdr:row>
      <xdr:rowOff>142920</xdr:rowOff>
    </xdr:from>
    <xdr:to>
      <xdr:col>1</xdr:col>
      <xdr:colOff>1228320</xdr:colOff>
      <xdr:row>19</xdr:row>
      <xdr:rowOff>390240</xdr:rowOff>
    </xdr:to>
    <xdr:pic>
      <xdr:nvPicPr>
        <xdr:cNvPr id="8" name="Image 7" descr="Picture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630576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20</xdr:row>
      <xdr:rowOff>142920</xdr:rowOff>
    </xdr:from>
    <xdr:to>
      <xdr:col>1</xdr:col>
      <xdr:colOff>1228320</xdr:colOff>
      <xdr:row>20</xdr:row>
      <xdr:rowOff>390240</xdr:rowOff>
    </xdr:to>
    <xdr:pic>
      <xdr:nvPicPr>
        <xdr:cNvPr id="9" name="Image 8" descr="Picture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683892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21</xdr:row>
      <xdr:rowOff>142920</xdr:rowOff>
    </xdr:from>
    <xdr:to>
      <xdr:col>1</xdr:col>
      <xdr:colOff>1228320</xdr:colOff>
      <xdr:row>21</xdr:row>
      <xdr:rowOff>390240</xdr:rowOff>
    </xdr:to>
    <xdr:pic>
      <xdr:nvPicPr>
        <xdr:cNvPr id="10" name="Image 9" descr="Picture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737244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22</xdr:row>
      <xdr:rowOff>142920</xdr:rowOff>
    </xdr:from>
    <xdr:to>
      <xdr:col>1</xdr:col>
      <xdr:colOff>1228320</xdr:colOff>
      <xdr:row>22</xdr:row>
      <xdr:rowOff>390240</xdr:rowOff>
    </xdr:to>
    <xdr:pic>
      <xdr:nvPicPr>
        <xdr:cNvPr id="11" name="Image 10" descr="Picture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790596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23</xdr:row>
      <xdr:rowOff>142920</xdr:rowOff>
    </xdr:from>
    <xdr:to>
      <xdr:col>1</xdr:col>
      <xdr:colOff>1228320</xdr:colOff>
      <xdr:row>23</xdr:row>
      <xdr:rowOff>390240</xdr:rowOff>
    </xdr:to>
    <xdr:pic>
      <xdr:nvPicPr>
        <xdr:cNvPr id="12" name="Image 11" descr="Picture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843912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19080</xdr:colOff>
      <xdr:row>47</xdr:row>
      <xdr:rowOff>19080</xdr:rowOff>
    </xdr:from>
    <xdr:to>
      <xdr:col>2</xdr:col>
      <xdr:colOff>2666580</xdr:colOff>
      <xdr:row>47</xdr:row>
      <xdr:rowOff>399600</xdr:rowOff>
    </xdr:to>
    <xdr:pic>
      <xdr:nvPicPr>
        <xdr:cNvPr id="13" name="Image 12" descr="Picture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PicPr/>
      </xdr:nvPicPr>
      <xdr:blipFill>
        <a:blip xmlns:r="http://schemas.openxmlformats.org/officeDocument/2006/relationships" r:embed="rId3"/>
        <a:stretch/>
      </xdr:blipFill>
      <xdr:spPr>
        <a:xfrm>
          <a:off x="19080" y="14287680"/>
          <a:ext cx="4447800" cy="38052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L48"/>
  <sheetViews>
    <sheetView showGridLines="0" tabSelected="1" topLeftCell="A13" zoomScaleNormal="100" workbookViewId="0">
      <selection activeCell="F21" sqref="F21"/>
    </sheetView>
  </sheetViews>
  <sheetFormatPr defaultColWidth="8.7109375" defaultRowHeight="15" outlineLevelCol="1" x14ac:dyDescent="0.25"/>
  <cols>
    <col min="1" max="1" width="5" customWidth="1"/>
    <col min="2" max="2" width="20" customWidth="1"/>
    <col min="3" max="3" width="40" customWidth="1"/>
    <col min="4" max="4" width="10" customWidth="1"/>
    <col min="5" max="5" width="9" customWidth="1"/>
    <col min="6" max="6" width="15" customWidth="1"/>
    <col min="7" max="7" width="17" customWidth="1"/>
    <col min="8" max="8" width="15" customWidth="1"/>
    <col min="9" max="11" width="40" hidden="1" customWidth="1" outlineLevel="1"/>
    <col min="12" max="12" width="8.7109375" collapsed="1"/>
  </cols>
  <sheetData>
    <row r="1" spans="1:11" ht="30" customHeight="1" x14ac:dyDescent="0.25">
      <c r="G1" s="14" t="s">
        <v>9</v>
      </c>
      <c r="H1" s="14"/>
    </row>
    <row r="2" spans="1:11" ht="30" customHeight="1" x14ac:dyDescent="0.25">
      <c r="G2" s="14"/>
      <c r="H2" s="14"/>
    </row>
    <row r="3" spans="1:11" ht="13.5" customHeight="1" x14ac:dyDescent="0.25">
      <c r="G3" s="14"/>
      <c r="H3" s="14"/>
    </row>
    <row r="5" spans="1:11" ht="27.75" customHeight="1" x14ac:dyDescent="0.25">
      <c r="A5" s="15" t="s">
        <v>15</v>
      </c>
      <c r="B5" s="15"/>
      <c r="C5" s="15"/>
      <c r="D5" s="15"/>
      <c r="E5" s="15"/>
      <c r="F5" s="15"/>
      <c r="G5" s="15"/>
      <c r="H5" s="15"/>
    </row>
    <row r="7" spans="1:11" ht="15.75" customHeight="1" x14ac:dyDescent="0.25">
      <c r="A7" s="16" t="s">
        <v>16</v>
      </c>
      <c r="B7" s="16"/>
      <c r="C7" s="2">
        <v>9890900053</v>
      </c>
      <c r="D7" s="17" t="s">
        <v>17</v>
      </c>
      <c r="E7" s="17"/>
      <c r="F7" s="18" t="s">
        <v>7</v>
      </c>
      <c r="G7" s="18"/>
      <c r="H7" s="18"/>
    </row>
    <row r="8" spans="1:11" ht="27.75" customHeight="1" x14ac:dyDescent="0.25">
      <c r="A8" s="16" t="s">
        <v>18</v>
      </c>
      <c r="B8" s="16"/>
      <c r="C8" s="4">
        <v>46288</v>
      </c>
      <c r="D8" s="17" t="s">
        <v>19</v>
      </c>
      <c r="E8" s="17"/>
      <c r="F8" s="18" t="s">
        <v>45</v>
      </c>
      <c r="G8" s="18"/>
      <c r="H8" s="18"/>
    </row>
    <row r="9" spans="1:11" ht="27.75" customHeight="1" x14ac:dyDescent="0.25">
      <c r="D9" s="17" t="s">
        <v>20</v>
      </c>
      <c r="E9" s="17"/>
      <c r="F9" s="18" t="s">
        <v>8</v>
      </c>
      <c r="G9" s="18"/>
      <c r="H9" s="18"/>
    </row>
    <row r="10" spans="1:11" ht="15" customHeight="1" x14ac:dyDescent="0.25">
      <c r="D10" s="17" t="s">
        <v>21</v>
      </c>
      <c r="E10" s="17"/>
      <c r="F10" s="18" t="s">
        <v>45</v>
      </c>
      <c r="G10" s="18"/>
      <c r="H10" s="18"/>
    </row>
    <row r="11" spans="1:11" ht="15" customHeight="1" x14ac:dyDescent="0.25">
      <c r="D11" s="17" t="s">
        <v>22</v>
      </c>
      <c r="E11" s="17"/>
      <c r="F11" s="18" t="s">
        <v>45</v>
      </c>
      <c r="G11" s="18"/>
      <c r="H11" s="18"/>
    </row>
    <row r="12" spans="1:11" ht="15" customHeight="1" x14ac:dyDescent="0.25">
      <c r="D12" s="17" t="s">
        <v>23</v>
      </c>
      <c r="E12" s="17"/>
      <c r="F12" s="18" t="s">
        <v>45</v>
      </c>
      <c r="G12" s="18"/>
      <c r="H12" s="18"/>
    </row>
    <row r="13" spans="1:11" ht="15" customHeight="1" x14ac:dyDescent="0.25">
      <c r="D13" s="17" t="s">
        <v>24</v>
      </c>
      <c r="E13" s="17"/>
      <c r="F13" s="18" t="s">
        <v>45</v>
      </c>
      <c r="G13" s="18"/>
      <c r="H13" s="18"/>
    </row>
    <row r="15" spans="1:11" ht="39.75" customHeight="1" x14ac:dyDescent="0.25">
      <c r="A15" s="5" t="s">
        <v>25</v>
      </c>
      <c r="B15" s="5" t="s">
        <v>26</v>
      </c>
      <c r="C15" s="5" t="s">
        <v>27</v>
      </c>
      <c r="D15" s="5" t="s">
        <v>28</v>
      </c>
      <c r="E15" s="5" t="s">
        <v>29</v>
      </c>
      <c r="F15" s="5" t="s">
        <v>30</v>
      </c>
      <c r="G15" s="5" t="s">
        <v>31</v>
      </c>
      <c r="H15" s="5" t="s">
        <v>32</v>
      </c>
      <c r="I15" s="3" t="s">
        <v>33</v>
      </c>
      <c r="J15" s="3" t="s">
        <v>34</v>
      </c>
      <c r="K15" s="3" t="s">
        <v>35</v>
      </c>
    </row>
    <row r="16" spans="1:11" ht="42" customHeight="1" x14ac:dyDescent="0.25">
      <c r="A16" s="6">
        <v>1</v>
      </c>
      <c r="B16" s="7"/>
      <c r="C16" s="8" t="s">
        <v>43</v>
      </c>
      <c r="D16" s="9">
        <v>1</v>
      </c>
      <c r="E16" s="6" t="s">
        <v>36</v>
      </c>
      <c r="F16" s="10">
        <v>790000</v>
      </c>
      <c r="G16" s="10">
        <f t="shared" ref="G16:G24" si="0">IF(F16="","",D16*F16)</f>
        <v>790000</v>
      </c>
      <c r="H16" s="6">
        <v>25</v>
      </c>
      <c r="I16" s="3" t="e">
        <f>TRIM(#REF!&amp;" "&amp;#REF!)</f>
        <v>#REF!</v>
      </c>
      <c r="J16" s="11" t="e">
        <f>IF(KAR_ORANI="","",ROUND(#REF!*(1+KAR_ORANI)*(1-ISKONTO),0))</f>
        <v>#REF!</v>
      </c>
      <c r="K16" s="11" t="e">
        <f t="shared" ref="K16:K24" si="1">IF(J16="","",D16*J16)</f>
        <v>#REF!</v>
      </c>
    </row>
    <row r="17" spans="1:11" ht="42" customHeight="1" x14ac:dyDescent="0.25">
      <c r="A17" s="6">
        <v>2</v>
      </c>
      <c r="B17" s="7"/>
      <c r="C17" s="8" t="s">
        <v>44</v>
      </c>
      <c r="D17" s="9">
        <v>1</v>
      </c>
      <c r="E17" s="6" t="s">
        <v>36</v>
      </c>
      <c r="F17" s="10">
        <v>712000</v>
      </c>
      <c r="G17" s="10">
        <f t="shared" si="0"/>
        <v>712000</v>
      </c>
      <c r="H17" s="6">
        <v>25</v>
      </c>
      <c r="I17" s="3" t="e">
        <f>TRIM(#REF!&amp;" "&amp;#REF!)</f>
        <v>#REF!</v>
      </c>
      <c r="J17" s="11" t="e">
        <f>IF(KAR_ORANI="","",ROUND(#REF!*(1+KAR_ORANI)*(1-ISKONTO),0))</f>
        <v>#REF!</v>
      </c>
      <c r="K17" s="11" t="e">
        <f t="shared" si="1"/>
        <v>#REF!</v>
      </c>
    </row>
    <row r="18" spans="1:11" ht="42" customHeight="1" x14ac:dyDescent="0.25">
      <c r="A18" s="6">
        <v>3</v>
      </c>
      <c r="B18" s="7"/>
      <c r="C18" s="8" t="s">
        <v>0</v>
      </c>
      <c r="D18" s="9">
        <v>1</v>
      </c>
      <c r="E18" s="6" t="s">
        <v>36</v>
      </c>
      <c r="F18" s="10">
        <v>129000</v>
      </c>
      <c r="G18" s="10">
        <f t="shared" si="0"/>
        <v>129000</v>
      </c>
      <c r="H18" s="6">
        <v>25</v>
      </c>
      <c r="I18" s="3" t="e">
        <f>TRIM(#REF!&amp;" "&amp;#REF!)</f>
        <v>#REF!</v>
      </c>
      <c r="J18" s="11" t="e">
        <f>IF(KAR_ORANI="","",ROUND(#REF!*(1+KAR_ORANI)*(1-ISKONTO),0))</f>
        <v>#REF!</v>
      </c>
      <c r="K18" s="11" t="e">
        <f t="shared" si="1"/>
        <v>#REF!</v>
      </c>
    </row>
    <row r="19" spans="1:11" ht="42" customHeight="1" x14ac:dyDescent="0.25">
      <c r="A19" s="6">
        <v>4</v>
      </c>
      <c r="B19" s="7"/>
      <c r="C19" s="8" t="s">
        <v>1</v>
      </c>
      <c r="D19" s="9">
        <v>1</v>
      </c>
      <c r="E19" s="6" t="s">
        <v>36</v>
      </c>
      <c r="F19" s="10">
        <v>154000</v>
      </c>
      <c r="G19" s="10">
        <f t="shared" si="0"/>
        <v>154000</v>
      </c>
      <c r="H19" s="6">
        <v>25</v>
      </c>
      <c r="I19" s="3" t="e">
        <f>TRIM(#REF!&amp;" "&amp;#REF!)</f>
        <v>#REF!</v>
      </c>
      <c r="J19" s="11" t="e">
        <f>IF(KAR_ORANI="","",ROUND(#REF!*(1+KAR_ORANI)*(1-ISKONTO),0))</f>
        <v>#REF!</v>
      </c>
      <c r="K19" s="11" t="e">
        <f t="shared" si="1"/>
        <v>#REF!</v>
      </c>
    </row>
    <row r="20" spans="1:11" ht="42" customHeight="1" x14ac:dyDescent="0.25">
      <c r="A20" s="6">
        <v>5</v>
      </c>
      <c r="B20" s="7"/>
      <c r="C20" s="8" t="s">
        <v>2</v>
      </c>
      <c r="D20" s="9">
        <v>4</v>
      </c>
      <c r="E20" s="6" t="s">
        <v>36</v>
      </c>
      <c r="F20" s="10">
        <v>250000</v>
      </c>
      <c r="G20" s="10">
        <f t="shared" si="0"/>
        <v>1000000</v>
      </c>
      <c r="H20" s="6">
        <v>25</v>
      </c>
      <c r="I20" s="3" t="e">
        <f>TRIM(#REF!&amp;" "&amp;#REF!)</f>
        <v>#REF!</v>
      </c>
      <c r="J20" s="11" t="e">
        <f>IF(KAR_ORANI="","",ROUND(#REF!*(1+KAR_ORANI)*(1-ISKONTO),0))</f>
        <v>#REF!</v>
      </c>
      <c r="K20" s="11" t="e">
        <f t="shared" si="1"/>
        <v>#REF!</v>
      </c>
    </row>
    <row r="21" spans="1:11" ht="42" customHeight="1" x14ac:dyDescent="0.25">
      <c r="A21" s="6">
        <v>6</v>
      </c>
      <c r="B21" s="7"/>
      <c r="C21" s="8" t="s">
        <v>3</v>
      </c>
      <c r="D21" s="9">
        <v>16</v>
      </c>
      <c r="E21" s="6" t="s">
        <v>36</v>
      </c>
      <c r="F21" s="10">
        <v>66000</v>
      </c>
      <c r="G21" s="10">
        <f t="shared" si="0"/>
        <v>1056000</v>
      </c>
      <c r="H21" s="6">
        <v>25</v>
      </c>
      <c r="I21" s="3" t="e">
        <f>TRIM(#REF!&amp;" "&amp;#REF!)</f>
        <v>#REF!</v>
      </c>
      <c r="J21" s="11" t="e">
        <f>IF(KAR_ORANI="","",ROUND(#REF!*(1+KAR_ORANI)*(1-ISKONTO),0))</f>
        <v>#REF!</v>
      </c>
      <c r="K21" s="11" t="e">
        <f t="shared" si="1"/>
        <v>#REF!</v>
      </c>
    </row>
    <row r="22" spans="1:11" ht="42" customHeight="1" x14ac:dyDescent="0.25">
      <c r="A22" s="6">
        <v>7</v>
      </c>
      <c r="B22" s="7"/>
      <c r="C22" s="8" t="s">
        <v>4</v>
      </c>
      <c r="D22" s="9">
        <v>2</v>
      </c>
      <c r="E22" s="6" t="s">
        <v>36</v>
      </c>
      <c r="F22" s="10">
        <v>85000</v>
      </c>
      <c r="G22" s="10">
        <f t="shared" si="0"/>
        <v>170000</v>
      </c>
      <c r="H22" s="6">
        <v>25</v>
      </c>
      <c r="I22" s="3" t="e">
        <f>TRIM(#REF!&amp;" "&amp;#REF!)</f>
        <v>#REF!</v>
      </c>
      <c r="J22" s="11" t="e">
        <f>IF(KAR_ORANI="","",ROUND(#REF!*(1+KAR_ORANI)*(1-ISKONTO),0))</f>
        <v>#REF!</v>
      </c>
      <c r="K22" s="11" t="e">
        <f t="shared" si="1"/>
        <v>#REF!</v>
      </c>
    </row>
    <row r="23" spans="1:11" ht="42" customHeight="1" x14ac:dyDescent="0.25">
      <c r="A23" s="6">
        <v>8</v>
      </c>
      <c r="B23" s="7"/>
      <c r="C23" s="8" t="s">
        <v>5</v>
      </c>
      <c r="D23" s="9">
        <v>1</v>
      </c>
      <c r="E23" s="6" t="s">
        <v>36</v>
      </c>
      <c r="F23" s="10">
        <v>60000</v>
      </c>
      <c r="G23" s="10">
        <f t="shared" si="0"/>
        <v>60000</v>
      </c>
      <c r="H23" s="6">
        <v>25</v>
      </c>
      <c r="I23" s="3" t="e">
        <f>TRIM(#REF!&amp;" "&amp;#REF!)</f>
        <v>#REF!</v>
      </c>
      <c r="J23" s="11" t="e">
        <f>IF(KAR_ORANI="","",ROUND(#REF!*(1+KAR_ORANI)*(1-ISKONTO),0))</f>
        <v>#REF!</v>
      </c>
      <c r="K23" s="11" t="e">
        <f t="shared" si="1"/>
        <v>#REF!</v>
      </c>
    </row>
    <row r="24" spans="1:11" ht="42" customHeight="1" x14ac:dyDescent="0.25">
      <c r="A24" s="6">
        <v>9</v>
      </c>
      <c r="B24" s="7"/>
      <c r="C24" s="8" t="s">
        <v>6</v>
      </c>
      <c r="D24" s="9">
        <v>1</v>
      </c>
      <c r="E24" s="6" t="s">
        <v>36</v>
      </c>
      <c r="F24" s="10">
        <v>40000</v>
      </c>
      <c r="G24" s="10">
        <f t="shared" si="0"/>
        <v>40000</v>
      </c>
      <c r="H24" s="6">
        <v>25</v>
      </c>
      <c r="I24" s="3" t="e">
        <f>TRIM(#REF!&amp;" "&amp;#REF!)</f>
        <v>#REF!</v>
      </c>
      <c r="J24" s="11" t="e">
        <f>IF(KAR_ORANI="","",ROUND(#REF!*(1+KAR_ORANI)*(1-ISKONTO),0))</f>
        <v>#REF!</v>
      </c>
      <c r="K24" s="11" t="e">
        <f t="shared" si="1"/>
        <v>#REF!</v>
      </c>
    </row>
    <row r="25" spans="1:11" ht="21.75" customHeight="1" x14ac:dyDescent="0.25">
      <c r="A25" s="12"/>
      <c r="B25" s="5" t="s">
        <v>37</v>
      </c>
      <c r="C25" s="12"/>
      <c r="D25" s="12"/>
      <c r="E25" s="12"/>
      <c r="F25" s="12"/>
      <c r="G25" s="13">
        <f>SUM(G16:G24)</f>
        <v>4111000</v>
      </c>
      <c r="H25" s="12"/>
      <c r="I25" s="3" t="e">
        <f>IF(KAR_ORANI="","KÂR ORANI GİRİLMEDİ","")</f>
        <v>#REF!</v>
      </c>
      <c r="K25" s="11" t="e">
        <f>SUM(K16:K24)</f>
        <v>#REF!</v>
      </c>
    </row>
    <row r="27" spans="1:11" ht="24" customHeight="1" x14ac:dyDescent="0.25">
      <c r="A27" s="19" t="s">
        <v>46</v>
      </c>
      <c r="B27" s="19"/>
      <c r="C27" s="19"/>
      <c r="D27" s="19"/>
      <c r="E27" s="19"/>
      <c r="F27" s="19"/>
      <c r="G27" s="19"/>
      <c r="H27" s="19"/>
      <c r="I27" s="3" t="e">
        <f>IF(GECERLILIK&lt;&gt;"","Срок действия ценового предложения "&amp;GECERLILIK&amp;" рабочих дней.","")</f>
        <v>#REF!</v>
      </c>
      <c r="J27" s="3" t="e">
        <f>IF(I27="","",COUNTIF(I$27:I27,"?*"))</f>
        <v>#REF!</v>
      </c>
    </row>
    <row r="28" spans="1:11" ht="24" customHeight="1" x14ac:dyDescent="0.25">
      <c r="A28" s="19" t="s">
        <v>47</v>
      </c>
      <c r="B28" s="19"/>
      <c r="C28" s="19"/>
      <c r="D28" s="19"/>
      <c r="E28" s="19"/>
      <c r="F28" s="19"/>
      <c r="G28" s="19"/>
      <c r="H28" s="19"/>
      <c r="I28" s="3" t="e">
        <f>IF(TESLIM_YERI&lt;&gt;"","Место поставки: "&amp;TESLIM_YERI&amp;".","")</f>
        <v>#REF!</v>
      </c>
      <c r="J28" s="3" t="e">
        <f>IF(I28="","",COUNTIF(I$27:I28,"?*"))</f>
        <v>#REF!</v>
      </c>
    </row>
    <row r="29" spans="1:11" ht="24" customHeight="1" x14ac:dyDescent="0.25">
      <c r="A29" s="19" t="s">
        <v>48</v>
      </c>
      <c r="B29" s="19"/>
      <c r="C29" s="19"/>
      <c r="D29" s="19"/>
      <c r="E29" s="19"/>
      <c r="F29" s="19"/>
      <c r="G29" s="19"/>
      <c r="H29" s="19"/>
      <c r="I29" s="3" t="e">
        <f>IF(ODEME&lt;&gt;"","Условия оплаты: "&amp;ODEME&amp;".","")</f>
        <v>#REF!</v>
      </c>
      <c r="J29" s="3" t="e">
        <f>IF(I29="","",COUNTIF(I$27:I29,"?*"))</f>
        <v>#REF!</v>
      </c>
    </row>
    <row r="30" spans="1:11" ht="24" customHeight="1" x14ac:dyDescent="0.25">
      <c r="A30" s="19" t="s">
        <v>49</v>
      </c>
      <c r="B30" s="19"/>
      <c r="C30" s="19"/>
      <c r="D30" s="19"/>
      <c r="E30" s="19"/>
      <c r="F30" s="19"/>
      <c r="G30" s="19"/>
      <c r="H30" s="19"/>
      <c r="I30" s="3" t="e">
        <f>IF(GARANTI&lt;&gt;"","Гарантия: "&amp;GARANTI&amp;".","")</f>
        <v>#REF!</v>
      </c>
      <c r="J30" s="3" t="e">
        <f>IF(I30="","",COUNTIF(I$27:I30,"?*"))</f>
        <v>#REF!</v>
      </c>
    </row>
    <row r="31" spans="1:11" ht="24" customHeight="1" x14ac:dyDescent="0.25">
      <c r="A31" s="19" t="s">
        <v>50</v>
      </c>
      <c r="B31" s="19"/>
      <c r="C31" s="19"/>
      <c r="D31" s="19"/>
      <c r="E31" s="19"/>
      <c r="F31" s="19"/>
      <c r="G31" s="19"/>
      <c r="H31" s="19"/>
      <c r="I31" s="3" t="e">
        <f>IF(1=1,"В щитах с системой сборных шин применяются "&amp;IF(BARA_MALZEME="AL","алюминиевые (Al)","медные (Cu)")&amp;" шины.","")</f>
        <v>#REF!</v>
      </c>
      <c r="J31" s="3" t="e">
        <f>IF(I31="","",COUNTIF(I$27:I31,"?*"))</f>
        <v>#REF!</v>
      </c>
    </row>
    <row r="32" spans="1:11" ht="24" customHeight="1" x14ac:dyDescent="0.25">
      <c r="A32" s="19" t="s">
        <v>45</v>
      </c>
      <c r="B32" s="19"/>
      <c r="C32" s="19"/>
      <c r="D32" s="19"/>
      <c r="E32" s="19"/>
      <c r="F32" s="19"/>
      <c r="G32" s="19"/>
      <c r="H32" s="19"/>
      <c r="I32" s="3" t="e">
        <f>IF(SALT_MARKA&lt;&gt;"","Коммутационная аппаратура (автоматические выключатели, рубильники, контакторы и др.): "&amp;SALT_MARKA&amp;".","")</f>
        <v>#REF!</v>
      </c>
      <c r="J32" s="3" t="e">
        <f>IF(I32="","",COUNTIF(I$27:I32,"?*"))</f>
        <v>#REF!</v>
      </c>
    </row>
    <row r="33" spans="1:10" ht="24" customHeight="1" x14ac:dyDescent="0.25">
      <c r="A33" s="19" t="s">
        <v>45</v>
      </c>
      <c r="B33" s="19"/>
      <c r="C33" s="19"/>
      <c r="D33" s="19"/>
      <c r="E33" s="19"/>
      <c r="F33" s="19"/>
      <c r="G33" s="19"/>
      <c r="H33" s="19"/>
      <c r="I33" s="3" t="e">
        <f>IF(SERTIFIKAT&lt;&gt;"",SERTIFIKAT,"")</f>
        <v>#REF!</v>
      </c>
      <c r="J33" s="3" t="e">
        <f>IF(I33="","",COUNTIF(I$27:I33,"?*"))</f>
        <v>#REF!</v>
      </c>
    </row>
    <row r="34" spans="1:10" ht="24" customHeight="1" x14ac:dyDescent="0.25">
      <c r="A34" s="19" t="s">
        <v>45</v>
      </c>
      <c r="B34" s="19"/>
      <c r="C34" s="19"/>
      <c r="D34" s="19"/>
      <c r="E34" s="19"/>
      <c r="F34" s="19"/>
      <c r="G34" s="19"/>
      <c r="H34" s="19"/>
      <c r="I34" s="3" t="e">
        <f>IF(PROJE_NOT&lt;&gt;"",PROJE_NOT,"")</f>
        <v>#REF!</v>
      </c>
      <c r="J34" s="3" t="e">
        <f>IF(I34="","",COUNTIF(I$27:I34,"?*"))</f>
        <v>#REF!</v>
      </c>
    </row>
    <row r="36" spans="1:10" ht="19.5" customHeight="1" x14ac:dyDescent="0.25">
      <c r="A36" s="20" t="s">
        <v>45</v>
      </c>
      <c r="B36" s="20"/>
      <c r="C36" s="20"/>
      <c r="D36" s="20"/>
      <c r="E36" s="20"/>
      <c r="F36" s="20"/>
      <c r="G36" s="20"/>
      <c r="H36" s="20"/>
    </row>
    <row r="38" spans="1:10" ht="15" customHeight="1" x14ac:dyDescent="0.25">
      <c r="A38" s="21" t="s">
        <v>38</v>
      </c>
      <c r="B38" s="21"/>
      <c r="C38" s="21"/>
    </row>
    <row r="39" spans="1:10" x14ac:dyDescent="0.25">
      <c r="A39" s="21" t="s">
        <v>10</v>
      </c>
      <c r="B39" s="21"/>
      <c r="C39" s="21"/>
      <c r="F39" s="21" t="s">
        <v>45</v>
      </c>
      <c r="G39" s="21"/>
      <c r="H39" s="21"/>
    </row>
    <row r="42" spans="1:10" x14ac:dyDescent="0.25">
      <c r="A42" s="22" t="s">
        <v>39</v>
      </c>
      <c r="B42" s="22"/>
      <c r="C42" s="1" t="s">
        <v>51</v>
      </c>
      <c r="E42" s="23" t="s">
        <v>40</v>
      </c>
      <c r="F42" s="23"/>
      <c r="G42" s="24" t="s">
        <v>11</v>
      </c>
      <c r="H42" s="24"/>
    </row>
    <row r="43" spans="1:10" x14ac:dyDescent="0.25">
      <c r="A43" s="22" t="s">
        <v>41</v>
      </c>
      <c r="B43" s="22"/>
      <c r="C43" s="1" t="s">
        <v>51</v>
      </c>
    </row>
    <row r="44" spans="1:10" x14ac:dyDescent="0.25">
      <c r="A44" s="22" t="s">
        <v>42</v>
      </c>
      <c r="B44" s="22"/>
      <c r="C44" s="1" t="s">
        <v>52</v>
      </c>
    </row>
    <row r="45" spans="1:10" x14ac:dyDescent="0.25">
      <c r="A45" s="22" t="s">
        <v>12</v>
      </c>
      <c r="B45" s="22"/>
      <c r="C45" s="1" t="s">
        <v>51</v>
      </c>
    </row>
    <row r="46" spans="1:10" x14ac:dyDescent="0.25">
      <c r="A46" s="22" t="s">
        <v>13</v>
      </c>
      <c r="B46" s="22"/>
      <c r="C46" s="1" t="s">
        <v>51</v>
      </c>
    </row>
    <row r="47" spans="1:10" x14ac:dyDescent="0.25">
      <c r="A47" s="22" t="s">
        <v>14</v>
      </c>
      <c r="B47" s="22"/>
      <c r="C47" s="1" t="s">
        <v>51</v>
      </c>
    </row>
    <row r="48" spans="1:10" ht="33.75" customHeight="1" x14ac:dyDescent="0.25"/>
  </sheetData>
  <mergeCells count="38">
    <mergeCell ref="A43:B43"/>
    <mergeCell ref="A44:B44"/>
    <mergeCell ref="A45:B45"/>
    <mergeCell ref="A46:B46"/>
    <mergeCell ref="A47:B47"/>
    <mergeCell ref="A36:H36"/>
    <mergeCell ref="A38:C38"/>
    <mergeCell ref="A39:C39"/>
    <mergeCell ref="F39:H39"/>
    <mergeCell ref="A42:B42"/>
    <mergeCell ref="E42:F42"/>
    <mergeCell ref="G42:H42"/>
    <mergeCell ref="A30:H30"/>
    <mergeCell ref="A31:H31"/>
    <mergeCell ref="A32:H32"/>
    <mergeCell ref="A33:H33"/>
    <mergeCell ref="A34:H34"/>
    <mergeCell ref="D13:E13"/>
    <mergeCell ref="F13:H13"/>
    <mergeCell ref="A27:H27"/>
    <mergeCell ref="A28:H28"/>
    <mergeCell ref="A29:H29"/>
    <mergeCell ref="D10:E10"/>
    <mergeCell ref="F10:H10"/>
    <mergeCell ref="D11:E11"/>
    <mergeCell ref="F11:H11"/>
    <mergeCell ref="D12:E12"/>
    <mergeCell ref="F12:H12"/>
    <mergeCell ref="A8:B8"/>
    <mergeCell ref="D8:E8"/>
    <mergeCell ref="F8:H8"/>
    <mergeCell ref="D9:E9"/>
    <mergeCell ref="F9:H9"/>
    <mergeCell ref="G1:H3"/>
    <mergeCell ref="A5:H5"/>
    <mergeCell ref="A7:B7"/>
    <mergeCell ref="D7:E7"/>
    <mergeCell ref="F7:H7"/>
  </mergeCells>
  <pageMargins left="0.4" right="0.4" top="0.4" bottom="0.5" header="0.511811023622047" footer="0.5"/>
  <pageSetup paperSize="9" fitToHeight="0" orientation="portrait" horizontalDpi="300" verticalDpi="300"/>
  <headerFooter>
    <oddFooter>&amp;CСтраница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TEKLIF</vt:lpstr>
      <vt:lpstr>TEKLIF!Yazdırma_Alanı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yusuf kaplan</cp:lastModifiedBy>
  <cp:revision>0</cp:revision>
  <dcterms:created xsi:type="dcterms:W3CDTF">2026-09-23T06:24:24Z</dcterms:created>
  <dcterms:modified xsi:type="dcterms:W3CDTF">2026-09-23T09:16:56Z</dcterms:modified>
  <dc:language>en-US</dc:language>
</cp:coreProperties>
</file>