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" sheetId="1" state="visible" r:id="rId3"/>
    <sheet name="BOM" sheetId="2" state="visible" r:id="rId4"/>
    <sheet name="СВОДНАЯ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<sst xmlns="http://schemas.openxmlformats.org/spreadsheetml/2006/main" count="2300" uniqueCount="665">
  <si>
    <t xml:space="preserve">ПАРАМЕТРЫ — Проект 260608 — Chint</t>
  </si>
  <si>
    <t xml:space="preserve">Параметр</t>
  </si>
  <si>
    <t xml:space="preserve">Значение
(ред.)</t>
  </si>
  <si>
    <t xml:space="preserve">Описание</t>
  </si>
  <si>
    <t xml:space="preserve">EUR/KZT курс</t>
  </si>
  <si>
    <t xml:space="preserve">Обновить с XE.com</t>
  </si>
  <si>
    <t xml:space="preserve">Коэф.скидки Chint (0.60)</t>
  </si>
  <si>
    <t xml:space="preserve">Скидка на покупку</t>
  </si>
  <si>
    <t xml:space="preserve">Коэф.надбавки (ABB EUR)</t>
  </si>
  <si>
    <t xml:space="preserve">Транспорт + накладные (только для EUR)</t>
  </si>
  <si>
    <t xml:space="preserve">Монтажные материалы %</t>
  </si>
  <si>
    <t xml:space="preserve">% от суммы компонентов</t>
  </si>
  <si>
    <t xml:space="preserve">Монтажная работа %</t>
  </si>
  <si>
    <t xml:space="preserve">Ключ</t>
  </si>
  <si>
    <t xml:space="preserve">Цена (список)
(ред.)</t>
  </si>
  <si>
    <t xml:space="preserve">Наименование / Артикул</t>
  </si>
  <si>
    <t xml:space="preserve">Цена нетто KZT
(формула)</t>
  </si>
  <si>
    <t xml:space="preserve">NB1-1P-C6</t>
  </si>
  <si>
    <t xml:space="preserve">Авт.выкл. NB1-63 1P C6  6кА  [179626]</t>
  </si>
  <si>
    <t xml:space="preserve">NB1-1P-C10</t>
  </si>
  <si>
    <t xml:space="preserve">Авт.выкл. NB1-63 1P C10 6кА  [179614]</t>
  </si>
  <si>
    <t xml:space="preserve">NB1-1P-C16</t>
  </si>
  <si>
    <t xml:space="preserve">Авт.выкл. NB1-63 1P C16 6кА  [179616]</t>
  </si>
  <si>
    <t xml:space="preserve">NB1-1P-C20</t>
  </si>
  <si>
    <t xml:space="preserve">Авт.выкл. NB1-63 1P C20 6кА  [179618]</t>
  </si>
  <si>
    <t xml:space="preserve">NB1-1P-C25</t>
  </si>
  <si>
    <t xml:space="preserve">Авт.выкл. NB1-63 1P C25 6кА  [179619]</t>
  </si>
  <si>
    <t xml:space="preserve">NB1-1P-C32</t>
  </si>
  <si>
    <t xml:space="preserve">Авт.выкл. NB1-63 1P C32 6кА  [179621]</t>
  </si>
  <si>
    <t xml:space="preserve">NB1-3P-C10</t>
  </si>
  <si>
    <t xml:space="preserve">Авт.выкл. NB1-63 3P C10 6кА  [179698]</t>
  </si>
  <si>
    <t xml:space="preserve">NB1-3P-C16</t>
  </si>
  <si>
    <t xml:space="preserve">Авт.выкл. NB1-63 3P C16 6кА  [179700]</t>
  </si>
  <si>
    <t xml:space="preserve">NB1-3P-C20</t>
  </si>
  <si>
    <t xml:space="preserve">Авт.выкл. NB1-63 3P C20 6кА  [179702]</t>
  </si>
  <si>
    <t xml:space="preserve">NB1-3P-C25</t>
  </si>
  <si>
    <t xml:space="preserve">Авт.выкл. NB1-63 3P C25 6кА  [179703]</t>
  </si>
  <si>
    <t xml:space="preserve">NB1-3P-C32</t>
  </si>
  <si>
    <t xml:space="preserve">Авт.выкл. NB1-63 3P C32 6кА  [179705]</t>
  </si>
  <si>
    <t xml:space="preserve">NB1L-1PN-C16</t>
  </si>
  <si>
    <t xml:space="preserve">Диф.авт. NB1L 1P+N C16 30мА 6кА  [203019]</t>
  </si>
  <si>
    <t xml:space="preserve">NB1L-1PN-C10</t>
  </si>
  <si>
    <t xml:space="preserve">Диф.авт. NB1L 1P+N C10 30мА 10кА  [203105]</t>
  </si>
  <si>
    <t xml:space="preserve">NB1L-4P-C16</t>
  </si>
  <si>
    <t xml:space="preserve">Диф.авт. NB1L-40 4P C16 30мА 6кА  [198111]</t>
  </si>
  <si>
    <t xml:space="preserve">NH4-3P-32</t>
  </si>
  <si>
    <t xml:space="preserve">Выкл.нагрузки NH4 3P 32А  [398043]</t>
  </si>
  <si>
    <t xml:space="preserve">NH4-3P-100</t>
  </si>
  <si>
    <t xml:space="preserve">Выкл.нагрузки NH4 3P 100А  [398042]</t>
  </si>
  <si>
    <t xml:space="preserve">NH40-3P-125</t>
  </si>
  <si>
    <t xml:space="preserve">Выкл.-разъед. NH40-125/3 3P 125А  [393261]</t>
  </si>
  <si>
    <t xml:space="preserve">NM8N-3P-80</t>
  </si>
  <si>
    <t xml:space="preserve">Авт.выкл. NM8N-125C TM 3P 80А 36кА  [271538]</t>
  </si>
  <si>
    <t xml:space="preserve">NM8N-3P-100</t>
  </si>
  <si>
    <t xml:space="preserve">Авт.выкл. NM8N-125C TM 3P 100А 36кА  [271539]</t>
  </si>
  <si>
    <t xml:space="preserve">NM8N-3P-125</t>
  </si>
  <si>
    <t xml:space="preserve">Авт.выкл. NM8N-125S TM 3P 125А 50кА  [271590]</t>
  </si>
  <si>
    <t xml:space="preserve">NXC-09-220</t>
  </si>
  <si>
    <t xml:space="preserve">Контактор NXC-09 9А 220В/АС3  [836704]</t>
  </si>
  <si>
    <t xml:space="preserve">NXC-12-220</t>
  </si>
  <si>
    <t xml:space="preserve">Контактор NXC-12 12А 220В/АС3  [836712]</t>
  </si>
  <si>
    <t xml:space="preserve">LW32-125</t>
  </si>
  <si>
    <t xml:space="preserve">Кулачк.переключатель LW32-125/3 125А 3Р  [425042]</t>
  </si>
  <si>
    <t xml:space="preserve">S9-NB1</t>
  </si>
  <si>
    <t xml:space="preserve">Независимый расцепитель S9 для NB1-63  [184986]</t>
  </si>
  <si>
    <t xml:space="preserve">КЛЕММНИК</t>
  </si>
  <si>
    <t xml:space="preserve">Клеммник монтажный (аналог NSYTRV162)  [—]</t>
  </si>
  <si>
    <t xml:space="preserve">По запросу</t>
  </si>
  <si>
    <t xml:space="preserve">ЯТП-IEK</t>
  </si>
  <si>
    <t xml:space="preserve">ЯТП-0,25 230/36В IEK (MTT12-036-0250)  [MTT12-036-0250]</t>
  </si>
  <si>
    <t xml:space="preserve">УКРМ-10</t>
  </si>
  <si>
    <t xml:space="preserve">УКРМ 10кВАр 400В, 800×700×250мм  [По запросу]</t>
  </si>
  <si>
    <t xml:space="preserve">СПЕЦИФИКАЦИЯ ОБОРУДОВАНИЯ — Проект 260608 — г.Атырау — Chint  |  Формула: KZT_нетто = KZT_список × 0.60  |  Параметры → лист ПАРАМЕТРЫ (синие ячейки)</t>
  </si>
  <si>
    <t xml:space="preserve">№</t>
  </si>
  <si>
    <t xml:space="preserve">Наименование и техническая характеристика</t>
  </si>
  <si>
    <t xml:space="preserve">Тип / Марка / Артикул</t>
  </si>
  <si>
    <t xml:space="preserve">Источник (PDF альбом)</t>
  </si>
  <si>
    <t xml:space="preserve">Ед.</t>
  </si>
  <si>
    <t xml:space="preserve">Кол.</t>
  </si>
  <si>
    <t xml:space="preserve">Цена
список</t>
  </si>
  <si>
    <t xml:space="preserve">KZT
нетто</t>
  </si>
  <si>
    <t xml:space="preserve">Сумма
KZT</t>
  </si>
  <si>
    <t xml:space="preserve">Примечание</t>
  </si>
  <si>
    <t xml:space="preserve">───  ЭОМ — ГАРАЖ  ───</t>
  </si>
  <si>
    <t xml:space="preserve">КОМПЛЕКТ 1.  ГРЩ (ЩМП-18.8.4-0 36 УХЛ3 IP31)  |  Альбом 7.4 ЭОМ (Гараж)</t>
  </si>
  <si>
    <t xml:space="preserve">1.1</t>
  </si>
  <si>
    <t xml:space="preserve">Корпус — ЩМП-18.8.4-0 36 УХЛ3 IP31</t>
  </si>
  <si>
    <t xml:space="preserve">Teksan f</t>
  </si>
  <si>
    <t xml:space="preserve">Альбом 7.4 ЭОМ (Гараж)</t>
  </si>
  <si>
    <t xml:space="preserve">шт</t>
  </si>
  <si>
    <t xml:space="preserve">—</t>
  </si>
  <si>
    <t xml:space="preserve">Teksan f — цена TBD</t>
  </si>
  <si>
    <t xml:space="preserve">1.2</t>
  </si>
  <si>
    <t xml:space="preserve">Авт.выкл. NM8N-125S TM 3P 125А 50кА</t>
  </si>
  <si>
    <t xml:space="preserve">271590</t>
  </si>
  <si>
    <t xml:space="preserve">DPX3 125А / вводной аналог</t>
  </si>
  <si>
    <t xml:space="preserve">1.3</t>
  </si>
  <si>
    <t xml:space="preserve">Авт.выкл. NM8N-125C TM 3P 100А 36кА</t>
  </si>
  <si>
    <t xml:space="preserve">271539</t>
  </si>
  <si>
    <t xml:space="preserve">Резервный ввод</t>
  </si>
  <si>
    <t xml:space="preserve">1.4</t>
  </si>
  <si>
    <t xml:space="preserve">Авт.выкл. NB1-63 3P C20 6кА</t>
  </si>
  <si>
    <t xml:space="preserve">179702</t>
  </si>
  <si>
    <t xml:space="preserve">TX3 20A 3P</t>
  </si>
  <si>
    <t xml:space="preserve">1.5</t>
  </si>
  <si>
    <t xml:space="preserve">Авт.выкл. NB1-63 3P C25 6кА</t>
  </si>
  <si>
    <t xml:space="preserve">179703</t>
  </si>
  <si>
    <t xml:space="preserve">TX3 25A 3P</t>
  </si>
  <si>
    <t xml:space="preserve">1.6</t>
  </si>
  <si>
    <t xml:space="preserve">Авт.выкл. NB1-63 1P C6  6кА</t>
  </si>
  <si>
    <t xml:space="preserve">179626</t>
  </si>
  <si>
    <t xml:space="preserve">TX3 6A 1P</t>
  </si>
  <si>
    <t xml:space="preserve">1.7</t>
  </si>
  <si>
    <t xml:space="preserve">Кулачк.переключатель LW32-125/3 125А 3Р</t>
  </si>
  <si>
    <t xml:space="preserve">425042</t>
  </si>
  <si>
    <t xml:space="preserve">АВР TransferPact аналог</t>
  </si>
  <si>
    <t xml:space="preserve">1.8</t>
  </si>
  <si>
    <t xml:space="preserve">УКРМ 10кВАр 400В, 800×700×250мм</t>
  </si>
  <si>
    <t xml:space="preserve">КРМ — 2 шт (ввод1+ввод2) — цена TBD</t>
  </si>
  <si>
    <t xml:space="preserve">1.9</t>
  </si>
  <si>
    <t xml:space="preserve">Счётчик электроэнергии 3ф 100А 380В</t>
  </si>
  <si>
    <t xml:space="preserve">Энергомера СЕ 303 S31 746-JPVZ PLC 1111, 100А, 380В</t>
  </si>
  <si>
    <t xml:space="preserve">Счётчик/прибор — 3 шт — по одному на каждый ввод ГРЩ — цена По запросу</t>
  </si>
  <si>
    <t xml:space="preserve">1.10</t>
  </si>
  <si>
    <t xml:space="preserve">Монтажный материал</t>
  </si>
  <si>
    <t xml:space="preserve">компл</t>
  </si>
  <si>
    <t xml:space="preserve">1.11</t>
  </si>
  <si>
    <t xml:space="preserve">Монтажная работа</t>
  </si>
  <si>
    <t xml:space="preserve">Итого по ГРЩ (ЩМП-18.8.4-0 36 УХЛ3 IP31) (без корпуса Teksan f):</t>
  </si>
  <si>
    <t xml:space="preserve">КОМПЛЕКТ 2.  ЩС-В (ЩРн-12з-0 36 УХЛ3 IP54)  |  Альбом 7.4 ЭОМ (Гараж)</t>
  </si>
  <si>
    <t xml:space="preserve">2.1</t>
  </si>
  <si>
    <t xml:space="preserve">Корпус — ЩРн-12з-0 36 УХЛ3 IP54</t>
  </si>
  <si>
    <t xml:space="preserve">2.2</t>
  </si>
  <si>
    <t xml:space="preserve">Ввод QF1 20А 3P</t>
  </si>
  <si>
    <t xml:space="preserve">2.3</t>
  </si>
  <si>
    <t xml:space="preserve">Авт.выкл. NB1-63 1P C16 6кА</t>
  </si>
  <si>
    <t xml:space="preserve">179616</t>
  </si>
  <si>
    <t xml:space="preserve">SF2, SF3</t>
  </si>
  <si>
    <t xml:space="preserve">2.4</t>
  </si>
  <si>
    <t xml:space="preserve">Контактор NXC-09 9А 220В/АС3</t>
  </si>
  <si>
    <t xml:space="preserve">836704</t>
  </si>
  <si>
    <t xml:space="preserve">КМИ 10910 9А — В1+В2+В3</t>
  </si>
  <si>
    <t xml:space="preserve">2.5</t>
  </si>
  <si>
    <t xml:space="preserve">Независимый расцепитель S9 для NB1-63</t>
  </si>
  <si>
    <t xml:space="preserve">184986</t>
  </si>
  <si>
    <t xml:space="preserve">Независимый расцепитель DRX — пожарный сигнал</t>
  </si>
  <si>
    <t xml:space="preserve">2.6</t>
  </si>
  <si>
    <t xml:space="preserve">2.7</t>
  </si>
  <si>
    <t xml:space="preserve">Итого по ЩС-В (ЩРн-12з-0 36 УХЛ3 IP54) (без корпуса Teksan f):</t>
  </si>
  <si>
    <t xml:space="preserve">КОМПЛЕКТ 3.  ЩС-П (ЩРн-24з-0 36 УХЛ3 IP54)  |  Альбом 7.4 ЭОМ (Гараж)</t>
  </si>
  <si>
    <t xml:space="preserve">3.1</t>
  </si>
  <si>
    <t xml:space="preserve">Корпус — ЩРн-24з-0 36 УХЛ3 IP54</t>
  </si>
  <si>
    <t xml:space="preserve">3.2</t>
  </si>
  <si>
    <t xml:space="preserve">Выкл.нагрузки NH4 3P 32А</t>
  </si>
  <si>
    <t xml:space="preserve">398043</t>
  </si>
  <si>
    <t xml:space="preserve">ВН-32 25А</t>
  </si>
  <si>
    <t xml:space="preserve">3.3</t>
  </si>
  <si>
    <t xml:space="preserve">Диф.авт. NB1L 1P+N C16 30мА 6кА</t>
  </si>
  <si>
    <t xml:space="preserve">203019</t>
  </si>
  <si>
    <t xml:space="preserve">АВДТ DX3 1P+N 16А 30мА</t>
  </si>
  <si>
    <t xml:space="preserve">3.4</t>
  </si>
  <si>
    <t xml:space="preserve">Авт.выкл. NB1-63 3P C16 6кА</t>
  </si>
  <si>
    <t xml:space="preserve">179700</t>
  </si>
  <si>
    <t xml:space="preserve">TX3 16А 3P</t>
  </si>
  <si>
    <t xml:space="preserve">3.5</t>
  </si>
  <si>
    <t xml:space="preserve">TX3 16А 1P</t>
  </si>
  <si>
    <t xml:space="preserve">3.6</t>
  </si>
  <si>
    <t xml:space="preserve">3.7</t>
  </si>
  <si>
    <t xml:space="preserve">Итого по ЩС-П (ЩРн-24з-0 36 УХЛ3 IP54) (без корпуса Teksan f):</t>
  </si>
  <si>
    <t xml:space="preserve">КОМПЛЕКТ 4.  ЩС-ПО (ЩРн-12з-0 36 УХЛ3 IP54)  |  Альбом 7.4 ЭОМ (Гараж)</t>
  </si>
  <si>
    <t xml:space="preserve">4.1</t>
  </si>
  <si>
    <t xml:space="preserve">4.2</t>
  </si>
  <si>
    <t xml:space="preserve">Выкл.нагрузки NH4 3P 100А</t>
  </si>
  <si>
    <t xml:space="preserve">398042</t>
  </si>
  <si>
    <t xml:space="preserve">ВН-32 100А</t>
  </si>
  <si>
    <t xml:space="preserve">4.3</t>
  </si>
  <si>
    <t xml:space="preserve">Авт.выкл. NM8N-125C TM 3P 80А 36кА</t>
  </si>
  <si>
    <t xml:space="preserve">271538</t>
  </si>
  <si>
    <t xml:space="preserve">DPX3 80А — Дп1</t>
  </si>
  <si>
    <t xml:space="preserve">4.4</t>
  </si>
  <si>
    <t xml:space="preserve">4.5</t>
  </si>
  <si>
    <t xml:space="preserve">4.6</t>
  </si>
  <si>
    <t xml:space="preserve">4.7</t>
  </si>
  <si>
    <t xml:space="preserve">Итого по ЩС-ПО (ЩРн-12з-0 36 УХЛ3 IP54) (без корпуса Teksan f):</t>
  </si>
  <si>
    <t xml:space="preserve">КОМПЛЕКТ 5.  ЩС-Пн (ЩРн-12з-0 36 УХЛ3 IP54)  |  Альбом 7.4 ЭОМ (Гараж)</t>
  </si>
  <si>
    <t xml:space="preserve">5.1</t>
  </si>
  <si>
    <t xml:space="preserve">5.2</t>
  </si>
  <si>
    <t xml:space="preserve">Ввод</t>
  </si>
  <si>
    <t xml:space="preserve">5.3</t>
  </si>
  <si>
    <t xml:space="preserve">Пн1, Пн2 + Зд1</t>
  </si>
  <si>
    <t xml:space="preserve">5.4</t>
  </si>
  <si>
    <t xml:space="preserve">5.5</t>
  </si>
  <si>
    <t xml:space="preserve">Итого по ЩС-Пн (ЩРн-12з-0 36 УХЛ3 IP54) (без корпуса Teksan f):</t>
  </si>
  <si>
    <t xml:space="preserve">КОМПЛЕКТ 6.  ЩС-Вр (ЩРн-18з-0 36 УХЛ3 IP54)  |  Альбом 7.4 ЭОМ (Гараж)</t>
  </si>
  <si>
    <t xml:space="preserve">6.1</t>
  </si>
  <si>
    <t xml:space="preserve">Корпус — ЩРн-18з-0 36 УХЛ3 IP54</t>
  </si>
  <si>
    <t xml:space="preserve">6.2</t>
  </si>
  <si>
    <t xml:space="preserve">ВН-32 20А</t>
  </si>
  <si>
    <t xml:space="preserve">6.3</t>
  </si>
  <si>
    <t xml:space="preserve">SF1..SF5 — Вр1..Вр5</t>
  </si>
  <si>
    <t xml:space="preserve">6.4</t>
  </si>
  <si>
    <t xml:space="preserve">6.5</t>
  </si>
  <si>
    <t xml:space="preserve">Итого по ЩС-Вр (ЩРн-18з-0 36 УХЛ3 IP54) (без корпуса Teksan f):</t>
  </si>
  <si>
    <t xml:space="preserve">КОМПЛЕКТ 7.  ЩО (ЩРн-12з-0 36 УХЛ3 IP54)  |  Альбом 7.4 ЭОМ (Гараж)</t>
  </si>
  <si>
    <t xml:space="preserve">7.1</t>
  </si>
  <si>
    <t xml:space="preserve">7.2</t>
  </si>
  <si>
    <t xml:space="preserve">7.3</t>
  </si>
  <si>
    <t xml:space="preserve">SF1..SF5</t>
  </si>
  <si>
    <t xml:space="preserve">7.4</t>
  </si>
  <si>
    <t xml:space="preserve">ЯТП-0,25 230/36В IEK (MTT12-036-0250)</t>
  </si>
  <si>
    <t xml:space="preserve">MTT12-036-0250</t>
  </si>
  <si>
    <t xml:space="preserve">ЯТП 220→36В — гр.1 и гр.3</t>
  </si>
  <si>
    <t xml:space="preserve">7.5</t>
  </si>
  <si>
    <t xml:space="preserve">7.6</t>
  </si>
  <si>
    <t xml:space="preserve">Итого по ЩО (ЩРн-12з-0 36 УХЛ3 IP54) (без корпуса Teksan f):</t>
  </si>
  <si>
    <t xml:space="preserve">───  ЭО — КОНЦЕРТНЫЙ ЗАЛ  ───</t>
  </si>
  <si>
    <t xml:space="preserve">КОМПЛЕКТ 8.  ЩО-1.1 (ЩРн-36з-0 36 УХЛ3 IP54)  |  Альбом 7.1 ЭО (Концертный зал)</t>
  </si>
  <si>
    <t xml:space="preserve">8.1</t>
  </si>
  <si>
    <t xml:space="preserve">Корпус — ЩРн-36з-0 36 УХЛ3 IP54</t>
  </si>
  <si>
    <t xml:space="preserve">Альбом 7.1 ЭО (Концертный зал)</t>
  </si>
  <si>
    <t xml:space="preserve">8.2</t>
  </si>
  <si>
    <t xml:space="preserve">8.3</t>
  </si>
  <si>
    <t xml:space="preserve">8.4</t>
  </si>
  <si>
    <t xml:space="preserve">8.5</t>
  </si>
  <si>
    <t xml:space="preserve">8.6</t>
  </si>
  <si>
    <t xml:space="preserve">Клеммник монтажный (аналог NSYTRV162)</t>
  </si>
  <si>
    <t xml:space="preserve">NSYTRV162</t>
  </si>
  <si>
    <t xml:space="preserve">8.7</t>
  </si>
  <si>
    <t xml:space="preserve">8.8</t>
  </si>
  <si>
    <t xml:space="preserve">Итого по ЩО-1.1 (ЩРн-36з-0 36 УХЛ3 IP54) (без корпуса Teksan f):</t>
  </si>
  <si>
    <t xml:space="preserve">КОМПЛЕКТ 9.  ЩО-1.2 (ЩРн-12з-0 36 УХЛ3 IP54)  |  Альбом 7.1 ЭО (Концертный зал)</t>
  </si>
  <si>
    <t xml:space="preserve">9.1</t>
  </si>
  <si>
    <t xml:space="preserve">9.2</t>
  </si>
  <si>
    <t xml:space="preserve">9.3</t>
  </si>
  <si>
    <t xml:space="preserve">9.4</t>
  </si>
  <si>
    <t xml:space="preserve">9.5</t>
  </si>
  <si>
    <t xml:space="preserve">9.6</t>
  </si>
  <si>
    <t xml:space="preserve">9.7</t>
  </si>
  <si>
    <t xml:space="preserve">9.8</t>
  </si>
  <si>
    <t xml:space="preserve">Итого по ЩО-1.2 (ЩРн-12з-0 36 УХЛ3 IP54) (без корпуса Teksan f):</t>
  </si>
  <si>
    <t xml:space="preserve">КОМПЛЕКТ 10.  ЩО-1.3 (ЩРн-36з-0 36 УХЛ3 IP54)  |  Альбом 7.1 ЭО (Концертный зал)</t>
  </si>
  <si>
    <t xml:space="preserve">10.1</t>
  </si>
  <si>
    <t xml:space="preserve">10.2</t>
  </si>
  <si>
    <t xml:space="preserve">10.3</t>
  </si>
  <si>
    <t xml:space="preserve">10.4</t>
  </si>
  <si>
    <t xml:space="preserve">10.5</t>
  </si>
  <si>
    <t xml:space="preserve">10.6</t>
  </si>
  <si>
    <t xml:space="preserve">10.7</t>
  </si>
  <si>
    <t xml:space="preserve">10.8</t>
  </si>
  <si>
    <t xml:space="preserve">Итого по ЩО-1.3 (ЩРн-36з-0 36 УХЛ3 IP54) (без корпуса Teksan f):</t>
  </si>
  <si>
    <t xml:space="preserve">КОМПЛЕКТ 11.  ЩО-2.1 (ЩРн-12з-0 36 УХЛ3 IP54)  |  Альбом 7.1 ЭО (Концертный зал)</t>
  </si>
  <si>
    <t xml:space="preserve">11.1</t>
  </si>
  <si>
    <t xml:space="preserve">11.2</t>
  </si>
  <si>
    <t xml:space="preserve">11.3</t>
  </si>
  <si>
    <t xml:space="preserve">11.4</t>
  </si>
  <si>
    <t xml:space="preserve">11.5</t>
  </si>
  <si>
    <t xml:space="preserve">11.6</t>
  </si>
  <si>
    <t xml:space="preserve">11.7</t>
  </si>
  <si>
    <t xml:space="preserve">11.8</t>
  </si>
  <si>
    <t xml:space="preserve">Итого по ЩО-2.1 (ЩРн-12з-0 36 УХЛ3 IP54) (без корпуса Teksan f):</t>
  </si>
  <si>
    <t xml:space="preserve">КОМПЛЕКТ 12.  ЩО-2.2 (ЩРн-18з-0 36 УХЛ3 IP54)  |  Альбом 7.1 ЭО (Концертный зал)</t>
  </si>
  <si>
    <t xml:space="preserve">12.1</t>
  </si>
  <si>
    <t xml:space="preserve">12.2</t>
  </si>
  <si>
    <t xml:space="preserve">12.3</t>
  </si>
  <si>
    <t xml:space="preserve">12.4</t>
  </si>
  <si>
    <t xml:space="preserve">12.5</t>
  </si>
  <si>
    <t xml:space="preserve">12.6</t>
  </si>
  <si>
    <t xml:space="preserve">12.7</t>
  </si>
  <si>
    <t xml:space="preserve">12.8</t>
  </si>
  <si>
    <t xml:space="preserve">Итого по ЩО-2.2 (ЩРн-18з-0 36 УХЛ3 IP54) (без корпуса Teksan f):</t>
  </si>
  <si>
    <t xml:space="preserve">КОМПЛЕКТ 13.  ЩО-3.1 (ЩРн-18з-0 36 УХЛ3 IP54)  |  Альбом 7.1 ЭО (Концертный зал)</t>
  </si>
  <si>
    <t xml:space="preserve">13.1</t>
  </si>
  <si>
    <t xml:space="preserve">13.2</t>
  </si>
  <si>
    <t xml:space="preserve">13.3</t>
  </si>
  <si>
    <t xml:space="preserve">13.4</t>
  </si>
  <si>
    <t xml:space="preserve">13.5</t>
  </si>
  <si>
    <t xml:space="preserve">13.6</t>
  </si>
  <si>
    <t xml:space="preserve">13.7</t>
  </si>
  <si>
    <t xml:space="preserve">13.8</t>
  </si>
  <si>
    <t xml:space="preserve">Итого по ЩО-3.1 (ЩРн-18з-0 36 УХЛ3 IP54) (без корпуса Teksan f):</t>
  </si>
  <si>
    <t xml:space="preserve">КОМПЛЕКТ 14.  ЩО-3.2 (ЩРн-18з-0 36 УХЛ3 IP54)  |  Альбом 7.1 ЭО (Концертный зал)</t>
  </si>
  <si>
    <t xml:space="preserve">14.1</t>
  </si>
  <si>
    <t xml:space="preserve">14.2</t>
  </si>
  <si>
    <t xml:space="preserve">14.3</t>
  </si>
  <si>
    <t xml:space="preserve">14.4</t>
  </si>
  <si>
    <t xml:space="preserve">14.5</t>
  </si>
  <si>
    <t xml:space="preserve">14.6</t>
  </si>
  <si>
    <t xml:space="preserve">14.7</t>
  </si>
  <si>
    <t xml:space="preserve">14.8</t>
  </si>
  <si>
    <t xml:space="preserve">Итого по ЩО-3.2 (ЩРн-18з-0 36 УХЛ3 IP54) (без корпуса Teksan f):</t>
  </si>
  <si>
    <t xml:space="preserve">КОМПЛЕКТ 15.  ЩО-3.3 (ЩРн-12з-0 36 УХЛ3 IP54)  |  Альбом 7.1 ЭО (Концертный зал)</t>
  </si>
  <si>
    <t xml:space="preserve">15.1</t>
  </si>
  <si>
    <t xml:space="preserve">15.2</t>
  </si>
  <si>
    <t xml:space="preserve">15.3</t>
  </si>
  <si>
    <t xml:space="preserve">15.4</t>
  </si>
  <si>
    <t xml:space="preserve">15.5</t>
  </si>
  <si>
    <t xml:space="preserve">15.6</t>
  </si>
  <si>
    <t xml:space="preserve">15.7</t>
  </si>
  <si>
    <t xml:space="preserve">15.8</t>
  </si>
  <si>
    <t xml:space="preserve">Итого по ЩО-3.3 (ЩРн-12з-0 36 УХЛ3 IP54) (без корпуса Teksan f):</t>
  </si>
  <si>
    <t xml:space="preserve">КОМПЛЕКТ 16.  ЩО-Зз (ЩРн-18з-0 36 УХЛ3 IP54)  |  Альбом 7.1 ЭО (Концертный зал)</t>
  </si>
  <si>
    <t xml:space="preserve">16.1</t>
  </si>
  <si>
    <t xml:space="preserve">16.2</t>
  </si>
  <si>
    <t xml:space="preserve">16.3</t>
  </si>
  <si>
    <t xml:space="preserve">16.4</t>
  </si>
  <si>
    <t xml:space="preserve">16.5</t>
  </si>
  <si>
    <t xml:space="preserve">16.6</t>
  </si>
  <si>
    <t xml:space="preserve">16.7</t>
  </si>
  <si>
    <t xml:space="preserve">16.8</t>
  </si>
  <si>
    <t xml:space="preserve">Итого по ЩО-Зз (ЩРн-18з-0 36 УХЛ3 IP54) (без корпуса Teksan f):</t>
  </si>
  <si>
    <t xml:space="preserve">КОМПЛЕКТ 17.  ЩОА-1.1 (ЩРн-12з-0 36 УХЛ3 IP54)  |  Альбом 7.1 ЭО (Концертный зал)</t>
  </si>
  <si>
    <t xml:space="preserve">17.1</t>
  </si>
  <si>
    <t xml:space="preserve">17.2</t>
  </si>
  <si>
    <t xml:space="preserve">17.3</t>
  </si>
  <si>
    <t xml:space="preserve">17.4</t>
  </si>
  <si>
    <t xml:space="preserve">17.5</t>
  </si>
  <si>
    <t xml:space="preserve">Итого по ЩОА-1.1 (ЩРн-12з-0 36 УХЛ3 IP54) (без корпуса Teksan f):</t>
  </si>
  <si>
    <t xml:space="preserve">КОМПЛЕКТ 18.  ЩОА-1.2 (ЩРн-12з-0 36 УХЛ3 IP54)  |  Альбом 7.1 ЭО (Концертный зал)</t>
  </si>
  <si>
    <t xml:space="preserve">18.1</t>
  </si>
  <si>
    <t xml:space="preserve">18.2</t>
  </si>
  <si>
    <t xml:space="preserve">18.3</t>
  </si>
  <si>
    <t xml:space="preserve">18.4</t>
  </si>
  <si>
    <t xml:space="preserve">18.5</t>
  </si>
  <si>
    <t xml:space="preserve">Итого по ЩОА-1.2 (ЩРн-12з-0 36 УХЛ3 IP54) (без корпуса Teksan f):</t>
  </si>
  <si>
    <t xml:space="preserve">КОМПЛЕКТ 19.  ЩОА-1.3 (ЩРн-12з-0 36 УХЛ3 IP54)  |  Альбом 7.1 ЭО (Концертный зал)</t>
  </si>
  <si>
    <t xml:space="preserve">19.1</t>
  </si>
  <si>
    <t xml:space="preserve">19.2</t>
  </si>
  <si>
    <t xml:space="preserve">19.3</t>
  </si>
  <si>
    <t xml:space="preserve">19.4</t>
  </si>
  <si>
    <t xml:space="preserve">19.5</t>
  </si>
  <si>
    <t xml:space="preserve">Итого по ЩОА-1.3 (ЩРн-12з-0 36 УХЛ3 IP54) (без корпуса Teksan f):</t>
  </si>
  <si>
    <t xml:space="preserve">КОМПЛЕКТ 20.  ЩОА-2.1 (ЩРн-12з-0 36 УХЛ3 IP54)  |  Альбом 7.1 ЭО (Концертный зал)</t>
  </si>
  <si>
    <t xml:space="preserve">20.1</t>
  </si>
  <si>
    <t xml:space="preserve">20.2</t>
  </si>
  <si>
    <t xml:space="preserve">20.3</t>
  </si>
  <si>
    <t xml:space="preserve">20.4</t>
  </si>
  <si>
    <t xml:space="preserve">20.5</t>
  </si>
  <si>
    <t xml:space="preserve">Итого по ЩОА-2.1 (ЩРн-12з-0 36 УХЛ3 IP54) (без корпуса Teksan f):</t>
  </si>
  <si>
    <t xml:space="preserve">КОМПЛЕКТ 21.  ЩОА-2.2 (ЩРн-12з-0 36 УХЛ3 IP54)  |  Альбом 7.1 ЭО (Концертный зал)</t>
  </si>
  <si>
    <t xml:space="preserve">21.1</t>
  </si>
  <si>
    <t xml:space="preserve">21.2</t>
  </si>
  <si>
    <t xml:space="preserve">21.3</t>
  </si>
  <si>
    <t xml:space="preserve">21.4</t>
  </si>
  <si>
    <t xml:space="preserve">21.5</t>
  </si>
  <si>
    <t xml:space="preserve">Итого по ЩОА-2.2 (ЩРн-12з-0 36 УХЛ3 IP54) (без корпуса Teksan f):</t>
  </si>
  <si>
    <t xml:space="preserve">КОМПЛЕКТ 22.  ЩОА-3.1 (ЩРн-12з-0 36 УХЛ3 IP54)  |  Альбом 7.1 ЭО (Концертный зал)</t>
  </si>
  <si>
    <t xml:space="preserve">22.1</t>
  </si>
  <si>
    <t xml:space="preserve">22.2</t>
  </si>
  <si>
    <t xml:space="preserve">22.3</t>
  </si>
  <si>
    <t xml:space="preserve">22.4</t>
  </si>
  <si>
    <t xml:space="preserve">22.5</t>
  </si>
  <si>
    <t xml:space="preserve">Итого по ЩОА-3.1 (ЩРн-12з-0 36 УХЛ3 IP54) (без корпуса Teksan f):</t>
  </si>
  <si>
    <t xml:space="preserve">КОМПЛЕКТ 23.  ЩОА-3.2 (ЩРн-12з-0 36 УХЛ3 IP54)  |  Альбом 7.1 ЭО (Концертный зал)</t>
  </si>
  <si>
    <t xml:space="preserve">23.1</t>
  </si>
  <si>
    <t xml:space="preserve">23.2</t>
  </si>
  <si>
    <t xml:space="preserve">23.3</t>
  </si>
  <si>
    <t xml:space="preserve">23.4</t>
  </si>
  <si>
    <t xml:space="preserve">23.5</t>
  </si>
  <si>
    <t xml:space="preserve">Итого по ЩОА-3.2 (ЩРн-12з-0 36 УХЛ3 IP54) (без корпуса Teksan f):</t>
  </si>
  <si>
    <t xml:space="preserve">───  ЭО — МУЗЕЙ  ───</t>
  </si>
  <si>
    <t xml:space="preserve">КОМПЛЕКТ 24.  МЗ-ЩО-0.1 (ЩРн-24з-0 36 УХЛ3 IP54)  |  Альбом 7.1 ЭО (Музей)</t>
  </si>
  <si>
    <t xml:space="preserve">24.1</t>
  </si>
  <si>
    <t xml:space="preserve">Альбом 7.1 ЭО (Музей)</t>
  </si>
  <si>
    <t xml:space="preserve">24.2</t>
  </si>
  <si>
    <t xml:space="preserve">24.3</t>
  </si>
  <si>
    <t xml:space="preserve">24.4</t>
  </si>
  <si>
    <t xml:space="preserve">24.5</t>
  </si>
  <si>
    <t xml:space="preserve">24.6</t>
  </si>
  <si>
    <t xml:space="preserve">24.7</t>
  </si>
  <si>
    <t xml:space="preserve">24.8</t>
  </si>
  <si>
    <t xml:space="preserve">Итого по МЗ-ЩО-0.1 (ЩРн-24з-0 36 УХЛ3 IP54) (без корпуса Teksan f):</t>
  </si>
  <si>
    <t xml:space="preserve">КОМПЛЕКТ 25.  МЗ-ЩО-0.2 (ЩРн-24з-0 36 УХЛ3 IP54)  |  Альбом 7.1 ЭО (Музей)</t>
  </si>
  <si>
    <t xml:space="preserve">25.1</t>
  </si>
  <si>
    <t xml:space="preserve">25.2</t>
  </si>
  <si>
    <t xml:space="preserve">25.3</t>
  </si>
  <si>
    <t xml:space="preserve">25.4</t>
  </si>
  <si>
    <t xml:space="preserve">25.5</t>
  </si>
  <si>
    <t xml:space="preserve">25.6</t>
  </si>
  <si>
    <t xml:space="preserve">25.7</t>
  </si>
  <si>
    <t xml:space="preserve">25.8</t>
  </si>
  <si>
    <t xml:space="preserve">Итого по МЗ-ЩО-0.2 (ЩРн-24з-0 36 УХЛ3 IP54) (без корпуса Teksan f):</t>
  </si>
  <si>
    <t xml:space="preserve">КОМПЛЕКТ 26.  МЗ-ЩО-1.1 (ЩРн-18з-0 36 УХЛ3 IP54)  |  Альбом 7.1 ЭО (Музей)</t>
  </si>
  <si>
    <t xml:space="preserve">26.1</t>
  </si>
  <si>
    <t xml:space="preserve">26.2</t>
  </si>
  <si>
    <t xml:space="preserve">26.3</t>
  </si>
  <si>
    <t xml:space="preserve">26.4</t>
  </si>
  <si>
    <t xml:space="preserve">26.5</t>
  </si>
  <si>
    <t xml:space="preserve">26.6</t>
  </si>
  <si>
    <t xml:space="preserve">26.7</t>
  </si>
  <si>
    <t xml:space="preserve">26.8</t>
  </si>
  <si>
    <t xml:space="preserve">Итого по МЗ-ЩО-1.1 (ЩРн-18з-0 36 УХЛ3 IP54) (без корпуса Teksan f):</t>
  </si>
  <si>
    <t xml:space="preserve">КОМПЛЕКТ 27.  МЗ-ЩО-1.2 (ЩРн-18з-0 36 УХЛ3 IP54)  |  Альбом 7.1 ЭО (Музей)</t>
  </si>
  <si>
    <t xml:space="preserve">27.1</t>
  </si>
  <si>
    <t xml:space="preserve">27.2</t>
  </si>
  <si>
    <t xml:space="preserve">27.3</t>
  </si>
  <si>
    <t xml:space="preserve">27.4</t>
  </si>
  <si>
    <t xml:space="preserve">27.5</t>
  </si>
  <si>
    <t xml:space="preserve">27.6</t>
  </si>
  <si>
    <t xml:space="preserve">27.7</t>
  </si>
  <si>
    <t xml:space="preserve">27.8</t>
  </si>
  <si>
    <t xml:space="preserve">Итого по МЗ-ЩО-1.2 (ЩРн-18з-0 36 УХЛ3 IP54) (без корпуса Teksan f):</t>
  </si>
  <si>
    <t xml:space="preserve">КОМПЛЕКТ 28.  МЗ-ЩО-2.1 (ЩРн-24з-0 36 УХЛ3 IP54)  |  Альбом 7.1 ЭО (Музей)</t>
  </si>
  <si>
    <t xml:space="preserve">28.1</t>
  </si>
  <si>
    <t xml:space="preserve">28.2</t>
  </si>
  <si>
    <t xml:space="preserve">28.3</t>
  </si>
  <si>
    <t xml:space="preserve">28.4</t>
  </si>
  <si>
    <t xml:space="preserve">28.5</t>
  </si>
  <si>
    <t xml:space="preserve">28.6</t>
  </si>
  <si>
    <t xml:space="preserve">28.7</t>
  </si>
  <si>
    <t xml:space="preserve">28.8</t>
  </si>
  <si>
    <t xml:space="preserve">Итого по МЗ-ЩО-2.1 (ЩРн-24з-0 36 УХЛ3 IP54) (без корпуса Teksan f):</t>
  </si>
  <si>
    <t xml:space="preserve">КОМПЛЕКТ 29.  МЗ-ЩО-2.2 (ЩРн-18з-0 36 УХЛ3 IP54)  |  Альбом 7.1 ЭО (Музей)</t>
  </si>
  <si>
    <t xml:space="preserve">29.1</t>
  </si>
  <si>
    <t xml:space="preserve">29.2</t>
  </si>
  <si>
    <t xml:space="preserve">29.3</t>
  </si>
  <si>
    <t xml:space="preserve">29.4</t>
  </si>
  <si>
    <t xml:space="preserve">29.5</t>
  </si>
  <si>
    <t xml:space="preserve">29.6</t>
  </si>
  <si>
    <t xml:space="preserve">29.7</t>
  </si>
  <si>
    <t xml:space="preserve">Итого по МЗ-ЩО-2.2 (ЩРн-18з-0 36 УХЛ3 IP54) (без корпуса Teksan f):</t>
  </si>
  <si>
    <t xml:space="preserve">КОМПЛЕКТ 30.  МЗ-ЩО-3.1 (ЩРн-12з-0 36 УХЛ3 IP54)  |  Альбом 7.1 ЭО (Музей)</t>
  </si>
  <si>
    <t xml:space="preserve">30.1</t>
  </si>
  <si>
    <t xml:space="preserve">30.2</t>
  </si>
  <si>
    <t xml:space="preserve">30.3</t>
  </si>
  <si>
    <t xml:space="preserve">30.4</t>
  </si>
  <si>
    <t xml:space="preserve">30.5</t>
  </si>
  <si>
    <t xml:space="preserve">30.6</t>
  </si>
  <si>
    <t xml:space="preserve">30.7</t>
  </si>
  <si>
    <t xml:space="preserve">Итого по МЗ-ЩО-3.1 (ЩРн-12з-0 36 УХЛ3 IP54) (без корпуса Teksan f):</t>
  </si>
  <si>
    <t xml:space="preserve">КОМПЛЕКТ 31.  МЗ-ЩО-3.2 (ЩРн-12з-0 36 УХЛ3 IP54)  |  Альбом 7.1 ЭО (Музей)</t>
  </si>
  <si>
    <t xml:space="preserve">31.1</t>
  </si>
  <si>
    <t xml:space="preserve">31.2</t>
  </si>
  <si>
    <t xml:space="preserve">31.3</t>
  </si>
  <si>
    <t xml:space="preserve">31.4</t>
  </si>
  <si>
    <t xml:space="preserve">31.5</t>
  </si>
  <si>
    <t xml:space="preserve">31.6</t>
  </si>
  <si>
    <t xml:space="preserve">31.7</t>
  </si>
  <si>
    <t xml:space="preserve">Итого по МЗ-ЩО-3.2 (ЩРн-12з-0 36 УХЛ3 IP54) (без корпуса Teksan f):</t>
  </si>
  <si>
    <t xml:space="preserve">КОМПЛЕКТ 32.  МЗ-ЩО-4.1 (ЩРн-18з-0 36 УХЛ3 IP54)  |  Альбом 7.1 ЭО (Музей)</t>
  </si>
  <si>
    <t xml:space="preserve">32.1</t>
  </si>
  <si>
    <t xml:space="preserve">32.2</t>
  </si>
  <si>
    <t xml:space="preserve">32.3</t>
  </si>
  <si>
    <t xml:space="preserve">32.4</t>
  </si>
  <si>
    <t xml:space="preserve">32.5</t>
  </si>
  <si>
    <t xml:space="preserve">32.6</t>
  </si>
  <si>
    <t xml:space="preserve">32.7</t>
  </si>
  <si>
    <t xml:space="preserve">Итого по МЗ-ЩО-4.1 (ЩРн-18з-0 36 УХЛ3 IP54) (без корпуса Teksan f):</t>
  </si>
  <si>
    <t xml:space="preserve">КОМПЛЕКТ 33.  МЗ-ЩО-4.2 (ЩРн-18з-0 36 УХЛ3 IP54)  |  Альбом 7.1 ЭО (Музей)</t>
  </si>
  <si>
    <t xml:space="preserve">33.1</t>
  </si>
  <si>
    <t xml:space="preserve">33.2</t>
  </si>
  <si>
    <t xml:space="preserve">33.3</t>
  </si>
  <si>
    <t xml:space="preserve">33.4</t>
  </si>
  <si>
    <t xml:space="preserve">33.5</t>
  </si>
  <si>
    <t xml:space="preserve">33.6</t>
  </si>
  <si>
    <t xml:space="preserve">33.7</t>
  </si>
  <si>
    <t xml:space="preserve">Итого по МЗ-ЩО-4.2 (ЩРн-18з-0 36 УХЛ3 IP54) (без корпуса Teksan f):</t>
  </si>
  <si>
    <t xml:space="preserve">КОМПЛЕКТ 34.  МЗ-ЩОА-0.1  |  Альбом 7.1 ЭО (Музей)</t>
  </si>
  <si>
    <t xml:space="preserve">34.1</t>
  </si>
  <si>
    <t xml:space="preserve">34.2</t>
  </si>
  <si>
    <t xml:space="preserve">34.3</t>
  </si>
  <si>
    <t xml:space="preserve">34.4</t>
  </si>
  <si>
    <t xml:space="preserve">34.5</t>
  </si>
  <si>
    <t xml:space="preserve">Итого по МЗ-ЩОА-0.1 (без корпуса Teksan f):</t>
  </si>
  <si>
    <t xml:space="preserve">КОМПЛЕКТ 35.  МЗ-ЩОА-0.2  |  Альбом 7.1 ЭО (Музей)</t>
  </si>
  <si>
    <t xml:space="preserve">35.1</t>
  </si>
  <si>
    <t xml:space="preserve">35.2</t>
  </si>
  <si>
    <t xml:space="preserve">35.3</t>
  </si>
  <si>
    <t xml:space="preserve">35.4</t>
  </si>
  <si>
    <t xml:space="preserve">35.5</t>
  </si>
  <si>
    <t xml:space="preserve">Итого по МЗ-ЩОА-0.2 (без корпуса Teksan f):</t>
  </si>
  <si>
    <t xml:space="preserve">КОМПЛЕКТ 36.  МЗ-ЩОА-1.1  |  Альбом 7.1 ЭО (Музей)</t>
  </si>
  <si>
    <t xml:space="preserve">36.1</t>
  </si>
  <si>
    <t xml:space="preserve">36.2</t>
  </si>
  <si>
    <t xml:space="preserve">36.3</t>
  </si>
  <si>
    <t xml:space="preserve">36.4</t>
  </si>
  <si>
    <t xml:space="preserve">36.5</t>
  </si>
  <si>
    <t xml:space="preserve">Итого по МЗ-ЩОА-1.1 (без корпуса Teksan f):</t>
  </si>
  <si>
    <t xml:space="preserve">КОМПЛЕКТ 37.  МЗ-ЩОА-1.2  |  Альбом 7.1 ЭО (Музей)</t>
  </si>
  <si>
    <t xml:space="preserve">37.1</t>
  </si>
  <si>
    <t xml:space="preserve">37.2</t>
  </si>
  <si>
    <t xml:space="preserve">37.3</t>
  </si>
  <si>
    <t xml:space="preserve">37.4</t>
  </si>
  <si>
    <t xml:space="preserve">37.5</t>
  </si>
  <si>
    <t xml:space="preserve">Итого по МЗ-ЩОА-1.2 (без корпуса Teksan f):</t>
  </si>
  <si>
    <t xml:space="preserve">КОМПЛЕКТ 38.  МЗ-ЩОА-2.1  |  Альбом 7.1 ЭО (Музей)</t>
  </si>
  <si>
    <t xml:space="preserve">38.1</t>
  </si>
  <si>
    <t xml:space="preserve">38.2</t>
  </si>
  <si>
    <t xml:space="preserve">38.3</t>
  </si>
  <si>
    <t xml:space="preserve">38.4</t>
  </si>
  <si>
    <t xml:space="preserve">38.5</t>
  </si>
  <si>
    <t xml:space="preserve">Итого по МЗ-ЩОА-2.1 (без корпуса Teksan f):</t>
  </si>
  <si>
    <t xml:space="preserve">КОМПЛЕКТ 39.  МЗ-ЩОА-2.2  |  Альбом 7.1 ЭО (Музей)</t>
  </si>
  <si>
    <t xml:space="preserve">39.1</t>
  </si>
  <si>
    <t xml:space="preserve">39.2</t>
  </si>
  <si>
    <t xml:space="preserve">39.3</t>
  </si>
  <si>
    <t xml:space="preserve">39.4</t>
  </si>
  <si>
    <t xml:space="preserve">39.5</t>
  </si>
  <si>
    <t xml:space="preserve">Итого по МЗ-ЩОА-2.2 (без корпуса Teksan f):</t>
  </si>
  <si>
    <t xml:space="preserve">КОМПЛЕКТ 40.  МЗ-ЩОА-3.1  |  Альбом 7.1 ЭО (Музей)</t>
  </si>
  <si>
    <t xml:space="preserve">40.1</t>
  </si>
  <si>
    <t xml:space="preserve">40.2</t>
  </si>
  <si>
    <t xml:space="preserve">40.3</t>
  </si>
  <si>
    <t xml:space="preserve">40.4</t>
  </si>
  <si>
    <t xml:space="preserve">40.5</t>
  </si>
  <si>
    <t xml:space="preserve">Итого по МЗ-ЩОА-3.1 (без корпуса Teksan f):</t>
  </si>
  <si>
    <t xml:space="preserve">КОМПЛЕКТ 41.  МЗ-ЩОА-3.2  |  Альбом 7.1 ЭО (Музей)</t>
  </si>
  <si>
    <t xml:space="preserve">41.1</t>
  </si>
  <si>
    <t xml:space="preserve">41.2</t>
  </si>
  <si>
    <t xml:space="preserve">41.3</t>
  </si>
  <si>
    <t xml:space="preserve">41.4</t>
  </si>
  <si>
    <t xml:space="preserve">41.5</t>
  </si>
  <si>
    <t xml:space="preserve">Итого по МЗ-ЩОА-3.2 (без корпуса Teksan f):</t>
  </si>
  <si>
    <t xml:space="preserve">КОМПЛЕКТ 42.  МЗ-ЩОА-4.1  |  Альбом 7.1 ЭО (Музей)</t>
  </si>
  <si>
    <t xml:space="preserve">42.1</t>
  </si>
  <si>
    <t xml:space="preserve">42.2</t>
  </si>
  <si>
    <t xml:space="preserve">42.3</t>
  </si>
  <si>
    <t xml:space="preserve">42.4</t>
  </si>
  <si>
    <t xml:space="preserve">42.5</t>
  </si>
  <si>
    <t xml:space="preserve">Итого по МЗ-ЩОА-4.1 (без корпуса Teksan f):</t>
  </si>
  <si>
    <t xml:space="preserve">КОМПЛЕКТ 43.  МЗ-ЩОА-4.2  |  Альбом 7.1 ЭО (Музей)</t>
  </si>
  <si>
    <t xml:space="preserve">43.1</t>
  </si>
  <si>
    <t xml:space="preserve">43.2</t>
  </si>
  <si>
    <t xml:space="preserve">43.3</t>
  </si>
  <si>
    <t xml:space="preserve">43.4</t>
  </si>
  <si>
    <t xml:space="preserve">43.5</t>
  </si>
  <si>
    <t xml:space="preserve">Итого по МЗ-ЩОА-4.2 (без корпуса Teksan f):</t>
  </si>
  <si>
    <t xml:space="preserve">───  ЭО — ГАЛЕРЕЯ  ───</t>
  </si>
  <si>
    <t xml:space="preserve">КОМПЛЕКТ 44.  ГЛ-ЩО (ЩРн-24з-0 36 УХЛ3 IP54)  |  Альбом 7.1 ЭО (Галерея)</t>
  </si>
  <si>
    <t xml:space="preserve">44.1</t>
  </si>
  <si>
    <t xml:space="preserve">Альбом 7.1 ЭО (Галерея)</t>
  </si>
  <si>
    <t xml:space="preserve">44.2</t>
  </si>
  <si>
    <t xml:space="preserve">44.3</t>
  </si>
  <si>
    <t xml:space="preserve">44.4</t>
  </si>
  <si>
    <t xml:space="preserve">44.5</t>
  </si>
  <si>
    <t xml:space="preserve">44.6</t>
  </si>
  <si>
    <t xml:space="preserve">44.7</t>
  </si>
  <si>
    <t xml:space="preserve">44.8</t>
  </si>
  <si>
    <t xml:space="preserve">Итого по ГЛ-ЩО (ЩРн-24з-0 36 УХЛ3 IP54) (без корпуса Teksan f):</t>
  </si>
  <si>
    <t xml:space="preserve">КОМПЛЕКТ 45.  ГЛ-ЩОА (ЩРн-12з-0 36 УХЛ3 IP54)  |  Альбом 7.1 ЭО (Галерея)</t>
  </si>
  <si>
    <t xml:space="preserve">45.1</t>
  </si>
  <si>
    <t xml:space="preserve">45.2</t>
  </si>
  <si>
    <t xml:space="preserve">45.3</t>
  </si>
  <si>
    <t xml:space="preserve">45.4</t>
  </si>
  <si>
    <t xml:space="preserve">45.5</t>
  </si>
  <si>
    <t xml:space="preserve">Итого по ГЛ-ЩОА (ЩРн-12з-0 36 УХЛ3 IP54) (без корпуса Teksan f):</t>
  </si>
  <si>
    <t xml:space="preserve">───  ЭН — НАРУЖНОЕ ОСВЕЩЕНИЕ  ───</t>
  </si>
  <si>
    <t xml:space="preserve">КОМПЛЕКТ 46.  ЯУО (ЯУО9601-3474-IP65)  |  Альбом 3.4 ЭН (Наружное освещение)</t>
  </si>
  <si>
    <t xml:space="preserve">46.1</t>
  </si>
  <si>
    <t xml:space="preserve">Корпус — ЯУО 9601-3474-IP65</t>
  </si>
  <si>
    <t xml:space="preserve">Альбом 3.4 ЭН (Наружное освещение)</t>
  </si>
  <si>
    <t xml:space="preserve">46.2</t>
  </si>
  <si>
    <t xml:space="preserve">Авт.выкл. NB1-63 3P C32 6кА</t>
  </si>
  <si>
    <t xml:space="preserve">179705</t>
  </si>
  <si>
    <t xml:space="preserve">ВА47-29 3P 32А — ввод</t>
  </si>
  <si>
    <t xml:space="preserve">46.3</t>
  </si>
  <si>
    <t xml:space="preserve">ВА47-29 3P 25А — на линии</t>
  </si>
  <si>
    <t xml:space="preserve">46.4</t>
  </si>
  <si>
    <t xml:space="preserve">Авт.выкл. NB1-63 3P C10 6кА</t>
  </si>
  <si>
    <t xml:space="preserve">179698</t>
  </si>
  <si>
    <t xml:space="preserve">ВА47-29 3P 10А — на линии</t>
  </si>
  <si>
    <t xml:space="preserve">46.5</t>
  </si>
  <si>
    <t xml:space="preserve">ВА47-29 1P 6А</t>
  </si>
  <si>
    <t xml:space="preserve">46.6</t>
  </si>
  <si>
    <t xml:space="preserve">Счётчик электроэнергии наружного освещения</t>
  </si>
  <si>
    <t xml:space="preserve">ДАЛА СА4-Э720 ТХ П 380V 5(60)A</t>
  </si>
  <si>
    <t xml:space="preserve">Счётчик/прибор — Внутри корпуса ЯУО — цена По запросу</t>
  </si>
  <si>
    <t xml:space="preserve">46.7</t>
  </si>
  <si>
    <t xml:space="preserve">46.8</t>
  </si>
  <si>
    <t xml:space="preserve">Итого по ЯУО (ЯУО9601-3474-IP65) (без корпуса Teksan f):</t>
  </si>
  <si>
    <t xml:space="preserve">КОМПЛЕКТ 47.  ЩР Наружного освещения (Atlantic IP66)  |  Альбом 3.4 ЭН (Наружное освещение)</t>
  </si>
  <si>
    <t xml:space="preserve">47.1</t>
  </si>
  <si>
    <t xml:space="preserve">Корпус — Atlantic 330x600x260 IP66</t>
  </si>
  <si>
    <t xml:space="preserve">47.2</t>
  </si>
  <si>
    <t xml:space="preserve">ВН-32 25А — вводной</t>
  </si>
  <si>
    <t xml:space="preserve">47.3</t>
  </si>
  <si>
    <t xml:space="preserve">ВА47-29 3Р 10А</t>
  </si>
  <si>
    <t xml:space="preserve">47.4</t>
  </si>
  <si>
    <t xml:space="preserve">47.5</t>
  </si>
  <si>
    <t xml:space="preserve">Итого по ЩР Наружного освещения (Atlantic IP66) (без корпуса Teksan f):</t>
  </si>
  <si>
    <t xml:space="preserve">───  ФО — ФАСАД  ───</t>
  </si>
  <si>
    <t xml:space="preserve">КОМПЛЕКТ 48.  ЯУО-КОНЦ.ЗАЛ (ЯУО9601-3474-IP31)  |  Альбом 7.3 ФО (Фасадная подсветка)</t>
  </si>
  <si>
    <t xml:space="preserve">48.1</t>
  </si>
  <si>
    <t xml:space="preserve">Корпус — ЯУО 9601-3474-IP31</t>
  </si>
  <si>
    <t xml:space="preserve">Альбом 7.3 ФО (Фасадная подсветка)</t>
  </si>
  <si>
    <t xml:space="preserve">48.2</t>
  </si>
  <si>
    <t xml:space="preserve">ВА47-29 3P 32А</t>
  </si>
  <si>
    <t xml:space="preserve">48.3</t>
  </si>
  <si>
    <t xml:space="preserve">ВА47-29 3P 25А</t>
  </si>
  <si>
    <t xml:space="preserve">48.4</t>
  </si>
  <si>
    <t xml:space="preserve">Диф.авт. NB1L-40 4P C16 30мА 6кА</t>
  </si>
  <si>
    <t xml:space="preserve">198111</t>
  </si>
  <si>
    <t xml:space="preserve">АВДТ32 4P 10А аналог</t>
  </si>
  <si>
    <t xml:space="preserve">48.5</t>
  </si>
  <si>
    <t xml:space="preserve">Счётчик электроэнергии фасадного освещения</t>
  </si>
  <si>
    <t xml:space="preserve">Дала СА4У-Э720 ТХ 5(60)A 380B</t>
  </si>
  <si>
    <t xml:space="preserve">Счётчик/прибор — По проекту ФО — цена По запросу</t>
  </si>
  <si>
    <t xml:space="preserve">48.6</t>
  </si>
  <si>
    <t xml:space="preserve">Бокс защиты прибора учёта IP54</t>
  </si>
  <si>
    <t xml:space="preserve">ЩУ 1/1-0 У1 МКМ51-N-01-54, 310×300×150мм</t>
  </si>
  <si>
    <t xml:space="preserve">Счётчик/прибор — Для защиты счётчика — цена По запросу</t>
  </si>
  <si>
    <t xml:space="preserve">48.7</t>
  </si>
  <si>
    <t xml:space="preserve">48.8</t>
  </si>
  <si>
    <t xml:space="preserve">Итого по ЯУО-КОНЦ.ЗАЛ (ЯУО9601-3474-IP31) (без корпуса Teksan f):</t>
  </si>
  <si>
    <t xml:space="preserve">КОМПЛЕКТ 49.  ЯУО-МУЗЕЙ (ЯУО9601-3474-IP31)  |  Альбом 7.3 ФО (Фасадная подсветка)</t>
  </si>
  <si>
    <t xml:space="preserve">49.1</t>
  </si>
  <si>
    <t xml:space="preserve">49.2</t>
  </si>
  <si>
    <t xml:space="preserve">49.3</t>
  </si>
  <si>
    <t xml:space="preserve">49.4</t>
  </si>
  <si>
    <t xml:space="preserve">49.5</t>
  </si>
  <si>
    <t xml:space="preserve">49.6</t>
  </si>
  <si>
    <t xml:space="preserve">49.7</t>
  </si>
  <si>
    <t xml:space="preserve">Итого по ЯУО-МУЗЕЙ (ЯУО9601-3474-IP31) (без корпуса Teksan f):</t>
  </si>
  <si>
    <t xml:space="preserve">КОМПЛЕКТ 50.  ЩР-1 (ЩМП-7-0 36 УХЛ3 IP31)  |  Альбом 7.3 ФО (Фасадная подсветка)</t>
  </si>
  <si>
    <t xml:space="preserve">50.1</t>
  </si>
  <si>
    <t xml:space="preserve">Корпус — ЩМП-7-0 36 УХЛ3 IP31</t>
  </si>
  <si>
    <t xml:space="preserve">50.2</t>
  </si>
  <si>
    <t xml:space="preserve">50.3</t>
  </si>
  <si>
    <t xml:space="preserve">АВДТ32 4P 10А</t>
  </si>
  <si>
    <t xml:space="preserve">50.4</t>
  </si>
  <si>
    <t xml:space="preserve">50.5</t>
  </si>
  <si>
    <t xml:space="preserve">Итого по ЩР-1 (ЩМП-7-0 36 УХЛ3 IP31) (без корпуса Teksan f):</t>
  </si>
  <si>
    <t xml:space="preserve">КОМПЛЕКТ 51.  ЩР-2 (ЩМП-7-0 36 УХЛ3 IP31)  |  Альбом 7.3 ФО (Фасадная подсветка)</t>
  </si>
  <si>
    <t xml:space="preserve">51.1</t>
  </si>
  <si>
    <t xml:space="preserve">51.2</t>
  </si>
  <si>
    <t xml:space="preserve">51.3</t>
  </si>
  <si>
    <t xml:space="preserve">51.4</t>
  </si>
  <si>
    <t xml:space="preserve">51.5</t>
  </si>
  <si>
    <t xml:space="preserve">Итого по ЩР-2 (ЩМП-7-0 36 УХЛ3 IP31) (без корпуса Teksan f):</t>
  </si>
  <si>
    <t xml:space="preserve">КОМПЛЕКТ 52.  ЩР-3 (ЩМП-7-0 36 УХЛ3 IP31)  |  Альбом 7.3 ФО (Фасадная подсветка)</t>
  </si>
  <si>
    <t xml:space="preserve">52.1</t>
  </si>
  <si>
    <t xml:space="preserve">52.2</t>
  </si>
  <si>
    <t xml:space="preserve">52.3</t>
  </si>
  <si>
    <t xml:space="preserve">52.4</t>
  </si>
  <si>
    <t xml:space="preserve">52.5</t>
  </si>
  <si>
    <t xml:space="preserve">Итого по ЩР-3 (ЩМП-7-0 36 УХЛ3 IP31) (без корпуса Teksan f):</t>
  </si>
  <si>
    <t xml:space="preserve">КОМПЛЕКТ 53.  ЩР-4 (ЩМП-7-0 36 УХЛ3 IP31)  |  Альбом 7.3 ФО (Фасадная подсветка)</t>
  </si>
  <si>
    <t xml:space="preserve">53.1</t>
  </si>
  <si>
    <t xml:space="preserve">53.2</t>
  </si>
  <si>
    <t xml:space="preserve">53.3</t>
  </si>
  <si>
    <t xml:space="preserve">53.4</t>
  </si>
  <si>
    <t xml:space="preserve">53.5</t>
  </si>
  <si>
    <t xml:space="preserve">Итого по ЩР-4 (ЩМП-7-0 36 УХЛ3 IP31) (без корпуса Teksan f):</t>
  </si>
  <si>
    <t xml:space="preserve">ИТОГИ ПО РАЗДЕЛАМ</t>
  </si>
  <si>
    <t xml:space="preserve">ЭОМ — ГАРАЖ</t>
  </si>
  <si>
    <t xml:space="preserve">ЭО — КОНЦЕРТНЫЙ ЗАЛ</t>
  </si>
  <si>
    <t xml:space="preserve">ЭО — МУЗЕЙ</t>
  </si>
  <si>
    <t xml:space="preserve">ЭО — ГАЛЕРЕЯ</t>
  </si>
  <si>
    <t xml:space="preserve">ЭН — НАРУЖНОЕ ОСВЕЩЕНИЕ</t>
  </si>
  <si>
    <t xml:space="preserve">ФО — ФАСАД</t>
  </si>
  <si>
    <t xml:space="preserve">ИТОГО — Chint + монт.материалы + монт.работа (без корпусов Teksan f, без светотехники и кабелей):</t>
  </si>
  <si>
    <t xml:space="preserve">Синие ячейки (Кол.) — можно менять здесь  |  EUR/KZT, % монт., цены — лист ПАРАМЕТРЫ (синие ячейки)</t>
  </si>
  <si>
    <t xml:space="preserve">СВОДНАЯ ВЕДОМОСТЬ — Проект 260608 — Chint</t>
  </si>
  <si>
    <t xml:space="preserve">Раздел / Источник PDF</t>
  </si>
  <si>
    <t xml:space="preserve">Итого KZT</t>
  </si>
  <si>
    <t xml:space="preserve">Корпус Teksan f</t>
  </si>
  <si>
    <t xml:space="preserve">Щитов</t>
  </si>
  <si>
    <t xml:space="preserve">7</t>
  </si>
  <si>
    <t xml:space="preserve">16</t>
  </si>
  <si>
    <t xml:space="preserve">20</t>
  </si>
  <si>
    <t xml:space="preserve">2</t>
  </si>
  <si>
    <t xml:space="preserve">6</t>
  </si>
  <si>
    <t xml:space="preserve">ИТОГО:</t>
  </si>
  <si>
    <t xml:space="preserve">TBD</t>
  </si>
  <si>
    <t xml:space="preserve">53</t>
  </si>
  <si>
    <t xml:space="preserve">EUR/KZT, %, цены → лист ПАРАМЕТРЫ (синие ячейки)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</si>
</sst>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sz val="8"/>
      <color rgb="FF555555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8B"/>
      <name val="Arial"/>
      <family val="0"/>
      <charset val="1"/>
    </font>
    <font>
      <sz val="8"/>
      <color rgb="FF333333"/>
      <name val="Arial"/>
      <family val="0"/>
      <charset val="1"/>
    </font>
    <font>
      <b val="true"/>
      <sz val="9"/>
      <color rgb="FF999999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7F4F00"/>
      <name val="Arial"/>
      <family val="0"/>
      <charset val="1"/>
    </font>
    <font>
      <b val="true"/>
      <sz val="9"/>
      <color rgb="FF7F4F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8"/>
      <color rgb="FF444444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5FFF5"/>
      </patternFill>
    </fill>
    <fill>
      <patternFill patternType="solid">
        <fgColor rgb="FFDDEEFF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F5FFF5"/>
        <bgColor rgb="FFFFFFFF"/>
      </patternFill>
    </fill>
    <fill>
      <patternFill patternType="solid">
        <fgColor rgb="FFD6DCE4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E8E8E8"/>
        <bgColor rgb="FFE2EFDA"/>
      </patternFill>
    </fill>
    <fill>
      <patternFill patternType="solid">
        <fgColor rgb="FFD9D9D9"/>
        <bgColor rgb="FFD6DCE4"/>
      </patternFill>
    </fill>
    <fill>
      <patternFill patternType="solid">
        <fgColor rgb="FFE2EFDA"/>
        <bgColor rgb="FFE8E8E8"/>
      </patternFill>
    </fill>
    <fill>
      <patternFill patternType="solid">
        <fgColor rgb="FFBDD7EE"/>
        <bgColor rgb="FFD6DCE4"/>
      </patternFill>
    </fill>
    <fill>
      <patternFill patternType="solid">
        <fgColor rgb="FF4472C4"/>
        <bgColor rgb="FF77777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AAAAAA"/>
      <rgbColor rgb="FF777777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FF5"/>
      <rgbColor rgb="FFE2EFDA"/>
      <rgbColor rgb="FFF2F2F2"/>
      <rgbColor rgb="FFD6DCE4"/>
      <rgbColor rgb="FFE8E8E8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444444"/>
      <rgbColor rgb="FF7F4F00"/>
      <rgbColor rgb="FF993366"/>
      <rgbColor rgb="FF2E405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16"/>
  </cols>
  <sheetData>
    <row r="1" customFormat="false" ht="19.5" hidden="false" customHeight="true" outlineLevel="0" collapsed="false">
      <c r="A1" s="1" t="s">
        <v>0</v>
      </c>
      <c r="B1" s="2"/>
      <c r="C1" s="2"/>
      <c r="D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/>
    </row>
    <row r="3" customFormat="false" ht="16.5" hidden="false" customHeight="true" outlineLevel="0" collapsed="false">
      <c r="A3" s="5" t="s">
        <v>4</v>
      </c>
      <c r="B3" s="6" t="n">
        <v>520</v>
      </c>
      <c r="C3" s="7" t="s">
        <v>5</v>
      </c>
      <c r="D3" s="8"/>
    </row>
    <row r="4" customFormat="false" ht="16.5" hidden="false" customHeight="true" outlineLevel="0" collapsed="false">
      <c r="A4" s="5" t="s">
        <v>6</v>
      </c>
      <c r="B4" s="9" t="n">
        <v>0.6</v>
      </c>
      <c r="C4" s="7" t="s">
        <v>7</v>
      </c>
      <c r="D4" s="8"/>
    </row>
    <row r="5" customFormat="false" ht="16.5" hidden="false" customHeight="true" outlineLevel="0" collapsed="false">
      <c r="A5" s="5" t="s">
        <v>8</v>
      </c>
      <c r="B5" s="9" t="n">
        <v>1.3</v>
      </c>
      <c r="C5" s="7" t="s">
        <v>9</v>
      </c>
      <c r="D5" s="8"/>
    </row>
    <row r="6" customFormat="false" ht="16.5" hidden="false" customHeight="true" outlineLevel="0" collapsed="false">
      <c r="A6" s="5" t="s">
        <v>10</v>
      </c>
      <c r="B6" s="6" t="n">
        <v>7</v>
      </c>
      <c r="C6" s="7" t="s">
        <v>11</v>
      </c>
      <c r="D6" s="8"/>
    </row>
    <row r="7" customFormat="false" ht="16.5" hidden="false" customHeight="true" outlineLevel="0" collapsed="false">
      <c r="A7" s="5" t="s">
        <v>12</v>
      </c>
      <c r="B7" s="6" t="n">
        <v>15</v>
      </c>
      <c r="C7" s="7" t="s">
        <v>11</v>
      </c>
      <c r="D7" s="8"/>
    </row>
    <row r="9" customFormat="false" ht="24" hidden="false" customHeight="true" outlineLevel="0" collapsed="false">
      <c r="A9" s="10" t="s">
        <v>13</v>
      </c>
      <c r="B9" s="10" t="s">
        <v>14</v>
      </c>
      <c r="C9" s="10" t="s">
        <v>15</v>
      </c>
      <c r="D9" s="10" t="s">
        <v>16</v>
      </c>
    </row>
    <row r="10" customFormat="false" ht="15" hidden="false" customHeight="true" outlineLevel="0" collapsed="false">
      <c r="A10" s="11" t="s">
        <v>17</v>
      </c>
      <c r="B10" s="12" t="n">
        <v>3077</v>
      </c>
      <c r="C10" s="13" t="s">
        <v>18</v>
      </c>
      <c r="D10" s="14" t="n">
        <f aca="false">ПАРАМЕТРЫ!B10*ПАРАМЕТРЫ!B4</f>
        <v>1846.2</v>
      </c>
    </row>
    <row r="11" customFormat="false" ht="15" hidden="false" customHeight="true" outlineLevel="0" collapsed="false">
      <c r="A11" s="5" t="s">
        <v>19</v>
      </c>
      <c r="B11" s="12" t="n">
        <v>2768</v>
      </c>
      <c r="C11" s="15" t="s">
        <v>20</v>
      </c>
      <c r="D11" s="14" t="n">
        <f aca="false">ПАРАМЕТРЫ!B11*ПАРАМЕТРЫ!B4</f>
        <v>1660.8</v>
      </c>
    </row>
    <row r="12" customFormat="false" ht="15" hidden="false" customHeight="true" outlineLevel="0" collapsed="false">
      <c r="A12" s="11" t="s">
        <v>21</v>
      </c>
      <c r="B12" s="12" t="n">
        <v>2818</v>
      </c>
      <c r="C12" s="13" t="s">
        <v>22</v>
      </c>
      <c r="D12" s="14" t="n">
        <f aca="false">ПАРАМЕТРЫ!B12*ПАРАМЕТРЫ!B4</f>
        <v>1690.8</v>
      </c>
    </row>
    <row r="13" customFormat="false" ht="15" hidden="false" customHeight="true" outlineLevel="0" collapsed="false">
      <c r="A13" s="5" t="s">
        <v>23</v>
      </c>
      <c r="B13" s="12" t="n">
        <v>2869</v>
      </c>
      <c r="C13" s="15" t="s">
        <v>24</v>
      </c>
      <c r="D13" s="14" t="n">
        <f aca="false">ПАРАМЕТРЫ!B13*ПАРАМЕТРЫ!B4</f>
        <v>1721.4</v>
      </c>
    </row>
    <row r="14" customFormat="false" ht="15" hidden="false" customHeight="true" outlineLevel="0" collapsed="false">
      <c r="A14" s="11" t="s">
        <v>25</v>
      </c>
      <c r="B14" s="12" t="n">
        <v>2869</v>
      </c>
      <c r="C14" s="13" t="s">
        <v>26</v>
      </c>
      <c r="D14" s="14" t="n">
        <f aca="false">ПАРАМЕТРЫ!B14*ПАРАМЕТРЫ!B4</f>
        <v>1721.4</v>
      </c>
    </row>
    <row r="15" customFormat="false" ht="15" hidden="false" customHeight="true" outlineLevel="0" collapsed="false">
      <c r="A15" s="5" t="s">
        <v>27</v>
      </c>
      <c r="B15" s="12" t="n">
        <v>2869</v>
      </c>
      <c r="C15" s="15" t="s">
        <v>28</v>
      </c>
      <c r="D15" s="14" t="n">
        <f aca="false">ПАРАМЕТРЫ!B15*ПАРАМЕТРЫ!B4</f>
        <v>1721.4</v>
      </c>
    </row>
    <row r="16" customFormat="false" ht="15" hidden="false" customHeight="true" outlineLevel="0" collapsed="false">
      <c r="A16" s="11" t="s">
        <v>29</v>
      </c>
      <c r="B16" s="12" t="n">
        <v>7510</v>
      </c>
      <c r="C16" s="13" t="s">
        <v>30</v>
      </c>
      <c r="D16" s="14" t="n">
        <f aca="false">ПАРАМЕТРЫ!B16*ПАРАМЕТРЫ!B4</f>
        <v>4506</v>
      </c>
    </row>
    <row r="17" customFormat="false" ht="15" hidden="false" customHeight="true" outlineLevel="0" collapsed="false">
      <c r="A17" s="5" t="s">
        <v>31</v>
      </c>
      <c r="B17" s="12" t="n">
        <v>7697</v>
      </c>
      <c r="C17" s="15" t="s">
        <v>32</v>
      </c>
      <c r="D17" s="14" t="n">
        <f aca="false">ПАРАМЕТРЫ!B17*ПАРАМЕТРЫ!B4</f>
        <v>4618.2</v>
      </c>
    </row>
    <row r="18" customFormat="false" ht="15" hidden="false" customHeight="true" outlineLevel="0" collapsed="false">
      <c r="A18" s="11" t="s">
        <v>33</v>
      </c>
      <c r="B18" s="12" t="n">
        <v>7829</v>
      </c>
      <c r="C18" s="13" t="s">
        <v>34</v>
      </c>
      <c r="D18" s="14" t="n">
        <f aca="false">ПАРАМЕТРЫ!B18*ПАРАМЕТРЫ!B4</f>
        <v>4697.4</v>
      </c>
    </row>
    <row r="19" customFormat="false" ht="15" hidden="false" customHeight="true" outlineLevel="0" collapsed="false">
      <c r="A19" s="5" t="s">
        <v>35</v>
      </c>
      <c r="B19" s="12" t="n">
        <v>7907</v>
      </c>
      <c r="C19" s="15" t="s">
        <v>36</v>
      </c>
      <c r="D19" s="14" t="n">
        <f aca="false">ПАРАМЕТРЫ!B19*ПАРАМЕТРЫ!B4</f>
        <v>4744.2</v>
      </c>
    </row>
    <row r="20" customFormat="false" ht="15" hidden="false" customHeight="true" outlineLevel="0" collapsed="false">
      <c r="A20" s="11" t="s">
        <v>37</v>
      </c>
      <c r="B20" s="12" t="n">
        <v>7856</v>
      </c>
      <c r="C20" s="13" t="s">
        <v>38</v>
      </c>
      <c r="D20" s="14" t="n">
        <f aca="false">ПАРАМЕТРЫ!B20*ПАРАМЕТРЫ!B4</f>
        <v>4713.6</v>
      </c>
    </row>
    <row r="21" customFormat="false" ht="15" hidden="false" customHeight="true" outlineLevel="0" collapsed="false">
      <c r="A21" s="5" t="s">
        <v>39</v>
      </c>
      <c r="B21" s="12" t="n">
        <v>13008</v>
      </c>
      <c r="C21" s="15" t="s">
        <v>40</v>
      </c>
      <c r="D21" s="14" t="n">
        <f aca="false">ПАРАМЕТРЫ!B21*ПАРАМЕТРЫ!B4</f>
        <v>7804.8</v>
      </c>
    </row>
    <row r="22" customFormat="false" ht="15" hidden="false" customHeight="true" outlineLevel="0" collapsed="false">
      <c r="A22" s="11" t="s">
        <v>41</v>
      </c>
      <c r="B22" s="12" t="n">
        <v>13634</v>
      </c>
      <c r="C22" s="13" t="s">
        <v>42</v>
      </c>
      <c r="D22" s="14" t="n">
        <f aca="false">ПАРАМЕТРЫ!B22*ПАРАМЕТРЫ!B4</f>
        <v>8180.4</v>
      </c>
    </row>
    <row r="23" customFormat="false" ht="15" hidden="false" customHeight="true" outlineLevel="0" collapsed="false">
      <c r="A23" s="5" t="s">
        <v>43</v>
      </c>
      <c r="B23" s="12" t="n">
        <v>23195</v>
      </c>
      <c r="C23" s="15" t="s">
        <v>44</v>
      </c>
      <c r="D23" s="14" t="n">
        <f aca="false">ПАРАМЕТРЫ!B23*ПАРАМЕТРЫ!B4</f>
        <v>13917</v>
      </c>
    </row>
    <row r="24" customFormat="false" ht="15" hidden="false" customHeight="true" outlineLevel="0" collapsed="false">
      <c r="A24" s="11" t="s">
        <v>45</v>
      </c>
      <c r="B24" s="12" t="n">
        <v>7468</v>
      </c>
      <c r="C24" s="13" t="s">
        <v>46</v>
      </c>
      <c r="D24" s="14" t="n">
        <f aca="false">ПАРАМЕТРЫ!B24*ПАРАМЕТРЫ!B4</f>
        <v>4480.8</v>
      </c>
    </row>
    <row r="25" customFormat="false" ht="15" hidden="false" customHeight="true" outlineLevel="0" collapsed="false">
      <c r="A25" s="5" t="s">
        <v>47</v>
      </c>
      <c r="B25" s="12" t="n">
        <v>9814</v>
      </c>
      <c r="C25" s="15" t="s">
        <v>48</v>
      </c>
      <c r="D25" s="14" t="n">
        <f aca="false">ПАРАМЕТРЫ!B25*ПАРАМЕТРЫ!B4</f>
        <v>5888.4</v>
      </c>
    </row>
    <row r="26" customFormat="false" ht="15" hidden="false" customHeight="true" outlineLevel="0" collapsed="false">
      <c r="A26" s="11" t="s">
        <v>49</v>
      </c>
      <c r="B26" s="12" t="n">
        <v>37976</v>
      </c>
      <c r="C26" s="13" t="s">
        <v>50</v>
      </c>
      <c r="D26" s="14" t="n">
        <f aca="false">ПАРАМЕТРЫ!B26*ПАРАМЕТРЫ!B4</f>
        <v>22785.6</v>
      </c>
    </row>
    <row r="27" customFormat="false" ht="15" hidden="false" customHeight="true" outlineLevel="0" collapsed="false">
      <c r="A27" s="5" t="s">
        <v>51</v>
      </c>
      <c r="B27" s="12" t="n">
        <v>64129</v>
      </c>
      <c r="C27" s="15" t="s">
        <v>52</v>
      </c>
      <c r="D27" s="14" t="n">
        <f aca="false">ПАРАМЕТРЫ!B27*ПАРАМЕТРЫ!B4</f>
        <v>38477.4</v>
      </c>
    </row>
    <row r="28" customFormat="false" ht="15" hidden="false" customHeight="true" outlineLevel="0" collapsed="false">
      <c r="A28" s="11" t="s">
        <v>53</v>
      </c>
      <c r="B28" s="12" t="n">
        <v>64169</v>
      </c>
      <c r="C28" s="13" t="s">
        <v>54</v>
      </c>
      <c r="D28" s="14" t="n">
        <f aca="false">ПАРАМЕТРЫ!B28*ПАРАМЕТРЫ!B4</f>
        <v>38501.4</v>
      </c>
    </row>
    <row r="29" customFormat="false" ht="15" hidden="false" customHeight="true" outlineLevel="0" collapsed="false">
      <c r="A29" s="5" t="s">
        <v>55</v>
      </c>
      <c r="B29" s="12" t="n">
        <v>67739</v>
      </c>
      <c r="C29" s="15" t="s">
        <v>56</v>
      </c>
      <c r="D29" s="14" t="n">
        <f aca="false">ПАРАМЕТРЫ!B29*ПАРАМЕТРЫ!B4</f>
        <v>40643.4</v>
      </c>
    </row>
    <row r="30" customFormat="false" ht="15" hidden="false" customHeight="true" outlineLevel="0" collapsed="false">
      <c r="A30" s="11" t="s">
        <v>57</v>
      </c>
      <c r="B30" s="12" t="n">
        <v>5214</v>
      </c>
      <c r="C30" s="13" t="s">
        <v>58</v>
      </c>
      <c r="D30" s="14" t="n">
        <f aca="false">ПАРАМЕТРЫ!B30*ПАРАМЕТРЫ!B4</f>
        <v>3128.4</v>
      </c>
    </row>
    <row r="31" customFormat="false" ht="15" hidden="false" customHeight="true" outlineLevel="0" collapsed="false">
      <c r="A31" s="5" t="s">
        <v>59</v>
      </c>
      <c r="B31" s="12" t="n">
        <v>5341</v>
      </c>
      <c r="C31" s="15" t="s">
        <v>60</v>
      </c>
      <c r="D31" s="14" t="n">
        <f aca="false">ПАРАМЕТРЫ!B31*ПАРАМЕТРЫ!B4</f>
        <v>3204.6</v>
      </c>
    </row>
    <row r="32" customFormat="false" ht="15" hidden="false" customHeight="true" outlineLevel="0" collapsed="false">
      <c r="A32" s="11" t="s">
        <v>61</v>
      </c>
      <c r="B32" s="12" t="n">
        <v>37702</v>
      </c>
      <c r="C32" s="13" t="s">
        <v>62</v>
      </c>
      <c r="D32" s="14" t="n">
        <f aca="false">ПАРАМЕТРЫ!B32*ПАРАМЕТРЫ!B4</f>
        <v>22621.2</v>
      </c>
    </row>
    <row r="33" customFormat="false" ht="15" hidden="false" customHeight="true" outlineLevel="0" collapsed="false">
      <c r="A33" s="5" t="s">
        <v>63</v>
      </c>
      <c r="B33" s="12" t="n">
        <v>8404</v>
      </c>
      <c r="C33" s="15" t="s">
        <v>64</v>
      </c>
      <c r="D33" s="14" t="n">
        <f aca="false">ПАРАМЕТРЫ!B33*ПАРАМЕТРЫ!B4</f>
        <v>5042.4</v>
      </c>
    </row>
    <row r="34" customFormat="false" ht="15" hidden="false" customHeight="true" outlineLevel="0" collapsed="false">
      <c r="A34" s="11" t="s">
        <v>65</v>
      </c>
      <c r="B34" s="16" t="n">
        <v>0</v>
      </c>
      <c r="C34" s="13" t="s">
        <v>66</v>
      </c>
      <c r="D34" s="17" t="s">
        <v>67</v>
      </c>
    </row>
    <row r="35" customFormat="false" ht="15" hidden="false" customHeight="true" outlineLevel="0" collapsed="false">
      <c r="A35" s="5" t="s">
        <v>68</v>
      </c>
      <c r="B35" s="12" t="n">
        <v>29812</v>
      </c>
      <c r="C35" s="15" t="s">
        <v>69</v>
      </c>
      <c r="D35" s="14" t="n">
        <f aca="false">ПАРАМЕТРЫ!B35*ПАРАМЕТРЫ!B4</f>
        <v>17887.2</v>
      </c>
    </row>
    <row r="36" customFormat="false" ht="15" hidden="false" customHeight="true" outlineLevel="0" collapsed="false">
      <c r="A36" s="11" t="s">
        <v>70</v>
      </c>
      <c r="B36" s="16" t="n">
        <v>0</v>
      </c>
      <c r="C36" s="13" t="s">
        <v>71</v>
      </c>
      <c r="D36" s="1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5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18" hidden="false" customHeight="true" outlineLevel="0" collapsed="false">
      <c r="A1" s="18" t="s">
        <v>72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10" t="s">
        <v>73</v>
      </c>
      <c r="B2" s="10" t="s">
        <v>74</v>
      </c>
      <c r="C2" s="10" t="s">
        <v>75</v>
      </c>
      <c r="D2" s="10" t="s">
        <v>76</v>
      </c>
      <c r="E2" s="10" t="s">
        <v>77</v>
      </c>
      <c r="F2" s="10" t="s">
        <v>78</v>
      </c>
      <c r="G2" s="10" t="s">
        <v>79</v>
      </c>
      <c r="H2" s="10" t="s">
        <v>80</v>
      </c>
      <c r="I2" s="10" t="s">
        <v>81</v>
      </c>
      <c r="J2" s="10" t="s">
        <v>82</v>
      </c>
    </row>
    <row r="3" customFormat="false" ht="16.5" hidden="false" customHeight="true" outlineLevel="0" collapsed="false">
      <c r="A3" s="19" t="s">
        <v>83</v>
      </c>
      <c r="B3" s="20"/>
      <c r="C3" s="20"/>
      <c r="D3" s="20"/>
      <c r="E3" s="20"/>
      <c r="F3" s="20"/>
      <c r="G3" s="20"/>
      <c r="H3" s="20"/>
      <c r="I3" s="20"/>
      <c r="J3" s="20"/>
    </row>
    <row r="4" customFormat="false" ht="18" hidden="false" customHeight="true" outlineLevel="0" collapsed="false">
      <c r="A4" s="18" t="s">
        <v>84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.75" hidden="false" customHeight="true" outlineLevel="0" collapsed="false">
      <c r="A5" s="21" t="s">
        <v>85</v>
      </c>
      <c r="B5" s="22" t="s">
        <v>86</v>
      </c>
      <c r="C5" s="22" t="s">
        <v>87</v>
      </c>
      <c r="D5" s="22" t="s">
        <v>88</v>
      </c>
      <c r="E5" s="21" t="s">
        <v>89</v>
      </c>
      <c r="F5" s="21" t="n">
        <v>1</v>
      </c>
      <c r="G5" s="21" t="s">
        <v>90</v>
      </c>
      <c r="H5" s="21" t="s">
        <v>90</v>
      </c>
      <c r="I5" s="23" t="n">
        <v>0</v>
      </c>
      <c r="J5" s="22" t="s">
        <v>91</v>
      </c>
    </row>
    <row r="6" customFormat="false" ht="15.75" hidden="false" customHeight="true" outlineLevel="0" collapsed="false">
      <c r="A6" s="24" t="s">
        <v>92</v>
      </c>
      <c r="B6" s="25" t="s">
        <v>93</v>
      </c>
      <c r="C6" s="25" t="s">
        <v>94</v>
      </c>
      <c r="D6" s="25" t="s">
        <v>88</v>
      </c>
      <c r="E6" s="24" t="s">
        <v>89</v>
      </c>
      <c r="F6" s="26" t="n">
        <v>3</v>
      </c>
      <c r="G6" s="27" t="n">
        <f aca="false">ПАРАМЕТРЫ!B29</f>
        <v>67739</v>
      </c>
      <c r="H6" s="27" t="n">
        <f aca="false">ПАРАМЕТРЫ!D29</f>
        <v>40643.4</v>
      </c>
      <c r="I6" s="27" t="n">
        <f aca="false">F6*H6</f>
        <v>121930.2</v>
      </c>
      <c r="J6" s="25" t="s">
        <v>95</v>
      </c>
    </row>
    <row r="7" customFormat="false" ht="15.75" hidden="false" customHeight="true" outlineLevel="0" collapsed="false">
      <c r="A7" s="28" t="s">
        <v>96</v>
      </c>
      <c r="B7" s="29" t="s">
        <v>97</v>
      </c>
      <c r="C7" s="29" t="s">
        <v>98</v>
      </c>
      <c r="D7" s="29" t="s">
        <v>88</v>
      </c>
      <c r="E7" s="28" t="s">
        <v>89</v>
      </c>
      <c r="F7" s="26" t="n">
        <v>1</v>
      </c>
      <c r="G7" s="30" t="n">
        <f aca="false">ПАРАМЕТРЫ!B28</f>
        <v>64169</v>
      </c>
      <c r="H7" s="30" t="n">
        <f aca="false">ПАРАМЕТРЫ!D28</f>
        <v>38501.4</v>
      </c>
      <c r="I7" s="30" t="n">
        <f aca="false">F7*H7</f>
        <v>38501.4</v>
      </c>
      <c r="J7" s="29" t="s">
        <v>99</v>
      </c>
    </row>
    <row r="8" customFormat="false" ht="15.75" hidden="false" customHeight="true" outlineLevel="0" collapsed="false">
      <c r="A8" s="24" t="s">
        <v>100</v>
      </c>
      <c r="B8" s="25" t="s">
        <v>101</v>
      </c>
      <c r="C8" s="25" t="s">
        <v>102</v>
      </c>
      <c r="D8" s="25" t="s">
        <v>88</v>
      </c>
      <c r="E8" s="24" t="s">
        <v>89</v>
      </c>
      <c r="F8" s="26" t="n">
        <v>2</v>
      </c>
      <c r="G8" s="27" t="n">
        <f aca="false">ПАРАМЕТРЫ!B18</f>
        <v>7829</v>
      </c>
      <c r="H8" s="27" t="n">
        <f aca="false">ПАРАМЕТРЫ!D18</f>
        <v>4697.4</v>
      </c>
      <c r="I8" s="27" t="n">
        <f aca="false">F8*H8</f>
        <v>9394.8</v>
      </c>
      <c r="J8" s="25" t="s">
        <v>103</v>
      </c>
    </row>
    <row r="9" customFormat="false" ht="15.75" hidden="false" customHeight="true" outlineLevel="0" collapsed="false">
      <c r="A9" s="28" t="s">
        <v>104</v>
      </c>
      <c r="B9" s="29" t="s">
        <v>105</v>
      </c>
      <c r="C9" s="29" t="s">
        <v>106</v>
      </c>
      <c r="D9" s="29" t="s">
        <v>88</v>
      </c>
      <c r="E9" s="28" t="s">
        <v>89</v>
      </c>
      <c r="F9" s="26" t="n">
        <v>1</v>
      </c>
      <c r="G9" s="30" t="n">
        <f aca="false">ПАРАМЕТРЫ!B19</f>
        <v>7907</v>
      </c>
      <c r="H9" s="30" t="n">
        <f aca="false">ПАРАМЕТРЫ!D19</f>
        <v>4744.2</v>
      </c>
      <c r="I9" s="30" t="n">
        <f aca="false">F9*H9</f>
        <v>4744.2</v>
      </c>
      <c r="J9" s="29" t="s">
        <v>107</v>
      </c>
    </row>
    <row r="10" customFormat="false" ht="15.75" hidden="false" customHeight="true" outlineLevel="0" collapsed="false">
      <c r="A10" s="24" t="s">
        <v>108</v>
      </c>
      <c r="B10" s="25" t="s">
        <v>109</v>
      </c>
      <c r="C10" s="25" t="s">
        <v>110</v>
      </c>
      <c r="D10" s="25" t="s">
        <v>88</v>
      </c>
      <c r="E10" s="24" t="s">
        <v>89</v>
      </c>
      <c r="F10" s="26" t="n">
        <v>1</v>
      </c>
      <c r="G10" s="27" t="n">
        <f aca="false">ПАРАМЕТРЫ!B10</f>
        <v>3077</v>
      </c>
      <c r="H10" s="27" t="n">
        <f aca="false">ПАРАМЕТРЫ!D10</f>
        <v>1846.2</v>
      </c>
      <c r="I10" s="27" t="n">
        <f aca="false">F10*H10</f>
        <v>1846.2</v>
      </c>
      <c r="J10" s="25" t="s">
        <v>111</v>
      </c>
    </row>
    <row r="11" customFormat="false" ht="15.75" hidden="false" customHeight="true" outlineLevel="0" collapsed="false">
      <c r="A11" s="28" t="s">
        <v>112</v>
      </c>
      <c r="B11" s="29" t="s">
        <v>113</v>
      </c>
      <c r="C11" s="29" t="s">
        <v>114</v>
      </c>
      <c r="D11" s="29" t="s">
        <v>88</v>
      </c>
      <c r="E11" s="28" t="s">
        <v>89</v>
      </c>
      <c r="F11" s="26" t="n">
        <v>1</v>
      </c>
      <c r="G11" s="30" t="n">
        <f aca="false">ПАРАМЕТРЫ!B32</f>
        <v>37702</v>
      </c>
      <c r="H11" s="30" t="n">
        <f aca="false">ПАРАМЕТРЫ!D32</f>
        <v>22621.2</v>
      </c>
      <c r="I11" s="30" t="n">
        <f aca="false">F11*H11</f>
        <v>22621.2</v>
      </c>
      <c r="J11" s="29" t="s">
        <v>115</v>
      </c>
    </row>
    <row r="12" customFormat="false" ht="15.75" hidden="false" customHeight="true" outlineLevel="0" collapsed="false">
      <c r="A12" s="24" t="s">
        <v>116</v>
      </c>
      <c r="B12" s="25" t="s">
        <v>117</v>
      </c>
      <c r="C12" s="25" t="s">
        <v>67</v>
      </c>
      <c r="D12" s="25" t="s">
        <v>88</v>
      </c>
      <c r="E12" s="24" t="s">
        <v>89</v>
      </c>
      <c r="F12" s="26" t="n">
        <v>2</v>
      </c>
      <c r="G12" s="27" t="s">
        <v>90</v>
      </c>
      <c r="H12" s="27" t="s">
        <v>90</v>
      </c>
      <c r="I12" s="27" t="n">
        <v>0</v>
      </c>
      <c r="J12" s="25" t="s">
        <v>118</v>
      </c>
    </row>
    <row r="13" customFormat="false" ht="15.75" hidden="false" customHeight="true" outlineLevel="0" collapsed="false">
      <c r="A13" s="31" t="s">
        <v>119</v>
      </c>
      <c r="B13" s="32" t="s">
        <v>120</v>
      </c>
      <c r="C13" s="32" t="s">
        <v>121</v>
      </c>
      <c r="D13" s="33" t="s">
        <v>88</v>
      </c>
      <c r="E13" s="31" t="s">
        <v>89</v>
      </c>
      <c r="F13" s="31" t="n">
        <v>3</v>
      </c>
      <c r="G13" s="31" t="s">
        <v>90</v>
      </c>
      <c r="H13" s="31" t="s">
        <v>90</v>
      </c>
      <c r="I13" s="34" t="n">
        <v>0</v>
      </c>
      <c r="J13" s="33" t="s">
        <v>122</v>
      </c>
    </row>
    <row r="14" customFormat="false" ht="15.75" hidden="false" customHeight="true" outlineLevel="0" collapsed="false">
      <c r="A14" s="35" t="s">
        <v>123</v>
      </c>
      <c r="B14" s="36" t="s">
        <v>124</v>
      </c>
      <c r="C14" s="36"/>
      <c r="D14" s="36" t="s">
        <v>88</v>
      </c>
      <c r="E14" s="35" t="s">
        <v>125</v>
      </c>
      <c r="F14" s="35" t="n">
        <v>1</v>
      </c>
      <c r="G14" s="35" t="s">
        <v>90</v>
      </c>
      <c r="H14" s="37" t="str">
        <f aca="false">ПАРАМЕТРЫ!B6&amp;"%"</f>
        <v>7%</v>
      </c>
      <c r="I14" s="38" t="n">
        <f aca="false">(I6+I7+I8+I9+I10+I11)*ПАРАМЕТРЫ!B6/100</f>
        <v>13932.66</v>
      </c>
      <c r="J14" s="36" t="s">
        <v>11</v>
      </c>
    </row>
    <row r="15" customFormat="false" ht="15.75" hidden="false" customHeight="true" outlineLevel="0" collapsed="false">
      <c r="A15" s="39" t="s">
        <v>126</v>
      </c>
      <c r="B15" s="40" t="s">
        <v>127</v>
      </c>
      <c r="C15" s="40"/>
      <c r="D15" s="40" t="s">
        <v>88</v>
      </c>
      <c r="E15" s="39" t="s">
        <v>125</v>
      </c>
      <c r="F15" s="39" t="n">
        <v>1</v>
      </c>
      <c r="G15" s="39" t="s">
        <v>90</v>
      </c>
      <c r="H15" s="41" t="str">
        <f aca="false">ПАРАМЕТРЫ!B7&amp;"%"</f>
        <v>15%</v>
      </c>
      <c r="I15" s="42" t="n">
        <f aca="false">(I6+I7+I8+I9+I10+I11)*ПАРАМЕТРЫ!B7/100</f>
        <v>29855.7</v>
      </c>
      <c r="J15" s="40" t="s">
        <v>11</v>
      </c>
    </row>
    <row r="16" customFormat="false" ht="15.75" hidden="false" customHeight="true" outlineLevel="0" collapsed="false">
      <c r="A16" s="43" t="s">
        <v>128</v>
      </c>
      <c r="B16" s="44"/>
      <c r="C16" s="44"/>
      <c r="D16" s="44"/>
      <c r="E16" s="44"/>
      <c r="F16" s="44"/>
      <c r="G16" s="44"/>
      <c r="H16" s="44"/>
      <c r="I16" s="45" t="n">
        <f aca="false">I6+I7+I8+I9+I10+I11+I14+I15</f>
        <v>242826.36</v>
      </c>
      <c r="J16" s="44"/>
    </row>
    <row r="18" customFormat="false" ht="18" hidden="false" customHeight="true" outlineLevel="0" collapsed="false">
      <c r="A18" s="18" t="s">
        <v>129</v>
      </c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.75" hidden="false" customHeight="true" outlineLevel="0" collapsed="false">
      <c r="A19" s="21" t="s">
        <v>130</v>
      </c>
      <c r="B19" s="22" t="s">
        <v>131</v>
      </c>
      <c r="C19" s="22" t="s">
        <v>87</v>
      </c>
      <c r="D19" s="22" t="s">
        <v>88</v>
      </c>
      <c r="E19" s="21" t="s">
        <v>89</v>
      </c>
      <c r="F19" s="21" t="n">
        <v>1</v>
      </c>
      <c r="G19" s="21" t="s">
        <v>90</v>
      </c>
      <c r="H19" s="21" t="s">
        <v>90</v>
      </c>
      <c r="I19" s="23" t="n">
        <v>0</v>
      </c>
      <c r="J19" s="22" t="s">
        <v>91</v>
      </c>
    </row>
    <row r="20" customFormat="false" ht="15.75" hidden="false" customHeight="true" outlineLevel="0" collapsed="false">
      <c r="A20" s="24" t="s">
        <v>132</v>
      </c>
      <c r="B20" s="25" t="s">
        <v>101</v>
      </c>
      <c r="C20" s="25" t="s">
        <v>102</v>
      </c>
      <c r="D20" s="25" t="s">
        <v>88</v>
      </c>
      <c r="E20" s="24" t="s">
        <v>89</v>
      </c>
      <c r="F20" s="26" t="n">
        <v>1</v>
      </c>
      <c r="G20" s="27" t="n">
        <f aca="false">ПАРАМЕТРЫ!B18</f>
        <v>7829</v>
      </c>
      <c r="H20" s="27" t="n">
        <f aca="false">ПАРАМЕТРЫ!D18</f>
        <v>4697.4</v>
      </c>
      <c r="I20" s="27" t="n">
        <f aca="false">F20*H20</f>
        <v>4697.4</v>
      </c>
      <c r="J20" s="25" t="s">
        <v>133</v>
      </c>
    </row>
    <row r="21" customFormat="false" ht="15.75" hidden="false" customHeight="true" outlineLevel="0" collapsed="false">
      <c r="A21" s="28" t="s">
        <v>134</v>
      </c>
      <c r="B21" s="29" t="s">
        <v>135</v>
      </c>
      <c r="C21" s="29" t="s">
        <v>136</v>
      </c>
      <c r="D21" s="29" t="s">
        <v>88</v>
      </c>
      <c r="E21" s="28" t="s">
        <v>89</v>
      </c>
      <c r="F21" s="26" t="n">
        <v>2</v>
      </c>
      <c r="G21" s="30" t="n">
        <f aca="false">ПАРАМЕТРЫ!B12</f>
        <v>2818</v>
      </c>
      <c r="H21" s="30" t="n">
        <f aca="false">ПАРАМЕТРЫ!D12</f>
        <v>1690.8</v>
      </c>
      <c r="I21" s="30" t="n">
        <f aca="false">F21*H21</f>
        <v>3381.6</v>
      </c>
      <c r="J21" s="29" t="s">
        <v>137</v>
      </c>
    </row>
    <row r="22" customFormat="false" ht="15.75" hidden="false" customHeight="true" outlineLevel="0" collapsed="false">
      <c r="A22" s="24" t="s">
        <v>138</v>
      </c>
      <c r="B22" s="25" t="s">
        <v>139</v>
      </c>
      <c r="C22" s="25" t="s">
        <v>140</v>
      </c>
      <c r="D22" s="25" t="s">
        <v>88</v>
      </c>
      <c r="E22" s="24" t="s">
        <v>89</v>
      </c>
      <c r="F22" s="26" t="n">
        <v>3</v>
      </c>
      <c r="G22" s="27" t="n">
        <f aca="false">ПАРАМЕТРЫ!B30</f>
        <v>5214</v>
      </c>
      <c r="H22" s="27" t="n">
        <f aca="false">ПАРАМЕТРЫ!D30</f>
        <v>3128.4</v>
      </c>
      <c r="I22" s="27" t="n">
        <f aca="false">F22*H22</f>
        <v>9385.2</v>
      </c>
      <c r="J22" s="25" t="s">
        <v>141</v>
      </c>
    </row>
    <row r="23" customFormat="false" ht="15.75" hidden="false" customHeight="true" outlineLevel="0" collapsed="false">
      <c r="A23" s="28" t="s">
        <v>142</v>
      </c>
      <c r="B23" s="29" t="s">
        <v>143</v>
      </c>
      <c r="C23" s="29" t="s">
        <v>144</v>
      </c>
      <c r="D23" s="29" t="s">
        <v>88</v>
      </c>
      <c r="E23" s="28" t="s">
        <v>89</v>
      </c>
      <c r="F23" s="26" t="n">
        <v>1</v>
      </c>
      <c r="G23" s="30" t="n">
        <f aca="false">ПАРАМЕТРЫ!B33</f>
        <v>8404</v>
      </c>
      <c r="H23" s="30" t="n">
        <f aca="false">ПАРАМЕТРЫ!D33</f>
        <v>5042.4</v>
      </c>
      <c r="I23" s="30" t="n">
        <f aca="false">F23*H23</f>
        <v>5042.4</v>
      </c>
      <c r="J23" s="29" t="s">
        <v>145</v>
      </c>
    </row>
    <row r="24" customFormat="false" ht="15.75" hidden="false" customHeight="true" outlineLevel="0" collapsed="false">
      <c r="A24" s="35" t="s">
        <v>146</v>
      </c>
      <c r="B24" s="36" t="s">
        <v>124</v>
      </c>
      <c r="C24" s="36"/>
      <c r="D24" s="36" t="s">
        <v>88</v>
      </c>
      <c r="E24" s="35" t="s">
        <v>125</v>
      </c>
      <c r="F24" s="35" t="n">
        <v>1</v>
      </c>
      <c r="G24" s="35" t="s">
        <v>90</v>
      </c>
      <c r="H24" s="37" t="str">
        <f aca="false">ПАРАМЕТРЫ!B6&amp;"%"</f>
        <v>7%</v>
      </c>
      <c r="I24" s="38" t="n">
        <f aca="false">(I20+I21+I22+I23)*ПАРАМЕТРЫ!B6/100</f>
        <v>1575.462</v>
      </c>
      <c r="J24" s="36" t="s">
        <v>11</v>
      </c>
    </row>
    <row r="25" customFormat="false" ht="15.75" hidden="false" customHeight="true" outlineLevel="0" collapsed="false">
      <c r="A25" s="39" t="s">
        <v>147</v>
      </c>
      <c r="B25" s="40" t="s">
        <v>127</v>
      </c>
      <c r="C25" s="40"/>
      <c r="D25" s="40" t="s">
        <v>88</v>
      </c>
      <c r="E25" s="39" t="s">
        <v>125</v>
      </c>
      <c r="F25" s="39" t="n">
        <v>1</v>
      </c>
      <c r="G25" s="39" t="s">
        <v>90</v>
      </c>
      <c r="H25" s="41" t="str">
        <f aca="false">ПАРАМЕТРЫ!B7&amp;"%"</f>
        <v>15%</v>
      </c>
      <c r="I25" s="42" t="n">
        <f aca="false">(I20+I21+I22+I23)*ПАРАМЕТРЫ!B7/100</f>
        <v>3375.99</v>
      </c>
      <c r="J25" s="40" t="s">
        <v>11</v>
      </c>
    </row>
    <row r="26" customFormat="false" ht="15.75" hidden="false" customHeight="true" outlineLevel="0" collapsed="false">
      <c r="A26" s="43" t="s">
        <v>148</v>
      </c>
      <c r="B26" s="44"/>
      <c r="C26" s="44"/>
      <c r="D26" s="44"/>
      <c r="E26" s="44"/>
      <c r="F26" s="44"/>
      <c r="G26" s="44"/>
      <c r="H26" s="44"/>
      <c r="I26" s="45" t="n">
        <f aca="false">I20+I21+I22+I23+I24+I25</f>
        <v>27458.052</v>
      </c>
      <c r="J26" s="44"/>
    </row>
    <row r="28" customFormat="false" ht="18" hidden="false" customHeight="true" outlineLevel="0" collapsed="false">
      <c r="A28" s="18" t="s">
        <v>149</v>
      </c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.75" hidden="false" customHeight="true" outlineLevel="0" collapsed="false">
      <c r="A29" s="21" t="s">
        <v>150</v>
      </c>
      <c r="B29" s="22" t="s">
        <v>151</v>
      </c>
      <c r="C29" s="22" t="s">
        <v>87</v>
      </c>
      <c r="D29" s="22" t="s">
        <v>88</v>
      </c>
      <c r="E29" s="21" t="s">
        <v>89</v>
      </c>
      <c r="F29" s="21" t="n">
        <v>1</v>
      </c>
      <c r="G29" s="21" t="s">
        <v>90</v>
      </c>
      <c r="H29" s="21" t="s">
        <v>90</v>
      </c>
      <c r="I29" s="23" t="n">
        <v>0</v>
      </c>
      <c r="J29" s="22" t="s">
        <v>91</v>
      </c>
    </row>
    <row r="30" customFormat="false" ht="15.75" hidden="false" customHeight="true" outlineLevel="0" collapsed="false">
      <c r="A30" s="24" t="s">
        <v>152</v>
      </c>
      <c r="B30" s="25" t="s">
        <v>153</v>
      </c>
      <c r="C30" s="25" t="s">
        <v>154</v>
      </c>
      <c r="D30" s="25" t="s">
        <v>88</v>
      </c>
      <c r="E30" s="24" t="s">
        <v>89</v>
      </c>
      <c r="F30" s="26" t="n">
        <v>1</v>
      </c>
      <c r="G30" s="27" t="n">
        <f aca="false">ПАРАМЕТРЫ!B24</f>
        <v>7468</v>
      </c>
      <c r="H30" s="27" t="n">
        <f aca="false">ПАРАМЕТРЫ!D24</f>
        <v>4480.8</v>
      </c>
      <c r="I30" s="27" t="n">
        <f aca="false">F30*H30</f>
        <v>4480.8</v>
      </c>
      <c r="J30" s="25" t="s">
        <v>155</v>
      </c>
    </row>
    <row r="31" customFormat="false" ht="15.75" hidden="false" customHeight="true" outlineLevel="0" collapsed="false">
      <c r="A31" s="28" t="s">
        <v>156</v>
      </c>
      <c r="B31" s="29" t="s">
        <v>157</v>
      </c>
      <c r="C31" s="29" t="s">
        <v>158</v>
      </c>
      <c r="D31" s="29" t="s">
        <v>88</v>
      </c>
      <c r="E31" s="28" t="s">
        <v>89</v>
      </c>
      <c r="F31" s="26" t="n">
        <v>2</v>
      </c>
      <c r="G31" s="30" t="n">
        <f aca="false">ПАРАМЕТРЫ!B21</f>
        <v>13008</v>
      </c>
      <c r="H31" s="30" t="n">
        <f aca="false">ПАРАМЕТРЫ!D21</f>
        <v>7804.8</v>
      </c>
      <c r="I31" s="30" t="n">
        <f aca="false">F31*H31</f>
        <v>15609.6</v>
      </c>
      <c r="J31" s="29" t="s">
        <v>159</v>
      </c>
    </row>
    <row r="32" customFormat="false" ht="15.75" hidden="false" customHeight="true" outlineLevel="0" collapsed="false">
      <c r="A32" s="24" t="s">
        <v>160</v>
      </c>
      <c r="B32" s="25" t="s">
        <v>161</v>
      </c>
      <c r="C32" s="25" t="s">
        <v>162</v>
      </c>
      <c r="D32" s="25" t="s">
        <v>88</v>
      </c>
      <c r="E32" s="24" t="s">
        <v>89</v>
      </c>
      <c r="F32" s="26" t="n">
        <v>1</v>
      </c>
      <c r="G32" s="27" t="n">
        <f aca="false">ПАРАМЕТРЫ!B17</f>
        <v>7697</v>
      </c>
      <c r="H32" s="27" t="n">
        <f aca="false">ПАРАМЕТРЫ!D17</f>
        <v>4618.2</v>
      </c>
      <c r="I32" s="27" t="n">
        <f aca="false">F32*H32</f>
        <v>4618.2</v>
      </c>
      <c r="J32" s="25" t="s">
        <v>163</v>
      </c>
    </row>
    <row r="33" customFormat="false" ht="15.75" hidden="false" customHeight="true" outlineLevel="0" collapsed="false">
      <c r="A33" s="28" t="s">
        <v>164</v>
      </c>
      <c r="B33" s="29" t="s">
        <v>135</v>
      </c>
      <c r="C33" s="29" t="s">
        <v>136</v>
      </c>
      <c r="D33" s="29" t="s">
        <v>88</v>
      </c>
      <c r="E33" s="28" t="s">
        <v>89</v>
      </c>
      <c r="F33" s="26" t="n">
        <v>1</v>
      </c>
      <c r="G33" s="30" t="n">
        <f aca="false">ПАРАМЕТРЫ!B12</f>
        <v>2818</v>
      </c>
      <c r="H33" s="30" t="n">
        <f aca="false">ПАРАМЕТРЫ!D12</f>
        <v>1690.8</v>
      </c>
      <c r="I33" s="30" t="n">
        <f aca="false">F33*H33</f>
        <v>1690.8</v>
      </c>
      <c r="J33" s="29" t="s">
        <v>165</v>
      </c>
    </row>
    <row r="34" customFormat="false" ht="15.75" hidden="false" customHeight="true" outlineLevel="0" collapsed="false">
      <c r="A34" s="35" t="s">
        <v>166</v>
      </c>
      <c r="B34" s="36" t="s">
        <v>124</v>
      </c>
      <c r="C34" s="36"/>
      <c r="D34" s="36" t="s">
        <v>88</v>
      </c>
      <c r="E34" s="35" t="s">
        <v>125</v>
      </c>
      <c r="F34" s="35" t="n">
        <v>1</v>
      </c>
      <c r="G34" s="35" t="s">
        <v>90</v>
      </c>
      <c r="H34" s="37" t="str">
        <f aca="false">ПАРАМЕТРЫ!B6&amp;"%"</f>
        <v>7%</v>
      </c>
      <c r="I34" s="38" t="n">
        <f aca="false">(I30+I31+I32+I33)*ПАРАМЕТРЫ!B6/100</f>
        <v>1847.958</v>
      </c>
      <c r="J34" s="36" t="s">
        <v>11</v>
      </c>
    </row>
    <row r="35" customFormat="false" ht="15.75" hidden="false" customHeight="true" outlineLevel="0" collapsed="false">
      <c r="A35" s="39" t="s">
        <v>167</v>
      </c>
      <c r="B35" s="40" t="s">
        <v>127</v>
      </c>
      <c r="C35" s="40"/>
      <c r="D35" s="40" t="s">
        <v>88</v>
      </c>
      <c r="E35" s="39" t="s">
        <v>125</v>
      </c>
      <c r="F35" s="39" t="n">
        <v>1</v>
      </c>
      <c r="G35" s="39" t="s">
        <v>90</v>
      </c>
      <c r="H35" s="41" t="str">
        <f aca="false">ПАРАМЕТРЫ!B7&amp;"%"</f>
        <v>15%</v>
      </c>
      <c r="I35" s="42" t="n">
        <f aca="false">(I30+I31+I32+I33)*ПАРАМЕТРЫ!B7/100</f>
        <v>3959.91</v>
      </c>
      <c r="J35" s="40" t="s">
        <v>11</v>
      </c>
    </row>
    <row r="36" customFormat="false" ht="15.75" hidden="false" customHeight="true" outlineLevel="0" collapsed="false">
      <c r="A36" s="43" t="s">
        <v>168</v>
      </c>
      <c r="B36" s="44"/>
      <c r="C36" s="44"/>
      <c r="D36" s="44"/>
      <c r="E36" s="44"/>
      <c r="F36" s="44"/>
      <c r="G36" s="44"/>
      <c r="H36" s="44"/>
      <c r="I36" s="45" t="n">
        <f aca="false">I30+I31+I32+I33+I34+I35</f>
        <v>32207.268</v>
      </c>
      <c r="J36" s="44"/>
    </row>
    <row r="38" customFormat="false" ht="18" hidden="false" customHeight="true" outlineLevel="0" collapsed="false">
      <c r="A38" s="18" t="s">
        <v>169</v>
      </c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.75" hidden="false" customHeight="true" outlineLevel="0" collapsed="false">
      <c r="A39" s="21" t="s">
        <v>170</v>
      </c>
      <c r="B39" s="22" t="s">
        <v>131</v>
      </c>
      <c r="C39" s="22" t="s">
        <v>87</v>
      </c>
      <c r="D39" s="22" t="s">
        <v>88</v>
      </c>
      <c r="E39" s="21" t="s">
        <v>89</v>
      </c>
      <c r="F39" s="21" t="n">
        <v>1</v>
      </c>
      <c r="G39" s="21" t="s">
        <v>90</v>
      </c>
      <c r="H39" s="21" t="s">
        <v>90</v>
      </c>
      <c r="I39" s="23" t="n">
        <v>0</v>
      </c>
      <c r="J39" s="22" t="s">
        <v>91</v>
      </c>
    </row>
    <row r="40" customFormat="false" ht="15.75" hidden="false" customHeight="true" outlineLevel="0" collapsed="false">
      <c r="A40" s="24" t="s">
        <v>171</v>
      </c>
      <c r="B40" s="25" t="s">
        <v>172</v>
      </c>
      <c r="C40" s="25" t="s">
        <v>173</v>
      </c>
      <c r="D40" s="25" t="s">
        <v>88</v>
      </c>
      <c r="E40" s="24" t="s">
        <v>89</v>
      </c>
      <c r="F40" s="26" t="n">
        <v>1</v>
      </c>
      <c r="G40" s="27" t="n">
        <f aca="false">ПАРАМЕТРЫ!B25</f>
        <v>9814</v>
      </c>
      <c r="H40" s="27" t="n">
        <f aca="false">ПАРАМЕТРЫ!D25</f>
        <v>5888.4</v>
      </c>
      <c r="I40" s="27" t="n">
        <f aca="false">F40*H40</f>
        <v>5888.4</v>
      </c>
      <c r="J40" s="25" t="s">
        <v>174</v>
      </c>
    </row>
    <row r="41" customFormat="false" ht="15.75" hidden="false" customHeight="true" outlineLevel="0" collapsed="false">
      <c r="A41" s="28" t="s">
        <v>175</v>
      </c>
      <c r="B41" s="29" t="s">
        <v>176</v>
      </c>
      <c r="C41" s="29" t="s">
        <v>177</v>
      </c>
      <c r="D41" s="29" t="s">
        <v>88</v>
      </c>
      <c r="E41" s="28" t="s">
        <v>89</v>
      </c>
      <c r="F41" s="26" t="n">
        <v>1</v>
      </c>
      <c r="G41" s="30" t="n">
        <f aca="false">ПАРАМЕТРЫ!B27</f>
        <v>64129</v>
      </c>
      <c r="H41" s="30" t="n">
        <f aca="false">ПАРАМЕТРЫ!D27</f>
        <v>38477.4</v>
      </c>
      <c r="I41" s="30" t="n">
        <f aca="false">F41*H41</f>
        <v>38477.4</v>
      </c>
      <c r="J41" s="29" t="s">
        <v>178</v>
      </c>
    </row>
    <row r="42" customFormat="false" ht="15.75" hidden="false" customHeight="true" outlineLevel="0" collapsed="false">
      <c r="A42" s="24" t="s">
        <v>179</v>
      </c>
      <c r="B42" s="25" t="s">
        <v>161</v>
      </c>
      <c r="C42" s="25" t="s">
        <v>162</v>
      </c>
      <c r="D42" s="25" t="s">
        <v>88</v>
      </c>
      <c r="E42" s="24" t="s">
        <v>89</v>
      </c>
      <c r="F42" s="26" t="n">
        <v>1</v>
      </c>
      <c r="G42" s="27" t="n">
        <f aca="false">ПАРАМЕТРЫ!B17</f>
        <v>7697</v>
      </c>
      <c r="H42" s="27" t="n">
        <f aca="false">ПАРАМЕТРЫ!D17</f>
        <v>4618.2</v>
      </c>
      <c r="I42" s="27" t="n">
        <f aca="false">F42*H42</f>
        <v>4618.2</v>
      </c>
      <c r="J42" s="25" t="s">
        <v>163</v>
      </c>
    </row>
    <row r="43" customFormat="false" ht="15.75" hidden="false" customHeight="true" outlineLevel="0" collapsed="false">
      <c r="A43" s="28" t="s">
        <v>180</v>
      </c>
      <c r="B43" s="29" t="s">
        <v>135</v>
      </c>
      <c r="C43" s="29" t="s">
        <v>136</v>
      </c>
      <c r="D43" s="29" t="s">
        <v>88</v>
      </c>
      <c r="E43" s="28" t="s">
        <v>89</v>
      </c>
      <c r="F43" s="26" t="n">
        <v>1</v>
      </c>
      <c r="G43" s="30" t="n">
        <f aca="false">ПАРАМЕТРЫ!B12</f>
        <v>2818</v>
      </c>
      <c r="H43" s="30" t="n">
        <f aca="false">ПАРАМЕТРЫ!D12</f>
        <v>1690.8</v>
      </c>
      <c r="I43" s="30" t="n">
        <f aca="false">F43*H43</f>
        <v>1690.8</v>
      </c>
      <c r="J43" s="29" t="s">
        <v>165</v>
      </c>
    </row>
    <row r="44" customFormat="false" ht="15.75" hidden="false" customHeight="true" outlineLevel="0" collapsed="false">
      <c r="A44" s="35" t="s">
        <v>181</v>
      </c>
      <c r="B44" s="36" t="s">
        <v>124</v>
      </c>
      <c r="C44" s="36"/>
      <c r="D44" s="36" t="s">
        <v>88</v>
      </c>
      <c r="E44" s="35" t="s">
        <v>125</v>
      </c>
      <c r="F44" s="35" t="n">
        <v>1</v>
      </c>
      <c r="G44" s="35" t="s">
        <v>90</v>
      </c>
      <c r="H44" s="37" t="str">
        <f aca="false">ПАРАМЕТРЫ!B6&amp;"%"</f>
        <v>7%</v>
      </c>
      <c r="I44" s="38" t="n">
        <f aca="false">(I40+I41+I42+I43)*ПАРАМЕТРЫ!B6/100</f>
        <v>3547.236</v>
      </c>
      <c r="J44" s="36" t="s">
        <v>11</v>
      </c>
    </row>
    <row r="45" customFormat="false" ht="15.75" hidden="false" customHeight="true" outlineLevel="0" collapsed="false">
      <c r="A45" s="39" t="s">
        <v>182</v>
      </c>
      <c r="B45" s="40" t="s">
        <v>127</v>
      </c>
      <c r="C45" s="40"/>
      <c r="D45" s="40" t="s">
        <v>88</v>
      </c>
      <c r="E45" s="39" t="s">
        <v>125</v>
      </c>
      <c r="F45" s="39" t="n">
        <v>1</v>
      </c>
      <c r="G45" s="39" t="s">
        <v>90</v>
      </c>
      <c r="H45" s="41" t="str">
        <f aca="false">ПАРАМЕТРЫ!B7&amp;"%"</f>
        <v>15%</v>
      </c>
      <c r="I45" s="42" t="n">
        <f aca="false">(I40+I41+I42+I43)*ПАРАМЕТРЫ!B7/100</f>
        <v>7601.22</v>
      </c>
      <c r="J45" s="40" t="s">
        <v>11</v>
      </c>
    </row>
    <row r="46" customFormat="false" ht="15.75" hidden="false" customHeight="true" outlineLevel="0" collapsed="false">
      <c r="A46" s="43" t="s">
        <v>183</v>
      </c>
      <c r="B46" s="44"/>
      <c r="C46" s="44"/>
      <c r="D46" s="44"/>
      <c r="E46" s="44"/>
      <c r="F46" s="44"/>
      <c r="G46" s="44"/>
      <c r="H46" s="44"/>
      <c r="I46" s="45" t="n">
        <f aca="false">I40+I41+I42+I43+I44+I45</f>
        <v>61823.256</v>
      </c>
      <c r="J46" s="44"/>
    </row>
    <row r="48" customFormat="false" ht="18" hidden="false" customHeight="true" outlineLevel="0" collapsed="false">
      <c r="A48" s="18" t="s">
        <v>184</v>
      </c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.75" hidden="false" customHeight="true" outlineLevel="0" collapsed="false">
      <c r="A49" s="21" t="s">
        <v>185</v>
      </c>
      <c r="B49" s="22" t="s">
        <v>131</v>
      </c>
      <c r="C49" s="22" t="s">
        <v>87</v>
      </c>
      <c r="D49" s="22" t="s">
        <v>88</v>
      </c>
      <c r="E49" s="21" t="s">
        <v>89</v>
      </c>
      <c r="F49" s="21" t="n">
        <v>1</v>
      </c>
      <c r="G49" s="21" t="s">
        <v>90</v>
      </c>
      <c r="H49" s="21" t="s">
        <v>90</v>
      </c>
      <c r="I49" s="23" t="n">
        <v>0</v>
      </c>
      <c r="J49" s="22" t="s">
        <v>91</v>
      </c>
    </row>
    <row r="50" customFormat="false" ht="15.75" hidden="false" customHeight="true" outlineLevel="0" collapsed="false">
      <c r="A50" s="24" t="s">
        <v>186</v>
      </c>
      <c r="B50" s="25" t="s">
        <v>101</v>
      </c>
      <c r="C50" s="25" t="s">
        <v>102</v>
      </c>
      <c r="D50" s="25" t="s">
        <v>88</v>
      </c>
      <c r="E50" s="24" t="s">
        <v>89</v>
      </c>
      <c r="F50" s="26" t="n">
        <v>1</v>
      </c>
      <c r="G50" s="27" t="n">
        <f aca="false">ПАРАМЕТРЫ!B18</f>
        <v>7829</v>
      </c>
      <c r="H50" s="27" t="n">
        <f aca="false">ПАРАМЕТРЫ!D18</f>
        <v>4697.4</v>
      </c>
      <c r="I50" s="27" t="n">
        <f aca="false">F50*H50</f>
        <v>4697.4</v>
      </c>
      <c r="J50" s="25" t="s">
        <v>187</v>
      </c>
    </row>
    <row r="51" customFormat="false" ht="15.75" hidden="false" customHeight="true" outlineLevel="0" collapsed="false">
      <c r="A51" s="28" t="s">
        <v>188</v>
      </c>
      <c r="B51" s="29" t="s">
        <v>161</v>
      </c>
      <c r="C51" s="29" t="s">
        <v>162</v>
      </c>
      <c r="D51" s="29" t="s">
        <v>88</v>
      </c>
      <c r="E51" s="28" t="s">
        <v>89</v>
      </c>
      <c r="F51" s="26" t="n">
        <v>3</v>
      </c>
      <c r="G51" s="30" t="n">
        <f aca="false">ПАРАМЕТРЫ!B17</f>
        <v>7697</v>
      </c>
      <c r="H51" s="30" t="n">
        <f aca="false">ПАРАМЕТРЫ!D17</f>
        <v>4618.2</v>
      </c>
      <c r="I51" s="30" t="n">
        <f aca="false">F51*H51</f>
        <v>13854.6</v>
      </c>
      <c r="J51" s="29" t="s">
        <v>189</v>
      </c>
    </row>
    <row r="52" customFormat="false" ht="15.75" hidden="false" customHeight="true" outlineLevel="0" collapsed="false">
      <c r="A52" s="35" t="s">
        <v>190</v>
      </c>
      <c r="B52" s="36" t="s">
        <v>124</v>
      </c>
      <c r="C52" s="36"/>
      <c r="D52" s="36" t="s">
        <v>88</v>
      </c>
      <c r="E52" s="35" t="s">
        <v>125</v>
      </c>
      <c r="F52" s="35" t="n">
        <v>1</v>
      </c>
      <c r="G52" s="35" t="s">
        <v>90</v>
      </c>
      <c r="H52" s="37" t="str">
        <f aca="false">ПАРАМЕТРЫ!B6&amp;"%"</f>
        <v>7%</v>
      </c>
      <c r="I52" s="38" t="n">
        <f aca="false">(I50+I51)*ПАРАМЕТРЫ!B6/100</f>
        <v>1298.64</v>
      </c>
      <c r="J52" s="36" t="s">
        <v>11</v>
      </c>
    </row>
    <row r="53" customFormat="false" ht="15.75" hidden="false" customHeight="true" outlineLevel="0" collapsed="false">
      <c r="A53" s="39" t="s">
        <v>191</v>
      </c>
      <c r="B53" s="40" t="s">
        <v>127</v>
      </c>
      <c r="C53" s="40"/>
      <c r="D53" s="40" t="s">
        <v>88</v>
      </c>
      <c r="E53" s="39" t="s">
        <v>125</v>
      </c>
      <c r="F53" s="39" t="n">
        <v>1</v>
      </c>
      <c r="G53" s="39" t="s">
        <v>90</v>
      </c>
      <c r="H53" s="41" t="str">
        <f aca="false">ПАРАМЕТРЫ!B7&amp;"%"</f>
        <v>15%</v>
      </c>
      <c r="I53" s="42" t="n">
        <f aca="false">(I50+I51)*ПАРАМЕТРЫ!B7/100</f>
        <v>2782.8</v>
      </c>
      <c r="J53" s="40" t="s">
        <v>11</v>
      </c>
    </row>
    <row r="54" customFormat="false" ht="15.75" hidden="false" customHeight="true" outlineLevel="0" collapsed="false">
      <c r="A54" s="43" t="s">
        <v>192</v>
      </c>
      <c r="B54" s="44"/>
      <c r="C54" s="44"/>
      <c r="D54" s="44"/>
      <c r="E54" s="44"/>
      <c r="F54" s="44"/>
      <c r="G54" s="44"/>
      <c r="H54" s="44"/>
      <c r="I54" s="45" t="n">
        <f aca="false">I50+I51+I52+I53</f>
        <v>22633.44</v>
      </c>
      <c r="J54" s="44"/>
    </row>
    <row r="56" customFormat="false" ht="18" hidden="false" customHeight="true" outlineLevel="0" collapsed="false">
      <c r="A56" s="18" t="s">
        <v>193</v>
      </c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.75" hidden="false" customHeight="true" outlineLevel="0" collapsed="false">
      <c r="A57" s="21" t="s">
        <v>194</v>
      </c>
      <c r="B57" s="22" t="s">
        <v>195</v>
      </c>
      <c r="C57" s="22" t="s">
        <v>87</v>
      </c>
      <c r="D57" s="22" t="s">
        <v>88</v>
      </c>
      <c r="E57" s="21" t="s">
        <v>89</v>
      </c>
      <c r="F57" s="21" t="n">
        <v>1</v>
      </c>
      <c r="G57" s="21" t="s">
        <v>90</v>
      </c>
      <c r="H57" s="21" t="s">
        <v>90</v>
      </c>
      <c r="I57" s="23" t="n">
        <v>0</v>
      </c>
      <c r="J57" s="22" t="s">
        <v>91</v>
      </c>
    </row>
    <row r="58" customFormat="false" ht="15.75" hidden="false" customHeight="true" outlineLevel="0" collapsed="false">
      <c r="A58" s="24" t="s">
        <v>196</v>
      </c>
      <c r="B58" s="25" t="s">
        <v>153</v>
      </c>
      <c r="C58" s="25" t="s">
        <v>154</v>
      </c>
      <c r="D58" s="25" t="s">
        <v>88</v>
      </c>
      <c r="E58" s="24" t="s">
        <v>89</v>
      </c>
      <c r="F58" s="26" t="n">
        <v>1</v>
      </c>
      <c r="G58" s="27" t="n">
        <f aca="false">ПАРАМЕТРЫ!B24</f>
        <v>7468</v>
      </c>
      <c r="H58" s="27" t="n">
        <f aca="false">ПАРАМЕТРЫ!D24</f>
        <v>4480.8</v>
      </c>
      <c r="I58" s="27" t="n">
        <f aca="false">F58*H58</f>
        <v>4480.8</v>
      </c>
      <c r="J58" s="25" t="s">
        <v>197</v>
      </c>
    </row>
    <row r="59" customFormat="false" ht="15.75" hidden="false" customHeight="true" outlineLevel="0" collapsed="false">
      <c r="A59" s="28" t="s">
        <v>198</v>
      </c>
      <c r="B59" s="29" t="s">
        <v>161</v>
      </c>
      <c r="C59" s="29" t="s">
        <v>162</v>
      </c>
      <c r="D59" s="29" t="s">
        <v>88</v>
      </c>
      <c r="E59" s="28" t="s">
        <v>89</v>
      </c>
      <c r="F59" s="26" t="n">
        <v>5</v>
      </c>
      <c r="G59" s="30" t="n">
        <f aca="false">ПАРАМЕТРЫ!B17</f>
        <v>7697</v>
      </c>
      <c r="H59" s="30" t="n">
        <f aca="false">ПАРАМЕТРЫ!D17</f>
        <v>4618.2</v>
      </c>
      <c r="I59" s="30" t="n">
        <f aca="false">F59*H59</f>
        <v>23091</v>
      </c>
      <c r="J59" s="29" t="s">
        <v>199</v>
      </c>
    </row>
    <row r="60" customFormat="false" ht="15.75" hidden="false" customHeight="true" outlineLevel="0" collapsed="false">
      <c r="A60" s="35" t="s">
        <v>200</v>
      </c>
      <c r="B60" s="36" t="s">
        <v>124</v>
      </c>
      <c r="C60" s="36"/>
      <c r="D60" s="36" t="s">
        <v>88</v>
      </c>
      <c r="E60" s="35" t="s">
        <v>125</v>
      </c>
      <c r="F60" s="35" t="n">
        <v>1</v>
      </c>
      <c r="G60" s="35" t="s">
        <v>90</v>
      </c>
      <c r="H60" s="37" t="str">
        <f aca="false">ПАРАМЕТРЫ!B6&amp;"%"</f>
        <v>7%</v>
      </c>
      <c r="I60" s="38" t="n">
        <f aca="false">(I58+I59)*ПАРАМЕТРЫ!B6/100</f>
        <v>1930.026</v>
      </c>
      <c r="J60" s="36" t="s">
        <v>11</v>
      </c>
    </row>
    <row r="61" customFormat="false" ht="15.75" hidden="false" customHeight="true" outlineLevel="0" collapsed="false">
      <c r="A61" s="39" t="s">
        <v>201</v>
      </c>
      <c r="B61" s="40" t="s">
        <v>127</v>
      </c>
      <c r="C61" s="40"/>
      <c r="D61" s="40" t="s">
        <v>88</v>
      </c>
      <c r="E61" s="39" t="s">
        <v>125</v>
      </c>
      <c r="F61" s="39" t="n">
        <v>1</v>
      </c>
      <c r="G61" s="39" t="s">
        <v>90</v>
      </c>
      <c r="H61" s="41" t="str">
        <f aca="false">ПАРАМЕТРЫ!B7&amp;"%"</f>
        <v>15%</v>
      </c>
      <c r="I61" s="42" t="n">
        <f aca="false">(I58+I59)*ПАРАМЕТРЫ!B7/100</f>
        <v>4135.77</v>
      </c>
      <c r="J61" s="40" t="s">
        <v>11</v>
      </c>
    </row>
    <row r="62" customFormat="false" ht="15.75" hidden="false" customHeight="true" outlineLevel="0" collapsed="false">
      <c r="A62" s="43" t="s">
        <v>202</v>
      </c>
      <c r="B62" s="44"/>
      <c r="C62" s="44"/>
      <c r="D62" s="44"/>
      <c r="E62" s="44"/>
      <c r="F62" s="44"/>
      <c r="G62" s="44"/>
      <c r="H62" s="44"/>
      <c r="I62" s="45" t="n">
        <f aca="false">I58+I59+I60+I61</f>
        <v>33637.596</v>
      </c>
      <c r="J62" s="44"/>
    </row>
    <row r="64" customFormat="false" ht="18" hidden="false" customHeight="true" outlineLevel="0" collapsed="false">
      <c r="A64" s="18" t="s">
        <v>203</v>
      </c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5.75" hidden="false" customHeight="true" outlineLevel="0" collapsed="false">
      <c r="A65" s="21" t="s">
        <v>204</v>
      </c>
      <c r="B65" s="22" t="s">
        <v>131</v>
      </c>
      <c r="C65" s="22" t="s">
        <v>87</v>
      </c>
      <c r="D65" s="22" t="s">
        <v>88</v>
      </c>
      <c r="E65" s="21" t="s">
        <v>89</v>
      </c>
      <c r="F65" s="21" t="n">
        <v>1</v>
      </c>
      <c r="G65" s="21" t="s">
        <v>90</v>
      </c>
      <c r="H65" s="21" t="s">
        <v>90</v>
      </c>
      <c r="I65" s="23" t="n">
        <v>0</v>
      </c>
      <c r="J65" s="22" t="s">
        <v>91</v>
      </c>
    </row>
    <row r="66" customFormat="false" ht="15.75" hidden="false" customHeight="true" outlineLevel="0" collapsed="false">
      <c r="A66" s="24" t="s">
        <v>205</v>
      </c>
      <c r="B66" s="25" t="s">
        <v>153</v>
      </c>
      <c r="C66" s="25" t="s">
        <v>154</v>
      </c>
      <c r="D66" s="25" t="s">
        <v>88</v>
      </c>
      <c r="E66" s="24" t="s">
        <v>89</v>
      </c>
      <c r="F66" s="26" t="n">
        <v>1</v>
      </c>
      <c r="G66" s="27" t="n">
        <f aca="false">ПАРАМЕТРЫ!B24</f>
        <v>7468</v>
      </c>
      <c r="H66" s="27" t="n">
        <f aca="false">ПАРАМЕТРЫ!D24</f>
        <v>4480.8</v>
      </c>
      <c r="I66" s="27" t="n">
        <f aca="false">F66*H66</f>
        <v>4480.8</v>
      </c>
      <c r="J66" s="25" t="s">
        <v>197</v>
      </c>
    </row>
    <row r="67" customFormat="false" ht="15.75" hidden="false" customHeight="true" outlineLevel="0" collapsed="false">
      <c r="A67" s="28" t="s">
        <v>206</v>
      </c>
      <c r="B67" s="29" t="s">
        <v>135</v>
      </c>
      <c r="C67" s="29" t="s">
        <v>136</v>
      </c>
      <c r="D67" s="29" t="s">
        <v>88</v>
      </c>
      <c r="E67" s="28" t="s">
        <v>89</v>
      </c>
      <c r="F67" s="26" t="n">
        <v>5</v>
      </c>
      <c r="G67" s="30" t="n">
        <f aca="false">ПАРАМЕТРЫ!B12</f>
        <v>2818</v>
      </c>
      <c r="H67" s="30" t="n">
        <f aca="false">ПАРАМЕТРЫ!D12</f>
        <v>1690.8</v>
      </c>
      <c r="I67" s="30" t="n">
        <f aca="false">F67*H67</f>
        <v>8454</v>
      </c>
      <c r="J67" s="29" t="s">
        <v>207</v>
      </c>
    </row>
    <row r="68" customFormat="false" ht="15.75" hidden="false" customHeight="true" outlineLevel="0" collapsed="false">
      <c r="A68" s="24" t="s">
        <v>208</v>
      </c>
      <c r="B68" s="25" t="s">
        <v>209</v>
      </c>
      <c r="C68" s="25" t="s">
        <v>210</v>
      </c>
      <c r="D68" s="25" t="s">
        <v>88</v>
      </c>
      <c r="E68" s="24" t="s">
        <v>89</v>
      </c>
      <c r="F68" s="26" t="n">
        <v>2</v>
      </c>
      <c r="G68" s="27" t="n">
        <f aca="false">ПАРАМЕТРЫ!B35</f>
        <v>29812</v>
      </c>
      <c r="H68" s="27" t="n">
        <f aca="false">ПАРАМЕТРЫ!D35</f>
        <v>17887.2</v>
      </c>
      <c r="I68" s="27" t="n">
        <f aca="false">F68*H68</f>
        <v>35774.4</v>
      </c>
      <c r="J68" s="25" t="s">
        <v>211</v>
      </c>
    </row>
    <row r="69" customFormat="false" ht="15.75" hidden="false" customHeight="true" outlineLevel="0" collapsed="false">
      <c r="A69" s="35" t="s">
        <v>212</v>
      </c>
      <c r="B69" s="36" t="s">
        <v>124</v>
      </c>
      <c r="C69" s="36"/>
      <c r="D69" s="36" t="s">
        <v>88</v>
      </c>
      <c r="E69" s="35" t="s">
        <v>125</v>
      </c>
      <c r="F69" s="35" t="n">
        <v>1</v>
      </c>
      <c r="G69" s="35" t="s">
        <v>90</v>
      </c>
      <c r="H69" s="37" t="str">
        <f aca="false">ПАРАМЕТРЫ!B6&amp;"%"</f>
        <v>7%</v>
      </c>
      <c r="I69" s="38" t="n">
        <f aca="false">(I66+I67+I68)*ПАРАМЕТРЫ!B6/100</f>
        <v>3409.644</v>
      </c>
      <c r="J69" s="36" t="s">
        <v>11</v>
      </c>
    </row>
    <row r="70" customFormat="false" ht="15.75" hidden="false" customHeight="true" outlineLevel="0" collapsed="false">
      <c r="A70" s="39" t="s">
        <v>213</v>
      </c>
      <c r="B70" s="40" t="s">
        <v>127</v>
      </c>
      <c r="C70" s="40"/>
      <c r="D70" s="40" t="s">
        <v>88</v>
      </c>
      <c r="E70" s="39" t="s">
        <v>125</v>
      </c>
      <c r="F70" s="39" t="n">
        <v>1</v>
      </c>
      <c r="G70" s="39" t="s">
        <v>90</v>
      </c>
      <c r="H70" s="41" t="str">
        <f aca="false">ПАРАМЕТРЫ!B7&amp;"%"</f>
        <v>15%</v>
      </c>
      <c r="I70" s="42" t="n">
        <f aca="false">(I66+I67+I68)*ПАРАМЕТРЫ!B7/100</f>
        <v>7306.38</v>
      </c>
      <c r="J70" s="40" t="s">
        <v>11</v>
      </c>
    </row>
    <row r="71" customFormat="false" ht="15.75" hidden="false" customHeight="true" outlineLevel="0" collapsed="false">
      <c r="A71" s="43" t="s">
        <v>214</v>
      </c>
      <c r="B71" s="44"/>
      <c r="C71" s="44"/>
      <c r="D71" s="44"/>
      <c r="E71" s="44"/>
      <c r="F71" s="44"/>
      <c r="G71" s="44"/>
      <c r="H71" s="44"/>
      <c r="I71" s="45" t="n">
        <f aca="false">I66+I67+I68+I69+I70</f>
        <v>59425.224</v>
      </c>
      <c r="J71" s="44"/>
    </row>
    <row r="73" customFormat="false" ht="16.5" hidden="false" customHeight="true" outlineLevel="0" collapsed="false">
      <c r="A73" s="19" t="s">
        <v>215</v>
      </c>
      <c r="B73" s="20"/>
      <c r="C73" s="20"/>
      <c r="D73" s="20"/>
      <c r="E73" s="20"/>
      <c r="F73" s="20"/>
      <c r="G73" s="20"/>
      <c r="H73" s="20"/>
      <c r="I73" s="20"/>
      <c r="J73" s="20"/>
    </row>
    <row r="74" customFormat="false" ht="18" hidden="false" customHeight="true" outlineLevel="0" collapsed="false">
      <c r="A74" s="18" t="s">
        <v>216</v>
      </c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.75" hidden="false" customHeight="true" outlineLevel="0" collapsed="false">
      <c r="A75" s="21" t="s">
        <v>217</v>
      </c>
      <c r="B75" s="22" t="s">
        <v>218</v>
      </c>
      <c r="C75" s="22" t="s">
        <v>87</v>
      </c>
      <c r="D75" s="22" t="s">
        <v>219</v>
      </c>
      <c r="E75" s="21" t="s">
        <v>89</v>
      </c>
      <c r="F75" s="21" t="n">
        <v>1</v>
      </c>
      <c r="G75" s="21" t="s">
        <v>90</v>
      </c>
      <c r="H75" s="21" t="s">
        <v>90</v>
      </c>
      <c r="I75" s="23" t="n">
        <v>0</v>
      </c>
      <c r="J75" s="22" t="s">
        <v>91</v>
      </c>
    </row>
    <row r="76" customFormat="false" ht="15.75" hidden="false" customHeight="true" outlineLevel="0" collapsed="false">
      <c r="A76" s="24" t="s">
        <v>220</v>
      </c>
      <c r="B76" s="25" t="s">
        <v>153</v>
      </c>
      <c r="C76" s="25" t="s">
        <v>154</v>
      </c>
      <c r="D76" s="25" t="s">
        <v>219</v>
      </c>
      <c r="E76" s="24" t="s">
        <v>89</v>
      </c>
      <c r="F76" s="26" t="n">
        <v>1</v>
      </c>
      <c r="G76" s="27" t="n">
        <f aca="false">ПАРАМЕТРЫ!B24</f>
        <v>7468</v>
      </c>
      <c r="H76" s="27" t="n">
        <f aca="false">ПАРАМЕТРЫ!D24</f>
        <v>4480.8</v>
      </c>
      <c r="I76" s="27" t="n">
        <f aca="false">F76*H76</f>
        <v>4480.8</v>
      </c>
      <c r="J76" s="25" t="s">
        <v>197</v>
      </c>
    </row>
    <row r="77" customFormat="false" ht="15.75" hidden="false" customHeight="true" outlineLevel="0" collapsed="false">
      <c r="A77" s="28" t="s">
        <v>221</v>
      </c>
      <c r="B77" s="29" t="s">
        <v>135</v>
      </c>
      <c r="C77" s="29" t="s">
        <v>136</v>
      </c>
      <c r="D77" s="29" t="s">
        <v>219</v>
      </c>
      <c r="E77" s="28" t="s">
        <v>89</v>
      </c>
      <c r="F77" s="26" t="n">
        <v>18</v>
      </c>
      <c r="G77" s="30" t="n">
        <f aca="false">ПАРАМЕТРЫ!B12</f>
        <v>2818</v>
      </c>
      <c r="H77" s="30" t="n">
        <f aca="false">ПАРАМЕТРЫ!D12</f>
        <v>1690.8</v>
      </c>
      <c r="I77" s="30" t="n">
        <f aca="false">F77*H77</f>
        <v>30434.4</v>
      </c>
      <c r="J77" s="29"/>
    </row>
    <row r="78" customFormat="false" ht="15.75" hidden="false" customHeight="true" outlineLevel="0" collapsed="false">
      <c r="A78" s="24" t="s">
        <v>222</v>
      </c>
      <c r="B78" s="25" t="s">
        <v>157</v>
      </c>
      <c r="C78" s="25" t="s">
        <v>158</v>
      </c>
      <c r="D78" s="25" t="s">
        <v>219</v>
      </c>
      <c r="E78" s="24" t="s">
        <v>89</v>
      </c>
      <c r="F78" s="26" t="n">
        <v>7</v>
      </c>
      <c r="G78" s="27" t="n">
        <f aca="false">ПАРАМЕТРЫ!B21</f>
        <v>13008</v>
      </c>
      <c r="H78" s="27" t="n">
        <f aca="false">ПАРАМЕТРЫ!D21</f>
        <v>7804.8</v>
      </c>
      <c r="I78" s="27" t="n">
        <f aca="false">F78*H78</f>
        <v>54633.6</v>
      </c>
      <c r="J78" s="25"/>
    </row>
    <row r="79" customFormat="false" ht="15.75" hidden="false" customHeight="true" outlineLevel="0" collapsed="false">
      <c r="A79" s="28" t="s">
        <v>223</v>
      </c>
      <c r="B79" s="29" t="s">
        <v>139</v>
      </c>
      <c r="C79" s="29" t="s">
        <v>140</v>
      </c>
      <c r="D79" s="29" t="s">
        <v>219</v>
      </c>
      <c r="E79" s="28" t="s">
        <v>89</v>
      </c>
      <c r="F79" s="26" t="n">
        <v>7</v>
      </c>
      <c r="G79" s="30" t="n">
        <f aca="false">ПАРАМЕТРЫ!B30</f>
        <v>5214</v>
      </c>
      <c r="H79" s="30" t="n">
        <f aca="false">ПАРАМЕТРЫ!D30</f>
        <v>3128.4</v>
      </c>
      <c r="I79" s="30" t="n">
        <f aca="false">F79*H79</f>
        <v>21898.8</v>
      </c>
      <c r="J79" s="29"/>
    </row>
    <row r="80" customFormat="false" ht="15.75" hidden="false" customHeight="true" outlineLevel="0" collapsed="false">
      <c r="A80" s="24" t="s">
        <v>224</v>
      </c>
      <c r="B80" s="25" t="s">
        <v>225</v>
      </c>
      <c r="C80" s="25" t="s">
        <v>90</v>
      </c>
      <c r="D80" s="25" t="s">
        <v>219</v>
      </c>
      <c r="E80" s="24" t="s">
        <v>89</v>
      </c>
      <c r="F80" s="26" t="n">
        <v>7</v>
      </c>
      <c r="G80" s="27" t="s">
        <v>90</v>
      </c>
      <c r="H80" s="27" t="s">
        <v>90</v>
      </c>
      <c r="I80" s="27" t="n">
        <v>0</v>
      </c>
      <c r="J80" s="25" t="s">
        <v>226</v>
      </c>
    </row>
    <row r="81" customFormat="false" ht="15.75" hidden="false" customHeight="true" outlineLevel="0" collapsed="false">
      <c r="A81" s="35" t="s">
        <v>227</v>
      </c>
      <c r="B81" s="36" t="s">
        <v>124</v>
      </c>
      <c r="C81" s="36"/>
      <c r="D81" s="36" t="s">
        <v>219</v>
      </c>
      <c r="E81" s="35" t="s">
        <v>125</v>
      </c>
      <c r="F81" s="35" t="n">
        <v>1</v>
      </c>
      <c r="G81" s="35" t="s">
        <v>90</v>
      </c>
      <c r="H81" s="37" t="str">
        <f aca="false">ПАРАМЕТРЫ!B6&amp;"%"</f>
        <v>7%</v>
      </c>
      <c r="I81" s="38" t="n">
        <f aca="false">(I76+I77+I78+I79)*ПАРАМЕТРЫ!B6/100</f>
        <v>7801.332</v>
      </c>
      <c r="J81" s="36" t="s">
        <v>11</v>
      </c>
    </row>
    <row r="82" customFormat="false" ht="15.75" hidden="false" customHeight="true" outlineLevel="0" collapsed="false">
      <c r="A82" s="39" t="s">
        <v>228</v>
      </c>
      <c r="B82" s="40" t="s">
        <v>127</v>
      </c>
      <c r="C82" s="40"/>
      <c r="D82" s="40" t="s">
        <v>219</v>
      </c>
      <c r="E82" s="39" t="s">
        <v>125</v>
      </c>
      <c r="F82" s="39" t="n">
        <v>1</v>
      </c>
      <c r="G82" s="39" t="s">
        <v>90</v>
      </c>
      <c r="H82" s="41" t="str">
        <f aca="false">ПАРАМЕТРЫ!B7&amp;"%"</f>
        <v>15%</v>
      </c>
      <c r="I82" s="42" t="n">
        <f aca="false">(I76+I77+I78+I79)*ПАРАМЕТРЫ!B7/100</f>
        <v>16717.14</v>
      </c>
      <c r="J82" s="40" t="s">
        <v>11</v>
      </c>
    </row>
    <row r="83" customFormat="false" ht="15.75" hidden="false" customHeight="true" outlineLevel="0" collapsed="false">
      <c r="A83" s="43" t="s">
        <v>229</v>
      </c>
      <c r="B83" s="44"/>
      <c r="C83" s="44"/>
      <c r="D83" s="44"/>
      <c r="E83" s="44"/>
      <c r="F83" s="44"/>
      <c r="G83" s="44"/>
      <c r="H83" s="44"/>
      <c r="I83" s="45" t="n">
        <f aca="false">I76+I77+I78+I79+I81+I82</f>
        <v>135966.072</v>
      </c>
      <c r="J83" s="44"/>
    </row>
    <row r="85" customFormat="false" ht="18" hidden="false" customHeight="true" outlineLevel="0" collapsed="false">
      <c r="A85" s="18" t="s">
        <v>230</v>
      </c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.75" hidden="false" customHeight="true" outlineLevel="0" collapsed="false">
      <c r="A86" s="21" t="s">
        <v>231</v>
      </c>
      <c r="B86" s="22" t="s">
        <v>131</v>
      </c>
      <c r="C86" s="22" t="s">
        <v>87</v>
      </c>
      <c r="D86" s="22" t="s">
        <v>219</v>
      </c>
      <c r="E86" s="21" t="s">
        <v>89</v>
      </c>
      <c r="F86" s="21" t="n">
        <v>1</v>
      </c>
      <c r="G86" s="21" t="s">
        <v>90</v>
      </c>
      <c r="H86" s="21" t="s">
        <v>90</v>
      </c>
      <c r="I86" s="23" t="n">
        <v>0</v>
      </c>
      <c r="J86" s="22" t="s">
        <v>91</v>
      </c>
    </row>
    <row r="87" customFormat="false" ht="15.75" hidden="false" customHeight="true" outlineLevel="0" collapsed="false">
      <c r="A87" s="24" t="s">
        <v>232</v>
      </c>
      <c r="B87" s="25" t="s">
        <v>153</v>
      </c>
      <c r="C87" s="25" t="s">
        <v>154</v>
      </c>
      <c r="D87" s="25" t="s">
        <v>219</v>
      </c>
      <c r="E87" s="24" t="s">
        <v>89</v>
      </c>
      <c r="F87" s="26" t="n">
        <v>1</v>
      </c>
      <c r="G87" s="27" t="n">
        <f aca="false">ПАРАМЕТРЫ!B24</f>
        <v>7468</v>
      </c>
      <c r="H87" s="27" t="n">
        <f aca="false">ПАРАМЕТРЫ!D24</f>
        <v>4480.8</v>
      </c>
      <c r="I87" s="27" t="n">
        <f aca="false">F87*H87</f>
        <v>4480.8</v>
      </c>
      <c r="J87" s="25"/>
    </row>
    <row r="88" customFormat="false" ht="15.75" hidden="false" customHeight="true" outlineLevel="0" collapsed="false">
      <c r="A88" s="28" t="s">
        <v>233</v>
      </c>
      <c r="B88" s="29" t="s">
        <v>135</v>
      </c>
      <c r="C88" s="29" t="s">
        <v>136</v>
      </c>
      <c r="D88" s="29" t="s">
        <v>219</v>
      </c>
      <c r="E88" s="28" t="s">
        <v>89</v>
      </c>
      <c r="F88" s="26" t="n">
        <v>4</v>
      </c>
      <c r="G88" s="30" t="n">
        <f aca="false">ПАРАМЕТРЫ!B12</f>
        <v>2818</v>
      </c>
      <c r="H88" s="30" t="n">
        <f aca="false">ПАРАМЕТРЫ!D12</f>
        <v>1690.8</v>
      </c>
      <c r="I88" s="30" t="n">
        <f aca="false">F88*H88</f>
        <v>6763.2</v>
      </c>
      <c r="J88" s="29"/>
    </row>
    <row r="89" customFormat="false" ht="15.75" hidden="false" customHeight="true" outlineLevel="0" collapsed="false">
      <c r="A89" s="24" t="s">
        <v>234</v>
      </c>
      <c r="B89" s="25" t="s">
        <v>157</v>
      </c>
      <c r="C89" s="25" t="s">
        <v>158</v>
      </c>
      <c r="D89" s="25" t="s">
        <v>219</v>
      </c>
      <c r="E89" s="24" t="s">
        <v>89</v>
      </c>
      <c r="F89" s="26" t="n">
        <v>4</v>
      </c>
      <c r="G89" s="27" t="n">
        <f aca="false">ПАРАМЕТРЫ!B21</f>
        <v>13008</v>
      </c>
      <c r="H89" s="27" t="n">
        <f aca="false">ПАРАМЕТРЫ!D21</f>
        <v>7804.8</v>
      </c>
      <c r="I89" s="27" t="n">
        <f aca="false">F89*H89</f>
        <v>31219.2</v>
      </c>
      <c r="J89" s="25"/>
    </row>
    <row r="90" customFormat="false" ht="15.75" hidden="false" customHeight="true" outlineLevel="0" collapsed="false">
      <c r="A90" s="28" t="s">
        <v>235</v>
      </c>
      <c r="B90" s="29" t="s">
        <v>139</v>
      </c>
      <c r="C90" s="29" t="s">
        <v>140</v>
      </c>
      <c r="D90" s="29" t="s">
        <v>219</v>
      </c>
      <c r="E90" s="28" t="s">
        <v>89</v>
      </c>
      <c r="F90" s="26" t="n">
        <v>4</v>
      </c>
      <c r="G90" s="30" t="n">
        <f aca="false">ПАРАМЕТРЫ!B30</f>
        <v>5214</v>
      </c>
      <c r="H90" s="30" t="n">
        <f aca="false">ПАРАМЕТРЫ!D30</f>
        <v>3128.4</v>
      </c>
      <c r="I90" s="30" t="n">
        <f aca="false">F90*H90</f>
        <v>12513.6</v>
      </c>
      <c r="J90" s="29"/>
    </row>
    <row r="91" customFormat="false" ht="15.75" hidden="false" customHeight="true" outlineLevel="0" collapsed="false">
      <c r="A91" s="24" t="s">
        <v>236</v>
      </c>
      <c r="B91" s="25" t="s">
        <v>225</v>
      </c>
      <c r="C91" s="25" t="s">
        <v>90</v>
      </c>
      <c r="D91" s="25" t="s">
        <v>219</v>
      </c>
      <c r="E91" s="24" t="s">
        <v>89</v>
      </c>
      <c r="F91" s="26" t="n">
        <v>4</v>
      </c>
      <c r="G91" s="27" t="s">
        <v>90</v>
      </c>
      <c r="H91" s="27" t="s">
        <v>90</v>
      </c>
      <c r="I91" s="27" t="n">
        <v>0</v>
      </c>
      <c r="J91" s="25"/>
    </row>
    <row r="92" customFormat="false" ht="15.75" hidden="false" customHeight="true" outlineLevel="0" collapsed="false">
      <c r="A92" s="35" t="s">
        <v>237</v>
      </c>
      <c r="B92" s="36" t="s">
        <v>124</v>
      </c>
      <c r="C92" s="36"/>
      <c r="D92" s="36" t="s">
        <v>219</v>
      </c>
      <c r="E92" s="35" t="s">
        <v>125</v>
      </c>
      <c r="F92" s="35" t="n">
        <v>1</v>
      </c>
      <c r="G92" s="35" t="s">
        <v>90</v>
      </c>
      <c r="H92" s="37" t="str">
        <f aca="false">ПАРАМЕТРЫ!B6&amp;"%"</f>
        <v>7%</v>
      </c>
      <c r="I92" s="38" t="n">
        <f aca="false">(I87+I88+I89+I90)*ПАРАМЕТРЫ!B6/100</f>
        <v>3848.376</v>
      </c>
      <c r="J92" s="36" t="s">
        <v>11</v>
      </c>
    </row>
    <row r="93" customFormat="false" ht="15.75" hidden="false" customHeight="true" outlineLevel="0" collapsed="false">
      <c r="A93" s="39" t="s">
        <v>238</v>
      </c>
      <c r="B93" s="40" t="s">
        <v>127</v>
      </c>
      <c r="C93" s="40"/>
      <c r="D93" s="40" t="s">
        <v>219</v>
      </c>
      <c r="E93" s="39" t="s">
        <v>125</v>
      </c>
      <c r="F93" s="39" t="n">
        <v>1</v>
      </c>
      <c r="G93" s="39" t="s">
        <v>90</v>
      </c>
      <c r="H93" s="41" t="str">
        <f aca="false">ПАРАМЕТРЫ!B7&amp;"%"</f>
        <v>15%</v>
      </c>
      <c r="I93" s="42" t="n">
        <f aca="false">(I87+I88+I89+I90)*ПАРАМЕТРЫ!B7/100</f>
        <v>8246.52</v>
      </c>
      <c r="J93" s="40" t="s">
        <v>11</v>
      </c>
    </row>
    <row r="94" customFormat="false" ht="15.75" hidden="false" customHeight="true" outlineLevel="0" collapsed="false">
      <c r="A94" s="43" t="s">
        <v>239</v>
      </c>
      <c r="B94" s="44"/>
      <c r="C94" s="44"/>
      <c r="D94" s="44"/>
      <c r="E94" s="44"/>
      <c r="F94" s="44"/>
      <c r="G94" s="44"/>
      <c r="H94" s="44"/>
      <c r="I94" s="45" t="n">
        <f aca="false">I87+I88+I89+I90+I92+I93</f>
        <v>67071.696</v>
      </c>
      <c r="J94" s="44"/>
    </row>
    <row r="96" customFormat="false" ht="18" hidden="false" customHeight="true" outlineLevel="0" collapsed="false">
      <c r="A96" s="18" t="s">
        <v>240</v>
      </c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5.75" hidden="false" customHeight="true" outlineLevel="0" collapsed="false">
      <c r="A97" s="21" t="s">
        <v>241</v>
      </c>
      <c r="B97" s="22" t="s">
        <v>218</v>
      </c>
      <c r="C97" s="22" t="s">
        <v>87</v>
      </c>
      <c r="D97" s="22" t="s">
        <v>219</v>
      </c>
      <c r="E97" s="21" t="s">
        <v>89</v>
      </c>
      <c r="F97" s="21" t="n">
        <v>1</v>
      </c>
      <c r="G97" s="21" t="s">
        <v>90</v>
      </c>
      <c r="H97" s="21" t="s">
        <v>90</v>
      </c>
      <c r="I97" s="23" t="n">
        <v>0</v>
      </c>
      <c r="J97" s="22" t="s">
        <v>91</v>
      </c>
    </row>
    <row r="98" customFormat="false" ht="15.75" hidden="false" customHeight="true" outlineLevel="0" collapsed="false">
      <c r="A98" s="24" t="s">
        <v>242</v>
      </c>
      <c r="B98" s="25" t="s">
        <v>153</v>
      </c>
      <c r="C98" s="25" t="s">
        <v>154</v>
      </c>
      <c r="D98" s="25" t="s">
        <v>219</v>
      </c>
      <c r="E98" s="24" t="s">
        <v>89</v>
      </c>
      <c r="F98" s="26" t="n">
        <v>1</v>
      </c>
      <c r="G98" s="27" t="n">
        <f aca="false">ПАРАМЕТРЫ!B24</f>
        <v>7468</v>
      </c>
      <c r="H98" s="27" t="n">
        <f aca="false">ПАРАМЕТРЫ!D24</f>
        <v>4480.8</v>
      </c>
      <c r="I98" s="27" t="n">
        <f aca="false">F98*H98</f>
        <v>4480.8</v>
      </c>
      <c r="J98" s="25"/>
    </row>
    <row r="99" customFormat="false" ht="15.75" hidden="false" customHeight="true" outlineLevel="0" collapsed="false">
      <c r="A99" s="28" t="s">
        <v>243</v>
      </c>
      <c r="B99" s="29" t="s">
        <v>135</v>
      </c>
      <c r="C99" s="29" t="s">
        <v>136</v>
      </c>
      <c r="D99" s="29" t="s">
        <v>219</v>
      </c>
      <c r="E99" s="28" t="s">
        <v>89</v>
      </c>
      <c r="F99" s="26" t="n">
        <v>22</v>
      </c>
      <c r="G99" s="30" t="n">
        <f aca="false">ПАРАМЕТРЫ!B12</f>
        <v>2818</v>
      </c>
      <c r="H99" s="30" t="n">
        <f aca="false">ПАРАМЕТРЫ!D12</f>
        <v>1690.8</v>
      </c>
      <c r="I99" s="30" t="n">
        <f aca="false">F99*H99</f>
        <v>37197.6</v>
      </c>
      <c r="J99" s="29"/>
    </row>
    <row r="100" customFormat="false" ht="15.75" hidden="false" customHeight="true" outlineLevel="0" collapsed="false">
      <c r="A100" s="24" t="s">
        <v>244</v>
      </c>
      <c r="B100" s="25" t="s">
        <v>157</v>
      </c>
      <c r="C100" s="25" t="s">
        <v>158</v>
      </c>
      <c r="D100" s="25" t="s">
        <v>219</v>
      </c>
      <c r="E100" s="24" t="s">
        <v>89</v>
      </c>
      <c r="F100" s="26" t="n">
        <v>5</v>
      </c>
      <c r="G100" s="27" t="n">
        <f aca="false">ПАРАМЕТРЫ!B21</f>
        <v>13008</v>
      </c>
      <c r="H100" s="27" t="n">
        <f aca="false">ПАРАМЕТРЫ!D21</f>
        <v>7804.8</v>
      </c>
      <c r="I100" s="27" t="n">
        <f aca="false">F100*H100</f>
        <v>39024</v>
      </c>
      <c r="J100" s="25"/>
    </row>
    <row r="101" customFormat="false" ht="15.75" hidden="false" customHeight="true" outlineLevel="0" collapsed="false">
      <c r="A101" s="28" t="s">
        <v>245</v>
      </c>
      <c r="B101" s="29" t="s">
        <v>139</v>
      </c>
      <c r="C101" s="29" t="s">
        <v>140</v>
      </c>
      <c r="D101" s="29" t="s">
        <v>219</v>
      </c>
      <c r="E101" s="28" t="s">
        <v>89</v>
      </c>
      <c r="F101" s="26" t="n">
        <v>5</v>
      </c>
      <c r="G101" s="30" t="n">
        <f aca="false">ПАРАМЕТРЫ!B30</f>
        <v>5214</v>
      </c>
      <c r="H101" s="30" t="n">
        <f aca="false">ПАРАМЕТРЫ!D30</f>
        <v>3128.4</v>
      </c>
      <c r="I101" s="30" t="n">
        <f aca="false">F101*H101</f>
        <v>15642</v>
      </c>
      <c r="J101" s="29"/>
    </row>
    <row r="102" customFormat="false" ht="15.75" hidden="false" customHeight="true" outlineLevel="0" collapsed="false">
      <c r="A102" s="24" t="s">
        <v>246</v>
      </c>
      <c r="B102" s="25" t="s">
        <v>225</v>
      </c>
      <c r="C102" s="25" t="s">
        <v>90</v>
      </c>
      <c r="D102" s="25" t="s">
        <v>219</v>
      </c>
      <c r="E102" s="24" t="s">
        <v>89</v>
      </c>
      <c r="F102" s="26" t="n">
        <v>5</v>
      </c>
      <c r="G102" s="27" t="s">
        <v>90</v>
      </c>
      <c r="H102" s="27" t="s">
        <v>90</v>
      </c>
      <c r="I102" s="27" t="n">
        <v>0</v>
      </c>
      <c r="J102" s="25"/>
    </row>
    <row r="103" customFormat="false" ht="15.75" hidden="false" customHeight="true" outlineLevel="0" collapsed="false">
      <c r="A103" s="35" t="s">
        <v>247</v>
      </c>
      <c r="B103" s="36" t="s">
        <v>124</v>
      </c>
      <c r="C103" s="36"/>
      <c r="D103" s="36" t="s">
        <v>219</v>
      </c>
      <c r="E103" s="35" t="s">
        <v>125</v>
      </c>
      <c r="F103" s="35" t="n">
        <v>1</v>
      </c>
      <c r="G103" s="35" t="s">
        <v>90</v>
      </c>
      <c r="H103" s="37" t="str">
        <f aca="false">ПАРАМЕТРЫ!B6&amp;"%"</f>
        <v>7%</v>
      </c>
      <c r="I103" s="38" t="n">
        <f aca="false">(I98+I99+I100+I101)*ПАРАМЕТРЫ!B6/100</f>
        <v>6744.108</v>
      </c>
      <c r="J103" s="36" t="s">
        <v>11</v>
      </c>
    </row>
    <row r="104" customFormat="false" ht="15.75" hidden="false" customHeight="true" outlineLevel="0" collapsed="false">
      <c r="A104" s="39" t="s">
        <v>248</v>
      </c>
      <c r="B104" s="40" t="s">
        <v>127</v>
      </c>
      <c r="C104" s="40"/>
      <c r="D104" s="40" t="s">
        <v>219</v>
      </c>
      <c r="E104" s="39" t="s">
        <v>125</v>
      </c>
      <c r="F104" s="39" t="n">
        <v>1</v>
      </c>
      <c r="G104" s="39" t="s">
        <v>90</v>
      </c>
      <c r="H104" s="41" t="str">
        <f aca="false">ПАРАМЕТРЫ!B7&amp;"%"</f>
        <v>15%</v>
      </c>
      <c r="I104" s="42" t="n">
        <f aca="false">(I98+I99+I100+I101)*ПАРАМЕТРЫ!B7/100</f>
        <v>14451.66</v>
      </c>
      <c r="J104" s="40" t="s">
        <v>11</v>
      </c>
    </row>
    <row r="105" customFormat="false" ht="15.75" hidden="false" customHeight="true" outlineLevel="0" collapsed="false">
      <c r="A105" s="43" t="s">
        <v>249</v>
      </c>
      <c r="B105" s="44"/>
      <c r="C105" s="44"/>
      <c r="D105" s="44"/>
      <c r="E105" s="44"/>
      <c r="F105" s="44"/>
      <c r="G105" s="44"/>
      <c r="H105" s="44"/>
      <c r="I105" s="45" t="n">
        <f aca="false">I98+I99+I100+I101+I103+I104</f>
        <v>117540.168</v>
      </c>
      <c r="J105" s="44"/>
    </row>
    <row r="107" customFormat="false" ht="18" hidden="false" customHeight="true" outlineLevel="0" collapsed="false">
      <c r="A107" s="18" t="s">
        <v>250</v>
      </c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.75" hidden="false" customHeight="true" outlineLevel="0" collapsed="false">
      <c r="A108" s="21" t="s">
        <v>251</v>
      </c>
      <c r="B108" s="22" t="s">
        <v>131</v>
      </c>
      <c r="C108" s="22" t="s">
        <v>87</v>
      </c>
      <c r="D108" s="22" t="s">
        <v>219</v>
      </c>
      <c r="E108" s="21" t="s">
        <v>89</v>
      </c>
      <c r="F108" s="21" t="n">
        <v>1</v>
      </c>
      <c r="G108" s="21" t="s">
        <v>90</v>
      </c>
      <c r="H108" s="21" t="s">
        <v>90</v>
      </c>
      <c r="I108" s="23" t="n">
        <v>0</v>
      </c>
      <c r="J108" s="22" t="s">
        <v>91</v>
      </c>
    </row>
    <row r="109" customFormat="false" ht="15.75" hidden="false" customHeight="true" outlineLevel="0" collapsed="false">
      <c r="A109" s="24" t="s">
        <v>252</v>
      </c>
      <c r="B109" s="25" t="s">
        <v>153</v>
      </c>
      <c r="C109" s="25" t="s">
        <v>154</v>
      </c>
      <c r="D109" s="25" t="s">
        <v>219</v>
      </c>
      <c r="E109" s="24" t="s">
        <v>89</v>
      </c>
      <c r="F109" s="26" t="n">
        <v>1</v>
      </c>
      <c r="G109" s="27" t="n">
        <f aca="false">ПАРАМЕТРЫ!B24</f>
        <v>7468</v>
      </c>
      <c r="H109" s="27" t="n">
        <f aca="false">ПАРАМЕТРЫ!D24</f>
        <v>4480.8</v>
      </c>
      <c r="I109" s="27" t="n">
        <f aca="false">F109*H109</f>
        <v>4480.8</v>
      </c>
      <c r="J109" s="25"/>
    </row>
    <row r="110" customFormat="false" ht="15.75" hidden="false" customHeight="true" outlineLevel="0" collapsed="false">
      <c r="A110" s="28" t="s">
        <v>253</v>
      </c>
      <c r="B110" s="29" t="s">
        <v>135</v>
      </c>
      <c r="C110" s="29" t="s">
        <v>136</v>
      </c>
      <c r="D110" s="29" t="s">
        <v>219</v>
      </c>
      <c r="E110" s="28" t="s">
        <v>89</v>
      </c>
      <c r="F110" s="26" t="n">
        <v>8</v>
      </c>
      <c r="G110" s="30" t="n">
        <f aca="false">ПАРАМЕТРЫ!B12</f>
        <v>2818</v>
      </c>
      <c r="H110" s="30" t="n">
        <f aca="false">ПАРАМЕТРЫ!D12</f>
        <v>1690.8</v>
      </c>
      <c r="I110" s="30" t="n">
        <f aca="false">F110*H110</f>
        <v>13526.4</v>
      </c>
      <c r="J110" s="29"/>
    </row>
    <row r="111" customFormat="false" ht="15.75" hidden="false" customHeight="true" outlineLevel="0" collapsed="false">
      <c r="A111" s="24" t="s">
        <v>254</v>
      </c>
      <c r="B111" s="25" t="s">
        <v>157</v>
      </c>
      <c r="C111" s="25" t="s">
        <v>158</v>
      </c>
      <c r="D111" s="25" t="s">
        <v>219</v>
      </c>
      <c r="E111" s="24" t="s">
        <v>89</v>
      </c>
      <c r="F111" s="26" t="n">
        <v>6</v>
      </c>
      <c r="G111" s="27" t="n">
        <f aca="false">ПАРАМЕТРЫ!B21</f>
        <v>13008</v>
      </c>
      <c r="H111" s="27" t="n">
        <f aca="false">ПАРАМЕТРЫ!D21</f>
        <v>7804.8</v>
      </c>
      <c r="I111" s="27" t="n">
        <f aca="false">F111*H111</f>
        <v>46828.8</v>
      </c>
      <c r="J111" s="25"/>
    </row>
    <row r="112" customFormat="false" ht="15.75" hidden="false" customHeight="true" outlineLevel="0" collapsed="false">
      <c r="A112" s="28" t="s">
        <v>255</v>
      </c>
      <c r="B112" s="29" t="s">
        <v>139</v>
      </c>
      <c r="C112" s="29" t="s">
        <v>140</v>
      </c>
      <c r="D112" s="29" t="s">
        <v>219</v>
      </c>
      <c r="E112" s="28" t="s">
        <v>89</v>
      </c>
      <c r="F112" s="26" t="n">
        <v>6</v>
      </c>
      <c r="G112" s="30" t="n">
        <f aca="false">ПАРАМЕТРЫ!B30</f>
        <v>5214</v>
      </c>
      <c r="H112" s="30" t="n">
        <f aca="false">ПАРАМЕТРЫ!D30</f>
        <v>3128.4</v>
      </c>
      <c r="I112" s="30" t="n">
        <f aca="false">F112*H112</f>
        <v>18770.4</v>
      </c>
      <c r="J112" s="29"/>
    </row>
    <row r="113" customFormat="false" ht="15.75" hidden="false" customHeight="true" outlineLevel="0" collapsed="false">
      <c r="A113" s="24" t="s">
        <v>256</v>
      </c>
      <c r="B113" s="25" t="s">
        <v>225</v>
      </c>
      <c r="C113" s="25" t="s">
        <v>90</v>
      </c>
      <c r="D113" s="25" t="s">
        <v>219</v>
      </c>
      <c r="E113" s="24" t="s">
        <v>89</v>
      </c>
      <c r="F113" s="26" t="n">
        <v>6</v>
      </c>
      <c r="G113" s="27" t="s">
        <v>90</v>
      </c>
      <c r="H113" s="27" t="s">
        <v>90</v>
      </c>
      <c r="I113" s="27" t="n">
        <v>0</v>
      </c>
      <c r="J113" s="25"/>
    </row>
    <row r="114" customFormat="false" ht="15.75" hidden="false" customHeight="true" outlineLevel="0" collapsed="false">
      <c r="A114" s="35" t="s">
        <v>257</v>
      </c>
      <c r="B114" s="36" t="s">
        <v>124</v>
      </c>
      <c r="C114" s="36"/>
      <c r="D114" s="36" t="s">
        <v>219</v>
      </c>
      <c r="E114" s="35" t="s">
        <v>125</v>
      </c>
      <c r="F114" s="35" t="n">
        <v>1</v>
      </c>
      <c r="G114" s="35" t="s">
        <v>90</v>
      </c>
      <c r="H114" s="37" t="str">
        <f aca="false">ПАРАМЕТРЫ!B6&amp;"%"</f>
        <v>7%</v>
      </c>
      <c r="I114" s="38" t="n">
        <f aca="false">(I109+I110+I111+I112)*ПАРАМЕТРЫ!B6/100</f>
        <v>5852.448</v>
      </c>
      <c r="J114" s="36" t="s">
        <v>11</v>
      </c>
    </row>
    <row r="115" customFormat="false" ht="15.75" hidden="false" customHeight="true" outlineLevel="0" collapsed="false">
      <c r="A115" s="39" t="s">
        <v>258</v>
      </c>
      <c r="B115" s="40" t="s">
        <v>127</v>
      </c>
      <c r="C115" s="40"/>
      <c r="D115" s="40" t="s">
        <v>219</v>
      </c>
      <c r="E115" s="39" t="s">
        <v>125</v>
      </c>
      <c r="F115" s="39" t="n">
        <v>1</v>
      </c>
      <c r="G115" s="39" t="s">
        <v>90</v>
      </c>
      <c r="H115" s="41" t="str">
        <f aca="false">ПАРАМЕТРЫ!B7&amp;"%"</f>
        <v>15%</v>
      </c>
      <c r="I115" s="42" t="n">
        <f aca="false">(I109+I110+I111+I112)*ПАРАМЕТРЫ!B7/100</f>
        <v>12540.96</v>
      </c>
      <c r="J115" s="40" t="s">
        <v>11</v>
      </c>
    </row>
    <row r="116" customFormat="false" ht="15.75" hidden="false" customHeight="true" outlineLevel="0" collapsed="false">
      <c r="A116" s="43" t="s">
        <v>259</v>
      </c>
      <c r="B116" s="44"/>
      <c r="C116" s="44"/>
      <c r="D116" s="44"/>
      <c r="E116" s="44"/>
      <c r="F116" s="44"/>
      <c r="G116" s="44"/>
      <c r="H116" s="44"/>
      <c r="I116" s="45" t="n">
        <f aca="false">I109+I110+I111+I112+I114+I115</f>
        <v>101999.808</v>
      </c>
      <c r="J116" s="44"/>
    </row>
    <row r="118" customFormat="false" ht="18" hidden="false" customHeight="true" outlineLevel="0" collapsed="false">
      <c r="A118" s="18" t="s">
        <v>260</v>
      </c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5.75" hidden="false" customHeight="true" outlineLevel="0" collapsed="false">
      <c r="A119" s="21" t="s">
        <v>261</v>
      </c>
      <c r="B119" s="22" t="s">
        <v>195</v>
      </c>
      <c r="C119" s="22" t="s">
        <v>87</v>
      </c>
      <c r="D119" s="22" t="s">
        <v>219</v>
      </c>
      <c r="E119" s="21" t="s">
        <v>89</v>
      </c>
      <c r="F119" s="21" t="n">
        <v>1</v>
      </c>
      <c r="G119" s="21" t="s">
        <v>90</v>
      </c>
      <c r="H119" s="21" t="s">
        <v>90</v>
      </c>
      <c r="I119" s="23" t="n">
        <v>0</v>
      </c>
      <c r="J119" s="22" t="s">
        <v>91</v>
      </c>
    </row>
    <row r="120" customFormat="false" ht="15.75" hidden="false" customHeight="true" outlineLevel="0" collapsed="false">
      <c r="A120" s="24" t="s">
        <v>262</v>
      </c>
      <c r="B120" s="25" t="s">
        <v>153</v>
      </c>
      <c r="C120" s="25" t="s">
        <v>154</v>
      </c>
      <c r="D120" s="25" t="s">
        <v>219</v>
      </c>
      <c r="E120" s="24" t="s">
        <v>89</v>
      </c>
      <c r="F120" s="26" t="n">
        <v>1</v>
      </c>
      <c r="G120" s="27" t="n">
        <f aca="false">ПАРАМЕТРЫ!B24</f>
        <v>7468</v>
      </c>
      <c r="H120" s="27" t="n">
        <f aca="false">ПАРАМЕТРЫ!D24</f>
        <v>4480.8</v>
      </c>
      <c r="I120" s="27" t="n">
        <f aca="false">F120*H120</f>
        <v>4480.8</v>
      </c>
      <c r="J120" s="25"/>
    </row>
    <row r="121" customFormat="false" ht="15.75" hidden="false" customHeight="true" outlineLevel="0" collapsed="false">
      <c r="A121" s="28" t="s">
        <v>263</v>
      </c>
      <c r="B121" s="29" t="s">
        <v>135</v>
      </c>
      <c r="C121" s="29" t="s">
        <v>136</v>
      </c>
      <c r="D121" s="29" t="s">
        <v>219</v>
      </c>
      <c r="E121" s="28" t="s">
        <v>89</v>
      </c>
      <c r="F121" s="26" t="n">
        <v>10</v>
      </c>
      <c r="G121" s="30" t="n">
        <f aca="false">ПАРАМЕТРЫ!B12</f>
        <v>2818</v>
      </c>
      <c r="H121" s="30" t="n">
        <f aca="false">ПАРАМЕТРЫ!D12</f>
        <v>1690.8</v>
      </c>
      <c r="I121" s="30" t="n">
        <f aca="false">F121*H121</f>
        <v>16908</v>
      </c>
      <c r="J121" s="29"/>
    </row>
    <row r="122" customFormat="false" ht="15.75" hidden="false" customHeight="true" outlineLevel="0" collapsed="false">
      <c r="A122" s="24" t="s">
        <v>264</v>
      </c>
      <c r="B122" s="25" t="s">
        <v>157</v>
      </c>
      <c r="C122" s="25" t="s">
        <v>158</v>
      </c>
      <c r="D122" s="25" t="s">
        <v>219</v>
      </c>
      <c r="E122" s="24" t="s">
        <v>89</v>
      </c>
      <c r="F122" s="26" t="n">
        <v>2</v>
      </c>
      <c r="G122" s="27" t="n">
        <f aca="false">ПАРАМЕТРЫ!B21</f>
        <v>13008</v>
      </c>
      <c r="H122" s="27" t="n">
        <f aca="false">ПАРАМЕТРЫ!D21</f>
        <v>7804.8</v>
      </c>
      <c r="I122" s="27" t="n">
        <f aca="false">F122*H122</f>
        <v>15609.6</v>
      </c>
      <c r="J122" s="25"/>
    </row>
    <row r="123" customFormat="false" ht="15.75" hidden="false" customHeight="true" outlineLevel="0" collapsed="false">
      <c r="A123" s="28" t="s">
        <v>265</v>
      </c>
      <c r="B123" s="29" t="s">
        <v>139</v>
      </c>
      <c r="C123" s="29" t="s">
        <v>140</v>
      </c>
      <c r="D123" s="29" t="s">
        <v>219</v>
      </c>
      <c r="E123" s="28" t="s">
        <v>89</v>
      </c>
      <c r="F123" s="26" t="n">
        <v>2</v>
      </c>
      <c r="G123" s="30" t="n">
        <f aca="false">ПАРАМЕТРЫ!B30</f>
        <v>5214</v>
      </c>
      <c r="H123" s="30" t="n">
        <f aca="false">ПАРАМЕТРЫ!D30</f>
        <v>3128.4</v>
      </c>
      <c r="I123" s="30" t="n">
        <f aca="false">F123*H123</f>
        <v>6256.8</v>
      </c>
      <c r="J123" s="29"/>
    </row>
    <row r="124" customFormat="false" ht="15.75" hidden="false" customHeight="true" outlineLevel="0" collapsed="false">
      <c r="A124" s="24" t="s">
        <v>266</v>
      </c>
      <c r="B124" s="25" t="s">
        <v>225</v>
      </c>
      <c r="C124" s="25" t="s">
        <v>90</v>
      </c>
      <c r="D124" s="25" t="s">
        <v>219</v>
      </c>
      <c r="E124" s="24" t="s">
        <v>89</v>
      </c>
      <c r="F124" s="26" t="n">
        <v>2</v>
      </c>
      <c r="G124" s="27" t="s">
        <v>90</v>
      </c>
      <c r="H124" s="27" t="s">
        <v>90</v>
      </c>
      <c r="I124" s="27" t="n">
        <v>0</v>
      </c>
      <c r="J124" s="25"/>
    </row>
    <row r="125" customFormat="false" ht="15.75" hidden="false" customHeight="true" outlineLevel="0" collapsed="false">
      <c r="A125" s="35" t="s">
        <v>267</v>
      </c>
      <c r="B125" s="36" t="s">
        <v>124</v>
      </c>
      <c r="C125" s="36"/>
      <c r="D125" s="36" t="s">
        <v>219</v>
      </c>
      <c r="E125" s="35" t="s">
        <v>125</v>
      </c>
      <c r="F125" s="35" t="n">
        <v>1</v>
      </c>
      <c r="G125" s="35" t="s">
        <v>90</v>
      </c>
      <c r="H125" s="37" t="str">
        <f aca="false">ПАРАМЕТРЫ!B6&amp;"%"</f>
        <v>7%</v>
      </c>
      <c r="I125" s="38" t="n">
        <f aca="false">(I120+I121+I122+I123)*ПАРАМЕТРЫ!B6/100</f>
        <v>3027.864</v>
      </c>
      <c r="J125" s="36" t="s">
        <v>11</v>
      </c>
    </row>
    <row r="126" customFormat="false" ht="15.75" hidden="false" customHeight="true" outlineLevel="0" collapsed="false">
      <c r="A126" s="39" t="s">
        <v>268</v>
      </c>
      <c r="B126" s="40" t="s">
        <v>127</v>
      </c>
      <c r="C126" s="40"/>
      <c r="D126" s="40" t="s">
        <v>219</v>
      </c>
      <c r="E126" s="39" t="s">
        <v>125</v>
      </c>
      <c r="F126" s="39" t="n">
        <v>1</v>
      </c>
      <c r="G126" s="39" t="s">
        <v>90</v>
      </c>
      <c r="H126" s="41" t="str">
        <f aca="false">ПАРАМЕТРЫ!B7&amp;"%"</f>
        <v>15%</v>
      </c>
      <c r="I126" s="42" t="n">
        <f aca="false">(I120+I121+I122+I123)*ПАРАМЕТРЫ!B7/100</f>
        <v>6488.28</v>
      </c>
      <c r="J126" s="40" t="s">
        <v>11</v>
      </c>
    </row>
    <row r="127" customFormat="false" ht="15.75" hidden="false" customHeight="true" outlineLevel="0" collapsed="false">
      <c r="A127" s="43" t="s">
        <v>269</v>
      </c>
      <c r="B127" s="44"/>
      <c r="C127" s="44"/>
      <c r="D127" s="44"/>
      <c r="E127" s="44"/>
      <c r="F127" s="44"/>
      <c r="G127" s="44"/>
      <c r="H127" s="44"/>
      <c r="I127" s="45" t="n">
        <f aca="false">I120+I121+I122+I123+I125+I126</f>
        <v>52771.344</v>
      </c>
      <c r="J127" s="44"/>
    </row>
    <row r="129" customFormat="false" ht="18" hidden="false" customHeight="true" outlineLevel="0" collapsed="false">
      <c r="A129" s="18" t="s">
        <v>270</v>
      </c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5.75" hidden="false" customHeight="true" outlineLevel="0" collapsed="false">
      <c r="A130" s="21" t="s">
        <v>271</v>
      </c>
      <c r="B130" s="22" t="s">
        <v>195</v>
      </c>
      <c r="C130" s="22" t="s">
        <v>87</v>
      </c>
      <c r="D130" s="22" t="s">
        <v>219</v>
      </c>
      <c r="E130" s="21" t="s">
        <v>89</v>
      </c>
      <c r="F130" s="21" t="n">
        <v>1</v>
      </c>
      <c r="G130" s="21" t="s">
        <v>90</v>
      </c>
      <c r="H130" s="21" t="s">
        <v>90</v>
      </c>
      <c r="I130" s="23" t="n">
        <v>0</v>
      </c>
      <c r="J130" s="22" t="s">
        <v>91</v>
      </c>
    </row>
    <row r="131" customFormat="false" ht="15.75" hidden="false" customHeight="true" outlineLevel="0" collapsed="false">
      <c r="A131" s="24" t="s">
        <v>272</v>
      </c>
      <c r="B131" s="25" t="s">
        <v>153</v>
      </c>
      <c r="C131" s="25" t="s">
        <v>154</v>
      </c>
      <c r="D131" s="25" t="s">
        <v>219</v>
      </c>
      <c r="E131" s="24" t="s">
        <v>89</v>
      </c>
      <c r="F131" s="26" t="n">
        <v>1</v>
      </c>
      <c r="G131" s="27" t="n">
        <f aca="false">ПАРАМЕТРЫ!B24</f>
        <v>7468</v>
      </c>
      <c r="H131" s="27" t="n">
        <f aca="false">ПАРАМЕТРЫ!D24</f>
        <v>4480.8</v>
      </c>
      <c r="I131" s="27" t="n">
        <f aca="false">F131*H131</f>
        <v>4480.8</v>
      </c>
      <c r="J131" s="25"/>
    </row>
    <row r="132" customFormat="false" ht="15.75" hidden="false" customHeight="true" outlineLevel="0" collapsed="false">
      <c r="A132" s="28" t="s">
        <v>273</v>
      </c>
      <c r="B132" s="29" t="s">
        <v>135</v>
      </c>
      <c r="C132" s="29" t="s">
        <v>136</v>
      </c>
      <c r="D132" s="29" t="s">
        <v>219</v>
      </c>
      <c r="E132" s="28" t="s">
        <v>89</v>
      </c>
      <c r="F132" s="26" t="n">
        <v>8</v>
      </c>
      <c r="G132" s="30" t="n">
        <f aca="false">ПАРАМЕТРЫ!B12</f>
        <v>2818</v>
      </c>
      <c r="H132" s="30" t="n">
        <f aca="false">ПАРАМЕТРЫ!D12</f>
        <v>1690.8</v>
      </c>
      <c r="I132" s="30" t="n">
        <f aca="false">F132*H132</f>
        <v>13526.4</v>
      </c>
      <c r="J132" s="29"/>
    </row>
    <row r="133" customFormat="false" ht="15.75" hidden="false" customHeight="true" outlineLevel="0" collapsed="false">
      <c r="A133" s="24" t="s">
        <v>274</v>
      </c>
      <c r="B133" s="25" t="s">
        <v>157</v>
      </c>
      <c r="C133" s="25" t="s">
        <v>158</v>
      </c>
      <c r="D133" s="25" t="s">
        <v>219</v>
      </c>
      <c r="E133" s="24" t="s">
        <v>89</v>
      </c>
      <c r="F133" s="26" t="n">
        <v>3</v>
      </c>
      <c r="G133" s="27" t="n">
        <f aca="false">ПАРАМЕТРЫ!B21</f>
        <v>13008</v>
      </c>
      <c r="H133" s="27" t="n">
        <f aca="false">ПАРАМЕТРЫ!D21</f>
        <v>7804.8</v>
      </c>
      <c r="I133" s="27" t="n">
        <f aca="false">F133*H133</f>
        <v>23414.4</v>
      </c>
      <c r="J133" s="25"/>
    </row>
    <row r="134" customFormat="false" ht="15.75" hidden="false" customHeight="true" outlineLevel="0" collapsed="false">
      <c r="A134" s="28" t="s">
        <v>275</v>
      </c>
      <c r="B134" s="29" t="s">
        <v>139</v>
      </c>
      <c r="C134" s="29" t="s">
        <v>140</v>
      </c>
      <c r="D134" s="29" t="s">
        <v>219</v>
      </c>
      <c r="E134" s="28" t="s">
        <v>89</v>
      </c>
      <c r="F134" s="26" t="n">
        <v>3</v>
      </c>
      <c r="G134" s="30" t="n">
        <f aca="false">ПАРАМЕТРЫ!B30</f>
        <v>5214</v>
      </c>
      <c r="H134" s="30" t="n">
        <f aca="false">ПАРАМЕТРЫ!D30</f>
        <v>3128.4</v>
      </c>
      <c r="I134" s="30" t="n">
        <f aca="false">F134*H134</f>
        <v>9385.2</v>
      </c>
      <c r="J134" s="29"/>
    </row>
    <row r="135" customFormat="false" ht="15.75" hidden="false" customHeight="true" outlineLevel="0" collapsed="false">
      <c r="A135" s="24" t="s">
        <v>276</v>
      </c>
      <c r="B135" s="25" t="s">
        <v>225</v>
      </c>
      <c r="C135" s="25" t="s">
        <v>90</v>
      </c>
      <c r="D135" s="25" t="s">
        <v>219</v>
      </c>
      <c r="E135" s="24" t="s">
        <v>89</v>
      </c>
      <c r="F135" s="26" t="n">
        <v>3</v>
      </c>
      <c r="G135" s="27" t="s">
        <v>90</v>
      </c>
      <c r="H135" s="27" t="s">
        <v>90</v>
      </c>
      <c r="I135" s="27" t="n">
        <v>0</v>
      </c>
      <c r="J135" s="25"/>
    </row>
    <row r="136" customFormat="false" ht="15.75" hidden="false" customHeight="true" outlineLevel="0" collapsed="false">
      <c r="A136" s="35" t="s">
        <v>277</v>
      </c>
      <c r="B136" s="36" t="s">
        <v>124</v>
      </c>
      <c r="C136" s="36"/>
      <c r="D136" s="36" t="s">
        <v>219</v>
      </c>
      <c r="E136" s="35" t="s">
        <v>125</v>
      </c>
      <c r="F136" s="35" t="n">
        <v>1</v>
      </c>
      <c r="G136" s="35" t="s">
        <v>90</v>
      </c>
      <c r="H136" s="37" t="str">
        <f aca="false">ПАРАМЕТРЫ!B6&amp;"%"</f>
        <v>7%</v>
      </c>
      <c r="I136" s="38" t="n">
        <f aca="false">(I131+I132+I133+I134)*ПАРАМЕТРЫ!B6/100</f>
        <v>3556.476</v>
      </c>
      <c r="J136" s="36" t="s">
        <v>11</v>
      </c>
    </row>
    <row r="137" customFormat="false" ht="15.75" hidden="false" customHeight="true" outlineLevel="0" collapsed="false">
      <c r="A137" s="39" t="s">
        <v>278</v>
      </c>
      <c r="B137" s="40" t="s">
        <v>127</v>
      </c>
      <c r="C137" s="40"/>
      <c r="D137" s="40" t="s">
        <v>219</v>
      </c>
      <c r="E137" s="39" t="s">
        <v>125</v>
      </c>
      <c r="F137" s="39" t="n">
        <v>1</v>
      </c>
      <c r="G137" s="39" t="s">
        <v>90</v>
      </c>
      <c r="H137" s="41" t="str">
        <f aca="false">ПАРАМЕТРЫ!B7&amp;"%"</f>
        <v>15%</v>
      </c>
      <c r="I137" s="42" t="n">
        <f aca="false">(I131+I132+I133+I134)*ПАРАМЕТРЫ!B7/100</f>
        <v>7621.02</v>
      </c>
      <c r="J137" s="40" t="s">
        <v>11</v>
      </c>
    </row>
    <row r="138" customFormat="false" ht="15.75" hidden="false" customHeight="true" outlineLevel="0" collapsed="false">
      <c r="A138" s="43" t="s">
        <v>279</v>
      </c>
      <c r="B138" s="44"/>
      <c r="C138" s="44"/>
      <c r="D138" s="44"/>
      <c r="E138" s="44"/>
      <c r="F138" s="44"/>
      <c r="G138" s="44"/>
      <c r="H138" s="44"/>
      <c r="I138" s="45" t="n">
        <f aca="false">I131+I132+I133+I134+I136+I137</f>
        <v>61984.296</v>
      </c>
      <c r="J138" s="44"/>
    </row>
    <row r="140" customFormat="false" ht="18" hidden="false" customHeight="true" outlineLevel="0" collapsed="false">
      <c r="A140" s="18" t="s">
        <v>280</v>
      </c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.75" hidden="false" customHeight="true" outlineLevel="0" collapsed="false">
      <c r="A141" s="21" t="s">
        <v>281</v>
      </c>
      <c r="B141" s="22" t="s">
        <v>195</v>
      </c>
      <c r="C141" s="22" t="s">
        <v>87</v>
      </c>
      <c r="D141" s="22" t="s">
        <v>219</v>
      </c>
      <c r="E141" s="21" t="s">
        <v>89</v>
      </c>
      <c r="F141" s="21" t="n">
        <v>1</v>
      </c>
      <c r="G141" s="21" t="s">
        <v>90</v>
      </c>
      <c r="H141" s="21" t="s">
        <v>90</v>
      </c>
      <c r="I141" s="23" t="n">
        <v>0</v>
      </c>
      <c r="J141" s="22" t="s">
        <v>91</v>
      </c>
    </row>
    <row r="142" customFormat="false" ht="15.75" hidden="false" customHeight="true" outlineLevel="0" collapsed="false">
      <c r="A142" s="24" t="s">
        <v>282</v>
      </c>
      <c r="B142" s="25" t="s">
        <v>153</v>
      </c>
      <c r="C142" s="25" t="s">
        <v>154</v>
      </c>
      <c r="D142" s="25" t="s">
        <v>219</v>
      </c>
      <c r="E142" s="24" t="s">
        <v>89</v>
      </c>
      <c r="F142" s="26" t="n">
        <v>1</v>
      </c>
      <c r="G142" s="27" t="n">
        <f aca="false">ПАРАМЕТРЫ!B24</f>
        <v>7468</v>
      </c>
      <c r="H142" s="27" t="n">
        <f aca="false">ПАРАМЕТРЫ!D24</f>
        <v>4480.8</v>
      </c>
      <c r="I142" s="27" t="n">
        <f aca="false">F142*H142</f>
        <v>4480.8</v>
      </c>
      <c r="J142" s="25"/>
    </row>
    <row r="143" customFormat="false" ht="15.75" hidden="false" customHeight="true" outlineLevel="0" collapsed="false">
      <c r="A143" s="28" t="s">
        <v>283</v>
      </c>
      <c r="B143" s="29" t="s">
        <v>135</v>
      </c>
      <c r="C143" s="29" t="s">
        <v>136</v>
      </c>
      <c r="D143" s="29" t="s">
        <v>219</v>
      </c>
      <c r="E143" s="28" t="s">
        <v>89</v>
      </c>
      <c r="F143" s="26" t="n">
        <v>8</v>
      </c>
      <c r="G143" s="30" t="n">
        <f aca="false">ПАРАМЕТРЫ!B12</f>
        <v>2818</v>
      </c>
      <c r="H143" s="30" t="n">
        <f aca="false">ПАРАМЕТРЫ!D12</f>
        <v>1690.8</v>
      </c>
      <c r="I143" s="30" t="n">
        <f aca="false">F143*H143</f>
        <v>13526.4</v>
      </c>
      <c r="J143" s="29"/>
    </row>
    <row r="144" customFormat="false" ht="15.75" hidden="false" customHeight="true" outlineLevel="0" collapsed="false">
      <c r="A144" s="24" t="s">
        <v>284</v>
      </c>
      <c r="B144" s="25" t="s">
        <v>157</v>
      </c>
      <c r="C144" s="25" t="s">
        <v>158</v>
      </c>
      <c r="D144" s="25" t="s">
        <v>219</v>
      </c>
      <c r="E144" s="24" t="s">
        <v>89</v>
      </c>
      <c r="F144" s="26" t="n">
        <v>2</v>
      </c>
      <c r="G144" s="27" t="n">
        <f aca="false">ПАРАМЕТРЫ!B21</f>
        <v>13008</v>
      </c>
      <c r="H144" s="27" t="n">
        <f aca="false">ПАРАМЕТРЫ!D21</f>
        <v>7804.8</v>
      </c>
      <c r="I144" s="27" t="n">
        <f aca="false">F144*H144</f>
        <v>15609.6</v>
      </c>
      <c r="J144" s="25"/>
    </row>
    <row r="145" customFormat="false" ht="15.75" hidden="false" customHeight="true" outlineLevel="0" collapsed="false">
      <c r="A145" s="28" t="s">
        <v>285</v>
      </c>
      <c r="B145" s="29" t="s">
        <v>139</v>
      </c>
      <c r="C145" s="29" t="s">
        <v>140</v>
      </c>
      <c r="D145" s="29" t="s">
        <v>219</v>
      </c>
      <c r="E145" s="28" t="s">
        <v>89</v>
      </c>
      <c r="F145" s="26" t="n">
        <v>2</v>
      </c>
      <c r="G145" s="30" t="n">
        <f aca="false">ПАРАМЕТРЫ!B30</f>
        <v>5214</v>
      </c>
      <c r="H145" s="30" t="n">
        <f aca="false">ПАРАМЕТРЫ!D30</f>
        <v>3128.4</v>
      </c>
      <c r="I145" s="30" t="n">
        <f aca="false">F145*H145</f>
        <v>6256.8</v>
      </c>
      <c r="J145" s="29"/>
    </row>
    <row r="146" customFormat="false" ht="15.75" hidden="false" customHeight="true" outlineLevel="0" collapsed="false">
      <c r="A146" s="24" t="s">
        <v>286</v>
      </c>
      <c r="B146" s="25" t="s">
        <v>225</v>
      </c>
      <c r="C146" s="25" t="s">
        <v>90</v>
      </c>
      <c r="D146" s="25" t="s">
        <v>219</v>
      </c>
      <c r="E146" s="24" t="s">
        <v>89</v>
      </c>
      <c r="F146" s="26" t="n">
        <v>2</v>
      </c>
      <c r="G146" s="27" t="s">
        <v>90</v>
      </c>
      <c r="H146" s="27" t="s">
        <v>90</v>
      </c>
      <c r="I146" s="27" t="n">
        <v>0</v>
      </c>
      <c r="J146" s="25"/>
    </row>
    <row r="147" customFormat="false" ht="15.75" hidden="false" customHeight="true" outlineLevel="0" collapsed="false">
      <c r="A147" s="35" t="s">
        <v>287</v>
      </c>
      <c r="B147" s="36" t="s">
        <v>124</v>
      </c>
      <c r="C147" s="36"/>
      <c r="D147" s="36" t="s">
        <v>219</v>
      </c>
      <c r="E147" s="35" t="s">
        <v>125</v>
      </c>
      <c r="F147" s="35" t="n">
        <v>1</v>
      </c>
      <c r="G147" s="35" t="s">
        <v>90</v>
      </c>
      <c r="H147" s="37" t="str">
        <f aca="false">ПАРАМЕТРЫ!B6&amp;"%"</f>
        <v>7%</v>
      </c>
      <c r="I147" s="38" t="n">
        <f aca="false">(I142+I143+I144+I145)*ПАРАМЕТРЫ!B6/100</f>
        <v>2791.152</v>
      </c>
      <c r="J147" s="36" t="s">
        <v>11</v>
      </c>
    </row>
    <row r="148" customFormat="false" ht="15.75" hidden="false" customHeight="true" outlineLevel="0" collapsed="false">
      <c r="A148" s="39" t="s">
        <v>288</v>
      </c>
      <c r="B148" s="40" t="s">
        <v>127</v>
      </c>
      <c r="C148" s="40"/>
      <c r="D148" s="40" t="s">
        <v>219</v>
      </c>
      <c r="E148" s="39" t="s">
        <v>125</v>
      </c>
      <c r="F148" s="39" t="n">
        <v>1</v>
      </c>
      <c r="G148" s="39" t="s">
        <v>90</v>
      </c>
      <c r="H148" s="41" t="str">
        <f aca="false">ПАРАМЕТРЫ!B7&amp;"%"</f>
        <v>15%</v>
      </c>
      <c r="I148" s="42" t="n">
        <f aca="false">(I142+I143+I144+I145)*ПАРАМЕТРЫ!B7/100</f>
        <v>5981.04</v>
      </c>
      <c r="J148" s="40" t="s">
        <v>11</v>
      </c>
    </row>
    <row r="149" customFormat="false" ht="15.75" hidden="false" customHeight="true" outlineLevel="0" collapsed="false">
      <c r="A149" s="43" t="s">
        <v>289</v>
      </c>
      <c r="B149" s="44"/>
      <c r="C149" s="44"/>
      <c r="D149" s="44"/>
      <c r="E149" s="44"/>
      <c r="F149" s="44"/>
      <c r="G149" s="44"/>
      <c r="H149" s="44"/>
      <c r="I149" s="45" t="n">
        <f aca="false">I142+I143+I144+I145+I147+I148</f>
        <v>48645.792</v>
      </c>
      <c r="J149" s="44"/>
    </row>
    <row r="151" customFormat="false" ht="18" hidden="false" customHeight="true" outlineLevel="0" collapsed="false">
      <c r="A151" s="18" t="s">
        <v>290</v>
      </c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5.75" hidden="false" customHeight="true" outlineLevel="0" collapsed="false">
      <c r="A152" s="21" t="s">
        <v>291</v>
      </c>
      <c r="B152" s="22" t="s">
        <v>131</v>
      </c>
      <c r="C152" s="22" t="s">
        <v>87</v>
      </c>
      <c r="D152" s="22" t="s">
        <v>219</v>
      </c>
      <c r="E152" s="21" t="s">
        <v>89</v>
      </c>
      <c r="F152" s="21" t="n">
        <v>1</v>
      </c>
      <c r="G152" s="21" t="s">
        <v>90</v>
      </c>
      <c r="H152" s="21" t="s">
        <v>90</v>
      </c>
      <c r="I152" s="23" t="n">
        <v>0</v>
      </c>
      <c r="J152" s="22" t="s">
        <v>91</v>
      </c>
    </row>
    <row r="153" customFormat="false" ht="15.75" hidden="false" customHeight="true" outlineLevel="0" collapsed="false">
      <c r="A153" s="24" t="s">
        <v>292</v>
      </c>
      <c r="B153" s="25" t="s">
        <v>153</v>
      </c>
      <c r="C153" s="25" t="s">
        <v>154</v>
      </c>
      <c r="D153" s="25" t="s">
        <v>219</v>
      </c>
      <c r="E153" s="24" t="s">
        <v>89</v>
      </c>
      <c r="F153" s="26" t="n">
        <v>1</v>
      </c>
      <c r="G153" s="27" t="n">
        <f aca="false">ПАРАМЕТРЫ!B24</f>
        <v>7468</v>
      </c>
      <c r="H153" s="27" t="n">
        <f aca="false">ПАРАМЕТРЫ!D24</f>
        <v>4480.8</v>
      </c>
      <c r="I153" s="27" t="n">
        <f aca="false">F153*H153</f>
        <v>4480.8</v>
      </c>
      <c r="J153" s="25"/>
    </row>
    <row r="154" customFormat="false" ht="15.75" hidden="false" customHeight="true" outlineLevel="0" collapsed="false">
      <c r="A154" s="28" t="s">
        <v>293</v>
      </c>
      <c r="B154" s="29" t="s">
        <v>135</v>
      </c>
      <c r="C154" s="29" t="s">
        <v>136</v>
      </c>
      <c r="D154" s="29" t="s">
        <v>219</v>
      </c>
      <c r="E154" s="28" t="s">
        <v>89</v>
      </c>
      <c r="F154" s="26" t="n">
        <v>6</v>
      </c>
      <c r="G154" s="30" t="n">
        <f aca="false">ПАРАМЕТРЫ!B12</f>
        <v>2818</v>
      </c>
      <c r="H154" s="30" t="n">
        <f aca="false">ПАРАМЕТРЫ!D12</f>
        <v>1690.8</v>
      </c>
      <c r="I154" s="30" t="n">
        <f aca="false">F154*H154</f>
        <v>10144.8</v>
      </c>
      <c r="J154" s="29"/>
    </row>
    <row r="155" customFormat="false" ht="15.75" hidden="false" customHeight="true" outlineLevel="0" collapsed="false">
      <c r="A155" s="24" t="s">
        <v>294</v>
      </c>
      <c r="B155" s="25" t="s">
        <v>157</v>
      </c>
      <c r="C155" s="25" t="s">
        <v>158</v>
      </c>
      <c r="D155" s="25" t="s">
        <v>219</v>
      </c>
      <c r="E155" s="24" t="s">
        <v>89</v>
      </c>
      <c r="F155" s="26" t="n">
        <v>2</v>
      </c>
      <c r="G155" s="27" t="n">
        <f aca="false">ПАРАМЕТРЫ!B21</f>
        <v>13008</v>
      </c>
      <c r="H155" s="27" t="n">
        <f aca="false">ПАРАМЕТРЫ!D21</f>
        <v>7804.8</v>
      </c>
      <c r="I155" s="27" t="n">
        <f aca="false">F155*H155</f>
        <v>15609.6</v>
      </c>
      <c r="J155" s="25"/>
    </row>
    <row r="156" customFormat="false" ht="15.75" hidden="false" customHeight="true" outlineLevel="0" collapsed="false">
      <c r="A156" s="28" t="s">
        <v>295</v>
      </c>
      <c r="B156" s="29" t="s">
        <v>139</v>
      </c>
      <c r="C156" s="29" t="s">
        <v>140</v>
      </c>
      <c r="D156" s="29" t="s">
        <v>219</v>
      </c>
      <c r="E156" s="28" t="s">
        <v>89</v>
      </c>
      <c r="F156" s="26" t="n">
        <v>2</v>
      </c>
      <c r="G156" s="30" t="n">
        <f aca="false">ПАРАМЕТРЫ!B30</f>
        <v>5214</v>
      </c>
      <c r="H156" s="30" t="n">
        <f aca="false">ПАРАМЕТРЫ!D30</f>
        <v>3128.4</v>
      </c>
      <c r="I156" s="30" t="n">
        <f aca="false">F156*H156</f>
        <v>6256.8</v>
      </c>
      <c r="J156" s="29"/>
    </row>
    <row r="157" customFormat="false" ht="15.75" hidden="false" customHeight="true" outlineLevel="0" collapsed="false">
      <c r="A157" s="24" t="s">
        <v>296</v>
      </c>
      <c r="B157" s="25" t="s">
        <v>225</v>
      </c>
      <c r="C157" s="25" t="s">
        <v>90</v>
      </c>
      <c r="D157" s="25" t="s">
        <v>219</v>
      </c>
      <c r="E157" s="24" t="s">
        <v>89</v>
      </c>
      <c r="F157" s="26" t="n">
        <v>2</v>
      </c>
      <c r="G157" s="27" t="s">
        <v>90</v>
      </c>
      <c r="H157" s="27" t="s">
        <v>90</v>
      </c>
      <c r="I157" s="27" t="n">
        <v>0</v>
      </c>
      <c r="J157" s="25"/>
    </row>
    <row r="158" customFormat="false" ht="15.75" hidden="false" customHeight="true" outlineLevel="0" collapsed="false">
      <c r="A158" s="35" t="s">
        <v>297</v>
      </c>
      <c r="B158" s="36" t="s">
        <v>124</v>
      </c>
      <c r="C158" s="36"/>
      <c r="D158" s="36" t="s">
        <v>219</v>
      </c>
      <c r="E158" s="35" t="s">
        <v>125</v>
      </c>
      <c r="F158" s="35" t="n">
        <v>1</v>
      </c>
      <c r="G158" s="35" t="s">
        <v>90</v>
      </c>
      <c r="H158" s="37" t="str">
        <f aca="false">ПАРАМЕТРЫ!B6&amp;"%"</f>
        <v>7%</v>
      </c>
      <c r="I158" s="38" t="n">
        <f aca="false">(I153+I154+I155+I156)*ПАРАМЕТРЫ!B6/100</f>
        <v>2554.44</v>
      </c>
      <c r="J158" s="36" t="s">
        <v>11</v>
      </c>
    </row>
    <row r="159" customFormat="false" ht="15.75" hidden="false" customHeight="true" outlineLevel="0" collapsed="false">
      <c r="A159" s="39" t="s">
        <v>298</v>
      </c>
      <c r="B159" s="40" t="s">
        <v>127</v>
      </c>
      <c r="C159" s="40"/>
      <c r="D159" s="40" t="s">
        <v>219</v>
      </c>
      <c r="E159" s="39" t="s">
        <v>125</v>
      </c>
      <c r="F159" s="39" t="n">
        <v>1</v>
      </c>
      <c r="G159" s="39" t="s">
        <v>90</v>
      </c>
      <c r="H159" s="41" t="str">
        <f aca="false">ПАРАМЕТРЫ!B7&amp;"%"</f>
        <v>15%</v>
      </c>
      <c r="I159" s="42" t="n">
        <f aca="false">(I153+I154+I155+I156)*ПАРАМЕТРЫ!B7/100</f>
        <v>5473.8</v>
      </c>
      <c r="J159" s="40" t="s">
        <v>11</v>
      </c>
    </row>
    <row r="160" customFormat="false" ht="15.75" hidden="false" customHeight="true" outlineLevel="0" collapsed="false">
      <c r="A160" s="43" t="s">
        <v>299</v>
      </c>
      <c r="B160" s="44"/>
      <c r="C160" s="44"/>
      <c r="D160" s="44"/>
      <c r="E160" s="44"/>
      <c r="F160" s="44"/>
      <c r="G160" s="44"/>
      <c r="H160" s="44"/>
      <c r="I160" s="45" t="n">
        <f aca="false">I153+I154+I155+I156+I158+I159</f>
        <v>44520.24</v>
      </c>
      <c r="J160" s="44"/>
    </row>
    <row r="162" customFormat="false" ht="18" hidden="false" customHeight="true" outlineLevel="0" collapsed="false">
      <c r="A162" s="18" t="s">
        <v>300</v>
      </c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5.75" hidden="false" customHeight="true" outlineLevel="0" collapsed="false">
      <c r="A163" s="21" t="s">
        <v>301</v>
      </c>
      <c r="B163" s="22" t="s">
        <v>195</v>
      </c>
      <c r="C163" s="22" t="s">
        <v>87</v>
      </c>
      <c r="D163" s="22" t="s">
        <v>219</v>
      </c>
      <c r="E163" s="21" t="s">
        <v>89</v>
      </c>
      <c r="F163" s="21" t="n">
        <v>1</v>
      </c>
      <c r="G163" s="21" t="s">
        <v>90</v>
      </c>
      <c r="H163" s="21" t="s">
        <v>90</v>
      </c>
      <c r="I163" s="23" t="n">
        <v>0</v>
      </c>
      <c r="J163" s="22" t="s">
        <v>91</v>
      </c>
    </row>
    <row r="164" customFormat="false" ht="15.75" hidden="false" customHeight="true" outlineLevel="0" collapsed="false">
      <c r="A164" s="24" t="s">
        <v>302</v>
      </c>
      <c r="B164" s="25" t="s">
        <v>153</v>
      </c>
      <c r="C164" s="25" t="s">
        <v>154</v>
      </c>
      <c r="D164" s="25" t="s">
        <v>219</v>
      </c>
      <c r="E164" s="24" t="s">
        <v>89</v>
      </c>
      <c r="F164" s="26" t="n">
        <v>1</v>
      </c>
      <c r="G164" s="27" t="n">
        <f aca="false">ПАРАМЕТРЫ!B24</f>
        <v>7468</v>
      </c>
      <c r="H164" s="27" t="n">
        <f aca="false">ПАРАМЕТРЫ!D24</f>
        <v>4480.8</v>
      </c>
      <c r="I164" s="27" t="n">
        <f aca="false">F164*H164</f>
        <v>4480.8</v>
      </c>
      <c r="J164" s="25"/>
    </row>
    <row r="165" customFormat="false" ht="15.75" hidden="false" customHeight="true" outlineLevel="0" collapsed="false">
      <c r="A165" s="28" t="s">
        <v>303</v>
      </c>
      <c r="B165" s="29" t="s">
        <v>135</v>
      </c>
      <c r="C165" s="29" t="s">
        <v>136</v>
      </c>
      <c r="D165" s="29" t="s">
        <v>219</v>
      </c>
      <c r="E165" s="28" t="s">
        <v>89</v>
      </c>
      <c r="F165" s="26" t="n">
        <v>12</v>
      </c>
      <c r="G165" s="30" t="n">
        <f aca="false">ПАРАМЕТРЫ!B12</f>
        <v>2818</v>
      </c>
      <c r="H165" s="30" t="n">
        <f aca="false">ПАРАМЕТРЫ!D12</f>
        <v>1690.8</v>
      </c>
      <c r="I165" s="30" t="n">
        <f aca="false">F165*H165</f>
        <v>20289.6</v>
      </c>
      <c r="J165" s="29"/>
    </row>
    <row r="166" customFormat="false" ht="15.75" hidden="false" customHeight="true" outlineLevel="0" collapsed="false">
      <c r="A166" s="24" t="s">
        <v>304</v>
      </c>
      <c r="B166" s="25" t="s">
        <v>157</v>
      </c>
      <c r="C166" s="25" t="s">
        <v>158</v>
      </c>
      <c r="D166" s="25" t="s">
        <v>219</v>
      </c>
      <c r="E166" s="24" t="s">
        <v>89</v>
      </c>
      <c r="F166" s="26" t="n">
        <v>4</v>
      </c>
      <c r="G166" s="27" t="n">
        <f aca="false">ПАРАМЕТРЫ!B21</f>
        <v>13008</v>
      </c>
      <c r="H166" s="27" t="n">
        <f aca="false">ПАРАМЕТРЫ!D21</f>
        <v>7804.8</v>
      </c>
      <c r="I166" s="27" t="n">
        <f aca="false">F166*H166</f>
        <v>31219.2</v>
      </c>
      <c r="J166" s="25"/>
    </row>
    <row r="167" customFormat="false" ht="15.75" hidden="false" customHeight="true" outlineLevel="0" collapsed="false">
      <c r="A167" s="28" t="s">
        <v>305</v>
      </c>
      <c r="B167" s="29" t="s">
        <v>139</v>
      </c>
      <c r="C167" s="29" t="s">
        <v>140</v>
      </c>
      <c r="D167" s="29" t="s">
        <v>219</v>
      </c>
      <c r="E167" s="28" t="s">
        <v>89</v>
      </c>
      <c r="F167" s="26" t="n">
        <v>4</v>
      </c>
      <c r="G167" s="30" t="n">
        <f aca="false">ПАРАМЕТРЫ!B30</f>
        <v>5214</v>
      </c>
      <c r="H167" s="30" t="n">
        <f aca="false">ПАРАМЕТРЫ!D30</f>
        <v>3128.4</v>
      </c>
      <c r="I167" s="30" t="n">
        <f aca="false">F167*H167</f>
        <v>12513.6</v>
      </c>
      <c r="J167" s="29"/>
    </row>
    <row r="168" customFormat="false" ht="15.75" hidden="false" customHeight="true" outlineLevel="0" collapsed="false">
      <c r="A168" s="24" t="s">
        <v>306</v>
      </c>
      <c r="B168" s="25" t="s">
        <v>225</v>
      </c>
      <c r="C168" s="25" t="s">
        <v>90</v>
      </c>
      <c r="D168" s="25" t="s">
        <v>219</v>
      </c>
      <c r="E168" s="24" t="s">
        <v>89</v>
      </c>
      <c r="F168" s="26" t="n">
        <v>4</v>
      </c>
      <c r="G168" s="27" t="s">
        <v>90</v>
      </c>
      <c r="H168" s="27" t="s">
        <v>90</v>
      </c>
      <c r="I168" s="27" t="n">
        <v>0</v>
      </c>
      <c r="J168" s="25"/>
    </row>
    <row r="169" customFormat="false" ht="15.75" hidden="false" customHeight="true" outlineLevel="0" collapsed="false">
      <c r="A169" s="35" t="s">
        <v>307</v>
      </c>
      <c r="B169" s="36" t="s">
        <v>124</v>
      </c>
      <c r="C169" s="36"/>
      <c r="D169" s="36" t="s">
        <v>219</v>
      </c>
      <c r="E169" s="35" t="s">
        <v>125</v>
      </c>
      <c r="F169" s="35" t="n">
        <v>1</v>
      </c>
      <c r="G169" s="35" t="s">
        <v>90</v>
      </c>
      <c r="H169" s="37" t="str">
        <f aca="false">ПАРАМЕТРЫ!B6&amp;"%"</f>
        <v>7%</v>
      </c>
      <c r="I169" s="38" t="n">
        <f aca="false">(I164+I165+I166+I167)*ПАРАМЕТРЫ!B6/100</f>
        <v>4795.224</v>
      </c>
      <c r="J169" s="36" t="s">
        <v>11</v>
      </c>
    </row>
    <row r="170" customFormat="false" ht="15.75" hidden="false" customHeight="true" outlineLevel="0" collapsed="false">
      <c r="A170" s="39" t="s">
        <v>308</v>
      </c>
      <c r="B170" s="40" t="s">
        <v>127</v>
      </c>
      <c r="C170" s="40"/>
      <c r="D170" s="40" t="s">
        <v>219</v>
      </c>
      <c r="E170" s="39" t="s">
        <v>125</v>
      </c>
      <c r="F170" s="39" t="n">
        <v>1</v>
      </c>
      <c r="G170" s="39" t="s">
        <v>90</v>
      </c>
      <c r="H170" s="41" t="str">
        <f aca="false">ПАРАМЕТРЫ!B7&amp;"%"</f>
        <v>15%</v>
      </c>
      <c r="I170" s="42" t="n">
        <f aca="false">(I164+I165+I166+I167)*ПАРАМЕТРЫ!B7/100</f>
        <v>10275.48</v>
      </c>
      <c r="J170" s="40" t="s">
        <v>11</v>
      </c>
    </row>
    <row r="171" customFormat="false" ht="15.75" hidden="false" customHeight="true" outlineLevel="0" collapsed="false">
      <c r="A171" s="43" t="s">
        <v>309</v>
      </c>
      <c r="B171" s="44"/>
      <c r="C171" s="44"/>
      <c r="D171" s="44"/>
      <c r="E171" s="44"/>
      <c r="F171" s="44"/>
      <c r="G171" s="44"/>
      <c r="H171" s="44"/>
      <c r="I171" s="45" t="n">
        <f aca="false">I164+I165+I166+I167+I169+I170</f>
        <v>83573.904</v>
      </c>
      <c r="J171" s="44"/>
    </row>
    <row r="173" customFormat="false" ht="18" hidden="false" customHeight="true" outlineLevel="0" collapsed="false">
      <c r="A173" s="18" t="s">
        <v>310</v>
      </c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5.75" hidden="false" customHeight="true" outlineLevel="0" collapsed="false">
      <c r="A174" s="21" t="s">
        <v>311</v>
      </c>
      <c r="B174" s="22" t="s">
        <v>131</v>
      </c>
      <c r="C174" s="22" t="s">
        <v>87</v>
      </c>
      <c r="D174" s="22" t="s">
        <v>219</v>
      </c>
      <c r="E174" s="21" t="s">
        <v>89</v>
      </c>
      <c r="F174" s="21" t="n">
        <v>1</v>
      </c>
      <c r="G174" s="21" t="s">
        <v>90</v>
      </c>
      <c r="H174" s="21" t="s">
        <v>90</v>
      </c>
      <c r="I174" s="23" t="n">
        <v>0</v>
      </c>
      <c r="J174" s="22" t="s">
        <v>91</v>
      </c>
    </row>
    <row r="175" customFormat="false" ht="15.75" hidden="false" customHeight="true" outlineLevel="0" collapsed="false">
      <c r="A175" s="24" t="s">
        <v>312</v>
      </c>
      <c r="B175" s="25" t="s">
        <v>153</v>
      </c>
      <c r="C175" s="25" t="s">
        <v>154</v>
      </c>
      <c r="D175" s="25" t="s">
        <v>219</v>
      </c>
      <c r="E175" s="24" t="s">
        <v>89</v>
      </c>
      <c r="F175" s="26" t="n">
        <v>1</v>
      </c>
      <c r="G175" s="27" t="n">
        <f aca="false">ПАРАМЕТРЫ!B24</f>
        <v>7468</v>
      </c>
      <c r="H175" s="27" t="n">
        <f aca="false">ПАРАМЕТРЫ!D24</f>
        <v>4480.8</v>
      </c>
      <c r="I175" s="27" t="n">
        <f aca="false">F175*H175</f>
        <v>4480.8</v>
      </c>
      <c r="J175" s="25"/>
    </row>
    <row r="176" customFormat="false" ht="15.75" hidden="false" customHeight="true" outlineLevel="0" collapsed="false">
      <c r="A176" s="28" t="s">
        <v>313</v>
      </c>
      <c r="B176" s="29" t="s">
        <v>135</v>
      </c>
      <c r="C176" s="29" t="s">
        <v>136</v>
      </c>
      <c r="D176" s="29" t="s">
        <v>219</v>
      </c>
      <c r="E176" s="28" t="s">
        <v>89</v>
      </c>
      <c r="F176" s="26" t="n">
        <v>4</v>
      </c>
      <c r="G176" s="30" t="n">
        <f aca="false">ПАРАМЕТРЫ!B12</f>
        <v>2818</v>
      </c>
      <c r="H176" s="30" t="n">
        <f aca="false">ПАРАМЕТРЫ!D12</f>
        <v>1690.8</v>
      </c>
      <c r="I176" s="30" t="n">
        <f aca="false">F176*H176</f>
        <v>6763.2</v>
      </c>
      <c r="J176" s="29"/>
    </row>
    <row r="177" customFormat="false" ht="15.75" hidden="false" customHeight="true" outlineLevel="0" collapsed="false">
      <c r="A177" s="35" t="s">
        <v>314</v>
      </c>
      <c r="B177" s="36" t="s">
        <v>124</v>
      </c>
      <c r="C177" s="36"/>
      <c r="D177" s="36" t="s">
        <v>219</v>
      </c>
      <c r="E177" s="35" t="s">
        <v>125</v>
      </c>
      <c r="F177" s="35" t="n">
        <v>1</v>
      </c>
      <c r="G177" s="35" t="s">
        <v>90</v>
      </c>
      <c r="H177" s="37" t="str">
        <f aca="false">ПАРАМЕТРЫ!B6&amp;"%"</f>
        <v>7%</v>
      </c>
      <c r="I177" s="38" t="n">
        <f aca="false">(I175+I176)*ПАРАМЕТРЫ!B6/100</f>
        <v>787.08</v>
      </c>
      <c r="J177" s="36" t="s">
        <v>11</v>
      </c>
    </row>
    <row r="178" customFormat="false" ht="15.75" hidden="false" customHeight="true" outlineLevel="0" collapsed="false">
      <c r="A178" s="39" t="s">
        <v>315</v>
      </c>
      <c r="B178" s="40" t="s">
        <v>127</v>
      </c>
      <c r="C178" s="40"/>
      <c r="D178" s="40" t="s">
        <v>219</v>
      </c>
      <c r="E178" s="39" t="s">
        <v>125</v>
      </c>
      <c r="F178" s="39" t="n">
        <v>1</v>
      </c>
      <c r="G178" s="39" t="s">
        <v>90</v>
      </c>
      <c r="H178" s="41" t="str">
        <f aca="false">ПАРАМЕТРЫ!B7&amp;"%"</f>
        <v>15%</v>
      </c>
      <c r="I178" s="42" t="n">
        <f aca="false">(I175+I176)*ПАРАМЕТРЫ!B7/100</f>
        <v>1686.6</v>
      </c>
      <c r="J178" s="40" t="s">
        <v>11</v>
      </c>
    </row>
    <row r="179" customFormat="false" ht="15.75" hidden="false" customHeight="true" outlineLevel="0" collapsed="false">
      <c r="A179" s="43" t="s">
        <v>316</v>
      </c>
      <c r="B179" s="44"/>
      <c r="C179" s="44"/>
      <c r="D179" s="44"/>
      <c r="E179" s="44"/>
      <c r="F179" s="44"/>
      <c r="G179" s="44"/>
      <c r="H179" s="44"/>
      <c r="I179" s="45" t="n">
        <f aca="false">I175+I176+I177+I178</f>
        <v>13717.68</v>
      </c>
      <c r="J179" s="44"/>
    </row>
    <row r="181" customFormat="false" ht="18" hidden="false" customHeight="true" outlineLevel="0" collapsed="false">
      <c r="A181" s="18" t="s">
        <v>317</v>
      </c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5.75" hidden="false" customHeight="true" outlineLevel="0" collapsed="false">
      <c r="A182" s="21" t="s">
        <v>318</v>
      </c>
      <c r="B182" s="22" t="s">
        <v>131</v>
      </c>
      <c r="C182" s="22" t="s">
        <v>87</v>
      </c>
      <c r="D182" s="22" t="s">
        <v>219</v>
      </c>
      <c r="E182" s="21" t="s">
        <v>89</v>
      </c>
      <c r="F182" s="21" t="n">
        <v>1</v>
      </c>
      <c r="G182" s="21" t="s">
        <v>90</v>
      </c>
      <c r="H182" s="21" t="s">
        <v>90</v>
      </c>
      <c r="I182" s="23" t="n">
        <v>0</v>
      </c>
      <c r="J182" s="22" t="s">
        <v>91</v>
      </c>
    </row>
    <row r="183" customFormat="false" ht="15.75" hidden="false" customHeight="true" outlineLevel="0" collapsed="false">
      <c r="A183" s="24" t="s">
        <v>319</v>
      </c>
      <c r="B183" s="25" t="s">
        <v>153</v>
      </c>
      <c r="C183" s="25" t="s">
        <v>154</v>
      </c>
      <c r="D183" s="25" t="s">
        <v>219</v>
      </c>
      <c r="E183" s="24" t="s">
        <v>89</v>
      </c>
      <c r="F183" s="26" t="n">
        <v>1</v>
      </c>
      <c r="G183" s="27" t="n">
        <f aca="false">ПАРАМЕТРЫ!B24</f>
        <v>7468</v>
      </c>
      <c r="H183" s="27" t="n">
        <f aca="false">ПАРАМЕТРЫ!D24</f>
        <v>4480.8</v>
      </c>
      <c r="I183" s="27" t="n">
        <f aca="false">F183*H183</f>
        <v>4480.8</v>
      </c>
      <c r="J183" s="25"/>
    </row>
    <row r="184" customFormat="false" ht="15.75" hidden="false" customHeight="true" outlineLevel="0" collapsed="false">
      <c r="A184" s="28" t="s">
        <v>320</v>
      </c>
      <c r="B184" s="29" t="s">
        <v>135</v>
      </c>
      <c r="C184" s="29" t="s">
        <v>136</v>
      </c>
      <c r="D184" s="29" t="s">
        <v>219</v>
      </c>
      <c r="E184" s="28" t="s">
        <v>89</v>
      </c>
      <c r="F184" s="26" t="n">
        <v>3</v>
      </c>
      <c r="G184" s="30" t="n">
        <f aca="false">ПАРАМЕТРЫ!B12</f>
        <v>2818</v>
      </c>
      <c r="H184" s="30" t="n">
        <f aca="false">ПАРАМЕТРЫ!D12</f>
        <v>1690.8</v>
      </c>
      <c r="I184" s="30" t="n">
        <f aca="false">F184*H184</f>
        <v>5072.4</v>
      </c>
      <c r="J184" s="29"/>
    </row>
    <row r="185" customFormat="false" ht="15.75" hidden="false" customHeight="true" outlineLevel="0" collapsed="false">
      <c r="A185" s="35" t="s">
        <v>321</v>
      </c>
      <c r="B185" s="36" t="s">
        <v>124</v>
      </c>
      <c r="C185" s="36"/>
      <c r="D185" s="36" t="s">
        <v>219</v>
      </c>
      <c r="E185" s="35" t="s">
        <v>125</v>
      </c>
      <c r="F185" s="35" t="n">
        <v>1</v>
      </c>
      <c r="G185" s="35" t="s">
        <v>90</v>
      </c>
      <c r="H185" s="37" t="str">
        <f aca="false">ПАРАМЕТРЫ!B6&amp;"%"</f>
        <v>7%</v>
      </c>
      <c r="I185" s="38" t="n">
        <f aca="false">(I183+I184)*ПАРАМЕТРЫ!B6/100</f>
        <v>668.724</v>
      </c>
      <c r="J185" s="36" t="s">
        <v>11</v>
      </c>
    </row>
    <row r="186" customFormat="false" ht="15.75" hidden="false" customHeight="true" outlineLevel="0" collapsed="false">
      <c r="A186" s="39" t="s">
        <v>322</v>
      </c>
      <c r="B186" s="40" t="s">
        <v>127</v>
      </c>
      <c r="C186" s="40"/>
      <c r="D186" s="40" t="s">
        <v>219</v>
      </c>
      <c r="E186" s="39" t="s">
        <v>125</v>
      </c>
      <c r="F186" s="39" t="n">
        <v>1</v>
      </c>
      <c r="G186" s="39" t="s">
        <v>90</v>
      </c>
      <c r="H186" s="41" t="str">
        <f aca="false">ПАРАМЕТРЫ!B7&amp;"%"</f>
        <v>15%</v>
      </c>
      <c r="I186" s="42" t="n">
        <f aca="false">(I183+I184)*ПАРАМЕТРЫ!B7/100</f>
        <v>1432.98</v>
      </c>
      <c r="J186" s="40" t="s">
        <v>11</v>
      </c>
    </row>
    <row r="187" customFormat="false" ht="15.75" hidden="false" customHeight="true" outlineLevel="0" collapsed="false">
      <c r="A187" s="43" t="s">
        <v>323</v>
      </c>
      <c r="B187" s="44"/>
      <c r="C187" s="44"/>
      <c r="D187" s="44"/>
      <c r="E187" s="44"/>
      <c r="F187" s="44"/>
      <c r="G187" s="44"/>
      <c r="H187" s="44"/>
      <c r="I187" s="45" t="n">
        <f aca="false">I183+I184+I185+I186</f>
        <v>11654.904</v>
      </c>
      <c r="J187" s="44"/>
    </row>
    <row r="189" customFormat="false" ht="18" hidden="false" customHeight="true" outlineLevel="0" collapsed="false">
      <c r="A189" s="18" t="s">
        <v>324</v>
      </c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5.75" hidden="false" customHeight="true" outlineLevel="0" collapsed="false">
      <c r="A190" s="21" t="s">
        <v>325</v>
      </c>
      <c r="B190" s="22" t="s">
        <v>131</v>
      </c>
      <c r="C190" s="22" t="s">
        <v>87</v>
      </c>
      <c r="D190" s="22" t="s">
        <v>219</v>
      </c>
      <c r="E190" s="21" t="s">
        <v>89</v>
      </c>
      <c r="F190" s="21" t="n">
        <v>1</v>
      </c>
      <c r="G190" s="21" t="s">
        <v>90</v>
      </c>
      <c r="H190" s="21" t="s">
        <v>90</v>
      </c>
      <c r="I190" s="23" t="n">
        <v>0</v>
      </c>
      <c r="J190" s="22" t="s">
        <v>91</v>
      </c>
    </row>
    <row r="191" customFormat="false" ht="15.75" hidden="false" customHeight="true" outlineLevel="0" collapsed="false">
      <c r="A191" s="24" t="s">
        <v>326</v>
      </c>
      <c r="B191" s="25" t="s">
        <v>153</v>
      </c>
      <c r="C191" s="25" t="s">
        <v>154</v>
      </c>
      <c r="D191" s="25" t="s">
        <v>219</v>
      </c>
      <c r="E191" s="24" t="s">
        <v>89</v>
      </c>
      <c r="F191" s="26" t="n">
        <v>1</v>
      </c>
      <c r="G191" s="27" t="n">
        <f aca="false">ПАРАМЕТРЫ!B24</f>
        <v>7468</v>
      </c>
      <c r="H191" s="27" t="n">
        <f aca="false">ПАРАМЕТРЫ!D24</f>
        <v>4480.8</v>
      </c>
      <c r="I191" s="27" t="n">
        <f aca="false">F191*H191</f>
        <v>4480.8</v>
      </c>
      <c r="J191" s="25"/>
    </row>
    <row r="192" customFormat="false" ht="15.75" hidden="false" customHeight="true" outlineLevel="0" collapsed="false">
      <c r="A192" s="28" t="s">
        <v>327</v>
      </c>
      <c r="B192" s="29" t="s">
        <v>135</v>
      </c>
      <c r="C192" s="29" t="s">
        <v>136</v>
      </c>
      <c r="D192" s="29" t="s">
        <v>219</v>
      </c>
      <c r="E192" s="28" t="s">
        <v>89</v>
      </c>
      <c r="F192" s="26" t="n">
        <v>5</v>
      </c>
      <c r="G192" s="30" t="n">
        <f aca="false">ПАРАМЕТРЫ!B12</f>
        <v>2818</v>
      </c>
      <c r="H192" s="30" t="n">
        <f aca="false">ПАРАМЕТРЫ!D12</f>
        <v>1690.8</v>
      </c>
      <c r="I192" s="30" t="n">
        <f aca="false">F192*H192</f>
        <v>8454</v>
      </c>
      <c r="J192" s="29"/>
    </row>
    <row r="193" customFormat="false" ht="15.75" hidden="false" customHeight="true" outlineLevel="0" collapsed="false">
      <c r="A193" s="35" t="s">
        <v>328</v>
      </c>
      <c r="B193" s="36" t="s">
        <v>124</v>
      </c>
      <c r="C193" s="36"/>
      <c r="D193" s="36" t="s">
        <v>219</v>
      </c>
      <c r="E193" s="35" t="s">
        <v>125</v>
      </c>
      <c r="F193" s="35" t="n">
        <v>1</v>
      </c>
      <c r="G193" s="35" t="s">
        <v>90</v>
      </c>
      <c r="H193" s="37" t="str">
        <f aca="false">ПАРАМЕТРЫ!B6&amp;"%"</f>
        <v>7%</v>
      </c>
      <c r="I193" s="38" t="n">
        <f aca="false">(I191+I192)*ПАРАМЕТРЫ!B6/100</f>
        <v>905.436</v>
      </c>
      <c r="J193" s="36" t="s">
        <v>11</v>
      </c>
    </row>
    <row r="194" customFormat="false" ht="15.75" hidden="false" customHeight="true" outlineLevel="0" collapsed="false">
      <c r="A194" s="39" t="s">
        <v>329</v>
      </c>
      <c r="B194" s="40" t="s">
        <v>127</v>
      </c>
      <c r="C194" s="40"/>
      <c r="D194" s="40" t="s">
        <v>219</v>
      </c>
      <c r="E194" s="39" t="s">
        <v>125</v>
      </c>
      <c r="F194" s="39" t="n">
        <v>1</v>
      </c>
      <c r="G194" s="39" t="s">
        <v>90</v>
      </c>
      <c r="H194" s="41" t="str">
        <f aca="false">ПАРАМЕТРЫ!B7&amp;"%"</f>
        <v>15%</v>
      </c>
      <c r="I194" s="42" t="n">
        <f aca="false">(I191+I192)*ПАРАМЕТРЫ!B7/100</f>
        <v>1940.22</v>
      </c>
      <c r="J194" s="40" t="s">
        <v>11</v>
      </c>
    </row>
    <row r="195" customFormat="false" ht="15.75" hidden="false" customHeight="true" outlineLevel="0" collapsed="false">
      <c r="A195" s="43" t="s">
        <v>330</v>
      </c>
      <c r="B195" s="44"/>
      <c r="C195" s="44"/>
      <c r="D195" s="44"/>
      <c r="E195" s="44"/>
      <c r="F195" s="44"/>
      <c r="G195" s="44"/>
      <c r="H195" s="44"/>
      <c r="I195" s="45" t="n">
        <f aca="false">I191+I192+I193+I194</f>
        <v>15780.456</v>
      </c>
      <c r="J195" s="44"/>
    </row>
    <row r="197" customFormat="false" ht="18" hidden="false" customHeight="true" outlineLevel="0" collapsed="false">
      <c r="A197" s="18" t="s">
        <v>331</v>
      </c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5.75" hidden="false" customHeight="true" outlineLevel="0" collapsed="false">
      <c r="A198" s="21" t="s">
        <v>332</v>
      </c>
      <c r="B198" s="22" t="s">
        <v>131</v>
      </c>
      <c r="C198" s="22" t="s">
        <v>87</v>
      </c>
      <c r="D198" s="22" t="s">
        <v>219</v>
      </c>
      <c r="E198" s="21" t="s">
        <v>89</v>
      </c>
      <c r="F198" s="21" t="n">
        <v>1</v>
      </c>
      <c r="G198" s="21" t="s">
        <v>90</v>
      </c>
      <c r="H198" s="21" t="s">
        <v>90</v>
      </c>
      <c r="I198" s="23" t="n">
        <v>0</v>
      </c>
      <c r="J198" s="22" t="s">
        <v>91</v>
      </c>
    </row>
    <row r="199" customFormat="false" ht="15.75" hidden="false" customHeight="true" outlineLevel="0" collapsed="false">
      <c r="A199" s="24" t="s">
        <v>333</v>
      </c>
      <c r="B199" s="25" t="s">
        <v>153</v>
      </c>
      <c r="C199" s="25" t="s">
        <v>154</v>
      </c>
      <c r="D199" s="25" t="s">
        <v>219</v>
      </c>
      <c r="E199" s="24" t="s">
        <v>89</v>
      </c>
      <c r="F199" s="26" t="n">
        <v>1</v>
      </c>
      <c r="G199" s="27" t="n">
        <f aca="false">ПАРАМЕТРЫ!B24</f>
        <v>7468</v>
      </c>
      <c r="H199" s="27" t="n">
        <f aca="false">ПАРАМЕТРЫ!D24</f>
        <v>4480.8</v>
      </c>
      <c r="I199" s="27" t="n">
        <f aca="false">F199*H199</f>
        <v>4480.8</v>
      </c>
      <c r="J199" s="25"/>
    </row>
    <row r="200" customFormat="false" ht="15.75" hidden="false" customHeight="true" outlineLevel="0" collapsed="false">
      <c r="A200" s="28" t="s">
        <v>334</v>
      </c>
      <c r="B200" s="29" t="s">
        <v>135</v>
      </c>
      <c r="C200" s="29" t="s">
        <v>136</v>
      </c>
      <c r="D200" s="29" t="s">
        <v>219</v>
      </c>
      <c r="E200" s="28" t="s">
        <v>89</v>
      </c>
      <c r="F200" s="26" t="n">
        <v>4</v>
      </c>
      <c r="G200" s="30" t="n">
        <f aca="false">ПАРАМЕТРЫ!B12</f>
        <v>2818</v>
      </c>
      <c r="H200" s="30" t="n">
        <f aca="false">ПАРАМЕТРЫ!D12</f>
        <v>1690.8</v>
      </c>
      <c r="I200" s="30" t="n">
        <f aca="false">F200*H200</f>
        <v>6763.2</v>
      </c>
      <c r="J200" s="29"/>
    </row>
    <row r="201" customFormat="false" ht="15.75" hidden="false" customHeight="true" outlineLevel="0" collapsed="false">
      <c r="A201" s="35" t="s">
        <v>335</v>
      </c>
      <c r="B201" s="36" t="s">
        <v>124</v>
      </c>
      <c r="C201" s="36"/>
      <c r="D201" s="36" t="s">
        <v>219</v>
      </c>
      <c r="E201" s="35" t="s">
        <v>125</v>
      </c>
      <c r="F201" s="35" t="n">
        <v>1</v>
      </c>
      <c r="G201" s="35" t="s">
        <v>90</v>
      </c>
      <c r="H201" s="37" t="str">
        <f aca="false">ПАРАМЕТРЫ!B6&amp;"%"</f>
        <v>7%</v>
      </c>
      <c r="I201" s="38" t="n">
        <f aca="false">(I199+I200)*ПАРАМЕТРЫ!B6/100</f>
        <v>787.08</v>
      </c>
      <c r="J201" s="36" t="s">
        <v>11</v>
      </c>
    </row>
    <row r="202" customFormat="false" ht="15.75" hidden="false" customHeight="true" outlineLevel="0" collapsed="false">
      <c r="A202" s="39" t="s">
        <v>336</v>
      </c>
      <c r="B202" s="40" t="s">
        <v>127</v>
      </c>
      <c r="C202" s="40"/>
      <c r="D202" s="40" t="s">
        <v>219</v>
      </c>
      <c r="E202" s="39" t="s">
        <v>125</v>
      </c>
      <c r="F202" s="39" t="n">
        <v>1</v>
      </c>
      <c r="G202" s="39" t="s">
        <v>90</v>
      </c>
      <c r="H202" s="41" t="str">
        <f aca="false">ПАРАМЕТРЫ!B7&amp;"%"</f>
        <v>15%</v>
      </c>
      <c r="I202" s="42" t="n">
        <f aca="false">(I199+I200)*ПАРАМЕТРЫ!B7/100</f>
        <v>1686.6</v>
      </c>
      <c r="J202" s="40" t="s">
        <v>11</v>
      </c>
    </row>
    <row r="203" customFormat="false" ht="15.75" hidden="false" customHeight="true" outlineLevel="0" collapsed="false">
      <c r="A203" s="43" t="s">
        <v>337</v>
      </c>
      <c r="B203" s="44"/>
      <c r="C203" s="44"/>
      <c r="D203" s="44"/>
      <c r="E203" s="44"/>
      <c r="F203" s="44"/>
      <c r="G203" s="44"/>
      <c r="H203" s="44"/>
      <c r="I203" s="45" t="n">
        <f aca="false">I199+I200+I201+I202</f>
        <v>13717.68</v>
      </c>
      <c r="J203" s="44"/>
    </row>
    <row r="205" customFormat="false" ht="18" hidden="false" customHeight="true" outlineLevel="0" collapsed="false">
      <c r="A205" s="18" t="s">
        <v>338</v>
      </c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5.75" hidden="false" customHeight="true" outlineLevel="0" collapsed="false">
      <c r="A206" s="21" t="s">
        <v>339</v>
      </c>
      <c r="B206" s="22" t="s">
        <v>131</v>
      </c>
      <c r="C206" s="22" t="s">
        <v>87</v>
      </c>
      <c r="D206" s="22" t="s">
        <v>219</v>
      </c>
      <c r="E206" s="21" t="s">
        <v>89</v>
      </c>
      <c r="F206" s="21" t="n">
        <v>1</v>
      </c>
      <c r="G206" s="21" t="s">
        <v>90</v>
      </c>
      <c r="H206" s="21" t="s">
        <v>90</v>
      </c>
      <c r="I206" s="23" t="n">
        <v>0</v>
      </c>
      <c r="J206" s="22" t="s">
        <v>91</v>
      </c>
    </row>
    <row r="207" customFormat="false" ht="15.75" hidden="false" customHeight="true" outlineLevel="0" collapsed="false">
      <c r="A207" s="24" t="s">
        <v>340</v>
      </c>
      <c r="B207" s="25" t="s">
        <v>153</v>
      </c>
      <c r="C207" s="25" t="s">
        <v>154</v>
      </c>
      <c r="D207" s="25" t="s">
        <v>219</v>
      </c>
      <c r="E207" s="24" t="s">
        <v>89</v>
      </c>
      <c r="F207" s="26" t="n">
        <v>1</v>
      </c>
      <c r="G207" s="27" t="n">
        <f aca="false">ПАРАМЕТРЫ!B24</f>
        <v>7468</v>
      </c>
      <c r="H207" s="27" t="n">
        <f aca="false">ПАРАМЕТРЫ!D24</f>
        <v>4480.8</v>
      </c>
      <c r="I207" s="27" t="n">
        <f aca="false">F207*H207</f>
        <v>4480.8</v>
      </c>
      <c r="J207" s="25"/>
    </row>
    <row r="208" customFormat="false" ht="15.75" hidden="false" customHeight="true" outlineLevel="0" collapsed="false">
      <c r="A208" s="28" t="s">
        <v>341</v>
      </c>
      <c r="B208" s="29" t="s">
        <v>135</v>
      </c>
      <c r="C208" s="29" t="s">
        <v>136</v>
      </c>
      <c r="D208" s="29" t="s">
        <v>219</v>
      </c>
      <c r="E208" s="28" t="s">
        <v>89</v>
      </c>
      <c r="F208" s="26" t="n">
        <v>3</v>
      </c>
      <c r="G208" s="30" t="n">
        <f aca="false">ПАРАМЕТРЫ!B12</f>
        <v>2818</v>
      </c>
      <c r="H208" s="30" t="n">
        <f aca="false">ПАРАМЕТРЫ!D12</f>
        <v>1690.8</v>
      </c>
      <c r="I208" s="30" t="n">
        <f aca="false">F208*H208</f>
        <v>5072.4</v>
      </c>
      <c r="J208" s="29"/>
    </row>
    <row r="209" customFormat="false" ht="15.75" hidden="false" customHeight="true" outlineLevel="0" collapsed="false">
      <c r="A209" s="35" t="s">
        <v>342</v>
      </c>
      <c r="B209" s="36" t="s">
        <v>124</v>
      </c>
      <c r="C209" s="36"/>
      <c r="D209" s="36" t="s">
        <v>219</v>
      </c>
      <c r="E209" s="35" t="s">
        <v>125</v>
      </c>
      <c r="F209" s="35" t="n">
        <v>1</v>
      </c>
      <c r="G209" s="35" t="s">
        <v>90</v>
      </c>
      <c r="H209" s="37" t="str">
        <f aca="false">ПАРАМЕТРЫ!B6&amp;"%"</f>
        <v>7%</v>
      </c>
      <c r="I209" s="38" t="n">
        <f aca="false">(I207+I208)*ПАРАМЕТРЫ!B6/100</f>
        <v>668.724</v>
      </c>
      <c r="J209" s="36" t="s">
        <v>11</v>
      </c>
    </row>
    <row r="210" customFormat="false" ht="15.75" hidden="false" customHeight="true" outlineLevel="0" collapsed="false">
      <c r="A210" s="39" t="s">
        <v>343</v>
      </c>
      <c r="B210" s="40" t="s">
        <v>127</v>
      </c>
      <c r="C210" s="40"/>
      <c r="D210" s="40" t="s">
        <v>219</v>
      </c>
      <c r="E210" s="39" t="s">
        <v>125</v>
      </c>
      <c r="F210" s="39" t="n">
        <v>1</v>
      </c>
      <c r="G210" s="39" t="s">
        <v>90</v>
      </c>
      <c r="H210" s="41" t="str">
        <f aca="false">ПАРАМЕТРЫ!B7&amp;"%"</f>
        <v>15%</v>
      </c>
      <c r="I210" s="42" t="n">
        <f aca="false">(I207+I208)*ПАРАМЕТРЫ!B7/100</f>
        <v>1432.98</v>
      </c>
      <c r="J210" s="40" t="s">
        <v>11</v>
      </c>
    </row>
    <row r="211" customFormat="false" ht="15.75" hidden="false" customHeight="true" outlineLevel="0" collapsed="false">
      <c r="A211" s="43" t="s">
        <v>344</v>
      </c>
      <c r="B211" s="44"/>
      <c r="C211" s="44"/>
      <c r="D211" s="44"/>
      <c r="E211" s="44"/>
      <c r="F211" s="44"/>
      <c r="G211" s="44"/>
      <c r="H211" s="44"/>
      <c r="I211" s="45" t="n">
        <f aca="false">I207+I208+I209+I210</f>
        <v>11654.904</v>
      </c>
      <c r="J211" s="44"/>
    </row>
    <row r="213" customFormat="false" ht="18" hidden="false" customHeight="true" outlineLevel="0" collapsed="false">
      <c r="A213" s="18" t="s">
        <v>345</v>
      </c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5.75" hidden="false" customHeight="true" outlineLevel="0" collapsed="false">
      <c r="A214" s="21" t="s">
        <v>346</v>
      </c>
      <c r="B214" s="22" t="s">
        <v>131</v>
      </c>
      <c r="C214" s="22" t="s">
        <v>87</v>
      </c>
      <c r="D214" s="22" t="s">
        <v>219</v>
      </c>
      <c r="E214" s="21" t="s">
        <v>89</v>
      </c>
      <c r="F214" s="21" t="n">
        <v>1</v>
      </c>
      <c r="G214" s="21" t="s">
        <v>90</v>
      </c>
      <c r="H214" s="21" t="s">
        <v>90</v>
      </c>
      <c r="I214" s="23" t="n">
        <v>0</v>
      </c>
      <c r="J214" s="22" t="s">
        <v>91</v>
      </c>
    </row>
    <row r="215" customFormat="false" ht="15.75" hidden="false" customHeight="true" outlineLevel="0" collapsed="false">
      <c r="A215" s="24" t="s">
        <v>347</v>
      </c>
      <c r="B215" s="25" t="s">
        <v>153</v>
      </c>
      <c r="C215" s="25" t="s">
        <v>154</v>
      </c>
      <c r="D215" s="25" t="s">
        <v>219</v>
      </c>
      <c r="E215" s="24" t="s">
        <v>89</v>
      </c>
      <c r="F215" s="26" t="n">
        <v>1</v>
      </c>
      <c r="G215" s="27" t="n">
        <f aca="false">ПАРАМЕТРЫ!B24</f>
        <v>7468</v>
      </c>
      <c r="H215" s="27" t="n">
        <f aca="false">ПАРАМЕТРЫ!D24</f>
        <v>4480.8</v>
      </c>
      <c r="I215" s="27" t="n">
        <f aca="false">F215*H215</f>
        <v>4480.8</v>
      </c>
      <c r="J215" s="25"/>
    </row>
    <row r="216" customFormat="false" ht="15.75" hidden="false" customHeight="true" outlineLevel="0" collapsed="false">
      <c r="A216" s="28" t="s">
        <v>348</v>
      </c>
      <c r="B216" s="29" t="s">
        <v>135</v>
      </c>
      <c r="C216" s="29" t="s">
        <v>136</v>
      </c>
      <c r="D216" s="29" t="s">
        <v>219</v>
      </c>
      <c r="E216" s="28" t="s">
        <v>89</v>
      </c>
      <c r="F216" s="26" t="n">
        <v>4</v>
      </c>
      <c r="G216" s="30" t="n">
        <f aca="false">ПАРАМЕТРЫ!B12</f>
        <v>2818</v>
      </c>
      <c r="H216" s="30" t="n">
        <f aca="false">ПАРАМЕТРЫ!D12</f>
        <v>1690.8</v>
      </c>
      <c r="I216" s="30" t="n">
        <f aca="false">F216*H216</f>
        <v>6763.2</v>
      </c>
      <c r="J216" s="29"/>
    </row>
    <row r="217" customFormat="false" ht="15.75" hidden="false" customHeight="true" outlineLevel="0" collapsed="false">
      <c r="A217" s="35" t="s">
        <v>349</v>
      </c>
      <c r="B217" s="36" t="s">
        <v>124</v>
      </c>
      <c r="C217" s="36"/>
      <c r="D217" s="36" t="s">
        <v>219</v>
      </c>
      <c r="E217" s="35" t="s">
        <v>125</v>
      </c>
      <c r="F217" s="35" t="n">
        <v>1</v>
      </c>
      <c r="G217" s="35" t="s">
        <v>90</v>
      </c>
      <c r="H217" s="37" t="str">
        <f aca="false">ПАРАМЕТРЫ!B6&amp;"%"</f>
        <v>7%</v>
      </c>
      <c r="I217" s="38" t="n">
        <f aca="false">(I215+I216)*ПАРАМЕТРЫ!B6/100</f>
        <v>787.08</v>
      </c>
      <c r="J217" s="36" t="s">
        <v>11</v>
      </c>
    </row>
    <row r="218" customFormat="false" ht="15.75" hidden="false" customHeight="true" outlineLevel="0" collapsed="false">
      <c r="A218" s="39" t="s">
        <v>350</v>
      </c>
      <c r="B218" s="40" t="s">
        <v>127</v>
      </c>
      <c r="C218" s="40"/>
      <c r="D218" s="40" t="s">
        <v>219</v>
      </c>
      <c r="E218" s="39" t="s">
        <v>125</v>
      </c>
      <c r="F218" s="39" t="n">
        <v>1</v>
      </c>
      <c r="G218" s="39" t="s">
        <v>90</v>
      </c>
      <c r="H218" s="41" t="str">
        <f aca="false">ПАРАМЕТРЫ!B7&amp;"%"</f>
        <v>15%</v>
      </c>
      <c r="I218" s="42" t="n">
        <f aca="false">(I215+I216)*ПАРАМЕТРЫ!B7/100</f>
        <v>1686.6</v>
      </c>
      <c r="J218" s="40" t="s">
        <v>11</v>
      </c>
    </row>
    <row r="219" customFormat="false" ht="15.75" hidden="false" customHeight="true" outlineLevel="0" collapsed="false">
      <c r="A219" s="43" t="s">
        <v>351</v>
      </c>
      <c r="B219" s="44"/>
      <c r="C219" s="44"/>
      <c r="D219" s="44"/>
      <c r="E219" s="44"/>
      <c r="F219" s="44"/>
      <c r="G219" s="44"/>
      <c r="H219" s="44"/>
      <c r="I219" s="45" t="n">
        <f aca="false">I215+I216+I217+I218</f>
        <v>13717.68</v>
      </c>
      <c r="J219" s="44"/>
    </row>
    <row r="221" customFormat="false" ht="18" hidden="false" customHeight="true" outlineLevel="0" collapsed="false">
      <c r="A221" s="18" t="s">
        <v>352</v>
      </c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5.75" hidden="false" customHeight="true" outlineLevel="0" collapsed="false">
      <c r="A222" s="21" t="s">
        <v>353</v>
      </c>
      <c r="B222" s="22" t="s">
        <v>131</v>
      </c>
      <c r="C222" s="22" t="s">
        <v>87</v>
      </c>
      <c r="D222" s="22" t="s">
        <v>219</v>
      </c>
      <c r="E222" s="21" t="s">
        <v>89</v>
      </c>
      <c r="F222" s="21" t="n">
        <v>1</v>
      </c>
      <c r="G222" s="21" t="s">
        <v>90</v>
      </c>
      <c r="H222" s="21" t="s">
        <v>90</v>
      </c>
      <c r="I222" s="23" t="n">
        <v>0</v>
      </c>
      <c r="J222" s="22" t="s">
        <v>91</v>
      </c>
    </row>
    <row r="223" customFormat="false" ht="15.75" hidden="false" customHeight="true" outlineLevel="0" collapsed="false">
      <c r="A223" s="24" t="s">
        <v>354</v>
      </c>
      <c r="B223" s="25" t="s">
        <v>153</v>
      </c>
      <c r="C223" s="25" t="s">
        <v>154</v>
      </c>
      <c r="D223" s="25" t="s">
        <v>219</v>
      </c>
      <c r="E223" s="24" t="s">
        <v>89</v>
      </c>
      <c r="F223" s="26" t="n">
        <v>1</v>
      </c>
      <c r="G223" s="27" t="n">
        <f aca="false">ПАРАМЕТРЫ!B24</f>
        <v>7468</v>
      </c>
      <c r="H223" s="27" t="n">
        <f aca="false">ПАРАМЕТРЫ!D24</f>
        <v>4480.8</v>
      </c>
      <c r="I223" s="27" t="n">
        <f aca="false">F223*H223</f>
        <v>4480.8</v>
      </c>
      <c r="J223" s="25"/>
    </row>
    <row r="224" customFormat="false" ht="15.75" hidden="false" customHeight="true" outlineLevel="0" collapsed="false">
      <c r="A224" s="28" t="s">
        <v>355</v>
      </c>
      <c r="B224" s="29" t="s">
        <v>135</v>
      </c>
      <c r="C224" s="29" t="s">
        <v>136</v>
      </c>
      <c r="D224" s="29" t="s">
        <v>219</v>
      </c>
      <c r="E224" s="28" t="s">
        <v>89</v>
      </c>
      <c r="F224" s="26" t="n">
        <v>3</v>
      </c>
      <c r="G224" s="30" t="n">
        <f aca="false">ПАРАМЕТРЫ!B12</f>
        <v>2818</v>
      </c>
      <c r="H224" s="30" t="n">
        <f aca="false">ПАРАМЕТРЫ!D12</f>
        <v>1690.8</v>
      </c>
      <c r="I224" s="30" t="n">
        <f aca="false">F224*H224</f>
        <v>5072.4</v>
      </c>
      <c r="J224" s="29"/>
    </row>
    <row r="225" customFormat="false" ht="15.75" hidden="false" customHeight="true" outlineLevel="0" collapsed="false">
      <c r="A225" s="35" t="s">
        <v>356</v>
      </c>
      <c r="B225" s="36" t="s">
        <v>124</v>
      </c>
      <c r="C225" s="36"/>
      <c r="D225" s="36" t="s">
        <v>219</v>
      </c>
      <c r="E225" s="35" t="s">
        <v>125</v>
      </c>
      <c r="F225" s="35" t="n">
        <v>1</v>
      </c>
      <c r="G225" s="35" t="s">
        <v>90</v>
      </c>
      <c r="H225" s="37" t="str">
        <f aca="false">ПАРАМЕТРЫ!B6&amp;"%"</f>
        <v>7%</v>
      </c>
      <c r="I225" s="38" t="n">
        <f aca="false">(I223+I224)*ПАРАМЕТРЫ!B6/100</f>
        <v>668.724</v>
      </c>
      <c r="J225" s="36" t="s">
        <v>11</v>
      </c>
    </row>
    <row r="226" customFormat="false" ht="15.75" hidden="false" customHeight="true" outlineLevel="0" collapsed="false">
      <c r="A226" s="39" t="s">
        <v>357</v>
      </c>
      <c r="B226" s="40" t="s">
        <v>127</v>
      </c>
      <c r="C226" s="40"/>
      <c r="D226" s="40" t="s">
        <v>219</v>
      </c>
      <c r="E226" s="39" t="s">
        <v>125</v>
      </c>
      <c r="F226" s="39" t="n">
        <v>1</v>
      </c>
      <c r="G226" s="39" t="s">
        <v>90</v>
      </c>
      <c r="H226" s="41" t="str">
        <f aca="false">ПАРАМЕТРЫ!B7&amp;"%"</f>
        <v>15%</v>
      </c>
      <c r="I226" s="42" t="n">
        <f aca="false">(I223+I224)*ПАРАМЕТРЫ!B7/100</f>
        <v>1432.98</v>
      </c>
      <c r="J226" s="40" t="s">
        <v>11</v>
      </c>
    </row>
    <row r="227" customFormat="false" ht="15.75" hidden="false" customHeight="true" outlineLevel="0" collapsed="false">
      <c r="A227" s="43" t="s">
        <v>358</v>
      </c>
      <c r="B227" s="44"/>
      <c r="C227" s="44"/>
      <c r="D227" s="44"/>
      <c r="E227" s="44"/>
      <c r="F227" s="44"/>
      <c r="G227" s="44"/>
      <c r="H227" s="44"/>
      <c r="I227" s="45" t="n">
        <f aca="false">I223+I224+I225+I226</f>
        <v>11654.904</v>
      </c>
      <c r="J227" s="44"/>
    </row>
    <row r="229" customFormat="false" ht="16.5" hidden="false" customHeight="true" outlineLevel="0" collapsed="false">
      <c r="A229" s="19" t="s">
        <v>359</v>
      </c>
      <c r="B229" s="20"/>
      <c r="C229" s="20"/>
      <c r="D229" s="20"/>
      <c r="E229" s="20"/>
      <c r="F229" s="20"/>
      <c r="G229" s="20"/>
      <c r="H229" s="20"/>
      <c r="I229" s="20"/>
      <c r="J229" s="20"/>
    </row>
    <row r="230" customFormat="false" ht="18" hidden="false" customHeight="true" outlineLevel="0" collapsed="false">
      <c r="A230" s="18" t="s">
        <v>360</v>
      </c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5.75" hidden="false" customHeight="true" outlineLevel="0" collapsed="false">
      <c r="A231" s="21" t="s">
        <v>361</v>
      </c>
      <c r="B231" s="22" t="s">
        <v>151</v>
      </c>
      <c r="C231" s="22" t="s">
        <v>87</v>
      </c>
      <c r="D231" s="22" t="s">
        <v>362</v>
      </c>
      <c r="E231" s="21" t="s">
        <v>89</v>
      </c>
      <c r="F231" s="21" t="n">
        <v>1</v>
      </c>
      <c r="G231" s="21" t="s">
        <v>90</v>
      </c>
      <c r="H231" s="21" t="s">
        <v>90</v>
      </c>
      <c r="I231" s="23" t="n">
        <v>0</v>
      </c>
      <c r="J231" s="22" t="s">
        <v>91</v>
      </c>
    </row>
    <row r="232" customFormat="false" ht="15.75" hidden="false" customHeight="true" outlineLevel="0" collapsed="false">
      <c r="A232" s="24" t="s">
        <v>363</v>
      </c>
      <c r="B232" s="25" t="s">
        <v>153</v>
      </c>
      <c r="C232" s="25" t="s">
        <v>154</v>
      </c>
      <c r="D232" s="25" t="s">
        <v>362</v>
      </c>
      <c r="E232" s="24" t="s">
        <v>89</v>
      </c>
      <c r="F232" s="26" t="n">
        <v>1</v>
      </c>
      <c r="G232" s="27" t="n">
        <f aca="false">ПАРАМЕТРЫ!B24</f>
        <v>7468</v>
      </c>
      <c r="H232" s="27" t="n">
        <f aca="false">ПАРАМЕТРЫ!D24</f>
        <v>4480.8</v>
      </c>
      <c r="I232" s="27" t="n">
        <f aca="false">F232*H232</f>
        <v>4480.8</v>
      </c>
      <c r="J232" s="25"/>
    </row>
    <row r="233" customFormat="false" ht="15.75" hidden="false" customHeight="true" outlineLevel="0" collapsed="false">
      <c r="A233" s="28" t="s">
        <v>364</v>
      </c>
      <c r="B233" s="29" t="s">
        <v>135</v>
      </c>
      <c r="C233" s="29" t="s">
        <v>136</v>
      </c>
      <c r="D233" s="29" t="s">
        <v>362</v>
      </c>
      <c r="E233" s="28" t="s">
        <v>89</v>
      </c>
      <c r="F233" s="26" t="n">
        <v>14</v>
      </c>
      <c r="G233" s="30" t="n">
        <f aca="false">ПАРАМЕТРЫ!B12</f>
        <v>2818</v>
      </c>
      <c r="H233" s="30" t="n">
        <f aca="false">ПАРАМЕТРЫ!D12</f>
        <v>1690.8</v>
      </c>
      <c r="I233" s="30" t="n">
        <f aca="false">F233*H233</f>
        <v>23671.2</v>
      </c>
      <c r="J233" s="29"/>
    </row>
    <row r="234" customFormat="false" ht="15.75" hidden="false" customHeight="true" outlineLevel="0" collapsed="false">
      <c r="A234" s="24" t="s">
        <v>365</v>
      </c>
      <c r="B234" s="25" t="s">
        <v>157</v>
      </c>
      <c r="C234" s="25" t="s">
        <v>158</v>
      </c>
      <c r="D234" s="25" t="s">
        <v>362</v>
      </c>
      <c r="E234" s="24" t="s">
        <v>89</v>
      </c>
      <c r="F234" s="26" t="n">
        <v>2</v>
      </c>
      <c r="G234" s="27" t="n">
        <f aca="false">ПАРАМЕТРЫ!B21</f>
        <v>13008</v>
      </c>
      <c r="H234" s="27" t="n">
        <f aca="false">ПАРАМЕТРЫ!D21</f>
        <v>7804.8</v>
      </c>
      <c r="I234" s="27" t="n">
        <f aca="false">F234*H234</f>
        <v>15609.6</v>
      </c>
      <c r="J234" s="25"/>
    </row>
    <row r="235" customFormat="false" ht="15.75" hidden="false" customHeight="true" outlineLevel="0" collapsed="false">
      <c r="A235" s="28" t="s">
        <v>366</v>
      </c>
      <c r="B235" s="29" t="s">
        <v>139</v>
      </c>
      <c r="C235" s="29" t="s">
        <v>140</v>
      </c>
      <c r="D235" s="29" t="s">
        <v>362</v>
      </c>
      <c r="E235" s="28" t="s">
        <v>89</v>
      </c>
      <c r="F235" s="26" t="n">
        <v>2</v>
      </c>
      <c r="G235" s="30" t="n">
        <f aca="false">ПАРАМЕТРЫ!B30</f>
        <v>5214</v>
      </c>
      <c r="H235" s="30" t="n">
        <f aca="false">ПАРАМЕТРЫ!D30</f>
        <v>3128.4</v>
      </c>
      <c r="I235" s="30" t="n">
        <f aca="false">F235*H235</f>
        <v>6256.8</v>
      </c>
      <c r="J235" s="29"/>
    </row>
    <row r="236" customFormat="false" ht="15.75" hidden="false" customHeight="true" outlineLevel="0" collapsed="false">
      <c r="A236" s="24" t="s">
        <v>367</v>
      </c>
      <c r="B236" s="25" t="s">
        <v>225</v>
      </c>
      <c r="C236" s="25" t="s">
        <v>90</v>
      </c>
      <c r="D236" s="25" t="s">
        <v>362</v>
      </c>
      <c r="E236" s="24" t="s">
        <v>89</v>
      </c>
      <c r="F236" s="26" t="n">
        <v>2</v>
      </c>
      <c r="G236" s="27" t="s">
        <v>90</v>
      </c>
      <c r="H236" s="27" t="s">
        <v>90</v>
      </c>
      <c r="I236" s="27" t="n">
        <v>0</v>
      </c>
      <c r="J236" s="25"/>
    </row>
    <row r="237" customFormat="false" ht="15.75" hidden="false" customHeight="true" outlineLevel="0" collapsed="false">
      <c r="A237" s="35" t="s">
        <v>368</v>
      </c>
      <c r="B237" s="36" t="s">
        <v>124</v>
      </c>
      <c r="C237" s="36"/>
      <c r="D237" s="36" t="s">
        <v>362</v>
      </c>
      <c r="E237" s="35" t="s">
        <v>125</v>
      </c>
      <c r="F237" s="35" t="n">
        <v>1</v>
      </c>
      <c r="G237" s="35" t="s">
        <v>90</v>
      </c>
      <c r="H237" s="37" t="str">
        <f aca="false">ПАРАМЕТРЫ!B6&amp;"%"</f>
        <v>7%</v>
      </c>
      <c r="I237" s="38" t="n">
        <f aca="false">(I232+I233+I234+I235)*ПАРАМЕТРЫ!B6/100</f>
        <v>3501.288</v>
      </c>
      <c r="J237" s="36" t="s">
        <v>11</v>
      </c>
    </row>
    <row r="238" customFormat="false" ht="15.75" hidden="false" customHeight="true" outlineLevel="0" collapsed="false">
      <c r="A238" s="39" t="s">
        <v>369</v>
      </c>
      <c r="B238" s="40" t="s">
        <v>127</v>
      </c>
      <c r="C238" s="40"/>
      <c r="D238" s="40" t="s">
        <v>362</v>
      </c>
      <c r="E238" s="39" t="s">
        <v>125</v>
      </c>
      <c r="F238" s="39" t="n">
        <v>1</v>
      </c>
      <c r="G238" s="39" t="s">
        <v>90</v>
      </c>
      <c r="H238" s="41" t="str">
        <f aca="false">ПАРАМЕТРЫ!B7&amp;"%"</f>
        <v>15%</v>
      </c>
      <c r="I238" s="42" t="n">
        <f aca="false">(I232+I233+I234+I235)*ПАРАМЕТРЫ!B7/100</f>
        <v>7502.76</v>
      </c>
      <c r="J238" s="40" t="s">
        <v>11</v>
      </c>
    </row>
    <row r="239" customFormat="false" ht="15.75" hidden="false" customHeight="true" outlineLevel="0" collapsed="false">
      <c r="A239" s="43" t="s">
        <v>370</v>
      </c>
      <c r="B239" s="44"/>
      <c r="C239" s="44"/>
      <c r="D239" s="44"/>
      <c r="E239" s="44"/>
      <c r="F239" s="44"/>
      <c r="G239" s="44"/>
      <c r="H239" s="44"/>
      <c r="I239" s="45" t="n">
        <f aca="false">I232+I233+I234+I235+I237+I238</f>
        <v>61022.448</v>
      </c>
      <c r="J239" s="44"/>
    </row>
    <row r="241" customFormat="false" ht="18" hidden="false" customHeight="true" outlineLevel="0" collapsed="false">
      <c r="A241" s="18" t="s">
        <v>371</v>
      </c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5.75" hidden="false" customHeight="true" outlineLevel="0" collapsed="false">
      <c r="A242" s="21" t="s">
        <v>372</v>
      </c>
      <c r="B242" s="22" t="s">
        <v>151</v>
      </c>
      <c r="C242" s="22" t="s">
        <v>87</v>
      </c>
      <c r="D242" s="22" t="s">
        <v>362</v>
      </c>
      <c r="E242" s="21" t="s">
        <v>89</v>
      </c>
      <c r="F242" s="21" t="n">
        <v>1</v>
      </c>
      <c r="G242" s="21" t="s">
        <v>90</v>
      </c>
      <c r="H242" s="21" t="s">
        <v>90</v>
      </c>
      <c r="I242" s="23" t="n">
        <v>0</v>
      </c>
      <c r="J242" s="22" t="s">
        <v>91</v>
      </c>
    </row>
    <row r="243" customFormat="false" ht="15.75" hidden="false" customHeight="true" outlineLevel="0" collapsed="false">
      <c r="A243" s="24" t="s">
        <v>373</v>
      </c>
      <c r="B243" s="25" t="s">
        <v>153</v>
      </c>
      <c r="C243" s="25" t="s">
        <v>154</v>
      </c>
      <c r="D243" s="25" t="s">
        <v>362</v>
      </c>
      <c r="E243" s="24" t="s">
        <v>89</v>
      </c>
      <c r="F243" s="26" t="n">
        <v>1</v>
      </c>
      <c r="G243" s="27" t="n">
        <f aca="false">ПАРАМЕТРЫ!B24</f>
        <v>7468</v>
      </c>
      <c r="H243" s="27" t="n">
        <f aca="false">ПАРАМЕТРЫ!D24</f>
        <v>4480.8</v>
      </c>
      <c r="I243" s="27" t="n">
        <f aca="false">F243*H243</f>
        <v>4480.8</v>
      </c>
      <c r="J243" s="25"/>
    </row>
    <row r="244" customFormat="false" ht="15.75" hidden="false" customHeight="true" outlineLevel="0" collapsed="false">
      <c r="A244" s="28" t="s">
        <v>374</v>
      </c>
      <c r="B244" s="29" t="s">
        <v>135</v>
      </c>
      <c r="C244" s="29" t="s">
        <v>136</v>
      </c>
      <c r="D244" s="29" t="s">
        <v>362</v>
      </c>
      <c r="E244" s="28" t="s">
        <v>89</v>
      </c>
      <c r="F244" s="26" t="n">
        <v>14</v>
      </c>
      <c r="G244" s="30" t="n">
        <f aca="false">ПАРАМЕТРЫ!B12</f>
        <v>2818</v>
      </c>
      <c r="H244" s="30" t="n">
        <f aca="false">ПАРАМЕТРЫ!D12</f>
        <v>1690.8</v>
      </c>
      <c r="I244" s="30" t="n">
        <f aca="false">F244*H244</f>
        <v>23671.2</v>
      </c>
      <c r="J244" s="29"/>
    </row>
    <row r="245" customFormat="false" ht="15.75" hidden="false" customHeight="true" outlineLevel="0" collapsed="false">
      <c r="A245" s="24" t="s">
        <v>375</v>
      </c>
      <c r="B245" s="25" t="s">
        <v>157</v>
      </c>
      <c r="C245" s="25" t="s">
        <v>158</v>
      </c>
      <c r="D245" s="25" t="s">
        <v>362</v>
      </c>
      <c r="E245" s="24" t="s">
        <v>89</v>
      </c>
      <c r="F245" s="26" t="n">
        <v>2</v>
      </c>
      <c r="G245" s="27" t="n">
        <f aca="false">ПАРАМЕТРЫ!B21</f>
        <v>13008</v>
      </c>
      <c r="H245" s="27" t="n">
        <f aca="false">ПАРАМЕТРЫ!D21</f>
        <v>7804.8</v>
      </c>
      <c r="I245" s="27" t="n">
        <f aca="false">F245*H245</f>
        <v>15609.6</v>
      </c>
      <c r="J245" s="25"/>
    </row>
    <row r="246" customFormat="false" ht="15.75" hidden="false" customHeight="true" outlineLevel="0" collapsed="false">
      <c r="A246" s="28" t="s">
        <v>376</v>
      </c>
      <c r="B246" s="29" t="s">
        <v>139</v>
      </c>
      <c r="C246" s="29" t="s">
        <v>140</v>
      </c>
      <c r="D246" s="29" t="s">
        <v>362</v>
      </c>
      <c r="E246" s="28" t="s">
        <v>89</v>
      </c>
      <c r="F246" s="26" t="n">
        <v>2</v>
      </c>
      <c r="G246" s="30" t="n">
        <f aca="false">ПАРАМЕТРЫ!B30</f>
        <v>5214</v>
      </c>
      <c r="H246" s="30" t="n">
        <f aca="false">ПАРАМЕТРЫ!D30</f>
        <v>3128.4</v>
      </c>
      <c r="I246" s="30" t="n">
        <f aca="false">F246*H246</f>
        <v>6256.8</v>
      </c>
      <c r="J246" s="29"/>
    </row>
    <row r="247" customFormat="false" ht="15.75" hidden="false" customHeight="true" outlineLevel="0" collapsed="false">
      <c r="A247" s="24" t="s">
        <v>377</v>
      </c>
      <c r="B247" s="25" t="s">
        <v>225</v>
      </c>
      <c r="C247" s="25" t="s">
        <v>90</v>
      </c>
      <c r="D247" s="25" t="s">
        <v>362</v>
      </c>
      <c r="E247" s="24" t="s">
        <v>89</v>
      </c>
      <c r="F247" s="26" t="n">
        <v>2</v>
      </c>
      <c r="G247" s="27" t="s">
        <v>90</v>
      </c>
      <c r="H247" s="27" t="s">
        <v>90</v>
      </c>
      <c r="I247" s="27" t="n">
        <v>0</v>
      </c>
      <c r="J247" s="25"/>
    </row>
    <row r="248" customFormat="false" ht="15.75" hidden="false" customHeight="true" outlineLevel="0" collapsed="false">
      <c r="A248" s="35" t="s">
        <v>378</v>
      </c>
      <c r="B248" s="36" t="s">
        <v>124</v>
      </c>
      <c r="C248" s="36"/>
      <c r="D248" s="36" t="s">
        <v>362</v>
      </c>
      <c r="E248" s="35" t="s">
        <v>125</v>
      </c>
      <c r="F248" s="35" t="n">
        <v>1</v>
      </c>
      <c r="G248" s="35" t="s">
        <v>90</v>
      </c>
      <c r="H248" s="37" t="str">
        <f aca="false">ПАРАМЕТРЫ!B6&amp;"%"</f>
        <v>7%</v>
      </c>
      <c r="I248" s="38" t="n">
        <f aca="false">(I243+I244+I245+I246)*ПАРАМЕТРЫ!B6/100</f>
        <v>3501.288</v>
      </c>
      <c r="J248" s="36" t="s">
        <v>11</v>
      </c>
    </row>
    <row r="249" customFormat="false" ht="15.75" hidden="false" customHeight="true" outlineLevel="0" collapsed="false">
      <c r="A249" s="39" t="s">
        <v>379</v>
      </c>
      <c r="B249" s="40" t="s">
        <v>127</v>
      </c>
      <c r="C249" s="40"/>
      <c r="D249" s="40" t="s">
        <v>362</v>
      </c>
      <c r="E249" s="39" t="s">
        <v>125</v>
      </c>
      <c r="F249" s="39" t="n">
        <v>1</v>
      </c>
      <c r="G249" s="39" t="s">
        <v>90</v>
      </c>
      <c r="H249" s="41" t="str">
        <f aca="false">ПАРАМЕТРЫ!B7&amp;"%"</f>
        <v>15%</v>
      </c>
      <c r="I249" s="42" t="n">
        <f aca="false">(I243+I244+I245+I246)*ПАРАМЕТРЫ!B7/100</f>
        <v>7502.76</v>
      </c>
      <c r="J249" s="40" t="s">
        <v>11</v>
      </c>
    </row>
    <row r="250" customFormat="false" ht="15.75" hidden="false" customHeight="true" outlineLevel="0" collapsed="false">
      <c r="A250" s="43" t="s">
        <v>380</v>
      </c>
      <c r="B250" s="44"/>
      <c r="C250" s="44"/>
      <c r="D250" s="44"/>
      <c r="E250" s="44"/>
      <c r="F250" s="44"/>
      <c r="G250" s="44"/>
      <c r="H250" s="44"/>
      <c r="I250" s="45" t="n">
        <f aca="false">I243+I244+I245+I246+I248+I249</f>
        <v>61022.448</v>
      </c>
      <c r="J250" s="44"/>
    </row>
    <row r="252" customFormat="false" ht="18" hidden="false" customHeight="true" outlineLevel="0" collapsed="false">
      <c r="A252" s="18" t="s">
        <v>381</v>
      </c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5.75" hidden="false" customHeight="true" outlineLevel="0" collapsed="false">
      <c r="A253" s="21" t="s">
        <v>382</v>
      </c>
      <c r="B253" s="22" t="s">
        <v>195</v>
      </c>
      <c r="C253" s="22" t="s">
        <v>87</v>
      </c>
      <c r="D253" s="22" t="s">
        <v>362</v>
      </c>
      <c r="E253" s="21" t="s">
        <v>89</v>
      </c>
      <c r="F253" s="21" t="n">
        <v>1</v>
      </c>
      <c r="G253" s="21" t="s">
        <v>90</v>
      </c>
      <c r="H253" s="21" t="s">
        <v>90</v>
      </c>
      <c r="I253" s="23" t="n">
        <v>0</v>
      </c>
      <c r="J253" s="22" t="s">
        <v>91</v>
      </c>
    </row>
    <row r="254" customFormat="false" ht="15.75" hidden="false" customHeight="true" outlineLevel="0" collapsed="false">
      <c r="A254" s="24" t="s">
        <v>383</v>
      </c>
      <c r="B254" s="25" t="s">
        <v>153</v>
      </c>
      <c r="C254" s="25" t="s">
        <v>154</v>
      </c>
      <c r="D254" s="25" t="s">
        <v>362</v>
      </c>
      <c r="E254" s="24" t="s">
        <v>89</v>
      </c>
      <c r="F254" s="26" t="n">
        <v>1</v>
      </c>
      <c r="G254" s="27" t="n">
        <f aca="false">ПАРАМЕТРЫ!B24</f>
        <v>7468</v>
      </c>
      <c r="H254" s="27" t="n">
        <f aca="false">ПАРАМЕТРЫ!D24</f>
        <v>4480.8</v>
      </c>
      <c r="I254" s="27" t="n">
        <f aca="false">F254*H254</f>
        <v>4480.8</v>
      </c>
      <c r="J254" s="25"/>
    </row>
    <row r="255" customFormat="false" ht="15.75" hidden="false" customHeight="true" outlineLevel="0" collapsed="false">
      <c r="A255" s="28" t="s">
        <v>384</v>
      </c>
      <c r="B255" s="29" t="s">
        <v>135</v>
      </c>
      <c r="C255" s="29" t="s">
        <v>136</v>
      </c>
      <c r="D255" s="29" t="s">
        <v>362</v>
      </c>
      <c r="E255" s="28" t="s">
        <v>89</v>
      </c>
      <c r="F255" s="26" t="n">
        <v>8</v>
      </c>
      <c r="G255" s="30" t="n">
        <f aca="false">ПАРАМЕТРЫ!B12</f>
        <v>2818</v>
      </c>
      <c r="H255" s="30" t="n">
        <f aca="false">ПАРАМЕТРЫ!D12</f>
        <v>1690.8</v>
      </c>
      <c r="I255" s="30" t="n">
        <f aca="false">F255*H255</f>
        <v>13526.4</v>
      </c>
      <c r="J255" s="29"/>
    </row>
    <row r="256" customFormat="false" ht="15.75" hidden="false" customHeight="true" outlineLevel="0" collapsed="false">
      <c r="A256" s="24" t="s">
        <v>385</v>
      </c>
      <c r="B256" s="25" t="s">
        <v>157</v>
      </c>
      <c r="C256" s="25" t="s">
        <v>158</v>
      </c>
      <c r="D256" s="25" t="s">
        <v>362</v>
      </c>
      <c r="E256" s="24" t="s">
        <v>89</v>
      </c>
      <c r="F256" s="26" t="n">
        <v>2</v>
      </c>
      <c r="G256" s="27" t="n">
        <f aca="false">ПАРАМЕТРЫ!B21</f>
        <v>13008</v>
      </c>
      <c r="H256" s="27" t="n">
        <f aca="false">ПАРАМЕТРЫ!D21</f>
        <v>7804.8</v>
      </c>
      <c r="I256" s="27" t="n">
        <f aca="false">F256*H256</f>
        <v>15609.6</v>
      </c>
      <c r="J256" s="25"/>
    </row>
    <row r="257" customFormat="false" ht="15.75" hidden="false" customHeight="true" outlineLevel="0" collapsed="false">
      <c r="A257" s="28" t="s">
        <v>386</v>
      </c>
      <c r="B257" s="29" t="s">
        <v>139</v>
      </c>
      <c r="C257" s="29" t="s">
        <v>140</v>
      </c>
      <c r="D257" s="29" t="s">
        <v>362</v>
      </c>
      <c r="E257" s="28" t="s">
        <v>89</v>
      </c>
      <c r="F257" s="26" t="n">
        <v>2</v>
      </c>
      <c r="G257" s="30" t="n">
        <f aca="false">ПАРАМЕТРЫ!B30</f>
        <v>5214</v>
      </c>
      <c r="H257" s="30" t="n">
        <f aca="false">ПАРАМЕТРЫ!D30</f>
        <v>3128.4</v>
      </c>
      <c r="I257" s="30" t="n">
        <f aca="false">F257*H257</f>
        <v>6256.8</v>
      </c>
      <c r="J257" s="29"/>
    </row>
    <row r="258" customFormat="false" ht="15.75" hidden="false" customHeight="true" outlineLevel="0" collapsed="false">
      <c r="A258" s="24" t="s">
        <v>387</v>
      </c>
      <c r="B258" s="25" t="s">
        <v>225</v>
      </c>
      <c r="C258" s="25" t="s">
        <v>90</v>
      </c>
      <c r="D258" s="25" t="s">
        <v>362</v>
      </c>
      <c r="E258" s="24" t="s">
        <v>89</v>
      </c>
      <c r="F258" s="26" t="n">
        <v>2</v>
      </c>
      <c r="G258" s="27" t="s">
        <v>90</v>
      </c>
      <c r="H258" s="27" t="s">
        <v>90</v>
      </c>
      <c r="I258" s="27" t="n">
        <v>0</v>
      </c>
      <c r="J258" s="25"/>
    </row>
    <row r="259" customFormat="false" ht="15.75" hidden="false" customHeight="true" outlineLevel="0" collapsed="false">
      <c r="A259" s="35" t="s">
        <v>388</v>
      </c>
      <c r="B259" s="36" t="s">
        <v>124</v>
      </c>
      <c r="C259" s="36"/>
      <c r="D259" s="36" t="s">
        <v>362</v>
      </c>
      <c r="E259" s="35" t="s">
        <v>125</v>
      </c>
      <c r="F259" s="35" t="n">
        <v>1</v>
      </c>
      <c r="G259" s="35" t="s">
        <v>90</v>
      </c>
      <c r="H259" s="37" t="str">
        <f aca="false">ПАРАМЕТРЫ!B6&amp;"%"</f>
        <v>7%</v>
      </c>
      <c r="I259" s="38" t="n">
        <f aca="false">(I254+I255+I256+I257)*ПАРАМЕТРЫ!B6/100</f>
        <v>2791.152</v>
      </c>
      <c r="J259" s="36" t="s">
        <v>11</v>
      </c>
    </row>
    <row r="260" customFormat="false" ht="15.75" hidden="false" customHeight="true" outlineLevel="0" collapsed="false">
      <c r="A260" s="39" t="s">
        <v>389</v>
      </c>
      <c r="B260" s="40" t="s">
        <v>127</v>
      </c>
      <c r="C260" s="40"/>
      <c r="D260" s="40" t="s">
        <v>362</v>
      </c>
      <c r="E260" s="39" t="s">
        <v>125</v>
      </c>
      <c r="F260" s="39" t="n">
        <v>1</v>
      </c>
      <c r="G260" s="39" t="s">
        <v>90</v>
      </c>
      <c r="H260" s="41" t="str">
        <f aca="false">ПАРАМЕТРЫ!B7&amp;"%"</f>
        <v>15%</v>
      </c>
      <c r="I260" s="42" t="n">
        <f aca="false">(I254+I255+I256+I257)*ПАРАМЕТРЫ!B7/100</f>
        <v>5981.04</v>
      </c>
      <c r="J260" s="40" t="s">
        <v>11</v>
      </c>
    </row>
    <row r="261" customFormat="false" ht="15.75" hidden="false" customHeight="true" outlineLevel="0" collapsed="false">
      <c r="A261" s="43" t="s">
        <v>390</v>
      </c>
      <c r="B261" s="44"/>
      <c r="C261" s="44"/>
      <c r="D261" s="44"/>
      <c r="E261" s="44"/>
      <c r="F261" s="44"/>
      <c r="G261" s="44"/>
      <c r="H261" s="44"/>
      <c r="I261" s="45" t="n">
        <f aca="false">I254+I255+I256+I257+I259+I260</f>
        <v>48645.792</v>
      </c>
      <c r="J261" s="44"/>
    </row>
    <row r="263" customFormat="false" ht="18" hidden="false" customHeight="true" outlineLevel="0" collapsed="false">
      <c r="A263" s="18" t="s">
        <v>391</v>
      </c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5.75" hidden="false" customHeight="true" outlineLevel="0" collapsed="false">
      <c r="A264" s="21" t="s">
        <v>392</v>
      </c>
      <c r="B264" s="22" t="s">
        <v>195</v>
      </c>
      <c r="C264" s="22" t="s">
        <v>87</v>
      </c>
      <c r="D264" s="22" t="s">
        <v>362</v>
      </c>
      <c r="E264" s="21" t="s">
        <v>89</v>
      </c>
      <c r="F264" s="21" t="n">
        <v>1</v>
      </c>
      <c r="G264" s="21" t="s">
        <v>90</v>
      </c>
      <c r="H264" s="21" t="s">
        <v>90</v>
      </c>
      <c r="I264" s="23" t="n">
        <v>0</v>
      </c>
      <c r="J264" s="22" t="s">
        <v>91</v>
      </c>
    </row>
    <row r="265" customFormat="false" ht="15.75" hidden="false" customHeight="true" outlineLevel="0" collapsed="false">
      <c r="A265" s="24" t="s">
        <v>393</v>
      </c>
      <c r="B265" s="25" t="s">
        <v>153</v>
      </c>
      <c r="C265" s="25" t="s">
        <v>154</v>
      </c>
      <c r="D265" s="25" t="s">
        <v>362</v>
      </c>
      <c r="E265" s="24" t="s">
        <v>89</v>
      </c>
      <c r="F265" s="26" t="n">
        <v>1</v>
      </c>
      <c r="G265" s="27" t="n">
        <f aca="false">ПАРАМЕТРЫ!B24</f>
        <v>7468</v>
      </c>
      <c r="H265" s="27" t="n">
        <f aca="false">ПАРАМЕТРЫ!D24</f>
        <v>4480.8</v>
      </c>
      <c r="I265" s="27" t="n">
        <f aca="false">F265*H265</f>
        <v>4480.8</v>
      </c>
      <c r="J265" s="25"/>
    </row>
    <row r="266" customFormat="false" ht="15.75" hidden="false" customHeight="true" outlineLevel="0" collapsed="false">
      <c r="A266" s="28" t="s">
        <v>394</v>
      </c>
      <c r="B266" s="29" t="s">
        <v>135</v>
      </c>
      <c r="C266" s="29" t="s">
        <v>136</v>
      </c>
      <c r="D266" s="29" t="s">
        <v>362</v>
      </c>
      <c r="E266" s="28" t="s">
        <v>89</v>
      </c>
      <c r="F266" s="26" t="n">
        <v>8</v>
      </c>
      <c r="G266" s="30" t="n">
        <f aca="false">ПАРАМЕТРЫ!B12</f>
        <v>2818</v>
      </c>
      <c r="H266" s="30" t="n">
        <f aca="false">ПАРАМЕТРЫ!D12</f>
        <v>1690.8</v>
      </c>
      <c r="I266" s="30" t="n">
        <f aca="false">F266*H266</f>
        <v>13526.4</v>
      </c>
      <c r="J266" s="29"/>
    </row>
    <row r="267" customFormat="false" ht="15.75" hidden="false" customHeight="true" outlineLevel="0" collapsed="false">
      <c r="A267" s="24" t="s">
        <v>395</v>
      </c>
      <c r="B267" s="25" t="s">
        <v>157</v>
      </c>
      <c r="C267" s="25" t="s">
        <v>158</v>
      </c>
      <c r="D267" s="25" t="s">
        <v>362</v>
      </c>
      <c r="E267" s="24" t="s">
        <v>89</v>
      </c>
      <c r="F267" s="26" t="n">
        <v>2</v>
      </c>
      <c r="G267" s="27" t="n">
        <f aca="false">ПАРАМЕТРЫ!B21</f>
        <v>13008</v>
      </c>
      <c r="H267" s="27" t="n">
        <f aca="false">ПАРАМЕТРЫ!D21</f>
        <v>7804.8</v>
      </c>
      <c r="I267" s="27" t="n">
        <f aca="false">F267*H267</f>
        <v>15609.6</v>
      </c>
      <c r="J267" s="25"/>
    </row>
    <row r="268" customFormat="false" ht="15.75" hidden="false" customHeight="true" outlineLevel="0" collapsed="false">
      <c r="A268" s="28" t="s">
        <v>396</v>
      </c>
      <c r="B268" s="29" t="s">
        <v>139</v>
      </c>
      <c r="C268" s="29" t="s">
        <v>140</v>
      </c>
      <c r="D268" s="29" t="s">
        <v>362</v>
      </c>
      <c r="E268" s="28" t="s">
        <v>89</v>
      </c>
      <c r="F268" s="26" t="n">
        <v>2</v>
      </c>
      <c r="G268" s="30" t="n">
        <f aca="false">ПАРАМЕТРЫ!B30</f>
        <v>5214</v>
      </c>
      <c r="H268" s="30" t="n">
        <f aca="false">ПАРАМЕТРЫ!D30</f>
        <v>3128.4</v>
      </c>
      <c r="I268" s="30" t="n">
        <f aca="false">F268*H268</f>
        <v>6256.8</v>
      </c>
      <c r="J268" s="29"/>
    </row>
    <row r="269" customFormat="false" ht="15.75" hidden="false" customHeight="true" outlineLevel="0" collapsed="false">
      <c r="A269" s="24" t="s">
        <v>397</v>
      </c>
      <c r="B269" s="25" t="s">
        <v>225</v>
      </c>
      <c r="C269" s="25" t="s">
        <v>90</v>
      </c>
      <c r="D269" s="25" t="s">
        <v>362</v>
      </c>
      <c r="E269" s="24" t="s">
        <v>89</v>
      </c>
      <c r="F269" s="26" t="n">
        <v>2</v>
      </c>
      <c r="G269" s="27" t="s">
        <v>90</v>
      </c>
      <c r="H269" s="27" t="s">
        <v>90</v>
      </c>
      <c r="I269" s="27" t="n">
        <v>0</v>
      </c>
      <c r="J269" s="25"/>
    </row>
    <row r="270" customFormat="false" ht="15.75" hidden="false" customHeight="true" outlineLevel="0" collapsed="false">
      <c r="A270" s="35" t="s">
        <v>398</v>
      </c>
      <c r="B270" s="36" t="s">
        <v>124</v>
      </c>
      <c r="C270" s="36"/>
      <c r="D270" s="36" t="s">
        <v>362</v>
      </c>
      <c r="E270" s="35" t="s">
        <v>125</v>
      </c>
      <c r="F270" s="35" t="n">
        <v>1</v>
      </c>
      <c r="G270" s="35" t="s">
        <v>90</v>
      </c>
      <c r="H270" s="37" t="str">
        <f aca="false">ПАРАМЕТРЫ!B6&amp;"%"</f>
        <v>7%</v>
      </c>
      <c r="I270" s="38" t="n">
        <f aca="false">(I265+I266+I267+I268)*ПАРАМЕТРЫ!B6/100</f>
        <v>2791.152</v>
      </c>
      <c r="J270" s="36" t="s">
        <v>11</v>
      </c>
    </row>
    <row r="271" customFormat="false" ht="15.75" hidden="false" customHeight="true" outlineLevel="0" collapsed="false">
      <c r="A271" s="39" t="s">
        <v>399</v>
      </c>
      <c r="B271" s="40" t="s">
        <v>127</v>
      </c>
      <c r="C271" s="40"/>
      <c r="D271" s="40" t="s">
        <v>362</v>
      </c>
      <c r="E271" s="39" t="s">
        <v>125</v>
      </c>
      <c r="F271" s="39" t="n">
        <v>1</v>
      </c>
      <c r="G271" s="39" t="s">
        <v>90</v>
      </c>
      <c r="H271" s="41" t="str">
        <f aca="false">ПАРАМЕТРЫ!B7&amp;"%"</f>
        <v>15%</v>
      </c>
      <c r="I271" s="42" t="n">
        <f aca="false">(I265+I266+I267+I268)*ПАРАМЕТРЫ!B7/100</f>
        <v>5981.04</v>
      </c>
      <c r="J271" s="40" t="s">
        <v>11</v>
      </c>
    </row>
    <row r="272" customFormat="false" ht="15.75" hidden="false" customHeight="true" outlineLevel="0" collapsed="false">
      <c r="A272" s="43" t="s">
        <v>400</v>
      </c>
      <c r="B272" s="44"/>
      <c r="C272" s="44"/>
      <c r="D272" s="44"/>
      <c r="E272" s="44"/>
      <c r="F272" s="44"/>
      <c r="G272" s="44"/>
      <c r="H272" s="44"/>
      <c r="I272" s="45" t="n">
        <f aca="false">I265+I266+I267+I268+I270+I271</f>
        <v>48645.792</v>
      </c>
      <c r="J272" s="44"/>
    </row>
    <row r="274" customFormat="false" ht="18" hidden="false" customHeight="true" outlineLevel="0" collapsed="false">
      <c r="A274" s="18" t="s">
        <v>401</v>
      </c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5.75" hidden="false" customHeight="true" outlineLevel="0" collapsed="false">
      <c r="A275" s="21" t="s">
        <v>402</v>
      </c>
      <c r="B275" s="22" t="s">
        <v>151</v>
      </c>
      <c r="C275" s="22" t="s">
        <v>87</v>
      </c>
      <c r="D275" s="22" t="s">
        <v>362</v>
      </c>
      <c r="E275" s="21" t="s">
        <v>89</v>
      </c>
      <c r="F275" s="21" t="n">
        <v>1</v>
      </c>
      <c r="G275" s="21" t="s">
        <v>90</v>
      </c>
      <c r="H275" s="21" t="s">
        <v>90</v>
      </c>
      <c r="I275" s="23" t="n">
        <v>0</v>
      </c>
      <c r="J275" s="22" t="s">
        <v>91</v>
      </c>
    </row>
    <row r="276" customFormat="false" ht="15.75" hidden="false" customHeight="true" outlineLevel="0" collapsed="false">
      <c r="A276" s="24" t="s">
        <v>403</v>
      </c>
      <c r="B276" s="25" t="s">
        <v>153</v>
      </c>
      <c r="C276" s="25" t="s">
        <v>154</v>
      </c>
      <c r="D276" s="25" t="s">
        <v>362</v>
      </c>
      <c r="E276" s="24" t="s">
        <v>89</v>
      </c>
      <c r="F276" s="26" t="n">
        <v>1</v>
      </c>
      <c r="G276" s="27" t="n">
        <f aca="false">ПАРАМЕТРЫ!B24</f>
        <v>7468</v>
      </c>
      <c r="H276" s="27" t="n">
        <f aca="false">ПАРАМЕТРЫ!D24</f>
        <v>4480.8</v>
      </c>
      <c r="I276" s="27" t="n">
        <f aca="false">F276*H276</f>
        <v>4480.8</v>
      </c>
      <c r="J276" s="25"/>
    </row>
    <row r="277" customFormat="false" ht="15.75" hidden="false" customHeight="true" outlineLevel="0" collapsed="false">
      <c r="A277" s="28" t="s">
        <v>404</v>
      </c>
      <c r="B277" s="29" t="s">
        <v>135</v>
      </c>
      <c r="C277" s="29" t="s">
        <v>136</v>
      </c>
      <c r="D277" s="29" t="s">
        <v>362</v>
      </c>
      <c r="E277" s="28" t="s">
        <v>89</v>
      </c>
      <c r="F277" s="26" t="n">
        <v>14</v>
      </c>
      <c r="G277" s="30" t="n">
        <f aca="false">ПАРАМЕТРЫ!B12</f>
        <v>2818</v>
      </c>
      <c r="H277" s="30" t="n">
        <f aca="false">ПАРАМЕТРЫ!D12</f>
        <v>1690.8</v>
      </c>
      <c r="I277" s="30" t="n">
        <f aca="false">F277*H277</f>
        <v>23671.2</v>
      </c>
      <c r="J277" s="29"/>
    </row>
    <row r="278" customFormat="false" ht="15.75" hidden="false" customHeight="true" outlineLevel="0" collapsed="false">
      <c r="A278" s="24" t="s">
        <v>405</v>
      </c>
      <c r="B278" s="25" t="s">
        <v>157</v>
      </c>
      <c r="C278" s="25" t="s">
        <v>158</v>
      </c>
      <c r="D278" s="25" t="s">
        <v>362</v>
      </c>
      <c r="E278" s="24" t="s">
        <v>89</v>
      </c>
      <c r="F278" s="26" t="n">
        <v>3</v>
      </c>
      <c r="G278" s="27" t="n">
        <f aca="false">ПАРАМЕТРЫ!B21</f>
        <v>13008</v>
      </c>
      <c r="H278" s="27" t="n">
        <f aca="false">ПАРАМЕТРЫ!D21</f>
        <v>7804.8</v>
      </c>
      <c r="I278" s="27" t="n">
        <f aca="false">F278*H278</f>
        <v>23414.4</v>
      </c>
      <c r="J278" s="25"/>
    </row>
    <row r="279" customFormat="false" ht="15.75" hidden="false" customHeight="true" outlineLevel="0" collapsed="false">
      <c r="A279" s="28" t="s">
        <v>406</v>
      </c>
      <c r="B279" s="29" t="s">
        <v>139</v>
      </c>
      <c r="C279" s="29" t="s">
        <v>140</v>
      </c>
      <c r="D279" s="29" t="s">
        <v>362</v>
      </c>
      <c r="E279" s="28" t="s">
        <v>89</v>
      </c>
      <c r="F279" s="26" t="n">
        <v>3</v>
      </c>
      <c r="G279" s="30" t="n">
        <f aca="false">ПАРАМЕТРЫ!B30</f>
        <v>5214</v>
      </c>
      <c r="H279" s="30" t="n">
        <f aca="false">ПАРАМЕТРЫ!D30</f>
        <v>3128.4</v>
      </c>
      <c r="I279" s="30" t="n">
        <f aca="false">F279*H279</f>
        <v>9385.2</v>
      </c>
      <c r="J279" s="29"/>
    </row>
    <row r="280" customFormat="false" ht="15.75" hidden="false" customHeight="true" outlineLevel="0" collapsed="false">
      <c r="A280" s="24" t="s">
        <v>407</v>
      </c>
      <c r="B280" s="25" t="s">
        <v>225</v>
      </c>
      <c r="C280" s="25" t="s">
        <v>90</v>
      </c>
      <c r="D280" s="25" t="s">
        <v>362</v>
      </c>
      <c r="E280" s="24" t="s">
        <v>89</v>
      </c>
      <c r="F280" s="26" t="n">
        <v>3</v>
      </c>
      <c r="G280" s="27" t="s">
        <v>90</v>
      </c>
      <c r="H280" s="27" t="s">
        <v>90</v>
      </c>
      <c r="I280" s="27" t="n">
        <v>0</v>
      </c>
      <c r="J280" s="25"/>
    </row>
    <row r="281" customFormat="false" ht="15.75" hidden="false" customHeight="true" outlineLevel="0" collapsed="false">
      <c r="A281" s="35" t="s">
        <v>408</v>
      </c>
      <c r="B281" s="36" t="s">
        <v>124</v>
      </c>
      <c r="C281" s="36"/>
      <c r="D281" s="36" t="s">
        <v>362</v>
      </c>
      <c r="E281" s="35" t="s">
        <v>125</v>
      </c>
      <c r="F281" s="35" t="n">
        <v>1</v>
      </c>
      <c r="G281" s="35" t="s">
        <v>90</v>
      </c>
      <c r="H281" s="37" t="str">
        <f aca="false">ПАРАМЕТРЫ!B6&amp;"%"</f>
        <v>7%</v>
      </c>
      <c r="I281" s="38" t="n">
        <f aca="false">(I276+I277+I278+I279)*ПАРАМЕТРЫ!B6/100</f>
        <v>4266.612</v>
      </c>
      <c r="J281" s="36" t="s">
        <v>11</v>
      </c>
    </row>
    <row r="282" customFormat="false" ht="15.75" hidden="false" customHeight="true" outlineLevel="0" collapsed="false">
      <c r="A282" s="39" t="s">
        <v>409</v>
      </c>
      <c r="B282" s="40" t="s">
        <v>127</v>
      </c>
      <c r="C282" s="40"/>
      <c r="D282" s="40" t="s">
        <v>362</v>
      </c>
      <c r="E282" s="39" t="s">
        <v>125</v>
      </c>
      <c r="F282" s="39" t="n">
        <v>1</v>
      </c>
      <c r="G282" s="39" t="s">
        <v>90</v>
      </c>
      <c r="H282" s="41" t="str">
        <f aca="false">ПАРАМЕТРЫ!B7&amp;"%"</f>
        <v>15%</v>
      </c>
      <c r="I282" s="42" t="n">
        <f aca="false">(I276+I277+I278+I279)*ПАРАМЕТРЫ!B7/100</f>
        <v>9142.74</v>
      </c>
      <c r="J282" s="40" t="s">
        <v>11</v>
      </c>
    </row>
    <row r="283" customFormat="false" ht="15.75" hidden="false" customHeight="true" outlineLevel="0" collapsed="false">
      <c r="A283" s="43" t="s">
        <v>410</v>
      </c>
      <c r="B283" s="44"/>
      <c r="C283" s="44"/>
      <c r="D283" s="44"/>
      <c r="E283" s="44"/>
      <c r="F283" s="44"/>
      <c r="G283" s="44"/>
      <c r="H283" s="44"/>
      <c r="I283" s="45" t="n">
        <f aca="false">I276+I277+I278+I279+I281+I282</f>
        <v>74360.952</v>
      </c>
      <c r="J283" s="44"/>
    </row>
    <row r="285" customFormat="false" ht="18" hidden="false" customHeight="true" outlineLevel="0" collapsed="false">
      <c r="A285" s="18" t="s">
        <v>411</v>
      </c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5.75" hidden="false" customHeight="true" outlineLevel="0" collapsed="false">
      <c r="A286" s="21" t="s">
        <v>412</v>
      </c>
      <c r="B286" s="22" t="s">
        <v>195</v>
      </c>
      <c r="C286" s="22" t="s">
        <v>87</v>
      </c>
      <c r="D286" s="22" t="s">
        <v>362</v>
      </c>
      <c r="E286" s="21" t="s">
        <v>89</v>
      </c>
      <c r="F286" s="21" t="n">
        <v>1</v>
      </c>
      <c r="G286" s="21" t="s">
        <v>90</v>
      </c>
      <c r="H286" s="21" t="s">
        <v>90</v>
      </c>
      <c r="I286" s="23" t="n">
        <v>0</v>
      </c>
      <c r="J286" s="22" t="s">
        <v>91</v>
      </c>
    </row>
    <row r="287" customFormat="false" ht="15.75" hidden="false" customHeight="true" outlineLevel="0" collapsed="false">
      <c r="A287" s="24" t="s">
        <v>413</v>
      </c>
      <c r="B287" s="25" t="s">
        <v>153</v>
      </c>
      <c r="C287" s="25" t="s">
        <v>154</v>
      </c>
      <c r="D287" s="25" t="s">
        <v>362</v>
      </c>
      <c r="E287" s="24" t="s">
        <v>89</v>
      </c>
      <c r="F287" s="26" t="n">
        <v>1</v>
      </c>
      <c r="G287" s="27" t="n">
        <f aca="false">ПАРАМЕТРЫ!B24</f>
        <v>7468</v>
      </c>
      <c r="H287" s="27" t="n">
        <f aca="false">ПАРАМЕТРЫ!D24</f>
        <v>4480.8</v>
      </c>
      <c r="I287" s="27" t="n">
        <f aca="false">F287*H287</f>
        <v>4480.8</v>
      </c>
      <c r="J287" s="25"/>
    </row>
    <row r="288" customFormat="false" ht="15.75" hidden="false" customHeight="true" outlineLevel="0" collapsed="false">
      <c r="A288" s="28" t="s">
        <v>414</v>
      </c>
      <c r="B288" s="29" t="s">
        <v>135</v>
      </c>
      <c r="C288" s="29" t="s">
        <v>136</v>
      </c>
      <c r="D288" s="29" t="s">
        <v>362</v>
      </c>
      <c r="E288" s="28" t="s">
        <v>89</v>
      </c>
      <c r="F288" s="26" t="n">
        <v>8</v>
      </c>
      <c r="G288" s="30" t="n">
        <f aca="false">ПАРАМЕТРЫ!B12</f>
        <v>2818</v>
      </c>
      <c r="H288" s="30" t="n">
        <f aca="false">ПАРАМЕТРЫ!D12</f>
        <v>1690.8</v>
      </c>
      <c r="I288" s="30" t="n">
        <f aca="false">F288*H288</f>
        <v>13526.4</v>
      </c>
      <c r="J288" s="29"/>
    </row>
    <row r="289" customFormat="false" ht="15.75" hidden="false" customHeight="true" outlineLevel="0" collapsed="false">
      <c r="A289" s="24" t="s">
        <v>415</v>
      </c>
      <c r="B289" s="25" t="s">
        <v>157</v>
      </c>
      <c r="C289" s="25" t="s">
        <v>158</v>
      </c>
      <c r="D289" s="25" t="s">
        <v>362</v>
      </c>
      <c r="E289" s="24" t="s">
        <v>89</v>
      </c>
      <c r="F289" s="26" t="n">
        <v>1</v>
      </c>
      <c r="G289" s="27" t="n">
        <f aca="false">ПАРАМЕТРЫ!B21</f>
        <v>13008</v>
      </c>
      <c r="H289" s="27" t="n">
        <f aca="false">ПАРАМЕТРЫ!D21</f>
        <v>7804.8</v>
      </c>
      <c r="I289" s="27" t="n">
        <f aca="false">F289*H289</f>
        <v>7804.8</v>
      </c>
      <c r="J289" s="25"/>
    </row>
    <row r="290" customFormat="false" ht="15.75" hidden="false" customHeight="true" outlineLevel="0" collapsed="false">
      <c r="A290" s="28" t="s">
        <v>416</v>
      </c>
      <c r="B290" s="29" t="s">
        <v>139</v>
      </c>
      <c r="C290" s="29" t="s">
        <v>140</v>
      </c>
      <c r="D290" s="29" t="s">
        <v>362</v>
      </c>
      <c r="E290" s="28" t="s">
        <v>89</v>
      </c>
      <c r="F290" s="26" t="n">
        <v>1</v>
      </c>
      <c r="G290" s="30" t="n">
        <f aca="false">ПАРАМЕТРЫ!B30</f>
        <v>5214</v>
      </c>
      <c r="H290" s="30" t="n">
        <f aca="false">ПАРАМЕТРЫ!D30</f>
        <v>3128.4</v>
      </c>
      <c r="I290" s="30" t="n">
        <f aca="false">F290*H290</f>
        <v>3128.4</v>
      </c>
      <c r="J290" s="29"/>
    </row>
    <row r="291" customFormat="false" ht="15.75" hidden="false" customHeight="true" outlineLevel="0" collapsed="false">
      <c r="A291" s="35" t="s">
        <v>417</v>
      </c>
      <c r="B291" s="36" t="s">
        <v>124</v>
      </c>
      <c r="C291" s="36"/>
      <c r="D291" s="36" t="s">
        <v>362</v>
      </c>
      <c r="E291" s="35" t="s">
        <v>125</v>
      </c>
      <c r="F291" s="35" t="n">
        <v>1</v>
      </c>
      <c r="G291" s="35" t="s">
        <v>90</v>
      </c>
      <c r="H291" s="37" t="str">
        <f aca="false">ПАРАМЕТРЫ!B6&amp;"%"</f>
        <v>7%</v>
      </c>
      <c r="I291" s="38" t="n">
        <f aca="false">(I287+I288+I289+I290)*ПАРАМЕТРЫ!B6/100</f>
        <v>2025.828</v>
      </c>
      <c r="J291" s="36" t="s">
        <v>11</v>
      </c>
    </row>
    <row r="292" customFormat="false" ht="15.75" hidden="false" customHeight="true" outlineLevel="0" collapsed="false">
      <c r="A292" s="39" t="s">
        <v>418</v>
      </c>
      <c r="B292" s="40" t="s">
        <v>127</v>
      </c>
      <c r="C292" s="40"/>
      <c r="D292" s="40" t="s">
        <v>362</v>
      </c>
      <c r="E292" s="39" t="s">
        <v>125</v>
      </c>
      <c r="F292" s="39" t="n">
        <v>1</v>
      </c>
      <c r="G292" s="39" t="s">
        <v>90</v>
      </c>
      <c r="H292" s="41" t="str">
        <f aca="false">ПАРАМЕТРЫ!B7&amp;"%"</f>
        <v>15%</v>
      </c>
      <c r="I292" s="42" t="n">
        <f aca="false">(I287+I288+I289+I290)*ПАРАМЕТРЫ!B7/100</f>
        <v>4341.06</v>
      </c>
      <c r="J292" s="40" t="s">
        <v>11</v>
      </c>
    </row>
    <row r="293" customFormat="false" ht="15.75" hidden="false" customHeight="true" outlineLevel="0" collapsed="false">
      <c r="A293" s="43" t="s">
        <v>419</v>
      </c>
      <c r="B293" s="44"/>
      <c r="C293" s="44"/>
      <c r="D293" s="44"/>
      <c r="E293" s="44"/>
      <c r="F293" s="44"/>
      <c r="G293" s="44"/>
      <c r="H293" s="44"/>
      <c r="I293" s="45" t="n">
        <f aca="false">I287+I288+I289+I290+I291+I292</f>
        <v>35307.288</v>
      </c>
      <c r="J293" s="44"/>
    </row>
    <row r="295" customFormat="false" ht="18" hidden="false" customHeight="true" outlineLevel="0" collapsed="false">
      <c r="A295" s="18" t="s">
        <v>420</v>
      </c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5.75" hidden="false" customHeight="true" outlineLevel="0" collapsed="false">
      <c r="A296" s="21" t="s">
        <v>421</v>
      </c>
      <c r="B296" s="22" t="s">
        <v>131</v>
      </c>
      <c r="C296" s="22" t="s">
        <v>87</v>
      </c>
      <c r="D296" s="22" t="s">
        <v>362</v>
      </c>
      <c r="E296" s="21" t="s">
        <v>89</v>
      </c>
      <c r="F296" s="21" t="n">
        <v>1</v>
      </c>
      <c r="G296" s="21" t="s">
        <v>90</v>
      </c>
      <c r="H296" s="21" t="s">
        <v>90</v>
      </c>
      <c r="I296" s="23" t="n">
        <v>0</v>
      </c>
      <c r="J296" s="22" t="s">
        <v>91</v>
      </c>
    </row>
    <row r="297" customFormat="false" ht="15.75" hidden="false" customHeight="true" outlineLevel="0" collapsed="false">
      <c r="A297" s="24" t="s">
        <v>422</v>
      </c>
      <c r="B297" s="25" t="s">
        <v>153</v>
      </c>
      <c r="C297" s="25" t="s">
        <v>154</v>
      </c>
      <c r="D297" s="25" t="s">
        <v>362</v>
      </c>
      <c r="E297" s="24" t="s">
        <v>89</v>
      </c>
      <c r="F297" s="26" t="n">
        <v>1</v>
      </c>
      <c r="G297" s="27" t="n">
        <f aca="false">ПАРАМЕТРЫ!B24</f>
        <v>7468</v>
      </c>
      <c r="H297" s="27" t="n">
        <f aca="false">ПАРАМЕТРЫ!D24</f>
        <v>4480.8</v>
      </c>
      <c r="I297" s="27" t="n">
        <f aca="false">F297*H297</f>
        <v>4480.8</v>
      </c>
      <c r="J297" s="25"/>
    </row>
    <row r="298" customFormat="false" ht="15.75" hidden="false" customHeight="true" outlineLevel="0" collapsed="false">
      <c r="A298" s="28" t="s">
        <v>423</v>
      </c>
      <c r="B298" s="29" t="s">
        <v>135</v>
      </c>
      <c r="C298" s="29" t="s">
        <v>136</v>
      </c>
      <c r="D298" s="29" t="s">
        <v>362</v>
      </c>
      <c r="E298" s="28" t="s">
        <v>89</v>
      </c>
      <c r="F298" s="26" t="n">
        <v>6</v>
      </c>
      <c r="G298" s="30" t="n">
        <f aca="false">ПАРАМЕТРЫ!B12</f>
        <v>2818</v>
      </c>
      <c r="H298" s="30" t="n">
        <f aca="false">ПАРАМЕТРЫ!D12</f>
        <v>1690.8</v>
      </c>
      <c r="I298" s="30" t="n">
        <f aca="false">F298*H298</f>
        <v>10144.8</v>
      </c>
      <c r="J298" s="29"/>
    </row>
    <row r="299" customFormat="false" ht="15.75" hidden="false" customHeight="true" outlineLevel="0" collapsed="false">
      <c r="A299" s="24" t="s">
        <v>424</v>
      </c>
      <c r="B299" s="25" t="s">
        <v>157</v>
      </c>
      <c r="C299" s="25" t="s">
        <v>158</v>
      </c>
      <c r="D299" s="25" t="s">
        <v>362</v>
      </c>
      <c r="E299" s="24" t="s">
        <v>89</v>
      </c>
      <c r="F299" s="26" t="n">
        <v>1</v>
      </c>
      <c r="G299" s="27" t="n">
        <f aca="false">ПАРАМЕТРЫ!B21</f>
        <v>13008</v>
      </c>
      <c r="H299" s="27" t="n">
        <f aca="false">ПАРАМЕТРЫ!D21</f>
        <v>7804.8</v>
      </c>
      <c r="I299" s="27" t="n">
        <f aca="false">F299*H299</f>
        <v>7804.8</v>
      </c>
      <c r="J299" s="25"/>
    </row>
    <row r="300" customFormat="false" ht="15.75" hidden="false" customHeight="true" outlineLevel="0" collapsed="false">
      <c r="A300" s="28" t="s">
        <v>425</v>
      </c>
      <c r="B300" s="29" t="s">
        <v>139</v>
      </c>
      <c r="C300" s="29" t="s">
        <v>140</v>
      </c>
      <c r="D300" s="29" t="s">
        <v>362</v>
      </c>
      <c r="E300" s="28" t="s">
        <v>89</v>
      </c>
      <c r="F300" s="26" t="n">
        <v>1</v>
      </c>
      <c r="G300" s="30" t="n">
        <f aca="false">ПАРАМЕТРЫ!B30</f>
        <v>5214</v>
      </c>
      <c r="H300" s="30" t="n">
        <f aca="false">ПАРАМЕТРЫ!D30</f>
        <v>3128.4</v>
      </c>
      <c r="I300" s="30" t="n">
        <f aca="false">F300*H300</f>
        <v>3128.4</v>
      </c>
      <c r="J300" s="29"/>
    </row>
    <row r="301" customFormat="false" ht="15.75" hidden="false" customHeight="true" outlineLevel="0" collapsed="false">
      <c r="A301" s="35" t="s">
        <v>426</v>
      </c>
      <c r="B301" s="36" t="s">
        <v>124</v>
      </c>
      <c r="C301" s="36"/>
      <c r="D301" s="36" t="s">
        <v>362</v>
      </c>
      <c r="E301" s="35" t="s">
        <v>125</v>
      </c>
      <c r="F301" s="35" t="n">
        <v>1</v>
      </c>
      <c r="G301" s="35" t="s">
        <v>90</v>
      </c>
      <c r="H301" s="37" t="str">
        <f aca="false">ПАРАМЕТРЫ!B6&amp;"%"</f>
        <v>7%</v>
      </c>
      <c r="I301" s="38" t="n">
        <f aca="false">(I297+I298+I299+I300)*ПАРАМЕТРЫ!B6/100</f>
        <v>1789.116</v>
      </c>
      <c r="J301" s="36" t="s">
        <v>11</v>
      </c>
    </row>
    <row r="302" customFormat="false" ht="15.75" hidden="false" customHeight="true" outlineLevel="0" collapsed="false">
      <c r="A302" s="39" t="s">
        <v>427</v>
      </c>
      <c r="B302" s="40" t="s">
        <v>127</v>
      </c>
      <c r="C302" s="40"/>
      <c r="D302" s="40" t="s">
        <v>362</v>
      </c>
      <c r="E302" s="39" t="s">
        <v>125</v>
      </c>
      <c r="F302" s="39" t="n">
        <v>1</v>
      </c>
      <c r="G302" s="39" t="s">
        <v>90</v>
      </c>
      <c r="H302" s="41" t="str">
        <f aca="false">ПАРАМЕТРЫ!B7&amp;"%"</f>
        <v>15%</v>
      </c>
      <c r="I302" s="42" t="n">
        <f aca="false">(I297+I298+I299+I300)*ПАРАМЕТРЫ!B7/100</f>
        <v>3833.82</v>
      </c>
      <c r="J302" s="40" t="s">
        <v>11</v>
      </c>
    </row>
    <row r="303" customFormat="false" ht="15.75" hidden="false" customHeight="true" outlineLevel="0" collapsed="false">
      <c r="A303" s="43" t="s">
        <v>428</v>
      </c>
      <c r="B303" s="44"/>
      <c r="C303" s="44"/>
      <c r="D303" s="44"/>
      <c r="E303" s="44"/>
      <c r="F303" s="44"/>
      <c r="G303" s="44"/>
      <c r="H303" s="44"/>
      <c r="I303" s="45" t="n">
        <f aca="false">I297+I298+I299+I300+I301+I302</f>
        <v>31181.736</v>
      </c>
      <c r="J303" s="44"/>
    </row>
    <row r="305" customFormat="false" ht="18" hidden="false" customHeight="true" outlineLevel="0" collapsed="false">
      <c r="A305" s="18" t="s">
        <v>429</v>
      </c>
      <c r="B305" s="2"/>
      <c r="C305" s="2"/>
      <c r="D305" s="2"/>
      <c r="E305" s="2"/>
      <c r="F305" s="2"/>
      <c r="G305" s="2"/>
      <c r="H305" s="2"/>
      <c r="I305" s="2"/>
      <c r="J305" s="2"/>
    </row>
    <row r="306" customFormat="false" ht="15.75" hidden="false" customHeight="true" outlineLevel="0" collapsed="false">
      <c r="A306" s="21" t="s">
        <v>430</v>
      </c>
      <c r="B306" s="22" t="s">
        <v>131</v>
      </c>
      <c r="C306" s="22" t="s">
        <v>87</v>
      </c>
      <c r="D306" s="22" t="s">
        <v>362</v>
      </c>
      <c r="E306" s="21" t="s">
        <v>89</v>
      </c>
      <c r="F306" s="21" t="n">
        <v>1</v>
      </c>
      <c r="G306" s="21" t="s">
        <v>90</v>
      </c>
      <c r="H306" s="21" t="s">
        <v>90</v>
      </c>
      <c r="I306" s="23" t="n">
        <v>0</v>
      </c>
      <c r="J306" s="22" t="s">
        <v>91</v>
      </c>
    </row>
    <row r="307" customFormat="false" ht="15.75" hidden="false" customHeight="true" outlineLevel="0" collapsed="false">
      <c r="A307" s="24" t="s">
        <v>431</v>
      </c>
      <c r="B307" s="25" t="s">
        <v>153</v>
      </c>
      <c r="C307" s="25" t="s">
        <v>154</v>
      </c>
      <c r="D307" s="25" t="s">
        <v>362</v>
      </c>
      <c r="E307" s="24" t="s">
        <v>89</v>
      </c>
      <c r="F307" s="26" t="n">
        <v>1</v>
      </c>
      <c r="G307" s="27" t="n">
        <f aca="false">ПАРАМЕТРЫ!B24</f>
        <v>7468</v>
      </c>
      <c r="H307" s="27" t="n">
        <f aca="false">ПАРАМЕТРЫ!D24</f>
        <v>4480.8</v>
      </c>
      <c r="I307" s="27" t="n">
        <f aca="false">F307*H307</f>
        <v>4480.8</v>
      </c>
      <c r="J307" s="25"/>
    </row>
    <row r="308" customFormat="false" ht="15.75" hidden="false" customHeight="true" outlineLevel="0" collapsed="false">
      <c r="A308" s="28" t="s">
        <v>432</v>
      </c>
      <c r="B308" s="29" t="s">
        <v>135</v>
      </c>
      <c r="C308" s="29" t="s">
        <v>136</v>
      </c>
      <c r="D308" s="29" t="s">
        <v>362</v>
      </c>
      <c r="E308" s="28" t="s">
        <v>89</v>
      </c>
      <c r="F308" s="26" t="n">
        <v>6</v>
      </c>
      <c r="G308" s="30" t="n">
        <f aca="false">ПАРАМЕТРЫ!B12</f>
        <v>2818</v>
      </c>
      <c r="H308" s="30" t="n">
        <f aca="false">ПАРАМЕТРЫ!D12</f>
        <v>1690.8</v>
      </c>
      <c r="I308" s="30" t="n">
        <f aca="false">F308*H308</f>
        <v>10144.8</v>
      </c>
      <c r="J308" s="29"/>
    </row>
    <row r="309" customFormat="false" ht="15.75" hidden="false" customHeight="true" outlineLevel="0" collapsed="false">
      <c r="A309" s="24" t="s">
        <v>433</v>
      </c>
      <c r="B309" s="25" t="s">
        <v>157</v>
      </c>
      <c r="C309" s="25" t="s">
        <v>158</v>
      </c>
      <c r="D309" s="25" t="s">
        <v>362</v>
      </c>
      <c r="E309" s="24" t="s">
        <v>89</v>
      </c>
      <c r="F309" s="26" t="n">
        <v>1</v>
      </c>
      <c r="G309" s="27" t="n">
        <f aca="false">ПАРАМЕТРЫ!B21</f>
        <v>13008</v>
      </c>
      <c r="H309" s="27" t="n">
        <f aca="false">ПАРАМЕТРЫ!D21</f>
        <v>7804.8</v>
      </c>
      <c r="I309" s="27" t="n">
        <f aca="false">F309*H309</f>
        <v>7804.8</v>
      </c>
      <c r="J309" s="25"/>
    </row>
    <row r="310" customFormat="false" ht="15.75" hidden="false" customHeight="true" outlineLevel="0" collapsed="false">
      <c r="A310" s="28" t="s">
        <v>434</v>
      </c>
      <c r="B310" s="29" t="s">
        <v>139</v>
      </c>
      <c r="C310" s="29" t="s">
        <v>140</v>
      </c>
      <c r="D310" s="29" t="s">
        <v>362</v>
      </c>
      <c r="E310" s="28" t="s">
        <v>89</v>
      </c>
      <c r="F310" s="26" t="n">
        <v>1</v>
      </c>
      <c r="G310" s="30" t="n">
        <f aca="false">ПАРАМЕТРЫ!B30</f>
        <v>5214</v>
      </c>
      <c r="H310" s="30" t="n">
        <f aca="false">ПАРАМЕТРЫ!D30</f>
        <v>3128.4</v>
      </c>
      <c r="I310" s="30" t="n">
        <f aca="false">F310*H310</f>
        <v>3128.4</v>
      </c>
      <c r="J310" s="29"/>
    </row>
    <row r="311" customFormat="false" ht="15.75" hidden="false" customHeight="true" outlineLevel="0" collapsed="false">
      <c r="A311" s="35" t="s">
        <v>435</v>
      </c>
      <c r="B311" s="36" t="s">
        <v>124</v>
      </c>
      <c r="C311" s="36"/>
      <c r="D311" s="36" t="s">
        <v>362</v>
      </c>
      <c r="E311" s="35" t="s">
        <v>125</v>
      </c>
      <c r="F311" s="35" t="n">
        <v>1</v>
      </c>
      <c r="G311" s="35" t="s">
        <v>90</v>
      </c>
      <c r="H311" s="37" t="str">
        <f aca="false">ПАРАМЕТРЫ!B6&amp;"%"</f>
        <v>7%</v>
      </c>
      <c r="I311" s="38" t="n">
        <f aca="false">(I307+I308+I309+I310)*ПАРАМЕТРЫ!B6/100</f>
        <v>1789.116</v>
      </c>
      <c r="J311" s="36" t="s">
        <v>11</v>
      </c>
    </row>
    <row r="312" customFormat="false" ht="15.75" hidden="false" customHeight="true" outlineLevel="0" collapsed="false">
      <c r="A312" s="39" t="s">
        <v>436</v>
      </c>
      <c r="B312" s="40" t="s">
        <v>127</v>
      </c>
      <c r="C312" s="40"/>
      <c r="D312" s="40" t="s">
        <v>362</v>
      </c>
      <c r="E312" s="39" t="s">
        <v>125</v>
      </c>
      <c r="F312" s="39" t="n">
        <v>1</v>
      </c>
      <c r="G312" s="39" t="s">
        <v>90</v>
      </c>
      <c r="H312" s="41" t="str">
        <f aca="false">ПАРАМЕТРЫ!B7&amp;"%"</f>
        <v>15%</v>
      </c>
      <c r="I312" s="42" t="n">
        <f aca="false">(I307+I308+I309+I310)*ПАРАМЕТРЫ!B7/100</f>
        <v>3833.82</v>
      </c>
      <c r="J312" s="40" t="s">
        <v>11</v>
      </c>
    </row>
    <row r="313" customFormat="false" ht="15.75" hidden="false" customHeight="true" outlineLevel="0" collapsed="false">
      <c r="A313" s="43" t="s">
        <v>437</v>
      </c>
      <c r="B313" s="44"/>
      <c r="C313" s="44"/>
      <c r="D313" s="44"/>
      <c r="E313" s="44"/>
      <c r="F313" s="44"/>
      <c r="G313" s="44"/>
      <c r="H313" s="44"/>
      <c r="I313" s="45" t="n">
        <f aca="false">I307+I308+I309+I310+I311+I312</f>
        <v>31181.736</v>
      </c>
      <c r="J313" s="44"/>
    </row>
    <row r="315" customFormat="false" ht="18" hidden="false" customHeight="true" outlineLevel="0" collapsed="false">
      <c r="A315" s="18" t="s">
        <v>438</v>
      </c>
      <c r="B315" s="2"/>
      <c r="C315" s="2"/>
      <c r="D315" s="2"/>
      <c r="E315" s="2"/>
      <c r="F315" s="2"/>
      <c r="G315" s="2"/>
      <c r="H315" s="2"/>
      <c r="I315" s="2"/>
      <c r="J315" s="2"/>
    </row>
    <row r="316" customFormat="false" ht="15.75" hidden="false" customHeight="true" outlineLevel="0" collapsed="false">
      <c r="A316" s="21" t="s">
        <v>439</v>
      </c>
      <c r="B316" s="22" t="s">
        <v>195</v>
      </c>
      <c r="C316" s="22" t="s">
        <v>87</v>
      </c>
      <c r="D316" s="22" t="s">
        <v>362</v>
      </c>
      <c r="E316" s="21" t="s">
        <v>89</v>
      </c>
      <c r="F316" s="21" t="n">
        <v>1</v>
      </c>
      <c r="G316" s="21" t="s">
        <v>90</v>
      </c>
      <c r="H316" s="21" t="s">
        <v>90</v>
      </c>
      <c r="I316" s="23" t="n">
        <v>0</v>
      </c>
      <c r="J316" s="22" t="s">
        <v>91</v>
      </c>
    </row>
    <row r="317" customFormat="false" ht="15.75" hidden="false" customHeight="true" outlineLevel="0" collapsed="false">
      <c r="A317" s="24" t="s">
        <v>440</v>
      </c>
      <c r="B317" s="25" t="s">
        <v>153</v>
      </c>
      <c r="C317" s="25" t="s">
        <v>154</v>
      </c>
      <c r="D317" s="25" t="s">
        <v>362</v>
      </c>
      <c r="E317" s="24" t="s">
        <v>89</v>
      </c>
      <c r="F317" s="26" t="n">
        <v>1</v>
      </c>
      <c r="G317" s="27" t="n">
        <f aca="false">ПАРАМЕТРЫ!B24</f>
        <v>7468</v>
      </c>
      <c r="H317" s="27" t="n">
        <f aca="false">ПАРАМЕТРЫ!D24</f>
        <v>4480.8</v>
      </c>
      <c r="I317" s="27" t="n">
        <f aca="false">F317*H317</f>
        <v>4480.8</v>
      </c>
      <c r="J317" s="25"/>
    </row>
    <row r="318" customFormat="false" ht="15.75" hidden="false" customHeight="true" outlineLevel="0" collapsed="false">
      <c r="A318" s="28" t="s">
        <v>441</v>
      </c>
      <c r="B318" s="29" t="s">
        <v>135</v>
      </c>
      <c r="C318" s="29" t="s">
        <v>136</v>
      </c>
      <c r="D318" s="29" t="s">
        <v>362</v>
      </c>
      <c r="E318" s="28" t="s">
        <v>89</v>
      </c>
      <c r="F318" s="26" t="n">
        <v>8</v>
      </c>
      <c r="G318" s="30" t="n">
        <f aca="false">ПАРАМЕТРЫ!B12</f>
        <v>2818</v>
      </c>
      <c r="H318" s="30" t="n">
        <f aca="false">ПАРАМЕТРЫ!D12</f>
        <v>1690.8</v>
      </c>
      <c r="I318" s="30" t="n">
        <f aca="false">F318*H318</f>
        <v>13526.4</v>
      </c>
      <c r="J318" s="29"/>
    </row>
    <row r="319" customFormat="false" ht="15.75" hidden="false" customHeight="true" outlineLevel="0" collapsed="false">
      <c r="A319" s="24" t="s">
        <v>442</v>
      </c>
      <c r="B319" s="25" t="s">
        <v>157</v>
      </c>
      <c r="C319" s="25" t="s">
        <v>158</v>
      </c>
      <c r="D319" s="25" t="s">
        <v>362</v>
      </c>
      <c r="E319" s="24" t="s">
        <v>89</v>
      </c>
      <c r="F319" s="26" t="n">
        <v>2</v>
      </c>
      <c r="G319" s="27" t="n">
        <f aca="false">ПАРАМЕТРЫ!B21</f>
        <v>13008</v>
      </c>
      <c r="H319" s="27" t="n">
        <f aca="false">ПАРАМЕТРЫ!D21</f>
        <v>7804.8</v>
      </c>
      <c r="I319" s="27" t="n">
        <f aca="false">F319*H319</f>
        <v>15609.6</v>
      </c>
      <c r="J319" s="25"/>
    </row>
    <row r="320" customFormat="false" ht="15.75" hidden="false" customHeight="true" outlineLevel="0" collapsed="false">
      <c r="A320" s="28" t="s">
        <v>443</v>
      </c>
      <c r="B320" s="29" t="s">
        <v>139</v>
      </c>
      <c r="C320" s="29" t="s">
        <v>140</v>
      </c>
      <c r="D320" s="29" t="s">
        <v>362</v>
      </c>
      <c r="E320" s="28" t="s">
        <v>89</v>
      </c>
      <c r="F320" s="26" t="n">
        <v>2</v>
      </c>
      <c r="G320" s="30" t="n">
        <f aca="false">ПАРАМЕТРЫ!B30</f>
        <v>5214</v>
      </c>
      <c r="H320" s="30" t="n">
        <f aca="false">ПАРАМЕТРЫ!D30</f>
        <v>3128.4</v>
      </c>
      <c r="I320" s="30" t="n">
        <f aca="false">F320*H320</f>
        <v>6256.8</v>
      </c>
      <c r="J320" s="29"/>
    </row>
    <row r="321" customFormat="false" ht="15.75" hidden="false" customHeight="true" outlineLevel="0" collapsed="false">
      <c r="A321" s="35" t="s">
        <v>444</v>
      </c>
      <c r="B321" s="36" t="s">
        <v>124</v>
      </c>
      <c r="C321" s="36"/>
      <c r="D321" s="36" t="s">
        <v>362</v>
      </c>
      <c r="E321" s="35" t="s">
        <v>125</v>
      </c>
      <c r="F321" s="35" t="n">
        <v>1</v>
      </c>
      <c r="G321" s="35" t="s">
        <v>90</v>
      </c>
      <c r="H321" s="37" t="str">
        <f aca="false">ПАРАМЕТРЫ!B6&amp;"%"</f>
        <v>7%</v>
      </c>
      <c r="I321" s="38" t="n">
        <f aca="false">(I317+I318+I319+I320)*ПАРАМЕТРЫ!B6/100</f>
        <v>2791.152</v>
      </c>
      <c r="J321" s="36" t="s">
        <v>11</v>
      </c>
    </row>
    <row r="322" customFormat="false" ht="15.75" hidden="false" customHeight="true" outlineLevel="0" collapsed="false">
      <c r="A322" s="39" t="s">
        <v>445</v>
      </c>
      <c r="B322" s="40" t="s">
        <v>127</v>
      </c>
      <c r="C322" s="40"/>
      <c r="D322" s="40" t="s">
        <v>362</v>
      </c>
      <c r="E322" s="39" t="s">
        <v>125</v>
      </c>
      <c r="F322" s="39" t="n">
        <v>1</v>
      </c>
      <c r="G322" s="39" t="s">
        <v>90</v>
      </c>
      <c r="H322" s="41" t="str">
        <f aca="false">ПАРАМЕТРЫ!B7&amp;"%"</f>
        <v>15%</v>
      </c>
      <c r="I322" s="42" t="n">
        <f aca="false">(I317+I318+I319+I320)*ПАРАМЕТРЫ!B7/100</f>
        <v>5981.04</v>
      </c>
      <c r="J322" s="40" t="s">
        <v>11</v>
      </c>
    </row>
    <row r="323" customFormat="false" ht="15.75" hidden="false" customHeight="true" outlineLevel="0" collapsed="false">
      <c r="A323" s="43" t="s">
        <v>446</v>
      </c>
      <c r="B323" s="44"/>
      <c r="C323" s="44"/>
      <c r="D323" s="44"/>
      <c r="E323" s="44"/>
      <c r="F323" s="44"/>
      <c r="G323" s="44"/>
      <c r="H323" s="44"/>
      <c r="I323" s="45" t="n">
        <f aca="false">I317+I318+I319+I320+I321+I322</f>
        <v>48645.792</v>
      </c>
      <c r="J323" s="44"/>
    </row>
    <row r="325" customFormat="false" ht="18" hidden="false" customHeight="true" outlineLevel="0" collapsed="false">
      <c r="A325" s="18" t="s">
        <v>447</v>
      </c>
      <c r="B325" s="2"/>
      <c r="C325" s="2"/>
      <c r="D325" s="2"/>
      <c r="E325" s="2"/>
      <c r="F325" s="2"/>
      <c r="G325" s="2"/>
      <c r="H325" s="2"/>
      <c r="I325" s="2"/>
      <c r="J325" s="2"/>
    </row>
    <row r="326" customFormat="false" ht="15.75" hidden="false" customHeight="true" outlineLevel="0" collapsed="false">
      <c r="A326" s="21" t="s">
        <v>448</v>
      </c>
      <c r="B326" s="22" t="s">
        <v>195</v>
      </c>
      <c r="C326" s="22" t="s">
        <v>87</v>
      </c>
      <c r="D326" s="22" t="s">
        <v>362</v>
      </c>
      <c r="E326" s="21" t="s">
        <v>89</v>
      </c>
      <c r="F326" s="21" t="n">
        <v>1</v>
      </c>
      <c r="G326" s="21" t="s">
        <v>90</v>
      </c>
      <c r="H326" s="21" t="s">
        <v>90</v>
      </c>
      <c r="I326" s="23" t="n">
        <v>0</v>
      </c>
      <c r="J326" s="22" t="s">
        <v>91</v>
      </c>
    </row>
    <row r="327" customFormat="false" ht="15.75" hidden="false" customHeight="true" outlineLevel="0" collapsed="false">
      <c r="A327" s="24" t="s">
        <v>449</v>
      </c>
      <c r="B327" s="25" t="s">
        <v>153</v>
      </c>
      <c r="C327" s="25" t="s">
        <v>154</v>
      </c>
      <c r="D327" s="25" t="s">
        <v>362</v>
      </c>
      <c r="E327" s="24" t="s">
        <v>89</v>
      </c>
      <c r="F327" s="26" t="n">
        <v>1</v>
      </c>
      <c r="G327" s="27" t="n">
        <f aca="false">ПАРАМЕТРЫ!B24</f>
        <v>7468</v>
      </c>
      <c r="H327" s="27" t="n">
        <f aca="false">ПАРАМЕТРЫ!D24</f>
        <v>4480.8</v>
      </c>
      <c r="I327" s="27" t="n">
        <f aca="false">F327*H327</f>
        <v>4480.8</v>
      </c>
      <c r="J327" s="25"/>
    </row>
    <row r="328" customFormat="false" ht="15.75" hidden="false" customHeight="true" outlineLevel="0" collapsed="false">
      <c r="A328" s="28" t="s">
        <v>450</v>
      </c>
      <c r="B328" s="29" t="s">
        <v>135</v>
      </c>
      <c r="C328" s="29" t="s">
        <v>136</v>
      </c>
      <c r="D328" s="29" t="s">
        <v>362</v>
      </c>
      <c r="E328" s="28" t="s">
        <v>89</v>
      </c>
      <c r="F328" s="26" t="n">
        <v>8</v>
      </c>
      <c r="G328" s="30" t="n">
        <f aca="false">ПАРАМЕТРЫ!B12</f>
        <v>2818</v>
      </c>
      <c r="H328" s="30" t="n">
        <f aca="false">ПАРАМЕТРЫ!D12</f>
        <v>1690.8</v>
      </c>
      <c r="I328" s="30" t="n">
        <f aca="false">F328*H328</f>
        <v>13526.4</v>
      </c>
      <c r="J328" s="29"/>
    </row>
    <row r="329" customFormat="false" ht="15.75" hidden="false" customHeight="true" outlineLevel="0" collapsed="false">
      <c r="A329" s="24" t="s">
        <v>451</v>
      </c>
      <c r="B329" s="25" t="s">
        <v>157</v>
      </c>
      <c r="C329" s="25" t="s">
        <v>158</v>
      </c>
      <c r="D329" s="25" t="s">
        <v>362</v>
      </c>
      <c r="E329" s="24" t="s">
        <v>89</v>
      </c>
      <c r="F329" s="26" t="n">
        <v>2</v>
      </c>
      <c r="G329" s="27" t="n">
        <f aca="false">ПАРАМЕТРЫ!B21</f>
        <v>13008</v>
      </c>
      <c r="H329" s="27" t="n">
        <f aca="false">ПАРАМЕТРЫ!D21</f>
        <v>7804.8</v>
      </c>
      <c r="I329" s="27" t="n">
        <f aca="false">F329*H329</f>
        <v>15609.6</v>
      </c>
      <c r="J329" s="25"/>
    </row>
    <row r="330" customFormat="false" ht="15.75" hidden="false" customHeight="true" outlineLevel="0" collapsed="false">
      <c r="A330" s="28" t="s">
        <v>452</v>
      </c>
      <c r="B330" s="29" t="s">
        <v>139</v>
      </c>
      <c r="C330" s="29" t="s">
        <v>140</v>
      </c>
      <c r="D330" s="29" t="s">
        <v>362</v>
      </c>
      <c r="E330" s="28" t="s">
        <v>89</v>
      </c>
      <c r="F330" s="26" t="n">
        <v>2</v>
      </c>
      <c r="G330" s="30" t="n">
        <f aca="false">ПАРАМЕТРЫ!B30</f>
        <v>5214</v>
      </c>
      <c r="H330" s="30" t="n">
        <f aca="false">ПАРАМЕТРЫ!D30</f>
        <v>3128.4</v>
      </c>
      <c r="I330" s="30" t="n">
        <f aca="false">F330*H330</f>
        <v>6256.8</v>
      </c>
      <c r="J330" s="29"/>
    </row>
    <row r="331" customFormat="false" ht="15.75" hidden="false" customHeight="true" outlineLevel="0" collapsed="false">
      <c r="A331" s="35" t="s">
        <v>453</v>
      </c>
      <c r="B331" s="36" t="s">
        <v>124</v>
      </c>
      <c r="C331" s="36"/>
      <c r="D331" s="36" t="s">
        <v>362</v>
      </c>
      <c r="E331" s="35" t="s">
        <v>125</v>
      </c>
      <c r="F331" s="35" t="n">
        <v>1</v>
      </c>
      <c r="G331" s="35" t="s">
        <v>90</v>
      </c>
      <c r="H331" s="37" t="str">
        <f aca="false">ПАРАМЕТРЫ!B6&amp;"%"</f>
        <v>7%</v>
      </c>
      <c r="I331" s="38" t="n">
        <f aca="false">(I327+I328+I329+I330)*ПАРАМЕТРЫ!B6/100</f>
        <v>2791.152</v>
      </c>
      <c r="J331" s="36" t="s">
        <v>11</v>
      </c>
    </row>
    <row r="332" customFormat="false" ht="15.75" hidden="false" customHeight="true" outlineLevel="0" collapsed="false">
      <c r="A332" s="39" t="s">
        <v>454</v>
      </c>
      <c r="B332" s="40" t="s">
        <v>127</v>
      </c>
      <c r="C332" s="40"/>
      <c r="D332" s="40" t="s">
        <v>362</v>
      </c>
      <c r="E332" s="39" t="s">
        <v>125</v>
      </c>
      <c r="F332" s="39" t="n">
        <v>1</v>
      </c>
      <c r="G332" s="39" t="s">
        <v>90</v>
      </c>
      <c r="H332" s="41" t="str">
        <f aca="false">ПАРАМЕТРЫ!B7&amp;"%"</f>
        <v>15%</v>
      </c>
      <c r="I332" s="42" t="n">
        <f aca="false">(I327+I328+I329+I330)*ПАРАМЕТРЫ!B7/100</f>
        <v>5981.04</v>
      </c>
      <c r="J332" s="40" t="s">
        <v>11</v>
      </c>
    </row>
    <row r="333" customFormat="false" ht="15.75" hidden="false" customHeight="true" outlineLevel="0" collapsed="false">
      <c r="A333" s="43" t="s">
        <v>455</v>
      </c>
      <c r="B333" s="44"/>
      <c r="C333" s="44"/>
      <c r="D333" s="44"/>
      <c r="E333" s="44"/>
      <c r="F333" s="44"/>
      <c r="G333" s="44"/>
      <c r="H333" s="44"/>
      <c r="I333" s="45" t="n">
        <f aca="false">I327+I328+I329+I330+I331+I332</f>
        <v>48645.792</v>
      </c>
      <c r="J333" s="44"/>
    </row>
    <row r="335" customFormat="false" ht="18" hidden="false" customHeight="true" outlineLevel="0" collapsed="false">
      <c r="A335" s="18" t="s">
        <v>456</v>
      </c>
      <c r="B335" s="2"/>
      <c r="C335" s="2"/>
      <c r="D335" s="2"/>
      <c r="E335" s="2"/>
      <c r="F335" s="2"/>
      <c r="G335" s="2"/>
      <c r="H335" s="2"/>
      <c r="I335" s="2"/>
      <c r="J335" s="2"/>
    </row>
    <row r="336" customFormat="false" ht="15.75" hidden="false" customHeight="true" outlineLevel="0" collapsed="false">
      <c r="A336" s="21" t="s">
        <v>457</v>
      </c>
      <c r="B336" s="22" t="s">
        <v>131</v>
      </c>
      <c r="C336" s="22" t="s">
        <v>87</v>
      </c>
      <c r="D336" s="22" t="s">
        <v>362</v>
      </c>
      <c r="E336" s="21" t="s">
        <v>89</v>
      </c>
      <c r="F336" s="21" t="n">
        <v>1</v>
      </c>
      <c r="G336" s="21" t="s">
        <v>90</v>
      </c>
      <c r="H336" s="21" t="s">
        <v>90</v>
      </c>
      <c r="I336" s="23" t="n">
        <v>0</v>
      </c>
      <c r="J336" s="22" t="s">
        <v>91</v>
      </c>
    </row>
    <row r="337" customFormat="false" ht="15.75" hidden="false" customHeight="true" outlineLevel="0" collapsed="false">
      <c r="A337" s="24" t="s">
        <v>458</v>
      </c>
      <c r="B337" s="25" t="s">
        <v>153</v>
      </c>
      <c r="C337" s="25" t="s">
        <v>154</v>
      </c>
      <c r="D337" s="25" t="s">
        <v>362</v>
      </c>
      <c r="E337" s="24" t="s">
        <v>89</v>
      </c>
      <c r="F337" s="26" t="n">
        <v>1</v>
      </c>
      <c r="G337" s="27" t="n">
        <f aca="false">ПАРАМЕТРЫ!B24</f>
        <v>7468</v>
      </c>
      <c r="H337" s="27" t="n">
        <f aca="false">ПАРАМЕТРЫ!D24</f>
        <v>4480.8</v>
      </c>
      <c r="I337" s="27" t="n">
        <f aca="false">F337*H337</f>
        <v>4480.8</v>
      </c>
      <c r="J337" s="25"/>
    </row>
    <row r="338" customFormat="false" ht="15.75" hidden="false" customHeight="true" outlineLevel="0" collapsed="false">
      <c r="A338" s="28" t="s">
        <v>459</v>
      </c>
      <c r="B338" s="29" t="s">
        <v>135</v>
      </c>
      <c r="C338" s="29" t="s">
        <v>136</v>
      </c>
      <c r="D338" s="29" t="s">
        <v>362</v>
      </c>
      <c r="E338" s="28" t="s">
        <v>89</v>
      </c>
      <c r="F338" s="26" t="n">
        <v>3</v>
      </c>
      <c r="G338" s="30" t="n">
        <f aca="false">ПАРАМЕТРЫ!B12</f>
        <v>2818</v>
      </c>
      <c r="H338" s="30" t="n">
        <f aca="false">ПАРАМЕТРЫ!D12</f>
        <v>1690.8</v>
      </c>
      <c r="I338" s="30" t="n">
        <f aca="false">F338*H338</f>
        <v>5072.4</v>
      </c>
      <c r="J338" s="29"/>
    </row>
    <row r="339" customFormat="false" ht="15.75" hidden="false" customHeight="true" outlineLevel="0" collapsed="false">
      <c r="A339" s="35" t="s">
        <v>460</v>
      </c>
      <c r="B339" s="36" t="s">
        <v>124</v>
      </c>
      <c r="C339" s="36"/>
      <c r="D339" s="36" t="s">
        <v>362</v>
      </c>
      <c r="E339" s="35" t="s">
        <v>125</v>
      </c>
      <c r="F339" s="35" t="n">
        <v>1</v>
      </c>
      <c r="G339" s="35" t="s">
        <v>90</v>
      </c>
      <c r="H339" s="37" t="str">
        <f aca="false">ПАРАМЕТРЫ!B6&amp;"%"</f>
        <v>7%</v>
      </c>
      <c r="I339" s="38" t="n">
        <f aca="false">(I337+I338)*ПАРАМЕТРЫ!B6/100</f>
        <v>668.724</v>
      </c>
      <c r="J339" s="36" t="s">
        <v>11</v>
      </c>
    </row>
    <row r="340" customFormat="false" ht="15.75" hidden="false" customHeight="true" outlineLevel="0" collapsed="false">
      <c r="A340" s="39" t="s">
        <v>461</v>
      </c>
      <c r="B340" s="40" t="s">
        <v>127</v>
      </c>
      <c r="C340" s="40"/>
      <c r="D340" s="40" t="s">
        <v>362</v>
      </c>
      <c r="E340" s="39" t="s">
        <v>125</v>
      </c>
      <c r="F340" s="39" t="n">
        <v>1</v>
      </c>
      <c r="G340" s="39" t="s">
        <v>90</v>
      </c>
      <c r="H340" s="41" t="str">
        <f aca="false">ПАРАМЕТРЫ!B7&amp;"%"</f>
        <v>15%</v>
      </c>
      <c r="I340" s="42" t="n">
        <f aca="false">(I337+I338)*ПАРАМЕТРЫ!B7/100</f>
        <v>1432.98</v>
      </c>
      <c r="J340" s="40" t="s">
        <v>11</v>
      </c>
    </row>
    <row r="341" customFormat="false" ht="15.75" hidden="false" customHeight="true" outlineLevel="0" collapsed="false">
      <c r="A341" s="43" t="s">
        <v>462</v>
      </c>
      <c r="B341" s="44"/>
      <c r="C341" s="44"/>
      <c r="D341" s="44"/>
      <c r="E341" s="44"/>
      <c r="F341" s="44"/>
      <c r="G341" s="44"/>
      <c r="H341" s="44"/>
      <c r="I341" s="45" t="n">
        <f aca="false">I337+I338+I339+I340</f>
        <v>11654.904</v>
      </c>
      <c r="J341" s="44"/>
    </row>
    <row r="343" customFormat="false" ht="18" hidden="false" customHeight="true" outlineLevel="0" collapsed="false">
      <c r="A343" s="18" t="s">
        <v>463</v>
      </c>
      <c r="B343" s="2"/>
      <c r="C343" s="2"/>
      <c r="D343" s="2"/>
      <c r="E343" s="2"/>
      <c r="F343" s="2"/>
      <c r="G343" s="2"/>
      <c r="H343" s="2"/>
      <c r="I343" s="2"/>
      <c r="J343" s="2"/>
    </row>
    <row r="344" customFormat="false" ht="15.75" hidden="false" customHeight="true" outlineLevel="0" collapsed="false">
      <c r="A344" s="21" t="s">
        <v>464</v>
      </c>
      <c r="B344" s="22" t="s">
        <v>131</v>
      </c>
      <c r="C344" s="22" t="s">
        <v>87</v>
      </c>
      <c r="D344" s="22" t="s">
        <v>362</v>
      </c>
      <c r="E344" s="21" t="s">
        <v>89</v>
      </c>
      <c r="F344" s="21" t="n">
        <v>1</v>
      </c>
      <c r="G344" s="21" t="s">
        <v>90</v>
      </c>
      <c r="H344" s="21" t="s">
        <v>90</v>
      </c>
      <c r="I344" s="23" t="n">
        <v>0</v>
      </c>
      <c r="J344" s="22" t="s">
        <v>91</v>
      </c>
    </row>
    <row r="345" customFormat="false" ht="15.75" hidden="false" customHeight="true" outlineLevel="0" collapsed="false">
      <c r="A345" s="24" t="s">
        <v>465</v>
      </c>
      <c r="B345" s="25" t="s">
        <v>153</v>
      </c>
      <c r="C345" s="25" t="s">
        <v>154</v>
      </c>
      <c r="D345" s="25" t="s">
        <v>362</v>
      </c>
      <c r="E345" s="24" t="s">
        <v>89</v>
      </c>
      <c r="F345" s="26" t="n">
        <v>1</v>
      </c>
      <c r="G345" s="27" t="n">
        <f aca="false">ПАРАМЕТРЫ!B24</f>
        <v>7468</v>
      </c>
      <c r="H345" s="27" t="n">
        <f aca="false">ПАРАМЕТРЫ!D24</f>
        <v>4480.8</v>
      </c>
      <c r="I345" s="27" t="n">
        <f aca="false">F345*H345</f>
        <v>4480.8</v>
      </c>
      <c r="J345" s="25"/>
    </row>
    <row r="346" customFormat="false" ht="15.75" hidden="false" customHeight="true" outlineLevel="0" collapsed="false">
      <c r="A346" s="28" t="s">
        <v>466</v>
      </c>
      <c r="B346" s="29" t="s">
        <v>135</v>
      </c>
      <c r="C346" s="29" t="s">
        <v>136</v>
      </c>
      <c r="D346" s="29" t="s">
        <v>362</v>
      </c>
      <c r="E346" s="28" t="s">
        <v>89</v>
      </c>
      <c r="F346" s="26" t="n">
        <v>3</v>
      </c>
      <c r="G346" s="30" t="n">
        <f aca="false">ПАРАМЕТРЫ!B12</f>
        <v>2818</v>
      </c>
      <c r="H346" s="30" t="n">
        <f aca="false">ПАРАМЕТРЫ!D12</f>
        <v>1690.8</v>
      </c>
      <c r="I346" s="30" t="n">
        <f aca="false">F346*H346</f>
        <v>5072.4</v>
      </c>
      <c r="J346" s="29"/>
    </row>
    <row r="347" customFormat="false" ht="15.75" hidden="false" customHeight="true" outlineLevel="0" collapsed="false">
      <c r="A347" s="35" t="s">
        <v>467</v>
      </c>
      <c r="B347" s="36" t="s">
        <v>124</v>
      </c>
      <c r="C347" s="36"/>
      <c r="D347" s="36" t="s">
        <v>362</v>
      </c>
      <c r="E347" s="35" t="s">
        <v>125</v>
      </c>
      <c r="F347" s="35" t="n">
        <v>1</v>
      </c>
      <c r="G347" s="35" t="s">
        <v>90</v>
      </c>
      <c r="H347" s="37" t="str">
        <f aca="false">ПАРАМЕТРЫ!B6&amp;"%"</f>
        <v>7%</v>
      </c>
      <c r="I347" s="38" t="n">
        <f aca="false">(I345+I346)*ПАРАМЕТРЫ!B6/100</f>
        <v>668.724</v>
      </c>
      <c r="J347" s="36" t="s">
        <v>11</v>
      </c>
    </row>
    <row r="348" customFormat="false" ht="15.75" hidden="false" customHeight="true" outlineLevel="0" collapsed="false">
      <c r="A348" s="39" t="s">
        <v>468</v>
      </c>
      <c r="B348" s="40" t="s">
        <v>127</v>
      </c>
      <c r="C348" s="40"/>
      <c r="D348" s="40" t="s">
        <v>362</v>
      </c>
      <c r="E348" s="39" t="s">
        <v>125</v>
      </c>
      <c r="F348" s="39" t="n">
        <v>1</v>
      </c>
      <c r="G348" s="39" t="s">
        <v>90</v>
      </c>
      <c r="H348" s="41" t="str">
        <f aca="false">ПАРАМЕТРЫ!B7&amp;"%"</f>
        <v>15%</v>
      </c>
      <c r="I348" s="42" t="n">
        <f aca="false">(I345+I346)*ПАРАМЕТРЫ!B7/100</f>
        <v>1432.98</v>
      </c>
      <c r="J348" s="40" t="s">
        <v>11</v>
      </c>
    </row>
    <row r="349" customFormat="false" ht="15.75" hidden="false" customHeight="true" outlineLevel="0" collapsed="false">
      <c r="A349" s="43" t="s">
        <v>469</v>
      </c>
      <c r="B349" s="44"/>
      <c r="C349" s="44"/>
      <c r="D349" s="44"/>
      <c r="E349" s="44"/>
      <c r="F349" s="44"/>
      <c r="G349" s="44"/>
      <c r="H349" s="44"/>
      <c r="I349" s="45" t="n">
        <f aca="false">I345+I346+I347+I348</f>
        <v>11654.904</v>
      </c>
      <c r="J349" s="44"/>
    </row>
    <row r="351" customFormat="false" ht="18" hidden="false" customHeight="true" outlineLevel="0" collapsed="false">
      <c r="A351" s="18" t="s">
        <v>470</v>
      </c>
      <c r="B351" s="2"/>
      <c r="C351" s="2"/>
      <c r="D351" s="2"/>
      <c r="E351" s="2"/>
      <c r="F351" s="2"/>
      <c r="G351" s="2"/>
      <c r="H351" s="2"/>
      <c r="I351" s="2"/>
      <c r="J351" s="2"/>
    </row>
    <row r="352" customFormat="false" ht="15.75" hidden="false" customHeight="true" outlineLevel="0" collapsed="false">
      <c r="A352" s="21" t="s">
        <v>471</v>
      </c>
      <c r="B352" s="22" t="s">
        <v>131</v>
      </c>
      <c r="C352" s="22" t="s">
        <v>87</v>
      </c>
      <c r="D352" s="22" t="s">
        <v>362</v>
      </c>
      <c r="E352" s="21" t="s">
        <v>89</v>
      </c>
      <c r="F352" s="21" t="n">
        <v>1</v>
      </c>
      <c r="G352" s="21" t="s">
        <v>90</v>
      </c>
      <c r="H352" s="21" t="s">
        <v>90</v>
      </c>
      <c r="I352" s="23" t="n">
        <v>0</v>
      </c>
      <c r="J352" s="22" t="s">
        <v>91</v>
      </c>
    </row>
    <row r="353" customFormat="false" ht="15.75" hidden="false" customHeight="true" outlineLevel="0" collapsed="false">
      <c r="A353" s="24" t="s">
        <v>472</v>
      </c>
      <c r="B353" s="25" t="s">
        <v>153</v>
      </c>
      <c r="C353" s="25" t="s">
        <v>154</v>
      </c>
      <c r="D353" s="25" t="s">
        <v>362</v>
      </c>
      <c r="E353" s="24" t="s">
        <v>89</v>
      </c>
      <c r="F353" s="26" t="n">
        <v>1</v>
      </c>
      <c r="G353" s="27" t="n">
        <f aca="false">ПАРАМЕТРЫ!B24</f>
        <v>7468</v>
      </c>
      <c r="H353" s="27" t="n">
        <f aca="false">ПАРАМЕТРЫ!D24</f>
        <v>4480.8</v>
      </c>
      <c r="I353" s="27" t="n">
        <f aca="false">F353*H353</f>
        <v>4480.8</v>
      </c>
      <c r="J353" s="25"/>
    </row>
    <row r="354" customFormat="false" ht="15.75" hidden="false" customHeight="true" outlineLevel="0" collapsed="false">
      <c r="A354" s="28" t="s">
        <v>473</v>
      </c>
      <c r="B354" s="29" t="s">
        <v>135</v>
      </c>
      <c r="C354" s="29" t="s">
        <v>136</v>
      </c>
      <c r="D354" s="29" t="s">
        <v>362</v>
      </c>
      <c r="E354" s="28" t="s">
        <v>89</v>
      </c>
      <c r="F354" s="26" t="n">
        <v>4</v>
      </c>
      <c r="G354" s="30" t="n">
        <f aca="false">ПАРАМЕТРЫ!B12</f>
        <v>2818</v>
      </c>
      <c r="H354" s="30" t="n">
        <f aca="false">ПАРАМЕТРЫ!D12</f>
        <v>1690.8</v>
      </c>
      <c r="I354" s="30" t="n">
        <f aca="false">F354*H354</f>
        <v>6763.2</v>
      </c>
      <c r="J354" s="29"/>
    </row>
    <row r="355" customFormat="false" ht="15.75" hidden="false" customHeight="true" outlineLevel="0" collapsed="false">
      <c r="A355" s="35" t="s">
        <v>474</v>
      </c>
      <c r="B355" s="36" t="s">
        <v>124</v>
      </c>
      <c r="C355" s="36"/>
      <c r="D355" s="36" t="s">
        <v>362</v>
      </c>
      <c r="E355" s="35" t="s">
        <v>125</v>
      </c>
      <c r="F355" s="35" t="n">
        <v>1</v>
      </c>
      <c r="G355" s="35" t="s">
        <v>90</v>
      </c>
      <c r="H355" s="37" t="str">
        <f aca="false">ПАРАМЕТРЫ!B6&amp;"%"</f>
        <v>7%</v>
      </c>
      <c r="I355" s="38" t="n">
        <f aca="false">(I353+I354)*ПАРАМЕТРЫ!B6/100</f>
        <v>787.08</v>
      </c>
      <c r="J355" s="36" t="s">
        <v>11</v>
      </c>
    </row>
    <row r="356" customFormat="false" ht="15.75" hidden="false" customHeight="true" outlineLevel="0" collapsed="false">
      <c r="A356" s="39" t="s">
        <v>475</v>
      </c>
      <c r="B356" s="40" t="s">
        <v>127</v>
      </c>
      <c r="C356" s="40"/>
      <c r="D356" s="40" t="s">
        <v>362</v>
      </c>
      <c r="E356" s="39" t="s">
        <v>125</v>
      </c>
      <c r="F356" s="39" t="n">
        <v>1</v>
      </c>
      <c r="G356" s="39" t="s">
        <v>90</v>
      </c>
      <c r="H356" s="41" t="str">
        <f aca="false">ПАРАМЕТРЫ!B7&amp;"%"</f>
        <v>15%</v>
      </c>
      <c r="I356" s="42" t="n">
        <f aca="false">(I353+I354)*ПАРАМЕТРЫ!B7/100</f>
        <v>1686.6</v>
      </c>
      <c r="J356" s="40" t="s">
        <v>11</v>
      </c>
    </row>
    <row r="357" customFormat="false" ht="15.75" hidden="false" customHeight="true" outlineLevel="0" collapsed="false">
      <c r="A357" s="43" t="s">
        <v>476</v>
      </c>
      <c r="B357" s="44"/>
      <c r="C357" s="44"/>
      <c r="D357" s="44"/>
      <c r="E357" s="44"/>
      <c r="F357" s="44"/>
      <c r="G357" s="44"/>
      <c r="H357" s="44"/>
      <c r="I357" s="45" t="n">
        <f aca="false">I353+I354+I355+I356</f>
        <v>13717.68</v>
      </c>
      <c r="J357" s="44"/>
    </row>
    <row r="359" customFormat="false" ht="18" hidden="false" customHeight="true" outlineLevel="0" collapsed="false">
      <c r="A359" s="18" t="s">
        <v>477</v>
      </c>
      <c r="B359" s="2"/>
      <c r="C359" s="2"/>
      <c r="D359" s="2"/>
      <c r="E359" s="2"/>
      <c r="F359" s="2"/>
      <c r="G359" s="2"/>
      <c r="H359" s="2"/>
      <c r="I359" s="2"/>
      <c r="J359" s="2"/>
    </row>
    <row r="360" customFormat="false" ht="15.75" hidden="false" customHeight="true" outlineLevel="0" collapsed="false">
      <c r="A360" s="21" t="s">
        <v>478</v>
      </c>
      <c r="B360" s="22" t="s">
        <v>131</v>
      </c>
      <c r="C360" s="22" t="s">
        <v>87</v>
      </c>
      <c r="D360" s="22" t="s">
        <v>362</v>
      </c>
      <c r="E360" s="21" t="s">
        <v>89</v>
      </c>
      <c r="F360" s="21" t="n">
        <v>1</v>
      </c>
      <c r="G360" s="21" t="s">
        <v>90</v>
      </c>
      <c r="H360" s="21" t="s">
        <v>90</v>
      </c>
      <c r="I360" s="23" t="n">
        <v>0</v>
      </c>
      <c r="J360" s="22" t="s">
        <v>91</v>
      </c>
    </row>
    <row r="361" customFormat="false" ht="15.75" hidden="false" customHeight="true" outlineLevel="0" collapsed="false">
      <c r="A361" s="24" t="s">
        <v>479</v>
      </c>
      <c r="B361" s="25" t="s">
        <v>153</v>
      </c>
      <c r="C361" s="25" t="s">
        <v>154</v>
      </c>
      <c r="D361" s="25" t="s">
        <v>362</v>
      </c>
      <c r="E361" s="24" t="s">
        <v>89</v>
      </c>
      <c r="F361" s="26" t="n">
        <v>1</v>
      </c>
      <c r="G361" s="27" t="n">
        <f aca="false">ПАРАМЕТРЫ!B24</f>
        <v>7468</v>
      </c>
      <c r="H361" s="27" t="n">
        <f aca="false">ПАРАМЕТРЫ!D24</f>
        <v>4480.8</v>
      </c>
      <c r="I361" s="27" t="n">
        <f aca="false">F361*H361</f>
        <v>4480.8</v>
      </c>
      <c r="J361" s="25"/>
    </row>
    <row r="362" customFormat="false" ht="15.75" hidden="false" customHeight="true" outlineLevel="0" collapsed="false">
      <c r="A362" s="28" t="s">
        <v>480</v>
      </c>
      <c r="B362" s="29" t="s">
        <v>135</v>
      </c>
      <c r="C362" s="29" t="s">
        <v>136</v>
      </c>
      <c r="D362" s="29" t="s">
        <v>362</v>
      </c>
      <c r="E362" s="28" t="s">
        <v>89</v>
      </c>
      <c r="F362" s="26" t="n">
        <v>3</v>
      </c>
      <c r="G362" s="30" t="n">
        <f aca="false">ПАРАМЕТРЫ!B12</f>
        <v>2818</v>
      </c>
      <c r="H362" s="30" t="n">
        <f aca="false">ПАРАМЕТРЫ!D12</f>
        <v>1690.8</v>
      </c>
      <c r="I362" s="30" t="n">
        <f aca="false">F362*H362</f>
        <v>5072.4</v>
      </c>
      <c r="J362" s="29"/>
    </row>
    <row r="363" customFormat="false" ht="15.75" hidden="false" customHeight="true" outlineLevel="0" collapsed="false">
      <c r="A363" s="35" t="s">
        <v>481</v>
      </c>
      <c r="B363" s="36" t="s">
        <v>124</v>
      </c>
      <c r="C363" s="36"/>
      <c r="D363" s="36" t="s">
        <v>362</v>
      </c>
      <c r="E363" s="35" t="s">
        <v>125</v>
      </c>
      <c r="F363" s="35" t="n">
        <v>1</v>
      </c>
      <c r="G363" s="35" t="s">
        <v>90</v>
      </c>
      <c r="H363" s="37" t="str">
        <f aca="false">ПАРАМЕТРЫ!B6&amp;"%"</f>
        <v>7%</v>
      </c>
      <c r="I363" s="38" t="n">
        <f aca="false">(I361+I362)*ПАРАМЕТРЫ!B6/100</f>
        <v>668.724</v>
      </c>
      <c r="J363" s="36" t="s">
        <v>11</v>
      </c>
    </row>
    <row r="364" customFormat="false" ht="15.75" hidden="false" customHeight="true" outlineLevel="0" collapsed="false">
      <c r="A364" s="39" t="s">
        <v>482</v>
      </c>
      <c r="B364" s="40" t="s">
        <v>127</v>
      </c>
      <c r="C364" s="40"/>
      <c r="D364" s="40" t="s">
        <v>362</v>
      </c>
      <c r="E364" s="39" t="s">
        <v>125</v>
      </c>
      <c r="F364" s="39" t="n">
        <v>1</v>
      </c>
      <c r="G364" s="39" t="s">
        <v>90</v>
      </c>
      <c r="H364" s="41" t="str">
        <f aca="false">ПАРАМЕТРЫ!B7&amp;"%"</f>
        <v>15%</v>
      </c>
      <c r="I364" s="42" t="n">
        <f aca="false">(I361+I362)*ПАРАМЕТРЫ!B7/100</f>
        <v>1432.98</v>
      </c>
      <c r="J364" s="40" t="s">
        <v>11</v>
      </c>
    </row>
    <row r="365" customFormat="false" ht="15.75" hidden="false" customHeight="true" outlineLevel="0" collapsed="false">
      <c r="A365" s="43" t="s">
        <v>483</v>
      </c>
      <c r="B365" s="44"/>
      <c r="C365" s="44"/>
      <c r="D365" s="44"/>
      <c r="E365" s="44"/>
      <c r="F365" s="44"/>
      <c r="G365" s="44"/>
      <c r="H365" s="44"/>
      <c r="I365" s="45" t="n">
        <f aca="false">I361+I362+I363+I364</f>
        <v>11654.904</v>
      </c>
      <c r="J365" s="44"/>
    </row>
    <row r="367" customFormat="false" ht="18" hidden="false" customHeight="true" outlineLevel="0" collapsed="false">
      <c r="A367" s="18" t="s">
        <v>484</v>
      </c>
      <c r="B367" s="2"/>
      <c r="C367" s="2"/>
      <c r="D367" s="2"/>
      <c r="E367" s="2"/>
      <c r="F367" s="2"/>
      <c r="G367" s="2"/>
      <c r="H367" s="2"/>
      <c r="I367" s="2"/>
      <c r="J367" s="2"/>
    </row>
    <row r="368" customFormat="false" ht="15.75" hidden="false" customHeight="true" outlineLevel="0" collapsed="false">
      <c r="A368" s="21" t="s">
        <v>485</v>
      </c>
      <c r="B368" s="22" t="s">
        <v>131</v>
      </c>
      <c r="C368" s="22" t="s">
        <v>87</v>
      </c>
      <c r="D368" s="22" t="s">
        <v>362</v>
      </c>
      <c r="E368" s="21" t="s">
        <v>89</v>
      </c>
      <c r="F368" s="21" t="n">
        <v>1</v>
      </c>
      <c r="G368" s="21" t="s">
        <v>90</v>
      </c>
      <c r="H368" s="21" t="s">
        <v>90</v>
      </c>
      <c r="I368" s="23" t="n">
        <v>0</v>
      </c>
      <c r="J368" s="22" t="s">
        <v>91</v>
      </c>
    </row>
    <row r="369" customFormat="false" ht="15.75" hidden="false" customHeight="true" outlineLevel="0" collapsed="false">
      <c r="A369" s="24" t="s">
        <v>486</v>
      </c>
      <c r="B369" s="25" t="s">
        <v>153</v>
      </c>
      <c r="C369" s="25" t="s">
        <v>154</v>
      </c>
      <c r="D369" s="25" t="s">
        <v>362</v>
      </c>
      <c r="E369" s="24" t="s">
        <v>89</v>
      </c>
      <c r="F369" s="26" t="n">
        <v>1</v>
      </c>
      <c r="G369" s="27" t="n">
        <f aca="false">ПАРАМЕТРЫ!B24</f>
        <v>7468</v>
      </c>
      <c r="H369" s="27" t="n">
        <f aca="false">ПАРАМЕТРЫ!D24</f>
        <v>4480.8</v>
      </c>
      <c r="I369" s="27" t="n">
        <f aca="false">F369*H369</f>
        <v>4480.8</v>
      </c>
      <c r="J369" s="25"/>
    </row>
    <row r="370" customFormat="false" ht="15.75" hidden="false" customHeight="true" outlineLevel="0" collapsed="false">
      <c r="A370" s="28" t="s">
        <v>487</v>
      </c>
      <c r="B370" s="29" t="s">
        <v>135</v>
      </c>
      <c r="C370" s="29" t="s">
        <v>136</v>
      </c>
      <c r="D370" s="29" t="s">
        <v>362</v>
      </c>
      <c r="E370" s="28" t="s">
        <v>89</v>
      </c>
      <c r="F370" s="26" t="n">
        <v>4</v>
      </c>
      <c r="G370" s="30" t="n">
        <f aca="false">ПАРАМЕТРЫ!B12</f>
        <v>2818</v>
      </c>
      <c r="H370" s="30" t="n">
        <f aca="false">ПАРАМЕТРЫ!D12</f>
        <v>1690.8</v>
      </c>
      <c r="I370" s="30" t="n">
        <f aca="false">F370*H370</f>
        <v>6763.2</v>
      </c>
      <c r="J370" s="29"/>
    </row>
    <row r="371" customFormat="false" ht="15.75" hidden="false" customHeight="true" outlineLevel="0" collapsed="false">
      <c r="A371" s="35" t="s">
        <v>488</v>
      </c>
      <c r="B371" s="36" t="s">
        <v>124</v>
      </c>
      <c r="C371" s="36"/>
      <c r="D371" s="36" t="s">
        <v>362</v>
      </c>
      <c r="E371" s="35" t="s">
        <v>125</v>
      </c>
      <c r="F371" s="35" t="n">
        <v>1</v>
      </c>
      <c r="G371" s="35" t="s">
        <v>90</v>
      </c>
      <c r="H371" s="37" t="str">
        <f aca="false">ПАРАМЕТРЫ!B6&amp;"%"</f>
        <v>7%</v>
      </c>
      <c r="I371" s="38" t="n">
        <f aca="false">(I369+I370)*ПАРАМЕТРЫ!B6/100</f>
        <v>787.08</v>
      </c>
      <c r="J371" s="36" t="s">
        <v>11</v>
      </c>
    </row>
    <row r="372" customFormat="false" ht="15.75" hidden="false" customHeight="true" outlineLevel="0" collapsed="false">
      <c r="A372" s="39" t="s">
        <v>489</v>
      </c>
      <c r="B372" s="40" t="s">
        <v>127</v>
      </c>
      <c r="C372" s="40"/>
      <c r="D372" s="40" t="s">
        <v>362</v>
      </c>
      <c r="E372" s="39" t="s">
        <v>125</v>
      </c>
      <c r="F372" s="39" t="n">
        <v>1</v>
      </c>
      <c r="G372" s="39" t="s">
        <v>90</v>
      </c>
      <c r="H372" s="41" t="str">
        <f aca="false">ПАРАМЕТРЫ!B7&amp;"%"</f>
        <v>15%</v>
      </c>
      <c r="I372" s="42" t="n">
        <f aca="false">(I369+I370)*ПАРАМЕТРЫ!B7/100</f>
        <v>1686.6</v>
      </c>
      <c r="J372" s="40" t="s">
        <v>11</v>
      </c>
    </row>
    <row r="373" customFormat="false" ht="15.75" hidden="false" customHeight="true" outlineLevel="0" collapsed="false">
      <c r="A373" s="43" t="s">
        <v>490</v>
      </c>
      <c r="B373" s="44"/>
      <c r="C373" s="44"/>
      <c r="D373" s="44"/>
      <c r="E373" s="44"/>
      <c r="F373" s="44"/>
      <c r="G373" s="44"/>
      <c r="H373" s="44"/>
      <c r="I373" s="45" t="n">
        <f aca="false">I369+I370+I371+I372</f>
        <v>13717.68</v>
      </c>
      <c r="J373" s="44"/>
    </row>
    <row r="375" customFormat="false" ht="18" hidden="false" customHeight="true" outlineLevel="0" collapsed="false">
      <c r="A375" s="18" t="s">
        <v>491</v>
      </c>
      <c r="B375" s="2"/>
      <c r="C375" s="2"/>
      <c r="D375" s="2"/>
      <c r="E375" s="2"/>
      <c r="F375" s="2"/>
      <c r="G375" s="2"/>
      <c r="H375" s="2"/>
      <c r="I375" s="2"/>
      <c r="J375" s="2"/>
    </row>
    <row r="376" customFormat="false" ht="15.75" hidden="false" customHeight="true" outlineLevel="0" collapsed="false">
      <c r="A376" s="21" t="s">
        <v>492</v>
      </c>
      <c r="B376" s="22" t="s">
        <v>131</v>
      </c>
      <c r="C376" s="22" t="s">
        <v>87</v>
      </c>
      <c r="D376" s="22" t="s">
        <v>362</v>
      </c>
      <c r="E376" s="21" t="s">
        <v>89</v>
      </c>
      <c r="F376" s="21" t="n">
        <v>1</v>
      </c>
      <c r="G376" s="21" t="s">
        <v>90</v>
      </c>
      <c r="H376" s="21" t="s">
        <v>90</v>
      </c>
      <c r="I376" s="23" t="n">
        <v>0</v>
      </c>
      <c r="J376" s="22" t="s">
        <v>91</v>
      </c>
    </row>
    <row r="377" customFormat="false" ht="15.75" hidden="false" customHeight="true" outlineLevel="0" collapsed="false">
      <c r="A377" s="24" t="s">
        <v>493</v>
      </c>
      <c r="B377" s="25" t="s">
        <v>153</v>
      </c>
      <c r="C377" s="25" t="s">
        <v>154</v>
      </c>
      <c r="D377" s="25" t="s">
        <v>362</v>
      </c>
      <c r="E377" s="24" t="s">
        <v>89</v>
      </c>
      <c r="F377" s="26" t="n">
        <v>1</v>
      </c>
      <c r="G377" s="27" t="n">
        <f aca="false">ПАРАМЕТРЫ!B24</f>
        <v>7468</v>
      </c>
      <c r="H377" s="27" t="n">
        <f aca="false">ПАРАМЕТРЫ!D24</f>
        <v>4480.8</v>
      </c>
      <c r="I377" s="27" t="n">
        <f aca="false">F377*H377</f>
        <v>4480.8</v>
      </c>
      <c r="J377" s="25"/>
    </row>
    <row r="378" customFormat="false" ht="15.75" hidden="false" customHeight="true" outlineLevel="0" collapsed="false">
      <c r="A378" s="28" t="s">
        <v>494</v>
      </c>
      <c r="B378" s="29" t="s">
        <v>135</v>
      </c>
      <c r="C378" s="29" t="s">
        <v>136</v>
      </c>
      <c r="D378" s="29" t="s">
        <v>362</v>
      </c>
      <c r="E378" s="28" t="s">
        <v>89</v>
      </c>
      <c r="F378" s="26" t="n">
        <v>3</v>
      </c>
      <c r="G378" s="30" t="n">
        <f aca="false">ПАРАМЕТРЫ!B12</f>
        <v>2818</v>
      </c>
      <c r="H378" s="30" t="n">
        <f aca="false">ПАРАМЕТРЫ!D12</f>
        <v>1690.8</v>
      </c>
      <c r="I378" s="30" t="n">
        <f aca="false">F378*H378</f>
        <v>5072.4</v>
      </c>
      <c r="J378" s="29"/>
    </row>
    <row r="379" customFormat="false" ht="15.75" hidden="false" customHeight="true" outlineLevel="0" collapsed="false">
      <c r="A379" s="35" t="s">
        <v>495</v>
      </c>
      <c r="B379" s="36" t="s">
        <v>124</v>
      </c>
      <c r="C379" s="36"/>
      <c r="D379" s="36" t="s">
        <v>362</v>
      </c>
      <c r="E379" s="35" t="s">
        <v>125</v>
      </c>
      <c r="F379" s="35" t="n">
        <v>1</v>
      </c>
      <c r="G379" s="35" t="s">
        <v>90</v>
      </c>
      <c r="H379" s="37" t="str">
        <f aca="false">ПАРАМЕТРЫ!B6&amp;"%"</f>
        <v>7%</v>
      </c>
      <c r="I379" s="38" t="n">
        <f aca="false">(I377+I378)*ПАРАМЕТРЫ!B6/100</f>
        <v>668.724</v>
      </c>
      <c r="J379" s="36" t="s">
        <v>11</v>
      </c>
    </row>
    <row r="380" customFormat="false" ht="15.75" hidden="false" customHeight="true" outlineLevel="0" collapsed="false">
      <c r="A380" s="39" t="s">
        <v>496</v>
      </c>
      <c r="B380" s="40" t="s">
        <v>127</v>
      </c>
      <c r="C380" s="40"/>
      <c r="D380" s="40" t="s">
        <v>362</v>
      </c>
      <c r="E380" s="39" t="s">
        <v>125</v>
      </c>
      <c r="F380" s="39" t="n">
        <v>1</v>
      </c>
      <c r="G380" s="39" t="s">
        <v>90</v>
      </c>
      <c r="H380" s="41" t="str">
        <f aca="false">ПАРАМЕТРЫ!B7&amp;"%"</f>
        <v>15%</v>
      </c>
      <c r="I380" s="42" t="n">
        <f aca="false">(I377+I378)*ПАРАМЕТРЫ!B7/100</f>
        <v>1432.98</v>
      </c>
      <c r="J380" s="40" t="s">
        <v>11</v>
      </c>
    </row>
    <row r="381" customFormat="false" ht="15.75" hidden="false" customHeight="true" outlineLevel="0" collapsed="false">
      <c r="A381" s="43" t="s">
        <v>497</v>
      </c>
      <c r="B381" s="44"/>
      <c r="C381" s="44"/>
      <c r="D381" s="44"/>
      <c r="E381" s="44"/>
      <c r="F381" s="44"/>
      <c r="G381" s="44"/>
      <c r="H381" s="44"/>
      <c r="I381" s="45" t="n">
        <f aca="false">I377+I378+I379+I380</f>
        <v>11654.904</v>
      </c>
      <c r="J381" s="44"/>
    </row>
    <row r="383" customFormat="false" ht="18" hidden="false" customHeight="true" outlineLevel="0" collapsed="false">
      <c r="A383" s="18" t="s">
        <v>498</v>
      </c>
      <c r="B383" s="2"/>
      <c r="C383" s="2"/>
      <c r="D383" s="2"/>
      <c r="E383" s="2"/>
      <c r="F383" s="2"/>
      <c r="G383" s="2"/>
      <c r="H383" s="2"/>
      <c r="I383" s="2"/>
      <c r="J383" s="2"/>
    </row>
    <row r="384" customFormat="false" ht="15.75" hidden="false" customHeight="true" outlineLevel="0" collapsed="false">
      <c r="A384" s="21" t="s">
        <v>499</v>
      </c>
      <c r="B384" s="22" t="s">
        <v>131</v>
      </c>
      <c r="C384" s="22" t="s">
        <v>87</v>
      </c>
      <c r="D384" s="22" t="s">
        <v>362</v>
      </c>
      <c r="E384" s="21" t="s">
        <v>89</v>
      </c>
      <c r="F384" s="21" t="n">
        <v>1</v>
      </c>
      <c r="G384" s="21" t="s">
        <v>90</v>
      </c>
      <c r="H384" s="21" t="s">
        <v>90</v>
      </c>
      <c r="I384" s="23" t="n">
        <v>0</v>
      </c>
      <c r="J384" s="22" t="s">
        <v>91</v>
      </c>
    </row>
    <row r="385" customFormat="false" ht="15.75" hidden="false" customHeight="true" outlineLevel="0" collapsed="false">
      <c r="A385" s="24" t="s">
        <v>500</v>
      </c>
      <c r="B385" s="25" t="s">
        <v>153</v>
      </c>
      <c r="C385" s="25" t="s">
        <v>154</v>
      </c>
      <c r="D385" s="25" t="s">
        <v>362</v>
      </c>
      <c r="E385" s="24" t="s">
        <v>89</v>
      </c>
      <c r="F385" s="26" t="n">
        <v>1</v>
      </c>
      <c r="G385" s="27" t="n">
        <f aca="false">ПАРАМЕТРЫ!B24</f>
        <v>7468</v>
      </c>
      <c r="H385" s="27" t="n">
        <f aca="false">ПАРАМЕТРЫ!D24</f>
        <v>4480.8</v>
      </c>
      <c r="I385" s="27" t="n">
        <f aca="false">F385*H385</f>
        <v>4480.8</v>
      </c>
      <c r="J385" s="25"/>
    </row>
    <row r="386" customFormat="false" ht="15.75" hidden="false" customHeight="true" outlineLevel="0" collapsed="false">
      <c r="A386" s="28" t="s">
        <v>501</v>
      </c>
      <c r="B386" s="29" t="s">
        <v>135</v>
      </c>
      <c r="C386" s="29" t="s">
        <v>136</v>
      </c>
      <c r="D386" s="29" t="s">
        <v>362</v>
      </c>
      <c r="E386" s="28" t="s">
        <v>89</v>
      </c>
      <c r="F386" s="26" t="n">
        <v>3</v>
      </c>
      <c r="G386" s="30" t="n">
        <f aca="false">ПАРАМЕТРЫ!B12</f>
        <v>2818</v>
      </c>
      <c r="H386" s="30" t="n">
        <f aca="false">ПАРАМЕТРЫ!D12</f>
        <v>1690.8</v>
      </c>
      <c r="I386" s="30" t="n">
        <f aca="false">F386*H386</f>
        <v>5072.4</v>
      </c>
      <c r="J386" s="29"/>
    </row>
    <row r="387" customFormat="false" ht="15.75" hidden="false" customHeight="true" outlineLevel="0" collapsed="false">
      <c r="A387" s="35" t="s">
        <v>502</v>
      </c>
      <c r="B387" s="36" t="s">
        <v>124</v>
      </c>
      <c r="C387" s="36"/>
      <c r="D387" s="36" t="s">
        <v>362</v>
      </c>
      <c r="E387" s="35" t="s">
        <v>125</v>
      </c>
      <c r="F387" s="35" t="n">
        <v>1</v>
      </c>
      <c r="G387" s="35" t="s">
        <v>90</v>
      </c>
      <c r="H387" s="37" t="str">
        <f aca="false">ПАРАМЕТРЫ!B6&amp;"%"</f>
        <v>7%</v>
      </c>
      <c r="I387" s="38" t="n">
        <f aca="false">(I385+I386)*ПАРАМЕТРЫ!B6/100</f>
        <v>668.724</v>
      </c>
      <c r="J387" s="36" t="s">
        <v>11</v>
      </c>
    </row>
    <row r="388" customFormat="false" ht="15.75" hidden="false" customHeight="true" outlineLevel="0" collapsed="false">
      <c r="A388" s="39" t="s">
        <v>503</v>
      </c>
      <c r="B388" s="40" t="s">
        <v>127</v>
      </c>
      <c r="C388" s="40"/>
      <c r="D388" s="40" t="s">
        <v>362</v>
      </c>
      <c r="E388" s="39" t="s">
        <v>125</v>
      </c>
      <c r="F388" s="39" t="n">
        <v>1</v>
      </c>
      <c r="G388" s="39" t="s">
        <v>90</v>
      </c>
      <c r="H388" s="41" t="str">
        <f aca="false">ПАРАМЕТРЫ!B7&amp;"%"</f>
        <v>15%</v>
      </c>
      <c r="I388" s="42" t="n">
        <f aca="false">(I385+I386)*ПАРАМЕТРЫ!B7/100</f>
        <v>1432.98</v>
      </c>
      <c r="J388" s="40" t="s">
        <v>11</v>
      </c>
    </row>
    <row r="389" customFormat="false" ht="15.75" hidden="false" customHeight="true" outlineLevel="0" collapsed="false">
      <c r="A389" s="43" t="s">
        <v>504</v>
      </c>
      <c r="B389" s="44"/>
      <c r="C389" s="44"/>
      <c r="D389" s="44"/>
      <c r="E389" s="44"/>
      <c r="F389" s="44"/>
      <c r="G389" s="44"/>
      <c r="H389" s="44"/>
      <c r="I389" s="45" t="n">
        <f aca="false">I385+I386+I387+I388</f>
        <v>11654.904</v>
      </c>
      <c r="J389" s="44"/>
    </row>
    <row r="391" customFormat="false" ht="18" hidden="false" customHeight="true" outlineLevel="0" collapsed="false">
      <c r="A391" s="18" t="s">
        <v>505</v>
      </c>
      <c r="B391" s="2"/>
      <c r="C391" s="2"/>
      <c r="D391" s="2"/>
      <c r="E391" s="2"/>
      <c r="F391" s="2"/>
      <c r="G391" s="2"/>
      <c r="H391" s="2"/>
      <c r="I391" s="2"/>
      <c r="J391" s="2"/>
    </row>
    <row r="392" customFormat="false" ht="15.75" hidden="false" customHeight="true" outlineLevel="0" collapsed="false">
      <c r="A392" s="21" t="s">
        <v>506</v>
      </c>
      <c r="B392" s="22" t="s">
        <v>131</v>
      </c>
      <c r="C392" s="22" t="s">
        <v>87</v>
      </c>
      <c r="D392" s="22" t="s">
        <v>362</v>
      </c>
      <c r="E392" s="21" t="s">
        <v>89</v>
      </c>
      <c r="F392" s="21" t="n">
        <v>1</v>
      </c>
      <c r="G392" s="21" t="s">
        <v>90</v>
      </c>
      <c r="H392" s="21" t="s">
        <v>90</v>
      </c>
      <c r="I392" s="23" t="n">
        <v>0</v>
      </c>
      <c r="J392" s="22" t="s">
        <v>91</v>
      </c>
    </row>
    <row r="393" customFormat="false" ht="15.75" hidden="false" customHeight="true" outlineLevel="0" collapsed="false">
      <c r="A393" s="24" t="s">
        <v>507</v>
      </c>
      <c r="B393" s="25" t="s">
        <v>153</v>
      </c>
      <c r="C393" s="25" t="s">
        <v>154</v>
      </c>
      <c r="D393" s="25" t="s">
        <v>362</v>
      </c>
      <c r="E393" s="24" t="s">
        <v>89</v>
      </c>
      <c r="F393" s="26" t="n">
        <v>1</v>
      </c>
      <c r="G393" s="27" t="n">
        <f aca="false">ПАРАМЕТРЫ!B24</f>
        <v>7468</v>
      </c>
      <c r="H393" s="27" t="n">
        <f aca="false">ПАРАМЕТРЫ!D24</f>
        <v>4480.8</v>
      </c>
      <c r="I393" s="27" t="n">
        <f aca="false">F393*H393</f>
        <v>4480.8</v>
      </c>
      <c r="J393" s="25"/>
    </row>
    <row r="394" customFormat="false" ht="15.75" hidden="false" customHeight="true" outlineLevel="0" collapsed="false">
      <c r="A394" s="28" t="s">
        <v>508</v>
      </c>
      <c r="B394" s="29" t="s">
        <v>135</v>
      </c>
      <c r="C394" s="29" t="s">
        <v>136</v>
      </c>
      <c r="D394" s="29" t="s">
        <v>362</v>
      </c>
      <c r="E394" s="28" t="s">
        <v>89</v>
      </c>
      <c r="F394" s="26" t="n">
        <v>3</v>
      </c>
      <c r="G394" s="30" t="n">
        <f aca="false">ПАРАМЕТРЫ!B12</f>
        <v>2818</v>
      </c>
      <c r="H394" s="30" t="n">
        <f aca="false">ПАРАМЕТРЫ!D12</f>
        <v>1690.8</v>
      </c>
      <c r="I394" s="30" t="n">
        <f aca="false">F394*H394</f>
        <v>5072.4</v>
      </c>
      <c r="J394" s="29"/>
    </row>
    <row r="395" customFormat="false" ht="15.75" hidden="false" customHeight="true" outlineLevel="0" collapsed="false">
      <c r="A395" s="35" t="s">
        <v>509</v>
      </c>
      <c r="B395" s="36" t="s">
        <v>124</v>
      </c>
      <c r="C395" s="36"/>
      <c r="D395" s="36" t="s">
        <v>362</v>
      </c>
      <c r="E395" s="35" t="s">
        <v>125</v>
      </c>
      <c r="F395" s="35" t="n">
        <v>1</v>
      </c>
      <c r="G395" s="35" t="s">
        <v>90</v>
      </c>
      <c r="H395" s="37" t="str">
        <f aca="false">ПАРАМЕТРЫ!B6&amp;"%"</f>
        <v>7%</v>
      </c>
      <c r="I395" s="38" t="n">
        <f aca="false">(I393+I394)*ПАРАМЕТРЫ!B6/100</f>
        <v>668.724</v>
      </c>
      <c r="J395" s="36" t="s">
        <v>11</v>
      </c>
    </row>
    <row r="396" customFormat="false" ht="15.75" hidden="false" customHeight="true" outlineLevel="0" collapsed="false">
      <c r="A396" s="39" t="s">
        <v>510</v>
      </c>
      <c r="B396" s="40" t="s">
        <v>127</v>
      </c>
      <c r="C396" s="40"/>
      <c r="D396" s="40" t="s">
        <v>362</v>
      </c>
      <c r="E396" s="39" t="s">
        <v>125</v>
      </c>
      <c r="F396" s="39" t="n">
        <v>1</v>
      </c>
      <c r="G396" s="39" t="s">
        <v>90</v>
      </c>
      <c r="H396" s="41" t="str">
        <f aca="false">ПАРАМЕТРЫ!B7&amp;"%"</f>
        <v>15%</v>
      </c>
      <c r="I396" s="42" t="n">
        <f aca="false">(I393+I394)*ПАРАМЕТРЫ!B7/100</f>
        <v>1432.98</v>
      </c>
      <c r="J396" s="40" t="s">
        <v>11</v>
      </c>
    </row>
    <row r="397" customFormat="false" ht="15.75" hidden="false" customHeight="true" outlineLevel="0" collapsed="false">
      <c r="A397" s="43" t="s">
        <v>511</v>
      </c>
      <c r="B397" s="44"/>
      <c r="C397" s="44"/>
      <c r="D397" s="44"/>
      <c r="E397" s="44"/>
      <c r="F397" s="44"/>
      <c r="G397" s="44"/>
      <c r="H397" s="44"/>
      <c r="I397" s="45" t="n">
        <f aca="false">I393+I394+I395+I396</f>
        <v>11654.904</v>
      </c>
      <c r="J397" s="44"/>
    </row>
    <row r="399" customFormat="false" ht="18" hidden="false" customHeight="true" outlineLevel="0" collapsed="false">
      <c r="A399" s="18" t="s">
        <v>512</v>
      </c>
      <c r="B399" s="2"/>
      <c r="C399" s="2"/>
      <c r="D399" s="2"/>
      <c r="E399" s="2"/>
      <c r="F399" s="2"/>
      <c r="G399" s="2"/>
      <c r="H399" s="2"/>
      <c r="I399" s="2"/>
      <c r="J399" s="2"/>
    </row>
    <row r="400" customFormat="false" ht="15.75" hidden="false" customHeight="true" outlineLevel="0" collapsed="false">
      <c r="A400" s="21" t="s">
        <v>513</v>
      </c>
      <c r="B400" s="22" t="s">
        <v>131</v>
      </c>
      <c r="C400" s="22" t="s">
        <v>87</v>
      </c>
      <c r="D400" s="22" t="s">
        <v>362</v>
      </c>
      <c r="E400" s="21" t="s">
        <v>89</v>
      </c>
      <c r="F400" s="21" t="n">
        <v>1</v>
      </c>
      <c r="G400" s="21" t="s">
        <v>90</v>
      </c>
      <c r="H400" s="21" t="s">
        <v>90</v>
      </c>
      <c r="I400" s="23" t="n">
        <v>0</v>
      </c>
      <c r="J400" s="22" t="s">
        <v>91</v>
      </c>
    </row>
    <row r="401" customFormat="false" ht="15.75" hidden="false" customHeight="true" outlineLevel="0" collapsed="false">
      <c r="A401" s="24" t="s">
        <v>514</v>
      </c>
      <c r="B401" s="25" t="s">
        <v>153</v>
      </c>
      <c r="C401" s="25" t="s">
        <v>154</v>
      </c>
      <c r="D401" s="25" t="s">
        <v>362</v>
      </c>
      <c r="E401" s="24" t="s">
        <v>89</v>
      </c>
      <c r="F401" s="26" t="n">
        <v>1</v>
      </c>
      <c r="G401" s="27" t="n">
        <f aca="false">ПАРАМЕТРЫ!B24</f>
        <v>7468</v>
      </c>
      <c r="H401" s="27" t="n">
        <f aca="false">ПАРАМЕТРЫ!D24</f>
        <v>4480.8</v>
      </c>
      <c r="I401" s="27" t="n">
        <f aca="false">F401*H401</f>
        <v>4480.8</v>
      </c>
      <c r="J401" s="25"/>
    </row>
    <row r="402" customFormat="false" ht="15.75" hidden="false" customHeight="true" outlineLevel="0" collapsed="false">
      <c r="A402" s="28" t="s">
        <v>515</v>
      </c>
      <c r="B402" s="29" t="s">
        <v>135</v>
      </c>
      <c r="C402" s="29" t="s">
        <v>136</v>
      </c>
      <c r="D402" s="29" t="s">
        <v>362</v>
      </c>
      <c r="E402" s="28" t="s">
        <v>89</v>
      </c>
      <c r="F402" s="26" t="n">
        <v>3</v>
      </c>
      <c r="G402" s="30" t="n">
        <f aca="false">ПАРАМЕТРЫ!B12</f>
        <v>2818</v>
      </c>
      <c r="H402" s="30" t="n">
        <f aca="false">ПАРАМЕТРЫ!D12</f>
        <v>1690.8</v>
      </c>
      <c r="I402" s="30" t="n">
        <f aca="false">F402*H402</f>
        <v>5072.4</v>
      </c>
      <c r="J402" s="29"/>
    </row>
    <row r="403" customFormat="false" ht="15.75" hidden="false" customHeight="true" outlineLevel="0" collapsed="false">
      <c r="A403" s="35" t="s">
        <v>516</v>
      </c>
      <c r="B403" s="36" t="s">
        <v>124</v>
      </c>
      <c r="C403" s="36"/>
      <c r="D403" s="36" t="s">
        <v>362</v>
      </c>
      <c r="E403" s="35" t="s">
        <v>125</v>
      </c>
      <c r="F403" s="35" t="n">
        <v>1</v>
      </c>
      <c r="G403" s="35" t="s">
        <v>90</v>
      </c>
      <c r="H403" s="37" t="str">
        <f aca="false">ПАРАМЕТРЫ!B6&amp;"%"</f>
        <v>7%</v>
      </c>
      <c r="I403" s="38" t="n">
        <f aca="false">(I401+I402)*ПАРАМЕТРЫ!B6/100</f>
        <v>668.724</v>
      </c>
      <c r="J403" s="36" t="s">
        <v>11</v>
      </c>
    </row>
    <row r="404" customFormat="false" ht="15.75" hidden="false" customHeight="true" outlineLevel="0" collapsed="false">
      <c r="A404" s="39" t="s">
        <v>517</v>
      </c>
      <c r="B404" s="40" t="s">
        <v>127</v>
      </c>
      <c r="C404" s="40"/>
      <c r="D404" s="40" t="s">
        <v>362</v>
      </c>
      <c r="E404" s="39" t="s">
        <v>125</v>
      </c>
      <c r="F404" s="39" t="n">
        <v>1</v>
      </c>
      <c r="G404" s="39" t="s">
        <v>90</v>
      </c>
      <c r="H404" s="41" t="str">
        <f aca="false">ПАРАМЕТРЫ!B7&amp;"%"</f>
        <v>15%</v>
      </c>
      <c r="I404" s="42" t="n">
        <f aca="false">(I401+I402)*ПАРАМЕТРЫ!B7/100</f>
        <v>1432.98</v>
      </c>
      <c r="J404" s="40" t="s">
        <v>11</v>
      </c>
    </row>
    <row r="405" customFormat="false" ht="15.75" hidden="false" customHeight="true" outlineLevel="0" collapsed="false">
      <c r="A405" s="43" t="s">
        <v>518</v>
      </c>
      <c r="B405" s="44"/>
      <c r="C405" s="44"/>
      <c r="D405" s="44"/>
      <c r="E405" s="44"/>
      <c r="F405" s="44"/>
      <c r="G405" s="44"/>
      <c r="H405" s="44"/>
      <c r="I405" s="45" t="n">
        <f aca="false">I401+I402+I403+I404</f>
        <v>11654.904</v>
      </c>
      <c r="J405" s="44"/>
    </row>
    <row r="407" customFormat="false" ht="18" hidden="false" customHeight="true" outlineLevel="0" collapsed="false">
      <c r="A407" s="18" t="s">
        <v>519</v>
      </c>
      <c r="B407" s="2"/>
      <c r="C407" s="2"/>
      <c r="D407" s="2"/>
      <c r="E407" s="2"/>
      <c r="F407" s="2"/>
      <c r="G407" s="2"/>
      <c r="H407" s="2"/>
      <c r="I407" s="2"/>
      <c r="J407" s="2"/>
    </row>
    <row r="408" customFormat="false" ht="15.75" hidden="false" customHeight="true" outlineLevel="0" collapsed="false">
      <c r="A408" s="21" t="s">
        <v>520</v>
      </c>
      <c r="B408" s="22" t="s">
        <v>131</v>
      </c>
      <c r="C408" s="22" t="s">
        <v>87</v>
      </c>
      <c r="D408" s="22" t="s">
        <v>362</v>
      </c>
      <c r="E408" s="21" t="s">
        <v>89</v>
      </c>
      <c r="F408" s="21" t="n">
        <v>1</v>
      </c>
      <c r="G408" s="21" t="s">
        <v>90</v>
      </c>
      <c r="H408" s="21" t="s">
        <v>90</v>
      </c>
      <c r="I408" s="23" t="n">
        <v>0</v>
      </c>
      <c r="J408" s="22" t="s">
        <v>91</v>
      </c>
    </row>
    <row r="409" customFormat="false" ht="15.75" hidden="false" customHeight="true" outlineLevel="0" collapsed="false">
      <c r="A409" s="24" t="s">
        <v>521</v>
      </c>
      <c r="B409" s="25" t="s">
        <v>153</v>
      </c>
      <c r="C409" s="25" t="s">
        <v>154</v>
      </c>
      <c r="D409" s="25" t="s">
        <v>362</v>
      </c>
      <c r="E409" s="24" t="s">
        <v>89</v>
      </c>
      <c r="F409" s="26" t="n">
        <v>1</v>
      </c>
      <c r="G409" s="27" t="n">
        <f aca="false">ПАРАМЕТРЫ!B24</f>
        <v>7468</v>
      </c>
      <c r="H409" s="27" t="n">
        <f aca="false">ПАРАМЕТРЫ!D24</f>
        <v>4480.8</v>
      </c>
      <c r="I409" s="27" t="n">
        <f aca="false">F409*H409</f>
        <v>4480.8</v>
      </c>
      <c r="J409" s="25"/>
    </row>
    <row r="410" customFormat="false" ht="15.75" hidden="false" customHeight="true" outlineLevel="0" collapsed="false">
      <c r="A410" s="28" t="s">
        <v>522</v>
      </c>
      <c r="B410" s="29" t="s">
        <v>135</v>
      </c>
      <c r="C410" s="29" t="s">
        <v>136</v>
      </c>
      <c r="D410" s="29" t="s">
        <v>362</v>
      </c>
      <c r="E410" s="28" t="s">
        <v>89</v>
      </c>
      <c r="F410" s="26" t="n">
        <v>3</v>
      </c>
      <c r="G410" s="30" t="n">
        <f aca="false">ПАРАМЕТРЫ!B12</f>
        <v>2818</v>
      </c>
      <c r="H410" s="30" t="n">
        <f aca="false">ПАРАМЕТРЫ!D12</f>
        <v>1690.8</v>
      </c>
      <c r="I410" s="30" t="n">
        <f aca="false">F410*H410</f>
        <v>5072.4</v>
      </c>
      <c r="J410" s="29"/>
    </row>
    <row r="411" customFormat="false" ht="15.75" hidden="false" customHeight="true" outlineLevel="0" collapsed="false">
      <c r="A411" s="35" t="s">
        <v>523</v>
      </c>
      <c r="B411" s="36" t="s">
        <v>124</v>
      </c>
      <c r="C411" s="36"/>
      <c r="D411" s="36" t="s">
        <v>362</v>
      </c>
      <c r="E411" s="35" t="s">
        <v>125</v>
      </c>
      <c r="F411" s="35" t="n">
        <v>1</v>
      </c>
      <c r="G411" s="35" t="s">
        <v>90</v>
      </c>
      <c r="H411" s="37" t="str">
        <f aca="false">ПАРАМЕТРЫ!B6&amp;"%"</f>
        <v>7%</v>
      </c>
      <c r="I411" s="38" t="n">
        <f aca="false">(I409+I410)*ПАРАМЕТРЫ!B6/100</f>
        <v>668.724</v>
      </c>
      <c r="J411" s="36" t="s">
        <v>11</v>
      </c>
    </row>
    <row r="412" customFormat="false" ht="15.75" hidden="false" customHeight="true" outlineLevel="0" collapsed="false">
      <c r="A412" s="39" t="s">
        <v>524</v>
      </c>
      <c r="B412" s="40" t="s">
        <v>127</v>
      </c>
      <c r="C412" s="40"/>
      <c r="D412" s="40" t="s">
        <v>362</v>
      </c>
      <c r="E412" s="39" t="s">
        <v>125</v>
      </c>
      <c r="F412" s="39" t="n">
        <v>1</v>
      </c>
      <c r="G412" s="39" t="s">
        <v>90</v>
      </c>
      <c r="H412" s="41" t="str">
        <f aca="false">ПАРАМЕТРЫ!B7&amp;"%"</f>
        <v>15%</v>
      </c>
      <c r="I412" s="42" t="n">
        <f aca="false">(I409+I410)*ПАРАМЕТРЫ!B7/100</f>
        <v>1432.98</v>
      </c>
      <c r="J412" s="40" t="s">
        <v>11</v>
      </c>
    </row>
    <row r="413" customFormat="false" ht="15.75" hidden="false" customHeight="true" outlineLevel="0" collapsed="false">
      <c r="A413" s="43" t="s">
        <v>525</v>
      </c>
      <c r="B413" s="44"/>
      <c r="C413" s="44"/>
      <c r="D413" s="44"/>
      <c r="E413" s="44"/>
      <c r="F413" s="44"/>
      <c r="G413" s="44"/>
      <c r="H413" s="44"/>
      <c r="I413" s="45" t="n">
        <f aca="false">I409+I410+I411+I412</f>
        <v>11654.904</v>
      </c>
      <c r="J413" s="44"/>
    </row>
    <row r="415" customFormat="false" ht="16.5" hidden="false" customHeight="true" outlineLevel="0" collapsed="false">
      <c r="A415" s="19" t="s">
        <v>526</v>
      </c>
      <c r="B415" s="20"/>
      <c r="C415" s="20"/>
      <c r="D415" s="20"/>
      <c r="E415" s="20"/>
      <c r="F415" s="20"/>
      <c r="G415" s="20"/>
      <c r="H415" s="20"/>
      <c r="I415" s="20"/>
      <c r="J415" s="20"/>
    </row>
    <row r="416" customFormat="false" ht="18" hidden="false" customHeight="true" outlineLevel="0" collapsed="false">
      <c r="A416" s="18" t="s">
        <v>527</v>
      </c>
      <c r="B416" s="2"/>
      <c r="C416" s="2"/>
      <c r="D416" s="2"/>
      <c r="E416" s="2"/>
      <c r="F416" s="2"/>
      <c r="G416" s="2"/>
      <c r="H416" s="2"/>
      <c r="I416" s="2"/>
      <c r="J416" s="2"/>
    </row>
    <row r="417" customFormat="false" ht="15.75" hidden="false" customHeight="true" outlineLevel="0" collapsed="false">
      <c r="A417" s="21" t="s">
        <v>528</v>
      </c>
      <c r="B417" s="22" t="s">
        <v>151</v>
      </c>
      <c r="C417" s="22" t="s">
        <v>87</v>
      </c>
      <c r="D417" s="22" t="s">
        <v>529</v>
      </c>
      <c r="E417" s="21" t="s">
        <v>89</v>
      </c>
      <c r="F417" s="21" t="n">
        <v>1</v>
      </c>
      <c r="G417" s="21" t="s">
        <v>90</v>
      </c>
      <c r="H417" s="21" t="s">
        <v>90</v>
      </c>
      <c r="I417" s="23" t="n">
        <v>0</v>
      </c>
      <c r="J417" s="22" t="s">
        <v>91</v>
      </c>
    </row>
    <row r="418" customFormat="false" ht="15.75" hidden="false" customHeight="true" outlineLevel="0" collapsed="false">
      <c r="A418" s="24" t="s">
        <v>530</v>
      </c>
      <c r="B418" s="25" t="s">
        <v>153</v>
      </c>
      <c r="C418" s="25" t="s">
        <v>154</v>
      </c>
      <c r="D418" s="25" t="s">
        <v>529</v>
      </c>
      <c r="E418" s="24" t="s">
        <v>89</v>
      </c>
      <c r="F418" s="26" t="n">
        <v>1</v>
      </c>
      <c r="G418" s="27" t="n">
        <f aca="false">ПАРАМЕТРЫ!B24</f>
        <v>7468</v>
      </c>
      <c r="H418" s="27" t="n">
        <f aca="false">ПАРАМЕТРЫ!D24</f>
        <v>4480.8</v>
      </c>
      <c r="I418" s="27" t="n">
        <f aca="false">F418*H418</f>
        <v>4480.8</v>
      </c>
      <c r="J418" s="25"/>
    </row>
    <row r="419" customFormat="false" ht="15.75" hidden="false" customHeight="true" outlineLevel="0" collapsed="false">
      <c r="A419" s="28" t="s">
        <v>531</v>
      </c>
      <c r="B419" s="29" t="s">
        <v>135</v>
      </c>
      <c r="C419" s="29" t="s">
        <v>136</v>
      </c>
      <c r="D419" s="29" t="s">
        <v>529</v>
      </c>
      <c r="E419" s="28" t="s">
        <v>89</v>
      </c>
      <c r="F419" s="26" t="n">
        <v>6</v>
      </c>
      <c r="G419" s="30" t="n">
        <f aca="false">ПАРАМЕТРЫ!B12</f>
        <v>2818</v>
      </c>
      <c r="H419" s="30" t="n">
        <f aca="false">ПАРАМЕТРЫ!D12</f>
        <v>1690.8</v>
      </c>
      <c r="I419" s="30" t="n">
        <f aca="false">F419*H419</f>
        <v>10144.8</v>
      </c>
      <c r="J419" s="29"/>
    </row>
    <row r="420" customFormat="false" ht="15.75" hidden="false" customHeight="true" outlineLevel="0" collapsed="false">
      <c r="A420" s="24" t="s">
        <v>532</v>
      </c>
      <c r="B420" s="25" t="s">
        <v>157</v>
      </c>
      <c r="C420" s="25" t="s">
        <v>158</v>
      </c>
      <c r="D420" s="25" t="s">
        <v>529</v>
      </c>
      <c r="E420" s="24" t="s">
        <v>89</v>
      </c>
      <c r="F420" s="26" t="n">
        <v>2</v>
      </c>
      <c r="G420" s="27" t="n">
        <f aca="false">ПАРАМЕТРЫ!B21</f>
        <v>13008</v>
      </c>
      <c r="H420" s="27" t="n">
        <f aca="false">ПАРАМЕТРЫ!D21</f>
        <v>7804.8</v>
      </c>
      <c r="I420" s="27" t="n">
        <f aca="false">F420*H420</f>
        <v>15609.6</v>
      </c>
      <c r="J420" s="25"/>
    </row>
    <row r="421" customFormat="false" ht="15.75" hidden="false" customHeight="true" outlineLevel="0" collapsed="false">
      <c r="A421" s="28" t="s">
        <v>533</v>
      </c>
      <c r="B421" s="29" t="s">
        <v>139</v>
      </c>
      <c r="C421" s="29" t="s">
        <v>140</v>
      </c>
      <c r="D421" s="29" t="s">
        <v>529</v>
      </c>
      <c r="E421" s="28" t="s">
        <v>89</v>
      </c>
      <c r="F421" s="26" t="n">
        <v>2</v>
      </c>
      <c r="G421" s="30" t="n">
        <f aca="false">ПАРАМЕТРЫ!B30</f>
        <v>5214</v>
      </c>
      <c r="H421" s="30" t="n">
        <f aca="false">ПАРАМЕТРЫ!D30</f>
        <v>3128.4</v>
      </c>
      <c r="I421" s="30" t="n">
        <f aca="false">F421*H421</f>
        <v>6256.8</v>
      </c>
      <c r="J421" s="29"/>
    </row>
    <row r="422" customFormat="false" ht="15.75" hidden="false" customHeight="true" outlineLevel="0" collapsed="false">
      <c r="A422" s="24" t="s">
        <v>534</v>
      </c>
      <c r="B422" s="25" t="s">
        <v>225</v>
      </c>
      <c r="C422" s="25" t="s">
        <v>90</v>
      </c>
      <c r="D422" s="25" t="s">
        <v>529</v>
      </c>
      <c r="E422" s="24" t="s">
        <v>89</v>
      </c>
      <c r="F422" s="26" t="n">
        <v>2</v>
      </c>
      <c r="G422" s="27" t="s">
        <v>90</v>
      </c>
      <c r="H422" s="27" t="s">
        <v>90</v>
      </c>
      <c r="I422" s="27" t="n">
        <v>0</v>
      </c>
      <c r="J422" s="25"/>
    </row>
    <row r="423" customFormat="false" ht="15.75" hidden="false" customHeight="true" outlineLevel="0" collapsed="false">
      <c r="A423" s="35" t="s">
        <v>535</v>
      </c>
      <c r="B423" s="36" t="s">
        <v>124</v>
      </c>
      <c r="C423" s="36"/>
      <c r="D423" s="36" t="s">
        <v>529</v>
      </c>
      <c r="E423" s="35" t="s">
        <v>125</v>
      </c>
      <c r="F423" s="35" t="n">
        <v>1</v>
      </c>
      <c r="G423" s="35" t="s">
        <v>90</v>
      </c>
      <c r="H423" s="37" t="str">
        <f aca="false">ПАРАМЕТРЫ!B6&amp;"%"</f>
        <v>7%</v>
      </c>
      <c r="I423" s="38" t="n">
        <f aca="false">(I418+I419+I420+I421)*ПАРАМЕТРЫ!B6/100</f>
        <v>2554.44</v>
      </c>
      <c r="J423" s="36" t="s">
        <v>11</v>
      </c>
    </row>
    <row r="424" customFormat="false" ht="15.75" hidden="false" customHeight="true" outlineLevel="0" collapsed="false">
      <c r="A424" s="39" t="s">
        <v>536</v>
      </c>
      <c r="B424" s="40" t="s">
        <v>127</v>
      </c>
      <c r="C424" s="40"/>
      <c r="D424" s="40" t="s">
        <v>529</v>
      </c>
      <c r="E424" s="39" t="s">
        <v>125</v>
      </c>
      <c r="F424" s="39" t="n">
        <v>1</v>
      </c>
      <c r="G424" s="39" t="s">
        <v>90</v>
      </c>
      <c r="H424" s="41" t="str">
        <f aca="false">ПАРАМЕТРЫ!B7&amp;"%"</f>
        <v>15%</v>
      </c>
      <c r="I424" s="42" t="n">
        <f aca="false">(I418+I419+I420+I421)*ПАРАМЕТРЫ!B7/100</f>
        <v>5473.8</v>
      </c>
      <c r="J424" s="40" t="s">
        <v>11</v>
      </c>
    </row>
    <row r="425" customFormat="false" ht="15.75" hidden="false" customHeight="true" outlineLevel="0" collapsed="false">
      <c r="A425" s="43" t="s">
        <v>537</v>
      </c>
      <c r="B425" s="44"/>
      <c r="C425" s="44"/>
      <c r="D425" s="44"/>
      <c r="E425" s="44"/>
      <c r="F425" s="44"/>
      <c r="G425" s="44"/>
      <c r="H425" s="44"/>
      <c r="I425" s="45" t="n">
        <f aca="false">I418+I419+I420+I421+I423+I424</f>
        <v>44520.24</v>
      </c>
      <c r="J425" s="44"/>
    </row>
    <row r="427" customFormat="false" ht="18" hidden="false" customHeight="true" outlineLevel="0" collapsed="false">
      <c r="A427" s="18" t="s">
        <v>538</v>
      </c>
      <c r="B427" s="2"/>
      <c r="C427" s="2"/>
      <c r="D427" s="2"/>
      <c r="E427" s="2"/>
      <c r="F427" s="2"/>
      <c r="G427" s="2"/>
      <c r="H427" s="2"/>
      <c r="I427" s="2"/>
      <c r="J427" s="2"/>
    </row>
    <row r="428" customFormat="false" ht="15.75" hidden="false" customHeight="true" outlineLevel="0" collapsed="false">
      <c r="A428" s="21" t="s">
        <v>539</v>
      </c>
      <c r="B428" s="22" t="s">
        <v>131</v>
      </c>
      <c r="C428" s="22" t="s">
        <v>87</v>
      </c>
      <c r="D428" s="22" t="s">
        <v>529</v>
      </c>
      <c r="E428" s="21" t="s">
        <v>89</v>
      </c>
      <c r="F428" s="21" t="n">
        <v>1</v>
      </c>
      <c r="G428" s="21" t="s">
        <v>90</v>
      </c>
      <c r="H428" s="21" t="s">
        <v>90</v>
      </c>
      <c r="I428" s="23" t="n">
        <v>0</v>
      </c>
      <c r="J428" s="22" t="s">
        <v>91</v>
      </c>
    </row>
    <row r="429" customFormat="false" ht="15.75" hidden="false" customHeight="true" outlineLevel="0" collapsed="false">
      <c r="A429" s="24" t="s">
        <v>540</v>
      </c>
      <c r="B429" s="25" t="s">
        <v>153</v>
      </c>
      <c r="C429" s="25" t="s">
        <v>154</v>
      </c>
      <c r="D429" s="25" t="s">
        <v>529</v>
      </c>
      <c r="E429" s="24" t="s">
        <v>89</v>
      </c>
      <c r="F429" s="26" t="n">
        <v>1</v>
      </c>
      <c r="G429" s="27" t="n">
        <f aca="false">ПАРАМЕТРЫ!B24</f>
        <v>7468</v>
      </c>
      <c r="H429" s="27" t="n">
        <f aca="false">ПАРАМЕТРЫ!D24</f>
        <v>4480.8</v>
      </c>
      <c r="I429" s="27" t="n">
        <f aca="false">F429*H429</f>
        <v>4480.8</v>
      </c>
      <c r="J429" s="25"/>
    </row>
    <row r="430" customFormat="false" ht="15.75" hidden="false" customHeight="true" outlineLevel="0" collapsed="false">
      <c r="A430" s="28" t="s">
        <v>541</v>
      </c>
      <c r="B430" s="29" t="s">
        <v>135</v>
      </c>
      <c r="C430" s="29" t="s">
        <v>136</v>
      </c>
      <c r="D430" s="29" t="s">
        <v>529</v>
      </c>
      <c r="E430" s="28" t="s">
        <v>89</v>
      </c>
      <c r="F430" s="26" t="n">
        <v>4</v>
      </c>
      <c r="G430" s="30" t="n">
        <f aca="false">ПАРАМЕТРЫ!B12</f>
        <v>2818</v>
      </c>
      <c r="H430" s="30" t="n">
        <f aca="false">ПАРАМЕТРЫ!D12</f>
        <v>1690.8</v>
      </c>
      <c r="I430" s="30" t="n">
        <f aca="false">F430*H430</f>
        <v>6763.2</v>
      </c>
      <c r="J430" s="29"/>
    </row>
    <row r="431" customFormat="false" ht="15.75" hidden="false" customHeight="true" outlineLevel="0" collapsed="false">
      <c r="A431" s="35" t="s">
        <v>542</v>
      </c>
      <c r="B431" s="36" t="s">
        <v>124</v>
      </c>
      <c r="C431" s="36"/>
      <c r="D431" s="36" t="s">
        <v>529</v>
      </c>
      <c r="E431" s="35" t="s">
        <v>125</v>
      </c>
      <c r="F431" s="35" t="n">
        <v>1</v>
      </c>
      <c r="G431" s="35" t="s">
        <v>90</v>
      </c>
      <c r="H431" s="37" t="str">
        <f aca="false">ПАРАМЕТРЫ!B6&amp;"%"</f>
        <v>7%</v>
      </c>
      <c r="I431" s="38" t="n">
        <f aca="false">(I429+I430)*ПАРАМЕТРЫ!B6/100</f>
        <v>787.08</v>
      </c>
      <c r="J431" s="36" t="s">
        <v>11</v>
      </c>
    </row>
    <row r="432" customFormat="false" ht="15.75" hidden="false" customHeight="true" outlineLevel="0" collapsed="false">
      <c r="A432" s="39" t="s">
        <v>543</v>
      </c>
      <c r="B432" s="40" t="s">
        <v>127</v>
      </c>
      <c r="C432" s="40"/>
      <c r="D432" s="40" t="s">
        <v>529</v>
      </c>
      <c r="E432" s="39" t="s">
        <v>125</v>
      </c>
      <c r="F432" s="39" t="n">
        <v>1</v>
      </c>
      <c r="G432" s="39" t="s">
        <v>90</v>
      </c>
      <c r="H432" s="41" t="str">
        <f aca="false">ПАРАМЕТРЫ!B7&amp;"%"</f>
        <v>15%</v>
      </c>
      <c r="I432" s="42" t="n">
        <f aca="false">(I429+I430)*ПАРАМЕТРЫ!B7/100</f>
        <v>1686.6</v>
      </c>
      <c r="J432" s="40" t="s">
        <v>11</v>
      </c>
    </row>
    <row r="433" customFormat="false" ht="15.75" hidden="false" customHeight="true" outlineLevel="0" collapsed="false">
      <c r="A433" s="43" t="s">
        <v>544</v>
      </c>
      <c r="B433" s="44"/>
      <c r="C433" s="44"/>
      <c r="D433" s="44"/>
      <c r="E433" s="44"/>
      <c r="F433" s="44"/>
      <c r="G433" s="44"/>
      <c r="H433" s="44"/>
      <c r="I433" s="45" t="n">
        <f aca="false">I429+I430+I431+I432</f>
        <v>13717.68</v>
      </c>
      <c r="J433" s="44"/>
    </row>
    <row r="435" customFormat="false" ht="16.5" hidden="false" customHeight="true" outlineLevel="0" collapsed="false">
      <c r="A435" s="19" t="s">
        <v>545</v>
      </c>
      <c r="B435" s="20"/>
      <c r="C435" s="20"/>
      <c r="D435" s="20"/>
      <c r="E435" s="20"/>
      <c r="F435" s="20"/>
      <c r="G435" s="20"/>
      <c r="H435" s="20"/>
      <c r="I435" s="20"/>
      <c r="J435" s="20"/>
    </row>
    <row r="436" customFormat="false" ht="18" hidden="false" customHeight="true" outlineLevel="0" collapsed="false">
      <c r="A436" s="18" t="s">
        <v>546</v>
      </c>
      <c r="B436" s="2"/>
      <c r="C436" s="2"/>
      <c r="D436" s="2"/>
      <c r="E436" s="2"/>
      <c r="F436" s="2"/>
      <c r="G436" s="2"/>
      <c r="H436" s="2"/>
      <c r="I436" s="2"/>
      <c r="J436" s="2"/>
    </row>
    <row r="437" customFormat="false" ht="15.75" hidden="false" customHeight="true" outlineLevel="0" collapsed="false">
      <c r="A437" s="21" t="s">
        <v>547</v>
      </c>
      <c r="B437" s="22" t="s">
        <v>548</v>
      </c>
      <c r="C437" s="22" t="s">
        <v>87</v>
      </c>
      <c r="D437" s="22" t="s">
        <v>549</v>
      </c>
      <c r="E437" s="21" t="s">
        <v>89</v>
      </c>
      <c r="F437" s="21" t="n">
        <v>1</v>
      </c>
      <c r="G437" s="21" t="s">
        <v>90</v>
      </c>
      <c r="H437" s="21" t="s">
        <v>90</v>
      </c>
      <c r="I437" s="23" t="n">
        <v>0</v>
      </c>
      <c r="J437" s="22" t="s">
        <v>91</v>
      </c>
    </row>
    <row r="438" customFormat="false" ht="15.75" hidden="false" customHeight="true" outlineLevel="0" collapsed="false">
      <c r="A438" s="24" t="s">
        <v>550</v>
      </c>
      <c r="B438" s="25" t="s">
        <v>551</v>
      </c>
      <c r="C438" s="25" t="s">
        <v>552</v>
      </c>
      <c r="D438" s="25" t="s">
        <v>549</v>
      </c>
      <c r="E438" s="24" t="s">
        <v>89</v>
      </c>
      <c r="F438" s="26" t="n">
        <v>1</v>
      </c>
      <c r="G438" s="27" t="n">
        <f aca="false">ПАРАМЕТРЫ!B20</f>
        <v>7856</v>
      </c>
      <c r="H438" s="27" t="n">
        <f aca="false">ПАРАМЕТРЫ!D20</f>
        <v>4713.6</v>
      </c>
      <c r="I438" s="27" t="n">
        <f aca="false">F438*H438</f>
        <v>4713.6</v>
      </c>
      <c r="J438" s="25" t="s">
        <v>553</v>
      </c>
    </row>
    <row r="439" customFormat="false" ht="15.75" hidden="false" customHeight="true" outlineLevel="0" collapsed="false">
      <c r="A439" s="28" t="s">
        <v>554</v>
      </c>
      <c r="B439" s="29" t="s">
        <v>105</v>
      </c>
      <c r="C439" s="29" t="s">
        <v>106</v>
      </c>
      <c r="D439" s="29" t="s">
        <v>549</v>
      </c>
      <c r="E439" s="28" t="s">
        <v>89</v>
      </c>
      <c r="F439" s="26" t="n">
        <v>2</v>
      </c>
      <c r="G439" s="30" t="n">
        <f aca="false">ПАРАМЕТРЫ!B19</f>
        <v>7907</v>
      </c>
      <c r="H439" s="30" t="n">
        <f aca="false">ПАРАМЕТРЫ!D19</f>
        <v>4744.2</v>
      </c>
      <c r="I439" s="30" t="n">
        <f aca="false">F439*H439</f>
        <v>9488.4</v>
      </c>
      <c r="J439" s="29" t="s">
        <v>555</v>
      </c>
    </row>
    <row r="440" customFormat="false" ht="15.75" hidden="false" customHeight="true" outlineLevel="0" collapsed="false">
      <c r="A440" s="24" t="s">
        <v>556</v>
      </c>
      <c r="B440" s="25" t="s">
        <v>557</v>
      </c>
      <c r="C440" s="25" t="s">
        <v>558</v>
      </c>
      <c r="D440" s="25" t="s">
        <v>549</v>
      </c>
      <c r="E440" s="24" t="s">
        <v>89</v>
      </c>
      <c r="F440" s="26" t="n">
        <v>5</v>
      </c>
      <c r="G440" s="27" t="n">
        <f aca="false">ПАРАМЕТРЫ!B16</f>
        <v>7510</v>
      </c>
      <c r="H440" s="27" t="n">
        <f aca="false">ПАРАМЕТРЫ!D16</f>
        <v>4506</v>
      </c>
      <c r="I440" s="27" t="n">
        <f aca="false">F440*H440</f>
        <v>22530</v>
      </c>
      <c r="J440" s="25" t="s">
        <v>559</v>
      </c>
    </row>
    <row r="441" customFormat="false" ht="15.75" hidden="false" customHeight="true" outlineLevel="0" collapsed="false">
      <c r="A441" s="28" t="s">
        <v>560</v>
      </c>
      <c r="B441" s="29" t="s">
        <v>109</v>
      </c>
      <c r="C441" s="29" t="s">
        <v>110</v>
      </c>
      <c r="D441" s="29" t="s">
        <v>549</v>
      </c>
      <c r="E441" s="28" t="s">
        <v>89</v>
      </c>
      <c r="F441" s="26" t="n">
        <v>1</v>
      </c>
      <c r="G441" s="30" t="n">
        <f aca="false">ПАРАМЕТРЫ!B10</f>
        <v>3077</v>
      </c>
      <c r="H441" s="30" t="n">
        <f aca="false">ПАРАМЕТРЫ!D10</f>
        <v>1846.2</v>
      </c>
      <c r="I441" s="30" t="n">
        <f aca="false">F441*H441</f>
        <v>1846.2</v>
      </c>
      <c r="J441" s="29" t="s">
        <v>561</v>
      </c>
    </row>
    <row r="442" customFormat="false" ht="15.75" hidden="false" customHeight="true" outlineLevel="0" collapsed="false">
      <c r="A442" s="31" t="s">
        <v>562</v>
      </c>
      <c r="B442" s="32" t="s">
        <v>563</v>
      </c>
      <c r="C442" s="32" t="s">
        <v>564</v>
      </c>
      <c r="D442" s="33" t="s">
        <v>549</v>
      </c>
      <c r="E442" s="31" t="s">
        <v>89</v>
      </c>
      <c r="F442" s="31" t="n">
        <v>1</v>
      </c>
      <c r="G442" s="31" t="s">
        <v>90</v>
      </c>
      <c r="H442" s="31" t="s">
        <v>90</v>
      </c>
      <c r="I442" s="34" t="n">
        <v>0</v>
      </c>
      <c r="J442" s="33" t="s">
        <v>565</v>
      </c>
    </row>
    <row r="443" customFormat="false" ht="15.75" hidden="false" customHeight="true" outlineLevel="0" collapsed="false">
      <c r="A443" s="35" t="s">
        <v>566</v>
      </c>
      <c r="B443" s="36" t="s">
        <v>124</v>
      </c>
      <c r="C443" s="36"/>
      <c r="D443" s="36" t="s">
        <v>549</v>
      </c>
      <c r="E443" s="35" t="s">
        <v>125</v>
      </c>
      <c r="F443" s="35" t="n">
        <v>1</v>
      </c>
      <c r="G443" s="35" t="s">
        <v>90</v>
      </c>
      <c r="H443" s="37" t="str">
        <f aca="false">ПАРАМЕТРЫ!B6&amp;"%"</f>
        <v>7%</v>
      </c>
      <c r="I443" s="38" t="n">
        <f aca="false">(I438+I439+I440+I441)*ПАРАМЕТРЫ!B6/100</f>
        <v>2700.474</v>
      </c>
      <c r="J443" s="36" t="s">
        <v>11</v>
      </c>
    </row>
    <row r="444" customFormat="false" ht="15.75" hidden="false" customHeight="true" outlineLevel="0" collapsed="false">
      <c r="A444" s="39" t="s">
        <v>567</v>
      </c>
      <c r="B444" s="40" t="s">
        <v>127</v>
      </c>
      <c r="C444" s="40"/>
      <c r="D444" s="40" t="s">
        <v>549</v>
      </c>
      <c r="E444" s="39" t="s">
        <v>125</v>
      </c>
      <c r="F444" s="39" t="n">
        <v>1</v>
      </c>
      <c r="G444" s="39" t="s">
        <v>90</v>
      </c>
      <c r="H444" s="41" t="str">
        <f aca="false">ПАРАМЕТРЫ!B7&amp;"%"</f>
        <v>15%</v>
      </c>
      <c r="I444" s="42" t="n">
        <f aca="false">(I438+I439+I440+I441)*ПАРАМЕТРЫ!B7/100</f>
        <v>5786.73</v>
      </c>
      <c r="J444" s="40" t="s">
        <v>11</v>
      </c>
    </row>
    <row r="445" customFormat="false" ht="15.75" hidden="false" customHeight="true" outlineLevel="0" collapsed="false">
      <c r="A445" s="43" t="s">
        <v>568</v>
      </c>
      <c r="B445" s="44"/>
      <c r="C445" s="44"/>
      <c r="D445" s="44"/>
      <c r="E445" s="44"/>
      <c r="F445" s="44"/>
      <c r="G445" s="44"/>
      <c r="H445" s="44"/>
      <c r="I445" s="45" t="n">
        <f aca="false">I438+I439+I440+I441+I443+I444</f>
        <v>47065.404</v>
      </c>
      <c r="J445" s="44"/>
    </row>
    <row r="447" customFormat="false" ht="18" hidden="false" customHeight="true" outlineLevel="0" collapsed="false">
      <c r="A447" s="18" t="s">
        <v>569</v>
      </c>
      <c r="B447" s="2"/>
      <c r="C447" s="2"/>
      <c r="D447" s="2"/>
      <c r="E447" s="2"/>
      <c r="F447" s="2"/>
      <c r="G447" s="2"/>
      <c r="H447" s="2"/>
      <c r="I447" s="2"/>
      <c r="J447" s="2"/>
    </row>
    <row r="448" customFormat="false" ht="15.75" hidden="false" customHeight="true" outlineLevel="0" collapsed="false">
      <c r="A448" s="21" t="s">
        <v>570</v>
      </c>
      <c r="B448" s="22" t="s">
        <v>571</v>
      </c>
      <c r="C448" s="22" t="s">
        <v>87</v>
      </c>
      <c r="D448" s="22" t="s">
        <v>549</v>
      </c>
      <c r="E448" s="21" t="s">
        <v>89</v>
      </c>
      <c r="F448" s="21" t="n">
        <v>1</v>
      </c>
      <c r="G448" s="21" t="s">
        <v>90</v>
      </c>
      <c r="H448" s="21" t="s">
        <v>90</v>
      </c>
      <c r="I448" s="23" t="n">
        <v>0</v>
      </c>
      <c r="J448" s="22" t="s">
        <v>91</v>
      </c>
    </row>
    <row r="449" customFormat="false" ht="15.75" hidden="false" customHeight="true" outlineLevel="0" collapsed="false">
      <c r="A449" s="24" t="s">
        <v>572</v>
      </c>
      <c r="B449" s="25" t="s">
        <v>153</v>
      </c>
      <c r="C449" s="25" t="s">
        <v>154</v>
      </c>
      <c r="D449" s="25" t="s">
        <v>549</v>
      </c>
      <c r="E449" s="24" t="s">
        <v>89</v>
      </c>
      <c r="F449" s="26" t="n">
        <v>1</v>
      </c>
      <c r="G449" s="27" t="n">
        <f aca="false">ПАРАМЕТРЫ!B24</f>
        <v>7468</v>
      </c>
      <c r="H449" s="27" t="n">
        <f aca="false">ПАРАМЕТРЫ!D24</f>
        <v>4480.8</v>
      </c>
      <c r="I449" s="27" t="n">
        <f aca="false">F449*H449</f>
        <v>4480.8</v>
      </c>
      <c r="J449" s="25" t="s">
        <v>573</v>
      </c>
    </row>
    <row r="450" customFormat="false" ht="15.75" hidden="false" customHeight="true" outlineLevel="0" collapsed="false">
      <c r="A450" s="28" t="s">
        <v>574</v>
      </c>
      <c r="B450" s="29" t="s">
        <v>557</v>
      </c>
      <c r="C450" s="29" t="s">
        <v>558</v>
      </c>
      <c r="D450" s="29" t="s">
        <v>549</v>
      </c>
      <c r="E450" s="28" t="s">
        <v>89</v>
      </c>
      <c r="F450" s="26" t="n">
        <v>8</v>
      </c>
      <c r="G450" s="30" t="n">
        <f aca="false">ПАРАМЕТРЫ!B16</f>
        <v>7510</v>
      </c>
      <c r="H450" s="30" t="n">
        <f aca="false">ПАРАМЕТРЫ!D16</f>
        <v>4506</v>
      </c>
      <c r="I450" s="30" t="n">
        <f aca="false">F450*H450</f>
        <v>36048</v>
      </c>
      <c r="J450" s="29" t="s">
        <v>575</v>
      </c>
    </row>
    <row r="451" customFormat="false" ht="15.75" hidden="false" customHeight="true" outlineLevel="0" collapsed="false">
      <c r="A451" s="35" t="s">
        <v>576</v>
      </c>
      <c r="B451" s="36" t="s">
        <v>124</v>
      </c>
      <c r="C451" s="36"/>
      <c r="D451" s="36" t="s">
        <v>549</v>
      </c>
      <c r="E451" s="35" t="s">
        <v>125</v>
      </c>
      <c r="F451" s="35" t="n">
        <v>1</v>
      </c>
      <c r="G451" s="35" t="s">
        <v>90</v>
      </c>
      <c r="H451" s="37" t="str">
        <f aca="false">ПАРАМЕТРЫ!B6&amp;"%"</f>
        <v>7%</v>
      </c>
      <c r="I451" s="38" t="n">
        <f aca="false">(I449+I450)*ПАРАМЕТРЫ!B6/100</f>
        <v>2837.016</v>
      </c>
      <c r="J451" s="36" t="s">
        <v>11</v>
      </c>
    </row>
    <row r="452" customFormat="false" ht="15.75" hidden="false" customHeight="true" outlineLevel="0" collapsed="false">
      <c r="A452" s="39" t="s">
        <v>577</v>
      </c>
      <c r="B452" s="40" t="s">
        <v>127</v>
      </c>
      <c r="C452" s="40"/>
      <c r="D452" s="40" t="s">
        <v>549</v>
      </c>
      <c r="E452" s="39" t="s">
        <v>125</v>
      </c>
      <c r="F452" s="39" t="n">
        <v>1</v>
      </c>
      <c r="G452" s="39" t="s">
        <v>90</v>
      </c>
      <c r="H452" s="41" t="str">
        <f aca="false">ПАРАМЕТРЫ!B7&amp;"%"</f>
        <v>15%</v>
      </c>
      <c r="I452" s="42" t="n">
        <f aca="false">(I449+I450)*ПАРАМЕТРЫ!B7/100</f>
        <v>6079.32</v>
      </c>
      <c r="J452" s="40" t="s">
        <v>11</v>
      </c>
    </row>
    <row r="453" customFormat="false" ht="15.75" hidden="false" customHeight="true" outlineLevel="0" collapsed="false">
      <c r="A453" s="43" t="s">
        <v>578</v>
      </c>
      <c r="B453" s="44"/>
      <c r="C453" s="44"/>
      <c r="D453" s="44"/>
      <c r="E453" s="44"/>
      <c r="F453" s="44"/>
      <c r="G453" s="44"/>
      <c r="H453" s="44"/>
      <c r="I453" s="45" t="n">
        <f aca="false">I449+I450+I451+I452</f>
        <v>49445.136</v>
      </c>
      <c r="J453" s="44"/>
    </row>
    <row r="455" customFormat="false" ht="16.5" hidden="false" customHeight="true" outlineLevel="0" collapsed="false">
      <c r="A455" s="19" t="s">
        <v>579</v>
      </c>
      <c r="B455" s="20"/>
      <c r="C455" s="20"/>
      <c r="D455" s="20"/>
      <c r="E455" s="20"/>
      <c r="F455" s="20"/>
      <c r="G455" s="20"/>
      <c r="H455" s="20"/>
      <c r="I455" s="20"/>
      <c r="J455" s="20"/>
    </row>
    <row r="456" customFormat="false" ht="18" hidden="false" customHeight="true" outlineLevel="0" collapsed="false">
      <c r="A456" s="18" t="s">
        <v>580</v>
      </c>
      <c r="B456" s="2"/>
      <c r="C456" s="2"/>
      <c r="D456" s="2"/>
      <c r="E456" s="2"/>
      <c r="F456" s="2"/>
      <c r="G456" s="2"/>
      <c r="H456" s="2"/>
      <c r="I456" s="2"/>
      <c r="J456" s="2"/>
    </row>
    <row r="457" customFormat="false" ht="15.75" hidden="false" customHeight="true" outlineLevel="0" collapsed="false">
      <c r="A457" s="21" t="s">
        <v>581</v>
      </c>
      <c r="B457" s="22" t="s">
        <v>582</v>
      </c>
      <c r="C457" s="22" t="s">
        <v>87</v>
      </c>
      <c r="D457" s="22" t="s">
        <v>583</v>
      </c>
      <c r="E457" s="21" t="s">
        <v>89</v>
      </c>
      <c r="F457" s="21" t="n">
        <v>1</v>
      </c>
      <c r="G457" s="21" t="s">
        <v>90</v>
      </c>
      <c r="H457" s="21" t="s">
        <v>90</v>
      </c>
      <c r="I457" s="23" t="n">
        <v>0</v>
      </c>
      <c r="J457" s="22" t="s">
        <v>91</v>
      </c>
    </row>
    <row r="458" customFormat="false" ht="15.75" hidden="false" customHeight="true" outlineLevel="0" collapsed="false">
      <c r="A458" s="24" t="s">
        <v>584</v>
      </c>
      <c r="B458" s="25" t="s">
        <v>551</v>
      </c>
      <c r="C458" s="25" t="s">
        <v>552</v>
      </c>
      <c r="D458" s="25" t="s">
        <v>583</v>
      </c>
      <c r="E458" s="24" t="s">
        <v>89</v>
      </c>
      <c r="F458" s="26" t="n">
        <v>2</v>
      </c>
      <c r="G458" s="27" t="n">
        <f aca="false">ПАРАМЕТРЫ!B20</f>
        <v>7856</v>
      </c>
      <c r="H458" s="27" t="n">
        <f aca="false">ПАРАМЕТРЫ!D20</f>
        <v>4713.6</v>
      </c>
      <c r="I458" s="27" t="n">
        <f aca="false">F458*H458</f>
        <v>9427.2</v>
      </c>
      <c r="J458" s="25" t="s">
        <v>585</v>
      </c>
    </row>
    <row r="459" customFormat="false" ht="15.75" hidden="false" customHeight="true" outlineLevel="0" collapsed="false">
      <c r="A459" s="28" t="s">
        <v>586</v>
      </c>
      <c r="B459" s="29" t="s">
        <v>105</v>
      </c>
      <c r="C459" s="29" t="s">
        <v>106</v>
      </c>
      <c r="D459" s="29" t="s">
        <v>583</v>
      </c>
      <c r="E459" s="28" t="s">
        <v>89</v>
      </c>
      <c r="F459" s="26" t="n">
        <v>1</v>
      </c>
      <c r="G459" s="30" t="n">
        <f aca="false">ПАРАМЕТРЫ!B19</f>
        <v>7907</v>
      </c>
      <c r="H459" s="30" t="n">
        <f aca="false">ПАРАМЕТРЫ!D19</f>
        <v>4744.2</v>
      </c>
      <c r="I459" s="30" t="n">
        <f aca="false">F459*H459</f>
        <v>4744.2</v>
      </c>
      <c r="J459" s="29" t="s">
        <v>587</v>
      </c>
    </row>
    <row r="460" customFormat="false" ht="15.75" hidden="false" customHeight="true" outlineLevel="0" collapsed="false">
      <c r="A460" s="24" t="s">
        <v>588</v>
      </c>
      <c r="B460" s="25" t="s">
        <v>589</v>
      </c>
      <c r="C460" s="25" t="s">
        <v>590</v>
      </c>
      <c r="D460" s="25" t="s">
        <v>583</v>
      </c>
      <c r="E460" s="24" t="s">
        <v>89</v>
      </c>
      <c r="F460" s="26" t="n">
        <v>2</v>
      </c>
      <c r="G460" s="27" t="n">
        <f aca="false">ПАРАМЕТРЫ!B23</f>
        <v>23195</v>
      </c>
      <c r="H460" s="27" t="n">
        <f aca="false">ПАРАМЕТРЫ!D23</f>
        <v>13917</v>
      </c>
      <c r="I460" s="27" t="n">
        <f aca="false">F460*H460</f>
        <v>27834</v>
      </c>
      <c r="J460" s="25" t="s">
        <v>591</v>
      </c>
    </row>
    <row r="461" customFormat="false" ht="15.75" hidden="false" customHeight="true" outlineLevel="0" collapsed="false">
      <c r="A461" s="31" t="s">
        <v>592</v>
      </c>
      <c r="B461" s="32" t="s">
        <v>593</v>
      </c>
      <c r="C461" s="32" t="s">
        <v>594</v>
      </c>
      <c r="D461" s="33" t="s">
        <v>583</v>
      </c>
      <c r="E461" s="31" t="s">
        <v>89</v>
      </c>
      <c r="F461" s="31" t="n">
        <v>1</v>
      </c>
      <c r="G461" s="31" t="s">
        <v>90</v>
      </c>
      <c r="H461" s="31" t="s">
        <v>90</v>
      </c>
      <c r="I461" s="34" t="n">
        <v>0</v>
      </c>
      <c r="J461" s="33" t="s">
        <v>595</v>
      </c>
    </row>
    <row r="462" customFormat="false" ht="15.75" hidden="false" customHeight="true" outlineLevel="0" collapsed="false">
      <c r="A462" s="31" t="s">
        <v>596</v>
      </c>
      <c r="B462" s="32" t="s">
        <v>597</v>
      </c>
      <c r="C462" s="32" t="s">
        <v>598</v>
      </c>
      <c r="D462" s="33" t="s">
        <v>583</v>
      </c>
      <c r="E462" s="31" t="s">
        <v>89</v>
      </c>
      <c r="F462" s="31" t="n">
        <v>1</v>
      </c>
      <c r="G462" s="31" t="s">
        <v>90</v>
      </c>
      <c r="H462" s="31" t="s">
        <v>90</v>
      </c>
      <c r="I462" s="34" t="n">
        <v>0</v>
      </c>
      <c r="J462" s="33" t="s">
        <v>599</v>
      </c>
    </row>
    <row r="463" customFormat="false" ht="15.75" hidden="false" customHeight="true" outlineLevel="0" collapsed="false">
      <c r="A463" s="35" t="s">
        <v>600</v>
      </c>
      <c r="B463" s="36" t="s">
        <v>124</v>
      </c>
      <c r="C463" s="36"/>
      <c r="D463" s="36" t="s">
        <v>583</v>
      </c>
      <c r="E463" s="35" t="s">
        <v>125</v>
      </c>
      <c r="F463" s="35" t="n">
        <v>1</v>
      </c>
      <c r="G463" s="35" t="s">
        <v>90</v>
      </c>
      <c r="H463" s="37" t="str">
        <f aca="false">ПАРАМЕТРЫ!B6&amp;"%"</f>
        <v>7%</v>
      </c>
      <c r="I463" s="38" t="n">
        <f aca="false">(I458+I459+I460)*ПАРАМЕТРЫ!B6/100</f>
        <v>2940.378</v>
      </c>
      <c r="J463" s="36" t="s">
        <v>11</v>
      </c>
    </row>
    <row r="464" customFormat="false" ht="15.75" hidden="false" customHeight="true" outlineLevel="0" collapsed="false">
      <c r="A464" s="39" t="s">
        <v>601</v>
      </c>
      <c r="B464" s="40" t="s">
        <v>127</v>
      </c>
      <c r="C464" s="40"/>
      <c r="D464" s="40" t="s">
        <v>583</v>
      </c>
      <c r="E464" s="39" t="s">
        <v>125</v>
      </c>
      <c r="F464" s="39" t="n">
        <v>1</v>
      </c>
      <c r="G464" s="39" t="s">
        <v>90</v>
      </c>
      <c r="H464" s="41" t="str">
        <f aca="false">ПАРАМЕТРЫ!B7&amp;"%"</f>
        <v>15%</v>
      </c>
      <c r="I464" s="42" t="n">
        <f aca="false">(I458+I459+I460)*ПАРАМЕТРЫ!B7/100</f>
        <v>6300.81</v>
      </c>
      <c r="J464" s="40" t="s">
        <v>11</v>
      </c>
    </row>
    <row r="465" customFormat="false" ht="15.75" hidden="false" customHeight="true" outlineLevel="0" collapsed="false">
      <c r="A465" s="43" t="s">
        <v>602</v>
      </c>
      <c r="B465" s="44"/>
      <c r="C465" s="44"/>
      <c r="D465" s="44"/>
      <c r="E465" s="44"/>
      <c r="F465" s="44"/>
      <c r="G465" s="44"/>
      <c r="H465" s="44"/>
      <c r="I465" s="45" t="n">
        <f aca="false">I458+I459+I460+I463+I464</f>
        <v>51246.588</v>
      </c>
      <c r="J465" s="44"/>
    </row>
    <row r="467" customFormat="false" ht="18" hidden="false" customHeight="true" outlineLevel="0" collapsed="false">
      <c r="A467" s="18" t="s">
        <v>603</v>
      </c>
      <c r="B467" s="2"/>
      <c r="C467" s="2"/>
      <c r="D467" s="2"/>
      <c r="E467" s="2"/>
      <c r="F467" s="2"/>
      <c r="G467" s="2"/>
      <c r="H467" s="2"/>
      <c r="I467" s="2"/>
      <c r="J467" s="2"/>
    </row>
    <row r="468" customFormat="false" ht="15.75" hidden="false" customHeight="true" outlineLevel="0" collapsed="false">
      <c r="A468" s="21" t="s">
        <v>604</v>
      </c>
      <c r="B468" s="22" t="s">
        <v>582</v>
      </c>
      <c r="C468" s="22" t="s">
        <v>87</v>
      </c>
      <c r="D468" s="22" t="s">
        <v>583</v>
      </c>
      <c r="E468" s="21" t="s">
        <v>89</v>
      </c>
      <c r="F468" s="21" t="n">
        <v>1</v>
      </c>
      <c r="G468" s="21" t="s">
        <v>90</v>
      </c>
      <c r="H468" s="21" t="s">
        <v>90</v>
      </c>
      <c r="I468" s="23" t="n">
        <v>0</v>
      </c>
      <c r="J468" s="22" t="s">
        <v>91</v>
      </c>
    </row>
    <row r="469" customFormat="false" ht="15.75" hidden="false" customHeight="true" outlineLevel="0" collapsed="false">
      <c r="A469" s="24" t="s">
        <v>605</v>
      </c>
      <c r="B469" s="25" t="s">
        <v>551</v>
      </c>
      <c r="C469" s="25" t="s">
        <v>552</v>
      </c>
      <c r="D469" s="25" t="s">
        <v>583</v>
      </c>
      <c r="E469" s="24" t="s">
        <v>89</v>
      </c>
      <c r="F469" s="26" t="n">
        <v>3</v>
      </c>
      <c r="G469" s="27" t="n">
        <f aca="false">ПАРАМЕТРЫ!B20</f>
        <v>7856</v>
      </c>
      <c r="H469" s="27" t="n">
        <f aca="false">ПАРАМЕТРЫ!D20</f>
        <v>4713.6</v>
      </c>
      <c r="I469" s="27" t="n">
        <f aca="false">F469*H469</f>
        <v>14140.8</v>
      </c>
      <c r="J469" s="25" t="s">
        <v>585</v>
      </c>
    </row>
    <row r="470" customFormat="false" ht="15.75" hidden="false" customHeight="true" outlineLevel="0" collapsed="false">
      <c r="A470" s="28" t="s">
        <v>606</v>
      </c>
      <c r="B470" s="29" t="s">
        <v>105</v>
      </c>
      <c r="C470" s="29" t="s">
        <v>106</v>
      </c>
      <c r="D470" s="29" t="s">
        <v>583</v>
      </c>
      <c r="E470" s="28" t="s">
        <v>89</v>
      </c>
      <c r="F470" s="26" t="n">
        <v>2</v>
      </c>
      <c r="G470" s="30" t="n">
        <f aca="false">ПАРАМЕТРЫ!B19</f>
        <v>7907</v>
      </c>
      <c r="H470" s="30" t="n">
        <f aca="false">ПАРАМЕТРЫ!D19</f>
        <v>4744.2</v>
      </c>
      <c r="I470" s="30" t="n">
        <f aca="false">F470*H470</f>
        <v>9488.4</v>
      </c>
      <c r="J470" s="29" t="s">
        <v>587</v>
      </c>
    </row>
    <row r="471" customFormat="false" ht="15.75" hidden="false" customHeight="true" outlineLevel="0" collapsed="false">
      <c r="A471" s="31" t="s">
        <v>607</v>
      </c>
      <c r="B471" s="32" t="s">
        <v>593</v>
      </c>
      <c r="C471" s="32" t="s">
        <v>594</v>
      </c>
      <c r="D471" s="33" t="s">
        <v>583</v>
      </c>
      <c r="E471" s="31" t="s">
        <v>89</v>
      </c>
      <c r="F471" s="31" t="n">
        <v>1</v>
      </c>
      <c r="G471" s="31" t="s">
        <v>90</v>
      </c>
      <c r="H471" s="31" t="s">
        <v>90</v>
      </c>
      <c r="I471" s="34" t="n">
        <v>0</v>
      </c>
      <c r="J471" s="33" t="s">
        <v>595</v>
      </c>
    </row>
    <row r="472" customFormat="false" ht="15.75" hidden="false" customHeight="true" outlineLevel="0" collapsed="false">
      <c r="A472" s="31" t="s">
        <v>608</v>
      </c>
      <c r="B472" s="32" t="s">
        <v>597</v>
      </c>
      <c r="C472" s="32" t="s">
        <v>598</v>
      </c>
      <c r="D472" s="33" t="s">
        <v>583</v>
      </c>
      <c r="E472" s="31" t="s">
        <v>89</v>
      </c>
      <c r="F472" s="31" t="n">
        <v>1</v>
      </c>
      <c r="G472" s="31" t="s">
        <v>90</v>
      </c>
      <c r="H472" s="31" t="s">
        <v>90</v>
      </c>
      <c r="I472" s="34" t="n">
        <v>0</v>
      </c>
      <c r="J472" s="33" t="s">
        <v>599</v>
      </c>
    </row>
    <row r="473" customFormat="false" ht="15.75" hidden="false" customHeight="true" outlineLevel="0" collapsed="false">
      <c r="A473" s="35" t="s">
        <v>609</v>
      </c>
      <c r="B473" s="36" t="s">
        <v>124</v>
      </c>
      <c r="C473" s="36"/>
      <c r="D473" s="36" t="s">
        <v>583</v>
      </c>
      <c r="E473" s="35" t="s">
        <v>125</v>
      </c>
      <c r="F473" s="35" t="n">
        <v>1</v>
      </c>
      <c r="G473" s="35" t="s">
        <v>90</v>
      </c>
      <c r="H473" s="37" t="str">
        <f aca="false">ПАРАМЕТРЫ!B6&amp;"%"</f>
        <v>7%</v>
      </c>
      <c r="I473" s="38" t="n">
        <f aca="false">(I469+I470)*ПАРАМЕТРЫ!B6/100</f>
        <v>1654.044</v>
      </c>
      <c r="J473" s="36" t="s">
        <v>11</v>
      </c>
    </row>
    <row r="474" customFormat="false" ht="15.75" hidden="false" customHeight="true" outlineLevel="0" collapsed="false">
      <c r="A474" s="39" t="s">
        <v>610</v>
      </c>
      <c r="B474" s="40" t="s">
        <v>127</v>
      </c>
      <c r="C474" s="40"/>
      <c r="D474" s="40" t="s">
        <v>583</v>
      </c>
      <c r="E474" s="39" t="s">
        <v>125</v>
      </c>
      <c r="F474" s="39" t="n">
        <v>1</v>
      </c>
      <c r="G474" s="39" t="s">
        <v>90</v>
      </c>
      <c r="H474" s="41" t="str">
        <f aca="false">ПАРАМЕТРЫ!B7&amp;"%"</f>
        <v>15%</v>
      </c>
      <c r="I474" s="42" t="n">
        <f aca="false">(I469+I470)*ПАРАМЕТРЫ!B7/100</f>
        <v>3544.38</v>
      </c>
      <c r="J474" s="40" t="s">
        <v>11</v>
      </c>
    </row>
    <row r="475" customFormat="false" ht="15.75" hidden="false" customHeight="true" outlineLevel="0" collapsed="false">
      <c r="A475" s="43" t="s">
        <v>611</v>
      </c>
      <c r="B475" s="44"/>
      <c r="C475" s="44"/>
      <c r="D475" s="44"/>
      <c r="E475" s="44"/>
      <c r="F475" s="44"/>
      <c r="G475" s="44"/>
      <c r="H475" s="44"/>
      <c r="I475" s="45" t="n">
        <f aca="false">I469+I470+I473+I474</f>
        <v>28827.624</v>
      </c>
      <c r="J475" s="44"/>
    </row>
    <row r="477" customFormat="false" ht="18" hidden="false" customHeight="true" outlineLevel="0" collapsed="false">
      <c r="A477" s="18" t="s">
        <v>612</v>
      </c>
      <c r="B477" s="2"/>
      <c r="C477" s="2"/>
      <c r="D477" s="2"/>
      <c r="E477" s="2"/>
      <c r="F477" s="2"/>
      <c r="G477" s="2"/>
      <c r="H477" s="2"/>
      <c r="I477" s="2"/>
      <c r="J477" s="2"/>
    </row>
    <row r="478" customFormat="false" ht="15.75" hidden="false" customHeight="true" outlineLevel="0" collapsed="false">
      <c r="A478" s="21" t="s">
        <v>613</v>
      </c>
      <c r="B478" s="22" t="s">
        <v>614</v>
      </c>
      <c r="C478" s="22" t="s">
        <v>87</v>
      </c>
      <c r="D478" s="22" t="s">
        <v>583</v>
      </c>
      <c r="E478" s="21" t="s">
        <v>89</v>
      </c>
      <c r="F478" s="21" t="n">
        <v>1</v>
      </c>
      <c r="G478" s="21" t="s">
        <v>90</v>
      </c>
      <c r="H478" s="21" t="s">
        <v>90</v>
      </c>
      <c r="I478" s="23" t="n">
        <v>0</v>
      </c>
      <c r="J478" s="22" t="s">
        <v>91</v>
      </c>
    </row>
    <row r="479" customFormat="false" ht="15.75" hidden="false" customHeight="true" outlineLevel="0" collapsed="false">
      <c r="A479" s="24" t="s">
        <v>615</v>
      </c>
      <c r="B479" s="25" t="s">
        <v>153</v>
      </c>
      <c r="C479" s="25" t="s">
        <v>154</v>
      </c>
      <c r="D479" s="25" t="s">
        <v>583</v>
      </c>
      <c r="E479" s="24" t="s">
        <v>89</v>
      </c>
      <c r="F479" s="26" t="n">
        <v>1</v>
      </c>
      <c r="G479" s="27" t="n">
        <f aca="false">ПАРАМЕТРЫ!B24</f>
        <v>7468</v>
      </c>
      <c r="H479" s="27" t="n">
        <f aca="false">ПАРАМЕТРЫ!D24</f>
        <v>4480.8</v>
      </c>
      <c r="I479" s="27" t="n">
        <f aca="false">F479*H479</f>
        <v>4480.8</v>
      </c>
      <c r="J479" s="25" t="s">
        <v>155</v>
      </c>
    </row>
    <row r="480" customFormat="false" ht="15.75" hidden="false" customHeight="true" outlineLevel="0" collapsed="false">
      <c r="A480" s="28" t="s">
        <v>616</v>
      </c>
      <c r="B480" s="29" t="s">
        <v>589</v>
      </c>
      <c r="C480" s="29" t="s">
        <v>590</v>
      </c>
      <c r="D480" s="29" t="s">
        <v>583</v>
      </c>
      <c r="E480" s="28" t="s">
        <v>89</v>
      </c>
      <c r="F480" s="26" t="n">
        <v>14</v>
      </c>
      <c r="G480" s="30" t="n">
        <f aca="false">ПАРАМЕТРЫ!B23</f>
        <v>23195</v>
      </c>
      <c r="H480" s="30" t="n">
        <f aca="false">ПАРАМЕТРЫ!D23</f>
        <v>13917</v>
      </c>
      <c r="I480" s="30" t="n">
        <f aca="false">F480*H480</f>
        <v>194838</v>
      </c>
      <c r="J480" s="29" t="s">
        <v>617</v>
      </c>
    </row>
    <row r="481" customFormat="false" ht="15.75" hidden="false" customHeight="true" outlineLevel="0" collapsed="false">
      <c r="A481" s="35" t="s">
        <v>618</v>
      </c>
      <c r="B481" s="36" t="s">
        <v>124</v>
      </c>
      <c r="C481" s="36"/>
      <c r="D481" s="36" t="s">
        <v>583</v>
      </c>
      <c r="E481" s="35" t="s">
        <v>125</v>
      </c>
      <c r="F481" s="35" t="n">
        <v>1</v>
      </c>
      <c r="G481" s="35" t="s">
        <v>90</v>
      </c>
      <c r="H481" s="37" t="str">
        <f aca="false">ПАРАМЕТРЫ!B6&amp;"%"</f>
        <v>7%</v>
      </c>
      <c r="I481" s="38" t="n">
        <f aca="false">(I479+I480)*ПАРАМЕТРЫ!B6/100</f>
        <v>13952.316</v>
      </c>
      <c r="J481" s="36" t="s">
        <v>11</v>
      </c>
    </row>
    <row r="482" customFormat="false" ht="15.75" hidden="false" customHeight="true" outlineLevel="0" collapsed="false">
      <c r="A482" s="39" t="s">
        <v>619</v>
      </c>
      <c r="B482" s="40" t="s">
        <v>127</v>
      </c>
      <c r="C482" s="40"/>
      <c r="D482" s="40" t="s">
        <v>583</v>
      </c>
      <c r="E482" s="39" t="s">
        <v>125</v>
      </c>
      <c r="F482" s="39" t="n">
        <v>1</v>
      </c>
      <c r="G482" s="39" t="s">
        <v>90</v>
      </c>
      <c r="H482" s="41" t="str">
        <f aca="false">ПАРАМЕТРЫ!B7&amp;"%"</f>
        <v>15%</v>
      </c>
      <c r="I482" s="42" t="n">
        <f aca="false">(I479+I480)*ПАРАМЕТРЫ!B7/100</f>
        <v>29897.82</v>
      </c>
      <c r="J482" s="40" t="s">
        <v>11</v>
      </c>
    </row>
    <row r="483" customFormat="false" ht="15.75" hidden="false" customHeight="true" outlineLevel="0" collapsed="false">
      <c r="A483" s="43" t="s">
        <v>620</v>
      </c>
      <c r="B483" s="44"/>
      <c r="C483" s="44"/>
      <c r="D483" s="44"/>
      <c r="E483" s="44"/>
      <c r="F483" s="44"/>
      <c r="G483" s="44"/>
      <c r="H483" s="44"/>
      <c r="I483" s="45" t="n">
        <f aca="false">I479+I480+I481+I482</f>
        <v>243168.936</v>
      </c>
      <c r="J483" s="44"/>
    </row>
    <row r="485" customFormat="false" ht="18" hidden="false" customHeight="true" outlineLevel="0" collapsed="false">
      <c r="A485" s="18" t="s">
        <v>621</v>
      </c>
      <c r="B485" s="2"/>
      <c r="C485" s="2"/>
      <c r="D485" s="2"/>
      <c r="E485" s="2"/>
      <c r="F485" s="2"/>
      <c r="G485" s="2"/>
      <c r="H485" s="2"/>
      <c r="I485" s="2"/>
      <c r="J485" s="2"/>
    </row>
    <row r="486" customFormat="false" ht="15.75" hidden="false" customHeight="true" outlineLevel="0" collapsed="false">
      <c r="A486" s="21" t="s">
        <v>622</v>
      </c>
      <c r="B486" s="22" t="s">
        <v>614</v>
      </c>
      <c r="C486" s="22" t="s">
        <v>87</v>
      </c>
      <c r="D486" s="22" t="s">
        <v>583</v>
      </c>
      <c r="E486" s="21" t="s">
        <v>89</v>
      </c>
      <c r="F486" s="21" t="n">
        <v>1</v>
      </c>
      <c r="G486" s="21" t="s">
        <v>90</v>
      </c>
      <c r="H486" s="21" t="s">
        <v>90</v>
      </c>
      <c r="I486" s="23" t="n">
        <v>0</v>
      </c>
      <c r="J486" s="22" t="s">
        <v>91</v>
      </c>
    </row>
    <row r="487" customFormat="false" ht="15.75" hidden="false" customHeight="true" outlineLevel="0" collapsed="false">
      <c r="A487" s="24" t="s">
        <v>623</v>
      </c>
      <c r="B487" s="25" t="s">
        <v>153</v>
      </c>
      <c r="C487" s="25" t="s">
        <v>154</v>
      </c>
      <c r="D487" s="25" t="s">
        <v>583</v>
      </c>
      <c r="E487" s="24" t="s">
        <v>89</v>
      </c>
      <c r="F487" s="26" t="n">
        <v>1</v>
      </c>
      <c r="G487" s="27" t="n">
        <f aca="false">ПАРАМЕТРЫ!B24</f>
        <v>7468</v>
      </c>
      <c r="H487" s="27" t="n">
        <f aca="false">ПАРАМЕТРЫ!D24</f>
        <v>4480.8</v>
      </c>
      <c r="I487" s="27" t="n">
        <f aca="false">F487*H487</f>
        <v>4480.8</v>
      </c>
      <c r="J487" s="25" t="s">
        <v>155</v>
      </c>
    </row>
    <row r="488" customFormat="false" ht="15.75" hidden="false" customHeight="true" outlineLevel="0" collapsed="false">
      <c r="A488" s="28" t="s">
        <v>624</v>
      </c>
      <c r="B488" s="29" t="s">
        <v>589</v>
      </c>
      <c r="C488" s="29" t="s">
        <v>590</v>
      </c>
      <c r="D488" s="29" t="s">
        <v>583</v>
      </c>
      <c r="E488" s="28" t="s">
        <v>89</v>
      </c>
      <c r="F488" s="26" t="n">
        <v>12</v>
      </c>
      <c r="G488" s="30" t="n">
        <f aca="false">ПАРАМЕТРЫ!B23</f>
        <v>23195</v>
      </c>
      <c r="H488" s="30" t="n">
        <f aca="false">ПАРАМЕТРЫ!D23</f>
        <v>13917</v>
      </c>
      <c r="I488" s="30" t="n">
        <f aca="false">F488*H488</f>
        <v>167004</v>
      </c>
      <c r="J488" s="29" t="s">
        <v>617</v>
      </c>
    </row>
    <row r="489" customFormat="false" ht="15.75" hidden="false" customHeight="true" outlineLevel="0" collapsed="false">
      <c r="A489" s="35" t="s">
        <v>625</v>
      </c>
      <c r="B489" s="36" t="s">
        <v>124</v>
      </c>
      <c r="C489" s="36"/>
      <c r="D489" s="36" t="s">
        <v>583</v>
      </c>
      <c r="E489" s="35" t="s">
        <v>125</v>
      </c>
      <c r="F489" s="35" t="n">
        <v>1</v>
      </c>
      <c r="G489" s="35" t="s">
        <v>90</v>
      </c>
      <c r="H489" s="37" t="str">
        <f aca="false">ПАРАМЕТРЫ!B6&amp;"%"</f>
        <v>7%</v>
      </c>
      <c r="I489" s="38" t="n">
        <f aca="false">(I487+I488)*ПАРАМЕТРЫ!B6/100</f>
        <v>12003.936</v>
      </c>
      <c r="J489" s="36" t="s">
        <v>11</v>
      </c>
    </row>
    <row r="490" customFormat="false" ht="15.75" hidden="false" customHeight="true" outlineLevel="0" collapsed="false">
      <c r="A490" s="39" t="s">
        <v>626</v>
      </c>
      <c r="B490" s="40" t="s">
        <v>127</v>
      </c>
      <c r="C490" s="40"/>
      <c r="D490" s="40" t="s">
        <v>583</v>
      </c>
      <c r="E490" s="39" t="s">
        <v>125</v>
      </c>
      <c r="F490" s="39" t="n">
        <v>1</v>
      </c>
      <c r="G490" s="39" t="s">
        <v>90</v>
      </c>
      <c r="H490" s="41" t="str">
        <f aca="false">ПАРАМЕТРЫ!B7&amp;"%"</f>
        <v>15%</v>
      </c>
      <c r="I490" s="42" t="n">
        <f aca="false">(I487+I488)*ПАРАМЕТРЫ!B7/100</f>
        <v>25722.72</v>
      </c>
      <c r="J490" s="40" t="s">
        <v>11</v>
      </c>
    </row>
    <row r="491" customFormat="false" ht="15.75" hidden="false" customHeight="true" outlineLevel="0" collapsed="false">
      <c r="A491" s="43" t="s">
        <v>627</v>
      </c>
      <c r="B491" s="44"/>
      <c r="C491" s="44"/>
      <c r="D491" s="44"/>
      <c r="E491" s="44"/>
      <c r="F491" s="44"/>
      <c r="G491" s="44"/>
      <c r="H491" s="44"/>
      <c r="I491" s="45" t="n">
        <f aca="false">I487+I488+I489+I490</f>
        <v>209211.456</v>
      </c>
      <c r="J491" s="44"/>
    </row>
    <row r="493" customFormat="false" ht="18" hidden="false" customHeight="true" outlineLevel="0" collapsed="false">
      <c r="A493" s="18" t="s">
        <v>628</v>
      </c>
      <c r="B493" s="2"/>
      <c r="C493" s="2"/>
      <c r="D493" s="2"/>
      <c r="E493" s="2"/>
      <c r="F493" s="2"/>
      <c r="G493" s="2"/>
      <c r="H493" s="2"/>
      <c r="I493" s="2"/>
      <c r="J493" s="2"/>
    </row>
    <row r="494" customFormat="false" ht="15.75" hidden="false" customHeight="true" outlineLevel="0" collapsed="false">
      <c r="A494" s="21" t="s">
        <v>629</v>
      </c>
      <c r="B494" s="22" t="s">
        <v>614</v>
      </c>
      <c r="C494" s="22" t="s">
        <v>87</v>
      </c>
      <c r="D494" s="22" t="s">
        <v>583</v>
      </c>
      <c r="E494" s="21" t="s">
        <v>89</v>
      </c>
      <c r="F494" s="21" t="n">
        <v>1</v>
      </c>
      <c r="G494" s="21" t="s">
        <v>90</v>
      </c>
      <c r="H494" s="21" t="s">
        <v>90</v>
      </c>
      <c r="I494" s="23" t="n">
        <v>0</v>
      </c>
      <c r="J494" s="22" t="s">
        <v>91</v>
      </c>
    </row>
    <row r="495" customFormat="false" ht="15.75" hidden="false" customHeight="true" outlineLevel="0" collapsed="false">
      <c r="A495" s="24" t="s">
        <v>630</v>
      </c>
      <c r="B495" s="25" t="s">
        <v>153</v>
      </c>
      <c r="C495" s="25" t="s">
        <v>154</v>
      </c>
      <c r="D495" s="25" t="s">
        <v>583</v>
      </c>
      <c r="E495" s="24" t="s">
        <v>89</v>
      </c>
      <c r="F495" s="26" t="n">
        <v>1</v>
      </c>
      <c r="G495" s="27" t="n">
        <f aca="false">ПАРАМЕТРЫ!B24</f>
        <v>7468</v>
      </c>
      <c r="H495" s="27" t="n">
        <f aca="false">ПАРАМЕТРЫ!D24</f>
        <v>4480.8</v>
      </c>
      <c r="I495" s="27" t="n">
        <f aca="false">F495*H495</f>
        <v>4480.8</v>
      </c>
      <c r="J495" s="25" t="s">
        <v>155</v>
      </c>
    </row>
    <row r="496" customFormat="false" ht="15.75" hidden="false" customHeight="true" outlineLevel="0" collapsed="false">
      <c r="A496" s="28" t="s">
        <v>631</v>
      </c>
      <c r="B496" s="29" t="s">
        <v>589</v>
      </c>
      <c r="C496" s="29" t="s">
        <v>590</v>
      </c>
      <c r="D496" s="29" t="s">
        <v>583</v>
      </c>
      <c r="E496" s="28" t="s">
        <v>89</v>
      </c>
      <c r="F496" s="26" t="n">
        <v>13</v>
      </c>
      <c r="G496" s="30" t="n">
        <f aca="false">ПАРАМЕТРЫ!B23</f>
        <v>23195</v>
      </c>
      <c r="H496" s="30" t="n">
        <f aca="false">ПАРАМЕТРЫ!D23</f>
        <v>13917</v>
      </c>
      <c r="I496" s="30" t="n">
        <f aca="false">F496*H496</f>
        <v>180921</v>
      </c>
      <c r="J496" s="29" t="s">
        <v>617</v>
      </c>
    </row>
    <row r="497" customFormat="false" ht="15.75" hidden="false" customHeight="true" outlineLevel="0" collapsed="false">
      <c r="A497" s="35" t="s">
        <v>632</v>
      </c>
      <c r="B497" s="36" t="s">
        <v>124</v>
      </c>
      <c r="C497" s="36"/>
      <c r="D497" s="36" t="s">
        <v>583</v>
      </c>
      <c r="E497" s="35" t="s">
        <v>125</v>
      </c>
      <c r="F497" s="35" t="n">
        <v>1</v>
      </c>
      <c r="G497" s="35" t="s">
        <v>90</v>
      </c>
      <c r="H497" s="37" t="str">
        <f aca="false">ПАРАМЕТРЫ!B6&amp;"%"</f>
        <v>7%</v>
      </c>
      <c r="I497" s="38" t="n">
        <f aca="false">(I495+I496)*ПАРАМЕТРЫ!B6/100</f>
        <v>12978.126</v>
      </c>
      <c r="J497" s="36" t="s">
        <v>11</v>
      </c>
    </row>
    <row r="498" customFormat="false" ht="15.75" hidden="false" customHeight="true" outlineLevel="0" collapsed="false">
      <c r="A498" s="39" t="s">
        <v>633</v>
      </c>
      <c r="B498" s="40" t="s">
        <v>127</v>
      </c>
      <c r="C498" s="40"/>
      <c r="D498" s="40" t="s">
        <v>583</v>
      </c>
      <c r="E498" s="39" t="s">
        <v>125</v>
      </c>
      <c r="F498" s="39" t="n">
        <v>1</v>
      </c>
      <c r="G498" s="39" t="s">
        <v>90</v>
      </c>
      <c r="H498" s="41" t="str">
        <f aca="false">ПАРАМЕТРЫ!B7&amp;"%"</f>
        <v>15%</v>
      </c>
      <c r="I498" s="42" t="n">
        <f aca="false">(I495+I496)*ПАРАМЕТРЫ!B7/100</f>
        <v>27810.27</v>
      </c>
      <c r="J498" s="40" t="s">
        <v>11</v>
      </c>
    </row>
    <row r="499" customFormat="false" ht="15.75" hidden="false" customHeight="true" outlineLevel="0" collapsed="false">
      <c r="A499" s="43" t="s">
        <v>634</v>
      </c>
      <c r="B499" s="44"/>
      <c r="C499" s="44"/>
      <c r="D499" s="44"/>
      <c r="E499" s="44"/>
      <c r="F499" s="44"/>
      <c r="G499" s="44"/>
      <c r="H499" s="44"/>
      <c r="I499" s="45" t="n">
        <f aca="false">I495+I496+I497+I498</f>
        <v>226190.196</v>
      </c>
      <c r="J499" s="44"/>
    </row>
    <row r="501" customFormat="false" ht="18" hidden="false" customHeight="true" outlineLevel="0" collapsed="false">
      <c r="A501" s="18" t="s">
        <v>635</v>
      </c>
      <c r="B501" s="2"/>
      <c r="C501" s="2"/>
      <c r="D501" s="2"/>
      <c r="E501" s="2"/>
      <c r="F501" s="2"/>
      <c r="G501" s="2"/>
      <c r="H501" s="2"/>
      <c r="I501" s="2"/>
      <c r="J501" s="2"/>
    </row>
    <row r="502" customFormat="false" ht="15.75" hidden="false" customHeight="true" outlineLevel="0" collapsed="false">
      <c r="A502" s="21" t="s">
        <v>636</v>
      </c>
      <c r="B502" s="22" t="s">
        <v>614</v>
      </c>
      <c r="C502" s="22" t="s">
        <v>87</v>
      </c>
      <c r="D502" s="22" t="s">
        <v>583</v>
      </c>
      <c r="E502" s="21" t="s">
        <v>89</v>
      </c>
      <c r="F502" s="21" t="n">
        <v>1</v>
      </c>
      <c r="G502" s="21" t="s">
        <v>90</v>
      </c>
      <c r="H502" s="21" t="s">
        <v>90</v>
      </c>
      <c r="I502" s="23" t="n">
        <v>0</v>
      </c>
      <c r="J502" s="22" t="s">
        <v>91</v>
      </c>
    </row>
    <row r="503" customFormat="false" ht="15.75" hidden="false" customHeight="true" outlineLevel="0" collapsed="false">
      <c r="A503" s="24" t="s">
        <v>637</v>
      </c>
      <c r="B503" s="25" t="s">
        <v>153</v>
      </c>
      <c r="C503" s="25" t="s">
        <v>154</v>
      </c>
      <c r="D503" s="25" t="s">
        <v>583</v>
      </c>
      <c r="E503" s="24" t="s">
        <v>89</v>
      </c>
      <c r="F503" s="26" t="n">
        <v>1</v>
      </c>
      <c r="G503" s="27" t="n">
        <f aca="false">ПАРАМЕТРЫ!B24</f>
        <v>7468</v>
      </c>
      <c r="H503" s="27" t="n">
        <f aca="false">ПАРАМЕТРЫ!D24</f>
        <v>4480.8</v>
      </c>
      <c r="I503" s="27" t="n">
        <f aca="false">F503*H503</f>
        <v>4480.8</v>
      </c>
      <c r="J503" s="25" t="s">
        <v>155</v>
      </c>
    </row>
    <row r="504" customFormat="false" ht="15.75" hidden="false" customHeight="true" outlineLevel="0" collapsed="false">
      <c r="A504" s="28" t="s">
        <v>638</v>
      </c>
      <c r="B504" s="29" t="s">
        <v>589</v>
      </c>
      <c r="C504" s="29" t="s">
        <v>590</v>
      </c>
      <c r="D504" s="29" t="s">
        <v>583</v>
      </c>
      <c r="E504" s="28" t="s">
        <v>89</v>
      </c>
      <c r="F504" s="26" t="n">
        <v>12</v>
      </c>
      <c r="G504" s="30" t="n">
        <f aca="false">ПАРАМЕТРЫ!B23</f>
        <v>23195</v>
      </c>
      <c r="H504" s="30" t="n">
        <f aca="false">ПАРАМЕТРЫ!D23</f>
        <v>13917</v>
      </c>
      <c r="I504" s="30" t="n">
        <f aca="false">F504*H504</f>
        <v>167004</v>
      </c>
      <c r="J504" s="29" t="s">
        <v>617</v>
      </c>
    </row>
    <row r="505" customFormat="false" ht="15.75" hidden="false" customHeight="true" outlineLevel="0" collapsed="false">
      <c r="A505" s="35" t="s">
        <v>639</v>
      </c>
      <c r="B505" s="36" t="s">
        <v>124</v>
      </c>
      <c r="C505" s="36"/>
      <c r="D505" s="36" t="s">
        <v>583</v>
      </c>
      <c r="E505" s="35" t="s">
        <v>125</v>
      </c>
      <c r="F505" s="35" t="n">
        <v>1</v>
      </c>
      <c r="G505" s="35" t="s">
        <v>90</v>
      </c>
      <c r="H505" s="37" t="str">
        <f aca="false">ПАРАМЕТРЫ!B6&amp;"%"</f>
        <v>7%</v>
      </c>
      <c r="I505" s="38" t="n">
        <f aca="false">(I503+I504)*ПАРАМЕТРЫ!B6/100</f>
        <v>12003.936</v>
      </c>
      <c r="J505" s="36" t="s">
        <v>11</v>
      </c>
    </row>
    <row r="506" customFormat="false" ht="15.75" hidden="false" customHeight="true" outlineLevel="0" collapsed="false">
      <c r="A506" s="39" t="s">
        <v>640</v>
      </c>
      <c r="B506" s="40" t="s">
        <v>127</v>
      </c>
      <c r="C506" s="40"/>
      <c r="D506" s="40" t="s">
        <v>583</v>
      </c>
      <c r="E506" s="39" t="s">
        <v>125</v>
      </c>
      <c r="F506" s="39" t="n">
        <v>1</v>
      </c>
      <c r="G506" s="39" t="s">
        <v>90</v>
      </c>
      <c r="H506" s="41" t="str">
        <f aca="false">ПАРАМЕТРЫ!B7&amp;"%"</f>
        <v>15%</v>
      </c>
      <c r="I506" s="42" t="n">
        <f aca="false">(I503+I504)*ПАРАМЕТРЫ!B7/100</f>
        <v>25722.72</v>
      </c>
      <c r="J506" s="40" t="s">
        <v>11</v>
      </c>
    </row>
    <row r="507" customFormat="false" ht="15.75" hidden="false" customHeight="true" outlineLevel="0" collapsed="false">
      <c r="A507" s="43" t="s">
        <v>641</v>
      </c>
      <c r="B507" s="44"/>
      <c r="C507" s="44"/>
      <c r="D507" s="44"/>
      <c r="E507" s="44"/>
      <c r="F507" s="44"/>
      <c r="G507" s="44"/>
      <c r="H507" s="44"/>
      <c r="I507" s="45" t="n">
        <f aca="false">I503+I504+I505+I506</f>
        <v>209211.456</v>
      </c>
      <c r="J507" s="44"/>
    </row>
    <row r="509" customFormat="false" ht="19.5" hidden="false" customHeight="true" outlineLevel="0" collapsed="false">
      <c r="A509" s="46" t="s">
        <v>642</v>
      </c>
      <c r="B509" s="4"/>
      <c r="C509" s="4"/>
      <c r="D509" s="4"/>
      <c r="E509" s="4"/>
      <c r="F509" s="4"/>
      <c r="G509" s="4"/>
      <c r="H509" s="4"/>
      <c r="I509" s="4"/>
      <c r="J509" s="4"/>
    </row>
    <row r="510" customFormat="false" ht="15.75" hidden="false" customHeight="true" outlineLevel="0" collapsed="false">
      <c r="A510" s="47" t="s">
        <v>643</v>
      </c>
      <c r="B510" s="48"/>
      <c r="C510" s="48"/>
      <c r="D510" s="48"/>
      <c r="E510" s="48"/>
      <c r="F510" s="48"/>
      <c r="G510" s="48"/>
      <c r="H510" s="48"/>
      <c r="I510" s="49" t="n">
        <f aca="false">I16+I26+I36+I46+I54+I62+I71</f>
        <v>480011.196</v>
      </c>
      <c r="J510" s="48"/>
    </row>
    <row r="511" customFormat="false" ht="15.75" hidden="false" customHeight="true" outlineLevel="0" collapsed="false">
      <c r="A511" s="47" t="s">
        <v>644</v>
      </c>
      <c r="B511" s="48"/>
      <c r="C511" s="48"/>
      <c r="D511" s="48"/>
      <c r="E511" s="48"/>
      <c r="F511" s="48"/>
      <c r="G511" s="48"/>
      <c r="H511" s="48"/>
      <c r="I511" s="49" t="n">
        <f aca="false">I83+I94+I105+I116+I127+I138+I149+I160+I171+I179+I187+I195+I203+I211+I219+I227</f>
        <v>805971.528</v>
      </c>
      <c r="J511" s="48"/>
    </row>
    <row r="512" customFormat="false" ht="15.75" hidden="false" customHeight="true" outlineLevel="0" collapsed="false">
      <c r="A512" s="47" t="s">
        <v>645</v>
      </c>
      <c r="B512" s="48"/>
      <c r="C512" s="48"/>
      <c r="D512" s="48"/>
      <c r="E512" s="48"/>
      <c r="F512" s="48"/>
      <c r="G512" s="48"/>
      <c r="H512" s="48"/>
      <c r="I512" s="49" t="n">
        <f aca="false">I239+I250+I261+I272+I283+I293+I303+I313+I323+I333+I341+I349+I357+I365+I373+I381+I389+I397+I405+I413</f>
        <v>609334.368</v>
      </c>
      <c r="J512" s="48"/>
    </row>
    <row r="513" customFormat="false" ht="15.75" hidden="false" customHeight="true" outlineLevel="0" collapsed="false">
      <c r="A513" s="47" t="s">
        <v>646</v>
      </c>
      <c r="B513" s="48"/>
      <c r="C513" s="48"/>
      <c r="D513" s="48"/>
      <c r="E513" s="48"/>
      <c r="F513" s="48"/>
      <c r="G513" s="48"/>
      <c r="H513" s="48"/>
      <c r="I513" s="49" t="n">
        <f aca="false">I425+I433</f>
        <v>58237.92</v>
      </c>
      <c r="J513" s="48"/>
    </row>
    <row r="514" customFormat="false" ht="15.75" hidden="false" customHeight="true" outlineLevel="0" collapsed="false">
      <c r="A514" s="47" t="s">
        <v>647</v>
      </c>
      <c r="B514" s="48"/>
      <c r="C514" s="48"/>
      <c r="D514" s="48"/>
      <c r="E514" s="48"/>
      <c r="F514" s="48"/>
      <c r="G514" s="48"/>
      <c r="H514" s="48"/>
      <c r="I514" s="49" t="n">
        <f aca="false">I445+I453</f>
        <v>96510.54</v>
      </c>
      <c r="J514" s="48"/>
    </row>
    <row r="515" customFormat="false" ht="15.75" hidden="false" customHeight="true" outlineLevel="0" collapsed="false">
      <c r="A515" s="47" t="s">
        <v>648</v>
      </c>
      <c r="B515" s="48"/>
      <c r="C515" s="48"/>
      <c r="D515" s="48"/>
      <c r="E515" s="48"/>
      <c r="F515" s="48"/>
      <c r="G515" s="48"/>
      <c r="H515" s="48"/>
      <c r="I515" s="49" t="n">
        <f aca="false">I465+I475+I483+I491+I499+I507</f>
        <v>967856.256</v>
      </c>
      <c r="J515" s="48"/>
    </row>
    <row r="516" customFormat="false" ht="21.75" hidden="false" customHeight="true" outlineLevel="0" collapsed="false">
      <c r="A516" s="1" t="s">
        <v>649</v>
      </c>
      <c r="B516" s="50"/>
      <c r="C516" s="50"/>
      <c r="D516" s="50"/>
      <c r="E516" s="50"/>
      <c r="F516" s="50"/>
      <c r="G516" s="50"/>
      <c r="H516" s="50"/>
      <c r="I516" s="51" t="n">
        <f aca="false">I510+I511+I512+I513+I514+I515</f>
        <v>3017921.808</v>
      </c>
      <c r="J516" s="50"/>
    </row>
    <row r="517" customFormat="false" ht="15" hidden="false" customHeight="true" outlineLevel="0" collapsed="false">
      <c r="A517" s="52" t="s">
        <v>650</v>
      </c>
      <c r="B517" s="53"/>
      <c r="C517" s="53"/>
      <c r="D517" s="53"/>
      <c r="E517" s="53"/>
      <c r="F517" s="53"/>
      <c r="G517" s="53"/>
      <c r="H517" s="53"/>
      <c r="I517" s="53"/>
      <c r="J517" s="5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24" hidden="false" customHeight="true" outlineLevel="0" collapsed="false">
      <c r="A1" s="54" t="s">
        <v>651</v>
      </c>
      <c r="B1" s="2"/>
      <c r="C1" s="2"/>
      <c r="D1" s="2"/>
    </row>
    <row r="2" customFormat="false" ht="19.5" hidden="false" customHeight="true" outlineLevel="0" collapsed="false">
      <c r="A2" s="3" t="s">
        <v>652</v>
      </c>
      <c r="B2" s="3" t="s">
        <v>653</v>
      </c>
      <c r="C2" s="3" t="s">
        <v>654</v>
      </c>
      <c r="D2" s="3" t="s">
        <v>655</v>
      </c>
    </row>
    <row r="3" customFormat="false" ht="16.5" hidden="false" customHeight="true" outlineLevel="0" collapsed="false">
      <c r="A3" s="11" t="s">
        <v>643</v>
      </c>
      <c r="B3" s="55" t="n">
        <f aca="false">BOM!I16+BOM!I26+BOM!I36+BOM!I46+BOM!I54+BOM!I62+BOM!I71</f>
        <v>480011.196</v>
      </c>
      <c r="C3" s="24" t="s">
        <v>67</v>
      </c>
      <c r="D3" s="24" t="s">
        <v>656</v>
      </c>
    </row>
    <row r="4" customFormat="false" ht="16.5" hidden="false" customHeight="true" outlineLevel="0" collapsed="false">
      <c r="A4" s="5" t="s">
        <v>644</v>
      </c>
      <c r="B4" s="56" t="n">
        <f aca="false">BOM!I83+BOM!I94+BOM!I105+BOM!I116+BOM!I127+BOM!I138+BOM!I149+BOM!I160+BOM!I171+BOM!I179+BOM!I187+BOM!I195+BOM!I203+BOM!I211+BOM!I219+BOM!I227</f>
        <v>805971.528</v>
      </c>
      <c r="C4" s="28" t="s">
        <v>67</v>
      </c>
      <c r="D4" s="28" t="s">
        <v>657</v>
      </c>
    </row>
    <row r="5" customFormat="false" ht="16.5" hidden="false" customHeight="true" outlineLevel="0" collapsed="false">
      <c r="A5" s="11" t="s">
        <v>645</v>
      </c>
      <c r="B5" s="55" t="n">
        <f aca="false">BOM!I239+BOM!I250+BOM!I261+BOM!I272+BOM!I283+BOM!I293+BOM!I303+BOM!I313+BOM!I323+BOM!I333+BOM!I341+BOM!I349+BOM!I357+BOM!I365+BOM!I373+BOM!I381+BOM!I389+BOM!I397+BOM!I405+BOM!I413</f>
        <v>609334.368</v>
      </c>
      <c r="C5" s="24" t="s">
        <v>67</v>
      </c>
      <c r="D5" s="24" t="s">
        <v>658</v>
      </c>
    </row>
    <row r="6" customFormat="false" ht="16.5" hidden="false" customHeight="true" outlineLevel="0" collapsed="false">
      <c r="A6" s="5" t="s">
        <v>646</v>
      </c>
      <c r="B6" s="56" t="n">
        <f aca="false">BOM!I425+BOM!I433</f>
        <v>58237.92</v>
      </c>
      <c r="C6" s="28" t="s">
        <v>67</v>
      </c>
      <c r="D6" s="28" t="s">
        <v>659</v>
      </c>
    </row>
    <row r="7" customFormat="false" ht="16.5" hidden="false" customHeight="true" outlineLevel="0" collapsed="false">
      <c r="A7" s="11" t="s">
        <v>647</v>
      </c>
      <c r="B7" s="55" t="n">
        <f aca="false">BOM!I445+BOM!I453</f>
        <v>96510.54</v>
      </c>
      <c r="C7" s="24" t="s">
        <v>67</v>
      </c>
      <c r="D7" s="24" t="s">
        <v>659</v>
      </c>
    </row>
    <row r="8" customFormat="false" ht="16.5" hidden="false" customHeight="true" outlineLevel="0" collapsed="false">
      <c r="A8" s="5" t="s">
        <v>648</v>
      </c>
      <c r="B8" s="56" t="n">
        <f aca="false">BOM!I465+BOM!I475+BOM!I483+BOM!I491+BOM!I499+BOM!I507</f>
        <v>967856.256</v>
      </c>
      <c r="C8" s="28" t="s">
        <v>67</v>
      </c>
      <c r="D8" s="28" t="s">
        <v>660</v>
      </c>
    </row>
    <row r="9" customFormat="false" ht="21.75" hidden="false" customHeight="true" outlineLevel="0" collapsed="false">
      <c r="A9" s="57" t="s">
        <v>661</v>
      </c>
      <c r="B9" s="58" t="n">
        <f aca="false">B3+B4+B5+B6+B7+B8</f>
        <v>3017921.808</v>
      </c>
      <c r="C9" s="59" t="s">
        <v>662</v>
      </c>
      <c r="D9" s="59" t="s">
        <v>663</v>
      </c>
    </row>
    <row r="11" customFormat="false" ht="15" hidden="false" customHeight="false" outlineLevel="0" collapsed="false">
      <c r="A11" s="60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2026-06-10T03:51:22Z</dcterms:created>
  <dc:creator>openpyxl</dc:creator>
  <dc:description/>
  <dc:language>en-US</dc:language>
  <cp:lastModifiedBy/>
  <dcterms:modified xsi:type="dcterms:W3CDTF">2026-06-10T03:51:23Z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