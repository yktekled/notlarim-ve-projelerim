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428 atrau islam konsert zal salamat atrau\260610 files++\"/>
    </mc:Choice>
  </mc:AlternateContent>
  <xr:revisionPtr revIDLastSave="0" documentId="13_ncr:1_{FDABA51B-885F-4335-A088-0EB7D56E58AF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ПАРАМЕТРЫ" sheetId="1" r:id="rId1"/>
    <sheet name="BOM" sheetId="2" r:id="rId2"/>
    <sheet name="СВОДНАЯ" sheetId="3" r:id="rId3"/>
  </sheets>
  <definedNames>
    <definedName name="_xlnm._FilterDatabase" localSheetId="1" hidden="1">BOM!$A$2:$J$465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9" i="2" l="1"/>
  <c r="G29" i="2"/>
  <c r="D41" i="1"/>
  <c r="D40" i="1"/>
  <c r="H39" i="2" s="1"/>
  <c r="D39" i="1"/>
  <c r="H40" i="2"/>
  <c r="G39" i="2"/>
  <c r="G48" i="2"/>
  <c r="G31" i="2"/>
  <c r="H31" i="2"/>
  <c r="I31" i="2" s="1"/>
  <c r="H21" i="2"/>
  <c r="G21" i="2"/>
  <c r="H22" i="2"/>
  <c r="I21" i="2"/>
  <c r="A4" i="2"/>
  <c r="B450" i="2"/>
  <c r="B443" i="2"/>
  <c r="B436" i="2"/>
  <c r="B429" i="2"/>
  <c r="B420" i="2"/>
  <c r="B410" i="2"/>
  <c r="B402" i="2"/>
  <c r="B392" i="2"/>
  <c r="B384" i="2"/>
  <c r="B374" i="2"/>
  <c r="B366" i="2"/>
  <c r="B359" i="2"/>
  <c r="B352" i="2"/>
  <c r="B345" i="2"/>
  <c r="B338" i="2"/>
  <c r="B331" i="2"/>
  <c r="B324" i="2"/>
  <c r="B317" i="2"/>
  <c r="B310" i="2"/>
  <c r="B303" i="2"/>
  <c r="B294" i="2"/>
  <c r="B285" i="2"/>
  <c r="B276" i="2"/>
  <c r="B267" i="2"/>
  <c r="B258" i="2"/>
  <c r="B248" i="2"/>
  <c r="B238" i="2"/>
  <c r="B228" i="2"/>
  <c r="B218" i="2"/>
  <c r="B208" i="2"/>
  <c r="B200" i="2"/>
  <c r="B193" i="2"/>
  <c r="B186" i="2"/>
  <c r="B179" i="2"/>
  <c r="B172" i="2"/>
  <c r="B165" i="2"/>
  <c r="B158" i="2"/>
  <c r="B148" i="2"/>
  <c r="B138" i="2"/>
  <c r="B128" i="2"/>
  <c r="B118" i="2"/>
  <c r="B108" i="2"/>
  <c r="B98" i="2"/>
  <c r="B78" i="2"/>
  <c r="B68" i="2"/>
  <c r="B59" i="2"/>
  <c r="B52" i="2"/>
  <c r="B45" i="2"/>
  <c r="B36" i="2"/>
  <c r="B27" i="2"/>
  <c r="B17" i="2"/>
  <c r="C459" i="2"/>
  <c r="C460" i="2"/>
  <c r="C461" i="2"/>
  <c r="C462" i="2"/>
  <c r="C463" i="2"/>
  <c r="C458" i="2"/>
  <c r="H455" i="2"/>
  <c r="H454" i="2"/>
  <c r="G453" i="2"/>
  <c r="G452" i="2"/>
  <c r="H448" i="2"/>
  <c r="H447" i="2"/>
  <c r="G446" i="2"/>
  <c r="G445" i="2"/>
  <c r="H441" i="2"/>
  <c r="H440" i="2"/>
  <c r="G439" i="2"/>
  <c r="G438" i="2"/>
  <c r="H434" i="2"/>
  <c r="H433" i="2"/>
  <c r="G432" i="2"/>
  <c r="G431" i="2"/>
  <c r="H427" i="2"/>
  <c r="H426" i="2"/>
  <c r="G423" i="2"/>
  <c r="G422" i="2"/>
  <c r="H418" i="2"/>
  <c r="H417" i="2"/>
  <c r="G414" i="2"/>
  <c r="G413" i="2"/>
  <c r="G412" i="2"/>
  <c r="H407" i="2"/>
  <c r="H406" i="2"/>
  <c r="G405" i="2"/>
  <c r="G404" i="2"/>
  <c r="H400" i="2"/>
  <c r="H399" i="2"/>
  <c r="G397" i="2"/>
  <c r="G396" i="2"/>
  <c r="G395" i="2"/>
  <c r="G394" i="2"/>
  <c r="H389" i="2"/>
  <c r="H388" i="2"/>
  <c r="G387" i="2"/>
  <c r="G386" i="2"/>
  <c r="H382" i="2"/>
  <c r="H381" i="2"/>
  <c r="G380" i="2"/>
  <c r="G379" i="2"/>
  <c r="G378" i="2"/>
  <c r="G377" i="2"/>
  <c r="G376" i="2"/>
  <c r="H371" i="2"/>
  <c r="H370" i="2"/>
  <c r="G369" i="2"/>
  <c r="G368" i="2"/>
  <c r="H364" i="2"/>
  <c r="H363" i="2"/>
  <c r="G362" i="2"/>
  <c r="G361" i="2"/>
  <c r="H357" i="2"/>
  <c r="H356" i="2"/>
  <c r="G355" i="2"/>
  <c r="G354" i="2"/>
  <c r="H350" i="2"/>
  <c r="H349" i="2"/>
  <c r="G348" i="2"/>
  <c r="G347" i="2"/>
  <c r="H343" i="2"/>
  <c r="H342" i="2"/>
  <c r="G341" i="2"/>
  <c r="G340" i="2"/>
  <c r="H336" i="2"/>
  <c r="H335" i="2"/>
  <c r="G334" i="2"/>
  <c r="G333" i="2"/>
  <c r="H329" i="2"/>
  <c r="H328" i="2"/>
  <c r="G327" i="2"/>
  <c r="G326" i="2"/>
  <c r="H322" i="2"/>
  <c r="H321" i="2"/>
  <c r="G320" i="2"/>
  <c r="G319" i="2"/>
  <c r="H315" i="2"/>
  <c r="H314" i="2"/>
  <c r="G313" i="2"/>
  <c r="G312" i="2"/>
  <c r="H308" i="2"/>
  <c r="H307" i="2"/>
  <c r="G306" i="2"/>
  <c r="G305" i="2"/>
  <c r="H301" i="2"/>
  <c r="H300" i="2"/>
  <c r="H299" i="2"/>
  <c r="I299" i="2" s="1"/>
  <c r="G299" i="2"/>
  <c r="G298" i="2"/>
  <c r="G297" i="2"/>
  <c r="G296" i="2"/>
  <c r="H292" i="2"/>
  <c r="H291" i="2"/>
  <c r="G290" i="2"/>
  <c r="G289" i="2"/>
  <c r="G288" i="2"/>
  <c r="G287" i="2"/>
  <c r="H283" i="2"/>
  <c r="H282" i="2"/>
  <c r="G281" i="2"/>
  <c r="G280" i="2"/>
  <c r="G279" i="2"/>
  <c r="G278" i="2"/>
  <c r="H274" i="2"/>
  <c r="H273" i="2"/>
  <c r="G272" i="2"/>
  <c r="G271" i="2"/>
  <c r="G270" i="2"/>
  <c r="G269" i="2"/>
  <c r="H265" i="2"/>
  <c r="H264" i="2"/>
  <c r="G263" i="2"/>
  <c r="G262" i="2"/>
  <c r="G261" i="2"/>
  <c r="G260" i="2"/>
  <c r="H256" i="2"/>
  <c r="H255" i="2"/>
  <c r="G254" i="2"/>
  <c r="G253" i="2"/>
  <c r="G252" i="2"/>
  <c r="G251" i="2"/>
  <c r="G250" i="2"/>
  <c r="H246" i="2"/>
  <c r="H245" i="2"/>
  <c r="G244" i="2"/>
  <c r="H243" i="2"/>
  <c r="I243" i="2" s="1"/>
  <c r="G243" i="2"/>
  <c r="G242" i="2"/>
  <c r="G241" i="2"/>
  <c r="G240" i="2"/>
  <c r="H236" i="2"/>
  <c r="H235" i="2"/>
  <c r="G234" i="2"/>
  <c r="G233" i="2"/>
  <c r="G232" i="2"/>
  <c r="G231" i="2"/>
  <c r="G230" i="2"/>
  <c r="H226" i="2"/>
  <c r="H225" i="2"/>
  <c r="G224" i="2"/>
  <c r="G223" i="2"/>
  <c r="G222" i="2"/>
  <c r="G221" i="2"/>
  <c r="G220" i="2"/>
  <c r="H216" i="2"/>
  <c r="H215" i="2"/>
  <c r="G214" i="2"/>
  <c r="H213" i="2"/>
  <c r="I213" i="2" s="1"/>
  <c r="G213" i="2"/>
  <c r="G212" i="2"/>
  <c r="G211" i="2"/>
  <c r="G210" i="2"/>
  <c r="H205" i="2"/>
  <c r="H204" i="2"/>
  <c r="G203" i="2"/>
  <c r="G202" i="2"/>
  <c r="H198" i="2"/>
  <c r="H197" i="2"/>
  <c r="G196" i="2"/>
  <c r="G195" i="2"/>
  <c r="H191" i="2"/>
  <c r="H190" i="2"/>
  <c r="G189" i="2"/>
  <c r="G188" i="2"/>
  <c r="H184" i="2"/>
  <c r="H183" i="2"/>
  <c r="G182" i="2"/>
  <c r="G181" i="2"/>
  <c r="H177" i="2"/>
  <c r="H176" i="2"/>
  <c r="G175" i="2"/>
  <c r="G174" i="2"/>
  <c r="H170" i="2"/>
  <c r="H169" i="2"/>
  <c r="G168" i="2"/>
  <c r="G167" i="2"/>
  <c r="H163" i="2"/>
  <c r="H162" i="2"/>
  <c r="G161" i="2"/>
  <c r="G160" i="2"/>
  <c r="H156" i="2"/>
  <c r="H155" i="2"/>
  <c r="G154" i="2"/>
  <c r="G153" i="2"/>
  <c r="G152" i="2"/>
  <c r="G151" i="2"/>
  <c r="G150" i="2"/>
  <c r="H146" i="2"/>
  <c r="H145" i="2"/>
  <c r="G144" i="2"/>
  <c r="G143" i="2"/>
  <c r="G142" i="2"/>
  <c r="G141" i="2"/>
  <c r="G140" i="2"/>
  <c r="H136" i="2"/>
  <c r="H135" i="2"/>
  <c r="G134" i="2"/>
  <c r="G133" i="2"/>
  <c r="G132" i="2"/>
  <c r="G131" i="2"/>
  <c r="G130" i="2"/>
  <c r="H126" i="2"/>
  <c r="H125" i="2"/>
  <c r="G124" i="2"/>
  <c r="G123" i="2"/>
  <c r="G122" i="2"/>
  <c r="G121" i="2"/>
  <c r="G120" i="2"/>
  <c r="H116" i="2"/>
  <c r="H115" i="2"/>
  <c r="G114" i="2"/>
  <c r="G113" i="2"/>
  <c r="G112" i="2"/>
  <c r="G111" i="2"/>
  <c r="G110" i="2"/>
  <c r="H106" i="2"/>
  <c r="H105" i="2"/>
  <c r="G104" i="2"/>
  <c r="G103" i="2"/>
  <c r="G102" i="2"/>
  <c r="G101" i="2"/>
  <c r="G100" i="2"/>
  <c r="H96" i="2"/>
  <c r="H95" i="2"/>
  <c r="G94" i="2"/>
  <c r="G93" i="2"/>
  <c r="G92" i="2"/>
  <c r="G91" i="2"/>
  <c r="G90" i="2"/>
  <c r="H86" i="2"/>
  <c r="H85" i="2"/>
  <c r="G84" i="2"/>
  <c r="G83" i="2"/>
  <c r="G82" i="2"/>
  <c r="G81" i="2"/>
  <c r="G80" i="2"/>
  <c r="H76" i="2"/>
  <c r="H75" i="2"/>
  <c r="G74" i="2"/>
  <c r="G73" i="2"/>
  <c r="G72" i="2"/>
  <c r="G71" i="2"/>
  <c r="G70" i="2"/>
  <c r="H65" i="2"/>
  <c r="H64" i="2"/>
  <c r="G63" i="2"/>
  <c r="G62" i="2"/>
  <c r="G61" i="2"/>
  <c r="H57" i="2"/>
  <c r="H56" i="2"/>
  <c r="G55" i="2"/>
  <c r="G54" i="2"/>
  <c r="H50" i="2"/>
  <c r="H49" i="2"/>
  <c r="G47" i="2"/>
  <c r="H43" i="2"/>
  <c r="H42" i="2"/>
  <c r="G41" i="2"/>
  <c r="G40" i="2"/>
  <c r="G38" i="2"/>
  <c r="H34" i="2"/>
  <c r="H33" i="2"/>
  <c r="G32" i="2"/>
  <c r="G30" i="2"/>
  <c r="H25" i="2"/>
  <c r="H24" i="2"/>
  <c r="G23" i="2"/>
  <c r="G22" i="2"/>
  <c r="G20" i="2"/>
  <c r="G19" i="2"/>
  <c r="H15" i="2"/>
  <c r="H14" i="2"/>
  <c r="G11" i="2"/>
  <c r="G10" i="2"/>
  <c r="G9" i="2"/>
  <c r="G8" i="2"/>
  <c r="G7" i="2"/>
  <c r="G6" i="2"/>
  <c r="D38" i="1"/>
  <c r="H63" i="2" s="1"/>
  <c r="I63" i="2" s="1"/>
  <c r="D37" i="1"/>
  <c r="H144" i="2" s="1"/>
  <c r="I144" i="2" s="1"/>
  <c r="D36" i="1"/>
  <c r="H23" i="2" s="1"/>
  <c r="I23" i="2" s="1"/>
  <c r="D35" i="1"/>
  <c r="H11" i="2" s="1"/>
  <c r="I11" i="2" s="1"/>
  <c r="D34" i="1"/>
  <c r="D33" i="1"/>
  <c r="H263" i="2" s="1"/>
  <c r="I263" i="2" s="1"/>
  <c r="D32" i="1"/>
  <c r="H6" i="2" s="1"/>
  <c r="I6" i="2" s="1"/>
  <c r="D31" i="1"/>
  <c r="H7" i="2" s="1"/>
  <c r="I7" i="2" s="1"/>
  <c r="D30" i="1"/>
  <c r="D29" i="1"/>
  <c r="H38" i="2" s="1"/>
  <c r="I38" i="2" s="1"/>
  <c r="D28" i="1"/>
  <c r="D27" i="1"/>
  <c r="H386" i="2" s="1"/>
  <c r="I386" i="2" s="1"/>
  <c r="D26" i="1"/>
  <c r="D25" i="1"/>
  <c r="H414" i="2" s="1"/>
  <c r="I414" i="2" s="1"/>
  <c r="D24" i="1"/>
  <c r="D23" i="1"/>
  <c r="H271" i="2" s="1"/>
  <c r="I271" i="2" s="1"/>
  <c r="D22" i="1"/>
  <c r="D21" i="1"/>
  <c r="H394" i="2" s="1"/>
  <c r="I394" i="2" s="1"/>
  <c r="D20" i="1"/>
  <c r="H423" i="2" s="1"/>
  <c r="I423" i="2" s="1"/>
  <c r="D19" i="1"/>
  <c r="H8" i="2" s="1"/>
  <c r="I8" i="2" s="1"/>
  <c r="D18" i="1"/>
  <c r="D17" i="1"/>
  <c r="H405" i="2" s="1"/>
  <c r="I405" i="2" s="1"/>
  <c r="D16" i="1"/>
  <c r="D15" i="1"/>
  <c r="D14" i="1"/>
  <c r="D13" i="1"/>
  <c r="D12" i="1"/>
  <c r="H341" i="2" s="1"/>
  <c r="I341" i="2" s="1"/>
  <c r="D11" i="1"/>
  <c r="D10" i="1"/>
  <c r="H397" i="2" s="1"/>
  <c r="I397" i="2" s="1"/>
  <c r="I39" i="2" l="1"/>
  <c r="H90" i="2"/>
  <c r="I90" i="2" s="1"/>
  <c r="H439" i="2"/>
  <c r="I439" i="2" s="1"/>
  <c r="H174" i="2"/>
  <c r="I174" i="2" s="1"/>
  <c r="H41" i="2"/>
  <c r="I41" i="2" s="1"/>
  <c r="H142" i="2"/>
  <c r="I142" i="2" s="1"/>
  <c r="H195" i="2"/>
  <c r="I195" i="2" s="1"/>
  <c r="I29" i="2"/>
  <c r="H61" i="2"/>
  <c r="I61" i="2" s="1"/>
  <c r="H124" i="2"/>
  <c r="I124" i="2" s="1"/>
  <c r="H100" i="2"/>
  <c r="I100" i="2" s="1"/>
  <c r="H361" i="2"/>
  <c r="I361" i="2" s="1"/>
  <c r="H91" i="2"/>
  <c r="I91" i="2" s="1"/>
  <c r="H269" i="2"/>
  <c r="I269" i="2" s="1"/>
  <c r="H93" i="2"/>
  <c r="I93" i="2" s="1"/>
  <c r="H120" i="2"/>
  <c r="I120" i="2" s="1"/>
  <c r="H150" i="2"/>
  <c r="I150" i="2" s="1"/>
  <c r="H55" i="2"/>
  <c r="I55" i="2" s="1"/>
  <c r="H82" i="2"/>
  <c r="I82" i="2" s="1"/>
  <c r="H168" i="2"/>
  <c r="I168" i="2" s="1"/>
  <c r="H112" i="2"/>
  <c r="I112" i="2" s="1"/>
  <c r="H196" i="2"/>
  <c r="I196" i="2" s="1"/>
  <c r="H70" i="2"/>
  <c r="I70" i="2" s="1"/>
  <c r="H62" i="2"/>
  <c r="I62" i="2" s="1"/>
  <c r="H20" i="2"/>
  <c r="I20" i="2" s="1"/>
  <c r="H94" i="2"/>
  <c r="I94" i="2" s="1"/>
  <c r="H9" i="2"/>
  <c r="I9" i="2" s="1"/>
  <c r="H19" i="2"/>
  <c r="I19" i="2" s="1"/>
  <c r="H73" i="2"/>
  <c r="I73" i="2" s="1"/>
  <c r="H103" i="2"/>
  <c r="I103" i="2" s="1"/>
  <c r="H133" i="2"/>
  <c r="I133" i="2" s="1"/>
  <c r="H181" i="2"/>
  <c r="I181" i="2" s="1"/>
  <c r="H203" i="2"/>
  <c r="I203" i="2" s="1"/>
  <c r="H230" i="2"/>
  <c r="I230" i="2" s="1"/>
  <c r="H234" i="2"/>
  <c r="I234" i="2" s="1"/>
  <c r="H260" i="2"/>
  <c r="I260" i="2" s="1"/>
  <c r="H290" i="2"/>
  <c r="I290" i="2" s="1"/>
  <c r="H312" i="2"/>
  <c r="I312" i="2" s="1"/>
  <c r="H334" i="2"/>
  <c r="I334" i="2" s="1"/>
  <c r="H379" i="2"/>
  <c r="I379" i="2" s="1"/>
  <c r="H452" i="2"/>
  <c r="I452" i="2" s="1"/>
  <c r="H92" i="2"/>
  <c r="I92" i="2" s="1"/>
  <c r="H122" i="2"/>
  <c r="I122" i="2" s="1"/>
  <c r="H253" i="2"/>
  <c r="I253" i="2" s="1"/>
  <c r="H305" i="2"/>
  <c r="I305" i="2" s="1"/>
  <c r="H395" i="2"/>
  <c r="I395" i="2" s="1"/>
  <c r="H445" i="2"/>
  <c r="I445" i="2" s="1"/>
  <c r="H152" i="2"/>
  <c r="I152" i="2" s="1"/>
  <c r="H223" i="2"/>
  <c r="I223" i="2" s="1"/>
  <c r="H279" i="2"/>
  <c r="I279" i="2" s="1"/>
  <c r="H327" i="2"/>
  <c r="I327" i="2" s="1"/>
  <c r="H32" i="2"/>
  <c r="I32" i="2" s="1"/>
  <c r="H54" i="2"/>
  <c r="I54" i="2" s="1"/>
  <c r="H81" i="2"/>
  <c r="I81" i="2" s="1"/>
  <c r="H111" i="2"/>
  <c r="I111" i="2" s="1"/>
  <c r="H141" i="2"/>
  <c r="I141" i="2" s="1"/>
  <c r="H167" i="2"/>
  <c r="I167" i="2" s="1"/>
  <c r="H189" i="2"/>
  <c r="I189" i="2" s="1"/>
  <c r="H212" i="2"/>
  <c r="I212" i="2" s="1"/>
  <c r="H242" i="2"/>
  <c r="I242" i="2" s="1"/>
  <c r="H272" i="2"/>
  <c r="I272" i="2" s="1"/>
  <c r="H298" i="2"/>
  <c r="I298" i="2" s="1"/>
  <c r="H320" i="2"/>
  <c r="I320" i="2" s="1"/>
  <c r="H387" i="2"/>
  <c r="I387" i="2" s="1"/>
  <c r="H412" i="2"/>
  <c r="I412" i="2" s="1"/>
  <c r="H438" i="2"/>
  <c r="I438" i="2" s="1"/>
  <c r="H10" i="2"/>
  <c r="I10" i="2" s="1"/>
  <c r="H47" i="2"/>
  <c r="I47" i="2" s="1"/>
  <c r="H74" i="2"/>
  <c r="I74" i="2" s="1"/>
  <c r="H104" i="2"/>
  <c r="I104" i="2" s="1"/>
  <c r="H130" i="2"/>
  <c r="I130" i="2" s="1"/>
  <c r="H134" i="2"/>
  <c r="I134" i="2" s="1"/>
  <c r="H160" i="2"/>
  <c r="I160" i="2" s="1"/>
  <c r="H182" i="2"/>
  <c r="I182" i="2" s="1"/>
  <c r="H231" i="2"/>
  <c r="I231" i="2" s="1"/>
  <c r="H261" i="2"/>
  <c r="I261" i="2" s="1"/>
  <c r="H287" i="2"/>
  <c r="I287" i="2" s="1"/>
  <c r="H313" i="2"/>
  <c r="I313" i="2" s="1"/>
  <c r="H376" i="2"/>
  <c r="I376" i="2" s="1"/>
  <c r="H380" i="2"/>
  <c r="I380" i="2" s="1"/>
  <c r="H404" i="2"/>
  <c r="I404" i="2" s="1"/>
  <c r="H431" i="2"/>
  <c r="I431" i="2" s="1"/>
  <c r="H453" i="2"/>
  <c r="I453" i="2" s="1"/>
  <c r="I40" i="2"/>
  <c r="H123" i="2"/>
  <c r="I123" i="2" s="1"/>
  <c r="H153" i="2"/>
  <c r="I153" i="2" s="1"/>
  <c r="H175" i="2"/>
  <c r="I175" i="2" s="1"/>
  <c r="H220" i="2"/>
  <c r="I220" i="2" s="1"/>
  <c r="H224" i="2"/>
  <c r="I224" i="2" s="1"/>
  <c r="H250" i="2"/>
  <c r="I250" i="2" s="1"/>
  <c r="H254" i="2"/>
  <c r="I254" i="2" s="1"/>
  <c r="H280" i="2"/>
  <c r="I280" i="2" s="1"/>
  <c r="H306" i="2"/>
  <c r="I306" i="2" s="1"/>
  <c r="H368" i="2"/>
  <c r="I368" i="2" s="1"/>
  <c r="H396" i="2"/>
  <c r="I396" i="2" s="1"/>
  <c r="H422" i="2"/>
  <c r="I422" i="2" s="1"/>
  <c r="H446" i="2"/>
  <c r="I446" i="2" s="1"/>
  <c r="H413" i="2"/>
  <c r="I413" i="2" s="1"/>
  <c r="I22" i="2"/>
  <c r="H48" i="2"/>
  <c r="I48" i="2" s="1"/>
  <c r="H71" i="2"/>
  <c r="I71" i="2" s="1"/>
  <c r="H101" i="2"/>
  <c r="I101" i="2" s="1"/>
  <c r="H131" i="2"/>
  <c r="I131" i="2" s="1"/>
  <c r="H161" i="2"/>
  <c r="I161" i="2" s="1"/>
  <c r="H232" i="2"/>
  <c r="I232" i="2" s="1"/>
  <c r="H262" i="2"/>
  <c r="I262" i="2" s="1"/>
  <c r="H288" i="2"/>
  <c r="I288" i="2" s="1"/>
  <c r="H354" i="2"/>
  <c r="I354" i="2" s="1"/>
  <c r="H377" i="2"/>
  <c r="I377" i="2" s="1"/>
  <c r="H432" i="2"/>
  <c r="I432" i="2" s="1"/>
  <c r="H154" i="2"/>
  <c r="I154" i="2" s="1"/>
  <c r="H221" i="2"/>
  <c r="I221" i="2" s="1"/>
  <c r="H251" i="2"/>
  <c r="I251" i="2" s="1"/>
  <c r="H281" i="2"/>
  <c r="I281" i="2" s="1"/>
  <c r="H347" i="2"/>
  <c r="I347" i="2" s="1"/>
  <c r="H369" i="2"/>
  <c r="I369" i="2" s="1"/>
  <c r="H30" i="2"/>
  <c r="I30" i="2" s="1"/>
  <c r="H83" i="2"/>
  <c r="I83" i="2" s="1"/>
  <c r="H113" i="2"/>
  <c r="I113" i="2" s="1"/>
  <c r="H143" i="2"/>
  <c r="I143" i="2" s="1"/>
  <c r="H210" i="2"/>
  <c r="I210" i="2" s="1"/>
  <c r="H214" i="2"/>
  <c r="I214" i="2" s="1"/>
  <c r="H240" i="2"/>
  <c r="I240" i="2" s="1"/>
  <c r="H244" i="2"/>
  <c r="I244" i="2" s="1"/>
  <c r="H270" i="2"/>
  <c r="I270" i="2" s="1"/>
  <c r="H296" i="2"/>
  <c r="I296" i="2" s="1"/>
  <c r="H340" i="2"/>
  <c r="I340" i="2" s="1"/>
  <c r="H362" i="2"/>
  <c r="I362" i="2" s="1"/>
  <c r="H72" i="2"/>
  <c r="I72" i="2" s="1"/>
  <c r="H102" i="2"/>
  <c r="I102" i="2" s="1"/>
  <c r="H132" i="2"/>
  <c r="I132" i="2" s="1"/>
  <c r="H202" i="2"/>
  <c r="I202" i="2" s="1"/>
  <c r="H233" i="2"/>
  <c r="I233" i="2" s="1"/>
  <c r="H289" i="2"/>
  <c r="I289" i="2" s="1"/>
  <c r="H333" i="2"/>
  <c r="I333" i="2" s="1"/>
  <c r="H355" i="2"/>
  <c r="I355" i="2" s="1"/>
  <c r="H378" i="2"/>
  <c r="I378" i="2" s="1"/>
  <c r="H121" i="2"/>
  <c r="I121" i="2" s="1"/>
  <c r="H151" i="2"/>
  <c r="I151" i="2" s="1"/>
  <c r="H222" i="2"/>
  <c r="I222" i="2" s="1"/>
  <c r="H278" i="2"/>
  <c r="I278" i="2" s="1"/>
  <c r="H326" i="2"/>
  <c r="I326" i="2" s="1"/>
  <c r="H348" i="2"/>
  <c r="I348" i="2" s="1"/>
  <c r="H252" i="2"/>
  <c r="I252" i="2" s="1"/>
  <c r="H80" i="2"/>
  <c r="I80" i="2" s="1"/>
  <c r="H84" i="2"/>
  <c r="I84" i="2" s="1"/>
  <c r="H110" i="2"/>
  <c r="I110" i="2" s="1"/>
  <c r="H114" i="2"/>
  <c r="I114" i="2" s="1"/>
  <c r="H140" i="2"/>
  <c r="I140" i="2" s="1"/>
  <c r="H188" i="2"/>
  <c r="I188" i="2" s="1"/>
  <c r="H211" i="2"/>
  <c r="I211" i="2" s="1"/>
  <c r="H241" i="2"/>
  <c r="I241" i="2" s="1"/>
  <c r="H297" i="2"/>
  <c r="I297" i="2" s="1"/>
  <c r="H319" i="2"/>
  <c r="I319" i="2" s="1"/>
  <c r="I399" i="2" l="1"/>
  <c r="I43" i="2"/>
  <c r="I75" i="2"/>
  <c r="I198" i="2"/>
  <c r="I363" i="2"/>
  <c r="I65" i="2"/>
  <c r="I176" i="2"/>
  <c r="I64" i="2"/>
  <c r="I42" i="2"/>
  <c r="I105" i="2"/>
  <c r="I197" i="2"/>
  <c r="I125" i="2"/>
  <c r="I95" i="2"/>
  <c r="I155" i="2"/>
  <c r="I76" i="2"/>
  <c r="I146" i="2"/>
  <c r="I145" i="2"/>
  <c r="I350" i="2"/>
  <c r="I349" i="2"/>
  <c r="I407" i="2"/>
  <c r="I406" i="2"/>
  <c r="I170" i="2"/>
  <c r="I169" i="2"/>
  <c r="I308" i="2"/>
  <c r="I307" i="2"/>
  <c r="I96" i="2"/>
  <c r="I156" i="2"/>
  <c r="I50" i="2"/>
  <c r="I49" i="2"/>
  <c r="I116" i="2"/>
  <c r="I115" i="2"/>
  <c r="I336" i="2"/>
  <c r="I335" i="2"/>
  <c r="I245" i="2"/>
  <c r="I246" i="2"/>
  <c r="I382" i="2"/>
  <c r="I381" i="2"/>
  <c r="I256" i="2"/>
  <c r="I255" i="2"/>
  <c r="I441" i="2"/>
  <c r="I440" i="2"/>
  <c r="I126" i="2"/>
  <c r="I86" i="2"/>
  <c r="I85" i="2"/>
  <c r="I215" i="2"/>
  <c r="I216" i="2"/>
  <c r="I291" i="2"/>
  <c r="I292" i="2"/>
  <c r="I417" i="2"/>
  <c r="I418" i="2"/>
  <c r="I57" i="2"/>
  <c r="I56" i="2"/>
  <c r="I455" i="2"/>
  <c r="I454" i="2"/>
  <c r="I177" i="2"/>
  <c r="I205" i="2"/>
  <c r="I204" i="2"/>
  <c r="I226" i="2"/>
  <c r="I225" i="2"/>
  <c r="I25" i="2"/>
  <c r="I24" i="2"/>
  <c r="I15" i="2"/>
  <c r="I388" i="2"/>
  <c r="I321" i="2"/>
  <c r="I322" i="2"/>
  <c r="I329" i="2"/>
  <c r="I328" i="2"/>
  <c r="I106" i="2"/>
  <c r="I357" i="2"/>
  <c r="I356" i="2"/>
  <c r="I315" i="2"/>
  <c r="I314" i="2"/>
  <c r="I14" i="2"/>
  <c r="I389" i="2"/>
  <c r="I184" i="2"/>
  <c r="I183" i="2"/>
  <c r="I282" i="2"/>
  <c r="I283" i="2"/>
  <c r="I163" i="2"/>
  <c r="I162" i="2"/>
  <c r="I400" i="2"/>
  <c r="I426" i="2"/>
  <c r="I427" i="2"/>
  <c r="I265" i="2"/>
  <c r="I264" i="2"/>
  <c r="I364" i="2"/>
  <c r="I273" i="2"/>
  <c r="I34" i="2"/>
  <c r="I343" i="2"/>
  <c r="I342" i="2"/>
  <c r="I136" i="2"/>
  <c r="I135" i="2"/>
  <c r="I448" i="2"/>
  <c r="I447" i="2"/>
  <c r="I274" i="2"/>
  <c r="I33" i="2"/>
  <c r="I191" i="2"/>
  <c r="I190" i="2"/>
  <c r="I301" i="2"/>
  <c r="I300" i="2"/>
  <c r="I370" i="2"/>
  <c r="I371" i="2"/>
  <c r="I434" i="2"/>
  <c r="I433" i="2"/>
  <c r="I236" i="2"/>
  <c r="I235" i="2"/>
  <c r="I77" i="2" l="1"/>
  <c r="I66" i="2"/>
  <c r="I344" i="2"/>
  <c r="I178" i="2"/>
  <c r="I51" i="2"/>
  <c r="I58" i="2"/>
  <c r="I107" i="2"/>
  <c r="I365" i="2"/>
  <c r="I26" i="2"/>
  <c r="I449" i="2"/>
  <c r="I171" i="2"/>
  <c r="I44" i="2"/>
  <c r="I117" i="2"/>
  <c r="I383" i="2"/>
  <c r="I435" i="2"/>
  <c r="I401" i="2"/>
  <c r="I358" i="2"/>
  <c r="I199" i="2"/>
  <c r="I35" i="2"/>
  <c r="I137" i="2"/>
  <c r="I408" i="2"/>
  <c r="I275" i="2"/>
  <c r="I157" i="2"/>
  <c r="I266" i="2"/>
  <c r="I97" i="2"/>
  <c r="I192" i="2"/>
  <c r="I390" i="2"/>
  <c r="I257" i="2"/>
  <c r="I147" i="2"/>
  <c r="I237" i="2"/>
  <c r="I316" i="2"/>
  <c r="I309" i="2"/>
  <c r="I164" i="2"/>
  <c r="I87" i="2"/>
  <c r="I330" i="2"/>
  <c r="I302" i="2"/>
  <c r="I185" i="2"/>
  <c r="I323" i="2"/>
  <c r="I442" i="2"/>
  <c r="I351" i="2"/>
  <c r="I428" i="2"/>
  <c r="I227" i="2"/>
  <c r="I293" i="2"/>
  <c r="I419" i="2"/>
  <c r="I247" i="2"/>
  <c r="I372" i="2"/>
  <c r="I206" i="2"/>
  <c r="I337" i="2"/>
  <c r="I456" i="2"/>
  <c r="I127" i="2"/>
  <c r="I284" i="2"/>
  <c r="I217" i="2"/>
  <c r="I16" i="2"/>
  <c r="I458" i="2" l="1"/>
  <c r="I462" i="2"/>
  <c r="B3" i="3"/>
  <c r="B6" i="3"/>
  <c r="B7" i="3"/>
  <c r="B8" i="3"/>
  <c r="I463" i="2"/>
  <c r="I461" i="2"/>
  <c r="I459" i="2"/>
  <c r="B5" i="3"/>
  <c r="B4" i="3"/>
  <c r="I460" i="2"/>
  <c r="B9" i="3" l="1"/>
  <c r="I464" i="2"/>
</calcChain>
</file>

<file path=xl/sharedStrings.xml><?xml version="1.0" encoding="utf-8"?>
<sst xmlns="http://schemas.openxmlformats.org/spreadsheetml/2006/main" count="2284" uniqueCount="674">
  <si>
    <t>ПАРАМЕТРЫ — Проект 260608 — ABB</t>
  </si>
  <si>
    <t>Параметр</t>
  </si>
  <si>
    <t>Значение
(ред.)</t>
  </si>
  <si>
    <t>Описание</t>
  </si>
  <si>
    <t>EUR/KZT курс</t>
  </si>
  <si>
    <t>Обновить с XE.com</t>
  </si>
  <si>
    <t>Коэф.скидки ABB (0.33)</t>
  </si>
  <si>
    <t>Скидка на покупку</t>
  </si>
  <si>
    <t>Коэф.надбавки (ABB EUR)</t>
  </si>
  <si>
    <t>Транспорт + накладные (только для EUR)</t>
  </si>
  <si>
    <t>Монтажные материалы %</t>
  </si>
  <si>
    <t>% от суммы компонентов</t>
  </si>
  <si>
    <t>Монтажная работа %</t>
  </si>
  <si>
    <t>Ключ</t>
  </si>
  <si>
    <t>Цена (список)
(ред.)</t>
  </si>
  <si>
    <t>Наименование / Артикул</t>
  </si>
  <si>
    <t>Цена нетто KZT
(формула)</t>
  </si>
  <si>
    <t>S201-C6</t>
  </si>
  <si>
    <t>Авт.выкл. 1P C6  S201-C6  [2CDS251001R0064]</t>
  </si>
  <si>
    <t>S201-C10</t>
  </si>
  <si>
    <t>Авт.выкл. 1P C10 S201-C10  [2CDS251001R0104]</t>
  </si>
  <si>
    <t>S201-C16</t>
  </si>
  <si>
    <t>Авт.выкл. 1P C16 S201-C16  [2CDS251001R0164]</t>
  </si>
  <si>
    <t>S201-C20</t>
  </si>
  <si>
    <t>Авт.выкл. 1P C20 S201-C20  [2CDS251001R0204]</t>
  </si>
  <si>
    <t>S201-C25</t>
  </si>
  <si>
    <t>Авт.выкл. 1P C25 S201-C25  [2CDS251001R0254]</t>
  </si>
  <si>
    <t>S201-C32</t>
  </si>
  <si>
    <t>Авт.выкл. 1P C32 S201-C32  [2CDS251001R0324]</t>
  </si>
  <si>
    <t>S203-C6</t>
  </si>
  <si>
    <t>Авт.выкл. 3P C6  S203-C6  [2CDS253001R0064]</t>
  </si>
  <si>
    <t>S203-C10</t>
  </si>
  <si>
    <t>Авт.выкл. 3P C10 S203-C10  [2CDS253001R0104]</t>
  </si>
  <si>
    <t>S203-C16</t>
  </si>
  <si>
    <t>Авт.выкл. 3P C16 S203-C16  [2CDS253001R0164]</t>
  </si>
  <si>
    <t>S203-C20</t>
  </si>
  <si>
    <t>Авт.выкл. 3P C20 S203-C20  [2CDS253001R0204]</t>
  </si>
  <si>
    <t>S203-C25</t>
  </si>
  <si>
    <t>Авт.выкл. 3P C25 S203-C25  [2CDS253001R0254]</t>
  </si>
  <si>
    <t>S203-C32</t>
  </si>
  <si>
    <t>Авт.выкл. 3P C32 S203-C32  [2CDS253001R0324]</t>
  </si>
  <si>
    <t>DS201-C10-30</t>
  </si>
  <si>
    <t>Диф.авт. 1P+N C10 30мА DS201 C10 AC30  [2CSR255080R1104]</t>
  </si>
  <si>
    <t>DS201-C16-30</t>
  </si>
  <si>
    <t>Диф.авт. 1P+N C16 30мА DS201 C16 AC30  [2CSR255080R1164]</t>
  </si>
  <si>
    <t>DS201-C20-30</t>
  </si>
  <si>
    <t>Диф.авт. 1P+N C20 30мА DS201 C20 AC30  [2CSR255080R1204]</t>
  </si>
  <si>
    <t>DS203NC-C10-30</t>
  </si>
  <si>
    <t>Диф.авт. 3P+N C10 30мА DS203NC C10 AC30  [2CSR256040R1104]</t>
  </si>
  <si>
    <t>DS203NC-C16-30</t>
  </si>
  <si>
    <t>Диф.авт. 3P+N C16 30мА DS203NC C16 AC30  [2CSR256040R1164]</t>
  </si>
  <si>
    <t>OT25F3</t>
  </si>
  <si>
    <t>Выкл.-разъед. 3P 25А OT25F3  [1SCA104857R1001]</t>
  </si>
  <si>
    <t>OT63F3</t>
  </si>
  <si>
    <t>Выкл.-разъед. 3P 63А OT63F3  [1SCA105332R1001]</t>
  </si>
  <si>
    <t>OT100F3</t>
  </si>
  <si>
    <t>Выкл.-разъед. 3P 100А OT100F3  [1SCA105004R1001]</t>
  </si>
  <si>
    <t>XT1N-80A</t>
  </si>
  <si>
    <t>Авт.выкл. 3P 80А XT1N 160 TMD  [1SDA067---]</t>
  </si>
  <si>
    <t>XT1N-100A</t>
  </si>
  <si>
    <t>Авт.выкл. 3P 100А XT1N 160 TMD  [1SDA067416R1]</t>
  </si>
  <si>
    <t>XT1N-125A</t>
  </si>
  <si>
    <t>Авт.выкл. 3P 125А XT1N 160 TMD  [1SDA067417R1]</t>
  </si>
  <si>
    <t>ESB16-11N</t>
  </si>
  <si>
    <t>Контактор 16А ESB16-11N 230В  [1SBE111111R0611]</t>
  </si>
  <si>
    <t>ESB20-11N</t>
  </si>
  <si>
    <t>Контактор 20А ESB20-11N 230В  [1SBE121111R0611]</t>
  </si>
  <si>
    <t>OTM125</t>
  </si>
  <si>
    <t>АВР 3P 125А OTM125F3CMA230V  [1SCA120070R1001]</t>
  </si>
  <si>
    <t>S3C-A1</t>
  </si>
  <si>
    <t>Независимый расцепитель S3C-A1 AC/DC 12-110V  [2CDS200982R0001]</t>
  </si>
  <si>
    <t>КЛЕММНИК</t>
  </si>
  <si>
    <t>Клеммник монтажный (аналог NSYTRV162)  [—]</t>
  </si>
  <si>
    <t>ЯТП-IEK</t>
  </si>
  <si>
    <t>ЯТП-0,25 230/36В IEK (MTT12-036-0250)  [MTT12-036-0250]</t>
  </si>
  <si>
    <t>УКРМ-10</t>
  </si>
  <si>
    <t>УКРМ 10кВАр 400В, 800×700×250мм  [По запросу]</t>
  </si>
  <si>
    <t>По запросу</t>
  </si>
  <si>
    <t>СПЕЦИФИКАЦИЯ ОБОРУДОВАНИЯ — Проект 260608 — г.Атырау — ABB  |  Формула: KZT = EUR_list × 0.33 × 1.30 × EUR/KZT  |  Параметры → лист ПАРАМЕТРЫ (синие ячейки)</t>
  </si>
  <si>
    <t>№</t>
  </si>
  <si>
    <t>Наименование и техническая характеристика</t>
  </si>
  <si>
    <t>Тип / Марка / Артикул</t>
  </si>
  <si>
    <t>Источник (PDF альбом)</t>
  </si>
  <si>
    <t>Ед.</t>
  </si>
  <si>
    <t>Кол.</t>
  </si>
  <si>
    <t>Цена
список</t>
  </si>
  <si>
    <t>KZT
нетто</t>
  </si>
  <si>
    <t>Сумма
KZT</t>
  </si>
  <si>
    <t>Примечание</t>
  </si>
  <si>
    <t>───  ЭОМ — ГАРАЖ  ───</t>
  </si>
  <si>
    <t>КОМПЛЕКТ 1.  ГРЩ (ЩМП-18.8.4-0 36 УХЛ3 IP31)  |  Альбом 7.4 ЭОМ (Гараж)</t>
  </si>
  <si>
    <t>1.1</t>
  </si>
  <si>
    <t>Teksan f</t>
  </si>
  <si>
    <t>Альбом 7.4 ЭОМ (Гараж)</t>
  </si>
  <si>
    <t>шт</t>
  </si>
  <si>
    <t>—</t>
  </si>
  <si>
    <t>Teksan f — цена TBD</t>
  </si>
  <si>
    <t>1.2</t>
  </si>
  <si>
    <t>Авт.выкл. 3P 125А XT1N 160 TMD</t>
  </si>
  <si>
    <t>1SDA067417R1</t>
  </si>
  <si>
    <t>DPX3 125А / вводной аналог</t>
  </si>
  <si>
    <t>1.3</t>
  </si>
  <si>
    <t>Авт.выкл. 3P 100А XT1N 160 TMD</t>
  </si>
  <si>
    <t>1SDA067416R1</t>
  </si>
  <si>
    <t>Резервный ввод</t>
  </si>
  <si>
    <t>1.4</t>
  </si>
  <si>
    <t>Авт.выкл. 3P C20 S203-C20</t>
  </si>
  <si>
    <t>2CDS253001R0204</t>
  </si>
  <si>
    <t>TX3 20A 3P</t>
  </si>
  <si>
    <t>1.5</t>
  </si>
  <si>
    <t>Авт.выкл. 3P C25 S203-C25</t>
  </si>
  <si>
    <t>2CDS253001R0254</t>
  </si>
  <si>
    <t>TX3 25A 3P</t>
  </si>
  <si>
    <t>1.6</t>
  </si>
  <si>
    <t>Авт.выкл. 1P C6  S201-C6</t>
  </si>
  <si>
    <t>2CDS251001R0064</t>
  </si>
  <si>
    <t>TX3 6A 1P</t>
  </si>
  <si>
    <t>1.7</t>
  </si>
  <si>
    <t>АВР 3P 125А OTM125F3CMA230V</t>
  </si>
  <si>
    <t>1SCA120070R1001</t>
  </si>
  <si>
    <t>АВР TransferPact аналог</t>
  </si>
  <si>
    <t>1.8</t>
  </si>
  <si>
    <t>УКРМ 10кВАр 400В, 800×700×250мм</t>
  </si>
  <si>
    <t>КРМ — 2 шт (ввод1+ввод2) — цена TBD</t>
  </si>
  <si>
    <t>1.9</t>
  </si>
  <si>
    <t>Счётчик электроэнергии 3ф 100А 380В</t>
  </si>
  <si>
    <t>Энергомера СЕ 303 S31 746-JPVZ PLC 1111, 100А, 380В</t>
  </si>
  <si>
    <t>Счётчик/прибор — 3 шт — по одному на каждый ввод ГРЩ — цена По запросу</t>
  </si>
  <si>
    <t>1.10</t>
  </si>
  <si>
    <t>Монтажный материал</t>
  </si>
  <si>
    <t>компл</t>
  </si>
  <si>
    <t>1.11</t>
  </si>
  <si>
    <t>Монтажная работа</t>
  </si>
  <si>
    <t>Итого по ГРЩ (ЩМП-18.8.4-0 36 УХЛ3 IP31) (без корпуса Teksan f):</t>
  </si>
  <si>
    <t>КОМПЛЕКТ 2.  ЩС-В (ЩРн-12з-0 36 УХЛ3 IP54)  |  Альбом 7.4 ЭОМ (Гараж)</t>
  </si>
  <si>
    <t>2.1</t>
  </si>
  <si>
    <t>Корпус — ЩРн-12з-0 36 УХЛ3 IP54</t>
  </si>
  <si>
    <t>2.2</t>
  </si>
  <si>
    <t>Ввод QF1 20А 3P</t>
  </si>
  <si>
    <t>2.3</t>
  </si>
  <si>
    <t>Авт.выкл. 1P C16 S201-C16</t>
  </si>
  <si>
    <t>2CDS251001R0164</t>
  </si>
  <si>
    <t>SF2, SF3</t>
  </si>
  <si>
    <t>2.4</t>
  </si>
  <si>
    <t>Контактор 16А ESB16-11N 230В</t>
  </si>
  <si>
    <t>1SBE111111R0611</t>
  </si>
  <si>
    <t>КМИ 10910 9А — В1+В2+В3</t>
  </si>
  <si>
    <t>2.5</t>
  </si>
  <si>
    <t>Независимый расцепитель S3C-A1 AC/DC 12-110V</t>
  </si>
  <si>
    <t>2CDS200982R0001</t>
  </si>
  <si>
    <t>Независимый расцепитель DRX — пожарный сигнал</t>
  </si>
  <si>
    <t>2.6</t>
  </si>
  <si>
    <t>2.7</t>
  </si>
  <si>
    <t>Итого по ЩС-В (ЩРн-12з-0 36 УХЛ3 IP54) (без корпуса Teksan f):</t>
  </si>
  <si>
    <t>КОМПЛЕКТ 3.  ЩС-П (ЩРн-24з-0 36 УХЛ3 IP54)  |  Альбом 7.4 ЭОМ (Гараж)</t>
  </si>
  <si>
    <t>3.1</t>
  </si>
  <si>
    <t>Корпус — ЩРн-24з-0 36 УХЛ3 IP54</t>
  </si>
  <si>
    <t>3.2</t>
  </si>
  <si>
    <t>Выкл.-разъед. 3P 25А OT25F3</t>
  </si>
  <si>
    <t>1SCA104857R1001</t>
  </si>
  <si>
    <t>ВН-32 25А</t>
  </si>
  <si>
    <t>3.3</t>
  </si>
  <si>
    <t>Диф.авт. 1P+N C16 30мА DS201 C16 AC30</t>
  </si>
  <si>
    <t>2CSR255080R1164</t>
  </si>
  <si>
    <t>АВДТ DX3 1P+N 16А 30мА</t>
  </si>
  <si>
    <t>3.4</t>
  </si>
  <si>
    <t>Авт.выкл. 3P C16 S203-C16</t>
  </si>
  <si>
    <t>2CDS253001R0164</t>
  </si>
  <si>
    <t>TX3 16А 3P</t>
  </si>
  <si>
    <t>3.5</t>
  </si>
  <si>
    <t>TX3 16А 1P</t>
  </si>
  <si>
    <t>3.6</t>
  </si>
  <si>
    <t>3.7</t>
  </si>
  <si>
    <t>Итого по ЩС-П (ЩРн-24з-0 36 УХЛ3 IP54) (без корпуса Teksan f):</t>
  </si>
  <si>
    <t>КОМПЛЕКТ 4.  ЩС-ПО (ЩРн-12з-0 36 УХЛ3 IP54)  |  Альбом 7.4 ЭОМ (Гараж)</t>
  </si>
  <si>
    <t>4.1</t>
  </si>
  <si>
    <t>4.2</t>
  </si>
  <si>
    <t>ВН-32 100А</t>
  </si>
  <si>
    <t>4.3</t>
  </si>
  <si>
    <t>DPX3 80А — Дп1</t>
  </si>
  <si>
    <t>4.4</t>
  </si>
  <si>
    <t>4.5</t>
  </si>
  <si>
    <t>4.6</t>
  </si>
  <si>
    <t>4.7</t>
  </si>
  <si>
    <t>Итого по ЩС-ПО (ЩРн-12з-0 36 УХЛ3 IP54) (без корпуса Teksan f):</t>
  </si>
  <si>
    <t>КОМПЛЕКТ 5.  ЩС-Пн (ЩРн-12з-0 36 УХЛ3 IP54)  |  Альбом 7.4 ЭОМ (Гараж)</t>
  </si>
  <si>
    <t>5.1</t>
  </si>
  <si>
    <t>5.2</t>
  </si>
  <si>
    <t>Ввод</t>
  </si>
  <si>
    <t>5.3</t>
  </si>
  <si>
    <t>Пн1, Пн2 + Зд1</t>
  </si>
  <si>
    <t>5.4</t>
  </si>
  <si>
    <t>5.5</t>
  </si>
  <si>
    <t>Итого по ЩС-Пн (ЩРн-12з-0 36 УХЛ3 IP54) (без корпуса Teksan f):</t>
  </si>
  <si>
    <t>КОМПЛЕКТ 6.  ЩС-Вр (ЩРн-18з-0 36 УХЛ3 IP54)  |  Альбом 7.4 ЭОМ (Гараж)</t>
  </si>
  <si>
    <t>6.1</t>
  </si>
  <si>
    <t>Корпус — ЩРн-18з-0 36 УХЛ3 IP54</t>
  </si>
  <si>
    <t>6.2</t>
  </si>
  <si>
    <t>ВН-32 20А</t>
  </si>
  <si>
    <t>6.3</t>
  </si>
  <si>
    <t>SF1..SF5 — Вр1..Вр5</t>
  </si>
  <si>
    <t>6.4</t>
  </si>
  <si>
    <t>6.5</t>
  </si>
  <si>
    <t>Итого по ЩС-Вр (ЩРн-18з-0 36 УХЛ3 IP54) (без корпуса Teksan f):</t>
  </si>
  <si>
    <t>КОМПЛЕКТ 7.  ЩО (ЩРн-12з-0 36 УХЛ3 IP54)  |  Альбом 7.4 ЭОМ (Гараж)</t>
  </si>
  <si>
    <t>7.1</t>
  </si>
  <si>
    <t>7.2</t>
  </si>
  <si>
    <t>7.3</t>
  </si>
  <si>
    <t>SF1..SF5</t>
  </si>
  <si>
    <t>7.4</t>
  </si>
  <si>
    <t>ЯТП-0,25 230/36В IEK (MTT12-036-0250)</t>
  </si>
  <si>
    <t>MTT12-036-0250</t>
  </si>
  <si>
    <t>ЯТП 220→36В — гр.1 и гр.3</t>
  </si>
  <si>
    <t>7.5</t>
  </si>
  <si>
    <t>7.6</t>
  </si>
  <si>
    <t>Итого по ЩО (ЩРн-12з-0 36 УХЛ3 IP54) (без корпуса Teksan f):</t>
  </si>
  <si>
    <t>───  ЭО — КОНЦЕРТНЫЙ ЗАЛ  ───</t>
  </si>
  <si>
    <t>КОМПЛЕКТ 8.  ЩО-1.1 (ЩРн-36з-0 36 УХЛ3 IP54)  |  Альбом 7.1 ЭО (Концертный зал)</t>
  </si>
  <si>
    <t>8.1</t>
  </si>
  <si>
    <t>Корпус — ЩРн-36з-0 36 УХЛ3 IP54</t>
  </si>
  <si>
    <t>Альбом 7.1 ЭО (Концертный зал)</t>
  </si>
  <si>
    <t>8.2</t>
  </si>
  <si>
    <t>8.3</t>
  </si>
  <si>
    <t>8.4</t>
  </si>
  <si>
    <t>8.5</t>
  </si>
  <si>
    <t>8.6</t>
  </si>
  <si>
    <t>Клеммник монтажный (аналог NSYTRV162)</t>
  </si>
  <si>
    <t>NSYTRV162</t>
  </si>
  <si>
    <t>8.7</t>
  </si>
  <si>
    <t>8.8</t>
  </si>
  <si>
    <t>Итого по ЩО-1.1 (ЩРн-36з-0 36 УХЛ3 IP54) (без корпуса Teksan f):</t>
  </si>
  <si>
    <t>КОМПЛЕКТ 9.  ЩО-1.2 (ЩРн-12з-0 36 УХЛ3 IP54)  |  Альбом 7.1 ЭО (Концертный зал)</t>
  </si>
  <si>
    <t>9.1</t>
  </si>
  <si>
    <t>9.2</t>
  </si>
  <si>
    <t>9.3</t>
  </si>
  <si>
    <t>9.4</t>
  </si>
  <si>
    <t>9.5</t>
  </si>
  <si>
    <t>9.6</t>
  </si>
  <si>
    <t>9.7</t>
  </si>
  <si>
    <t>9.8</t>
  </si>
  <si>
    <t>Итого по ЩО-1.2 (ЩРн-12з-0 36 УХЛ3 IP54) (без корпуса Teksan f):</t>
  </si>
  <si>
    <t>КОМПЛЕКТ 10.  ЩО-1.3 (ЩРн-36з-0 36 УХЛ3 IP54)  |  Альбом 7.1 ЭО (Концертный зал)</t>
  </si>
  <si>
    <t>10.1</t>
  </si>
  <si>
    <t>10.2</t>
  </si>
  <si>
    <t>10.3</t>
  </si>
  <si>
    <t>10.4</t>
  </si>
  <si>
    <t>10.5</t>
  </si>
  <si>
    <t>10.6</t>
  </si>
  <si>
    <t>10.7</t>
  </si>
  <si>
    <t>10.8</t>
  </si>
  <si>
    <t>Итого по ЩО-1.3 (ЩРн-36з-0 36 УХЛ3 IP54) (без корпуса Teksan f):</t>
  </si>
  <si>
    <t>КОМПЛЕКТ 11.  ЩО-2.1 (ЩРн-12з-0 36 УХЛ3 IP54)  |  Альбом 7.1 ЭО (Концертный зал)</t>
  </si>
  <si>
    <t>11.1</t>
  </si>
  <si>
    <t>11.2</t>
  </si>
  <si>
    <t>11.3</t>
  </si>
  <si>
    <t>11.4</t>
  </si>
  <si>
    <t>11.5</t>
  </si>
  <si>
    <t>11.6</t>
  </si>
  <si>
    <t>11.7</t>
  </si>
  <si>
    <t>11.8</t>
  </si>
  <si>
    <t>Итого по ЩО-2.1 (ЩРн-12з-0 36 УХЛ3 IP54) (без корпуса Teksan f):</t>
  </si>
  <si>
    <t>КОМПЛЕКТ 12.  ЩО-2.2 (ЩРн-18з-0 36 УХЛ3 IP54)  |  Альбом 7.1 ЭО (Концертный зал)</t>
  </si>
  <si>
    <t>12.1</t>
  </si>
  <si>
    <t>12.2</t>
  </si>
  <si>
    <t>12.3</t>
  </si>
  <si>
    <t>12.4</t>
  </si>
  <si>
    <t>12.5</t>
  </si>
  <si>
    <t>12.6</t>
  </si>
  <si>
    <t>12.7</t>
  </si>
  <si>
    <t>12.8</t>
  </si>
  <si>
    <t>Итого по ЩО-2.2 (ЩРн-18з-0 36 УХЛ3 IP54) (без корпуса Teksan f):</t>
  </si>
  <si>
    <t>КОМПЛЕКТ 13.  ЩО-3.1 (ЩРн-18з-0 36 УХЛ3 IP54)  |  Альбом 7.1 ЭО (Концертный зал)</t>
  </si>
  <si>
    <t>13.1</t>
  </si>
  <si>
    <t>13.2</t>
  </si>
  <si>
    <t>13.3</t>
  </si>
  <si>
    <t>13.4</t>
  </si>
  <si>
    <t>13.5</t>
  </si>
  <si>
    <t>13.6</t>
  </si>
  <si>
    <t>13.7</t>
  </si>
  <si>
    <t>13.8</t>
  </si>
  <si>
    <t>Итого по ЩО-3.1 (ЩРн-18з-0 36 УХЛ3 IP54) (без корпуса Teksan f):</t>
  </si>
  <si>
    <t>КОМПЛЕКТ 14.  ЩО-3.2 (ЩРн-18з-0 36 УХЛ3 IP54)  |  Альбом 7.1 ЭО (Концертный зал)</t>
  </si>
  <si>
    <t>14.1</t>
  </si>
  <si>
    <t>14.2</t>
  </si>
  <si>
    <t>14.3</t>
  </si>
  <si>
    <t>14.4</t>
  </si>
  <si>
    <t>14.5</t>
  </si>
  <si>
    <t>14.6</t>
  </si>
  <si>
    <t>14.7</t>
  </si>
  <si>
    <t>14.8</t>
  </si>
  <si>
    <t>Итого по ЩО-3.2 (ЩРн-18з-0 36 УХЛ3 IP54) (без корпуса Teksan f):</t>
  </si>
  <si>
    <t>КОМПЛЕКТ 15.  ЩО-3.3 (ЩРн-12з-0 36 УХЛ3 IP54)  |  Альбом 7.1 ЭО (Концертный зал)</t>
  </si>
  <si>
    <t>15.1</t>
  </si>
  <si>
    <t>15.2</t>
  </si>
  <si>
    <t>15.3</t>
  </si>
  <si>
    <t>15.4</t>
  </si>
  <si>
    <t>15.5</t>
  </si>
  <si>
    <t>15.6</t>
  </si>
  <si>
    <t>15.7</t>
  </si>
  <si>
    <t>15.8</t>
  </si>
  <si>
    <t>Итого по ЩО-3.3 (ЩРн-12з-0 36 УХЛ3 IP54) (без корпуса Teksan f):</t>
  </si>
  <si>
    <t>КОМПЛЕКТ 16.  ЩО-Зз (ЩРн-18з-0 36 УХЛ3 IP54)  |  Альбом 7.1 ЭО (Концертный зал)</t>
  </si>
  <si>
    <t>16.1</t>
  </si>
  <si>
    <t>16.2</t>
  </si>
  <si>
    <t>16.3</t>
  </si>
  <si>
    <t>16.4</t>
  </si>
  <si>
    <t>16.5</t>
  </si>
  <si>
    <t>16.6</t>
  </si>
  <si>
    <t>16.7</t>
  </si>
  <si>
    <t>16.8</t>
  </si>
  <si>
    <t>Итого по ЩО-Зз (ЩРн-18з-0 36 УХЛ3 IP54) (без корпуса Teksan f):</t>
  </si>
  <si>
    <t>КОМПЛЕКТ 17.  ЩОА-1.1 (ЩРн-12з-0 36 УХЛ3 IP54)  |  Альбом 7.1 ЭО (Концертный зал)</t>
  </si>
  <si>
    <t>17.1</t>
  </si>
  <si>
    <t>17.2</t>
  </si>
  <si>
    <t>17.3</t>
  </si>
  <si>
    <t>17.4</t>
  </si>
  <si>
    <t>17.5</t>
  </si>
  <si>
    <t>Итого по ЩОА-1.1 (ЩРн-12з-0 36 УХЛ3 IP54) (без корпуса Teksan f):</t>
  </si>
  <si>
    <t>КОМПЛЕКТ 18.  ЩОА-1.2 (ЩРн-12з-0 36 УХЛ3 IP54)  |  Альбом 7.1 ЭО (Концертный зал)</t>
  </si>
  <si>
    <t>18.1</t>
  </si>
  <si>
    <t>18.2</t>
  </si>
  <si>
    <t>18.3</t>
  </si>
  <si>
    <t>18.4</t>
  </si>
  <si>
    <t>18.5</t>
  </si>
  <si>
    <t>Итого по ЩОА-1.2 (ЩРн-12з-0 36 УХЛ3 IP54) (без корпуса Teksan f):</t>
  </si>
  <si>
    <t>КОМПЛЕКТ 19.  ЩОА-1.3 (ЩРн-12з-0 36 УХЛ3 IP54)  |  Альбом 7.1 ЭО (Концертный зал)</t>
  </si>
  <si>
    <t>19.1</t>
  </si>
  <si>
    <t>19.2</t>
  </si>
  <si>
    <t>19.3</t>
  </si>
  <si>
    <t>19.4</t>
  </si>
  <si>
    <t>19.5</t>
  </si>
  <si>
    <t>Итого по ЩОА-1.3 (ЩРн-12з-0 36 УХЛ3 IP54) (без корпуса Teksan f):</t>
  </si>
  <si>
    <t>КОМПЛЕКТ 20.  ЩОА-2.1 (ЩРн-12з-0 36 УХЛ3 IP54)  |  Альбом 7.1 ЭО (Концертный зал)</t>
  </si>
  <si>
    <t>20.1</t>
  </si>
  <si>
    <t>20.2</t>
  </si>
  <si>
    <t>20.3</t>
  </si>
  <si>
    <t>20.4</t>
  </si>
  <si>
    <t>20.5</t>
  </si>
  <si>
    <t>Итого по ЩОА-2.1 (ЩРн-12з-0 36 УХЛ3 IP54) (без корпуса Teksan f):</t>
  </si>
  <si>
    <t>КОМПЛЕКТ 21.  ЩОА-2.2 (ЩРн-12з-0 36 УХЛ3 IP54)  |  Альбом 7.1 ЭО (Концертный зал)</t>
  </si>
  <si>
    <t>21.1</t>
  </si>
  <si>
    <t>21.2</t>
  </si>
  <si>
    <t>21.3</t>
  </si>
  <si>
    <t>21.4</t>
  </si>
  <si>
    <t>21.5</t>
  </si>
  <si>
    <t>Итого по ЩОА-2.2 (ЩРн-12з-0 36 УХЛ3 IP54) (без корпуса Teksan f):</t>
  </si>
  <si>
    <t>КОМПЛЕКТ 22.  ЩОА-3.1 (ЩРн-12з-0 36 УХЛ3 IP54)  |  Альбом 7.1 ЭО (Концертный зал)</t>
  </si>
  <si>
    <t>22.1</t>
  </si>
  <si>
    <t>22.2</t>
  </si>
  <si>
    <t>22.3</t>
  </si>
  <si>
    <t>22.4</t>
  </si>
  <si>
    <t>22.5</t>
  </si>
  <si>
    <t>Итого по ЩОА-3.1 (ЩРн-12з-0 36 УХЛ3 IP54) (без корпуса Teksan f):</t>
  </si>
  <si>
    <t>КОМПЛЕКТ 23.  ЩОА-3.2 (ЩРн-12з-0 36 УХЛ3 IP54)  |  Альбом 7.1 ЭО (Концертный зал)</t>
  </si>
  <si>
    <t>23.1</t>
  </si>
  <si>
    <t>23.2</t>
  </si>
  <si>
    <t>23.3</t>
  </si>
  <si>
    <t>23.4</t>
  </si>
  <si>
    <t>23.5</t>
  </si>
  <si>
    <t>Итого по ЩОА-3.2 (ЩРн-12з-0 36 УХЛ3 IP54) (без корпуса Teksan f):</t>
  </si>
  <si>
    <t>───  ЭО — МУЗЕЙ  ───</t>
  </si>
  <si>
    <t>КОМПЛЕКТ 24.  МЗ-ЩО-0.1 (ЩРн-24з-0 36 УХЛ3 IP54)  |  Альбом 7.1 ЭО (Музей)</t>
  </si>
  <si>
    <t>24.1</t>
  </si>
  <si>
    <t>Альбом 7.1 ЭО (Музей)</t>
  </si>
  <si>
    <t>24.2</t>
  </si>
  <si>
    <t>24.3</t>
  </si>
  <si>
    <t>24.4</t>
  </si>
  <si>
    <t>24.5</t>
  </si>
  <si>
    <t>24.6</t>
  </si>
  <si>
    <t>24.7</t>
  </si>
  <si>
    <t>24.8</t>
  </si>
  <si>
    <t>Итого по МЗ-ЩО-0.1 (ЩРн-24з-0 36 УХЛ3 IP54) (без корпуса Teksan f):</t>
  </si>
  <si>
    <t>КОМПЛЕКТ 25.  МЗ-ЩО-0.2 (ЩРн-24з-0 36 УХЛ3 IP54)  |  Альбом 7.1 ЭО (Музей)</t>
  </si>
  <si>
    <t>25.1</t>
  </si>
  <si>
    <t>25.2</t>
  </si>
  <si>
    <t>25.3</t>
  </si>
  <si>
    <t>25.4</t>
  </si>
  <si>
    <t>25.5</t>
  </si>
  <si>
    <t>25.6</t>
  </si>
  <si>
    <t>25.7</t>
  </si>
  <si>
    <t>25.8</t>
  </si>
  <si>
    <t>Итого по МЗ-ЩО-0.2 (ЩРн-24з-0 36 УХЛ3 IP54) (без корпуса Teksan f):</t>
  </si>
  <si>
    <t>КОМПЛЕКТ 26.  МЗ-ЩО-1.1 (ЩРн-18з-0 36 УХЛ3 IP54)  |  Альбом 7.1 ЭО (Музей)</t>
  </si>
  <si>
    <t>26.1</t>
  </si>
  <si>
    <t>26.2</t>
  </si>
  <si>
    <t>26.3</t>
  </si>
  <si>
    <t>26.4</t>
  </si>
  <si>
    <t>26.5</t>
  </si>
  <si>
    <t>26.6</t>
  </si>
  <si>
    <t>26.7</t>
  </si>
  <si>
    <t>26.8</t>
  </si>
  <si>
    <t>Итого по МЗ-ЩО-1.1 (ЩРн-18з-0 36 УХЛ3 IP54) (без корпуса Teksan f):</t>
  </si>
  <si>
    <t>КОМПЛЕКТ 27.  МЗ-ЩО-1.2 (ЩРн-18з-0 36 УХЛ3 IP54)  |  Альбом 7.1 ЭО (Музей)</t>
  </si>
  <si>
    <t>27.1</t>
  </si>
  <si>
    <t>27.2</t>
  </si>
  <si>
    <t>27.3</t>
  </si>
  <si>
    <t>27.4</t>
  </si>
  <si>
    <t>27.5</t>
  </si>
  <si>
    <t>27.6</t>
  </si>
  <si>
    <t>27.7</t>
  </si>
  <si>
    <t>27.8</t>
  </si>
  <si>
    <t>Итого по МЗ-ЩО-1.2 (ЩРн-18з-0 36 УХЛ3 IP54) (без корпуса Teksan f):</t>
  </si>
  <si>
    <t>КОМПЛЕКТ 28.  МЗ-ЩО-2.1 (ЩРн-24з-0 36 УХЛ3 IP54)  |  Альбом 7.1 ЭО (Музей)</t>
  </si>
  <si>
    <t>28.1</t>
  </si>
  <si>
    <t>28.2</t>
  </si>
  <si>
    <t>28.3</t>
  </si>
  <si>
    <t>28.4</t>
  </si>
  <si>
    <t>28.5</t>
  </si>
  <si>
    <t>28.6</t>
  </si>
  <si>
    <t>28.7</t>
  </si>
  <si>
    <t>28.8</t>
  </si>
  <si>
    <t>Итого по МЗ-ЩО-2.1 (ЩРн-24з-0 36 УХЛ3 IP54) (без корпуса Teksan f):</t>
  </si>
  <si>
    <t>КОМПЛЕКТ 29.  МЗ-ЩО-2.2 (ЩРн-18з-0 36 УХЛ3 IP54)  |  Альбом 7.1 ЭО (Музей)</t>
  </si>
  <si>
    <t>29.1</t>
  </si>
  <si>
    <t>29.2</t>
  </si>
  <si>
    <t>29.3</t>
  </si>
  <si>
    <t>29.4</t>
  </si>
  <si>
    <t>29.5</t>
  </si>
  <si>
    <t>29.6</t>
  </si>
  <si>
    <t>29.7</t>
  </si>
  <si>
    <t>Итого по МЗ-ЩО-2.2 (ЩРн-18з-0 36 УХЛ3 IP54) (без корпуса Teksan f):</t>
  </si>
  <si>
    <t>КОМПЛЕКТ 30.  МЗ-ЩО-3.1 (ЩРн-12з-0 36 УХЛ3 IP54)  |  Альбом 7.1 ЭО (Музей)</t>
  </si>
  <si>
    <t>30.1</t>
  </si>
  <si>
    <t>30.2</t>
  </si>
  <si>
    <t>30.3</t>
  </si>
  <si>
    <t>30.4</t>
  </si>
  <si>
    <t>30.5</t>
  </si>
  <si>
    <t>30.6</t>
  </si>
  <si>
    <t>30.7</t>
  </si>
  <si>
    <t>Итого по МЗ-ЩО-3.1 (ЩРн-12з-0 36 УХЛ3 IP54) (без корпуса Teksan f):</t>
  </si>
  <si>
    <t>КОМПЛЕКТ 31.  МЗ-ЩО-3.2 (ЩРн-12з-0 36 УХЛ3 IP54)  |  Альбом 7.1 ЭО (Музей)</t>
  </si>
  <si>
    <t>31.1</t>
  </si>
  <si>
    <t>31.2</t>
  </si>
  <si>
    <t>31.3</t>
  </si>
  <si>
    <t>31.4</t>
  </si>
  <si>
    <t>31.5</t>
  </si>
  <si>
    <t>31.6</t>
  </si>
  <si>
    <t>31.7</t>
  </si>
  <si>
    <t>Итого по МЗ-ЩО-3.2 (ЩРн-12з-0 36 УХЛ3 IP54) (без корпуса Teksan f):</t>
  </si>
  <si>
    <t>КОМПЛЕКТ 32.  МЗ-ЩО-4.1 (ЩРн-18з-0 36 УХЛ3 IP54)  |  Альбом 7.1 ЭО (Музей)</t>
  </si>
  <si>
    <t>32.1</t>
  </si>
  <si>
    <t>32.2</t>
  </si>
  <si>
    <t>32.3</t>
  </si>
  <si>
    <t>32.4</t>
  </si>
  <si>
    <t>32.5</t>
  </si>
  <si>
    <t>32.6</t>
  </si>
  <si>
    <t>32.7</t>
  </si>
  <si>
    <t>Итого по МЗ-ЩО-4.1 (ЩРн-18з-0 36 УХЛ3 IP54) (без корпуса Teksan f):</t>
  </si>
  <si>
    <t>КОМПЛЕКТ 33.  МЗ-ЩО-4.2 (ЩРн-18з-0 36 УХЛ3 IP54)  |  Альбом 7.1 ЭО (Музей)</t>
  </si>
  <si>
    <t>33.1</t>
  </si>
  <si>
    <t>33.2</t>
  </si>
  <si>
    <t>33.3</t>
  </si>
  <si>
    <t>33.4</t>
  </si>
  <si>
    <t>33.5</t>
  </si>
  <si>
    <t>33.6</t>
  </si>
  <si>
    <t>33.7</t>
  </si>
  <si>
    <t>Итого по МЗ-ЩО-4.2 (ЩРн-18з-0 36 УХЛ3 IP54) (без корпуса Teksan f):</t>
  </si>
  <si>
    <t>КОМПЛЕКТ 34.  МЗ-ЩОА-0.1  |  Альбом 7.1 ЭО (Музей)</t>
  </si>
  <si>
    <t>34.1</t>
  </si>
  <si>
    <t>34.2</t>
  </si>
  <si>
    <t>34.3</t>
  </si>
  <si>
    <t>34.4</t>
  </si>
  <si>
    <t>34.5</t>
  </si>
  <si>
    <t>Итого по МЗ-ЩОА-0.1 (без корпуса Teksan f):</t>
  </si>
  <si>
    <t>КОМПЛЕКТ 35.  МЗ-ЩОА-0.2  |  Альбом 7.1 ЭО (Музей)</t>
  </si>
  <si>
    <t>35.1</t>
  </si>
  <si>
    <t>35.2</t>
  </si>
  <si>
    <t>35.3</t>
  </si>
  <si>
    <t>35.4</t>
  </si>
  <si>
    <t>35.5</t>
  </si>
  <si>
    <t>Итого по МЗ-ЩОА-0.2 (без корпуса Teksan f):</t>
  </si>
  <si>
    <t>КОМПЛЕКТ 36.  МЗ-ЩОА-1.1  |  Альбом 7.1 ЭО (Музей)</t>
  </si>
  <si>
    <t>36.1</t>
  </si>
  <si>
    <t>36.2</t>
  </si>
  <si>
    <t>36.3</t>
  </si>
  <si>
    <t>36.4</t>
  </si>
  <si>
    <t>36.5</t>
  </si>
  <si>
    <t>Итого по МЗ-ЩОА-1.1 (без корпуса Teksan f):</t>
  </si>
  <si>
    <t>КОМПЛЕКТ 37.  МЗ-ЩОА-1.2  |  Альбом 7.1 ЭО (Музей)</t>
  </si>
  <si>
    <t>37.1</t>
  </si>
  <si>
    <t>37.2</t>
  </si>
  <si>
    <t>37.3</t>
  </si>
  <si>
    <t>37.4</t>
  </si>
  <si>
    <t>37.5</t>
  </si>
  <si>
    <t>Итого по МЗ-ЩОА-1.2 (без корпуса Teksan f):</t>
  </si>
  <si>
    <t>КОМПЛЕКТ 38.  МЗ-ЩОА-2.1  |  Альбом 7.1 ЭО (Музей)</t>
  </si>
  <si>
    <t>38.1</t>
  </si>
  <si>
    <t>38.2</t>
  </si>
  <si>
    <t>38.3</t>
  </si>
  <si>
    <t>38.4</t>
  </si>
  <si>
    <t>38.5</t>
  </si>
  <si>
    <t>Итого по МЗ-ЩОА-2.1 (без корпуса Teksan f):</t>
  </si>
  <si>
    <t>КОМПЛЕКТ 39.  МЗ-ЩОА-2.2  |  Альбом 7.1 ЭО (Музей)</t>
  </si>
  <si>
    <t>39.1</t>
  </si>
  <si>
    <t>39.2</t>
  </si>
  <si>
    <t>39.3</t>
  </si>
  <si>
    <t>39.4</t>
  </si>
  <si>
    <t>39.5</t>
  </si>
  <si>
    <t>Итого по МЗ-ЩОА-2.2 (без корпуса Teksan f):</t>
  </si>
  <si>
    <t>КОМПЛЕКТ 40.  МЗ-ЩОА-3.1  |  Альбом 7.1 ЭО (Музей)</t>
  </si>
  <si>
    <t>40.1</t>
  </si>
  <si>
    <t>40.2</t>
  </si>
  <si>
    <t>40.3</t>
  </si>
  <si>
    <t>40.4</t>
  </si>
  <si>
    <t>40.5</t>
  </si>
  <si>
    <t>Итого по МЗ-ЩОА-3.1 (без корпуса Teksan f):</t>
  </si>
  <si>
    <t>КОМПЛЕКТ 41.  МЗ-ЩОА-3.2  |  Альбом 7.1 ЭО (Музей)</t>
  </si>
  <si>
    <t>41.1</t>
  </si>
  <si>
    <t>41.2</t>
  </si>
  <si>
    <t>41.3</t>
  </si>
  <si>
    <t>41.4</t>
  </si>
  <si>
    <t>41.5</t>
  </si>
  <si>
    <t>Итого по МЗ-ЩОА-3.2 (без корпуса Teksan f):</t>
  </si>
  <si>
    <t>КОМПЛЕКТ 42.  МЗ-ЩОА-4.1  |  Альбом 7.1 ЭО (Музей)</t>
  </si>
  <si>
    <t>42.1</t>
  </si>
  <si>
    <t>42.2</t>
  </si>
  <si>
    <t>42.3</t>
  </si>
  <si>
    <t>42.4</t>
  </si>
  <si>
    <t>42.5</t>
  </si>
  <si>
    <t>Итого по МЗ-ЩОА-4.1 (без корпуса Teksan f):</t>
  </si>
  <si>
    <t>КОМПЛЕКТ 43.  МЗ-ЩОА-4.2  |  Альбом 7.1 ЭО (Музей)</t>
  </si>
  <si>
    <t>43.1</t>
  </si>
  <si>
    <t>43.2</t>
  </si>
  <si>
    <t>43.3</t>
  </si>
  <si>
    <t>43.4</t>
  </si>
  <si>
    <t>43.5</t>
  </si>
  <si>
    <t>Итого по МЗ-ЩОА-4.2 (без корпуса Teksan f):</t>
  </si>
  <si>
    <t>───  ЭО — ГАЛЕРЕЯ  ───</t>
  </si>
  <si>
    <t>КОМПЛЕКТ 44.  ГЛ-ЩО (ЩРн-24з-0 36 УХЛ3 IP54)  |  Альбом 7.1 ЭО (Галерея)</t>
  </si>
  <si>
    <t>44.1</t>
  </si>
  <si>
    <t>Альбом 7.1 ЭО (Галерея)</t>
  </si>
  <si>
    <t>44.2</t>
  </si>
  <si>
    <t>44.3</t>
  </si>
  <si>
    <t>44.4</t>
  </si>
  <si>
    <t>44.5</t>
  </si>
  <si>
    <t>44.6</t>
  </si>
  <si>
    <t>44.7</t>
  </si>
  <si>
    <t>44.8</t>
  </si>
  <si>
    <t>Итого по ГЛ-ЩО (ЩРн-24з-0 36 УХЛ3 IP54) (без корпуса Teksan f):</t>
  </si>
  <si>
    <t>КОМПЛЕКТ 45.  ГЛ-ЩОА (ЩРн-12з-0 36 УХЛ3 IP54)  |  Альбом 7.1 ЭО (Галерея)</t>
  </si>
  <si>
    <t>45.1</t>
  </si>
  <si>
    <t>45.2</t>
  </si>
  <si>
    <t>45.3</t>
  </si>
  <si>
    <t>45.4</t>
  </si>
  <si>
    <t>45.5</t>
  </si>
  <si>
    <t>Итого по ГЛ-ЩОА (ЩРн-12з-0 36 УХЛ3 IP54) (без корпуса Teksan f):</t>
  </si>
  <si>
    <t>───  ЭН — НАРУЖНОЕ ОСВЕЩЕНИЕ  ───</t>
  </si>
  <si>
    <t>КОМПЛЕКТ 46.  ЯУО (ЯУО9601-3474-IP65)  |  Альбом 3.4 ЭН (Наружное освещение)</t>
  </si>
  <si>
    <t>46.1</t>
  </si>
  <si>
    <t>Корпус — ЯУО 9601-3474-IP65</t>
  </si>
  <si>
    <t>Альбом 3.4 ЭН (Наружное освещение)</t>
  </si>
  <si>
    <t>46.2</t>
  </si>
  <si>
    <t>Авт.выкл. 3P C32 S203-C32</t>
  </si>
  <si>
    <t>2CDS253001R0324</t>
  </si>
  <si>
    <t>ВА47-29 3P 32А — ввод</t>
  </si>
  <si>
    <t>46.3</t>
  </si>
  <si>
    <t>ВА47-29 3P 25А — на линии</t>
  </si>
  <si>
    <t>46.4</t>
  </si>
  <si>
    <t>Авт.выкл. 3P C10 S203-C10</t>
  </si>
  <si>
    <t>2CDS253001R0104</t>
  </si>
  <si>
    <t>ВА47-29 3P 10А — на линии</t>
  </si>
  <si>
    <t>46.5</t>
  </si>
  <si>
    <t>ВА47-29 1P 6А</t>
  </si>
  <si>
    <t>46.6</t>
  </si>
  <si>
    <t>Счётчик электроэнергии наружного освещения</t>
  </si>
  <si>
    <t>ДАЛА СА4-Э720 ТХ П 380V 5(60)A</t>
  </si>
  <si>
    <t>Счётчик/прибор — Внутри корпуса ЯУО — цена По запросу</t>
  </si>
  <si>
    <t>46.7</t>
  </si>
  <si>
    <t>46.8</t>
  </si>
  <si>
    <t>Итого по ЯУО (ЯУО9601-3474-IP65) (без корпуса Teksan f):</t>
  </si>
  <si>
    <t>КОМПЛЕКТ 47.  ЩР Наружного освещения (Atlantic IP66)  |  Альбом 3.4 ЭН (Наружное освещение)</t>
  </si>
  <si>
    <t>47.1</t>
  </si>
  <si>
    <t>Корпус — Atlantic 330x600x260 IP66</t>
  </si>
  <si>
    <t>47.2</t>
  </si>
  <si>
    <t>ВН-32 25А — вводной</t>
  </si>
  <si>
    <t>47.3</t>
  </si>
  <si>
    <t>ВА47-29 3Р 10А</t>
  </si>
  <si>
    <t>47.4</t>
  </si>
  <si>
    <t>47.5</t>
  </si>
  <si>
    <t>Итого по ЩР Наружного освещения (Atlantic IP66) (без корпуса Teksan f):</t>
  </si>
  <si>
    <t>───  ФО — ФАСАД  ───</t>
  </si>
  <si>
    <t>КОМПЛЕКТ 48.  ЯУО-КОНЦ.ЗАЛ (ЯУО9601-3474-IP31)  |  Альбом 7.3 ФО (Фасадная подсветка)</t>
  </si>
  <si>
    <t>48.1</t>
  </si>
  <si>
    <t>Корпус — ЯУО 9601-3474-IP31</t>
  </si>
  <si>
    <t>Альбом 7.3 ФО (Фасадная подсветка)</t>
  </si>
  <si>
    <t>48.2</t>
  </si>
  <si>
    <t>ВА47-29 3P 32А</t>
  </si>
  <si>
    <t>48.3</t>
  </si>
  <si>
    <t>ВА47-29 3P 25А</t>
  </si>
  <si>
    <t>48.4</t>
  </si>
  <si>
    <t>Диф.авт. 3P+N C10 30мА DS203NC C10 AC30</t>
  </si>
  <si>
    <t>2CSR256040R1104</t>
  </si>
  <si>
    <t>АВДТ32 4P 10А аналог</t>
  </si>
  <si>
    <t>48.5</t>
  </si>
  <si>
    <t>Счётчик электроэнергии фасадного освещения</t>
  </si>
  <si>
    <t>Дала СА4У-Э720 ТХ 5(60)A 380B</t>
  </si>
  <si>
    <t>Счётчик/прибор — По проекту ФО — цена По запросу</t>
  </si>
  <si>
    <t>48.6</t>
  </si>
  <si>
    <t>Бокс защиты прибора учёта IP54</t>
  </si>
  <si>
    <t>ЩУ 1/1-0 У1 МКМ51-N-01-54, 310×300×150мм</t>
  </si>
  <si>
    <t>Счётчик/прибор — Для защиты счётчика — цена По запросу</t>
  </si>
  <si>
    <t>48.7</t>
  </si>
  <si>
    <t>48.8</t>
  </si>
  <si>
    <t>Итого по ЯУО-КОНЦ.ЗАЛ (ЯУО9601-3474-IP31) (без корпуса Teksan f):</t>
  </si>
  <si>
    <t>КОМПЛЕКТ 49.  ЯУО-МУЗЕЙ (ЯУО9601-3474-IP31)  |  Альбом 7.3 ФО (Фасадная подсветка)</t>
  </si>
  <si>
    <t>49.1</t>
  </si>
  <si>
    <t>49.2</t>
  </si>
  <si>
    <t>49.3</t>
  </si>
  <si>
    <t>49.4</t>
  </si>
  <si>
    <t>49.5</t>
  </si>
  <si>
    <t>49.6</t>
  </si>
  <si>
    <t>49.7</t>
  </si>
  <si>
    <t>Итого по ЯУО-МУЗЕЙ (ЯУО9601-3474-IP31) (без корпуса Teksan f):</t>
  </si>
  <si>
    <t>КОМПЛЕКТ 50.  ЩР-1 (ЩМП-7-0 36 УХЛ3 IP31)  |  Альбом 7.3 ФО (Фасадная подсветка)</t>
  </si>
  <si>
    <t>50.1</t>
  </si>
  <si>
    <t>Корпус — ЩМП-7-0 36 УХЛ3 IP31</t>
  </si>
  <si>
    <t>50.2</t>
  </si>
  <si>
    <t>50.3</t>
  </si>
  <si>
    <t>АВДТ32 4P 10А</t>
  </si>
  <si>
    <t>50.4</t>
  </si>
  <si>
    <t>50.5</t>
  </si>
  <si>
    <t>Итого по ЩР-1 (ЩМП-7-0 36 УХЛ3 IP31) (без корпуса Teksan f):</t>
  </si>
  <si>
    <t>КОМПЛЕКТ 51.  ЩР-2 (ЩМП-7-0 36 УХЛ3 IP31)  |  Альбом 7.3 ФО (Фасадная подсветка)</t>
  </si>
  <si>
    <t>51.1</t>
  </si>
  <si>
    <t>51.2</t>
  </si>
  <si>
    <t>51.3</t>
  </si>
  <si>
    <t>51.4</t>
  </si>
  <si>
    <t>51.5</t>
  </si>
  <si>
    <t>Итого по ЩР-2 (ЩМП-7-0 36 УХЛ3 IP31) (без корпуса Teksan f):</t>
  </si>
  <si>
    <t>КОМПЛЕКТ 52.  ЩР-3 (ЩМП-7-0 36 УХЛ3 IP31)  |  Альбом 7.3 ФО (Фасадная подсветка)</t>
  </si>
  <si>
    <t>52.1</t>
  </si>
  <si>
    <t>52.2</t>
  </si>
  <si>
    <t>52.3</t>
  </si>
  <si>
    <t>52.4</t>
  </si>
  <si>
    <t>52.5</t>
  </si>
  <si>
    <t>Итого по ЩР-3 (ЩМП-7-0 36 УХЛ3 IP31) (без корпуса Teksan f):</t>
  </si>
  <si>
    <t>КОМПЛЕКТ 53.  ЩР-4 (ЩМП-7-0 36 УХЛ3 IP31)  |  Альбом 7.3 ФО (Фасадная подсветка)</t>
  </si>
  <si>
    <t>53.1</t>
  </si>
  <si>
    <t>53.2</t>
  </si>
  <si>
    <t>53.3</t>
  </si>
  <si>
    <t>53.4</t>
  </si>
  <si>
    <t>53.5</t>
  </si>
  <si>
    <t>Итого по ЩР-4 (ЩМП-7-0 36 УХЛ3 IP31) (без корпуса Teksan f):</t>
  </si>
  <si>
    <t>ИТОГИ ПО РАЗДЕЛАМ</t>
  </si>
  <si>
    <t>ЭОМ — ГАРАЖ</t>
  </si>
  <si>
    <t>ЭО — КОНЦЕРТНЫЙ ЗАЛ</t>
  </si>
  <si>
    <t>ЭО — МУЗЕЙ</t>
  </si>
  <si>
    <t>ЭО — ГАЛЕРЕЯ</t>
  </si>
  <si>
    <t>ЭН — НАРУЖНОЕ ОСВЕЩЕНИЕ</t>
  </si>
  <si>
    <t>ФО — ФАСАД</t>
  </si>
  <si>
    <t>ИТОГО — ABB + монт.материалы + монт.работа (без корпусов Teksan f, без светотехники и кабелей):</t>
  </si>
  <si>
    <t>Синие ячейки (Кол.) — можно менять здесь  |  EUR/KZT, % монт., цены — лист ПАРАМЕТРЫ (синие ячейки)</t>
  </si>
  <si>
    <t>СВОДНАЯ ВЕДОМОСТЬ — Проект 260608 — ABB</t>
  </si>
  <si>
    <t>Раздел / Источник PDF</t>
  </si>
  <si>
    <t>Итого KZT</t>
  </si>
  <si>
    <t>Корпус Teksan f</t>
  </si>
  <si>
    <t>Щитов</t>
  </si>
  <si>
    <t>7</t>
  </si>
  <si>
    <t>16</t>
  </si>
  <si>
    <t>20</t>
  </si>
  <si>
    <t>2</t>
  </si>
  <si>
    <t>6</t>
  </si>
  <si>
    <t>ИТОГО:</t>
  </si>
  <si>
    <t>TBD</t>
  </si>
  <si>
    <t>53</t>
  </si>
  <si>
    <t>EUR/KZT, %, цены → лист ПАРАМЕТРЫ (синие ячейки)</t>
  </si>
  <si>
    <t>Корпус — ЩМП-18.8.4,5+1 bz-0 36 УХЛ3 IP31</t>
  </si>
  <si>
    <t>2.8</t>
  </si>
  <si>
    <t xml:space="preserve">S 203-C 80 </t>
  </si>
  <si>
    <t>Авт.выкл. 3P C80 S 203-C 80    2CDS253001R0804</t>
  </si>
  <si>
    <t xml:space="preserve"> S 203-C 100 </t>
  </si>
  <si>
    <t xml:space="preserve"> 2CDS253001R0824</t>
  </si>
  <si>
    <t xml:space="preserve"> 2CDS253001R0824 </t>
  </si>
  <si>
    <t xml:space="preserve">Авт.выкл. 3P C80 S 203-C 100  2CDS253001R0824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</si>
</sst>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0"/>
      <color rgb="FF00008B"/>
      <name val="Arial"/>
      <family val="2"/>
      <charset val="204"/>
    </font>
    <font>
      <sz val="8"/>
      <color rgb="FF555555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9"/>
      <color rgb="FF00008B"/>
      <name val="Arial"/>
      <family val="2"/>
      <charset val="204"/>
    </font>
    <font>
      <sz val="8"/>
      <color rgb="FF333333"/>
      <name val="Arial"/>
      <family val="2"/>
      <charset val="204"/>
    </font>
    <font>
      <b/>
      <sz val="9"/>
      <color rgb="FF999999"/>
      <name val="Arial"/>
      <family val="2"/>
      <charset val="204"/>
    </font>
    <font>
      <b/>
      <sz val="9"/>
      <color rgb="FF1F3864"/>
      <name val="Arial"/>
      <family val="2"/>
      <charset val="204"/>
    </font>
    <font>
      <sz val="9"/>
      <color rgb="FF7F4F00"/>
      <name val="Arial"/>
      <family val="2"/>
      <charset val="204"/>
    </font>
    <font>
      <b/>
      <sz val="9"/>
      <color rgb="FF7F4F00"/>
      <name val="Arial"/>
      <family val="2"/>
      <charset val="204"/>
    </font>
    <font>
      <i/>
      <sz val="9"/>
      <color rgb="FF000000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8"/>
      <color rgb="FF444444"/>
      <name val="Arial"/>
      <family val="2"/>
      <charset val="204"/>
    </font>
    <font>
      <sz val="9"/>
      <color theme="0"/>
      <name val="Arial"/>
      <family val="2"/>
      <charset val="204"/>
    </font>
    <font>
      <sz val="8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1F3864"/>
      </patternFill>
    </fill>
    <fill>
      <patternFill patternType="solid">
        <fgColor rgb="FFFFFFFF"/>
        <bgColor rgb="FFF5FFF5"/>
      </patternFill>
    </fill>
    <fill>
      <patternFill patternType="solid">
        <fgColor rgb="FFDDEEFF"/>
        <bgColor rgb="FFE8E8E8"/>
      </patternFill>
    </fill>
    <fill>
      <patternFill patternType="solid">
        <fgColor rgb="FFF2F2F2"/>
        <bgColor rgb="FFE8E8E8"/>
      </patternFill>
    </fill>
    <fill>
      <patternFill patternType="solid">
        <fgColor rgb="FFF5FFF5"/>
        <bgColor rgb="FFFFFFFF"/>
      </patternFill>
    </fill>
    <fill>
      <patternFill patternType="solid">
        <fgColor rgb="FFD6DCE4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E8E8E8"/>
        <bgColor rgb="FFE2EFDA"/>
      </patternFill>
    </fill>
    <fill>
      <patternFill patternType="solid">
        <fgColor rgb="FFD9D9D9"/>
        <bgColor rgb="FFD6DCE4"/>
      </patternFill>
    </fill>
    <fill>
      <patternFill patternType="solid">
        <fgColor rgb="FFE2EFDA"/>
        <bgColor rgb="FFE8E8E8"/>
      </patternFill>
    </fill>
    <fill>
      <patternFill patternType="solid">
        <fgColor rgb="FFBDD7EE"/>
        <bgColor rgb="FFD6DCE4"/>
      </patternFill>
    </fill>
    <fill>
      <patternFill patternType="solid">
        <fgColor rgb="FF4472C4"/>
        <bgColor rgb="FF777777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777777"/>
      </left>
      <right style="medium">
        <color rgb="FF777777"/>
      </right>
      <top style="medium">
        <color rgb="FF777777"/>
      </top>
      <bottom style="medium">
        <color rgb="FF777777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4" fontId="5" fillId="5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2" fontId="5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4" fontId="8" fillId="5" borderId="1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3" fontId="2" fillId="7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center" wrapText="1"/>
    </xf>
    <xf numFmtId="3" fontId="8" fillId="5" borderId="1" xfId="0" applyNumberFormat="1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center" wrapText="1"/>
    </xf>
    <xf numFmtId="3" fontId="2" fillId="9" borderId="2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4" fontId="2" fillId="6" borderId="2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4" fontId="2" fillId="4" borderId="2" xfId="0" applyNumberFormat="1" applyFont="1" applyFill="1" applyBorder="1" applyAlignment="1">
      <alignment horizontal="center" vertical="center" wrapText="1"/>
    </xf>
    <xf numFmtId="3" fontId="2" fillId="4" borderId="2" xfId="0" applyNumberFormat="1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12" fillId="10" borderId="2" xfId="0" applyFont="1" applyFill="1" applyBorder="1" applyAlignment="1">
      <alignment horizontal="left" vertical="center" wrapText="1"/>
    </xf>
    <xf numFmtId="3" fontId="12" fillId="10" borderId="2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14" fillId="11" borderId="2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14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/>
    </xf>
    <xf numFmtId="3" fontId="4" fillId="13" borderId="3" xfId="0" applyNumberFormat="1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left" vertical="center" wrapText="1"/>
    </xf>
    <xf numFmtId="3" fontId="4" fillId="14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3" fontId="4" fillId="6" borderId="3" xfId="0" applyNumberFormat="1" applyFont="1" applyFill="1" applyBorder="1" applyAlignment="1">
      <alignment horizontal="center" vertical="center"/>
    </xf>
    <xf numFmtId="3" fontId="4" fillId="4" borderId="3" xfId="0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right" vertical="center" wrapText="1"/>
    </xf>
    <xf numFmtId="3" fontId="17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AAAAAA"/>
      <rgbColor rgb="FF777777"/>
      <rgbColor rgb="FF9999FF"/>
      <rgbColor rgb="FF993366"/>
      <rgbColor rgb="FFFFF2CC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FF5"/>
      <rgbColor rgb="FFE2EFDA"/>
      <rgbColor rgb="FFF2F2F2"/>
      <rgbColor rgb="FFD6DCE4"/>
      <rgbColor rgb="FFE8E8E8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444444"/>
      <rgbColor rgb="FF7F4F00"/>
      <rgbColor rgb="FF993366"/>
      <rgbColor rgb="FF2E405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opLeftCell="A14" zoomScaleNormal="100" workbookViewId="0">
      <selection activeCell="C20" sqref="C20"/>
    </sheetView>
  </sheetViews>
  <sheetFormatPr defaultColWidth="8.7109375" defaultRowHeight="15" x14ac:dyDescent="0.25"/>
  <cols>
    <col min="1" max="1" width="32" customWidth="1"/>
    <col min="2" max="2" width="16" customWidth="1"/>
    <col min="3" max="3" width="48" customWidth="1"/>
    <col min="4" max="4" width="16" customWidth="1"/>
  </cols>
  <sheetData>
    <row r="1" spans="1:4" ht="19.5" customHeight="1" x14ac:dyDescent="0.25">
      <c r="A1" s="1" t="s">
        <v>0</v>
      </c>
      <c r="B1" s="2"/>
      <c r="C1" s="2"/>
      <c r="D1" s="2"/>
    </row>
    <row r="2" spans="1:4" ht="19.5" customHeight="1" x14ac:dyDescent="0.25">
      <c r="A2" s="3" t="s">
        <v>1</v>
      </c>
      <c r="B2" s="3" t="s">
        <v>2</v>
      </c>
      <c r="C2" s="3" t="s">
        <v>3</v>
      </c>
      <c r="D2" s="4"/>
    </row>
    <row r="3" spans="1:4" ht="16.5" customHeight="1" x14ac:dyDescent="0.25">
      <c r="A3" s="5" t="s">
        <v>4</v>
      </c>
      <c r="B3" s="6">
        <v>590</v>
      </c>
      <c r="C3" s="7" t="s">
        <v>5</v>
      </c>
      <c r="D3" s="8"/>
    </row>
    <row r="4" spans="1:4" ht="16.5" customHeight="1" x14ac:dyDescent="0.25">
      <c r="A4" s="5" t="s">
        <v>6</v>
      </c>
      <c r="B4" s="9">
        <v>0.3</v>
      </c>
      <c r="C4" s="7" t="s">
        <v>7</v>
      </c>
      <c r="D4" s="8"/>
    </row>
    <row r="5" spans="1:4" ht="16.5" customHeight="1" x14ac:dyDescent="0.25">
      <c r="A5" s="5" t="s">
        <v>8</v>
      </c>
      <c r="B5" s="9">
        <v>1.33</v>
      </c>
      <c r="C5" s="7" t="s">
        <v>9</v>
      </c>
      <c r="D5" s="8"/>
    </row>
    <row r="6" spans="1:4" ht="16.5" customHeight="1" x14ac:dyDescent="0.25">
      <c r="A6" s="5" t="s">
        <v>10</v>
      </c>
      <c r="B6" s="6">
        <v>12</v>
      </c>
      <c r="C6" s="7" t="s">
        <v>11</v>
      </c>
      <c r="D6" s="8"/>
    </row>
    <row r="7" spans="1:4" ht="16.5" customHeight="1" x14ac:dyDescent="0.25">
      <c r="A7" s="5" t="s">
        <v>12</v>
      </c>
      <c r="B7" s="6">
        <v>15</v>
      </c>
      <c r="C7" s="7" t="s">
        <v>11</v>
      </c>
      <c r="D7" s="8"/>
    </row>
    <row r="9" spans="1:4" ht="24" customHeight="1" x14ac:dyDescent="0.25">
      <c r="A9" s="10" t="s">
        <v>13</v>
      </c>
      <c r="B9" s="10" t="s">
        <v>14</v>
      </c>
      <c r="C9" s="10" t="s">
        <v>15</v>
      </c>
      <c r="D9" s="10" t="s">
        <v>16</v>
      </c>
    </row>
    <row r="10" spans="1:4" ht="15" customHeight="1" x14ac:dyDescent="0.25">
      <c r="A10" s="11" t="s">
        <v>17</v>
      </c>
      <c r="B10" s="12">
        <v>12.92</v>
      </c>
      <c r="C10" s="13" t="s">
        <v>18</v>
      </c>
      <c r="D10" s="14">
        <f>ПАРАМЕТРЫ!B10*ПАРАМЕТРЫ!B4*ПАРАМЕТРЫ!B5*ПАРАМЕТРЫ!B3</f>
        <v>3041.4971999999998</v>
      </c>
    </row>
    <row r="11" spans="1:4" ht="15" customHeight="1" x14ac:dyDescent="0.25">
      <c r="A11" s="5" t="s">
        <v>19</v>
      </c>
      <c r="B11" s="12">
        <v>10.77</v>
      </c>
      <c r="C11" s="15" t="s">
        <v>20</v>
      </c>
      <c r="D11" s="14">
        <f>ПАРАМЕТРЫ!B11*ПАРАМЕТРЫ!B4*ПАРАМЕТРЫ!B5*ПАРАМЕТРЫ!B3</f>
        <v>2535.3656999999998</v>
      </c>
    </row>
    <row r="12" spans="1:4" ht="15" customHeight="1" x14ac:dyDescent="0.25">
      <c r="A12" s="11" t="s">
        <v>21</v>
      </c>
      <c r="B12" s="12">
        <v>10.77</v>
      </c>
      <c r="C12" s="13" t="s">
        <v>22</v>
      </c>
      <c r="D12" s="14">
        <f>ПАРАМЕТРЫ!B12*ПАРАМЕТРЫ!B4*ПАРАМЕТРЫ!B5*ПАРАМЕТРЫ!B3</f>
        <v>2535.3656999999998</v>
      </c>
    </row>
    <row r="13" spans="1:4" ht="15" customHeight="1" x14ac:dyDescent="0.25">
      <c r="A13" s="5" t="s">
        <v>23</v>
      </c>
      <c r="B13" s="12">
        <v>10.77</v>
      </c>
      <c r="C13" s="15" t="s">
        <v>24</v>
      </c>
      <c r="D13" s="14">
        <f>ПАРАМЕТРЫ!B13*ПАРАМЕТРЫ!B4*ПАРАМЕТРЫ!B5*ПАРАМЕТРЫ!B3</f>
        <v>2535.3656999999998</v>
      </c>
    </row>
    <row r="14" spans="1:4" ht="15" customHeight="1" x14ac:dyDescent="0.25">
      <c r="A14" s="11" t="s">
        <v>25</v>
      </c>
      <c r="B14" s="12">
        <v>10.77</v>
      </c>
      <c r="C14" s="13" t="s">
        <v>26</v>
      </c>
      <c r="D14" s="14">
        <f>ПАРАМЕТРЫ!B14*ПАРАМЕТРЫ!B4*ПАРАМЕТРЫ!B5*ПАРАМЕТРЫ!B3</f>
        <v>2535.3656999999998</v>
      </c>
    </row>
    <row r="15" spans="1:4" ht="15" customHeight="1" x14ac:dyDescent="0.25">
      <c r="A15" s="5" t="s">
        <v>27</v>
      </c>
      <c r="B15" s="12">
        <v>13.46</v>
      </c>
      <c r="C15" s="15" t="s">
        <v>28</v>
      </c>
      <c r="D15" s="14">
        <f>ПАРАМЕТРЫ!B15*ПАРАМЕТРЫ!B4*ПАРАМЕТРЫ!B5*ПАРАМЕТРЫ!B3</f>
        <v>3168.6186000000007</v>
      </c>
    </row>
    <row r="16" spans="1:4" ht="15" customHeight="1" x14ac:dyDescent="0.25">
      <c r="A16" s="11" t="s">
        <v>29</v>
      </c>
      <c r="B16" s="12">
        <v>58.16</v>
      </c>
      <c r="C16" s="13" t="s">
        <v>30</v>
      </c>
      <c r="D16" s="14">
        <f>ПАРАМЕТРЫ!B16*ПАРАМЕТРЫ!B4*ПАРАМЕТРЫ!B5*ПАРАМЕТРЫ!B3</f>
        <v>13691.445599999999</v>
      </c>
    </row>
    <row r="17" spans="1:4" ht="15" customHeight="1" x14ac:dyDescent="0.25">
      <c r="A17" s="5" t="s">
        <v>31</v>
      </c>
      <c r="B17" s="12">
        <v>48.51</v>
      </c>
      <c r="C17" s="15" t="s">
        <v>32</v>
      </c>
      <c r="D17" s="14">
        <f>ПАРАМЕТРЫ!B17*ПАРАМЕТРЫ!B4*ПАРАМЕТРЫ!B5*ПАРАМЕТРЫ!B3</f>
        <v>11419.739100000001</v>
      </c>
    </row>
    <row r="18" spans="1:4" ht="15" customHeight="1" x14ac:dyDescent="0.25">
      <c r="A18" s="11" t="s">
        <v>33</v>
      </c>
      <c r="B18" s="12">
        <v>48.51</v>
      </c>
      <c r="C18" s="13" t="s">
        <v>34</v>
      </c>
      <c r="D18" s="14">
        <f>ПАРАМЕТРЫ!B18*ПАРАМЕТРЫ!B4*ПАРАМЕТРЫ!B5*ПАРАМЕТРЫ!B3</f>
        <v>11419.739100000001</v>
      </c>
    </row>
    <row r="19" spans="1:4" ht="15" customHeight="1" x14ac:dyDescent="0.25">
      <c r="A19" s="5" t="s">
        <v>35</v>
      </c>
      <c r="B19" s="12">
        <v>48.51</v>
      </c>
      <c r="C19" s="15" t="s">
        <v>36</v>
      </c>
      <c r="D19" s="14">
        <f>ПАРАМЕТРЫ!B19*ПАРАМЕТРЫ!B4*ПАРАМЕТРЫ!B5*ПАРАМЕТРЫ!B3</f>
        <v>11419.739100000001</v>
      </c>
    </row>
    <row r="20" spans="1:4" ht="15" customHeight="1" x14ac:dyDescent="0.25">
      <c r="A20" s="11" t="s">
        <v>37</v>
      </c>
      <c r="B20" s="12">
        <v>48.51</v>
      </c>
      <c r="C20" s="13" t="s">
        <v>38</v>
      </c>
      <c r="D20" s="14">
        <f>ПАРАМЕТРЫ!B20*ПАРАМЕТРЫ!B4*ПАРАМЕТРЫ!B5*ПАРАМЕТРЫ!B3</f>
        <v>11419.739100000001</v>
      </c>
    </row>
    <row r="21" spans="1:4" ht="15" customHeight="1" x14ac:dyDescent="0.25">
      <c r="A21" s="5" t="s">
        <v>39</v>
      </c>
      <c r="B21" s="12">
        <v>60.59</v>
      </c>
      <c r="C21" s="15" t="s">
        <v>40</v>
      </c>
      <c r="D21" s="14">
        <f>ПАРАМЕТРЫ!B21*ПАРАМЕТРЫ!B4*ПАРАМЕТРЫ!B5*ПАРАМЕТРЫ!B3</f>
        <v>14263.491899999999</v>
      </c>
    </row>
    <row r="22" spans="1:4" ht="15" customHeight="1" x14ac:dyDescent="0.25">
      <c r="A22" s="11" t="s">
        <v>41</v>
      </c>
      <c r="B22" s="12">
        <v>93.71</v>
      </c>
      <c r="C22" s="13" t="s">
        <v>42</v>
      </c>
      <c r="D22" s="14">
        <f>ПАРАМЕТРЫ!B22*ПАРАМЕТРЫ!B4*ПАРАМЕТРЫ!B5*ПАРАМЕТРЫ!B3</f>
        <v>22060.271099999994</v>
      </c>
    </row>
    <row r="23" spans="1:4" ht="15" customHeight="1" x14ac:dyDescent="0.25">
      <c r="A23" s="5" t="s">
        <v>43</v>
      </c>
      <c r="B23" s="12">
        <v>87.63</v>
      </c>
      <c r="C23" s="15" t="s">
        <v>44</v>
      </c>
      <c r="D23" s="14">
        <f>ПАРАМЕТРЫ!B23*ПАРАМЕТРЫ!B4*ПАРАМЕТРЫ!B5*ПАРАМЕТРЫ!B3</f>
        <v>20628.978300000002</v>
      </c>
    </row>
    <row r="24" spans="1:4" ht="15" customHeight="1" x14ac:dyDescent="0.25">
      <c r="A24" s="11" t="s">
        <v>45</v>
      </c>
      <c r="B24" s="12">
        <v>87.63</v>
      </c>
      <c r="C24" s="13" t="s">
        <v>46</v>
      </c>
      <c r="D24" s="14">
        <f>ПАРАМЕТРЫ!B24*ПАРАМЕТРЫ!B4*ПАРАМЕТРЫ!B5*ПАРАМЕТРЫ!B3</f>
        <v>20628.978300000002</v>
      </c>
    </row>
    <row r="25" spans="1:4" ht="15" customHeight="1" x14ac:dyDescent="0.25">
      <c r="A25" s="5" t="s">
        <v>47</v>
      </c>
      <c r="B25" s="12">
        <v>292</v>
      </c>
      <c r="C25" s="15" t="s">
        <v>48</v>
      </c>
      <c r="D25" s="14">
        <f>ПАРАМЕТРЫ!B25*ПАРАМЕТРЫ!B4*ПАРАМЕТРЫ!B5*ПАРАМЕТРЫ!B3</f>
        <v>68739.72</v>
      </c>
    </row>
    <row r="26" spans="1:4" ht="15" customHeight="1" x14ac:dyDescent="0.25">
      <c r="A26" s="11" t="s">
        <v>49</v>
      </c>
      <c r="B26" s="12">
        <v>292</v>
      </c>
      <c r="C26" s="13" t="s">
        <v>50</v>
      </c>
      <c r="D26" s="14">
        <f>ПАРАМЕТРЫ!B26*ПАРАМЕТРЫ!B4*ПАРАМЕТРЫ!B5*ПАРАМЕТРЫ!B3</f>
        <v>68739.72</v>
      </c>
    </row>
    <row r="27" spans="1:4" ht="15" customHeight="1" x14ac:dyDescent="0.25">
      <c r="A27" s="5" t="s">
        <v>51</v>
      </c>
      <c r="B27" s="12">
        <v>36.68</v>
      </c>
      <c r="C27" s="15" t="s">
        <v>52</v>
      </c>
      <c r="D27" s="14">
        <f>ПАРАМЕТРЫ!B27*ПАРАМЕТРЫ!B4*ПАРАМЕТРЫ!B5*ПАРАМЕТРЫ!B3</f>
        <v>8634.8387999999995</v>
      </c>
    </row>
    <row r="28" spans="1:4" ht="15" customHeight="1" x14ac:dyDescent="0.25">
      <c r="A28" s="11" t="s">
        <v>53</v>
      </c>
      <c r="B28" s="12">
        <v>67.89</v>
      </c>
      <c r="C28" s="13" t="s">
        <v>54</v>
      </c>
      <c r="D28" s="14">
        <f>ПАРАМЕТРЫ!B28*ПАРАМЕТРЫ!B4*ПАРАМЕТРЫ!B5*ПАРАМЕТРЫ!B3</f>
        <v>15981.984900000003</v>
      </c>
    </row>
    <row r="29" spans="1:4" ht="15" customHeight="1" x14ac:dyDescent="0.25">
      <c r="A29" s="5" t="s">
        <v>55</v>
      </c>
      <c r="B29" s="12">
        <v>100.1</v>
      </c>
      <c r="C29" s="15" t="s">
        <v>56</v>
      </c>
      <c r="D29" s="14">
        <f>ПАРАМЕТРЫ!B29*ПАРАМЕТРЫ!B4*ПАРАМЕТРЫ!B5*ПАРАМЕТРЫ!B3</f>
        <v>23564.541000000001</v>
      </c>
    </row>
    <row r="30" spans="1:4" ht="15" customHeight="1" x14ac:dyDescent="0.25">
      <c r="A30" s="11" t="s">
        <v>57</v>
      </c>
      <c r="B30" s="12">
        <v>210</v>
      </c>
      <c r="C30" s="13" t="s">
        <v>58</v>
      </c>
      <c r="D30" s="14">
        <f>ПАРАМЕТРЫ!B30*ПАРАМЕТРЫ!B4*ПАРАМЕТРЫ!B5*ПАРАМЕТРЫ!B3</f>
        <v>49436.100000000006</v>
      </c>
    </row>
    <row r="31" spans="1:4" ht="15" customHeight="1" x14ac:dyDescent="0.25">
      <c r="A31" s="5" t="s">
        <v>59</v>
      </c>
      <c r="B31" s="12">
        <v>246.1</v>
      </c>
      <c r="C31" s="15" t="s">
        <v>60</v>
      </c>
      <c r="D31" s="14">
        <f>ПАРАМЕТРЫ!B31*ПАРАМЕТРЫ!B4*ПАРАМЕТРЫ!B5*ПАРАМЕТРЫ!B3</f>
        <v>57934.400999999998</v>
      </c>
    </row>
    <row r="32" spans="1:4" ht="15" customHeight="1" x14ac:dyDescent="0.25">
      <c r="A32" s="11" t="s">
        <v>61</v>
      </c>
      <c r="B32" s="12">
        <v>308.8</v>
      </c>
      <c r="C32" s="13" t="s">
        <v>62</v>
      </c>
      <c r="D32" s="14">
        <f>ПАРАМЕТРЫ!B32*ПАРАМЕТРЫ!B4*ПАРАМЕТРЫ!B5*ПАРАМЕТРЫ!B3</f>
        <v>72694.608000000007</v>
      </c>
    </row>
    <row r="33" spans="1:4" ht="15" customHeight="1" x14ac:dyDescent="0.25">
      <c r="A33" s="5" t="s">
        <v>63</v>
      </c>
      <c r="B33" s="12">
        <v>41.58</v>
      </c>
      <c r="C33" s="15" t="s">
        <v>64</v>
      </c>
      <c r="D33" s="14">
        <f>ПАРАМЕТРЫ!B33*ПАРАМЕТРЫ!B4*ПАРАМЕТРЫ!B5*ПАРАМЕТРЫ!B3</f>
        <v>9788.3477999999996</v>
      </c>
    </row>
    <row r="34" spans="1:4" ht="15" customHeight="1" x14ac:dyDescent="0.25">
      <c r="A34" s="11" t="s">
        <v>65</v>
      </c>
      <c r="B34" s="12">
        <v>47.51</v>
      </c>
      <c r="C34" s="13" t="s">
        <v>66</v>
      </c>
      <c r="D34" s="14">
        <f>ПАРАМЕТРЫ!B34*ПАРАМЕТРЫ!B4*ПАРАМЕТРЫ!B5*ПАРАМЕТРЫ!B3</f>
        <v>11184.329099999999</v>
      </c>
    </row>
    <row r="35" spans="1:4" ht="15" customHeight="1" x14ac:dyDescent="0.25">
      <c r="A35" s="5" t="s">
        <v>67</v>
      </c>
      <c r="B35" s="12">
        <v>1285</v>
      </c>
      <c r="C35" s="15" t="s">
        <v>68</v>
      </c>
      <c r="D35" s="14">
        <f>ПАРАМЕТРЫ!B35*ПАРАМЕТРЫ!B4*ПАРАМЕТРЫ!B5*ПАРАМЕТРЫ!B3</f>
        <v>302501.85000000003</v>
      </c>
    </row>
    <row r="36" spans="1:4" ht="15" customHeight="1" x14ac:dyDescent="0.25">
      <c r="A36" s="11" t="s">
        <v>69</v>
      </c>
      <c r="B36" s="12">
        <v>62.93</v>
      </c>
      <c r="C36" s="13" t="s">
        <v>70</v>
      </c>
      <c r="D36" s="14">
        <f>ПАРАМЕТРЫ!B36*ПАРАМЕТРЫ!B4*ПАРАМЕТРЫ!B5*ПАРАМЕТРЫ!B3</f>
        <v>14814.3513</v>
      </c>
    </row>
    <row r="37" spans="1:4" ht="15" customHeight="1" x14ac:dyDescent="0.25">
      <c r="A37" s="5" t="s">
        <v>71</v>
      </c>
      <c r="B37" s="12">
        <v>1.5</v>
      </c>
      <c r="C37" s="15" t="s">
        <v>72</v>
      </c>
      <c r="D37" s="14">
        <f>ПАРАМЕТРЫ!B37*ПАРАМЕТРЫ!B4*ПАРАМЕТРЫ!B5*ПАРАМЕТРЫ!B3</f>
        <v>353.11499999999995</v>
      </c>
    </row>
    <row r="38" spans="1:4" ht="15" customHeight="1" x14ac:dyDescent="0.25">
      <c r="A38" s="11" t="s">
        <v>73</v>
      </c>
      <c r="B38" s="16">
        <v>29812</v>
      </c>
      <c r="C38" s="13" t="s">
        <v>74</v>
      </c>
      <c r="D38" s="14">
        <f>ПАРАМЕТРЫ!B38*ПАРАМЕТРЫ!B4</f>
        <v>8943.6</v>
      </c>
    </row>
    <row r="39" spans="1:4" ht="15" customHeight="1" thickBot="1" x14ac:dyDescent="0.3">
      <c r="A39" s="5" t="s">
        <v>75</v>
      </c>
      <c r="B39" s="17">
        <v>0</v>
      </c>
      <c r="C39" s="15" t="s">
        <v>76</v>
      </c>
      <c r="D39" s="14">
        <f>ПАРАМЕТРЫ!B39*ПАРАМЕТРЫ!B5</f>
        <v>0</v>
      </c>
    </row>
    <row r="40" spans="1:4" ht="15" customHeight="1" thickBot="1" x14ac:dyDescent="0.3">
      <c r="A40" s="5" t="s">
        <v>668</v>
      </c>
      <c r="B40" s="12">
        <v>193.8</v>
      </c>
      <c r="C40" s="15" t="s">
        <v>669</v>
      </c>
      <c r="D40" s="14">
        <f>ПАРАМЕТРЫ!B40*ПАРАМЕТРЫ!B4*ПАРАМЕТРЫ!B5*ПАРАМЕТРЫ!B3</f>
        <v>45622.457999999999</v>
      </c>
    </row>
    <row r="41" spans="1:4" ht="15" customHeight="1" thickBot="1" x14ac:dyDescent="0.3">
      <c r="A41" s="5" t="s">
        <v>670</v>
      </c>
      <c r="B41" s="12">
        <v>242.2</v>
      </c>
      <c r="C41" s="15" t="s">
        <v>673</v>
      </c>
      <c r="D41" s="14">
        <f>ПАРАМЕТРЫ!B41*ПАРАМЕТРЫ!B4*ПАРАМЕТРЫ!B5*ПАРАМЕТРЫ!B3</f>
        <v>57016.301999999996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5"/>
  <sheetViews>
    <sheetView tabSelected="1" zoomScaleNormal="100" workbookViewId="0">
      <pane xSplit="12" ySplit="2" topLeftCell="M39" activePane="bottomRight" state="frozen"/>
      <selection pane="topRight" activeCell="M1" sqref="M1"/>
      <selection pane="bottomLeft" activeCell="A3" sqref="A3"/>
      <selection pane="bottomRight" activeCell="C30" sqref="C30"/>
    </sheetView>
  </sheetViews>
  <sheetFormatPr defaultColWidth="8.7109375" defaultRowHeight="25.5" customHeight="1" x14ac:dyDescent="0.25"/>
  <cols>
    <col min="1" max="2" width="38" customWidth="1"/>
    <col min="3" max="3" width="42.28515625" customWidth="1"/>
    <col min="4" max="4" width="51.42578125" customWidth="1"/>
    <col min="5" max="5" width="12" customWidth="1"/>
    <col min="6" max="6" width="5" customWidth="1"/>
    <col min="7" max="7" width="11" customWidth="1"/>
    <col min="8" max="8" width="13" customWidth="1"/>
    <col min="9" max="9" width="14" customWidth="1"/>
    <col min="10" max="10" width="22" customWidth="1"/>
  </cols>
  <sheetData>
    <row r="1" spans="1:10" ht="67.5" customHeight="1" thickBot="1" x14ac:dyDescent="0.3">
      <c r="A1" s="2"/>
      <c r="B1" s="2"/>
      <c r="C1" s="18" t="s">
        <v>78</v>
      </c>
      <c r="D1" s="2"/>
      <c r="E1" s="2"/>
      <c r="F1" s="2"/>
      <c r="G1" s="2"/>
      <c r="H1" s="2"/>
      <c r="I1" s="2"/>
      <c r="J1" s="2"/>
    </row>
    <row r="2" spans="1:10" ht="25.5" customHeight="1" thickBot="1" x14ac:dyDescent="0.3">
      <c r="A2" s="10" t="s">
        <v>79</v>
      </c>
      <c r="B2" s="10" t="s">
        <v>80</v>
      </c>
      <c r="C2" s="10" t="s">
        <v>81</v>
      </c>
      <c r="D2" s="10" t="s">
        <v>82</v>
      </c>
      <c r="E2" s="10" t="s">
        <v>83</v>
      </c>
      <c r="F2" s="10" t="s">
        <v>84</v>
      </c>
      <c r="G2" s="10" t="s">
        <v>85</v>
      </c>
      <c r="H2" s="10" t="s">
        <v>86</v>
      </c>
      <c r="I2" s="10" t="s">
        <v>87</v>
      </c>
      <c r="J2" s="10" t="s">
        <v>88</v>
      </c>
    </row>
    <row r="3" spans="1:10" ht="25.5" customHeight="1" thickBot="1" x14ac:dyDescent="0.3">
      <c r="A3" s="20"/>
      <c r="B3" s="20"/>
      <c r="C3" s="19" t="s">
        <v>89</v>
      </c>
      <c r="D3" s="20"/>
      <c r="E3" s="20"/>
      <c r="F3" s="20"/>
      <c r="G3" s="20"/>
      <c r="H3" s="20"/>
      <c r="I3" s="20"/>
      <c r="J3" s="20"/>
    </row>
    <row r="4" spans="1:10" ht="25.5" customHeight="1" thickBot="1" x14ac:dyDescent="0.3">
      <c r="A4" s="18" t="str">
        <f>B4</f>
        <v>КОМПЛЕКТ 1.  ГРЩ (ЩМП-18.8.4-0 36 УХЛ3 IP31)  |  Альбом 7.4 ЭОМ (Гараж)</v>
      </c>
      <c r="B4" s="18" t="s">
        <v>90</v>
      </c>
      <c r="C4" s="2"/>
      <c r="D4" s="2"/>
      <c r="E4" s="2"/>
      <c r="F4" s="2"/>
      <c r="G4" s="2"/>
      <c r="H4" s="2"/>
      <c r="I4" s="2"/>
      <c r="J4" s="2"/>
    </row>
    <row r="5" spans="1:10" ht="25.5" customHeight="1" x14ac:dyDescent="0.25">
      <c r="A5" s="22" t="s">
        <v>91</v>
      </c>
      <c r="B5" s="22" t="s">
        <v>666</v>
      </c>
      <c r="C5" s="22" t="s">
        <v>92</v>
      </c>
      <c r="D5" s="22" t="s">
        <v>93</v>
      </c>
      <c r="E5" s="21" t="s">
        <v>94</v>
      </c>
      <c r="F5" s="21">
        <v>2</v>
      </c>
      <c r="G5" s="21" t="s">
        <v>95</v>
      </c>
      <c r="H5" s="21" t="s">
        <v>95</v>
      </c>
      <c r="I5" s="23">
        <v>0</v>
      </c>
      <c r="J5" s="22" t="s">
        <v>96</v>
      </c>
    </row>
    <row r="6" spans="1:10" ht="25.5" customHeight="1" x14ac:dyDescent="0.25">
      <c r="A6" s="25" t="s">
        <v>97</v>
      </c>
      <c r="B6" s="25" t="s">
        <v>98</v>
      </c>
      <c r="C6" s="25" t="s">
        <v>99</v>
      </c>
      <c r="D6" s="25" t="s">
        <v>93</v>
      </c>
      <c r="E6" s="24" t="s">
        <v>94</v>
      </c>
      <c r="F6" s="26">
        <v>4</v>
      </c>
      <c r="G6" s="27">
        <f>ПАРАМЕТРЫ!B32</f>
        <v>308.8</v>
      </c>
      <c r="H6" s="28">
        <f>ПАРАМЕТРЫ!D32</f>
        <v>72694.608000000007</v>
      </c>
      <c r="I6" s="28">
        <f t="shared" ref="I6:I11" si="0">F6*H6</f>
        <v>290778.43200000003</v>
      </c>
      <c r="J6" s="25" t="s">
        <v>100</v>
      </c>
    </row>
    <row r="7" spans="1:10" ht="25.5" customHeight="1" x14ac:dyDescent="0.25">
      <c r="A7" s="30" t="s">
        <v>101</v>
      </c>
      <c r="B7" s="30" t="s">
        <v>102</v>
      </c>
      <c r="C7" s="30" t="s">
        <v>103</v>
      </c>
      <c r="D7" s="30" t="s">
        <v>93</v>
      </c>
      <c r="E7" s="29" t="s">
        <v>94</v>
      </c>
      <c r="F7" s="26">
        <v>1</v>
      </c>
      <c r="G7" s="31">
        <f>ПАРАМЕТРЫ!B31</f>
        <v>246.1</v>
      </c>
      <c r="H7" s="32">
        <f>ПАРАМЕТРЫ!D31</f>
        <v>57934.400999999998</v>
      </c>
      <c r="I7" s="32">
        <f t="shared" si="0"/>
        <v>57934.400999999998</v>
      </c>
      <c r="J7" s="30" t="s">
        <v>104</v>
      </c>
    </row>
    <row r="8" spans="1:10" ht="25.5" customHeight="1" x14ac:dyDescent="0.25">
      <c r="A8" s="25" t="s">
        <v>105</v>
      </c>
      <c r="B8" s="25" t="s">
        <v>106</v>
      </c>
      <c r="C8" s="25" t="s">
        <v>107</v>
      </c>
      <c r="D8" s="25" t="s">
        <v>93</v>
      </c>
      <c r="E8" s="24" t="s">
        <v>94</v>
      </c>
      <c r="F8" s="26">
        <v>5</v>
      </c>
      <c r="G8" s="27">
        <f>ПАРАМЕТРЫ!B19</f>
        <v>48.51</v>
      </c>
      <c r="H8" s="28">
        <f>ПАРАМЕТРЫ!D19</f>
        <v>11419.739100000001</v>
      </c>
      <c r="I8" s="28">
        <f t="shared" si="0"/>
        <v>57098.695500000002</v>
      </c>
      <c r="J8" s="25" t="s">
        <v>108</v>
      </c>
    </row>
    <row r="9" spans="1:10" ht="25.5" customHeight="1" x14ac:dyDescent="0.25">
      <c r="A9" s="30" t="s">
        <v>109</v>
      </c>
      <c r="B9" s="30" t="s">
        <v>110</v>
      </c>
      <c r="C9" s="30" t="s">
        <v>111</v>
      </c>
      <c r="D9" s="30" t="s">
        <v>93</v>
      </c>
      <c r="E9" s="29" t="s">
        <v>94</v>
      </c>
      <c r="F9" s="26">
        <v>1</v>
      </c>
      <c r="G9" s="31">
        <f>ПАРАМЕТРЫ!B20</f>
        <v>48.51</v>
      </c>
      <c r="H9" s="32">
        <f>ПАРАМЕТРЫ!D20</f>
        <v>11419.739100000001</v>
      </c>
      <c r="I9" s="32">
        <f t="shared" si="0"/>
        <v>11419.739100000001</v>
      </c>
      <c r="J9" s="30" t="s">
        <v>112</v>
      </c>
    </row>
    <row r="10" spans="1:10" ht="25.5" customHeight="1" x14ac:dyDescent="0.25">
      <c r="A10" s="25" t="s">
        <v>113</v>
      </c>
      <c r="B10" s="25" t="s">
        <v>114</v>
      </c>
      <c r="C10" s="25" t="s">
        <v>115</v>
      </c>
      <c r="D10" s="25" t="s">
        <v>93</v>
      </c>
      <c r="E10" s="24" t="s">
        <v>94</v>
      </c>
      <c r="F10" s="26">
        <v>4</v>
      </c>
      <c r="G10" s="27">
        <f>ПАРАМЕТРЫ!B10</f>
        <v>12.92</v>
      </c>
      <c r="H10" s="28">
        <f>ПАРАМЕТРЫ!D10</f>
        <v>3041.4971999999998</v>
      </c>
      <c r="I10" s="28">
        <f t="shared" si="0"/>
        <v>12165.988799999999</v>
      </c>
      <c r="J10" s="25" t="s">
        <v>116</v>
      </c>
    </row>
    <row r="11" spans="1:10" ht="25.5" customHeight="1" x14ac:dyDescent="0.25">
      <c r="A11" s="30" t="s">
        <v>117</v>
      </c>
      <c r="B11" s="30" t="s">
        <v>118</v>
      </c>
      <c r="C11" s="30" t="s">
        <v>119</v>
      </c>
      <c r="D11" s="30" t="s">
        <v>93</v>
      </c>
      <c r="E11" s="29" t="s">
        <v>94</v>
      </c>
      <c r="F11" s="26">
        <v>2</v>
      </c>
      <c r="G11" s="31">
        <f>ПАРАМЕТРЫ!B35</f>
        <v>1285</v>
      </c>
      <c r="H11" s="32">
        <f>ПАРАМЕТРЫ!D35</f>
        <v>302501.85000000003</v>
      </c>
      <c r="I11" s="32">
        <f t="shared" si="0"/>
        <v>605003.70000000007</v>
      </c>
      <c r="J11" s="30" t="s">
        <v>120</v>
      </c>
    </row>
    <row r="12" spans="1:10" ht="25.5" customHeight="1" x14ac:dyDescent="0.25">
      <c r="A12" s="25" t="s">
        <v>121</v>
      </c>
      <c r="B12" s="25" t="s">
        <v>122</v>
      </c>
      <c r="C12" s="25" t="s">
        <v>77</v>
      </c>
      <c r="D12" s="25" t="s">
        <v>93</v>
      </c>
      <c r="E12" s="24" t="s">
        <v>94</v>
      </c>
      <c r="F12" s="26">
        <v>2</v>
      </c>
      <c r="G12" s="28" t="s">
        <v>95</v>
      </c>
      <c r="H12" s="28" t="s">
        <v>95</v>
      </c>
      <c r="I12" s="28">
        <v>0</v>
      </c>
      <c r="J12" s="25" t="s">
        <v>123</v>
      </c>
    </row>
    <row r="13" spans="1:10" ht="25.5" customHeight="1" x14ac:dyDescent="0.25">
      <c r="A13" s="34" t="s">
        <v>124</v>
      </c>
      <c r="B13" s="34" t="s">
        <v>125</v>
      </c>
      <c r="C13" s="34" t="s">
        <v>126</v>
      </c>
      <c r="D13" s="35" t="s">
        <v>93</v>
      </c>
      <c r="E13" s="33" t="s">
        <v>94</v>
      </c>
      <c r="F13" s="33">
        <v>3</v>
      </c>
      <c r="G13" s="33" t="s">
        <v>95</v>
      </c>
      <c r="H13" s="33" t="s">
        <v>95</v>
      </c>
      <c r="I13" s="36">
        <v>0</v>
      </c>
      <c r="J13" s="35" t="s">
        <v>127</v>
      </c>
    </row>
    <row r="14" spans="1:10" ht="25.5" customHeight="1" x14ac:dyDescent="0.25">
      <c r="A14" s="38" t="s">
        <v>128</v>
      </c>
      <c r="B14" s="38" t="s">
        <v>129</v>
      </c>
      <c r="C14" s="38"/>
      <c r="D14" s="38" t="s">
        <v>93</v>
      </c>
      <c r="E14" s="37" t="s">
        <v>130</v>
      </c>
      <c r="F14" s="37">
        <v>1</v>
      </c>
      <c r="G14" s="37" t="s">
        <v>95</v>
      </c>
      <c r="H14" s="39" t="str">
        <f>ПАРАМЕТРЫ!B6&amp;"%"</f>
        <v>12%</v>
      </c>
      <c r="I14" s="40">
        <f>(I6+I7+I8+I9+I10+I11)*ПАРАМЕТРЫ!B6/100</f>
        <v>124128.114768</v>
      </c>
      <c r="J14" s="38" t="s">
        <v>11</v>
      </c>
    </row>
    <row r="15" spans="1:10" ht="25.5" customHeight="1" thickBot="1" x14ac:dyDescent="0.3">
      <c r="A15" s="42" t="s">
        <v>131</v>
      </c>
      <c r="B15" s="42" t="s">
        <v>132</v>
      </c>
      <c r="C15" s="42"/>
      <c r="D15" s="42" t="s">
        <v>93</v>
      </c>
      <c r="E15" s="41" t="s">
        <v>130</v>
      </c>
      <c r="F15" s="41">
        <v>1</v>
      </c>
      <c r="G15" s="41" t="s">
        <v>95</v>
      </c>
      <c r="H15" s="43" t="str">
        <f>ПАРАМЕТРЫ!B7&amp;"%"</f>
        <v>15%</v>
      </c>
      <c r="I15" s="44">
        <f>(I6+I7+I8+I9+I10+I11)*ПАРАМЕТРЫ!B7/100</f>
        <v>155160.14346000002</v>
      </c>
      <c r="J15" s="42" t="s">
        <v>11</v>
      </c>
    </row>
    <row r="16" spans="1:10" ht="25.5" customHeight="1" thickBot="1" x14ac:dyDescent="0.3">
      <c r="A16" s="45" t="s">
        <v>133</v>
      </c>
      <c r="B16" s="45"/>
      <c r="C16" s="45"/>
      <c r="D16" s="45"/>
      <c r="E16" s="45"/>
      <c r="F16" s="45"/>
      <c r="G16" s="45"/>
      <c r="H16" s="45"/>
      <c r="I16" s="46">
        <f>I6+I7+I8+I9+I10+I11+I14+I15</f>
        <v>1313689.214628</v>
      </c>
      <c r="J16" s="45"/>
    </row>
    <row r="17" spans="1:10" ht="25.5" customHeight="1" thickBot="1" x14ac:dyDescent="0.3">
      <c r="A17" s="59" t="s">
        <v>134</v>
      </c>
      <c r="B17" s="59" t="str">
        <f>A17</f>
        <v>КОМПЛЕКТ 2.  ЩС-В (ЩРн-12з-0 36 УХЛ3 IP54)  |  Альбом 7.4 ЭОМ (Гараж)</v>
      </c>
      <c r="C17" s="2"/>
      <c r="D17" s="2"/>
      <c r="E17" s="2"/>
      <c r="F17" s="2"/>
      <c r="G17" s="2"/>
      <c r="H17" s="2"/>
      <c r="I17" s="2"/>
      <c r="J17" s="2"/>
    </row>
    <row r="18" spans="1:10" ht="25.5" customHeight="1" x14ac:dyDescent="0.25">
      <c r="A18" s="22" t="s">
        <v>135</v>
      </c>
      <c r="B18" s="22" t="s">
        <v>156</v>
      </c>
      <c r="C18" s="22" t="s">
        <v>92</v>
      </c>
      <c r="D18" s="22" t="s">
        <v>93</v>
      </c>
      <c r="E18" s="21" t="s">
        <v>94</v>
      </c>
      <c r="F18" s="21">
        <v>1</v>
      </c>
      <c r="G18" s="21" t="s">
        <v>95</v>
      </c>
      <c r="H18" s="21" t="s">
        <v>95</v>
      </c>
      <c r="I18" s="23">
        <v>0</v>
      </c>
      <c r="J18" s="22" t="s">
        <v>96</v>
      </c>
    </row>
    <row r="19" spans="1:10" ht="25.5" customHeight="1" x14ac:dyDescent="0.25">
      <c r="A19" s="25" t="s">
        <v>137</v>
      </c>
      <c r="B19" s="25" t="s">
        <v>106</v>
      </c>
      <c r="C19" s="25" t="s">
        <v>107</v>
      </c>
      <c r="D19" s="25" t="s">
        <v>93</v>
      </c>
      <c r="E19" s="24" t="s">
        <v>94</v>
      </c>
      <c r="F19" s="26">
        <v>1</v>
      </c>
      <c r="G19" s="27">
        <f>ПАРАМЕТРЫ!B19</f>
        <v>48.51</v>
      </c>
      <c r="H19" s="28">
        <f>ПАРАМЕТРЫ!D19</f>
        <v>11419.739100000001</v>
      </c>
      <c r="I19" s="28">
        <f>F19*H19</f>
        <v>11419.739100000001</v>
      </c>
      <c r="J19" s="25" t="s">
        <v>138</v>
      </c>
    </row>
    <row r="20" spans="1:10" ht="25.5" customHeight="1" x14ac:dyDescent="0.25">
      <c r="A20" s="30" t="s">
        <v>139</v>
      </c>
      <c r="B20" s="30" t="s">
        <v>140</v>
      </c>
      <c r="C20" s="30" t="s">
        <v>141</v>
      </c>
      <c r="D20" s="30" t="s">
        <v>93</v>
      </c>
      <c r="E20" s="29" t="s">
        <v>94</v>
      </c>
      <c r="F20" s="26">
        <v>2</v>
      </c>
      <c r="G20" s="31">
        <f>ПАРАМЕТРЫ!B12</f>
        <v>10.77</v>
      </c>
      <c r="H20" s="32">
        <f>ПАРАМЕТРЫ!D12</f>
        <v>2535.3656999999998</v>
      </c>
      <c r="I20" s="32">
        <f>F20*H20</f>
        <v>5070.7313999999997</v>
      </c>
      <c r="J20" s="30" t="s">
        <v>142</v>
      </c>
    </row>
    <row r="21" spans="1:10" ht="25.5" customHeight="1" x14ac:dyDescent="0.25">
      <c r="A21" s="25" t="s">
        <v>143</v>
      </c>
      <c r="B21" s="25" t="s">
        <v>166</v>
      </c>
      <c r="C21" s="25" t="s">
        <v>167</v>
      </c>
      <c r="D21" s="25" t="s">
        <v>93</v>
      </c>
      <c r="E21" s="24" t="s">
        <v>94</v>
      </c>
      <c r="F21" s="26">
        <v>1</v>
      </c>
      <c r="G21" s="31">
        <f>ПАРАМЕТРЫ!B18</f>
        <v>48.51</v>
      </c>
      <c r="H21" s="32">
        <f>ПАРАМЕТРЫ!D18</f>
        <v>11419.739100000001</v>
      </c>
      <c r="I21" s="28">
        <f>F21*H21</f>
        <v>11419.739100000001</v>
      </c>
      <c r="J21" s="25" t="s">
        <v>168</v>
      </c>
    </row>
    <row r="22" spans="1:10" ht="25.5" customHeight="1" x14ac:dyDescent="0.25">
      <c r="A22" s="30" t="s">
        <v>147</v>
      </c>
      <c r="B22" s="25" t="s">
        <v>144</v>
      </c>
      <c r="C22" s="25" t="s">
        <v>145</v>
      </c>
      <c r="D22" s="25" t="s">
        <v>93</v>
      </c>
      <c r="E22" s="24" t="s">
        <v>94</v>
      </c>
      <c r="F22" s="26">
        <v>3</v>
      </c>
      <c r="G22" s="27">
        <f>ПАРАМЕТРЫ!B33</f>
        <v>41.58</v>
      </c>
      <c r="H22" s="28">
        <f>ПАРАМЕТРЫ!D33</f>
        <v>9788.3477999999996</v>
      </c>
      <c r="I22" s="28">
        <f>F22*H22</f>
        <v>29365.043399999999</v>
      </c>
      <c r="J22" s="25" t="s">
        <v>146</v>
      </c>
    </row>
    <row r="23" spans="1:10" ht="25.5" customHeight="1" x14ac:dyDescent="0.25">
      <c r="A23" s="25" t="s">
        <v>151</v>
      </c>
      <c r="B23" s="30" t="s">
        <v>148</v>
      </c>
      <c r="C23" s="30" t="s">
        <v>149</v>
      </c>
      <c r="D23" s="30" t="s">
        <v>93</v>
      </c>
      <c r="E23" s="29" t="s">
        <v>94</v>
      </c>
      <c r="F23" s="26">
        <v>1</v>
      </c>
      <c r="G23" s="31">
        <f>ПАРАМЕТРЫ!B36</f>
        <v>62.93</v>
      </c>
      <c r="H23" s="32">
        <f>ПАРАМЕТРЫ!D36</f>
        <v>14814.3513</v>
      </c>
      <c r="I23" s="32">
        <f>F23*H23</f>
        <v>14814.3513</v>
      </c>
      <c r="J23" s="30" t="s">
        <v>150</v>
      </c>
    </row>
    <row r="24" spans="1:10" ht="25.5" customHeight="1" x14ac:dyDescent="0.25">
      <c r="A24" s="30" t="s">
        <v>152</v>
      </c>
      <c r="B24" s="38" t="s">
        <v>129</v>
      </c>
      <c r="C24" s="38"/>
      <c r="D24" s="38" t="s">
        <v>93</v>
      </c>
      <c r="E24" s="37" t="s">
        <v>130</v>
      </c>
      <c r="F24" s="37">
        <v>1</v>
      </c>
      <c r="G24" s="37" t="s">
        <v>95</v>
      </c>
      <c r="H24" s="39" t="str">
        <f>ПАРАМЕТРЫ!B6&amp;"%"</f>
        <v>12%</v>
      </c>
      <c r="I24" s="40">
        <f>(I19+I20+I22+I23)*ПАРАМЕТРЫ!B6/100</f>
        <v>7280.3838240000005</v>
      </c>
      <c r="J24" s="38" t="s">
        <v>11</v>
      </c>
    </row>
    <row r="25" spans="1:10" ht="25.5" customHeight="1" thickBot="1" x14ac:dyDescent="0.3">
      <c r="A25" s="25" t="s">
        <v>667</v>
      </c>
      <c r="B25" s="42" t="s">
        <v>132</v>
      </c>
      <c r="C25" s="42"/>
      <c r="D25" s="42" t="s">
        <v>93</v>
      </c>
      <c r="E25" s="41" t="s">
        <v>130</v>
      </c>
      <c r="F25" s="41">
        <v>1</v>
      </c>
      <c r="G25" s="41" t="s">
        <v>95</v>
      </c>
      <c r="H25" s="43" t="str">
        <f>ПАРАМЕТРЫ!B7&amp;"%"</f>
        <v>15%</v>
      </c>
      <c r="I25" s="44">
        <f>(I19+I20+I22+I23)*ПАРАМЕТРЫ!B7/100</f>
        <v>9100.4797799999997</v>
      </c>
      <c r="J25" s="42" t="s">
        <v>11</v>
      </c>
    </row>
    <row r="26" spans="1:10" ht="25.5" customHeight="1" thickBot="1" x14ac:dyDescent="0.3">
      <c r="A26" s="45" t="s">
        <v>153</v>
      </c>
      <c r="B26" s="45"/>
      <c r="C26" s="45"/>
      <c r="D26" s="45"/>
      <c r="E26" s="45"/>
      <c r="F26" s="45"/>
      <c r="G26" s="45"/>
      <c r="H26" s="45"/>
      <c r="I26" s="46">
        <f>I19+I20+I22+I23+I24+I25</f>
        <v>77050.728803999998</v>
      </c>
      <c r="J26" s="45"/>
    </row>
    <row r="27" spans="1:10" ht="25.5" customHeight="1" thickBot="1" x14ac:dyDescent="0.3">
      <c r="A27" s="59" t="s">
        <v>154</v>
      </c>
      <c r="B27" s="59" t="str">
        <f>A27</f>
        <v>КОМПЛЕКТ 3.  ЩС-П (ЩРн-24з-0 36 УХЛ3 IP54)  |  Альбом 7.4 ЭОМ (Гараж)</v>
      </c>
      <c r="C27" s="2"/>
      <c r="D27" s="2"/>
      <c r="E27" s="2"/>
      <c r="F27" s="2"/>
      <c r="G27" s="2"/>
      <c r="H27" s="2"/>
      <c r="I27" s="2"/>
      <c r="J27" s="2"/>
    </row>
    <row r="28" spans="1:10" ht="25.5" customHeight="1" x14ac:dyDescent="0.25">
      <c r="A28" s="22" t="s">
        <v>155</v>
      </c>
      <c r="B28" s="22" t="s">
        <v>156</v>
      </c>
      <c r="C28" s="22" t="s">
        <v>92</v>
      </c>
      <c r="D28" s="22" t="s">
        <v>93</v>
      </c>
      <c r="E28" s="21" t="s">
        <v>94</v>
      </c>
      <c r="F28" s="21">
        <v>1</v>
      </c>
      <c r="G28" s="21" t="s">
        <v>95</v>
      </c>
      <c r="H28" s="21" t="s">
        <v>95</v>
      </c>
      <c r="I28" s="23">
        <v>0</v>
      </c>
      <c r="J28" s="22" t="s">
        <v>96</v>
      </c>
    </row>
    <row r="29" spans="1:10" ht="25.5" customHeight="1" x14ac:dyDescent="0.25">
      <c r="A29" s="25" t="s">
        <v>157</v>
      </c>
      <c r="B29" s="25" t="s">
        <v>37</v>
      </c>
      <c r="C29" s="25" t="s">
        <v>111</v>
      </c>
      <c r="D29" s="25" t="s">
        <v>93</v>
      </c>
      <c r="E29" s="24" t="s">
        <v>94</v>
      </c>
      <c r="F29" s="26">
        <v>1</v>
      </c>
      <c r="G29" s="27">
        <f>ПАРАМЕТРЫ!B20</f>
        <v>48.51</v>
      </c>
      <c r="H29" s="28">
        <f>ПАРАМЕТРЫ!D20</f>
        <v>11419.739100000001</v>
      </c>
      <c r="I29" s="28">
        <f>F29*H29</f>
        <v>11419.739100000001</v>
      </c>
      <c r="J29" s="25" t="s">
        <v>160</v>
      </c>
    </row>
    <row r="30" spans="1:10" ht="25.5" customHeight="1" x14ac:dyDescent="0.25">
      <c r="A30" s="30" t="s">
        <v>161</v>
      </c>
      <c r="B30" s="30" t="s">
        <v>162</v>
      </c>
      <c r="C30" s="30" t="s">
        <v>163</v>
      </c>
      <c r="D30" s="30" t="s">
        <v>93</v>
      </c>
      <c r="E30" s="29" t="s">
        <v>94</v>
      </c>
      <c r="F30" s="26">
        <v>7</v>
      </c>
      <c r="G30" s="31">
        <f>ПАРАМЕТРЫ!B23</f>
        <v>87.63</v>
      </c>
      <c r="H30" s="32">
        <f>ПАРАМЕТРЫ!D23</f>
        <v>20628.978300000002</v>
      </c>
      <c r="I30" s="32">
        <f>F30*H30</f>
        <v>144402.8481</v>
      </c>
      <c r="J30" s="30" t="s">
        <v>164</v>
      </c>
    </row>
    <row r="31" spans="1:10" ht="25.5" customHeight="1" x14ac:dyDescent="0.25">
      <c r="A31" s="25" t="s">
        <v>165</v>
      </c>
      <c r="B31" s="25" t="s">
        <v>166</v>
      </c>
      <c r="C31" s="25" t="s">
        <v>167</v>
      </c>
      <c r="D31" s="25" t="s">
        <v>93</v>
      </c>
      <c r="E31" s="24" t="s">
        <v>94</v>
      </c>
      <c r="F31" s="26">
        <v>0</v>
      </c>
      <c r="G31" s="27">
        <f>ПАРАМЕТРЫ!B18</f>
        <v>48.51</v>
      </c>
      <c r="H31" s="28">
        <f>ПАРАМЕТРЫ!D18</f>
        <v>11419.739100000001</v>
      </c>
      <c r="I31" s="28">
        <f>F31*H31</f>
        <v>0</v>
      </c>
      <c r="J31" s="25" t="s">
        <v>168</v>
      </c>
    </row>
    <row r="32" spans="1:10" ht="25.5" customHeight="1" x14ac:dyDescent="0.25">
      <c r="A32" s="30" t="s">
        <v>169</v>
      </c>
      <c r="B32" s="30" t="s">
        <v>140</v>
      </c>
      <c r="C32" s="30" t="s">
        <v>141</v>
      </c>
      <c r="D32" s="30" t="s">
        <v>93</v>
      </c>
      <c r="E32" s="29" t="s">
        <v>94</v>
      </c>
      <c r="F32" s="26">
        <v>1</v>
      </c>
      <c r="G32" s="31">
        <f>ПАРАМЕТРЫ!B12</f>
        <v>10.77</v>
      </c>
      <c r="H32" s="32">
        <f>ПАРАМЕТРЫ!D12</f>
        <v>2535.3656999999998</v>
      </c>
      <c r="I32" s="32">
        <f>F32*H32</f>
        <v>2535.3656999999998</v>
      </c>
      <c r="J32" s="30" t="s">
        <v>170</v>
      </c>
    </row>
    <row r="33" spans="1:10" ht="25.5" customHeight="1" x14ac:dyDescent="0.25">
      <c r="A33" s="38" t="s">
        <v>171</v>
      </c>
      <c r="B33" s="38" t="s">
        <v>129</v>
      </c>
      <c r="C33" s="38"/>
      <c r="D33" s="38" t="s">
        <v>93</v>
      </c>
      <c r="E33" s="37" t="s">
        <v>130</v>
      </c>
      <c r="F33" s="37">
        <v>1</v>
      </c>
      <c r="G33" s="37" t="s">
        <v>95</v>
      </c>
      <c r="H33" s="39" t="str">
        <f>ПАРАМЕТРЫ!B6&amp;"%"</f>
        <v>12%</v>
      </c>
      <c r="I33" s="40">
        <f>(I29+I30+I31+I32)*ПАРАМЕТРЫ!B6/100</f>
        <v>19002.954347999999</v>
      </c>
      <c r="J33" s="38" t="s">
        <v>11</v>
      </c>
    </row>
    <row r="34" spans="1:10" ht="25.5" customHeight="1" thickBot="1" x14ac:dyDescent="0.3">
      <c r="A34" s="42" t="s">
        <v>172</v>
      </c>
      <c r="B34" s="42" t="s">
        <v>132</v>
      </c>
      <c r="C34" s="42"/>
      <c r="D34" s="42" t="s">
        <v>93</v>
      </c>
      <c r="E34" s="41" t="s">
        <v>130</v>
      </c>
      <c r="F34" s="41">
        <v>1</v>
      </c>
      <c r="G34" s="41" t="s">
        <v>95</v>
      </c>
      <c r="H34" s="43" t="str">
        <f>ПАРАМЕТРЫ!B7&amp;"%"</f>
        <v>15%</v>
      </c>
      <c r="I34" s="44">
        <f>(I29+I30+I31+I32)*ПАРАМЕТРЫ!B7/100</f>
        <v>23753.692935000003</v>
      </c>
      <c r="J34" s="42" t="s">
        <v>11</v>
      </c>
    </row>
    <row r="35" spans="1:10" ht="25.5" customHeight="1" thickBot="1" x14ac:dyDescent="0.3">
      <c r="A35" s="45" t="s">
        <v>173</v>
      </c>
      <c r="B35" s="45"/>
      <c r="C35" s="45"/>
      <c r="D35" s="45"/>
      <c r="E35" s="45"/>
      <c r="F35" s="45"/>
      <c r="G35" s="45"/>
      <c r="H35" s="45"/>
      <c r="I35" s="46">
        <f>I29+I30+I31+I32+I33+I34</f>
        <v>201114.600183</v>
      </c>
      <c r="J35" s="45"/>
    </row>
    <row r="36" spans="1:10" ht="25.5" customHeight="1" thickBot="1" x14ac:dyDescent="0.3">
      <c r="A36" s="59" t="s">
        <v>174</v>
      </c>
      <c r="B36" s="59" t="str">
        <f>A36</f>
        <v>КОМПЛЕКТ 4.  ЩС-ПО (ЩРн-12з-0 36 УХЛ3 IP54)  |  Альбом 7.4 ЭОМ (Гараж)</v>
      </c>
      <c r="C36" s="2"/>
      <c r="D36" s="2"/>
      <c r="E36" s="2"/>
      <c r="F36" s="2"/>
      <c r="G36" s="2"/>
      <c r="H36" s="2"/>
      <c r="I36" s="2"/>
      <c r="J36" s="2"/>
    </row>
    <row r="37" spans="1:10" ht="25.5" customHeight="1" x14ac:dyDescent="0.25">
      <c r="A37" s="22" t="s">
        <v>175</v>
      </c>
      <c r="B37" s="22" t="s">
        <v>136</v>
      </c>
      <c r="C37" s="22" t="s">
        <v>92</v>
      </c>
      <c r="D37" s="22" t="s">
        <v>93</v>
      </c>
      <c r="E37" s="21" t="s">
        <v>94</v>
      </c>
      <c r="F37" s="21">
        <v>1</v>
      </c>
      <c r="G37" s="21" t="s">
        <v>95</v>
      </c>
      <c r="H37" s="21" t="s">
        <v>95</v>
      </c>
      <c r="I37" s="23">
        <v>0</v>
      </c>
      <c r="J37" s="22" t="s">
        <v>96</v>
      </c>
    </row>
    <row r="38" spans="1:10" ht="25.5" customHeight="1" x14ac:dyDescent="0.25">
      <c r="A38" s="25" t="s">
        <v>176</v>
      </c>
      <c r="B38" s="25" t="s">
        <v>670</v>
      </c>
      <c r="C38" s="25" t="s">
        <v>672</v>
      </c>
      <c r="D38" s="25" t="s">
        <v>93</v>
      </c>
      <c r="E38" s="24" t="s">
        <v>94</v>
      </c>
      <c r="F38" s="26">
        <v>1</v>
      </c>
      <c r="G38" s="27">
        <f>ПАРАМЕТРЫ!B29</f>
        <v>100.1</v>
      </c>
      <c r="H38" s="28">
        <f>ПАРАМЕТРЫ!D29</f>
        <v>23564.541000000001</v>
      </c>
      <c r="I38" s="28">
        <f>F38*H38</f>
        <v>23564.541000000001</v>
      </c>
      <c r="J38" s="25" t="s">
        <v>177</v>
      </c>
    </row>
    <row r="39" spans="1:10" ht="25.5" customHeight="1" x14ac:dyDescent="0.25">
      <c r="A39" s="30" t="s">
        <v>178</v>
      </c>
      <c r="B39" s="30" t="s">
        <v>668</v>
      </c>
      <c r="C39" s="30" t="s">
        <v>671</v>
      </c>
      <c r="D39" s="30" t="s">
        <v>93</v>
      </c>
      <c r="E39" s="29" t="s">
        <v>94</v>
      </c>
      <c r="F39" s="26">
        <v>1</v>
      </c>
      <c r="G39" s="31">
        <f>ПАРАМЕТРЫ!B40</f>
        <v>193.8</v>
      </c>
      <c r="H39" s="32">
        <f>ПАРАМЕТРЫ!D40</f>
        <v>45622.457999999999</v>
      </c>
      <c r="I39" s="32">
        <f>F39*H39</f>
        <v>45622.457999999999</v>
      </c>
      <c r="J39" s="30" t="s">
        <v>179</v>
      </c>
    </row>
    <row r="40" spans="1:10" ht="25.5" customHeight="1" x14ac:dyDescent="0.25">
      <c r="A40" s="25" t="s">
        <v>180</v>
      </c>
      <c r="B40" s="25" t="s">
        <v>166</v>
      </c>
      <c r="C40" s="25" t="s">
        <v>167</v>
      </c>
      <c r="D40" s="25" t="s">
        <v>93</v>
      </c>
      <c r="E40" s="24" t="s">
        <v>94</v>
      </c>
      <c r="F40" s="26">
        <v>1</v>
      </c>
      <c r="G40" s="27">
        <f>ПАРАМЕТРЫ!B18</f>
        <v>48.51</v>
      </c>
      <c r="H40" s="28">
        <f>ПАРАМЕТРЫ!D18</f>
        <v>11419.739100000001</v>
      </c>
      <c r="I40" s="28">
        <f>F40*H40</f>
        <v>11419.739100000001</v>
      </c>
      <c r="J40" s="25" t="s">
        <v>168</v>
      </c>
    </row>
    <row r="41" spans="1:10" ht="25.5" customHeight="1" x14ac:dyDescent="0.25">
      <c r="A41" s="30" t="s">
        <v>181</v>
      </c>
      <c r="B41" s="30" t="s">
        <v>140</v>
      </c>
      <c r="C41" s="30" t="s">
        <v>141</v>
      </c>
      <c r="D41" s="30" t="s">
        <v>93</v>
      </c>
      <c r="E41" s="29" t="s">
        <v>94</v>
      </c>
      <c r="F41" s="26">
        <v>1</v>
      </c>
      <c r="G41" s="31">
        <f>ПАРАМЕТРЫ!B12</f>
        <v>10.77</v>
      </c>
      <c r="H41" s="32">
        <f>ПАРАМЕТРЫ!D12</f>
        <v>2535.3656999999998</v>
      </c>
      <c r="I41" s="32">
        <f>F41*H41</f>
        <v>2535.3656999999998</v>
      </c>
      <c r="J41" s="30" t="s">
        <v>170</v>
      </c>
    </row>
    <row r="42" spans="1:10" ht="25.5" customHeight="1" x14ac:dyDescent="0.25">
      <c r="A42" s="38" t="s">
        <v>182</v>
      </c>
      <c r="B42" s="38" t="s">
        <v>129</v>
      </c>
      <c r="C42" s="38"/>
      <c r="D42" s="38" t="s">
        <v>93</v>
      </c>
      <c r="E42" s="37" t="s">
        <v>130</v>
      </c>
      <c r="F42" s="37">
        <v>1</v>
      </c>
      <c r="G42" s="37" t="s">
        <v>95</v>
      </c>
      <c r="H42" s="39" t="str">
        <f>ПАРАМЕТРЫ!B6&amp;"%"</f>
        <v>12%</v>
      </c>
      <c r="I42" s="40">
        <f>(I38+I39+I40+I41)*ПАРАМЕТРЫ!B6/100</f>
        <v>9977.0524559999994</v>
      </c>
      <c r="J42" s="38" t="s">
        <v>11</v>
      </c>
    </row>
    <row r="43" spans="1:10" ht="25.5" customHeight="1" thickBot="1" x14ac:dyDescent="0.3">
      <c r="A43" s="42" t="s">
        <v>183</v>
      </c>
      <c r="B43" s="42" t="s">
        <v>132</v>
      </c>
      <c r="C43" s="42"/>
      <c r="D43" s="42" t="s">
        <v>93</v>
      </c>
      <c r="E43" s="41" t="s">
        <v>130</v>
      </c>
      <c r="F43" s="41">
        <v>1</v>
      </c>
      <c r="G43" s="41" t="s">
        <v>95</v>
      </c>
      <c r="H43" s="43" t="str">
        <f>ПАРАМЕТРЫ!B7&amp;"%"</f>
        <v>15%</v>
      </c>
      <c r="I43" s="44">
        <f>(I38+I39+I40+I41)*ПАРАМЕТРЫ!B7/100</f>
        <v>12471.315570000001</v>
      </c>
      <c r="J43" s="42" t="s">
        <v>11</v>
      </c>
    </row>
    <row r="44" spans="1:10" ht="25.5" customHeight="1" thickBot="1" x14ac:dyDescent="0.3">
      <c r="A44" s="45" t="s">
        <v>184</v>
      </c>
      <c r="B44" s="45"/>
      <c r="C44" s="45"/>
      <c r="D44" s="45"/>
      <c r="E44" s="45"/>
      <c r="F44" s="45"/>
      <c r="G44" s="45"/>
      <c r="H44" s="45"/>
      <c r="I44" s="46">
        <f>I38+I39+I40+I41+I42+I43</f>
        <v>105590.47182600001</v>
      </c>
      <c r="J44" s="45"/>
    </row>
    <row r="45" spans="1:10" ht="25.5" customHeight="1" thickBot="1" x14ac:dyDescent="0.3">
      <c r="A45" s="59" t="s">
        <v>185</v>
      </c>
      <c r="B45" s="59" t="str">
        <f>A45</f>
        <v>КОМПЛЕКТ 5.  ЩС-Пн (ЩРн-12з-0 36 УХЛ3 IP54)  |  Альбом 7.4 ЭОМ (Гараж)</v>
      </c>
      <c r="C45" s="2"/>
      <c r="D45" s="2"/>
      <c r="E45" s="2"/>
      <c r="F45" s="2"/>
      <c r="G45" s="2"/>
      <c r="H45" s="2"/>
      <c r="I45" s="2"/>
      <c r="J45" s="2"/>
    </row>
    <row r="46" spans="1:10" ht="25.5" customHeight="1" x14ac:dyDescent="0.25">
      <c r="A46" s="22" t="s">
        <v>186</v>
      </c>
      <c r="B46" s="22" t="s">
        <v>156</v>
      </c>
      <c r="C46" s="22" t="s">
        <v>92</v>
      </c>
      <c r="D46" s="22" t="s">
        <v>93</v>
      </c>
      <c r="E46" s="21" t="s">
        <v>94</v>
      </c>
      <c r="F46" s="21">
        <v>1</v>
      </c>
      <c r="G46" s="21" t="s">
        <v>95</v>
      </c>
      <c r="H46" s="21" t="s">
        <v>95</v>
      </c>
      <c r="I46" s="23">
        <v>0</v>
      </c>
      <c r="J46" s="22" t="s">
        <v>96</v>
      </c>
    </row>
    <row r="47" spans="1:10" ht="25.5" customHeight="1" x14ac:dyDescent="0.25">
      <c r="A47" s="25" t="s">
        <v>187</v>
      </c>
      <c r="B47" s="25" t="s">
        <v>106</v>
      </c>
      <c r="C47" s="25" t="s">
        <v>107</v>
      </c>
      <c r="D47" s="25" t="s">
        <v>93</v>
      </c>
      <c r="E47" s="24" t="s">
        <v>94</v>
      </c>
      <c r="F47" s="26">
        <v>1</v>
      </c>
      <c r="G47" s="27">
        <f>ПАРАМЕТРЫ!B19</f>
        <v>48.51</v>
      </c>
      <c r="H47" s="28">
        <f>ПАРАМЕТРЫ!D19</f>
        <v>11419.739100000001</v>
      </c>
      <c r="I47" s="28">
        <f>F47*H47</f>
        <v>11419.739100000001</v>
      </c>
      <c r="J47" s="25" t="s">
        <v>188</v>
      </c>
    </row>
    <row r="48" spans="1:10" ht="25.5" customHeight="1" x14ac:dyDescent="0.25">
      <c r="A48" s="30" t="s">
        <v>189</v>
      </c>
      <c r="B48" s="30" t="s">
        <v>166</v>
      </c>
      <c r="C48" s="30" t="s">
        <v>167</v>
      </c>
      <c r="D48" s="30" t="s">
        <v>93</v>
      </c>
      <c r="E48" s="29" t="s">
        <v>94</v>
      </c>
      <c r="F48" s="26">
        <v>4</v>
      </c>
      <c r="G48" s="31">
        <f>ПАРАМЕТРЫ!B18</f>
        <v>48.51</v>
      </c>
      <c r="H48" s="32">
        <f>ПАРАМЕТРЫ!D18</f>
        <v>11419.739100000001</v>
      </c>
      <c r="I48" s="32">
        <f>F48*H48</f>
        <v>45678.956400000003</v>
      </c>
      <c r="J48" s="30" t="s">
        <v>190</v>
      </c>
    </row>
    <row r="49" spans="1:10" ht="25.5" customHeight="1" x14ac:dyDescent="0.25">
      <c r="A49" s="38" t="s">
        <v>191</v>
      </c>
      <c r="B49" s="38" t="s">
        <v>129</v>
      </c>
      <c r="C49" s="38"/>
      <c r="D49" s="38" t="s">
        <v>93</v>
      </c>
      <c r="E49" s="37" t="s">
        <v>130</v>
      </c>
      <c r="F49" s="37">
        <v>1</v>
      </c>
      <c r="G49" s="37" t="s">
        <v>95</v>
      </c>
      <c r="H49" s="39" t="str">
        <f>ПАРАМЕТРЫ!B6&amp;"%"</f>
        <v>12%</v>
      </c>
      <c r="I49" s="40">
        <f>(I47+I48)*ПАРАМЕТРЫ!B6/100</f>
        <v>6851.8434600000001</v>
      </c>
      <c r="J49" s="38" t="s">
        <v>11</v>
      </c>
    </row>
    <row r="50" spans="1:10" ht="25.5" customHeight="1" thickBot="1" x14ac:dyDescent="0.3">
      <c r="A50" s="42" t="s">
        <v>192</v>
      </c>
      <c r="B50" s="42" t="s">
        <v>132</v>
      </c>
      <c r="C50" s="42"/>
      <c r="D50" s="42" t="s">
        <v>93</v>
      </c>
      <c r="E50" s="41" t="s">
        <v>130</v>
      </c>
      <c r="F50" s="41">
        <v>1</v>
      </c>
      <c r="G50" s="41" t="s">
        <v>95</v>
      </c>
      <c r="H50" s="43" t="str">
        <f>ПАРАМЕТРЫ!B7&amp;"%"</f>
        <v>15%</v>
      </c>
      <c r="I50" s="44">
        <f>(I47+I48)*ПАРАМЕТРЫ!B7/100</f>
        <v>8564.8043249999992</v>
      </c>
      <c r="J50" s="42" t="s">
        <v>11</v>
      </c>
    </row>
    <row r="51" spans="1:10" ht="25.5" customHeight="1" thickBot="1" x14ac:dyDescent="0.3">
      <c r="A51" s="45" t="s">
        <v>193</v>
      </c>
      <c r="B51" s="45"/>
      <c r="C51" s="45"/>
      <c r="D51" s="45"/>
      <c r="E51" s="45"/>
      <c r="F51" s="45"/>
      <c r="G51" s="45"/>
      <c r="H51" s="45"/>
      <c r="I51" s="46">
        <f>I47+I48+I49+I50</f>
        <v>72515.34328500001</v>
      </c>
      <c r="J51" s="45"/>
    </row>
    <row r="52" spans="1:10" ht="25.5" customHeight="1" thickBot="1" x14ac:dyDescent="0.3">
      <c r="A52" s="59" t="s">
        <v>194</v>
      </c>
      <c r="B52" s="59" t="str">
        <f>A52</f>
        <v>КОМПЛЕКТ 6.  ЩС-Вр (ЩРн-18з-0 36 УХЛ3 IP54)  |  Альбом 7.4 ЭОМ (Гараж)</v>
      </c>
      <c r="C52" s="2"/>
      <c r="D52" s="2"/>
      <c r="E52" s="2"/>
      <c r="F52" s="2"/>
      <c r="G52" s="2"/>
      <c r="H52" s="2"/>
      <c r="I52" s="2"/>
      <c r="J52" s="2"/>
    </row>
    <row r="53" spans="1:10" ht="25.5" customHeight="1" x14ac:dyDescent="0.25">
      <c r="A53" s="22" t="s">
        <v>195</v>
      </c>
      <c r="B53" s="22" t="s">
        <v>196</v>
      </c>
      <c r="C53" s="22" t="s">
        <v>92</v>
      </c>
      <c r="D53" s="22" t="s">
        <v>93</v>
      </c>
      <c r="E53" s="21" t="s">
        <v>94</v>
      </c>
      <c r="F53" s="21">
        <v>1</v>
      </c>
      <c r="G53" s="21" t="s">
        <v>95</v>
      </c>
      <c r="H53" s="21" t="s">
        <v>95</v>
      </c>
      <c r="I53" s="23">
        <v>0</v>
      </c>
      <c r="J53" s="22" t="s">
        <v>96</v>
      </c>
    </row>
    <row r="54" spans="1:10" ht="25.5" customHeight="1" x14ac:dyDescent="0.25">
      <c r="A54" s="25" t="s">
        <v>197</v>
      </c>
      <c r="B54" s="25" t="s">
        <v>106</v>
      </c>
      <c r="C54" s="25" t="s">
        <v>107</v>
      </c>
      <c r="D54" s="25" t="s">
        <v>93</v>
      </c>
      <c r="E54" s="24" t="s">
        <v>94</v>
      </c>
      <c r="F54" s="26">
        <v>1</v>
      </c>
      <c r="G54" s="27">
        <f>ПАРАМЕТРЫ!B27</f>
        <v>36.68</v>
      </c>
      <c r="H54" s="28">
        <f>ПАРАМЕТРЫ!D27</f>
        <v>8634.8387999999995</v>
      </c>
      <c r="I54" s="28">
        <f>F54*H54</f>
        <v>8634.8387999999995</v>
      </c>
      <c r="J54" s="25" t="s">
        <v>198</v>
      </c>
    </row>
    <row r="55" spans="1:10" ht="25.5" customHeight="1" x14ac:dyDescent="0.25">
      <c r="A55" s="30" t="s">
        <v>199</v>
      </c>
      <c r="B55" s="30" t="s">
        <v>166</v>
      </c>
      <c r="C55" s="30" t="s">
        <v>167</v>
      </c>
      <c r="D55" s="30" t="s">
        <v>93</v>
      </c>
      <c r="E55" s="29" t="s">
        <v>94</v>
      </c>
      <c r="F55" s="26">
        <v>5</v>
      </c>
      <c r="G55" s="31">
        <f>ПАРАМЕТРЫ!B18</f>
        <v>48.51</v>
      </c>
      <c r="H55" s="32">
        <f>ПАРАМЕТРЫ!D18</f>
        <v>11419.739100000001</v>
      </c>
      <c r="I55" s="32">
        <f>F55*H55</f>
        <v>57098.695500000002</v>
      </c>
      <c r="J55" s="30" t="s">
        <v>200</v>
      </c>
    </row>
    <row r="56" spans="1:10" ht="25.5" customHeight="1" x14ac:dyDescent="0.25">
      <c r="A56" s="38" t="s">
        <v>201</v>
      </c>
      <c r="B56" s="38" t="s">
        <v>129</v>
      </c>
      <c r="C56" s="38"/>
      <c r="D56" s="38" t="s">
        <v>93</v>
      </c>
      <c r="E56" s="37" t="s">
        <v>130</v>
      </c>
      <c r="F56" s="37">
        <v>1</v>
      </c>
      <c r="G56" s="37" t="s">
        <v>95</v>
      </c>
      <c r="H56" s="39" t="str">
        <f>ПАРАМЕТРЫ!B6&amp;"%"</f>
        <v>12%</v>
      </c>
      <c r="I56" s="40">
        <f>(I54+I55)*ПАРАМЕТРЫ!B6/100</f>
        <v>7888.0241159999996</v>
      </c>
      <c r="J56" s="38" t="s">
        <v>11</v>
      </c>
    </row>
    <row r="57" spans="1:10" ht="25.5" customHeight="1" thickBot="1" x14ac:dyDescent="0.3">
      <c r="A57" s="42" t="s">
        <v>202</v>
      </c>
      <c r="B57" s="42" t="s">
        <v>132</v>
      </c>
      <c r="C57" s="42"/>
      <c r="D57" s="42" t="s">
        <v>93</v>
      </c>
      <c r="E57" s="41" t="s">
        <v>130</v>
      </c>
      <c r="F57" s="41">
        <v>1</v>
      </c>
      <c r="G57" s="41" t="s">
        <v>95</v>
      </c>
      <c r="H57" s="43" t="str">
        <f>ПАРАМЕТРЫ!B7&amp;"%"</f>
        <v>15%</v>
      </c>
      <c r="I57" s="44">
        <f>(I54+I55)*ПАРАМЕТРЫ!B7/100</f>
        <v>9860.0301450000006</v>
      </c>
      <c r="J57" s="42" t="s">
        <v>11</v>
      </c>
    </row>
    <row r="58" spans="1:10" ht="25.5" customHeight="1" thickBot="1" x14ac:dyDescent="0.3">
      <c r="A58" s="45" t="s">
        <v>203</v>
      </c>
      <c r="B58" s="45"/>
      <c r="C58" s="45"/>
      <c r="D58" s="45"/>
      <c r="E58" s="45"/>
      <c r="F58" s="45"/>
      <c r="G58" s="45"/>
      <c r="H58" s="45"/>
      <c r="I58" s="46">
        <f>I54+I55+I56+I57</f>
        <v>83481.588560999997</v>
      </c>
      <c r="J58" s="45"/>
    </row>
    <row r="59" spans="1:10" ht="25.5" customHeight="1" thickBot="1" x14ac:dyDescent="0.3">
      <c r="A59" s="59" t="s">
        <v>204</v>
      </c>
      <c r="B59" s="59" t="str">
        <f>A59</f>
        <v>КОМПЛЕКТ 7.  ЩО (ЩРн-12з-0 36 УХЛ3 IP54)  |  Альбом 7.4 ЭОМ (Гараж)</v>
      </c>
      <c r="C59" s="2"/>
      <c r="D59" s="2"/>
      <c r="E59" s="2"/>
      <c r="F59" s="2"/>
      <c r="G59" s="2"/>
      <c r="H59" s="2"/>
      <c r="I59" s="2"/>
      <c r="J59" s="2"/>
    </row>
    <row r="60" spans="1:10" ht="25.5" customHeight="1" x14ac:dyDescent="0.25">
      <c r="A60" s="22" t="s">
        <v>205</v>
      </c>
      <c r="B60" s="22" t="s">
        <v>136</v>
      </c>
      <c r="C60" s="22" t="s">
        <v>92</v>
      </c>
      <c r="D60" s="22" t="s">
        <v>93</v>
      </c>
      <c r="E60" s="21" t="s">
        <v>94</v>
      </c>
      <c r="F60" s="21">
        <v>1</v>
      </c>
      <c r="G60" s="21" t="s">
        <v>95</v>
      </c>
      <c r="H60" s="21" t="s">
        <v>95</v>
      </c>
      <c r="I60" s="23">
        <v>0</v>
      </c>
      <c r="J60" s="22" t="s">
        <v>96</v>
      </c>
    </row>
    <row r="61" spans="1:10" ht="25.5" customHeight="1" x14ac:dyDescent="0.25">
      <c r="A61" s="25" t="s">
        <v>206</v>
      </c>
      <c r="B61" s="25" t="s">
        <v>158</v>
      </c>
      <c r="C61" s="25" t="s">
        <v>159</v>
      </c>
      <c r="D61" s="25" t="s">
        <v>93</v>
      </c>
      <c r="E61" s="24" t="s">
        <v>94</v>
      </c>
      <c r="F61" s="26">
        <v>1</v>
      </c>
      <c r="G61" s="27">
        <f>ПАРАМЕТРЫ!B27</f>
        <v>36.68</v>
      </c>
      <c r="H61" s="28">
        <f>ПАРАМЕТРЫ!D27</f>
        <v>8634.8387999999995</v>
      </c>
      <c r="I61" s="28">
        <f>F61*H61</f>
        <v>8634.8387999999995</v>
      </c>
      <c r="J61" s="25" t="s">
        <v>198</v>
      </c>
    </row>
    <row r="62" spans="1:10" ht="25.5" customHeight="1" x14ac:dyDescent="0.25">
      <c r="A62" s="30" t="s">
        <v>207</v>
      </c>
      <c r="B62" s="30" t="s">
        <v>140</v>
      </c>
      <c r="C62" s="30" t="s">
        <v>141</v>
      </c>
      <c r="D62" s="30" t="s">
        <v>93</v>
      </c>
      <c r="E62" s="29" t="s">
        <v>94</v>
      </c>
      <c r="F62" s="26">
        <v>5</v>
      </c>
      <c r="G62" s="31">
        <f>ПАРАМЕТРЫ!B12</f>
        <v>10.77</v>
      </c>
      <c r="H62" s="32">
        <f>ПАРАМЕТРЫ!D12</f>
        <v>2535.3656999999998</v>
      </c>
      <c r="I62" s="32">
        <f>F62*H62</f>
        <v>12676.8285</v>
      </c>
      <c r="J62" s="30" t="s">
        <v>208</v>
      </c>
    </row>
    <row r="63" spans="1:10" ht="25.5" customHeight="1" x14ac:dyDescent="0.25">
      <c r="A63" s="25" t="s">
        <v>209</v>
      </c>
      <c r="B63" s="25" t="s">
        <v>210</v>
      </c>
      <c r="C63" s="25" t="s">
        <v>211</v>
      </c>
      <c r="D63" s="25" t="s">
        <v>93</v>
      </c>
      <c r="E63" s="24" t="s">
        <v>94</v>
      </c>
      <c r="F63" s="26">
        <v>2</v>
      </c>
      <c r="G63" s="28">
        <f>ПАРАМЕТРЫ!B38</f>
        <v>29812</v>
      </c>
      <c r="H63" s="28">
        <f>ПАРАМЕТРЫ!D38</f>
        <v>8943.6</v>
      </c>
      <c r="I63" s="28">
        <f>F63*H63</f>
        <v>17887.2</v>
      </c>
      <c r="J63" s="25" t="s">
        <v>212</v>
      </c>
    </row>
    <row r="64" spans="1:10" ht="25.5" customHeight="1" x14ac:dyDescent="0.25">
      <c r="A64" s="38" t="s">
        <v>213</v>
      </c>
      <c r="B64" s="38" t="s">
        <v>129</v>
      </c>
      <c r="C64" s="38"/>
      <c r="D64" s="38" t="s">
        <v>93</v>
      </c>
      <c r="E64" s="37" t="s">
        <v>130</v>
      </c>
      <c r="F64" s="37">
        <v>1</v>
      </c>
      <c r="G64" s="37" t="s">
        <v>95</v>
      </c>
      <c r="H64" s="39" t="str">
        <f>ПАРАМЕТРЫ!B6&amp;"%"</f>
        <v>12%</v>
      </c>
      <c r="I64" s="40">
        <f>(I61+I62+I63)*ПАРАМЕТРЫ!B6/100</f>
        <v>4703.8640759999998</v>
      </c>
      <c r="J64" s="38" t="s">
        <v>11</v>
      </c>
    </row>
    <row r="65" spans="1:10" ht="25.5" customHeight="1" thickBot="1" x14ac:dyDescent="0.3">
      <c r="A65" s="42" t="s">
        <v>214</v>
      </c>
      <c r="B65" s="42" t="s">
        <v>132</v>
      </c>
      <c r="C65" s="42"/>
      <c r="D65" s="42" t="s">
        <v>93</v>
      </c>
      <c r="E65" s="41" t="s">
        <v>130</v>
      </c>
      <c r="F65" s="41">
        <v>1</v>
      </c>
      <c r="G65" s="41" t="s">
        <v>95</v>
      </c>
      <c r="H65" s="43" t="str">
        <f>ПАРАМЕТРЫ!B7&amp;"%"</f>
        <v>15%</v>
      </c>
      <c r="I65" s="44">
        <f>(I61+I62+I63)*ПАРАМЕТРЫ!B7/100</f>
        <v>5879.8300949999993</v>
      </c>
      <c r="J65" s="42" t="s">
        <v>11</v>
      </c>
    </row>
    <row r="66" spans="1:10" ht="25.5" customHeight="1" thickBot="1" x14ac:dyDescent="0.3">
      <c r="A66" s="45" t="s">
        <v>215</v>
      </c>
      <c r="B66" s="45"/>
      <c r="C66" s="45"/>
      <c r="D66" s="45"/>
      <c r="E66" s="45"/>
      <c r="F66" s="45"/>
      <c r="G66" s="45"/>
      <c r="H66" s="45"/>
      <c r="I66" s="46">
        <f>I61+I62+I63+I64+I65</f>
        <v>49782.561470999994</v>
      </c>
      <c r="J66" s="45"/>
    </row>
    <row r="67" spans="1:10" ht="25.5" customHeight="1" thickBot="1" x14ac:dyDescent="0.3">
      <c r="A67" s="20"/>
      <c r="B67" s="20"/>
      <c r="C67" s="19" t="s">
        <v>216</v>
      </c>
      <c r="D67" s="20"/>
      <c r="E67" s="20"/>
      <c r="F67" s="20"/>
      <c r="G67" s="20"/>
      <c r="H67" s="20"/>
      <c r="I67" s="20"/>
      <c r="J67" s="20"/>
    </row>
    <row r="68" spans="1:10" ht="25.5" customHeight="1" thickBot="1" x14ac:dyDescent="0.3">
      <c r="A68" s="59" t="s">
        <v>217</v>
      </c>
      <c r="B68" s="59" t="str">
        <f>A68</f>
        <v>КОМПЛЕКТ 8.  ЩО-1.1 (ЩРн-36з-0 36 УХЛ3 IP54)  |  Альбом 7.1 ЭО (Концертный зал)</v>
      </c>
      <c r="C68" s="2"/>
      <c r="D68" s="2"/>
      <c r="E68" s="2"/>
      <c r="F68" s="2"/>
      <c r="G68" s="2"/>
      <c r="H68" s="2"/>
      <c r="I68" s="2"/>
      <c r="J68" s="2"/>
    </row>
    <row r="69" spans="1:10" ht="25.5" customHeight="1" x14ac:dyDescent="0.25">
      <c r="A69" s="22" t="s">
        <v>218</v>
      </c>
      <c r="B69" s="22" t="s">
        <v>219</v>
      </c>
      <c r="C69" s="22" t="s">
        <v>92</v>
      </c>
      <c r="D69" s="22" t="s">
        <v>220</v>
      </c>
      <c r="E69" s="21" t="s">
        <v>94</v>
      </c>
      <c r="F69" s="21">
        <v>1</v>
      </c>
      <c r="G69" s="21" t="s">
        <v>95</v>
      </c>
      <c r="H69" s="21" t="s">
        <v>95</v>
      </c>
      <c r="I69" s="23">
        <v>0</v>
      </c>
      <c r="J69" s="22" t="s">
        <v>96</v>
      </c>
    </row>
    <row r="70" spans="1:10" ht="25.5" customHeight="1" x14ac:dyDescent="0.25">
      <c r="A70" s="25" t="s">
        <v>221</v>
      </c>
      <c r="B70" s="25" t="s">
        <v>158</v>
      </c>
      <c r="C70" s="25" t="s">
        <v>159</v>
      </c>
      <c r="D70" s="25" t="s">
        <v>220</v>
      </c>
      <c r="E70" s="24" t="s">
        <v>94</v>
      </c>
      <c r="F70" s="26">
        <v>1</v>
      </c>
      <c r="G70" s="27">
        <f>ПАРАМЕТРЫ!B27</f>
        <v>36.68</v>
      </c>
      <c r="H70" s="28">
        <f>ПАРАМЕТРЫ!D27</f>
        <v>8634.8387999999995</v>
      </c>
      <c r="I70" s="28">
        <f>F70*H70</f>
        <v>8634.8387999999995</v>
      </c>
      <c r="J70" s="25" t="s">
        <v>198</v>
      </c>
    </row>
    <row r="71" spans="1:10" ht="25.5" customHeight="1" x14ac:dyDescent="0.25">
      <c r="A71" s="30" t="s">
        <v>222</v>
      </c>
      <c r="B71" s="30" t="s">
        <v>140</v>
      </c>
      <c r="C71" s="30" t="s">
        <v>141</v>
      </c>
      <c r="D71" s="30" t="s">
        <v>220</v>
      </c>
      <c r="E71" s="29" t="s">
        <v>94</v>
      </c>
      <c r="F71" s="26">
        <v>18</v>
      </c>
      <c r="G71" s="31">
        <f>ПАРАМЕТРЫ!B12</f>
        <v>10.77</v>
      </c>
      <c r="H71" s="32">
        <f>ПАРАМЕТРЫ!D12</f>
        <v>2535.3656999999998</v>
      </c>
      <c r="I71" s="32">
        <f>F71*H71</f>
        <v>45636.582599999994</v>
      </c>
      <c r="J71" s="30"/>
    </row>
    <row r="72" spans="1:10" ht="25.5" customHeight="1" x14ac:dyDescent="0.25">
      <c r="A72" s="25" t="s">
        <v>223</v>
      </c>
      <c r="B72" s="25" t="s">
        <v>162</v>
      </c>
      <c r="C72" s="25" t="s">
        <v>163</v>
      </c>
      <c r="D72" s="25" t="s">
        <v>220</v>
      </c>
      <c r="E72" s="24" t="s">
        <v>94</v>
      </c>
      <c r="F72" s="26">
        <v>7</v>
      </c>
      <c r="G72" s="27">
        <f>ПАРАМЕТРЫ!B23</f>
        <v>87.63</v>
      </c>
      <c r="H72" s="28">
        <f>ПАРАМЕТРЫ!D23</f>
        <v>20628.978300000002</v>
      </c>
      <c r="I72" s="28">
        <f>F72*H72</f>
        <v>144402.8481</v>
      </c>
      <c r="J72" s="25"/>
    </row>
    <row r="73" spans="1:10" ht="25.5" customHeight="1" x14ac:dyDescent="0.25">
      <c r="A73" s="30" t="s">
        <v>224</v>
      </c>
      <c r="B73" s="30" t="s">
        <v>144</v>
      </c>
      <c r="C73" s="30" t="s">
        <v>145</v>
      </c>
      <c r="D73" s="30" t="s">
        <v>220</v>
      </c>
      <c r="E73" s="29" t="s">
        <v>94</v>
      </c>
      <c r="F73" s="26">
        <v>7</v>
      </c>
      <c r="G73" s="31">
        <f>ПАРАМЕТРЫ!B33</f>
        <v>41.58</v>
      </c>
      <c r="H73" s="32">
        <f>ПАРАМЕТРЫ!D33</f>
        <v>9788.3477999999996</v>
      </c>
      <c r="I73" s="32">
        <f>F73*H73</f>
        <v>68518.434599999993</v>
      </c>
      <c r="J73" s="30"/>
    </row>
    <row r="74" spans="1:10" ht="25.5" customHeight="1" x14ac:dyDescent="0.25">
      <c r="A74" s="25" t="s">
        <v>225</v>
      </c>
      <c r="B74" s="25" t="s">
        <v>226</v>
      </c>
      <c r="C74" s="25" t="s">
        <v>95</v>
      </c>
      <c r="D74" s="25" t="s">
        <v>220</v>
      </c>
      <c r="E74" s="24" t="s">
        <v>94</v>
      </c>
      <c r="F74" s="26">
        <v>7</v>
      </c>
      <c r="G74" s="27">
        <f>ПАРАМЕТРЫ!B37</f>
        <v>1.5</v>
      </c>
      <c r="H74" s="28">
        <f>ПАРАМЕТРЫ!D37</f>
        <v>353.11499999999995</v>
      </c>
      <c r="I74" s="28">
        <f>F74*H74</f>
        <v>2471.8049999999998</v>
      </c>
      <c r="J74" s="25" t="s">
        <v>227</v>
      </c>
    </row>
    <row r="75" spans="1:10" ht="25.5" customHeight="1" x14ac:dyDescent="0.25">
      <c r="A75" s="38" t="s">
        <v>228</v>
      </c>
      <c r="B75" s="38" t="s">
        <v>129</v>
      </c>
      <c r="C75" s="38"/>
      <c r="D75" s="38" t="s">
        <v>220</v>
      </c>
      <c r="E75" s="37" t="s">
        <v>130</v>
      </c>
      <c r="F75" s="37">
        <v>1</v>
      </c>
      <c r="G75" s="37" t="s">
        <v>95</v>
      </c>
      <c r="H75" s="39" t="str">
        <f>ПАРАМЕТРЫ!B6&amp;"%"</f>
        <v>12%</v>
      </c>
      <c r="I75" s="40">
        <f>(I70+I71+I72+I73+I74)*ПАРАМЕТРЫ!B6/100</f>
        <v>32359.741091999997</v>
      </c>
      <c r="J75" s="38" t="s">
        <v>11</v>
      </c>
    </row>
    <row r="76" spans="1:10" ht="25.5" customHeight="1" thickBot="1" x14ac:dyDescent="0.3">
      <c r="A76" s="42" t="s">
        <v>229</v>
      </c>
      <c r="B76" s="42" t="s">
        <v>132</v>
      </c>
      <c r="C76" s="42"/>
      <c r="D76" s="42" t="s">
        <v>220</v>
      </c>
      <c r="E76" s="41" t="s">
        <v>130</v>
      </c>
      <c r="F76" s="41">
        <v>1</v>
      </c>
      <c r="G76" s="41" t="s">
        <v>95</v>
      </c>
      <c r="H76" s="43" t="str">
        <f>ПАРАМЕТРЫ!B7&amp;"%"</f>
        <v>15%</v>
      </c>
      <c r="I76" s="44">
        <f>(I70+I71+I72+I73+I74)*ПАРАМЕТРЫ!B7/100</f>
        <v>40449.676364999992</v>
      </c>
      <c r="J76" s="42" t="s">
        <v>11</v>
      </c>
    </row>
    <row r="77" spans="1:10" ht="25.5" customHeight="1" thickBot="1" x14ac:dyDescent="0.3">
      <c r="A77" s="45" t="s">
        <v>230</v>
      </c>
      <c r="B77" s="45"/>
      <c r="C77" s="45"/>
      <c r="D77" s="45"/>
      <c r="E77" s="45"/>
      <c r="F77" s="45"/>
      <c r="G77" s="45"/>
      <c r="H77" s="45"/>
      <c r="I77" s="46">
        <f>I70+I71+I72+I73+I74+I75+I76</f>
        <v>342473.92655699991</v>
      </c>
      <c r="J77" s="45"/>
    </row>
    <row r="78" spans="1:10" ht="25.5" customHeight="1" thickBot="1" x14ac:dyDescent="0.3">
      <c r="A78" s="59" t="s">
        <v>231</v>
      </c>
      <c r="B78" s="59" t="str">
        <f>A78</f>
        <v>КОМПЛЕКТ 9.  ЩО-1.2 (ЩРн-12з-0 36 УХЛ3 IP54)  |  Альбом 7.1 ЭО (Концертный зал)</v>
      </c>
      <c r="C78" s="2"/>
      <c r="D78" s="2"/>
      <c r="E78" s="2"/>
      <c r="F78" s="2"/>
      <c r="G78" s="2"/>
      <c r="H78" s="2"/>
      <c r="I78" s="2"/>
      <c r="J78" s="2"/>
    </row>
    <row r="79" spans="1:10" ht="25.5" customHeight="1" x14ac:dyDescent="0.25">
      <c r="A79" s="22" t="s">
        <v>232</v>
      </c>
      <c r="B79" s="22" t="s">
        <v>136</v>
      </c>
      <c r="C79" s="22" t="s">
        <v>92</v>
      </c>
      <c r="D79" s="22" t="s">
        <v>220</v>
      </c>
      <c r="E79" s="21" t="s">
        <v>94</v>
      </c>
      <c r="F79" s="21">
        <v>1</v>
      </c>
      <c r="G79" s="21" t="s">
        <v>95</v>
      </c>
      <c r="H79" s="21" t="s">
        <v>95</v>
      </c>
      <c r="I79" s="23">
        <v>0</v>
      </c>
      <c r="J79" s="22" t="s">
        <v>96</v>
      </c>
    </row>
    <row r="80" spans="1:10" ht="25.5" customHeight="1" x14ac:dyDescent="0.25">
      <c r="A80" s="25" t="s">
        <v>233</v>
      </c>
      <c r="B80" s="25" t="s">
        <v>158</v>
      </c>
      <c r="C80" s="25" t="s">
        <v>159</v>
      </c>
      <c r="D80" s="25" t="s">
        <v>220</v>
      </c>
      <c r="E80" s="24" t="s">
        <v>94</v>
      </c>
      <c r="F80" s="26">
        <v>1</v>
      </c>
      <c r="G80" s="27">
        <f>ПАРАМЕТРЫ!B27</f>
        <v>36.68</v>
      </c>
      <c r="H80" s="28">
        <f>ПАРАМЕТРЫ!D27</f>
        <v>8634.8387999999995</v>
      </c>
      <c r="I80" s="28">
        <f>F80*H80</f>
        <v>8634.8387999999995</v>
      </c>
      <c r="J80" s="25"/>
    </row>
    <row r="81" spans="1:10" ht="25.5" customHeight="1" x14ac:dyDescent="0.25">
      <c r="A81" s="30" t="s">
        <v>234</v>
      </c>
      <c r="B81" s="30" t="s">
        <v>140</v>
      </c>
      <c r="C81" s="30" t="s">
        <v>141</v>
      </c>
      <c r="D81" s="30" t="s">
        <v>220</v>
      </c>
      <c r="E81" s="29" t="s">
        <v>94</v>
      </c>
      <c r="F81" s="26">
        <v>4</v>
      </c>
      <c r="G81" s="31">
        <f>ПАРАМЕТРЫ!B12</f>
        <v>10.77</v>
      </c>
      <c r="H81" s="32">
        <f>ПАРАМЕТРЫ!D12</f>
        <v>2535.3656999999998</v>
      </c>
      <c r="I81" s="32">
        <f>F81*H81</f>
        <v>10141.462799999999</v>
      </c>
      <c r="J81" s="30"/>
    </row>
    <row r="82" spans="1:10" ht="25.5" customHeight="1" x14ac:dyDescent="0.25">
      <c r="A82" s="25" t="s">
        <v>235</v>
      </c>
      <c r="B82" s="25" t="s">
        <v>162</v>
      </c>
      <c r="C82" s="25" t="s">
        <v>163</v>
      </c>
      <c r="D82" s="25" t="s">
        <v>220</v>
      </c>
      <c r="E82" s="24" t="s">
        <v>94</v>
      </c>
      <c r="F82" s="26">
        <v>4</v>
      </c>
      <c r="G82" s="27">
        <f>ПАРАМЕТРЫ!B23</f>
        <v>87.63</v>
      </c>
      <c r="H82" s="28">
        <f>ПАРАМЕТРЫ!D23</f>
        <v>20628.978300000002</v>
      </c>
      <c r="I82" s="28">
        <f>F82*H82</f>
        <v>82515.91320000001</v>
      </c>
      <c r="J82" s="25"/>
    </row>
    <row r="83" spans="1:10" ht="25.5" customHeight="1" x14ac:dyDescent="0.25">
      <c r="A83" s="30" t="s">
        <v>236</v>
      </c>
      <c r="B83" s="30" t="s">
        <v>144</v>
      </c>
      <c r="C83" s="30" t="s">
        <v>145</v>
      </c>
      <c r="D83" s="30" t="s">
        <v>220</v>
      </c>
      <c r="E83" s="29" t="s">
        <v>94</v>
      </c>
      <c r="F83" s="26">
        <v>4</v>
      </c>
      <c r="G83" s="31">
        <f>ПАРАМЕТРЫ!B33</f>
        <v>41.58</v>
      </c>
      <c r="H83" s="32">
        <f>ПАРАМЕТРЫ!D33</f>
        <v>9788.3477999999996</v>
      </c>
      <c r="I83" s="32">
        <f>F83*H83</f>
        <v>39153.391199999998</v>
      </c>
      <c r="J83" s="30"/>
    </row>
    <row r="84" spans="1:10" ht="25.5" customHeight="1" x14ac:dyDescent="0.25">
      <c r="A84" s="25" t="s">
        <v>237</v>
      </c>
      <c r="B84" s="25" t="s">
        <v>226</v>
      </c>
      <c r="C84" s="25" t="s">
        <v>95</v>
      </c>
      <c r="D84" s="25" t="s">
        <v>220</v>
      </c>
      <c r="E84" s="24" t="s">
        <v>94</v>
      </c>
      <c r="F84" s="26">
        <v>4</v>
      </c>
      <c r="G84" s="27">
        <f>ПАРАМЕТРЫ!B37</f>
        <v>1.5</v>
      </c>
      <c r="H84" s="28">
        <f>ПАРАМЕТРЫ!D37</f>
        <v>353.11499999999995</v>
      </c>
      <c r="I84" s="28">
        <f>F84*H84</f>
        <v>1412.4599999999998</v>
      </c>
      <c r="J84" s="25"/>
    </row>
    <row r="85" spans="1:10" ht="25.5" customHeight="1" x14ac:dyDescent="0.25">
      <c r="A85" s="38" t="s">
        <v>238</v>
      </c>
      <c r="B85" s="38" t="s">
        <v>129</v>
      </c>
      <c r="C85" s="38"/>
      <c r="D85" s="38" t="s">
        <v>220</v>
      </c>
      <c r="E85" s="37" t="s">
        <v>130</v>
      </c>
      <c r="F85" s="37">
        <v>1</v>
      </c>
      <c r="G85" s="37" t="s">
        <v>95</v>
      </c>
      <c r="H85" s="39" t="str">
        <f>ПАРАМЕТРЫ!B6&amp;"%"</f>
        <v>12%</v>
      </c>
      <c r="I85" s="40">
        <f>(I80+I81+I82+I83+I84)*ПАРАМЕТРЫ!B6/100</f>
        <v>17022.967920000003</v>
      </c>
      <c r="J85" s="38" t="s">
        <v>11</v>
      </c>
    </row>
    <row r="86" spans="1:10" ht="25.5" customHeight="1" thickBot="1" x14ac:dyDescent="0.3">
      <c r="A86" s="42" t="s">
        <v>239</v>
      </c>
      <c r="B86" s="42" t="s">
        <v>132</v>
      </c>
      <c r="C86" s="42"/>
      <c r="D86" s="42" t="s">
        <v>220</v>
      </c>
      <c r="E86" s="41" t="s">
        <v>130</v>
      </c>
      <c r="F86" s="41">
        <v>1</v>
      </c>
      <c r="G86" s="41" t="s">
        <v>95</v>
      </c>
      <c r="H86" s="43" t="str">
        <f>ПАРАМЕТРЫ!B7&amp;"%"</f>
        <v>15%</v>
      </c>
      <c r="I86" s="44">
        <f>(I80+I81+I82+I83+I84)*ПАРАМЕТРЫ!B7/100</f>
        <v>21278.709900000002</v>
      </c>
      <c r="J86" s="42" t="s">
        <v>11</v>
      </c>
    </row>
    <row r="87" spans="1:10" ht="25.5" customHeight="1" thickBot="1" x14ac:dyDescent="0.3">
      <c r="A87" s="45" t="s">
        <v>240</v>
      </c>
      <c r="B87" s="45"/>
      <c r="C87" s="45"/>
      <c r="D87" s="45"/>
      <c r="E87" s="45"/>
      <c r="F87" s="45"/>
      <c r="G87" s="45"/>
      <c r="H87" s="45"/>
      <c r="I87" s="46">
        <f>I80+I81+I82+I83+I84+I85+I86</f>
        <v>180159.74382000003</v>
      </c>
      <c r="J87" s="45"/>
    </row>
    <row r="88" spans="1:10" ht="25.5" customHeight="1" thickBot="1" x14ac:dyDescent="0.3">
      <c r="A88" s="18"/>
      <c r="B88" s="18" t="s">
        <v>241</v>
      </c>
      <c r="C88" s="2"/>
      <c r="D88" s="2"/>
      <c r="E88" s="2"/>
      <c r="F88" s="2"/>
      <c r="G88" s="2"/>
      <c r="H88" s="2"/>
      <c r="I88" s="2"/>
      <c r="J88" s="2"/>
    </row>
    <row r="89" spans="1:10" ht="25.5" customHeight="1" x14ac:dyDescent="0.25">
      <c r="A89" s="22" t="s">
        <v>242</v>
      </c>
      <c r="B89" s="22" t="s">
        <v>219</v>
      </c>
      <c r="C89" s="22" t="s">
        <v>92</v>
      </c>
      <c r="D89" s="22" t="s">
        <v>220</v>
      </c>
      <c r="E89" s="21" t="s">
        <v>94</v>
      </c>
      <c r="F89" s="21">
        <v>1</v>
      </c>
      <c r="G89" s="21" t="s">
        <v>95</v>
      </c>
      <c r="H89" s="21" t="s">
        <v>95</v>
      </c>
      <c r="I89" s="23">
        <v>0</v>
      </c>
      <c r="J89" s="22" t="s">
        <v>96</v>
      </c>
    </row>
    <row r="90" spans="1:10" ht="25.5" customHeight="1" x14ac:dyDescent="0.25">
      <c r="A90" s="25" t="s">
        <v>243</v>
      </c>
      <c r="B90" s="25" t="s">
        <v>158</v>
      </c>
      <c r="C90" s="25" t="s">
        <v>159</v>
      </c>
      <c r="D90" s="25" t="s">
        <v>220</v>
      </c>
      <c r="E90" s="24" t="s">
        <v>94</v>
      </c>
      <c r="F90" s="26">
        <v>1</v>
      </c>
      <c r="G90" s="27">
        <f>ПАРАМЕТРЫ!B27</f>
        <v>36.68</v>
      </c>
      <c r="H90" s="28">
        <f>ПАРАМЕТРЫ!D27</f>
        <v>8634.8387999999995</v>
      </c>
      <c r="I90" s="28">
        <f>F90*H90</f>
        <v>8634.8387999999995</v>
      </c>
      <c r="J90" s="25"/>
    </row>
    <row r="91" spans="1:10" ht="25.5" customHeight="1" x14ac:dyDescent="0.25">
      <c r="A91" s="30" t="s">
        <v>244</v>
      </c>
      <c r="B91" s="30" t="s">
        <v>140</v>
      </c>
      <c r="C91" s="30" t="s">
        <v>141</v>
      </c>
      <c r="D91" s="30" t="s">
        <v>220</v>
      </c>
      <c r="E91" s="29" t="s">
        <v>94</v>
      </c>
      <c r="F91" s="26">
        <v>22</v>
      </c>
      <c r="G91" s="31">
        <f>ПАРАМЕТРЫ!B12</f>
        <v>10.77</v>
      </c>
      <c r="H91" s="32">
        <f>ПАРАМЕТРЫ!D12</f>
        <v>2535.3656999999998</v>
      </c>
      <c r="I91" s="32">
        <f>F91*H91</f>
        <v>55778.045399999995</v>
      </c>
      <c r="J91" s="30"/>
    </row>
    <row r="92" spans="1:10" ht="25.5" customHeight="1" x14ac:dyDescent="0.25">
      <c r="A92" s="25" t="s">
        <v>245</v>
      </c>
      <c r="B92" s="25" t="s">
        <v>162</v>
      </c>
      <c r="C92" s="25" t="s">
        <v>163</v>
      </c>
      <c r="D92" s="25" t="s">
        <v>220</v>
      </c>
      <c r="E92" s="24" t="s">
        <v>94</v>
      </c>
      <c r="F92" s="26">
        <v>5</v>
      </c>
      <c r="G92" s="27">
        <f>ПАРАМЕТРЫ!B23</f>
        <v>87.63</v>
      </c>
      <c r="H92" s="28">
        <f>ПАРАМЕТРЫ!D23</f>
        <v>20628.978300000002</v>
      </c>
      <c r="I92" s="28">
        <f>F92*H92</f>
        <v>103144.89150000001</v>
      </c>
      <c r="J92" s="25"/>
    </row>
    <row r="93" spans="1:10" ht="25.5" customHeight="1" x14ac:dyDescent="0.25">
      <c r="A93" s="30" t="s">
        <v>246</v>
      </c>
      <c r="B93" s="30" t="s">
        <v>144</v>
      </c>
      <c r="C93" s="30" t="s">
        <v>145</v>
      </c>
      <c r="D93" s="30" t="s">
        <v>220</v>
      </c>
      <c r="E93" s="29" t="s">
        <v>94</v>
      </c>
      <c r="F93" s="26">
        <v>5</v>
      </c>
      <c r="G93" s="31">
        <f>ПАРАМЕТРЫ!B33</f>
        <v>41.58</v>
      </c>
      <c r="H93" s="32">
        <f>ПАРАМЕТРЫ!D33</f>
        <v>9788.3477999999996</v>
      </c>
      <c r="I93" s="32">
        <f>F93*H93</f>
        <v>48941.739000000001</v>
      </c>
      <c r="J93" s="30"/>
    </row>
    <row r="94" spans="1:10" ht="25.5" customHeight="1" x14ac:dyDescent="0.25">
      <c r="A94" s="25" t="s">
        <v>247</v>
      </c>
      <c r="B94" s="25" t="s">
        <v>226</v>
      </c>
      <c r="C94" s="25" t="s">
        <v>95</v>
      </c>
      <c r="D94" s="25" t="s">
        <v>220</v>
      </c>
      <c r="E94" s="24" t="s">
        <v>94</v>
      </c>
      <c r="F94" s="26">
        <v>5</v>
      </c>
      <c r="G94" s="27">
        <f>ПАРАМЕТРЫ!B37</f>
        <v>1.5</v>
      </c>
      <c r="H94" s="28">
        <f>ПАРАМЕТРЫ!D37</f>
        <v>353.11499999999995</v>
      </c>
      <c r="I94" s="28">
        <f>F94*H94</f>
        <v>1765.5749999999998</v>
      </c>
      <c r="J94" s="25"/>
    </row>
    <row r="95" spans="1:10" ht="25.5" customHeight="1" x14ac:dyDescent="0.25">
      <c r="A95" s="38" t="s">
        <v>248</v>
      </c>
      <c r="B95" s="38" t="s">
        <v>129</v>
      </c>
      <c r="C95" s="38"/>
      <c r="D95" s="38" t="s">
        <v>220</v>
      </c>
      <c r="E95" s="37" t="s">
        <v>130</v>
      </c>
      <c r="F95" s="37">
        <v>1</v>
      </c>
      <c r="G95" s="37" t="s">
        <v>95</v>
      </c>
      <c r="H95" s="39" t="str">
        <f>ПАРАМЕТРЫ!B6&amp;"%"</f>
        <v>12%</v>
      </c>
      <c r="I95" s="40">
        <f>(I90+I91+I92+I93+I94)*ПАРАМЕТРЫ!B6/100</f>
        <v>26191.810764000002</v>
      </c>
      <c r="J95" s="38" t="s">
        <v>11</v>
      </c>
    </row>
    <row r="96" spans="1:10" ht="25.5" customHeight="1" thickBot="1" x14ac:dyDescent="0.3">
      <c r="A96" s="42" t="s">
        <v>249</v>
      </c>
      <c r="B96" s="42" t="s">
        <v>132</v>
      </c>
      <c r="C96" s="42"/>
      <c r="D96" s="42" t="s">
        <v>220</v>
      </c>
      <c r="E96" s="41" t="s">
        <v>130</v>
      </c>
      <c r="F96" s="41">
        <v>1</v>
      </c>
      <c r="G96" s="41" t="s">
        <v>95</v>
      </c>
      <c r="H96" s="43" t="str">
        <f>ПАРАМЕТРЫ!B7&amp;"%"</f>
        <v>15%</v>
      </c>
      <c r="I96" s="44">
        <f>(I90+I91+I92+I93+I94)*ПАРАМЕТРЫ!B7/100</f>
        <v>32739.763455000004</v>
      </c>
      <c r="J96" s="42" t="s">
        <v>11</v>
      </c>
    </row>
    <row r="97" spans="1:10" ht="25.5" customHeight="1" thickBot="1" x14ac:dyDescent="0.3">
      <c r="A97" s="45" t="s">
        <v>250</v>
      </c>
      <c r="B97" s="45"/>
      <c r="C97" s="45"/>
      <c r="D97" s="45"/>
      <c r="E97" s="45"/>
      <c r="F97" s="45"/>
      <c r="G97" s="45"/>
      <c r="H97" s="45"/>
      <c r="I97" s="46">
        <f>I90+I91+I92+I93+I94+I95+I96</f>
        <v>277196.66391900001</v>
      </c>
      <c r="J97" s="45"/>
    </row>
    <row r="98" spans="1:10" ht="25.5" customHeight="1" thickBot="1" x14ac:dyDescent="0.3">
      <c r="A98" s="59" t="s">
        <v>251</v>
      </c>
      <c r="B98" s="59" t="str">
        <f>A98</f>
        <v>КОМПЛЕКТ 11.  ЩО-2.1 (ЩРн-12з-0 36 УХЛ3 IP54)  |  Альбом 7.1 ЭО (Концертный зал)</v>
      </c>
      <c r="C98" s="2"/>
      <c r="D98" s="2"/>
      <c r="E98" s="2"/>
      <c r="F98" s="2"/>
      <c r="G98" s="2"/>
      <c r="H98" s="2"/>
      <c r="I98" s="2"/>
      <c r="J98" s="2"/>
    </row>
    <row r="99" spans="1:10" ht="25.5" customHeight="1" x14ac:dyDescent="0.25">
      <c r="A99" s="22" t="s">
        <v>252</v>
      </c>
      <c r="B99" s="22" t="s">
        <v>136</v>
      </c>
      <c r="C99" s="22" t="s">
        <v>92</v>
      </c>
      <c r="D99" s="22" t="s">
        <v>220</v>
      </c>
      <c r="E99" s="21" t="s">
        <v>94</v>
      </c>
      <c r="F99" s="21">
        <v>1</v>
      </c>
      <c r="G99" s="21" t="s">
        <v>95</v>
      </c>
      <c r="H99" s="21" t="s">
        <v>95</v>
      </c>
      <c r="I99" s="23">
        <v>0</v>
      </c>
      <c r="J99" s="22" t="s">
        <v>96</v>
      </c>
    </row>
    <row r="100" spans="1:10" ht="25.5" customHeight="1" x14ac:dyDescent="0.25">
      <c r="A100" s="25" t="s">
        <v>253</v>
      </c>
      <c r="B100" s="25" t="s">
        <v>158</v>
      </c>
      <c r="C100" s="25" t="s">
        <v>159</v>
      </c>
      <c r="D100" s="25" t="s">
        <v>220</v>
      </c>
      <c r="E100" s="24" t="s">
        <v>94</v>
      </c>
      <c r="F100" s="26">
        <v>1</v>
      </c>
      <c r="G100" s="27">
        <f>ПАРАМЕТРЫ!B27</f>
        <v>36.68</v>
      </c>
      <c r="H100" s="28">
        <f>ПАРАМЕТРЫ!D27</f>
        <v>8634.8387999999995</v>
      </c>
      <c r="I100" s="28">
        <f>F100*H100</f>
        <v>8634.8387999999995</v>
      </c>
      <c r="J100" s="25"/>
    </row>
    <row r="101" spans="1:10" ht="25.5" customHeight="1" x14ac:dyDescent="0.25">
      <c r="A101" s="30" t="s">
        <v>254</v>
      </c>
      <c r="B101" s="30" t="s">
        <v>140</v>
      </c>
      <c r="C101" s="30" t="s">
        <v>141</v>
      </c>
      <c r="D101" s="30" t="s">
        <v>220</v>
      </c>
      <c r="E101" s="29" t="s">
        <v>94</v>
      </c>
      <c r="F101" s="26">
        <v>8</v>
      </c>
      <c r="G101" s="31">
        <f>ПАРАМЕТРЫ!B12</f>
        <v>10.77</v>
      </c>
      <c r="H101" s="32">
        <f>ПАРАМЕТРЫ!D12</f>
        <v>2535.3656999999998</v>
      </c>
      <c r="I101" s="32">
        <f>F101*H101</f>
        <v>20282.925599999999</v>
      </c>
      <c r="J101" s="30"/>
    </row>
    <row r="102" spans="1:10" ht="25.5" customHeight="1" x14ac:dyDescent="0.25">
      <c r="A102" s="25" t="s">
        <v>255</v>
      </c>
      <c r="B102" s="25" t="s">
        <v>162</v>
      </c>
      <c r="C102" s="25" t="s">
        <v>163</v>
      </c>
      <c r="D102" s="25" t="s">
        <v>220</v>
      </c>
      <c r="E102" s="24" t="s">
        <v>94</v>
      </c>
      <c r="F102" s="26">
        <v>6</v>
      </c>
      <c r="G102" s="27">
        <f>ПАРАМЕТРЫ!B23</f>
        <v>87.63</v>
      </c>
      <c r="H102" s="28">
        <f>ПАРАМЕТРЫ!D23</f>
        <v>20628.978300000002</v>
      </c>
      <c r="I102" s="28">
        <f>F102*H102</f>
        <v>123773.86980000001</v>
      </c>
      <c r="J102" s="25"/>
    </row>
    <row r="103" spans="1:10" ht="25.5" customHeight="1" x14ac:dyDescent="0.25">
      <c r="A103" s="30" t="s">
        <v>256</v>
      </c>
      <c r="B103" s="30" t="s">
        <v>144</v>
      </c>
      <c r="C103" s="30" t="s">
        <v>145</v>
      </c>
      <c r="D103" s="30" t="s">
        <v>220</v>
      </c>
      <c r="E103" s="29" t="s">
        <v>94</v>
      </c>
      <c r="F103" s="26">
        <v>6</v>
      </c>
      <c r="G103" s="31">
        <f>ПАРАМЕТРЫ!B33</f>
        <v>41.58</v>
      </c>
      <c r="H103" s="32">
        <f>ПАРАМЕТРЫ!D33</f>
        <v>9788.3477999999996</v>
      </c>
      <c r="I103" s="32">
        <f>F103*H103</f>
        <v>58730.086799999997</v>
      </c>
      <c r="J103" s="30"/>
    </row>
    <row r="104" spans="1:10" ht="25.5" customHeight="1" x14ac:dyDescent="0.25">
      <c r="A104" s="25" t="s">
        <v>257</v>
      </c>
      <c r="B104" s="25" t="s">
        <v>226</v>
      </c>
      <c r="C104" s="25" t="s">
        <v>95</v>
      </c>
      <c r="D104" s="25" t="s">
        <v>220</v>
      </c>
      <c r="E104" s="24" t="s">
        <v>94</v>
      </c>
      <c r="F104" s="26">
        <v>6</v>
      </c>
      <c r="G104" s="27">
        <f>ПАРАМЕТРЫ!B37</f>
        <v>1.5</v>
      </c>
      <c r="H104" s="28">
        <f>ПАРАМЕТРЫ!D37</f>
        <v>353.11499999999995</v>
      </c>
      <c r="I104" s="28">
        <f>F104*H104</f>
        <v>2118.6899999999996</v>
      </c>
      <c r="J104" s="25"/>
    </row>
    <row r="105" spans="1:10" ht="25.5" customHeight="1" x14ac:dyDescent="0.25">
      <c r="A105" s="38" t="s">
        <v>258</v>
      </c>
      <c r="B105" s="38" t="s">
        <v>129</v>
      </c>
      <c r="C105" s="38"/>
      <c r="D105" s="38" t="s">
        <v>220</v>
      </c>
      <c r="E105" s="37" t="s">
        <v>130</v>
      </c>
      <c r="F105" s="37">
        <v>1</v>
      </c>
      <c r="G105" s="37" t="s">
        <v>95</v>
      </c>
      <c r="H105" s="39" t="str">
        <f>ПАРАМЕТРЫ!B6&amp;"%"</f>
        <v>12%</v>
      </c>
      <c r="I105" s="40">
        <f>(I100+I101+I102+I103+I104)*ПАРАМЕТРЫ!B6/100</f>
        <v>25624.849320000001</v>
      </c>
      <c r="J105" s="38" t="s">
        <v>11</v>
      </c>
    </row>
    <row r="106" spans="1:10" ht="25.5" customHeight="1" thickBot="1" x14ac:dyDescent="0.3">
      <c r="A106" s="42" t="s">
        <v>259</v>
      </c>
      <c r="B106" s="42" t="s">
        <v>132</v>
      </c>
      <c r="C106" s="42"/>
      <c r="D106" s="42" t="s">
        <v>220</v>
      </c>
      <c r="E106" s="41" t="s">
        <v>130</v>
      </c>
      <c r="F106" s="41">
        <v>1</v>
      </c>
      <c r="G106" s="41" t="s">
        <v>95</v>
      </c>
      <c r="H106" s="43" t="str">
        <f>ПАРАМЕТРЫ!B7&amp;"%"</f>
        <v>15%</v>
      </c>
      <c r="I106" s="44">
        <f>(I100+I101+I102+I103+I104)*ПАРАМЕТРЫ!B7/100</f>
        <v>32031.061650000003</v>
      </c>
      <c r="J106" s="42" t="s">
        <v>11</v>
      </c>
    </row>
    <row r="107" spans="1:10" ht="25.5" customHeight="1" thickBot="1" x14ac:dyDescent="0.3">
      <c r="A107" s="45" t="s">
        <v>260</v>
      </c>
      <c r="B107" s="45"/>
      <c r="C107" s="45"/>
      <c r="D107" s="45"/>
      <c r="E107" s="45"/>
      <c r="F107" s="45"/>
      <c r="G107" s="45"/>
      <c r="H107" s="45"/>
      <c r="I107" s="46">
        <f>I100+I101+I102+I103+I104+I105+I106</f>
        <v>271196.32197000005</v>
      </c>
      <c r="J107" s="45"/>
    </row>
    <row r="108" spans="1:10" ht="25.5" customHeight="1" thickBot="1" x14ac:dyDescent="0.3">
      <c r="A108" s="59" t="s">
        <v>261</v>
      </c>
      <c r="B108" s="59" t="str">
        <f>A108</f>
        <v>КОМПЛЕКТ 12.  ЩО-2.2 (ЩРн-18з-0 36 УХЛ3 IP54)  |  Альбом 7.1 ЭО (Концертный зал)</v>
      </c>
      <c r="C108" s="2"/>
      <c r="D108" s="2"/>
      <c r="E108" s="2"/>
      <c r="F108" s="2"/>
      <c r="G108" s="2"/>
      <c r="H108" s="2"/>
      <c r="I108" s="2"/>
      <c r="J108" s="2"/>
    </row>
    <row r="109" spans="1:10" ht="25.5" customHeight="1" x14ac:dyDescent="0.25">
      <c r="A109" s="22" t="s">
        <v>262</v>
      </c>
      <c r="B109" s="22" t="s">
        <v>196</v>
      </c>
      <c r="C109" s="22" t="s">
        <v>92</v>
      </c>
      <c r="D109" s="22" t="s">
        <v>220</v>
      </c>
      <c r="E109" s="21" t="s">
        <v>94</v>
      </c>
      <c r="F109" s="21">
        <v>1</v>
      </c>
      <c r="G109" s="21" t="s">
        <v>95</v>
      </c>
      <c r="H109" s="21" t="s">
        <v>95</v>
      </c>
      <c r="I109" s="23">
        <v>0</v>
      </c>
      <c r="J109" s="22" t="s">
        <v>96</v>
      </c>
    </row>
    <row r="110" spans="1:10" ht="25.5" customHeight="1" x14ac:dyDescent="0.25">
      <c r="A110" s="25" t="s">
        <v>263</v>
      </c>
      <c r="B110" s="25" t="s">
        <v>158</v>
      </c>
      <c r="C110" s="25" t="s">
        <v>159</v>
      </c>
      <c r="D110" s="25" t="s">
        <v>220</v>
      </c>
      <c r="E110" s="24" t="s">
        <v>94</v>
      </c>
      <c r="F110" s="26">
        <v>1</v>
      </c>
      <c r="G110" s="27">
        <f>ПАРАМЕТРЫ!B27</f>
        <v>36.68</v>
      </c>
      <c r="H110" s="28">
        <f>ПАРАМЕТРЫ!D27</f>
        <v>8634.8387999999995</v>
      </c>
      <c r="I110" s="28">
        <f>F110*H110</f>
        <v>8634.8387999999995</v>
      </c>
      <c r="J110" s="25"/>
    </row>
    <row r="111" spans="1:10" ht="25.5" customHeight="1" x14ac:dyDescent="0.25">
      <c r="A111" s="30" t="s">
        <v>264</v>
      </c>
      <c r="B111" s="30" t="s">
        <v>140</v>
      </c>
      <c r="C111" s="30" t="s">
        <v>141</v>
      </c>
      <c r="D111" s="30" t="s">
        <v>220</v>
      </c>
      <c r="E111" s="29" t="s">
        <v>94</v>
      </c>
      <c r="F111" s="26">
        <v>10</v>
      </c>
      <c r="G111" s="31">
        <f>ПАРАМЕТРЫ!B12</f>
        <v>10.77</v>
      </c>
      <c r="H111" s="32">
        <f>ПАРАМЕТРЫ!D12</f>
        <v>2535.3656999999998</v>
      </c>
      <c r="I111" s="32">
        <f>F111*H111</f>
        <v>25353.656999999999</v>
      </c>
      <c r="J111" s="30"/>
    </row>
    <row r="112" spans="1:10" ht="25.5" customHeight="1" x14ac:dyDescent="0.25">
      <c r="A112" s="25" t="s">
        <v>265</v>
      </c>
      <c r="B112" s="25" t="s">
        <v>162</v>
      </c>
      <c r="C112" s="25" t="s">
        <v>163</v>
      </c>
      <c r="D112" s="25" t="s">
        <v>220</v>
      </c>
      <c r="E112" s="24" t="s">
        <v>94</v>
      </c>
      <c r="F112" s="26">
        <v>2</v>
      </c>
      <c r="G112" s="27">
        <f>ПАРАМЕТРЫ!B23</f>
        <v>87.63</v>
      </c>
      <c r="H112" s="28">
        <f>ПАРАМЕТРЫ!D23</f>
        <v>20628.978300000002</v>
      </c>
      <c r="I112" s="28">
        <f>F112*H112</f>
        <v>41257.956600000005</v>
      </c>
      <c r="J112" s="25"/>
    </row>
    <row r="113" spans="1:10" ht="25.5" customHeight="1" x14ac:dyDescent="0.25">
      <c r="A113" s="30" t="s">
        <v>266</v>
      </c>
      <c r="B113" s="30" t="s">
        <v>144</v>
      </c>
      <c r="C113" s="30" t="s">
        <v>145</v>
      </c>
      <c r="D113" s="30" t="s">
        <v>220</v>
      </c>
      <c r="E113" s="29" t="s">
        <v>94</v>
      </c>
      <c r="F113" s="26">
        <v>2</v>
      </c>
      <c r="G113" s="31">
        <f>ПАРАМЕТРЫ!B33</f>
        <v>41.58</v>
      </c>
      <c r="H113" s="32">
        <f>ПАРАМЕТРЫ!D33</f>
        <v>9788.3477999999996</v>
      </c>
      <c r="I113" s="32">
        <f>F113*H113</f>
        <v>19576.695599999999</v>
      </c>
      <c r="J113" s="30"/>
    </row>
    <row r="114" spans="1:10" ht="25.5" customHeight="1" x14ac:dyDescent="0.25">
      <c r="A114" s="25" t="s">
        <v>267</v>
      </c>
      <c r="B114" s="25" t="s">
        <v>226</v>
      </c>
      <c r="C114" s="25" t="s">
        <v>95</v>
      </c>
      <c r="D114" s="25" t="s">
        <v>220</v>
      </c>
      <c r="E114" s="24" t="s">
        <v>94</v>
      </c>
      <c r="F114" s="26">
        <v>2</v>
      </c>
      <c r="G114" s="27">
        <f>ПАРАМЕТРЫ!B37</f>
        <v>1.5</v>
      </c>
      <c r="H114" s="28">
        <f>ПАРАМЕТРЫ!D37</f>
        <v>353.11499999999995</v>
      </c>
      <c r="I114" s="28">
        <f>F114*H114</f>
        <v>706.2299999999999</v>
      </c>
      <c r="J114" s="25"/>
    </row>
    <row r="115" spans="1:10" ht="25.5" customHeight="1" x14ac:dyDescent="0.25">
      <c r="A115" s="38" t="s">
        <v>268</v>
      </c>
      <c r="B115" s="38" t="s">
        <v>129</v>
      </c>
      <c r="C115" s="38"/>
      <c r="D115" s="38" t="s">
        <v>220</v>
      </c>
      <c r="E115" s="37" t="s">
        <v>130</v>
      </c>
      <c r="F115" s="37">
        <v>1</v>
      </c>
      <c r="G115" s="37" t="s">
        <v>95</v>
      </c>
      <c r="H115" s="39" t="str">
        <f>ПАРАМЕТРЫ!B6&amp;"%"</f>
        <v>12%</v>
      </c>
      <c r="I115" s="40">
        <f>(I110+I111+I112+I113+I114)*ПАРАМЕТРЫ!B6/100</f>
        <v>11463.525360000001</v>
      </c>
      <c r="J115" s="38" t="s">
        <v>11</v>
      </c>
    </row>
    <row r="116" spans="1:10" ht="25.5" customHeight="1" thickBot="1" x14ac:dyDescent="0.3">
      <c r="A116" s="42" t="s">
        <v>269</v>
      </c>
      <c r="B116" s="42" t="s">
        <v>132</v>
      </c>
      <c r="C116" s="42"/>
      <c r="D116" s="42" t="s">
        <v>220</v>
      </c>
      <c r="E116" s="41" t="s">
        <v>130</v>
      </c>
      <c r="F116" s="41">
        <v>1</v>
      </c>
      <c r="G116" s="41" t="s">
        <v>95</v>
      </c>
      <c r="H116" s="43" t="str">
        <f>ПАРАМЕТРЫ!B7&amp;"%"</f>
        <v>15%</v>
      </c>
      <c r="I116" s="44">
        <f>(I110+I111+I112+I113+I114)*ПАРАМЕТРЫ!B7/100</f>
        <v>14329.406700000001</v>
      </c>
      <c r="J116" s="42" t="s">
        <v>11</v>
      </c>
    </row>
    <row r="117" spans="1:10" ht="25.5" customHeight="1" thickBot="1" x14ac:dyDescent="0.3">
      <c r="A117" s="45" t="s">
        <v>270</v>
      </c>
      <c r="B117" s="45"/>
      <c r="C117" s="45"/>
      <c r="D117" s="45"/>
      <c r="E117" s="45"/>
      <c r="F117" s="45"/>
      <c r="G117" s="45"/>
      <c r="H117" s="45"/>
      <c r="I117" s="46">
        <f>I110+I111+I112+I113+I114+I115+I116</f>
        <v>121322.31006000002</v>
      </c>
      <c r="J117" s="45"/>
    </row>
    <row r="118" spans="1:10" ht="25.5" customHeight="1" thickBot="1" x14ac:dyDescent="0.3">
      <c r="A118" s="59" t="s">
        <v>271</v>
      </c>
      <c r="B118" s="59" t="str">
        <f>A118</f>
        <v>КОМПЛЕКТ 13.  ЩО-3.1 (ЩРн-18з-0 36 УХЛ3 IP54)  |  Альбом 7.1 ЭО (Концертный зал)</v>
      </c>
      <c r="C118" s="2"/>
      <c r="D118" s="2"/>
      <c r="E118" s="2"/>
      <c r="F118" s="2"/>
      <c r="G118" s="2"/>
      <c r="H118" s="2"/>
      <c r="I118" s="2"/>
      <c r="J118" s="2"/>
    </row>
    <row r="119" spans="1:10" ht="25.5" customHeight="1" x14ac:dyDescent="0.25">
      <c r="A119" s="22" t="s">
        <v>272</v>
      </c>
      <c r="B119" s="22" t="s">
        <v>196</v>
      </c>
      <c r="C119" s="22" t="s">
        <v>92</v>
      </c>
      <c r="D119" s="22" t="s">
        <v>220</v>
      </c>
      <c r="E119" s="21" t="s">
        <v>94</v>
      </c>
      <c r="F119" s="21">
        <v>1</v>
      </c>
      <c r="G119" s="21" t="s">
        <v>95</v>
      </c>
      <c r="H119" s="21" t="s">
        <v>95</v>
      </c>
      <c r="I119" s="23">
        <v>0</v>
      </c>
      <c r="J119" s="22" t="s">
        <v>96</v>
      </c>
    </row>
    <row r="120" spans="1:10" ht="25.5" customHeight="1" x14ac:dyDescent="0.25">
      <c r="A120" s="25" t="s">
        <v>273</v>
      </c>
      <c r="B120" s="25" t="s">
        <v>158</v>
      </c>
      <c r="C120" s="25" t="s">
        <v>159</v>
      </c>
      <c r="D120" s="25" t="s">
        <v>220</v>
      </c>
      <c r="E120" s="24" t="s">
        <v>94</v>
      </c>
      <c r="F120" s="26">
        <v>1</v>
      </c>
      <c r="G120" s="27">
        <f>ПАРАМЕТРЫ!B27</f>
        <v>36.68</v>
      </c>
      <c r="H120" s="28">
        <f>ПАРАМЕТРЫ!D27</f>
        <v>8634.8387999999995</v>
      </c>
      <c r="I120" s="28">
        <f>F120*H120</f>
        <v>8634.8387999999995</v>
      </c>
      <c r="J120" s="25"/>
    </row>
    <row r="121" spans="1:10" ht="25.5" customHeight="1" x14ac:dyDescent="0.25">
      <c r="A121" s="30" t="s">
        <v>274</v>
      </c>
      <c r="B121" s="30" t="s">
        <v>140</v>
      </c>
      <c r="C121" s="30" t="s">
        <v>141</v>
      </c>
      <c r="D121" s="30" t="s">
        <v>220</v>
      </c>
      <c r="E121" s="29" t="s">
        <v>94</v>
      </c>
      <c r="F121" s="26">
        <v>8</v>
      </c>
      <c r="G121" s="31">
        <f>ПАРАМЕТРЫ!B12</f>
        <v>10.77</v>
      </c>
      <c r="H121" s="32">
        <f>ПАРАМЕТРЫ!D12</f>
        <v>2535.3656999999998</v>
      </c>
      <c r="I121" s="32">
        <f>F121*H121</f>
        <v>20282.925599999999</v>
      </c>
      <c r="J121" s="30"/>
    </row>
    <row r="122" spans="1:10" ht="25.5" customHeight="1" x14ac:dyDescent="0.25">
      <c r="A122" s="25" t="s">
        <v>275</v>
      </c>
      <c r="B122" s="25" t="s">
        <v>162</v>
      </c>
      <c r="C122" s="25" t="s">
        <v>163</v>
      </c>
      <c r="D122" s="25" t="s">
        <v>220</v>
      </c>
      <c r="E122" s="24" t="s">
        <v>94</v>
      </c>
      <c r="F122" s="26">
        <v>3</v>
      </c>
      <c r="G122" s="27">
        <f>ПАРАМЕТРЫ!B23</f>
        <v>87.63</v>
      </c>
      <c r="H122" s="28">
        <f>ПАРАМЕТРЫ!D23</f>
        <v>20628.978300000002</v>
      </c>
      <c r="I122" s="28">
        <f>F122*H122</f>
        <v>61886.934900000007</v>
      </c>
      <c r="J122" s="25"/>
    </row>
    <row r="123" spans="1:10" ht="25.5" customHeight="1" x14ac:dyDescent="0.25">
      <c r="A123" s="30" t="s">
        <v>276</v>
      </c>
      <c r="B123" s="30" t="s">
        <v>144</v>
      </c>
      <c r="C123" s="30" t="s">
        <v>145</v>
      </c>
      <c r="D123" s="30" t="s">
        <v>220</v>
      </c>
      <c r="E123" s="29" t="s">
        <v>94</v>
      </c>
      <c r="F123" s="26">
        <v>3</v>
      </c>
      <c r="G123" s="31">
        <f>ПАРАМЕТРЫ!B33</f>
        <v>41.58</v>
      </c>
      <c r="H123" s="32">
        <f>ПАРАМЕТРЫ!D33</f>
        <v>9788.3477999999996</v>
      </c>
      <c r="I123" s="32">
        <f>F123*H123</f>
        <v>29365.043399999999</v>
      </c>
      <c r="J123" s="30"/>
    </row>
    <row r="124" spans="1:10" ht="25.5" customHeight="1" x14ac:dyDescent="0.25">
      <c r="A124" s="25" t="s">
        <v>277</v>
      </c>
      <c r="B124" s="25" t="s">
        <v>226</v>
      </c>
      <c r="C124" s="25" t="s">
        <v>95</v>
      </c>
      <c r="D124" s="25" t="s">
        <v>220</v>
      </c>
      <c r="E124" s="24" t="s">
        <v>94</v>
      </c>
      <c r="F124" s="26">
        <v>3</v>
      </c>
      <c r="G124" s="27">
        <f>ПАРАМЕТРЫ!B37</f>
        <v>1.5</v>
      </c>
      <c r="H124" s="28">
        <f>ПАРАМЕТРЫ!D37</f>
        <v>353.11499999999995</v>
      </c>
      <c r="I124" s="28">
        <f>F124*H124</f>
        <v>1059.3449999999998</v>
      </c>
      <c r="J124" s="25"/>
    </row>
    <row r="125" spans="1:10" ht="25.5" customHeight="1" x14ac:dyDescent="0.25">
      <c r="A125" s="38" t="s">
        <v>278</v>
      </c>
      <c r="B125" s="38" t="s">
        <v>129</v>
      </c>
      <c r="C125" s="38"/>
      <c r="D125" s="38" t="s">
        <v>220</v>
      </c>
      <c r="E125" s="37" t="s">
        <v>130</v>
      </c>
      <c r="F125" s="37">
        <v>1</v>
      </c>
      <c r="G125" s="37" t="s">
        <v>95</v>
      </c>
      <c r="H125" s="39" t="str">
        <f>ПАРАМЕТРЫ!B6&amp;"%"</f>
        <v>12%</v>
      </c>
      <c r="I125" s="40">
        <f>(I120+I121+I122+I123+I124)*ПАРАМЕТРЫ!B6/100</f>
        <v>14547.490523999999</v>
      </c>
      <c r="J125" s="38" t="s">
        <v>11</v>
      </c>
    </row>
    <row r="126" spans="1:10" ht="25.5" customHeight="1" thickBot="1" x14ac:dyDescent="0.3">
      <c r="A126" s="42" t="s">
        <v>279</v>
      </c>
      <c r="B126" s="42" t="s">
        <v>132</v>
      </c>
      <c r="C126" s="42"/>
      <c r="D126" s="42" t="s">
        <v>220</v>
      </c>
      <c r="E126" s="41" t="s">
        <v>130</v>
      </c>
      <c r="F126" s="41">
        <v>1</v>
      </c>
      <c r="G126" s="41" t="s">
        <v>95</v>
      </c>
      <c r="H126" s="43" t="str">
        <f>ПАРАМЕТРЫ!B7&amp;"%"</f>
        <v>15%</v>
      </c>
      <c r="I126" s="44">
        <f>(I120+I121+I122+I123+I124)*ПАРАМЕТРЫ!B7/100</f>
        <v>18184.363154999999</v>
      </c>
      <c r="J126" s="42" t="s">
        <v>11</v>
      </c>
    </row>
    <row r="127" spans="1:10" ht="25.5" customHeight="1" thickBot="1" x14ac:dyDescent="0.3">
      <c r="A127" s="45" t="s">
        <v>280</v>
      </c>
      <c r="B127" s="45"/>
      <c r="C127" s="45"/>
      <c r="D127" s="45"/>
      <c r="E127" s="45"/>
      <c r="F127" s="45"/>
      <c r="G127" s="45"/>
      <c r="H127" s="45"/>
      <c r="I127" s="46">
        <f>I120+I121+I122+I123+I124+I125+I126</f>
        <v>153960.941379</v>
      </c>
      <c r="J127" s="45"/>
    </row>
    <row r="128" spans="1:10" ht="25.5" customHeight="1" thickBot="1" x14ac:dyDescent="0.3">
      <c r="A128" s="59" t="s">
        <v>281</v>
      </c>
      <c r="B128" s="59" t="str">
        <f>A128</f>
        <v>КОМПЛЕКТ 14.  ЩО-3.2 (ЩРн-18з-0 36 УХЛ3 IP54)  |  Альбом 7.1 ЭО (Концертный зал)</v>
      </c>
      <c r="C128" s="2"/>
      <c r="D128" s="2"/>
      <c r="E128" s="2"/>
      <c r="F128" s="2"/>
      <c r="G128" s="2"/>
      <c r="H128" s="2"/>
      <c r="I128" s="2"/>
      <c r="J128" s="2"/>
    </row>
    <row r="129" spans="1:10" ht="25.5" customHeight="1" x14ac:dyDescent="0.25">
      <c r="A129" s="22" t="s">
        <v>282</v>
      </c>
      <c r="B129" s="22" t="s">
        <v>196</v>
      </c>
      <c r="C129" s="22" t="s">
        <v>92</v>
      </c>
      <c r="D129" s="22" t="s">
        <v>220</v>
      </c>
      <c r="E129" s="21" t="s">
        <v>94</v>
      </c>
      <c r="F129" s="21">
        <v>1</v>
      </c>
      <c r="G129" s="21" t="s">
        <v>95</v>
      </c>
      <c r="H129" s="21" t="s">
        <v>95</v>
      </c>
      <c r="I129" s="23">
        <v>0</v>
      </c>
      <c r="J129" s="22" t="s">
        <v>96</v>
      </c>
    </row>
    <row r="130" spans="1:10" ht="25.5" customHeight="1" x14ac:dyDescent="0.25">
      <c r="A130" s="25" t="s">
        <v>283</v>
      </c>
      <c r="B130" s="25" t="s">
        <v>158</v>
      </c>
      <c r="C130" s="25" t="s">
        <v>159</v>
      </c>
      <c r="D130" s="25" t="s">
        <v>220</v>
      </c>
      <c r="E130" s="24" t="s">
        <v>94</v>
      </c>
      <c r="F130" s="26">
        <v>1</v>
      </c>
      <c r="G130" s="27">
        <f>ПАРАМЕТРЫ!B27</f>
        <v>36.68</v>
      </c>
      <c r="H130" s="28">
        <f>ПАРАМЕТРЫ!D27</f>
        <v>8634.8387999999995</v>
      </c>
      <c r="I130" s="28">
        <f>F130*H130</f>
        <v>8634.8387999999995</v>
      </c>
      <c r="J130" s="25"/>
    </row>
    <row r="131" spans="1:10" ht="25.5" customHeight="1" x14ac:dyDescent="0.25">
      <c r="A131" s="30" t="s">
        <v>284</v>
      </c>
      <c r="B131" s="30" t="s">
        <v>140</v>
      </c>
      <c r="C131" s="30" t="s">
        <v>141</v>
      </c>
      <c r="D131" s="30" t="s">
        <v>220</v>
      </c>
      <c r="E131" s="29" t="s">
        <v>94</v>
      </c>
      <c r="F131" s="26">
        <v>8</v>
      </c>
      <c r="G131" s="31">
        <f>ПАРАМЕТРЫ!B12</f>
        <v>10.77</v>
      </c>
      <c r="H131" s="32">
        <f>ПАРАМЕТРЫ!D12</f>
        <v>2535.3656999999998</v>
      </c>
      <c r="I131" s="32">
        <f>F131*H131</f>
        <v>20282.925599999999</v>
      </c>
      <c r="J131" s="30"/>
    </row>
    <row r="132" spans="1:10" ht="25.5" customHeight="1" x14ac:dyDescent="0.25">
      <c r="A132" s="25" t="s">
        <v>285</v>
      </c>
      <c r="B132" s="25" t="s">
        <v>162</v>
      </c>
      <c r="C132" s="25" t="s">
        <v>163</v>
      </c>
      <c r="D132" s="25" t="s">
        <v>220</v>
      </c>
      <c r="E132" s="24" t="s">
        <v>94</v>
      </c>
      <c r="F132" s="26">
        <v>2</v>
      </c>
      <c r="G132" s="27">
        <f>ПАРАМЕТРЫ!B23</f>
        <v>87.63</v>
      </c>
      <c r="H132" s="28">
        <f>ПАРАМЕТРЫ!D23</f>
        <v>20628.978300000002</v>
      </c>
      <c r="I132" s="28">
        <f>F132*H132</f>
        <v>41257.956600000005</v>
      </c>
      <c r="J132" s="25"/>
    </row>
    <row r="133" spans="1:10" ht="25.5" customHeight="1" x14ac:dyDescent="0.25">
      <c r="A133" s="30" t="s">
        <v>286</v>
      </c>
      <c r="B133" s="30" t="s">
        <v>144</v>
      </c>
      <c r="C133" s="30" t="s">
        <v>145</v>
      </c>
      <c r="D133" s="30" t="s">
        <v>220</v>
      </c>
      <c r="E133" s="29" t="s">
        <v>94</v>
      </c>
      <c r="F133" s="26">
        <v>2</v>
      </c>
      <c r="G133" s="31">
        <f>ПАРАМЕТРЫ!B33</f>
        <v>41.58</v>
      </c>
      <c r="H133" s="32">
        <f>ПАРАМЕТРЫ!D33</f>
        <v>9788.3477999999996</v>
      </c>
      <c r="I133" s="32">
        <f>F133*H133</f>
        <v>19576.695599999999</v>
      </c>
      <c r="J133" s="30"/>
    </row>
    <row r="134" spans="1:10" ht="25.5" customHeight="1" x14ac:dyDescent="0.25">
      <c r="A134" s="25" t="s">
        <v>287</v>
      </c>
      <c r="B134" s="25" t="s">
        <v>226</v>
      </c>
      <c r="C134" s="25" t="s">
        <v>95</v>
      </c>
      <c r="D134" s="25" t="s">
        <v>220</v>
      </c>
      <c r="E134" s="24" t="s">
        <v>94</v>
      </c>
      <c r="F134" s="26">
        <v>2</v>
      </c>
      <c r="G134" s="27">
        <f>ПАРАМЕТРЫ!B37</f>
        <v>1.5</v>
      </c>
      <c r="H134" s="28">
        <f>ПАРАМЕТРЫ!D37</f>
        <v>353.11499999999995</v>
      </c>
      <c r="I134" s="28">
        <f>F134*H134</f>
        <v>706.2299999999999</v>
      </c>
      <c r="J134" s="25"/>
    </row>
    <row r="135" spans="1:10" ht="25.5" customHeight="1" x14ac:dyDescent="0.25">
      <c r="A135" s="38" t="s">
        <v>288</v>
      </c>
      <c r="B135" s="38" t="s">
        <v>129</v>
      </c>
      <c r="C135" s="38"/>
      <c r="D135" s="38" t="s">
        <v>220</v>
      </c>
      <c r="E135" s="37" t="s">
        <v>130</v>
      </c>
      <c r="F135" s="37">
        <v>1</v>
      </c>
      <c r="G135" s="37" t="s">
        <v>95</v>
      </c>
      <c r="H135" s="39" t="str">
        <f>ПАРАМЕТРЫ!B6&amp;"%"</f>
        <v>12%</v>
      </c>
      <c r="I135" s="40">
        <f>(I130+I131+I132+I133+I134)*ПАРАМЕТРЫ!B6/100</f>
        <v>10855.037592000001</v>
      </c>
      <c r="J135" s="38" t="s">
        <v>11</v>
      </c>
    </row>
    <row r="136" spans="1:10" ht="25.5" customHeight="1" thickBot="1" x14ac:dyDescent="0.3">
      <c r="A136" s="42" t="s">
        <v>289</v>
      </c>
      <c r="B136" s="42" t="s">
        <v>132</v>
      </c>
      <c r="C136" s="42"/>
      <c r="D136" s="42" t="s">
        <v>220</v>
      </c>
      <c r="E136" s="41" t="s">
        <v>130</v>
      </c>
      <c r="F136" s="41">
        <v>1</v>
      </c>
      <c r="G136" s="41" t="s">
        <v>95</v>
      </c>
      <c r="H136" s="43" t="str">
        <f>ПАРАМЕТРЫ!B7&amp;"%"</f>
        <v>15%</v>
      </c>
      <c r="I136" s="44">
        <f>(I130+I131+I132+I133+I134)*ПАРАМЕТРЫ!B7/100</f>
        <v>13568.796989999997</v>
      </c>
      <c r="J136" s="42" t="s">
        <v>11</v>
      </c>
    </row>
    <row r="137" spans="1:10" ht="25.5" customHeight="1" thickBot="1" x14ac:dyDescent="0.3">
      <c r="A137" s="45" t="s">
        <v>290</v>
      </c>
      <c r="B137" s="45"/>
      <c r="C137" s="45"/>
      <c r="D137" s="45"/>
      <c r="E137" s="45"/>
      <c r="F137" s="45"/>
      <c r="G137" s="45"/>
      <c r="H137" s="45"/>
      <c r="I137" s="46">
        <f>I130+I131+I132+I133+I134+I135+I136</f>
        <v>114882.48118199999</v>
      </c>
      <c r="J137" s="45"/>
    </row>
    <row r="138" spans="1:10" ht="25.5" customHeight="1" thickBot="1" x14ac:dyDescent="0.3">
      <c r="A138" s="59" t="s">
        <v>291</v>
      </c>
      <c r="B138" s="59" t="str">
        <f>A138</f>
        <v>КОМПЛЕКТ 15.  ЩО-3.3 (ЩРн-12з-0 36 УХЛ3 IP54)  |  Альбом 7.1 ЭО (Концертный зал)</v>
      </c>
      <c r="C138" s="2"/>
      <c r="D138" s="2"/>
      <c r="E138" s="2"/>
      <c r="F138" s="2"/>
      <c r="G138" s="2"/>
      <c r="H138" s="2"/>
      <c r="I138" s="2"/>
      <c r="J138" s="2"/>
    </row>
    <row r="139" spans="1:10" ht="25.5" customHeight="1" x14ac:dyDescent="0.25">
      <c r="A139" s="22" t="s">
        <v>292</v>
      </c>
      <c r="B139" s="22" t="s">
        <v>136</v>
      </c>
      <c r="C139" s="22" t="s">
        <v>92</v>
      </c>
      <c r="D139" s="22" t="s">
        <v>220</v>
      </c>
      <c r="E139" s="21" t="s">
        <v>94</v>
      </c>
      <c r="F139" s="21">
        <v>1</v>
      </c>
      <c r="G139" s="21" t="s">
        <v>95</v>
      </c>
      <c r="H139" s="21" t="s">
        <v>95</v>
      </c>
      <c r="I139" s="23">
        <v>0</v>
      </c>
      <c r="J139" s="22" t="s">
        <v>96</v>
      </c>
    </row>
    <row r="140" spans="1:10" ht="25.5" customHeight="1" x14ac:dyDescent="0.25">
      <c r="A140" s="25" t="s">
        <v>293</v>
      </c>
      <c r="B140" s="25" t="s">
        <v>158</v>
      </c>
      <c r="C140" s="25" t="s">
        <v>159</v>
      </c>
      <c r="D140" s="25" t="s">
        <v>220</v>
      </c>
      <c r="E140" s="24" t="s">
        <v>94</v>
      </c>
      <c r="F140" s="26">
        <v>1</v>
      </c>
      <c r="G140" s="27">
        <f>ПАРАМЕТРЫ!B27</f>
        <v>36.68</v>
      </c>
      <c r="H140" s="28">
        <f>ПАРАМЕТРЫ!D27</f>
        <v>8634.8387999999995</v>
      </c>
      <c r="I140" s="28">
        <f>F140*H140</f>
        <v>8634.8387999999995</v>
      </c>
      <c r="J140" s="25"/>
    </row>
    <row r="141" spans="1:10" ht="25.5" customHeight="1" x14ac:dyDescent="0.25">
      <c r="A141" s="30" t="s">
        <v>294</v>
      </c>
      <c r="B141" s="30" t="s">
        <v>140</v>
      </c>
      <c r="C141" s="30" t="s">
        <v>141</v>
      </c>
      <c r="D141" s="30" t="s">
        <v>220</v>
      </c>
      <c r="E141" s="29" t="s">
        <v>94</v>
      </c>
      <c r="F141" s="26">
        <v>6</v>
      </c>
      <c r="G141" s="31">
        <f>ПАРАМЕТРЫ!B12</f>
        <v>10.77</v>
      </c>
      <c r="H141" s="32">
        <f>ПАРАМЕТРЫ!D12</f>
        <v>2535.3656999999998</v>
      </c>
      <c r="I141" s="32">
        <f>F141*H141</f>
        <v>15212.194199999998</v>
      </c>
      <c r="J141" s="30"/>
    </row>
    <row r="142" spans="1:10" ht="25.5" customHeight="1" x14ac:dyDescent="0.25">
      <c r="A142" s="25" t="s">
        <v>295</v>
      </c>
      <c r="B142" s="25" t="s">
        <v>162</v>
      </c>
      <c r="C142" s="25" t="s">
        <v>163</v>
      </c>
      <c r="D142" s="25" t="s">
        <v>220</v>
      </c>
      <c r="E142" s="24" t="s">
        <v>94</v>
      </c>
      <c r="F142" s="26">
        <v>2</v>
      </c>
      <c r="G142" s="27">
        <f>ПАРАМЕТРЫ!B23</f>
        <v>87.63</v>
      </c>
      <c r="H142" s="28">
        <f>ПАРАМЕТРЫ!D23</f>
        <v>20628.978300000002</v>
      </c>
      <c r="I142" s="28">
        <f>F142*H142</f>
        <v>41257.956600000005</v>
      </c>
      <c r="J142" s="25"/>
    </row>
    <row r="143" spans="1:10" ht="25.5" customHeight="1" x14ac:dyDescent="0.25">
      <c r="A143" s="30" t="s">
        <v>296</v>
      </c>
      <c r="B143" s="30" t="s">
        <v>144</v>
      </c>
      <c r="C143" s="30" t="s">
        <v>145</v>
      </c>
      <c r="D143" s="30" t="s">
        <v>220</v>
      </c>
      <c r="E143" s="29" t="s">
        <v>94</v>
      </c>
      <c r="F143" s="26">
        <v>2</v>
      </c>
      <c r="G143" s="31">
        <f>ПАРАМЕТРЫ!B33</f>
        <v>41.58</v>
      </c>
      <c r="H143" s="32">
        <f>ПАРАМЕТРЫ!D33</f>
        <v>9788.3477999999996</v>
      </c>
      <c r="I143" s="32">
        <f>F143*H143</f>
        <v>19576.695599999999</v>
      </c>
      <c r="J143" s="30"/>
    </row>
    <row r="144" spans="1:10" ht="25.5" customHeight="1" x14ac:dyDescent="0.25">
      <c r="A144" s="25" t="s">
        <v>297</v>
      </c>
      <c r="B144" s="25" t="s">
        <v>226</v>
      </c>
      <c r="C144" s="25" t="s">
        <v>95</v>
      </c>
      <c r="D144" s="25" t="s">
        <v>220</v>
      </c>
      <c r="E144" s="24" t="s">
        <v>94</v>
      </c>
      <c r="F144" s="26">
        <v>2</v>
      </c>
      <c r="G144" s="27">
        <f>ПАРАМЕТРЫ!B37</f>
        <v>1.5</v>
      </c>
      <c r="H144" s="28">
        <f>ПАРАМЕТРЫ!D37</f>
        <v>353.11499999999995</v>
      </c>
      <c r="I144" s="28">
        <f>F144*H144</f>
        <v>706.2299999999999</v>
      </c>
      <c r="J144" s="25"/>
    </row>
    <row r="145" spans="1:10" ht="25.5" customHeight="1" x14ac:dyDescent="0.25">
      <c r="A145" s="38" t="s">
        <v>298</v>
      </c>
      <c r="B145" s="38" t="s">
        <v>129</v>
      </c>
      <c r="C145" s="38"/>
      <c r="D145" s="38" t="s">
        <v>220</v>
      </c>
      <c r="E145" s="37" t="s">
        <v>130</v>
      </c>
      <c r="F145" s="37">
        <v>1</v>
      </c>
      <c r="G145" s="37" t="s">
        <v>95</v>
      </c>
      <c r="H145" s="39" t="str">
        <f>ПАРАМЕТРЫ!B6&amp;"%"</f>
        <v>12%</v>
      </c>
      <c r="I145" s="40">
        <f>(I140+I141+I142+I143+I144)*ПАРАМЕТРЫ!B6/100</f>
        <v>10246.549824000002</v>
      </c>
      <c r="J145" s="38" t="s">
        <v>11</v>
      </c>
    </row>
    <row r="146" spans="1:10" ht="25.5" customHeight="1" thickBot="1" x14ac:dyDescent="0.3">
      <c r="A146" s="42" t="s">
        <v>299</v>
      </c>
      <c r="B146" s="42" t="s">
        <v>132</v>
      </c>
      <c r="C146" s="42"/>
      <c r="D146" s="42" t="s">
        <v>220</v>
      </c>
      <c r="E146" s="41" t="s">
        <v>130</v>
      </c>
      <c r="F146" s="41">
        <v>1</v>
      </c>
      <c r="G146" s="41" t="s">
        <v>95</v>
      </c>
      <c r="H146" s="43" t="str">
        <f>ПАРАМЕТРЫ!B7&amp;"%"</f>
        <v>15%</v>
      </c>
      <c r="I146" s="44">
        <f>(I140+I141+I142+I143+I144)*ПАРАМЕТРЫ!B7/100</f>
        <v>12808.187280000002</v>
      </c>
      <c r="J146" s="42" t="s">
        <v>11</v>
      </c>
    </row>
    <row r="147" spans="1:10" ht="25.5" customHeight="1" thickBot="1" x14ac:dyDescent="0.3">
      <c r="A147" s="45" t="s">
        <v>300</v>
      </c>
      <c r="B147" s="45"/>
      <c r="C147" s="45"/>
      <c r="D147" s="45"/>
      <c r="E147" s="45"/>
      <c r="F147" s="45"/>
      <c r="G147" s="45"/>
      <c r="H147" s="45"/>
      <c r="I147" s="46">
        <f>I140+I141+I142+I143+I144+I145+I146</f>
        <v>108442.652304</v>
      </c>
      <c r="J147" s="45"/>
    </row>
    <row r="148" spans="1:10" ht="25.5" customHeight="1" thickBot="1" x14ac:dyDescent="0.3">
      <c r="A148" s="59" t="s">
        <v>301</v>
      </c>
      <c r="B148" s="59" t="str">
        <f>A148</f>
        <v>КОМПЛЕКТ 16.  ЩО-Зз (ЩРн-18з-0 36 УХЛ3 IP54)  |  Альбом 7.1 ЭО (Концертный зал)</v>
      </c>
      <c r="C148" s="2"/>
      <c r="D148" s="2"/>
      <c r="E148" s="2"/>
      <c r="F148" s="2"/>
      <c r="G148" s="2"/>
      <c r="H148" s="2"/>
      <c r="I148" s="2"/>
      <c r="J148" s="2"/>
    </row>
    <row r="149" spans="1:10" ht="25.5" customHeight="1" x14ac:dyDescent="0.25">
      <c r="A149" s="22" t="s">
        <v>302</v>
      </c>
      <c r="B149" s="22" t="s">
        <v>196</v>
      </c>
      <c r="C149" s="22" t="s">
        <v>92</v>
      </c>
      <c r="D149" s="22" t="s">
        <v>220</v>
      </c>
      <c r="E149" s="21" t="s">
        <v>94</v>
      </c>
      <c r="F149" s="21">
        <v>1</v>
      </c>
      <c r="G149" s="21" t="s">
        <v>95</v>
      </c>
      <c r="H149" s="21" t="s">
        <v>95</v>
      </c>
      <c r="I149" s="23">
        <v>0</v>
      </c>
      <c r="J149" s="22" t="s">
        <v>96</v>
      </c>
    </row>
    <row r="150" spans="1:10" ht="25.5" customHeight="1" x14ac:dyDescent="0.25">
      <c r="A150" s="25" t="s">
        <v>303</v>
      </c>
      <c r="B150" s="25" t="s">
        <v>158</v>
      </c>
      <c r="C150" s="25" t="s">
        <v>159</v>
      </c>
      <c r="D150" s="25" t="s">
        <v>220</v>
      </c>
      <c r="E150" s="24" t="s">
        <v>94</v>
      </c>
      <c r="F150" s="26">
        <v>1</v>
      </c>
      <c r="G150" s="27">
        <f>ПАРАМЕТРЫ!B27</f>
        <v>36.68</v>
      </c>
      <c r="H150" s="28">
        <f>ПАРАМЕТРЫ!D27</f>
        <v>8634.8387999999995</v>
      </c>
      <c r="I150" s="28">
        <f>F150*H150</f>
        <v>8634.8387999999995</v>
      </c>
      <c r="J150" s="25"/>
    </row>
    <row r="151" spans="1:10" ht="25.5" customHeight="1" x14ac:dyDescent="0.25">
      <c r="A151" s="30" t="s">
        <v>304</v>
      </c>
      <c r="B151" s="30" t="s">
        <v>140</v>
      </c>
      <c r="C151" s="30" t="s">
        <v>141</v>
      </c>
      <c r="D151" s="30" t="s">
        <v>220</v>
      </c>
      <c r="E151" s="29" t="s">
        <v>94</v>
      </c>
      <c r="F151" s="26">
        <v>12</v>
      </c>
      <c r="G151" s="31">
        <f>ПАРАМЕТРЫ!B12</f>
        <v>10.77</v>
      </c>
      <c r="H151" s="32">
        <f>ПАРАМЕТРЫ!D12</f>
        <v>2535.3656999999998</v>
      </c>
      <c r="I151" s="32">
        <f>F151*H151</f>
        <v>30424.388399999996</v>
      </c>
      <c r="J151" s="30"/>
    </row>
    <row r="152" spans="1:10" ht="25.5" customHeight="1" x14ac:dyDescent="0.25">
      <c r="A152" s="25" t="s">
        <v>305</v>
      </c>
      <c r="B152" s="25" t="s">
        <v>162</v>
      </c>
      <c r="C152" s="25" t="s">
        <v>163</v>
      </c>
      <c r="D152" s="25" t="s">
        <v>220</v>
      </c>
      <c r="E152" s="24" t="s">
        <v>94</v>
      </c>
      <c r="F152" s="26">
        <v>4</v>
      </c>
      <c r="G152" s="27">
        <f>ПАРАМЕТРЫ!B23</f>
        <v>87.63</v>
      </c>
      <c r="H152" s="28">
        <f>ПАРАМЕТРЫ!D23</f>
        <v>20628.978300000002</v>
      </c>
      <c r="I152" s="28">
        <f>F152*H152</f>
        <v>82515.91320000001</v>
      </c>
      <c r="J152" s="25"/>
    </row>
    <row r="153" spans="1:10" ht="25.5" customHeight="1" x14ac:dyDescent="0.25">
      <c r="A153" s="30" t="s">
        <v>306</v>
      </c>
      <c r="B153" s="30" t="s">
        <v>144</v>
      </c>
      <c r="C153" s="30" t="s">
        <v>145</v>
      </c>
      <c r="D153" s="30" t="s">
        <v>220</v>
      </c>
      <c r="E153" s="29" t="s">
        <v>94</v>
      </c>
      <c r="F153" s="26">
        <v>4</v>
      </c>
      <c r="G153" s="31">
        <f>ПАРАМЕТРЫ!B33</f>
        <v>41.58</v>
      </c>
      <c r="H153" s="32">
        <f>ПАРАМЕТРЫ!D33</f>
        <v>9788.3477999999996</v>
      </c>
      <c r="I153" s="32">
        <f>F153*H153</f>
        <v>39153.391199999998</v>
      </c>
      <c r="J153" s="30"/>
    </row>
    <row r="154" spans="1:10" ht="25.5" customHeight="1" x14ac:dyDescent="0.25">
      <c r="A154" s="25" t="s">
        <v>307</v>
      </c>
      <c r="B154" s="25" t="s">
        <v>226</v>
      </c>
      <c r="C154" s="25" t="s">
        <v>95</v>
      </c>
      <c r="D154" s="25" t="s">
        <v>220</v>
      </c>
      <c r="E154" s="24" t="s">
        <v>94</v>
      </c>
      <c r="F154" s="26">
        <v>4</v>
      </c>
      <c r="G154" s="27">
        <f>ПАРАМЕТРЫ!B37</f>
        <v>1.5</v>
      </c>
      <c r="H154" s="28">
        <f>ПАРАМЕТРЫ!D37</f>
        <v>353.11499999999995</v>
      </c>
      <c r="I154" s="28">
        <f>F154*H154</f>
        <v>1412.4599999999998</v>
      </c>
      <c r="J154" s="25"/>
    </row>
    <row r="155" spans="1:10" ht="25.5" customHeight="1" x14ac:dyDescent="0.25">
      <c r="A155" s="38" t="s">
        <v>308</v>
      </c>
      <c r="B155" s="38" t="s">
        <v>129</v>
      </c>
      <c r="C155" s="38"/>
      <c r="D155" s="38" t="s">
        <v>220</v>
      </c>
      <c r="E155" s="37" t="s">
        <v>130</v>
      </c>
      <c r="F155" s="37">
        <v>1</v>
      </c>
      <c r="G155" s="37" t="s">
        <v>95</v>
      </c>
      <c r="H155" s="39" t="str">
        <f>ПАРАМЕТРЫ!B6&amp;"%"</f>
        <v>12%</v>
      </c>
      <c r="I155" s="40">
        <f>(I150+I151+I152+I153+I154)*ПАРАМЕТРЫ!B6/100</f>
        <v>19456.918991999999</v>
      </c>
      <c r="J155" s="38" t="s">
        <v>11</v>
      </c>
    </row>
    <row r="156" spans="1:10" ht="25.5" customHeight="1" thickBot="1" x14ac:dyDescent="0.3">
      <c r="A156" s="42" t="s">
        <v>309</v>
      </c>
      <c r="B156" s="42" t="s">
        <v>132</v>
      </c>
      <c r="C156" s="42"/>
      <c r="D156" s="42" t="s">
        <v>220</v>
      </c>
      <c r="E156" s="41" t="s">
        <v>130</v>
      </c>
      <c r="F156" s="41">
        <v>1</v>
      </c>
      <c r="G156" s="41" t="s">
        <v>95</v>
      </c>
      <c r="H156" s="43" t="str">
        <f>ПАРАМЕТРЫ!B7&amp;"%"</f>
        <v>15%</v>
      </c>
      <c r="I156" s="44">
        <f>(I150+I151+I152+I153+I154)*ПАРАМЕТРЫ!B7/100</f>
        <v>24321.148739999997</v>
      </c>
      <c r="J156" s="42" t="s">
        <v>11</v>
      </c>
    </row>
    <row r="157" spans="1:10" ht="25.5" customHeight="1" thickBot="1" x14ac:dyDescent="0.3">
      <c r="A157" s="45" t="s">
        <v>310</v>
      </c>
      <c r="B157" s="45"/>
      <c r="C157" s="45"/>
      <c r="D157" s="45"/>
      <c r="E157" s="45"/>
      <c r="F157" s="45"/>
      <c r="G157" s="45"/>
      <c r="H157" s="45"/>
      <c r="I157" s="46">
        <f>I150+I151+I152+I153+I154+I155+I156</f>
        <v>205919.05933199998</v>
      </c>
      <c r="J157" s="45"/>
    </row>
    <row r="158" spans="1:10" ht="25.5" customHeight="1" thickBot="1" x14ac:dyDescent="0.3">
      <c r="A158" s="59" t="s">
        <v>311</v>
      </c>
      <c r="B158" s="59" t="str">
        <f>A158</f>
        <v>КОМПЛЕКТ 17.  ЩОА-1.1 (ЩРн-12з-0 36 УХЛ3 IP54)  |  Альбом 7.1 ЭО (Концертный зал)</v>
      </c>
      <c r="C158" s="2"/>
      <c r="D158" s="2"/>
      <c r="E158" s="2"/>
      <c r="F158" s="2"/>
      <c r="G158" s="2"/>
      <c r="H158" s="2"/>
      <c r="I158" s="2"/>
      <c r="J158" s="2"/>
    </row>
    <row r="159" spans="1:10" ht="25.5" customHeight="1" x14ac:dyDescent="0.25">
      <c r="A159" s="22" t="s">
        <v>312</v>
      </c>
      <c r="B159" s="22" t="s">
        <v>136</v>
      </c>
      <c r="C159" s="22" t="s">
        <v>92</v>
      </c>
      <c r="D159" s="22" t="s">
        <v>220</v>
      </c>
      <c r="E159" s="21" t="s">
        <v>94</v>
      </c>
      <c r="F159" s="21">
        <v>1</v>
      </c>
      <c r="G159" s="21" t="s">
        <v>95</v>
      </c>
      <c r="H159" s="21" t="s">
        <v>95</v>
      </c>
      <c r="I159" s="23">
        <v>0</v>
      </c>
      <c r="J159" s="22" t="s">
        <v>96</v>
      </c>
    </row>
    <row r="160" spans="1:10" ht="25.5" customHeight="1" x14ac:dyDescent="0.25">
      <c r="A160" s="25" t="s">
        <v>313</v>
      </c>
      <c r="B160" s="25" t="s">
        <v>158</v>
      </c>
      <c r="C160" s="25" t="s">
        <v>159</v>
      </c>
      <c r="D160" s="25" t="s">
        <v>220</v>
      </c>
      <c r="E160" s="24" t="s">
        <v>94</v>
      </c>
      <c r="F160" s="26">
        <v>1</v>
      </c>
      <c r="G160" s="27">
        <f>ПАРАМЕТРЫ!B27</f>
        <v>36.68</v>
      </c>
      <c r="H160" s="28">
        <f>ПАРАМЕТРЫ!D27</f>
        <v>8634.8387999999995</v>
      </c>
      <c r="I160" s="28">
        <f>F160*H160</f>
        <v>8634.8387999999995</v>
      </c>
      <c r="J160" s="25"/>
    </row>
    <row r="161" spans="1:10" ht="25.5" customHeight="1" x14ac:dyDescent="0.25">
      <c r="A161" s="30" t="s">
        <v>314</v>
      </c>
      <c r="B161" s="30" t="s">
        <v>140</v>
      </c>
      <c r="C161" s="30" t="s">
        <v>141</v>
      </c>
      <c r="D161" s="30" t="s">
        <v>220</v>
      </c>
      <c r="E161" s="29" t="s">
        <v>94</v>
      </c>
      <c r="F161" s="26">
        <v>4</v>
      </c>
      <c r="G161" s="31">
        <f>ПАРАМЕТРЫ!B12</f>
        <v>10.77</v>
      </c>
      <c r="H161" s="32">
        <f>ПАРАМЕТРЫ!D12</f>
        <v>2535.3656999999998</v>
      </c>
      <c r="I161" s="32">
        <f>F161*H161</f>
        <v>10141.462799999999</v>
      </c>
      <c r="J161" s="30"/>
    </row>
    <row r="162" spans="1:10" ht="25.5" customHeight="1" x14ac:dyDescent="0.25">
      <c r="A162" s="38" t="s">
        <v>315</v>
      </c>
      <c r="B162" s="38" t="s">
        <v>129</v>
      </c>
      <c r="C162" s="38"/>
      <c r="D162" s="38" t="s">
        <v>220</v>
      </c>
      <c r="E162" s="37" t="s">
        <v>130</v>
      </c>
      <c r="F162" s="37">
        <v>1</v>
      </c>
      <c r="G162" s="37" t="s">
        <v>95</v>
      </c>
      <c r="H162" s="39" t="str">
        <f>ПАРАМЕТРЫ!B6&amp;"%"</f>
        <v>12%</v>
      </c>
      <c r="I162" s="40">
        <f>(I160+I161)*ПАРАМЕТРЫ!B6/100</f>
        <v>2253.1561919999999</v>
      </c>
      <c r="J162" s="38" t="s">
        <v>11</v>
      </c>
    </row>
    <row r="163" spans="1:10" ht="25.5" customHeight="1" thickBot="1" x14ac:dyDescent="0.3">
      <c r="A163" s="42" t="s">
        <v>316</v>
      </c>
      <c r="B163" s="42" t="s">
        <v>132</v>
      </c>
      <c r="C163" s="42"/>
      <c r="D163" s="42" t="s">
        <v>220</v>
      </c>
      <c r="E163" s="41" t="s">
        <v>130</v>
      </c>
      <c r="F163" s="41">
        <v>1</v>
      </c>
      <c r="G163" s="41" t="s">
        <v>95</v>
      </c>
      <c r="H163" s="43" t="str">
        <f>ПАРАМЕТРЫ!B7&amp;"%"</f>
        <v>15%</v>
      </c>
      <c r="I163" s="44">
        <f>(I160+I161)*ПАРАМЕТРЫ!B7/100</f>
        <v>2816.4452399999996</v>
      </c>
      <c r="J163" s="42" t="s">
        <v>11</v>
      </c>
    </row>
    <row r="164" spans="1:10" ht="25.5" customHeight="1" thickBot="1" x14ac:dyDescent="0.3">
      <c r="A164" s="45" t="s">
        <v>317</v>
      </c>
      <c r="B164" s="45"/>
      <c r="C164" s="45"/>
      <c r="D164" s="45"/>
      <c r="E164" s="45"/>
      <c r="F164" s="45"/>
      <c r="G164" s="45"/>
      <c r="H164" s="45"/>
      <c r="I164" s="46">
        <f>I160+I161+I162+I163</f>
        <v>23845.903031999998</v>
      </c>
      <c r="J164" s="45"/>
    </row>
    <row r="165" spans="1:10" ht="25.5" customHeight="1" thickBot="1" x14ac:dyDescent="0.3">
      <c r="A165" s="59" t="s">
        <v>318</v>
      </c>
      <c r="B165" s="59" t="str">
        <f>A165</f>
        <v>КОМПЛЕКТ 18.  ЩОА-1.2 (ЩРн-12з-0 36 УХЛ3 IP54)  |  Альбом 7.1 ЭО (Концертный зал)</v>
      </c>
      <c r="C165" s="2"/>
      <c r="D165" s="2"/>
      <c r="E165" s="2"/>
      <c r="F165" s="2"/>
      <c r="G165" s="2"/>
      <c r="H165" s="2"/>
      <c r="I165" s="2"/>
      <c r="J165" s="2"/>
    </row>
    <row r="166" spans="1:10" ht="25.5" customHeight="1" x14ac:dyDescent="0.25">
      <c r="A166" s="22" t="s">
        <v>319</v>
      </c>
      <c r="B166" s="22" t="s">
        <v>136</v>
      </c>
      <c r="C166" s="22" t="s">
        <v>92</v>
      </c>
      <c r="D166" s="22" t="s">
        <v>220</v>
      </c>
      <c r="E166" s="21" t="s">
        <v>94</v>
      </c>
      <c r="F166" s="21">
        <v>1</v>
      </c>
      <c r="G166" s="21" t="s">
        <v>95</v>
      </c>
      <c r="H166" s="21" t="s">
        <v>95</v>
      </c>
      <c r="I166" s="23">
        <v>0</v>
      </c>
      <c r="J166" s="22" t="s">
        <v>96</v>
      </c>
    </row>
    <row r="167" spans="1:10" ht="25.5" customHeight="1" x14ac:dyDescent="0.25">
      <c r="A167" s="25" t="s">
        <v>320</v>
      </c>
      <c r="B167" s="25" t="s">
        <v>158</v>
      </c>
      <c r="C167" s="25" t="s">
        <v>159</v>
      </c>
      <c r="D167" s="25" t="s">
        <v>220</v>
      </c>
      <c r="E167" s="24" t="s">
        <v>94</v>
      </c>
      <c r="F167" s="26">
        <v>1</v>
      </c>
      <c r="G167" s="27">
        <f>ПАРАМЕТРЫ!B27</f>
        <v>36.68</v>
      </c>
      <c r="H167" s="28">
        <f>ПАРАМЕТРЫ!D27</f>
        <v>8634.8387999999995</v>
      </c>
      <c r="I167" s="28">
        <f>F167*H167</f>
        <v>8634.8387999999995</v>
      </c>
      <c r="J167" s="25"/>
    </row>
    <row r="168" spans="1:10" ht="25.5" customHeight="1" x14ac:dyDescent="0.25">
      <c r="A168" s="30" t="s">
        <v>321</v>
      </c>
      <c r="B168" s="30" t="s">
        <v>140</v>
      </c>
      <c r="C168" s="30" t="s">
        <v>141</v>
      </c>
      <c r="D168" s="30" t="s">
        <v>220</v>
      </c>
      <c r="E168" s="29" t="s">
        <v>94</v>
      </c>
      <c r="F168" s="26">
        <v>3</v>
      </c>
      <c r="G168" s="31">
        <f>ПАРАМЕТРЫ!B12</f>
        <v>10.77</v>
      </c>
      <c r="H168" s="32">
        <f>ПАРАМЕТРЫ!D12</f>
        <v>2535.3656999999998</v>
      </c>
      <c r="I168" s="32">
        <f>F168*H168</f>
        <v>7606.097099999999</v>
      </c>
      <c r="J168" s="30"/>
    </row>
    <row r="169" spans="1:10" ht="25.5" customHeight="1" x14ac:dyDescent="0.25">
      <c r="A169" s="38" t="s">
        <v>322</v>
      </c>
      <c r="B169" s="38" t="s">
        <v>129</v>
      </c>
      <c r="C169" s="38"/>
      <c r="D169" s="38" t="s">
        <v>220</v>
      </c>
      <c r="E169" s="37" t="s">
        <v>130</v>
      </c>
      <c r="F169" s="37">
        <v>1</v>
      </c>
      <c r="G169" s="37" t="s">
        <v>95</v>
      </c>
      <c r="H169" s="39" t="str">
        <f>ПАРАМЕТРЫ!B6&amp;"%"</f>
        <v>12%</v>
      </c>
      <c r="I169" s="40">
        <f>(I167+I168)*ПАРАМЕТРЫ!B6/100</f>
        <v>1948.9123079999999</v>
      </c>
      <c r="J169" s="38" t="s">
        <v>11</v>
      </c>
    </row>
    <row r="170" spans="1:10" ht="25.5" customHeight="1" thickBot="1" x14ac:dyDescent="0.3">
      <c r="A170" s="42" t="s">
        <v>323</v>
      </c>
      <c r="B170" s="42" t="s">
        <v>132</v>
      </c>
      <c r="C170" s="42"/>
      <c r="D170" s="42" t="s">
        <v>220</v>
      </c>
      <c r="E170" s="41" t="s">
        <v>130</v>
      </c>
      <c r="F170" s="41">
        <v>1</v>
      </c>
      <c r="G170" s="41" t="s">
        <v>95</v>
      </c>
      <c r="H170" s="43" t="str">
        <f>ПАРАМЕТРЫ!B7&amp;"%"</f>
        <v>15%</v>
      </c>
      <c r="I170" s="44">
        <f>(I167+I168)*ПАРАМЕТРЫ!B7/100</f>
        <v>2436.1403849999997</v>
      </c>
      <c r="J170" s="42" t="s">
        <v>11</v>
      </c>
    </row>
    <row r="171" spans="1:10" ht="25.5" customHeight="1" thickBot="1" x14ac:dyDescent="0.3">
      <c r="A171" s="45" t="s">
        <v>324</v>
      </c>
      <c r="B171" s="45"/>
      <c r="C171" s="45"/>
      <c r="D171" s="45"/>
      <c r="E171" s="45"/>
      <c r="F171" s="45"/>
      <c r="G171" s="45"/>
      <c r="H171" s="45"/>
      <c r="I171" s="46">
        <f>I167+I168+I169+I170</f>
        <v>20625.988592999998</v>
      </c>
      <c r="J171" s="45"/>
    </row>
    <row r="172" spans="1:10" ht="25.5" customHeight="1" thickBot="1" x14ac:dyDescent="0.3">
      <c r="A172" s="59" t="s">
        <v>325</v>
      </c>
      <c r="B172" s="59" t="str">
        <f>A172</f>
        <v>КОМПЛЕКТ 19.  ЩОА-1.3 (ЩРн-12з-0 36 УХЛ3 IP54)  |  Альбом 7.1 ЭО (Концертный зал)</v>
      </c>
      <c r="C172" s="2"/>
      <c r="D172" s="2"/>
      <c r="E172" s="2"/>
      <c r="F172" s="2"/>
      <c r="G172" s="2"/>
      <c r="H172" s="2"/>
      <c r="I172" s="2"/>
      <c r="J172" s="2"/>
    </row>
    <row r="173" spans="1:10" ht="25.5" customHeight="1" x14ac:dyDescent="0.25">
      <c r="A173" s="22" t="s">
        <v>326</v>
      </c>
      <c r="B173" s="22" t="s">
        <v>136</v>
      </c>
      <c r="C173" s="22" t="s">
        <v>92</v>
      </c>
      <c r="D173" s="22" t="s">
        <v>220</v>
      </c>
      <c r="E173" s="21" t="s">
        <v>94</v>
      </c>
      <c r="F173" s="21">
        <v>1</v>
      </c>
      <c r="G173" s="21" t="s">
        <v>95</v>
      </c>
      <c r="H173" s="21" t="s">
        <v>95</v>
      </c>
      <c r="I173" s="23">
        <v>0</v>
      </c>
      <c r="J173" s="22" t="s">
        <v>96</v>
      </c>
    </row>
    <row r="174" spans="1:10" ht="25.5" customHeight="1" x14ac:dyDescent="0.25">
      <c r="A174" s="25" t="s">
        <v>327</v>
      </c>
      <c r="B174" s="25" t="s">
        <v>158</v>
      </c>
      <c r="C174" s="25" t="s">
        <v>159</v>
      </c>
      <c r="D174" s="25" t="s">
        <v>220</v>
      </c>
      <c r="E174" s="24" t="s">
        <v>94</v>
      </c>
      <c r="F174" s="26">
        <v>1</v>
      </c>
      <c r="G174" s="27">
        <f>ПАРАМЕТРЫ!B27</f>
        <v>36.68</v>
      </c>
      <c r="H174" s="28">
        <f>ПАРАМЕТРЫ!D27</f>
        <v>8634.8387999999995</v>
      </c>
      <c r="I174" s="28">
        <f>F174*H174</f>
        <v>8634.8387999999995</v>
      </c>
      <c r="J174" s="25"/>
    </row>
    <row r="175" spans="1:10" ht="25.5" customHeight="1" x14ac:dyDescent="0.25">
      <c r="A175" s="30" t="s">
        <v>328</v>
      </c>
      <c r="B175" s="30" t="s">
        <v>140</v>
      </c>
      <c r="C175" s="30" t="s">
        <v>141</v>
      </c>
      <c r="D175" s="30" t="s">
        <v>220</v>
      </c>
      <c r="E175" s="29" t="s">
        <v>94</v>
      </c>
      <c r="F175" s="26">
        <v>5</v>
      </c>
      <c r="G175" s="31">
        <f>ПАРАМЕТРЫ!B12</f>
        <v>10.77</v>
      </c>
      <c r="H175" s="32">
        <f>ПАРАМЕТРЫ!D12</f>
        <v>2535.3656999999998</v>
      </c>
      <c r="I175" s="32">
        <f>F175*H175</f>
        <v>12676.8285</v>
      </c>
      <c r="J175" s="30"/>
    </row>
    <row r="176" spans="1:10" ht="25.5" customHeight="1" x14ac:dyDescent="0.25">
      <c r="A176" s="38" t="s">
        <v>329</v>
      </c>
      <c r="B176" s="38" t="s">
        <v>129</v>
      </c>
      <c r="C176" s="38"/>
      <c r="D176" s="38" t="s">
        <v>220</v>
      </c>
      <c r="E176" s="37" t="s">
        <v>130</v>
      </c>
      <c r="F176" s="37">
        <v>1</v>
      </c>
      <c r="G176" s="37" t="s">
        <v>95</v>
      </c>
      <c r="H176" s="39" t="str">
        <f>ПАРАМЕТРЫ!B6&amp;"%"</f>
        <v>12%</v>
      </c>
      <c r="I176" s="40">
        <f>(I174+I175)*ПАРАМЕТРЫ!B6/100</f>
        <v>2557.4000759999999</v>
      </c>
      <c r="J176" s="38" t="s">
        <v>11</v>
      </c>
    </row>
    <row r="177" spans="1:10" ht="25.5" customHeight="1" thickBot="1" x14ac:dyDescent="0.3">
      <c r="A177" s="42" t="s">
        <v>330</v>
      </c>
      <c r="B177" s="42" t="s">
        <v>132</v>
      </c>
      <c r="C177" s="42"/>
      <c r="D177" s="42" t="s">
        <v>220</v>
      </c>
      <c r="E177" s="41" t="s">
        <v>130</v>
      </c>
      <c r="F177" s="41">
        <v>1</v>
      </c>
      <c r="G177" s="41" t="s">
        <v>95</v>
      </c>
      <c r="H177" s="43" t="str">
        <f>ПАРАМЕТРЫ!B7&amp;"%"</f>
        <v>15%</v>
      </c>
      <c r="I177" s="44">
        <f>(I174+I175)*ПАРАМЕТРЫ!B7/100</f>
        <v>3196.7500950000003</v>
      </c>
      <c r="J177" s="42" t="s">
        <v>11</v>
      </c>
    </row>
    <row r="178" spans="1:10" ht="25.5" customHeight="1" thickBot="1" x14ac:dyDescent="0.3">
      <c r="A178" s="45" t="s">
        <v>331</v>
      </c>
      <c r="B178" s="45"/>
      <c r="C178" s="45"/>
      <c r="D178" s="45"/>
      <c r="E178" s="45"/>
      <c r="F178" s="45"/>
      <c r="G178" s="45"/>
      <c r="H178" s="45"/>
      <c r="I178" s="46">
        <f>I174+I175+I176+I177</f>
        <v>27065.817470999998</v>
      </c>
      <c r="J178" s="45"/>
    </row>
    <row r="179" spans="1:10" ht="25.5" customHeight="1" thickBot="1" x14ac:dyDescent="0.3">
      <c r="A179" s="59" t="s">
        <v>332</v>
      </c>
      <c r="B179" s="59" t="str">
        <f>A179</f>
        <v>КОМПЛЕКТ 20.  ЩОА-2.1 (ЩРн-12з-0 36 УХЛ3 IP54)  |  Альбом 7.1 ЭО (Концертный зал)</v>
      </c>
      <c r="C179" s="2"/>
      <c r="D179" s="2"/>
      <c r="E179" s="2"/>
      <c r="F179" s="2"/>
      <c r="G179" s="2"/>
      <c r="H179" s="2"/>
      <c r="I179" s="2"/>
      <c r="J179" s="2"/>
    </row>
    <row r="180" spans="1:10" ht="25.5" customHeight="1" x14ac:dyDescent="0.25">
      <c r="A180" s="22" t="s">
        <v>333</v>
      </c>
      <c r="B180" s="22" t="s">
        <v>136</v>
      </c>
      <c r="C180" s="22" t="s">
        <v>92</v>
      </c>
      <c r="D180" s="22" t="s">
        <v>220</v>
      </c>
      <c r="E180" s="21" t="s">
        <v>94</v>
      </c>
      <c r="F180" s="21">
        <v>1</v>
      </c>
      <c r="G180" s="21" t="s">
        <v>95</v>
      </c>
      <c r="H180" s="21" t="s">
        <v>95</v>
      </c>
      <c r="I180" s="23">
        <v>0</v>
      </c>
      <c r="J180" s="22" t="s">
        <v>96</v>
      </c>
    </row>
    <row r="181" spans="1:10" ht="25.5" customHeight="1" x14ac:dyDescent="0.25">
      <c r="A181" s="25" t="s">
        <v>334</v>
      </c>
      <c r="B181" s="25" t="s">
        <v>158</v>
      </c>
      <c r="C181" s="25" t="s">
        <v>159</v>
      </c>
      <c r="D181" s="25" t="s">
        <v>220</v>
      </c>
      <c r="E181" s="24" t="s">
        <v>94</v>
      </c>
      <c r="F181" s="26">
        <v>1</v>
      </c>
      <c r="G181" s="27">
        <f>ПАРАМЕТРЫ!B27</f>
        <v>36.68</v>
      </c>
      <c r="H181" s="28">
        <f>ПАРАМЕТРЫ!D27</f>
        <v>8634.8387999999995</v>
      </c>
      <c r="I181" s="28">
        <f>F181*H181</f>
        <v>8634.8387999999995</v>
      </c>
      <c r="J181" s="25"/>
    </row>
    <row r="182" spans="1:10" ht="25.5" customHeight="1" x14ac:dyDescent="0.25">
      <c r="A182" s="30" t="s">
        <v>335</v>
      </c>
      <c r="B182" s="30" t="s">
        <v>140</v>
      </c>
      <c r="C182" s="30" t="s">
        <v>141</v>
      </c>
      <c r="D182" s="30" t="s">
        <v>220</v>
      </c>
      <c r="E182" s="29" t="s">
        <v>94</v>
      </c>
      <c r="F182" s="26">
        <v>4</v>
      </c>
      <c r="G182" s="31">
        <f>ПАРАМЕТРЫ!B12</f>
        <v>10.77</v>
      </c>
      <c r="H182" s="32">
        <f>ПАРАМЕТРЫ!D12</f>
        <v>2535.3656999999998</v>
      </c>
      <c r="I182" s="32">
        <f>F182*H182</f>
        <v>10141.462799999999</v>
      </c>
      <c r="J182" s="30"/>
    </row>
    <row r="183" spans="1:10" ht="25.5" customHeight="1" x14ac:dyDescent="0.25">
      <c r="A183" s="38" t="s">
        <v>336</v>
      </c>
      <c r="B183" s="38" t="s">
        <v>129</v>
      </c>
      <c r="C183" s="38"/>
      <c r="D183" s="38" t="s">
        <v>220</v>
      </c>
      <c r="E183" s="37" t="s">
        <v>130</v>
      </c>
      <c r="F183" s="37">
        <v>1</v>
      </c>
      <c r="G183" s="37" t="s">
        <v>95</v>
      </c>
      <c r="H183" s="39" t="str">
        <f>ПАРАМЕТРЫ!B6&amp;"%"</f>
        <v>12%</v>
      </c>
      <c r="I183" s="40">
        <f>(I181+I182)*ПАРАМЕТРЫ!B6/100</f>
        <v>2253.1561919999999</v>
      </c>
      <c r="J183" s="38" t="s">
        <v>11</v>
      </c>
    </row>
    <row r="184" spans="1:10" ht="25.5" customHeight="1" thickBot="1" x14ac:dyDescent="0.3">
      <c r="A184" s="42" t="s">
        <v>337</v>
      </c>
      <c r="B184" s="42" t="s">
        <v>132</v>
      </c>
      <c r="C184" s="42"/>
      <c r="D184" s="42" t="s">
        <v>220</v>
      </c>
      <c r="E184" s="41" t="s">
        <v>130</v>
      </c>
      <c r="F184" s="41">
        <v>1</v>
      </c>
      <c r="G184" s="41" t="s">
        <v>95</v>
      </c>
      <c r="H184" s="43" t="str">
        <f>ПАРАМЕТРЫ!B7&amp;"%"</f>
        <v>15%</v>
      </c>
      <c r="I184" s="44">
        <f>(I181+I182)*ПАРАМЕТРЫ!B7/100</f>
        <v>2816.4452399999996</v>
      </c>
      <c r="J184" s="42" t="s">
        <v>11</v>
      </c>
    </row>
    <row r="185" spans="1:10" ht="25.5" customHeight="1" thickBot="1" x14ac:dyDescent="0.3">
      <c r="A185" s="45" t="s">
        <v>338</v>
      </c>
      <c r="B185" s="45"/>
      <c r="C185" s="45"/>
      <c r="D185" s="45"/>
      <c r="E185" s="45"/>
      <c r="F185" s="45"/>
      <c r="G185" s="45"/>
      <c r="H185" s="45"/>
      <c r="I185" s="46">
        <f>I181+I182+I183+I184</f>
        <v>23845.903031999998</v>
      </c>
      <c r="J185" s="45"/>
    </row>
    <row r="186" spans="1:10" ht="25.5" customHeight="1" thickBot="1" x14ac:dyDescent="0.3">
      <c r="A186" s="59" t="s">
        <v>339</v>
      </c>
      <c r="B186" s="59" t="str">
        <f>A186</f>
        <v>КОМПЛЕКТ 21.  ЩОА-2.2 (ЩРн-12з-0 36 УХЛ3 IP54)  |  Альбом 7.1 ЭО (Концертный зал)</v>
      </c>
      <c r="C186" s="2"/>
      <c r="D186" s="2"/>
      <c r="E186" s="2"/>
      <c r="F186" s="2"/>
      <c r="G186" s="2"/>
      <c r="H186" s="2"/>
      <c r="I186" s="2"/>
      <c r="J186" s="2"/>
    </row>
    <row r="187" spans="1:10" ht="25.5" customHeight="1" x14ac:dyDescent="0.25">
      <c r="A187" s="22" t="s">
        <v>340</v>
      </c>
      <c r="B187" s="22" t="s">
        <v>136</v>
      </c>
      <c r="C187" s="22" t="s">
        <v>92</v>
      </c>
      <c r="D187" s="22" t="s">
        <v>220</v>
      </c>
      <c r="E187" s="21" t="s">
        <v>94</v>
      </c>
      <c r="F187" s="21">
        <v>1</v>
      </c>
      <c r="G187" s="21" t="s">
        <v>95</v>
      </c>
      <c r="H187" s="21" t="s">
        <v>95</v>
      </c>
      <c r="I187" s="23">
        <v>0</v>
      </c>
      <c r="J187" s="22" t="s">
        <v>96</v>
      </c>
    </row>
    <row r="188" spans="1:10" ht="25.5" customHeight="1" x14ac:dyDescent="0.25">
      <c r="A188" s="25" t="s">
        <v>341</v>
      </c>
      <c r="B188" s="25" t="s">
        <v>158</v>
      </c>
      <c r="C188" s="25" t="s">
        <v>159</v>
      </c>
      <c r="D188" s="25" t="s">
        <v>220</v>
      </c>
      <c r="E188" s="24" t="s">
        <v>94</v>
      </c>
      <c r="F188" s="26">
        <v>1</v>
      </c>
      <c r="G188" s="27">
        <f>ПАРАМЕТРЫ!B27</f>
        <v>36.68</v>
      </c>
      <c r="H188" s="28">
        <f>ПАРАМЕТРЫ!D27</f>
        <v>8634.8387999999995</v>
      </c>
      <c r="I188" s="28">
        <f>F188*H188</f>
        <v>8634.8387999999995</v>
      </c>
      <c r="J188" s="25"/>
    </row>
    <row r="189" spans="1:10" ht="25.5" customHeight="1" x14ac:dyDescent="0.25">
      <c r="A189" s="30" t="s">
        <v>342</v>
      </c>
      <c r="B189" s="30" t="s">
        <v>140</v>
      </c>
      <c r="C189" s="30" t="s">
        <v>141</v>
      </c>
      <c r="D189" s="30" t="s">
        <v>220</v>
      </c>
      <c r="E189" s="29" t="s">
        <v>94</v>
      </c>
      <c r="F189" s="26">
        <v>3</v>
      </c>
      <c r="G189" s="31">
        <f>ПАРАМЕТРЫ!B12</f>
        <v>10.77</v>
      </c>
      <c r="H189" s="32">
        <f>ПАРАМЕТРЫ!D12</f>
        <v>2535.3656999999998</v>
      </c>
      <c r="I189" s="32">
        <f>F189*H189</f>
        <v>7606.097099999999</v>
      </c>
      <c r="J189" s="30"/>
    </row>
    <row r="190" spans="1:10" ht="25.5" customHeight="1" x14ac:dyDescent="0.25">
      <c r="A190" s="38" t="s">
        <v>343</v>
      </c>
      <c r="B190" s="38" t="s">
        <v>129</v>
      </c>
      <c r="C190" s="38"/>
      <c r="D190" s="38" t="s">
        <v>220</v>
      </c>
      <c r="E190" s="37" t="s">
        <v>130</v>
      </c>
      <c r="F190" s="37">
        <v>1</v>
      </c>
      <c r="G190" s="37" t="s">
        <v>95</v>
      </c>
      <c r="H190" s="39" t="str">
        <f>ПАРАМЕТРЫ!B6&amp;"%"</f>
        <v>12%</v>
      </c>
      <c r="I190" s="40">
        <f>(I188+I189)*ПАРАМЕТРЫ!B6/100</f>
        <v>1948.9123079999999</v>
      </c>
      <c r="J190" s="38" t="s">
        <v>11</v>
      </c>
    </row>
    <row r="191" spans="1:10" ht="25.5" customHeight="1" thickBot="1" x14ac:dyDescent="0.3">
      <c r="A191" s="42" t="s">
        <v>344</v>
      </c>
      <c r="B191" s="42" t="s">
        <v>132</v>
      </c>
      <c r="C191" s="42"/>
      <c r="D191" s="42" t="s">
        <v>220</v>
      </c>
      <c r="E191" s="41" t="s">
        <v>130</v>
      </c>
      <c r="F191" s="41">
        <v>1</v>
      </c>
      <c r="G191" s="41" t="s">
        <v>95</v>
      </c>
      <c r="H191" s="43" t="str">
        <f>ПАРАМЕТРЫ!B7&amp;"%"</f>
        <v>15%</v>
      </c>
      <c r="I191" s="44">
        <f>(I188+I189)*ПАРАМЕТРЫ!B7/100</f>
        <v>2436.1403849999997</v>
      </c>
      <c r="J191" s="42" t="s">
        <v>11</v>
      </c>
    </row>
    <row r="192" spans="1:10" ht="25.5" customHeight="1" thickBot="1" x14ac:dyDescent="0.3">
      <c r="A192" s="45" t="s">
        <v>345</v>
      </c>
      <c r="B192" s="45"/>
      <c r="C192" s="45"/>
      <c r="D192" s="45"/>
      <c r="E192" s="45"/>
      <c r="F192" s="45"/>
      <c r="G192" s="45"/>
      <c r="H192" s="45"/>
      <c r="I192" s="46">
        <f>I188+I189+I190+I191</f>
        <v>20625.988592999998</v>
      </c>
      <c r="J192" s="45"/>
    </row>
    <row r="193" spans="1:10" ht="25.5" customHeight="1" thickBot="1" x14ac:dyDescent="0.3">
      <c r="A193" s="59" t="s">
        <v>346</v>
      </c>
      <c r="B193" s="59" t="str">
        <f>A193</f>
        <v>КОМПЛЕКТ 22.  ЩОА-3.1 (ЩРн-12з-0 36 УХЛ3 IP54)  |  Альбом 7.1 ЭО (Концертный зал)</v>
      </c>
      <c r="C193" s="2"/>
      <c r="D193" s="2"/>
      <c r="E193" s="2"/>
      <c r="F193" s="2"/>
      <c r="G193" s="2"/>
      <c r="H193" s="2"/>
      <c r="I193" s="2"/>
      <c r="J193" s="2"/>
    </row>
    <row r="194" spans="1:10" ht="25.5" customHeight="1" x14ac:dyDescent="0.25">
      <c r="A194" s="22" t="s">
        <v>347</v>
      </c>
      <c r="B194" s="22" t="s">
        <v>136</v>
      </c>
      <c r="C194" s="22" t="s">
        <v>92</v>
      </c>
      <c r="D194" s="22" t="s">
        <v>220</v>
      </c>
      <c r="E194" s="21" t="s">
        <v>94</v>
      </c>
      <c r="F194" s="21">
        <v>1</v>
      </c>
      <c r="G194" s="21" t="s">
        <v>95</v>
      </c>
      <c r="H194" s="21" t="s">
        <v>95</v>
      </c>
      <c r="I194" s="23">
        <v>0</v>
      </c>
      <c r="J194" s="22" t="s">
        <v>96</v>
      </c>
    </row>
    <row r="195" spans="1:10" ht="25.5" customHeight="1" x14ac:dyDescent="0.25">
      <c r="A195" s="25" t="s">
        <v>348</v>
      </c>
      <c r="B195" s="25" t="s">
        <v>158</v>
      </c>
      <c r="C195" s="25" t="s">
        <v>159</v>
      </c>
      <c r="D195" s="25" t="s">
        <v>220</v>
      </c>
      <c r="E195" s="24" t="s">
        <v>94</v>
      </c>
      <c r="F195" s="26">
        <v>1</v>
      </c>
      <c r="G195" s="27">
        <f>ПАРАМЕТРЫ!B27</f>
        <v>36.68</v>
      </c>
      <c r="H195" s="28">
        <f>ПАРАМЕТРЫ!D27</f>
        <v>8634.8387999999995</v>
      </c>
      <c r="I195" s="28">
        <f>F195*H195</f>
        <v>8634.8387999999995</v>
      </c>
      <c r="J195" s="25"/>
    </row>
    <row r="196" spans="1:10" ht="25.5" customHeight="1" x14ac:dyDescent="0.25">
      <c r="A196" s="30" t="s">
        <v>349</v>
      </c>
      <c r="B196" s="30" t="s">
        <v>140</v>
      </c>
      <c r="C196" s="30" t="s">
        <v>141</v>
      </c>
      <c r="D196" s="30" t="s">
        <v>220</v>
      </c>
      <c r="E196" s="29" t="s">
        <v>94</v>
      </c>
      <c r="F196" s="26">
        <v>4</v>
      </c>
      <c r="G196" s="31">
        <f>ПАРАМЕТРЫ!B12</f>
        <v>10.77</v>
      </c>
      <c r="H196" s="32">
        <f>ПАРАМЕТРЫ!D12</f>
        <v>2535.3656999999998</v>
      </c>
      <c r="I196" s="32">
        <f>F196*H196</f>
        <v>10141.462799999999</v>
      </c>
      <c r="J196" s="30"/>
    </row>
    <row r="197" spans="1:10" ht="25.5" customHeight="1" x14ac:dyDescent="0.25">
      <c r="A197" s="38" t="s">
        <v>350</v>
      </c>
      <c r="B197" s="38" t="s">
        <v>129</v>
      </c>
      <c r="C197" s="38"/>
      <c r="D197" s="38" t="s">
        <v>220</v>
      </c>
      <c r="E197" s="37" t="s">
        <v>130</v>
      </c>
      <c r="F197" s="37">
        <v>1</v>
      </c>
      <c r="G197" s="37" t="s">
        <v>95</v>
      </c>
      <c r="H197" s="39" t="str">
        <f>ПАРАМЕТРЫ!B6&amp;"%"</f>
        <v>12%</v>
      </c>
      <c r="I197" s="40">
        <f>(I195+I196)*ПАРАМЕТРЫ!B6/100</f>
        <v>2253.1561919999999</v>
      </c>
      <c r="J197" s="38" t="s">
        <v>11</v>
      </c>
    </row>
    <row r="198" spans="1:10" ht="25.5" customHeight="1" thickBot="1" x14ac:dyDescent="0.3">
      <c r="A198" s="42" t="s">
        <v>351</v>
      </c>
      <c r="B198" s="42" t="s">
        <v>132</v>
      </c>
      <c r="C198" s="42"/>
      <c r="D198" s="42" t="s">
        <v>220</v>
      </c>
      <c r="E198" s="41" t="s">
        <v>130</v>
      </c>
      <c r="F198" s="41">
        <v>1</v>
      </c>
      <c r="G198" s="41" t="s">
        <v>95</v>
      </c>
      <c r="H198" s="43" t="str">
        <f>ПАРАМЕТРЫ!B7&amp;"%"</f>
        <v>15%</v>
      </c>
      <c r="I198" s="44">
        <f>(I195+I196)*ПАРАМЕТРЫ!B7/100</f>
        <v>2816.4452399999996</v>
      </c>
      <c r="J198" s="42" t="s">
        <v>11</v>
      </c>
    </row>
    <row r="199" spans="1:10" ht="25.5" customHeight="1" thickBot="1" x14ac:dyDescent="0.3">
      <c r="A199" s="45" t="s">
        <v>352</v>
      </c>
      <c r="B199" s="45"/>
      <c r="C199" s="45"/>
      <c r="D199" s="45"/>
      <c r="E199" s="45"/>
      <c r="F199" s="45"/>
      <c r="G199" s="45"/>
      <c r="H199" s="45"/>
      <c r="I199" s="46">
        <f>I195+I196+I197+I198</f>
        <v>23845.903031999998</v>
      </c>
      <c r="J199" s="45"/>
    </row>
    <row r="200" spans="1:10" ht="25.5" customHeight="1" thickBot="1" x14ac:dyDescent="0.3">
      <c r="A200" s="59" t="s">
        <v>353</v>
      </c>
      <c r="B200" s="59" t="str">
        <f>A200</f>
        <v>КОМПЛЕКТ 23.  ЩОА-3.2 (ЩРн-12з-0 36 УХЛ3 IP54)  |  Альбом 7.1 ЭО (Концертный зал)</v>
      </c>
      <c r="C200" s="2"/>
      <c r="D200" s="2"/>
      <c r="E200" s="2"/>
      <c r="F200" s="2"/>
      <c r="G200" s="2"/>
      <c r="H200" s="2"/>
      <c r="I200" s="2"/>
      <c r="J200" s="2"/>
    </row>
    <row r="201" spans="1:10" ht="25.5" customHeight="1" x14ac:dyDescent="0.25">
      <c r="A201" s="22" t="s">
        <v>354</v>
      </c>
      <c r="B201" s="22" t="s">
        <v>136</v>
      </c>
      <c r="C201" s="22" t="s">
        <v>92</v>
      </c>
      <c r="D201" s="22" t="s">
        <v>220</v>
      </c>
      <c r="E201" s="21" t="s">
        <v>94</v>
      </c>
      <c r="F201" s="21">
        <v>1</v>
      </c>
      <c r="G201" s="21" t="s">
        <v>95</v>
      </c>
      <c r="H201" s="21" t="s">
        <v>95</v>
      </c>
      <c r="I201" s="23">
        <v>0</v>
      </c>
      <c r="J201" s="22" t="s">
        <v>96</v>
      </c>
    </row>
    <row r="202" spans="1:10" ht="25.5" customHeight="1" x14ac:dyDescent="0.25">
      <c r="A202" s="25" t="s">
        <v>355</v>
      </c>
      <c r="B202" s="25" t="s">
        <v>158</v>
      </c>
      <c r="C202" s="25" t="s">
        <v>159</v>
      </c>
      <c r="D202" s="25" t="s">
        <v>220</v>
      </c>
      <c r="E202" s="24" t="s">
        <v>94</v>
      </c>
      <c r="F202" s="26">
        <v>1</v>
      </c>
      <c r="G202" s="27">
        <f>ПАРАМЕТРЫ!B27</f>
        <v>36.68</v>
      </c>
      <c r="H202" s="28">
        <f>ПАРАМЕТРЫ!D27</f>
        <v>8634.8387999999995</v>
      </c>
      <c r="I202" s="28">
        <f>F202*H202</f>
        <v>8634.8387999999995</v>
      </c>
      <c r="J202" s="25"/>
    </row>
    <row r="203" spans="1:10" ht="25.5" customHeight="1" x14ac:dyDescent="0.25">
      <c r="A203" s="30" t="s">
        <v>356</v>
      </c>
      <c r="B203" s="30" t="s">
        <v>140</v>
      </c>
      <c r="C203" s="30" t="s">
        <v>141</v>
      </c>
      <c r="D203" s="30" t="s">
        <v>220</v>
      </c>
      <c r="E203" s="29" t="s">
        <v>94</v>
      </c>
      <c r="F203" s="26">
        <v>3</v>
      </c>
      <c r="G203" s="31">
        <f>ПАРАМЕТРЫ!B12</f>
        <v>10.77</v>
      </c>
      <c r="H203" s="32">
        <f>ПАРАМЕТРЫ!D12</f>
        <v>2535.3656999999998</v>
      </c>
      <c r="I203" s="32">
        <f>F203*H203</f>
        <v>7606.097099999999</v>
      </c>
      <c r="J203" s="30"/>
    </row>
    <row r="204" spans="1:10" ht="25.5" customHeight="1" x14ac:dyDescent="0.25">
      <c r="A204" s="38" t="s">
        <v>357</v>
      </c>
      <c r="B204" s="38" t="s">
        <v>129</v>
      </c>
      <c r="C204" s="38"/>
      <c r="D204" s="38" t="s">
        <v>220</v>
      </c>
      <c r="E204" s="37" t="s">
        <v>130</v>
      </c>
      <c r="F204" s="37">
        <v>1</v>
      </c>
      <c r="G204" s="37" t="s">
        <v>95</v>
      </c>
      <c r="H204" s="39" t="str">
        <f>ПАРАМЕТРЫ!B6&amp;"%"</f>
        <v>12%</v>
      </c>
      <c r="I204" s="40">
        <f>(I202+I203)*ПАРАМЕТРЫ!B6/100</f>
        <v>1948.9123079999999</v>
      </c>
      <c r="J204" s="38" t="s">
        <v>11</v>
      </c>
    </row>
    <row r="205" spans="1:10" ht="25.5" customHeight="1" thickBot="1" x14ac:dyDescent="0.3">
      <c r="A205" s="42" t="s">
        <v>358</v>
      </c>
      <c r="B205" s="42" t="s">
        <v>132</v>
      </c>
      <c r="C205" s="42"/>
      <c r="D205" s="42" t="s">
        <v>220</v>
      </c>
      <c r="E205" s="41" t="s">
        <v>130</v>
      </c>
      <c r="F205" s="41">
        <v>1</v>
      </c>
      <c r="G205" s="41" t="s">
        <v>95</v>
      </c>
      <c r="H205" s="43" t="str">
        <f>ПАРАМЕТРЫ!B7&amp;"%"</f>
        <v>15%</v>
      </c>
      <c r="I205" s="44">
        <f>(I202+I203)*ПАРАМЕТРЫ!B7/100</f>
        <v>2436.1403849999997</v>
      </c>
      <c r="J205" s="42" t="s">
        <v>11</v>
      </c>
    </row>
    <row r="206" spans="1:10" ht="25.5" customHeight="1" thickBot="1" x14ac:dyDescent="0.3">
      <c r="A206" s="45" t="s">
        <v>359</v>
      </c>
      <c r="B206" s="45"/>
      <c r="C206" s="45"/>
      <c r="D206" s="45"/>
      <c r="E206" s="45"/>
      <c r="F206" s="45"/>
      <c r="G206" s="45"/>
      <c r="H206" s="45"/>
      <c r="I206" s="46">
        <f>I202+I203+I204+I205</f>
        <v>20625.988592999998</v>
      </c>
      <c r="J206" s="45"/>
    </row>
    <row r="207" spans="1:10" ht="25.5" customHeight="1" thickBot="1" x14ac:dyDescent="0.3">
      <c r="A207" s="20"/>
      <c r="B207" s="20"/>
      <c r="C207" s="19" t="s">
        <v>360</v>
      </c>
      <c r="D207" s="20"/>
      <c r="E207" s="20"/>
      <c r="F207" s="20"/>
      <c r="G207" s="20"/>
      <c r="H207" s="20"/>
      <c r="I207" s="20"/>
      <c r="J207" s="20"/>
    </row>
    <row r="208" spans="1:10" ht="25.5" customHeight="1" thickBot="1" x14ac:dyDescent="0.3">
      <c r="A208" s="59" t="s">
        <v>361</v>
      </c>
      <c r="B208" s="59" t="str">
        <f>A208</f>
        <v>КОМПЛЕКТ 24.  МЗ-ЩО-0.1 (ЩРн-24з-0 36 УХЛ3 IP54)  |  Альбом 7.1 ЭО (Музей)</v>
      </c>
      <c r="C208" s="2"/>
      <c r="D208" s="2"/>
      <c r="E208" s="2"/>
      <c r="F208" s="2"/>
      <c r="G208" s="2"/>
      <c r="H208" s="2"/>
      <c r="I208" s="2"/>
      <c r="J208" s="2"/>
    </row>
    <row r="209" spans="1:10" ht="25.5" customHeight="1" x14ac:dyDescent="0.25">
      <c r="A209" s="22" t="s">
        <v>362</v>
      </c>
      <c r="B209" s="22" t="s">
        <v>156</v>
      </c>
      <c r="C209" s="22" t="s">
        <v>92</v>
      </c>
      <c r="D209" s="22" t="s">
        <v>363</v>
      </c>
      <c r="E209" s="21" t="s">
        <v>94</v>
      </c>
      <c r="F209" s="21">
        <v>1</v>
      </c>
      <c r="G209" s="21" t="s">
        <v>95</v>
      </c>
      <c r="H209" s="21" t="s">
        <v>95</v>
      </c>
      <c r="I209" s="23">
        <v>0</v>
      </c>
      <c r="J209" s="22" t="s">
        <v>96</v>
      </c>
    </row>
    <row r="210" spans="1:10" ht="25.5" customHeight="1" x14ac:dyDescent="0.25">
      <c r="A210" s="25" t="s">
        <v>364</v>
      </c>
      <c r="B210" s="25" t="s">
        <v>158</v>
      </c>
      <c r="C210" s="25" t="s">
        <v>159</v>
      </c>
      <c r="D210" s="25" t="s">
        <v>363</v>
      </c>
      <c r="E210" s="24" t="s">
        <v>94</v>
      </c>
      <c r="F210" s="26">
        <v>1</v>
      </c>
      <c r="G210" s="27">
        <f>ПАРАМЕТРЫ!B27</f>
        <v>36.68</v>
      </c>
      <c r="H210" s="28">
        <f>ПАРАМЕТРЫ!D27</f>
        <v>8634.8387999999995</v>
      </c>
      <c r="I210" s="28">
        <f>F210*H210</f>
        <v>8634.8387999999995</v>
      </c>
      <c r="J210" s="25"/>
    </row>
    <row r="211" spans="1:10" ht="25.5" customHeight="1" x14ac:dyDescent="0.25">
      <c r="A211" s="30" t="s">
        <v>365</v>
      </c>
      <c r="B211" s="30" t="s">
        <v>140</v>
      </c>
      <c r="C211" s="30" t="s">
        <v>141</v>
      </c>
      <c r="D211" s="30" t="s">
        <v>363</v>
      </c>
      <c r="E211" s="29" t="s">
        <v>94</v>
      </c>
      <c r="F211" s="26">
        <v>14</v>
      </c>
      <c r="G211" s="31">
        <f>ПАРАМЕТРЫ!B12</f>
        <v>10.77</v>
      </c>
      <c r="H211" s="32">
        <f>ПАРАМЕТРЫ!D12</f>
        <v>2535.3656999999998</v>
      </c>
      <c r="I211" s="32">
        <f>F211*H211</f>
        <v>35495.1198</v>
      </c>
      <c r="J211" s="30"/>
    </row>
    <row r="212" spans="1:10" ht="25.5" customHeight="1" x14ac:dyDescent="0.25">
      <c r="A212" s="25" t="s">
        <v>366</v>
      </c>
      <c r="B212" s="25" t="s">
        <v>162</v>
      </c>
      <c r="C212" s="25" t="s">
        <v>163</v>
      </c>
      <c r="D212" s="25" t="s">
        <v>363</v>
      </c>
      <c r="E212" s="24" t="s">
        <v>94</v>
      </c>
      <c r="F212" s="26">
        <v>2</v>
      </c>
      <c r="G212" s="27">
        <f>ПАРАМЕТРЫ!B23</f>
        <v>87.63</v>
      </c>
      <c r="H212" s="28">
        <f>ПАРАМЕТРЫ!D23</f>
        <v>20628.978300000002</v>
      </c>
      <c r="I212" s="28">
        <f>F212*H212</f>
        <v>41257.956600000005</v>
      </c>
      <c r="J212" s="25"/>
    </row>
    <row r="213" spans="1:10" ht="25.5" customHeight="1" x14ac:dyDescent="0.25">
      <c r="A213" s="30" t="s">
        <v>367</v>
      </c>
      <c r="B213" s="30" t="s">
        <v>144</v>
      </c>
      <c r="C213" s="30" t="s">
        <v>145</v>
      </c>
      <c r="D213" s="30" t="s">
        <v>363</v>
      </c>
      <c r="E213" s="29" t="s">
        <v>94</v>
      </c>
      <c r="F213" s="26">
        <v>2</v>
      </c>
      <c r="G213" s="31">
        <f>ПАРАМЕТРЫ!B33</f>
        <v>41.58</v>
      </c>
      <c r="H213" s="32">
        <f>ПАРАМЕТРЫ!D33</f>
        <v>9788.3477999999996</v>
      </c>
      <c r="I213" s="32">
        <f>F213*H213</f>
        <v>19576.695599999999</v>
      </c>
      <c r="J213" s="30"/>
    </row>
    <row r="214" spans="1:10" ht="25.5" customHeight="1" x14ac:dyDescent="0.25">
      <c r="A214" s="25" t="s">
        <v>368</v>
      </c>
      <c r="B214" s="25" t="s">
        <v>226</v>
      </c>
      <c r="C214" s="25" t="s">
        <v>95</v>
      </c>
      <c r="D214" s="25" t="s">
        <v>363</v>
      </c>
      <c r="E214" s="24" t="s">
        <v>94</v>
      </c>
      <c r="F214" s="26">
        <v>2</v>
      </c>
      <c r="G214" s="27">
        <f>ПАРАМЕТРЫ!B37</f>
        <v>1.5</v>
      </c>
      <c r="H214" s="28">
        <f>ПАРАМЕТРЫ!D37</f>
        <v>353.11499999999995</v>
      </c>
      <c r="I214" s="28">
        <f>F214*H214</f>
        <v>706.2299999999999</v>
      </c>
      <c r="J214" s="25"/>
    </row>
    <row r="215" spans="1:10" ht="25.5" customHeight="1" x14ac:dyDescent="0.25">
      <c r="A215" s="38" t="s">
        <v>369</v>
      </c>
      <c r="B215" s="38" t="s">
        <v>129</v>
      </c>
      <c r="C215" s="38"/>
      <c r="D215" s="38" t="s">
        <v>363</v>
      </c>
      <c r="E215" s="37" t="s">
        <v>130</v>
      </c>
      <c r="F215" s="37">
        <v>1</v>
      </c>
      <c r="G215" s="37" t="s">
        <v>95</v>
      </c>
      <c r="H215" s="39" t="str">
        <f>ПАРАМЕТРЫ!B6&amp;"%"</f>
        <v>12%</v>
      </c>
      <c r="I215" s="40">
        <f>(I210+I211+I212+I213+I214)*ПАРАМЕТРЫ!B6/100</f>
        <v>12680.500895999998</v>
      </c>
      <c r="J215" s="38" t="s">
        <v>11</v>
      </c>
    </row>
    <row r="216" spans="1:10" ht="25.5" customHeight="1" thickBot="1" x14ac:dyDescent="0.3">
      <c r="A216" s="42" t="s">
        <v>370</v>
      </c>
      <c r="B216" s="42" t="s">
        <v>132</v>
      </c>
      <c r="C216" s="42"/>
      <c r="D216" s="42" t="s">
        <v>363</v>
      </c>
      <c r="E216" s="41" t="s">
        <v>130</v>
      </c>
      <c r="F216" s="41">
        <v>1</v>
      </c>
      <c r="G216" s="41" t="s">
        <v>95</v>
      </c>
      <c r="H216" s="43" t="str">
        <f>ПАРАМЕТРЫ!B7&amp;"%"</f>
        <v>15%</v>
      </c>
      <c r="I216" s="44">
        <f>(I210+I211+I212+I213+I214)*ПАРАМЕТРЫ!B7/100</f>
        <v>15850.626119999999</v>
      </c>
      <c r="J216" s="42" t="s">
        <v>11</v>
      </c>
    </row>
    <row r="217" spans="1:10" ht="25.5" customHeight="1" thickBot="1" x14ac:dyDescent="0.3">
      <c r="A217" s="45" t="s">
        <v>371</v>
      </c>
      <c r="B217" s="45"/>
      <c r="C217" s="45"/>
      <c r="D217" s="45"/>
      <c r="E217" s="45"/>
      <c r="F217" s="45"/>
      <c r="G217" s="45"/>
      <c r="H217" s="45"/>
      <c r="I217" s="46">
        <f>I210+I211+I212+I213+I214+I215+I216</f>
        <v>134201.96781599999</v>
      </c>
      <c r="J217" s="45"/>
    </row>
    <row r="218" spans="1:10" ht="25.5" customHeight="1" thickBot="1" x14ac:dyDescent="0.3">
      <c r="A218" s="59" t="s">
        <v>372</v>
      </c>
      <c r="B218" s="59" t="str">
        <f>A218</f>
        <v>КОМПЛЕКТ 25.  МЗ-ЩО-0.2 (ЩРн-24з-0 36 УХЛ3 IP54)  |  Альбом 7.1 ЭО (Музей)</v>
      </c>
      <c r="C218" s="2"/>
      <c r="D218" s="2"/>
      <c r="E218" s="2"/>
      <c r="F218" s="2"/>
      <c r="G218" s="2"/>
      <c r="H218" s="2"/>
      <c r="I218" s="2"/>
      <c r="J218" s="2"/>
    </row>
    <row r="219" spans="1:10" ht="25.5" customHeight="1" x14ac:dyDescent="0.25">
      <c r="A219" s="22" t="s">
        <v>373</v>
      </c>
      <c r="B219" s="22" t="s">
        <v>156</v>
      </c>
      <c r="C219" s="22" t="s">
        <v>92</v>
      </c>
      <c r="D219" s="22" t="s">
        <v>363</v>
      </c>
      <c r="E219" s="21" t="s">
        <v>94</v>
      </c>
      <c r="F219" s="21">
        <v>1</v>
      </c>
      <c r="G219" s="21" t="s">
        <v>95</v>
      </c>
      <c r="H219" s="21" t="s">
        <v>95</v>
      </c>
      <c r="I219" s="23">
        <v>0</v>
      </c>
      <c r="J219" s="22" t="s">
        <v>96</v>
      </c>
    </row>
    <row r="220" spans="1:10" ht="25.5" customHeight="1" x14ac:dyDescent="0.25">
      <c r="A220" s="25" t="s">
        <v>374</v>
      </c>
      <c r="B220" s="25" t="s">
        <v>158</v>
      </c>
      <c r="C220" s="25" t="s">
        <v>159</v>
      </c>
      <c r="D220" s="25" t="s">
        <v>363</v>
      </c>
      <c r="E220" s="24" t="s">
        <v>94</v>
      </c>
      <c r="F220" s="26">
        <v>1</v>
      </c>
      <c r="G220" s="27">
        <f>ПАРАМЕТРЫ!B27</f>
        <v>36.68</v>
      </c>
      <c r="H220" s="28">
        <f>ПАРАМЕТРЫ!D27</f>
        <v>8634.8387999999995</v>
      </c>
      <c r="I220" s="28">
        <f>F220*H220</f>
        <v>8634.8387999999995</v>
      </c>
      <c r="J220" s="25"/>
    </row>
    <row r="221" spans="1:10" ht="25.5" customHeight="1" x14ac:dyDescent="0.25">
      <c r="A221" s="30" t="s">
        <v>375</v>
      </c>
      <c r="B221" s="30" t="s">
        <v>140</v>
      </c>
      <c r="C221" s="30" t="s">
        <v>141</v>
      </c>
      <c r="D221" s="30" t="s">
        <v>363</v>
      </c>
      <c r="E221" s="29" t="s">
        <v>94</v>
      </c>
      <c r="F221" s="26">
        <v>14</v>
      </c>
      <c r="G221" s="31">
        <f>ПАРАМЕТРЫ!B12</f>
        <v>10.77</v>
      </c>
      <c r="H221" s="32">
        <f>ПАРАМЕТРЫ!D12</f>
        <v>2535.3656999999998</v>
      </c>
      <c r="I221" s="32">
        <f>F221*H221</f>
        <v>35495.1198</v>
      </c>
      <c r="J221" s="30"/>
    </row>
    <row r="222" spans="1:10" ht="25.5" customHeight="1" x14ac:dyDescent="0.25">
      <c r="A222" s="25" t="s">
        <v>376</v>
      </c>
      <c r="B222" s="25" t="s">
        <v>162</v>
      </c>
      <c r="C222" s="25" t="s">
        <v>163</v>
      </c>
      <c r="D222" s="25" t="s">
        <v>363</v>
      </c>
      <c r="E222" s="24" t="s">
        <v>94</v>
      </c>
      <c r="F222" s="26">
        <v>2</v>
      </c>
      <c r="G222" s="27">
        <f>ПАРАМЕТРЫ!B23</f>
        <v>87.63</v>
      </c>
      <c r="H222" s="28">
        <f>ПАРАМЕТРЫ!D23</f>
        <v>20628.978300000002</v>
      </c>
      <c r="I222" s="28">
        <f>F222*H222</f>
        <v>41257.956600000005</v>
      </c>
      <c r="J222" s="25"/>
    </row>
    <row r="223" spans="1:10" ht="25.5" customHeight="1" x14ac:dyDescent="0.25">
      <c r="A223" s="30" t="s">
        <v>377</v>
      </c>
      <c r="B223" s="30" t="s">
        <v>144</v>
      </c>
      <c r="C223" s="30" t="s">
        <v>145</v>
      </c>
      <c r="D223" s="30" t="s">
        <v>363</v>
      </c>
      <c r="E223" s="29" t="s">
        <v>94</v>
      </c>
      <c r="F223" s="26">
        <v>2</v>
      </c>
      <c r="G223" s="31">
        <f>ПАРАМЕТРЫ!B33</f>
        <v>41.58</v>
      </c>
      <c r="H223" s="32">
        <f>ПАРАМЕТРЫ!D33</f>
        <v>9788.3477999999996</v>
      </c>
      <c r="I223" s="32">
        <f>F223*H223</f>
        <v>19576.695599999999</v>
      </c>
      <c r="J223" s="30"/>
    </row>
    <row r="224" spans="1:10" ht="25.5" customHeight="1" x14ac:dyDescent="0.25">
      <c r="A224" s="25" t="s">
        <v>378</v>
      </c>
      <c r="B224" s="25" t="s">
        <v>226</v>
      </c>
      <c r="C224" s="25" t="s">
        <v>95</v>
      </c>
      <c r="D224" s="25" t="s">
        <v>363</v>
      </c>
      <c r="E224" s="24" t="s">
        <v>94</v>
      </c>
      <c r="F224" s="26">
        <v>2</v>
      </c>
      <c r="G224" s="27">
        <f>ПАРАМЕТРЫ!B37</f>
        <v>1.5</v>
      </c>
      <c r="H224" s="28">
        <f>ПАРАМЕТРЫ!D37</f>
        <v>353.11499999999995</v>
      </c>
      <c r="I224" s="28">
        <f>F224*H224</f>
        <v>706.2299999999999</v>
      </c>
      <c r="J224" s="25"/>
    </row>
    <row r="225" spans="1:10" ht="25.5" customHeight="1" x14ac:dyDescent="0.25">
      <c r="A225" s="38" t="s">
        <v>379</v>
      </c>
      <c r="B225" s="38" t="s">
        <v>129</v>
      </c>
      <c r="C225" s="38"/>
      <c r="D225" s="38" t="s">
        <v>363</v>
      </c>
      <c r="E225" s="37" t="s">
        <v>130</v>
      </c>
      <c r="F225" s="37">
        <v>1</v>
      </c>
      <c r="G225" s="37" t="s">
        <v>95</v>
      </c>
      <c r="H225" s="39" t="str">
        <f>ПАРАМЕТРЫ!B6&amp;"%"</f>
        <v>12%</v>
      </c>
      <c r="I225" s="40">
        <f>(I220+I221+I222+I223+I224)*ПАРАМЕТРЫ!B6/100</f>
        <v>12680.500895999998</v>
      </c>
      <c r="J225" s="38" t="s">
        <v>11</v>
      </c>
    </row>
    <row r="226" spans="1:10" ht="25.5" customHeight="1" thickBot="1" x14ac:dyDescent="0.3">
      <c r="A226" s="42" t="s">
        <v>380</v>
      </c>
      <c r="B226" s="42" t="s">
        <v>132</v>
      </c>
      <c r="C226" s="42"/>
      <c r="D226" s="42" t="s">
        <v>363</v>
      </c>
      <c r="E226" s="41" t="s">
        <v>130</v>
      </c>
      <c r="F226" s="41">
        <v>1</v>
      </c>
      <c r="G226" s="41" t="s">
        <v>95</v>
      </c>
      <c r="H226" s="43" t="str">
        <f>ПАРАМЕТРЫ!B7&amp;"%"</f>
        <v>15%</v>
      </c>
      <c r="I226" s="44">
        <f>(I220+I221+I222+I223+I224)*ПАРАМЕТРЫ!B7/100</f>
        <v>15850.626119999999</v>
      </c>
      <c r="J226" s="42" t="s">
        <v>11</v>
      </c>
    </row>
    <row r="227" spans="1:10" ht="25.5" customHeight="1" thickBot="1" x14ac:dyDescent="0.3">
      <c r="A227" s="45" t="s">
        <v>381</v>
      </c>
      <c r="B227" s="45"/>
      <c r="C227" s="45"/>
      <c r="D227" s="45"/>
      <c r="E227" s="45"/>
      <c r="F227" s="45"/>
      <c r="G227" s="45"/>
      <c r="H227" s="45"/>
      <c r="I227" s="46">
        <f>I220+I221+I222+I223+I224+I225+I226</f>
        <v>134201.96781599999</v>
      </c>
      <c r="J227" s="45"/>
    </row>
    <row r="228" spans="1:10" ht="25.5" customHeight="1" thickBot="1" x14ac:dyDescent="0.3">
      <c r="A228" s="59" t="s">
        <v>382</v>
      </c>
      <c r="B228" s="59" t="str">
        <f>A228</f>
        <v>КОМПЛЕКТ 26.  МЗ-ЩО-1.1 (ЩРн-18з-0 36 УХЛ3 IP54)  |  Альбом 7.1 ЭО (Музей)</v>
      </c>
      <c r="C228" s="2"/>
      <c r="D228" s="2"/>
      <c r="E228" s="2"/>
      <c r="F228" s="2"/>
      <c r="G228" s="2"/>
      <c r="H228" s="2"/>
      <c r="I228" s="2"/>
      <c r="J228" s="2"/>
    </row>
    <row r="229" spans="1:10" ht="25.5" customHeight="1" x14ac:dyDescent="0.25">
      <c r="A229" s="22" t="s">
        <v>383</v>
      </c>
      <c r="B229" s="22" t="s">
        <v>196</v>
      </c>
      <c r="C229" s="22" t="s">
        <v>92</v>
      </c>
      <c r="D229" s="22" t="s">
        <v>363</v>
      </c>
      <c r="E229" s="21" t="s">
        <v>94</v>
      </c>
      <c r="F229" s="21">
        <v>1</v>
      </c>
      <c r="G229" s="21" t="s">
        <v>95</v>
      </c>
      <c r="H229" s="21" t="s">
        <v>95</v>
      </c>
      <c r="I229" s="23">
        <v>0</v>
      </c>
      <c r="J229" s="22" t="s">
        <v>96</v>
      </c>
    </row>
    <row r="230" spans="1:10" ht="25.5" customHeight="1" x14ac:dyDescent="0.25">
      <c r="A230" s="25" t="s">
        <v>384</v>
      </c>
      <c r="B230" s="25" t="s">
        <v>158</v>
      </c>
      <c r="C230" s="25" t="s">
        <v>159</v>
      </c>
      <c r="D230" s="25" t="s">
        <v>363</v>
      </c>
      <c r="E230" s="24" t="s">
        <v>94</v>
      </c>
      <c r="F230" s="26">
        <v>1</v>
      </c>
      <c r="G230" s="27">
        <f>ПАРАМЕТРЫ!B27</f>
        <v>36.68</v>
      </c>
      <c r="H230" s="28">
        <f>ПАРАМЕТРЫ!D27</f>
        <v>8634.8387999999995</v>
      </c>
      <c r="I230" s="28">
        <f>F230*H230</f>
        <v>8634.8387999999995</v>
      </c>
      <c r="J230" s="25"/>
    </row>
    <row r="231" spans="1:10" ht="25.5" customHeight="1" x14ac:dyDescent="0.25">
      <c r="A231" s="30" t="s">
        <v>385</v>
      </c>
      <c r="B231" s="30" t="s">
        <v>140</v>
      </c>
      <c r="C231" s="30" t="s">
        <v>141</v>
      </c>
      <c r="D231" s="30" t="s">
        <v>363</v>
      </c>
      <c r="E231" s="29" t="s">
        <v>94</v>
      </c>
      <c r="F231" s="26">
        <v>8</v>
      </c>
      <c r="G231" s="31">
        <f>ПАРАМЕТРЫ!B12</f>
        <v>10.77</v>
      </c>
      <c r="H231" s="32">
        <f>ПАРАМЕТРЫ!D12</f>
        <v>2535.3656999999998</v>
      </c>
      <c r="I231" s="32">
        <f>F231*H231</f>
        <v>20282.925599999999</v>
      </c>
      <c r="J231" s="30"/>
    </row>
    <row r="232" spans="1:10" ht="25.5" customHeight="1" x14ac:dyDescent="0.25">
      <c r="A232" s="25" t="s">
        <v>386</v>
      </c>
      <c r="B232" s="25" t="s">
        <v>162</v>
      </c>
      <c r="C232" s="25" t="s">
        <v>163</v>
      </c>
      <c r="D232" s="25" t="s">
        <v>363</v>
      </c>
      <c r="E232" s="24" t="s">
        <v>94</v>
      </c>
      <c r="F232" s="26">
        <v>2</v>
      </c>
      <c r="G232" s="27">
        <f>ПАРАМЕТРЫ!B23</f>
        <v>87.63</v>
      </c>
      <c r="H232" s="28">
        <f>ПАРАМЕТРЫ!D23</f>
        <v>20628.978300000002</v>
      </c>
      <c r="I232" s="28">
        <f>F232*H232</f>
        <v>41257.956600000005</v>
      </c>
      <c r="J232" s="25"/>
    </row>
    <row r="233" spans="1:10" ht="25.5" customHeight="1" x14ac:dyDescent="0.25">
      <c r="A233" s="30" t="s">
        <v>387</v>
      </c>
      <c r="B233" s="30" t="s">
        <v>144</v>
      </c>
      <c r="C233" s="30" t="s">
        <v>145</v>
      </c>
      <c r="D233" s="30" t="s">
        <v>363</v>
      </c>
      <c r="E233" s="29" t="s">
        <v>94</v>
      </c>
      <c r="F233" s="26">
        <v>2</v>
      </c>
      <c r="G233" s="31">
        <f>ПАРАМЕТРЫ!B33</f>
        <v>41.58</v>
      </c>
      <c r="H233" s="32">
        <f>ПАРАМЕТРЫ!D33</f>
        <v>9788.3477999999996</v>
      </c>
      <c r="I233" s="32">
        <f>F233*H233</f>
        <v>19576.695599999999</v>
      </c>
      <c r="J233" s="30"/>
    </row>
    <row r="234" spans="1:10" ht="25.5" customHeight="1" x14ac:dyDescent="0.25">
      <c r="A234" s="25" t="s">
        <v>388</v>
      </c>
      <c r="B234" s="25" t="s">
        <v>226</v>
      </c>
      <c r="C234" s="25" t="s">
        <v>95</v>
      </c>
      <c r="D234" s="25" t="s">
        <v>363</v>
      </c>
      <c r="E234" s="24" t="s">
        <v>94</v>
      </c>
      <c r="F234" s="26">
        <v>2</v>
      </c>
      <c r="G234" s="27">
        <f>ПАРАМЕТРЫ!B37</f>
        <v>1.5</v>
      </c>
      <c r="H234" s="28">
        <f>ПАРАМЕТРЫ!D37</f>
        <v>353.11499999999995</v>
      </c>
      <c r="I234" s="28">
        <f>F234*H234</f>
        <v>706.2299999999999</v>
      </c>
      <c r="J234" s="25"/>
    </row>
    <row r="235" spans="1:10" ht="25.5" customHeight="1" x14ac:dyDescent="0.25">
      <c r="A235" s="38" t="s">
        <v>389</v>
      </c>
      <c r="B235" s="38" t="s">
        <v>129</v>
      </c>
      <c r="C235" s="38"/>
      <c r="D235" s="38" t="s">
        <v>363</v>
      </c>
      <c r="E235" s="37" t="s">
        <v>130</v>
      </c>
      <c r="F235" s="37">
        <v>1</v>
      </c>
      <c r="G235" s="37" t="s">
        <v>95</v>
      </c>
      <c r="H235" s="39" t="str">
        <f>ПАРАМЕТРЫ!B6&amp;"%"</f>
        <v>12%</v>
      </c>
      <c r="I235" s="40">
        <f>(I230+I231+I232+I233+I234)*ПАРАМЕТРЫ!B6/100</f>
        <v>10855.037592000001</v>
      </c>
      <c r="J235" s="38" t="s">
        <v>11</v>
      </c>
    </row>
    <row r="236" spans="1:10" ht="25.5" customHeight="1" thickBot="1" x14ac:dyDescent="0.3">
      <c r="A236" s="42" t="s">
        <v>390</v>
      </c>
      <c r="B236" s="42" t="s">
        <v>132</v>
      </c>
      <c r="C236" s="42"/>
      <c r="D236" s="42" t="s">
        <v>363</v>
      </c>
      <c r="E236" s="41" t="s">
        <v>130</v>
      </c>
      <c r="F236" s="41">
        <v>1</v>
      </c>
      <c r="G236" s="41" t="s">
        <v>95</v>
      </c>
      <c r="H236" s="43" t="str">
        <f>ПАРАМЕТРЫ!B7&amp;"%"</f>
        <v>15%</v>
      </c>
      <c r="I236" s="44">
        <f>(I230+I231+I232+I233+I234)*ПАРАМЕТРЫ!B7/100</f>
        <v>13568.796989999997</v>
      </c>
      <c r="J236" s="42" t="s">
        <v>11</v>
      </c>
    </row>
    <row r="237" spans="1:10" ht="25.5" customHeight="1" thickBot="1" x14ac:dyDescent="0.3">
      <c r="A237" s="45" t="s">
        <v>391</v>
      </c>
      <c r="B237" s="45"/>
      <c r="C237" s="45"/>
      <c r="D237" s="45"/>
      <c r="E237" s="45"/>
      <c r="F237" s="45"/>
      <c r="G237" s="45"/>
      <c r="H237" s="45"/>
      <c r="I237" s="46">
        <f>I230+I231+I232+I233+I234+I235+I236</f>
        <v>114882.48118199999</v>
      </c>
      <c r="J237" s="45"/>
    </row>
    <row r="238" spans="1:10" ht="25.5" customHeight="1" thickBot="1" x14ac:dyDescent="0.3">
      <c r="A238" s="59" t="s">
        <v>392</v>
      </c>
      <c r="B238" s="59" t="str">
        <f>A238</f>
        <v>КОМПЛЕКТ 27.  МЗ-ЩО-1.2 (ЩРн-18з-0 36 УХЛ3 IP54)  |  Альбом 7.1 ЭО (Музей)</v>
      </c>
      <c r="C238" s="2"/>
      <c r="D238" s="2"/>
      <c r="E238" s="2"/>
      <c r="F238" s="2"/>
      <c r="G238" s="2"/>
      <c r="H238" s="2"/>
      <c r="I238" s="2"/>
      <c r="J238" s="2"/>
    </row>
    <row r="239" spans="1:10" ht="25.5" customHeight="1" x14ac:dyDescent="0.25">
      <c r="A239" s="22" t="s">
        <v>393</v>
      </c>
      <c r="B239" s="22" t="s">
        <v>196</v>
      </c>
      <c r="C239" s="22" t="s">
        <v>92</v>
      </c>
      <c r="D239" s="22" t="s">
        <v>363</v>
      </c>
      <c r="E239" s="21" t="s">
        <v>94</v>
      </c>
      <c r="F239" s="21">
        <v>1</v>
      </c>
      <c r="G239" s="21" t="s">
        <v>95</v>
      </c>
      <c r="H239" s="21" t="s">
        <v>95</v>
      </c>
      <c r="I239" s="23">
        <v>0</v>
      </c>
      <c r="J239" s="22" t="s">
        <v>96</v>
      </c>
    </row>
    <row r="240" spans="1:10" ht="25.5" customHeight="1" x14ac:dyDescent="0.25">
      <c r="A240" s="25" t="s">
        <v>394</v>
      </c>
      <c r="B240" s="25" t="s">
        <v>158</v>
      </c>
      <c r="C240" s="25" t="s">
        <v>159</v>
      </c>
      <c r="D240" s="25" t="s">
        <v>363</v>
      </c>
      <c r="E240" s="24" t="s">
        <v>94</v>
      </c>
      <c r="F240" s="26">
        <v>1</v>
      </c>
      <c r="G240" s="27">
        <f>ПАРАМЕТРЫ!B27</f>
        <v>36.68</v>
      </c>
      <c r="H240" s="28">
        <f>ПАРАМЕТРЫ!D27</f>
        <v>8634.8387999999995</v>
      </c>
      <c r="I240" s="28">
        <f>F240*H240</f>
        <v>8634.8387999999995</v>
      </c>
      <c r="J240" s="25"/>
    </row>
    <row r="241" spans="1:10" ht="25.5" customHeight="1" x14ac:dyDescent="0.25">
      <c r="A241" s="30" t="s">
        <v>395</v>
      </c>
      <c r="B241" s="30" t="s">
        <v>140</v>
      </c>
      <c r="C241" s="30" t="s">
        <v>141</v>
      </c>
      <c r="D241" s="30" t="s">
        <v>363</v>
      </c>
      <c r="E241" s="29" t="s">
        <v>94</v>
      </c>
      <c r="F241" s="26">
        <v>8</v>
      </c>
      <c r="G241" s="31">
        <f>ПАРАМЕТРЫ!B12</f>
        <v>10.77</v>
      </c>
      <c r="H241" s="32">
        <f>ПАРАМЕТРЫ!D12</f>
        <v>2535.3656999999998</v>
      </c>
      <c r="I241" s="32">
        <f>F241*H241</f>
        <v>20282.925599999999</v>
      </c>
      <c r="J241" s="30"/>
    </row>
    <row r="242" spans="1:10" ht="25.5" customHeight="1" x14ac:dyDescent="0.25">
      <c r="A242" s="25" t="s">
        <v>396</v>
      </c>
      <c r="B242" s="25" t="s">
        <v>162</v>
      </c>
      <c r="C242" s="25" t="s">
        <v>163</v>
      </c>
      <c r="D242" s="25" t="s">
        <v>363</v>
      </c>
      <c r="E242" s="24" t="s">
        <v>94</v>
      </c>
      <c r="F242" s="26">
        <v>2</v>
      </c>
      <c r="G242" s="27">
        <f>ПАРАМЕТРЫ!B23</f>
        <v>87.63</v>
      </c>
      <c r="H242" s="28">
        <f>ПАРАМЕТРЫ!D23</f>
        <v>20628.978300000002</v>
      </c>
      <c r="I242" s="28">
        <f>F242*H242</f>
        <v>41257.956600000005</v>
      </c>
      <c r="J242" s="25"/>
    </row>
    <row r="243" spans="1:10" ht="25.5" customHeight="1" x14ac:dyDescent="0.25">
      <c r="A243" s="30" t="s">
        <v>397</v>
      </c>
      <c r="B243" s="30" t="s">
        <v>144</v>
      </c>
      <c r="C243" s="30" t="s">
        <v>145</v>
      </c>
      <c r="D243" s="30" t="s">
        <v>363</v>
      </c>
      <c r="E243" s="29" t="s">
        <v>94</v>
      </c>
      <c r="F243" s="26">
        <v>2</v>
      </c>
      <c r="G243" s="31">
        <f>ПАРАМЕТРЫ!B33</f>
        <v>41.58</v>
      </c>
      <c r="H243" s="32">
        <f>ПАРАМЕТРЫ!D33</f>
        <v>9788.3477999999996</v>
      </c>
      <c r="I243" s="32">
        <f>F243*H243</f>
        <v>19576.695599999999</v>
      </c>
      <c r="J243" s="30"/>
    </row>
    <row r="244" spans="1:10" ht="25.5" customHeight="1" x14ac:dyDescent="0.25">
      <c r="A244" s="25" t="s">
        <v>398</v>
      </c>
      <c r="B244" s="25" t="s">
        <v>226</v>
      </c>
      <c r="C244" s="25" t="s">
        <v>95</v>
      </c>
      <c r="D244" s="25" t="s">
        <v>363</v>
      </c>
      <c r="E244" s="24" t="s">
        <v>94</v>
      </c>
      <c r="F244" s="26">
        <v>2</v>
      </c>
      <c r="G244" s="27">
        <f>ПАРАМЕТРЫ!B37</f>
        <v>1.5</v>
      </c>
      <c r="H244" s="28">
        <f>ПАРАМЕТРЫ!D37</f>
        <v>353.11499999999995</v>
      </c>
      <c r="I244" s="28">
        <f>F244*H244</f>
        <v>706.2299999999999</v>
      </c>
      <c r="J244" s="25"/>
    </row>
    <row r="245" spans="1:10" ht="25.5" customHeight="1" x14ac:dyDescent="0.25">
      <c r="A245" s="38" t="s">
        <v>399</v>
      </c>
      <c r="B245" s="38" t="s">
        <v>129</v>
      </c>
      <c r="C245" s="38"/>
      <c r="D245" s="38" t="s">
        <v>363</v>
      </c>
      <c r="E245" s="37" t="s">
        <v>130</v>
      </c>
      <c r="F245" s="37">
        <v>1</v>
      </c>
      <c r="G245" s="37" t="s">
        <v>95</v>
      </c>
      <c r="H245" s="39" t="str">
        <f>ПАРАМЕТРЫ!B6&amp;"%"</f>
        <v>12%</v>
      </c>
      <c r="I245" s="40">
        <f>(I240+I241+I242+I243+I244)*ПАРАМЕТРЫ!B6/100</f>
        <v>10855.037592000001</v>
      </c>
      <c r="J245" s="38" t="s">
        <v>11</v>
      </c>
    </row>
    <row r="246" spans="1:10" ht="25.5" customHeight="1" thickBot="1" x14ac:dyDescent="0.3">
      <c r="A246" s="42" t="s">
        <v>400</v>
      </c>
      <c r="B246" s="42" t="s">
        <v>132</v>
      </c>
      <c r="C246" s="42"/>
      <c r="D246" s="42" t="s">
        <v>363</v>
      </c>
      <c r="E246" s="41" t="s">
        <v>130</v>
      </c>
      <c r="F246" s="41">
        <v>1</v>
      </c>
      <c r="G246" s="41" t="s">
        <v>95</v>
      </c>
      <c r="H246" s="43" t="str">
        <f>ПАРАМЕТРЫ!B7&amp;"%"</f>
        <v>15%</v>
      </c>
      <c r="I246" s="44">
        <f>(I240+I241+I242+I243+I244)*ПАРАМЕТРЫ!B7/100</f>
        <v>13568.796989999997</v>
      </c>
      <c r="J246" s="42" t="s">
        <v>11</v>
      </c>
    </row>
    <row r="247" spans="1:10" ht="25.5" customHeight="1" thickBot="1" x14ac:dyDescent="0.3">
      <c r="A247" s="45" t="s">
        <v>401</v>
      </c>
      <c r="B247" s="45"/>
      <c r="C247" s="45"/>
      <c r="D247" s="45"/>
      <c r="E247" s="45"/>
      <c r="F247" s="45"/>
      <c r="G247" s="45"/>
      <c r="H247" s="45"/>
      <c r="I247" s="46">
        <f>I240+I241+I242+I243+I244+I245+I246</f>
        <v>114882.48118199999</v>
      </c>
      <c r="J247" s="45"/>
    </row>
    <row r="248" spans="1:10" ht="25.5" customHeight="1" thickBot="1" x14ac:dyDescent="0.3">
      <c r="A248" s="59" t="s">
        <v>402</v>
      </c>
      <c r="B248" s="59" t="str">
        <f>A248</f>
        <v>КОМПЛЕКТ 28.  МЗ-ЩО-2.1 (ЩРн-24з-0 36 УХЛ3 IP54)  |  Альбом 7.1 ЭО (Музей)</v>
      </c>
      <c r="C248" s="2"/>
      <c r="D248" s="2"/>
      <c r="E248" s="2"/>
      <c r="F248" s="2"/>
      <c r="G248" s="2"/>
      <c r="H248" s="2"/>
      <c r="I248" s="2"/>
      <c r="J248" s="2"/>
    </row>
    <row r="249" spans="1:10" ht="25.5" customHeight="1" x14ac:dyDescent="0.25">
      <c r="A249" s="22" t="s">
        <v>403</v>
      </c>
      <c r="B249" s="22" t="s">
        <v>156</v>
      </c>
      <c r="C249" s="22" t="s">
        <v>92</v>
      </c>
      <c r="D249" s="22" t="s">
        <v>363</v>
      </c>
      <c r="E249" s="21" t="s">
        <v>94</v>
      </c>
      <c r="F249" s="21">
        <v>1</v>
      </c>
      <c r="G249" s="21" t="s">
        <v>95</v>
      </c>
      <c r="H249" s="21" t="s">
        <v>95</v>
      </c>
      <c r="I249" s="23">
        <v>0</v>
      </c>
      <c r="J249" s="22" t="s">
        <v>96</v>
      </c>
    </row>
    <row r="250" spans="1:10" ht="25.5" customHeight="1" x14ac:dyDescent="0.25">
      <c r="A250" s="25" t="s">
        <v>404</v>
      </c>
      <c r="B250" s="25" t="s">
        <v>158</v>
      </c>
      <c r="C250" s="25" t="s">
        <v>159</v>
      </c>
      <c r="D250" s="25" t="s">
        <v>363</v>
      </c>
      <c r="E250" s="24" t="s">
        <v>94</v>
      </c>
      <c r="F250" s="26">
        <v>1</v>
      </c>
      <c r="G250" s="27">
        <f>ПАРАМЕТРЫ!B27</f>
        <v>36.68</v>
      </c>
      <c r="H250" s="28">
        <f>ПАРАМЕТРЫ!D27</f>
        <v>8634.8387999999995</v>
      </c>
      <c r="I250" s="28">
        <f>F250*H250</f>
        <v>8634.8387999999995</v>
      </c>
      <c r="J250" s="25"/>
    </row>
    <row r="251" spans="1:10" ht="25.5" customHeight="1" x14ac:dyDescent="0.25">
      <c r="A251" s="30" t="s">
        <v>405</v>
      </c>
      <c r="B251" s="30" t="s">
        <v>140</v>
      </c>
      <c r="C251" s="30" t="s">
        <v>141</v>
      </c>
      <c r="D251" s="30" t="s">
        <v>363</v>
      </c>
      <c r="E251" s="29" t="s">
        <v>94</v>
      </c>
      <c r="F251" s="26">
        <v>14</v>
      </c>
      <c r="G251" s="31">
        <f>ПАРАМЕТРЫ!B12</f>
        <v>10.77</v>
      </c>
      <c r="H251" s="32">
        <f>ПАРАМЕТРЫ!D12</f>
        <v>2535.3656999999998</v>
      </c>
      <c r="I251" s="32">
        <f>F251*H251</f>
        <v>35495.1198</v>
      </c>
      <c r="J251" s="30"/>
    </row>
    <row r="252" spans="1:10" ht="25.5" customHeight="1" x14ac:dyDescent="0.25">
      <c r="A252" s="25" t="s">
        <v>406</v>
      </c>
      <c r="B252" s="25" t="s">
        <v>162</v>
      </c>
      <c r="C252" s="25" t="s">
        <v>163</v>
      </c>
      <c r="D252" s="25" t="s">
        <v>363</v>
      </c>
      <c r="E252" s="24" t="s">
        <v>94</v>
      </c>
      <c r="F252" s="26">
        <v>3</v>
      </c>
      <c r="G252" s="27">
        <f>ПАРАМЕТРЫ!B23</f>
        <v>87.63</v>
      </c>
      <c r="H252" s="28">
        <f>ПАРАМЕТРЫ!D23</f>
        <v>20628.978300000002</v>
      </c>
      <c r="I252" s="28">
        <f>F252*H252</f>
        <v>61886.934900000007</v>
      </c>
      <c r="J252" s="25"/>
    </row>
    <row r="253" spans="1:10" ht="25.5" customHeight="1" x14ac:dyDescent="0.25">
      <c r="A253" s="30" t="s">
        <v>407</v>
      </c>
      <c r="B253" s="30" t="s">
        <v>144</v>
      </c>
      <c r="C253" s="30" t="s">
        <v>145</v>
      </c>
      <c r="D253" s="30" t="s">
        <v>363</v>
      </c>
      <c r="E253" s="29" t="s">
        <v>94</v>
      </c>
      <c r="F253" s="26">
        <v>3</v>
      </c>
      <c r="G253" s="31">
        <f>ПАРАМЕТРЫ!B33</f>
        <v>41.58</v>
      </c>
      <c r="H253" s="32">
        <f>ПАРАМЕТРЫ!D33</f>
        <v>9788.3477999999996</v>
      </c>
      <c r="I253" s="32">
        <f>F253*H253</f>
        <v>29365.043399999999</v>
      </c>
      <c r="J253" s="30"/>
    </row>
    <row r="254" spans="1:10" ht="25.5" customHeight="1" x14ac:dyDescent="0.25">
      <c r="A254" s="25" t="s">
        <v>408</v>
      </c>
      <c r="B254" s="25" t="s">
        <v>226</v>
      </c>
      <c r="C254" s="25" t="s">
        <v>95</v>
      </c>
      <c r="D254" s="25" t="s">
        <v>363</v>
      </c>
      <c r="E254" s="24" t="s">
        <v>94</v>
      </c>
      <c r="F254" s="26">
        <v>3</v>
      </c>
      <c r="G254" s="27">
        <f>ПАРАМЕТРЫ!B37</f>
        <v>1.5</v>
      </c>
      <c r="H254" s="28">
        <f>ПАРАМЕТРЫ!D37</f>
        <v>353.11499999999995</v>
      </c>
      <c r="I254" s="28">
        <f>F254*H254</f>
        <v>1059.3449999999998</v>
      </c>
      <c r="J254" s="25"/>
    </row>
    <row r="255" spans="1:10" ht="25.5" customHeight="1" x14ac:dyDescent="0.25">
      <c r="A255" s="38" t="s">
        <v>409</v>
      </c>
      <c r="B255" s="38" t="s">
        <v>129</v>
      </c>
      <c r="C255" s="38"/>
      <c r="D255" s="38" t="s">
        <v>363</v>
      </c>
      <c r="E255" s="37" t="s">
        <v>130</v>
      </c>
      <c r="F255" s="37">
        <v>1</v>
      </c>
      <c r="G255" s="37" t="s">
        <v>95</v>
      </c>
      <c r="H255" s="39" t="str">
        <f>ПАРАМЕТРЫ!B6&amp;"%"</f>
        <v>12%</v>
      </c>
      <c r="I255" s="40">
        <f>(I250+I251+I252+I253+I254)*ПАРАМЕТРЫ!B6/100</f>
        <v>16372.953828</v>
      </c>
      <c r="J255" s="38" t="s">
        <v>11</v>
      </c>
    </row>
    <row r="256" spans="1:10" ht="25.5" customHeight="1" thickBot="1" x14ac:dyDescent="0.3">
      <c r="A256" s="42" t="s">
        <v>410</v>
      </c>
      <c r="B256" s="42" t="s">
        <v>132</v>
      </c>
      <c r="C256" s="42"/>
      <c r="D256" s="42" t="s">
        <v>363</v>
      </c>
      <c r="E256" s="41" t="s">
        <v>130</v>
      </c>
      <c r="F256" s="41">
        <v>1</v>
      </c>
      <c r="G256" s="41" t="s">
        <v>95</v>
      </c>
      <c r="H256" s="43" t="str">
        <f>ПАРАМЕТРЫ!B7&amp;"%"</f>
        <v>15%</v>
      </c>
      <c r="I256" s="44">
        <f>(I250+I251+I252+I253+I254)*ПАРАМЕТРЫ!B7/100</f>
        <v>20466.192285000001</v>
      </c>
      <c r="J256" s="42" t="s">
        <v>11</v>
      </c>
    </row>
    <row r="257" spans="1:10" ht="25.5" customHeight="1" thickBot="1" x14ac:dyDescent="0.3">
      <c r="A257" s="45" t="s">
        <v>411</v>
      </c>
      <c r="B257" s="45"/>
      <c r="C257" s="45"/>
      <c r="D257" s="45"/>
      <c r="E257" s="45"/>
      <c r="F257" s="45"/>
      <c r="G257" s="45"/>
      <c r="H257" s="45"/>
      <c r="I257" s="46">
        <f>I250+I251+I252+I253+I254+I255+I256</f>
        <v>173280.428013</v>
      </c>
      <c r="J257" s="45"/>
    </row>
    <row r="258" spans="1:10" ht="25.5" customHeight="1" thickBot="1" x14ac:dyDescent="0.3">
      <c r="A258" s="59" t="s">
        <v>412</v>
      </c>
      <c r="B258" s="59" t="str">
        <f>A258</f>
        <v>КОМПЛЕКТ 29.  МЗ-ЩО-2.2 (ЩРн-18з-0 36 УХЛ3 IP54)  |  Альбом 7.1 ЭО (Музей)</v>
      </c>
      <c r="C258" s="2"/>
      <c r="D258" s="2"/>
      <c r="E258" s="2"/>
      <c r="F258" s="2"/>
      <c r="G258" s="2"/>
      <c r="H258" s="2"/>
      <c r="I258" s="2"/>
      <c r="J258" s="2"/>
    </row>
    <row r="259" spans="1:10" ht="25.5" customHeight="1" x14ac:dyDescent="0.25">
      <c r="A259" s="22" t="s">
        <v>413</v>
      </c>
      <c r="B259" s="22" t="s">
        <v>196</v>
      </c>
      <c r="C259" s="22" t="s">
        <v>92</v>
      </c>
      <c r="D259" s="22" t="s">
        <v>363</v>
      </c>
      <c r="E259" s="21" t="s">
        <v>94</v>
      </c>
      <c r="F259" s="21">
        <v>1</v>
      </c>
      <c r="G259" s="21" t="s">
        <v>95</v>
      </c>
      <c r="H259" s="21" t="s">
        <v>95</v>
      </c>
      <c r="I259" s="23">
        <v>0</v>
      </c>
      <c r="J259" s="22" t="s">
        <v>96</v>
      </c>
    </row>
    <row r="260" spans="1:10" ht="25.5" customHeight="1" x14ac:dyDescent="0.25">
      <c r="A260" s="25" t="s">
        <v>414</v>
      </c>
      <c r="B260" s="25" t="s">
        <v>158</v>
      </c>
      <c r="C260" s="25" t="s">
        <v>159</v>
      </c>
      <c r="D260" s="25" t="s">
        <v>363</v>
      </c>
      <c r="E260" s="24" t="s">
        <v>94</v>
      </c>
      <c r="F260" s="26">
        <v>1</v>
      </c>
      <c r="G260" s="27">
        <f>ПАРАМЕТРЫ!B27</f>
        <v>36.68</v>
      </c>
      <c r="H260" s="28">
        <f>ПАРАМЕТРЫ!D27</f>
        <v>8634.8387999999995</v>
      </c>
      <c r="I260" s="28">
        <f>F260*H260</f>
        <v>8634.8387999999995</v>
      </c>
      <c r="J260" s="25"/>
    </row>
    <row r="261" spans="1:10" ht="25.5" customHeight="1" x14ac:dyDescent="0.25">
      <c r="A261" s="30" t="s">
        <v>415</v>
      </c>
      <c r="B261" s="30" t="s">
        <v>140</v>
      </c>
      <c r="C261" s="30" t="s">
        <v>141</v>
      </c>
      <c r="D261" s="30" t="s">
        <v>363</v>
      </c>
      <c r="E261" s="29" t="s">
        <v>94</v>
      </c>
      <c r="F261" s="26">
        <v>8</v>
      </c>
      <c r="G261" s="31">
        <f>ПАРАМЕТРЫ!B12</f>
        <v>10.77</v>
      </c>
      <c r="H261" s="32">
        <f>ПАРАМЕТРЫ!D12</f>
        <v>2535.3656999999998</v>
      </c>
      <c r="I261" s="32">
        <f>F261*H261</f>
        <v>20282.925599999999</v>
      </c>
      <c r="J261" s="30"/>
    </row>
    <row r="262" spans="1:10" ht="25.5" customHeight="1" x14ac:dyDescent="0.25">
      <c r="A262" s="25" t="s">
        <v>416</v>
      </c>
      <c r="B262" s="25" t="s">
        <v>162</v>
      </c>
      <c r="C262" s="25" t="s">
        <v>163</v>
      </c>
      <c r="D262" s="25" t="s">
        <v>363</v>
      </c>
      <c r="E262" s="24" t="s">
        <v>94</v>
      </c>
      <c r="F262" s="26">
        <v>1</v>
      </c>
      <c r="G262" s="27">
        <f>ПАРАМЕТРЫ!B23</f>
        <v>87.63</v>
      </c>
      <c r="H262" s="28">
        <f>ПАРАМЕТРЫ!D23</f>
        <v>20628.978300000002</v>
      </c>
      <c r="I262" s="28">
        <f>F262*H262</f>
        <v>20628.978300000002</v>
      </c>
      <c r="J262" s="25"/>
    </row>
    <row r="263" spans="1:10" ht="25.5" customHeight="1" x14ac:dyDescent="0.25">
      <c r="A263" s="30" t="s">
        <v>417</v>
      </c>
      <c r="B263" s="30" t="s">
        <v>144</v>
      </c>
      <c r="C263" s="30" t="s">
        <v>145</v>
      </c>
      <c r="D263" s="30" t="s">
        <v>363</v>
      </c>
      <c r="E263" s="29" t="s">
        <v>94</v>
      </c>
      <c r="F263" s="26">
        <v>1</v>
      </c>
      <c r="G263" s="31">
        <f>ПАРАМЕТРЫ!B33</f>
        <v>41.58</v>
      </c>
      <c r="H263" s="32">
        <f>ПАРАМЕТРЫ!D33</f>
        <v>9788.3477999999996</v>
      </c>
      <c r="I263" s="32">
        <f>F263*H263</f>
        <v>9788.3477999999996</v>
      </c>
      <c r="J263" s="30"/>
    </row>
    <row r="264" spans="1:10" ht="25.5" customHeight="1" x14ac:dyDescent="0.25">
      <c r="A264" s="38" t="s">
        <v>418</v>
      </c>
      <c r="B264" s="38" t="s">
        <v>129</v>
      </c>
      <c r="C264" s="38"/>
      <c r="D264" s="38" t="s">
        <v>363</v>
      </c>
      <c r="E264" s="37" t="s">
        <v>130</v>
      </c>
      <c r="F264" s="37">
        <v>1</v>
      </c>
      <c r="G264" s="37" t="s">
        <v>95</v>
      </c>
      <c r="H264" s="39" t="str">
        <f>ПАРАМЕТРЫ!B6&amp;"%"</f>
        <v>12%</v>
      </c>
      <c r="I264" s="40">
        <f>(I260+I261+I262+I263)*ПАРАМЕТРЫ!B6/100</f>
        <v>7120.210860000001</v>
      </c>
      <c r="J264" s="38" t="s">
        <v>11</v>
      </c>
    </row>
    <row r="265" spans="1:10" ht="25.5" customHeight="1" thickBot="1" x14ac:dyDescent="0.3">
      <c r="A265" s="42" t="s">
        <v>419</v>
      </c>
      <c r="B265" s="42" t="s">
        <v>132</v>
      </c>
      <c r="C265" s="42"/>
      <c r="D265" s="42" t="s">
        <v>363</v>
      </c>
      <c r="E265" s="41" t="s">
        <v>130</v>
      </c>
      <c r="F265" s="41">
        <v>1</v>
      </c>
      <c r="G265" s="41" t="s">
        <v>95</v>
      </c>
      <c r="H265" s="43" t="str">
        <f>ПАРАМЕТРЫ!B7&amp;"%"</f>
        <v>15%</v>
      </c>
      <c r="I265" s="44">
        <f>(I260+I261+I262+I263)*ПАРАМЕТРЫ!B7/100</f>
        <v>8900.2635750000009</v>
      </c>
      <c r="J265" s="42" t="s">
        <v>11</v>
      </c>
    </row>
    <row r="266" spans="1:10" ht="25.5" customHeight="1" thickBot="1" x14ac:dyDescent="0.3">
      <c r="A266" s="45" t="s">
        <v>420</v>
      </c>
      <c r="B266" s="45"/>
      <c r="C266" s="45"/>
      <c r="D266" s="45"/>
      <c r="E266" s="45"/>
      <c r="F266" s="45"/>
      <c r="G266" s="45"/>
      <c r="H266" s="45"/>
      <c r="I266" s="46">
        <f>I260+I261+I262+I263+I264+I265</f>
        <v>75355.564935000017</v>
      </c>
      <c r="J266" s="45"/>
    </row>
    <row r="267" spans="1:10" ht="25.5" customHeight="1" thickBot="1" x14ac:dyDescent="0.3">
      <c r="A267" s="59" t="s">
        <v>421</v>
      </c>
      <c r="B267" s="59" t="str">
        <f>A267</f>
        <v>КОМПЛЕКТ 30.  МЗ-ЩО-3.1 (ЩРн-12з-0 36 УХЛ3 IP54)  |  Альбом 7.1 ЭО (Музей)</v>
      </c>
      <c r="C267" s="2"/>
      <c r="D267" s="2"/>
      <c r="E267" s="2"/>
      <c r="F267" s="2"/>
      <c r="G267" s="2"/>
      <c r="H267" s="2"/>
      <c r="I267" s="2"/>
      <c r="J267" s="2"/>
    </row>
    <row r="268" spans="1:10" ht="25.5" customHeight="1" x14ac:dyDescent="0.25">
      <c r="A268" s="22" t="s">
        <v>422</v>
      </c>
      <c r="B268" s="22" t="s">
        <v>136</v>
      </c>
      <c r="C268" s="22" t="s">
        <v>92</v>
      </c>
      <c r="D268" s="22" t="s">
        <v>363</v>
      </c>
      <c r="E268" s="21" t="s">
        <v>94</v>
      </c>
      <c r="F268" s="21">
        <v>1</v>
      </c>
      <c r="G268" s="21" t="s">
        <v>95</v>
      </c>
      <c r="H268" s="21" t="s">
        <v>95</v>
      </c>
      <c r="I268" s="23">
        <v>0</v>
      </c>
      <c r="J268" s="22" t="s">
        <v>96</v>
      </c>
    </row>
    <row r="269" spans="1:10" ht="25.5" customHeight="1" x14ac:dyDescent="0.25">
      <c r="A269" s="25" t="s">
        <v>423</v>
      </c>
      <c r="B269" s="25" t="s">
        <v>158</v>
      </c>
      <c r="C269" s="25" t="s">
        <v>159</v>
      </c>
      <c r="D269" s="25" t="s">
        <v>363</v>
      </c>
      <c r="E269" s="24" t="s">
        <v>94</v>
      </c>
      <c r="F269" s="26">
        <v>1</v>
      </c>
      <c r="G269" s="27">
        <f>ПАРАМЕТРЫ!B27</f>
        <v>36.68</v>
      </c>
      <c r="H269" s="28">
        <f>ПАРАМЕТРЫ!D27</f>
        <v>8634.8387999999995</v>
      </c>
      <c r="I269" s="28">
        <f>F269*H269</f>
        <v>8634.8387999999995</v>
      </c>
      <c r="J269" s="25"/>
    </row>
    <row r="270" spans="1:10" ht="25.5" customHeight="1" x14ac:dyDescent="0.25">
      <c r="A270" s="30" t="s">
        <v>424</v>
      </c>
      <c r="B270" s="30" t="s">
        <v>140</v>
      </c>
      <c r="C270" s="30" t="s">
        <v>141</v>
      </c>
      <c r="D270" s="30" t="s">
        <v>363</v>
      </c>
      <c r="E270" s="29" t="s">
        <v>94</v>
      </c>
      <c r="F270" s="26">
        <v>6</v>
      </c>
      <c r="G270" s="31">
        <f>ПАРАМЕТРЫ!B12</f>
        <v>10.77</v>
      </c>
      <c r="H270" s="32">
        <f>ПАРАМЕТРЫ!D12</f>
        <v>2535.3656999999998</v>
      </c>
      <c r="I270" s="32">
        <f>F270*H270</f>
        <v>15212.194199999998</v>
      </c>
      <c r="J270" s="30"/>
    </row>
    <row r="271" spans="1:10" ht="25.5" customHeight="1" x14ac:dyDescent="0.25">
      <c r="A271" s="25" t="s">
        <v>425</v>
      </c>
      <c r="B271" s="25" t="s">
        <v>162</v>
      </c>
      <c r="C271" s="25" t="s">
        <v>163</v>
      </c>
      <c r="D271" s="25" t="s">
        <v>363</v>
      </c>
      <c r="E271" s="24" t="s">
        <v>94</v>
      </c>
      <c r="F271" s="26">
        <v>1</v>
      </c>
      <c r="G271" s="27">
        <f>ПАРАМЕТРЫ!B23</f>
        <v>87.63</v>
      </c>
      <c r="H271" s="28">
        <f>ПАРАМЕТРЫ!D23</f>
        <v>20628.978300000002</v>
      </c>
      <c r="I271" s="28">
        <f>F271*H271</f>
        <v>20628.978300000002</v>
      </c>
      <c r="J271" s="25"/>
    </row>
    <row r="272" spans="1:10" ht="25.5" customHeight="1" x14ac:dyDescent="0.25">
      <c r="A272" s="30" t="s">
        <v>426</v>
      </c>
      <c r="B272" s="30" t="s">
        <v>144</v>
      </c>
      <c r="C272" s="30" t="s">
        <v>145</v>
      </c>
      <c r="D272" s="30" t="s">
        <v>363</v>
      </c>
      <c r="E272" s="29" t="s">
        <v>94</v>
      </c>
      <c r="F272" s="26">
        <v>1</v>
      </c>
      <c r="G272" s="31">
        <f>ПАРАМЕТРЫ!B33</f>
        <v>41.58</v>
      </c>
      <c r="H272" s="32">
        <f>ПАРАМЕТРЫ!D33</f>
        <v>9788.3477999999996</v>
      </c>
      <c r="I272" s="32">
        <f>F272*H272</f>
        <v>9788.3477999999996</v>
      </c>
      <c r="J272" s="30"/>
    </row>
    <row r="273" spans="1:10" ht="25.5" customHeight="1" x14ac:dyDescent="0.25">
      <c r="A273" s="38" t="s">
        <v>427</v>
      </c>
      <c r="B273" s="38" t="s">
        <v>129</v>
      </c>
      <c r="C273" s="38"/>
      <c r="D273" s="38" t="s">
        <v>363</v>
      </c>
      <c r="E273" s="37" t="s">
        <v>130</v>
      </c>
      <c r="F273" s="37">
        <v>1</v>
      </c>
      <c r="G273" s="37" t="s">
        <v>95</v>
      </c>
      <c r="H273" s="39" t="str">
        <f>ПАРАМЕТРЫ!B6&amp;"%"</f>
        <v>12%</v>
      </c>
      <c r="I273" s="40">
        <f>(I269+I270+I271+I272)*ПАРАМЕТРЫ!B6/100</f>
        <v>6511.7230920000002</v>
      </c>
      <c r="J273" s="38" t="s">
        <v>11</v>
      </c>
    </row>
    <row r="274" spans="1:10" ht="25.5" customHeight="1" thickBot="1" x14ac:dyDescent="0.3">
      <c r="A274" s="42" t="s">
        <v>428</v>
      </c>
      <c r="B274" s="42" t="s">
        <v>132</v>
      </c>
      <c r="C274" s="42"/>
      <c r="D274" s="42" t="s">
        <v>363</v>
      </c>
      <c r="E274" s="41" t="s">
        <v>130</v>
      </c>
      <c r="F274" s="41">
        <v>1</v>
      </c>
      <c r="G274" s="41" t="s">
        <v>95</v>
      </c>
      <c r="H274" s="43" t="str">
        <f>ПАРАМЕТРЫ!B7&amp;"%"</f>
        <v>15%</v>
      </c>
      <c r="I274" s="44">
        <f>(I269+I270+I271+I272)*ПАРАМЕТРЫ!B7/100</f>
        <v>8139.6538650000002</v>
      </c>
      <c r="J274" s="42" t="s">
        <v>11</v>
      </c>
    </row>
    <row r="275" spans="1:10" ht="25.5" customHeight="1" thickBot="1" x14ac:dyDescent="0.3">
      <c r="A275" s="45" t="s">
        <v>429</v>
      </c>
      <c r="B275" s="45"/>
      <c r="C275" s="45"/>
      <c r="D275" s="45"/>
      <c r="E275" s="45"/>
      <c r="F275" s="45"/>
      <c r="G275" s="45"/>
      <c r="H275" s="45"/>
      <c r="I275" s="46">
        <f>I269+I270+I271+I272+I273+I274</f>
        <v>68915.736057000002</v>
      </c>
      <c r="J275" s="45"/>
    </row>
    <row r="276" spans="1:10" ht="25.5" customHeight="1" thickBot="1" x14ac:dyDescent="0.3">
      <c r="A276" s="59" t="s">
        <v>430</v>
      </c>
      <c r="B276" s="59" t="str">
        <f>A276</f>
        <v>КОМПЛЕКТ 31.  МЗ-ЩО-3.2 (ЩРн-12з-0 36 УХЛ3 IP54)  |  Альбом 7.1 ЭО (Музей)</v>
      </c>
      <c r="C276" s="2"/>
      <c r="D276" s="2"/>
      <c r="E276" s="2"/>
      <c r="F276" s="2"/>
      <c r="G276" s="2"/>
      <c r="H276" s="2"/>
      <c r="I276" s="2"/>
      <c r="J276" s="2"/>
    </row>
    <row r="277" spans="1:10" ht="25.5" customHeight="1" x14ac:dyDescent="0.25">
      <c r="A277" s="22" t="s">
        <v>431</v>
      </c>
      <c r="B277" s="22" t="s">
        <v>136</v>
      </c>
      <c r="C277" s="22" t="s">
        <v>92</v>
      </c>
      <c r="D277" s="22" t="s">
        <v>363</v>
      </c>
      <c r="E277" s="21" t="s">
        <v>94</v>
      </c>
      <c r="F277" s="21">
        <v>1</v>
      </c>
      <c r="G277" s="21" t="s">
        <v>95</v>
      </c>
      <c r="H277" s="21" t="s">
        <v>95</v>
      </c>
      <c r="I277" s="23">
        <v>0</v>
      </c>
      <c r="J277" s="22" t="s">
        <v>96</v>
      </c>
    </row>
    <row r="278" spans="1:10" ht="25.5" customHeight="1" x14ac:dyDescent="0.25">
      <c r="A278" s="25" t="s">
        <v>432</v>
      </c>
      <c r="B278" s="25" t="s">
        <v>158</v>
      </c>
      <c r="C278" s="25" t="s">
        <v>159</v>
      </c>
      <c r="D278" s="25" t="s">
        <v>363</v>
      </c>
      <c r="E278" s="24" t="s">
        <v>94</v>
      </c>
      <c r="F278" s="26">
        <v>1</v>
      </c>
      <c r="G278" s="27">
        <f>ПАРАМЕТРЫ!B27</f>
        <v>36.68</v>
      </c>
      <c r="H278" s="28">
        <f>ПАРАМЕТРЫ!D27</f>
        <v>8634.8387999999995</v>
      </c>
      <c r="I278" s="28">
        <f>F278*H278</f>
        <v>8634.8387999999995</v>
      </c>
      <c r="J278" s="25"/>
    </row>
    <row r="279" spans="1:10" ht="25.5" customHeight="1" x14ac:dyDescent="0.25">
      <c r="A279" s="30" t="s">
        <v>433</v>
      </c>
      <c r="B279" s="30" t="s">
        <v>140</v>
      </c>
      <c r="C279" s="30" t="s">
        <v>141</v>
      </c>
      <c r="D279" s="30" t="s">
        <v>363</v>
      </c>
      <c r="E279" s="29" t="s">
        <v>94</v>
      </c>
      <c r="F279" s="26">
        <v>6</v>
      </c>
      <c r="G279" s="31">
        <f>ПАРАМЕТРЫ!B12</f>
        <v>10.77</v>
      </c>
      <c r="H279" s="32">
        <f>ПАРАМЕТРЫ!D12</f>
        <v>2535.3656999999998</v>
      </c>
      <c r="I279" s="32">
        <f>F279*H279</f>
        <v>15212.194199999998</v>
      </c>
      <c r="J279" s="30"/>
    </row>
    <row r="280" spans="1:10" ht="25.5" customHeight="1" x14ac:dyDescent="0.25">
      <c r="A280" s="25" t="s">
        <v>434</v>
      </c>
      <c r="B280" s="25" t="s">
        <v>162</v>
      </c>
      <c r="C280" s="25" t="s">
        <v>163</v>
      </c>
      <c r="D280" s="25" t="s">
        <v>363</v>
      </c>
      <c r="E280" s="24" t="s">
        <v>94</v>
      </c>
      <c r="F280" s="26">
        <v>1</v>
      </c>
      <c r="G280" s="27">
        <f>ПАРАМЕТРЫ!B23</f>
        <v>87.63</v>
      </c>
      <c r="H280" s="28">
        <f>ПАРАМЕТРЫ!D23</f>
        <v>20628.978300000002</v>
      </c>
      <c r="I280" s="28">
        <f>F280*H280</f>
        <v>20628.978300000002</v>
      </c>
      <c r="J280" s="25"/>
    </row>
    <row r="281" spans="1:10" ht="25.5" customHeight="1" x14ac:dyDescent="0.25">
      <c r="A281" s="30" t="s">
        <v>435</v>
      </c>
      <c r="B281" s="30" t="s">
        <v>144</v>
      </c>
      <c r="C281" s="30" t="s">
        <v>145</v>
      </c>
      <c r="D281" s="30" t="s">
        <v>363</v>
      </c>
      <c r="E281" s="29" t="s">
        <v>94</v>
      </c>
      <c r="F281" s="26">
        <v>1</v>
      </c>
      <c r="G281" s="31">
        <f>ПАРАМЕТРЫ!B33</f>
        <v>41.58</v>
      </c>
      <c r="H281" s="32">
        <f>ПАРАМЕТРЫ!D33</f>
        <v>9788.3477999999996</v>
      </c>
      <c r="I281" s="32">
        <f>F281*H281</f>
        <v>9788.3477999999996</v>
      </c>
      <c r="J281" s="30"/>
    </row>
    <row r="282" spans="1:10" ht="25.5" customHeight="1" x14ac:dyDescent="0.25">
      <c r="A282" s="38" t="s">
        <v>436</v>
      </c>
      <c r="B282" s="38" t="s">
        <v>129</v>
      </c>
      <c r="C282" s="38"/>
      <c r="D282" s="38" t="s">
        <v>363</v>
      </c>
      <c r="E282" s="37" t="s">
        <v>130</v>
      </c>
      <c r="F282" s="37">
        <v>1</v>
      </c>
      <c r="G282" s="37" t="s">
        <v>95</v>
      </c>
      <c r="H282" s="39" t="str">
        <f>ПАРАМЕТРЫ!B6&amp;"%"</f>
        <v>12%</v>
      </c>
      <c r="I282" s="40">
        <f>(I278+I279+I280+I281)*ПАРАМЕТРЫ!B6/100</f>
        <v>6511.7230920000002</v>
      </c>
      <c r="J282" s="38" t="s">
        <v>11</v>
      </c>
    </row>
    <row r="283" spans="1:10" ht="25.5" customHeight="1" thickBot="1" x14ac:dyDescent="0.3">
      <c r="A283" s="42" t="s">
        <v>437</v>
      </c>
      <c r="B283" s="42" t="s">
        <v>132</v>
      </c>
      <c r="C283" s="42"/>
      <c r="D283" s="42" t="s">
        <v>363</v>
      </c>
      <c r="E283" s="41" t="s">
        <v>130</v>
      </c>
      <c r="F283" s="41">
        <v>1</v>
      </c>
      <c r="G283" s="41" t="s">
        <v>95</v>
      </c>
      <c r="H283" s="43" t="str">
        <f>ПАРАМЕТРЫ!B7&amp;"%"</f>
        <v>15%</v>
      </c>
      <c r="I283" s="44">
        <f>(I278+I279+I280+I281)*ПАРАМЕТРЫ!B7/100</f>
        <v>8139.6538650000002</v>
      </c>
      <c r="J283" s="42" t="s">
        <v>11</v>
      </c>
    </row>
    <row r="284" spans="1:10" ht="25.5" customHeight="1" thickBot="1" x14ac:dyDescent="0.3">
      <c r="A284" s="45" t="s">
        <v>438</v>
      </c>
      <c r="B284" s="45"/>
      <c r="C284" s="45"/>
      <c r="D284" s="45"/>
      <c r="E284" s="45"/>
      <c r="F284" s="45"/>
      <c r="G284" s="45"/>
      <c r="H284" s="45"/>
      <c r="I284" s="46">
        <f>I278+I279+I280+I281+I282+I283</f>
        <v>68915.736057000002</v>
      </c>
      <c r="J284" s="45"/>
    </row>
    <row r="285" spans="1:10" ht="25.5" customHeight="1" thickBot="1" x14ac:dyDescent="0.3">
      <c r="A285" s="59" t="s">
        <v>439</v>
      </c>
      <c r="B285" s="59" t="str">
        <f>A285</f>
        <v>КОМПЛЕКТ 32.  МЗ-ЩО-4.1 (ЩРн-18з-0 36 УХЛ3 IP54)  |  Альбом 7.1 ЭО (Музей)</v>
      </c>
      <c r="C285" s="2"/>
      <c r="D285" s="2"/>
      <c r="E285" s="2"/>
      <c r="F285" s="2"/>
      <c r="G285" s="2"/>
      <c r="H285" s="2"/>
      <c r="I285" s="2"/>
      <c r="J285" s="2"/>
    </row>
    <row r="286" spans="1:10" ht="25.5" customHeight="1" x14ac:dyDescent="0.25">
      <c r="A286" s="22" t="s">
        <v>440</v>
      </c>
      <c r="B286" s="22" t="s">
        <v>196</v>
      </c>
      <c r="C286" s="22" t="s">
        <v>92</v>
      </c>
      <c r="D286" s="22" t="s">
        <v>363</v>
      </c>
      <c r="E286" s="21" t="s">
        <v>94</v>
      </c>
      <c r="F286" s="21">
        <v>1</v>
      </c>
      <c r="G286" s="21" t="s">
        <v>95</v>
      </c>
      <c r="H286" s="21" t="s">
        <v>95</v>
      </c>
      <c r="I286" s="23">
        <v>0</v>
      </c>
      <c r="J286" s="22" t="s">
        <v>96</v>
      </c>
    </row>
    <row r="287" spans="1:10" ht="25.5" customHeight="1" x14ac:dyDescent="0.25">
      <c r="A287" s="25" t="s">
        <v>441</v>
      </c>
      <c r="B287" s="25" t="s">
        <v>158</v>
      </c>
      <c r="C287" s="25" t="s">
        <v>159</v>
      </c>
      <c r="D287" s="25" t="s">
        <v>363</v>
      </c>
      <c r="E287" s="24" t="s">
        <v>94</v>
      </c>
      <c r="F287" s="26">
        <v>1</v>
      </c>
      <c r="G287" s="27">
        <f>ПАРАМЕТРЫ!B27</f>
        <v>36.68</v>
      </c>
      <c r="H287" s="28">
        <f>ПАРАМЕТРЫ!D27</f>
        <v>8634.8387999999995</v>
      </c>
      <c r="I287" s="28">
        <f>F287*H287</f>
        <v>8634.8387999999995</v>
      </c>
      <c r="J287" s="25"/>
    </row>
    <row r="288" spans="1:10" ht="25.5" customHeight="1" x14ac:dyDescent="0.25">
      <c r="A288" s="30" t="s">
        <v>442</v>
      </c>
      <c r="B288" s="30" t="s">
        <v>140</v>
      </c>
      <c r="C288" s="30" t="s">
        <v>141</v>
      </c>
      <c r="D288" s="30" t="s">
        <v>363</v>
      </c>
      <c r="E288" s="29" t="s">
        <v>94</v>
      </c>
      <c r="F288" s="26">
        <v>8</v>
      </c>
      <c r="G288" s="31">
        <f>ПАРАМЕТРЫ!B12</f>
        <v>10.77</v>
      </c>
      <c r="H288" s="32">
        <f>ПАРАМЕТРЫ!D12</f>
        <v>2535.3656999999998</v>
      </c>
      <c r="I288" s="32">
        <f>F288*H288</f>
        <v>20282.925599999999</v>
      </c>
      <c r="J288" s="30"/>
    </row>
    <row r="289" spans="1:10" ht="25.5" customHeight="1" x14ac:dyDescent="0.25">
      <c r="A289" s="25" t="s">
        <v>443</v>
      </c>
      <c r="B289" s="25" t="s">
        <v>162</v>
      </c>
      <c r="C289" s="25" t="s">
        <v>163</v>
      </c>
      <c r="D289" s="25" t="s">
        <v>363</v>
      </c>
      <c r="E289" s="24" t="s">
        <v>94</v>
      </c>
      <c r="F289" s="26">
        <v>2</v>
      </c>
      <c r="G289" s="27">
        <f>ПАРАМЕТРЫ!B23</f>
        <v>87.63</v>
      </c>
      <c r="H289" s="28">
        <f>ПАРАМЕТРЫ!D23</f>
        <v>20628.978300000002</v>
      </c>
      <c r="I289" s="28">
        <f>F289*H289</f>
        <v>41257.956600000005</v>
      </c>
      <c r="J289" s="25"/>
    </row>
    <row r="290" spans="1:10" ht="25.5" customHeight="1" x14ac:dyDescent="0.25">
      <c r="A290" s="30" t="s">
        <v>444</v>
      </c>
      <c r="B290" s="30" t="s">
        <v>144</v>
      </c>
      <c r="C290" s="30" t="s">
        <v>145</v>
      </c>
      <c r="D290" s="30" t="s">
        <v>363</v>
      </c>
      <c r="E290" s="29" t="s">
        <v>94</v>
      </c>
      <c r="F290" s="26">
        <v>2</v>
      </c>
      <c r="G290" s="31">
        <f>ПАРАМЕТРЫ!B33</f>
        <v>41.58</v>
      </c>
      <c r="H290" s="32">
        <f>ПАРАМЕТРЫ!D33</f>
        <v>9788.3477999999996</v>
      </c>
      <c r="I290" s="32">
        <f>F290*H290</f>
        <v>19576.695599999999</v>
      </c>
      <c r="J290" s="30"/>
    </row>
    <row r="291" spans="1:10" ht="25.5" customHeight="1" x14ac:dyDescent="0.25">
      <c r="A291" s="38" t="s">
        <v>445</v>
      </c>
      <c r="B291" s="38" t="s">
        <v>129</v>
      </c>
      <c r="C291" s="38"/>
      <c r="D291" s="38" t="s">
        <v>363</v>
      </c>
      <c r="E291" s="37" t="s">
        <v>130</v>
      </c>
      <c r="F291" s="37">
        <v>1</v>
      </c>
      <c r="G291" s="37" t="s">
        <v>95</v>
      </c>
      <c r="H291" s="39" t="str">
        <f>ПАРАМЕТРЫ!B6&amp;"%"</f>
        <v>12%</v>
      </c>
      <c r="I291" s="40">
        <f>(I287+I288+I289+I290)*ПАРАМЕТРЫ!B6/100</f>
        <v>10770.289992</v>
      </c>
      <c r="J291" s="38" t="s">
        <v>11</v>
      </c>
    </row>
    <row r="292" spans="1:10" ht="25.5" customHeight="1" thickBot="1" x14ac:dyDescent="0.3">
      <c r="A292" s="42" t="s">
        <v>446</v>
      </c>
      <c r="B292" s="42" t="s">
        <v>132</v>
      </c>
      <c r="C292" s="42"/>
      <c r="D292" s="42" t="s">
        <v>363</v>
      </c>
      <c r="E292" s="41" t="s">
        <v>130</v>
      </c>
      <c r="F292" s="41">
        <v>1</v>
      </c>
      <c r="G292" s="41" t="s">
        <v>95</v>
      </c>
      <c r="H292" s="43" t="str">
        <f>ПАРАМЕТРЫ!B7&amp;"%"</f>
        <v>15%</v>
      </c>
      <c r="I292" s="44">
        <f>(I287+I288+I289+I290)*ПАРАМЕТРЫ!B7/100</f>
        <v>13462.862489999998</v>
      </c>
      <c r="J292" s="42" t="s">
        <v>11</v>
      </c>
    </row>
    <row r="293" spans="1:10" ht="25.5" customHeight="1" thickBot="1" x14ac:dyDescent="0.3">
      <c r="A293" s="45" t="s">
        <v>447</v>
      </c>
      <c r="B293" s="45"/>
      <c r="C293" s="45"/>
      <c r="D293" s="45"/>
      <c r="E293" s="45"/>
      <c r="F293" s="45"/>
      <c r="G293" s="45"/>
      <c r="H293" s="45"/>
      <c r="I293" s="46">
        <f>I287+I288+I289+I290+I291+I292</f>
        <v>113985.569082</v>
      </c>
      <c r="J293" s="45"/>
    </row>
    <row r="294" spans="1:10" ht="25.5" customHeight="1" thickBot="1" x14ac:dyDescent="0.3">
      <c r="A294" s="59" t="s">
        <v>448</v>
      </c>
      <c r="B294" s="59" t="str">
        <f>A294</f>
        <v>КОМПЛЕКТ 33.  МЗ-ЩО-4.2 (ЩРн-18з-0 36 УХЛ3 IP54)  |  Альбом 7.1 ЭО (Музей)</v>
      </c>
      <c r="C294" s="2"/>
      <c r="D294" s="2"/>
      <c r="E294" s="2"/>
      <c r="F294" s="2"/>
      <c r="G294" s="2"/>
      <c r="H294" s="2"/>
      <c r="I294" s="2"/>
      <c r="J294" s="2"/>
    </row>
    <row r="295" spans="1:10" ht="25.5" customHeight="1" x14ac:dyDescent="0.25">
      <c r="A295" s="22" t="s">
        <v>449</v>
      </c>
      <c r="B295" s="22" t="s">
        <v>196</v>
      </c>
      <c r="C295" s="22" t="s">
        <v>92</v>
      </c>
      <c r="D295" s="22" t="s">
        <v>363</v>
      </c>
      <c r="E295" s="21" t="s">
        <v>94</v>
      </c>
      <c r="F295" s="21">
        <v>1</v>
      </c>
      <c r="G295" s="21" t="s">
        <v>95</v>
      </c>
      <c r="H295" s="21" t="s">
        <v>95</v>
      </c>
      <c r="I295" s="23">
        <v>0</v>
      </c>
      <c r="J295" s="22" t="s">
        <v>96</v>
      </c>
    </row>
    <row r="296" spans="1:10" ht="25.5" customHeight="1" x14ac:dyDescent="0.25">
      <c r="A296" s="25" t="s">
        <v>450</v>
      </c>
      <c r="B296" s="25" t="s">
        <v>158</v>
      </c>
      <c r="C296" s="25" t="s">
        <v>159</v>
      </c>
      <c r="D296" s="25" t="s">
        <v>363</v>
      </c>
      <c r="E296" s="24" t="s">
        <v>94</v>
      </c>
      <c r="F296" s="26">
        <v>1</v>
      </c>
      <c r="G296" s="27">
        <f>ПАРАМЕТРЫ!B27</f>
        <v>36.68</v>
      </c>
      <c r="H296" s="28">
        <f>ПАРАМЕТРЫ!D27</f>
        <v>8634.8387999999995</v>
      </c>
      <c r="I296" s="28">
        <f>F296*H296</f>
        <v>8634.8387999999995</v>
      </c>
      <c r="J296" s="25"/>
    </row>
    <row r="297" spans="1:10" ht="25.5" customHeight="1" x14ac:dyDescent="0.25">
      <c r="A297" s="30" t="s">
        <v>451</v>
      </c>
      <c r="B297" s="30" t="s">
        <v>140</v>
      </c>
      <c r="C297" s="30" t="s">
        <v>141</v>
      </c>
      <c r="D297" s="30" t="s">
        <v>363</v>
      </c>
      <c r="E297" s="29" t="s">
        <v>94</v>
      </c>
      <c r="F297" s="26">
        <v>8</v>
      </c>
      <c r="G297" s="31">
        <f>ПАРАМЕТРЫ!B12</f>
        <v>10.77</v>
      </c>
      <c r="H297" s="32">
        <f>ПАРАМЕТРЫ!D12</f>
        <v>2535.3656999999998</v>
      </c>
      <c r="I297" s="32">
        <f>F297*H297</f>
        <v>20282.925599999999</v>
      </c>
      <c r="J297" s="30"/>
    </row>
    <row r="298" spans="1:10" ht="25.5" customHeight="1" x14ac:dyDescent="0.25">
      <c r="A298" s="25" t="s">
        <v>452</v>
      </c>
      <c r="B298" s="25" t="s">
        <v>162</v>
      </c>
      <c r="C298" s="25" t="s">
        <v>163</v>
      </c>
      <c r="D298" s="25" t="s">
        <v>363</v>
      </c>
      <c r="E298" s="24" t="s">
        <v>94</v>
      </c>
      <c r="F298" s="26">
        <v>2</v>
      </c>
      <c r="G298" s="27">
        <f>ПАРАМЕТРЫ!B23</f>
        <v>87.63</v>
      </c>
      <c r="H298" s="28">
        <f>ПАРАМЕТРЫ!D23</f>
        <v>20628.978300000002</v>
      </c>
      <c r="I298" s="28">
        <f>F298*H298</f>
        <v>41257.956600000005</v>
      </c>
      <c r="J298" s="25"/>
    </row>
    <row r="299" spans="1:10" ht="25.5" customHeight="1" x14ac:dyDescent="0.25">
      <c r="A299" s="30" t="s">
        <v>453</v>
      </c>
      <c r="B299" s="30" t="s">
        <v>144</v>
      </c>
      <c r="C299" s="30" t="s">
        <v>145</v>
      </c>
      <c r="D299" s="30" t="s">
        <v>363</v>
      </c>
      <c r="E299" s="29" t="s">
        <v>94</v>
      </c>
      <c r="F299" s="26">
        <v>2</v>
      </c>
      <c r="G299" s="31">
        <f>ПАРАМЕТРЫ!B33</f>
        <v>41.58</v>
      </c>
      <c r="H299" s="32">
        <f>ПАРАМЕТРЫ!D33</f>
        <v>9788.3477999999996</v>
      </c>
      <c r="I299" s="32">
        <f>F299*H299</f>
        <v>19576.695599999999</v>
      </c>
      <c r="J299" s="30"/>
    </row>
    <row r="300" spans="1:10" ht="25.5" customHeight="1" x14ac:dyDescent="0.25">
      <c r="A300" s="38" t="s">
        <v>454</v>
      </c>
      <c r="B300" s="38" t="s">
        <v>129</v>
      </c>
      <c r="C300" s="38"/>
      <c r="D300" s="38" t="s">
        <v>363</v>
      </c>
      <c r="E300" s="37" t="s">
        <v>130</v>
      </c>
      <c r="F300" s="37">
        <v>1</v>
      </c>
      <c r="G300" s="37" t="s">
        <v>95</v>
      </c>
      <c r="H300" s="39" t="str">
        <f>ПАРАМЕТРЫ!B6&amp;"%"</f>
        <v>12%</v>
      </c>
      <c r="I300" s="40">
        <f>(I296+I297+I298+I299)*ПАРАМЕТРЫ!B6/100</f>
        <v>10770.289992</v>
      </c>
      <c r="J300" s="38" t="s">
        <v>11</v>
      </c>
    </row>
    <row r="301" spans="1:10" ht="25.5" customHeight="1" thickBot="1" x14ac:dyDescent="0.3">
      <c r="A301" s="42" t="s">
        <v>455</v>
      </c>
      <c r="B301" s="42" t="s">
        <v>132</v>
      </c>
      <c r="C301" s="42"/>
      <c r="D301" s="42" t="s">
        <v>363</v>
      </c>
      <c r="E301" s="41" t="s">
        <v>130</v>
      </c>
      <c r="F301" s="41">
        <v>1</v>
      </c>
      <c r="G301" s="41" t="s">
        <v>95</v>
      </c>
      <c r="H301" s="43" t="str">
        <f>ПАРАМЕТРЫ!B7&amp;"%"</f>
        <v>15%</v>
      </c>
      <c r="I301" s="44">
        <f>(I296+I297+I298+I299)*ПАРАМЕТРЫ!B7/100</f>
        <v>13462.862489999998</v>
      </c>
      <c r="J301" s="42" t="s">
        <v>11</v>
      </c>
    </row>
    <row r="302" spans="1:10" ht="25.5" customHeight="1" thickBot="1" x14ac:dyDescent="0.3">
      <c r="A302" s="45" t="s">
        <v>456</v>
      </c>
      <c r="B302" s="45"/>
      <c r="C302" s="45"/>
      <c r="D302" s="45"/>
      <c r="E302" s="45"/>
      <c r="F302" s="45"/>
      <c r="G302" s="45"/>
      <c r="H302" s="45"/>
      <c r="I302" s="46">
        <f>I296+I297+I298+I299+I300+I301</f>
        <v>113985.569082</v>
      </c>
      <c r="J302" s="45"/>
    </row>
    <row r="303" spans="1:10" ht="25.5" customHeight="1" thickBot="1" x14ac:dyDescent="0.3">
      <c r="A303" s="59" t="s">
        <v>457</v>
      </c>
      <c r="B303" s="59" t="str">
        <f>A303</f>
        <v>КОМПЛЕКТ 34.  МЗ-ЩОА-0.1  |  Альбом 7.1 ЭО (Музей)</v>
      </c>
      <c r="C303" s="2"/>
      <c r="D303" s="2"/>
      <c r="E303" s="2"/>
      <c r="F303" s="2"/>
      <c r="G303" s="2"/>
      <c r="H303" s="2"/>
      <c r="I303" s="2"/>
      <c r="J303" s="2"/>
    </row>
    <row r="304" spans="1:10" ht="25.5" customHeight="1" x14ac:dyDescent="0.25">
      <c r="A304" s="22" t="s">
        <v>458</v>
      </c>
      <c r="B304" s="22" t="s">
        <v>136</v>
      </c>
      <c r="C304" s="22" t="s">
        <v>92</v>
      </c>
      <c r="D304" s="22" t="s">
        <v>363</v>
      </c>
      <c r="E304" s="21" t="s">
        <v>94</v>
      </c>
      <c r="F304" s="21">
        <v>1</v>
      </c>
      <c r="G304" s="21" t="s">
        <v>95</v>
      </c>
      <c r="H304" s="21" t="s">
        <v>95</v>
      </c>
      <c r="I304" s="23">
        <v>0</v>
      </c>
      <c r="J304" s="22" t="s">
        <v>96</v>
      </c>
    </row>
    <row r="305" spans="1:10" ht="25.5" customHeight="1" x14ac:dyDescent="0.25">
      <c r="A305" s="25" t="s">
        <v>459</v>
      </c>
      <c r="B305" s="25" t="s">
        <v>158</v>
      </c>
      <c r="C305" s="25" t="s">
        <v>159</v>
      </c>
      <c r="D305" s="25" t="s">
        <v>363</v>
      </c>
      <c r="E305" s="24" t="s">
        <v>94</v>
      </c>
      <c r="F305" s="26">
        <v>1</v>
      </c>
      <c r="G305" s="27">
        <f>ПАРАМЕТРЫ!B27</f>
        <v>36.68</v>
      </c>
      <c r="H305" s="28">
        <f>ПАРАМЕТРЫ!D27</f>
        <v>8634.8387999999995</v>
      </c>
      <c r="I305" s="28">
        <f>F305*H305</f>
        <v>8634.8387999999995</v>
      </c>
      <c r="J305" s="25"/>
    </row>
    <row r="306" spans="1:10" ht="25.5" customHeight="1" x14ac:dyDescent="0.25">
      <c r="A306" s="30" t="s">
        <v>460</v>
      </c>
      <c r="B306" s="30" t="s">
        <v>140</v>
      </c>
      <c r="C306" s="30" t="s">
        <v>141</v>
      </c>
      <c r="D306" s="30" t="s">
        <v>363</v>
      </c>
      <c r="E306" s="29" t="s">
        <v>94</v>
      </c>
      <c r="F306" s="26">
        <v>3</v>
      </c>
      <c r="G306" s="31">
        <f>ПАРАМЕТРЫ!B12</f>
        <v>10.77</v>
      </c>
      <c r="H306" s="32">
        <f>ПАРАМЕТРЫ!D12</f>
        <v>2535.3656999999998</v>
      </c>
      <c r="I306" s="32">
        <f>F306*H306</f>
        <v>7606.097099999999</v>
      </c>
      <c r="J306" s="30"/>
    </row>
    <row r="307" spans="1:10" ht="25.5" customHeight="1" x14ac:dyDescent="0.25">
      <c r="A307" s="38" t="s">
        <v>461</v>
      </c>
      <c r="B307" s="38" t="s">
        <v>129</v>
      </c>
      <c r="C307" s="38"/>
      <c r="D307" s="38" t="s">
        <v>363</v>
      </c>
      <c r="E307" s="37" t="s">
        <v>130</v>
      </c>
      <c r="F307" s="37">
        <v>1</v>
      </c>
      <c r="G307" s="37" t="s">
        <v>95</v>
      </c>
      <c r="H307" s="39" t="str">
        <f>ПАРАМЕТРЫ!B6&amp;"%"</f>
        <v>12%</v>
      </c>
      <c r="I307" s="40">
        <f>(I305+I306)*ПАРАМЕТРЫ!B6/100</f>
        <v>1948.9123079999999</v>
      </c>
      <c r="J307" s="38" t="s">
        <v>11</v>
      </c>
    </row>
    <row r="308" spans="1:10" ht="25.5" customHeight="1" thickBot="1" x14ac:dyDescent="0.3">
      <c r="A308" s="42" t="s">
        <v>462</v>
      </c>
      <c r="B308" s="42" t="s">
        <v>132</v>
      </c>
      <c r="C308" s="42"/>
      <c r="D308" s="42" t="s">
        <v>363</v>
      </c>
      <c r="E308" s="41" t="s">
        <v>130</v>
      </c>
      <c r="F308" s="41">
        <v>1</v>
      </c>
      <c r="G308" s="41" t="s">
        <v>95</v>
      </c>
      <c r="H308" s="43" t="str">
        <f>ПАРАМЕТРЫ!B7&amp;"%"</f>
        <v>15%</v>
      </c>
      <c r="I308" s="44">
        <f>(I305+I306)*ПАРАМЕТРЫ!B7/100</f>
        <v>2436.1403849999997</v>
      </c>
      <c r="J308" s="42" t="s">
        <v>11</v>
      </c>
    </row>
    <row r="309" spans="1:10" ht="25.5" customHeight="1" thickBot="1" x14ac:dyDescent="0.3">
      <c r="A309" s="45" t="s">
        <v>463</v>
      </c>
      <c r="B309" s="45"/>
      <c r="C309" s="45"/>
      <c r="D309" s="45"/>
      <c r="E309" s="45"/>
      <c r="F309" s="45"/>
      <c r="G309" s="45"/>
      <c r="H309" s="45"/>
      <c r="I309" s="46">
        <f>I305+I306+I307+I308</f>
        <v>20625.988592999998</v>
      </c>
      <c r="J309" s="45"/>
    </row>
    <row r="310" spans="1:10" ht="25.5" customHeight="1" thickBot="1" x14ac:dyDescent="0.3">
      <c r="A310" s="59" t="s">
        <v>464</v>
      </c>
      <c r="B310" s="59" t="str">
        <f>A310</f>
        <v>КОМПЛЕКТ 35.  МЗ-ЩОА-0.2  |  Альбом 7.1 ЭО (Музей)</v>
      </c>
      <c r="C310" s="2"/>
      <c r="D310" s="2"/>
      <c r="E310" s="2"/>
      <c r="F310" s="2"/>
      <c r="G310" s="2"/>
      <c r="H310" s="2"/>
      <c r="I310" s="2"/>
      <c r="J310" s="2"/>
    </row>
    <row r="311" spans="1:10" ht="25.5" customHeight="1" x14ac:dyDescent="0.25">
      <c r="A311" s="22" t="s">
        <v>465</v>
      </c>
      <c r="B311" s="22" t="s">
        <v>136</v>
      </c>
      <c r="C311" s="22" t="s">
        <v>92</v>
      </c>
      <c r="D311" s="22" t="s">
        <v>363</v>
      </c>
      <c r="E311" s="21" t="s">
        <v>94</v>
      </c>
      <c r="F311" s="21">
        <v>1</v>
      </c>
      <c r="G311" s="21" t="s">
        <v>95</v>
      </c>
      <c r="H311" s="21" t="s">
        <v>95</v>
      </c>
      <c r="I311" s="23">
        <v>0</v>
      </c>
      <c r="J311" s="22" t="s">
        <v>96</v>
      </c>
    </row>
    <row r="312" spans="1:10" ht="25.5" customHeight="1" x14ac:dyDescent="0.25">
      <c r="A312" s="25" t="s">
        <v>466</v>
      </c>
      <c r="B312" s="25" t="s">
        <v>158</v>
      </c>
      <c r="C312" s="25" t="s">
        <v>159</v>
      </c>
      <c r="D312" s="25" t="s">
        <v>363</v>
      </c>
      <c r="E312" s="24" t="s">
        <v>94</v>
      </c>
      <c r="F312" s="26">
        <v>1</v>
      </c>
      <c r="G312" s="27">
        <f>ПАРАМЕТРЫ!B27</f>
        <v>36.68</v>
      </c>
      <c r="H312" s="28">
        <f>ПАРАМЕТРЫ!D27</f>
        <v>8634.8387999999995</v>
      </c>
      <c r="I312" s="28">
        <f>F312*H312</f>
        <v>8634.8387999999995</v>
      </c>
      <c r="J312" s="25"/>
    </row>
    <row r="313" spans="1:10" ht="25.5" customHeight="1" x14ac:dyDescent="0.25">
      <c r="A313" s="30" t="s">
        <v>467</v>
      </c>
      <c r="B313" s="30" t="s">
        <v>140</v>
      </c>
      <c r="C313" s="30" t="s">
        <v>141</v>
      </c>
      <c r="D313" s="30" t="s">
        <v>363</v>
      </c>
      <c r="E313" s="29" t="s">
        <v>94</v>
      </c>
      <c r="F313" s="26">
        <v>3</v>
      </c>
      <c r="G313" s="31">
        <f>ПАРАМЕТРЫ!B12</f>
        <v>10.77</v>
      </c>
      <c r="H313" s="32">
        <f>ПАРАМЕТРЫ!D12</f>
        <v>2535.3656999999998</v>
      </c>
      <c r="I313" s="32">
        <f>F313*H313</f>
        <v>7606.097099999999</v>
      </c>
      <c r="J313" s="30"/>
    </row>
    <row r="314" spans="1:10" ht="25.5" customHeight="1" x14ac:dyDescent="0.25">
      <c r="A314" s="38" t="s">
        <v>468</v>
      </c>
      <c r="B314" s="38" t="s">
        <v>129</v>
      </c>
      <c r="C314" s="38"/>
      <c r="D314" s="38" t="s">
        <v>363</v>
      </c>
      <c r="E314" s="37" t="s">
        <v>130</v>
      </c>
      <c r="F314" s="37">
        <v>1</v>
      </c>
      <c r="G314" s="37" t="s">
        <v>95</v>
      </c>
      <c r="H314" s="39" t="str">
        <f>ПАРАМЕТРЫ!B6&amp;"%"</f>
        <v>12%</v>
      </c>
      <c r="I314" s="40">
        <f>(I312+I313)*ПАРАМЕТРЫ!B6/100</f>
        <v>1948.9123079999999</v>
      </c>
      <c r="J314" s="38" t="s">
        <v>11</v>
      </c>
    </row>
    <row r="315" spans="1:10" ht="25.5" customHeight="1" thickBot="1" x14ac:dyDescent="0.3">
      <c r="A315" s="42" t="s">
        <v>469</v>
      </c>
      <c r="B315" s="42" t="s">
        <v>132</v>
      </c>
      <c r="C315" s="42"/>
      <c r="D315" s="42" t="s">
        <v>363</v>
      </c>
      <c r="E315" s="41" t="s">
        <v>130</v>
      </c>
      <c r="F315" s="41">
        <v>1</v>
      </c>
      <c r="G315" s="41" t="s">
        <v>95</v>
      </c>
      <c r="H315" s="43" t="str">
        <f>ПАРАМЕТРЫ!B7&amp;"%"</f>
        <v>15%</v>
      </c>
      <c r="I315" s="44">
        <f>(I312+I313)*ПАРАМЕТРЫ!B7/100</f>
        <v>2436.1403849999997</v>
      </c>
      <c r="J315" s="42" t="s">
        <v>11</v>
      </c>
    </row>
    <row r="316" spans="1:10" ht="25.5" customHeight="1" thickBot="1" x14ac:dyDescent="0.3">
      <c r="A316" s="45" t="s">
        <v>470</v>
      </c>
      <c r="B316" s="45"/>
      <c r="C316" s="45"/>
      <c r="D316" s="45"/>
      <c r="E316" s="45"/>
      <c r="F316" s="45"/>
      <c r="G316" s="45"/>
      <c r="H316" s="45"/>
      <c r="I316" s="46">
        <f>I312+I313+I314+I315</f>
        <v>20625.988592999998</v>
      </c>
      <c r="J316" s="45"/>
    </row>
    <row r="317" spans="1:10" ht="25.5" customHeight="1" thickBot="1" x14ac:dyDescent="0.3">
      <c r="A317" s="59" t="s">
        <v>471</v>
      </c>
      <c r="B317" s="59" t="str">
        <f>A317</f>
        <v>КОМПЛЕКТ 36.  МЗ-ЩОА-1.1  |  Альбом 7.1 ЭО (Музей)</v>
      </c>
      <c r="C317" s="2"/>
      <c r="D317" s="2"/>
      <c r="E317" s="2"/>
      <c r="F317" s="2"/>
      <c r="G317" s="2"/>
      <c r="H317" s="2"/>
      <c r="I317" s="2"/>
      <c r="J317" s="2"/>
    </row>
    <row r="318" spans="1:10" ht="25.5" customHeight="1" x14ac:dyDescent="0.25">
      <c r="A318" s="22" t="s">
        <v>472</v>
      </c>
      <c r="B318" s="22" t="s">
        <v>136</v>
      </c>
      <c r="C318" s="22" t="s">
        <v>92</v>
      </c>
      <c r="D318" s="22" t="s">
        <v>363</v>
      </c>
      <c r="E318" s="21" t="s">
        <v>94</v>
      </c>
      <c r="F318" s="21">
        <v>1</v>
      </c>
      <c r="G318" s="21" t="s">
        <v>95</v>
      </c>
      <c r="H318" s="21" t="s">
        <v>95</v>
      </c>
      <c r="I318" s="23">
        <v>0</v>
      </c>
      <c r="J318" s="22" t="s">
        <v>96</v>
      </c>
    </row>
    <row r="319" spans="1:10" ht="25.5" customHeight="1" x14ac:dyDescent="0.25">
      <c r="A319" s="25" t="s">
        <v>473</v>
      </c>
      <c r="B319" s="25" t="s">
        <v>158</v>
      </c>
      <c r="C319" s="25" t="s">
        <v>159</v>
      </c>
      <c r="D319" s="25" t="s">
        <v>363</v>
      </c>
      <c r="E319" s="24" t="s">
        <v>94</v>
      </c>
      <c r="F319" s="26">
        <v>1</v>
      </c>
      <c r="G319" s="27">
        <f>ПАРАМЕТРЫ!B27</f>
        <v>36.68</v>
      </c>
      <c r="H319" s="28">
        <f>ПАРАМЕТРЫ!D27</f>
        <v>8634.8387999999995</v>
      </c>
      <c r="I319" s="28">
        <f>F319*H319</f>
        <v>8634.8387999999995</v>
      </c>
      <c r="J319" s="25"/>
    </row>
    <row r="320" spans="1:10" ht="25.5" customHeight="1" x14ac:dyDescent="0.25">
      <c r="A320" s="30" t="s">
        <v>474</v>
      </c>
      <c r="B320" s="30" t="s">
        <v>140</v>
      </c>
      <c r="C320" s="30" t="s">
        <v>141</v>
      </c>
      <c r="D320" s="30" t="s">
        <v>363</v>
      </c>
      <c r="E320" s="29" t="s">
        <v>94</v>
      </c>
      <c r="F320" s="26">
        <v>4</v>
      </c>
      <c r="G320" s="31">
        <f>ПАРАМЕТРЫ!B12</f>
        <v>10.77</v>
      </c>
      <c r="H320" s="32">
        <f>ПАРАМЕТРЫ!D12</f>
        <v>2535.3656999999998</v>
      </c>
      <c r="I320" s="32">
        <f>F320*H320</f>
        <v>10141.462799999999</v>
      </c>
      <c r="J320" s="30"/>
    </row>
    <row r="321" spans="1:10" ht="25.5" customHeight="1" x14ac:dyDescent="0.25">
      <c r="A321" s="38" t="s">
        <v>475</v>
      </c>
      <c r="B321" s="38" t="s">
        <v>129</v>
      </c>
      <c r="C321" s="38"/>
      <c r="D321" s="38" t="s">
        <v>363</v>
      </c>
      <c r="E321" s="37" t="s">
        <v>130</v>
      </c>
      <c r="F321" s="37">
        <v>1</v>
      </c>
      <c r="G321" s="37" t="s">
        <v>95</v>
      </c>
      <c r="H321" s="39" t="str">
        <f>ПАРАМЕТРЫ!B6&amp;"%"</f>
        <v>12%</v>
      </c>
      <c r="I321" s="40">
        <f>(I319+I320)*ПАРАМЕТРЫ!B6/100</f>
        <v>2253.1561919999999</v>
      </c>
      <c r="J321" s="38" t="s">
        <v>11</v>
      </c>
    </row>
    <row r="322" spans="1:10" ht="25.5" customHeight="1" thickBot="1" x14ac:dyDescent="0.3">
      <c r="A322" s="42" t="s">
        <v>476</v>
      </c>
      <c r="B322" s="42" t="s">
        <v>132</v>
      </c>
      <c r="C322" s="42"/>
      <c r="D322" s="42" t="s">
        <v>363</v>
      </c>
      <c r="E322" s="41" t="s">
        <v>130</v>
      </c>
      <c r="F322" s="41">
        <v>1</v>
      </c>
      <c r="G322" s="41" t="s">
        <v>95</v>
      </c>
      <c r="H322" s="43" t="str">
        <f>ПАРАМЕТРЫ!B7&amp;"%"</f>
        <v>15%</v>
      </c>
      <c r="I322" s="44">
        <f>(I319+I320)*ПАРАМЕТРЫ!B7/100</f>
        <v>2816.4452399999996</v>
      </c>
      <c r="J322" s="42" t="s">
        <v>11</v>
      </c>
    </row>
    <row r="323" spans="1:10" ht="25.5" customHeight="1" thickBot="1" x14ac:dyDescent="0.3">
      <c r="A323" s="45" t="s">
        <v>477</v>
      </c>
      <c r="B323" s="45"/>
      <c r="C323" s="45"/>
      <c r="D323" s="45"/>
      <c r="E323" s="45"/>
      <c r="F323" s="45"/>
      <c r="G323" s="45"/>
      <c r="H323" s="45"/>
      <c r="I323" s="46">
        <f>I319+I320+I321+I322</f>
        <v>23845.903031999998</v>
      </c>
      <c r="J323" s="45"/>
    </row>
    <row r="324" spans="1:10" ht="25.5" customHeight="1" thickBot="1" x14ac:dyDescent="0.3">
      <c r="A324" s="59" t="s">
        <v>478</v>
      </c>
      <c r="B324" s="59" t="str">
        <f>A324</f>
        <v>КОМПЛЕКТ 37.  МЗ-ЩОА-1.2  |  Альбом 7.1 ЭО (Музей)</v>
      </c>
      <c r="C324" s="2"/>
      <c r="D324" s="2"/>
      <c r="E324" s="2"/>
      <c r="F324" s="2"/>
      <c r="G324" s="2"/>
      <c r="H324" s="2"/>
      <c r="I324" s="2"/>
      <c r="J324" s="2"/>
    </row>
    <row r="325" spans="1:10" ht="25.5" customHeight="1" x14ac:dyDescent="0.25">
      <c r="A325" s="22" t="s">
        <v>479</v>
      </c>
      <c r="B325" s="22" t="s">
        <v>136</v>
      </c>
      <c r="C325" s="22" t="s">
        <v>92</v>
      </c>
      <c r="D325" s="22" t="s">
        <v>363</v>
      </c>
      <c r="E325" s="21" t="s">
        <v>94</v>
      </c>
      <c r="F325" s="21">
        <v>1</v>
      </c>
      <c r="G325" s="21" t="s">
        <v>95</v>
      </c>
      <c r="H325" s="21" t="s">
        <v>95</v>
      </c>
      <c r="I325" s="23">
        <v>0</v>
      </c>
      <c r="J325" s="22" t="s">
        <v>96</v>
      </c>
    </row>
    <row r="326" spans="1:10" ht="25.5" customHeight="1" x14ac:dyDescent="0.25">
      <c r="A326" s="25" t="s">
        <v>480</v>
      </c>
      <c r="B326" s="25" t="s">
        <v>158</v>
      </c>
      <c r="C326" s="25" t="s">
        <v>159</v>
      </c>
      <c r="D326" s="25" t="s">
        <v>363</v>
      </c>
      <c r="E326" s="24" t="s">
        <v>94</v>
      </c>
      <c r="F326" s="26">
        <v>1</v>
      </c>
      <c r="G326" s="27">
        <f>ПАРАМЕТРЫ!B27</f>
        <v>36.68</v>
      </c>
      <c r="H326" s="28">
        <f>ПАРАМЕТРЫ!D27</f>
        <v>8634.8387999999995</v>
      </c>
      <c r="I326" s="28">
        <f>F326*H326</f>
        <v>8634.8387999999995</v>
      </c>
      <c r="J326" s="25"/>
    </row>
    <row r="327" spans="1:10" ht="25.5" customHeight="1" x14ac:dyDescent="0.25">
      <c r="A327" s="30" t="s">
        <v>481</v>
      </c>
      <c r="B327" s="30" t="s">
        <v>140</v>
      </c>
      <c r="C327" s="30" t="s">
        <v>141</v>
      </c>
      <c r="D327" s="30" t="s">
        <v>363</v>
      </c>
      <c r="E327" s="29" t="s">
        <v>94</v>
      </c>
      <c r="F327" s="26">
        <v>3</v>
      </c>
      <c r="G327" s="31">
        <f>ПАРАМЕТРЫ!B12</f>
        <v>10.77</v>
      </c>
      <c r="H327" s="32">
        <f>ПАРАМЕТРЫ!D12</f>
        <v>2535.3656999999998</v>
      </c>
      <c r="I327" s="32">
        <f>F327*H327</f>
        <v>7606.097099999999</v>
      </c>
      <c r="J327" s="30"/>
    </row>
    <row r="328" spans="1:10" ht="25.5" customHeight="1" x14ac:dyDescent="0.25">
      <c r="A328" s="38" t="s">
        <v>482</v>
      </c>
      <c r="B328" s="38" t="s">
        <v>129</v>
      </c>
      <c r="C328" s="38"/>
      <c r="D328" s="38" t="s">
        <v>363</v>
      </c>
      <c r="E328" s="37" t="s">
        <v>130</v>
      </c>
      <c r="F328" s="37">
        <v>1</v>
      </c>
      <c r="G328" s="37" t="s">
        <v>95</v>
      </c>
      <c r="H328" s="39" t="str">
        <f>ПАРАМЕТРЫ!B6&amp;"%"</f>
        <v>12%</v>
      </c>
      <c r="I328" s="40">
        <f>(I326+I327)*ПАРАМЕТРЫ!B6/100</f>
        <v>1948.9123079999999</v>
      </c>
      <c r="J328" s="38" t="s">
        <v>11</v>
      </c>
    </row>
    <row r="329" spans="1:10" ht="25.5" customHeight="1" thickBot="1" x14ac:dyDescent="0.3">
      <c r="A329" s="42" t="s">
        <v>483</v>
      </c>
      <c r="B329" s="42" t="s">
        <v>132</v>
      </c>
      <c r="C329" s="42"/>
      <c r="D329" s="42" t="s">
        <v>363</v>
      </c>
      <c r="E329" s="41" t="s">
        <v>130</v>
      </c>
      <c r="F329" s="41">
        <v>1</v>
      </c>
      <c r="G329" s="41" t="s">
        <v>95</v>
      </c>
      <c r="H329" s="43" t="str">
        <f>ПАРАМЕТРЫ!B7&amp;"%"</f>
        <v>15%</v>
      </c>
      <c r="I329" s="44">
        <f>(I326+I327)*ПАРАМЕТРЫ!B7/100</f>
        <v>2436.1403849999997</v>
      </c>
      <c r="J329" s="42" t="s">
        <v>11</v>
      </c>
    </row>
    <row r="330" spans="1:10" ht="25.5" customHeight="1" thickBot="1" x14ac:dyDescent="0.3">
      <c r="A330" s="45" t="s">
        <v>484</v>
      </c>
      <c r="B330" s="45"/>
      <c r="C330" s="45"/>
      <c r="D330" s="45"/>
      <c r="E330" s="45"/>
      <c r="F330" s="45"/>
      <c r="G330" s="45"/>
      <c r="H330" s="45"/>
      <c r="I330" s="46">
        <f>I326+I327+I328+I329</f>
        <v>20625.988592999998</v>
      </c>
      <c r="J330" s="45"/>
    </row>
    <row r="331" spans="1:10" ht="25.5" customHeight="1" thickBot="1" x14ac:dyDescent="0.3">
      <c r="A331" s="59" t="s">
        <v>485</v>
      </c>
      <c r="B331" s="59" t="str">
        <f>A331</f>
        <v>КОМПЛЕКТ 38.  МЗ-ЩОА-2.1  |  Альбом 7.1 ЭО (Музей)</v>
      </c>
      <c r="C331" s="2"/>
      <c r="D331" s="2"/>
      <c r="E331" s="2"/>
      <c r="F331" s="2"/>
      <c r="G331" s="2"/>
      <c r="H331" s="2"/>
      <c r="I331" s="2"/>
      <c r="J331" s="2"/>
    </row>
    <row r="332" spans="1:10" ht="25.5" customHeight="1" x14ac:dyDescent="0.25">
      <c r="A332" s="22" t="s">
        <v>486</v>
      </c>
      <c r="B332" s="22" t="s">
        <v>136</v>
      </c>
      <c r="C332" s="22" t="s">
        <v>92</v>
      </c>
      <c r="D332" s="22" t="s">
        <v>363</v>
      </c>
      <c r="E332" s="21" t="s">
        <v>94</v>
      </c>
      <c r="F332" s="21">
        <v>1</v>
      </c>
      <c r="G332" s="21" t="s">
        <v>95</v>
      </c>
      <c r="H332" s="21" t="s">
        <v>95</v>
      </c>
      <c r="I332" s="23">
        <v>0</v>
      </c>
      <c r="J332" s="22" t="s">
        <v>96</v>
      </c>
    </row>
    <row r="333" spans="1:10" ht="25.5" customHeight="1" x14ac:dyDescent="0.25">
      <c r="A333" s="25" t="s">
        <v>487</v>
      </c>
      <c r="B333" s="25" t="s">
        <v>158</v>
      </c>
      <c r="C333" s="25" t="s">
        <v>159</v>
      </c>
      <c r="D333" s="25" t="s">
        <v>363</v>
      </c>
      <c r="E333" s="24" t="s">
        <v>94</v>
      </c>
      <c r="F333" s="26">
        <v>1</v>
      </c>
      <c r="G333" s="27">
        <f>ПАРАМЕТРЫ!B27</f>
        <v>36.68</v>
      </c>
      <c r="H333" s="28">
        <f>ПАРАМЕТРЫ!D27</f>
        <v>8634.8387999999995</v>
      </c>
      <c r="I333" s="28">
        <f>F333*H333</f>
        <v>8634.8387999999995</v>
      </c>
      <c r="J333" s="25"/>
    </row>
    <row r="334" spans="1:10" ht="25.5" customHeight="1" x14ac:dyDescent="0.25">
      <c r="A334" s="30" t="s">
        <v>488</v>
      </c>
      <c r="B334" s="30" t="s">
        <v>140</v>
      </c>
      <c r="C334" s="30" t="s">
        <v>141</v>
      </c>
      <c r="D334" s="30" t="s">
        <v>363</v>
      </c>
      <c r="E334" s="29" t="s">
        <v>94</v>
      </c>
      <c r="F334" s="26">
        <v>4</v>
      </c>
      <c r="G334" s="31">
        <f>ПАРАМЕТРЫ!B12</f>
        <v>10.77</v>
      </c>
      <c r="H334" s="32">
        <f>ПАРАМЕТРЫ!D12</f>
        <v>2535.3656999999998</v>
      </c>
      <c r="I334" s="32">
        <f>F334*H334</f>
        <v>10141.462799999999</v>
      </c>
      <c r="J334" s="30"/>
    </row>
    <row r="335" spans="1:10" ht="25.5" customHeight="1" x14ac:dyDescent="0.25">
      <c r="A335" s="38" t="s">
        <v>489</v>
      </c>
      <c r="B335" s="38" t="s">
        <v>129</v>
      </c>
      <c r="C335" s="38"/>
      <c r="D335" s="38" t="s">
        <v>363</v>
      </c>
      <c r="E335" s="37" t="s">
        <v>130</v>
      </c>
      <c r="F335" s="37">
        <v>1</v>
      </c>
      <c r="G335" s="37" t="s">
        <v>95</v>
      </c>
      <c r="H335" s="39" t="str">
        <f>ПАРАМЕТРЫ!B6&amp;"%"</f>
        <v>12%</v>
      </c>
      <c r="I335" s="40">
        <f>(I333+I334)*ПАРАМЕТРЫ!B6/100</f>
        <v>2253.1561919999999</v>
      </c>
      <c r="J335" s="38" t="s">
        <v>11</v>
      </c>
    </row>
    <row r="336" spans="1:10" ht="25.5" customHeight="1" thickBot="1" x14ac:dyDescent="0.3">
      <c r="A336" s="42" t="s">
        <v>490</v>
      </c>
      <c r="B336" s="42" t="s">
        <v>132</v>
      </c>
      <c r="C336" s="42"/>
      <c r="D336" s="42" t="s">
        <v>363</v>
      </c>
      <c r="E336" s="41" t="s">
        <v>130</v>
      </c>
      <c r="F336" s="41">
        <v>1</v>
      </c>
      <c r="G336" s="41" t="s">
        <v>95</v>
      </c>
      <c r="H336" s="43" t="str">
        <f>ПАРАМЕТРЫ!B7&amp;"%"</f>
        <v>15%</v>
      </c>
      <c r="I336" s="44">
        <f>(I333+I334)*ПАРАМЕТРЫ!B7/100</f>
        <v>2816.4452399999996</v>
      </c>
      <c r="J336" s="42" t="s">
        <v>11</v>
      </c>
    </row>
    <row r="337" spans="1:10" ht="25.5" customHeight="1" thickBot="1" x14ac:dyDescent="0.3">
      <c r="A337" s="45" t="s">
        <v>491</v>
      </c>
      <c r="B337" s="45"/>
      <c r="C337" s="45"/>
      <c r="D337" s="45"/>
      <c r="E337" s="45"/>
      <c r="F337" s="45"/>
      <c r="G337" s="45"/>
      <c r="H337" s="45"/>
      <c r="I337" s="46">
        <f>I333+I334+I335+I336</f>
        <v>23845.903031999998</v>
      </c>
      <c r="J337" s="45"/>
    </row>
    <row r="338" spans="1:10" ht="25.5" customHeight="1" thickBot="1" x14ac:dyDescent="0.3">
      <c r="A338" s="59" t="s">
        <v>492</v>
      </c>
      <c r="B338" s="59" t="str">
        <f>A338</f>
        <v>КОМПЛЕКТ 39.  МЗ-ЩОА-2.2  |  Альбом 7.1 ЭО (Музей)</v>
      </c>
      <c r="C338" s="2"/>
      <c r="D338" s="2"/>
      <c r="E338" s="2"/>
      <c r="F338" s="2"/>
      <c r="G338" s="2"/>
      <c r="H338" s="2"/>
      <c r="I338" s="2"/>
      <c r="J338" s="2"/>
    </row>
    <row r="339" spans="1:10" ht="25.5" customHeight="1" x14ac:dyDescent="0.25">
      <c r="A339" s="22" t="s">
        <v>493</v>
      </c>
      <c r="B339" s="22" t="s">
        <v>136</v>
      </c>
      <c r="C339" s="22" t="s">
        <v>92</v>
      </c>
      <c r="D339" s="22" t="s">
        <v>363</v>
      </c>
      <c r="E339" s="21" t="s">
        <v>94</v>
      </c>
      <c r="F339" s="21">
        <v>1</v>
      </c>
      <c r="G339" s="21" t="s">
        <v>95</v>
      </c>
      <c r="H339" s="21" t="s">
        <v>95</v>
      </c>
      <c r="I339" s="23">
        <v>0</v>
      </c>
      <c r="J339" s="22" t="s">
        <v>96</v>
      </c>
    </row>
    <row r="340" spans="1:10" ht="25.5" customHeight="1" x14ac:dyDescent="0.25">
      <c r="A340" s="25" t="s">
        <v>494</v>
      </c>
      <c r="B340" s="25" t="s">
        <v>158</v>
      </c>
      <c r="C340" s="25" t="s">
        <v>159</v>
      </c>
      <c r="D340" s="25" t="s">
        <v>363</v>
      </c>
      <c r="E340" s="24" t="s">
        <v>94</v>
      </c>
      <c r="F340" s="26">
        <v>1</v>
      </c>
      <c r="G340" s="27">
        <f>ПАРАМЕТРЫ!B27</f>
        <v>36.68</v>
      </c>
      <c r="H340" s="28">
        <f>ПАРАМЕТРЫ!D27</f>
        <v>8634.8387999999995</v>
      </c>
      <c r="I340" s="28">
        <f>F340*H340</f>
        <v>8634.8387999999995</v>
      </c>
      <c r="J340" s="25"/>
    </row>
    <row r="341" spans="1:10" ht="25.5" customHeight="1" x14ac:dyDescent="0.25">
      <c r="A341" s="30" t="s">
        <v>495</v>
      </c>
      <c r="B341" s="30" t="s">
        <v>140</v>
      </c>
      <c r="C341" s="30" t="s">
        <v>141</v>
      </c>
      <c r="D341" s="30" t="s">
        <v>363</v>
      </c>
      <c r="E341" s="29" t="s">
        <v>94</v>
      </c>
      <c r="F341" s="26">
        <v>3</v>
      </c>
      <c r="G341" s="31">
        <f>ПАРАМЕТРЫ!B12</f>
        <v>10.77</v>
      </c>
      <c r="H341" s="32">
        <f>ПАРАМЕТРЫ!D12</f>
        <v>2535.3656999999998</v>
      </c>
      <c r="I341" s="32">
        <f>F341*H341</f>
        <v>7606.097099999999</v>
      </c>
      <c r="J341" s="30"/>
    </row>
    <row r="342" spans="1:10" ht="25.5" customHeight="1" x14ac:dyDescent="0.25">
      <c r="A342" s="38" t="s">
        <v>496</v>
      </c>
      <c r="B342" s="38" t="s">
        <v>129</v>
      </c>
      <c r="C342" s="38"/>
      <c r="D342" s="38" t="s">
        <v>363</v>
      </c>
      <c r="E342" s="37" t="s">
        <v>130</v>
      </c>
      <c r="F342" s="37">
        <v>1</v>
      </c>
      <c r="G342" s="37" t="s">
        <v>95</v>
      </c>
      <c r="H342" s="39" t="str">
        <f>ПАРАМЕТРЫ!B6&amp;"%"</f>
        <v>12%</v>
      </c>
      <c r="I342" s="40">
        <f>(I340+I341)*ПАРАМЕТРЫ!B6/100</f>
        <v>1948.9123079999999</v>
      </c>
      <c r="J342" s="38" t="s">
        <v>11</v>
      </c>
    </row>
    <row r="343" spans="1:10" ht="25.5" customHeight="1" thickBot="1" x14ac:dyDescent="0.3">
      <c r="A343" s="42" t="s">
        <v>497</v>
      </c>
      <c r="B343" s="42" t="s">
        <v>132</v>
      </c>
      <c r="C343" s="42"/>
      <c r="D343" s="42" t="s">
        <v>363</v>
      </c>
      <c r="E343" s="41" t="s">
        <v>130</v>
      </c>
      <c r="F343" s="41">
        <v>1</v>
      </c>
      <c r="G343" s="41" t="s">
        <v>95</v>
      </c>
      <c r="H343" s="43" t="str">
        <f>ПАРАМЕТРЫ!B7&amp;"%"</f>
        <v>15%</v>
      </c>
      <c r="I343" s="44">
        <f>(I340+I341)*ПАРАМЕТРЫ!B7/100</f>
        <v>2436.1403849999997</v>
      </c>
      <c r="J343" s="42" t="s">
        <v>11</v>
      </c>
    </row>
    <row r="344" spans="1:10" ht="25.5" customHeight="1" thickBot="1" x14ac:dyDescent="0.3">
      <c r="A344" s="45" t="s">
        <v>498</v>
      </c>
      <c r="B344" s="45"/>
      <c r="C344" s="45"/>
      <c r="D344" s="45"/>
      <c r="E344" s="45"/>
      <c r="F344" s="45"/>
      <c r="G344" s="45"/>
      <c r="H344" s="45"/>
      <c r="I344" s="46">
        <f>I340+I341+I342+I343</f>
        <v>20625.988592999998</v>
      </c>
      <c r="J344" s="45"/>
    </row>
    <row r="345" spans="1:10" ht="25.5" customHeight="1" thickBot="1" x14ac:dyDescent="0.3">
      <c r="A345" s="59" t="s">
        <v>499</v>
      </c>
      <c r="B345" s="59" t="str">
        <f>A345</f>
        <v>КОМПЛЕКТ 40.  МЗ-ЩОА-3.1  |  Альбом 7.1 ЭО (Музей)</v>
      </c>
      <c r="C345" s="2"/>
      <c r="D345" s="2"/>
      <c r="E345" s="2"/>
      <c r="F345" s="2"/>
      <c r="G345" s="2"/>
      <c r="H345" s="2"/>
      <c r="I345" s="2"/>
      <c r="J345" s="2"/>
    </row>
    <row r="346" spans="1:10" ht="25.5" customHeight="1" x14ac:dyDescent="0.25">
      <c r="A346" s="22" t="s">
        <v>500</v>
      </c>
      <c r="B346" s="22" t="s">
        <v>136</v>
      </c>
      <c r="C346" s="22" t="s">
        <v>92</v>
      </c>
      <c r="D346" s="22" t="s">
        <v>363</v>
      </c>
      <c r="E346" s="21" t="s">
        <v>94</v>
      </c>
      <c r="F346" s="21">
        <v>1</v>
      </c>
      <c r="G346" s="21" t="s">
        <v>95</v>
      </c>
      <c r="H346" s="21" t="s">
        <v>95</v>
      </c>
      <c r="I346" s="23">
        <v>0</v>
      </c>
      <c r="J346" s="22" t="s">
        <v>96</v>
      </c>
    </row>
    <row r="347" spans="1:10" ht="25.5" customHeight="1" x14ac:dyDescent="0.25">
      <c r="A347" s="25" t="s">
        <v>501</v>
      </c>
      <c r="B347" s="25" t="s">
        <v>158</v>
      </c>
      <c r="C347" s="25" t="s">
        <v>159</v>
      </c>
      <c r="D347" s="25" t="s">
        <v>363</v>
      </c>
      <c r="E347" s="24" t="s">
        <v>94</v>
      </c>
      <c r="F347" s="26">
        <v>1</v>
      </c>
      <c r="G347" s="27">
        <f>ПАРАМЕТРЫ!B27</f>
        <v>36.68</v>
      </c>
      <c r="H347" s="28">
        <f>ПАРАМЕТРЫ!D27</f>
        <v>8634.8387999999995</v>
      </c>
      <c r="I347" s="28">
        <f>F347*H347</f>
        <v>8634.8387999999995</v>
      </c>
      <c r="J347" s="25"/>
    </row>
    <row r="348" spans="1:10" ht="25.5" customHeight="1" x14ac:dyDescent="0.25">
      <c r="A348" s="30" t="s">
        <v>502</v>
      </c>
      <c r="B348" s="30" t="s">
        <v>140</v>
      </c>
      <c r="C348" s="30" t="s">
        <v>141</v>
      </c>
      <c r="D348" s="30" t="s">
        <v>363</v>
      </c>
      <c r="E348" s="29" t="s">
        <v>94</v>
      </c>
      <c r="F348" s="26">
        <v>3</v>
      </c>
      <c r="G348" s="31">
        <f>ПАРАМЕТРЫ!B12</f>
        <v>10.77</v>
      </c>
      <c r="H348" s="32">
        <f>ПАРАМЕТРЫ!D12</f>
        <v>2535.3656999999998</v>
      </c>
      <c r="I348" s="32">
        <f>F348*H348</f>
        <v>7606.097099999999</v>
      </c>
      <c r="J348" s="30"/>
    </row>
    <row r="349" spans="1:10" ht="25.5" customHeight="1" x14ac:dyDescent="0.25">
      <c r="A349" s="38" t="s">
        <v>503</v>
      </c>
      <c r="B349" s="38" t="s">
        <v>129</v>
      </c>
      <c r="C349" s="38"/>
      <c r="D349" s="38" t="s">
        <v>363</v>
      </c>
      <c r="E349" s="37" t="s">
        <v>130</v>
      </c>
      <c r="F349" s="37">
        <v>1</v>
      </c>
      <c r="G349" s="37" t="s">
        <v>95</v>
      </c>
      <c r="H349" s="39" t="str">
        <f>ПАРАМЕТРЫ!B6&amp;"%"</f>
        <v>12%</v>
      </c>
      <c r="I349" s="40">
        <f>(I347+I348)*ПАРАМЕТРЫ!B6/100</f>
        <v>1948.9123079999999</v>
      </c>
      <c r="J349" s="38" t="s">
        <v>11</v>
      </c>
    </row>
    <row r="350" spans="1:10" ht="25.5" customHeight="1" thickBot="1" x14ac:dyDescent="0.3">
      <c r="A350" s="42" t="s">
        <v>504</v>
      </c>
      <c r="B350" s="42" t="s">
        <v>132</v>
      </c>
      <c r="C350" s="42"/>
      <c r="D350" s="42" t="s">
        <v>363</v>
      </c>
      <c r="E350" s="41" t="s">
        <v>130</v>
      </c>
      <c r="F350" s="41">
        <v>1</v>
      </c>
      <c r="G350" s="41" t="s">
        <v>95</v>
      </c>
      <c r="H350" s="43" t="str">
        <f>ПАРАМЕТРЫ!B7&amp;"%"</f>
        <v>15%</v>
      </c>
      <c r="I350" s="44">
        <f>(I347+I348)*ПАРАМЕТРЫ!B7/100</f>
        <v>2436.1403849999997</v>
      </c>
      <c r="J350" s="42" t="s">
        <v>11</v>
      </c>
    </row>
    <row r="351" spans="1:10" ht="25.5" customHeight="1" thickBot="1" x14ac:dyDescent="0.3">
      <c r="A351" s="45" t="s">
        <v>505</v>
      </c>
      <c r="B351" s="45"/>
      <c r="C351" s="45"/>
      <c r="D351" s="45"/>
      <c r="E351" s="45"/>
      <c r="F351" s="45"/>
      <c r="G351" s="45"/>
      <c r="H351" s="45"/>
      <c r="I351" s="46">
        <f>I347+I348+I349+I350</f>
        <v>20625.988592999998</v>
      </c>
      <c r="J351" s="45"/>
    </row>
    <row r="352" spans="1:10" ht="25.5" customHeight="1" thickBot="1" x14ac:dyDescent="0.3">
      <c r="A352" s="59" t="s">
        <v>506</v>
      </c>
      <c r="B352" s="59" t="str">
        <f>A352</f>
        <v>КОМПЛЕКТ 41.  МЗ-ЩОА-3.2  |  Альбом 7.1 ЭО (Музей)</v>
      </c>
      <c r="C352" s="2"/>
      <c r="D352" s="2"/>
      <c r="E352" s="2"/>
      <c r="F352" s="2"/>
      <c r="G352" s="2"/>
      <c r="H352" s="2"/>
      <c r="I352" s="2"/>
      <c r="J352" s="2"/>
    </row>
    <row r="353" spans="1:10" ht="25.5" customHeight="1" x14ac:dyDescent="0.25">
      <c r="A353" s="22" t="s">
        <v>507</v>
      </c>
      <c r="B353" s="22" t="s">
        <v>136</v>
      </c>
      <c r="C353" s="22" t="s">
        <v>92</v>
      </c>
      <c r="D353" s="22" t="s">
        <v>363</v>
      </c>
      <c r="E353" s="21" t="s">
        <v>94</v>
      </c>
      <c r="F353" s="21">
        <v>1</v>
      </c>
      <c r="G353" s="21" t="s">
        <v>95</v>
      </c>
      <c r="H353" s="21" t="s">
        <v>95</v>
      </c>
      <c r="I353" s="23">
        <v>0</v>
      </c>
      <c r="J353" s="22" t="s">
        <v>96</v>
      </c>
    </row>
    <row r="354" spans="1:10" ht="25.5" customHeight="1" x14ac:dyDescent="0.25">
      <c r="A354" s="25" t="s">
        <v>508</v>
      </c>
      <c r="B354" s="25" t="s">
        <v>158</v>
      </c>
      <c r="C354" s="25" t="s">
        <v>159</v>
      </c>
      <c r="D354" s="25" t="s">
        <v>363</v>
      </c>
      <c r="E354" s="24" t="s">
        <v>94</v>
      </c>
      <c r="F354" s="26">
        <v>1</v>
      </c>
      <c r="G354" s="27">
        <f>ПАРАМЕТРЫ!B27</f>
        <v>36.68</v>
      </c>
      <c r="H354" s="28">
        <f>ПАРАМЕТРЫ!D27</f>
        <v>8634.8387999999995</v>
      </c>
      <c r="I354" s="28">
        <f>F354*H354</f>
        <v>8634.8387999999995</v>
      </c>
      <c r="J354" s="25"/>
    </row>
    <row r="355" spans="1:10" ht="25.5" customHeight="1" x14ac:dyDescent="0.25">
      <c r="A355" s="30" t="s">
        <v>509</v>
      </c>
      <c r="B355" s="30" t="s">
        <v>140</v>
      </c>
      <c r="C355" s="30" t="s">
        <v>141</v>
      </c>
      <c r="D355" s="30" t="s">
        <v>363</v>
      </c>
      <c r="E355" s="29" t="s">
        <v>94</v>
      </c>
      <c r="F355" s="26">
        <v>3</v>
      </c>
      <c r="G355" s="31">
        <f>ПАРАМЕТРЫ!B12</f>
        <v>10.77</v>
      </c>
      <c r="H355" s="32">
        <f>ПАРАМЕТРЫ!D12</f>
        <v>2535.3656999999998</v>
      </c>
      <c r="I355" s="32">
        <f>F355*H355</f>
        <v>7606.097099999999</v>
      </c>
      <c r="J355" s="30"/>
    </row>
    <row r="356" spans="1:10" ht="25.5" customHeight="1" x14ac:dyDescent="0.25">
      <c r="A356" s="38" t="s">
        <v>510</v>
      </c>
      <c r="B356" s="38" t="s">
        <v>129</v>
      </c>
      <c r="C356" s="38"/>
      <c r="D356" s="38" t="s">
        <v>363</v>
      </c>
      <c r="E356" s="37" t="s">
        <v>130</v>
      </c>
      <c r="F356" s="37">
        <v>1</v>
      </c>
      <c r="G356" s="37" t="s">
        <v>95</v>
      </c>
      <c r="H356" s="39" t="str">
        <f>ПАРАМЕТРЫ!B6&amp;"%"</f>
        <v>12%</v>
      </c>
      <c r="I356" s="40">
        <f>(I354+I355)*ПАРАМЕТРЫ!B6/100</f>
        <v>1948.9123079999999</v>
      </c>
      <c r="J356" s="38" t="s">
        <v>11</v>
      </c>
    </row>
    <row r="357" spans="1:10" ht="25.5" customHeight="1" thickBot="1" x14ac:dyDescent="0.3">
      <c r="A357" s="42" t="s">
        <v>511</v>
      </c>
      <c r="B357" s="42" t="s">
        <v>132</v>
      </c>
      <c r="C357" s="42"/>
      <c r="D357" s="42" t="s">
        <v>363</v>
      </c>
      <c r="E357" s="41" t="s">
        <v>130</v>
      </c>
      <c r="F357" s="41">
        <v>1</v>
      </c>
      <c r="G357" s="41" t="s">
        <v>95</v>
      </c>
      <c r="H357" s="43" t="str">
        <f>ПАРАМЕТРЫ!B7&amp;"%"</f>
        <v>15%</v>
      </c>
      <c r="I357" s="44">
        <f>(I354+I355)*ПАРАМЕТРЫ!B7/100</f>
        <v>2436.1403849999997</v>
      </c>
      <c r="J357" s="42" t="s">
        <v>11</v>
      </c>
    </row>
    <row r="358" spans="1:10" ht="25.5" customHeight="1" thickBot="1" x14ac:dyDescent="0.3">
      <c r="A358" s="45" t="s">
        <v>512</v>
      </c>
      <c r="B358" s="45"/>
      <c r="C358" s="45"/>
      <c r="D358" s="45"/>
      <c r="E358" s="45"/>
      <c r="F358" s="45"/>
      <c r="G358" s="45"/>
      <c r="H358" s="45"/>
      <c r="I358" s="46">
        <f>I354+I355+I356+I357</f>
        <v>20625.988592999998</v>
      </c>
      <c r="J358" s="45"/>
    </row>
    <row r="359" spans="1:10" ht="25.5" customHeight="1" thickBot="1" x14ac:dyDescent="0.3">
      <c r="A359" s="59" t="s">
        <v>513</v>
      </c>
      <c r="B359" s="59" t="str">
        <f>A359</f>
        <v>КОМПЛЕКТ 42.  МЗ-ЩОА-4.1  |  Альбом 7.1 ЭО (Музей)</v>
      </c>
      <c r="C359" s="2"/>
      <c r="D359" s="2"/>
      <c r="E359" s="2"/>
      <c r="F359" s="2"/>
      <c r="G359" s="2"/>
      <c r="H359" s="2"/>
      <c r="I359" s="2"/>
      <c r="J359" s="2"/>
    </row>
    <row r="360" spans="1:10" ht="25.5" customHeight="1" x14ac:dyDescent="0.25">
      <c r="A360" s="22" t="s">
        <v>514</v>
      </c>
      <c r="B360" s="22" t="s">
        <v>136</v>
      </c>
      <c r="C360" s="22" t="s">
        <v>92</v>
      </c>
      <c r="D360" s="22" t="s">
        <v>363</v>
      </c>
      <c r="E360" s="21" t="s">
        <v>94</v>
      </c>
      <c r="F360" s="21">
        <v>1</v>
      </c>
      <c r="G360" s="21" t="s">
        <v>95</v>
      </c>
      <c r="H360" s="21" t="s">
        <v>95</v>
      </c>
      <c r="I360" s="23">
        <v>0</v>
      </c>
      <c r="J360" s="22" t="s">
        <v>96</v>
      </c>
    </row>
    <row r="361" spans="1:10" ht="25.5" customHeight="1" x14ac:dyDescent="0.25">
      <c r="A361" s="25" t="s">
        <v>515</v>
      </c>
      <c r="B361" s="25" t="s">
        <v>158</v>
      </c>
      <c r="C361" s="25" t="s">
        <v>159</v>
      </c>
      <c r="D361" s="25" t="s">
        <v>363</v>
      </c>
      <c r="E361" s="24" t="s">
        <v>94</v>
      </c>
      <c r="F361" s="26">
        <v>1</v>
      </c>
      <c r="G361" s="27">
        <f>ПАРАМЕТРЫ!B27</f>
        <v>36.68</v>
      </c>
      <c r="H361" s="28">
        <f>ПАРАМЕТРЫ!D27</f>
        <v>8634.8387999999995</v>
      </c>
      <c r="I361" s="28">
        <f>F361*H361</f>
        <v>8634.8387999999995</v>
      </c>
      <c r="J361" s="25"/>
    </row>
    <row r="362" spans="1:10" ht="25.5" customHeight="1" x14ac:dyDescent="0.25">
      <c r="A362" s="30" t="s">
        <v>516</v>
      </c>
      <c r="B362" s="30" t="s">
        <v>140</v>
      </c>
      <c r="C362" s="30" t="s">
        <v>141</v>
      </c>
      <c r="D362" s="30" t="s">
        <v>363</v>
      </c>
      <c r="E362" s="29" t="s">
        <v>94</v>
      </c>
      <c r="F362" s="26">
        <v>3</v>
      </c>
      <c r="G362" s="31">
        <f>ПАРАМЕТРЫ!B12</f>
        <v>10.77</v>
      </c>
      <c r="H362" s="32">
        <f>ПАРАМЕТРЫ!D12</f>
        <v>2535.3656999999998</v>
      </c>
      <c r="I362" s="32">
        <f>F362*H362</f>
        <v>7606.097099999999</v>
      </c>
      <c r="J362" s="30"/>
    </row>
    <row r="363" spans="1:10" ht="25.5" customHeight="1" x14ac:dyDescent="0.25">
      <c r="A363" s="38" t="s">
        <v>517</v>
      </c>
      <c r="B363" s="38" t="s">
        <v>129</v>
      </c>
      <c r="C363" s="38"/>
      <c r="D363" s="38" t="s">
        <v>363</v>
      </c>
      <c r="E363" s="37" t="s">
        <v>130</v>
      </c>
      <c r="F363" s="37">
        <v>1</v>
      </c>
      <c r="G363" s="37" t="s">
        <v>95</v>
      </c>
      <c r="H363" s="39" t="str">
        <f>ПАРАМЕТРЫ!B6&amp;"%"</f>
        <v>12%</v>
      </c>
      <c r="I363" s="40">
        <f>(I361+I362)*ПАРАМЕТРЫ!B6/100</f>
        <v>1948.9123079999999</v>
      </c>
      <c r="J363" s="38" t="s">
        <v>11</v>
      </c>
    </row>
    <row r="364" spans="1:10" ht="25.5" customHeight="1" thickBot="1" x14ac:dyDescent="0.3">
      <c r="A364" s="42" t="s">
        <v>518</v>
      </c>
      <c r="B364" s="42" t="s">
        <v>132</v>
      </c>
      <c r="C364" s="42"/>
      <c r="D364" s="42" t="s">
        <v>363</v>
      </c>
      <c r="E364" s="41" t="s">
        <v>130</v>
      </c>
      <c r="F364" s="41">
        <v>1</v>
      </c>
      <c r="G364" s="41" t="s">
        <v>95</v>
      </c>
      <c r="H364" s="43" t="str">
        <f>ПАРАМЕТРЫ!B7&amp;"%"</f>
        <v>15%</v>
      </c>
      <c r="I364" s="44">
        <f>(I361+I362)*ПАРАМЕТРЫ!B7/100</f>
        <v>2436.1403849999997</v>
      </c>
      <c r="J364" s="42" t="s">
        <v>11</v>
      </c>
    </row>
    <row r="365" spans="1:10" ht="25.5" customHeight="1" thickBot="1" x14ac:dyDescent="0.3">
      <c r="A365" s="45" t="s">
        <v>519</v>
      </c>
      <c r="B365" s="45"/>
      <c r="C365" s="45"/>
      <c r="D365" s="45"/>
      <c r="E365" s="45"/>
      <c r="F365" s="45"/>
      <c r="G365" s="45"/>
      <c r="H365" s="45"/>
      <c r="I365" s="46">
        <f>I361+I362+I363+I364</f>
        <v>20625.988592999998</v>
      </c>
      <c r="J365" s="45"/>
    </row>
    <row r="366" spans="1:10" ht="25.5" customHeight="1" thickBot="1" x14ac:dyDescent="0.3">
      <c r="A366" s="59" t="s">
        <v>520</v>
      </c>
      <c r="B366" s="59" t="str">
        <f>A366</f>
        <v>КОМПЛЕКТ 43.  МЗ-ЩОА-4.2  |  Альбом 7.1 ЭО (Музей)</v>
      </c>
      <c r="C366" s="2"/>
      <c r="D366" s="2"/>
      <c r="E366" s="2"/>
      <c r="F366" s="2"/>
      <c r="G366" s="2"/>
      <c r="H366" s="2"/>
      <c r="I366" s="2"/>
      <c r="J366" s="2"/>
    </row>
    <row r="367" spans="1:10" ht="25.5" customHeight="1" x14ac:dyDescent="0.25">
      <c r="A367" s="22" t="s">
        <v>521</v>
      </c>
      <c r="B367" s="22" t="s">
        <v>136</v>
      </c>
      <c r="C367" s="22" t="s">
        <v>92</v>
      </c>
      <c r="D367" s="22" t="s">
        <v>363</v>
      </c>
      <c r="E367" s="21" t="s">
        <v>94</v>
      </c>
      <c r="F367" s="21">
        <v>1</v>
      </c>
      <c r="G367" s="21" t="s">
        <v>95</v>
      </c>
      <c r="H367" s="21" t="s">
        <v>95</v>
      </c>
      <c r="I367" s="23">
        <v>0</v>
      </c>
      <c r="J367" s="22" t="s">
        <v>96</v>
      </c>
    </row>
    <row r="368" spans="1:10" ht="25.5" customHeight="1" x14ac:dyDescent="0.25">
      <c r="A368" s="25" t="s">
        <v>522</v>
      </c>
      <c r="B368" s="25" t="s">
        <v>158</v>
      </c>
      <c r="C368" s="25" t="s">
        <v>159</v>
      </c>
      <c r="D368" s="25" t="s">
        <v>363</v>
      </c>
      <c r="E368" s="24" t="s">
        <v>94</v>
      </c>
      <c r="F368" s="26">
        <v>1</v>
      </c>
      <c r="G368" s="27">
        <f>ПАРАМЕТРЫ!B27</f>
        <v>36.68</v>
      </c>
      <c r="H368" s="28">
        <f>ПАРАМЕТРЫ!D27</f>
        <v>8634.8387999999995</v>
      </c>
      <c r="I368" s="28">
        <f>F368*H368</f>
        <v>8634.8387999999995</v>
      </c>
      <c r="J368" s="25"/>
    </row>
    <row r="369" spans="1:10" ht="25.5" customHeight="1" x14ac:dyDescent="0.25">
      <c r="A369" s="30" t="s">
        <v>523</v>
      </c>
      <c r="B369" s="30" t="s">
        <v>140</v>
      </c>
      <c r="C369" s="30" t="s">
        <v>141</v>
      </c>
      <c r="D369" s="30" t="s">
        <v>363</v>
      </c>
      <c r="E369" s="29" t="s">
        <v>94</v>
      </c>
      <c r="F369" s="26">
        <v>3</v>
      </c>
      <c r="G369" s="31">
        <f>ПАРАМЕТРЫ!B12</f>
        <v>10.77</v>
      </c>
      <c r="H369" s="32">
        <f>ПАРАМЕТРЫ!D12</f>
        <v>2535.3656999999998</v>
      </c>
      <c r="I369" s="32">
        <f>F369*H369</f>
        <v>7606.097099999999</v>
      </c>
      <c r="J369" s="30"/>
    </row>
    <row r="370" spans="1:10" ht="25.5" customHeight="1" x14ac:dyDescent="0.25">
      <c r="A370" s="38" t="s">
        <v>524</v>
      </c>
      <c r="B370" s="38" t="s">
        <v>129</v>
      </c>
      <c r="C370" s="38"/>
      <c r="D370" s="38" t="s">
        <v>363</v>
      </c>
      <c r="E370" s="37" t="s">
        <v>130</v>
      </c>
      <c r="F370" s="37">
        <v>1</v>
      </c>
      <c r="G370" s="37" t="s">
        <v>95</v>
      </c>
      <c r="H370" s="39" t="str">
        <f>ПАРАМЕТРЫ!B6&amp;"%"</f>
        <v>12%</v>
      </c>
      <c r="I370" s="40">
        <f>(I368+I369)*ПАРАМЕТРЫ!B6/100</f>
        <v>1948.9123079999999</v>
      </c>
      <c r="J370" s="38" t="s">
        <v>11</v>
      </c>
    </row>
    <row r="371" spans="1:10" ht="25.5" customHeight="1" thickBot="1" x14ac:dyDescent="0.3">
      <c r="A371" s="42" t="s">
        <v>525</v>
      </c>
      <c r="B371" s="42" t="s">
        <v>132</v>
      </c>
      <c r="C371" s="42"/>
      <c r="D371" s="42" t="s">
        <v>363</v>
      </c>
      <c r="E371" s="41" t="s">
        <v>130</v>
      </c>
      <c r="F371" s="41">
        <v>1</v>
      </c>
      <c r="G371" s="41" t="s">
        <v>95</v>
      </c>
      <c r="H371" s="43" t="str">
        <f>ПАРАМЕТРЫ!B7&amp;"%"</f>
        <v>15%</v>
      </c>
      <c r="I371" s="44">
        <f>(I368+I369)*ПАРАМЕТРЫ!B7/100</f>
        <v>2436.1403849999997</v>
      </c>
      <c r="J371" s="42" t="s">
        <v>11</v>
      </c>
    </row>
    <row r="372" spans="1:10" ht="25.5" customHeight="1" thickBot="1" x14ac:dyDescent="0.3">
      <c r="A372" s="45" t="s">
        <v>526</v>
      </c>
      <c r="B372" s="45"/>
      <c r="C372" s="45"/>
      <c r="D372" s="45"/>
      <c r="E372" s="45"/>
      <c r="F372" s="45"/>
      <c r="G372" s="45"/>
      <c r="H372" s="45"/>
      <c r="I372" s="46">
        <f>I368+I369+I370+I371</f>
        <v>20625.988592999998</v>
      </c>
      <c r="J372" s="45"/>
    </row>
    <row r="373" spans="1:10" ht="25.5" customHeight="1" thickBot="1" x14ac:dyDescent="0.3">
      <c r="A373" s="20"/>
      <c r="B373" s="20"/>
      <c r="C373" s="19" t="s">
        <v>527</v>
      </c>
      <c r="D373" s="20"/>
      <c r="E373" s="20"/>
      <c r="F373" s="20"/>
      <c r="G373" s="20"/>
      <c r="H373" s="20"/>
      <c r="I373" s="20"/>
      <c r="J373" s="20"/>
    </row>
    <row r="374" spans="1:10" ht="25.5" customHeight="1" thickBot="1" x14ac:dyDescent="0.3">
      <c r="A374" s="59" t="s">
        <v>528</v>
      </c>
      <c r="B374" s="59" t="str">
        <f>A374</f>
        <v>КОМПЛЕКТ 44.  ГЛ-ЩО (ЩРн-24з-0 36 УХЛ3 IP54)  |  Альбом 7.1 ЭО (Галерея)</v>
      </c>
      <c r="C374" s="2"/>
      <c r="D374" s="2"/>
      <c r="E374" s="2"/>
      <c r="F374" s="2"/>
      <c r="G374" s="2"/>
      <c r="H374" s="2"/>
      <c r="I374" s="2"/>
      <c r="J374" s="2"/>
    </row>
    <row r="375" spans="1:10" ht="25.5" customHeight="1" x14ac:dyDescent="0.25">
      <c r="A375" s="22" t="s">
        <v>529</v>
      </c>
      <c r="B375" s="22" t="s">
        <v>156</v>
      </c>
      <c r="C375" s="22" t="s">
        <v>92</v>
      </c>
      <c r="D375" s="22" t="s">
        <v>530</v>
      </c>
      <c r="E375" s="21" t="s">
        <v>94</v>
      </c>
      <c r="F375" s="21">
        <v>1</v>
      </c>
      <c r="G375" s="21" t="s">
        <v>95</v>
      </c>
      <c r="H375" s="21" t="s">
        <v>95</v>
      </c>
      <c r="I375" s="23">
        <v>0</v>
      </c>
      <c r="J375" s="22" t="s">
        <v>96</v>
      </c>
    </row>
    <row r="376" spans="1:10" ht="25.5" customHeight="1" x14ac:dyDescent="0.25">
      <c r="A376" s="25" t="s">
        <v>531</v>
      </c>
      <c r="B376" s="25" t="s">
        <v>158</v>
      </c>
      <c r="C376" s="25" t="s">
        <v>159</v>
      </c>
      <c r="D376" s="25" t="s">
        <v>530</v>
      </c>
      <c r="E376" s="24" t="s">
        <v>94</v>
      </c>
      <c r="F376" s="26">
        <v>1</v>
      </c>
      <c r="G376" s="27">
        <f>ПАРАМЕТРЫ!B27</f>
        <v>36.68</v>
      </c>
      <c r="H376" s="28">
        <f>ПАРАМЕТРЫ!D27</f>
        <v>8634.8387999999995</v>
      </c>
      <c r="I376" s="28">
        <f>F376*H376</f>
        <v>8634.8387999999995</v>
      </c>
      <c r="J376" s="25"/>
    </row>
    <row r="377" spans="1:10" ht="25.5" customHeight="1" x14ac:dyDescent="0.25">
      <c r="A377" s="30" t="s">
        <v>532</v>
      </c>
      <c r="B377" s="30" t="s">
        <v>140</v>
      </c>
      <c r="C377" s="30" t="s">
        <v>141</v>
      </c>
      <c r="D377" s="30" t="s">
        <v>530</v>
      </c>
      <c r="E377" s="29" t="s">
        <v>94</v>
      </c>
      <c r="F377" s="26">
        <v>6</v>
      </c>
      <c r="G377" s="31">
        <f>ПАРАМЕТРЫ!B12</f>
        <v>10.77</v>
      </c>
      <c r="H377" s="32">
        <f>ПАРАМЕТРЫ!D12</f>
        <v>2535.3656999999998</v>
      </c>
      <c r="I377" s="32">
        <f>F377*H377</f>
        <v>15212.194199999998</v>
      </c>
      <c r="J377" s="30"/>
    </row>
    <row r="378" spans="1:10" ht="25.5" customHeight="1" x14ac:dyDescent="0.25">
      <c r="A378" s="25" t="s">
        <v>533</v>
      </c>
      <c r="B378" s="25" t="s">
        <v>162</v>
      </c>
      <c r="C378" s="25" t="s">
        <v>163</v>
      </c>
      <c r="D378" s="25" t="s">
        <v>530</v>
      </c>
      <c r="E378" s="24" t="s">
        <v>94</v>
      </c>
      <c r="F378" s="26">
        <v>2</v>
      </c>
      <c r="G378" s="27">
        <f>ПАРАМЕТРЫ!B23</f>
        <v>87.63</v>
      </c>
      <c r="H378" s="28">
        <f>ПАРАМЕТРЫ!D23</f>
        <v>20628.978300000002</v>
      </c>
      <c r="I378" s="28">
        <f>F378*H378</f>
        <v>41257.956600000005</v>
      </c>
      <c r="J378" s="25"/>
    </row>
    <row r="379" spans="1:10" ht="25.5" customHeight="1" x14ac:dyDescent="0.25">
      <c r="A379" s="30" t="s">
        <v>534</v>
      </c>
      <c r="B379" s="30" t="s">
        <v>144</v>
      </c>
      <c r="C379" s="30" t="s">
        <v>145</v>
      </c>
      <c r="D379" s="30" t="s">
        <v>530</v>
      </c>
      <c r="E379" s="29" t="s">
        <v>94</v>
      </c>
      <c r="F379" s="26">
        <v>2</v>
      </c>
      <c r="G379" s="31">
        <f>ПАРАМЕТРЫ!B33</f>
        <v>41.58</v>
      </c>
      <c r="H379" s="32">
        <f>ПАРАМЕТРЫ!D33</f>
        <v>9788.3477999999996</v>
      </c>
      <c r="I379" s="32">
        <f>F379*H379</f>
        <v>19576.695599999999</v>
      </c>
      <c r="J379" s="30"/>
    </row>
    <row r="380" spans="1:10" ht="25.5" customHeight="1" x14ac:dyDescent="0.25">
      <c r="A380" s="25" t="s">
        <v>535</v>
      </c>
      <c r="B380" s="25" t="s">
        <v>226</v>
      </c>
      <c r="C380" s="25" t="s">
        <v>95</v>
      </c>
      <c r="D380" s="25" t="s">
        <v>530</v>
      </c>
      <c r="E380" s="24" t="s">
        <v>94</v>
      </c>
      <c r="F380" s="26">
        <v>2</v>
      </c>
      <c r="G380" s="27">
        <f>ПАРАМЕТРЫ!B37</f>
        <v>1.5</v>
      </c>
      <c r="H380" s="28">
        <f>ПАРАМЕТРЫ!D37</f>
        <v>353.11499999999995</v>
      </c>
      <c r="I380" s="28">
        <f>F380*H380</f>
        <v>706.2299999999999</v>
      </c>
      <c r="J380" s="25"/>
    </row>
    <row r="381" spans="1:10" ht="25.5" customHeight="1" x14ac:dyDescent="0.25">
      <c r="A381" s="38" t="s">
        <v>536</v>
      </c>
      <c r="B381" s="38" t="s">
        <v>129</v>
      </c>
      <c r="C381" s="38"/>
      <c r="D381" s="38" t="s">
        <v>530</v>
      </c>
      <c r="E381" s="37" t="s">
        <v>130</v>
      </c>
      <c r="F381" s="37">
        <v>1</v>
      </c>
      <c r="G381" s="37" t="s">
        <v>95</v>
      </c>
      <c r="H381" s="39" t="str">
        <f>ПАРАМЕТРЫ!B6&amp;"%"</f>
        <v>12%</v>
      </c>
      <c r="I381" s="40">
        <f>(I376+I377+I378+I379+I380)*ПАРАМЕТРЫ!B6/100</f>
        <v>10246.549824000002</v>
      </c>
      <c r="J381" s="38" t="s">
        <v>11</v>
      </c>
    </row>
    <row r="382" spans="1:10" ht="25.5" customHeight="1" thickBot="1" x14ac:dyDescent="0.3">
      <c r="A382" s="42" t="s">
        <v>537</v>
      </c>
      <c r="B382" s="42" t="s">
        <v>132</v>
      </c>
      <c r="C382" s="42"/>
      <c r="D382" s="42" t="s">
        <v>530</v>
      </c>
      <c r="E382" s="41" t="s">
        <v>130</v>
      </c>
      <c r="F382" s="41">
        <v>1</v>
      </c>
      <c r="G382" s="41" t="s">
        <v>95</v>
      </c>
      <c r="H382" s="43" t="str">
        <f>ПАРАМЕТРЫ!B7&amp;"%"</f>
        <v>15%</v>
      </c>
      <c r="I382" s="44">
        <f>(I376+I377+I378+I379+I380)*ПАРАМЕТРЫ!B7/100</f>
        <v>12808.187280000002</v>
      </c>
      <c r="J382" s="42" t="s">
        <v>11</v>
      </c>
    </row>
    <row r="383" spans="1:10" ht="25.5" customHeight="1" thickBot="1" x14ac:dyDescent="0.3">
      <c r="A383" s="45" t="s">
        <v>538</v>
      </c>
      <c r="B383" s="45"/>
      <c r="C383" s="45"/>
      <c r="D383" s="45"/>
      <c r="E383" s="45"/>
      <c r="F383" s="45"/>
      <c r="G383" s="45"/>
      <c r="H383" s="45"/>
      <c r="I383" s="46">
        <f>I376+I377+I378+I379+I380+I381+I382</f>
        <v>108442.652304</v>
      </c>
      <c r="J383" s="45"/>
    </row>
    <row r="384" spans="1:10" ht="25.5" customHeight="1" thickBot="1" x14ac:dyDescent="0.3">
      <c r="A384" s="59" t="s">
        <v>539</v>
      </c>
      <c r="B384" s="59" t="str">
        <f>A384</f>
        <v>КОМПЛЕКТ 45.  ГЛ-ЩОА (ЩРн-12з-0 36 УХЛ3 IP54)  |  Альбом 7.1 ЭО (Галерея)</v>
      </c>
      <c r="C384" s="2"/>
      <c r="D384" s="2"/>
      <c r="E384" s="2"/>
      <c r="F384" s="2"/>
      <c r="G384" s="2"/>
      <c r="H384" s="2"/>
      <c r="I384" s="2"/>
      <c r="J384" s="2"/>
    </row>
    <row r="385" spans="1:10" ht="25.5" customHeight="1" x14ac:dyDescent="0.25">
      <c r="A385" s="22" t="s">
        <v>540</v>
      </c>
      <c r="B385" s="22" t="s">
        <v>136</v>
      </c>
      <c r="C385" s="22" t="s">
        <v>92</v>
      </c>
      <c r="D385" s="22" t="s">
        <v>530</v>
      </c>
      <c r="E385" s="21" t="s">
        <v>94</v>
      </c>
      <c r="F385" s="21">
        <v>1</v>
      </c>
      <c r="G385" s="21" t="s">
        <v>95</v>
      </c>
      <c r="H385" s="21" t="s">
        <v>95</v>
      </c>
      <c r="I385" s="23">
        <v>0</v>
      </c>
      <c r="J385" s="22" t="s">
        <v>96</v>
      </c>
    </row>
    <row r="386" spans="1:10" ht="25.5" customHeight="1" x14ac:dyDescent="0.25">
      <c r="A386" s="25" t="s">
        <v>541</v>
      </c>
      <c r="B386" s="25" t="s">
        <v>158</v>
      </c>
      <c r="C386" s="25" t="s">
        <v>159</v>
      </c>
      <c r="D386" s="25" t="s">
        <v>530</v>
      </c>
      <c r="E386" s="24" t="s">
        <v>94</v>
      </c>
      <c r="F386" s="26">
        <v>1</v>
      </c>
      <c r="G386" s="27">
        <f>ПАРАМЕТРЫ!B27</f>
        <v>36.68</v>
      </c>
      <c r="H386" s="28">
        <f>ПАРАМЕТРЫ!D27</f>
        <v>8634.8387999999995</v>
      </c>
      <c r="I386" s="28">
        <f>F386*H386</f>
        <v>8634.8387999999995</v>
      </c>
      <c r="J386" s="25"/>
    </row>
    <row r="387" spans="1:10" ht="25.5" customHeight="1" x14ac:dyDescent="0.25">
      <c r="A387" s="30" t="s">
        <v>542</v>
      </c>
      <c r="B387" s="30" t="s">
        <v>140</v>
      </c>
      <c r="C387" s="30" t="s">
        <v>141</v>
      </c>
      <c r="D387" s="30" t="s">
        <v>530</v>
      </c>
      <c r="E387" s="29" t="s">
        <v>94</v>
      </c>
      <c r="F387" s="26">
        <v>4</v>
      </c>
      <c r="G387" s="31">
        <f>ПАРАМЕТРЫ!B12</f>
        <v>10.77</v>
      </c>
      <c r="H387" s="32">
        <f>ПАРАМЕТРЫ!D12</f>
        <v>2535.3656999999998</v>
      </c>
      <c r="I387" s="32">
        <f>F387*H387</f>
        <v>10141.462799999999</v>
      </c>
      <c r="J387" s="30"/>
    </row>
    <row r="388" spans="1:10" ht="25.5" customHeight="1" x14ac:dyDescent="0.25">
      <c r="A388" s="38" t="s">
        <v>543</v>
      </c>
      <c r="B388" s="38" t="s">
        <v>129</v>
      </c>
      <c r="C388" s="38"/>
      <c r="D388" s="38" t="s">
        <v>530</v>
      </c>
      <c r="E388" s="37" t="s">
        <v>130</v>
      </c>
      <c r="F388" s="37">
        <v>1</v>
      </c>
      <c r="G388" s="37" t="s">
        <v>95</v>
      </c>
      <c r="H388" s="39" t="str">
        <f>ПАРАМЕТРЫ!B6&amp;"%"</f>
        <v>12%</v>
      </c>
      <c r="I388" s="40">
        <f>(I386+I387)*ПАРАМЕТРЫ!B6/100</f>
        <v>2253.1561919999999</v>
      </c>
      <c r="J388" s="38" t="s">
        <v>11</v>
      </c>
    </row>
    <row r="389" spans="1:10" ht="25.5" customHeight="1" thickBot="1" x14ac:dyDescent="0.3">
      <c r="A389" s="42" t="s">
        <v>544</v>
      </c>
      <c r="B389" s="42" t="s">
        <v>132</v>
      </c>
      <c r="C389" s="42"/>
      <c r="D389" s="42" t="s">
        <v>530</v>
      </c>
      <c r="E389" s="41" t="s">
        <v>130</v>
      </c>
      <c r="F389" s="41">
        <v>1</v>
      </c>
      <c r="G389" s="41" t="s">
        <v>95</v>
      </c>
      <c r="H389" s="43" t="str">
        <f>ПАРАМЕТРЫ!B7&amp;"%"</f>
        <v>15%</v>
      </c>
      <c r="I389" s="44">
        <f>(I386+I387)*ПАРАМЕТРЫ!B7/100</f>
        <v>2816.4452399999996</v>
      </c>
      <c r="J389" s="42" t="s">
        <v>11</v>
      </c>
    </row>
    <row r="390" spans="1:10" ht="25.5" customHeight="1" thickBot="1" x14ac:dyDescent="0.3">
      <c r="A390" s="45" t="s">
        <v>545</v>
      </c>
      <c r="B390" s="45"/>
      <c r="C390" s="45"/>
      <c r="D390" s="45"/>
      <c r="E390" s="45"/>
      <c r="F390" s="45"/>
      <c r="G390" s="45"/>
      <c r="H390" s="45"/>
      <c r="I390" s="46">
        <f>I386+I387+I388+I389</f>
        <v>23845.903031999998</v>
      </c>
      <c r="J390" s="45"/>
    </row>
    <row r="391" spans="1:10" ht="25.5" customHeight="1" thickBot="1" x14ac:dyDescent="0.3">
      <c r="A391" s="20"/>
      <c r="B391" s="20"/>
      <c r="C391" s="19" t="s">
        <v>546</v>
      </c>
      <c r="D391" s="20"/>
      <c r="E391" s="20"/>
      <c r="F391" s="20"/>
      <c r="G391" s="20"/>
      <c r="H391" s="20"/>
      <c r="I391" s="20"/>
      <c r="J391" s="20"/>
    </row>
    <row r="392" spans="1:10" ht="25.5" customHeight="1" thickBot="1" x14ac:dyDescent="0.3">
      <c r="A392" s="59" t="s">
        <v>547</v>
      </c>
      <c r="B392" s="59" t="str">
        <f>A392</f>
        <v>КОМПЛЕКТ 46.  ЯУО (ЯУО9601-3474-IP65)  |  Альбом 3.4 ЭН (Наружное освещение)</v>
      </c>
      <c r="C392" s="2"/>
      <c r="D392" s="2"/>
      <c r="E392" s="2"/>
      <c r="F392" s="2"/>
      <c r="G392" s="2"/>
      <c r="H392" s="2"/>
      <c r="I392" s="2"/>
      <c r="J392" s="2"/>
    </row>
    <row r="393" spans="1:10" ht="25.5" customHeight="1" x14ac:dyDescent="0.25">
      <c r="A393" s="22" t="s">
        <v>548</v>
      </c>
      <c r="B393" s="22" t="s">
        <v>549</v>
      </c>
      <c r="C393" s="22" t="s">
        <v>92</v>
      </c>
      <c r="D393" s="22" t="s">
        <v>550</v>
      </c>
      <c r="E393" s="21" t="s">
        <v>94</v>
      </c>
      <c r="F393" s="21">
        <v>1</v>
      </c>
      <c r="G393" s="21" t="s">
        <v>95</v>
      </c>
      <c r="H393" s="21" t="s">
        <v>95</v>
      </c>
      <c r="I393" s="23">
        <v>0</v>
      </c>
      <c r="J393" s="22" t="s">
        <v>96</v>
      </c>
    </row>
    <row r="394" spans="1:10" ht="25.5" customHeight="1" x14ac:dyDescent="0.25">
      <c r="A394" s="25" t="s">
        <v>551</v>
      </c>
      <c r="B394" s="25" t="s">
        <v>552</v>
      </c>
      <c r="C394" s="25" t="s">
        <v>553</v>
      </c>
      <c r="D394" s="25" t="s">
        <v>550</v>
      </c>
      <c r="E394" s="24" t="s">
        <v>94</v>
      </c>
      <c r="F394" s="26">
        <v>1</v>
      </c>
      <c r="G394" s="27">
        <f>ПАРАМЕТРЫ!B21</f>
        <v>60.59</v>
      </c>
      <c r="H394" s="28">
        <f>ПАРАМЕТРЫ!D21</f>
        <v>14263.491899999999</v>
      </c>
      <c r="I394" s="28">
        <f>F394*H394</f>
        <v>14263.491899999999</v>
      </c>
      <c r="J394" s="25" t="s">
        <v>554</v>
      </c>
    </row>
    <row r="395" spans="1:10" ht="25.5" customHeight="1" x14ac:dyDescent="0.25">
      <c r="A395" s="30" t="s">
        <v>555</v>
      </c>
      <c r="B395" s="30" t="s">
        <v>110</v>
      </c>
      <c r="C395" s="30" t="s">
        <v>111</v>
      </c>
      <c r="D395" s="30" t="s">
        <v>550</v>
      </c>
      <c r="E395" s="29" t="s">
        <v>94</v>
      </c>
      <c r="F395" s="26">
        <v>2</v>
      </c>
      <c r="G395" s="31">
        <f>ПАРАМЕТРЫ!B20</f>
        <v>48.51</v>
      </c>
      <c r="H395" s="32">
        <f>ПАРАМЕТРЫ!D20</f>
        <v>11419.739100000001</v>
      </c>
      <c r="I395" s="32">
        <f>F395*H395</f>
        <v>22839.478200000001</v>
      </c>
      <c r="J395" s="30" t="s">
        <v>556</v>
      </c>
    </row>
    <row r="396" spans="1:10" ht="25.5" customHeight="1" x14ac:dyDescent="0.25">
      <c r="A396" s="25" t="s">
        <v>557</v>
      </c>
      <c r="B396" s="25" t="s">
        <v>558</v>
      </c>
      <c r="C396" s="25" t="s">
        <v>559</v>
      </c>
      <c r="D396" s="25" t="s">
        <v>550</v>
      </c>
      <c r="E396" s="24" t="s">
        <v>94</v>
      </c>
      <c r="F396" s="26">
        <v>5</v>
      </c>
      <c r="G396" s="27">
        <f>ПАРАМЕТРЫ!B17</f>
        <v>48.51</v>
      </c>
      <c r="H396" s="28">
        <f>ПАРАМЕТРЫ!D17</f>
        <v>11419.739100000001</v>
      </c>
      <c r="I396" s="28">
        <f>F396*H396</f>
        <v>57098.695500000002</v>
      </c>
      <c r="J396" s="25" t="s">
        <v>560</v>
      </c>
    </row>
    <row r="397" spans="1:10" ht="25.5" customHeight="1" x14ac:dyDescent="0.25">
      <c r="A397" s="30" t="s">
        <v>561</v>
      </c>
      <c r="B397" s="30" t="s">
        <v>114</v>
      </c>
      <c r="C397" s="30" t="s">
        <v>115</v>
      </c>
      <c r="D397" s="30" t="s">
        <v>550</v>
      </c>
      <c r="E397" s="29" t="s">
        <v>94</v>
      </c>
      <c r="F397" s="26">
        <v>1</v>
      </c>
      <c r="G397" s="31">
        <f>ПАРАМЕТРЫ!B10</f>
        <v>12.92</v>
      </c>
      <c r="H397" s="32">
        <f>ПАРАМЕТРЫ!D10</f>
        <v>3041.4971999999998</v>
      </c>
      <c r="I397" s="32">
        <f>F397*H397</f>
        <v>3041.4971999999998</v>
      </c>
      <c r="J397" s="30" t="s">
        <v>562</v>
      </c>
    </row>
    <row r="398" spans="1:10" ht="25.5" customHeight="1" x14ac:dyDescent="0.25">
      <c r="A398" s="34" t="s">
        <v>563</v>
      </c>
      <c r="B398" s="34" t="s">
        <v>564</v>
      </c>
      <c r="C398" s="34" t="s">
        <v>565</v>
      </c>
      <c r="D398" s="35" t="s">
        <v>550</v>
      </c>
      <c r="E398" s="33" t="s">
        <v>94</v>
      </c>
      <c r="F398" s="33">
        <v>1</v>
      </c>
      <c r="G398" s="33" t="s">
        <v>95</v>
      </c>
      <c r="H398" s="33" t="s">
        <v>95</v>
      </c>
      <c r="I398" s="36">
        <v>0</v>
      </c>
      <c r="J398" s="35" t="s">
        <v>566</v>
      </c>
    </row>
    <row r="399" spans="1:10" ht="25.5" customHeight="1" x14ac:dyDescent="0.25">
      <c r="A399" s="38" t="s">
        <v>567</v>
      </c>
      <c r="B399" s="38" t="s">
        <v>129</v>
      </c>
      <c r="C399" s="38"/>
      <c r="D399" s="38" t="s">
        <v>550</v>
      </c>
      <c r="E399" s="37" t="s">
        <v>130</v>
      </c>
      <c r="F399" s="37">
        <v>1</v>
      </c>
      <c r="G399" s="37" t="s">
        <v>95</v>
      </c>
      <c r="H399" s="39" t="str">
        <f>ПАРАМЕТРЫ!B6&amp;"%"</f>
        <v>12%</v>
      </c>
      <c r="I399" s="40">
        <f>(I394+I395+I396+I397)*ПАРАМЕТРЫ!B6/100</f>
        <v>11669.179536000001</v>
      </c>
      <c r="J399" s="38" t="s">
        <v>11</v>
      </c>
    </row>
    <row r="400" spans="1:10" ht="25.5" customHeight="1" thickBot="1" x14ac:dyDescent="0.3">
      <c r="A400" s="42" t="s">
        <v>568</v>
      </c>
      <c r="B400" s="42" t="s">
        <v>132</v>
      </c>
      <c r="C400" s="42"/>
      <c r="D400" s="42" t="s">
        <v>550</v>
      </c>
      <c r="E400" s="41" t="s">
        <v>130</v>
      </c>
      <c r="F400" s="41">
        <v>1</v>
      </c>
      <c r="G400" s="41" t="s">
        <v>95</v>
      </c>
      <c r="H400" s="43" t="str">
        <f>ПАРАМЕТРЫ!B7&amp;"%"</f>
        <v>15%</v>
      </c>
      <c r="I400" s="44">
        <f>(I394+I395+I396+I397)*ПАРАМЕТРЫ!B7/100</f>
        <v>14586.47442</v>
      </c>
      <c r="J400" s="42" t="s">
        <v>11</v>
      </c>
    </row>
    <row r="401" spans="1:10" ht="25.5" customHeight="1" thickBot="1" x14ac:dyDescent="0.3">
      <c r="A401" s="45" t="s">
        <v>569</v>
      </c>
      <c r="B401" s="45"/>
      <c r="C401" s="45"/>
      <c r="D401" s="45"/>
      <c r="E401" s="45"/>
      <c r="F401" s="45"/>
      <c r="G401" s="45"/>
      <c r="H401" s="45"/>
      <c r="I401" s="46">
        <f>I394+I395+I396+I397+I399+I400</f>
        <v>123498.816756</v>
      </c>
      <c r="J401" s="45"/>
    </row>
    <row r="402" spans="1:10" ht="25.5" customHeight="1" thickBot="1" x14ac:dyDescent="0.3">
      <c r="A402" s="59" t="s">
        <v>570</v>
      </c>
      <c r="B402" s="59" t="str">
        <f>A402</f>
        <v>КОМПЛЕКТ 47.  ЩР Наружного освещения (Atlantic IP66)  |  Альбом 3.4 ЭН (Наружное освещение)</v>
      </c>
      <c r="C402" s="2"/>
      <c r="D402" s="2"/>
      <c r="E402" s="2"/>
      <c r="F402" s="2"/>
      <c r="G402" s="2"/>
      <c r="H402" s="2"/>
      <c r="I402" s="2"/>
      <c r="J402" s="2"/>
    </row>
    <row r="403" spans="1:10" ht="25.5" customHeight="1" x14ac:dyDescent="0.25">
      <c r="A403" s="22" t="s">
        <v>571</v>
      </c>
      <c r="B403" s="22" t="s">
        <v>572</v>
      </c>
      <c r="C403" s="22" t="s">
        <v>92</v>
      </c>
      <c r="D403" s="22" t="s">
        <v>550</v>
      </c>
      <c r="E403" s="21" t="s">
        <v>94</v>
      </c>
      <c r="F403" s="21">
        <v>1</v>
      </c>
      <c r="G403" s="21" t="s">
        <v>95</v>
      </c>
      <c r="H403" s="21" t="s">
        <v>95</v>
      </c>
      <c r="I403" s="23">
        <v>0</v>
      </c>
      <c r="J403" s="22" t="s">
        <v>96</v>
      </c>
    </row>
    <row r="404" spans="1:10" ht="25.5" customHeight="1" x14ac:dyDescent="0.25">
      <c r="A404" s="25" t="s">
        <v>573</v>
      </c>
      <c r="B404" s="25" t="s">
        <v>158</v>
      </c>
      <c r="C404" s="25" t="s">
        <v>159</v>
      </c>
      <c r="D404" s="25" t="s">
        <v>550</v>
      </c>
      <c r="E404" s="24" t="s">
        <v>94</v>
      </c>
      <c r="F404" s="26">
        <v>1</v>
      </c>
      <c r="G404" s="27">
        <f>ПАРАМЕТРЫ!B27</f>
        <v>36.68</v>
      </c>
      <c r="H404" s="28">
        <f>ПАРАМЕТРЫ!D27</f>
        <v>8634.8387999999995</v>
      </c>
      <c r="I404" s="28">
        <f>F404*H404</f>
        <v>8634.8387999999995</v>
      </c>
      <c r="J404" s="25" t="s">
        <v>574</v>
      </c>
    </row>
    <row r="405" spans="1:10" ht="25.5" customHeight="1" x14ac:dyDescent="0.25">
      <c r="A405" s="30" t="s">
        <v>575</v>
      </c>
      <c r="B405" s="30" t="s">
        <v>558</v>
      </c>
      <c r="C405" s="30" t="s">
        <v>559</v>
      </c>
      <c r="D405" s="30" t="s">
        <v>550</v>
      </c>
      <c r="E405" s="29" t="s">
        <v>94</v>
      </c>
      <c r="F405" s="26">
        <v>8</v>
      </c>
      <c r="G405" s="31">
        <f>ПАРАМЕТРЫ!B17</f>
        <v>48.51</v>
      </c>
      <c r="H405" s="32">
        <f>ПАРАМЕТРЫ!D17</f>
        <v>11419.739100000001</v>
      </c>
      <c r="I405" s="32">
        <f>F405*H405</f>
        <v>91357.912800000006</v>
      </c>
      <c r="J405" s="30" t="s">
        <v>576</v>
      </c>
    </row>
    <row r="406" spans="1:10" ht="25.5" customHeight="1" x14ac:dyDescent="0.25">
      <c r="A406" s="38" t="s">
        <v>577</v>
      </c>
      <c r="B406" s="38" t="s">
        <v>129</v>
      </c>
      <c r="C406" s="38"/>
      <c r="D406" s="38" t="s">
        <v>550</v>
      </c>
      <c r="E406" s="37" t="s">
        <v>130</v>
      </c>
      <c r="F406" s="37">
        <v>1</v>
      </c>
      <c r="G406" s="37" t="s">
        <v>95</v>
      </c>
      <c r="H406" s="39" t="str">
        <f>ПАРАМЕТРЫ!B6&amp;"%"</f>
        <v>12%</v>
      </c>
      <c r="I406" s="40">
        <f>(I404+I405)*ПАРАМЕТРЫ!B6/100</f>
        <v>11999.130192000001</v>
      </c>
      <c r="J406" s="38" t="s">
        <v>11</v>
      </c>
    </row>
    <row r="407" spans="1:10" ht="25.5" customHeight="1" thickBot="1" x14ac:dyDescent="0.3">
      <c r="A407" s="42" t="s">
        <v>578</v>
      </c>
      <c r="B407" s="42" t="s">
        <v>132</v>
      </c>
      <c r="C407" s="42"/>
      <c r="D407" s="42" t="s">
        <v>550</v>
      </c>
      <c r="E407" s="41" t="s">
        <v>130</v>
      </c>
      <c r="F407" s="41">
        <v>1</v>
      </c>
      <c r="G407" s="41" t="s">
        <v>95</v>
      </c>
      <c r="H407" s="43" t="str">
        <f>ПАРАМЕТРЫ!B7&amp;"%"</f>
        <v>15%</v>
      </c>
      <c r="I407" s="44">
        <f>(I404+I405)*ПАРАМЕТРЫ!B7/100</f>
        <v>14998.91274</v>
      </c>
      <c r="J407" s="42" t="s">
        <v>11</v>
      </c>
    </row>
    <row r="408" spans="1:10" ht="25.5" customHeight="1" thickBot="1" x14ac:dyDescent="0.3">
      <c r="A408" s="45" t="s">
        <v>579</v>
      </c>
      <c r="B408" s="45"/>
      <c r="C408" s="45"/>
      <c r="D408" s="45"/>
      <c r="E408" s="45"/>
      <c r="F408" s="45"/>
      <c r="G408" s="45"/>
      <c r="H408" s="45"/>
      <c r="I408" s="46">
        <f>I404+I405+I406+I407</f>
        <v>126990.794532</v>
      </c>
      <c r="J408" s="45"/>
    </row>
    <row r="409" spans="1:10" ht="25.5" customHeight="1" thickBot="1" x14ac:dyDescent="0.3">
      <c r="A409" s="20"/>
      <c r="B409" s="20"/>
      <c r="C409" s="19" t="s">
        <v>580</v>
      </c>
      <c r="D409" s="20"/>
      <c r="E409" s="20"/>
      <c r="F409" s="20"/>
      <c r="G409" s="20"/>
      <c r="H409" s="20"/>
      <c r="I409" s="20"/>
      <c r="J409" s="20"/>
    </row>
    <row r="410" spans="1:10" ht="25.5" customHeight="1" thickBot="1" x14ac:dyDescent="0.3">
      <c r="A410" s="59" t="s">
        <v>581</v>
      </c>
      <c r="B410" s="59" t="str">
        <f>A410</f>
        <v>КОМПЛЕКТ 48.  ЯУО-КОНЦ.ЗАЛ (ЯУО9601-3474-IP31)  |  Альбом 7.3 ФО (Фасадная подсветка)</v>
      </c>
      <c r="C410" s="2"/>
      <c r="D410" s="2"/>
      <c r="E410" s="2"/>
      <c r="F410" s="2"/>
      <c r="G410" s="2"/>
      <c r="H410" s="2"/>
      <c r="I410" s="2"/>
      <c r="J410" s="2"/>
    </row>
    <row r="411" spans="1:10" ht="25.5" customHeight="1" x14ac:dyDescent="0.25">
      <c r="A411" s="22" t="s">
        <v>582</v>
      </c>
      <c r="B411" s="22" t="s">
        <v>583</v>
      </c>
      <c r="C411" s="22" t="s">
        <v>92</v>
      </c>
      <c r="D411" s="22" t="s">
        <v>584</v>
      </c>
      <c r="E411" s="21" t="s">
        <v>94</v>
      </c>
      <c r="F411" s="21">
        <v>1</v>
      </c>
      <c r="G411" s="21" t="s">
        <v>95</v>
      </c>
      <c r="H411" s="21" t="s">
        <v>95</v>
      </c>
      <c r="I411" s="23">
        <v>0</v>
      </c>
      <c r="J411" s="22" t="s">
        <v>96</v>
      </c>
    </row>
    <row r="412" spans="1:10" ht="25.5" customHeight="1" x14ac:dyDescent="0.25">
      <c r="A412" s="25" t="s">
        <v>585</v>
      </c>
      <c r="B412" s="25" t="s">
        <v>552</v>
      </c>
      <c r="C412" s="25" t="s">
        <v>553</v>
      </c>
      <c r="D412" s="25" t="s">
        <v>584</v>
      </c>
      <c r="E412" s="24" t="s">
        <v>94</v>
      </c>
      <c r="F412" s="26">
        <v>2</v>
      </c>
      <c r="G412" s="27">
        <f>ПАРАМЕТРЫ!B21</f>
        <v>60.59</v>
      </c>
      <c r="H412" s="28">
        <f>ПАРАМЕТРЫ!D21</f>
        <v>14263.491899999999</v>
      </c>
      <c r="I412" s="28">
        <f>F412*H412</f>
        <v>28526.983799999998</v>
      </c>
      <c r="J412" s="25" t="s">
        <v>586</v>
      </c>
    </row>
    <row r="413" spans="1:10" ht="25.5" customHeight="1" x14ac:dyDescent="0.25">
      <c r="A413" s="30" t="s">
        <v>587</v>
      </c>
      <c r="B413" s="30" t="s">
        <v>110</v>
      </c>
      <c r="C413" s="30" t="s">
        <v>111</v>
      </c>
      <c r="D413" s="30" t="s">
        <v>584</v>
      </c>
      <c r="E413" s="29" t="s">
        <v>94</v>
      </c>
      <c r="F413" s="26">
        <v>1</v>
      </c>
      <c r="G413" s="31">
        <f>ПАРАМЕТРЫ!B20</f>
        <v>48.51</v>
      </c>
      <c r="H413" s="32">
        <f>ПАРАМЕТРЫ!D20</f>
        <v>11419.739100000001</v>
      </c>
      <c r="I413" s="32">
        <f>F413*H413</f>
        <v>11419.739100000001</v>
      </c>
      <c r="J413" s="30" t="s">
        <v>588</v>
      </c>
    </row>
    <row r="414" spans="1:10" ht="25.5" customHeight="1" x14ac:dyDescent="0.25">
      <c r="A414" s="25" t="s">
        <v>589</v>
      </c>
      <c r="B414" s="25" t="s">
        <v>590</v>
      </c>
      <c r="C414" s="25" t="s">
        <v>591</v>
      </c>
      <c r="D414" s="25" t="s">
        <v>584</v>
      </c>
      <c r="E414" s="24" t="s">
        <v>94</v>
      </c>
      <c r="F414" s="26">
        <v>2</v>
      </c>
      <c r="G414" s="27">
        <f>ПАРАМЕТРЫ!B25</f>
        <v>292</v>
      </c>
      <c r="H414" s="28">
        <f>ПАРАМЕТРЫ!D25</f>
        <v>68739.72</v>
      </c>
      <c r="I414" s="28">
        <f>F414*H414</f>
        <v>137479.44</v>
      </c>
      <c r="J414" s="25" t="s">
        <v>592</v>
      </c>
    </row>
    <row r="415" spans="1:10" ht="25.5" customHeight="1" x14ac:dyDescent="0.25">
      <c r="A415" s="34" t="s">
        <v>593</v>
      </c>
      <c r="B415" s="34" t="s">
        <v>594</v>
      </c>
      <c r="C415" s="34" t="s">
        <v>595</v>
      </c>
      <c r="D415" s="35" t="s">
        <v>584</v>
      </c>
      <c r="E415" s="33" t="s">
        <v>94</v>
      </c>
      <c r="F415" s="33">
        <v>1</v>
      </c>
      <c r="G415" s="33" t="s">
        <v>95</v>
      </c>
      <c r="H415" s="33" t="s">
        <v>95</v>
      </c>
      <c r="I415" s="36">
        <v>0</v>
      </c>
      <c r="J415" s="35" t="s">
        <v>596</v>
      </c>
    </row>
    <row r="416" spans="1:10" ht="25.5" customHeight="1" x14ac:dyDescent="0.25">
      <c r="A416" s="34" t="s">
        <v>597</v>
      </c>
      <c r="B416" s="34" t="s">
        <v>598</v>
      </c>
      <c r="C416" s="34" t="s">
        <v>599</v>
      </c>
      <c r="D416" s="35" t="s">
        <v>584</v>
      </c>
      <c r="E416" s="33" t="s">
        <v>94</v>
      </c>
      <c r="F416" s="33">
        <v>1</v>
      </c>
      <c r="G416" s="33" t="s">
        <v>95</v>
      </c>
      <c r="H416" s="33" t="s">
        <v>95</v>
      </c>
      <c r="I416" s="36">
        <v>0</v>
      </c>
      <c r="J416" s="35" t="s">
        <v>600</v>
      </c>
    </row>
    <row r="417" spans="1:10" ht="25.5" customHeight="1" x14ac:dyDescent="0.25">
      <c r="A417" s="38" t="s">
        <v>601</v>
      </c>
      <c r="B417" s="38" t="s">
        <v>129</v>
      </c>
      <c r="C417" s="38"/>
      <c r="D417" s="38" t="s">
        <v>584</v>
      </c>
      <c r="E417" s="37" t="s">
        <v>130</v>
      </c>
      <c r="F417" s="37">
        <v>1</v>
      </c>
      <c r="G417" s="37" t="s">
        <v>95</v>
      </c>
      <c r="H417" s="39" t="str">
        <f>ПАРАМЕТРЫ!B6&amp;"%"</f>
        <v>12%</v>
      </c>
      <c r="I417" s="40">
        <f>(I412+I413+I414)*ПАРАМЕТРЫ!B6/100</f>
        <v>21291.139547999999</v>
      </c>
      <c r="J417" s="38" t="s">
        <v>11</v>
      </c>
    </row>
    <row r="418" spans="1:10" ht="25.5" customHeight="1" thickBot="1" x14ac:dyDescent="0.3">
      <c r="A418" s="42" t="s">
        <v>602</v>
      </c>
      <c r="B418" s="42" t="s">
        <v>132</v>
      </c>
      <c r="C418" s="42"/>
      <c r="D418" s="42" t="s">
        <v>584</v>
      </c>
      <c r="E418" s="41" t="s">
        <v>130</v>
      </c>
      <c r="F418" s="41">
        <v>1</v>
      </c>
      <c r="G418" s="41" t="s">
        <v>95</v>
      </c>
      <c r="H418" s="43" t="str">
        <f>ПАРАМЕТРЫ!B7&amp;"%"</f>
        <v>15%</v>
      </c>
      <c r="I418" s="44">
        <f>(I412+I413+I414)*ПАРАМЕТРЫ!B7/100</f>
        <v>26613.924435000001</v>
      </c>
      <c r="J418" s="42" t="s">
        <v>11</v>
      </c>
    </row>
    <row r="419" spans="1:10" ht="25.5" customHeight="1" thickBot="1" x14ac:dyDescent="0.3">
      <c r="A419" s="45" t="s">
        <v>603</v>
      </c>
      <c r="B419" s="45"/>
      <c r="C419" s="45"/>
      <c r="D419" s="45"/>
      <c r="E419" s="45"/>
      <c r="F419" s="45"/>
      <c r="G419" s="45"/>
      <c r="H419" s="45"/>
      <c r="I419" s="46">
        <f>I412+I413+I414+I417+I418</f>
        <v>225331.226883</v>
      </c>
      <c r="J419" s="45"/>
    </row>
    <row r="420" spans="1:10" ht="25.5" customHeight="1" thickBot="1" x14ac:dyDescent="0.3">
      <c r="A420" s="59" t="s">
        <v>604</v>
      </c>
      <c r="B420" s="59" t="str">
        <f>A420</f>
        <v>КОМПЛЕКТ 49.  ЯУО-МУЗЕЙ (ЯУО9601-3474-IP31)  |  Альбом 7.3 ФО (Фасадная подсветка)</v>
      </c>
      <c r="C420" s="2"/>
      <c r="D420" s="2"/>
      <c r="E420" s="2"/>
      <c r="F420" s="2"/>
      <c r="G420" s="2"/>
      <c r="H420" s="2"/>
      <c r="I420" s="2"/>
      <c r="J420" s="2"/>
    </row>
    <row r="421" spans="1:10" ht="25.5" customHeight="1" x14ac:dyDescent="0.25">
      <c r="A421" s="22" t="s">
        <v>605</v>
      </c>
      <c r="B421" s="22" t="s">
        <v>583</v>
      </c>
      <c r="C421" s="22" t="s">
        <v>92</v>
      </c>
      <c r="D421" s="22" t="s">
        <v>584</v>
      </c>
      <c r="E421" s="21" t="s">
        <v>94</v>
      </c>
      <c r="F421" s="21">
        <v>1</v>
      </c>
      <c r="G421" s="21" t="s">
        <v>95</v>
      </c>
      <c r="H421" s="21" t="s">
        <v>95</v>
      </c>
      <c r="I421" s="23">
        <v>0</v>
      </c>
      <c r="J421" s="22" t="s">
        <v>96</v>
      </c>
    </row>
    <row r="422" spans="1:10" ht="25.5" customHeight="1" x14ac:dyDescent="0.25">
      <c r="A422" s="25" t="s">
        <v>606</v>
      </c>
      <c r="B422" s="25" t="s">
        <v>552</v>
      </c>
      <c r="C422" s="25" t="s">
        <v>553</v>
      </c>
      <c r="D422" s="25" t="s">
        <v>584</v>
      </c>
      <c r="E422" s="24" t="s">
        <v>94</v>
      </c>
      <c r="F422" s="26">
        <v>3</v>
      </c>
      <c r="G422" s="27">
        <f>ПАРАМЕТРЫ!B21</f>
        <v>60.59</v>
      </c>
      <c r="H422" s="28">
        <f>ПАРАМЕТРЫ!D21</f>
        <v>14263.491899999999</v>
      </c>
      <c r="I422" s="28">
        <f>F422*H422</f>
        <v>42790.475699999995</v>
      </c>
      <c r="J422" s="25" t="s">
        <v>586</v>
      </c>
    </row>
    <row r="423" spans="1:10" ht="25.5" customHeight="1" x14ac:dyDescent="0.25">
      <c r="A423" s="30" t="s">
        <v>607</v>
      </c>
      <c r="B423" s="30" t="s">
        <v>110</v>
      </c>
      <c r="C423" s="30" t="s">
        <v>111</v>
      </c>
      <c r="D423" s="30" t="s">
        <v>584</v>
      </c>
      <c r="E423" s="29" t="s">
        <v>94</v>
      </c>
      <c r="F423" s="26">
        <v>2</v>
      </c>
      <c r="G423" s="31">
        <f>ПАРАМЕТРЫ!B20</f>
        <v>48.51</v>
      </c>
      <c r="H423" s="32">
        <f>ПАРАМЕТРЫ!D20</f>
        <v>11419.739100000001</v>
      </c>
      <c r="I423" s="32">
        <f>F423*H423</f>
        <v>22839.478200000001</v>
      </c>
      <c r="J423" s="30" t="s">
        <v>588</v>
      </c>
    </row>
    <row r="424" spans="1:10" ht="25.5" customHeight="1" x14ac:dyDescent="0.25">
      <c r="A424" s="34" t="s">
        <v>608</v>
      </c>
      <c r="B424" s="34" t="s">
        <v>594</v>
      </c>
      <c r="C424" s="34" t="s">
        <v>595</v>
      </c>
      <c r="D424" s="35" t="s">
        <v>584</v>
      </c>
      <c r="E424" s="33" t="s">
        <v>94</v>
      </c>
      <c r="F424" s="33">
        <v>1</v>
      </c>
      <c r="G424" s="33" t="s">
        <v>95</v>
      </c>
      <c r="H424" s="33" t="s">
        <v>95</v>
      </c>
      <c r="I424" s="36">
        <v>0</v>
      </c>
      <c r="J424" s="35" t="s">
        <v>596</v>
      </c>
    </row>
    <row r="425" spans="1:10" ht="25.5" customHeight="1" x14ac:dyDescent="0.25">
      <c r="A425" s="34" t="s">
        <v>609</v>
      </c>
      <c r="B425" s="34" t="s">
        <v>598</v>
      </c>
      <c r="C425" s="34" t="s">
        <v>599</v>
      </c>
      <c r="D425" s="35" t="s">
        <v>584</v>
      </c>
      <c r="E425" s="33" t="s">
        <v>94</v>
      </c>
      <c r="F425" s="33">
        <v>1</v>
      </c>
      <c r="G425" s="33" t="s">
        <v>95</v>
      </c>
      <c r="H425" s="33" t="s">
        <v>95</v>
      </c>
      <c r="I425" s="36">
        <v>0</v>
      </c>
      <c r="J425" s="35" t="s">
        <v>600</v>
      </c>
    </row>
    <row r="426" spans="1:10" ht="25.5" customHeight="1" x14ac:dyDescent="0.25">
      <c r="A426" s="38" t="s">
        <v>610</v>
      </c>
      <c r="B426" s="38" t="s">
        <v>129</v>
      </c>
      <c r="C426" s="38"/>
      <c r="D426" s="38" t="s">
        <v>584</v>
      </c>
      <c r="E426" s="37" t="s">
        <v>130</v>
      </c>
      <c r="F426" s="37">
        <v>1</v>
      </c>
      <c r="G426" s="37" t="s">
        <v>95</v>
      </c>
      <c r="H426" s="39" t="str">
        <f>ПАРАМЕТРЫ!B6&amp;"%"</f>
        <v>12%</v>
      </c>
      <c r="I426" s="40">
        <f>(I422+I423)*ПАРАМЕТРЫ!B6/100</f>
        <v>7875.5944679999993</v>
      </c>
      <c r="J426" s="38" t="s">
        <v>11</v>
      </c>
    </row>
    <row r="427" spans="1:10" ht="25.5" customHeight="1" thickBot="1" x14ac:dyDescent="0.3">
      <c r="A427" s="42" t="s">
        <v>611</v>
      </c>
      <c r="B427" s="42" t="s">
        <v>132</v>
      </c>
      <c r="C427" s="42"/>
      <c r="D427" s="42" t="s">
        <v>584</v>
      </c>
      <c r="E427" s="41" t="s">
        <v>130</v>
      </c>
      <c r="F427" s="41">
        <v>1</v>
      </c>
      <c r="G427" s="41" t="s">
        <v>95</v>
      </c>
      <c r="H427" s="43" t="str">
        <f>ПАРАМЕТРЫ!B7&amp;"%"</f>
        <v>15%</v>
      </c>
      <c r="I427" s="44">
        <f>(I422+I423)*ПАРАМЕТРЫ!B7/100</f>
        <v>9844.4930850000001</v>
      </c>
      <c r="J427" s="42" t="s">
        <v>11</v>
      </c>
    </row>
    <row r="428" spans="1:10" ht="25.5" customHeight="1" thickBot="1" x14ac:dyDescent="0.3">
      <c r="A428" s="45" t="s">
        <v>612</v>
      </c>
      <c r="B428" s="45"/>
      <c r="C428" s="45"/>
      <c r="D428" s="45"/>
      <c r="E428" s="45"/>
      <c r="F428" s="45"/>
      <c r="G428" s="45"/>
      <c r="H428" s="45"/>
      <c r="I428" s="46">
        <f>I422+I423+I426+I427</f>
        <v>83350.041452999983</v>
      </c>
      <c r="J428" s="45"/>
    </row>
    <row r="429" spans="1:10" ht="25.5" customHeight="1" thickBot="1" x14ac:dyDescent="0.3">
      <c r="A429" s="59" t="s">
        <v>613</v>
      </c>
      <c r="B429" s="59" t="str">
        <f>A429</f>
        <v>КОМПЛЕКТ 50.  ЩР-1 (ЩМП-7-0 36 УХЛ3 IP31)  |  Альбом 7.3 ФО (Фасадная подсветка)</v>
      </c>
      <c r="C429" s="2"/>
      <c r="D429" s="2"/>
      <c r="E429" s="2"/>
      <c r="F429" s="2"/>
      <c r="G429" s="2"/>
      <c r="H429" s="2"/>
      <c r="I429" s="2"/>
      <c r="J429" s="2"/>
    </row>
    <row r="430" spans="1:10" ht="25.5" customHeight="1" x14ac:dyDescent="0.25">
      <c r="A430" s="22" t="s">
        <v>614</v>
      </c>
      <c r="B430" s="22" t="s">
        <v>615</v>
      </c>
      <c r="C430" s="22" t="s">
        <v>92</v>
      </c>
      <c r="D430" s="22" t="s">
        <v>584</v>
      </c>
      <c r="E430" s="21" t="s">
        <v>94</v>
      </c>
      <c r="F430" s="21">
        <v>1</v>
      </c>
      <c r="G430" s="21" t="s">
        <v>95</v>
      </c>
      <c r="H430" s="21" t="s">
        <v>95</v>
      </c>
      <c r="I430" s="23">
        <v>0</v>
      </c>
      <c r="J430" s="22" t="s">
        <v>96</v>
      </c>
    </row>
    <row r="431" spans="1:10" ht="25.5" customHeight="1" x14ac:dyDescent="0.25">
      <c r="A431" s="25" t="s">
        <v>616</v>
      </c>
      <c r="B431" s="25" t="s">
        <v>158</v>
      </c>
      <c r="C431" s="25" t="s">
        <v>159</v>
      </c>
      <c r="D431" s="25" t="s">
        <v>584</v>
      </c>
      <c r="E431" s="24" t="s">
        <v>94</v>
      </c>
      <c r="F431" s="26">
        <v>1</v>
      </c>
      <c r="G431" s="27">
        <f>ПАРАМЕТРЫ!B27</f>
        <v>36.68</v>
      </c>
      <c r="H431" s="28">
        <f>ПАРАМЕТРЫ!D27</f>
        <v>8634.8387999999995</v>
      </c>
      <c r="I431" s="28">
        <f>F431*H431</f>
        <v>8634.8387999999995</v>
      </c>
      <c r="J431" s="25" t="s">
        <v>160</v>
      </c>
    </row>
    <row r="432" spans="1:10" ht="25.5" customHeight="1" x14ac:dyDescent="0.25">
      <c r="A432" s="30" t="s">
        <v>617</v>
      </c>
      <c r="B432" s="30" t="s">
        <v>590</v>
      </c>
      <c r="C432" s="30" t="s">
        <v>591</v>
      </c>
      <c r="D432" s="30" t="s">
        <v>584</v>
      </c>
      <c r="E432" s="29" t="s">
        <v>94</v>
      </c>
      <c r="F432" s="26">
        <v>14</v>
      </c>
      <c r="G432" s="31">
        <f>ПАРАМЕТРЫ!B25</f>
        <v>292</v>
      </c>
      <c r="H432" s="32">
        <f>ПАРАМЕТРЫ!D25</f>
        <v>68739.72</v>
      </c>
      <c r="I432" s="32">
        <f>F432*H432</f>
        <v>962356.08000000007</v>
      </c>
      <c r="J432" s="30" t="s">
        <v>618</v>
      </c>
    </row>
    <row r="433" spans="1:10" ht="25.5" customHeight="1" x14ac:dyDescent="0.25">
      <c r="A433" s="38" t="s">
        <v>619</v>
      </c>
      <c r="B433" s="38" t="s">
        <v>129</v>
      </c>
      <c r="C433" s="38"/>
      <c r="D433" s="38" t="s">
        <v>584</v>
      </c>
      <c r="E433" s="37" t="s">
        <v>130</v>
      </c>
      <c r="F433" s="37">
        <v>1</v>
      </c>
      <c r="G433" s="37" t="s">
        <v>95</v>
      </c>
      <c r="H433" s="39" t="str">
        <f>ПАРАМЕТРЫ!B6&amp;"%"</f>
        <v>12%</v>
      </c>
      <c r="I433" s="40">
        <f>(I431+I432)*ПАРАМЕТРЫ!B6/100</f>
        <v>116518.91025600002</v>
      </c>
      <c r="J433" s="38" t="s">
        <v>11</v>
      </c>
    </row>
    <row r="434" spans="1:10" ht="25.5" customHeight="1" thickBot="1" x14ac:dyDescent="0.3">
      <c r="A434" s="42" t="s">
        <v>620</v>
      </c>
      <c r="B434" s="42" t="s">
        <v>132</v>
      </c>
      <c r="C434" s="42"/>
      <c r="D434" s="42" t="s">
        <v>584</v>
      </c>
      <c r="E434" s="41" t="s">
        <v>130</v>
      </c>
      <c r="F434" s="41">
        <v>1</v>
      </c>
      <c r="G434" s="41" t="s">
        <v>95</v>
      </c>
      <c r="H434" s="43" t="str">
        <f>ПАРАМЕТРЫ!B7&amp;"%"</f>
        <v>15%</v>
      </c>
      <c r="I434" s="44">
        <f>(I431+I432)*ПАРАМЕТРЫ!B7/100</f>
        <v>145648.63782</v>
      </c>
      <c r="J434" s="42" t="s">
        <v>11</v>
      </c>
    </row>
    <row r="435" spans="1:10" ht="25.5" customHeight="1" thickBot="1" x14ac:dyDescent="0.3">
      <c r="A435" s="45" t="s">
        <v>621</v>
      </c>
      <c r="B435" s="45"/>
      <c r="C435" s="45"/>
      <c r="D435" s="45"/>
      <c r="E435" s="45"/>
      <c r="F435" s="45"/>
      <c r="G435" s="45"/>
      <c r="H435" s="45"/>
      <c r="I435" s="46">
        <f>I431+I432+I433+I434</f>
        <v>1233158.4668760002</v>
      </c>
      <c r="J435" s="45"/>
    </row>
    <row r="436" spans="1:10" ht="25.5" customHeight="1" thickBot="1" x14ac:dyDescent="0.3">
      <c r="A436" s="59" t="s">
        <v>622</v>
      </c>
      <c r="B436" s="59" t="str">
        <f>A436</f>
        <v>КОМПЛЕКТ 51.  ЩР-2 (ЩМП-7-0 36 УХЛ3 IP31)  |  Альбом 7.3 ФО (Фасадная подсветка)</v>
      </c>
      <c r="C436" s="2"/>
      <c r="D436" s="2"/>
      <c r="E436" s="2"/>
      <c r="F436" s="2"/>
      <c r="G436" s="2"/>
      <c r="H436" s="2"/>
      <c r="I436" s="2"/>
      <c r="J436" s="2"/>
    </row>
    <row r="437" spans="1:10" ht="25.5" customHeight="1" x14ac:dyDescent="0.25">
      <c r="A437" s="22" t="s">
        <v>623</v>
      </c>
      <c r="B437" s="22" t="s">
        <v>615</v>
      </c>
      <c r="C437" s="22" t="s">
        <v>92</v>
      </c>
      <c r="D437" s="22" t="s">
        <v>584</v>
      </c>
      <c r="E437" s="21" t="s">
        <v>94</v>
      </c>
      <c r="F437" s="21">
        <v>1</v>
      </c>
      <c r="G437" s="21" t="s">
        <v>95</v>
      </c>
      <c r="H437" s="21" t="s">
        <v>95</v>
      </c>
      <c r="I437" s="23">
        <v>0</v>
      </c>
      <c r="J437" s="22" t="s">
        <v>96</v>
      </c>
    </row>
    <row r="438" spans="1:10" ht="25.5" customHeight="1" x14ac:dyDescent="0.25">
      <c r="A438" s="25" t="s">
        <v>624</v>
      </c>
      <c r="B438" s="25" t="s">
        <v>158</v>
      </c>
      <c r="C438" s="25" t="s">
        <v>159</v>
      </c>
      <c r="D438" s="25" t="s">
        <v>584</v>
      </c>
      <c r="E438" s="24" t="s">
        <v>94</v>
      </c>
      <c r="F438" s="26">
        <v>1</v>
      </c>
      <c r="G438" s="27">
        <f>ПАРАМЕТРЫ!B27</f>
        <v>36.68</v>
      </c>
      <c r="H438" s="28">
        <f>ПАРАМЕТРЫ!D27</f>
        <v>8634.8387999999995</v>
      </c>
      <c r="I438" s="28">
        <f>F438*H438</f>
        <v>8634.8387999999995</v>
      </c>
      <c r="J438" s="25" t="s">
        <v>160</v>
      </c>
    </row>
    <row r="439" spans="1:10" ht="25.5" customHeight="1" x14ac:dyDescent="0.25">
      <c r="A439" s="30" t="s">
        <v>625</v>
      </c>
      <c r="B439" s="30" t="s">
        <v>590</v>
      </c>
      <c r="C439" s="30" t="s">
        <v>591</v>
      </c>
      <c r="D439" s="30" t="s">
        <v>584</v>
      </c>
      <c r="E439" s="29" t="s">
        <v>94</v>
      </c>
      <c r="F439" s="26">
        <v>12</v>
      </c>
      <c r="G439" s="31">
        <f>ПАРАМЕТРЫ!B25</f>
        <v>292</v>
      </c>
      <c r="H439" s="32">
        <f>ПАРАМЕТРЫ!D25</f>
        <v>68739.72</v>
      </c>
      <c r="I439" s="32">
        <f>F439*H439</f>
        <v>824876.64</v>
      </c>
      <c r="J439" s="30" t="s">
        <v>618</v>
      </c>
    </row>
    <row r="440" spans="1:10" ht="25.5" customHeight="1" x14ac:dyDescent="0.25">
      <c r="A440" s="38" t="s">
        <v>626</v>
      </c>
      <c r="B440" s="38" t="s">
        <v>129</v>
      </c>
      <c r="C440" s="38"/>
      <c r="D440" s="38" t="s">
        <v>584</v>
      </c>
      <c r="E440" s="37" t="s">
        <v>130</v>
      </c>
      <c r="F440" s="37">
        <v>1</v>
      </c>
      <c r="G440" s="37" t="s">
        <v>95</v>
      </c>
      <c r="H440" s="39" t="str">
        <f>ПАРАМЕТРЫ!B6&amp;"%"</f>
        <v>12%</v>
      </c>
      <c r="I440" s="40">
        <f>(I438+I439)*ПАРАМЕТРЫ!B6/100</f>
        <v>100021.377456</v>
      </c>
      <c r="J440" s="38" t="s">
        <v>11</v>
      </c>
    </row>
    <row r="441" spans="1:10" ht="25.5" customHeight="1" thickBot="1" x14ac:dyDescent="0.3">
      <c r="A441" s="42" t="s">
        <v>627</v>
      </c>
      <c r="B441" s="42" t="s">
        <v>132</v>
      </c>
      <c r="C441" s="42"/>
      <c r="D441" s="42" t="s">
        <v>584</v>
      </c>
      <c r="E441" s="41" t="s">
        <v>130</v>
      </c>
      <c r="F441" s="41">
        <v>1</v>
      </c>
      <c r="G441" s="41" t="s">
        <v>95</v>
      </c>
      <c r="H441" s="43" t="str">
        <f>ПАРАМЕТРЫ!B7&amp;"%"</f>
        <v>15%</v>
      </c>
      <c r="I441" s="44">
        <f>(I438+I439)*ПАРАМЕТРЫ!B7/100</f>
        <v>125026.72182000001</v>
      </c>
      <c r="J441" s="42" t="s">
        <v>11</v>
      </c>
    </row>
    <row r="442" spans="1:10" ht="25.5" customHeight="1" thickBot="1" x14ac:dyDescent="0.3">
      <c r="A442" s="45" t="s">
        <v>628</v>
      </c>
      <c r="B442" s="45"/>
      <c r="C442" s="45"/>
      <c r="D442" s="45"/>
      <c r="E442" s="45"/>
      <c r="F442" s="45"/>
      <c r="G442" s="45"/>
      <c r="H442" s="45"/>
      <c r="I442" s="46">
        <f>I438+I439+I440+I441</f>
        <v>1058559.5780760001</v>
      </c>
      <c r="J442" s="45"/>
    </row>
    <row r="443" spans="1:10" ht="25.5" customHeight="1" thickBot="1" x14ac:dyDescent="0.3">
      <c r="A443" s="59" t="s">
        <v>629</v>
      </c>
      <c r="B443" s="59" t="str">
        <f>A443</f>
        <v>КОМПЛЕКТ 52.  ЩР-3 (ЩМП-7-0 36 УХЛ3 IP31)  |  Альбом 7.3 ФО (Фасадная подсветка)</v>
      </c>
      <c r="C443" s="2"/>
      <c r="D443" s="2"/>
      <c r="E443" s="2"/>
      <c r="F443" s="2"/>
      <c r="G443" s="2"/>
      <c r="H443" s="2"/>
      <c r="I443" s="2"/>
      <c r="J443" s="2"/>
    </row>
    <row r="444" spans="1:10" ht="25.5" customHeight="1" x14ac:dyDescent="0.25">
      <c r="A444" s="22" t="s">
        <v>630</v>
      </c>
      <c r="B444" s="22" t="s">
        <v>615</v>
      </c>
      <c r="C444" s="22" t="s">
        <v>92</v>
      </c>
      <c r="D444" s="22" t="s">
        <v>584</v>
      </c>
      <c r="E444" s="21" t="s">
        <v>94</v>
      </c>
      <c r="F444" s="21">
        <v>1</v>
      </c>
      <c r="G444" s="21" t="s">
        <v>95</v>
      </c>
      <c r="H444" s="21" t="s">
        <v>95</v>
      </c>
      <c r="I444" s="23">
        <v>0</v>
      </c>
      <c r="J444" s="22" t="s">
        <v>96</v>
      </c>
    </row>
    <row r="445" spans="1:10" ht="25.5" customHeight="1" x14ac:dyDescent="0.25">
      <c r="A445" s="25" t="s">
        <v>631</v>
      </c>
      <c r="B445" s="25" t="s">
        <v>158</v>
      </c>
      <c r="C445" s="25" t="s">
        <v>159</v>
      </c>
      <c r="D445" s="25" t="s">
        <v>584</v>
      </c>
      <c r="E445" s="24" t="s">
        <v>94</v>
      </c>
      <c r="F445" s="26">
        <v>1</v>
      </c>
      <c r="G445" s="27">
        <f>ПАРАМЕТРЫ!B27</f>
        <v>36.68</v>
      </c>
      <c r="H445" s="28">
        <f>ПАРАМЕТРЫ!D27</f>
        <v>8634.8387999999995</v>
      </c>
      <c r="I445" s="28">
        <f>F445*H445</f>
        <v>8634.8387999999995</v>
      </c>
      <c r="J445" s="25" t="s">
        <v>160</v>
      </c>
    </row>
    <row r="446" spans="1:10" ht="25.5" customHeight="1" x14ac:dyDescent="0.25">
      <c r="A446" s="30" t="s">
        <v>632</v>
      </c>
      <c r="B446" s="30" t="s">
        <v>590</v>
      </c>
      <c r="C446" s="30" t="s">
        <v>591</v>
      </c>
      <c r="D446" s="30" t="s">
        <v>584</v>
      </c>
      <c r="E446" s="29" t="s">
        <v>94</v>
      </c>
      <c r="F446" s="26">
        <v>13</v>
      </c>
      <c r="G446" s="31">
        <f>ПАРАМЕТРЫ!B25</f>
        <v>292</v>
      </c>
      <c r="H446" s="32">
        <f>ПАРАМЕТРЫ!D25</f>
        <v>68739.72</v>
      </c>
      <c r="I446" s="32">
        <f>F446*H446</f>
        <v>893616.36</v>
      </c>
      <c r="J446" s="30" t="s">
        <v>618</v>
      </c>
    </row>
    <row r="447" spans="1:10" ht="25.5" customHeight="1" x14ac:dyDescent="0.25">
      <c r="A447" s="38" t="s">
        <v>633</v>
      </c>
      <c r="B447" s="38" t="s">
        <v>129</v>
      </c>
      <c r="C447" s="38"/>
      <c r="D447" s="38" t="s">
        <v>584</v>
      </c>
      <c r="E447" s="37" t="s">
        <v>130</v>
      </c>
      <c r="F447" s="37">
        <v>1</v>
      </c>
      <c r="G447" s="37" t="s">
        <v>95</v>
      </c>
      <c r="H447" s="39" t="str">
        <f>ПАРАМЕТРЫ!B6&amp;"%"</f>
        <v>12%</v>
      </c>
      <c r="I447" s="40">
        <f>(I445+I446)*ПАРАМЕТРЫ!B6/100</f>
        <v>108270.14385600001</v>
      </c>
      <c r="J447" s="38" t="s">
        <v>11</v>
      </c>
    </row>
    <row r="448" spans="1:10" ht="25.5" customHeight="1" thickBot="1" x14ac:dyDescent="0.3">
      <c r="A448" s="42" t="s">
        <v>634</v>
      </c>
      <c r="B448" s="42" t="s">
        <v>132</v>
      </c>
      <c r="C448" s="42"/>
      <c r="D448" s="42" t="s">
        <v>584</v>
      </c>
      <c r="E448" s="41" t="s">
        <v>130</v>
      </c>
      <c r="F448" s="41">
        <v>1</v>
      </c>
      <c r="G448" s="41" t="s">
        <v>95</v>
      </c>
      <c r="H448" s="43" t="str">
        <f>ПАРАМЕТРЫ!B7&amp;"%"</f>
        <v>15%</v>
      </c>
      <c r="I448" s="44">
        <f>(I445+I446)*ПАРАМЕТРЫ!B7/100</f>
        <v>135337.67982000002</v>
      </c>
      <c r="J448" s="42" t="s">
        <v>11</v>
      </c>
    </row>
    <row r="449" spans="1:10" ht="25.5" customHeight="1" thickBot="1" x14ac:dyDescent="0.3">
      <c r="A449" s="45" t="s">
        <v>635</v>
      </c>
      <c r="B449" s="45"/>
      <c r="C449" s="45"/>
      <c r="D449" s="45"/>
      <c r="E449" s="45"/>
      <c r="F449" s="45"/>
      <c r="G449" s="45"/>
      <c r="H449" s="45"/>
      <c r="I449" s="46">
        <f>I445+I446+I447+I448</f>
        <v>1145859.022476</v>
      </c>
      <c r="J449" s="45"/>
    </row>
    <row r="450" spans="1:10" ht="25.5" customHeight="1" thickBot="1" x14ac:dyDescent="0.3">
      <c r="A450" s="59" t="s">
        <v>636</v>
      </c>
      <c r="B450" s="59" t="str">
        <f>A450</f>
        <v>КОМПЛЕКТ 53.  ЩР-4 (ЩМП-7-0 36 УХЛ3 IP31)  |  Альбом 7.3 ФО (Фасадная подсветка)</v>
      </c>
      <c r="C450" s="2"/>
      <c r="D450" s="2"/>
      <c r="E450" s="2"/>
      <c r="F450" s="2"/>
      <c r="G450" s="2"/>
      <c r="H450" s="2"/>
      <c r="I450" s="2"/>
      <c r="J450" s="2"/>
    </row>
    <row r="451" spans="1:10" ht="25.5" customHeight="1" x14ac:dyDescent="0.25">
      <c r="A451" s="22" t="s">
        <v>637</v>
      </c>
      <c r="B451" s="22" t="s">
        <v>615</v>
      </c>
      <c r="C451" s="22" t="s">
        <v>92</v>
      </c>
      <c r="D451" s="22" t="s">
        <v>584</v>
      </c>
      <c r="E451" s="21" t="s">
        <v>94</v>
      </c>
      <c r="F451" s="21">
        <v>1</v>
      </c>
      <c r="G451" s="21" t="s">
        <v>95</v>
      </c>
      <c r="H451" s="21" t="s">
        <v>95</v>
      </c>
      <c r="I451" s="23">
        <v>0</v>
      </c>
      <c r="J451" s="22" t="s">
        <v>96</v>
      </c>
    </row>
    <row r="452" spans="1:10" ht="25.5" customHeight="1" x14ac:dyDescent="0.25">
      <c r="A452" s="25" t="s">
        <v>638</v>
      </c>
      <c r="B452" s="25" t="s">
        <v>158</v>
      </c>
      <c r="C452" s="25" t="s">
        <v>159</v>
      </c>
      <c r="D452" s="25" t="s">
        <v>584</v>
      </c>
      <c r="E452" s="24" t="s">
        <v>94</v>
      </c>
      <c r="F452" s="26">
        <v>1</v>
      </c>
      <c r="G452" s="27">
        <f>ПАРАМЕТРЫ!B27</f>
        <v>36.68</v>
      </c>
      <c r="H452" s="28">
        <f>ПАРАМЕТРЫ!D27</f>
        <v>8634.8387999999995</v>
      </c>
      <c r="I452" s="28">
        <f>F452*H452</f>
        <v>8634.8387999999995</v>
      </c>
      <c r="J452" s="25" t="s">
        <v>160</v>
      </c>
    </row>
    <row r="453" spans="1:10" ht="25.5" customHeight="1" x14ac:dyDescent="0.25">
      <c r="A453" s="30" t="s">
        <v>639</v>
      </c>
      <c r="B453" s="30" t="s">
        <v>590</v>
      </c>
      <c r="C453" s="30" t="s">
        <v>591</v>
      </c>
      <c r="D453" s="30" t="s">
        <v>584</v>
      </c>
      <c r="E453" s="29" t="s">
        <v>94</v>
      </c>
      <c r="F453" s="26">
        <v>12</v>
      </c>
      <c r="G453" s="31">
        <f>ПАРАМЕТРЫ!B25</f>
        <v>292</v>
      </c>
      <c r="H453" s="32">
        <f>ПАРАМЕТРЫ!D25</f>
        <v>68739.72</v>
      </c>
      <c r="I453" s="32">
        <f>F453*H453</f>
        <v>824876.64</v>
      </c>
      <c r="J453" s="30" t="s">
        <v>618</v>
      </c>
    </row>
    <row r="454" spans="1:10" ht="25.5" customHeight="1" x14ac:dyDescent="0.25">
      <c r="A454" s="38" t="s">
        <v>640</v>
      </c>
      <c r="B454" s="38" t="s">
        <v>129</v>
      </c>
      <c r="C454" s="38"/>
      <c r="D454" s="38" t="s">
        <v>584</v>
      </c>
      <c r="E454" s="37" t="s">
        <v>130</v>
      </c>
      <c r="F454" s="37">
        <v>1</v>
      </c>
      <c r="G454" s="37" t="s">
        <v>95</v>
      </c>
      <c r="H454" s="39" t="str">
        <f>ПАРАМЕТРЫ!B6&amp;"%"</f>
        <v>12%</v>
      </c>
      <c r="I454" s="40">
        <f>(I452+I453)*ПАРАМЕТРЫ!B6/100</f>
        <v>100021.377456</v>
      </c>
      <c r="J454" s="38" t="s">
        <v>11</v>
      </c>
    </row>
    <row r="455" spans="1:10" ht="25.5" customHeight="1" thickBot="1" x14ac:dyDescent="0.3">
      <c r="A455" s="42" t="s">
        <v>641</v>
      </c>
      <c r="B455" s="42" t="s">
        <v>132</v>
      </c>
      <c r="C455" s="42"/>
      <c r="D455" s="42" t="s">
        <v>584</v>
      </c>
      <c r="E455" s="41" t="s">
        <v>130</v>
      </c>
      <c r="F455" s="41">
        <v>1</v>
      </c>
      <c r="G455" s="41" t="s">
        <v>95</v>
      </c>
      <c r="H455" s="43" t="str">
        <f>ПАРАМЕТРЫ!B7&amp;"%"</f>
        <v>15%</v>
      </c>
      <c r="I455" s="44">
        <f>(I452+I453)*ПАРАМЕТРЫ!B7/100</f>
        <v>125026.72182000001</v>
      </c>
      <c r="J455" s="42" t="s">
        <v>11</v>
      </c>
    </row>
    <row r="456" spans="1:10" ht="25.5" customHeight="1" thickBot="1" x14ac:dyDescent="0.3">
      <c r="A456" s="45" t="s">
        <v>642</v>
      </c>
      <c r="B456" s="45"/>
      <c r="C456" s="45"/>
      <c r="D456" s="45"/>
      <c r="E456" s="45"/>
      <c r="F456" s="45"/>
      <c r="G456" s="45"/>
      <c r="H456" s="45"/>
      <c r="I456" s="46">
        <f>I452+I453+I454+I455</f>
        <v>1058559.5780760001</v>
      </c>
      <c r="J456" s="45"/>
    </row>
    <row r="457" spans="1:10" ht="25.5" customHeight="1" thickBot="1" x14ac:dyDescent="0.3">
      <c r="A457" s="4" t="s">
        <v>643</v>
      </c>
      <c r="B457" s="4"/>
      <c r="C457" s="4"/>
      <c r="D457" s="4"/>
      <c r="E457" s="4"/>
      <c r="F457" s="4"/>
      <c r="G457" s="4"/>
      <c r="H457" s="4"/>
      <c r="I457" s="4"/>
      <c r="J457" s="4"/>
    </row>
    <row r="458" spans="1:10" ht="25.5" customHeight="1" thickBot="1" x14ac:dyDescent="0.3">
      <c r="A458" s="47" t="s">
        <v>644</v>
      </c>
      <c r="B458" s="47"/>
      <c r="C458" s="47" t="str">
        <f>A458</f>
        <v>ЭОМ — ГАРАЖ</v>
      </c>
      <c r="D458" s="47"/>
      <c r="E458" s="47"/>
      <c r="F458" s="47"/>
      <c r="G458" s="47"/>
      <c r="H458" s="47"/>
      <c r="I458" s="48">
        <f>I16+I26+I35+I44+I51+I58+I66</f>
        <v>1903224.5087580001</v>
      </c>
      <c r="J458" s="47"/>
    </row>
    <row r="459" spans="1:10" ht="25.5" customHeight="1" thickBot="1" x14ac:dyDescent="0.3">
      <c r="A459" s="47" t="s">
        <v>645</v>
      </c>
      <c r="B459" s="47"/>
      <c r="C459" s="47" t="str">
        <f t="shared" ref="C459:C463" si="1">A459</f>
        <v>ЭО — КОНЦЕРТНЫЙ ЗАЛ</v>
      </c>
      <c r="D459" s="47"/>
      <c r="E459" s="47"/>
      <c r="F459" s="47"/>
      <c r="G459" s="47"/>
      <c r="H459" s="47"/>
      <c r="I459" s="48">
        <f>I77+I87+I97+I107+I117+I127+I137+I147+I157+I164+I171+I178+I185+I192+I199+I206</f>
        <v>1936035.5928689998</v>
      </c>
      <c r="J459" s="47"/>
    </row>
    <row r="460" spans="1:10" ht="25.5" customHeight="1" thickBot="1" x14ac:dyDescent="0.3">
      <c r="A460" s="47" t="s">
        <v>646</v>
      </c>
      <c r="B460" s="47"/>
      <c r="C460" s="47" t="str">
        <f t="shared" si="1"/>
        <v>ЭО — МУЗЕЙ</v>
      </c>
      <c r="D460" s="47"/>
      <c r="E460" s="47"/>
      <c r="F460" s="47"/>
      <c r="G460" s="47"/>
      <c r="H460" s="47"/>
      <c r="I460" s="48">
        <f>I217+I227+I237+I247+I257+I266+I275+I284+I293+I302+I309+I316+I323+I330+I337+I344+I351+I358+I365+I372</f>
        <v>1325307.2160299998</v>
      </c>
      <c r="J460" s="47"/>
    </row>
    <row r="461" spans="1:10" ht="25.5" customHeight="1" thickBot="1" x14ac:dyDescent="0.3">
      <c r="A461" s="47" t="s">
        <v>647</v>
      </c>
      <c r="B461" s="47"/>
      <c r="C461" s="47" t="str">
        <f t="shared" si="1"/>
        <v>ЭО — ГАЛЕРЕЯ</v>
      </c>
      <c r="D461" s="47"/>
      <c r="E461" s="47"/>
      <c r="F461" s="47"/>
      <c r="G461" s="47"/>
      <c r="H461" s="47"/>
      <c r="I461" s="48">
        <f>I383+I390</f>
        <v>132288.55533599999</v>
      </c>
      <c r="J461" s="47"/>
    </row>
    <row r="462" spans="1:10" ht="25.5" customHeight="1" thickBot="1" x14ac:dyDescent="0.3">
      <c r="A462" s="47" t="s">
        <v>648</v>
      </c>
      <c r="B462" s="47"/>
      <c r="C462" s="47" t="str">
        <f t="shared" si="1"/>
        <v>ЭН — НАРУЖНОЕ ОСВЕЩЕНИЕ</v>
      </c>
      <c r="D462" s="47"/>
      <c r="E462" s="47"/>
      <c r="F462" s="47"/>
      <c r="G462" s="47"/>
      <c r="H462" s="47"/>
      <c r="I462" s="48">
        <f>I401+I408</f>
        <v>250489.61128800001</v>
      </c>
      <c r="J462" s="47"/>
    </row>
    <row r="463" spans="1:10" ht="25.5" customHeight="1" thickBot="1" x14ac:dyDescent="0.3">
      <c r="A463" s="47" t="s">
        <v>649</v>
      </c>
      <c r="B463" s="47"/>
      <c r="C463" s="47" t="str">
        <f t="shared" si="1"/>
        <v>ФО — ФАСАД</v>
      </c>
      <c r="D463" s="47"/>
      <c r="E463" s="47"/>
      <c r="F463" s="47"/>
      <c r="G463" s="47"/>
      <c r="H463" s="47"/>
      <c r="I463" s="48">
        <f>I419+I428+I435+I442+I449+I456</f>
        <v>4804817.9138400005</v>
      </c>
      <c r="J463" s="47"/>
    </row>
    <row r="464" spans="1:10" ht="25.5" customHeight="1" thickBot="1" x14ac:dyDescent="0.3">
      <c r="A464" s="49" t="s">
        <v>650</v>
      </c>
      <c r="B464" s="49"/>
      <c r="C464" s="49"/>
      <c r="D464" s="49"/>
      <c r="E464" s="49"/>
      <c r="F464" s="49"/>
      <c r="G464" s="49"/>
      <c r="H464" s="49"/>
      <c r="I464" s="50">
        <f>I458+I459+I460+I461+I462+I463</f>
        <v>10352163.398120999</v>
      </c>
      <c r="J464" s="49"/>
    </row>
    <row r="465" spans="1:10" ht="25.5" customHeight="1" x14ac:dyDescent="0.25">
      <c r="A465" s="51" t="s">
        <v>651</v>
      </c>
      <c r="B465" s="51"/>
      <c r="C465" s="51"/>
      <c r="D465" s="51"/>
      <c r="E465" s="51"/>
      <c r="F465" s="51"/>
      <c r="G465" s="51"/>
      <c r="H465" s="51"/>
      <c r="I465" s="51"/>
      <c r="J465" s="51"/>
    </row>
  </sheetData>
  <autoFilter ref="A2:J465" xr:uid="{00000000-0001-0000-0100-000000000000}"/>
  <phoneticPr fontId="2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workbookViewId="0"/>
  </sheetViews>
  <sheetFormatPr defaultColWidth="8.7109375" defaultRowHeight="15" x14ac:dyDescent="0.25"/>
  <cols>
    <col min="1" max="1" width="52" customWidth="1"/>
    <col min="2" max="2" width="22" customWidth="1"/>
    <col min="3" max="3" width="18" customWidth="1"/>
    <col min="4" max="4" width="10" customWidth="1"/>
  </cols>
  <sheetData>
    <row r="1" spans="1:4" ht="24" customHeight="1" x14ac:dyDescent="0.25">
      <c r="A1" s="52" t="s">
        <v>652</v>
      </c>
      <c r="B1" s="2"/>
      <c r="C1" s="2"/>
      <c r="D1" s="2"/>
    </row>
    <row r="2" spans="1:4" ht="19.5" customHeight="1" x14ac:dyDescent="0.25">
      <c r="A2" s="3" t="s">
        <v>653</v>
      </c>
      <c r="B2" s="3" t="s">
        <v>654</v>
      </c>
      <c r="C2" s="3" t="s">
        <v>655</v>
      </c>
      <c r="D2" s="3" t="s">
        <v>656</v>
      </c>
    </row>
    <row r="3" spans="1:4" ht="16.5" customHeight="1" x14ac:dyDescent="0.25">
      <c r="A3" s="11" t="s">
        <v>644</v>
      </c>
      <c r="B3" s="53">
        <f>BOM!I16+BOM!I26+BOM!I35+BOM!I44+BOM!I51+BOM!I58+BOM!I66</f>
        <v>1903224.5087580001</v>
      </c>
      <c r="C3" s="24" t="s">
        <v>77</v>
      </c>
      <c r="D3" s="24" t="s">
        <v>657</v>
      </c>
    </row>
    <row r="4" spans="1:4" ht="16.5" customHeight="1" x14ac:dyDescent="0.25">
      <c r="A4" s="5" t="s">
        <v>645</v>
      </c>
      <c r="B4" s="54">
        <f>BOM!I77+BOM!I87+BOM!I97+BOM!I107+BOM!I117+BOM!I127+BOM!I137+BOM!I147+BOM!I157+BOM!I164+BOM!I171+BOM!I178+BOM!I185+BOM!I192+BOM!I199+BOM!I206</f>
        <v>1936035.5928689998</v>
      </c>
      <c r="C4" s="29" t="s">
        <v>77</v>
      </c>
      <c r="D4" s="29" t="s">
        <v>658</v>
      </c>
    </row>
    <row r="5" spans="1:4" ht="16.5" customHeight="1" x14ac:dyDescent="0.25">
      <c r="A5" s="11" t="s">
        <v>646</v>
      </c>
      <c r="B5" s="53">
        <f>BOM!I217+BOM!I227+BOM!I237+BOM!I247+BOM!I257+BOM!I266+BOM!I275+BOM!I284+BOM!I293+BOM!I302+BOM!I309+BOM!I316+BOM!I323+BOM!I330+BOM!I337+BOM!I344+BOM!I351+BOM!I358+BOM!I365+BOM!I372</f>
        <v>1325307.2160299998</v>
      </c>
      <c r="C5" s="24" t="s">
        <v>77</v>
      </c>
      <c r="D5" s="24" t="s">
        <v>659</v>
      </c>
    </row>
    <row r="6" spans="1:4" ht="16.5" customHeight="1" x14ac:dyDescent="0.25">
      <c r="A6" s="5" t="s">
        <v>647</v>
      </c>
      <c r="B6" s="54">
        <f>BOM!I383+BOM!I390</f>
        <v>132288.55533599999</v>
      </c>
      <c r="C6" s="29" t="s">
        <v>77</v>
      </c>
      <c r="D6" s="29" t="s">
        <v>660</v>
      </c>
    </row>
    <row r="7" spans="1:4" ht="16.5" customHeight="1" x14ac:dyDescent="0.25">
      <c r="A7" s="11" t="s">
        <v>648</v>
      </c>
      <c r="B7" s="53">
        <f>BOM!I401+BOM!I408</f>
        <v>250489.61128800001</v>
      </c>
      <c r="C7" s="24" t="s">
        <v>77</v>
      </c>
      <c r="D7" s="24" t="s">
        <v>660</v>
      </c>
    </row>
    <row r="8" spans="1:4" ht="16.5" customHeight="1" x14ac:dyDescent="0.25">
      <c r="A8" s="5" t="s">
        <v>649</v>
      </c>
      <c r="B8" s="54">
        <f>BOM!I419+BOM!I428+BOM!I435+BOM!I442+BOM!I449+BOM!I456</f>
        <v>4804817.9138400005</v>
      </c>
      <c r="C8" s="29" t="s">
        <v>77</v>
      </c>
      <c r="D8" s="29" t="s">
        <v>661</v>
      </c>
    </row>
    <row r="9" spans="1:4" ht="21.75" customHeight="1" x14ac:dyDescent="0.25">
      <c r="A9" s="55" t="s">
        <v>662</v>
      </c>
      <c r="B9" s="56">
        <f>B3+B4+B5+B6+B7+B8</f>
        <v>10352163.398120999</v>
      </c>
      <c r="C9" s="57" t="s">
        <v>663</v>
      </c>
      <c r="D9" s="57" t="s">
        <v>664</v>
      </c>
    </row>
    <row r="11" spans="1:4" x14ac:dyDescent="0.25">
      <c r="A11" s="58" t="s">
        <v>665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ПАРАМЕТРЫ</vt:lpstr>
      <vt:lpstr>BOM</vt:lpstr>
      <vt:lpstr>СВОДНАЯ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2026-06-10T03:51:21Z</dcterms:created>
  <dcterms:modified xsi:type="dcterms:W3CDTF">2026-06-10T09:00:10Z</dcterms:modified>
  <dc:language>en-US</dc:language>
</cp:coreProperties>
</file>