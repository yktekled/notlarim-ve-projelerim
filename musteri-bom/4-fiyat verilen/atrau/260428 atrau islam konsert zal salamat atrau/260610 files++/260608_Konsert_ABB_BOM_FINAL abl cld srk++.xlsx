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428 atrau islam konsert zal salamat atrau\260610 files++\"/>
    </mc:Choice>
  </mc:AlternateContent>
  <xr:revisionPtr revIDLastSave="0" documentId="13_ncr:1_{A51DB4FE-7634-4B82-AFAB-20D057F691FE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ПАРАМЕТРЫ" sheetId="1" r:id="rId1"/>
    <sheet name="BOM" sheetId="2" r:id="rId2"/>
    <sheet name="Sayfa1" sheetId="4" r:id="rId3"/>
    <sheet name="СВОДНАЯ" sheetId="3" r:id="rId4"/>
  </sheets>
  <definedNames>
    <definedName name="_xlnm._FilterDatabase" localSheetId="1" hidden="1">BOM!$B$2:$J$427</definedName>
    <definedName name="_xlnm._FilterDatabase" localSheetId="2" hidden="1">Sayfa1!$A$2:$L$433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9" i="2" l="1"/>
  <c r="G78" i="2"/>
  <c r="G70" i="2"/>
  <c r="G69" i="2"/>
  <c r="A59" i="2"/>
  <c r="A60" i="2"/>
  <c r="A61" i="2"/>
  <c r="F61" i="2"/>
  <c r="G61" i="2" s="1"/>
  <c r="E61" i="2"/>
  <c r="F20" i="2"/>
  <c r="F423" i="2"/>
  <c r="F417" i="2"/>
  <c r="F411" i="2"/>
  <c r="F405" i="2"/>
  <c r="F398" i="2"/>
  <c r="F390" i="2"/>
  <c r="F371" i="2"/>
  <c r="F365" i="2"/>
  <c r="F346" i="2"/>
  <c r="F340" i="2"/>
  <c r="F331" i="2"/>
  <c r="F325" i="2"/>
  <c r="F319" i="2"/>
  <c r="F313" i="2"/>
  <c r="F307" i="2"/>
  <c r="F301" i="2"/>
  <c r="F295" i="2"/>
  <c r="F289" i="2"/>
  <c r="F283" i="2"/>
  <c r="F277" i="2"/>
  <c r="F271" i="2"/>
  <c r="F263" i="2"/>
  <c r="F255" i="2"/>
  <c r="F247" i="2"/>
  <c r="F239" i="2"/>
  <c r="F231" i="2"/>
  <c r="F222" i="2"/>
  <c r="F213" i="2"/>
  <c r="F204" i="2"/>
  <c r="F195" i="2"/>
  <c r="F186" i="2"/>
  <c r="F180" i="2"/>
  <c r="F174" i="2"/>
  <c r="F168" i="2"/>
  <c r="F162" i="2"/>
  <c r="F156" i="2"/>
  <c r="F150" i="2"/>
  <c r="F144" i="2"/>
  <c r="F135" i="2"/>
  <c r="F126" i="2"/>
  <c r="F117" i="2"/>
  <c r="F108" i="2"/>
  <c r="F99" i="2"/>
  <c r="F90" i="2"/>
  <c r="F81" i="2"/>
  <c r="F72" i="2"/>
  <c r="F63" i="2"/>
  <c r="F56" i="2"/>
  <c r="F50" i="2"/>
  <c r="F44" i="2"/>
  <c r="F36" i="2"/>
  <c r="F29" i="2"/>
  <c r="F16" i="2"/>
  <c r="G16" i="2" s="1"/>
  <c r="G423" i="2" l="1"/>
  <c r="G417" i="2"/>
  <c r="G411" i="2"/>
  <c r="G405" i="2"/>
  <c r="G398" i="2"/>
  <c r="G390" i="2"/>
  <c r="G371" i="2"/>
  <c r="G365" i="2"/>
  <c r="G346" i="2"/>
  <c r="G340" i="2"/>
  <c r="G331" i="2"/>
  <c r="G325" i="2"/>
  <c r="G319" i="2"/>
  <c r="G313" i="2"/>
  <c r="G307" i="2"/>
  <c r="G301" i="2"/>
  <c r="G295" i="2"/>
  <c r="G289" i="2"/>
  <c r="G283" i="2"/>
  <c r="G277" i="2"/>
  <c r="G271" i="2"/>
  <c r="G263" i="2"/>
  <c r="G255" i="2"/>
  <c r="G247" i="2"/>
  <c r="G239" i="2"/>
  <c r="G231" i="2"/>
  <c r="G222" i="2"/>
  <c r="G213" i="2"/>
  <c r="G204" i="2"/>
  <c r="G195" i="2"/>
  <c r="G186" i="2"/>
  <c r="G180" i="2"/>
  <c r="G174" i="2"/>
  <c r="G168" i="2"/>
  <c r="G162" i="2"/>
  <c r="G156" i="2"/>
  <c r="G150" i="2"/>
  <c r="G144" i="2"/>
  <c r="G135" i="2"/>
  <c r="G126" i="2"/>
  <c r="G117" i="2"/>
  <c r="G108" i="2"/>
  <c r="G99" i="2"/>
  <c r="G90" i="2"/>
  <c r="G81" i="2"/>
  <c r="G72" i="2"/>
  <c r="G63" i="2"/>
  <c r="G56" i="2"/>
  <c r="G50" i="2"/>
  <c r="G44" i="2"/>
  <c r="G36" i="2"/>
  <c r="G29" i="2"/>
  <c r="G20" i="2"/>
  <c r="F4" i="2"/>
  <c r="G4" i="2" s="1"/>
  <c r="F384" i="2"/>
  <c r="F360" i="2"/>
  <c r="F433" i="4"/>
  <c r="F432" i="4"/>
  <c r="E431" i="4"/>
  <c r="F431" i="4" s="1"/>
  <c r="G431" i="4" s="1"/>
  <c r="E430" i="4"/>
  <c r="F430" i="4" s="1"/>
  <c r="G430" i="4" s="1"/>
  <c r="A428" i="4"/>
  <c r="A429" i="4" s="1"/>
  <c r="A430" i="4" s="1"/>
  <c r="A431" i="4" s="1"/>
  <c r="A432" i="4" s="1"/>
  <c r="A433" i="4" s="1"/>
  <c r="F427" i="4"/>
  <c r="F426" i="4"/>
  <c r="E425" i="4"/>
  <c r="F425" i="4" s="1"/>
  <c r="G425" i="4" s="1"/>
  <c r="E424" i="4"/>
  <c r="F424" i="4" s="1"/>
  <c r="G424" i="4" s="1"/>
  <c r="A422" i="4"/>
  <c r="A423" i="4" s="1"/>
  <c r="A424" i="4" s="1"/>
  <c r="A425" i="4" s="1"/>
  <c r="A426" i="4" s="1"/>
  <c r="A427" i="4" s="1"/>
  <c r="F421" i="4"/>
  <c r="F420" i="4"/>
  <c r="F419" i="4"/>
  <c r="G419" i="4" s="1"/>
  <c r="E419" i="4"/>
  <c r="E418" i="4"/>
  <c r="F418" i="4" s="1"/>
  <c r="G418" i="4" s="1"/>
  <c r="A416" i="4"/>
  <c r="A417" i="4" s="1"/>
  <c r="A418" i="4" s="1"/>
  <c r="A419" i="4" s="1"/>
  <c r="A420" i="4" s="1"/>
  <c r="A421" i="4" s="1"/>
  <c r="F415" i="4"/>
  <c r="F414" i="4"/>
  <c r="E413" i="4"/>
  <c r="F413" i="4" s="1"/>
  <c r="G413" i="4" s="1"/>
  <c r="E412" i="4"/>
  <c r="F412" i="4" s="1"/>
  <c r="G412" i="4" s="1"/>
  <c r="A410" i="4"/>
  <c r="A411" i="4" s="1"/>
  <c r="A412" i="4" s="1"/>
  <c r="A413" i="4" s="1"/>
  <c r="A414" i="4" s="1"/>
  <c r="A415" i="4" s="1"/>
  <c r="F409" i="4"/>
  <c r="F408" i="4"/>
  <c r="F407" i="4"/>
  <c r="G407" i="4" s="1"/>
  <c r="F406" i="4"/>
  <c r="G406" i="4" s="1"/>
  <c r="E405" i="4"/>
  <c r="F405" i="4" s="1"/>
  <c r="G405" i="4" s="1"/>
  <c r="A403" i="4"/>
  <c r="A404" i="4" s="1"/>
  <c r="A405" i="4" s="1"/>
  <c r="A406" i="4" s="1"/>
  <c r="A407" i="4" s="1"/>
  <c r="A408" i="4" s="1"/>
  <c r="A409" i="4" s="1"/>
  <c r="F402" i="4"/>
  <c r="F401" i="4"/>
  <c r="E400" i="4"/>
  <c r="F400" i="4" s="1"/>
  <c r="G400" i="4" s="1"/>
  <c r="F399" i="4"/>
  <c r="G399" i="4" s="1"/>
  <c r="F398" i="4"/>
  <c r="G398" i="4" s="1"/>
  <c r="E397" i="4"/>
  <c r="F397" i="4" s="1"/>
  <c r="G397" i="4" s="1"/>
  <c r="A395" i="4"/>
  <c r="A396" i="4" s="1"/>
  <c r="A397" i="4" s="1"/>
  <c r="A398" i="4" s="1"/>
  <c r="A399" i="4" s="1"/>
  <c r="A400" i="4" s="1"/>
  <c r="A401" i="4" s="1"/>
  <c r="A402" i="4" s="1"/>
  <c r="F394" i="4"/>
  <c r="F393" i="4"/>
  <c r="F390" i="4"/>
  <c r="G390" i="4" s="1"/>
  <c r="E390" i="4"/>
  <c r="E389" i="4"/>
  <c r="F389" i="4" s="1"/>
  <c r="G389" i="4" s="1"/>
  <c r="E388" i="4"/>
  <c r="F388" i="4" s="1"/>
  <c r="G388" i="4" s="1"/>
  <c r="E387" i="4"/>
  <c r="F387" i="4" s="1"/>
  <c r="G387" i="4" s="1"/>
  <c r="E386" i="4"/>
  <c r="F386" i="4" s="1"/>
  <c r="G386" i="4" s="1"/>
  <c r="E385" i="4"/>
  <c r="F385" i="4" s="1"/>
  <c r="G385" i="4" s="1"/>
  <c r="E384" i="4"/>
  <c r="F384" i="4" s="1"/>
  <c r="G384" i="4" s="1"/>
  <c r="E383" i="4"/>
  <c r="F383" i="4" s="1"/>
  <c r="G383" i="4" s="1"/>
  <c r="E382" i="4"/>
  <c r="F382" i="4" s="1"/>
  <c r="G382" i="4" s="1"/>
  <c r="E381" i="4"/>
  <c r="F381" i="4" s="1"/>
  <c r="G381" i="4" s="1"/>
  <c r="E380" i="4"/>
  <c r="F380" i="4" s="1"/>
  <c r="G380" i="4" s="1"/>
  <c r="F379" i="4"/>
  <c r="G379" i="4" s="1"/>
  <c r="F378" i="4"/>
  <c r="G378" i="4" s="1"/>
  <c r="A376" i="4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F374" i="4"/>
  <c r="F373" i="4"/>
  <c r="E372" i="4"/>
  <c r="F372" i="4" s="1"/>
  <c r="G372" i="4" s="1"/>
  <c r="E371" i="4"/>
  <c r="F371" i="4" s="1"/>
  <c r="G371" i="4" s="1"/>
  <c r="G374" i="4" s="1"/>
  <c r="A369" i="4"/>
  <c r="A370" i="4" s="1"/>
  <c r="A371" i="4" s="1"/>
  <c r="A372" i="4" s="1"/>
  <c r="A373" i="4" s="1"/>
  <c r="A374" i="4" s="1"/>
  <c r="A375" i="4" s="1"/>
  <c r="F368" i="4"/>
  <c r="F367" i="4"/>
  <c r="F365" i="4"/>
  <c r="G365" i="4" s="1"/>
  <c r="E365" i="4"/>
  <c r="E364" i="4"/>
  <c r="F364" i="4" s="1"/>
  <c r="G364" i="4" s="1"/>
  <c r="E363" i="4"/>
  <c r="F363" i="4" s="1"/>
  <c r="G363" i="4" s="1"/>
  <c r="E362" i="4"/>
  <c r="F362" i="4" s="1"/>
  <c r="G362" i="4" s="1"/>
  <c r="E361" i="4"/>
  <c r="F361" i="4" s="1"/>
  <c r="G361" i="4" s="1"/>
  <c r="E360" i="4"/>
  <c r="F360" i="4" s="1"/>
  <c r="G360" i="4" s="1"/>
  <c r="E359" i="4"/>
  <c r="F359" i="4" s="1"/>
  <c r="G359" i="4" s="1"/>
  <c r="E358" i="4"/>
  <c r="F358" i="4" s="1"/>
  <c r="G358" i="4" s="1"/>
  <c r="E357" i="4"/>
  <c r="F357" i="4" s="1"/>
  <c r="G357" i="4" s="1"/>
  <c r="E356" i="4"/>
  <c r="F356" i="4" s="1"/>
  <c r="G356" i="4" s="1"/>
  <c r="E355" i="4"/>
  <c r="F355" i="4" s="1"/>
  <c r="G355" i="4" s="1"/>
  <c r="E354" i="4"/>
  <c r="F354" i="4" s="1"/>
  <c r="G354" i="4" s="1"/>
  <c r="F353" i="4"/>
  <c r="G353" i="4" s="1"/>
  <c r="F352" i="4"/>
  <c r="G352" i="4" s="1"/>
  <c r="A350" i="4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F348" i="4"/>
  <c r="F347" i="4"/>
  <c r="F346" i="4"/>
  <c r="G346" i="4" s="1"/>
  <c r="F345" i="4"/>
  <c r="G345" i="4" s="1"/>
  <c r="A343" i="4"/>
  <c r="A344" i="4" s="1"/>
  <c r="A345" i="4" s="1"/>
  <c r="A346" i="4" s="1"/>
  <c r="A347" i="4" s="1"/>
  <c r="A348" i="4" s="1"/>
  <c r="A349" i="4" s="1"/>
  <c r="F342" i="4"/>
  <c r="F341" i="4"/>
  <c r="F340" i="4"/>
  <c r="G340" i="4" s="1"/>
  <c r="E340" i="4"/>
  <c r="E339" i="4"/>
  <c r="F339" i="4" s="1"/>
  <c r="G339" i="4" s="1"/>
  <c r="E338" i="4"/>
  <c r="F338" i="4" s="1"/>
  <c r="G338" i="4" s="1"/>
  <c r="F337" i="4"/>
  <c r="G337" i="4" s="1"/>
  <c r="F336" i="4"/>
  <c r="G336" i="4" s="1"/>
  <c r="A334" i="4"/>
  <c r="A335" i="4" s="1"/>
  <c r="A336" i="4" s="1"/>
  <c r="A337" i="4" s="1"/>
  <c r="A338" i="4" s="1"/>
  <c r="A339" i="4" s="1"/>
  <c r="A340" i="4" s="1"/>
  <c r="A341" i="4" s="1"/>
  <c r="A342" i="4" s="1"/>
  <c r="F332" i="4"/>
  <c r="F331" i="4"/>
  <c r="F330" i="4"/>
  <c r="G330" i="4" s="1"/>
  <c r="F329" i="4"/>
  <c r="G329" i="4" s="1"/>
  <c r="A327" i="4"/>
  <c r="A328" i="4" s="1"/>
  <c r="A329" i="4" s="1"/>
  <c r="A330" i="4" s="1"/>
  <c r="A331" i="4" s="1"/>
  <c r="A332" i="4" s="1"/>
  <c r="A333" i="4" s="1"/>
  <c r="F326" i="4"/>
  <c r="F325" i="4"/>
  <c r="F324" i="4"/>
  <c r="G324" i="4" s="1"/>
  <c r="F323" i="4"/>
  <c r="G323" i="4" s="1"/>
  <c r="A321" i="4"/>
  <c r="A322" i="4" s="1"/>
  <c r="A323" i="4" s="1"/>
  <c r="A324" i="4" s="1"/>
  <c r="A325" i="4" s="1"/>
  <c r="A326" i="4" s="1"/>
  <c r="F320" i="4"/>
  <c r="F319" i="4"/>
  <c r="F318" i="4"/>
  <c r="G318" i="4" s="1"/>
  <c r="F317" i="4"/>
  <c r="G317" i="4" s="1"/>
  <c r="A315" i="4"/>
  <c r="A316" i="4" s="1"/>
  <c r="A317" i="4" s="1"/>
  <c r="A318" i="4" s="1"/>
  <c r="A319" i="4" s="1"/>
  <c r="A320" i="4" s="1"/>
  <c r="F314" i="4"/>
  <c r="F313" i="4"/>
  <c r="F312" i="4"/>
  <c r="G312" i="4" s="1"/>
  <c r="F311" i="4"/>
  <c r="G311" i="4" s="1"/>
  <c r="A309" i="4"/>
  <c r="A310" i="4" s="1"/>
  <c r="A311" i="4" s="1"/>
  <c r="A312" i="4" s="1"/>
  <c r="A313" i="4" s="1"/>
  <c r="A314" i="4" s="1"/>
  <c r="F308" i="4"/>
  <c r="F307" i="4"/>
  <c r="F306" i="4"/>
  <c r="G306" i="4" s="1"/>
  <c r="F305" i="4"/>
  <c r="G305" i="4" s="1"/>
  <c r="G308" i="4" s="1"/>
  <c r="A303" i="4"/>
  <c r="A304" i="4" s="1"/>
  <c r="A305" i="4" s="1"/>
  <c r="A306" i="4" s="1"/>
  <c r="A307" i="4" s="1"/>
  <c r="A308" i="4" s="1"/>
  <c r="F302" i="4"/>
  <c r="F301" i="4"/>
  <c r="F300" i="4"/>
  <c r="G300" i="4" s="1"/>
  <c r="F299" i="4"/>
  <c r="G299" i="4" s="1"/>
  <c r="A297" i="4"/>
  <c r="A298" i="4" s="1"/>
  <c r="A299" i="4" s="1"/>
  <c r="A300" i="4" s="1"/>
  <c r="A301" i="4" s="1"/>
  <c r="A302" i="4" s="1"/>
  <c r="F296" i="4"/>
  <c r="F295" i="4"/>
  <c r="F294" i="4"/>
  <c r="G294" i="4" s="1"/>
  <c r="F293" i="4"/>
  <c r="G293" i="4" s="1"/>
  <c r="G295" i="4" s="1"/>
  <c r="A291" i="4"/>
  <c r="A292" i="4" s="1"/>
  <c r="A293" i="4" s="1"/>
  <c r="A294" i="4" s="1"/>
  <c r="A295" i="4" s="1"/>
  <c r="A296" i="4" s="1"/>
  <c r="F290" i="4"/>
  <c r="F289" i="4"/>
  <c r="F288" i="4"/>
  <c r="G288" i="4" s="1"/>
  <c r="F287" i="4"/>
  <c r="G287" i="4" s="1"/>
  <c r="A285" i="4"/>
  <c r="A286" i="4" s="1"/>
  <c r="A287" i="4" s="1"/>
  <c r="A288" i="4" s="1"/>
  <c r="A289" i="4" s="1"/>
  <c r="A290" i="4" s="1"/>
  <c r="F284" i="4"/>
  <c r="F283" i="4"/>
  <c r="F282" i="4"/>
  <c r="G282" i="4" s="1"/>
  <c r="F281" i="4"/>
  <c r="G281" i="4" s="1"/>
  <c r="A279" i="4"/>
  <c r="A280" i="4" s="1"/>
  <c r="A281" i="4" s="1"/>
  <c r="A282" i="4" s="1"/>
  <c r="A283" i="4" s="1"/>
  <c r="A284" i="4" s="1"/>
  <c r="F278" i="4"/>
  <c r="F277" i="4"/>
  <c r="F276" i="4"/>
  <c r="G276" i="4" s="1"/>
  <c r="F275" i="4"/>
  <c r="G275" i="4" s="1"/>
  <c r="A273" i="4"/>
  <c r="A274" i="4" s="1"/>
  <c r="A275" i="4" s="1"/>
  <c r="A276" i="4" s="1"/>
  <c r="A277" i="4" s="1"/>
  <c r="A278" i="4" s="1"/>
  <c r="F272" i="4"/>
  <c r="F271" i="4"/>
  <c r="E270" i="4"/>
  <c r="F270" i="4" s="1"/>
  <c r="G270" i="4" s="1"/>
  <c r="E269" i="4"/>
  <c r="F269" i="4" s="1"/>
  <c r="G269" i="4" s="1"/>
  <c r="F268" i="4"/>
  <c r="G268" i="4" s="1"/>
  <c r="F267" i="4"/>
  <c r="G267" i="4" s="1"/>
  <c r="A265" i="4"/>
  <c r="A266" i="4" s="1"/>
  <c r="A267" i="4" s="1"/>
  <c r="A268" i="4" s="1"/>
  <c r="A269" i="4" s="1"/>
  <c r="A270" i="4" s="1"/>
  <c r="A271" i="4" s="1"/>
  <c r="A272" i="4" s="1"/>
  <c r="F264" i="4"/>
  <c r="F263" i="4"/>
  <c r="E262" i="4"/>
  <c r="F262" i="4" s="1"/>
  <c r="G262" i="4" s="1"/>
  <c r="E261" i="4"/>
  <c r="F261" i="4" s="1"/>
  <c r="G261" i="4" s="1"/>
  <c r="F260" i="4"/>
  <c r="G260" i="4" s="1"/>
  <c r="F259" i="4"/>
  <c r="G259" i="4" s="1"/>
  <c r="A257" i="4"/>
  <c r="A258" i="4" s="1"/>
  <c r="A259" i="4" s="1"/>
  <c r="A260" i="4" s="1"/>
  <c r="A261" i="4" s="1"/>
  <c r="A262" i="4" s="1"/>
  <c r="A263" i="4" s="1"/>
  <c r="A264" i="4" s="1"/>
  <c r="F256" i="4"/>
  <c r="F255" i="4"/>
  <c r="E254" i="4"/>
  <c r="F254" i="4" s="1"/>
  <c r="G254" i="4" s="1"/>
  <c r="E253" i="4"/>
  <c r="F253" i="4" s="1"/>
  <c r="G253" i="4" s="1"/>
  <c r="F252" i="4"/>
  <c r="G252" i="4" s="1"/>
  <c r="F251" i="4"/>
  <c r="G251" i="4" s="1"/>
  <c r="A249" i="4"/>
  <c r="A250" i="4" s="1"/>
  <c r="A251" i="4" s="1"/>
  <c r="A252" i="4" s="1"/>
  <c r="A253" i="4" s="1"/>
  <c r="A254" i="4" s="1"/>
  <c r="A255" i="4" s="1"/>
  <c r="A256" i="4" s="1"/>
  <c r="F248" i="4"/>
  <c r="F247" i="4"/>
  <c r="E246" i="4"/>
  <c r="F246" i="4" s="1"/>
  <c r="G246" i="4" s="1"/>
  <c r="E245" i="4"/>
  <c r="F245" i="4" s="1"/>
  <c r="G245" i="4" s="1"/>
  <c r="F244" i="4"/>
  <c r="G244" i="4" s="1"/>
  <c r="F243" i="4"/>
  <c r="G243" i="4" s="1"/>
  <c r="A241" i="4"/>
  <c r="A242" i="4" s="1"/>
  <c r="A243" i="4" s="1"/>
  <c r="A244" i="4" s="1"/>
  <c r="A245" i="4" s="1"/>
  <c r="A246" i="4" s="1"/>
  <c r="A247" i="4" s="1"/>
  <c r="A248" i="4" s="1"/>
  <c r="F240" i="4"/>
  <c r="F239" i="4"/>
  <c r="E238" i="4"/>
  <c r="F238" i="4" s="1"/>
  <c r="G238" i="4" s="1"/>
  <c r="E237" i="4"/>
  <c r="F237" i="4" s="1"/>
  <c r="G237" i="4" s="1"/>
  <c r="F236" i="4"/>
  <c r="G236" i="4" s="1"/>
  <c r="F235" i="4"/>
  <c r="G235" i="4" s="1"/>
  <c r="A233" i="4"/>
  <c r="A234" i="4" s="1"/>
  <c r="A235" i="4" s="1"/>
  <c r="A236" i="4" s="1"/>
  <c r="A237" i="4" s="1"/>
  <c r="A238" i="4" s="1"/>
  <c r="A239" i="4" s="1"/>
  <c r="A240" i="4" s="1"/>
  <c r="F232" i="4"/>
  <c r="F231" i="4"/>
  <c r="F230" i="4"/>
  <c r="G230" i="4" s="1"/>
  <c r="E230" i="4"/>
  <c r="E229" i="4"/>
  <c r="F229" i="4" s="1"/>
  <c r="G229" i="4" s="1"/>
  <c r="E228" i="4"/>
  <c r="F228" i="4" s="1"/>
  <c r="G228" i="4" s="1"/>
  <c r="F227" i="4"/>
  <c r="G227" i="4" s="1"/>
  <c r="F226" i="4"/>
  <c r="G226" i="4" s="1"/>
  <c r="A224" i="4"/>
  <c r="A225" i="4" s="1"/>
  <c r="A226" i="4" s="1"/>
  <c r="A227" i="4" s="1"/>
  <c r="A228" i="4" s="1"/>
  <c r="A229" i="4" s="1"/>
  <c r="A230" i="4" s="1"/>
  <c r="A231" i="4" s="1"/>
  <c r="A232" i="4" s="1"/>
  <c r="F223" i="4"/>
  <c r="F222" i="4"/>
  <c r="F221" i="4"/>
  <c r="G221" i="4" s="1"/>
  <c r="E221" i="4"/>
  <c r="E220" i="4"/>
  <c r="F220" i="4" s="1"/>
  <c r="G220" i="4" s="1"/>
  <c r="E219" i="4"/>
  <c r="F219" i="4" s="1"/>
  <c r="G219" i="4" s="1"/>
  <c r="F218" i="4"/>
  <c r="G218" i="4" s="1"/>
  <c r="F217" i="4"/>
  <c r="G217" i="4" s="1"/>
  <c r="A215" i="4"/>
  <c r="A216" i="4" s="1"/>
  <c r="A217" i="4" s="1"/>
  <c r="A218" i="4" s="1"/>
  <c r="A219" i="4" s="1"/>
  <c r="A220" i="4" s="1"/>
  <c r="A221" i="4" s="1"/>
  <c r="A222" i="4" s="1"/>
  <c r="A223" i="4" s="1"/>
  <c r="F214" i="4"/>
  <c r="F213" i="4"/>
  <c r="F212" i="4"/>
  <c r="G212" i="4" s="1"/>
  <c r="E212" i="4"/>
  <c r="E211" i="4"/>
  <c r="F211" i="4" s="1"/>
  <c r="G211" i="4" s="1"/>
  <c r="E210" i="4"/>
  <c r="F210" i="4" s="1"/>
  <c r="G210" i="4" s="1"/>
  <c r="F209" i="4"/>
  <c r="G209" i="4" s="1"/>
  <c r="F208" i="4"/>
  <c r="G208" i="4" s="1"/>
  <c r="A206" i="4"/>
  <c r="A207" i="4" s="1"/>
  <c r="A208" i="4" s="1"/>
  <c r="A209" i="4" s="1"/>
  <c r="A210" i="4" s="1"/>
  <c r="A211" i="4" s="1"/>
  <c r="A212" i="4" s="1"/>
  <c r="A213" i="4" s="1"/>
  <c r="A214" i="4" s="1"/>
  <c r="F205" i="4"/>
  <c r="F204" i="4"/>
  <c r="F203" i="4"/>
  <c r="G203" i="4" s="1"/>
  <c r="E203" i="4"/>
  <c r="E202" i="4"/>
  <c r="F202" i="4" s="1"/>
  <c r="G202" i="4" s="1"/>
  <c r="E201" i="4"/>
  <c r="F201" i="4" s="1"/>
  <c r="G201" i="4" s="1"/>
  <c r="F200" i="4"/>
  <c r="G200" i="4" s="1"/>
  <c r="F199" i="4"/>
  <c r="G199" i="4" s="1"/>
  <c r="A197" i="4"/>
  <c r="A198" i="4" s="1"/>
  <c r="A199" i="4" s="1"/>
  <c r="A200" i="4" s="1"/>
  <c r="A201" i="4" s="1"/>
  <c r="A202" i="4" s="1"/>
  <c r="A203" i="4" s="1"/>
  <c r="A204" i="4" s="1"/>
  <c r="A205" i="4" s="1"/>
  <c r="F196" i="4"/>
  <c r="F195" i="4"/>
  <c r="F194" i="4"/>
  <c r="G194" i="4" s="1"/>
  <c r="E194" i="4"/>
  <c r="E193" i="4"/>
  <c r="F193" i="4" s="1"/>
  <c r="G193" i="4" s="1"/>
  <c r="E192" i="4"/>
  <c r="F192" i="4" s="1"/>
  <c r="G192" i="4" s="1"/>
  <c r="F191" i="4"/>
  <c r="G191" i="4" s="1"/>
  <c r="F190" i="4"/>
  <c r="G190" i="4" s="1"/>
  <c r="A188" i="4"/>
  <c r="A189" i="4" s="1"/>
  <c r="A190" i="4" s="1"/>
  <c r="A191" i="4" s="1"/>
  <c r="A192" i="4" s="1"/>
  <c r="A193" i="4" s="1"/>
  <c r="A194" i="4" s="1"/>
  <c r="A195" i="4" s="1"/>
  <c r="A196" i="4" s="1"/>
  <c r="F186" i="4"/>
  <c r="F185" i="4"/>
  <c r="F184" i="4"/>
  <c r="G184" i="4" s="1"/>
  <c r="F183" i="4"/>
  <c r="G183" i="4" s="1"/>
  <c r="A181" i="4"/>
  <c r="A182" i="4" s="1"/>
  <c r="A183" i="4" s="1"/>
  <c r="A184" i="4" s="1"/>
  <c r="A185" i="4" s="1"/>
  <c r="A186" i="4" s="1"/>
  <c r="A187" i="4" s="1"/>
  <c r="F180" i="4"/>
  <c r="F179" i="4"/>
  <c r="F178" i="4"/>
  <c r="G178" i="4" s="1"/>
  <c r="F177" i="4"/>
  <c r="G177" i="4" s="1"/>
  <c r="A175" i="4"/>
  <c r="A176" i="4" s="1"/>
  <c r="A177" i="4" s="1"/>
  <c r="A178" i="4" s="1"/>
  <c r="A179" i="4" s="1"/>
  <c r="A180" i="4" s="1"/>
  <c r="F174" i="4"/>
  <c r="F173" i="4"/>
  <c r="F172" i="4"/>
  <c r="G172" i="4" s="1"/>
  <c r="F171" i="4"/>
  <c r="G171" i="4" s="1"/>
  <c r="A169" i="4"/>
  <c r="A170" i="4" s="1"/>
  <c r="A171" i="4" s="1"/>
  <c r="A172" i="4" s="1"/>
  <c r="A173" i="4" s="1"/>
  <c r="A174" i="4" s="1"/>
  <c r="F168" i="4"/>
  <c r="F167" i="4"/>
  <c r="F166" i="4"/>
  <c r="G166" i="4" s="1"/>
  <c r="F165" i="4"/>
  <c r="G165" i="4" s="1"/>
  <c r="A163" i="4"/>
  <c r="A164" i="4" s="1"/>
  <c r="A165" i="4" s="1"/>
  <c r="A166" i="4" s="1"/>
  <c r="A167" i="4" s="1"/>
  <c r="A168" i="4" s="1"/>
  <c r="F162" i="4"/>
  <c r="F161" i="4"/>
  <c r="F160" i="4"/>
  <c r="G160" i="4" s="1"/>
  <c r="F159" i="4"/>
  <c r="G159" i="4" s="1"/>
  <c r="A157" i="4"/>
  <c r="A158" i="4" s="1"/>
  <c r="A159" i="4" s="1"/>
  <c r="A160" i="4" s="1"/>
  <c r="A161" i="4" s="1"/>
  <c r="A162" i="4" s="1"/>
  <c r="F156" i="4"/>
  <c r="F155" i="4"/>
  <c r="F154" i="4"/>
  <c r="G154" i="4" s="1"/>
  <c r="F153" i="4"/>
  <c r="G153" i="4" s="1"/>
  <c r="A151" i="4"/>
  <c r="A152" i="4" s="1"/>
  <c r="A153" i="4" s="1"/>
  <c r="A154" i="4" s="1"/>
  <c r="A155" i="4" s="1"/>
  <c r="A156" i="4" s="1"/>
  <c r="F150" i="4"/>
  <c r="F149" i="4"/>
  <c r="F148" i="4"/>
  <c r="G148" i="4" s="1"/>
  <c r="F147" i="4"/>
  <c r="G147" i="4" s="1"/>
  <c r="A145" i="4"/>
  <c r="A146" i="4" s="1"/>
  <c r="A147" i="4" s="1"/>
  <c r="A148" i="4" s="1"/>
  <c r="A149" i="4" s="1"/>
  <c r="A150" i="4" s="1"/>
  <c r="F144" i="4"/>
  <c r="F143" i="4"/>
  <c r="G142" i="4"/>
  <c r="F142" i="4"/>
  <c r="E142" i="4"/>
  <c r="E141" i="4"/>
  <c r="F141" i="4" s="1"/>
  <c r="G141" i="4" s="1"/>
  <c r="E140" i="4"/>
  <c r="F140" i="4" s="1"/>
  <c r="G140" i="4" s="1"/>
  <c r="F139" i="4"/>
  <c r="G139" i="4" s="1"/>
  <c r="F138" i="4"/>
  <c r="G138" i="4" s="1"/>
  <c r="A136" i="4"/>
  <c r="A137" i="4" s="1"/>
  <c r="A138" i="4" s="1"/>
  <c r="A139" i="4" s="1"/>
  <c r="A140" i="4" s="1"/>
  <c r="A141" i="4" s="1"/>
  <c r="A142" i="4" s="1"/>
  <c r="A143" i="4" s="1"/>
  <c r="A144" i="4" s="1"/>
  <c r="F135" i="4"/>
  <c r="F134" i="4"/>
  <c r="F133" i="4"/>
  <c r="G133" i="4" s="1"/>
  <c r="E133" i="4"/>
  <c r="E132" i="4"/>
  <c r="F132" i="4" s="1"/>
  <c r="G132" i="4" s="1"/>
  <c r="E131" i="4"/>
  <c r="F131" i="4" s="1"/>
  <c r="G131" i="4" s="1"/>
  <c r="F130" i="4"/>
  <c r="G130" i="4" s="1"/>
  <c r="F129" i="4"/>
  <c r="G129" i="4" s="1"/>
  <c r="A127" i="4"/>
  <c r="A128" i="4" s="1"/>
  <c r="A129" i="4" s="1"/>
  <c r="A130" i="4" s="1"/>
  <c r="A131" i="4" s="1"/>
  <c r="A132" i="4" s="1"/>
  <c r="A133" i="4" s="1"/>
  <c r="A134" i="4" s="1"/>
  <c r="A135" i="4" s="1"/>
  <c r="F126" i="4"/>
  <c r="F125" i="4"/>
  <c r="F124" i="4"/>
  <c r="G124" i="4" s="1"/>
  <c r="E124" i="4"/>
  <c r="E123" i="4"/>
  <c r="F123" i="4" s="1"/>
  <c r="G123" i="4" s="1"/>
  <c r="E122" i="4"/>
  <c r="F122" i="4" s="1"/>
  <c r="G122" i="4" s="1"/>
  <c r="F121" i="4"/>
  <c r="G121" i="4" s="1"/>
  <c r="F120" i="4"/>
  <c r="G120" i="4" s="1"/>
  <c r="A118" i="4"/>
  <c r="A119" i="4" s="1"/>
  <c r="A120" i="4" s="1"/>
  <c r="A121" i="4" s="1"/>
  <c r="A122" i="4" s="1"/>
  <c r="A123" i="4" s="1"/>
  <c r="A124" i="4" s="1"/>
  <c r="A125" i="4" s="1"/>
  <c r="A126" i="4" s="1"/>
  <c r="F117" i="4"/>
  <c r="F116" i="4"/>
  <c r="F115" i="4"/>
  <c r="G115" i="4" s="1"/>
  <c r="E115" i="4"/>
  <c r="E114" i="4"/>
  <c r="F114" i="4" s="1"/>
  <c r="G114" i="4" s="1"/>
  <c r="E113" i="4"/>
  <c r="F113" i="4" s="1"/>
  <c r="G113" i="4" s="1"/>
  <c r="F112" i="4"/>
  <c r="G112" i="4" s="1"/>
  <c r="F111" i="4"/>
  <c r="G111" i="4" s="1"/>
  <c r="A109" i="4"/>
  <c r="A110" i="4" s="1"/>
  <c r="A111" i="4" s="1"/>
  <c r="A112" i="4" s="1"/>
  <c r="A113" i="4" s="1"/>
  <c r="A114" i="4" s="1"/>
  <c r="A115" i="4" s="1"/>
  <c r="A116" i="4" s="1"/>
  <c r="A117" i="4" s="1"/>
  <c r="F108" i="4"/>
  <c r="F107" i="4"/>
  <c r="F106" i="4"/>
  <c r="G106" i="4" s="1"/>
  <c r="E106" i="4"/>
  <c r="E105" i="4"/>
  <c r="F105" i="4" s="1"/>
  <c r="G105" i="4" s="1"/>
  <c r="E104" i="4"/>
  <c r="F104" i="4" s="1"/>
  <c r="G104" i="4" s="1"/>
  <c r="F103" i="4"/>
  <c r="G103" i="4" s="1"/>
  <c r="F102" i="4"/>
  <c r="G102" i="4" s="1"/>
  <c r="A100" i="4"/>
  <c r="A101" i="4" s="1"/>
  <c r="A102" i="4" s="1"/>
  <c r="A103" i="4" s="1"/>
  <c r="A104" i="4" s="1"/>
  <c r="A105" i="4" s="1"/>
  <c r="A106" i="4" s="1"/>
  <c r="A107" i="4" s="1"/>
  <c r="A108" i="4" s="1"/>
  <c r="F99" i="4"/>
  <c r="F98" i="4"/>
  <c r="F97" i="4"/>
  <c r="G97" i="4" s="1"/>
  <c r="E97" i="4"/>
  <c r="E96" i="4"/>
  <c r="F96" i="4" s="1"/>
  <c r="G96" i="4" s="1"/>
  <c r="E95" i="4"/>
  <c r="F95" i="4" s="1"/>
  <c r="G95" i="4" s="1"/>
  <c r="F94" i="4"/>
  <c r="G94" i="4" s="1"/>
  <c r="F93" i="4"/>
  <c r="G93" i="4" s="1"/>
  <c r="A91" i="4"/>
  <c r="A92" i="4" s="1"/>
  <c r="A93" i="4" s="1"/>
  <c r="A94" i="4" s="1"/>
  <c r="A95" i="4" s="1"/>
  <c r="A96" i="4" s="1"/>
  <c r="A97" i="4" s="1"/>
  <c r="A98" i="4" s="1"/>
  <c r="A99" i="4" s="1"/>
  <c r="F90" i="4"/>
  <c r="F89" i="4"/>
  <c r="F88" i="4"/>
  <c r="G88" i="4" s="1"/>
  <c r="E88" i="4"/>
  <c r="E87" i="4"/>
  <c r="F87" i="4" s="1"/>
  <c r="G87" i="4" s="1"/>
  <c r="E86" i="4"/>
  <c r="F86" i="4" s="1"/>
  <c r="G86" i="4" s="1"/>
  <c r="F85" i="4"/>
  <c r="G85" i="4" s="1"/>
  <c r="E84" i="4"/>
  <c r="F84" i="4" s="1"/>
  <c r="G84" i="4" s="1"/>
  <c r="A82" i="4"/>
  <c r="A83" i="4" s="1"/>
  <c r="A84" i="4" s="1"/>
  <c r="A85" i="4" s="1"/>
  <c r="A86" i="4" s="1"/>
  <c r="A87" i="4" s="1"/>
  <c r="A88" i="4" s="1"/>
  <c r="A89" i="4" s="1"/>
  <c r="A90" i="4" s="1"/>
  <c r="F81" i="4"/>
  <c r="F80" i="4"/>
  <c r="F79" i="4"/>
  <c r="G79" i="4" s="1"/>
  <c r="E79" i="4"/>
  <c r="E78" i="4"/>
  <c r="F78" i="4" s="1"/>
  <c r="G78" i="4" s="1"/>
  <c r="F77" i="4"/>
  <c r="G77" i="4" s="1"/>
  <c r="E77" i="4"/>
  <c r="F76" i="4"/>
  <c r="G76" i="4" s="1"/>
  <c r="F75" i="4"/>
  <c r="G75" i="4" s="1"/>
  <c r="A73" i="4"/>
  <c r="A74" i="4" s="1"/>
  <c r="A75" i="4" s="1"/>
  <c r="A76" i="4" s="1"/>
  <c r="A77" i="4" s="1"/>
  <c r="A78" i="4" s="1"/>
  <c r="A79" i="4" s="1"/>
  <c r="A80" i="4" s="1"/>
  <c r="A81" i="4" s="1"/>
  <c r="F72" i="4"/>
  <c r="F71" i="4"/>
  <c r="F70" i="4"/>
  <c r="G70" i="4" s="1"/>
  <c r="E70" i="4"/>
  <c r="E69" i="4"/>
  <c r="F69" i="4" s="1"/>
  <c r="G69" i="4" s="1"/>
  <c r="E68" i="4"/>
  <c r="F68" i="4" s="1"/>
  <c r="G68" i="4" s="1"/>
  <c r="F67" i="4"/>
  <c r="G67" i="4" s="1"/>
  <c r="F66" i="4"/>
  <c r="G66" i="4" s="1"/>
  <c r="A64" i="4"/>
  <c r="A65" i="4" s="1"/>
  <c r="A66" i="4" s="1"/>
  <c r="A67" i="4" s="1"/>
  <c r="A68" i="4" s="1"/>
  <c r="A69" i="4" s="1"/>
  <c r="A70" i="4" s="1"/>
  <c r="A71" i="4" s="1"/>
  <c r="A72" i="4" s="1"/>
  <c r="F62" i="4"/>
  <c r="F61" i="4"/>
  <c r="F60" i="4"/>
  <c r="G60" i="4" s="1"/>
  <c r="E60" i="4"/>
  <c r="F59" i="4"/>
  <c r="G59" i="4" s="1"/>
  <c r="F58" i="4"/>
  <c r="G58" i="4" s="1"/>
  <c r="A56" i="4"/>
  <c r="A57" i="4" s="1"/>
  <c r="A58" i="4" s="1"/>
  <c r="A59" i="4" s="1"/>
  <c r="A60" i="4" s="1"/>
  <c r="A61" i="4" s="1"/>
  <c r="A62" i="4" s="1"/>
  <c r="A63" i="4" s="1"/>
  <c r="F55" i="4"/>
  <c r="F54" i="4"/>
  <c r="F53" i="4"/>
  <c r="G53" i="4" s="1"/>
  <c r="F52" i="4"/>
  <c r="G52" i="4" s="1"/>
  <c r="A50" i="4"/>
  <c r="A51" i="4" s="1"/>
  <c r="A52" i="4" s="1"/>
  <c r="A53" i="4" s="1"/>
  <c r="A54" i="4" s="1"/>
  <c r="A55" i="4" s="1"/>
  <c r="F49" i="4"/>
  <c r="F48" i="4"/>
  <c r="F47" i="4"/>
  <c r="G47" i="4" s="1"/>
  <c r="F46" i="4"/>
  <c r="G46" i="4" s="1"/>
  <c r="A44" i="4"/>
  <c r="A45" i="4" s="1"/>
  <c r="A46" i="4" s="1"/>
  <c r="A47" i="4" s="1"/>
  <c r="A48" i="4" s="1"/>
  <c r="A49" i="4" s="1"/>
  <c r="F43" i="4"/>
  <c r="F42" i="4"/>
  <c r="F41" i="4"/>
  <c r="G41" i="4" s="1"/>
  <c r="F40" i="4"/>
  <c r="G40" i="4" s="1"/>
  <c r="E39" i="4"/>
  <c r="F39" i="4" s="1"/>
  <c r="G39" i="4" s="1"/>
  <c r="E38" i="4"/>
  <c r="F38" i="4" s="1"/>
  <c r="G38" i="4" s="1"/>
  <c r="A36" i="4"/>
  <c r="A37" i="4" s="1"/>
  <c r="A38" i="4" s="1"/>
  <c r="A39" i="4" s="1"/>
  <c r="A40" i="4" s="1"/>
  <c r="A41" i="4" s="1"/>
  <c r="A42" i="4" s="1"/>
  <c r="A43" i="4" s="1"/>
  <c r="F35" i="4"/>
  <c r="F34" i="4"/>
  <c r="F33" i="4"/>
  <c r="G33" i="4" s="1"/>
  <c r="E32" i="4"/>
  <c r="F32" i="4" s="1"/>
  <c r="G32" i="4" s="1"/>
  <c r="E31" i="4"/>
  <c r="F31" i="4" s="1"/>
  <c r="G31" i="4" s="1"/>
  <c r="A29" i="4"/>
  <c r="A30" i="4" s="1"/>
  <c r="A31" i="4" s="1"/>
  <c r="A32" i="4" s="1"/>
  <c r="A33" i="4" s="1"/>
  <c r="A34" i="4" s="1"/>
  <c r="A35" i="4" s="1"/>
  <c r="F28" i="4"/>
  <c r="F27" i="4"/>
  <c r="F26" i="4"/>
  <c r="G26" i="4" s="1"/>
  <c r="E26" i="4"/>
  <c r="E25" i="4"/>
  <c r="F25" i="4" s="1"/>
  <c r="G25" i="4" s="1"/>
  <c r="F24" i="4"/>
  <c r="G24" i="4" s="1"/>
  <c r="F23" i="4"/>
  <c r="G23" i="4" s="1"/>
  <c r="F22" i="4"/>
  <c r="G22" i="4" s="1"/>
  <c r="A20" i="4"/>
  <c r="A21" i="4" s="1"/>
  <c r="A22" i="4" s="1"/>
  <c r="A23" i="4" s="1"/>
  <c r="A24" i="4" s="1"/>
  <c r="A25" i="4" s="1"/>
  <c r="A26" i="4" s="1"/>
  <c r="A27" i="4" s="1"/>
  <c r="A28" i="4" s="1"/>
  <c r="F19" i="4"/>
  <c r="F18" i="4"/>
  <c r="E15" i="4"/>
  <c r="F15" i="4" s="1"/>
  <c r="G15" i="4" s="1"/>
  <c r="F14" i="4"/>
  <c r="G14" i="4" s="1"/>
  <c r="F13" i="4"/>
  <c r="G13" i="4" s="1"/>
  <c r="F12" i="4"/>
  <c r="G12" i="4" s="1"/>
  <c r="E11" i="4"/>
  <c r="F11" i="4" s="1"/>
  <c r="G11" i="4" s="1"/>
  <c r="F10" i="4"/>
  <c r="G10" i="4" s="1"/>
  <c r="F9" i="4"/>
  <c r="G9" i="4" s="1"/>
  <c r="F8" i="4"/>
  <c r="G8" i="4" s="1"/>
  <c r="F7" i="4"/>
  <c r="G7" i="4" s="1"/>
  <c r="E6" i="4"/>
  <c r="F6" i="4" s="1"/>
  <c r="G6" i="4" s="1"/>
  <c r="B4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422" i="2"/>
  <c r="A423" i="2" s="1"/>
  <c r="A424" i="2" s="1"/>
  <c r="A425" i="2" s="1"/>
  <c r="A426" i="2" s="1"/>
  <c r="A427" i="2" s="1"/>
  <c r="A416" i="2"/>
  <c r="A417" i="2" s="1"/>
  <c r="A418" i="2" s="1"/>
  <c r="A419" i="2" s="1"/>
  <c r="A420" i="2" s="1"/>
  <c r="A421" i="2" s="1"/>
  <c r="A410" i="2"/>
  <c r="A411" i="2" s="1"/>
  <c r="A412" i="2" s="1"/>
  <c r="A413" i="2" s="1"/>
  <c r="A414" i="2" s="1"/>
  <c r="A415" i="2" s="1"/>
  <c r="A404" i="2"/>
  <c r="A405" i="2" s="1"/>
  <c r="A406" i="2" s="1"/>
  <c r="A407" i="2" s="1"/>
  <c r="A408" i="2" s="1"/>
  <c r="A409" i="2" s="1"/>
  <c r="A397" i="2"/>
  <c r="A398" i="2" s="1"/>
  <c r="A399" i="2" s="1"/>
  <c r="A400" i="2" s="1"/>
  <c r="A401" i="2" s="1"/>
  <c r="A402" i="2" s="1"/>
  <c r="A403" i="2" s="1"/>
  <c r="A389" i="2"/>
  <c r="A390" i="2" s="1"/>
  <c r="A391" i="2" s="1"/>
  <c r="A392" i="2" s="1"/>
  <c r="A393" i="2" s="1"/>
  <c r="A394" i="2" s="1"/>
  <c r="A395" i="2" s="1"/>
  <c r="A396" i="2" s="1"/>
  <c r="A370" i="2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64" i="2"/>
  <c r="A365" i="2" s="1"/>
  <c r="A366" i="2" s="1"/>
  <c r="A367" i="2" s="1"/>
  <c r="A368" i="2" s="1"/>
  <c r="A369" i="2" s="1"/>
  <c r="A345" i="2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39" i="2"/>
  <c r="A340" i="2" s="1"/>
  <c r="A341" i="2" s="1"/>
  <c r="A342" i="2" s="1"/>
  <c r="A343" i="2" s="1"/>
  <c r="A344" i="2" s="1"/>
  <c r="A330" i="2"/>
  <c r="A331" i="2" s="1"/>
  <c r="A332" i="2" s="1"/>
  <c r="A333" i="2" s="1"/>
  <c r="A334" i="2" s="1"/>
  <c r="A335" i="2" s="1"/>
  <c r="A336" i="2" s="1"/>
  <c r="A337" i="2" s="1"/>
  <c r="A338" i="2" s="1"/>
  <c r="A324" i="2"/>
  <c r="A325" i="2" s="1"/>
  <c r="A326" i="2" s="1"/>
  <c r="A327" i="2" s="1"/>
  <c r="A328" i="2" s="1"/>
  <c r="A329" i="2" s="1"/>
  <c r="A318" i="2"/>
  <c r="A319" i="2" s="1"/>
  <c r="A320" i="2" s="1"/>
  <c r="A321" i="2" s="1"/>
  <c r="A322" i="2" s="1"/>
  <c r="A323" i="2" s="1"/>
  <c r="A312" i="2"/>
  <c r="A313" i="2" s="1"/>
  <c r="A314" i="2" s="1"/>
  <c r="A315" i="2" s="1"/>
  <c r="A316" i="2" s="1"/>
  <c r="A317" i="2" s="1"/>
  <c r="A306" i="2"/>
  <c r="A307" i="2" s="1"/>
  <c r="A308" i="2" s="1"/>
  <c r="A309" i="2" s="1"/>
  <c r="A310" i="2" s="1"/>
  <c r="A311" i="2" s="1"/>
  <c r="A300" i="2"/>
  <c r="A301" i="2" s="1"/>
  <c r="A302" i="2" s="1"/>
  <c r="A303" i="2" s="1"/>
  <c r="A304" i="2" s="1"/>
  <c r="A305" i="2" s="1"/>
  <c r="A294" i="2"/>
  <c r="A295" i="2" s="1"/>
  <c r="A296" i="2" s="1"/>
  <c r="A297" i="2" s="1"/>
  <c r="A298" i="2" s="1"/>
  <c r="A299" i="2" s="1"/>
  <c r="A288" i="2"/>
  <c r="A289" i="2" s="1"/>
  <c r="A290" i="2" s="1"/>
  <c r="A291" i="2" s="1"/>
  <c r="A292" i="2" s="1"/>
  <c r="A293" i="2" s="1"/>
  <c r="A282" i="2"/>
  <c r="A283" i="2" s="1"/>
  <c r="A284" i="2" s="1"/>
  <c r="A285" i="2" s="1"/>
  <c r="A286" i="2" s="1"/>
  <c r="A287" i="2" s="1"/>
  <c r="A276" i="2"/>
  <c r="A277" i="2" s="1"/>
  <c r="A278" i="2" s="1"/>
  <c r="A279" i="2" s="1"/>
  <c r="A280" i="2" s="1"/>
  <c r="A281" i="2" s="1"/>
  <c r="A270" i="2"/>
  <c r="A271" i="2" s="1"/>
  <c r="A272" i="2" s="1"/>
  <c r="A273" i="2" s="1"/>
  <c r="A274" i="2" s="1"/>
  <c r="A275" i="2" s="1"/>
  <c r="A262" i="2"/>
  <c r="A263" i="2" s="1"/>
  <c r="A264" i="2" s="1"/>
  <c r="A265" i="2" s="1"/>
  <c r="A266" i="2" s="1"/>
  <c r="A267" i="2" s="1"/>
  <c r="A268" i="2" s="1"/>
  <c r="A269" i="2" s="1"/>
  <c r="A254" i="2"/>
  <c r="A255" i="2" s="1"/>
  <c r="A256" i="2" s="1"/>
  <c r="A257" i="2" s="1"/>
  <c r="A258" i="2" s="1"/>
  <c r="A259" i="2" s="1"/>
  <c r="A260" i="2" s="1"/>
  <c r="A261" i="2" s="1"/>
  <c r="A246" i="2"/>
  <c r="A247" i="2" s="1"/>
  <c r="A248" i="2" s="1"/>
  <c r="A249" i="2" s="1"/>
  <c r="A250" i="2" s="1"/>
  <c r="A251" i="2" s="1"/>
  <c r="A252" i="2" s="1"/>
  <c r="A253" i="2" s="1"/>
  <c r="A238" i="2"/>
  <c r="A239" i="2" s="1"/>
  <c r="A240" i="2" s="1"/>
  <c r="A241" i="2" s="1"/>
  <c r="A242" i="2" s="1"/>
  <c r="A243" i="2" s="1"/>
  <c r="A244" i="2" s="1"/>
  <c r="A245" i="2" s="1"/>
  <c r="A230" i="2"/>
  <c r="A231" i="2" s="1"/>
  <c r="A232" i="2" s="1"/>
  <c r="A233" i="2" s="1"/>
  <c r="A234" i="2" s="1"/>
  <c r="A235" i="2" s="1"/>
  <c r="A236" i="2" s="1"/>
  <c r="A237" i="2" s="1"/>
  <c r="A221" i="2"/>
  <c r="A222" i="2" s="1"/>
  <c r="A223" i="2" s="1"/>
  <c r="A224" i="2" s="1"/>
  <c r="A225" i="2" s="1"/>
  <c r="A226" i="2" s="1"/>
  <c r="A227" i="2" s="1"/>
  <c r="A228" i="2" s="1"/>
  <c r="A229" i="2" s="1"/>
  <c r="A212" i="2"/>
  <c r="A213" i="2" s="1"/>
  <c r="A214" i="2" s="1"/>
  <c r="A215" i="2" s="1"/>
  <c r="A216" i="2" s="1"/>
  <c r="A217" i="2" s="1"/>
  <c r="A218" i="2" s="1"/>
  <c r="A219" i="2" s="1"/>
  <c r="A220" i="2" s="1"/>
  <c r="A203" i="2"/>
  <c r="A204" i="2" s="1"/>
  <c r="A205" i="2" s="1"/>
  <c r="A206" i="2" s="1"/>
  <c r="A207" i="2" s="1"/>
  <c r="A208" i="2" s="1"/>
  <c r="A209" i="2" s="1"/>
  <c r="A210" i="2" s="1"/>
  <c r="A211" i="2" s="1"/>
  <c r="A194" i="2"/>
  <c r="A195" i="2" s="1"/>
  <c r="A196" i="2" s="1"/>
  <c r="A197" i="2" s="1"/>
  <c r="A198" i="2" s="1"/>
  <c r="A199" i="2" s="1"/>
  <c r="A200" i="2" s="1"/>
  <c r="A201" i="2" s="1"/>
  <c r="A202" i="2" s="1"/>
  <c r="A185" i="2"/>
  <c r="A186" i="2" s="1"/>
  <c r="A187" i="2" s="1"/>
  <c r="A188" i="2" s="1"/>
  <c r="A189" i="2" s="1"/>
  <c r="A190" i="2" s="1"/>
  <c r="A191" i="2" s="1"/>
  <c r="A192" i="2" s="1"/>
  <c r="A193" i="2" s="1"/>
  <c r="A179" i="2"/>
  <c r="A180" i="2" s="1"/>
  <c r="A181" i="2" s="1"/>
  <c r="A182" i="2" s="1"/>
  <c r="A183" i="2" s="1"/>
  <c r="A184" i="2" s="1"/>
  <c r="A173" i="2"/>
  <c r="A174" i="2" s="1"/>
  <c r="A175" i="2" s="1"/>
  <c r="A176" i="2" s="1"/>
  <c r="A177" i="2" s="1"/>
  <c r="A178" i="2" s="1"/>
  <c r="A167" i="2"/>
  <c r="A168" i="2" s="1"/>
  <c r="A169" i="2" s="1"/>
  <c r="A170" i="2" s="1"/>
  <c r="A171" i="2" s="1"/>
  <c r="A172" i="2" s="1"/>
  <c r="A161" i="2"/>
  <c r="A162" i="2" s="1"/>
  <c r="A163" i="2" s="1"/>
  <c r="A164" i="2" s="1"/>
  <c r="A165" i="2" s="1"/>
  <c r="A166" i="2" s="1"/>
  <c r="A155" i="2"/>
  <c r="A156" i="2" s="1"/>
  <c r="A157" i="2" s="1"/>
  <c r="A158" i="2" s="1"/>
  <c r="A159" i="2" s="1"/>
  <c r="A160" i="2" s="1"/>
  <c r="A149" i="2"/>
  <c r="A150" i="2" s="1"/>
  <c r="A151" i="2" s="1"/>
  <c r="A152" i="2" s="1"/>
  <c r="A153" i="2" s="1"/>
  <c r="A154" i="2" s="1"/>
  <c r="A143" i="2"/>
  <c r="A144" i="2" s="1"/>
  <c r="A145" i="2" s="1"/>
  <c r="A146" i="2" s="1"/>
  <c r="A147" i="2" s="1"/>
  <c r="A148" i="2" s="1"/>
  <c r="A134" i="2"/>
  <c r="A135" i="2" s="1"/>
  <c r="A136" i="2" s="1"/>
  <c r="A137" i="2" s="1"/>
  <c r="A138" i="2" s="1"/>
  <c r="A139" i="2" s="1"/>
  <c r="A140" i="2" s="1"/>
  <c r="A141" i="2" s="1"/>
  <c r="A142" i="2" s="1"/>
  <c r="A125" i="2"/>
  <c r="A126" i="2" s="1"/>
  <c r="A127" i="2" s="1"/>
  <c r="A128" i="2" s="1"/>
  <c r="A129" i="2" s="1"/>
  <c r="A130" i="2" s="1"/>
  <c r="A131" i="2" s="1"/>
  <c r="A132" i="2" s="1"/>
  <c r="A133" i="2" s="1"/>
  <c r="A116" i="2"/>
  <c r="A117" i="2" s="1"/>
  <c r="A118" i="2" s="1"/>
  <c r="A119" i="2" s="1"/>
  <c r="A120" i="2" s="1"/>
  <c r="A121" i="2" s="1"/>
  <c r="A122" i="2" s="1"/>
  <c r="A123" i="2" s="1"/>
  <c r="A124" i="2" s="1"/>
  <c r="A107" i="2"/>
  <c r="A108" i="2" s="1"/>
  <c r="A109" i="2" s="1"/>
  <c r="A110" i="2" s="1"/>
  <c r="A111" i="2" s="1"/>
  <c r="A112" i="2" s="1"/>
  <c r="A113" i="2" s="1"/>
  <c r="A114" i="2" s="1"/>
  <c r="A115" i="2" s="1"/>
  <c r="A98" i="2"/>
  <c r="A99" i="2" s="1"/>
  <c r="A100" i="2" s="1"/>
  <c r="A101" i="2" s="1"/>
  <c r="A102" i="2" s="1"/>
  <c r="A103" i="2" s="1"/>
  <c r="A104" i="2" s="1"/>
  <c r="A105" i="2" s="1"/>
  <c r="A106" i="2" s="1"/>
  <c r="A89" i="2"/>
  <c r="A90" i="2" s="1"/>
  <c r="A91" i="2" s="1"/>
  <c r="A92" i="2" s="1"/>
  <c r="A93" i="2" s="1"/>
  <c r="A94" i="2" s="1"/>
  <c r="A95" i="2" s="1"/>
  <c r="A96" i="2" s="1"/>
  <c r="A97" i="2" s="1"/>
  <c r="A80" i="2"/>
  <c r="A81" i="2" s="1"/>
  <c r="A82" i="2" s="1"/>
  <c r="A83" i="2" s="1"/>
  <c r="A84" i="2" s="1"/>
  <c r="A85" i="2" s="1"/>
  <c r="A86" i="2" s="1"/>
  <c r="A87" i="2" s="1"/>
  <c r="A88" i="2" s="1"/>
  <c r="A71" i="2"/>
  <c r="A72" i="2" s="1"/>
  <c r="A73" i="2" s="1"/>
  <c r="A74" i="2" s="1"/>
  <c r="A75" i="2" s="1"/>
  <c r="A76" i="2" s="1"/>
  <c r="A77" i="2" s="1"/>
  <c r="A78" i="2" s="1"/>
  <c r="A79" i="2" s="1"/>
  <c r="A62" i="2"/>
  <c r="A63" i="2" s="1"/>
  <c r="A64" i="2" s="1"/>
  <c r="A65" i="2" s="1"/>
  <c r="A66" i="2" s="1"/>
  <c r="A67" i="2" s="1"/>
  <c r="A68" i="2" s="1"/>
  <c r="A69" i="2" s="1"/>
  <c r="A70" i="2" s="1"/>
  <c r="A55" i="2"/>
  <c r="A56" i="2" s="1"/>
  <c r="A57" i="2" s="1"/>
  <c r="A58" i="2" s="1"/>
  <c r="A49" i="2"/>
  <c r="A50" i="2" s="1"/>
  <c r="A51" i="2" s="1"/>
  <c r="A52" i="2" s="1"/>
  <c r="A53" i="2" s="1"/>
  <c r="A54" i="2" s="1"/>
  <c r="A43" i="2"/>
  <c r="A44" i="2" s="1"/>
  <c r="A45" i="2" s="1"/>
  <c r="A46" i="2" s="1"/>
  <c r="A47" i="2" s="1"/>
  <c r="A48" i="2" s="1"/>
  <c r="A35" i="2"/>
  <c r="A36" i="2" s="1"/>
  <c r="A37" i="2" s="1"/>
  <c r="A38" i="2" s="1"/>
  <c r="A39" i="2" s="1"/>
  <c r="A40" i="2" s="1"/>
  <c r="A41" i="2" s="1"/>
  <c r="A42" i="2" s="1"/>
  <c r="A28" i="2"/>
  <c r="A29" i="2" s="1"/>
  <c r="A30" i="2" s="1"/>
  <c r="A31" i="2" s="1"/>
  <c r="A32" i="2" s="1"/>
  <c r="A33" i="2" s="1"/>
  <c r="A34" i="2" s="1"/>
  <c r="A19" i="2"/>
  <c r="A20" i="2" s="1"/>
  <c r="A21" i="2" s="1"/>
  <c r="A22" i="2" s="1"/>
  <c r="A23" i="2" s="1"/>
  <c r="A24" i="2" s="1"/>
  <c r="A25" i="2" s="1"/>
  <c r="A26" i="2" s="1"/>
  <c r="A27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G272" i="4" l="1"/>
  <c r="G186" i="4"/>
  <c r="G296" i="4"/>
  <c r="G302" i="4"/>
  <c r="G402" i="4"/>
  <c r="G185" i="4"/>
  <c r="G331" i="4"/>
  <c r="G271" i="4"/>
  <c r="G231" i="4"/>
  <c r="G283" i="4"/>
  <c r="G108" i="4"/>
  <c r="G213" i="4"/>
  <c r="G319" i="4"/>
  <c r="G240" i="4"/>
  <c r="G332" i="4"/>
  <c r="G420" i="4"/>
  <c r="G174" i="4"/>
  <c r="G98" i="4"/>
  <c r="G117" i="4"/>
  <c r="G255" i="4"/>
  <c r="G55" i="4"/>
  <c r="G80" i="4"/>
  <c r="G135" i="4"/>
  <c r="G134" i="4"/>
  <c r="G28" i="4"/>
  <c r="G27" i="4"/>
  <c r="G43" i="4"/>
  <c r="G42" i="4"/>
  <c r="G348" i="4"/>
  <c r="G347" i="4"/>
  <c r="G72" i="4"/>
  <c r="G71" i="4"/>
  <c r="G150" i="4"/>
  <c r="G149" i="4"/>
  <c r="G35" i="4"/>
  <c r="G34" i="4"/>
  <c r="G179" i="4"/>
  <c r="G180" i="4"/>
  <c r="G116" i="4"/>
  <c r="G278" i="4"/>
  <c r="G277" i="4"/>
  <c r="G214" i="4"/>
  <c r="G290" i="4"/>
  <c r="G289" i="4"/>
  <c r="G18" i="4"/>
  <c r="G19" i="4"/>
  <c r="G89" i="4"/>
  <c r="G90" i="4"/>
  <c r="G433" i="4"/>
  <c r="G432" i="4"/>
  <c r="G126" i="4"/>
  <c r="G125" i="4"/>
  <c r="G162" i="4"/>
  <c r="G161" i="4"/>
  <c r="G232" i="4"/>
  <c r="G256" i="4"/>
  <c r="G421" i="4"/>
  <c r="G61" i="4"/>
  <c r="G62" i="4"/>
  <c r="G49" i="4"/>
  <c r="G48" i="4"/>
  <c r="G54" i="4"/>
  <c r="G107" i="4"/>
  <c r="G143" i="4"/>
  <c r="G144" i="4"/>
  <c r="G314" i="4"/>
  <c r="G313" i="4"/>
  <c r="G326" i="4"/>
  <c r="G325" i="4"/>
  <c r="G415" i="4"/>
  <c r="G414" i="4"/>
  <c r="G156" i="4"/>
  <c r="G155" i="4"/>
  <c r="G99" i="4"/>
  <c r="G247" i="4"/>
  <c r="G394" i="4"/>
  <c r="G205" i="4"/>
  <c r="G401" i="4"/>
  <c r="G204" i="4"/>
  <c r="G264" i="4"/>
  <c r="G263" i="4"/>
  <c r="G393" i="4"/>
  <c r="G427" i="4"/>
  <c r="G426" i="4"/>
  <c r="G342" i="4"/>
  <c r="G409" i="4"/>
  <c r="G408" i="4"/>
  <c r="G341" i="4"/>
  <c r="G239" i="4"/>
  <c r="G307" i="4"/>
  <c r="G284" i="4"/>
  <c r="G368" i="4"/>
  <c r="G367" i="4"/>
  <c r="G222" i="4"/>
  <c r="G373" i="4"/>
  <c r="G196" i="4"/>
  <c r="G195" i="4"/>
  <c r="G223" i="4"/>
  <c r="G301" i="4"/>
  <c r="G81" i="4"/>
  <c r="G168" i="4"/>
  <c r="G167" i="4"/>
  <c r="G173" i="4"/>
  <c r="G248" i="4"/>
  <c r="G320" i="4"/>
  <c r="F401" i="2"/>
  <c r="F400" i="2"/>
  <c r="F393" i="2"/>
  <c r="F392" i="2"/>
  <c r="F373" i="2"/>
  <c r="F372" i="2"/>
  <c r="F348" i="2"/>
  <c r="F347" i="2"/>
  <c r="F342" i="2"/>
  <c r="F341" i="2"/>
  <c r="F333" i="2"/>
  <c r="F332" i="2"/>
  <c r="F327" i="2"/>
  <c r="F326" i="2"/>
  <c r="F321" i="2"/>
  <c r="F320" i="2"/>
  <c r="F315" i="2"/>
  <c r="F314" i="2"/>
  <c r="F309" i="2"/>
  <c r="F308" i="2"/>
  <c r="F303" i="2"/>
  <c r="F302" i="2"/>
  <c r="F297" i="2"/>
  <c r="F296" i="2"/>
  <c r="F291" i="2"/>
  <c r="F290" i="2"/>
  <c r="F285" i="2"/>
  <c r="F284" i="2"/>
  <c r="F279" i="2"/>
  <c r="F278" i="2"/>
  <c r="F273" i="2"/>
  <c r="F272" i="2"/>
  <c r="F265" i="2"/>
  <c r="F264" i="2"/>
  <c r="F257" i="2"/>
  <c r="F256" i="2"/>
  <c r="F249" i="2"/>
  <c r="F248" i="2"/>
  <c r="F241" i="2"/>
  <c r="F240" i="2"/>
  <c r="F233" i="2"/>
  <c r="F232" i="2"/>
  <c r="F224" i="2"/>
  <c r="F223" i="2"/>
  <c r="F215" i="2"/>
  <c r="F214" i="2"/>
  <c r="F206" i="2"/>
  <c r="F205" i="2"/>
  <c r="F197" i="2"/>
  <c r="F196" i="2"/>
  <c r="F188" i="2"/>
  <c r="F187" i="2"/>
  <c r="F182" i="2"/>
  <c r="F181" i="2"/>
  <c r="F176" i="2"/>
  <c r="F175" i="2"/>
  <c r="F170" i="2"/>
  <c r="F169" i="2"/>
  <c r="F164" i="2"/>
  <c r="F163" i="2"/>
  <c r="F158" i="2"/>
  <c r="F157" i="2"/>
  <c r="F152" i="2"/>
  <c r="F151" i="2"/>
  <c r="F146" i="2"/>
  <c r="F145" i="2"/>
  <c r="F137" i="2"/>
  <c r="F136" i="2"/>
  <c r="F128" i="2"/>
  <c r="F127" i="2"/>
  <c r="F119" i="2"/>
  <c r="F118" i="2"/>
  <c r="F110" i="2"/>
  <c r="F109" i="2"/>
  <c r="F101" i="2"/>
  <c r="F100" i="2"/>
  <c r="F92" i="2"/>
  <c r="F91" i="2"/>
  <c r="F83" i="2"/>
  <c r="F74" i="2"/>
  <c r="F73" i="2"/>
  <c r="F65" i="2"/>
  <c r="F64" i="2"/>
  <c r="F58" i="2"/>
  <c r="F57" i="2"/>
  <c r="F52" i="2"/>
  <c r="F51" i="2"/>
  <c r="F46" i="2"/>
  <c r="F45" i="2"/>
  <c r="F40" i="2"/>
  <c r="F39" i="2"/>
  <c r="F32" i="2"/>
  <c r="F23" i="2"/>
  <c r="F22" i="2"/>
  <c r="F21" i="2"/>
  <c r="F13" i="2"/>
  <c r="F12" i="2"/>
  <c r="F11" i="2"/>
  <c r="F9" i="2"/>
  <c r="F6" i="2"/>
  <c r="F7" i="2"/>
  <c r="F8" i="2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B3" i="2" l="1"/>
  <c r="E82" i="2" l="1"/>
  <c r="F82" i="2" s="1"/>
  <c r="E394" i="2"/>
  <c r="F394" i="2" s="1"/>
  <c r="E407" i="2"/>
  <c r="F407" i="2" s="1"/>
  <c r="E413" i="2"/>
  <c r="F413" i="2" s="1"/>
  <c r="E419" i="2"/>
  <c r="F419" i="2" s="1"/>
  <c r="E425" i="2"/>
  <c r="F425" i="2" s="1"/>
  <c r="E399" i="2"/>
  <c r="F399" i="2" s="1"/>
  <c r="E391" i="2"/>
  <c r="F391" i="2" s="1"/>
  <c r="F403" i="2"/>
  <c r="F402" i="2"/>
  <c r="E383" i="2"/>
  <c r="F383" i="2" s="1"/>
  <c r="E382" i="2"/>
  <c r="F382" i="2" s="1"/>
  <c r="E381" i="2"/>
  <c r="F381" i="2" s="1"/>
  <c r="E380" i="2"/>
  <c r="F380" i="2" s="1"/>
  <c r="E379" i="2"/>
  <c r="F379" i="2" s="1"/>
  <c r="E378" i="2"/>
  <c r="F378" i="2" s="1"/>
  <c r="E377" i="2"/>
  <c r="F377" i="2" s="1"/>
  <c r="E376" i="2"/>
  <c r="F376" i="2" s="1"/>
  <c r="E375" i="2"/>
  <c r="F375" i="2" s="1"/>
  <c r="E374" i="2"/>
  <c r="F374" i="2" s="1"/>
  <c r="E359" i="2"/>
  <c r="F359" i="2" s="1"/>
  <c r="E358" i="2"/>
  <c r="F358" i="2" s="1"/>
  <c r="E357" i="2"/>
  <c r="F357" i="2" s="1"/>
  <c r="E356" i="2"/>
  <c r="F356" i="2" s="1"/>
  <c r="E355" i="2"/>
  <c r="F355" i="2" s="1"/>
  <c r="E354" i="2"/>
  <c r="F354" i="2" s="1"/>
  <c r="E353" i="2"/>
  <c r="F353" i="2" s="1"/>
  <c r="E352" i="2"/>
  <c r="F352" i="2" s="1"/>
  <c r="E351" i="2"/>
  <c r="F351" i="2" s="1"/>
  <c r="E350" i="2"/>
  <c r="F350" i="2" s="1"/>
  <c r="E30" i="2"/>
  <c r="F30" i="2" s="1"/>
  <c r="E38" i="2"/>
  <c r="F38" i="2" s="1"/>
  <c r="F427" i="2"/>
  <c r="F426" i="2"/>
  <c r="E424" i="2"/>
  <c r="F424" i="2" s="1"/>
  <c r="F421" i="2"/>
  <c r="F420" i="2"/>
  <c r="E418" i="2"/>
  <c r="F418" i="2" s="1"/>
  <c r="F415" i="2"/>
  <c r="F414" i="2"/>
  <c r="E412" i="2"/>
  <c r="F412" i="2" s="1"/>
  <c r="F409" i="2"/>
  <c r="F408" i="2"/>
  <c r="E406" i="2"/>
  <c r="F406" i="2" s="1"/>
  <c r="F396" i="2"/>
  <c r="F395" i="2"/>
  <c r="F388" i="2"/>
  <c r="F387" i="2"/>
  <c r="F369" i="2"/>
  <c r="F368" i="2"/>
  <c r="E367" i="2"/>
  <c r="F367" i="2" s="1"/>
  <c r="G367" i="2" s="1"/>
  <c r="E366" i="2"/>
  <c r="F366" i="2" s="1"/>
  <c r="F363" i="2"/>
  <c r="F362" i="2"/>
  <c r="E349" i="2"/>
  <c r="F349" i="2" s="1"/>
  <c r="F344" i="2"/>
  <c r="F343" i="2"/>
  <c r="F338" i="2"/>
  <c r="F337" i="2"/>
  <c r="E336" i="2"/>
  <c r="E335" i="2"/>
  <c r="F335" i="2" s="1"/>
  <c r="E334" i="2"/>
  <c r="F334" i="2" s="1"/>
  <c r="F329" i="2"/>
  <c r="F328" i="2"/>
  <c r="F323" i="2"/>
  <c r="F322" i="2"/>
  <c r="F317" i="2"/>
  <c r="F316" i="2"/>
  <c r="F311" i="2"/>
  <c r="F310" i="2"/>
  <c r="F305" i="2"/>
  <c r="F304" i="2"/>
  <c r="F299" i="2"/>
  <c r="F298" i="2"/>
  <c r="F293" i="2"/>
  <c r="F292" i="2"/>
  <c r="F287" i="2"/>
  <c r="F286" i="2"/>
  <c r="F281" i="2"/>
  <c r="F280" i="2"/>
  <c r="F275" i="2"/>
  <c r="F274" i="2"/>
  <c r="F269" i="2"/>
  <c r="F268" i="2"/>
  <c r="E267" i="2"/>
  <c r="F267" i="2" s="1"/>
  <c r="E266" i="2"/>
  <c r="F266" i="2" s="1"/>
  <c r="F261" i="2"/>
  <c r="F260" i="2"/>
  <c r="E259" i="2"/>
  <c r="F259" i="2" s="1"/>
  <c r="E258" i="2"/>
  <c r="F258" i="2" s="1"/>
  <c r="F253" i="2"/>
  <c r="F252" i="2"/>
  <c r="E251" i="2"/>
  <c r="F251" i="2" s="1"/>
  <c r="E250" i="2"/>
  <c r="F250" i="2" s="1"/>
  <c r="F245" i="2"/>
  <c r="F244" i="2"/>
  <c r="E243" i="2"/>
  <c r="F243" i="2" s="1"/>
  <c r="E242" i="2"/>
  <c r="F242" i="2" s="1"/>
  <c r="G242" i="2" s="1"/>
  <c r="F237" i="2"/>
  <c r="F236" i="2"/>
  <c r="E235" i="2"/>
  <c r="F235" i="2" s="1"/>
  <c r="E234" i="2"/>
  <c r="F234" i="2" s="1"/>
  <c r="F229" i="2"/>
  <c r="F228" i="2"/>
  <c r="E227" i="2"/>
  <c r="E226" i="2"/>
  <c r="F226" i="2" s="1"/>
  <c r="E225" i="2"/>
  <c r="F225" i="2" s="1"/>
  <c r="F220" i="2"/>
  <c r="F219" i="2"/>
  <c r="E218" i="2"/>
  <c r="E217" i="2"/>
  <c r="F217" i="2" s="1"/>
  <c r="E216" i="2"/>
  <c r="F216" i="2" s="1"/>
  <c r="F211" i="2"/>
  <c r="F210" i="2"/>
  <c r="E209" i="2"/>
  <c r="E208" i="2"/>
  <c r="F208" i="2" s="1"/>
  <c r="E207" i="2"/>
  <c r="F207" i="2" s="1"/>
  <c r="F202" i="2"/>
  <c r="F201" i="2"/>
  <c r="E200" i="2"/>
  <c r="E199" i="2"/>
  <c r="F199" i="2" s="1"/>
  <c r="E198" i="2"/>
  <c r="F198" i="2" s="1"/>
  <c r="F193" i="2"/>
  <c r="F192" i="2"/>
  <c r="E191" i="2"/>
  <c r="E190" i="2"/>
  <c r="F190" i="2" s="1"/>
  <c r="E189" i="2"/>
  <c r="F189" i="2" s="1"/>
  <c r="F184" i="2"/>
  <c r="F183" i="2"/>
  <c r="F178" i="2"/>
  <c r="F177" i="2"/>
  <c r="F172" i="2"/>
  <c r="F171" i="2"/>
  <c r="F166" i="2"/>
  <c r="F165" i="2"/>
  <c r="F160" i="2"/>
  <c r="F159" i="2"/>
  <c r="F154" i="2"/>
  <c r="F153" i="2"/>
  <c r="F148" i="2"/>
  <c r="F147" i="2"/>
  <c r="F142" i="2"/>
  <c r="F141" i="2"/>
  <c r="E140" i="2"/>
  <c r="E139" i="2"/>
  <c r="F139" i="2" s="1"/>
  <c r="E138" i="2"/>
  <c r="F138" i="2" s="1"/>
  <c r="F133" i="2"/>
  <c r="F132" i="2"/>
  <c r="E131" i="2"/>
  <c r="E130" i="2"/>
  <c r="F130" i="2" s="1"/>
  <c r="E129" i="2"/>
  <c r="F129" i="2" s="1"/>
  <c r="F124" i="2"/>
  <c r="F123" i="2"/>
  <c r="E122" i="2"/>
  <c r="E121" i="2"/>
  <c r="F121" i="2" s="1"/>
  <c r="E120" i="2"/>
  <c r="F120" i="2" s="1"/>
  <c r="F115" i="2"/>
  <c r="F114" i="2"/>
  <c r="E113" i="2"/>
  <c r="E112" i="2"/>
  <c r="F112" i="2" s="1"/>
  <c r="E111" i="2"/>
  <c r="F111" i="2" s="1"/>
  <c r="F106" i="2"/>
  <c r="F105" i="2"/>
  <c r="E104" i="2"/>
  <c r="E103" i="2"/>
  <c r="F103" i="2" s="1"/>
  <c r="E102" i="2"/>
  <c r="F102" i="2" s="1"/>
  <c r="F97" i="2"/>
  <c r="F96" i="2"/>
  <c r="E95" i="2"/>
  <c r="E94" i="2"/>
  <c r="F94" i="2" s="1"/>
  <c r="E93" i="2"/>
  <c r="F93" i="2" s="1"/>
  <c r="F88" i="2"/>
  <c r="F87" i="2"/>
  <c r="E86" i="2"/>
  <c r="E85" i="2"/>
  <c r="F85" i="2" s="1"/>
  <c r="E84" i="2"/>
  <c r="F84" i="2" s="1"/>
  <c r="F79" i="2"/>
  <c r="F78" i="2"/>
  <c r="E77" i="2"/>
  <c r="E76" i="2"/>
  <c r="F76" i="2" s="1"/>
  <c r="E75" i="2"/>
  <c r="F75" i="2" s="1"/>
  <c r="F70" i="2"/>
  <c r="F69" i="2"/>
  <c r="E68" i="2"/>
  <c r="E67" i="2"/>
  <c r="F67" i="2" s="1"/>
  <c r="E66" i="2"/>
  <c r="F66" i="2" s="1"/>
  <c r="F60" i="2"/>
  <c r="F59" i="2"/>
  <c r="F54" i="2"/>
  <c r="F53" i="2"/>
  <c r="F48" i="2"/>
  <c r="F47" i="2"/>
  <c r="F42" i="2"/>
  <c r="F41" i="2"/>
  <c r="E37" i="2"/>
  <c r="F37" i="2" s="1"/>
  <c r="G37" i="2" s="1"/>
  <c r="F34" i="2"/>
  <c r="F33" i="2"/>
  <c r="E31" i="2"/>
  <c r="F31" i="2" s="1"/>
  <c r="F27" i="2"/>
  <c r="F26" i="2"/>
  <c r="E25" i="2"/>
  <c r="F25" i="2" s="1"/>
  <c r="G25" i="2" s="1"/>
  <c r="E24" i="2"/>
  <c r="F24" i="2" s="1"/>
  <c r="F18" i="2"/>
  <c r="F17" i="2"/>
  <c r="E14" i="2"/>
  <c r="F14" i="2" s="1"/>
  <c r="G14" i="2" s="1"/>
  <c r="E10" i="2"/>
  <c r="F10" i="2" s="1"/>
  <c r="E5" i="2"/>
  <c r="F5" i="2" s="1"/>
  <c r="F131" i="2"/>
  <c r="G131" i="2" s="1"/>
  <c r="G6" i="2"/>
  <c r="G347" i="2"/>
  <c r="G393" i="2"/>
  <c r="G11" i="2"/>
  <c r="G303" i="2"/>
  <c r="G10" i="2" l="1"/>
  <c r="G7" i="2"/>
  <c r="G5" i="2"/>
  <c r="G8" i="2"/>
  <c r="G235" i="2"/>
  <c r="G9" i="2"/>
  <c r="G360" i="2"/>
  <c r="G407" i="2"/>
  <c r="G308" i="2"/>
  <c r="G256" i="2"/>
  <c r="G145" i="2"/>
  <c r="G196" i="2"/>
  <c r="G302" i="2"/>
  <c r="G248" i="2"/>
  <c r="G151" i="2"/>
  <c r="G358" i="2"/>
  <c r="G425" i="2"/>
  <c r="G394" i="2"/>
  <c r="G296" i="2"/>
  <c r="G91" i="2"/>
  <c r="G157" i="2"/>
  <c r="G214" i="2"/>
  <c r="G100" i="2"/>
  <c r="G163" i="2"/>
  <c r="G223" i="2"/>
  <c r="G381" i="2"/>
  <c r="G419" i="2"/>
  <c r="G332" i="2"/>
  <c r="G284" i="2"/>
  <c r="G109" i="2"/>
  <c r="G169" i="2"/>
  <c r="G232" i="2"/>
  <c r="G400" i="2"/>
  <c r="G391" i="2"/>
  <c r="G326" i="2"/>
  <c r="G278" i="2"/>
  <c r="G175" i="2"/>
  <c r="G240" i="2"/>
  <c r="G320" i="2"/>
  <c r="G272" i="2"/>
  <c r="G127" i="2"/>
  <c r="G181" i="2"/>
  <c r="G314" i="2"/>
  <c r="G82" i="2"/>
  <c r="G413" i="2"/>
  <c r="G399" i="2"/>
  <c r="G401" i="2"/>
  <c r="G384" i="2"/>
  <c r="G383" i="2"/>
  <c r="G382" i="2"/>
  <c r="G380" i="2"/>
  <c r="G379" i="2"/>
  <c r="G378" i="2"/>
  <c r="G377" i="2"/>
  <c r="G376" i="2"/>
  <c r="G375" i="2"/>
  <c r="G374" i="2"/>
  <c r="G373" i="2"/>
  <c r="G372" i="2"/>
  <c r="G359" i="2"/>
  <c r="G357" i="2"/>
  <c r="G356" i="2"/>
  <c r="G217" i="2"/>
  <c r="G23" i="2"/>
  <c r="G267" i="2"/>
  <c r="G190" i="2"/>
  <c r="G351" i="2"/>
  <c r="G341" i="2"/>
  <c r="G290" i="2"/>
  <c r="G264" i="2"/>
  <c r="G205" i="2"/>
  <c r="G187" i="2"/>
  <c r="G136" i="2"/>
  <c r="G118" i="2"/>
  <c r="G38" i="2"/>
  <c r="G40" i="2"/>
  <c r="G129" i="2"/>
  <c r="F113" i="2"/>
  <c r="G113" i="2" s="1"/>
  <c r="G83" i="2"/>
  <c r="G85" i="2"/>
  <c r="G52" i="2"/>
  <c r="G75" i="2"/>
  <c r="G152" i="2"/>
  <c r="G102" i="2"/>
  <c r="G176" i="2"/>
  <c r="G58" i="2"/>
  <c r="G22" i="2"/>
  <c r="F86" i="2"/>
  <c r="G86" i="2" s="1"/>
  <c r="G12" i="2"/>
  <c r="G21" i="2"/>
  <c r="G67" i="2"/>
  <c r="G94" i="2"/>
  <c r="G121" i="2"/>
  <c r="G182" i="2"/>
  <c r="F209" i="2"/>
  <c r="G209" i="2" s="1"/>
  <c r="G259" i="2"/>
  <c r="G297" i="2"/>
  <c r="G335" i="2"/>
  <c r="G424" i="2"/>
  <c r="G84" i="2"/>
  <c r="G111" i="2"/>
  <c r="G226" i="2"/>
  <c r="G348" i="2"/>
  <c r="G418" i="2"/>
  <c r="G138" i="2"/>
  <c r="G199" i="2"/>
  <c r="G249" i="2"/>
  <c r="G291" i="2"/>
  <c r="G32" i="2"/>
  <c r="G51" i="2"/>
  <c r="G74" i="2"/>
  <c r="G101" i="2"/>
  <c r="G128" i="2"/>
  <c r="G170" i="2"/>
  <c r="G189" i="2"/>
  <c r="G216" i="2"/>
  <c r="G243" i="2"/>
  <c r="G266" i="2"/>
  <c r="G285" i="2"/>
  <c r="G342" i="2"/>
  <c r="G412" i="2"/>
  <c r="G13" i="2"/>
  <c r="G45" i="2"/>
  <c r="F68" i="2"/>
  <c r="G68" i="2" s="1"/>
  <c r="F95" i="2"/>
  <c r="G95" i="2" s="1"/>
  <c r="F122" i="2"/>
  <c r="G122" i="2" s="1"/>
  <c r="G164" i="2"/>
  <c r="G206" i="2"/>
  <c r="G233" i="2"/>
  <c r="G279" i="2"/>
  <c r="F336" i="2"/>
  <c r="G336" i="2" s="1"/>
  <c r="G366" i="2"/>
  <c r="G406" i="2"/>
  <c r="G112" i="2"/>
  <c r="G139" i="2"/>
  <c r="G158" i="2"/>
  <c r="F200" i="2"/>
  <c r="G200" i="2" s="1"/>
  <c r="F227" i="2"/>
  <c r="G227" i="2" s="1"/>
  <c r="G250" i="2"/>
  <c r="G273" i="2"/>
  <c r="G349" i="2"/>
  <c r="G392" i="2"/>
  <c r="G46" i="2"/>
  <c r="G65" i="2"/>
  <c r="G92" i="2"/>
  <c r="G119" i="2"/>
  <c r="G146" i="2"/>
  <c r="G207" i="2"/>
  <c r="G234" i="2"/>
  <c r="G257" i="2"/>
  <c r="G333" i="2"/>
  <c r="F140" i="2"/>
  <c r="G140" i="2" s="1"/>
  <c r="G197" i="2"/>
  <c r="G224" i="2"/>
  <c r="G251" i="2"/>
  <c r="G327" i="2"/>
  <c r="G31" i="2"/>
  <c r="G76" i="2"/>
  <c r="G103" i="2"/>
  <c r="G130" i="2"/>
  <c r="F191" i="2"/>
  <c r="G191" i="2" s="1"/>
  <c r="F218" i="2"/>
  <c r="G218" i="2" s="1"/>
  <c r="G241" i="2"/>
  <c r="G321" i="2"/>
  <c r="G66" i="2"/>
  <c r="G93" i="2"/>
  <c r="G120" i="2"/>
  <c r="G208" i="2"/>
  <c r="G258" i="2"/>
  <c r="G315" i="2"/>
  <c r="G334" i="2"/>
  <c r="G110" i="2"/>
  <c r="G137" i="2"/>
  <c r="G198" i="2"/>
  <c r="G309" i="2"/>
  <c r="G225" i="2"/>
  <c r="F77" i="2"/>
  <c r="G77" i="2" s="1"/>
  <c r="F104" i="2"/>
  <c r="G104" i="2" s="1"/>
  <c r="G188" i="2"/>
  <c r="G215" i="2"/>
  <c r="G265" i="2"/>
  <c r="G17" i="2" l="1"/>
  <c r="G18" i="2"/>
  <c r="G165" i="2"/>
  <c r="G166" i="2"/>
  <c r="G337" i="2"/>
  <c r="G338" i="2"/>
  <c r="G292" i="2"/>
  <c r="G293" i="2"/>
  <c r="G177" i="2"/>
  <c r="G178" i="2"/>
  <c r="G298" i="2"/>
  <c r="G299" i="2"/>
  <c r="G133" i="2"/>
  <c r="G132" i="2"/>
  <c r="G183" i="2"/>
  <c r="G184" i="2"/>
  <c r="G305" i="2"/>
  <c r="G304" i="2"/>
  <c r="G409" i="2"/>
  <c r="G408" i="2"/>
  <c r="G141" i="2"/>
  <c r="G142" i="2"/>
  <c r="G192" i="2"/>
  <c r="G193" i="2"/>
  <c r="G260" i="2"/>
  <c r="G261" i="2"/>
  <c r="G310" i="2"/>
  <c r="G311" i="2"/>
  <c r="G388" i="2"/>
  <c r="G387" i="2"/>
  <c r="G414" i="2"/>
  <c r="G415" i="2"/>
  <c r="G105" i="2"/>
  <c r="G106" i="2"/>
  <c r="G228" i="2"/>
  <c r="G229" i="2"/>
  <c r="G171" i="2"/>
  <c r="G172" i="2"/>
  <c r="G343" i="2"/>
  <c r="G344" i="2"/>
  <c r="G395" i="2"/>
  <c r="G396" i="2"/>
  <c r="G53" i="2"/>
  <c r="G54" i="2"/>
  <c r="G252" i="2"/>
  <c r="G253" i="2"/>
  <c r="G369" i="2"/>
  <c r="G368" i="2"/>
  <c r="G147" i="2"/>
  <c r="G148" i="2"/>
  <c r="G201" i="2"/>
  <c r="G202" i="2"/>
  <c r="G268" i="2"/>
  <c r="G269" i="2"/>
  <c r="G316" i="2"/>
  <c r="G317" i="2"/>
  <c r="G402" i="2"/>
  <c r="G403" i="2"/>
  <c r="G420" i="2"/>
  <c r="G421" i="2"/>
  <c r="G114" i="2"/>
  <c r="G115" i="2"/>
  <c r="G236" i="2"/>
  <c r="G237" i="2"/>
  <c r="G123" i="2"/>
  <c r="G124" i="2"/>
  <c r="G245" i="2"/>
  <c r="G244" i="2"/>
  <c r="G47" i="2"/>
  <c r="G48" i="2"/>
  <c r="G426" i="2"/>
  <c r="G427" i="2"/>
  <c r="G153" i="2"/>
  <c r="G154" i="2"/>
  <c r="G211" i="2"/>
  <c r="G210" i="2"/>
  <c r="G275" i="2"/>
  <c r="G274" i="2"/>
  <c r="G322" i="2"/>
  <c r="G323" i="2"/>
  <c r="G97" i="2"/>
  <c r="G96" i="2"/>
  <c r="G159" i="2"/>
  <c r="G160" i="2"/>
  <c r="G219" i="2"/>
  <c r="G220" i="2"/>
  <c r="G280" i="2"/>
  <c r="G281" i="2"/>
  <c r="G329" i="2"/>
  <c r="G328" i="2"/>
  <c r="G287" i="2"/>
  <c r="G286" i="2"/>
  <c r="G87" i="2"/>
  <c r="G88" i="2"/>
  <c r="G73" i="2"/>
  <c r="G355" i="2"/>
  <c r="G354" i="2"/>
  <c r="G353" i="2"/>
  <c r="G352" i="2"/>
  <c r="G350" i="2"/>
  <c r="G57" i="2"/>
  <c r="G30" i="2"/>
  <c r="G39" i="2"/>
  <c r="G24" i="2"/>
  <c r="G64" i="2"/>
  <c r="G26" i="2" l="1"/>
  <c r="G362" i="2"/>
  <c r="G27" i="2"/>
  <c r="G363" i="2"/>
  <c r="B6" i="3" l="1"/>
  <c r="B8" i="3"/>
  <c r="B5" i="3"/>
  <c r="B7" i="3" l="1"/>
  <c r="B4" i="3"/>
  <c r="B3" i="3"/>
  <c r="B9" i="3" l="1"/>
</calcChain>
</file>

<file path=xl/sharedStrings.xml><?xml version="1.0" encoding="utf-8"?>
<sst xmlns="http://schemas.openxmlformats.org/spreadsheetml/2006/main" count="4888" uniqueCount="637">
  <si>
    <t>ПАРАМЕТРЫ — Проект 260608 — ABB</t>
  </si>
  <si>
    <t>Параметр</t>
  </si>
  <si>
    <t>Значение
(ред.)</t>
  </si>
  <si>
    <t>Описание</t>
  </si>
  <si>
    <t>EUR/KZT курс</t>
  </si>
  <si>
    <t>Обновить с XE.com</t>
  </si>
  <si>
    <t>Коэф.скидки ABB (0.33)</t>
  </si>
  <si>
    <t>Скидка на покупку</t>
  </si>
  <si>
    <t>Коэф.надбавки (ABB EUR)</t>
  </si>
  <si>
    <t>Транспорт + накладные (только для EUR)</t>
  </si>
  <si>
    <t>Монтажные материалы %</t>
  </si>
  <si>
    <t>% от суммы компонентов</t>
  </si>
  <si>
    <t>Монтажная работа %</t>
  </si>
  <si>
    <t>Ключ</t>
  </si>
  <si>
    <t>Цена (список)
(ред.)</t>
  </si>
  <si>
    <t>Наименование / Артикул</t>
  </si>
  <si>
    <t>Цена нетто KZT
(формула)</t>
  </si>
  <si>
    <t>S201-C6</t>
  </si>
  <si>
    <t>Авт.выкл. 1P C6  S201-C6  [2CDS251001R0064]</t>
  </si>
  <si>
    <t>S201-C10</t>
  </si>
  <si>
    <t>Авт.выкл. 1P C10 S201-C10  [2CDS251001R0104]</t>
  </si>
  <si>
    <t>S201-C16</t>
  </si>
  <si>
    <t>Авт.выкл. 1P C16 S201-C16  [2CDS251001R0164]</t>
  </si>
  <si>
    <t>S201-C20</t>
  </si>
  <si>
    <t>Авт.выкл. 1P C20 S201-C20  [2CDS251001R0204]</t>
  </si>
  <si>
    <t>S201-C25</t>
  </si>
  <si>
    <t>Авт.выкл. 1P C25 S201-C25  [2CDS251001R0254]</t>
  </si>
  <si>
    <t>S201-C32</t>
  </si>
  <si>
    <t>Авт.выкл. 1P C32 S201-C32  [2CDS251001R0324]</t>
  </si>
  <si>
    <t>S203-C6</t>
  </si>
  <si>
    <t>Авт.выкл. 3P C6  S203-C6  [2CDS253001R0064]</t>
  </si>
  <si>
    <t>S203-C10</t>
  </si>
  <si>
    <t>Авт.выкл. 3P C10 S203-C10  [2CDS253001R0104]</t>
  </si>
  <si>
    <t>S203-C16</t>
  </si>
  <si>
    <t>Авт.выкл. 3P C16 S203-C16  [2CDS253001R0164]</t>
  </si>
  <si>
    <t>S203-C20</t>
  </si>
  <si>
    <t>Авт.выкл. 3P C20 S203-C20  [2CDS253001R0204]</t>
  </si>
  <si>
    <t>S203-C25</t>
  </si>
  <si>
    <t>Авт.выкл. 3P C25 S203-C25  [2CDS253001R0254]</t>
  </si>
  <si>
    <t>S203-C32</t>
  </si>
  <si>
    <t>Авт.выкл. 3P C32 S203-C32  [2CDS253001R0324]</t>
  </si>
  <si>
    <t>DS201-C10-30</t>
  </si>
  <si>
    <t>Диф.авт. 1P+N C10 30мА DS201 C10 AC30  [2CSR255080R1104]</t>
  </si>
  <si>
    <t>DS201-C16-30</t>
  </si>
  <si>
    <t>Диф.авт. 1P+N C16 30мА DS201 C16 AC30  [2CSR255080R1164]</t>
  </si>
  <si>
    <t>DS201-C20-30</t>
  </si>
  <si>
    <t>Диф.авт. 1P+N C20 30мА DS201 C20 AC30  [2CSR255080R1204]</t>
  </si>
  <si>
    <t>DS203NC-C10-30</t>
  </si>
  <si>
    <t>Диф.авт. 3P+N C10 30мА DS203NC C10 AC30  [2CSR256040R1104]</t>
  </si>
  <si>
    <t>DS203NC-C16-30</t>
  </si>
  <si>
    <t>Диф.авт. 3P+N C16 30мА DS203NC C16 AC30  [2CSR256040R1164]</t>
  </si>
  <si>
    <t>OT25F3</t>
  </si>
  <si>
    <t>Выкл.-разъед. 3P 25А OT25F3  [1SCA104857R1001]</t>
  </si>
  <si>
    <t>OT63F3</t>
  </si>
  <si>
    <t>Выкл.-разъед. 3P 63А OT63F3  [1SCA105332R1001]</t>
  </si>
  <si>
    <t>OT100F3</t>
  </si>
  <si>
    <t>Выкл.-разъед. 3P 100А OT100F3  [1SCA105004R1001]</t>
  </si>
  <si>
    <t>XT1N-80A</t>
  </si>
  <si>
    <t>Авт.выкл. 3P 80А XT1N 160 TMD  [1SDA067---]</t>
  </si>
  <si>
    <t>XT1N-100A</t>
  </si>
  <si>
    <t>Авт.выкл. 3P 100А XT1N 160 TMD  [1SDA067416R1]</t>
  </si>
  <si>
    <t>XT1N-125A</t>
  </si>
  <si>
    <t>Авт.выкл. 3P 125А XT1N 160 TMD  [1SDA067417R1]</t>
  </si>
  <si>
    <t>ESB16-11N</t>
  </si>
  <si>
    <t>Контактор 16А ESB16-11N 230В  [1SBE111111R0611]</t>
  </si>
  <si>
    <t>ESB20-11N</t>
  </si>
  <si>
    <t>Контактор 20А ESB20-11N 230В  [1SBE121111R0611]</t>
  </si>
  <si>
    <t>OTM125</t>
  </si>
  <si>
    <t>АВР 3P 125А OTM125F3CMA230V  [1SCA120070R1001]</t>
  </si>
  <si>
    <t>S3C-A1</t>
  </si>
  <si>
    <t>Независимый расцепитель S3C-A1 AC/DC 12-110V  [2CDS200982R0001]</t>
  </si>
  <si>
    <t>КЛЕММНИК</t>
  </si>
  <si>
    <t>Клеммник монтажный (аналог NSYTRV162)  [—]</t>
  </si>
  <si>
    <t>ЯТП-IEK</t>
  </si>
  <si>
    <t>ЯТП-0,25 230/36В IEK (MTT12-036-0250)  [MTT12-036-0250]</t>
  </si>
  <si>
    <t>УКРМ-10</t>
  </si>
  <si>
    <t>УКРМ 10кВАр 400В, 800×700×250мм  [По запросу]</t>
  </si>
  <si>
    <t>По запросу</t>
  </si>
  <si>
    <t>СПЕЦИФИКАЦИЯ ОБОРУДОВАНИЯ — Проект 260608 — г.Атырау — ABB  |  Формула: KZT = EUR_list × 0.33 × 1.30 × EUR/KZT  |  Параметры → лист ПАРАМЕТРЫ (синие ячейки)</t>
  </si>
  <si>
    <t>№</t>
  </si>
  <si>
    <t>Наименование и техническая характеристика</t>
  </si>
  <si>
    <t>Тип / Марка / Артикул</t>
  </si>
  <si>
    <t>Источник (PDF альбом)</t>
  </si>
  <si>
    <t>Ед.</t>
  </si>
  <si>
    <t>Кол.</t>
  </si>
  <si>
    <t>Цена
список</t>
  </si>
  <si>
    <t>KZT
нетто</t>
  </si>
  <si>
    <t>Сумма
KZT</t>
  </si>
  <si>
    <t>Примечание</t>
  </si>
  <si>
    <t>───  ЭОМ — ГАРАЖ  ───</t>
  </si>
  <si>
    <t>КОМПЛЕКТ 1.  ГРЩ (ЩМП-18.8.4-0 36 УХЛ3 IP31)  |  Альбом 7.4 ЭОМ (Гараж)</t>
  </si>
  <si>
    <t>1.1</t>
  </si>
  <si>
    <t>Teksan f</t>
  </si>
  <si>
    <t>Альбом 7.4 ЭОМ (Гараж)</t>
  </si>
  <si>
    <t>шт</t>
  </si>
  <si>
    <t>—</t>
  </si>
  <si>
    <t>Teksan f — цена TBD</t>
  </si>
  <si>
    <t>1.2</t>
  </si>
  <si>
    <t>Авт.выкл. 3P 125А XT1N 160 TMD</t>
  </si>
  <si>
    <t>1SDA067417R1</t>
  </si>
  <si>
    <t>DPX3 125А / вводной аналог</t>
  </si>
  <si>
    <t>1.3</t>
  </si>
  <si>
    <t>Авт.выкл. 3P 100А XT1N 160 TMD</t>
  </si>
  <si>
    <t>1SDA067416R1</t>
  </si>
  <si>
    <t>Резервный ввод</t>
  </si>
  <si>
    <t>1.4</t>
  </si>
  <si>
    <t>2CDS253001R0204</t>
  </si>
  <si>
    <t>TX3 20A 3P</t>
  </si>
  <si>
    <t>1.5</t>
  </si>
  <si>
    <t>TX3 25A 3P</t>
  </si>
  <si>
    <t>1.6</t>
  </si>
  <si>
    <t>TX3 6A 1P</t>
  </si>
  <si>
    <t>1.7</t>
  </si>
  <si>
    <t>АВР 3P 125А OTM125F3CMA230V</t>
  </si>
  <si>
    <t>1SCA120070R1001</t>
  </si>
  <si>
    <t>АВР TransferPact аналог</t>
  </si>
  <si>
    <t>1.8</t>
  </si>
  <si>
    <t>УКРМ 10кВАр 400В, 800×700×250мм</t>
  </si>
  <si>
    <t>КРМ — 2 шт (ввод1+ввод2) — цена TBD</t>
  </si>
  <si>
    <t>1.9</t>
  </si>
  <si>
    <t>Счётчик электроэнергии 3ф 100А 380В</t>
  </si>
  <si>
    <t>Энергомера СЕ 303 S31 746-JPVZ PLC 1111, 100А, 380В</t>
  </si>
  <si>
    <t>Счётчик/прибор — 3 шт — по одному на каждый ввод ГРЩ — цена По запросу</t>
  </si>
  <si>
    <t>1.10</t>
  </si>
  <si>
    <t>Монтажный материал</t>
  </si>
  <si>
    <t>1.11</t>
  </si>
  <si>
    <t>Монтажная работа</t>
  </si>
  <si>
    <t>КОМПЛЕКТ 2.  ЩС-В (ЩРн-12з-0 36 УХЛ3 IP54)  |  Альбом 7.4 ЭОМ (Гараж)</t>
  </si>
  <si>
    <t>2.1</t>
  </si>
  <si>
    <t>Корпус — ЩРн-12з-0 36 УХЛ3 IP54</t>
  </si>
  <si>
    <t>2.2</t>
  </si>
  <si>
    <t>Ввод QF1 20А 3P</t>
  </si>
  <si>
    <t>2.3</t>
  </si>
  <si>
    <t>SF2, SF3</t>
  </si>
  <si>
    <t>2.4</t>
  </si>
  <si>
    <t>Контактор 16А ESB16-11N 230В</t>
  </si>
  <si>
    <t>1SBE111111R0611</t>
  </si>
  <si>
    <t>КМИ 10910 9А — В1+В2+В3</t>
  </si>
  <si>
    <t>2.5</t>
  </si>
  <si>
    <t>Независимый расцепитель S3C-A1 AC/DC 12-110V</t>
  </si>
  <si>
    <t>2CDS200982R0001</t>
  </si>
  <si>
    <t>Независимый расцепитель DRX — пожарный сигнал</t>
  </si>
  <si>
    <t>2.6</t>
  </si>
  <si>
    <t>2.7</t>
  </si>
  <si>
    <t>КОМПЛЕКТ 3.  ЩС-П (ЩРн-24з-0 36 УХЛ3 IP54)  |  Альбом 7.4 ЭОМ (Гараж)</t>
  </si>
  <si>
    <t>3.1</t>
  </si>
  <si>
    <t>Корпус — ЩРн-24з-0 36 УХЛ3 IP54</t>
  </si>
  <si>
    <t>3.2</t>
  </si>
  <si>
    <t>Выкл.-разъед. 3P 25А OT25F3</t>
  </si>
  <si>
    <t>1SCA104857R1001</t>
  </si>
  <si>
    <t>ВН-32 25А</t>
  </si>
  <si>
    <t>3.3</t>
  </si>
  <si>
    <t>Диф.авт. 1P+N C16 30мА DS201 C16 AC30</t>
  </si>
  <si>
    <t>2CSR255080R1164</t>
  </si>
  <si>
    <t>АВДТ DX3 1P+N 16А 30мА</t>
  </si>
  <si>
    <t>TX3 16А 3P</t>
  </si>
  <si>
    <t>3.5</t>
  </si>
  <si>
    <t>TX3 16А 1P</t>
  </si>
  <si>
    <t>3.6</t>
  </si>
  <si>
    <t>3.7</t>
  </si>
  <si>
    <t>КОМПЛЕКТ 4.  ЩС-ПО (ЩРн-12з-0 36 УХЛ3 IP54)  |  Альбом 7.4 ЭОМ (Гараж)</t>
  </si>
  <si>
    <t>4.1</t>
  </si>
  <si>
    <t>4.2</t>
  </si>
  <si>
    <t>ВН-32 100А</t>
  </si>
  <si>
    <t>4.3</t>
  </si>
  <si>
    <t>DPX3 80А — Дп1</t>
  </si>
  <si>
    <t>4.4</t>
  </si>
  <si>
    <t>4.5</t>
  </si>
  <si>
    <t>4.6</t>
  </si>
  <si>
    <t>4.7</t>
  </si>
  <si>
    <t>КОМПЛЕКТ 5.  ЩС-Пн (ЩРн-12з-0 36 УХЛ3 IP54)  |  Альбом 7.4 ЭОМ (Гараж)</t>
  </si>
  <si>
    <t>5.1</t>
  </si>
  <si>
    <t>5.2</t>
  </si>
  <si>
    <t>Ввод</t>
  </si>
  <si>
    <t>5.3</t>
  </si>
  <si>
    <t>Пн1, Пн2 + Зд1</t>
  </si>
  <si>
    <t>5.4</t>
  </si>
  <si>
    <t>5.5</t>
  </si>
  <si>
    <t>КОМПЛЕКТ 6.  ЩС-Вр (ЩРн-18з-0 36 УХЛ3 IP54)  |  Альбом 7.4 ЭОМ (Гараж)</t>
  </si>
  <si>
    <t>6.1</t>
  </si>
  <si>
    <t>Корпус — ЩРн-18з-0 36 УХЛ3 IP54</t>
  </si>
  <si>
    <t>6.2</t>
  </si>
  <si>
    <t>ВН-32 20А</t>
  </si>
  <si>
    <t>6.3</t>
  </si>
  <si>
    <t>SF1..SF5 — Вр1..Вр5</t>
  </si>
  <si>
    <t>6.4</t>
  </si>
  <si>
    <t>6.5</t>
  </si>
  <si>
    <t>КОМПЛЕКТ 7.  ЩО (ЩРн-12з-0 36 УХЛ3 IP54)  |  Альбом 7.4 ЭОМ (Гараж)</t>
  </si>
  <si>
    <t>7.1</t>
  </si>
  <si>
    <t>7.3</t>
  </si>
  <si>
    <t>SF1..SF5</t>
  </si>
  <si>
    <t>7.4</t>
  </si>
  <si>
    <t>ЯТП-0,25 230/36В IEK (MTT12-036-0250)</t>
  </si>
  <si>
    <t>MTT12-036-0250</t>
  </si>
  <si>
    <t>ЯТП 220→36В — гр.1 и гр.3</t>
  </si>
  <si>
    <t>7.5</t>
  </si>
  <si>
    <t>7.6</t>
  </si>
  <si>
    <t>───  ЭО — КОНЦЕРТНЫЙ ЗАЛ  ───</t>
  </si>
  <si>
    <t>КОМПЛЕКТ 8.  ЩО-1.1 (ЩРн-36з-0 36 УХЛ3 IP54)  |  Альбом 7.1 ЭО (Концертный зал)</t>
  </si>
  <si>
    <t>8.1</t>
  </si>
  <si>
    <t>Корпус — ЩРн-36з-0 36 УХЛ3 IP54</t>
  </si>
  <si>
    <t>Альбом 7.1 ЭО (Концертный зал)</t>
  </si>
  <si>
    <t>8.3</t>
  </si>
  <si>
    <t>8.4</t>
  </si>
  <si>
    <t>8.5</t>
  </si>
  <si>
    <t>8.6</t>
  </si>
  <si>
    <t>Клеммник монтажный (аналог NSYTRV162)</t>
  </si>
  <si>
    <t>NSYTRV162</t>
  </si>
  <si>
    <t>8.7</t>
  </si>
  <si>
    <t>8.8</t>
  </si>
  <si>
    <t>КОМПЛЕКТ 9.  ЩО-1.2 (ЩРн-12з-0 36 УХЛ3 IP54)  |  Альбом 7.1 ЭО (Концертный зал)</t>
  </si>
  <si>
    <t>9.1</t>
  </si>
  <si>
    <t>9.3</t>
  </si>
  <si>
    <t>9.4</t>
  </si>
  <si>
    <t>9.5</t>
  </si>
  <si>
    <t>9.6</t>
  </si>
  <si>
    <t>9.7</t>
  </si>
  <si>
    <t>9.8</t>
  </si>
  <si>
    <t>КОМПЛЕКТ 10.  ЩО-1.3 (ЩРн-36з-0 36 УХЛ3 IP54)  |  Альбом 7.1 ЭО (Концертный зал)</t>
  </si>
  <si>
    <t>10.1</t>
  </si>
  <si>
    <t>10.3</t>
  </si>
  <si>
    <t>10.4</t>
  </si>
  <si>
    <t>10.5</t>
  </si>
  <si>
    <t>10.6</t>
  </si>
  <si>
    <t>10.7</t>
  </si>
  <si>
    <t>10.8</t>
  </si>
  <si>
    <t>КОМПЛЕКТ 11.  ЩО-2.1 (ЩРн-12з-0 36 УХЛ3 IP54)  |  Альбом 7.1 ЭО (Концертный зал)</t>
  </si>
  <si>
    <t>11.1</t>
  </si>
  <si>
    <t>11.3</t>
  </si>
  <si>
    <t>11.4</t>
  </si>
  <si>
    <t>11.5</t>
  </si>
  <si>
    <t>11.6</t>
  </si>
  <si>
    <t>11.7</t>
  </si>
  <si>
    <t>11.8</t>
  </si>
  <si>
    <t>КОМПЛЕКТ 12.  ЩО-2.2 (ЩРн-18з-0 36 УХЛ3 IP54)  |  Альбом 7.1 ЭО (Концертный зал)</t>
  </si>
  <si>
    <t>12.1</t>
  </si>
  <si>
    <t>12.3</t>
  </si>
  <si>
    <t>12.4</t>
  </si>
  <si>
    <t>12.5</t>
  </si>
  <si>
    <t>12.6</t>
  </si>
  <si>
    <t>12.7</t>
  </si>
  <si>
    <t>12.8</t>
  </si>
  <si>
    <t>КОМПЛЕКТ 13.  ЩО-3.1 (ЩРн-18з-0 36 УХЛ3 IP54)  |  Альбом 7.1 ЭО (Концертный зал)</t>
  </si>
  <si>
    <t>13.1</t>
  </si>
  <si>
    <t>13.3</t>
  </si>
  <si>
    <t>13.4</t>
  </si>
  <si>
    <t>13.5</t>
  </si>
  <si>
    <t>13.6</t>
  </si>
  <si>
    <t>13.7</t>
  </si>
  <si>
    <t>13.8</t>
  </si>
  <si>
    <t>КОМПЛЕКТ 14.  ЩО-3.2 (ЩРн-18з-0 36 УХЛ3 IP54)  |  Альбом 7.1 ЭО (Концертный зал)</t>
  </si>
  <si>
    <t>14.1</t>
  </si>
  <si>
    <t>14.3</t>
  </si>
  <si>
    <t>14.4</t>
  </si>
  <si>
    <t>14.5</t>
  </si>
  <si>
    <t>14.6</t>
  </si>
  <si>
    <t>14.7</t>
  </si>
  <si>
    <t>14.8</t>
  </si>
  <si>
    <t>КОМПЛЕКТ 15.  ЩО-3.3 (ЩРн-12з-0 36 УХЛ3 IP54)  |  Альбом 7.1 ЭО (Концертный зал)</t>
  </si>
  <si>
    <t>15.1</t>
  </si>
  <si>
    <t>15.3</t>
  </si>
  <si>
    <t>15.4</t>
  </si>
  <si>
    <t>15.5</t>
  </si>
  <si>
    <t>15.6</t>
  </si>
  <si>
    <t>15.7</t>
  </si>
  <si>
    <t>15.8</t>
  </si>
  <si>
    <t>КОМПЛЕКТ 16.  ЩО-Зз (ЩРн-18з-0 36 УХЛ3 IP54)  |  Альбом 7.1 ЭО (Концертный зал)</t>
  </si>
  <si>
    <t>16.1</t>
  </si>
  <si>
    <t>16.3</t>
  </si>
  <si>
    <t>16.4</t>
  </si>
  <si>
    <t>16.5</t>
  </si>
  <si>
    <t>16.6</t>
  </si>
  <si>
    <t>16.7</t>
  </si>
  <si>
    <t>16.8</t>
  </si>
  <si>
    <t>КОМПЛЕКТ 17.  ЩОА-1.1 (ЩРн-12з-0 36 УХЛ3 IP54)  |  Альбом 7.1 ЭО (Концертный зал)</t>
  </si>
  <si>
    <t>17.1</t>
  </si>
  <si>
    <t>17.3</t>
  </si>
  <si>
    <t>17.4</t>
  </si>
  <si>
    <t>17.5</t>
  </si>
  <si>
    <t>КОМПЛЕКТ 18.  ЩОА-1.2 (ЩРн-12з-0 36 УХЛ3 IP54)  |  Альбом 7.1 ЭО (Концертный зал)</t>
  </si>
  <si>
    <t>18.1</t>
  </si>
  <si>
    <t>18.3</t>
  </si>
  <si>
    <t>18.4</t>
  </si>
  <si>
    <t>18.5</t>
  </si>
  <si>
    <t>КОМПЛЕКТ 19.  ЩОА-1.3 (ЩРн-12з-0 36 УХЛ3 IP54)  |  Альбом 7.1 ЭО (Концертный зал)</t>
  </si>
  <si>
    <t>19.1</t>
  </si>
  <si>
    <t>19.3</t>
  </si>
  <si>
    <t>19.4</t>
  </si>
  <si>
    <t>19.5</t>
  </si>
  <si>
    <t>КОМПЛЕКТ 20.  ЩОА-2.1 (ЩРн-12з-0 36 УХЛ3 IP54)  |  Альбом 7.1 ЭО (Концертный зал)</t>
  </si>
  <si>
    <t>20.1</t>
  </si>
  <si>
    <t>20.3</t>
  </si>
  <si>
    <t>20.4</t>
  </si>
  <si>
    <t>20.5</t>
  </si>
  <si>
    <t>КОМПЛЕКТ 21.  ЩОА-2.2 (ЩРн-12з-0 36 УХЛ3 IP54)  |  Альбом 7.1 ЭО (Концертный зал)</t>
  </si>
  <si>
    <t>21.1</t>
  </si>
  <si>
    <t>21.3</t>
  </si>
  <si>
    <t>21.4</t>
  </si>
  <si>
    <t>21.5</t>
  </si>
  <si>
    <t>КОМПЛЕКТ 22.  ЩОА-3.1 (ЩРн-12з-0 36 УХЛ3 IP54)  |  Альбом 7.1 ЭО (Концертный зал)</t>
  </si>
  <si>
    <t>22.1</t>
  </si>
  <si>
    <t>22.3</t>
  </si>
  <si>
    <t>22.4</t>
  </si>
  <si>
    <t>22.5</t>
  </si>
  <si>
    <t>КОМПЛЕКТ 23.  ЩОА-3.2 (ЩРн-12з-0 36 УХЛ3 IP54)  |  Альбом 7.1 ЭО (Концертный зал)</t>
  </si>
  <si>
    <t>23.1</t>
  </si>
  <si>
    <t>23.3</t>
  </si>
  <si>
    <t>23.4</t>
  </si>
  <si>
    <t>23.5</t>
  </si>
  <si>
    <t>───  ЭО — МУЗЕЙ  ───</t>
  </si>
  <si>
    <t>КОМПЛЕКТ 24.  МЗ-ЩО-0.1 (ЩРн-24з-0 36 УХЛ3 IP54)  |  Альбом 7.1 ЭО (Музей)</t>
  </si>
  <si>
    <t>24.1</t>
  </si>
  <si>
    <t>Альбом 7.1 ЭО (Музей)</t>
  </si>
  <si>
    <t>24.3</t>
  </si>
  <si>
    <t>24.4</t>
  </si>
  <si>
    <t>24.5</t>
  </si>
  <si>
    <t>24.6</t>
  </si>
  <si>
    <t>24.7</t>
  </si>
  <si>
    <t>24.8</t>
  </si>
  <si>
    <t>КОМПЛЕКТ 25.  МЗ-ЩО-0.2 (ЩРн-24з-0 36 УХЛ3 IP54)  |  Альбом 7.1 ЭО (Музей)</t>
  </si>
  <si>
    <t>25.1</t>
  </si>
  <si>
    <t>25.3</t>
  </si>
  <si>
    <t>25.4</t>
  </si>
  <si>
    <t>25.5</t>
  </si>
  <si>
    <t>25.6</t>
  </si>
  <si>
    <t>25.7</t>
  </si>
  <si>
    <t>25.8</t>
  </si>
  <si>
    <t>КОМПЛЕКТ 26.  МЗ-ЩО-1.1 (ЩРн-18з-0 36 УХЛ3 IP54)  |  Альбом 7.1 ЭО (Музей)</t>
  </si>
  <si>
    <t>26.1</t>
  </si>
  <si>
    <t>26.3</t>
  </si>
  <si>
    <t>26.4</t>
  </si>
  <si>
    <t>26.5</t>
  </si>
  <si>
    <t>26.6</t>
  </si>
  <si>
    <t>26.7</t>
  </si>
  <si>
    <t>26.8</t>
  </si>
  <si>
    <t>КОМПЛЕКТ 27.  МЗ-ЩО-1.2 (ЩРн-18з-0 36 УХЛ3 IP54)  |  Альбом 7.1 ЭО (Музей)</t>
  </si>
  <si>
    <t>27.1</t>
  </si>
  <si>
    <t>27.3</t>
  </si>
  <si>
    <t>27.4</t>
  </si>
  <si>
    <t>27.5</t>
  </si>
  <si>
    <t>27.6</t>
  </si>
  <si>
    <t>27.7</t>
  </si>
  <si>
    <t>27.8</t>
  </si>
  <si>
    <t>КОМПЛЕКТ 28.  МЗ-ЩО-2.1 (ЩРн-24з-0 36 УХЛ3 IP54)  |  Альбом 7.1 ЭО (Музей)</t>
  </si>
  <si>
    <t>28.1</t>
  </si>
  <si>
    <t>28.3</t>
  </si>
  <si>
    <t>28.4</t>
  </si>
  <si>
    <t>28.5</t>
  </si>
  <si>
    <t>28.6</t>
  </si>
  <si>
    <t>28.7</t>
  </si>
  <si>
    <t>28.8</t>
  </si>
  <si>
    <t>КОМПЛЕКТ 29.  МЗ-ЩО-2.2 (ЩРн-18з-0 36 УХЛ3 IP54)  |  Альбом 7.1 ЭО (Музей)</t>
  </si>
  <si>
    <t>29.1</t>
  </si>
  <si>
    <t>29.3</t>
  </si>
  <si>
    <t>29.4</t>
  </si>
  <si>
    <t>29.5</t>
  </si>
  <si>
    <t>29.6</t>
  </si>
  <si>
    <t>29.7</t>
  </si>
  <si>
    <t>КОМПЛЕКТ 30.  МЗ-ЩО-3.1 (ЩРн-12з-0 36 УХЛ3 IP54)  |  Альбом 7.1 ЭО (Музей)</t>
  </si>
  <si>
    <t>30.1</t>
  </si>
  <si>
    <t>30.3</t>
  </si>
  <si>
    <t>30.4</t>
  </si>
  <si>
    <t>30.5</t>
  </si>
  <si>
    <t>30.6</t>
  </si>
  <si>
    <t>30.7</t>
  </si>
  <si>
    <t>КОМПЛЕКТ 31.  МЗ-ЩО-3.2 (ЩРн-12з-0 36 УХЛ3 IP54)  |  Альбом 7.1 ЭО (Музей)</t>
  </si>
  <si>
    <t>31.1</t>
  </si>
  <si>
    <t>31.3</t>
  </si>
  <si>
    <t>31.4</t>
  </si>
  <si>
    <t>31.5</t>
  </si>
  <si>
    <t>31.6</t>
  </si>
  <si>
    <t>31.7</t>
  </si>
  <si>
    <t>КОМПЛЕКТ 32.  МЗ-ЩО-4.1 (ЩРн-18з-0 36 УХЛ3 IP54)  |  Альбом 7.1 ЭО (Музей)</t>
  </si>
  <si>
    <t>32.1</t>
  </si>
  <si>
    <t>32.3</t>
  </si>
  <si>
    <t>32.4</t>
  </si>
  <si>
    <t>32.5</t>
  </si>
  <si>
    <t>32.6</t>
  </si>
  <si>
    <t>32.7</t>
  </si>
  <si>
    <t>КОМПЛЕКТ 33.  МЗ-ЩО-4.2 (ЩРн-18з-0 36 УХЛ3 IP54)  |  Альбом 7.1 ЭО (Музей)</t>
  </si>
  <si>
    <t>33.1</t>
  </si>
  <si>
    <t>33.3</t>
  </si>
  <si>
    <t>33.4</t>
  </si>
  <si>
    <t>33.5</t>
  </si>
  <si>
    <t>33.6</t>
  </si>
  <si>
    <t>33.7</t>
  </si>
  <si>
    <t>КОМПЛЕКТ 34.  МЗ-ЩОА-0.1  |  Альбом 7.1 ЭО (Музей)</t>
  </si>
  <si>
    <t>34.1</t>
  </si>
  <si>
    <t>34.3</t>
  </si>
  <si>
    <t>34.4</t>
  </si>
  <si>
    <t>34.5</t>
  </si>
  <si>
    <t>КОМПЛЕКТ 35.  МЗ-ЩОА-0.2  |  Альбом 7.1 ЭО (Музей)</t>
  </si>
  <si>
    <t>35.1</t>
  </si>
  <si>
    <t>35.3</t>
  </si>
  <si>
    <t>35.4</t>
  </si>
  <si>
    <t>35.5</t>
  </si>
  <si>
    <t>КОМПЛЕКТ 36.  МЗ-ЩОА-1.1  |  Альбом 7.1 ЭО (Музей)</t>
  </si>
  <si>
    <t>36.1</t>
  </si>
  <si>
    <t>36.3</t>
  </si>
  <si>
    <t>36.4</t>
  </si>
  <si>
    <t>36.5</t>
  </si>
  <si>
    <t>КОМПЛЕКТ 37.  МЗ-ЩОА-1.2  |  Альбом 7.1 ЭО (Музей)</t>
  </si>
  <si>
    <t>37.1</t>
  </si>
  <si>
    <t>37.3</t>
  </si>
  <si>
    <t>37.4</t>
  </si>
  <si>
    <t>37.5</t>
  </si>
  <si>
    <t>КОМПЛЕКТ 38.  МЗ-ЩОА-2.1  |  Альбом 7.1 ЭО (Музей)</t>
  </si>
  <si>
    <t>38.1</t>
  </si>
  <si>
    <t>38.3</t>
  </si>
  <si>
    <t>38.4</t>
  </si>
  <si>
    <t>38.5</t>
  </si>
  <si>
    <t>КОМПЛЕКТ 39.  МЗ-ЩОА-2.2  |  Альбом 7.1 ЭО (Музей)</t>
  </si>
  <si>
    <t>39.1</t>
  </si>
  <si>
    <t>39.3</t>
  </si>
  <si>
    <t>39.4</t>
  </si>
  <si>
    <t>39.5</t>
  </si>
  <si>
    <t>КОМПЛЕКТ 40.  МЗ-ЩОА-3.1  |  Альбом 7.1 ЭО (Музей)</t>
  </si>
  <si>
    <t>40.1</t>
  </si>
  <si>
    <t>40.3</t>
  </si>
  <si>
    <t>40.4</t>
  </si>
  <si>
    <t>40.5</t>
  </si>
  <si>
    <t>КОМПЛЕКТ 41.  МЗ-ЩОА-3.2  |  Альбом 7.1 ЭО (Музей)</t>
  </si>
  <si>
    <t>41.1</t>
  </si>
  <si>
    <t>41.3</t>
  </si>
  <si>
    <t>41.4</t>
  </si>
  <si>
    <t>41.5</t>
  </si>
  <si>
    <t>КОМПЛЕКТ 42.  МЗ-ЩОА-4.1  |  Альбом 7.1 ЭО (Музей)</t>
  </si>
  <si>
    <t>42.1</t>
  </si>
  <si>
    <t>42.3</t>
  </si>
  <si>
    <t>42.4</t>
  </si>
  <si>
    <t>42.5</t>
  </si>
  <si>
    <t>КОМПЛЕКТ 43.  МЗ-ЩОА-4.2  |  Альбом 7.1 ЭО (Музей)</t>
  </si>
  <si>
    <t>43.1</t>
  </si>
  <si>
    <t>43.3</t>
  </si>
  <si>
    <t>43.4</t>
  </si>
  <si>
    <t>43.5</t>
  </si>
  <si>
    <t>───  ЭО — ГАЛЕРЕЯ  ───</t>
  </si>
  <si>
    <t>КОМПЛЕКТ 44.  ГЛ-ЩО (ЩРн-24з-0 36 УХЛ3 IP54)  |  Альбом 7.1 ЭО (Галерея)</t>
  </si>
  <si>
    <t>44.1</t>
  </si>
  <si>
    <t>Альбом 7.1 ЭО (Галерея)</t>
  </si>
  <si>
    <t>44.3</t>
  </si>
  <si>
    <t>44.4</t>
  </si>
  <si>
    <t>44.5</t>
  </si>
  <si>
    <t>44.6</t>
  </si>
  <si>
    <t>44.7</t>
  </si>
  <si>
    <t>44.8</t>
  </si>
  <si>
    <t>КОМПЛЕКТ 45.  ГЛ-ЩОА (ЩРн-12з-0 36 УХЛ3 IP54)  |  Альбом 7.1 ЭО (Галерея)</t>
  </si>
  <si>
    <t>45.1</t>
  </si>
  <si>
    <t>45.3</t>
  </si>
  <si>
    <t>45.4</t>
  </si>
  <si>
    <t>45.5</t>
  </si>
  <si>
    <t>───  ЭН — НАРУЖНОЕ ОСВЕЩЕНИЕ  ───</t>
  </si>
  <si>
    <t>КОМПЛЕКТ 46.  ЯУО (ЯУО9601-3474-IP65)  |  Альбом 3.4 ЭН (Наружное освещение)</t>
  </si>
  <si>
    <t>46.1</t>
  </si>
  <si>
    <t>Корпус — ЯУО 9601-3474-IP65</t>
  </si>
  <si>
    <t>Альбом 3.4 ЭН (Наружное освещение)</t>
  </si>
  <si>
    <t>46.2</t>
  </si>
  <si>
    <t>ВА47-29 3P 32А — ввод</t>
  </si>
  <si>
    <t>46.3</t>
  </si>
  <si>
    <t>ВА47-29 3P 25А — на линии</t>
  </si>
  <si>
    <t>46.4</t>
  </si>
  <si>
    <t>Авт.выкл. 3P C10 S203-C10</t>
  </si>
  <si>
    <t>2CDS253001R0104</t>
  </si>
  <si>
    <t>ВА47-29 3P 10А — на линии</t>
  </si>
  <si>
    <t>46.5</t>
  </si>
  <si>
    <t>ВА47-29 1P 6А</t>
  </si>
  <si>
    <t>46.6</t>
  </si>
  <si>
    <t>Счётчик электроэнергии наружного освещения</t>
  </si>
  <si>
    <t>ДАЛА СА4-Э720 ТХ П 380V 5(60)A</t>
  </si>
  <si>
    <t>Счётчик/прибор — Внутри корпуса ЯУО — цена По запросу</t>
  </si>
  <si>
    <t>46.7</t>
  </si>
  <si>
    <t>46.8</t>
  </si>
  <si>
    <t>КОМПЛЕКТ 47.  ЩР Наружного освещения (Atlantic IP66)  |  Альбом 3.4 ЭН (Наружное освещение)</t>
  </si>
  <si>
    <t>47.1</t>
  </si>
  <si>
    <t>Корпус — Atlantic 330x600x260 IP66</t>
  </si>
  <si>
    <t>47.2</t>
  </si>
  <si>
    <t>ВН-32 25А — вводной</t>
  </si>
  <si>
    <t>47.3</t>
  </si>
  <si>
    <t>ВА47-29 3Р 10А</t>
  </si>
  <si>
    <t>47.4</t>
  </si>
  <si>
    <t>47.5</t>
  </si>
  <si>
    <t>───  ФО — ФАСАД  ───</t>
  </si>
  <si>
    <t>КОМПЛЕКТ 48.  ЯУО-КОНЦ.ЗАЛ (ЯУО9601-3474-IP31)  |  Альбом 7.3 ФО (Фасадная подсветка)</t>
  </si>
  <si>
    <t>48.1</t>
  </si>
  <si>
    <t>Корпус — ЯУО 9601-3474-IP31</t>
  </si>
  <si>
    <t>Альбом 7.3 ФО (Фасадная подсветка)</t>
  </si>
  <si>
    <t>ВА47-29 3P 32А</t>
  </si>
  <si>
    <t>ВА47-29 3P 25А</t>
  </si>
  <si>
    <t>48.5</t>
  </si>
  <si>
    <t>Счётчик электроэнергии фасадного освещения</t>
  </si>
  <si>
    <t>Дала СА4У-Э720 ТХ 5(60)A 380B</t>
  </si>
  <si>
    <t>Счётчик/прибор — По проекту ФО — цена По запросу</t>
  </si>
  <si>
    <t>48.6</t>
  </si>
  <si>
    <t>Бокс защиты прибора учёта IP54</t>
  </si>
  <si>
    <t>ЩУ 1/1-0 У1 МКМ51-N-01-54, 310×300×150мм</t>
  </si>
  <si>
    <t>Счётчик/прибор — Для защиты счётчика — цена По запросу</t>
  </si>
  <si>
    <t>48.7</t>
  </si>
  <si>
    <t>48.8</t>
  </si>
  <si>
    <t>49.1</t>
  </si>
  <si>
    <t>49.2</t>
  </si>
  <si>
    <t>49.3</t>
  </si>
  <si>
    <t>49.6</t>
  </si>
  <si>
    <t>49.7</t>
  </si>
  <si>
    <t>КОМПЛЕКТ 50.  ЩР-1 (ЩМП-7-0 36 УХЛ3 IP31)  |  Альбом 7.3 ФО (Фасадная подсветка)</t>
  </si>
  <si>
    <t>50.1</t>
  </si>
  <si>
    <t>Корпус — ЩМП-7-0 36 УХЛ3 IP31</t>
  </si>
  <si>
    <t>50.2</t>
  </si>
  <si>
    <t>АВДТ32 4P 10А</t>
  </si>
  <si>
    <t>50.4</t>
  </si>
  <si>
    <t>50.5</t>
  </si>
  <si>
    <t>КОМПЛЕКТ 51.  ЩР-2 (ЩМП-7-0 36 УХЛ3 IP31)  |  Альбом 7.3 ФО (Фасадная подсветка)</t>
  </si>
  <si>
    <t>51.1</t>
  </si>
  <si>
    <t>51.2</t>
  </si>
  <si>
    <t>51.4</t>
  </si>
  <si>
    <t>51.5</t>
  </si>
  <si>
    <t>КОМПЛЕКТ 52.  ЩР-3 (ЩМП-7-0 36 УХЛ3 IP31)  |  Альбом 7.3 ФО (Фасадная подсветка)</t>
  </si>
  <si>
    <t>52.1</t>
  </si>
  <si>
    <t>52.2</t>
  </si>
  <si>
    <t>52.4</t>
  </si>
  <si>
    <t>52.5</t>
  </si>
  <si>
    <t>КОМПЛЕКТ 53.  ЩР-4 (ЩМП-7-0 36 УХЛ3 IP31)  |  Альбом 7.3 ФО (Фасадная подсветка)</t>
  </si>
  <si>
    <t>53.1</t>
  </si>
  <si>
    <t>53.2</t>
  </si>
  <si>
    <t>53.3</t>
  </si>
  <si>
    <t>53.4</t>
  </si>
  <si>
    <t>53.5</t>
  </si>
  <si>
    <t>ЭОМ — ГАРАЖ</t>
  </si>
  <si>
    <t>ЭО — КОНЦЕРТНЫЙ ЗАЛ</t>
  </si>
  <si>
    <t>ЭО — МУЗЕЙ</t>
  </si>
  <si>
    <t>ЭО — ГАЛЕРЕЯ</t>
  </si>
  <si>
    <t>ЭН — НАРУЖНОЕ ОСВЕЩЕНИЕ</t>
  </si>
  <si>
    <t>ФО — ФАСАД</t>
  </si>
  <si>
    <t>СВОДНАЯ ВЕДОМОСТЬ — Проект 260608 — ABB</t>
  </si>
  <si>
    <t>Раздел / Источник PDF</t>
  </si>
  <si>
    <t>Итого KZT</t>
  </si>
  <si>
    <t>Корпус Teksan f</t>
  </si>
  <si>
    <t>Щитов</t>
  </si>
  <si>
    <t>7</t>
  </si>
  <si>
    <t>16</t>
  </si>
  <si>
    <t>20</t>
  </si>
  <si>
    <t>2</t>
  </si>
  <si>
    <t>6</t>
  </si>
  <si>
    <t>ИТОГО:</t>
  </si>
  <si>
    <t>TBD</t>
  </si>
  <si>
    <t>53</t>
  </si>
  <si>
    <t>EUR/KZT, %, цены → лист ПАРАМЕТРЫ (синие ячейки)</t>
  </si>
  <si>
    <t>Корпус — ЩМП-18.8.4,5+1 bz-0 36 УХЛ3 IP31</t>
  </si>
  <si>
    <t>2.8</t>
  </si>
  <si>
    <t xml:space="preserve">S 203-C 80 </t>
  </si>
  <si>
    <t>Авт.выкл. 3P C80 S 203-C 80    2CDS253001R0804</t>
  </si>
  <si>
    <t xml:space="preserve"> S 203-C 100 </t>
  </si>
  <si>
    <t xml:space="preserve"> 2CDS253001R0824</t>
  </si>
  <si>
    <t xml:space="preserve"> 2CDS253001R0824 </t>
  </si>
  <si>
    <t xml:space="preserve">Авт.выкл. 3P C80 S 203-C 100  2CDS253001R0824 </t>
  </si>
  <si>
    <t>S 201-C 1</t>
  </si>
  <si>
    <t xml:space="preserve">Авт.выкл. 1P C1  S 201-C 1  2CDS251001R0014 </t>
  </si>
  <si>
    <t>AF40-30-11</t>
  </si>
  <si>
    <t>TF42-24</t>
  </si>
  <si>
    <t xml:space="preserve">Тепловое реле TF42-24 20-24А 1SAZ721201R1051 </t>
  </si>
  <si>
    <t>Контактор 32А AF30-30-00 1SBL277001R1100</t>
  </si>
  <si>
    <t>1SBL277001R1100</t>
  </si>
  <si>
    <t xml:space="preserve">Контактор 32А AF30-30-00 </t>
  </si>
  <si>
    <t>Тепловое реле TF42-24 20-24А</t>
  </si>
  <si>
    <t xml:space="preserve">1SAZ721201R1051 </t>
  </si>
  <si>
    <t>CA4-10</t>
  </si>
  <si>
    <t>Доп. Контакты CA4-10 1NA</t>
  </si>
  <si>
    <t>Доп. Контакты CA4-10 1NA 1SBN010110R1010</t>
  </si>
  <si>
    <t>1SBN010110R1010</t>
  </si>
  <si>
    <t>CP1-10R-01</t>
  </si>
  <si>
    <t xml:space="preserve">Кнопка красная СТОП CP1-10R-01 1SFA619100R1041 </t>
  </si>
  <si>
    <t>Кнопка красная СТОП CP1-10R-01</t>
  </si>
  <si>
    <t xml:space="preserve">1SFA619100R1041 </t>
  </si>
  <si>
    <t xml:space="preserve">Кнопка зеленая ПУСК  CP1-10G-10 1SFA619100R1012 </t>
  </si>
  <si>
    <t>CP1-10G-10</t>
  </si>
  <si>
    <t>Кнопка зеленая ПУСК  CP1-10G-10</t>
  </si>
  <si>
    <t>1SFA619100R1012</t>
  </si>
  <si>
    <t>Световой индикатор RED CL2-523R 1SFA619403R5231</t>
  </si>
  <si>
    <t>CL2-523R</t>
  </si>
  <si>
    <t>Световой индикатор RED CL2-523R</t>
  </si>
  <si>
    <t>1SFA619403R5231</t>
  </si>
  <si>
    <t>Переключатель E214-25-202 2CCA703031R0001</t>
  </si>
  <si>
    <t>E214-25-202</t>
  </si>
  <si>
    <t>Переключатель E214-25-202</t>
  </si>
  <si>
    <t>2CCA703031R0001</t>
  </si>
  <si>
    <t>DWA-1</t>
  </si>
  <si>
    <t>Реле времени 1NO/NC DWA-1 2CSM222511R1000</t>
  </si>
  <si>
    <t>Реле времени 1NO/NC DWA-1</t>
  </si>
  <si>
    <t xml:space="preserve"> 2CSM222511R1000</t>
  </si>
  <si>
    <t>Фотореле TL1 * 2CSM229921R1341</t>
  </si>
  <si>
    <t>Фотореле TL1</t>
  </si>
  <si>
    <t>2CSM229921R1341</t>
  </si>
  <si>
    <t>TL1</t>
  </si>
  <si>
    <t>JXB24A</t>
  </si>
  <si>
    <t>Зажим наборный ЗНИ-2,5мм2 (серый)  JXB24A</t>
  </si>
  <si>
    <t>?</t>
  </si>
  <si>
    <t>КОМПЛЕКТ 49.  Кц-ГРЩ1  |  Альбом 7.3 ФО (Фасадная подсветка)</t>
  </si>
  <si>
    <t>КОМПЛЕКТ 49.  Мз_ГРЩ1  |  Альбом 7.3 ФО (Фасадная подсветка)</t>
  </si>
  <si>
    <t>S 203-C 40</t>
  </si>
  <si>
    <t>Авт.выкл. 3P C40 S 203-C 40 2CDS253001R0404</t>
  </si>
  <si>
    <t>ВА47-29 3P 40А</t>
  </si>
  <si>
    <t> DS301C C10 </t>
  </si>
  <si>
    <t xml:space="preserve"> DS301C C10 AC30 2CSR255063R1104 </t>
  </si>
  <si>
    <t xml:space="preserve"> DS301C C10 AC30</t>
  </si>
  <si>
    <t xml:space="preserve">2CSR255063R1104 </t>
  </si>
  <si>
    <t>Авт.выкл. 3P C20 SH 203-C 20</t>
  </si>
  <si>
    <t>Авт.выкл. 3P C25 SH 203-C 25</t>
  </si>
  <si>
    <t>2CDS213001R0254</t>
  </si>
  <si>
    <t>2CDS211001R0064</t>
  </si>
  <si>
    <t>Авт.выкл. 1P C6  SH 201-C 6</t>
  </si>
  <si>
    <t>Авт.выкл. 1P C16 SH 201-C 16</t>
  </si>
  <si>
    <t>2CDS211001R0164</t>
  </si>
  <si>
    <t>2CDS213001R0204</t>
  </si>
  <si>
    <t>2CDS213001R0164</t>
  </si>
  <si>
    <t>Авт.выкл. 3P C16 SH 203-C 16</t>
  </si>
  <si>
    <t>SH 203-C 25</t>
  </si>
  <si>
    <t>Авт.выкл. 3P C32 SH 203-C 32</t>
  </si>
  <si>
    <t>2CDS213001R0324</t>
  </si>
  <si>
    <t>2CDS211001R0204</t>
  </si>
  <si>
    <t>Авт.выкл. 1P C1  SH 201-C 20</t>
  </si>
  <si>
    <t>2CDS213001R0404</t>
  </si>
  <si>
    <t>Авт.выкл. 3P C40 SH 203-C 40</t>
  </si>
  <si>
    <t>1SDA066460R1</t>
  </si>
  <si>
    <t>MOD motor 220...250 V AC/DC</t>
  </si>
  <si>
    <t>1SDA066325R1</t>
  </si>
  <si>
    <t>SOR-C 220-240V AC/220-250V DC</t>
  </si>
  <si>
    <t>Motor</t>
  </si>
  <si>
    <t>Açtırma Bobini</t>
  </si>
  <si>
    <t>UVR-C 220-240V AC/220-250V DC</t>
  </si>
  <si>
    <t>1SDA066399R1</t>
  </si>
  <si>
    <t xml:space="preserve">AUX-C 1A/K+1SY 250V AC/DC </t>
  </si>
  <si>
    <t xml:space="preserve"> 1SDA066431R1</t>
  </si>
  <si>
    <t>Авт.выкл. 3P C20 S 203-C 20</t>
  </si>
  <si>
    <t>компл.</t>
  </si>
  <si>
    <t>pano ismi</t>
  </si>
  <si>
    <t>Düsük Gerilim Bobini</t>
  </si>
  <si>
    <t>Корпус — ЩРн-54з-0 36 УХЛ3 IP54</t>
  </si>
  <si>
    <t>Корпус — ЩРн-48з-0 36 УХЛ3 IP54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</si>
</sst>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9"/>
      <color rgb="FFFFFFFF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10"/>
      <color rgb="FF00008B"/>
      <name val="Arial"/>
      <family val="2"/>
      <charset val="204"/>
    </font>
    <font>
      <sz val="8"/>
      <color rgb="FF555555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9"/>
      <color rgb="FF00008B"/>
      <name val="Arial"/>
      <family val="2"/>
      <charset val="204"/>
    </font>
    <font>
      <sz val="8"/>
      <color rgb="FF333333"/>
      <name val="Arial"/>
      <family val="2"/>
      <charset val="204"/>
    </font>
    <font>
      <b/>
      <sz val="9"/>
      <color rgb="FF999999"/>
      <name val="Arial"/>
      <family val="2"/>
      <charset val="204"/>
    </font>
    <font>
      <b/>
      <sz val="9"/>
      <color rgb="FF1F3864"/>
      <name val="Arial"/>
      <family val="2"/>
      <charset val="204"/>
    </font>
    <font>
      <sz val="9"/>
      <color rgb="FF7F4F00"/>
      <name val="Arial"/>
      <family val="2"/>
      <charset val="204"/>
    </font>
    <font>
      <b/>
      <sz val="9"/>
      <color rgb="FF7F4F00"/>
      <name val="Arial"/>
      <family val="2"/>
      <charset val="204"/>
    </font>
    <font>
      <i/>
      <sz val="9"/>
      <color rgb="FF000000"/>
      <name val="Arial"/>
      <family val="2"/>
      <charset val="204"/>
    </font>
    <font>
      <b/>
      <sz val="11"/>
      <color rgb="FFFFFFFF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8"/>
      <color rgb="FF444444"/>
      <name val="Arial"/>
      <family val="2"/>
      <charset val="204"/>
    </font>
    <font>
      <sz val="8"/>
      <name val="Calibri"/>
      <family val="2"/>
      <charset val="1"/>
    </font>
    <font>
      <sz val="9"/>
      <color theme="0"/>
      <name val="Arial"/>
      <family val="2"/>
      <charset val="162"/>
    </font>
    <font>
      <sz val="11"/>
      <color theme="0"/>
      <name val="Calibri"/>
      <family val="2"/>
      <charset val="162"/>
    </font>
    <font>
      <b/>
      <sz val="9"/>
      <color theme="0"/>
      <name val="Arial"/>
      <family val="2"/>
    </font>
    <font>
      <sz val="9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2E4057"/>
        <bgColor rgb="FF1F3864"/>
      </patternFill>
    </fill>
    <fill>
      <patternFill patternType="solid">
        <fgColor rgb="FFFFFFFF"/>
        <bgColor rgb="FFF5FFF5"/>
      </patternFill>
    </fill>
    <fill>
      <patternFill patternType="solid">
        <fgColor rgb="FFDDEEFF"/>
        <bgColor rgb="FFE8E8E8"/>
      </patternFill>
    </fill>
    <fill>
      <patternFill patternType="solid">
        <fgColor rgb="FFF2F2F2"/>
        <bgColor rgb="FFE8E8E8"/>
      </patternFill>
    </fill>
    <fill>
      <patternFill patternType="solid">
        <fgColor rgb="FFF5FFF5"/>
        <bgColor rgb="FFFFFFFF"/>
      </patternFill>
    </fill>
    <fill>
      <patternFill patternType="solid">
        <fgColor rgb="FFD6DCE4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  <fill>
      <patternFill patternType="solid">
        <fgColor rgb="FFE8E8E8"/>
        <bgColor rgb="FFE2EFDA"/>
      </patternFill>
    </fill>
    <fill>
      <patternFill patternType="solid">
        <fgColor rgb="FFD9D9D9"/>
        <bgColor rgb="FFD6DCE4"/>
      </patternFill>
    </fill>
    <fill>
      <patternFill patternType="solid">
        <fgColor rgb="FFE2EFDA"/>
        <bgColor rgb="FFE8E8E8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777777"/>
      </left>
      <right style="medium">
        <color rgb="FF777777"/>
      </right>
      <top style="medium">
        <color rgb="FF777777"/>
      </top>
      <bottom style="medium">
        <color rgb="FF777777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4" fontId="5" fillId="5" borderId="1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2" fontId="5" fillId="5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4" fontId="8" fillId="5" borderId="1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 wrapText="1"/>
    </xf>
    <xf numFmtId="3" fontId="2" fillId="7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 wrapText="1"/>
    </xf>
    <xf numFmtId="3" fontId="8" fillId="5" borderId="1" xfId="0" applyNumberFormat="1" applyFont="1" applyFill="1" applyBorder="1" applyAlignment="1">
      <alignment horizontal="center" vertical="center"/>
    </xf>
    <xf numFmtId="3" fontId="10" fillId="5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11" fillId="8" borderId="3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left" vertical="center" wrapText="1"/>
    </xf>
    <xf numFmtId="3" fontId="2" fillId="9" borderId="2" xfId="0" applyNumberFormat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 wrapText="1"/>
    </xf>
    <xf numFmtId="4" fontId="2" fillId="6" borderId="2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4" fontId="2" fillId="4" borderId="2" xfId="0" applyNumberFormat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left" vertical="center" wrapText="1"/>
    </xf>
    <xf numFmtId="0" fontId="12" fillId="10" borderId="2" xfId="0" applyFont="1" applyFill="1" applyBorder="1" applyAlignment="1">
      <alignment horizontal="left" vertical="center" wrapText="1"/>
    </xf>
    <xf numFmtId="3" fontId="12" fillId="10" borderId="2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14" fillId="11" borderId="2" xfId="0" applyFont="1" applyFill="1" applyBorder="1" applyAlignment="1">
      <alignment horizontal="center" vertical="center" wrapText="1"/>
    </xf>
    <xf numFmtId="3" fontId="2" fillId="11" borderId="2" xfId="0" applyNumberFormat="1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14" fillId="12" borderId="2" xfId="0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center" wrapText="1"/>
    </xf>
    <xf numFmtId="3" fontId="4" fillId="6" borderId="3" xfId="0" applyNumberFormat="1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right" vertical="center" wrapText="1"/>
    </xf>
    <xf numFmtId="3" fontId="17" fillId="13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21" fillId="0" borderId="0" xfId="0" applyFont="1"/>
    <xf numFmtId="0" fontId="22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AAAAAA"/>
      <rgbColor rgb="FF777777"/>
      <rgbColor rgb="FF9999FF"/>
      <rgbColor rgb="FF993366"/>
      <rgbColor rgb="FFFFF2CC"/>
      <rgbColor rgb="FFDDEE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FF5"/>
      <rgbColor rgb="FFE2EFDA"/>
      <rgbColor rgb="FFF2F2F2"/>
      <rgbColor rgb="FFD6DCE4"/>
      <rgbColor rgb="FFE8E8E8"/>
      <rgbColor rgb="FFCC99FF"/>
      <rgbColor rgb="FFD9D9D9"/>
      <rgbColor rgb="FF4472C4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444444"/>
      <rgbColor rgb="FF7F4F00"/>
      <rgbColor rgb="FF993366"/>
      <rgbColor rgb="FF2E405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zoomScale="115" zoomScaleNormal="115" workbookViewId="0">
      <selection activeCell="D10" sqref="D10"/>
    </sheetView>
  </sheetViews>
  <sheetFormatPr defaultColWidth="8.7109375" defaultRowHeight="15" x14ac:dyDescent="0.25"/>
  <cols>
    <col min="1" max="1" width="32" customWidth="1"/>
    <col min="2" max="2" width="48" customWidth="1"/>
    <col min="3" max="4" width="16" customWidth="1"/>
  </cols>
  <sheetData>
    <row r="1" spans="1:4" ht="19.5" customHeight="1" thickBot="1" x14ac:dyDescent="0.3">
      <c r="A1" s="1" t="s">
        <v>0</v>
      </c>
      <c r="B1" s="2"/>
      <c r="C1" s="2"/>
      <c r="D1" s="2"/>
    </row>
    <row r="2" spans="1:4" ht="19.5" customHeight="1" thickBot="1" x14ac:dyDescent="0.3">
      <c r="A2" s="3" t="s">
        <v>1</v>
      </c>
      <c r="B2" s="3" t="s">
        <v>3</v>
      </c>
      <c r="C2" s="3" t="s">
        <v>2</v>
      </c>
      <c r="D2" s="4"/>
    </row>
    <row r="3" spans="1:4" ht="16.5" customHeight="1" thickBot="1" x14ac:dyDescent="0.3">
      <c r="A3" s="5" t="s">
        <v>4</v>
      </c>
      <c r="B3" s="7" t="s">
        <v>5</v>
      </c>
      <c r="C3" s="6">
        <v>590</v>
      </c>
      <c r="D3" s="8"/>
    </row>
    <row r="4" spans="1:4" ht="16.5" customHeight="1" thickBot="1" x14ac:dyDescent="0.3">
      <c r="A4" s="5" t="s">
        <v>6</v>
      </c>
      <c r="B4" s="7" t="s">
        <v>7</v>
      </c>
      <c r="C4" s="9">
        <v>0.3</v>
      </c>
      <c r="D4" s="8"/>
    </row>
    <row r="5" spans="1:4" ht="16.5" customHeight="1" thickBot="1" x14ac:dyDescent="0.3">
      <c r="A5" s="5" t="s">
        <v>8</v>
      </c>
      <c r="B5" s="7" t="s">
        <v>9</v>
      </c>
      <c r="C5" s="9">
        <v>1.33</v>
      </c>
      <c r="D5" s="8"/>
    </row>
    <row r="6" spans="1:4" ht="16.5" customHeight="1" thickBot="1" x14ac:dyDescent="0.3">
      <c r="A6" s="5" t="s">
        <v>10</v>
      </c>
      <c r="B6" s="7" t="s">
        <v>11</v>
      </c>
      <c r="C6" s="6">
        <v>12</v>
      </c>
      <c r="D6" s="8"/>
    </row>
    <row r="7" spans="1:4" ht="16.5" customHeight="1" thickBot="1" x14ac:dyDescent="0.3">
      <c r="A7" s="5" t="s">
        <v>12</v>
      </c>
      <c r="B7" s="7" t="s">
        <v>11</v>
      </c>
      <c r="C7" s="6">
        <v>15</v>
      </c>
      <c r="D7" s="8"/>
    </row>
    <row r="8" spans="1:4" ht="15.75" thickBot="1" x14ac:dyDescent="0.3"/>
    <row r="9" spans="1:4" ht="24" customHeight="1" thickBot="1" x14ac:dyDescent="0.3">
      <c r="A9" s="10" t="s">
        <v>13</v>
      </c>
      <c r="B9" s="10" t="s">
        <v>15</v>
      </c>
      <c r="C9" s="10" t="s">
        <v>14</v>
      </c>
      <c r="D9" s="10" t="s">
        <v>16</v>
      </c>
    </row>
    <row r="10" spans="1:4" ht="15" customHeight="1" thickBot="1" x14ac:dyDescent="0.3">
      <c r="A10" s="11" t="s">
        <v>17</v>
      </c>
      <c r="B10" s="13" t="s">
        <v>18</v>
      </c>
      <c r="C10" s="12">
        <v>12.92</v>
      </c>
      <c r="D10" s="14">
        <f>ПАРАМЕТРЫ!C10*ПАРАМЕТРЫ!$C$4*ПАРАМЕТРЫ!$C$5*ПАРАМЕТРЫ!$C$3</f>
        <v>3041.4971999999998</v>
      </c>
    </row>
    <row r="11" spans="1:4" ht="15" customHeight="1" thickBot="1" x14ac:dyDescent="0.3">
      <c r="A11" s="5" t="s">
        <v>19</v>
      </c>
      <c r="B11" s="15" t="s">
        <v>20</v>
      </c>
      <c r="C11" s="12">
        <v>10.77</v>
      </c>
      <c r="D11" s="14">
        <f>ПАРАМЕТРЫ!C11*ПАРАМЕТРЫ!$C$4*ПАРАМЕТРЫ!$C$5*ПАРАМЕТРЫ!$C$3</f>
        <v>2535.3656999999998</v>
      </c>
    </row>
    <row r="12" spans="1:4" ht="15" customHeight="1" thickBot="1" x14ac:dyDescent="0.3">
      <c r="A12" s="11" t="s">
        <v>21</v>
      </c>
      <c r="B12" s="13" t="s">
        <v>22</v>
      </c>
      <c r="C12" s="12">
        <v>10.77</v>
      </c>
      <c r="D12" s="14">
        <f>ПАРАМЕТРЫ!C12*ПАРАМЕТРЫ!$C$4*ПАРАМЕТРЫ!$C$5*ПАРАМЕТРЫ!$C$3</f>
        <v>2535.3656999999998</v>
      </c>
    </row>
    <row r="13" spans="1:4" ht="15" customHeight="1" thickBot="1" x14ac:dyDescent="0.3">
      <c r="A13" s="5" t="s">
        <v>23</v>
      </c>
      <c r="B13" s="15" t="s">
        <v>24</v>
      </c>
      <c r="C13" s="12">
        <v>10.77</v>
      </c>
      <c r="D13" s="14">
        <f>ПАРАМЕТРЫ!C13*ПАРАМЕТРЫ!$C$4*ПАРАМЕТРЫ!$C$5*ПАРАМЕТРЫ!$C$3</f>
        <v>2535.3656999999998</v>
      </c>
    </row>
    <row r="14" spans="1:4" ht="15" customHeight="1" thickBot="1" x14ac:dyDescent="0.3">
      <c r="A14" s="11" t="s">
        <v>25</v>
      </c>
      <c r="B14" s="13" t="s">
        <v>26</v>
      </c>
      <c r="C14" s="12">
        <v>10.77</v>
      </c>
      <c r="D14" s="14">
        <f>ПАРАМЕТРЫ!C14*ПАРАМЕТРЫ!$C$4*ПАРАМЕТРЫ!$C$5*ПАРАМЕТРЫ!$C$3</f>
        <v>2535.3656999999998</v>
      </c>
    </row>
    <row r="15" spans="1:4" ht="15" customHeight="1" thickBot="1" x14ac:dyDescent="0.3">
      <c r="A15" s="5" t="s">
        <v>27</v>
      </c>
      <c r="B15" s="15" t="s">
        <v>28</v>
      </c>
      <c r="C15" s="12">
        <v>13.46</v>
      </c>
      <c r="D15" s="14">
        <f>ПАРАМЕТРЫ!C15*ПАРАМЕТРЫ!$C$4*ПАРАМЕТРЫ!$C$5*ПАРАМЕТРЫ!$C$3</f>
        <v>3168.6186000000007</v>
      </c>
    </row>
    <row r="16" spans="1:4" ht="15" customHeight="1" thickBot="1" x14ac:dyDescent="0.3">
      <c r="A16" s="11" t="s">
        <v>29</v>
      </c>
      <c r="B16" s="13" t="s">
        <v>30</v>
      </c>
      <c r="C16" s="12">
        <v>58.16</v>
      </c>
      <c r="D16" s="14">
        <f>ПАРАМЕТРЫ!C16*ПАРАМЕТРЫ!$C$4*ПАРАМЕТРЫ!$C$5*ПАРАМЕТРЫ!$C$3</f>
        <v>13691.445599999999</v>
      </c>
    </row>
    <row r="17" spans="1:4" ht="15" customHeight="1" thickBot="1" x14ac:dyDescent="0.3">
      <c r="A17" s="5" t="s">
        <v>31</v>
      </c>
      <c r="B17" s="15" t="s">
        <v>32</v>
      </c>
      <c r="C17" s="12">
        <v>48.51</v>
      </c>
      <c r="D17" s="14">
        <f>ПАРАМЕТРЫ!C17*ПАРАМЕТРЫ!$C$4*ПАРАМЕТРЫ!$C$5*ПАРАМЕТРЫ!$C$3</f>
        <v>11419.739100000001</v>
      </c>
    </row>
    <row r="18" spans="1:4" ht="15" customHeight="1" thickBot="1" x14ac:dyDescent="0.3">
      <c r="A18" s="11" t="s">
        <v>33</v>
      </c>
      <c r="B18" s="13" t="s">
        <v>34</v>
      </c>
      <c r="C18" s="12">
        <v>48.51</v>
      </c>
      <c r="D18" s="14">
        <f>ПАРАМЕТРЫ!C18*ПАРАМЕТРЫ!$C$4*ПАРАМЕТРЫ!$C$5*ПАРАМЕТРЫ!$C$3</f>
        <v>11419.739100000001</v>
      </c>
    </row>
    <row r="19" spans="1:4" ht="15" customHeight="1" thickBot="1" x14ac:dyDescent="0.3">
      <c r="A19" s="5" t="s">
        <v>35</v>
      </c>
      <c r="B19" s="15" t="s">
        <v>36</v>
      </c>
      <c r="C19" s="12">
        <v>48.51</v>
      </c>
      <c r="D19" s="14">
        <f>ПАРАМЕТРЫ!C19*ПАРАМЕТРЫ!$C$4*ПАРАМЕТРЫ!$C$5*ПАРАМЕТРЫ!$C$3</f>
        <v>11419.739100000001</v>
      </c>
    </row>
    <row r="20" spans="1:4" ht="15" customHeight="1" thickBot="1" x14ac:dyDescent="0.3">
      <c r="A20" s="11" t="s">
        <v>37</v>
      </c>
      <c r="B20" s="13" t="s">
        <v>38</v>
      </c>
      <c r="C20" s="12">
        <v>48.51</v>
      </c>
      <c r="D20" s="14">
        <f>ПАРАМЕТРЫ!C20*ПАРАМЕТРЫ!$C$4*ПАРАМЕТРЫ!$C$5*ПАРАМЕТРЫ!$C$3</f>
        <v>11419.739100000001</v>
      </c>
    </row>
    <row r="21" spans="1:4" ht="15" customHeight="1" thickBot="1" x14ac:dyDescent="0.3">
      <c r="A21" s="5" t="s">
        <v>39</v>
      </c>
      <c r="B21" s="15" t="s">
        <v>40</v>
      </c>
      <c r="C21" s="12">
        <v>60.59</v>
      </c>
      <c r="D21" s="14">
        <f>ПАРАМЕТРЫ!C21*ПАРАМЕТРЫ!$C$4*ПАРАМЕТРЫ!$C$5*ПАРАМЕТРЫ!$C$3</f>
        <v>14263.491899999999</v>
      </c>
    </row>
    <row r="22" spans="1:4" ht="15" customHeight="1" thickBot="1" x14ac:dyDescent="0.3">
      <c r="A22" s="11" t="s">
        <v>41</v>
      </c>
      <c r="B22" s="13" t="s">
        <v>42</v>
      </c>
      <c r="C22" s="12">
        <v>93.71</v>
      </c>
      <c r="D22" s="14">
        <f>ПАРАМЕТРЫ!C22*ПАРАМЕТРЫ!$C$4*ПАРАМЕТРЫ!$C$5*ПАРАМЕТРЫ!$C$3</f>
        <v>22060.271099999994</v>
      </c>
    </row>
    <row r="23" spans="1:4" ht="15" customHeight="1" thickBot="1" x14ac:dyDescent="0.3">
      <c r="A23" s="5" t="s">
        <v>43</v>
      </c>
      <c r="B23" s="15" t="s">
        <v>44</v>
      </c>
      <c r="C23" s="12">
        <v>87.63</v>
      </c>
      <c r="D23" s="14">
        <f>ПАРАМЕТРЫ!C23*ПАРАМЕТРЫ!$C$4*ПАРАМЕТРЫ!$C$5*ПАРАМЕТРЫ!$C$3</f>
        <v>20628.978300000002</v>
      </c>
    </row>
    <row r="24" spans="1:4" ht="15" customHeight="1" thickBot="1" x14ac:dyDescent="0.3">
      <c r="A24" s="11" t="s">
        <v>45</v>
      </c>
      <c r="B24" s="13" t="s">
        <v>46</v>
      </c>
      <c r="C24" s="12">
        <v>87.63</v>
      </c>
      <c r="D24" s="14">
        <f>ПАРАМЕТРЫ!C24*ПАРАМЕТРЫ!$C$4*ПАРАМЕТРЫ!$C$5*ПАРАМЕТРЫ!$C$3</f>
        <v>20628.978300000002</v>
      </c>
    </row>
    <row r="25" spans="1:4" ht="34.5" customHeight="1" thickBot="1" x14ac:dyDescent="0.3">
      <c r="A25" s="5" t="s">
        <v>47</v>
      </c>
      <c r="B25" s="15" t="s">
        <v>48</v>
      </c>
      <c r="C25" s="12">
        <v>292</v>
      </c>
      <c r="D25" s="14">
        <f>ПАРАМЕТРЫ!C25*ПАРАМЕТРЫ!$C$4*ПАРАМЕТРЫ!$C$5*ПАРАМЕТРЫ!$C$3</f>
        <v>68739.72</v>
      </c>
    </row>
    <row r="26" spans="1:4" ht="15" customHeight="1" thickBot="1" x14ac:dyDescent="0.3">
      <c r="A26" s="11" t="s">
        <v>49</v>
      </c>
      <c r="B26" s="13" t="s">
        <v>50</v>
      </c>
      <c r="C26" s="12">
        <v>292</v>
      </c>
      <c r="D26" s="14">
        <f>ПАРАМЕТРЫ!C26*ПАРАМЕТРЫ!$C$4*ПАРАМЕТРЫ!$C$5*ПАРАМЕТРЫ!$C$3</f>
        <v>68739.72</v>
      </c>
    </row>
    <row r="27" spans="1:4" ht="15" customHeight="1" thickBot="1" x14ac:dyDescent="0.3">
      <c r="A27" s="5" t="s">
        <v>51</v>
      </c>
      <c r="B27" s="15" t="s">
        <v>52</v>
      </c>
      <c r="C27" s="12">
        <v>36.68</v>
      </c>
      <c r="D27" s="14">
        <f>ПАРАМЕТРЫ!C27*ПАРАМЕТРЫ!$C$4*ПАРАМЕТРЫ!$C$5*ПАРАМЕТРЫ!$C$3</f>
        <v>8634.8387999999995</v>
      </c>
    </row>
    <row r="28" spans="1:4" ht="15" customHeight="1" thickBot="1" x14ac:dyDescent="0.3">
      <c r="A28" s="11" t="s">
        <v>53</v>
      </c>
      <c r="B28" s="13" t="s">
        <v>54</v>
      </c>
      <c r="C28" s="12">
        <v>67.89</v>
      </c>
      <c r="D28" s="14">
        <f>ПАРАМЕТРЫ!C28*ПАРАМЕТРЫ!$C$4*ПАРАМЕТРЫ!$C$5*ПАРАМЕТРЫ!$C$3</f>
        <v>15981.984900000003</v>
      </c>
    </row>
    <row r="29" spans="1:4" ht="15" customHeight="1" thickBot="1" x14ac:dyDescent="0.3">
      <c r="A29" s="5" t="s">
        <v>55</v>
      </c>
      <c r="B29" s="15" t="s">
        <v>56</v>
      </c>
      <c r="C29" s="12">
        <v>100.1</v>
      </c>
      <c r="D29" s="14">
        <f>ПАРАМЕТРЫ!C29*ПАРАМЕТРЫ!$C$4*ПАРАМЕТРЫ!$C$5*ПАРАМЕТРЫ!$C$3</f>
        <v>23564.541000000001</v>
      </c>
    </row>
    <row r="30" spans="1:4" ht="15" customHeight="1" thickBot="1" x14ac:dyDescent="0.3">
      <c r="A30" s="11" t="s">
        <v>57</v>
      </c>
      <c r="B30" s="13" t="s">
        <v>58</v>
      </c>
      <c r="C30" s="12">
        <v>210</v>
      </c>
      <c r="D30" s="14">
        <f>ПАРАМЕТРЫ!C30*ПАРАМЕТРЫ!$C$4*ПАРАМЕТРЫ!$C$5*ПАРАМЕТРЫ!$C$3</f>
        <v>49436.100000000006</v>
      </c>
    </row>
    <row r="31" spans="1:4" ht="15" customHeight="1" thickBot="1" x14ac:dyDescent="0.3">
      <c r="A31" s="5" t="s">
        <v>59</v>
      </c>
      <c r="B31" s="15" t="s">
        <v>60</v>
      </c>
      <c r="C31" s="12">
        <v>246.1</v>
      </c>
      <c r="D31" s="14">
        <f>ПАРАМЕТРЫ!C31*ПАРАМЕТРЫ!$C$4*ПАРАМЕТРЫ!$C$5*ПАРАМЕТРЫ!$C$3</f>
        <v>57934.400999999998</v>
      </c>
    </row>
    <row r="32" spans="1:4" ht="15" customHeight="1" thickBot="1" x14ac:dyDescent="0.3">
      <c r="A32" s="11" t="s">
        <v>61</v>
      </c>
      <c r="B32" s="13" t="s">
        <v>62</v>
      </c>
      <c r="C32" s="12">
        <v>308.8</v>
      </c>
      <c r="D32" s="14">
        <f>ПАРАМЕТРЫ!C32*ПАРАМЕТРЫ!$C$4*ПАРАМЕТРЫ!$C$5*ПАРАМЕТРЫ!$C$3</f>
        <v>72694.608000000007</v>
      </c>
    </row>
    <row r="33" spans="1:4" ht="15" customHeight="1" thickBot="1" x14ac:dyDescent="0.3">
      <c r="A33" s="5" t="s">
        <v>63</v>
      </c>
      <c r="B33" s="15" t="s">
        <v>64</v>
      </c>
      <c r="C33" s="12">
        <v>41.58</v>
      </c>
      <c r="D33" s="14">
        <f>ПАРАМЕТРЫ!C33*ПАРАМЕТРЫ!$C$4*ПАРАМЕТРЫ!$C$5*ПАРАМЕТРЫ!$C$3</f>
        <v>9788.3477999999996</v>
      </c>
    </row>
    <row r="34" spans="1:4" ht="15" customHeight="1" thickBot="1" x14ac:dyDescent="0.3">
      <c r="A34" s="11" t="s">
        <v>65</v>
      </c>
      <c r="B34" s="13" t="s">
        <v>66</v>
      </c>
      <c r="C34" s="12">
        <v>47.51</v>
      </c>
      <c r="D34" s="14">
        <f>ПАРАМЕТРЫ!C34*ПАРАМЕТРЫ!$C$4*ПАРАМЕТРЫ!$C$5*ПАРАМЕТРЫ!$C$3</f>
        <v>11184.329099999999</v>
      </c>
    </row>
    <row r="35" spans="1:4" ht="15" customHeight="1" thickBot="1" x14ac:dyDescent="0.3">
      <c r="A35" s="5" t="s">
        <v>67</v>
      </c>
      <c r="B35" s="15" t="s">
        <v>68</v>
      </c>
      <c r="C35" s="12">
        <v>1285</v>
      </c>
      <c r="D35" s="14">
        <f>ПАРАМЕТРЫ!C35*ПАРАМЕТРЫ!$C$4*ПАРАМЕТРЫ!$C$5*ПАРАМЕТРЫ!$C$3</f>
        <v>302501.85000000003</v>
      </c>
    </row>
    <row r="36" spans="1:4" ht="15" customHeight="1" thickBot="1" x14ac:dyDescent="0.3">
      <c r="A36" s="11" t="s">
        <v>69</v>
      </c>
      <c r="B36" s="13" t="s">
        <v>70</v>
      </c>
      <c r="C36" s="12">
        <v>62.93</v>
      </c>
      <c r="D36" s="14">
        <f>ПАРАМЕТРЫ!C36*ПАРАМЕТРЫ!$C$4*ПАРАМЕТРЫ!$C$5*ПАРАМЕТРЫ!$C$3</f>
        <v>14814.3513</v>
      </c>
    </row>
    <row r="37" spans="1:4" ht="15" customHeight="1" thickBot="1" x14ac:dyDescent="0.3">
      <c r="A37" s="5" t="s">
        <v>71</v>
      </c>
      <c r="B37" s="15" t="s">
        <v>72</v>
      </c>
      <c r="C37" s="12">
        <v>1.5</v>
      </c>
      <c r="D37" s="14">
        <f>ПАРАМЕТРЫ!C37*ПАРАМЕТРЫ!$C$4*ПАРАМЕТРЫ!$C$5*ПАРАМЕТРЫ!$C$3</f>
        <v>353.11499999999995</v>
      </c>
    </row>
    <row r="38" spans="1:4" ht="15" customHeight="1" thickBot="1" x14ac:dyDescent="0.3">
      <c r="A38" s="11" t="s">
        <v>73</v>
      </c>
      <c r="B38" s="13" t="s">
        <v>74</v>
      </c>
      <c r="C38" s="16">
        <v>29812</v>
      </c>
      <c r="D38" s="14">
        <f>ПАРАМЕТРЫ!C38*ПАРАМЕТРЫ!$C$4*ПАРАМЕТРЫ!$C$5*ПАРАМЕТРЫ!$C$3</f>
        <v>7018042.9200000009</v>
      </c>
    </row>
    <row r="39" spans="1:4" ht="15" customHeight="1" thickBot="1" x14ac:dyDescent="0.3">
      <c r="A39" s="5" t="s">
        <v>75</v>
      </c>
      <c r="B39" s="15" t="s">
        <v>76</v>
      </c>
      <c r="C39" s="17">
        <v>0</v>
      </c>
      <c r="D39" s="14">
        <f>ПАРАМЕТРЫ!C39*ПАРАМЕТРЫ!$C$4*ПАРАМЕТРЫ!$C$5*ПАРАМЕТРЫ!$C$3</f>
        <v>0</v>
      </c>
    </row>
    <row r="40" spans="1:4" ht="15" customHeight="1" thickBot="1" x14ac:dyDescent="0.3">
      <c r="A40" s="5" t="s">
        <v>548</v>
      </c>
      <c r="B40" s="15" t="s">
        <v>549</v>
      </c>
      <c r="C40" s="12">
        <v>193.8</v>
      </c>
      <c r="D40" s="14">
        <f>ПАРАМЕТРЫ!C40*ПАРАМЕТРЫ!$C$4*ПАРАМЕТРЫ!$C$5*ПАРАМЕТРЫ!$C$3</f>
        <v>45622.457999999999</v>
      </c>
    </row>
    <row r="41" spans="1:4" ht="15" customHeight="1" thickBot="1" x14ac:dyDescent="0.3">
      <c r="A41" s="5" t="s">
        <v>550</v>
      </c>
      <c r="B41" s="15" t="s">
        <v>553</v>
      </c>
      <c r="C41" s="12">
        <v>242.2</v>
      </c>
      <c r="D41" s="14">
        <f>ПАРАМЕТРЫ!C41*ПАРАМЕТРЫ!$C$4*ПАРАМЕТРЫ!$C$5*ПАРАМЕТРЫ!$C$3</f>
        <v>57016.301999999996</v>
      </c>
    </row>
    <row r="42" spans="1:4" ht="15" customHeight="1" thickBot="1" x14ac:dyDescent="0.3">
      <c r="A42" s="11" t="s">
        <v>554</v>
      </c>
      <c r="B42" s="13" t="s">
        <v>555</v>
      </c>
      <c r="C42" s="12">
        <v>14.53</v>
      </c>
      <c r="D42" s="14">
        <f>ПАРАМЕТРЫ!C42*ПАРАМЕТРЫ!$C$4*ПАРАМЕТРЫ!$C$5*ПАРАМЕТРЫ!$C$3</f>
        <v>3420.5073000000002</v>
      </c>
    </row>
    <row r="43" spans="1:4" ht="15" customHeight="1" thickBot="1" x14ac:dyDescent="0.3">
      <c r="A43" s="5" t="s">
        <v>556</v>
      </c>
      <c r="B43" s="15" t="s">
        <v>559</v>
      </c>
      <c r="C43" s="12">
        <v>122.9</v>
      </c>
      <c r="D43" s="14">
        <f>ПАРАМЕТРЫ!C43*ПАРАМЕТРЫ!$C$4*ПАРАМЕТРЫ!$C$5*ПАРАМЕТРЫ!$C$3</f>
        <v>28931.889000000003</v>
      </c>
    </row>
    <row r="44" spans="1:4" ht="15" customHeight="1" thickBot="1" x14ac:dyDescent="0.3">
      <c r="A44" s="5" t="s">
        <v>557</v>
      </c>
      <c r="B44" s="15" t="s">
        <v>558</v>
      </c>
      <c r="C44" s="12">
        <v>49.37</v>
      </c>
      <c r="D44" s="14">
        <f>ПАРАМЕТРЫ!C44*ПАРАМЕТРЫ!$C$4*ПАРАМЕТРЫ!$C$5*ПАРАМЕТРЫ!$C$3</f>
        <v>11622.191699999999</v>
      </c>
    </row>
    <row r="45" spans="1:4" ht="15" customHeight="1" thickBot="1" x14ac:dyDescent="0.3">
      <c r="A45" s="5" t="s">
        <v>564</v>
      </c>
      <c r="B45" s="15" t="s">
        <v>566</v>
      </c>
      <c r="C45" s="12">
        <v>6.87</v>
      </c>
      <c r="D45" s="14">
        <f>ПАРАМЕТРЫ!C45*ПАРАМЕТРЫ!$C$4*ПАРАМЕТРЫ!$C$5*ПАРАМЕТРЫ!$C$3</f>
        <v>1617.2667000000001</v>
      </c>
    </row>
    <row r="46" spans="1:4" ht="15" customHeight="1" thickBot="1" x14ac:dyDescent="0.3">
      <c r="A46" s="5" t="s">
        <v>568</v>
      </c>
      <c r="B46" s="15" t="s">
        <v>569</v>
      </c>
      <c r="C46" s="12">
        <v>6.25</v>
      </c>
      <c r="D46" s="14">
        <f>ПАРАМЕТРЫ!C46*ПАРАМЕТРЫ!$C$4*ПАРАМЕТРЫ!$C$5*ПАРАМЕТРЫ!$C$3</f>
        <v>1471.3125000000002</v>
      </c>
    </row>
    <row r="47" spans="1:4" ht="15" customHeight="1" thickBot="1" x14ac:dyDescent="0.3">
      <c r="A47" s="5" t="s">
        <v>573</v>
      </c>
      <c r="B47" s="15" t="s">
        <v>572</v>
      </c>
      <c r="C47" s="12">
        <v>6.25</v>
      </c>
      <c r="D47" s="14">
        <f>ПАРАМЕТРЫ!C47*ПАРАМЕТРЫ!$C$4*ПАРАМЕТРЫ!$C$5*ПАРАМЕТРЫ!$C$3</f>
        <v>1471.3125000000002</v>
      </c>
    </row>
    <row r="48" spans="1:4" ht="15" customHeight="1" thickBot="1" x14ac:dyDescent="0.3">
      <c r="A48" s="5" t="s">
        <v>577</v>
      </c>
      <c r="B48" s="15" t="s">
        <v>576</v>
      </c>
      <c r="C48" s="12">
        <v>9.6199999999999992</v>
      </c>
      <c r="D48" s="14">
        <f>ПАРАМЕТРЫ!C48*ПАРАМЕТРЫ!$C$4*ПАРАМЕТРЫ!$C$5*ПАРАМЕТРЫ!$C$3</f>
        <v>2264.6441999999997</v>
      </c>
    </row>
    <row r="49" spans="1:4" ht="15" customHeight="1" thickBot="1" x14ac:dyDescent="0.3">
      <c r="A49" s="5" t="s">
        <v>581</v>
      </c>
      <c r="B49" s="15" t="s">
        <v>580</v>
      </c>
      <c r="C49" s="12">
        <v>87.59</v>
      </c>
      <c r="D49" s="14">
        <f>ПАРАМЕТРЫ!C49*ПАРАМЕТРЫ!$C$4*ПАРАМЕТРЫ!$C$5*ПАРАМЕТРЫ!$C$3</f>
        <v>20619.561900000001</v>
      </c>
    </row>
    <row r="50" spans="1:4" ht="15" customHeight="1" thickBot="1" x14ac:dyDescent="0.3">
      <c r="A50" s="5" t="s">
        <v>584</v>
      </c>
      <c r="B50" s="15" t="s">
        <v>585</v>
      </c>
      <c r="C50" s="12">
        <v>332.4</v>
      </c>
      <c r="D50" s="14">
        <f>ПАРАМЕТРЫ!C50*ПАРАМЕТРЫ!$C$4*ПАРАМЕТРЫ!$C$5*ПАРАМЕТРЫ!$C$3</f>
        <v>78250.283999999985</v>
      </c>
    </row>
    <row r="51" spans="1:4" ht="15" customHeight="1" thickBot="1" x14ac:dyDescent="0.3">
      <c r="A51" s="5" t="s">
        <v>591</v>
      </c>
      <c r="B51" s="15" t="s">
        <v>588</v>
      </c>
      <c r="C51" s="12">
        <v>136.69999999999999</v>
      </c>
      <c r="D51" s="14">
        <f>ПАРАМЕТРЫ!C51*ПАРАМЕТРЫ!$C$4*ПАРАМЕТРЫ!$C$5*ПАРАМЕТРЫ!$C$3</f>
        <v>32180.547000000002</v>
      </c>
    </row>
    <row r="52" spans="1:4" ht="15" customHeight="1" thickBot="1" x14ac:dyDescent="0.3">
      <c r="A52" s="5" t="s">
        <v>592</v>
      </c>
      <c r="B52" s="15" t="s">
        <v>593</v>
      </c>
      <c r="C52" s="12"/>
      <c r="D52" s="14">
        <f>ПАРАМЕТРЫ!C52*ПАРАМЕТРЫ!$C$4*ПАРАМЕТРЫ!$C$5*ПАРАМЕТРЫ!$C$3</f>
        <v>0</v>
      </c>
    </row>
    <row r="53" spans="1:4" ht="15" customHeight="1" thickBot="1" x14ac:dyDescent="0.3">
      <c r="A53" s="11" t="s">
        <v>597</v>
      </c>
      <c r="B53" s="13" t="s">
        <v>598</v>
      </c>
      <c r="C53" s="12">
        <v>63.02</v>
      </c>
      <c r="D53" s="14">
        <f>ПАРАМЕТРЫ!C53*ПАРАМЕТРЫ!$C$4*ПАРАМЕТРЫ!$C$5*ПАРАМЕТРЫ!$C$3</f>
        <v>14835.538200000001</v>
      </c>
    </row>
    <row r="54" spans="1:4" ht="15" customHeight="1" thickBot="1" x14ac:dyDescent="0.3">
      <c r="A54" s="11" t="s">
        <v>600</v>
      </c>
      <c r="B54" s="13" t="s">
        <v>601</v>
      </c>
      <c r="C54" s="12">
        <v>180.4</v>
      </c>
      <c r="D54" s="14">
        <f>ПАРАМЕТРЫ!C54*ПАРАМЕТРЫ!$C$4*ПАРАМЕТРЫ!$C$5*ПАРАМЕТРЫ!$C$3</f>
        <v>42467.964</v>
      </c>
    </row>
    <row r="55" spans="1:4" ht="15" customHeight="1" thickBot="1" x14ac:dyDescent="0.3">
      <c r="A55" s="11" t="s">
        <v>600</v>
      </c>
      <c r="B55" s="13" t="s">
        <v>601</v>
      </c>
      <c r="C55" s="12">
        <v>180.4</v>
      </c>
      <c r="D55" s="14">
        <f>ПАРАМЕТРЫ!C55*ПАРАМЕТРЫ!$C$4*ПАРАМЕТРЫ!$C$5*ПАРАМЕТРЫ!$C$3</f>
        <v>42467.964</v>
      </c>
    </row>
    <row r="56" spans="1:4" ht="15" customHeight="1" thickBot="1" x14ac:dyDescent="0.3">
      <c r="A56" s="5" t="s">
        <v>621</v>
      </c>
      <c r="B56" s="15" t="s">
        <v>622</v>
      </c>
      <c r="C56" s="12">
        <v>675.1</v>
      </c>
      <c r="D56" s="14">
        <f>ПАРАМЕТРЫ!C56*ПАРАМЕТРЫ!$C$4*ПАРАМЕТРЫ!$C$5*ПАРАМЕТРЫ!$C$3</f>
        <v>158925.29100000003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7"/>
  <sheetViews>
    <sheetView tabSelected="1" zoomScale="115" zoomScaleNormal="115" workbookViewId="0">
      <pane xSplit="13" ySplit="2" topLeftCell="N6" activePane="bottomRight" state="frozen"/>
      <selection pane="topRight" activeCell="M1" sqref="M1"/>
      <selection pane="bottomLeft" activeCell="A3" sqref="A3"/>
      <selection pane="bottomRight" activeCell="D10" sqref="D10"/>
    </sheetView>
  </sheetViews>
  <sheetFormatPr defaultColWidth="8.7109375" defaultRowHeight="25.5" customHeight="1" x14ac:dyDescent="0.25"/>
  <cols>
    <col min="1" max="1" width="42" customWidth="1"/>
    <col min="2" max="2" width="8.5703125" customWidth="1"/>
    <col min="3" max="3" width="25" customWidth="1"/>
    <col min="4" max="4" width="38.7109375" customWidth="1"/>
    <col min="5" max="5" width="11" customWidth="1"/>
    <col min="6" max="6" width="9.85546875" customWidth="1"/>
    <col min="7" max="7" width="14" customWidth="1"/>
    <col min="8" max="8" width="8.85546875" customWidth="1"/>
    <col min="9" max="9" width="7.7109375" style="57" customWidth="1"/>
    <col min="10" max="10" width="22" customWidth="1"/>
    <col min="11" max="11" width="29.7109375" customWidth="1"/>
  </cols>
  <sheetData>
    <row r="1" spans="1:11" ht="67.5" customHeight="1" thickBot="1" x14ac:dyDescent="0.3">
      <c r="A1" s="2"/>
      <c r="B1" s="2"/>
      <c r="C1" s="18" t="s">
        <v>78</v>
      </c>
      <c r="D1" s="2"/>
      <c r="E1" s="2"/>
      <c r="F1" s="2"/>
      <c r="G1" s="2"/>
      <c r="H1" s="2"/>
      <c r="I1" s="56"/>
      <c r="J1" s="2"/>
      <c r="K1" s="2"/>
    </row>
    <row r="2" spans="1:11" ht="25.5" customHeight="1" thickBot="1" x14ac:dyDescent="0.3">
      <c r="A2" s="10" t="s">
        <v>633</v>
      </c>
      <c r="B2" s="10" t="s">
        <v>79</v>
      </c>
      <c r="C2" s="10" t="s">
        <v>81</v>
      </c>
      <c r="D2" s="10" t="s">
        <v>80</v>
      </c>
      <c r="E2" s="10" t="s">
        <v>85</v>
      </c>
      <c r="F2" s="10" t="s">
        <v>86</v>
      </c>
      <c r="G2" s="10" t="s">
        <v>87</v>
      </c>
      <c r="H2" s="10" t="s">
        <v>83</v>
      </c>
      <c r="I2" s="10" t="s">
        <v>84</v>
      </c>
      <c r="J2" s="10" t="s">
        <v>88</v>
      </c>
      <c r="K2" s="10" t="s">
        <v>82</v>
      </c>
    </row>
    <row r="3" spans="1:11" s="52" customFormat="1" ht="25.5" customHeight="1" thickBot="1" x14ac:dyDescent="0.3">
      <c r="A3" s="53" t="str">
        <f>D3</f>
        <v>КОМПЛЕКТ 1.  ГРЩ (ЩМП-18.8.4-0 36 УХЛ3 IP31)  |  Альбом 7.4 ЭОМ (Гараж)</v>
      </c>
      <c r="B3" s="53" t="str">
        <f>D3</f>
        <v>КОМПЛЕКТ 1.  ГРЩ (ЩМП-18.8.4-0 36 УХЛ3 IP31)  |  Альбом 7.4 ЭОМ (Гараж)</v>
      </c>
      <c r="C3" s="54"/>
      <c r="D3" s="53" t="s">
        <v>90</v>
      </c>
      <c r="E3" s="54"/>
      <c r="F3" s="54"/>
      <c r="G3" s="54"/>
      <c r="H3" s="54" t="s">
        <v>632</v>
      </c>
      <c r="I3" s="55">
        <v>1</v>
      </c>
      <c r="J3" s="51"/>
      <c r="K3" s="51"/>
    </row>
    <row r="4" spans="1:11" ht="25.5" customHeight="1" x14ac:dyDescent="0.25">
      <c r="A4" s="22" t="str">
        <f t="shared" ref="A4:A18" si="0">A3</f>
        <v>КОМПЛЕКТ 1.  ГРЩ (ЩМП-18.8.4-0 36 УХЛ3 IP31)  |  Альбом 7.4 ЭОМ (Гараж)</v>
      </c>
      <c r="B4" s="22" t="s">
        <v>91</v>
      </c>
      <c r="C4" s="22" t="s">
        <v>92</v>
      </c>
      <c r="D4" s="22" t="s">
        <v>546</v>
      </c>
      <c r="E4" s="21">
        <v>165000</v>
      </c>
      <c r="F4" s="21">
        <f>0.6*E4</f>
        <v>99000</v>
      </c>
      <c r="G4" s="23">
        <f>F4*I4</f>
        <v>99000</v>
      </c>
      <c r="H4" s="23" t="s">
        <v>94</v>
      </c>
      <c r="I4" s="23">
        <v>1</v>
      </c>
      <c r="J4" s="22" t="s">
        <v>96</v>
      </c>
      <c r="K4" s="22" t="s">
        <v>93</v>
      </c>
    </row>
    <row r="5" spans="1:11" ht="25.5" customHeight="1" x14ac:dyDescent="0.25">
      <c r="A5" s="25" t="str">
        <f t="shared" si="0"/>
        <v>КОМПЛЕКТ 1.  ГРЩ (ЩМП-18.8.4-0 36 УХЛ3 IP31)  |  Альбом 7.4 ЭОМ (Гараж)</v>
      </c>
      <c r="B5" s="25" t="s">
        <v>97</v>
      </c>
      <c r="C5" s="25" t="s">
        <v>99</v>
      </c>
      <c r="D5" s="25" t="s">
        <v>98</v>
      </c>
      <c r="E5" s="26">
        <f>ПАРАМЕТРЫ!C32</f>
        <v>308.8</v>
      </c>
      <c r="F5" s="27">
        <f>E5*0.3*1.33*590</f>
        <v>72694.608000000007</v>
      </c>
      <c r="G5" s="27">
        <f t="shared" ref="G5:G14" si="1">I5*F5</f>
        <v>290778.43200000003</v>
      </c>
      <c r="H5" s="27" t="s">
        <v>94</v>
      </c>
      <c r="I5" s="27">
        <v>4</v>
      </c>
      <c r="J5" s="25" t="s">
        <v>100</v>
      </c>
      <c r="K5" s="25" t="s">
        <v>93</v>
      </c>
    </row>
    <row r="6" spans="1:11" ht="25.9" customHeight="1" x14ac:dyDescent="0.25">
      <c r="A6" s="29" t="str">
        <f t="shared" si="0"/>
        <v>КОМПЛЕКТ 1.  ГРЩ (ЩМП-18.8.4-0 36 УХЛ3 IP31)  |  Альбом 7.4 ЭОМ (Гараж)</v>
      </c>
      <c r="B6" s="29" t="s">
        <v>101</v>
      </c>
      <c r="C6" s="29" t="s">
        <v>621</v>
      </c>
      <c r="D6" s="29" t="s">
        <v>622</v>
      </c>
      <c r="E6" s="30">
        <v>675.1</v>
      </c>
      <c r="F6" s="27">
        <f t="shared" ref="F6:F14" si="2">E6*0.3*1.33*590</f>
        <v>158925.29100000003</v>
      </c>
      <c r="G6" s="31">
        <f t="shared" si="1"/>
        <v>635701.16400000011</v>
      </c>
      <c r="H6" s="31" t="s">
        <v>94</v>
      </c>
      <c r="I6" s="31">
        <v>4</v>
      </c>
      <c r="J6" s="29" t="s">
        <v>625</v>
      </c>
      <c r="K6" s="29" t="s">
        <v>93</v>
      </c>
    </row>
    <row r="7" spans="1:11" ht="25.9" customHeight="1" x14ac:dyDescent="0.25">
      <c r="A7" s="29" t="str">
        <f t="shared" si="0"/>
        <v>КОМПЛЕКТ 1.  ГРЩ (ЩМП-18.8.4-0 36 УХЛ3 IP31)  |  Альбом 7.4 ЭОМ (Гараж)</v>
      </c>
      <c r="B7" s="29" t="s">
        <v>101</v>
      </c>
      <c r="C7" s="29" t="s">
        <v>623</v>
      </c>
      <c r="D7" s="29" t="s">
        <v>624</v>
      </c>
      <c r="E7" s="30">
        <v>115.1</v>
      </c>
      <c r="F7" s="27">
        <f t="shared" si="2"/>
        <v>27095.690999999995</v>
      </c>
      <c r="G7" s="31">
        <f t="shared" si="1"/>
        <v>54191.381999999991</v>
      </c>
      <c r="H7" s="31" t="s">
        <v>94</v>
      </c>
      <c r="I7" s="31">
        <v>2</v>
      </c>
      <c r="J7" s="29" t="s">
        <v>626</v>
      </c>
      <c r="K7" s="29" t="s">
        <v>93</v>
      </c>
    </row>
    <row r="8" spans="1:11" ht="25.9" customHeight="1" x14ac:dyDescent="0.25">
      <c r="A8" s="29" t="str">
        <f t="shared" si="0"/>
        <v>КОМПЛЕКТ 1.  ГРЩ (ЩМП-18.8.4-0 36 УХЛ3 IP31)  |  Альбом 7.4 ЭОМ (Гараж)</v>
      </c>
      <c r="B8" s="29" t="s">
        <v>101</v>
      </c>
      <c r="C8" s="29" t="s">
        <v>628</v>
      </c>
      <c r="D8" s="29" t="s">
        <v>627</v>
      </c>
      <c r="E8" s="30">
        <v>132.30000000000001</v>
      </c>
      <c r="F8" s="27">
        <f t="shared" si="2"/>
        <v>31144.743000000006</v>
      </c>
      <c r="G8" s="31">
        <f t="shared" si="1"/>
        <v>62289.486000000012</v>
      </c>
      <c r="H8" s="31" t="s">
        <v>94</v>
      </c>
      <c r="I8" s="31">
        <v>2</v>
      </c>
      <c r="J8" s="29" t="s">
        <v>634</v>
      </c>
      <c r="K8" s="29" t="s">
        <v>93</v>
      </c>
    </row>
    <row r="9" spans="1:11" ht="25.9" customHeight="1" x14ac:dyDescent="0.25">
      <c r="A9" s="29" t="str">
        <f t="shared" si="0"/>
        <v>КОМПЛЕКТ 1.  ГРЩ (ЩМП-18.8.4-0 36 УХЛ3 IP31)  |  Альбом 7.4 ЭОМ (Гараж)</v>
      </c>
      <c r="B9" s="29" t="s">
        <v>101</v>
      </c>
      <c r="C9" s="29" t="s">
        <v>630</v>
      </c>
      <c r="D9" s="29" t="s">
        <v>629</v>
      </c>
      <c r="E9" s="30">
        <v>72.77</v>
      </c>
      <c r="F9" s="27">
        <f t="shared" si="2"/>
        <v>17130.7857</v>
      </c>
      <c r="G9" s="31">
        <f t="shared" si="1"/>
        <v>34261.571400000001</v>
      </c>
      <c r="H9" s="31" t="s">
        <v>94</v>
      </c>
      <c r="I9" s="31">
        <v>2</v>
      </c>
      <c r="J9" s="29" t="s">
        <v>634</v>
      </c>
      <c r="K9" s="29" t="s">
        <v>93</v>
      </c>
    </row>
    <row r="10" spans="1:11" ht="25.9" customHeight="1" x14ac:dyDescent="0.25">
      <c r="A10" s="29" t="str">
        <f t="shared" si="0"/>
        <v>КОМПЛЕКТ 1.  ГРЩ (ЩМП-18.8.4-0 36 УХЛ3 IP31)  |  Альбом 7.4 ЭОМ (Гараж)</v>
      </c>
      <c r="B10" s="29" t="s">
        <v>101</v>
      </c>
      <c r="C10" s="29" t="s">
        <v>103</v>
      </c>
      <c r="D10" s="29" t="s">
        <v>102</v>
      </c>
      <c r="E10" s="30">
        <f>ПАРАМЕТРЫ!C31</f>
        <v>246.1</v>
      </c>
      <c r="F10" s="27">
        <f t="shared" si="2"/>
        <v>57934.400999999998</v>
      </c>
      <c r="G10" s="31">
        <f t="shared" si="1"/>
        <v>57934.400999999998</v>
      </c>
      <c r="H10" s="31" t="s">
        <v>94</v>
      </c>
      <c r="I10" s="31">
        <v>1</v>
      </c>
      <c r="J10" s="29" t="s">
        <v>104</v>
      </c>
      <c r="K10" s="29" t="s">
        <v>93</v>
      </c>
    </row>
    <row r="11" spans="1:11" ht="25.5" customHeight="1" x14ac:dyDescent="0.25">
      <c r="A11" s="25" t="str">
        <f t="shared" si="0"/>
        <v>КОМПЛЕКТ 1.  ГРЩ (ЩМП-18.8.4-0 36 УХЛ3 IP31)  |  Альбом 7.4 ЭОМ (Гараж)</v>
      </c>
      <c r="B11" s="25" t="s">
        <v>105</v>
      </c>
      <c r="C11" s="25" t="s">
        <v>611</v>
      </c>
      <c r="D11" s="25" t="s">
        <v>604</v>
      </c>
      <c r="E11" s="26">
        <v>36.42</v>
      </c>
      <c r="F11" s="27">
        <f t="shared" si="2"/>
        <v>8573.6322000000018</v>
      </c>
      <c r="G11" s="27">
        <f t="shared" si="1"/>
        <v>42868.161000000007</v>
      </c>
      <c r="H11" s="27" t="s">
        <v>94</v>
      </c>
      <c r="I11" s="27">
        <v>5</v>
      </c>
      <c r="J11" s="25" t="s">
        <v>107</v>
      </c>
      <c r="K11" s="25" t="s">
        <v>93</v>
      </c>
    </row>
    <row r="12" spans="1:11" ht="25.5" customHeight="1" x14ac:dyDescent="0.25">
      <c r="A12" s="29" t="str">
        <f t="shared" si="0"/>
        <v>КОМПЛЕКТ 1.  ГРЩ (ЩМП-18.8.4-0 36 УХЛ3 IP31)  |  Альбом 7.4 ЭОМ (Гараж)</v>
      </c>
      <c r="B12" s="29" t="s">
        <v>108</v>
      </c>
      <c r="C12" s="29" t="s">
        <v>606</v>
      </c>
      <c r="D12" s="29" t="s">
        <v>605</v>
      </c>
      <c r="E12" s="30">
        <v>36.42</v>
      </c>
      <c r="F12" s="27">
        <f t="shared" si="2"/>
        <v>8573.6322000000018</v>
      </c>
      <c r="G12" s="31">
        <f t="shared" si="1"/>
        <v>17147.264400000004</v>
      </c>
      <c r="H12" s="31" t="s">
        <v>94</v>
      </c>
      <c r="I12" s="31">
        <v>2</v>
      </c>
      <c r="J12" s="29" t="s">
        <v>109</v>
      </c>
      <c r="K12" s="29" t="s">
        <v>93</v>
      </c>
    </row>
    <row r="13" spans="1:11" ht="25.5" customHeight="1" x14ac:dyDescent="0.25">
      <c r="A13" s="25" t="str">
        <f t="shared" si="0"/>
        <v>КОМПЛЕКТ 1.  ГРЩ (ЩМП-18.8.4-0 36 УХЛ3 IP31)  |  Альбом 7.4 ЭОМ (Гараж)</v>
      </c>
      <c r="B13" s="25" t="s">
        <v>110</v>
      </c>
      <c r="C13" s="25" t="s">
        <v>607</v>
      </c>
      <c r="D13" s="25" t="s">
        <v>608</v>
      </c>
      <c r="E13" s="26">
        <v>9.7100000000000009</v>
      </c>
      <c r="F13" s="27">
        <f t="shared" si="2"/>
        <v>2285.8311000000003</v>
      </c>
      <c r="G13" s="27">
        <f t="shared" si="1"/>
        <v>6857.493300000001</v>
      </c>
      <c r="H13" s="27" t="s">
        <v>94</v>
      </c>
      <c r="I13" s="27">
        <v>3</v>
      </c>
      <c r="J13" s="25" t="s">
        <v>111</v>
      </c>
      <c r="K13" s="25" t="s">
        <v>93</v>
      </c>
    </row>
    <row r="14" spans="1:11" ht="25.5" customHeight="1" x14ac:dyDescent="0.25">
      <c r="A14" s="29" t="str">
        <f t="shared" si="0"/>
        <v>КОМПЛЕКТ 1.  ГРЩ (ЩМП-18.8.4-0 36 УХЛ3 IP31)  |  Альбом 7.4 ЭОМ (Гараж)</v>
      </c>
      <c r="B14" s="29" t="s">
        <v>112</v>
      </c>
      <c r="C14" s="29" t="s">
        <v>114</v>
      </c>
      <c r="D14" s="29" t="s">
        <v>113</v>
      </c>
      <c r="E14" s="30">
        <f>ПАРАМЕТРЫ!C35</f>
        <v>1285</v>
      </c>
      <c r="F14" s="27">
        <f t="shared" si="2"/>
        <v>302501.85000000003</v>
      </c>
      <c r="G14" s="31">
        <f t="shared" si="1"/>
        <v>302501.85000000003</v>
      </c>
      <c r="H14" s="31" t="s">
        <v>94</v>
      </c>
      <c r="I14" s="31">
        <v>1</v>
      </c>
      <c r="J14" s="29" t="s">
        <v>115</v>
      </c>
      <c r="K14" s="29" t="s">
        <v>93</v>
      </c>
    </row>
    <row r="15" spans="1:11" ht="25.5" customHeight="1" x14ac:dyDescent="0.25">
      <c r="A15" s="25" t="str">
        <f t="shared" si="0"/>
        <v>КОМПЛЕКТ 1.  ГРЩ (ЩМП-18.8.4-0 36 УХЛ3 IP31)  |  Альбом 7.4 ЭОМ (Гараж)</v>
      </c>
      <c r="B15" s="25" t="s">
        <v>116</v>
      </c>
      <c r="C15" s="25" t="s">
        <v>77</v>
      </c>
      <c r="D15" s="25" t="s">
        <v>117</v>
      </c>
      <c r="E15" s="27" t="s">
        <v>95</v>
      </c>
      <c r="F15" s="27" t="s">
        <v>95</v>
      </c>
      <c r="G15" s="27">
        <v>0</v>
      </c>
      <c r="H15" s="27" t="s">
        <v>94</v>
      </c>
      <c r="I15" s="27">
        <v>2</v>
      </c>
      <c r="J15" s="25" t="s">
        <v>118</v>
      </c>
      <c r="K15" s="25" t="s">
        <v>93</v>
      </c>
    </row>
    <row r="16" spans="1:11" ht="25.5" customHeight="1" x14ac:dyDescent="0.25">
      <c r="A16" s="33" t="str">
        <f t="shared" si="0"/>
        <v>КОМПЛЕКТ 1.  ГРЩ (ЩМП-18.8.4-0 36 УХЛ3 IP31)  |  Альбом 7.4 ЭОМ (Гараж)</v>
      </c>
      <c r="B16" s="33" t="s">
        <v>119</v>
      </c>
      <c r="C16" s="33" t="s">
        <v>121</v>
      </c>
      <c r="D16" s="33" t="s">
        <v>120</v>
      </c>
      <c r="E16" s="32">
        <v>100000</v>
      </c>
      <c r="F16" s="32">
        <f>E16</f>
        <v>100000</v>
      </c>
      <c r="G16" s="35">
        <f>F16*I16</f>
        <v>300000</v>
      </c>
      <c r="H16" s="35" t="s">
        <v>94</v>
      </c>
      <c r="I16" s="35">
        <v>3</v>
      </c>
      <c r="J16" s="34" t="s">
        <v>122</v>
      </c>
      <c r="K16" s="34" t="s">
        <v>93</v>
      </c>
    </row>
    <row r="17" spans="1:11" ht="25.5" customHeight="1" x14ac:dyDescent="0.25">
      <c r="A17" s="37" t="str">
        <f t="shared" si="0"/>
        <v>КОМПЛЕКТ 1.  ГРЩ (ЩМП-18.8.4-0 36 УХЛ3 IP31)  |  Альбом 7.4 ЭОМ (Гараж)</v>
      </c>
      <c r="B17" s="37" t="s">
        <v>123</v>
      </c>
      <c r="C17" s="37"/>
      <c r="D17" s="37" t="s">
        <v>124</v>
      </c>
      <c r="E17" s="36" t="s">
        <v>95</v>
      </c>
      <c r="F17" s="38" t="str">
        <f>ПАРАМЕТРЫ!C6&amp;"%"</f>
        <v>12%</v>
      </c>
      <c r="G17" s="39">
        <f>(G5+G10+G11+G12+G13+G14+G15+G16)*ПАРАМЕТРЫ!C6/100</f>
        <v>122170.512204</v>
      </c>
      <c r="H17" s="39" t="s">
        <v>94</v>
      </c>
      <c r="I17" s="39">
        <v>1</v>
      </c>
      <c r="J17" s="37" t="s">
        <v>11</v>
      </c>
      <c r="K17" s="37" t="s">
        <v>93</v>
      </c>
    </row>
    <row r="18" spans="1:11" ht="25.5" customHeight="1" thickBot="1" x14ac:dyDescent="0.3">
      <c r="A18" s="41" t="str">
        <f t="shared" si="0"/>
        <v>КОМПЛЕКТ 1.  ГРЩ (ЩМП-18.8.4-0 36 УХЛ3 IP31)  |  Альбом 7.4 ЭОМ (Гараж)</v>
      </c>
      <c r="B18" s="41" t="s">
        <v>125</v>
      </c>
      <c r="C18" s="41"/>
      <c r="D18" s="41" t="s">
        <v>126</v>
      </c>
      <c r="E18" s="40" t="s">
        <v>95</v>
      </c>
      <c r="F18" s="42" t="str">
        <f>ПАРАМЕТРЫ!C7&amp;"%"</f>
        <v>15%</v>
      </c>
      <c r="G18" s="43">
        <f>(G5+G10+G11+G12+G13+G14+G15+G16)*ПАРАМЕТРЫ!C7/100</f>
        <v>152713.14025500001</v>
      </c>
      <c r="H18" s="43" t="s">
        <v>94</v>
      </c>
      <c r="I18" s="43">
        <v>1</v>
      </c>
      <c r="J18" s="41" t="s">
        <v>11</v>
      </c>
      <c r="K18" s="41" t="s">
        <v>93</v>
      </c>
    </row>
    <row r="19" spans="1:11" ht="25.5" customHeight="1" thickBot="1" x14ac:dyDescent="0.3">
      <c r="A19" s="53" t="str">
        <f>D19</f>
        <v>КОМПЛЕКТ 2.  ЩС-В (ЩРн-12з-0 36 УХЛ3 IP54)  |  Альбом 7.4 ЭОМ (Гараж)</v>
      </c>
      <c r="B19" s="54" t="s">
        <v>127</v>
      </c>
      <c r="C19" s="54"/>
      <c r="D19" s="54" t="s">
        <v>127</v>
      </c>
      <c r="E19" s="54"/>
      <c r="F19" s="54"/>
      <c r="G19" s="54"/>
      <c r="H19" s="54" t="s">
        <v>632</v>
      </c>
      <c r="I19" s="55">
        <v>1</v>
      </c>
      <c r="J19" s="2"/>
      <c r="K19" s="2"/>
    </row>
    <row r="20" spans="1:11" ht="25.5" customHeight="1" x14ac:dyDescent="0.25">
      <c r="A20" s="22" t="str">
        <f t="shared" ref="A20:A27" si="3">A19</f>
        <v>КОМПЛЕКТ 2.  ЩС-В (ЩРн-12з-0 36 УХЛ3 IP54)  |  Альбом 7.4 ЭОМ (Гараж)</v>
      </c>
      <c r="B20" s="22" t="s">
        <v>128</v>
      </c>
      <c r="C20" s="22" t="s">
        <v>92</v>
      </c>
      <c r="D20" s="22" t="s">
        <v>129</v>
      </c>
      <c r="E20" s="21">
        <v>10500</v>
      </c>
      <c r="F20" s="21">
        <f>0.6*E20</f>
        <v>6300</v>
      </c>
      <c r="G20" s="23">
        <f>F20*I20</f>
        <v>6300</v>
      </c>
      <c r="H20" s="23" t="s">
        <v>94</v>
      </c>
      <c r="I20" s="23">
        <v>1</v>
      </c>
      <c r="J20" s="22" t="s">
        <v>96</v>
      </c>
      <c r="K20" s="22" t="s">
        <v>93</v>
      </c>
    </row>
    <row r="21" spans="1:11" ht="25.5" customHeight="1" x14ac:dyDescent="0.25">
      <c r="A21" s="25" t="str">
        <f t="shared" si="3"/>
        <v>КОМПЛЕКТ 2.  ЩС-В (ЩРн-12з-0 36 УХЛ3 IP54)  |  Альбом 7.4 ЭОМ (Гараж)</v>
      </c>
      <c r="B21" s="25" t="s">
        <v>130</v>
      </c>
      <c r="C21" s="25" t="s">
        <v>106</v>
      </c>
      <c r="D21" s="25" t="s">
        <v>631</v>
      </c>
      <c r="E21" s="26">
        <v>48.51</v>
      </c>
      <c r="F21" s="27">
        <f t="shared" ref="F21:F25" si="4">E21*0.3*1.33*590</f>
        <v>11419.739100000001</v>
      </c>
      <c r="G21" s="27">
        <f>I21*F21</f>
        <v>11419.739100000001</v>
      </c>
      <c r="H21" s="27" t="s">
        <v>94</v>
      </c>
      <c r="I21" s="27">
        <v>1</v>
      </c>
      <c r="J21" s="25" t="s">
        <v>131</v>
      </c>
      <c r="K21" s="25" t="s">
        <v>93</v>
      </c>
    </row>
    <row r="22" spans="1:11" ht="25.5" customHeight="1" x14ac:dyDescent="0.25">
      <c r="A22" s="29" t="str">
        <f t="shared" si="3"/>
        <v>КОМПЛЕКТ 2.  ЩС-В (ЩРн-12з-0 36 УХЛ3 IP54)  |  Альбом 7.4 ЭОМ (Гараж)</v>
      </c>
      <c r="B22" s="29" t="s">
        <v>132</v>
      </c>
      <c r="C22" s="29" t="s">
        <v>610</v>
      </c>
      <c r="D22" s="29" t="s">
        <v>609</v>
      </c>
      <c r="E22" s="30">
        <v>8.09</v>
      </c>
      <c r="F22" s="27">
        <f t="shared" si="4"/>
        <v>1904.4669000000001</v>
      </c>
      <c r="G22" s="31">
        <f>I22*F22</f>
        <v>3808.9338000000002</v>
      </c>
      <c r="H22" s="31" t="s">
        <v>94</v>
      </c>
      <c r="I22" s="31">
        <v>2</v>
      </c>
      <c r="J22" s="29" t="s">
        <v>133</v>
      </c>
      <c r="K22" s="29" t="s">
        <v>93</v>
      </c>
    </row>
    <row r="23" spans="1:11" ht="25.5" customHeight="1" x14ac:dyDescent="0.25">
      <c r="A23" s="25" t="str">
        <f t="shared" si="3"/>
        <v>КОМПЛЕКТ 2.  ЩС-В (ЩРн-12з-0 36 УХЛ3 IP54)  |  Альбом 7.4 ЭОМ (Гараж)</v>
      </c>
      <c r="B23" s="25" t="s">
        <v>134</v>
      </c>
      <c r="C23" s="25" t="s">
        <v>612</v>
      </c>
      <c r="D23" s="25" t="s">
        <v>613</v>
      </c>
      <c r="E23" s="30">
        <v>36.42</v>
      </c>
      <c r="F23" s="27">
        <f t="shared" si="4"/>
        <v>8573.6322000000018</v>
      </c>
      <c r="G23" s="27">
        <f>I23*F23</f>
        <v>8573.6322000000018</v>
      </c>
      <c r="H23" s="27" t="s">
        <v>94</v>
      </c>
      <c r="I23" s="27">
        <v>1</v>
      </c>
      <c r="J23" s="25" t="s">
        <v>155</v>
      </c>
      <c r="K23" s="25" t="s">
        <v>93</v>
      </c>
    </row>
    <row r="24" spans="1:11" ht="25.5" customHeight="1" x14ac:dyDescent="0.25">
      <c r="A24" s="29" t="str">
        <f t="shared" si="3"/>
        <v>КОМПЛЕКТ 2.  ЩС-В (ЩРн-12з-0 36 УХЛ3 IP54)  |  Альбом 7.4 ЭОМ (Гараж)</v>
      </c>
      <c r="B24" s="29" t="s">
        <v>138</v>
      </c>
      <c r="C24" s="25" t="s">
        <v>136</v>
      </c>
      <c r="D24" s="25" t="s">
        <v>135</v>
      </c>
      <c r="E24" s="26">
        <f>ПАРАМЕТРЫ!C33</f>
        <v>41.58</v>
      </c>
      <c r="F24" s="27">
        <f t="shared" si="4"/>
        <v>9788.3477999999996</v>
      </c>
      <c r="G24" s="27">
        <f>I24*F24</f>
        <v>0</v>
      </c>
      <c r="H24" s="27" t="s">
        <v>94</v>
      </c>
      <c r="I24" s="27">
        <v>0</v>
      </c>
      <c r="J24" s="25" t="s">
        <v>137</v>
      </c>
      <c r="K24" s="25" t="s">
        <v>93</v>
      </c>
    </row>
    <row r="25" spans="1:11" ht="25.5" customHeight="1" x14ac:dyDescent="0.25">
      <c r="A25" s="25" t="str">
        <f t="shared" si="3"/>
        <v>КОМПЛЕКТ 2.  ЩС-В (ЩРн-12з-0 36 УХЛ3 IP54)  |  Альбом 7.4 ЭОМ (Гараж)</v>
      </c>
      <c r="B25" s="25" t="s">
        <v>142</v>
      </c>
      <c r="C25" s="29" t="s">
        <v>140</v>
      </c>
      <c r="D25" s="29" t="s">
        <v>139</v>
      </c>
      <c r="E25" s="30">
        <f>ПАРАМЕТРЫ!C36</f>
        <v>62.93</v>
      </c>
      <c r="F25" s="27">
        <f t="shared" si="4"/>
        <v>14814.3513</v>
      </c>
      <c r="G25" s="31">
        <f>I25*F25</f>
        <v>14814.3513</v>
      </c>
      <c r="H25" s="31" t="s">
        <v>94</v>
      </c>
      <c r="I25" s="31">
        <v>1</v>
      </c>
      <c r="J25" s="29" t="s">
        <v>141</v>
      </c>
      <c r="K25" s="29" t="s">
        <v>93</v>
      </c>
    </row>
    <row r="26" spans="1:11" ht="25.5" customHeight="1" x14ac:dyDescent="0.25">
      <c r="A26" s="29" t="str">
        <f t="shared" si="3"/>
        <v>КОМПЛЕКТ 2.  ЩС-В (ЩРн-12з-0 36 УХЛ3 IP54)  |  Альбом 7.4 ЭОМ (Гараж)</v>
      </c>
      <c r="B26" s="29" t="s">
        <v>143</v>
      </c>
      <c r="C26" s="37"/>
      <c r="D26" s="37" t="s">
        <v>124</v>
      </c>
      <c r="E26" s="36" t="s">
        <v>95</v>
      </c>
      <c r="F26" s="38" t="str">
        <f>ПАРАМЕТРЫ!C6&amp;"%"</f>
        <v>12%</v>
      </c>
      <c r="G26" s="39">
        <f>(G21+G22+G24+G25+G23)*ПАРАМЕТРЫ!C6/100</f>
        <v>4633.9987679999995</v>
      </c>
      <c r="H26" s="39" t="s">
        <v>94</v>
      </c>
      <c r="I26" s="39">
        <v>1</v>
      </c>
      <c r="J26" s="37" t="s">
        <v>11</v>
      </c>
      <c r="K26" s="37" t="s">
        <v>93</v>
      </c>
    </row>
    <row r="27" spans="1:11" ht="25.5" customHeight="1" thickBot="1" x14ac:dyDescent="0.3">
      <c r="A27" s="25" t="str">
        <f t="shared" si="3"/>
        <v>КОМПЛЕКТ 2.  ЩС-В (ЩРн-12з-0 36 УХЛ3 IP54)  |  Альбом 7.4 ЭОМ (Гараж)</v>
      </c>
      <c r="B27" s="25" t="s">
        <v>547</v>
      </c>
      <c r="C27" s="41"/>
      <c r="D27" s="41" t="s">
        <v>126</v>
      </c>
      <c r="E27" s="40" t="s">
        <v>95</v>
      </c>
      <c r="F27" s="42" t="str">
        <f>ПАРАМЕТРЫ!C7&amp;"%"</f>
        <v>15%</v>
      </c>
      <c r="G27" s="43">
        <f>(G21+G22+G24+G25+G23)*ПАРАМЕТРЫ!C7/100</f>
        <v>5792.4984599999998</v>
      </c>
      <c r="H27" s="43" t="s">
        <v>94</v>
      </c>
      <c r="I27" s="43">
        <v>1</v>
      </c>
      <c r="J27" s="41" t="s">
        <v>11</v>
      </c>
      <c r="K27" s="41" t="s">
        <v>93</v>
      </c>
    </row>
    <row r="28" spans="1:11" ht="25.5" customHeight="1" thickBot="1" x14ac:dyDescent="0.3">
      <c r="A28" s="53" t="str">
        <f>D28</f>
        <v>КОМПЛЕКТ 3.  ЩС-П (ЩРн-24з-0 36 УХЛ3 IP54)  |  Альбом 7.4 ЭОМ (Гараж)</v>
      </c>
      <c r="B28" s="54" t="s">
        <v>144</v>
      </c>
      <c r="C28" s="54"/>
      <c r="D28" s="54" t="s">
        <v>144</v>
      </c>
      <c r="E28" s="54"/>
      <c r="F28" s="54"/>
      <c r="G28" s="54"/>
      <c r="H28" s="54" t="s">
        <v>632</v>
      </c>
      <c r="I28" s="55">
        <v>1</v>
      </c>
      <c r="J28" s="2"/>
      <c r="K28" s="2"/>
    </row>
    <row r="29" spans="1:11" ht="25.5" customHeight="1" x14ac:dyDescent="0.25">
      <c r="A29" s="22" t="str">
        <f t="shared" ref="A29:A34" si="5">A28</f>
        <v>КОМПЛЕКТ 3.  ЩС-П (ЩРн-24з-0 36 УХЛ3 IP54)  |  Альбом 7.4 ЭОМ (Гараж)</v>
      </c>
      <c r="B29" s="22" t="s">
        <v>145</v>
      </c>
      <c r="C29" s="22" t="s">
        <v>92</v>
      </c>
      <c r="D29" s="22" t="s">
        <v>146</v>
      </c>
      <c r="E29" s="21">
        <v>15500</v>
      </c>
      <c r="F29" s="21">
        <f>0.6*E29</f>
        <v>9300</v>
      </c>
      <c r="G29" s="23">
        <f>F29*I29</f>
        <v>9300</v>
      </c>
      <c r="H29" s="23" t="s">
        <v>94</v>
      </c>
      <c r="I29" s="23">
        <v>1</v>
      </c>
      <c r="J29" s="22" t="s">
        <v>96</v>
      </c>
      <c r="K29" s="22" t="s">
        <v>93</v>
      </c>
    </row>
    <row r="30" spans="1:11" ht="25.5" customHeight="1" x14ac:dyDescent="0.25">
      <c r="A30" s="25" t="str">
        <f t="shared" si="5"/>
        <v>КОМПЛЕКТ 3.  ЩС-П (ЩРн-24з-0 36 УХЛ3 IP54)  |  Альбом 7.4 ЭОМ (Гараж)</v>
      </c>
      <c r="B30" s="25" t="s">
        <v>147</v>
      </c>
      <c r="C30" s="25" t="s">
        <v>606</v>
      </c>
      <c r="D30" s="25" t="s">
        <v>614</v>
      </c>
      <c r="E30" s="26">
        <f>ПАРАМЕТРЫ!C20</f>
        <v>48.51</v>
      </c>
      <c r="F30" s="27">
        <f t="shared" ref="F30:F32" si="6">E30*0.3*1.33*590</f>
        <v>11419.739100000001</v>
      </c>
      <c r="G30" s="27">
        <f>I30*F30</f>
        <v>11419.739100000001</v>
      </c>
      <c r="H30" s="27" t="s">
        <v>94</v>
      </c>
      <c r="I30" s="27">
        <v>1</v>
      </c>
      <c r="J30" s="25" t="s">
        <v>150</v>
      </c>
      <c r="K30" s="25" t="s">
        <v>93</v>
      </c>
    </row>
    <row r="31" spans="1:11" ht="25.5" customHeight="1" x14ac:dyDescent="0.25">
      <c r="A31" s="29" t="str">
        <f t="shared" si="5"/>
        <v>КОМПЛЕКТ 3.  ЩС-П (ЩРн-24з-0 36 УХЛ3 IP54)  |  Альбом 7.4 ЭОМ (Гараж)</v>
      </c>
      <c r="B31" s="29" t="s">
        <v>151</v>
      </c>
      <c r="C31" s="29" t="s">
        <v>153</v>
      </c>
      <c r="D31" s="29" t="s">
        <v>152</v>
      </c>
      <c r="E31" s="30">
        <f>ПАРАМЕТРЫ!C23</f>
        <v>87.63</v>
      </c>
      <c r="F31" s="27">
        <f t="shared" si="6"/>
        <v>20628.978300000002</v>
      </c>
      <c r="G31" s="31">
        <f>I31*F31</f>
        <v>144402.8481</v>
      </c>
      <c r="H31" s="31" t="s">
        <v>94</v>
      </c>
      <c r="I31" s="31">
        <v>7</v>
      </c>
      <c r="J31" s="29" t="s">
        <v>154</v>
      </c>
      <c r="K31" s="29" t="s">
        <v>93</v>
      </c>
    </row>
    <row r="32" spans="1:11" ht="25.5" customHeight="1" x14ac:dyDescent="0.25">
      <c r="A32" s="29" t="str">
        <f t="shared" si="5"/>
        <v>КОМПЛЕКТ 3.  ЩС-П (ЩРн-24з-0 36 УХЛ3 IP54)  |  Альбом 7.4 ЭОМ (Гараж)</v>
      </c>
      <c r="B32" s="29" t="s">
        <v>156</v>
      </c>
      <c r="C32" s="29" t="s">
        <v>610</v>
      </c>
      <c r="D32" s="29" t="s">
        <v>609</v>
      </c>
      <c r="E32" s="30">
        <v>8.09</v>
      </c>
      <c r="F32" s="27">
        <f t="shared" si="6"/>
        <v>1904.4669000000001</v>
      </c>
      <c r="G32" s="31">
        <f>I32*F32</f>
        <v>1904.4669000000001</v>
      </c>
      <c r="H32" s="31" t="s">
        <v>94</v>
      </c>
      <c r="I32" s="31">
        <v>1</v>
      </c>
      <c r="J32" s="29" t="s">
        <v>157</v>
      </c>
      <c r="K32" s="29" t="s">
        <v>93</v>
      </c>
    </row>
    <row r="33" spans="1:11" ht="25.5" customHeight="1" x14ac:dyDescent="0.25">
      <c r="A33" s="37" t="str">
        <f t="shared" si="5"/>
        <v>КОМПЛЕКТ 3.  ЩС-П (ЩРн-24з-0 36 УХЛ3 IP54)  |  Альбом 7.4 ЭОМ (Гараж)</v>
      </c>
      <c r="B33" s="37" t="s">
        <v>158</v>
      </c>
      <c r="C33" s="37"/>
      <c r="D33" s="37" t="s">
        <v>124</v>
      </c>
      <c r="E33" s="36" t="s">
        <v>95</v>
      </c>
      <c r="F33" s="38" t="str">
        <f>ПАРАМЕТРЫ!C6&amp;"%"</f>
        <v>12%</v>
      </c>
      <c r="G33" s="39">
        <v>9000</v>
      </c>
      <c r="H33" s="39" t="s">
        <v>94</v>
      </c>
      <c r="I33" s="39">
        <v>1</v>
      </c>
      <c r="J33" s="37" t="s">
        <v>11</v>
      </c>
      <c r="K33" s="37" t="s">
        <v>93</v>
      </c>
    </row>
    <row r="34" spans="1:11" ht="25.5" customHeight="1" thickBot="1" x14ac:dyDescent="0.3">
      <c r="A34" s="41" t="str">
        <f t="shared" si="5"/>
        <v>КОМПЛЕКТ 3.  ЩС-П (ЩРн-24з-0 36 УХЛ3 IP54)  |  Альбом 7.4 ЭОМ (Гараж)</v>
      </c>
      <c r="B34" s="41" t="s">
        <v>159</v>
      </c>
      <c r="C34" s="41"/>
      <c r="D34" s="41" t="s">
        <v>126</v>
      </c>
      <c r="E34" s="40" t="s">
        <v>95</v>
      </c>
      <c r="F34" s="42" t="str">
        <f>ПАРАМЕТРЫ!C7&amp;"%"</f>
        <v>15%</v>
      </c>
      <c r="G34" s="43">
        <v>9000</v>
      </c>
      <c r="H34" s="43" t="s">
        <v>94</v>
      </c>
      <c r="I34" s="43">
        <v>1</v>
      </c>
      <c r="J34" s="41" t="s">
        <v>11</v>
      </c>
      <c r="K34" s="41" t="s">
        <v>93</v>
      </c>
    </row>
    <row r="35" spans="1:11" ht="25.5" customHeight="1" thickBot="1" x14ac:dyDescent="0.3">
      <c r="A35" s="53" t="str">
        <f>D35</f>
        <v>КОМПЛЕКТ 4.  ЩС-ПО (ЩРн-12з-0 36 УХЛ3 IP54)  |  Альбом 7.4 ЭОМ (Гараж)</v>
      </c>
      <c r="B35" s="54" t="s">
        <v>160</v>
      </c>
      <c r="C35" s="54"/>
      <c r="D35" s="54" t="s">
        <v>160</v>
      </c>
      <c r="E35" s="54"/>
      <c r="F35" s="54"/>
      <c r="G35" s="54"/>
      <c r="H35" s="54" t="s">
        <v>632</v>
      </c>
      <c r="I35" s="55">
        <v>1</v>
      </c>
      <c r="J35" s="2"/>
      <c r="K35" s="2"/>
    </row>
    <row r="36" spans="1:11" ht="25.5" customHeight="1" x14ac:dyDescent="0.25">
      <c r="A36" s="22" t="str">
        <f t="shared" ref="A36:A42" si="7">A35</f>
        <v>КОМПЛЕКТ 4.  ЩС-ПО (ЩРн-12з-0 36 УХЛ3 IP54)  |  Альбом 7.4 ЭОМ (Гараж)</v>
      </c>
      <c r="B36" s="22" t="s">
        <v>161</v>
      </c>
      <c r="C36" s="22" t="s">
        <v>92</v>
      </c>
      <c r="D36" s="22" t="s">
        <v>180</v>
      </c>
      <c r="E36" s="21">
        <v>10500</v>
      </c>
      <c r="F36" s="21">
        <f>0.6*E36</f>
        <v>6300</v>
      </c>
      <c r="G36" s="23">
        <f>F36*I36</f>
        <v>6300</v>
      </c>
      <c r="H36" s="23" t="s">
        <v>94</v>
      </c>
      <c r="I36" s="23">
        <v>1</v>
      </c>
      <c r="J36" s="22" t="s">
        <v>96</v>
      </c>
      <c r="K36" s="22" t="s">
        <v>93</v>
      </c>
    </row>
    <row r="37" spans="1:11" ht="25.5" customHeight="1" x14ac:dyDescent="0.25">
      <c r="A37" s="25" t="str">
        <f t="shared" si="7"/>
        <v>КОМПЛЕКТ 4.  ЩС-ПО (ЩРн-12з-0 36 УХЛ3 IP54)  |  Альбом 7.4 ЭОМ (Гараж)</v>
      </c>
      <c r="B37" s="25" t="s">
        <v>162</v>
      </c>
      <c r="C37" s="25" t="s">
        <v>552</v>
      </c>
      <c r="D37" s="25" t="s">
        <v>550</v>
      </c>
      <c r="E37" s="26">
        <f>ПАРАМЕТРЫ!C29</f>
        <v>100.1</v>
      </c>
      <c r="F37" s="27">
        <f t="shared" ref="F37:F40" si="8">E37*0.3*1.33*590</f>
        <v>23564.541000000001</v>
      </c>
      <c r="G37" s="27">
        <f>I37*F37</f>
        <v>23564.541000000001</v>
      </c>
      <c r="H37" s="27" t="s">
        <v>94</v>
      </c>
      <c r="I37" s="27">
        <v>1</v>
      </c>
      <c r="J37" s="25" t="s">
        <v>163</v>
      </c>
      <c r="K37" s="25" t="s">
        <v>93</v>
      </c>
    </row>
    <row r="38" spans="1:11" ht="25.5" customHeight="1" x14ac:dyDescent="0.25">
      <c r="A38" s="29" t="str">
        <f t="shared" si="7"/>
        <v>КОМПЛЕКТ 4.  ЩС-ПО (ЩРн-12з-0 36 УХЛ3 IP54)  |  Альбом 7.4 ЭОМ (Гараж)</v>
      </c>
      <c r="B38" s="29" t="s">
        <v>164</v>
      </c>
      <c r="C38" s="29" t="s">
        <v>551</v>
      </c>
      <c r="D38" s="29" t="s">
        <v>548</v>
      </c>
      <c r="E38" s="30">
        <f>ПАРАМЕТРЫ!C40</f>
        <v>193.8</v>
      </c>
      <c r="F38" s="27">
        <f t="shared" si="8"/>
        <v>45622.457999999999</v>
      </c>
      <c r="G38" s="31">
        <f>I38*F38</f>
        <v>45622.457999999999</v>
      </c>
      <c r="H38" s="31" t="s">
        <v>94</v>
      </c>
      <c r="I38" s="31">
        <v>1</v>
      </c>
      <c r="J38" s="29" t="s">
        <v>165</v>
      </c>
      <c r="K38" s="29" t="s">
        <v>93</v>
      </c>
    </row>
    <row r="39" spans="1:11" ht="25.5" customHeight="1" x14ac:dyDescent="0.25">
      <c r="A39" s="25" t="str">
        <f t="shared" si="7"/>
        <v>КОМПЛЕКТ 4.  ЩС-ПО (ЩРн-12з-0 36 УХЛ3 IP54)  |  Альбом 7.4 ЭОМ (Гараж)</v>
      </c>
      <c r="B39" s="25" t="s">
        <v>166</v>
      </c>
      <c r="C39" s="25" t="s">
        <v>612</v>
      </c>
      <c r="D39" s="25" t="s">
        <v>613</v>
      </c>
      <c r="E39" s="30">
        <v>36.42</v>
      </c>
      <c r="F39" s="27">
        <f t="shared" si="8"/>
        <v>8573.6322000000018</v>
      </c>
      <c r="G39" s="27">
        <f>I39*F39</f>
        <v>8573.6322000000018</v>
      </c>
      <c r="H39" s="27" t="s">
        <v>94</v>
      </c>
      <c r="I39" s="27">
        <v>1</v>
      </c>
      <c r="J39" s="25" t="s">
        <v>155</v>
      </c>
      <c r="K39" s="25" t="s">
        <v>93</v>
      </c>
    </row>
    <row r="40" spans="1:11" ht="25.5" customHeight="1" x14ac:dyDescent="0.25">
      <c r="A40" s="29" t="str">
        <f t="shared" si="7"/>
        <v>КОМПЛЕКТ 4.  ЩС-ПО (ЩРн-12з-0 36 УХЛ3 IP54)  |  Альбом 7.4 ЭОМ (Гараж)</v>
      </c>
      <c r="B40" s="29" t="s">
        <v>167</v>
      </c>
      <c r="C40" s="29" t="s">
        <v>610</v>
      </c>
      <c r="D40" s="29" t="s">
        <v>609</v>
      </c>
      <c r="E40" s="30">
        <v>8.09</v>
      </c>
      <c r="F40" s="27">
        <f t="shared" si="8"/>
        <v>1904.4669000000001</v>
      </c>
      <c r="G40" s="31">
        <f>I40*F40</f>
        <v>1904.4669000000001</v>
      </c>
      <c r="H40" s="31" t="s">
        <v>94</v>
      </c>
      <c r="I40" s="31">
        <v>1</v>
      </c>
      <c r="J40" s="29" t="s">
        <v>157</v>
      </c>
      <c r="K40" s="29" t="s">
        <v>93</v>
      </c>
    </row>
    <row r="41" spans="1:11" ht="25.5" customHeight="1" x14ac:dyDescent="0.25">
      <c r="A41" s="37" t="str">
        <f t="shared" si="7"/>
        <v>КОМПЛЕКТ 4.  ЩС-ПО (ЩРн-12з-0 36 УХЛ3 IP54)  |  Альбом 7.4 ЭОМ (Гараж)</v>
      </c>
      <c r="B41" s="37" t="s">
        <v>168</v>
      </c>
      <c r="C41" s="37"/>
      <c r="D41" s="37" t="s">
        <v>124</v>
      </c>
      <c r="E41" s="36" t="s">
        <v>95</v>
      </c>
      <c r="F41" s="38" t="str">
        <f>ПАРАМЕТРЫ!C6&amp;"%"</f>
        <v>12%</v>
      </c>
      <c r="G41" s="39">
        <v>14000</v>
      </c>
      <c r="H41" s="39" t="s">
        <v>94</v>
      </c>
      <c r="I41" s="39">
        <v>1</v>
      </c>
      <c r="J41" s="37" t="s">
        <v>11</v>
      </c>
      <c r="K41" s="37" t="s">
        <v>93</v>
      </c>
    </row>
    <row r="42" spans="1:11" ht="25.5" customHeight="1" thickBot="1" x14ac:dyDescent="0.3">
      <c r="A42" s="41" t="str">
        <f t="shared" si="7"/>
        <v>КОМПЛЕКТ 4.  ЩС-ПО (ЩРн-12з-0 36 УХЛ3 IP54)  |  Альбом 7.4 ЭОМ (Гараж)</v>
      </c>
      <c r="B42" s="41" t="s">
        <v>169</v>
      </c>
      <c r="C42" s="41"/>
      <c r="D42" s="41" t="s">
        <v>126</v>
      </c>
      <c r="E42" s="40" t="s">
        <v>95</v>
      </c>
      <c r="F42" s="42" t="str">
        <f>ПАРАМЕТРЫ!C7&amp;"%"</f>
        <v>15%</v>
      </c>
      <c r="G42" s="43">
        <v>12000</v>
      </c>
      <c r="H42" s="43" t="s">
        <v>94</v>
      </c>
      <c r="I42" s="43">
        <v>1</v>
      </c>
      <c r="J42" s="41" t="s">
        <v>11</v>
      </c>
      <c r="K42" s="41" t="s">
        <v>93</v>
      </c>
    </row>
    <row r="43" spans="1:11" ht="25.5" customHeight="1" thickBot="1" x14ac:dyDescent="0.3">
      <c r="A43" s="53" t="str">
        <f>D43</f>
        <v>КОМПЛЕКТ 5.  ЩС-Пн (ЩРн-12з-0 36 УХЛ3 IP54)  |  Альбом 7.4 ЭОМ (Гараж)</v>
      </c>
      <c r="B43" s="54" t="s">
        <v>170</v>
      </c>
      <c r="C43" s="54"/>
      <c r="D43" s="54" t="s">
        <v>170</v>
      </c>
      <c r="E43" s="54"/>
      <c r="F43" s="54"/>
      <c r="G43" s="54"/>
      <c r="H43" s="54" t="s">
        <v>632</v>
      </c>
      <c r="I43" s="55">
        <v>1</v>
      </c>
      <c r="J43" s="2"/>
      <c r="K43" s="2"/>
    </row>
    <row r="44" spans="1:11" ht="25.5" customHeight="1" x14ac:dyDescent="0.25">
      <c r="A44" s="22" t="str">
        <f t="shared" ref="A44:A48" si="9">A43</f>
        <v>КОМПЛЕКТ 5.  ЩС-Пн (ЩРн-12з-0 36 УХЛ3 IP54)  |  Альбом 7.4 ЭОМ (Гараж)</v>
      </c>
      <c r="B44" s="22" t="s">
        <v>171</v>
      </c>
      <c r="C44" s="22" t="s">
        <v>92</v>
      </c>
      <c r="D44" s="22" t="s">
        <v>146</v>
      </c>
      <c r="E44" s="21">
        <v>15500</v>
      </c>
      <c r="F44" s="21">
        <f>0.6*E44</f>
        <v>9300</v>
      </c>
      <c r="G44" s="23">
        <f>F44*I44</f>
        <v>9300</v>
      </c>
      <c r="H44" s="23" t="s">
        <v>94</v>
      </c>
      <c r="I44" s="23">
        <v>1</v>
      </c>
      <c r="J44" s="22" t="s">
        <v>96</v>
      </c>
      <c r="K44" s="22" t="s">
        <v>93</v>
      </c>
    </row>
    <row r="45" spans="1:11" ht="25.5" customHeight="1" x14ac:dyDescent="0.25">
      <c r="A45" s="25" t="str">
        <f t="shared" si="9"/>
        <v>КОМПЛЕКТ 5.  ЩС-Пн (ЩРн-12з-0 36 УХЛ3 IP54)  |  Альбом 7.4 ЭОМ (Гараж)</v>
      </c>
      <c r="B45" s="25" t="s">
        <v>172</v>
      </c>
      <c r="C45" s="25" t="s">
        <v>611</v>
      </c>
      <c r="D45" s="25" t="s">
        <v>604</v>
      </c>
      <c r="E45" s="26">
        <v>36.42</v>
      </c>
      <c r="F45" s="27">
        <f t="shared" ref="F45:F46" si="10">E45*0.3*1.33*590</f>
        <v>8573.6322000000018</v>
      </c>
      <c r="G45" s="27">
        <f>I45*F45</f>
        <v>8573.6322000000018</v>
      </c>
      <c r="H45" s="27" t="s">
        <v>94</v>
      </c>
      <c r="I45" s="27">
        <v>1</v>
      </c>
      <c r="J45" s="25" t="s">
        <v>173</v>
      </c>
      <c r="K45" s="25" t="s">
        <v>93</v>
      </c>
    </row>
    <row r="46" spans="1:11" ht="25.5" customHeight="1" x14ac:dyDescent="0.25">
      <c r="A46" s="29" t="str">
        <f t="shared" si="9"/>
        <v>КОМПЛЕКТ 5.  ЩС-Пн (ЩРн-12з-0 36 УХЛ3 IP54)  |  Альбом 7.4 ЭОМ (Гараж)</v>
      </c>
      <c r="B46" s="29" t="s">
        <v>174</v>
      </c>
      <c r="C46" s="29" t="s">
        <v>612</v>
      </c>
      <c r="D46" s="25" t="s">
        <v>613</v>
      </c>
      <c r="E46" s="30">
        <v>36.42</v>
      </c>
      <c r="F46" s="27">
        <f t="shared" si="10"/>
        <v>8573.6322000000018</v>
      </c>
      <c r="G46" s="31">
        <f>I46*F46</f>
        <v>34294.528800000007</v>
      </c>
      <c r="H46" s="31" t="s">
        <v>94</v>
      </c>
      <c r="I46" s="31">
        <v>4</v>
      </c>
      <c r="J46" s="29" t="s">
        <v>175</v>
      </c>
      <c r="K46" s="29" t="s">
        <v>93</v>
      </c>
    </row>
    <row r="47" spans="1:11" ht="25.5" customHeight="1" x14ac:dyDescent="0.25">
      <c r="A47" s="37" t="str">
        <f t="shared" si="9"/>
        <v>КОМПЛЕКТ 5.  ЩС-Пн (ЩРн-12з-0 36 УХЛ3 IP54)  |  Альбом 7.4 ЭОМ (Гараж)</v>
      </c>
      <c r="B47" s="37" t="s">
        <v>176</v>
      </c>
      <c r="C47" s="37"/>
      <c r="D47" s="37" t="s">
        <v>124</v>
      </c>
      <c r="E47" s="36" t="s">
        <v>95</v>
      </c>
      <c r="F47" s="38" t="str">
        <f>ПАРАМЕТРЫ!C6&amp;"%"</f>
        <v>12%</v>
      </c>
      <c r="G47" s="39">
        <f>(G45+G46)*ПАРАМЕТРЫ!C6/100</f>
        <v>5144.1793200000011</v>
      </c>
      <c r="H47" s="39" t="s">
        <v>94</v>
      </c>
      <c r="I47" s="39">
        <v>1</v>
      </c>
      <c r="J47" s="37" t="s">
        <v>11</v>
      </c>
      <c r="K47" s="37" t="s">
        <v>93</v>
      </c>
    </row>
    <row r="48" spans="1:11" ht="25.5" customHeight="1" thickBot="1" x14ac:dyDescent="0.3">
      <c r="A48" s="41" t="str">
        <f t="shared" si="9"/>
        <v>КОМПЛЕКТ 5.  ЩС-Пн (ЩРн-12з-0 36 УХЛ3 IP54)  |  Альбом 7.4 ЭОМ (Гараж)</v>
      </c>
      <c r="B48" s="41" t="s">
        <v>177</v>
      </c>
      <c r="C48" s="41"/>
      <c r="D48" s="41" t="s">
        <v>126</v>
      </c>
      <c r="E48" s="40" t="s">
        <v>95</v>
      </c>
      <c r="F48" s="42" t="str">
        <f>ПАРАМЕТРЫ!C7&amp;"%"</f>
        <v>15%</v>
      </c>
      <c r="G48" s="43">
        <f>(G45+G46)*ПАРАМЕТРЫ!C7/100</f>
        <v>6430.2241500000018</v>
      </c>
      <c r="H48" s="43" t="s">
        <v>94</v>
      </c>
      <c r="I48" s="43">
        <v>1</v>
      </c>
      <c r="J48" s="41" t="s">
        <v>11</v>
      </c>
      <c r="K48" s="41" t="s">
        <v>93</v>
      </c>
    </row>
    <row r="49" spans="1:11" ht="25.5" customHeight="1" thickBot="1" x14ac:dyDescent="0.3">
      <c r="A49" s="53" t="str">
        <f>D49</f>
        <v>КОМПЛЕКТ 6.  ЩС-Вр (ЩРн-18з-0 36 УХЛ3 IP54)  |  Альбом 7.4 ЭОМ (Гараж)</v>
      </c>
      <c r="B49" s="54" t="s">
        <v>178</v>
      </c>
      <c r="C49" s="54"/>
      <c r="D49" s="54" t="s">
        <v>178</v>
      </c>
      <c r="E49" s="54"/>
      <c r="F49" s="54"/>
      <c r="G49" s="54"/>
      <c r="H49" s="54" t="s">
        <v>632</v>
      </c>
      <c r="I49" s="55">
        <v>1</v>
      </c>
      <c r="J49" s="2"/>
      <c r="K49" s="2"/>
    </row>
    <row r="50" spans="1:11" ht="25.5" customHeight="1" x14ac:dyDescent="0.25">
      <c r="A50" s="22" t="str">
        <f t="shared" ref="A50:A54" si="11">A49</f>
        <v>КОМПЛЕКТ 6.  ЩС-Вр (ЩРн-18з-0 36 УХЛ3 IP54)  |  Альбом 7.4 ЭОМ (Гараж)</v>
      </c>
      <c r="B50" s="22" t="s">
        <v>179</v>
      </c>
      <c r="C50" s="22" t="s">
        <v>92</v>
      </c>
      <c r="D50" s="22" t="s">
        <v>146</v>
      </c>
      <c r="E50" s="21">
        <v>15500</v>
      </c>
      <c r="F50" s="21">
        <f>0.6*E50</f>
        <v>9300</v>
      </c>
      <c r="G50" s="23">
        <f>F50*I50</f>
        <v>9300</v>
      </c>
      <c r="H50" s="23" t="s">
        <v>94</v>
      </c>
      <c r="I50" s="23">
        <v>1</v>
      </c>
      <c r="J50" s="22" t="s">
        <v>96</v>
      </c>
      <c r="K50" s="22" t="s">
        <v>93</v>
      </c>
    </row>
    <row r="51" spans="1:11" ht="25.5" customHeight="1" x14ac:dyDescent="0.25">
      <c r="A51" s="25" t="str">
        <f t="shared" si="11"/>
        <v>КОМПЛЕКТ 6.  ЩС-Вр (ЩРн-18з-0 36 УХЛ3 IP54)  |  Альбом 7.4 ЭОМ (Гараж)</v>
      </c>
      <c r="B51" s="25" t="s">
        <v>181</v>
      </c>
      <c r="C51" s="25" t="s">
        <v>611</v>
      </c>
      <c r="D51" s="25" t="s">
        <v>604</v>
      </c>
      <c r="E51" s="26">
        <v>36.42</v>
      </c>
      <c r="F51" s="27">
        <f t="shared" ref="F51:F52" si="12">E51*0.3*1.33*590</f>
        <v>8573.6322000000018</v>
      </c>
      <c r="G51" s="27">
        <f>I51*F51</f>
        <v>8573.6322000000018</v>
      </c>
      <c r="H51" s="27" t="s">
        <v>94</v>
      </c>
      <c r="I51" s="27">
        <v>1</v>
      </c>
      <c r="J51" s="25" t="s">
        <v>182</v>
      </c>
      <c r="K51" s="25" t="s">
        <v>93</v>
      </c>
    </row>
    <row r="52" spans="1:11" ht="25.5" customHeight="1" x14ac:dyDescent="0.25">
      <c r="A52" s="29" t="str">
        <f t="shared" si="11"/>
        <v>КОМПЛЕКТ 6.  ЩС-Вр (ЩРн-18з-0 36 УХЛ3 IP54)  |  Альбом 7.4 ЭОМ (Гараж)</v>
      </c>
      <c r="B52" s="29" t="s">
        <v>183</v>
      </c>
      <c r="C52" s="29" t="s">
        <v>612</v>
      </c>
      <c r="D52" s="25" t="s">
        <v>613</v>
      </c>
      <c r="E52" s="30">
        <v>36.42</v>
      </c>
      <c r="F52" s="27">
        <f t="shared" si="12"/>
        <v>8573.6322000000018</v>
      </c>
      <c r="G52" s="31">
        <f>I52*F52</f>
        <v>42868.161000000007</v>
      </c>
      <c r="H52" s="31" t="s">
        <v>94</v>
      </c>
      <c r="I52" s="31">
        <v>5</v>
      </c>
      <c r="J52" s="29" t="s">
        <v>184</v>
      </c>
      <c r="K52" s="29" t="s">
        <v>93</v>
      </c>
    </row>
    <row r="53" spans="1:11" ht="25.5" customHeight="1" x14ac:dyDescent="0.25">
      <c r="A53" s="37" t="str">
        <f t="shared" si="11"/>
        <v>КОМПЛЕКТ 6.  ЩС-Вр (ЩРн-18з-0 36 УХЛ3 IP54)  |  Альбом 7.4 ЭОМ (Гараж)</v>
      </c>
      <c r="B53" s="37" t="s">
        <v>185</v>
      </c>
      <c r="C53" s="37"/>
      <c r="D53" s="37" t="s">
        <v>124</v>
      </c>
      <c r="E53" s="36" t="s">
        <v>95</v>
      </c>
      <c r="F53" s="38" t="str">
        <f>ПАРАМЕТРЫ!C6&amp;"%"</f>
        <v>12%</v>
      </c>
      <c r="G53" s="39">
        <f>(G51+G52)*ПАРАМЕТРЫ!C6/100</f>
        <v>6173.0151840000008</v>
      </c>
      <c r="H53" s="39" t="s">
        <v>94</v>
      </c>
      <c r="I53" s="39">
        <v>1</v>
      </c>
      <c r="J53" s="37" t="s">
        <v>11</v>
      </c>
      <c r="K53" s="37" t="s">
        <v>93</v>
      </c>
    </row>
    <row r="54" spans="1:11" ht="25.5" customHeight="1" thickBot="1" x14ac:dyDescent="0.3">
      <c r="A54" s="41" t="str">
        <f t="shared" si="11"/>
        <v>КОМПЛЕКТ 6.  ЩС-Вр (ЩРн-18з-0 36 УХЛ3 IP54)  |  Альбом 7.4 ЭОМ (Гараж)</v>
      </c>
      <c r="B54" s="41" t="s">
        <v>186</v>
      </c>
      <c r="C54" s="41"/>
      <c r="D54" s="41" t="s">
        <v>126</v>
      </c>
      <c r="E54" s="40" t="s">
        <v>95</v>
      </c>
      <c r="F54" s="42" t="str">
        <f>ПАРАМЕТРЫ!C7&amp;"%"</f>
        <v>15%</v>
      </c>
      <c r="G54" s="43">
        <f>(G51+G52)*ПАРАМЕТРЫ!C7/100</f>
        <v>7716.2689800000016</v>
      </c>
      <c r="H54" s="43" t="s">
        <v>94</v>
      </c>
      <c r="I54" s="43">
        <v>1</v>
      </c>
      <c r="J54" s="41" t="s">
        <v>11</v>
      </c>
      <c r="K54" s="41" t="s">
        <v>93</v>
      </c>
    </row>
    <row r="55" spans="1:11" ht="25.5" customHeight="1" thickBot="1" x14ac:dyDescent="0.3">
      <c r="A55" s="53" t="str">
        <f>D55</f>
        <v>КОМПЛЕКТ 7.  ЩО (ЩРн-12з-0 36 УХЛ3 IP54)  |  Альбом 7.4 ЭОМ (Гараж)</v>
      </c>
      <c r="B55" s="54" t="s">
        <v>187</v>
      </c>
      <c r="C55" s="54"/>
      <c r="D55" s="54" t="s">
        <v>187</v>
      </c>
      <c r="E55" s="54"/>
      <c r="F55" s="54"/>
      <c r="G55" s="54"/>
      <c r="H55" s="54" t="s">
        <v>632</v>
      </c>
      <c r="I55" s="55">
        <v>1</v>
      </c>
      <c r="J55" s="2"/>
      <c r="K55" s="2"/>
    </row>
    <row r="56" spans="1:11" ht="25.5" customHeight="1" x14ac:dyDescent="0.25">
      <c r="A56" s="22" t="str">
        <f t="shared" ref="A56:A60" si="13">A55</f>
        <v>КОМПЛЕКТ 7.  ЩО (ЩРн-12з-0 36 УХЛ3 IP54)  |  Альбом 7.4 ЭОМ (Гараж)</v>
      </c>
      <c r="B56" s="22" t="s">
        <v>188</v>
      </c>
      <c r="C56" s="22" t="s">
        <v>92</v>
      </c>
      <c r="D56" s="22" t="s">
        <v>129</v>
      </c>
      <c r="E56" s="21">
        <v>10500</v>
      </c>
      <c r="F56" s="21">
        <f>0.6*E56</f>
        <v>6300</v>
      </c>
      <c r="G56" s="23">
        <f>F56*I56</f>
        <v>6300</v>
      </c>
      <c r="H56" s="23" t="s">
        <v>94</v>
      </c>
      <c r="I56" s="23">
        <v>1</v>
      </c>
      <c r="J56" s="22" t="s">
        <v>96</v>
      </c>
      <c r="K56" s="22" t="s">
        <v>93</v>
      </c>
    </row>
    <row r="57" spans="1:11" ht="25.5" customHeight="1" x14ac:dyDescent="0.25">
      <c r="A57" s="25" t="str">
        <f t="shared" si="13"/>
        <v>КОМПЛЕКТ 7.  ЩО (ЩРн-12з-0 36 УХЛ3 IP54)  |  Альбом 7.4 ЭОМ (Гараж)</v>
      </c>
      <c r="B57" s="25" t="s">
        <v>181</v>
      </c>
      <c r="C57" s="25" t="s">
        <v>611</v>
      </c>
      <c r="D57" s="25" t="s">
        <v>604</v>
      </c>
      <c r="E57" s="26">
        <v>36.42</v>
      </c>
      <c r="F57" s="27">
        <f t="shared" ref="F57:F58" si="14">E57*0.3*1.33*590</f>
        <v>8573.6322000000018</v>
      </c>
      <c r="G57" s="27">
        <f>I57*F57</f>
        <v>8573.6322000000018</v>
      </c>
      <c r="H57" s="27" t="s">
        <v>94</v>
      </c>
      <c r="I57" s="27">
        <v>1</v>
      </c>
      <c r="J57" s="25" t="s">
        <v>182</v>
      </c>
      <c r="K57" s="25" t="s">
        <v>93</v>
      </c>
    </row>
    <row r="58" spans="1:11" ht="25.5" customHeight="1" x14ac:dyDescent="0.25">
      <c r="A58" s="29" t="str">
        <f t="shared" si="13"/>
        <v>КОМПЛЕКТ 7.  ЩО (ЩРн-12з-0 36 УХЛ3 IP54)  |  Альбом 7.4 ЭОМ (Гараж)</v>
      </c>
      <c r="B58" s="29" t="s">
        <v>189</v>
      </c>
      <c r="C58" s="29" t="s">
        <v>610</v>
      </c>
      <c r="D58" s="29" t="s">
        <v>609</v>
      </c>
      <c r="E58" s="30">
        <v>8.09</v>
      </c>
      <c r="F58" s="27">
        <f t="shared" si="14"/>
        <v>1904.4669000000001</v>
      </c>
      <c r="G58" s="31">
        <f>I58*F58</f>
        <v>9522.3345000000008</v>
      </c>
      <c r="H58" s="31" t="s">
        <v>94</v>
      </c>
      <c r="I58" s="31">
        <v>5</v>
      </c>
      <c r="J58" s="29" t="s">
        <v>190</v>
      </c>
      <c r="K58" s="29" t="s">
        <v>93</v>
      </c>
    </row>
    <row r="59" spans="1:11" ht="25.5" customHeight="1" x14ac:dyDescent="0.25">
      <c r="A59" s="29" t="str">
        <f t="shared" si="13"/>
        <v>КОМПЛЕКТ 7.  ЩО (ЩРн-12з-0 36 УХЛ3 IP54)  |  Альбом 7.4 ЭОМ (Гараж)</v>
      </c>
      <c r="B59" s="37" t="s">
        <v>195</v>
      </c>
      <c r="C59" s="37"/>
      <c r="D59" s="37" t="s">
        <v>124</v>
      </c>
      <c r="E59" s="36" t="s">
        <v>95</v>
      </c>
      <c r="F59" s="38" t="str">
        <f>ПАРАМЕТРЫ!C6&amp;"%"</f>
        <v>12%</v>
      </c>
      <c r="G59" s="39">
        <v>5144.1793200000011</v>
      </c>
      <c r="H59" s="39" t="s">
        <v>94</v>
      </c>
      <c r="I59" s="39">
        <v>1</v>
      </c>
      <c r="J59" s="37" t="s">
        <v>11</v>
      </c>
      <c r="K59" s="37" t="s">
        <v>93</v>
      </c>
    </row>
    <row r="60" spans="1:11" ht="25.5" customHeight="1" thickBot="1" x14ac:dyDescent="0.3">
      <c r="A60" s="29" t="str">
        <f t="shared" si="13"/>
        <v>КОМПЛЕКТ 7.  ЩО (ЩРн-12з-0 36 УХЛ3 IP54)  |  Альбом 7.4 ЭОМ (Гараж)</v>
      </c>
      <c r="B60" s="41" t="s">
        <v>196</v>
      </c>
      <c r="C60" s="41"/>
      <c r="D60" s="41" t="s">
        <v>126</v>
      </c>
      <c r="E60" s="40" t="s">
        <v>95</v>
      </c>
      <c r="F60" s="42" t="str">
        <f>ПАРАМЕТРЫ!C7&amp;"%"</f>
        <v>15%</v>
      </c>
      <c r="G60" s="43">
        <v>6430.2241500000018</v>
      </c>
      <c r="H60" s="43" t="s">
        <v>94</v>
      </c>
      <c r="I60" s="43">
        <v>1</v>
      </c>
      <c r="J60" s="41" t="s">
        <v>11</v>
      </c>
      <c r="K60" s="41" t="s">
        <v>93</v>
      </c>
    </row>
    <row r="61" spans="1:11" ht="25.5" customHeight="1" thickBot="1" x14ac:dyDescent="0.3">
      <c r="A61" s="53" t="str">
        <f>D61</f>
        <v>ЯТП-0,25 230/36В IEK (MTT12-036-0250)</v>
      </c>
      <c r="B61" s="54" t="s">
        <v>191</v>
      </c>
      <c r="C61" s="54" t="s">
        <v>193</v>
      </c>
      <c r="D61" s="54" t="s">
        <v>192</v>
      </c>
      <c r="E61" s="54">
        <f>ПАРАМЕТРЫ!C41</f>
        <v>242.2</v>
      </c>
      <c r="F61" s="54">
        <f>ПАРАМЕТРЫ!D41</f>
        <v>57016.301999999996</v>
      </c>
      <c r="G61" s="54">
        <f>I61*F61</f>
        <v>114032.60399999999</v>
      </c>
      <c r="H61" s="54" t="s">
        <v>632</v>
      </c>
      <c r="I61" s="55">
        <v>2</v>
      </c>
      <c r="J61" s="2"/>
      <c r="K61" s="2"/>
    </row>
    <row r="62" spans="1:11" ht="25.5" customHeight="1" thickBot="1" x14ac:dyDescent="0.3">
      <c r="A62" s="53" t="str">
        <f>D62</f>
        <v>КОМПЛЕКТ 8.  ЩО-1.1 (ЩРн-36з-0 36 УХЛ3 IP54)  |  Альбом 7.1 ЭО (Концертный зал)</v>
      </c>
      <c r="B62" s="54" t="s">
        <v>198</v>
      </c>
      <c r="C62" s="54"/>
      <c r="D62" s="54" t="s">
        <v>198</v>
      </c>
      <c r="E62" s="54"/>
      <c r="F62" s="54"/>
      <c r="G62" s="54"/>
      <c r="H62" s="54" t="s">
        <v>632</v>
      </c>
      <c r="I62" s="55">
        <v>1</v>
      </c>
      <c r="J62" s="2"/>
      <c r="K62" s="2"/>
    </row>
    <row r="63" spans="1:11" ht="25.5" customHeight="1" x14ac:dyDescent="0.25">
      <c r="A63" s="22" t="str">
        <f t="shared" ref="A63:A70" si="15">A62</f>
        <v>КОМПЛЕКТ 8.  ЩО-1.1 (ЩРн-36з-0 36 УХЛ3 IP54)  |  Альбом 7.1 ЭО (Концертный зал)</v>
      </c>
      <c r="B63" s="22" t="s">
        <v>199</v>
      </c>
      <c r="C63" s="22" t="s">
        <v>92</v>
      </c>
      <c r="D63" s="22" t="s">
        <v>635</v>
      </c>
      <c r="E63" s="21">
        <v>28500</v>
      </c>
      <c r="F63" s="21">
        <f>0.6*E63</f>
        <v>17100</v>
      </c>
      <c r="G63" s="23">
        <f>F63*I63</f>
        <v>17100</v>
      </c>
      <c r="H63" s="23" t="s">
        <v>94</v>
      </c>
      <c r="I63" s="23">
        <v>1</v>
      </c>
      <c r="J63" s="22" t="s">
        <v>96</v>
      </c>
      <c r="K63" s="22" t="s">
        <v>201</v>
      </c>
    </row>
    <row r="64" spans="1:11" ht="25.5" customHeight="1" x14ac:dyDescent="0.25">
      <c r="A64" s="25" t="str">
        <f t="shared" si="15"/>
        <v>КОМПЛЕКТ 8.  ЩО-1.1 (ЩРн-36з-0 36 УХЛ3 IP54)  |  Альбом 7.1 ЭО (Концертный зал)</v>
      </c>
      <c r="B64" s="25" t="s">
        <v>181</v>
      </c>
      <c r="C64" s="25" t="s">
        <v>611</v>
      </c>
      <c r="D64" s="25" t="s">
        <v>604</v>
      </c>
      <c r="E64" s="26">
        <v>36.42</v>
      </c>
      <c r="F64" s="27">
        <f t="shared" ref="F64:F67" si="16">E64*0.3*1.33*590</f>
        <v>8573.6322000000018</v>
      </c>
      <c r="G64" s="27">
        <f>I64*F64</f>
        <v>8573.6322000000018</v>
      </c>
      <c r="H64" s="27" t="s">
        <v>94</v>
      </c>
      <c r="I64" s="27">
        <v>1</v>
      </c>
      <c r="J64" s="25" t="s">
        <v>182</v>
      </c>
      <c r="K64" s="41" t="s">
        <v>201</v>
      </c>
    </row>
    <row r="65" spans="1:11" ht="25.5" customHeight="1" x14ac:dyDescent="0.25">
      <c r="A65" s="29" t="str">
        <f t="shared" si="15"/>
        <v>КОМПЛЕКТ 8.  ЩО-1.1 (ЩРн-36з-0 36 УХЛ3 IP54)  |  Альбом 7.1 ЭО (Концертный зал)</v>
      </c>
      <c r="B65" s="29" t="s">
        <v>202</v>
      </c>
      <c r="C65" s="29" t="s">
        <v>610</v>
      </c>
      <c r="D65" s="29" t="s">
        <v>609</v>
      </c>
      <c r="E65" s="30">
        <v>8.09</v>
      </c>
      <c r="F65" s="27">
        <f t="shared" si="16"/>
        <v>1904.4669000000001</v>
      </c>
      <c r="G65" s="31">
        <f>I65*F65</f>
        <v>47611.672500000001</v>
      </c>
      <c r="H65" s="31" t="s">
        <v>94</v>
      </c>
      <c r="I65" s="31">
        <v>25</v>
      </c>
      <c r="J65" s="29"/>
      <c r="K65" s="41" t="s">
        <v>201</v>
      </c>
    </row>
    <row r="66" spans="1:11" ht="25.5" customHeight="1" x14ac:dyDescent="0.25">
      <c r="A66" s="25" t="str">
        <f t="shared" si="15"/>
        <v>КОМПЛЕКТ 8.  ЩО-1.1 (ЩРн-36з-0 36 УХЛ3 IP54)  |  Альбом 7.1 ЭО (Концертный зал)</v>
      </c>
      <c r="B66" s="25" t="s">
        <v>203</v>
      </c>
      <c r="C66" s="25" t="s">
        <v>153</v>
      </c>
      <c r="D66" s="25" t="s">
        <v>152</v>
      </c>
      <c r="E66" s="26">
        <f>ПАРАМЕТРЫ!C23</f>
        <v>87.63</v>
      </c>
      <c r="F66" s="27">
        <f t="shared" si="16"/>
        <v>20628.978300000002</v>
      </c>
      <c r="G66" s="27">
        <f>I66*F66</f>
        <v>0</v>
      </c>
      <c r="H66" s="27" t="s">
        <v>94</v>
      </c>
      <c r="I66" s="27">
        <v>0</v>
      </c>
      <c r="J66" s="25"/>
      <c r="K66" s="41" t="s">
        <v>201</v>
      </c>
    </row>
    <row r="67" spans="1:11" ht="25.5" customHeight="1" x14ac:dyDescent="0.25">
      <c r="A67" s="29" t="str">
        <f t="shared" si="15"/>
        <v>КОМПЛЕКТ 8.  ЩО-1.1 (ЩРн-36з-0 36 УХЛ3 IP54)  |  Альбом 7.1 ЭО (Концертный зал)</v>
      </c>
      <c r="B67" s="29" t="s">
        <v>204</v>
      </c>
      <c r="C67" s="29" t="s">
        <v>136</v>
      </c>
      <c r="D67" s="29" t="s">
        <v>135</v>
      </c>
      <c r="E67" s="30">
        <f>ПАРАМЕТРЫ!C33</f>
        <v>41.58</v>
      </c>
      <c r="F67" s="27">
        <f t="shared" si="16"/>
        <v>9788.3477999999996</v>
      </c>
      <c r="G67" s="31">
        <f>I67*F67</f>
        <v>68518.434599999993</v>
      </c>
      <c r="H67" s="31" t="s">
        <v>94</v>
      </c>
      <c r="I67" s="31">
        <v>7</v>
      </c>
      <c r="J67" s="29"/>
      <c r="K67" s="41" t="s">
        <v>201</v>
      </c>
    </row>
    <row r="68" spans="1:11" ht="25.5" customHeight="1" x14ac:dyDescent="0.25">
      <c r="A68" s="25" t="str">
        <f t="shared" si="15"/>
        <v>КОМПЛЕКТ 8.  ЩО-1.1 (ЩРн-36з-0 36 УХЛ3 IP54)  |  Альбом 7.1 ЭО (Концертный зал)</v>
      </c>
      <c r="B68" s="25" t="s">
        <v>205</v>
      </c>
      <c r="C68" s="25" t="s">
        <v>95</v>
      </c>
      <c r="D68" s="25" t="s">
        <v>206</v>
      </c>
      <c r="E68" s="26">
        <f>ПАРАМЕТРЫ!C37</f>
        <v>1.5</v>
      </c>
      <c r="F68" s="27">
        <f>ПАРАМЕТРЫ!D37</f>
        <v>353.11499999999995</v>
      </c>
      <c r="G68" s="27">
        <f>I68*F68</f>
        <v>2471.8049999999998</v>
      </c>
      <c r="H68" s="27" t="s">
        <v>94</v>
      </c>
      <c r="I68" s="27">
        <v>7</v>
      </c>
      <c r="J68" s="25" t="s">
        <v>207</v>
      </c>
      <c r="K68" s="41" t="s">
        <v>201</v>
      </c>
    </row>
    <row r="69" spans="1:11" ht="25.5" customHeight="1" x14ac:dyDescent="0.25">
      <c r="A69" s="37" t="str">
        <f t="shared" si="15"/>
        <v>КОМПЛЕКТ 8.  ЩО-1.1 (ЩРн-36з-0 36 УХЛ3 IP54)  |  Альбом 7.1 ЭО (Концертный зал)</v>
      </c>
      <c r="B69" s="37" t="s">
        <v>208</v>
      </c>
      <c r="C69" s="37"/>
      <c r="D69" s="37" t="s">
        <v>124</v>
      </c>
      <c r="E69" s="36" t="s">
        <v>95</v>
      </c>
      <c r="F69" s="38" t="str">
        <f>ПАРАМЕТРЫ!C6&amp;"%"</f>
        <v>12%</v>
      </c>
      <c r="G69" s="39">
        <f>(G64+G65+G66+G67+G68)*ПАРАМЕТРЫ!C6/100+3000</f>
        <v>18261.065316</v>
      </c>
      <c r="H69" s="39" t="s">
        <v>94</v>
      </c>
      <c r="I69" s="39">
        <v>1</v>
      </c>
      <c r="J69" s="37" t="s">
        <v>11</v>
      </c>
      <c r="K69" s="41" t="s">
        <v>201</v>
      </c>
    </row>
    <row r="70" spans="1:11" ht="25.5" customHeight="1" thickBot="1" x14ac:dyDescent="0.3">
      <c r="A70" s="41" t="str">
        <f t="shared" si="15"/>
        <v>КОМПЛЕКТ 8.  ЩО-1.1 (ЩРн-36з-0 36 УХЛ3 IP54)  |  Альбом 7.1 ЭО (Концертный зал)</v>
      </c>
      <c r="B70" s="41" t="s">
        <v>209</v>
      </c>
      <c r="C70" s="41"/>
      <c r="D70" s="41" t="s">
        <v>126</v>
      </c>
      <c r="E70" s="40" t="s">
        <v>95</v>
      </c>
      <c r="F70" s="42" t="str">
        <f>ПАРАМЕТРЫ!C7&amp;"%"</f>
        <v>15%</v>
      </c>
      <c r="G70" s="43">
        <f>(G64+G65+G66+G67+G68)*ПАРАМЕТРЫ!C7/100+3000</f>
        <v>22076.331644999998</v>
      </c>
      <c r="H70" s="43" t="s">
        <v>94</v>
      </c>
      <c r="I70" s="43">
        <v>1</v>
      </c>
      <c r="J70" s="41" t="s">
        <v>11</v>
      </c>
      <c r="K70" s="41" t="s">
        <v>201</v>
      </c>
    </row>
    <row r="71" spans="1:11" ht="25.5" customHeight="1" thickBot="1" x14ac:dyDescent="0.3">
      <c r="A71" s="53" t="str">
        <f>D71</f>
        <v>КОМПЛЕКТ 9.  ЩО-1.2 (ЩРн-12з-0 36 УХЛ3 IP54)  |  Альбом 7.1 ЭО (Концертный зал)</v>
      </c>
      <c r="B71" s="54" t="s">
        <v>210</v>
      </c>
      <c r="C71" s="54"/>
      <c r="D71" s="54" t="s">
        <v>210</v>
      </c>
      <c r="E71" s="54"/>
      <c r="F71" s="54"/>
      <c r="G71" s="54"/>
      <c r="H71" s="54" t="s">
        <v>632</v>
      </c>
      <c r="I71" s="55">
        <v>1</v>
      </c>
      <c r="J71" s="2"/>
      <c r="K71" s="2"/>
    </row>
    <row r="72" spans="1:11" ht="25.5" customHeight="1" x14ac:dyDescent="0.25">
      <c r="A72" s="22" t="str">
        <f t="shared" ref="A72:A79" si="17">A71</f>
        <v>КОМПЛЕКТ 9.  ЩО-1.2 (ЩРн-12з-0 36 УХЛ3 IP54)  |  Альбом 7.1 ЭО (Концертный зал)</v>
      </c>
      <c r="B72" s="22" t="s">
        <v>211</v>
      </c>
      <c r="C72" s="22" t="s">
        <v>92</v>
      </c>
      <c r="D72" s="22" t="s">
        <v>129</v>
      </c>
      <c r="E72" s="21">
        <v>10500</v>
      </c>
      <c r="F72" s="21">
        <f>0.6*E72</f>
        <v>6300</v>
      </c>
      <c r="G72" s="23">
        <f>F72*I72</f>
        <v>6300</v>
      </c>
      <c r="H72" s="23" t="s">
        <v>94</v>
      </c>
      <c r="I72" s="23">
        <v>1</v>
      </c>
      <c r="J72" s="22" t="s">
        <v>96</v>
      </c>
      <c r="K72" s="22" t="s">
        <v>201</v>
      </c>
    </row>
    <row r="73" spans="1:11" ht="25.5" customHeight="1" x14ac:dyDescent="0.25">
      <c r="A73" s="25" t="str">
        <f t="shared" si="17"/>
        <v>КОМПЛЕКТ 9.  ЩО-1.2 (ЩРн-12з-0 36 УХЛ3 IP54)  |  Альбом 7.1 ЭО (Концертный зал)</v>
      </c>
      <c r="B73" s="25" t="s">
        <v>181</v>
      </c>
      <c r="C73" s="25" t="s">
        <v>611</v>
      </c>
      <c r="D73" s="25" t="s">
        <v>604</v>
      </c>
      <c r="E73" s="26">
        <v>36.42</v>
      </c>
      <c r="F73" s="27">
        <f t="shared" ref="F73:F76" si="18">E73*0.3*1.33*590</f>
        <v>8573.6322000000018</v>
      </c>
      <c r="G73" s="27">
        <f>I73*F73</f>
        <v>8573.6322000000018</v>
      </c>
      <c r="H73" s="27" t="s">
        <v>94</v>
      </c>
      <c r="I73" s="27">
        <v>1</v>
      </c>
      <c r="J73" s="25" t="s">
        <v>182</v>
      </c>
      <c r="K73" s="41" t="s">
        <v>201</v>
      </c>
    </row>
    <row r="74" spans="1:11" ht="25.5" customHeight="1" x14ac:dyDescent="0.25">
      <c r="A74" s="29" t="str">
        <f t="shared" si="17"/>
        <v>КОМПЛЕКТ 9.  ЩО-1.2 (ЩРн-12з-0 36 УХЛ3 IP54)  |  Альбом 7.1 ЭО (Концертный зал)</v>
      </c>
      <c r="B74" s="29" t="s">
        <v>212</v>
      </c>
      <c r="C74" s="29" t="s">
        <v>610</v>
      </c>
      <c r="D74" s="29" t="s">
        <v>609</v>
      </c>
      <c r="E74" s="30">
        <v>8.09</v>
      </c>
      <c r="F74" s="27">
        <f t="shared" si="18"/>
        <v>1904.4669000000001</v>
      </c>
      <c r="G74" s="31">
        <f>I74*F74</f>
        <v>15235.735200000001</v>
      </c>
      <c r="H74" s="31" t="s">
        <v>94</v>
      </c>
      <c r="I74" s="31">
        <v>8</v>
      </c>
      <c r="J74" s="29"/>
      <c r="K74" s="41" t="s">
        <v>201</v>
      </c>
    </row>
    <row r="75" spans="1:11" ht="25.5" customHeight="1" x14ac:dyDescent="0.25">
      <c r="A75" s="25" t="str">
        <f t="shared" si="17"/>
        <v>КОМПЛЕКТ 9.  ЩО-1.2 (ЩРн-12з-0 36 УХЛ3 IP54)  |  Альбом 7.1 ЭО (Концертный зал)</v>
      </c>
      <c r="B75" s="25" t="s">
        <v>213</v>
      </c>
      <c r="C75" s="25" t="s">
        <v>153</v>
      </c>
      <c r="D75" s="25" t="s">
        <v>152</v>
      </c>
      <c r="E75" s="26">
        <f>ПАРАМЕТРЫ!C23</f>
        <v>87.63</v>
      </c>
      <c r="F75" s="27">
        <f t="shared" si="18"/>
        <v>20628.978300000002</v>
      </c>
      <c r="G75" s="27">
        <f>I75*F75</f>
        <v>0</v>
      </c>
      <c r="H75" s="27" t="s">
        <v>94</v>
      </c>
      <c r="I75" s="27">
        <v>0</v>
      </c>
      <c r="J75" s="25"/>
      <c r="K75" s="41" t="s">
        <v>201</v>
      </c>
    </row>
    <row r="76" spans="1:11" ht="25.5" customHeight="1" x14ac:dyDescent="0.25">
      <c r="A76" s="29" t="str">
        <f t="shared" si="17"/>
        <v>КОМПЛЕКТ 9.  ЩО-1.2 (ЩРн-12з-0 36 УХЛ3 IP54)  |  Альбом 7.1 ЭО (Концертный зал)</v>
      </c>
      <c r="B76" s="29" t="s">
        <v>214</v>
      </c>
      <c r="C76" s="29" t="s">
        <v>136</v>
      </c>
      <c r="D76" s="29" t="s">
        <v>135</v>
      </c>
      <c r="E76" s="30">
        <f>ПАРАМЕТРЫ!C33</f>
        <v>41.58</v>
      </c>
      <c r="F76" s="27">
        <f t="shared" si="18"/>
        <v>9788.3477999999996</v>
      </c>
      <c r="G76" s="31">
        <f>I76*F76</f>
        <v>39153.391199999998</v>
      </c>
      <c r="H76" s="31" t="s">
        <v>94</v>
      </c>
      <c r="I76" s="31">
        <v>4</v>
      </c>
      <c r="J76" s="29"/>
      <c r="K76" s="41" t="s">
        <v>201</v>
      </c>
    </row>
    <row r="77" spans="1:11" ht="25.5" customHeight="1" x14ac:dyDescent="0.25">
      <c r="A77" s="25" t="str">
        <f t="shared" si="17"/>
        <v>КОМПЛЕКТ 9.  ЩО-1.2 (ЩРн-12з-0 36 УХЛ3 IP54)  |  Альбом 7.1 ЭО (Концертный зал)</v>
      </c>
      <c r="B77" s="25" t="s">
        <v>215</v>
      </c>
      <c r="C77" s="25" t="s">
        <v>95</v>
      </c>
      <c r="D77" s="25" t="s">
        <v>206</v>
      </c>
      <c r="E77" s="26">
        <f>ПАРАМЕТРЫ!C37</f>
        <v>1.5</v>
      </c>
      <c r="F77" s="27">
        <f>ПАРАМЕТРЫ!D37</f>
        <v>353.11499999999995</v>
      </c>
      <c r="G77" s="27">
        <f>I77*F77</f>
        <v>1412.4599999999998</v>
      </c>
      <c r="H77" s="27" t="s">
        <v>94</v>
      </c>
      <c r="I77" s="27">
        <v>4</v>
      </c>
      <c r="J77" s="25"/>
      <c r="K77" s="41" t="s">
        <v>201</v>
      </c>
    </row>
    <row r="78" spans="1:11" ht="25.5" customHeight="1" x14ac:dyDescent="0.25">
      <c r="A78" s="37" t="str">
        <f t="shared" si="17"/>
        <v>КОМПЛЕКТ 9.  ЩО-1.2 (ЩРн-12з-0 36 УХЛ3 IP54)  |  Альбом 7.1 ЭО (Концертный зал)</v>
      </c>
      <c r="B78" s="37" t="s">
        <v>216</v>
      </c>
      <c r="C78" s="37"/>
      <c r="D78" s="37" t="s">
        <v>124</v>
      </c>
      <c r="E78" s="36" t="s">
        <v>95</v>
      </c>
      <c r="F78" s="38" t="str">
        <f>ПАРАМЕТРЫ!C6&amp;"%"</f>
        <v>12%</v>
      </c>
      <c r="G78" s="39">
        <f>(G73+G74+G75+G76+G77)*ПАРАМЕТРЫ!C6/100+2500</f>
        <v>10225.026232</v>
      </c>
      <c r="H78" s="39" t="s">
        <v>94</v>
      </c>
      <c r="I78" s="39">
        <v>1</v>
      </c>
      <c r="J78" s="37" t="s">
        <v>11</v>
      </c>
      <c r="K78" s="41" t="s">
        <v>201</v>
      </c>
    </row>
    <row r="79" spans="1:11" ht="25.5" customHeight="1" thickBot="1" x14ac:dyDescent="0.3">
      <c r="A79" s="41" t="str">
        <f t="shared" si="17"/>
        <v>КОМПЛЕКТ 9.  ЩО-1.2 (ЩРн-12з-0 36 УХЛ3 IP54)  |  Альбом 7.1 ЭО (Концертный зал)</v>
      </c>
      <c r="B79" s="41" t="s">
        <v>217</v>
      </c>
      <c r="C79" s="41"/>
      <c r="D79" s="41" t="s">
        <v>126</v>
      </c>
      <c r="E79" s="40" t="s">
        <v>95</v>
      </c>
      <c r="F79" s="42" t="str">
        <f>ПАРАМЕТРЫ!C7&amp;"%"</f>
        <v>15%</v>
      </c>
      <c r="G79" s="43">
        <f>(G73+G74+G75+G76+G77)*ПАРАМЕТРЫ!C7/100+1500</f>
        <v>11156.282789999999</v>
      </c>
      <c r="H79" s="43" t="s">
        <v>94</v>
      </c>
      <c r="I79" s="43">
        <v>1</v>
      </c>
      <c r="J79" s="41" t="s">
        <v>11</v>
      </c>
      <c r="K79" s="41" t="s">
        <v>201</v>
      </c>
    </row>
    <row r="80" spans="1:11" ht="25.5" customHeight="1" thickBot="1" x14ac:dyDescent="0.3">
      <c r="A80" s="53" t="str">
        <f>D80</f>
        <v>КОМПЛЕКТ 10.  ЩО-1.3 (ЩРн-36з-0 36 УХЛ3 IP54)  |  Альбом 7.1 ЭО (Концертный зал)</v>
      </c>
      <c r="B80" s="53"/>
      <c r="C80" s="54"/>
      <c r="D80" s="53" t="s">
        <v>218</v>
      </c>
      <c r="E80" s="54"/>
      <c r="F80" s="54"/>
      <c r="G80" s="54"/>
      <c r="H80" s="54" t="s">
        <v>632</v>
      </c>
      <c r="I80" s="55">
        <v>1</v>
      </c>
      <c r="J80" s="2"/>
      <c r="K80" s="2"/>
    </row>
    <row r="81" spans="1:11" ht="25.5" customHeight="1" x14ac:dyDescent="0.25">
      <c r="A81" s="22" t="str">
        <f t="shared" ref="A81:A88" si="19">A80</f>
        <v>КОМПЛЕКТ 10.  ЩО-1.3 (ЩРн-36з-0 36 УХЛ3 IP54)  |  Альбом 7.1 ЭО (Концертный зал)</v>
      </c>
      <c r="B81" s="22" t="s">
        <v>219</v>
      </c>
      <c r="C81" s="22" t="s">
        <v>92</v>
      </c>
      <c r="D81" s="22" t="s">
        <v>635</v>
      </c>
      <c r="E81" s="21">
        <v>28500</v>
      </c>
      <c r="F81" s="21">
        <f>0.6*E81</f>
        <v>17100</v>
      </c>
      <c r="G81" s="23">
        <f>F81*I81</f>
        <v>17100</v>
      </c>
      <c r="H81" s="23" t="s">
        <v>94</v>
      </c>
      <c r="I81" s="23">
        <v>1</v>
      </c>
      <c r="J81" s="22" t="s">
        <v>96</v>
      </c>
      <c r="K81" s="22" t="s">
        <v>201</v>
      </c>
    </row>
    <row r="82" spans="1:11" ht="25.5" customHeight="1" x14ac:dyDescent="0.25">
      <c r="A82" s="25" t="str">
        <f t="shared" si="19"/>
        <v>КОМПЛЕКТ 10.  ЩО-1.3 (ЩРн-36з-0 36 УХЛ3 IP54)  |  Альбом 7.1 ЭО (Концертный зал)</v>
      </c>
      <c r="B82" s="25" t="s">
        <v>147</v>
      </c>
      <c r="C82" s="25" t="s">
        <v>606</v>
      </c>
      <c r="D82" s="25" t="s">
        <v>614</v>
      </c>
      <c r="E82" s="26">
        <f>ПАРАМЕТРЫ!C20</f>
        <v>48.51</v>
      </c>
      <c r="F82" s="27">
        <f t="shared" ref="F82:F85" si="20">E82*0.3*1.33*590</f>
        <v>11419.739100000001</v>
      </c>
      <c r="G82" s="27">
        <f>I82*F82</f>
        <v>11419.739100000001</v>
      </c>
      <c r="H82" s="27" t="s">
        <v>94</v>
      </c>
      <c r="I82" s="27">
        <v>1</v>
      </c>
      <c r="J82" s="25" t="s">
        <v>150</v>
      </c>
      <c r="K82" s="25" t="s">
        <v>93</v>
      </c>
    </row>
    <row r="83" spans="1:11" ht="25.5" customHeight="1" x14ac:dyDescent="0.25">
      <c r="A83" s="29" t="str">
        <f t="shared" si="19"/>
        <v>КОМПЛЕКТ 10.  ЩО-1.3 (ЩРн-36з-0 36 УХЛ3 IP54)  |  Альбом 7.1 ЭО (Концертный зал)</v>
      </c>
      <c r="B83" s="29" t="s">
        <v>220</v>
      </c>
      <c r="C83" s="29" t="s">
        <v>610</v>
      </c>
      <c r="D83" s="29" t="s">
        <v>609</v>
      </c>
      <c r="E83" s="30">
        <v>8.09</v>
      </c>
      <c r="F83" s="27">
        <f t="shared" si="20"/>
        <v>1904.4669000000001</v>
      </c>
      <c r="G83" s="31">
        <f>I83*F83</f>
        <v>51420.606300000007</v>
      </c>
      <c r="H83" s="31" t="s">
        <v>94</v>
      </c>
      <c r="I83" s="31">
        <v>27</v>
      </c>
      <c r="J83" s="29"/>
      <c r="K83" s="29" t="s">
        <v>201</v>
      </c>
    </row>
    <row r="84" spans="1:11" ht="25.5" customHeight="1" x14ac:dyDescent="0.25">
      <c r="A84" s="25" t="str">
        <f t="shared" si="19"/>
        <v>КОМПЛЕКТ 10.  ЩО-1.3 (ЩРн-36з-0 36 УХЛ3 IP54)  |  Альбом 7.1 ЭО (Концертный зал)</v>
      </c>
      <c r="B84" s="25" t="s">
        <v>221</v>
      </c>
      <c r="C84" s="25" t="s">
        <v>153</v>
      </c>
      <c r="D84" s="25" t="s">
        <v>152</v>
      </c>
      <c r="E84" s="26">
        <f>ПАРАМЕТРЫ!C23</f>
        <v>87.63</v>
      </c>
      <c r="F84" s="27">
        <f t="shared" si="20"/>
        <v>20628.978300000002</v>
      </c>
      <c r="G84" s="27">
        <f>I84*F84</f>
        <v>0</v>
      </c>
      <c r="H84" s="27" t="s">
        <v>94</v>
      </c>
      <c r="I84" s="27">
        <v>0</v>
      </c>
      <c r="J84" s="25"/>
      <c r="K84" s="25" t="s">
        <v>201</v>
      </c>
    </row>
    <row r="85" spans="1:11" ht="25.5" customHeight="1" x14ac:dyDescent="0.25">
      <c r="A85" s="29" t="str">
        <f t="shared" si="19"/>
        <v>КОМПЛЕКТ 10.  ЩО-1.3 (ЩРн-36з-0 36 УХЛ3 IP54)  |  Альбом 7.1 ЭО (Концертный зал)</v>
      </c>
      <c r="B85" s="29" t="s">
        <v>222</v>
      </c>
      <c r="C85" s="29" t="s">
        <v>136</v>
      </c>
      <c r="D85" s="29" t="s">
        <v>135</v>
      </c>
      <c r="E85" s="30">
        <f>ПАРАМЕТРЫ!C33</f>
        <v>41.58</v>
      </c>
      <c r="F85" s="27">
        <f t="shared" si="20"/>
        <v>9788.3477999999996</v>
      </c>
      <c r="G85" s="31">
        <f>I85*F85</f>
        <v>48941.739000000001</v>
      </c>
      <c r="H85" s="31" t="s">
        <v>94</v>
      </c>
      <c r="I85" s="31">
        <v>5</v>
      </c>
      <c r="J85" s="29"/>
      <c r="K85" s="29" t="s">
        <v>201</v>
      </c>
    </row>
    <row r="86" spans="1:11" ht="25.5" customHeight="1" x14ac:dyDescent="0.25">
      <c r="A86" s="25" t="str">
        <f t="shared" si="19"/>
        <v>КОМПЛЕКТ 10.  ЩО-1.3 (ЩРн-36з-0 36 УХЛ3 IP54)  |  Альбом 7.1 ЭО (Концертный зал)</v>
      </c>
      <c r="B86" s="25" t="s">
        <v>223</v>
      </c>
      <c r="C86" s="25" t="s">
        <v>95</v>
      </c>
      <c r="D86" s="25" t="s">
        <v>206</v>
      </c>
      <c r="E86" s="26">
        <f>ПАРАМЕТРЫ!C37</f>
        <v>1.5</v>
      </c>
      <c r="F86" s="27">
        <f>ПАРАМЕТРЫ!D37</f>
        <v>353.11499999999995</v>
      </c>
      <c r="G86" s="27">
        <f>I86*F86</f>
        <v>1765.5749999999998</v>
      </c>
      <c r="H86" s="27" t="s">
        <v>94</v>
      </c>
      <c r="I86" s="27">
        <v>5</v>
      </c>
      <c r="J86" s="25"/>
      <c r="K86" s="25" t="s">
        <v>201</v>
      </c>
    </row>
    <row r="87" spans="1:11" ht="25.5" customHeight="1" x14ac:dyDescent="0.25">
      <c r="A87" s="37" t="str">
        <f t="shared" si="19"/>
        <v>КОМПЛЕКТ 10.  ЩО-1.3 (ЩРн-36з-0 36 УХЛ3 IP54)  |  Альбом 7.1 ЭО (Концертный зал)</v>
      </c>
      <c r="B87" s="37" t="s">
        <v>224</v>
      </c>
      <c r="C87" s="37"/>
      <c r="D87" s="37" t="s">
        <v>124</v>
      </c>
      <c r="E87" s="36" t="s">
        <v>95</v>
      </c>
      <c r="F87" s="38" t="str">
        <f>ПАРАМЕТРЫ!C6&amp;"%"</f>
        <v>12%</v>
      </c>
      <c r="G87" s="39">
        <f>(G82+G83+G84+G85+G86)*ПАРАМЕТРЫ!C6/100</f>
        <v>13625.719128000001</v>
      </c>
      <c r="H87" s="39" t="s">
        <v>94</v>
      </c>
      <c r="I87" s="39">
        <v>1</v>
      </c>
      <c r="J87" s="37" t="s">
        <v>11</v>
      </c>
      <c r="K87" s="37" t="s">
        <v>201</v>
      </c>
    </row>
    <row r="88" spans="1:11" ht="25.5" customHeight="1" thickBot="1" x14ac:dyDescent="0.3">
      <c r="A88" s="41" t="str">
        <f t="shared" si="19"/>
        <v>КОМПЛЕКТ 10.  ЩО-1.3 (ЩРн-36з-0 36 УХЛ3 IP54)  |  Альбом 7.1 ЭО (Концертный зал)</v>
      </c>
      <c r="B88" s="41" t="s">
        <v>225</v>
      </c>
      <c r="C88" s="41"/>
      <c r="D88" s="41" t="s">
        <v>126</v>
      </c>
      <c r="E88" s="40" t="s">
        <v>95</v>
      </c>
      <c r="F88" s="42" t="str">
        <f>ПАРАМЕТРЫ!C7&amp;"%"</f>
        <v>15%</v>
      </c>
      <c r="G88" s="43">
        <f>(G82+G83+G84+G85+G86)*ПАРАМЕТРЫ!C7/100</f>
        <v>17032.14891</v>
      </c>
      <c r="H88" s="43" t="s">
        <v>94</v>
      </c>
      <c r="I88" s="43">
        <v>1</v>
      </c>
      <c r="J88" s="41" t="s">
        <v>11</v>
      </c>
      <c r="K88" s="41" t="s">
        <v>201</v>
      </c>
    </row>
    <row r="89" spans="1:11" ht="25.5" customHeight="1" thickBot="1" x14ac:dyDescent="0.3">
      <c r="A89" s="53" t="str">
        <f>D89</f>
        <v>КОМПЛЕКТ 11.  ЩО-2.1 (ЩРн-12з-0 36 УХЛ3 IP54)  |  Альбом 7.1 ЭО (Концертный зал)</v>
      </c>
      <c r="B89" s="54" t="s">
        <v>226</v>
      </c>
      <c r="C89" s="54"/>
      <c r="D89" s="54" t="s">
        <v>226</v>
      </c>
      <c r="E89" s="54"/>
      <c r="F89" s="54"/>
      <c r="G89" s="54"/>
      <c r="H89" s="54" t="s">
        <v>632</v>
      </c>
      <c r="I89" s="55">
        <v>1</v>
      </c>
      <c r="J89" s="2"/>
      <c r="K89" s="2"/>
    </row>
    <row r="90" spans="1:11" ht="25.5" customHeight="1" x14ac:dyDescent="0.25">
      <c r="A90" s="22" t="str">
        <f t="shared" ref="A90:A97" si="21">A89</f>
        <v>КОМПЛЕКТ 11.  ЩО-2.1 (ЩРн-12з-0 36 УХЛ3 IP54)  |  Альбом 7.1 ЭО (Концертный зал)</v>
      </c>
      <c r="B90" s="22" t="s">
        <v>227</v>
      </c>
      <c r="C90" s="22" t="s">
        <v>92</v>
      </c>
      <c r="D90" s="22" t="s">
        <v>636</v>
      </c>
      <c r="E90" s="21" t="s">
        <v>95</v>
      </c>
      <c r="F90" s="21" t="e">
        <f>0.6*E90</f>
        <v>#VALUE!</v>
      </c>
      <c r="G90" s="23" t="e">
        <f>F90*I90</f>
        <v>#VALUE!</v>
      </c>
      <c r="H90" s="23" t="s">
        <v>94</v>
      </c>
      <c r="I90" s="23">
        <v>1</v>
      </c>
      <c r="J90" s="22" t="s">
        <v>96</v>
      </c>
      <c r="K90" s="22" t="s">
        <v>201</v>
      </c>
    </row>
    <row r="91" spans="1:11" ht="25.5" customHeight="1" x14ac:dyDescent="0.25">
      <c r="A91" s="25" t="str">
        <f t="shared" si="21"/>
        <v>КОМПЛЕКТ 11.  ЩО-2.1 (ЩРн-12з-0 36 УХЛ3 IP54)  |  Альбом 7.1 ЭО (Концертный зал)</v>
      </c>
      <c r="B91" s="25" t="s">
        <v>181</v>
      </c>
      <c r="C91" s="25" t="s">
        <v>611</v>
      </c>
      <c r="D91" s="25" t="s">
        <v>604</v>
      </c>
      <c r="E91" s="26">
        <v>36.42</v>
      </c>
      <c r="F91" s="27">
        <f t="shared" ref="F91:F94" si="22">E91*0.3*1.33*590</f>
        <v>8573.6322000000018</v>
      </c>
      <c r="G91" s="27">
        <f>I91*F91</f>
        <v>8573.6322000000018</v>
      </c>
      <c r="H91" s="27" t="s">
        <v>94</v>
      </c>
      <c r="I91" s="27">
        <v>1</v>
      </c>
      <c r="J91" s="25" t="s">
        <v>182</v>
      </c>
      <c r="K91" s="41" t="s">
        <v>201</v>
      </c>
    </row>
    <row r="92" spans="1:11" ht="25.5" customHeight="1" x14ac:dyDescent="0.25">
      <c r="A92" s="29" t="str">
        <f t="shared" si="21"/>
        <v>КОМПЛЕКТ 11.  ЩО-2.1 (ЩРн-12з-0 36 УХЛ3 IP54)  |  Альбом 7.1 ЭО (Концертный зал)</v>
      </c>
      <c r="B92" s="29" t="s">
        <v>228</v>
      </c>
      <c r="C92" s="29" t="s">
        <v>610</v>
      </c>
      <c r="D92" s="29" t="s">
        <v>609</v>
      </c>
      <c r="E92" s="30">
        <v>8.09</v>
      </c>
      <c r="F92" s="27">
        <f t="shared" si="22"/>
        <v>1904.4669000000001</v>
      </c>
      <c r="G92" s="31">
        <f>I92*F92</f>
        <v>26662.536600000003</v>
      </c>
      <c r="H92" s="31" t="s">
        <v>94</v>
      </c>
      <c r="I92" s="31">
        <v>14</v>
      </c>
      <c r="J92" s="29"/>
      <c r="K92" s="29" t="s">
        <v>201</v>
      </c>
    </row>
    <row r="93" spans="1:11" ht="25.5" customHeight="1" x14ac:dyDescent="0.25">
      <c r="A93" s="25" t="str">
        <f t="shared" si="21"/>
        <v>КОМПЛЕКТ 11.  ЩО-2.1 (ЩРн-12з-0 36 УХЛ3 IP54)  |  Альбом 7.1 ЭО (Концертный зал)</v>
      </c>
      <c r="B93" s="25" t="s">
        <v>229</v>
      </c>
      <c r="C93" s="25" t="s">
        <v>153</v>
      </c>
      <c r="D93" s="25" t="s">
        <v>152</v>
      </c>
      <c r="E93" s="26">
        <f>ПАРАМЕТРЫ!C23</f>
        <v>87.63</v>
      </c>
      <c r="F93" s="27">
        <f t="shared" si="22"/>
        <v>20628.978300000002</v>
      </c>
      <c r="G93" s="27">
        <f>I93*F93</f>
        <v>0</v>
      </c>
      <c r="H93" s="27" t="s">
        <v>94</v>
      </c>
      <c r="I93" s="27">
        <v>0</v>
      </c>
      <c r="J93" s="25"/>
      <c r="K93" s="25" t="s">
        <v>201</v>
      </c>
    </row>
    <row r="94" spans="1:11" ht="25.5" customHeight="1" x14ac:dyDescent="0.25">
      <c r="A94" s="29" t="str">
        <f t="shared" si="21"/>
        <v>КОМПЛЕКТ 11.  ЩО-2.1 (ЩРн-12з-0 36 УХЛ3 IP54)  |  Альбом 7.1 ЭО (Концертный зал)</v>
      </c>
      <c r="B94" s="29" t="s">
        <v>230</v>
      </c>
      <c r="C94" s="29" t="s">
        <v>136</v>
      </c>
      <c r="D94" s="29" t="s">
        <v>135</v>
      </c>
      <c r="E94" s="30">
        <f>ПАРАМЕТРЫ!C33</f>
        <v>41.58</v>
      </c>
      <c r="F94" s="27">
        <f t="shared" si="22"/>
        <v>9788.3477999999996</v>
      </c>
      <c r="G94" s="31">
        <f>I94*F94</f>
        <v>58730.086799999997</v>
      </c>
      <c r="H94" s="31" t="s">
        <v>94</v>
      </c>
      <c r="I94" s="31">
        <v>6</v>
      </c>
      <c r="J94" s="29"/>
      <c r="K94" s="29" t="s">
        <v>201</v>
      </c>
    </row>
    <row r="95" spans="1:11" ht="25.5" customHeight="1" x14ac:dyDescent="0.25">
      <c r="A95" s="25" t="str">
        <f t="shared" si="21"/>
        <v>КОМПЛЕКТ 11.  ЩО-2.1 (ЩРн-12з-0 36 УХЛ3 IP54)  |  Альбом 7.1 ЭО (Концертный зал)</v>
      </c>
      <c r="B95" s="25" t="s">
        <v>231</v>
      </c>
      <c r="C95" s="25" t="s">
        <v>95</v>
      </c>
      <c r="D95" s="25" t="s">
        <v>206</v>
      </c>
      <c r="E95" s="26">
        <f>ПАРАМЕТРЫ!C37</f>
        <v>1.5</v>
      </c>
      <c r="F95" s="27">
        <f>ПАРАМЕТРЫ!D37</f>
        <v>353.11499999999995</v>
      </c>
      <c r="G95" s="27">
        <f>I95*F95</f>
        <v>2118.6899999999996</v>
      </c>
      <c r="H95" s="27" t="s">
        <v>94</v>
      </c>
      <c r="I95" s="27">
        <v>6</v>
      </c>
      <c r="J95" s="25"/>
      <c r="K95" s="25" t="s">
        <v>201</v>
      </c>
    </row>
    <row r="96" spans="1:11" ht="25.5" customHeight="1" x14ac:dyDescent="0.25">
      <c r="A96" s="37" t="str">
        <f t="shared" si="21"/>
        <v>КОМПЛЕКТ 11.  ЩО-2.1 (ЩРн-12з-0 36 УХЛ3 IP54)  |  Альбом 7.1 ЭО (Концертный зал)</v>
      </c>
      <c r="B96" s="37" t="s">
        <v>232</v>
      </c>
      <c r="C96" s="37"/>
      <c r="D96" s="37" t="s">
        <v>124</v>
      </c>
      <c r="E96" s="36" t="s">
        <v>95</v>
      </c>
      <c r="F96" s="38" t="str">
        <f>ПАРАМЕТРЫ!C6&amp;"%"</f>
        <v>12%</v>
      </c>
      <c r="G96" s="39">
        <f>(G91+G92+G93+G94+G95)*ПАРАМЕТРЫ!C6/100</f>
        <v>11530.193472000003</v>
      </c>
      <c r="H96" s="39" t="s">
        <v>94</v>
      </c>
      <c r="I96" s="39">
        <v>1</v>
      </c>
      <c r="J96" s="37" t="s">
        <v>11</v>
      </c>
      <c r="K96" s="37" t="s">
        <v>201</v>
      </c>
    </row>
    <row r="97" spans="1:11" ht="25.5" customHeight="1" thickBot="1" x14ac:dyDescent="0.3">
      <c r="A97" s="41" t="str">
        <f t="shared" si="21"/>
        <v>КОМПЛЕКТ 11.  ЩО-2.1 (ЩРн-12з-0 36 УХЛ3 IP54)  |  Альбом 7.1 ЭО (Концертный зал)</v>
      </c>
      <c r="B97" s="41" t="s">
        <v>233</v>
      </c>
      <c r="C97" s="41"/>
      <c r="D97" s="41" t="s">
        <v>126</v>
      </c>
      <c r="E97" s="40" t="s">
        <v>95</v>
      </c>
      <c r="F97" s="42" t="str">
        <f>ПАРАМЕТРЫ!C7&amp;"%"</f>
        <v>15%</v>
      </c>
      <c r="G97" s="43">
        <f>(G91+G92+G93+G94+G95)*ПАРАМЕТРЫ!C7/100</f>
        <v>14412.741840000001</v>
      </c>
      <c r="H97" s="43" t="s">
        <v>94</v>
      </c>
      <c r="I97" s="43">
        <v>1</v>
      </c>
      <c r="J97" s="41" t="s">
        <v>11</v>
      </c>
      <c r="K97" s="41" t="s">
        <v>201</v>
      </c>
    </row>
    <row r="98" spans="1:11" ht="25.5" customHeight="1" thickBot="1" x14ac:dyDescent="0.3">
      <c r="A98" s="53" t="str">
        <f>D98</f>
        <v>КОМПЛЕКТ 12.  ЩО-2.2 (ЩРн-18з-0 36 УХЛ3 IP54)  |  Альбом 7.1 ЭО (Концертный зал)</v>
      </c>
      <c r="B98" s="54" t="s">
        <v>234</v>
      </c>
      <c r="C98" s="54"/>
      <c r="D98" s="54" t="s">
        <v>234</v>
      </c>
      <c r="E98" s="54"/>
      <c r="F98" s="54"/>
      <c r="G98" s="54"/>
      <c r="H98" s="54" t="s">
        <v>632</v>
      </c>
      <c r="I98" s="55">
        <v>1</v>
      </c>
      <c r="J98" s="2"/>
      <c r="K98" s="2"/>
    </row>
    <row r="99" spans="1:11" ht="25.5" customHeight="1" x14ac:dyDescent="0.25">
      <c r="A99" s="22" t="str">
        <f t="shared" ref="A99:A106" si="23">A98</f>
        <v>КОМПЛЕКТ 12.  ЩО-2.2 (ЩРн-18з-0 36 УХЛ3 IP54)  |  Альбом 7.1 ЭО (Концертный зал)</v>
      </c>
      <c r="B99" s="22" t="s">
        <v>235</v>
      </c>
      <c r="C99" s="22" t="s">
        <v>92</v>
      </c>
      <c r="D99" s="22" t="s">
        <v>180</v>
      </c>
      <c r="E99" s="21" t="s">
        <v>95</v>
      </c>
      <c r="F99" s="21" t="e">
        <f>0.6*E99</f>
        <v>#VALUE!</v>
      </c>
      <c r="G99" s="23" t="e">
        <f>F99*I99</f>
        <v>#VALUE!</v>
      </c>
      <c r="H99" s="23" t="s">
        <v>94</v>
      </c>
      <c r="I99" s="23">
        <v>1</v>
      </c>
      <c r="J99" s="22" t="s">
        <v>96</v>
      </c>
      <c r="K99" s="22" t="s">
        <v>201</v>
      </c>
    </row>
    <row r="100" spans="1:11" ht="25.5" customHeight="1" x14ac:dyDescent="0.25">
      <c r="A100" s="25" t="str">
        <f t="shared" si="23"/>
        <v>КОМПЛЕКТ 12.  ЩО-2.2 (ЩРн-18з-0 36 УХЛ3 IP54)  |  Альбом 7.1 ЭО (Концертный зал)</v>
      </c>
      <c r="B100" s="25" t="s">
        <v>181</v>
      </c>
      <c r="C100" s="25" t="s">
        <v>611</v>
      </c>
      <c r="D100" s="25" t="s">
        <v>604</v>
      </c>
      <c r="E100" s="26">
        <v>36.42</v>
      </c>
      <c r="F100" s="27">
        <f t="shared" ref="F100:F103" si="24">E100*0.3*1.33*590</f>
        <v>8573.6322000000018</v>
      </c>
      <c r="G100" s="27">
        <f>I100*F100</f>
        <v>8573.6322000000018</v>
      </c>
      <c r="H100" s="27" t="s">
        <v>94</v>
      </c>
      <c r="I100" s="27">
        <v>1</v>
      </c>
      <c r="J100" s="25" t="s">
        <v>182</v>
      </c>
      <c r="K100" s="41" t="s">
        <v>201</v>
      </c>
    </row>
    <row r="101" spans="1:11" ht="25.5" customHeight="1" x14ac:dyDescent="0.25">
      <c r="A101" s="29" t="str">
        <f t="shared" si="23"/>
        <v>КОМПЛЕКТ 12.  ЩО-2.2 (ЩРн-18з-0 36 УХЛ3 IP54)  |  Альбом 7.1 ЭО (Концертный зал)</v>
      </c>
      <c r="B101" s="29" t="s">
        <v>236</v>
      </c>
      <c r="C101" s="29" t="s">
        <v>610</v>
      </c>
      <c r="D101" s="29" t="s">
        <v>609</v>
      </c>
      <c r="E101" s="30">
        <v>8.09</v>
      </c>
      <c r="F101" s="27">
        <f t="shared" si="24"/>
        <v>1904.4669000000001</v>
      </c>
      <c r="G101" s="31">
        <f>I101*F101</f>
        <v>22853.602800000001</v>
      </c>
      <c r="H101" s="31" t="s">
        <v>94</v>
      </c>
      <c r="I101" s="31">
        <v>12</v>
      </c>
      <c r="J101" s="29"/>
      <c r="K101" s="29" t="s">
        <v>201</v>
      </c>
    </row>
    <row r="102" spans="1:11" ht="25.5" customHeight="1" x14ac:dyDescent="0.25">
      <c r="A102" s="25" t="str">
        <f t="shared" si="23"/>
        <v>КОМПЛЕКТ 12.  ЩО-2.2 (ЩРн-18з-0 36 УХЛ3 IP54)  |  Альбом 7.1 ЭО (Концертный зал)</v>
      </c>
      <c r="B102" s="25" t="s">
        <v>237</v>
      </c>
      <c r="C102" s="25" t="s">
        <v>153</v>
      </c>
      <c r="D102" s="25" t="s">
        <v>152</v>
      </c>
      <c r="E102" s="26">
        <f>ПАРАМЕТРЫ!C23</f>
        <v>87.63</v>
      </c>
      <c r="F102" s="27">
        <f t="shared" si="24"/>
        <v>20628.978300000002</v>
      </c>
      <c r="G102" s="27">
        <f>I102*F102</f>
        <v>0</v>
      </c>
      <c r="H102" s="27" t="s">
        <v>94</v>
      </c>
      <c r="I102" s="27">
        <v>0</v>
      </c>
      <c r="J102" s="25"/>
      <c r="K102" s="25" t="s">
        <v>201</v>
      </c>
    </row>
    <row r="103" spans="1:11" ht="25.5" customHeight="1" x14ac:dyDescent="0.25">
      <c r="A103" s="29" t="str">
        <f t="shared" si="23"/>
        <v>КОМПЛЕКТ 12.  ЩО-2.2 (ЩРн-18з-0 36 УХЛ3 IP54)  |  Альбом 7.1 ЭО (Концертный зал)</v>
      </c>
      <c r="B103" s="29" t="s">
        <v>238</v>
      </c>
      <c r="C103" s="29" t="s">
        <v>136</v>
      </c>
      <c r="D103" s="29" t="s">
        <v>135</v>
      </c>
      <c r="E103" s="30">
        <f>ПАРАМЕТРЫ!C33</f>
        <v>41.58</v>
      </c>
      <c r="F103" s="27">
        <f t="shared" si="24"/>
        <v>9788.3477999999996</v>
      </c>
      <c r="G103" s="31">
        <f>I103*F103</f>
        <v>19576.695599999999</v>
      </c>
      <c r="H103" s="31" t="s">
        <v>94</v>
      </c>
      <c r="I103" s="31">
        <v>2</v>
      </c>
      <c r="J103" s="29"/>
      <c r="K103" s="29" t="s">
        <v>201</v>
      </c>
    </row>
    <row r="104" spans="1:11" ht="25.5" customHeight="1" x14ac:dyDescent="0.25">
      <c r="A104" s="25" t="str">
        <f t="shared" si="23"/>
        <v>КОМПЛЕКТ 12.  ЩО-2.2 (ЩРн-18з-0 36 УХЛ3 IP54)  |  Альбом 7.1 ЭО (Концертный зал)</v>
      </c>
      <c r="B104" s="25" t="s">
        <v>239</v>
      </c>
      <c r="C104" s="25" t="s">
        <v>95</v>
      </c>
      <c r="D104" s="25" t="s">
        <v>206</v>
      </c>
      <c r="E104" s="26">
        <f>ПАРАМЕТРЫ!C37</f>
        <v>1.5</v>
      </c>
      <c r="F104" s="27">
        <f>ПАРАМЕТРЫ!D37</f>
        <v>353.11499999999995</v>
      </c>
      <c r="G104" s="27">
        <f>I104*F104</f>
        <v>706.2299999999999</v>
      </c>
      <c r="H104" s="27" t="s">
        <v>94</v>
      </c>
      <c r="I104" s="27">
        <v>2</v>
      </c>
      <c r="J104" s="25"/>
      <c r="K104" s="25" t="s">
        <v>201</v>
      </c>
    </row>
    <row r="105" spans="1:11" ht="25.5" customHeight="1" x14ac:dyDescent="0.25">
      <c r="A105" s="37" t="str">
        <f t="shared" si="23"/>
        <v>КОМПЛЕКТ 12.  ЩО-2.2 (ЩРн-18з-0 36 УХЛ3 IP54)  |  Альбом 7.1 ЭО (Концертный зал)</v>
      </c>
      <c r="B105" s="37" t="s">
        <v>240</v>
      </c>
      <c r="C105" s="37"/>
      <c r="D105" s="37" t="s">
        <v>124</v>
      </c>
      <c r="E105" s="36" t="s">
        <v>95</v>
      </c>
      <c r="F105" s="38" t="str">
        <f>ПАРАМЕТРЫ!C6&amp;"%"</f>
        <v>12%</v>
      </c>
      <c r="G105" s="39">
        <f>(G100+G101+G102+G103+G104)*ПАРАМЕТРЫ!C6/100</f>
        <v>6205.2192720000003</v>
      </c>
      <c r="H105" s="39" t="s">
        <v>94</v>
      </c>
      <c r="I105" s="39">
        <v>1</v>
      </c>
      <c r="J105" s="37" t="s">
        <v>11</v>
      </c>
      <c r="K105" s="37" t="s">
        <v>201</v>
      </c>
    </row>
    <row r="106" spans="1:11" ht="25.5" customHeight="1" thickBot="1" x14ac:dyDescent="0.3">
      <c r="A106" s="41" t="str">
        <f t="shared" si="23"/>
        <v>КОМПЛЕКТ 12.  ЩО-2.2 (ЩРн-18з-0 36 УХЛ3 IP54)  |  Альбом 7.1 ЭО (Концертный зал)</v>
      </c>
      <c r="B106" s="41" t="s">
        <v>241</v>
      </c>
      <c r="C106" s="41"/>
      <c r="D106" s="41" t="s">
        <v>126</v>
      </c>
      <c r="E106" s="40" t="s">
        <v>95</v>
      </c>
      <c r="F106" s="42" t="str">
        <f>ПАРАМЕТРЫ!C7&amp;"%"</f>
        <v>15%</v>
      </c>
      <c r="G106" s="43">
        <f>(G100+G101+G102+G103+G104)*ПАРАМЕТРЫ!C7/100</f>
        <v>7756.5240899999999</v>
      </c>
      <c r="H106" s="43" t="s">
        <v>94</v>
      </c>
      <c r="I106" s="43">
        <v>1</v>
      </c>
      <c r="J106" s="41" t="s">
        <v>11</v>
      </c>
      <c r="K106" s="41" t="s">
        <v>201</v>
      </c>
    </row>
    <row r="107" spans="1:11" ht="25.5" customHeight="1" thickBot="1" x14ac:dyDescent="0.3">
      <c r="A107" s="53" t="str">
        <f>D107</f>
        <v>КОМПЛЕКТ 13.  ЩО-3.1 (ЩРн-18з-0 36 УХЛ3 IP54)  |  Альбом 7.1 ЭО (Концертный зал)</v>
      </c>
      <c r="B107" s="54" t="s">
        <v>242</v>
      </c>
      <c r="C107" s="54"/>
      <c r="D107" s="54" t="s">
        <v>242</v>
      </c>
      <c r="E107" s="54"/>
      <c r="F107" s="54"/>
      <c r="G107" s="54"/>
      <c r="H107" s="54" t="s">
        <v>632</v>
      </c>
      <c r="I107" s="55">
        <v>1</v>
      </c>
      <c r="J107" s="2"/>
      <c r="K107" s="2"/>
    </row>
    <row r="108" spans="1:11" ht="25.5" customHeight="1" x14ac:dyDescent="0.25">
      <c r="A108" s="22" t="str">
        <f t="shared" ref="A108:A115" si="25">A107</f>
        <v>КОМПЛЕКТ 13.  ЩО-3.1 (ЩРн-18з-0 36 УХЛ3 IP54)  |  Альбом 7.1 ЭО (Концертный зал)</v>
      </c>
      <c r="B108" s="22" t="s">
        <v>243</v>
      </c>
      <c r="C108" s="22" t="s">
        <v>92</v>
      </c>
      <c r="D108" s="22" t="s">
        <v>180</v>
      </c>
      <c r="E108" s="21" t="s">
        <v>95</v>
      </c>
      <c r="F108" s="21" t="e">
        <f>0.6*E108</f>
        <v>#VALUE!</v>
      </c>
      <c r="G108" s="23" t="e">
        <f>F108*I108</f>
        <v>#VALUE!</v>
      </c>
      <c r="H108" s="23" t="s">
        <v>94</v>
      </c>
      <c r="I108" s="23">
        <v>1</v>
      </c>
      <c r="J108" s="22" t="s">
        <v>96</v>
      </c>
      <c r="K108" s="22" t="s">
        <v>201</v>
      </c>
    </row>
    <row r="109" spans="1:11" ht="25.5" customHeight="1" x14ac:dyDescent="0.25">
      <c r="A109" s="25" t="str">
        <f t="shared" si="25"/>
        <v>КОМПЛЕКТ 13.  ЩО-3.1 (ЩРн-18з-0 36 УХЛ3 IP54)  |  Альбом 7.1 ЭО (Концертный зал)</v>
      </c>
      <c r="B109" s="25" t="s">
        <v>181</v>
      </c>
      <c r="C109" s="25" t="s">
        <v>611</v>
      </c>
      <c r="D109" s="25" t="s">
        <v>604</v>
      </c>
      <c r="E109" s="26">
        <v>36.42</v>
      </c>
      <c r="F109" s="27">
        <f t="shared" ref="F109:F112" si="26">E109*0.3*1.33*590</f>
        <v>8573.6322000000018</v>
      </c>
      <c r="G109" s="27">
        <f>I109*F109</f>
        <v>8573.6322000000018</v>
      </c>
      <c r="H109" s="27" t="s">
        <v>94</v>
      </c>
      <c r="I109" s="27">
        <v>1</v>
      </c>
      <c r="J109" s="25" t="s">
        <v>182</v>
      </c>
      <c r="K109" s="41" t="s">
        <v>201</v>
      </c>
    </row>
    <row r="110" spans="1:11" ht="25.5" customHeight="1" x14ac:dyDescent="0.25">
      <c r="A110" s="29" t="str">
        <f t="shared" si="25"/>
        <v>КОМПЛЕКТ 13.  ЩО-3.1 (ЩРн-18з-0 36 УХЛ3 IP54)  |  Альбом 7.1 ЭО (Концертный зал)</v>
      </c>
      <c r="B110" s="29" t="s">
        <v>244</v>
      </c>
      <c r="C110" s="29" t="s">
        <v>610</v>
      </c>
      <c r="D110" s="29" t="s">
        <v>609</v>
      </c>
      <c r="E110" s="30">
        <v>8.09</v>
      </c>
      <c r="F110" s="27">
        <f t="shared" si="26"/>
        <v>1904.4669000000001</v>
      </c>
      <c r="G110" s="31">
        <f>I110*F110</f>
        <v>26662.536600000003</v>
      </c>
      <c r="H110" s="31" t="s">
        <v>94</v>
      </c>
      <c r="I110" s="31">
        <v>14</v>
      </c>
      <c r="J110" s="29"/>
      <c r="K110" s="29" t="s">
        <v>201</v>
      </c>
    </row>
    <row r="111" spans="1:11" ht="25.5" customHeight="1" x14ac:dyDescent="0.25">
      <c r="A111" s="25" t="str">
        <f t="shared" si="25"/>
        <v>КОМПЛЕКТ 13.  ЩО-3.1 (ЩРн-18з-0 36 УХЛ3 IP54)  |  Альбом 7.1 ЭО (Концертный зал)</v>
      </c>
      <c r="B111" s="25" t="s">
        <v>245</v>
      </c>
      <c r="C111" s="25" t="s">
        <v>153</v>
      </c>
      <c r="D111" s="25" t="s">
        <v>152</v>
      </c>
      <c r="E111" s="26">
        <f>ПАРАМЕТРЫ!C23</f>
        <v>87.63</v>
      </c>
      <c r="F111" s="27">
        <f t="shared" si="26"/>
        <v>20628.978300000002</v>
      </c>
      <c r="G111" s="27">
        <f>I111*F111</f>
        <v>0</v>
      </c>
      <c r="H111" s="27" t="s">
        <v>94</v>
      </c>
      <c r="I111" s="27">
        <v>0</v>
      </c>
      <c r="J111" s="25"/>
      <c r="K111" s="25" t="s">
        <v>201</v>
      </c>
    </row>
    <row r="112" spans="1:11" ht="25.5" customHeight="1" x14ac:dyDescent="0.25">
      <c r="A112" s="29" t="str">
        <f t="shared" si="25"/>
        <v>КОМПЛЕКТ 13.  ЩО-3.1 (ЩРн-18з-0 36 УХЛ3 IP54)  |  Альбом 7.1 ЭО (Концертный зал)</v>
      </c>
      <c r="B112" s="29" t="s">
        <v>246</v>
      </c>
      <c r="C112" s="29" t="s">
        <v>136</v>
      </c>
      <c r="D112" s="29" t="s">
        <v>135</v>
      </c>
      <c r="E112" s="30">
        <f>ПАРАМЕТРЫ!C33</f>
        <v>41.58</v>
      </c>
      <c r="F112" s="27">
        <f t="shared" si="26"/>
        <v>9788.3477999999996</v>
      </c>
      <c r="G112" s="31">
        <f>I112*F112</f>
        <v>68518.434599999993</v>
      </c>
      <c r="H112" s="31" t="s">
        <v>94</v>
      </c>
      <c r="I112" s="31">
        <v>7</v>
      </c>
      <c r="J112" s="29"/>
      <c r="K112" s="29" t="s">
        <v>201</v>
      </c>
    </row>
    <row r="113" spans="1:11" ht="25.5" customHeight="1" x14ac:dyDescent="0.25">
      <c r="A113" s="25" t="str">
        <f t="shared" si="25"/>
        <v>КОМПЛЕКТ 13.  ЩО-3.1 (ЩРн-18з-0 36 УХЛ3 IP54)  |  Альбом 7.1 ЭО (Концертный зал)</v>
      </c>
      <c r="B113" s="25" t="s">
        <v>247</v>
      </c>
      <c r="C113" s="25" t="s">
        <v>95</v>
      </c>
      <c r="D113" s="25" t="s">
        <v>206</v>
      </c>
      <c r="E113" s="26">
        <f>ПАРАМЕТРЫ!C37</f>
        <v>1.5</v>
      </c>
      <c r="F113" s="27">
        <f>ПАРАМЕТРЫ!D37</f>
        <v>353.11499999999995</v>
      </c>
      <c r="G113" s="27">
        <f>I113*F113</f>
        <v>2471.8049999999998</v>
      </c>
      <c r="H113" s="27" t="s">
        <v>94</v>
      </c>
      <c r="I113" s="27">
        <v>7</v>
      </c>
      <c r="J113" s="25"/>
      <c r="K113" s="25" t="s">
        <v>201</v>
      </c>
    </row>
    <row r="114" spans="1:11" ht="25.5" customHeight="1" x14ac:dyDescent="0.25">
      <c r="A114" s="37" t="str">
        <f t="shared" si="25"/>
        <v>КОМПЛЕКТ 13.  ЩО-3.1 (ЩРн-18з-0 36 УХЛ3 IP54)  |  Альбом 7.1 ЭО (Концертный зал)</v>
      </c>
      <c r="B114" s="37" t="s">
        <v>248</v>
      </c>
      <c r="C114" s="37"/>
      <c r="D114" s="37" t="s">
        <v>124</v>
      </c>
      <c r="E114" s="36" t="s">
        <v>95</v>
      </c>
      <c r="F114" s="38" t="str">
        <f>ПАРАМЕТРЫ!C6&amp;"%"</f>
        <v>12%</v>
      </c>
      <c r="G114" s="39">
        <f>(G109+G110+G111+G112+G113)*ПАРАМЕТРЫ!C6/100</f>
        <v>12747.169007999999</v>
      </c>
      <c r="H114" s="39" t="s">
        <v>94</v>
      </c>
      <c r="I114" s="39">
        <v>1</v>
      </c>
      <c r="J114" s="37" t="s">
        <v>11</v>
      </c>
      <c r="K114" s="37" t="s">
        <v>201</v>
      </c>
    </row>
    <row r="115" spans="1:11" ht="25.5" customHeight="1" thickBot="1" x14ac:dyDescent="0.3">
      <c r="A115" s="41" t="str">
        <f t="shared" si="25"/>
        <v>КОМПЛЕКТ 13.  ЩО-3.1 (ЩРн-18з-0 36 УХЛ3 IP54)  |  Альбом 7.1 ЭО (Концертный зал)</v>
      </c>
      <c r="B115" s="41" t="s">
        <v>249</v>
      </c>
      <c r="C115" s="41"/>
      <c r="D115" s="41" t="s">
        <v>126</v>
      </c>
      <c r="E115" s="40" t="s">
        <v>95</v>
      </c>
      <c r="F115" s="42" t="str">
        <f>ПАРАМЕТРЫ!C7&amp;"%"</f>
        <v>15%</v>
      </c>
      <c r="G115" s="43">
        <f>(G109+G110+G111+G112+G113)*ПАРАМЕТРЫ!C7/100</f>
        <v>15933.961259999996</v>
      </c>
      <c r="H115" s="43" t="s">
        <v>94</v>
      </c>
      <c r="I115" s="43">
        <v>1</v>
      </c>
      <c r="J115" s="41" t="s">
        <v>11</v>
      </c>
      <c r="K115" s="41" t="s">
        <v>201</v>
      </c>
    </row>
    <row r="116" spans="1:11" ht="25.5" customHeight="1" thickBot="1" x14ac:dyDescent="0.3">
      <c r="A116" s="53" t="str">
        <f>D116</f>
        <v>КОМПЛЕКТ 14.  ЩО-3.2 (ЩРн-18з-0 36 УХЛ3 IP54)  |  Альбом 7.1 ЭО (Концертный зал)</v>
      </c>
      <c r="B116" s="54" t="s">
        <v>250</v>
      </c>
      <c r="C116" s="54"/>
      <c r="D116" s="54" t="s">
        <v>250</v>
      </c>
      <c r="E116" s="54"/>
      <c r="F116" s="54"/>
      <c r="G116" s="54"/>
      <c r="H116" s="54" t="s">
        <v>632</v>
      </c>
      <c r="I116" s="55">
        <v>1</v>
      </c>
      <c r="J116" s="2"/>
      <c r="K116" s="2"/>
    </row>
    <row r="117" spans="1:11" ht="25.5" customHeight="1" x14ac:dyDescent="0.25">
      <c r="A117" s="22" t="str">
        <f t="shared" ref="A117:A124" si="27">A116</f>
        <v>КОМПЛЕКТ 14.  ЩО-3.2 (ЩРн-18з-0 36 УХЛ3 IP54)  |  Альбом 7.1 ЭО (Концертный зал)</v>
      </c>
      <c r="B117" s="22" t="s">
        <v>251</v>
      </c>
      <c r="C117" s="22" t="s">
        <v>92</v>
      </c>
      <c r="D117" s="22" t="s">
        <v>180</v>
      </c>
      <c r="E117" s="21" t="s">
        <v>95</v>
      </c>
      <c r="F117" s="21" t="e">
        <f>0.6*E117</f>
        <v>#VALUE!</v>
      </c>
      <c r="G117" s="23" t="e">
        <f>F117*I117</f>
        <v>#VALUE!</v>
      </c>
      <c r="H117" s="23" t="s">
        <v>94</v>
      </c>
      <c r="I117" s="23">
        <v>1</v>
      </c>
      <c r="J117" s="22" t="s">
        <v>96</v>
      </c>
      <c r="K117" s="22" t="s">
        <v>201</v>
      </c>
    </row>
    <row r="118" spans="1:11" ht="25.5" customHeight="1" x14ac:dyDescent="0.25">
      <c r="A118" s="25" t="str">
        <f t="shared" si="27"/>
        <v>КОМПЛЕКТ 14.  ЩО-3.2 (ЩРн-18з-0 36 УХЛ3 IP54)  |  Альбом 7.1 ЭО (Концертный зал)</v>
      </c>
      <c r="B118" s="25" t="s">
        <v>181</v>
      </c>
      <c r="C118" s="25" t="s">
        <v>611</v>
      </c>
      <c r="D118" s="25" t="s">
        <v>604</v>
      </c>
      <c r="E118" s="26">
        <v>36.42</v>
      </c>
      <c r="F118" s="27">
        <f t="shared" ref="F118:F121" si="28">E118*0.3*1.33*590</f>
        <v>8573.6322000000018</v>
      </c>
      <c r="G118" s="27">
        <f>I118*F118</f>
        <v>8573.6322000000018</v>
      </c>
      <c r="H118" s="27" t="s">
        <v>94</v>
      </c>
      <c r="I118" s="27">
        <v>1</v>
      </c>
      <c r="J118" s="25" t="s">
        <v>182</v>
      </c>
      <c r="K118" s="41" t="s">
        <v>201</v>
      </c>
    </row>
    <row r="119" spans="1:11" ht="25.5" customHeight="1" x14ac:dyDescent="0.25">
      <c r="A119" s="29" t="str">
        <f t="shared" si="27"/>
        <v>КОМПЛЕКТ 14.  ЩО-3.2 (ЩРн-18з-0 36 УХЛ3 IP54)  |  Альбом 7.1 ЭО (Концертный зал)</v>
      </c>
      <c r="B119" s="29" t="s">
        <v>252</v>
      </c>
      <c r="C119" s="29" t="s">
        <v>610</v>
      </c>
      <c r="D119" s="29" t="s">
        <v>609</v>
      </c>
      <c r="E119" s="30">
        <v>8.09</v>
      </c>
      <c r="F119" s="27">
        <f t="shared" si="28"/>
        <v>1904.4669000000001</v>
      </c>
      <c r="G119" s="31">
        <f>I119*F119</f>
        <v>20949.135900000001</v>
      </c>
      <c r="H119" s="31" t="s">
        <v>94</v>
      </c>
      <c r="I119" s="31">
        <v>11</v>
      </c>
      <c r="J119" s="29"/>
      <c r="K119" s="29" t="s">
        <v>201</v>
      </c>
    </row>
    <row r="120" spans="1:11" ht="25.5" customHeight="1" x14ac:dyDescent="0.25">
      <c r="A120" s="25" t="str">
        <f t="shared" si="27"/>
        <v>КОМПЛЕКТ 14.  ЩО-3.2 (ЩРн-18з-0 36 УХЛ3 IP54)  |  Альбом 7.1 ЭО (Концертный зал)</v>
      </c>
      <c r="B120" s="25" t="s">
        <v>253</v>
      </c>
      <c r="C120" s="25" t="s">
        <v>153</v>
      </c>
      <c r="D120" s="25" t="s">
        <v>152</v>
      </c>
      <c r="E120" s="26">
        <f>ПАРАМЕТРЫ!C23</f>
        <v>87.63</v>
      </c>
      <c r="F120" s="27">
        <f t="shared" si="28"/>
        <v>20628.978300000002</v>
      </c>
      <c r="G120" s="27">
        <f>I120*F120</f>
        <v>0</v>
      </c>
      <c r="H120" s="27" t="s">
        <v>94</v>
      </c>
      <c r="I120" s="27">
        <v>0</v>
      </c>
      <c r="J120" s="25"/>
      <c r="K120" s="25" t="s">
        <v>201</v>
      </c>
    </row>
    <row r="121" spans="1:11" ht="25.5" customHeight="1" x14ac:dyDescent="0.25">
      <c r="A121" s="29" t="str">
        <f t="shared" si="27"/>
        <v>КОМПЛЕКТ 14.  ЩО-3.2 (ЩРн-18з-0 36 УХЛ3 IP54)  |  Альбом 7.1 ЭО (Концертный зал)</v>
      </c>
      <c r="B121" s="29" t="s">
        <v>254</v>
      </c>
      <c r="C121" s="29" t="s">
        <v>136</v>
      </c>
      <c r="D121" s="29" t="s">
        <v>135</v>
      </c>
      <c r="E121" s="30">
        <f>ПАРАМЕТРЫ!C33</f>
        <v>41.58</v>
      </c>
      <c r="F121" s="27">
        <f t="shared" si="28"/>
        <v>9788.3477999999996</v>
      </c>
      <c r="G121" s="31">
        <f>I121*F121</f>
        <v>19576.695599999999</v>
      </c>
      <c r="H121" s="31" t="s">
        <v>94</v>
      </c>
      <c r="I121" s="31">
        <v>2</v>
      </c>
      <c r="J121" s="29"/>
      <c r="K121" s="29" t="s">
        <v>201</v>
      </c>
    </row>
    <row r="122" spans="1:11" ht="25.5" customHeight="1" x14ac:dyDescent="0.25">
      <c r="A122" s="25" t="str">
        <f t="shared" si="27"/>
        <v>КОМПЛЕКТ 14.  ЩО-3.2 (ЩРн-18з-0 36 УХЛ3 IP54)  |  Альбом 7.1 ЭО (Концертный зал)</v>
      </c>
      <c r="B122" s="25" t="s">
        <v>255</v>
      </c>
      <c r="C122" s="25" t="s">
        <v>95</v>
      </c>
      <c r="D122" s="25" t="s">
        <v>206</v>
      </c>
      <c r="E122" s="26">
        <f>ПАРАМЕТРЫ!C37</f>
        <v>1.5</v>
      </c>
      <c r="F122" s="27">
        <f>ПАРАМЕТРЫ!D37</f>
        <v>353.11499999999995</v>
      </c>
      <c r="G122" s="27">
        <f>I122*F122</f>
        <v>706.2299999999999</v>
      </c>
      <c r="H122" s="27" t="s">
        <v>94</v>
      </c>
      <c r="I122" s="27">
        <v>2</v>
      </c>
      <c r="J122" s="25"/>
      <c r="K122" s="25" t="s">
        <v>201</v>
      </c>
    </row>
    <row r="123" spans="1:11" ht="25.5" customHeight="1" x14ac:dyDescent="0.25">
      <c r="A123" s="37" t="str">
        <f t="shared" si="27"/>
        <v>КОМПЛЕКТ 14.  ЩО-3.2 (ЩРн-18з-0 36 УХЛ3 IP54)  |  Альбом 7.1 ЭО (Концертный зал)</v>
      </c>
      <c r="B123" s="37" t="s">
        <v>256</v>
      </c>
      <c r="C123" s="37"/>
      <c r="D123" s="37" t="s">
        <v>124</v>
      </c>
      <c r="E123" s="36" t="s">
        <v>95</v>
      </c>
      <c r="F123" s="38" t="str">
        <f>ПАРАМЕТРЫ!C6&amp;"%"</f>
        <v>12%</v>
      </c>
      <c r="G123" s="39">
        <f>(G118+G119+G120+G121+G122)*ПАРАМЕТРЫ!C6/100</f>
        <v>5976.6832440000007</v>
      </c>
      <c r="H123" s="39" t="s">
        <v>94</v>
      </c>
      <c r="I123" s="39">
        <v>1</v>
      </c>
      <c r="J123" s="37" t="s">
        <v>11</v>
      </c>
      <c r="K123" s="37" t="s">
        <v>201</v>
      </c>
    </row>
    <row r="124" spans="1:11" ht="25.5" customHeight="1" thickBot="1" x14ac:dyDescent="0.3">
      <c r="A124" s="41" t="str">
        <f t="shared" si="27"/>
        <v>КОМПЛЕКТ 14.  ЩО-3.2 (ЩРн-18з-0 36 УХЛ3 IP54)  |  Альбом 7.1 ЭО (Концертный зал)</v>
      </c>
      <c r="B124" s="41" t="s">
        <v>257</v>
      </c>
      <c r="C124" s="41"/>
      <c r="D124" s="41" t="s">
        <v>126</v>
      </c>
      <c r="E124" s="40" t="s">
        <v>95</v>
      </c>
      <c r="F124" s="42" t="str">
        <f>ПАРАМЕТРЫ!C7&amp;"%"</f>
        <v>15%</v>
      </c>
      <c r="G124" s="43">
        <f>(G118+G119+G120+G121+G122)*ПАРАМЕТРЫ!C7/100</f>
        <v>7470.8540550000007</v>
      </c>
      <c r="H124" s="43" t="s">
        <v>94</v>
      </c>
      <c r="I124" s="43">
        <v>1</v>
      </c>
      <c r="J124" s="41" t="s">
        <v>11</v>
      </c>
      <c r="K124" s="41" t="s">
        <v>201</v>
      </c>
    </row>
    <row r="125" spans="1:11" ht="25.5" customHeight="1" thickBot="1" x14ac:dyDescent="0.3">
      <c r="A125" s="53" t="str">
        <f>D125</f>
        <v>КОМПЛЕКТ 15.  ЩО-3.3 (ЩРн-12з-0 36 УХЛ3 IP54)  |  Альбом 7.1 ЭО (Концертный зал)</v>
      </c>
      <c r="B125" s="54" t="s">
        <v>258</v>
      </c>
      <c r="C125" s="54"/>
      <c r="D125" s="54" t="s">
        <v>258</v>
      </c>
      <c r="E125" s="54"/>
      <c r="F125" s="54"/>
      <c r="G125" s="54"/>
      <c r="H125" s="54" t="s">
        <v>632</v>
      </c>
      <c r="I125" s="55">
        <v>1</v>
      </c>
      <c r="J125" s="2"/>
      <c r="K125" s="2"/>
    </row>
    <row r="126" spans="1:11" ht="25.5" customHeight="1" x14ac:dyDescent="0.25">
      <c r="A126" s="22" t="str">
        <f t="shared" ref="A126:A133" si="29">A125</f>
        <v>КОМПЛЕКТ 15.  ЩО-3.3 (ЩРн-12з-0 36 УХЛ3 IP54)  |  Альбом 7.1 ЭО (Концертный зал)</v>
      </c>
      <c r="B126" s="22" t="s">
        <v>259</v>
      </c>
      <c r="C126" s="22" t="s">
        <v>92</v>
      </c>
      <c r="D126" s="22" t="s">
        <v>180</v>
      </c>
      <c r="E126" s="21" t="s">
        <v>95</v>
      </c>
      <c r="F126" s="21" t="e">
        <f>0.6*E126</f>
        <v>#VALUE!</v>
      </c>
      <c r="G126" s="23" t="e">
        <f>F126*I126</f>
        <v>#VALUE!</v>
      </c>
      <c r="H126" s="23" t="s">
        <v>94</v>
      </c>
      <c r="I126" s="23">
        <v>1</v>
      </c>
      <c r="J126" s="22" t="s">
        <v>96</v>
      </c>
      <c r="K126" s="22" t="s">
        <v>201</v>
      </c>
    </row>
    <row r="127" spans="1:11" ht="25.5" customHeight="1" x14ac:dyDescent="0.25">
      <c r="A127" s="25" t="str">
        <f t="shared" si="29"/>
        <v>КОМПЛЕКТ 15.  ЩО-3.3 (ЩРн-12з-0 36 УХЛ3 IP54)  |  Альбом 7.1 ЭО (Концертный зал)</v>
      </c>
      <c r="B127" s="25" t="s">
        <v>181</v>
      </c>
      <c r="C127" s="25" t="s">
        <v>611</v>
      </c>
      <c r="D127" s="25" t="s">
        <v>604</v>
      </c>
      <c r="E127" s="26">
        <v>36.42</v>
      </c>
      <c r="F127" s="27">
        <f t="shared" ref="F127:F130" si="30">E127*0.3*1.33*590</f>
        <v>8573.6322000000018</v>
      </c>
      <c r="G127" s="27">
        <f>I127*F127</f>
        <v>8573.6322000000018</v>
      </c>
      <c r="H127" s="27" t="s">
        <v>94</v>
      </c>
      <c r="I127" s="27">
        <v>1</v>
      </c>
      <c r="J127" s="25" t="s">
        <v>182</v>
      </c>
      <c r="K127" s="41" t="s">
        <v>201</v>
      </c>
    </row>
    <row r="128" spans="1:11" ht="25.5" customHeight="1" x14ac:dyDescent="0.25">
      <c r="A128" s="29" t="str">
        <f t="shared" si="29"/>
        <v>КОМПЛЕКТ 15.  ЩО-3.3 (ЩРн-12з-0 36 УХЛ3 IP54)  |  Альбом 7.1 ЭО (Концертный зал)</v>
      </c>
      <c r="B128" s="29" t="s">
        <v>260</v>
      </c>
      <c r="C128" s="29" t="s">
        <v>610</v>
      </c>
      <c r="D128" s="29" t="s">
        <v>609</v>
      </c>
      <c r="E128" s="30">
        <v>8.09</v>
      </c>
      <c r="F128" s="27">
        <f t="shared" si="30"/>
        <v>1904.4669000000001</v>
      </c>
      <c r="G128" s="31">
        <f>I128*F128</f>
        <v>20949.135900000001</v>
      </c>
      <c r="H128" s="31" t="s">
        <v>94</v>
      </c>
      <c r="I128" s="31">
        <v>11</v>
      </c>
      <c r="J128" s="29"/>
      <c r="K128" s="29" t="s">
        <v>201</v>
      </c>
    </row>
    <row r="129" spans="1:11" ht="25.5" customHeight="1" x14ac:dyDescent="0.25">
      <c r="A129" s="25" t="str">
        <f t="shared" si="29"/>
        <v>КОМПЛЕКТ 15.  ЩО-3.3 (ЩРн-12з-0 36 УХЛ3 IP54)  |  Альбом 7.1 ЭО (Концертный зал)</v>
      </c>
      <c r="B129" s="25" t="s">
        <v>261</v>
      </c>
      <c r="C129" s="25" t="s">
        <v>153</v>
      </c>
      <c r="D129" s="25" t="s">
        <v>152</v>
      </c>
      <c r="E129" s="26">
        <f>ПАРАМЕТРЫ!C23</f>
        <v>87.63</v>
      </c>
      <c r="F129" s="27">
        <f t="shared" si="30"/>
        <v>20628.978300000002</v>
      </c>
      <c r="G129" s="27">
        <f>I129*F129</f>
        <v>0</v>
      </c>
      <c r="H129" s="27" t="s">
        <v>94</v>
      </c>
      <c r="I129" s="27">
        <v>0</v>
      </c>
      <c r="J129" s="25"/>
      <c r="K129" s="25" t="s">
        <v>201</v>
      </c>
    </row>
    <row r="130" spans="1:11" ht="25.5" customHeight="1" x14ac:dyDescent="0.25">
      <c r="A130" s="29" t="str">
        <f t="shared" si="29"/>
        <v>КОМПЛЕКТ 15.  ЩО-3.3 (ЩРн-12з-0 36 УХЛ3 IP54)  |  Альбом 7.1 ЭО (Концертный зал)</v>
      </c>
      <c r="B130" s="29" t="s">
        <v>262</v>
      </c>
      <c r="C130" s="29" t="s">
        <v>136</v>
      </c>
      <c r="D130" s="29" t="s">
        <v>135</v>
      </c>
      <c r="E130" s="30">
        <f>ПАРАМЕТРЫ!C33</f>
        <v>41.58</v>
      </c>
      <c r="F130" s="27">
        <f t="shared" si="30"/>
        <v>9788.3477999999996</v>
      </c>
      <c r="G130" s="31">
        <f>I130*F130</f>
        <v>29365.043399999999</v>
      </c>
      <c r="H130" s="31" t="s">
        <v>94</v>
      </c>
      <c r="I130" s="31">
        <v>3</v>
      </c>
      <c r="J130" s="29"/>
      <c r="K130" s="29" t="s">
        <v>201</v>
      </c>
    </row>
    <row r="131" spans="1:11" ht="25.5" customHeight="1" x14ac:dyDescent="0.25">
      <c r="A131" s="25" t="str">
        <f t="shared" si="29"/>
        <v>КОМПЛЕКТ 15.  ЩО-3.3 (ЩРн-12з-0 36 УХЛ3 IP54)  |  Альбом 7.1 ЭО (Концертный зал)</v>
      </c>
      <c r="B131" s="25" t="s">
        <v>263</v>
      </c>
      <c r="C131" s="25" t="s">
        <v>95</v>
      </c>
      <c r="D131" s="25" t="s">
        <v>206</v>
      </c>
      <c r="E131" s="26">
        <f>ПАРАМЕТРЫ!C37</f>
        <v>1.5</v>
      </c>
      <c r="F131" s="27">
        <f>ПАРАМЕТРЫ!D37</f>
        <v>353.11499999999995</v>
      </c>
      <c r="G131" s="27">
        <f>I131*F131</f>
        <v>1059.3449999999998</v>
      </c>
      <c r="H131" s="27" t="s">
        <v>94</v>
      </c>
      <c r="I131" s="27">
        <v>3</v>
      </c>
      <c r="J131" s="25"/>
      <c r="K131" s="25" t="s">
        <v>201</v>
      </c>
    </row>
    <row r="132" spans="1:11" ht="25.5" customHeight="1" x14ac:dyDescent="0.25">
      <c r="A132" s="37" t="str">
        <f t="shared" si="29"/>
        <v>КОМПЛЕКТ 15.  ЩО-3.3 (ЩРн-12з-0 36 УХЛ3 IP54)  |  Альбом 7.1 ЭО (Концертный зал)</v>
      </c>
      <c r="B132" s="37" t="s">
        <v>264</v>
      </c>
      <c r="C132" s="37"/>
      <c r="D132" s="37" t="s">
        <v>124</v>
      </c>
      <c r="E132" s="36" t="s">
        <v>95</v>
      </c>
      <c r="F132" s="38" t="str">
        <f>ПАРАМЕТРЫ!C6&amp;"%"</f>
        <v>12%</v>
      </c>
      <c r="G132" s="39">
        <f>(G127+G128+G129+G130+G131)*ПАРАМЕТРЫ!C6/100</f>
        <v>7193.6587800000007</v>
      </c>
      <c r="H132" s="39" t="s">
        <v>94</v>
      </c>
      <c r="I132" s="39">
        <v>1</v>
      </c>
      <c r="J132" s="37" t="s">
        <v>11</v>
      </c>
      <c r="K132" s="37" t="s">
        <v>201</v>
      </c>
    </row>
    <row r="133" spans="1:11" ht="25.5" customHeight="1" thickBot="1" x14ac:dyDescent="0.3">
      <c r="A133" s="41" t="str">
        <f t="shared" si="29"/>
        <v>КОМПЛЕКТ 15.  ЩО-3.3 (ЩРн-12з-0 36 УХЛ3 IP54)  |  Альбом 7.1 ЭО (Концертный зал)</v>
      </c>
      <c r="B133" s="41" t="s">
        <v>265</v>
      </c>
      <c r="C133" s="41"/>
      <c r="D133" s="41" t="s">
        <v>126</v>
      </c>
      <c r="E133" s="40" t="s">
        <v>95</v>
      </c>
      <c r="F133" s="42" t="str">
        <f>ПАРАМЕТРЫ!C7&amp;"%"</f>
        <v>15%</v>
      </c>
      <c r="G133" s="43">
        <f>(G127+G128+G129+G130+G131)*ПАРАМЕТРЫ!C7/100</f>
        <v>8992.0734749999992</v>
      </c>
      <c r="H133" s="43" t="s">
        <v>94</v>
      </c>
      <c r="I133" s="43">
        <v>1</v>
      </c>
      <c r="J133" s="41" t="s">
        <v>11</v>
      </c>
      <c r="K133" s="41" t="s">
        <v>201</v>
      </c>
    </row>
    <row r="134" spans="1:11" ht="25.5" customHeight="1" thickBot="1" x14ac:dyDescent="0.3">
      <c r="A134" s="53" t="str">
        <f>D134</f>
        <v>КОМПЛЕКТ 16.  ЩО-Зз (ЩРн-18з-0 36 УХЛ3 IP54)  |  Альбом 7.1 ЭО (Концертный зал)</v>
      </c>
      <c r="B134" s="54" t="s">
        <v>266</v>
      </c>
      <c r="C134" s="54"/>
      <c r="D134" s="54" t="s">
        <v>266</v>
      </c>
      <c r="E134" s="54"/>
      <c r="F134" s="54"/>
      <c r="G134" s="54"/>
      <c r="H134" s="54" t="s">
        <v>632</v>
      </c>
      <c r="I134" s="55">
        <v>1</v>
      </c>
      <c r="J134" s="2"/>
      <c r="K134" s="2"/>
    </row>
    <row r="135" spans="1:11" ht="25.5" customHeight="1" x14ac:dyDescent="0.25">
      <c r="A135" s="22" t="str">
        <f t="shared" ref="A135:A142" si="31">A134</f>
        <v>КОМПЛЕКТ 16.  ЩО-Зз (ЩРн-18з-0 36 УХЛ3 IP54)  |  Альбом 7.1 ЭО (Концертный зал)</v>
      </c>
      <c r="B135" s="22" t="s">
        <v>267</v>
      </c>
      <c r="C135" s="22" t="s">
        <v>92</v>
      </c>
      <c r="D135" s="22" t="s">
        <v>146</v>
      </c>
      <c r="E135" s="21" t="s">
        <v>95</v>
      </c>
      <c r="F135" s="21" t="e">
        <f>0.6*E135</f>
        <v>#VALUE!</v>
      </c>
      <c r="G135" s="23" t="e">
        <f>F135*I135</f>
        <v>#VALUE!</v>
      </c>
      <c r="H135" s="23" t="s">
        <v>94</v>
      </c>
      <c r="I135" s="23">
        <v>1</v>
      </c>
      <c r="J135" s="22" t="s">
        <v>96</v>
      </c>
      <c r="K135" s="22" t="s">
        <v>201</v>
      </c>
    </row>
    <row r="136" spans="1:11" ht="25.5" customHeight="1" x14ac:dyDescent="0.25">
      <c r="A136" s="25" t="str">
        <f t="shared" si="31"/>
        <v>КОМПЛЕКТ 16.  ЩО-Зз (ЩРн-18з-0 36 УХЛ3 IP54)  |  Альбом 7.1 ЭО (Концертный зал)</v>
      </c>
      <c r="B136" s="25" t="s">
        <v>181</v>
      </c>
      <c r="C136" s="25" t="s">
        <v>611</v>
      </c>
      <c r="D136" s="25" t="s">
        <v>604</v>
      </c>
      <c r="E136" s="26">
        <v>36.42</v>
      </c>
      <c r="F136" s="27">
        <f t="shared" ref="F136:F139" si="32">E136*0.3*1.33*590</f>
        <v>8573.6322000000018</v>
      </c>
      <c r="G136" s="27">
        <f>I136*F136</f>
        <v>8573.6322000000018</v>
      </c>
      <c r="H136" s="27" t="s">
        <v>94</v>
      </c>
      <c r="I136" s="27">
        <v>1</v>
      </c>
      <c r="J136" s="25" t="s">
        <v>182</v>
      </c>
      <c r="K136" s="41" t="s">
        <v>201</v>
      </c>
    </row>
    <row r="137" spans="1:11" ht="25.5" customHeight="1" x14ac:dyDescent="0.25">
      <c r="A137" s="29" t="str">
        <f t="shared" si="31"/>
        <v>КОМПЛЕКТ 16.  ЩО-Зз (ЩРн-18з-0 36 УХЛ3 IP54)  |  Альбом 7.1 ЭО (Концертный зал)</v>
      </c>
      <c r="B137" s="29" t="s">
        <v>268</v>
      </c>
      <c r="C137" s="29" t="s">
        <v>610</v>
      </c>
      <c r="D137" s="29" t="s">
        <v>609</v>
      </c>
      <c r="E137" s="30">
        <v>8.09</v>
      </c>
      <c r="F137" s="27">
        <f t="shared" si="32"/>
        <v>1904.4669000000001</v>
      </c>
      <c r="G137" s="31">
        <f>I137*F137</f>
        <v>30471.470400000002</v>
      </c>
      <c r="H137" s="31" t="s">
        <v>94</v>
      </c>
      <c r="I137" s="31">
        <v>16</v>
      </c>
      <c r="J137" s="29"/>
      <c r="K137" s="29" t="s">
        <v>201</v>
      </c>
    </row>
    <row r="138" spans="1:11" ht="25.5" customHeight="1" x14ac:dyDescent="0.25">
      <c r="A138" s="25" t="str">
        <f t="shared" si="31"/>
        <v>КОМПЛЕКТ 16.  ЩО-Зз (ЩРн-18з-0 36 УХЛ3 IP54)  |  Альбом 7.1 ЭО (Концертный зал)</v>
      </c>
      <c r="B138" s="25" t="s">
        <v>269</v>
      </c>
      <c r="C138" s="25" t="s">
        <v>153</v>
      </c>
      <c r="D138" s="25" t="s">
        <v>152</v>
      </c>
      <c r="E138" s="26">
        <f>ПАРАМЕТРЫ!C23</f>
        <v>87.63</v>
      </c>
      <c r="F138" s="27">
        <f t="shared" si="32"/>
        <v>20628.978300000002</v>
      </c>
      <c r="G138" s="27">
        <f>I138*F138</f>
        <v>0</v>
      </c>
      <c r="H138" s="27" t="s">
        <v>94</v>
      </c>
      <c r="I138" s="27">
        <v>0</v>
      </c>
      <c r="J138" s="25"/>
      <c r="K138" s="25" t="s">
        <v>201</v>
      </c>
    </row>
    <row r="139" spans="1:11" ht="25.5" customHeight="1" x14ac:dyDescent="0.25">
      <c r="A139" s="29" t="str">
        <f t="shared" si="31"/>
        <v>КОМПЛЕКТ 16.  ЩО-Зз (ЩРн-18з-0 36 УХЛ3 IP54)  |  Альбом 7.1 ЭО (Концертный зал)</v>
      </c>
      <c r="B139" s="29" t="s">
        <v>270</v>
      </c>
      <c r="C139" s="29" t="s">
        <v>136</v>
      </c>
      <c r="D139" s="29" t="s">
        <v>135</v>
      </c>
      <c r="E139" s="30">
        <f>ПАРАМЕТРЫ!C33</f>
        <v>41.58</v>
      </c>
      <c r="F139" s="27">
        <f t="shared" si="32"/>
        <v>9788.3477999999996</v>
      </c>
      <c r="G139" s="31">
        <f>I139*F139</f>
        <v>0</v>
      </c>
      <c r="H139" s="31" t="s">
        <v>94</v>
      </c>
      <c r="I139" s="31">
        <v>0</v>
      </c>
      <c r="J139" s="29"/>
      <c r="K139" s="29" t="s">
        <v>201</v>
      </c>
    </row>
    <row r="140" spans="1:11" ht="25.5" customHeight="1" x14ac:dyDescent="0.25">
      <c r="A140" s="25" t="str">
        <f t="shared" si="31"/>
        <v>КОМПЛЕКТ 16.  ЩО-Зз (ЩРн-18з-0 36 УХЛ3 IP54)  |  Альбом 7.1 ЭО (Концертный зал)</v>
      </c>
      <c r="B140" s="25" t="s">
        <v>271</v>
      </c>
      <c r="C140" s="25" t="s">
        <v>95</v>
      </c>
      <c r="D140" s="25" t="s">
        <v>206</v>
      </c>
      <c r="E140" s="26">
        <f>ПАРАМЕТРЫ!C37</f>
        <v>1.5</v>
      </c>
      <c r="F140" s="27">
        <f>ПАРАМЕТРЫ!D37</f>
        <v>353.11499999999995</v>
      </c>
      <c r="G140" s="27">
        <f>I140*F140</f>
        <v>0</v>
      </c>
      <c r="H140" s="27" t="s">
        <v>94</v>
      </c>
      <c r="I140" s="27">
        <v>0</v>
      </c>
      <c r="J140" s="25"/>
      <c r="K140" s="25" t="s">
        <v>201</v>
      </c>
    </row>
    <row r="141" spans="1:11" ht="25.5" customHeight="1" x14ac:dyDescent="0.25">
      <c r="A141" s="37" t="str">
        <f t="shared" si="31"/>
        <v>КОМПЛЕКТ 16.  ЩО-Зз (ЩРн-18з-0 36 УХЛ3 IP54)  |  Альбом 7.1 ЭО (Концертный зал)</v>
      </c>
      <c r="B141" s="37" t="s">
        <v>272</v>
      </c>
      <c r="C141" s="37"/>
      <c r="D141" s="37" t="s">
        <v>124</v>
      </c>
      <c r="E141" s="36" t="s">
        <v>95</v>
      </c>
      <c r="F141" s="38" t="str">
        <f>ПАРАМЕТРЫ!C6&amp;"%"</f>
        <v>12%</v>
      </c>
      <c r="G141" s="39">
        <f>(G136+G137+G138+G139+G140)*ПАРАМЕТРЫ!C6/100</f>
        <v>4685.4123120000004</v>
      </c>
      <c r="H141" s="39" t="s">
        <v>94</v>
      </c>
      <c r="I141" s="39">
        <v>1</v>
      </c>
      <c r="J141" s="37" t="s">
        <v>11</v>
      </c>
      <c r="K141" s="37" t="s">
        <v>201</v>
      </c>
    </row>
    <row r="142" spans="1:11" ht="25.5" customHeight="1" thickBot="1" x14ac:dyDescent="0.3">
      <c r="A142" s="41" t="str">
        <f t="shared" si="31"/>
        <v>КОМПЛЕКТ 16.  ЩО-Зз (ЩРн-18з-0 36 УХЛ3 IP54)  |  Альбом 7.1 ЭО (Концертный зал)</v>
      </c>
      <c r="B142" s="41" t="s">
        <v>273</v>
      </c>
      <c r="C142" s="41"/>
      <c r="D142" s="41" t="s">
        <v>126</v>
      </c>
      <c r="E142" s="40" t="s">
        <v>95</v>
      </c>
      <c r="F142" s="42" t="str">
        <f>ПАРАМЕТРЫ!C7&amp;"%"</f>
        <v>15%</v>
      </c>
      <c r="G142" s="43">
        <f>(G136+G137+G138+G139+G140)*ПАРАМЕТРЫ!C7/100</f>
        <v>5856.7653900000014</v>
      </c>
      <c r="H142" s="43" t="s">
        <v>94</v>
      </c>
      <c r="I142" s="43">
        <v>1</v>
      </c>
      <c r="J142" s="41" t="s">
        <v>11</v>
      </c>
      <c r="K142" s="41" t="s">
        <v>201</v>
      </c>
    </row>
    <row r="143" spans="1:11" ht="25.5" customHeight="1" thickBot="1" x14ac:dyDescent="0.3">
      <c r="A143" s="53" t="str">
        <f>D143</f>
        <v>КОМПЛЕКТ 17.  ЩОА-1.1 (ЩРн-12з-0 36 УХЛ3 IP54)  |  Альбом 7.1 ЭО (Концертный зал)</v>
      </c>
      <c r="B143" s="54" t="s">
        <v>274</v>
      </c>
      <c r="C143" s="54"/>
      <c r="D143" s="54" t="s">
        <v>274</v>
      </c>
      <c r="E143" s="54"/>
      <c r="F143" s="54"/>
      <c r="G143" s="54"/>
      <c r="H143" s="54" t="s">
        <v>632</v>
      </c>
      <c r="I143" s="55">
        <v>1</v>
      </c>
      <c r="J143" s="2"/>
      <c r="K143" s="2"/>
    </row>
    <row r="144" spans="1:11" ht="25.5" customHeight="1" x14ac:dyDescent="0.25">
      <c r="A144" s="22" t="str">
        <f t="shared" ref="A144:A148" si="33">A143</f>
        <v>КОМПЛЕКТ 17.  ЩОА-1.1 (ЩРн-12з-0 36 УХЛ3 IP54)  |  Альбом 7.1 ЭО (Концертный зал)</v>
      </c>
      <c r="B144" s="22" t="s">
        <v>275</v>
      </c>
      <c r="C144" s="22" t="s">
        <v>92</v>
      </c>
      <c r="D144" s="22" t="s">
        <v>129</v>
      </c>
      <c r="E144" s="21" t="s">
        <v>95</v>
      </c>
      <c r="F144" s="21" t="e">
        <f>0.6*E144</f>
        <v>#VALUE!</v>
      </c>
      <c r="G144" s="23" t="e">
        <f>F144*I144</f>
        <v>#VALUE!</v>
      </c>
      <c r="H144" s="23" t="s">
        <v>94</v>
      </c>
      <c r="I144" s="23">
        <v>1</v>
      </c>
      <c r="J144" s="22" t="s">
        <v>96</v>
      </c>
      <c r="K144" s="22" t="s">
        <v>201</v>
      </c>
    </row>
    <row r="145" spans="1:11" ht="25.5" customHeight="1" x14ac:dyDescent="0.25">
      <c r="A145" s="25" t="str">
        <f t="shared" si="33"/>
        <v>КОМПЛЕКТ 17.  ЩОА-1.1 (ЩРн-12з-0 36 УХЛ3 IP54)  |  Альбом 7.1 ЭО (Концертный зал)</v>
      </c>
      <c r="B145" s="25" t="s">
        <v>181</v>
      </c>
      <c r="C145" s="25" t="s">
        <v>611</v>
      </c>
      <c r="D145" s="25" t="s">
        <v>604</v>
      </c>
      <c r="E145" s="26">
        <v>36.42</v>
      </c>
      <c r="F145" s="27">
        <f t="shared" ref="F145:F146" si="34">E145*0.3*1.33*590</f>
        <v>8573.6322000000018</v>
      </c>
      <c r="G145" s="27">
        <f>I145*F145</f>
        <v>8573.6322000000018</v>
      </c>
      <c r="H145" s="27" t="s">
        <v>94</v>
      </c>
      <c r="I145" s="27">
        <v>1</v>
      </c>
      <c r="J145" s="25" t="s">
        <v>182</v>
      </c>
      <c r="K145" s="41" t="s">
        <v>201</v>
      </c>
    </row>
    <row r="146" spans="1:11" ht="25.5" customHeight="1" x14ac:dyDescent="0.25">
      <c r="A146" s="29" t="str">
        <f t="shared" si="33"/>
        <v>КОМПЛЕКТ 17.  ЩОА-1.1 (ЩРн-12з-0 36 УХЛ3 IP54)  |  Альбом 7.1 ЭО (Концертный зал)</v>
      </c>
      <c r="B146" s="29" t="s">
        <v>276</v>
      </c>
      <c r="C146" s="29" t="s">
        <v>610</v>
      </c>
      <c r="D146" s="29" t="s">
        <v>609</v>
      </c>
      <c r="E146" s="30">
        <v>8.09</v>
      </c>
      <c r="F146" s="27">
        <f t="shared" si="34"/>
        <v>1904.4669000000001</v>
      </c>
      <c r="G146" s="31">
        <f>I146*F146</f>
        <v>5713.4007000000001</v>
      </c>
      <c r="H146" s="31" t="s">
        <v>94</v>
      </c>
      <c r="I146" s="31">
        <v>3</v>
      </c>
      <c r="J146" s="29"/>
      <c r="K146" s="29" t="s">
        <v>201</v>
      </c>
    </row>
    <row r="147" spans="1:11" ht="25.5" customHeight="1" x14ac:dyDescent="0.25">
      <c r="A147" s="37" t="str">
        <f t="shared" si="33"/>
        <v>КОМПЛЕКТ 17.  ЩОА-1.1 (ЩРн-12з-0 36 УХЛ3 IP54)  |  Альбом 7.1 ЭО (Концертный зал)</v>
      </c>
      <c r="B147" s="37" t="s">
        <v>277</v>
      </c>
      <c r="C147" s="37"/>
      <c r="D147" s="37" t="s">
        <v>124</v>
      </c>
      <c r="E147" s="36" t="s">
        <v>95</v>
      </c>
      <c r="F147" s="38" t="str">
        <f>ПАРАМЕТРЫ!C6&amp;"%"</f>
        <v>12%</v>
      </c>
      <c r="G147" s="39">
        <f>(G145+G146)*ПАРАМЕТРЫ!C6/100</f>
        <v>1714.4439480000001</v>
      </c>
      <c r="H147" s="39" t="s">
        <v>94</v>
      </c>
      <c r="I147" s="39">
        <v>1</v>
      </c>
      <c r="J147" s="37" t="s">
        <v>11</v>
      </c>
      <c r="K147" s="37" t="s">
        <v>201</v>
      </c>
    </row>
    <row r="148" spans="1:11" ht="25.5" customHeight="1" thickBot="1" x14ac:dyDescent="0.3">
      <c r="A148" s="41" t="str">
        <f t="shared" si="33"/>
        <v>КОМПЛЕКТ 17.  ЩОА-1.1 (ЩРн-12з-0 36 УХЛ3 IP54)  |  Альбом 7.1 ЭО (Концертный зал)</v>
      </c>
      <c r="B148" s="41" t="s">
        <v>278</v>
      </c>
      <c r="C148" s="41"/>
      <c r="D148" s="41" t="s">
        <v>126</v>
      </c>
      <c r="E148" s="40" t="s">
        <v>95</v>
      </c>
      <c r="F148" s="42" t="str">
        <f>ПАРАМЕТРЫ!C7&amp;"%"</f>
        <v>15%</v>
      </c>
      <c r="G148" s="43">
        <f>(G145+G146)*ПАРАМЕТРЫ!C7/100</f>
        <v>2143.0549350000006</v>
      </c>
      <c r="H148" s="43" t="s">
        <v>94</v>
      </c>
      <c r="I148" s="43">
        <v>1</v>
      </c>
      <c r="J148" s="41" t="s">
        <v>11</v>
      </c>
      <c r="K148" s="41" t="s">
        <v>201</v>
      </c>
    </row>
    <row r="149" spans="1:11" ht="25.5" customHeight="1" thickBot="1" x14ac:dyDescent="0.3">
      <c r="A149" s="53" t="str">
        <f>D149</f>
        <v>КОМПЛЕКТ 18.  ЩОА-1.2 (ЩРн-12з-0 36 УХЛ3 IP54)  |  Альбом 7.1 ЭО (Концертный зал)</v>
      </c>
      <c r="B149" s="54" t="s">
        <v>279</v>
      </c>
      <c r="C149" s="54"/>
      <c r="D149" s="54" t="s">
        <v>279</v>
      </c>
      <c r="E149" s="54"/>
      <c r="F149" s="54"/>
      <c r="G149" s="54"/>
      <c r="H149" s="54" t="s">
        <v>632</v>
      </c>
      <c r="I149" s="55">
        <v>1</v>
      </c>
      <c r="J149" s="2"/>
      <c r="K149" s="2"/>
    </row>
    <row r="150" spans="1:11" ht="25.5" customHeight="1" x14ac:dyDescent="0.25">
      <c r="A150" s="22" t="str">
        <f t="shared" ref="A150:A154" si="35">A149</f>
        <v>КОМПЛЕКТ 18.  ЩОА-1.2 (ЩРн-12з-0 36 УХЛ3 IP54)  |  Альбом 7.1 ЭО (Концертный зал)</v>
      </c>
      <c r="B150" s="22" t="s">
        <v>280</v>
      </c>
      <c r="C150" s="22" t="s">
        <v>92</v>
      </c>
      <c r="D150" s="22" t="s">
        <v>129</v>
      </c>
      <c r="E150" s="21" t="s">
        <v>95</v>
      </c>
      <c r="F150" s="21" t="e">
        <f>0.6*E150</f>
        <v>#VALUE!</v>
      </c>
      <c r="G150" s="23" t="e">
        <f>F150*I150</f>
        <v>#VALUE!</v>
      </c>
      <c r="H150" s="23" t="s">
        <v>94</v>
      </c>
      <c r="I150" s="23">
        <v>1</v>
      </c>
      <c r="J150" s="22" t="s">
        <v>96</v>
      </c>
      <c r="K150" s="22" t="s">
        <v>201</v>
      </c>
    </row>
    <row r="151" spans="1:11" ht="25.5" customHeight="1" x14ac:dyDescent="0.25">
      <c r="A151" s="25" t="str">
        <f t="shared" si="35"/>
        <v>КОМПЛЕКТ 18.  ЩОА-1.2 (ЩРн-12з-0 36 УХЛ3 IP54)  |  Альбом 7.1 ЭО (Концертный зал)</v>
      </c>
      <c r="B151" s="25" t="s">
        <v>181</v>
      </c>
      <c r="C151" s="25" t="s">
        <v>611</v>
      </c>
      <c r="D151" s="25" t="s">
        <v>604</v>
      </c>
      <c r="E151" s="26">
        <v>36.42</v>
      </c>
      <c r="F151" s="27">
        <f t="shared" ref="F151:F152" si="36">E151*0.3*1.33*590</f>
        <v>8573.6322000000018</v>
      </c>
      <c r="G151" s="27">
        <f>I151*F151</f>
        <v>8573.6322000000018</v>
      </c>
      <c r="H151" s="27" t="s">
        <v>94</v>
      </c>
      <c r="I151" s="27">
        <v>1</v>
      </c>
      <c r="J151" s="25" t="s">
        <v>182</v>
      </c>
      <c r="K151" s="41" t="s">
        <v>201</v>
      </c>
    </row>
    <row r="152" spans="1:11" ht="25.5" customHeight="1" x14ac:dyDescent="0.25">
      <c r="A152" s="29" t="str">
        <f t="shared" si="35"/>
        <v>КОМПЛЕКТ 18.  ЩОА-1.2 (ЩРн-12з-0 36 УХЛ3 IP54)  |  Альбом 7.1 ЭО (Концертный зал)</v>
      </c>
      <c r="B152" s="29" t="s">
        <v>281</v>
      </c>
      <c r="C152" s="29" t="s">
        <v>610</v>
      </c>
      <c r="D152" s="29" t="s">
        <v>609</v>
      </c>
      <c r="E152" s="30">
        <v>8.09</v>
      </c>
      <c r="F152" s="27">
        <f t="shared" si="36"/>
        <v>1904.4669000000001</v>
      </c>
      <c r="G152" s="31">
        <f>I152*F152</f>
        <v>5713.4007000000001</v>
      </c>
      <c r="H152" s="31" t="s">
        <v>94</v>
      </c>
      <c r="I152" s="31">
        <v>3</v>
      </c>
      <c r="J152" s="29"/>
      <c r="K152" s="29" t="s">
        <v>201</v>
      </c>
    </row>
    <row r="153" spans="1:11" ht="25.5" customHeight="1" x14ac:dyDescent="0.25">
      <c r="A153" s="37" t="str">
        <f t="shared" si="35"/>
        <v>КОМПЛЕКТ 18.  ЩОА-1.2 (ЩРн-12з-0 36 УХЛ3 IP54)  |  Альбом 7.1 ЭО (Концертный зал)</v>
      </c>
      <c r="B153" s="37" t="s">
        <v>282</v>
      </c>
      <c r="C153" s="37"/>
      <c r="D153" s="37" t="s">
        <v>124</v>
      </c>
      <c r="E153" s="36" t="s">
        <v>95</v>
      </c>
      <c r="F153" s="38" t="str">
        <f>ПАРАМЕТРЫ!C6&amp;"%"</f>
        <v>12%</v>
      </c>
      <c r="G153" s="39">
        <f>(G151+G152)*ПАРАМЕТРЫ!C6/100</f>
        <v>1714.4439480000001</v>
      </c>
      <c r="H153" s="39" t="s">
        <v>94</v>
      </c>
      <c r="I153" s="39">
        <v>1</v>
      </c>
      <c r="J153" s="37" t="s">
        <v>11</v>
      </c>
      <c r="K153" s="37" t="s">
        <v>201</v>
      </c>
    </row>
    <row r="154" spans="1:11" ht="25.5" customHeight="1" thickBot="1" x14ac:dyDescent="0.3">
      <c r="A154" s="41" t="str">
        <f t="shared" si="35"/>
        <v>КОМПЛЕКТ 18.  ЩОА-1.2 (ЩРн-12з-0 36 УХЛ3 IP54)  |  Альбом 7.1 ЭО (Концертный зал)</v>
      </c>
      <c r="B154" s="41" t="s">
        <v>283</v>
      </c>
      <c r="C154" s="41"/>
      <c r="D154" s="41" t="s">
        <v>126</v>
      </c>
      <c r="E154" s="40" t="s">
        <v>95</v>
      </c>
      <c r="F154" s="42" t="str">
        <f>ПАРАМЕТРЫ!C7&amp;"%"</f>
        <v>15%</v>
      </c>
      <c r="G154" s="43">
        <f>(G151+G152)*ПАРАМЕТРЫ!C7/100</f>
        <v>2143.0549350000006</v>
      </c>
      <c r="H154" s="43" t="s">
        <v>94</v>
      </c>
      <c r="I154" s="43">
        <v>1</v>
      </c>
      <c r="J154" s="41" t="s">
        <v>11</v>
      </c>
      <c r="K154" s="41" t="s">
        <v>201</v>
      </c>
    </row>
    <row r="155" spans="1:11" ht="25.5" customHeight="1" thickBot="1" x14ac:dyDescent="0.3">
      <c r="A155" s="53" t="str">
        <f>D155</f>
        <v>КОМПЛЕКТ 19.  ЩОА-1.3 (ЩРн-12з-0 36 УХЛ3 IP54)  |  Альбом 7.1 ЭО (Концертный зал)</v>
      </c>
      <c r="B155" s="54" t="s">
        <v>284</v>
      </c>
      <c r="C155" s="54"/>
      <c r="D155" s="54" t="s">
        <v>284</v>
      </c>
      <c r="E155" s="54"/>
      <c r="F155" s="54"/>
      <c r="G155" s="54"/>
      <c r="H155" s="54" t="s">
        <v>632</v>
      </c>
      <c r="I155" s="55">
        <v>1</v>
      </c>
      <c r="J155" s="2"/>
      <c r="K155" s="2"/>
    </row>
    <row r="156" spans="1:11" ht="25.5" customHeight="1" x14ac:dyDescent="0.25">
      <c r="A156" s="22" t="str">
        <f t="shared" ref="A156:A160" si="37">A155</f>
        <v>КОМПЛЕКТ 19.  ЩОА-1.3 (ЩРн-12з-0 36 УХЛ3 IP54)  |  Альбом 7.1 ЭО (Концертный зал)</v>
      </c>
      <c r="B156" s="22" t="s">
        <v>285</v>
      </c>
      <c r="C156" s="22" t="s">
        <v>92</v>
      </c>
      <c r="D156" s="22" t="s">
        <v>129</v>
      </c>
      <c r="E156" s="21" t="s">
        <v>95</v>
      </c>
      <c r="F156" s="21" t="e">
        <f>0.6*E156</f>
        <v>#VALUE!</v>
      </c>
      <c r="G156" s="23" t="e">
        <f>F156*I156</f>
        <v>#VALUE!</v>
      </c>
      <c r="H156" s="23" t="s">
        <v>94</v>
      </c>
      <c r="I156" s="23">
        <v>1</v>
      </c>
      <c r="J156" s="22" t="s">
        <v>96</v>
      </c>
      <c r="K156" s="22" t="s">
        <v>201</v>
      </c>
    </row>
    <row r="157" spans="1:11" ht="25.5" customHeight="1" x14ac:dyDescent="0.25">
      <c r="A157" s="25" t="str">
        <f t="shared" si="37"/>
        <v>КОМПЛЕКТ 19.  ЩОА-1.3 (ЩРн-12з-0 36 УХЛ3 IP54)  |  Альбом 7.1 ЭО (Концертный зал)</v>
      </c>
      <c r="B157" s="25" t="s">
        <v>181</v>
      </c>
      <c r="C157" s="25" t="s">
        <v>611</v>
      </c>
      <c r="D157" s="25" t="s">
        <v>604</v>
      </c>
      <c r="E157" s="26">
        <v>36.42</v>
      </c>
      <c r="F157" s="27">
        <f t="shared" ref="F157:F158" si="38">E157*0.3*1.33*590</f>
        <v>8573.6322000000018</v>
      </c>
      <c r="G157" s="27">
        <f>I157*F157</f>
        <v>8573.6322000000018</v>
      </c>
      <c r="H157" s="27" t="s">
        <v>94</v>
      </c>
      <c r="I157" s="27">
        <v>1</v>
      </c>
      <c r="J157" s="25" t="s">
        <v>182</v>
      </c>
      <c r="K157" s="41" t="s">
        <v>201</v>
      </c>
    </row>
    <row r="158" spans="1:11" ht="25.5" customHeight="1" x14ac:dyDescent="0.25">
      <c r="A158" s="29" t="str">
        <f t="shared" si="37"/>
        <v>КОМПЛЕКТ 19.  ЩОА-1.3 (ЩРн-12з-0 36 УХЛ3 IP54)  |  Альбом 7.1 ЭО (Концертный зал)</v>
      </c>
      <c r="B158" s="29" t="s">
        <v>286</v>
      </c>
      <c r="C158" s="29" t="s">
        <v>610</v>
      </c>
      <c r="D158" s="29" t="s">
        <v>609</v>
      </c>
      <c r="E158" s="30">
        <v>8.09</v>
      </c>
      <c r="F158" s="27">
        <f t="shared" si="38"/>
        <v>1904.4669000000001</v>
      </c>
      <c r="G158" s="31">
        <f>I158*F158</f>
        <v>9522.3345000000008</v>
      </c>
      <c r="H158" s="31" t="s">
        <v>94</v>
      </c>
      <c r="I158" s="31">
        <v>5</v>
      </c>
      <c r="J158" s="29"/>
      <c r="K158" s="29" t="s">
        <v>201</v>
      </c>
    </row>
    <row r="159" spans="1:11" ht="25.5" customHeight="1" x14ac:dyDescent="0.25">
      <c r="A159" s="37" t="str">
        <f t="shared" si="37"/>
        <v>КОМПЛЕКТ 19.  ЩОА-1.3 (ЩРн-12з-0 36 УХЛ3 IP54)  |  Альбом 7.1 ЭО (Концертный зал)</v>
      </c>
      <c r="B159" s="37" t="s">
        <v>287</v>
      </c>
      <c r="C159" s="37"/>
      <c r="D159" s="37" t="s">
        <v>124</v>
      </c>
      <c r="E159" s="36" t="s">
        <v>95</v>
      </c>
      <c r="F159" s="38" t="str">
        <f>ПАРАМЕТРЫ!C6&amp;"%"</f>
        <v>12%</v>
      </c>
      <c r="G159" s="39">
        <f>(G157+G158)*ПАРАМЕТРЫ!C6/100</f>
        <v>2171.5160040000005</v>
      </c>
      <c r="H159" s="39" t="s">
        <v>94</v>
      </c>
      <c r="I159" s="39">
        <v>1</v>
      </c>
      <c r="J159" s="37" t="s">
        <v>11</v>
      </c>
      <c r="K159" s="37" t="s">
        <v>201</v>
      </c>
    </row>
    <row r="160" spans="1:11" ht="25.5" customHeight="1" thickBot="1" x14ac:dyDescent="0.3">
      <c r="A160" s="41" t="str">
        <f t="shared" si="37"/>
        <v>КОМПЛЕКТ 19.  ЩОА-1.3 (ЩРн-12з-0 36 УХЛ3 IP54)  |  Альбом 7.1 ЭО (Концертный зал)</v>
      </c>
      <c r="B160" s="41" t="s">
        <v>288</v>
      </c>
      <c r="C160" s="41"/>
      <c r="D160" s="41" t="s">
        <v>126</v>
      </c>
      <c r="E160" s="40" t="s">
        <v>95</v>
      </c>
      <c r="F160" s="42" t="str">
        <f>ПАРАМЕТРЫ!C7&amp;"%"</f>
        <v>15%</v>
      </c>
      <c r="G160" s="43">
        <f>(G157+G158)*ПАРАМЕТРЫ!C7/100</f>
        <v>2714.3950050000008</v>
      </c>
      <c r="H160" s="43" t="s">
        <v>94</v>
      </c>
      <c r="I160" s="43">
        <v>1</v>
      </c>
      <c r="J160" s="41" t="s">
        <v>11</v>
      </c>
      <c r="K160" s="41" t="s">
        <v>201</v>
      </c>
    </row>
    <row r="161" spans="1:11" ht="25.5" customHeight="1" thickBot="1" x14ac:dyDescent="0.3">
      <c r="A161" s="53" t="str">
        <f>D161</f>
        <v>КОМПЛЕКТ 20.  ЩОА-2.1 (ЩРн-12з-0 36 УХЛ3 IP54)  |  Альбом 7.1 ЭО (Концертный зал)</v>
      </c>
      <c r="B161" s="54" t="s">
        <v>289</v>
      </c>
      <c r="C161" s="54"/>
      <c r="D161" s="54" t="s">
        <v>289</v>
      </c>
      <c r="E161" s="54"/>
      <c r="F161" s="54"/>
      <c r="G161" s="54"/>
      <c r="H161" s="54" t="s">
        <v>632</v>
      </c>
      <c r="I161" s="55">
        <v>1</v>
      </c>
      <c r="J161" s="2"/>
      <c r="K161" s="2"/>
    </row>
    <row r="162" spans="1:11" ht="25.5" customHeight="1" x14ac:dyDescent="0.25">
      <c r="A162" s="22" t="str">
        <f t="shared" ref="A162:A166" si="39">A161</f>
        <v>КОМПЛЕКТ 20.  ЩОА-2.1 (ЩРн-12з-0 36 УХЛ3 IP54)  |  Альбом 7.1 ЭО (Концертный зал)</v>
      </c>
      <c r="B162" s="22" t="s">
        <v>290</v>
      </c>
      <c r="C162" s="22" t="s">
        <v>92</v>
      </c>
      <c r="D162" s="22" t="s">
        <v>129</v>
      </c>
      <c r="E162" s="21" t="s">
        <v>95</v>
      </c>
      <c r="F162" s="21" t="e">
        <f>0.6*E162</f>
        <v>#VALUE!</v>
      </c>
      <c r="G162" s="23" t="e">
        <f>F162*I162</f>
        <v>#VALUE!</v>
      </c>
      <c r="H162" s="23" t="s">
        <v>94</v>
      </c>
      <c r="I162" s="23">
        <v>1</v>
      </c>
      <c r="J162" s="22" t="s">
        <v>96</v>
      </c>
      <c r="K162" s="22" t="s">
        <v>201</v>
      </c>
    </row>
    <row r="163" spans="1:11" ht="25.5" customHeight="1" x14ac:dyDescent="0.25">
      <c r="A163" s="25" t="str">
        <f t="shared" si="39"/>
        <v>КОМПЛЕКТ 20.  ЩОА-2.1 (ЩРн-12з-0 36 УХЛ3 IP54)  |  Альбом 7.1 ЭО (Концертный зал)</v>
      </c>
      <c r="B163" s="25" t="s">
        <v>181</v>
      </c>
      <c r="C163" s="25" t="s">
        <v>611</v>
      </c>
      <c r="D163" s="25" t="s">
        <v>604</v>
      </c>
      <c r="E163" s="26">
        <v>36.42</v>
      </c>
      <c r="F163" s="27">
        <f t="shared" ref="F163:F164" si="40">E163*0.3*1.33*590</f>
        <v>8573.6322000000018</v>
      </c>
      <c r="G163" s="27">
        <f>I163*F163</f>
        <v>8573.6322000000018</v>
      </c>
      <c r="H163" s="27" t="s">
        <v>94</v>
      </c>
      <c r="I163" s="27">
        <v>1</v>
      </c>
      <c r="J163" s="25" t="s">
        <v>182</v>
      </c>
      <c r="K163" s="41" t="s">
        <v>201</v>
      </c>
    </row>
    <row r="164" spans="1:11" ht="25.5" customHeight="1" x14ac:dyDescent="0.25">
      <c r="A164" s="29" t="str">
        <f t="shared" si="39"/>
        <v>КОМПЛЕКТ 20.  ЩОА-2.1 (ЩРн-12з-0 36 УХЛ3 IP54)  |  Альбом 7.1 ЭО (Концертный зал)</v>
      </c>
      <c r="B164" s="29" t="s">
        <v>291</v>
      </c>
      <c r="C164" s="29" t="s">
        <v>610</v>
      </c>
      <c r="D164" s="29" t="s">
        <v>609</v>
      </c>
      <c r="E164" s="30">
        <v>8.09</v>
      </c>
      <c r="F164" s="27">
        <f t="shared" si="40"/>
        <v>1904.4669000000001</v>
      </c>
      <c r="G164" s="31">
        <f>I164*F164</f>
        <v>13331.268300000002</v>
      </c>
      <c r="H164" s="31" t="s">
        <v>94</v>
      </c>
      <c r="I164" s="31">
        <v>7</v>
      </c>
      <c r="J164" s="29"/>
      <c r="K164" s="29" t="s">
        <v>201</v>
      </c>
    </row>
    <row r="165" spans="1:11" ht="25.5" customHeight="1" x14ac:dyDescent="0.25">
      <c r="A165" s="37" t="str">
        <f t="shared" si="39"/>
        <v>КОМПЛЕКТ 20.  ЩОА-2.1 (ЩРн-12з-0 36 УХЛ3 IP54)  |  Альбом 7.1 ЭО (Концертный зал)</v>
      </c>
      <c r="B165" s="37" t="s">
        <v>292</v>
      </c>
      <c r="C165" s="37"/>
      <c r="D165" s="37" t="s">
        <v>124</v>
      </c>
      <c r="E165" s="36" t="s">
        <v>95</v>
      </c>
      <c r="F165" s="38" t="str">
        <f>ПАРАМЕТРЫ!C6&amp;"%"</f>
        <v>12%</v>
      </c>
      <c r="G165" s="39">
        <f>(G163+G164)*ПАРАМЕТРЫ!C6/100</f>
        <v>2628.5880600000005</v>
      </c>
      <c r="H165" s="39" t="s">
        <v>94</v>
      </c>
      <c r="I165" s="39">
        <v>1</v>
      </c>
      <c r="J165" s="37" t="s">
        <v>11</v>
      </c>
      <c r="K165" s="37" t="s">
        <v>201</v>
      </c>
    </row>
    <row r="166" spans="1:11" ht="25.5" customHeight="1" thickBot="1" x14ac:dyDescent="0.3">
      <c r="A166" s="41" t="str">
        <f t="shared" si="39"/>
        <v>КОМПЛЕКТ 20.  ЩОА-2.1 (ЩРн-12з-0 36 УХЛ3 IP54)  |  Альбом 7.1 ЭО (Концертный зал)</v>
      </c>
      <c r="B166" s="41" t="s">
        <v>293</v>
      </c>
      <c r="C166" s="41"/>
      <c r="D166" s="41" t="s">
        <v>126</v>
      </c>
      <c r="E166" s="40" t="s">
        <v>95</v>
      </c>
      <c r="F166" s="42" t="str">
        <f>ПАРАМЕТРЫ!C7&amp;"%"</f>
        <v>15%</v>
      </c>
      <c r="G166" s="43">
        <f>(G163+G164)*ПАРАМЕТРЫ!C7/100</f>
        <v>3285.7350750000005</v>
      </c>
      <c r="H166" s="43" t="s">
        <v>94</v>
      </c>
      <c r="I166" s="43">
        <v>1</v>
      </c>
      <c r="J166" s="41" t="s">
        <v>11</v>
      </c>
      <c r="K166" s="41" t="s">
        <v>201</v>
      </c>
    </row>
    <row r="167" spans="1:11" ht="25.5" customHeight="1" thickBot="1" x14ac:dyDescent="0.3">
      <c r="A167" s="53" t="str">
        <f>D167</f>
        <v>КОМПЛЕКТ 21.  ЩОА-2.2 (ЩРн-12з-0 36 УХЛ3 IP54)  |  Альбом 7.1 ЭО (Концертный зал)</v>
      </c>
      <c r="B167" s="54" t="s">
        <v>294</v>
      </c>
      <c r="C167" s="54"/>
      <c r="D167" s="54" t="s">
        <v>294</v>
      </c>
      <c r="E167" s="54"/>
      <c r="F167" s="54"/>
      <c r="G167" s="54"/>
      <c r="H167" s="54" t="s">
        <v>632</v>
      </c>
      <c r="I167" s="55">
        <v>1</v>
      </c>
      <c r="J167" s="2"/>
      <c r="K167" s="2"/>
    </row>
    <row r="168" spans="1:11" ht="25.5" customHeight="1" x14ac:dyDescent="0.25">
      <c r="A168" s="22" t="str">
        <f t="shared" ref="A168:A172" si="41">A167</f>
        <v>КОМПЛЕКТ 21.  ЩОА-2.2 (ЩРн-12з-0 36 УХЛ3 IP54)  |  Альбом 7.1 ЭО (Концертный зал)</v>
      </c>
      <c r="B168" s="22" t="s">
        <v>295</v>
      </c>
      <c r="C168" s="22" t="s">
        <v>92</v>
      </c>
      <c r="D168" s="22" t="s">
        <v>129</v>
      </c>
      <c r="E168" s="21" t="s">
        <v>95</v>
      </c>
      <c r="F168" s="21" t="e">
        <f>0.6*E168</f>
        <v>#VALUE!</v>
      </c>
      <c r="G168" s="23" t="e">
        <f>F168*I168</f>
        <v>#VALUE!</v>
      </c>
      <c r="H168" s="23" t="s">
        <v>94</v>
      </c>
      <c r="I168" s="23">
        <v>1</v>
      </c>
      <c r="J168" s="22" t="s">
        <v>96</v>
      </c>
      <c r="K168" s="22" t="s">
        <v>201</v>
      </c>
    </row>
    <row r="169" spans="1:11" ht="25.5" customHeight="1" x14ac:dyDescent="0.25">
      <c r="A169" s="25" t="str">
        <f t="shared" si="41"/>
        <v>КОМПЛЕКТ 21.  ЩОА-2.2 (ЩРн-12з-0 36 УХЛ3 IP54)  |  Альбом 7.1 ЭО (Концертный зал)</v>
      </c>
      <c r="B169" s="25" t="s">
        <v>181</v>
      </c>
      <c r="C169" s="25" t="s">
        <v>611</v>
      </c>
      <c r="D169" s="25" t="s">
        <v>604</v>
      </c>
      <c r="E169" s="26">
        <v>36.42</v>
      </c>
      <c r="F169" s="27">
        <f t="shared" ref="F169:F170" si="42">E169*0.3*1.33*590</f>
        <v>8573.6322000000018</v>
      </c>
      <c r="G169" s="27">
        <f>I169*F169</f>
        <v>8573.6322000000018</v>
      </c>
      <c r="H169" s="27" t="s">
        <v>94</v>
      </c>
      <c r="I169" s="27">
        <v>1</v>
      </c>
      <c r="J169" s="25" t="s">
        <v>182</v>
      </c>
      <c r="K169" s="41" t="s">
        <v>201</v>
      </c>
    </row>
    <row r="170" spans="1:11" ht="25.5" customHeight="1" x14ac:dyDescent="0.25">
      <c r="A170" s="29" t="str">
        <f t="shared" si="41"/>
        <v>КОМПЛЕКТ 21.  ЩОА-2.2 (ЩРн-12з-0 36 УХЛ3 IP54)  |  Альбом 7.1 ЭО (Концертный зал)</v>
      </c>
      <c r="B170" s="29" t="s">
        <v>296</v>
      </c>
      <c r="C170" s="29" t="s">
        <v>610</v>
      </c>
      <c r="D170" s="29" t="s">
        <v>609</v>
      </c>
      <c r="E170" s="30">
        <v>8.09</v>
      </c>
      <c r="F170" s="27">
        <f t="shared" si="42"/>
        <v>1904.4669000000001</v>
      </c>
      <c r="G170" s="31">
        <f>I170*F170</f>
        <v>7617.8676000000005</v>
      </c>
      <c r="H170" s="31" t="s">
        <v>94</v>
      </c>
      <c r="I170" s="31">
        <v>4</v>
      </c>
      <c r="J170" s="29"/>
      <c r="K170" s="29" t="s">
        <v>201</v>
      </c>
    </row>
    <row r="171" spans="1:11" ht="25.5" customHeight="1" x14ac:dyDescent="0.25">
      <c r="A171" s="37" t="str">
        <f t="shared" si="41"/>
        <v>КОМПЛЕКТ 21.  ЩОА-2.2 (ЩРн-12з-0 36 УХЛ3 IP54)  |  Альбом 7.1 ЭО (Концертный зал)</v>
      </c>
      <c r="B171" s="37" t="s">
        <v>297</v>
      </c>
      <c r="C171" s="37"/>
      <c r="D171" s="37" t="s">
        <v>124</v>
      </c>
      <c r="E171" s="36" t="s">
        <v>95</v>
      </c>
      <c r="F171" s="38" t="str">
        <f>ПАРАМЕТРЫ!C6&amp;"%"</f>
        <v>12%</v>
      </c>
      <c r="G171" s="39">
        <f>(G169+G170)*ПАРАМЕТРЫ!C6/100</f>
        <v>1942.9799760000001</v>
      </c>
      <c r="H171" s="39" t="s">
        <v>94</v>
      </c>
      <c r="I171" s="39">
        <v>1</v>
      </c>
      <c r="J171" s="37" t="s">
        <v>11</v>
      </c>
      <c r="K171" s="37" t="s">
        <v>201</v>
      </c>
    </row>
    <row r="172" spans="1:11" ht="25.5" customHeight="1" thickBot="1" x14ac:dyDescent="0.3">
      <c r="A172" s="41" t="str">
        <f t="shared" si="41"/>
        <v>КОМПЛЕКТ 21.  ЩОА-2.2 (ЩРн-12з-0 36 УХЛ3 IP54)  |  Альбом 7.1 ЭО (Концертный зал)</v>
      </c>
      <c r="B172" s="41" t="s">
        <v>298</v>
      </c>
      <c r="C172" s="41"/>
      <c r="D172" s="41" t="s">
        <v>126</v>
      </c>
      <c r="E172" s="40" t="s">
        <v>95</v>
      </c>
      <c r="F172" s="42" t="str">
        <f>ПАРАМЕТРЫ!C7&amp;"%"</f>
        <v>15%</v>
      </c>
      <c r="G172" s="43">
        <f>(G169+G170)*ПАРАМЕТРЫ!C7/100</f>
        <v>2428.7249700000002</v>
      </c>
      <c r="H172" s="43" t="s">
        <v>94</v>
      </c>
      <c r="I172" s="43">
        <v>1</v>
      </c>
      <c r="J172" s="41" t="s">
        <v>11</v>
      </c>
      <c r="K172" s="41" t="s">
        <v>201</v>
      </c>
    </row>
    <row r="173" spans="1:11" ht="25.5" customHeight="1" thickBot="1" x14ac:dyDescent="0.3">
      <c r="A173" s="53" t="str">
        <f>D173</f>
        <v>КОМПЛЕКТ 22.  ЩОА-3.1 (ЩРн-12з-0 36 УХЛ3 IP54)  |  Альбом 7.1 ЭО (Концертный зал)</v>
      </c>
      <c r="B173" s="54" t="s">
        <v>299</v>
      </c>
      <c r="C173" s="54"/>
      <c r="D173" s="54" t="s">
        <v>299</v>
      </c>
      <c r="E173" s="54"/>
      <c r="F173" s="54"/>
      <c r="G173" s="54"/>
      <c r="H173" s="54" t="s">
        <v>632</v>
      </c>
      <c r="I173" s="55">
        <v>1</v>
      </c>
      <c r="J173" s="2"/>
      <c r="K173" s="2"/>
    </row>
    <row r="174" spans="1:11" ht="25.5" customHeight="1" x14ac:dyDescent="0.25">
      <c r="A174" s="22" t="str">
        <f t="shared" ref="A174:A178" si="43">A173</f>
        <v>КОМПЛЕКТ 22.  ЩОА-3.1 (ЩРн-12з-0 36 УХЛ3 IP54)  |  Альбом 7.1 ЭО (Концертный зал)</v>
      </c>
      <c r="B174" s="22" t="s">
        <v>300</v>
      </c>
      <c r="C174" s="22" t="s">
        <v>92</v>
      </c>
      <c r="D174" s="22" t="s">
        <v>129</v>
      </c>
      <c r="E174" s="21" t="s">
        <v>95</v>
      </c>
      <c r="F174" s="21" t="e">
        <f>0.6*E174</f>
        <v>#VALUE!</v>
      </c>
      <c r="G174" s="23" t="e">
        <f>F174*I174</f>
        <v>#VALUE!</v>
      </c>
      <c r="H174" s="23" t="s">
        <v>94</v>
      </c>
      <c r="I174" s="23">
        <v>1</v>
      </c>
      <c r="J174" s="22" t="s">
        <v>96</v>
      </c>
      <c r="K174" s="22" t="s">
        <v>201</v>
      </c>
    </row>
    <row r="175" spans="1:11" ht="25.5" customHeight="1" x14ac:dyDescent="0.25">
      <c r="A175" s="25" t="str">
        <f t="shared" si="43"/>
        <v>КОМПЛЕКТ 22.  ЩОА-3.1 (ЩРн-12з-0 36 УХЛ3 IP54)  |  Альбом 7.1 ЭО (Концертный зал)</v>
      </c>
      <c r="B175" s="25" t="s">
        <v>181</v>
      </c>
      <c r="C175" s="25" t="s">
        <v>611</v>
      </c>
      <c r="D175" s="25" t="s">
        <v>604</v>
      </c>
      <c r="E175" s="26">
        <v>36.42</v>
      </c>
      <c r="F175" s="27">
        <f t="shared" ref="F175:F176" si="44">E175*0.3*1.33*590</f>
        <v>8573.6322000000018</v>
      </c>
      <c r="G175" s="27">
        <f>I175*F175</f>
        <v>8573.6322000000018</v>
      </c>
      <c r="H175" s="27" t="s">
        <v>94</v>
      </c>
      <c r="I175" s="27">
        <v>1</v>
      </c>
      <c r="J175" s="25" t="s">
        <v>182</v>
      </c>
      <c r="K175" s="41" t="s">
        <v>201</v>
      </c>
    </row>
    <row r="176" spans="1:11" ht="25.5" customHeight="1" x14ac:dyDescent="0.25">
      <c r="A176" s="29" t="str">
        <f t="shared" si="43"/>
        <v>КОМПЛЕКТ 22.  ЩОА-3.1 (ЩРн-12з-0 36 УХЛ3 IP54)  |  Альбом 7.1 ЭО (Концертный зал)</v>
      </c>
      <c r="B176" s="29" t="s">
        <v>301</v>
      </c>
      <c r="C176" s="29" t="s">
        <v>610</v>
      </c>
      <c r="D176" s="29" t="s">
        <v>609</v>
      </c>
      <c r="E176" s="30">
        <v>8.09</v>
      </c>
      <c r="F176" s="27">
        <f t="shared" si="44"/>
        <v>1904.4669000000001</v>
      </c>
      <c r="G176" s="31">
        <f>I176*F176</f>
        <v>15235.735200000001</v>
      </c>
      <c r="H176" s="31" t="s">
        <v>94</v>
      </c>
      <c r="I176" s="31">
        <v>8</v>
      </c>
      <c r="J176" s="29"/>
      <c r="K176" s="29" t="s">
        <v>201</v>
      </c>
    </row>
    <row r="177" spans="1:11" ht="25.5" customHeight="1" x14ac:dyDescent="0.25">
      <c r="A177" s="37" t="str">
        <f t="shared" si="43"/>
        <v>КОМПЛЕКТ 22.  ЩОА-3.1 (ЩРн-12з-0 36 УХЛ3 IP54)  |  Альбом 7.1 ЭО (Концертный зал)</v>
      </c>
      <c r="B177" s="37" t="s">
        <v>302</v>
      </c>
      <c r="C177" s="37"/>
      <c r="D177" s="37" t="s">
        <v>124</v>
      </c>
      <c r="E177" s="36" t="s">
        <v>95</v>
      </c>
      <c r="F177" s="38" t="str">
        <f>ПАРАМЕТРЫ!C6&amp;"%"</f>
        <v>12%</v>
      </c>
      <c r="G177" s="39">
        <f>(G175+G176)*ПАРАМЕТРЫ!C6/100</f>
        <v>2857.1240880000005</v>
      </c>
      <c r="H177" s="39" t="s">
        <v>94</v>
      </c>
      <c r="I177" s="39">
        <v>1</v>
      </c>
      <c r="J177" s="37" t="s">
        <v>11</v>
      </c>
      <c r="K177" s="37" t="s">
        <v>201</v>
      </c>
    </row>
    <row r="178" spans="1:11" ht="25.5" customHeight="1" thickBot="1" x14ac:dyDescent="0.3">
      <c r="A178" s="41" t="str">
        <f t="shared" si="43"/>
        <v>КОМПЛЕКТ 22.  ЩОА-3.1 (ЩРн-12з-0 36 УХЛ3 IP54)  |  Альбом 7.1 ЭО (Концертный зал)</v>
      </c>
      <c r="B178" s="41" t="s">
        <v>303</v>
      </c>
      <c r="C178" s="41"/>
      <c r="D178" s="41" t="s">
        <v>126</v>
      </c>
      <c r="E178" s="40" t="s">
        <v>95</v>
      </c>
      <c r="F178" s="42" t="str">
        <f>ПАРАМЕТРЫ!C7&amp;"%"</f>
        <v>15%</v>
      </c>
      <c r="G178" s="43">
        <f>(G175+G176)*ПАРАМЕТРЫ!C7/100</f>
        <v>3571.4051100000006</v>
      </c>
      <c r="H178" s="43" t="s">
        <v>94</v>
      </c>
      <c r="I178" s="43">
        <v>1</v>
      </c>
      <c r="J178" s="41" t="s">
        <v>11</v>
      </c>
      <c r="K178" s="41" t="s">
        <v>201</v>
      </c>
    </row>
    <row r="179" spans="1:11" ht="25.5" customHeight="1" thickBot="1" x14ac:dyDescent="0.3">
      <c r="A179" s="53" t="str">
        <f>D179</f>
        <v>КОМПЛЕКТ 23.  ЩОА-3.2 (ЩРн-12з-0 36 УХЛ3 IP54)  |  Альбом 7.1 ЭО (Концертный зал)</v>
      </c>
      <c r="B179" s="54" t="s">
        <v>304</v>
      </c>
      <c r="C179" s="54"/>
      <c r="D179" s="54" t="s">
        <v>304</v>
      </c>
      <c r="E179" s="54"/>
      <c r="F179" s="54"/>
      <c r="G179" s="54"/>
      <c r="H179" s="54" t="s">
        <v>632</v>
      </c>
      <c r="I179" s="55">
        <v>1</v>
      </c>
      <c r="J179" s="2"/>
      <c r="K179" s="2"/>
    </row>
    <row r="180" spans="1:11" ht="25.5" customHeight="1" x14ac:dyDescent="0.25">
      <c r="A180" s="22" t="str">
        <f t="shared" ref="A180:A184" si="45">A179</f>
        <v>КОМПЛЕКТ 23.  ЩОА-3.2 (ЩРн-12з-0 36 УХЛ3 IP54)  |  Альбом 7.1 ЭО (Концертный зал)</v>
      </c>
      <c r="B180" s="22" t="s">
        <v>305</v>
      </c>
      <c r="C180" s="22" t="s">
        <v>92</v>
      </c>
      <c r="D180" s="22" t="s">
        <v>129</v>
      </c>
      <c r="E180" s="21" t="s">
        <v>95</v>
      </c>
      <c r="F180" s="21" t="e">
        <f>0.6*E180</f>
        <v>#VALUE!</v>
      </c>
      <c r="G180" s="23" t="e">
        <f>F180*I180</f>
        <v>#VALUE!</v>
      </c>
      <c r="H180" s="23" t="s">
        <v>94</v>
      </c>
      <c r="I180" s="23">
        <v>1</v>
      </c>
      <c r="J180" s="22" t="s">
        <v>96</v>
      </c>
      <c r="K180" s="22" t="s">
        <v>201</v>
      </c>
    </row>
    <row r="181" spans="1:11" ht="25.5" customHeight="1" x14ac:dyDescent="0.25">
      <c r="A181" s="25" t="str">
        <f t="shared" si="45"/>
        <v>КОМПЛЕКТ 23.  ЩОА-3.2 (ЩРн-12з-0 36 УХЛ3 IP54)  |  Альбом 7.1 ЭО (Концертный зал)</v>
      </c>
      <c r="B181" s="25" t="s">
        <v>181</v>
      </c>
      <c r="C181" s="25" t="s">
        <v>611</v>
      </c>
      <c r="D181" s="25" t="s">
        <v>604</v>
      </c>
      <c r="E181" s="26">
        <v>36.42</v>
      </c>
      <c r="F181" s="27">
        <f t="shared" ref="F181:F182" si="46">E181*0.3*1.33*590</f>
        <v>8573.6322000000018</v>
      </c>
      <c r="G181" s="27">
        <f>I181*F181</f>
        <v>8573.6322000000018</v>
      </c>
      <c r="H181" s="27" t="s">
        <v>94</v>
      </c>
      <c r="I181" s="27">
        <v>1</v>
      </c>
      <c r="J181" s="25" t="s">
        <v>182</v>
      </c>
      <c r="K181" s="41" t="s">
        <v>201</v>
      </c>
    </row>
    <row r="182" spans="1:11" ht="25.5" customHeight="1" x14ac:dyDescent="0.25">
      <c r="A182" s="29" t="str">
        <f t="shared" si="45"/>
        <v>КОМПЛЕКТ 23.  ЩОА-3.2 (ЩРн-12з-0 36 УХЛ3 IP54)  |  Альбом 7.1 ЭО (Концертный зал)</v>
      </c>
      <c r="B182" s="29" t="s">
        <v>306</v>
      </c>
      <c r="C182" s="29" t="s">
        <v>610</v>
      </c>
      <c r="D182" s="29" t="s">
        <v>609</v>
      </c>
      <c r="E182" s="30">
        <v>8.09</v>
      </c>
      <c r="F182" s="27">
        <f t="shared" si="46"/>
        <v>1904.4669000000001</v>
      </c>
      <c r="G182" s="31">
        <f>I182*F182</f>
        <v>9522.3345000000008</v>
      </c>
      <c r="H182" s="31" t="s">
        <v>94</v>
      </c>
      <c r="I182" s="31">
        <v>5</v>
      </c>
      <c r="J182" s="29"/>
      <c r="K182" s="29" t="s">
        <v>201</v>
      </c>
    </row>
    <row r="183" spans="1:11" ht="25.5" customHeight="1" x14ac:dyDescent="0.25">
      <c r="A183" s="37" t="str">
        <f t="shared" si="45"/>
        <v>КОМПЛЕКТ 23.  ЩОА-3.2 (ЩРн-12з-0 36 УХЛ3 IP54)  |  Альбом 7.1 ЭО (Концертный зал)</v>
      </c>
      <c r="B183" s="37" t="s">
        <v>307</v>
      </c>
      <c r="C183" s="37"/>
      <c r="D183" s="37" t="s">
        <v>124</v>
      </c>
      <c r="E183" s="36" t="s">
        <v>95</v>
      </c>
      <c r="F183" s="38" t="str">
        <f>ПАРАМЕТРЫ!C6&amp;"%"</f>
        <v>12%</v>
      </c>
      <c r="G183" s="39">
        <f>(G181+G182)*ПАРАМЕТРЫ!C6/100</f>
        <v>2171.5160040000005</v>
      </c>
      <c r="H183" s="39" t="s">
        <v>94</v>
      </c>
      <c r="I183" s="39">
        <v>1</v>
      </c>
      <c r="J183" s="37" t="s">
        <v>11</v>
      </c>
      <c r="K183" s="37" t="s">
        <v>201</v>
      </c>
    </row>
    <row r="184" spans="1:11" ht="25.5" customHeight="1" thickBot="1" x14ac:dyDescent="0.3">
      <c r="A184" s="41" t="str">
        <f t="shared" si="45"/>
        <v>КОМПЛЕКТ 23.  ЩОА-3.2 (ЩРн-12з-0 36 УХЛ3 IP54)  |  Альбом 7.1 ЭО (Концертный зал)</v>
      </c>
      <c r="B184" s="41" t="s">
        <v>308</v>
      </c>
      <c r="C184" s="41"/>
      <c r="D184" s="41" t="s">
        <v>126</v>
      </c>
      <c r="E184" s="40" t="s">
        <v>95</v>
      </c>
      <c r="F184" s="42" t="str">
        <f>ПАРАМЕТРЫ!C7&amp;"%"</f>
        <v>15%</v>
      </c>
      <c r="G184" s="43">
        <f>(G181+G182)*ПАРАМЕТРЫ!C7/100</f>
        <v>2714.3950050000008</v>
      </c>
      <c r="H184" s="43" t="s">
        <v>94</v>
      </c>
      <c r="I184" s="43">
        <v>1</v>
      </c>
      <c r="J184" s="41" t="s">
        <v>11</v>
      </c>
      <c r="K184" s="41" t="s">
        <v>201</v>
      </c>
    </row>
    <row r="185" spans="1:11" ht="25.5" customHeight="1" thickBot="1" x14ac:dyDescent="0.3">
      <c r="A185" s="53" t="str">
        <f>D185</f>
        <v>КОМПЛЕКТ 24.  МЗ-ЩО-0.1 (ЩРн-24з-0 36 УХЛ3 IP54)  |  Альбом 7.1 ЭО (Музей)</v>
      </c>
      <c r="B185" s="54" t="s">
        <v>310</v>
      </c>
      <c r="C185" s="54"/>
      <c r="D185" s="54" t="s">
        <v>310</v>
      </c>
      <c r="E185" s="54"/>
      <c r="F185" s="54"/>
      <c r="G185" s="54"/>
      <c r="H185" s="54" t="s">
        <v>632</v>
      </c>
      <c r="I185" s="55">
        <v>1</v>
      </c>
      <c r="J185" s="2"/>
      <c r="K185" s="2"/>
    </row>
    <row r="186" spans="1:11" ht="25.5" customHeight="1" x14ac:dyDescent="0.25">
      <c r="A186" s="22" t="str">
        <f t="shared" ref="A186:A193" si="47">A185</f>
        <v>КОМПЛЕКТ 24.  МЗ-ЩО-0.1 (ЩРн-24з-0 36 УХЛ3 IP54)  |  Альбом 7.1 ЭО (Музей)</v>
      </c>
      <c r="B186" s="22" t="s">
        <v>311</v>
      </c>
      <c r="C186" s="22" t="s">
        <v>92</v>
      </c>
      <c r="D186" s="22" t="s">
        <v>146</v>
      </c>
      <c r="E186" s="21" t="s">
        <v>95</v>
      </c>
      <c r="F186" s="21" t="e">
        <f>0.6*E186</f>
        <v>#VALUE!</v>
      </c>
      <c r="G186" s="23" t="e">
        <f>F186*I186</f>
        <v>#VALUE!</v>
      </c>
      <c r="H186" s="23" t="s">
        <v>94</v>
      </c>
      <c r="I186" s="23">
        <v>1</v>
      </c>
      <c r="J186" s="22" t="s">
        <v>96</v>
      </c>
      <c r="K186" s="22" t="s">
        <v>312</v>
      </c>
    </row>
    <row r="187" spans="1:11" ht="25.5" customHeight="1" x14ac:dyDescent="0.25">
      <c r="A187" s="25" t="str">
        <f t="shared" si="47"/>
        <v>КОМПЛЕКТ 24.  МЗ-ЩО-0.1 (ЩРн-24з-0 36 УХЛ3 IP54)  |  Альбом 7.1 ЭО (Музей)</v>
      </c>
      <c r="B187" s="25" t="s">
        <v>181</v>
      </c>
      <c r="C187" s="25" t="s">
        <v>611</v>
      </c>
      <c r="D187" s="25" t="s">
        <v>604</v>
      </c>
      <c r="E187" s="26">
        <v>36.42</v>
      </c>
      <c r="F187" s="27">
        <f t="shared" ref="F187:F190" si="48">E187*0.3*1.33*590</f>
        <v>8573.6322000000018</v>
      </c>
      <c r="G187" s="27">
        <f>I187*F187</f>
        <v>8573.6322000000018</v>
      </c>
      <c r="H187" s="27" t="s">
        <v>94</v>
      </c>
      <c r="I187" s="27">
        <v>1</v>
      </c>
      <c r="J187" s="25" t="s">
        <v>182</v>
      </c>
      <c r="K187" s="41" t="s">
        <v>201</v>
      </c>
    </row>
    <row r="188" spans="1:11" ht="25.5" customHeight="1" x14ac:dyDescent="0.25">
      <c r="A188" s="29" t="str">
        <f t="shared" si="47"/>
        <v>КОМПЛЕКТ 24.  МЗ-ЩО-0.1 (ЩРн-24з-0 36 УХЛ3 IP54)  |  Альбом 7.1 ЭО (Музей)</v>
      </c>
      <c r="B188" s="29" t="s">
        <v>313</v>
      </c>
      <c r="C188" s="29" t="s">
        <v>610</v>
      </c>
      <c r="D188" s="29" t="s">
        <v>609</v>
      </c>
      <c r="E188" s="30">
        <v>8.09</v>
      </c>
      <c r="F188" s="27">
        <f t="shared" si="48"/>
        <v>1904.4669000000001</v>
      </c>
      <c r="G188" s="31">
        <f>I188*F188</f>
        <v>32375.937300000001</v>
      </c>
      <c r="H188" s="31" t="s">
        <v>94</v>
      </c>
      <c r="I188" s="31">
        <v>17</v>
      </c>
      <c r="J188" s="29"/>
      <c r="K188" s="29" t="s">
        <v>312</v>
      </c>
    </row>
    <row r="189" spans="1:11" ht="25.5" customHeight="1" x14ac:dyDescent="0.25">
      <c r="A189" s="25" t="str">
        <f t="shared" si="47"/>
        <v>КОМПЛЕКТ 24.  МЗ-ЩО-0.1 (ЩРн-24з-0 36 УХЛ3 IP54)  |  Альбом 7.1 ЭО (Музей)</v>
      </c>
      <c r="B189" s="25" t="s">
        <v>314</v>
      </c>
      <c r="C189" s="25" t="s">
        <v>153</v>
      </c>
      <c r="D189" s="25" t="s">
        <v>152</v>
      </c>
      <c r="E189" s="26">
        <f>ПАРАМЕТРЫ!C23</f>
        <v>87.63</v>
      </c>
      <c r="F189" s="27">
        <f t="shared" si="48"/>
        <v>20628.978300000002</v>
      </c>
      <c r="G189" s="27">
        <f>I189*F189</f>
        <v>0</v>
      </c>
      <c r="H189" s="27" t="s">
        <v>94</v>
      </c>
      <c r="I189" s="27">
        <v>0</v>
      </c>
      <c r="J189" s="25"/>
      <c r="K189" s="25" t="s">
        <v>312</v>
      </c>
    </row>
    <row r="190" spans="1:11" ht="25.5" customHeight="1" x14ac:dyDescent="0.25">
      <c r="A190" s="29" t="str">
        <f t="shared" si="47"/>
        <v>КОМПЛЕКТ 24.  МЗ-ЩО-0.1 (ЩРн-24з-0 36 УХЛ3 IP54)  |  Альбом 7.1 ЭО (Музей)</v>
      </c>
      <c r="B190" s="29" t="s">
        <v>315</v>
      </c>
      <c r="C190" s="29" t="s">
        <v>136</v>
      </c>
      <c r="D190" s="29" t="s">
        <v>135</v>
      </c>
      <c r="E190" s="30">
        <f>ПАРАМЕТРЫ!C33</f>
        <v>41.58</v>
      </c>
      <c r="F190" s="27">
        <f t="shared" si="48"/>
        <v>9788.3477999999996</v>
      </c>
      <c r="G190" s="31">
        <f>I190*F190</f>
        <v>29365.043399999999</v>
      </c>
      <c r="H190" s="31" t="s">
        <v>94</v>
      </c>
      <c r="I190" s="31">
        <v>3</v>
      </c>
      <c r="J190" s="29"/>
      <c r="K190" s="29" t="s">
        <v>312</v>
      </c>
    </row>
    <row r="191" spans="1:11" ht="25.5" customHeight="1" x14ac:dyDescent="0.25">
      <c r="A191" s="25" t="str">
        <f t="shared" si="47"/>
        <v>КОМПЛЕКТ 24.  МЗ-ЩО-0.1 (ЩРн-24з-0 36 УХЛ3 IP54)  |  Альбом 7.1 ЭО (Музей)</v>
      </c>
      <c r="B191" s="25" t="s">
        <v>316</v>
      </c>
      <c r="C191" s="25" t="s">
        <v>95</v>
      </c>
      <c r="D191" s="25" t="s">
        <v>206</v>
      </c>
      <c r="E191" s="26">
        <f>ПАРАМЕТРЫ!C37</f>
        <v>1.5</v>
      </c>
      <c r="F191" s="27">
        <f>ПАРАМЕТРЫ!D37</f>
        <v>353.11499999999995</v>
      </c>
      <c r="G191" s="27">
        <f>I191*F191</f>
        <v>1059.3449999999998</v>
      </c>
      <c r="H191" s="27" t="s">
        <v>94</v>
      </c>
      <c r="I191" s="27">
        <v>3</v>
      </c>
      <c r="J191" s="25"/>
      <c r="K191" s="25" t="s">
        <v>312</v>
      </c>
    </row>
    <row r="192" spans="1:11" ht="25.5" customHeight="1" x14ac:dyDescent="0.25">
      <c r="A192" s="37" t="str">
        <f t="shared" si="47"/>
        <v>КОМПЛЕКТ 24.  МЗ-ЩО-0.1 (ЩРн-24з-0 36 УХЛ3 IP54)  |  Альбом 7.1 ЭО (Музей)</v>
      </c>
      <c r="B192" s="37" t="s">
        <v>317</v>
      </c>
      <c r="C192" s="37"/>
      <c r="D192" s="37" t="s">
        <v>124</v>
      </c>
      <c r="E192" s="36" t="s">
        <v>95</v>
      </c>
      <c r="F192" s="38" t="str">
        <f>ПАРАМЕТРЫ!C6&amp;"%"</f>
        <v>12%</v>
      </c>
      <c r="G192" s="39">
        <f>(G187+G188+G189+G190+G191)*ПАРАМЕТРЫ!C6/100</f>
        <v>8564.8749480000006</v>
      </c>
      <c r="H192" s="39" t="s">
        <v>94</v>
      </c>
      <c r="I192" s="39">
        <v>1</v>
      </c>
      <c r="J192" s="37" t="s">
        <v>11</v>
      </c>
      <c r="K192" s="37" t="s">
        <v>312</v>
      </c>
    </row>
    <row r="193" spans="1:11" ht="25.5" customHeight="1" thickBot="1" x14ac:dyDescent="0.3">
      <c r="A193" s="41" t="str">
        <f t="shared" si="47"/>
        <v>КОМПЛЕКТ 24.  МЗ-ЩО-0.1 (ЩРн-24з-0 36 УХЛ3 IP54)  |  Альбом 7.1 ЭО (Музей)</v>
      </c>
      <c r="B193" s="41" t="s">
        <v>318</v>
      </c>
      <c r="C193" s="41"/>
      <c r="D193" s="41" t="s">
        <v>126</v>
      </c>
      <c r="E193" s="40" t="s">
        <v>95</v>
      </c>
      <c r="F193" s="42" t="str">
        <f>ПАРАМЕТРЫ!C7&amp;"%"</f>
        <v>15%</v>
      </c>
      <c r="G193" s="43">
        <f>(G187+G188+G189+G190+G191)*ПАРАМЕТРЫ!C7/100</f>
        <v>10706.093685000002</v>
      </c>
      <c r="H193" s="43" t="s">
        <v>94</v>
      </c>
      <c r="I193" s="43">
        <v>1</v>
      </c>
      <c r="J193" s="41" t="s">
        <v>11</v>
      </c>
      <c r="K193" s="41" t="s">
        <v>312</v>
      </c>
    </row>
    <row r="194" spans="1:11" ht="25.5" customHeight="1" thickBot="1" x14ac:dyDescent="0.3">
      <c r="A194" s="53" t="str">
        <f>D194</f>
        <v>КОМПЛЕКТ 25.  МЗ-ЩО-0.2 (ЩРн-24з-0 36 УХЛ3 IP54)  |  Альбом 7.1 ЭО (Музей)</v>
      </c>
      <c r="B194" s="54" t="s">
        <v>319</v>
      </c>
      <c r="C194" s="54"/>
      <c r="D194" s="54" t="s">
        <v>319</v>
      </c>
      <c r="E194" s="54"/>
      <c r="F194" s="54"/>
      <c r="G194" s="54"/>
      <c r="H194" s="54" t="s">
        <v>632</v>
      </c>
      <c r="I194" s="55">
        <v>1</v>
      </c>
      <c r="J194" s="2"/>
      <c r="K194" s="2"/>
    </row>
    <row r="195" spans="1:11" ht="25.5" customHeight="1" x14ac:dyDescent="0.25">
      <c r="A195" s="22" t="str">
        <f t="shared" ref="A195:A202" si="49">A194</f>
        <v>КОМПЛЕКТ 25.  МЗ-ЩО-0.2 (ЩРн-24з-0 36 УХЛ3 IP54)  |  Альбом 7.1 ЭО (Музей)</v>
      </c>
      <c r="B195" s="22" t="s">
        <v>320</v>
      </c>
      <c r="C195" s="22" t="s">
        <v>92</v>
      </c>
      <c r="D195" s="22" t="s">
        <v>146</v>
      </c>
      <c r="E195" s="21" t="s">
        <v>95</v>
      </c>
      <c r="F195" s="21" t="e">
        <f>0.6*E195</f>
        <v>#VALUE!</v>
      </c>
      <c r="G195" s="23" t="e">
        <f>F195*I195</f>
        <v>#VALUE!</v>
      </c>
      <c r="H195" s="23" t="s">
        <v>94</v>
      </c>
      <c r="I195" s="23">
        <v>1</v>
      </c>
      <c r="J195" s="22" t="s">
        <v>96</v>
      </c>
      <c r="K195" s="22" t="s">
        <v>312</v>
      </c>
    </row>
    <row r="196" spans="1:11" ht="25.5" customHeight="1" x14ac:dyDescent="0.25">
      <c r="A196" s="25" t="str">
        <f t="shared" si="49"/>
        <v>КОМПЛЕКТ 25.  МЗ-ЩО-0.2 (ЩРн-24з-0 36 УХЛ3 IP54)  |  Альбом 7.1 ЭО (Музей)</v>
      </c>
      <c r="B196" s="25" t="s">
        <v>181</v>
      </c>
      <c r="C196" s="25" t="s">
        <v>611</v>
      </c>
      <c r="D196" s="25" t="s">
        <v>604</v>
      </c>
      <c r="E196" s="26">
        <v>36.42</v>
      </c>
      <c r="F196" s="27">
        <f t="shared" ref="F196:F199" si="50">E196*0.3*1.33*590</f>
        <v>8573.6322000000018</v>
      </c>
      <c r="G196" s="27">
        <f>I196*F196</f>
        <v>8573.6322000000018</v>
      </c>
      <c r="H196" s="27" t="s">
        <v>94</v>
      </c>
      <c r="I196" s="27">
        <v>1</v>
      </c>
      <c r="J196" s="25" t="s">
        <v>182</v>
      </c>
      <c r="K196" s="41" t="s">
        <v>201</v>
      </c>
    </row>
    <row r="197" spans="1:11" ht="25.5" customHeight="1" x14ac:dyDescent="0.25">
      <c r="A197" s="29" t="str">
        <f t="shared" si="49"/>
        <v>КОМПЛЕКТ 25.  МЗ-ЩО-0.2 (ЩРн-24з-0 36 УХЛ3 IP54)  |  Альбом 7.1 ЭО (Музей)</v>
      </c>
      <c r="B197" s="29" t="s">
        <v>321</v>
      </c>
      <c r="C197" s="29" t="s">
        <v>610</v>
      </c>
      <c r="D197" s="29" t="s">
        <v>609</v>
      </c>
      <c r="E197" s="30">
        <v>8.09</v>
      </c>
      <c r="F197" s="27">
        <f t="shared" si="50"/>
        <v>1904.4669000000001</v>
      </c>
      <c r="G197" s="31">
        <f>I197*F197</f>
        <v>36184.871100000004</v>
      </c>
      <c r="H197" s="31" t="s">
        <v>94</v>
      </c>
      <c r="I197" s="31">
        <v>19</v>
      </c>
      <c r="J197" s="29"/>
      <c r="K197" s="29" t="s">
        <v>312</v>
      </c>
    </row>
    <row r="198" spans="1:11" ht="25.5" customHeight="1" x14ac:dyDescent="0.25">
      <c r="A198" s="25" t="str">
        <f t="shared" si="49"/>
        <v>КОМПЛЕКТ 25.  МЗ-ЩО-0.2 (ЩРн-24з-0 36 УХЛ3 IP54)  |  Альбом 7.1 ЭО (Музей)</v>
      </c>
      <c r="B198" s="25" t="s">
        <v>322</v>
      </c>
      <c r="C198" s="25" t="s">
        <v>153</v>
      </c>
      <c r="D198" s="25" t="s">
        <v>152</v>
      </c>
      <c r="E198" s="26">
        <f>ПАРАМЕТРЫ!C23</f>
        <v>87.63</v>
      </c>
      <c r="F198" s="27">
        <f t="shared" si="50"/>
        <v>20628.978300000002</v>
      </c>
      <c r="G198" s="27">
        <f>I198*F198</f>
        <v>0</v>
      </c>
      <c r="H198" s="27" t="s">
        <v>94</v>
      </c>
      <c r="I198" s="27">
        <v>0</v>
      </c>
      <c r="J198" s="25"/>
      <c r="K198" s="25" t="s">
        <v>312</v>
      </c>
    </row>
    <row r="199" spans="1:11" ht="25.5" customHeight="1" x14ac:dyDescent="0.25">
      <c r="A199" s="29" t="str">
        <f t="shared" si="49"/>
        <v>КОМПЛЕКТ 25.  МЗ-ЩО-0.2 (ЩРн-24з-0 36 УХЛ3 IP54)  |  Альбом 7.1 ЭО (Музей)</v>
      </c>
      <c r="B199" s="29" t="s">
        <v>323</v>
      </c>
      <c r="C199" s="29" t="s">
        <v>136</v>
      </c>
      <c r="D199" s="29" t="s">
        <v>135</v>
      </c>
      <c r="E199" s="30">
        <f>ПАРАМЕТРЫ!C33</f>
        <v>41.58</v>
      </c>
      <c r="F199" s="27">
        <f t="shared" si="50"/>
        <v>9788.3477999999996</v>
      </c>
      <c r="G199" s="31">
        <f>I199*F199</f>
        <v>29365.043399999999</v>
      </c>
      <c r="H199" s="31" t="s">
        <v>94</v>
      </c>
      <c r="I199" s="31">
        <v>3</v>
      </c>
      <c r="J199" s="29"/>
      <c r="K199" s="29" t="s">
        <v>312</v>
      </c>
    </row>
    <row r="200" spans="1:11" ht="25.5" customHeight="1" x14ac:dyDescent="0.25">
      <c r="A200" s="25" t="str">
        <f t="shared" si="49"/>
        <v>КОМПЛЕКТ 25.  МЗ-ЩО-0.2 (ЩРн-24з-0 36 УХЛ3 IP54)  |  Альбом 7.1 ЭО (Музей)</v>
      </c>
      <c r="B200" s="25" t="s">
        <v>324</v>
      </c>
      <c r="C200" s="25" t="s">
        <v>95</v>
      </c>
      <c r="D200" s="25" t="s">
        <v>206</v>
      </c>
      <c r="E200" s="26">
        <f>ПАРАМЕТРЫ!C37</f>
        <v>1.5</v>
      </c>
      <c r="F200" s="27">
        <f>ПАРАМЕТРЫ!D37</f>
        <v>353.11499999999995</v>
      </c>
      <c r="G200" s="27">
        <f>I200*F200</f>
        <v>1059.3449999999998</v>
      </c>
      <c r="H200" s="27" t="s">
        <v>94</v>
      </c>
      <c r="I200" s="27">
        <v>3</v>
      </c>
      <c r="J200" s="25"/>
      <c r="K200" s="25" t="s">
        <v>312</v>
      </c>
    </row>
    <row r="201" spans="1:11" ht="25.5" customHeight="1" x14ac:dyDescent="0.25">
      <c r="A201" s="37" t="str">
        <f t="shared" si="49"/>
        <v>КОМПЛЕКТ 25.  МЗ-ЩО-0.2 (ЩРн-24з-0 36 УХЛ3 IP54)  |  Альбом 7.1 ЭО (Музей)</v>
      </c>
      <c r="B201" s="37" t="s">
        <v>325</v>
      </c>
      <c r="C201" s="37"/>
      <c r="D201" s="37" t="s">
        <v>124</v>
      </c>
      <c r="E201" s="36" t="s">
        <v>95</v>
      </c>
      <c r="F201" s="38" t="str">
        <f>ПАРАМЕТРЫ!C6&amp;"%"</f>
        <v>12%</v>
      </c>
      <c r="G201" s="39">
        <f>(G196+G197+G198+G199+G200)*ПАРАМЕТРЫ!C6/100</f>
        <v>9021.9470040000015</v>
      </c>
      <c r="H201" s="39" t="s">
        <v>94</v>
      </c>
      <c r="I201" s="39">
        <v>1</v>
      </c>
      <c r="J201" s="37" t="s">
        <v>11</v>
      </c>
      <c r="K201" s="37" t="s">
        <v>312</v>
      </c>
    </row>
    <row r="202" spans="1:11" ht="25.5" customHeight="1" thickBot="1" x14ac:dyDescent="0.3">
      <c r="A202" s="41" t="str">
        <f t="shared" si="49"/>
        <v>КОМПЛЕКТ 25.  МЗ-ЩО-0.2 (ЩРн-24з-0 36 УХЛ3 IP54)  |  Альбом 7.1 ЭО (Музей)</v>
      </c>
      <c r="B202" s="41" t="s">
        <v>326</v>
      </c>
      <c r="C202" s="41"/>
      <c r="D202" s="41" t="s">
        <v>126</v>
      </c>
      <c r="E202" s="40" t="s">
        <v>95</v>
      </c>
      <c r="F202" s="42" t="str">
        <f>ПАРАМЕТРЫ!C7&amp;"%"</f>
        <v>15%</v>
      </c>
      <c r="G202" s="43">
        <f>(G196+G197+G198+G199+G200)*ПАРАМЕТРЫ!C7/100</f>
        <v>11277.433755</v>
      </c>
      <c r="H202" s="43" t="s">
        <v>94</v>
      </c>
      <c r="I202" s="43">
        <v>1</v>
      </c>
      <c r="J202" s="41" t="s">
        <v>11</v>
      </c>
      <c r="K202" s="41" t="s">
        <v>312</v>
      </c>
    </row>
    <row r="203" spans="1:11" ht="25.5" customHeight="1" thickBot="1" x14ac:dyDescent="0.3">
      <c r="A203" s="53" t="str">
        <f>D203</f>
        <v>КОМПЛЕКТ 26.  МЗ-ЩО-1.1 (ЩРн-18з-0 36 УХЛ3 IP54)  |  Альбом 7.1 ЭО (Музей)</v>
      </c>
      <c r="B203" s="54" t="s">
        <v>327</v>
      </c>
      <c r="C203" s="54"/>
      <c r="D203" s="54" t="s">
        <v>327</v>
      </c>
      <c r="E203" s="54"/>
      <c r="F203" s="54"/>
      <c r="G203" s="54"/>
      <c r="H203" s="54" t="s">
        <v>632</v>
      </c>
      <c r="I203" s="55">
        <v>1</v>
      </c>
      <c r="J203" s="2"/>
      <c r="K203" s="2"/>
    </row>
    <row r="204" spans="1:11" ht="25.5" customHeight="1" x14ac:dyDescent="0.25">
      <c r="A204" s="22" t="str">
        <f t="shared" ref="A204:A211" si="51">A203</f>
        <v>КОМПЛЕКТ 26.  МЗ-ЩО-1.1 (ЩРн-18з-0 36 УХЛ3 IP54)  |  Альбом 7.1 ЭО (Музей)</v>
      </c>
      <c r="B204" s="22" t="s">
        <v>328</v>
      </c>
      <c r="C204" s="22" t="s">
        <v>92</v>
      </c>
      <c r="D204" s="22" t="s">
        <v>180</v>
      </c>
      <c r="E204" s="21" t="s">
        <v>95</v>
      </c>
      <c r="F204" s="21" t="e">
        <f>0.6*E204</f>
        <v>#VALUE!</v>
      </c>
      <c r="G204" s="23" t="e">
        <f>F204*I204</f>
        <v>#VALUE!</v>
      </c>
      <c r="H204" s="23" t="s">
        <v>94</v>
      </c>
      <c r="I204" s="23">
        <v>1</v>
      </c>
      <c r="J204" s="22" t="s">
        <v>96</v>
      </c>
      <c r="K204" s="22" t="s">
        <v>312</v>
      </c>
    </row>
    <row r="205" spans="1:11" ht="25.5" customHeight="1" x14ac:dyDescent="0.25">
      <c r="A205" s="25" t="str">
        <f t="shared" si="51"/>
        <v>КОМПЛЕКТ 26.  МЗ-ЩО-1.1 (ЩРн-18з-0 36 УХЛ3 IP54)  |  Альбом 7.1 ЭО (Музей)</v>
      </c>
      <c r="B205" s="25" t="s">
        <v>181</v>
      </c>
      <c r="C205" s="25" t="s">
        <v>611</v>
      </c>
      <c r="D205" s="25" t="s">
        <v>604</v>
      </c>
      <c r="E205" s="26">
        <v>36.42</v>
      </c>
      <c r="F205" s="27">
        <f t="shared" ref="F205:F208" si="52">E205*0.3*1.33*590</f>
        <v>8573.6322000000018</v>
      </c>
      <c r="G205" s="27">
        <f>I205*F205</f>
        <v>8573.6322000000018</v>
      </c>
      <c r="H205" s="27" t="s">
        <v>94</v>
      </c>
      <c r="I205" s="27">
        <v>1</v>
      </c>
      <c r="J205" s="25" t="s">
        <v>182</v>
      </c>
      <c r="K205" s="41" t="s">
        <v>312</v>
      </c>
    </row>
    <row r="206" spans="1:11" ht="25.5" customHeight="1" x14ac:dyDescent="0.25">
      <c r="A206" s="29" t="str">
        <f t="shared" si="51"/>
        <v>КОМПЛЕКТ 26.  МЗ-ЩО-1.1 (ЩРн-18з-0 36 УХЛ3 IP54)  |  Альбом 7.1 ЭО (Музей)</v>
      </c>
      <c r="B206" s="29" t="s">
        <v>329</v>
      </c>
      <c r="C206" s="29" t="s">
        <v>610</v>
      </c>
      <c r="D206" s="29" t="s">
        <v>609</v>
      </c>
      <c r="E206" s="30">
        <v>8.09</v>
      </c>
      <c r="F206" s="27">
        <f t="shared" si="52"/>
        <v>1904.4669000000001</v>
      </c>
      <c r="G206" s="31">
        <f>I206*F206</f>
        <v>19044.669000000002</v>
      </c>
      <c r="H206" s="31" t="s">
        <v>94</v>
      </c>
      <c r="I206" s="31">
        <v>10</v>
      </c>
      <c r="J206" s="29"/>
      <c r="K206" s="29" t="s">
        <v>312</v>
      </c>
    </row>
    <row r="207" spans="1:11" ht="25.5" customHeight="1" x14ac:dyDescent="0.25">
      <c r="A207" s="25" t="str">
        <f t="shared" si="51"/>
        <v>КОМПЛЕКТ 26.  МЗ-ЩО-1.1 (ЩРн-18з-0 36 УХЛ3 IP54)  |  Альбом 7.1 ЭО (Музей)</v>
      </c>
      <c r="B207" s="25" t="s">
        <v>330</v>
      </c>
      <c r="C207" s="25" t="s">
        <v>153</v>
      </c>
      <c r="D207" s="25" t="s">
        <v>152</v>
      </c>
      <c r="E207" s="26">
        <f>ПАРАМЕТРЫ!C23</f>
        <v>87.63</v>
      </c>
      <c r="F207" s="27">
        <f t="shared" si="52"/>
        <v>20628.978300000002</v>
      </c>
      <c r="G207" s="27">
        <f>I207*F207</f>
        <v>0</v>
      </c>
      <c r="H207" s="27" t="s">
        <v>94</v>
      </c>
      <c r="I207" s="27">
        <v>0</v>
      </c>
      <c r="J207" s="25"/>
      <c r="K207" s="25" t="s">
        <v>312</v>
      </c>
    </row>
    <row r="208" spans="1:11" ht="25.5" customHeight="1" x14ac:dyDescent="0.25">
      <c r="A208" s="29" t="str">
        <f t="shared" si="51"/>
        <v>КОМПЛЕКТ 26.  МЗ-ЩО-1.1 (ЩРн-18з-0 36 УХЛ3 IP54)  |  Альбом 7.1 ЭО (Музей)</v>
      </c>
      <c r="B208" s="29" t="s">
        <v>331</v>
      </c>
      <c r="C208" s="29" t="s">
        <v>136</v>
      </c>
      <c r="D208" s="29" t="s">
        <v>135</v>
      </c>
      <c r="E208" s="30">
        <f>ПАРАМЕТРЫ!C33</f>
        <v>41.58</v>
      </c>
      <c r="F208" s="27">
        <f t="shared" si="52"/>
        <v>9788.3477999999996</v>
      </c>
      <c r="G208" s="31">
        <f>I208*F208</f>
        <v>29365.043399999999</v>
      </c>
      <c r="H208" s="31" t="s">
        <v>94</v>
      </c>
      <c r="I208" s="31">
        <v>3</v>
      </c>
      <c r="J208" s="29"/>
      <c r="K208" s="29" t="s">
        <v>312</v>
      </c>
    </row>
    <row r="209" spans="1:11" ht="25.5" customHeight="1" x14ac:dyDescent="0.25">
      <c r="A209" s="25" t="str">
        <f t="shared" si="51"/>
        <v>КОМПЛЕКТ 26.  МЗ-ЩО-1.1 (ЩРн-18з-0 36 УХЛ3 IP54)  |  Альбом 7.1 ЭО (Музей)</v>
      </c>
      <c r="B209" s="25" t="s">
        <v>332</v>
      </c>
      <c r="C209" s="25" t="s">
        <v>95</v>
      </c>
      <c r="D209" s="25" t="s">
        <v>206</v>
      </c>
      <c r="E209" s="26">
        <f>ПАРАМЕТРЫ!C37</f>
        <v>1.5</v>
      </c>
      <c r="F209" s="27">
        <f>ПАРАМЕТРЫ!D37</f>
        <v>353.11499999999995</v>
      </c>
      <c r="G209" s="27">
        <f>I209*F209</f>
        <v>1059.3449999999998</v>
      </c>
      <c r="H209" s="27" t="s">
        <v>94</v>
      </c>
      <c r="I209" s="27">
        <v>3</v>
      </c>
      <c r="J209" s="25"/>
      <c r="K209" s="25" t="s">
        <v>312</v>
      </c>
    </row>
    <row r="210" spans="1:11" ht="25.5" customHeight="1" x14ac:dyDescent="0.25">
      <c r="A210" s="37" t="str">
        <f t="shared" si="51"/>
        <v>КОМПЛЕКТ 26.  МЗ-ЩО-1.1 (ЩРн-18з-0 36 УХЛ3 IP54)  |  Альбом 7.1 ЭО (Музей)</v>
      </c>
      <c r="B210" s="37" t="s">
        <v>333</v>
      </c>
      <c r="C210" s="37"/>
      <c r="D210" s="37" t="s">
        <v>124</v>
      </c>
      <c r="E210" s="36" t="s">
        <v>95</v>
      </c>
      <c r="F210" s="38" t="str">
        <f>ПАРАМЕТРЫ!C6&amp;"%"</f>
        <v>12%</v>
      </c>
      <c r="G210" s="39">
        <f>(G205+G206+G207+G208+G209)*ПАРАМЕТРЫ!C6/100</f>
        <v>6965.1227520000002</v>
      </c>
      <c r="H210" s="39" t="s">
        <v>94</v>
      </c>
      <c r="I210" s="39">
        <v>1</v>
      </c>
      <c r="J210" s="37" t="s">
        <v>11</v>
      </c>
      <c r="K210" s="37" t="s">
        <v>312</v>
      </c>
    </row>
    <row r="211" spans="1:11" ht="25.5" customHeight="1" thickBot="1" x14ac:dyDescent="0.3">
      <c r="A211" s="41" t="str">
        <f t="shared" si="51"/>
        <v>КОМПЛЕКТ 26.  МЗ-ЩО-1.1 (ЩРн-18з-0 36 УХЛ3 IP54)  |  Альбом 7.1 ЭО (Музей)</v>
      </c>
      <c r="B211" s="41" t="s">
        <v>334</v>
      </c>
      <c r="C211" s="41"/>
      <c r="D211" s="41" t="s">
        <v>126</v>
      </c>
      <c r="E211" s="40" t="s">
        <v>95</v>
      </c>
      <c r="F211" s="42" t="str">
        <f>ПАРАМЕТРЫ!C7&amp;"%"</f>
        <v>15%</v>
      </c>
      <c r="G211" s="43">
        <f>(G205+G206+G207+G208+G209)*ПАРАМЕТРЫ!C7/100</f>
        <v>8706.40344</v>
      </c>
      <c r="H211" s="43" t="s">
        <v>94</v>
      </c>
      <c r="I211" s="43">
        <v>1</v>
      </c>
      <c r="J211" s="41" t="s">
        <v>11</v>
      </c>
      <c r="K211" s="41" t="s">
        <v>312</v>
      </c>
    </row>
    <row r="212" spans="1:11" ht="25.5" customHeight="1" thickBot="1" x14ac:dyDescent="0.3">
      <c r="A212" s="53" t="str">
        <f>D212</f>
        <v>КОМПЛЕКТ 27.  МЗ-ЩО-1.2 (ЩРн-18з-0 36 УХЛ3 IP54)  |  Альбом 7.1 ЭО (Музей)</v>
      </c>
      <c r="B212" s="54" t="s">
        <v>335</v>
      </c>
      <c r="C212" s="54"/>
      <c r="D212" s="54" t="s">
        <v>335</v>
      </c>
      <c r="E212" s="54"/>
      <c r="F212" s="54"/>
      <c r="G212" s="54"/>
      <c r="H212" s="54" t="s">
        <v>632</v>
      </c>
      <c r="I212" s="55">
        <v>1</v>
      </c>
      <c r="J212" s="2"/>
      <c r="K212" s="2"/>
    </row>
    <row r="213" spans="1:11" ht="25.5" customHeight="1" x14ac:dyDescent="0.25">
      <c r="A213" s="22" t="str">
        <f t="shared" ref="A213:A220" si="53">A212</f>
        <v>КОМПЛЕКТ 27.  МЗ-ЩО-1.2 (ЩРн-18з-0 36 УХЛ3 IP54)  |  Альбом 7.1 ЭО (Музей)</v>
      </c>
      <c r="B213" s="22" t="s">
        <v>336</v>
      </c>
      <c r="C213" s="22" t="s">
        <v>92</v>
      </c>
      <c r="D213" s="22" t="s">
        <v>180</v>
      </c>
      <c r="E213" s="21" t="s">
        <v>95</v>
      </c>
      <c r="F213" s="21" t="e">
        <f>0.6*E213</f>
        <v>#VALUE!</v>
      </c>
      <c r="G213" s="23" t="e">
        <f>F213*I213</f>
        <v>#VALUE!</v>
      </c>
      <c r="H213" s="23" t="s">
        <v>94</v>
      </c>
      <c r="I213" s="23">
        <v>1</v>
      </c>
      <c r="J213" s="22" t="s">
        <v>96</v>
      </c>
      <c r="K213" s="22" t="s">
        <v>312</v>
      </c>
    </row>
    <row r="214" spans="1:11" ht="25.5" customHeight="1" x14ac:dyDescent="0.25">
      <c r="A214" s="25" t="str">
        <f t="shared" si="53"/>
        <v>КОМПЛЕКТ 27.  МЗ-ЩО-1.2 (ЩРн-18з-0 36 УХЛ3 IP54)  |  Альбом 7.1 ЭО (Музей)</v>
      </c>
      <c r="B214" s="25" t="s">
        <v>181</v>
      </c>
      <c r="C214" s="25" t="s">
        <v>611</v>
      </c>
      <c r="D214" s="25" t="s">
        <v>604</v>
      </c>
      <c r="E214" s="26">
        <v>36.42</v>
      </c>
      <c r="F214" s="27">
        <f t="shared" ref="F214:F217" si="54">E214*0.3*1.33*590</f>
        <v>8573.6322000000018</v>
      </c>
      <c r="G214" s="27">
        <f>I214*F214</f>
        <v>8573.6322000000018</v>
      </c>
      <c r="H214" s="27" t="s">
        <v>94</v>
      </c>
      <c r="I214" s="27">
        <v>1</v>
      </c>
      <c r="J214" s="25" t="s">
        <v>182</v>
      </c>
      <c r="K214" s="41" t="s">
        <v>312</v>
      </c>
    </row>
    <row r="215" spans="1:11" ht="25.5" customHeight="1" x14ac:dyDescent="0.25">
      <c r="A215" s="29" t="str">
        <f t="shared" si="53"/>
        <v>КОМПЛЕКТ 27.  МЗ-ЩО-1.2 (ЩРн-18з-0 36 УХЛ3 IP54)  |  Альбом 7.1 ЭО (Музей)</v>
      </c>
      <c r="B215" s="29" t="s">
        <v>337</v>
      </c>
      <c r="C215" s="29" t="s">
        <v>610</v>
      </c>
      <c r="D215" s="29" t="s">
        <v>609</v>
      </c>
      <c r="E215" s="30">
        <v>8.09</v>
      </c>
      <c r="F215" s="27">
        <f t="shared" si="54"/>
        <v>1904.4669000000001</v>
      </c>
      <c r="G215" s="31">
        <f>I215*F215</f>
        <v>20949.135900000001</v>
      </c>
      <c r="H215" s="31" t="s">
        <v>94</v>
      </c>
      <c r="I215" s="31">
        <v>11</v>
      </c>
      <c r="J215" s="29"/>
      <c r="K215" s="29" t="s">
        <v>312</v>
      </c>
    </row>
    <row r="216" spans="1:11" ht="25.5" customHeight="1" x14ac:dyDescent="0.25">
      <c r="A216" s="25" t="str">
        <f t="shared" si="53"/>
        <v>КОМПЛЕКТ 27.  МЗ-ЩО-1.2 (ЩРн-18з-0 36 УХЛ3 IP54)  |  Альбом 7.1 ЭО (Музей)</v>
      </c>
      <c r="B216" s="25" t="s">
        <v>338</v>
      </c>
      <c r="C216" s="25" t="s">
        <v>153</v>
      </c>
      <c r="D216" s="25" t="s">
        <v>152</v>
      </c>
      <c r="E216" s="26">
        <f>ПАРАМЕТРЫ!C23</f>
        <v>87.63</v>
      </c>
      <c r="F216" s="27">
        <f t="shared" si="54"/>
        <v>20628.978300000002</v>
      </c>
      <c r="G216" s="27">
        <f>I216*F216</f>
        <v>0</v>
      </c>
      <c r="H216" s="27" t="s">
        <v>94</v>
      </c>
      <c r="I216" s="27">
        <v>0</v>
      </c>
      <c r="J216" s="25"/>
      <c r="K216" s="25" t="s">
        <v>312</v>
      </c>
    </row>
    <row r="217" spans="1:11" ht="25.5" customHeight="1" x14ac:dyDescent="0.25">
      <c r="A217" s="29" t="str">
        <f t="shared" si="53"/>
        <v>КОМПЛЕКТ 27.  МЗ-ЩО-1.2 (ЩРн-18з-0 36 УХЛ3 IP54)  |  Альбом 7.1 ЭО (Музей)</v>
      </c>
      <c r="B217" s="29" t="s">
        <v>339</v>
      </c>
      <c r="C217" s="29" t="s">
        <v>136</v>
      </c>
      <c r="D217" s="29" t="s">
        <v>135</v>
      </c>
      <c r="E217" s="30">
        <f>ПАРАМЕТРЫ!C33</f>
        <v>41.58</v>
      </c>
      <c r="F217" s="27">
        <f t="shared" si="54"/>
        <v>9788.3477999999996</v>
      </c>
      <c r="G217" s="31">
        <f>I217*F217</f>
        <v>19576.695599999999</v>
      </c>
      <c r="H217" s="31" t="s">
        <v>94</v>
      </c>
      <c r="I217" s="31">
        <v>2</v>
      </c>
      <c r="J217" s="29"/>
      <c r="K217" s="29" t="s">
        <v>312</v>
      </c>
    </row>
    <row r="218" spans="1:11" ht="25.5" customHeight="1" x14ac:dyDescent="0.25">
      <c r="A218" s="25" t="str">
        <f t="shared" si="53"/>
        <v>КОМПЛЕКТ 27.  МЗ-ЩО-1.2 (ЩРн-18з-0 36 УХЛ3 IP54)  |  Альбом 7.1 ЭО (Музей)</v>
      </c>
      <c r="B218" s="25" t="s">
        <v>340</v>
      </c>
      <c r="C218" s="25" t="s">
        <v>95</v>
      </c>
      <c r="D218" s="25" t="s">
        <v>206</v>
      </c>
      <c r="E218" s="26">
        <f>ПАРАМЕТРЫ!C37</f>
        <v>1.5</v>
      </c>
      <c r="F218" s="27">
        <f>ПАРАМЕТРЫ!D37</f>
        <v>353.11499999999995</v>
      </c>
      <c r="G218" s="27">
        <f>I218*F218</f>
        <v>706.2299999999999</v>
      </c>
      <c r="H218" s="27" t="s">
        <v>94</v>
      </c>
      <c r="I218" s="27">
        <v>2</v>
      </c>
      <c r="J218" s="25"/>
      <c r="K218" s="25" t="s">
        <v>312</v>
      </c>
    </row>
    <row r="219" spans="1:11" ht="25.5" customHeight="1" x14ac:dyDescent="0.25">
      <c r="A219" s="37" t="str">
        <f t="shared" si="53"/>
        <v>КОМПЛЕКТ 27.  МЗ-ЩО-1.2 (ЩРн-18з-0 36 УХЛ3 IP54)  |  Альбом 7.1 ЭО (Музей)</v>
      </c>
      <c r="B219" s="37" t="s">
        <v>341</v>
      </c>
      <c r="C219" s="37"/>
      <c r="D219" s="37" t="s">
        <v>124</v>
      </c>
      <c r="E219" s="36" t="s">
        <v>95</v>
      </c>
      <c r="F219" s="38" t="str">
        <f>ПАРАМЕТРЫ!C6&amp;"%"</f>
        <v>12%</v>
      </c>
      <c r="G219" s="39">
        <f>(G214+G215+G216+G217+G218)*ПАРАМЕТРЫ!C6/100</f>
        <v>5976.6832440000007</v>
      </c>
      <c r="H219" s="39" t="s">
        <v>94</v>
      </c>
      <c r="I219" s="39">
        <v>1</v>
      </c>
      <c r="J219" s="37" t="s">
        <v>11</v>
      </c>
      <c r="K219" s="37" t="s">
        <v>312</v>
      </c>
    </row>
    <row r="220" spans="1:11" ht="25.5" customHeight="1" thickBot="1" x14ac:dyDescent="0.3">
      <c r="A220" s="41" t="str">
        <f t="shared" si="53"/>
        <v>КОМПЛЕКТ 27.  МЗ-ЩО-1.2 (ЩРн-18з-0 36 УХЛ3 IP54)  |  Альбом 7.1 ЭО (Музей)</v>
      </c>
      <c r="B220" s="41" t="s">
        <v>342</v>
      </c>
      <c r="C220" s="41"/>
      <c r="D220" s="41" t="s">
        <v>126</v>
      </c>
      <c r="E220" s="40" t="s">
        <v>95</v>
      </c>
      <c r="F220" s="42" t="str">
        <f>ПАРАМЕТРЫ!C7&amp;"%"</f>
        <v>15%</v>
      </c>
      <c r="G220" s="43">
        <f>(G214+G215+G216+G217+G218)*ПАРАМЕТРЫ!C7/100</f>
        <v>7470.8540550000007</v>
      </c>
      <c r="H220" s="43" t="s">
        <v>94</v>
      </c>
      <c r="I220" s="43">
        <v>1</v>
      </c>
      <c r="J220" s="41" t="s">
        <v>11</v>
      </c>
      <c r="K220" s="41" t="s">
        <v>312</v>
      </c>
    </row>
    <row r="221" spans="1:11" ht="25.5" customHeight="1" thickBot="1" x14ac:dyDescent="0.3">
      <c r="A221" s="53" t="str">
        <f>D221</f>
        <v>КОМПЛЕКТ 28.  МЗ-ЩО-2.1 (ЩРн-24з-0 36 УХЛ3 IP54)  |  Альбом 7.1 ЭО (Музей)</v>
      </c>
      <c r="B221" s="54" t="s">
        <v>343</v>
      </c>
      <c r="C221" s="54"/>
      <c r="D221" s="54" t="s">
        <v>343</v>
      </c>
      <c r="E221" s="54"/>
      <c r="F221" s="54"/>
      <c r="G221" s="54"/>
      <c r="H221" s="54" t="s">
        <v>632</v>
      </c>
      <c r="I221" s="55">
        <v>1</v>
      </c>
      <c r="J221" s="2"/>
      <c r="K221" s="2"/>
    </row>
    <row r="222" spans="1:11" ht="25.5" customHeight="1" x14ac:dyDescent="0.25">
      <c r="A222" s="22" t="str">
        <f t="shared" ref="A222:A229" si="55">A221</f>
        <v>КОМПЛЕКТ 28.  МЗ-ЩО-2.1 (ЩРн-24з-0 36 УХЛ3 IP54)  |  Альбом 7.1 ЭО (Музей)</v>
      </c>
      <c r="B222" s="22" t="s">
        <v>344</v>
      </c>
      <c r="C222" s="22" t="s">
        <v>92</v>
      </c>
      <c r="D222" s="22" t="s">
        <v>146</v>
      </c>
      <c r="E222" s="21" t="s">
        <v>95</v>
      </c>
      <c r="F222" s="21" t="e">
        <f>0.6*E222</f>
        <v>#VALUE!</v>
      </c>
      <c r="G222" s="23" t="e">
        <f>F222*I222</f>
        <v>#VALUE!</v>
      </c>
      <c r="H222" s="23" t="s">
        <v>94</v>
      </c>
      <c r="I222" s="23">
        <v>1</v>
      </c>
      <c r="J222" s="22" t="s">
        <v>96</v>
      </c>
      <c r="K222" s="22" t="s">
        <v>312</v>
      </c>
    </row>
    <row r="223" spans="1:11" ht="25.5" customHeight="1" x14ac:dyDescent="0.25">
      <c r="A223" s="25" t="str">
        <f t="shared" si="55"/>
        <v>КОМПЛЕКТ 28.  МЗ-ЩО-2.1 (ЩРн-24з-0 36 УХЛ3 IP54)  |  Альбом 7.1 ЭО (Музей)</v>
      </c>
      <c r="B223" s="25" t="s">
        <v>181</v>
      </c>
      <c r="C223" s="25" t="s">
        <v>611</v>
      </c>
      <c r="D223" s="25" t="s">
        <v>604</v>
      </c>
      <c r="E223" s="26">
        <v>36.42</v>
      </c>
      <c r="F223" s="27">
        <f t="shared" ref="F223:F226" si="56">E223*0.3*1.33*590</f>
        <v>8573.6322000000018</v>
      </c>
      <c r="G223" s="27">
        <f>I223*F223</f>
        <v>8573.6322000000018</v>
      </c>
      <c r="H223" s="27" t="s">
        <v>94</v>
      </c>
      <c r="I223" s="27">
        <v>1</v>
      </c>
      <c r="J223" s="25" t="s">
        <v>182</v>
      </c>
      <c r="K223" s="41" t="s">
        <v>312</v>
      </c>
    </row>
    <row r="224" spans="1:11" ht="25.5" customHeight="1" x14ac:dyDescent="0.25">
      <c r="A224" s="29" t="str">
        <f t="shared" si="55"/>
        <v>КОМПЛЕКТ 28.  МЗ-ЩО-2.1 (ЩРн-24з-0 36 УХЛ3 IP54)  |  Альбом 7.1 ЭО (Музей)</v>
      </c>
      <c r="B224" s="29" t="s">
        <v>345</v>
      </c>
      <c r="C224" s="29" t="s">
        <v>610</v>
      </c>
      <c r="D224" s="29" t="s">
        <v>609</v>
      </c>
      <c r="E224" s="30">
        <v>8.09</v>
      </c>
      <c r="F224" s="27">
        <f t="shared" si="56"/>
        <v>1904.4669000000001</v>
      </c>
      <c r="G224" s="31">
        <f>I224*F224</f>
        <v>30471.470400000002</v>
      </c>
      <c r="H224" s="31" t="s">
        <v>94</v>
      </c>
      <c r="I224" s="31">
        <v>16</v>
      </c>
      <c r="J224" s="29"/>
      <c r="K224" s="29" t="s">
        <v>312</v>
      </c>
    </row>
    <row r="225" spans="1:11" ht="25.5" customHeight="1" x14ac:dyDescent="0.25">
      <c r="A225" s="25" t="str">
        <f t="shared" si="55"/>
        <v>КОМПЛЕКТ 28.  МЗ-ЩО-2.1 (ЩРн-24з-0 36 УХЛ3 IP54)  |  Альбом 7.1 ЭО (Музей)</v>
      </c>
      <c r="B225" s="25" t="s">
        <v>346</v>
      </c>
      <c r="C225" s="25" t="s">
        <v>153</v>
      </c>
      <c r="D225" s="25" t="s">
        <v>152</v>
      </c>
      <c r="E225" s="26">
        <f>ПАРАМЕТРЫ!C23</f>
        <v>87.63</v>
      </c>
      <c r="F225" s="27">
        <f t="shared" si="56"/>
        <v>20628.978300000002</v>
      </c>
      <c r="G225" s="27">
        <f>I225*F225</f>
        <v>0</v>
      </c>
      <c r="H225" s="27" t="s">
        <v>94</v>
      </c>
      <c r="I225" s="27">
        <v>0</v>
      </c>
      <c r="J225" s="25"/>
      <c r="K225" s="25" t="s">
        <v>312</v>
      </c>
    </row>
    <row r="226" spans="1:11" ht="25.5" customHeight="1" x14ac:dyDescent="0.25">
      <c r="A226" s="29" t="str">
        <f t="shared" si="55"/>
        <v>КОМПЛЕКТ 28.  МЗ-ЩО-2.1 (ЩРн-24з-0 36 УХЛ3 IP54)  |  Альбом 7.1 ЭО (Музей)</v>
      </c>
      <c r="B226" s="29" t="s">
        <v>347</v>
      </c>
      <c r="C226" s="29" t="s">
        <v>136</v>
      </c>
      <c r="D226" s="29" t="s">
        <v>135</v>
      </c>
      <c r="E226" s="30">
        <f>ПАРАМЕТРЫ!C33</f>
        <v>41.58</v>
      </c>
      <c r="F226" s="27">
        <f t="shared" si="56"/>
        <v>9788.3477999999996</v>
      </c>
      <c r="G226" s="31">
        <f>I226*F226</f>
        <v>68518.434599999993</v>
      </c>
      <c r="H226" s="31" t="s">
        <v>94</v>
      </c>
      <c r="I226" s="31">
        <v>7</v>
      </c>
      <c r="J226" s="29"/>
      <c r="K226" s="29" t="s">
        <v>312</v>
      </c>
    </row>
    <row r="227" spans="1:11" ht="25.5" customHeight="1" x14ac:dyDescent="0.25">
      <c r="A227" s="25" t="str">
        <f t="shared" si="55"/>
        <v>КОМПЛЕКТ 28.  МЗ-ЩО-2.1 (ЩРн-24з-0 36 УХЛ3 IP54)  |  Альбом 7.1 ЭО (Музей)</v>
      </c>
      <c r="B227" s="25" t="s">
        <v>348</v>
      </c>
      <c r="C227" s="25" t="s">
        <v>95</v>
      </c>
      <c r="D227" s="25" t="s">
        <v>206</v>
      </c>
      <c r="E227" s="26">
        <f>ПАРАМЕТРЫ!C37</f>
        <v>1.5</v>
      </c>
      <c r="F227" s="27">
        <f>ПАРАМЕТРЫ!D37</f>
        <v>353.11499999999995</v>
      </c>
      <c r="G227" s="27">
        <f>I227*F227</f>
        <v>2471.8049999999998</v>
      </c>
      <c r="H227" s="27" t="s">
        <v>94</v>
      </c>
      <c r="I227" s="27">
        <v>7</v>
      </c>
      <c r="J227" s="25"/>
      <c r="K227" s="25" t="s">
        <v>312</v>
      </c>
    </row>
    <row r="228" spans="1:11" ht="25.5" customHeight="1" x14ac:dyDescent="0.25">
      <c r="A228" s="37" t="str">
        <f t="shared" si="55"/>
        <v>КОМПЛЕКТ 28.  МЗ-ЩО-2.1 (ЩРн-24з-0 36 УХЛ3 IP54)  |  Альбом 7.1 ЭО (Музей)</v>
      </c>
      <c r="B228" s="37" t="s">
        <v>349</v>
      </c>
      <c r="C228" s="37"/>
      <c r="D228" s="37" t="s">
        <v>124</v>
      </c>
      <c r="E228" s="36" t="s">
        <v>95</v>
      </c>
      <c r="F228" s="38" t="str">
        <f>ПАРАМЕТРЫ!C6&amp;"%"</f>
        <v>12%</v>
      </c>
      <c r="G228" s="39">
        <f>(G223+G224+G225+G226+G227)*ПАРАМЕТРЫ!C6/100</f>
        <v>13204.241064</v>
      </c>
      <c r="H228" s="39" t="s">
        <v>94</v>
      </c>
      <c r="I228" s="39">
        <v>1</v>
      </c>
      <c r="J228" s="37" t="s">
        <v>11</v>
      </c>
      <c r="K228" s="37" t="s">
        <v>312</v>
      </c>
    </row>
    <row r="229" spans="1:11" ht="25.5" customHeight="1" thickBot="1" x14ac:dyDescent="0.3">
      <c r="A229" s="41" t="str">
        <f t="shared" si="55"/>
        <v>КОМПЛЕКТ 28.  МЗ-ЩО-2.1 (ЩРн-24з-0 36 УХЛ3 IP54)  |  Альбом 7.1 ЭО (Музей)</v>
      </c>
      <c r="B229" s="41" t="s">
        <v>350</v>
      </c>
      <c r="C229" s="41"/>
      <c r="D229" s="41" t="s">
        <v>126</v>
      </c>
      <c r="E229" s="40" t="s">
        <v>95</v>
      </c>
      <c r="F229" s="42" t="str">
        <f>ПАРАМЕТРЫ!C7&amp;"%"</f>
        <v>15%</v>
      </c>
      <c r="G229" s="43">
        <f>(G223+G224+G225+G226+G227)*ПАРАМЕТРЫ!C7/100</f>
        <v>16505.301329999998</v>
      </c>
      <c r="H229" s="43" t="s">
        <v>94</v>
      </c>
      <c r="I229" s="43">
        <v>1</v>
      </c>
      <c r="J229" s="41" t="s">
        <v>11</v>
      </c>
      <c r="K229" s="41" t="s">
        <v>312</v>
      </c>
    </row>
    <row r="230" spans="1:11" ht="25.5" customHeight="1" thickBot="1" x14ac:dyDescent="0.3">
      <c r="A230" s="53" t="str">
        <f>D230</f>
        <v>КОМПЛЕКТ 29.  МЗ-ЩО-2.2 (ЩРн-18з-0 36 УХЛ3 IP54)  |  Альбом 7.1 ЭО (Музей)</v>
      </c>
      <c r="B230" s="54" t="s">
        <v>351</v>
      </c>
      <c r="C230" s="54"/>
      <c r="D230" s="54" t="s">
        <v>351</v>
      </c>
      <c r="E230" s="54"/>
      <c r="F230" s="54"/>
      <c r="G230" s="54"/>
      <c r="H230" s="54" t="s">
        <v>632</v>
      </c>
      <c r="I230" s="55">
        <v>1</v>
      </c>
      <c r="J230" s="2"/>
      <c r="K230" s="2"/>
    </row>
    <row r="231" spans="1:11" ht="25.5" customHeight="1" x14ac:dyDescent="0.25">
      <c r="A231" s="22" t="str">
        <f t="shared" ref="A231:A237" si="57">A230</f>
        <v>КОМПЛЕКТ 29.  МЗ-ЩО-2.2 (ЩРн-18з-0 36 УХЛ3 IP54)  |  Альбом 7.1 ЭО (Музей)</v>
      </c>
      <c r="B231" s="22" t="s">
        <v>352</v>
      </c>
      <c r="C231" s="22" t="s">
        <v>92</v>
      </c>
      <c r="D231" s="22" t="s">
        <v>180</v>
      </c>
      <c r="E231" s="21" t="s">
        <v>95</v>
      </c>
      <c r="F231" s="21" t="e">
        <f>0.6*E231</f>
        <v>#VALUE!</v>
      </c>
      <c r="G231" s="23" t="e">
        <f>F231*I231</f>
        <v>#VALUE!</v>
      </c>
      <c r="H231" s="23" t="s">
        <v>94</v>
      </c>
      <c r="I231" s="23">
        <v>1</v>
      </c>
      <c r="J231" s="22" t="s">
        <v>96</v>
      </c>
      <c r="K231" s="22" t="s">
        <v>312</v>
      </c>
    </row>
    <row r="232" spans="1:11" ht="25.5" customHeight="1" x14ac:dyDescent="0.25">
      <c r="A232" s="25" t="str">
        <f t="shared" si="57"/>
        <v>КОМПЛЕКТ 29.  МЗ-ЩО-2.2 (ЩРн-18з-0 36 УХЛ3 IP54)  |  Альбом 7.1 ЭО (Музей)</v>
      </c>
      <c r="B232" s="25" t="s">
        <v>181</v>
      </c>
      <c r="C232" s="25" t="s">
        <v>611</v>
      </c>
      <c r="D232" s="25" t="s">
        <v>604</v>
      </c>
      <c r="E232" s="26">
        <v>36.42</v>
      </c>
      <c r="F232" s="27">
        <f t="shared" ref="F232:F235" si="58">E232*0.3*1.33*590</f>
        <v>8573.6322000000018</v>
      </c>
      <c r="G232" s="27">
        <f>I232*F232</f>
        <v>8573.6322000000018</v>
      </c>
      <c r="H232" s="27" t="s">
        <v>94</v>
      </c>
      <c r="I232" s="27">
        <v>1</v>
      </c>
      <c r="J232" s="25" t="s">
        <v>182</v>
      </c>
      <c r="K232" s="41" t="s">
        <v>312</v>
      </c>
    </row>
    <row r="233" spans="1:11" ht="25.5" customHeight="1" x14ac:dyDescent="0.25">
      <c r="A233" s="29" t="str">
        <f t="shared" si="57"/>
        <v>КОМПЛЕКТ 29.  МЗ-ЩО-2.2 (ЩРн-18з-0 36 УХЛ3 IP54)  |  Альбом 7.1 ЭО (Музей)</v>
      </c>
      <c r="B233" s="29" t="s">
        <v>353</v>
      </c>
      <c r="C233" s="29" t="s">
        <v>610</v>
      </c>
      <c r="D233" s="29" t="s">
        <v>609</v>
      </c>
      <c r="E233" s="30">
        <v>8.09</v>
      </c>
      <c r="F233" s="27">
        <f t="shared" si="58"/>
        <v>1904.4669000000001</v>
      </c>
      <c r="G233" s="31">
        <f>I233*F233</f>
        <v>17140.202100000002</v>
      </c>
      <c r="H233" s="31" t="s">
        <v>94</v>
      </c>
      <c r="I233" s="31">
        <v>9</v>
      </c>
      <c r="J233" s="29"/>
      <c r="K233" s="29" t="s">
        <v>312</v>
      </c>
    </row>
    <row r="234" spans="1:11" ht="25.5" customHeight="1" x14ac:dyDescent="0.25">
      <c r="A234" s="25" t="str">
        <f t="shared" si="57"/>
        <v>КОМПЛЕКТ 29.  МЗ-ЩО-2.2 (ЩРн-18з-0 36 УХЛ3 IP54)  |  Альбом 7.1 ЭО (Музей)</v>
      </c>
      <c r="B234" s="25" t="s">
        <v>354</v>
      </c>
      <c r="C234" s="25" t="s">
        <v>153</v>
      </c>
      <c r="D234" s="25" t="s">
        <v>152</v>
      </c>
      <c r="E234" s="26">
        <f>ПАРАМЕТРЫ!C23</f>
        <v>87.63</v>
      </c>
      <c r="F234" s="27">
        <f t="shared" si="58"/>
        <v>20628.978300000002</v>
      </c>
      <c r="G234" s="27">
        <f>I234*F234</f>
        <v>0</v>
      </c>
      <c r="H234" s="27" t="s">
        <v>94</v>
      </c>
      <c r="I234" s="27">
        <v>0</v>
      </c>
      <c r="J234" s="25"/>
      <c r="K234" s="25" t="s">
        <v>312</v>
      </c>
    </row>
    <row r="235" spans="1:11" ht="25.5" customHeight="1" x14ac:dyDescent="0.25">
      <c r="A235" s="29" t="str">
        <f t="shared" si="57"/>
        <v>КОМПЛЕКТ 29.  МЗ-ЩО-2.2 (ЩРн-18з-0 36 УХЛ3 IP54)  |  Альбом 7.1 ЭО (Музей)</v>
      </c>
      <c r="B235" s="29" t="s">
        <v>355</v>
      </c>
      <c r="C235" s="29" t="s">
        <v>136</v>
      </c>
      <c r="D235" s="29" t="s">
        <v>135</v>
      </c>
      <c r="E235" s="30">
        <f>ПАРАМЕТРЫ!C33</f>
        <v>41.58</v>
      </c>
      <c r="F235" s="27">
        <f t="shared" si="58"/>
        <v>9788.3477999999996</v>
      </c>
      <c r="G235" s="31">
        <f>I235*F235</f>
        <v>9788.3477999999996</v>
      </c>
      <c r="H235" s="31" t="s">
        <v>94</v>
      </c>
      <c r="I235" s="31">
        <v>1</v>
      </c>
      <c r="J235" s="29"/>
      <c r="K235" s="29" t="s">
        <v>312</v>
      </c>
    </row>
    <row r="236" spans="1:11" ht="25.5" customHeight="1" x14ac:dyDescent="0.25">
      <c r="A236" s="37" t="str">
        <f t="shared" si="57"/>
        <v>КОМПЛЕКТ 29.  МЗ-ЩО-2.2 (ЩРн-18з-0 36 УХЛ3 IP54)  |  Альбом 7.1 ЭО (Музей)</v>
      </c>
      <c r="B236" s="37" t="s">
        <v>356</v>
      </c>
      <c r="C236" s="37"/>
      <c r="D236" s="37" t="s">
        <v>124</v>
      </c>
      <c r="E236" s="36" t="s">
        <v>95</v>
      </c>
      <c r="F236" s="38" t="str">
        <f>ПАРАМЕТРЫ!C6&amp;"%"</f>
        <v>12%</v>
      </c>
      <c r="G236" s="39">
        <f>(G232+G233+G234+G235)*ПАРАМЕТРЫ!C6/100</f>
        <v>4260.2618520000005</v>
      </c>
      <c r="H236" s="39" t="s">
        <v>94</v>
      </c>
      <c r="I236" s="39">
        <v>1</v>
      </c>
      <c r="J236" s="37" t="s">
        <v>11</v>
      </c>
      <c r="K236" s="37" t="s">
        <v>312</v>
      </c>
    </row>
    <row r="237" spans="1:11" ht="25.5" customHeight="1" thickBot="1" x14ac:dyDescent="0.3">
      <c r="A237" s="41" t="str">
        <f t="shared" si="57"/>
        <v>КОМПЛЕКТ 29.  МЗ-ЩО-2.2 (ЩРн-18з-0 36 УХЛ3 IP54)  |  Альбом 7.1 ЭО (Музей)</v>
      </c>
      <c r="B237" s="41" t="s">
        <v>357</v>
      </c>
      <c r="C237" s="41"/>
      <c r="D237" s="41" t="s">
        <v>126</v>
      </c>
      <c r="E237" s="40" t="s">
        <v>95</v>
      </c>
      <c r="F237" s="42" t="str">
        <f>ПАРАМЕТРЫ!C7&amp;"%"</f>
        <v>15%</v>
      </c>
      <c r="G237" s="43">
        <f>(G232+G233+G234+G235)*ПАРАМЕТРЫ!C7/100</f>
        <v>5325.3273150000014</v>
      </c>
      <c r="H237" s="43" t="s">
        <v>94</v>
      </c>
      <c r="I237" s="43">
        <v>1</v>
      </c>
      <c r="J237" s="41" t="s">
        <v>11</v>
      </c>
      <c r="K237" s="41" t="s">
        <v>312</v>
      </c>
    </row>
    <row r="238" spans="1:11" ht="25.5" customHeight="1" thickBot="1" x14ac:dyDescent="0.3">
      <c r="A238" s="53" t="str">
        <f>D238</f>
        <v>КОМПЛЕКТ 30.  МЗ-ЩО-3.1 (ЩРн-12з-0 36 УХЛ3 IP54)  |  Альбом 7.1 ЭО (Музей)</v>
      </c>
      <c r="B238" s="54" t="s">
        <v>358</v>
      </c>
      <c r="C238" s="54"/>
      <c r="D238" s="54" t="s">
        <v>358</v>
      </c>
      <c r="E238" s="54"/>
      <c r="F238" s="54"/>
      <c r="G238" s="54"/>
      <c r="H238" s="54" t="s">
        <v>632</v>
      </c>
      <c r="I238" s="55">
        <v>1</v>
      </c>
      <c r="J238" s="2"/>
      <c r="K238" s="2"/>
    </row>
    <row r="239" spans="1:11" ht="25.5" customHeight="1" x14ac:dyDescent="0.25">
      <c r="A239" s="22" t="str">
        <f t="shared" ref="A239:A245" si="59">A238</f>
        <v>КОМПЛЕКТ 30.  МЗ-ЩО-3.1 (ЩРн-12з-0 36 УХЛ3 IP54)  |  Альбом 7.1 ЭО (Музей)</v>
      </c>
      <c r="B239" s="22" t="s">
        <v>359</v>
      </c>
      <c r="C239" s="22" t="s">
        <v>92</v>
      </c>
      <c r="D239" s="22" t="s">
        <v>129</v>
      </c>
      <c r="E239" s="21" t="s">
        <v>95</v>
      </c>
      <c r="F239" s="21" t="e">
        <f>0.6*E239</f>
        <v>#VALUE!</v>
      </c>
      <c r="G239" s="23" t="e">
        <f>F239*I239</f>
        <v>#VALUE!</v>
      </c>
      <c r="H239" s="23" t="s">
        <v>94</v>
      </c>
      <c r="I239" s="23">
        <v>1</v>
      </c>
      <c r="J239" s="22" t="s">
        <v>96</v>
      </c>
      <c r="K239" s="22" t="s">
        <v>312</v>
      </c>
    </row>
    <row r="240" spans="1:11" ht="25.5" customHeight="1" x14ac:dyDescent="0.25">
      <c r="A240" s="25" t="str">
        <f t="shared" si="59"/>
        <v>КОМПЛЕКТ 30.  МЗ-ЩО-3.1 (ЩРн-12з-0 36 УХЛ3 IP54)  |  Альбом 7.1 ЭО (Музей)</v>
      </c>
      <c r="B240" s="25" t="s">
        <v>181</v>
      </c>
      <c r="C240" s="25" t="s">
        <v>611</v>
      </c>
      <c r="D240" s="25" t="s">
        <v>604</v>
      </c>
      <c r="E240" s="26">
        <v>36.42</v>
      </c>
      <c r="F240" s="27">
        <f t="shared" ref="F240:F243" si="60">E240*0.3*1.33*590</f>
        <v>8573.6322000000018</v>
      </c>
      <c r="G240" s="27">
        <f>I240*F240</f>
        <v>8573.6322000000018</v>
      </c>
      <c r="H240" s="27" t="s">
        <v>94</v>
      </c>
      <c r="I240" s="27">
        <v>1</v>
      </c>
      <c r="J240" s="25" t="s">
        <v>182</v>
      </c>
      <c r="K240" s="41" t="s">
        <v>312</v>
      </c>
    </row>
    <row r="241" spans="1:11" ht="25.5" customHeight="1" x14ac:dyDescent="0.25">
      <c r="A241" s="29" t="str">
        <f t="shared" si="59"/>
        <v>КОМПЛЕКТ 30.  МЗ-ЩО-3.1 (ЩРн-12з-0 36 УХЛ3 IP54)  |  Альбом 7.1 ЭО (Музей)</v>
      </c>
      <c r="B241" s="29" t="s">
        <v>360</v>
      </c>
      <c r="C241" s="29" t="s">
        <v>610</v>
      </c>
      <c r="D241" s="29" t="s">
        <v>609</v>
      </c>
      <c r="E241" s="30">
        <v>8.09</v>
      </c>
      <c r="F241" s="27">
        <f t="shared" si="60"/>
        <v>1904.4669000000001</v>
      </c>
      <c r="G241" s="31">
        <f>I241*F241</f>
        <v>15235.735200000001</v>
      </c>
      <c r="H241" s="31" t="s">
        <v>94</v>
      </c>
      <c r="I241" s="31">
        <v>8</v>
      </c>
      <c r="J241" s="29"/>
      <c r="K241" s="29" t="s">
        <v>312</v>
      </c>
    </row>
    <row r="242" spans="1:11" ht="25.5" customHeight="1" x14ac:dyDescent="0.25">
      <c r="A242" s="25" t="str">
        <f t="shared" si="59"/>
        <v>КОМПЛЕКТ 30.  МЗ-ЩО-3.1 (ЩРн-12з-0 36 УХЛ3 IP54)  |  Альбом 7.1 ЭО (Музей)</v>
      </c>
      <c r="B242" s="25" t="s">
        <v>361</v>
      </c>
      <c r="C242" s="25" t="s">
        <v>153</v>
      </c>
      <c r="D242" s="25" t="s">
        <v>152</v>
      </c>
      <c r="E242" s="26">
        <f>ПАРАМЕТРЫ!C23</f>
        <v>87.63</v>
      </c>
      <c r="F242" s="27">
        <f t="shared" si="60"/>
        <v>20628.978300000002</v>
      </c>
      <c r="G242" s="27">
        <f>I242*F242</f>
        <v>0</v>
      </c>
      <c r="H242" s="27" t="s">
        <v>94</v>
      </c>
      <c r="I242" s="27">
        <v>0</v>
      </c>
      <c r="J242" s="25"/>
      <c r="K242" s="25" t="s">
        <v>312</v>
      </c>
    </row>
    <row r="243" spans="1:11" ht="25.5" customHeight="1" x14ac:dyDescent="0.25">
      <c r="A243" s="29" t="str">
        <f t="shared" si="59"/>
        <v>КОМПЛЕКТ 30.  МЗ-ЩО-3.1 (ЩРн-12з-0 36 УХЛ3 IP54)  |  Альбом 7.1 ЭО (Музей)</v>
      </c>
      <c r="B243" s="29" t="s">
        <v>362</v>
      </c>
      <c r="C243" s="29" t="s">
        <v>136</v>
      </c>
      <c r="D243" s="29" t="s">
        <v>135</v>
      </c>
      <c r="E243" s="30">
        <f>ПАРАМЕТРЫ!C33</f>
        <v>41.58</v>
      </c>
      <c r="F243" s="27">
        <f t="shared" si="60"/>
        <v>9788.3477999999996</v>
      </c>
      <c r="G243" s="31">
        <f>I243*F243</f>
        <v>39153.391199999998</v>
      </c>
      <c r="H243" s="31" t="s">
        <v>94</v>
      </c>
      <c r="I243" s="31">
        <v>4</v>
      </c>
      <c r="J243" s="29"/>
      <c r="K243" s="29" t="s">
        <v>312</v>
      </c>
    </row>
    <row r="244" spans="1:11" ht="25.5" customHeight="1" x14ac:dyDescent="0.25">
      <c r="A244" s="37" t="str">
        <f t="shared" si="59"/>
        <v>КОМПЛЕКТ 30.  МЗ-ЩО-3.1 (ЩРн-12з-0 36 УХЛ3 IP54)  |  Альбом 7.1 ЭО (Музей)</v>
      </c>
      <c r="B244" s="37" t="s">
        <v>363</v>
      </c>
      <c r="C244" s="37"/>
      <c r="D244" s="37" t="s">
        <v>124</v>
      </c>
      <c r="E244" s="36" t="s">
        <v>95</v>
      </c>
      <c r="F244" s="38" t="str">
        <f>ПАРАМЕТРЫ!C6&amp;"%"</f>
        <v>12%</v>
      </c>
      <c r="G244" s="39">
        <f>(G240+G241+G242+G243)*ПАРАМЕТРЫ!C6/100</f>
        <v>7555.5310319999999</v>
      </c>
      <c r="H244" s="39" t="s">
        <v>94</v>
      </c>
      <c r="I244" s="39">
        <v>1</v>
      </c>
      <c r="J244" s="37" t="s">
        <v>11</v>
      </c>
      <c r="K244" s="37" t="s">
        <v>312</v>
      </c>
    </row>
    <row r="245" spans="1:11" ht="25.5" customHeight="1" thickBot="1" x14ac:dyDescent="0.3">
      <c r="A245" s="41" t="str">
        <f t="shared" si="59"/>
        <v>КОМПЛЕКТ 30.  МЗ-ЩО-3.1 (ЩРн-12з-0 36 УХЛ3 IP54)  |  Альбом 7.1 ЭО (Музей)</v>
      </c>
      <c r="B245" s="41" t="s">
        <v>364</v>
      </c>
      <c r="C245" s="41"/>
      <c r="D245" s="41" t="s">
        <v>126</v>
      </c>
      <c r="E245" s="40" t="s">
        <v>95</v>
      </c>
      <c r="F245" s="42" t="str">
        <f>ПАРАМЕТРЫ!C7&amp;"%"</f>
        <v>15%</v>
      </c>
      <c r="G245" s="43">
        <f>(G240+G241+G242+G243)*ПАРАМЕТРЫ!C7/100</f>
        <v>9444.4137899999987</v>
      </c>
      <c r="H245" s="43" t="s">
        <v>94</v>
      </c>
      <c r="I245" s="43">
        <v>1</v>
      </c>
      <c r="J245" s="41" t="s">
        <v>11</v>
      </c>
      <c r="K245" s="41" t="s">
        <v>312</v>
      </c>
    </row>
    <row r="246" spans="1:11" ht="25.5" customHeight="1" thickBot="1" x14ac:dyDescent="0.3">
      <c r="A246" s="53" t="str">
        <f>D246</f>
        <v>КОМПЛЕКТ 31.  МЗ-ЩО-3.2 (ЩРн-12з-0 36 УХЛ3 IP54)  |  Альбом 7.1 ЭО (Музей)</v>
      </c>
      <c r="B246" s="54" t="s">
        <v>365</v>
      </c>
      <c r="C246" s="54"/>
      <c r="D246" s="54" t="s">
        <v>365</v>
      </c>
      <c r="E246" s="54"/>
      <c r="F246" s="54"/>
      <c r="G246" s="54"/>
      <c r="H246" s="54" t="s">
        <v>632</v>
      </c>
      <c r="I246" s="55">
        <v>1</v>
      </c>
      <c r="J246" s="2"/>
      <c r="K246" s="2"/>
    </row>
    <row r="247" spans="1:11" ht="25.5" customHeight="1" x14ac:dyDescent="0.25">
      <c r="A247" s="22" t="str">
        <f t="shared" ref="A247:A253" si="61">A246</f>
        <v>КОМПЛЕКТ 31.  МЗ-ЩО-3.2 (ЩРн-12з-0 36 УХЛ3 IP54)  |  Альбом 7.1 ЭО (Музей)</v>
      </c>
      <c r="B247" s="22" t="s">
        <v>366</v>
      </c>
      <c r="C247" s="22" t="s">
        <v>92</v>
      </c>
      <c r="D247" s="22" t="s">
        <v>129</v>
      </c>
      <c r="E247" s="21" t="s">
        <v>95</v>
      </c>
      <c r="F247" s="21" t="e">
        <f>0.6*E247</f>
        <v>#VALUE!</v>
      </c>
      <c r="G247" s="23" t="e">
        <f>F247*I247</f>
        <v>#VALUE!</v>
      </c>
      <c r="H247" s="23" t="s">
        <v>94</v>
      </c>
      <c r="I247" s="23">
        <v>1</v>
      </c>
      <c r="J247" s="22" t="s">
        <v>96</v>
      </c>
      <c r="K247" s="22" t="s">
        <v>312</v>
      </c>
    </row>
    <row r="248" spans="1:11" ht="25.5" customHeight="1" x14ac:dyDescent="0.25">
      <c r="A248" s="25" t="str">
        <f t="shared" si="61"/>
        <v>КОМПЛЕКТ 31.  МЗ-ЩО-3.2 (ЩРн-12з-0 36 УХЛ3 IP54)  |  Альбом 7.1 ЭО (Музей)</v>
      </c>
      <c r="B248" s="25" t="s">
        <v>181</v>
      </c>
      <c r="C248" s="25" t="s">
        <v>611</v>
      </c>
      <c r="D248" s="25" t="s">
        <v>604</v>
      </c>
      <c r="E248" s="26">
        <v>36.42</v>
      </c>
      <c r="F248" s="27">
        <f t="shared" ref="F248:F251" si="62">E248*0.3*1.33*590</f>
        <v>8573.6322000000018</v>
      </c>
      <c r="G248" s="27">
        <f>I248*F248</f>
        <v>8573.6322000000018</v>
      </c>
      <c r="H248" s="27" t="s">
        <v>94</v>
      </c>
      <c r="I248" s="27">
        <v>1</v>
      </c>
      <c r="J248" s="25" t="s">
        <v>182</v>
      </c>
      <c r="K248" s="41" t="s">
        <v>312</v>
      </c>
    </row>
    <row r="249" spans="1:11" ht="25.5" customHeight="1" x14ac:dyDescent="0.25">
      <c r="A249" s="29" t="str">
        <f t="shared" si="61"/>
        <v>КОМПЛЕКТ 31.  МЗ-ЩО-3.2 (ЩРн-12з-0 36 УХЛ3 IP54)  |  Альбом 7.1 ЭО (Музей)</v>
      </c>
      <c r="B249" s="29" t="s">
        <v>367</v>
      </c>
      <c r="C249" s="29" t="s">
        <v>610</v>
      </c>
      <c r="D249" s="29" t="s">
        <v>609</v>
      </c>
      <c r="E249" s="30">
        <v>8.09</v>
      </c>
      <c r="F249" s="27">
        <f t="shared" si="62"/>
        <v>1904.4669000000001</v>
      </c>
      <c r="G249" s="31">
        <f>I249*F249</f>
        <v>9522.3345000000008</v>
      </c>
      <c r="H249" s="31" t="s">
        <v>94</v>
      </c>
      <c r="I249" s="31">
        <v>5</v>
      </c>
      <c r="J249" s="29"/>
      <c r="K249" s="29" t="s">
        <v>312</v>
      </c>
    </row>
    <row r="250" spans="1:11" ht="25.5" customHeight="1" x14ac:dyDescent="0.25">
      <c r="A250" s="25" t="str">
        <f t="shared" si="61"/>
        <v>КОМПЛЕКТ 31.  МЗ-ЩО-3.2 (ЩРн-12з-0 36 УХЛ3 IP54)  |  Альбом 7.1 ЭО (Музей)</v>
      </c>
      <c r="B250" s="25" t="s">
        <v>368</v>
      </c>
      <c r="C250" s="25" t="s">
        <v>153</v>
      </c>
      <c r="D250" s="25" t="s">
        <v>152</v>
      </c>
      <c r="E250" s="26">
        <f>ПАРАМЕТРЫ!C23</f>
        <v>87.63</v>
      </c>
      <c r="F250" s="27">
        <f t="shared" si="62"/>
        <v>20628.978300000002</v>
      </c>
      <c r="G250" s="27">
        <f>I250*F250</f>
        <v>0</v>
      </c>
      <c r="H250" s="27" t="s">
        <v>94</v>
      </c>
      <c r="I250" s="27">
        <v>0</v>
      </c>
      <c r="J250" s="25"/>
      <c r="K250" s="25" t="s">
        <v>312</v>
      </c>
    </row>
    <row r="251" spans="1:11" ht="25.5" customHeight="1" x14ac:dyDescent="0.25">
      <c r="A251" s="29" t="str">
        <f t="shared" si="61"/>
        <v>КОМПЛЕКТ 31.  МЗ-ЩО-3.2 (ЩРн-12з-0 36 УХЛ3 IP54)  |  Альбом 7.1 ЭО (Музей)</v>
      </c>
      <c r="B251" s="29" t="s">
        <v>369</v>
      </c>
      <c r="C251" s="29" t="s">
        <v>136</v>
      </c>
      <c r="D251" s="29" t="s">
        <v>135</v>
      </c>
      <c r="E251" s="30">
        <f>ПАРАМЕТРЫ!C33</f>
        <v>41.58</v>
      </c>
      <c r="F251" s="27">
        <f t="shared" si="62"/>
        <v>9788.3477999999996</v>
      </c>
      <c r="G251" s="31">
        <f>I251*F251</f>
        <v>39153.391199999998</v>
      </c>
      <c r="H251" s="31" t="s">
        <v>94</v>
      </c>
      <c r="I251" s="31">
        <v>4</v>
      </c>
      <c r="J251" s="29"/>
      <c r="K251" s="29" t="s">
        <v>312</v>
      </c>
    </row>
    <row r="252" spans="1:11" ht="25.5" customHeight="1" x14ac:dyDescent="0.25">
      <c r="A252" s="37" t="str">
        <f t="shared" si="61"/>
        <v>КОМПЛЕКТ 31.  МЗ-ЩО-3.2 (ЩРн-12з-0 36 УХЛ3 IP54)  |  Альбом 7.1 ЭО (Музей)</v>
      </c>
      <c r="B252" s="37" t="s">
        <v>370</v>
      </c>
      <c r="C252" s="37"/>
      <c r="D252" s="37" t="s">
        <v>124</v>
      </c>
      <c r="E252" s="36" t="s">
        <v>95</v>
      </c>
      <c r="F252" s="38" t="str">
        <f>ПАРАМЕТРЫ!C6&amp;"%"</f>
        <v>12%</v>
      </c>
      <c r="G252" s="39">
        <f>(G248+G249+G250+G251)*ПАРАМЕТРЫ!C6/100</f>
        <v>6869.9229480000004</v>
      </c>
      <c r="H252" s="39" t="s">
        <v>94</v>
      </c>
      <c r="I252" s="39">
        <v>1</v>
      </c>
      <c r="J252" s="37" t="s">
        <v>11</v>
      </c>
      <c r="K252" s="37" t="s">
        <v>312</v>
      </c>
    </row>
    <row r="253" spans="1:11" ht="25.5" customHeight="1" thickBot="1" x14ac:dyDescent="0.3">
      <c r="A253" s="41" t="str">
        <f t="shared" si="61"/>
        <v>КОМПЛЕКТ 31.  МЗ-ЩО-3.2 (ЩРн-12з-0 36 УХЛ3 IP54)  |  Альбом 7.1 ЭО (Музей)</v>
      </c>
      <c r="B253" s="41" t="s">
        <v>371</v>
      </c>
      <c r="C253" s="41"/>
      <c r="D253" s="41" t="s">
        <v>126</v>
      </c>
      <c r="E253" s="40" t="s">
        <v>95</v>
      </c>
      <c r="F253" s="42" t="str">
        <f>ПАРАМЕТРЫ!C7&amp;"%"</f>
        <v>15%</v>
      </c>
      <c r="G253" s="43">
        <f>(G248+G249+G250+G251)*ПАРАМЕТРЫ!C7/100</f>
        <v>8587.4036850000011</v>
      </c>
      <c r="H253" s="43" t="s">
        <v>94</v>
      </c>
      <c r="I253" s="43">
        <v>1</v>
      </c>
      <c r="J253" s="41" t="s">
        <v>11</v>
      </c>
      <c r="K253" s="41" t="s">
        <v>312</v>
      </c>
    </row>
    <row r="254" spans="1:11" ht="25.5" customHeight="1" thickBot="1" x14ac:dyDescent="0.3">
      <c r="A254" s="53" t="str">
        <f>D254</f>
        <v>КОМПЛЕКТ 32.  МЗ-ЩО-4.1 (ЩРн-18з-0 36 УХЛ3 IP54)  |  Альбом 7.1 ЭО (Музей)</v>
      </c>
      <c r="B254" s="54" t="s">
        <v>372</v>
      </c>
      <c r="C254" s="54"/>
      <c r="D254" s="54" t="s">
        <v>372</v>
      </c>
      <c r="E254" s="54"/>
      <c r="F254" s="54"/>
      <c r="G254" s="54"/>
      <c r="H254" s="54" t="s">
        <v>632</v>
      </c>
      <c r="I254" s="55">
        <v>1</v>
      </c>
      <c r="J254" s="2"/>
      <c r="K254" s="2"/>
    </row>
    <row r="255" spans="1:11" ht="25.5" customHeight="1" x14ac:dyDescent="0.25">
      <c r="A255" s="22" t="str">
        <f t="shared" ref="A255:A261" si="63">A254</f>
        <v>КОМПЛЕКТ 32.  МЗ-ЩО-4.1 (ЩРн-18з-0 36 УХЛ3 IP54)  |  Альбом 7.1 ЭО (Музей)</v>
      </c>
      <c r="B255" s="22" t="s">
        <v>373</v>
      </c>
      <c r="C255" s="22" t="s">
        <v>92</v>
      </c>
      <c r="D255" s="22" t="s">
        <v>180</v>
      </c>
      <c r="E255" s="21" t="s">
        <v>95</v>
      </c>
      <c r="F255" s="21" t="e">
        <f>0.6*E255</f>
        <v>#VALUE!</v>
      </c>
      <c r="G255" s="23" t="e">
        <f>F255*I255</f>
        <v>#VALUE!</v>
      </c>
      <c r="H255" s="23" t="s">
        <v>94</v>
      </c>
      <c r="I255" s="23">
        <v>1</v>
      </c>
      <c r="J255" s="22" t="s">
        <v>96</v>
      </c>
      <c r="K255" s="22" t="s">
        <v>312</v>
      </c>
    </row>
    <row r="256" spans="1:11" ht="25.5" customHeight="1" x14ac:dyDescent="0.25">
      <c r="A256" s="25" t="str">
        <f t="shared" si="63"/>
        <v>КОМПЛЕКТ 32.  МЗ-ЩО-4.1 (ЩРн-18з-0 36 УХЛ3 IP54)  |  Альбом 7.1 ЭО (Музей)</v>
      </c>
      <c r="B256" s="25" t="s">
        <v>181</v>
      </c>
      <c r="C256" s="25" t="s">
        <v>611</v>
      </c>
      <c r="D256" s="25" t="s">
        <v>604</v>
      </c>
      <c r="E256" s="26">
        <v>36.42</v>
      </c>
      <c r="F256" s="27">
        <f t="shared" ref="F256:F259" si="64">E256*0.3*1.33*590</f>
        <v>8573.6322000000018</v>
      </c>
      <c r="G256" s="27">
        <f>I256*F256</f>
        <v>8573.6322000000018</v>
      </c>
      <c r="H256" s="27" t="s">
        <v>94</v>
      </c>
      <c r="I256" s="27">
        <v>1</v>
      </c>
      <c r="J256" s="25" t="s">
        <v>182</v>
      </c>
      <c r="K256" s="41" t="s">
        <v>312</v>
      </c>
    </row>
    <row r="257" spans="1:11" ht="25.5" customHeight="1" x14ac:dyDescent="0.25">
      <c r="A257" s="29" t="str">
        <f t="shared" si="63"/>
        <v>КОМПЛЕКТ 32.  МЗ-ЩО-4.1 (ЩРн-18з-0 36 УХЛ3 IP54)  |  Альбом 7.1 ЭО (Музей)</v>
      </c>
      <c r="B257" s="29" t="s">
        <v>374</v>
      </c>
      <c r="C257" s="29" t="s">
        <v>610</v>
      </c>
      <c r="D257" s="29" t="s">
        <v>609</v>
      </c>
      <c r="E257" s="30">
        <v>8.09</v>
      </c>
      <c r="F257" s="27">
        <f t="shared" si="64"/>
        <v>1904.4669000000001</v>
      </c>
      <c r="G257" s="31">
        <f>I257*F257</f>
        <v>20949.135900000001</v>
      </c>
      <c r="H257" s="31" t="s">
        <v>94</v>
      </c>
      <c r="I257" s="31">
        <v>11</v>
      </c>
      <c r="J257" s="29"/>
      <c r="K257" s="29" t="s">
        <v>312</v>
      </c>
    </row>
    <row r="258" spans="1:11" ht="25.5" customHeight="1" x14ac:dyDescent="0.25">
      <c r="A258" s="25" t="str">
        <f t="shared" si="63"/>
        <v>КОМПЛЕКТ 32.  МЗ-ЩО-4.1 (ЩРн-18з-0 36 УХЛ3 IP54)  |  Альбом 7.1 ЭО (Музей)</v>
      </c>
      <c r="B258" s="25" t="s">
        <v>375</v>
      </c>
      <c r="C258" s="25" t="s">
        <v>153</v>
      </c>
      <c r="D258" s="25" t="s">
        <v>152</v>
      </c>
      <c r="E258" s="26">
        <f>ПАРАМЕТРЫ!C23</f>
        <v>87.63</v>
      </c>
      <c r="F258" s="27">
        <f t="shared" si="64"/>
        <v>20628.978300000002</v>
      </c>
      <c r="G258" s="27">
        <f>I258*F258</f>
        <v>0</v>
      </c>
      <c r="H258" s="27" t="s">
        <v>94</v>
      </c>
      <c r="I258" s="27">
        <v>0</v>
      </c>
      <c r="J258" s="25"/>
      <c r="K258" s="25" t="s">
        <v>312</v>
      </c>
    </row>
    <row r="259" spans="1:11" ht="25.5" customHeight="1" x14ac:dyDescent="0.25">
      <c r="A259" s="29" t="str">
        <f t="shared" si="63"/>
        <v>КОМПЛЕКТ 32.  МЗ-ЩО-4.1 (ЩРн-18з-0 36 УХЛ3 IP54)  |  Альбом 7.1 ЭО (Музей)</v>
      </c>
      <c r="B259" s="29" t="s">
        <v>376</v>
      </c>
      <c r="C259" s="29" t="s">
        <v>136</v>
      </c>
      <c r="D259" s="29" t="s">
        <v>135</v>
      </c>
      <c r="E259" s="30">
        <f>ПАРАМЕТРЫ!C33</f>
        <v>41.58</v>
      </c>
      <c r="F259" s="27">
        <f t="shared" si="64"/>
        <v>9788.3477999999996</v>
      </c>
      <c r="G259" s="31">
        <f>I259*F259</f>
        <v>58730.086799999997</v>
      </c>
      <c r="H259" s="31" t="s">
        <v>94</v>
      </c>
      <c r="I259" s="31">
        <v>6</v>
      </c>
      <c r="J259" s="29"/>
      <c r="K259" s="29" t="s">
        <v>312</v>
      </c>
    </row>
    <row r="260" spans="1:11" ht="25.5" customHeight="1" x14ac:dyDescent="0.25">
      <c r="A260" s="37" t="str">
        <f t="shared" si="63"/>
        <v>КОМПЛЕКТ 32.  МЗ-ЩО-4.1 (ЩРн-18з-0 36 УХЛ3 IP54)  |  Альбом 7.1 ЭО (Музей)</v>
      </c>
      <c r="B260" s="37" t="s">
        <v>377</v>
      </c>
      <c r="C260" s="37"/>
      <c r="D260" s="37" t="s">
        <v>124</v>
      </c>
      <c r="E260" s="36" t="s">
        <v>95</v>
      </c>
      <c r="F260" s="38" t="str">
        <f>ПАРАМЕТРЫ!C6&amp;"%"</f>
        <v>12%</v>
      </c>
      <c r="G260" s="39">
        <f>(G256+G257+G258+G259)*ПАРАМЕТРЫ!C6/100</f>
        <v>10590.342588</v>
      </c>
      <c r="H260" s="39" t="s">
        <v>94</v>
      </c>
      <c r="I260" s="39">
        <v>1</v>
      </c>
      <c r="J260" s="37" t="s">
        <v>11</v>
      </c>
      <c r="K260" s="37" t="s">
        <v>312</v>
      </c>
    </row>
    <row r="261" spans="1:11" ht="25.5" customHeight="1" thickBot="1" x14ac:dyDescent="0.3">
      <c r="A261" s="41" t="str">
        <f t="shared" si="63"/>
        <v>КОМПЛЕКТ 32.  МЗ-ЩО-4.1 (ЩРн-18з-0 36 УХЛ3 IP54)  |  Альбом 7.1 ЭО (Музей)</v>
      </c>
      <c r="B261" s="41" t="s">
        <v>378</v>
      </c>
      <c r="C261" s="41"/>
      <c r="D261" s="41" t="s">
        <v>126</v>
      </c>
      <c r="E261" s="40" t="s">
        <v>95</v>
      </c>
      <c r="F261" s="42" t="str">
        <f>ПАРАМЕТРЫ!C7&amp;"%"</f>
        <v>15%</v>
      </c>
      <c r="G261" s="43">
        <f>(G256+G257+G258+G259)*ПАРАМЕТРЫ!C7/100</f>
        <v>13237.928235000001</v>
      </c>
      <c r="H261" s="43" t="s">
        <v>94</v>
      </c>
      <c r="I261" s="43">
        <v>1</v>
      </c>
      <c r="J261" s="41" t="s">
        <v>11</v>
      </c>
      <c r="K261" s="41" t="s">
        <v>312</v>
      </c>
    </row>
    <row r="262" spans="1:11" ht="25.5" customHeight="1" thickBot="1" x14ac:dyDescent="0.3">
      <c r="A262" s="53" t="str">
        <f>D262</f>
        <v>КОМПЛЕКТ 33.  МЗ-ЩО-4.2 (ЩРн-18з-0 36 УХЛ3 IP54)  |  Альбом 7.1 ЭО (Музей)</v>
      </c>
      <c r="B262" s="54" t="s">
        <v>379</v>
      </c>
      <c r="C262" s="54"/>
      <c r="D262" s="54" t="s">
        <v>379</v>
      </c>
      <c r="E262" s="54"/>
      <c r="F262" s="54"/>
      <c r="G262" s="54"/>
      <c r="H262" s="54" t="s">
        <v>632</v>
      </c>
      <c r="I262" s="55">
        <v>1</v>
      </c>
      <c r="J262" s="2"/>
      <c r="K262" s="2"/>
    </row>
    <row r="263" spans="1:11" ht="25.5" customHeight="1" x14ac:dyDescent="0.25">
      <c r="A263" s="22" t="str">
        <f t="shared" ref="A263:A269" si="65">A262</f>
        <v>КОМПЛЕКТ 33.  МЗ-ЩО-4.2 (ЩРн-18з-0 36 УХЛ3 IP54)  |  Альбом 7.1 ЭО (Музей)</v>
      </c>
      <c r="B263" s="22" t="s">
        <v>380</v>
      </c>
      <c r="C263" s="22" t="s">
        <v>92</v>
      </c>
      <c r="D263" s="22" t="s">
        <v>180</v>
      </c>
      <c r="E263" s="21" t="s">
        <v>95</v>
      </c>
      <c r="F263" s="21" t="e">
        <f>0.6*E263</f>
        <v>#VALUE!</v>
      </c>
      <c r="G263" s="23" t="e">
        <f>F263*I263</f>
        <v>#VALUE!</v>
      </c>
      <c r="H263" s="23" t="s">
        <v>94</v>
      </c>
      <c r="I263" s="23">
        <v>1</v>
      </c>
      <c r="J263" s="22" t="s">
        <v>96</v>
      </c>
      <c r="K263" s="22" t="s">
        <v>312</v>
      </c>
    </row>
    <row r="264" spans="1:11" ht="25.5" customHeight="1" x14ac:dyDescent="0.25">
      <c r="A264" s="25" t="str">
        <f t="shared" si="65"/>
        <v>КОМПЛЕКТ 33.  МЗ-ЩО-4.2 (ЩРн-18з-0 36 УХЛ3 IP54)  |  Альбом 7.1 ЭО (Музей)</v>
      </c>
      <c r="B264" s="25" t="s">
        <v>181</v>
      </c>
      <c r="C264" s="25" t="s">
        <v>611</v>
      </c>
      <c r="D264" s="25" t="s">
        <v>604</v>
      </c>
      <c r="E264" s="26">
        <v>36.42</v>
      </c>
      <c r="F264" s="27">
        <f t="shared" ref="F264:F267" si="66">E264*0.3*1.33*590</f>
        <v>8573.6322000000018</v>
      </c>
      <c r="G264" s="27">
        <f>I264*F264</f>
        <v>8573.6322000000018</v>
      </c>
      <c r="H264" s="27" t="s">
        <v>94</v>
      </c>
      <c r="I264" s="27">
        <v>1</v>
      </c>
      <c r="J264" s="25" t="s">
        <v>182</v>
      </c>
      <c r="K264" s="41" t="s">
        <v>312</v>
      </c>
    </row>
    <row r="265" spans="1:11" ht="25.5" customHeight="1" x14ac:dyDescent="0.25">
      <c r="A265" s="29" t="str">
        <f t="shared" si="65"/>
        <v>КОМПЛЕКТ 33.  МЗ-ЩО-4.2 (ЩРн-18з-0 36 УХЛ3 IP54)  |  Альбом 7.1 ЭО (Музей)</v>
      </c>
      <c r="B265" s="29" t="s">
        <v>381</v>
      </c>
      <c r="C265" s="29" t="s">
        <v>610</v>
      </c>
      <c r="D265" s="29" t="s">
        <v>609</v>
      </c>
      <c r="E265" s="30">
        <v>8.09</v>
      </c>
      <c r="F265" s="27">
        <f t="shared" si="66"/>
        <v>1904.4669000000001</v>
      </c>
      <c r="G265" s="31">
        <f>I265*F265</f>
        <v>24758.0697</v>
      </c>
      <c r="H265" s="31" t="s">
        <v>94</v>
      </c>
      <c r="I265" s="31">
        <v>13</v>
      </c>
      <c r="J265" s="29"/>
      <c r="K265" s="29" t="s">
        <v>312</v>
      </c>
    </row>
    <row r="266" spans="1:11" ht="25.5" customHeight="1" x14ac:dyDescent="0.25">
      <c r="A266" s="25" t="str">
        <f t="shared" si="65"/>
        <v>КОМПЛЕКТ 33.  МЗ-ЩО-4.2 (ЩРн-18з-0 36 УХЛ3 IP54)  |  Альбом 7.1 ЭО (Музей)</v>
      </c>
      <c r="B266" s="25" t="s">
        <v>382</v>
      </c>
      <c r="C266" s="25" t="s">
        <v>153</v>
      </c>
      <c r="D266" s="25" t="s">
        <v>152</v>
      </c>
      <c r="E266" s="26">
        <f>ПАРАМЕТРЫ!C23</f>
        <v>87.63</v>
      </c>
      <c r="F266" s="27">
        <f t="shared" si="66"/>
        <v>20628.978300000002</v>
      </c>
      <c r="G266" s="27">
        <f>I266*F266</f>
        <v>0</v>
      </c>
      <c r="H266" s="27" t="s">
        <v>94</v>
      </c>
      <c r="I266" s="27">
        <v>0</v>
      </c>
      <c r="J266" s="25"/>
      <c r="K266" s="25" t="s">
        <v>312</v>
      </c>
    </row>
    <row r="267" spans="1:11" ht="25.5" customHeight="1" x14ac:dyDescent="0.25">
      <c r="A267" s="29" t="str">
        <f t="shared" si="65"/>
        <v>КОМПЛЕКТ 33.  МЗ-ЩО-4.2 (ЩРн-18з-0 36 УХЛ3 IP54)  |  Альбом 7.1 ЭО (Музей)</v>
      </c>
      <c r="B267" s="29" t="s">
        <v>383</v>
      </c>
      <c r="C267" s="29" t="s">
        <v>136</v>
      </c>
      <c r="D267" s="29" t="s">
        <v>135</v>
      </c>
      <c r="E267" s="30">
        <f>ПАРАМЕТРЫ!C33</f>
        <v>41.58</v>
      </c>
      <c r="F267" s="27">
        <f t="shared" si="66"/>
        <v>9788.3477999999996</v>
      </c>
      <c r="G267" s="31">
        <f>I267*F267</f>
        <v>19576.695599999999</v>
      </c>
      <c r="H267" s="31" t="s">
        <v>94</v>
      </c>
      <c r="I267" s="31">
        <v>2</v>
      </c>
      <c r="J267" s="29"/>
      <c r="K267" s="29" t="s">
        <v>312</v>
      </c>
    </row>
    <row r="268" spans="1:11" ht="25.5" customHeight="1" x14ac:dyDescent="0.25">
      <c r="A268" s="37" t="str">
        <f t="shared" si="65"/>
        <v>КОМПЛЕКТ 33.  МЗ-ЩО-4.2 (ЩРн-18з-0 36 УХЛ3 IP54)  |  Альбом 7.1 ЭО (Музей)</v>
      </c>
      <c r="B268" s="37" t="s">
        <v>384</v>
      </c>
      <c r="C268" s="37"/>
      <c r="D268" s="37" t="s">
        <v>124</v>
      </c>
      <c r="E268" s="36" t="s">
        <v>95</v>
      </c>
      <c r="F268" s="38" t="str">
        <f>ПАРАМЕТРЫ!C6&amp;"%"</f>
        <v>12%</v>
      </c>
      <c r="G268" s="39">
        <f>(G264+G265+G266+G267)*ПАРАМЕТРЫ!C6/100</f>
        <v>6349.0077000000001</v>
      </c>
      <c r="H268" s="39" t="s">
        <v>94</v>
      </c>
      <c r="I268" s="39">
        <v>1</v>
      </c>
      <c r="J268" s="37" t="s">
        <v>11</v>
      </c>
      <c r="K268" s="37" t="s">
        <v>312</v>
      </c>
    </row>
    <row r="269" spans="1:11" ht="25.5" customHeight="1" thickBot="1" x14ac:dyDescent="0.3">
      <c r="A269" s="41" t="str">
        <f t="shared" si="65"/>
        <v>КОМПЛЕКТ 33.  МЗ-ЩО-4.2 (ЩРн-18з-0 36 УХЛ3 IP54)  |  Альбом 7.1 ЭО (Музей)</v>
      </c>
      <c r="B269" s="41" t="s">
        <v>385</v>
      </c>
      <c r="C269" s="41"/>
      <c r="D269" s="41" t="s">
        <v>126</v>
      </c>
      <c r="E269" s="40" t="s">
        <v>95</v>
      </c>
      <c r="F269" s="42" t="str">
        <f>ПАРАМЕТРЫ!C7&amp;"%"</f>
        <v>15%</v>
      </c>
      <c r="G269" s="43">
        <f>(G264+G265+G266+G267)*ПАРАМЕТРЫ!C7/100</f>
        <v>7936.2596250000006</v>
      </c>
      <c r="H269" s="43" t="s">
        <v>94</v>
      </c>
      <c r="I269" s="43">
        <v>1</v>
      </c>
      <c r="J269" s="41" t="s">
        <v>11</v>
      </c>
      <c r="K269" s="41" t="s">
        <v>312</v>
      </c>
    </row>
    <row r="270" spans="1:11" ht="25.5" customHeight="1" thickBot="1" x14ac:dyDescent="0.3">
      <c r="A270" s="53" t="str">
        <f>D270</f>
        <v>КОМПЛЕКТ 34.  МЗ-ЩОА-0.1  |  Альбом 7.1 ЭО (Музей)</v>
      </c>
      <c r="B270" s="54" t="s">
        <v>386</v>
      </c>
      <c r="C270" s="54"/>
      <c r="D270" s="54" t="s">
        <v>386</v>
      </c>
      <c r="E270" s="54"/>
      <c r="F270" s="54"/>
      <c r="G270" s="54"/>
      <c r="H270" s="54" t="s">
        <v>632</v>
      </c>
      <c r="I270" s="55">
        <v>1</v>
      </c>
      <c r="J270" s="2"/>
      <c r="K270" s="2"/>
    </row>
    <row r="271" spans="1:11" ht="25.5" customHeight="1" x14ac:dyDescent="0.25">
      <c r="A271" s="22" t="str">
        <f t="shared" ref="A271:A275" si="67">A270</f>
        <v>КОМПЛЕКТ 34.  МЗ-ЩОА-0.1  |  Альбом 7.1 ЭО (Музей)</v>
      </c>
      <c r="B271" s="22" t="s">
        <v>387</v>
      </c>
      <c r="C271" s="22" t="s">
        <v>92</v>
      </c>
      <c r="D271" s="22" t="s">
        <v>129</v>
      </c>
      <c r="E271" s="21" t="s">
        <v>95</v>
      </c>
      <c r="F271" s="21" t="e">
        <f>0.6*E271</f>
        <v>#VALUE!</v>
      </c>
      <c r="G271" s="23" t="e">
        <f>F271*I271</f>
        <v>#VALUE!</v>
      </c>
      <c r="H271" s="23" t="s">
        <v>94</v>
      </c>
      <c r="I271" s="23">
        <v>1</v>
      </c>
      <c r="J271" s="22" t="s">
        <v>96</v>
      </c>
      <c r="K271" s="22" t="s">
        <v>312</v>
      </c>
    </row>
    <row r="272" spans="1:11" ht="25.5" customHeight="1" x14ac:dyDescent="0.25">
      <c r="A272" s="25" t="str">
        <f t="shared" si="67"/>
        <v>КОМПЛЕКТ 34.  МЗ-ЩОА-0.1  |  Альбом 7.1 ЭО (Музей)</v>
      </c>
      <c r="B272" s="25" t="s">
        <v>181</v>
      </c>
      <c r="C272" s="25" t="s">
        <v>611</v>
      </c>
      <c r="D272" s="25" t="s">
        <v>604</v>
      </c>
      <c r="E272" s="26">
        <v>36.42</v>
      </c>
      <c r="F272" s="27">
        <f t="shared" ref="F272:F273" si="68">E272*0.3*1.33*590</f>
        <v>8573.6322000000018</v>
      </c>
      <c r="G272" s="27">
        <f>I272*F272</f>
        <v>8573.6322000000018</v>
      </c>
      <c r="H272" s="27" t="s">
        <v>94</v>
      </c>
      <c r="I272" s="27">
        <v>1</v>
      </c>
      <c r="J272" s="25" t="s">
        <v>182</v>
      </c>
      <c r="K272" s="41" t="s">
        <v>312</v>
      </c>
    </row>
    <row r="273" spans="1:11" ht="25.5" customHeight="1" x14ac:dyDescent="0.25">
      <c r="A273" s="29" t="str">
        <f t="shared" si="67"/>
        <v>КОМПЛЕКТ 34.  МЗ-ЩОА-0.1  |  Альбом 7.1 ЭО (Музей)</v>
      </c>
      <c r="B273" s="29" t="s">
        <v>388</v>
      </c>
      <c r="C273" s="29" t="s">
        <v>610</v>
      </c>
      <c r="D273" s="29" t="s">
        <v>609</v>
      </c>
      <c r="E273" s="30">
        <v>8.09</v>
      </c>
      <c r="F273" s="27">
        <f t="shared" si="68"/>
        <v>1904.4669000000001</v>
      </c>
      <c r="G273" s="31">
        <f>I273*F273</f>
        <v>5713.4007000000001</v>
      </c>
      <c r="H273" s="31" t="s">
        <v>94</v>
      </c>
      <c r="I273" s="31">
        <v>3</v>
      </c>
      <c r="J273" s="29"/>
      <c r="K273" s="29" t="s">
        <v>312</v>
      </c>
    </row>
    <row r="274" spans="1:11" ht="25.5" customHeight="1" x14ac:dyDescent="0.25">
      <c r="A274" s="37" t="str">
        <f t="shared" si="67"/>
        <v>КОМПЛЕКТ 34.  МЗ-ЩОА-0.1  |  Альбом 7.1 ЭО (Музей)</v>
      </c>
      <c r="B274" s="37" t="s">
        <v>389</v>
      </c>
      <c r="C274" s="37"/>
      <c r="D274" s="37" t="s">
        <v>124</v>
      </c>
      <c r="E274" s="36" t="s">
        <v>95</v>
      </c>
      <c r="F274" s="38" t="str">
        <f>ПАРАМЕТРЫ!C6&amp;"%"</f>
        <v>12%</v>
      </c>
      <c r="G274" s="39">
        <f>(G272+G273)*ПАРАМЕТРЫ!C6/100</f>
        <v>1714.4439480000001</v>
      </c>
      <c r="H274" s="39" t="s">
        <v>94</v>
      </c>
      <c r="I274" s="39">
        <v>1</v>
      </c>
      <c r="J274" s="37" t="s">
        <v>11</v>
      </c>
      <c r="K274" s="37" t="s">
        <v>312</v>
      </c>
    </row>
    <row r="275" spans="1:11" ht="25.5" customHeight="1" thickBot="1" x14ac:dyDescent="0.3">
      <c r="A275" s="41" t="str">
        <f t="shared" si="67"/>
        <v>КОМПЛЕКТ 34.  МЗ-ЩОА-0.1  |  Альбом 7.1 ЭО (Музей)</v>
      </c>
      <c r="B275" s="41" t="s">
        <v>390</v>
      </c>
      <c r="C275" s="41"/>
      <c r="D275" s="41" t="s">
        <v>126</v>
      </c>
      <c r="E275" s="40" t="s">
        <v>95</v>
      </c>
      <c r="F275" s="42" t="str">
        <f>ПАРАМЕТРЫ!C7&amp;"%"</f>
        <v>15%</v>
      </c>
      <c r="G275" s="43">
        <f>(G272+G273)*ПАРАМЕТРЫ!C7/100</f>
        <v>2143.0549350000006</v>
      </c>
      <c r="H275" s="43" t="s">
        <v>94</v>
      </c>
      <c r="I275" s="43">
        <v>1</v>
      </c>
      <c r="J275" s="41" t="s">
        <v>11</v>
      </c>
      <c r="K275" s="41" t="s">
        <v>312</v>
      </c>
    </row>
    <row r="276" spans="1:11" ht="25.5" customHeight="1" thickBot="1" x14ac:dyDescent="0.3">
      <c r="A276" s="53" t="str">
        <f>D276</f>
        <v>КОМПЛЕКТ 35.  МЗ-ЩОА-0.2  |  Альбом 7.1 ЭО (Музей)</v>
      </c>
      <c r="B276" s="54" t="s">
        <v>391</v>
      </c>
      <c r="C276" s="54"/>
      <c r="D276" s="54" t="s">
        <v>391</v>
      </c>
      <c r="E276" s="54"/>
      <c r="F276" s="54"/>
      <c r="G276" s="54"/>
      <c r="H276" s="54" t="s">
        <v>632</v>
      </c>
      <c r="I276" s="55">
        <v>1</v>
      </c>
      <c r="J276" s="2"/>
      <c r="K276" s="2"/>
    </row>
    <row r="277" spans="1:11" ht="25.5" customHeight="1" x14ac:dyDescent="0.25">
      <c r="A277" s="22" t="str">
        <f t="shared" ref="A277:A281" si="69">A276</f>
        <v>КОМПЛЕКТ 35.  МЗ-ЩОА-0.2  |  Альбом 7.1 ЭО (Музей)</v>
      </c>
      <c r="B277" s="22" t="s">
        <v>392</v>
      </c>
      <c r="C277" s="22" t="s">
        <v>92</v>
      </c>
      <c r="D277" s="22" t="s">
        <v>129</v>
      </c>
      <c r="E277" s="21" t="s">
        <v>95</v>
      </c>
      <c r="F277" s="21" t="e">
        <f>0.6*E277</f>
        <v>#VALUE!</v>
      </c>
      <c r="G277" s="23" t="e">
        <f>F277*I277</f>
        <v>#VALUE!</v>
      </c>
      <c r="H277" s="23" t="s">
        <v>94</v>
      </c>
      <c r="I277" s="23">
        <v>1</v>
      </c>
      <c r="J277" s="22" t="s">
        <v>96</v>
      </c>
      <c r="K277" s="22" t="s">
        <v>312</v>
      </c>
    </row>
    <row r="278" spans="1:11" ht="25.5" customHeight="1" x14ac:dyDescent="0.25">
      <c r="A278" s="25" t="str">
        <f t="shared" si="69"/>
        <v>КОМПЛЕКТ 35.  МЗ-ЩОА-0.2  |  Альбом 7.1 ЭО (Музей)</v>
      </c>
      <c r="B278" s="25" t="s">
        <v>181</v>
      </c>
      <c r="C278" s="25" t="s">
        <v>611</v>
      </c>
      <c r="D278" s="25" t="s">
        <v>604</v>
      </c>
      <c r="E278" s="26">
        <v>36.42</v>
      </c>
      <c r="F278" s="27">
        <f t="shared" ref="F278:F279" si="70">E278*0.3*1.33*590</f>
        <v>8573.6322000000018</v>
      </c>
      <c r="G278" s="27">
        <f>I278*F278</f>
        <v>8573.6322000000018</v>
      </c>
      <c r="H278" s="27" t="s">
        <v>94</v>
      </c>
      <c r="I278" s="27">
        <v>1</v>
      </c>
      <c r="J278" s="25" t="s">
        <v>182</v>
      </c>
      <c r="K278" s="41" t="s">
        <v>312</v>
      </c>
    </row>
    <row r="279" spans="1:11" ht="25.5" customHeight="1" x14ac:dyDescent="0.25">
      <c r="A279" s="29" t="str">
        <f t="shared" si="69"/>
        <v>КОМПЛЕКТ 35.  МЗ-ЩОА-0.2  |  Альбом 7.1 ЭО (Музей)</v>
      </c>
      <c r="B279" s="29" t="s">
        <v>393</v>
      </c>
      <c r="C279" s="29" t="s">
        <v>610</v>
      </c>
      <c r="D279" s="29" t="s">
        <v>609</v>
      </c>
      <c r="E279" s="30">
        <v>8.09</v>
      </c>
      <c r="F279" s="27">
        <f t="shared" si="70"/>
        <v>1904.4669000000001</v>
      </c>
      <c r="G279" s="31">
        <f>I279*F279</f>
        <v>5713.4007000000001</v>
      </c>
      <c r="H279" s="31" t="s">
        <v>94</v>
      </c>
      <c r="I279" s="31">
        <v>3</v>
      </c>
      <c r="J279" s="29"/>
      <c r="K279" s="29" t="s">
        <v>312</v>
      </c>
    </row>
    <row r="280" spans="1:11" ht="25.5" customHeight="1" x14ac:dyDescent="0.25">
      <c r="A280" s="37" t="str">
        <f t="shared" si="69"/>
        <v>КОМПЛЕКТ 35.  МЗ-ЩОА-0.2  |  Альбом 7.1 ЭО (Музей)</v>
      </c>
      <c r="B280" s="37" t="s">
        <v>394</v>
      </c>
      <c r="C280" s="37"/>
      <c r="D280" s="37" t="s">
        <v>124</v>
      </c>
      <c r="E280" s="36" t="s">
        <v>95</v>
      </c>
      <c r="F280" s="38" t="str">
        <f>ПАРАМЕТРЫ!C6&amp;"%"</f>
        <v>12%</v>
      </c>
      <c r="G280" s="39">
        <f>(G278+G279)*ПАРАМЕТРЫ!C6/100</f>
        <v>1714.4439480000001</v>
      </c>
      <c r="H280" s="39" t="s">
        <v>94</v>
      </c>
      <c r="I280" s="39">
        <v>1</v>
      </c>
      <c r="J280" s="37" t="s">
        <v>11</v>
      </c>
      <c r="K280" s="37" t="s">
        <v>312</v>
      </c>
    </row>
    <row r="281" spans="1:11" ht="25.5" customHeight="1" thickBot="1" x14ac:dyDescent="0.3">
      <c r="A281" s="41" t="str">
        <f t="shared" si="69"/>
        <v>КОМПЛЕКТ 35.  МЗ-ЩОА-0.2  |  Альбом 7.1 ЭО (Музей)</v>
      </c>
      <c r="B281" s="41" t="s">
        <v>395</v>
      </c>
      <c r="C281" s="41"/>
      <c r="D281" s="41" t="s">
        <v>126</v>
      </c>
      <c r="E281" s="40" t="s">
        <v>95</v>
      </c>
      <c r="F281" s="42" t="str">
        <f>ПАРАМЕТРЫ!C7&amp;"%"</f>
        <v>15%</v>
      </c>
      <c r="G281" s="43">
        <f>(G278+G279)*ПАРАМЕТРЫ!C7/100</f>
        <v>2143.0549350000006</v>
      </c>
      <c r="H281" s="43" t="s">
        <v>94</v>
      </c>
      <c r="I281" s="43">
        <v>1</v>
      </c>
      <c r="J281" s="41" t="s">
        <v>11</v>
      </c>
      <c r="K281" s="41" t="s">
        <v>312</v>
      </c>
    </row>
    <row r="282" spans="1:11" ht="25.5" customHeight="1" thickBot="1" x14ac:dyDescent="0.3">
      <c r="A282" s="53" t="str">
        <f>D282</f>
        <v>КОМПЛЕКТ 36.  МЗ-ЩОА-1.1  |  Альбом 7.1 ЭО (Музей)</v>
      </c>
      <c r="B282" s="54" t="s">
        <v>396</v>
      </c>
      <c r="C282" s="54"/>
      <c r="D282" s="54" t="s">
        <v>396</v>
      </c>
      <c r="E282" s="54"/>
      <c r="F282" s="54"/>
      <c r="G282" s="54"/>
      <c r="H282" s="54" t="s">
        <v>632</v>
      </c>
      <c r="I282" s="55">
        <v>1</v>
      </c>
      <c r="J282" s="2"/>
      <c r="K282" s="2"/>
    </row>
    <row r="283" spans="1:11" ht="25.5" customHeight="1" x14ac:dyDescent="0.25">
      <c r="A283" s="22" t="str">
        <f t="shared" ref="A283:A287" si="71">A282</f>
        <v>КОМПЛЕКТ 36.  МЗ-ЩОА-1.1  |  Альбом 7.1 ЭО (Музей)</v>
      </c>
      <c r="B283" s="22" t="s">
        <v>397</v>
      </c>
      <c r="C283" s="22" t="s">
        <v>92</v>
      </c>
      <c r="D283" s="22" t="s">
        <v>129</v>
      </c>
      <c r="E283" s="21" t="s">
        <v>95</v>
      </c>
      <c r="F283" s="21" t="e">
        <f>0.6*E283</f>
        <v>#VALUE!</v>
      </c>
      <c r="G283" s="23" t="e">
        <f>F283*I283</f>
        <v>#VALUE!</v>
      </c>
      <c r="H283" s="23" t="s">
        <v>94</v>
      </c>
      <c r="I283" s="23">
        <v>1</v>
      </c>
      <c r="J283" s="22" t="s">
        <v>96</v>
      </c>
      <c r="K283" s="22" t="s">
        <v>312</v>
      </c>
    </row>
    <row r="284" spans="1:11" ht="25.5" customHeight="1" x14ac:dyDescent="0.25">
      <c r="A284" s="25" t="str">
        <f t="shared" si="71"/>
        <v>КОМПЛЕКТ 36.  МЗ-ЩОА-1.1  |  Альбом 7.1 ЭО (Музей)</v>
      </c>
      <c r="B284" s="25" t="s">
        <v>181</v>
      </c>
      <c r="C284" s="25" t="s">
        <v>611</v>
      </c>
      <c r="D284" s="25" t="s">
        <v>604</v>
      </c>
      <c r="E284" s="26">
        <v>36.42</v>
      </c>
      <c r="F284" s="27">
        <f t="shared" ref="F284:F285" si="72">E284*0.3*1.33*590</f>
        <v>8573.6322000000018</v>
      </c>
      <c r="G284" s="27">
        <f>I284*F284</f>
        <v>8573.6322000000018</v>
      </c>
      <c r="H284" s="27" t="s">
        <v>94</v>
      </c>
      <c r="I284" s="27">
        <v>1</v>
      </c>
      <c r="J284" s="25" t="s">
        <v>182</v>
      </c>
      <c r="K284" s="41" t="s">
        <v>312</v>
      </c>
    </row>
    <row r="285" spans="1:11" ht="25.5" customHeight="1" x14ac:dyDescent="0.25">
      <c r="A285" s="29" t="str">
        <f t="shared" si="71"/>
        <v>КОМПЛЕКТ 36.  МЗ-ЩОА-1.1  |  Альбом 7.1 ЭО (Музей)</v>
      </c>
      <c r="B285" s="29" t="s">
        <v>398</v>
      </c>
      <c r="C285" s="29" t="s">
        <v>610</v>
      </c>
      <c r="D285" s="29" t="s">
        <v>609</v>
      </c>
      <c r="E285" s="30">
        <v>8.09</v>
      </c>
      <c r="F285" s="27">
        <f t="shared" si="72"/>
        <v>1904.4669000000001</v>
      </c>
      <c r="G285" s="31">
        <f>I285*F285</f>
        <v>5713.4007000000001</v>
      </c>
      <c r="H285" s="31" t="s">
        <v>94</v>
      </c>
      <c r="I285" s="31">
        <v>3</v>
      </c>
      <c r="J285" s="29"/>
      <c r="K285" s="29" t="s">
        <v>312</v>
      </c>
    </row>
    <row r="286" spans="1:11" ht="25.5" customHeight="1" x14ac:dyDescent="0.25">
      <c r="A286" s="37" t="str">
        <f t="shared" si="71"/>
        <v>КОМПЛЕКТ 36.  МЗ-ЩОА-1.1  |  Альбом 7.1 ЭО (Музей)</v>
      </c>
      <c r="B286" s="37" t="s">
        <v>399</v>
      </c>
      <c r="C286" s="37"/>
      <c r="D286" s="37" t="s">
        <v>124</v>
      </c>
      <c r="E286" s="36" t="s">
        <v>95</v>
      </c>
      <c r="F286" s="38" t="str">
        <f>ПАРАМЕТРЫ!C6&amp;"%"</f>
        <v>12%</v>
      </c>
      <c r="G286" s="39">
        <f>(G284+G285)*ПАРАМЕТРЫ!C6/100</f>
        <v>1714.4439480000001</v>
      </c>
      <c r="H286" s="39" t="s">
        <v>94</v>
      </c>
      <c r="I286" s="39">
        <v>1</v>
      </c>
      <c r="J286" s="37" t="s">
        <v>11</v>
      </c>
      <c r="K286" s="37" t="s">
        <v>312</v>
      </c>
    </row>
    <row r="287" spans="1:11" ht="25.5" customHeight="1" thickBot="1" x14ac:dyDescent="0.3">
      <c r="A287" s="41" t="str">
        <f t="shared" si="71"/>
        <v>КОМПЛЕКТ 36.  МЗ-ЩОА-1.1  |  Альбом 7.1 ЭО (Музей)</v>
      </c>
      <c r="B287" s="41" t="s">
        <v>400</v>
      </c>
      <c r="C287" s="41"/>
      <c r="D287" s="41" t="s">
        <v>126</v>
      </c>
      <c r="E287" s="40" t="s">
        <v>95</v>
      </c>
      <c r="F287" s="42" t="str">
        <f>ПАРАМЕТРЫ!C7&amp;"%"</f>
        <v>15%</v>
      </c>
      <c r="G287" s="43">
        <f>(G284+G285)*ПАРАМЕТРЫ!C7/100</f>
        <v>2143.0549350000006</v>
      </c>
      <c r="H287" s="43" t="s">
        <v>94</v>
      </c>
      <c r="I287" s="43">
        <v>1</v>
      </c>
      <c r="J287" s="41" t="s">
        <v>11</v>
      </c>
      <c r="K287" s="41" t="s">
        <v>312</v>
      </c>
    </row>
    <row r="288" spans="1:11" ht="25.5" customHeight="1" thickBot="1" x14ac:dyDescent="0.3">
      <c r="A288" s="53" t="str">
        <f>D288</f>
        <v>КОМПЛЕКТ 37.  МЗ-ЩОА-1.2  |  Альбом 7.1 ЭО (Музей)</v>
      </c>
      <c r="B288" s="54" t="s">
        <v>401</v>
      </c>
      <c r="C288" s="54"/>
      <c r="D288" s="54" t="s">
        <v>401</v>
      </c>
      <c r="E288" s="54"/>
      <c r="F288" s="54"/>
      <c r="G288" s="54"/>
      <c r="H288" s="54" t="s">
        <v>632</v>
      </c>
      <c r="I288" s="55">
        <v>1</v>
      </c>
      <c r="J288" s="2"/>
      <c r="K288" s="2"/>
    </row>
    <row r="289" spans="1:11" ht="25.5" customHeight="1" x14ac:dyDescent="0.25">
      <c r="A289" s="22" t="str">
        <f t="shared" ref="A289:A293" si="73">A288</f>
        <v>КОМПЛЕКТ 37.  МЗ-ЩОА-1.2  |  Альбом 7.1 ЭО (Музей)</v>
      </c>
      <c r="B289" s="22" t="s">
        <v>402</v>
      </c>
      <c r="C289" s="22" t="s">
        <v>92</v>
      </c>
      <c r="D289" s="22" t="s">
        <v>129</v>
      </c>
      <c r="E289" s="21" t="s">
        <v>95</v>
      </c>
      <c r="F289" s="21" t="e">
        <f>0.6*E289</f>
        <v>#VALUE!</v>
      </c>
      <c r="G289" s="23" t="e">
        <f>F289*I289</f>
        <v>#VALUE!</v>
      </c>
      <c r="H289" s="23" t="s">
        <v>94</v>
      </c>
      <c r="I289" s="23">
        <v>1</v>
      </c>
      <c r="J289" s="22" t="s">
        <v>96</v>
      </c>
      <c r="K289" s="22" t="s">
        <v>312</v>
      </c>
    </row>
    <row r="290" spans="1:11" ht="25.5" customHeight="1" x14ac:dyDescent="0.25">
      <c r="A290" s="25" t="str">
        <f t="shared" si="73"/>
        <v>КОМПЛЕКТ 37.  МЗ-ЩОА-1.2  |  Альбом 7.1 ЭО (Музей)</v>
      </c>
      <c r="B290" s="25" t="s">
        <v>181</v>
      </c>
      <c r="C290" s="25" t="s">
        <v>611</v>
      </c>
      <c r="D290" s="25" t="s">
        <v>604</v>
      </c>
      <c r="E290" s="26">
        <v>36.42</v>
      </c>
      <c r="F290" s="27">
        <f t="shared" ref="F290:F291" si="74">E290*0.3*1.33*590</f>
        <v>8573.6322000000018</v>
      </c>
      <c r="G290" s="27">
        <f>I290*F290</f>
        <v>8573.6322000000018</v>
      </c>
      <c r="H290" s="27" t="s">
        <v>94</v>
      </c>
      <c r="I290" s="27">
        <v>1</v>
      </c>
      <c r="J290" s="25" t="s">
        <v>182</v>
      </c>
      <c r="K290" s="41" t="s">
        <v>312</v>
      </c>
    </row>
    <row r="291" spans="1:11" ht="25.5" customHeight="1" x14ac:dyDescent="0.25">
      <c r="A291" s="29" t="str">
        <f t="shared" si="73"/>
        <v>КОМПЛЕКТ 37.  МЗ-ЩОА-1.2  |  Альбом 7.1 ЭО (Музей)</v>
      </c>
      <c r="B291" s="29" t="s">
        <v>403</v>
      </c>
      <c r="C291" s="29" t="s">
        <v>610</v>
      </c>
      <c r="D291" s="29" t="s">
        <v>609</v>
      </c>
      <c r="E291" s="30">
        <v>8.09</v>
      </c>
      <c r="F291" s="27">
        <f t="shared" si="74"/>
        <v>1904.4669000000001</v>
      </c>
      <c r="G291" s="31">
        <f>I291*F291</f>
        <v>5713.4007000000001</v>
      </c>
      <c r="H291" s="31" t="s">
        <v>94</v>
      </c>
      <c r="I291" s="31">
        <v>3</v>
      </c>
      <c r="J291" s="29"/>
      <c r="K291" s="29" t="s">
        <v>312</v>
      </c>
    </row>
    <row r="292" spans="1:11" ht="25.5" customHeight="1" x14ac:dyDescent="0.25">
      <c r="A292" s="37" t="str">
        <f t="shared" si="73"/>
        <v>КОМПЛЕКТ 37.  МЗ-ЩОА-1.2  |  Альбом 7.1 ЭО (Музей)</v>
      </c>
      <c r="B292" s="37" t="s">
        <v>404</v>
      </c>
      <c r="C292" s="37"/>
      <c r="D292" s="37" t="s">
        <v>124</v>
      </c>
      <c r="E292" s="36" t="s">
        <v>95</v>
      </c>
      <c r="F292" s="38" t="str">
        <f>ПАРАМЕТРЫ!C6&amp;"%"</f>
        <v>12%</v>
      </c>
      <c r="G292" s="39">
        <f>(G290+G291)*ПАРАМЕТРЫ!C6/100</f>
        <v>1714.4439480000001</v>
      </c>
      <c r="H292" s="39" t="s">
        <v>94</v>
      </c>
      <c r="I292" s="39">
        <v>1</v>
      </c>
      <c r="J292" s="37" t="s">
        <v>11</v>
      </c>
      <c r="K292" s="37" t="s">
        <v>312</v>
      </c>
    </row>
    <row r="293" spans="1:11" ht="25.5" customHeight="1" thickBot="1" x14ac:dyDescent="0.3">
      <c r="A293" s="41" t="str">
        <f t="shared" si="73"/>
        <v>КОМПЛЕКТ 37.  МЗ-ЩОА-1.2  |  Альбом 7.1 ЭО (Музей)</v>
      </c>
      <c r="B293" s="41" t="s">
        <v>405</v>
      </c>
      <c r="C293" s="41"/>
      <c r="D293" s="41" t="s">
        <v>126</v>
      </c>
      <c r="E293" s="40" t="s">
        <v>95</v>
      </c>
      <c r="F293" s="42" t="str">
        <f>ПАРАМЕТРЫ!C7&amp;"%"</f>
        <v>15%</v>
      </c>
      <c r="G293" s="43">
        <f>(G290+G291)*ПАРАМЕТРЫ!C7/100</f>
        <v>2143.0549350000006</v>
      </c>
      <c r="H293" s="43" t="s">
        <v>94</v>
      </c>
      <c r="I293" s="43">
        <v>1</v>
      </c>
      <c r="J293" s="41" t="s">
        <v>11</v>
      </c>
      <c r="K293" s="41" t="s">
        <v>312</v>
      </c>
    </row>
    <row r="294" spans="1:11" ht="25.5" customHeight="1" thickBot="1" x14ac:dyDescent="0.3">
      <c r="A294" s="53" t="str">
        <f>D294</f>
        <v>КОМПЛЕКТ 38.  МЗ-ЩОА-2.1  |  Альбом 7.1 ЭО (Музей)</v>
      </c>
      <c r="B294" s="54" t="s">
        <v>406</v>
      </c>
      <c r="C294" s="54"/>
      <c r="D294" s="54" t="s">
        <v>406</v>
      </c>
      <c r="E294" s="54"/>
      <c r="F294" s="54"/>
      <c r="G294" s="54"/>
      <c r="H294" s="54" t="s">
        <v>632</v>
      </c>
      <c r="I294" s="55">
        <v>1</v>
      </c>
      <c r="J294" s="2"/>
      <c r="K294" s="2"/>
    </row>
    <row r="295" spans="1:11" ht="25.5" customHeight="1" x14ac:dyDescent="0.25">
      <c r="A295" s="22" t="str">
        <f t="shared" ref="A295:A299" si="75">A294</f>
        <v>КОМПЛЕКТ 38.  МЗ-ЩОА-2.1  |  Альбом 7.1 ЭО (Музей)</v>
      </c>
      <c r="B295" s="22" t="s">
        <v>407</v>
      </c>
      <c r="C295" s="22" t="s">
        <v>92</v>
      </c>
      <c r="D295" s="22" t="s">
        <v>129</v>
      </c>
      <c r="E295" s="21" t="s">
        <v>95</v>
      </c>
      <c r="F295" s="21" t="e">
        <f>0.6*E295</f>
        <v>#VALUE!</v>
      </c>
      <c r="G295" s="23" t="e">
        <f>F295*I295</f>
        <v>#VALUE!</v>
      </c>
      <c r="H295" s="23" t="s">
        <v>94</v>
      </c>
      <c r="I295" s="23">
        <v>1</v>
      </c>
      <c r="J295" s="22" t="s">
        <v>96</v>
      </c>
      <c r="K295" s="22" t="s">
        <v>312</v>
      </c>
    </row>
    <row r="296" spans="1:11" ht="25.5" customHeight="1" x14ac:dyDescent="0.25">
      <c r="A296" s="25" t="str">
        <f t="shared" si="75"/>
        <v>КОМПЛЕКТ 38.  МЗ-ЩОА-2.1  |  Альбом 7.1 ЭО (Музей)</v>
      </c>
      <c r="B296" s="25" t="s">
        <v>181</v>
      </c>
      <c r="C296" s="25" t="s">
        <v>611</v>
      </c>
      <c r="D296" s="25" t="s">
        <v>604</v>
      </c>
      <c r="E296" s="26">
        <v>36.42</v>
      </c>
      <c r="F296" s="27">
        <f t="shared" ref="F296:F297" si="76">E296*0.3*1.33*590</f>
        <v>8573.6322000000018</v>
      </c>
      <c r="G296" s="27">
        <f>I296*F296</f>
        <v>8573.6322000000018</v>
      </c>
      <c r="H296" s="27" t="s">
        <v>94</v>
      </c>
      <c r="I296" s="27">
        <v>1</v>
      </c>
      <c r="J296" s="25" t="s">
        <v>182</v>
      </c>
      <c r="K296" s="41" t="s">
        <v>312</v>
      </c>
    </row>
    <row r="297" spans="1:11" ht="25.5" customHeight="1" x14ac:dyDescent="0.25">
      <c r="A297" s="29" t="str">
        <f t="shared" si="75"/>
        <v>КОМПЛЕКТ 38.  МЗ-ЩОА-2.1  |  Альбом 7.1 ЭО (Музей)</v>
      </c>
      <c r="B297" s="29" t="s">
        <v>408</v>
      </c>
      <c r="C297" s="29" t="s">
        <v>610</v>
      </c>
      <c r="D297" s="29" t="s">
        <v>609</v>
      </c>
      <c r="E297" s="30">
        <v>8.09</v>
      </c>
      <c r="F297" s="27">
        <f t="shared" si="76"/>
        <v>1904.4669000000001</v>
      </c>
      <c r="G297" s="31">
        <f>I297*F297</f>
        <v>5713.4007000000001</v>
      </c>
      <c r="H297" s="31" t="s">
        <v>94</v>
      </c>
      <c r="I297" s="31">
        <v>3</v>
      </c>
      <c r="J297" s="29"/>
      <c r="K297" s="29" t="s">
        <v>312</v>
      </c>
    </row>
    <row r="298" spans="1:11" ht="25.5" customHeight="1" x14ac:dyDescent="0.25">
      <c r="A298" s="37" t="str">
        <f t="shared" si="75"/>
        <v>КОМПЛЕКТ 38.  МЗ-ЩОА-2.1  |  Альбом 7.1 ЭО (Музей)</v>
      </c>
      <c r="B298" s="37" t="s">
        <v>409</v>
      </c>
      <c r="C298" s="37"/>
      <c r="D298" s="37" t="s">
        <v>124</v>
      </c>
      <c r="E298" s="36" t="s">
        <v>95</v>
      </c>
      <c r="F298" s="38" t="str">
        <f>ПАРАМЕТРЫ!C6&amp;"%"</f>
        <v>12%</v>
      </c>
      <c r="G298" s="39">
        <f>(G296+G297)*ПАРАМЕТРЫ!C6/100</f>
        <v>1714.4439480000001</v>
      </c>
      <c r="H298" s="39" t="s">
        <v>94</v>
      </c>
      <c r="I298" s="39">
        <v>1</v>
      </c>
      <c r="J298" s="37" t="s">
        <v>11</v>
      </c>
      <c r="K298" s="37" t="s">
        <v>312</v>
      </c>
    </row>
    <row r="299" spans="1:11" ht="25.5" customHeight="1" thickBot="1" x14ac:dyDescent="0.3">
      <c r="A299" s="41" t="str">
        <f t="shared" si="75"/>
        <v>КОМПЛЕКТ 38.  МЗ-ЩОА-2.1  |  Альбом 7.1 ЭО (Музей)</v>
      </c>
      <c r="B299" s="41" t="s">
        <v>410</v>
      </c>
      <c r="C299" s="41"/>
      <c r="D299" s="41" t="s">
        <v>126</v>
      </c>
      <c r="E299" s="40" t="s">
        <v>95</v>
      </c>
      <c r="F299" s="42" t="str">
        <f>ПАРАМЕТРЫ!C7&amp;"%"</f>
        <v>15%</v>
      </c>
      <c r="G299" s="43">
        <f>(G296+G297)*ПАРАМЕТРЫ!C7/100</f>
        <v>2143.0549350000006</v>
      </c>
      <c r="H299" s="43" t="s">
        <v>94</v>
      </c>
      <c r="I299" s="43">
        <v>1</v>
      </c>
      <c r="J299" s="41" t="s">
        <v>11</v>
      </c>
      <c r="K299" s="41" t="s">
        <v>312</v>
      </c>
    </row>
    <row r="300" spans="1:11" ht="25.5" customHeight="1" thickBot="1" x14ac:dyDescent="0.3">
      <c r="A300" s="53" t="str">
        <f>D300</f>
        <v>КОМПЛЕКТ 39.  МЗ-ЩОА-2.2  |  Альбом 7.1 ЭО (Музей)</v>
      </c>
      <c r="B300" s="54" t="s">
        <v>411</v>
      </c>
      <c r="C300" s="54"/>
      <c r="D300" s="54" t="s">
        <v>411</v>
      </c>
      <c r="E300" s="54"/>
      <c r="F300" s="54"/>
      <c r="G300" s="54"/>
      <c r="H300" s="54" t="s">
        <v>632</v>
      </c>
      <c r="I300" s="55">
        <v>1</v>
      </c>
      <c r="J300" s="2"/>
      <c r="K300" s="2"/>
    </row>
    <row r="301" spans="1:11" ht="25.5" customHeight="1" x14ac:dyDescent="0.25">
      <c r="A301" s="22" t="str">
        <f t="shared" ref="A301:A305" si="77">A300</f>
        <v>КОМПЛЕКТ 39.  МЗ-ЩОА-2.2  |  Альбом 7.1 ЭО (Музей)</v>
      </c>
      <c r="B301" s="22" t="s">
        <v>412</v>
      </c>
      <c r="C301" s="22" t="s">
        <v>92</v>
      </c>
      <c r="D301" s="22" t="s">
        <v>129</v>
      </c>
      <c r="E301" s="21" t="s">
        <v>95</v>
      </c>
      <c r="F301" s="21" t="e">
        <f>0.6*E301</f>
        <v>#VALUE!</v>
      </c>
      <c r="G301" s="23" t="e">
        <f>F301*I301</f>
        <v>#VALUE!</v>
      </c>
      <c r="H301" s="23" t="s">
        <v>94</v>
      </c>
      <c r="I301" s="23">
        <v>1</v>
      </c>
      <c r="J301" s="22" t="s">
        <v>96</v>
      </c>
      <c r="K301" s="22" t="s">
        <v>312</v>
      </c>
    </row>
    <row r="302" spans="1:11" ht="25.5" customHeight="1" x14ac:dyDescent="0.25">
      <c r="A302" s="25" t="str">
        <f t="shared" si="77"/>
        <v>КОМПЛЕКТ 39.  МЗ-ЩОА-2.2  |  Альбом 7.1 ЭО (Музей)</v>
      </c>
      <c r="B302" s="25" t="s">
        <v>181</v>
      </c>
      <c r="C302" s="25" t="s">
        <v>611</v>
      </c>
      <c r="D302" s="25" t="s">
        <v>604</v>
      </c>
      <c r="E302" s="26">
        <v>36.42</v>
      </c>
      <c r="F302" s="27">
        <f t="shared" ref="F302:F303" si="78">E302*0.3*1.33*590</f>
        <v>8573.6322000000018</v>
      </c>
      <c r="G302" s="27">
        <f>I302*F302</f>
        <v>8573.6322000000018</v>
      </c>
      <c r="H302" s="27" t="s">
        <v>94</v>
      </c>
      <c r="I302" s="27">
        <v>1</v>
      </c>
      <c r="J302" s="25" t="s">
        <v>182</v>
      </c>
      <c r="K302" s="41" t="s">
        <v>312</v>
      </c>
    </row>
    <row r="303" spans="1:11" ht="25.5" customHeight="1" x14ac:dyDescent="0.25">
      <c r="A303" s="29" t="str">
        <f t="shared" si="77"/>
        <v>КОМПЛЕКТ 39.  МЗ-ЩОА-2.2  |  Альбом 7.1 ЭО (Музей)</v>
      </c>
      <c r="B303" s="29" t="s">
        <v>413</v>
      </c>
      <c r="C303" s="29" t="s">
        <v>610</v>
      </c>
      <c r="D303" s="29" t="s">
        <v>609</v>
      </c>
      <c r="E303" s="30">
        <v>8.09</v>
      </c>
      <c r="F303" s="27">
        <f t="shared" si="78"/>
        <v>1904.4669000000001</v>
      </c>
      <c r="G303" s="31">
        <f>I303*F303</f>
        <v>3808.9338000000002</v>
      </c>
      <c r="H303" s="31" t="s">
        <v>94</v>
      </c>
      <c r="I303" s="31">
        <v>2</v>
      </c>
      <c r="J303" s="29"/>
      <c r="K303" s="29" t="s">
        <v>312</v>
      </c>
    </row>
    <row r="304" spans="1:11" ht="25.5" customHeight="1" x14ac:dyDescent="0.25">
      <c r="A304" s="37" t="str">
        <f t="shared" si="77"/>
        <v>КОМПЛЕКТ 39.  МЗ-ЩОА-2.2  |  Альбом 7.1 ЭО (Музей)</v>
      </c>
      <c r="B304" s="37" t="s">
        <v>414</v>
      </c>
      <c r="C304" s="37"/>
      <c r="D304" s="37" t="s">
        <v>124</v>
      </c>
      <c r="E304" s="36" t="s">
        <v>95</v>
      </c>
      <c r="F304" s="38" t="str">
        <f>ПАРАМЕТРЫ!C6&amp;"%"</f>
        <v>12%</v>
      </c>
      <c r="G304" s="39">
        <f>(G302+G303)*ПАРАМЕТРЫ!C6/100</f>
        <v>1485.9079200000001</v>
      </c>
      <c r="H304" s="39" t="s">
        <v>94</v>
      </c>
      <c r="I304" s="39">
        <v>1</v>
      </c>
      <c r="J304" s="37" t="s">
        <v>11</v>
      </c>
      <c r="K304" s="37" t="s">
        <v>312</v>
      </c>
    </row>
    <row r="305" spans="1:11" ht="25.5" customHeight="1" thickBot="1" x14ac:dyDescent="0.3">
      <c r="A305" s="41" t="str">
        <f t="shared" si="77"/>
        <v>КОМПЛЕКТ 39.  МЗ-ЩОА-2.2  |  Альбом 7.1 ЭО (Музей)</v>
      </c>
      <c r="B305" s="41" t="s">
        <v>415</v>
      </c>
      <c r="C305" s="41"/>
      <c r="D305" s="41" t="s">
        <v>126</v>
      </c>
      <c r="E305" s="40" t="s">
        <v>95</v>
      </c>
      <c r="F305" s="42" t="str">
        <f>ПАРАМЕТРЫ!C7&amp;"%"</f>
        <v>15%</v>
      </c>
      <c r="G305" s="43">
        <f>(G302+G303)*ПАРАМЕТРЫ!C7/100</f>
        <v>1857.3849000000005</v>
      </c>
      <c r="H305" s="43" t="s">
        <v>94</v>
      </c>
      <c r="I305" s="43">
        <v>1</v>
      </c>
      <c r="J305" s="41" t="s">
        <v>11</v>
      </c>
      <c r="K305" s="41" t="s">
        <v>312</v>
      </c>
    </row>
    <row r="306" spans="1:11" ht="25.5" customHeight="1" thickBot="1" x14ac:dyDescent="0.3">
      <c r="A306" s="53" t="str">
        <f>D306</f>
        <v>КОМПЛЕКТ 40.  МЗ-ЩОА-3.1  |  Альбом 7.1 ЭО (Музей)</v>
      </c>
      <c r="B306" s="54" t="s">
        <v>416</v>
      </c>
      <c r="C306" s="54"/>
      <c r="D306" s="54" t="s">
        <v>416</v>
      </c>
      <c r="E306" s="54"/>
      <c r="F306" s="54"/>
      <c r="G306" s="54"/>
      <c r="H306" s="54" t="s">
        <v>632</v>
      </c>
      <c r="I306" s="55">
        <v>1</v>
      </c>
      <c r="J306" s="2"/>
      <c r="K306" s="2"/>
    </row>
    <row r="307" spans="1:11" ht="25.5" customHeight="1" x14ac:dyDescent="0.25">
      <c r="A307" s="22" t="str">
        <f t="shared" ref="A307:A311" si="79">A306</f>
        <v>КОМПЛЕКТ 40.  МЗ-ЩОА-3.1  |  Альбом 7.1 ЭО (Музей)</v>
      </c>
      <c r="B307" s="22" t="s">
        <v>417</v>
      </c>
      <c r="C307" s="22" t="s">
        <v>92</v>
      </c>
      <c r="D307" s="22" t="s">
        <v>129</v>
      </c>
      <c r="E307" s="21" t="s">
        <v>95</v>
      </c>
      <c r="F307" s="21" t="e">
        <f>0.6*E307</f>
        <v>#VALUE!</v>
      </c>
      <c r="G307" s="23" t="e">
        <f>F307*I307</f>
        <v>#VALUE!</v>
      </c>
      <c r="H307" s="23" t="s">
        <v>94</v>
      </c>
      <c r="I307" s="23">
        <v>1</v>
      </c>
      <c r="J307" s="22" t="s">
        <v>96</v>
      </c>
      <c r="K307" s="22" t="s">
        <v>312</v>
      </c>
    </row>
    <row r="308" spans="1:11" ht="25.5" customHeight="1" x14ac:dyDescent="0.25">
      <c r="A308" s="25" t="str">
        <f t="shared" si="79"/>
        <v>КОМПЛЕКТ 40.  МЗ-ЩОА-3.1  |  Альбом 7.1 ЭО (Музей)</v>
      </c>
      <c r="B308" s="25" t="s">
        <v>181</v>
      </c>
      <c r="C308" s="25" t="s">
        <v>611</v>
      </c>
      <c r="D308" s="25" t="s">
        <v>604</v>
      </c>
      <c r="E308" s="26">
        <v>36.42</v>
      </c>
      <c r="F308" s="27">
        <f t="shared" ref="F308:F309" si="80">E308*0.3*1.33*590</f>
        <v>8573.6322000000018</v>
      </c>
      <c r="G308" s="27">
        <f>I308*F308</f>
        <v>8573.6322000000018</v>
      </c>
      <c r="H308" s="27" t="s">
        <v>94</v>
      </c>
      <c r="I308" s="27">
        <v>1</v>
      </c>
      <c r="J308" s="25" t="s">
        <v>182</v>
      </c>
      <c r="K308" s="41" t="s">
        <v>312</v>
      </c>
    </row>
    <row r="309" spans="1:11" ht="25.5" customHeight="1" x14ac:dyDescent="0.25">
      <c r="A309" s="29" t="str">
        <f t="shared" si="79"/>
        <v>КОМПЛЕКТ 40.  МЗ-ЩОА-3.1  |  Альбом 7.1 ЭО (Музей)</v>
      </c>
      <c r="B309" s="29" t="s">
        <v>418</v>
      </c>
      <c r="C309" s="29" t="s">
        <v>610</v>
      </c>
      <c r="D309" s="29" t="s">
        <v>609</v>
      </c>
      <c r="E309" s="30">
        <v>8.09</v>
      </c>
      <c r="F309" s="27">
        <f t="shared" si="80"/>
        <v>1904.4669000000001</v>
      </c>
      <c r="G309" s="31">
        <f>I309*F309</f>
        <v>5713.4007000000001</v>
      </c>
      <c r="H309" s="31" t="s">
        <v>94</v>
      </c>
      <c r="I309" s="31">
        <v>3</v>
      </c>
      <c r="J309" s="29"/>
      <c r="K309" s="29" t="s">
        <v>312</v>
      </c>
    </row>
    <row r="310" spans="1:11" ht="25.5" customHeight="1" x14ac:dyDescent="0.25">
      <c r="A310" s="37" t="str">
        <f t="shared" si="79"/>
        <v>КОМПЛЕКТ 40.  МЗ-ЩОА-3.1  |  Альбом 7.1 ЭО (Музей)</v>
      </c>
      <c r="B310" s="37" t="s">
        <v>419</v>
      </c>
      <c r="C310" s="37"/>
      <c r="D310" s="37" t="s">
        <v>124</v>
      </c>
      <c r="E310" s="36" t="s">
        <v>95</v>
      </c>
      <c r="F310" s="38" t="str">
        <f>ПАРАМЕТРЫ!C6&amp;"%"</f>
        <v>12%</v>
      </c>
      <c r="G310" s="39">
        <f>(G308+G309)*ПАРАМЕТРЫ!C6/100</f>
        <v>1714.4439480000001</v>
      </c>
      <c r="H310" s="39" t="s">
        <v>94</v>
      </c>
      <c r="I310" s="39">
        <v>1</v>
      </c>
      <c r="J310" s="37" t="s">
        <v>11</v>
      </c>
      <c r="K310" s="37" t="s">
        <v>312</v>
      </c>
    </row>
    <row r="311" spans="1:11" ht="25.5" customHeight="1" thickBot="1" x14ac:dyDescent="0.3">
      <c r="A311" s="41" t="str">
        <f t="shared" si="79"/>
        <v>КОМПЛЕКТ 40.  МЗ-ЩОА-3.1  |  Альбом 7.1 ЭО (Музей)</v>
      </c>
      <c r="B311" s="41" t="s">
        <v>420</v>
      </c>
      <c r="C311" s="41"/>
      <c r="D311" s="41" t="s">
        <v>126</v>
      </c>
      <c r="E311" s="40" t="s">
        <v>95</v>
      </c>
      <c r="F311" s="42" t="str">
        <f>ПАРАМЕТРЫ!C7&amp;"%"</f>
        <v>15%</v>
      </c>
      <c r="G311" s="43">
        <f>(G308+G309)*ПАРАМЕТРЫ!C7/100</f>
        <v>2143.0549350000006</v>
      </c>
      <c r="H311" s="43" t="s">
        <v>94</v>
      </c>
      <c r="I311" s="43">
        <v>1</v>
      </c>
      <c r="J311" s="41" t="s">
        <v>11</v>
      </c>
      <c r="K311" s="41" t="s">
        <v>312</v>
      </c>
    </row>
    <row r="312" spans="1:11" ht="25.5" customHeight="1" thickBot="1" x14ac:dyDescent="0.3">
      <c r="A312" s="53" t="str">
        <f>D312</f>
        <v>КОМПЛЕКТ 41.  МЗ-ЩОА-3.2  |  Альбом 7.1 ЭО (Музей)</v>
      </c>
      <c r="B312" s="54" t="s">
        <v>421</v>
      </c>
      <c r="C312" s="54"/>
      <c r="D312" s="54" t="s">
        <v>421</v>
      </c>
      <c r="E312" s="54"/>
      <c r="F312" s="54"/>
      <c r="G312" s="54"/>
      <c r="H312" s="54" t="s">
        <v>632</v>
      </c>
      <c r="I312" s="55">
        <v>1</v>
      </c>
      <c r="J312" s="2"/>
      <c r="K312" s="2"/>
    </row>
    <row r="313" spans="1:11" ht="25.5" customHeight="1" x14ac:dyDescent="0.25">
      <c r="A313" s="22" t="str">
        <f t="shared" ref="A313:A317" si="81">A312</f>
        <v>КОМПЛЕКТ 41.  МЗ-ЩОА-3.2  |  Альбом 7.1 ЭО (Музей)</v>
      </c>
      <c r="B313" s="22" t="s">
        <v>422</v>
      </c>
      <c r="C313" s="22" t="s">
        <v>92</v>
      </c>
      <c r="D313" s="22" t="s">
        <v>129</v>
      </c>
      <c r="E313" s="21" t="s">
        <v>95</v>
      </c>
      <c r="F313" s="21" t="e">
        <f>0.6*E313</f>
        <v>#VALUE!</v>
      </c>
      <c r="G313" s="23" t="e">
        <f>F313*I313</f>
        <v>#VALUE!</v>
      </c>
      <c r="H313" s="23" t="s">
        <v>94</v>
      </c>
      <c r="I313" s="23">
        <v>1</v>
      </c>
      <c r="J313" s="22" t="s">
        <v>96</v>
      </c>
      <c r="K313" s="22" t="s">
        <v>312</v>
      </c>
    </row>
    <row r="314" spans="1:11" ht="25.5" customHeight="1" x14ac:dyDescent="0.25">
      <c r="A314" s="25" t="str">
        <f t="shared" si="81"/>
        <v>КОМПЛЕКТ 41.  МЗ-ЩОА-3.2  |  Альбом 7.1 ЭО (Музей)</v>
      </c>
      <c r="B314" s="25" t="s">
        <v>181</v>
      </c>
      <c r="C314" s="25" t="s">
        <v>611</v>
      </c>
      <c r="D314" s="25" t="s">
        <v>604</v>
      </c>
      <c r="E314" s="26">
        <v>36.42</v>
      </c>
      <c r="F314" s="27">
        <f t="shared" ref="F314:F315" si="82">E314*0.3*1.33*590</f>
        <v>8573.6322000000018</v>
      </c>
      <c r="G314" s="27">
        <f>I314*F314</f>
        <v>8573.6322000000018</v>
      </c>
      <c r="H314" s="27" t="s">
        <v>94</v>
      </c>
      <c r="I314" s="27">
        <v>1</v>
      </c>
      <c r="J314" s="25" t="s">
        <v>182</v>
      </c>
      <c r="K314" s="41" t="s">
        <v>312</v>
      </c>
    </row>
    <row r="315" spans="1:11" ht="25.5" customHeight="1" x14ac:dyDescent="0.25">
      <c r="A315" s="29" t="str">
        <f t="shared" si="81"/>
        <v>КОМПЛЕКТ 41.  МЗ-ЩОА-3.2  |  Альбом 7.1 ЭО (Музей)</v>
      </c>
      <c r="B315" s="29" t="s">
        <v>423</v>
      </c>
      <c r="C315" s="29" t="s">
        <v>610</v>
      </c>
      <c r="D315" s="29" t="s">
        <v>609</v>
      </c>
      <c r="E315" s="30">
        <v>8.09</v>
      </c>
      <c r="F315" s="27">
        <f t="shared" si="82"/>
        <v>1904.4669000000001</v>
      </c>
      <c r="G315" s="31">
        <f>I315*F315</f>
        <v>3808.9338000000002</v>
      </c>
      <c r="H315" s="31" t="s">
        <v>94</v>
      </c>
      <c r="I315" s="31">
        <v>2</v>
      </c>
      <c r="J315" s="29"/>
      <c r="K315" s="29" t="s">
        <v>312</v>
      </c>
    </row>
    <row r="316" spans="1:11" ht="25.5" customHeight="1" x14ac:dyDescent="0.25">
      <c r="A316" s="37" t="str">
        <f t="shared" si="81"/>
        <v>КОМПЛЕКТ 41.  МЗ-ЩОА-3.2  |  Альбом 7.1 ЭО (Музей)</v>
      </c>
      <c r="B316" s="37" t="s">
        <v>424</v>
      </c>
      <c r="C316" s="37"/>
      <c r="D316" s="37" t="s">
        <v>124</v>
      </c>
      <c r="E316" s="36" t="s">
        <v>95</v>
      </c>
      <c r="F316" s="38" t="str">
        <f>ПАРАМЕТРЫ!C6&amp;"%"</f>
        <v>12%</v>
      </c>
      <c r="G316" s="39">
        <f>(G314+G315)*ПАРАМЕТРЫ!C6/100</f>
        <v>1485.9079200000001</v>
      </c>
      <c r="H316" s="39" t="s">
        <v>94</v>
      </c>
      <c r="I316" s="39">
        <v>1</v>
      </c>
      <c r="J316" s="37" t="s">
        <v>11</v>
      </c>
      <c r="K316" s="37" t="s">
        <v>312</v>
      </c>
    </row>
    <row r="317" spans="1:11" ht="25.5" customHeight="1" thickBot="1" x14ac:dyDescent="0.3">
      <c r="A317" s="41" t="str">
        <f t="shared" si="81"/>
        <v>КОМПЛЕКТ 41.  МЗ-ЩОА-3.2  |  Альбом 7.1 ЭО (Музей)</v>
      </c>
      <c r="B317" s="41" t="s">
        <v>425</v>
      </c>
      <c r="C317" s="41"/>
      <c r="D317" s="41" t="s">
        <v>126</v>
      </c>
      <c r="E317" s="40" t="s">
        <v>95</v>
      </c>
      <c r="F317" s="42" t="str">
        <f>ПАРАМЕТРЫ!C7&amp;"%"</f>
        <v>15%</v>
      </c>
      <c r="G317" s="43">
        <f>(G314+G315)*ПАРАМЕТРЫ!C7/100</f>
        <v>1857.3849000000005</v>
      </c>
      <c r="H317" s="43" t="s">
        <v>94</v>
      </c>
      <c r="I317" s="43">
        <v>1</v>
      </c>
      <c r="J317" s="41" t="s">
        <v>11</v>
      </c>
      <c r="K317" s="41" t="s">
        <v>312</v>
      </c>
    </row>
    <row r="318" spans="1:11" ht="25.5" customHeight="1" thickBot="1" x14ac:dyDescent="0.3">
      <c r="A318" s="53" t="str">
        <f>D318</f>
        <v>КОМПЛЕКТ 42.  МЗ-ЩОА-4.1  |  Альбом 7.1 ЭО (Музей)</v>
      </c>
      <c r="B318" s="54" t="s">
        <v>426</v>
      </c>
      <c r="C318" s="54"/>
      <c r="D318" s="54" t="s">
        <v>426</v>
      </c>
      <c r="E318" s="54"/>
      <c r="F318" s="54"/>
      <c r="G318" s="54"/>
      <c r="H318" s="54" t="s">
        <v>632</v>
      </c>
      <c r="I318" s="55">
        <v>1</v>
      </c>
      <c r="J318" s="2"/>
      <c r="K318" s="2"/>
    </row>
    <row r="319" spans="1:11" ht="25.5" customHeight="1" x14ac:dyDescent="0.25">
      <c r="A319" s="22" t="str">
        <f t="shared" ref="A319:A323" si="83">A318</f>
        <v>КОМПЛЕКТ 42.  МЗ-ЩОА-4.1  |  Альбом 7.1 ЭО (Музей)</v>
      </c>
      <c r="B319" s="22" t="s">
        <v>427</v>
      </c>
      <c r="C319" s="22" t="s">
        <v>92</v>
      </c>
      <c r="D319" s="22" t="s">
        <v>129</v>
      </c>
      <c r="E319" s="21" t="s">
        <v>95</v>
      </c>
      <c r="F319" s="21" t="e">
        <f>0.6*E319</f>
        <v>#VALUE!</v>
      </c>
      <c r="G319" s="23" t="e">
        <f>F319*I319</f>
        <v>#VALUE!</v>
      </c>
      <c r="H319" s="23" t="s">
        <v>94</v>
      </c>
      <c r="I319" s="23">
        <v>1</v>
      </c>
      <c r="J319" s="22" t="s">
        <v>96</v>
      </c>
      <c r="K319" s="22" t="s">
        <v>312</v>
      </c>
    </row>
    <row r="320" spans="1:11" ht="25.5" customHeight="1" x14ac:dyDescent="0.25">
      <c r="A320" s="25" t="str">
        <f t="shared" si="83"/>
        <v>КОМПЛЕКТ 42.  МЗ-ЩОА-4.1  |  Альбом 7.1 ЭО (Музей)</v>
      </c>
      <c r="B320" s="25" t="s">
        <v>181</v>
      </c>
      <c r="C320" s="25" t="s">
        <v>611</v>
      </c>
      <c r="D320" s="25" t="s">
        <v>604</v>
      </c>
      <c r="E320" s="26">
        <v>36.42</v>
      </c>
      <c r="F320" s="27">
        <f t="shared" ref="F320:F321" si="84">E320*0.3*1.33*590</f>
        <v>8573.6322000000018</v>
      </c>
      <c r="G320" s="27">
        <f>I320*F320</f>
        <v>8573.6322000000018</v>
      </c>
      <c r="H320" s="27" t="s">
        <v>94</v>
      </c>
      <c r="I320" s="27">
        <v>1</v>
      </c>
      <c r="J320" s="25" t="s">
        <v>182</v>
      </c>
      <c r="K320" s="41" t="s">
        <v>312</v>
      </c>
    </row>
    <row r="321" spans="1:11" ht="25.5" customHeight="1" x14ac:dyDescent="0.25">
      <c r="A321" s="29" t="str">
        <f t="shared" si="83"/>
        <v>КОМПЛЕКТ 42.  МЗ-ЩОА-4.1  |  Альбом 7.1 ЭО (Музей)</v>
      </c>
      <c r="B321" s="29" t="s">
        <v>428</v>
      </c>
      <c r="C321" s="29" t="s">
        <v>610</v>
      </c>
      <c r="D321" s="29" t="s">
        <v>609</v>
      </c>
      <c r="E321" s="30">
        <v>8.09</v>
      </c>
      <c r="F321" s="27">
        <f t="shared" si="84"/>
        <v>1904.4669000000001</v>
      </c>
      <c r="G321" s="31">
        <f>I321*F321</f>
        <v>5713.4007000000001</v>
      </c>
      <c r="H321" s="31" t="s">
        <v>94</v>
      </c>
      <c r="I321" s="31">
        <v>3</v>
      </c>
      <c r="J321" s="29"/>
      <c r="K321" s="29" t="s">
        <v>312</v>
      </c>
    </row>
    <row r="322" spans="1:11" ht="25.5" customHeight="1" x14ac:dyDescent="0.25">
      <c r="A322" s="37" t="str">
        <f t="shared" si="83"/>
        <v>КОМПЛЕКТ 42.  МЗ-ЩОА-4.1  |  Альбом 7.1 ЭО (Музей)</v>
      </c>
      <c r="B322" s="37" t="s">
        <v>429</v>
      </c>
      <c r="C322" s="37"/>
      <c r="D322" s="37" t="s">
        <v>124</v>
      </c>
      <c r="E322" s="36" t="s">
        <v>95</v>
      </c>
      <c r="F322" s="38" t="str">
        <f>ПАРАМЕТРЫ!C6&amp;"%"</f>
        <v>12%</v>
      </c>
      <c r="G322" s="39">
        <f>(G320+G321)*ПАРАМЕТРЫ!C6/100</f>
        <v>1714.4439480000001</v>
      </c>
      <c r="H322" s="39" t="s">
        <v>94</v>
      </c>
      <c r="I322" s="39">
        <v>1</v>
      </c>
      <c r="J322" s="37" t="s">
        <v>11</v>
      </c>
      <c r="K322" s="37" t="s">
        <v>312</v>
      </c>
    </row>
    <row r="323" spans="1:11" ht="25.5" customHeight="1" thickBot="1" x14ac:dyDescent="0.3">
      <c r="A323" s="41" t="str">
        <f t="shared" si="83"/>
        <v>КОМПЛЕКТ 42.  МЗ-ЩОА-4.1  |  Альбом 7.1 ЭО (Музей)</v>
      </c>
      <c r="B323" s="41" t="s">
        <v>430</v>
      </c>
      <c r="C323" s="41"/>
      <c r="D323" s="41" t="s">
        <v>126</v>
      </c>
      <c r="E323" s="40" t="s">
        <v>95</v>
      </c>
      <c r="F323" s="42" t="str">
        <f>ПАРАМЕТРЫ!C7&amp;"%"</f>
        <v>15%</v>
      </c>
      <c r="G323" s="43">
        <f>(G320+G321)*ПАРАМЕТРЫ!C7/100</f>
        <v>2143.0549350000006</v>
      </c>
      <c r="H323" s="43" t="s">
        <v>94</v>
      </c>
      <c r="I323" s="43">
        <v>1</v>
      </c>
      <c r="J323" s="41" t="s">
        <v>11</v>
      </c>
      <c r="K323" s="41" t="s">
        <v>312</v>
      </c>
    </row>
    <row r="324" spans="1:11" ht="25.5" customHeight="1" thickBot="1" x14ac:dyDescent="0.3">
      <c r="A324" s="53" t="str">
        <f>D324</f>
        <v>КОМПЛЕКТ 43.  МЗ-ЩОА-4.2  |  Альбом 7.1 ЭО (Музей)</v>
      </c>
      <c r="B324" s="54" t="s">
        <v>431</v>
      </c>
      <c r="C324" s="54"/>
      <c r="D324" s="54" t="s">
        <v>431</v>
      </c>
      <c r="E324" s="54"/>
      <c r="F324" s="54"/>
      <c r="G324" s="54"/>
      <c r="H324" s="54" t="s">
        <v>632</v>
      </c>
      <c r="I324" s="55">
        <v>1</v>
      </c>
      <c r="J324" s="2"/>
      <c r="K324" s="2"/>
    </row>
    <row r="325" spans="1:11" ht="25.5" customHeight="1" x14ac:dyDescent="0.25">
      <c r="A325" s="22" t="str">
        <f t="shared" ref="A325:A329" si="85">A324</f>
        <v>КОМПЛЕКТ 43.  МЗ-ЩОА-4.2  |  Альбом 7.1 ЭО (Музей)</v>
      </c>
      <c r="B325" s="22" t="s">
        <v>432</v>
      </c>
      <c r="C325" s="22" t="s">
        <v>92</v>
      </c>
      <c r="D325" s="22" t="s">
        <v>129</v>
      </c>
      <c r="E325" s="21" t="s">
        <v>95</v>
      </c>
      <c r="F325" s="21" t="e">
        <f>0.6*E325</f>
        <v>#VALUE!</v>
      </c>
      <c r="G325" s="23" t="e">
        <f>F325*I325</f>
        <v>#VALUE!</v>
      </c>
      <c r="H325" s="23" t="s">
        <v>94</v>
      </c>
      <c r="I325" s="23">
        <v>1</v>
      </c>
      <c r="J325" s="22" t="s">
        <v>96</v>
      </c>
      <c r="K325" s="22" t="s">
        <v>312</v>
      </c>
    </row>
    <row r="326" spans="1:11" ht="25.5" customHeight="1" x14ac:dyDescent="0.25">
      <c r="A326" s="25" t="str">
        <f t="shared" si="85"/>
        <v>КОМПЛЕКТ 43.  МЗ-ЩОА-4.2  |  Альбом 7.1 ЭО (Музей)</v>
      </c>
      <c r="B326" s="25" t="s">
        <v>181</v>
      </c>
      <c r="C326" s="25" t="s">
        <v>611</v>
      </c>
      <c r="D326" s="25" t="s">
        <v>604</v>
      </c>
      <c r="E326" s="26">
        <v>36.42</v>
      </c>
      <c r="F326" s="27">
        <f t="shared" ref="F326:F327" si="86">E326*0.3*1.33*590</f>
        <v>8573.6322000000018</v>
      </c>
      <c r="G326" s="27">
        <f>I326*F326</f>
        <v>8573.6322000000018</v>
      </c>
      <c r="H326" s="27" t="s">
        <v>94</v>
      </c>
      <c r="I326" s="27">
        <v>1</v>
      </c>
      <c r="J326" s="25" t="s">
        <v>182</v>
      </c>
      <c r="K326" s="41" t="s">
        <v>312</v>
      </c>
    </row>
    <row r="327" spans="1:11" ht="25.5" customHeight="1" x14ac:dyDescent="0.25">
      <c r="A327" s="29" t="str">
        <f t="shared" si="85"/>
        <v>КОМПЛЕКТ 43.  МЗ-ЩОА-4.2  |  Альбом 7.1 ЭО (Музей)</v>
      </c>
      <c r="B327" s="29" t="s">
        <v>433</v>
      </c>
      <c r="C327" s="29" t="s">
        <v>610</v>
      </c>
      <c r="D327" s="29" t="s">
        <v>609</v>
      </c>
      <c r="E327" s="30">
        <v>8.09</v>
      </c>
      <c r="F327" s="27">
        <f t="shared" si="86"/>
        <v>1904.4669000000001</v>
      </c>
      <c r="G327" s="31">
        <f>I327*F327</f>
        <v>5713.4007000000001</v>
      </c>
      <c r="H327" s="31" t="s">
        <v>94</v>
      </c>
      <c r="I327" s="31">
        <v>3</v>
      </c>
      <c r="J327" s="29"/>
      <c r="K327" s="29" t="s">
        <v>312</v>
      </c>
    </row>
    <row r="328" spans="1:11" ht="25.5" customHeight="1" x14ac:dyDescent="0.25">
      <c r="A328" s="37" t="str">
        <f t="shared" si="85"/>
        <v>КОМПЛЕКТ 43.  МЗ-ЩОА-4.2  |  Альбом 7.1 ЭО (Музей)</v>
      </c>
      <c r="B328" s="37" t="s">
        <v>434</v>
      </c>
      <c r="C328" s="37"/>
      <c r="D328" s="37" t="s">
        <v>124</v>
      </c>
      <c r="E328" s="36" t="s">
        <v>95</v>
      </c>
      <c r="F328" s="38" t="str">
        <f>ПАРАМЕТРЫ!C6&amp;"%"</f>
        <v>12%</v>
      </c>
      <c r="G328" s="39">
        <f>(G326+G327)*ПАРАМЕТРЫ!C6/100</f>
        <v>1714.4439480000001</v>
      </c>
      <c r="H328" s="39" t="s">
        <v>94</v>
      </c>
      <c r="I328" s="39">
        <v>1</v>
      </c>
      <c r="J328" s="37" t="s">
        <v>11</v>
      </c>
      <c r="K328" s="37" t="s">
        <v>312</v>
      </c>
    </row>
    <row r="329" spans="1:11" ht="25.5" customHeight="1" thickBot="1" x14ac:dyDescent="0.3">
      <c r="A329" s="41" t="str">
        <f t="shared" si="85"/>
        <v>КОМПЛЕКТ 43.  МЗ-ЩОА-4.2  |  Альбом 7.1 ЭО (Музей)</v>
      </c>
      <c r="B329" s="41" t="s">
        <v>435</v>
      </c>
      <c r="C329" s="41"/>
      <c r="D329" s="41" t="s">
        <v>126</v>
      </c>
      <c r="E329" s="40" t="s">
        <v>95</v>
      </c>
      <c r="F329" s="42" t="str">
        <f>ПАРАМЕТРЫ!C7&amp;"%"</f>
        <v>15%</v>
      </c>
      <c r="G329" s="43">
        <f>(G326+G327)*ПАРАМЕТРЫ!C7/100</f>
        <v>2143.0549350000006</v>
      </c>
      <c r="H329" s="43" t="s">
        <v>94</v>
      </c>
      <c r="I329" s="43">
        <v>1</v>
      </c>
      <c r="J329" s="41" t="s">
        <v>11</v>
      </c>
      <c r="K329" s="41" t="s">
        <v>312</v>
      </c>
    </row>
    <row r="330" spans="1:11" ht="25.5" customHeight="1" thickBot="1" x14ac:dyDescent="0.3">
      <c r="A330" s="53" t="str">
        <f>D330</f>
        <v>КОМПЛЕКТ 44.  ГЛ-ЩО (ЩРн-24з-0 36 УХЛ3 IP54)  |  Альбом 7.1 ЭО (Галерея)</v>
      </c>
      <c r="B330" s="54" t="s">
        <v>437</v>
      </c>
      <c r="C330" s="54"/>
      <c r="D330" s="54" t="s">
        <v>437</v>
      </c>
      <c r="E330" s="54"/>
      <c r="F330" s="54"/>
      <c r="G330" s="54"/>
      <c r="H330" s="54" t="s">
        <v>632</v>
      </c>
      <c r="I330" s="55">
        <v>1</v>
      </c>
      <c r="J330" s="2"/>
      <c r="K330" s="2"/>
    </row>
    <row r="331" spans="1:11" ht="25.5" customHeight="1" x14ac:dyDescent="0.25">
      <c r="A331" s="22" t="str">
        <f t="shared" ref="A331:A338" si="87">A330</f>
        <v>КОМПЛЕКТ 44.  ГЛ-ЩО (ЩРн-24з-0 36 УХЛ3 IP54)  |  Альбом 7.1 ЭО (Галерея)</v>
      </c>
      <c r="B331" s="22" t="s">
        <v>438</v>
      </c>
      <c r="C331" s="22" t="s">
        <v>92</v>
      </c>
      <c r="D331" s="22" t="s">
        <v>146</v>
      </c>
      <c r="E331" s="21" t="s">
        <v>95</v>
      </c>
      <c r="F331" s="21" t="e">
        <f>0.6*E331</f>
        <v>#VALUE!</v>
      </c>
      <c r="G331" s="23" t="e">
        <f>F331*I331</f>
        <v>#VALUE!</v>
      </c>
      <c r="H331" s="23" t="s">
        <v>94</v>
      </c>
      <c r="I331" s="23">
        <v>1</v>
      </c>
      <c r="J331" s="22" t="s">
        <v>96</v>
      </c>
      <c r="K331" s="22" t="s">
        <v>439</v>
      </c>
    </row>
    <row r="332" spans="1:11" ht="25.5" customHeight="1" x14ac:dyDescent="0.25">
      <c r="A332" s="25" t="str">
        <f t="shared" si="87"/>
        <v>КОМПЛЕКТ 44.  ГЛ-ЩО (ЩРн-24з-0 36 УХЛ3 IP54)  |  Альбом 7.1 ЭО (Галерея)</v>
      </c>
      <c r="B332" s="25" t="s">
        <v>181</v>
      </c>
      <c r="C332" s="25" t="s">
        <v>611</v>
      </c>
      <c r="D332" s="25" t="s">
        <v>604</v>
      </c>
      <c r="E332" s="26">
        <v>36.42</v>
      </c>
      <c r="F332" s="27">
        <f t="shared" ref="F332:F335" si="88">E332*0.3*1.33*590</f>
        <v>8573.6322000000018</v>
      </c>
      <c r="G332" s="27">
        <f>I332*F332</f>
        <v>8573.6322000000018</v>
      </c>
      <c r="H332" s="27" t="s">
        <v>94</v>
      </c>
      <c r="I332" s="27">
        <v>1</v>
      </c>
      <c r="J332" s="25" t="s">
        <v>182</v>
      </c>
      <c r="K332" s="41" t="s">
        <v>312</v>
      </c>
    </row>
    <row r="333" spans="1:11" ht="25.5" customHeight="1" x14ac:dyDescent="0.25">
      <c r="A333" s="29" t="str">
        <f t="shared" si="87"/>
        <v>КОМПЛЕКТ 44.  ГЛ-ЩО (ЩРн-24з-0 36 УХЛ3 IP54)  |  Альбом 7.1 ЭО (Галерея)</v>
      </c>
      <c r="B333" s="29" t="s">
        <v>440</v>
      </c>
      <c r="C333" s="29" t="s">
        <v>610</v>
      </c>
      <c r="D333" s="29" t="s">
        <v>609</v>
      </c>
      <c r="E333" s="30">
        <v>8.09</v>
      </c>
      <c r="F333" s="27">
        <f t="shared" si="88"/>
        <v>1904.4669000000001</v>
      </c>
      <c r="G333" s="31">
        <f>I333*F333</f>
        <v>32375.937300000001</v>
      </c>
      <c r="H333" s="31" t="s">
        <v>94</v>
      </c>
      <c r="I333" s="31">
        <v>17</v>
      </c>
      <c r="J333" s="29"/>
      <c r="K333" s="29" t="s">
        <v>439</v>
      </c>
    </row>
    <row r="334" spans="1:11" ht="25.5" customHeight="1" x14ac:dyDescent="0.25">
      <c r="A334" s="25" t="str">
        <f t="shared" si="87"/>
        <v>КОМПЛЕКТ 44.  ГЛ-ЩО (ЩРн-24з-0 36 УХЛ3 IP54)  |  Альбом 7.1 ЭО (Галерея)</v>
      </c>
      <c r="B334" s="25" t="s">
        <v>441</v>
      </c>
      <c r="C334" s="25" t="s">
        <v>153</v>
      </c>
      <c r="D334" s="25" t="s">
        <v>152</v>
      </c>
      <c r="E334" s="26">
        <f>ПАРАМЕТРЫ!C23</f>
        <v>87.63</v>
      </c>
      <c r="F334" s="27">
        <f t="shared" si="88"/>
        <v>20628.978300000002</v>
      </c>
      <c r="G334" s="27">
        <f>I334*F334</f>
        <v>0</v>
      </c>
      <c r="H334" s="27" t="s">
        <v>94</v>
      </c>
      <c r="I334" s="27">
        <v>0</v>
      </c>
      <c r="J334" s="25"/>
      <c r="K334" s="25" t="s">
        <v>439</v>
      </c>
    </row>
    <row r="335" spans="1:11" ht="25.5" customHeight="1" x14ac:dyDescent="0.25">
      <c r="A335" s="29" t="str">
        <f t="shared" si="87"/>
        <v>КОМПЛЕКТ 44.  ГЛ-ЩО (ЩРн-24з-0 36 УХЛ3 IP54)  |  Альбом 7.1 ЭО (Галерея)</v>
      </c>
      <c r="B335" s="29" t="s">
        <v>442</v>
      </c>
      <c r="C335" s="29" t="s">
        <v>136</v>
      </c>
      <c r="D335" s="29" t="s">
        <v>135</v>
      </c>
      <c r="E335" s="30">
        <f>ПАРАМЕТРЫ!C33</f>
        <v>41.58</v>
      </c>
      <c r="F335" s="27">
        <f t="shared" si="88"/>
        <v>9788.3477999999996</v>
      </c>
      <c r="G335" s="31">
        <f>I335*F335</f>
        <v>107671.82579999999</v>
      </c>
      <c r="H335" s="31" t="s">
        <v>94</v>
      </c>
      <c r="I335" s="31">
        <v>11</v>
      </c>
      <c r="J335" s="29"/>
      <c r="K335" s="29" t="s">
        <v>439</v>
      </c>
    </row>
    <row r="336" spans="1:11" ht="25.5" customHeight="1" x14ac:dyDescent="0.25">
      <c r="A336" s="25" t="str">
        <f t="shared" si="87"/>
        <v>КОМПЛЕКТ 44.  ГЛ-ЩО (ЩРн-24з-0 36 УХЛ3 IP54)  |  Альбом 7.1 ЭО (Галерея)</v>
      </c>
      <c r="B336" s="25" t="s">
        <v>443</v>
      </c>
      <c r="C336" s="25" t="s">
        <v>95</v>
      </c>
      <c r="D336" s="25" t="s">
        <v>206</v>
      </c>
      <c r="E336" s="26">
        <f>ПАРАМЕТРЫ!C37</f>
        <v>1.5</v>
      </c>
      <c r="F336" s="27">
        <f>ПАРАМЕТРЫ!D37</f>
        <v>353.11499999999995</v>
      </c>
      <c r="G336" s="27">
        <f>I336*F336</f>
        <v>3884.2649999999994</v>
      </c>
      <c r="H336" s="27" t="s">
        <v>94</v>
      </c>
      <c r="I336" s="27">
        <v>11</v>
      </c>
      <c r="J336" s="25"/>
      <c r="K336" s="25" t="s">
        <v>439</v>
      </c>
    </row>
    <row r="337" spans="1:11" ht="25.5" customHeight="1" x14ac:dyDescent="0.25">
      <c r="A337" s="37" t="str">
        <f t="shared" si="87"/>
        <v>КОМПЛЕКТ 44.  ГЛ-ЩО (ЩРн-24з-0 36 УХЛ3 IP54)  |  Альбом 7.1 ЭО (Галерея)</v>
      </c>
      <c r="B337" s="37" t="s">
        <v>444</v>
      </c>
      <c r="C337" s="37"/>
      <c r="D337" s="37" t="s">
        <v>124</v>
      </c>
      <c r="E337" s="36" t="s">
        <v>95</v>
      </c>
      <c r="F337" s="38" t="str">
        <f>ПАРАМЕТРЫ!C6&amp;"%"</f>
        <v>12%</v>
      </c>
      <c r="G337" s="39">
        <f>(G332+G333+G334+G335+G336)*ПАРАМЕТРЫ!C6/100</f>
        <v>18300.679236</v>
      </c>
      <c r="H337" s="39" t="s">
        <v>94</v>
      </c>
      <c r="I337" s="39">
        <v>1</v>
      </c>
      <c r="J337" s="37" t="s">
        <v>11</v>
      </c>
      <c r="K337" s="37" t="s">
        <v>439</v>
      </c>
    </row>
    <row r="338" spans="1:11" ht="25.5" customHeight="1" thickBot="1" x14ac:dyDescent="0.3">
      <c r="A338" s="41" t="str">
        <f t="shared" si="87"/>
        <v>КОМПЛЕКТ 44.  ГЛ-ЩО (ЩРн-24з-0 36 УХЛ3 IP54)  |  Альбом 7.1 ЭО (Галерея)</v>
      </c>
      <c r="B338" s="41" t="s">
        <v>445</v>
      </c>
      <c r="C338" s="41"/>
      <c r="D338" s="41" t="s">
        <v>126</v>
      </c>
      <c r="E338" s="40" t="s">
        <v>95</v>
      </c>
      <c r="F338" s="42" t="str">
        <f>ПАРАМЕТРЫ!C7&amp;"%"</f>
        <v>15%</v>
      </c>
      <c r="G338" s="43">
        <f>(G332+G333+G334+G335+G336)*ПАРАМЕТРЫ!C7/100</f>
        <v>22875.849044999995</v>
      </c>
      <c r="H338" s="43" t="s">
        <v>94</v>
      </c>
      <c r="I338" s="43">
        <v>1</v>
      </c>
      <c r="J338" s="41" t="s">
        <v>11</v>
      </c>
      <c r="K338" s="41" t="s">
        <v>439</v>
      </c>
    </row>
    <row r="339" spans="1:11" ht="25.5" customHeight="1" thickBot="1" x14ac:dyDescent="0.3">
      <c r="A339" s="53" t="str">
        <f>D339</f>
        <v>КОМПЛЕКТ 45.  ГЛ-ЩОА (ЩРн-12з-0 36 УХЛ3 IP54)  |  Альбом 7.1 ЭО (Галерея)</v>
      </c>
      <c r="B339" s="54" t="s">
        <v>446</v>
      </c>
      <c r="C339" s="54"/>
      <c r="D339" s="54" t="s">
        <v>446</v>
      </c>
      <c r="E339" s="54"/>
      <c r="F339" s="54"/>
      <c r="G339" s="54"/>
      <c r="H339" s="54" t="s">
        <v>632</v>
      </c>
      <c r="I339" s="55">
        <v>1</v>
      </c>
      <c r="J339" s="2"/>
      <c r="K339" s="2"/>
    </row>
    <row r="340" spans="1:11" ht="25.5" customHeight="1" x14ac:dyDescent="0.25">
      <c r="A340" s="22" t="str">
        <f t="shared" ref="A340:A344" si="89">A339</f>
        <v>КОМПЛЕКТ 45.  ГЛ-ЩОА (ЩРн-12з-0 36 УХЛ3 IP54)  |  Альбом 7.1 ЭО (Галерея)</v>
      </c>
      <c r="B340" s="22" t="s">
        <v>447</v>
      </c>
      <c r="C340" s="22" t="s">
        <v>92</v>
      </c>
      <c r="D340" s="22" t="s">
        <v>129</v>
      </c>
      <c r="E340" s="21" t="s">
        <v>95</v>
      </c>
      <c r="F340" s="21" t="e">
        <f>0.6*E340</f>
        <v>#VALUE!</v>
      </c>
      <c r="G340" s="23" t="e">
        <f>F340*I340</f>
        <v>#VALUE!</v>
      </c>
      <c r="H340" s="23" t="s">
        <v>94</v>
      </c>
      <c r="I340" s="23">
        <v>1</v>
      </c>
      <c r="J340" s="22" t="s">
        <v>96</v>
      </c>
      <c r="K340" s="22" t="s">
        <v>439</v>
      </c>
    </row>
    <row r="341" spans="1:11" ht="25.5" customHeight="1" x14ac:dyDescent="0.25">
      <c r="A341" s="25" t="str">
        <f t="shared" si="89"/>
        <v>КОМПЛЕКТ 45.  ГЛ-ЩОА (ЩРн-12з-0 36 УХЛ3 IP54)  |  Альбом 7.1 ЭО (Галерея)</v>
      </c>
      <c r="B341" s="25" t="s">
        <v>181</v>
      </c>
      <c r="C341" s="25" t="s">
        <v>611</v>
      </c>
      <c r="D341" s="25" t="s">
        <v>604</v>
      </c>
      <c r="E341" s="26">
        <v>36.42</v>
      </c>
      <c r="F341" s="27">
        <f t="shared" ref="F341:F342" si="90">E341*0.3*1.33*590</f>
        <v>8573.6322000000018</v>
      </c>
      <c r="G341" s="27">
        <f>I341*F341</f>
        <v>8573.6322000000018</v>
      </c>
      <c r="H341" s="27" t="s">
        <v>94</v>
      </c>
      <c r="I341" s="27">
        <v>1</v>
      </c>
      <c r="J341" s="25" t="s">
        <v>182</v>
      </c>
      <c r="K341" s="41" t="s">
        <v>312</v>
      </c>
    </row>
    <row r="342" spans="1:11" ht="25.5" customHeight="1" x14ac:dyDescent="0.25">
      <c r="A342" s="29" t="str">
        <f t="shared" si="89"/>
        <v>КОМПЛЕКТ 45.  ГЛ-ЩОА (ЩРн-12з-0 36 УХЛ3 IP54)  |  Альбом 7.1 ЭО (Галерея)</v>
      </c>
      <c r="B342" s="29" t="s">
        <v>448</v>
      </c>
      <c r="C342" s="29" t="s">
        <v>610</v>
      </c>
      <c r="D342" s="29" t="s">
        <v>609</v>
      </c>
      <c r="E342" s="30">
        <v>8.09</v>
      </c>
      <c r="F342" s="27">
        <f t="shared" si="90"/>
        <v>1904.4669000000001</v>
      </c>
      <c r="G342" s="31">
        <f>I342*F342</f>
        <v>9522.3345000000008</v>
      </c>
      <c r="H342" s="31" t="s">
        <v>94</v>
      </c>
      <c r="I342" s="31">
        <v>5</v>
      </c>
      <c r="J342" s="29"/>
      <c r="K342" s="29" t="s">
        <v>439</v>
      </c>
    </row>
    <row r="343" spans="1:11" ht="25.5" customHeight="1" x14ac:dyDescent="0.25">
      <c r="A343" s="37" t="str">
        <f t="shared" si="89"/>
        <v>КОМПЛЕКТ 45.  ГЛ-ЩОА (ЩРн-12з-0 36 УХЛ3 IP54)  |  Альбом 7.1 ЭО (Галерея)</v>
      </c>
      <c r="B343" s="37" t="s">
        <v>449</v>
      </c>
      <c r="C343" s="37"/>
      <c r="D343" s="37" t="s">
        <v>124</v>
      </c>
      <c r="E343" s="36" t="s">
        <v>95</v>
      </c>
      <c r="F343" s="38" t="str">
        <f>ПАРАМЕТРЫ!C6&amp;"%"</f>
        <v>12%</v>
      </c>
      <c r="G343" s="39">
        <f>(G341+G342)*ПАРАМЕТРЫ!C6/100</f>
        <v>2171.5160040000005</v>
      </c>
      <c r="H343" s="39" t="s">
        <v>94</v>
      </c>
      <c r="I343" s="39">
        <v>1</v>
      </c>
      <c r="J343" s="37" t="s">
        <v>11</v>
      </c>
      <c r="K343" s="37" t="s">
        <v>439</v>
      </c>
    </row>
    <row r="344" spans="1:11" ht="25.5" customHeight="1" thickBot="1" x14ac:dyDescent="0.3">
      <c r="A344" s="41" t="str">
        <f t="shared" si="89"/>
        <v>КОМПЛЕКТ 45.  ГЛ-ЩОА (ЩРн-12з-0 36 УХЛ3 IP54)  |  Альбом 7.1 ЭО (Галерея)</v>
      </c>
      <c r="B344" s="41" t="s">
        <v>450</v>
      </c>
      <c r="C344" s="41"/>
      <c r="D344" s="41" t="s">
        <v>126</v>
      </c>
      <c r="E344" s="40" t="s">
        <v>95</v>
      </c>
      <c r="F344" s="42" t="str">
        <f>ПАРАМЕТРЫ!C7&amp;"%"</f>
        <v>15%</v>
      </c>
      <c r="G344" s="43">
        <f>(G341+G342)*ПАРАМЕТРЫ!C7/100</f>
        <v>2714.3950050000008</v>
      </c>
      <c r="H344" s="43" t="s">
        <v>94</v>
      </c>
      <c r="I344" s="43">
        <v>1</v>
      </c>
      <c r="J344" s="41" t="s">
        <v>11</v>
      </c>
      <c r="K344" s="41" t="s">
        <v>439</v>
      </c>
    </row>
    <row r="345" spans="1:11" ht="25.5" customHeight="1" thickBot="1" x14ac:dyDescent="0.3">
      <c r="A345" s="53" t="str">
        <f>D345</f>
        <v>КОМПЛЕКТ 46.  ЯУО (ЯУО9601-3474-IP65)  |  Альбом 3.4 ЭН (Наружное освещение)</v>
      </c>
      <c r="B345" s="54" t="s">
        <v>452</v>
      </c>
      <c r="C345" s="54"/>
      <c r="D345" s="54" t="s">
        <v>452</v>
      </c>
      <c r="E345" s="54"/>
      <c r="F345" s="54"/>
      <c r="G345" s="54"/>
      <c r="H345" s="54" t="s">
        <v>632</v>
      </c>
      <c r="I345" s="55">
        <v>1</v>
      </c>
      <c r="J345" s="2"/>
      <c r="K345" s="2"/>
    </row>
    <row r="346" spans="1:11" ht="25.5" customHeight="1" x14ac:dyDescent="0.25">
      <c r="A346" s="22" t="str">
        <f t="shared" ref="A346:A363" si="91">A345</f>
        <v>КОМПЛЕКТ 46.  ЯУО (ЯУО9601-3474-IP65)  |  Альбом 3.4 ЭН (Наружное освещение)</v>
      </c>
      <c r="B346" s="22" t="s">
        <v>453</v>
      </c>
      <c r="C346" s="22" t="s">
        <v>92</v>
      </c>
      <c r="D346" s="22" t="s">
        <v>454</v>
      </c>
      <c r="E346" s="21" t="s">
        <v>95</v>
      </c>
      <c r="F346" s="21" t="e">
        <f>0.6*E346</f>
        <v>#VALUE!</v>
      </c>
      <c r="G346" s="23" t="e">
        <f>F346*I346</f>
        <v>#VALUE!</v>
      </c>
      <c r="H346" s="23" t="s">
        <v>94</v>
      </c>
      <c r="I346" s="23">
        <v>1</v>
      </c>
      <c r="J346" s="22" t="s">
        <v>96</v>
      </c>
      <c r="K346" s="22" t="s">
        <v>455</v>
      </c>
    </row>
    <row r="347" spans="1:11" ht="25.5" customHeight="1" x14ac:dyDescent="0.25">
      <c r="A347" s="25" t="str">
        <f t="shared" si="91"/>
        <v>КОМПЛЕКТ 46.  ЯУО (ЯУО9601-3474-IP65)  |  Альбом 3.4 ЭН (Наружное освещение)</v>
      </c>
      <c r="B347" s="25" t="s">
        <v>456</v>
      </c>
      <c r="C347" s="25" t="s">
        <v>616</v>
      </c>
      <c r="D347" s="25" t="s">
        <v>615</v>
      </c>
      <c r="E347" s="26">
        <v>45.54</v>
      </c>
      <c r="F347" s="27">
        <f t="shared" ref="F347:F359" si="92">E347*0.3*1.33*590</f>
        <v>10720.571399999999</v>
      </c>
      <c r="G347" s="27">
        <f t="shared" ref="G347:G360" si="93">I347*F347</f>
        <v>10720.571399999999</v>
      </c>
      <c r="H347" s="27" t="s">
        <v>94</v>
      </c>
      <c r="I347" s="27">
        <v>1</v>
      </c>
      <c r="J347" s="25" t="s">
        <v>457</v>
      </c>
      <c r="K347" s="25" t="s">
        <v>455</v>
      </c>
    </row>
    <row r="348" spans="1:11" ht="25.5" customHeight="1" x14ac:dyDescent="0.25">
      <c r="A348" s="29" t="str">
        <f t="shared" si="91"/>
        <v>КОМПЛЕКТ 46.  ЯУО (ЯУО9601-3474-IP65)  |  Альбом 3.4 ЭН (Наружное освещение)</v>
      </c>
      <c r="B348" s="29" t="s">
        <v>458</v>
      </c>
      <c r="C348" s="29" t="s">
        <v>606</v>
      </c>
      <c r="D348" s="29" t="s">
        <v>605</v>
      </c>
      <c r="E348" s="30">
        <v>36.42</v>
      </c>
      <c r="F348" s="27">
        <f t="shared" si="92"/>
        <v>8573.6322000000018</v>
      </c>
      <c r="G348" s="31">
        <f t="shared" si="93"/>
        <v>17147.264400000004</v>
      </c>
      <c r="H348" s="31" t="s">
        <v>94</v>
      </c>
      <c r="I348" s="31">
        <v>2</v>
      </c>
      <c r="J348" s="29" t="s">
        <v>459</v>
      </c>
      <c r="K348" s="29" t="s">
        <v>455</v>
      </c>
    </row>
    <row r="349" spans="1:11" ht="25.5" customHeight="1" x14ac:dyDescent="0.25">
      <c r="A349" s="25" t="str">
        <f t="shared" si="91"/>
        <v>КОМПЛЕКТ 46.  ЯУО (ЯУО9601-3474-IP65)  |  Альбом 3.4 ЭН (Наружное освещение)</v>
      </c>
      <c r="B349" s="25" t="s">
        <v>460</v>
      </c>
      <c r="C349" s="25" t="s">
        <v>462</v>
      </c>
      <c r="D349" s="25" t="s">
        <v>461</v>
      </c>
      <c r="E349" s="26">
        <f>ПАРАМЕТРЫ!C17</f>
        <v>48.51</v>
      </c>
      <c r="F349" s="27">
        <f t="shared" si="92"/>
        <v>11419.739100000001</v>
      </c>
      <c r="G349" s="27">
        <f t="shared" si="93"/>
        <v>57098.695500000002</v>
      </c>
      <c r="H349" s="27" t="s">
        <v>94</v>
      </c>
      <c r="I349" s="27">
        <v>5</v>
      </c>
      <c r="J349" s="25" t="s">
        <v>463</v>
      </c>
      <c r="K349" s="25" t="s">
        <v>455</v>
      </c>
    </row>
    <row r="350" spans="1:11" ht="25.5" customHeight="1" x14ac:dyDescent="0.25">
      <c r="A350" s="29" t="str">
        <f t="shared" si="91"/>
        <v>КОМПЛЕКТ 46.  ЯУО (ЯУО9601-3474-IP65)  |  Альбом 3.4 ЭН (Наружное освещение)</v>
      </c>
      <c r="B350" s="29" t="s">
        <v>464</v>
      </c>
      <c r="C350" s="29" t="s">
        <v>617</v>
      </c>
      <c r="D350" s="29" t="s">
        <v>618</v>
      </c>
      <c r="E350" s="30">
        <f>ПАРАМЕТРЫ!C42</f>
        <v>14.53</v>
      </c>
      <c r="F350" s="27">
        <f t="shared" si="92"/>
        <v>3420.5073000000002</v>
      </c>
      <c r="G350" s="31">
        <f t="shared" si="93"/>
        <v>3420.5073000000002</v>
      </c>
      <c r="H350" s="31" t="s">
        <v>94</v>
      </c>
      <c r="I350" s="31">
        <v>1</v>
      </c>
      <c r="J350" s="29" t="s">
        <v>465</v>
      </c>
      <c r="K350" s="29" t="s">
        <v>455</v>
      </c>
    </row>
    <row r="351" spans="1:11" ht="25.5" customHeight="1" x14ac:dyDescent="0.25">
      <c r="A351" s="29" t="str">
        <f t="shared" si="91"/>
        <v>КОМПЛЕКТ 46.  ЯУО (ЯУО9601-3474-IP65)  |  Альбом 3.4 ЭН (Наружное освещение)</v>
      </c>
      <c r="B351" s="29" t="s">
        <v>442</v>
      </c>
      <c r="C351" s="29" t="s">
        <v>560</v>
      </c>
      <c r="D351" s="29" t="s">
        <v>561</v>
      </c>
      <c r="E351" s="30">
        <f>ПАРАМЕТРЫ!C43</f>
        <v>122.9</v>
      </c>
      <c r="F351" s="27">
        <f t="shared" si="92"/>
        <v>28931.889000000003</v>
      </c>
      <c r="G351" s="31">
        <f t="shared" si="93"/>
        <v>28931.889000000003</v>
      </c>
      <c r="H351" s="31" t="s">
        <v>94</v>
      </c>
      <c r="I351" s="31">
        <v>1</v>
      </c>
      <c r="J351" s="29"/>
      <c r="K351" s="29" t="s">
        <v>455</v>
      </c>
    </row>
    <row r="352" spans="1:11" ht="25.5" customHeight="1" x14ac:dyDescent="0.25">
      <c r="A352" s="29" t="str">
        <f t="shared" si="91"/>
        <v>КОМПЛЕКТ 46.  ЯУО (ЯУО9601-3474-IP65)  |  Альбом 3.4 ЭН (Наружное освещение)</v>
      </c>
      <c r="B352" s="29" t="s">
        <v>442</v>
      </c>
      <c r="C352" s="29" t="s">
        <v>563</v>
      </c>
      <c r="D352" s="29" t="s">
        <v>562</v>
      </c>
      <c r="E352" s="30">
        <f>ПАРАМЕТРЫ!C44</f>
        <v>49.37</v>
      </c>
      <c r="F352" s="27">
        <f t="shared" si="92"/>
        <v>11622.191699999999</v>
      </c>
      <c r="G352" s="31">
        <f t="shared" si="93"/>
        <v>11622.191699999999</v>
      </c>
      <c r="H352" s="31" t="s">
        <v>94</v>
      </c>
      <c r="I352" s="31">
        <v>1</v>
      </c>
      <c r="J352" s="29"/>
      <c r="K352" s="29" t="s">
        <v>455</v>
      </c>
    </row>
    <row r="353" spans="1:12" ht="25.5" customHeight="1" x14ac:dyDescent="0.25">
      <c r="A353" s="29" t="str">
        <f t="shared" si="91"/>
        <v>КОМПЛЕКТ 46.  ЯУО (ЯУО9601-3474-IP65)  |  Альбом 3.4 ЭН (Наружное освещение)</v>
      </c>
      <c r="B353" s="29" t="s">
        <v>442</v>
      </c>
      <c r="C353" s="29" t="s">
        <v>567</v>
      </c>
      <c r="D353" s="29" t="s">
        <v>565</v>
      </c>
      <c r="E353" s="30">
        <f>ПАРАМЕТРЫ!C45</f>
        <v>6.87</v>
      </c>
      <c r="F353" s="27">
        <f t="shared" si="92"/>
        <v>1617.2667000000001</v>
      </c>
      <c r="G353" s="31">
        <f t="shared" si="93"/>
        <v>1617.2667000000001</v>
      </c>
      <c r="H353" s="31" t="s">
        <v>94</v>
      </c>
      <c r="I353" s="31">
        <v>1</v>
      </c>
      <c r="J353" s="29"/>
      <c r="K353" s="29" t="s">
        <v>455</v>
      </c>
    </row>
    <row r="354" spans="1:12" ht="25.5" customHeight="1" x14ac:dyDescent="0.25">
      <c r="A354" s="29" t="str">
        <f t="shared" si="91"/>
        <v>КОМПЛЕКТ 46.  ЯУО (ЯУО9601-3474-IP65)  |  Альбом 3.4 ЭН (Наружное освещение)</v>
      </c>
      <c r="B354" s="29" t="s">
        <v>442</v>
      </c>
      <c r="C354" s="29" t="s">
        <v>571</v>
      </c>
      <c r="D354" s="29" t="s">
        <v>570</v>
      </c>
      <c r="E354" s="30">
        <f>ПАРАМЕТРЫ!C46</f>
        <v>6.25</v>
      </c>
      <c r="F354" s="27">
        <f t="shared" si="92"/>
        <v>1471.3125000000002</v>
      </c>
      <c r="G354" s="31">
        <f t="shared" si="93"/>
        <v>1471.3125000000002</v>
      </c>
      <c r="H354" s="31" t="s">
        <v>94</v>
      </c>
      <c r="I354" s="31">
        <v>1</v>
      </c>
      <c r="J354" s="29"/>
      <c r="K354" s="29" t="s">
        <v>455</v>
      </c>
    </row>
    <row r="355" spans="1:12" ht="25.5" customHeight="1" x14ac:dyDescent="0.25">
      <c r="A355" s="29" t="str">
        <f t="shared" si="91"/>
        <v>КОМПЛЕКТ 46.  ЯУО (ЯУО9601-3474-IP65)  |  Альбом 3.4 ЭН (Наружное освещение)</v>
      </c>
      <c r="B355" s="29" t="s">
        <v>442</v>
      </c>
      <c r="C355" s="29" t="s">
        <v>575</v>
      </c>
      <c r="D355" s="29" t="s">
        <v>574</v>
      </c>
      <c r="E355" s="30">
        <f>ПАРАМЕТРЫ!C47</f>
        <v>6.25</v>
      </c>
      <c r="F355" s="27">
        <f t="shared" si="92"/>
        <v>1471.3125000000002</v>
      </c>
      <c r="G355" s="31">
        <f t="shared" si="93"/>
        <v>1471.3125000000002</v>
      </c>
      <c r="H355" s="31" t="s">
        <v>94</v>
      </c>
      <c r="I355" s="31">
        <v>1</v>
      </c>
      <c r="J355" s="29"/>
      <c r="K355" s="29" t="s">
        <v>455</v>
      </c>
    </row>
    <row r="356" spans="1:12" ht="25.5" customHeight="1" x14ac:dyDescent="0.25">
      <c r="A356" s="29" t="str">
        <f t="shared" si="91"/>
        <v>КОМПЛЕКТ 46.  ЯУО (ЯУО9601-3474-IP65)  |  Альбом 3.4 ЭН (Наружное освещение)</v>
      </c>
      <c r="B356" s="29" t="s">
        <v>442</v>
      </c>
      <c r="C356" s="29" t="s">
        <v>579</v>
      </c>
      <c r="D356" s="29" t="s">
        <v>578</v>
      </c>
      <c r="E356" s="30">
        <f>ПАРАМЕТРЫ!C48</f>
        <v>9.6199999999999992</v>
      </c>
      <c r="F356" s="27">
        <f t="shared" si="92"/>
        <v>2264.6441999999997</v>
      </c>
      <c r="G356" s="31">
        <f t="shared" si="93"/>
        <v>2264.6441999999997</v>
      </c>
      <c r="H356" s="31" t="s">
        <v>94</v>
      </c>
      <c r="I356" s="31">
        <v>1</v>
      </c>
      <c r="J356" s="29"/>
      <c r="K356" s="29" t="s">
        <v>455</v>
      </c>
    </row>
    <row r="357" spans="1:12" ht="25.5" customHeight="1" x14ac:dyDescent="0.25">
      <c r="A357" s="29" t="str">
        <f t="shared" si="91"/>
        <v>КОМПЛЕКТ 46.  ЯУО (ЯУО9601-3474-IP65)  |  Альбом 3.4 ЭН (Наружное освещение)</v>
      </c>
      <c r="B357" s="29" t="s">
        <v>442</v>
      </c>
      <c r="C357" s="29" t="s">
        <v>583</v>
      </c>
      <c r="D357" s="29" t="s">
        <v>582</v>
      </c>
      <c r="E357" s="30">
        <f>ПАРАМЕТРЫ!C49</f>
        <v>87.59</v>
      </c>
      <c r="F357" s="27">
        <f t="shared" si="92"/>
        <v>20619.561900000001</v>
      </c>
      <c r="G357" s="31">
        <f t="shared" si="93"/>
        <v>41239.123800000001</v>
      </c>
      <c r="H357" s="31" t="s">
        <v>94</v>
      </c>
      <c r="I357" s="31">
        <v>2</v>
      </c>
      <c r="J357" s="29"/>
      <c r="K357" s="29" t="s">
        <v>455</v>
      </c>
    </row>
    <row r="358" spans="1:12" ht="25.5" customHeight="1" x14ac:dyDescent="0.25">
      <c r="A358" s="29" t="str">
        <f t="shared" si="91"/>
        <v>КОМПЛЕКТ 46.  ЯУО (ЯУО9601-3474-IP65)  |  Альбом 3.4 ЭН (Наружное освещение)</v>
      </c>
      <c r="B358" s="29" t="s">
        <v>442</v>
      </c>
      <c r="C358" s="29" t="s">
        <v>587</v>
      </c>
      <c r="D358" s="29" t="s">
        <v>586</v>
      </c>
      <c r="E358" s="30">
        <f>ПАРАМЕТРЫ!C50</f>
        <v>332.4</v>
      </c>
      <c r="F358" s="27">
        <f t="shared" si="92"/>
        <v>78250.283999999985</v>
      </c>
      <c r="G358" s="31">
        <f t="shared" si="93"/>
        <v>78250.283999999985</v>
      </c>
      <c r="H358" s="31" t="s">
        <v>94</v>
      </c>
      <c r="I358" s="31">
        <v>1</v>
      </c>
      <c r="J358" s="29"/>
      <c r="K358" s="29" t="s">
        <v>455</v>
      </c>
      <c r="L358" t="s">
        <v>594</v>
      </c>
    </row>
    <row r="359" spans="1:12" ht="25.5" customHeight="1" x14ac:dyDescent="0.25">
      <c r="A359" s="29" t="str">
        <f t="shared" si="91"/>
        <v>КОМПЛЕКТ 46.  ЯУО (ЯУО9601-3474-IP65)  |  Альбом 3.4 ЭН (Наружное освещение)</v>
      </c>
      <c r="B359" s="29" t="s">
        <v>442</v>
      </c>
      <c r="C359" s="29" t="s">
        <v>590</v>
      </c>
      <c r="D359" s="29" t="s">
        <v>589</v>
      </c>
      <c r="E359" s="30">
        <f>ПАРАМЕТРЫ!C51</f>
        <v>136.69999999999999</v>
      </c>
      <c r="F359" s="27">
        <f t="shared" si="92"/>
        <v>32180.547000000002</v>
      </c>
      <c r="G359" s="31">
        <f t="shared" si="93"/>
        <v>32180.547000000002</v>
      </c>
      <c r="H359" s="31" t="s">
        <v>94</v>
      </c>
      <c r="I359" s="31">
        <v>1</v>
      </c>
      <c r="J359" s="29"/>
      <c r="K359" s="29" t="s">
        <v>455</v>
      </c>
      <c r="L359" t="s">
        <v>594</v>
      </c>
    </row>
    <row r="360" spans="1:12" ht="25.5" customHeight="1" x14ac:dyDescent="0.25">
      <c r="A360" s="29" t="str">
        <f t="shared" si="91"/>
        <v>КОМПЛЕКТ 46.  ЯУО (ЯУО9601-3474-IP65)  |  Альбом 3.4 ЭН (Наружное освещение)</v>
      </c>
      <c r="B360" s="29" t="s">
        <v>442</v>
      </c>
      <c r="C360" s="29"/>
      <c r="D360" s="29" t="s">
        <v>593</v>
      </c>
      <c r="E360" s="30">
        <v>110</v>
      </c>
      <c r="F360" s="31">
        <f>E360</f>
        <v>110</v>
      </c>
      <c r="G360" s="31">
        <f t="shared" si="93"/>
        <v>220</v>
      </c>
      <c r="H360" s="31" t="s">
        <v>94</v>
      </c>
      <c r="I360" s="31">
        <v>2</v>
      </c>
      <c r="J360" s="29"/>
      <c r="K360" s="29" t="s">
        <v>455</v>
      </c>
    </row>
    <row r="361" spans="1:12" ht="25.5" customHeight="1" x14ac:dyDescent="0.25">
      <c r="A361" s="33" t="str">
        <f t="shared" si="91"/>
        <v>КОМПЛЕКТ 46.  ЯУО (ЯУО9601-3474-IP65)  |  Альбом 3.4 ЭН (Наружное освещение)</v>
      </c>
      <c r="B361" s="33" t="s">
        <v>466</v>
      </c>
      <c r="C361" s="33" t="s">
        <v>468</v>
      </c>
      <c r="D361" s="33" t="s">
        <v>467</v>
      </c>
      <c r="E361" s="32" t="s">
        <v>95</v>
      </c>
      <c r="F361" s="32" t="s">
        <v>95</v>
      </c>
      <c r="G361" s="35">
        <v>0</v>
      </c>
      <c r="H361" s="35" t="s">
        <v>94</v>
      </c>
      <c r="I361" s="35">
        <v>1</v>
      </c>
      <c r="J361" s="34" t="s">
        <v>469</v>
      </c>
      <c r="K361" s="34" t="s">
        <v>455</v>
      </c>
    </row>
    <row r="362" spans="1:12" ht="25.5" customHeight="1" x14ac:dyDescent="0.25">
      <c r="A362" s="37" t="str">
        <f t="shared" si="91"/>
        <v>КОМПЛЕКТ 46.  ЯУО (ЯУО9601-3474-IP65)  |  Альбом 3.4 ЭН (Наружное освещение)</v>
      </c>
      <c r="B362" s="37" t="s">
        <v>470</v>
      </c>
      <c r="C362" s="37"/>
      <c r="D362" s="37" t="s">
        <v>124</v>
      </c>
      <c r="E362" s="36" t="s">
        <v>95</v>
      </c>
      <c r="F362" s="38" t="str">
        <f>ПАРАМЕТРЫ!C6&amp;"%"</f>
        <v>12%</v>
      </c>
      <c r="G362" s="39">
        <f>(G347+G348+G349+G350+G351+G352+G353+G355+G354+G356+G357+G358+G359+G360+G361)*ПАРАМЕТРЫ!C6/100</f>
        <v>34518.673199999997</v>
      </c>
      <c r="H362" s="39" t="s">
        <v>94</v>
      </c>
      <c r="I362" s="39">
        <v>1</v>
      </c>
      <c r="J362" s="37" t="s">
        <v>11</v>
      </c>
      <c r="K362" s="37" t="s">
        <v>455</v>
      </c>
    </row>
    <row r="363" spans="1:12" ht="25.5" customHeight="1" thickBot="1" x14ac:dyDescent="0.3">
      <c r="A363" s="41" t="str">
        <f t="shared" si="91"/>
        <v>КОМПЛЕКТ 46.  ЯУО (ЯУО9601-3474-IP65)  |  Альбом 3.4 ЭН (Наружное освещение)</v>
      </c>
      <c r="B363" s="41" t="s">
        <v>471</v>
      </c>
      <c r="C363" s="41"/>
      <c r="D363" s="41" t="s">
        <v>126</v>
      </c>
      <c r="E363" s="40" t="s">
        <v>95</v>
      </c>
      <c r="F363" s="42" t="str">
        <f>ПАРАМЕТРЫ!C7&amp;"%"</f>
        <v>15%</v>
      </c>
      <c r="G363" s="43">
        <f>(G347+G348+G349+G350+G361+G360+G359+G358+G357+G356+G355+G354+G353+G352+G351)*ПАРАМЕТРЫ!C7/100</f>
        <v>43148.341499999995</v>
      </c>
      <c r="H363" s="43" t="s">
        <v>94</v>
      </c>
      <c r="I363" s="43">
        <v>1</v>
      </c>
      <c r="J363" s="41" t="s">
        <v>11</v>
      </c>
      <c r="K363" s="41" t="s">
        <v>455</v>
      </c>
    </row>
    <row r="364" spans="1:12" ht="36" customHeight="1" thickBot="1" x14ac:dyDescent="0.3">
      <c r="A364" s="53" t="str">
        <f>D364</f>
        <v>КОМПЛЕКТ 47.  ЩР Наружного освещения (Atlantic IP66)  |  Альбом 3.4 ЭН (Наружное освещение)</v>
      </c>
      <c r="B364" s="54" t="s">
        <v>472</v>
      </c>
      <c r="C364" s="54"/>
      <c r="D364" s="54" t="s">
        <v>472</v>
      </c>
      <c r="E364" s="54"/>
      <c r="F364" s="54"/>
      <c r="G364" s="54"/>
      <c r="H364" s="54" t="s">
        <v>632</v>
      </c>
      <c r="I364" s="55">
        <v>1</v>
      </c>
      <c r="J364" s="2"/>
      <c r="K364" s="2"/>
    </row>
    <row r="365" spans="1:12" ht="25.5" customHeight="1" x14ac:dyDescent="0.25">
      <c r="A365" s="22" t="str">
        <f t="shared" ref="A365:A369" si="94">A364</f>
        <v>КОМПЛЕКТ 47.  ЩР Наружного освещения (Atlantic IP66)  |  Альбом 3.4 ЭН (Наружное освещение)</v>
      </c>
      <c r="B365" s="22" t="s">
        <v>473</v>
      </c>
      <c r="C365" s="22" t="s">
        <v>92</v>
      </c>
      <c r="D365" s="22" t="s">
        <v>474</v>
      </c>
      <c r="E365" s="21">
        <v>60000</v>
      </c>
      <c r="F365" s="21">
        <f>0.6*E365</f>
        <v>36000</v>
      </c>
      <c r="G365" s="23">
        <f>F365*I365</f>
        <v>36000</v>
      </c>
      <c r="H365" s="23" t="s">
        <v>94</v>
      </c>
      <c r="I365" s="23">
        <v>1</v>
      </c>
      <c r="J365" s="22" t="s">
        <v>96</v>
      </c>
      <c r="K365" s="22" t="s">
        <v>455</v>
      </c>
    </row>
    <row r="366" spans="1:12" ht="25.5" customHeight="1" x14ac:dyDescent="0.25">
      <c r="A366" s="25" t="str">
        <f t="shared" si="94"/>
        <v>КОМПЛЕКТ 47.  ЩР Наружного освещения (Atlantic IP66)  |  Альбом 3.4 ЭН (Наружное освещение)</v>
      </c>
      <c r="B366" s="25" t="s">
        <v>475</v>
      </c>
      <c r="C366" s="25" t="s">
        <v>149</v>
      </c>
      <c r="D366" s="25" t="s">
        <v>148</v>
      </c>
      <c r="E366" s="26">
        <f>ПАРАМЕТРЫ!C27</f>
        <v>36.68</v>
      </c>
      <c r="F366" s="27">
        <f t="shared" ref="F366:F367" si="95">E366*0.3*1.33*590</f>
        <v>8634.8387999999995</v>
      </c>
      <c r="G366" s="27">
        <f>I366*F366</f>
        <v>8634.8387999999995</v>
      </c>
      <c r="H366" s="27" t="s">
        <v>94</v>
      </c>
      <c r="I366" s="27">
        <v>1</v>
      </c>
      <c r="J366" s="25" t="s">
        <v>476</v>
      </c>
      <c r="K366" s="25" t="s">
        <v>455</v>
      </c>
    </row>
    <row r="367" spans="1:12" ht="25.5" customHeight="1" x14ac:dyDescent="0.25">
      <c r="A367" s="29" t="str">
        <f t="shared" si="94"/>
        <v>КОМПЛЕКТ 47.  ЩР Наружного освещения (Atlantic IP66)  |  Альбом 3.4 ЭН (Наружное освещение)</v>
      </c>
      <c r="B367" s="29" t="s">
        <v>477</v>
      </c>
      <c r="C367" s="29" t="s">
        <v>462</v>
      </c>
      <c r="D367" s="29" t="s">
        <v>461</v>
      </c>
      <c r="E367" s="30">
        <f>ПАРАМЕТРЫ!C17</f>
        <v>48.51</v>
      </c>
      <c r="F367" s="27">
        <f t="shared" si="95"/>
        <v>11419.739100000001</v>
      </c>
      <c r="G367" s="31">
        <f>I367*F367</f>
        <v>91357.912800000006</v>
      </c>
      <c r="H367" s="31" t="s">
        <v>94</v>
      </c>
      <c r="I367" s="31">
        <v>8</v>
      </c>
      <c r="J367" s="29" t="s">
        <v>478</v>
      </c>
      <c r="K367" s="29" t="s">
        <v>455</v>
      </c>
    </row>
    <row r="368" spans="1:12" ht="25.5" customHeight="1" x14ac:dyDescent="0.25">
      <c r="A368" s="37" t="str">
        <f t="shared" si="94"/>
        <v>КОМПЛЕКТ 47.  ЩР Наружного освещения (Atlantic IP66)  |  Альбом 3.4 ЭН (Наружное освещение)</v>
      </c>
      <c r="B368" s="37" t="s">
        <v>479</v>
      </c>
      <c r="C368" s="37"/>
      <c r="D368" s="37" t="s">
        <v>124</v>
      </c>
      <c r="E368" s="36" t="s">
        <v>95</v>
      </c>
      <c r="F368" s="38" t="str">
        <f>ПАРАМЕТРЫ!C6&amp;"%"</f>
        <v>12%</v>
      </c>
      <c r="G368" s="39">
        <f>(G366+G367)*ПАРАМЕТРЫ!C6/100</f>
        <v>11999.130192000001</v>
      </c>
      <c r="H368" s="39" t="s">
        <v>94</v>
      </c>
      <c r="I368" s="39">
        <v>1</v>
      </c>
      <c r="J368" s="37" t="s">
        <v>11</v>
      </c>
      <c r="K368" s="37" t="s">
        <v>455</v>
      </c>
    </row>
    <row r="369" spans="1:12" ht="25.5" customHeight="1" thickBot="1" x14ac:dyDescent="0.3">
      <c r="A369" s="41" t="str">
        <f t="shared" si="94"/>
        <v>КОМПЛЕКТ 47.  ЩР Наружного освещения (Atlantic IP66)  |  Альбом 3.4 ЭН (Наружное освещение)</v>
      </c>
      <c r="B369" s="41" t="s">
        <v>480</v>
      </c>
      <c r="C369" s="41"/>
      <c r="D369" s="41" t="s">
        <v>126</v>
      </c>
      <c r="E369" s="40" t="s">
        <v>95</v>
      </c>
      <c r="F369" s="42" t="str">
        <f>ПАРАМЕТРЫ!C7&amp;"%"</f>
        <v>15%</v>
      </c>
      <c r="G369" s="43">
        <f>(G366+G367)*ПАРАМЕТРЫ!C7/100</f>
        <v>14998.91274</v>
      </c>
      <c r="H369" s="43" t="s">
        <v>94</v>
      </c>
      <c r="I369" s="43">
        <v>1</v>
      </c>
      <c r="J369" s="41" t="s">
        <v>11</v>
      </c>
      <c r="K369" s="41" t="s">
        <v>455</v>
      </c>
    </row>
    <row r="370" spans="1:12" ht="48" customHeight="1" thickBot="1" x14ac:dyDescent="0.3">
      <c r="A370" s="53" t="str">
        <f>D370</f>
        <v>КОМПЛЕКТ 48.  ЯУО-КОНЦ.ЗАЛ (ЯУО9601-3474-IP31)  |  Альбом 7.3 ФО (Фасадная подсветка)</v>
      </c>
      <c r="B370" s="54" t="s">
        <v>482</v>
      </c>
      <c r="C370" s="54"/>
      <c r="D370" s="54" t="s">
        <v>482</v>
      </c>
      <c r="E370" s="54"/>
      <c r="F370" s="54"/>
      <c r="G370" s="54"/>
      <c r="H370" s="54" t="s">
        <v>632</v>
      </c>
      <c r="I370" s="55">
        <v>1</v>
      </c>
      <c r="J370" s="2"/>
      <c r="K370" s="2"/>
    </row>
    <row r="371" spans="1:12" ht="25.5" customHeight="1" x14ac:dyDescent="0.25">
      <c r="A371" s="22" t="str">
        <f t="shared" ref="A371:A388" si="96">A370</f>
        <v>КОМПЛЕКТ 48.  ЯУО-КОНЦ.ЗАЛ (ЯУО9601-3474-IP31)  |  Альбом 7.3 ФО (Фасадная подсветка)</v>
      </c>
      <c r="B371" s="22" t="s">
        <v>483</v>
      </c>
      <c r="C371" s="22" t="s">
        <v>92</v>
      </c>
      <c r="D371" s="22" t="s">
        <v>484</v>
      </c>
      <c r="E371" s="21" t="s">
        <v>95</v>
      </c>
      <c r="F371" s="21" t="e">
        <f>0.6*E371</f>
        <v>#VALUE!</v>
      </c>
      <c r="G371" s="23" t="e">
        <f>F371*I371</f>
        <v>#VALUE!</v>
      </c>
      <c r="H371" s="23" t="s">
        <v>94</v>
      </c>
      <c r="I371" s="23">
        <v>1</v>
      </c>
      <c r="J371" s="22" t="s">
        <v>96</v>
      </c>
      <c r="K371" s="22" t="s">
        <v>485</v>
      </c>
    </row>
    <row r="372" spans="1:12" ht="25.5" customHeight="1" x14ac:dyDescent="0.25">
      <c r="A372" s="25" t="str">
        <f t="shared" si="96"/>
        <v>КОМПЛЕКТ 48.  ЯУО-КОНЦ.ЗАЛ (ЯУО9601-3474-IP31)  |  Альбом 7.3 ФО (Фасадная подсветка)</v>
      </c>
      <c r="B372" s="25" t="s">
        <v>456</v>
      </c>
      <c r="C372" s="25" t="s">
        <v>616</v>
      </c>
      <c r="D372" s="25" t="s">
        <v>615</v>
      </c>
      <c r="E372" s="26">
        <v>45.54</v>
      </c>
      <c r="F372" s="27">
        <f t="shared" ref="F372:F383" si="97">E372*0.3*1.33*590</f>
        <v>10720.571399999999</v>
      </c>
      <c r="G372" s="27">
        <f t="shared" ref="G372:G384" si="98">I372*F372</f>
        <v>10720.571399999999</v>
      </c>
      <c r="H372" s="27" t="s">
        <v>94</v>
      </c>
      <c r="I372" s="27">
        <v>1</v>
      </c>
      <c r="J372" s="25" t="s">
        <v>457</v>
      </c>
      <c r="K372" s="25" t="s">
        <v>455</v>
      </c>
    </row>
    <row r="373" spans="1:12" ht="25.5" customHeight="1" x14ac:dyDescent="0.25">
      <c r="A373" s="29" t="str">
        <f t="shared" si="96"/>
        <v>КОМПЛЕКТ 48.  ЯУО-КОНЦ.ЗАЛ (ЯУО9601-3474-IP31)  |  Альбом 7.3 ФО (Фасадная подсветка)</v>
      </c>
      <c r="B373" s="29" t="s">
        <v>458</v>
      </c>
      <c r="C373" s="29" t="s">
        <v>606</v>
      </c>
      <c r="D373" s="29" t="s">
        <v>605</v>
      </c>
      <c r="E373" s="30">
        <v>36.42</v>
      </c>
      <c r="F373" s="27">
        <f t="shared" si="97"/>
        <v>8573.6322000000018</v>
      </c>
      <c r="G373" s="31">
        <f t="shared" si="98"/>
        <v>42868.161000000007</v>
      </c>
      <c r="H373" s="31" t="s">
        <v>94</v>
      </c>
      <c r="I373" s="31">
        <v>5</v>
      </c>
      <c r="J373" s="29" t="s">
        <v>459</v>
      </c>
      <c r="K373" s="29" t="s">
        <v>455</v>
      </c>
    </row>
    <row r="374" spans="1:12" ht="25.5" customHeight="1" x14ac:dyDescent="0.25">
      <c r="A374" s="29" t="str">
        <f t="shared" si="96"/>
        <v>КОМПЛЕКТ 48.  ЯУО-КОНЦ.ЗАЛ (ЯУО9601-3474-IP31)  |  Альбом 7.3 ФО (Фасадная подсветка)</v>
      </c>
      <c r="B374" s="29" t="s">
        <v>464</v>
      </c>
      <c r="C374" s="29" t="s">
        <v>617</v>
      </c>
      <c r="D374" s="29" t="s">
        <v>618</v>
      </c>
      <c r="E374" s="30">
        <f>ПАРАМЕТРЫ!C42</f>
        <v>14.53</v>
      </c>
      <c r="F374" s="27">
        <f t="shared" si="97"/>
        <v>3420.5073000000002</v>
      </c>
      <c r="G374" s="31">
        <f t="shared" si="98"/>
        <v>3420.5073000000002</v>
      </c>
      <c r="H374" s="31" t="s">
        <v>94</v>
      </c>
      <c r="I374" s="31">
        <v>1</v>
      </c>
      <c r="J374" s="29" t="s">
        <v>465</v>
      </c>
      <c r="K374" s="29" t="s">
        <v>455</v>
      </c>
    </row>
    <row r="375" spans="1:12" ht="25.5" customHeight="1" x14ac:dyDescent="0.25">
      <c r="A375" s="29" t="str">
        <f t="shared" si="96"/>
        <v>КОМПЛЕКТ 48.  ЯУО-КОНЦ.ЗАЛ (ЯУО9601-3474-IP31)  |  Альбом 7.3 ФО (Фасадная подсветка)</v>
      </c>
      <c r="B375" s="29" t="s">
        <v>442</v>
      </c>
      <c r="C375" s="29" t="s">
        <v>560</v>
      </c>
      <c r="D375" s="29" t="s">
        <v>561</v>
      </c>
      <c r="E375" s="30">
        <f>ПАРАМЕТРЫ!C43</f>
        <v>122.9</v>
      </c>
      <c r="F375" s="27">
        <f t="shared" si="97"/>
        <v>28931.889000000003</v>
      </c>
      <c r="G375" s="31">
        <f t="shared" si="98"/>
        <v>57863.778000000006</v>
      </c>
      <c r="H375" s="31" t="s">
        <v>94</v>
      </c>
      <c r="I375" s="31">
        <v>2</v>
      </c>
      <c r="J375" s="29"/>
      <c r="K375" s="29" t="s">
        <v>455</v>
      </c>
    </row>
    <row r="376" spans="1:12" ht="25.5" customHeight="1" x14ac:dyDescent="0.25">
      <c r="A376" s="29" t="str">
        <f t="shared" si="96"/>
        <v>КОМПЛЕКТ 48.  ЯУО-КОНЦ.ЗАЛ (ЯУО9601-3474-IP31)  |  Альбом 7.3 ФО (Фасадная подсветка)</v>
      </c>
      <c r="B376" s="29" t="s">
        <v>442</v>
      </c>
      <c r="C376" s="29" t="s">
        <v>563</v>
      </c>
      <c r="D376" s="29" t="s">
        <v>562</v>
      </c>
      <c r="E376" s="30">
        <f>ПАРАМЕТРЫ!C44</f>
        <v>49.37</v>
      </c>
      <c r="F376" s="27">
        <f t="shared" si="97"/>
        <v>11622.191699999999</v>
      </c>
      <c r="G376" s="31">
        <f t="shared" si="98"/>
        <v>11622.191699999999</v>
      </c>
      <c r="H376" s="31" t="s">
        <v>94</v>
      </c>
      <c r="I376" s="31">
        <v>1</v>
      </c>
      <c r="J376" s="29"/>
      <c r="K376" s="29" t="s">
        <v>455</v>
      </c>
    </row>
    <row r="377" spans="1:12" ht="25.5" customHeight="1" x14ac:dyDescent="0.25">
      <c r="A377" s="29" t="str">
        <f t="shared" si="96"/>
        <v>КОМПЛЕКТ 48.  ЯУО-КОНЦ.ЗАЛ (ЯУО9601-3474-IP31)  |  Альбом 7.3 ФО (Фасадная подсветка)</v>
      </c>
      <c r="B377" s="29" t="s">
        <v>442</v>
      </c>
      <c r="C377" s="29" t="s">
        <v>567</v>
      </c>
      <c r="D377" s="29" t="s">
        <v>565</v>
      </c>
      <c r="E377" s="30">
        <f>ПАРАМЕТРЫ!C45</f>
        <v>6.87</v>
      </c>
      <c r="F377" s="27">
        <f t="shared" si="97"/>
        <v>1617.2667000000001</v>
      </c>
      <c r="G377" s="31">
        <f t="shared" si="98"/>
        <v>1617.2667000000001</v>
      </c>
      <c r="H377" s="31" t="s">
        <v>94</v>
      </c>
      <c r="I377" s="31">
        <v>1</v>
      </c>
      <c r="J377" s="29"/>
      <c r="K377" s="29" t="s">
        <v>455</v>
      </c>
    </row>
    <row r="378" spans="1:12" ht="25.5" customHeight="1" x14ac:dyDescent="0.25">
      <c r="A378" s="29" t="str">
        <f t="shared" si="96"/>
        <v>КОМПЛЕКТ 48.  ЯУО-КОНЦ.ЗАЛ (ЯУО9601-3474-IP31)  |  Альбом 7.3 ФО (Фасадная подсветка)</v>
      </c>
      <c r="B378" s="29" t="s">
        <v>442</v>
      </c>
      <c r="C378" s="29" t="s">
        <v>571</v>
      </c>
      <c r="D378" s="29" t="s">
        <v>570</v>
      </c>
      <c r="E378" s="30">
        <f>ПАРАМЕТРЫ!C46</f>
        <v>6.25</v>
      </c>
      <c r="F378" s="27">
        <f t="shared" si="97"/>
        <v>1471.3125000000002</v>
      </c>
      <c r="G378" s="31">
        <f t="shared" si="98"/>
        <v>1471.3125000000002</v>
      </c>
      <c r="H378" s="31" t="s">
        <v>94</v>
      </c>
      <c r="I378" s="31">
        <v>1</v>
      </c>
      <c r="J378" s="29"/>
      <c r="K378" s="29" t="s">
        <v>455</v>
      </c>
    </row>
    <row r="379" spans="1:12" ht="25.5" customHeight="1" x14ac:dyDescent="0.25">
      <c r="A379" s="29" t="str">
        <f t="shared" si="96"/>
        <v>КОМПЛЕКТ 48.  ЯУО-КОНЦ.ЗАЛ (ЯУО9601-3474-IP31)  |  Альбом 7.3 ФО (Фасадная подсветка)</v>
      </c>
      <c r="B379" s="29" t="s">
        <v>442</v>
      </c>
      <c r="C379" s="29" t="s">
        <v>575</v>
      </c>
      <c r="D379" s="29" t="s">
        <v>574</v>
      </c>
      <c r="E379" s="30">
        <f>ПАРАМЕТРЫ!C47</f>
        <v>6.25</v>
      </c>
      <c r="F379" s="27">
        <f t="shared" si="97"/>
        <v>1471.3125000000002</v>
      </c>
      <c r="G379" s="31">
        <f t="shared" si="98"/>
        <v>1471.3125000000002</v>
      </c>
      <c r="H379" s="31" t="s">
        <v>94</v>
      </c>
      <c r="I379" s="31">
        <v>1</v>
      </c>
      <c r="J379" s="29"/>
      <c r="K379" s="29" t="s">
        <v>455</v>
      </c>
    </row>
    <row r="380" spans="1:12" ht="25.5" customHeight="1" x14ac:dyDescent="0.25">
      <c r="A380" s="29" t="str">
        <f t="shared" si="96"/>
        <v>КОМПЛЕКТ 48.  ЯУО-КОНЦ.ЗАЛ (ЯУО9601-3474-IP31)  |  Альбом 7.3 ФО (Фасадная подсветка)</v>
      </c>
      <c r="B380" s="29" t="s">
        <v>442</v>
      </c>
      <c r="C380" s="29" t="s">
        <v>579</v>
      </c>
      <c r="D380" s="29" t="s">
        <v>578</v>
      </c>
      <c r="E380" s="30">
        <f>ПАРАМЕТРЫ!C48</f>
        <v>9.6199999999999992</v>
      </c>
      <c r="F380" s="27">
        <f t="shared" si="97"/>
        <v>2264.6441999999997</v>
      </c>
      <c r="G380" s="31">
        <f t="shared" si="98"/>
        <v>2264.6441999999997</v>
      </c>
      <c r="H380" s="31" t="s">
        <v>94</v>
      </c>
      <c r="I380" s="31">
        <v>1</v>
      </c>
      <c r="J380" s="29"/>
      <c r="K380" s="29" t="s">
        <v>455</v>
      </c>
    </row>
    <row r="381" spans="1:12" ht="25.5" customHeight="1" x14ac:dyDescent="0.25">
      <c r="A381" s="29" t="str">
        <f t="shared" si="96"/>
        <v>КОМПЛЕКТ 48.  ЯУО-КОНЦ.ЗАЛ (ЯУО9601-3474-IP31)  |  Альбом 7.3 ФО (Фасадная подсветка)</v>
      </c>
      <c r="B381" s="29" t="s">
        <v>442</v>
      </c>
      <c r="C381" s="29" t="s">
        <v>583</v>
      </c>
      <c r="D381" s="29" t="s">
        <v>582</v>
      </c>
      <c r="E381" s="30">
        <f>ПАРАМЕТРЫ!C49</f>
        <v>87.59</v>
      </c>
      <c r="F381" s="27">
        <f t="shared" si="97"/>
        <v>20619.561900000001</v>
      </c>
      <c r="G381" s="31">
        <f t="shared" si="98"/>
        <v>41239.123800000001</v>
      </c>
      <c r="H381" s="31" t="s">
        <v>94</v>
      </c>
      <c r="I381" s="31">
        <v>2</v>
      </c>
      <c r="J381" s="29"/>
      <c r="K381" s="29" t="s">
        <v>455</v>
      </c>
    </row>
    <row r="382" spans="1:12" ht="25.5" customHeight="1" x14ac:dyDescent="0.25">
      <c r="A382" s="29" t="str">
        <f t="shared" si="96"/>
        <v>КОМПЛЕКТ 48.  ЯУО-КОНЦ.ЗАЛ (ЯУО9601-3474-IP31)  |  Альбом 7.3 ФО (Фасадная подсветка)</v>
      </c>
      <c r="B382" s="29" t="s">
        <v>442</v>
      </c>
      <c r="C382" s="29" t="s">
        <v>587</v>
      </c>
      <c r="D382" s="29" t="s">
        <v>586</v>
      </c>
      <c r="E382" s="30">
        <f>ПАРАМЕТРЫ!C50</f>
        <v>332.4</v>
      </c>
      <c r="F382" s="27">
        <f t="shared" si="97"/>
        <v>78250.283999999985</v>
      </c>
      <c r="G382" s="31">
        <f t="shared" si="98"/>
        <v>78250.283999999985</v>
      </c>
      <c r="H382" s="31" t="s">
        <v>94</v>
      </c>
      <c r="I382" s="31">
        <v>1</v>
      </c>
      <c r="J382" s="29"/>
      <c r="K382" s="29" t="s">
        <v>455</v>
      </c>
      <c r="L382" t="s">
        <v>594</v>
      </c>
    </row>
    <row r="383" spans="1:12" ht="25.5" customHeight="1" x14ac:dyDescent="0.25">
      <c r="A383" s="29" t="str">
        <f t="shared" si="96"/>
        <v>КОМПЛЕКТ 48.  ЯУО-КОНЦ.ЗАЛ (ЯУО9601-3474-IP31)  |  Альбом 7.3 ФО (Фасадная подсветка)</v>
      </c>
      <c r="B383" s="29" t="s">
        <v>442</v>
      </c>
      <c r="C383" s="29" t="s">
        <v>590</v>
      </c>
      <c r="D383" s="29" t="s">
        <v>589</v>
      </c>
      <c r="E383" s="30">
        <f>ПАРАМЕТРЫ!C51</f>
        <v>136.69999999999999</v>
      </c>
      <c r="F383" s="27">
        <f t="shared" si="97"/>
        <v>32180.547000000002</v>
      </c>
      <c r="G383" s="31">
        <f t="shared" si="98"/>
        <v>32180.547000000002</v>
      </c>
      <c r="H383" s="31" t="s">
        <v>94</v>
      </c>
      <c r="I383" s="31">
        <v>1</v>
      </c>
      <c r="J383" s="29"/>
      <c r="K383" s="29" t="s">
        <v>455</v>
      </c>
      <c r="L383" t="s">
        <v>594</v>
      </c>
    </row>
    <row r="384" spans="1:12" ht="25.5" customHeight="1" x14ac:dyDescent="0.25">
      <c r="A384" s="29" t="str">
        <f t="shared" si="96"/>
        <v>КОМПЛЕКТ 48.  ЯУО-КОНЦ.ЗАЛ (ЯУО9601-3474-IP31)  |  Альбом 7.3 ФО (Фасадная подсветка)</v>
      </c>
      <c r="B384" s="29" t="s">
        <v>442</v>
      </c>
      <c r="C384" s="29"/>
      <c r="D384" s="29" t="s">
        <v>593</v>
      </c>
      <c r="E384" s="30">
        <v>110</v>
      </c>
      <c r="F384" s="31">
        <f>E384</f>
        <v>110</v>
      </c>
      <c r="G384" s="31">
        <f t="shared" si="98"/>
        <v>220</v>
      </c>
      <c r="H384" s="31" t="s">
        <v>94</v>
      </c>
      <c r="I384" s="31">
        <v>2</v>
      </c>
      <c r="J384" s="29"/>
      <c r="K384" s="29" t="s">
        <v>455</v>
      </c>
    </row>
    <row r="385" spans="1:11" ht="25.5" customHeight="1" x14ac:dyDescent="0.25">
      <c r="A385" s="33" t="str">
        <f t="shared" si="96"/>
        <v>КОМПЛЕКТ 48.  ЯУО-КОНЦ.ЗАЛ (ЯУО9601-3474-IP31)  |  Альбом 7.3 ФО (Фасадная подсветка)</v>
      </c>
      <c r="B385" s="33" t="s">
        <v>488</v>
      </c>
      <c r="C385" s="33" t="s">
        <v>490</v>
      </c>
      <c r="D385" s="33" t="s">
        <v>489</v>
      </c>
      <c r="E385" s="32" t="s">
        <v>95</v>
      </c>
      <c r="F385" s="32" t="s">
        <v>95</v>
      </c>
      <c r="G385" s="35">
        <v>0</v>
      </c>
      <c r="H385" s="35" t="s">
        <v>94</v>
      </c>
      <c r="I385" s="35">
        <v>1</v>
      </c>
      <c r="J385" s="34" t="s">
        <v>491</v>
      </c>
      <c r="K385" s="34" t="s">
        <v>485</v>
      </c>
    </row>
    <row r="386" spans="1:11" ht="25.5" customHeight="1" x14ac:dyDescent="0.25">
      <c r="A386" s="33" t="str">
        <f t="shared" si="96"/>
        <v>КОМПЛЕКТ 48.  ЯУО-КОНЦ.ЗАЛ (ЯУО9601-3474-IP31)  |  Альбом 7.3 ФО (Фасадная подсветка)</v>
      </c>
      <c r="B386" s="33" t="s">
        <v>492</v>
      </c>
      <c r="C386" s="33" t="s">
        <v>494</v>
      </c>
      <c r="D386" s="33" t="s">
        <v>493</v>
      </c>
      <c r="E386" s="32" t="s">
        <v>95</v>
      </c>
      <c r="F386" s="32" t="s">
        <v>95</v>
      </c>
      <c r="G386" s="35">
        <v>0</v>
      </c>
      <c r="H386" s="35" t="s">
        <v>94</v>
      </c>
      <c r="I386" s="35">
        <v>1</v>
      </c>
      <c r="J386" s="34" t="s">
        <v>495</v>
      </c>
      <c r="K386" s="34" t="s">
        <v>485</v>
      </c>
    </row>
    <row r="387" spans="1:11" ht="25.5" customHeight="1" x14ac:dyDescent="0.25">
      <c r="A387" s="37" t="str">
        <f t="shared" si="96"/>
        <v>КОМПЛЕКТ 48.  ЯУО-КОНЦ.ЗАЛ (ЯУО9601-3474-IP31)  |  Альбом 7.3 ФО (Фасадная подсветка)</v>
      </c>
      <c r="B387" s="37" t="s">
        <v>496</v>
      </c>
      <c r="C387" s="37"/>
      <c r="D387" s="37" t="s">
        <v>124</v>
      </c>
      <c r="E387" s="36" t="s">
        <v>95</v>
      </c>
      <c r="F387" s="38" t="str">
        <f>ПАРАМЕТРЫ!C6&amp;"%"</f>
        <v>12%</v>
      </c>
      <c r="G387" s="39">
        <f>(G386+G385+G384+G383+G382+G381+G380+G379+G378+G377+G376+G375+G374+G373+G372)*ПАРАМЕТРЫ!C6/100</f>
        <v>34225.164012000008</v>
      </c>
      <c r="H387" s="39" t="s">
        <v>94</v>
      </c>
      <c r="I387" s="39">
        <v>1</v>
      </c>
      <c r="J387" s="37" t="s">
        <v>11</v>
      </c>
      <c r="K387" s="37" t="s">
        <v>485</v>
      </c>
    </row>
    <row r="388" spans="1:11" ht="25.5" customHeight="1" thickBot="1" x14ac:dyDescent="0.3">
      <c r="A388" s="41" t="str">
        <f t="shared" si="96"/>
        <v>КОМПЛЕКТ 48.  ЯУО-КОНЦ.ЗАЛ (ЯУО9601-3474-IP31)  |  Альбом 7.3 ФО (Фасадная подсветка)</v>
      </c>
      <c r="B388" s="41" t="s">
        <v>497</v>
      </c>
      <c r="C388" s="41"/>
      <c r="D388" s="41" t="s">
        <v>126</v>
      </c>
      <c r="E388" s="40" t="s">
        <v>95</v>
      </c>
      <c r="F388" s="42" t="str">
        <f>ПАРАМЕТРЫ!C7&amp;"%"</f>
        <v>15%</v>
      </c>
      <c r="G388" s="43">
        <f>(G386+G385+G384+G383+G382+G381+G380+G379+G378+G377+G376+G375+G374+G373+G372)*ПАРАМЕТРЫ!C7/100</f>
        <v>42781.455015000014</v>
      </c>
      <c r="H388" s="43" t="s">
        <v>94</v>
      </c>
      <c r="I388" s="43">
        <v>1</v>
      </c>
      <c r="J388" s="41" t="s">
        <v>11</v>
      </c>
      <c r="K388" s="41" t="s">
        <v>485</v>
      </c>
    </row>
    <row r="389" spans="1:11" ht="25.5" customHeight="1" thickBot="1" x14ac:dyDescent="0.3">
      <c r="A389" s="53" t="str">
        <f>D389</f>
        <v>КОМПЛЕКТ 49.  Кц-ГРЩ1  |  Альбом 7.3 ФО (Фасадная подсветка)</v>
      </c>
      <c r="B389" s="54" t="s">
        <v>595</v>
      </c>
      <c r="C389" s="54"/>
      <c r="D389" s="54" t="s">
        <v>595</v>
      </c>
      <c r="E389" s="54"/>
      <c r="F389" s="54"/>
      <c r="G389" s="54"/>
      <c r="H389" s="54" t="s">
        <v>632</v>
      </c>
      <c r="I389" s="55">
        <v>1</v>
      </c>
      <c r="J389" s="2"/>
      <c r="K389" s="2"/>
    </row>
    <row r="390" spans="1:11" ht="25.5" customHeight="1" x14ac:dyDescent="0.25">
      <c r="A390" s="22" t="str">
        <f t="shared" ref="A390:A396" si="99">A389</f>
        <v>КОМПЛЕКТ 49.  Кц-ГРЩ1  |  Альбом 7.3 ФО (Фасадная подсветка)</v>
      </c>
      <c r="B390" s="22" t="s">
        <v>498</v>
      </c>
      <c r="C390" s="22" t="s">
        <v>92</v>
      </c>
      <c r="D390" s="22" t="s">
        <v>484</v>
      </c>
      <c r="E390" s="21" t="s">
        <v>95</v>
      </c>
      <c r="F390" s="21" t="e">
        <f>0.6*E390</f>
        <v>#VALUE!</v>
      </c>
      <c r="G390" s="23" t="e">
        <f>F390*I390</f>
        <v>#VALUE!</v>
      </c>
      <c r="H390" s="23" t="s">
        <v>94</v>
      </c>
      <c r="I390" s="23">
        <v>1</v>
      </c>
      <c r="J390" s="22" t="s">
        <v>96</v>
      </c>
      <c r="K390" s="22" t="s">
        <v>485</v>
      </c>
    </row>
    <row r="391" spans="1:11" ht="25.5" customHeight="1" x14ac:dyDescent="0.25">
      <c r="A391" s="25" t="str">
        <f t="shared" si="99"/>
        <v>КОМПЛЕКТ 49.  Кц-ГРЩ1  |  Альбом 7.3 ФО (Фасадная подсветка)</v>
      </c>
      <c r="B391" s="25" t="s">
        <v>499</v>
      </c>
      <c r="C391" s="25" t="s">
        <v>619</v>
      </c>
      <c r="D391" s="25" t="s">
        <v>620</v>
      </c>
      <c r="E391" s="26">
        <f>ПАРАМЕТРЫ!C53</f>
        <v>63.02</v>
      </c>
      <c r="F391" s="27">
        <f t="shared" ref="F391:F394" si="100">E391*0.3*1.33*590</f>
        <v>14835.538200000001</v>
      </c>
      <c r="G391" s="27">
        <f>I391*F391</f>
        <v>14835.538200000001</v>
      </c>
      <c r="H391" s="27" t="s">
        <v>94</v>
      </c>
      <c r="I391" s="27">
        <v>1</v>
      </c>
      <c r="J391" s="25" t="s">
        <v>599</v>
      </c>
      <c r="K391" s="25" t="s">
        <v>485</v>
      </c>
    </row>
    <row r="392" spans="1:11" ht="25.5" customHeight="1" x14ac:dyDescent="0.25">
      <c r="A392" s="25" t="str">
        <f t="shared" si="99"/>
        <v>КОМПЛЕКТ 49.  Кц-ГРЩ1  |  Альбом 7.3 ФО (Фасадная подсветка)</v>
      </c>
      <c r="B392" s="25" t="s">
        <v>499</v>
      </c>
      <c r="C392" s="25" t="s">
        <v>616</v>
      </c>
      <c r="D392" s="25" t="s">
        <v>615</v>
      </c>
      <c r="E392" s="26">
        <v>45.54</v>
      </c>
      <c r="F392" s="27">
        <f t="shared" si="100"/>
        <v>10720.571399999999</v>
      </c>
      <c r="G392" s="27">
        <f>I392*F392</f>
        <v>21441.142799999998</v>
      </c>
      <c r="H392" s="27" t="s">
        <v>94</v>
      </c>
      <c r="I392" s="27">
        <v>2</v>
      </c>
      <c r="J392" s="25" t="s">
        <v>486</v>
      </c>
      <c r="K392" s="25" t="s">
        <v>485</v>
      </c>
    </row>
    <row r="393" spans="1:11" ht="25.5" customHeight="1" x14ac:dyDescent="0.25">
      <c r="A393" s="29" t="str">
        <f t="shared" si="99"/>
        <v>КОМПЛЕКТ 49.  Кц-ГРЩ1  |  Альбом 7.3 ФО (Фасадная подсветка)</v>
      </c>
      <c r="B393" s="29" t="s">
        <v>500</v>
      </c>
      <c r="C393" s="29" t="s">
        <v>606</v>
      </c>
      <c r="D393" s="29" t="s">
        <v>605</v>
      </c>
      <c r="E393" s="30">
        <v>36.42</v>
      </c>
      <c r="F393" s="27">
        <f t="shared" si="100"/>
        <v>8573.6322000000018</v>
      </c>
      <c r="G393" s="31">
        <f>I393*F393</f>
        <v>8573.6322000000018</v>
      </c>
      <c r="H393" s="31" t="s">
        <v>94</v>
      </c>
      <c r="I393" s="31">
        <v>1</v>
      </c>
      <c r="J393" s="29" t="s">
        <v>487</v>
      </c>
      <c r="K393" s="29" t="s">
        <v>485</v>
      </c>
    </row>
    <row r="394" spans="1:11" ht="25.5" customHeight="1" x14ac:dyDescent="0.25">
      <c r="A394" s="29" t="str">
        <f t="shared" si="99"/>
        <v>КОМПЛЕКТ 49.  Кц-ГРЩ1  |  Альбом 7.3 ФО (Фасадная подсветка)</v>
      </c>
      <c r="B394" s="29" t="s">
        <v>523</v>
      </c>
      <c r="C394" s="29" t="s">
        <v>603</v>
      </c>
      <c r="D394" s="29" t="s">
        <v>602</v>
      </c>
      <c r="E394" s="30">
        <f>ПАРАМЕТРЫ!C55</f>
        <v>180.4</v>
      </c>
      <c r="F394" s="27">
        <f t="shared" si="100"/>
        <v>42467.964</v>
      </c>
      <c r="G394" s="31">
        <f>I394*F394</f>
        <v>84935.928</v>
      </c>
      <c r="H394" s="31" t="s">
        <v>94</v>
      </c>
      <c r="I394" s="31">
        <v>2</v>
      </c>
      <c r="J394" s="29" t="s">
        <v>507</v>
      </c>
      <c r="K394" s="29" t="s">
        <v>485</v>
      </c>
    </row>
    <row r="395" spans="1:11" ht="25.5" customHeight="1" x14ac:dyDescent="0.25">
      <c r="A395" s="37" t="str">
        <f t="shared" si="99"/>
        <v>КОМПЛЕКТ 49.  Кц-ГРЩ1  |  Альбом 7.3 ФО (Фасадная подсветка)</v>
      </c>
      <c r="B395" s="37" t="s">
        <v>501</v>
      </c>
      <c r="C395" s="37"/>
      <c r="D395" s="37" t="s">
        <v>124</v>
      </c>
      <c r="E395" s="36" t="s">
        <v>95</v>
      </c>
      <c r="F395" s="38" t="str">
        <f>ПАРАМЕТРЫ!C6&amp;"%"</f>
        <v>12%</v>
      </c>
      <c r="G395" s="39">
        <f>(G392+G393+G394+G391)*ПАРАМЕТРЫ!C6/100</f>
        <v>15574.348944000001</v>
      </c>
      <c r="H395" s="39" t="s">
        <v>94</v>
      </c>
      <c r="I395" s="39">
        <v>1</v>
      </c>
      <c r="J395" s="37" t="s">
        <v>11</v>
      </c>
      <c r="K395" s="37" t="s">
        <v>485</v>
      </c>
    </row>
    <row r="396" spans="1:11" ht="25.5" customHeight="1" thickBot="1" x14ac:dyDescent="0.3">
      <c r="A396" s="41" t="str">
        <f t="shared" si="99"/>
        <v>КОМПЛЕКТ 49.  Кц-ГРЩ1  |  Альбом 7.3 ФО (Фасадная подсветка)</v>
      </c>
      <c r="B396" s="41" t="s">
        <v>502</v>
      </c>
      <c r="C396" s="41"/>
      <c r="D396" s="41" t="s">
        <v>126</v>
      </c>
      <c r="E396" s="40" t="s">
        <v>95</v>
      </c>
      <c r="F396" s="42" t="str">
        <f>ПАРАМЕТРЫ!C7&amp;"%"</f>
        <v>15%</v>
      </c>
      <c r="G396" s="43">
        <f>(G392+G393+G394+G391)*ПАРАМЕТРЫ!C7/100</f>
        <v>19467.936180000001</v>
      </c>
      <c r="H396" s="43" t="s">
        <v>94</v>
      </c>
      <c r="I396" s="43">
        <v>1</v>
      </c>
      <c r="J396" s="41" t="s">
        <v>11</v>
      </c>
      <c r="K396" s="41" t="s">
        <v>485</v>
      </c>
    </row>
    <row r="397" spans="1:11" ht="25.5" customHeight="1" thickBot="1" x14ac:dyDescent="0.3">
      <c r="A397" s="53" t="str">
        <f>D397</f>
        <v>КОМПЛЕКТ 49.  Мз_ГРЩ1  |  Альбом 7.3 ФО (Фасадная подсветка)</v>
      </c>
      <c r="B397" s="54" t="s">
        <v>596</v>
      </c>
      <c r="C397" s="54"/>
      <c r="D397" s="54" t="s">
        <v>596</v>
      </c>
      <c r="E397" s="54"/>
      <c r="F397" s="54"/>
      <c r="G397" s="54"/>
      <c r="H397" s="54" t="s">
        <v>632</v>
      </c>
      <c r="I397" s="55">
        <v>1</v>
      </c>
      <c r="J397" s="2"/>
      <c r="K397" s="2"/>
    </row>
    <row r="398" spans="1:11" ht="25.5" customHeight="1" x14ac:dyDescent="0.25">
      <c r="A398" s="22" t="str">
        <f t="shared" ref="A398:A403" si="101">A397</f>
        <v>КОМПЛЕКТ 49.  Мз_ГРЩ1  |  Альбом 7.3 ФО (Фасадная подсветка)</v>
      </c>
      <c r="B398" s="22" t="s">
        <v>498</v>
      </c>
      <c r="C398" s="22" t="s">
        <v>92</v>
      </c>
      <c r="D398" s="22" t="s">
        <v>484</v>
      </c>
      <c r="E398" s="21" t="s">
        <v>95</v>
      </c>
      <c r="F398" s="21" t="e">
        <f>0.6*E398</f>
        <v>#VALUE!</v>
      </c>
      <c r="G398" s="23" t="e">
        <f>F398*I398</f>
        <v>#VALUE!</v>
      </c>
      <c r="H398" s="23" t="s">
        <v>94</v>
      </c>
      <c r="I398" s="23">
        <v>1</v>
      </c>
      <c r="J398" s="22" t="s">
        <v>96</v>
      </c>
      <c r="K398" s="22" t="s">
        <v>485</v>
      </c>
    </row>
    <row r="399" spans="1:11" ht="25.5" customHeight="1" x14ac:dyDescent="0.25">
      <c r="A399" s="25" t="str">
        <f t="shared" si="101"/>
        <v>КОМПЛЕКТ 49.  Мз_ГРЩ1  |  Альбом 7.3 ФО (Фасадная подсветка)</v>
      </c>
      <c r="B399" s="25" t="s">
        <v>499</v>
      </c>
      <c r="C399" s="25" t="s">
        <v>619</v>
      </c>
      <c r="D399" s="25" t="s">
        <v>620</v>
      </c>
      <c r="E399" s="26">
        <f>ПАРАМЕТРЫ!C53</f>
        <v>63.02</v>
      </c>
      <c r="F399" s="27">
        <f t="shared" ref="F399:F401" si="102">E399*0.3*1.33*590</f>
        <v>14835.538200000001</v>
      </c>
      <c r="G399" s="27">
        <f>I399*F399</f>
        <v>14835.538200000001</v>
      </c>
      <c r="H399" s="27" t="s">
        <v>94</v>
      </c>
      <c r="I399" s="27">
        <v>1</v>
      </c>
      <c r="J399" s="25" t="s">
        <v>599</v>
      </c>
      <c r="K399" s="25" t="s">
        <v>485</v>
      </c>
    </row>
    <row r="400" spans="1:11" ht="25.5" customHeight="1" x14ac:dyDescent="0.25">
      <c r="A400" s="25" t="str">
        <f t="shared" si="101"/>
        <v>КОМПЛЕКТ 49.  Мз_ГРЩ1  |  Альбом 7.3 ФО (Фасадная подсветка)</v>
      </c>
      <c r="B400" s="25" t="s">
        <v>499</v>
      </c>
      <c r="C400" s="25" t="s">
        <v>616</v>
      </c>
      <c r="D400" s="25" t="s">
        <v>615</v>
      </c>
      <c r="E400" s="26">
        <v>45.54</v>
      </c>
      <c r="F400" s="27">
        <f t="shared" si="102"/>
        <v>10720.571399999999</v>
      </c>
      <c r="G400" s="27">
        <f>I400*F400</f>
        <v>32161.714199999995</v>
      </c>
      <c r="H400" s="27" t="s">
        <v>94</v>
      </c>
      <c r="I400" s="27">
        <v>3</v>
      </c>
      <c r="J400" s="25" t="s">
        <v>486</v>
      </c>
      <c r="K400" s="25" t="s">
        <v>485</v>
      </c>
    </row>
    <row r="401" spans="1:11" ht="25.5" customHeight="1" x14ac:dyDescent="0.25">
      <c r="A401" s="29" t="str">
        <f t="shared" si="101"/>
        <v>КОМПЛЕКТ 49.  Мз_ГРЩ1  |  Альбом 7.3 ФО (Фасадная подсветка)</v>
      </c>
      <c r="B401" s="29" t="s">
        <v>500</v>
      </c>
      <c r="C401" s="29" t="s">
        <v>606</v>
      </c>
      <c r="D401" s="29" t="s">
        <v>605</v>
      </c>
      <c r="E401" s="30">
        <v>36.42</v>
      </c>
      <c r="F401" s="27">
        <f t="shared" si="102"/>
        <v>8573.6322000000018</v>
      </c>
      <c r="G401" s="31">
        <f>I401*F401</f>
        <v>17147.264400000004</v>
      </c>
      <c r="H401" s="31" t="s">
        <v>94</v>
      </c>
      <c r="I401" s="31">
        <v>2</v>
      </c>
      <c r="J401" s="29" t="s">
        <v>487</v>
      </c>
      <c r="K401" s="29" t="s">
        <v>485</v>
      </c>
    </row>
    <row r="402" spans="1:11" ht="25.5" customHeight="1" x14ac:dyDescent="0.25">
      <c r="A402" s="37" t="str">
        <f t="shared" si="101"/>
        <v>КОМПЛЕКТ 49.  Мз_ГРЩ1  |  Альбом 7.3 ФО (Фасадная подсветка)</v>
      </c>
      <c r="B402" s="37" t="s">
        <v>501</v>
      </c>
      <c r="C402" s="37"/>
      <c r="D402" s="37" t="s">
        <v>124</v>
      </c>
      <c r="E402" s="36" t="s">
        <v>95</v>
      </c>
      <c r="F402" s="38" t="str">
        <f>ПАРАМЕТРЫ!C14&amp;"%"</f>
        <v>10,77%</v>
      </c>
      <c r="G402" s="39">
        <f>(G400+G401+G399)*ПАРАМЕТРЫ!C14/100</f>
        <v>6908.3644593600002</v>
      </c>
      <c r="H402" s="39" t="s">
        <v>94</v>
      </c>
      <c r="I402" s="39">
        <v>1</v>
      </c>
      <c r="J402" s="37" t="s">
        <v>11</v>
      </c>
      <c r="K402" s="37" t="s">
        <v>485</v>
      </c>
    </row>
    <row r="403" spans="1:11" ht="25.5" customHeight="1" thickBot="1" x14ac:dyDescent="0.3">
      <c r="A403" s="41" t="str">
        <f t="shared" si="101"/>
        <v>КОМПЛЕКТ 49.  Мз_ГРЩ1  |  Альбом 7.3 ФО (Фасадная подсветка)</v>
      </c>
      <c r="B403" s="41" t="s">
        <v>502</v>
      </c>
      <c r="C403" s="41"/>
      <c r="D403" s="41" t="s">
        <v>126</v>
      </c>
      <c r="E403" s="40" t="s">
        <v>95</v>
      </c>
      <c r="F403" s="42" t="str">
        <f>ПАРАМЕТРЫ!C15&amp;"%"</f>
        <v>13,46%</v>
      </c>
      <c r="G403" s="43">
        <f>(G400+G401+G399)*ПАРАМЕТРЫ!C15/100</f>
        <v>8633.851961280001</v>
      </c>
      <c r="H403" s="43" t="s">
        <v>94</v>
      </c>
      <c r="I403" s="43">
        <v>1</v>
      </c>
      <c r="J403" s="41" t="s">
        <v>11</v>
      </c>
      <c r="K403" s="41" t="s">
        <v>485</v>
      </c>
    </row>
    <row r="404" spans="1:11" ht="25.5" customHeight="1" thickBot="1" x14ac:dyDescent="0.3">
      <c r="A404" s="53" t="str">
        <f>D404</f>
        <v>КОМПЛЕКТ 50.  ЩР-1 (ЩМП-7-0 36 УХЛ3 IP31)  |  Альбом 7.3 ФО (Фасадная подсветка)</v>
      </c>
      <c r="B404" s="54" t="s">
        <v>503</v>
      </c>
      <c r="C404" s="54"/>
      <c r="D404" s="54" t="s">
        <v>503</v>
      </c>
      <c r="E404" s="54"/>
      <c r="F404" s="54"/>
      <c r="G404" s="54"/>
      <c r="H404" s="54" t="s">
        <v>632</v>
      </c>
      <c r="I404" s="55">
        <v>1</v>
      </c>
      <c r="J404" s="2"/>
      <c r="K404" s="2"/>
    </row>
    <row r="405" spans="1:11" ht="25.5" customHeight="1" x14ac:dyDescent="0.25">
      <c r="A405" s="22" t="str">
        <f t="shared" ref="A405:A409" si="103">A404</f>
        <v>КОМПЛЕКТ 50.  ЩР-1 (ЩМП-7-0 36 УХЛ3 IP31)  |  Альбом 7.3 ФО (Фасадная подсветка)</v>
      </c>
      <c r="B405" s="22" t="s">
        <v>504</v>
      </c>
      <c r="C405" s="22" t="s">
        <v>92</v>
      </c>
      <c r="D405" s="22" t="s">
        <v>505</v>
      </c>
      <c r="E405" s="21" t="s">
        <v>95</v>
      </c>
      <c r="F405" s="21" t="e">
        <f>0.6*E405</f>
        <v>#VALUE!</v>
      </c>
      <c r="G405" s="23" t="e">
        <f>F405*I405</f>
        <v>#VALUE!</v>
      </c>
      <c r="H405" s="23" t="s">
        <v>94</v>
      </c>
      <c r="I405" s="23">
        <v>1</v>
      </c>
      <c r="J405" s="22" t="s">
        <v>96</v>
      </c>
      <c r="K405" s="22" t="s">
        <v>485</v>
      </c>
    </row>
    <row r="406" spans="1:11" ht="25.5" customHeight="1" x14ac:dyDescent="0.25">
      <c r="A406" s="25" t="str">
        <f t="shared" si="103"/>
        <v>КОМПЛЕКТ 50.  ЩР-1 (ЩМП-7-0 36 УХЛ3 IP31)  |  Альбом 7.3 ФО (Фасадная подсветка)</v>
      </c>
      <c r="B406" s="25" t="s">
        <v>506</v>
      </c>
      <c r="C406" s="25" t="s">
        <v>149</v>
      </c>
      <c r="D406" s="25" t="s">
        <v>148</v>
      </c>
      <c r="E406" s="26">
        <f>ПАРАМЕТРЫ!C27</f>
        <v>36.68</v>
      </c>
      <c r="F406" s="27">
        <f t="shared" ref="F406:F407" si="104">E406*0.3*1.33*590</f>
        <v>8634.8387999999995</v>
      </c>
      <c r="G406" s="27">
        <f>I406*F406</f>
        <v>8634.8387999999995</v>
      </c>
      <c r="H406" s="27" t="s">
        <v>94</v>
      </c>
      <c r="I406" s="27">
        <v>1</v>
      </c>
      <c r="J406" s="25" t="s">
        <v>150</v>
      </c>
      <c r="K406" s="25" t="s">
        <v>485</v>
      </c>
    </row>
    <row r="407" spans="1:11" ht="25.5" customHeight="1" x14ac:dyDescent="0.25">
      <c r="A407" s="29" t="str">
        <f t="shared" si="103"/>
        <v>КОМПЛЕКТ 50.  ЩР-1 (ЩМП-7-0 36 УХЛ3 IP31)  |  Альбом 7.3 ФО (Фасадная подсветка)</v>
      </c>
      <c r="B407" s="29" t="s">
        <v>523</v>
      </c>
      <c r="C407" s="29" t="s">
        <v>603</v>
      </c>
      <c r="D407" s="29" t="s">
        <v>602</v>
      </c>
      <c r="E407" s="30">
        <f>ПАРАМЕТРЫ!C55</f>
        <v>180.4</v>
      </c>
      <c r="F407" s="27">
        <f t="shared" si="104"/>
        <v>42467.964</v>
      </c>
      <c r="G407" s="31">
        <f>I407*F407</f>
        <v>594551.49600000004</v>
      </c>
      <c r="H407" s="31" t="s">
        <v>94</v>
      </c>
      <c r="I407" s="31">
        <v>14</v>
      </c>
      <c r="J407" s="29" t="s">
        <v>507</v>
      </c>
      <c r="K407" s="29" t="s">
        <v>485</v>
      </c>
    </row>
    <row r="408" spans="1:11" ht="25.5" customHeight="1" x14ac:dyDescent="0.25">
      <c r="A408" s="37" t="str">
        <f t="shared" si="103"/>
        <v>КОМПЛЕКТ 50.  ЩР-1 (ЩМП-7-0 36 УХЛ3 IP31)  |  Альбом 7.3 ФО (Фасадная подсветка)</v>
      </c>
      <c r="B408" s="37" t="s">
        <v>508</v>
      </c>
      <c r="C408" s="37"/>
      <c r="D408" s="37" t="s">
        <v>124</v>
      </c>
      <c r="E408" s="36" t="s">
        <v>95</v>
      </c>
      <c r="F408" s="38" t="str">
        <f>ПАРАМЕТРЫ!C6&amp;"%"</f>
        <v>12%</v>
      </c>
      <c r="G408" s="39">
        <f>(G406+G407)*ПАРАМЕТРЫ!C6/100</f>
        <v>72382.360176000002</v>
      </c>
      <c r="H408" s="39" t="s">
        <v>94</v>
      </c>
      <c r="I408" s="39">
        <v>1</v>
      </c>
      <c r="J408" s="37" t="s">
        <v>11</v>
      </c>
      <c r="K408" s="37" t="s">
        <v>485</v>
      </c>
    </row>
    <row r="409" spans="1:11" ht="25.5" customHeight="1" thickBot="1" x14ac:dyDescent="0.3">
      <c r="A409" s="41" t="str">
        <f t="shared" si="103"/>
        <v>КОМПЛЕКТ 50.  ЩР-1 (ЩМП-7-0 36 УХЛ3 IP31)  |  Альбом 7.3 ФО (Фасадная подсветка)</v>
      </c>
      <c r="B409" s="41" t="s">
        <v>509</v>
      </c>
      <c r="C409" s="41"/>
      <c r="D409" s="41" t="s">
        <v>126</v>
      </c>
      <c r="E409" s="40" t="s">
        <v>95</v>
      </c>
      <c r="F409" s="42" t="str">
        <f>ПАРАМЕТРЫ!C7&amp;"%"</f>
        <v>15%</v>
      </c>
      <c r="G409" s="43">
        <f>(G406+G407)*ПАРАМЕТРЫ!C7/100</f>
        <v>90477.950220000013</v>
      </c>
      <c r="H409" s="43" t="s">
        <v>94</v>
      </c>
      <c r="I409" s="43">
        <v>1</v>
      </c>
      <c r="J409" s="41" t="s">
        <v>11</v>
      </c>
      <c r="K409" s="41" t="s">
        <v>485</v>
      </c>
    </row>
    <row r="410" spans="1:11" ht="25.5" customHeight="1" thickBot="1" x14ac:dyDescent="0.3">
      <c r="A410" s="53" t="str">
        <f>D410</f>
        <v>КОМПЛЕКТ 51.  ЩР-2 (ЩМП-7-0 36 УХЛ3 IP31)  |  Альбом 7.3 ФО (Фасадная подсветка)</v>
      </c>
      <c r="B410" s="54" t="s">
        <v>510</v>
      </c>
      <c r="C410" s="54"/>
      <c r="D410" s="54" t="s">
        <v>510</v>
      </c>
      <c r="E410" s="54"/>
      <c r="F410" s="54"/>
      <c r="G410" s="54"/>
      <c r="H410" s="54" t="s">
        <v>632</v>
      </c>
      <c r="I410" s="55">
        <v>1</v>
      </c>
      <c r="J410" s="2"/>
      <c r="K410" s="2"/>
    </row>
    <row r="411" spans="1:11" ht="25.5" customHeight="1" x14ac:dyDescent="0.25">
      <c r="A411" s="22" t="str">
        <f t="shared" ref="A411:A415" si="105">A410</f>
        <v>КОМПЛЕКТ 51.  ЩР-2 (ЩМП-7-0 36 УХЛ3 IP31)  |  Альбом 7.3 ФО (Фасадная подсветка)</v>
      </c>
      <c r="B411" s="22" t="s">
        <v>511</v>
      </c>
      <c r="C411" s="22" t="s">
        <v>92</v>
      </c>
      <c r="D411" s="22" t="s">
        <v>505</v>
      </c>
      <c r="E411" s="21" t="s">
        <v>95</v>
      </c>
      <c r="F411" s="21" t="e">
        <f>0.6*E411</f>
        <v>#VALUE!</v>
      </c>
      <c r="G411" s="23" t="e">
        <f>F411*I411</f>
        <v>#VALUE!</v>
      </c>
      <c r="H411" s="23" t="s">
        <v>94</v>
      </c>
      <c r="I411" s="23">
        <v>1</v>
      </c>
      <c r="J411" s="22" t="s">
        <v>96</v>
      </c>
      <c r="K411" s="22" t="s">
        <v>485</v>
      </c>
    </row>
    <row r="412" spans="1:11" ht="25.5" customHeight="1" x14ac:dyDescent="0.25">
      <c r="A412" s="25" t="str">
        <f t="shared" si="105"/>
        <v>КОМПЛЕКТ 51.  ЩР-2 (ЩМП-7-0 36 УХЛ3 IP31)  |  Альбом 7.3 ФО (Фасадная подсветка)</v>
      </c>
      <c r="B412" s="25" t="s">
        <v>512</v>
      </c>
      <c r="C412" s="25" t="s">
        <v>149</v>
      </c>
      <c r="D412" s="25" t="s">
        <v>148</v>
      </c>
      <c r="E412" s="26">
        <f>ПАРАМЕТРЫ!C27</f>
        <v>36.68</v>
      </c>
      <c r="F412" s="27">
        <f t="shared" ref="F412:F413" si="106">E412*0.3*1.33*590</f>
        <v>8634.8387999999995</v>
      </c>
      <c r="G412" s="27">
        <f>I412*F412</f>
        <v>8634.8387999999995</v>
      </c>
      <c r="H412" s="27" t="s">
        <v>94</v>
      </c>
      <c r="I412" s="27">
        <v>1</v>
      </c>
      <c r="J412" s="25" t="s">
        <v>150</v>
      </c>
      <c r="K412" s="25" t="s">
        <v>485</v>
      </c>
    </row>
    <row r="413" spans="1:11" ht="25.5" customHeight="1" x14ac:dyDescent="0.25">
      <c r="A413" s="29" t="str">
        <f t="shared" si="105"/>
        <v>КОМПЛЕКТ 51.  ЩР-2 (ЩМП-7-0 36 УХЛ3 IP31)  |  Альбом 7.3 ФО (Фасадная подсветка)</v>
      </c>
      <c r="B413" s="29" t="s">
        <v>523</v>
      </c>
      <c r="C413" s="29" t="s">
        <v>603</v>
      </c>
      <c r="D413" s="29" t="s">
        <v>602</v>
      </c>
      <c r="E413" s="30">
        <f>ПАРАМЕТРЫ!C55</f>
        <v>180.4</v>
      </c>
      <c r="F413" s="27">
        <f t="shared" si="106"/>
        <v>42467.964</v>
      </c>
      <c r="G413" s="31">
        <f>I413*F413</f>
        <v>509615.56799999997</v>
      </c>
      <c r="H413" s="31" t="s">
        <v>94</v>
      </c>
      <c r="I413" s="31">
        <v>12</v>
      </c>
      <c r="J413" s="29" t="s">
        <v>507</v>
      </c>
      <c r="K413" s="29" t="s">
        <v>485</v>
      </c>
    </row>
    <row r="414" spans="1:11" ht="25.5" customHeight="1" x14ac:dyDescent="0.25">
      <c r="A414" s="37" t="str">
        <f t="shared" si="105"/>
        <v>КОМПЛЕКТ 51.  ЩР-2 (ЩМП-7-0 36 УХЛ3 IP31)  |  Альбом 7.3 ФО (Фасадная подсветка)</v>
      </c>
      <c r="B414" s="37" t="s">
        <v>513</v>
      </c>
      <c r="C414" s="37"/>
      <c r="D414" s="37" t="s">
        <v>124</v>
      </c>
      <c r="E414" s="36" t="s">
        <v>95</v>
      </c>
      <c r="F414" s="38" t="str">
        <f>ПАРАМЕТРЫ!C6&amp;"%"</f>
        <v>12%</v>
      </c>
      <c r="G414" s="39">
        <f>(G412+G413)*ПАРАМЕТРЫ!C6/100</f>
        <v>62190.048816000002</v>
      </c>
      <c r="H414" s="39" t="s">
        <v>94</v>
      </c>
      <c r="I414" s="39">
        <v>1</v>
      </c>
      <c r="J414" s="37" t="s">
        <v>11</v>
      </c>
      <c r="K414" s="37" t="s">
        <v>485</v>
      </c>
    </row>
    <row r="415" spans="1:11" ht="25.5" customHeight="1" thickBot="1" x14ac:dyDescent="0.3">
      <c r="A415" s="41" t="str">
        <f t="shared" si="105"/>
        <v>КОМПЛЕКТ 51.  ЩР-2 (ЩМП-7-0 36 УХЛ3 IP31)  |  Альбом 7.3 ФО (Фасадная подсветка)</v>
      </c>
      <c r="B415" s="41" t="s">
        <v>514</v>
      </c>
      <c r="C415" s="41"/>
      <c r="D415" s="41" t="s">
        <v>126</v>
      </c>
      <c r="E415" s="40" t="s">
        <v>95</v>
      </c>
      <c r="F415" s="42" t="str">
        <f>ПАРАМЕТРЫ!C7&amp;"%"</f>
        <v>15%</v>
      </c>
      <c r="G415" s="43">
        <f>(G412+G413)*ПАРАМЕТРЫ!C7/100</f>
        <v>77737.561019999994</v>
      </c>
      <c r="H415" s="43" t="s">
        <v>94</v>
      </c>
      <c r="I415" s="43">
        <v>1</v>
      </c>
      <c r="J415" s="41" t="s">
        <v>11</v>
      </c>
      <c r="K415" s="41" t="s">
        <v>485</v>
      </c>
    </row>
    <row r="416" spans="1:11" ht="25.5" customHeight="1" thickBot="1" x14ac:dyDescent="0.3">
      <c r="A416" s="53" t="str">
        <f>D416</f>
        <v>КОМПЛЕКТ 52.  ЩР-3 (ЩМП-7-0 36 УХЛ3 IP31)  |  Альбом 7.3 ФО (Фасадная подсветка)</v>
      </c>
      <c r="B416" s="54" t="s">
        <v>515</v>
      </c>
      <c r="C416" s="54"/>
      <c r="D416" s="54" t="s">
        <v>515</v>
      </c>
      <c r="E416" s="54"/>
      <c r="F416" s="54"/>
      <c r="G416" s="54"/>
      <c r="H416" s="54" t="s">
        <v>632</v>
      </c>
      <c r="I416" s="55">
        <v>1</v>
      </c>
      <c r="J416" s="2"/>
      <c r="K416" s="2"/>
    </row>
    <row r="417" spans="1:11" ht="25.5" customHeight="1" x14ac:dyDescent="0.25">
      <c r="A417" s="22" t="str">
        <f t="shared" ref="A417:A421" si="107">A416</f>
        <v>КОМПЛЕКТ 52.  ЩР-3 (ЩМП-7-0 36 УХЛ3 IP31)  |  Альбом 7.3 ФО (Фасадная подсветка)</v>
      </c>
      <c r="B417" s="22" t="s">
        <v>516</v>
      </c>
      <c r="C417" s="22" t="s">
        <v>92</v>
      </c>
      <c r="D417" s="22" t="s">
        <v>505</v>
      </c>
      <c r="E417" s="21" t="s">
        <v>95</v>
      </c>
      <c r="F417" s="21" t="e">
        <f>0.6*E417</f>
        <v>#VALUE!</v>
      </c>
      <c r="G417" s="23" t="e">
        <f>F417*I417</f>
        <v>#VALUE!</v>
      </c>
      <c r="H417" s="23" t="s">
        <v>94</v>
      </c>
      <c r="I417" s="23">
        <v>1</v>
      </c>
      <c r="J417" s="22" t="s">
        <v>96</v>
      </c>
      <c r="K417" s="22" t="s">
        <v>485</v>
      </c>
    </row>
    <row r="418" spans="1:11" ht="25.5" customHeight="1" x14ac:dyDescent="0.25">
      <c r="A418" s="25" t="str">
        <f t="shared" si="107"/>
        <v>КОМПЛЕКТ 52.  ЩР-3 (ЩМП-7-0 36 УХЛ3 IP31)  |  Альбом 7.3 ФО (Фасадная подсветка)</v>
      </c>
      <c r="B418" s="25" t="s">
        <v>517</v>
      </c>
      <c r="C418" s="25" t="s">
        <v>149</v>
      </c>
      <c r="D418" s="25" t="s">
        <v>148</v>
      </c>
      <c r="E418" s="26">
        <f>ПАРАМЕТРЫ!C27</f>
        <v>36.68</v>
      </c>
      <c r="F418" s="27">
        <f t="shared" ref="F418:F419" si="108">E418*0.3*1.33*590</f>
        <v>8634.8387999999995</v>
      </c>
      <c r="G418" s="27">
        <f>I418*F418</f>
        <v>8634.8387999999995</v>
      </c>
      <c r="H418" s="27" t="s">
        <v>94</v>
      </c>
      <c r="I418" s="27">
        <v>1</v>
      </c>
      <c r="J418" s="25" t="s">
        <v>150</v>
      </c>
      <c r="K418" s="25" t="s">
        <v>485</v>
      </c>
    </row>
    <row r="419" spans="1:11" ht="25.5" customHeight="1" x14ac:dyDescent="0.25">
      <c r="A419" s="29" t="str">
        <f t="shared" si="107"/>
        <v>КОМПЛЕКТ 52.  ЩР-3 (ЩМП-7-0 36 УХЛ3 IP31)  |  Альбом 7.3 ФО (Фасадная подсветка)</v>
      </c>
      <c r="B419" s="29" t="s">
        <v>523</v>
      </c>
      <c r="C419" s="29" t="s">
        <v>603</v>
      </c>
      <c r="D419" s="29" t="s">
        <v>602</v>
      </c>
      <c r="E419" s="30">
        <f>ПАРАМЕТРЫ!C55</f>
        <v>180.4</v>
      </c>
      <c r="F419" s="27">
        <f t="shared" si="108"/>
        <v>42467.964</v>
      </c>
      <c r="G419" s="31">
        <f>I419*F419</f>
        <v>552083.53200000001</v>
      </c>
      <c r="H419" s="31" t="s">
        <v>94</v>
      </c>
      <c r="I419" s="31">
        <v>13</v>
      </c>
      <c r="J419" s="29" t="s">
        <v>507</v>
      </c>
      <c r="K419" s="29" t="s">
        <v>485</v>
      </c>
    </row>
    <row r="420" spans="1:11" ht="25.5" customHeight="1" x14ac:dyDescent="0.25">
      <c r="A420" s="37" t="str">
        <f t="shared" si="107"/>
        <v>КОМПЛЕКТ 52.  ЩР-3 (ЩМП-7-0 36 УХЛ3 IP31)  |  Альбом 7.3 ФО (Фасадная подсветка)</v>
      </c>
      <c r="B420" s="37" t="s">
        <v>518</v>
      </c>
      <c r="C420" s="37"/>
      <c r="D420" s="37" t="s">
        <v>124</v>
      </c>
      <c r="E420" s="36" t="s">
        <v>95</v>
      </c>
      <c r="F420" s="38" t="str">
        <f>ПАРАМЕТРЫ!C6&amp;"%"</f>
        <v>12%</v>
      </c>
      <c r="G420" s="39">
        <f>(G418+G419)*ПАРАМЕТРЫ!C6/100</f>
        <v>67286.204496000006</v>
      </c>
      <c r="H420" s="39" t="s">
        <v>94</v>
      </c>
      <c r="I420" s="39">
        <v>1</v>
      </c>
      <c r="J420" s="37" t="s">
        <v>11</v>
      </c>
      <c r="K420" s="37" t="s">
        <v>485</v>
      </c>
    </row>
    <row r="421" spans="1:11" ht="25.5" customHeight="1" thickBot="1" x14ac:dyDescent="0.3">
      <c r="A421" s="41" t="str">
        <f t="shared" si="107"/>
        <v>КОМПЛЕКТ 52.  ЩР-3 (ЩМП-7-0 36 УХЛ3 IP31)  |  Альбом 7.3 ФО (Фасадная подсветка)</v>
      </c>
      <c r="B421" s="41" t="s">
        <v>519</v>
      </c>
      <c r="C421" s="41"/>
      <c r="D421" s="41" t="s">
        <v>126</v>
      </c>
      <c r="E421" s="40" t="s">
        <v>95</v>
      </c>
      <c r="F421" s="42" t="str">
        <f>ПАРАМЕТРЫ!C7&amp;"%"</f>
        <v>15%</v>
      </c>
      <c r="G421" s="43">
        <f>(G418+G419)*ПАРАМЕТРЫ!C7/100</f>
        <v>84107.755620000011</v>
      </c>
      <c r="H421" s="43" t="s">
        <v>94</v>
      </c>
      <c r="I421" s="43">
        <v>1</v>
      </c>
      <c r="J421" s="41" t="s">
        <v>11</v>
      </c>
      <c r="K421" s="41" t="s">
        <v>485</v>
      </c>
    </row>
    <row r="422" spans="1:11" ht="25.5" customHeight="1" thickBot="1" x14ac:dyDescent="0.3">
      <c r="A422" s="53" t="str">
        <f>D422</f>
        <v>КОМПЛЕКТ 53.  ЩР-4 (ЩМП-7-0 36 УХЛ3 IP31)  |  Альбом 7.3 ФО (Фасадная подсветка)</v>
      </c>
      <c r="B422" s="54" t="s">
        <v>520</v>
      </c>
      <c r="C422" s="54"/>
      <c r="D422" s="54" t="s">
        <v>520</v>
      </c>
      <c r="E422" s="54"/>
      <c r="F422" s="54"/>
      <c r="G422" s="54"/>
      <c r="H422" s="54" t="s">
        <v>632</v>
      </c>
      <c r="I422" s="55">
        <v>1</v>
      </c>
      <c r="J422" s="2"/>
      <c r="K422" s="2"/>
    </row>
    <row r="423" spans="1:11" ht="25.5" customHeight="1" x14ac:dyDescent="0.25">
      <c r="A423" s="22" t="str">
        <f t="shared" ref="A423:A427" si="109">A422</f>
        <v>КОМПЛЕКТ 53.  ЩР-4 (ЩМП-7-0 36 УХЛ3 IP31)  |  Альбом 7.3 ФО (Фасадная подсветка)</v>
      </c>
      <c r="B423" s="22" t="s">
        <v>521</v>
      </c>
      <c r="C423" s="22" t="s">
        <v>92</v>
      </c>
      <c r="D423" s="22" t="s">
        <v>505</v>
      </c>
      <c r="E423" s="21" t="s">
        <v>95</v>
      </c>
      <c r="F423" s="21" t="e">
        <f>0.6*E423</f>
        <v>#VALUE!</v>
      </c>
      <c r="G423" s="23" t="e">
        <f>F423*I423</f>
        <v>#VALUE!</v>
      </c>
      <c r="H423" s="23" t="s">
        <v>94</v>
      </c>
      <c r="I423" s="23">
        <v>1</v>
      </c>
      <c r="J423" s="22" t="s">
        <v>96</v>
      </c>
      <c r="K423" s="22" t="s">
        <v>485</v>
      </c>
    </row>
    <row r="424" spans="1:11" ht="25.5" customHeight="1" x14ac:dyDescent="0.25">
      <c r="A424" s="25" t="str">
        <f t="shared" si="109"/>
        <v>КОМПЛЕКТ 53.  ЩР-4 (ЩМП-7-0 36 УХЛ3 IP31)  |  Альбом 7.3 ФО (Фасадная подсветка)</v>
      </c>
      <c r="B424" s="25" t="s">
        <v>522</v>
      </c>
      <c r="C424" s="25" t="s">
        <v>149</v>
      </c>
      <c r="D424" s="25" t="s">
        <v>148</v>
      </c>
      <c r="E424" s="26">
        <f>ПАРАМЕТРЫ!C27</f>
        <v>36.68</v>
      </c>
      <c r="F424" s="27">
        <f t="shared" ref="F424:F425" si="110">E424*0.3*1.33*590</f>
        <v>8634.8387999999995</v>
      </c>
      <c r="G424" s="27">
        <f>I424*F424</f>
        <v>8634.8387999999995</v>
      </c>
      <c r="H424" s="27" t="s">
        <v>94</v>
      </c>
      <c r="I424" s="27">
        <v>1</v>
      </c>
      <c r="J424" s="25" t="s">
        <v>150</v>
      </c>
      <c r="K424" s="25" t="s">
        <v>485</v>
      </c>
    </row>
    <row r="425" spans="1:11" ht="25.5" customHeight="1" x14ac:dyDescent="0.25">
      <c r="A425" s="29" t="str">
        <f t="shared" si="109"/>
        <v>КОМПЛЕКТ 53.  ЩР-4 (ЩМП-7-0 36 УХЛ3 IP31)  |  Альбом 7.3 ФО (Фасадная подсветка)</v>
      </c>
      <c r="B425" s="29" t="s">
        <v>523</v>
      </c>
      <c r="C425" s="29" t="s">
        <v>603</v>
      </c>
      <c r="D425" s="29" t="s">
        <v>602</v>
      </c>
      <c r="E425" s="30">
        <f>ПАРАМЕТРЫ!C55</f>
        <v>180.4</v>
      </c>
      <c r="F425" s="27">
        <f t="shared" si="110"/>
        <v>42467.964</v>
      </c>
      <c r="G425" s="31">
        <f>I425*F425</f>
        <v>509615.56799999997</v>
      </c>
      <c r="H425" s="31" t="s">
        <v>94</v>
      </c>
      <c r="I425" s="31">
        <v>12</v>
      </c>
      <c r="J425" s="29" t="s">
        <v>507</v>
      </c>
      <c r="K425" s="29" t="s">
        <v>485</v>
      </c>
    </row>
    <row r="426" spans="1:11" ht="25.5" customHeight="1" x14ac:dyDescent="0.25">
      <c r="A426" s="37" t="str">
        <f t="shared" si="109"/>
        <v>КОМПЛЕКТ 53.  ЩР-4 (ЩМП-7-0 36 УХЛ3 IP31)  |  Альбом 7.3 ФО (Фасадная подсветка)</v>
      </c>
      <c r="B426" s="37" t="s">
        <v>524</v>
      </c>
      <c r="C426" s="37"/>
      <c r="D426" s="37" t="s">
        <v>124</v>
      </c>
      <c r="E426" s="36" t="s">
        <v>95</v>
      </c>
      <c r="F426" s="38" t="str">
        <f>ПАРАМЕТРЫ!C6&amp;"%"</f>
        <v>12%</v>
      </c>
      <c r="G426" s="39">
        <f>(G424+G425)*ПАРАМЕТРЫ!C6/100</f>
        <v>62190.048816000002</v>
      </c>
      <c r="H426" s="39" t="s">
        <v>94</v>
      </c>
      <c r="I426" s="39">
        <v>1</v>
      </c>
      <c r="J426" s="37" t="s">
        <v>11</v>
      </c>
      <c r="K426" s="37" t="s">
        <v>485</v>
      </c>
    </row>
    <row r="427" spans="1:11" ht="25.5" customHeight="1" x14ac:dyDescent="0.25">
      <c r="A427" s="41" t="str">
        <f t="shared" si="109"/>
        <v>КОМПЛЕКТ 53.  ЩР-4 (ЩМП-7-0 36 УХЛ3 IP31)  |  Альбом 7.3 ФО (Фасадная подсветка)</v>
      </c>
      <c r="B427" s="41" t="s">
        <v>525</v>
      </c>
      <c r="C427" s="41"/>
      <c r="D427" s="41" t="s">
        <v>126</v>
      </c>
      <c r="E427" s="40" t="s">
        <v>95</v>
      </c>
      <c r="F427" s="42" t="str">
        <f>ПАРАМЕТРЫ!C7&amp;"%"</f>
        <v>15%</v>
      </c>
      <c r="G427" s="43">
        <f>(G424+G425)*ПАРАМЕТРЫ!C7/100</f>
        <v>77737.561019999994</v>
      </c>
      <c r="H427" s="43" t="s">
        <v>94</v>
      </c>
      <c r="I427" s="43">
        <v>1</v>
      </c>
      <c r="J427" s="41" t="s">
        <v>11</v>
      </c>
      <c r="K427" s="41" t="s">
        <v>485</v>
      </c>
    </row>
  </sheetData>
  <autoFilter ref="B2:J427" xr:uid="{00000000-0009-0000-0000-000001000000}"/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4FA38-6DF9-4DEB-B136-6A0176326A14}">
  <dimension ref="A1:L433"/>
  <sheetViews>
    <sheetView topLeftCell="A343" workbookViewId="0">
      <selection activeCell="A347" sqref="A347"/>
    </sheetView>
  </sheetViews>
  <sheetFormatPr defaultRowHeight="54.75" customHeight="1" x14ac:dyDescent="0.25"/>
  <cols>
    <col min="1" max="1" width="43.42578125" customWidth="1"/>
    <col min="3" max="3" width="21.5703125" customWidth="1"/>
    <col min="4" max="4" width="69.5703125" customWidth="1"/>
  </cols>
  <sheetData>
    <row r="1" spans="1:12" ht="54.75" customHeight="1" thickBot="1" x14ac:dyDescent="0.3">
      <c r="A1" s="2"/>
      <c r="B1" s="2"/>
      <c r="C1" s="18" t="s">
        <v>78</v>
      </c>
      <c r="D1" s="2"/>
      <c r="E1" s="2"/>
      <c r="F1" s="2"/>
      <c r="G1" s="2"/>
      <c r="H1" s="2"/>
      <c r="I1" s="2"/>
      <c r="J1" s="2"/>
      <c r="K1" s="2"/>
    </row>
    <row r="2" spans="1:12" ht="54.75" customHeight="1" thickBot="1" x14ac:dyDescent="0.3">
      <c r="A2" s="10" t="s">
        <v>633</v>
      </c>
      <c r="B2" s="10" t="s">
        <v>79</v>
      </c>
      <c r="C2" s="10" t="s">
        <v>81</v>
      </c>
      <c r="D2" s="10" t="s">
        <v>80</v>
      </c>
      <c r="E2" s="10" t="s">
        <v>85</v>
      </c>
      <c r="F2" s="10" t="s">
        <v>86</v>
      </c>
      <c r="G2" s="10" t="s">
        <v>87</v>
      </c>
      <c r="H2" s="10" t="s">
        <v>83</v>
      </c>
      <c r="I2" s="10" t="s">
        <v>84</v>
      </c>
      <c r="J2" s="10" t="s">
        <v>88</v>
      </c>
      <c r="K2" s="10" t="s">
        <v>82</v>
      </c>
    </row>
    <row r="3" spans="1:12" ht="54.75" customHeight="1" thickBot="1" x14ac:dyDescent="0.3">
      <c r="A3" s="20"/>
      <c r="B3" s="20"/>
      <c r="C3" s="19" t="s">
        <v>89</v>
      </c>
      <c r="D3" s="20"/>
      <c r="E3" s="20"/>
      <c r="F3" s="20"/>
      <c r="G3" s="20"/>
      <c r="H3" s="20"/>
      <c r="I3" s="20"/>
      <c r="J3" s="20"/>
      <c r="K3" s="20"/>
    </row>
    <row r="4" spans="1:12" ht="54.75" customHeight="1" thickBot="1" x14ac:dyDescent="0.3">
      <c r="A4" s="53" t="str">
        <f>D4</f>
        <v>КОМПЛЕКТ 1.  ГРЩ (ЩМП-18.8.4-0 36 УХЛ3 IP31)  |  Альбом 7.4 ЭОМ (Гараж)</v>
      </c>
      <c r="B4" s="53" t="str">
        <f>D4</f>
        <v>КОМПЛЕКТ 1.  ГРЩ (ЩМП-18.8.4-0 36 УХЛ3 IP31)  |  Альбом 7.4 ЭОМ (Гараж)</v>
      </c>
      <c r="C4" s="54"/>
      <c r="D4" s="53" t="s">
        <v>90</v>
      </c>
      <c r="E4" s="54"/>
      <c r="F4" s="54"/>
      <c r="G4" s="54"/>
      <c r="H4" s="54" t="s">
        <v>632</v>
      </c>
      <c r="I4" s="54">
        <v>1</v>
      </c>
      <c r="J4" s="51"/>
      <c r="K4" s="51"/>
      <c r="L4" s="52"/>
    </row>
    <row r="5" spans="1:12" ht="54.75" customHeight="1" x14ac:dyDescent="0.25">
      <c r="A5" s="22" t="str">
        <f t="shared" ref="A5:A19" si="0">A4</f>
        <v>КОМПЛЕКТ 1.  ГРЩ (ЩМП-18.8.4-0 36 УХЛ3 IP31)  |  Альбом 7.4 ЭОМ (Гараж)</v>
      </c>
      <c r="B5" s="22" t="s">
        <v>91</v>
      </c>
      <c r="C5" s="22" t="s">
        <v>92</v>
      </c>
      <c r="D5" s="22" t="s">
        <v>546</v>
      </c>
      <c r="E5" s="21" t="s">
        <v>95</v>
      </c>
      <c r="F5" s="21" t="s">
        <v>95</v>
      </c>
      <c r="G5" s="23">
        <v>0</v>
      </c>
      <c r="H5" s="23" t="s">
        <v>94</v>
      </c>
      <c r="I5" s="23">
        <v>2</v>
      </c>
      <c r="J5" s="22" t="s">
        <v>96</v>
      </c>
      <c r="K5" s="22" t="s">
        <v>93</v>
      </c>
    </row>
    <row r="6" spans="1:12" ht="54.75" customHeight="1" x14ac:dyDescent="0.25">
      <c r="A6" s="25" t="str">
        <f t="shared" si="0"/>
        <v>КОМПЛЕКТ 1.  ГРЩ (ЩМП-18.8.4-0 36 УХЛ3 IP31)  |  Альбом 7.4 ЭОМ (Гараж)</v>
      </c>
      <c r="B6" s="25" t="s">
        <v>97</v>
      </c>
      <c r="C6" s="25" t="s">
        <v>99</v>
      </c>
      <c r="D6" s="25" t="s">
        <v>98</v>
      </c>
      <c r="E6" s="26">
        <f>ПАРАМЕТРЫ!C32</f>
        <v>308.8</v>
      </c>
      <c r="F6" s="27">
        <f>E6*0.3*1.33*590</f>
        <v>72694.608000000007</v>
      </c>
      <c r="G6" s="27">
        <f t="shared" ref="G6:G15" si="1">I6*F6</f>
        <v>290778.43200000003</v>
      </c>
      <c r="H6" s="27" t="s">
        <v>94</v>
      </c>
      <c r="I6" s="27">
        <v>4</v>
      </c>
      <c r="J6" s="25" t="s">
        <v>100</v>
      </c>
      <c r="K6" s="25" t="s">
        <v>93</v>
      </c>
    </row>
    <row r="7" spans="1:12" ht="54.75" customHeight="1" x14ac:dyDescent="0.25">
      <c r="A7" s="29" t="str">
        <f t="shared" si="0"/>
        <v>КОМПЛЕКТ 1.  ГРЩ (ЩМП-18.8.4-0 36 УХЛ3 IP31)  |  Альбом 7.4 ЭОМ (Гараж)</v>
      </c>
      <c r="B7" s="29" t="s">
        <v>101</v>
      </c>
      <c r="C7" s="29" t="s">
        <v>621</v>
      </c>
      <c r="D7" s="29" t="s">
        <v>622</v>
      </c>
      <c r="E7" s="30">
        <v>675.1</v>
      </c>
      <c r="F7" s="27">
        <f t="shared" ref="F7:F15" si="2">E7*0.3*1.33*590</f>
        <v>158925.29100000003</v>
      </c>
      <c r="G7" s="31">
        <f t="shared" si="1"/>
        <v>635701.16400000011</v>
      </c>
      <c r="H7" s="31" t="s">
        <v>94</v>
      </c>
      <c r="I7" s="31">
        <v>4</v>
      </c>
      <c r="J7" s="29" t="s">
        <v>625</v>
      </c>
      <c r="K7" s="29" t="s">
        <v>93</v>
      </c>
    </row>
    <row r="8" spans="1:12" ht="54.75" customHeight="1" x14ac:dyDescent="0.25">
      <c r="A8" s="29" t="str">
        <f t="shared" si="0"/>
        <v>КОМПЛЕКТ 1.  ГРЩ (ЩМП-18.8.4-0 36 УХЛ3 IP31)  |  Альбом 7.4 ЭОМ (Гараж)</v>
      </c>
      <c r="B8" s="29" t="s">
        <v>101</v>
      </c>
      <c r="C8" s="29" t="s">
        <v>623</v>
      </c>
      <c r="D8" s="29" t="s">
        <v>624</v>
      </c>
      <c r="E8" s="30">
        <v>115.1</v>
      </c>
      <c r="F8" s="27">
        <f t="shared" si="2"/>
        <v>27095.690999999995</v>
      </c>
      <c r="G8" s="31">
        <f t="shared" si="1"/>
        <v>54191.381999999991</v>
      </c>
      <c r="H8" s="31" t="s">
        <v>94</v>
      </c>
      <c r="I8" s="31">
        <v>2</v>
      </c>
      <c r="J8" s="29" t="s">
        <v>626</v>
      </c>
      <c r="K8" s="29" t="s">
        <v>93</v>
      </c>
    </row>
    <row r="9" spans="1:12" ht="54.75" customHeight="1" x14ac:dyDescent="0.25">
      <c r="A9" s="29" t="str">
        <f t="shared" si="0"/>
        <v>КОМПЛЕКТ 1.  ГРЩ (ЩМП-18.8.4-0 36 УХЛ3 IP31)  |  Альбом 7.4 ЭОМ (Гараж)</v>
      </c>
      <c r="B9" s="29" t="s">
        <v>101</v>
      </c>
      <c r="C9" s="29" t="s">
        <v>628</v>
      </c>
      <c r="D9" s="29" t="s">
        <v>627</v>
      </c>
      <c r="E9" s="30">
        <v>132.30000000000001</v>
      </c>
      <c r="F9" s="27">
        <f t="shared" si="2"/>
        <v>31144.743000000006</v>
      </c>
      <c r="G9" s="31">
        <f t="shared" si="1"/>
        <v>62289.486000000012</v>
      </c>
      <c r="H9" s="31" t="s">
        <v>94</v>
      </c>
      <c r="I9" s="31">
        <v>2</v>
      </c>
      <c r="J9" s="29" t="s">
        <v>634</v>
      </c>
      <c r="K9" s="29" t="s">
        <v>93</v>
      </c>
    </row>
    <row r="10" spans="1:12" ht="54.75" customHeight="1" x14ac:dyDescent="0.25">
      <c r="A10" s="29" t="str">
        <f t="shared" si="0"/>
        <v>КОМПЛЕКТ 1.  ГРЩ (ЩМП-18.8.4-0 36 УХЛ3 IP31)  |  Альбом 7.4 ЭОМ (Гараж)</v>
      </c>
      <c r="B10" s="29" t="s">
        <v>101</v>
      </c>
      <c r="C10" s="29" t="s">
        <v>630</v>
      </c>
      <c r="D10" s="29" t="s">
        <v>629</v>
      </c>
      <c r="E10" s="30">
        <v>72.77</v>
      </c>
      <c r="F10" s="27">
        <f t="shared" si="2"/>
        <v>17130.7857</v>
      </c>
      <c r="G10" s="31">
        <f t="shared" si="1"/>
        <v>34261.571400000001</v>
      </c>
      <c r="H10" s="31" t="s">
        <v>94</v>
      </c>
      <c r="I10" s="31">
        <v>2</v>
      </c>
      <c r="J10" s="29" t="s">
        <v>634</v>
      </c>
      <c r="K10" s="29" t="s">
        <v>93</v>
      </c>
    </row>
    <row r="11" spans="1:12" ht="54.75" customHeight="1" x14ac:dyDescent="0.25">
      <c r="A11" s="29" t="str">
        <f t="shared" si="0"/>
        <v>КОМПЛЕКТ 1.  ГРЩ (ЩМП-18.8.4-0 36 УХЛ3 IP31)  |  Альбом 7.4 ЭОМ (Гараж)</v>
      </c>
      <c r="B11" s="29" t="s">
        <v>101</v>
      </c>
      <c r="C11" s="29" t="s">
        <v>103</v>
      </c>
      <c r="D11" s="29" t="s">
        <v>102</v>
      </c>
      <c r="E11" s="30">
        <f>ПАРАМЕТРЫ!C31</f>
        <v>246.1</v>
      </c>
      <c r="F11" s="27">
        <f t="shared" si="2"/>
        <v>57934.400999999998</v>
      </c>
      <c r="G11" s="31">
        <f t="shared" si="1"/>
        <v>57934.400999999998</v>
      </c>
      <c r="H11" s="31" t="s">
        <v>94</v>
      </c>
      <c r="I11" s="31">
        <v>1</v>
      </c>
      <c r="J11" s="29" t="s">
        <v>104</v>
      </c>
      <c r="K11" s="29" t="s">
        <v>93</v>
      </c>
    </row>
    <row r="12" spans="1:12" ht="54.75" customHeight="1" x14ac:dyDescent="0.25">
      <c r="A12" s="25" t="str">
        <f t="shared" si="0"/>
        <v>КОМПЛЕКТ 1.  ГРЩ (ЩМП-18.8.4-0 36 УХЛ3 IP31)  |  Альбом 7.4 ЭОМ (Гараж)</v>
      </c>
      <c r="B12" s="25" t="s">
        <v>105</v>
      </c>
      <c r="C12" s="25" t="s">
        <v>611</v>
      </c>
      <c r="D12" s="25" t="s">
        <v>604</v>
      </c>
      <c r="E12" s="26">
        <v>36.42</v>
      </c>
      <c r="F12" s="27">
        <f t="shared" si="2"/>
        <v>8573.6322000000018</v>
      </c>
      <c r="G12" s="27">
        <f t="shared" si="1"/>
        <v>42868.161000000007</v>
      </c>
      <c r="H12" s="27" t="s">
        <v>94</v>
      </c>
      <c r="I12" s="27">
        <v>5</v>
      </c>
      <c r="J12" s="25" t="s">
        <v>107</v>
      </c>
      <c r="K12" s="25" t="s">
        <v>93</v>
      </c>
    </row>
    <row r="13" spans="1:12" ht="54.75" customHeight="1" x14ac:dyDescent="0.25">
      <c r="A13" s="29" t="str">
        <f t="shared" si="0"/>
        <v>КОМПЛЕКТ 1.  ГРЩ (ЩМП-18.8.4-0 36 УХЛ3 IP31)  |  Альбом 7.4 ЭОМ (Гараж)</v>
      </c>
      <c r="B13" s="29" t="s">
        <v>108</v>
      </c>
      <c r="C13" s="29" t="s">
        <v>606</v>
      </c>
      <c r="D13" s="29" t="s">
        <v>605</v>
      </c>
      <c r="E13" s="30">
        <v>36.42</v>
      </c>
      <c r="F13" s="27">
        <f t="shared" si="2"/>
        <v>8573.6322000000018</v>
      </c>
      <c r="G13" s="31">
        <f t="shared" si="1"/>
        <v>17147.264400000004</v>
      </c>
      <c r="H13" s="31" t="s">
        <v>94</v>
      </c>
      <c r="I13" s="31">
        <v>2</v>
      </c>
      <c r="J13" s="29" t="s">
        <v>109</v>
      </c>
      <c r="K13" s="29" t="s">
        <v>93</v>
      </c>
    </row>
    <row r="14" spans="1:12" ht="54.75" customHeight="1" x14ac:dyDescent="0.25">
      <c r="A14" s="25" t="str">
        <f t="shared" si="0"/>
        <v>КОМПЛЕКТ 1.  ГРЩ (ЩМП-18.8.4-0 36 УХЛ3 IP31)  |  Альбом 7.4 ЭОМ (Гараж)</v>
      </c>
      <c r="B14" s="25" t="s">
        <v>110</v>
      </c>
      <c r="C14" s="25" t="s">
        <v>607</v>
      </c>
      <c r="D14" s="25" t="s">
        <v>608</v>
      </c>
      <c r="E14" s="26">
        <v>9.7100000000000009</v>
      </c>
      <c r="F14" s="27">
        <f t="shared" si="2"/>
        <v>2285.8311000000003</v>
      </c>
      <c r="G14" s="27">
        <f t="shared" si="1"/>
        <v>6857.493300000001</v>
      </c>
      <c r="H14" s="27" t="s">
        <v>94</v>
      </c>
      <c r="I14" s="27">
        <v>3</v>
      </c>
      <c r="J14" s="25" t="s">
        <v>111</v>
      </c>
      <c r="K14" s="25" t="s">
        <v>93</v>
      </c>
    </row>
    <row r="15" spans="1:12" ht="54.75" customHeight="1" x14ac:dyDescent="0.25">
      <c r="A15" s="29" t="str">
        <f t="shared" si="0"/>
        <v>КОМПЛЕКТ 1.  ГРЩ (ЩМП-18.8.4-0 36 УХЛ3 IP31)  |  Альбом 7.4 ЭОМ (Гараж)</v>
      </c>
      <c r="B15" s="29" t="s">
        <v>112</v>
      </c>
      <c r="C15" s="29" t="s">
        <v>114</v>
      </c>
      <c r="D15" s="29" t="s">
        <v>113</v>
      </c>
      <c r="E15" s="30">
        <f>ПАРАМЕТРЫ!C35</f>
        <v>1285</v>
      </c>
      <c r="F15" s="27">
        <f t="shared" si="2"/>
        <v>302501.85000000003</v>
      </c>
      <c r="G15" s="31">
        <f t="shared" si="1"/>
        <v>302501.85000000003</v>
      </c>
      <c r="H15" s="31" t="s">
        <v>94</v>
      </c>
      <c r="I15" s="31">
        <v>1</v>
      </c>
      <c r="J15" s="29" t="s">
        <v>115</v>
      </c>
      <c r="K15" s="29" t="s">
        <v>93</v>
      </c>
    </row>
    <row r="16" spans="1:12" ht="54.75" customHeight="1" x14ac:dyDescent="0.25">
      <c r="A16" s="25" t="str">
        <f t="shared" si="0"/>
        <v>КОМПЛЕКТ 1.  ГРЩ (ЩМП-18.8.4-0 36 УХЛ3 IP31)  |  Альбом 7.4 ЭОМ (Гараж)</v>
      </c>
      <c r="B16" s="25" t="s">
        <v>116</v>
      </c>
      <c r="C16" s="25" t="s">
        <v>77</v>
      </c>
      <c r="D16" s="25" t="s">
        <v>117</v>
      </c>
      <c r="E16" s="27" t="s">
        <v>95</v>
      </c>
      <c r="F16" s="27" t="s">
        <v>95</v>
      </c>
      <c r="G16" s="27">
        <v>0</v>
      </c>
      <c r="H16" s="27" t="s">
        <v>94</v>
      </c>
      <c r="I16" s="27">
        <v>2</v>
      </c>
      <c r="J16" s="25" t="s">
        <v>118</v>
      </c>
      <c r="K16" s="25" t="s">
        <v>93</v>
      </c>
    </row>
    <row r="17" spans="1:11" ht="54.75" customHeight="1" x14ac:dyDescent="0.25">
      <c r="A17" s="33" t="str">
        <f t="shared" si="0"/>
        <v>КОМПЛЕКТ 1.  ГРЩ (ЩМП-18.8.4-0 36 УХЛ3 IP31)  |  Альбом 7.4 ЭОМ (Гараж)</v>
      </c>
      <c r="B17" s="33" t="s">
        <v>119</v>
      </c>
      <c r="C17" s="33" t="s">
        <v>121</v>
      </c>
      <c r="D17" s="33" t="s">
        <v>120</v>
      </c>
      <c r="E17" s="32" t="s">
        <v>95</v>
      </c>
      <c r="F17" s="32" t="s">
        <v>95</v>
      </c>
      <c r="G17" s="35">
        <v>0</v>
      </c>
      <c r="H17" s="35" t="s">
        <v>94</v>
      </c>
      <c r="I17" s="35">
        <v>3</v>
      </c>
      <c r="J17" s="34" t="s">
        <v>122</v>
      </c>
      <c r="K17" s="34" t="s">
        <v>93</v>
      </c>
    </row>
    <row r="18" spans="1:11" ht="54.75" customHeight="1" x14ac:dyDescent="0.25">
      <c r="A18" s="37" t="str">
        <f t="shared" si="0"/>
        <v>КОМПЛЕКТ 1.  ГРЩ (ЩМП-18.8.4-0 36 УХЛ3 IP31)  |  Альбом 7.4 ЭОМ (Гараж)</v>
      </c>
      <c r="B18" s="37" t="s">
        <v>123</v>
      </c>
      <c r="C18" s="37"/>
      <c r="D18" s="37" t="s">
        <v>124</v>
      </c>
      <c r="E18" s="36" t="s">
        <v>95</v>
      </c>
      <c r="F18" s="38" t="str">
        <f>ПАРАМЕТРЫ!C6&amp;"%"</f>
        <v>12%</v>
      </c>
      <c r="G18" s="39">
        <f>(G6+G11+G12+G13+G14+G15+G16+G17)*ПАРАМЕТРЫ!C6/100</f>
        <v>86170.512203999999</v>
      </c>
      <c r="H18" s="39" t="s">
        <v>94</v>
      </c>
      <c r="I18" s="39">
        <v>1</v>
      </c>
      <c r="J18" s="37" t="s">
        <v>11</v>
      </c>
      <c r="K18" s="37" t="s">
        <v>93</v>
      </c>
    </row>
    <row r="19" spans="1:11" ht="54.75" customHeight="1" thickBot="1" x14ac:dyDescent="0.3">
      <c r="A19" s="41" t="str">
        <f t="shared" si="0"/>
        <v>КОМПЛЕКТ 1.  ГРЩ (ЩМП-18.8.4-0 36 УХЛ3 IP31)  |  Альбом 7.4 ЭОМ (Гараж)</v>
      </c>
      <c r="B19" s="41" t="s">
        <v>125</v>
      </c>
      <c r="C19" s="41"/>
      <c r="D19" s="41" t="s">
        <v>126</v>
      </c>
      <c r="E19" s="40" t="s">
        <v>95</v>
      </c>
      <c r="F19" s="42" t="str">
        <f>ПАРАМЕТРЫ!C7&amp;"%"</f>
        <v>15%</v>
      </c>
      <c r="G19" s="43">
        <f>(G6+G11+G12+G13+G14+G15+G16+G17)*ПАРАМЕТРЫ!C7/100</f>
        <v>107713.14025499999</v>
      </c>
      <c r="H19" s="43" t="s">
        <v>94</v>
      </c>
      <c r="I19" s="43">
        <v>1</v>
      </c>
      <c r="J19" s="41" t="s">
        <v>11</v>
      </c>
      <c r="K19" s="41" t="s">
        <v>93</v>
      </c>
    </row>
    <row r="20" spans="1:11" ht="54.75" customHeight="1" thickBot="1" x14ac:dyDescent="0.3">
      <c r="A20" s="53" t="str">
        <f>D20</f>
        <v>КОМПЛЕКТ 2.  ЩС-В (ЩРн-12з-0 36 УХЛ3 IP54)  |  Альбом 7.4 ЭОМ (Гараж)</v>
      </c>
      <c r="B20" s="54" t="s">
        <v>127</v>
      </c>
      <c r="C20" s="54"/>
      <c r="D20" s="54" t="s">
        <v>127</v>
      </c>
      <c r="E20" s="54"/>
      <c r="F20" s="54"/>
      <c r="G20" s="54"/>
      <c r="H20" s="54" t="s">
        <v>632</v>
      </c>
      <c r="I20" s="54">
        <v>1</v>
      </c>
      <c r="J20" s="2"/>
      <c r="K20" s="2"/>
    </row>
    <row r="21" spans="1:11" ht="54.75" customHeight="1" x14ac:dyDescent="0.25">
      <c r="A21" s="22" t="str">
        <f t="shared" ref="A21:A28" si="3">A20</f>
        <v>КОМПЛЕКТ 2.  ЩС-В (ЩРн-12з-0 36 УХЛ3 IP54)  |  Альбом 7.4 ЭОМ (Гараж)</v>
      </c>
      <c r="B21" s="22" t="s">
        <v>128</v>
      </c>
      <c r="C21" s="22" t="s">
        <v>92</v>
      </c>
      <c r="D21" s="22" t="s">
        <v>146</v>
      </c>
      <c r="E21" s="21" t="s">
        <v>95</v>
      </c>
      <c r="F21" s="21" t="s">
        <v>95</v>
      </c>
      <c r="G21" s="23">
        <v>0</v>
      </c>
      <c r="H21" s="23" t="s">
        <v>94</v>
      </c>
      <c r="I21" s="23">
        <v>1</v>
      </c>
      <c r="J21" s="22" t="s">
        <v>96</v>
      </c>
      <c r="K21" s="22" t="s">
        <v>93</v>
      </c>
    </row>
    <row r="22" spans="1:11" ht="54.75" customHeight="1" x14ac:dyDescent="0.25">
      <c r="A22" s="25" t="str">
        <f t="shared" si="3"/>
        <v>КОМПЛЕКТ 2.  ЩС-В (ЩРн-12з-0 36 УХЛ3 IP54)  |  Альбом 7.4 ЭОМ (Гараж)</v>
      </c>
      <c r="B22" s="25" t="s">
        <v>130</v>
      </c>
      <c r="C22" s="25" t="s">
        <v>106</v>
      </c>
      <c r="D22" s="25" t="s">
        <v>631</v>
      </c>
      <c r="E22" s="26">
        <v>48.51</v>
      </c>
      <c r="F22" s="27">
        <f t="shared" ref="F22:F26" si="4">E22*0.3*1.33*590</f>
        <v>11419.739100000001</v>
      </c>
      <c r="G22" s="27">
        <f>I22*F22</f>
        <v>11419.739100000001</v>
      </c>
      <c r="H22" s="27" t="s">
        <v>94</v>
      </c>
      <c r="I22" s="27">
        <v>1</v>
      </c>
      <c r="J22" s="25" t="s">
        <v>131</v>
      </c>
      <c r="K22" s="25" t="s">
        <v>93</v>
      </c>
    </row>
    <row r="23" spans="1:11" ht="54.75" customHeight="1" x14ac:dyDescent="0.25">
      <c r="A23" s="29" t="str">
        <f t="shared" si="3"/>
        <v>КОМПЛЕКТ 2.  ЩС-В (ЩРн-12з-0 36 УХЛ3 IP54)  |  Альбом 7.4 ЭОМ (Гараж)</v>
      </c>
      <c r="B23" s="29" t="s">
        <v>132</v>
      </c>
      <c r="C23" s="29" t="s">
        <v>610</v>
      </c>
      <c r="D23" s="29" t="s">
        <v>609</v>
      </c>
      <c r="E23" s="30">
        <v>8.09</v>
      </c>
      <c r="F23" s="27">
        <f t="shared" si="4"/>
        <v>1904.4669000000001</v>
      </c>
      <c r="G23" s="31">
        <f>I23*F23</f>
        <v>3808.9338000000002</v>
      </c>
      <c r="H23" s="31" t="s">
        <v>94</v>
      </c>
      <c r="I23" s="31">
        <v>2</v>
      </c>
      <c r="J23" s="29" t="s">
        <v>133</v>
      </c>
      <c r="K23" s="29" t="s">
        <v>93</v>
      </c>
    </row>
    <row r="24" spans="1:11" ht="54.75" customHeight="1" x14ac:dyDescent="0.25">
      <c r="A24" s="25" t="str">
        <f t="shared" si="3"/>
        <v>КОМПЛЕКТ 2.  ЩС-В (ЩРн-12з-0 36 УХЛ3 IP54)  |  Альбом 7.4 ЭОМ (Гараж)</v>
      </c>
      <c r="B24" s="25" t="s">
        <v>134</v>
      </c>
      <c r="C24" s="25" t="s">
        <v>612</v>
      </c>
      <c r="D24" s="25" t="s">
        <v>613</v>
      </c>
      <c r="E24" s="30">
        <v>36.42</v>
      </c>
      <c r="F24" s="27">
        <f t="shared" si="4"/>
        <v>8573.6322000000018</v>
      </c>
      <c r="G24" s="27">
        <f>I24*F24</f>
        <v>8573.6322000000018</v>
      </c>
      <c r="H24" s="27" t="s">
        <v>94</v>
      </c>
      <c r="I24" s="27">
        <v>1</v>
      </c>
      <c r="J24" s="25" t="s">
        <v>155</v>
      </c>
      <c r="K24" s="25" t="s">
        <v>93</v>
      </c>
    </row>
    <row r="25" spans="1:11" ht="54.75" customHeight="1" x14ac:dyDescent="0.25">
      <c r="A25" s="29" t="str">
        <f t="shared" si="3"/>
        <v>КОМПЛЕКТ 2.  ЩС-В (ЩРн-12з-0 36 УХЛ3 IP54)  |  Альбом 7.4 ЭОМ (Гараж)</v>
      </c>
      <c r="B25" s="29" t="s">
        <v>138</v>
      </c>
      <c r="C25" s="25" t="s">
        <v>136</v>
      </c>
      <c r="D25" s="25" t="s">
        <v>135</v>
      </c>
      <c r="E25" s="26">
        <f>ПАРАМЕТРЫ!C33</f>
        <v>41.58</v>
      </c>
      <c r="F25" s="27">
        <f t="shared" si="4"/>
        <v>9788.3477999999996</v>
      </c>
      <c r="G25" s="27">
        <f>I25*F25</f>
        <v>29365.043399999999</v>
      </c>
      <c r="H25" s="27" t="s">
        <v>94</v>
      </c>
      <c r="I25" s="27">
        <v>3</v>
      </c>
      <c r="J25" s="25" t="s">
        <v>137</v>
      </c>
      <c r="K25" s="25" t="s">
        <v>93</v>
      </c>
    </row>
    <row r="26" spans="1:11" ht="54.75" customHeight="1" x14ac:dyDescent="0.25">
      <c r="A26" s="25" t="str">
        <f t="shared" si="3"/>
        <v>КОМПЛЕКТ 2.  ЩС-В (ЩРн-12з-0 36 УХЛ3 IP54)  |  Альбом 7.4 ЭОМ (Гараж)</v>
      </c>
      <c r="B26" s="25" t="s">
        <v>142</v>
      </c>
      <c r="C26" s="29" t="s">
        <v>140</v>
      </c>
      <c r="D26" s="29" t="s">
        <v>139</v>
      </c>
      <c r="E26" s="30">
        <f>ПАРАМЕТРЫ!C36</f>
        <v>62.93</v>
      </c>
      <c r="F26" s="27">
        <f t="shared" si="4"/>
        <v>14814.3513</v>
      </c>
      <c r="G26" s="31">
        <f>I26*F26</f>
        <v>14814.3513</v>
      </c>
      <c r="H26" s="31" t="s">
        <v>94</v>
      </c>
      <c r="I26" s="31">
        <v>1</v>
      </c>
      <c r="J26" s="29" t="s">
        <v>141</v>
      </c>
      <c r="K26" s="29" t="s">
        <v>93</v>
      </c>
    </row>
    <row r="27" spans="1:11" ht="54.75" customHeight="1" x14ac:dyDescent="0.25">
      <c r="A27" s="29" t="str">
        <f t="shared" si="3"/>
        <v>КОМПЛЕКТ 2.  ЩС-В (ЩРн-12з-0 36 УХЛ3 IP54)  |  Альбом 7.4 ЭОМ (Гараж)</v>
      </c>
      <c r="B27" s="29" t="s">
        <v>143</v>
      </c>
      <c r="C27" s="37"/>
      <c r="D27" s="37" t="s">
        <v>124</v>
      </c>
      <c r="E27" s="36" t="s">
        <v>95</v>
      </c>
      <c r="F27" s="38" t="str">
        <f>ПАРАМЕТРЫ!C6&amp;"%"</f>
        <v>12%</v>
      </c>
      <c r="G27" s="39">
        <f>(G22+G23+G25+G26+G24)*ПАРАМЕТРЫ!C6/100</f>
        <v>8157.8039760000001</v>
      </c>
      <c r="H27" s="39" t="s">
        <v>94</v>
      </c>
      <c r="I27" s="39">
        <v>1</v>
      </c>
      <c r="J27" s="37" t="s">
        <v>11</v>
      </c>
      <c r="K27" s="37" t="s">
        <v>93</v>
      </c>
    </row>
    <row r="28" spans="1:11" ht="54.75" customHeight="1" thickBot="1" x14ac:dyDescent="0.3">
      <c r="A28" s="25" t="str">
        <f t="shared" si="3"/>
        <v>КОМПЛЕКТ 2.  ЩС-В (ЩРн-12з-0 36 УХЛ3 IP54)  |  Альбом 7.4 ЭОМ (Гараж)</v>
      </c>
      <c r="B28" s="25" t="s">
        <v>547</v>
      </c>
      <c r="C28" s="41"/>
      <c r="D28" s="41" t="s">
        <v>126</v>
      </c>
      <c r="E28" s="40" t="s">
        <v>95</v>
      </c>
      <c r="F28" s="42" t="str">
        <f>ПАРАМЕТРЫ!C7&amp;"%"</f>
        <v>15%</v>
      </c>
      <c r="G28" s="43">
        <f>(G22+G23+G25+G26+G24)*ПАРАМЕТРЫ!C7/100</f>
        <v>10197.25497</v>
      </c>
      <c r="H28" s="43" t="s">
        <v>94</v>
      </c>
      <c r="I28" s="43">
        <v>1</v>
      </c>
      <c r="J28" s="41" t="s">
        <v>11</v>
      </c>
      <c r="K28" s="41" t="s">
        <v>93</v>
      </c>
    </row>
    <row r="29" spans="1:11" ht="54.75" customHeight="1" thickBot="1" x14ac:dyDescent="0.3">
      <c r="A29" s="53" t="str">
        <f>D29</f>
        <v>КОМПЛЕКТ 3.  ЩС-П (ЩРн-24з-0 36 УХЛ3 IP54)  |  Альбом 7.4 ЭОМ (Гараж)</v>
      </c>
      <c r="B29" s="54" t="s">
        <v>144</v>
      </c>
      <c r="C29" s="54"/>
      <c r="D29" s="54" t="s">
        <v>144</v>
      </c>
      <c r="E29" s="54"/>
      <c r="F29" s="54"/>
      <c r="G29" s="54"/>
      <c r="H29" s="54" t="s">
        <v>632</v>
      </c>
      <c r="I29" s="54">
        <v>1</v>
      </c>
      <c r="J29" s="2"/>
      <c r="K29" s="2"/>
    </row>
    <row r="30" spans="1:11" ht="54.75" customHeight="1" x14ac:dyDescent="0.25">
      <c r="A30" s="22" t="str">
        <f t="shared" ref="A30:A35" si="5">A29</f>
        <v>КОМПЛЕКТ 3.  ЩС-П (ЩРн-24з-0 36 УХЛ3 IP54)  |  Альбом 7.4 ЭОМ (Гараж)</v>
      </c>
      <c r="B30" s="22" t="s">
        <v>145</v>
      </c>
      <c r="C30" s="22" t="s">
        <v>92</v>
      </c>
      <c r="D30" s="22" t="s">
        <v>146</v>
      </c>
      <c r="E30" s="21" t="s">
        <v>95</v>
      </c>
      <c r="F30" s="21" t="s">
        <v>95</v>
      </c>
      <c r="G30" s="23">
        <v>0</v>
      </c>
      <c r="H30" s="23" t="s">
        <v>94</v>
      </c>
      <c r="I30" s="23">
        <v>1</v>
      </c>
      <c r="J30" s="22" t="s">
        <v>96</v>
      </c>
      <c r="K30" s="22" t="s">
        <v>93</v>
      </c>
    </row>
    <row r="31" spans="1:11" ht="54.75" customHeight="1" x14ac:dyDescent="0.25">
      <c r="A31" s="25" t="str">
        <f t="shared" si="5"/>
        <v>КОМПЛЕКТ 3.  ЩС-П (ЩРн-24з-0 36 УХЛ3 IP54)  |  Альбом 7.4 ЭОМ (Гараж)</v>
      </c>
      <c r="B31" s="25" t="s">
        <v>147</v>
      </c>
      <c r="C31" s="25" t="s">
        <v>606</v>
      </c>
      <c r="D31" s="25" t="s">
        <v>614</v>
      </c>
      <c r="E31" s="26">
        <f>ПАРАМЕТРЫ!C20</f>
        <v>48.51</v>
      </c>
      <c r="F31" s="27">
        <f t="shared" ref="F31:F33" si="6">E31*0.3*1.33*590</f>
        <v>11419.739100000001</v>
      </c>
      <c r="G31" s="27">
        <f>I31*F31</f>
        <v>11419.739100000001</v>
      </c>
      <c r="H31" s="27" t="s">
        <v>94</v>
      </c>
      <c r="I31" s="27">
        <v>1</v>
      </c>
      <c r="J31" s="25" t="s">
        <v>150</v>
      </c>
      <c r="K31" s="25" t="s">
        <v>93</v>
      </c>
    </row>
    <row r="32" spans="1:11" ht="54.75" customHeight="1" x14ac:dyDescent="0.25">
      <c r="A32" s="29" t="str">
        <f t="shared" si="5"/>
        <v>КОМПЛЕКТ 3.  ЩС-П (ЩРн-24з-0 36 УХЛ3 IP54)  |  Альбом 7.4 ЭОМ (Гараж)</v>
      </c>
      <c r="B32" s="29" t="s">
        <v>151</v>
      </c>
      <c r="C32" s="29" t="s">
        <v>153</v>
      </c>
      <c r="D32" s="29" t="s">
        <v>152</v>
      </c>
      <c r="E32" s="30">
        <f>ПАРАМЕТРЫ!C23</f>
        <v>87.63</v>
      </c>
      <c r="F32" s="27">
        <f t="shared" si="6"/>
        <v>20628.978300000002</v>
      </c>
      <c r="G32" s="31">
        <f>I32*F32</f>
        <v>144402.8481</v>
      </c>
      <c r="H32" s="31" t="s">
        <v>94</v>
      </c>
      <c r="I32" s="31">
        <v>7</v>
      </c>
      <c r="J32" s="29" t="s">
        <v>154</v>
      </c>
      <c r="K32" s="29" t="s">
        <v>93</v>
      </c>
    </row>
    <row r="33" spans="1:11" ht="54.75" customHeight="1" x14ac:dyDescent="0.25">
      <c r="A33" s="29" t="str">
        <f t="shared" si="5"/>
        <v>КОМПЛЕКТ 3.  ЩС-П (ЩРн-24з-0 36 УХЛ3 IP54)  |  Альбом 7.4 ЭОМ (Гараж)</v>
      </c>
      <c r="B33" s="29" t="s">
        <v>156</v>
      </c>
      <c r="C33" s="29" t="s">
        <v>610</v>
      </c>
      <c r="D33" s="29" t="s">
        <v>609</v>
      </c>
      <c r="E33" s="30">
        <v>8.09</v>
      </c>
      <c r="F33" s="27">
        <f t="shared" si="6"/>
        <v>1904.4669000000001</v>
      </c>
      <c r="G33" s="31">
        <f>I33*F33</f>
        <v>1904.4669000000001</v>
      </c>
      <c r="H33" s="31" t="s">
        <v>94</v>
      </c>
      <c r="I33" s="31">
        <v>1</v>
      </c>
      <c r="J33" s="29" t="s">
        <v>157</v>
      </c>
      <c r="K33" s="29" t="s">
        <v>93</v>
      </c>
    </row>
    <row r="34" spans="1:11" ht="54.75" customHeight="1" x14ac:dyDescent="0.25">
      <c r="A34" s="37" t="str">
        <f t="shared" si="5"/>
        <v>КОМПЛЕКТ 3.  ЩС-П (ЩРн-24з-0 36 УХЛ3 IP54)  |  Альбом 7.4 ЭОМ (Гараж)</v>
      </c>
      <c r="B34" s="37" t="s">
        <v>158</v>
      </c>
      <c r="C34" s="37"/>
      <c r="D34" s="37" t="s">
        <v>124</v>
      </c>
      <c r="E34" s="36" t="s">
        <v>95</v>
      </c>
      <c r="F34" s="38" t="str">
        <f>ПАРАМЕТРЫ!C6&amp;"%"</f>
        <v>12%</v>
      </c>
      <c r="G34" s="39" t="e">
        <f>(G31+G32+#REF!+G33)*ПАРАМЕТРЫ!C6/100</f>
        <v>#REF!</v>
      </c>
      <c r="H34" s="39" t="s">
        <v>94</v>
      </c>
      <c r="I34" s="39">
        <v>1</v>
      </c>
      <c r="J34" s="37" t="s">
        <v>11</v>
      </c>
      <c r="K34" s="37" t="s">
        <v>93</v>
      </c>
    </row>
    <row r="35" spans="1:11" ht="54.75" customHeight="1" thickBot="1" x14ac:dyDescent="0.3">
      <c r="A35" s="41" t="str">
        <f t="shared" si="5"/>
        <v>КОМПЛЕКТ 3.  ЩС-П (ЩРн-24з-0 36 УХЛ3 IP54)  |  Альбом 7.4 ЭОМ (Гараж)</v>
      </c>
      <c r="B35" s="41" t="s">
        <v>159</v>
      </c>
      <c r="C35" s="41"/>
      <c r="D35" s="41" t="s">
        <v>126</v>
      </c>
      <c r="E35" s="40" t="s">
        <v>95</v>
      </c>
      <c r="F35" s="42" t="str">
        <f>ПАРАМЕТРЫ!C7&amp;"%"</f>
        <v>15%</v>
      </c>
      <c r="G35" s="43" t="e">
        <f>(G31+G32+#REF!+G33)*ПАРАМЕТРЫ!C7/100</f>
        <v>#REF!</v>
      </c>
      <c r="H35" s="43" t="s">
        <v>94</v>
      </c>
      <c r="I35" s="43">
        <v>1</v>
      </c>
      <c r="J35" s="41" t="s">
        <v>11</v>
      </c>
      <c r="K35" s="41" t="s">
        <v>93</v>
      </c>
    </row>
    <row r="36" spans="1:11" ht="54.75" customHeight="1" thickBot="1" x14ac:dyDescent="0.3">
      <c r="A36" s="53" t="str">
        <f>D36</f>
        <v>КОМПЛЕКТ 4.  ЩС-ПО (ЩРн-12з-0 36 УХЛ3 IP54)  |  Альбом 7.4 ЭОМ (Гараж)</v>
      </c>
      <c r="B36" s="54" t="s">
        <v>160</v>
      </c>
      <c r="C36" s="54"/>
      <c r="D36" s="54" t="s">
        <v>160</v>
      </c>
      <c r="E36" s="54"/>
      <c r="F36" s="54"/>
      <c r="G36" s="54"/>
      <c r="H36" s="54" t="s">
        <v>632</v>
      </c>
      <c r="I36" s="54">
        <v>1</v>
      </c>
      <c r="J36" s="2"/>
      <c r="K36" s="2"/>
    </row>
    <row r="37" spans="1:11" ht="54.75" customHeight="1" x14ac:dyDescent="0.25">
      <c r="A37" s="22" t="str">
        <f t="shared" ref="A37:A43" si="7">A36</f>
        <v>КОМПЛЕКТ 4.  ЩС-ПО (ЩРн-12з-0 36 УХЛ3 IP54)  |  Альбом 7.4 ЭОМ (Гараж)</v>
      </c>
      <c r="B37" s="22" t="s">
        <v>161</v>
      </c>
      <c r="C37" s="22" t="s">
        <v>92</v>
      </c>
      <c r="D37" s="22" t="s">
        <v>129</v>
      </c>
      <c r="E37" s="21" t="s">
        <v>95</v>
      </c>
      <c r="F37" s="21" t="s">
        <v>95</v>
      </c>
      <c r="G37" s="23">
        <v>0</v>
      </c>
      <c r="H37" s="23" t="s">
        <v>94</v>
      </c>
      <c r="I37" s="23">
        <v>1</v>
      </c>
      <c r="J37" s="22" t="s">
        <v>96</v>
      </c>
      <c r="K37" s="22" t="s">
        <v>93</v>
      </c>
    </row>
    <row r="38" spans="1:11" ht="54.75" customHeight="1" x14ac:dyDescent="0.25">
      <c r="A38" s="25" t="str">
        <f t="shared" si="7"/>
        <v>КОМПЛЕКТ 4.  ЩС-ПО (ЩРн-12з-0 36 УХЛ3 IP54)  |  Альбом 7.4 ЭОМ (Гараж)</v>
      </c>
      <c r="B38" s="25" t="s">
        <v>162</v>
      </c>
      <c r="C38" s="25" t="s">
        <v>552</v>
      </c>
      <c r="D38" s="25" t="s">
        <v>550</v>
      </c>
      <c r="E38" s="26">
        <f>ПАРАМЕТРЫ!C29</f>
        <v>100.1</v>
      </c>
      <c r="F38" s="27">
        <f t="shared" ref="F38:F41" si="8">E38*0.3*1.33*590</f>
        <v>23564.541000000001</v>
      </c>
      <c r="G38" s="27">
        <f>I38*F38</f>
        <v>23564.541000000001</v>
      </c>
      <c r="H38" s="27" t="s">
        <v>94</v>
      </c>
      <c r="I38" s="27">
        <v>1</v>
      </c>
      <c r="J38" s="25" t="s">
        <v>163</v>
      </c>
      <c r="K38" s="25" t="s">
        <v>93</v>
      </c>
    </row>
    <row r="39" spans="1:11" ht="54.75" customHeight="1" x14ac:dyDescent="0.25">
      <c r="A39" s="29" t="str">
        <f t="shared" si="7"/>
        <v>КОМПЛЕКТ 4.  ЩС-ПО (ЩРн-12з-0 36 УХЛ3 IP54)  |  Альбом 7.4 ЭОМ (Гараж)</v>
      </c>
      <c r="B39" s="29" t="s">
        <v>164</v>
      </c>
      <c r="C39" s="29" t="s">
        <v>551</v>
      </c>
      <c r="D39" s="29" t="s">
        <v>548</v>
      </c>
      <c r="E39" s="30">
        <f>ПАРАМЕТРЫ!C40</f>
        <v>193.8</v>
      </c>
      <c r="F39" s="27">
        <f t="shared" si="8"/>
        <v>45622.457999999999</v>
      </c>
      <c r="G39" s="31">
        <f>I39*F39</f>
        <v>45622.457999999999</v>
      </c>
      <c r="H39" s="31" t="s">
        <v>94</v>
      </c>
      <c r="I39" s="31">
        <v>1</v>
      </c>
      <c r="J39" s="29" t="s">
        <v>165</v>
      </c>
      <c r="K39" s="29" t="s">
        <v>93</v>
      </c>
    </row>
    <row r="40" spans="1:11" ht="54.75" customHeight="1" x14ac:dyDescent="0.25">
      <c r="A40" s="25" t="str">
        <f t="shared" si="7"/>
        <v>КОМПЛЕКТ 4.  ЩС-ПО (ЩРн-12з-0 36 УХЛ3 IP54)  |  Альбом 7.4 ЭОМ (Гараж)</v>
      </c>
      <c r="B40" s="25" t="s">
        <v>166</v>
      </c>
      <c r="C40" s="25" t="s">
        <v>612</v>
      </c>
      <c r="D40" s="25" t="s">
        <v>613</v>
      </c>
      <c r="E40" s="30">
        <v>36.42</v>
      </c>
      <c r="F40" s="27">
        <f t="shared" si="8"/>
        <v>8573.6322000000018</v>
      </c>
      <c r="G40" s="27">
        <f>I40*F40</f>
        <v>8573.6322000000018</v>
      </c>
      <c r="H40" s="27" t="s">
        <v>94</v>
      </c>
      <c r="I40" s="27">
        <v>1</v>
      </c>
      <c r="J40" s="25" t="s">
        <v>155</v>
      </c>
      <c r="K40" s="25" t="s">
        <v>93</v>
      </c>
    </row>
    <row r="41" spans="1:11" ht="54.75" customHeight="1" x14ac:dyDescent="0.25">
      <c r="A41" s="29" t="str">
        <f t="shared" si="7"/>
        <v>КОМПЛЕКТ 4.  ЩС-ПО (ЩРн-12з-0 36 УХЛ3 IP54)  |  Альбом 7.4 ЭОМ (Гараж)</v>
      </c>
      <c r="B41" s="29" t="s">
        <v>167</v>
      </c>
      <c r="C41" s="29" t="s">
        <v>610</v>
      </c>
      <c r="D41" s="29" t="s">
        <v>609</v>
      </c>
      <c r="E41" s="30">
        <v>8.09</v>
      </c>
      <c r="F41" s="27">
        <f t="shared" si="8"/>
        <v>1904.4669000000001</v>
      </c>
      <c r="G41" s="31">
        <f>I41*F41</f>
        <v>1904.4669000000001</v>
      </c>
      <c r="H41" s="31" t="s">
        <v>94</v>
      </c>
      <c r="I41" s="31">
        <v>1</v>
      </c>
      <c r="J41" s="29" t="s">
        <v>157</v>
      </c>
      <c r="K41" s="29" t="s">
        <v>93</v>
      </c>
    </row>
    <row r="42" spans="1:11" ht="54.75" customHeight="1" x14ac:dyDescent="0.25">
      <c r="A42" s="37" t="str">
        <f t="shared" si="7"/>
        <v>КОМПЛЕКТ 4.  ЩС-ПО (ЩРн-12з-0 36 УХЛ3 IP54)  |  Альбом 7.4 ЭОМ (Гараж)</v>
      </c>
      <c r="B42" s="37" t="s">
        <v>168</v>
      </c>
      <c r="C42" s="37"/>
      <c r="D42" s="37" t="s">
        <v>124</v>
      </c>
      <c r="E42" s="36" t="s">
        <v>95</v>
      </c>
      <c r="F42" s="38" t="str">
        <f>ПАРАМЕТРЫ!C6&amp;"%"</f>
        <v>12%</v>
      </c>
      <c r="G42" s="39">
        <f>(G38+G39+G40+G41)*ПАРАМЕТРЫ!C6/100</f>
        <v>9559.8117720000009</v>
      </c>
      <c r="H42" s="39" t="s">
        <v>94</v>
      </c>
      <c r="I42" s="39">
        <v>1</v>
      </c>
      <c r="J42" s="37" t="s">
        <v>11</v>
      </c>
      <c r="K42" s="37" t="s">
        <v>93</v>
      </c>
    </row>
    <row r="43" spans="1:11" ht="54.75" customHeight="1" thickBot="1" x14ac:dyDescent="0.3">
      <c r="A43" s="41" t="str">
        <f t="shared" si="7"/>
        <v>КОМПЛЕКТ 4.  ЩС-ПО (ЩРн-12з-0 36 УХЛ3 IP54)  |  Альбом 7.4 ЭОМ (Гараж)</v>
      </c>
      <c r="B43" s="41" t="s">
        <v>169</v>
      </c>
      <c r="C43" s="41"/>
      <c r="D43" s="41" t="s">
        <v>126</v>
      </c>
      <c r="E43" s="40" t="s">
        <v>95</v>
      </c>
      <c r="F43" s="42" t="str">
        <f>ПАРАМЕТРЫ!C7&amp;"%"</f>
        <v>15%</v>
      </c>
      <c r="G43" s="43">
        <f>(G38+G39+G40+G41)*ПАРАМЕТРЫ!C7/100</f>
        <v>11949.764714999999</v>
      </c>
      <c r="H43" s="43" t="s">
        <v>94</v>
      </c>
      <c r="I43" s="43">
        <v>1</v>
      </c>
      <c r="J43" s="41" t="s">
        <v>11</v>
      </c>
      <c r="K43" s="41" t="s">
        <v>93</v>
      </c>
    </row>
    <row r="44" spans="1:11" ht="54.75" customHeight="1" thickBot="1" x14ac:dyDescent="0.3">
      <c r="A44" s="53" t="str">
        <f>D44</f>
        <v>КОМПЛЕКТ 5.  ЩС-Пн (ЩРн-12з-0 36 УХЛ3 IP54)  |  Альбом 7.4 ЭОМ (Гараж)</v>
      </c>
      <c r="B44" s="54" t="s">
        <v>170</v>
      </c>
      <c r="C44" s="54"/>
      <c r="D44" s="54" t="s">
        <v>170</v>
      </c>
      <c r="E44" s="54"/>
      <c r="F44" s="54"/>
      <c r="G44" s="54"/>
      <c r="H44" s="54" t="s">
        <v>632</v>
      </c>
      <c r="I44" s="54">
        <v>1</v>
      </c>
      <c r="J44" s="2"/>
      <c r="K44" s="2"/>
    </row>
    <row r="45" spans="1:11" ht="54.75" customHeight="1" x14ac:dyDescent="0.25">
      <c r="A45" s="22" t="str">
        <f t="shared" ref="A45:A49" si="9">A44</f>
        <v>КОМПЛЕКТ 5.  ЩС-Пн (ЩРн-12з-0 36 УХЛ3 IP54)  |  Альбом 7.4 ЭОМ (Гараж)</v>
      </c>
      <c r="B45" s="22" t="s">
        <v>171</v>
      </c>
      <c r="C45" s="22" t="s">
        <v>92</v>
      </c>
      <c r="D45" s="22" t="s">
        <v>146</v>
      </c>
      <c r="E45" s="21" t="s">
        <v>95</v>
      </c>
      <c r="F45" s="21" t="s">
        <v>95</v>
      </c>
      <c r="G45" s="23">
        <v>0</v>
      </c>
      <c r="H45" s="23" t="s">
        <v>94</v>
      </c>
      <c r="I45" s="23">
        <v>1</v>
      </c>
      <c r="J45" s="22" t="s">
        <v>96</v>
      </c>
      <c r="K45" s="22" t="s">
        <v>93</v>
      </c>
    </row>
    <row r="46" spans="1:11" ht="54.75" customHeight="1" x14ac:dyDescent="0.25">
      <c r="A46" s="25" t="str">
        <f t="shared" si="9"/>
        <v>КОМПЛЕКТ 5.  ЩС-Пн (ЩРн-12з-0 36 УХЛ3 IP54)  |  Альбом 7.4 ЭОМ (Гараж)</v>
      </c>
      <c r="B46" s="25" t="s">
        <v>172</v>
      </c>
      <c r="C46" s="25" t="s">
        <v>611</v>
      </c>
      <c r="D46" s="25" t="s">
        <v>604</v>
      </c>
      <c r="E46" s="26">
        <v>36.42</v>
      </c>
      <c r="F46" s="27">
        <f t="shared" ref="F46:F47" si="10">E46*0.3*1.33*590</f>
        <v>8573.6322000000018</v>
      </c>
      <c r="G46" s="27">
        <f>I46*F46</f>
        <v>8573.6322000000018</v>
      </c>
      <c r="H46" s="27" t="s">
        <v>94</v>
      </c>
      <c r="I46" s="27">
        <v>1</v>
      </c>
      <c r="J46" s="25" t="s">
        <v>173</v>
      </c>
      <c r="K46" s="25" t="s">
        <v>93</v>
      </c>
    </row>
    <row r="47" spans="1:11" ht="54.75" customHeight="1" x14ac:dyDescent="0.25">
      <c r="A47" s="29" t="str">
        <f t="shared" si="9"/>
        <v>КОМПЛЕКТ 5.  ЩС-Пн (ЩРн-12з-0 36 УХЛ3 IP54)  |  Альбом 7.4 ЭОМ (Гараж)</v>
      </c>
      <c r="B47" s="29" t="s">
        <v>174</v>
      </c>
      <c r="C47" s="29" t="s">
        <v>612</v>
      </c>
      <c r="D47" s="25" t="s">
        <v>613</v>
      </c>
      <c r="E47" s="30">
        <v>36.42</v>
      </c>
      <c r="F47" s="27">
        <f t="shared" si="10"/>
        <v>8573.6322000000018</v>
      </c>
      <c r="G47" s="31">
        <f>I47*F47</f>
        <v>34294.528800000007</v>
      </c>
      <c r="H47" s="31" t="s">
        <v>94</v>
      </c>
      <c r="I47" s="31">
        <v>4</v>
      </c>
      <c r="J47" s="29" t="s">
        <v>175</v>
      </c>
      <c r="K47" s="29" t="s">
        <v>93</v>
      </c>
    </row>
    <row r="48" spans="1:11" ht="54.75" customHeight="1" x14ac:dyDescent="0.25">
      <c r="A48" s="37" t="str">
        <f t="shared" si="9"/>
        <v>КОМПЛЕКТ 5.  ЩС-Пн (ЩРн-12з-0 36 УХЛ3 IP54)  |  Альбом 7.4 ЭОМ (Гараж)</v>
      </c>
      <c r="B48" s="37" t="s">
        <v>176</v>
      </c>
      <c r="C48" s="37"/>
      <c r="D48" s="37" t="s">
        <v>124</v>
      </c>
      <c r="E48" s="36" t="s">
        <v>95</v>
      </c>
      <c r="F48" s="38" t="str">
        <f>ПАРАМЕТРЫ!C6&amp;"%"</f>
        <v>12%</v>
      </c>
      <c r="G48" s="39">
        <f>(G46+G47)*ПАРАМЕТРЫ!C6/100</f>
        <v>5144.1793200000011</v>
      </c>
      <c r="H48" s="39" t="s">
        <v>94</v>
      </c>
      <c r="I48" s="39">
        <v>1</v>
      </c>
      <c r="J48" s="37" t="s">
        <v>11</v>
      </c>
      <c r="K48" s="37" t="s">
        <v>93</v>
      </c>
    </row>
    <row r="49" spans="1:11" ht="54.75" customHeight="1" thickBot="1" x14ac:dyDescent="0.3">
      <c r="A49" s="41" t="str">
        <f t="shared" si="9"/>
        <v>КОМПЛЕКТ 5.  ЩС-Пн (ЩРн-12з-0 36 УХЛ3 IP54)  |  Альбом 7.4 ЭОМ (Гараж)</v>
      </c>
      <c r="B49" s="41" t="s">
        <v>177</v>
      </c>
      <c r="C49" s="41"/>
      <c r="D49" s="41" t="s">
        <v>126</v>
      </c>
      <c r="E49" s="40" t="s">
        <v>95</v>
      </c>
      <c r="F49" s="42" t="str">
        <f>ПАРАМЕТРЫ!C7&amp;"%"</f>
        <v>15%</v>
      </c>
      <c r="G49" s="43">
        <f>(G46+G47)*ПАРАМЕТРЫ!C7/100</f>
        <v>6430.2241500000018</v>
      </c>
      <c r="H49" s="43" t="s">
        <v>94</v>
      </c>
      <c r="I49" s="43">
        <v>1</v>
      </c>
      <c r="J49" s="41" t="s">
        <v>11</v>
      </c>
      <c r="K49" s="41" t="s">
        <v>93</v>
      </c>
    </row>
    <row r="50" spans="1:11" ht="54.75" customHeight="1" thickBot="1" x14ac:dyDescent="0.3">
      <c r="A50" s="53" t="str">
        <f>D50</f>
        <v>КОМПЛЕКТ 6.  ЩС-Вр (ЩРн-18з-0 36 УХЛ3 IP54)  |  Альбом 7.4 ЭОМ (Гараж)</v>
      </c>
      <c r="B50" s="54" t="s">
        <v>178</v>
      </c>
      <c r="C50" s="54"/>
      <c r="D50" s="54" t="s">
        <v>178</v>
      </c>
      <c r="E50" s="54"/>
      <c r="F50" s="54"/>
      <c r="G50" s="54"/>
      <c r="H50" s="54" t="s">
        <v>632</v>
      </c>
      <c r="I50" s="54">
        <v>1</v>
      </c>
      <c r="J50" s="2"/>
      <c r="K50" s="2"/>
    </row>
    <row r="51" spans="1:11" ht="54.75" customHeight="1" x14ac:dyDescent="0.25">
      <c r="A51" s="22" t="str">
        <f t="shared" ref="A51:A55" si="11">A50</f>
        <v>КОМПЛЕКТ 6.  ЩС-Вр (ЩРн-18з-0 36 УХЛ3 IP54)  |  Альбом 7.4 ЭОМ (Гараж)</v>
      </c>
      <c r="B51" s="22" t="s">
        <v>179</v>
      </c>
      <c r="C51" s="22" t="s">
        <v>92</v>
      </c>
      <c r="D51" s="22" t="s">
        <v>180</v>
      </c>
      <c r="E51" s="21" t="s">
        <v>95</v>
      </c>
      <c r="F51" s="21" t="s">
        <v>95</v>
      </c>
      <c r="G51" s="23">
        <v>0</v>
      </c>
      <c r="H51" s="23" t="s">
        <v>94</v>
      </c>
      <c r="I51" s="23">
        <v>1</v>
      </c>
      <c r="J51" s="22" t="s">
        <v>96</v>
      </c>
      <c r="K51" s="22" t="s">
        <v>93</v>
      </c>
    </row>
    <row r="52" spans="1:11" ht="54.75" customHeight="1" x14ac:dyDescent="0.25">
      <c r="A52" s="25" t="str">
        <f t="shared" si="11"/>
        <v>КОМПЛЕКТ 6.  ЩС-Вр (ЩРн-18з-0 36 УХЛ3 IP54)  |  Альбом 7.4 ЭОМ (Гараж)</v>
      </c>
      <c r="B52" s="25" t="s">
        <v>181</v>
      </c>
      <c r="C52" s="25" t="s">
        <v>611</v>
      </c>
      <c r="D52" s="25" t="s">
        <v>604</v>
      </c>
      <c r="E52" s="26">
        <v>36.42</v>
      </c>
      <c r="F52" s="27">
        <f t="shared" ref="F52:F53" si="12">E52*0.3*1.33*590</f>
        <v>8573.6322000000018</v>
      </c>
      <c r="G52" s="27">
        <f>I52*F52</f>
        <v>8573.6322000000018</v>
      </c>
      <c r="H52" s="27" t="s">
        <v>94</v>
      </c>
      <c r="I52" s="27">
        <v>1</v>
      </c>
      <c r="J52" s="25" t="s">
        <v>182</v>
      </c>
      <c r="K52" s="25" t="s">
        <v>93</v>
      </c>
    </row>
    <row r="53" spans="1:11" ht="54.75" customHeight="1" x14ac:dyDescent="0.25">
      <c r="A53" s="29" t="str">
        <f t="shared" si="11"/>
        <v>КОМПЛЕКТ 6.  ЩС-Вр (ЩРн-18з-0 36 УХЛ3 IP54)  |  Альбом 7.4 ЭОМ (Гараж)</v>
      </c>
      <c r="B53" s="29" t="s">
        <v>183</v>
      </c>
      <c r="C53" s="29" t="s">
        <v>612</v>
      </c>
      <c r="D53" s="25" t="s">
        <v>613</v>
      </c>
      <c r="E53" s="30">
        <v>36.42</v>
      </c>
      <c r="F53" s="27">
        <f t="shared" si="12"/>
        <v>8573.6322000000018</v>
      </c>
      <c r="G53" s="31">
        <f>I53*F53</f>
        <v>42868.161000000007</v>
      </c>
      <c r="H53" s="31" t="s">
        <v>94</v>
      </c>
      <c r="I53" s="31">
        <v>5</v>
      </c>
      <c r="J53" s="29" t="s">
        <v>184</v>
      </c>
      <c r="K53" s="29" t="s">
        <v>93</v>
      </c>
    </row>
    <row r="54" spans="1:11" ht="54.75" customHeight="1" x14ac:dyDescent="0.25">
      <c r="A54" s="37" t="str">
        <f t="shared" si="11"/>
        <v>КОМПЛЕКТ 6.  ЩС-Вр (ЩРн-18з-0 36 УХЛ3 IP54)  |  Альбом 7.4 ЭОМ (Гараж)</v>
      </c>
      <c r="B54" s="37" t="s">
        <v>185</v>
      </c>
      <c r="C54" s="37"/>
      <c r="D54" s="37" t="s">
        <v>124</v>
      </c>
      <c r="E54" s="36" t="s">
        <v>95</v>
      </c>
      <c r="F54" s="38" t="str">
        <f>ПАРАМЕТРЫ!C6&amp;"%"</f>
        <v>12%</v>
      </c>
      <c r="G54" s="39">
        <f>(G52+G53)*ПАРАМЕТРЫ!C6/100</f>
        <v>6173.0151840000008</v>
      </c>
      <c r="H54" s="39" t="s">
        <v>94</v>
      </c>
      <c r="I54" s="39">
        <v>1</v>
      </c>
      <c r="J54" s="37" t="s">
        <v>11</v>
      </c>
      <c r="K54" s="37" t="s">
        <v>93</v>
      </c>
    </row>
    <row r="55" spans="1:11" ht="54.75" customHeight="1" thickBot="1" x14ac:dyDescent="0.3">
      <c r="A55" s="41" t="str">
        <f t="shared" si="11"/>
        <v>КОМПЛЕКТ 6.  ЩС-Вр (ЩРн-18з-0 36 УХЛ3 IP54)  |  Альбом 7.4 ЭОМ (Гараж)</v>
      </c>
      <c r="B55" s="41" t="s">
        <v>186</v>
      </c>
      <c r="C55" s="41"/>
      <c r="D55" s="41" t="s">
        <v>126</v>
      </c>
      <c r="E55" s="40" t="s">
        <v>95</v>
      </c>
      <c r="F55" s="42" t="str">
        <f>ПАРАМЕТРЫ!C7&amp;"%"</f>
        <v>15%</v>
      </c>
      <c r="G55" s="43">
        <f>(G52+G53)*ПАРАМЕТРЫ!C7/100</f>
        <v>7716.2689800000016</v>
      </c>
      <c r="H55" s="43" t="s">
        <v>94</v>
      </c>
      <c r="I55" s="43">
        <v>1</v>
      </c>
      <c r="J55" s="41" t="s">
        <v>11</v>
      </c>
      <c r="K55" s="41" t="s">
        <v>93</v>
      </c>
    </row>
    <row r="56" spans="1:11" ht="54.75" customHeight="1" thickBot="1" x14ac:dyDescent="0.3">
      <c r="A56" s="53" t="str">
        <f>D56</f>
        <v>КОМПЛЕКТ 7.  ЩО (ЩРн-12з-0 36 УХЛ3 IP54)  |  Альбом 7.4 ЭОМ (Гараж)</v>
      </c>
      <c r="B56" s="54" t="s">
        <v>187</v>
      </c>
      <c r="C56" s="54"/>
      <c r="D56" s="54" t="s">
        <v>187</v>
      </c>
      <c r="E56" s="54"/>
      <c r="F56" s="54"/>
      <c r="G56" s="54"/>
      <c r="H56" s="54" t="s">
        <v>632</v>
      </c>
      <c r="I56" s="54">
        <v>1</v>
      </c>
      <c r="J56" s="2"/>
      <c r="K56" s="2"/>
    </row>
    <row r="57" spans="1:11" ht="54.75" customHeight="1" x14ac:dyDescent="0.25">
      <c r="A57" s="22" t="str">
        <f t="shared" ref="A57:A63" si="13">A56</f>
        <v>КОМПЛЕКТ 7.  ЩО (ЩРн-12з-0 36 УХЛ3 IP54)  |  Альбом 7.4 ЭОМ (Гараж)</v>
      </c>
      <c r="B57" s="22" t="s">
        <v>188</v>
      </c>
      <c r="C57" s="22" t="s">
        <v>92</v>
      </c>
      <c r="D57" s="22" t="s">
        <v>129</v>
      </c>
      <c r="E57" s="21" t="s">
        <v>95</v>
      </c>
      <c r="F57" s="21" t="s">
        <v>95</v>
      </c>
      <c r="G57" s="23">
        <v>0</v>
      </c>
      <c r="H57" s="23" t="s">
        <v>94</v>
      </c>
      <c r="I57" s="23">
        <v>1</v>
      </c>
      <c r="J57" s="22" t="s">
        <v>96</v>
      </c>
      <c r="K57" s="22" t="s">
        <v>93</v>
      </c>
    </row>
    <row r="58" spans="1:11" ht="54.75" customHeight="1" x14ac:dyDescent="0.25">
      <c r="A58" s="25" t="str">
        <f t="shared" si="13"/>
        <v>КОМПЛЕКТ 7.  ЩО (ЩРн-12з-0 36 УХЛ3 IP54)  |  Альбом 7.4 ЭОМ (Гараж)</v>
      </c>
      <c r="B58" s="25" t="s">
        <v>181</v>
      </c>
      <c r="C58" s="25" t="s">
        <v>611</v>
      </c>
      <c r="D58" s="25" t="s">
        <v>604</v>
      </c>
      <c r="E58" s="26">
        <v>36.42</v>
      </c>
      <c r="F58" s="27">
        <f t="shared" ref="F58:F59" si="14">E58*0.3*1.33*590</f>
        <v>8573.6322000000018</v>
      </c>
      <c r="G58" s="27">
        <f>I58*F58</f>
        <v>8573.6322000000018</v>
      </c>
      <c r="H58" s="27" t="s">
        <v>94</v>
      </c>
      <c r="I58" s="27">
        <v>1</v>
      </c>
      <c r="J58" s="25" t="s">
        <v>182</v>
      </c>
      <c r="K58" s="25" t="s">
        <v>93</v>
      </c>
    </row>
    <row r="59" spans="1:11" ht="54.75" customHeight="1" x14ac:dyDescent="0.25">
      <c r="A59" s="29" t="str">
        <f t="shared" si="13"/>
        <v>КОМПЛЕКТ 7.  ЩО (ЩРн-12з-0 36 УХЛ3 IP54)  |  Альбом 7.4 ЭОМ (Гараж)</v>
      </c>
      <c r="B59" s="29" t="s">
        <v>189</v>
      </c>
      <c r="C59" s="29" t="s">
        <v>610</v>
      </c>
      <c r="D59" s="29" t="s">
        <v>609</v>
      </c>
      <c r="E59" s="30">
        <v>8.09</v>
      </c>
      <c r="F59" s="27">
        <f t="shared" si="14"/>
        <v>1904.4669000000001</v>
      </c>
      <c r="G59" s="31">
        <f>I59*F59</f>
        <v>9522.3345000000008</v>
      </c>
      <c r="H59" s="31" t="s">
        <v>94</v>
      </c>
      <c r="I59" s="31">
        <v>5</v>
      </c>
      <c r="J59" s="29" t="s">
        <v>190</v>
      </c>
      <c r="K59" s="29" t="s">
        <v>93</v>
      </c>
    </row>
    <row r="60" spans="1:11" ht="54.75" customHeight="1" x14ac:dyDescent="0.25">
      <c r="A60" s="25" t="str">
        <f t="shared" si="13"/>
        <v>КОМПЛЕКТ 7.  ЩО (ЩРн-12з-0 36 УХЛ3 IP54)  |  Альбом 7.4 ЭОМ (Гараж)</v>
      </c>
      <c r="B60" s="25" t="s">
        <v>191</v>
      </c>
      <c r="C60" s="25" t="s">
        <v>193</v>
      </c>
      <c r="D60" s="25" t="s">
        <v>192</v>
      </c>
      <c r="E60" s="27">
        <f>ПАРАМЕТРЫ!C38</f>
        <v>29812</v>
      </c>
      <c r="F60" s="27">
        <f>ПАРАМЕТРЫ!D38</f>
        <v>7018042.9200000009</v>
      </c>
      <c r="G60" s="27">
        <f>I60*F60</f>
        <v>14036085.840000002</v>
      </c>
      <c r="H60" s="27" t="s">
        <v>94</v>
      </c>
      <c r="I60" s="27">
        <v>2</v>
      </c>
      <c r="J60" s="25" t="s">
        <v>194</v>
      </c>
      <c r="K60" s="25" t="s">
        <v>93</v>
      </c>
    </row>
    <row r="61" spans="1:11" ht="54.75" customHeight="1" x14ac:dyDescent="0.25">
      <c r="A61" s="37" t="str">
        <f t="shared" si="13"/>
        <v>КОМПЛЕКТ 7.  ЩО (ЩРн-12з-0 36 УХЛ3 IP54)  |  Альбом 7.4 ЭОМ (Гараж)</v>
      </c>
      <c r="B61" s="37" t="s">
        <v>195</v>
      </c>
      <c r="C61" s="37"/>
      <c r="D61" s="37" t="s">
        <v>124</v>
      </c>
      <c r="E61" s="36" t="s">
        <v>95</v>
      </c>
      <c r="F61" s="38" t="str">
        <f>ПАРАМЕТРЫ!C6&amp;"%"</f>
        <v>12%</v>
      </c>
      <c r="G61" s="39">
        <f>(G58+G59+G60)*ПАРАМЕТРЫ!C6/100</f>
        <v>1686501.8168040002</v>
      </c>
      <c r="H61" s="39" t="s">
        <v>94</v>
      </c>
      <c r="I61" s="39">
        <v>1</v>
      </c>
      <c r="J61" s="37" t="s">
        <v>11</v>
      </c>
      <c r="K61" s="37" t="s">
        <v>93</v>
      </c>
    </row>
    <row r="62" spans="1:11" ht="54.75" customHeight="1" thickBot="1" x14ac:dyDescent="0.3">
      <c r="A62" s="41" t="str">
        <f t="shared" si="13"/>
        <v>КОМПЛЕКТ 7.  ЩО (ЩРн-12з-0 36 УХЛ3 IP54)  |  Альбом 7.4 ЭОМ (Гараж)</v>
      </c>
      <c r="B62" s="41" t="s">
        <v>196</v>
      </c>
      <c r="C62" s="41"/>
      <c r="D62" s="41" t="s">
        <v>126</v>
      </c>
      <c r="E62" s="40" t="s">
        <v>95</v>
      </c>
      <c r="F62" s="42" t="str">
        <f>ПАРАМЕТРЫ!C7&amp;"%"</f>
        <v>15%</v>
      </c>
      <c r="G62" s="43">
        <f>(G58+G59+G60)*ПАРАМЕТРЫ!C7/100</f>
        <v>2108127.2710050005</v>
      </c>
      <c r="H62" s="43" t="s">
        <v>94</v>
      </c>
      <c r="I62" s="43">
        <v>1</v>
      </c>
      <c r="J62" s="41" t="s">
        <v>11</v>
      </c>
      <c r="K62" s="41" t="s">
        <v>93</v>
      </c>
    </row>
    <row r="63" spans="1:11" ht="54.75" customHeight="1" thickBot="1" x14ac:dyDescent="0.3">
      <c r="A63" s="20" t="str">
        <f t="shared" si="13"/>
        <v>КОМПЛЕКТ 7.  ЩО (ЩРн-12з-0 36 УХЛ3 IP54)  |  Альбом 7.4 ЭОМ (Гараж)</v>
      </c>
      <c r="B63" s="20"/>
      <c r="C63" s="19" t="s">
        <v>197</v>
      </c>
      <c r="D63" s="20"/>
      <c r="E63" s="20"/>
      <c r="F63" s="20"/>
      <c r="G63" s="20"/>
      <c r="H63" s="20"/>
      <c r="I63" s="20"/>
      <c r="J63" s="20"/>
      <c r="K63" s="20"/>
    </row>
    <row r="64" spans="1:11" ht="54.75" customHeight="1" thickBot="1" x14ac:dyDescent="0.3">
      <c r="A64" s="53" t="str">
        <f>D64</f>
        <v>КОМПЛЕКТ 8.  ЩО-1.1 (ЩРн-36з-0 36 УХЛ3 IP54)  |  Альбом 7.1 ЭО (Концертный зал)</v>
      </c>
      <c r="B64" s="54" t="s">
        <v>198</v>
      </c>
      <c r="C64" s="54"/>
      <c r="D64" s="54" t="s">
        <v>198</v>
      </c>
      <c r="E64" s="54"/>
      <c r="F64" s="54"/>
      <c r="G64" s="54"/>
      <c r="H64" s="54" t="s">
        <v>632</v>
      </c>
      <c r="I64" s="54">
        <v>1</v>
      </c>
      <c r="J64" s="2"/>
      <c r="K64" s="2"/>
    </row>
    <row r="65" spans="1:11" ht="54.75" customHeight="1" x14ac:dyDescent="0.25">
      <c r="A65" s="22" t="str">
        <f t="shared" ref="A65:A72" si="15">A64</f>
        <v>КОМПЛЕКТ 8.  ЩО-1.1 (ЩРн-36з-0 36 УХЛ3 IP54)  |  Альбом 7.1 ЭО (Концертный зал)</v>
      </c>
      <c r="B65" s="22" t="s">
        <v>199</v>
      </c>
      <c r="C65" s="22" t="s">
        <v>92</v>
      </c>
      <c r="D65" s="22" t="s">
        <v>200</v>
      </c>
      <c r="E65" s="21" t="s">
        <v>95</v>
      </c>
      <c r="F65" s="21" t="s">
        <v>95</v>
      </c>
      <c r="G65" s="23">
        <v>0</v>
      </c>
      <c r="H65" s="23" t="s">
        <v>94</v>
      </c>
      <c r="I65" s="23">
        <v>1</v>
      </c>
      <c r="J65" s="22" t="s">
        <v>96</v>
      </c>
      <c r="K65" s="22" t="s">
        <v>201</v>
      </c>
    </row>
    <row r="66" spans="1:11" ht="54.75" customHeight="1" x14ac:dyDescent="0.25">
      <c r="A66" s="25" t="str">
        <f t="shared" si="15"/>
        <v>КОМПЛЕКТ 8.  ЩО-1.1 (ЩРн-36з-0 36 УХЛ3 IP54)  |  Альбом 7.1 ЭО (Концертный зал)</v>
      </c>
      <c r="B66" s="25" t="s">
        <v>181</v>
      </c>
      <c r="C66" s="25" t="s">
        <v>611</v>
      </c>
      <c r="D66" s="25" t="s">
        <v>604</v>
      </c>
      <c r="E66" s="26">
        <v>36.42</v>
      </c>
      <c r="F66" s="27">
        <f t="shared" ref="F66:F69" si="16">E66*0.3*1.33*590</f>
        <v>8573.6322000000018</v>
      </c>
      <c r="G66" s="27">
        <f>I66*F66</f>
        <v>8573.6322000000018</v>
      </c>
      <c r="H66" s="27" t="s">
        <v>94</v>
      </c>
      <c r="I66" s="27">
        <v>1</v>
      </c>
      <c r="J66" s="25" t="s">
        <v>182</v>
      </c>
      <c r="K66" s="41" t="s">
        <v>201</v>
      </c>
    </row>
    <row r="67" spans="1:11" ht="54.75" customHeight="1" x14ac:dyDescent="0.25">
      <c r="A67" s="29" t="str">
        <f t="shared" si="15"/>
        <v>КОМПЛЕКТ 8.  ЩО-1.1 (ЩРн-36з-0 36 УХЛ3 IP54)  |  Альбом 7.1 ЭО (Концертный зал)</v>
      </c>
      <c r="B67" s="29" t="s">
        <v>202</v>
      </c>
      <c r="C67" s="29" t="s">
        <v>610</v>
      </c>
      <c r="D67" s="29" t="s">
        <v>609</v>
      </c>
      <c r="E67" s="30">
        <v>8.09</v>
      </c>
      <c r="F67" s="27">
        <f t="shared" si="16"/>
        <v>1904.4669000000001</v>
      </c>
      <c r="G67" s="31">
        <f>I67*F67</f>
        <v>47611.672500000001</v>
      </c>
      <c r="H67" s="31" t="s">
        <v>94</v>
      </c>
      <c r="I67" s="31">
        <v>25</v>
      </c>
      <c r="J67" s="29"/>
      <c r="K67" s="41" t="s">
        <v>201</v>
      </c>
    </row>
    <row r="68" spans="1:11" ht="54.75" customHeight="1" x14ac:dyDescent="0.25">
      <c r="A68" s="25" t="str">
        <f t="shared" si="15"/>
        <v>КОМПЛЕКТ 8.  ЩО-1.1 (ЩРн-36з-0 36 УХЛ3 IP54)  |  Альбом 7.1 ЭО (Концертный зал)</v>
      </c>
      <c r="B68" s="25" t="s">
        <v>203</v>
      </c>
      <c r="C68" s="25" t="s">
        <v>153</v>
      </c>
      <c r="D68" s="25" t="s">
        <v>152</v>
      </c>
      <c r="E68" s="26">
        <f>ПАРАМЕТРЫ!C23</f>
        <v>87.63</v>
      </c>
      <c r="F68" s="27">
        <f t="shared" si="16"/>
        <v>20628.978300000002</v>
      </c>
      <c r="G68" s="27">
        <f>I68*F68</f>
        <v>0</v>
      </c>
      <c r="H68" s="27" t="s">
        <v>94</v>
      </c>
      <c r="I68" s="27">
        <v>0</v>
      </c>
      <c r="J68" s="25"/>
      <c r="K68" s="41" t="s">
        <v>201</v>
      </c>
    </row>
    <row r="69" spans="1:11" ht="54.75" customHeight="1" x14ac:dyDescent="0.25">
      <c r="A69" s="29" t="str">
        <f t="shared" si="15"/>
        <v>КОМПЛЕКТ 8.  ЩО-1.1 (ЩРн-36з-0 36 УХЛ3 IP54)  |  Альбом 7.1 ЭО (Концертный зал)</v>
      </c>
      <c r="B69" s="29" t="s">
        <v>204</v>
      </c>
      <c r="C69" s="29" t="s">
        <v>136</v>
      </c>
      <c r="D69" s="29" t="s">
        <v>135</v>
      </c>
      <c r="E69" s="30">
        <f>ПАРАМЕТРЫ!C33</f>
        <v>41.58</v>
      </c>
      <c r="F69" s="27">
        <f t="shared" si="16"/>
        <v>9788.3477999999996</v>
      </c>
      <c r="G69" s="31">
        <f>I69*F69</f>
        <v>68518.434599999993</v>
      </c>
      <c r="H69" s="31" t="s">
        <v>94</v>
      </c>
      <c r="I69" s="31">
        <v>7</v>
      </c>
      <c r="J69" s="29"/>
      <c r="K69" s="41" t="s">
        <v>201</v>
      </c>
    </row>
    <row r="70" spans="1:11" ht="54.75" customHeight="1" x14ac:dyDescent="0.25">
      <c r="A70" s="25" t="str">
        <f t="shared" si="15"/>
        <v>КОМПЛЕКТ 8.  ЩО-1.1 (ЩРн-36з-0 36 УХЛ3 IP54)  |  Альбом 7.1 ЭО (Концертный зал)</v>
      </c>
      <c r="B70" s="25" t="s">
        <v>205</v>
      </c>
      <c r="C70" s="25" t="s">
        <v>95</v>
      </c>
      <c r="D70" s="25" t="s">
        <v>206</v>
      </c>
      <c r="E70" s="26">
        <f>ПАРАМЕТРЫ!C37</f>
        <v>1.5</v>
      </c>
      <c r="F70" s="27">
        <f>ПАРАМЕТРЫ!D37</f>
        <v>353.11499999999995</v>
      </c>
      <c r="G70" s="27">
        <f>I70*F70</f>
        <v>2471.8049999999998</v>
      </c>
      <c r="H70" s="27" t="s">
        <v>94</v>
      </c>
      <c r="I70" s="27">
        <v>7</v>
      </c>
      <c r="J70" s="25" t="s">
        <v>207</v>
      </c>
      <c r="K70" s="41" t="s">
        <v>201</v>
      </c>
    </row>
    <row r="71" spans="1:11" ht="54.75" customHeight="1" x14ac:dyDescent="0.25">
      <c r="A71" s="37" t="str">
        <f t="shared" si="15"/>
        <v>КОМПЛЕКТ 8.  ЩО-1.1 (ЩРн-36з-0 36 УХЛ3 IP54)  |  Альбом 7.1 ЭО (Концертный зал)</v>
      </c>
      <c r="B71" s="37" t="s">
        <v>208</v>
      </c>
      <c r="C71" s="37"/>
      <c r="D71" s="37" t="s">
        <v>124</v>
      </c>
      <c r="E71" s="36" t="s">
        <v>95</v>
      </c>
      <c r="F71" s="38" t="str">
        <f>ПАРАМЕТРЫ!C6&amp;"%"</f>
        <v>12%</v>
      </c>
      <c r="G71" s="39">
        <f>(G66+G67+G68+G69+G70)*ПАРАМЕТРЫ!C6/100</f>
        <v>15261.065315999998</v>
      </c>
      <c r="H71" s="39" t="s">
        <v>94</v>
      </c>
      <c r="I71" s="39">
        <v>1</v>
      </c>
      <c r="J71" s="37" t="s">
        <v>11</v>
      </c>
      <c r="K71" s="41" t="s">
        <v>201</v>
      </c>
    </row>
    <row r="72" spans="1:11" ht="54.75" customHeight="1" thickBot="1" x14ac:dyDescent="0.3">
      <c r="A72" s="41" t="str">
        <f t="shared" si="15"/>
        <v>КОМПЛЕКТ 8.  ЩО-1.1 (ЩРн-36з-0 36 УХЛ3 IP54)  |  Альбом 7.1 ЭО (Концертный зал)</v>
      </c>
      <c r="B72" s="41" t="s">
        <v>209</v>
      </c>
      <c r="C72" s="41"/>
      <c r="D72" s="41" t="s">
        <v>126</v>
      </c>
      <c r="E72" s="40" t="s">
        <v>95</v>
      </c>
      <c r="F72" s="42" t="str">
        <f>ПАРАМЕТРЫ!C7&amp;"%"</f>
        <v>15%</v>
      </c>
      <c r="G72" s="43">
        <f>(G66+G67+G68+G69+G70)*ПАРАМЕТРЫ!C7/100</f>
        <v>19076.331644999998</v>
      </c>
      <c r="H72" s="43" t="s">
        <v>94</v>
      </c>
      <c r="I72" s="43">
        <v>1</v>
      </c>
      <c r="J72" s="41" t="s">
        <v>11</v>
      </c>
      <c r="K72" s="41" t="s">
        <v>201</v>
      </c>
    </row>
    <row r="73" spans="1:11" ht="54.75" customHeight="1" thickBot="1" x14ac:dyDescent="0.3">
      <c r="A73" s="53" t="str">
        <f>D73</f>
        <v>КОМПЛЕКТ 9.  ЩО-1.2 (ЩРн-12з-0 36 УХЛ3 IP54)  |  Альбом 7.1 ЭО (Концертный зал)</v>
      </c>
      <c r="B73" s="54" t="s">
        <v>210</v>
      </c>
      <c r="C73" s="54"/>
      <c r="D73" s="54" t="s">
        <v>210</v>
      </c>
      <c r="E73" s="54"/>
      <c r="F73" s="54"/>
      <c r="G73" s="54"/>
      <c r="H73" s="54" t="s">
        <v>632</v>
      </c>
      <c r="I73" s="54">
        <v>1</v>
      </c>
      <c r="J73" s="2"/>
      <c r="K73" s="2"/>
    </row>
    <row r="74" spans="1:11" ht="54.75" customHeight="1" x14ac:dyDescent="0.25">
      <c r="A74" s="22" t="str">
        <f t="shared" ref="A74:A81" si="17">A73</f>
        <v>КОМПЛЕКТ 9.  ЩО-1.2 (ЩРн-12з-0 36 УХЛ3 IP54)  |  Альбом 7.1 ЭО (Концертный зал)</v>
      </c>
      <c r="B74" s="22" t="s">
        <v>211</v>
      </c>
      <c r="C74" s="22" t="s">
        <v>92</v>
      </c>
      <c r="D74" s="22" t="s">
        <v>129</v>
      </c>
      <c r="E74" s="21" t="s">
        <v>95</v>
      </c>
      <c r="F74" s="21" t="s">
        <v>95</v>
      </c>
      <c r="G74" s="23">
        <v>0</v>
      </c>
      <c r="H74" s="23" t="s">
        <v>94</v>
      </c>
      <c r="I74" s="23">
        <v>1</v>
      </c>
      <c r="J74" s="22" t="s">
        <v>96</v>
      </c>
      <c r="K74" s="22" t="s">
        <v>201</v>
      </c>
    </row>
    <row r="75" spans="1:11" ht="54.75" customHeight="1" x14ac:dyDescent="0.25">
      <c r="A75" s="25" t="str">
        <f t="shared" si="17"/>
        <v>КОМПЛЕКТ 9.  ЩО-1.2 (ЩРн-12з-0 36 УХЛ3 IP54)  |  Альбом 7.1 ЭО (Концертный зал)</v>
      </c>
      <c r="B75" s="25" t="s">
        <v>181</v>
      </c>
      <c r="C75" s="25" t="s">
        <v>611</v>
      </c>
      <c r="D75" s="25" t="s">
        <v>604</v>
      </c>
      <c r="E75" s="26">
        <v>36.42</v>
      </c>
      <c r="F75" s="27">
        <f t="shared" ref="F75:F78" si="18">E75*0.3*1.33*590</f>
        <v>8573.6322000000018</v>
      </c>
      <c r="G75" s="27">
        <f>I75*F75</f>
        <v>8573.6322000000018</v>
      </c>
      <c r="H75" s="27" t="s">
        <v>94</v>
      </c>
      <c r="I75" s="27">
        <v>1</v>
      </c>
      <c r="J75" s="25" t="s">
        <v>182</v>
      </c>
      <c r="K75" s="41" t="s">
        <v>201</v>
      </c>
    </row>
    <row r="76" spans="1:11" ht="54.75" customHeight="1" x14ac:dyDescent="0.25">
      <c r="A76" s="29" t="str">
        <f t="shared" si="17"/>
        <v>КОМПЛЕКТ 9.  ЩО-1.2 (ЩРн-12з-0 36 УХЛ3 IP54)  |  Альбом 7.1 ЭО (Концертный зал)</v>
      </c>
      <c r="B76" s="29" t="s">
        <v>212</v>
      </c>
      <c r="C76" s="29" t="s">
        <v>610</v>
      </c>
      <c r="D76" s="29" t="s">
        <v>609</v>
      </c>
      <c r="E76" s="30">
        <v>8.09</v>
      </c>
      <c r="F76" s="27">
        <f t="shared" si="18"/>
        <v>1904.4669000000001</v>
      </c>
      <c r="G76" s="31">
        <f>I76*F76</f>
        <v>15235.735200000001</v>
      </c>
      <c r="H76" s="31" t="s">
        <v>94</v>
      </c>
      <c r="I76" s="31">
        <v>8</v>
      </c>
      <c r="J76" s="29"/>
      <c r="K76" s="41" t="s">
        <v>201</v>
      </c>
    </row>
    <row r="77" spans="1:11" ht="54.75" customHeight="1" x14ac:dyDescent="0.25">
      <c r="A77" s="25" t="str">
        <f t="shared" si="17"/>
        <v>КОМПЛЕКТ 9.  ЩО-1.2 (ЩРн-12з-0 36 УХЛ3 IP54)  |  Альбом 7.1 ЭО (Концертный зал)</v>
      </c>
      <c r="B77" s="25" t="s">
        <v>213</v>
      </c>
      <c r="C77" s="25" t="s">
        <v>153</v>
      </c>
      <c r="D77" s="25" t="s">
        <v>152</v>
      </c>
      <c r="E77" s="26">
        <f>ПАРАМЕТРЫ!C23</f>
        <v>87.63</v>
      </c>
      <c r="F77" s="27">
        <f t="shared" si="18"/>
        <v>20628.978300000002</v>
      </c>
      <c r="G77" s="27">
        <f>I77*F77</f>
        <v>0</v>
      </c>
      <c r="H77" s="27" t="s">
        <v>94</v>
      </c>
      <c r="I77" s="27">
        <v>0</v>
      </c>
      <c r="J77" s="25"/>
      <c r="K77" s="41" t="s">
        <v>201</v>
      </c>
    </row>
    <row r="78" spans="1:11" ht="54.75" customHeight="1" x14ac:dyDescent="0.25">
      <c r="A78" s="29" t="str">
        <f t="shared" si="17"/>
        <v>КОМПЛЕКТ 9.  ЩО-1.2 (ЩРн-12з-0 36 УХЛ3 IP54)  |  Альбом 7.1 ЭО (Концертный зал)</v>
      </c>
      <c r="B78" s="29" t="s">
        <v>214</v>
      </c>
      <c r="C78" s="29" t="s">
        <v>136</v>
      </c>
      <c r="D78" s="29" t="s">
        <v>135</v>
      </c>
      <c r="E78" s="30">
        <f>ПАРАМЕТРЫ!C33</f>
        <v>41.58</v>
      </c>
      <c r="F78" s="27">
        <f t="shared" si="18"/>
        <v>9788.3477999999996</v>
      </c>
      <c r="G78" s="31">
        <f>I78*F78</f>
        <v>39153.391199999998</v>
      </c>
      <c r="H78" s="31" t="s">
        <v>94</v>
      </c>
      <c r="I78" s="31">
        <v>4</v>
      </c>
      <c r="J78" s="29"/>
      <c r="K78" s="41" t="s">
        <v>201</v>
      </c>
    </row>
    <row r="79" spans="1:11" ht="54.75" customHeight="1" x14ac:dyDescent="0.25">
      <c r="A79" s="25" t="str">
        <f t="shared" si="17"/>
        <v>КОМПЛЕКТ 9.  ЩО-1.2 (ЩРн-12з-0 36 УХЛ3 IP54)  |  Альбом 7.1 ЭО (Концертный зал)</v>
      </c>
      <c r="B79" s="25" t="s">
        <v>215</v>
      </c>
      <c r="C79" s="25" t="s">
        <v>95</v>
      </c>
      <c r="D79" s="25" t="s">
        <v>206</v>
      </c>
      <c r="E79" s="26">
        <f>ПАРАМЕТРЫ!C37</f>
        <v>1.5</v>
      </c>
      <c r="F79" s="27">
        <f>ПАРАМЕТРЫ!D37</f>
        <v>353.11499999999995</v>
      </c>
      <c r="G79" s="27">
        <f>I79*F79</f>
        <v>1412.4599999999998</v>
      </c>
      <c r="H79" s="27" t="s">
        <v>94</v>
      </c>
      <c r="I79" s="27">
        <v>4</v>
      </c>
      <c r="J79" s="25"/>
      <c r="K79" s="41" t="s">
        <v>201</v>
      </c>
    </row>
    <row r="80" spans="1:11" ht="54.75" customHeight="1" x14ac:dyDescent="0.25">
      <c r="A80" s="37" t="str">
        <f t="shared" si="17"/>
        <v>КОМПЛЕКТ 9.  ЩО-1.2 (ЩРн-12з-0 36 УХЛ3 IP54)  |  Альбом 7.1 ЭО (Концертный зал)</v>
      </c>
      <c r="B80" s="37" t="s">
        <v>216</v>
      </c>
      <c r="C80" s="37"/>
      <c r="D80" s="37" t="s">
        <v>124</v>
      </c>
      <c r="E80" s="36" t="s">
        <v>95</v>
      </c>
      <c r="F80" s="38" t="str">
        <f>ПАРАМЕТРЫ!C6&amp;"%"</f>
        <v>12%</v>
      </c>
      <c r="G80" s="39">
        <f>(G75+G76+G77+G78+G79)*ПАРАМЕТРЫ!C6/100</f>
        <v>7725.0262320000002</v>
      </c>
      <c r="H80" s="39" t="s">
        <v>94</v>
      </c>
      <c r="I80" s="39">
        <v>1</v>
      </c>
      <c r="J80" s="37" t="s">
        <v>11</v>
      </c>
      <c r="K80" s="41" t="s">
        <v>201</v>
      </c>
    </row>
    <row r="81" spans="1:11" ht="54.75" customHeight="1" thickBot="1" x14ac:dyDescent="0.3">
      <c r="A81" s="41" t="str">
        <f t="shared" si="17"/>
        <v>КОМПЛЕКТ 9.  ЩО-1.2 (ЩРн-12з-0 36 УХЛ3 IP54)  |  Альбом 7.1 ЭО (Концертный зал)</v>
      </c>
      <c r="B81" s="41" t="s">
        <v>217</v>
      </c>
      <c r="C81" s="41"/>
      <c r="D81" s="41" t="s">
        <v>126</v>
      </c>
      <c r="E81" s="40" t="s">
        <v>95</v>
      </c>
      <c r="F81" s="42" t="str">
        <f>ПАРАМЕТРЫ!C7&amp;"%"</f>
        <v>15%</v>
      </c>
      <c r="G81" s="43">
        <f>(G75+G76+G77+G78+G79)*ПАРАМЕТРЫ!C7/100</f>
        <v>9656.2827899999993</v>
      </c>
      <c r="H81" s="43" t="s">
        <v>94</v>
      </c>
      <c r="I81" s="43">
        <v>1</v>
      </c>
      <c r="J81" s="41" t="s">
        <v>11</v>
      </c>
      <c r="K81" s="41" t="s">
        <v>201</v>
      </c>
    </row>
    <row r="82" spans="1:11" ht="54.75" customHeight="1" thickBot="1" x14ac:dyDescent="0.3">
      <c r="A82" s="53" t="str">
        <f>D82</f>
        <v>КОМПЛЕКТ 10.  ЩО-1.3 (ЩРн-36з-0 36 УХЛ3 IP54)  |  Альбом 7.1 ЭО (Концертный зал)</v>
      </c>
      <c r="B82" s="53"/>
      <c r="C82" s="54"/>
      <c r="D82" s="53" t="s">
        <v>218</v>
      </c>
      <c r="E82" s="54"/>
      <c r="F82" s="54"/>
      <c r="G82" s="54"/>
      <c r="H82" s="54" t="s">
        <v>632</v>
      </c>
      <c r="I82" s="54">
        <v>1</v>
      </c>
      <c r="J82" s="2"/>
      <c r="K82" s="2"/>
    </row>
    <row r="83" spans="1:11" ht="54.75" customHeight="1" x14ac:dyDescent="0.25">
      <c r="A83" s="22" t="str">
        <f t="shared" ref="A83:A90" si="19">A82</f>
        <v>КОМПЛЕКТ 10.  ЩО-1.3 (ЩРн-36з-0 36 УХЛ3 IP54)  |  Альбом 7.1 ЭО (Концертный зал)</v>
      </c>
      <c r="B83" s="22" t="s">
        <v>219</v>
      </c>
      <c r="C83" s="22" t="s">
        <v>92</v>
      </c>
      <c r="D83" s="22" t="s">
        <v>200</v>
      </c>
      <c r="E83" s="21" t="s">
        <v>95</v>
      </c>
      <c r="F83" s="21" t="s">
        <v>95</v>
      </c>
      <c r="G83" s="23">
        <v>0</v>
      </c>
      <c r="H83" s="23" t="s">
        <v>94</v>
      </c>
      <c r="I83" s="23">
        <v>1</v>
      </c>
      <c r="J83" s="22" t="s">
        <v>96</v>
      </c>
      <c r="K83" s="22" t="s">
        <v>201</v>
      </c>
    </row>
    <row r="84" spans="1:11" ht="54.75" customHeight="1" x14ac:dyDescent="0.25">
      <c r="A84" s="25" t="str">
        <f t="shared" si="19"/>
        <v>КОМПЛЕКТ 10.  ЩО-1.3 (ЩРн-36з-0 36 УХЛ3 IP54)  |  Альбом 7.1 ЭО (Концертный зал)</v>
      </c>
      <c r="B84" s="25" t="s">
        <v>147</v>
      </c>
      <c r="C84" s="25" t="s">
        <v>606</v>
      </c>
      <c r="D84" s="25" t="s">
        <v>614</v>
      </c>
      <c r="E84" s="26">
        <f>ПАРАМЕТРЫ!C20</f>
        <v>48.51</v>
      </c>
      <c r="F84" s="27">
        <f t="shared" ref="F84:F87" si="20">E84*0.3*1.33*590</f>
        <v>11419.739100000001</v>
      </c>
      <c r="G84" s="27">
        <f>I84*F84</f>
        <v>11419.739100000001</v>
      </c>
      <c r="H84" s="27" t="s">
        <v>94</v>
      </c>
      <c r="I84" s="27">
        <v>1</v>
      </c>
      <c r="J84" s="25" t="s">
        <v>150</v>
      </c>
      <c r="K84" s="25" t="s">
        <v>93</v>
      </c>
    </row>
    <row r="85" spans="1:11" ht="54.75" customHeight="1" x14ac:dyDescent="0.25">
      <c r="A85" s="29" t="str">
        <f t="shared" si="19"/>
        <v>КОМПЛЕКТ 10.  ЩО-1.3 (ЩРн-36з-0 36 УХЛ3 IP54)  |  Альбом 7.1 ЭО (Концертный зал)</v>
      </c>
      <c r="B85" s="29" t="s">
        <v>220</v>
      </c>
      <c r="C85" s="29" t="s">
        <v>610</v>
      </c>
      <c r="D85" s="29" t="s">
        <v>609</v>
      </c>
      <c r="E85" s="30">
        <v>8.09</v>
      </c>
      <c r="F85" s="27">
        <f t="shared" si="20"/>
        <v>1904.4669000000001</v>
      </c>
      <c r="G85" s="31">
        <f>I85*F85</f>
        <v>51420.606300000007</v>
      </c>
      <c r="H85" s="31" t="s">
        <v>94</v>
      </c>
      <c r="I85" s="31">
        <v>27</v>
      </c>
      <c r="J85" s="29"/>
      <c r="K85" s="29" t="s">
        <v>201</v>
      </c>
    </row>
    <row r="86" spans="1:11" ht="54.75" customHeight="1" x14ac:dyDescent="0.25">
      <c r="A86" s="25" t="str">
        <f t="shared" si="19"/>
        <v>КОМПЛЕКТ 10.  ЩО-1.3 (ЩРн-36з-0 36 УХЛ3 IP54)  |  Альбом 7.1 ЭО (Концертный зал)</v>
      </c>
      <c r="B86" s="25" t="s">
        <v>221</v>
      </c>
      <c r="C86" s="25" t="s">
        <v>153</v>
      </c>
      <c r="D86" s="25" t="s">
        <v>152</v>
      </c>
      <c r="E86" s="26">
        <f>ПАРАМЕТРЫ!C23</f>
        <v>87.63</v>
      </c>
      <c r="F86" s="27">
        <f t="shared" si="20"/>
        <v>20628.978300000002</v>
      </c>
      <c r="G86" s="27">
        <f>I86*F86</f>
        <v>0</v>
      </c>
      <c r="H86" s="27" t="s">
        <v>94</v>
      </c>
      <c r="I86" s="27">
        <v>0</v>
      </c>
      <c r="J86" s="25"/>
      <c r="K86" s="25" t="s">
        <v>201</v>
      </c>
    </row>
    <row r="87" spans="1:11" ht="54.75" customHeight="1" x14ac:dyDescent="0.25">
      <c r="A87" s="29" t="str">
        <f t="shared" si="19"/>
        <v>КОМПЛЕКТ 10.  ЩО-1.3 (ЩРн-36з-0 36 УХЛ3 IP54)  |  Альбом 7.1 ЭО (Концертный зал)</v>
      </c>
      <c r="B87" s="29" t="s">
        <v>222</v>
      </c>
      <c r="C87" s="29" t="s">
        <v>136</v>
      </c>
      <c r="D87" s="29" t="s">
        <v>135</v>
      </c>
      <c r="E87" s="30">
        <f>ПАРАМЕТРЫ!C33</f>
        <v>41.58</v>
      </c>
      <c r="F87" s="27">
        <f t="shared" si="20"/>
        <v>9788.3477999999996</v>
      </c>
      <c r="G87" s="31">
        <f>I87*F87</f>
        <v>48941.739000000001</v>
      </c>
      <c r="H87" s="31" t="s">
        <v>94</v>
      </c>
      <c r="I87" s="31">
        <v>5</v>
      </c>
      <c r="J87" s="29"/>
      <c r="K87" s="29" t="s">
        <v>201</v>
      </c>
    </row>
    <row r="88" spans="1:11" ht="54.75" customHeight="1" x14ac:dyDescent="0.25">
      <c r="A88" s="25" t="str">
        <f t="shared" si="19"/>
        <v>КОМПЛЕКТ 10.  ЩО-1.3 (ЩРн-36з-0 36 УХЛ3 IP54)  |  Альбом 7.1 ЭО (Концертный зал)</v>
      </c>
      <c r="B88" s="25" t="s">
        <v>223</v>
      </c>
      <c r="C88" s="25" t="s">
        <v>95</v>
      </c>
      <c r="D88" s="25" t="s">
        <v>206</v>
      </c>
      <c r="E88" s="26">
        <f>ПАРАМЕТРЫ!C37</f>
        <v>1.5</v>
      </c>
      <c r="F88" s="27">
        <f>ПАРАМЕТРЫ!D37</f>
        <v>353.11499999999995</v>
      </c>
      <c r="G88" s="27">
        <f>I88*F88</f>
        <v>1765.5749999999998</v>
      </c>
      <c r="H88" s="27" t="s">
        <v>94</v>
      </c>
      <c r="I88" s="27">
        <v>5</v>
      </c>
      <c r="J88" s="25"/>
      <c r="K88" s="25" t="s">
        <v>201</v>
      </c>
    </row>
    <row r="89" spans="1:11" ht="54.75" customHeight="1" x14ac:dyDescent="0.25">
      <c r="A89" s="37" t="str">
        <f t="shared" si="19"/>
        <v>КОМПЛЕКТ 10.  ЩО-1.3 (ЩРн-36з-0 36 УХЛ3 IP54)  |  Альбом 7.1 ЭО (Концертный зал)</v>
      </c>
      <c r="B89" s="37" t="s">
        <v>224</v>
      </c>
      <c r="C89" s="37"/>
      <c r="D89" s="37" t="s">
        <v>124</v>
      </c>
      <c r="E89" s="36" t="s">
        <v>95</v>
      </c>
      <c r="F89" s="38" t="str">
        <f>ПАРАМЕТРЫ!C6&amp;"%"</f>
        <v>12%</v>
      </c>
      <c r="G89" s="39">
        <f>(G84+G85+G86+G87+G88)*ПАРАМЕТРЫ!C6/100</f>
        <v>13625.719128000001</v>
      </c>
      <c r="H89" s="39" t="s">
        <v>94</v>
      </c>
      <c r="I89" s="39">
        <v>1</v>
      </c>
      <c r="J89" s="37" t="s">
        <v>11</v>
      </c>
      <c r="K89" s="37" t="s">
        <v>201</v>
      </c>
    </row>
    <row r="90" spans="1:11" ht="54.75" customHeight="1" thickBot="1" x14ac:dyDescent="0.3">
      <c r="A90" s="41" t="str">
        <f t="shared" si="19"/>
        <v>КОМПЛЕКТ 10.  ЩО-1.3 (ЩРн-36з-0 36 УХЛ3 IP54)  |  Альбом 7.1 ЭО (Концертный зал)</v>
      </c>
      <c r="B90" s="41" t="s">
        <v>225</v>
      </c>
      <c r="C90" s="41"/>
      <c r="D90" s="41" t="s">
        <v>126</v>
      </c>
      <c r="E90" s="40" t="s">
        <v>95</v>
      </c>
      <c r="F90" s="42" t="str">
        <f>ПАРАМЕТРЫ!C7&amp;"%"</f>
        <v>15%</v>
      </c>
      <c r="G90" s="43">
        <f>(G84+G85+G86+G87+G88)*ПАРАМЕТРЫ!C7/100</f>
        <v>17032.14891</v>
      </c>
      <c r="H90" s="43" t="s">
        <v>94</v>
      </c>
      <c r="I90" s="43">
        <v>1</v>
      </c>
      <c r="J90" s="41" t="s">
        <v>11</v>
      </c>
      <c r="K90" s="41" t="s">
        <v>201</v>
      </c>
    </row>
    <row r="91" spans="1:11" ht="54.75" customHeight="1" thickBot="1" x14ac:dyDescent="0.3">
      <c r="A91" s="53" t="str">
        <f>D91</f>
        <v>КОМПЛЕКТ 11.  ЩО-2.1 (ЩРн-12з-0 36 УХЛ3 IP54)  |  Альбом 7.1 ЭО (Концертный зал)</v>
      </c>
      <c r="B91" s="54" t="s">
        <v>226</v>
      </c>
      <c r="C91" s="54"/>
      <c r="D91" s="54" t="s">
        <v>226</v>
      </c>
      <c r="E91" s="54"/>
      <c r="F91" s="54"/>
      <c r="G91" s="54"/>
      <c r="H91" s="54" t="s">
        <v>632</v>
      </c>
      <c r="I91" s="54">
        <v>1</v>
      </c>
      <c r="J91" s="2"/>
      <c r="K91" s="2"/>
    </row>
    <row r="92" spans="1:11" ht="54.75" customHeight="1" x14ac:dyDescent="0.25">
      <c r="A92" s="22" t="str">
        <f t="shared" ref="A92:A99" si="21">A91</f>
        <v>КОМПЛЕКТ 11.  ЩО-2.1 (ЩРн-12з-0 36 УХЛ3 IP54)  |  Альбом 7.1 ЭО (Концертный зал)</v>
      </c>
      <c r="B92" s="22" t="s">
        <v>227</v>
      </c>
      <c r="C92" s="22" t="s">
        <v>92</v>
      </c>
      <c r="D92" s="22" t="s">
        <v>146</v>
      </c>
      <c r="E92" s="21" t="s">
        <v>95</v>
      </c>
      <c r="F92" s="21" t="s">
        <v>95</v>
      </c>
      <c r="G92" s="23">
        <v>0</v>
      </c>
      <c r="H92" s="23" t="s">
        <v>94</v>
      </c>
      <c r="I92" s="23">
        <v>1</v>
      </c>
      <c r="J92" s="22" t="s">
        <v>96</v>
      </c>
      <c r="K92" s="22" t="s">
        <v>201</v>
      </c>
    </row>
    <row r="93" spans="1:11" ht="54.75" customHeight="1" x14ac:dyDescent="0.25">
      <c r="A93" s="25" t="str">
        <f t="shared" si="21"/>
        <v>КОМПЛЕКТ 11.  ЩО-2.1 (ЩРн-12з-0 36 УХЛ3 IP54)  |  Альбом 7.1 ЭО (Концертный зал)</v>
      </c>
      <c r="B93" s="25" t="s">
        <v>181</v>
      </c>
      <c r="C93" s="25" t="s">
        <v>611</v>
      </c>
      <c r="D93" s="25" t="s">
        <v>604</v>
      </c>
      <c r="E93" s="26">
        <v>36.42</v>
      </c>
      <c r="F93" s="27">
        <f t="shared" ref="F93:F96" si="22">E93*0.3*1.33*590</f>
        <v>8573.6322000000018</v>
      </c>
      <c r="G93" s="27">
        <f>I93*F93</f>
        <v>8573.6322000000018</v>
      </c>
      <c r="H93" s="27" t="s">
        <v>94</v>
      </c>
      <c r="I93" s="27">
        <v>1</v>
      </c>
      <c r="J93" s="25" t="s">
        <v>182</v>
      </c>
      <c r="K93" s="41" t="s">
        <v>201</v>
      </c>
    </row>
    <row r="94" spans="1:11" ht="54.75" customHeight="1" x14ac:dyDescent="0.25">
      <c r="A94" s="29" t="str">
        <f t="shared" si="21"/>
        <v>КОМПЛЕКТ 11.  ЩО-2.1 (ЩРн-12з-0 36 УХЛ3 IP54)  |  Альбом 7.1 ЭО (Концертный зал)</v>
      </c>
      <c r="B94" s="29" t="s">
        <v>228</v>
      </c>
      <c r="C94" s="29" t="s">
        <v>610</v>
      </c>
      <c r="D94" s="29" t="s">
        <v>609</v>
      </c>
      <c r="E94" s="30">
        <v>8.09</v>
      </c>
      <c r="F94" s="27">
        <f t="shared" si="22"/>
        <v>1904.4669000000001</v>
      </c>
      <c r="G94" s="31">
        <f>I94*F94</f>
        <v>26662.536600000003</v>
      </c>
      <c r="H94" s="31" t="s">
        <v>94</v>
      </c>
      <c r="I94" s="31">
        <v>14</v>
      </c>
      <c r="J94" s="29"/>
      <c r="K94" s="29" t="s">
        <v>201</v>
      </c>
    </row>
    <row r="95" spans="1:11" ht="54.75" customHeight="1" x14ac:dyDescent="0.25">
      <c r="A95" s="25" t="str">
        <f t="shared" si="21"/>
        <v>КОМПЛЕКТ 11.  ЩО-2.1 (ЩРн-12з-0 36 УХЛ3 IP54)  |  Альбом 7.1 ЭО (Концертный зал)</v>
      </c>
      <c r="B95" s="25" t="s">
        <v>229</v>
      </c>
      <c r="C95" s="25" t="s">
        <v>153</v>
      </c>
      <c r="D95" s="25" t="s">
        <v>152</v>
      </c>
      <c r="E95" s="26">
        <f>ПАРАМЕТРЫ!C23</f>
        <v>87.63</v>
      </c>
      <c r="F95" s="27">
        <f t="shared" si="22"/>
        <v>20628.978300000002</v>
      </c>
      <c r="G95" s="27">
        <f>I95*F95</f>
        <v>0</v>
      </c>
      <c r="H95" s="27" t="s">
        <v>94</v>
      </c>
      <c r="I95" s="27">
        <v>0</v>
      </c>
      <c r="J95" s="25"/>
      <c r="K95" s="25" t="s">
        <v>201</v>
      </c>
    </row>
    <row r="96" spans="1:11" ht="54.75" customHeight="1" x14ac:dyDescent="0.25">
      <c r="A96" s="29" t="str">
        <f t="shared" si="21"/>
        <v>КОМПЛЕКТ 11.  ЩО-2.1 (ЩРн-12з-0 36 УХЛ3 IP54)  |  Альбом 7.1 ЭО (Концертный зал)</v>
      </c>
      <c r="B96" s="29" t="s">
        <v>230</v>
      </c>
      <c r="C96" s="29" t="s">
        <v>136</v>
      </c>
      <c r="D96" s="29" t="s">
        <v>135</v>
      </c>
      <c r="E96" s="30">
        <f>ПАРАМЕТРЫ!C33</f>
        <v>41.58</v>
      </c>
      <c r="F96" s="27">
        <f t="shared" si="22"/>
        <v>9788.3477999999996</v>
      </c>
      <c r="G96" s="31">
        <f>I96*F96</f>
        <v>58730.086799999997</v>
      </c>
      <c r="H96" s="31" t="s">
        <v>94</v>
      </c>
      <c r="I96" s="31">
        <v>6</v>
      </c>
      <c r="J96" s="29"/>
      <c r="K96" s="29" t="s">
        <v>201</v>
      </c>
    </row>
    <row r="97" spans="1:11" ht="54.75" customHeight="1" x14ac:dyDescent="0.25">
      <c r="A97" s="25" t="str">
        <f t="shared" si="21"/>
        <v>КОМПЛЕКТ 11.  ЩО-2.1 (ЩРн-12з-0 36 УХЛ3 IP54)  |  Альбом 7.1 ЭО (Концертный зал)</v>
      </c>
      <c r="B97" s="25" t="s">
        <v>231</v>
      </c>
      <c r="C97" s="25" t="s">
        <v>95</v>
      </c>
      <c r="D97" s="25" t="s">
        <v>206</v>
      </c>
      <c r="E97" s="26">
        <f>ПАРАМЕТРЫ!C37</f>
        <v>1.5</v>
      </c>
      <c r="F97" s="27">
        <f>ПАРАМЕТРЫ!D37</f>
        <v>353.11499999999995</v>
      </c>
      <c r="G97" s="27">
        <f>I97*F97</f>
        <v>2118.6899999999996</v>
      </c>
      <c r="H97" s="27" t="s">
        <v>94</v>
      </c>
      <c r="I97" s="27">
        <v>6</v>
      </c>
      <c r="J97" s="25"/>
      <c r="K97" s="25" t="s">
        <v>201</v>
      </c>
    </row>
    <row r="98" spans="1:11" ht="54.75" customHeight="1" x14ac:dyDescent="0.25">
      <c r="A98" s="37" t="str">
        <f t="shared" si="21"/>
        <v>КОМПЛЕКТ 11.  ЩО-2.1 (ЩРн-12з-0 36 УХЛ3 IP54)  |  Альбом 7.1 ЭО (Концертный зал)</v>
      </c>
      <c r="B98" s="37" t="s">
        <v>232</v>
      </c>
      <c r="C98" s="37"/>
      <c r="D98" s="37" t="s">
        <v>124</v>
      </c>
      <c r="E98" s="36" t="s">
        <v>95</v>
      </c>
      <c r="F98" s="38" t="str">
        <f>ПАРАМЕТРЫ!C6&amp;"%"</f>
        <v>12%</v>
      </c>
      <c r="G98" s="39">
        <f>(G93+G94+G95+G96+G97)*ПАРАМЕТРЫ!C6/100</f>
        <v>11530.193472000003</v>
      </c>
      <c r="H98" s="39" t="s">
        <v>94</v>
      </c>
      <c r="I98" s="39">
        <v>1</v>
      </c>
      <c r="J98" s="37" t="s">
        <v>11</v>
      </c>
      <c r="K98" s="37" t="s">
        <v>201</v>
      </c>
    </row>
    <row r="99" spans="1:11" ht="54.75" customHeight="1" thickBot="1" x14ac:dyDescent="0.3">
      <c r="A99" s="41" t="str">
        <f t="shared" si="21"/>
        <v>КОМПЛЕКТ 11.  ЩО-2.1 (ЩРн-12з-0 36 УХЛ3 IP54)  |  Альбом 7.1 ЭО (Концертный зал)</v>
      </c>
      <c r="B99" s="41" t="s">
        <v>233</v>
      </c>
      <c r="C99" s="41"/>
      <c r="D99" s="41" t="s">
        <v>126</v>
      </c>
      <c r="E99" s="40" t="s">
        <v>95</v>
      </c>
      <c r="F99" s="42" t="str">
        <f>ПАРАМЕТРЫ!C7&amp;"%"</f>
        <v>15%</v>
      </c>
      <c r="G99" s="43">
        <f>(G93+G94+G95+G96+G97)*ПАРАМЕТРЫ!C7/100</f>
        <v>14412.741840000001</v>
      </c>
      <c r="H99" s="43" t="s">
        <v>94</v>
      </c>
      <c r="I99" s="43">
        <v>1</v>
      </c>
      <c r="J99" s="41" t="s">
        <v>11</v>
      </c>
      <c r="K99" s="41" t="s">
        <v>201</v>
      </c>
    </row>
    <row r="100" spans="1:11" ht="54.75" customHeight="1" thickBot="1" x14ac:dyDescent="0.3">
      <c r="A100" s="53" t="str">
        <f>D100</f>
        <v>КОМПЛЕКТ 12.  ЩО-2.2 (ЩРн-18з-0 36 УХЛ3 IP54)  |  Альбом 7.1 ЭО (Концертный зал)</v>
      </c>
      <c r="B100" s="54" t="s">
        <v>234</v>
      </c>
      <c r="C100" s="54"/>
      <c r="D100" s="54" t="s">
        <v>234</v>
      </c>
      <c r="E100" s="54"/>
      <c r="F100" s="54"/>
      <c r="G100" s="54"/>
      <c r="H100" s="54" t="s">
        <v>632</v>
      </c>
      <c r="I100" s="54">
        <v>1</v>
      </c>
      <c r="J100" s="2"/>
      <c r="K100" s="2"/>
    </row>
    <row r="101" spans="1:11" ht="54.75" customHeight="1" x14ac:dyDescent="0.25">
      <c r="A101" s="22" t="str">
        <f t="shared" ref="A101:A108" si="23">A100</f>
        <v>КОМПЛЕКТ 12.  ЩО-2.2 (ЩРн-18з-0 36 УХЛ3 IP54)  |  Альбом 7.1 ЭО (Концертный зал)</v>
      </c>
      <c r="B101" s="22" t="s">
        <v>235</v>
      </c>
      <c r="C101" s="22" t="s">
        <v>92</v>
      </c>
      <c r="D101" s="22" t="s">
        <v>180</v>
      </c>
      <c r="E101" s="21" t="s">
        <v>95</v>
      </c>
      <c r="F101" s="21" t="s">
        <v>95</v>
      </c>
      <c r="G101" s="23">
        <v>0</v>
      </c>
      <c r="H101" s="23" t="s">
        <v>94</v>
      </c>
      <c r="I101" s="23">
        <v>1</v>
      </c>
      <c r="J101" s="22" t="s">
        <v>96</v>
      </c>
      <c r="K101" s="22" t="s">
        <v>201</v>
      </c>
    </row>
    <row r="102" spans="1:11" ht="54.75" customHeight="1" x14ac:dyDescent="0.25">
      <c r="A102" s="25" t="str">
        <f t="shared" si="23"/>
        <v>КОМПЛЕКТ 12.  ЩО-2.2 (ЩРн-18з-0 36 УХЛ3 IP54)  |  Альбом 7.1 ЭО (Концертный зал)</v>
      </c>
      <c r="B102" s="25" t="s">
        <v>181</v>
      </c>
      <c r="C102" s="25" t="s">
        <v>611</v>
      </c>
      <c r="D102" s="25" t="s">
        <v>604</v>
      </c>
      <c r="E102" s="26">
        <v>36.42</v>
      </c>
      <c r="F102" s="27">
        <f t="shared" ref="F102:F105" si="24">E102*0.3*1.33*590</f>
        <v>8573.6322000000018</v>
      </c>
      <c r="G102" s="27">
        <f>I102*F102</f>
        <v>8573.6322000000018</v>
      </c>
      <c r="H102" s="27" t="s">
        <v>94</v>
      </c>
      <c r="I102" s="27">
        <v>1</v>
      </c>
      <c r="J102" s="25" t="s">
        <v>182</v>
      </c>
      <c r="K102" s="41" t="s">
        <v>201</v>
      </c>
    </row>
    <row r="103" spans="1:11" ht="54.75" customHeight="1" x14ac:dyDescent="0.25">
      <c r="A103" s="29" t="str">
        <f t="shared" si="23"/>
        <v>КОМПЛЕКТ 12.  ЩО-2.2 (ЩРн-18з-0 36 УХЛ3 IP54)  |  Альбом 7.1 ЭО (Концертный зал)</v>
      </c>
      <c r="B103" s="29" t="s">
        <v>236</v>
      </c>
      <c r="C103" s="29" t="s">
        <v>610</v>
      </c>
      <c r="D103" s="29" t="s">
        <v>609</v>
      </c>
      <c r="E103" s="30">
        <v>8.09</v>
      </c>
      <c r="F103" s="27">
        <f t="shared" si="24"/>
        <v>1904.4669000000001</v>
      </c>
      <c r="G103" s="31">
        <f>I103*F103</f>
        <v>22853.602800000001</v>
      </c>
      <c r="H103" s="31" t="s">
        <v>94</v>
      </c>
      <c r="I103" s="31">
        <v>12</v>
      </c>
      <c r="J103" s="29"/>
      <c r="K103" s="29" t="s">
        <v>201</v>
      </c>
    </row>
    <row r="104" spans="1:11" ht="54.75" customHeight="1" x14ac:dyDescent="0.25">
      <c r="A104" s="25" t="str">
        <f t="shared" si="23"/>
        <v>КОМПЛЕКТ 12.  ЩО-2.2 (ЩРн-18з-0 36 УХЛ3 IP54)  |  Альбом 7.1 ЭО (Концертный зал)</v>
      </c>
      <c r="B104" s="25" t="s">
        <v>237</v>
      </c>
      <c r="C104" s="25" t="s">
        <v>153</v>
      </c>
      <c r="D104" s="25" t="s">
        <v>152</v>
      </c>
      <c r="E104" s="26">
        <f>ПАРАМЕТРЫ!C23</f>
        <v>87.63</v>
      </c>
      <c r="F104" s="27">
        <f t="shared" si="24"/>
        <v>20628.978300000002</v>
      </c>
      <c r="G104" s="27">
        <f>I104*F104</f>
        <v>0</v>
      </c>
      <c r="H104" s="27" t="s">
        <v>94</v>
      </c>
      <c r="I104" s="27">
        <v>0</v>
      </c>
      <c r="J104" s="25"/>
      <c r="K104" s="25" t="s">
        <v>201</v>
      </c>
    </row>
    <row r="105" spans="1:11" ht="54.75" customHeight="1" x14ac:dyDescent="0.25">
      <c r="A105" s="29" t="str">
        <f t="shared" si="23"/>
        <v>КОМПЛЕКТ 12.  ЩО-2.2 (ЩРн-18з-0 36 УХЛ3 IP54)  |  Альбом 7.1 ЭО (Концертный зал)</v>
      </c>
      <c r="B105" s="29" t="s">
        <v>238</v>
      </c>
      <c r="C105" s="29" t="s">
        <v>136</v>
      </c>
      <c r="D105" s="29" t="s">
        <v>135</v>
      </c>
      <c r="E105" s="30">
        <f>ПАРАМЕТРЫ!C33</f>
        <v>41.58</v>
      </c>
      <c r="F105" s="27">
        <f t="shared" si="24"/>
        <v>9788.3477999999996</v>
      </c>
      <c r="G105" s="31">
        <f>I105*F105</f>
        <v>19576.695599999999</v>
      </c>
      <c r="H105" s="31" t="s">
        <v>94</v>
      </c>
      <c r="I105" s="31">
        <v>2</v>
      </c>
      <c r="J105" s="29"/>
      <c r="K105" s="29" t="s">
        <v>201</v>
      </c>
    </row>
    <row r="106" spans="1:11" ht="54.75" customHeight="1" x14ac:dyDescent="0.25">
      <c r="A106" s="25" t="str">
        <f t="shared" si="23"/>
        <v>КОМПЛЕКТ 12.  ЩО-2.2 (ЩРн-18з-0 36 УХЛ3 IP54)  |  Альбом 7.1 ЭО (Концертный зал)</v>
      </c>
      <c r="B106" s="25" t="s">
        <v>239</v>
      </c>
      <c r="C106" s="25" t="s">
        <v>95</v>
      </c>
      <c r="D106" s="25" t="s">
        <v>206</v>
      </c>
      <c r="E106" s="26">
        <f>ПАРАМЕТРЫ!C37</f>
        <v>1.5</v>
      </c>
      <c r="F106" s="27">
        <f>ПАРАМЕТРЫ!D37</f>
        <v>353.11499999999995</v>
      </c>
      <c r="G106" s="27">
        <f>I106*F106</f>
        <v>706.2299999999999</v>
      </c>
      <c r="H106" s="27" t="s">
        <v>94</v>
      </c>
      <c r="I106" s="27">
        <v>2</v>
      </c>
      <c r="J106" s="25"/>
      <c r="K106" s="25" t="s">
        <v>201</v>
      </c>
    </row>
    <row r="107" spans="1:11" ht="54.75" customHeight="1" x14ac:dyDescent="0.25">
      <c r="A107" s="37" t="str">
        <f t="shared" si="23"/>
        <v>КОМПЛЕКТ 12.  ЩО-2.2 (ЩРн-18з-0 36 УХЛ3 IP54)  |  Альбом 7.1 ЭО (Концертный зал)</v>
      </c>
      <c r="B107" s="37" t="s">
        <v>240</v>
      </c>
      <c r="C107" s="37"/>
      <c r="D107" s="37" t="s">
        <v>124</v>
      </c>
      <c r="E107" s="36" t="s">
        <v>95</v>
      </c>
      <c r="F107" s="38" t="str">
        <f>ПАРАМЕТРЫ!C6&amp;"%"</f>
        <v>12%</v>
      </c>
      <c r="G107" s="39">
        <f>(G102+G103+G104+G105+G106)*ПАРАМЕТРЫ!C6/100</f>
        <v>6205.2192720000003</v>
      </c>
      <c r="H107" s="39" t="s">
        <v>94</v>
      </c>
      <c r="I107" s="39">
        <v>1</v>
      </c>
      <c r="J107" s="37" t="s">
        <v>11</v>
      </c>
      <c r="K107" s="37" t="s">
        <v>201</v>
      </c>
    </row>
    <row r="108" spans="1:11" ht="54.75" customHeight="1" thickBot="1" x14ac:dyDescent="0.3">
      <c r="A108" s="41" t="str">
        <f t="shared" si="23"/>
        <v>КОМПЛЕКТ 12.  ЩО-2.2 (ЩРн-18з-0 36 УХЛ3 IP54)  |  Альбом 7.1 ЭО (Концертный зал)</v>
      </c>
      <c r="B108" s="41" t="s">
        <v>241</v>
      </c>
      <c r="C108" s="41"/>
      <c r="D108" s="41" t="s">
        <v>126</v>
      </c>
      <c r="E108" s="40" t="s">
        <v>95</v>
      </c>
      <c r="F108" s="42" t="str">
        <f>ПАРАМЕТРЫ!C7&amp;"%"</f>
        <v>15%</v>
      </c>
      <c r="G108" s="43">
        <f>(G102+G103+G104+G105+G106)*ПАРАМЕТРЫ!C7/100</f>
        <v>7756.5240899999999</v>
      </c>
      <c r="H108" s="43" t="s">
        <v>94</v>
      </c>
      <c r="I108" s="43">
        <v>1</v>
      </c>
      <c r="J108" s="41" t="s">
        <v>11</v>
      </c>
      <c r="K108" s="41" t="s">
        <v>201</v>
      </c>
    </row>
    <row r="109" spans="1:11" ht="54.75" customHeight="1" thickBot="1" x14ac:dyDescent="0.3">
      <c r="A109" s="53" t="str">
        <f>D109</f>
        <v>КОМПЛЕКТ 13.  ЩО-3.1 (ЩРн-18з-0 36 УХЛ3 IP54)  |  Альбом 7.1 ЭО (Концертный зал)</v>
      </c>
      <c r="B109" s="54" t="s">
        <v>242</v>
      </c>
      <c r="C109" s="54"/>
      <c r="D109" s="54" t="s">
        <v>242</v>
      </c>
      <c r="E109" s="54"/>
      <c r="F109" s="54"/>
      <c r="G109" s="54"/>
      <c r="H109" s="54" t="s">
        <v>632</v>
      </c>
      <c r="I109" s="54">
        <v>1</v>
      </c>
      <c r="J109" s="2"/>
      <c r="K109" s="2"/>
    </row>
    <row r="110" spans="1:11" ht="54.75" customHeight="1" x14ac:dyDescent="0.25">
      <c r="A110" s="22" t="str">
        <f t="shared" ref="A110:A117" si="25">A109</f>
        <v>КОМПЛЕКТ 13.  ЩО-3.1 (ЩРн-18з-0 36 УХЛ3 IP54)  |  Альбом 7.1 ЭО (Концертный зал)</v>
      </c>
      <c r="B110" s="22" t="s">
        <v>243</v>
      </c>
      <c r="C110" s="22" t="s">
        <v>92</v>
      </c>
      <c r="D110" s="22" t="s">
        <v>180</v>
      </c>
      <c r="E110" s="21" t="s">
        <v>95</v>
      </c>
      <c r="F110" s="21" t="s">
        <v>95</v>
      </c>
      <c r="G110" s="23">
        <v>0</v>
      </c>
      <c r="H110" s="23" t="s">
        <v>94</v>
      </c>
      <c r="I110" s="23">
        <v>1</v>
      </c>
      <c r="J110" s="22" t="s">
        <v>96</v>
      </c>
      <c r="K110" s="22" t="s">
        <v>201</v>
      </c>
    </row>
    <row r="111" spans="1:11" ht="54.75" customHeight="1" x14ac:dyDescent="0.25">
      <c r="A111" s="25" t="str">
        <f t="shared" si="25"/>
        <v>КОМПЛЕКТ 13.  ЩО-3.1 (ЩРн-18з-0 36 УХЛ3 IP54)  |  Альбом 7.1 ЭО (Концертный зал)</v>
      </c>
      <c r="B111" s="25" t="s">
        <v>181</v>
      </c>
      <c r="C111" s="25" t="s">
        <v>611</v>
      </c>
      <c r="D111" s="25" t="s">
        <v>604</v>
      </c>
      <c r="E111" s="26">
        <v>36.42</v>
      </c>
      <c r="F111" s="27">
        <f t="shared" ref="F111:F114" si="26">E111*0.3*1.33*590</f>
        <v>8573.6322000000018</v>
      </c>
      <c r="G111" s="27">
        <f>I111*F111</f>
        <v>8573.6322000000018</v>
      </c>
      <c r="H111" s="27" t="s">
        <v>94</v>
      </c>
      <c r="I111" s="27">
        <v>1</v>
      </c>
      <c r="J111" s="25" t="s">
        <v>182</v>
      </c>
      <c r="K111" s="41" t="s">
        <v>201</v>
      </c>
    </row>
    <row r="112" spans="1:11" ht="54.75" customHeight="1" x14ac:dyDescent="0.25">
      <c r="A112" s="29" t="str">
        <f t="shared" si="25"/>
        <v>КОМПЛЕКТ 13.  ЩО-3.1 (ЩРн-18з-0 36 УХЛ3 IP54)  |  Альбом 7.1 ЭО (Концертный зал)</v>
      </c>
      <c r="B112" s="29" t="s">
        <v>244</v>
      </c>
      <c r="C112" s="29" t="s">
        <v>610</v>
      </c>
      <c r="D112" s="29" t="s">
        <v>609</v>
      </c>
      <c r="E112" s="30">
        <v>8.09</v>
      </c>
      <c r="F112" s="27">
        <f t="shared" si="26"/>
        <v>1904.4669000000001</v>
      </c>
      <c r="G112" s="31">
        <f>I112*F112</f>
        <v>26662.536600000003</v>
      </c>
      <c r="H112" s="31" t="s">
        <v>94</v>
      </c>
      <c r="I112" s="31">
        <v>14</v>
      </c>
      <c r="J112" s="29"/>
      <c r="K112" s="29" t="s">
        <v>201</v>
      </c>
    </row>
    <row r="113" spans="1:11" ht="54.75" customHeight="1" x14ac:dyDescent="0.25">
      <c r="A113" s="25" t="str">
        <f t="shared" si="25"/>
        <v>КОМПЛЕКТ 13.  ЩО-3.1 (ЩРн-18з-0 36 УХЛ3 IP54)  |  Альбом 7.1 ЭО (Концертный зал)</v>
      </c>
      <c r="B113" s="25" t="s">
        <v>245</v>
      </c>
      <c r="C113" s="25" t="s">
        <v>153</v>
      </c>
      <c r="D113" s="25" t="s">
        <v>152</v>
      </c>
      <c r="E113" s="26">
        <f>ПАРАМЕТРЫ!C23</f>
        <v>87.63</v>
      </c>
      <c r="F113" s="27">
        <f t="shared" si="26"/>
        <v>20628.978300000002</v>
      </c>
      <c r="G113" s="27">
        <f>I113*F113</f>
        <v>0</v>
      </c>
      <c r="H113" s="27" t="s">
        <v>94</v>
      </c>
      <c r="I113" s="27">
        <v>0</v>
      </c>
      <c r="J113" s="25"/>
      <c r="K113" s="25" t="s">
        <v>201</v>
      </c>
    </row>
    <row r="114" spans="1:11" ht="54.75" customHeight="1" x14ac:dyDescent="0.25">
      <c r="A114" s="29" t="str">
        <f t="shared" si="25"/>
        <v>КОМПЛЕКТ 13.  ЩО-3.1 (ЩРн-18з-0 36 УХЛ3 IP54)  |  Альбом 7.1 ЭО (Концертный зал)</v>
      </c>
      <c r="B114" s="29" t="s">
        <v>246</v>
      </c>
      <c r="C114" s="29" t="s">
        <v>136</v>
      </c>
      <c r="D114" s="29" t="s">
        <v>135</v>
      </c>
      <c r="E114" s="30">
        <f>ПАРАМЕТРЫ!C33</f>
        <v>41.58</v>
      </c>
      <c r="F114" s="27">
        <f t="shared" si="26"/>
        <v>9788.3477999999996</v>
      </c>
      <c r="G114" s="31">
        <f>I114*F114</f>
        <v>68518.434599999993</v>
      </c>
      <c r="H114" s="31" t="s">
        <v>94</v>
      </c>
      <c r="I114" s="31">
        <v>7</v>
      </c>
      <c r="J114" s="29"/>
      <c r="K114" s="29" t="s">
        <v>201</v>
      </c>
    </row>
    <row r="115" spans="1:11" ht="54.75" customHeight="1" x14ac:dyDescent="0.25">
      <c r="A115" s="25" t="str">
        <f t="shared" si="25"/>
        <v>КОМПЛЕКТ 13.  ЩО-3.1 (ЩРн-18з-0 36 УХЛ3 IP54)  |  Альбом 7.1 ЭО (Концертный зал)</v>
      </c>
      <c r="B115" s="25" t="s">
        <v>247</v>
      </c>
      <c r="C115" s="25" t="s">
        <v>95</v>
      </c>
      <c r="D115" s="25" t="s">
        <v>206</v>
      </c>
      <c r="E115" s="26">
        <f>ПАРАМЕТРЫ!C37</f>
        <v>1.5</v>
      </c>
      <c r="F115" s="27">
        <f>ПАРАМЕТРЫ!D37</f>
        <v>353.11499999999995</v>
      </c>
      <c r="G115" s="27">
        <f>I115*F115</f>
        <v>2471.8049999999998</v>
      </c>
      <c r="H115" s="27" t="s">
        <v>94</v>
      </c>
      <c r="I115" s="27">
        <v>7</v>
      </c>
      <c r="J115" s="25"/>
      <c r="K115" s="25" t="s">
        <v>201</v>
      </c>
    </row>
    <row r="116" spans="1:11" ht="54.75" customHeight="1" x14ac:dyDescent="0.25">
      <c r="A116" s="37" t="str">
        <f t="shared" si="25"/>
        <v>КОМПЛЕКТ 13.  ЩО-3.1 (ЩРн-18з-0 36 УХЛ3 IP54)  |  Альбом 7.1 ЭО (Концертный зал)</v>
      </c>
      <c r="B116" s="37" t="s">
        <v>248</v>
      </c>
      <c r="C116" s="37"/>
      <c r="D116" s="37" t="s">
        <v>124</v>
      </c>
      <c r="E116" s="36" t="s">
        <v>95</v>
      </c>
      <c r="F116" s="38" t="str">
        <f>ПАРАМЕТРЫ!C6&amp;"%"</f>
        <v>12%</v>
      </c>
      <c r="G116" s="39">
        <f>(G111+G112+G113+G114+G115)*ПАРАМЕТРЫ!C6/100</f>
        <v>12747.169007999999</v>
      </c>
      <c r="H116" s="39" t="s">
        <v>94</v>
      </c>
      <c r="I116" s="39">
        <v>1</v>
      </c>
      <c r="J116" s="37" t="s">
        <v>11</v>
      </c>
      <c r="K116" s="37" t="s">
        <v>201</v>
      </c>
    </row>
    <row r="117" spans="1:11" ht="54.75" customHeight="1" thickBot="1" x14ac:dyDescent="0.3">
      <c r="A117" s="41" t="str">
        <f t="shared" si="25"/>
        <v>КОМПЛЕКТ 13.  ЩО-3.1 (ЩРн-18з-0 36 УХЛ3 IP54)  |  Альбом 7.1 ЭО (Концертный зал)</v>
      </c>
      <c r="B117" s="41" t="s">
        <v>249</v>
      </c>
      <c r="C117" s="41"/>
      <c r="D117" s="41" t="s">
        <v>126</v>
      </c>
      <c r="E117" s="40" t="s">
        <v>95</v>
      </c>
      <c r="F117" s="42" t="str">
        <f>ПАРАМЕТРЫ!C7&amp;"%"</f>
        <v>15%</v>
      </c>
      <c r="G117" s="43">
        <f>(G111+G112+G113+G114+G115)*ПАРАМЕТРЫ!C7/100</f>
        <v>15933.961259999996</v>
      </c>
      <c r="H117" s="43" t="s">
        <v>94</v>
      </c>
      <c r="I117" s="43">
        <v>1</v>
      </c>
      <c r="J117" s="41" t="s">
        <v>11</v>
      </c>
      <c r="K117" s="41" t="s">
        <v>201</v>
      </c>
    </row>
    <row r="118" spans="1:11" ht="54.75" customHeight="1" thickBot="1" x14ac:dyDescent="0.3">
      <c r="A118" s="53" t="str">
        <f>D118</f>
        <v>КОМПЛЕКТ 14.  ЩО-3.2 (ЩРн-18з-0 36 УХЛ3 IP54)  |  Альбом 7.1 ЭО (Концертный зал)</v>
      </c>
      <c r="B118" s="54" t="s">
        <v>250</v>
      </c>
      <c r="C118" s="54"/>
      <c r="D118" s="54" t="s">
        <v>250</v>
      </c>
      <c r="E118" s="54"/>
      <c r="F118" s="54"/>
      <c r="G118" s="54"/>
      <c r="H118" s="54" t="s">
        <v>632</v>
      </c>
      <c r="I118" s="54">
        <v>1</v>
      </c>
      <c r="J118" s="2"/>
      <c r="K118" s="2"/>
    </row>
    <row r="119" spans="1:11" ht="54.75" customHeight="1" x14ac:dyDescent="0.25">
      <c r="A119" s="22" t="str">
        <f t="shared" ref="A119:A126" si="27">A118</f>
        <v>КОМПЛЕКТ 14.  ЩО-3.2 (ЩРн-18з-0 36 УХЛ3 IP54)  |  Альбом 7.1 ЭО (Концертный зал)</v>
      </c>
      <c r="B119" s="22" t="s">
        <v>251</v>
      </c>
      <c r="C119" s="22" t="s">
        <v>92</v>
      </c>
      <c r="D119" s="22" t="s">
        <v>180</v>
      </c>
      <c r="E119" s="21" t="s">
        <v>95</v>
      </c>
      <c r="F119" s="21" t="s">
        <v>95</v>
      </c>
      <c r="G119" s="23">
        <v>0</v>
      </c>
      <c r="H119" s="23" t="s">
        <v>94</v>
      </c>
      <c r="I119" s="23">
        <v>1</v>
      </c>
      <c r="J119" s="22" t="s">
        <v>96</v>
      </c>
      <c r="K119" s="22" t="s">
        <v>201</v>
      </c>
    </row>
    <row r="120" spans="1:11" ht="54.75" customHeight="1" x14ac:dyDescent="0.25">
      <c r="A120" s="25" t="str">
        <f t="shared" si="27"/>
        <v>КОМПЛЕКТ 14.  ЩО-3.2 (ЩРн-18з-0 36 УХЛ3 IP54)  |  Альбом 7.1 ЭО (Концертный зал)</v>
      </c>
      <c r="B120" s="25" t="s">
        <v>181</v>
      </c>
      <c r="C120" s="25" t="s">
        <v>611</v>
      </c>
      <c r="D120" s="25" t="s">
        <v>604</v>
      </c>
      <c r="E120" s="26">
        <v>36.42</v>
      </c>
      <c r="F120" s="27">
        <f t="shared" ref="F120:F123" si="28">E120*0.3*1.33*590</f>
        <v>8573.6322000000018</v>
      </c>
      <c r="G120" s="27">
        <f>I120*F120</f>
        <v>8573.6322000000018</v>
      </c>
      <c r="H120" s="27" t="s">
        <v>94</v>
      </c>
      <c r="I120" s="27">
        <v>1</v>
      </c>
      <c r="J120" s="25" t="s">
        <v>182</v>
      </c>
      <c r="K120" s="41" t="s">
        <v>201</v>
      </c>
    </row>
    <row r="121" spans="1:11" ht="54.75" customHeight="1" x14ac:dyDescent="0.25">
      <c r="A121" s="29" t="str">
        <f t="shared" si="27"/>
        <v>КОМПЛЕКТ 14.  ЩО-3.2 (ЩРн-18з-0 36 УХЛ3 IP54)  |  Альбом 7.1 ЭО (Концертный зал)</v>
      </c>
      <c r="B121" s="29" t="s">
        <v>252</v>
      </c>
      <c r="C121" s="29" t="s">
        <v>610</v>
      </c>
      <c r="D121" s="29" t="s">
        <v>609</v>
      </c>
      <c r="E121" s="30">
        <v>8.09</v>
      </c>
      <c r="F121" s="27">
        <f t="shared" si="28"/>
        <v>1904.4669000000001</v>
      </c>
      <c r="G121" s="31">
        <f>I121*F121</f>
        <v>20949.135900000001</v>
      </c>
      <c r="H121" s="31" t="s">
        <v>94</v>
      </c>
      <c r="I121" s="31">
        <v>11</v>
      </c>
      <c r="J121" s="29"/>
      <c r="K121" s="29" t="s">
        <v>201</v>
      </c>
    </row>
    <row r="122" spans="1:11" ht="54.75" customHeight="1" x14ac:dyDescent="0.25">
      <c r="A122" s="25" t="str">
        <f t="shared" si="27"/>
        <v>КОМПЛЕКТ 14.  ЩО-3.2 (ЩРн-18з-0 36 УХЛ3 IP54)  |  Альбом 7.1 ЭО (Концертный зал)</v>
      </c>
      <c r="B122" s="25" t="s">
        <v>253</v>
      </c>
      <c r="C122" s="25" t="s">
        <v>153</v>
      </c>
      <c r="D122" s="25" t="s">
        <v>152</v>
      </c>
      <c r="E122" s="26">
        <f>ПАРАМЕТРЫ!C23</f>
        <v>87.63</v>
      </c>
      <c r="F122" s="27">
        <f t="shared" si="28"/>
        <v>20628.978300000002</v>
      </c>
      <c r="G122" s="27">
        <f>I122*F122</f>
        <v>0</v>
      </c>
      <c r="H122" s="27" t="s">
        <v>94</v>
      </c>
      <c r="I122" s="27">
        <v>0</v>
      </c>
      <c r="J122" s="25"/>
      <c r="K122" s="25" t="s">
        <v>201</v>
      </c>
    </row>
    <row r="123" spans="1:11" ht="54.75" customHeight="1" x14ac:dyDescent="0.25">
      <c r="A123" s="29" t="str">
        <f t="shared" si="27"/>
        <v>КОМПЛЕКТ 14.  ЩО-3.2 (ЩРн-18з-0 36 УХЛ3 IP54)  |  Альбом 7.1 ЭО (Концертный зал)</v>
      </c>
      <c r="B123" s="29" t="s">
        <v>254</v>
      </c>
      <c r="C123" s="29" t="s">
        <v>136</v>
      </c>
      <c r="D123" s="29" t="s">
        <v>135</v>
      </c>
      <c r="E123" s="30">
        <f>ПАРАМЕТРЫ!C33</f>
        <v>41.58</v>
      </c>
      <c r="F123" s="27">
        <f t="shared" si="28"/>
        <v>9788.3477999999996</v>
      </c>
      <c r="G123" s="31">
        <f>I123*F123</f>
        <v>19576.695599999999</v>
      </c>
      <c r="H123" s="31" t="s">
        <v>94</v>
      </c>
      <c r="I123" s="31">
        <v>2</v>
      </c>
      <c r="J123" s="29"/>
      <c r="K123" s="29" t="s">
        <v>201</v>
      </c>
    </row>
    <row r="124" spans="1:11" ht="54.75" customHeight="1" x14ac:dyDescent="0.25">
      <c r="A124" s="25" t="str">
        <f t="shared" si="27"/>
        <v>КОМПЛЕКТ 14.  ЩО-3.2 (ЩРн-18з-0 36 УХЛ3 IP54)  |  Альбом 7.1 ЭО (Концертный зал)</v>
      </c>
      <c r="B124" s="25" t="s">
        <v>255</v>
      </c>
      <c r="C124" s="25" t="s">
        <v>95</v>
      </c>
      <c r="D124" s="25" t="s">
        <v>206</v>
      </c>
      <c r="E124" s="26">
        <f>ПАРАМЕТРЫ!C37</f>
        <v>1.5</v>
      </c>
      <c r="F124" s="27">
        <f>ПАРАМЕТРЫ!D37</f>
        <v>353.11499999999995</v>
      </c>
      <c r="G124" s="27">
        <f>I124*F124</f>
        <v>706.2299999999999</v>
      </c>
      <c r="H124" s="27" t="s">
        <v>94</v>
      </c>
      <c r="I124" s="27">
        <v>2</v>
      </c>
      <c r="J124" s="25"/>
      <c r="K124" s="25" t="s">
        <v>201</v>
      </c>
    </row>
    <row r="125" spans="1:11" ht="54.75" customHeight="1" x14ac:dyDescent="0.25">
      <c r="A125" s="37" t="str">
        <f t="shared" si="27"/>
        <v>КОМПЛЕКТ 14.  ЩО-3.2 (ЩРн-18з-0 36 УХЛ3 IP54)  |  Альбом 7.1 ЭО (Концертный зал)</v>
      </c>
      <c r="B125" s="37" t="s">
        <v>256</v>
      </c>
      <c r="C125" s="37"/>
      <c r="D125" s="37" t="s">
        <v>124</v>
      </c>
      <c r="E125" s="36" t="s">
        <v>95</v>
      </c>
      <c r="F125" s="38" t="str">
        <f>ПАРАМЕТРЫ!C6&amp;"%"</f>
        <v>12%</v>
      </c>
      <c r="G125" s="39">
        <f>(G120+G121+G122+G123+G124)*ПАРАМЕТРЫ!C6/100</f>
        <v>5976.6832440000007</v>
      </c>
      <c r="H125" s="39" t="s">
        <v>94</v>
      </c>
      <c r="I125" s="39">
        <v>1</v>
      </c>
      <c r="J125" s="37" t="s">
        <v>11</v>
      </c>
      <c r="K125" s="37" t="s">
        <v>201</v>
      </c>
    </row>
    <row r="126" spans="1:11" ht="54.75" customHeight="1" thickBot="1" x14ac:dyDescent="0.3">
      <c r="A126" s="41" t="str">
        <f t="shared" si="27"/>
        <v>КОМПЛЕКТ 14.  ЩО-3.2 (ЩРн-18з-0 36 УХЛ3 IP54)  |  Альбом 7.1 ЭО (Концертный зал)</v>
      </c>
      <c r="B126" s="41" t="s">
        <v>257</v>
      </c>
      <c r="C126" s="41"/>
      <c r="D126" s="41" t="s">
        <v>126</v>
      </c>
      <c r="E126" s="40" t="s">
        <v>95</v>
      </c>
      <c r="F126" s="42" t="str">
        <f>ПАРАМЕТРЫ!C7&amp;"%"</f>
        <v>15%</v>
      </c>
      <c r="G126" s="43">
        <f>(G120+G121+G122+G123+G124)*ПАРАМЕТРЫ!C7/100</f>
        <v>7470.8540550000007</v>
      </c>
      <c r="H126" s="43" t="s">
        <v>94</v>
      </c>
      <c r="I126" s="43">
        <v>1</v>
      </c>
      <c r="J126" s="41" t="s">
        <v>11</v>
      </c>
      <c r="K126" s="41" t="s">
        <v>201</v>
      </c>
    </row>
    <row r="127" spans="1:11" ht="54.75" customHeight="1" thickBot="1" x14ac:dyDescent="0.3">
      <c r="A127" s="53" t="str">
        <f>D127</f>
        <v>КОМПЛЕКТ 15.  ЩО-3.3 (ЩРн-12з-0 36 УХЛ3 IP54)  |  Альбом 7.1 ЭО (Концертный зал)</v>
      </c>
      <c r="B127" s="54" t="s">
        <v>258</v>
      </c>
      <c r="C127" s="54"/>
      <c r="D127" s="54" t="s">
        <v>258</v>
      </c>
      <c r="E127" s="54"/>
      <c r="F127" s="54"/>
      <c r="G127" s="54"/>
      <c r="H127" s="54" t="s">
        <v>632</v>
      </c>
      <c r="I127" s="54">
        <v>1</v>
      </c>
      <c r="J127" s="2"/>
      <c r="K127" s="2"/>
    </row>
    <row r="128" spans="1:11" ht="54.75" customHeight="1" x14ac:dyDescent="0.25">
      <c r="A128" s="22" t="str">
        <f t="shared" ref="A128:A135" si="29">A127</f>
        <v>КОМПЛЕКТ 15.  ЩО-3.3 (ЩРн-12з-0 36 УХЛ3 IP54)  |  Альбом 7.1 ЭО (Концертный зал)</v>
      </c>
      <c r="B128" s="22" t="s">
        <v>259</v>
      </c>
      <c r="C128" s="22" t="s">
        <v>92</v>
      </c>
      <c r="D128" s="22" t="s">
        <v>180</v>
      </c>
      <c r="E128" s="21" t="s">
        <v>95</v>
      </c>
      <c r="F128" s="21" t="s">
        <v>95</v>
      </c>
      <c r="G128" s="23">
        <v>0</v>
      </c>
      <c r="H128" s="23" t="s">
        <v>94</v>
      </c>
      <c r="I128" s="23">
        <v>1</v>
      </c>
      <c r="J128" s="22" t="s">
        <v>96</v>
      </c>
      <c r="K128" s="22" t="s">
        <v>201</v>
      </c>
    </row>
    <row r="129" spans="1:11" ht="54.75" customHeight="1" x14ac:dyDescent="0.25">
      <c r="A129" s="25" t="str">
        <f t="shared" si="29"/>
        <v>КОМПЛЕКТ 15.  ЩО-3.3 (ЩРн-12з-0 36 УХЛ3 IP54)  |  Альбом 7.1 ЭО (Концертный зал)</v>
      </c>
      <c r="B129" s="25" t="s">
        <v>181</v>
      </c>
      <c r="C129" s="25" t="s">
        <v>611</v>
      </c>
      <c r="D129" s="25" t="s">
        <v>604</v>
      </c>
      <c r="E129" s="26">
        <v>36.42</v>
      </c>
      <c r="F129" s="27">
        <f t="shared" ref="F129:F132" si="30">E129*0.3*1.33*590</f>
        <v>8573.6322000000018</v>
      </c>
      <c r="G129" s="27">
        <f>I129*F129</f>
        <v>8573.6322000000018</v>
      </c>
      <c r="H129" s="27" t="s">
        <v>94</v>
      </c>
      <c r="I129" s="27">
        <v>1</v>
      </c>
      <c r="J129" s="25" t="s">
        <v>182</v>
      </c>
      <c r="K129" s="41" t="s">
        <v>201</v>
      </c>
    </row>
    <row r="130" spans="1:11" ht="54.75" customHeight="1" x14ac:dyDescent="0.25">
      <c r="A130" s="29" t="str">
        <f t="shared" si="29"/>
        <v>КОМПЛЕКТ 15.  ЩО-3.3 (ЩРн-12з-0 36 УХЛ3 IP54)  |  Альбом 7.1 ЭО (Концертный зал)</v>
      </c>
      <c r="B130" s="29" t="s">
        <v>260</v>
      </c>
      <c r="C130" s="29" t="s">
        <v>610</v>
      </c>
      <c r="D130" s="29" t="s">
        <v>609</v>
      </c>
      <c r="E130" s="30">
        <v>8.09</v>
      </c>
      <c r="F130" s="27">
        <f t="shared" si="30"/>
        <v>1904.4669000000001</v>
      </c>
      <c r="G130" s="31">
        <f>I130*F130</f>
        <v>20949.135900000001</v>
      </c>
      <c r="H130" s="31" t="s">
        <v>94</v>
      </c>
      <c r="I130" s="31">
        <v>11</v>
      </c>
      <c r="J130" s="29"/>
      <c r="K130" s="29" t="s">
        <v>201</v>
      </c>
    </row>
    <row r="131" spans="1:11" ht="54.75" customHeight="1" x14ac:dyDescent="0.25">
      <c r="A131" s="25" t="str">
        <f t="shared" si="29"/>
        <v>КОМПЛЕКТ 15.  ЩО-3.3 (ЩРн-12з-0 36 УХЛ3 IP54)  |  Альбом 7.1 ЭО (Концертный зал)</v>
      </c>
      <c r="B131" s="25" t="s">
        <v>261</v>
      </c>
      <c r="C131" s="25" t="s">
        <v>153</v>
      </c>
      <c r="D131" s="25" t="s">
        <v>152</v>
      </c>
      <c r="E131" s="26">
        <f>ПАРАМЕТРЫ!C23</f>
        <v>87.63</v>
      </c>
      <c r="F131" s="27">
        <f t="shared" si="30"/>
        <v>20628.978300000002</v>
      </c>
      <c r="G131" s="27">
        <f>I131*F131</f>
        <v>0</v>
      </c>
      <c r="H131" s="27" t="s">
        <v>94</v>
      </c>
      <c r="I131" s="27">
        <v>0</v>
      </c>
      <c r="J131" s="25"/>
      <c r="K131" s="25" t="s">
        <v>201</v>
      </c>
    </row>
    <row r="132" spans="1:11" ht="54.75" customHeight="1" x14ac:dyDescent="0.25">
      <c r="A132" s="29" t="str">
        <f t="shared" si="29"/>
        <v>КОМПЛЕКТ 15.  ЩО-3.3 (ЩРн-12з-0 36 УХЛ3 IP54)  |  Альбом 7.1 ЭО (Концертный зал)</v>
      </c>
      <c r="B132" s="29" t="s">
        <v>262</v>
      </c>
      <c r="C132" s="29" t="s">
        <v>136</v>
      </c>
      <c r="D132" s="29" t="s">
        <v>135</v>
      </c>
      <c r="E132" s="30">
        <f>ПАРАМЕТРЫ!C33</f>
        <v>41.58</v>
      </c>
      <c r="F132" s="27">
        <f t="shared" si="30"/>
        <v>9788.3477999999996</v>
      </c>
      <c r="G132" s="31">
        <f>I132*F132</f>
        <v>29365.043399999999</v>
      </c>
      <c r="H132" s="31" t="s">
        <v>94</v>
      </c>
      <c r="I132" s="31">
        <v>3</v>
      </c>
      <c r="J132" s="29"/>
      <c r="K132" s="29" t="s">
        <v>201</v>
      </c>
    </row>
    <row r="133" spans="1:11" ht="54.75" customHeight="1" x14ac:dyDescent="0.25">
      <c r="A133" s="25" t="str">
        <f t="shared" si="29"/>
        <v>КОМПЛЕКТ 15.  ЩО-3.3 (ЩРн-12з-0 36 УХЛ3 IP54)  |  Альбом 7.1 ЭО (Концертный зал)</v>
      </c>
      <c r="B133" s="25" t="s">
        <v>263</v>
      </c>
      <c r="C133" s="25" t="s">
        <v>95</v>
      </c>
      <c r="D133" s="25" t="s">
        <v>206</v>
      </c>
      <c r="E133" s="26">
        <f>ПАРАМЕТРЫ!C37</f>
        <v>1.5</v>
      </c>
      <c r="F133" s="27">
        <f>ПАРАМЕТРЫ!D37</f>
        <v>353.11499999999995</v>
      </c>
      <c r="G133" s="27">
        <f>I133*F133</f>
        <v>1059.3449999999998</v>
      </c>
      <c r="H133" s="27" t="s">
        <v>94</v>
      </c>
      <c r="I133" s="27">
        <v>3</v>
      </c>
      <c r="J133" s="25"/>
      <c r="K133" s="25" t="s">
        <v>201</v>
      </c>
    </row>
    <row r="134" spans="1:11" ht="54.75" customHeight="1" x14ac:dyDescent="0.25">
      <c r="A134" s="37" t="str">
        <f t="shared" si="29"/>
        <v>КОМПЛЕКТ 15.  ЩО-3.3 (ЩРн-12з-0 36 УХЛ3 IP54)  |  Альбом 7.1 ЭО (Концертный зал)</v>
      </c>
      <c r="B134" s="37" t="s">
        <v>264</v>
      </c>
      <c r="C134" s="37"/>
      <c r="D134" s="37" t="s">
        <v>124</v>
      </c>
      <c r="E134" s="36" t="s">
        <v>95</v>
      </c>
      <c r="F134" s="38" t="str">
        <f>ПАРАМЕТРЫ!C6&amp;"%"</f>
        <v>12%</v>
      </c>
      <c r="G134" s="39">
        <f>(G129+G130+G131+G132+G133)*ПАРАМЕТРЫ!C6/100</f>
        <v>7193.6587800000007</v>
      </c>
      <c r="H134" s="39" t="s">
        <v>94</v>
      </c>
      <c r="I134" s="39">
        <v>1</v>
      </c>
      <c r="J134" s="37" t="s">
        <v>11</v>
      </c>
      <c r="K134" s="37" t="s">
        <v>201</v>
      </c>
    </row>
    <row r="135" spans="1:11" ht="54.75" customHeight="1" thickBot="1" x14ac:dyDescent="0.3">
      <c r="A135" s="41" t="str">
        <f t="shared" si="29"/>
        <v>КОМПЛЕКТ 15.  ЩО-3.3 (ЩРн-12з-0 36 УХЛ3 IP54)  |  Альбом 7.1 ЭО (Концертный зал)</v>
      </c>
      <c r="B135" s="41" t="s">
        <v>265</v>
      </c>
      <c r="C135" s="41"/>
      <c r="D135" s="41" t="s">
        <v>126</v>
      </c>
      <c r="E135" s="40" t="s">
        <v>95</v>
      </c>
      <c r="F135" s="42" t="str">
        <f>ПАРАМЕТРЫ!C7&amp;"%"</f>
        <v>15%</v>
      </c>
      <c r="G135" s="43">
        <f>(G129+G130+G131+G132+G133)*ПАРАМЕТРЫ!C7/100</f>
        <v>8992.0734749999992</v>
      </c>
      <c r="H135" s="43" t="s">
        <v>94</v>
      </c>
      <c r="I135" s="43">
        <v>1</v>
      </c>
      <c r="J135" s="41" t="s">
        <v>11</v>
      </c>
      <c r="K135" s="41" t="s">
        <v>201</v>
      </c>
    </row>
    <row r="136" spans="1:11" ht="54.75" customHeight="1" thickBot="1" x14ac:dyDescent="0.3">
      <c r="A136" s="53" t="str">
        <f>D136</f>
        <v>КОМПЛЕКТ 16.  ЩО-Зз (ЩРн-18з-0 36 УХЛ3 IP54)  |  Альбом 7.1 ЭО (Концертный зал)</v>
      </c>
      <c r="B136" s="54" t="s">
        <v>266</v>
      </c>
      <c r="C136" s="54"/>
      <c r="D136" s="54" t="s">
        <v>266</v>
      </c>
      <c r="E136" s="54"/>
      <c r="F136" s="54"/>
      <c r="G136" s="54"/>
      <c r="H136" s="54" t="s">
        <v>632</v>
      </c>
      <c r="I136" s="54">
        <v>1</v>
      </c>
      <c r="J136" s="2"/>
      <c r="K136" s="2"/>
    </row>
    <row r="137" spans="1:11" ht="54.75" customHeight="1" x14ac:dyDescent="0.25">
      <c r="A137" s="22" t="str">
        <f t="shared" ref="A137:A144" si="31">A136</f>
        <v>КОМПЛЕКТ 16.  ЩО-Зз (ЩРн-18з-0 36 УХЛ3 IP54)  |  Альбом 7.1 ЭО (Концертный зал)</v>
      </c>
      <c r="B137" s="22" t="s">
        <v>267</v>
      </c>
      <c r="C137" s="22" t="s">
        <v>92</v>
      </c>
      <c r="D137" s="22" t="s">
        <v>146</v>
      </c>
      <c r="E137" s="21" t="s">
        <v>95</v>
      </c>
      <c r="F137" s="21" t="s">
        <v>95</v>
      </c>
      <c r="G137" s="23">
        <v>0</v>
      </c>
      <c r="H137" s="23" t="s">
        <v>94</v>
      </c>
      <c r="I137" s="23">
        <v>1</v>
      </c>
      <c r="J137" s="22" t="s">
        <v>96</v>
      </c>
      <c r="K137" s="22" t="s">
        <v>201</v>
      </c>
    </row>
    <row r="138" spans="1:11" ht="54.75" customHeight="1" x14ac:dyDescent="0.25">
      <c r="A138" s="25" t="str">
        <f t="shared" si="31"/>
        <v>КОМПЛЕКТ 16.  ЩО-Зз (ЩРн-18з-0 36 УХЛ3 IP54)  |  Альбом 7.1 ЭО (Концертный зал)</v>
      </c>
      <c r="B138" s="25" t="s">
        <v>181</v>
      </c>
      <c r="C138" s="25" t="s">
        <v>611</v>
      </c>
      <c r="D138" s="25" t="s">
        <v>604</v>
      </c>
      <c r="E138" s="26">
        <v>36.42</v>
      </c>
      <c r="F138" s="27">
        <f t="shared" ref="F138:F141" si="32">E138*0.3*1.33*590</f>
        <v>8573.6322000000018</v>
      </c>
      <c r="G138" s="27">
        <f>I138*F138</f>
        <v>8573.6322000000018</v>
      </c>
      <c r="H138" s="27" t="s">
        <v>94</v>
      </c>
      <c r="I138" s="27">
        <v>1</v>
      </c>
      <c r="J138" s="25" t="s">
        <v>182</v>
      </c>
      <c r="K138" s="41" t="s">
        <v>201</v>
      </c>
    </row>
    <row r="139" spans="1:11" ht="54.75" customHeight="1" x14ac:dyDescent="0.25">
      <c r="A139" s="29" t="str">
        <f t="shared" si="31"/>
        <v>КОМПЛЕКТ 16.  ЩО-Зз (ЩРн-18з-0 36 УХЛ3 IP54)  |  Альбом 7.1 ЭО (Концертный зал)</v>
      </c>
      <c r="B139" s="29" t="s">
        <v>268</v>
      </c>
      <c r="C139" s="29" t="s">
        <v>610</v>
      </c>
      <c r="D139" s="29" t="s">
        <v>609</v>
      </c>
      <c r="E139" s="30">
        <v>8.09</v>
      </c>
      <c r="F139" s="27">
        <f t="shared" si="32"/>
        <v>1904.4669000000001</v>
      </c>
      <c r="G139" s="31">
        <f>I139*F139</f>
        <v>30471.470400000002</v>
      </c>
      <c r="H139" s="31" t="s">
        <v>94</v>
      </c>
      <c r="I139" s="31">
        <v>16</v>
      </c>
      <c r="J139" s="29"/>
      <c r="K139" s="29" t="s">
        <v>201</v>
      </c>
    </row>
    <row r="140" spans="1:11" ht="54.75" customHeight="1" x14ac:dyDescent="0.25">
      <c r="A140" s="25" t="str">
        <f t="shared" si="31"/>
        <v>КОМПЛЕКТ 16.  ЩО-Зз (ЩРн-18з-0 36 УХЛ3 IP54)  |  Альбом 7.1 ЭО (Концертный зал)</v>
      </c>
      <c r="B140" s="25" t="s">
        <v>269</v>
      </c>
      <c r="C140" s="25" t="s">
        <v>153</v>
      </c>
      <c r="D140" s="25" t="s">
        <v>152</v>
      </c>
      <c r="E140" s="26">
        <f>ПАРАМЕТРЫ!C23</f>
        <v>87.63</v>
      </c>
      <c r="F140" s="27">
        <f t="shared" si="32"/>
        <v>20628.978300000002</v>
      </c>
      <c r="G140" s="27">
        <f>I140*F140</f>
        <v>0</v>
      </c>
      <c r="H140" s="27" t="s">
        <v>94</v>
      </c>
      <c r="I140" s="27">
        <v>0</v>
      </c>
      <c r="J140" s="25"/>
      <c r="K140" s="25" t="s">
        <v>201</v>
      </c>
    </row>
    <row r="141" spans="1:11" ht="54.75" customHeight="1" x14ac:dyDescent="0.25">
      <c r="A141" s="29" t="str">
        <f t="shared" si="31"/>
        <v>КОМПЛЕКТ 16.  ЩО-Зз (ЩРн-18з-0 36 УХЛ3 IP54)  |  Альбом 7.1 ЭО (Концертный зал)</v>
      </c>
      <c r="B141" s="29" t="s">
        <v>270</v>
      </c>
      <c r="C141" s="29" t="s">
        <v>136</v>
      </c>
      <c r="D141" s="29" t="s">
        <v>135</v>
      </c>
      <c r="E141" s="30">
        <f>ПАРАМЕТРЫ!C33</f>
        <v>41.58</v>
      </c>
      <c r="F141" s="27">
        <f t="shared" si="32"/>
        <v>9788.3477999999996</v>
      </c>
      <c r="G141" s="31">
        <f>I141*F141</f>
        <v>0</v>
      </c>
      <c r="H141" s="31" t="s">
        <v>94</v>
      </c>
      <c r="I141" s="31">
        <v>0</v>
      </c>
      <c r="J141" s="29"/>
      <c r="K141" s="29" t="s">
        <v>201</v>
      </c>
    </row>
    <row r="142" spans="1:11" ht="54.75" customHeight="1" x14ac:dyDescent="0.25">
      <c r="A142" s="25" t="str">
        <f t="shared" si="31"/>
        <v>КОМПЛЕКТ 16.  ЩО-Зз (ЩРн-18з-0 36 УХЛ3 IP54)  |  Альбом 7.1 ЭО (Концертный зал)</v>
      </c>
      <c r="B142" s="25" t="s">
        <v>271</v>
      </c>
      <c r="C142" s="25" t="s">
        <v>95</v>
      </c>
      <c r="D142" s="25" t="s">
        <v>206</v>
      </c>
      <c r="E142" s="26">
        <f>ПАРАМЕТРЫ!C37</f>
        <v>1.5</v>
      </c>
      <c r="F142" s="27">
        <f>ПАРАМЕТРЫ!D37</f>
        <v>353.11499999999995</v>
      </c>
      <c r="G142" s="27">
        <f>I142*F142</f>
        <v>0</v>
      </c>
      <c r="H142" s="27" t="s">
        <v>94</v>
      </c>
      <c r="I142" s="27">
        <v>0</v>
      </c>
      <c r="J142" s="25"/>
      <c r="K142" s="25" t="s">
        <v>201</v>
      </c>
    </row>
    <row r="143" spans="1:11" ht="54.75" customHeight="1" x14ac:dyDescent="0.25">
      <c r="A143" s="37" t="str">
        <f t="shared" si="31"/>
        <v>КОМПЛЕКТ 16.  ЩО-Зз (ЩРн-18з-0 36 УХЛ3 IP54)  |  Альбом 7.1 ЭО (Концертный зал)</v>
      </c>
      <c r="B143" s="37" t="s">
        <v>272</v>
      </c>
      <c r="C143" s="37"/>
      <c r="D143" s="37" t="s">
        <v>124</v>
      </c>
      <c r="E143" s="36" t="s">
        <v>95</v>
      </c>
      <c r="F143" s="38" t="str">
        <f>ПАРАМЕТРЫ!C6&amp;"%"</f>
        <v>12%</v>
      </c>
      <c r="G143" s="39">
        <f>(G138+G139+G140+G141+G142)*ПАРАМЕТРЫ!C6/100</f>
        <v>4685.4123120000004</v>
      </c>
      <c r="H143" s="39" t="s">
        <v>94</v>
      </c>
      <c r="I143" s="39">
        <v>1</v>
      </c>
      <c r="J143" s="37" t="s">
        <v>11</v>
      </c>
      <c r="K143" s="37" t="s">
        <v>201</v>
      </c>
    </row>
    <row r="144" spans="1:11" ht="54.75" customHeight="1" thickBot="1" x14ac:dyDescent="0.3">
      <c r="A144" s="41" t="str">
        <f t="shared" si="31"/>
        <v>КОМПЛЕКТ 16.  ЩО-Зз (ЩРн-18з-0 36 УХЛ3 IP54)  |  Альбом 7.1 ЭО (Концертный зал)</v>
      </c>
      <c r="B144" s="41" t="s">
        <v>273</v>
      </c>
      <c r="C144" s="41"/>
      <c r="D144" s="41" t="s">
        <v>126</v>
      </c>
      <c r="E144" s="40" t="s">
        <v>95</v>
      </c>
      <c r="F144" s="42" t="str">
        <f>ПАРАМЕТРЫ!C7&amp;"%"</f>
        <v>15%</v>
      </c>
      <c r="G144" s="43">
        <f>(G138+G139+G140+G141+G142)*ПАРАМЕТРЫ!C7/100</f>
        <v>5856.7653900000014</v>
      </c>
      <c r="H144" s="43" t="s">
        <v>94</v>
      </c>
      <c r="I144" s="43">
        <v>1</v>
      </c>
      <c r="J144" s="41" t="s">
        <v>11</v>
      </c>
      <c r="K144" s="41" t="s">
        <v>201</v>
      </c>
    </row>
    <row r="145" spans="1:11" ht="54.75" customHeight="1" thickBot="1" x14ac:dyDescent="0.3">
      <c r="A145" s="53" t="str">
        <f>D145</f>
        <v>КОМПЛЕКТ 17.  ЩОА-1.1 (ЩРн-12з-0 36 УХЛ3 IP54)  |  Альбом 7.1 ЭО (Концертный зал)</v>
      </c>
      <c r="B145" s="54" t="s">
        <v>274</v>
      </c>
      <c r="C145" s="54"/>
      <c r="D145" s="54" t="s">
        <v>274</v>
      </c>
      <c r="E145" s="54"/>
      <c r="F145" s="54"/>
      <c r="G145" s="54"/>
      <c r="H145" s="54" t="s">
        <v>632</v>
      </c>
      <c r="I145" s="54">
        <v>1</v>
      </c>
      <c r="J145" s="2"/>
      <c r="K145" s="2"/>
    </row>
    <row r="146" spans="1:11" ht="54.75" customHeight="1" x14ac:dyDescent="0.25">
      <c r="A146" s="22" t="str">
        <f t="shared" ref="A146:A150" si="33">A145</f>
        <v>КОМПЛЕКТ 17.  ЩОА-1.1 (ЩРн-12з-0 36 УХЛ3 IP54)  |  Альбом 7.1 ЭО (Концертный зал)</v>
      </c>
      <c r="B146" s="22" t="s">
        <v>275</v>
      </c>
      <c r="C146" s="22" t="s">
        <v>92</v>
      </c>
      <c r="D146" s="22" t="s">
        <v>129</v>
      </c>
      <c r="E146" s="21" t="s">
        <v>95</v>
      </c>
      <c r="F146" s="21" t="s">
        <v>95</v>
      </c>
      <c r="G146" s="23">
        <v>0</v>
      </c>
      <c r="H146" s="23" t="s">
        <v>94</v>
      </c>
      <c r="I146" s="23">
        <v>1</v>
      </c>
      <c r="J146" s="22" t="s">
        <v>96</v>
      </c>
      <c r="K146" s="22" t="s">
        <v>201</v>
      </c>
    </row>
    <row r="147" spans="1:11" ht="54.75" customHeight="1" x14ac:dyDescent="0.25">
      <c r="A147" s="25" t="str">
        <f t="shared" si="33"/>
        <v>КОМПЛЕКТ 17.  ЩОА-1.1 (ЩРн-12з-0 36 УХЛ3 IP54)  |  Альбом 7.1 ЭО (Концертный зал)</v>
      </c>
      <c r="B147" s="25" t="s">
        <v>181</v>
      </c>
      <c r="C147" s="25" t="s">
        <v>611</v>
      </c>
      <c r="D147" s="25" t="s">
        <v>604</v>
      </c>
      <c r="E147" s="26">
        <v>36.42</v>
      </c>
      <c r="F147" s="27">
        <f t="shared" ref="F147:F148" si="34">E147*0.3*1.33*590</f>
        <v>8573.6322000000018</v>
      </c>
      <c r="G147" s="27">
        <f>I147*F147</f>
        <v>8573.6322000000018</v>
      </c>
      <c r="H147" s="27" t="s">
        <v>94</v>
      </c>
      <c r="I147" s="27">
        <v>1</v>
      </c>
      <c r="J147" s="25" t="s">
        <v>182</v>
      </c>
      <c r="K147" s="41" t="s">
        <v>201</v>
      </c>
    </row>
    <row r="148" spans="1:11" ht="54.75" customHeight="1" x14ac:dyDescent="0.25">
      <c r="A148" s="29" t="str">
        <f t="shared" si="33"/>
        <v>КОМПЛЕКТ 17.  ЩОА-1.1 (ЩРн-12з-0 36 УХЛ3 IP54)  |  Альбом 7.1 ЭО (Концертный зал)</v>
      </c>
      <c r="B148" s="29" t="s">
        <v>276</v>
      </c>
      <c r="C148" s="29" t="s">
        <v>610</v>
      </c>
      <c r="D148" s="29" t="s">
        <v>609</v>
      </c>
      <c r="E148" s="30">
        <v>8.09</v>
      </c>
      <c r="F148" s="27">
        <f t="shared" si="34"/>
        <v>1904.4669000000001</v>
      </c>
      <c r="G148" s="31">
        <f>I148*F148</f>
        <v>5713.4007000000001</v>
      </c>
      <c r="H148" s="31" t="s">
        <v>94</v>
      </c>
      <c r="I148" s="31">
        <v>3</v>
      </c>
      <c r="J148" s="29"/>
      <c r="K148" s="29" t="s">
        <v>201</v>
      </c>
    </row>
    <row r="149" spans="1:11" ht="54.75" customHeight="1" x14ac:dyDescent="0.25">
      <c r="A149" s="37" t="str">
        <f t="shared" si="33"/>
        <v>КОМПЛЕКТ 17.  ЩОА-1.1 (ЩРн-12з-0 36 УХЛ3 IP54)  |  Альбом 7.1 ЭО (Концертный зал)</v>
      </c>
      <c r="B149" s="37" t="s">
        <v>277</v>
      </c>
      <c r="C149" s="37"/>
      <c r="D149" s="37" t="s">
        <v>124</v>
      </c>
      <c r="E149" s="36" t="s">
        <v>95</v>
      </c>
      <c r="F149" s="38" t="str">
        <f>ПАРАМЕТРЫ!C6&amp;"%"</f>
        <v>12%</v>
      </c>
      <c r="G149" s="39">
        <f>(G147+G148)*ПАРАМЕТРЫ!C6/100</f>
        <v>1714.4439480000001</v>
      </c>
      <c r="H149" s="39" t="s">
        <v>94</v>
      </c>
      <c r="I149" s="39">
        <v>1</v>
      </c>
      <c r="J149" s="37" t="s">
        <v>11</v>
      </c>
      <c r="K149" s="37" t="s">
        <v>201</v>
      </c>
    </row>
    <row r="150" spans="1:11" ht="54.75" customHeight="1" thickBot="1" x14ac:dyDescent="0.3">
      <c r="A150" s="41" t="str">
        <f t="shared" si="33"/>
        <v>КОМПЛЕКТ 17.  ЩОА-1.1 (ЩРн-12з-0 36 УХЛ3 IP54)  |  Альбом 7.1 ЭО (Концертный зал)</v>
      </c>
      <c r="B150" s="41" t="s">
        <v>278</v>
      </c>
      <c r="C150" s="41"/>
      <c r="D150" s="41" t="s">
        <v>126</v>
      </c>
      <c r="E150" s="40" t="s">
        <v>95</v>
      </c>
      <c r="F150" s="42" t="str">
        <f>ПАРАМЕТРЫ!C7&amp;"%"</f>
        <v>15%</v>
      </c>
      <c r="G150" s="43">
        <f>(G147+G148)*ПАРАМЕТРЫ!C7/100</f>
        <v>2143.0549350000006</v>
      </c>
      <c r="H150" s="43" t="s">
        <v>94</v>
      </c>
      <c r="I150" s="43">
        <v>1</v>
      </c>
      <c r="J150" s="41" t="s">
        <v>11</v>
      </c>
      <c r="K150" s="41" t="s">
        <v>201</v>
      </c>
    </row>
    <row r="151" spans="1:11" ht="54.75" customHeight="1" thickBot="1" x14ac:dyDescent="0.3">
      <c r="A151" s="53" t="str">
        <f>D151</f>
        <v>КОМПЛЕКТ 18.  ЩОА-1.2 (ЩРн-12з-0 36 УХЛ3 IP54)  |  Альбом 7.1 ЭО (Концертный зал)</v>
      </c>
      <c r="B151" s="54" t="s">
        <v>279</v>
      </c>
      <c r="C151" s="54"/>
      <c r="D151" s="54" t="s">
        <v>279</v>
      </c>
      <c r="E151" s="54"/>
      <c r="F151" s="54"/>
      <c r="G151" s="54"/>
      <c r="H151" s="54" t="s">
        <v>632</v>
      </c>
      <c r="I151" s="54">
        <v>1</v>
      </c>
      <c r="J151" s="2"/>
      <c r="K151" s="2"/>
    </row>
    <row r="152" spans="1:11" ht="54.75" customHeight="1" x14ac:dyDescent="0.25">
      <c r="A152" s="22" t="str">
        <f t="shared" ref="A152:A156" si="35">A151</f>
        <v>КОМПЛЕКТ 18.  ЩОА-1.2 (ЩРн-12з-0 36 УХЛ3 IP54)  |  Альбом 7.1 ЭО (Концертный зал)</v>
      </c>
      <c r="B152" s="22" t="s">
        <v>280</v>
      </c>
      <c r="C152" s="22" t="s">
        <v>92</v>
      </c>
      <c r="D152" s="22" t="s">
        <v>129</v>
      </c>
      <c r="E152" s="21" t="s">
        <v>95</v>
      </c>
      <c r="F152" s="21" t="s">
        <v>95</v>
      </c>
      <c r="G152" s="23">
        <v>0</v>
      </c>
      <c r="H152" s="23" t="s">
        <v>94</v>
      </c>
      <c r="I152" s="23">
        <v>1</v>
      </c>
      <c r="J152" s="22" t="s">
        <v>96</v>
      </c>
      <c r="K152" s="22" t="s">
        <v>201</v>
      </c>
    </row>
    <row r="153" spans="1:11" ht="54.75" customHeight="1" x14ac:dyDescent="0.25">
      <c r="A153" s="25" t="str">
        <f t="shared" si="35"/>
        <v>КОМПЛЕКТ 18.  ЩОА-1.2 (ЩРн-12з-0 36 УХЛ3 IP54)  |  Альбом 7.1 ЭО (Концертный зал)</v>
      </c>
      <c r="B153" s="25" t="s">
        <v>181</v>
      </c>
      <c r="C153" s="25" t="s">
        <v>611</v>
      </c>
      <c r="D153" s="25" t="s">
        <v>604</v>
      </c>
      <c r="E153" s="26">
        <v>36.42</v>
      </c>
      <c r="F153" s="27">
        <f t="shared" ref="F153:F154" si="36">E153*0.3*1.33*590</f>
        <v>8573.6322000000018</v>
      </c>
      <c r="G153" s="27">
        <f>I153*F153</f>
        <v>8573.6322000000018</v>
      </c>
      <c r="H153" s="27" t="s">
        <v>94</v>
      </c>
      <c r="I153" s="27">
        <v>1</v>
      </c>
      <c r="J153" s="25" t="s">
        <v>182</v>
      </c>
      <c r="K153" s="41" t="s">
        <v>201</v>
      </c>
    </row>
    <row r="154" spans="1:11" ht="54.75" customHeight="1" x14ac:dyDescent="0.25">
      <c r="A154" s="29" t="str">
        <f t="shared" si="35"/>
        <v>КОМПЛЕКТ 18.  ЩОА-1.2 (ЩРн-12з-0 36 УХЛ3 IP54)  |  Альбом 7.1 ЭО (Концертный зал)</v>
      </c>
      <c r="B154" s="29" t="s">
        <v>281</v>
      </c>
      <c r="C154" s="29" t="s">
        <v>610</v>
      </c>
      <c r="D154" s="29" t="s">
        <v>609</v>
      </c>
      <c r="E154" s="30">
        <v>8.09</v>
      </c>
      <c r="F154" s="27">
        <f t="shared" si="36"/>
        <v>1904.4669000000001</v>
      </c>
      <c r="G154" s="31">
        <f>I154*F154</f>
        <v>5713.4007000000001</v>
      </c>
      <c r="H154" s="31" t="s">
        <v>94</v>
      </c>
      <c r="I154" s="31">
        <v>3</v>
      </c>
      <c r="J154" s="29"/>
      <c r="K154" s="29" t="s">
        <v>201</v>
      </c>
    </row>
    <row r="155" spans="1:11" ht="54.75" customHeight="1" x14ac:dyDescent="0.25">
      <c r="A155" s="37" t="str">
        <f t="shared" si="35"/>
        <v>КОМПЛЕКТ 18.  ЩОА-1.2 (ЩРн-12з-0 36 УХЛ3 IP54)  |  Альбом 7.1 ЭО (Концертный зал)</v>
      </c>
      <c r="B155" s="37" t="s">
        <v>282</v>
      </c>
      <c r="C155" s="37"/>
      <c r="D155" s="37" t="s">
        <v>124</v>
      </c>
      <c r="E155" s="36" t="s">
        <v>95</v>
      </c>
      <c r="F155" s="38" t="str">
        <f>ПАРАМЕТРЫ!C6&amp;"%"</f>
        <v>12%</v>
      </c>
      <c r="G155" s="39">
        <f>(G153+G154)*ПАРАМЕТРЫ!C6/100</f>
        <v>1714.4439480000001</v>
      </c>
      <c r="H155" s="39" t="s">
        <v>94</v>
      </c>
      <c r="I155" s="39">
        <v>1</v>
      </c>
      <c r="J155" s="37" t="s">
        <v>11</v>
      </c>
      <c r="K155" s="37" t="s">
        <v>201</v>
      </c>
    </row>
    <row r="156" spans="1:11" ht="54.75" customHeight="1" thickBot="1" x14ac:dyDescent="0.3">
      <c r="A156" s="41" t="str">
        <f t="shared" si="35"/>
        <v>КОМПЛЕКТ 18.  ЩОА-1.2 (ЩРн-12з-0 36 УХЛ3 IP54)  |  Альбом 7.1 ЭО (Концертный зал)</v>
      </c>
      <c r="B156" s="41" t="s">
        <v>283</v>
      </c>
      <c r="C156" s="41"/>
      <c r="D156" s="41" t="s">
        <v>126</v>
      </c>
      <c r="E156" s="40" t="s">
        <v>95</v>
      </c>
      <c r="F156" s="42" t="str">
        <f>ПАРАМЕТРЫ!C7&amp;"%"</f>
        <v>15%</v>
      </c>
      <c r="G156" s="43">
        <f>(G153+G154)*ПАРАМЕТРЫ!C7/100</f>
        <v>2143.0549350000006</v>
      </c>
      <c r="H156" s="43" t="s">
        <v>94</v>
      </c>
      <c r="I156" s="43">
        <v>1</v>
      </c>
      <c r="J156" s="41" t="s">
        <v>11</v>
      </c>
      <c r="K156" s="41" t="s">
        <v>201</v>
      </c>
    </row>
    <row r="157" spans="1:11" ht="54.75" customHeight="1" thickBot="1" x14ac:dyDescent="0.3">
      <c r="A157" s="53" t="str">
        <f>D157</f>
        <v>КОМПЛЕКТ 19.  ЩОА-1.3 (ЩРн-12з-0 36 УХЛ3 IP54)  |  Альбом 7.1 ЭО (Концертный зал)</v>
      </c>
      <c r="B157" s="54" t="s">
        <v>284</v>
      </c>
      <c r="C157" s="54"/>
      <c r="D157" s="54" t="s">
        <v>284</v>
      </c>
      <c r="E157" s="54"/>
      <c r="F157" s="54"/>
      <c r="G157" s="54"/>
      <c r="H157" s="54" t="s">
        <v>632</v>
      </c>
      <c r="I157" s="54">
        <v>1</v>
      </c>
      <c r="J157" s="2"/>
      <c r="K157" s="2"/>
    </row>
    <row r="158" spans="1:11" ht="54.75" customHeight="1" x14ac:dyDescent="0.25">
      <c r="A158" s="22" t="str">
        <f t="shared" ref="A158:A162" si="37">A157</f>
        <v>КОМПЛЕКТ 19.  ЩОА-1.3 (ЩРн-12з-0 36 УХЛ3 IP54)  |  Альбом 7.1 ЭО (Концертный зал)</v>
      </c>
      <c r="B158" s="22" t="s">
        <v>285</v>
      </c>
      <c r="C158" s="22" t="s">
        <v>92</v>
      </c>
      <c r="D158" s="22" t="s">
        <v>129</v>
      </c>
      <c r="E158" s="21" t="s">
        <v>95</v>
      </c>
      <c r="F158" s="21" t="s">
        <v>95</v>
      </c>
      <c r="G158" s="23">
        <v>0</v>
      </c>
      <c r="H158" s="23" t="s">
        <v>94</v>
      </c>
      <c r="I158" s="23">
        <v>1</v>
      </c>
      <c r="J158" s="22" t="s">
        <v>96</v>
      </c>
      <c r="K158" s="22" t="s">
        <v>201</v>
      </c>
    </row>
    <row r="159" spans="1:11" ht="54.75" customHeight="1" x14ac:dyDescent="0.25">
      <c r="A159" s="25" t="str">
        <f t="shared" si="37"/>
        <v>КОМПЛЕКТ 19.  ЩОА-1.3 (ЩРн-12з-0 36 УХЛ3 IP54)  |  Альбом 7.1 ЭО (Концертный зал)</v>
      </c>
      <c r="B159" s="25" t="s">
        <v>181</v>
      </c>
      <c r="C159" s="25" t="s">
        <v>611</v>
      </c>
      <c r="D159" s="25" t="s">
        <v>604</v>
      </c>
      <c r="E159" s="26">
        <v>36.42</v>
      </c>
      <c r="F159" s="27">
        <f t="shared" ref="F159:F160" si="38">E159*0.3*1.33*590</f>
        <v>8573.6322000000018</v>
      </c>
      <c r="G159" s="27">
        <f>I159*F159</f>
        <v>8573.6322000000018</v>
      </c>
      <c r="H159" s="27" t="s">
        <v>94</v>
      </c>
      <c r="I159" s="27">
        <v>1</v>
      </c>
      <c r="J159" s="25" t="s">
        <v>182</v>
      </c>
      <c r="K159" s="41" t="s">
        <v>201</v>
      </c>
    </row>
    <row r="160" spans="1:11" ht="54.75" customHeight="1" x14ac:dyDescent="0.25">
      <c r="A160" s="29" t="str">
        <f t="shared" si="37"/>
        <v>КОМПЛЕКТ 19.  ЩОА-1.3 (ЩРн-12з-0 36 УХЛ3 IP54)  |  Альбом 7.1 ЭО (Концертный зал)</v>
      </c>
      <c r="B160" s="29" t="s">
        <v>286</v>
      </c>
      <c r="C160" s="29" t="s">
        <v>610</v>
      </c>
      <c r="D160" s="29" t="s">
        <v>609</v>
      </c>
      <c r="E160" s="30">
        <v>8.09</v>
      </c>
      <c r="F160" s="27">
        <f t="shared" si="38"/>
        <v>1904.4669000000001</v>
      </c>
      <c r="G160" s="31">
        <f>I160*F160</f>
        <v>9522.3345000000008</v>
      </c>
      <c r="H160" s="31" t="s">
        <v>94</v>
      </c>
      <c r="I160" s="31">
        <v>5</v>
      </c>
      <c r="J160" s="29"/>
      <c r="K160" s="29" t="s">
        <v>201</v>
      </c>
    </row>
    <row r="161" spans="1:11" ht="54.75" customHeight="1" x14ac:dyDescent="0.25">
      <c r="A161" s="37" t="str">
        <f t="shared" si="37"/>
        <v>КОМПЛЕКТ 19.  ЩОА-1.3 (ЩРн-12з-0 36 УХЛ3 IP54)  |  Альбом 7.1 ЭО (Концертный зал)</v>
      </c>
      <c r="B161" s="37" t="s">
        <v>287</v>
      </c>
      <c r="C161" s="37"/>
      <c r="D161" s="37" t="s">
        <v>124</v>
      </c>
      <c r="E161" s="36" t="s">
        <v>95</v>
      </c>
      <c r="F161" s="38" t="str">
        <f>ПАРАМЕТРЫ!C6&amp;"%"</f>
        <v>12%</v>
      </c>
      <c r="G161" s="39">
        <f>(G159+G160)*ПАРАМЕТРЫ!C6/100</f>
        <v>2171.5160040000005</v>
      </c>
      <c r="H161" s="39" t="s">
        <v>94</v>
      </c>
      <c r="I161" s="39">
        <v>1</v>
      </c>
      <c r="J161" s="37" t="s">
        <v>11</v>
      </c>
      <c r="K161" s="37" t="s">
        <v>201</v>
      </c>
    </row>
    <row r="162" spans="1:11" ht="54.75" customHeight="1" thickBot="1" x14ac:dyDescent="0.3">
      <c r="A162" s="41" t="str">
        <f t="shared" si="37"/>
        <v>КОМПЛЕКТ 19.  ЩОА-1.3 (ЩРн-12з-0 36 УХЛ3 IP54)  |  Альбом 7.1 ЭО (Концертный зал)</v>
      </c>
      <c r="B162" s="41" t="s">
        <v>288</v>
      </c>
      <c r="C162" s="41"/>
      <c r="D162" s="41" t="s">
        <v>126</v>
      </c>
      <c r="E162" s="40" t="s">
        <v>95</v>
      </c>
      <c r="F162" s="42" t="str">
        <f>ПАРАМЕТРЫ!C7&amp;"%"</f>
        <v>15%</v>
      </c>
      <c r="G162" s="43">
        <f>(G159+G160)*ПАРАМЕТРЫ!C7/100</f>
        <v>2714.3950050000008</v>
      </c>
      <c r="H162" s="43" t="s">
        <v>94</v>
      </c>
      <c r="I162" s="43">
        <v>1</v>
      </c>
      <c r="J162" s="41" t="s">
        <v>11</v>
      </c>
      <c r="K162" s="41" t="s">
        <v>201</v>
      </c>
    </row>
    <row r="163" spans="1:11" ht="54.75" customHeight="1" thickBot="1" x14ac:dyDescent="0.3">
      <c r="A163" s="53" t="str">
        <f>D163</f>
        <v>КОМПЛЕКТ 20.  ЩОА-2.1 (ЩРн-12з-0 36 УХЛ3 IP54)  |  Альбом 7.1 ЭО (Концертный зал)</v>
      </c>
      <c r="B163" s="54" t="s">
        <v>289</v>
      </c>
      <c r="C163" s="54"/>
      <c r="D163" s="54" t="s">
        <v>289</v>
      </c>
      <c r="E163" s="54"/>
      <c r="F163" s="54"/>
      <c r="G163" s="54"/>
      <c r="H163" s="54" t="s">
        <v>632</v>
      </c>
      <c r="I163" s="54">
        <v>1</v>
      </c>
      <c r="J163" s="2"/>
      <c r="K163" s="2"/>
    </row>
    <row r="164" spans="1:11" ht="54.75" customHeight="1" x14ac:dyDescent="0.25">
      <c r="A164" s="22" t="str">
        <f t="shared" ref="A164:A168" si="39">A163</f>
        <v>КОМПЛЕКТ 20.  ЩОА-2.1 (ЩРн-12з-0 36 УХЛ3 IP54)  |  Альбом 7.1 ЭО (Концертный зал)</v>
      </c>
      <c r="B164" s="22" t="s">
        <v>290</v>
      </c>
      <c r="C164" s="22" t="s">
        <v>92</v>
      </c>
      <c r="D164" s="22" t="s">
        <v>129</v>
      </c>
      <c r="E164" s="21" t="s">
        <v>95</v>
      </c>
      <c r="F164" s="21" t="s">
        <v>95</v>
      </c>
      <c r="G164" s="23">
        <v>0</v>
      </c>
      <c r="H164" s="23" t="s">
        <v>94</v>
      </c>
      <c r="I164" s="23">
        <v>1</v>
      </c>
      <c r="J164" s="22" t="s">
        <v>96</v>
      </c>
      <c r="K164" s="22" t="s">
        <v>201</v>
      </c>
    </row>
    <row r="165" spans="1:11" ht="54.75" customHeight="1" x14ac:dyDescent="0.25">
      <c r="A165" s="25" t="str">
        <f t="shared" si="39"/>
        <v>КОМПЛЕКТ 20.  ЩОА-2.1 (ЩРн-12з-0 36 УХЛ3 IP54)  |  Альбом 7.1 ЭО (Концертный зал)</v>
      </c>
      <c r="B165" s="25" t="s">
        <v>181</v>
      </c>
      <c r="C165" s="25" t="s">
        <v>611</v>
      </c>
      <c r="D165" s="25" t="s">
        <v>604</v>
      </c>
      <c r="E165" s="26">
        <v>36.42</v>
      </c>
      <c r="F165" s="27">
        <f t="shared" ref="F165:F166" si="40">E165*0.3*1.33*590</f>
        <v>8573.6322000000018</v>
      </c>
      <c r="G165" s="27">
        <f>I165*F165</f>
        <v>8573.6322000000018</v>
      </c>
      <c r="H165" s="27" t="s">
        <v>94</v>
      </c>
      <c r="I165" s="27">
        <v>1</v>
      </c>
      <c r="J165" s="25" t="s">
        <v>182</v>
      </c>
      <c r="K165" s="41" t="s">
        <v>201</v>
      </c>
    </row>
    <row r="166" spans="1:11" ht="54.75" customHeight="1" x14ac:dyDescent="0.25">
      <c r="A166" s="29" t="str">
        <f t="shared" si="39"/>
        <v>КОМПЛЕКТ 20.  ЩОА-2.1 (ЩРн-12з-0 36 УХЛ3 IP54)  |  Альбом 7.1 ЭО (Концертный зал)</v>
      </c>
      <c r="B166" s="29" t="s">
        <v>291</v>
      </c>
      <c r="C166" s="29" t="s">
        <v>610</v>
      </c>
      <c r="D166" s="29" t="s">
        <v>609</v>
      </c>
      <c r="E166" s="30">
        <v>8.09</v>
      </c>
      <c r="F166" s="27">
        <f t="shared" si="40"/>
        <v>1904.4669000000001</v>
      </c>
      <c r="G166" s="31">
        <f>I166*F166</f>
        <v>13331.268300000002</v>
      </c>
      <c r="H166" s="31" t="s">
        <v>94</v>
      </c>
      <c r="I166" s="31">
        <v>7</v>
      </c>
      <c r="J166" s="29"/>
      <c r="K166" s="29" t="s">
        <v>201</v>
      </c>
    </row>
    <row r="167" spans="1:11" ht="54.75" customHeight="1" x14ac:dyDescent="0.25">
      <c r="A167" s="37" t="str">
        <f t="shared" si="39"/>
        <v>КОМПЛЕКТ 20.  ЩОА-2.1 (ЩРн-12з-0 36 УХЛ3 IP54)  |  Альбом 7.1 ЭО (Концертный зал)</v>
      </c>
      <c r="B167" s="37" t="s">
        <v>292</v>
      </c>
      <c r="C167" s="37"/>
      <c r="D167" s="37" t="s">
        <v>124</v>
      </c>
      <c r="E167" s="36" t="s">
        <v>95</v>
      </c>
      <c r="F167" s="38" t="str">
        <f>ПАРАМЕТРЫ!C6&amp;"%"</f>
        <v>12%</v>
      </c>
      <c r="G167" s="39">
        <f>(G165+G166)*ПАРАМЕТРЫ!C6/100</f>
        <v>2628.5880600000005</v>
      </c>
      <c r="H167" s="39" t="s">
        <v>94</v>
      </c>
      <c r="I167" s="39">
        <v>1</v>
      </c>
      <c r="J167" s="37" t="s">
        <v>11</v>
      </c>
      <c r="K167" s="37" t="s">
        <v>201</v>
      </c>
    </row>
    <row r="168" spans="1:11" ht="54.75" customHeight="1" thickBot="1" x14ac:dyDescent="0.3">
      <c r="A168" s="41" t="str">
        <f t="shared" si="39"/>
        <v>КОМПЛЕКТ 20.  ЩОА-2.1 (ЩРн-12з-0 36 УХЛ3 IP54)  |  Альбом 7.1 ЭО (Концертный зал)</v>
      </c>
      <c r="B168" s="41" t="s">
        <v>293</v>
      </c>
      <c r="C168" s="41"/>
      <c r="D168" s="41" t="s">
        <v>126</v>
      </c>
      <c r="E168" s="40" t="s">
        <v>95</v>
      </c>
      <c r="F168" s="42" t="str">
        <f>ПАРАМЕТРЫ!C7&amp;"%"</f>
        <v>15%</v>
      </c>
      <c r="G168" s="43">
        <f>(G165+G166)*ПАРАМЕТРЫ!C7/100</f>
        <v>3285.7350750000005</v>
      </c>
      <c r="H168" s="43" t="s">
        <v>94</v>
      </c>
      <c r="I168" s="43">
        <v>1</v>
      </c>
      <c r="J168" s="41" t="s">
        <v>11</v>
      </c>
      <c r="K168" s="41" t="s">
        <v>201</v>
      </c>
    </row>
    <row r="169" spans="1:11" ht="54.75" customHeight="1" thickBot="1" x14ac:dyDescent="0.3">
      <c r="A169" s="53" t="str">
        <f>D169</f>
        <v>КОМПЛЕКТ 21.  ЩОА-2.2 (ЩРн-12з-0 36 УХЛ3 IP54)  |  Альбом 7.1 ЭО (Концертный зал)</v>
      </c>
      <c r="B169" s="54" t="s">
        <v>294</v>
      </c>
      <c r="C169" s="54"/>
      <c r="D169" s="54" t="s">
        <v>294</v>
      </c>
      <c r="E169" s="54"/>
      <c r="F169" s="54"/>
      <c r="G169" s="54"/>
      <c r="H169" s="54" t="s">
        <v>632</v>
      </c>
      <c r="I169" s="54">
        <v>1</v>
      </c>
      <c r="J169" s="2"/>
      <c r="K169" s="2"/>
    </row>
    <row r="170" spans="1:11" ht="54.75" customHeight="1" x14ac:dyDescent="0.25">
      <c r="A170" s="22" t="str">
        <f t="shared" ref="A170:A174" si="41">A169</f>
        <v>КОМПЛЕКТ 21.  ЩОА-2.2 (ЩРн-12з-0 36 УХЛ3 IP54)  |  Альбом 7.1 ЭО (Концертный зал)</v>
      </c>
      <c r="B170" s="22" t="s">
        <v>295</v>
      </c>
      <c r="C170" s="22" t="s">
        <v>92</v>
      </c>
      <c r="D170" s="22" t="s">
        <v>129</v>
      </c>
      <c r="E170" s="21" t="s">
        <v>95</v>
      </c>
      <c r="F170" s="21" t="s">
        <v>95</v>
      </c>
      <c r="G170" s="23">
        <v>0</v>
      </c>
      <c r="H170" s="23" t="s">
        <v>94</v>
      </c>
      <c r="I170" s="23">
        <v>1</v>
      </c>
      <c r="J170" s="22" t="s">
        <v>96</v>
      </c>
      <c r="K170" s="22" t="s">
        <v>201</v>
      </c>
    </row>
    <row r="171" spans="1:11" ht="54.75" customHeight="1" x14ac:dyDescent="0.25">
      <c r="A171" s="25" t="str">
        <f t="shared" si="41"/>
        <v>КОМПЛЕКТ 21.  ЩОА-2.2 (ЩРн-12з-0 36 УХЛ3 IP54)  |  Альбом 7.1 ЭО (Концертный зал)</v>
      </c>
      <c r="B171" s="25" t="s">
        <v>181</v>
      </c>
      <c r="C171" s="25" t="s">
        <v>611</v>
      </c>
      <c r="D171" s="25" t="s">
        <v>604</v>
      </c>
      <c r="E171" s="26">
        <v>36.42</v>
      </c>
      <c r="F171" s="27">
        <f t="shared" ref="F171:F172" si="42">E171*0.3*1.33*590</f>
        <v>8573.6322000000018</v>
      </c>
      <c r="G171" s="27">
        <f>I171*F171</f>
        <v>8573.6322000000018</v>
      </c>
      <c r="H171" s="27" t="s">
        <v>94</v>
      </c>
      <c r="I171" s="27">
        <v>1</v>
      </c>
      <c r="J171" s="25" t="s">
        <v>182</v>
      </c>
      <c r="K171" s="41" t="s">
        <v>201</v>
      </c>
    </row>
    <row r="172" spans="1:11" ht="54.75" customHeight="1" x14ac:dyDescent="0.25">
      <c r="A172" s="29" t="str">
        <f t="shared" si="41"/>
        <v>КОМПЛЕКТ 21.  ЩОА-2.2 (ЩРн-12з-0 36 УХЛ3 IP54)  |  Альбом 7.1 ЭО (Концертный зал)</v>
      </c>
      <c r="B172" s="29" t="s">
        <v>296</v>
      </c>
      <c r="C172" s="29" t="s">
        <v>610</v>
      </c>
      <c r="D172" s="29" t="s">
        <v>609</v>
      </c>
      <c r="E172" s="30">
        <v>8.09</v>
      </c>
      <c r="F172" s="27">
        <f t="shared" si="42"/>
        <v>1904.4669000000001</v>
      </c>
      <c r="G172" s="31">
        <f>I172*F172</f>
        <v>7617.8676000000005</v>
      </c>
      <c r="H172" s="31" t="s">
        <v>94</v>
      </c>
      <c r="I172" s="31">
        <v>4</v>
      </c>
      <c r="J172" s="29"/>
      <c r="K172" s="29" t="s">
        <v>201</v>
      </c>
    </row>
    <row r="173" spans="1:11" ht="54.75" customHeight="1" x14ac:dyDescent="0.25">
      <c r="A173" s="37" t="str">
        <f t="shared" si="41"/>
        <v>КОМПЛЕКТ 21.  ЩОА-2.2 (ЩРн-12з-0 36 УХЛ3 IP54)  |  Альбом 7.1 ЭО (Концертный зал)</v>
      </c>
      <c r="B173" s="37" t="s">
        <v>297</v>
      </c>
      <c r="C173" s="37"/>
      <c r="D173" s="37" t="s">
        <v>124</v>
      </c>
      <c r="E173" s="36" t="s">
        <v>95</v>
      </c>
      <c r="F173" s="38" t="str">
        <f>ПАРАМЕТРЫ!C6&amp;"%"</f>
        <v>12%</v>
      </c>
      <c r="G173" s="39">
        <f>(G171+G172)*ПАРАМЕТРЫ!C6/100</f>
        <v>1942.9799760000001</v>
      </c>
      <c r="H173" s="39" t="s">
        <v>94</v>
      </c>
      <c r="I173" s="39">
        <v>1</v>
      </c>
      <c r="J173" s="37" t="s">
        <v>11</v>
      </c>
      <c r="K173" s="37" t="s">
        <v>201</v>
      </c>
    </row>
    <row r="174" spans="1:11" ht="54.75" customHeight="1" thickBot="1" x14ac:dyDescent="0.3">
      <c r="A174" s="41" t="str">
        <f t="shared" si="41"/>
        <v>КОМПЛЕКТ 21.  ЩОА-2.2 (ЩРн-12з-0 36 УХЛ3 IP54)  |  Альбом 7.1 ЭО (Концертный зал)</v>
      </c>
      <c r="B174" s="41" t="s">
        <v>298</v>
      </c>
      <c r="C174" s="41"/>
      <c r="D174" s="41" t="s">
        <v>126</v>
      </c>
      <c r="E174" s="40" t="s">
        <v>95</v>
      </c>
      <c r="F174" s="42" t="str">
        <f>ПАРАМЕТРЫ!C7&amp;"%"</f>
        <v>15%</v>
      </c>
      <c r="G174" s="43">
        <f>(G171+G172)*ПАРАМЕТРЫ!C7/100</f>
        <v>2428.7249700000002</v>
      </c>
      <c r="H174" s="43" t="s">
        <v>94</v>
      </c>
      <c r="I174" s="43">
        <v>1</v>
      </c>
      <c r="J174" s="41" t="s">
        <v>11</v>
      </c>
      <c r="K174" s="41" t="s">
        <v>201</v>
      </c>
    </row>
    <row r="175" spans="1:11" ht="54.75" customHeight="1" thickBot="1" x14ac:dyDescent="0.3">
      <c r="A175" s="53" t="str">
        <f>D175</f>
        <v>КОМПЛЕКТ 22.  ЩОА-3.1 (ЩРн-12з-0 36 УХЛ3 IP54)  |  Альбом 7.1 ЭО (Концертный зал)</v>
      </c>
      <c r="B175" s="54" t="s">
        <v>299</v>
      </c>
      <c r="C175" s="54"/>
      <c r="D175" s="54" t="s">
        <v>299</v>
      </c>
      <c r="E175" s="54"/>
      <c r="F175" s="54"/>
      <c r="G175" s="54"/>
      <c r="H175" s="54" t="s">
        <v>632</v>
      </c>
      <c r="I175" s="54">
        <v>1</v>
      </c>
      <c r="J175" s="2"/>
      <c r="K175" s="2"/>
    </row>
    <row r="176" spans="1:11" ht="54.75" customHeight="1" x14ac:dyDescent="0.25">
      <c r="A176" s="22" t="str">
        <f t="shared" ref="A176:A180" si="43">A175</f>
        <v>КОМПЛЕКТ 22.  ЩОА-3.1 (ЩРн-12з-0 36 УХЛ3 IP54)  |  Альбом 7.1 ЭО (Концертный зал)</v>
      </c>
      <c r="B176" s="22" t="s">
        <v>300</v>
      </c>
      <c r="C176" s="22" t="s">
        <v>92</v>
      </c>
      <c r="D176" s="22" t="s">
        <v>129</v>
      </c>
      <c r="E176" s="21" t="s">
        <v>95</v>
      </c>
      <c r="F176" s="21" t="s">
        <v>95</v>
      </c>
      <c r="G176" s="23">
        <v>0</v>
      </c>
      <c r="H176" s="23" t="s">
        <v>94</v>
      </c>
      <c r="I176" s="23">
        <v>1</v>
      </c>
      <c r="J176" s="22" t="s">
        <v>96</v>
      </c>
      <c r="K176" s="22" t="s">
        <v>201</v>
      </c>
    </row>
    <row r="177" spans="1:11" ht="54.75" customHeight="1" x14ac:dyDescent="0.25">
      <c r="A177" s="25" t="str">
        <f t="shared" si="43"/>
        <v>КОМПЛЕКТ 22.  ЩОА-3.1 (ЩРн-12з-0 36 УХЛ3 IP54)  |  Альбом 7.1 ЭО (Концертный зал)</v>
      </c>
      <c r="B177" s="25" t="s">
        <v>181</v>
      </c>
      <c r="C177" s="25" t="s">
        <v>611</v>
      </c>
      <c r="D177" s="25" t="s">
        <v>604</v>
      </c>
      <c r="E177" s="26">
        <v>36.42</v>
      </c>
      <c r="F177" s="27">
        <f t="shared" ref="F177:F178" si="44">E177*0.3*1.33*590</f>
        <v>8573.6322000000018</v>
      </c>
      <c r="G177" s="27">
        <f>I177*F177</f>
        <v>8573.6322000000018</v>
      </c>
      <c r="H177" s="27" t="s">
        <v>94</v>
      </c>
      <c r="I177" s="27">
        <v>1</v>
      </c>
      <c r="J177" s="25" t="s">
        <v>182</v>
      </c>
      <c r="K177" s="41" t="s">
        <v>201</v>
      </c>
    </row>
    <row r="178" spans="1:11" ht="54.75" customHeight="1" x14ac:dyDescent="0.25">
      <c r="A178" s="29" t="str">
        <f t="shared" si="43"/>
        <v>КОМПЛЕКТ 22.  ЩОА-3.1 (ЩРн-12з-0 36 УХЛ3 IP54)  |  Альбом 7.1 ЭО (Концертный зал)</v>
      </c>
      <c r="B178" s="29" t="s">
        <v>301</v>
      </c>
      <c r="C178" s="29" t="s">
        <v>610</v>
      </c>
      <c r="D178" s="29" t="s">
        <v>609</v>
      </c>
      <c r="E178" s="30">
        <v>8.09</v>
      </c>
      <c r="F178" s="27">
        <f t="shared" si="44"/>
        <v>1904.4669000000001</v>
      </c>
      <c r="G178" s="31">
        <f>I178*F178</f>
        <v>15235.735200000001</v>
      </c>
      <c r="H178" s="31" t="s">
        <v>94</v>
      </c>
      <c r="I178" s="31">
        <v>8</v>
      </c>
      <c r="J178" s="29"/>
      <c r="K178" s="29" t="s">
        <v>201</v>
      </c>
    </row>
    <row r="179" spans="1:11" ht="54.75" customHeight="1" x14ac:dyDescent="0.25">
      <c r="A179" s="37" t="str">
        <f t="shared" si="43"/>
        <v>КОМПЛЕКТ 22.  ЩОА-3.1 (ЩРн-12з-0 36 УХЛ3 IP54)  |  Альбом 7.1 ЭО (Концертный зал)</v>
      </c>
      <c r="B179" s="37" t="s">
        <v>302</v>
      </c>
      <c r="C179" s="37"/>
      <c r="D179" s="37" t="s">
        <v>124</v>
      </c>
      <c r="E179" s="36" t="s">
        <v>95</v>
      </c>
      <c r="F179" s="38" t="str">
        <f>ПАРАМЕТРЫ!C6&amp;"%"</f>
        <v>12%</v>
      </c>
      <c r="G179" s="39">
        <f>(G177+G178)*ПАРАМЕТРЫ!C6/100</f>
        <v>2857.1240880000005</v>
      </c>
      <c r="H179" s="39" t="s">
        <v>94</v>
      </c>
      <c r="I179" s="39">
        <v>1</v>
      </c>
      <c r="J179" s="37" t="s">
        <v>11</v>
      </c>
      <c r="K179" s="37" t="s">
        <v>201</v>
      </c>
    </row>
    <row r="180" spans="1:11" ht="54.75" customHeight="1" thickBot="1" x14ac:dyDescent="0.3">
      <c r="A180" s="41" t="str">
        <f t="shared" si="43"/>
        <v>КОМПЛЕКТ 22.  ЩОА-3.1 (ЩРн-12з-0 36 УХЛ3 IP54)  |  Альбом 7.1 ЭО (Концертный зал)</v>
      </c>
      <c r="B180" s="41" t="s">
        <v>303</v>
      </c>
      <c r="C180" s="41"/>
      <c r="D180" s="41" t="s">
        <v>126</v>
      </c>
      <c r="E180" s="40" t="s">
        <v>95</v>
      </c>
      <c r="F180" s="42" t="str">
        <f>ПАРАМЕТРЫ!C7&amp;"%"</f>
        <v>15%</v>
      </c>
      <c r="G180" s="43">
        <f>(G177+G178)*ПАРАМЕТРЫ!C7/100</f>
        <v>3571.4051100000006</v>
      </c>
      <c r="H180" s="43" t="s">
        <v>94</v>
      </c>
      <c r="I180" s="43">
        <v>1</v>
      </c>
      <c r="J180" s="41" t="s">
        <v>11</v>
      </c>
      <c r="K180" s="41" t="s">
        <v>201</v>
      </c>
    </row>
    <row r="181" spans="1:11" ht="54.75" customHeight="1" thickBot="1" x14ac:dyDescent="0.3">
      <c r="A181" s="53" t="str">
        <f>D181</f>
        <v>КОМПЛЕКТ 23.  ЩОА-3.2 (ЩРн-12з-0 36 УХЛ3 IP54)  |  Альбом 7.1 ЭО (Концертный зал)</v>
      </c>
      <c r="B181" s="54" t="s">
        <v>304</v>
      </c>
      <c r="C181" s="54"/>
      <c r="D181" s="54" t="s">
        <v>304</v>
      </c>
      <c r="E181" s="54"/>
      <c r="F181" s="54"/>
      <c r="G181" s="54"/>
      <c r="H181" s="54" t="s">
        <v>632</v>
      </c>
      <c r="I181" s="54">
        <v>1</v>
      </c>
      <c r="J181" s="2"/>
      <c r="K181" s="2"/>
    </row>
    <row r="182" spans="1:11" ht="54.75" customHeight="1" x14ac:dyDescent="0.25">
      <c r="A182" s="22" t="str">
        <f t="shared" ref="A182:A187" si="45">A181</f>
        <v>КОМПЛЕКТ 23.  ЩОА-3.2 (ЩРн-12з-0 36 УХЛ3 IP54)  |  Альбом 7.1 ЭО (Концертный зал)</v>
      </c>
      <c r="B182" s="22" t="s">
        <v>305</v>
      </c>
      <c r="C182" s="22" t="s">
        <v>92</v>
      </c>
      <c r="D182" s="22" t="s">
        <v>129</v>
      </c>
      <c r="E182" s="21" t="s">
        <v>95</v>
      </c>
      <c r="F182" s="21" t="s">
        <v>95</v>
      </c>
      <c r="G182" s="23">
        <v>0</v>
      </c>
      <c r="H182" s="23" t="s">
        <v>94</v>
      </c>
      <c r="I182" s="23">
        <v>1</v>
      </c>
      <c r="J182" s="22" t="s">
        <v>96</v>
      </c>
      <c r="K182" s="22" t="s">
        <v>201</v>
      </c>
    </row>
    <row r="183" spans="1:11" ht="54.75" customHeight="1" x14ac:dyDescent="0.25">
      <c r="A183" s="25" t="str">
        <f t="shared" si="45"/>
        <v>КОМПЛЕКТ 23.  ЩОА-3.2 (ЩРн-12з-0 36 УХЛ3 IP54)  |  Альбом 7.1 ЭО (Концертный зал)</v>
      </c>
      <c r="B183" s="25" t="s">
        <v>181</v>
      </c>
      <c r="C183" s="25" t="s">
        <v>611</v>
      </c>
      <c r="D183" s="25" t="s">
        <v>604</v>
      </c>
      <c r="E183" s="26">
        <v>36.42</v>
      </c>
      <c r="F183" s="27">
        <f t="shared" ref="F183:F184" si="46">E183*0.3*1.33*590</f>
        <v>8573.6322000000018</v>
      </c>
      <c r="G183" s="27">
        <f>I183*F183</f>
        <v>8573.6322000000018</v>
      </c>
      <c r="H183" s="27" t="s">
        <v>94</v>
      </c>
      <c r="I183" s="27">
        <v>1</v>
      </c>
      <c r="J183" s="25" t="s">
        <v>182</v>
      </c>
      <c r="K183" s="41" t="s">
        <v>201</v>
      </c>
    </row>
    <row r="184" spans="1:11" ht="54.75" customHeight="1" x14ac:dyDescent="0.25">
      <c r="A184" s="29" t="str">
        <f t="shared" si="45"/>
        <v>КОМПЛЕКТ 23.  ЩОА-3.2 (ЩРн-12з-0 36 УХЛ3 IP54)  |  Альбом 7.1 ЭО (Концертный зал)</v>
      </c>
      <c r="B184" s="29" t="s">
        <v>306</v>
      </c>
      <c r="C184" s="29" t="s">
        <v>610</v>
      </c>
      <c r="D184" s="29" t="s">
        <v>609</v>
      </c>
      <c r="E184" s="30">
        <v>8.09</v>
      </c>
      <c r="F184" s="27">
        <f t="shared" si="46"/>
        <v>1904.4669000000001</v>
      </c>
      <c r="G184" s="31">
        <f>I184*F184</f>
        <v>9522.3345000000008</v>
      </c>
      <c r="H184" s="31" t="s">
        <v>94</v>
      </c>
      <c r="I184" s="31">
        <v>5</v>
      </c>
      <c r="J184" s="29"/>
      <c r="K184" s="29" t="s">
        <v>201</v>
      </c>
    </row>
    <row r="185" spans="1:11" ht="54.75" customHeight="1" x14ac:dyDescent="0.25">
      <c r="A185" s="37" t="str">
        <f t="shared" si="45"/>
        <v>КОМПЛЕКТ 23.  ЩОА-3.2 (ЩРн-12з-0 36 УХЛ3 IP54)  |  Альбом 7.1 ЭО (Концертный зал)</v>
      </c>
      <c r="B185" s="37" t="s">
        <v>307</v>
      </c>
      <c r="C185" s="37"/>
      <c r="D185" s="37" t="s">
        <v>124</v>
      </c>
      <c r="E185" s="36" t="s">
        <v>95</v>
      </c>
      <c r="F185" s="38" t="str">
        <f>ПАРАМЕТРЫ!C6&amp;"%"</f>
        <v>12%</v>
      </c>
      <c r="G185" s="39">
        <f>(G183+G184)*ПАРАМЕТРЫ!C6/100</f>
        <v>2171.5160040000005</v>
      </c>
      <c r="H185" s="39" t="s">
        <v>94</v>
      </c>
      <c r="I185" s="39">
        <v>1</v>
      </c>
      <c r="J185" s="37" t="s">
        <v>11</v>
      </c>
      <c r="K185" s="37" t="s">
        <v>201</v>
      </c>
    </row>
    <row r="186" spans="1:11" ht="54.75" customHeight="1" thickBot="1" x14ac:dyDescent="0.3">
      <c r="A186" s="41" t="str">
        <f t="shared" si="45"/>
        <v>КОМПЛЕКТ 23.  ЩОА-3.2 (ЩРн-12з-0 36 УХЛ3 IP54)  |  Альбом 7.1 ЭО (Концертный зал)</v>
      </c>
      <c r="B186" s="41" t="s">
        <v>308</v>
      </c>
      <c r="C186" s="41"/>
      <c r="D186" s="41" t="s">
        <v>126</v>
      </c>
      <c r="E186" s="40" t="s">
        <v>95</v>
      </c>
      <c r="F186" s="42" t="str">
        <f>ПАРАМЕТРЫ!C7&amp;"%"</f>
        <v>15%</v>
      </c>
      <c r="G186" s="43">
        <f>(G183+G184)*ПАРАМЕТРЫ!C7/100</f>
        <v>2714.3950050000008</v>
      </c>
      <c r="H186" s="43" t="s">
        <v>94</v>
      </c>
      <c r="I186" s="43">
        <v>1</v>
      </c>
      <c r="J186" s="41" t="s">
        <v>11</v>
      </c>
      <c r="K186" s="41" t="s">
        <v>201</v>
      </c>
    </row>
    <row r="187" spans="1:11" ht="54.75" customHeight="1" thickBot="1" x14ac:dyDescent="0.3">
      <c r="A187" s="20" t="str">
        <f t="shared" si="45"/>
        <v>КОМПЛЕКТ 23.  ЩОА-3.2 (ЩРн-12з-0 36 УХЛ3 IP54)  |  Альбом 7.1 ЭО (Концертный зал)</v>
      </c>
      <c r="B187" s="20"/>
      <c r="C187" s="19" t="s">
        <v>309</v>
      </c>
      <c r="D187" s="20"/>
      <c r="E187" s="20"/>
      <c r="F187" s="20"/>
      <c r="G187" s="20"/>
      <c r="H187" s="20"/>
      <c r="I187" s="20"/>
      <c r="J187" s="20"/>
      <c r="K187" s="20"/>
    </row>
    <row r="188" spans="1:11" ht="54.75" customHeight="1" thickBot="1" x14ac:dyDescent="0.3">
      <c r="A188" s="53" t="str">
        <f>D188</f>
        <v>КОМПЛЕКТ 24.  МЗ-ЩО-0.1 (ЩРн-24з-0 36 УХЛ3 IP54)  |  Альбом 7.1 ЭО (Музей)</v>
      </c>
      <c r="B188" s="54" t="s">
        <v>310</v>
      </c>
      <c r="C188" s="54"/>
      <c r="D188" s="54" t="s">
        <v>310</v>
      </c>
      <c r="E188" s="54"/>
      <c r="F188" s="54"/>
      <c r="G188" s="54"/>
      <c r="H188" s="54" t="s">
        <v>632</v>
      </c>
      <c r="I188" s="54">
        <v>1</v>
      </c>
      <c r="J188" s="2"/>
      <c r="K188" s="2"/>
    </row>
    <row r="189" spans="1:11" ht="54.75" customHeight="1" x14ac:dyDescent="0.25">
      <c r="A189" s="22" t="str">
        <f t="shared" ref="A189:A196" si="47">A188</f>
        <v>КОМПЛЕКТ 24.  МЗ-ЩО-0.1 (ЩРн-24з-0 36 УХЛ3 IP54)  |  Альбом 7.1 ЭО (Музей)</v>
      </c>
      <c r="B189" s="22" t="s">
        <v>311</v>
      </c>
      <c r="C189" s="22" t="s">
        <v>92</v>
      </c>
      <c r="D189" s="22" t="s">
        <v>146</v>
      </c>
      <c r="E189" s="21" t="s">
        <v>95</v>
      </c>
      <c r="F189" s="21" t="s">
        <v>95</v>
      </c>
      <c r="G189" s="23">
        <v>0</v>
      </c>
      <c r="H189" s="23" t="s">
        <v>94</v>
      </c>
      <c r="I189" s="23">
        <v>1</v>
      </c>
      <c r="J189" s="22" t="s">
        <v>96</v>
      </c>
      <c r="K189" s="22" t="s">
        <v>312</v>
      </c>
    </row>
    <row r="190" spans="1:11" ht="54.75" customHeight="1" x14ac:dyDescent="0.25">
      <c r="A190" s="25" t="str">
        <f t="shared" si="47"/>
        <v>КОМПЛЕКТ 24.  МЗ-ЩО-0.1 (ЩРн-24з-0 36 УХЛ3 IP54)  |  Альбом 7.1 ЭО (Музей)</v>
      </c>
      <c r="B190" s="25" t="s">
        <v>181</v>
      </c>
      <c r="C190" s="25" t="s">
        <v>611</v>
      </c>
      <c r="D190" s="25" t="s">
        <v>604</v>
      </c>
      <c r="E190" s="26">
        <v>36.42</v>
      </c>
      <c r="F190" s="27">
        <f t="shared" ref="F190:F193" si="48">E190*0.3*1.33*590</f>
        <v>8573.6322000000018</v>
      </c>
      <c r="G190" s="27">
        <f>I190*F190</f>
        <v>8573.6322000000018</v>
      </c>
      <c r="H190" s="27" t="s">
        <v>94</v>
      </c>
      <c r="I190" s="27">
        <v>1</v>
      </c>
      <c r="J190" s="25" t="s">
        <v>182</v>
      </c>
      <c r="K190" s="41" t="s">
        <v>201</v>
      </c>
    </row>
    <row r="191" spans="1:11" ht="54.75" customHeight="1" x14ac:dyDescent="0.25">
      <c r="A191" s="29" t="str">
        <f t="shared" si="47"/>
        <v>КОМПЛЕКТ 24.  МЗ-ЩО-0.1 (ЩРн-24з-0 36 УХЛ3 IP54)  |  Альбом 7.1 ЭО (Музей)</v>
      </c>
      <c r="B191" s="29" t="s">
        <v>313</v>
      </c>
      <c r="C191" s="29" t="s">
        <v>610</v>
      </c>
      <c r="D191" s="29" t="s">
        <v>609</v>
      </c>
      <c r="E191" s="30">
        <v>8.09</v>
      </c>
      <c r="F191" s="27">
        <f t="shared" si="48"/>
        <v>1904.4669000000001</v>
      </c>
      <c r="G191" s="31">
        <f>I191*F191</f>
        <v>32375.937300000001</v>
      </c>
      <c r="H191" s="31" t="s">
        <v>94</v>
      </c>
      <c r="I191" s="31">
        <v>17</v>
      </c>
      <c r="J191" s="29"/>
      <c r="K191" s="29" t="s">
        <v>312</v>
      </c>
    </row>
    <row r="192" spans="1:11" ht="54.75" customHeight="1" x14ac:dyDescent="0.25">
      <c r="A192" s="25" t="str">
        <f t="shared" si="47"/>
        <v>КОМПЛЕКТ 24.  МЗ-ЩО-0.1 (ЩРн-24з-0 36 УХЛ3 IP54)  |  Альбом 7.1 ЭО (Музей)</v>
      </c>
      <c r="B192" s="25" t="s">
        <v>314</v>
      </c>
      <c r="C192" s="25" t="s">
        <v>153</v>
      </c>
      <c r="D192" s="25" t="s">
        <v>152</v>
      </c>
      <c r="E192" s="26">
        <f>ПАРАМЕТРЫ!C23</f>
        <v>87.63</v>
      </c>
      <c r="F192" s="27">
        <f t="shared" si="48"/>
        <v>20628.978300000002</v>
      </c>
      <c r="G192" s="27">
        <f>I192*F192</f>
        <v>0</v>
      </c>
      <c r="H192" s="27" t="s">
        <v>94</v>
      </c>
      <c r="I192" s="27">
        <v>0</v>
      </c>
      <c r="J192" s="25"/>
      <c r="K192" s="25" t="s">
        <v>312</v>
      </c>
    </row>
    <row r="193" spans="1:11" ht="54.75" customHeight="1" x14ac:dyDescent="0.25">
      <c r="A193" s="29" t="str">
        <f t="shared" si="47"/>
        <v>КОМПЛЕКТ 24.  МЗ-ЩО-0.1 (ЩРн-24з-0 36 УХЛ3 IP54)  |  Альбом 7.1 ЭО (Музей)</v>
      </c>
      <c r="B193" s="29" t="s">
        <v>315</v>
      </c>
      <c r="C193" s="29" t="s">
        <v>136</v>
      </c>
      <c r="D193" s="29" t="s">
        <v>135</v>
      </c>
      <c r="E193" s="30">
        <f>ПАРАМЕТРЫ!C33</f>
        <v>41.58</v>
      </c>
      <c r="F193" s="27">
        <f t="shared" si="48"/>
        <v>9788.3477999999996</v>
      </c>
      <c r="G193" s="31">
        <f>I193*F193</f>
        <v>29365.043399999999</v>
      </c>
      <c r="H193" s="31" t="s">
        <v>94</v>
      </c>
      <c r="I193" s="31">
        <v>3</v>
      </c>
      <c r="J193" s="29"/>
      <c r="K193" s="29" t="s">
        <v>312</v>
      </c>
    </row>
    <row r="194" spans="1:11" ht="54.75" customHeight="1" x14ac:dyDescent="0.25">
      <c r="A194" s="25" t="str">
        <f t="shared" si="47"/>
        <v>КОМПЛЕКТ 24.  МЗ-ЩО-0.1 (ЩРн-24з-0 36 УХЛ3 IP54)  |  Альбом 7.1 ЭО (Музей)</v>
      </c>
      <c r="B194" s="25" t="s">
        <v>316</v>
      </c>
      <c r="C194" s="25" t="s">
        <v>95</v>
      </c>
      <c r="D194" s="25" t="s">
        <v>206</v>
      </c>
      <c r="E194" s="26">
        <f>ПАРАМЕТРЫ!C37</f>
        <v>1.5</v>
      </c>
      <c r="F194" s="27">
        <f>ПАРАМЕТРЫ!D37</f>
        <v>353.11499999999995</v>
      </c>
      <c r="G194" s="27">
        <f>I194*F194</f>
        <v>1059.3449999999998</v>
      </c>
      <c r="H194" s="27" t="s">
        <v>94</v>
      </c>
      <c r="I194" s="27">
        <v>3</v>
      </c>
      <c r="J194" s="25"/>
      <c r="K194" s="25" t="s">
        <v>312</v>
      </c>
    </row>
    <row r="195" spans="1:11" ht="54.75" customHeight="1" x14ac:dyDescent="0.25">
      <c r="A195" s="37" t="str">
        <f t="shared" si="47"/>
        <v>КОМПЛЕКТ 24.  МЗ-ЩО-0.1 (ЩРн-24з-0 36 УХЛ3 IP54)  |  Альбом 7.1 ЭО (Музей)</v>
      </c>
      <c r="B195" s="37" t="s">
        <v>317</v>
      </c>
      <c r="C195" s="37"/>
      <c r="D195" s="37" t="s">
        <v>124</v>
      </c>
      <c r="E195" s="36" t="s">
        <v>95</v>
      </c>
      <c r="F195" s="38" t="str">
        <f>ПАРАМЕТРЫ!C6&amp;"%"</f>
        <v>12%</v>
      </c>
      <c r="G195" s="39">
        <f>(G190+G191+G192+G193+G194)*ПАРАМЕТРЫ!C6/100</f>
        <v>8564.8749480000006</v>
      </c>
      <c r="H195" s="39" t="s">
        <v>94</v>
      </c>
      <c r="I195" s="39">
        <v>1</v>
      </c>
      <c r="J195" s="37" t="s">
        <v>11</v>
      </c>
      <c r="K195" s="37" t="s">
        <v>312</v>
      </c>
    </row>
    <row r="196" spans="1:11" ht="54.75" customHeight="1" thickBot="1" x14ac:dyDescent="0.3">
      <c r="A196" s="41" t="str">
        <f t="shared" si="47"/>
        <v>КОМПЛЕКТ 24.  МЗ-ЩО-0.1 (ЩРн-24з-0 36 УХЛ3 IP54)  |  Альбом 7.1 ЭО (Музей)</v>
      </c>
      <c r="B196" s="41" t="s">
        <v>318</v>
      </c>
      <c r="C196" s="41"/>
      <c r="D196" s="41" t="s">
        <v>126</v>
      </c>
      <c r="E196" s="40" t="s">
        <v>95</v>
      </c>
      <c r="F196" s="42" t="str">
        <f>ПАРАМЕТРЫ!C7&amp;"%"</f>
        <v>15%</v>
      </c>
      <c r="G196" s="43">
        <f>(G190+G191+G192+G193+G194)*ПАРАМЕТРЫ!C7/100</f>
        <v>10706.093685000002</v>
      </c>
      <c r="H196" s="43" t="s">
        <v>94</v>
      </c>
      <c r="I196" s="43">
        <v>1</v>
      </c>
      <c r="J196" s="41" t="s">
        <v>11</v>
      </c>
      <c r="K196" s="41" t="s">
        <v>312</v>
      </c>
    </row>
    <row r="197" spans="1:11" ht="54.75" customHeight="1" thickBot="1" x14ac:dyDescent="0.3">
      <c r="A197" s="53" t="str">
        <f>D197</f>
        <v>КОМПЛЕКТ 25.  МЗ-ЩО-0.2 (ЩРн-24з-0 36 УХЛ3 IP54)  |  Альбом 7.1 ЭО (Музей)</v>
      </c>
      <c r="B197" s="54" t="s">
        <v>319</v>
      </c>
      <c r="C197" s="54"/>
      <c r="D197" s="54" t="s">
        <v>319</v>
      </c>
      <c r="E197" s="54"/>
      <c r="F197" s="54"/>
      <c r="G197" s="54"/>
      <c r="H197" s="54" t="s">
        <v>632</v>
      </c>
      <c r="I197" s="54">
        <v>1</v>
      </c>
      <c r="J197" s="2"/>
      <c r="K197" s="2"/>
    </row>
    <row r="198" spans="1:11" ht="54.75" customHeight="1" x14ac:dyDescent="0.25">
      <c r="A198" s="22" t="str">
        <f t="shared" ref="A198:A205" si="49">A197</f>
        <v>КОМПЛЕКТ 25.  МЗ-ЩО-0.2 (ЩРн-24з-0 36 УХЛ3 IP54)  |  Альбом 7.1 ЭО (Музей)</v>
      </c>
      <c r="B198" s="22" t="s">
        <v>320</v>
      </c>
      <c r="C198" s="22" t="s">
        <v>92</v>
      </c>
      <c r="D198" s="22" t="s">
        <v>146</v>
      </c>
      <c r="E198" s="21" t="s">
        <v>95</v>
      </c>
      <c r="F198" s="21" t="s">
        <v>95</v>
      </c>
      <c r="G198" s="23">
        <v>0</v>
      </c>
      <c r="H198" s="23" t="s">
        <v>94</v>
      </c>
      <c r="I198" s="23">
        <v>1</v>
      </c>
      <c r="J198" s="22" t="s">
        <v>96</v>
      </c>
      <c r="K198" s="22" t="s">
        <v>312</v>
      </c>
    </row>
    <row r="199" spans="1:11" ht="54.75" customHeight="1" x14ac:dyDescent="0.25">
      <c r="A199" s="25" t="str">
        <f t="shared" si="49"/>
        <v>КОМПЛЕКТ 25.  МЗ-ЩО-0.2 (ЩРн-24з-0 36 УХЛ3 IP54)  |  Альбом 7.1 ЭО (Музей)</v>
      </c>
      <c r="B199" s="25" t="s">
        <v>181</v>
      </c>
      <c r="C199" s="25" t="s">
        <v>611</v>
      </c>
      <c r="D199" s="25" t="s">
        <v>604</v>
      </c>
      <c r="E199" s="26">
        <v>36.42</v>
      </c>
      <c r="F199" s="27">
        <f t="shared" ref="F199:F202" si="50">E199*0.3*1.33*590</f>
        <v>8573.6322000000018</v>
      </c>
      <c r="G199" s="27">
        <f>I199*F199</f>
        <v>8573.6322000000018</v>
      </c>
      <c r="H199" s="27" t="s">
        <v>94</v>
      </c>
      <c r="I199" s="27">
        <v>1</v>
      </c>
      <c r="J199" s="25" t="s">
        <v>182</v>
      </c>
      <c r="K199" s="41" t="s">
        <v>201</v>
      </c>
    </row>
    <row r="200" spans="1:11" ht="54.75" customHeight="1" x14ac:dyDescent="0.25">
      <c r="A200" s="29" t="str">
        <f t="shared" si="49"/>
        <v>КОМПЛЕКТ 25.  МЗ-ЩО-0.2 (ЩРн-24з-0 36 УХЛ3 IP54)  |  Альбом 7.1 ЭО (Музей)</v>
      </c>
      <c r="B200" s="29" t="s">
        <v>321</v>
      </c>
      <c r="C200" s="29" t="s">
        <v>610</v>
      </c>
      <c r="D200" s="29" t="s">
        <v>609</v>
      </c>
      <c r="E200" s="30">
        <v>8.09</v>
      </c>
      <c r="F200" s="27">
        <f t="shared" si="50"/>
        <v>1904.4669000000001</v>
      </c>
      <c r="G200" s="31">
        <f>I200*F200</f>
        <v>36184.871100000004</v>
      </c>
      <c r="H200" s="31" t="s">
        <v>94</v>
      </c>
      <c r="I200" s="31">
        <v>19</v>
      </c>
      <c r="J200" s="29"/>
      <c r="K200" s="29" t="s">
        <v>312</v>
      </c>
    </row>
    <row r="201" spans="1:11" ht="54.75" customHeight="1" x14ac:dyDescent="0.25">
      <c r="A201" s="25" t="str">
        <f t="shared" si="49"/>
        <v>КОМПЛЕКТ 25.  МЗ-ЩО-0.2 (ЩРн-24з-0 36 УХЛ3 IP54)  |  Альбом 7.1 ЭО (Музей)</v>
      </c>
      <c r="B201" s="25" t="s">
        <v>322</v>
      </c>
      <c r="C201" s="25" t="s">
        <v>153</v>
      </c>
      <c r="D201" s="25" t="s">
        <v>152</v>
      </c>
      <c r="E201" s="26">
        <f>ПАРАМЕТРЫ!C23</f>
        <v>87.63</v>
      </c>
      <c r="F201" s="27">
        <f t="shared" si="50"/>
        <v>20628.978300000002</v>
      </c>
      <c r="G201" s="27">
        <f>I201*F201</f>
        <v>0</v>
      </c>
      <c r="H201" s="27" t="s">
        <v>94</v>
      </c>
      <c r="I201" s="27">
        <v>0</v>
      </c>
      <c r="J201" s="25"/>
      <c r="K201" s="25" t="s">
        <v>312</v>
      </c>
    </row>
    <row r="202" spans="1:11" ht="54.75" customHeight="1" x14ac:dyDescent="0.25">
      <c r="A202" s="29" t="str">
        <f t="shared" si="49"/>
        <v>КОМПЛЕКТ 25.  МЗ-ЩО-0.2 (ЩРн-24з-0 36 УХЛ3 IP54)  |  Альбом 7.1 ЭО (Музей)</v>
      </c>
      <c r="B202" s="29" t="s">
        <v>323</v>
      </c>
      <c r="C202" s="29" t="s">
        <v>136</v>
      </c>
      <c r="D202" s="29" t="s">
        <v>135</v>
      </c>
      <c r="E202" s="30">
        <f>ПАРАМЕТРЫ!C33</f>
        <v>41.58</v>
      </c>
      <c r="F202" s="27">
        <f t="shared" si="50"/>
        <v>9788.3477999999996</v>
      </c>
      <c r="G202" s="31">
        <f>I202*F202</f>
        <v>29365.043399999999</v>
      </c>
      <c r="H202" s="31" t="s">
        <v>94</v>
      </c>
      <c r="I202" s="31">
        <v>3</v>
      </c>
      <c r="J202" s="29"/>
      <c r="K202" s="29" t="s">
        <v>312</v>
      </c>
    </row>
    <row r="203" spans="1:11" ht="54.75" customHeight="1" x14ac:dyDescent="0.25">
      <c r="A203" s="25" t="str">
        <f t="shared" si="49"/>
        <v>КОМПЛЕКТ 25.  МЗ-ЩО-0.2 (ЩРн-24з-0 36 УХЛ3 IP54)  |  Альбом 7.1 ЭО (Музей)</v>
      </c>
      <c r="B203" s="25" t="s">
        <v>324</v>
      </c>
      <c r="C203" s="25" t="s">
        <v>95</v>
      </c>
      <c r="D203" s="25" t="s">
        <v>206</v>
      </c>
      <c r="E203" s="26">
        <f>ПАРАМЕТРЫ!C37</f>
        <v>1.5</v>
      </c>
      <c r="F203" s="27">
        <f>ПАРАМЕТРЫ!D37</f>
        <v>353.11499999999995</v>
      </c>
      <c r="G203" s="27">
        <f>I203*F203</f>
        <v>1059.3449999999998</v>
      </c>
      <c r="H203" s="27" t="s">
        <v>94</v>
      </c>
      <c r="I203" s="27">
        <v>3</v>
      </c>
      <c r="J203" s="25"/>
      <c r="K203" s="25" t="s">
        <v>312</v>
      </c>
    </row>
    <row r="204" spans="1:11" ht="54.75" customHeight="1" x14ac:dyDescent="0.25">
      <c r="A204" s="37" t="str">
        <f t="shared" si="49"/>
        <v>КОМПЛЕКТ 25.  МЗ-ЩО-0.2 (ЩРн-24з-0 36 УХЛ3 IP54)  |  Альбом 7.1 ЭО (Музей)</v>
      </c>
      <c r="B204" s="37" t="s">
        <v>325</v>
      </c>
      <c r="C204" s="37"/>
      <c r="D204" s="37" t="s">
        <v>124</v>
      </c>
      <c r="E204" s="36" t="s">
        <v>95</v>
      </c>
      <c r="F204" s="38" t="str">
        <f>ПАРАМЕТРЫ!C6&amp;"%"</f>
        <v>12%</v>
      </c>
      <c r="G204" s="39">
        <f>(G199+G200+G201+G202+G203)*ПАРАМЕТРЫ!C6/100</f>
        <v>9021.9470040000015</v>
      </c>
      <c r="H204" s="39" t="s">
        <v>94</v>
      </c>
      <c r="I204" s="39">
        <v>1</v>
      </c>
      <c r="J204" s="37" t="s">
        <v>11</v>
      </c>
      <c r="K204" s="37" t="s">
        <v>312</v>
      </c>
    </row>
    <row r="205" spans="1:11" ht="54.75" customHeight="1" thickBot="1" x14ac:dyDescent="0.3">
      <c r="A205" s="41" t="str">
        <f t="shared" si="49"/>
        <v>КОМПЛЕКТ 25.  МЗ-ЩО-0.2 (ЩРн-24з-0 36 УХЛ3 IP54)  |  Альбом 7.1 ЭО (Музей)</v>
      </c>
      <c r="B205" s="41" t="s">
        <v>326</v>
      </c>
      <c r="C205" s="41"/>
      <c r="D205" s="41" t="s">
        <v>126</v>
      </c>
      <c r="E205" s="40" t="s">
        <v>95</v>
      </c>
      <c r="F205" s="42" t="str">
        <f>ПАРАМЕТРЫ!C7&amp;"%"</f>
        <v>15%</v>
      </c>
      <c r="G205" s="43">
        <f>(G199+G200+G201+G202+G203)*ПАРАМЕТРЫ!C7/100</f>
        <v>11277.433755</v>
      </c>
      <c r="H205" s="43" t="s">
        <v>94</v>
      </c>
      <c r="I205" s="43">
        <v>1</v>
      </c>
      <c r="J205" s="41" t="s">
        <v>11</v>
      </c>
      <c r="K205" s="41" t="s">
        <v>312</v>
      </c>
    </row>
    <row r="206" spans="1:11" ht="54.75" customHeight="1" thickBot="1" x14ac:dyDescent="0.3">
      <c r="A206" s="53" t="str">
        <f>D206</f>
        <v>КОМПЛЕКТ 26.  МЗ-ЩО-1.1 (ЩРн-18з-0 36 УХЛ3 IP54)  |  Альбом 7.1 ЭО (Музей)</v>
      </c>
      <c r="B206" s="54" t="s">
        <v>327</v>
      </c>
      <c r="C206" s="54"/>
      <c r="D206" s="54" t="s">
        <v>327</v>
      </c>
      <c r="E206" s="54"/>
      <c r="F206" s="54"/>
      <c r="G206" s="54"/>
      <c r="H206" s="54" t="s">
        <v>632</v>
      </c>
      <c r="I206" s="54">
        <v>1</v>
      </c>
      <c r="J206" s="2"/>
      <c r="K206" s="2"/>
    </row>
    <row r="207" spans="1:11" ht="54.75" customHeight="1" x14ac:dyDescent="0.25">
      <c r="A207" s="22" t="str">
        <f t="shared" ref="A207:A214" si="51">A206</f>
        <v>КОМПЛЕКТ 26.  МЗ-ЩО-1.1 (ЩРн-18з-0 36 УХЛ3 IP54)  |  Альбом 7.1 ЭО (Музей)</v>
      </c>
      <c r="B207" s="22" t="s">
        <v>328</v>
      </c>
      <c r="C207" s="22" t="s">
        <v>92</v>
      </c>
      <c r="D207" s="22" t="s">
        <v>180</v>
      </c>
      <c r="E207" s="21" t="s">
        <v>95</v>
      </c>
      <c r="F207" s="21" t="s">
        <v>95</v>
      </c>
      <c r="G207" s="23">
        <v>0</v>
      </c>
      <c r="H207" s="23" t="s">
        <v>94</v>
      </c>
      <c r="I207" s="23">
        <v>1</v>
      </c>
      <c r="J207" s="22" t="s">
        <v>96</v>
      </c>
      <c r="K207" s="22" t="s">
        <v>312</v>
      </c>
    </row>
    <row r="208" spans="1:11" ht="54.75" customHeight="1" x14ac:dyDescent="0.25">
      <c r="A208" s="25" t="str">
        <f t="shared" si="51"/>
        <v>КОМПЛЕКТ 26.  МЗ-ЩО-1.1 (ЩРн-18з-0 36 УХЛ3 IP54)  |  Альбом 7.1 ЭО (Музей)</v>
      </c>
      <c r="B208" s="25" t="s">
        <v>181</v>
      </c>
      <c r="C208" s="25" t="s">
        <v>611</v>
      </c>
      <c r="D208" s="25" t="s">
        <v>604</v>
      </c>
      <c r="E208" s="26">
        <v>36.42</v>
      </c>
      <c r="F208" s="27">
        <f t="shared" ref="F208:F211" si="52">E208*0.3*1.33*590</f>
        <v>8573.6322000000018</v>
      </c>
      <c r="G208" s="27">
        <f>I208*F208</f>
        <v>8573.6322000000018</v>
      </c>
      <c r="H208" s="27" t="s">
        <v>94</v>
      </c>
      <c r="I208" s="27">
        <v>1</v>
      </c>
      <c r="J208" s="25" t="s">
        <v>182</v>
      </c>
      <c r="K208" s="41" t="s">
        <v>312</v>
      </c>
    </row>
    <row r="209" spans="1:11" ht="54.75" customHeight="1" x14ac:dyDescent="0.25">
      <c r="A209" s="29" t="str">
        <f t="shared" si="51"/>
        <v>КОМПЛЕКТ 26.  МЗ-ЩО-1.1 (ЩРн-18з-0 36 УХЛ3 IP54)  |  Альбом 7.1 ЭО (Музей)</v>
      </c>
      <c r="B209" s="29" t="s">
        <v>329</v>
      </c>
      <c r="C209" s="29" t="s">
        <v>610</v>
      </c>
      <c r="D209" s="29" t="s">
        <v>609</v>
      </c>
      <c r="E209" s="30">
        <v>8.09</v>
      </c>
      <c r="F209" s="27">
        <f t="shared" si="52"/>
        <v>1904.4669000000001</v>
      </c>
      <c r="G209" s="31">
        <f>I209*F209</f>
        <v>19044.669000000002</v>
      </c>
      <c r="H209" s="31" t="s">
        <v>94</v>
      </c>
      <c r="I209" s="31">
        <v>10</v>
      </c>
      <c r="J209" s="29"/>
      <c r="K209" s="29" t="s">
        <v>312</v>
      </c>
    </row>
    <row r="210" spans="1:11" ht="54.75" customHeight="1" x14ac:dyDescent="0.25">
      <c r="A210" s="25" t="str">
        <f t="shared" si="51"/>
        <v>КОМПЛЕКТ 26.  МЗ-ЩО-1.1 (ЩРн-18з-0 36 УХЛ3 IP54)  |  Альбом 7.1 ЭО (Музей)</v>
      </c>
      <c r="B210" s="25" t="s">
        <v>330</v>
      </c>
      <c r="C210" s="25" t="s">
        <v>153</v>
      </c>
      <c r="D210" s="25" t="s">
        <v>152</v>
      </c>
      <c r="E210" s="26">
        <f>ПАРАМЕТРЫ!C23</f>
        <v>87.63</v>
      </c>
      <c r="F210" s="27">
        <f t="shared" si="52"/>
        <v>20628.978300000002</v>
      </c>
      <c r="G210" s="27">
        <f>I210*F210</f>
        <v>0</v>
      </c>
      <c r="H210" s="27" t="s">
        <v>94</v>
      </c>
      <c r="I210" s="27">
        <v>0</v>
      </c>
      <c r="J210" s="25"/>
      <c r="K210" s="25" t="s">
        <v>312</v>
      </c>
    </row>
    <row r="211" spans="1:11" ht="54.75" customHeight="1" x14ac:dyDescent="0.25">
      <c r="A211" s="29" t="str">
        <f t="shared" si="51"/>
        <v>КОМПЛЕКТ 26.  МЗ-ЩО-1.1 (ЩРн-18з-0 36 УХЛ3 IP54)  |  Альбом 7.1 ЭО (Музей)</v>
      </c>
      <c r="B211" s="29" t="s">
        <v>331</v>
      </c>
      <c r="C211" s="29" t="s">
        <v>136</v>
      </c>
      <c r="D211" s="29" t="s">
        <v>135</v>
      </c>
      <c r="E211" s="30">
        <f>ПАРАМЕТРЫ!C33</f>
        <v>41.58</v>
      </c>
      <c r="F211" s="27">
        <f t="shared" si="52"/>
        <v>9788.3477999999996</v>
      </c>
      <c r="G211" s="31">
        <f>I211*F211</f>
        <v>29365.043399999999</v>
      </c>
      <c r="H211" s="31" t="s">
        <v>94</v>
      </c>
      <c r="I211" s="31">
        <v>3</v>
      </c>
      <c r="J211" s="29"/>
      <c r="K211" s="29" t="s">
        <v>312</v>
      </c>
    </row>
    <row r="212" spans="1:11" ht="54.75" customHeight="1" x14ac:dyDescent="0.25">
      <c r="A212" s="25" t="str">
        <f t="shared" si="51"/>
        <v>КОМПЛЕКТ 26.  МЗ-ЩО-1.1 (ЩРн-18з-0 36 УХЛ3 IP54)  |  Альбом 7.1 ЭО (Музей)</v>
      </c>
      <c r="B212" s="25" t="s">
        <v>332</v>
      </c>
      <c r="C212" s="25" t="s">
        <v>95</v>
      </c>
      <c r="D212" s="25" t="s">
        <v>206</v>
      </c>
      <c r="E212" s="26">
        <f>ПАРАМЕТРЫ!C37</f>
        <v>1.5</v>
      </c>
      <c r="F212" s="27">
        <f>ПАРАМЕТРЫ!D37</f>
        <v>353.11499999999995</v>
      </c>
      <c r="G212" s="27">
        <f>I212*F212</f>
        <v>1059.3449999999998</v>
      </c>
      <c r="H212" s="27" t="s">
        <v>94</v>
      </c>
      <c r="I212" s="27">
        <v>3</v>
      </c>
      <c r="J212" s="25"/>
      <c r="K212" s="25" t="s">
        <v>312</v>
      </c>
    </row>
    <row r="213" spans="1:11" ht="54.75" customHeight="1" x14ac:dyDescent="0.25">
      <c r="A213" s="37" t="str">
        <f t="shared" si="51"/>
        <v>КОМПЛЕКТ 26.  МЗ-ЩО-1.1 (ЩРн-18з-0 36 УХЛ3 IP54)  |  Альбом 7.1 ЭО (Музей)</v>
      </c>
      <c r="B213" s="37" t="s">
        <v>333</v>
      </c>
      <c r="C213" s="37"/>
      <c r="D213" s="37" t="s">
        <v>124</v>
      </c>
      <c r="E213" s="36" t="s">
        <v>95</v>
      </c>
      <c r="F213" s="38" t="str">
        <f>ПАРАМЕТРЫ!C6&amp;"%"</f>
        <v>12%</v>
      </c>
      <c r="G213" s="39">
        <f>(G208+G209+G210+G211+G212)*ПАРАМЕТРЫ!C6/100</f>
        <v>6965.1227520000002</v>
      </c>
      <c r="H213" s="39" t="s">
        <v>94</v>
      </c>
      <c r="I213" s="39">
        <v>1</v>
      </c>
      <c r="J213" s="37" t="s">
        <v>11</v>
      </c>
      <c r="K213" s="37" t="s">
        <v>312</v>
      </c>
    </row>
    <row r="214" spans="1:11" ht="54.75" customHeight="1" thickBot="1" x14ac:dyDescent="0.3">
      <c r="A214" s="41" t="str">
        <f t="shared" si="51"/>
        <v>КОМПЛЕКТ 26.  МЗ-ЩО-1.1 (ЩРн-18з-0 36 УХЛ3 IP54)  |  Альбом 7.1 ЭО (Музей)</v>
      </c>
      <c r="B214" s="41" t="s">
        <v>334</v>
      </c>
      <c r="C214" s="41"/>
      <c r="D214" s="41" t="s">
        <v>126</v>
      </c>
      <c r="E214" s="40" t="s">
        <v>95</v>
      </c>
      <c r="F214" s="42" t="str">
        <f>ПАРАМЕТРЫ!C7&amp;"%"</f>
        <v>15%</v>
      </c>
      <c r="G214" s="43">
        <f>(G208+G209+G210+G211+G212)*ПАРАМЕТРЫ!C7/100</f>
        <v>8706.40344</v>
      </c>
      <c r="H214" s="43" t="s">
        <v>94</v>
      </c>
      <c r="I214" s="43">
        <v>1</v>
      </c>
      <c r="J214" s="41" t="s">
        <v>11</v>
      </c>
      <c r="K214" s="41" t="s">
        <v>312</v>
      </c>
    </row>
    <row r="215" spans="1:11" ht="54.75" customHeight="1" thickBot="1" x14ac:dyDescent="0.3">
      <c r="A215" s="53" t="str">
        <f>D215</f>
        <v>КОМПЛЕКТ 27.  МЗ-ЩО-1.2 (ЩРн-18з-0 36 УХЛ3 IP54)  |  Альбом 7.1 ЭО (Музей)</v>
      </c>
      <c r="B215" s="54" t="s">
        <v>335</v>
      </c>
      <c r="C215" s="54"/>
      <c r="D215" s="54" t="s">
        <v>335</v>
      </c>
      <c r="E215" s="54"/>
      <c r="F215" s="54"/>
      <c r="G215" s="54"/>
      <c r="H215" s="54" t="s">
        <v>632</v>
      </c>
      <c r="I215" s="54">
        <v>1</v>
      </c>
      <c r="J215" s="2"/>
      <c r="K215" s="2"/>
    </row>
    <row r="216" spans="1:11" ht="54.75" customHeight="1" x14ac:dyDescent="0.25">
      <c r="A216" s="22" t="str">
        <f t="shared" ref="A216:A223" si="53">A215</f>
        <v>КОМПЛЕКТ 27.  МЗ-ЩО-1.2 (ЩРн-18з-0 36 УХЛ3 IP54)  |  Альбом 7.1 ЭО (Музей)</v>
      </c>
      <c r="B216" s="22" t="s">
        <v>336</v>
      </c>
      <c r="C216" s="22" t="s">
        <v>92</v>
      </c>
      <c r="D216" s="22" t="s">
        <v>180</v>
      </c>
      <c r="E216" s="21" t="s">
        <v>95</v>
      </c>
      <c r="F216" s="21" t="s">
        <v>95</v>
      </c>
      <c r="G216" s="23">
        <v>0</v>
      </c>
      <c r="H216" s="23" t="s">
        <v>94</v>
      </c>
      <c r="I216" s="23">
        <v>1</v>
      </c>
      <c r="J216" s="22" t="s">
        <v>96</v>
      </c>
      <c r="K216" s="22" t="s">
        <v>312</v>
      </c>
    </row>
    <row r="217" spans="1:11" ht="54.75" customHeight="1" x14ac:dyDescent="0.25">
      <c r="A217" s="25" t="str">
        <f t="shared" si="53"/>
        <v>КОМПЛЕКТ 27.  МЗ-ЩО-1.2 (ЩРн-18з-0 36 УХЛ3 IP54)  |  Альбом 7.1 ЭО (Музей)</v>
      </c>
      <c r="B217" s="25" t="s">
        <v>181</v>
      </c>
      <c r="C217" s="25" t="s">
        <v>611</v>
      </c>
      <c r="D217" s="25" t="s">
        <v>604</v>
      </c>
      <c r="E217" s="26">
        <v>36.42</v>
      </c>
      <c r="F217" s="27">
        <f t="shared" ref="F217:F220" si="54">E217*0.3*1.33*590</f>
        <v>8573.6322000000018</v>
      </c>
      <c r="G217" s="27">
        <f>I217*F217</f>
        <v>8573.6322000000018</v>
      </c>
      <c r="H217" s="27" t="s">
        <v>94</v>
      </c>
      <c r="I217" s="27">
        <v>1</v>
      </c>
      <c r="J217" s="25" t="s">
        <v>182</v>
      </c>
      <c r="K217" s="41" t="s">
        <v>312</v>
      </c>
    </row>
    <row r="218" spans="1:11" ht="54.75" customHeight="1" x14ac:dyDescent="0.25">
      <c r="A218" s="29" t="str">
        <f t="shared" si="53"/>
        <v>КОМПЛЕКТ 27.  МЗ-ЩО-1.2 (ЩРн-18з-0 36 УХЛ3 IP54)  |  Альбом 7.1 ЭО (Музей)</v>
      </c>
      <c r="B218" s="29" t="s">
        <v>337</v>
      </c>
      <c r="C218" s="29" t="s">
        <v>610</v>
      </c>
      <c r="D218" s="29" t="s">
        <v>609</v>
      </c>
      <c r="E218" s="30">
        <v>8.09</v>
      </c>
      <c r="F218" s="27">
        <f t="shared" si="54"/>
        <v>1904.4669000000001</v>
      </c>
      <c r="G218" s="31">
        <f>I218*F218</f>
        <v>20949.135900000001</v>
      </c>
      <c r="H218" s="31" t="s">
        <v>94</v>
      </c>
      <c r="I218" s="31">
        <v>11</v>
      </c>
      <c r="J218" s="29"/>
      <c r="K218" s="29" t="s">
        <v>312</v>
      </c>
    </row>
    <row r="219" spans="1:11" ht="54.75" customHeight="1" x14ac:dyDescent="0.25">
      <c r="A219" s="25" t="str">
        <f t="shared" si="53"/>
        <v>КОМПЛЕКТ 27.  МЗ-ЩО-1.2 (ЩРн-18з-0 36 УХЛ3 IP54)  |  Альбом 7.1 ЭО (Музей)</v>
      </c>
      <c r="B219" s="25" t="s">
        <v>338</v>
      </c>
      <c r="C219" s="25" t="s">
        <v>153</v>
      </c>
      <c r="D219" s="25" t="s">
        <v>152</v>
      </c>
      <c r="E219" s="26">
        <f>ПАРАМЕТРЫ!C23</f>
        <v>87.63</v>
      </c>
      <c r="F219" s="27">
        <f t="shared" si="54"/>
        <v>20628.978300000002</v>
      </c>
      <c r="G219" s="27">
        <f>I219*F219</f>
        <v>0</v>
      </c>
      <c r="H219" s="27" t="s">
        <v>94</v>
      </c>
      <c r="I219" s="27">
        <v>0</v>
      </c>
      <c r="J219" s="25"/>
      <c r="K219" s="25" t="s">
        <v>312</v>
      </c>
    </row>
    <row r="220" spans="1:11" ht="54.75" customHeight="1" x14ac:dyDescent="0.25">
      <c r="A220" s="29" t="str">
        <f t="shared" si="53"/>
        <v>КОМПЛЕКТ 27.  МЗ-ЩО-1.2 (ЩРн-18з-0 36 УХЛ3 IP54)  |  Альбом 7.1 ЭО (Музей)</v>
      </c>
      <c r="B220" s="29" t="s">
        <v>339</v>
      </c>
      <c r="C220" s="29" t="s">
        <v>136</v>
      </c>
      <c r="D220" s="29" t="s">
        <v>135</v>
      </c>
      <c r="E220" s="30">
        <f>ПАРАМЕТРЫ!C33</f>
        <v>41.58</v>
      </c>
      <c r="F220" s="27">
        <f t="shared" si="54"/>
        <v>9788.3477999999996</v>
      </c>
      <c r="G220" s="31">
        <f>I220*F220</f>
        <v>19576.695599999999</v>
      </c>
      <c r="H220" s="31" t="s">
        <v>94</v>
      </c>
      <c r="I220" s="31">
        <v>2</v>
      </c>
      <c r="J220" s="29"/>
      <c r="K220" s="29" t="s">
        <v>312</v>
      </c>
    </row>
    <row r="221" spans="1:11" ht="54.75" customHeight="1" x14ac:dyDescent="0.25">
      <c r="A221" s="25" t="str">
        <f t="shared" si="53"/>
        <v>КОМПЛЕКТ 27.  МЗ-ЩО-1.2 (ЩРн-18з-0 36 УХЛ3 IP54)  |  Альбом 7.1 ЭО (Музей)</v>
      </c>
      <c r="B221" s="25" t="s">
        <v>340</v>
      </c>
      <c r="C221" s="25" t="s">
        <v>95</v>
      </c>
      <c r="D221" s="25" t="s">
        <v>206</v>
      </c>
      <c r="E221" s="26">
        <f>ПАРАМЕТРЫ!C37</f>
        <v>1.5</v>
      </c>
      <c r="F221" s="27">
        <f>ПАРАМЕТРЫ!D37</f>
        <v>353.11499999999995</v>
      </c>
      <c r="G221" s="27">
        <f>I221*F221</f>
        <v>706.2299999999999</v>
      </c>
      <c r="H221" s="27" t="s">
        <v>94</v>
      </c>
      <c r="I221" s="27">
        <v>2</v>
      </c>
      <c r="J221" s="25"/>
      <c r="K221" s="25" t="s">
        <v>312</v>
      </c>
    </row>
    <row r="222" spans="1:11" ht="54.75" customHeight="1" x14ac:dyDescent="0.25">
      <c r="A222" s="37" t="str">
        <f t="shared" si="53"/>
        <v>КОМПЛЕКТ 27.  МЗ-ЩО-1.2 (ЩРн-18з-0 36 УХЛ3 IP54)  |  Альбом 7.1 ЭО (Музей)</v>
      </c>
      <c r="B222" s="37" t="s">
        <v>341</v>
      </c>
      <c r="C222" s="37"/>
      <c r="D222" s="37" t="s">
        <v>124</v>
      </c>
      <c r="E222" s="36" t="s">
        <v>95</v>
      </c>
      <c r="F222" s="38" t="str">
        <f>ПАРАМЕТРЫ!C6&amp;"%"</f>
        <v>12%</v>
      </c>
      <c r="G222" s="39">
        <f>(G217+G218+G219+G220+G221)*ПАРАМЕТРЫ!C6/100</f>
        <v>5976.6832440000007</v>
      </c>
      <c r="H222" s="39" t="s">
        <v>94</v>
      </c>
      <c r="I222" s="39">
        <v>1</v>
      </c>
      <c r="J222" s="37" t="s">
        <v>11</v>
      </c>
      <c r="K222" s="37" t="s">
        <v>312</v>
      </c>
    </row>
    <row r="223" spans="1:11" ht="54.75" customHeight="1" thickBot="1" x14ac:dyDescent="0.3">
      <c r="A223" s="41" t="str">
        <f t="shared" si="53"/>
        <v>КОМПЛЕКТ 27.  МЗ-ЩО-1.2 (ЩРн-18з-0 36 УХЛ3 IP54)  |  Альбом 7.1 ЭО (Музей)</v>
      </c>
      <c r="B223" s="41" t="s">
        <v>342</v>
      </c>
      <c r="C223" s="41"/>
      <c r="D223" s="41" t="s">
        <v>126</v>
      </c>
      <c r="E223" s="40" t="s">
        <v>95</v>
      </c>
      <c r="F223" s="42" t="str">
        <f>ПАРАМЕТРЫ!C7&amp;"%"</f>
        <v>15%</v>
      </c>
      <c r="G223" s="43">
        <f>(G217+G218+G219+G220+G221)*ПАРАМЕТРЫ!C7/100</f>
        <v>7470.8540550000007</v>
      </c>
      <c r="H223" s="43" t="s">
        <v>94</v>
      </c>
      <c r="I223" s="43">
        <v>1</v>
      </c>
      <c r="J223" s="41" t="s">
        <v>11</v>
      </c>
      <c r="K223" s="41" t="s">
        <v>312</v>
      </c>
    </row>
    <row r="224" spans="1:11" ht="54.75" customHeight="1" thickBot="1" x14ac:dyDescent="0.3">
      <c r="A224" s="53" t="str">
        <f>D224</f>
        <v>КОМПЛЕКТ 28.  МЗ-ЩО-2.1 (ЩРн-24з-0 36 УХЛ3 IP54)  |  Альбом 7.1 ЭО (Музей)</v>
      </c>
      <c r="B224" s="54" t="s">
        <v>343</v>
      </c>
      <c r="C224" s="54"/>
      <c r="D224" s="54" t="s">
        <v>343</v>
      </c>
      <c r="E224" s="54"/>
      <c r="F224" s="54"/>
      <c r="G224" s="54"/>
      <c r="H224" s="54" t="s">
        <v>632</v>
      </c>
      <c r="I224" s="54">
        <v>1</v>
      </c>
      <c r="J224" s="2"/>
      <c r="K224" s="2"/>
    </row>
    <row r="225" spans="1:11" ht="54.75" customHeight="1" x14ac:dyDescent="0.25">
      <c r="A225" s="22" t="str">
        <f t="shared" ref="A225:A232" si="55">A224</f>
        <v>КОМПЛЕКТ 28.  МЗ-ЩО-2.1 (ЩРн-24з-0 36 УХЛ3 IP54)  |  Альбом 7.1 ЭО (Музей)</v>
      </c>
      <c r="B225" s="22" t="s">
        <v>344</v>
      </c>
      <c r="C225" s="22" t="s">
        <v>92</v>
      </c>
      <c r="D225" s="22" t="s">
        <v>146</v>
      </c>
      <c r="E225" s="21" t="s">
        <v>95</v>
      </c>
      <c r="F225" s="21" t="s">
        <v>95</v>
      </c>
      <c r="G225" s="23">
        <v>0</v>
      </c>
      <c r="H225" s="23" t="s">
        <v>94</v>
      </c>
      <c r="I225" s="23">
        <v>1</v>
      </c>
      <c r="J225" s="22" t="s">
        <v>96</v>
      </c>
      <c r="K225" s="22" t="s">
        <v>312</v>
      </c>
    </row>
    <row r="226" spans="1:11" ht="54.75" customHeight="1" x14ac:dyDescent="0.25">
      <c r="A226" s="25" t="str">
        <f t="shared" si="55"/>
        <v>КОМПЛЕКТ 28.  МЗ-ЩО-2.1 (ЩРн-24з-0 36 УХЛ3 IP54)  |  Альбом 7.1 ЭО (Музей)</v>
      </c>
      <c r="B226" s="25" t="s">
        <v>181</v>
      </c>
      <c r="C226" s="25" t="s">
        <v>611</v>
      </c>
      <c r="D226" s="25" t="s">
        <v>604</v>
      </c>
      <c r="E226" s="26">
        <v>36.42</v>
      </c>
      <c r="F226" s="27">
        <f t="shared" ref="F226:F229" si="56">E226*0.3*1.33*590</f>
        <v>8573.6322000000018</v>
      </c>
      <c r="G226" s="27">
        <f>I226*F226</f>
        <v>8573.6322000000018</v>
      </c>
      <c r="H226" s="27" t="s">
        <v>94</v>
      </c>
      <c r="I226" s="27">
        <v>1</v>
      </c>
      <c r="J226" s="25" t="s">
        <v>182</v>
      </c>
      <c r="K226" s="41" t="s">
        <v>312</v>
      </c>
    </row>
    <row r="227" spans="1:11" ht="54.75" customHeight="1" x14ac:dyDescent="0.25">
      <c r="A227" s="29" t="str">
        <f t="shared" si="55"/>
        <v>КОМПЛЕКТ 28.  МЗ-ЩО-2.1 (ЩРн-24з-0 36 УХЛ3 IP54)  |  Альбом 7.1 ЭО (Музей)</v>
      </c>
      <c r="B227" s="29" t="s">
        <v>345</v>
      </c>
      <c r="C227" s="29" t="s">
        <v>610</v>
      </c>
      <c r="D227" s="29" t="s">
        <v>609</v>
      </c>
      <c r="E227" s="30">
        <v>8.09</v>
      </c>
      <c r="F227" s="27">
        <f t="shared" si="56"/>
        <v>1904.4669000000001</v>
      </c>
      <c r="G227" s="31">
        <f>I227*F227</f>
        <v>30471.470400000002</v>
      </c>
      <c r="H227" s="31" t="s">
        <v>94</v>
      </c>
      <c r="I227" s="31">
        <v>16</v>
      </c>
      <c r="J227" s="29"/>
      <c r="K227" s="29" t="s">
        <v>312</v>
      </c>
    </row>
    <row r="228" spans="1:11" ht="54.75" customHeight="1" x14ac:dyDescent="0.25">
      <c r="A228" s="25" t="str">
        <f t="shared" si="55"/>
        <v>КОМПЛЕКТ 28.  МЗ-ЩО-2.1 (ЩРн-24з-0 36 УХЛ3 IP54)  |  Альбом 7.1 ЭО (Музей)</v>
      </c>
      <c r="B228" s="25" t="s">
        <v>346</v>
      </c>
      <c r="C228" s="25" t="s">
        <v>153</v>
      </c>
      <c r="D228" s="25" t="s">
        <v>152</v>
      </c>
      <c r="E228" s="26">
        <f>ПАРАМЕТРЫ!C23</f>
        <v>87.63</v>
      </c>
      <c r="F228" s="27">
        <f t="shared" si="56"/>
        <v>20628.978300000002</v>
      </c>
      <c r="G228" s="27">
        <f>I228*F228</f>
        <v>0</v>
      </c>
      <c r="H228" s="27" t="s">
        <v>94</v>
      </c>
      <c r="I228" s="27">
        <v>0</v>
      </c>
      <c r="J228" s="25"/>
      <c r="K228" s="25" t="s">
        <v>312</v>
      </c>
    </row>
    <row r="229" spans="1:11" ht="54.75" customHeight="1" x14ac:dyDescent="0.25">
      <c r="A229" s="29" t="str">
        <f t="shared" si="55"/>
        <v>КОМПЛЕКТ 28.  МЗ-ЩО-2.1 (ЩРн-24з-0 36 УХЛ3 IP54)  |  Альбом 7.1 ЭО (Музей)</v>
      </c>
      <c r="B229" s="29" t="s">
        <v>347</v>
      </c>
      <c r="C229" s="29" t="s">
        <v>136</v>
      </c>
      <c r="D229" s="29" t="s">
        <v>135</v>
      </c>
      <c r="E229" s="30">
        <f>ПАРАМЕТРЫ!C33</f>
        <v>41.58</v>
      </c>
      <c r="F229" s="27">
        <f t="shared" si="56"/>
        <v>9788.3477999999996</v>
      </c>
      <c r="G229" s="31">
        <f>I229*F229</f>
        <v>68518.434599999993</v>
      </c>
      <c r="H229" s="31" t="s">
        <v>94</v>
      </c>
      <c r="I229" s="31">
        <v>7</v>
      </c>
      <c r="J229" s="29"/>
      <c r="K229" s="29" t="s">
        <v>312</v>
      </c>
    </row>
    <row r="230" spans="1:11" ht="54.75" customHeight="1" x14ac:dyDescent="0.25">
      <c r="A230" s="25" t="str">
        <f t="shared" si="55"/>
        <v>КОМПЛЕКТ 28.  МЗ-ЩО-2.1 (ЩРн-24з-0 36 УХЛ3 IP54)  |  Альбом 7.1 ЭО (Музей)</v>
      </c>
      <c r="B230" s="25" t="s">
        <v>348</v>
      </c>
      <c r="C230" s="25" t="s">
        <v>95</v>
      </c>
      <c r="D230" s="25" t="s">
        <v>206</v>
      </c>
      <c r="E230" s="26">
        <f>ПАРАМЕТРЫ!C37</f>
        <v>1.5</v>
      </c>
      <c r="F230" s="27">
        <f>ПАРАМЕТРЫ!D37</f>
        <v>353.11499999999995</v>
      </c>
      <c r="G230" s="27">
        <f>I230*F230</f>
        <v>2471.8049999999998</v>
      </c>
      <c r="H230" s="27" t="s">
        <v>94</v>
      </c>
      <c r="I230" s="27">
        <v>7</v>
      </c>
      <c r="J230" s="25"/>
      <c r="K230" s="25" t="s">
        <v>312</v>
      </c>
    </row>
    <row r="231" spans="1:11" ht="54.75" customHeight="1" x14ac:dyDescent="0.25">
      <c r="A231" s="37" t="str">
        <f t="shared" si="55"/>
        <v>КОМПЛЕКТ 28.  МЗ-ЩО-2.1 (ЩРн-24з-0 36 УХЛ3 IP54)  |  Альбом 7.1 ЭО (Музей)</v>
      </c>
      <c r="B231" s="37" t="s">
        <v>349</v>
      </c>
      <c r="C231" s="37"/>
      <c r="D231" s="37" t="s">
        <v>124</v>
      </c>
      <c r="E231" s="36" t="s">
        <v>95</v>
      </c>
      <c r="F231" s="38" t="str">
        <f>ПАРАМЕТРЫ!C6&amp;"%"</f>
        <v>12%</v>
      </c>
      <c r="G231" s="39">
        <f>(G226+G227+G228+G229+G230)*ПАРАМЕТРЫ!C6/100</f>
        <v>13204.241064</v>
      </c>
      <c r="H231" s="39" t="s">
        <v>94</v>
      </c>
      <c r="I231" s="39">
        <v>1</v>
      </c>
      <c r="J231" s="37" t="s">
        <v>11</v>
      </c>
      <c r="K231" s="37" t="s">
        <v>312</v>
      </c>
    </row>
    <row r="232" spans="1:11" ht="54.75" customHeight="1" thickBot="1" x14ac:dyDescent="0.3">
      <c r="A232" s="41" t="str">
        <f t="shared" si="55"/>
        <v>КОМПЛЕКТ 28.  МЗ-ЩО-2.1 (ЩРн-24з-0 36 УХЛ3 IP54)  |  Альбом 7.1 ЭО (Музей)</v>
      </c>
      <c r="B232" s="41" t="s">
        <v>350</v>
      </c>
      <c r="C232" s="41"/>
      <c r="D232" s="41" t="s">
        <v>126</v>
      </c>
      <c r="E232" s="40" t="s">
        <v>95</v>
      </c>
      <c r="F232" s="42" t="str">
        <f>ПАРАМЕТРЫ!C7&amp;"%"</f>
        <v>15%</v>
      </c>
      <c r="G232" s="43">
        <f>(G226+G227+G228+G229+G230)*ПАРАМЕТРЫ!C7/100</f>
        <v>16505.301329999998</v>
      </c>
      <c r="H232" s="43" t="s">
        <v>94</v>
      </c>
      <c r="I232" s="43">
        <v>1</v>
      </c>
      <c r="J232" s="41" t="s">
        <v>11</v>
      </c>
      <c r="K232" s="41" t="s">
        <v>312</v>
      </c>
    </row>
    <row r="233" spans="1:11" ht="54.75" customHeight="1" thickBot="1" x14ac:dyDescent="0.3">
      <c r="A233" s="53" t="str">
        <f>D233</f>
        <v>КОМПЛЕКТ 29.  МЗ-ЩО-2.2 (ЩРн-18з-0 36 УХЛ3 IP54)  |  Альбом 7.1 ЭО (Музей)</v>
      </c>
      <c r="B233" s="54" t="s">
        <v>351</v>
      </c>
      <c r="C233" s="54"/>
      <c r="D233" s="54" t="s">
        <v>351</v>
      </c>
      <c r="E233" s="54"/>
      <c r="F233" s="54"/>
      <c r="G233" s="54"/>
      <c r="H233" s="54" t="s">
        <v>632</v>
      </c>
      <c r="I233" s="54">
        <v>1</v>
      </c>
      <c r="J233" s="2"/>
      <c r="K233" s="2"/>
    </row>
    <row r="234" spans="1:11" ht="54.75" customHeight="1" x14ac:dyDescent="0.25">
      <c r="A234" s="22" t="str">
        <f t="shared" ref="A234:A240" si="57">A233</f>
        <v>КОМПЛЕКТ 29.  МЗ-ЩО-2.2 (ЩРн-18з-0 36 УХЛ3 IP54)  |  Альбом 7.1 ЭО (Музей)</v>
      </c>
      <c r="B234" s="22" t="s">
        <v>352</v>
      </c>
      <c r="C234" s="22" t="s">
        <v>92</v>
      </c>
      <c r="D234" s="22" t="s">
        <v>180</v>
      </c>
      <c r="E234" s="21" t="s">
        <v>95</v>
      </c>
      <c r="F234" s="21" t="s">
        <v>95</v>
      </c>
      <c r="G234" s="23">
        <v>0</v>
      </c>
      <c r="H234" s="23" t="s">
        <v>94</v>
      </c>
      <c r="I234" s="23">
        <v>1</v>
      </c>
      <c r="J234" s="22" t="s">
        <v>96</v>
      </c>
      <c r="K234" s="22" t="s">
        <v>312</v>
      </c>
    </row>
    <row r="235" spans="1:11" ht="54.75" customHeight="1" x14ac:dyDescent="0.25">
      <c r="A235" s="25" t="str">
        <f t="shared" si="57"/>
        <v>КОМПЛЕКТ 29.  МЗ-ЩО-2.2 (ЩРн-18з-0 36 УХЛ3 IP54)  |  Альбом 7.1 ЭО (Музей)</v>
      </c>
      <c r="B235" s="25" t="s">
        <v>181</v>
      </c>
      <c r="C235" s="25" t="s">
        <v>611</v>
      </c>
      <c r="D235" s="25" t="s">
        <v>604</v>
      </c>
      <c r="E235" s="26">
        <v>36.42</v>
      </c>
      <c r="F235" s="27">
        <f t="shared" ref="F235:F238" si="58">E235*0.3*1.33*590</f>
        <v>8573.6322000000018</v>
      </c>
      <c r="G235" s="27">
        <f>I235*F235</f>
        <v>8573.6322000000018</v>
      </c>
      <c r="H235" s="27" t="s">
        <v>94</v>
      </c>
      <c r="I235" s="27">
        <v>1</v>
      </c>
      <c r="J235" s="25" t="s">
        <v>182</v>
      </c>
      <c r="K235" s="41" t="s">
        <v>312</v>
      </c>
    </row>
    <row r="236" spans="1:11" ht="54.75" customHeight="1" x14ac:dyDescent="0.25">
      <c r="A236" s="29" t="str">
        <f t="shared" si="57"/>
        <v>КОМПЛЕКТ 29.  МЗ-ЩО-2.2 (ЩРн-18з-0 36 УХЛ3 IP54)  |  Альбом 7.1 ЭО (Музей)</v>
      </c>
      <c r="B236" s="29" t="s">
        <v>353</v>
      </c>
      <c r="C236" s="29" t="s">
        <v>610</v>
      </c>
      <c r="D236" s="29" t="s">
        <v>609</v>
      </c>
      <c r="E236" s="30">
        <v>8.09</v>
      </c>
      <c r="F236" s="27">
        <f t="shared" si="58"/>
        <v>1904.4669000000001</v>
      </c>
      <c r="G236" s="31">
        <f>I236*F236</f>
        <v>17140.202100000002</v>
      </c>
      <c r="H236" s="31" t="s">
        <v>94</v>
      </c>
      <c r="I236" s="31">
        <v>9</v>
      </c>
      <c r="J236" s="29"/>
      <c r="K236" s="29" t="s">
        <v>312</v>
      </c>
    </row>
    <row r="237" spans="1:11" ht="54.75" customHeight="1" x14ac:dyDescent="0.25">
      <c r="A237" s="25" t="str">
        <f t="shared" si="57"/>
        <v>КОМПЛЕКТ 29.  МЗ-ЩО-2.2 (ЩРн-18з-0 36 УХЛ3 IP54)  |  Альбом 7.1 ЭО (Музей)</v>
      </c>
      <c r="B237" s="25" t="s">
        <v>354</v>
      </c>
      <c r="C237" s="25" t="s">
        <v>153</v>
      </c>
      <c r="D237" s="25" t="s">
        <v>152</v>
      </c>
      <c r="E237" s="26">
        <f>ПАРАМЕТРЫ!C23</f>
        <v>87.63</v>
      </c>
      <c r="F237" s="27">
        <f t="shared" si="58"/>
        <v>20628.978300000002</v>
      </c>
      <c r="G237" s="27">
        <f>I237*F237</f>
        <v>0</v>
      </c>
      <c r="H237" s="27" t="s">
        <v>94</v>
      </c>
      <c r="I237" s="27">
        <v>0</v>
      </c>
      <c r="J237" s="25"/>
      <c r="K237" s="25" t="s">
        <v>312</v>
      </c>
    </row>
    <row r="238" spans="1:11" ht="54.75" customHeight="1" x14ac:dyDescent="0.25">
      <c r="A238" s="29" t="str">
        <f t="shared" si="57"/>
        <v>КОМПЛЕКТ 29.  МЗ-ЩО-2.2 (ЩРн-18з-0 36 УХЛ3 IP54)  |  Альбом 7.1 ЭО (Музей)</v>
      </c>
      <c r="B238" s="29" t="s">
        <v>355</v>
      </c>
      <c r="C238" s="29" t="s">
        <v>136</v>
      </c>
      <c r="D238" s="29" t="s">
        <v>135</v>
      </c>
      <c r="E238" s="30">
        <f>ПАРАМЕТРЫ!C33</f>
        <v>41.58</v>
      </c>
      <c r="F238" s="27">
        <f t="shared" si="58"/>
        <v>9788.3477999999996</v>
      </c>
      <c r="G238" s="31">
        <f>I238*F238</f>
        <v>9788.3477999999996</v>
      </c>
      <c r="H238" s="31" t="s">
        <v>94</v>
      </c>
      <c r="I238" s="31">
        <v>1</v>
      </c>
      <c r="J238" s="29"/>
      <c r="K238" s="29" t="s">
        <v>312</v>
      </c>
    </row>
    <row r="239" spans="1:11" ht="54.75" customHeight="1" x14ac:dyDescent="0.25">
      <c r="A239" s="37" t="str">
        <f t="shared" si="57"/>
        <v>КОМПЛЕКТ 29.  МЗ-ЩО-2.2 (ЩРн-18з-0 36 УХЛ3 IP54)  |  Альбом 7.1 ЭО (Музей)</v>
      </c>
      <c r="B239" s="37" t="s">
        <v>356</v>
      </c>
      <c r="C239" s="37"/>
      <c r="D239" s="37" t="s">
        <v>124</v>
      </c>
      <c r="E239" s="36" t="s">
        <v>95</v>
      </c>
      <c r="F239" s="38" t="str">
        <f>ПАРАМЕТРЫ!C6&amp;"%"</f>
        <v>12%</v>
      </c>
      <c r="G239" s="39">
        <f>(G235+G236+G237+G238)*ПАРАМЕТРЫ!C6/100</f>
        <v>4260.2618520000005</v>
      </c>
      <c r="H239" s="39" t="s">
        <v>94</v>
      </c>
      <c r="I239" s="39">
        <v>1</v>
      </c>
      <c r="J239" s="37" t="s">
        <v>11</v>
      </c>
      <c r="K239" s="37" t="s">
        <v>312</v>
      </c>
    </row>
    <row r="240" spans="1:11" ht="54.75" customHeight="1" thickBot="1" x14ac:dyDescent="0.3">
      <c r="A240" s="41" t="str">
        <f t="shared" si="57"/>
        <v>КОМПЛЕКТ 29.  МЗ-ЩО-2.2 (ЩРн-18з-0 36 УХЛ3 IP54)  |  Альбом 7.1 ЭО (Музей)</v>
      </c>
      <c r="B240" s="41" t="s">
        <v>357</v>
      </c>
      <c r="C240" s="41"/>
      <c r="D240" s="41" t="s">
        <v>126</v>
      </c>
      <c r="E240" s="40" t="s">
        <v>95</v>
      </c>
      <c r="F240" s="42" t="str">
        <f>ПАРАМЕТРЫ!C7&amp;"%"</f>
        <v>15%</v>
      </c>
      <c r="G240" s="43">
        <f>(G235+G236+G237+G238)*ПАРАМЕТРЫ!C7/100</f>
        <v>5325.3273150000014</v>
      </c>
      <c r="H240" s="43" t="s">
        <v>94</v>
      </c>
      <c r="I240" s="43">
        <v>1</v>
      </c>
      <c r="J240" s="41" t="s">
        <v>11</v>
      </c>
      <c r="K240" s="41" t="s">
        <v>312</v>
      </c>
    </row>
    <row r="241" spans="1:11" ht="54.75" customHeight="1" thickBot="1" x14ac:dyDescent="0.3">
      <c r="A241" s="53" t="str">
        <f>D241</f>
        <v>КОМПЛЕКТ 30.  МЗ-ЩО-3.1 (ЩРн-12з-0 36 УХЛ3 IP54)  |  Альбом 7.1 ЭО (Музей)</v>
      </c>
      <c r="B241" s="54" t="s">
        <v>358</v>
      </c>
      <c r="C241" s="54"/>
      <c r="D241" s="54" t="s">
        <v>358</v>
      </c>
      <c r="E241" s="54"/>
      <c r="F241" s="54"/>
      <c r="G241" s="54"/>
      <c r="H241" s="54" t="s">
        <v>632</v>
      </c>
      <c r="I241" s="54">
        <v>1</v>
      </c>
      <c r="J241" s="2"/>
      <c r="K241" s="2"/>
    </row>
    <row r="242" spans="1:11" ht="54.75" customHeight="1" x14ac:dyDescent="0.25">
      <c r="A242" s="22" t="str">
        <f t="shared" ref="A242:A248" si="59">A241</f>
        <v>КОМПЛЕКТ 30.  МЗ-ЩО-3.1 (ЩРн-12з-0 36 УХЛ3 IP54)  |  Альбом 7.1 ЭО (Музей)</v>
      </c>
      <c r="B242" s="22" t="s">
        <v>359</v>
      </c>
      <c r="C242" s="22" t="s">
        <v>92</v>
      </c>
      <c r="D242" s="22" t="s">
        <v>129</v>
      </c>
      <c r="E242" s="21" t="s">
        <v>95</v>
      </c>
      <c r="F242" s="21" t="s">
        <v>95</v>
      </c>
      <c r="G242" s="23">
        <v>0</v>
      </c>
      <c r="H242" s="23" t="s">
        <v>94</v>
      </c>
      <c r="I242" s="23">
        <v>1</v>
      </c>
      <c r="J242" s="22" t="s">
        <v>96</v>
      </c>
      <c r="K242" s="22" t="s">
        <v>312</v>
      </c>
    </row>
    <row r="243" spans="1:11" ht="54.75" customHeight="1" x14ac:dyDescent="0.25">
      <c r="A243" s="25" t="str">
        <f t="shared" si="59"/>
        <v>КОМПЛЕКТ 30.  МЗ-ЩО-3.1 (ЩРн-12з-0 36 УХЛ3 IP54)  |  Альбом 7.1 ЭО (Музей)</v>
      </c>
      <c r="B243" s="25" t="s">
        <v>181</v>
      </c>
      <c r="C243" s="25" t="s">
        <v>611</v>
      </c>
      <c r="D243" s="25" t="s">
        <v>604</v>
      </c>
      <c r="E243" s="26">
        <v>36.42</v>
      </c>
      <c r="F243" s="27">
        <f t="shared" ref="F243:F246" si="60">E243*0.3*1.33*590</f>
        <v>8573.6322000000018</v>
      </c>
      <c r="G243" s="27">
        <f>I243*F243</f>
        <v>8573.6322000000018</v>
      </c>
      <c r="H243" s="27" t="s">
        <v>94</v>
      </c>
      <c r="I243" s="27">
        <v>1</v>
      </c>
      <c r="J243" s="25" t="s">
        <v>182</v>
      </c>
      <c r="K243" s="41" t="s">
        <v>312</v>
      </c>
    </row>
    <row r="244" spans="1:11" ht="54.75" customHeight="1" x14ac:dyDescent="0.25">
      <c r="A244" s="29" t="str">
        <f t="shared" si="59"/>
        <v>КОМПЛЕКТ 30.  МЗ-ЩО-3.1 (ЩРн-12з-0 36 УХЛ3 IP54)  |  Альбом 7.1 ЭО (Музей)</v>
      </c>
      <c r="B244" s="29" t="s">
        <v>360</v>
      </c>
      <c r="C244" s="29" t="s">
        <v>610</v>
      </c>
      <c r="D244" s="29" t="s">
        <v>609</v>
      </c>
      <c r="E244" s="30">
        <v>8.09</v>
      </c>
      <c r="F244" s="27">
        <f t="shared" si="60"/>
        <v>1904.4669000000001</v>
      </c>
      <c r="G244" s="31">
        <f>I244*F244</f>
        <v>15235.735200000001</v>
      </c>
      <c r="H244" s="31" t="s">
        <v>94</v>
      </c>
      <c r="I244" s="31">
        <v>8</v>
      </c>
      <c r="J244" s="29"/>
      <c r="K244" s="29" t="s">
        <v>312</v>
      </c>
    </row>
    <row r="245" spans="1:11" ht="54.75" customHeight="1" x14ac:dyDescent="0.25">
      <c r="A245" s="25" t="str">
        <f t="shared" si="59"/>
        <v>КОМПЛЕКТ 30.  МЗ-ЩО-3.1 (ЩРн-12з-0 36 УХЛ3 IP54)  |  Альбом 7.1 ЭО (Музей)</v>
      </c>
      <c r="B245" s="25" t="s">
        <v>361</v>
      </c>
      <c r="C245" s="25" t="s">
        <v>153</v>
      </c>
      <c r="D245" s="25" t="s">
        <v>152</v>
      </c>
      <c r="E245" s="26">
        <f>ПАРАМЕТРЫ!C23</f>
        <v>87.63</v>
      </c>
      <c r="F245" s="27">
        <f t="shared" si="60"/>
        <v>20628.978300000002</v>
      </c>
      <c r="G245" s="27">
        <f>I245*F245</f>
        <v>0</v>
      </c>
      <c r="H245" s="27" t="s">
        <v>94</v>
      </c>
      <c r="I245" s="27">
        <v>0</v>
      </c>
      <c r="J245" s="25"/>
      <c r="K245" s="25" t="s">
        <v>312</v>
      </c>
    </row>
    <row r="246" spans="1:11" ht="54.75" customHeight="1" x14ac:dyDescent="0.25">
      <c r="A246" s="29" t="str">
        <f t="shared" si="59"/>
        <v>КОМПЛЕКТ 30.  МЗ-ЩО-3.1 (ЩРн-12з-0 36 УХЛ3 IP54)  |  Альбом 7.1 ЭО (Музей)</v>
      </c>
      <c r="B246" s="29" t="s">
        <v>362</v>
      </c>
      <c r="C246" s="29" t="s">
        <v>136</v>
      </c>
      <c r="D246" s="29" t="s">
        <v>135</v>
      </c>
      <c r="E246" s="30">
        <f>ПАРАМЕТРЫ!C33</f>
        <v>41.58</v>
      </c>
      <c r="F246" s="27">
        <f t="shared" si="60"/>
        <v>9788.3477999999996</v>
      </c>
      <c r="G246" s="31">
        <f>I246*F246</f>
        <v>39153.391199999998</v>
      </c>
      <c r="H246" s="31" t="s">
        <v>94</v>
      </c>
      <c r="I246" s="31">
        <v>4</v>
      </c>
      <c r="J246" s="29"/>
      <c r="K246" s="29" t="s">
        <v>312</v>
      </c>
    </row>
    <row r="247" spans="1:11" ht="54.75" customHeight="1" x14ac:dyDescent="0.25">
      <c r="A247" s="37" t="str">
        <f t="shared" si="59"/>
        <v>КОМПЛЕКТ 30.  МЗ-ЩО-3.1 (ЩРн-12з-0 36 УХЛ3 IP54)  |  Альбом 7.1 ЭО (Музей)</v>
      </c>
      <c r="B247" s="37" t="s">
        <v>363</v>
      </c>
      <c r="C247" s="37"/>
      <c r="D247" s="37" t="s">
        <v>124</v>
      </c>
      <c r="E247" s="36" t="s">
        <v>95</v>
      </c>
      <c r="F247" s="38" t="str">
        <f>ПАРАМЕТРЫ!C6&amp;"%"</f>
        <v>12%</v>
      </c>
      <c r="G247" s="39">
        <f>(G243+G244+G245+G246)*ПАРАМЕТРЫ!C6/100</f>
        <v>7555.5310319999999</v>
      </c>
      <c r="H247" s="39" t="s">
        <v>94</v>
      </c>
      <c r="I247" s="39">
        <v>1</v>
      </c>
      <c r="J247" s="37" t="s">
        <v>11</v>
      </c>
      <c r="K247" s="37" t="s">
        <v>312</v>
      </c>
    </row>
    <row r="248" spans="1:11" ht="54.75" customHeight="1" thickBot="1" x14ac:dyDescent="0.3">
      <c r="A248" s="41" t="str">
        <f t="shared" si="59"/>
        <v>КОМПЛЕКТ 30.  МЗ-ЩО-3.1 (ЩРн-12з-0 36 УХЛ3 IP54)  |  Альбом 7.1 ЭО (Музей)</v>
      </c>
      <c r="B248" s="41" t="s">
        <v>364</v>
      </c>
      <c r="C248" s="41"/>
      <c r="D248" s="41" t="s">
        <v>126</v>
      </c>
      <c r="E248" s="40" t="s">
        <v>95</v>
      </c>
      <c r="F248" s="42" t="str">
        <f>ПАРАМЕТРЫ!C7&amp;"%"</f>
        <v>15%</v>
      </c>
      <c r="G248" s="43">
        <f>(G243+G244+G245+G246)*ПАРАМЕТРЫ!C7/100</f>
        <v>9444.4137899999987</v>
      </c>
      <c r="H248" s="43" t="s">
        <v>94</v>
      </c>
      <c r="I248" s="43">
        <v>1</v>
      </c>
      <c r="J248" s="41" t="s">
        <v>11</v>
      </c>
      <c r="K248" s="41" t="s">
        <v>312</v>
      </c>
    </row>
    <row r="249" spans="1:11" ht="54.75" customHeight="1" thickBot="1" x14ac:dyDescent="0.3">
      <c r="A249" s="53" t="str">
        <f>D249</f>
        <v>КОМПЛЕКТ 31.  МЗ-ЩО-3.2 (ЩРн-12з-0 36 УХЛ3 IP54)  |  Альбом 7.1 ЭО (Музей)</v>
      </c>
      <c r="B249" s="54" t="s">
        <v>365</v>
      </c>
      <c r="C249" s="54"/>
      <c r="D249" s="54" t="s">
        <v>365</v>
      </c>
      <c r="E249" s="54"/>
      <c r="F249" s="54"/>
      <c r="G249" s="54"/>
      <c r="H249" s="54" t="s">
        <v>632</v>
      </c>
      <c r="I249" s="54">
        <v>1</v>
      </c>
      <c r="J249" s="2"/>
      <c r="K249" s="2"/>
    </row>
    <row r="250" spans="1:11" ht="54.75" customHeight="1" x14ac:dyDescent="0.25">
      <c r="A250" s="22" t="str">
        <f t="shared" ref="A250:A256" si="61">A249</f>
        <v>КОМПЛЕКТ 31.  МЗ-ЩО-3.2 (ЩРн-12з-0 36 УХЛ3 IP54)  |  Альбом 7.1 ЭО (Музей)</v>
      </c>
      <c r="B250" s="22" t="s">
        <v>366</v>
      </c>
      <c r="C250" s="22" t="s">
        <v>92</v>
      </c>
      <c r="D250" s="22" t="s">
        <v>129</v>
      </c>
      <c r="E250" s="21" t="s">
        <v>95</v>
      </c>
      <c r="F250" s="21" t="s">
        <v>95</v>
      </c>
      <c r="G250" s="23">
        <v>0</v>
      </c>
      <c r="H250" s="23" t="s">
        <v>94</v>
      </c>
      <c r="I250" s="23">
        <v>1</v>
      </c>
      <c r="J250" s="22" t="s">
        <v>96</v>
      </c>
      <c r="K250" s="22" t="s">
        <v>312</v>
      </c>
    </row>
    <row r="251" spans="1:11" ht="54.75" customHeight="1" x14ac:dyDescent="0.25">
      <c r="A251" s="25" t="str">
        <f t="shared" si="61"/>
        <v>КОМПЛЕКТ 31.  МЗ-ЩО-3.2 (ЩРн-12з-0 36 УХЛ3 IP54)  |  Альбом 7.1 ЭО (Музей)</v>
      </c>
      <c r="B251" s="25" t="s">
        <v>181</v>
      </c>
      <c r="C251" s="25" t="s">
        <v>611</v>
      </c>
      <c r="D251" s="25" t="s">
        <v>604</v>
      </c>
      <c r="E251" s="26">
        <v>36.42</v>
      </c>
      <c r="F251" s="27">
        <f t="shared" ref="F251:F254" si="62">E251*0.3*1.33*590</f>
        <v>8573.6322000000018</v>
      </c>
      <c r="G251" s="27">
        <f>I251*F251</f>
        <v>8573.6322000000018</v>
      </c>
      <c r="H251" s="27" t="s">
        <v>94</v>
      </c>
      <c r="I251" s="27">
        <v>1</v>
      </c>
      <c r="J251" s="25" t="s">
        <v>182</v>
      </c>
      <c r="K251" s="41" t="s">
        <v>312</v>
      </c>
    </row>
    <row r="252" spans="1:11" ht="54.75" customHeight="1" x14ac:dyDescent="0.25">
      <c r="A252" s="29" t="str">
        <f t="shared" si="61"/>
        <v>КОМПЛЕКТ 31.  МЗ-ЩО-3.2 (ЩРн-12з-0 36 УХЛ3 IP54)  |  Альбом 7.1 ЭО (Музей)</v>
      </c>
      <c r="B252" s="29" t="s">
        <v>367</v>
      </c>
      <c r="C252" s="29" t="s">
        <v>610</v>
      </c>
      <c r="D252" s="29" t="s">
        <v>609</v>
      </c>
      <c r="E252" s="30">
        <v>8.09</v>
      </c>
      <c r="F252" s="27">
        <f t="shared" si="62"/>
        <v>1904.4669000000001</v>
      </c>
      <c r="G252" s="31">
        <f>I252*F252</f>
        <v>9522.3345000000008</v>
      </c>
      <c r="H252" s="31" t="s">
        <v>94</v>
      </c>
      <c r="I252" s="31">
        <v>5</v>
      </c>
      <c r="J252" s="29"/>
      <c r="K252" s="29" t="s">
        <v>312</v>
      </c>
    </row>
    <row r="253" spans="1:11" ht="54.75" customHeight="1" x14ac:dyDescent="0.25">
      <c r="A253" s="25" t="str">
        <f t="shared" si="61"/>
        <v>КОМПЛЕКТ 31.  МЗ-ЩО-3.2 (ЩРн-12з-0 36 УХЛ3 IP54)  |  Альбом 7.1 ЭО (Музей)</v>
      </c>
      <c r="B253" s="25" t="s">
        <v>368</v>
      </c>
      <c r="C253" s="25" t="s">
        <v>153</v>
      </c>
      <c r="D253" s="25" t="s">
        <v>152</v>
      </c>
      <c r="E253" s="26">
        <f>ПАРАМЕТРЫ!C23</f>
        <v>87.63</v>
      </c>
      <c r="F253" s="27">
        <f t="shared" si="62"/>
        <v>20628.978300000002</v>
      </c>
      <c r="G253" s="27">
        <f>I253*F253</f>
        <v>0</v>
      </c>
      <c r="H253" s="27" t="s">
        <v>94</v>
      </c>
      <c r="I253" s="27">
        <v>0</v>
      </c>
      <c r="J253" s="25"/>
      <c r="K253" s="25" t="s">
        <v>312</v>
      </c>
    </row>
    <row r="254" spans="1:11" ht="54.75" customHeight="1" x14ac:dyDescent="0.25">
      <c r="A254" s="29" t="str">
        <f t="shared" si="61"/>
        <v>КОМПЛЕКТ 31.  МЗ-ЩО-3.2 (ЩРн-12з-0 36 УХЛ3 IP54)  |  Альбом 7.1 ЭО (Музей)</v>
      </c>
      <c r="B254" s="29" t="s">
        <v>369</v>
      </c>
      <c r="C254" s="29" t="s">
        <v>136</v>
      </c>
      <c r="D254" s="29" t="s">
        <v>135</v>
      </c>
      <c r="E254" s="30">
        <f>ПАРАМЕТРЫ!C33</f>
        <v>41.58</v>
      </c>
      <c r="F254" s="27">
        <f t="shared" si="62"/>
        <v>9788.3477999999996</v>
      </c>
      <c r="G254" s="31">
        <f>I254*F254</f>
        <v>39153.391199999998</v>
      </c>
      <c r="H254" s="31" t="s">
        <v>94</v>
      </c>
      <c r="I254" s="31">
        <v>4</v>
      </c>
      <c r="J254" s="29"/>
      <c r="K254" s="29" t="s">
        <v>312</v>
      </c>
    </row>
    <row r="255" spans="1:11" ht="54.75" customHeight="1" x14ac:dyDescent="0.25">
      <c r="A255" s="37" t="str">
        <f t="shared" si="61"/>
        <v>КОМПЛЕКТ 31.  МЗ-ЩО-3.2 (ЩРн-12з-0 36 УХЛ3 IP54)  |  Альбом 7.1 ЭО (Музей)</v>
      </c>
      <c r="B255" s="37" t="s">
        <v>370</v>
      </c>
      <c r="C255" s="37"/>
      <c r="D255" s="37" t="s">
        <v>124</v>
      </c>
      <c r="E255" s="36" t="s">
        <v>95</v>
      </c>
      <c r="F255" s="38" t="str">
        <f>ПАРАМЕТРЫ!C6&amp;"%"</f>
        <v>12%</v>
      </c>
      <c r="G255" s="39">
        <f>(G251+G252+G253+G254)*ПАРАМЕТРЫ!C6/100</f>
        <v>6869.9229480000004</v>
      </c>
      <c r="H255" s="39" t="s">
        <v>94</v>
      </c>
      <c r="I255" s="39">
        <v>1</v>
      </c>
      <c r="J255" s="37" t="s">
        <v>11</v>
      </c>
      <c r="K255" s="37" t="s">
        <v>312</v>
      </c>
    </row>
    <row r="256" spans="1:11" ht="54.75" customHeight="1" thickBot="1" x14ac:dyDescent="0.3">
      <c r="A256" s="41" t="str">
        <f t="shared" si="61"/>
        <v>КОМПЛЕКТ 31.  МЗ-ЩО-3.2 (ЩРн-12з-0 36 УХЛ3 IP54)  |  Альбом 7.1 ЭО (Музей)</v>
      </c>
      <c r="B256" s="41" t="s">
        <v>371</v>
      </c>
      <c r="C256" s="41"/>
      <c r="D256" s="41" t="s">
        <v>126</v>
      </c>
      <c r="E256" s="40" t="s">
        <v>95</v>
      </c>
      <c r="F256" s="42" t="str">
        <f>ПАРАМЕТРЫ!C7&amp;"%"</f>
        <v>15%</v>
      </c>
      <c r="G256" s="43">
        <f>(G251+G252+G253+G254)*ПАРАМЕТРЫ!C7/100</f>
        <v>8587.4036850000011</v>
      </c>
      <c r="H256" s="43" t="s">
        <v>94</v>
      </c>
      <c r="I256" s="43">
        <v>1</v>
      </c>
      <c r="J256" s="41" t="s">
        <v>11</v>
      </c>
      <c r="K256" s="41" t="s">
        <v>312</v>
      </c>
    </row>
    <row r="257" spans="1:11" ht="54.75" customHeight="1" thickBot="1" x14ac:dyDescent="0.3">
      <c r="A257" s="53" t="str">
        <f>D257</f>
        <v>КОМПЛЕКТ 32.  МЗ-ЩО-4.1 (ЩРн-18з-0 36 УХЛ3 IP54)  |  Альбом 7.1 ЭО (Музей)</v>
      </c>
      <c r="B257" s="54" t="s">
        <v>372</v>
      </c>
      <c r="C257" s="54"/>
      <c r="D257" s="54" t="s">
        <v>372</v>
      </c>
      <c r="E257" s="54"/>
      <c r="F257" s="54"/>
      <c r="G257" s="54"/>
      <c r="H257" s="54" t="s">
        <v>632</v>
      </c>
      <c r="I257" s="54">
        <v>1</v>
      </c>
      <c r="J257" s="2"/>
      <c r="K257" s="2"/>
    </row>
    <row r="258" spans="1:11" ht="54.75" customHeight="1" x14ac:dyDescent="0.25">
      <c r="A258" s="22" t="str">
        <f t="shared" ref="A258:A264" si="63">A257</f>
        <v>КОМПЛЕКТ 32.  МЗ-ЩО-4.1 (ЩРн-18з-0 36 УХЛ3 IP54)  |  Альбом 7.1 ЭО (Музей)</v>
      </c>
      <c r="B258" s="22" t="s">
        <v>373</v>
      </c>
      <c r="C258" s="22" t="s">
        <v>92</v>
      </c>
      <c r="D258" s="22" t="s">
        <v>180</v>
      </c>
      <c r="E258" s="21" t="s">
        <v>95</v>
      </c>
      <c r="F258" s="21" t="s">
        <v>95</v>
      </c>
      <c r="G258" s="23">
        <v>0</v>
      </c>
      <c r="H258" s="23" t="s">
        <v>94</v>
      </c>
      <c r="I258" s="23">
        <v>1</v>
      </c>
      <c r="J258" s="22" t="s">
        <v>96</v>
      </c>
      <c r="K258" s="22" t="s">
        <v>312</v>
      </c>
    </row>
    <row r="259" spans="1:11" ht="54.75" customHeight="1" x14ac:dyDescent="0.25">
      <c r="A259" s="25" t="str">
        <f t="shared" si="63"/>
        <v>КОМПЛЕКТ 32.  МЗ-ЩО-4.1 (ЩРн-18з-0 36 УХЛ3 IP54)  |  Альбом 7.1 ЭО (Музей)</v>
      </c>
      <c r="B259" s="25" t="s">
        <v>181</v>
      </c>
      <c r="C259" s="25" t="s">
        <v>611</v>
      </c>
      <c r="D259" s="25" t="s">
        <v>604</v>
      </c>
      <c r="E259" s="26">
        <v>36.42</v>
      </c>
      <c r="F259" s="27">
        <f t="shared" ref="F259:F262" si="64">E259*0.3*1.33*590</f>
        <v>8573.6322000000018</v>
      </c>
      <c r="G259" s="27">
        <f>I259*F259</f>
        <v>8573.6322000000018</v>
      </c>
      <c r="H259" s="27" t="s">
        <v>94</v>
      </c>
      <c r="I259" s="27">
        <v>1</v>
      </c>
      <c r="J259" s="25" t="s">
        <v>182</v>
      </c>
      <c r="K259" s="41" t="s">
        <v>312</v>
      </c>
    </row>
    <row r="260" spans="1:11" ht="54.75" customHeight="1" x14ac:dyDescent="0.25">
      <c r="A260" s="29" t="str">
        <f t="shared" si="63"/>
        <v>КОМПЛЕКТ 32.  МЗ-ЩО-4.1 (ЩРн-18з-0 36 УХЛ3 IP54)  |  Альбом 7.1 ЭО (Музей)</v>
      </c>
      <c r="B260" s="29" t="s">
        <v>374</v>
      </c>
      <c r="C260" s="29" t="s">
        <v>610</v>
      </c>
      <c r="D260" s="29" t="s">
        <v>609</v>
      </c>
      <c r="E260" s="30">
        <v>8.09</v>
      </c>
      <c r="F260" s="27">
        <f t="shared" si="64"/>
        <v>1904.4669000000001</v>
      </c>
      <c r="G260" s="31">
        <f>I260*F260</f>
        <v>20949.135900000001</v>
      </c>
      <c r="H260" s="31" t="s">
        <v>94</v>
      </c>
      <c r="I260" s="31">
        <v>11</v>
      </c>
      <c r="J260" s="29"/>
      <c r="K260" s="29" t="s">
        <v>312</v>
      </c>
    </row>
    <row r="261" spans="1:11" ht="54.75" customHeight="1" x14ac:dyDescent="0.25">
      <c r="A261" s="25" t="str">
        <f t="shared" si="63"/>
        <v>КОМПЛЕКТ 32.  МЗ-ЩО-4.1 (ЩРн-18з-0 36 УХЛ3 IP54)  |  Альбом 7.1 ЭО (Музей)</v>
      </c>
      <c r="B261" s="25" t="s">
        <v>375</v>
      </c>
      <c r="C261" s="25" t="s">
        <v>153</v>
      </c>
      <c r="D261" s="25" t="s">
        <v>152</v>
      </c>
      <c r="E261" s="26">
        <f>ПАРАМЕТРЫ!C23</f>
        <v>87.63</v>
      </c>
      <c r="F261" s="27">
        <f t="shared" si="64"/>
        <v>20628.978300000002</v>
      </c>
      <c r="G261" s="27">
        <f>I261*F261</f>
        <v>0</v>
      </c>
      <c r="H261" s="27" t="s">
        <v>94</v>
      </c>
      <c r="I261" s="27">
        <v>0</v>
      </c>
      <c r="J261" s="25"/>
      <c r="K261" s="25" t="s">
        <v>312</v>
      </c>
    </row>
    <row r="262" spans="1:11" ht="54.75" customHeight="1" x14ac:dyDescent="0.25">
      <c r="A262" s="29" t="str">
        <f t="shared" si="63"/>
        <v>КОМПЛЕКТ 32.  МЗ-ЩО-4.1 (ЩРн-18з-0 36 УХЛ3 IP54)  |  Альбом 7.1 ЭО (Музей)</v>
      </c>
      <c r="B262" s="29" t="s">
        <v>376</v>
      </c>
      <c r="C262" s="29" t="s">
        <v>136</v>
      </c>
      <c r="D262" s="29" t="s">
        <v>135</v>
      </c>
      <c r="E262" s="30">
        <f>ПАРАМЕТРЫ!C33</f>
        <v>41.58</v>
      </c>
      <c r="F262" s="27">
        <f t="shared" si="64"/>
        <v>9788.3477999999996</v>
      </c>
      <c r="G262" s="31">
        <f>I262*F262</f>
        <v>58730.086799999997</v>
      </c>
      <c r="H262" s="31" t="s">
        <v>94</v>
      </c>
      <c r="I262" s="31">
        <v>6</v>
      </c>
      <c r="J262" s="29"/>
      <c r="K262" s="29" t="s">
        <v>312</v>
      </c>
    </row>
    <row r="263" spans="1:11" ht="54.75" customHeight="1" x14ac:dyDescent="0.25">
      <c r="A263" s="37" t="str">
        <f t="shared" si="63"/>
        <v>КОМПЛЕКТ 32.  МЗ-ЩО-4.1 (ЩРн-18з-0 36 УХЛ3 IP54)  |  Альбом 7.1 ЭО (Музей)</v>
      </c>
      <c r="B263" s="37" t="s">
        <v>377</v>
      </c>
      <c r="C263" s="37"/>
      <c r="D263" s="37" t="s">
        <v>124</v>
      </c>
      <c r="E263" s="36" t="s">
        <v>95</v>
      </c>
      <c r="F263" s="38" t="str">
        <f>ПАРАМЕТРЫ!C6&amp;"%"</f>
        <v>12%</v>
      </c>
      <c r="G263" s="39">
        <f>(G259+G260+G261+G262)*ПАРАМЕТРЫ!C6/100</f>
        <v>10590.342588</v>
      </c>
      <c r="H263" s="39" t="s">
        <v>94</v>
      </c>
      <c r="I263" s="39">
        <v>1</v>
      </c>
      <c r="J263" s="37" t="s">
        <v>11</v>
      </c>
      <c r="K263" s="37" t="s">
        <v>312</v>
      </c>
    </row>
    <row r="264" spans="1:11" ht="54.75" customHeight="1" thickBot="1" x14ac:dyDescent="0.3">
      <c r="A264" s="41" t="str">
        <f t="shared" si="63"/>
        <v>КОМПЛЕКТ 32.  МЗ-ЩО-4.1 (ЩРн-18з-0 36 УХЛ3 IP54)  |  Альбом 7.1 ЭО (Музей)</v>
      </c>
      <c r="B264" s="41" t="s">
        <v>378</v>
      </c>
      <c r="C264" s="41"/>
      <c r="D264" s="41" t="s">
        <v>126</v>
      </c>
      <c r="E264" s="40" t="s">
        <v>95</v>
      </c>
      <c r="F264" s="42" t="str">
        <f>ПАРАМЕТРЫ!C7&amp;"%"</f>
        <v>15%</v>
      </c>
      <c r="G264" s="43">
        <f>(G259+G260+G261+G262)*ПАРАМЕТРЫ!C7/100</f>
        <v>13237.928235000001</v>
      </c>
      <c r="H264" s="43" t="s">
        <v>94</v>
      </c>
      <c r="I264" s="43">
        <v>1</v>
      </c>
      <c r="J264" s="41" t="s">
        <v>11</v>
      </c>
      <c r="K264" s="41" t="s">
        <v>312</v>
      </c>
    </row>
    <row r="265" spans="1:11" ht="54.75" customHeight="1" thickBot="1" x14ac:dyDescent="0.3">
      <c r="A265" s="53" t="str">
        <f>D265</f>
        <v>КОМПЛЕКТ 33.  МЗ-ЩО-4.2 (ЩРн-18з-0 36 УХЛ3 IP54)  |  Альбом 7.1 ЭО (Музей)</v>
      </c>
      <c r="B265" s="54" t="s">
        <v>379</v>
      </c>
      <c r="C265" s="54"/>
      <c r="D265" s="54" t="s">
        <v>379</v>
      </c>
      <c r="E265" s="54"/>
      <c r="F265" s="54"/>
      <c r="G265" s="54"/>
      <c r="H265" s="54" t="s">
        <v>632</v>
      </c>
      <c r="I265" s="54">
        <v>1</v>
      </c>
      <c r="J265" s="2"/>
      <c r="K265" s="2"/>
    </row>
    <row r="266" spans="1:11" ht="54.75" customHeight="1" x14ac:dyDescent="0.25">
      <c r="A266" s="22" t="str">
        <f t="shared" ref="A266:A272" si="65">A265</f>
        <v>КОМПЛЕКТ 33.  МЗ-ЩО-4.2 (ЩРн-18з-0 36 УХЛ3 IP54)  |  Альбом 7.1 ЭО (Музей)</v>
      </c>
      <c r="B266" s="22" t="s">
        <v>380</v>
      </c>
      <c r="C266" s="22" t="s">
        <v>92</v>
      </c>
      <c r="D266" s="22" t="s">
        <v>180</v>
      </c>
      <c r="E266" s="21" t="s">
        <v>95</v>
      </c>
      <c r="F266" s="21" t="s">
        <v>95</v>
      </c>
      <c r="G266" s="23">
        <v>0</v>
      </c>
      <c r="H266" s="23" t="s">
        <v>94</v>
      </c>
      <c r="I266" s="23">
        <v>1</v>
      </c>
      <c r="J266" s="22" t="s">
        <v>96</v>
      </c>
      <c r="K266" s="22" t="s">
        <v>312</v>
      </c>
    </row>
    <row r="267" spans="1:11" ht="54.75" customHeight="1" x14ac:dyDescent="0.25">
      <c r="A267" s="25" t="str">
        <f t="shared" si="65"/>
        <v>КОМПЛЕКТ 33.  МЗ-ЩО-4.2 (ЩРн-18з-0 36 УХЛ3 IP54)  |  Альбом 7.1 ЭО (Музей)</v>
      </c>
      <c r="B267" s="25" t="s">
        <v>181</v>
      </c>
      <c r="C267" s="25" t="s">
        <v>611</v>
      </c>
      <c r="D267" s="25" t="s">
        <v>604</v>
      </c>
      <c r="E267" s="26">
        <v>36.42</v>
      </c>
      <c r="F267" s="27">
        <f t="shared" ref="F267:F270" si="66">E267*0.3*1.33*590</f>
        <v>8573.6322000000018</v>
      </c>
      <c r="G267" s="27">
        <f>I267*F267</f>
        <v>8573.6322000000018</v>
      </c>
      <c r="H267" s="27" t="s">
        <v>94</v>
      </c>
      <c r="I267" s="27">
        <v>1</v>
      </c>
      <c r="J267" s="25" t="s">
        <v>182</v>
      </c>
      <c r="K267" s="41" t="s">
        <v>312</v>
      </c>
    </row>
    <row r="268" spans="1:11" ht="54.75" customHeight="1" x14ac:dyDescent="0.25">
      <c r="A268" s="29" t="str">
        <f t="shared" si="65"/>
        <v>КОМПЛЕКТ 33.  МЗ-ЩО-4.2 (ЩРн-18з-0 36 УХЛ3 IP54)  |  Альбом 7.1 ЭО (Музей)</v>
      </c>
      <c r="B268" s="29" t="s">
        <v>381</v>
      </c>
      <c r="C268" s="29" t="s">
        <v>610</v>
      </c>
      <c r="D268" s="29" t="s">
        <v>609</v>
      </c>
      <c r="E268" s="30">
        <v>8.09</v>
      </c>
      <c r="F268" s="27">
        <f t="shared" si="66"/>
        <v>1904.4669000000001</v>
      </c>
      <c r="G268" s="31">
        <f>I268*F268</f>
        <v>24758.0697</v>
      </c>
      <c r="H268" s="31" t="s">
        <v>94</v>
      </c>
      <c r="I268" s="31">
        <v>13</v>
      </c>
      <c r="J268" s="29"/>
      <c r="K268" s="29" t="s">
        <v>312</v>
      </c>
    </row>
    <row r="269" spans="1:11" ht="54.75" customHeight="1" x14ac:dyDescent="0.25">
      <c r="A269" s="25" t="str">
        <f t="shared" si="65"/>
        <v>КОМПЛЕКТ 33.  МЗ-ЩО-4.2 (ЩРн-18з-0 36 УХЛ3 IP54)  |  Альбом 7.1 ЭО (Музей)</v>
      </c>
      <c r="B269" s="25" t="s">
        <v>382</v>
      </c>
      <c r="C269" s="25" t="s">
        <v>153</v>
      </c>
      <c r="D269" s="25" t="s">
        <v>152</v>
      </c>
      <c r="E269" s="26">
        <f>ПАРАМЕТРЫ!C23</f>
        <v>87.63</v>
      </c>
      <c r="F269" s="27">
        <f t="shared" si="66"/>
        <v>20628.978300000002</v>
      </c>
      <c r="G269" s="27">
        <f>I269*F269</f>
        <v>0</v>
      </c>
      <c r="H269" s="27" t="s">
        <v>94</v>
      </c>
      <c r="I269" s="27">
        <v>0</v>
      </c>
      <c r="J269" s="25"/>
      <c r="K269" s="25" t="s">
        <v>312</v>
      </c>
    </row>
    <row r="270" spans="1:11" ht="54.75" customHeight="1" x14ac:dyDescent="0.25">
      <c r="A270" s="29" t="str">
        <f t="shared" si="65"/>
        <v>КОМПЛЕКТ 33.  МЗ-ЩО-4.2 (ЩРн-18з-0 36 УХЛ3 IP54)  |  Альбом 7.1 ЭО (Музей)</v>
      </c>
      <c r="B270" s="29" t="s">
        <v>383</v>
      </c>
      <c r="C270" s="29" t="s">
        <v>136</v>
      </c>
      <c r="D270" s="29" t="s">
        <v>135</v>
      </c>
      <c r="E270" s="30">
        <f>ПАРАМЕТРЫ!C33</f>
        <v>41.58</v>
      </c>
      <c r="F270" s="27">
        <f t="shared" si="66"/>
        <v>9788.3477999999996</v>
      </c>
      <c r="G270" s="31">
        <f>I270*F270</f>
        <v>19576.695599999999</v>
      </c>
      <c r="H270" s="31" t="s">
        <v>94</v>
      </c>
      <c r="I270" s="31">
        <v>2</v>
      </c>
      <c r="J270" s="29"/>
      <c r="K270" s="29" t="s">
        <v>312</v>
      </c>
    </row>
    <row r="271" spans="1:11" ht="54.75" customHeight="1" x14ac:dyDescent="0.25">
      <c r="A271" s="37" t="str">
        <f t="shared" si="65"/>
        <v>КОМПЛЕКТ 33.  МЗ-ЩО-4.2 (ЩРн-18з-0 36 УХЛ3 IP54)  |  Альбом 7.1 ЭО (Музей)</v>
      </c>
      <c r="B271" s="37" t="s">
        <v>384</v>
      </c>
      <c r="C271" s="37"/>
      <c r="D271" s="37" t="s">
        <v>124</v>
      </c>
      <c r="E271" s="36" t="s">
        <v>95</v>
      </c>
      <c r="F271" s="38" t="str">
        <f>ПАРАМЕТРЫ!C6&amp;"%"</f>
        <v>12%</v>
      </c>
      <c r="G271" s="39">
        <f>(G267+G268+G269+G270)*ПАРАМЕТРЫ!C6/100</f>
        <v>6349.0077000000001</v>
      </c>
      <c r="H271" s="39" t="s">
        <v>94</v>
      </c>
      <c r="I271" s="39">
        <v>1</v>
      </c>
      <c r="J271" s="37" t="s">
        <v>11</v>
      </c>
      <c r="K271" s="37" t="s">
        <v>312</v>
      </c>
    </row>
    <row r="272" spans="1:11" ht="54.75" customHeight="1" thickBot="1" x14ac:dyDescent="0.3">
      <c r="A272" s="41" t="str">
        <f t="shared" si="65"/>
        <v>КОМПЛЕКТ 33.  МЗ-ЩО-4.2 (ЩРн-18з-0 36 УХЛ3 IP54)  |  Альбом 7.1 ЭО (Музей)</v>
      </c>
      <c r="B272" s="41" t="s">
        <v>385</v>
      </c>
      <c r="C272" s="41"/>
      <c r="D272" s="41" t="s">
        <v>126</v>
      </c>
      <c r="E272" s="40" t="s">
        <v>95</v>
      </c>
      <c r="F272" s="42" t="str">
        <f>ПАРАМЕТРЫ!C7&amp;"%"</f>
        <v>15%</v>
      </c>
      <c r="G272" s="43">
        <f>(G267+G268+G269+G270)*ПАРАМЕТРЫ!C7/100</f>
        <v>7936.2596250000006</v>
      </c>
      <c r="H272" s="43" t="s">
        <v>94</v>
      </c>
      <c r="I272" s="43">
        <v>1</v>
      </c>
      <c r="J272" s="41" t="s">
        <v>11</v>
      </c>
      <c r="K272" s="41" t="s">
        <v>312</v>
      </c>
    </row>
    <row r="273" spans="1:11" ht="54.75" customHeight="1" thickBot="1" x14ac:dyDescent="0.3">
      <c r="A273" s="53" t="str">
        <f>D273</f>
        <v>КОМПЛЕКТ 34.  МЗ-ЩОА-0.1  |  Альбом 7.1 ЭО (Музей)</v>
      </c>
      <c r="B273" s="54" t="s">
        <v>386</v>
      </c>
      <c r="C273" s="54"/>
      <c r="D273" s="54" t="s">
        <v>386</v>
      </c>
      <c r="E273" s="54"/>
      <c r="F273" s="54"/>
      <c r="G273" s="54"/>
      <c r="H273" s="54" t="s">
        <v>632</v>
      </c>
      <c r="I273" s="54">
        <v>1</v>
      </c>
      <c r="J273" s="2"/>
      <c r="K273" s="2"/>
    </row>
    <row r="274" spans="1:11" ht="54.75" customHeight="1" x14ac:dyDescent="0.25">
      <c r="A274" s="22" t="str">
        <f t="shared" ref="A274:A278" si="67">A273</f>
        <v>КОМПЛЕКТ 34.  МЗ-ЩОА-0.1  |  Альбом 7.1 ЭО (Музей)</v>
      </c>
      <c r="B274" s="22" t="s">
        <v>387</v>
      </c>
      <c r="C274" s="22" t="s">
        <v>92</v>
      </c>
      <c r="D274" s="22" t="s">
        <v>129</v>
      </c>
      <c r="E274" s="21" t="s">
        <v>95</v>
      </c>
      <c r="F274" s="21" t="s">
        <v>95</v>
      </c>
      <c r="G274" s="23">
        <v>0</v>
      </c>
      <c r="H274" s="23" t="s">
        <v>94</v>
      </c>
      <c r="I274" s="23">
        <v>1</v>
      </c>
      <c r="J274" s="22" t="s">
        <v>96</v>
      </c>
      <c r="K274" s="22" t="s">
        <v>312</v>
      </c>
    </row>
    <row r="275" spans="1:11" ht="54.75" customHeight="1" x14ac:dyDescent="0.25">
      <c r="A275" s="25" t="str">
        <f t="shared" si="67"/>
        <v>КОМПЛЕКТ 34.  МЗ-ЩОА-0.1  |  Альбом 7.1 ЭО (Музей)</v>
      </c>
      <c r="B275" s="25" t="s">
        <v>181</v>
      </c>
      <c r="C275" s="25" t="s">
        <v>611</v>
      </c>
      <c r="D275" s="25" t="s">
        <v>604</v>
      </c>
      <c r="E275" s="26">
        <v>36.42</v>
      </c>
      <c r="F275" s="27">
        <f t="shared" ref="F275:F276" si="68">E275*0.3*1.33*590</f>
        <v>8573.6322000000018</v>
      </c>
      <c r="G275" s="27">
        <f>I275*F275</f>
        <v>8573.6322000000018</v>
      </c>
      <c r="H275" s="27" t="s">
        <v>94</v>
      </c>
      <c r="I275" s="27">
        <v>1</v>
      </c>
      <c r="J275" s="25" t="s">
        <v>182</v>
      </c>
      <c r="K275" s="41" t="s">
        <v>312</v>
      </c>
    </row>
    <row r="276" spans="1:11" ht="54.75" customHeight="1" x14ac:dyDescent="0.25">
      <c r="A276" s="29" t="str">
        <f t="shared" si="67"/>
        <v>КОМПЛЕКТ 34.  МЗ-ЩОА-0.1  |  Альбом 7.1 ЭО (Музей)</v>
      </c>
      <c r="B276" s="29" t="s">
        <v>388</v>
      </c>
      <c r="C276" s="29" t="s">
        <v>610</v>
      </c>
      <c r="D276" s="29" t="s">
        <v>609</v>
      </c>
      <c r="E276" s="30">
        <v>8.09</v>
      </c>
      <c r="F276" s="27">
        <f t="shared" si="68"/>
        <v>1904.4669000000001</v>
      </c>
      <c r="G276" s="31">
        <f>I276*F276</f>
        <v>5713.4007000000001</v>
      </c>
      <c r="H276" s="31" t="s">
        <v>94</v>
      </c>
      <c r="I276" s="31">
        <v>3</v>
      </c>
      <c r="J276" s="29"/>
      <c r="K276" s="29" t="s">
        <v>312</v>
      </c>
    </row>
    <row r="277" spans="1:11" ht="54.75" customHeight="1" x14ac:dyDescent="0.25">
      <c r="A277" s="37" t="str">
        <f t="shared" si="67"/>
        <v>КОМПЛЕКТ 34.  МЗ-ЩОА-0.1  |  Альбом 7.1 ЭО (Музей)</v>
      </c>
      <c r="B277" s="37" t="s">
        <v>389</v>
      </c>
      <c r="C277" s="37"/>
      <c r="D277" s="37" t="s">
        <v>124</v>
      </c>
      <c r="E277" s="36" t="s">
        <v>95</v>
      </c>
      <c r="F277" s="38" t="str">
        <f>ПАРАМЕТРЫ!C6&amp;"%"</f>
        <v>12%</v>
      </c>
      <c r="G277" s="39">
        <f>(G275+G276)*ПАРАМЕТРЫ!C6/100</f>
        <v>1714.4439480000001</v>
      </c>
      <c r="H277" s="39" t="s">
        <v>94</v>
      </c>
      <c r="I277" s="39">
        <v>1</v>
      </c>
      <c r="J277" s="37" t="s">
        <v>11</v>
      </c>
      <c r="K277" s="37" t="s">
        <v>312</v>
      </c>
    </row>
    <row r="278" spans="1:11" ht="54.75" customHeight="1" thickBot="1" x14ac:dyDescent="0.3">
      <c r="A278" s="41" t="str">
        <f t="shared" si="67"/>
        <v>КОМПЛЕКТ 34.  МЗ-ЩОА-0.1  |  Альбом 7.1 ЭО (Музей)</v>
      </c>
      <c r="B278" s="41" t="s">
        <v>390</v>
      </c>
      <c r="C278" s="41"/>
      <c r="D278" s="41" t="s">
        <v>126</v>
      </c>
      <c r="E278" s="40" t="s">
        <v>95</v>
      </c>
      <c r="F278" s="42" t="str">
        <f>ПАРАМЕТРЫ!C7&amp;"%"</f>
        <v>15%</v>
      </c>
      <c r="G278" s="43">
        <f>(G275+G276)*ПАРАМЕТРЫ!C7/100</f>
        <v>2143.0549350000006</v>
      </c>
      <c r="H278" s="43" t="s">
        <v>94</v>
      </c>
      <c r="I278" s="43">
        <v>1</v>
      </c>
      <c r="J278" s="41" t="s">
        <v>11</v>
      </c>
      <c r="K278" s="41" t="s">
        <v>312</v>
      </c>
    </row>
    <row r="279" spans="1:11" ht="54.75" customHeight="1" thickBot="1" x14ac:dyDescent="0.3">
      <c r="A279" s="53" t="str">
        <f>D279</f>
        <v>КОМПЛЕКТ 35.  МЗ-ЩОА-0.2  |  Альбом 7.1 ЭО (Музей)</v>
      </c>
      <c r="B279" s="54" t="s">
        <v>391</v>
      </c>
      <c r="C279" s="54"/>
      <c r="D279" s="54" t="s">
        <v>391</v>
      </c>
      <c r="E279" s="54"/>
      <c r="F279" s="54"/>
      <c r="G279" s="54"/>
      <c r="H279" s="54" t="s">
        <v>632</v>
      </c>
      <c r="I279" s="54">
        <v>1</v>
      </c>
      <c r="J279" s="2"/>
      <c r="K279" s="2"/>
    </row>
    <row r="280" spans="1:11" ht="54.75" customHeight="1" x14ac:dyDescent="0.25">
      <c r="A280" s="22" t="str">
        <f t="shared" ref="A280:A284" si="69">A279</f>
        <v>КОМПЛЕКТ 35.  МЗ-ЩОА-0.2  |  Альбом 7.1 ЭО (Музей)</v>
      </c>
      <c r="B280" s="22" t="s">
        <v>392</v>
      </c>
      <c r="C280" s="22" t="s">
        <v>92</v>
      </c>
      <c r="D280" s="22" t="s">
        <v>129</v>
      </c>
      <c r="E280" s="21" t="s">
        <v>95</v>
      </c>
      <c r="F280" s="21" t="s">
        <v>95</v>
      </c>
      <c r="G280" s="23">
        <v>0</v>
      </c>
      <c r="H280" s="23" t="s">
        <v>94</v>
      </c>
      <c r="I280" s="23">
        <v>1</v>
      </c>
      <c r="J280" s="22" t="s">
        <v>96</v>
      </c>
      <c r="K280" s="22" t="s">
        <v>312</v>
      </c>
    </row>
    <row r="281" spans="1:11" ht="54.75" customHeight="1" x14ac:dyDescent="0.25">
      <c r="A281" s="25" t="str">
        <f t="shared" si="69"/>
        <v>КОМПЛЕКТ 35.  МЗ-ЩОА-0.2  |  Альбом 7.1 ЭО (Музей)</v>
      </c>
      <c r="B281" s="25" t="s">
        <v>181</v>
      </c>
      <c r="C281" s="25" t="s">
        <v>611</v>
      </c>
      <c r="D281" s="25" t="s">
        <v>604</v>
      </c>
      <c r="E281" s="26">
        <v>36.42</v>
      </c>
      <c r="F281" s="27">
        <f t="shared" ref="F281:F282" si="70">E281*0.3*1.33*590</f>
        <v>8573.6322000000018</v>
      </c>
      <c r="G281" s="27">
        <f>I281*F281</f>
        <v>8573.6322000000018</v>
      </c>
      <c r="H281" s="27" t="s">
        <v>94</v>
      </c>
      <c r="I281" s="27">
        <v>1</v>
      </c>
      <c r="J281" s="25" t="s">
        <v>182</v>
      </c>
      <c r="K281" s="41" t="s">
        <v>312</v>
      </c>
    </row>
    <row r="282" spans="1:11" ht="54.75" customHeight="1" x14ac:dyDescent="0.25">
      <c r="A282" s="29" t="str">
        <f t="shared" si="69"/>
        <v>КОМПЛЕКТ 35.  МЗ-ЩОА-0.2  |  Альбом 7.1 ЭО (Музей)</v>
      </c>
      <c r="B282" s="29" t="s">
        <v>393</v>
      </c>
      <c r="C282" s="29" t="s">
        <v>610</v>
      </c>
      <c r="D282" s="29" t="s">
        <v>609</v>
      </c>
      <c r="E282" s="30">
        <v>8.09</v>
      </c>
      <c r="F282" s="27">
        <f t="shared" si="70"/>
        <v>1904.4669000000001</v>
      </c>
      <c r="G282" s="31">
        <f>I282*F282</f>
        <v>5713.4007000000001</v>
      </c>
      <c r="H282" s="31" t="s">
        <v>94</v>
      </c>
      <c r="I282" s="31">
        <v>3</v>
      </c>
      <c r="J282" s="29"/>
      <c r="K282" s="29" t="s">
        <v>312</v>
      </c>
    </row>
    <row r="283" spans="1:11" ht="54.75" customHeight="1" x14ac:dyDescent="0.25">
      <c r="A283" s="37" t="str">
        <f t="shared" si="69"/>
        <v>КОМПЛЕКТ 35.  МЗ-ЩОА-0.2  |  Альбом 7.1 ЭО (Музей)</v>
      </c>
      <c r="B283" s="37" t="s">
        <v>394</v>
      </c>
      <c r="C283" s="37"/>
      <c r="D283" s="37" t="s">
        <v>124</v>
      </c>
      <c r="E283" s="36" t="s">
        <v>95</v>
      </c>
      <c r="F283" s="38" t="str">
        <f>ПАРАМЕТРЫ!C6&amp;"%"</f>
        <v>12%</v>
      </c>
      <c r="G283" s="39">
        <f>(G281+G282)*ПАРАМЕТРЫ!C6/100</f>
        <v>1714.4439480000001</v>
      </c>
      <c r="H283" s="39" t="s">
        <v>94</v>
      </c>
      <c r="I283" s="39">
        <v>1</v>
      </c>
      <c r="J283" s="37" t="s">
        <v>11</v>
      </c>
      <c r="K283" s="37" t="s">
        <v>312</v>
      </c>
    </row>
    <row r="284" spans="1:11" ht="54.75" customHeight="1" thickBot="1" x14ac:dyDescent="0.3">
      <c r="A284" s="41" t="str">
        <f t="shared" si="69"/>
        <v>КОМПЛЕКТ 35.  МЗ-ЩОА-0.2  |  Альбом 7.1 ЭО (Музей)</v>
      </c>
      <c r="B284" s="41" t="s">
        <v>395</v>
      </c>
      <c r="C284" s="41"/>
      <c r="D284" s="41" t="s">
        <v>126</v>
      </c>
      <c r="E284" s="40" t="s">
        <v>95</v>
      </c>
      <c r="F284" s="42" t="str">
        <f>ПАРАМЕТРЫ!C7&amp;"%"</f>
        <v>15%</v>
      </c>
      <c r="G284" s="43">
        <f>(G281+G282)*ПАРАМЕТРЫ!C7/100</f>
        <v>2143.0549350000006</v>
      </c>
      <c r="H284" s="43" t="s">
        <v>94</v>
      </c>
      <c r="I284" s="43">
        <v>1</v>
      </c>
      <c r="J284" s="41" t="s">
        <v>11</v>
      </c>
      <c r="K284" s="41" t="s">
        <v>312</v>
      </c>
    </row>
    <row r="285" spans="1:11" ht="54.75" customHeight="1" thickBot="1" x14ac:dyDescent="0.3">
      <c r="A285" s="53" t="str">
        <f>D285</f>
        <v>КОМПЛЕКТ 36.  МЗ-ЩОА-1.1  |  Альбом 7.1 ЭО (Музей)</v>
      </c>
      <c r="B285" s="54" t="s">
        <v>396</v>
      </c>
      <c r="C285" s="54"/>
      <c r="D285" s="54" t="s">
        <v>396</v>
      </c>
      <c r="E285" s="54"/>
      <c r="F285" s="54"/>
      <c r="G285" s="54"/>
      <c r="H285" s="54" t="s">
        <v>632</v>
      </c>
      <c r="I285" s="54">
        <v>1</v>
      </c>
      <c r="J285" s="2"/>
      <c r="K285" s="2"/>
    </row>
    <row r="286" spans="1:11" ht="54.75" customHeight="1" x14ac:dyDescent="0.25">
      <c r="A286" s="22" t="str">
        <f t="shared" ref="A286:A290" si="71">A285</f>
        <v>КОМПЛЕКТ 36.  МЗ-ЩОА-1.1  |  Альбом 7.1 ЭО (Музей)</v>
      </c>
      <c r="B286" s="22" t="s">
        <v>397</v>
      </c>
      <c r="C286" s="22" t="s">
        <v>92</v>
      </c>
      <c r="D286" s="22" t="s">
        <v>129</v>
      </c>
      <c r="E286" s="21" t="s">
        <v>95</v>
      </c>
      <c r="F286" s="21" t="s">
        <v>95</v>
      </c>
      <c r="G286" s="23">
        <v>0</v>
      </c>
      <c r="H286" s="23" t="s">
        <v>94</v>
      </c>
      <c r="I286" s="23">
        <v>1</v>
      </c>
      <c r="J286" s="22" t="s">
        <v>96</v>
      </c>
      <c r="K286" s="22" t="s">
        <v>312</v>
      </c>
    </row>
    <row r="287" spans="1:11" ht="54.75" customHeight="1" x14ac:dyDescent="0.25">
      <c r="A287" s="25" t="str">
        <f t="shared" si="71"/>
        <v>КОМПЛЕКТ 36.  МЗ-ЩОА-1.1  |  Альбом 7.1 ЭО (Музей)</v>
      </c>
      <c r="B287" s="25" t="s">
        <v>181</v>
      </c>
      <c r="C287" s="25" t="s">
        <v>611</v>
      </c>
      <c r="D287" s="25" t="s">
        <v>604</v>
      </c>
      <c r="E287" s="26">
        <v>36.42</v>
      </c>
      <c r="F287" s="27">
        <f t="shared" ref="F287:F288" si="72">E287*0.3*1.33*590</f>
        <v>8573.6322000000018</v>
      </c>
      <c r="G287" s="27">
        <f>I287*F287</f>
        <v>8573.6322000000018</v>
      </c>
      <c r="H287" s="27" t="s">
        <v>94</v>
      </c>
      <c r="I287" s="27">
        <v>1</v>
      </c>
      <c r="J287" s="25" t="s">
        <v>182</v>
      </c>
      <c r="K287" s="41" t="s">
        <v>312</v>
      </c>
    </row>
    <row r="288" spans="1:11" ht="54.75" customHeight="1" x14ac:dyDescent="0.25">
      <c r="A288" s="29" t="str">
        <f t="shared" si="71"/>
        <v>КОМПЛЕКТ 36.  МЗ-ЩОА-1.1  |  Альбом 7.1 ЭО (Музей)</v>
      </c>
      <c r="B288" s="29" t="s">
        <v>398</v>
      </c>
      <c r="C288" s="29" t="s">
        <v>610</v>
      </c>
      <c r="D288" s="29" t="s">
        <v>609</v>
      </c>
      <c r="E288" s="30">
        <v>8.09</v>
      </c>
      <c r="F288" s="27">
        <f t="shared" si="72"/>
        <v>1904.4669000000001</v>
      </c>
      <c r="G288" s="31">
        <f>I288*F288</f>
        <v>5713.4007000000001</v>
      </c>
      <c r="H288" s="31" t="s">
        <v>94</v>
      </c>
      <c r="I288" s="31">
        <v>3</v>
      </c>
      <c r="J288" s="29"/>
      <c r="K288" s="29" t="s">
        <v>312</v>
      </c>
    </row>
    <row r="289" spans="1:11" ht="54.75" customHeight="1" x14ac:dyDescent="0.25">
      <c r="A289" s="37" t="str">
        <f t="shared" si="71"/>
        <v>КОМПЛЕКТ 36.  МЗ-ЩОА-1.1  |  Альбом 7.1 ЭО (Музей)</v>
      </c>
      <c r="B289" s="37" t="s">
        <v>399</v>
      </c>
      <c r="C289" s="37"/>
      <c r="D289" s="37" t="s">
        <v>124</v>
      </c>
      <c r="E289" s="36" t="s">
        <v>95</v>
      </c>
      <c r="F289" s="38" t="str">
        <f>ПАРАМЕТРЫ!C6&amp;"%"</f>
        <v>12%</v>
      </c>
      <c r="G289" s="39">
        <f>(G287+G288)*ПАРАМЕТРЫ!C6/100</f>
        <v>1714.4439480000001</v>
      </c>
      <c r="H289" s="39" t="s">
        <v>94</v>
      </c>
      <c r="I289" s="39">
        <v>1</v>
      </c>
      <c r="J289" s="37" t="s">
        <v>11</v>
      </c>
      <c r="K289" s="37" t="s">
        <v>312</v>
      </c>
    </row>
    <row r="290" spans="1:11" ht="54.75" customHeight="1" thickBot="1" x14ac:dyDescent="0.3">
      <c r="A290" s="41" t="str">
        <f t="shared" si="71"/>
        <v>КОМПЛЕКТ 36.  МЗ-ЩОА-1.1  |  Альбом 7.1 ЭО (Музей)</v>
      </c>
      <c r="B290" s="41" t="s">
        <v>400</v>
      </c>
      <c r="C290" s="41"/>
      <c r="D290" s="41" t="s">
        <v>126</v>
      </c>
      <c r="E290" s="40" t="s">
        <v>95</v>
      </c>
      <c r="F290" s="42" t="str">
        <f>ПАРАМЕТРЫ!C7&amp;"%"</f>
        <v>15%</v>
      </c>
      <c r="G290" s="43">
        <f>(G287+G288)*ПАРАМЕТРЫ!C7/100</f>
        <v>2143.0549350000006</v>
      </c>
      <c r="H290" s="43" t="s">
        <v>94</v>
      </c>
      <c r="I290" s="43">
        <v>1</v>
      </c>
      <c r="J290" s="41" t="s">
        <v>11</v>
      </c>
      <c r="K290" s="41" t="s">
        <v>312</v>
      </c>
    </row>
    <row r="291" spans="1:11" ht="54.75" customHeight="1" thickBot="1" x14ac:dyDescent="0.3">
      <c r="A291" s="53" t="str">
        <f>D291</f>
        <v>КОМПЛЕКТ 37.  МЗ-ЩОА-1.2  |  Альбом 7.1 ЭО (Музей)</v>
      </c>
      <c r="B291" s="54" t="s">
        <v>401</v>
      </c>
      <c r="C291" s="54"/>
      <c r="D291" s="54" t="s">
        <v>401</v>
      </c>
      <c r="E291" s="54"/>
      <c r="F291" s="54"/>
      <c r="G291" s="54"/>
      <c r="H291" s="54" t="s">
        <v>632</v>
      </c>
      <c r="I291" s="54">
        <v>1</v>
      </c>
      <c r="J291" s="2"/>
      <c r="K291" s="2"/>
    </row>
    <row r="292" spans="1:11" ht="54.75" customHeight="1" x14ac:dyDescent="0.25">
      <c r="A292" s="22" t="str">
        <f t="shared" ref="A292:A296" si="73">A291</f>
        <v>КОМПЛЕКТ 37.  МЗ-ЩОА-1.2  |  Альбом 7.1 ЭО (Музей)</v>
      </c>
      <c r="B292" s="22" t="s">
        <v>402</v>
      </c>
      <c r="C292" s="22" t="s">
        <v>92</v>
      </c>
      <c r="D292" s="22" t="s">
        <v>129</v>
      </c>
      <c r="E292" s="21" t="s">
        <v>95</v>
      </c>
      <c r="F292" s="21" t="s">
        <v>95</v>
      </c>
      <c r="G292" s="23">
        <v>0</v>
      </c>
      <c r="H292" s="23" t="s">
        <v>94</v>
      </c>
      <c r="I292" s="23">
        <v>1</v>
      </c>
      <c r="J292" s="22" t="s">
        <v>96</v>
      </c>
      <c r="K292" s="22" t="s">
        <v>312</v>
      </c>
    </row>
    <row r="293" spans="1:11" ht="54.75" customHeight="1" x14ac:dyDescent="0.25">
      <c r="A293" s="25" t="str">
        <f t="shared" si="73"/>
        <v>КОМПЛЕКТ 37.  МЗ-ЩОА-1.2  |  Альбом 7.1 ЭО (Музей)</v>
      </c>
      <c r="B293" s="25" t="s">
        <v>181</v>
      </c>
      <c r="C293" s="25" t="s">
        <v>611</v>
      </c>
      <c r="D293" s="25" t="s">
        <v>604</v>
      </c>
      <c r="E293" s="26">
        <v>36.42</v>
      </c>
      <c r="F293" s="27">
        <f t="shared" ref="F293:F294" si="74">E293*0.3*1.33*590</f>
        <v>8573.6322000000018</v>
      </c>
      <c r="G293" s="27">
        <f>I293*F293</f>
        <v>8573.6322000000018</v>
      </c>
      <c r="H293" s="27" t="s">
        <v>94</v>
      </c>
      <c r="I293" s="27">
        <v>1</v>
      </c>
      <c r="J293" s="25" t="s">
        <v>182</v>
      </c>
      <c r="K293" s="41" t="s">
        <v>312</v>
      </c>
    </row>
    <row r="294" spans="1:11" ht="54.75" customHeight="1" x14ac:dyDescent="0.25">
      <c r="A294" s="29" t="str">
        <f t="shared" si="73"/>
        <v>КОМПЛЕКТ 37.  МЗ-ЩОА-1.2  |  Альбом 7.1 ЭО (Музей)</v>
      </c>
      <c r="B294" s="29" t="s">
        <v>403</v>
      </c>
      <c r="C294" s="29" t="s">
        <v>610</v>
      </c>
      <c r="D294" s="29" t="s">
        <v>609</v>
      </c>
      <c r="E294" s="30">
        <v>8.09</v>
      </c>
      <c r="F294" s="27">
        <f t="shared" si="74"/>
        <v>1904.4669000000001</v>
      </c>
      <c r="G294" s="31">
        <f>I294*F294</f>
        <v>5713.4007000000001</v>
      </c>
      <c r="H294" s="31" t="s">
        <v>94</v>
      </c>
      <c r="I294" s="31">
        <v>3</v>
      </c>
      <c r="J294" s="29"/>
      <c r="K294" s="29" t="s">
        <v>312</v>
      </c>
    </row>
    <row r="295" spans="1:11" ht="54.75" customHeight="1" x14ac:dyDescent="0.25">
      <c r="A295" s="37" t="str">
        <f t="shared" si="73"/>
        <v>КОМПЛЕКТ 37.  МЗ-ЩОА-1.2  |  Альбом 7.1 ЭО (Музей)</v>
      </c>
      <c r="B295" s="37" t="s">
        <v>404</v>
      </c>
      <c r="C295" s="37"/>
      <c r="D295" s="37" t="s">
        <v>124</v>
      </c>
      <c r="E295" s="36" t="s">
        <v>95</v>
      </c>
      <c r="F295" s="38" t="str">
        <f>ПАРАМЕТРЫ!C6&amp;"%"</f>
        <v>12%</v>
      </c>
      <c r="G295" s="39">
        <f>(G293+G294)*ПАРАМЕТРЫ!C6/100</f>
        <v>1714.4439480000001</v>
      </c>
      <c r="H295" s="39" t="s">
        <v>94</v>
      </c>
      <c r="I295" s="39">
        <v>1</v>
      </c>
      <c r="J295" s="37" t="s">
        <v>11</v>
      </c>
      <c r="K295" s="37" t="s">
        <v>312</v>
      </c>
    </row>
    <row r="296" spans="1:11" ht="54.75" customHeight="1" thickBot="1" x14ac:dyDescent="0.3">
      <c r="A296" s="41" t="str">
        <f t="shared" si="73"/>
        <v>КОМПЛЕКТ 37.  МЗ-ЩОА-1.2  |  Альбом 7.1 ЭО (Музей)</v>
      </c>
      <c r="B296" s="41" t="s">
        <v>405</v>
      </c>
      <c r="C296" s="41"/>
      <c r="D296" s="41" t="s">
        <v>126</v>
      </c>
      <c r="E296" s="40" t="s">
        <v>95</v>
      </c>
      <c r="F296" s="42" t="str">
        <f>ПАРАМЕТРЫ!C7&amp;"%"</f>
        <v>15%</v>
      </c>
      <c r="G296" s="43">
        <f>(G293+G294)*ПАРАМЕТРЫ!C7/100</f>
        <v>2143.0549350000006</v>
      </c>
      <c r="H296" s="43" t="s">
        <v>94</v>
      </c>
      <c r="I296" s="43">
        <v>1</v>
      </c>
      <c r="J296" s="41" t="s">
        <v>11</v>
      </c>
      <c r="K296" s="41" t="s">
        <v>312</v>
      </c>
    </row>
    <row r="297" spans="1:11" ht="54.75" customHeight="1" thickBot="1" x14ac:dyDescent="0.3">
      <c r="A297" s="53" t="str">
        <f>D297</f>
        <v>КОМПЛЕКТ 38.  МЗ-ЩОА-2.1  |  Альбом 7.1 ЭО (Музей)</v>
      </c>
      <c r="B297" s="54" t="s">
        <v>406</v>
      </c>
      <c r="C297" s="54"/>
      <c r="D297" s="54" t="s">
        <v>406</v>
      </c>
      <c r="E297" s="54"/>
      <c r="F297" s="54"/>
      <c r="G297" s="54"/>
      <c r="H297" s="54" t="s">
        <v>632</v>
      </c>
      <c r="I297" s="54">
        <v>1</v>
      </c>
      <c r="J297" s="2"/>
      <c r="K297" s="2"/>
    </row>
    <row r="298" spans="1:11" ht="54.75" customHeight="1" x14ac:dyDescent="0.25">
      <c r="A298" s="22" t="str">
        <f t="shared" ref="A298:A302" si="75">A297</f>
        <v>КОМПЛЕКТ 38.  МЗ-ЩОА-2.1  |  Альбом 7.1 ЭО (Музей)</v>
      </c>
      <c r="B298" s="22" t="s">
        <v>407</v>
      </c>
      <c r="C298" s="22" t="s">
        <v>92</v>
      </c>
      <c r="D298" s="22" t="s">
        <v>129</v>
      </c>
      <c r="E298" s="21" t="s">
        <v>95</v>
      </c>
      <c r="F298" s="21" t="s">
        <v>95</v>
      </c>
      <c r="G298" s="23">
        <v>0</v>
      </c>
      <c r="H298" s="23" t="s">
        <v>94</v>
      </c>
      <c r="I298" s="23">
        <v>1</v>
      </c>
      <c r="J298" s="22" t="s">
        <v>96</v>
      </c>
      <c r="K298" s="22" t="s">
        <v>312</v>
      </c>
    </row>
    <row r="299" spans="1:11" ht="54.75" customHeight="1" x14ac:dyDescent="0.25">
      <c r="A299" s="25" t="str">
        <f t="shared" si="75"/>
        <v>КОМПЛЕКТ 38.  МЗ-ЩОА-2.1  |  Альбом 7.1 ЭО (Музей)</v>
      </c>
      <c r="B299" s="25" t="s">
        <v>181</v>
      </c>
      <c r="C299" s="25" t="s">
        <v>611</v>
      </c>
      <c r="D299" s="25" t="s">
        <v>604</v>
      </c>
      <c r="E299" s="26">
        <v>36.42</v>
      </c>
      <c r="F299" s="27">
        <f t="shared" ref="F299:F300" si="76">E299*0.3*1.33*590</f>
        <v>8573.6322000000018</v>
      </c>
      <c r="G299" s="27">
        <f>I299*F299</f>
        <v>8573.6322000000018</v>
      </c>
      <c r="H299" s="27" t="s">
        <v>94</v>
      </c>
      <c r="I299" s="27">
        <v>1</v>
      </c>
      <c r="J299" s="25" t="s">
        <v>182</v>
      </c>
      <c r="K299" s="41" t="s">
        <v>312</v>
      </c>
    </row>
    <row r="300" spans="1:11" ht="54.75" customHeight="1" x14ac:dyDescent="0.25">
      <c r="A300" s="29" t="str">
        <f t="shared" si="75"/>
        <v>КОМПЛЕКТ 38.  МЗ-ЩОА-2.1  |  Альбом 7.1 ЭО (Музей)</v>
      </c>
      <c r="B300" s="29" t="s">
        <v>408</v>
      </c>
      <c r="C300" s="29" t="s">
        <v>610</v>
      </c>
      <c r="D300" s="29" t="s">
        <v>609</v>
      </c>
      <c r="E300" s="30">
        <v>8.09</v>
      </c>
      <c r="F300" s="27">
        <f t="shared" si="76"/>
        <v>1904.4669000000001</v>
      </c>
      <c r="G300" s="31">
        <f>I300*F300</f>
        <v>5713.4007000000001</v>
      </c>
      <c r="H300" s="31" t="s">
        <v>94</v>
      </c>
      <c r="I300" s="31">
        <v>3</v>
      </c>
      <c r="J300" s="29"/>
      <c r="K300" s="29" t="s">
        <v>312</v>
      </c>
    </row>
    <row r="301" spans="1:11" ht="54.75" customHeight="1" x14ac:dyDescent="0.25">
      <c r="A301" s="37" t="str">
        <f t="shared" si="75"/>
        <v>КОМПЛЕКТ 38.  МЗ-ЩОА-2.1  |  Альбом 7.1 ЭО (Музей)</v>
      </c>
      <c r="B301" s="37" t="s">
        <v>409</v>
      </c>
      <c r="C301" s="37"/>
      <c r="D301" s="37" t="s">
        <v>124</v>
      </c>
      <c r="E301" s="36" t="s">
        <v>95</v>
      </c>
      <c r="F301" s="38" t="str">
        <f>ПАРАМЕТРЫ!C6&amp;"%"</f>
        <v>12%</v>
      </c>
      <c r="G301" s="39">
        <f>(G299+G300)*ПАРАМЕТРЫ!C6/100</f>
        <v>1714.4439480000001</v>
      </c>
      <c r="H301" s="39" t="s">
        <v>94</v>
      </c>
      <c r="I301" s="39">
        <v>1</v>
      </c>
      <c r="J301" s="37" t="s">
        <v>11</v>
      </c>
      <c r="K301" s="37" t="s">
        <v>312</v>
      </c>
    </row>
    <row r="302" spans="1:11" ht="54.75" customHeight="1" thickBot="1" x14ac:dyDescent="0.3">
      <c r="A302" s="41" t="str">
        <f t="shared" si="75"/>
        <v>КОМПЛЕКТ 38.  МЗ-ЩОА-2.1  |  Альбом 7.1 ЭО (Музей)</v>
      </c>
      <c r="B302" s="41" t="s">
        <v>410</v>
      </c>
      <c r="C302" s="41"/>
      <c r="D302" s="41" t="s">
        <v>126</v>
      </c>
      <c r="E302" s="40" t="s">
        <v>95</v>
      </c>
      <c r="F302" s="42" t="str">
        <f>ПАРАМЕТРЫ!C7&amp;"%"</f>
        <v>15%</v>
      </c>
      <c r="G302" s="43">
        <f>(G299+G300)*ПАРАМЕТРЫ!C7/100</f>
        <v>2143.0549350000006</v>
      </c>
      <c r="H302" s="43" t="s">
        <v>94</v>
      </c>
      <c r="I302" s="43">
        <v>1</v>
      </c>
      <c r="J302" s="41" t="s">
        <v>11</v>
      </c>
      <c r="K302" s="41" t="s">
        <v>312</v>
      </c>
    </row>
    <row r="303" spans="1:11" ht="54.75" customHeight="1" thickBot="1" x14ac:dyDescent="0.3">
      <c r="A303" s="53" t="str">
        <f>D303</f>
        <v>КОМПЛЕКТ 39.  МЗ-ЩОА-2.2  |  Альбом 7.1 ЭО (Музей)</v>
      </c>
      <c r="B303" s="54" t="s">
        <v>411</v>
      </c>
      <c r="C303" s="54"/>
      <c r="D303" s="54" t="s">
        <v>411</v>
      </c>
      <c r="E303" s="54"/>
      <c r="F303" s="54"/>
      <c r="G303" s="54"/>
      <c r="H303" s="54" t="s">
        <v>632</v>
      </c>
      <c r="I303" s="54">
        <v>1</v>
      </c>
      <c r="J303" s="2"/>
      <c r="K303" s="2"/>
    </row>
    <row r="304" spans="1:11" ht="54.75" customHeight="1" x14ac:dyDescent="0.25">
      <c r="A304" s="22" t="str">
        <f t="shared" ref="A304:A308" si="77">A303</f>
        <v>КОМПЛЕКТ 39.  МЗ-ЩОА-2.2  |  Альбом 7.1 ЭО (Музей)</v>
      </c>
      <c r="B304" s="22" t="s">
        <v>412</v>
      </c>
      <c r="C304" s="22" t="s">
        <v>92</v>
      </c>
      <c r="D304" s="22" t="s">
        <v>129</v>
      </c>
      <c r="E304" s="21" t="s">
        <v>95</v>
      </c>
      <c r="F304" s="21" t="s">
        <v>95</v>
      </c>
      <c r="G304" s="23">
        <v>0</v>
      </c>
      <c r="H304" s="23" t="s">
        <v>94</v>
      </c>
      <c r="I304" s="23">
        <v>1</v>
      </c>
      <c r="J304" s="22" t="s">
        <v>96</v>
      </c>
      <c r="K304" s="22" t="s">
        <v>312</v>
      </c>
    </row>
    <row r="305" spans="1:11" ht="54.75" customHeight="1" x14ac:dyDescent="0.25">
      <c r="A305" s="25" t="str">
        <f t="shared" si="77"/>
        <v>КОМПЛЕКТ 39.  МЗ-ЩОА-2.2  |  Альбом 7.1 ЭО (Музей)</v>
      </c>
      <c r="B305" s="25" t="s">
        <v>181</v>
      </c>
      <c r="C305" s="25" t="s">
        <v>611</v>
      </c>
      <c r="D305" s="25" t="s">
        <v>604</v>
      </c>
      <c r="E305" s="26">
        <v>36.42</v>
      </c>
      <c r="F305" s="27">
        <f t="shared" ref="F305:F306" si="78">E305*0.3*1.33*590</f>
        <v>8573.6322000000018</v>
      </c>
      <c r="G305" s="27">
        <f>I305*F305</f>
        <v>8573.6322000000018</v>
      </c>
      <c r="H305" s="27" t="s">
        <v>94</v>
      </c>
      <c r="I305" s="27">
        <v>1</v>
      </c>
      <c r="J305" s="25" t="s">
        <v>182</v>
      </c>
      <c r="K305" s="41" t="s">
        <v>312</v>
      </c>
    </row>
    <row r="306" spans="1:11" ht="54.75" customHeight="1" x14ac:dyDescent="0.25">
      <c r="A306" s="29" t="str">
        <f t="shared" si="77"/>
        <v>КОМПЛЕКТ 39.  МЗ-ЩОА-2.2  |  Альбом 7.1 ЭО (Музей)</v>
      </c>
      <c r="B306" s="29" t="s">
        <v>413</v>
      </c>
      <c r="C306" s="29" t="s">
        <v>610</v>
      </c>
      <c r="D306" s="29" t="s">
        <v>609</v>
      </c>
      <c r="E306" s="30">
        <v>8.09</v>
      </c>
      <c r="F306" s="27">
        <f t="shared" si="78"/>
        <v>1904.4669000000001</v>
      </c>
      <c r="G306" s="31">
        <f>I306*F306</f>
        <v>3808.9338000000002</v>
      </c>
      <c r="H306" s="31" t="s">
        <v>94</v>
      </c>
      <c r="I306" s="31">
        <v>2</v>
      </c>
      <c r="J306" s="29"/>
      <c r="K306" s="29" t="s">
        <v>312</v>
      </c>
    </row>
    <row r="307" spans="1:11" ht="54.75" customHeight="1" x14ac:dyDescent="0.25">
      <c r="A307" s="37" t="str">
        <f t="shared" si="77"/>
        <v>КОМПЛЕКТ 39.  МЗ-ЩОА-2.2  |  Альбом 7.1 ЭО (Музей)</v>
      </c>
      <c r="B307" s="37" t="s">
        <v>414</v>
      </c>
      <c r="C307" s="37"/>
      <c r="D307" s="37" t="s">
        <v>124</v>
      </c>
      <c r="E307" s="36" t="s">
        <v>95</v>
      </c>
      <c r="F307" s="38" t="str">
        <f>ПАРАМЕТРЫ!C6&amp;"%"</f>
        <v>12%</v>
      </c>
      <c r="G307" s="39">
        <f>(G305+G306)*ПАРАМЕТРЫ!C6/100</f>
        <v>1485.9079200000001</v>
      </c>
      <c r="H307" s="39" t="s">
        <v>94</v>
      </c>
      <c r="I307" s="39">
        <v>1</v>
      </c>
      <c r="J307" s="37" t="s">
        <v>11</v>
      </c>
      <c r="K307" s="37" t="s">
        <v>312</v>
      </c>
    </row>
    <row r="308" spans="1:11" ht="54.75" customHeight="1" thickBot="1" x14ac:dyDescent="0.3">
      <c r="A308" s="41" t="str">
        <f t="shared" si="77"/>
        <v>КОМПЛЕКТ 39.  МЗ-ЩОА-2.2  |  Альбом 7.1 ЭО (Музей)</v>
      </c>
      <c r="B308" s="41" t="s">
        <v>415</v>
      </c>
      <c r="C308" s="41"/>
      <c r="D308" s="41" t="s">
        <v>126</v>
      </c>
      <c r="E308" s="40" t="s">
        <v>95</v>
      </c>
      <c r="F308" s="42" t="str">
        <f>ПАРАМЕТРЫ!C7&amp;"%"</f>
        <v>15%</v>
      </c>
      <c r="G308" s="43">
        <f>(G305+G306)*ПАРАМЕТРЫ!C7/100</f>
        <v>1857.3849000000005</v>
      </c>
      <c r="H308" s="43" t="s">
        <v>94</v>
      </c>
      <c r="I308" s="43">
        <v>1</v>
      </c>
      <c r="J308" s="41" t="s">
        <v>11</v>
      </c>
      <c r="K308" s="41" t="s">
        <v>312</v>
      </c>
    </row>
    <row r="309" spans="1:11" ht="54.75" customHeight="1" thickBot="1" x14ac:dyDescent="0.3">
      <c r="A309" s="53" t="str">
        <f>D309</f>
        <v>КОМПЛЕКТ 40.  МЗ-ЩОА-3.1  |  Альбом 7.1 ЭО (Музей)</v>
      </c>
      <c r="B309" s="54" t="s">
        <v>416</v>
      </c>
      <c r="C309" s="54"/>
      <c r="D309" s="54" t="s">
        <v>416</v>
      </c>
      <c r="E309" s="54"/>
      <c r="F309" s="54"/>
      <c r="G309" s="54"/>
      <c r="H309" s="54" t="s">
        <v>632</v>
      </c>
      <c r="I309" s="54">
        <v>1</v>
      </c>
      <c r="J309" s="2"/>
      <c r="K309" s="2"/>
    </row>
    <row r="310" spans="1:11" ht="54.75" customHeight="1" x14ac:dyDescent="0.25">
      <c r="A310" s="22" t="str">
        <f t="shared" ref="A310:A314" si="79">A309</f>
        <v>КОМПЛЕКТ 40.  МЗ-ЩОА-3.1  |  Альбом 7.1 ЭО (Музей)</v>
      </c>
      <c r="B310" s="22" t="s">
        <v>417</v>
      </c>
      <c r="C310" s="22" t="s">
        <v>92</v>
      </c>
      <c r="D310" s="22" t="s">
        <v>129</v>
      </c>
      <c r="E310" s="21" t="s">
        <v>95</v>
      </c>
      <c r="F310" s="21" t="s">
        <v>95</v>
      </c>
      <c r="G310" s="23">
        <v>0</v>
      </c>
      <c r="H310" s="23" t="s">
        <v>94</v>
      </c>
      <c r="I310" s="23">
        <v>1</v>
      </c>
      <c r="J310" s="22" t="s">
        <v>96</v>
      </c>
      <c r="K310" s="22" t="s">
        <v>312</v>
      </c>
    </row>
    <row r="311" spans="1:11" ht="54.75" customHeight="1" x14ac:dyDescent="0.25">
      <c r="A311" s="25" t="str">
        <f t="shared" si="79"/>
        <v>КОМПЛЕКТ 40.  МЗ-ЩОА-3.1  |  Альбом 7.1 ЭО (Музей)</v>
      </c>
      <c r="B311" s="25" t="s">
        <v>181</v>
      </c>
      <c r="C311" s="25" t="s">
        <v>611</v>
      </c>
      <c r="D311" s="25" t="s">
        <v>604</v>
      </c>
      <c r="E311" s="26">
        <v>36.42</v>
      </c>
      <c r="F311" s="27">
        <f t="shared" ref="F311:F312" si="80">E311*0.3*1.33*590</f>
        <v>8573.6322000000018</v>
      </c>
      <c r="G311" s="27">
        <f>I311*F311</f>
        <v>8573.6322000000018</v>
      </c>
      <c r="H311" s="27" t="s">
        <v>94</v>
      </c>
      <c r="I311" s="27">
        <v>1</v>
      </c>
      <c r="J311" s="25" t="s">
        <v>182</v>
      </c>
      <c r="K311" s="41" t="s">
        <v>312</v>
      </c>
    </row>
    <row r="312" spans="1:11" ht="54.75" customHeight="1" x14ac:dyDescent="0.25">
      <c r="A312" s="29" t="str">
        <f t="shared" si="79"/>
        <v>КОМПЛЕКТ 40.  МЗ-ЩОА-3.1  |  Альбом 7.1 ЭО (Музей)</v>
      </c>
      <c r="B312" s="29" t="s">
        <v>418</v>
      </c>
      <c r="C312" s="29" t="s">
        <v>610</v>
      </c>
      <c r="D312" s="29" t="s">
        <v>609</v>
      </c>
      <c r="E312" s="30">
        <v>8.09</v>
      </c>
      <c r="F312" s="27">
        <f t="shared" si="80"/>
        <v>1904.4669000000001</v>
      </c>
      <c r="G312" s="31">
        <f>I312*F312</f>
        <v>5713.4007000000001</v>
      </c>
      <c r="H312" s="31" t="s">
        <v>94</v>
      </c>
      <c r="I312" s="31">
        <v>3</v>
      </c>
      <c r="J312" s="29"/>
      <c r="K312" s="29" t="s">
        <v>312</v>
      </c>
    </row>
    <row r="313" spans="1:11" ht="54.75" customHeight="1" x14ac:dyDescent="0.25">
      <c r="A313" s="37" t="str">
        <f t="shared" si="79"/>
        <v>КОМПЛЕКТ 40.  МЗ-ЩОА-3.1  |  Альбом 7.1 ЭО (Музей)</v>
      </c>
      <c r="B313" s="37" t="s">
        <v>419</v>
      </c>
      <c r="C313" s="37"/>
      <c r="D313" s="37" t="s">
        <v>124</v>
      </c>
      <c r="E313" s="36" t="s">
        <v>95</v>
      </c>
      <c r="F313" s="38" t="str">
        <f>ПАРАМЕТРЫ!C6&amp;"%"</f>
        <v>12%</v>
      </c>
      <c r="G313" s="39">
        <f>(G311+G312)*ПАРАМЕТРЫ!C6/100</f>
        <v>1714.4439480000001</v>
      </c>
      <c r="H313" s="39" t="s">
        <v>94</v>
      </c>
      <c r="I313" s="39">
        <v>1</v>
      </c>
      <c r="J313" s="37" t="s">
        <v>11</v>
      </c>
      <c r="K313" s="37" t="s">
        <v>312</v>
      </c>
    </row>
    <row r="314" spans="1:11" ht="54.75" customHeight="1" thickBot="1" x14ac:dyDescent="0.3">
      <c r="A314" s="41" t="str">
        <f t="shared" si="79"/>
        <v>КОМПЛЕКТ 40.  МЗ-ЩОА-3.1  |  Альбом 7.1 ЭО (Музей)</v>
      </c>
      <c r="B314" s="41" t="s">
        <v>420</v>
      </c>
      <c r="C314" s="41"/>
      <c r="D314" s="41" t="s">
        <v>126</v>
      </c>
      <c r="E314" s="40" t="s">
        <v>95</v>
      </c>
      <c r="F314" s="42" t="str">
        <f>ПАРАМЕТРЫ!C7&amp;"%"</f>
        <v>15%</v>
      </c>
      <c r="G314" s="43">
        <f>(G311+G312)*ПАРАМЕТРЫ!C7/100</f>
        <v>2143.0549350000006</v>
      </c>
      <c r="H314" s="43" t="s">
        <v>94</v>
      </c>
      <c r="I314" s="43">
        <v>1</v>
      </c>
      <c r="J314" s="41" t="s">
        <v>11</v>
      </c>
      <c r="K314" s="41" t="s">
        <v>312</v>
      </c>
    </row>
    <row r="315" spans="1:11" ht="54.75" customHeight="1" thickBot="1" x14ac:dyDescent="0.3">
      <c r="A315" s="53" t="str">
        <f>D315</f>
        <v>КОМПЛЕКТ 41.  МЗ-ЩОА-3.2  |  Альбом 7.1 ЭО (Музей)</v>
      </c>
      <c r="B315" s="54" t="s">
        <v>421</v>
      </c>
      <c r="C315" s="54"/>
      <c r="D315" s="54" t="s">
        <v>421</v>
      </c>
      <c r="E315" s="54"/>
      <c r="F315" s="54"/>
      <c r="G315" s="54"/>
      <c r="H315" s="54" t="s">
        <v>632</v>
      </c>
      <c r="I315" s="54">
        <v>1</v>
      </c>
      <c r="J315" s="2"/>
      <c r="K315" s="2"/>
    </row>
    <row r="316" spans="1:11" ht="54.75" customHeight="1" x14ac:dyDescent="0.25">
      <c r="A316" s="22" t="str">
        <f t="shared" ref="A316:A320" si="81">A315</f>
        <v>КОМПЛЕКТ 41.  МЗ-ЩОА-3.2  |  Альбом 7.1 ЭО (Музей)</v>
      </c>
      <c r="B316" s="22" t="s">
        <v>422</v>
      </c>
      <c r="C316" s="22" t="s">
        <v>92</v>
      </c>
      <c r="D316" s="22" t="s">
        <v>129</v>
      </c>
      <c r="E316" s="21" t="s">
        <v>95</v>
      </c>
      <c r="F316" s="21" t="s">
        <v>95</v>
      </c>
      <c r="G316" s="23">
        <v>0</v>
      </c>
      <c r="H316" s="23" t="s">
        <v>94</v>
      </c>
      <c r="I316" s="23">
        <v>1</v>
      </c>
      <c r="J316" s="22" t="s">
        <v>96</v>
      </c>
      <c r="K316" s="22" t="s">
        <v>312</v>
      </c>
    </row>
    <row r="317" spans="1:11" ht="54.75" customHeight="1" x14ac:dyDescent="0.25">
      <c r="A317" s="25" t="str">
        <f t="shared" si="81"/>
        <v>КОМПЛЕКТ 41.  МЗ-ЩОА-3.2  |  Альбом 7.1 ЭО (Музей)</v>
      </c>
      <c r="B317" s="25" t="s">
        <v>181</v>
      </c>
      <c r="C317" s="25" t="s">
        <v>611</v>
      </c>
      <c r="D317" s="25" t="s">
        <v>604</v>
      </c>
      <c r="E317" s="26">
        <v>36.42</v>
      </c>
      <c r="F317" s="27">
        <f t="shared" ref="F317:F318" si="82">E317*0.3*1.33*590</f>
        <v>8573.6322000000018</v>
      </c>
      <c r="G317" s="27">
        <f>I317*F317</f>
        <v>8573.6322000000018</v>
      </c>
      <c r="H317" s="27" t="s">
        <v>94</v>
      </c>
      <c r="I317" s="27">
        <v>1</v>
      </c>
      <c r="J317" s="25" t="s">
        <v>182</v>
      </c>
      <c r="K317" s="41" t="s">
        <v>312</v>
      </c>
    </row>
    <row r="318" spans="1:11" ht="54.75" customHeight="1" x14ac:dyDescent="0.25">
      <c r="A318" s="29" t="str">
        <f t="shared" si="81"/>
        <v>КОМПЛЕКТ 41.  МЗ-ЩОА-3.2  |  Альбом 7.1 ЭО (Музей)</v>
      </c>
      <c r="B318" s="29" t="s">
        <v>423</v>
      </c>
      <c r="C318" s="29" t="s">
        <v>610</v>
      </c>
      <c r="D318" s="29" t="s">
        <v>609</v>
      </c>
      <c r="E318" s="30">
        <v>8.09</v>
      </c>
      <c r="F318" s="27">
        <f t="shared" si="82"/>
        <v>1904.4669000000001</v>
      </c>
      <c r="G318" s="31">
        <f>I318*F318</f>
        <v>3808.9338000000002</v>
      </c>
      <c r="H318" s="31" t="s">
        <v>94</v>
      </c>
      <c r="I318" s="31">
        <v>2</v>
      </c>
      <c r="J318" s="29"/>
      <c r="K318" s="29" t="s">
        <v>312</v>
      </c>
    </row>
    <row r="319" spans="1:11" ht="54.75" customHeight="1" x14ac:dyDescent="0.25">
      <c r="A319" s="37" t="str">
        <f t="shared" si="81"/>
        <v>КОМПЛЕКТ 41.  МЗ-ЩОА-3.2  |  Альбом 7.1 ЭО (Музей)</v>
      </c>
      <c r="B319" s="37" t="s">
        <v>424</v>
      </c>
      <c r="C319" s="37"/>
      <c r="D319" s="37" t="s">
        <v>124</v>
      </c>
      <c r="E319" s="36" t="s">
        <v>95</v>
      </c>
      <c r="F319" s="38" t="str">
        <f>ПАРАМЕТРЫ!C6&amp;"%"</f>
        <v>12%</v>
      </c>
      <c r="G319" s="39">
        <f>(G317+G318)*ПАРАМЕТРЫ!C6/100</f>
        <v>1485.9079200000001</v>
      </c>
      <c r="H319" s="39" t="s">
        <v>94</v>
      </c>
      <c r="I319" s="39">
        <v>1</v>
      </c>
      <c r="J319" s="37" t="s">
        <v>11</v>
      </c>
      <c r="K319" s="37" t="s">
        <v>312</v>
      </c>
    </row>
    <row r="320" spans="1:11" ht="54.75" customHeight="1" thickBot="1" x14ac:dyDescent="0.3">
      <c r="A320" s="41" t="str">
        <f t="shared" si="81"/>
        <v>КОМПЛЕКТ 41.  МЗ-ЩОА-3.2  |  Альбом 7.1 ЭО (Музей)</v>
      </c>
      <c r="B320" s="41" t="s">
        <v>425</v>
      </c>
      <c r="C320" s="41"/>
      <c r="D320" s="41" t="s">
        <v>126</v>
      </c>
      <c r="E320" s="40" t="s">
        <v>95</v>
      </c>
      <c r="F320" s="42" t="str">
        <f>ПАРАМЕТРЫ!C7&amp;"%"</f>
        <v>15%</v>
      </c>
      <c r="G320" s="43">
        <f>(G317+G318)*ПАРАМЕТРЫ!C7/100</f>
        <v>1857.3849000000005</v>
      </c>
      <c r="H320" s="43" t="s">
        <v>94</v>
      </c>
      <c r="I320" s="43">
        <v>1</v>
      </c>
      <c r="J320" s="41" t="s">
        <v>11</v>
      </c>
      <c r="K320" s="41" t="s">
        <v>312</v>
      </c>
    </row>
    <row r="321" spans="1:11" ht="54.75" customHeight="1" thickBot="1" x14ac:dyDescent="0.3">
      <c r="A321" s="53" t="str">
        <f>D321</f>
        <v>КОМПЛЕКТ 42.  МЗ-ЩОА-4.1  |  Альбом 7.1 ЭО (Музей)</v>
      </c>
      <c r="B321" s="54" t="s">
        <v>426</v>
      </c>
      <c r="C321" s="54"/>
      <c r="D321" s="54" t="s">
        <v>426</v>
      </c>
      <c r="E321" s="54"/>
      <c r="F321" s="54"/>
      <c r="G321" s="54"/>
      <c r="H321" s="54" t="s">
        <v>632</v>
      </c>
      <c r="I321" s="54">
        <v>1</v>
      </c>
      <c r="J321" s="2"/>
      <c r="K321" s="2"/>
    </row>
    <row r="322" spans="1:11" ht="54.75" customHeight="1" x14ac:dyDescent="0.25">
      <c r="A322" s="22" t="str">
        <f t="shared" ref="A322:A326" si="83">A321</f>
        <v>КОМПЛЕКТ 42.  МЗ-ЩОА-4.1  |  Альбом 7.1 ЭО (Музей)</v>
      </c>
      <c r="B322" s="22" t="s">
        <v>427</v>
      </c>
      <c r="C322" s="22" t="s">
        <v>92</v>
      </c>
      <c r="D322" s="22" t="s">
        <v>129</v>
      </c>
      <c r="E322" s="21" t="s">
        <v>95</v>
      </c>
      <c r="F322" s="21" t="s">
        <v>95</v>
      </c>
      <c r="G322" s="23">
        <v>0</v>
      </c>
      <c r="H322" s="23" t="s">
        <v>94</v>
      </c>
      <c r="I322" s="23">
        <v>1</v>
      </c>
      <c r="J322" s="22" t="s">
        <v>96</v>
      </c>
      <c r="K322" s="22" t="s">
        <v>312</v>
      </c>
    </row>
    <row r="323" spans="1:11" ht="54.75" customHeight="1" x14ac:dyDescent="0.25">
      <c r="A323" s="25" t="str">
        <f t="shared" si="83"/>
        <v>КОМПЛЕКТ 42.  МЗ-ЩОА-4.1  |  Альбом 7.1 ЭО (Музей)</v>
      </c>
      <c r="B323" s="25" t="s">
        <v>181</v>
      </c>
      <c r="C323" s="25" t="s">
        <v>611</v>
      </c>
      <c r="D323" s="25" t="s">
        <v>604</v>
      </c>
      <c r="E323" s="26">
        <v>36.42</v>
      </c>
      <c r="F323" s="27">
        <f t="shared" ref="F323:F324" si="84">E323*0.3*1.33*590</f>
        <v>8573.6322000000018</v>
      </c>
      <c r="G323" s="27">
        <f>I323*F323</f>
        <v>8573.6322000000018</v>
      </c>
      <c r="H323" s="27" t="s">
        <v>94</v>
      </c>
      <c r="I323" s="27">
        <v>1</v>
      </c>
      <c r="J323" s="25" t="s">
        <v>182</v>
      </c>
      <c r="K323" s="41" t="s">
        <v>312</v>
      </c>
    </row>
    <row r="324" spans="1:11" ht="54.75" customHeight="1" x14ac:dyDescent="0.25">
      <c r="A324" s="29" t="str">
        <f t="shared" si="83"/>
        <v>КОМПЛЕКТ 42.  МЗ-ЩОА-4.1  |  Альбом 7.1 ЭО (Музей)</v>
      </c>
      <c r="B324" s="29" t="s">
        <v>428</v>
      </c>
      <c r="C324" s="29" t="s">
        <v>610</v>
      </c>
      <c r="D324" s="29" t="s">
        <v>609</v>
      </c>
      <c r="E324" s="30">
        <v>8.09</v>
      </c>
      <c r="F324" s="27">
        <f t="shared" si="84"/>
        <v>1904.4669000000001</v>
      </c>
      <c r="G324" s="31">
        <f>I324*F324</f>
        <v>5713.4007000000001</v>
      </c>
      <c r="H324" s="31" t="s">
        <v>94</v>
      </c>
      <c r="I324" s="31">
        <v>3</v>
      </c>
      <c r="J324" s="29"/>
      <c r="K324" s="29" t="s">
        <v>312</v>
      </c>
    </row>
    <row r="325" spans="1:11" ht="54.75" customHeight="1" x14ac:dyDescent="0.25">
      <c r="A325" s="37" t="str">
        <f t="shared" si="83"/>
        <v>КОМПЛЕКТ 42.  МЗ-ЩОА-4.1  |  Альбом 7.1 ЭО (Музей)</v>
      </c>
      <c r="B325" s="37" t="s">
        <v>429</v>
      </c>
      <c r="C325" s="37"/>
      <c r="D325" s="37" t="s">
        <v>124</v>
      </c>
      <c r="E325" s="36" t="s">
        <v>95</v>
      </c>
      <c r="F325" s="38" t="str">
        <f>ПАРАМЕТРЫ!C6&amp;"%"</f>
        <v>12%</v>
      </c>
      <c r="G325" s="39">
        <f>(G323+G324)*ПАРАМЕТРЫ!C6/100</f>
        <v>1714.4439480000001</v>
      </c>
      <c r="H325" s="39" t="s">
        <v>94</v>
      </c>
      <c r="I325" s="39">
        <v>1</v>
      </c>
      <c r="J325" s="37" t="s">
        <v>11</v>
      </c>
      <c r="K325" s="37" t="s">
        <v>312</v>
      </c>
    </row>
    <row r="326" spans="1:11" ht="54.75" customHeight="1" thickBot="1" x14ac:dyDescent="0.3">
      <c r="A326" s="41" t="str">
        <f t="shared" si="83"/>
        <v>КОМПЛЕКТ 42.  МЗ-ЩОА-4.1  |  Альбом 7.1 ЭО (Музей)</v>
      </c>
      <c r="B326" s="41" t="s">
        <v>430</v>
      </c>
      <c r="C326" s="41"/>
      <c r="D326" s="41" t="s">
        <v>126</v>
      </c>
      <c r="E326" s="40" t="s">
        <v>95</v>
      </c>
      <c r="F326" s="42" t="str">
        <f>ПАРАМЕТРЫ!C7&amp;"%"</f>
        <v>15%</v>
      </c>
      <c r="G326" s="43">
        <f>(G323+G324)*ПАРАМЕТРЫ!C7/100</f>
        <v>2143.0549350000006</v>
      </c>
      <c r="H326" s="43" t="s">
        <v>94</v>
      </c>
      <c r="I326" s="43">
        <v>1</v>
      </c>
      <c r="J326" s="41" t="s">
        <v>11</v>
      </c>
      <c r="K326" s="41" t="s">
        <v>312</v>
      </c>
    </row>
    <row r="327" spans="1:11" ht="54.75" customHeight="1" thickBot="1" x14ac:dyDescent="0.3">
      <c r="A327" s="53" t="str">
        <f>D327</f>
        <v>КОМПЛЕКТ 43.  МЗ-ЩОА-4.2  |  Альбом 7.1 ЭО (Музей)</v>
      </c>
      <c r="B327" s="54" t="s">
        <v>431</v>
      </c>
      <c r="C327" s="54"/>
      <c r="D327" s="54" t="s">
        <v>431</v>
      </c>
      <c r="E327" s="54"/>
      <c r="F327" s="54"/>
      <c r="G327" s="54"/>
      <c r="H327" s="54" t="s">
        <v>632</v>
      </c>
      <c r="I327" s="54">
        <v>1</v>
      </c>
      <c r="J327" s="2"/>
      <c r="K327" s="2"/>
    </row>
    <row r="328" spans="1:11" ht="54.75" customHeight="1" x14ac:dyDescent="0.25">
      <c r="A328" s="22" t="str">
        <f t="shared" ref="A328:A333" si="85">A327</f>
        <v>КОМПЛЕКТ 43.  МЗ-ЩОА-4.2  |  Альбом 7.1 ЭО (Музей)</v>
      </c>
      <c r="B328" s="22" t="s">
        <v>432</v>
      </c>
      <c r="C328" s="22" t="s">
        <v>92</v>
      </c>
      <c r="D328" s="22" t="s">
        <v>129</v>
      </c>
      <c r="E328" s="21" t="s">
        <v>95</v>
      </c>
      <c r="F328" s="21" t="s">
        <v>95</v>
      </c>
      <c r="G328" s="23">
        <v>0</v>
      </c>
      <c r="H328" s="23" t="s">
        <v>94</v>
      </c>
      <c r="I328" s="23">
        <v>1</v>
      </c>
      <c r="J328" s="22" t="s">
        <v>96</v>
      </c>
      <c r="K328" s="22" t="s">
        <v>312</v>
      </c>
    </row>
    <row r="329" spans="1:11" ht="54.75" customHeight="1" x14ac:dyDescent="0.25">
      <c r="A329" s="25" t="str">
        <f t="shared" si="85"/>
        <v>КОМПЛЕКТ 43.  МЗ-ЩОА-4.2  |  Альбом 7.1 ЭО (Музей)</v>
      </c>
      <c r="B329" s="25" t="s">
        <v>181</v>
      </c>
      <c r="C329" s="25" t="s">
        <v>611</v>
      </c>
      <c r="D329" s="25" t="s">
        <v>604</v>
      </c>
      <c r="E329" s="26">
        <v>36.42</v>
      </c>
      <c r="F329" s="27">
        <f t="shared" ref="F329:F330" si="86">E329*0.3*1.33*590</f>
        <v>8573.6322000000018</v>
      </c>
      <c r="G329" s="27">
        <f>I329*F329</f>
        <v>8573.6322000000018</v>
      </c>
      <c r="H329" s="27" t="s">
        <v>94</v>
      </c>
      <c r="I329" s="27">
        <v>1</v>
      </c>
      <c r="J329" s="25" t="s">
        <v>182</v>
      </c>
      <c r="K329" s="41" t="s">
        <v>312</v>
      </c>
    </row>
    <row r="330" spans="1:11" ht="54.75" customHeight="1" x14ac:dyDescent="0.25">
      <c r="A330" s="29" t="str">
        <f t="shared" si="85"/>
        <v>КОМПЛЕКТ 43.  МЗ-ЩОА-4.2  |  Альбом 7.1 ЭО (Музей)</v>
      </c>
      <c r="B330" s="29" t="s">
        <v>433</v>
      </c>
      <c r="C330" s="29" t="s">
        <v>610</v>
      </c>
      <c r="D330" s="29" t="s">
        <v>609</v>
      </c>
      <c r="E330" s="30">
        <v>8.09</v>
      </c>
      <c r="F330" s="27">
        <f t="shared" si="86"/>
        <v>1904.4669000000001</v>
      </c>
      <c r="G330" s="31">
        <f>I330*F330</f>
        <v>5713.4007000000001</v>
      </c>
      <c r="H330" s="31" t="s">
        <v>94</v>
      </c>
      <c r="I330" s="31">
        <v>3</v>
      </c>
      <c r="J330" s="29"/>
      <c r="K330" s="29" t="s">
        <v>312</v>
      </c>
    </row>
    <row r="331" spans="1:11" ht="54.75" customHeight="1" x14ac:dyDescent="0.25">
      <c r="A331" s="37" t="str">
        <f t="shared" si="85"/>
        <v>КОМПЛЕКТ 43.  МЗ-ЩОА-4.2  |  Альбом 7.1 ЭО (Музей)</v>
      </c>
      <c r="B331" s="37" t="s">
        <v>434</v>
      </c>
      <c r="C331" s="37"/>
      <c r="D331" s="37" t="s">
        <v>124</v>
      </c>
      <c r="E331" s="36" t="s">
        <v>95</v>
      </c>
      <c r="F331" s="38" t="str">
        <f>ПАРАМЕТРЫ!C6&amp;"%"</f>
        <v>12%</v>
      </c>
      <c r="G331" s="39">
        <f>(G329+G330)*ПАРАМЕТРЫ!C6/100</f>
        <v>1714.4439480000001</v>
      </c>
      <c r="H331" s="39" t="s">
        <v>94</v>
      </c>
      <c r="I331" s="39">
        <v>1</v>
      </c>
      <c r="J331" s="37" t="s">
        <v>11</v>
      </c>
      <c r="K331" s="37" t="s">
        <v>312</v>
      </c>
    </row>
    <row r="332" spans="1:11" ht="54.75" customHeight="1" thickBot="1" x14ac:dyDescent="0.3">
      <c r="A332" s="41" t="str">
        <f t="shared" si="85"/>
        <v>КОМПЛЕКТ 43.  МЗ-ЩОА-4.2  |  Альбом 7.1 ЭО (Музей)</v>
      </c>
      <c r="B332" s="41" t="s">
        <v>435</v>
      </c>
      <c r="C332" s="41"/>
      <c r="D332" s="41" t="s">
        <v>126</v>
      </c>
      <c r="E332" s="40" t="s">
        <v>95</v>
      </c>
      <c r="F332" s="42" t="str">
        <f>ПАРАМЕТРЫ!C7&amp;"%"</f>
        <v>15%</v>
      </c>
      <c r="G332" s="43">
        <f>(G329+G330)*ПАРАМЕТРЫ!C7/100</f>
        <v>2143.0549350000006</v>
      </c>
      <c r="H332" s="43" t="s">
        <v>94</v>
      </c>
      <c r="I332" s="43">
        <v>1</v>
      </c>
      <c r="J332" s="41" t="s">
        <v>11</v>
      </c>
      <c r="K332" s="41" t="s">
        <v>312</v>
      </c>
    </row>
    <row r="333" spans="1:11" ht="54.75" customHeight="1" thickBot="1" x14ac:dyDescent="0.3">
      <c r="A333" s="20" t="str">
        <f t="shared" si="85"/>
        <v>КОМПЛЕКТ 43.  МЗ-ЩОА-4.2  |  Альбом 7.1 ЭО (Музей)</v>
      </c>
      <c r="B333" s="20"/>
      <c r="C333" s="19" t="s">
        <v>436</v>
      </c>
      <c r="D333" s="20"/>
      <c r="E333" s="20"/>
      <c r="F333" s="20"/>
      <c r="G333" s="20"/>
      <c r="H333" s="20"/>
      <c r="I333" s="20"/>
      <c r="J333" s="20"/>
      <c r="K333" s="20"/>
    </row>
    <row r="334" spans="1:11" ht="54.75" customHeight="1" thickBot="1" x14ac:dyDescent="0.3">
      <c r="A334" s="53" t="str">
        <f>D334</f>
        <v>КОМПЛЕКТ 44.  ГЛ-ЩО (ЩРн-24з-0 36 УХЛ3 IP54)  |  Альбом 7.1 ЭО (Галерея)</v>
      </c>
      <c r="B334" s="54" t="s">
        <v>437</v>
      </c>
      <c r="C334" s="54"/>
      <c r="D334" s="54" t="s">
        <v>437</v>
      </c>
      <c r="E334" s="54"/>
      <c r="F334" s="54"/>
      <c r="G334" s="54"/>
      <c r="H334" s="54" t="s">
        <v>632</v>
      </c>
      <c r="I334" s="54">
        <v>1</v>
      </c>
      <c r="J334" s="2"/>
      <c r="K334" s="2"/>
    </row>
    <row r="335" spans="1:11" ht="54.75" customHeight="1" x14ac:dyDescent="0.25">
      <c r="A335" s="22" t="str">
        <f t="shared" ref="A335:A342" si="87">A334</f>
        <v>КОМПЛЕКТ 44.  ГЛ-ЩО (ЩРн-24з-0 36 УХЛ3 IP54)  |  Альбом 7.1 ЭО (Галерея)</v>
      </c>
      <c r="B335" s="22" t="s">
        <v>438</v>
      </c>
      <c r="C335" s="22" t="s">
        <v>92</v>
      </c>
      <c r="D335" s="22" t="s">
        <v>146</v>
      </c>
      <c r="E335" s="21" t="s">
        <v>95</v>
      </c>
      <c r="F335" s="21" t="s">
        <v>95</v>
      </c>
      <c r="G335" s="23">
        <v>0</v>
      </c>
      <c r="H335" s="23" t="s">
        <v>94</v>
      </c>
      <c r="I335" s="23">
        <v>1</v>
      </c>
      <c r="J335" s="22" t="s">
        <v>96</v>
      </c>
      <c r="K335" s="22" t="s">
        <v>439</v>
      </c>
    </row>
    <row r="336" spans="1:11" ht="54.75" customHeight="1" x14ac:dyDescent="0.25">
      <c r="A336" s="25" t="str">
        <f t="shared" si="87"/>
        <v>КОМПЛЕКТ 44.  ГЛ-ЩО (ЩРн-24з-0 36 УХЛ3 IP54)  |  Альбом 7.1 ЭО (Галерея)</v>
      </c>
      <c r="B336" s="25" t="s">
        <v>181</v>
      </c>
      <c r="C336" s="25" t="s">
        <v>611</v>
      </c>
      <c r="D336" s="25" t="s">
        <v>604</v>
      </c>
      <c r="E336" s="26">
        <v>36.42</v>
      </c>
      <c r="F336" s="27">
        <f t="shared" ref="F336:F339" si="88">E336*0.3*1.33*590</f>
        <v>8573.6322000000018</v>
      </c>
      <c r="G336" s="27">
        <f>I336*F336</f>
        <v>8573.6322000000018</v>
      </c>
      <c r="H336" s="27" t="s">
        <v>94</v>
      </c>
      <c r="I336" s="27">
        <v>1</v>
      </c>
      <c r="J336" s="25" t="s">
        <v>182</v>
      </c>
      <c r="K336" s="41" t="s">
        <v>312</v>
      </c>
    </row>
    <row r="337" spans="1:11" ht="54.75" customHeight="1" x14ac:dyDescent="0.25">
      <c r="A337" s="29" t="str">
        <f t="shared" si="87"/>
        <v>КОМПЛЕКТ 44.  ГЛ-ЩО (ЩРн-24з-0 36 УХЛ3 IP54)  |  Альбом 7.1 ЭО (Галерея)</v>
      </c>
      <c r="B337" s="29" t="s">
        <v>440</v>
      </c>
      <c r="C337" s="29" t="s">
        <v>610</v>
      </c>
      <c r="D337" s="29" t="s">
        <v>609</v>
      </c>
      <c r="E337" s="30">
        <v>8.09</v>
      </c>
      <c r="F337" s="27">
        <f t="shared" si="88"/>
        <v>1904.4669000000001</v>
      </c>
      <c r="G337" s="31">
        <f>I337*F337</f>
        <v>32375.937300000001</v>
      </c>
      <c r="H337" s="31" t="s">
        <v>94</v>
      </c>
      <c r="I337" s="31">
        <v>17</v>
      </c>
      <c r="J337" s="29"/>
      <c r="K337" s="29" t="s">
        <v>439</v>
      </c>
    </row>
    <row r="338" spans="1:11" ht="54.75" customHeight="1" x14ac:dyDescent="0.25">
      <c r="A338" s="25" t="str">
        <f t="shared" si="87"/>
        <v>КОМПЛЕКТ 44.  ГЛ-ЩО (ЩРн-24з-0 36 УХЛ3 IP54)  |  Альбом 7.1 ЭО (Галерея)</v>
      </c>
      <c r="B338" s="25" t="s">
        <v>441</v>
      </c>
      <c r="C338" s="25" t="s">
        <v>153</v>
      </c>
      <c r="D338" s="25" t="s">
        <v>152</v>
      </c>
      <c r="E338" s="26">
        <f>ПАРАМЕТРЫ!C23</f>
        <v>87.63</v>
      </c>
      <c r="F338" s="27">
        <f t="shared" si="88"/>
        <v>20628.978300000002</v>
      </c>
      <c r="G338" s="27">
        <f>I338*F338</f>
        <v>0</v>
      </c>
      <c r="H338" s="27" t="s">
        <v>94</v>
      </c>
      <c r="I338" s="27">
        <v>0</v>
      </c>
      <c r="J338" s="25"/>
      <c r="K338" s="25" t="s">
        <v>439</v>
      </c>
    </row>
    <row r="339" spans="1:11" ht="54.75" customHeight="1" x14ac:dyDescent="0.25">
      <c r="A339" s="29" t="str">
        <f t="shared" si="87"/>
        <v>КОМПЛЕКТ 44.  ГЛ-ЩО (ЩРн-24з-0 36 УХЛ3 IP54)  |  Альбом 7.1 ЭО (Галерея)</v>
      </c>
      <c r="B339" s="29" t="s">
        <v>442</v>
      </c>
      <c r="C339" s="29" t="s">
        <v>136</v>
      </c>
      <c r="D339" s="29" t="s">
        <v>135</v>
      </c>
      <c r="E339" s="30">
        <f>ПАРАМЕТРЫ!C33</f>
        <v>41.58</v>
      </c>
      <c r="F339" s="27">
        <f t="shared" si="88"/>
        <v>9788.3477999999996</v>
      </c>
      <c r="G339" s="31">
        <f>I339*F339</f>
        <v>107671.82579999999</v>
      </c>
      <c r="H339" s="31" t="s">
        <v>94</v>
      </c>
      <c r="I339" s="31">
        <v>11</v>
      </c>
      <c r="J339" s="29"/>
      <c r="K339" s="29" t="s">
        <v>439</v>
      </c>
    </row>
    <row r="340" spans="1:11" ht="54.75" customHeight="1" x14ac:dyDescent="0.25">
      <c r="A340" s="25" t="str">
        <f t="shared" si="87"/>
        <v>КОМПЛЕКТ 44.  ГЛ-ЩО (ЩРн-24з-0 36 УХЛ3 IP54)  |  Альбом 7.1 ЭО (Галерея)</v>
      </c>
      <c r="B340" s="25" t="s">
        <v>443</v>
      </c>
      <c r="C340" s="25" t="s">
        <v>95</v>
      </c>
      <c r="D340" s="25" t="s">
        <v>206</v>
      </c>
      <c r="E340" s="26">
        <f>ПАРАМЕТРЫ!C37</f>
        <v>1.5</v>
      </c>
      <c r="F340" s="27">
        <f>ПАРАМЕТРЫ!D37</f>
        <v>353.11499999999995</v>
      </c>
      <c r="G340" s="27">
        <f>I340*F340</f>
        <v>3884.2649999999994</v>
      </c>
      <c r="H340" s="27" t="s">
        <v>94</v>
      </c>
      <c r="I340" s="27">
        <v>11</v>
      </c>
      <c r="J340" s="25"/>
      <c r="K340" s="25" t="s">
        <v>439</v>
      </c>
    </row>
    <row r="341" spans="1:11" ht="54.75" customHeight="1" x14ac:dyDescent="0.25">
      <c r="A341" s="37" t="str">
        <f t="shared" si="87"/>
        <v>КОМПЛЕКТ 44.  ГЛ-ЩО (ЩРн-24з-0 36 УХЛ3 IP54)  |  Альбом 7.1 ЭО (Галерея)</v>
      </c>
      <c r="B341" s="37" t="s">
        <v>444</v>
      </c>
      <c r="C341" s="37"/>
      <c r="D341" s="37" t="s">
        <v>124</v>
      </c>
      <c r="E341" s="36" t="s">
        <v>95</v>
      </c>
      <c r="F341" s="38" t="str">
        <f>ПАРАМЕТРЫ!C6&amp;"%"</f>
        <v>12%</v>
      </c>
      <c r="G341" s="39">
        <f>(G336+G337+G338+G339+G340)*ПАРАМЕТРЫ!C6/100</f>
        <v>18300.679236</v>
      </c>
      <c r="H341" s="39" t="s">
        <v>94</v>
      </c>
      <c r="I341" s="39">
        <v>1</v>
      </c>
      <c r="J341" s="37" t="s">
        <v>11</v>
      </c>
      <c r="K341" s="37" t="s">
        <v>439</v>
      </c>
    </row>
    <row r="342" spans="1:11" ht="54.75" customHeight="1" thickBot="1" x14ac:dyDescent="0.3">
      <c r="A342" s="41" t="str">
        <f t="shared" si="87"/>
        <v>КОМПЛЕКТ 44.  ГЛ-ЩО (ЩРн-24з-0 36 УХЛ3 IP54)  |  Альбом 7.1 ЭО (Галерея)</v>
      </c>
      <c r="B342" s="41" t="s">
        <v>445</v>
      </c>
      <c r="C342" s="41"/>
      <c r="D342" s="41" t="s">
        <v>126</v>
      </c>
      <c r="E342" s="40" t="s">
        <v>95</v>
      </c>
      <c r="F342" s="42" t="str">
        <f>ПАРАМЕТРЫ!C7&amp;"%"</f>
        <v>15%</v>
      </c>
      <c r="G342" s="43">
        <f>(G336+G337+G338+G339+G340)*ПАРАМЕТРЫ!C7/100</f>
        <v>22875.849044999995</v>
      </c>
      <c r="H342" s="43" t="s">
        <v>94</v>
      </c>
      <c r="I342" s="43">
        <v>1</v>
      </c>
      <c r="J342" s="41" t="s">
        <v>11</v>
      </c>
      <c r="K342" s="41" t="s">
        <v>439</v>
      </c>
    </row>
    <row r="343" spans="1:11" ht="54.75" customHeight="1" thickBot="1" x14ac:dyDescent="0.3">
      <c r="A343" s="53" t="str">
        <f>D343</f>
        <v>КОМПЛЕКТ 45.  ГЛ-ЩОА (ЩРн-12з-0 36 УХЛ3 IP54)  |  Альбом 7.1 ЭО (Галерея)</v>
      </c>
      <c r="B343" s="54" t="s">
        <v>446</v>
      </c>
      <c r="C343" s="54"/>
      <c r="D343" s="54" t="s">
        <v>446</v>
      </c>
      <c r="E343" s="54"/>
      <c r="F343" s="54"/>
      <c r="G343" s="54"/>
      <c r="H343" s="54" t="s">
        <v>632</v>
      </c>
      <c r="I343" s="54">
        <v>1</v>
      </c>
      <c r="J343" s="2"/>
      <c r="K343" s="2"/>
    </row>
    <row r="344" spans="1:11" ht="54.75" customHeight="1" x14ac:dyDescent="0.25">
      <c r="A344" s="22" t="str">
        <f t="shared" ref="A344:A349" si="89">A343</f>
        <v>КОМПЛЕКТ 45.  ГЛ-ЩОА (ЩРн-12з-0 36 УХЛ3 IP54)  |  Альбом 7.1 ЭО (Галерея)</v>
      </c>
      <c r="B344" s="22" t="s">
        <v>447</v>
      </c>
      <c r="C344" s="22" t="s">
        <v>92</v>
      </c>
      <c r="D344" s="22" t="s">
        <v>129</v>
      </c>
      <c r="E344" s="21" t="s">
        <v>95</v>
      </c>
      <c r="F344" s="21" t="s">
        <v>95</v>
      </c>
      <c r="G344" s="23">
        <v>0</v>
      </c>
      <c r="H344" s="23" t="s">
        <v>94</v>
      </c>
      <c r="I344" s="23">
        <v>1</v>
      </c>
      <c r="J344" s="22" t="s">
        <v>96</v>
      </c>
      <c r="K344" s="22" t="s">
        <v>439</v>
      </c>
    </row>
    <row r="345" spans="1:11" ht="54.75" customHeight="1" x14ac:dyDescent="0.25">
      <c r="A345" s="25" t="str">
        <f t="shared" si="89"/>
        <v>КОМПЛЕКТ 45.  ГЛ-ЩОА (ЩРн-12з-0 36 УХЛ3 IP54)  |  Альбом 7.1 ЭО (Галерея)</v>
      </c>
      <c r="B345" s="25" t="s">
        <v>181</v>
      </c>
      <c r="C345" s="25" t="s">
        <v>611</v>
      </c>
      <c r="D345" s="25" t="s">
        <v>604</v>
      </c>
      <c r="E345" s="26">
        <v>36.42</v>
      </c>
      <c r="F345" s="27">
        <f t="shared" ref="F345:F346" si="90">E345*0.3*1.33*590</f>
        <v>8573.6322000000018</v>
      </c>
      <c r="G345" s="27">
        <f>I345*F345</f>
        <v>8573.6322000000018</v>
      </c>
      <c r="H345" s="27" t="s">
        <v>94</v>
      </c>
      <c r="I345" s="27">
        <v>1</v>
      </c>
      <c r="J345" s="25" t="s">
        <v>182</v>
      </c>
      <c r="K345" s="41" t="s">
        <v>312</v>
      </c>
    </row>
    <row r="346" spans="1:11" ht="54.75" customHeight="1" x14ac:dyDescent="0.25">
      <c r="A346" s="29" t="str">
        <f t="shared" si="89"/>
        <v>КОМПЛЕКТ 45.  ГЛ-ЩОА (ЩРн-12з-0 36 УХЛ3 IP54)  |  Альбом 7.1 ЭО (Галерея)</v>
      </c>
      <c r="B346" s="29" t="s">
        <v>448</v>
      </c>
      <c r="C346" s="29" t="s">
        <v>610</v>
      </c>
      <c r="D346" s="29" t="s">
        <v>609</v>
      </c>
      <c r="E346" s="30">
        <v>8.09</v>
      </c>
      <c r="F346" s="27">
        <f t="shared" si="90"/>
        <v>1904.4669000000001</v>
      </c>
      <c r="G346" s="31">
        <f>I346*F346</f>
        <v>9522.3345000000008</v>
      </c>
      <c r="H346" s="31" t="s">
        <v>94</v>
      </c>
      <c r="I346" s="31">
        <v>5</v>
      </c>
      <c r="J346" s="29"/>
      <c r="K346" s="29" t="s">
        <v>439</v>
      </c>
    </row>
    <row r="347" spans="1:11" ht="54.75" customHeight="1" x14ac:dyDescent="0.25">
      <c r="A347" s="37" t="str">
        <f t="shared" si="89"/>
        <v>КОМПЛЕКТ 45.  ГЛ-ЩОА (ЩРн-12з-0 36 УХЛ3 IP54)  |  Альбом 7.1 ЭО (Галерея)</v>
      </c>
      <c r="B347" s="37" t="s">
        <v>449</v>
      </c>
      <c r="C347" s="37"/>
      <c r="D347" s="37" t="s">
        <v>124</v>
      </c>
      <c r="E347" s="36" t="s">
        <v>95</v>
      </c>
      <c r="F347" s="38" t="str">
        <f>ПАРАМЕТРЫ!C6&amp;"%"</f>
        <v>12%</v>
      </c>
      <c r="G347" s="39">
        <f>(G345+G346)*ПАРАМЕТРЫ!C6/100</f>
        <v>2171.5160040000005</v>
      </c>
      <c r="H347" s="39" t="s">
        <v>94</v>
      </c>
      <c r="I347" s="39">
        <v>1</v>
      </c>
      <c r="J347" s="37" t="s">
        <v>11</v>
      </c>
      <c r="K347" s="37" t="s">
        <v>439</v>
      </c>
    </row>
    <row r="348" spans="1:11" ht="54.75" customHeight="1" thickBot="1" x14ac:dyDescent="0.3">
      <c r="A348" s="41" t="str">
        <f t="shared" si="89"/>
        <v>КОМПЛЕКТ 45.  ГЛ-ЩОА (ЩРн-12з-0 36 УХЛ3 IP54)  |  Альбом 7.1 ЭО (Галерея)</v>
      </c>
      <c r="B348" s="41" t="s">
        <v>450</v>
      </c>
      <c r="C348" s="41"/>
      <c r="D348" s="41" t="s">
        <v>126</v>
      </c>
      <c r="E348" s="40" t="s">
        <v>95</v>
      </c>
      <c r="F348" s="42" t="str">
        <f>ПАРАМЕТРЫ!C7&amp;"%"</f>
        <v>15%</v>
      </c>
      <c r="G348" s="43">
        <f>(G345+G346)*ПАРАМЕТРЫ!C7/100</f>
        <v>2714.3950050000008</v>
      </c>
      <c r="H348" s="43" t="s">
        <v>94</v>
      </c>
      <c r="I348" s="43">
        <v>1</v>
      </c>
      <c r="J348" s="41" t="s">
        <v>11</v>
      </c>
      <c r="K348" s="41" t="s">
        <v>439</v>
      </c>
    </row>
    <row r="349" spans="1:11" ht="54.75" customHeight="1" thickBot="1" x14ac:dyDescent="0.3">
      <c r="A349" s="20" t="str">
        <f t="shared" si="89"/>
        <v>КОМПЛЕКТ 45.  ГЛ-ЩОА (ЩРн-12з-0 36 УХЛ3 IP54)  |  Альбом 7.1 ЭО (Галерея)</v>
      </c>
      <c r="B349" s="20"/>
      <c r="C349" s="19" t="s">
        <v>451</v>
      </c>
      <c r="D349" s="20"/>
      <c r="E349" s="20"/>
      <c r="F349" s="20"/>
      <c r="G349" s="20"/>
      <c r="H349" s="20"/>
      <c r="I349" s="20"/>
      <c r="J349" s="20"/>
      <c r="K349" s="20"/>
    </row>
    <row r="350" spans="1:11" ht="54.75" customHeight="1" thickBot="1" x14ac:dyDescent="0.3">
      <c r="A350" s="53" t="str">
        <f>D350</f>
        <v>КОМПЛЕКТ 46.  ЯУО (ЯУО9601-3474-IP65)  |  Альбом 3.4 ЭН (Наружное освещение)</v>
      </c>
      <c r="B350" s="54" t="s">
        <v>452</v>
      </c>
      <c r="C350" s="54"/>
      <c r="D350" s="54" t="s">
        <v>452</v>
      </c>
      <c r="E350" s="54"/>
      <c r="F350" s="54"/>
      <c r="G350" s="54"/>
      <c r="H350" s="54" t="s">
        <v>632</v>
      </c>
      <c r="I350" s="54">
        <v>1</v>
      </c>
      <c r="J350" s="2"/>
      <c r="K350" s="2"/>
    </row>
    <row r="351" spans="1:11" ht="54.75" customHeight="1" x14ac:dyDescent="0.25">
      <c r="A351" s="22" t="str">
        <f t="shared" ref="A351:A368" si="91">A350</f>
        <v>КОМПЛЕКТ 46.  ЯУО (ЯУО9601-3474-IP65)  |  Альбом 3.4 ЭН (Наружное освещение)</v>
      </c>
      <c r="B351" s="22" t="s">
        <v>453</v>
      </c>
      <c r="C351" s="22" t="s">
        <v>92</v>
      </c>
      <c r="D351" s="22" t="s">
        <v>454</v>
      </c>
      <c r="E351" s="21" t="s">
        <v>95</v>
      </c>
      <c r="F351" s="21" t="s">
        <v>95</v>
      </c>
      <c r="G351" s="23">
        <v>0</v>
      </c>
      <c r="H351" s="23" t="s">
        <v>94</v>
      </c>
      <c r="I351" s="23">
        <v>1</v>
      </c>
      <c r="J351" s="22" t="s">
        <v>96</v>
      </c>
      <c r="K351" s="22" t="s">
        <v>455</v>
      </c>
    </row>
    <row r="352" spans="1:11" ht="54.75" customHeight="1" x14ac:dyDescent="0.25">
      <c r="A352" s="25" t="str">
        <f t="shared" si="91"/>
        <v>КОМПЛЕКТ 46.  ЯУО (ЯУО9601-3474-IP65)  |  Альбом 3.4 ЭН (Наружное освещение)</v>
      </c>
      <c r="B352" s="25" t="s">
        <v>456</v>
      </c>
      <c r="C352" s="25" t="s">
        <v>616</v>
      </c>
      <c r="D352" s="25" t="s">
        <v>615</v>
      </c>
      <c r="E352" s="26">
        <v>45.54</v>
      </c>
      <c r="F352" s="27">
        <f t="shared" ref="F352:F364" si="92">E352*0.3*1.33*590</f>
        <v>10720.571399999999</v>
      </c>
      <c r="G352" s="27">
        <f t="shared" ref="G352:G365" si="93">I352*F352</f>
        <v>10720.571399999999</v>
      </c>
      <c r="H352" s="27" t="s">
        <v>94</v>
      </c>
      <c r="I352" s="27">
        <v>1</v>
      </c>
      <c r="J352" s="25" t="s">
        <v>457</v>
      </c>
      <c r="K352" s="25" t="s">
        <v>455</v>
      </c>
    </row>
    <row r="353" spans="1:12" ht="54.75" customHeight="1" x14ac:dyDescent="0.25">
      <c r="A353" s="29" t="str">
        <f t="shared" si="91"/>
        <v>КОМПЛЕКТ 46.  ЯУО (ЯУО9601-3474-IP65)  |  Альбом 3.4 ЭН (Наружное освещение)</v>
      </c>
      <c r="B353" s="29" t="s">
        <v>458</v>
      </c>
      <c r="C353" s="29" t="s">
        <v>606</v>
      </c>
      <c r="D353" s="29" t="s">
        <v>605</v>
      </c>
      <c r="E353" s="30">
        <v>36.42</v>
      </c>
      <c r="F353" s="27">
        <f t="shared" si="92"/>
        <v>8573.6322000000018</v>
      </c>
      <c r="G353" s="31">
        <f t="shared" si="93"/>
        <v>17147.264400000004</v>
      </c>
      <c r="H353" s="31" t="s">
        <v>94</v>
      </c>
      <c r="I353" s="31">
        <v>2</v>
      </c>
      <c r="J353" s="29" t="s">
        <v>459</v>
      </c>
      <c r="K353" s="29" t="s">
        <v>455</v>
      </c>
    </row>
    <row r="354" spans="1:12" ht="54.75" customHeight="1" x14ac:dyDescent="0.25">
      <c r="A354" s="25" t="str">
        <f t="shared" si="91"/>
        <v>КОМПЛЕКТ 46.  ЯУО (ЯУО9601-3474-IP65)  |  Альбом 3.4 ЭН (Наружное освещение)</v>
      </c>
      <c r="B354" s="25" t="s">
        <v>460</v>
      </c>
      <c r="C354" s="25" t="s">
        <v>462</v>
      </c>
      <c r="D354" s="25" t="s">
        <v>461</v>
      </c>
      <c r="E354" s="26">
        <f>ПАРАМЕТРЫ!C17</f>
        <v>48.51</v>
      </c>
      <c r="F354" s="27">
        <f t="shared" si="92"/>
        <v>11419.739100000001</v>
      </c>
      <c r="G354" s="27">
        <f t="shared" si="93"/>
        <v>57098.695500000002</v>
      </c>
      <c r="H354" s="27" t="s">
        <v>94</v>
      </c>
      <c r="I354" s="27">
        <v>5</v>
      </c>
      <c r="J354" s="25" t="s">
        <v>463</v>
      </c>
      <c r="K354" s="25" t="s">
        <v>455</v>
      </c>
    </row>
    <row r="355" spans="1:12" ht="54.75" customHeight="1" x14ac:dyDescent="0.25">
      <c r="A355" s="29" t="str">
        <f t="shared" si="91"/>
        <v>КОМПЛЕКТ 46.  ЯУО (ЯУО9601-3474-IP65)  |  Альбом 3.4 ЭН (Наружное освещение)</v>
      </c>
      <c r="B355" s="29" t="s">
        <v>464</v>
      </c>
      <c r="C355" s="29" t="s">
        <v>617</v>
      </c>
      <c r="D355" s="29" t="s">
        <v>618</v>
      </c>
      <c r="E355" s="30">
        <f>ПАРАМЕТРЫ!C42</f>
        <v>14.53</v>
      </c>
      <c r="F355" s="27">
        <f t="shared" si="92"/>
        <v>3420.5073000000002</v>
      </c>
      <c r="G355" s="31">
        <f t="shared" si="93"/>
        <v>3420.5073000000002</v>
      </c>
      <c r="H355" s="31" t="s">
        <v>94</v>
      </c>
      <c r="I355" s="31">
        <v>1</v>
      </c>
      <c r="J355" s="29" t="s">
        <v>465</v>
      </c>
      <c r="K355" s="29" t="s">
        <v>455</v>
      </c>
    </row>
    <row r="356" spans="1:12" ht="54.75" customHeight="1" x14ac:dyDescent="0.25">
      <c r="A356" s="29" t="str">
        <f t="shared" si="91"/>
        <v>КОМПЛЕКТ 46.  ЯУО (ЯУО9601-3474-IP65)  |  Альбом 3.4 ЭН (Наружное освещение)</v>
      </c>
      <c r="B356" s="29" t="s">
        <v>442</v>
      </c>
      <c r="C356" s="29" t="s">
        <v>560</v>
      </c>
      <c r="D356" s="29" t="s">
        <v>561</v>
      </c>
      <c r="E356" s="30">
        <f>ПАРАМЕТРЫ!C43</f>
        <v>122.9</v>
      </c>
      <c r="F356" s="27">
        <f t="shared" si="92"/>
        <v>28931.889000000003</v>
      </c>
      <c r="G356" s="31">
        <f t="shared" si="93"/>
        <v>28931.889000000003</v>
      </c>
      <c r="H356" s="31" t="s">
        <v>94</v>
      </c>
      <c r="I356" s="31">
        <v>1</v>
      </c>
      <c r="J356" s="29"/>
      <c r="K356" s="29" t="s">
        <v>455</v>
      </c>
    </row>
    <row r="357" spans="1:12" ht="54.75" customHeight="1" x14ac:dyDescent="0.25">
      <c r="A357" s="29" t="str">
        <f t="shared" si="91"/>
        <v>КОМПЛЕКТ 46.  ЯУО (ЯУО9601-3474-IP65)  |  Альбом 3.4 ЭН (Наружное освещение)</v>
      </c>
      <c r="B357" s="29" t="s">
        <v>442</v>
      </c>
      <c r="C357" s="29" t="s">
        <v>563</v>
      </c>
      <c r="D357" s="29" t="s">
        <v>562</v>
      </c>
      <c r="E357" s="30">
        <f>ПАРАМЕТРЫ!C44</f>
        <v>49.37</v>
      </c>
      <c r="F357" s="27">
        <f t="shared" si="92"/>
        <v>11622.191699999999</v>
      </c>
      <c r="G357" s="31">
        <f t="shared" si="93"/>
        <v>11622.191699999999</v>
      </c>
      <c r="H357" s="31" t="s">
        <v>94</v>
      </c>
      <c r="I357" s="31">
        <v>1</v>
      </c>
      <c r="J357" s="29"/>
      <c r="K357" s="29" t="s">
        <v>455</v>
      </c>
    </row>
    <row r="358" spans="1:12" ht="54.75" customHeight="1" x14ac:dyDescent="0.25">
      <c r="A358" s="29" t="str">
        <f t="shared" si="91"/>
        <v>КОМПЛЕКТ 46.  ЯУО (ЯУО9601-3474-IP65)  |  Альбом 3.4 ЭН (Наружное освещение)</v>
      </c>
      <c r="B358" s="29" t="s">
        <v>442</v>
      </c>
      <c r="C358" s="29" t="s">
        <v>567</v>
      </c>
      <c r="D358" s="29" t="s">
        <v>565</v>
      </c>
      <c r="E358" s="30">
        <f>ПАРАМЕТРЫ!C45</f>
        <v>6.87</v>
      </c>
      <c r="F358" s="27">
        <f t="shared" si="92"/>
        <v>1617.2667000000001</v>
      </c>
      <c r="G358" s="31">
        <f t="shared" si="93"/>
        <v>1617.2667000000001</v>
      </c>
      <c r="H358" s="31" t="s">
        <v>94</v>
      </c>
      <c r="I358" s="31">
        <v>1</v>
      </c>
      <c r="J358" s="29"/>
      <c r="K358" s="29" t="s">
        <v>455</v>
      </c>
    </row>
    <row r="359" spans="1:12" ht="54.75" customHeight="1" x14ac:dyDescent="0.25">
      <c r="A359" s="29" t="str">
        <f t="shared" si="91"/>
        <v>КОМПЛЕКТ 46.  ЯУО (ЯУО9601-3474-IP65)  |  Альбом 3.4 ЭН (Наружное освещение)</v>
      </c>
      <c r="B359" s="29" t="s">
        <v>442</v>
      </c>
      <c r="C359" s="29" t="s">
        <v>571</v>
      </c>
      <c r="D359" s="29" t="s">
        <v>570</v>
      </c>
      <c r="E359" s="30">
        <f>ПАРАМЕТРЫ!C46</f>
        <v>6.25</v>
      </c>
      <c r="F359" s="27">
        <f t="shared" si="92"/>
        <v>1471.3125000000002</v>
      </c>
      <c r="G359" s="31">
        <f t="shared" si="93"/>
        <v>1471.3125000000002</v>
      </c>
      <c r="H359" s="31" t="s">
        <v>94</v>
      </c>
      <c r="I359" s="31">
        <v>1</v>
      </c>
      <c r="J359" s="29"/>
      <c r="K359" s="29" t="s">
        <v>455</v>
      </c>
    </row>
    <row r="360" spans="1:12" ht="54.75" customHeight="1" x14ac:dyDescent="0.25">
      <c r="A360" s="29" t="str">
        <f t="shared" si="91"/>
        <v>КОМПЛЕКТ 46.  ЯУО (ЯУО9601-3474-IP65)  |  Альбом 3.4 ЭН (Наружное освещение)</v>
      </c>
      <c r="B360" s="29" t="s">
        <v>442</v>
      </c>
      <c r="C360" s="29" t="s">
        <v>575</v>
      </c>
      <c r="D360" s="29" t="s">
        <v>574</v>
      </c>
      <c r="E360" s="30">
        <f>ПАРАМЕТРЫ!C47</f>
        <v>6.25</v>
      </c>
      <c r="F360" s="27">
        <f t="shared" si="92"/>
        <v>1471.3125000000002</v>
      </c>
      <c r="G360" s="31">
        <f t="shared" si="93"/>
        <v>1471.3125000000002</v>
      </c>
      <c r="H360" s="31" t="s">
        <v>94</v>
      </c>
      <c r="I360" s="31">
        <v>1</v>
      </c>
      <c r="J360" s="29"/>
      <c r="K360" s="29" t="s">
        <v>455</v>
      </c>
    </row>
    <row r="361" spans="1:12" ht="54.75" customHeight="1" x14ac:dyDescent="0.25">
      <c r="A361" s="29" t="str">
        <f t="shared" si="91"/>
        <v>КОМПЛЕКТ 46.  ЯУО (ЯУО9601-3474-IP65)  |  Альбом 3.4 ЭН (Наружное освещение)</v>
      </c>
      <c r="B361" s="29" t="s">
        <v>442</v>
      </c>
      <c r="C361" s="29" t="s">
        <v>579</v>
      </c>
      <c r="D361" s="29" t="s">
        <v>578</v>
      </c>
      <c r="E361" s="30">
        <f>ПАРАМЕТРЫ!C48</f>
        <v>9.6199999999999992</v>
      </c>
      <c r="F361" s="27">
        <f t="shared" si="92"/>
        <v>2264.6441999999997</v>
      </c>
      <c r="G361" s="31">
        <f t="shared" si="93"/>
        <v>2264.6441999999997</v>
      </c>
      <c r="H361" s="31" t="s">
        <v>94</v>
      </c>
      <c r="I361" s="31">
        <v>1</v>
      </c>
      <c r="J361" s="29"/>
      <c r="K361" s="29" t="s">
        <v>455</v>
      </c>
    </row>
    <row r="362" spans="1:12" ht="54.75" customHeight="1" x14ac:dyDescent="0.25">
      <c r="A362" s="29" t="str">
        <f t="shared" si="91"/>
        <v>КОМПЛЕКТ 46.  ЯУО (ЯУО9601-3474-IP65)  |  Альбом 3.4 ЭН (Наружное освещение)</v>
      </c>
      <c r="B362" s="29" t="s">
        <v>442</v>
      </c>
      <c r="C362" s="29" t="s">
        <v>583</v>
      </c>
      <c r="D362" s="29" t="s">
        <v>582</v>
      </c>
      <c r="E362" s="30">
        <f>ПАРАМЕТРЫ!C49</f>
        <v>87.59</v>
      </c>
      <c r="F362" s="27">
        <f t="shared" si="92"/>
        <v>20619.561900000001</v>
      </c>
      <c r="G362" s="31">
        <f t="shared" si="93"/>
        <v>41239.123800000001</v>
      </c>
      <c r="H362" s="31" t="s">
        <v>94</v>
      </c>
      <c r="I362" s="31">
        <v>2</v>
      </c>
      <c r="J362" s="29"/>
      <c r="K362" s="29" t="s">
        <v>455</v>
      </c>
    </row>
    <row r="363" spans="1:12" ht="54.75" customHeight="1" x14ac:dyDescent="0.25">
      <c r="A363" s="29" t="str">
        <f t="shared" si="91"/>
        <v>КОМПЛЕКТ 46.  ЯУО (ЯУО9601-3474-IP65)  |  Альбом 3.4 ЭН (Наружное освещение)</v>
      </c>
      <c r="B363" s="29" t="s">
        <v>442</v>
      </c>
      <c r="C363" s="29" t="s">
        <v>587</v>
      </c>
      <c r="D363" s="29" t="s">
        <v>586</v>
      </c>
      <c r="E363" s="30">
        <f>ПАРАМЕТРЫ!C50</f>
        <v>332.4</v>
      </c>
      <c r="F363" s="27">
        <f t="shared" si="92"/>
        <v>78250.283999999985</v>
      </c>
      <c r="G363" s="31">
        <f t="shared" si="93"/>
        <v>78250.283999999985</v>
      </c>
      <c r="H363" s="31" t="s">
        <v>94</v>
      </c>
      <c r="I363" s="31">
        <v>1</v>
      </c>
      <c r="J363" s="29"/>
      <c r="K363" s="29" t="s">
        <v>455</v>
      </c>
      <c r="L363" t="s">
        <v>594</v>
      </c>
    </row>
    <row r="364" spans="1:12" ht="54.75" customHeight="1" x14ac:dyDescent="0.25">
      <c r="A364" s="29" t="str">
        <f t="shared" si="91"/>
        <v>КОМПЛЕКТ 46.  ЯУО (ЯУО9601-3474-IP65)  |  Альбом 3.4 ЭН (Наружное освещение)</v>
      </c>
      <c r="B364" s="29" t="s">
        <v>442</v>
      </c>
      <c r="C364" s="29" t="s">
        <v>590</v>
      </c>
      <c r="D364" s="29" t="s">
        <v>589</v>
      </c>
      <c r="E364" s="30">
        <f>ПАРАМЕТРЫ!C51</f>
        <v>136.69999999999999</v>
      </c>
      <c r="F364" s="27">
        <f t="shared" si="92"/>
        <v>32180.547000000002</v>
      </c>
      <c r="G364" s="31">
        <f t="shared" si="93"/>
        <v>32180.547000000002</v>
      </c>
      <c r="H364" s="31" t="s">
        <v>94</v>
      </c>
      <c r="I364" s="31">
        <v>1</v>
      </c>
      <c r="J364" s="29"/>
      <c r="K364" s="29" t="s">
        <v>455</v>
      </c>
      <c r="L364" t="s">
        <v>594</v>
      </c>
    </row>
    <row r="365" spans="1:12" ht="54.75" customHeight="1" x14ac:dyDescent="0.25">
      <c r="A365" s="29" t="str">
        <f t="shared" si="91"/>
        <v>КОМПЛЕКТ 46.  ЯУО (ЯУО9601-3474-IP65)  |  Альбом 3.4 ЭН (Наружное освещение)</v>
      </c>
      <c r="B365" s="29" t="s">
        <v>442</v>
      </c>
      <c r="C365" s="29"/>
      <c r="D365" s="29" t="s">
        <v>593</v>
      </c>
      <c r="E365" s="30">
        <f>ПАРАМЕТРЫ!C52</f>
        <v>0</v>
      </c>
      <c r="F365" s="31">
        <f>ПАРАМЕТРЫ!D52</f>
        <v>0</v>
      </c>
      <c r="G365" s="31">
        <f t="shared" si="93"/>
        <v>0</v>
      </c>
      <c r="H365" s="31" t="s">
        <v>94</v>
      </c>
      <c r="I365" s="31">
        <v>2</v>
      </c>
      <c r="J365" s="29"/>
      <c r="K365" s="29" t="s">
        <v>455</v>
      </c>
    </row>
    <row r="366" spans="1:12" ht="54.75" customHeight="1" x14ac:dyDescent="0.25">
      <c r="A366" s="33" t="str">
        <f t="shared" si="91"/>
        <v>КОМПЛЕКТ 46.  ЯУО (ЯУО9601-3474-IP65)  |  Альбом 3.4 ЭН (Наружное освещение)</v>
      </c>
      <c r="B366" s="33" t="s">
        <v>466</v>
      </c>
      <c r="C366" s="33" t="s">
        <v>468</v>
      </c>
      <c r="D366" s="33" t="s">
        <v>467</v>
      </c>
      <c r="E366" s="32" t="s">
        <v>95</v>
      </c>
      <c r="F366" s="32" t="s">
        <v>95</v>
      </c>
      <c r="G366" s="35">
        <v>0</v>
      </c>
      <c r="H366" s="35" t="s">
        <v>94</v>
      </c>
      <c r="I366" s="35">
        <v>1</v>
      </c>
      <c r="J366" s="34" t="s">
        <v>469</v>
      </c>
      <c r="K366" s="34" t="s">
        <v>455</v>
      </c>
    </row>
    <row r="367" spans="1:12" ht="54.75" customHeight="1" x14ac:dyDescent="0.25">
      <c r="A367" s="37" t="str">
        <f t="shared" si="91"/>
        <v>КОМПЛЕКТ 46.  ЯУО (ЯУО9601-3474-IP65)  |  Альбом 3.4 ЭН (Наружное освещение)</v>
      </c>
      <c r="B367" s="37" t="s">
        <v>470</v>
      </c>
      <c r="C367" s="37"/>
      <c r="D367" s="37" t="s">
        <v>124</v>
      </c>
      <c r="E367" s="36" t="s">
        <v>95</v>
      </c>
      <c r="F367" s="38" t="str">
        <f>ПАРАМЕТРЫ!C6&amp;"%"</f>
        <v>12%</v>
      </c>
      <c r="G367" s="39">
        <f>(G352+G353+G354+G355+G356+G357+G358+G360+G359+G361+G362+G363+G364+G365+G366)*ПАРАМЕТРЫ!C6/100</f>
        <v>34492.273199999996</v>
      </c>
      <c r="H367" s="39" t="s">
        <v>94</v>
      </c>
      <c r="I367" s="39">
        <v>1</v>
      </c>
      <c r="J367" s="37" t="s">
        <v>11</v>
      </c>
      <c r="K367" s="37" t="s">
        <v>455</v>
      </c>
    </row>
    <row r="368" spans="1:12" ht="54.75" customHeight="1" thickBot="1" x14ac:dyDescent="0.3">
      <c r="A368" s="41" t="str">
        <f t="shared" si="91"/>
        <v>КОМПЛЕКТ 46.  ЯУО (ЯУО9601-3474-IP65)  |  Альбом 3.4 ЭН (Наружное освещение)</v>
      </c>
      <c r="B368" s="41" t="s">
        <v>471</v>
      </c>
      <c r="C368" s="41"/>
      <c r="D368" s="41" t="s">
        <v>126</v>
      </c>
      <c r="E368" s="40" t="s">
        <v>95</v>
      </c>
      <c r="F368" s="42" t="str">
        <f>ПАРАМЕТРЫ!C7&amp;"%"</f>
        <v>15%</v>
      </c>
      <c r="G368" s="43">
        <f>(G352+G353+G354+G355+G366+G365+G364+G363+G362+G361+G360+G359+G358+G357+G356)*ПАРАМЕТРЫ!C7/100</f>
        <v>43115.341499999995</v>
      </c>
      <c r="H368" s="43" t="s">
        <v>94</v>
      </c>
      <c r="I368" s="43">
        <v>1</v>
      </c>
      <c r="J368" s="41" t="s">
        <v>11</v>
      </c>
      <c r="K368" s="41" t="s">
        <v>455</v>
      </c>
    </row>
    <row r="369" spans="1:11" ht="54.75" customHeight="1" thickBot="1" x14ac:dyDescent="0.3">
      <c r="A369" s="53" t="str">
        <f>D369</f>
        <v>КОМПЛЕКТ 47.  ЩР Наружного освещения (Atlantic IP66)  |  Альбом 3.4 ЭН (Наружное освещение)</v>
      </c>
      <c r="B369" s="54" t="s">
        <v>472</v>
      </c>
      <c r="C369" s="54"/>
      <c r="D369" s="54" t="s">
        <v>472</v>
      </c>
      <c r="E369" s="54"/>
      <c r="F369" s="54"/>
      <c r="G369" s="54"/>
      <c r="H369" s="54" t="s">
        <v>632</v>
      </c>
      <c r="I369" s="54">
        <v>1</v>
      </c>
      <c r="J369" s="2"/>
      <c r="K369" s="2"/>
    </row>
    <row r="370" spans="1:11" ht="54.75" customHeight="1" x14ac:dyDescent="0.25">
      <c r="A370" s="22" t="str">
        <f t="shared" ref="A370:A375" si="94">A369</f>
        <v>КОМПЛЕКТ 47.  ЩР Наружного освещения (Atlantic IP66)  |  Альбом 3.4 ЭН (Наружное освещение)</v>
      </c>
      <c r="B370" s="22" t="s">
        <v>473</v>
      </c>
      <c r="C370" s="22" t="s">
        <v>92</v>
      </c>
      <c r="D370" s="22" t="s">
        <v>474</v>
      </c>
      <c r="E370" s="21" t="s">
        <v>95</v>
      </c>
      <c r="F370" s="21" t="s">
        <v>95</v>
      </c>
      <c r="G370" s="23">
        <v>0</v>
      </c>
      <c r="H370" s="23" t="s">
        <v>94</v>
      </c>
      <c r="I370" s="23">
        <v>1</v>
      </c>
      <c r="J370" s="22" t="s">
        <v>96</v>
      </c>
      <c r="K370" s="22" t="s">
        <v>455</v>
      </c>
    </row>
    <row r="371" spans="1:11" ht="54.75" customHeight="1" x14ac:dyDescent="0.25">
      <c r="A371" s="25" t="str">
        <f t="shared" si="94"/>
        <v>КОМПЛЕКТ 47.  ЩР Наружного освещения (Atlantic IP66)  |  Альбом 3.4 ЭН (Наружное освещение)</v>
      </c>
      <c r="B371" s="25" t="s">
        <v>475</v>
      </c>
      <c r="C371" s="25" t="s">
        <v>149</v>
      </c>
      <c r="D371" s="25" t="s">
        <v>148</v>
      </c>
      <c r="E371" s="26">
        <f>ПАРАМЕТРЫ!C27</f>
        <v>36.68</v>
      </c>
      <c r="F371" s="27">
        <f t="shared" ref="F371:F372" si="95">E371*0.3*1.33*590</f>
        <v>8634.8387999999995</v>
      </c>
      <c r="G371" s="27">
        <f>I371*F371</f>
        <v>8634.8387999999995</v>
      </c>
      <c r="H371" s="27" t="s">
        <v>94</v>
      </c>
      <c r="I371" s="27">
        <v>1</v>
      </c>
      <c r="J371" s="25" t="s">
        <v>476</v>
      </c>
      <c r="K371" s="25" t="s">
        <v>455</v>
      </c>
    </row>
    <row r="372" spans="1:11" ht="54.75" customHeight="1" x14ac:dyDescent="0.25">
      <c r="A372" s="29" t="str">
        <f t="shared" si="94"/>
        <v>КОМПЛЕКТ 47.  ЩР Наружного освещения (Atlantic IP66)  |  Альбом 3.4 ЭН (Наружное освещение)</v>
      </c>
      <c r="B372" s="29" t="s">
        <v>477</v>
      </c>
      <c r="C372" s="29" t="s">
        <v>462</v>
      </c>
      <c r="D372" s="29" t="s">
        <v>461</v>
      </c>
      <c r="E372" s="30">
        <f>ПАРАМЕТРЫ!C17</f>
        <v>48.51</v>
      </c>
      <c r="F372" s="27">
        <f t="shared" si="95"/>
        <v>11419.739100000001</v>
      </c>
      <c r="G372" s="31">
        <f>I372*F372</f>
        <v>91357.912800000006</v>
      </c>
      <c r="H372" s="31" t="s">
        <v>94</v>
      </c>
      <c r="I372" s="31">
        <v>8</v>
      </c>
      <c r="J372" s="29" t="s">
        <v>478</v>
      </c>
      <c r="K372" s="29" t="s">
        <v>455</v>
      </c>
    </row>
    <row r="373" spans="1:11" ht="54.75" customHeight="1" x14ac:dyDescent="0.25">
      <c r="A373" s="37" t="str">
        <f t="shared" si="94"/>
        <v>КОМПЛЕКТ 47.  ЩР Наружного освещения (Atlantic IP66)  |  Альбом 3.4 ЭН (Наружное освещение)</v>
      </c>
      <c r="B373" s="37" t="s">
        <v>479</v>
      </c>
      <c r="C373" s="37"/>
      <c r="D373" s="37" t="s">
        <v>124</v>
      </c>
      <c r="E373" s="36" t="s">
        <v>95</v>
      </c>
      <c r="F373" s="38" t="str">
        <f>ПАРАМЕТРЫ!C6&amp;"%"</f>
        <v>12%</v>
      </c>
      <c r="G373" s="39">
        <f>(G371+G372)*ПАРАМЕТРЫ!C6/100</f>
        <v>11999.130192000001</v>
      </c>
      <c r="H373" s="39" t="s">
        <v>94</v>
      </c>
      <c r="I373" s="39">
        <v>1</v>
      </c>
      <c r="J373" s="37" t="s">
        <v>11</v>
      </c>
      <c r="K373" s="37" t="s">
        <v>455</v>
      </c>
    </row>
    <row r="374" spans="1:11" ht="54.75" customHeight="1" thickBot="1" x14ac:dyDescent="0.3">
      <c r="A374" s="41" t="str">
        <f t="shared" si="94"/>
        <v>КОМПЛЕКТ 47.  ЩР Наружного освещения (Atlantic IP66)  |  Альбом 3.4 ЭН (Наружное освещение)</v>
      </c>
      <c r="B374" s="41" t="s">
        <v>480</v>
      </c>
      <c r="C374" s="41"/>
      <c r="D374" s="41" t="s">
        <v>126</v>
      </c>
      <c r="E374" s="40" t="s">
        <v>95</v>
      </c>
      <c r="F374" s="42" t="str">
        <f>ПАРАМЕТРЫ!C7&amp;"%"</f>
        <v>15%</v>
      </c>
      <c r="G374" s="43">
        <f>(G371+G372)*ПАРАМЕТРЫ!C7/100</f>
        <v>14998.91274</v>
      </c>
      <c r="H374" s="43" t="s">
        <v>94</v>
      </c>
      <c r="I374" s="43">
        <v>1</v>
      </c>
      <c r="J374" s="41" t="s">
        <v>11</v>
      </c>
      <c r="K374" s="41" t="s">
        <v>455</v>
      </c>
    </row>
    <row r="375" spans="1:11" ht="54.75" customHeight="1" thickBot="1" x14ac:dyDescent="0.3">
      <c r="A375" s="20" t="str">
        <f t="shared" si="94"/>
        <v>КОМПЛЕКТ 47.  ЩР Наружного освещения (Atlantic IP66)  |  Альбом 3.4 ЭН (Наружное освещение)</v>
      </c>
      <c r="B375" s="20"/>
      <c r="C375" s="19" t="s">
        <v>481</v>
      </c>
      <c r="D375" s="20"/>
      <c r="E375" s="20"/>
      <c r="F375" s="20"/>
      <c r="G375" s="20"/>
      <c r="H375" s="20"/>
      <c r="I375" s="20"/>
      <c r="J375" s="20"/>
      <c r="K375" s="20"/>
    </row>
    <row r="376" spans="1:11" ht="54.75" customHeight="1" thickBot="1" x14ac:dyDescent="0.3">
      <c r="A376" s="53" t="str">
        <f>D376</f>
        <v>КОМПЛЕКТ 48.  ЯУО-КОНЦ.ЗАЛ (ЯУО9601-3474-IP31)  |  Альбом 7.3 ФО (Фасадная подсветка)</v>
      </c>
      <c r="B376" s="54" t="s">
        <v>482</v>
      </c>
      <c r="C376" s="54"/>
      <c r="D376" s="54" t="s">
        <v>482</v>
      </c>
      <c r="E376" s="54"/>
      <c r="F376" s="54"/>
      <c r="G376" s="54"/>
      <c r="H376" s="54" t="s">
        <v>632</v>
      </c>
      <c r="I376" s="54">
        <v>1</v>
      </c>
      <c r="J376" s="2"/>
      <c r="K376" s="2"/>
    </row>
    <row r="377" spans="1:11" ht="54.75" customHeight="1" x14ac:dyDescent="0.25">
      <c r="A377" s="22" t="str">
        <f t="shared" ref="A377:A394" si="96">A376</f>
        <v>КОМПЛЕКТ 48.  ЯУО-КОНЦ.ЗАЛ (ЯУО9601-3474-IP31)  |  Альбом 7.3 ФО (Фасадная подсветка)</v>
      </c>
      <c r="B377" s="22" t="s">
        <v>483</v>
      </c>
      <c r="C377" s="22" t="s">
        <v>92</v>
      </c>
      <c r="D377" s="22" t="s">
        <v>484</v>
      </c>
      <c r="E377" s="21" t="s">
        <v>95</v>
      </c>
      <c r="F377" s="21" t="s">
        <v>95</v>
      </c>
      <c r="G377" s="23">
        <v>0</v>
      </c>
      <c r="H377" s="23" t="s">
        <v>94</v>
      </c>
      <c r="I377" s="23">
        <v>1</v>
      </c>
      <c r="J377" s="22" t="s">
        <v>96</v>
      </c>
      <c r="K377" s="22" t="s">
        <v>485</v>
      </c>
    </row>
    <row r="378" spans="1:11" ht="54.75" customHeight="1" x14ac:dyDescent="0.25">
      <c r="A378" s="25" t="str">
        <f t="shared" si="96"/>
        <v>КОМПЛЕКТ 48.  ЯУО-КОНЦ.ЗАЛ (ЯУО9601-3474-IP31)  |  Альбом 7.3 ФО (Фасадная подсветка)</v>
      </c>
      <c r="B378" s="25" t="s">
        <v>456</v>
      </c>
      <c r="C378" s="25" t="s">
        <v>616</v>
      </c>
      <c r="D378" s="25" t="s">
        <v>615</v>
      </c>
      <c r="E378" s="26">
        <v>45.54</v>
      </c>
      <c r="F378" s="27">
        <f t="shared" ref="F378:F389" si="97">E378*0.3*1.33*590</f>
        <v>10720.571399999999</v>
      </c>
      <c r="G378" s="27">
        <f t="shared" ref="G378:G390" si="98">I378*F378</f>
        <v>10720.571399999999</v>
      </c>
      <c r="H378" s="27" t="s">
        <v>94</v>
      </c>
      <c r="I378" s="27">
        <v>1</v>
      </c>
      <c r="J378" s="25" t="s">
        <v>457</v>
      </c>
      <c r="K378" s="25" t="s">
        <v>455</v>
      </c>
    </row>
    <row r="379" spans="1:11" ht="54.75" customHeight="1" x14ac:dyDescent="0.25">
      <c r="A379" s="29" t="str">
        <f t="shared" si="96"/>
        <v>КОМПЛЕКТ 48.  ЯУО-КОНЦ.ЗАЛ (ЯУО9601-3474-IP31)  |  Альбом 7.3 ФО (Фасадная подсветка)</v>
      </c>
      <c r="B379" s="29" t="s">
        <v>458</v>
      </c>
      <c r="C379" s="29" t="s">
        <v>606</v>
      </c>
      <c r="D379" s="29" t="s">
        <v>605</v>
      </c>
      <c r="E379" s="30">
        <v>36.42</v>
      </c>
      <c r="F379" s="27">
        <f t="shared" si="97"/>
        <v>8573.6322000000018</v>
      </c>
      <c r="G379" s="31">
        <f t="shared" si="98"/>
        <v>42868.161000000007</v>
      </c>
      <c r="H379" s="31" t="s">
        <v>94</v>
      </c>
      <c r="I379" s="31">
        <v>5</v>
      </c>
      <c r="J379" s="29" t="s">
        <v>459</v>
      </c>
      <c r="K379" s="29" t="s">
        <v>455</v>
      </c>
    </row>
    <row r="380" spans="1:11" ht="54.75" customHeight="1" x14ac:dyDescent="0.25">
      <c r="A380" s="29" t="str">
        <f t="shared" si="96"/>
        <v>КОМПЛЕКТ 48.  ЯУО-КОНЦ.ЗАЛ (ЯУО9601-3474-IP31)  |  Альбом 7.3 ФО (Фасадная подсветка)</v>
      </c>
      <c r="B380" s="29" t="s">
        <v>464</v>
      </c>
      <c r="C380" s="29" t="s">
        <v>617</v>
      </c>
      <c r="D380" s="29" t="s">
        <v>618</v>
      </c>
      <c r="E380" s="30">
        <f>ПАРАМЕТРЫ!C42</f>
        <v>14.53</v>
      </c>
      <c r="F380" s="27">
        <f t="shared" si="97"/>
        <v>3420.5073000000002</v>
      </c>
      <c r="G380" s="31">
        <f t="shared" si="98"/>
        <v>3420.5073000000002</v>
      </c>
      <c r="H380" s="31" t="s">
        <v>94</v>
      </c>
      <c r="I380" s="31">
        <v>1</v>
      </c>
      <c r="J380" s="29" t="s">
        <v>465</v>
      </c>
      <c r="K380" s="29" t="s">
        <v>455</v>
      </c>
    </row>
    <row r="381" spans="1:11" ht="54.75" customHeight="1" x14ac:dyDescent="0.25">
      <c r="A381" s="29" t="str">
        <f t="shared" si="96"/>
        <v>КОМПЛЕКТ 48.  ЯУО-КОНЦ.ЗАЛ (ЯУО9601-3474-IP31)  |  Альбом 7.3 ФО (Фасадная подсветка)</v>
      </c>
      <c r="B381" s="29" t="s">
        <v>442</v>
      </c>
      <c r="C381" s="29" t="s">
        <v>560</v>
      </c>
      <c r="D381" s="29" t="s">
        <v>561</v>
      </c>
      <c r="E381" s="30">
        <f>ПАРАМЕТРЫ!C43</f>
        <v>122.9</v>
      </c>
      <c r="F381" s="27">
        <f t="shared" si="97"/>
        <v>28931.889000000003</v>
      </c>
      <c r="G381" s="31">
        <f t="shared" si="98"/>
        <v>57863.778000000006</v>
      </c>
      <c r="H381" s="31" t="s">
        <v>94</v>
      </c>
      <c r="I381" s="31">
        <v>2</v>
      </c>
      <c r="J381" s="29"/>
      <c r="K381" s="29" t="s">
        <v>455</v>
      </c>
    </row>
    <row r="382" spans="1:11" ht="54.75" customHeight="1" x14ac:dyDescent="0.25">
      <c r="A382" s="29" t="str">
        <f t="shared" si="96"/>
        <v>КОМПЛЕКТ 48.  ЯУО-КОНЦ.ЗАЛ (ЯУО9601-3474-IP31)  |  Альбом 7.3 ФО (Фасадная подсветка)</v>
      </c>
      <c r="B382" s="29" t="s">
        <v>442</v>
      </c>
      <c r="C382" s="29" t="s">
        <v>563</v>
      </c>
      <c r="D382" s="29" t="s">
        <v>562</v>
      </c>
      <c r="E382" s="30">
        <f>ПАРАМЕТРЫ!C44</f>
        <v>49.37</v>
      </c>
      <c r="F382" s="27">
        <f t="shared" si="97"/>
        <v>11622.191699999999</v>
      </c>
      <c r="G382" s="31">
        <f t="shared" si="98"/>
        <v>11622.191699999999</v>
      </c>
      <c r="H382" s="31" t="s">
        <v>94</v>
      </c>
      <c r="I382" s="31">
        <v>1</v>
      </c>
      <c r="J382" s="29"/>
      <c r="K382" s="29" t="s">
        <v>455</v>
      </c>
    </row>
    <row r="383" spans="1:11" ht="54.75" customHeight="1" x14ac:dyDescent="0.25">
      <c r="A383" s="29" t="str">
        <f t="shared" si="96"/>
        <v>КОМПЛЕКТ 48.  ЯУО-КОНЦ.ЗАЛ (ЯУО9601-3474-IP31)  |  Альбом 7.3 ФО (Фасадная подсветка)</v>
      </c>
      <c r="B383" s="29" t="s">
        <v>442</v>
      </c>
      <c r="C383" s="29" t="s">
        <v>567</v>
      </c>
      <c r="D383" s="29" t="s">
        <v>565</v>
      </c>
      <c r="E383" s="30">
        <f>ПАРАМЕТРЫ!C45</f>
        <v>6.87</v>
      </c>
      <c r="F383" s="27">
        <f t="shared" si="97"/>
        <v>1617.2667000000001</v>
      </c>
      <c r="G383" s="31">
        <f t="shared" si="98"/>
        <v>1617.2667000000001</v>
      </c>
      <c r="H383" s="31" t="s">
        <v>94</v>
      </c>
      <c r="I383" s="31">
        <v>1</v>
      </c>
      <c r="J383" s="29"/>
      <c r="K383" s="29" t="s">
        <v>455</v>
      </c>
    </row>
    <row r="384" spans="1:11" ht="54.75" customHeight="1" x14ac:dyDescent="0.25">
      <c r="A384" s="29" t="str">
        <f t="shared" si="96"/>
        <v>КОМПЛЕКТ 48.  ЯУО-КОНЦ.ЗАЛ (ЯУО9601-3474-IP31)  |  Альбом 7.3 ФО (Фасадная подсветка)</v>
      </c>
      <c r="B384" s="29" t="s">
        <v>442</v>
      </c>
      <c r="C384" s="29" t="s">
        <v>571</v>
      </c>
      <c r="D384" s="29" t="s">
        <v>570</v>
      </c>
      <c r="E384" s="30">
        <f>ПАРАМЕТРЫ!C46</f>
        <v>6.25</v>
      </c>
      <c r="F384" s="27">
        <f t="shared" si="97"/>
        <v>1471.3125000000002</v>
      </c>
      <c r="G384" s="31">
        <f t="shared" si="98"/>
        <v>1471.3125000000002</v>
      </c>
      <c r="H384" s="31" t="s">
        <v>94</v>
      </c>
      <c r="I384" s="31">
        <v>1</v>
      </c>
      <c r="J384" s="29"/>
      <c r="K384" s="29" t="s">
        <v>455</v>
      </c>
    </row>
    <row r="385" spans="1:12" ht="54.75" customHeight="1" x14ac:dyDescent="0.25">
      <c r="A385" s="29" t="str">
        <f t="shared" si="96"/>
        <v>КОМПЛЕКТ 48.  ЯУО-КОНЦ.ЗАЛ (ЯУО9601-3474-IP31)  |  Альбом 7.3 ФО (Фасадная подсветка)</v>
      </c>
      <c r="B385" s="29" t="s">
        <v>442</v>
      </c>
      <c r="C385" s="29" t="s">
        <v>575</v>
      </c>
      <c r="D385" s="29" t="s">
        <v>574</v>
      </c>
      <c r="E385" s="30">
        <f>ПАРАМЕТРЫ!C47</f>
        <v>6.25</v>
      </c>
      <c r="F385" s="27">
        <f t="shared" si="97"/>
        <v>1471.3125000000002</v>
      </c>
      <c r="G385" s="31">
        <f t="shared" si="98"/>
        <v>1471.3125000000002</v>
      </c>
      <c r="H385" s="31" t="s">
        <v>94</v>
      </c>
      <c r="I385" s="31">
        <v>1</v>
      </c>
      <c r="J385" s="29"/>
      <c r="K385" s="29" t="s">
        <v>455</v>
      </c>
    </row>
    <row r="386" spans="1:12" ht="54.75" customHeight="1" x14ac:dyDescent="0.25">
      <c r="A386" s="29" t="str">
        <f t="shared" si="96"/>
        <v>КОМПЛЕКТ 48.  ЯУО-КОНЦ.ЗАЛ (ЯУО9601-3474-IP31)  |  Альбом 7.3 ФО (Фасадная подсветка)</v>
      </c>
      <c r="B386" s="29" t="s">
        <v>442</v>
      </c>
      <c r="C386" s="29" t="s">
        <v>579</v>
      </c>
      <c r="D386" s="29" t="s">
        <v>578</v>
      </c>
      <c r="E386" s="30">
        <f>ПАРАМЕТРЫ!C48</f>
        <v>9.6199999999999992</v>
      </c>
      <c r="F386" s="27">
        <f t="shared" si="97"/>
        <v>2264.6441999999997</v>
      </c>
      <c r="G386" s="31">
        <f t="shared" si="98"/>
        <v>2264.6441999999997</v>
      </c>
      <c r="H386" s="31" t="s">
        <v>94</v>
      </c>
      <c r="I386" s="31">
        <v>1</v>
      </c>
      <c r="J386" s="29"/>
      <c r="K386" s="29" t="s">
        <v>455</v>
      </c>
    </row>
    <row r="387" spans="1:12" ht="54.75" customHeight="1" x14ac:dyDescent="0.25">
      <c r="A387" s="29" t="str">
        <f t="shared" si="96"/>
        <v>КОМПЛЕКТ 48.  ЯУО-КОНЦ.ЗАЛ (ЯУО9601-3474-IP31)  |  Альбом 7.3 ФО (Фасадная подсветка)</v>
      </c>
      <c r="B387" s="29" t="s">
        <v>442</v>
      </c>
      <c r="C387" s="29" t="s">
        <v>583</v>
      </c>
      <c r="D387" s="29" t="s">
        <v>582</v>
      </c>
      <c r="E387" s="30">
        <f>ПАРАМЕТРЫ!C49</f>
        <v>87.59</v>
      </c>
      <c r="F387" s="27">
        <f t="shared" si="97"/>
        <v>20619.561900000001</v>
      </c>
      <c r="G387" s="31">
        <f t="shared" si="98"/>
        <v>41239.123800000001</v>
      </c>
      <c r="H387" s="31" t="s">
        <v>94</v>
      </c>
      <c r="I387" s="31">
        <v>2</v>
      </c>
      <c r="J387" s="29"/>
      <c r="K387" s="29" t="s">
        <v>455</v>
      </c>
    </row>
    <row r="388" spans="1:12" ht="54.75" customHeight="1" x14ac:dyDescent="0.25">
      <c r="A388" s="29" t="str">
        <f t="shared" si="96"/>
        <v>КОМПЛЕКТ 48.  ЯУО-КОНЦ.ЗАЛ (ЯУО9601-3474-IP31)  |  Альбом 7.3 ФО (Фасадная подсветка)</v>
      </c>
      <c r="B388" s="29" t="s">
        <v>442</v>
      </c>
      <c r="C388" s="29" t="s">
        <v>587</v>
      </c>
      <c r="D388" s="29" t="s">
        <v>586</v>
      </c>
      <c r="E388" s="30">
        <f>ПАРАМЕТРЫ!C50</f>
        <v>332.4</v>
      </c>
      <c r="F388" s="27">
        <f t="shared" si="97"/>
        <v>78250.283999999985</v>
      </c>
      <c r="G388" s="31">
        <f t="shared" si="98"/>
        <v>78250.283999999985</v>
      </c>
      <c r="H388" s="31" t="s">
        <v>94</v>
      </c>
      <c r="I388" s="31">
        <v>1</v>
      </c>
      <c r="J388" s="29"/>
      <c r="K388" s="29" t="s">
        <v>455</v>
      </c>
      <c r="L388" t="s">
        <v>594</v>
      </c>
    </row>
    <row r="389" spans="1:12" ht="54.75" customHeight="1" x14ac:dyDescent="0.25">
      <c r="A389" s="29" t="str">
        <f t="shared" si="96"/>
        <v>КОМПЛЕКТ 48.  ЯУО-КОНЦ.ЗАЛ (ЯУО9601-3474-IP31)  |  Альбом 7.3 ФО (Фасадная подсветка)</v>
      </c>
      <c r="B389" s="29" t="s">
        <v>442</v>
      </c>
      <c r="C389" s="29" t="s">
        <v>590</v>
      </c>
      <c r="D389" s="29" t="s">
        <v>589</v>
      </c>
      <c r="E389" s="30">
        <f>ПАРАМЕТРЫ!C51</f>
        <v>136.69999999999999</v>
      </c>
      <c r="F389" s="27">
        <f t="shared" si="97"/>
        <v>32180.547000000002</v>
      </c>
      <c r="G389" s="31">
        <f t="shared" si="98"/>
        <v>32180.547000000002</v>
      </c>
      <c r="H389" s="31" t="s">
        <v>94</v>
      </c>
      <c r="I389" s="31">
        <v>1</v>
      </c>
      <c r="J389" s="29"/>
      <c r="K389" s="29" t="s">
        <v>455</v>
      </c>
      <c r="L389" t="s">
        <v>594</v>
      </c>
    </row>
    <row r="390" spans="1:12" ht="54.75" customHeight="1" x14ac:dyDescent="0.25">
      <c r="A390" s="29" t="str">
        <f t="shared" si="96"/>
        <v>КОМПЛЕКТ 48.  ЯУО-КОНЦ.ЗАЛ (ЯУО9601-3474-IP31)  |  Альбом 7.3 ФО (Фасадная подсветка)</v>
      </c>
      <c r="B390" s="29" t="s">
        <v>442</v>
      </c>
      <c r="C390" s="29"/>
      <c r="D390" s="29" t="s">
        <v>593</v>
      </c>
      <c r="E390" s="30">
        <f>ПАРАМЕТРЫ!C52</f>
        <v>0</v>
      </c>
      <c r="F390" s="31">
        <f>ПАРАМЕТРЫ!D52</f>
        <v>0</v>
      </c>
      <c r="G390" s="31">
        <f t="shared" si="98"/>
        <v>0</v>
      </c>
      <c r="H390" s="31" t="s">
        <v>94</v>
      </c>
      <c r="I390" s="31">
        <v>2</v>
      </c>
      <c r="J390" s="29"/>
      <c r="K390" s="29" t="s">
        <v>455</v>
      </c>
    </row>
    <row r="391" spans="1:12" ht="54.75" customHeight="1" x14ac:dyDescent="0.25">
      <c r="A391" s="33" t="str">
        <f t="shared" si="96"/>
        <v>КОМПЛЕКТ 48.  ЯУО-КОНЦ.ЗАЛ (ЯУО9601-3474-IP31)  |  Альбом 7.3 ФО (Фасадная подсветка)</v>
      </c>
      <c r="B391" s="33" t="s">
        <v>488</v>
      </c>
      <c r="C391" s="33" t="s">
        <v>490</v>
      </c>
      <c r="D391" s="33" t="s">
        <v>489</v>
      </c>
      <c r="E391" s="32" t="s">
        <v>95</v>
      </c>
      <c r="F391" s="32" t="s">
        <v>95</v>
      </c>
      <c r="G391" s="35">
        <v>0</v>
      </c>
      <c r="H391" s="35" t="s">
        <v>94</v>
      </c>
      <c r="I391" s="35">
        <v>1</v>
      </c>
      <c r="J391" s="34" t="s">
        <v>491</v>
      </c>
      <c r="K391" s="34" t="s">
        <v>485</v>
      </c>
    </row>
    <row r="392" spans="1:12" ht="54.75" customHeight="1" x14ac:dyDescent="0.25">
      <c r="A392" s="33" t="str">
        <f t="shared" si="96"/>
        <v>КОМПЛЕКТ 48.  ЯУО-КОНЦ.ЗАЛ (ЯУО9601-3474-IP31)  |  Альбом 7.3 ФО (Фасадная подсветка)</v>
      </c>
      <c r="B392" s="33" t="s">
        <v>492</v>
      </c>
      <c r="C392" s="33" t="s">
        <v>494</v>
      </c>
      <c r="D392" s="33" t="s">
        <v>493</v>
      </c>
      <c r="E392" s="32" t="s">
        <v>95</v>
      </c>
      <c r="F392" s="32" t="s">
        <v>95</v>
      </c>
      <c r="G392" s="35">
        <v>0</v>
      </c>
      <c r="H392" s="35" t="s">
        <v>94</v>
      </c>
      <c r="I392" s="35">
        <v>1</v>
      </c>
      <c r="J392" s="34" t="s">
        <v>495</v>
      </c>
      <c r="K392" s="34" t="s">
        <v>485</v>
      </c>
    </row>
    <row r="393" spans="1:12" ht="54.75" customHeight="1" x14ac:dyDescent="0.25">
      <c r="A393" s="37" t="str">
        <f t="shared" si="96"/>
        <v>КОМПЛЕКТ 48.  ЯУО-КОНЦ.ЗАЛ (ЯУО9601-3474-IP31)  |  Альбом 7.3 ФО (Фасадная подсветка)</v>
      </c>
      <c r="B393" s="37" t="s">
        <v>496</v>
      </c>
      <c r="C393" s="37"/>
      <c r="D393" s="37" t="s">
        <v>124</v>
      </c>
      <c r="E393" s="36" t="s">
        <v>95</v>
      </c>
      <c r="F393" s="38" t="str">
        <f>ПАРАМЕТРЫ!C6&amp;"%"</f>
        <v>12%</v>
      </c>
      <c r="G393" s="39">
        <f>(G392+G391+G390+G389+G388+G387+G386+G385+G384+G383+G382+G381+G380+G379+G378)*ПАРАМЕТРЫ!C6/100</f>
        <v>34198.764012000014</v>
      </c>
      <c r="H393" s="39" t="s">
        <v>94</v>
      </c>
      <c r="I393" s="39">
        <v>1</v>
      </c>
      <c r="J393" s="37" t="s">
        <v>11</v>
      </c>
      <c r="K393" s="37" t="s">
        <v>485</v>
      </c>
    </row>
    <row r="394" spans="1:12" ht="54.75" customHeight="1" thickBot="1" x14ac:dyDescent="0.3">
      <c r="A394" s="41" t="str">
        <f t="shared" si="96"/>
        <v>КОМПЛЕКТ 48.  ЯУО-КОНЦ.ЗАЛ (ЯУО9601-3474-IP31)  |  Альбом 7.3 ФО (Фасадная подсветка)</v>
      </c>
      <c r="B394" s="41" t="s">
        <v>497</v>
      </c>
      <c r="C394" s="41"/>
      <c r="D394" s="41" t="s">
        <v>126</v>
      </c>
      <c r="E394" s="40" t="s">
        <v>95</v>
      </c>
      <c r="F394" s="42" t="str">
        <f>ПАРАМЕТРЫ!C7&amp;"%"</f>
        <v>15%</v>
      </c>
      <c r="G394" s="43">
        <f>(G392+G391+G390+G389+G388+G387+G386+G385+G384+G383+G382+G381+G380+G379+G378)*ПАРАМЕТРЫ!C7/100</f>
        <v>42748.455015000014</v>
      </c>
      <c r="H394" s="43" t="s">
        <v>94</v>
      </c>
      <c r="I394" s="43">
        <v>1</v>
      </c>
      <c r="J394" s="41" t="s">
        <v>11</v>
      </c>
      <c r="K394" s="41" t="s">
        <v>485</v>
      </c>
    </row>
    <row r="395" spans="1:12" ht="54.75" customHeight="1" thickBot="1" x14ac:dyDescent="0.3">
      <c r="A395" s="53" t="str">
        <f>D395</f>
        <v>КОМПЛЕКТ 49.  Кц-ГРЩ1  |  Альбом 7.3 ФО (Фасадная подсветка)</v>
      </c>
      <c r="B395" s="54" t="s">
        <v>595</v>
      </c>
      <c r="C395" s="54"/>
      <c r="D395" s="54" t="s">
        <v>595</v>
      </c>
      <c r="E395" s="54"/>
      <c r="F395" s="54"/>
      <c r="G395" s="54"/>
      <c r="H395" s="54" t="s">
        <v>632</v>
      </c>
      <c r="I395" s="54">
        <v>1</v>
      </c>
      <c r="J395" s="2"/>
      <c r="K395" s="2"/>
    </row>
    <row r="396" spans="1:12" ht="54.75" customHeight="1" x14ac:dyDescent="0.25">
      <c r="A396" s="22" t="str">
        <f t="shared" ref="A396:A402" si="99">A395</f>
        <v>КОМПЛЕКТ 49.  Кц-ГРЩ1  |  Альбом 7.3 ФО (Фасадная подсветка)</v>
      </c>
      <c r="B396" s="22" t="s">
        <v>498</v>
      </c>
      <c r="C396" s="22" t="s">
        <v>92</v>
      </c>
      <c r="D396" s="22" t="s">
        <v>484</v>
      </c>
      <c r="E396" s="21" t="s">
        <v>95</v>
      </c>
      <c r="F396" s="21" t="s">
        <v>95</v>
      </c>
      <c r="G396" s="23">
        <v>0</v>
      </c>
      <c r="H396" s="23" t="s">
        <v>94</v>
      </c>
      <c r="I396" s="23">
        <v>1</v>
      </c>
      <c r="J396" s="22" t="s">
        <v>96</v>
      </c>
      <c r="K396" s="22" t="s">
        <v>485</v>
      </c>
    </row>
    <row r="397" spans="1:12" ht="54.75" customHeight="1" x14ac:dyDescent="0.25">
      <c r="A397" s="25" t="str">
        <f t="shared" si="99"/>
        <v>КОМПЛЕКТ 49.  Кц-ГРЩ1  |  Альбом 7.3 ФО (Фасадная подсветка)</v>
      </c>
      <c r="B397" s="25" t="s">
        <v>499</v>
      </c>
      <c r="C397" s="25" t="s">
        <v>619</v>
      </c>
      <c r="D397" s="25" t="s">
        <v>620</v>
      </c>
      <c r="E397" s="26">
        <f>ПАРАМЕТРЫ!C53</f>
        <v>63.02</v>
      </c>
      <c r="F397" s="27">
        <f t="shared" ref="F397:F400" si="100">E397*0.3*1.33*590</f>
        <v>14835.538200000001</v>
      </c>
      <c r="G397" s="27">
        <f>I397*F397</f>
        <v>14835.538200000001</v>
      </c>
      <c r="H397" s="27" t="s">
        <v>94</v>
      </c>
      <c r="I397" s="27">
        <v>1</v>
      </c>
      <c r="J397" s="25" t="s">
        <v>599</v>
      </c>
      <c r="K397" s="25" t="s">
        <v>485</v>
      </c>
    </row>
    <row r="398" spans="1:12" ht="54.75" customHeight="1" x14ac:dyDescent="0.25">
      <c r="A398" s="25" t="str">
        <f t="shared" si="99"/>
        <v>КОМПЛЕКТ 49.  Кц-ГРЩ1  |  Альбом 7.3 ФО (Фасадная подсветка)</v>
      </c>
      <c r="B398" s="25" t="s">
        <v>499</v>
      </c>
      <c r="C398" s="25" t="s">
        <v>616</v>
      </c>
      <c r="D398" s="25" t="s">
        <v>615</v>
      </c>
      <c r="E398" s="26">
        <v>45.54</v>
      </c>
      <c r="F398" s="27">
        <f t="shared" si="100"/>
        <v>10720.571399999999</v>
      </c>
      <c r="G398" s="27">
        <f>I398*F398</f>
        <v>21441.142799999998</v>
      </c>
      <c r="H398" s="27" t="s">
        <v>94</v>
      </c>
      <c r="I398" s="27">
        <v>2</v>
      </c>
      <c r="J398" s="25" t="s">
        <v>486</v>
      </c>
      <c r="K398" s="25" t="s">
        <v>485</v>
      </c>
    </row>
    <row r="399" spans="1:12" ht="54.75" customHeight="1" x14ac:dyDescent="0.25">
      <c r="A399" s="29" t="str">
        <f t="shared" si="99"/>
        <v>КОМПЛЕКТ 49.  Кц-ГРЩ1  |  Альбом 7.3 ФО (Фасадная подсветка)</v>
      </c>
      <c r="B399" s="29" t="s">
        <v>500</v>
      </c>
      <c r="C399" s="29" t="s">
        <v>606</v>
      </c>
      <c r="D399" s="29" t="s">
        <v>605</v>
      </c>
      <c r="E399" s="30">
        <v>36.42</v>
      </c>
      <c r="F399" s="27">
        <f t="shared" si="100"/>
        <v>8573.6322000000018</v>
      </c>
      <c r="G399" s="31">
        <f>I399*F399</f>
        <v>8573.6322000000018</v>
      </c>
      <c r="H399" s="31" t="s">
        <v>94</v>
      </c>
      <c r="I399" s="31">
        <v>1</v>
      </c>
      <c r="J399" s="29" t="s">
        <v>487</v>
      </c>
      <c r="K399" s="29" t="s">
        <v>485</v>
      </c>
    </row>
    <row r="400" spans="1:12" ht="54.75" customHeight="1" x14ac:dyDescent="0.25">
      <c r="A400" s="29" t="str">
        <f t="shared" si="99"/>
        <v>КОМПЛЕКТ 49.  Кц-ГРЩ1  |  Альбом 7.3 ФО (Фасадная подсветка)</v>
      </c>
      <c r="B400" s="29" t="s">
        <v>523</v>
      </c>
      <c r="C400" s="29" t="s">
        <v>603</v>
      </c>
      <c r="D400" s="29" t="s">
        <v>602</v>
      </c>
      <c r="E400" s="30">
        <f>ПАРАМЕТРЫ!C55</f>
        <v>180.4</v>
      </c>
      <c r="F400" s="27">
        <f t="shared" si="100"/>
        <v>42467.964</v>
      </c>
      <c r="G400" s="31">
        <f>I400*F400</f>
        <v>84935.928</v>
      </c>
      <c r="H400" s="31" t="s">
        <v>94</v>
      </c>
      <c r="I400" s="31">
        <v>2</v>
      </c>
      <c r="J400" s="29" t="s">
        <v>507</v>
      </c>
      <c r="K400" s="29" t="s">
        <v>485</v>
      </c>
    </row>
    <row r="401" spans="1:11" ht="54.75" customHeight="1" x14ac:dyDescent="0.25">
      <c r="A401" s="37" t="str">
        <f t="shared" si="99"/>
        <v>КОМПЛЕКТ 49.  Кц-ГРЩ1  |  Альбом 7.3 ФО (Фасадная подсветка)</v>
      </c>
      <c r="B401" s="37" t="s">
        <v>501</v>
      </c>
      <c r="C401" s="37"/>
      <c r="D401" s="37" t="s">
        <v>124</v>
      </c>
      <c r="E401" s="36" t="s">
        <v>95</v>
      </c>
      <c r="F401" s="38" t="str">
        <f>ПАРАМЕТРЫ!C6&amp;"%"</f>
        <v>12%</v>
      </c>
      <c r="G401" s="39">
        <f>(G398+G399+G400+G397)*ПАРАМЕТРЫ!C6/100</f>
        <v>15574.348944000001</v>
      </c>
      <c r="H401" s="39" t="s">
        <v>94</v>
      </c>
      <c r="I401" s="39">
        <v>1</v>
      </c>
      <c r="J401" s="37" t="s">
        <v>11</v>
      </c>
      <c r="K401" s="37" t="s">
        <v>485</v>
      </c>
    </row>
    <row r="402" spans="1:11" ht="54.75" customHeight="1" thickBot="1" x14ac:dyDescent="0.3">
      <c r="A402" s="41" t="str">
        <f t="shared" si="99"/>
        <v>КОМПЛЕКТ 49.  Кц-ГРЩ1  |  Альбом 7.3 ФО (Фасадная подсветка)</v>
      </c>
      <c r="B402" s="41" t="s">
        <v>502</v>
      </c>
      <c r="C402" s="41"/>
      <c r="D402" s="41" t="s">
        <v>126</v>
      </c>
      <c r="E402" s="40" t="s">
        <v>95</v>
      </c>
      <c r="F402" s="42" t="str">
        <f>ПАРАМЕТРЫ!C7&amp;"%"</f>
        <v>15%</v>
      </c>
      <c r="G402" s="43">
        <f>(G398+G399+G400+G397)*ПАРАМЕТРЫ!C7/100</f>
        <v>19467.936180000001</v>
      </c>
      <c r="H402" s="43" t="s">
        <v>94</v>
      </c>
      <c r="I402" s="43">
        <v>1</v>
      </c>
      <c r="J402" s="41" t="s">
        <v>11</v>
      </c>
      <c r="K402" s="41" t="s">
        <v>485</v>
      </c>
    </row>
    <row r="403" spans="1:11" ht="54.75" customHeight="1" thickBot="1" x14ac:dyDescent="0.3">
      <c r="A403" s="53" t="str">
        <f>D403</f>
        <v>КОМПЛЕКТ 49.  Мз_ГРЩ1  |  Альбом 7.3 ФО (Фасадная подсветка)</v>
      </c>
      <c r="B403" s="54" t="s">
        <v>596</v>
      </c>
      <c r="C403" s="54"/>
      <c r="D403" s="54" t="s">
        <v>596</v>
      </c>
      <c r="E403" s="54"/>
      <c r="F403" s="54"/>
      <c r="G403" s="54"/>
      <c r="H403" s="54" t="s">
        <v>632</v>
      </c>
      <c r="I403" s="54">
        <v>1</v>
      </c>
      <c r="J403" s="2"/>
      <c r="K403" s="2"/>
    </row>
    <row r="404" spans="1:11" ht="54.75" customHeight="1" x14ac:dyDescent="0.25">
      <c r="A404" s="22" t="str">
        <f t="shared" ref="A404:A409" si="101">A403</f>
        <v>КОМПЛЕКТ 49.  Мз_ГРЩ1  |  Альбом 7.3 ФО (Фасадная подсветка)</v>
      </c>
      <c r="B404" s="22" t="s">
        <v>498</v>
      </c>
      <c r="C404" s="22" t="s">
        <v>92</v>
      </c>
      <c r="D404" s="22" t="s">
        <v>484</v>
      </c>
      <c r="E404" s="21" t="s">
        <v>95</v>
      </c>
      <c r="F404" s="21" t="s">
        <v>95</v>
      </c>
      <c r="G404" s="23">
        <v>0</v>
      </c>
      <c r="H404" s="23" t="s">
        <v>94</v>
      </c>
      <c r="I404" s="23">
        <v>1</v>
      </c>
      <c r="J404" s="22" t="s">
        <v>96</v>
      </c>
      <c r="K404" s="22" t="s">
        <v>485</v>
      </c>
    </row>
    <row r="405" spans="1:11" ht="54.75" customHeight="1" x14ac:dyDescent="0.25">
      <c r="A405" s="25" t="str">
        <f t="shared" si="101"/>
        <v>КОМПЛЕКТ 49.  Мз_ГРЩ1  |  Альбом 7.3 ФО (Фасадная подсветка)</v>
      </c>
      <c r="B405" s="25" t="s">
        <v>499</v>
      </c>
      <c r="C405" s="25" t="s">
        <v>619</v>
      </c>
      <c r="D405" s="25" t="s">
        <v>620</v>
      </c>
      <c r="E405" s="26">
        <f>ПАРАМЕТРЫ!C53</f>
        <v>63.02</v>
      </c>
      <c r="F405" s="27">
        <f t="shared" ref="F405:F407" si="102">E405*0.3*1.33*590</f>
        <v>14835.538200000001</v>
      </c>
      <c r="G405" s="27">
        <f>I405*F405</f>
        <v>14835.538200000001</v>
      </c>
      <c r="H405" s="27" t="s">
        <v>94</v>
      </c>
      <c r="I405" s="27">
        <v>1</v>
      </c>
      <c r="J405" s="25" t="s">
        <v>599</v>
      </c>
      <c r="K405" s="25" t="s">
        <v>485</v>
      </c>
    </row>
    <row r="406" spans="1:11" ht="54.75" customHeight="1" x14ac:dyDescent="0.25">
      <c r="A406" s="25" t="str">
        <f t="shared" si="101"/>
        <v>КОМПЛЕКТ 49.  Мз_ГРЩ1  |  Альбом 7.3 ФО (Фасадная подсветка)</v>
      </c>
      <c r="B406" s="25" t="s">
        <v>499</v>
      </c>
      <c r="C406" s="25" t="s">
        <v>616</v>
      </c>
      <c r="D406" s="25" t="s">
        <v>615</v>
      </c>
      <c r="E406" s="26">
        <v>45.54</v>
      </c>
      <c r="F406" s="27">
        <f t="shared" si="102"/>
        <v>10720.571399999999</v>
      </c>
      <c r="G406" s="27">
        <f>I406*F406</f>
        <v>32161.714199999995</v>
      </c>
      <c r="H406" s="27" t="s">
        <v>94</v>
      </c>
      <c r="I406" s="27">
        <v>3</v>
      </c>
      <c r="J406" s="25" t="s">
        <v>486</v>
      </c>
      <c r="K406" s="25" t="s">
        <v>485</v>
      </c>
    </row>
    <row r="407" spans="1:11" ht="54.75" customHeight="1" x14ac:dyDescent="0.25">
      <c r="A407" s="29" t="str">
        <f t="shared" si="101"/>
        <v>КОМПЛЕКТ 49.  Мз_ГРЩ1  |  Альбом 7.3 ФО (Фасадная подсветка)</v>
      </c>
      <c r="B407" s="29" t="s">
        <v>500</v>
      </c>
      <c r="C407" s="29" t="s">
        <v>606</v>
      </c>
      <c r="D407" s="29" t="s">
        <v>605</v>
      </c>
      <c r="E407" s="30">
        <v>36.42</v>
      </c>
      <c r="F407" s="27">
        <f t="shared" si="102"/>
        <v>8573.6322000000018</v>
      </c>
      <c r="G407" s="31">
        <f>I407*F407</f>
        <v>17147.264400000004</v>
      </c>
      <c r="H407" s="31" t="s">
        <v>94</v>
      </c>
      <c r="I407" s="31">
        <v>2</v>
      </c>
      <c r="J407" s="29" t="s">
        <v>487</v>
      </c>
      <c r="K407" s="29" t="s">
        <v>485</v>
      </c>
    </row>
    <row r="408" spans="1:11" ht="54.75" customHeight="1" x14ac:dyDescent="0.25">
      <c r="A408" s="37" t="str">
        <f t="shared" si="101"/>
        <v>КОМПЛЕКТ 49.  Мз_ГРЩ1  |  Альбом 7.3 ФО (Фасадная подсветка)</v>
      </c>
      <c r="B408" s="37" t="s">
        <v>501</v>
      </c>
      <c r="C408" s="37"/>
      <c r="D408" s="37" t="s">
        <v>124</v>
      </c>
      <c r="E408" s="36" t="s">
        <v>95</v>
      </c>
      <c r="F408" s="38" t="str">
        <f>ПАРАМЕТРЫ!C14&amp;"%"</f>
        <v>10,77%</v>
      </c>
      <c r="G408" s="39">
        <f>(G406+G407+G405)*ПАРАМЕТРЫ!C14/100</f>
        <v>6908.3644593600002</v>
      </c>
      <c r="H408" s="39" t="s">
        <v>94</v>
      </c>
      <c r="I408" s="39">
        <v>1</v>
      </c>
      <c r="J408" s="37" t="s">
        <v>11</v>
      </c>
      <c r="K408" s="37" t="s">
        <v>485</v>
      </c>
    </row>
    <row r="409" spans="1:11" ht="54.75" customHeight="1" thickBot="1" x14ac:dyDescent="0.3">
      <c r="A409" s="41" t="str">
        <f t="shared" si="101"/>
        <v>КОМПЛЕКТ 49.  Мз_ГРЩ1  |  Альбом 7.3 ФО (Фасадная подсветка)</v>
      </c>
      <c r="B409" s="41" t="s">
        <v>502</v>
      </c>
      <c r="C409" s="41"/>
      <c r="D409" s="41" t="s">
        <v>126</v>
      </c>
      <c r="E409" s="40" t="s">
        <v>95</v>
      </c>
      <c r="F409" s="42" t="str">
        <f>ПАРАМЕТРЫ!C15&amp;"%"</f>
        <v>13,46%</v>
      </c>
      <c r="G409" s="43">
        <f>(G406+G407+G405)*ПАРАМЕТРЫ!C15/100</f>
        <v>8633.851961280001</v>
      </c>
      <c r="H409" s="43" t="s">
        <v>94</v>
      </c>
      <c r="I409" s="43">
        <v>1</v>
      </c>
      <c r="J409" s="41" t="s">
        <v>11</v>
      </c>
      <c r="K409" s="41" t="s">
        <v>485</v>
      </c>
    </row>
    <row r="410" spans="1:11" ht="54.75" customHeight="1" thickBot="1" x14ac:dyDescent="0.3">
      <c r="A410" s="53" t="str">
        <f>D410</f>
        <v>КОМПЛЕКТ 50.  ЩР-1 (ЩМП-7-0 36 УХЛ3 IP31)  |  Альбом 7.3 ФО (Фасадная подсветка)</v>
      </c>
      <c r="B410" s="54" t="s">
        <v>503</v>
      </c>
      <c r="C410" s="54"/>
      <c r="D410" s="54" t="s">
        <v>503</v>
      </c>
      <c r="E410" s="54"/>
      <c r="F410" s="54"/>
      <c r="G410" s="54"/>
      <c r="H410" s="54" t="s">
        <v>632</v>
      </c>
      <c r="I410" s="54">
        <v>1</v>
      </c>
      <c r="J410" s="2"/>
      <c r="K410" s="2"/>
    </row>
    <row r="411" spans="1:11" ht="54.75" customHeight="1" x14ac:dyDescent="0.25">
      <c r="A411" s="22" t="str">
        <f t="shared" ref="A411:A415" si="103">A410</f>
        <v>КОМПЛЕКТ 50.  ЩР-1 (ЩМП-7-0 36 УХЛ3 IP31)  |  Альбом 7.3 ФО (Фасадная подсветка)</v>
      </c>
      <c r="B411" s="22" t="s">
        <v>504</v>
      </c>
      <c r="C411" s="22" t="s">
        <v>92</v>
      </c>
      <c r="D411" s="22" t="s">
        <v>505</v>
      </c>
      <c r="E411" s="21" t="s">
        <v>95</v>
      </c>
      <c r="F411" s="21" t="s">
        <v>95</v>
      </c>
      <c r="G411" s="23">
        <v>0</v>
      </c>
      <c r="H411" s="23" t="s">
        <v>94</v>
      </c>
      <c r="I411" s="23">
        <v>1</v>
      </c>
      <c r="J411" s="22" t="s">
        <v>96</v>
      </c>
      <c r="K411" s="22" t="s">
        <v>485</v>
      </c>
    </row>
    <row r="412" spans="1:11" ht="54.75" customHeight="1" x14ac:dyDescent="0.25">
      <c r="A412" s="25" t="str">
        <f t="shared" si="103"/>
        <v>КОМПЛЕКТ 50.  ЩР-1 (ЩМП-7-0 36 УХЛ3 IP31)  |  Альбом 7.3 ФО (Фасадная подсветка)</v>
      </c>
      <c r="B412" s="25" t="s">
        <v>506</v>
      </c>
      <c r="C412" s="25" t="s">
        <v>149</v>
      </c>
      <c r="D412" s="25" t="s">
        <v>148</v>
      </c>
      <c r="E412" s="26">
        <f>ПАРАМЕТРЫ!C27</f>
        <v>36.68</v>
      </c>
      <c r="F412" s="27">
        <f t="shared" ref="F412:F413" si="104">E412*0.3*1.33*590</f>
        <v>8634.8387999999995</v>
      </c>
      <c r="G412" s="27">
        <f>I412*F412</f>
        <v>8634.8387999999995</v>
      </c>
      <c r="H412" s="27" t="s">
        <v>94</v>
      </c>
      <c r="I412" s="27">
        <v>1</v>
      </c>
      <c r="J412" s="25" t="s">
        <v>150</v>
      </c>
      <c r="K412" s="25" t="s">
        <v>485</v>
      </c>
    </row>
    <row r="413" spans="1:11" ht="54.75" customHeight="1" x14ac:dyDescent="0.25">
      <c r="A413" s="29" t="str">
        <f t="shared" si="103"/>
        <v>КОМПЛЕКТ 50.  ЩР-1 (ЩМП-7-0 36 УХЛ3 IP31)  |  Альбом 7.3 ФО (Фасадная подсветка)</v>
      </c>
      <c r="B413" s="29" t="s">
        <v>523</v>
      </c>
      <c r="C413" s="29" t="s">
        <v>603</v>
      </c>
      <c r="D413" s="29" t="s">
        <v>602</v>
      </c>
      <c r="E413" s="30">
        <f>ПАРАМЕТРЫ!C55</f>
        <v>180.4</v>
      </c>
      <c r="F413" s="27">
        <f t="shared" si="104"/>
        <v>42467.964</v>
      </c>
      <c r="G413" s="31">
        <f>I413*F413</f>
        <v>594551.49600000004</v>
      </c>
      <c r="H413" s="31" t="s">
        <v>94</v>
      </c>
      <c r="I413" s="31">
        <v>14</v>
      </c>
      <c r="J413" s="29" t="s">
        <v>507</v>
      </c>
      <c r="K413" s="29" t="s">
        <v>485</v>
      </c>
    </row>
    <row r="414" spans="1:11" ht="54.75" customHeight="1" x14ac:dyDescent="0.25">
      <c r="A414" s="37" t="str">
        <f t="shared" si="103"/>
        <v>КОМПЛЕКТ 50.  ЩР-1 (ЩМП-7-0 36 УХЛ3 IP31)  |  Альбом 7.3 ФО (Фасадная подсветка)</v>
      </c>
      <c r="B414" s="37" t="s">
        <v>508</v>
      </c>
      <c r="C414" s="37"/>
      <c r="D414" s="37" t="s">
        <v>124</v>
      </c>
      <c r="E414" s="36" t="s">
        <v>95</v>
      </c>
      <c r="F414" s="38" t="str">
        <f>ПАРАМЕТРЫ!C6&amp;"%"</f>
        <v>12%</v>
      </c>
      <c r="G414" s="39">
        <f>(G412+G413)*ПАРАМЕТРЫ!C6/100</f>
        <v>72382.360176000002</v>
      </c>
      <c r="H414" s="39" t="s">
        <v>94</v>
      </c>
      <c r="I414" s="39">
        <v>1</v>
      </c>
      <c r="J414" s="37" t="s">
        <v>11</v>
      </c>
      <c r="K414" s="37" t="s">
        <v>485</v>
      </c>
    </row>
    <row r="415" spans="1:11" ht="54.75" customHeight="1" thickBot="1" x14ac:dyDescent="0.3">
      <c r="A415" s="41" t="str">
        <f t="shared" si="103"/>
        <v>КОМПЛЕКТ 50.  ЩР-1 (ЩМП-7-0 36 УХЛ3 IP31)  |  Альбом 7.3 ФО (Фасадная подсветка)</v>
      </c>
      <c r="B415" s="41" t="s">
        <v>509</v>
      </c>
      <c r="C415" s="41"/>
      <c r="D415" s="41" t="s">
        <v>126</v>
      </c>
      <c r="E415" s="40" t="s">
        <v>95</v>
      </c>
      <c r="F415" s="42" t="str">
        <f>ПАРАМЕТРЫ!C7&amp;"%"</f>
        <v>15%</v>
      </c>
      <c r="G415" s="43">
        <f>(G412+G413)*ПАРАМЕТРЫ!C7/100</f>
        <v>90477.950220000013</v>
      </c>
      <c r="H415" s="43" t="s">
        <v>94</v>
      </c>
      <c r="I415" s="43">
        <v>1</v>
      </c>
      <c r="J415" s="41" t="s">
        <v>11</v>
      </c>
      <c r="K415" s="41" t="s">
        <v>485</v>
      </c>
    </row>
    <row r="416" spans="1:11" ht="54.75" customHeight="1" thickBot="1" x14ac:dyDescent="0.3">
      <c r="A416" s="53" t="str">
        <f>D416</f>
        <v>КОМПЛЕКТ 51.  ЩР-2 (ЩМП-7-0 36 УХЛ3 IP31)  |  Альбом 7.3 ФО (Фасадная подсветка)</v>
      </c>
      <c r="B416" s="54" t="s">
        <v>510</v>
      </c>
      <c r="C416" s="54"/>
      <c r="D416" s="54" t="s">
        <v>510</v>
      </c>
      <c r="E416" s="54"/>
      <c r="F416" s="54"/>
      <c r="G416" s="54"/>
      <c r="H416" s="54" t="s">
        <v>632</v>
      </c>
      <c r="I416" s="54">
        <v>1</v>
      </c>
      <c r="J416" s="2"/>
      <c r="K416" s="2"/>
    </row>
    <row r="417" spans="1:11" ht="54.75" customHeight="1" x14ac:dyDescent="0.25">
      <c r="A417" s="22" t="str">
        <f t="shared" ref="A417:A421" si="105">A416</f>
        <v>КОМПЛЕКТ 51.  ЩР-2 (ЩМП-7-0 36 УХЛ3 IP31)  |  Альбом 7.3 ФО (Фасадная подсветка)</v>
      </c>
      <c r="B417" s="22" t="s">
        <v>511</v>
      </c>
      <c r="C417" s="22" t="s">
        <v>92</v>
      </c>
      <c r="D417" s="22" t="s">
        <v>505</v>
      </c>
      <c r="E417" s="21" t="s">
        <v>95</v>
      </c>
      <c r="F417" s="21" t="s">
        <v>95</v>
      </c>
      <c r="G417" s="23">
        <v>0</v>
      </c>
      <c r="H417" s="23" t="s">
        <v>94</v>
      </c>
      <c r="I417" s="23">
        <v>1</v>
      </c>
      <c r="J417" s="22" t="s">
        <v>96</v>
      </c>
      <c r="K417" s="22" t="s">
        <v>485</v>
      </c>
    </row>
    <row r="418" spans="1:11" ht="54.75" customHeight="1" x14ac:dyDescent="0.25">
      <c r="A418" s="25" t="str">
        <f t="shared" si="105"/>
        <v>КОМПЛЕКТ 51.  ЩР-2 (ЩМП-7-0 36 УХЛ3 IP31)  |  Альбом 7.3 ФО (Фасадная подсветка)</v>
      </c>
      <c r="B418" s="25" t="s">
        <v>512</v>
      </c>
      <c r="C418" s="25" t="s">
        <v>149</v>
      </c>
      <c r="D418" s="25" t="s">
        <v>148</v>
      </c>
      <c r="E418" s="26">
        <f>ПАРАМЕТРЫ!C27</f>
        <v>36.68</v>
      </c>
      <c r="F418" s="27">
        <f t="shared" ref="F418:F419" si="106">E418*0.3*1.33*590</f>
        <v>8634.8387999999995</v>
      </c>
      <c r="G418" s="27">
        <f>I418*F418</f>
        <v>8634.8387999999995</v>
      </c>
      <c r="H418" s="27" t="s">
        <v>94</v>
      </c>
      <c r="I418" s="27">
        <v>1</v>
      </c>
      <c r="J418" s="25" t="s">
        <v>150</v>
      </c>
      <c r="K418" s="25" t="s">
        <v>485</v>
      </c>
    </row>
    <row r="419" spans="1:11" ht="54.75" customHeight="1" x14ac:dyDescent="0.25">
      <c r="A419" s="29" t="str">
        <f t="shared" si="105"/>
        <v>КОМПЛЕКТ 51.  ЩР-2 (ЩМП-7-0 36 УХЛ3 IP31)  |  Альбом 7.3 ФО (Фасадная подсветка)</v>
      </c>
      <c r="B419" s="29" t="s">
        <v>523</v>
      </c>
      <c r="C419" s="29" t="s">
        <v>603</v>
      </c>
      <c r="D419" s="29" t="s">
        <v>602</v>
      </c>
      <c r="E419" s="30">
        <f>ПАРАМЕТРЫ!C55</f>
        <v>180.4</v>
      </c>
      <c r="F419" s="27">
        <f t="shared" si="106"/>
        <v>42467.964</v>
      </c>
      <c r="G419" s="31">
        <f>I419*F419</f>
        <v>509615.56799999997</v>
      </c>
      <c r="H419" s="31" t="s">
        <v>94</v>
      </c>
      <c r="I419" s="31">
        <v>12</v>
      </c>
      <c r="J419" s="29" t="s">
        <v>507</v>
      </c>
      <c r="K419" s="29" t="s">
        <v>485</v>
      </c>
    </row>
    <row r="420" spans="1:11" ht="54.75" customHeight="1" x14ac:dyDescent="0.25">
      <c r="A420" s="37" t="str">
        <f t="shared" si="105"/>
        <v>КОМПЛЕКТ 51.  ЩР-2 (ЩМП-7-0 36 УХЛ3 IP31)  |  Альбом 7.3 ФО (Фасадная подсветка)</v>
      </c>
      <c r="B420" s="37" t="s">
        <v>513</v>
      </c>
      <c r="C420" s="37"/>
      <c r="D420" s="37" t="s">
        <v>124</v>
      </c>
      <c r="E420" s="36" t="s">
        <v>95</v>
      </c>
      <c r="F420" s="38" t="str">
        <f>ПАРАМЕТРЫ!C6&amp;"%"</f>
        <v>12%</v>
      </c>
      <c r="G420" s="39">
        <f>(G418+G419)*ПАРАМЕТРЫ!C6/100</f>
        <v>62190.048816000002</v>
      </c>
      <c r="H420" s="39" t="s">
        <v>94</v>
      </c>
      <c r="I420" s="39">
        <v>1</v>
      </c>
      <c r="J420" s="37" t="s">
        <v>11</v>
      </c>
      <c r="K420" s="37" t="s">
        <v>485</v>
      </c>
    </row>
    <row r="421" spans="1:11" ht="54.75" customHeight="1" thickBot="1" x14ac:dyDescent="0.3">
      <c r="A421" s="41" t="str">
        <f t="shared" si="105"/>
        <v>КОМПЛЕКТ 51.  ЩР-2 (ЩМП-7-0 36 УХЛ3 IP31)  |  Альбом 7.3 ФО (Фасадная подсветка)</v>
      </c>
      <c r="B421" s="41" t="s">
        <v>514</v>
      </c>
      <c r="C421" s="41"/>
      <c r="D421" s="41" t="s">
        <v>126</v>
      </c>
      <c r="E421" s="40" t="s">
        <v>95</v>
      </c>
      <c r="F421" s="42" t="str">
        <f>ПАРАМЕТРЫ!C7&amp;"%"</f>
        <v>15%</v>
      </c>
      <c r="G421" s="43">
        <f>(G418+G419)*ПАРАМЕТРЫ!C7/100</f>
        <v>77737.561019999994</v>
      </c>
      <c r="H421" s="43" t="s">
        <v>94</v>
      </c>
      <c r="I421" s="43">
        <v>1</v>
      </c>
      <c r="J421" s="41" t="s">
        <v>11</v>
      </c>
      <c r="K421" s="41" t="s">
        <v>485</v>
      </c>
    </row>
    <row r="422" spans="1:11" ht="54.75" customHeight="1" thickBot="1" x14ac:dyDescent="0.3">
      <c r="A422" s="53" t="str">
        <f>D422</f>
        <v>КОМПЛЕКТ 52.  ЩР-3 (ЩМП-7-0 36 УХЛ3 IP31)  |  Альбом 7.3 ФО (Фасадная подсветка)</v>
      </c>
      <c r="B422" s="54" t="s">
        <v>515</v>
      </c>
      <c r="C422" s="54"/>
      <c r="D422" s="54" t="s">
        <v>515</v>
      </c>
      <c r="E422" s="54"/>
      <c r="F422" s="54"/>
      <c r="G422" s="54"/>
      <c r="H422" s="54" t="s">
        <v>632</v>
      </c>
      <c r="I422" s="54">
        <v>1</v>
      </c>
      <c r="J422" s="2"/>
      <c r="K422" s="2"/>
    </row>
    <row r="423" spans="1:11" ht="54.75" customHeight="1" x14ac:dyDescent="0.25">
      <c r="A423" s="22" t="str">
        <f t="shared" ref="A423:A427" si="107">A422</f>
        <v>КОМПЛЕКТ 52.  ЩР-3 (ЩМП-7-0 36 УХЛ3 IP31)  |  Альбом 7.3 ФО (Фасадная подсветка)</v>
      </c>
      <c r="B423" s="22" t="s">
        <v>516</v>
      </c>
      <c r="C423" s="22" t="s">
        <v>92</v>
      </c>
      <c r="D423" s="22" t="s">
        <v>505</v>
      </c>
      <c r="E423" s="21" t="s">
        <v>95</v>
      </c>
      <c r="F423" s="21" t="s">
        <v>95</v>
      </c>
      <c r="G423" s="23">
        <v>0</v>
      </c>
      <c r="H423" s="23" t="s">
        <v>94</v>
      </c>
      <c r="I423" s="23">
        <v>1</v>
      </c>
      <c r="J423" s="22" t="s">
        <v>96</v>
      </c>
      <c r="K423" s="22" t="s">
        <v>485</v>
      </c>
    </row>
    <row r="424" spans="1:11" ht="54.75" customHeight="1" x14ac:dyDescent="0.25">
      <c r="A424" s="25" t="str">
        <f t="shared" si="107"/>
        <v>КОМПЛЕКТ 52.  ЩР-3 (ЩМП-7-0 36 УХЛ3 IP31)  |  Альбом 7.3 ФО (Фасадная подсветка)</v>
      </c>
      <c r="B424" s="25" t="s">
        <v>517</v>
      </c>
      <c r="C424" s="25" t="s">
        <v>149</v>
      </c>
      <c r="D424" s="25" t="s">
        <v>148</v>
      </c>
      <c r="E424" s="26">
        <f>ПАРАМЕТРЫ!C27</f>
        <v>36.68</v>
      </c>
      <c r="F424" s="27">
        <f t="shared" ref="F424:F425" si="108">E424*0.3*1.33*590</f>
        <v>8634.8387999999995</v>
      </c>
      <c r="G424" s="27">
        <f>I424*F424</f>
        <v>8634.8387999999995</v>
      </c>
      <c r="H424" s="27" t="s">
        <v>94</v>
      </c>
      <c r="I424" s="27">
        <v>1</v>
      </c>
      <c r="J424" s="25" t="s">
        <v>150</v>
      </c>
      <c r="K424" s="25" t="s">
        <v>485</v>
      </c>
    </row>
    <row r="425" spans="1:11" ht="54.75" customHeight="1" x14ac:dyDescent="0.25">
      <c r="A425" s="29" t="str">
        <f t="shared" si="107"/>
        <v>КОМПЛЕКТ 52.  ЩР-3 (ЩМП-7-0 36 УХЛ3 IP31)  |  Альбом 7.3 ФО (Фасадная подсветка)</v>
      </c>
      <c r="B425" s="29" t="s">
        <v>523</v>
      </c>
      <c r="C425" s="29" t="s">
        <v>603</v>
      </c>
      <c r="D425" s="29" t="s">
        <v>602</v>
      </c>
      <c r="E425" s="30">
        <f>ПАРАМЕТРЫ!C55</f>
        <v>180.4</v>
      </c>
      <c r="F425" s="27">
        <f t="shared" si="108"/>
        <v>42467.964</v>
      </c>
      <c r="G425" s="31">
        <f>I425*F425</f>
        <v>552083.53200000001</v>
      </c>
      <c r="H425" s="31" t="s">
        <v>94</v>
      </c>
      <c r="I425" s="31">
        <v>13</v>
      </c>
      <c r="J425" s="29" t="s">
        <v>507</v>
      </c>
      <c r="K425" s="29" t="s">
        <v>485</v>
      </c>
    </row>
    <row r="426" spans="1:11" ht="54.75" customHeight="1" x14ac:dyDescent="0.25">
      <c r="A426" s="37" t="str">
        <f t="shared" si="107"/>
        <v>КОМПЛЕКТ 52.  ЩР-3 (ЩМП-7-0 36 УХЛ3 IP31)  |  Альбом 7.3 ФО (Фасадная подсветка)</v>
      </c>
      <c r="B426" s="37" t="s">
        <v>518</v>
      </c>
      <c r="C426" s="37"/>
      <c r="D426" s="37" t="s">
        <v>124</v>
      </c>
      <c r="E426" s="36" t="s">
        <v>95</v>
      </c>
      <c r="F426" s="38" t="str">
        <f>ПАРАМЕТРЫ!C6&amp;"%"</f>
        <v>12%</v>
      </c>
      <c r="G426" s="39">
        <f>(G424+G425)*ПАРАМЕТРЫ!C6/100</f>
        <v>67286.204496000006</v>
      </c>
      <c r="H426" s="39" t="s">
        <v>94</v>
      </c>
      <c r="I426" s="39">
        <v>1</v>
      </c>
      <c r="J426" s="37" t="s">
        <v>11</v>
      </c>
      <c r="K426" s="37" t="s">
        <v>485</v>
      </c>
    </row>
    <row r="427" spans="1:11" ht="54.75" customHeight="1" thickBot="1" x14ac:dyDescent="0.3">
      <c r="A427" s="41" t="str">
        <f t="shared" si="107"/>
        <v>КОМПЛЕКТ 52.  ЩР-3 (ЩМП-7-0 36 УХЛ3 IP31)  |  Альбом 7.3 ФО (Фасадная подсветка)</v>
      </c>
      <c r="B427" s="41" t="s">
        <v>519</v>
      </c>
      <c r="C427" s="41"/>
      <c r="D427" s="41" t="s">
        <v>126</v>
      </c>
      <c r="E427" s="40" t="s">
        <v>95</v>
      </c>
      <c r="F427" s="42" t="str">
        <f>ПАРАМЕТРЫ!C7&amp;"%"</f>
        <v>15%</v>
      </c>
      <c r="G427" s="43">
        <f>(G424+G425)*ПАРАМЕТРЫ!C7/100</f>
        <v>84107.755620000011</v>
      </c>
      <c r="H427" s="43" t="s">
        <v>94</v>
      </c>
      <c r="I427" s="43">
        <v>1</v>
      </c>
      <c r="J427" s="41" t="s">
        <v>11</v>
      </c>
      <c r="K427" s="41" t="s">
        <v>485</v>
      </c>
    </row>
    <row r="428" spans="1:11" ht="54.75" customHeight="1" thickBot="1" x14ac:dyDescent="0.3">
      <c r="A428" s="53" t="str">
        <f>D428</f>
        <v>КОМПЛЕКТ 53.  ЩР-4 (ЩМП-7-0 36 УХЛ3 IP31)  |  Альбом 7.3 ФО (Фасадная подсветка)</v>
      </c>
      <c r="B428" s="54" t="s">
        <v>520</v>
      </c>
      <c r="C428" s="54"/>
      <c r="D428" s="54" t="s">
        <v>520</v>
      </c>
      <c r="E428" s="54"/>
      <c r="F428" s="54"/>
      <c r="G428" s="54"/>
      <c r="H428" s="54" t="s">
        <v>632</v>
      </c>
      <c r="I428" s="54">
        <v>1</v>
      </c>
      <c r="J428" s="2"/>
      <c r="K428" s="2"/>
    </row>
    <row r="429" spans="1:11" ht="54.75" customHeight="1" x14ac:dyDescent="0.25">
      <c r="A429" s="22" t="str">
        <f t="shared" ref="A429:A433" si="109">A428</f>
        <v>КОМПЛЕКТ 53.  ЩР-4 (ЩМП-7-0 36 УХЛ3 IP31)  |  Альбом 7.3 ФО (Фасадная подсветка)</v>
      </c>
      <c r="B429" s="22" t="s">
        <v>521</v>
      </c>
      <c r="C429" s="22" t="s">
        <v>92</v>
      </c>
      <c r="D429" s="22" t="s">
        <v>505</v>
      </c>
      <c r="E429" s="21" t="s">
        <v>95</v>
      </c>
      <c r="F429" s="21" t="s">
        <v>95</v>
      </c>
      <c r="G429" s="23">
        <v>0</v>
      </c>
      <c r="H429" s="23" t="s">
        <v>94</v>
      </c>
      <c r="I429" s="23">
        <v>1</v>
      </c>
      <c r="J429" s="22" t="s">
        <v>96</v>
      </c>
      <c r="K429" s="22" t="s">
        <v>485</v>
      </c>
    </row>
    <row r="430" spans="1:11" ht="54.75" customHeight="1" x14ac:dyDescent="0.25">
      <c r="A430" s="25" t="str">
        <f t="shared" si="109"/>
        <v>КОМПЛЕКТ 53.  ЩР-4 (ЩМП-7-0 36 УХЛ3 IP31)  |  Альбом 7.3 ФО (Фасадная подсветка)</v>
      </c>
      <c r="B430" s="25" t="s">
        <v>522</v>
      </c>
      <c r="C430" s="25" t="s">
        <v>149</v>
      </c>
      <c r="D430" s="25" t="s">
        <v>148</v>
      </c>
      <c r="E430" s="26">
        <f>ПАРАМЕТРЫ!C27</f>
        <v>36.68</v>
      </c>
      <c r="F430" s="27">
        <f t="shared" ref="F430:F431" si="110">E430*0.3*1.33*590</f>
        <v>8634.8387999999995</v>
      </c>
      <c r="G430" s="27">
        <f>I430*F430</f>
        <v>8634.8387999999995</v>
      </c>
      <c r="H430" s="27" t="s">
        <v>94</v>
      </c>
      <c r="I430" s="27">
        <v>1</v>
      </c>
      <c r="J430" s="25" t="s">
        <v>150</v>
      </c>
      <c r="K430" s="25" t="s">
        <v>485</v>
      </c>
    </row>
    <row r="431" spans="1:11" ht="54.75" customHeight="1" x14ac:dyDescent="0.25">
      <c r="A431" s="29" t="str">
        <f t="shared" si="109"/>
        <v>КОМПЛЕКТ 53.  ЩР-4 (ЩМП-7-0 36 УХЛ3 IP31)  |  Альбом 7.3 ФО (Фасадная подсветка)</v>
      </c>
      <c r="B431" s="29" t="s">
        <v>523</v>
      </c>
      <c r="C431" s="29" t="s">
        <v>603</v>
      </c>
      <c r="D431" s="29" t="s">
        <v>602</v>
      </c>
      <c r="E431" s="30">
        <f>ПАРАМЕТРЫ!C55</f>
        <v>180.4</v>
      </c>
      <c r="F431" s="27">
        <f t="shared" si="110"/>
        <v>42467.964</v>
      </c>
      <c r="G431" s="31">
        <f>I431*F431</f>
        <v>509615.56799999997</v>
      </c>
      <c r="H431" s="31" t="s">
        <v>94</v>
      </c>
      <c r="I431" s="31">
        <v>12</v>
      </c>
      <c r="J431" s="29" t="s">
        <v>507</v>
      </c>
      <c r="K431" s="29" t="s">
        <v>485</v>
      </c>
    </row>
    <row r="432" spans="1:11" ht="54.75" customHeight="1" x14ac:dyDescent="0.25">
      <c r="A432" s="37" t="str">
        <f t="shared" si="109"/>
        <v>КОМПЛЕКТ 53.  ЩР-4 (ЩМП-7-0 36 УХЛ3 IP31)  |  Альбом 7.3 ФО (Фасадная подсветка)</v>
      </c>
      <c r="B432" s="37" t="s">
        <v>524</v>
      </c>
      <c r="C432" s="37"/>
      <c r="D432" s="37" t="s">
        <v>124</v>
      </c>
      <c r="E432" s="36" t="s">
        <v>95</v>
      </c>
      <c r="F432" s="38" t="str">
        <f>ПАРАМЕТРЫ!C6&amp;"%"</f>
        <v>12%</v>
      </c>
      <c r="G432" s="39">
        <f>(G430+G431)*ПАРАМЕТРЫ!C6/100</f>
        <v>62190.048816000002</v>
      </c>
      <c r="H432" s="39" t="s">
        <v>94</v>
      </c>
      <c r="I432" s="39">
        <v>1</v>
      </c>
      <c r="J432" s="37" t="s">
        <v>11</v>
      </c>
      <c r="K432" s="37" t="s">
        <v>485</v>
      </c>
    </row>
    <row r="433" spans="1:11" ht="54.75" customHeight="1" x14ac:dyDescent="0.25">
      <c r="A433" s="41" t="str">
        <f t="shared" si="109"/>
        <v>КОМПЛЕКТ 53.  ЩР-4 (ЩМП-7-0 36 УХЛ3 IP31)  |  Альбом 7.3 ФО (Фасадная подсветка)</v>
      </c>
      <c r="B433" s="41" t="s">
        <v>525</v>
      </c>
      <c r="C433" s="41"/>
      <c r="D433" s="41" t="s">
        <v>126</v>
      </c>
      <c r="E433" s="40" t="s">
        <v>95</v>
      </c>
      <c r="F433" s="42" t="str">
        <f>ПАРАМЕТРЫ!C7&amp;"%"</f>
        <v>15%</v>
      </c>
      <c r="G433" s="43">
        <f>(G430+G431)*ПАРАМЕТРЫ!C7/100</f>
        <v>77737.561019999994</v>
      </c>
      <c r="H433" s="43" t="s">
        <v>94</v>
      </c>
      <c r="I433" s="43">
        <v>1</v>
      </c>
      <c r="J433" s="41" t="s">
        <v>11</v>
      </c>
      <c r="K433" s="41" t="s">
        <v>485</v>
      </c>
    </row>
  </sheetData>
  <autoFilter ref="A2:L433" xr:uid="{1524FA38-6DF9-4DEB-B136-6A0176326A1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zoomScaleNormal="100" workbookViewId="0">
      <selection activeCell="A21" sqref="A21"/>
    </sheetView>
  </sheetViews>
  <sheetFormatPr defaultColWidth="8.7109375" defaultRowHeight="15" x14ac:dyDescent="0.25"/>
  <cols>
    <col min="1" max="1" width="52" customWidth="1"/>
    <col min="2" max="2" width="22" customWidth="1"/>
    <col min="3" max="3" width="18" customWidth="1"/>
    <col min="4" max="4" width="10" customWidth="1"/>
  </cols>
  <sheetData>
    <row r="1" spans="1:4" ht="24" customHeight="1" x14ac:dyDescent="0.25">
      <c r="A1" s="44" t="s">
        <v>532</v>
      </c>
      <c r="B1" s="2"/>
      <c r="C1" s="2"/>
      <c r="D1" s="2"/>
    </row>
    <row r="2" spans="1:4" ht="19.5" customHeight="1" x14ac:dyDescent="0.25">
      <c r="A2" s="3" t="s">
        <v>533</v>
      </c>
      <c r="B2" s="3" t="s">
        <v>534</v>
      </c>
      <c r="C2" s="3" t="s">
        <v>535</v>
      </c>
      <c r="D2" s="3" t="s">
        <v>536</v>
      </c>
    </row>
    <row r="3" spans="1:4" ht="16.5" customHeight="1" x14ac:dyDescent="0.25">
      <c r="A3" s="11" t="s">
        <v>526</v>
      </c>
      <c r="B3" s="45" t="e">
        <f>BOM!#REF!+BOM!#REF!+BOM!#REF!+BOM!#REF!+BOM!#REF!+BOM!#REF!+BOM!#REF!</f>
        <v>#REF!</v>
      </c>
      <c r="C3" s="24" t="s">
        <v>77</v>
      </c>
      <c r="D3" s="24" t="s">
        <v>537</v>
      </c>
    </row>
    <row r="4" spans="1:4" ht="16.5" customHeight="1" x14ac:dyDescent="0.25">
      <c r="A4" s="5" t="s">
        <v>527</v>
      </c>
      <c r="B4" s="46" t="e">
        <f>BOM!#REF!+BOM!#REF!+BOM!#REF!+BOM!#REF!+BOM!#REF!+BOM!#REF!+BOM!#REF!+BOM!#REF!+BOM!#REF!+BOM!#REF!+BOM!#REF!+BOM!#REF!+BOM!#REF!+BOM!#REF!+BOM!#REF!+BOM!#REF!</f>
        <v>#REF!</v>
      </c>
      <c r="C4" s="28" t="s">
        <v>77</v>
      </c>
      <c r="D4" s="28" t="s">
        <v>538</v>
      </c>
    </row>
    <row r="5" spans="1:4" ht="16.5" customHeight="1" x14ac:dyDescent="0.25">
      <c r="A5" s="11" t="s">
        <v>528</v>
      </c>
      <c r="B5" s="45" t="e">
        <f>BOM!#REF!+BOM!#REF!+BOM!#REF!+BOM!#REF!+BOM!#REF!+BOM!#REF!+BOM!#REF!+BOM!#REF!+BOM!#REF!+BOM!#REF!+BOM!#REF!+BOM!#REF!+BOM!#REF!+BOM!#REF!+BOM!#REF!+BOM!#REF!+BOM!#REF!+BOM!#REF!+BOM!#REF!+BOM!#REF!</f>
        <v>#REF!</v>
      </c>
      <c r="C5" s="24" t="s">
        <v>77</v>
      </c>
      <c r="D5" s="24" t="s">
        <v>539</v>
      </c>
    </row>
    <row r="6" spans="1:4" ht="16.5" customHeight="1" x14ac:dyDescent="0.25">
      <c r="A6" s="5" t="s">
        <v>529</v>
      </c>
      <c r="B6" s="46" t="e">
        <f>BOM!#REF!+BOM!#REF!</f>
        <v>#REF!</v>
      </c>
      <c r="C6" s="28" t="s">
        <v>77</v>
      </c>
      <c r="D6" s="28" t="s">
        <v>540</v>
      </c>
    </row>
    <row r="7" spans="1:4" ht="16.5" customHeight="1" x14ac:dyDescent="0.25">
      <c r="A7" s="11" t="s">
        <v>530</v>
      </c>
      <c r="B7" s="45" t="e">
        <f>BOM!#REF!+BOM!#REF!</f>
        <v>#REF!</v>
      </c>
      <c r="C7" s="24" t="s">
        <v>77</v>
      </c>
      <c r="D7" s="24" t="s">
        <v>540</v>
      </c>
    </row>
    <row r="8" spans="1:4" ht="16.5" customHeight="1" x14ac:dyDescent="0.25">
      <c r="A8" s="5" t="s">
        <v>531</v>
      </c>
      <c r="B8" s="46" t="e">
        <f>BOM!#REF!+BOM!#REF!+BOM!#REF!+BOM!#REF!+BOM!#REF!+BOM!#REF!</f>
        <v>#REF!</v>
      </c>
      <c r="C8" s="28" t="s">
        <v>77</v>
      </c>
      <c r="D8" s="28" t="s">
        <v>541</v>
      </c>
    </row>
    <row r="9" spans="1:4" ht="21.75" customHeight="1" x14ac:dyDescent="0.25">
      <c r="A9" s="47" t="s">
        <v>542</v>
      </c>
      <c r="B9" s="48" t="e">
        <f>B3+B4+B5+B6+B7+B8</f>
        <v>#REF!</v>
      </c>
      <c r="C9" s="49" t="s">
        <v>543</v>
      </c>
      <c r="D9" s="49" t="s">
        <v>544</v>
      </c>
    </row>
    <row r="11" spans="1:4" x14ac:dyDescent="0.25">
      <c r="A11" s="50" t="s">
        <v>545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ПАРАМЕТРЫ</vt:lpstr>
      <vt:lpstr>BOM</vt:lpstr>
      <vt:lpstr>Sayfa1</vt:lpstr>
      <vt:lpstr>СВОДНАЯ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2026-06-10T03:51:21Z</dcterms:created>
  <dcterms:modified xsi:type="dcterms:W3CDTF">2026-06-24T08:24:35Z</dcterms:modified>
  <dc:language>en-US</dc:language>
</cp:coreProperties>
</file>