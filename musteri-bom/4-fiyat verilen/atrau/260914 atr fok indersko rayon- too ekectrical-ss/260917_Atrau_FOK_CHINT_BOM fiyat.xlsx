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atr fok indersko rayon- too ekectrical-ss\"/>
    </mc:Choice>
  </mc:AlternateContent>
  <xr:revisionPtr revIDLastSave="0" documentId="13_ncr:1_{78D5D9A8-E149-4C9F-9510-B6F7F9168A7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RA_DERATING">#REF!</definedName>
    <definedName name="BARA_ESIK_A">#REF!</definedName>
    <definedName name="BARA_FIRE">#REF!</definedName>
    <definedName name="CU_A">#REF!</definedName>
    <definedName name="CU_KOD">#REF!</definedName>
    <definedName name="CU_MM2">#REF!</definedName>
    <definedName name="DK_UCRET">#REF!</definedName>
    <definedName name="F_BK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MODUL">#REF!</definedName>
    <definedName name="F_PAKET">#REF!</definedName>
    <definedName name="F_TEL">#REF!</definedName>
    <definedName name="F_TELM">#REF!</definedName>
    <definedName name="F_Y">#REF!</definedName>
    <definedName name="FA">#REF!</definedName>
    <definedName name="FIRMA">#REF!</definedName>
    <definedName name="FIYAT_AD">#REF!</definedName>
    <definedName name="FIYAT_BIRIM">#REF!</definedName>
    <definedName name="FIYAT_DURUM">#REF!</definedName>
    <definedName name="FIYAT_LISTE">#REF!</definedName>
    <definedName name="FIYAT_MARKA">#REF!</definedName>
    <definedName name="FIYAT_NET">#REF!</definedName>
    <definedName name="GECERLILIK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FIRE">#REF!</definedName>
    <definedName name="KAPI_TOPRAK_M">#REF!</definedName>
    <definedName name="KAR_ORANI">#REF!</definedName>
    <definedName name="KAYNAK_KOD">#REF!</definedName>
    <definedName name="KAYNAK_TARIH">#REF!</definedName>
    <definedName name="KLEMENS_ALT">#REF!</definedName>
    <definedName name="KLEMENS_KES">#REF!</definedName>
    <definedName name="KLEMENS_MAX_KESIT">#REF!</definedName>
    <definedName name="KLEMENS_YEDEK">#REF!</definedName>
    <definedName name="KORPUS_IC_PAY_MM">#REF!</definedName>
    <definedName name="KORPUS_YEDEK">#REF!</definedName>
    <definedName name="KUMANDA_KESIT">#REF!</definedName>
    <definedName name="KUR_AD">#REF!</definedName>
    <definedName name="KUR_DEG">#REF!</definedName>
    <definedName name="MARKA_AD">#REF!</definedName>
    <definedName name="MARKA_IZIN">#REF!</definedName>
    <definedName name="MARKA_KAT">#REF!</definedName>
    <definedName name="MARKA_PARA">#REF!</definedName>
    <definedName name="MODUL_MM">#REF!</definedName>
    <definedName name="MONTAJ_MALZ_KAT">#REF!</definedName>
    <definedName name="MUSTERI">#REF!</definedName>
    <definedName name="NDS_ORANI">#REF!</definedName>
    <definedName name="NORM_DK">#REF!</definedName>
    <definedName name="ODEME">#REF!</definedName>
    <definedName name="OLCU_KESIT">#REF!</definedName>
    <definedName name="PABUC_FIRE">#REF!</definedName>
    <definedName name="PABUC_MIN_KESIT">#REF!</definedName>
    <definedName name="PROJE">#REF!</definedName>
    <definedName name="SEHIR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IP_AD">#REF!</definedName>
    <definedName name="TIP_GRUP">#REF!</definedName>
    <definedName name="TIP_TEL">#REF!</definedName>
    <definedName name="TIP_TELM">#REF!</definedName>
    <definedName name="YAS_ESKI_AY">#REF!</definedName>
    <definedName name="YAS_YASAK_AY">#REF!</definedName>
    <definedName name="_xlnm.Print_Area" localSheetId="0">TEKLIF!$A$1:$F$24</definedName>
    <definedName name="YUKSUK_FIRE">#REF!</definedName>
    <definedName name="YUKSUK_MAX_KES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4" l="1"/>
  <c r="F14" i="4" l="1"/>
  <c r="F12" i="4"/>
  <c r="F9" i="4"/>
  <c r="F16" i="4"/>
  <c r="F11" i="4" l="1"/>
  <c r="F15" i="4"/>
  <c r="F10" i="4" l="1"/>
  <c r="F13" i="4" l="1"/>
  <c r="F17" i="4" s="1"/>
  <c r="F18" i="4" s="1"/>
</calcChain>
</file>

<file path=xl/sharedStrings.xml><?xml version="1.0" encoding="utf-8"?>
<sst xmlns="http://schemas.openxmlformats.org/spreadsheetml/2006/main" count="34" uniqueCount="27">
  <si>
    <t>Наименование</t>
  </si>
  <si>
    <t>Ед.изм</t>
  </si>
  <si>
    <t>Rahmi bey</t>
  </si>
  <si>
    <t>ФОК Спортивный комплекс 01-2024-ЭОМ</t>
  </si>
  <si>
    <t>YSF HICH</t>
  </si>
  <si>
    <t>НДС</t>
  </si>
  <si>
    <t>Заказчик:</t>
  </si>
  <si>
    <t>Объект:</t>
  </si>
  <si>
    <t>№</t>
  </si>
  <si>
    <t>Кол-во</t>
  </si>
  <si>
    <t>Сумма, тг (без НДС)</t>
  </si>
  <si>
    <t>компл.</t>
  </si>
  <si>
    <t>Итого с НДС</t>
  </si>
  <si>
    <t>Срок изготовления:</t>
  </si>
  <si>
    <t>Условия оплаты:</t>
  </si>
  <si>
    <t>Срок действия, дн.:</t>
  </si>
  <si>
    <t>ВРУ-1 (260917 fok atr)</t>
  </si>
  <si>
    <t>ЩР-1 (260917 fok atr)</t>
  </si>
  <si>
    <t>ЩС-1 (260917 fok atr)</t>
  </si>
  <si>
    <t>ЩС-2 (260917 fok atr)</t>
  </si>
  <si>
    <t>ЩВ-1 (260917 fok atr)</t>
  </si>
  <si>
    <t>ЩО-1 (260917 fok atr)</t>
  </si>
  <si>
    <t>ЩАО-1 (260917 fok atr)</t>
  </si>
  <si>
    <t>КТ-КМИ-22510 (отключение вентиляции ЩВ-1) (260917 fok atr)</t>
  </si>
  <si>
    <t>КОММЕРЧЕСКОЕ ПРЕДЛОЖЕНИЕ № 290917 от 00.mm.2026</t>
  </si>
  <si>
    <t>Цена за ед., тг ( с НДС)</t>
  </si>
  <si>
    <t>Итого 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</si>
</sst>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tabSelected="1" zoomScaleNormal="100" workbookViewId="0">
      <selection activeCell="J14" sqref="J14"/>
    </sheetView>
  </sheetViews>
  <sheetFormatPr defaultColWidth="8.7109375" defaultRowHeight="15" x14ac:dyDescent="0.25"/>
  <cols>
    <col min="1" max="1" width="13.7109375" customWidth="1"/>
    <col min="2" max="2" width="60" customWidth="1"/>
    <col min="3" max="4" width="8" style="9" customWidth="1"/>
    <col min="5" max="5" width="16" customWidth="1"/>
    <col min="6" max="6" width="18" customWidth="1"/>
  </cols>
  <sheetData>
    <row r="1" spans="1:6" ht="15" customHeight="1" x14ac:dyDescent="0.25">
      <c r="A1" s="5" t="s">
        <v>4</v>
      </c>
    </row>
    <row r="3" spans="1:6" ht="15" customHeight="1" x14ac:dyDescent="0.25">
      <c r="A3" s="5" t="s">
        <v>24</v>
      </c>
    </row>
    <row r="5" spans="1:6" ht="15" customHeight="1" x14ac:dyDescent="0.25">
      <c r="A5" s="2" t="s">
        <v>6</v>
      </c>
      <c r="B5" s="3" t="s">
        <v>2</v>
      </c>
    </row>
    <row r="6" spans="1:6" ht="15" customHeight="1" x14ac:dyDescent="0.25">
      <c r="A6" s="2" t="s">
        <v>7</v>
      </c>
      <c r="B6" s="3" t="s">
        <v>3</v>
      </c>
    </row>
    <row r="8" spans="1:6" ht="23.25" customHeight="1" x14ac:dyDescent="0.25">
      <c r="A8" s="6" t="s">
        <v>8</v>
      </c>
      <c r="B8" s="6" t="s">
        <v>0</v>
      </c>
      <c r="C8" s="10" t="s">
        <v>9</v>
      </c>
      <c r="D8" s="10" t="s">
        <v>1</v>
      </c>
      <c r="E8" s="6" t="s">
        <v>25</v>
      </c>
      <c r="F8" s="6" t="s">
        <v>10</v>
      </c>
    </row>
    <row r="9" spans="1:6" ht="15" customHeight="1" x14ac:dyDescent="0.25">
      <c r="A9" s="11">
        <v>1</v>
      </c>
      <c r="B9" s="4" t="s">
        <v>16</v>
      </c>
      <c r="C9" s="11">
        <v>1</v>
      </c>
      <c r="D9" s="11" t="s">
        <v>11</v>
      </c>
      <c r="E9" s="7">
        <v>1546367</v>
      </c>
      <c r="F9" s="7">
        <f t="shared" ref="F9:F16" si="0">IF(E9="","",C9*E9)</f>
        <v>1546367</v>
      </c>
    </row>
    <row r="10" spans="1:6" ht="15" customHeight="1" x14ac:dyDescent="0.25">
      <c r="A10" s="11">
        <v>2</v>
      </c>
      <c r="B10" s="4" t="s">
        <v>17</v>
      </c>
      <c r="C10" s="11">
        <v>1</v>
      </c>
      <c r="D10" s="11" t="s">
        <v>11</v>
      </c>
      <c r="E10" s="7">
        <v>197328.75999999998</v>
      </c>
      <c r="F10" s="7">
        <f t="shared" si="0"/>
        <v>197328.75999999998</v>
      </c>
    </row>
    <row r="11" spans="1:6" ht="15" customHeight="1" x14ac:dyDescent="0.25">
      <c r="A11" s="11">
        <v>3</v>
      </c>
      <c r="B11" s="4" t="s">
        <v>18</v>
      </c>
      <c r="C11" s="11">
        <v>1</v>
      </c>
      <c r="D11" s="11" t="s">
        <v>11</v>
      </c>
      <c r="E11" s="7">
        <v>204126.36</v>
      </c>
      <c r="F11" s="7">
        <f t="shared" si="0"/>
        <v>204126.36</v>
      </c>
    </row>
    <row r="12" spans="1:6" ht="15" customHeight="1" x14ac:dyDescent="0.25">
      <c r="A12" s="11">
        <v>4</v>
      </c>
      <c r="B12" s="4" t="s">
        <v>19</v>
      </c>
      <c r="C12" s="11">
        <v>1</v>
      </c>
      <c r="D12" s="11" t="s">
        <v>11</v>
      </c>
      <c r="E12" s="7">
        <v>263117</v>
      </c>
      <c r="F12" s="7">
        <f t="shared" si="0"/>
        <v>263117</v>
      </c>
    </row>
    <row r="13" spans="1:6" ht="15" customHeight="1" x14ac:dyDescent="0.25">
      <c r="A13" s="11">
        <v>5</v>
      </c>
      <c r="B13" s="4" t="s">
        <v>20</v>
      </c>
      <c r="C13" s="11">
        <v>1</v>
      </c>
      <c r="D13" s="11" t="s">
        <v>11</v>
      </c>
      <c r="E13" s="7">
        <v>114737.92</v>
      </c>
      <c r="F13" s="7">
        <f t="shared" si="0"/>
        <v>114737.92</v>
      </c>
    </row>
    <row r="14" spans="1:6" ht="15" customHeight="1" x14ac:dyDescent="0.25">
      <c r="A14" s="11">
        <v>6</v>
      </c>
      <c r="B14" s="4" t="s">
        <v>21</v>
      </c>
      <c r="C14" s="11">
        <v>1</v>
      </c>
      <c r="D14" s="11" t="s">
        <v>11</v>
      </c>
      <c r="E14" s="7">
        <v>149967.12</v>
      </c>
      <c r="F14" s="7">
        <f t="shared" si="0"/>
        <v>149967.12</v>
      </c>
    </row>
    <row r="15" spans="1:6" ht="15" customHeight="1" x14ac:dyDescent="0.25">
      <c r="A15" s="11">
        <v>7</v>
      </c>
      <c r="B15" s="4" t="s">
        <v>22</v>
      </c>
      <c r="C15" s="11">
        <v>1</v>
      </c>
      <c r="D15" s="11" t="s">
        <v>11</v>
      </c>
      <c r="E15" s="7">
        <v>59411.719999999994</v>
      </c>
      <c r="F15" s="7">
        <f t="shared" si="0"/>
        <v>59411.719999999994</v>
      </c>
    </row>
    <row r="16" spans="1:6" ht="15" customHeight="1" x14ac:dyDescent="0.25">
      <c r="A16" s="11">
        <v>8</v>
      </c>
      <c r="B16" s="4" t="s">
        <v>23</v>
      </c>
      <c r="C16" s="11">
        <v>1</v>
      </c>
      <c r="D16" s="11" t="s">
        <v>11</v>
      </c>
      <c r="E16" s="7">
        <v>109182.68</v>
      </c>
      <c r="F16" s="7">
        <f t="shared" si="0"/>
        <v>109182.68</v>
      </c>
    </row>
    <row r="17" spans="1:6" ht="15" customHeight="1" x14ac:dyDescent="0.25">
      <c r="E17" s="1" t="s">
        <v>26</v>
      </c>
      <c r="F17" s="8">
        <f>SUM(F9:F16)</f>
        <v>2644238.5600000005</v>
      </c>
    </row>
    <row r="18" spans="1:6" ht="15" customHeight="1" x14ac:dyDescent="0.25">
      <c r="E18" s="1" t="s">
        <v>5</v>
      </c>
      <c r="F18" s="8">
        <f>0.16*F17</f>
        <v>423078.16960000008</v>
      </c>
    </row>
    <row r="19" spans="1:6" ht="15" customHeight="1" x14ac:dyDescent="0.25">
      <c r="E19" s="1" t="s">
        <v>12</v>
      </c>
      <c r="F19" s="8">
        <f>F17</f>
        <v>2644238.5600000005</v>
      </c>
    </row>
    <row r="21" spans="1:6" ht="15" customHeight="1" x14ac:dyDescent="0.25">
      <c r="A21" s="2" t="s">
        <v>13</v>
      </c>
      <c r="C21" s="12">
        <v>25</v>
      </c>
    </row>
    <row r="22" spans="1:6" ht="15" customHeight="1" x14ac:dyDescent="0.25">
      <c r="A22" s="2" t="s">
        <v>14</v>
      </c>
      <c r="C22" s="13">
        <v>1</v>
      </c>
    </row>
    <row r="23" spans="1:6" ht="15" customHeight="1" x14ac:dyDescent="0.25">
      <c r="A23" s="2" t="s">
        <v>15</v>
      </c>
      <c r="C23" s="12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2026-09-17T03:56:21Z</dcterms:created>
  <dcterms:modified xsi:type="dcterms:W3CDTF">2026-09-17T10:02:46Z</dcterms:modified>
  <dc:language>en-US</dc:language>
</cp:coreProperties>
</file>